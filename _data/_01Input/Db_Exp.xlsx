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Temporario\20.Ad hoc\09.Simulador\01.Input\00.Excel\"/>
    </mc:Choice>
  </mc:AlternateContent>
  <xr:revisionPtr revIDLastSave="0" documentId="13_ncr:1_{B01A825D-36E0-42B0-B060-7EB129C6FF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17" i="1" l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2" i="1"/>
  <c r="E282" i="1"/>
  <c r="E54" i="1"/>
  <c r="C3" i="1"/>
  <c r="E3" i="1" s="1"/>
  <c r="D3" i="1"/>
  <c r="G3" i="1" s="1"/>
  <c r="C4" i="1"/>
  <c r="E4" i="1" s="1"/>
  <c r="D4" i="1"/>
  <c r="G4" i="1" s="1"/>
  <c r="C5" i="1"/>
  <c r="E5" i="1" s="1"/>
  <c r="D5" i="1"/>
  <c r="G5" i="1" s="1"/>
  <c r="F5" i="1" s="1"/>
  <c r="C6" i="1"/>
  <c r="E6" i="1" s="1"/>
  <c r="D6" i="1"/>
  <c r="G6" i="1" s="1"/>
  <c r="F6" i="1" s="1"/>
  <c r="C7" i="1"/>
  <c r="E7" i="1" s="1"/>
  <c r="D7" i="1"/>
  <c r="G7" i="1" s="1"/>
  <c r="C8" i="1"/>
  <c r="E8" i="1" s="1"/>
  <c r="D8" i="1"/>
  <c r="G8" i="1"/>
  <c r="C9" i="1"/>
  <c r="E9" i="1" s="1"/>
  <c r="D9" i="1"/>
  <c r="G9" i="1" s="1"/>
  <c r="C10" i="1"/>
  <c r="E10" i="1" s="1"/>
  <c r="D10" i="1"/>
  <c r="G10" i="1" s="1"/>
  <c r="C11" i="1"/>
  <c r="E11" i="1" s="1"/>
  <c r="D11" i="1"/>
  <c r="G11" i="1" s="1"/>
  <c r="F11" i="1" s="1"/>
  <c r="C12" i="1"/>
  <c r="E12" i="1" s="1"/>
  <c r="D12" i="1"/>
  <c r="G12" i="1"/>
  <c r="C13" i="1"/>
  <c r="E13" i="1" s="1"/>
  <c r="D13" i="1"/>
  <c r="G13" i="1" s="1"/>
  <c r="F13" i="1" s="1"/>
  <c r="C14" i="1"/>
  <c r="E14" i="1" s="1"/>
  <c r="D14" i="1"/>
  <c r="G14" i="1"/>
  <c r="F14" i="1" s="1"/>
  <c r="C15" i="1"/>
  <c r="E15" i="1" s="1"/>
  <c r="D15" i="1"/>
  <c r="G15" i="1" s="1"/>
  <c r="C16" i="1"/>
  <c r="E16" i="1" s="1"/>
  <c r="D16" i="1"/>
  <c r="G16" i="1"/>
  <c r="C17" i="1"/>
  <c r="E17" i="1" s="1"/>
  <c r="D17" i="1"/>
  <c r="G17" i="1" s="1"/>
  <c r="C18" i="1"/>
  <c r="E18" i="1" s="1"/>
  <c r="D18" i="1"/>
  <c r="G18" i="1" s="1"/>
  <c r="C19" i="1"/>
  <c r="E19" i="1" s="1"/>
  <c r="D19" i="1"/>
  <c r="G19" i="1" s="1"/>
  <c r="C20" i="1"/>
  <c r="E20" i="1" s="1"/>
  <c r="D20" i="1"/>
  <c r="G20" i="1" s="1"/>
  <c r="C21" i="1"/>
  <c r="E21" i="1" s="1"/>
  <c r="D21" i="1"/>
  <c r="G21" i="1" s="1"/>
  <c r="F21" i="1" s="1"/>
  <c r="C22" i="1"/>
  <c r="E22" i="1" s="1"/>
  <c r="D22" i="1"/>
  <c r="G22" i="1" s="1"/>
  <c r="F22" i="1" s="1"/>
  <c r="C23" i="1"/>
  <c r="E23" i="1" s="1"/>
  <c r="D23" i="1"/>
  <c r="G23" i="1" s="1"/>
  <c r="C24" i="1"/>
  <c r="E24" i="1" s="1"/>
  <c r="D24" i="1"/>
  <c r="G24" i="1"/>
  <c r="C25" i="1"/>
  <c r="E25" i="1" s="1"/>
  <c r="D25" i="1"/>
  <c r="G25" i="1" s="1"/>
  <c r="C26" i="1"/>
  <c r="E26" i="1" s="1"/>
  <c r="D26" i="1"/>
  <c r="G26" i="1" s="1"/>
  <c r="F26" i="1" s="1"/>
  <c r="C27" i="1"/>
  <c r="E27" i="1" s="1"/>
  <c r="D27" i="1"/>
  <c r="G27" i="1" s="1"/>
  <c r="F27" i="1" s="1"/>
  <c r="C28" i="1"/>
  <c r="E28" i="1" s="1"/>
  <c r="D28" i="1"/>
  <c r="G28" i="1"/>
  <c r="C29" i="1"/>
  <c r="E29" i="1" s="1"/>
  <c r="D29" i="1"/>
  <c r="G29" i="1" s="1"/>
  <c r="C30" i="1"/>
  <c r="E30" i="1" s="1"/>
  <c r="D30" i="1"/>
  <c r="G30" i="1"/>
  <c r="F30" i="1" s="1"/>
  <c r="C31" i="1"/>
  <c r="E31" i="1" s="1"/>
  <c r="D31" i="1"/>
  <c r="G31" i="1" s="1"/>
  <c r="C32" i="1"/>
  <c r="E32" i="1" s="1"/>
  <c r="D32" i="1"/>
  <c r="G32" i="1"/>
  <c r="C33" i="1"/>
  <c r="E33" i="1" s="1"/>
  <c r="D33" i="1"/>
  <c r="G33" i="1" s="1"/>
  <c r="C34" i="1"/>
  <c r="E34" i="1" s="1"/>
  <c r="D34" i="1"/>
  <c r="G34" i="1" s="1"/>
  <c r="C35" i="1"/>
  <c r="E35" i="1" s="1"/>
  <c r="D35" i="1"/>
  <c r="G35" i="1" s="1"/>
  <c r="C36" i="1"/>
  <c r="E36" i="1" s="1"/>
  <c r="D36" i="1"/>
  <c r="G36" i="1"/>
  <c r="C37" i="1"/>
  <c r="E37" i="1" s="1"/>
  <c r="D37" i="1"/>
  <c r="G37" i="1" s="1"/>
  <c r="C38" i="1"/>
  <c r="E38" i="1" s="1"/>
  <c r="D38" i="1"/>
  <c r="G38" i="1" s="1"/>
  <c r="C39" i="1"/>
  <c r="E39" i="1" s="1"/>
  <c r="D39" i="1"/>
  <c r="G39" i="1" s="1"/>
  <c r="C40" i="1"/>
  <c r="E40" i="1" s="1"/>
  <c r="D40" i="1"/>
  <c r="G40" i="1" s="1"/>
  <c r="C41" i="1"/>
  <c r="E41" i="1" s="1"/>
  <c r="D41" i="1"/>
  <c r="G41" i="1" s="1"/>
  <c r="C42" i="1"/>
  <c r="E42" i="1" s="1"/>
  <c r="D42" i="1"/>
  <c r="G42" i="1" s="1"/>
  <c r="C43" i="1"/>
  <c r="E43" i="1" s="1"/>
  <c r="D43" i="1"/>
  <c r="G43" i="1" s="1"/>
  <c r="C44" i="1"/>
  <c r="E44" i="1" s="1"/>
  <c r="D44" i="1"/>
  <c r="G44" i="1"/>
  <c r="C45" i="1"/>
  <c r="E45" i="1" s="1"/>
  <c r="D45" i="1"/>
  <c r="G45" i="1" s="1"/>
  <c r="C46" i="1"/>
  <c r="E46" i="1" s="1"/>
  <c r="D46" i="1"/>
  <c r="G46" i="1"/>
  <c r="C47" i="1"/>
  <c r="E47" i="1" s="1"/>
  <c r="D47" i="1"/>
  <c r="G47" i="1" s="1"/>
  <c r="C48" i="1"/>
  <c r="E48" i="1" s="1"/>
  <c r="D48" i="1"/>
  <c r="G48" i="1"/>
  <c r="C49" i="1"/>
  <c r="E49" i="1" s="1"/>
  <c r="D49" i="1"/>
  <c r="G49" i="1" s="1"/>
  <c r="C50" i="1"/>
  <c r="E50" i="1" s="1"/>
  <c r="D50" i="1"/>
  <c r="G50" i="1" s="1"/>
  <c r="C51" i="1"/>
  <c r="E51" i="1" s="1"/>
  <c r="D51" i="1"/>
  <c r="G51" i="1" s="1"/>
  <c r="C52" i="1"/>
  <c r="E52" i="1" s="1"/>
  <c r="D52" i="1"/>
  <c r="G52" i="1"/>
  <c r="C53" i="1"/>
  <c r="E53" i="1" s="1"/>
  <c r="D53" i="1"/>
  <c r="G53" i="1" s="1"/>
  <c r="C54" i="1"/>
  <c r="D54" i="1"/>
  <c r="G54" i="1" s="1"/>
  <c r="C55" i="1"/>
  <c r="E55" i="1" s="1"/>
  <c r="D55" i="1"/>
  <c r="G55" i="1" s="1"/>
  <c r="C56" i="1"/>
  <c r="E56" i="1" s="1"/>
  <c r="D56" i="1"/>
  <c r="G56" i="1" s="1"/>
  <c r="C57" i="1"/>
  <c r="E57" i="1" s="1"/>
  <c r="D57" i="1"/>
  <c r="G57" i="1" s="1"/>
  <c r="C58" i="1"/>
  <c r="E58" i="1" s="1"/>
  <c r="D58" i="1"/>
  <c r="G58" i="1" s="1"/>
  <c r="C59" i="1"/>
  <c r="E59" i="1" s="1"/>
  <c r="D59" i="1"/>
  <c r="G59" i="1" s="1"/>
  <c r="C60" i="1"/>
  <c r="E60" i="1" s="1"/>
  <c r="D60" i="1"/>
  <c r="G60" i="1"/>
  <c r="C61" i="1"/>
  <c r="E61" i="1" s="1"/>
  <c r="D61" i="1"/>
  <c r="G61" i="1" s="1"/>
  <c r="C62" i="1"/>
  <c r="E62" i="1" s="1"/>
  <c r="D62" i="1"/>
  <c r="G62" i="1"/>
  <c r="C63" i="1"/>
  <c r="E63" i="1" s="1"/>
  <c r="D63" i="1"/>
  <c r="G63" i="1" s="1"/>
  <c r="C64" i="1"/>
  <c r="E64" i="1" s="1"/>
  <c r="D64" i="1"/>
  <c r="G64" i="1" s="1"/>
  <c r="C65" i="1"/>
  <c r="E65" i="1" s="1"/>
  <c r="D65" i="1"/>
  <c r="G65" i="1" s="1"/>
  <c r="C66" i="1"/>
  <c r="E66" i="1" s="1"/>
  <c r="D66" i="1"/>
  <c r="G66" i="1" s="1"/>
  <c r="C67" i="1"/>
  <c r="E67" i="1" s="1"/>
  <c r="D67" i="1"/>
  <c r="G67" i="1" s="1"/>
  <c r="C68" i="1"/>
  <c r="E68" i="1" s="1"/>
  <c r="D68" i="1"/>
  <c r="G68" i="1"/>
  <c r="C69" i="1"/>
  <c r="E69" i="1" s="1"/>
  <c r="D69" i="1"/>
  <c r="G69" i="1" s="1"/>
  <c r="C70" i="1"/>
  <c r="E70" i="1" s="1"/>
  <c r="D70" i="1"/>
  <c r="G70" i="1" s="1"/>
  <c r="C71" i="1"/>
  <c r="E71" i="1" s="1"/>
  <c r="D71" i="1"/>
  <c r="G71" i="1" s="1"/>
  <c r="C72" i="1"/>
  <c r="E72" i="1" s="1"/>
  <c r="D72" i="1"/>
  <c r="G72" i="1" s="1"/>
  <c r="C73" i="1"/>
  <c r="E73" i="1" s="1"/>
  <c r="D73" i="1"/>
  <c r="G73" i="1" s="1"/>
  <c r="C74" i="1"/>
  <c r="E74" i="1" s="1"/>
  <c r="D74" i="1"/>
  <c r="G74" i="1" s="1"/>
  <c r="C75" i="1"/>
  <c r="E75" i="1" s="1"/>
  <c r="D75" i="1"/>
  <c r="G75" i="1" s="1"/>
  <c r="C76" i="1"/>
  <c r="E76" i="1" s="1"/>
  <c r="D76" i="1"/>
  <c r="G76" i="1"/>
  <c r="C77" i="1"/>
  <c r="E77" i="1" s="1"/>
  <c r="D77" i="1"/>
  <c r="G77" i="1" s="1"/>
  <c r="C78" i="1"/>
  <c r="E78" i="1" s="1"/>
  <c r="D78" i="1"/>
  <c r="G78" i="1" s="1"/>
  <c r="C79" i="1"/>
  <c r="E79" i="1" s="1"/>
  <c r="D79" i="1"/>
  <c r="G79" i="1" s="1"/>
  <c r="C80" i="1"/>
  <c r="E80" i="1" s="1"/>
  <c r="D80" i="1"/>
  <c r="G80" i="1" s="1"/>
  <c r="C81" i="1"/>
  <c r="E81" i="1" s="1"/>
  <c r="D81" i="1"/>
  <c r="G81" i="1" s="1"/>
  <c r="C82" i="1"/>
  <c r="E82" i="1" s="1"/>
  <c r="D82" i="1"/>
  <c r="G82" i="1" s="1"/>
  <c r="C83" i="1"/>
  <c r="E83" i="1" s="1"/>
  <c r="D83" i="1"/>
  <c r="G83" i="1" s="1"/>
  <c r="C84" i="1"/>
  <c r="E84" i="1" s="1"/>
  <c r="D84" i="1"/>
  <c r="G84" i="1"/>
  <c r="C85" i="1"/>
  <c r="E85" i="1" s="1"/>
  <c r="D85" i="1"/>
  <c r="G85" i="1" s="1"/>
  <c r="C86" i="1"/>
  <c r="E86" i="1" s="1"/>
  <c r="D86" i="1"/>
  <c r="G86" i="1" s="1"/>
  <c r="C87" i="1"/>
  <c r="E87" i="1" s="1"/>
  <c r="D87" i="1"/>
  <c r="G87" i="1" s="1"/>
  <c r="C88" i="1"/>
  <c r="E88" i="1" s="1"/>
  <c r="D88" i="1"/>
  <c r="G88" i="1"/>
  <c r="C89" i="1"/>
  <c r="E89" i="1" s="1"/>
  <c r="D89" i="1"/>
  <c r="G89" i="1" s="1"/>
  <c r="C90" i="1"/>
  <c r="E90" i="1" s="1"/>
  <c r="D90" i="1"/>
  <c r="G90" i="1" s="1"/>
  <c r="C91" i="1"/>
  <c r="E91" i="1" s="1"/>
  <c r="D91" i="1"/>
  <c r="G91" i="1" s="1"/>
  <c r="C92" i="1"/>
  <c r="E92" i="1" s="1"/>
  <c r="D92" i="1"/>
  <c r="G92" i="1" s="1"/>
  <c r="C93" i="1"/>
  <c r="E93" i="1" s="1"/>
  <c r="D93" i="1"/>
  <c r="G93" i="1" s="1"/>
  <c r="C94" i="1"/>
  <c r="E94" i="1" s="1"/>
  <c r="D94" i="1"/>
  <c r="G94" i="1" s="1"/>
  <c r="C95" i="1"/>
  <c r="E95" i="1" s="1"/>
  <c r="D95" i="1"/>
  <c r="G95" i="1" s="1"/>
  <c r="C96" i="1"/>
  <c r="E96" i="1" s="1"/>
  <c r="D96" i="1"/>
  <c r="G96" i="1" s="1"/>
  <c r="C97" i="1"/>
  <c r="E97" i="1" s="1"/>
  <c r="D97" i="1"/>
  <c r="G97" i="1" s="1"/>
  <c r="C98" i="1"/>
  <c r="E98" i="1" s="1"/>
  <c r="D98" i="1"/>
  <c r="G98" i="1" s="1"/>
  <c r="C99" i="1"/>
  <c r="E99" i="1" s="1"/>
  <c r="D99" i="1"/>
  <c r="G99" i="1" s="1"/>
  <c r="C100" i="1"/>
  <c r="E100" i="1" s="1"/>
  <c r="D100" i="1"/>
  <c r="G100" i="1"/>
  <c r="C101" i="1"/>
  <c r="E101" i="1" s="1"/>
  <c r="D101" i="1"/>
  <c r="G101" i="1" s="1"/>
  <c r="C102" i="1"/>
  <c r="E102" i="1" s="1"/>
  <c r="D102" i="1"/>
  <c r="G102" i="1" s="1"/>
  <c r="C103" i="1"/>
  <c r="E103" i="1" s="1"/>
  <c r="D103" i="1"/>
  <c r="G103" i="1" s="1"/>
  <c r="C104" i="1"/>
  <c r="E104" i="1" s="1"/>
  <c r="D104" i="1"/>
  <c r="G104" i="1"/>
  <c r="C105" i="1"/>
  <c r="E105" i="1" s="1"/>
  <c r="D105" i="1"/>
  <c r="G105" i="1" s="1"/>
  <c r="C106" i="1"/>
  <c r="E106" i="1" s="1"/>
  <c r="D106" i="1"/>
  <c r="G106" i="1" s="1"/>
  <c r="C107" i="1"/>
  <c r="E107" i="1" s="1"/>
  <c r="D107" i="1"/>
  <c r="G107" i="1" s="1"/>
  <c r="C108" i="1"/>
  <c r="E108" i="1" s="1"/>
  <c r="D108" i="1"/>
  <c r="G108" i="1" s="1"/>
  <c r="C109" i="1"/>
  <c r="E109" i="1" s="1"/>
  <c r="D109" i="1"/>
  <c r="G109" i="1" s="1"/>
  <c r="C110" i="1"/>
  <c r="E110" i="1" s="1"/>
  <c r="D110" i="1"/>
  <c r="G110" i="1" s="1"/>
  <c r="C111" i="1"/>
  <c r="E111" i="1" s="1"/>
  <c r="D111" i="1"/>
  <c r="G111" i="1" s="1"/>
  <c r="C112" i="1"/>
  <c r="E112" i="1" s="1"/>
  <c r="D112" i="1"/>
  <c r="G112" i="1"/>
  <c r="C113" i="1"/>
  <c r="E113" i="1" s="1"/>
  <c r="D113" i="1"/>
  <c r="G113" i="1" s="1"/>
  <c r="C114" i="1"/>
  <c r="E114" i="1" s="1"/>
  <c r="D114" i="1"/>
  <c r="G114" i="1" s="1"/>
  <c r="H114" i="1" s="1"/>
  <c r="C115" i="1"/>
  <c r="F115" i="1" s="1"/>
  <c r="D115" i="1"/>
  <c r="G115" i="1"/>
  <c r="H115" i="1" s="1"/>
  <c r="C116" i="1"/>
  <c r="E116" i="1" s="1"/>
  <c r="D116" i="1"/>
  <c r="G116" i="1"/>
  <c r="H116" i="1" s="1"/>
  <c r="C117" i="1"/>
  <c r="E117" i="1" s="1"/>
  <c r="D117" i="1"/>
  <c r="G117" i="1"/>
  <c r="H117" i="1" s="1"/>
  <c r="C118" i="1"/>
  <c r="E118" i="1" s="1"/>
  <c r="D118" i="1"/>
  <c r="G118" i="1"/>
  <c r="H118" i="1" s="1"/>
  <c r="C119" i="1"/>
  <c r="E119" i="1" s="1"/>
  <c r="D119" i="1"/>
  <c r="G119" i="1" s="1"/>
  <c r="H119" i="1" s="1"/>
  <c r="C120" i="1"/>
  <c r="E120" i="1" s="1"/>
  <c r="D120" i="1"/>
  <c r="G120" i="1"/>
  <c r="H120" i="1" s="1"/>
  <c r="C121" i="1"/>
  <c r="E121" i="1" s="1"/>
  <c r="D121" i="1"/>
  <c r="G121" i="1"/>
  <c r="H121" i="1" s="1"/>
  <c r="C122" i="1"/>
  <c r="E122" i="1" s="1"/>
  <c r="D122" i="1"/>
  <c r="G122" i="1" s="1"/>
  <c r="H122" i="1" s="1"/>
  <c r="C123" i="1"/>
  <c r="D123" i="1"/>
  <c r="G123" i="1"/>
  <c r="H123" i="1" s="1"/>
  <c r="C124" i="1"/>
  <c r="E124" i="1" s="1"/>
  <c r="D124" i="1"/>
  <c r="G124" i="1" s="1"/>
  <c r="H124" i="1" s="1"/>
  <c r="C125" i="1"/>
  <c r="E125" i="1" s="1"/>
  <c r="D125" i="1"/>
  <c r="G125" i="1" s="1"/>
  <c r="H125" i="1" s="1"/>
  <c r="C126" i="1"/>
  <c r="E126" i="1" s="1"/>
  <c r="D126" i="1"/>
  <c r="G126" i="1"/>
  <c r="H126" i="1" s="1"/>
  <c r="C127" i="1"/>
  <c r="E127" i="1" s="1"/>
  <c r="D127" i="1"/>
  <c r="G127" i="1" s="1"/>
  <c r="H127" i="1" s="1"/>
  <c r="C128" i="1"/>
  <c r="E128" i="1" s="1"/>
  <c r="D128" i="1"/>
  <c r="G128" i="1" s="1"/>
  <c r="H128" i="1" s="1"/>
  <c r="C129" i="1"/>
  <c r="E129" i="1" s="1"/>
  <c r="D129" i="1"/>
  <c r="G129" i="1" s="1"/>
  <c r="H129" i="1" s="1"/>
  <c r="C130" i="1"/>
  <c r="E130" i="1" s="1"/>
  <c r="D130" i="1"/>
  <c r="G130" i="1" s="1"/>
  <c r="H130" i="1" s="1"/>
  <c r="C131" i="1"/>
  <c r="E131" i="1" s="1"/>
  <c r="D131" i="1"/>
  <c r="G131" i="1"/>
  <c r="H131" i="1" s="1"/>
  <c r="C132" i="1"/>
  <c r="E132" i="1" s="1"/>
  <c r="D132" i="1"/>
  <c r="G132" i="1" s="1"/>
  <c r="H132" i="1" s="1"/>
  <c r="C133" i="1"/>
  <c r="E133" i="1" s="1"/>
  <c r="D133" i="1"/>
  <c r="G133" i="1" s="1"/>
  <c r="H133" i="1" s="1"/>
  <c r="C134" i="1"/>
  <c r="E134" i="1" s="1"/>
  <c r="D134" i="1"/>
  <c r="G134" i="1" s="1"/>
  <c r="H134" i="1" s="1"/>
  <c r="C135" i="1"/>
  <c r="E135" i="1" s="1"/>
  <c r="D135" i="1"/>
  <c r="G135" i="1" s="1"/>
  <c r="H135" i="1" s="1"/>
  <c r="C136" i="1"/>
  <c r="E136" i="1" s="1"/>
  <c r="D136" i="1"/>
  <c r="G136" i="1"/>
  <c r="H136" i="1" s="1"/>
  <c r="C137" i="1"/>
  <c r="E137" i="1" s="1"/>
  <c r="D137" i="1"/>
  <c r="G137" i="1" s="1"/>
  <c r="C138" i="1"/>
  <c r="D138" i="1"/>
  <c r="G138" i="1" s="1"/>
  <c r="H138" i="1" s="1"/>
  <c r="C139" i="1"/>
  <c r="E139" i="1" s="1"/>
  <c r="D139" i="1"/>
  <c r="G139" i="1" s="1"/>
  <c r="C140" i="1"/>
  <c r="D140" i="1"/>
  <c r="G140" i="1" s="1"/>
  <c r="H140" i="1" s="1"/>
  <c r="C141" i="1"/>
  <c r="E141" i="1" s="1"/>
  <c r="D141" i="1"/>
  <c r="G141" i="1" s="1"/>
  <c r="C142" i="1"/>
  <c r="E142" i="1" s="1"/>
  <c r="D142" i="1"/>
  <c r="G142" i="1" s="1"/>
  <c r="H142" i="1" s="1"/>
  <c r="C143" i="1"/>
  <c r="D143" i="1"/>
  <c r="G143" i="1" s="1"/>
  <c r="H143" i="1" s="1"/>
  <c r="C144" i="1"/>
  <c r="E144" i="1" s="1"/>
  <c r="D144" i="1"/>
  <c r="G144" i="1" s="1"/>
  <c r="H144" i="1" s="1"/>
  <c r="C145" i="1"/>
  <c r="E145" i="1" s="1"/>
  <c r="D145" i="1"/>
  <c r="G145" i="1" s="1"/>
  <c r="C146" i="1"/>
  <c r="D146" i="1"/>
  <c r="G146" i="1" s="1"/>
  <c r="H146" i="1" s="1"/>
  <c r="C147" i="1"/>
  <c r="E147" i="1" s="1"/>
  <c r="D147" i="1"/>
  <c r="G147" i="1" s="1"/>
  <c r="C148" i="1"/>
  <c r="D148" i="1"/>
  <c r="G148" i="1" s="1"/>
  <c r="H148" i="1" s="1"/>
  <c r="C149" i="1"/>
  <c r="E149" i="1" s="1"/>
  <c r="D149" i="1"/>
  <c r="G149" i="1"/>
  <c r="C150" i="1"/>
  <c r="E150" i="1" s="1"/>
  <c r="D150" i="1"/>
  <c r="G150" i="1" s="1"/>
  <c r="H150" i="1" s="1"/>
  <c r="C151" i="1"/>
  <c r="E151" i="1" s="1"/>
  <c r="D151" i="1"/>
  <c r="G151" i="1" s="1"/>
  <c r="H151" i="1" s="1"/>
  <c r="C152" i="1"/>
  <c r="E152" i="1" s="1"/>
  <c r="D152" i="1"/>
  <c r="G152" i="1" s="1"/>
  <c r="H152" i="1" s="1"/>
  <c r="C153" i="1"/>
  <c r="E153" i="1" s="1"/>
  <c r="D153" i="1"/>
  <c r="G153" i="1" s="1"/>
  <c r="C154" i="1"/>
  <c r="D154" i="1"/>
  <c r="G154" i="1" s="1"/>
  <c r="H154" i="1" s="1"/>
  <c r="C155" i="1"/>
  <c r="E155" i="1" s="1"/>
  <c r="D155" i="1"/>
  <c r="G155" i="1" s="1"/>
  <c r="C156" i="1"/>
  <c r="D156" i="1"/>
  <c r="G156" i="1" s="1"/>
  <c r="H156" i="1" s="1"/>
  <c r="C157" i="1"/>
  <c r="E157" i="1" s="1"/>
  <c r="D157" i="1"/>
  <c r="G157" i="1" s="1"/>
  <c r="C158" i="1"/>
  <c r="E158" i="1" s="1"/>
  <c r="D158" i="1"/>
  <c r="G158" i="1" s="1"/>
  <c r="H158" i="1" s="1"/>
  <c r="C159" i="1"/>
  <c r="D159" i="1"/>
  <c r="G159" i="1"/>
  <c r="H159" i="1" s="1"/>
  <c r="C160" i="1"/>
  <c r="E160" i="1" s="1"/>
  <c r="D160" i="1"/>
  <c r="G160" i="1" s="1"/>
  <c r="H160" i="1" s="1"/>
  <c r="C161" i="1"/>
  <c r="E161" i="1" s="1"/>
  <c r="D161" i="1"/>
  <c r="G161" i="1" s="1"/>
  <c r="C162" i="1"/>
  <c r="D162" i="1"/>
  <c r="G162" i="1" s="1"/>
  <c r="H162" i="1" s="1"/>
  <c r="C163" i="1"/>
  <c r="E163" i="1" s="1"/>
  <c r="D163" i="1"/>
  <c r="G163" i="1" s="1"/>
  <c r="C164" i="1"/>
  <c r="D164" i="1"/>
  <c r="G164" i="1" s="1"/>
  <c r="H164" i="1" s="1"/>
  <c r="C165" i="1"/>
  <c r="E165" i="1" s="1"/>
  <c r="D165" i="1"/>
  <c r="G165" i="1" s="1"/>
  <c r="C166" i="1"/>
  <c r="E166" i="1" s="1"/>
  <c r="D166" i="1"/>
  <c r="G166" i="1"/>
  <c r="H166" i="1" s="1"/>
  <c r="C167" i="1"/>
  <c r="D167" i="1"/>
  <c r="G167" i="1" s="1"/>
  <c r="H167" i="1" s="1"/>
  <c r="C168" i="1"/>
  <c r="E168" i="1" s="1"/>
  <c r="D168" i="1"/>
  <c r="G168" i="1" s="1"/>
  <c r="H168" i="1" s="1"/>
  <c r="C169" i="1"/>
  <c r="E169" i="1" s="1"/>
  <c r="D169" i="1"/>
  <c r="G169" i="1" s="1"/>
  <c r="C170" i="1"/>
  <c r="E170" i="1" s="1"/>
  <c r="D170" i="1"/>
  <c r="G170" i="1"/>
  <c r="H170" i="1" s="1"/>
  <c r="C171" i="1"/>
  <c r="E171" i="1" s="1"/>
  <c r="D171" i="1"/>
  <c r="G171" i="1" s="1"/>
  <c r="C172" i="1"/>
  <c r="E172" i="1" s="1"/>
  <c r="D172" i="1"/>
  <c r="G172" i="1" s="1"/>
  <c r="H172" i="1" s="1"/>
  <c r="C173" i="1"/>
  <c r="E173" i="1" s="1"/>
  <c r="D173" i="1"/>
  <c r="G173" i="1" s="1"/>
  <c r="C174" i="1"/>
  <c r="E174" i="1" s="1"/>
  <c r="D174" i="1"/>
  <c r="G174" i="1" s="1"/>
  <c r="C175" i="1"/>
  <c r="E175" i="1" s="1"/>
  <c r="D175" i="1"/>
  <c r="G175" i="1"/>
  <c r="C176" i="1"/>
  <c r="E176" i="1" s="1"/>
  <c r="D176" i="1"/>
  <c r="G176" i="1" s="1"/>
  <c r="C177" i="1"/>
  <c r="E177" i="1" s="1"/>
  <c r="D177" i="1"/>
  <c r="G177" i="1"/>
  <c r="C178" i="1"/>
  <c r="E178" i="1" s="1"/>
  <c r="D178" i="1"/>
  <c r="G178" i="1" s="1"/>
  <c r="C179" i="1"/>
  <c r="E179" i="1" s="1"/>
  <c r="D179" i="1"/>
  <c r="G179" i="1"/>
  <c r="C180" i="1"/>
  <c r="E180" i="1" s="1"/>
  <c r="D180" i="1"/>
  <c r="G180" i="1" s="1"/>
  <c r="C181" i="1"/>
  <c r="E181" i="1" s="1"/>
  <c r="D181" i="1"/>
  <c r="G181" i="1" s="1"/>
  <c r="C182" i="1"/>
  <c r="E182" i="1" s="1"/>
  <c r="D182" i="1"/>
  <c r="G182" i="1" s="1"/>
  <c r="C183" i="1"/>
  <c r="E183" i="1" s="1"/>
  <c r="D183" i="1"/>
  <c r="G183" i="1"/>
  <c r="C184" i="1"/>
  <c r="E184" i="1" s="1"/>
  <c r="D184" i="1"/>
  <c r="G184" i="1" s="1"/>
  <c r="C185" i="1"/>
  <c r="E185" i="1" s="1"/>
  <c r="D185" i="1"/>
  <c r="G185" i="1" s="1"/>
  <c r="C186" i="1"/>
  <c r="E186" i="1" s="1"/>
  <c r="D186" i="1"/>
  <c r="G186" i="1" s="1"/>
  <c r="C187" i="1"/>
  <c r="E187" i="1" s="1"/>
  <c r="D187" i="1"/>
  <c r="G187" i="1" s="1"/>
  <c r="C188" i="1"/>
  <c r="E188" i="1" s="1"/>
  <c r="D188" i="1"/>
  <c r="G188" i="1" s="1"/>
  <c r="C189" i="1"/>
  <c r="E189" i="1" s="1"/>
  <c r="D189" i="1"/>
  <c r="G189" i="1" s="1"/>
  <c r="C190" i="1"/>
  <c r="E190" i="1" s="1"/>
  <c r="D190" i="1"/>
  <c r="G190" i="1" s="1"/>
  <c r="C191" i="1"/>
  <c r="E191" i="1" s="1"/>
  <c r="D191" i="1"/>
  <c r="G191" i="1"/>
  <c r="C192" i="1"/>
  <c r="E192" i="1" s="1"/>
  <c r="D192" i="1"/>
  <c r="G192" i="1" s="1"/>
  <c r="C193" i="1"/>
  <c r="E193" i="1" s="1"/>
  <c r="D193" i="1"/>
  <c r="G193" i="1"/>
  <c r="C194" i="1"/>
  <c r="E194" i="1" s="1"/>
  <c r="D194" i="1"/>
  <c r="G194" i="1" s="1"/>
  <c r="C195" i="1"/>
  <c r="E195" i="1" s="1"/>
  <c r="D195" i="1"/>
  <c r="G195" i="1"/>
  <c r="C196" i="1"/>
  <c r="E196" i="1" s="1"/>
  <c r="D196" i="1"/>
  <c r="G196" i="1" s="1"/>
  <c r="C197" i="1"/>
  <c r="E197" i="1" s="1"/>
  <c r="D197" i="1"/>
  <c r="G197" i="1" s="1"/>
  <c r="C198" i="1"/>
  <c r="E198" i="1" s="1"/>
  <c r="D198" i="1"/>
  <c r="G198" i="1" s="1"/>
  <c r="C199" i="1"/>
  <c r="E199" i="1" s="1"/>
  <c r="D199" i="1"/>
  <c r="G199" i="1"/>
  <c r="H199" i="1" s="1"/>
  <c r="C200" i="1"/>
  <c r="E200" i="1" s="1"/>
  <c r="D200" i="1"/>
  <c r="G200" i="1" s="1"/>
  <c r="C201" i="1"/>
  <c r="E201" i="1" s="1"/>
  <c r="D201" i="1"/>
  <c r="G201" i="1" s="1"/>
  <c r="C202" i="1"/>
  <c r="E202" i="1" s="1"/>
  <c r="D202" i="1"/>
  <c r="G202" i="1" s="1"/>
  <c r="H202" i="1" s="1"/>
  <c r="C203" i="1"/>
  <c r="E203" i="1" s="1"/>
  <c r="D203" i="1"/>
  <c r="G203" i="1" s="1"/>
  <c r="C204" i="1"/>
  <c r="E204" i="1" s="1"/>
  <c r="D204" i="1"/>
  <c r="G204" i="1" s="1"/>
  <c r="F204" i="1" s="1"/>
  <c r="I204" i="1" s="1"/>
  <c r="C205" i="1"/>
  <c r="E205" i="1" s="1"/>
  <c r="D205" i="1"/>
  <c r="G205" i="1" s="1"/>
  <c r="C206" i="1"/>
  <c r="E206" i="1" s="1"/>
  <c r="D206" i="1"/>
  <c r="G206" i="1" s="1"/>
  <c r="C207" i="1"/>
  <c r="E207" i="1" s="1"/>
  <c r="D207" i="1"/>
  <c r="G207" i="1"/>
  <c r="C208" i="1"/>
  <c r="E208" i="1" s="1"/>
  <c r="D208" i="1"/>
  <c r="G208" i="1" s="1"/>
  <c r="C209" i="1"/>
  <c r="E209" i="1" s="1"/>
  <c r="D209" i="1"/>
  <c r="G209" i="1" s="1"/>
  <c r="C210" i="1"/>
  <c r="E210" i="1" s="1"/>
  <c r="D210" i="1"/>
  <c r="G210" i="1" s="1"/>
  <c r="H210" i="1" s="1"/>
  <c r="C211" i="1"/>
  <c r="E211" i="1" s="1"/>
  <c r="D211" i="1"/>
  <c r="G211" i="1" s="1"/>
  <c r="C212" i="1"/>
  <c r="E212" i="1" s="1"/>
  <c r="D212" i="1"/>
  <c r="G212" i="1" s="1"/>
  <c r="C213" i="1"/>
  <c r="E213" i="1" s="1"/>
  <c r="D213" i="1"/>
  <c r="G213" i="1" s="1"/>
  <c r="C214" i="1"/>
  <c r="E214" i="1" s="1"/>
  <c r="D214" i="1"/>
  <c r="G214" i="1" s="1"/>
  <c r="C215" i="1"/>
  <c r="E215" i="1" s="1"/>
  <c r="D215" i="1"/>
  <c r="G215" i="1" s="1"/>
  <c r="C216" i="1"/>
  <c r="E216" i="1" s="1"/>
  <c r="D216" i="1"/>
  <c r="G216" i="1" s="1"/>
  <c r="H216" i="1"/>
  <c r="C217" i="1"/>
  <c r="E217" i="1" s="1"/>
  <c r="D217" i="1"/>
  <c r="G217" i="1" s="1"/>
  <c r="C218" i="1"/>
  <c r="E218" i="1" s="1"/>
  <c r="D218" i="1"/>
  <c r="G218" i="1" s="1"/>
  <c r="C219" i="1"/>
  <c r="E219" i="1" s="1"/>
  <c r="D219" i="1"/>
  <c r="G219" i="1" s="1"/>
  <c r="F219" i="1" s="1"/>
  <c r="C220" i="1"/>
  <c r="E220" i="1" s="1"/>
  <c r="D220" i="1"/>
  <c r="G220" i="1" s="1"/>
  <c r="C221" i="1"/>
  <c r="E221" i="1" s="1"/>
  <c r="D221" i="1"/>
  <c r="G221" i="1" s="1"/>
  <c r="C222" i="1"/>
  <c r="D222" i="1"/>
  <c r="G222" i="1" s="1"/>
  <c r="H222" i="1" s="1"/>
  <c r="C223" i="1"/>
  <c r="E223" i="1" s="1"/>
  <c r="D223" i="1"/>
  <c r="G223" i="1" s="1"/>
  <c r="C224" i="1"/>
  <c r="E224" i="1" s="1"/>
  <c r="D224" i="1"/>
  <c r="G224" i="1" s="1"/>
  <c r="C225" i="1"/>
  <c r="E225" i="1" s="1"/>
  <c r="D225" i="1"/>
  <c r="G225" i="1" s="1"/>
  <c r="H225" i="1" s="1"/>
  <c r="C226" i="1"/>
  <c r="E226" i="1" s="1"/>
  <c r="D226" i="1"/>
  <c r="G226" i="1" s="1"/>
  <c r="C227" i="1"/>
  <c r="E227" i="1" s="1"/>
  <c r="D227" i="1"/>
  <c r="G227" i="1" s="1"/>
  <c r="C228" i="1"/>
  <c r="E228" i="1" s="1"/>
  <c r="D228" i="1"/>
  <c r="G228" i="1" s="1"/>
  <c r="C229" i="1"/>
  <c r="E229" i="1" s="1"/>
  <c r="D229" i="1"/>
  <c r="G229" i="1" s="1"/>
  <c r="C230" i="1"/>
  <c r="E230" i="1" s="1"/>
  <c r="D230" i="1"/>
  <c r="G230" i="1" s="1"/>
  <c r="C231" i="1"/>
  <c r="E231" i="1" s="1"/>
  <c r="D231" i="1"/>
  <c r="G231" i="1" s="1"/>
  <c r="C232" i="1"/>
  <c r="E232" i="1" s="1"/>
  <c r="D232" i="1"/>
  <c r="G232" i="1" s="1"/>
  <c r="C233" i="1"/>
  <c r="E233" i="1" s="1"/>
  <c r="D233" i="1"/>
  <c r="G233" i="1" s="1"/>
  <c r="C234" i="1"/>
  <c r="E234" i="1" s="1"/>
  <c r="D234" i="1"/>
  <c r="G234" i="1" s="1"/>
  <c r="C235" i="1"/>
  <c r="E235" i="1" s="1"/>
  <c r="D235" i="1"/>
  <c r="G235" i="1" s="1"/>
  <c r="C236" i="1"/>
  <c r="E236" i="1" s="1"/>
  <c r="D236" i="1"/>
  <c r="G236" i="1" s="1"/>
  <c r="C237" i="1"/>
  <c r="E237" i="1" s="1"/>
  <c r="D237" i="1"/>
  <c r="G237" i="1" s="1"/>
  <c r="C238" i="1"/>
  <c r="E238" i="1" s="1"/>
  <c r="D238" i="1"/>
  <c r="G238" i="1" s="1"/>
  <c r="C239" i="1"/>
  <c r="E239" i="1" s="1"/>
  <c r="D239" i="1"/>
  <c r="G239" i="1" s="1"/>
  <c r="C240" i="1"/>
  <c r="E240" i="1" s="1"/>
  <c r="D240" i="1"/>
  <c r="G240" i="1" s="1"/>
  <c r="C241" i="1"/>
  <c r="E241" i="1" s="1"/>
  <c r="D241" i="1"/>
  <c r="G241" i="1" s="1"/>
  <c r="C242" i="1"/>
  <c r="E242" i="1" s="1"/>
  <c r="D242" i="1"/>
  <c r="G242" i="1" s="1"/>
  <c r="C243" i="1"/>
  <c r="E243" i="1" s="1"/>
  <c r="D243" i="1"/>
  <c r="G243" i="1" s="1"/>
  <c r="C244" i="1"/>
  <c r="E244" i="1" s="1"/>
  <c r="D244" i="1"/>
  <c r="G244" i="1" s="1"/>
  <c r="C245" i="1"/>
  <c r="E245" i="1" s="1"/>
  <c r="D245" i="1"/>
  <c r="G245" i="1" s="1"/>
  <c r="C246" i="1"/>
  <c r="E246" i="1" s="1"/>
  <c r="D246" i="1"/>
  <c r="G246" i="1" s="1"/>
  <c r="C247" i="1"/>
  <c r="E247" i="1" s="1"/>
  <c r="D247" i="1"/>
  <c r="G247" i="1" s="1"/>
  <c r="C248" i="1"/>
  <c r="E248" i="1" s="1"/>
  <c r="D248" i="1"/>
  <c r="G248" i="1" s="1"/>
  <c r="C249" i="1"/>
  <c r="E249" i="1" s="1"/>
  <c r="D249" i="1"/>
  <c r="G249" i="1" s="1"/>
  <c r="C250" i="1"/>
  <c r="E250" i="1" s="1"/>
  <c r="D250" i="1"/>
  <c r="G250" i="1" s="1"/>
  <c r="C251" i="1"/>
  <c r="E251" i="1" s="1"/>
  <c r="D251" i="1"/>
  <c r="G251" i="1" s="1"/>
  <c r="C252" i="1"/>
  <c r="E252" i="1" s="1"/>
  <c r="D252" i="1"/>
  <c r="G252" i="1" s="1"/>
  <c r="C253" i="1"/>
  <c r="E253" i="1" s="1"/>
  <c r="D253" i="1"/>
  <c r="G253" i="1" s="1"/>
  <c r="C254" i="1"/>
  <c r="E254" i="1" s="1"/>
  <c r="D254" i="1"/>
  <c r="G254" i="1" s="1"/>
  <c r="C255" i="1"/>
  <c r="E255" i="1" s="1"/>
  <c r="D255" i="1"/>
  <c r="G255" i="1" s="1"/>
  <c r="C256" i="1"/>
  <c r="E256" i="1" s="1"/>
  <c r="D256" i="1"/>
  <c r="G256" i="1" s="1"/>
  <c r="C257" i="1"/>
  <c r="E257" i="1" s="1"/>
  <c r="D257" i="1"/>
  <c r="G257" i="1" s="1"/>
  <c r="C258" i="1"/>
  <c r="E258" i="1" s="1"/>
  <c r="D258" i="1"/>
  <c r="G258" i="1" s="1"/>
  <c r="C259" i="1"/>
  <c r="E259" i="1" s="1"/>
  <c r="D259" i="1"/>
  <c r="G259" i="1" s="1"/>
  <c r="C260" i="1"/>
  <c r="E260" i="1" s="1"/>
  <c r="D260" i="1"/>
  <c r="G260" i="1" s="1"/>
  <c r="C261" i="1"/>
  <c r="E261" i="1" s="1"/>
  <c r="D261" i="1"/>
  <c r="G261" i="1" s="1"/>
  <c r="C262" i="1"/>
  <c r="E262" i="1" s="1"/>
  <c r="D262" i="1"/>
  <c r="G262" i="1" s="1"/>
  <c r="C263" i="1"/>
  <c r="E263" i="1" s="1"/>
  <c r="D263" i="1"/>
  <c r="G263" i="1" s="1"/>
  <c r="C264" i="1"/>
  <c r="E264" i="1" s="1"/>
  <c r="D264" i="1"/>
  <c r="G264" i="1" s="1"/>
  <c r="C265" i="1"/>
  <c r="E265" i="1" s="1"/>
  <c r="D265" i="1"/>
  <c r="G265" i="1" s="1"/>
  <c r="C266" i="1"/>
  <c r="E266" i="1" s="1"/>
  <c r="D266" i="1"/>
  <c r="G266" i="1" s="1"/>
  <c r="C267" i="1"/>
  <c r="E267" i="1" s="1"/>
  <c r="D267" i="1"/>
  <c r="G267" i="1" s="1"/>
  <c r="H267" i="1" s="1"/>
  <c r="C268" i="1"/>
  <c r="E268" i="1" s="1"/>
  <c r="D268" i="1"/>
  <c r="G268" i="1" s="1"/>
  <c r="H268" i="1" s="1"/>
  <c r="C269" i="1"/>
  <c r="E269" i="1" s="1"/>
  <c r="D269" i="1"/>
  <c r="G269" i="1"/>
  <c r="H269" i="1" s="1"/>
  <c r="C270" i="1"/>
  <c r="E270" i="1" s="1"/>
  <c r="D270" i="1"/>
  <c r="G270" i="1" s="1"/>
  <c r="H270" i="1" s="1"/>
  <c r="C271" i="1"/>
  <c r="E271" i="1" s="1"/>
  <c r="D271" i="1"/>
  <c r="G271" i="1" s="1"/>
  <c r="H271" i="1" s="1"/>
  <c r="C272" i="1"/>
  <c r="E272" i="1" s="1"/>
  <c r="D272" i="1"/>
  <c r="G272" i="1" s="1"/>
  <c r="H272" i="1" s="1"/>
  <c r="C273" i="1"/>
  <c r="E273" i="1" s="1"/>
  <c r="D273" i="1"/>
  <c r="G273" i="1"/>
  <c r="H273" i="1" s="1"/>
  <c r="C274" i="1"/>
  <c r="E274" i="1" s="1"/>
  <c r="D274" i="1"/>
  <c r="G274" i="1" s="1"/>
  <c r="H274" i="1" s="1"/>
  <c r="C275" i="1"/>
  <c r="E275" i="1" s="1"/>
  <c r="D275" i="1"/>
  <c r="G275" i="1" s="1"/>
  <c r="H275" i="1" s="1"/>
  <c r="C276" i="1"/>
  <c r="E276" i="1" s="1"/>
  <c r="D276" i="1"/>
  <c r="G276" i="1" s="1"/>
  <c r="H276" i="1" s="1"/>
  <c r="C277" i="1"/>
  <c r="E277" i="1" s="1"/>
  <c r="D277" i="1"/>
  <c r="G277" i="1" s="1"/>
  <c r="H277" i="1" s="1"/>
  <c r="C278" i="1"/>
  <c r="E278" i="1" s="1"/>
  <c r="D278" i="1"/>
  <c r="G278" i="1" s="1"/>
  <c r="H278" i="1" s="1"/>
  <c r="C279" i="1"/>
  <c r="E279" i="1" s="1"/>
  <c r="D279" i="1"/>
  <c r="G279" i="1" s="1"/>
  <c r="H279" i="1" s="1"/>
  <c r="C280" i="1"/>
  <c r="E280" i="1" s="1"/>
  <c r="D280" i="1"/>
  <c r="G280" i="1" s="1"/>
  <c r="H280" i="1" s="1"/>
  <c r="C281" i="1"/>
  <c r="E281" i="1" s="1"/>
  <c r="D281" i="1"/>
  <c r="G281" i="1" s="1"/>
  <c r="C282" i="1"/>
  <c r="D282" i="1"/>
  <c r="G282" i="1" s="1"/>
  <c r="C283" i="1"/>
  <c r="E283" i="1" s="1"/>
  <c r="D283" i="1"/>
  <c r="G283" i="1" s="1"/>
  <c r="F283" i="1" s="1"/>
  <c r="I283" i="1" s="1"/>
  <c r="C284" i="1"/>
  <c r="E284" i="1" s="1"/>
  <c r="D284" i="1"/>
  <c r="G284" i="1" s="1"/>
  <c r="C285" i="1"/>
  <c r="E285" i="1" s="1"/>
  <c r="D285" i="1"/>
  <c r="G285" i="1"/>
  <c r="C286" i="1"/>
  <c r="E286" i="1" s="1"/>
  <c r="D286" i="1"/>
  <c r="G286" i="1" s="1"/>
  <c r="C287" i="1"/>
  <c r="E287" i="1" s="1"/>
  <c r="D287" i="1"/>
  <c r="G287" i="1" s="1"/>
  <c r="C288" i="1"/>
  <c r="E288" i="1" s="1"/>
  <c r="D288" i="1"/>
  <c r="G288" i="1" s="1"/>
  <c r="C289" i="1"/>
  <c r="E289" i="1" s="1"/>
  <c r="D289" i="1"/>
  <c r="G289" i="1"/>
  <c r="C290" i="1"/>
  <c r="E290" i="1" s="1"/>
  <c r="D290" i="1"/>
  <c r="G290" i="1" s="1"/>
  <c r="C291" i="1"/>
  <c r="E291" i="1" s="1"/>
  <c r="D291" i="1"/>
  <c r="G291" i="1" s="1"/>
  <c r="C292" i="1"/>
  <c r="E292" i="1" s="1"/>
  <c r="D292" i="1"/>
  <c r="G292" i="1" s="1"/>
  <c r="C293" i="1"/>
  <c r="E293" i="1" s="1"/>
  <c r="D293" i="1"/>
  <c r="G293" i="1" s="1"/>
  <c r="C294" i="1"/>
  <c r="E294" i="1" s="1"/>
  <c r="D294" i="1"/>
  <c r="G294" i="1" s="1"/>
  <c r="C295" i="1"/>
  <c r="E295" i="1" s="1"/>
  <c r="D295" i="1"/>
  <c r="G295" i="1" s="1"/>
  <c r="C296" i="1"/>
  <c r="E296" i="1" s="1"/>
  <c r="D296" i="1"/>
  <c r="G296" i="1" s="1"/>
  <c r="C297" i="1"/>
  <c r="E297" i="1" s="1"/>
  <c r="D297" i="1"/>
  <c r="G297" i="1"/>
  <c r="C298" i="1"/>
  <c r="E298" i="1" s="1"/>
  <c r="D298" i="1"/>
  <c r="G298" i="1" s="1"/>
  <c r="C299" i="1"/>
  <c r="E299" i="1" s="1"/>
  <c r="D299" i="1"/>
  <c r="G299" i="1" s="1"/>
  <c r="C300" i="1"/>
  <c r="E300" i="1" s="1"/>
  <c r="D300" i="1"/>
  <c r="G300" i="1" s="1"/>
  <c r="C301" i="1"/>
  <c r="E301" i="1" s="1"/>
  <c r="D301" i="1"/>
  <c r="G301" i="1" s="1"/>
  <c r="C302" i="1"/>
  <c r="E302" i="1" s="1"/>
  <c r="D302" i="1"/>
  <c r="G302" i="1" s="1"/>
  <c r="C303" i="1"/>
  <c r="E303" i="1" s="1"/>
  <c r="D303" i="1"/>
  <c r="G303" i="1" s="1"/>
  <c r="C304" i="1"/>
  <c r="E304" i="1" s="1"/>
  <c r="D304" i="1"/>
  <c r="G304" i="1" s="1"/>
  <c r="C305" i="1"/>
  <c r="E305" i="1" s="1"/>
  <c r="D305" i="1"/>
  <c r="G305" i="1"/>
  <c r="C306" i="1"/>
  <c r="E306" i="1" s="1"/>
  <c r="D306" i="1"/>
  <c r="G306" i="1" s="1"/>
  <c r="C307" i="1"/>
  <c r="E307" i="1" s="1"/>
  <c r="D307" i="1"/>
  <c r="G307" i="1" s="1"/>
  <c r="C308" i="1"/>
  <c r="E308" i="1" s="1"/>
  <c r="D308" i="1"/>
  <c r="G308" i="1" s="1"/>
  <c r="C309" i="1"/>
  <c r="E309" i="1" s="1"/>
  <c r="D309" i="1"/>
  <c r="G309" i="1" s="1"/>
  <c r="C310" i="1"/>
  <c r="E310" i="1" s="1"/>
  <c r="D310" i="1"/>
  <c r="G310" i="1" s="1"/>
  <c r="C311" i="1"/>
  <c r="E311" i="1" s="1"/>
  <c r="D311" i="1"/>
  <c r="G311" i="1"/>
  <c r="C312" i="1"/>
  <c r="E312" i="1" s="1"/>
  <c r="D312" i="1"/>
  <c r="G312" i="1" s="1"/>
  <c r="C313" i="1"/>
  <c r="E313" i="1" s="1"/>
  <c r="D313" i="1"/>
  <c r="G313" i="1"/>
  <c r="C314" i="1"/>
  <c r="E314" i="1" s="1"/>
  <c r="D314" i="1"/>
  <c r="G314" i="1" s="1"/>
  <c r="C315" i="1"/>
  <c r="E315" i="1" s="1"/>
  <c r="D315" i="1"/>
  <c r="G315" i="1" s="1"/>
  <c r="C316" i="1"/>
  <c r="E316" i="1" s="1"/>
  <c r="D316" i="1"/>
  <c r="G316" i="1" s="1"/>
  <c r="C317" i="1"/>
  <c r="E317" i="1" s="1"/>
  <c r="D317" i="1"/>
  <c r="G317" i="1" s="1"/>
  <c r="C318" i="1"/>
  <c r="E318" i="1" s="1"/>
  <c r="D318" i="1"/>
  <c r="G318" i="1" s="1"/>
  <c r="C319" i="1"/>
  <c r="E319" i="1" s="1"/>
  <c r="D319" i="1"/>
  <c r="G319" i="1" s="1"/>
  <c r="C320" i="1"/>
  <c r="E320" i="1" s="1"/>
  <c r="D320" i="1"/>
  <c r="G320" i="1" s="1"/>
  <c r="C321" i="1"/>
  <c r="E321" i="1" s="1"/>
  <c r="D321" i="1"/>
  <c r="G321" i="1"/>
  <c r="C322" i="1"/>
  <c r="E322" i="1" s="1"/>
  <c r="D322" i="1"/>
  <c r="G322" i="1" s="1"/>
  <c r="C323" i="1"/>
  <c r="E323" i="1" s="1"/>
  <c r="D323" i="1"/>
  <c r="G323" i="1" s="1"/>
  <c r="C324" i="1"/>
  <c r="E324" i="1" s="1"/>
  <c r="D324" i="1"/>
  <c r="G324" i="1" s="1"/>
  <c r="C325" i="1"/>
  <c r="E325" i="1" s="1"/>
  <c r="D325" i="1"/>
  <c r="G325" i="1"/>
  <c r="C326" i="1"/>
  <c r="E326" i="1" s="1"/>
  <c r="D326" i="1"/>
  <c r="G326" i="1" s="1"/>
  <c r="C327" i="1"/>
  <c r="E327" i="1" s="1"/>
  <c r="D327" i="1"/>
  <c r="G327" i="1"/>
  <c r="C328" i="1"/>
  <c r="E328" i="1" s="1"/>
  <c r="D328" i="1"/>
  <c r="G328" i="1" s="1"/>
  <c r="C329" i="1"/>
  <c r="E329" i="1" s="1"/>
  <c r="D329" i="1"/>
  <c r="G329" i="1"/>
  <c r="C330" i="1"/>
  <c r="E330" i="1" s="1"/>
  <c r="D330" i="1"/>
  <c r="G330" i="1" s="1"/>
  <c r="C331" i="1"/>
  <c r="E331" i="1" s="1"/>
  <c r="D331" i="1"/>
  <c r="G331" i="1" s="1"/>
  <c r="C332" i="1"/>
  <c r="E332" i="1" s="1"/>
  <c r="D332" i="1"/>
  <c r="G332" i="1" s="1"/>
  <c r="C333" i="1"/>
  <c r="E333" i="1" s="1"/>
  <c r="D333" i="1"/>
  <c r="G333" i="1" s="1"/>
  <c r="C334" i="1"/>
  <c r="E334" i="1" s="1"/>
  <c r="D334" i="1"/>
  <c r="G334" i="1" s="1"/>
  <c r="C335" i="1"/>
  <c r="D335" i="1"/>
  <c r="G335" i="1" s="1"/>
  <c r="H335" i="1" s="1"/>
  <c r="C336" i="1"/>
  <c r="E336" i="1" s="1"/>
  <c r="D336" i="1"/>
  <c r="G336" i="1" s="1"/>
  <c r="C337" i="1"/>
  <c r="E337" i="1" s="1"/>
  <c r="D337" i="1"/>
  <c r="G337" i="1" s="1"/>
  <c r="H337" i="1" s="1"/>
  <c r="C338" i="1"/>
  <c r="E338" i="1" s="1"/>
  <c r="D338" i="1"/>
  <c r="G338" i="1" s="1"/>
  <c r="C339" i="1"/>
  <c r="E339" i="1" s="1"/>
  <c r="D339" i="1"/>
  <c r="G339" i="1" s="1"/>
  <c r="H339" i="1" s="1"/>
  <c r="C340" i="1"/>
  <c r="E340" i="1" s="1"/>
  <c r="D340" i="1"/>
  <c r="G340" i="1"/>
  <c r="C341" i="1"/>
  <c r="E341" i="1" s="1"/>
  <c r="D341" i="1"/>
  <c r="G341" i="1" s="1"/>
  <c r="H341" i="1" s="1"/>
  <c r="C342" i="1"/>
  <c r="E342" i="1" s="1"/>
  <c r="D342" i="1"/>
  <c r="G342" i="1" s="1"/>
  <c r="H342" i="1" s="1"/>
  <c r="C343" i="1"/>
  <c r="E343" i="1" s="1"/>
  <c r="D343" i="1"/>
  <c r="G343" i="1" s="1"/>
  <c r="H343" i="1" s="1"/>
  <c r="C344" i="1"/>
  <c r="E344" i="1" s="1"/>
  <c r="D344" i="1"/>
  <c r="G344" i="1" s="1"/>
  <c r="C345" i="1"/>
  <c r="E345" i="1" s="1"/>
  <c r="D345" i="1"/>
  <c r="G345" i="1" s="1"/>
  <c r="H345" i="1" s="1"/>
  <c r="C346" i="1"/>
  <c r="E346" i="1" s="1"/>
  <c r="D346" i="1"/>
  <c r="G346" i="1"/>
  <c r="C347" i="1"/>
  <c r="E347" i="1" s="1"/>
  <c r="D347" i="1"/>
  <c r="G347" i="1" s="1"/>
  <c r="C348" i="1"/>
  <c r="E348" i="1" s="1"/>
  <c r="D348" i="1"/>
  <c r="G348" i="1"/>
  <c r="C349" i="1"/>
  <c r="E349" i="1" s="1"/>
  <c r="D349" i="1"/>
  <c r="G349" i="1" s="1"/>
  <c r="C350" i="1"/>
  <c r="E350" i="1" s="1"/>
  <c r="D350" i="1"/>
  <c r="G350" i="1" s="1"/>
  <c r="C351" i="1"/>
  <c r="E351" i="1" s="1"/>
  <c r="D351" i="1"/>
  <c r="G351" i="1" s="1"/>
  <c r="C352" i="1"/>
  <c r="D352" i="1"/>
  <c r="G352" i="1" s="1"/>
  <c r="H352" i="1" s="1"/>
  <c r="C353" i="1"/>
  <c r="E353" i="1" s="1"/>
  <c r="D353" i="1"/>
  <c r="G353" i="1" s="1"/>
  <c r="C354" i="1"/>
  <c r="E354" i="1" s="1"/>
  <c r="D354" i="1"/>
  <c r="G354" i="1" s="1"/>
  <c r="C355" i="1"/>
  <c r="E355" i="1" s="1"/>
  <c r="D355" i="1"/>
  <c r="G355" i="1" s="1"/>
  <c r="C356" i="1"/>
  <c r="E356" i="1" s="1"/>
  <c r="D356" i="1"/>
  <c r="G356" i="1"/>
  <c r="H356" i="1" s="1"/>
  <c r="C357" i="1"/>
  <c r="E357" i="1" s="1"/>
  <c r="D357" i="1"/>
  <c r="G357" i="1" s="1"/>
  <c r="C358" i="1"/>
  <c r="E358" i="1" s="1"/>
  <c r="D358" i="1"/>
  <c r="G358" i="1" s="1"/>
  <c r="C359" i="1"/>
  <c r="E359" i="1" s="1"/>
  <c r="D359" i="1"/>
  <c r="G359" i="1" s="1"/>
  <c r="C360" i="1"/>
  <c r="E360" i="1" s="1"/>
  <c r="D360" i="1"/>
  <c r="G360" i="1"/>
  <c r="H360" i="1" s="1"/>
  <c r="C361" i="1"/>
  <c r="E361" i="1" s="1"/>
  <c r="D361" i="1"/>
  <c r="G361" i="1" s="1"/>
  <c r="C362" i="1"/>
  <c r="E362" i="1" s="1"/>
  <c r="D362" i="1"/>
  <c r="G362" i="1"/>
  <c r="C363" i="1"/>
  <c r="E363" i="1" s="1"/>
  <c r="D363" i="1"/>
  <c r="G363" i="1" s="1"/>
  <c r="C364" i="1"/>
  <c r="E364" i="1" s="1"/>
  <c r="D364" i="1"/>
  <c r="G364" i="1"/>
  <c r="C365" i="1"/>
  <c r="E365" i="1" s="1"/>
  <c r="D365" i="1"/>
  <c r="G365" i="1" s="1"/>
  <c r="C366" i="1"/>
  <c r="E366" i="1" s="1"/>
  <c r="D366" i="1"/>
  <c r="G366" i="1" s="1"/>
  <c r="C367" i="1"/>
  <c r="E367" i="1" s="1"/>
  <c r="D367" i="1"/>
  <c r="G367" i="1" s="1"/>
  <c r="C368" i="1"/>
  <c r="E368" i="1" s="1"/>
  <c r="D368" i="1"/>
  <c r="G368" i="1" s="1"/>
  <c r="C369" i="1"/>
  <c r="E369" i="1" s="1"/>
  <c r="D369" i="1"/>
  <c r="G369" i="1" s="1"/>
  <c r="H369" i="1" s="1"/>
  <c r="C370" i="1"/>
  <c r="E370" i="1" s="1"/>
  <c r="D370" i="1"/>
  <c r="G370" i="1" s="1"/>
  <c r="H370" i="1" s="1"/>
  <c r="C371" i="1"/>
  <c r="E371" i="1" s="1"/>
  <c r="D371" i="1"/>
  <c r="G371" i="1" s="1"/>
  <c r="C372" i="1"/>
  <c r="E372" i="1" s="1"/>
  <c r="D372" i="1"/>
  <c r="G372" i="1" s="1"/>
  <c r="C373" i="1"/>
  <c r="E373" i="1" s="1"/>
  <c r="D373" i="1"/>
  <c r="G373" i="1" s="1"/>
  <c r="C374" i="1"/>
  <c r="E374" i="1" s="1"/>
  <c r="D374" i="1"/>
  <c r="G374" i="1" s="1"/>
  <c r="C375" i="1"/>
  <c r="E375" i="1" s="1"/>
  <c r="D375" i="1"/>
  <c r="G375" i="1"/>
  <c r="C376" i="1"/>
  <c r="E376" i="1" s="1"/>
  <c r="D376" i="1"/>
  <c r="G376" i="1" s="1"/>
  <c r="F376" i="1" s="1"/>
  <c r="C377" i="1"/>
  <c r="E377" i="1" s="1"/>
  <c r="D377" i="1"/>
  <c r="G377" i="1" s="1"/>
  <c r="C378" i="1"/>
  <c r="E378" i="1" s="1"/>
  <c r="D378" i="1"/>
  <c r="G378" i="1" s="1"/>
  <c r="C379" i="1"/>
  <c r="E379" i="1" s="1"/>
  <c r="D379" i="1"/>
  <c r="G379" i="1" s="1"/>
  <c r="C380" i="1"/>
  <c r="E380" i="1" s="1"/>
  <c r="D380" i="1"/>
  <c r="G380" i="1"/>
  <c r="H380" i="1" s="1"/>
  <c r="C381" i="1"/>
  <c r="E381" i="1" s="1"/>
  <c r="D381" i="1"/>
  <c r="G381" i="1" s="1"/>
  <c r="F381" i="1" s="1"/>
  <c r="I381" i="1" s="1"/>
  <c r="C382" i="1"/>
  <c r="E382" i="1" s="1"/>
  <c r="D382" i="1"/>
  <c r="G382" i="1" s="1"/>
  <c r="C383" i="1"/>
  <c r="E383" i="1" s="1"/>
  <c r="D383" i="1"/>
  <c r="G383" i="1" s="1"/>
  <c r="H383" i="1" s="1"/>
  <c r="C384" i="1"/>
  <c r="E384" i="1" s="1"/>
  <c r="D384" i="1"/>
  <c r="G384" i="1" s="1"/>
  <c r="C385" i="1"/>
  <c r="E385" i="1" s="1"/>
  <c r="D385" i="1"/>
  <c r="G385" i="1" s="1"/>
  <c r="H385" i="1" s="1"/>
  <c r="C386" i="1"/>
  <c r="E386" i="1" s="1"/>
  <c r="D386" i="1"/>
  <c r="G386" i="1"/>
  <c r="C387" i="1"/>
  <c r="E387" i="1" s="1"/>
  <c r="D387" i="1"/>
  <c r="G387" i="1" s="1"/>
  <c r="H387" i="1" s="1"/>
  <c r="C388" i="1"/>
  <c r="E388" i="1" s="1"/>
  <c r="D388" i="1"/>
  <c r="G388" i="1" s="1"/>
  <c r="C389" i="1"/>
  <c r="E389" i="1" s="1"/>
  <c r="D389" i="1"/>
  <c r="G389" i="1" s="1"/>
  <c r="C390" i="1"/>
  <c r="E390" i="1" s="1"/>
  <c r="D390" i="1"/>
  <c r="G390" i="1" s="1"/>
  <c r="C391" i="1"/>
  <c r="E391" i="1" s="1"/>
  <c r="D391" i="1"/>
  <c r="G391" i="1" s="1"/>
  <c r="H391" i="1" s="1"/>
  <c r="C392" i="1"/>
  <c r="E392" i="1" s="1"/>
  <c r="D392" i="1"/>
  <c r="G392" i="1" s="1"/>
  <c r="C393" i="1"/>
  <c r="E393" i="1" s="1"/>
  <c r="D393" i="1"/>
  <c r="G393" i="1" s="1"/>
  <c r="H393" i="1" s="1"/>
  <c r="C394" i="1"/>
  <c r="E394" i="1" s="1"/>
  <c r="D394" i="1"/>
  <c r="G394" i="1" s="1"/>
  <c r="C395" i="1"/>
  <c r="E395" i="1" s="1"/>
  <c r="D395" i="1"/>
  <c r="G395" i="1" s="1"/>
  <c r="H395" i="1" s="1"/>
  <c r="C396" i="1"/>
  <c r="E396" i="1" s="1"/>
  <c r="D396" i="1"/>
  <c r="G396" i="1" s="1"/>
  <c r="C397" i="1"/>
  <c r="E397" i="1" s="1"/>
  <c r="D397" i="1"/>
  <c r="G397" i="1" s="1"/>
  <c r="H397" i="1" s="1"/>
  <c r="C398" i="1"/>
  <c r="E398" i="1" s="1"/>
  <c r="D398" i="1"/>
  <c r="G398" i="1" s="1"/>
  <c r="C399" i="1"/>
  <c r="E399" i="1" s="1"/>
  <c r="D399" i="1"/>
  <c r="G399" i="1" s="1"/>
  <c r="H399" i="1" s="1"/>
  <c r="C400" i="1"/>
  <c r="E400" i="1" s="1"/>
  <c r="D400" i="1"/>
  <c r="G400" i="1" s="1"/>
  <c r="C401" i="1"/>
  <c r="E401" i="1" s="1"/>
  <c r="D401" i="1"/>
  <c r="G401" i="1" s="1"/>
  <c r="H401" i="1" s="1"/>
  <c r="C402" i="1"/>
  <c r="E402" i="1" s="1"/>
  <c r="D402" i="1"/>
  <c r="G402" i="1" s="1"/>
  <c r="C403" i="1"/>
  <c r="E403" i="1" s="1"/>
  <c r="D403" i="1"/>
  <c r="G403" i="1" s="1"/>
  <c r="H403" i="1" s="1"/>
  <c r="C404" i="1"/>
  <c r="E404" i="1" s="1"/>
  <c r="D404" i="1"/>
  <c r="G404" i="1" s="1"/>
  <c r="C405" i="1"/>
  <c r="E405" i="1" s="1"/>
  <c r="D405" i="1"/>
  <c r="G405" i="1" s="1"/>
  <c r="H405" i="1" s="1"/>
  <c r="C406" i="1"/>
  <c r="E406" i="1" s="1"/>
  <c r="D406" i="1"/>
  <c r="G406" i="1" s="1"/>
  <c r="C407" i="1"/>
  <c r="E407" i="1" s="1"/>
  <c r="D407" i="1"/>
  <c r="G407" i="1" s="1"/>
  <c r="H407" i="1" s="1"/>
  <c r="C408" i="1"/>
  <c r="E408" i="1" s="1"/>
  <c r="D408" i="1"/>
  <c r="G408" i="1" s="1"/>
  <c r="C409" i="1"/>
  <c r="E409" i="1" s="1"/>
  <c r="D409" i="1"/>
  <c r="G409" i="1" s="1"/>
  <c r="H409" i="1" s="1"/>
  <c r="C410" i="1"/>
  <c r="E410" i="1" s="1"/>
  <c r="D410" i="1"/>
  <c r="G410" i="1"/>
  <c r="C411" i="1"/>
  <c r="E411" i="1" s="1"/>
  <c r="D411" i="1"/>
  <c r="G411" i="1"/>
  <c r="H411" i="1" s="1"/>
  <c r="C412" i="1"/>
  <c r="E412" i="1" s="1"/>
  <c r="D412" i="1"/>
  <c r="G412" i="1" s="1"/>
  <c r="C413" i="1"/>
  <c r="E413" i="1" s="1"/>
  <c r="D413" i="1"/>
  <c r="G413" i="1" s="1"/>
  <c r="H413" i="1" s="1"/>
  <c r="C414" i="1"/>
  <c r="E414" i="1" s="1"/>
  <c r="D414" i="1"/>
  <c r="G414" i="1"/>
  <c r="F414" i="1" s="1"/>
  <c r="C415" i="1"/>
  <c r="E415" i="1" s="1"/>
  <c r="D415" i="1"/>
  <c r="G415" i="1" s="1"/>
  <c r="C416" i="1"/>
  <c r="E416" i="1" s="1"/>
  <c r="D416" i="1"/>
  <c r="G416" i="1" s="1"/>
  <c r="F416" i="1" s="1"/>
  <c r="I416" i="1" s="1"/>
  <c r="C417" i="1"/>
  <c r="E417" i="1" s="1"/>
  <c r="D417" i="1"/>
  <c r="G417" i="1" s="1"/>
  <c r="C418" i="1"/>
  <c r="E418" i="1" s="1"/>
  <c r="D418" i="1"/>
  <c r="G418" i="1" s="1"/>
  <c r="C419" i="1"/>
  <c r="E419" i="1" s="1"/>
  <c r="D419" i="1"/>
  <c r="G419" i="1" s="1"/>
  <c r="C420" i="1"/>
  <c r="E420" i="1" s="1"/>
  <c r="D420" i="1"/>
  <c r="G420" i="1" s="1"/>
  <c r="F420" i="1" s="1"/>
  <c r="I420" i="1" s="1"/>
  <c r="C421" i="1"/>
  <c r="E421" i="1" s="1"/>
  <c r="D421" i="1"/>
  <c r="G421" i="1" s="1"/>
  <c r="C422" i="1"/>
  <c r="E422" i="1" s="1"/>
  <c r="D422" i="1"/>
  <c r="G422" i="1" s="1"/>
  <c r="C423" i="1"/>
  <c r="E423" i="1" s="1"/>
  <c r="D423" i="1"/>
  <c r="G423" i="1" s="1"/>
  <c r="C424" i="1"/>
  <c r="E424" i="1" s="1"/>
  <c r="D424" i="1"/>
  <c r="G424" i="1" s="1"/>
  <c r="F424" i="1" s="1"/>
  <c r="C425" i="1"/>
  <c r="E425" i="1" s="1"/>
  <c r="D425" i="1"/>
  <c r="G425" i="1" s="1"/>
  <c r="C426" i="1"/>
  <c r="E426" i="1" s="1"/>
  <c r="D426" i="1"/>
  <c r="G426" i="1"/>
  <c r="C427" i="1"/>
  <c r="E427" i="1" s="1"/>
  <c r="D427" i="1"/>
  <c r="G427" i="1" s="1"/>
  <c r="C428" i="1"/>
  <c r="E428" i="1" s="1"/>
  <c r="D428" i="1"/>
  <c r="G428" i="1" s="1"/>
  <c r="C429" i="1"/>
  <c r="E429" i="1" s="1"/>
  <c r="D429" i="1"/>
  <c r="G429" i="1" s="1"/>
  <c r="C430" i="1"/>
  <c r="E430" i="1" s="1"/>
  <c r="D430" i="1"/>
  <c r="G430" i="1"/>
  <c r="C431" i="1"/>
  <c r="E431" i="1" s="1"/>
  <c r="D431" i="1"/>
  <c r="G431" i="1" s="1"/>
  <c r="C432" i="1"/>
  <c r="E432" i="1" s="1"/>
  <c r="D432" i="1"/>
  <c r="G432" i="1" s="1"/>
  <c r="C433" i="1"/>
  <c r="E433" i="1" s="1"/>
  <c r="D433" i="1"/>
  <c r="G433" i="1" s="1"/>
  <c r="C434" i="1"/>
  <c r="E434" i="1" s="1"/>
  <c r="D434" i="1"/>
  <c r="G434" i="1" s="1"/>
  <c r="C435" i="1"/>
  <c r="E435" i="1" s="1"/>
  <c r="D435" i="1"/>
  <c r="G435" i="1" s="1"/>
  <c r="C436" i="1"/>
  <c r="E436" i="1" s="1"/>
  <c r="D436" i="1"/>
  <c r="G436" i="1" s="1"/>
  <c r="C437" i="1"/>
  <c r="E437" i="1" s="1"/>
  <c r="D437" i="1"/>
  <c r="G437" i="1" s="1"/>
  <c r="C438" i="1"/>
  <c r="E438" i="1" s="1"/>
  <c r="D438" i="1"/>
  <c r="G438" i="1"/>
  <c r="C439" i="1"/>
  <c r="E439" i="1" s="1"/>
  <c r="D439" i="1"/>
  <c r="G439" i="1" s="1"/>
  <c r="C440" i="1"/>
  <c r="E440" i="1" s="1"/>
  <c r="D440" i="1"/>
  <c r="G440" i="1" s="1"/>
  <c r="C441" i="1"/>
  <c r="E441" i="1" s="1"/>
  <c r="D441" i="1"/>
  <c r="G441" i="1" s="1"/>
  <c r="C442" i="1"/>
  <c r="E442" i="1" s="1"/>
  <c r="D442" i="1"/>
  <c r="G442" i="1" s="1"/>
  <c r="C443" i="1"/>
  <c r="E443" i="1" s="1"/>
  <c r="D443" i="1"/>
  <c r="G443" i="1" s="1"/>
  <c r="C444" i="1"/>
  <c r="E444" i="1" s="1"/>
  <c r="D444" i="1"/>
  <c r="G444" i="1" s="1"/>
  <c r="C445" i="1"/>
  <c r="E445" i="1" s="1"/>
  <c r="D445" i="1"/>
  <c r="G445" i="1" s="1"/>
  <c r="C446" i="1"/>
  <c r="E446" i="1" s="1"/>
  <c r="D446" i="1"/>
  <c r="G446" i="1"/>
  <c r="C447" i="1"/>
  <c r="E447" i="1" s="1"/>
  <c r="D447" i="1"/>
  <c r="G447" i="1" s="1"/>
  <c r="C448" i="1"/>
  <c r="E448" i="1" s="1"/>
  <c r="D448" i="1"/>
  <c r="G448" i="1" s="1"/>
  <c r="C449" i="1"/>
  <c r="E449" i="1" s="1"/>
  <c r="D449" i="1"/>
  <c r="G449" i="1" s="1"/>
  <c r="C450" i="1"/>
  <c r="E450" i="1" s="1"/>
  <c r="D450" i="1"/>
  <c r="G450" i="1" s="1"/>
  <c r="C451" i="1"/>
  <c r="E451" i="1" s="1"/>
  <c r="D451" i="1"/>
  <c r="G451" i="1" s="1"/>
  <c r="C452" i="1"/>
  <c r="E452" i="1" s="1"/>
  <c r="D452" i="1"/>
  <c r="G452" i="1"/>
  <c r="C453" i="1"/>
  <c r="E453" i="1" s="1"/>
  <c r="D453" i="1"/>
  <c r="G453" i="1" s="1"/>
  <c r="C454" i="1"/>
  <c r="E454" i="1" s="1"/>
  <c r="D454" i="1"/>
  <c r="G454" i="1"/>
  <c r="C455" i="1"/>
  <c r="E455" i="1" s="1"/>
  <c r="D455" i="1"/>
  <c r="G455" i="1" s="1"/>
  <c r="C456" i="1"/>
  <c r="E456" i="1" s="1"/>
  <c r="D456" i="1"/>
  <c r="G456" i="1" s="1"/>
  <c r="C457" i="1"/>
  <c r="E457" i="1" s="1"/>
  <c r="D457" i="1"/>
  <c r="G457" i="1" s="1"/>
  <c r="C458" i="1"/>
  <c r="E458" i="1" s="1"/>
  <c r="D458" i="1"/>
  <c r="G458" i="1" s="1"/>
  <c r="C459" i="1"/>
  <c r="E459" i="1" s="1"/>
  <c r="D459" i="1"/>
  <c r="G459" i="1" s="1"/>
  <c r="C460" i="1"/>
  <c r="E460" i="1" s="1"/>
  <c r="D460" i="1"/>
  <c r="G460" i="1" s="1"/>
  <c r="C461" i="1"/>
  <c r="E461" i="1" s="1"/>
  <c r="D461" i="1"/>
  <c r="G461" i="1" s="1"/>
  <c r="H461" i="1"/>
  <c r="C462" i="1"/>
  <c r="E462" i="1" s="1"/>
  <c r="D462" i="1"/>
  <c r="G462" i="1" s="1"/>
  <c r="F462" i="1" s="1"/>
  <c r="C463" i="1"/>
  <c r="E463" i="1" s="1"/>
  <c r="D463" i="1"/>
  <c r="G463" i="1" s="1"/>
  <c r="H463" i="1" s="1"/>
  <c r="C464" i="1"/>
  <c r="E464" i="1" s="1"/>
  <c r="D464" i="1"/>
  <c r="G464" i="1"/>
  <c r="C465" i="1"/>
  <c r="E465" i="1" s="1"/>
  <c r="D465" i="1"/>
  <c r="G465" i="1" s="1"/>
  <c r="H465" i="1" s="1"/>
  <c r="C466" i="1"/>
  <c r="E466" i="1" s="1"/>
  <c r="D466" i="1"/>
  <c r="G466" i="1" s="1"/>
  <c r="F466" i="1" s="1"/>
  <c r="I466" i="1" s="1"/>
  <c r="C467" i="1"/>
  <c r="E467" i="1" s="1"/>
  <c r="D467" i="1"/>
  <c r="G467" i="1" s="1"/>
  <c r="H467" i="1" s="1"/>
  <c r="C468" i="1"/>
  <c r="E468" i="1" s="1"/>
  <c r="D468" i="1"/>
  <c r="G468" i="1"/>
  <c r="C469" i="1"/>
  <c r="E469" i="1" s="1"/>
  <c r="D469" i="1"/>
  <c r="G469" i="1" s="1"/>
  <c r="F469" i="1" s="1"/>
  <c r="C470" i="1"/>
  <c r="E470" i="1" s="1"/>
  <c r="D470" i="1"/>
  <c r="G470" i="1" s="1"/>
  <c r="C471" i="1"/>
  <c r="E471" i="1" s="1"/>
  <c r="D471" i="1"/>
  <c r="G471" i="1"/>
  <c r="H471" i="1" s="1"/>
  <c r="C472" i="1"/>
  <c r="E472" i="1" s="1"/>
  <c r="D472" i="1"/>
  <c r="G472" i="1"/>
  <c r="C473" i="1"/>
  <c r="E473" i="1" s="1"/>
  <c r="D473" i="1"/>
  <c r="G473" i="1" s="1"/>
  <c r="H473" i="1" s="1"/>
  <c r="C474" i="1"/>
  <c r="E474" i="1" s="1"/>
  <c r="D474" i="1"/>
  <c r="G474" i="1" s="1"/>
  <c r="C475" i="1"/>
  <c r="E475" i="1" s="1"/>
  <c r="D475" i="1"/>
  <c r="G475" i="1" s="1"/>
  <c r="H475" i="1" s="1"/>
  <c r="C476" i="1"/>
  <c r="E476" i="1" s="1"/>
  <c r="D476" i="1"/>
  <c r="G476" i="1"/>
  <c r="C477" i="1"/>
  <c r="E477" i="1" s="1"/>
  <c r="D477" i="1"/>
  <c r="G477" i="1" s="1"/>
  <c r="F477" i="1" s="1"/>
  <c r="C478" i="1"/>
  <c r="E478" i="1" s="1"/>
  <c r="D478" i="1"/>
  <c r="G478" i="1" s="1"/>
  <c r="F478" i="1" s="1"/>
  <c r="C479" i="1"/>
  <c r="E479" i="1" s="1"/>
  <c r="D479" i="1"/>
  <c r="G479" i="1" s="1"/>
  <c r="H479" i="1" s="1"/>
  <c r="C480" i="1"/>
  <c r="E480" i="1" s="1"/>
  <c r="D480" i="1"/>
  <c r="G480" i="1" s="1"/>
  <c r="C481" i="1"/>
  <c r="E481" i="1" s="1"/>
  <c r="D481" i="1"/>
  <c r="G481" i="1" s="1"/>
  <c r="H481" i="1" s="1"/>
  <c r="C482" i="1"/>
  <c r="E482" i="1" s="1"/>
  <c r="D482" i="1"/>
  <c r="G482" i="1" s="1"/>
  <c r="C483" i="1"/>
  <c r="E483" i="1" s="1"/>
  <c r="D483" i="1"/>
  <c r="G483" i="1" s="1"/>
  <c r="H483" i="1" s="1"/>
  <c r="C484" i="1"/>
  <c r="E484" i="1" s="1"/>
  <c r="D484" i="1"/>
  <c r="G484" i="1"/>
  <c r="C485" i="1"/>
  <c r="E485" i="1" s="1"/>
  <c r="D485" i="1"/>
  <c r="G485" i="1" s="1"/>
  <c r="F485" i="1" s="1"/>
  <c r="C486" i="1"/>
  <c r="E486" i="1" s="1"/>
  <c r="D486" i="1"/>
  <c r="G486" i="1" s="1"/>
  <c r="C487" i="1"/>
  <c r="E487" i="1" s="1"/>
  <c r="D487" i="1"/>
  <c r="G487" i="1" s="1"/>
  <c r="C488" i="1"/>
  <c r="E488" i="1" s="1"/>
  <c r="D488" i="1"/>
  <c r="G488" i="1" s="1"/>
  <c r="C489" i="1"/>
  <c r="E489" i="1" s="1"/>
  <c r="D489" i="1"/>
  <c r="G489" i="1" s="1"/>
  <c r="C490" i="1"/>
  <c r="E490" i="1" s="1"/>
  <c r="D490" i="1"/>
  <c r="G490" i="1" s="1"/>
  <c r="C491" i="1"/>
  <c r="E491" i="1" s="1"/>
  <c r="D491" i="1"/>
  <c r="G491" i="1" s="1"/>
  <c r="C492" i="1"/>
  <c r="E492" i="1" s="1"/>
  <c r="D492" i="1"/>
  <c r="G492" i="1" s="1"/>
  <c r="C493" i="1"/>
  <c r="E493" i="1" s="1"/>
  <c r="D493" i="1"/>
  <c r="G493" i="1"/>
  <c r="C494" i="1"/>
  <c r="E494" i="1" s="1"/>
  <c r="D494" i="1"/>
  <c r="G494" i="1" s="1"/>
  <c r="C495" i="1"/>
  <c r="E495" i="1" s="1"/>
  <c r="D495" i="1"/>
  <c r="G495" i="1" s="1"/>
  <c r="C496" i="1"/>
  <c r="E496" i="1" s="1"/>
  <c r="D496" i="1"/>
  <c r="G496" i="1" s="1"/>
  <c r="C497" i="1"/>
  <c r="E497" i="1" s="1"/>
  <c r="D497" i="1"/>
  <c r="G497" i="1"/>
  <c r="C498" i="1"/>
  <c r="E498" i="1" s="1"/>
  <c r="D498" i="1"/>
  <c r="G498" i="1" s="1"/>
  <c r="F498" i="1" s="1"/>
  <c r="C499" i="1"/>
  <c r="E499" i="1" s="1"/>
  <c r="D499" i="1"/>
  <c r="G499" i="1" s="1"/>
  <c r="C500" i="1"/>
  <c r="E500" i="1" s="1"/>
  <c r="D500" i="1"/>
  <c r="G500" i="1" s="1"/>
  <c r="C501" i="1"/>
  <c r="E501" i="1" s="1"/>
  <c r="D501" i="1"/>
  <c r="G501" i="1" s="1"/>
  <c r="C502" i="1"/>
  <c r="E502" i="1" s="1"/>
  <c r="D502" i="1"/>
  <c r="G502" i="1" s="1"/>
  <c r="C503" i="1"/>
  <c r="E503" i="1" s="1"/>
  <c r="D503" i="1"/>
  <c r="G503" i="1" s="1"/>
  <c r="C504" i="1"/>
  <c r="E504" i="1" s="1"/>
  <c r="D504" i="1"/>
  <c r="G504" i="1" s="1"/>
  <c r="C505" i="1"/>
  <c r="E505" i="1" s="1"/>
  <c r="D505" i="1"/>
  <c r="G505" i="1" s="1"/>
  <c r="C506" i="1"/>
  <c r="E506" i="1" s="1"/>
  <c r="D506" i="1"/>
  <c r="G506" i="1" s="1"/>
  <c r="C507" i="1"/>
  <c r="E507" i="1" s="1"/>
  <c r="D507" i="1"/>
  <c r="G507" i="1" s="1"/>
  <c r="C508" i="1"/>
  <c r="E508" i="1" s="1"/>
  <c r="D508" i="1"/>
  <c r="G508" i="1" s="1"/>
  <c r="C509" i="1"/>
  <c r="E509" i="1" s="1"/>
  <c r="D509" i="1"/>
  <c r="G509" i="1"/>
  <c r="C510" i="1"/>
  <c r="E510" i="1" s="1"/>
  <c r="D510" i="1"/>
  <c r="G510" i="1" s="1"/>
  <c r="C511" i="1"/>
  <c r="E511" i="1" s="1"/>
  <c r="D511" i="1"/>
  <c r="G511" i="1" s="1"/>
  <c r="C512" i="1"/>
  <c r="E512" i="1" s="1"/>
  <c r="D512" i="1"/>
  <c r="G512" i="1" s="1"/>
  <c r="H512" i="1" s="1"/>
  <c r="C513" i="1"/>
  <c r="E513" i="1" s="1"/>
  <c r="D513" i="1"/>
  <c r="G513" i="1" s="1"/>
  <c r="C514" i="1"/>
  <c r="E514" i="1" s="1"/>
  <c r="D514" i="1"/>
  <c r="G514" i="1"/>
  <c r="H514" i="1" s="1"/>
  <c r="C515" i="1"/>
  <c r="E515" i="1" s="1"/>
  <c r="D515" i="1"/>
  <c r="G515" i="1" s="1"/>
  <c r="C516" i="1"/>
  <c r="E516" i="1" s="1"/>
  <c r="D516" i="1"/>
  <c r="G516" i="1" s="1"/>
  <c r="H516" i="1" s="1"/>
  <c r="C517" i="1"/>
  <c r="E517" i="1" s="1"/>
  <c r="D517" i="1"/>
  <c r="G517" i="1"/>
  <c r="C518" i="1"/>
  <c r="E518" i="1" s="1"/>
  <c r="D518" i="1"/>
  <c r="G518" i="1" s="1"/>
  <c r="H518" i="1" s="1"/>
  <c r="C519" i="1"/>
  <c r="E519" i="1" s="1"/>
  <c r="D519" i="1"/>
  <c r="G519" i="1" s="1"/>
  <c r="C520" i="1"/>
  <c r="E520" i="1" s="1"/>
  <c r="D520" i="1"/>
  <c r="G520" i="1" s="1"/>
  <c r="H520" i="1" s="1"/>
  <c r="C521" i="1"/>
  <c r="E521" i="1" s="1"/>
  <c r="D521" i="1"/>
  <c r="G521" i="1" s="1"/>
  <c r="C522" i="1"/>
  <c r="E522" i="1" s="1"/>
  <c r="D522" i="1"/>
  <c r="G522" i="1" s="1"/>
  <c r="C523" i="1"/>
  <c r="E523" i="1" s="1"/>
  <c r="D523" i="1"/>
  <c r="G523" i="1"/>
  <c r="C524" i="1"/>
  <c r="E524" i="1" s="1"/>
  <c r="D524" i="1"/>
  <c r="G524" i="1" s="1"/>
  <c r="F524" i="1" s="1"/>
  <c r="I524" i="1" s="1"/>
  <c r="C525" i="1"/>
  <c r="E525" i="1" s="1"/>
  <c r="D525" i="1"/>
  <c r="G525" i="1" s="1"/>
  <c r="C526" i="1"/>
  <c r="E526" i="1" s="1"/>
  <c r="D526" i="1"/>
  <c r="G526" i="1" s="1"/>
  <c r="H526" i="1" s="1"/>
  <c r="C527" i="1"/>
  <c r="E527" i="1" s="1"/>
  <c r="D527" i="1"/>
  <c r="G527" i="1" s="1"/>
  <c r="C528" i="1"/>
  <c r="E528" i="1" s="1"/>
  <c r="D528" i="1"/>
  <c r="G528" i="1" s="1"/>
  <c r="H528" i="1" s="1"/>
  <c r="C529" i="1"/>
  <c r="E529" i="1" s="1"/>
  <c r="D529" i="1"/>
  <c r="G529" i="1"/>
  <c r="C530" i="1"/>
  <c r="E530" i="1" s="1"/>
  <c r="D530" i="1"/>
  <c r="G530" i="1" s="1"/>
  <c r="C531" i="1"/>
  <c r="E531" i="1" s="1"/>
  <c r="D531" i="1"/>
  <c r="G531" i="1" s="1"/>
  <c r="C532" i="1"/>
  <c r="E532" i="1" s="1"/>
  <c r="D532" i="1"/>
  <c r="G532" i="1" s="1"/>
  <c r="F532" i="1" s="1"/>
  <c r="I532" i="1" s="1"/>
  <c r="C533" i="1"/>
  <c r="E533" i="1" s="1"/>
  <c r="D533" i="1"/>
  <c r="G533" i="1" s="1"/>
  <c r="C534" i="1"/>
  <c r="E534" i="1" s="1"/>
  <c r="D534" i="1"/>
  <c r="G534" i="1" s="1"/>
  <c r="C535" i="1"/>
  <c r="E535" i="1" s="1"/>
  <c r="D535" i="1"/>
  <c r="G535" i="1" s="1"/>
  <c r="C536" i="1"/>
  <c r="E536" i="1" s="1"/>
  <c r="D536" i="1"/>
  <c r="G536" i="1" s="1"/>
  <c r="C537" i="1"/>
  <c r="E537" i="1" s="1"/>
  <c r="D537" i="1"/>
  <c r="G537" i="1" s="1"/>
  <c r="C538" i="1"/>
  <c r="E538" i="1" s="1"/>
  <c r="D538" i="1"/>
  <c r="G538" i="1" s="1"/>
  <c r="C539" i="1"/>
  <c r="E539" i="1" s="1"/>
  <c r="D539" i="1"/>
  <c r="G539" i="1"/>
  <c r="C540" i="1"/>
  <c r="E540" i="1" s="1"/>
  <c r="D540" i="1"/>
  <c r="G540" i="1" s="1"/>
  <c r="C541" i="1"/>
  <c r="E541" i="1" s="1"/>
  <c r="D541" i="1"/>
  <c r="G541" i="1"/>
  <c r="C542" i="1"/>
  <c r="E542" i="1" s="1"/>
  <c r="D542" i="1"/>
  <c r="G542" i="1" s="1"/>
  <c r="C543" i="1"/>
  <c r="E543" i="1" s="1"/>
  <c r="D543" i="1"/>
  <c r="G543" i="1"/>
  <c r="C544" i="1"/>
  <c r="E544" i="1" s="1"/>
  <c r="D544" i="1"/>
  <c r="G544" i="1" s="1"/>
  <c r="C545" i="1"/>
  <c r="E545" i="1" s="1"/>
  <c r="D545" i="1"/>
  <c r="G545" i="1" s="1"/>
  <c r="C546" i="1"/>
  <c r="E546" i="1" s="1"/>
  <c r="D546" i="1"/>
  <c r="G546" i="1" s="1"/>
  <c r="C547" i="1"/>
  <c r="E547" i="1" s="1"/>
  <c r="D547" i="1"/>
  <c r="G547" i="1"/>
  <c r="C548" i="1"/>
  <c r="E548" i="1" s="1"/>
  <c r="D548" i="1"/>
  <c r="G548" i="1" s="1"/>
  <c r="C549" i="1"/>
  <c r="E549" i="1" s="1"/>
  <c r="D549" i="1"/>
  <c r="G549" i="1" s="1"/>
  <c r="C550" i="1"/>
  <c r="E550" i="1" s="1"/>
  <c r="D550" i="1"/>
  <c r="G550" i="1" s="1"/>
  <c r="C551" i="1"/>
  <c r="E551" i="1" s="1"/>
  <c r="D551" i="1"/>
  <c r="G551" i="1" s="1"/>
  <c r="C552" i="1"/>
  <c r="E552" i="1" s="1"/>
  <c r="D552" i="1"/>
  <c r="G552" i="1" s="1"/>
  <c r="C553" i="1"/>
  <c r="E553" i="1" s="1"/>
  <c r="D553" i="1"/>
  <c r="G553" i="1" s="1"/>
  <c r="C554" i="1"/>
  <c r="E554" i="1" s="1"/>
  <c r="D554" i="1"/>
  <c r="G554" i="1" s="1"/>
  <c r="C555" i="1"/>
  <c r="E555" i="1" s="1"/>
  <c r="D555" i="1"/>
  <c r="G555" i="1"/>
  <c r="C556" i="1"/>
  <c r="E556" i="1" s="1"/>
  <c r="D556" i="1"/>
  <c r="G556" i="1" s="1"/>
  <c r="C557" i="1"/>
  <c r="E557" i="1" s="1"/>
  <c r="D557" i="1"/>
  <c r="G557" i="1"/>
  <c r="C558" i="1"/>
  <c r="E558" i="1" s="1"/>
  <c r="D558" i="1"/>
  <c r="G558" i="1" s="1"/>
  <c r="C559" i="1"/>
  <c r="E559" i="1" s="1"/>
  <c r="D559" i="1"/>
  <c r="G559" i="1" s="1"/>
  <c r="C560" i="1"/>
  <c r="E560" i="1" s="1"/>
  <c r="D560" i="1"/>
  <c r="G560" i="1" s="1"/>
  <c r="C561" i="1"/>
  <c r="E561" i="1" s="1"/>
  <c r="D561" i="1"/>
  <c r="G561" i="1" s="1"/>
  <c r="C562" i="1"/>
  <c r="E562" i="1" s="1"/>
  <c r="D562" i="1"/>
  <c r="G562" i="1" s="1"/>
  <c r="C563" i="1"/>
  <c r="E563" i="1" s="1"/>
  <c r="D563" i="1"/>
  <c r="G563" i="1"/>
  <c r="C564" i="1"/>
  <c r="E564" i="1" s="1"/>
  <c r="D564" i="1"/>
  <c r="G564" i="1" s="1"/>
  <c r="C565" i="1"/>
  <c r="E565" i="1" s="1"/>
  <c r="D565" i="1"/>
  <c r="G565" i="1" s="1"/>
  <c r="C566" i="1"/>
  <c r="E566" i="1" s="1"/>
  <c r="D566" i="1"/>
  <c r="G566" i="1" s="1"/>
  <c r="C567" i="1"/>
  <c r="E567" i="1" s="1"/>
  <c r="D567" i="1"/>
  <c r="G567" i="1" s="1"/>
  <c r="C568" i="1"/>
  <c r="E568" i="1" s="1"/>
  <c r="D568" i="1"/>
  <c r="G568" i="1" s="1"/>
  <c r="C569" i="1"/>
  <c r="E569" i="1" s="1"/>
  <c r="D569" i="1"/>
  <c r="G569" i="1" s="1"/>
  <c r="C570" i="1"/>
  <c r="E570" i="1" s="1"/>
  <c r="D570" i="1"/>
  <c r="G570" i="1" s="1"/>
  <c r="C571" i="1"/>
  <c r="E571" i="1" s="1"/>
  <c r="D571" i="1"/>
  <c r="G571" i="1"/>
  <c r="C572" i="1"/>
  <c r="E572" i="1" s="1"/>
  <c r="D572" i="1"/>
  <c r="G572" i="1" s="1"/>
  <c r="C573" i="1"/>
  <c r="E573" i="1" s="1"/>
  <c r="D573" i="1"/>
  <c r="G573" i="1" s="1"/>
  <c r="C574" i="1"/>
  <c r="E574" i="1" s="1"/>
  <c r="D574" i="1"/>
  <c r="G574" i="1" s="1"/>
  <c r="C575" i="1"/>
  <c r="E575" i="1" s="1"/>
  <c r="D575" i="1"/>
  <c r="G575" i="1" s="1"/>
  <c r="C576" i="1"/>
  <c r="E576" i="1" s="1"/>
  <c r="D576" i="1"/>
  <c r="G576" i="1" s="1"/>
  <c r="C577" i="1"/>
  <c r="E577" i="1" s="1"/>
  <c r="D577" i="1"/>
  <c r="G577" i="1" s="1"/>
  <c r="C578" i="1"/>
  <c r="E578" i="1" s="1"/>
  <c r="D578" i="1"/>
  <c r="G578" i="1" s="1"/>
  <c r="C579" i="1"/>
  <c r="E579" i="1" s="1"/>
  <c r="D579" i="1"/>
  <c r="G579" i="1"/>
  <c r="C580" i="1"/>
  <c r="E580" i="1" s="1"/>
  <c r="D580" i="1"/>
  <c r="G580" i="1" s="1"/>
  <c r="C581" i="1"/>
  <c r="E581" i="1" s="1"/>
  <c r="D581" i="1"/>
  <c r="G581" i="1" s="1"/>
  <c r="C582" i="1"/>
  <c r="E582" i="1" s="1"/>
  <c r="D582" i="1"/>
  <c r="G582" i="1" s="1"/>
  <c r="C583" i="1"/>
  <c r="E583" i="1" s="1"/>
  <c r="D583" i="1"/>
  <c r="G583" i="1" s="1"/>
  <c r="C584" i="1"/>
  <c r="E584" i="1" s="1"/>
  <c r="D584" i="1"/>
  <c r="G584" i="1" s="1"/>
  <c r="C585" i="1"/>
  <c r="E585" i="1" s="1"/>
  <c r="D585" i="1"/>
  <c r="G585" i="1" s="1"/>
  <c r="C586" i="1"/>
  <c r="E586" i="1" s="1"/>
  <c r="D586" i="1"/>
  <c r="G586" i="1" s="1"/>
  <c r="C587" i="1"/>
  <c r="E587" i="1" s="1"/>
  <c r="D587" i="1"/>
  <c r="G587" i="1" s="1"/>
  <c r="C588" i="1"/>
  <c r="E588" i="1" s="1"/>
  <c r="D588" i="1"/>
  <c r="G588" i="1" s="1"/>
  <c r="C589" i="1"/>
  <c r="E589" i="1" s="1"/>
  <c r="D589" i="1"/>
  <c r="G589" i="1" s="1"/>
  <c r="C590" i="1"/>
  <c r="E590" i="1" s="1"/>
  <c r="D590" i="1"/>
  <c r="G590" i="1" s="1"/>
  <c r="C591" i="1"/>
  <c r="E591" i="1" s="1"/>
  <c r="D591" i="1"/>
  <c r="G591" i="1" s="1"/>
  <c r="C592" i="1"/>
  <c r="E592" i="1" s="1"/>
  <c r="D592" i="1"/>
  <c r="G592" i="1" s="1"/>
  <c r="C593" i="1"/>
  <c r="E593" i="1" s="1"/>
  <c r="D593" i="1"/>
  <c r="G593" i="1" s="1"/>
  <c r="C594" i="1"/>
  <c r="E594" i="1" s="1"/>
  <c r="D594" i="1"/>
  <c r="G594" i="1" s="1"/>
  <c r="C595" i="1"/>
  <c r="E595" i="1" s="1"/>
  <c r="D595" i="1"/>
  <c r="G595" i="1"/>
  <c r="C596" i="1"/>
  <c r="E596" i="1" s="1"/>
  <c r="D596" i="1"/>
  <c r="G596" i="1" s="1"/>
  <c r="C597" i="1"/>
  <c r="E597" i="1" s="1"/>
  <c r="D597" i="1"/>
  <c r="G597" i="1" s="1"/>
  <c r="C598" i="1"/>
  <c r="E598" i="1" s="1"/>
  <c r="D598" i="1"/>
  <c r="G598" i="1" s="1"/>
  <c r="C599" i="1"/>
  <c r="E599" i="1" s="1"/>
  <c r="D599" i="1"/>
  <c r="G599" i="1"/>
  <c r="C600" i="1"/>
  <c r="E600" i="1" s="1"/>
  <c r="D600" i="1"/>
  <c r="G600" i="1" s="1"/>
  <c r="C601" i="1"/>
  <c r="E601" i="1" s="1"/>
  <c r="D601" i="1"/>
  <c r="G601" i="1" s="1"/>
  <c r="C602" i="1"/>
  <c r="E602" i="1" s="1"/>
  <c r="D602" i="1"/>
  <c r="G602" i="1" s="1"/>
  <c r="C603" i="1"/>
  <c r="E603" i="1" s="1"/>
  <c r="D603" i="1"/>
  <c r="G603" i="1" s="1"/>
  <c r="C604" i="1"/>
  <c r="E604" i="1" s="1"/>
  <c r="D604" i="1"/>
  <c r="G604" i="1" s="1"/>
  <c r="C605" i="1"/>
  <c r="E605" i="1" s="1"/>
  <c r="D605" i="1"/>
  <c r="G605" i="1" s="1"/>
  <c r="C606" i="1"/>
  <c r="E606" i="1" s="1"/>
  <c r="D606" i="1"/>
  <c r="G606" i="1" s="1"/>
  <c r="C607" i="1"/>
  <c r="E607" i="1" s="1"/>
  <c r="D607" i="1"/>
  <c r="G607" i="1" s="1"/>
  <c r="C608" i="1"/>
  <c r="E608" i="1" s="1"/>
  <c r="D608" i="1"/>
  <c r="G608" i="1" s="1"/>
  <c r="C609" i="1"/>
  <c r="E609" i="1" s="1"/>
  <c r="D609" i="1"/>
  <c r="G609" i="1" s="1"/>
  <c r="C610" i="1"/>
  <c r="E610" i="1" s="1"/>
  <c r="D610" i="1"/>
  <c r="G610" i="1" s="1"/>
  <c r="C611" i="1"/>
  <c r="E611" i="1" s="1"/>
  <c r="D611" i="1"/>
  <c r="G611" i="1" s="1"/>
  <c r="C612" i="1"/>
  <c r="E612" i="1" s="1"/>
  <c r="D612" i="1"/>
  <c r="G612" i="1" s="1"/>
  <c r="C613" i="1"/>
  <c r="E613" i="1" s="1"/>
  <c r="D613" i="1"/>
  <c r="G613" i="1" s="1"/>
  <c r="C614" i="1"/>
  <c r="E614" i="1" s="1"/>
  <c r="D614" i="1"/>
  <c r="G614" i="1" s="1"/>
  <c r="C615" i="1"/>
  <c r="E615" i="1" s="1"/>
  <c r="D615" i="1"/>
  <c r="G615" i="1"/>
  <c r="C616" i="1"/>
  <c r="E616" i="1" s="1"/>
  <c r="D616" i="1"/>
  <c r="G616" i="1" s="1"/>
  <c r="C617" i="1"/>
  <c r="E617" i="1" s="1"/>
  <c r="D617" i="1"/>
  <c r="G617" i="1" s="1"/>
  <c r="C618" i="1"/>
  <c r="E618" i="1" s="1"/>
  <c r="D618" i="1"/>
  <c r="G618" i="1" s="1"/>
  <c r="C619" i="1"/>
  <c r="E619" i="1" s="1"/>
  <c r="D619" i="1"/>
  <c r="G619" i="1" s="1"/>
  <c r="C620" i="1"/>
  <c r="E620" i="1" s="1"/>
  <c r="D620" i="1"/>
  <c r="G620" i="1" s="1"/>
  <c r="C621" i="1"/>
  <c r="E621" i="1" s="1"/>
  <c r="D621" i="1"/>
  <c r="G621" i="1" s="1"/>
  <c r="C622" i="1"/>
  <c r="E622" i="1" s="1"/>
  <c r="D622" i="1"/>
  <c r="G622" i="1" s="1"/>
  <c r="C623" i="1"/>
  <c r="E623" i="1" s="1"/>
  <c r="D623" i="1"/>
  <c r="G623" i="1"/>
  <c r="C624" i="1"/>
  <c r="E624" i="1" s="1"/>
  <c r="D624" i="1"/>
  <c r="G624" i="1" s="1"/>
  <c r="C625" i="1"/>
  <c r="E625" i="1" s="1"/>
  <c r="D625" i="1"/>
  <c r="G625" i="1" s="1"/>
  <c r="C626" i="1"/>
  <c r="E626" i="1" s="1"/>
  <c r="D626" i="1"/>
  <c r="G626" i="1" s="1"/>
  <c r="C627" i="1"/>
  <c r="E627" i="1" s="1"/>
  <c r="D627" i="1"/>
  <c r="G627" i="1" s="1"/>
  <c r="C628" i="1"/>
  <c r="E628" i="1" s="1"/>
  <c r="D628" i="1"/>
  <c r="G628" i="1" s="1"/>
  <c r="C629" i="1"/>
  <c r="E629" i="1" s="1"/>
  <c r="D629" i="1"/>
  <c r="G629" i="1" s="1"/>
  <c r="C630" i="1"/>
  <c r="E630" i="1" s="1"/>
  <c r="D630" i="1"/>
  <c r="G630" i="1" s="1"/>
  <c r="C631" i="1"/>
  <c r="E631" i="1" s="1"/>
  <c r="D631" i="1"/>
  <c r="G631" i="1"/>
  <c r="C632" i="1"/>
  <c r="E632" i="1" s="1"/>
  <c r="D632" i="1"/>
  <c r="G632" i="1" s="1"/>
  <c r="C633" i="1"/>
  <c r="E633" i="1" s="1"/>
  <c r="D633" i="1"/>
  <c r="G633" i="1" s="1"/>
  <c r="C634" i="1"/>
  <c r="E634" i="1" s="1"/>
  <c r="D634" i="1"/>
  <c r="G634" i="1" s="1"/>
  <c r="C635" i="1"/>
  <c r="E635" i="1" s="1"/>
  <c r="D635" i="1"/>
  <c r="G635" i="1" s="1"/>
  <c r="C636" i="1"/>
  <c r="E636" i="1" s="1"/>
  <c r="D636" i="1"/>
  <c r="G636" i="1" s="1"/>
  <c r="C637" i="1"/>
  <c r="E637" i="1" s="1"/>
  <c r="D637" i="1"/>
  <c r="G637" i="1" s="1"/>
  <c r="C638" i="1"/>
  <c r="E638" i="1" s="1"/>
  <c r="D638" i="1"/>
  <c r="G638" i="1" s="1"/>
  <c r="C639" i="1"/>
  <c r="E639" i="1" s="1"/>
  <c r="D639" i="1"/>
  <c r="G639" i="1" s="1"/>
  <c r="C640" i="1"/>
  <c r="E640" i="1" s="1"/>
  <c r="D640" i="1"/>
  <c r="G640" i="1"/>
  <c r="C641" i="1"/>
  <c r="E641" i="1" s="1"/>
  <c r="D641" i="1"/>
  <c r="G641" i="1"/>
  <c r="C642" i="1"/>
  <c r="E642" i="1" s="1"/>
  <c r="D642" i="1"/>
  <c r="G642" i="1" s="1"/>
  <c r="C643" i="1"/>
  <c r="E643" i="1" s="1"/>
  <c r="D643" i="1"/>
  <c r="G643" i="1"/>
  <c r="C644" i="1"/>
  <c r="E644" i="1" s="1"/>
  <c r="D644" i="1"/>
  <c r="G644" i="1" s="1"/>
  <c r="C645" i="1"/>
  <c r="E645" i="1" s="1"/>
  <c r="D645" i="1"/>
  <c r="G645" i="1" s="1"/>
  <c r="C646" i="1"/>
  <c r="E646" i="1" s="1"/>
  <c r="D646" i="1"/>
  <c r="G646" i="1" s="1"/>
  <c r="C647" i="1"/>
  <c r="E647" i="1" s="1"/>
  <c r="D647" i="1"/>
  <c r="G647" i="1" s="1"/>
  <c r="C648" i="1"/>
  <c r="E648" i="1" s="1"/>
  <c r="D648" i="1"/>
  <c r="G648" i="1" s="1"/>
  <c r="C649" i="1"/>
  <c r="E649" i="1" s="1"/>
  <c r="D649" i="1"/>
  <c r="G649" i="1"/>
  <c r="C650" i="1"/>
  <c r="E650" i="1" s="1"/>
  <c r="D650" i="1"/>
  <c r="G650" i="1" s="1"/>
  <c r="C651" i="1"/>
  <c r="E651" i="1" s="1"/>
  <c r="D651" i="1"/>
  <c r="G651" i="1" s="1"/>
  <c r="C652" i="1"/>
  <c r="E652" i="1" s="1"/>
  <c r="D652" i="1"/>
  <c r="G652" i="1" s="1"/>
  <c r="C653" i="1"/>
  <c r="E653" i="1" s="1"/>
  <c r="D653" i="1"/>
  <c r="G653" i="1" s="1"/>
  <c r="C654" i="1"/>
  <c r="E654" i="1" s="1"/>
  <c r="D654" i="1"/>
  <c r="G654" i="1" s="1"/>
  <c r="C655" i="1"/>
  <c r="E655" i="1" s="1"/>
  <c r="D655" i="1"/>
  <c r="G655" i="1" s="1"/>
  <c r="C656" i="1"/>
  <c r="E656" i="1" s="1"/>
  <c r="D656" i="1"/>
  <c r="G656" i="1" s="1"/>
  <c r="C657" i="1"/>
  <c r="E657" i="1" s="1"/>
  <c r="D657" i="1"/>
  <c r="G657" i="1" s="1"/>
  <c r="C658" i="1"/>
  <c r="E658" i="1" s="1"/>
  <c r="D658" i="1"/>
  <c r="G658" i="1" s="1"/>
  <c r="C659" i="1"/>
  <c r="E659" i="1" s="1"/>
  <c r="D659" i="1"/>
  <c r="G659" i="1" s="1"/>
  <c r="C660" i="1"/>
  <c r="E660" i="1" s="1"/>
  <c r="D660" i="1"/>
  <c r="G660" i="1" s="1"/>
  <c r="C661" i="1"/>
  <c r="E661" i="1" s="1"/>
  <c r="D661" i="1"/>
  <c r="G661" i="1" s="1"/>
  <c r="C662" i="1"/>
  <c r="E662" i="1" s="1"/>
  <c r="D662" i="1"/>
  <c r="G662" i="1" s="1"/>
  <c r="C663" i="1"/>
  <c r="E663" i="1" s="1"/>
  <c r="D663" i="1"/>
  <c r="G663" i="1" s="1"/>
  <c r="C664" i="1"/>
  <c r="E664" i="1" s="1"/>
  <c r="D664" i="1"/>
  <c r="G664" i="1"/>
  <c r="C665" i="1"/>
  <c r="E665" i="1" s="1"/>
  <c r="D665" i="1"/>
  <c r="G665" i="1" s="1"/>
  <c r="C666" i="1"/>
  <c r="E666" i="1" s="1"/>
  <c r="D666" i="1"/>
  <c r="G666" i="1" s="1"/>
  <c r="C667" i="1"/>
  <c r="E667" i="1" s="1"/>
  <c r="D667" i="1"/>
  <c r="G667" i="1" s="1"/>
  <c r="C668" i="1"/>
  <c r="E668" i="1" s="1"/>
  <c r="D668" i="1"/>
  <c r="G668" i="1" s="1"/>
  <c r="C669" i="1"/>
  <c r="E669" i="1" s="1"/>
  <c r="D669" i="1"/>
  <c r="G669" i="1" s="1"/>
  <c r="C670" i="1"/>
  <c r="E670" i="1" s="1"/>
  <c r="D670" i="1"/>
  <c r="G670" i="1" s="1"/>
  <c r="C671" i="1"/>
  <c r="E671" i="1" s="1"/>
  <c r="D671" i="1"/>
  <c r="G671" i="1" s="1"/>
  <c r="C672" i="1"/>
  <c r="E672" i="1" s="1"/>
  <c r="D672" i="1"/>
  <c r="G672" i="1"/>
  <c r="C673" i="1"/>
  <c r="E673" i="1" s="1"/>
  <c r="D673" i="1"/>
  <c r="G673" i="1" s="1"/>
  <c r="C674" i="1"/>
  <c r="E674" i="1" s="1"/>
  <c r="D674" i="1"/>
  <c r="G674" i="1" s="1"/>
  <c r="C675" i="1"/>
  <c r="E675" i="1" s="1"/>
  <c r="D675" i="1"/>
  <c r="G675" i="1" s="1"/>
  <c r="C676" i="1"/>
  <c r="E676" i="1" s="1"/>
  <c r="D676" i="1"/>
  <c r="G676" i="1" s="1"/>
  <c r="C677" i="1"/>
  <c r="E677" i="1" s="1"/>
  <c r="D677" i="1"/>
  <c r="G677" i="1" s="1"/>
  <c r="C678" i="1"/>
  <c r="E678" i="1" s="1"/>
  <c r="D678" i="1"/>
  <c r="G678" i="1" s="1"/>
  <c r="C679" i="1"/>
  <c r="E679" i="1" s="1"/>
  <c r="D679" i="1"/>
  <c r="G679" i="1" s="1"/>
  <c r="C680" i="1"/>
  <c r="E680" i="1" s="1"/>
  <c r="D680" i="1"/>
  <c r="G680" i="1" s="1"/>
  <c r="C681" i="1"/>
  <c r="E681" i="1" s="1"/>
  <c r="D681" i="1"/>
  <c r="G681" i="1" s="1"/>
  <c r="C682" i="1"/>
  <c r="E682" i="1" s="1"/>
  <c r="D682" i="1"/>
  <c r="G682" i="1" s="1"/>
  <c r="C683" i="1"/>
  <c r="E683" i="1" s="1"/>
  <c r="D683" i="1"/>
  <c r="G683" i="1"/>
  <c r="C684" i="1"/>
  <c r="E684" i="1" s="1"/>
  <c r="D684" i="1"/>
  <c r="G684" i="1" s="1"/>
  <c r="C685" i="1"/>
  <c r="E685" i="1" s="1"/>
  <c r="D685" i="1"/>
  <c r="G685" i="1" s="1"/>
  <c r="C686" i="1"/>
  <c r="E686" i="1" s="1"/>
  <c r="D686" i="1"/>
  <c r="G686" i="1" s="1"/>
  <c r="C687" i="1"/>
  <c r="E687" i="1" s="1"/>
  <c r="D687" i="1"/>
  <c r="G687" i="1" s="1"/>
  <c r="C688" i="1"/>
  <c r="E688" i="1" s="1"/>
  <c r="D688" i="1"/>
  <c r="G688" i="1" s="1"/>
  <c r="C689" i="1"/>
  <c r="E689" i="1" s="1"/>
  <c r="D689" i="1"/>
  <c r="G689" i="1" s="1"/>
  <c r="C690" i="1"/>
  <c r="E690" i="1" s="1"/>
  <c r="D690" i="1"/>
  <c r="G690" i="1" s="1"/>
  <c r="C691" i="1"/>
  <c r="E691" i="1" s="1"/>
  <c r="D691" i="1"/>
  <c r="G691" i="1"/>
  <c r="C692" i="1"/>
  <c r="E692" i="1" s="1"/>
  <c r="D692" i="1"/>
  <c r="G692" i="1" s="1"/>
  <c r="C693" i="1"/>
  <c r="E693" i="1" s="1"/>
  <c r="D693" i="1"/>
  <c r="G693" i="1" s="1"/>
  <c r="C694" i="1"/>
  <c r="E694" i="1" s="1"/>
  <c r="D694" i="1"/>
  <c r="G694" i="1" s="1"/>
  <c r="C695" i="1"/>
  <c r="E695" i="1" s="1"/>
  <c r="D695" i="1"/>
  <c r="G695" i="1" s="1"/>
  <c r="H695" i="1" s="1"/>
  <c r="C696" i="1"/>
  <c r="E696" i="1" s="1"/>
  <c r="D696" i="1"/>
  <c r="G696" i="1" s="1"/>
  <c r="H696" i="1" s="1"/>
  <c r="C697" i="1"/>
  <c r="E697" i="1" s="1"/>
  <c r="D697" i="1"/>
  <c r="G697" i="1" s="1"/>
  <c r="F697" i="1" s="1"/>
  <c r="I697" i="1" s="1"/>
  <c r="C698" i="1"/>
  <c r="E698" i="1" s="1"/>
  <c r="D698" i="1"/>
  <c r="G698" i="1"/>
  <c r="H698" i="1" s="1"/>
  <c r="C699" i="1"/>
  <c r="E699" i="1" s="1"/>
  <c r="D699" i="1"/>
  <c r="G699" i="1" s="1"/>
  <c r="C700" i="1"/>
  <c r="E700" i="1" s="1"/>
  <c r="D700" i="1"/>
  <c r="G700" i="1" s="1"/>
  <c r="H700" i="1" s="1"/>
  <c r="C701" i="1"/>
  <c r="E701" i="1" s="1"/>
  <c r="D701" i="1"/>
  <c r="G701" i="1" s="1"/>
  <c r="H701" i="1" s="1"/>
  <c r="C702" i="1"/>
  <c r="E702" i="1" s="1"/>
  <c r="D702" i="1"/>
  <c r="G702" i="1" s="1"/>
  <c r="C703" i="1"/>
  <c r="E703" i="1" s="1"/>
  <c r="D703" i="1"/>
  <c r="G703" i="1" s="1"/>
  <c r="H703" i="1" s="1"/>
  <c r="C704" i="1"/>
  <c r="E704" i="1" s="1"/>
  <c r="D704" i="1"/>
  <c r="G704" i="1" s="1"/>
  <c r="H704" i="1" s="1"/>
  <c r="C705" i="1"/>
  <c r="E705" i="1" s="1"/>
  <c r="D705" i="1"/>
  <c r="G705" i="1" s="1"/>
  <c r="C706" i="1"/>
  <c r="E706" i="1" s="1"/>
  <c r="D706" i="1"/>
  <c r="G706" i="1" s="1"/>
  <c r="H706" i="1" s="1"/>
  <c r="C707" i="1"/>
  <c r="E707" i="1" s="1"/>
  <c r="D707" i="1"/>
  <c r="G707" i="1" s="1"/>
  <c r="C708" i="1"/>
  <c r="E708" i="1" s="1"/>
  <c r="D708" i="1"/>
  <c r="G708" i="1" s="1"/>
  <c r="H708" i="1" s="1"/>
  <c r="C709" i="1"/>
  <c r="E709" i="1" s="1"/>
  <c r="D709" i="1"/>
  <c r="G709" i="1"/>
  <c r="H709" i="1" s="1"/>
  <c r="C710" i="1"/>
  <c r="E710" i="1" s="1"/>
  <c r="D710" i="1"/>
  <c r="G710" i="1" s="1"/>
  <c r="C711" i="1"/>
  <c r="E711" i="1" s="1"/>
  <c r="D711" i="1"/>
  <c r="G711" i="1" s="1"/>
  <c r="H711" i="1" s="1"/>
  <c r="C712" i="1"/>
  <c r="E712" i="1" s="1"/>
  <c r="D712" i="1"/>
  <c r="G712" i="1" s="1"/>
  <c r="H712" i="1" s="1"/>
  <c r="C713" i="1"/>
  <c r="E713" i="1" s="1"/>
  <c r="D713" i="1"/>
  <c r="G713" i="1" s="1"/>
  <c r="C714" i="1"/>
  <c r="E714" i="1" s="1"/>
  <c r="D714" i="1"/>
  <c r="G714" i="1" s="1"/>
  <c r="H714" i="1" s="1"/>
  <c r="C715" i="1"/>
  <c r="E715" i="1" s="1"/>
  <c r="D715" i="1"/>
  <c r="G715" i="1" s="1"/>
  <c r="C716" i="1"/>
  <c r="E716" i="1" s="1"/>
  <c r="D716" i="1"/>
  <c r="G716" i="1"/>
  <c r="H716" i="1" s="1"/>
  <c r="C717" i="1"/>
  <c r="E717" i="1" s="1"/>
  <c r="D717" i="1"/>
  <c r="G717" i="1" s="1"/>
  <c r="H717" i="1" s="1"/>
  <c r="C718" i="1"/>
  <c r="E718" i="1" s="1"/>
  <c r="D718" i="1"/>
  <c r="G718" i="1"/>
  <c r="C719" i="1"/>
  <c r="E719" i="1" s="1"/>
  <c r="D719" i="1"/>
  <c r="G719" i="1" s="1"/>
  <c r="H719" i="1" s="1"/>
  <c r="C720" i="1"/>
  <c r="E720" i="1" s="1"/>
  <c r="D720" i="1"/>
  <c r="G720" i="1"/>
  <c r="H720" i="1" s="1"/>
  <c r="C721" i="1"/>
  <c r="E721" i="1" s="1"/>
  <c r="D721" i="1"/>
  <c r="G721" i="1" s="1"/>
  <c r="C722" i="1"/>
  <c r="E722" i="1" s="1"/>
  <c r="D722" i="1"/>
  <c r="G722" i="1" s="1"/>
  <c r="H722" i="1" s="1"/>
  <c r="C723" i="1"/>
  <c r="E723" i="1" s="1"/>
  <c r="D723" i="1"/>
  <c r="G723" i="1" s="1"/>
  <c r="F723" i="1" s="1"/>
  <c r="I723" i="1" s="1"/>
  <c r="C724" i="1"/>
  <c r="E724" i="1" s="1"/>
  <c r="D724" i="1"/>
  <c r="G724" i="1" s="1"/>
  <c r="H724" i="1" s="1"/>
  <c r="C725" i="1"/>
  <c r="E725" i="1" s="1"/>
  <c r="D725" i="1"/>
  <c r="G725" i="1"/>
  <c r="C726" i="1"/>
  <c r="E726" i="1" s="1"/>
  <c r="D726" i="1"/>
  <c r="G726" i="1" s="1"/>
  <c r="H726" i="1" s="1"/>
  <c r="C727" i="1"/>
  <c r="E727" i="1" s="1"/>
  <c r="D727" i="1"/>
  <c r="G727" i="1" s="1"/>
  <c r="C728" i="1"/>
  <c r="E728" i="1" s="1"/>
  <c r="D728" i="1"/>
  <c r="G728" i="1" s="1"/>
  <c r="C729" i="1"/>
  <c r="E729" i="1" s="1"/>
  <c r="D729" i="1"/>
  <c r="G729" i="1" s="1"/>
  <c r="F729" i="1" s="1"/>
  <c r="I729" i="1" s="1"/>
  <c r="C730" i="1"/>
  <c r="E730" i="1" s="1"/>
  <c r="D730" i="1"/>
  <c r="G730" i="1" s="1"/>
  <c r="H730" i="1" s="1"/>
  <c r="C731" i="1"/>
  <c r="E731" i="1" s="1"/>
  <c r="D731" i="1"/>
  <c r="G731" i="1" s="1"/>
  <c r="C732" i="1"/>
  <c r="E732" i="1" s="1"/>
  <c r="D732" i="1"/>
  <c r="G732" i="1" s="1"/>
  <c r="C733" i="1"/>
  <c r="E733" i="1" s="1"/>
  <c r="D733" i="1"/>
  <c r="G733" i="1" s="1"/>
  <c r="C734" i="1"/>
  <c r="E734" i="1" s="1"/>
  <c r="D734" i="1"/>
  <c r="G734" i="1" s="1"/>
  <c r="H734" i="1" s="1"/>
  <c r="C735" i="1"/>
  <c r="E735" i="1" s="1"/>
  <c r="D735" i="1"/>
  <c r="G735" i="1" s="1"/>
  <c r="C736" i="1"/>
  <c r="E736" i="1" s="1"/>
  <c r="D736" i="1"/>
  <c r="G736" i="1" s="1"/>
  <c r="H736" i="1" s="1"/>
  <c r="C737" i="1"/>
  <c r="E737" i="1" s="1"/>
  <c r="D737" i="1"/>
  <c r="G737" i="1" s="1"/>
  <c r="F737" i="1" s="1"/>
  <c r="I737" i="1" s="1"/>
  <c r="C738" i="1"/>
  <c r="E738" i="1" s="1"/>
  <c r="D738" i="1"/>
  <c r="G738" i="1" s="1"/>
  <c r="H738" i="1" s="1"/>
  <c r="C739" i="1"/>
  <c r="E739" i="1" s="1"/>
  <c r="D739" i="1"/>
  <c r="G739" i="1" s="1"/>
  <c r="C740" i="1"/>
  <c r="E740" i="1" s="1"/>
  <c r="D740" i="1"/>
  <c r="G740" i="1" s="1"/>
  <c r="C741" i="1"/>
  <c r="E741" i="1" s="1"/>
  <c r="D741" i="1"/>
  <c r="G741" i="1" s="1"/>
  <c r="H741" i="1" s="1"/>
  <c r="C742" i="1"/>
  <c r="E742" i="1" s="1"/>
  <c r="D742" i="1"/>
  <c r="G742" i="1" s="1"/>
  <c r="C743" i="1"/>
  <c r="E743" i="1" s="1"/>
  <c r="D743" i="1"/>
  <c r="G743" i="1"/>
  <c r="H743" i="1" s="1"/>
  <c r="C744" i="1"/>
  <c r="E744" i="1" s="1"/>
  <c r="D744" i="1"/>
  <c r="G744" i="1"/>
  <c r="H744" i="1" s="1"/>
  <c r="C745" i="1"/>
  <c r="E745" i="1" s="1"/>
  <c r="D745" i="1"/>
  <c r="G745" i="1" s="1"/>
  <c r="H745" i="1" s="1"/>
  <c r="C746" i="1"/>
  <c r="E746" i="1" s="1"/>
  <c r="D746" i="1"/>
  <c r="G746" i="1" s="1"/>
  <c r="C747" i="1"/>
  <c r="E747" i="1" s="1"/>
  <c r="D747" i="1"/>
  <c r="G747" i="1"/>
  <c r="H747" i="1" s="1"/>
  <c r="C748" i="1"/>
  <c r="E748" i="1" s="1"/>
  <c r="D748" i="1"/>
  <c r="G748" i="1" s="1"/>
  <c r="C749" i="1"/>
  <c r="E749" i="1" s="1"/>
  <c r="D749" i="1"/>
  <c r="G749" i="1" s="1"/>
  <c r="H749" i="1" s="1"/>
  <c r="C750" i="1"/>
  <c r="E750" i="1" s="1"/>
  <c r="D750" i="1"/>
  <c r="G750" i="1"/>
  <c r="C751" i="1"/>
  <c r="E751" i="1" s="1"/>
  <c r="D751" i="1"/>
  <c r="G751" i="1" s="1"/>
  <c r="H751" i="1" s="1"/>
  <c r="C752" i="1"/>
  <c r="E752" i="1" s="1"/>
  <c r="D752" i="1"/>
  <c r="G752" i="1" s="1"/>
  <c r="C753" i="1"/>
  <c r="E753" i="1" s="1"/>
  <c r="D753" i="1"/>
  <c r="G753" i="1" s="1"/>
  <c r="H753" i="1" s="1"/>
  <c r="C754" i="1"/>
  <c r="E754" i="1" s="1"/>
  <c r="D754" i="1"/>
  <c r="G754" i="1" s="1"/>
  <c r="C755" i="1"/>
  <c r="E755" i="1" s="1"/>
  <c r="D755" i="1"/>
  <c r="G755" i="1" s="1"/>
  <c r="H755" i="1" s="1"/>
  <c r="C756" i="1"/>
  <c r="E756" i="1" s="1"/>
  <c r="D756" i="1"/>
  <c r="G756" i="1" s="1"/>
  <c r="C757" i="1"/>
  <c r="E757" i="1" s="1"/>
  <c r="D757" i="1"/>
  <c r="G757" i="1" s="1"/>
  <c r="H757" i="1" s="1"/>
  <c r="C758" i="1"/>
  <c r="E758" i="1" s="1"/>
  <c r="D758" i="1"/>
  <c r="G758" i="1" s="1"/>
  <c r="C759" i="1"/>
  <c r="E759" i="1" s="1"/>
  <c r="D759" i="1"/>
  <c r="G759" i="1" s="1"/>
  <c r="H759" i="1" s="1"/>
  <c r="C760" i="1"/>
  <c r="E760" i="1" s="1"/>
  <c r="D760" i="1"/>
  <c r="G760" i="1"/>
  <c r="C761" i="1"/>
  <c r="E761" i="1" s="1"/>
  <c r="D761" i="1"/>
  <c r="G761" i="1" s="1"/>
  <c r="H761" i="1" s="1"/>
  <c r="C762" i="1"/>
  <c r="E762" i="1" s="1"/>
  <c r="D762" i="1"/>
  <c r="G762" i="1" s="1"/>
  <c r="C763" i="1"/>
  <c r="E763" i="1" s="1"/>
  <c r="D763" i="1"/>
  <c r="G763" i="1" s="1"/>
  <c r="H763" i="1" s="1"/>
  <c r="C764" i="1"/>
  <c r="E764" i="1" s="1"/>
  <c r="D764" i="1"/>
  <c r="G764" i="1" s="1"/>
  <c r="C765" i="1"/>
  <c r="E765" i="1" s="1"/>
  <c r="D765" i="1"/>
  <c r="G765" i="1" s="1"/>
  <c r="H765" i="1" s="1"/>
  <c r="C766" i="1"/>
  <c r="E766" i="1" s="1"/>
  <c r="D766" i="1"/>
  <c r="G766" i="1" s="1"/>
  <c r="C767" i="1"/>
  <c r="E767" i="1" s="1"/>
  <c r="D767" i="1"/>
  <c r="G767" i="1" s="1"/>
  <c r="H767" i="1" s="1"/>
  <c r="C768" i="1"/>
  <c r="E768" i="1" s="1"/>
  <c r="D768" i="1"/>
  <c r="G768" i="1" s="1"/>
  <c r="C769" i="1"/>
  <c r="E769" i="1" s="1"/>
  <c r="D769" i="1"/>
  <c r="G769" i="1"/>
  <c r="H769" i="1" s="1"/>
  <c r="C770" i="1"/>
  <c r="E770" i="1" s="1"/>
  <c r="D770" i="1"/>
  <c r="G770" i="1"/>
  <c r="C771" i="1"/>
  <c r="E771" i="1" s="1"/>
  <c r="D771" i="1"/>
  <c r="G771" i="1" s="1"/>
  <c r="C772" i="1"/>
  <c r="E772" i="1" s="1"/>
  <c r="D772" i="1"/>
  <c r="G772" i="1"/>
  <c r="C773" i="1"/>
  <c r="E773" i="1" s="1"/>
  <c r="D773" i="1"/>
  <c r="G773" i="1" s="1"/>
  <c r="C774" i="1"/>
  <c r="E774" i="1" s="1"/>
  <c r="D774" i="1"/>
  <c r="G774" i="1" s="1"/>
  <c r="C775" i="1"/>
  <c r="E775" i="1" s="1"/>
  <c r="D775" i="1"/>
  <c r="G775" i="1" s="1"/>
  <c r="C776" i="1"/>
  <c r="E776" i="1" s="1"/>
  <c r="D776" i="1"/>
  <c r="G776" i="1" s="1"/>
  <c r="C777" i="1"/>
  <c r="E777" i="1" s="1"/>
  <c r="D777" i="1"/>
  <c r="G777" i="1"/>
  <c r="C778" i="1"/>
  <c r="E778" i="1" s="1"/>
  <c r="D778" i="1"/>
  <c r="G778" i="1" s="1"/>
  <c r="C779" i="1"/>
  <c r="E779" i="1" s="1"/>
  <c r="D779" i="1"/>
  <c r="G779" i="1"/>
  <c r="C780" i="1"/>
  <c r="E780" i="1" s="1"/>
  <c r="D780" i="1"/>
  <c r="G780" i="1" s="1"/>
  <c r="C781" i="1"/>
  <c r="E781" i="1" s="1"/>
  <c r="D781" i="1"/>
  <c r="G781" i="1" s="1"/>
  <c r="C782" i="1"/>
  <c r="E782" i="1" s="1"/>
  <c r="D782" i="1"/>
  <c r="G782" i="1" s="1"/>
  <c r="C783" i="1"/>
  <c r="E783" i="1" s="1"/>
  <c r="D783" i="1"/>
  <c r="G783" i="1" s="1"/>
  <c r="H783" i="1" s="1"/>
  <c r="C784" i="1"/>
  <c r="E784" i="1" s="1"/>
  <c r="D784" i="1"/>
  <c r="G784" i="1" s="1"/>
  <c r="C785" i="1"/>
  <c r="E785" i="1" s="1"/>
  <c r="D785" i="1"/>
  <c r="G785" i="1" s="1"/>
  <c r="F785" i="1" s="1"/>
  <c r="I785" i="1" s="1"/>
  <c r="C786" i="1"/>
  <c r="E786" i="1" s="1"/>
  <c r="D786" i="1"/>
  <c r="G786" i="1"/>
  <c r="C787" i="1"/>
  <c r="E787" i="1" s="1"/>
  <c r="D787" i="1"/>
  <c r="G787" i="1" s="1"/>
  <c r="H787" i="1" s="1"/>
  <c r="C788" i="1"/>
  <c r="E788" i="1" s="1"/>
  <c r="D788" i="1"/>
  <c r="G788" i="1" s="1"/>
  <c r="H788" i="1" s="1"/>
  <c r="C789" i="1"/>
  <c r="E789" i="1" s="1"/>
  <c r="D789" i="1"/>
  <c r="G789" i="1" s="1"/>
  <c r="C790" i="1"/>
  <c r="E790" i="1" s="1"/>
  <c r="D790" i="1"/>
  <c r="G790" i="1" s="1"/>
  <c r="H790" i="1" s="1"/>
  <c r="C791" i="1"/>
  <c r="E791" i="1" s="1"/>
  <c r="D791" i="1"/>
  <c r="G791" i="1" s="1"/>
  <c r="H791" i="1" s="1"/>
  <c r="C792" i="1"/>
  <c r="E792" i="1" s="1"/>
  <c r="D792" i="1"/>
  <c r="G792" i="1" s="1"/>
  <c r="C793" i="1"/>
  <c r="E793" i="1" s="1"/>
  <c r="D793" i="1"/>
  <c r="G793" i="1" s="1"/>
  <c r="C794" i="1"/>
  <c r="E794" i="1" s="1"/>
  <c r="D794" i="1"/>
  <c r="G794" i="1" s="1"/>
  <c r="C795" i="1"/>
  <c r="E795" i="1" s="1"/>
  <c r="D795" i="1"/>
  <c r="G795" i="1" s="1"/>
  <c r="H795" i="1" s="1"/>
  <c r="C796" i="1"/>
  <c r="E796" i="1" s="1"/>
  <c r="D796" i="1"/>
  <c r="G796" i="1" s="1"/>
  <c r="H796" i="1" s="1"/>
  <c r="C797" i="1"/>
  <c r="E797" i="1" s="1"/>
  <c r="D797" i="1"/>
  <c r="G797" i="1" s="1"/>
  <c r="C798" i="1"/>
  <c r="E798" i="1" s="1"/>
  <c r="D798" i="1"/>
  <c r="G798" i="1" s="1"/>
  <c r="H798" i="1" s="1"/>
  <c r="C799" i="1"/>
  <c r="E799" i="1" s="1"/>
  <c r="D799" i="1"/>
  <c r="G799" i="1" s="1"/>
  <c r="H799" i="1" s="1"/>
  <c r="C800" i="1"/>
  <c r="E800" i="1" s="1"/>
  <c r="D800" i="1"/>
  <c r="G800" i="1" s="1"/>
  <c r="C801" i="1"/>
  <c r="E801" i="1" s="1"/>
  <c r="D801" i="1"/>
  <c r="G801" i="1" s="1"/>
  <c r="C802" i="1"/>
  <c r="E802" i="1" s="1"/>
  <c r="D802" i="1"/>
  <c r="G802" i="1" s="1"/>
  <c r="F802" i="1" s="1"/>
  <c r="I802" i="1" s="1"/>
  <c r="C803" i="1"/>
  <c r="E803" i="1" s="1"/>
  <c r="D803" i="1"/>
  <c r="G803" i="1" s="1"/>
  <c r="H803" i="1" s="1"/>
  <c r="C804" i="1"/>
  <c r="E804" i="1" s="1"/>
  <c r="D804" i="1"/>
  <c r="G804" i="1" s="1"/>
  <c r="H804" i="1" s="1"/>
  <c r="C805" i="1"/>
  <c r="E805" i="1" s="1"/>
  <c r="D805" i="1"/>
  <c r="G805" i="1" s="1"/>
  <c r="C806" i="1"/>
  <c r="E806" i="1" s="1"/>
  <c r="D806" i="1"/>
  <c r="G806" i="1" s="1"/>
  <c r="H806" i="1" s="1"/>
  <c r="C807" i="1"/>
  <c r="E807" i="1" s="1"/>
  <c r="D807" i="1"/>
  <c r="G807" i="1" s="1"/>
  <c r="H807" i="1" s="1"/>
  <c r="C808" i="1"/>
  <c r="E808" i="1" s="1"/>
  <c r="D808" i="1"/>
  <c r="G808" i="1" s="1"/>
  <c r="H808" i="1" s="1"/>
  <c r="C809" i="1"/>
  <c r="E809" i="1" s="1"/>
  <c r="D809" i="1"/>
  <c r="G809" i="1" s="1"/>
  <c r="C810" i="1"/>
  <c r="E810" i="1" s="1"/>
  <c r="D810" i="1"/>
  <c r="G810" i="1" s="1"/>
  <c r="C811" i="1"/>
  <c r="E811" i="1" s="1"/>
  <c r="D811" i="1"/>
  <c r="G811" i="1" s="1"/>
  <c r="H811" i="1" s="1"/>
  <c r="C812" i="1"/>
  <c r="E812" i="1" s="1"/>
  <c r="D812" i="1"/>
  <c r="G812" i="1" s="1"/>
  <c r="H812" i="1" s="1"/>
  <c r="C813" i="1"/>
  <c r="E813" i="1" s="1"/>
  <c r="D813" i="1"/>
  <c r="G813" i="1"/>
  <c r="C814" i="1"/>
  <c r="E814" i="1" s="1"/>
  <c r="D814" i="1"/>
  <c r="G814" i="1" s="1"/>
  <c r="H814" i="1" s="1"/>
  <c r="C815" i="1"/>
  <c r="E815" i="1" s="1"/>
  <c r="D815" i="1"/>
  <c r="G815" i="1" s="1"/>
  <c r="H815" i="1" s="1"/>
  <c r="C816" i="1"/>
  <c r="E816" i="1" s="1"/>
  <c r="D816" i="1"/>
  <c r="G816" i="1" s="1"/>
  <c r="C817" i="1"/>
  <c r="E817" i="1" s="1"/>
  <c r="D817" i="1"/>
  <c r="G817" i="1" s="1"/>
  <c r="F817" i="1" s="1"/>
  <c r="I817" i="1" s="1"/>
  <c r="C818" i="1"/>
  <c r="E818" i="1" s="1"/>
  <c r="D818" i="1"/>
  <c r="G818" i="1"/>
  <c r="C819" i="1"/>
  <c r="E819" i="1" s="1"/>
  <c r="D819" i="1"/>
  <c r="G819" i="1" s="1"/>
  <c r="H819" i="1" s="1"/>
  <c r="C820" i="1"/>
  <c r="E820" i="1" s="1"/>
  <c r="D820" i="1"/>
  <c r="G820" i="1" s="1"/>
  <c r="H820" i="1" s="1"/>
  <c r="C821" i="1"/>
  <c r="E821" i="1" s="1"/>
  <c r="D821" i="1"/>
  <c r="G821" i="1" s="1"/>
  <c r="C822" i="1"/>
  <c r="E822" i="1" s="1"/>
  <c r="D822" i="1"/>
  <c r="G822" i="1" s="1"/>
  <c r="H822" i="1" s="1"/>
  <c r="C823" i="1"/>
  <c r="E823" i="1" s="1"/>
  <c r="D823" i="1"/>
  <c r="G823" i="1" s="1"/>
  <c r="H823" i="1" s="1"/>
  <c r="C824" i="1"/>
  <c r="E824" i="1" s="1"/>
  <c r="D824" i="1"/>
  <c r="G824" i="1" s="1"/>
  <c r="F824" i="1" s="1"/>
  <c r="I824" i="1" s="1"/>
  <c r="C825" i="1"/>
  <c r="E825" i="1" s="1"/>
  <c r="D825" i="1"/>
  <c r="G825" i="1" s="1"/>
  <c r="C826" i="1"/>
  <c r="E826" i="1" s="1"/>
  <c r="D826" i="1"/>
  <c r="G826" i="1" s="1"/>
  <c r="C827" i="1"/>
  <c r="E827" i="1" s="1"/>
  <c r="D827" i="1"/>
  <c r="G827" i="1" s="1"/>
  <c r="H827" i="1" s="1"/>
  <c r="C828" i="1"/>
  <c r="E828" i="1" s="1"/>
  <c r="D828" i="1"/>
  <c r="G828" i="1" s="1"/>
  <c r="H828" i="1" s="1"/>
  <c r="C829" i="1"/>
  <c r="E829" i="1" s="1"/>
  <c r="D829" i="1"/>
  <c r="G829" i="1"/>
  <c r="C830" i="1"/>
  <c r="E830" i="1" s="1"/>
  <c r="D830" i="1"/>
  <c r="G830" i="1" s="1"/>
  <c r="H830" i="1" s="1"/>
  <c r="C831" i="1"/>
  <c r="E831" i="1" s="1"/>
  <c r="D831" i="1"/>
  <c r="G831" i="1" s="1"/>
  <c r="H831" i="1" s="1"/>
  <c r="C832" i="1"/>
  <c r="E832" i="1" s="1"/>
  <c r="D832" i="1"/>
  <c r="G832" i="1" s="1"/>
  <c r="H832" i="1" s="1"/>
  <c r="C833" i="1"/>
  <c r="E833" i="1" s="1"/>
  <c r="D833" i="1"/>
  <c r="G833" i="1" s="1"/>
  <c r="F833" i="1" s="1"/>
  <c r="I833" i="1" s="1"/>
  <c r="C834" i="1"/>
  <c r="E834" i="1" s="1"/>
  <c r="D834" i="1"/>
  <c r="G834" i="1" s="1"/>
  <c r="C835" i="1"/>
  <c r="E835" i="1" s="1"/>
  <c r="D835" i="1"/>
  <c r="G835" i="1" s="1"/>
  <c r="H835" i="1" s="1"/>
  <c r="C836" i="1"/>
  <c r="E836" i="1" s="1"/>
  <c r="D836" i="1"/>
  <c r="G836" i="1" s="1"/>
  <c r="H836" i="1" s="1"/>
  <c r="C837" i="1"/>
  <c r="E837" i="1" s="1"/>
  <c r="D837" i="1"/>
  <c r="G837" i="1"/>
  <c r="C838" i="1"/>
  <c r="E838" i="1" s="1"/>
  <c r="D838" i="1"/>
  <c r="G838" i="1" s="1"/>
  <c r="H838" i="1" s="1"/>
  <c r="C839" i="1"/>
  <c r="E839" i="1" s="1"/>
  <c r="D839" i="1"/>
  <c r="G839" i="1" s="1"/>
  <c r="H839" i="1" s="1"/>
  <c r="C840" i="1"/>
  <c r="E840" i="1" s="1"/>
  <c r="D840" i="1"/>
  <c r="G840" i="1" s="1"/>
  <c r="F840" i="1" s="1"/>
  <c r="I840" i="1" s="1"/>
  <c r="C841" i="1"/>
  <c r="E841" i="1" s="1"/>
  <c r="D841" i="1"/>
  <c r="G841" i="1"/>
  <c r="H841" i="1" s="1"/>
  <c r="C842" i="1"/>
  <c r="E842" i="1" s="1"/>
  <c r="D842" i="1"/>
  <c r="G842" i="1" s="1"/>
  <c r="H842" i="1" s="1"/>
  <c r="C843" i="1"/>
  <c r="E843" i="1" s="1"/>
  <c r="D843" i="1"/>
  <c r="G843" i="1" s="1"/>
  <c r="C844" i="1"/>
  <c r="E844" i="1" s="1"/>
  <c r="D844" i="1"/>
  <c r="G844" i="1" s="1"/>
  <c r="C845" i="1"/>
  <c r="E845" i="1" s="1"/>
  <c r="D845" i="1"/>
  <c r="G845" i="1" s="1"/>
  <c r="C846" i="1"/>
  <c r="E846" i="1" s="1"/>
  <c r="D846" i="1"/>
  <c r="G846" i="1" s="1"/>
  <c r="H846" i="1" s="1"/>
  <c r="C847" i="1"/>
  <c r="E847" i="1" s="1"/>
  <c r="D847" i="1"/>
  <c r="G847" i="1"/>
  <c r="C848" i="1"/>
  <c r="E848" i="1" s="1"/>
  <c r="D848" i="1"/>
  <c r="G848" i="1"/>
  <c r="C849" i="1"/>
  <c r="E849" i="1" s="1"/>
  <c r="D849" i="1"/>
  <c r="G849" i="1" s="1"/>
  <c r="H849" i="1" s="1"/>
  <c r="C850" i="1"/>
  <c r="E850" i="1" s="1"/>
  <c r="D850" i="1"/>
  <c r="G850" i="1"/>
  <c r="H850" i="1" s="1"/>
  <c r="C851" i="1"/>
  <c r="E851" i="1" s="1"/>
  <c r="D851" i="1"/>
  <c r="G851" i="1"/>
  <c r="C852" i="1"/>
  <c r="E852" i="1" s="1"/>
  <c r="D852" i="1"/>
  <c r="G852" i="1"/>
  <c r="C853" i="1"/>
  <c r="E853" i="1" s="1"/>
  <c r="D853" i="1"/>
  <c r="G853" i="1" s="1"/>
  <c r="C854" i="1"/>
  <c r="E854" i="1" s="1"/>
  <c r="D854" i="1"/>
  <c r="G854" i="1"/>
  <c r="H854" i="1" s="1"/>
  <c r="C855" i="1"/>
  <c r="E855" i="1" s="1"/>
  <c r="D855" i="1"/>
  <c r="G855" i="1" s="1"/>
  <c r="C856" i="1"/>
  <c r="E856" i="1" s="1"/>
  <c r="D856" i="1"/>
  <c r="G856" i="1"/>
  <c r="F856" i="1" s="1"/>
  <c r="I856" i="1" s="1"/>
  <c r="C857" i="1"/>
  <c r="E857" i="1" s="1"/>
  <c r="D857" i="1"/>
  <c r="G857" i="1" s="1"/>
  <c r="C858" i="1"/>
  <c r="E858" i="1" s="1"/>
  <c r="D858" i="1"/>
  <c r="G858" i="1" s="1"/>
  <c r="C859" i="1"/>
  <c r="E859" i="1" s="1"/>
  <c r="D859" i="1"/>
  <c r="G859" i="1" s="1"/>
  <c r="C860" i="1"/>
  <c r="E860" i="1" s="1"/>
  <c r="D860" i="1"/>
  <c r="G860" i="1"/>
  <c r="H860" i="1" s="1"/>
  <c r="C861" i="1"/>
  <c r="E861" i="1" s="1"/>
  <c r="D861" i="1"/>
  <c r="G861" i="1" s="1"/>
  <c r="C862" i="1"/>
  <c r="E862" i="1" s="1"/>
  <c r="D862" i="1"/>
  <c r="G862" i="1" s="1"/>
  <c r="H862" i="1" s="1"/>
  <c r="C863" i="1"/>
  <c r="E863" i="1" s="1"/>
  <c r="D863" i="1"/>
  <c r="G863" i="1" s="1"/>
  <c r="F863" i="1" s="1"/>
  <c r="I863" i="1" s="1"/>
  <c r="C864" i="1"/>
  <c r="E864" i="1" s="1"/>
  <c r="D864" i="1"/>
  <c r="G864" i="1" s="1"/>
  <c r="C865" i="1"/>
  <c r="E865" i="1" s="1"/>
  <c r="D865" i="1"/>
  <c r="G865" i="1" s="1"/>
  <c r="C866" i="1"/>
  <c r="E866" i="1" s="1"/>
  <c r="D866" i="1"/>
  <c r="G866" i="1" s="1"/>
  <c r="C867" i="1"/>
  <c r="E867" i="1" s="1"/>
  <c r="D867" i="1"/>
  <c r="G867" i="1" s="1"/>
  <c r="C868" i="1"/>
  <c r="E868" i="1" s="1"/>
  <c r="D868" i="1"/>
  <c r="G868" i="1" s="1"/>
  <c r="C869" i="1"/>
  <c r="E869" i="1" s="1"/>
  <c r="D869" i="1"/>
  <c r="G869" i="1" s="1"/>
  <c r="C870" i="1"/>
  <c r="E870" i="1" s="1"/>
  <c r="D870" i="1"/>
  <c r="G870" i="1" s="1"/>
  <c r="H870" i="1" s="1"/>
  <c r="C871" i="1"/>
  <c r="E871" i="1" s="1"/>
  <c r="D871" i="1"/>
  <c r="G871" i="1" s="1"/>
  <c r="C872" i="1"/>
  <c r="E872" i="1" s="1"/>
  <c r="D872" i="1"/>
  <c r="G872" i="1" s="1"/>
  <c r="F872" i="1" s="1"/>
  <c r="I872" i="1" s="1"/>
  <c r="C873" i="1"/>
  <c r="E873" i="1" s="1"/>
  <c r="D873" i="1"/>
  <c r="G873" i="1" s="1"/>
  <c r="H873" i="1" s="1"/>
  <c r="C874" i="1"/>
  <c r="E874" i="1" s="1"/>
  <c r="D874" i="1"/>
  <c r="G874" i="1" s="1"/>
  <c r="H874" i="1" s="1"/>
  <c r="C875" i="1"/>
  <c r="E875" i="1" s="1"/>
  <c r="D875" i="1"/>
  <c r="G875" i="1" s="1"/>
  <c r="C876" i="1"/>
  <c r="E876" i="1" s="1"/>
  <c r="D876" i="1"/>
  <c r="G876" i="1" s="1"/>
  <c r="F876" i="1" s="1"/>
  <c r="C877" i="1"/>
  <c r="E877" i="1" s="1"/>
  <c r="D877" i="1"/>
  <c r="G877" i="1" s="1"/>
  <c r="F877" i="1" s="1"/>
  <c r="I877" i="1" s="1"/>
  <c r="C878" i="1"/>
  <c r="E878" i="1" s="1"/>
  <c r="D878" i="1"/>
  <c r="G878" i="1" s="1"/>
  <c r="H878" i="1" s="1"/>
  <c r="C879" i="1"/>
  <c r="E879" i="1" s="1"/>
  <c r="D879" i="1"/>
  <c r="G879" i="1"/>
  <c r="F879" i="1" s="1"/>
  <c r="I879" i="1" s="1"/>
  <c r="C880" i="1"/>
  <c r="E880" i="1" s="1"/>
  <c r="D880" i="1"/>
  <c r="G880" i="1" s="1"/>
  <c r="C881" i="1"/>
  <c r="E881" i="1" s="1"/>
  <c r="D881" i="1"/>
  <c r="G881" i="1"/>
  <c r="H881" i="1" s="1"/>
  <c r="C882" i="1"/>
  <c r="E882" i="1" s="1"/>
  <c r="D882" i="1"/>
  <c r="G882" i="1"/>
  <c r="H882" i="1" s="1"/>
  <c r="C883" i="1"/>
  <c r="E883" i="1" s="1"/>
  <c r="D883" i="1"/>
  <c r="G883" i="1"/>
  <c r="C884" i="1"/>
  <c r="E884" i="1" s="1"/>
  <c r="D884" i="1"/>
  <c r="G884" i="1" s="1"/>
  <c r="C885" i="1"/>
  <c r="E885" i="1" s="1"/>
  <c r="D885" i="1"/>
  <c r="G885" i="1" s="1"/>
  <c r="C886" i="1"/>
  <c r="E886" i="1" s="1"/>
  <c r="D886" i="1"/>
  <c r="G886" i="1" s="1"/>
  <c r="H886" i="1" s="1"/>
  <c r="C887" i="1"/>
  <c r="E887" i="1" s="1"/>
  <c r="D887" i="1"/>
  <c r="G887" i="1" s="1"/>
  <c r="C888" i="1"/>
  <c r="E888" i="1" s="1"/>
  <c r="D888" i="1"/>
  <c r="G888" i="1" s="1"/>
  <c r="C889" i="1"/>
  <c r="E889" i="1" s="1"/>
  <c r="D889" i="1"/>
  <c r="G889" i="1" s="1"/>
  <c r="C890" i="1"/>
  <c r="E890" i="1" s="1"/>
  <c r="D890" i="1"/>
  <c r="G890" i="1" s="1"/>
  <c r="H890" i="1" s="1"/>
  <c r="C891" i="1"/>
  <c r="E891" i="1" s="1"/>
  <c r="D891" i="1"/>
  <c r="G891" i="1" s="1"/>
  <c r="C892" i="1"/>
  <c r="E892" i="1" s="1"/>
  <c r="D892" i="1"/>
  <c r="G892" i="1" s="1"/>
  <c r="C893" i="1"/>
  <c r="E893" i="1" s="1"/>
  <c r="D893" i="1"/>
  <c r="G893" i="1" s="1"/>
  <c r="C894" i="1"/>
  <c r="E894" i="1" s="1"/>
  <c r="D894" i="1"/>
  <c r="G894" i="1" s="1"/>
  <c r="H894" i="1" s="1"/>
  <c r="C895" i="1"/>
  <c r="E895" i="1" s="1"/>
  <c r="D895" i="1"/>
  <c r="G895" i="1" s="1"/>
  <c r="F895" i="1" s="1"/>
  <c r="I895" i="1" s="1"/>
  <c r="C896" i="1"/>
  <c r="E896" i="1" s="1"/>
  <c r="D896" i="1"/>
  <c r="G896" i="1" s="1"/>
  <c r="C897" i="1"/>
  <c r="E897" i="1" s="1"/>
  <c r="D897" i="1"/>
  <c r="G897" i="1"/>
  <c r="C898" i="1"/>
  <c r="E898" i="1" s="1"/>
  <c r="D898" i="1"/>
  <c r="G898" i="1" s="1"/>
  <c r="H898" i="1" s="1"/>
  <c r="C899" i="1"/>
  <c r="E899" i="1" s="1"/>
  <c r="D899" i="1"/>
  <c r="G899" i="1"/>
  <c r="C900" i="1"/>
  <c r="E900" i="1" s="1"/>
  <c r="D900" i="1"/>
  <c r="G900" i="1" s="1"/>
  <c r="C901" i="1"/>
  <c r="E901" i="1" s="1"/>
  <c r="D901" i="1"/>
  <c r="G901" i="1"/>
  <c r="F901" i="1" s="1"/>
  <c r="I901" i="1" s="1"/>
  <c r="C902" i="1"/>
  <c r="E902" i="1" s="1"/>
  <c r="D902" i="1"/>
  <c r="G902" i="1" s="1"/>
  <c r="H902" i="1" s="1"/>
  <c r="C903" i="1"/>
  <c r="E903" i="1" s="1"/>
  <c r="D903" i="1"/>
  <c r="G903" i="1" s="1"/>
  <c r="C904" i="1"/>
  <c r="E904" i="1" s="1"/>
  <c r="D904" i="1"/>
  <c r="G904" i="1" s="1"/>
  <c r="C905" i="1"/>
  <c r="E905" i="1" s="1"/>
  <c r="D905" i="1"/>
  <c r="G905" i="1" s="1"/>
  <c r="C906" i="1"/>
  <c r="E906" i="1" s="1"/>
  <c r="D906" i="1"/>
  <c r="G906" i="1" s="1"/>
  <c r="C907" i="1"/>
  <c r="E907" i="1" s="1"/>
  <c r="D907" i="1"/>
  <c r="G907" i="1" s="1"/>
  <c r="C908" i="1"/>
  <c r="E908" i="1" s="1"/>
  <c r="D908" i="1"/>
  <c r="G908" i="1" s="1"/>
  <c r="C909" i="1"/>
  <c r="E909" i="1" s="1"/>
  <c r="D909" i="1"/>
  <c r="G909" i="1" s="1"/>
  <c r="C910" i="1"/>
  <c r="E910" i="1" s="1"/>
  <c r="D910" i="1"/>
  <c r="G910" i="1" s="1"/>
  <c r="C911" i="1"/>
  <c r="E911" i="1" s="1"/>
  <c r="D911" i="1"/>
  <c r="G911" i="1" s="1"/>
  <c r="C912" i="1"/>
  <c r="E912" i="1" s="1"/>
  <c r="D912" i="1"/>
  <c r="G912" i="1" s="1"/>
  <c r="C913" i="1"/>
  <c r="E913" i="1" s="1"/>
  <c r="D913" i="1"/>
  <c r="G913" i="1" s="1"/>
  <c r="C914" i="1"/>
  <c r="E914" i="1" s="1"/>
  <c r="D914" i="1"/>
  <c r="G914" i="1" s="1"/>
  <c r="C915" i="1"/>
  <c r="E915" i="1" s="1"/>
  <c r="D915" i="1"/>
  <c r="G915" i="1" s="1"/>
  <c r="C916" i="1"/>
  <c r="E916" i="1" s="1"/>
  <c r="D916" i="1"/>
  <c r="G916" i="1" s="1"/>
  <c r="C917" i="1"/>
  <c r="E917" i="1" s="1"/>
  <c r="D917" i="1"/>
  <c r="G917" i="1" s="1"/>
  <c r="C918" i="1"/>
  <c r="E918" i="1" s="1"/>
  <c r="D918" i="1"/>
  <c r="G918" i="1" s="1"/>
  <c r="C919" i="1"/>
  <c r="E919" i="1" s="1"/>
  <c r="D919" i="1"/>
  <c r="G919" i="1" s="1"/>
  <c r="C920" i="1"/>
  <c r="E920" i="1" s="1"/>
  <c r="D920" i="1"/>
  <c r="G920" i="1" s="1"/>
  <c r="C921" i="1"/>
  <c r="E921" i="1" s="1"/>
  <c r="D921" i="1"/>
  <c r="G921" i="1" s="1"/>
  <c r="C922" i="1"/>
  <c r="E922" i="1" s="1"/>
  <c r="D922" i="1"/>
  <c r="G922" i="1" s="1"/>
  <c r="C923" i="1"/>
  <c r="E923" i="1" s="1"/>
  <c r="D923" i="1"/>
  <c r="G923" i="1" s="1"/>
  <c r="C924" i="1"/>
  <c r="E924" i="1" s="1"/>
  <c r="D924" i="1"/>
  <c r="G924" i="1" s="1"/>
  <c r="C925" i="1"/>
  <c r="E925" i="1" s="1"/>
  <c r="D925" i="1"/>
  <c r="G925" i="1" s="1"/>
  <c r="C926" i="1"/>
  <c r="E926" i="1" s="1"/>
  <c r="D926" i="1"/>
  <c r="G926" i="1" s="1"/>
  <c r="C927" i="1"/>
  <c r="E927" i="1" s="1"/>
  <c r="D927" i="1"/>
  <c r="G927" i="1" s="1"/>
  <c r="C928" i="1"/>
  <c r="E928" i="1" s="1"/>
  <c r="D928" i="1"/>
  <c r="G928" i="1" s="1"/>
  <c r="H928" i="1" s="1"/>
  <c r="C929" i="1"/>
  <c r="E929" i="1" s="1"/>
  <c r="D929" i="1"/>
  <c r="G929" i="1" s="1"/>
  <c r="H929" i="1" s="1"/>
  <c r="C930" i="1"/>
  <c r="E930" i="1" s="1"/>
  <c r="D930" i="1"/>
  <c r="G930" i="1" s="1"/>
  <c r="H930" i="1" s="1"/>
  <c r="C931" i="1"/>
  <c r="E931" i="1" s="1"/>
  <c r="D931" i="1"/>
  <c r="G931" i="1" s="1"/>
  <c r="H931" i="1" s="1"/>
  <c r="C932" i="1"/>
  <c r="E932" i="1" s="1"/>
  <c r="D932" i="1"/>
  <c r="G932" i="1" s="1"/>
  <c r="H932" i="1" s="1"/>
  <c r="C933" i="1"/>
  <c r="E933" i="1" s="1"/>
  <c r="D933" i="1"/>
  <c r="G933" i="1" s="1"/>
  <c r="H933" i="1" s="1"/>
  <c r="C934" i="1"/>
  <c r="E934" i="1" s="1"/>
  <c r="D934" i="1"/>
  <c r="G934" i="1" s="1"/>
  <c r="H934" i="1" s="1"/>
  <c r="C935" i="1"/>
  <c r="E935" i="1" s="1"/>
  <c r="D935" i="1"/>
  <c r="G935" i="1" s="1"/>
  <c r="H935" i="1" s="1"/>
  <c r="C936" i="1"/>
  <c r="E936" i="1" s="1"/>
  <c r="D936" i="1"/>
  <c r="G936" i="1" s="1"/>
  <c r="H936" i="1" s="1"/>
  <c r="C937" i="1"/>
  <c r="E937" i="1" s="1"/>
  <c r="D937" i="1"/>
  <c r="G937" i="1" s="1"/>
  <c r="H937" i="1" s="1"/>
  <c r="C938" i="1"/>
  <c r="E938" i="1" s="1"/>
  <c r="D938" i="1"/>
  <c r="G938" i="1" s="1"/>
  <c r="H938" i="1" s="1"/>
  <c r="C939" i="1"/>
  <c r="E939" i="1" s="1"/>
  <c r="D939" i="1"/>
  <c r="G939" i="1" s="1"/>
  <c r="H939" i="1" s="1"/>
  <c r="C940" i="1"/>
  <c r="E940" i="1" s="1"/>
  <c r="D940" i="1"/>
  <c r="G940" i="1" s="1"/>
  <c r="H940" i="1" s="1"/>
  <c r="C941" i="1"/>
  <c r="E941" i="1" s="1"/>
  <c r="D941" i="1"/>
  <c r="G941" i="1" s="1"/>
  <c r="H941" i="1" s="1"/>
  <c r="C942" i="1"/>
  <c r="E942" i="1" s="1"/>
  <c r="D942" i="1"/>
  <c r="G942" i="1"/>
  <c r="H942" i="1" s="1"/>
  <c r="C943" i="1"/>
  <c r="E943" i="1" s="1"/>
  <c r="D943" i="1"/>
  <c r="G943" i="1"/>
  <c r="H943" i="1" s="1"/>
  <c r="C944" i="1"/>
  <c r="E944" i="1" s="1"/>
  <c r="D944" i="1"/>
  <c r="G944" i="1" s="1"/>
  <c r="H944" i="1" s="1"/>
  <c r="C945" i="1"/>
  <c r="E945" i="1" s="1"/>
  <c r="D945" i="1"/>
  <c r="G945" i="1"/>
  <c r="H945" i="1" s="1"/>
  <c r="C946" i="1"/>
  <c r="E946" i="1" s="1"/>
  <c r="D946" i="1"/>
  <c r="G946" i="1" s="1"/>
  <c r="H946" i="1" s="1"/>
  <c r="C947" i="1"/>
  <c r="E947" i="1" s="1"/>
  <c r="D947" i="1"/>
  <c r="G947" i="1" s="1"/>
  <c r="H947" i="1" s="1"/>
  <c r="C948" i="1"/>
  <c r="E948" i="1" s="1"/>
  <c r="D948" i="1"/>
  <c r="G948" i="1" s="1"/>
  <c r="H948" i="1" s="1"/>
  <c r="C949" i="1"/>
  <c r="E949" i="1" s="1"/>
  <c r="D949" i="1"/>
  <c r="G949" i="1" s="1"/>
  <c r="H949" i="1" s="1"/>
  <c r="C950" i="1"/>
  <c r="E950" i="1" s="1"/>
  <c r="D950" i="1"/>
  <c r="G950" i="1" s="1"/>
  <c r="H950" i="1" s="1"/>
  <c r="C951" i="1"/>
  <c r="E951" i="1" s="1"/>
  <c r="D951" i="1"/>
  <c r="G951" i="1" s="1"/>
  <c r="H951" i="1" s="1"/>
  <c r="C952" i="1"/>
  <c r="E952" i="1" s="1"/>
  <c r="D952" i="1"/>
  <c r="G952" i="1" s="1"/>
  <c r="H952" i="1" s="1"/>
  <c r="C953" i="1"/>
  <c r="E953" i="1" s="1"/>
  <c r="D953" i="1"/>
  <c r="G953" i="1" s="1"/>
  <c r="H953" i="1" s="1"/>
  <c r="C954" i="1"/>
  <c r="E954" i="1" s="1"/>
  <c r="D954" i="1"/>
  <c r="G954" i="1" s="1"/>
  <c r="H954" i="1" s="1"/>
  <c r="C955" i="1"/>
  <c r="E955" i="1" s="1"/>
  <c r="D955" i="1"/>
  <c r="G955" i="1" s="1"/>
  <c r="H955" i="1" s="1"/>
  <c r="C956" i="1"/>
  <c r="E956" i="1" s="1"/>
  <c r="D956" i="1"/>
  <c r="G956" i="1" s="1"/>
  <c r="H956" i="1" s="1"/>
  <c r="C957" i="1"/>
  <c r="E957" i="1" s="1"/>
  <c r="D957" i="1"/>
  <c r="G957" i="1" s="1"/>
  <c r="H957" i="1" s="1"/>
  <c r="C958" i="1"/>
  <c r="E958" i="1" s="1"/>
  <c r="D958" i="1"/>
  <c r="G958" i="1" s="1"/>
  <c r="H958" i="1" s="1"/>
  <c r="C959" i="1"/>
  <c r="E959" i="1" s="1"/>
  <c r="D959" i="1"/>
  <c r="G959" i="1" s="1"/>
  <c r="H959" i="1" s="1"/>
  <c r="C960" i="1"/>
  <c r="E960" i="1" s="1"/>
  <c r="D960" i="1"/>
  <c r="G960" i="1" s="1"/>
  <c r="H960" i="1" s="1"/>
  <c r="C961" i="1"/>
  <c r="E961" i="1" s="1"/>
  <c r="D961" i="1"/>
  <c r="G961" i="1" s="1"/>
  <c r="H961" i="1" s="1"/>
  <c r="C962" i="1"/>
  <c r="E962" i="1" s="1"/>
  <c r="D962" i="1"/>
  <c r="G962" i="1" s="1"/>
  <c r="H962" i="1" s="1"/>
  <c r="C963" i="1"/>
  <c r="E963" i="1" s="1"/>
  <c r="D963" i="1"/>
  <c r="G963" i="1" s="1"/>
  <c r="F963" i="1" s="1"/>
  <c r="I963" i="1" s="1"/>
  <c r="C964" i="1"/>
  <c r="E964" i="1" s="1"/>
  <c r="D964" i="1"/>
  <c r="G964" i="1" s="1"/>
  <c r="C965" i="1"/>
  <c r="E965" i="1" s="1"/>
  <c r="D965" i="1"/>
  <c r="G965" i="1" s="1"/>
  <c r="C966" i="1"/>
  <c r="E966" i="1" s="1"/>
  <c r="D966" i="1"/>
  <c r="G966" i="1" s="1"/>
  <c r="C967" i="1"/>
  <c r="E967" i="1" s="1"/>
  <c r="D967" i="1"/>
  <c r="G967" i="1" s="1"/>
  <c r="F967" i="1" s="1"/>
  <c r="I967" i="1" s="1"/>
  <c r="C968" i="1"/>
  <c r="E968" i="1" s="1"/>
  <c r="D968" i="1"/>
  <c r="G968" i="1" s="1"/>
  <c r="C969" i="1"/>
  <c r="E969" i="1" s="1"/>
  <c r="D969" i="1"/>
  <c r="G969" i="1"/>
  <c r="F969" i="1" s="1"/>
  <c r="I969" i="1" s="1"/>
  <c r="C970" i="1"/>
  <c r="E970" i="1" s="1"/>
  <c r="D970" i="1"/>
  <c r="G970" i="1" s="1"/>
  <c r="C971" i="1"/>
  <c r="E971" i="1" s="1"/>
  <c r="D971" i="1"/>
  <c r="G971" i="1" s="1"/>
  <c r="C972" i="1"/>
  <c r="E972" i="1" s="1"/>
  <c r="D972" i="1"/>
  <c r="G972" i="1" s="1"/>
  <c r="C973" i="1"/>
  <c r="E973" i="1" s="1"/>
  <c r="D973" i="1"/>
  <c r="G973" i="1" s="1"/>
  <c r="C974" i="1"/>
  <c r="E974" i="1" s="1"/>
  <c r="D974" i="1"/>
  <c r="G974" i="1" s="1"/>
  <c r="C975" i="1"/>
  <c r="E975" i="1" s="1"/>
  <c r="D975" i="1"/>
  <c r="G975" i="1" s="1"/>
  <c r="F975" i="1" s="1"/>
  <c r="I975" i="1" s="1"/>
  <c r="C976" i="1"/>
  <c r="E976" i="1" s="1"/>
  <c r="D976" i="1"/>
  <c r="G976" i="1" s="1"/>
  <c r="C977" i="1"/>
  <c r="E977" i="1" s="1"/>
  <c r="D977" i="1"/>
  <c r="G977" i="1" s="1"/>
  <c r="F977" i="1" s="1"/>
  <c r="I977" i="1" s="1"/>
  <c r="C978" i="1"/>
  <c r="E978" i="1" s="1"/>
  <c r="D978" i="1"/>
  <c r="G978" i="1" s="1"/>
  <c r="C979" i="1"/>
  <c r="E979" i="1" s="1"/>
  <c r="D979" i="1"/>
  <c r="G979" i="1" s="1"/>
  <c r="C980" i="1"/>
  <c r="E980" i="1" s="1"/>
  <c r="D980" i="1"/>
  <c r="G980" i="1" s="1"/>
  <c r="C981" i="1"/>
  <c r="E981" i="1" s="1"/>
  <c r="D981" i="1"/>
  <c r="G981" i="1" s="1"/>
  <c r="F981" i="1" s="1"/>
  <c r="I981" i="1" s="1"/>
  <c r="C982" i="1"/>
  <c r="E982" i="1" s="1"/>
  <c r="D982" i="1"/>
  <c r="G982" i="1" s="1"/>
  <c r="C983" i="1"/>
  <c r="E983" i="1" s="1"/>
  <c r="D983" i="1"/>
  <c r="G983" i="1" s="1"/>
  <c r="C984" i="1"/>
  <c r="E984" i="1" s="1"/>
  <c r="D984" i="1"/>
  <c r="G984" i="1" s="1"/>
  <c r="C985" i="1"/>
  <c r="E985" i="1" s="1"/>
  <c r="D985" i="1"/>
  <c r="G985" i="1" s="1"/>
  <c r="C986" i="1"/>
  <c r="E986" i="1" s="1"/>
  <c r="D986" i="1"/>
  <c r="G986" i="1" s="1"/>
  <c r="C987" i="1"/>
  <c r="E987" i="1" s="1"/>
  <c r="D987" i="1"/>
  <c r="G987" i="1" s="1"/>
  <c r="C988" i="1"/>
  <c r="E988" i="1" s="1"/>
  <c r="D988" i="1"/>
  <c r="G988" i="1" s="1"/>
  <c r="C989" i="1"/>
  <c r="E989" i="1" s="1"/>
  <c r="D989" i="1"/>
  <c r="G989" i="1"/>
  <c r="C990" i="1"/>
  <c r="E990" i="1" s="1"/>
  <c r="D990" i="1"/>
  <c r="G990" i="1"/>
  <c r="C991" i="1"/>
  <c r="E991" i="1" s="1"/>
  <c r="D991" i="1"/>
  <c r="G991" i="1" s="1"/>
  <c r="C992" i="1"/>
  <c r="E992" i="1" s="1"/>
  <c r="D992" i="1"/>
  <c r="G992" i="1" s="1"/>
  <c r="C993" i="1"/>
  <c r="E993" i="1" s="1"/>
  <c r="D993" i="1"/>
  <c r="G993" i="1" s="1"/>
  <c r="C994" i="1"/>
  <c r="E994" i="1" s="1"/>
  <c r="D994" i="1"/>
  <c r="G994" i="1" s="1"/>
  <c r="C995" i="1"/>
  <c r="E995" i="1" s="1"/>
  <c r="D995" i="1"/>
  <c r="G995" i="1" s="1"/>
  <c r="C996" i="1"/>
  <c r="E996" i="1" s="1"/>
  <c r="D996" i="1"/>
  <c r="G996" i="1" s="1"/>
  <c r="C997" i="1"/>
  <c r="E997" i="1" s="1"/>
  <c r="D997" i="1"/>
  <c r="G997" i="1" s="1"/>
  <c r="C998" i="1"/>
  <c r="E998" i="1" s="1"/>
  <c r="D998" i="1"/>
  <c r="G998" i="1" s="1"/>
  <c r="C999" i="1"/>
  <c r="E999" i="1" s="1"/>
  <c r="D999" i="1"/>
  <c r="G999" i="1" s="1"/>
  <c r="C1000" i="1"/>
  <c r="E1000" i="1" s="1"/>
  <c r="D1000" i="1"/>
  <c r="G1000" i="1" s="1"/>
  <c r="C1001" i="1"/>
  <c r="E1001" i="1" s="1"/>
  <c r="D1001" i="1"/>
  <c r="G1001" i="1"/>
  <c r="C1002" i="1"/>
  <c r="E1002" i="1" s="1"/>
  <c r="D1002" i="1"/>
  <c r="G1002" i="1" s="1"/>
  <c r="C1003" i="1"/>
  <c r="E1003" i="1" s="1"/>
  <c r="D1003" i="1"/>
  <c r="G1003" i="1" s="1"/>
  <c r="C1004" i="1"/>
  <c r="E1004" i="1" s="1"/>
  <c r="D1004" i="1"/>
  <c r="G1004" i="1" s="1"/>
  <c r="C1005" i="1"/>
  <c r="E1005" i="1" s="1"/>
  <c r="D1005" i="1"/>
  <c r="G1005" i="1" s="1"/>
  <c r="C1006" i="1"/>
  <c r="E1006" i="1" s="1"/>
  <c r="D1006" i="1"/>
  <c r="G1006" i="1"/>
  <c r="C1007" i="1"/>
  <c r="E1007" i="1" s="1"/>
  <c r="D1007" i="1"/>
  <c r="G1007" i="1" s="1"/>
  <c r="C1008" i="1"/>
  <c r="E1008" i="1" s="1"/>
  <c r="D1008" i="1"/>
  <c r="G1008" i="1" s="1"/>
  <c r="C1009" i="1"/>
  <c r="E1009" i="1" s="1"/>
  <c r="D1009" i="1"/>
  <c r="G1009" i="1" s="1"/>
  <c r="C1010" i="1"/>
  <c r="E1010" i="1" s="1"/>
  <c r="D1010" i="1"/>
  <c r="G1010" i="1" s="1"/>
  <c r="C1011" i="1"/>
  <c r="E1011" i="1" s="1"/>
  <c r="D1011" i="1"/>
  <c r="G1011" i="1" s="1"/>
  <c r="C1012" i="1"/>
  <c r="E1012" i="1" s="1"/>
  <c r="D1012" i="1"/>
  <c r="G1012" i="1" s="1"/>
  <c r="C1013" i="1"/>
  <c r="E1013" i="1" s="1"/>
  <c r="D1013" i="1"/>
  <c r="G1013" i="1" s="1"/>
  <c r="C1014" i="1"/>
  <c r="E1014" i="1" s="1"/>
  <c r="D1014" i="1"/>
  <c r="G1014" i="1" s="1"/>
  <c r="C1015" i="1"/>
  <c r="E1015" i="1" s="1"/>
  <c r="D1015" i="1"/>
  <c r="G1015" i="1" s="1"/>
  <c r="C1016" i="1"/>
  <c r="E1016" i="1" s="1"/>
  <c r="D1016" i="1"/>
  <c r="G1016" i="1" s="1"/>
  <c r="C1017" i="1"/>
  <c r="E1017" i="1" s="1"/>
  <c r="D1017" i="1"/>
  <c r="G1017" i="1"/>
  <c r="C1018" i="1"/>
  <c r="E1018" i="1" s="1"/>
  <c r="D1018" i="1"/>
  <c r="G1018" i="1" s="1"/>
  <c r="C1019" i="1"/>
  <c r="E1019" i="1" s="1"/>
  <c r="D1019" i="1"/>
  <c r="G1019" i="1" s="1"/>
  <c r="C1020" i="1"/>
  <c r="E1020" i="1" s="1"/>
  <c r="D1020" i="1"/>
  <c r="G1020" i="1" s="1"/>
  <c r="C1021" i="1"/>
  <c r="E1021" i="1" s="1"/>
  <c r="D1021" i="1"/>
  <c r="G1021" i="1" s="1"/>
  <c r="C1022" i="1"/>
  <c r="E1022" i="1" s="1"/>
  <c r="D1022" i="1"/>
  <c r="G1022" i="1" s="1"/>
  <c r="C1023" i="1"/>
  <c r="E1023" i="1" s="1"/>
  <c r="D1023" i="1"/>
  <c r="G1023" i="1" s="1"/>
  <c r="C1024" i="1"/>
  <c r="E1024" i="1" s="1"/>
  <c r="D1024" i="1"/>
  <c r="G1024" i="1" s="1"/>
  <c r="C1025" i="1"/>
  <c r="E1025" i="1" s="1"/>
  <c r="D1025" i="1"/>
  <c r="G1025" i="1"/>
  <c r="C1026" i="1"/>
  <c r="E1026" i="1" s="1"/>
  <c r="D1026" i="1"/>
  <c r="G1026" i="1" s="1"/>
  <c r="C1027" i="1"/>
  <c r="E1027" i="1" s="1"/>
  <c r="D1027" i="1"/>
  <c r="G1027" i="1" s="1"/>
  <c r="C1028" i="1"/>
  <c r="E1028" i="1" s="1"/>
  <c r="D1028" i="1"/>
  <c r="G1028" i="1" s="1"/>
  <c r="C1029" i="1"/>
  <c r="E1029" i="1" s="1"/>
  <c r="D1029" i="1"/>
  <c r="G1029" i="1" s="1"/>
  <c r="C1030" i="1"/>
  <c r="E1030" i="1" s="1"/>
  <c r="D1030" i="1"/>
  <c r="G1030" i="1" s="1"/>
  <c r="C1031" i="1"/>
  <c r="E1031" i="1" s="1"/>
  <c r="D1031" i="1"/>
  <c r="G1031" i="1" s="1"/>
  <c r="C1032" i="1"/>
  <c r="E1032" i="1" s="1"/>
  <c r="D1032" i="1"/>
  <c r="G1032" i="1" s="1"/>
  <c r="C1033" i="1"/>
  <c r="E1033" i="1" s="1"/>
  <c r="D1033" i="1"/>
  <c r="G1033" i="1"/>
  <c r="C1034" i="1"/>
  <c r="E1034" i="1" s="1"/>
  <c r="D1034" i="1"/>
  <c r="G1034" i="1" s="1"/>
  <c r="C1035" i="1"/>
  <c r="E1035" i="1" s="1"/>
  <c r="D1035" i="1"/>
  <c r="G1035" i="1" s="1"/>
  <c r="C1036" i="1"/>
  <c r="E1036" i="1" s="1"/>
  <c r="D1036" i="1"/>
  <c r="G1036" i="1" s="1"/>
  <c r="C1037" i="1"/>
  <c r="E1037" i="1" s="1"/>
  <c r="D1037" i="1"/>
  <c r="G1037" i="1" s="1"/>
  <c r="C1038" i="1"/>
  <c r="E1038" i="1" s="1"/>
  <c r="D1038" i="1"/>
  <c r="G1038" i="1" s="1"/>
  <c r="C1039" i="1"/>
  <c r="E1039" i="1" s="1"/>
  <c r="D1039" i="1"/>
  <c r="G1039" i="1" s="1"/>
  <c r="C1040" i="1"/>
  <c r="E1040" i="1" s="1"/>
  <c r="D1040" i="1"/>
  <c r="G1040" i="1" s="1"/>
  <c r="C1041" i="1"/>
  <c r="E1041" i="1" s="1"/>
  <c r="D1041" i="1"/>
  <c r="G1041" i="1" s="1"/>
  <c r="C1042" i="1"/>
  <c r="E1042" i="1" s="1"/>
  <c r="D1042" i="1"/>
  <c r="G1042" i="1" s="1"/>
  <c r="C1043" i="1"/>
  <c r="E1043" i="1" s="1"/>
  <c r="D1043" i="1"/>
  <c r="G1043" i="1" s="1"/>
  <c r="C1044" i="1"/>
  <c r="E1044" i="1" s="1"/>
  <c r="D1044" i="1"/>
  <c r="G1044" i="1" s="1"/>
  <c r="C1045" i="1"/>
  <c r="E1045" i="1" s="1"/>
  <c r="D1045" i="1"/>
  <c r="G1045" i="1" s="1"/>
  <c r="C1046" i="1"/>
  <c r="E1046" i="1" s="1"/>
  <c r="D1046" i="1"/>
  <c r="G1046" i="1"/>
  <c r="H1046" i="1" s="1"/>
  <c r="C1047" i="1"/>
  <c r="E1047" i="1" s="1"/>
  <c r="D1047" i="1"/>
  <c r="G1047" i="1" s="1"/>
  <c r="C1048" i="1"/>
  <c r="E1048" i="1" s="1"/>
  <c r="D1048" i="1"/>
  <c r="G1048" i="1" s="1"/>
  <c r="H1048" i="1" s="1"/>
  <c r="C1049" i="1"/>
  <c r="E1049" i="1" s="1"/>
  <c r="D1049" i="1"/>
  <c r="G1049" i="1"/>
  <c r="H1049" i="1" s="1"/>
  <c r="C1050" i="1"/>
  <c r="E1050" i="1" s="1"/>
  <c r="D1050" i="1"/>
  <c r="G1050" i="1" s="1"/>
  <c r="H1050" i="1" s="1"/>
  <c r="C1051" i="1"/>
  <c r="E1051" i="1" s="1"/>
  <c r="D1051" i="1"/>
  <c r="G1051" i="1"/>
  <c r="H1051" i="1" s="1"/>
  <c r="C1052" i="1"/>
  <c r="E1052" i="1" s="1"/>
  <c r="D1052" i="1"/>
  <c r="G1052" i="1"/>
  <c r="H1052" i="1" s="1"/>
  <c r="C1053" i="1"/>
  <c r="E1053" i="1" s="1"/>
  <c r="D1053" i="1"/>
  <c r="G1053" i="1"/>
  <c r="H1053" i="1" s="1"/>
  <c r="C1054" i="1"/>
  <c r="E1054" i="1" s="1"/>
  <c r="D1054" i="1"/>
  <c r="G1054" i="1" s="1"/>
  <c r="H1054" i="1" s="1"/>
  <c r="C1055" i="1"/>
  <c r="E1055" i="1" s="1"/>
  <c r="D1055" i="1"/>
  <c r="G1055" i="1" s="1"/>
  <c r="H1055" i="1" s="1"/>
  <c r="C1056" i="1"/>
  <c r="E1056" i="1" s="1"/>
  <c r="D1056" i="1"/>
  <c r="G1056" i="1" s="1"/>
  <c r="H1056" i="1" s="1"/>
  <c r="C1057" i="1"/>
  <c r="E1057" i="1" s="1"/>
  <c r="D1057" i="1"/>
  <c r="G1057" i="1" s="1"/>
  <c r="C1058" i="1"/>
  <c r="E1058" i="1" s="1"/>
  <c r="D1058" i="1"/>
  <c r="G1058" i="1" s="1"/>
  <c r="H1058" i="1" s="1"/>
  <c r="C1059" i="1"/>
  <c r="E1059" i="1" s="1"/>
  <c r="D1059" i="1"/>
  <c r="G1059" i="1" s="1"/>
  <c r="C1060" i="1"/>
  <c r="E1060" i="1" s="1"/>
  <c r="D1060" i="1"/>
  <c r="G1060" i="1" s="1"/>
  <c r="H1060" i="1" s="1"/>
  <c r="C1061" i="1"/>
  <c r="E1061" i="1" s="1"/>
  <c r="D1061" i="1"/>
  <c r="G1061" i="1" s="1"/>
  <c r="C1062" i="1"/>
  <c r="E1062" i="1" s="1"/>
  <c r="D1062" i="1"/>
  <c r="G1062" i="1"/>
  <c r="H1062" i="1" s="1"/>
  <c r="C1063" i="1"/>
  <c r="E1063" i="1" s="1"/>
  <c r="D1063" i="1"/>
  <c r="G1063" i="1" s="1"/>
  <c r="C1064" i="1"/>
  <c r="E1064" i="1" s="1"/>
  <c r="D1064" i="1"/>
  <c r="G1064" i="1" s="1"/>
  <c r="H1064" i="1" s="1"/>
  <c r="C1065" i="1"/>
  <c r="E1065" i="1" s="1"/>
  <c r="D1065" i="1"/>
  <c r="G1065" i="1" s="1"/>
  <c r="C1066" i="1"/>
  <c r="E1066" i="1" s="1"/>
  <c r="D1066" i="1"/>
  <c r="G1066" i="1"/>
  <c r="H1066" i="1" s="1"/>
  <c r="C1067" i="1"/>
  <c r="E1067" i="1" s="1"/>
  <c r="D1067" i="1"/>
  <c r="G1067" i="1" s="1"/>
  <c r="C1068" i="1"/>
  <c r="E1068" i="1" s="1"/>
  <c r="D1068" i="1"/>
  <c r="G1068" i="1" s="1"/>
  <c r="C1069" i="1"/>
  <c r="E1069" i="1" s="1"/>
  <c r="D1069" i="1"/>
  <c r="G1069" i="1" s="1"/>
  <c r="C1070" i="1"/>
  <c r="E1070" i="1" s="1"/>
  <c r="D1070" i="1"/>
  <c r="G1070" i="1" s="1"/>
  <c r="C1071" i="1"/>
  <c r="E1071" i="1" s="1"/>
  <c r="D1071" i="1"/>
  <c r="G1071" i="1" s="1"/>
  <c r="C1072" i="1"/>
  <c r="E1072" i="1" s="1"/>
  <c r="D1072" i="1"/>
  <c r="G1072" i="1" s="1"/>
  <c r="C1073" i="1"/>
  <c r="E1073" i="1" s="1"/>
  <c r="D1073" i="1"/>
  <c r="G1073" i="1" s="1"/>
  <c r="C1074" i="1"/>
  <c r="E1074" i="1" s="1"/>
  <c r="D1074" i="1"/>
  <c r="G1074" i="1" s="1"/>
  <c r="C1075" i="1"/>
  <c r="E1075" i="1" s="1"/>
  <c r="D1075" i="1"/>
  <c r="G1075" i="1" s="1"/>
  <c r="C1076" i="1"/>
  <c r="E1076" i="1" s="1"/>
  <c r="D1076" i="1"/>
  <c r="G1076" i="1" s="1"/>
  <c r="C1077" i="1"/>
  <c r="E1077" i="1" s="1"/>
  <c r="D1077" i="1"/>
  <c r="G1077" i="1" s="1"/>
  <c r="C1078" i="1"/>
  <c r="E1078" i="1" s="1"/>
  <c r="D1078" i="1"/>
  <c r="G1078" i="1" s="1"/>
  <c r="C1079" i="1"/>
  <c r="E1079" i="1" s="1"/>
  <c r="D1079" i="1"/>
  <c r="G1079" i="1" s="1"/>
  <c r="C1080" i="1"/>
  <c r="E1080" i="1" s="1"/>
  <c r="D1080" i="1"/>
  <c r="G1080" i="1" s="1"/>
  <c r="C1081" i="1"/>
  <c r="E1081" i="1" s="1"/>
  <c r="D1081" i="1"/>
  <c r="G1081" i="1" s="1"/>
  <c r="C1082" i="1"/>
  <c r="E1082" i="1" s="1"/>
  <c r="D1082" i="1"/>
  <c r="G1082" i="1" s="1"/>
  <c r="C1083" i="1"/>
  <c r="E1083" i="1" s="1"/>
  <c r="D1083" i="1"/>
  <c r="G1083" i="1" s="1"/>
  <c r="C1084" i="1"/>
  <c r="E1084" i="1" s="1"/>
  <c r="D1084" i="1"/>
  <c r="G1084" i="1" s="1"/>
  <c r="C1085" i="1"/>
  <c r="E1085" i="1" s="1"/>
  <c r="D1085" i="1"/>
  <c r="G1085" i="1" s="1"/>
  <c r="C1086" i="1"/>
  <c r="E1086" i="1" s="1"/>
  <c r="D1086" i="1"/>
  <c r="G1086" i="1" s="1"/>
  <c r="C1087" i="1"/>
  <c r="E1087" i="1" s="1"/>
  <c r="D1087" i="1"/>
  <c r="G1087" i="1" s="1"/>
  <c r="C1088" i="1"/>
  <c r="E1088" i="1" s="1"/>
  <c r="D1088" i="1"/>
  <c r="G1088" i="1" s="1"/>
  <c r="H1088" i="1" s="1"/>
  <c r="C1089" i="1"/>
  <c r="E1089" i="1" s="1"/>
  <c r="D1089" i="1"/>
  <c r="G1089" i="1" s="1"/>
  <c r="H1089" i="1" s="1"/>
  <c r="C1090" i="1"/>
  <c r="E1090" i="1" s="1"/>
  <c r="D1090" i="1"/>
  <c r="G1090" i="1" s="1"/>
  <c r="H1090" i="1" s="1"/>
  <c r="C1091" i="1"/>
  <c r="E1091" i="1" s="1"/>
  <c r="D1091" i="1"/>
  <c r="G1091" i="1" s="1"/>
  <c r="H1091" i="1" s="1"/>
  <c r="C1092" i="1"/>
  <c r="E1092" i="1" s="1"/>
  <c r="D1092" i="1"/>
  <c r="G1092" i="1" s="1"/>
  <c r="H1092" i="1" s="1"/>
  <c r="C1093" i="1"/>
  <c r="E1093" i="1" s="1"/>
  <c r="D1093" i="1"/>
  <c r="G1093" i="1" s="1"/>
  <c r="H1093" i="1" s="1"/>
  <c r="C1094" i="1"/>
  <c r="E1094" i="1" s="1"/>
  <c r="D1094" i="1"/>
  <c r="G1094" i="1" s="1"/>
  <c r="H1094" i="1" s="1"/>
  <c r="C1095" i="1"/>
  <c r="E1095" i="1" s="1"/>
  <c r="D1095" i="1"/>
  <c r="G1095" i="1" s="1"/>
  <c r="H1095" i="1" s="1"/>
  <c r="C1096" i="1"/>
  <c r="E1096" i="1" s="1"/>
  <c r="D1096" i="1"/>
  <c r="G1096" i="1" s="1"/>
  <c r="H1096" i="1" s="1"/>
  <c r="C1097" i="1"/>
  <c r="E1097" i="1" s="1"/>
  <c r="D1097" i="1"/>
  <c r="G1097" i="1" s="1"/>
  <c r="H1097" i="1" s="1"/>
  <c r="C1098" i="1"/>
  <c r="E1098" i="1" s="1"/>
  <c r="D1098" i="1"/>
  <c r="G1098" i="1" s="1"/>
  <c r="C1099" i="1"/>
  <c r="E1099" i="1" s="1"/>
  <c r="D1099" i="1"/>
  <c r="G1099" i="1" s="1"/>
  <c r="H1099" i="1" s="1"/>
  <c r="C1100" i="1"/>
  <c r="E1100" i="1" s="1"/>
  <c r="D1100" i="1"/>
  <c r="G1100" i="1"/>
  <c r="C1101" i="1"/>
  <c r="E1101" i="1" s="1"/>
  <c r="D1101" i="1"/>
  <c r="G1101" i="1" s="1"/>
  <c r="H1101" i="1" s="1"/>
  <c r="C1102" i="1"/>
  <c r="E1102" i="1" s="1"/>
  <c r="D1102" i="1"/>
  <c r="G1102" i="1" s="1"/>
  <c r="C1103" i="1"/>
  <c r="D1103" i="1"/>
  <c r="G1103" i="1" s="1"/>
  <c r="C1104" i="1"/>
  <c r="E1104" i="1" s="1"/>
  <c r="D1104" i="1"/>
  <c r="G1104" i="1" s="1"/>
  <c r="C1105" i="1"/>
  <c r="E1105" i="1" s="1"/>
  <c r="D1105" i="1"/>
  <c r="G1105" i="1" s="1"/>
  <c r="H1105" i="1" s="1"/>
  <c r="C1106" i="1"/>
  <c r="E1106" i="1" s="1"/>
  <c r="D1106" i="1"/>
  <c r="G1106" i="1" s="1"/>
  <c r="C1107" i="1"/>
  <c r="E1107" i="1" s="1"/>
  <c r="D1107" i="1"/>
  <c r="G1107" i="1" s="1"/>
  <c r="C1108" i="1"/>
  <c r="E1108" i="1" s="1"/>
  <c r="D1108" i="1"/>
  <c r="G1108" i="1" s="1"/>
  <c r="C1109" i="1"/>
  <c r="E1109" i="1" s="1"/>
  <c r="D1109" i="1"/>
  <c r="G1109" i="1" s="1"/>
  <c r="H1109" i="1" s="1"/>
  <c r="C1110" i="1"/>
  <c r="E1110" i="1" s="1"/>
  <c r="D1110" i="1"/>
  <c r="G1110" i="1" s="1"/>
  <c r="C1111" i="1"/>
  <c r="E1111" i="1" s="1"/>
  <c r="D1111" i="1"/>
  <c r="G1111" i="1"/>
  <c r="H1111" i="1" s="1"/>
  <c r="C1112" i="1"/>
  <c r="E1112" i="1" s="1"/>
  <c r="D1112" i="1"/>
  <c r="G1112" i="1" s="1"/>
  <c r="C1113" i="1"/>
  <c r="E1113" i="1" s="1"/>
  <c r="D1113" i="1"/>
  <c r="G1113" i="1" s="1"/>
  <c r="H1113" i="1" s="1"/>
  <c r="C1114" i="1"/>
  <c r="E1114" i="1" s="1"/>
  <c r="D1114" i="1"/>
  <c r="G1114" i="1" s="1"/>
  <c r="C1115" i="1"/>
  <c r="E1115" i="1" s="1"/>
  <c r="D1115" i="1"/>
  <c r="G1115" i="1" s="1"/>
  <c r="C1116" i="1"/>
  <c r="E1116" i="1" s="1"/>
  <c r="D1116" i="1"/>
  <c r="G1116" i="1" s="1"/>
  <c r="C1117" i="1"/>
  <c r="E1117" i="1" s="1"/>
  <c r="D1117" i="1"/>
  <c r="G1117" i="1" s="1"/>
  <c r="H1117" i="1" s="1"/>
  <c r="C1118" i="1"/>
  <c r="E1118" i="1" s="1"/>
  <c r="D1118" i="1"/>
  <c r="G1118" i="1"/>
  <c r="C1119" i="1"/>
  <c r="E1119" i="1" s="1"/>
  <c r="D1119" i="1"/>
  <c r="G1119" i="1" s="1"/>
  <c r="H1119" i="1" s="1"/>
  <c r="C1120" i="1"/>
  <c r="E1120" i="1" s="1"/>
  <c r="D1120" i="1"/>
  <c r="G1120" i="1" s="1"/>
  <c r="C1121" i="1"/>
  <c r="E1121" i="1" s="1"/>
  <c r="D1121" i="1"/>
  <c r="G1121" i="1"/>
  <c r="H1121" i="1" s="1"/>
  <c r="C1122" i="1"/>
  <c r="E1122" i="1" s="1"/>
  <c r="D1122" i="1"/>
  <c r="G1122" i="1" s="1"/>
  <c r="C1123" i="1"/>
  <c r="D1123" i="1"/>
  <c r="G1123" i="1" s="1"/>
  <c r="H1123" i="1" s="1"/>
  <c r="C1124" i="1"/>
  <c r="E1124" i="1" s="1"/>
  <c r="D1124" i="1"/>
  <c r="G1124" i="1" s="1"/>
  <c r="C1125" i="1"/>
  <c r="E1125" i="1" s="1"/>
  <c r="D1125" i="1"/>
  <c r="G1125" i="1" s="1"/>
  <c r="C1126" i="1"/>
  <c r="E1126" i="1" s="1"/>
  <c r="D1126" i="1"/>
  <c r="G1126" i="1" s="1"/>
  <c r="C1127" i="1"/>
  <c r="E1127" i="1" s="1"/>
  <c r="D1127" i="1"/>
  <c r="G1127" i="1" s="1"/>
  <c r="H1127" i="1" s="1"/>
  <c r="C1128" i="1"/>
  <c r="E1128" i="1" s="1"/>
  <c r="D1128" i="1"/>
  <c r="G1128" i="1" s="1"/>
  <c r="C1129" i="1"/>
  <c r="E1129" i="1" s="1"/>
  <c r="D1129" i="1"/>
  <c r="G1129" i="1" s="1"/>
  <c r="H1129" i="1" s="1"/>
  <c r="C1130" i="1"/>
  <c r="E1130" i="1" s="1"/>
  <c r="D1130" i="1"/>
  <c r="G1130" i="1" s="1"/>
  <c r="C1131" i="1"/>
  <c r="E1131" i="1" s="1"/>
  <c r="D1131" i="1"/>
  <c r="G1131" i="1" s="1"/>
  <c r="H1131" i="1" s="1"/>
  <c r="C1132" i="1"/>
  <c r="E1132" i="1" s="1"/>
  <c r="D1132" i="1"/>
  <c r="G1132" i="1" s="1"/>
  <c r="C1133" i="1"/>
  <c r="E1133" i="1" s="1"/>
  <c r="D1133" i="1"/>
  <c r="G1133" i="1" s="1"/>
  <c r="H1133" i="1" s="1"/>
  <c r="C1134" i="1"/>
  <c r="E1134" i="1" s="1"/>
  <c r="D1134" i="1"/>
  <c r="G1134" i="1" s="1"/>
  <c r="H1134" i="1" s="1"/>
  <c r="C1135" i="1"/>
  <c r="E1135" i="1" s="1"/>
  <c r="D1135" i="1"/>
  <c r="G1135" i="1" s="1"/>
  <c r="H1135" i="1" s="1"/>
  <c r="C1136" i="1"/>
  <c r="E1136" i="1" s="1"/>
  <c r="D1136" i="1"/>
  <c r="G1136" i="1" s="1"/>
  <c r="C1137" i="1"/>
  <c r="E1137" i="1" s="1"/>
  <c r="D1137" i="1"/>
  <c r="G1137" i="1" s="1"/>
  <c r="H1137" i="1" s="1"/>
  <c r="C1138" i="1"/>
  <c r="E1138" i="1" s="1"/>
  <c r="D1138" i="1"/>
  <c r="G1138" i="1" s="1"/>
  <c r="C1139" i="1"/>
  <c r="E1139" i="1" s="1"/>
  <c r="D1139" i="1"/>
  <c r="G1139" i="1" s="1"/>
  <c r="H1139" i="1" s="1"/>
  <c r="C1140" i="1"/>
  <c r="E1140" i="1" s="1"/>
  <c r="D1140" i="1"/>
  <c r="G1140" i="1" s="1"/>
  <c r="C1141" i="1"/>
  <c r="E1141" i="1" s="1"/>
  <c r="D1141" i="1"/>
  <c r="G1141" i="1" s="1"/>
  <c r="H1141" i="1" s="1"/>
  <c r="C1142" i="1"/>
  <c r="E1142" i="1" s="1"/>
  <c r="D1142" i="1"/>
  <c r="G1142" i="1" s="1"/>
  <c r="H1142" i="1" s="1"/>
  <c r="C1143" i="1"/>
  <c r="E1143" i="1" s="1"/>
  <c r="D1143" i="1"/>
  <c r="G1143" i="1" s="1"/>
  <c r="H1143" i="1" s="1"/>
  <c r="C1144" i="1"/>
  <c r="E1144" i="1" s="1"/>
  <c r="D1144" i="1"/>
  <c r="G1144" i="1" s="1"/>
  <c r="C1145" i="1"/>
  <c r="E1145" i="1" s="1"/>
  <c r="D1145" i="1"/>
  <c r="G1145" i="1" s="1"/>
  <c r="H1145" i="1" s="1"/>
  <c r="C1146" i="1"/>
  <c r="E1146" i="1" s="1"/>
  <c r="D1146" i="1"/>
  <c r="G1146" i="1" s="1"/>
  <c r="C1147" i="1"/>
  <c r="E1147" i="1" s="1"/>
  <c r="D1147" i="1"/>
  <c r="G1147" i="1" s="1"/>
  <c r="H1147" i="1" s="1"/>
  <c r="C1148" i="1"/>
  <c r="E1148" i="1" s="1"/>
  <c r="D1148" i="1"/>
  <c r="G1148" i="1" s="1"/>
  <c r="C1149" i="1"/>
  <c r="E1149" i="1" s="1"/>
  <c r="D1149" i="1"/>
  <c r="G1149" i="1" s="1"/>
  <c r="H1149" i="1" s="1"/>
  <c r="C1150" i="1"/>
  <c r="E1150" i="1" s="1"/>
  <c r="D1150" i="1"/>
  <c r="G1150" i="1" s="1"/>
  <c r="H1150" i="1" s="1"/>
  <c r="C1151" i="1"/>
  <c r="E1151" i="1" s="1"/>
  <c r="D1151" i="1"/>
  <c r="G1151" i="1" s="1"/>
  <c r="H1151" i="1" s="1"/>
  <c r="C1152" i="1"/>
  <c r="E1152" i="1" s="1"/>
  <c r="D1152" i="1"/>
  <c r="G1152" i="1" s="1"/>
  <c r="C1153" i="1"/>
  <c r="E1153" i="1" s="1"/>
  <c r="D1153" i="1"/>
  <c r="G1153" i="1" s="1"/>
  <c r="H1153" i="1" s="1"/>
  <c r="C1154" i="1"/>
  <c r="E1154" i="1" s="1"/>
  <c r="D1154" i="1"/>
  <c r="G1154" i="1" s="1"/>
  <c r="C1155" i="1"/>
  <c r="E1155" i="1" s="1"/>
  <c r="D1155" i="1"/>
  <c r="G1155" i="1" s="1"/>
  <c r="H1155" i="1" s="1"/>
  <c r="C1156" i="1"/>
  <c r="E1156" i="1" s="1"/>
  <c r="D1156" i="1"/>
  <c r="G1156" i="1" s="1"/>
  <c r="C1157" i="1"/>
  <c r="E1157" i="1" s="1"/>
  <c r="D1157" i="1"/>
  <c r="G1157" i="1" s="1"/>
  <c r="H1157" i="1" s="1"/>
  <c r="C1158" i="1"/>
  <c r="E1158" i="1" s="1"/>
  <c r="D1158" i="1"/>
  <c r="G1158" i="1" s="1"/>
  <c r="H1158" i="1" s="1"/>
  <c r="C1159" i="1"/>
  <c r="E1159" i="1" s="1"/>
  <c r="D1159" i="1"/>
  <c r="G1159" i="1" s="1"/>
  <c r="H1159" i="1" s="1"/>
  <c r="C1160" i="1"/>
  <c r="E1160" i="1" s="1"/>
  <c r="D1160" i="1"/>
  <c r="G1160" i="1" s="1"/>
  <c r="C1161" i="1"/>
  <c r="E1161" i="1" s="1"/>
  <c r="D1161" i="1"/>
  <c r="G1161" i="1" s="1"/>
  <c r="H1161" i="1" s="1"/>
  <c r="C1162" i="1"/>
  <c r="E1162" i="1" s="1"/>
  <c r="D1162" i="1"/>
  <c r="G1162" i="1" s="1"/>
  <c r="C1163" i="1"/>
  <c r="E1163" i="1" s="1"/>
  <c r="D1163" i="1"/>
  <c r="G1163" i="1" s="1"/>
  <c r="H1163" i="1" s="1"/>
  <c r="C1164" i="1"/>
  <c r="E1164" i="1" s="1"/>
  <c r="D1164" i="1"/>
  <c r="G1164" i="1" s="1"/>
  <c r="C1165" i="1"/>
  <c r="E1165" i="1" s="1"/>
  <c r="D1165" i="1"/>
  <c r="G1165" i="1" s="1"/>
  <c r="H1165" i="1" s="1"/>
  <c r="C1166" i="1"/>
  <c r="E1166" i="1" s="1"/>
  <c r="D1166" i="1"/>
  <c r="G1166" i="1" s="1"/>
  <c r="H1166" i="1" s="1"/>
  <c r="C1167" i="1"/>
  <c r="E1167" i="1" s="1"/>
  <c r="D1167" i="1"/>
  <c r="G1167" i="1" s="1"/>
  <c r="H1167" i="1" s="1"/>
  <c r="C1168" i="1"/>
  <c r="E1168" i="1" s="1"/>
  <c r="D1168" i="1"/>
  <c r="G1168" i="1" s="1"/>
  <c r="C1169" i="1"/>
  <c r="E1169" i="1" s="1"/>
  <c r="D1169" i="1"/>
  <c r="G1169" i="1" s="1"/>
  <c r="H1169" i="1" s="1"/>
  <c r="C1170" i="1"/>
  <c r="E1170" i="1" s="1"/>
  <c r="D1170" i="1"/>
  <c r="G1170" i="1" s="1"/>
  <c r="H1170" i="1" s="1"/>
  <c r="C1171" i="1"/>
  <c r="E1171" i="1" s="1"/>
  <c r="D1171" i="1"/>
  <c r="G1171" i="1" s="1"/>
  <c r="H1171" i="1" s="1"/>
  <c r="F1171" i="1"/>
  <c r="I1171" i="1" s="1"/>
  <c r="C1172" i="1"/>
  <c r="E1172" i="1" s="1"/>
  <c r="D1172" i="1"/>
  <c r="G1172" i="1" s="1"/>
  <c r="C1173" i="1"/>
  <c r="E1173" i="1" s="1"/>
  <c r="D1173" i="1"/>
  <c r="G1173" i="1" s="1"/>
  <c r="H1173" i="1" s="1"/>
  <c r="C1174" i="1"/>
  <c r="E1174" i="1" s="1"/>
  <c r="D1174" i="1"/>
  <c r="G1174" i="1" s="1"/>
  <c r="F1174" i="1" s="1"/>
  <c r="I1174" i="1" s="1"/>
  <c r="C1175" i="1"/>
  <c r="E1175" i="1" s="1"/>
  <c r="D1175" i="1"/>
  <c r="G1175" i="1" s="1"/>
  <c r="H1175" i="1" s="1"/>
  <c r="C1176" i="1"/>
  <c r="E1176" i="1" s="1"/>
  <c r="D1176" i="1"/>
  <c r="G1176" i="1" s="1"/>
  <c r="C1177" i="1"/>
  <c r="E1177" i="1" s="1"/>
  <c r="D1177" i="1"/>
  <c r="G1177" i="1" s="1"/>
  <c r="H1177" i="1" s="1"/>
  <c r="C1178" i="1"/>
  <c r="E1178" i="1" s="1"/>
  <c r="D1178" i="1"/>
  <c r="G1178" i="1" s="1"/>
  <c r="H1178" i="1" s="1"/>
  <c r="C1179" i="1"/>
  <c r="E1179" i="1" s="1"/>
  <c r="D1179" i="1"/>
  <c r="G1179" i="1" s="1"/>
  <c r="H1179" i="1"/>
  <c r="C1180" i="1"/>
  <c r="E1180" i="1" s="1"/>
  <c r="D1180" i="1"/>
  <c r="G1180" i="1" s="1"/>
  <c r="C1181" i="1"/>
  <c r="E1181" i="1" s="1"/>
  <c r="D1181" i="1"/>
  <c r="G1181" i="1" s="1"/>
  <c r="H1181" i="1" s="1"/>
  <c r="C1182" i="1"/>
  <c r="E1182" i="1" s="1"/>
  <c r="D1182" i="1"/>
  <c r="G1182" i="1" s="1"/>
  <c r="H1182" i="1" s="1"/>
  <c r="C1183" i="1"/>
  <c r="E1183" i="1" s="1"/>
  <c r="D1183" i="1"/>
  <c r="G1183" i="1" s="1"/>
  <c r="H1183" i="1" s="1"/>
  <c r="C1184" i="1"/>
  <c r="E1184" i="1" s="1"/>
  <c r="D1184" i="1"/>
  <c r="G1184" i="1" s="1"/>
  <c r="C1185" i="1"/>
  <c r="E1185" i="1" s="1"/>
  <c r="D1185" i="1"/>
  <c r="G1185" i="1" s="1"/>
  <c r="H1185" i="1" s="1"/>
  <c r="C1186" i="1"/>
  <c r="E1186" i="1" s="1"/>
  <c r="D1186" i="1"/>
  <c r="G1186" i="1" s="1"/>
  <c r="H1186" i="1" s="1"/>
  <c r="C1187" i="1"/>
  <c r="E1187" i="1" s="1"/>
  <c r="D1187" i="1"/>
  <c r="G1187" i="1" s="1"/>
  <c r="H1187" i="1" s="1"/>
  <c r="C1188" i="1"/>
  <c r="E1188" i="1" s="1"/>
  <c r="D1188" i="1"/>
  <c r="G1188" i="1" s="1"/>
  <c r="C1189" i="1"/>
  <c r="E1189" i="1" s="1"/>
  <c r="D1189" i="1"/>
  <c r="G1189" i="1" s="1"/>
  <c r="H1189" i="1"/>
  <c r="C1190" i="1"/>
  <c r="E1190" i="1" s="1"/>
  <c r="D1190" i="1"/>
  <c r="G1190" i="1" s="1"/>
  <c r="F1190" i="1" s="1"/>
  <c r="C1191" i="1"/>
  <c r="E1191" i="1" s="1"/>
  <c r="D1191" i="1"/>
  <c r="G1191" i="1" s="1"/>
  <c r="H1191" i="1" s="1"/>
  <c r="C1192" i="1"/>
  <c r="E1192" i="1" s="1"/>
  <c r="D1192" i="1"/>
  <c r="G1192" i="1" s="1"/>
  <c r="C1193" i="1"/>
  <c r="E1193" i="1" s="1"/>
  <c r="D1193" i="1"/>
  <c r="G1193" i="1" s="1"/>
  <c r="H1193" i="1" s="1"/>
  <c r="C1194" i="1"/>
  <c r="E1194" i="1" s="1"/>
  <c r="D1194" i="1"/>
  <c r="G1194" i="1" s="1"/>
  <c r="F1194" i="1" s="1"/>
  <c r="I1194" i="1" s="1"/>
  <c r="C1195" i="1"/>
  <c r="E1195" i="1" s="1"/>
  <c r="D1195" i="1"/>
  <c r="G1195" i="1" s="1"/>
  <c r="C1196" i="1"/>
  <c r="E1196" i="1" s="1"/>
  <c r="D1196" i="1"/>
  <c r="G1196" i="1" s="1"/>
  <c r="C1197" i="1"/>
  <c r="E1197" i="1" s="1"/>
  <c r="D1197" i="1"/>
  <c r="G1197" i="1" s="1"/>
  <c r="H1197" i="1" s="1"/>
  <c r="C1198" i="1"/>
  <c r="E1198" i="1" s="1"/>
  <c r="D1198" i="1"/>
  <c r="G1198" i="1" s="1"/>
  <c r="H1198" i="1"/>
  <c r="C1199" i="1"/>
  <c r="E1199" i="1" s="1"/>
  <c r="D1199" i="1"/>
  <c r="G1199" i="1" s="1"/>
  <c r="H1199" i="1" s="1"/>
  <c r="C1200" i="1"/>
  <c r="E1200" i="1" s="1"/>
  <c r="D1200" i="1"/>
  <c r="G1200" i="1" s="1"/>
  <c r="C1201" i="1"/>
  <c r="E1201" i="1" s="1"/>
  <c r="D1201" i="1"/>
  <c r="G1201" i="1" s="1"/>
  <c r="H1201" i="1" s="1"/>
  <c r="C1202" i="1"/>
  <c r="E1202" i="1" s="1"/>
  <c r="D1202" i="1"/>
  <c r="G1202" i="1" s="1"/>
  <c r="H1202" i="1" s="1"/>
  <c r="C1203" i="1"/>
  <c r="E1203" i="1" s="1"/>
  <c r="D1203" i="1"/>
  <c r="G1203" i="1" s="1"/>
  <c r="F1203" i="1" s="1"/>
  <c r="I1203" i="1" s="1"/>
  <c r="C1204" i="1"/>
  <c r="E1204" i="1" s="1"/>
  <c r="D1204" i="1"/>
  <c r="G1204" i="1" s="1"/>
  <c r="C1205" i="1"/>
  <c r="E1205" i="1" s="1"/>
  <c r="D1205" i="1"/>
  <c r="G1205" i="1" s="1"/>
  <c r="H1205" i="1" s="1"/>
  <c r="C1206" i="1"/>
  <c r="E1206" i="1" s="1"/>
  <c r="D1206" i="1"/>
  <c r="G1206" i="1" s="1"/>
  <c r="F1206" i="1" s="1"/>
  <c r="C1207" i="1"/>
  <c r="E1207" i="1" s="1"/>
  <c r="D1207" i="1"/>
  <c r="G1207" i="1" s="1"/>
  <c r="H1207" i="1" s="1"/>
  <c r="C1208" i="1"/>
  <c r="E1208" i="1" s="1"/>
  <c r="D1208" i="1"/>
  <c r="G1208" i="1" s="1"/>
  <c r="C1209" i="1"/>
  <c r="E1209" i="1" s="1"/>
  <c r="D1209" i="1"/>
  <c r="G1209" i="1" s="1"/>
  <c r="H1209" i="1" s="1"/>
  <c r="C1210" i="1"/>
  <c r="E1210" i="1" s="1"/>
  <c r="D1210" i="1"/>
  <c r="G1210" i="1" s="1"/>
  <c r="H1210" i="1" s="1"/>
  <c r="C1211" i="1"/>
  <c r="E1211" i="1" s="1"/>
  <c r="D1211" i="1"/>
  <c r="G1211" i="1" s="1"/>
  <c r="H1211" i="1" s="1"/>
  <c r="C1212" i="1"/>
  <c r="E1212" i="1" s="1"/>
  <c r="D1212" i="1"/>
  <c r="G1212" i="1" s="1"/>
  <c r="C1213" i="1"/>
  <c r="E1213" i="1" s="1"/>
  <c r="D1213" i="1"/>
  <c r="G1213" i="1" s="1"/>
  <c r="H1213" i="1" s="1"/>
  <c r="C1214" i="1"/>
  <c r="E1214" i="1" s="1"/>
  <c r="D1214" i="1"/>
  <c r="G1214" i="1" s="1"/>
  <c r="H1214" i="1"/>
  <c r="C1215" i="1"/>
  <c r="E1215" i="1" s="1"/>
  <c r="D1215" i="1"/>
  <c r="G1215" i="1" s="1"/>
  <c r="H1215" i="1" s="1"/>
  <c r="C1216" i="1"/>
  <c r="E1216" i="1" s="1"/>
  <c r="D1216" i="1"/>
  <c r="G1216" i="1" s="1"/>
  <c r="C1217" i="1"/>
  <c r="E1217" i="1" s="1"/>
  <c r="D1217" i="1"/>
  <c r="G1217" i="1" s="1"/>
  <c r="C1218" i="1"/>
  <c r="E1218" i="1" s="1"/>
  <c r="D1218" i="1"/>
  <c r="G1218" i="1" s="1"/>
  <c r="H1218" i="1" s="1"/>
  <c r="C1219" i="1"/>
  <c r="E1219" i="1" s="1"/>
  <c r="D1219" i="1"/>
  <c r="G1219" i="1" s="1"/>
  <c r="C1220" i="1"/>
  <c r="E1220" i="1" s="1"/>
  <c r="D1220" i="1"/>
  <c r="G1220" i="1" s="1"/>
  <c r="C1221" i="1"/>
  <c r="E1221" i="1" s="1"/>
  <c r="D1221" i="1"/>
  <c r="G1221" i="1" s="1"/>
  <c r="C1222" i="1"/>
  <c r="E1222" i="1" s="1"/>
  <c r="D1222" i="1"/>
  <c r="G1222" i="1" s="1"/>
  <c r="H1222" i="1" s="1"/>
  <c r="C1223" i="1"/>
  <c r="E1223" i="1" s="1"/>
  <c r="D1223" i="1"/>
  <c r="G1223" i="1" s="1"/>
  <c r="H1223" i="1" s="1"/>
  <c r="C1224" i="1"/>
  <c r="E1224" i="1" s="1"/>
  <c r="D1224" i="1"/>
  <c r="G1224" i="1" s="1"/>
  <c r="H1224" i="1" s="1"/>
  <c r="C1225" i="1"/>
  <c r="E1225" i="1" s="1"/>
  <c r="D1225" i="1"/>
  <c r="G1225" i="1" s="1"/>
  <c r="C1226" i="1"/>
  <c r="E1226" i="1" s="1"/>
  <c r="D1226" i="1"/>
  <c r="G1226" i="1" s="1"/>
  <c r="H1226" i="1" s="1"/>
  <c r="C1227" i="1"/>
  <c r="E1227" i="1" s="1"/>
  <c r="D1227" i="1"/>
  <c r="G1227" i="1"/>
  <c r="H1227" i="1" s="1"/>
  <c r="C1228" i="1"/>
  <c r="E1228" i="1" s="1"/>
  <c r="D1228" i="1"/>
  <c r="G1228" i="1" s="1"/>
  <c r="H1228" i="1" s="1"/>
  <c r="C1229" i="1"/>
  <c r="E1229" i="1" s="1"/>
  <c r="D1229" i="1"/>
  <c r="G1229" i="1" s="1"/>
  <c r="C1230" i="1"/>
  <c r="E1230" i="1" s="1"/>
  <c r="D1230" i="1"/>
  <c r="G1230" i="1" s="1"/>
  <c r="H1230" i="1" s="1"/>
  <c r="C1231" i="1"/>
  <c r="E1231" i="1" s="1"/>
  <c r="D1231" i="1"/>
  <c r="G1231" i="1" s="1"/>
  <c r="C1232" i="1"/>
  <c r="E1232" i="1" s="1"/>
  <c r="D1232" i="1"/>
  <c r="G1232" i="1" s="1"/>
  <c r="H1232" i="1" s="1"/>
  <c r="C1233" i="1"/>
  <c r="E1233" i="1" s="1"/>
  <c r="D1233" i="1"/>
  <c r="G1233" i="1" s="1"/>
  <c r="C1234" i="1"/>
  <c r="E1234" i="1" s="1"/>
  <c r="D1234" i="1"/>
  <c r="G1234" i="1" s="1"/>
  <c r="H1234" i="1" s="1"/>
  <c r="C1235" i="1"/>
  <c r="E1235" i="1" s="1"/>
  <c r="D1235" i="1"/>
  <c r="G1235" i="1" s="1"/>
  <c r="H1235" i="1" s="1"/>
  <c r="C1236" i="1"/>
  <c r="E1236" i="1" s="1"/>
  <c r="D1236" i="1"/>
  <c r="G1236" i="1" s="1"/>
  <c r="H1236" i="1" s="1"/>
  <c r="C1237" i="1"/>
  <c r="E1237" i="1" s="1"/>
  <c r="D1237" i="1"/>
  <c r="G1237" i="1" s="1"/>
  <c r="C1238" i="1"/>
  <c r="E1238" i="1" s="1"/>
  <c r="D1238" i="1"/>
  <c r="G1238" i="1" s="1"/>
  <c r="H1238" i="1" s="1"/>
  <c r="C1239" i="1"/>
  <c r="E1239" i="1" s="1"/>
  <c r="D1239" i="1"/>
  <c r="G1239" i="1"/>
  <c r="H1239" i="1" s="1"/>
  <c r="C1240" i="1"/>
  <c r="E1240" i="1" s="1"/>
  <c r="D1240" i="1"/>
  <c r="G1240" i="1" s="1"/>
  <c r="H1240" i="1" s="1"/>
  <c r="C1241" i="1"/>
  <c r="E1241" i="1" s="1"/>
  <c r="D1241" i="1"/>
  <c r="G1241" i="1" s="1"/>
  <c r="C1242" i="1"/>
  <c r="E1242" i="1" s="1"/>
  <c r="D1242" i="1"/>
  <c r="G1242" i="1" s="1"/>
  <c r="H1242" i="1" s="1"/>
  <c r="C1243" i="1"/>
  <c r="E1243" i="1" s="1"/>
  <c r="D1243" i="1"/>
  <c r="G1243" i="1" s="1"/>
  <c r="F1243" i="1" s="1"/>
  <c r="I1243" i="1" s="1"/>
  <c r="C1244" i="1"/>
  <c r="E1244" i="1" s="1"/>
  <c r="D1244" i="1"/>
  <c r="G1244" i="1" s="1"/>
  <c r="H1244" i="1" s="1"/>
  <c r="C1245" i="1"/>
  <c r="E1245" i="1" s="1"/>
  <c r="D1245" i="1"/>
  <c r="G1245" i="1" s="1"/>
  <c r="C1246" i="1"/>
  <c r="E1246" i="1" s="1"/>
  <c r="D1246" i="1"/>
  <c r="G1246" i="1" s="1"/>
  <c r="H1246" i="1" s="1"/>
  <c r="C1247" i="1"/>
  <c r="E1247" i="1" s="1"/>
  <c r="D1247" i="1"/>
  <c r="G1247" i="1" s="1"/>
  <c r="C1248" i="1"/>
  <c r="E1248" i="1" s="1"/>
  <c r="D1248" i="1"/>
  <c r="G1248" i="1" s="1"/>
  <c r="C1249" i="1"/>
  <c r="E1249" i="1" s="1"/>
  <c r="D1249" i="1"/>
  <c r="G1249" i="1" s="1"/>
  <c r="C1250" i="1"/>
  <c r="E1250" i="1" s="1"/>
  <c r="D1250" i="1"/>
  <c r="G1250" i="1" s="1"/>
  <c r="H1250" i="1" s="1"/>
  <c r="C1251" i="1"/>
  <c r="E1251" i="1" s="1"/>
  <c r="D1251" i="1"/>
  <c r="G1251" i="1"/>
  <c r="H1251" i="1" s="1"/>
  <c r="C1252" i="1"/>
  <c r="E1252" i="1" s="1"/>
  <c r="D1252" i="1"/>
  <c r="G1252" i="1"/>
  <c r="H1252" i="1" s="1"/>
  <c r="C1253" i="1"/>
  <c r="E1253" i="1" s="1"/>
  <c r="D1253" i="1"/>
  <c r="G1253" i="1" s="1"/>
  <c r="C1254" i="1"/>
  <c r="E1254" i="1" s="1"/>
  <c r="D1254" i="1"/>
  <c r="G1254" i="1" s="1"/>
  <c r="H1254" i="1" s="1"/>
  <c r="C1255" i="1"/>
  <c r="E1255" i="1" s="1"/>
  <c r="D1255" i="1"/>
  <c r="G1255" i="1" s="1"/>
  <c r="C1256" i="1"/>
  <c r="E1256" i="1" s="1"/>
  <c r="D1256" i="1"/>
  <c r="G1256" i="1" s="1"/>
  <c r="F1256" i="1" s="1"/>
  <c r="I1256" i="1" s="1"/>
  <c r="C1257" i="1"/>
  <c r="E1257" i="1" s="1"/>
  <c r="D1257" i="1"/>
  <c r="G1257" i="1" s="1"/>
  <c r="C1258" i="1"/>
  <c r="E1258" i="1" s="1"/>
  <c r="D1258" i="1"/>
  <c r="G1258" i="1" s="1"/>
  <c r="C1259" i="1"/>
  <c r="E1259" i="1" s="1"/>
  <c r="D1259" i="1"/>
  <c r="G1259" i="1" s="1"/>
  <c r="C1260" i="1"/>
  <c r="E1260" i="1" s="1"/>
  <c r="D1260" i="1"/>
  <c r="G1260" i="1" s="1"/>
  <c r="C1261" i="1"/>
  <c r="E1261" i="1" s="1"/>
  <c r="D1261" i="1"/>
  <c r="G1261" i="1" s="1"/>
  <c r="H1261" i="1" s="1"/>
  <c r="C1262" i="1"/>
  <c r="E1262" i="1" s="1"/>
  <c r="D1262" i="1"/>
  <c r="G1262" i="1" s="1"/>
  <c r="C1263" i="1"/>
  <c r="E1263" i="1" s="1"/>
  <c r="D1263" i="1"/>
  <c r="G1263" i="1" s="1"/>
  <c r="H1263" i="1" s="1"/>
  <c r="C1264" i="1"/>
  <c r="E1264" i="1" s="1"/>
  <c r="D1264" i="1"/>
  <c r="G1264" i="1" s="1"/>
  <c r="C1265" i="1"/>
  <c r="E1265" i="1" s="1"/>
  <c r="D1265" i="1"/>
  <c r="G1265" i="1" s="1"/>
  <c r="H1265" i="1" s="1"/>
  <c r="C1266" i="1"/>
  <c r="E1266" i="1" s="1"/>
  <c r="D1266" i="1"/>
  <c r="G1266" i="1"/>
  <c r="C1267" i="1"/>
  <c r="E1267" i="1" s="1"/>
  <c r="D1267" i="1"/>
  <c r="G1267" i="1" s="1"/>
  <c r="C1268" i="1"/>
  <c r="E1268" i="1" s="1"/>
  <c r="D1268" i="1"/>
  <c r="G1268" i="1" s="1"/>
  <c r="C1269" i="1"/>
  <c r="E1269" i="1" s="1"/>
  <c r="D1269" i="1"/>
  <c r="G1269" i="1" s="1"/>
  <c r="H1269" i="1" s="1"/>
  <c r="C1270" i="1"/>
  <c r="E1270" i="1" s="1"/>
  <c r="D1270" i="1"/>
  <c r="G1270" i="1" s="1"/>
  <c r="C1271" i="1"/>
  <c r="E1271" i="1" s="1"/>
  <c r="D1271" i="1"/>
  <c r="G1271" i="1" s="1"/>
  <c r="C1272" i="1"/>
  <c r="E1272" i="1" s="1"/>
  <c r="D1272" i="1"/>
  <c r="G1272" i="1"/>
  <c r="C1273" i="1"/>
  <c r="E1273" i="1" s="1"/>
  <c r="D1273" i="1"/>
  <c r="G1273" i="1" s="1"/>
  <c r="H1273" i="1" s="1"/>
  <c r="C1274" i="1"/>
  <c r="E1274" i="1" s="1"/>
  <c r="D1274" i="1"/>
  <c r="G1274" i="1" s="1"/>
  <c r="C1275" i="1"/>
  <c r="E1275" i="1" s="1"/>
  <c r="D1275" i="1"/>
  <c r="G1275" i="1" s="1"/>
  <c r="C1276" i="1"/>
  <c r="E1276" i="1" s="1"/>
  <c r="D1276" i="1"/>
  <c r="G1276" i="1" s="1"/>
  <c r="C1277" i="1"/>
  <c r="E1277" i="1" s="1"/>
  <c r="D1277" i="1"/>
  <c r="G1277" i="1" s="1"/>
  <c r="H1277" i="1" s="1"/>
  <c r="C1278" i="1"/>
  <c r="E1278" i="1" s="1"/>
  <c r="D1278" i="1"/>
  <c r="G1278" i="1" s="1"/>
  <c r="C1279" i="1"/>
  <c r="E1279" i="1" s="1"/>
  <c r="D1279" i="1"/>
  <c r="G1279" i="1" s="1"/>
  <c r="H1279" i="1" s="1"/>
  <c r="C1280" i="1"/>
  <c r="E1280" i="1" s="1"/>
  <c r="D1280" i="1"/>
  <c r="G1280" i="1" s="1"/>
  <c r="H1280" i="1" s="1"/>
  <c r="C1281" i="1"/>
  <c r="E1281" i="1" s="1"/>
  <c r="D1281" i="1"/>
  <c r="G1281" i="1" s="1"/>
  <c r="H1281" i="1" s="1"/>
  <c r="C1282" i="1"/>
  <c r="E1282" i="1" s="1"/>
  <c r="D1282" i="1"/>
  <c r="G1282" i="1" s="1"/>
  <c r="C1283" i="1"/>
  <c r="E1283" i="1" s="1"/>
  <c r="D1283" i="1"/>
  <c r="G1283" i="1" s="1"/>
  <c r="F1283" i="1" s="1"/>
  <c r="I1283" i="1" s="1"/>
  <c r="C1284" i="1"/>
  <c r="E1284" i="1" s="1"/>
  <c r="D1284" i="1"/>
  <c r="G1284" i="1" s="1"/>
  <c r="C1285" i="1"/>
  <c r="E1285" i="1" s="1"/>
  <c r="D1285" i="1"/>
  <c r="G1285" i="1" s="1"/>
  <c r="H1285" i="1" s="1"/>
  <c r="C1286" i="1"/>
  <c r="E1286" i="1" s="1"/>
  <c r="D1286" i="1"/>
  <c r="G1286" i="1" s="1"/>
  <c r="C1287" i="1"/>
  <c r="E1287" i="1" s="1"/>
  <c r="D1287" i="1"/>
  <c r="G1287" i="1" s="1"/>
  <c r="C1288" i="1"/>
  <c r="E1288" i="1" s="1"/>
  <c r="D1288" i="1"/>
  <c r="G1288" i="1" s="1"/>
  <c r="C1289" i="1"/>
  <c r="E1289" i="1" s="1"/>
  <c r="D1289" i="1"/>
  <c r="G1289" i="1" s="1"/>
  <c r="H1289" i="1" s="1"/>
  <c r="C1290" i="1"/>
  <c r="E1290" i="1" s="1"/>
  <c r="D1290" i="1"/>
  <c r="G1290" i="1" s="1"/>
  <c r="C1291" i="1"/>
  <c r="E1291" i="1" s="1"/>
  <c r="D1291" i="1"/>
  <c r="G1291" i="1" s="1"/>
  <c r="C1292" i="1"/>
  <c r="E1292" i="1" s="1"/>
  <c r="D1292" i="1"/>
  <c r="G1292" i="1" s="1"/>
  <c r="C1293" i="1"/>
  <c r="E1293" i="1" s="1"/>
  <c r="D1293" i="1"/>
  <c r="G1293" i="1" s="1"/>
  <c r="H1293" i="1" s="1"/>
  <c r="C1294" i="1"/>
  <c r="E1294" i="1" s="1"/>
  <c r="D1294" i="1"/>
  <c r="G1294" i="1" s="1"/>
  <c r="C1295" i="1"/>
  <c r="E1295" i="1" s="1"/>
  <c r="D1295" i="1"/>
  <c r="G1295" i="1" s="1"/>
  <c r="C1296" i="1"/>
  <c r="E1296" i="1" s="1"/>
  <c r="D1296" i="1"/>
  <c r="G1296" i="1" s="1"/>
  <c r="C1297" i="1"/>
  <c r="E1297" i="1" s="1"/>
  <c r="D1297" i="1"/>
  <c r="G1297" i="1" s="1"/>
  <c r="H1297" i="1" s="1"/>
  <c r="C1298" i="1"/>
  <c r="E1298" i="1" s="1"/>
  <c r="D1298" i="1"/>
  <c r="G1298" i="1" s="1"/>
  <c r="C1299" i="1"/>
  <c r="E1299" i="1" s="1"/>
  <c r="D1299" i="1"/>
  <c r="G1299" i="1" s="1"/>
  <c r="C1300" i="1"/>
  <c r="E1300" i="1" s="1"/>
  <c r="D1300" i="1"/>
  <c r="G1300" i="1" s="1"/>
  <c r="C1301" i="1"/>
  <c r="E1301" i="1" s="1"/>
  <c r="D1301" i="1"/>
  <c r="G1301" i="1" s="1"/>
  <c r="H1301" i="1" s="1"/>
  <c r="C1302" i="1"/>
  <c r="E1302" i="1" s="1"/>
  <c r="D1302" i="1"/>
  <c r="G1302" i="1" s="1"/>
  <c r="C1303" i="1"/>
  <c r="E1303" i="1" s="1"/>
  <c r="D1303" i="1"/>
  <c r="G1303" i="1" s="1"/>
  <c r="C1304" i="1"/>
  <c r="E1304" i="1" s="1"/>
  <c r="D1304" i="1"/>
  <c r="G1304" i="1"/>
  <c r="C1305" i="1"/>
  <c r="E1305" i="1" s="1"/>
  <c r="D1305" i="1"/>
  <c r="G1305" i="1" s="1"/>
  <c r="H1305" i="1" s="1"/>
  <c r="C1306" i="1"/>
  <c r="E1306" i="1" s="1"/>
  <c r="D1306" i="1"/>
  <c r="G1306" i="1" s="1"/>
  <c r="C1307" i="1"/>
  <c r="E1307" i="1" s="1"/>
  <c r="D1307" i="1"/>
  <c r="G1307" i="1" s="1"/>
  <c r="C1308" i="1"/>
  <c r="E1308" i="1" s="1"/>
  <c r="D1308" i="1"/>
  <c r="G1308" i="1" s="1"/>
  <c r="C1309" i="1"/>
  <c r="E1309" i="1" s="1"/>
  <c r="D1309" i="1"/>
  <c r="G1309" i="1" s="1"/>
  <c r="H1309" i="1" s="1"/>
  <c r="C1310" i="1"/>
  <c r="E1310" i="1" s="1"/>
  <c r="D1310" i="1"/>
  <c r="G1310" i="1" s="1"/>
  <c r="C1311" i="1"/>
  <c r="E1311" i="1" s="1"/>
  <c r="D1311" i="1"/>
  <c r="G1311" i="1" s="1"/>
  <c r="H1311" i="1" s="1"/>
  <c r="C1312" i="1"/>
  <c r="E1312" i="1" s="1"/>
  <c r="D1312" i="1"/>
  <c r="G1312" i="1" s="1"/>
  <c r="H1312" i="1" s="1"/>
  <c r="C1313" i="1"/>
  <c r="E1313" i="1" s="1"/>
  <c r="D1313" i="1"/>
  <c r="G1313" i="1" s="1"/>
  <c r="H1313" i="1" s="1"/>
  <c r="C1314" i="1"/>
  <c r="E1314" i="1" s="1"/>
  <c r="D1314" i="1"/>
  <c r="G1314" i="1" s="1"/>
  <c r="C1315" i="1"/>
  <c r="E1315" i="1" s="1"/>
  <c r="D1315" i="1"/>
  <c r="G1315" i="1" s="1"/>
  <c r="C1316" i="1"/>
  <c r="E1316" i="1" s="1"/>
  <c r="D1316" i="1"/>
  <c r="G1316" i="1" s="1"/>
  <c r="C1317" i="1"/>
  <c r="E1317" i="1" s="1"/>
  <c r="D1317" i="1"/>
  <c r="G1317" i="1" s="1"/>
  <c r="H1317" i="1" s="1"/>
  <c r="C1318" i="1"/>
  <c r="E1318" i="1" s="1"/>
  <c r="D1318" i="1"/>
  <c r="G1318" i="1" s="1"/>
  <c r="H1318" i="1" s="1"/>
  <c r="C1319" i="1"/>
  <c r="E1319" i="1" s="1"/>
  <c r="D1319" i="1"/>
  <c r="G1319" i="1" s="1"/>
  <c r="C1320" i="1"/>
  <c r="E1320" i="1" s="1"/>
  <c r="D1320" i="1"/>
  <c r="G1320" i="1"/>
  <c r="H1320" i="1" s="1"/>
  <c r="C1321" i="1"/>
  <c r="E1321" i="1" s="1"/>
  <c r="D1321" i="1"/>
  <c r="G1321" i="1" s="1"/>
  <c r="H1321" i="1" s="1"/>
  <c r="C1322" i="1"/>
  <c r="E1322" i="1" s="1"/>
  <c r="D1322" i="1"/>
  <c r="G1322" i="1" s="1"/>
  <c r="C1323" i="1"/>
  <c r="E1323" i="1" s="1"/>
  <c r="D1323" i="1"/>
  <c r="G1323" i="1" s="1"/>
  <c r="H1323" i="1" s="1"/>
  <c r="C1324" i="1"/>
  <c r="E1324" i="1" s="1"/>
  <c r="D1324" i="1"/>
  <c r="G1324" i="1" s="1"/>
  <c r="C1325" i="1"/>
  <c r="E1325" i="1" s="1"/>
  <c r="D1325" i="1"/>
  <c r="G1325" i="1" s="1"/>
  <c r="H1325" i="1" s="1"/>
  <c r="C1326" i="1"/>
  <c r="E1326" i="1" s="1"/>
  <c r="D1326" i="1"/>
  <c r="G1326" i="1" s="1"/>
  <c r="H1326" i="1" s="1"/>
  <c r="C1327" i="1"/>
  <c r="E1327" i="1" s="1"/>
  <c r="D1327" i="1"/>
  <c r="G1327" i="1" s="1"/>
  <c r="C1328" i="1"/>
  <c r="E1328" i="1" s="1"/>
  <c r="D1328" i="1"/>
  <c r="G1328" i="1" s="1"/>
  <c r="C1329" i="1"/>
  <c r="E1329" i="1" s="1"/>
  <c r="D1329" i="1"/>
  <c r="G1329" i="1" s="1"/>
  <c r="C1330" i="1"/>
  <c r="E1330" i="1" s="1"/>
  <c r="D1330" i="1"/>
  <c r="G1330" i="1" s="1"/>
  <c r="C1331" i="1"/>
  <c r="E1331" i="1" s="1"/>
  <c r="D1331" i="1"/>
  <c r="G1331" i="1" s="1"/>
  <c r="C1332" i="1"/>
  <c r="E1332" i="1" s="1"/>
  <c r="D1332" i="1"/>
  <c r="G1332" i="1" s="1"/>
  <c r="C1333" i="1"/>
  <c r="E1333" i="1" s="1"/>
  <c r="D1333" i="1"/>
  <c r="G1333" i="1" s="1"/>
  <c r="H1333" i="1" s="1"/>
  <c r="C1334" i="1"/>
  <c r="E1334" i="1" s="1"/>
  <c r="D1334" i="1"/>
  <c r="G1334" i="1" s="1"/>
  <c r="C1335" i="1"/>
  <c r="E1335" i="1" s="1"/>
  <c r="D1335" i="1"/>
  <c r="G1335" i="1" s="1"/>
  <c r="C1336" i="1"/>
  <c r="E1336" i="1" s="1"/>
  <c r="D1336" i="1"/>
  <c r="G1336" i="1" s="1"/>
  <c r="C1337" i="1"/>
  <c r="E1337" i="1" s="1"/>
  <c r="D1337" i="1"/>
  <c r="G1337" i="1" s="1"/>
  <c r="H1337" i="1" s="1"/>
  <c r="C1338" i="1"/>
  <c r="E1338" i="1" s="1"/>
  <c r="D1338" i="1"/>
  <c r="G1338" i="1" s="1"/>
  <c r="C1339" i="1"/>
  <c r="E1339" i="1" s="1"/>
  <c r="D1339" i="1"/>
  <c r="G1339" i="1" s="1"/>
  <c r="H1339" i="1" s="1"/>
  <c r="C1340" i="1"/>
  <c r="E1340" i="1" s="1"/>
  <c r="D1340" i="1"/>
  <c r="G1340" i="1" s="1"/>
  <c r="C1341" i="1"/>
  <c r="D1341" i="1"/>
  <c r="G1341" i="1" s="1"/>
  <c r="H1341" i="1" s="1"/>
  <c r="C1342" i="1"/>
  <c r="E1342" i="1" s="1"/>
  <c r="D1342" i="1"/>
  <c r="G1342" i="1" s="1"/>
  <c r="H1342" i="1" s="1"/>
  <c r="C1343" i="1"/>
  <c r="E1343" i="1" s="1"/>
  <c r="D1343" i="1"/>
  <c r="G1343" i="1"/>
  <c r="F1343" i="1" s="1"/>
  <c r="I1343" i="1" s="1"/>
  <c r="C1344" i="1"/>
  <c r="E1344" i="1" s="1"/>
  <c r="D1344" i="1"/>
  <c r="G1344" i="1" s="1"/>
  <c r="C1345" i="1"/>
  <c r="E1345" i="1" s="1"/>
  <c r="D1345" i="1"/>
  <c r="G1345" i="1" s="1"/>
  <c r="H1345" i="1" s="1"/>
  <c r="C1346" i="1"/>
  <c r="E1346" i="1" s="1"/>
  <c r="D1346" i="1"/>
  <c r="G1346" i="1" s="1"/>
  <c r="C1347" i="1"/>
  <c r="E1347" i="1" s="1"/>
  <c r="D1347" i="1"/>
  <c r="G1347" i="1" s="1"/>
  <c r="F1347" i="1" s="1"/>
  <c r="I1347" i="1" s="1"/>
  <c r="C1348" i="1"/>
  <c r="E1348" i="1" s="1"/>
  <c r="D1348" i="1"/>
  <c r="G1348" i="1" s="1"/>
  <c r="C1349" i="1"/>
  <c r="E1349" i="1" s="1"/>
  <c r="D1349" i="1"/>
  <c r="G1349" i="1" s="1"/>
  <c r="C1350" i="1"/>
  <c r="E1350" i="1" s="1"/>
  <c r="D1350" i="1"/>
  <c r="G1350" i="1" s="1"/>
  <c r="H1350" i="1" s="1"/>
  <c r="C1351" i="1"/>
  <c r="E1351" i="1" s="1"/>
  <c r="D1351" i="1"/>
  <c r="G1351" i="1" s="1"/>
  <c r="H1351" i="1" s="1"/>
  <c r="C1352" i="1"/>
  <c r="E1352" i="1" s="1"/>
  <c r="D1352" i="1"/>
  <c r="G1352" i="1" s="1"/>
  <c r="C1353" i="1"/>
  <c r="E1353" i="1" s="1"/>
  <c r="D1353" i="1"/>
  <c r="G1353" i="1" s="1"/>
  <c r="H1353" i="1" s="1"/>
  <c r="C1354" i="1"/>
  <c r="E1354" i="1" s="1"/>
  <c r="D1354" i="1"/>
  <c r="G1354" i="1" s="1"/>
  <c r="C1355" i="1"/>
  <c r="E1355" i="1" s="1"/>
  <c r="D1355" i="1"/>
  <c r="G1355" i="1" s="1"/>
  <c r="H1355" i="1" s="1"/>
  <c r="C1356" i="1"/>
  <c r="E1356" i="1" s="1"/>
  <c r="D1356" i="1"/>
  <c r="G1356" i="1" s="1"/>
  <c r="C1357" i="1"/>
  <c r="D1357" i="1"/>
  <c r="G1357" i="1" s="1"/>
  <c r="H1357" i="1" s="1"/>
  <c r="C1358" i="1"/>
  <c r="E1358" i="1" s="1"/>
  <c r="D1358" i="1"/>
  <c r="G1358" i="1" s="1"/>
  <c r="H1358" i="1" s="1"/>
  <c r="C1359" i="1"/>
  <c r="E1359" i="1" s="1"/>
  <c r="D1359" i="1"/>
  <c r="G1359" i="1"/>
  <c r="C1360" i="1"/>
  <c r="E1360" i="1" s="1"/>
  <c r="D1360" i="1"/>
  <c r="G1360" i="1" s="1"/>
  <c r="H1360" i="1" s="1"/>
  <c r="C1361" i="1"/>
  <c r="E1361" i="1" s="1"/>
  <c r="D1361" i="1"/>
  <c r="G1361" i="1" s="1"/>
  <c r="H1361" i="1" s="1"/>
  <c r="C1362" i="1"/>
  <c r="E1362" i="1" s="1"/>
  <c r="D1362" i="1"/>
  <c r="G1362" i="1" s="1"/>
  <c r="C1363" i="1"/>
  <c r="E1363" i="1" s="1"/>
  <c r="D1363" i="1"/>
  <c r="G1363" i="1" s="1"/>
  <c r="C1364" i="1"/>
  <c r="E1364" i="1" s="1"/>
  <c r="D1364" i="1"/>
  <c r="G1364" i="1" s="1"/>
  <c r="C1365" i="1"/>
  <c r="E1365" i="1" s="1"/>
  <c r="D1365" i="1"/>
  <c r="G1365" i="1" s="1"/>
  <c r="H1365" i="1" s="1"/>
  <c r="C1366" i="1"/>
  <c r="E1366" i="1" s="1"/>
  <c r="D1366" i="1"/>
  <c r="G1366" i="1" s="1"/>
  <c r="H1366" i="1" s="1"/>
  <c r="C1367" i="1"/>
  <c r="E1367" i="1" s="1"/>
  <c r="D1367" i="1"/>
  <c r="G1367" i="1" s="1"/>
  <c r="C1368" i="1"/>
  <c r="E1368" i="1" s="1"/>
  <c r="D1368" i="1"/>
  <c r="G1368" i="1" s="1"/>
  <c r="C1369" i="1"/>
  <c r="E1369" i="1" s="1"/>
  <c r="D1369" i="1"/>
  <c r="G1369" i="1" s="1"/>
  <c r="H1369" i="1" s="1"/>
  <c r="C1370" i="1"/>
  <c r="E1370" i="1" s="1"/>
  <c r="D1370" i="1"/>
  <c r="G1370" i="1" s="1"/>
  <c r="C1371" i="1"/>
  <c r="E1371" i="1" s="1"/>
  <c r="D1371" i="1"/>
  <c r="G1371" i="1" s="1"/>
  <c r="H1371" i="1" s="1"/>
  <c r="C1372" i="1"/>
  <c r="E1372" i="1" s="1"/>
  <c r="D1372" i="1"/>
  <c r="G1372" i="1" s="1"/>
  <c r="C1373" i="1"/>
  <c r="E1373" i="1" s="1"/>
  <c r="D1373" i="1"/>
  <c r="G1373" i="1" s="1"/>
  <c r="H1373" i="1" s="1"/>
  <c r="C1374" i="1"/>
  <c r="E1374" i="1" s="1"/>
  <c r="D1374" i="1"/>
  <c r="G1374" i="1" s="1"/>
  <c r="H1374" i="1" s="1"/>
  <c r="C1375" i="1"/>
  <c r="E1375" i="1" s="1"/>
  <c r="D1375" i="1"/>
  <c r="G1375" i="1" s="1"/>
  <c r="C1376" i="1"/>
  <c r="E1376" i="1" s="1"/>
  <c r="D1376" i="1"/>
  <c r="G1376" i="1" s="1"/>
  <c r="H1376" i="1"/>
  <c r="C1377" i="1"/>
  <c r="E1377" i="1" s="1"/>
  <c r="D1377" i="1"/>
  <c r="G1377" i="1" s="1"/>
  <c r="H1377" i="1" s="1"/>
  <c r="C1378" i="1"/>
  <c r="E1378" i="1" s="1"/>
  <c r="D1378" i="1"/>
  <c r="G1378" i="1" s="1"/>
  <c r="C1379" i="1"/>
  <c r="E1379" i="1" s="1"/>
  <c r="D1379" i="1"/>
  <c r="G1379" i="1" s="1"/>
  <c r="C1380" i="1"/>
  <c r="E1380" i="1" s="1"/>
  <c r="D1380" i="1"/>
  <c r="G1380" i="1" s="1"/>
  <c r="C1381" i="1"/>
  <c r="E1381" i="1" s="1"/>
  <c r="D1381" i="1"/>
  <c r="G1381" i="1" s="1"/>
  <c r="C1382" i="1"/>
  <c r="E1382" i="1" s="1"/>
  <c r="D1382" i="1"/>
  <c r="G1382" i="1" s="1"/>
  <c r="C1383" i="1"/>
  <c r="E1383" i="1" s="1"/>
  <c r="D1383" i="1"/>
  <c r="G1383" i="1" s="1"/>
  <c r="C1384" i="1"/>
  <c r="E1384" i="1" s="1"/>
  <c r="D1384" i="1"/>
  <c r="G1384" i="1" s="1"/>
  <c r="C1385" i="1"/>
  <c r="E1385" i="1" s="1"/>
  <c r="D1385" i="1"/>
  <c r="G1385" i="1" s="1"/>
  <c r="C1386" i="1"/>
  <c r="E1386" i="1" s="1"/>
  <c r="D1386" i="1"/>
  <c r="G1386" i="1" s="1"/>
  <c r="C1387" i="1"/>
  <c r="E1387" i="1" s="1"/>
  <c r="D1387" i="1"/>
  <c r="G1387" i="1" s="1"/>
  <c r="C1388" i="1"/>
  <c r="E1388" i="1" s="1"/>
  <c r="D1388" i="1"/>
  <c r="G1388" i="1" s="1"/>
  <c r="C1389" i="1"/>
  <c r="E1389" i="1" s="1"/>
  <c r="D1389" i="1"/>
  <c r="G1389" i="1" s="1"/>
  <c r="C1390" i="1"/>
  <c r="E1390" i="1" s="1"/>
  <c r="D1390" i="1"/>
  <c r="G1390" i="1" s="1"/>
  <c r="C1391" i="1"/>
  <c r="E1391" i="1" s="1"/>
  <c r="D1391" i="1"/>
  <c r="G1391" i="1" s="1"/>
  <c r="C1392" i="1"/>
  <c r="E1392" i="1" s="1"/>
  <c r="D1392" i="1"/>
  <c r="G1392" i="1"/>
  <c r="C1393" i="1"/>
  <c r="E1393" i="1" s="1"/>
  <c r="D1393" i="1"/>
  <c r="G1393" i="1" s="1"/>
  <c r="C1394" i="1"/>
  <c r="E1394" i="1" s="1"/>
  <c r="D1394" i="1"/>
  <c r="G1394" i="1"/>
  <c r="C1395" i="1"/>
  <c r="E1395" i="1" s="1"/>
  <c r="D1395" i="1"/>
  <c r="G1395" i="1" s="1"/>
  <c r="C1396" i="1"/>
  <c r="E1396" i="1" s="1"/>
  <c r="D1396" i="1"/>
  <c r="G1396" i="1" s="1"/>
  <c r="C1397" i="1"/>
  <c r="E1397" i="1" s="1"/>
  <c r="D1397" i="1"/>
  <c r="G1397" i="1" s="1"/>
  <c r="C1398" i="1"/>
  <c r="E1398" i="1" s="1"/>
  <c r="D1398" i="1"/>
  <c r="G1398" i="1" s="1"/>
  <c r="C1399" i="1"/>
  <c r="E1399" i="1" s="1"/>
  <c r="D1399" i="1"/>
  <c r="G1399" i="1" s="1"/>
  <c r="C1400" i="1"/>
  <c r="E1400" i="1" s="1"/>
  <c r="D1400" i="1"/>
  <c r="G1400" i="1" s="1"/>
  <c r="C1401" i="1"/>
  <c r="E1401" i="1" s="1"/>
  <c r="D1401" i="1"/>
  <c r="G1401" i="1" s="1"/>
  <c r="C1402" i="1"/>
  <c r="E1402" i="1" s="1"/>
  <c r="D1402" i="1"/>
  <c r="G1402" i="1" s="1"/>
  <c r="C1403" i="1"/>
  <c r="E1403" i="1" s="1"/>
  <c r="D1403" i="1"/>
  <c r="G1403" i="1" s="1"/>
  <c r="C1404" i="1"/>
  <c r="E1404" i="1" s="1"/>
  <c r="D1404" i="1"/>
  <c r="G1404" i="1" s="1"/>
  <c r="C1405" i="1"/>
  <c r="E1405" i="1" s="1"/>
  <c r="D1405" i="1"/>
  <c r="G1405" i="1" s="1"/>
  <c r="C1406" i="1"/>
  <c r="E1406" i="1" s="1"/>
  <c r="D1406" i="1"/>
  <c r="G1406" i="1" s="1"/>
  <c r="C1407" i="1"/>
  <c r="E1407" i="1" s="1"/>
  <c r="D1407" i="1"/>
  <c r="G1407" i="1" s="1"/>
  <c r="C1408" i="1"/>
  <c r="E1408" i="1" s="1"/>
  <c r="D1408" i="1"/>
  <c r="G1408" i="1"/>
  <c r="C1409" i="1"/>
  <c r="E1409" i="1" s="1"/>
  <c r="D1409" i="1"/>
  <c r="G1409" i="1" s="1"/>
  <c r="C1410" i="1"/>
  <c r="E1410" i="1" s="1"/>
  <c r="D1410" i="1"/>
  <c r="G1410" i="1"/>
  <c r="C1411" i="1"/>
  <c r="E1411" i="1" s="1"/>
  <c r="D1411" i="1"/>
  <c r="G1411" i="1" s="1"/>
  <c r="C1412" i="1"/>
  <c r="E1412" i="1" s="1"/>
  <c r="D1412" i="1"/>
  <c r="G1412" i="1" s="1"/>
  <c r="C1413" i="1"/>
  <c r="E1413" i="1" s="1"/>
  <c r="D1413" i="1"/>
  <c r="G1413" i="1" s="1"/>
  <c r="C1414" i="1"/>
  <c r="E1414" i="1" s="1"/>
  <c r="D1414" i="1"/>
  <c r="G1414" i="1" s="1"/>
  <c r="C1415" i="1"/>
  <c r="E1415" i="1" s="1"/>
  <c r="D1415" i="1"/>
  <c r="G1415" i="1" s="1"/>
  <c r="C1416" i="1"/>
  <c r="E1416" i="1" s="1"/>
  <c r="D1416" i="1"/>
  <c r="G1416" i="1"/>
  <c r="C1417" i="1"/>
  <c r="E1417" i="1" s="1"/>
  <c r="D1417" i="1"/>
  <c r="G1417" i="1" s="1"/>
  <c r="C1418" i="1"/>
  <c r="E1418" i="1" s="1"/>
  <c r="D1418" i="1"/>
  <c r="G1418" i="1" s="1"/>
  <c r="C1419" i="1"/>
  <c r="E1419" i="1" s="1"/>
  <c r="D1419" i="1"/>
  <c r="G1419" i="1" s="1"/>
  <c r="C1420" i="1"/>
  <c r="E1420" i="1" s="1"/>
  <c r="D1420" i="1"/>
  <c r="G1420" i="1" s="1"/>
  <c r="C1421" i="1"/>
  <c r="E1421" i="1" s="1"/>
  <c r="D1421" i="1"/>
  <c r="G1421" i="1" s="1"/>
  <c r="C1422" i="1"/>
  <c r="E1422" i="1" s="1"/>
  <c r="D1422" i="1"/>
  <c r="G1422" i="1" s="1"/>
  <c r="C1423" i="1"/>
  <c r="E1423" i="1" s="1"/>
  <c r="D1423" i="1"/>
  <c r="G1423" i="1" s="1"/>
  <c r="C1424" i="1"/>
  <c r="E1424" i="1" s="1"/>
  <c r="D1424" i="1"/>
  <c r="G1424" i="1"/>
  <c r="C1425" i="1"/>
  <c r="E1425" i="1" s="1"/>
  <c r="D1425" i="1"/>
  <c r="G1425" i="1" s="1"/>
  <c r="C1426" i="1"/>
  <c r="E1426" i="1" s="1"/>
  <c r="D1426" i="1"/>
  <c r="G1426" i="1"/>
  <c r="C1427" i="1"/>
  <c r="E1427" i="1" s="1"/>
  <c r="D1427" i="1"/>
  <c r="G1427" i="1" s="1"/>
  <c r="C1428" i="1"/>
  <c r="E1428" i="1" s="1"/>
  <c r="D1428" i="1"/>
  <c r="G1428" i="1" s="1"/>
  <c r="C1429" i="1"/>
  <c r="E1429" i="1" s="1"/>
  <c r="D1429" i="1"/>
  <c r="G1429" i="1" s="1"/>
  <c r="C1430" i="1"/>
  <c r="E1430" i="1" s="1"/>
  <c r="D1430" i="1"/>
  <c r="G1430" i="1" s="1"/>
  <c r="C1431" i="1"/>
  <c r="E1431" i="1" s="1"/>
  <c r="D1431" i="1"/>
  <c r="G1431" i="1" s="1"/>
  <c r="C1432" i="1"/>
  <c r="E1432" i="1" s="1"/>
  <c r="D1432" i="1"/>
  <c r="G1432" i="1"/>
  <c r="C1433" i="1"/>
  <c r="E1433" i="1" s="1"/>
  <c r="D1433" i="1"/>
  <c r="G1433" i="1" s="1"/>
  <c r="C1434" i="1"/>
  <c r="E1434" i="1" s="1"/>
  <c r="D1434" i="1"/>
  <c r="G1434" i="1" s="1"/>
  <c r="C1435" i="1"/>
  <c r="E1435" i="1" s="1"/>
  <c r="D1435" i="1"/>
  <c r="G1435" i="1" s="1"/>
  <c r="C1436" i="1"/>
  <c r="E1436" i="1" s="1"/>
  <c r="D1436" i="1"/>
  <c r="G1436" i="1" s="1"/>
  <c r="C1437" i="1"/>
  <c r="E1437" i="1" s="1"/>
  <c r="D1437" i="1"/>
  <c r="G1437" i="1" s="1"/>
  <c r="C1438" i="1"/>
  <c r="E1438" i="1" s="1"/>
  <c r="D1438" i="1"/>
  <c r="G1438" i="1" s="1"/>
  <c r="C1439" i="1"/>
  <c r="E1439" i="1" s="1"/>
  <c r="D1439" i="1"/>
  <c r="G1439" i="1" s="1"/>
  <c r="C1440" i="1"/>
  <c r="E1440" i="1" s="1"/>
  <c r="D1440" i="1"/>
  <c r="G1440" i="1"/>
  <c r="C1441" i="1"/>
  <c r="E1441" i="1" s="1"/>
  <c r="D1441" i="1"/>
  <c r="G1441" i="1" s="1"/>
  <c r="C1442" i="1"/>
  <c r="E1442" i="1" s="1"/>
  <c r="D1442" i="1"/>
  <c r="G1442" i="1"/>
  <c r="C1443" i="1"/>
  <c r="E1443" i="1" s="1"/>
  <c r="D1443" i="1"/>
  <c r="G1443" i="1" s="1"/>
  <c r="C1444" i="1"/>
  <c r="E1444" i="1" s="1"/>
  <c r="D1444" i="1"/>
  <c r="G1444" i="1" s="1"/>
  <c r="C1445" i="1"/>
  <c r="E1445" i="1" s="1"/>
  <c r="D1445" i="1"/>
  <c r="G1445" i="1" s="1"/>
  <c r="C1446" i="1"/>
  <c r="E1446" i="1" s="1"/>
  <c r="D1446" i="1"/>
  <c r="G1446" i="1" s="1"/>
  <c r="C1447" i="1"/>
  <c r="E1447" i="1" s="1"/>
  <c r="D1447" i="1"/>
  <c r="G1447" i="1" s="1"/>
  <c r="C1448" i="1"/>
  <c r="E1448" i="1" s="1"/>
  <c r="D1448" i="1"/>
  <c r="G1448" i="1"/>
  <c r="C1449" i="1"/>
  <c r="E1449" i="1" s="1"/>
  <c r="D1449" i="1"/>
  <c r="G1449" i="1" s="1"/>
  <c r="C1450" i="1"/>
  <c r="E1450" i="1" s="1"/>
  <c r="D1450" i="1"/>
  <c r="G1450" i="1" s="1"/>
  <c r="C1451" i="1"/>
  <c r="E1451" i="1" s="1"/>
  <c r="D1451" i="1"/>
  <c r="G1451" i="1" s="1"/>
  <c r="C1452" i="1"/>
  <c r="E1452" i="1" s="1"/>
  <c r="D1452" i="1"/>
  <c r="G1452" i="1" s="1"/>
  <c r="C1453" i="1"/>
  <c r="E1453" i="1" s="1"/>
  <c r="D1453" i="1"/>
  <c r="G1453" i="1" s="1"/>
  <c r="C1454" i="1"/>
  <c r="E1454" i="1" s="1"/>
  <c r="D1454" i="1"/>
  <c r="G1454" i="1" s="1"/>
  <c r="C1455" i="1"/>
  <c r="E1455" i="1" s="1"/>
  <c r="D1455" i="1"/>
  <c r="G1455" i="1" s="1"/>
  <c r="C1456" i="1"/>
  <c r="E1456" i="1" s="1"/>
  <c r="D1456" i="1"/>
  <c r="G1456" i="1" s="1"/>
  <c r="C1457" i="1"/>
  <c r="E1457" i="1" s="1"/>
  <c r="D1457" i="1"/>
  <c r="G1457" i="1" s="1"/>
  <c r="C1458" i="1"/>
  <c r="E1458" i="1" s="1"/>
  <c r="D1458" i="1"/>
  <c r="G1458" i="1"/>
  <c r="C1459" i="1"/>
  <c r="E1459" i="1" s="1"/>
  <c r="D1459" i="1"/>
  <c r="G1459" i="1" s="1"/>
  <c r="C1460" i="1"/>
  <c r="E1460" i="1" s="1"/>
  <c r="D1460" i="1"/>
  <c r="G1460" i="1" s="1"/>
  <c r="C1461" i="1"/>
  <c r="E1461" i="1" s="1"/>
  <c r="D1461" i="1"/>
  <c r="G1461" i="1" s="1"/>
  <c r="C1462" i="1"/>
  <c r="E1462" i="1" s="1"/>
  <c r="D1462" i="1"/>
  <c r="G1462" i="1" s="1"/>
  <c r="C1463" i="1"/>
  <c r="E1463" i="1" s="1"/>
  <c r="D1463" i="1"/>
  <c r="G1463" i="1" s="1"/>
  <c r="C1464" i="1"/>
  <c r="E1464" i="1" s="1"/>
  <c r="D1464" i="1"/>
  <c r="G1464" i="1"/>
  <c r="C1465" i="1"/>
  <c r="E1465" i="1" s="1"/>
  <c r="D1465" i="1"/>
  <c r="G1465" i="1" s="1"/>
  <c r="C1466" i="1"/>
  <c r="E1466" i="1" s="1"/>
  <c r="D1466" i="1"/>
  <c r="G1466" i="1" s="1"/>
  <c r="C1467" i="1"/>
  <c r="E1467" i="1" s="1"/>
  <c r="D1467" i="1"/>
  <c r="G1467" i="1" s="1"/>
  <c r="C1468" i="1"/>
  <c r="E1468" i="1" s="1"/>
  <c r="D1468" i="1"/>
  <c r="G1468" i="1" s="1"/>
  <c r="C1469" i="1"/>
  <c r="E1469" i="1" s="1"/>
  <c r="D1469" i="1"/>
  <c r="G1469" i="1" s="1"/>
  <c r="C1470" i="1"/>
  <c r="E1470" i="1" s="1"/>
  <c r="D1470" i="1"/>
  <c r="G1470" i="1" s="1"/>
  <c r="C1471" i="1"/>
  <c r="E1471" i="1" s="1"/>
  <c r="D1471" i="1"/>
  <c r="G1471" i="1" s="1"/>
  <c r="C1472" i="1"/>
  <c r="E1472" i="1" s="1"/>
  <c r="D1472" i="1"/>
  <c r="G1472" i="1" s="1"/>
  <c r="C1473" i="1"/>
  <c r="E1473" i="1" s="1"/>
  <c r="D1473" i="1"/>
  <c r="G1473" i="1" s="1"/>
  <c r="C1474" i="1"/>
  <c r="E1474" i="1" s="1"/>
  <c r="D1474" i="1"/>
  <c r="G1474" i="1" s="1"/>
  <c r="C1475" i="1"/>
  <c r="E1475" i="1" s="1"/>
  <c r="D1475" i="1"/>
  <c r="G1475" i="1" s="1"/>
  <c r="C1476" i="1"/>
  <c r="E1476" i="1" s="1"/>
  <c r="D1476" i="1"/>
  <c r="G1476" i="1" s="1"/>
  <c r="C1477" i="1"/>
  <c r="E1477" i="1" s="1"/>
  <c r="D1477" i="1"/>
  <c r="G1477" i="1" s="1"/>
  <c r="C1478" i="1"/>
  <c r="E1478" i="1" s="1"/>
  <c r="D1478" i="1"/>
  <c r="G1478" i="1" s="1"/>
  <c r="C1479" i="1"/>
  <c r="E1479" i="1" s="1"/>
  <c r="D1479" i="1"/>
  <c r="G1479" i="1" s="1"/>
  <c r="C1480" i="1"/>
  <c r="E1480" i="1" s="1"/>
  <c r="D1480" i="1"/>
  <c r="G1480" i="1"/>
  <c r="C1481" i="1"/>
  <c r="E1481" i="1" s="1"/>
  <c r="D1481" i="1"/>
  <c r="G1481" i="1" s="1"/>
  <c r="C1482" i="1"/>
  <c r="E1482" i="1" s="1"/>
  <c r="D1482" i="1"/>
  <c r="G1482" i="1" s="1"/>
  <c r="C1483" i="1"/>
  <c r="E1483" i="1" s="1"/>
  <c r="D1483" i="1"/>
  <c r="G1483" i="1" s="1"/>
  <c r="C1484" i="1"/>
  <c r="E1484" i="1" s="1"/>
  <c r="D1484" i="1"/>
  <c r="G1484" i="1" s="1"/>
  <c r="C1485" i="1"/>
  <c r="E1485" i="1" s="1"/>
  <c r="D1485" i="1"/>
  <c r="G1485" i="1" s="1"/>
  <c r="C1486" i="1"/>
  <c r="E1486" i="1" s="1"/>
  <c r="D1486" i="1"/>
  <c r="G1486" i="1" s="1"/>
  <c r="C1487" i="1"/>
  <c r="E1487" i="1" s="1"/>
  <c r="D1487" i="1"/>
  <c r="G1487" i="1" s="1"/>
  <c r="C1488" i="1"/>
  <c r="E1488" i="1" s="1"/>
  <c r="D1488" i="1"/>
  <c r="G1488" i="1" s="1"/>
  <c r="C1489" i="1"/>
  <c r="E1489" i="1" s="1"/>
  <c r="D1489" i="1"/>
  <c r="G1489" i="1" s="1"/>
  <c r="C1490" i="1"/>
  <c r="E1490" i="1" s="1"/>
  <c r="D1490" i="1"/>
  <c r="G1490" i="1" s="1"/>
  <c r="C1491" i="1"/>
  <c r="E1491" i="1" s="1"/>
  <c r="D1491" i="1"/>
  <c r="G1491" i="1" s="1"/>
  <c r="C1492" i="1"/>
  <c r="E1492" i="1" s="1"/>
  <c r="D1492" i="1"/>
  <c r="G1492" i="1" s="1"/>
  <c r="C1493" i="1"/>
  <c r="E1493" i="1" s="1"/>
  <c r="D1493" i="1"/>
  <c r="G1493" i="1" s="1"/>
  <c r="C1494" i="1"/>
  <c r="E1494" i="1" s="1"/>
  <c r="D1494" i="1"/>
  <c r="G1494" i="1" s="1"/>
  <c r="C1495" i="1"/>
  <c r="E1495" i="1" s="1"/>
  <c r="D1495" i="1"/>
  <c r="G1495" i="1" s="1"/>
  <c r="C1496" i="1"/>
  <c r="E1496" i="1" s="1"/>
  <c r="D1496" i="1"/>
  <c r="G1496" i="1" s="1"/>
  <c r="C1497" i="1"/>
  <c r="E1497" i="1" s="1"/>
  <c r="D1497" i="1"/>
  <c r="G1497" i="1" s="1"/>
  <c r="C1498" i="1"/>
  <c r="E1498" i="1" s="1"/>
  <c r="D1498" i="1"/>
  <c r="G1498" i="1" s="1"/>
  <c r="C1499" i="1"/>
  <c r="E1499" i="1" s="1"/>
  <c r="D1499" i="1"/>
  <c r="G1499" i="1" s="1"/>
  <c r="C1500" i="1"/>
  <c r="E1500" i="1" s="1"/>
  <c r="D1500" i="1"/>
  <c r="G1500" i="1" s="1"/>
  <c r="C1501" i="1"/>
  <c r="E1501" i="1" s="1"/>
  <c r="D1501" i="1"/>
  <c r="G1501" i="1" s="1"/>
  <c r="C1502" i="1"/>
  <c r="E1502" i="1" s="1"/>
  <c r="D1502" i="1"/>
  <c r="G1502" i="1" s="1"/>
  <c r="C1503" i="1"/>
  <c r="E1503" i="1" s="1"/>
  <c r="D1503" i="1"/>
  <c r="G1503" i="1" s="1"/>
  <c r="C1504" i="1"/>
  <c r="E1504" i="1" s="1"/>
  <c r="D1504" i="1"/>
  <c r="G1504" i="1"/>
  <c r="C1505" i="1"/>
  <c r="E1505" i="1" s="1"/>
  <c r="D1505" i="1"/>
  <c r="G1505" i="1" s="1"/>
  <c r="C1506" i="1"/>
  <c r="E1506" i="1" s="1"/>
  <c r="D1506" i="1"/>
  <c r="G1506" i="1" s="1"/>
  <c r="C1507" i="1"/>
  <c r="E1507" i="1" s="1"/>
  <c r="D1507" i="1"/>
  <c r="G1507" i="1" s="1"/>
  <c r="C1508" i="1"/>
  <c r="E1508" i="1" s="1"/>
  <c r="D1508" i="1"/>
  <c r="G1508" i="1" s="1"/>
  <c r="C1509" i="1"/>
  <c r="E1509" i="1" s="1"/>
  <c r="D1509" i="1"/>
  <c r="G1509" i="1" s="1"/>
  <c r="C1510" i="1"/>
  <c r="E1510" i="1" s="1"/>
  <c r="D1510" i="1"/>
  <c r="G1510" i="1" s="1"/>
  <c r="C1511" i="1"/>
  <c r="E1511" i="1" s="1"/>
  <c r="D1511" i="1"/>
  <c r="G1511" i="1" s="1"/>
  <c r="C1512" i="1"/>
  <c r="E1512" i="1" s="1"/>
  <c r="D1512" i="1"/>
  <c r="G1512" i="1" s="1"/>
  <c r="C1513" i="1"/>
  <c r="E1513" i="1" s="1"/>
  <c r="D1513" i="1"/>
  <c r="G1513" i="1" s="1"/>
  <c r="C1514" i="1"/>
  <c r="E1514" i="1" s="1"/>
  <c r="D1514" i="1"/>
  <c r="G1514" i="1" s="1"/>
  <c r="C1515" i="1"/>
  <c r="E1515" i="1" s="1"/>
  <c r="D1515" i="1"/>
  <c r="G1515" i="1" s="1"/>
  <c r="C1516" i="1"/>
  <c r="E1516" i="1" s="1"/>
  <c r="D1516" i="1"/>
  <c r="G1516" i="1" s="1"/>
  <c r="C1517" i="1"/>
  <c r="E1517" i="1" s="1"/>
  <c r="D1517" i="1"/>
  <c r="G1517" i="1" s="1"/>
  <c r="C1518" i="1"/>
  <c r="E1518" i="1" s="1"/>
  <c r="D1518" i="1"/>
  <c r="G1518" i="1" s="1"/>
  <c r="C1519" i="1"/>
  <c r="E1519" i="1" s="1"/>
  <c r="D1519" i="1"/>
  <c r="G1519" i="1" s="1"/>
  <c r="C1520" i="1"/>
  <c r="E1520" i="1" s="1"/>
  <c r="D1520" i="1"/>
  <c r="G1520" i="1"/>
  <c r="C1521" i="1"/>
  <c r="E1521" i="1" s="1"/>
  <c r="D1521" i="1"/>
  <c r="G1521" i="1" s="1"/>
  <c r="C1522" i="1"/>
  <c r="E1522" i="1" s="1"/>
  <c r="D1522" i="1"/>
  <c r="G1522" i="1"/>
  <c r="C1523" i="1"/>
  <c r="E1523" i="1" s="1"/>
  <c r="D1523" i="1"/>
  <c r="G1523" i="1" s="1"/>
  <c r="C1524" i="1"/>
  <c r="E1524" i="1" s="1"/>
  <c r="D1524" i="1"/>
  <c r="G1524" i="1" s="1"/>
  <c r="C1525" i="1"/>
  <c r="E1525" i="1" s="1"/>
  <c r="D1525" i="1"/>
  <c r="G1525" i="1" s="1"/>
  <c r="C1526" i="1"/>
  <c r="E1526" i="1" s="1"/>
  <c r="D1526" i="1"/>
  <c r="G1526" i="1" s="1"/>
  <c r="C1527" i="1"/>
  <c r="E1527" i="1" s="1"/>
  <c r="D1527" i="1"/>
  <c r="G1527" i="1" s="1"/>
  <c r="C1528" i="1"/>
  <c r="E1528" i="1" s="1"/>
  <c r="D1528" i="1"/>
  <c r="G1528" i="1" s="1"/>
  <c r="C1529" i="1"/>
  <c r="E1529" i="1" s="1"/>
  <c r="D1529" i="1"/>
  <c r="G1529" i="1" s="1"/>
  <c r="C1530" i="1"/>
  <c r="E1530" i="1" s="1"/>
  <c r="D1530" i="1"/>
  <c r="G1530" i="1" s="1"/>
  <c r="C1531" i="1"/>
  <c r="E1531" i="1" s="1"/>
  <c r="D1531" i="1"/>
  <c r="G1531" i="1" s="1"/>
  <c r="C1532" i="1"/>
  <c r="E1532" i="1" s="1"/>
  <c r="D1532" i="1"/>
  <c r="G1532" i="1" s="1"/>
  <c r="C1533" i="1"/>
  <c r="E1533" i="1" s="1"/>
  <c r="D1533" i="1"/>
  <c r="G1533" i="1" s="1"/>
  <c r="C1534" i="1"/>
  <c r="E1534" i="1" s="1"/>
  <c r="D1534" i="1"/>
  <c r="G1534" i="1" s="1"/>
  <c r="C1535" i="1"/>
  <c r="E1535" i="1" s="1"/>
  <c r="D1535" i="1"/>
  <c r="G1535" i="1" s="1"/>
  <c r="C1536" i="1"/>
  <c r="E1536" i="1" s="1"/>
  <c r="D1536" i="1"/>
  <c r="G1536" i="1"/>
  <c r="C1537" i="1"/>
  <c r="E1537" i="1" s="1"/>
  <c r="D1537" i="1"/>
  <c r="G1537" i="1" s="1"/>
  <c r="C1538" i="1"/>
  <c r="E1538" i="1" s="1"/>
  <c r="D1538" i="1"/>
  <c r="G1538" i="1"/>
  <c r="C1539" i="1"/>
  <c r="E1539" i="1" s="1"/>
  <c r="D1539" i="1"/>
  <c r="G1539" i="1" s="1"/>
  <c r="C1540" i="1"/>
  <c r="E1540" i="1" s="1"/>
  <c r="D1540" i="1"/>
  <c r="G1540" i="1" s="1"/>
  <c r="C1541" i="1"/>
  <c r="E1541" i="1" s="1"/>
  <c r="D1541" i="1"/>
  <c r="G1541" i="1" s="1"/>
  <c r="C1542" i="1"/>
  <c r="E1542" i="1" s="1"/>
  <c r="D1542" i="1"/>
  <c r="G1542" i="1" s="1"/>
  <c r="C1543" i="1"/>
  <c r="E1543" i="1" s="1"/>
  <c r="D1543" i="1"/>
  <c r="G1543" i="1" s="1"/>
  <c r="C1544" i="1"/>
  <c r="E1544" i="1" s="1"/>
  <c r="D1544" i="1"/>
  <c r="G1544" i="1"/>
  <c r="C1545" i="1"/>
  <c r="E1545" i="1" s="1"/>
  <c r="D1545" i="1"/>
  <c r="G1545" i="1" s="1"/>
  <c r="C1546" i="1"/>
  <c r="E1546" i="1" s="1"/>
  <c r="D1546" i="1"/>
  <c r="G1546" i="1" s="1"/>
  <c r="C1547" i="1"/>
  <c r="E1547" i="1" s="1"/>
  <c r="D1547" i="1"/>
  <c r="G1547" i="1" s="1"/>
  <c r="C1548" i="1"/>
  <c r="E1548" i="1" s="1"/>
  <c r="D1548" i="1"/>
  <c r="G1548" i="1" s="1"/>
  <c r="C1549" i="1"/>
  <c r="E1549" i="1" s="1"/>
  <c r="D1549" i="1"/>
  <c r="G1549" i="1" s="1"/>
  <c r="C1550" i="1"/>
  <c r="E1550" i="1" s="1"/>
  <c r="D1550" i="1"/>
  <c r="G1550" i="1" s="1"/>
  <c r="C1551" i="1"/>
  <c r="E1551" i="1" s="1"/>
  <c r="D1551" i="1"/>
  <c r="G1551" i="1" s="1"/>
  <c r="C1552" i="1"/>
  <c r="E1552" i="1" s="1"/>
  <c r="D1552" i="1"/>
  <c r="G1552" i="1"/>
  <c r="C1553" i="1"/>
  <c r="E1553" i="1" s="1"/>
  <c r="D1553" i="1"/>
  <c r="G1553" i="1" s="1"/>
  <c r="C1554" i="1"/>
  <c r="E1554" i="1" s="1"/>
  <c r="D1554" i="1"/>
  <c r="G1554" i="1"/>
  <c r="C1555" i="1"/>
  <c r="E1555" i="1" s="1"/>
  <c r="D1555" i="1"/>
  <c r="G1555" i="1" s="1"/>
  <c r="C1556" i="1"/>
  <c r="E1556" i="1" s="1"/>
  <c r="D1556" i="1"/>
  <c r="G1556" i="1" s="1"/>
  <c r="C1557" i="1"/>
  <c r="E1557" i="1" s="1"/>
  <c r="D1557" i="1"/>
  <c r="G1557" i="1" s="1"/>
  <c r="C1558" i="1"/>
  <c r="E1558" i="1" s="1"/>
  <c r="D1558" i="1"/>
  <c r="G1558" i="1" s="1"/>
  <c r="C1559" i="1"/>
  <c r="E1559" i="1" s="1"/>
  <c r="D1559" i="1"/>
  <c r="G1559" i="1" s="1"/>
  <c r="C1560" i="1"/>
  <c r="E1560" i="1" s="1"/>
  <c r="D1560" i="1"/>
  <c r="G1560" i="1"/>
  <c r="C1561" i="1"/>
  <c r="E1561" i="1" s="1"/>
  <c r="D1561" i="1"/>
  <c r="G1561" i="1" s="1"/>
  <c r="C1562" i="1"/>
  <c r="E1562" i="1" s="1"/>
  <c r="D1562" i="1"/>
  <c r="G1562" i="1" s="1"/>
  <c r="C1563" i="1"/>
  <c r="E1563" i="1" s="1"/>
  <c r="D1563" i="1"/>
  <c r="G1563" i="1" s="1"/>
  <c r="C1564" i="1"/>
  <c r="E1564" i="1" s="1"/>
  <c r="D1564" i="1"/>
  <c r="G1564" i="1" s="1"/>
  <c r="C1565" i="1"/>
  <c r="E1565" i="1" s="1"/>
  <c r="D1565" i="1"/>
  <c r="G1565" i="1" s="1"/>
  <c r="C1566" i="1"/>
  <c r="E1566" i="1" s="1"/>
  <c r="D1566" i="1"/>
  <c r="G1566" i="1" s="1"/>
  <c r="C1567" i="1"/>
  <c r="E1567" i="1" s="1"/>
  <c r="D1567" i="1"/>
  <c r="G1567" i="1" s="1"/>
  <c r="C1568" i="1"/>
  <c r="E1568" i="1" s="1"/>
  <c r="D1568" i="1"/>
  <c r="G1568" i="1"/>
  <c r="C1569" i="1"/>
  <c r="E1569" i="1" s="1"/>
  <c r="D1569" i="1"/>
  <c r="G1569" i="1" s="1"/>
  <c r="C1570" i="1"/>
  <c r="E1570" i="1" s="1"/>
  <c r="D1570" i="1"/>
  <c r="G1570" i="1"/>
  <c r="C1571" i="1"/>
  <c r="E1571" i="1" s="1"/>
  <c r="D1571" i="1"/>
  <c r="G1571" i="1" s="1"/>
  <c r="C1572" i="1"/>
  <c r="E1572" i="1" s="1"/>
  <c r="D1572" i="1"/>
  <c r="G1572" i="1" s="1"/>
  <c r="C1573" i="1"/>
  <c r="E1573" i="1" s="1"/>
  <c r="D1573" i="1"/>
  <c r="G1573" i="1" s="1"/>
  <c r="C1574" i="1"/>
  <c r="E1574" i="1" s="1"/>
  <c r="D1574" i="1"/>
  <c r="G1574" i="1" s="1"/>
  <c r="C1575" i="1"/>
  <c r="E1575" i="1" s="1"/>
  <c r="D1575" i="1"/>
  <c r="G1575" i="1" s="1"/>
  <c r="C1576" i="1"/>
  <c r="E1576" i="1" s="1"/>
  <c r="D1576" i="1"/>
  <c r="G1576" i="1" s="1"/>
  <c r="C1577" i="1"/>
  <c r="E1577" i="1" s="1"/>
  <c r="D1577" i="1"/>
  <c r="G1577" i="1" s="1"/>
  <c r="C1578" i="1"/>
  <c r="E1578" i="1" s="1"/>
  <c r="D1578" i="1"/>
  <c r="G1578" i="1" s="1"/>
  <c r="C1579" i="1"/>
  <c r="E1579" i="1" s="1"/>
  <c r="D1579" i="1"/>
  <c r="G1579" i="1" s="1"/>
  <c r="C1580" i="1"/>
  <c r="E1580" i="1" s="1"/>
  <c r="D1580" i="1"/>
  <c r="G1580" i="1" s="1"/>
  <c r="C1581" i="1"/>
  <c r="E1581" i="1" s="1"/>
  <c r="D1581" i="1"/>
  <c r="G1581" i="1" s="1"/>
  <c r="C1582" i="1"/>
  <c r="E1582" i="1" s="1"/>
  <c r="D1582" i="1"/>
  <c r="G1582" i="1" s="1"/>
  <c r="C1583" i="1"/>
  <c r="E1583" i="1" s="1"/>
  <c r="D1583" i="1"/>
  <c r="G1583" i="1" s="1"/>
  <c r="C1584" i="1"/>
  <c r="E1584" i="1" s="1"/>
  <c r="D1584" i="1"/>
  <c r="G1584" i="1" s="1"/>
  <c r="C1585" i="1"/>
  <c r="E1585" i="1" s="1"/>
  <c r="D1585" i="1"/>
  <c r="G1585" i="1" s="1"/>
  <c r="C1586" i="1"/>
  <c r="E1586" i="1" s="1"/>
  <c r="D1586" i="1"/>
  <c r="G1586" i="1" s="1"/>
  <c r="C1587" i="1"/>
  <c r="E1587" i="1" s="1"/>
  <c r="D1587" i="1"/>
  <c r="G1587" i="1" s="1"/>
  <c r="C1588" i="1"/>
  <c r="E1588" i="1" s="1"/>
  <c r="D1588" i="1"/>
  <c r="G1588" i="1" s="1"/>
  <c r="C1589" i="1"/>
  <c r="E1589" i="1" s="1"/>
  <c r="D1589" i="1"/>
  <c r="G1589" i="1" s="1"/>
  <c r="C1590" i="1"/>
  <c r="E1590" i="1" s="1"/>
  <c r="D1590" i="1"/>
  <c r="G1590" i="1" s="1"/>
  <c r="C1591" i="1"/>
  <c r="E1591" i="1" s="1"/>
  <c r="D1591" i="1"/>
  <c r="G1591" i="1" s="1"/>
  <c r="C1592" i="1"/>
  <c r="E1592" i="1" s="1"/>
  <c r="D1592" i="1"/>
  <c r="G1592" i="1" s="1"/>
  <c r="C1593" i="1"/>
  <c r="E1593" i="1" s="1"/>
  <c r="D1593" i="1"/>
  <c r="G1593" i="1" s="1"/>
  <c r="C1594" i="1"/>
  <c r="E1594" i="1" s="1"/>
  <c r="D1594" i="1"/>
  <c r="G1594" i="1" s="1"/>
  <c r="C1595" i="1"/>
  <c r="E1595" i="1" s="1"/>
  <c r="D1595" i="1"/>
  <c r="G1595" i="1" s="1"/>
  <c r="C1596" i="1"/>
  <c r="E1596" i="1" s="1"/>
  <c r="D1596" i="1"/>
  <c r="G1596" i="1" s="1"/>
  <c r="C1597" i="1"/>
  <c r="E1597" i="1" s="1"/>
  <c r="D1597" i="1"/>
  <c r="G1597" i="1" s="1"/>
  <c r="C1598" i="1"/>
  <c r="E1598" i="1" s="1"/>
  <c r="D1598" i="1"/>
  <c r="G1598" i="1" s="1"/>
  <c r="C1599" i="1"/>
  <c r="E1599" i="1" s="1"/>
  <c r="D1599" i="1"/>
  <c r="G1599" i="1" s="1"/>
  <c r="C1600" i="1"/>
  <c r="E1600" i="1" s="1"/>
  <c r="D1600" i="1"/>
  <c r="G1600" i="1" s="1"/>
  <c r="C1601" i="1"/>
  <c r="E1601" i="1" s="1"/>
  <c r="D1601" i="1"/>
  <c r="G1601" i="1" s="1"/>
  <c r="C1602" i="1"/>
  <c r="E1602" i="1" s="1"/>
  <c r="D1602" i="1"/>
  <c r="G1602" i="1" s="1"/>
  <c r="C1603" i="1"/>
  <c r="E1603" i="1" s="1"/>
  <c r="D1603" i="1"/>
  <c r="G1603" i="1" s="1"/>
  <c r="C1604" i="1"/>
  <c r="E1604" i="1" s="1"/>
  <c r="D1604" i="1"/>
  <c r="G1604" i="1" s="1"/>
  <c r="C1605" i="1"/>
  <c r="E1605" i="1" s="1"/>
  <c r="D1605" i="1"/>
  <c r="G1605" i="1" s="1"/>
  <c r="C1606" i="1"/>
  <c r="E1606" i="1" s="1"/>
  <c r="D1606" i="1"/>
  <c r="G1606" i="1" s="1"/>
  <c r="C1607" i="1"/>
  <c r="E1607" i="1" s="1"/>
  <c r="D1607" i="1"/>
  <c r="G1607" i="1" s="1"/>
  <c r="C1608" i="1"/>
  <c r="E1608" i="1" s="1"/>
  <c r="D1608" i="1"/>
  <c r="G1608" i="1" s="1"/>
  <c r="C1609" i="1"/>
  <c r="E1609" i="1" s="1"/>
  <c r="D1609" i="1"/>
  <c r="G1609" i="1" s="1"/>
  <c r="C1610" i="1"/>
  <c r="E1610" i="1" s="1"/>
  <c r="D1610" i="1"/>
  <c r="G1610" i="1" s="1"/>
  <c r="C1611" i="1"/>
  <c r="E1611" i="1" s="1"/>
  <c r="D1611" i="1"/>
  <c r="G1611" i="1" s="1"/>
  <c r="C1612" i="1"/>
  <c r="E1612" i="1" s="1"/>
  <c r="D1612" i="1"/>
  <c r="G1612" i="1" s="1"/>
  <c r="C1613" i="1"/>
  <c r="E1613" i="1" s="1"/>
  <c r="D1613" i="1"/>
  <c r="G1613" i="1" s="1"/>
  <c r="C1614" i="1"/>
  <c r="E1614" i="1" s="1"/>
  <c r="D1614" i="1"/>
  <c r="G1614" i="1" s="1"/>
  <c r="C1615" i="1"/>
  <c r="E1615" i="1" s="1"/>
  <c r="D1615" i="1"/>
  <c r="G1615" i="1" s="1"/>
  <c r="C1616" i="1"/>
  <c r="E1616" i="1" s="1"/>
  <c r="D1616" i="1"/>
  <c r="G1616" i="1" s="1"/>
  <c r="C1617" i="1"/>
  <c r="E1617" i="1" s="1"/>
  <c r="D1617" i="1"/>
  <c r="G1617" i="1" s="1"/>
  <c r="C1618" i="1"/>
  <c r="E1618" i="1" s="1"/>
  <c r="D1618" i="1"/>
  <c r="G1618" i="1" s="1"/>
  <c r="C1619" i="1"/>
  <c r="E1619" i="1" s="1"/>
  <c r="D1619" i="1"/>
  <c r="G1619" i="1" s="1"/>
  <c r="C1620" i="1"/>
  <c r="E1620" i="1" s="1"/>
  <c r="D1620" i="1"/>
  <c r="G1620" i="1" s="1"/>
  <c r="C1621" i="1"/>
  <c r="E1621" i="1" s="1"/>
  <c r="D1621" i="1"/>
  <c r="G1621" i="1" s="1"/>
  <c r="C1622" i="1"/>
  <c r="E1622" i="1" s="1"/>
  <c r="D1622" i="1"/>
  <c r="G1622" i="1" s="1"/>
  <c r="C1623" i="1"/>
  <c r="E1623" i="1" s="1"/>
  <c r="D1623" i="1"/>
  <c r="G1623" i="1" s="1"/>
  <c r="C1624" i="1"/>
  <c r="E1624" i="1" s="1"/>
  <c r="D1624" i="1"/>
  <c r="G1624" i="1" s="1"/>
  <c r="C1625" i="1"/>
  <c r="E1625" i="1" s="1"/>
  <c r="D1625" i="1"/>
  <c r="G1625" i="1" s="1"/>
  <c r="C1626" i="1"/>
  <c r="E1626" i="1" s="1"/>
  <c r="D1626" i="1"/>
  <c r="G1626" i="1" s="1"/>
  <c r="C1627" i="1"/>
  <c r="E1627" i="1" s="1"/>
  <c r="D1627" i="1"/>
  <c r="G1627" i="1" s="1"/>
  <c r="C1628" i="1"/>
  <c r="E1628" i="1" s="1"/>
  <c r="D1628" i="1"/>
  <c r="G1628" i="1" s="1"/>
  <c r="C1629" i="1"/>
  <c r="E1629" i="1" s="1"/>
  <c r="D1629" i="1"/>
  <c r="G1629" i="1" s="1"/>
  <c r="C1630" i="1"/>
  <c r="E1630" i="1" s="1"/>
  <c r="D1630" i="1"/>
  <c r="G1630" i="1" s="1"/>
  <c r="C1631" i="1"/>
  <c r="E1631" i="1" s="1"/>
  <c r="D1631" i="1"/>
  <c r="G1631" i="1" s="1"/>
  <c r="C1632" i="1"/>
  <c r="E1632" i="1" s="1"/>
  <c r="D1632" i="1"/>
  <c r="G1632" i="1" s="1"/>
  <c r="C1633" i="1"/>
  <c r="E1633" i="1" s="1"/>
  <c r="D1633" i="1"/>
  <c r="G1633" i="1" s="1"/>
  <c r="C1634" i="1"/>
  <c r="E1634" i="1" s="1"/>
  <c r="D1634" i="1"/>
  <c r="G1634" i="1" s="1"/>
  <c r="C1635" i="1"/>
  <c r="E1635" i="1" s="1"/>
  <c r="D1635" i="1"/>
  <c r="G1635" i="1" s="1"/>
  <c r="C1636" i="1"/>
  <c r="E1636" i="1" s="1"/>
  <c r="D1636" i="1"/>
  <c r="G1636" i="1" s="1"/>
  <c r="C1637" i="1"/>
  <c r="E1637" i="1" s="1"/>
  <c r="D1637" i="1"/>
  <c r="G1637" i="1" s="1"/>
  <c r="C1638" i="1"/>
  <c r="E1638" i="1" s="1"/>
  <c r="D1638" i="1"/>
  <c r="G1638" i="1" s="1"/>
  <c r="C1639" i="1"/>
  <c r="E1639" i="1" s="1"/>
  <c r="D1639" i="1"/>
  <c r="G1639" i="1" s="1"/>
  <c r="C1640" i="1"/>
  <c r="E1640" i="1" s="1"/>
  <c r="D1640" i="1"/>
  <c r="G1640" i="1" s="1"/>
  <c r="C1641" i="1"/>
  <c r="E1641" i="1" s="1"/>
  <c r="D1641" i="1"/>
  <c r="G1641" i="1" s="1"/>
  <c r="C1642" i="1"/>
  <c r="E1642" i="1" s="1"/>
  <c r="D1642" i="1"/>
  <c r="G1642" i="1" s="1"/>
  <c r="C1643" i="1"/>
  <c r="E1643" i="1" s="1"/>
  <c r="D1643" i="1"/>
  <c r="G1643" i="1" s="1"/>
  <c r="C1644" i="1"/>
  <c r="E1644" i="1" s="1"/>
  <c r="D1644" i="1"/>
  <c r="G1644" i="1" s="1"/>
  <c r="C1645" i="1"/>
  <c r="E1645" i="1" s="1"/>
  <c r="D1645" i="1"/>
  <c r="G1645" i="1" s="1"/>
  <c r="C1646" i="1"/>
  <c r="E1646" i="1" s="1"/>
  <c r="D1646" i="1"/>
  <c r="G1646" i="1" s="1"/>
  <c r="C1647" i="1"/>
  <c r="E1647" i="1" s="1"/>
  <c r="D1647" i="1"/>
  <c r="G1647" i="1" s="1"/>
  <c r="C1648" i="1"/>
  <c r="E1648" i="1" s="1"/>
  <c r="D1648" i="1"/>
  <c r="G1648" i="1" s="1"/>
  <c r="C1649" i="1"/>
  <c r="E1649" i="1" s="1"/>
  <c r="D1649" i="1"/>
  <c r="G1649" i="1" s="1"/>
  <c r="C1650" i="1"/>
  <c r="E1650" i="1" s="1"/>
  <c r="D1650" i="1"/>
  <c r="G1650" i="1" s="1"/>
  <c r="C1651" i="1"/>
  <c r="E1651" i="1" s="1"/>
  <c r="D1651" i="1"/>
  <c r="G1651" i="1" s="1"/>
  <c r="C1652" i="1"/>
  <c r="E1652" i="1" s="1"/>
  <c r="D1652" i="1"/>
  <c r="G1652" i="1" s="1"/>
  <c r="C1653" i="1"/>
  <c r="E1653" i="1" s="1"/>
  <c r="D1653" i="1"/>
  <c r="G1653" i="1" s="1"/>
  <c r="C1654" i="1"/>
  <c r="E1654" i="1" s="1"/>
  <c r="D1654" i="1"/>
  <c r="G1654" i="1" s="1"/>
  <c r="C1655" i="1"/>
  <c r="E1655" i="1" s="1"/>
  <c r="D1655" i="1"/>
  <c r="G1655" i="1" s="1"/>
  <c r="C1656" i="1"/>
  <c r="E1656" i="1" s="1"/>
  <c r="D1656" i="1"/>
  <c r="G1656" i="1" s="1"/>
  <c r="C1657" i="1"/>
  <c r="E1657" i="1" s="1"/>
  <c r="D1657" i="1"/>
  <c r="G1657" i="1" s="1"/>
  <c r="C1658" i="1"/>
  <c r="E1658" i="1" s="1"/>
  <c r="D1658" i="1"/>
  <c r="G1658" i="1" s="1"/>
  <c r="C1659" i="1"/>
  <c r="E1659" i="1" s="1"/>
  <c r="D1659" i="1"/>
  <c r="G1659" i="1" s="1"/>
  <c r="C1660" i="1"/>
  <c r="E1660" i="1" s="1"/>
  <c r="D1660" i="1"/>
  <c r="G1660" i="1" s="1"/>
  <c r="C1661" i="1"/>
  <c r="E1661" i="1" s="1"/>
  <c r="D1661" i="1"/>
  <c r="G1661" i="1" s="1"/>
  <c r="C1662" i="1"/>
  <c r="E1662" i="1" s="1"/>
  <c r="D1662" i="1"/>
  <c r="G1662" i="1" s="1"/>
  <c r="C1663" i="1"/>
  <c r="E1663" i="1" s="1"/>
  <c r="D1663" i="1"/>
  <c r="G1663" i="1" s="1"/>
  <c r="C1664" i="1"/>
  <c r="E1664" i="1" s="1"/>
  <c r="D1664" i="1"/>
  <c r="G1664" i="1" s="1"/>
  <c r="C1665" i="1"/>
  <c r="E1665" i="1" s="1"/>
  <c r="D1665" i="1"/>
  <c r="G1665" i="1" s="1"/>
  <c r="C1666" i="1"/>
  <c r="E1666" i="1" s="1"/>
  <c r="D1666" i="1"/>
  <c r="G1666" i="1" s="1"/>
  <c r="C1667" i="1"/>
  <c r="E1667" i="1" s="1"/>
  <c r="D1667" i="1"/>
  <c r="G1667" i="1" s="1"/>
  <c r="C1668" i="1"/>
  <c r="E1668" i="1" s="1"/>
  <c r="D1668" i="1"/>
  <c r="G1668" i="1" s="1"/>
  <c r="C1669" i="1"/>
  <c r="E1669" i="1" s="1"/>
  <c r="D1669" i="1"/>
  <c r="G1669" i="1" s="1"/>
  <c r="C1670" i="1"/>
  <c r="E1670" i="1" s="1"/>
  <c r="D1670" i="1"/>
  <c r="G1670" i="1" s="1"/>
  <c r="C1671" i="1"/>
  <c r="E1671" i="1" s="1"/>
  <c r="D1671" i="1"/>
  <c r="G1671" i="1" s="1"/>
  <c r="C1672" i="1"/>
  <c r="E1672" i="1" s="1"/>
  <c r="D1672" i="1"/>
  <c r="G1672" i="1" s="1"/>
  <c r="C1673" i="1"/>
  <c r="E1673" i="1" s="1"/>
  <c r="D1673" i="1"/>
  <c r="G1673" i="1" s="1"/>
  <c r="C1674" i="1"/>
  <c r="E1674" i="1" s="1"/>
  <c r="D1674" i="1"/>
  <c r="G1674" i="1" s="1"/>
  <c r="C1675" i="1"/>
  <c r="E1675" i="1" s="1"/>
  <c r="D1675" i="1"/>
  <c r="G1675" i="1" s="1"/>
  <c r="C1676" i="1"/>
  <c r="E1676" i="1" s="1"/>
  <c r="D1676" i="1"/>
  <c r="G1676" i="1" s="1"/>
  <c r="C1677" i="1"/>
  <c r="E1677" i="1" s="1"/>
  <c r="D1677" i="1"/>
  <c r="G1677" i="1" s="1"/>
  <c r="C1678" i="1"/>
  <c r="E1678" i="1" s="1"/>
  <c r="D1678" i="1"/>
  <c r="G1678" i="1" s="1"/>
  <c r="C1679" i="1"/>
  <c r="E1679" i="1" s="1"/>
  <c r="D1679" i="1"/>
  <c r="G1679" i="1" s="1"/>
  <c r="C1680" i="1"/>
  <c r="E1680" i="1" s="1"/>
  <c r="D1680" i="1"/>
  <c r="G1680" i="1" s="1"/>
  <c r="C1681" i="1"/>
  <c r="E1681" i="1" s="1"/>
  <c r="D1681" i="1"/>
  <c r="G1681" i="1" s="1"/>
  <c r="C1682" i="1"/>
  <c r="E1682" i="1" s="1"/>
  <c r="D1682" i="1"/>
  <c r="G1682" i="1" s="1"/>
  <c r="C1683" i="1"/>
  <c r="E1683" i="1" s="1"/>
  <c r="D1683" i="1"/>
  <c r="G1683" i="1" s="1"/>
  <c r="C1684" i="1"/>
  <c r="E1684" i="1" s="1"/>
  <c r="D1684" i="1"/>
  <c r="G1684" i="1" s="1"/>
  <c r="C1685" i="1"/>
  <c r="E1685" i="1" s="1"/>
  <c r="D1685" i="1"/>
  <c r="G1685" i="1" s="1"/>
  <c r="C1686" i="1"/>
  <c r="E1686" i="1" s="1"/>
  <c r="D1686" i="1"/>
  <c r="G1686" i="1" s="1"/>
  <c r="C1687" i="1"/>
  <c r="E1687" i="1" s="1"/>
  <c r="D1687" i="1"/>
  <c r="G1687" i="1" s="1"/>
  <c r="C1688" i="1"/>
  <c r="E1688" i="1" s="1"/>
  <c r="D1688" i="1"/>
  <c r="G1688" i="1" s="1"/>
  <c r="C1689" i="1"/>
  <c r="E1689" i="1" s="1"/>
  <c r="D1689" i="1"/>
  <c r="G1689" i="1" s="1"/>
  <c r="C1690" i="1"/>
  <c r="E1690" i="1" s="1"/>
  <c r="D1690" i="1"/>
  <c r="G1690" i="1" s="1"/>
  <c r="C1691" i="1"/>
  <c r="E1691" i="1" s="1"/>
  <c r="D1691" i="1"/>
  <c r="G1691" i="1" s="1"/>
  <c r="C1692" i="1"/>
  <c r="E1692" i="1" s="1"/>
  <c r="D1692" i="1"/>
  <c r="G1692" i="1" s="1"/>
  <c r="C1693" i="1"/>
  <c r="E1693" i="1" s="1"/>
  <c r="D1693" i="1"/>
  <c r="G1693" i="1" s="1"/>
  <c r="C1694" i="1"/>
  <c r="E1694" i="1" s="1"/>
  <c r="D1694" i="1"/>
  <c r="G1694" i="1" s="1"/>
  <c r="C1695" i="1"/>
  <c r="E1695" i="1" s="1"/>
  <c r="D1695" i="1"/>
  <c r="G1695" i="1" s="1"/>
  <c r="C1696" i="1"/>
  <c r="E1696" i="1" s="1"/>
  <c r="D1696" i="1"/>
  <c r="G1696" i="1" s="1"/>
  <c r="C1697" i="1"/>
  <c r="E1697" i="1" s="1"/>
  <c r="D1697" i="1"/>
  <c r="G1697" i="1" s="1"/>
  <c r="C1698" i="1"/>
  <c r="E1698" i="1" s="1"/>
  <c r="D1698" i="1"/>
  <c r="G1698" i="1" s="1"/>
  <c r="C1699" i="1"/>
  <c r="E1699" i="1" s="1"/>
  <c r="D1699" i="1"/>
  <c r="G1699" i="1" s="1"/>
  <c r="C1700" i="1"/>
  <c r="E1700" i="1" s="1"/>
  <c r="D1700" i="1"/>
  <c r="G1700" i="1" s="1"/>
  <c r="C1701" i="1"/>
  <c r="E1701" i="1" s="1"/>
  <c r="D1701" i="1"/>
  <c r="G1701" i="1" s="1"/>
  <c r="C1702" i="1"/>
  <c r="E1702" i="1" s="1"/>
  <c r="D1702" i="1"/>
  <c r="G1702" i="1" s="1"/>
  <c r="C1703" i="1"/>
  <c r="E1703" i="1" s="1"/>
  <c r="D1703" i="1"/>
  <c r="G1703" i="1" s="1"/>
  <c r="C1704" i="1"/>
  <c r="E1704" i="1" s="1"/>
  <c r="D1704" i="1"/>
  <c r="G1704" i="1" s="1"/>
  <c r="C1705" i="1"/>
  <c r="E1705" i="1" s="1"/>
  <c r="D1705" i="1"/>
  <c r="G1705" i="1" s="1"/>
  <c r="C1706" i="1"/>
  <c r="E1706" i="1" s="1"/>
  <c r="D1706" i="1"/>
  <c r="G1706" i="1" s="1"/>
  <c r="C1707" i="1"/>
  <c r="E1707" i="1" s="1"/>
  <c r="D1707" i="1"/>
  <c r="G1707" i="1" s="1"/>
  <c r="C1708" i="1"/>
  <c r="E1708" i="1" s="1"/>
  <c r="D1708" i="1"/>
  <c r="G1708" i="1" s="1"/>
  <c r="C1709" i="1"/>
  <c r="E1709" i="1" s="1"/>
  <c r="D1709" i="1"/>
  <c r="G1709" i="1" s="1"/>
  <c r="C1710" i="1"/>
  <c r="E1710" i="1" s="1"/>
  <c r="D1710" i="1"/>
  <c r="G1710" i="1" s="1"/>
  <c r="C1711" i="1"/>
  <c r="E1711" i="1" s="1"/>
  <c r="D1711" i="1"/>
  <c r="G1711" i="1" s="1"/>
  <c r="C1712" i="1"/>
  <c r="E1712" i="1" s="1"/>
  <c r="D1712" i="1"/>
  <c r="G1712" i="1" s="1"/>
  <c r="C1713" i="1"/>
  <c r="E1713" i="1" s="1"/>
  <c r="D1713" i="1"/>
  <c r="G1713" i="1" s="1"/>
  <c r="C1714" i="1"/>
  <c r="E1714" i="1" s="1"/>
  <c r="D1714" i="1"/>
  <c r="G1714" i="1" s="1"/>
  <c r="C1715" i="1"/>
  <c r="E1715" i="1" s="1"/>
  <c r="D1715" i="1"/>
  <c r="G1715" i="1" s="1"/>
  <c r="C1716" i="1"/>
  <c r="E1716" i="1" s="1"/>
  <c r="D1716" i="1"/>
  <c r="G1716" i="1" s="1"/>
  <c r="C1717" i="1"/>
  <c r="E1717" i="1" s="1"/>
  <c r="D1717" i="1"/>
  <c r="G1717" i="1" s="1"/>
  <c r="D2" i="1"/>
  <c r="G2" i="1" s="1"/>
  <c r="C2" i="1"/>
  <c r="E2" i="1" s="1"/>
  <c r="H1576" i="1" l="1"/>
  <c r="F1576" i="1"/>
  <c r="F17" i="1"/>
  <c r="F1376" i="1"/>
  <c r="F1255" i="1"/>
  <c r="I1255" i="1" s="1"/>
  <c r="F983" i="1"/>
  <c r="I983" i="1" s="1"/>
  <c r="F843" i="1"/>
  <c r="I843" i="1" s="1"/>
  <c r="F826" i="1"/>
  <c r="I826" i="1" s="1"/>
  <c r="F733" i="1"/>
  <c r="I733" i="1" s="1"/>
  <c r="F502" i="1"/>
  <c r="F474" i="1"/>
  <c r="I474" i="1" s="1"/>
  <c r="F209" i="1"/>
  <c r="F10" i="1"/>
  <c r="F1315" i="1"/>
  <c r="I1315" i="1" s="1"/>
  <c r="H532" i="1"/>
  <c r="F1295" i="1"/>
  <c r="I1295" i="1" s="1"/>
  <c r="F1258" i="1"/>
  <c r="I1258" i="1" s="1"/>
  <c r="H1203" i="1"/>
  <c r="F1200" i="1"/>
  <c r="I1200" i="1" s="1"/>
  <c r="F893" i="1"/>
  <c r="I893" i="1" s="1"/>
  <c r="F793" i="1"/>
  <c r="I793" i="1" s="1"/>
  <c r="F470" i="1"/>
  <c r="F291" i="1"/>
  <c r="I291" i="1" s="1"/>
  <c r="F9" i="1"/>
  <c r="J1203" i="1"/>
  <c r="T1203" i="1" s="1"/>
  <c r="AG1203" i="1" s="1"/>
  <c r="F1170" i="1"/>
  <c r="I1170" i="1" s="1"/>
  <c r="J1170" i="1" s="1"/>
  <c r="F1162" i="1"/>
  <c r="I1162" i="1" s="1"/>
  <c r="F1154" i="1"/>
  <c r="I1154" i="1" s="1"/>
  <c r="F1146" i="1"/>
  <c r="I1146" i="1" s="1"/>
  <c r="F1138" i="1"/>
  <c r="I1138" i="1" s="1"/>
  <c r="F1130" i="1"/>
  <c r="I1130" i="1" s="1"/>
  <c r="F810" i="1"/>
  <c r="I810" i="1" s="1"/>
  <c r="F1359" i="1"/>
  <c r="I1359" i="1" s="1"/>
  <c r="F1250" i="1"/>
  <c r="I1250" i="1" s="1"/>
  <c r="J1250" i="1" s="1"/>
  <c r="F848" i="1"/>
  <c r="F1231" i="1"/>
  <c r="I1231" i="1" s="1"/>
  <c r="F1202" i="1"/>
  <c r="I1202" i="1" s="1"/>
  <c r="F1195" i="1"/>
  <c r="I1195" i="1" s="1"/>
  <c r="F1176" i="1"/>
  <c r="I1176" i="1" s="1"/>
  <c r="F834" i="1"/>
  <c r="I834" i="1" s="1"/>
  <c r="F486" i="1"/>
  <c r="F18" i="1"/>
  <c r="H1059" i="1"/>
  <c r="F1059" i="1"/>
  <c r="I1059" i="1" s="1"/>
  <c r="H1107" i="1"/>
  <c r="F1107" i="1"/>
  <c r="I1107" i="1" s="1"/>
  <c r="H1061" i="1"/>
  <c r="F1061" i="1"/>
  <c r="I1061" i="1" s="1"/>
  <c r="H1067" i="1"/>
  <c r="F1067" i="1"/>
  <c r="I1067" i="1" s="1"/>
  <c r="F732" i="1"/>
  <c r="I732" i="1" s="1"/>
  <c r="J732" i="1" s="1"/>
  <c r="H732" i="1"/>
  <c r="R1203" i="1"/>
  <c r="AE1203" i="1" s="1"/>
  <c r="U1203" i="1"/>
  <c r="AH1203" i="1" s="1"/>
  <c r="S1203" i="1"/>
  <c r="AF1203" i="1" s="1"/>
  <c r="V1170" i="1"/>
  <c r="AI1170" i="1" s="1"/>
  <c r="H1057" i="1"/>
  <c r="F1057" i="1"/>
  <c r="I1057" i="1" s="1"/>
  <c r="F707" i="1"/>
  <c r="I707" i="1" s="1"/>
  <c r="H707" i="1"/>
  <c r="F705" i="1"/>
  <c r="I705" i="1" s="1"/>
  <c r="J705" i="1" s="1"/>
  <c r="H705" i="1"/>
  <c r="H1063" i="1"/>
  <c r="F1063" i="1"/>
  <c r="I1063" i="1" s="1"/>
  <c r="J1063" i="1" s="1"/>
  <c r="F868" i="1"/>
  <c r="I868" i="1" s="1"/>
  <c r="H868" i="1"/>
  <c r="F864" i="1"/>
  <c r="I864" i="1" s="1"/>
  <c r="H864" i="1"/>
  <c r="H1065" i="1"/>
  <c r="F1065" i="1"/>
  <c r="I1065" i="1" s="1"/>
  <c r="F1351" i="1"/>
  <c r="I1351" i="1" s="1"/>
  <c r="F1289" i="1"/>
  <c r="I1289" i="1" s="1"/>
  <c r="J1289" i="1" s="1"/>
  <c r="F1214" i="1"/>
  <c r="F1207" i="1"/>
  <c r="I1207" i="1" s="1"/>
  <c r="F979" i="1"/>
  <c r="I979" i="1" s="1"/>
  <c r="H901" i="1"/>
  <c r="J901" i="1" s="1"/>
  <c r="H876" i="1"/>
  <c r="H856" i="1"/>
  <c r="J856" i="1" s="1"/>
  <c r="F825" i="1"/>
  <c r="I825" i="1" s="1"/>
  <c r="H376" i="1"/>
  <c r="F369" i="1"/>
  <c r="I369" i="1" s="1"/>
  <c r="J369" i="1" s="1"/>
  <c r="F224" i="1"/>
  <c r="I224" i="1" s="1"/>
  <c r="F210" i="1"/>
  <c r="I210" i="1" s="1"/>
  <c r="F129" i="1"/>
  <c r="I129" i="1" s="1"/>
  <c r="J129" i="1" s="1"/>
  <c r="F31" i="1"/>
  <c r="I31" i="1" s="1"/>
  <c r="F15" i="1"/>
  <c r="I15" i="1" s="1"/>
  <c r="F1331" i="1"/>
  <c r="I1331" i="1" s="1"/>
  <c r="F1303" i="1"/>
  <c r="I1303" i="1" s="1"/>
  <c r="F1285" i="1"/>
  <c r="I1285" i="1" s="1"/>
  <c r="J1285" i="1" s="1"/>
  <c r="F1066" i="1"/>
  <c r="I1066" i="1" s="1"/>
  <c r="J1066" i="1" s="1"/>
  <c r="F1064" i="1"/>
  <c r="F1062" i="1"/>
  <c r="F1060" i="1"/>
  <c r="I1060" i="1" s="1"/>
  <c r="J1060" i="1" s="1"/>
  <c r="F1058" i="1"/>
  <c r="I1058" i="1" s="1"/>
  <c r="J1058" i="1" s="1"/>
  <c r="F1056" i="1"/>
  <c r="F873" i="1"/>
  <c r="J532" i="1"/>
  <c r="F146" i="1"/>
  <c r="I146" i="1" s="1"/>
  <c r="J146" i="1" s="1"/>
  <c r="F133" i="1"/>
  <c r="I133" i="1" s="1"/>
  <c r="J133" i="1" s="1"/>
  <c r="F131" i="1"/>
  <c r="I131" i="1" s="1"/>
  <c r="J131" i="1" s="1"/>
  <c r="F121" i="1"/>
  <c r="I121" i="1" s="1"/>
  <c r="J121" i="1" s="1"/>
  <c r="F1288" i="1"/>
  <c r="I1288" i="1" s="1"/>
  <c r="F1175" i="1"/>
  <c r="F1117" i="1"/>
  <c r="I1117" i="1" s="1"/>
  <c r="J1117" i="1" s="1"/>
  <c r="F965" i="1"/>
  <c r="I965" i="1" s="1"/>
  <c r="F897" i="1"/>
  <c r="F852" i="1"/>
  <c r="I852" i="1" s="1"/>
  <c r="F818" i="1"/>
  <c r="I818" i="1" s="1"/>
  <c r="F809" i="1"/>
  <c r="I809" i="1" s="1"/>
  <c r="F740" i="1"/>
  <c r="I740" i="1" s="1"/>
  <c r="F725" i="1"/>
  <c r="I725" i="1" s="1"/>
  <c r="F652" i="1"/>
  <c r="I652" i="1" s="1"/>
  <c r="F285" i="1"/>
  <c r="F162" i="1"/>
  <c r="E146" i="1"/>
  <c r="F1363" i="1"/>
  <c r="I1363" i="1" s="1"/>
  <c r="F1271" i="1"/>
  <c r="I1271" i="1" s="1"/>
  <c r="F1105" i="1"/>
  <c r="I1105" i="1" s="1"/>
  <c r="J1105" i="1" s="1"/>
  <c r="F801" i="1"/>
  <c r="I801" i="1" s="1"/>
  <c r="F461" i="1"/>
  <c r="F168" i="1"/>
  <c r="F23" i="1"/>
  <c r="I23" i="1" s="1"/>
  <c r="F7" i="1"/>
  <c r="I7" i="1" s="1"/>
  <c r="F1244" i="1"/>
  <c r="I1244" i="1" s="1"/>
  <c r="J1244" i="1" s="1"/>
  <c r="F1232" i="1"/>
  <c r="I1232" i="1" s="1"/>
  <c r="J1232" i="1" s="1"/>
  <c r="F1192" i="1"/>
  <c r="I1192" i="1" s="1"/>
  <c r="F971" i="1"/>
  <c r="I971" i="1" s="1"/>
  <c r="H872" i="1"/>
  <c r="J872" i="1" s="1"/>
  <c r="F654" i="1"/>
  <c r="F391" i="1"/>
  <c r="I391" i="1" s="1"/>
  <c r="J391" i="1" s="1"/>
  <c r="F339" i="1"/>
  <c r="I339" i="1" s="1"/>
  <c r="J339" i="1" s="1"/>
  <c r="F281" i="1"/>
  <c r="I281" i="1" s="1"/>
  <c r="F125" i="1"/>
  <c r="I125" i="1" s="1"/>
  <c r="J125" i="1" s="1"/>
  <c r="R1250" i="1"/>
  <c r="AE1250" i="1" s="1"/>
  <c r="Q1250" i="1"/>
  <c r="AD1250" i="1" s="1"/>
  <c r="V1250" i="1"/>
  <c r="AI1250" i="1" s="1"/>
  <c r="N1250" i="1"/>
  <c r="AA1250" i="1" s="1"/>
  <c r="U1250" i="1"/>
  <c r="AH1250" i="1" s="1"/>
  <c r="M1250" i="1"/>
  <c r="Z1250" i="1" s="1"/>
  <c r="T1250" i="1"/>
  <c r="AG1250" i="1" s="1"/>
  <c r="S1250" i="1"/>
  <c r="AF1250" i="1" s="1"/>
  <c r="P1250" i="1"/>
  <c r="AC1250" i="1" s="1"/>
  <c r="O1250" i="1"/>
  <c r="AB1250" i="1" s="1"/>
  <c r="L1250" i="1"/>
  <c r="Y1250" i="1" s="1"/>
  <c r="K1250" i="1"/>
  <c r="X1250" i="1" s="1"/>
  <c r="J1202" i="1"/>
  <c r="J1171" i="1"/>
  <c r="F794" i="1"/>
  <c r="I794" i="1" s="1"/>
  <c r="F225" i="1"/>
  <c r="I225" i="1" s="1"/>
  <c r="J225" i="1" s="1"/>
  <c r="F138" i="1"/>
  <c r="F132" i="1"/>
  <c r="F19" i="1"/>
  <c r="I19" i="1" s="1"/>
  <c r="F3" i="1"/>
  <c r="F1325" i="1"/>
  <c r="I1325" i="1" s="1"/>
  <c r="J1325" i="1" s="1"/>
  <c r="F973" i="1"/>
  <c r="I973" i="1" s="1"/>
  <c r="F860" i="1"/>
  <c r="I860" i="1" s="1"/>
  <c r="J860" i="1" s="1"/>
  <c r="F808" i="1"/>
  <c r="I808" i="1" s="1"/>
  <c r="J808" i="1" s="1"/>
  <c r="F293" i="1"/>
  <c r="I293" i="1" s="1"/>
  <c r="F144" i="1"/>
  <c r="F117" i="1"/>
  <c r="I117" i="1" s="1"/>
  <c r="J117" i="1" s="1"/>
  <c r="H1081" i="1"/>
  <c r="F1081" i="1"/>
  <c r="I1081" i="1" s="1"/>
  <c r="H650" i="1"/>
  <c r="F650" i="1"/>
  <c r="I650" i="1" s="1"/>
  <c r="J650" i="1" s="1"/>
  <c r="F1368" i="1"/>
  <c r="I1368" i="1" s="1"/>
  <c r="J1368" i="1" s="1"/>
  <c r="H1368" i="1"/>
  <c r="F1328" i="1"/>
  <c r="H1328" i="1"/>
  <c r="F1272" i="1"/>
  <c r="I1272" i="1" s="1"/>
  <c r="H1272" i="1"/>
  <c r="H1073" i="1"/>
  <c r="F1073" i="1"/>
  <c r="I1073" i="1" s="1"/>
  <c r="J1073" i="1" s="1"/>
  <c r="F884" i="1"/>
  <c r="I884" i="1" s="1"/>
  <c r="J884" i="1" s="1"/>
  <c r="H884" i="1"/>
  <c r="F865" i="1"/>
  <c r="H865" i="1"/>
  <c r="F784" i="1"/>
  <c r="I784" i="1" s="1"/>
  <c r="H784" i="1"/>
  <c r="F699" i="1"/>
  <c r="I699" i="1" s="1"/>
  <c r="H699" i="1"/>
  <c r="F1123" i="1"/>
  <c r="F764" i="1"/>
  <c r="I764" i="1" s="1"/>
  <c r="H764" i="1"/>
  <c r="F1327" i="1"/>
  <c r="I1327" i="1" s="1"/>
  <c r="F1264" i="1"/>
  <c r="I1264" i="1" s="1"/>
  <c r="H1264" i="1"/>
  <c r="F1248" i="1"/>
  <c r="I1248" i="1" s="1"/>
  <c r="H1248" i="1"/>
  <c r="F1220" i="1"/>
  <c r="I1220" i="1" s="1"/>
  <c r="J1220" i="1" s="1"/>
  <c r="H1220" i="1"/>
  <c r="H1084" i="1"/>
  <c r="F1084" i="1"/>
  <c r="I1084" i="1" s="1"/>
  <c r="H1080" i="1"/>
  <c r="F1080" i="1"/>
  <c r="H1076" i="1"/>
  <c r="F1076" i="1"/>
  <c r="I1076" i="1" s="1"/>
  <c r="J1076" i="1" s="1"/>
  <c r="H1072" i="1"/>
  <c r="F1072" i="1"/>
  <c r="H1068" i="1"/>
  <c r="F1068" i="1"/>
  <c r="F792" i="1"/>
  <c r="I792" i="1" s="1"/>
  <c r="H792" i="1"/>
  <c r="F713" i="1"/>
  <c r="I713" i="1" s="1"/>
  <c r="H713" i="1"/>
  <c r="F1296" i="1"/>
  <c r="I1296" i="1" s="1"/>
  <c r="J1296" i="1" s="1"/>
  <c r="H1296" i="1"/>
  <c r="H1085" i="1"/>
  <c r="F1085" i="1"/>
  <c r="I1085" i="1" s="1"/>
  <c r="E1357" i="1"/>
  <c r="F1357" i="1"/>
  <c r="H1334" i="1"/>
  <c r="F1334" i="1"/>
  <c r="I1334" i="1" s="1"/>
  <c r="J1334" i="1" s="1"/>
  <c r="F900" i="1"/>
  <c r="I900" i="1" s="1"/>
  <c r="H900" i="1"/>
  <c r="F880" i="1"/>
  <c r="I880" i="1" s="1"/>
  <c r="H880" i="1"/>
  <c r="F861" i="1"/>
  <c r="I861" i="1" s="1"/>
  <c r="H861" i="1"/>
  <c r="H858" i="1"/>
  <c r="F858" i="1"/>
  <c r="I858" i="1" s="1"/>
  <c r="F728" i="1"/>
  <c r="I728" i="1" s="1"/>
  <c r="H728" i="1"/>
  <c r="F1352" i="1"/>
  <c r="I1352" i="1" s="1"/>
  <c r="J1352" i="1" s="1"/>
  <c r="H1352" i="1"/>
  <c r="H1349" i="1"/>
  <c r="F1349" i="1"/>
  <c r="F1247" i="1"/>
  <c r="I1247" i="1" s="1"/>
  <c r="H1247" i="1"/>
  <c r="F1219" i="1"/>
  <c r="I1219" i="1" s="1"/>
  <c r="H1219" i="1"/>
  <c r="H1125" i="1"/>
  <c r="F1125" i="1"/>
  <c r="I1125" i="1" s="1"/>
  <c r="H1087" i="1"/>
  <c r="F1087" i="1"/>
  <c r="I1087" i="1" s="1"/>
  <c r="H1083" i="1"/>
  <c r="F1083" i="1"/>
  <c r="I1083" i="1" s="1"/>
  <c r="H1079" i="1"/>
  <c r="F1079" i="1"/>
  <c r="I1079" i="1" s="1"/>
  <c r="H1075" i="1"/>
  <c r="F1075" i="1"/>
  <c r="I1075" i="1" s="1"/>
  <c r="H1071" i="1"/>
  <c r="F1071" i="1"/>
  <c r="I1071" i="1" s="1"/>
  <c r="F756" i="1"/>
  <c r="I756" i="1" s="1"/>
  <c r="H756" i="1"/>
  <c r="F721" i="1"/>
  <c r="I721" i="1" s="1"/>
  <c r="H721" i="1"/>
  <c r="H1077" i="1"/>
  <c r="F1077" i="1"/>
  <c r="I1077" i="1" s="1"/>
  <c r="F1319" i="1"/>
  <c r="I1319" i="1" s="1"/>
  <c r="H1319" i="1"/>
  <c r="F896" i="1"/>
  <c r="I896" i="1" s="1"/>
  <c r="H896" i="1"/>
  <c r="F857" i="1"/>
  <c r="H857" i="1"/>
  <c r="F845" i="1"/>
  <c r="I845" i="1" s="1"/>
  <c r="H845" i="1"/>
  <c r="F800" i="1"/>
  <c r="I800" i="1" s="1"/>
  <c r="H800" i="1"/>
  <c r="F715" i="1"/>
  <c r="I715" i="1" s="1"/>
  <c r="H715" i="1"/>
  <c r="H1103" i="1"/>
  <c r="F1103" i="1"/>
  <c r="F2" i="1"/>
  <c r="I2" i="1" s="1"/>
  <c r="H2" i="1"/>
  <c r="F1344" i="1"/>
  <c r="H1344" i="1"/>
  <c r="E1341" i="1"/>
  <c r="F1341" i="1"/>
  <c r="H1329" i="1"/>
  <c r="F1329" i="1"/>
  <c r="I1329" i="1" s="1"/>
  <c r="F1304" i="1"/>
  <c r="I1304" i="1" s="1"/>
  <c r="H1304" i="1"/>
  <c r="H1086" i="1"/>
  <c r="F1086" i="1"/>
  <c r="H1082" i="1"/>
  <c r="F1082" i="1"/>
  <c r="I1082" i="1" s="1"/>
  <c r="H1078" i="1"/>
  <c r="F1078" i="1"/>
  <c r="H1074" i="1"/>
  <c r="F1074" i="1"/>
  <c r="I1074" i="1" s="1"/>
  <c r="H1070" i="1"/>
  <c r="F1070" i="1"/>
  <c r="H889" i="1"/>
  <c r="F889" i="1"/>
  <c r="F885" i="1"/>
  <c r="I885" i="1" s="1"/>
  <c r="J885" i="1" s="1"/>
  <c r="H885" i="1"/>
  <c r="F869" i="1"/>
  <c r="I869" i="1" s="1"/>
  <c r="H869" i="1"/>
  <c r="H866" i="1"/>
  <c r="F866" i="1"/>
  <c r="I866" i="1" s="1"/>
  <c r="H1069" i="1"/>
  <c r="F1069" i="1"/>
  <c r="I1069" i="1" s="1"/>
  <c r="F888" i="1"/>
  <c r="I888" i="1" s="1"/>
  <c r="J888" i="1" s="1"/>
  <c r="H888" i="1"/>
  <c r="F853" i="1"/>
  <c r="I853" i="1" s="1"/>
  <c r="H853" i="1"/>
  <c r="F816" i="1"/>
  <c r="I816" i="1" s="1"/>
  <c r="J816" i="1" s="1"/>
  <c r="H816" i="1"/>
  <c r="F1336" i="1"/>
  <c r="I1336" i="1" s="1"/>
  <c r="H1336" i="1"/>
  <c r="H1115" i="1"/>
  <c r="F1115" i="1"/>
  <c r="I1115" i="1" s="1"/>
  <c r="F892" i="1"/>
  <c r="H892" i="1"/>
  <c r="F844" i="1"/>
  <c r="H844" i="1"/>
  <c r="F748" i="1"/>
  <c r="I748" i="1" s="1"/>
  <c r="H748" i="1"/>
  <c r="H367" i="1"/>
  <c r="F367" i="1"/>
  <c r="I367" i="1" s="1"/>
  <c r="F352" i="1"/>
  <c r="I352" i="1" s="1"/>
  <c r="J352" i="1" s="1"/>
  <c r="E352" i="1"/>
  <c r="F1361" i="1"/>
  <c r="F1345" i="1"/>
  <c r="I1345" i="1" s="1"/>
  <c r="J1345" i="1" s="1"/>
  <c r="F1301" i="1"/>
  <c r="I1301" i="1" s="1"/>
  <c r="J1301" i="1" s="1"/>
  <c r="H1295" i="1"/>
  <c r="J1295" i="1" s="1"/>
  <c r="H1283" i="1"/>
  <c r="F1269" i="1"/>
  <c r="I1269" i="1" s="1"/>
  <c r="J1269" i="1" s="1"/>
  <c r="F1252" i="1"/>
  <c r="I1252" i="1" s="1"/>
  <c r="J1252" i="1" s="1"/>
  <c r="F1240" i="1"/>
  <c r="I1240" i="1" s="1"/>
  <c r="J1240" i="1" s="1"/>
  <c r="F1228" i="1"/>
  <c r="I1228" i="1" s="1"/>
  <c r="J1228" i="1" s="1"/>
  <c r="F1215" i="1"/>
  <c r="I1215" i="1" s="1"/>
  <c r="F1210" i="1"/>
  <c r="I1210" i="1" s="1"/>
  <c r="J1210" i="1" s="1"/>
  <c r="H1190" i="1"/>
  <c r="F1182" i="1"/>
  <c r="F1179" i="1"/>
  <c r="I1179" i="1" s="1"/>
  <c r="J1179" i="1" s="1"/>
  <c r="F1168" i="1"/>
  <c r="I1168" i="1" s="1"/>
  <c r="F1160" i="1"/>
  <c r="I1160" i="1" s="1"/>
  <c r="F1152" i="1"/>
  <c r="I1152" i="1" s="1"/>
  <c r="F1144" i="1"/>
  <c r="I1144" i="1" s="1"/>
  <c r="F1136" i="1"/>
  <c r="I1136" i="1" s="1"/>
  <c r="F1128" i="1"/>
  <c r="I1128" i="1" s="1"/>
  <c r="F1121" i="1"/>
  <c r="I1121" i="1" s="1"/>
  <c r="J1121" i="1" s="1"/>
  <c r="F1119" i="1"/>
  <c r="I1119" i="1" s="1"/>
  <c r="J1119" i="1" s="1"/>
  <c r="F1097" i="1"/>
  <c r="I1097" i="1" s="1"/>
  <c r="J1097" i="1" s="1"/>
  <c r="F1054" i="1"/>
  <c r="F1052" i="1"/>
  <c r="F1050" i="1"/>
  <c r="I1050" i="1" s="1"/>
  <c r="J1050" i="1" s="1"/>
  <c r="H897" i="1"/>
  <c r="H893" i="1"/>
  <c r="J893" i="1" s="1"/>
  <c r="F881" i="1"/>
  <c r="H852" i="1"/>
  <c r="J852" i="1" s="1"/>
  <c r="F850" i="1"/>
  <c r="I850" i="1" s="1"/>
  <c r="H848" i="1"/>
  <c r="H824" i="1"/>
  <c r="J824" i="1" s="1"/>
  <c r="H723" i="1"/>
  <c r="H477" i="1"/>
  <c r="I424" i="1"/>
  <c r="F377" i="1"/>
  <c r="I377" i="1" s="1"/>
  <c r="H377" i="1"/>
  <c r="F222" i="1"/>
  <c r="E140" i="1"/>
  <c r="F140" i="1"/>
  <c r="F208" i="1"/>
  <c r="I208" i="1" s="1"/>
  <c r="J208" i="1" s="1"/>
  <c r="H208" i="1"/>
  <c r="E162" i="1"/>
  <c r="I162" i="1" s="1"/>
  <c r="J162" i="1" s="1"/>
  <c r="F1320" i="1"/>
  <c r="I1320" i="1" s="1"/>
  <c r="J1320" i="1" s="1"/>
  <c r="F1318" i="1"/>
  <c r="F1312" i="1"/>
  <c r="I1312" i="1" s="1"/>
  <c r="J1312" i="1" s="1"/>
  <c r="F1280" i="1"/>
  <c r="I1280" i="1" s="1"/>
  <c r="J1280" i="1" s="1"/>
  <c r="F1235" i="1"/>
  <c r="I1235" i="1" s="1"/>
  <c r="J1235" i="1" s="1"/>
  <c r="F1223" i="1"/>
  <c r="I1223" i="1" s="1"/>
  <c r="J1223" i="1" s="1"/>
  <c r="F1218" i="1"/>
  <c r="I1218" i="1" s="1"/>
  <c r="J1218" i="1" s="1"/>
  <c r="H1195" i="1"/>
  <c r="J1195" i="1" s="1"/>
  <c r="F1187" i="1"/>
  <c r="I1187" i="1" s="1"/>
  <c r="J1187" i="1" s="1"/>
  <c r="F1165" i="1"/>
  <c r="H1162" i="1"/>
  <c r="J1162" i="1" s="1"/>
  <c r="F1157" i="1"/>
  <c r="H1154" i="1"/>
  <c r="F1149" i="1"/>
  <c r="I1149" i="1" s="1"/>
  <c r="J1149" i="1" s="1"/>
  <c r="H1146" i="1"/>
  <c r="J1146" i="1" s="1"/>
  <c r="F1141" i="1"/>
  <c r="H1138" i="1"/>
  <c r="J1138" i="1" s="1"/>
  <c r="F1133" i="1"/>
  <c r="H1130" i="1"/>
  <c r="F1101" i="1"/>
  <c r="I1101" i="1" s="1"/>
  <c r="J1101" i="1" s="1"/>
  <c r="F1099" i="1"/>
  <c r="I1099" i="1" s="1"/>
  <c r="J1099" i="1" s="1"/>
  <c r="F1095" i="1"/>
  <c r="I1095" i="1" s="1"/>
  <c r="J1095" i="1" s="1"/>
  <c r="F1093" i="1"/>
  <c r="I1093" i="1" s="1"/>
  <c r="J1093" i="1" s="1"/>
  <c r="F1091" i="1"/>
  <c r="I1091" i="1" s="1"/>
  <c r="J1091" i="1" s="1"/>
  <c r="F1089" i="1"/>
  <c r="I1089" i="1" s="1"/>
  <c r="J1089" i="1" s="1"/>
  <c r="J723" i="1"/>
  <c r="I462" i="1"/>
  <c r="F406" i="1"/>
  <c r="I406" i="1" s="1"/>
  <c r="J406" i="1" s="1"/>
  <c r="H406" i="1"/>
  <c r="F398" i="1"/>
  <c r="I398" i="1" s="1"/>
  <c r="J398" i="1" s="1"/>
  <c r="H398" i="1"/>
  <c r="F386" i="1"/>
  <c r="I386" i="1" s="1"/>
  <c r="H386" i="1"/>
  <c r="F217" i="1"/>
  <c r="I217" i="1" s="1"/>
  <c r="H217" i="1"/>
  <c r="F170" i="1"/>
  <c r="I170" i="1" s="1"/>
  <c r="J170" i="1" s="1"/>
  <c r="I27" i="1"/>
  <c r="I11" i="1"/>
  <c r="E138" i="1"/>
  <c r="I138" i="1" s="1"/>
  <c r="J138" i="1" s="1"/>
  <c r="F412" i="1"/>
  <c r="I412" i="1" s="1"/>
  <c r="H412" i="1"/>
  <c r="F404" i="1"/>
  <c r="I404" i="1" s="1"/>
  <c r="H404" i="1"/>
  <c r="F396" i="1"/>
  <c r="I396" i="1" s="1"/>
  <c r="J396" i="1" s="1"/>
  <c r="H396" i="1"/>
  <c r="H1303" i="1"/>
  <c r="F1291" i="1"/>
  <c r="I1291" i="1" s="1"/>
  <c r="H1288" i="1"/>
  <c r="H1271" i="1"/>
  <c r="F1263" i="1"/>
  <c r="I1263" i="1" s="1"/>
  <c r="H1256" i="1"/>
  <c r="J1256" i="1" s="1"/>
  <c r="H1206" i="1"/>
  <c r="F1198" i="1"/>
  <c r="F1184" i="1"/>
  <c r="I1184" i="1" s="1"/>
  <c r="F1167" i="1"/>
  <c r="I1167" i="1" s="1"/>
  <c r="J1167" i="1" s="1"/>
  <c r="F1159" i="1"/>
  <c r="I1159" i="1" s="1"/>
  <c r="J1159" i="1" s="1"/>
  <c r="F1151" i="1"/>
  <c r="I1151" i="1" s="1"/>
  <c r="F1143" i="1"/>
  <c r="I1143" i="1" s="1"/>
  <c r="F1135" i="1"/>
  <c r="I1135" i="1" s="1"/>
  <c r="J1135" i="1" s="1"/>
  <c r="F1127" i="1"/>
  <c r="I1127" i="1" s="1"/>
  <c r="J1127" i="1" s="1"/>
  <c r="F874" i="1"/>
  <c r="I874" i="1" s="1"/>
  <c r="J874" i="1" s="1"/>
  <c r="J868" i="1"/>
  <c r="E335" i="1"/>
  <c r="F335" i="1"/>
  <c r="F164" i="1"/>
  <c r="E164" i="1"/>
  <c r="F148" i="1"/>
  <c r="E148" i="1"/>
  <c r="I148" i="1" s="1"/>
  <c r="J148" i="1" s="1"/>
  <c r="E1123" i="1"/>
  <c r="F882" i="1"/>
  <c r="I882" i="1" s="1"/>
  <c r="J707" i="1"/>
  <c r="H485" i="1"/>
  <c r="F408" i="1"/>
  <c r="I408" i="1" s="1"/>
  <c r="H408" i="1"/>
  <c r="F400" i="1"/>
  <c r="I400" i="1" s="1"/>
  <c r="H400" i="1"/>
  <c r="I376" i="1"/>
  <c r="F289" i="1"/>
  <c r="I289" i="1" s="1"/>
  <c r="F200" i="1"/>
  <c r="I200" i="1" s="1"/>
  <c r="H200" i="1"/>
  <c r="F154" i="1"/>
  <c r="F1377" i="1"/>
  <c r="I1377" i="1" s="1"/>
  <c r="J1377" i="1" s="1"/>
  <c r="F1366" i="1"/>
  <c r="F1360" i="1"/>
  <c r="F1317" i="1"/>
  <c r="F1251" i="1"/>
  <c r="I1251" i="1" s="1"/>
  <c r="J1251" i="1" s="1"/>
  <c r="F1239" i="1"/>
  <c r="I1239" i="1" s="1"/>
  <c r="J1239" i="1" s="1"/>
  <c r="F1234" i="1"/>
  <c r="I1234" i="1" s="1"/>
  <c r="J1234" i="1" s="1"/>
  <c r="F1227" i="1"/>
  <c r="I1227" i="1" s="1"/>
  <c r="F1211" i="1"/>
  <c r="I1211" i="1" s="1"/>
  <c r="J1211" i="1" s="1"/>
  <c r="F1183" i="1"/>
  <c r="I1183" i="1" s="1"/>
  <c r="F1178" i="1"/>
  <c r="I1178" i="1" s="1"/>
  <c r="J1178" i="1" s="1"/>
  <c r="F1111" i="1"/>
  <c r="I1111" i="1" s="1"/>
  <c r="J1111" i="1" s="1"/>
  <c r="F1109" i="1"/>
  <c r="I1109" i="1" s="1"/>
  <c r="J1109" i="1" s="1"/>
  <c r="E1103" i="1"/>
  <c r="I1103" i="1" s="1"/>
  <c r="J1103" i="1" s="1"/>
  <c r="F1096" i="1"/>
  <c r="F1055" i="1"/>
  <c r="I1055" i="1" s="1"/>
  <c r="J1055" i="1" s="1"/>
  <c r="F1053" i="1"/>
  <c r="I1053" i="1" s="1"/>
  <c r="J1053" i="1" s="1"/>
  <c r="F1051" i="1"/>
  <c r="I1051" i="1" s="1"/>
  <c r="J1051" i="1" s="1"/>
  <c r="F890" i="1"/>
  <c r="I890" i="1" s="1"/>
  <c r="J890" i="1" s="1"/>
  <c r="F847" i="1"/>
  <c r="I847" i="1" s="1"/>
  <c r="F832" i="1"/>
  <c r="I832" i="1" s="1"/>
  <c r="J832" i="1" s="1"/>
  <c r="F786" i="1"/>
  <c r="I786" i="1" s="1"/>
  <c r="F769" i="1"/>
  <c r="I769" i="1" s="1"/>
  <c r="J769" i="1" s="1"/>
  <c r="F767" i="1"/>
  <c r="I767" i="1" s="1"/>
  <c r="F765" i="1"/>
  <c r="I765" i="1" s="1"/>
  <c r="J765" i="1" s="1"/>
  <c r="F763" i="1"/>
  <c r="F761" i="1"/>
  <c r="I761" i="1" s="1"/>
  <c r="F759" i="1"/>
  <c r="I759" i="1" s="1"/>
  <c r="J759" i="1" s="1"/>
  <c r="F757" i="1"/>
  <c r="F755" i="1"/>
  <c r="I755" i="1" s="1"/>
  <c r="J755" i="1" s="1"/>
  <c r="F753" i="1"/>
  <c r="I753" i="1" s="1"/>
  <c r="F751" i="1"/>
  <c r="I751" i="1" s="1"/>
  <c r="J751" i="1" s="1"/>
  <c r="F747" i="1"/>
  <c r="I747" i="1" s="1"/>
  <c r="J747" i="1" s="1"/>
  <c r="F745" i="1"/>
  <c r="I745" i="1" s="1"/>
  <c r="J745" i="1" s="1"/>
  <c r="F743" i="1"/>
  <c r="I743" i="1" s="1"/>
  <c r="J743" i="1" s="1"/>
  <c r="F736" i="1"/>
  <c r="I736" i="1" s="1"/>
  <c r="J736" i="1" s="1"/>
  <c r="F522" i="1"/>
  <c r="I522" i="1" s="1"/>
  <c r="H522" i="1"/>
  <c r="H206" i="1"/>
  <c r="F206" i="1"/>
  <c r="I206" i="1" s="1"/>
  <c r="I144" i="1"/>
  <c r="J144" i="1" s="1"/>
  <c r="F123" i="1"/>
  <c r="I123" i="1" s="1"/>
  <c r="J123" i="1" s="1"/>
  <c r="I1175" i="1"/>
  <c r="J1175" i="1" s="1"/>
  <c r="F1311" i="1"/>
  <c r="I1311" i="1" s="1"/>
  <c r="J1311" i="1" s="1"/>
  <c r="F1299" i="1"/>
  <c r="I1299" i="1" s="1"/>
  <c r="F1279" i="1"/>
  <c r="I1279" i="1" s="1"/>
  <c r="F1267" i="1"/>
  <c r="I1267" i="1" s="1"/>
  <c r="F1236" i="1"/>
  <c r="I1236" i="1" s="1"/>
  <c r="J1236" i="1" s="1"/>
  <c r="F1224" i="1"/>
  <c r="I1224" i="1" s="1"/>
  <c r="J1224" i="1" s="1"/>
  <c r="F1208" i="1"/>
  <c r="I1208" i="1" s="1"/>
  <c r="H1194" i="1"/>
  <c r="J1194" i="1" s="1"/>
  <c r="F1191" i="1"/>
  <c r="I1191" i="1" s="1"/>
  <c r="J1191" i="1" s="1"/>
  <c r="F1186" i="1"/>
  <c r="I1186" i="1" s="1"/>
  <c r="J1186" i="1" s="1"/>
  <c r="F1161" i="1"/>
  <c r="F1153" i="1"/>
  <c r="F1145" i="1"/>
  <c r="F1137" i="1"/>
  <c r="F1129" i="1"/>
  <c r="F1113" i="1"/>
  <c r="I1113" i="1" s="1"/>
  <c r="J1113" i="1" s="1"/>
  <c r="F1094" i="1"/>
  <c r="I1094" i="1" s="1"/>
  <c r="J1094" i="1" s="1"/>
  <c r="F1092" i="1"/>
  <c r="F1090" i="1"/>
  <c r="F1088" i="1"/>
  <c r="I1088" i="1" s="1"/>
  <c r="J1088" i="1" s="1"/>
  <c r="F898" i="1"/>
  <c r="I898" i="1" s="1"/>
  <c r="F849" i="1"/>
  <c r="F528" i="1"/>
  <c r="I528" i="1" s="1"/>
  <c r="J528" i="1" s="1"/>
  <c r="F422" i="1"/>
  <c r="I422" i="1" s="1"/>
  <c r="F410" i="1"/>
  <c r="I410" i="1" s="1"/>
  <c r="J410" i="1" s="1"/>
  <c r="H410" i="1"/>
  <c r="F402" i="1"/>
  <c r="I402" i="1" s="1"/>
  <c r="H402" i="1"/>
  <c r="F394" i="1"/>
  <c r="I394" i="1" s="1"/>
  <c r="H394" i="1"/>
  <c r="H381" i="1"/>
  <c r="J381" i="1" s="1"/>
  <c r="I285" i="1"/>
  <c r="I219" i="1"/>
  <c r="I209" i="1"/>
  <c r="I132" i="1"/>
  <c r="J132" i="1" s="1"/>
  <c r="E154" i="1"/>
  <c r="F1307" i="1"/>
  <c r="I1307" i="1" s="1"/>
  <c r="F1287" i="1"/>
  <c r="I1287" i="1" s="1"/>
  <c r="F1275" i="1"/>
  <c r="I1275" i="1" s="1"/>
  <c r="H1255" i="1"/>
  <c r="J1255" i="1" s="1"/>
  <c r="H1243" i="1"/>
  <c r="H1231" i="1"/>
  <c r="J1231" i="1" s="1"/>
  <c r="F1216" i="1"/>
  <c r="I1216" i="1" s="1"/>
  <c r="F1199" i="1"/>
  <c r="I1199" i="1" s="1"/>
  <c r="H1174" i="1"/>
  <c r="J1174" i="1" s="1"/>
  <c r="F1166" i="1"/>
  <c r="I1166" i="1" s="1"/>
  <c r="J1166" i="1" s="1"/>
  <c r="F1163" i="1"/>
  <c r="I1163" i="1" s="1"/>
  <c r="J1163" i="1" s="1"/>
  <c r="F1158" i="1"/>
  <c r="I1158" i="1" s="1"/>
  <c r="J1158" i="1" s="1"/>
  <c r="F1155" i="1"/>
  <c r="I1155" i="1" s="1"/>
  <c r="J1155" i="1" s="1"/>
  <c r="F1150" i="1"/>
  <c r="I1150" i="1" s="1"/>
  <c r="J1150" i="1" s="1"/>
  <c r="F1147" i="1"/>
  <c r="I1147" i="1" s="1"/>
  <c r="F1142" i="1"/>
  <c r="I1142" i="1" s="1"/>
  <c r="J1142" i="1" s="1"/>
  <c r="F1139" i="1"/>
  <c r="I1139" i="1" s="1"/>
  <c r="F1134" i="1"/>
  <c r="F1131" i="1"/>
  <c r="I1131" i="1" s="1"/>
  <c r="J1131" i="1" s="1"/>
  <c r="H877" i="1"/>
  <c r="J877" i="1" s="1"/>
  <c r="H840" i="1"/>
  <c r="J840" i="1" s="1"/>
  <c r="H740" i="1"/>
  <c r="J740" i="1" s="1"/>
  <c r="H697" i="1"/>
  <c r="I478" i="1"/>
  <c r="H469" i="1"/>
  <c r="E156" i="1"/>
  <c r="F156" i="1"/>
  <c r="E222" i="1"/>
  <c r="I222" i="1" s="1"/>
  <c r="J222" i="1" s="1"/>
  <c r="F172" i="1"/>
  <c r="I172" i="1" s="1"/>
  <c r="J172" i="1" s="1"/>
  <c r="F152" i="1"/>
  <c r="I152" i="1" s="1"/>
  <c r="J152" i="1" s="1"/>
  <c r="F143" i="1"/>
  <c r="F136" i="1"/>
  <c r="I136" i="1" s="1"/>
  <c r="J136" i="1" s="1"/>
  <c r="F128" i="1"/>
  <c r="I128" i="1" s="1"/>
  <c r="J128" i="1" s="1"/>
  <c r="F124" i="1"/>
  <c r="I124" i="1" s="1"/>
  <c r="J124" i="1" s="1"/>
  <c r="F120" i="1"/>
  <c r="I120" i="1" s="1"/>
  <c r="J120" i="1" s="1"/>
  <c r="F116" i="1"/>
  <c r="I116" i="1" s="1"/>
  <c r="J116" i="1" s="1"/>
  <c r="E115" i="1"/>
  <c r="I115" i="1" s="1"/>
  <c r="J115" i="1" s="1"/>
  <c r="E123" i="1"/>
  <c r="F418" i="1"/>
  <c r="I418" i="1" s="1"/>
  <c r="F413" i="1"/>
  <c r="I413" i="1" s="1"/>
  <c r="J413" i="1" s="1"/>
  <c r="F411" i="1"/>
  <c r="I411" i="1" s="1"/>
  <c r="J411" i="1" s="1"/>
  <c r="F409" i="1"/>
  <c r="I409" i="1" s="1"/>
  <c r="J409" i="1" s="1"/>
  <c r="F407" i="1"/>
  <c r="I407" i="1" s="1"/>
  <c r="J407" i="1" s="1"/>
  <c r="F405" i="1"/>
  <c r="I405" i="1" s="1"/>
  <c r="J405" i="1" s="1"/>
  <c r="F403" i="1"/>
  <c r="I403" i="1" s="1"/>
  <c r="J403" i="1" s="1"/>
  <c r="F401" i="1"/>
  <c r="I401" i="1" s="1"/>
  <c r="J401" i="1" s="1"/>
  <c r="F399" i="1"/>
  <c r="I399" i="1" s="1"/>
  <c r="F397" i="1"/>
  <c r="I397" i="1" s="1"/>
  <c r="J397" i="1" s="1"/>
  <c r="F395" i="1"/>
  <c r="I395" i="1" s="1"/>
  <c r="F393" i="1"/>
  <c r="I393" i="1" s="1"/>
  <c r="J393" i="1" s="1"/>
  <c r="F387" i="1"/>
  <c r="I387" i="1" s="1"/>
  <c r="J387" i="1" s="1"/>
  <c r="F385" i="1"/>
  <c r="I385" i="1" s="1"/>
  <c r="F380" i="1"/>
  <c r="I380" i="1" s="1"/>
  <c r="J380" i="1" s="1"/>
  <c r="F287" i="1"/>
  <c r="I287" i="1" s="1"/>
  <c r="F205" i="1"/>
  <c r="I205" i="1" s="1"/>
  <c r="F159" i="1"/>
  <c r="F28" i="1"/>
  <c r="I28" i="1" s="1"/>
  <c r="F20" i="1"/>
  <c r="I20" i="1" s="1"/>
  <c r="F12" i="1"/>
  <c r="I12" i="1" s="1"/>
  <c r="F4" i="1"/>
  <c r="I4" i="1" s="1"/>
  <c r="F518" i="1"/>
  <c r="I518" i="1" s="1"/>
  <c r="J518" i="1" s="1"/>
  <c r="F516" i="1"/>
  <c r="I516" i="1" s="1"/>
  <c r="F514" i="1"/>
  <c r="F512" i="1"/>
  <c r="I512" i="1" s="1"/>
  <c r="J512" i="1" s="1"/>
  <c r="F337" i="1"/>
  <c r="I337" i="1" s="1"/>
  <c r="J337" i="1" s="1"/>
  <c r="F526" i="1"/>
  <c r="I526" i="1" s="1"/>
  <c r="J526" i="1" s="1"/>
  <c r="F167" i="1"/>
  <c r="F160" i="1"/>
  <c r="I160" i="1" s="1"/>
  <c r="J160" i="1" s="1"/>
  <c r="F127" i="1"/>
  <c r="F119" i="1"/>
  <c r="E143" i="1"/>
  <c r="E159" i="1"/>
  <c r="E167" i="1"/>
  <c r="F213" i="1"/>
  <c r="I213" i="1" s="1"/>
  <c r="F201" i="1"/>
  <c r="I201" i="1" s="1"/>
  <c r="F151" i="1"/>
  <c r="F135" i="1"/>
  <c r="F32" i="1"/>
  <c r="I32" i="1" s="1"/>
  <c r="F24" i="1"/>
  <c r="I24" i="1" s="1"/>
  <c r="F16" i="1"/>
  <c r="I16" i="1" s="1"/>
  <c r="F8" i="1"/>
  <c r="I8" i="1" s="1"/>
  <c r="F216" i="1"/>
  <c r="I216" i="1" s="1"/>
  <c r="J216" i="1" s="1"/>
  <c r="I1182" i="1"/>
  <c r="J1182" i="1" s="1"/>
  <c r="I414" i="1"/>
  <c r="I1366" i="1"/>
  <c r="J1366" i="1" s="1"/>
  <c r="I1190" i="1"/>
  <c r="J697" i="1"/>
  <c r="I1198" i="1"/>
  <c r="J1198" i="1" s="1"/>
  <c r="I1078" i="1"/>
  <c r="I26" i="1"/>
  <c r="I18" i="1"/>
  <c r="I10" i="1"/>
  <c r="I1206" i="1"/>
  <c r="I502" i="1"/>
  <c r="I486" i="1"/>
  <c r="I470" i="1"/>
  <c r="I1214" i="1"/>
  <c r="J1214" i="1" s="1"/>
  <c r="I1070" i="1"/>
  <c r="J1070" i="1" s="1"/>
  <c r="I654" i="1"/>
  <c r="I1318" i="1"/>
  <c r="J1318" i="1" s="1"/>
  <c r="I1134" i="1"/>
  <c r="J1134" i="1" s="1"/>
  <c r="I1062" i="1"/>
  <c r="J1062" i="1" s="1"/>
  <c r="I30" i="1"/>
  <c r="I22" i="1"/>
  <c r="I14" i="1"/>
  <c r="I6" i="1"/>
  <c r="F1710" i="1"/>
  <c r="I1710" i="1" s="1"/>
  <c r="H1710" i="1"/>
  <c r="F1694" i="1"/>
  <c r="I1694" i="1" s="1"/>
  <c r="H1694" i="1"/>
  <c r="F1678" i="1"/>
  <c r="I1678" i="1" s="1"/>
  <c r="H1678" i="1"/>
  <c r="F1662" i="1"/>
  <c r="I1662" i="1" s="1"/>
  <c r="J1662" i="1" s="1"/>
  <c r="H1662" i="1"/>
  <c r="F1646" i="1"/>
  <c r="I1646" i="1" s="1"/>
  <c r="H1646" i="1"/>
  <c r="F1634" i="1"/>
  <c r="I1634" i="1" s="1"/>
  <c r="H1634" i="1"/>
  <c r="F1618" i="1"/>
  <c r="I1618" i="1" s="1"/>
  <c r="H1618" i="1"/>
  <c r="F1602" i="1"/>
  <c r="I1602" i="1" s="1"/>
  <c r="J1602" i="1" s="1"/>
  <c r="H1602" i="1"/>
  <c r="F1590" i="1"/>
  <c r="I1590" i="1" s="1"/>
  <c r="H1590" i="1"/>
  <c r="F1375" i="1"/>
  <c r="I1375" i="1" s="1"/>
  <c r="H1375" i="1"/>
  <c r="F1335" i="1"/>
  <c r="I1335" i="1" s="1"/>
  <c r="H1335" i="1"/>
  <c r="F1714" i="1"/>
  <c r="I1714" i="1" s="1"/>
  <c r="J1714" i="1" s="1"/>
  <c r="H1714" i="1"/>
  <c r="F1698" i="1"/>
  <c r="I1698" i="1" s="1"/>
  <c r="H1698" i="1"/>
  <c r="F1682" i="1"/>
  <c r="I1682" i="1" s="1"/>
  <c r="H1682" i="1"/>
  <c r="F1666" i="1"/>
  <c r="I1666" i="1" s="1"/>
  <c r="H1666" i="1"/>
  <c r="F1650" i="1"/>
  <c r="I1650" i="1" s="1"/>
  <c r="J1650" i="1" s="1"/>
  <c r="H1650" i="1"/>
  <c r="F1630" i="1"/>
  <c r="I1630" i="1" s="1"/>
  <c r="H1630" i="1"/>
  <c r="F1614" i="1"/>
  <c r="I1614" i="1" s="1"/>
  <c r="H1614" i="1"/>
  <c r="F1594" i="1"/>
  <c r="I1594" i="1" s="1"/>
  <c r="H1594" i="1"/>
  <c r="F1582" i="1"/>
  <c r="I1582" i="1" s="1"/>
  <c r="J1582" i="1" s="1"/>
  <c r="H1582" i="1"/>
  <c r="F1367" i="1"/>
  <c r="I1367" i="1" s="1"/>
  <c r="H1367" i="1"/>
  <c r="F1717" i="1"/>
  <c r="I1717" i="1" s="1"/>
  <c r="H1717" i="1"/>
  <c r="F1713" i="1"/>
  <c r="I1713" i="1" s="1"/>
  <c r="H1713" i="1"/>
  <c r="F1709" i="1"/>
  <c r="I1709" i="1" s="1"/>
  <c r="J1709" i="1" s="1"/>
  <c r="H1709" i="1"/>
  <c r="F1705" i="1"/>
  <c r="I1705" i="1" s="1"/>
  <c r="H1705" i="1"/>
  <c r="F1701" i="1"/>
  <c r="I1701" i="1" s="1"/>
  <c r="H1701" i="1"/>
  <c r="F1697" i="1"/>
  <c r="I1697" i="1" s="1"/>
  <c r="H1697" i="1"/>
  <c r="F1693" i="1"/>
  <c r="I1693" i="1" s="1"/>
  <c r="J1693" i="1" s="1"/>
  <c r="H1693" i="1"/>
  <c r="F1689" i="1"/>
  <c r="I1689" i="1" s="1"/>
  <c r="H1689" i="1"/>
  <c r="F1685" i="1"/>
  <c r="I1685" i="1" s="1"/>
  <c r="H1685" i="1"/>
  <c r="F1681" i="1"/>
  <c r="I1681" i="1" s="1"/>
  <c r="H1681" i="1"/>
  <c r="F1677" i="1"/>
  <c r="I1677" i="1" s="1"/>
  <c r="J1677" i="1" s="1"/>
  <c r="H1677" i="1"/>
  <c r="F1673" i="1"/>
  <c r="I1673" i="1" s="1"/>
  <c r="H1673" i="1"/>
  <c r="F1669" i="1"/>
  <c r="I1669" i="1" s="1"/>
  <c r="H1669" i="1"/>
  <c r="F1665" i="1"/>
  <c r="I1665" i="1" s="1"/>
  <c r="H1665" i="1"/>
  <c r="F1661" i="1"/>
  <c r="I1661" i="1" s="1"/>
  <c r="J1661" i="1" s="1"/>
  <c r="H1661" i="1"/>
  <c r="F1657" i="1"/>
  <c r="I1657" i="1" s="1"/>
  <c r="H1657" i="1"/>
  <c r="F1653" i="1"/>
  <c r="I1653" i="1" s="1"/>
  <c r="H1653" i="1"/>
  <c r="F1649" i="1"/>
  <c r="I1649" i="1" s="1"/>
  <c r="H1649" i="1"/>
  <c r="F1645" i="1"/>
  <c r="I1645" i="1" s="1"/>
  <c r="J1645" i="1" s="1"/>
  <c r="H1645" i="1"/>
  <c r="F1641" i="1"/>
  <c r="I1641" i="1" s="1"/>
  <c r="H1641" i="1"/>
  <c r="F1637" i="1"/>
  <c r="I1637" i="1" s="1"/>
  <c r="H1637" i="1"/>
  <c r="F1633" i="1"/>
  <c r="I1633" i="1" s="1"/>
  <c r="H1633" i="1"/>
  <c r="F1629" i="1"/>
  <c r="I1629" i="1" s="1"/>
  <c r="J1629" i="1" s="1"/>
  <c r="H1629" i="1"/>
  <c r="F1625" i="1"/>
  <c r="I1625" i="1" s="1"/>
  <c r="H1625" i="1"/>
  <c r="F1621" i="1"/>
  <c r="I1621" i="1" s="1"/>
  <c r="H1621" i="1"/>
  <c r="F1617" i="1"/>
  <c r="I1617" i="1" s="1"/>
  <c r="H1617" i="1"/>
  <c r="F1613" i="1"/>
  <c r="I1613" i="1" s="1"/>
  <c r="J1613" i="1" s="1"/>
  <c r="H1613" i="1"/>
  <c r="F1609" i="1"/>
  <c r="I1609" i="1" s="1"/>
  <c r="H1609" i="1"/>
  <c r="F1605" i="1"/>
  <c r="I1605" i="1" s="1"/>
  <c r="H1605" i="1"/>
  <c r="F1601" i="1"/>
  <c r="I1601" i="1" s="1"/>
  <c r="H1601" i="1"/>
  <c r="F1597" i="1"/>
  <c r="I1597" i="1" s="1"/>
  <c r="J1597" i="1" s="1"/>
  <c r="H1597" i="1"/>
  <c r="F1593" i="1"/>
  <c r="I1593" i="1" s="1"/>
  <c r="H1593" i="1"/>
  <c r="F1589" i="1"/>
  <c r="I1589" i="1" s="1"/>
  <c r="H1589" i="1"/>
  <c r="F1585" i="1"/>
  <c r="I1585" i="1" s="1"/>
  <c r="H1585" i="1"/>
  <c r="F1581" i="1"/>
  <c r="I1581" i="1" s="1"/>
  <c r="J1581" i="1" s="1"/>
  <c r="H1581" i="1"/>
  <c r="F1577" i="1"/>
  <c r="I1577" i="1" s="1"/>
  <c r="H1577" i="1"/>
  <c r="F1702" i="1"/>
  <c r="I1702" i="1" s="1"/>
  <c r="H1702" i="1"/>
  <c r="F1686" i="1"/>
  <c r="I1686" i="1" s="1"/>
  <c r="H1686" i="1"/>
  <c r="F1670" i="1"/>
  <c r="I1670" i="1" s="1"/>
  <c r="J1670" i="1" s="1"/>
  <c r="H1670" i="1"/>
  <c r="F1658" i="1"/>
  <c r="I1658" i="1" s="1"/>
  <c r="H1658" i="1"/>
  <c r="F1642" i="1"/>
  <c r="I1642" i="1" s="1"/>
  <c r="H1642" i="1"/>
  <c r="F1626" i="1"/>
  <c r="I1626" i="1" s="1"/>
  <c r="H1626" i="1"/>
  <c r="F1610" i="1"/>
  <c r="I1610" i="1" s="1"/>
  <c r="J1610" i="1" s="1"/>
  <c r="H1610" i="1"/>
  <c r="F1598" i="1"/>
  <c r="I1598" i="1" s="1"/>
  <c r="H1598" i="1"/>
  <c r="F1586" i="1"/>
  <c r="I1586" i="1" s="1"/>
  <c r="H1586" i="1"/>
  <c r="F1716" i="1"/>
  <c r="I1716" i="1" s="1"/>
  <c r="H1716" i="1"/>
  <c r="F1712" i="1"/>
  <c r="I1712" i="1" s="1"/>
  <c r="J1712" i="1" s="1"/>
  <c r="H1712" i="1"/>
  <c r="F1708" i="1"/>
  <c r="I1708" i="1" s="1"/>
  <c r="H1708" i="1"/>
  <c r="F1704" i="1"/>
  <c r="I1704" i="1" s="1"/>
  <c r="H1704" i="1"/>
  <c r="F1700" i="1"/>
  <c r="I1700" i="1" s="1"/>
  <c r="H1700" i="1"/>
  <c r="F1696" i="1"/>
  <c r="I1696" i="1" s="1"/>
  <c r="J1696" i="1" s="1"/>
  <c r="H1696" i="1"/>
  <c r="F1692" i="1"/>
  <c r="I1692" i="1" s="1"/>
  <c r="H1692" i="1"/>
  <c r="F1688" i="1"/>
  <c r="I1688" i="1" s="1"/>
  <c r="H1688" i="1"/>
  <c r="F1684" i="1"/>
  <c r="I1684" i="1" s="1"/>
  <c r="H1684" i="1"/>
  <c r="F1680" i="1"/>
  <c r="I1680" i="1" s="1"/>
  <c r="J1680" i="1" s="1"/>
  <c r="H1680" i="1"/>
  <c r="F1676" i="1"/>
  <c r="I1676" i="1" s="1"/>
  <c r="H1676" i="1"/>
  <c r="F1672" i="1"/>
  <c r="I1672" i="1" s="1"/>
  <c r="H1672" i="1"/>
  <c r="F1668" i="1"/>
  <c r="I1668" i="1" s="1"/>
  <c r="H1668" i="1"/>
  <c r="F1664" i="1"/>
  <c r="I1664" i="1" s="1"/>
  <c r="J1664" i="1" s="1"/>
  <c r="H1664" i="1"/>
  <c r="F1660" i="1"/>
  <c r="I1660" i="1" s="1"/>
  <c r="H1660" i="1"/>
  <c r="F1656" i="1"/>
  <c r="I1656" i="1" s="1"/>
  <c r="H1656" i="1"/>
  <c r="F1652" i="1"/>
  <c r="I1652" i="1" s="1"/>
  <c r="H1652" i="1"/>
  <c r="F1648" i="1"/>
  <c r="I1648" i="1" s="1"/>
  <c r="J1648" i="1" s="1"/>
  <c r="H1648" i="1"/>
  <c r="F1644" i="1"/>
  <c r="I1644" i="1" s="1"/>
  <c r="H1644" i="1"/>
  <c r="F1640" i="1"/>
  <c r="I1640" i="1" s="1"/>
  <c r="H1640" i="1"/>
  <c r="F1636" i="1"/>
  <c r="I1636" i="1" s="1"/>
  <c r="H1636" i="1"/>
  <c r="F1632" i="1"/>
  <c r="I1632" i="1" s="1"/>
  <c r="J1632" i="1" s="1"/>
  <c r="H1632" i="1"/>
  <c r="F1628" i="1"/>
  <c r="I1628" i="1" s="1"/>
  <c r="H1628" i="1"/>
  <c r="F1624" i="1"/>
  <c r="I1624" i="1" s="1"/>
  <c r="H1624" i="1"/>
  <c r="F1620" i="1"/>
  <c r="I1620" i="1" s="1"/>
  <c r="H1620" i="1"/>
  <c r="F1616" i="1"/>
  <c r="I1616" i="1" s="1"/>
  <c r="J1616" i="1" s="1"/>
  <c r="H1616" i="1"/>
  <c r="F1612" i="1"/>
  <c r="I1612" i="1" s="1"/>
  <c r="H1612" i="1"/>
  <c r="F1608" i="1"/>
  <c r="I1608" i="1" s="1"/>
  <c r="H1608" i="1"/>
  <c r="F1604" i="1"/>
  <c r="I1604" i="1" s="1"/>
  <c r="H1604" i="1"/>
  <c r="F1600" i="1"/>
  <c r="I1600" i="1" s="1"/>
  <c r="J1600" i="1" s="1"/>
  <c r="H1600" i="1"/>
  <c r="F1596" i="1"/>
  <c r="I1596" i="1" s="1"/>
  <c r="H1596" i="1"/>
  <c r="F1592" i="1"/>
  <c r="I1592" i="1" s="1"/>
  <c r="H1592" i="1"/>
  <c r="F1588" i="1"/>
  <c r="I1588" i="1" s="1"/>
  <c r="H1588" i="1"/>
  <c r="F1584" i="1"/>
  <c r="I1584" i="1" s="1"/>
  <c r="J1584" i="1" s="1"/>
  <c r="H1584" i="1"/>
  <c r="F1580" i="1"/>
  <c r="I1580" i="1" s="1"/>
  <c r="H1580" i="1"/>
  <c r="F1706" i="1"/>
  <c r="I1706" i="1" s="1"/>
  <c r="H1706" i="1"/>
  <c r="F1690" i="1"/>
  <c r="I1690" i="1" s="1"/>
  <c r="H1690" i="1"/>
  <c r="F1674" i="1"/>
  <c r="I1674" i="1" s="1"/>
  <c r="J1674" i="1" s="1"/>
  <c r="H1674" i="1"/>
  <c r="F1654" i="1"/>
  <c r="I1654" i="1" s="1"/>
  <c r="H1654" i="1"/>
  <c r="F1638" i="1"/>
  <c r="I1638" i="1" s="1"/>
  <c r="H1638" i="1"/>
  <c r="F1622" i="1"/>
  <c r="I1622" i="1" s="1"/>
  <c r="H1622" i="1"/>
  <c r="F1606" i="1"/>
  <c r="I1606" i="1" s="1"/>
  <c r="J1606" i="1" s="1"/>
  <c r="H1606" i="1"/>
  <c r="F1578" i="1"/>
  <c r="I1578" i="1" s="1"/>
  <c r="H1578" i="1"/>
  <c r="F1715" i="1"/>
  <c r="I1715" i="1" s="1"/>
  <c r="H1715" i="1"/>
  <c r="F1711" i="1"/>
  <c r="I1711" i="1" s="1"/>
  <c r="H1711" i="1"/>
  <c r="F1707" i="1"/>
  <c r="I1707" i="1" s="1"/>
  <c r="J1707" i="1" s="1"/>
  <c r="H1707" i="1"/>
  <c r="F1703" i="1"/>
  <c r="I1703" i="1" s="1"/>
  <c r="H1703" i="1"/>
  <c r="F1699" i="1"/>
  <c r="I1699" i="1" s="1"/>
  <c r="H1699" i="1"/>
  <c r="F1695" i="1"/>
  <c r="I1695" i="1" s="1"/>
  <c r="H1695" i="1"/>
  <c r="F1691" i="1"/>
  <c r="I1691" i="1" s="1"/>
  <c r="J1691" i="1" s="1"/>
  <c r="H1691" i="1"/>
  <c r="F1687" i="1"/>
  <c r="I1687" i="1" s="1"/>
  <c r="H1687" i="1"/>
  <c r="F1683" i="1"/>
  <c r="I1683" i="1" s="1"/>
  <c r="H1683" i="1"/>
  <c r="F1679" i="1"/>
  <c r="I1679" i="1" s="1"/>
  <c r="H1679" i="1"/>
  <c r="F1675" i="1"/>
  <c r="I1675" i="1" s="1"/>
  <c r="J1675" i="1" s="1"/>
  <c r="H1675" i="1"/>
  <c r="F1671" i="1"/>
  <c r="I1671" i="1" s="1"/>
  <c r="H1671" i="1"/>
  <c r="F1667" i="1"/>
  <c r="I1667" i="1" s="1"/>
  <c r="H1667" i="1"/>
  <c r="F1663" i="1"/>
  <c r="I1663" i="1" s="1"/>
  <c r="H1663" i="1"/>
  <c r="F1659" i="1"/>
  <c r="I1659" i="1" s="1"/>
  <c r="J1659" i="1" s="1"/>
  <c r="H1659" i="1"/>
  <c r="F1655" i="1"/>
  <c r="I1655" i="1" s="1"/>
  <c r="H1655" i="1"/>
  <c r="F1651" i="1"/>
  <c r="I1651" i="1" s="1"/>
  <c r="H1651" i="1"/>
  <c r="F1647" i="1"/>
  <c r="I1647" i="1" s="1"/>
  <c r="H1647" i="1"/>
  <c r="F1643" i="1"/>
  <c r="I1643" i="1" s="1"/>
  <c r="J1643" i="1" s="1"/>
  <c r="H1643" i="1"/>
  <c r="F1639" i="1"/>
  <c r="I1639" i="1" s="1"/>
  <c r="H1639" i="1"/>
  <c r="F1635" i="1"/>
  <c r="I1635" i="1" s="1"/>
  <c r="H1635" i="1"/>
  <c r="F1631" i="1"/>
  <c r="I1631" i="1" s="1"/>
  <c r="H1631" i="1"/>
  <c r="F1627" i="1"/>
  <c r="I1627" i="1" s="1"/>
  <c r="J1627" i="1" s="1"/>
  <c r="H1627" i="1"/>
  <c r="F1623" i="1"/>
  <c r="I1623" i="1" s="1"/>
  <c r="H1623" i="1"/>
  <c r="F1619" i="1"/>
  <c r="I1619" i="1" s="1"/>
  <c r="H1619" i="1"/>
  <c r="F1615" i="1"/>
  <c r="I1615" i="1" s="1"/>
  <c r="H1615" i="1"/>
  <c r="F1611" i="1"/>
  <c r="I1611" i="1" s="1"/>
  <c r="J1611" i="1" s="1"/>
  <c r="H1611" i="1"/>
  <c r="F1607" i="1"/>
  <c r="I1607" i="1" s="1"/>
  <c r="H1607" i="1"/>
  <c r="F1603" i="1"/>
  <c r="I1603" i="1" s="1"/>
  <c r="H1603" i="1"/>
  <c r="F1599" i="1"/>
  <c r="I1599" i="1" s="1"/>
  <c r="H1599" i="1"/>
  <c r="F1595" i="1"/>
  <c r="I1595" i="1" s="1"/>
  <c r="J1595" i="1" s="1"/>
  <c r="H1595" i="1"/>
  <c r="F1591" i="1"/>
  <c r="I1591" i="1" s="1"/>
  <c r="H1591" i="1"/>
  <c r="F1587" i="1"/>
  <c r="I1587" i="1" s="1"/>
  <c r="H1587" i="1"/>
  <c r="F1583" i="1"/>
  <c r="I1583" i="1" s="1"/>
  <c r="H1583" i="1"/>
  <c r="F1579" i="1"/>
  <c r="I1579" i="1" s="1"/>
  <c r="J1579" i="1" s="1"/>
  <c r="H1579" i="1"/>
  <c r="I1576" i="1"/>
  <c r="J1576" i="1" s="1"/>
  <c r="F1549" i="1"/>
  <c r="I1549" i="1" s="1"/>
  <c r="H1549" i="1"/>
  <c r="F1529" i="1"/>
  <c r="I1529" i="1" s="1"/>
  <c r="H1529" i="1"/>
  <c r="F1509" i="1"/>
  <c r="I1509" i="1" s="1"/>
  <c r="H1509" i="1"/>
  <c r="F1497" i="1"/>
  <c r="I1497" i="1" s="1"/>
  <c r="H1497" i="1"/>
  <c r="F1458" i="1"/>
  <c r="I1458" i="1" s="1"/>
  <c r="H1458" i="1"/>
  <c r="F1446" i="1"/>
  <c r="I1446" i="1" s="1"/>
  <c r="H1446" i="1"/>
  <c r="F1434" i="1"/>
  <c r="I1434" i="1" s="1"/>
  <c r="H1434" i="1"/>
  <c r="F1420" i="1"/>
  <c r="I1420" i="1" s="1"/>
  <c r="H1420" i="1"/>
  <c r="F1406" i="1"/>
  <c r="I1406" i="1" s="1"/>
  <c r="H1406" i="1"/>
  <c r="F1394" i="1"/>
  <c r="I1394" i="1" s="1"/>
  <c r="H1394" i="1"/>
  <c r="F1384" i="1"/>
  <c r="I1384" i="1" s="1"/>
  <c r="H1384" i="1"/>
  <c r="F454" i="1"/>
  <c r="I454" i="1" s="1"/>
  <c r="H454" i="1"/>
  <c r="F1473" i="1"/>
  <c r="I1473" i="1" s="1"/>
  <c r="H1473" i="1"/>
  <c r="F1371" i="1"/>
  <c r="I1371" i="1" s="1"/>
  <c r="J1371" i="1" s="1"/>
  <c r="F1365" i="1"/>
  <c r="I1365" i="1" s="1"/>
  <c r="J1365" i="1" s="1"/>
  <c r="H1363" i="1"/>
  <c r="H1359" i="1"/>
  <c r="J1359" i="1" s="1"/>
  <c r="F1353" i="1"/>
  <c r="I1353" i="1" s="1"/>
  <c r="J1353" i="1" s="1"/>
  <c r="H1348" i="1"/>
  <c r="F1348" i="1"/>
  <c r="I1348" i="1" s="1"/>
  <c r="F1342" i="1"/>
  <c r="I1342" i="1" s="1"/>
  <c r="J1342" i="1" s="1"/>
  <c r="I1328" i="1"/>
  <c r="J1328" i="1" s="1"/>
  <c r="F1322" i="1"/>
  <c r="I1322" i="1" s="1"/>
  <c r="H1322" i="1"/>
  <c r="H1300" i="1"/>
  <c r="F1300" i="1"/>
  <c r="I1300" i="1" s="1"/>
  <c r="F1297" i="1"/>
  <c r="I1297" i="1" s="1"/>
  <c r="J1297" i="1" s="1"/>
  <c r="F1293" i="1"/>
  <c r="I1293" i="1" s="1"/>
  <c r="J1293" i="1" s="1"/>
  <c r="H1291" i="1"/>
  <c r="J1291" i="1" s="1"/>
  <c r="H1268" i="1"/>
  <c r="F1268" i="1"/>
  <c r="I1268" i="1" s="1"/>
  <c r="F1265" i="1"/>
  <c r="I1265" i="1" s="1"/>
  <c r="J1265" i="1" s="1"/>
  <c r="F1261" i="1"/>
  <c r="I1261" i="1" s="1"/>
  <c r="J1261" i="1" s="1"/>
  <c r="F1254" i="1"/>
  <c r="I1254" i="1" s="1"/>
  <c r="J1254" i="1" s="1"/>
  <c r="F1238" i="1"/>
  <c r="I1238" i="1" s="1"/>
  <c r="J1238" i="1" s="1"/>
  <c r="F1222" i="1"/>
  <c r="I1222" i="1" s="1"/>
  <c r="J1222" i="1" s="1"/>
  <c r="H1164" i="1"/>
  <c r="F1164" i="1"/>
  <c r="I1164" i="1" s="1"/>
  <c r="J1143" i="1"/>
  <c r="F1557" i="1"/>
  <c r="I1557" i="1" s="1"/>
  <c r="H1557" i="1"/>
  <c r="F1537" i="1"/>
  <c r="I1537" i="1" s="1"/>
  <c r="H1537" i="1"/>
  <c r="F1517" i="1"/>
  <c r="I1517" i="1" s="1"/>
  <c r="H1517" i="1"/>
  <c r="F1493" i="1"/>
  <c r="I1493" i="1" s="1"/>
  <c r="H1493" i="1"/>
  <c r="F1466" i="1"/>
  <c r="I1466" i="1" s="1"/>
  <c r="H1466" i="1"/>
  <c r="F1450" i="1"/>
  <c r="I1450" i="1" s="1"/>
  <c r="H1450" i="1"/>
  <c r="F1436" i="1"/>
  <c r="I1436" i="1" s="1"/>
  <c r="H1436" i="1"/>
  <c r="F1424" i="1"/>
  <c r="I1424" i="1" s="1"/>
  <c r="H1424" i="1"/>
  <c r="F1412" i="1"/>
  <c r="I1412" i="1" s="1"/>
  <c r="H1412" i="1"/>
  <c r="F1400" i="1"/>
  <c r="I1400" i="1" s="1"/>
  <c r="H1400" i="1"/>
  <c r="F1386" i="1"/>
  <c r="I1386" i="1" s="1"/>
  <c r="H1386" i="1"/>
  <c r="F1378" i="1"/>
  <c r="I1378" i="1" s="1"/>
  <c r="H1378" i="1"/>
  <c r="F430" i="1"/>
  <c r="I430" i="1" s="1"/>
  <c r="H430" i="1"/>
  <c r="H374" i="1"/>
  <c r="F374" i="1"/>
  <c r="I374" i="1" s="1"/>
  <c r="J374" i="1" s="1"/>
  <c r="F79" i="1"/>
  <c r="I79" i="1" s="1"/>
  <c r="H79" i="1"/>
  <c r="F1471" i="1"/>
  <c r="I1471" i="1" s="1"/>
  <c r="H1471" i="1"/>
  <c r="I1376" i="1"/>
  <c r="J1376" i="1" s="1"/>
  <c r="F1370" i="1"/>
  <c r="I1370" i="1" s="1"/>
  <c r="H1370" i="1"/>
  <c r="F1355" i="1"/>
  <c r="I1355" i="1" s="1"/>
  <c r="J1355" i="1" s="1"/>
  <c r="J1351" i="1"/>
  <c r="I1349" i="1"/>
  <c r="J1349" i="1" s="1"/>
  <c r="H1347" i="1"/>
  <c r="J1347" i="1" s="1"/>
  <c r="H1343" i="1"/>
  <c r="J1343" i="1" s="1"/>
  <c r="F1337" i="1"/>
  <c r="I1337" i="1" s="1"/>
  <c r="J1337" i="1" s="1"/>
  <c r="H1332" i="1"/>
  <c r="F1332" i="1"/>
  <c r="I1332" i="1" s="1"/>
  <c r="F1326" i="1"/>
  <c r="I1326" i="1" s="1"/>
  <c r="J1326" i="1" s="1"/>
  <c r="H1308" i="1"/>
  <c r="F1308" i="1"/>
  <c r="I1308" i="1" s="1"/>
  <c r="J1308" i="1" s="1"/>
  <c r="F1305" i="1"/>
  <c r="I1305" i="1" s="1"/>
  <c r="J1305" i="1" s="1"/>
  <c r="H1299" i="1"/>
  <c r="J1299" i="1" s="1"/>
  <c r="H1276" i="1"/>
  <c r="F1276" i="1"/>
  <c r="I1276" i="1" s="1"/>
  <c r="J1276" i="1" s="1"/>
  <c r="F1273" i="1"/>
  <c r="I1273" i="1" s="1"/>
  <c r="J1273" i="1" s="1"/>
  <c r="H1267" i="1"/>
  <c r="J1267" i="1" s="1"/>
  <c r="F1242" i="1"/>
  <c r="I1242" i="1" s="1"/>
  <c r="J1242" i="1" s="1"/>
  <c r="F1226" i="1"/>
  <c r="I1226" i="1" s="1"/>
  <c r="J1226" i="1" s="1"/>
  <c r="F1209" i="1"/>
  <c r="I1209" i="1" s="1"/>
  <c r="J1209" i="1" s="1"/>
  <c r="F1201" i="1"/>
  <c r="I1201" i="1" s="1"/>
  <c r="J1201" i="1" s="1"/>
  <c r="F1193" i="1"/>
  <c r="I1193" i="1" s="1"/>
  <c r="J1193" i="1" s="1"/>
  <c r="F1185" i="1"/>
  <c r="I1185" i="1" s="1"/>
  <c r="J1185" i="1" s="1"/>
  <c r="F1177" i="1"/>
  <c r="I1177" i="1" s="1"/>
  <c r="J1177" i="1" s="1"/>
  <c r="F1169" i="1"/>
  <c r="I1169" i="1" s="1"/>
  <c r="J1169" i="1" s="1"/>
  <c r="H1148" i="1"/>
  <c r="F1148" i="1"/>
  <c r="I1148" i="1" s="1"/>
  <c r="J1130" i="1"/>
  <c r="H1104" i="1"/>
  <c r="F1104" i="1"/>
  <c r="I1104" i="1" s="1"/>
  <c r="F1561" i="1"/>
  <c r="I1561" i="1" s="1"/>
  <c r="H1561" i="1"/>
  <c r="F1545" i="1"/>
  <c r="I1545" i="1" s="1"/>
  <c r="H1545" i="1"/>
  <c r="F1533" i="1"/>
  <c r="I1533" i="1" s="1"/>
  <c r="J1533" i="1" s="1"/>
  <c r="H1533" i="1"/>
  <c r="F1513" i="1"/>
  <c r="I1513" i="1" s="1"/>
  <c r="J1513" i="1" s="1"/>
  <c r="H1513" i="1"/>
  <c r="F1501" i="1"/>
  <c r="I1501" i="1" s="1"/>
  <c r="H1501" i="1"/>
  <c r="F1489" i="1"/>
  <c r="I1489" i="1" s="1"/>
  <c r="H1489" i="1"/>
  <c r="F1460" i="1"/>
  <c r="I1460" i="1" s="1"/>
  <c r="J1460" i="1" s="1"/>
  <c r="H1460" i="1"/>
  <c r="F1444" i="1"/>
  <c r="I1444" i="1" s="1"/>
  <c r="J1444" i="1" s="1"/>
  <c r="H1444" i="1"/>
  <c r="F1432" i="1"/>
  <c r="I1432" i="1" s="1"/>
  <c r="H1432" i="1"/>
  <c r="F1416" i="1"/>
  <c r="I1416" i="1" s="1"/>
  <c r="H1416" i="1"/>
  <c r="F1404" i="1"/>
  <c r="I1404" i="1" s="1"/>
  <c r="J1404" i="1" s="1"/>
  <c r="H1404" i="1"/>
  <c r="F1392" i="1"/>
  <c r="I1392" i="1" s="1"/>
  <c r="J1392" i="1" s="1"/>
  <c r="H1392" i="1"/>
  <c r="F1382" i="1"/>
  <c r="I1382" i="1" s="1"/>
  <c r="H1382" i="1"/>
  <c r="F1249" i="1"/>
  <c r="I1249" i="1" s="1"/>
  <c r="H1249" i="1"/>
  <c r="F1233" i="1"/>
  <c r="I1233" i="1" s="1"/>
  <c r="J1233" i="1" s="1"/>
  <c r="H1233" i="1"/>
  <c r="F1217" i="1"/>
  <c r="I1217" i="1" s="1"/>
  <c r="J1217" i="1" s="1"/>
  <c r="H1217" i="1"/>
  <c r="F446" i="1"/>
  <c r="I446" i="1" s="1"/>
  <c r="H446" i="1"/>
  <c r="F63" i="1"/>
  <c r="I63" i="1" s="1"/>
  <c r="H63" i="1"/>
  <c r="F1574" i="1"/>
  <c r="I1574" i="1" s="1"/>
  <c r="J1574" i="1" s="1"/>
  <c r="H1574" i="1"/>
  <c r="F1570" i="1"/>
  <c r="I1570" i="1" s="1"/>
  <c r="J1570" i="1" s="1"/>
  <c r="H1570" i="1"/>
  <c r="F1566" i="1"/>
  <c r="I1566" i="1" s="1"/>
  <c r="H1566" i="1"/>
  <c r="F1562" i="1"/>
  <c r="I1562" i="1" s="1"/>
  <c r="H1562" i="1"/>
  <c r="F1558" i="1"/>
  <c r="I1558" i="1" s="1"/>
  <c r="J1558" i="1" s="1"/>
  <c r="H1558" i="1"/>
  <c r="F1554" i="1"/>
  <c r="I1554" i="1" s="1"/>
  <c r="J1554" i="1" s="1"/>
  <c r="H1554" i="1"/>
  <c r="F1550" i="1"/>
  <c r="I1550" i="1" s="1"/>
  <c r="H1550" i="1"/>
  <c r="F1546" i="1"/>
  <c r="I1546" i="1" s="1"/>
  <c r="H1546" i="1"/>
  <c r="F1542" i="1"/>
  <c r="I1542" i="1" s="1"/>
  <c r="J1542" i="1" s="1"/>
  <c r="H1542" i="1"/>
  <c r="F1538" i="1"/>
  <c r="I1538" i="1" s="1"/>
  <c r="J1538" i="1" s="1"/>
  <c r="H1538" i="1"/>
  <c r="F1534" i="1"/>
  <c r="I1534" i="1" s="1"/>
  <c r="H1534" i="1"/>
  <c r="F1530" i="1"/>
  <c r="I1530" i="1" s="1"/>
  <c r="H1530" i="1"/>
  <c r="F1526" i="1"/>
  <c r="I1526" i="1" s="1"/>
  <c r="J1526" i="1" s="1"/>
  <c r="H1526" i="1"/>
  <c r="F1522" i="1"/>
  <c r="I1522" i="1" s="1"/>
  <c r="J1522" i="1" s="1"/>
  <c r="H1522" i="1"/>
  <c r="F1518" i="1"/>
  <c r="I1518" i="1" s="1"/>
  <c r="H1518" i="1"/>
  <c r="F1514" i="1"/>
  <c r="I1514" i="1" s="1"/>
  <c r="H1514" i="1"/>
  <c r="F1510" i="1"/>
  <c r="I1510" i="1" s="1"/>
  <c r="J1510" i="1" s="1"/>
  <c r="H1510" i="1"/>
  <c r="F1506" i="1"/>
  <c r="I1506" i="1" s="1"/>
  <c r="J1506" i="1" s="1"/>
  <c r="H1506" i="1"/>
  <c r="F1502" i="1"/>
  <c r="I1502" i="1" s="1"/>
  <c r="H1502" i="1"/>
  <c r="F1498" i="1"/>
  <c r="I1498" i="1" s="1"/>
  <c r="H1498" i="1"/>
  <c r="F1494" i="1"/>
  <c r="I1494" i="1" s="1"/>
  <c r="J1494" i="1" s="1"/>
  <c r="H1494" i="1"/>
  <c r="F1490" i="1"/>
  <c r="I1490" i="1" s="1"/>
  <c r="J1490" i="1" s="1"/>
  <c r="H1490" i="1"/>
  <c r="F1486" i="1"/>
  <c r="I1486" i="1" s="1"/>
  <c r="H1486" i="1"/>
  <c r="F1482" i="1"/>
  <c r="I1482" i="1" s="1"/>
  <c r="H1482" i="1"/>
  <c r="F1478" i="1"/>
  <c r="I1478" i="1" s="1"/>
  <c r="J1478" i="1" s="1"/>
  <c r="H1478" i="1"/>
  <c r="F1474" i="1"/>
  <c r="I1474" i="1" s="1"/>
  <c r="J1474" i="1" s="1"/>
  <c r="H1474" i="1"/>
  <c r="F1362" i="1"/>
  <c r="I1362" i="1" s="1"/>
  <c r="H1362" i="1"/>
  <c r="H1324" i="1"/>
  <c r="F1324" i="1"/>
  <c r="I1324" i="1" s="1"/>
  <c r="F1290" i="1"/>
  <c r="I1290" i="1" s="1"/>
  <c r="H1290" i="1"/>
  <c r="F1286" i="1"/>
  <c r="I1286" i="1" s="1"/>
  <c r="H1286" i="1"/>
  <c r="J1263" i="1"/>
  <c r="F1253" i="1"/>
  <c r="I1253" i="1" s="1"/>
  <c r="H1253" i="1"/>
  <c r="F1237" i="1"/>
  <c r="I1237" i="1" s="1"/>
  <c r="H1237" i="1"/>
  <c r="F1221" i="1"/>
  <c r="I1221" i="1" s="1"/>
  <c r="H1221" i="1"/>
  <c r="H1140" i="1"/>
  <c r="F1140" i="1"/>
  <c r="I1140" i="1" s="1"/>
  <c r="J1140" i="1" s="1"/>
  <c r="F1454" i="1"/>
  <c r="I1454" i="1" s="1"/>
  <c r="H1454" i="1"/>
  <c r="F1440" i="1"/>
  <c r="I1440" i="1" s="1"/>
  <c r="H1440" i="1"/>
  <c r="F1428" i="1"/>
  <c r="I1428" i="1" s="1"/>
  <c r="H1428" i="1"/>
  <c r="F1414" i="1"/>
  <c r="I1414" i="1" s="1"/>
  <c r="H1414" i="1"/>
  <c r="F1402" i="1"/>
  <c r="I1402" i="1" s="1"/>
  <c r="H1402" i="1"/>
  <c r="F1390" i="1"/>
  <c r="I1390" i="1" s="1"/>
  <c r="H1390" i="1"/>
  <c r="F1314" i="1"/>
  <c r="I1314" i="1" s="1"/>
  <c r="H1314" i="1"/>
  <c r="F1278" i="1"/>
  <c r="I1278" i="1" s="1"/>
  <c r="H1278" i="1"/>
  <c r="F438" i="1"/>
  <c r="I438" i="1" s="1"/>
  <c r="H438" i="1"/>
  <c r="F1469" i="1"/>
  <c r="I1469" i="1" s="1"/>
  <c r="H1469" i="1"/>
  <c r="F1374" i="1"/>
  <c r="I1374" i="1" s="1"/>
  <c r="J1374" i="1" s="1"/>
  <c r="I1360" i="1"/>
  <c r="J1360" i="1" s="1"/>
  <c r="F1354" i="1"/>
  <c r="I1354" i="1" s="1"/>
  <c r="H1354" i="1"/>
  <c r="F1339" i="1"/>
  <c r="I1339" i="1" s="1"/>
  <c r="J1339" i="1" s="1"/>
  <c r="F1333" i="1"/>
  <c r="I1333" i="1" s="1"/>
  <c r="J1333" i="1" s="1"/>
  <c r="H1331" i="1"/>
  <c r="J1331" i="1" s="1"/>
  <c r="H1327" i="1"/>
  <c r="F1321" i="1"/>
  <c r="I1321" i="1" s="1"/>
  <c r="J1321" i="1" s="1"/>
  <c r="H1316" i="1"/>
  <c r="F1316" i="1"/>
  <c r="I1316" i="1" s="1"/>
  <c r="F1313" i="1"/>
  <c r="I1313" i="1" s="1"/>
  <c r="J1313" i="1" s="1"/>
  <c r="F1309" i="1"/>
  <c r="I1309" i="1" s="1"/>
  <c r="J1309" i="1" s="1"/>
  <c r="H1307" i="1"/>
  <c r="H1284" i="1"/>
  <c r="F1284" i="1"/>
  <c r="I1284" i="1" s="1"/>
  <c r="F1281" i="1"/>
  <c r="I1281" i="1" s="1"/>
  <c r="J1281" i="1" s="1"/>
  <c r="F1277" i="1"/>
  <c r="I1277" i="1" s="1"/>
  <c r="J1277" i="1" s="1"/>
  <c r="H1275" i="1"/>
  <c r="F1257" i="1"/>
  <c r="I1257" i="1" s="1"/>
  <c r="H1257" i="1"/>
  <c r="F1246" i="1"/>
  <c r="I1246" i="1" s="1"/>
  <c r="J1246" i="1" s="1"/>
  <c r="F1230" i="1"/>
  <c r="I1230" i="1" s="1"/>
  <c r="J1230" i="1" s="1"/>
  <c r="J1147" i="1"/>
  <c r="H1132" i="1"/>
  <c r="F1132" i="1"/>
  <c r="I1132" i="1" s="1"/>
  <c r="F1573" i="1"/>
  <c r="I1573" i="1" s="1"/>
  <c r="H1573" i="1"/>
  <c r="F1553" i="1"/>
  <c r="I1553" i="1" s="1"/>
  <c r="H1553" i="1"/>
  <c r="F1505" i="1"/>
  <c r="I1505" i="1" s="1"/>
  <c r="H1505" i="1"/>
  <c r="F1477" i="1"/>
  <c r="I1477" i="1" s="1"/>
  <c r="H1477" i="1"/>
  <c r="F1464" i="1"/>
  <c r="I1464" i="1" s="1"/>
  <c r="H1464" i="1"/>
  <c r="F1452" i="1"/>
  <c r="I1452" i="1" s="1"/>
  <c r="H1452" i="1"/>
  <c r="F1438" i="1"/>
  <c r="I1438" i="1" s="1"/>
  <c r="H1438" i="1"/>
  <c r="F1426" i="1"/>
  <c r="I1426" i="1" s="1"/>
  <c r="H1426" i="1"/>
  <c r="F1410" i="1"/>
  <c r="I1410" i="1" s="1"/>
  <c r="H1410" i="1"/>
  <c r="F1398" i="1"/>
  <c r="I1398" i="1" s="1"/>
  <c r="H1398" i="1"/>
  <c r="F1282" i="1"/>
  <c r="I1282" i="1" s="1"/>
  <c r="H1282" i="1"/>
  <c r="H1156" i="1"/>
  <c r="F1156" i="1"/>
  <c r="I1156" i="1" s="1"/>
  <c r="F1575" i="1"/>
  <c r="I1575" i="1" s="1"/>
  <c r="H1575" i="1"/>
  <c r="F1571" i="1"/>
  <c r="I1571" i="1" s="1"/>
  <c r="H1571" i="1"/>
  <c r="F1567" i="1"/>
  <c r="I1567" i="1" s="1"/>
  <c r="H1567" i="1"/>
  <c r="F1563" i="1"/>
  <c r="I1563" i="1" s="1"/>
  <c r="H1563" i="1"/>
  <c r="F1559" i="1"/>
  <c r="I1559" i="1" s="1"/>
  <c r="H1559" i="1"/>
  <c r="F1555" i="1"/>
  <c r="I1555" i="1" s="1"/>
  <c r="H1555" i="1"/>
  <c r="F1551" i="1"/>
  <c r="I1551" i="1" s="1"/>
  <c r="H1551" i="1"/>
  <c r="F1547" i="1"/>
  <c r="I1547" i="1" s="1"/>
  <c r="H1547" i="1"/>
  <c r="F1543" i="1"/>
  <c r="I1543" i="1" s="1"/>
  <c r="H1543" i="1"/>
  <c r="F1539" i="1"/>
  <c r="I1539" i="1" s="1"/>
  <c r="H1539" i="1"/>
  <c r="F1535" i="1"/>
  <c r="I1535" i="1" s="1"/>
  <c r="H1535" i="1"/>
  <c r="F1531" i="1"/>
  <c r="I1531" i="1" s="1"/>
  <c r="H1531" i="1"/>
  <c r="F1527" i="1"/>
  <c r="I1527" i="1" s="1"/>
  <c r="H1527" i="1"/>
  <c r="F1523" i="1"/>
  <c r="I1523" i="1" s="1"/>
  <c r="H1523" i="1"/>
  <c r="F1519" i="1"/>
  <c r="I1519" i="1" s="1"/>
  <c r="H1519" i="1"/>
  <c r="F1515" i="1"/>
  <c r="I1515" i="1" s="1"/>
  <c r="H1515" i="1"/>
  <c r="F1511" i="1"/>
  <c r="I1511" i="1" s="1"/>
  <c r="H1511" i="1"/>
  <c r="F1507" i="1"/>
  <c r="I1507" i="1" s="1"/>
  <c r="H1507" i="1"/>
  <c r="F1503" i="1"/>
  <c r="I1503" i="1" s="1"/>
  <c r="H1503" i="1"/>
  <c r="F1499" i="1"/>
  <c r="I1499" i="1" s="1"/>
  <c r="H1499" i="1"/>
  <c r="F1495" i="1"/>
  <c r="I1495" i="1" s="1"/>
  <c r="H1495" i="1"/>
  <c r="F1491" i="1"/>
  <c r="I1491" i="1" s="1"/>
  <c r="H1491" i="1"/>
  <c r="F1487" i="1"/>
  <c r="I1487" i="1" s="1"/>
  <c r="H1487" i="1"/>
  <c r="F1483" i="1"/>
  <c r="I1483" i="1" s="1"/>
  <c r="H1483" i="1"/>
  <c r="F1479" i="1"/>
  <c r="I1479" i="1" s="1"/>
  <c r="H1479" i="1"/>
  <c r="F1475" i="1"/>
  <c r="I1475" i="1" s="1"/>
  <c r="H1475" i="1"/>
  <c r="F1472" i="1"/>
  <c r="I1472" i="1" s="1"/>
  <c r="H1472" i="1"/>
  <c r="F1467" i="1"/>
  <c r="I1467" i="1" s="1"/>
  <c r="H1467" i="1"/>
  <c r="F1465" i="1"/>
  <c r="I1465" i="1" s="1"/>
  <c r="H1465" i="1"/>
  <c r="F1463" i="1"/>
  <c r="I1463" i="1" s="1"/>
  <c r="H1463" i="1"/>
  <c r="F1461" i="1"/>
  <c r="I1461" i="1" s="1"/>
  <c r="H1461" i="1"/>
  <c r="F1459" i="1"/>
  <c r="I1459" i="1" s="1"/>
  <c r="H1459" i="1"/>
  <c r="F1457" i="1"/>
  <c r="I1457" i="1" s="1"/>
  <c r="H1457" i="1"/>
  <c r="F1455" i="1"/>
  <c r="I1455" i="1" s="1"/>
  <c r="H1455" i="1"/>
  <c r="F1453" i="1"/>
  <c r="I1453" i="1" s="1"/>
  <c r="H1453" i="1"/>
  <c r="F1451" i="1"/>
  <c r="I1451" i="1" s="1"/>
  <c r="H1451" i="1"/>
  <c r="F1449" i="1"/>
  <c r="I1449" i="1" s="1"/>
  <c r="H1449" i="1"/>
  <c r="F1447" i="1"/>
  <c r="I1447" i="1" s="1"/>
  <c r="H1447" i="1"/>
  <c r="F1445" i="1"/>
  <c r="I1445" i="1" s="1"/>
  <c r="H1445" i="1"/>
  <c r="F1443" i="1"/>
  <c r="I1443" i="1" s="1"/>
  <c r="H1443" i="1"/>
  <c r="F1441" i="1"/>
  <c r="I1441" i="1" s="1"/>
  <c r="H1441" i="1"/>
  <c r="F1439" i="1"/>
  <c r="I1439" i="1" s="1"/>
  <c r="H1439" i="1"/>
  <c r="F1437" i="1"/>
  <c r="I1437" i="1" s="1"/>
  <c r="H1437" i="1"/>
  <c r="F1435" i="1"/>
  <c r="I1435" i="1" s="1"/>
  <c r="H1435" i="1"/>
  <c r="F1433" i="1"/>
  <c r="I1433" i="1" s="1"/>
  <c r="H1433" i="1"/>
  <c r="F1431" i="1"/>
  <c r="I1431" i="1" s="1"/>
  <c r="H1431" i="1"/>
  <c r="F1429" i="1"/>
  <c r="I1429" i="1" s="1"/>
  <c r="H1429" i="1"/>
  <c r="F1427" i="1"/>
  <c r="I1427" i="1" s="1"/>
  <c r="H1427" i="1"/>
  <c r="F1425" i="1"/>
  <c r="I1425" i="1" s="1"/>
  <c r="H1425" i="1"/>
  <c r="F1423" i="1"/>
  <c r="I1423" i="1" s="1"/>
  <c r="H1423" i="1"/>
  <c r="F1421" i="1"/>
  <c r="I1421" i="1" s="1"/>
  <c r="H1421" i="1"/>
  <c r="F1419" i="1"/>
  <c r="I1419" i="1" s="1"/>
  <c r="H1419" i="1"/>
  <c r="F1417" i="1"/>
  <c r="I1417" i="1" s="1"/>
  <c r="H1417" i="1"/>
  <c r="F1415" i="1"/>
  <c r="I1415" i="1" s="1"/>
  <c r="H1415" i="1"/>
  <c r="F1413" i="1"/>
  <c r="I1413" i="1" s="1"/>
  <c r="H1413" i="1"/>
  <c r="F1411" i="1"/>
  <c r="I1411" i="1" s="1"/>
  <c r="H1411" i="1"/>
  <c r="F1409" i="1"/>
  <c r="I1409" i="1" s="1"/>
  <c r="H1409" i="1"/>
  <c r="F1407" i="1"/>
  <c r="I1407" i="1" s="1"/>
  <c r="H1407" i="1"/>
  <c r="F1405" i="1"/>
  <c r="I1405" i="1" s="1"/>
  <c r="H1405" i="1"/>
  <c r="F1403" i="1"/>
  <c r="I1403" i="1" s="1"/>
  <c r="H1403" i="1"/>
  <c r="F1401" i="1"/>
  <c r="I1401" i="1" s="1"/>
  <c r="H1401" i="1"/>
  <c r="F1399" i="1"/>
  <c r="I1399" i="1" s="1"/>
  <c r="H1399" i="1"/>
  <c r="F1397" i="1"/>
  <c r="I1397" i="1" s="1"/>
  <c r="H1397" i="1"/>
  <c r="F1395" i="1"/>
  <c r="I1395" i="1" s="1"/>
  <c r="H1395" i="1"/>
  <c r="F1393" i="1"/>
  <c r="I1393" i="1" s="1"/>
  <c r="H1393" i="1"/>
  <c r="F1391" i="1"/>
  <c r="I1391" i="1" s="1"/>
  <c r="H1391" i="1"/>
  <c r="F1389" i="1"/>
  <c r="I1389" i="1" s="1"/>
  <c r="H1389" i="1"/>
  <c r="F1387" i="1"/>
  <c r="I1387" i="1" s="1"/>
  <c r="H1387" i="1"/>
  <c r="F1385" i="1"/>
  <c r="I1385" i="1" s="1"/>
  <c r="H1385" i="1"/>
  <c r="F1383" i="1"/>
  <c r="I1383" i="1" s="1"/>
  <c r="H1383" i="1"/>
  <c r="F1381" i="1"/>
  <c r="I1381" i="1" s="1"/>
  <c r="H1381" i="1"/>
  <c r="F1379" i="1"/>
  <c r="I1379" i="1" s="1"/>
  <c r="H1379" i="1"/>
  <c r="H1372" i="1"/>
  <c r="F1372" i="1"/>
  <c r="I1372" i="1" s="1"/>
  <c r="F1346" i="1"/>
  <c r="I1346" i="1" s="1"/>
  <c r="H1346" i="1"/>
  <c r="J1307" i="1"/>
  <c r="J1303" i="1"/>
  <c r="F1298" i="1"/>
  <c r="I1298" i="1" s="1"/>
  <c r="H1298" i="1"/>
  <c r="F1294" i="1"/>
  <c r="I1294" i="1" s="1"/>
  <c r="H1294" i="1"/>
  <c r="F1266" i="1"/>
  <c r="I1266" i="1" s="1"/>
  <c r="H1266" i="1"/>
  <c r="F1262" i="1"/>
  <c r="I1262" i="1" s="1"/>
  <c r="H1262" i="1"/>
  <c r="H1260" i="1"/>
  <c r="F1260" i="1"/>
  <c r="I1260" i="1" s="1"/>
  <c r="F1241" i="1"/>
  <c r="I1241" i="1" s="1"/>
  <c r="H1241" i="1"/>
  <c r="F1225" i="1"/>
  <c r="I1225" i="1" s="1"/>
  <c r="H1225" i="1"/>
  <c r="J1215" i="1"/>
  <c r="J1207" i="1"/>
  <c r="J1199" i="1"/>
  <c r="J1183" i="1"/>
  <c r="J1139" i="1"/>
  <c r="F915" i="1"/>
  <c r="I915" i="1" s="1"/>
  <c r="H915" i="1"/>
  <c r="F1565" i="1"/>
  <c r="I1565" i="1" s="1"/>
  <c r="H1565" i="1"/>
  <c r="F1521" i="1"/>
  <c r="I1521" i="1" s="1"/>
  <c r="H1521" i="1"/>
  <c r="F1481" i="1"/>
  <c r="I1481" i="1" s="1"/>
  <c r="H1481" i="1"/>
  <c r="F1462" i="1"/>
  <c r="I1462" i="1" s="1"/>
  <c r="H1462" i="1"/>
  <c r="F1448" i="1"/>
  <c r="I1448" i="1" s="1"/>
  <c r="H1448" i="1"/>
  <c r="F1422" i="1"/>
  <c r="I1422" i="1" s="1"/>
  <c r="H1422" i="1"/>
  <c r="F1388" i="1"/>
  <c r="I1388" i="1" s="1"/>
  <c r="H1388" i="1"/>
  <c r="F1369" i="1"/>
  <c r="I1369" i="1" s="1"/>
  <c r="J1369" i="1" s="1"/>
  <c r="H1364" i="1"/>
  <c r="F1364" i="1"/>
  <c r="I1364" i="1" s="1"/>
  <c r="J1364" i="1" s="1"/>
  <c r="F1358" i="1"/>
  <c r="I1358" i="1" s="1"/>
  <c r="J1358" i="1" s="1"/>
  <c r="I1344" i="1"/>
  <c r="J1344" i="1" s="1"/>
  <c r="F1338" i="1"/>
  <c r="I1338" i="1" s="1"/>
  <c r="H1338" i="1"/>
  <c r="F1323" i="1"/>
  <c r="I1323" i="1" s="1"/>
  <c r="J1323" i="1" s="1"/>
  <c r="J1319" i="1"/>
  <c r="I1317" i="1"/>
  <c r="J1317" i="1" s="1"/>
  <c r="H1315" i="1"/>
  <c r="J1315" i="1" s="1"/>
  <c r="H1292" i="1"/>
  <c r="F1292" i="1"/>
  <c r="I1292" i="1" s="1"/>
  <c r="F956" i="1"/>
  <c r="I956" i="1" s="1"/>
  <c r="J956" i="1" s="1"/>
  <c r="F948" i="1"/>
  <c r="F940" i="1"/>
  <c r="F1569" i="1"/>
  <c r="I1569" i="1" s="1"/>
  <c r="H1569" i="1"/>
  <c r="F1541" i="1"/>
  <c r="I1541" i="1" s="1"/>
  <c r="H1541" i="1"/>
  <c r="F1525" i="1"/>
  <c r="I1525" i="1" s="1"/>
  <c r="H1525" i="1"/>
  <c r="F1485" i="1"/>
  <c r="I1485" i="1" s="1"/>
  <c r="H1485" i="1"/>
  <c r="F1468" i="1"/>
  <c r="I1468" i="1" s="1"/>
  <c r="H1468" i="1"/>
  <c r="F1456" i="1"/>
  <c r="I1456" i="1" s="1"/>
  <c r="H1456" i="1"/>
  <c r="F1442" i="1"/>
  <c r="I1442" i="1" s="1"/>
  <c r="H1442" i="1"/>
  <c r="F1430" i="1"/>
  <c r="I1430" i="1" s="1"/>
  <c r="H1430" i="1"/>
  <c r="F1418" i="1"/>
  <c r="I1418" i="1" s="1"/>
  <c r="H1418" i="1"/>
  <c r="F1408" i="1"/>
  <c r="I1408" i="1" s="1"/>
  <c r="H1408" i="1"/>
  <c r="F1396" i="1"/>
  <c r="I1396" i="1" s="1"/>
  <c r="H1396" i="1"/>
  <c r="F1380" i="1"/>
  <c r="I1380" i="1" s="1"/>
  <c r="H1380" i="1"/>
  <c r="H1340" i="1"/>
  <c r="F1340" i="1"/>
  <c r="I1340" i="1" s="1"/>
  <c r="F1310" i="1"/>
  <c r="I1310" i="1" s="1"/>
  <c r="H1310" i="1"/>
  <c r="F87" i="1"/>
  <c r="I87" i="1" s="1"/>
  <c r="H87" i="1"/>
  <c r="F71" i="1"/>
  <c r="I71" i="1" s="1"/>
  <c r="H71" i="1"/>
  <c r="F55" i="1"/>
  <c r="I55" i="1" s="1"/>
  <c r="H55" i="1"/>
  <c r="F47" i="1"/>
  <c r="I47" i="1" s="1"/>
  <c r="H47" i="1"/>
  <c r="F39" i="1"/>
  <c r="I39" i="1" s="1"/>
  <c r="H39" i="1"/>
  <c r="F1572" i="1"/>
  <c r="I1572" i="1" s="1"/>
  <c r="H1572" i="1"/>
  <c r="F1568" i="1"/>
  <c r="I1568" i="1" s="1"/>
  <c r="H1568" i="1"/>
  <c r="F1564" i="1"/>
  <c r="I1564" i="1" s="1"/>
  <c r="H1564" i="1"/>
  <c r="F1560" i="1"/>
  <c r="I1560" i="1" s="1"/>
  <c r="H1560" i="1"/>
  <c r="F1556" i="1"/>
  <c r="I1556" i="1" s="1"/>
  <c r="H1556" i="1"/>
  <c r="F1552" i="1"/>
  <c r="I1552" i="1" s="1"/>
  <c r="H1552" i="1"/>
  <c r="F1548" i="1"/>
  <c r="I1548" i="1" s="1"/>
  <c r="H1548" i="1"/>
  <c r="F1544" i="1"/>
  <c r="I1544" i="1" s="1"/>
  <c r="H1544" i="1"/>
  <c r="F1540" i="1"/>
  <c r="I1540" i="1" s="1"/>
  <c r="H1540" i="1"/>
  <c r="F1536" i="1"/>
  <c r="I1536" i="1" s="1"/>
  <c r="H1536" i="1"/>
  <c r="F1532" i="1"/>
  <c r="I1532" i="1" s="1"/>
  <c r="H1532" i="1"/>
  <c r="F1528" i="1"/>
  <c r="I1528" i="1" s="1"/>
  <c r="H1528" i="1"/>
  <c r="F1524" i="1"/>
  <c r="I1524" i="1" s="1"/>
  <c r="H1524" i="1"/>
  <c r="F1520" i="1"/>
  <c r="I1520" i="1" s="1"/>
  <c r="H1520" i="1"/>
  <c r="F1516" i="1"/>
  <c r="I1516" i="1" s="1"/>
  <c r="H1516" i="1"/>
  <c r="F1512" i="1"/>
  <c r="I1512" i="1" s="1"/>
  <c r="H1512" i="1"/>
  <c r="F1508" i="1"/>
  <c r="I1508" i="1" s="1"/>
  <c r="H1508" i="1"/>
  <c r="F1504" i="1"/>
  <c r="I1504" i="1" s="1"/>
  <c r="H1504" i="1"/>
  <c r="F1500" i="1"/>
  <c r="I1500" i="1" s="1"/>
  <c r="H1500" i="1"/>
  <c r="F1496" i="1"/>
  <c r="I1496" i="1" s="1"/>
  <c r="H1496" i="1"/>
  <c r="F1492" i="1"/>
  <c r="I1492" i="1" s="1"/>
  <c r="H1492" i="1"/>
  <c r="F1488" i="1"/>
  <c r="I1488" i="1" s="1"/>
  <c r="H1488" i="1"/>
  <c r="F1484" i="1"/>
  <c r="I1484" i="1" s="1"/>
  <c r="H1484" i="1"/>
  <c r="F1480" i="1"/>
  <c r="I1480" i="1" s="1"/>
  <c r="H1480" i="1"/>
  <c r="F1476" i="1"/>
  <c r="I1476" i="1" s="1"/>
  <c r="H1476" i="1"/>
  <c r="F1470" i="1"/>
  <c r="I1470" i="1" s="1"/>
  <c r="H1470" i="1"/>
  <c r="F1373" i="1"/>
  <c r="I1373" i="1" s="1"/>
  <c r="J1373" i="1" s="1"/>
  <c r="I1361" i="1"/>
  <c r="J1361" i="1" s="1"/>
  <c r="H1356" i="1"/>
  <c r="F1356" i="1"/>
  <c r="I1356" i="1" s="1"/>
  <c r="F1350" i="1"/>
  <c r="I1350" i="1" s="1"/>
  <c r="J1350" i="1" s="1"/>
  <c r="F1330" i="1"/>
  <c r="I1330" i="1" s="1"/>
  <c r="H1330" i="1"/>
  <c r="F1306" i="1"/>
  <c r="I1306" i="1" s="1"/>
  <c r="H1306" i="1"/>
  <c r="F1302" i="1"/>
  <c r="I1302" i="1" s="1"/>
  <c r="H1302" i="1"/>
  <c r="H1287" i="1"/>
  <c r="J1283" i="1"/>
  <c r="J1279" i="1"/>
  <c r="F1274" i="1"/>
  <c r="I1274" i="1" s="1"/>
  <c r="H1274" i="1"/>
  <c r="F1270" i="1"/>
  <c r="I1270" i="1" s="1"/>
  <c r="H1270" i="1"/>
  <c r="F1259" i="1"/>
  <c r="I1259" i="1" s="1"/>
  <c r="H1259" i="1"/>
  <c r="F1245" i="1"/>
  <c r="I1245" i="1" s="1"/>
  <c r="H1245" i="1"/>
  <c r="J1243" i="1"/>
  <c r="F1229" i="1"/>
  <c r="I1229" i="1" s="1"/>
  <c r="H1229" i="1"/>
  <c r="J1227" i="1"/>
  <c r="H1212" i="1"/>
  <c r="F1212" i="1"/>
  <c r="I1212" i="1" s="1"/>
  <c r="H1204" i="1"/>
  <c r="F1204" i="1"/>
  <c r="I1204" i="1" s="1"/>
  <c r="H1196" i="1"/>
  <c r="F1196" i="1"/>
  <c r="I1196" i="1" s="1"/>
  <c r="H1188" i="1"/>
  <c r="F1188" i="1"/>
  <c r="I1188" i="1" s="1"/>
  <c r="H1180" i="1"/>
  <c r="F1180" i="1"/>
  <c r="I1180" i="1" s="1"/>
  <c r="H1172" i="1"/>
  <c r="F1172" i="1"/>
  <c r="I1172" i="1" s="1"/>
  <c r="J1154" i="1"/>
  <c r="J1151" i="1"/>
  <c r="H1110" i="1"/>
  <c r="F1110" i="1"/>
  <c r="I1110" i="1" s="1"/>
  <c r="H1124" i="1"/>
  <c r="F1124" i="1"/>
  <c r="I1124" i="1" s="1"/>
  <c r="H1098" i="1"/>
  <c r="F1098" i="1"/>
  <c r="I1098" i="1" s="1"/>
  <c r="I1092" i="1"/>
  <c r="J1092" i="1" s="1"/>
  <c r="I1086" i="1"/>
  <c r="J1086" i="1" s="1"/>
  <c r="F923" i="1"/>
  <c r="I923" i="1" s="1"/>
  <c r="H923" i="1"/>
  <c r="H1122" i="1"/>
  <c r="F1122" i="1"/>
  <c r="I1122" i="1" s="1"/>
  <c r="H1116" i="1"/>
  <c r="F1116" i="1"/>
  <c r="I1116" i="1" s="1"/>
  <c r="J971" i="1"/>
  <c r="F907" i="1"/>
  <c r="I907" i="1" s="1"/>
  <c r="H907" i="1"/>
  <c r="H1216" i="1"/>
  <c r="J1216" i="1" s="1"/>
  <c r="F1213" i="1"/>
  <c r="I1213" i="1" s="1"/>
  <c r="J1213" i="1" s="1"/>
  <c r="H1208" i="1"/>
  <c r="J1208" i="1" s="1"/>
  <c r="F1205" i="1"/>
  <c r="I1205" i="1" s="1"/>
  <c r="J1205" i="1" s="1"/>
  <c r="H1200" i="1"/>
  <c r="J1200" i="1" s="1"/>
  <c r="F1197" i="1"/>
  <c r="I1197" i="1" s="1"/>
  <c r="J1197" i="1" s="1"/>
  <c r="H1192" i="1"/>
  <c r="J1192" i="1" s="1"/>
  <c r="F1189" i="1"/>
  <c r="I1189" i="1" s="1"/>
  <c r="J1189" i="1" s="1"/>
  <c r="H1184" i="1"/>
  <c r="J1184" i="1" s="1"/>
  <c r="F1181" i="1"/>
  <c r="I1181" i="1" s="1"/>
  <c r="J1181" i="1" s="1"/>
  <c r="H1176" i="1"/>
  <c r="J1176" i="1" s="1"/>
  <c r="F1173" i="1"/>
  <c r="I1173" i="1" s="1"/>
  <c r="J1173" i="1" s="1"/>
  <c r="H1168" i="1"/>
  <c r="I1165" i="1"/>
  <c r="J1165" i="1" s="1"/>
  <c r="H1160" i="1"/>
  <c r="J1160" i="1" s="1"/>
  <c r="I1157" i="1"/>
  <c r="J1157" i="1" s="1"/>
  <c r="H1152" i="1"/>
  <c r="J1152" i="1" s="1"/>
  <c r="H1144" i="1"/>
  <c r="J1144" i="1" s="1"/>
  <c r="I1141" i="1"/>
  <c r="J1141" i="1" s="1"/>
  <c r="H1136" i="1"/>
  <c r="I1133" i="1"/>
  <c r="J1133" i="1" s="1"/>
  <c r="H1128" i="1"/>
  <c r="J1128" i="1" s="1"/>
  <c r="H1102" i="1"/>
  <c r="F1102" i="1"/>
  <c r="I1102" i="1" s="1"/>
  <c r="I1096" i="1"/>
  <c r="J1096" i="1" s="1"/>
  <c r="I1090" i="1"/>
  <c r="J1090" i="1" s="1"/>
  <c r="F1046" i="1"/>
  <c r="I1046" i="1" s="1"/>
  <c r="J1046" i="1" s="1"/>
  <c r="F958" i="1"/>
  <c r="I958" i="1" s="1"/>
  <c r="J958" i="1" s="1"/>
  <c r="F950" i="1"/>
  <c r="I950" i="1" s="1"/>
  <c r="J950" i="1" s="1"/>
  <c r="F942" i="1"/>
  <c r="I942" i="1" s="1"/>
  <c r="J942" i="1" s="1"/>
  <c r="F934" i="1"/>
  <c r="I934" i="1" s="1"/>
  <c r="J934" i="1" s="1"/>
  <c r="H1258" i="1"/>
  <c r="J1258" i="1" s="1"/>
  <c r="H1114" i="1"/>
  <c r="F1114" i="1"/>
  <c r="I1114" i="1" s="1"/>
  <c r="H1108" i="1"/>
  <c r="F1108" i="1"/>
  <c r="I1108" i="1" s="1"/>
  <c r="H1126" i="1"/>
  <c r="F1126" i="1"/>
  <c r="I1126" i="1" s="1"/>
  <c r="H1120" i="1"/>
  <c r="F1120" i="1"/>
  <c r="I1120" i="1" s="1"/>
  <c r="F960" i="1"/>
  <c r="I960" i="1" s="1"/>
  <c r="J960" i="1" s="1"/>
  <c r="F952" i="1"/>
  <c r="I952" i="1" s="1"/>
  <c r="J952" i="1" s="1"/>
  <c r="F944" i="1"/>
  <c r="I944" i="1" s="1"/>
  <c r="J944" i="1" s="1"/>
  <c r="F936" i="1"/>
  <c r="I936" i="1" s="1"/>
  <c r="J936" i="1" s="1"/>
  <c r="H1106" i="1"/>
  <c r="F1106" i="1"/>
  <c r="I1106" i="1" s="1"/>
  <c r="H1100" i="1"/>
  <c r="F1100" i="1"/>
  <c r="I1100" i="1" s="1"/>
  <c r="H1047" i="1"/>
  <c r="F1047" i="1"/>
  <c r="I1047" i="1" s="1"/>
  <c r="I1161" i="1"/>
  <c r="J1161" i="1" s="1"/>
  <c r="I1153" i="1"/>
  <c r="J1153" i="1" s="1"/>
  <c r="I1145" i="1"/>
  <c r="J1145" i="1" s="1"/>
  <c r="I1137" i="1"/>
  <c r="J1137" i="1" s="1"/>
  <c r="I1129" i="1"/>
  <c r="J1129" i="1" s="1"/>
  <c r="H1118" i="1"/>
  <c r="F1118" i="1"/>
  <c r="I1118" i="1" s="1"/>
  <c r="H1112" i="1"/>
  <c r="F1112" i="1"/>
  <c r="I1112" i="1" s="1"/>
  <c r="F962" i="1"/>
  <c r="I962" i="1" s="1"/>
  <c r="J962" i="1" s="1"/>
  <c r="F954" i="1"/>
  <c r="I954" i="1" s="1"/>
  <c r="J954" i="1" s="1"/>
  <c r="F946" i="1"/>
  <c r="I946" i="1" s="1"/>
  <c r="J946" i="1" s="1"/>
  <c r="F938" i="1"/>
  <c r="I938" i="1" s="1"/>
  <c r="J938" i="1" s="1"/>
  <c r="F1049" i="1"/>
  <c r="I1049" i="1" s="1"/>
  <c r="J1049" i="1" s="1"/>
  <c r="F926" i="1"/>
  <c r="I926" i="1" s="1"/>
  <c r="H926" i="1"/>
  <c r="F918" i="1"/>
  <c r="I918" i="1" s="1"/>
  <c r="H918" i="1"/>
  <c r="F910" i="1"/>
  <c r="I910" i="1" s="1"/>
  <c r="H910" i="1"/>
  <c r="I897" i="1"/>
  <c r="I881" i="1"/>
  <c r="J881" i="1" s="1"/>
  <c r="I865" i="1"/>
  <c r="J865" i="1" s="1"/>
  <c r="I849" i="1"/>
  <c r="J849" i="1" s="1"/>
  <c r="F829" i="1"/>
  <c r="I829" i="1" s="1"/>
  <c r="H829" i="1"/>
  <c r="F797" i="1"/>
  <c r="I797" i="1" s="1"/>
  <c r="H797" i="1"/>
  <c r="H752" i="1"/>
  <c r="F752" i="1"/>
  <c r="I752" i="1" s="1"/>
  <c r="F920" i="1"/>
  <c r="I920" i="1" s="1"/>
  <c r="H920" i="1"/>
  <c r="F912" i="1"/>
  <c r="I912" i="1" s="1"/>
  <c r="H912" i="1"/>
  <c r="F904" i="1"/>
  <c r="I904" i="1" s="1"/>
  <c r="H904" i="1"/>
  <c r="J898" i="1"/>
  <c r="F891" i="1"/>
  <c r="I891" i="1" s="1"/>
  <c r="H891" i="1"/>
  <c r="J882" i="1"/>
  <c r="F875" i="1"/>
  <c r="I875" i="1" s="1"/>
  <c r="H875" i="1"/>
  <c r="J866" i="1"/>
  <c r="F859" i="1"/>
  <c r="I859" i="1" s="1"/>
  <c r="H859" i="1"/>
  <c r="J850" i="1"/>
  <c r="F837" i="1"/>
  <c r="I837" i="1" s="1"/>
  <c r="H837" i="1"/>
  <c r="F805" i="1"/>
  <c r="I805" i="1" s="1"/>
  <c r="H805" i="1"/>
  <c r="F702" i="1"/>
  <c r="I702" i="1" s="1"/>
  <c r="H702" i="1"/>
  <c r="I1054" i="1"/>
  <c r="J1054" i="1" s="1"/>
  <c r="F1045" i="1"/>
  <c r="I1045" i="1" s="1"/>
  <c r="H1045" i="1"/>
  <c r="F1043" i="1"/>
  <c r="I1043" i="1" s="1"/>
  <c r="H1043" i="1"/>
  <c r="F1041" i="1"/>
  <c r="I1041" i="1" s="1"/>
  <c r="H1041" i="1"/>
  <c r="F1039" i="1"/>
  <c r="I1039" i="1" s="1"/>
  <c r="H1039" i="1"/>
  <c r="F1037" i="1"/>
  <c r="I1037" i="1" s="1"/>
  <c r="H1037" i="1"/>
  <c r="F1035" i="1"/>
  <c r="I1035" i="1" s="1"/>
  <c r="H1035" i="1"/>
  <c r="F1033" i="1"/>
  <c r="I1033" i="1" s="1"/>
  <c r="H1033" i="1"/>
  <c r="F1031" i="1"/>
  <c r="I1031" i="1" s="1"/>
  <c r="H1031" i="1"/>
  <c r="F1029" i="1"/>
  <c r="I1029" i="1" s="1"/>
  <c r="H1029" i="1"/>
  <c r="F1027" i="1"/>
  <c r="I1027" i="1" s="1"/>
  <c r="H1027" i="1"/>
  <c r="F1025" i="1"/>
  <c r="I1025" i="1" s="1"/>
  <c r="H1025" i="1"/>
  <c r="F1023" i="1"/>
  <c r="I1023" i="1" s="1"/>
  <c r="H1023" i="1"/>
  <c r="F1021" i="1"/>
  <c r="I1021" i="1" s="1"/>
  <c r="H1021" i="1"/>
  <c r="F1019" i="1"/>
  <c r="I1019" i="1" s="1"/>
  <c r="H1019" i="1"/>
  <c r="F1017" i="1"/>
  <c r="I1017" i="1" s="1"/>
  <c r="H1017" i="1"/>
  <c r="F1015" i="1"/>
  <c r="I1015" i="1" s="1"/>
  <c r="H1015" i="1"/>
  <c r="F1013" i="1"/>
  <c r="I1013" i="1" s="1"/>
  <c r="H1013" i="1"/>
  <c r="F1011" i="1"/>
  <c r="I1011" i="1" s="1"/>
  <c r="H1011" i="1"/>
  <c r="F1009" i="1"/>
  <c r="I1009" i="1" s="1"/>
  <c r="H1009" i="1"/>
  <c r="F1007" i="1"/>
  <c r="I1007" i="1" s="1"/>
  <c r="H1007" i="1"/>
  <c r="F1005" i="1"/>
  <c r="I1005" i="1" s="1"/>
  <c r="H1005" i="1"/>
  <c r="F1003" i="1"/>
  <c r="I1003" i="1" s="1"/>
  <c r="H1003" i="1"/>
  <c r="F1001" i="1"/>
  <c r="I1001" i="1" s="1"/>
  <c r="H1001" i="1"/>
  <c r="F999" i="1"/>
  <c r="I999" i="1" s="1"/>
  <c r="H999" i="1"/>
  <c r="F997" i="1"/>
  <c r="I997" i="1" s="1"/>
  <c r="H997" i="1"/>
  <c r="F995" i="1"/>
  <c r="I995" i="1" s="1"/>
  <c r="H995" i="1"/>
  <c r="F993" i="1"/>
  <c r="I993" i="1" s="1"/>
  <c r="H993" i="1"/>
  <c r="F991" i="1"/>
  <c r="I991" i="1" s="1"/>
  <c r="H991" i="1"/>
  <c r="F989" i="1"/>
  <c r="I989" i="1" s="1"/>
  <c r="H989" i="1"/>
  <c r="F987" i="1"/>
  <c r="I987" i="1" s="1"/>
  <c r="H987" i="1"/>
  <c r="F985" i="1"/>
  <c r="I985" i="1" s="1"/>
  <c r="H985" i="1"/>
  <c r="F925" i="1"/>
  <c r="I925" i="1" s="1"/>
  <c r="H925" i="1"/>
  <c r="F917" i="1"/>
  <c r="I917" i="1" s="1"/>
  <c r="H917" i="1"/>
  <c r="F909" i="1"/>
  <c r="I909" i="1" s="1"/>
  <c r="H909" i="1"/>
  <c r="F922" i="1"/>
  <c r="I922" i="1" s="1"/>
  <c r="H922" i="1"/>
  <c r="F914" i="1"/>
  <c r="I914" i="1" s="1"/>
  <c r="H914" i="1"/>
  <c r="F906" i="1"/>
  <c r="I906" i="1" s="1"/>
  <c r="H906" i="1"/>
  <c r="I889" i="1"/>
  <c r="J889" i="1" s="1"/>
  <c r="I873" i="1"/>
  <c r="J873" i="1" s="1"/>
  <c r="I857" i="1"/>
  <c r="J857" i="1" s="1"/>
  <c r="F813" i="1"/>
  <c r="I813" i="1" s="1"/>
  <c r="H813" i="1"/>
  <c r="F1048" i="1"/>
  <c r="I1048" i="1" s="1"/>
  <c r="J1048" i="1" s="1"/>
  <c r="F961" i="1"/>
  <c r="I961" i="1" s="1"/>
  <c r="J961" i="1" s="1"/>
  <c r="F959" i="1"/>
  <c r="F957" i="1"/>
  <c r="F955" i="1"/>
  <c r="F953" i="1"/>
  <c r="I953" i="1" s="1"/>
  <c r="J953" i="1" s="1"/>
  <c r="F951" i="1"/>
  <c r="F949" i="1"/>
  <c r="F947" i="1"/>
  <c r="F945" i="1"/>
  <c r="I945" i="1" s="1"/>
  <c r="J945" i="1" s="1"/>
  <c r="F943" i="1"/>
  <c r="F941" i="1"/>
  <c r="F939" i="1"/>
  <c r="F937" i="1"/>
  <c r="I937" i="1" s="1"/>
  <c r="J937" i="1" s="1"/>
  <c r="F935" i="1"/>
  <c r="F927" i="1"/>
  <c r="I927" i="1" s="1"/>
  <c r="H927" i="1"/>
  <c r="F919" i="1"/>
  <c r="I919" i="1" s="1"/>
  <c r="H919" i="1"/>
  <c r="F911" i="1"/>
  <c r="I911" i="1" s="1"/>
  <c r="H911" i="1"/>
  <c r="F903" i="1"/>
  <c r="I903" i="1" s="1"/>
  <c r="J903" i="1" s="1"/>
  <c r="H903" i="1"/>
  <c r="F887" i="1"/>
  <c r="I887" i="1" s="1"/>
  <c r="F871" i="1"/>
  <c r="I871" i="1" s="1"/>
  <c r="F855" i="1"/>
  <c r="I855" i="1" s="1"/>
  <c r="I848" i="1"/>
  <c r="J848" i="1" s="1"/>
  <c r="F735" i="1"/>
  <c r="I735" i="1" s="1"/>
  <c r="H735" i="1"/>
  <c r="F924" i="1"/>
  <c r="I924" i="1" s="1"/>
  <c r="H924" i="1"/>
  <c r="F916" i="1"/>
  <c r="I916" i="1" s="1"/>
  <c r="H916" i="1"/>
  <c r="F908" i="1"/>
  <c r="I908" i="1" s="1"/>
  <c r="H908" i="1"/>
  <c r="F899" i="1"/>
  <c r="I899" i="1" s="1"/>
  <c r="H899" i="1"/>
  <c r="F883" i="1"/>
  <c r="I883" i="1" s="1"/>
  <c r="H883" i="1"/>
  <c r="F867" i="1"/>
  <c r="I867" i="1" s="1"/>
  <c r="H867" i="1"/>
  <c r="F851" i="1"/>
  <c r="I851" i="1" s="1"/>
  <c r="H851" i="1"/>
  <c r="I844" i="1"/>
  <c r="J844" i="1" s="1"/>
  <c r="F821" i="1"/>
  <c r="I821" i="1" s="1"/>
  <c r="H821" i="1"/>
  <c r="I1080" i="1"/>
  <c r="J1080" i="1" s="1"/>
  <c r="I1072" i="1"/>
  <c r="J1072" i="1" s="1"/>
  <c r="I1068" i="1"/>
  <c r="J1068" i="1" s="1"/>
  <c r="I1064" i="1"/>
  <c r="J1064" i="1" s="1"/>
  <c r="I1056" i="1"/>
  <c r="J1056" i="1" s="1"/>
  <c r="I1052" i="1"/>
  <c r="J1052" i="1" s="1"/>
  <c r="F1044" i="1"/>
  <c r="I1044" i="1" s="1"/>
  <c r="H1044" i="1"/>
  <c r="F1042" i="1"/>
  <c r="I1042" i="1" s="1"/>
  <c r="H1042" i="1"/>
  <c r="F1040" i="1"/>
  <c r="I1040" i="1" s="1"/>
  <c r="H1040" i="1"/>
  <c r="F1038" i="1"/>
  <c r="I1038" i="1" s="1"/>
  <c r="H1038" i="1"/>
  <c r="F1036" i="1"/>
  <c r="I1036" i="1" s="1"/>
  <c r="H1036" i="1"/>
  <c r="F1034" i="1"/>
  <c r="I1034" i="1" s="1"/>
  <c r="H1034" i="1"/>
  <c r="F1032" i="1"/>
  <c r="I1032" i="1" s="1"/>
  <c r="H1032" i="1"/>
  <c r="F1030" i="1"/>
  <c r="I1030" i="1" s="1"/>
  <c r="H1030" i="1"/>
  <c r="F1028" i="1"/>
  <c r="I1028" i="1" s="1"/>
  <c r="H1028" i="1"/>
  <c r="F1026" i="1"/>
  <c r="I1026" i="1" s="1"/>
  <c r="H1026" i="1"/>
  <c r="F1024" i="1"/>
  <c r="I1024" i="1" s="1"/>
  <c r="H1024" i="1"/>
  <c r="F1022" i="1"/>
  <c r="I1022" i="1" s="1"/>
  <c r="H1022" i="1"/>
  <c r="F1020" i="1"/>
  <c r="I1020" i="1" s="1"/>
  <c r="H1020" i="1"/>
  <c r="F1018" i="1"/>
  <c r="I1018" i="1" s="1"/>
  <c r="H1018" i="1"/>
  <c r="F1016" i="1"/>
  <c r="I1016" i="1" s="1"/>
  <c r="H1016" i="1"/>
  <c r="F1014" i="1"/>
  <c r="I1014" i="1" s="1"/>
  <c r="H1014" i="1"/>
  <c r="F1012" i="1"/>
  <c r="I1012" i="1" s="1"/>
  <c r="H1012" i="1"/>
  <c r="F1010" i="1"/>
  <c r="I1010" i="1" s="1"/>
  <c r="H1010" i="1"/>
  <c r="F1008" i="1"/>
  <c r="I1008" i="1" s="1"/>
  <c r="H1008" i="1"/>
  <c r="F1006" i="1"/>
  <c r="I1006" i="1" s="1"/>
  <c r="H1006" i="1"/>
  <c r="F1004" i="1"/>
  <c r="I1004" i="1" s="1"/>
  <c r="H1004" i="1"/>
  <c r="F1002" i="1"/>
  <c r="I1002" i="1" s="1"/>
  <c r="H1002" i="1"/>
  <c r="F1000" i="1"/>
  <c r="I1000" i="1" s="1"/>
  <c r="H1000" i="1"/>
  <c r="F998" i="1"/>
  <c r="I998" i="1" s="1"/>
  <c r="H998" i="1"/>
  <c r="F996" i="1"/>
  <c r="I996" i="1" s="1"/>
  <c r="H996" i="1"/>
  <c r="F994" i="1"/>
  <c r="I994" i="1" s="1"/>
  <c r="H994" i="1"/>
  <c r="F992" i="1"/>
  <c r="I992" i="1" s="1"/>
  <c r="H992" i="1"/>
  <c r="F990" i="1"/>
  <c r="I990" i="1" s="1"/>
  <c r="H990" i="1"/>
  <c r="F988" i="1"/>
  <c r="I988" i="1" s="1"/>
  <c r="H988" i="1"/>
  <c r="F986" i="1"/>
  <c r="I986" i="1" s="1"/>
  <c r="H986" i="1"/>
  <c r="F984" i="1"/>
  <c r="I984" i="1" s="1"/>
  <c r="F982" i="1"/>
  <c r="I982" i="1" s="1"/>
  <c r="F980" i="1"/>
  <c r="I980" i="1" s="1"/>
  <c r="F978" i="1"/>
  <c r="I978" i="1" s="1"/>
  <c r="F976" i="1"/>
  <c r="I976" i="1" s="1"/>
  <c r="F974" i="1"/>
  <c r="I974" i="1" s="1"/>
  <c r="F972" i="1"/>
  <c r="I972" i="1" s="1"/>
  <c r="F970" i="1"/>
  <c r="I970" i="1" s="1"/>
  <c r="F968" i="1"/>
  <c r="I968" i="1" s="1"/>
  <c r="F966" i="1"/>
  <c r="I966" i="1" s="1"/>
  <c r="F964" i="1"/>
  <c r="I964" i="1" s="1"/>
  <c r="F921" i="1"/>
  <c r="I921" i="1" s="1"/>
  <c r="H921" i="1"/>
  <c r="F913" i="1"/>
  <c r="I913" i="1" s="1"/>
  <c r="H913" i="1"/>
  <c r="F905" i="1"/>
  <c r="I905" i="1" s="1"/>
  <c r="H905" i="1"/>
  <c r="I892" i="1"/>
  <c r="J892" i="1" s="1"/>
  <c r="I876" i="1"/>
  <c r="F789" i="1"/>
  <c r="I789" i="1" s="1"/>
  <c r="J789" i="1" s="1"/>
  <c r="H789" i="1"/>
  <c r="J792" i="1"/>
  <c r="J784" i="1"/>
  <c r="F754" i="1"/>
  <c r="I754" i="1" s="1"/>
  <c r="J754" i="1" s="1"/>
  <c r="H754" i="1"/>
  <c r="F762" i="1"/>
  <c r="I762" i="1" s="1"/>
  <c r="H762" i="1"/>
  <c r="H984" i="1"/>
  <c r="H983" i="1"/>
  <c r="J983" i="1" s="1"/>
  <c r="H982" i="1"/>
  <c r="H981" i="1"/>
  <c r="J981" i="1" s="1"/>
  <c r="H980" i="1"/>
  <c r="H979" i="1"/>
  <c r="J979" i="1" s="1"/>
  <c r="H978" i="1"/>
  <c r="H977" i="1"/>
  <c r="J977" i="1" s="1"/>
  <c r="H976" i="1"/>
  <c r="H975" i="1"/>
  <c r="J975" i="1" s="1"/>
  <c r="H974" i="1"/>
  <c r="H973" i="1"/>
  <c r="J973" i="1" s="1"/>
  <c r="H972" i="1"/>
  <c r="H971" i="1"/>
  <c r="H970" i="1"/>
  <c r="H969" i="1"/>
  <c r="J969" i="1" s="1"/>
  <c r="H968" i="1"/>
  <c r="H967" i="1"/>
  <c r="J967" i="1" s="1"/>
  <c r="H966" i="1"/>
  <c r="H965" i="1"/>
  <c r="J965" i="1" s="1"/>
  <c r="H964" i="1"/>
  <c r="H963" i="1"/>
  <c r="J963" i="1" s="1"/>
  <c r="F835" i="1"/>
  <c r="I835" i="1" s="1"/>
  <c r="J835" i="1" s="1"/>
  <c r="F827" i="1"/>
  <c r="I827" i="1" s="1"/>
  <c r="J827" i="1" s="1"/>
  <c r="F819" i="1"/>
  <c r="I819" i="1" s="1"/>
  <c r="J819" i="1" s="1"/>
  <c r="F811" i="1"/>
  <c r="I811" i="1" s="1"/>
  <c r="J811" i="1" s="1"/>
  <c r="F803" i="1"/>
  <c r="I803" i="1" s="1"/>
  <c r="J803" i="1" s="1"/>
  <c r="F795" i="1"/>
  <c r="I795" i="1" s="1"/>
  <c r="J795" i="1" s="1"/>
  <c r="F787" i="1"/>
  <c r="I787" i="1" s="1"/>
  <c r="J787" i="1" s="1"/>
  <c r="F782" i="1"/>
  <c r="I782" i="1" s="1"/>
  <c r="H782" i="1"/>
  <c r="F780" i="1"/>
  <c r="I780" i="1" s="1"/>
  <c r="H780" i="1"/>
  <c r="F778" i="1"/>
  <c r="I778" i="1" s="1"/>
  <c r="H778" i="1"/>
  <c r="F776" i="1"/>
  <c r="I776" i="1" s="1"/>
  <c r="H776" i="1"/>
  <c r="F774" i="1"/>
  <c r="I774" i="1" s="1"/>
  <c r="H774" i="1"/>
  <c r="F772" i="1"/>
  <c r="I772" i="1" s="1"/>
  <c r="H772" i="1"/>
  <c r="F770" i="1"/>
  <c r="I770" i="1" s="1"/>
  <c r="H770" i="1"/>
  <c r="J767" i="1"/>
  <c r="H760" i="1"/>
  <c r="F760" i="1"/>
  <c r="I760" i="1" s="1"/>
  <c r="F750" i="1"/>
  <c r="I750" i="1" s="1"/>
  <c r="F739" i="1"/>
  <c r="I739" i="1" s="1"/>
  <c r="H739" i="1"/>
  <c r="F710" i="1"/>
  <c r="I710" i="1" s="1"/>
  <c r="H710" i="1"/>
  <c r="H895" i="1"/>
  <c r="J895" i="1" s="1"/>
  <c r="H887" i="1"/>
  <c r="H879" i="1"/>
  <c r="J879" i="1" s="1"/>
  <c r="H871" i="1"/>
  <c r="H863" i="1"/>
  <c r="J863" i="1" s="1"/>
  <c r="H855" i="1"/>
  <c r="H847" i="1"/>
  <c r="J847" i="1" s="1"/>
  <c r="F841" i="1"/>
  <c r="I841" i="1" s="1"/>
  <c r="J841" i="1" s="1"/>
  <c r="F838" i="1"/>
  <c r="I838" i="1" s="1"/>
  <c r="J838" i="1" s="1"/>
  <c r="H833" i="1"/>
  <c r="J833" i="1" s="1"/>
  <c r="F830" i="1"/>
  <c r="I830" i="1" s="1"/>
  <c r="J830" i="1" s="1"/>
  <c r="H825" i="1"/>
  <c r="J825" i="1" s="1"/>
  <c r="F822" i="1"/>
  <c r="I822" i="1" s="1"/>
  <c r="J822" i="1" s="1"/>
  <c r="H817" i="1"/>
  <c r="J817" i="1" s="1"/>
  <c r="F814" i="1"/>
  <c r="I814" i="1" s="1"/>
  <c r="J814" i="1" s="1"/>
  <c r="H809" i="1"/>
  <c r="F806" i="1"/>
  <c r="I806" i="1" s="1"/>
  <c r="J806" i="1" s="1"/>
  <c r="H801" i="1"/>
  <c r="J801" i="1" s="1"/>
  <c r="F798" i="1"/>
  <c r="I798" i="1" s="1"/>
  <c r="J798" i="1" s="1"/>
  <c r="H793" i="1"/>
  <c r="J793" i="1" s="1"/>
  <c r="F790" i="1"/>
  <c r="I790" i="1" s="1"/>
  <c r="J790" i="1" s="1"/>
  <c r="H785" i="1"/>
  <c r="J785" i="1" s="1"/>
  <c r="F746" i="1"/>
  <c r="I746" i="1" s="1"/>
  <c r="H746" i="1"/>
  <c r="F933" i="1"/>
  <c r="I933" i="1" s="1"/>
  <c r="J933" i="1" s="1"/>
  <c r="F932" i="1"/>
  <c r="I932" i="1" s="1"/>
  <c r="J932" i="1" s="1"/>
  <c r="F931" i="1"/>
  <c r="I931" i="1" s="1"/>
  <c r="J931" i="1" s="1"/>
  <c r="F930" i="1"/>
  <c r="I930" i="1" s="1"/>
  <c r="J930" i="1" s="1"/>
  <c r="F929" i="1"/>
  <c r="I929" i="1" s="1"/>
  <c r="J929" i="1" s="1"/>
  <c r="F928" i="1"/>
  <c r="I928" i="1" s="1"/>
  <c r="J928" i="1" s="1"/>
  <c r="F902" i="1"/>
  <c r="I902" i="1" s="1"/>
  <c r="J902" i="1" s="1"/>
  <c r="F894" i="1"/>
  <c r="I894" i="1" s="1"/>
  <c r="J894" i="1" s="1"/>
  <c r="F886" i="1"/>
  <c r="I886" i="1" s="1"/>
  <c r="J886" i="1" s="1"/>
  <c r="F878" i="1"/>
  <c r="I878" i="1" s="1"/>
  <c r="J878" i="1" s="1"/>
  <c r="F870" i="1"/>
  <c r="I870" i="1" s="1"/>
  <c r="J870" i="1" s="1"/>
  <c r="F862" i="1"/>
  <c r="I862" i="1" s="1"/>
  <c r="J862" i="1" s="1"/>
  <c r="F854" i="1"/>
  <c r="I854" i="1" s="1"/>
  <c r="J854" i="1" s="1"/>
  <c r="F846" i="1"/>
  <c r="I846" i="1" s="1"/>
  <c r="J846" i="1" s="1"/>
  <c r="H768" i="1"/>
  <c r="F768" i="1"/>
  <c r="I768" i="1" s="1"/>
  <c r="F758" i="1"/>
  <c r="I758" i="1" s="1"/>
  <c r="J753" i="1"/>
  <c r="F727" i="1"/>
  <c r="I727" i="1" s="1"/>
  <c r="H727" i="1"/>
  <c r="F718" i="1"/>
  <c r="I718" i="1" s="1"/>
  <c r="H718" i="1"/>
  <c r="F842" i="1"/>
  <c r="I842" i="1" s="1"/>
  <c r="J842" i="1" s="1"/>
  <c r="F836" i="1"/>
  <c r="I836" i="1" s="1"/>
  <c r="J836" i="1" s="1"/>
  <c r="F828" i="1"/>
  <c r="I828" i="1" s="1"/>
  <c r="J828" i="1" s="1"/>
  <c r="F820" i="1"/>
  <c r="I820" i="1" s="1"/>
  <c r="J820" i="1" s="1"/>
  <c r="F812" i="1"/>
  <c r="I812" i="1" s="1"/>
  <c r="J812" i="1" s="1"/>
  <c r="F804" i="1"/>
  <c r="I804" i="1" s="1"/>
  <c r="J804" i="1" s="1"/>
  <c r="F796" i="1"/>
  <c r="I796" i="1" s="1"/>
  <c r="J796" i="1" s="1"/>
  <c r="F788" i="1"/>
  <c r="I788" i="1" s="1"/>
  <c r="J788" i="1" s="1"/>
  <c r="I763" i="1"/>
  <c r="J763" i="1" s="1"/>
  <c r="F689" i="1"/>
  <c r="I689" i="1" s="1"/>
  <c r="H689" i="1"/>
  <c r="F681" i="1"/>
  <c r="I681" i="1" s="1"/>
  <c r="H681" i="1"/>
  <c r="F673" i="1"/>
  <c r="I673" i="1" s="1"/>
  <c r="H673" i="1"/>
  <c r="F665" i="1"/>
  <c r="I665" i="1" s="1"/>
  <c r="H665" i="1"/>
  <c r="F657" i="1"/>
  <c r="I657" i="1" s="1"/>
  <c r="H657" i="1"/>
  <c r="H843" i="1"/>
  <c r="J843" i="1" s="1"/>
  <c r="F839" i="1"/>
  <c r="I839" i="1" s="1"/>
  <c r="J839" i="1" s="1"/>
  <c r="H834" i="1"/>
  <c r="J834" i="1" s="1"/>
  <c r="F831" i="1"/>
  <c r="I831" i="1" s="1"/>
  <c r="J831" i="1" s="1"/>
  <c r="H826" i="1"/>
  <c r="J826" i="1" s="1"/>
  <c r="F823" i="1"/>
  <c r="I823" i="1" s="1"/>
  <c r="J823" i="1" s="1"/>
  <c r="H818" i="1"/>
  <c r="J818" i="1" s="1"/>
  <c r="F815" i="1"/>
  <c r="I815" i="1" s="1"/>
  <c r="J815" i="1" s="1"/>
  <c r="H810" i="1"/>
  <c r="J810" i="1" s="1"/>
  <c r="F807" i="1"/>
  <c r="I807" i="1" s="1"/>
  <c r="J807" i="1" s="1"/>
  <c r="H802" i="1"/>
  <c r="J802" i="1" s="1"/>
  <c r="F799" i="1"/>
  <c r="I799" i="1" s="1"/>
  <c r="J799" i="1" s="1"/>
  <c r="H794" i="1"/>
  <c r="F791" i="1"/>
  <c r="I791" i="1" s="1"/>
  <c r="J791" i="1" s="1"/>
  <c r="H786" i="1"/>
  <c r="F783" i="1"/>
  <c r="I783" i="1" s="1"/>
  <c r="J783" i="1" s="1"/>
  <c r="F781" i="1"/>
  <c r="I781" i="1" s="1"/>
  <c r="H781" i="1"/>
  <c r="F779" i="1"/>
  <c r="I779" i="1" s="1"/>
  <c r="H779" i="1"/>
  <c r="F777" i="1"/>
  <c r="I777" i="1" s="1"/>
  <c r="H777" i="1"/>
  <c r="F775" i="1"/>
  <c r="I775" i="1" s="1"/>
  <c r="H775" i="1"/>
  <c r="F773" i="1"/>
  <c r="I773" i="1" s="1"/>
  <c r="H773" i="1"/>
  <c r="F771" i="1"/>
  <c r="I771" i="1" s="1"/>
  <c r="H771" i="1"/>
  <c r="F766" i="1"/>
  <c r="I766" i="1" s="1"/>
  <c r="H766" i="1"/>
  <c r="J761" i="1"/>
  <c r="F742" i="1"/>
  <c r="I742" i="1" s="1"/>
  <c r="F731" i="1"/>
  <c r="I731" i="1" s="1"/>
  <c r="H731" i="1"/>
  <c r="F694" i="1"/>
  <c r="I694" i="1" s="1"/>
  <c r="H694" i="1"/>
  <c r="F744" i="1"/>
  <c r="I744" i="1" s="1"/>
  <c r="J744" i="1" s="1"/>
  <c r="F738" i="1"/>
  <c r="I738" i="1" s="1"/>
  <c r="J738" i="1" s="1"/>
  <c r="F734" i="1"/>
  <c r="I734" i="1" s="1"/>
  <c r="J734" i="1" s="1"/>
  <c r="F730" i="1"/>
  <c r="I730" i="1" s="1"/>
  <c r="J730" i="1" s="1"/>
  <c r="F726" i="1"/>
  <c r="I726" i="1" s="1"/>
  <c r="J726" i="1" s="1"/>
  <c r="F692" i="1"/>
  <c r="I692" i="1" s="1"/>
  <c r="H692" i="1"/>
  <c r="F684" i="1"/>
  <c r="I684" i="1" s="1"/>
  <c r="H684" i="1"/>
  <c r="F676" i="1"/>
  <c r="I676" i="1" s="1"/>
  <c r="H676" i="1"/>
  <c r="F668" i="1"/>
  <c r="I668" i="1" s="1"/>
  <c r="H668" i="1"/>
  <c r="F660" i="1"/>
  <c r="I660" i="1" s="1"/>
  <c r="H660" i="1"/>
  <c r="F648" i="1"/>
  <c r="I648" i="1" s="1"/>
  <c r="H648" i="1"/>
  <c r="F644" i="1"/>
  <c r="I644" i="1" s="1"/>
  <c r="H644" i="1"/>
  <c r="F640" i="1"/>
  <c r="I640" i="1" s="1"/>
  <c r="H640" i="1"/>
  <c r="F636" i="1"/>
  <c r="I636" i="1" s="1"/>
  <c r="H636" i="1"/>
  <c r="F632" i="1"/>
  <c r="I632" i="1" s="1"/>
  <c r="H632" i="1"/>
  <c r="F628" i="1"/>
  <c r="I628" i="1" s="1"/>
  <c r="H628" i="1"/>
  <c r="F624" i="1"/>
  <c r="I624" i="1" s="1"/>
  <c r="H624" i="1"/>
  <c r="F620" i="1"/>
  <c r="I620" i="1" s="1"/>
  <c r="H620" i="1"/>
  <c r="F616" i="1"/>
  <c r="I616" i="1" s="1"/>
  <c r="H616" i="1"/>
  <c r="F612" i="1"/>
  <c r="I612" i="1" s="1"/>
  <c r="H612" i="1"/>
  <c r="F608" i="1"/>
  <c r="I608" i="1" s="1"/>
  <c r="H608" i="1"/>
  <c r="F604" i="1"/>
  <c r="I604" i="1" s="1"/>
  <c r="H604" i="1"/>
  <c r="F600" i="1"/>
  <c r="I600" i="1" s="1"/>
  <c r="H600" i="1"/>
  <c r="F515" i="1"/>
  <c r="I515" i="1" s="1"/>
  <c r="H515" i="1"/>
  <c r="H504" i="1"/>
  <c r="F504" i="1"/>
  <c r="I504" i="1" s="1"/>
  <c r="J504" i="1" s="1"/>
  <c r="F686" i="1"/>
  <c r="I686" i="1" s="1"/>
  <c r="H686" i="1"/>
  <c r="F678" i="1"/>
  <c r="I678" i="1" s="1"/>
  <c r="H678" i="1"/>
  <c r="F670" i="1"/>
  <c r="I670" i="1" s="1"/>
  <c r="H670" i="1"/>
  <c r="F662" i="1"/>
  <c r="I662" i="1" s="1"/>
  <c r="H662" i="1"/>
  <c r="F523" i="1"/>
  <c r="I523" i="1" s="1"/>
  <c r="H523" i="1"/>
  <c r="F724" i="1"/>
  <c r="I724" i="1" s="1"/>
  <c r="J724" i="1" s="1"/>
  <c r="F716" i="1"/>
  <c r="I716" i="1" s="1"/>
  <c r="J716" i="1" s="1"/>
  <c r="F708" i="1"/>
  <c r="I708" i="1" s="1"/>
  <c r="J708" i="1" s="1"/>
  <c r="F700" i="1"/>
  <c r="I700" i="1" s="1"/>
  <c r="J700" i="1" s="1"/>
  <c r="F691" i="1"/>
  <c r="I691" i="1" s="1"/>
  <c r="H691" i="1"/>
  <c r="F683" i="1"/>
  <c r="I683" i="1" s="1"/>
  <c r="H683" i="1"/>
  <c r="F675" i="1"/>
  <c r="I675" i="1" s="1"/>
  <c r="H675" i="1"/>
  <c r="F667" i="1"/>
  <c r="I667" i="1" s="1"/>
  <c r="H667" i="1"/>
  <c r="F659" i="1"/>
  <c r="I659" i="1" s="1"/>
  <c r="H659" i="1"/>
  <c r="F651" i="1"/>
  <c r="I651" i="1" s="1"/>
  <c r="F536" i="1"/>
  <c r="I536" i="1" s="1"/>
  <c r="H536" i="1"/>
  <c r="F530" i="1"/>
  <c r="I530" i="1" s="1"/>
  <c r="H530" i="1"/>
  <c r="F487" i="1"/>
  <c r="I487" i="1" s="1"/>
  <c r="H487" i="1"/>
  <c r="H758" i="1"/>
  <c r="H750" i="1"/>
  <c r="H742" i="1"/>
  <c r="H737" i="1"/>
  <c r="J737" i="1" s="1"/>
  <c r="H733" i="1"/>
  <c r="J733" i="1" s="1"/>
  <c r="H729" i="1"/>
  <c r="J729" i="1" s="1"/>
  <c r="H725" i="1"/>
  <c r="J725" i="1" s="1"/>
  <c r="F719" i="1"/>
  <c r="I719" i="1" s="1"/>
  <c r="J719" i="1" s="1"/>
  <c r="F711" i="1"/>
  <c r="I711" i="1" s="1"/>
  <c r="J711" i="1" s="1"/>
  <c r="F703" i="1"/>
  <c r="I703" i="1" s="1"/>
  <c r="J703" i="1" s="1"/>
  <c r="F695" i="1"/>
  <c r="I695" i="1" s="1"/>
  <c r="J695" i="1" s="1"/>
  <c r="F688" i="1"/>
  <c r="I688" i="1" s="1"/>
  <c r="H688" i="1"/>
  <c r="F680" i="1"/>
  <c r="I680" i="1" s="1"/>
  <c r="H680" i="1"/>
  <c r="F672" i="1"/>
  <c r="I672" i="1" s="1"/>
  <c r="H672" i="1"/>
  <c r="F664" i="1"/>
  <c r="I664" i="1" s="1"/>
  <c r="H664" i="1"/>
  <c r="F656" i="1"/>
  <c r="I656" i="1" s="1"/>
  <c r="H656" i="1"/>
  <c r="I757" i="1"/>
  <c r="J757" i="1" s="1"/>
  <c r="F749" i="1"/>
  <c r="I749" i="1" s="1"/>
  <c r="J749" i="1" s="1"/>
  <c r="F741" i="1"/>
  <c r="I741" i="1" s="1"/>
  <c r="J741" i="1" s="1"/>
  <c r="F722" i="1"/>
  <c r="I722" i="1" s="1"/>
  <c r="J722" i="1" s="1"/>
  <c r="F714" i="1"/>
  <c r="I714" i="1" s="1"/>
  <c r="J714" i="1" s="1"/>
  <c r="F706" i="1"/>
  <c r="I706" i="1" s="1"/>
  <c r="J706" i="1" s="1"/>
  <c r="F698" i="1"/>
  <c r="I698" i="1" s="1"/>
  <c r="J698" i="1" s="1"/>
  <c r="F693" i="1"/>
  <c r="I693" i="1" s="1"/>
  <c r="H693" i="1"/>
  <c r="F685" i="1"/>
  <c r="I685" i="1" s="1"/>
  <c r="H685" i="1"/>
  <c r="F677" i="1"/>
  <c r="I677" i="1" s="1"/>
  <c r="H677" i="1"/>
  <c r="F669" i="1"/>
  <c r="I669" i="1" s="1"/>
  <c r="H669" i="1"/>
  <c r="F661" i="1"/>
  <c r="I661" i="1" s="1"/>
  <c r="H661" i="1"/>
  <c r="F653" i="1"/>
  <c r="I653" i="1" s="1"/>
  <c r="F717" i="1"/>
  <c r="I717" i="1" s="1"/>
  <c r="J717" i="1" s="1"/>
  <c r="F709" i="1"/>
  <c r="I709" i="1" s="1"/>
  <c r="J709" i="1" s="1"/>
  <c r="F701" i="1"/>
  <c r="I701" i="1" s="1"/>
  <c r="J701" i="1" s="1"/>
  <c r="F690" i="1"/>
  <c r="I690" i="1" s="1"/>
  <c r="H690" i="1"/>
  <c r="F682" i="1"/>
  <c r="I682" i="1" s="1"/>
  <c r="H682" i="1"/>
  <c r="F674" i="1"/>
  <c r="I674" i="1" s="1"/>
  <c r="H674" i="1"/>
  <c r="F666" i="1"/>
  <c r="I666" i="1" s="1"/>
  <c r="H666" i="1"/>
  <c r="F658" i="1"/>
  <c r="I658" i="1" s="1"/>
  <c r="H658" i="1"/>
  <c r="F544" i="1"/>
  <c r="I544" i="1" s="1"/>
  <c r="H544" i="1"/>
  <c r="F720" i="1"/>
  <c r="I720" i="1" s="1"/>
  <c r="J720" i="1" s="1"/>
  <c r="F712" i="1"/>
  <c r="I712" i="1" s="1"/>
  <c r="J712" i="1" s="1"/>
  <c r="F704" i="1"/>
  <c r="I704" i="1" s="1"/>
  <c r="J704" i="1" s="1"/>
  <c r="F696" i="1"/>
  <c r="I696" i="1" s="1"/>
  <c r="J696" i="1" s="1"/>
  <c r="F687" i="1"/>
  <c r="I687" i="1" s="1"/>
  <c r="H687" i="1"/>
  <c r="F679" i="1"/>
  <c r="I679" i="1" s="1"/>
  <c r="H679" i="1"/>
  <c r="F671" i="1"/>
  <c r="I671" i="1" s="1"/>
  <c r="H671" i="1"/>
  <c r="F663" i="1"/>
  <c r="I663" i="1" s="1"/>
  <c r="H663" i="1"/>
  <c r="F655" i="1"/>
  <c r="I655" i="1" s="1"/>
  <c r="F596" i="1"/>
  <c r="I596" i="1" s="1"/>
  <c r="H596" i="1"/>
  <c r="F592" i="1"/>
  <c r="I592" i="1" s="1"/>
  <c r="H592" i="1"/>
  <c r="F588" i="1"/>
  <c r="I588" i="1" s="1"/>
  <c r="H588" i="1"/>
  <c r="F584" i="1"/>
  <c r="I584" i="1" s="1"/>
  <c r="H584" i="1"/>
  <c r="F580" i="1"/>
  <c r="I580" i="1" s="1"/>
  <c r="H580" i="1"/>
  <c r="F576" i="1"/>
  <c r="I576" i="1" s="1"/>
  <c r="H576" i="1"/>
  <c r="F572" i="1"/>
  <c r="I572" i="1" s="1"/>
  <c r="H572" i="1"/>
  <c r="F568" i="1"/>
  <c r="I568" i="1" s="1"/>
  <c r="H568" i="1"/>
  <c r="F564" i="1"/>
  <c r="I564" i="1" s="1"/>
  <c r="H564" i="1"/>
  <c r="F560" i="1"/>
  <c r="I560" i="1" s="1"/>
  <c r="H560" i="1"/>
  <c r="F556" i="1"/>
  <c r="I556" i="1" s="1"/>
  <c r="H556" i="1"/>
  <c r="F552" i="1"/>
  <c r="I552" i="1" s="1"/>
  <c r="H552" i="1"/>
  <c r="F548" i="1"/>
  <c r="I548" i="1" s="1"/>
  <c r="H548" i="1"/>
  <c r="F541" i="1"/>
  <c r="I541" i="1" s="1"/>
  <c r="H541" i="1"/>
  <c r="F533" i="1"/>
  <c r="I533" i="1" s="1"/>
  <c r="H533" i="1"/>
  <c r="F520" i="1"/>
  <c r="I520" i="1" s="1"/>
  <c r="J520" i="1" s="1"/>
  <c r="H500" i="1"/>
  <c r="F500" i="1"/>
  <c r="I500" i="1" s="1"/>
  <c r="I498" i="1"/>
  <c r="F457" i="1"/>
  <c r="I457" i="1" s="1"/>
  <c r="H457" i="1"/>
  <c r="F449" i="1"/>
  <c r="I449" i="1" s="1"/>
  <c r="H449" i="1"/>
  <c r="F441" i="1"/>
  <c r="I441" i="1" s="1"/>
  <c r="H441" i="1"/>
  <c r="F433" i="1"/>
  <c r="I433" i="1" s="1"/>
  <c r="H433" i="1"/>
  <c r="F425" i="1"/>
  <c r="I425" i="1" s="1"/>
  <c r="H425" i="1"/>
  <c r="F417" i="1"/>
  <c r="I417" i="1" s="1"/>
  <c r="H417" i="1"/>
  <c r="F539" i="1"/>
  <c r="I539" i="1" s="1"/>
  <c r="H539" i="1"/>
  <c r="F531" i="1"/>
  <c r="I531" i="1" s="1"/>
  <c r="H531" i="1"/>
  <c r="F510" i="1"/>
  <c r="I510" i="1" s="1"/>
  <c r="H510" i="1"/>
  <c r="H508" i="1"/>
  <c r="F508" i="1"/>
  <c r="I508" i="1" s="1"/>
  <c r="F506" i="1"/>
  <c r="I506" i="1" s="1"/>
  <c r="F491" i="1"/>
  <c r="I491" i="1" s="1"/>
  <c r="H491" i="1"/>
  <c r="F489" i="1"/>
  <c r="I489" i="1" s="1"/>
  <c r="H489" i="1"/>
  <c r="F459" i="1"/>
  <c r="I459" i="1" s="1"/>
  <c r="H459" i="1"/>
  <c r="F451" i="1"/>
  <c r="I451" i="1" s="1"/>
  <c r="H451" i="1"/>
  <c r="F443" i="1"/>
  <c r="I443" i="1" s="1"/>
  <c r="H443" i="1"/>
  <c r="F435" i="1"/>
  <c r="I435" i="1" s="1"/>
  <c r="H435" i="1"/>
  <c r="F427" i="1"/>
  <c r="I427" i="1" s="1"/>
  <c r="H427" i="1"/>
  <c r="F419" i="1"/>
  <c r="I419" i="1" s="1"/>
  <c r="H419" i="1"/>
  <c r="F649" i="1"/>
  <c r="I649" i="1" s="1"/>
  <c r="H649" i="1"/>
  <c r="F645" i="1"/>
  <c r="I645" i="1" s="1"/>
  <c r="H645" i="1"/>
  <c r="F641" i="1"/>
  <c r="I641" i="1" s="1"/>
  <c r="H641" i="1"/>
  <c r="F637" i="1"/>
  <c r="I637" i="1" s="1"/>
  <c r="H637" i="1"/>
  <c r="F633" i="1"/>
  <c r="I633" i="1" s="1"/>
  <c r="H633" i="1"/>
  <c r="F629" i="1"/>
  <c r="I629" i="1" s="1"/>
  <c r="H629" i="1"/>
  <c r="F625" i="1"/>
  <c r="I625" i="1" s="1"/>
  <c r="H625" i="1"/>
  <c r="F621" i="1"/>
  <c r="I621" i="1" s="1"/>
  <c r="H621" i="1"/>
  <c r="F617" i="1"/>
  <c r="I617" i="1" s="1"/>
  <c r="H617" i="1"/>
  <c r="F613" i="1"/>
  <c r="I613" i="1" s="1"/>
  <c r="H613" i="1"/>
  <c r="F609" i="1"/>
  <c r="I609" i="1" s="1"/>
  <c r="H609" i="1"/>
  <c r="F605" i="1"/>
  <c r="I605" i="1" s="1"/>
  <c r="H605" i="1"/>
  <c r="F601" i="1"/>
  <c r="I601" i="1" s="1"/>
  <c r="H601" i="1"/>
  <c r="F597" i="1"/>
  <c r="I597" i="1" s="1"/>
  <c r="H597" i="1"/>
  <c r="F593" i="1"/>
  <c r="I593" i="1" s="1"/>
  <c r="H593" i="1"/>
  <c r="F589" i="1"/>
  <c r="I589" i="1" s="1"/>
  <c r="H589" i="1"/>
  <c r="F585" i="1"/>
  <c r="I585" i="1" s="1"/>
  <c r="H585" i="1"/>
  <c r="F581" i="1"/>
  <c r="I581" i="1" s="1"/>
  <c r="H581" i="1"/>
  <c r="F577" i="1"/>
  <c r="I577" i="1" s="1"/>
  <c r="H577" i="1"/>
  <c r="F573" i="1"/>
  <c r="I573" i="1" s="1"/>
  <c r="H573" i="1"/>
  <c r="F569" i="1"/>
  <c r="I569" i="1" s="1"/>
  <c r="H569" i="1"/>
  <c r="F565" i="1"/>
  <c r="I565" i="1" s="1"/>
  <c r="H565" i="1"/>
  <c r="F561" i="1"/>
  <c r="I561" i="1" s="1"/>
  <c r="H561" i="1"/>
  <c r="F557" i="1"/>
  <c r="I557" i="1" s="1"/>
  <c r="H557" i="1"/>
  <c r="F553" i="1"/>
  <c r="I553" i="1" s="1"/>
  <c r="H553" i="1"/>
  <c r="F549" i="1"/>
  <c r="I549" i="1" s="1"/>
  <c r="H549" i="1"/>
  <c r="F545" i="1"/>
  <c r="I545" i="1" s="1"/>
  <c r="H545" i="1"/>
  <c r="F542" i="1"/>
  <c r="I542" i="1" s="1"/>
  <c r="H542" i="1"/>
  <c r="F534" i="1"/>
  <c r="I534" i="1" s="1"/>
  <c r="H534" i="1"/>
  <c r="H524" i="1"/>
  <c r="J524" i="1" s="1"/>
  <c r="H521" i="1"/>
  <c r="F521" i="1"/>
  <c r="I521" i="1" s="1"/>
  <c r="H513" i="1"/>
  <c r="F513" i="1"/>
  <c r="I513" i="1" s="1"/>
  <c r="F495" i="1"/>
  <c r="I495" i="1" s="1"/>
  <c r="H495" i="1"/>
  <c r="F493" i="1"/>
  <c r="I493" i="1" s="1"/>
  <c r="H493" i="1"/>
  <c r="F456" i="1"/>
  <c r="I456" i="1" s="1"/>
  <c r="H456" i="1"/>
  <c r="F448" i="1"/>
  <c r="I448" i="1" s="1"/>
  <c r="H448" i="1"/>
  <c r="F440" i="1"/>
  <c r="I440" i="1" s="1"/>
  <c r="H440" i="1"/>
  <c r="F432" i="1"/>
  <c r="I432" i="1" s="1"/>
  <c r="H432" i="1"/>
  <c r="H655" i="1"/>
  <c r="H654" i="1"/>
  <c r="J654" i="1" s="1"/>
  <c r="H653" i="1"/>
  <c r="H652" i="1"/>
  <c r="J652" i="1" s="1"/>
  <c r="H651" i="1"/>
  <c r="F537" i="1"/>
  <c r="I537" i="1" s="1"/>
  <c r="H537" i="1"/>
  <c r="H529" i="1"/>
  <c r="F529" i="1"/>
  <c r="I529" i="1" s="1"/>
  <c r="J516" i="1"/>
  <c r="F499" i="1"/>
  <c r="I499" i="1" s="1"/>
  <c r="H499" i="1"/>
  <c r="F497" i="1"/>
  <c r="I497" i="1" s="1"/>
  <c r="H497" i="1"/>
  <c r="F453" i="1"/>
  <c r="I453" i="1" s="1"/>
  <c r="H453" i="1"/>
  <c r="F445" i="1"/>
  <c r="I445" i="1" s="1"/>
  <c r="H445" i="1"/>
  <c r="F437" i="1"/>
  <c r="I437" i="1" s="1"/>
  <c r="H437" i="1"/>
  <c r="F429" i="1"/>
  <c r="I429" i="1" s="1"/>
  <c r="H429" i="1"/>
  <c r="F421" i="1"/>
  <c r="I421" i="1" s="1"/>
  <c r="H421" i="1"/>
  <c r="F646" i="1"/>
  <c r="I646" i="1" s="1"/>
  <c r="H646" i="1"/>
  <c r="F642" i="1"/>
  <c r="I642" i="1" s="1"/>
  <c r="H642" i="1"/>
  <c r="F638" i="1"/>
  <c r="I638" i="1" s="1"/>
  <c r="H638" i="1"/>
  <c r="F634" i="1"/>
  <c r="I634" i="1" s="1"/>
  <c r="H634" i="1"/>
  <c r="F630" i="1"/>
  <c r="I630" i="1" s="1"/>
  <c r="H630" i="1"/>
  <c r="F626" i="1"/>
  <c r="I626" i="1" s="1"/>
  <c r="H626" i="1"/>
  <c r="F622" i="1"/>
  <c r="I622" i="1" s="1"/>
  <c r="H622" i="1"/>
  <c r="F618" i="1"/>
  <c r="I618" i="1" s="1"/>
  <c r="H618" i="1"/>
  <c r="F614" i="1"/>
  <c r="I614" i="1" s="1"/>
  <c r="H614" i="1"/>
  <c r="F610" i="1"/>
  <c r="I610" i="1" s="1"/>
  <c r="H610" i="1"/>
  <c r="F606" i="1"/>
  <c r="I606" i="1" s="1"/>
  <c r="H606" i="1"/>
  <c r="F602" i="1"/>
  <c r="I602" i="1" s="1"/>
  <c r="H602" i="1"/>
  <c r="F598" i="1"/>
  <c r="I598" i="1" s="1"/>
  <c r="H598" i="1"/>
  <c r="F594" i="1"/>
  <c r="I594" i="1" s="1"/>
  <c r="H594" i="1"/>
  <c r="F590" i="1"/>
  <c r="I590" i="1" s="1"/>
  <c r="H590" i="1"/>
  <c r="F586" i="1"/>
  <c r="I586" i="1" s="1"/>
  <c r="H586" i="1"/>
  <c r="F582" i="1"/>
  <c r="I582" i="1" s="1"/>
  <c r="H582" i="1"/>
  <c r="F578" i="1"/>
  <c r="I578" i="1" s="1"/>
  <c r="H578" i="1"/>
  <c r="F574" i="1"/>
  <c r="I574" i="1" s="1"/>
  <c r="H574" i="1"/>
  <c r="F570" i="1"/>
  <c r="I570" i="1" s="1"/>
  <c r="H570" i="1"/>
  <c r="F566" i="1"/>
  <c r="I566" i="1" s="1"/>
  <c r="H566" i="1"/>
  <c r="F562" i="1"/>
  <c r="I562" i="1" s="1"/>
  <c r="H562" i="1"/>
  <c r="F558" i="1"/>
  <c r="I558" i="1" s="1"/>
  <c r="H558" i="1"/>
  <c r="F554" i="1"/>
  <c r="I554" i="1" s="1"/>
  <c r="H554" i="1"/>
  <c r="F550" i="1"/>
  <c r="I550" i="1" s="1"/>
  <c r="H550" i="1"/>
  <c r="F546" i="1"/>
  <c r="I546" i="1" s="1"/>
  <c r="H546" i="1"/>
  <c r="F540" i="1"/>
  <c r="I540" i="1" s="1"/>
  <c r="H540" i="1"/>
  <c r="F519" i="1"/>
  <c r="I519" i="1" s="1"/>
  <c r="H519" i="1"/>
  <c r="F503" i="1"/>
  <c r="I503" i="1" s="1"/>
  <c r="H503" i="1"/>
  <c r="F501" i="1"/>
  <c r="I501" i="1" s="1"/>
  <c r="H501" i="1"/>
  <c r="H488" i="1"/>
  <c r="F488" i="1"/>
  <c r="I488" i="1" s="1"/>
  <c r="F482" i="1"/>
  <c r="I482" i="1" s="1"/>
  <c r="H482" i="1"/>
  <c r="F458" i="1"/>
  <c r="I458" i="1" s="1"/>
  <c r="H458" i="1"/>
  <c r="F450" i="1"/>
  <c r="I450" i="1" s="1"/>
  <c r="H450" i="1"/>
  <c r="F442" i="1"/>
  <c r="I442" i="1" s="1"/>
  <c r="H442" i="1"/>
  <c r="F434" i="1"/>
  <c r="I434" i="1" s="1"/>
  <c r="H434" i="1"/>
  <c r="F426" i="1"/>
  <c r="I426" i="1" s="1"/>
  <c r="H426" i="1"/>
  <c r="F388" i="1"/>
  <c r="I388" i="1" s="1"/>
  <c r="H388" i="1"/>
  <c r="F543" i="1"/>
  <c r="I543" i="1" s="1"/>
  <c r="H543" i="1"/>
  <c r="F535" i="1"/>
  <c r="I535" i="1" s="1"/>
  <c r="H535" i="1"/>
  <c r="F527" i="1"/>
  <c r="I527" i="1" s="1"/>
  <c r="H527" i="1"/>
  <c r="F517" i="1"/>
  <c r="I517" i="1" s="1"/>
  <c r="H517" i="1"/>
  <c r="F511" i="1"/>
  <c r="I511" i="1" s="1"/>
  <c r="H511" i="1"/>
  <c r="F509" i="1"/>
  <c r="I509" i="1" s="1"/>
  <c r="H509" i="1"/>
  <c r="F507" i="1"/>
  <c r="I507" i="1" s="1"/>
  <c r="H507" i="1"/>
  <c r="F505" i="1"/>
  <c r="I505" i="1" s="1"/>
  <c r="H505" i="1"/>
  <c r="H492" i="1"/>
  <c r="F492" i="1"/>
  <c r="I492" i="1" s="1"/>
  <c r="F490" i="1"/>
  <c r="I490" i="1" s="1"/>
  <c r="F484" i="1"/>
  <c r="I484" i="1" s="1"/>
  <c r="H484" i="1"/>
  <c r="F480" i="1"/>
  <c r="I480" i="1" s="1"/>
  <c r="H480" i="1"/>
  <c r="F455" i="1"/>
  <c r="I455" i="1" s="1"/>
  <c r="H455" i="1"/>
  <c r="F447" i="1"/>
  <c r="I447" i="1" s="1"/>
  <c r="H447" i="1"/>
  <c r="F439" i="1"/>
  <c r="I439" i="1" s="1"/>
  <c r="H439" i="1"/>
  <c r="F431" i="1"/>
  <c r="I431" i="1" s="1"/>
  <c r="H431" i="1"/>
  <c r="F423" i="1"/>
  <c r="I423" i="1" s="1"/>
  <c r="H423" i="1"/>
  <c r="F415" i="1"/>
  <c r="I415" i="1" s="1"/>
  <c r="H415" i="1"/>
  <c r="F647" i="1"/>
  <c r="I647" i="1" s="1"/>
  <c r="H647" i="1"/>
  <c r="F643" i="1"/>
  <c r="I643" i="1" s="1"/>
  <c r="H643" i="1"/>
  <c r="F639" i="1"/>
  <c r="I639" i="1" s="1"/>
  <c r="H639" i="1"/>
  <c r="F635" i="1"/>
  <c r="I635" i="1" s="1"/>
  <c r="H635" i="1"/>
  <c r="F631" i="1"/>
  <c r="I631" i="1" s="1"/>
  <c r="H631" i="1"/>
  <c r="F627" i="1"/>
  <c r="I627" i="1" s="1"/>
  <c r="H627" i="1"/>
  <c r="F623" i="1"/>
  <c r="I623" i="1" s="1"/>
  <c r="H623" i="1"/>
  <c r="F619" i="1"/>
  <c r="I619" i="1" s="1"/>
  <c r="H619" i="1"/>
  <c r="F615" i="1"/>
  <c r="I615" i="1" s="1"/>
  <c r="H615" i="1"/>
  <c r="F611" i="1"/>
  <c r="I611" i="1" s="1"/>
  <c r="H611" i="1"/>
  <c r="F607" i="1"/>
  <c r="I607" i="1" s="1"/>
  <c r="H607" i="1"/>
  <c r="F603" i="1"/>
  <c r="I603" i="1" s="1"/>
  <c r="H603" i="1"/>
  <c r="F599" i="1"/>
  <c r="I599" i="1" s="1"/>
  <c r="H599" i="1"/>
  <c r="F595" i="1"/>
  <c r="I595" i="1" s="1"/>
  <c r="H595" i="1"/>
  <c r="F591" i="1"/>
  <c r="I591" i="1" s="1"/>
  <c r="H591" i="1"/>
  <c r="F587" i="1"/>
  <c r="I587" i="1" s="1"/>
  <c r="H587" i="1"/>
  <c r="F583" i="1"/>
  <c r="I583" i="1" s="1"/>
  <c r="H583" i="1"/>
  <c r="F579" i="1"/>
  <c r="I579" i="1" s="1"/>
  <c r="H579" i="1"/>
  <c r="F575" i="1"/>
  <c r="I575" i="1" s="1"/>
  <c r="H575" i="1"/>
  <c r="F571" i="1"/>
  <c r="I571" i="1" s="1"/>
  <c r="H571" i="1"/>
  <c r="F567" i="1"/>
  <c r="I567" i="1" s="1"/>
  <c r="H567" i="1"/>
  <c r="F563" i="1"/>
  <c r="I563" i="1" s="1"/>
  <c r="H563" i="1"/>
  <c r="F559" i="1"/>
  <c r="I559" i="1" s="1"/>
  <c r="H559" i="1"/>
  <c r="F555" i="1"/>
  <c r="I555" i="1" s="1"/>
  <c r="H555" i="1"/>
  <c r="F551" i="1"/>
  <c r="I551" i="1" s="1"/>
  <c r="H551" i="1"/>
  <c r="F547" i="1"/>
  <c r="I547" i="1" s="1"/>
  <c r="H547" i="1"/>
  <c r="F538" i="1"/>
  <c r="I538" i="1" s="1"/>
  <c r="H538" i="1"/>
  <c r="F525" i="1"/>
  <c r="I525" i="1" s="1"/>
  <c r="H525" i="1"/>
  <c r="I514" i="1"/>
  <c r="J514" i="1" s="1"/>
  <c r="H496" i="1"/>
  <c r="F496" i="1"/>
  <c r="I496" i="1" s="1"/>
  <c r="F494" i="1"/>
  <c r="I494" i="1" s="1"/>
  <c r="F476" i="1"/>
  <c r="I476" i="1" s="1"/>
  <c r="H476" i="1"/>
  <c r="F472" i="1"/>
  <c r="I472" i="1" s="1"/>
  <c r="H472" i="1"/>
  <c r="F468" i="1"/>
  <c r="I468" i="1" s="1"/>
  <c r="H468" i="1"/>
  <c r="F464" i="1"/>
  <c r="I464" i="1" s="1"/>
  <c r="H464" i="1"/>
  <c r="F460" i="1"/>
  <c r="I460" i="1" s="1"/>
  <c r="H460" i="1"/>
  <c r="F452" i="1"/>
  <c r="I452" i="1" s="1"/>
  <c r="H452" i="1"/>
  <c r="F444" i="1"/>
  <c r="I444" i="1" s="1"/>
  <c r="H444" i="1"/>
  <c r="F436" i="1"/>
  <c r="I436" i="1" s="1"/>
  <c r="H436" i="1"/>
  <c r="F428" i="1"/>
  <c r="I428" i="1" s="1"/>
  <c r="H428" i="1"/>
  <c r="I485" i="1"/>
  <c r="J485" i="1" s="1"/>
  <c r="I477" i="1"/>
  <c r="J477" i="1" s="1"/>
  <c r="I469" i="1"/>
  <c r="J469" i="1" s="1"/>
  <c r="I461" i="1"/>
  <c r="J461" i="1" s="1"/>
  <c r="H378" i="1"/>
  <c r="F378" i="1"/>
  <c r="I378" i="1" s="1"/>
  <c r="J378" i="1" s="1"/>
  <c r="F327" i="1"/>
  <c r="I327" i="1" s="1"/>
  <c r="H327" i="1"/>
  <c r="F319" i="1"/>
  <c r="I319" i="1" s="1"/>
  <c r="H319" i="1"/>
  <c r="F311" i="1"/>
  <c r="I311" i="1" s="1"/>
  <c r="H311" i="1"/>
  <c r="F303" i="1"/>
  <c r="I303" i="1" s="1"/>
  <c r="H303" i="1"/>
  <c r="F295" i="1"/>
  <c r="I295" i="1" s="1"/>
  <c r="H295" i="1"/>
  <c r="H506" i="1"/>
  <c r="H502" i="1"/>
  <c r="H498" i="1"/>
  <c r="H494" i="1"/>
  <c r="H490" i="1"/>
  <c r="H486" i="1"/>
  <c r="F483" i="1"/>
  <c r="I483" i="1" s="1"/>
  <c r="J483" i="1" s="1"/>
  <c r="H478" i="1"/>
  <c r="J478" i="1" s="1"/>
  <c r="F475" i="1"/>
  <c r="I475" i="1" s="1"/>
  <c r="J475" i="1" s="1"/>
  <c r="H470" i="1"/>
  <c r="J470" i="1" s="1"/>
  <c r="F467" i="1"/>
  <c r="I467" i="1" s="1"/>
  <c r="J467" i="1" s="1"/>
  <c r="H462" i="1"/>
  <c r="J399" i="1"/>
  <c r="F384" i="1"/>
  <c r="I384" i="1" s="1"/>
  <c r="H384" i="1"/>
  <c r="H382" i="1"/>
  <c r="F382" i="1"/>
  <c r="I382" i="1" s="1"/>
  <c r="F371" i="1"/>
  <c r="I371" i="1" s="1"/>
  <c r="H371" i="1"/>
  <c r="H364" i="1"/>
  <c r="F364" i="1"/>
  <c r="I364" i="1" s="1"/>
  <c r="F356" i="1"/>
  <c r="I356" i="1" s="1"/>
  <c r="J356" i="1" s="1"/>
  <c r="J394" i="1"/>
  <c r="F375" i="1"/>
  <c r="I375" i="1" s="1"/>
  <c r="H375" i="1"/>
  <c r="F481" i="1"/>
  <c r="I481" i="1" s="1"/>
  <c r="J481" i="1" s="1"/>
  <c r="F473" i="1"/>
  <c r="I473" i="1" s="1"/>
  <c r="J473" i="1" s="1"/>
  <c r="F465" i="1"/>
  <c r="I465" i="1" s="1"/>
  <c r="J465" i="1" s="1"/>
  <c r="H424" i="1"/>
  <c r="H422" i="1"/>
  <c r="H420" i="1"/>
  <c r="J420" i="1" s="1"/>
  <c r="H418" i="1"/>
  <c r="J418" i="1" s="1"/>
  <c r="H416" i="1"/>
  <c r="J416" i="1" s="1"/>
  <c r="H414" i="1"/>
  <c r="J414" i="1" s="1"/>
  <c r="F392" i="1"/>
  <c r="I392" i="1" s="1"/>
  <c r="H392" i="1"/>
  <c r="H373" i="1"/>
  <c r="F373" i="1"/>
  <c r="I373" i="1" s="1"/>
  <c r="H368" i="1"/>
  <c r="F368" i="1"/>
  <c r="I368" i="1" s="1"/>
  <c r="H357" i="1"/>
  <c r="F357" i="1"/>
  <c r="I357" i="1" s="1"/>
  <c r="H390" i="1"/>
  <c r="F390" i="1"/>
  <c r="I390" i="1" s="1"/>
  <c r="F379" i="1"/>
  <c r="I379" i="1" s="1"/>
  <c r="H379" i="1"/>
  <c r="H348" i="1"/>
  <c r="F348" i="1"/>
  <c r="I348" i="1" s="1"/>
  <c r="F239" i="1"/>
  <c r="I239" i="1" s="1"/>
  <c r="H239" i="1"/>
  <c r="F479" i="1"/>
  <c r="I479" i="1" s="1"/>
  <c r="J479" i="1" s="1"/>
  <c r="H474" i="1"/>
  <c r="J474" i="1" s="1"/>
  <c r="F471" i="1"/>
  <c r="I471" i="1" s="1"/>
  <c r="J471" i="1" s="1"/>
  <c r="H466" i="1"/>
  <c r="J466" i="1" s="1"/>
  <c r="F463" i="1"/>
  <c r="I463" i="1" s="1"/>
  <c r="J463" i="1" s="1"/>
  <c r="J395" i="1"/>
  <c r="J385" i="1"/>
  <c r="F383" i="1"/>
  <c r="I383" i="1" s="1"/>
  <c r="J383" i="1" s="1"/>
  <c r="F389" i="1"/>
  <c r="I389" i="1" s="1"/>
  <c r="H389" i="1"/>
  <c r="F372" i="1"/>
  <c r="I372" i="1" s="1"/>
  <c r="H372" i="1"/>
  <c r="F343" i="1"/>
  <c r="H366" i="1"/>
  <c r="F366" i="1"/>
  <c r="I366" i="1" s="1"/>
  <c r="H359" i="1"/>
  <c r="F359" i="1"/>
  <c r="I359" i="1" s="1"/>
  <c r="H350" i="1"/>
  <c r="F350" i="1"/>
  <c r="I350" i="1" s="1"/>
  <c r="F341" i="1"/>
  <c r="I341" i="1" s="1"/>
  <c r="J341" i="1" s="1"/>
  <c r="F330" i="1"/>
  <c r="I330" i="1" s="1"/>
  <c r="H330" i="1"/>
  <c r="F322" i="1"/>
  <c r="I322" i="1" s="1"/>
  <c r="H322" i="1"/>
  <c r="F247" i="1"/>
  <c r="I247" i="1" s="1"/>
  <c r="H247" i="1"/>
  <c r="H362" i="1"/>
  <c r="F362" i="1"/>
  <c r="I362" i="1" s="1"/>
  <c r="H355" i="1"/>
  <c r="F355" i="1"/>
  <c r="I355" i="1" s="1"/>
  <c r="H346" i="1"/>
  <c r="F346" i="1"/>
  <c r="I346" i="1" s="1"/>
  <c r="H344" i="1"/>
  <c r="F344" i="1"/>
  <c r="I344" i="1" s="1"/>
  <c r="F332" i="1"/>
  <c r="I332" i="1" s="1"/>
  <c r="H332" i="1"/>
  <c r="F324" i="1"/>
  <c r="I324" i="1" s="1"/>
  <c r="H324" i="1"/>
  <c r="F231" i="1"/>
  <c r="I231" i="1" s="1"/>
  <c r="H231" i="1"/>
  <c r="H353" i="1"/>
  <c r="F353" i="1"/>
  <c r="I353" i="1" s="1"/>
  <c r="F342" i="1"/>
  <c r="I342" i="1" s="1"/>
  <c r="J342" i="1" s="1"/>
  <c r="F329" i="1"/>
  <c r="I329" i="1" s="1"/>
  <c r="H329" i="1"/>
  <c r="F321" i="1"/>
  <c r="I321" i="1" s="1"/>
  <c r="H321" i="1"/>
  <c r="F313" i="1"/>
  <c r="I313" i="1" s="1"/>
  <c r="H313" i="1"/>
  <c r="F305" i="1"/>
  <c r="I305" i="1" s="1"/>
  <c r="H305" i="1"/>
  <c r="F297" i="1"/>
  <c r="I297" i="1" s="1"/>
  <c r="H297" i="1"/>
  <c r="F370" i="1"/>
  <c r="I370" i="1" s="1"/>
  <c r="J370" i="1" s="1"/>
  <c r="F360" i="1"/>
  <c r="I360" i="1" s="1"/>
  <c r="J360" i="1" s="1"/>
  <c r="H358" i="1"/>
  <c r="F358" i="1"/>
  <c r="I358" i="1" s="1"/>
  <c r="H351" i="1"/>
  <c r="F351" i="1"/>
  <c r="I351" i="1" s="1"/>
  <c r="H340" i="1"/>
  <c r="F340" i="1"/>
  <c r="I340" i="1" s="1"/>
  <c r="H338" i="1"/>
  <c r="F338" i="1"/>
  <c r="I338" i="1" s="1"/>
  <c r="H336" i="1"/>
  <c r="F336" i="1"/>
  <c r="I336" i="1" s="1"/>
  <c r="F334" i="1"/>
  <c r="I334" i="1" s="1"/>
  <c r="H334" i="1"/>
  <c r="F326" i="1"/>
  <c r="I326" i="1" s="1"/>
  <c r="H326" i="1"/>
  <c r="F318" i="1"/>
  <c r="I318" i="1" s="1"/>
  <c r="H318" i="1"/>
  <c r="F215" i="1"/>
  <c r="I215" i="1" s="1"/>
  <c r="H215" i="1"/>
  <c r="H365" i="1"/>
  <c r="F365" i="1"/>
  <c r="I365" i="1" s="1"/>
  <c r="H349" i="1"/>
  <c r="F349" i="1"/>
  <c r="I349" i="1" s="1"/>
  <c r="F331" i="1"/>
  <c r="I331" i="1" s="1"/>
  <c r="H331" i="1"/>
  <c r="F323" i="1"/>
  <c r="I323" i="1" s="1"/>
  <c r="H323" i="1"/>
  <c r="F315" i="1"/>
  <c r="I315" i="1" s="1"/>
  <c r="H315" i="1"/>
  <c r="F307" i="1"/>
  <c r="I307" i="1" s="1"/>
  <c r="H307" i="1"/>
  <c r="F299" i="1"/>
  <c r="I299" i="1" s="1"/>
  <c r="H299" i="1"/>
  <c r="H363" i="1"/>
  <c r="F363" i="1"/>
  <c r="I363" i="1" s="1"/>
  <c r="H354" i="1"/>
  <c r="F354" i="1"/>
  <c r="I354" i="1" s="1"/>
  <c r="H347" i="1"/>
  <c r="F347" i="1"/>
  <c r="I347" i="1" s="1"/>
  <c r="F328" i="1"/>
  <c r="I328" i="1" s="1"/>
  <c r="H328" i="1"/>
  <c r="F320" i="1"/>
  <c r="I320" i="1" s="1"/>
  <c r="H320" i="1"/>
  <c r="F263" i="1"/>
  <c r="I263" i="1" s="1"/>
  <c r="H263" i="1"/>
  <c r="H361" i="1"/>
  <c r="F361" i="1"/>
  <c r="I361" i="1" s="1"/>
  <c r="F345" i="1"/>
  <c r="I345" i="1" s="1"/>
  <c r="J345" i="1" s="1"/>
  <c r="F333" i="1"/>
  <c r="I333" i="1" s="1"/>
  <c r="H333" i="1"/>
  <c r="F325" i="1"/>
  <c r="I325" i="1" s="1"/>
  <c r="H325" i="1"/>
  <c r="F317" i="1"/>
  <c r="I317" i="1" s="1"/>
  <c r="H317" i="1"/>
  <c r="F309" i="1"/>
  <c r="I309" i="1" s="1"/>
  <c r="H309" i="1"/>
  <c r="F301" i="1"/>
  <c r="I301" i="1" s="1"/>
  <c r="H301" i="1"/>
  <c r="F255" i="1"/>
  <c r="I255" i="1" s="1"/>
  <c r="H255" i="1"/>
  <c r="F316" i="1"/>
  <c r="I316" i="1" s="1"/>
  <c r="H316" i="1"/>
  <c r="F314" i="1"/>
  <c r="I314" i="1" s="1"/>
  <c r="H314" i="1"/>
  <c r="F312" i="1"/>
  <c r="I312" i="1" s="1"/>
  <c r="H312" i="1"/>
  <c r="F310" i="1"/>
  <c r="I310" i="1" s="1"/>
  <c r="H310" i="1"/>
  <c r="F308" i="1"/>
  <c r="I308" i="1" s="1"/>
  <c r="H308" i="1"/>
  <c r="F306" i="1"/>
  <c r="I306" i="1" s="1"/>
  <c r="H306" i="1"/>
  <c r="F304" i="1"/>
  <c r="I304" i="1" s="1"/>
  <c r="H304" i="1"/>
  <c r="F302" i="1"/>
  <c r="I302" i="1" s="1"/>
  <c r="H302" i="1"/>
  <c r="F300" i="1"/>
  <c r="I300" i="1" s="1"/>
  <c r="H300" i="1"/>
  <c r="F298" i="1"/>
  <c r="I298" i="1" s="1"/>
  <c r="H298" i="1"/>
  <c r="F296" i="1"/>
  <c r="I296" i="1" s="1"/>
  <c r="H296" i="1"/>
  <c r="F294" i="1"/>
  <c r="I294" i="1" s="1"/>
  <c r="F292" i="1"/>
  <c r="I292" i="1" s="1"/>
  <c r="F290" i="1"/>
  <c r="I290" i="1" s="1"/>
  <c r="F288" i="1"/>
  <c r="I288" i="1" s="1"/>
  <c r="F286" i="1"/>
  <c r="I286" i="1" s="1"/>
  <c r="F284" i="1"/>
  <c r="I284" i="1" s="1"/>
  <c r="F282" i="1"/>
  <c r="I282" i="1" s="1"/>
  <c r="F266" i="1"/>
  <c r="I266" i="1" s="1"/>
  <c r="H266" i="1"/>
  <c r="F258" i="1"/>
  <c r="I258" i="1" s="1"/>
  <c r="H258" i="1"/>
  <c r="F250" i="1"/>
  <c r="I250" i="1" s="1"/>
  <c r="H250" i="1"/>
  <c r="F242" i="1"/>
  <c r="I242" i="1" s="1"/>
  <c r="H242" i="1"/>
  <c r="F234" i="1"/>
  <c r="I234" i="1" s="1"/>
  <c r="H234" i="1"/>
  <c r="F226" i="1"/>
  <c r="I226" i="1" s="1"/>
  <c r="H226" i="1"/>
  <c r="H224" i="1"/>
  <c r="J224" i="1" s="1"/>
  <c r="F220" i="1"/>
  <c r="I220" i="1" s="1"/>
  <c r="H220" i="1"/>
  <c r="F280" i="1"/>
  <c r="I280" i="1" s="1"/>
  <c r="J280" i="1" s="1"/>
  <c r="F278" i="1"/>
  <c r="F276" i="1"/>
  <c r="F274" i="1"/>
  <c r="F272" i="1"/>
  <c r="I272" i="1" s="1"/>
  <c r="J272" i="1" s="1"/>
  <c r="F270" i="1"/>
  <c r="F268" i="1"/>
  <c r="F260" i="1"/>
  <c r="I260" i="1" s="1"/>
  <c r="H260" i="1"/>
  <c r="F252" i="1"/>
  <c r="I252" i="1" s="1"/>
  <c r="H252" i="1"/>
  <c r="F244" i="1"/>
  <c r="I244" i="1" s="1"/>
  <c r="H244" i="1"/>
  <c r="F236" i="1"/>
  <c r="I236" i="1" s="1"/>
  <c r="H236" i="1"/>
  <c r="F228" i="1"/>
  <c r="I228" i="1" s="1"/>
  <c r="J228" i="1" s="1"/>
  <c r="H228" i="1"/>
  <c r="F212" i="1"/>
  <c r="I212" i="1" s="1"/>
  <c r="J212" i="1" s="1"/>
  <c r="H212" i="1"/>
  <c r="H149" i="1"/>
  <c r="F149" i="1"/>
  <c r="I149" i="1" s="1"/>
  <c r="F265" i="1"/>
  <c r="I265" i="1" s="1"/>
  <c r="J265" i="1" s="1"/>
  <c r="H265" i="1"/>
  <c r="F257" i="1"/>
  <c r="I257" i="1" s="1"/>
  <c r="H257" i="1"/>
  <c r="F249" i="1"/>
  <c r="I249" i="1" s="1"/>
  <c r="J249" i="1" s="1"/>
  <c r="H249" i="1"/>
  <c r="F241" i="1"/>
  <c r="I241" i="1" s="1"/>
  <c r="H241" i="1"/>
  <c r="F233" i="1"/>
  <c r="I233" i="1" s="1"/>
  <c r="J233" i="1" s="1"/>
  <c r="H233" i="1"/>
  <c r="F203" i="1"/>
  <c r="I203" i="1" s="1"/>
  <c r="H203" i="1"/>
  <c r="F262" i="1"/>
  <c r="I262" i="1" s="1"/>
  <c r="J262" i="1" s="1"/>
  <c r="H262" i="1"/>
  <c r="F254" i="1"/>
  <c r="I254" i="1" s="1"/>
  <c r="H254" i="1"/>
  <c r="F246" i="1"/>
  <c r="I246" i="1" s="1"/>
  <c r="J246" i="1" s="1"/>
  <c r="H246" i="1"/>
  <c r="F238" i="1"/>
  <c r="I238" i="1" s="1"/>
  <c r="H238" i="1"/>
  <c r="F230" i="1"/>
  <c r="I230" i="1" s="1"/>
  <c r="J230" i="1" s="1"/>
  <c r="H230" i="1"/>
  <c r="F223" i="1"/>
  <c r="I223" i="1" s="1"/>
  <c r="H223" i="1"/>
  <c r="H214" i="1"/>
  <c r="F214" i="1"/>
  <c r="I214" i="1" s="1"/>
  <c r="F211" i="1"/>
  <c r="I211" i="1" s="1"/>
  <c r="H211" i="1"/>
  <c r="F207" i="1"/>
  <c r="I207" i="1" s="1"/>
  <c r="H207" i="1"/>
  <c r="H139" i="1"/>
  <c r="F139" i="1"/>
  <c r="I139" i="1" s="1"/>
  <c r="F259" i="1"/>
  <c r="I259" i="1" s="1"/>
  <c r="H259" i="1"/>
  <c r="F251" i="1"/>
  <c r="I251" i="1" s="1"/>
  <c r="H251" i="1"/>
  <c r="F243" i="1"/>
  <c r="I243" i="1" s="1"/>
  <c r="H243" i="1"/>
  <c r="F235" i="1"/>
  <c r="I235" i="1" s="1"/>
  <c r="H235" i="1"/>
  <c r="F227" i="1"/>
  <c r="I227" i="1" s="1"/>
  <c r="H227" i="1"/>
  <c r="H221" i="1"/>
  <c r="F221" i="1"/>
  <c r="I221" i="1" s="1"/>
  <c r="F218" i="1"/>
  <c r="I218" i="1" s="1"/>
  <c r="H218" i="1"/>
  <c r="F279" i="1"/>
  <c r="F277" i="1"/>
  <c r="I277" i="1" s="1"/>
  <c r="J277" i="1" s="1"/>
  <c r="F275" i="1"/>
  <c r="F273" i="1"/>
  <c r="F271" i="1"/>
  <c r="F269" i="1"/>
  <c r="I269" i="1" s="1"/>
  <c r="J269" i="1" s="1"/>
  <c r="F267" i="1"/>
  <c r="F264" i="1"/>
  <c r="I264" i="1" s="1"/>
  <c r="H264" i="1"/>
  <c r="F256" i="1"/>
  <c r="I256" i="1" s="1"/>
  <c r="H256" i="1"/>
  <c r="F248" i="1"/>
  <c r="I248" i="1" s="1"/>
  <c r="H248" i="1"/>
  <c r="F240" i="1"/>
  <c r="I240" i="1" s="1"/>
  <c r="H240" i="1"/>
  <c r="F232" i="1"/>
  <c r="I232" i="1" s="1"/>
  <c r="H232" i="1"/>
  <c r="F261" i="1"/>
  <c r="I261" i="1" s="1"/>
  <c r="H261" i="1"/>
  <c r="F253" i="1"/>
  <c r="I253" i="1" s="1"/>
  <c r="H253" i="1"/>
  <c r="F245" i="1"/>
  <c r="I245" i="1" s="1"/>
  <c r="H245" i="1"/>
  <c r="F237" i="1"/>
  <c r="I237" i="1" s="1"/>
  <c r="H237" i="1"/>
  <c r="F229" i="1"/>
  <c r="I229" i="1" s="1"/>
  <c r="H229" i="1"/>
  <c r="F202" i="1"/>
  <c r="I202" i="1" s="1"/>
  <c r="J202" i="1" s="1"/>
  <c r="H171" i="1"/>
  <c r="F171" i="1"/>
  <c r="I171" i="1" s="1"/>
  <c r="H161" i="1"/>
  <c r="F161" i="1"/>
  <c r="I161" i="1" s="1"/>
  <c r="H204" i="1"/>
  <c r="J204" i="1" s="1"/>
  <c r="H169" i="1"/>
  <c r="F169" i="1"/>
  <c r="I169" i="1" s="1"/>
  <c r="I151" i="1"/>
  <c r="J151" i="1" s="1"/>
  <c r="H147" i="1"/>
  <c r="F147" i="1"/>
  <c r="I147" i="1" s="1"/>
  <c r="J147" i="1" s="1"/>
  <c r="H100" i="1"/>
  <c r="F100" i="1"/>
  <c r="I100" i="1" s="1"/>
  <c r="H294" i="1"/>
  <c r="H293" i="1"/>
  <c r="J293" i="1" s="1"/>
  <c r="H292" i="1"/>
  <c r="H291" i="1"/>
  <c r="J291" i="1" s="1"/>
  <c r="H290" i="1"/>
  <c r="H289" i="1"/>
  <c r="J289" i="1" s="1"/>
  <c r="H288" i="1"/>
  <c r="H287" i="1"/>
  <c r="J287" i="1" s="1"/>
  <c r="H286" i="1"/>
  <c r="H285" i="1"/>
  <c r="H284" i="1"/>
  <c r="H283" i="1"/>
  <c r="J283" i="1" s="1"/>
  <c r="H282" i="1"/>
  <c r="H281" i="1"/>
  <c r="J281" i="1" s="1"/>
  <c r="F198" i="1"/>
  <c r="I198" i="1" s="1"/>
  <c r="H198" i="1"/>
  <c r="F196" i="1"/>
  <c r="I196" i="1" s="1"/>
  <c r="H196" i="1"/>
  <c r="F194" i="1"/>
  <c r="I194" i="1" s="1"/>
  <c r="H194" i="1"/>
  <c r="F192" i="1"/>
  <c r="I192" i="1" s="1"/>
  <c r="H192" i="1"/>
  <c r="F190" i="1"/>
  <c r="I190" i="1" s="1"/>
  <c r="H190" i="1"/>
  <c r="F188" i="1"/>
  <c r="I188" i="1" s="1"/>
  <c r="H188" i="1"/>
  <c r="F186" i="1"/>
  <c r="I186" i="1" s="1"/>
  <c r="H186" i="1"/>
  <c r="F184" i="1"/>
  <c r="I184" i="1" s="1"/>
  <c r="H184" i="1"/>
  <c r="F182" i="1"/>
  <c r="I182" i="1" s="1"/>
  <c r="H182" i="1"/>
  <c r="F180" i="1"/>
  <c r="I180" i="1" s="1"/>
  <c r="H180" i="1"/>
  <c r="F178" i="1"/>
  <c r="I178" i="1" s="1"/>
  <c r="H178" i="1"/>
  <c r="F176" i="1"/>
  <c r="I176" i="1" s="1"/>
  <c r="H176" i="1"/>
  <c r="F174" i="1"/>
  <c r="I174" i="1" s="1"/>
  <c r="H174" i="1"/>
  <c r="H157" i="1"/>
  <c r="F157" i="1"/>
  <c r="I157" i="1" s="1"/>
  <c r="J157" i="1" s="1"/>
  <c r="H137" i="1"/>
  <c r="F137" i="1"/>
  <c r="I137" i="1" s="1"/>
  <c r="H219" i="1"/>
  <c r="J219" i="1" s="1"/>
  <c r="H213" i="1"/>
  <c r="H209" i="1"/>
  <c r="J209" i="1" s="1"/>
  <c r="H205" i="1"/>
  <c r="J205" i="1" s="1"/>
  <c r="H201" i="1"/>
  <c r="J201" i="1" s="1"/>
  <c r="I159" i="1"/>
  <c r="J159" i="1" s="1"/>
  <c r="H155" i="1"/>
  <c r="F155" i="1"/>
  <c r="I155" i="1" s="1"/>
  <c r="H145" i="1"/>
  <c r="F145" i="1"/>
  <c r="I145" i="1" s="1"/>
  <c r="J210" i="1"/>
  <c r="J206" i="1"/>
  <c r="H165" i="1"/>
  <c r="F165" i="1"/>
  <c r="I165" i="1" s="1"/>
  <c r="J165" i="1" s="1"/>
  <c r="H108" i="1"/>
  <c r="F108" i="1"/>
  <c r="I108" i="1" s="1"/>
  <c r="H163" i="1"/>
  <c r="F163" i="1"/>
  <c r="I163" i="1" s="1"/>
  <c r="H153" i="1"/>
  <c r="F153" i="1"/>
  <c r="I153" i="1" s="1"/>
  <c r="I143" i="1"/>
  <c r="J143" i="1" s="1"/>
  <c r="F199" i="1"/>
  <c r="I199" i="1" s="1"/>
  <c r="J199" i="1" s="1"/>
  <c r="F197" i="1"/>
  <c r="I197" i="1" s="1"/>
  <c r="J197" i="1" s="1"/>
  <c r="H197" i="1"/>
  <c r="F195" i="1"/>
  <c r="I195" i="1" s="1"/>
  <c r="H195" i="1"/>
  <c r="F193" i="1"/>
  <c r="I193" i="1" s="1"/>
  <c r="H193" i="1"/>
  <c r="F191" i="1"/>
  <c r="I191" i="1" s="1"/>
  <c r="H191" i="1"/>
  <c r="F189" i="1"/>
  <c r="I189" i="1" s="1"/>
  <c r="J189" i="1" s="1"/>
  <c r="H189" i="1"/>
  <c r="F187" i="1"/>
  <c r="I187" i="1" s="1"/>
  <c r="H187" i="1"/>
  <c r="F185" i="1"/>
  <c r="I185" i="1" s="1"/>
  <c r="H185" i="1"/>
  <c r="F183" i="1"/>
  <c r="I183" i="1" s="1"/>
  <c r="J183" i="1" s="1"/>
  <c r="H183" i="1"/>
  <c r="F181" i="1"/>
  <c r="I181" i="1" s="1"/>
  <c r="J181" i="1" s="1"/>
  <c r="H181" i="1"/>
  <c r="F179" i="1"/>
  <c r="I179" i="1" s="1"/>
  <c r="H179" i="1"/>
  <c r="F177" i="1"/>
  <c r="I177" i="1" s="1"/>
  <c r="H177" i="1"/>
  <c r="F175" i="1"/>
  <c r="I175" i="1" s="1"/>
  <c r="J175" i="1" s="1"/>
  <c r="H175" i="1"/>
  <c r="F173" i="1"/>
  <c r="I173" i="1" s="1"/>
  <c r="J173" i="1" s="1"/>
  <c r="H173" i="1"/>
  <c r="I168" i="1"/>
  <c r="J168" i="1" s="1"/>
  <c r="H141" i="1"/>
  <c r="F141" i="1"/>
  <c r="I141" i="1" s="1"/>
  <c r="I135" i="1"/>
  <c r="J135" i="1" s="1"/>
  <c r="I127" i="1"/>
  <c r="J127" i="1" s="1"/>
  <c r="I119" i="1"/>
  <c r="J119" i="1" s="1"/>
  <c r="H92" i="1"/>
  <c r="F92" i="1"/>
  <c r="I92" i="1" s="1"/>
  <c r="H113" i="1"/>
  <c r="F113" i="1"/>
  <c r="I113" i="1" s="1"/>
  <c r="H105" i="1"/>
  <c r="F105" i="1"/>
  <c r="I105" i="1" s="1"/>
  <c r="H97" i="1"/>
  <c r="F97" i="1"/>
  <c r="I97" i="1" s="1"/>
  <c r="H89" i="1"/>
  <c r="F89" i="1"/>
  <c r="I89" i="1" s="1"/>
  <c r="F82" i="1"/>
  <c r="I82" i="1" s="1"/>
  <c r="H82" i="1"/>
  <c r="F74" i="1"/>
  <c r="I74" i="1" s="1"/>
  <c r="H74" i="1"/>
  <c r="F66" i="1"/>
  <c r="I66" i="1" s="1"/>
  <c r="J66" i="1" s="1"/>
  <c r="H66" i="1"/>
  <c r="F58" i="1"/>
  <c r="I58" i="1" s="1"/>
  <c r="J58" i="1" s="1"/>
  <c r="H58" i="1"/>
  <c r="F50" i="1"/>
  <c r="I50" i="1" s="1"/>
  <c r="H50" i="1"/>
  <c r="F42" i="1"/>
  <c r="I42" i="1" s="1"/>
  <c r="H42" i="1"/>
  <c r="F34" i="1"/>
  <c r="I34" i="1" s="1"/>
  <c r="J34" i="1" s="1"/>
  <c r="H34" i="1"/>
  <c r="H111" i="1"/>
  <c r="F111" i="1"/>
  <c r="I111" i="1" s="1"/>
  <c r="H103" i="1"/>
  <c r="F103" i="1"/>
  <c r="I103" i="1" s="1"/>
  <c r="H95" i="1"/>
  <c r="F95" i="1"/>
  <c r="I95" i="1" s="1"/>
  <c r="F84" i="1"/>
  <c r="I84" i="1" s="1"/>
  <c r="H84" i="1"/>
  <c r="F76" i="1"/>
  <c r="I76" i="1" s="1"/>
  <c r="H76" i="1"/>
  <c r="F68" i="1"/>
  <c r="I68" i="1" s="1"/>
  <c r="H68" i="1"/>
  <c r="F60" i="1"/>
  <c r="I60" i="1" s="1"/>
  <c r="H60" i="1"/>
  <c r="F52" i="1"/>
  <c r="I52" i="1" s="1"/>
  <c r="H52" i="1"/>
  <c r="F44" i="1"/>
  <c r="I44" i="1" s="1"/>
  <c r="H44" i="1"/>
  <c r="F36" i="1"/>
  <c r="I36" i="1" s="1"/>
  <c r="H36" i="1"/>
  <c r="F166" i="1"/>
  <c r="I166" i="1" s="1"/>
  <c r="J166" i="1" s="1"/>
  <c r="F158" i="1"/>
  <c r="I158" i="1" s="1"/>
  <c r="J158" i="1" s="1"/>
  <c r="F150" i="1"/>
  <c r="I150" i="1" s="1"/>
  <c r="J150" i="1" s="1"/>
  <c r="F142" i="1"/>
  <c r="I142" i="1" s="1"/>
  <c r="J142" i="1" s="1"/>
  <c r="F134" i="1"/>
  <c r="I134" i="1" s="1"/>
  <c r="J134" i="1" s="1"/>
  <c r="F130" i="1"/>
  <c r="I130" i="1" s="1"/>
  <c r="J130" i="1" s="1"/>
  <c r="F126" i="1"/>
  <c r="I126" i="1" s="1"/>
  <c r="J126" i="1" s="1"/>
  <c r="F122" i="1"/>
  <c r="I122" i="1" s="1"/>
  <c r="J122" i="1" s="1"/>
  <c r="F118" i="1"/>
  <c r="I118" i="1" s="1"/>
  <c r="J118" i="1" s="1"/>
  <c r="F114" i="1"/>
  <c r="I114" i="1" s="1"/>
  <c r="J114" i="1" s="1"/>
  <c r="H106" i="1"/>
  <c r="F106" i="1"/>
  <c r="I106" i="1" s="1"/>
  <c r="H98" i="1"/>
  <c r="F98" i="1"/>
  <c r="I98" i="1" s="1"/>
  <c r="H90" i="1"/>
  <c r="F90" i="1"/>
  <c r="I90" i="1" s="1"/>
  <c r="F81" i="1"/>
  <c r="I81" i="1" s="1"/>
  <c r="H81" i="1"/>
  <c r="F73" i="1"/>
  <c r="I73" i="1" s="1"/>
  <c r="H73" i="1"/>
  <c r="F65" i="1"/>
  <c r="I65" i="1" s="1"/>
  <c r="H65" i="1"/>
  <c r="F57" i="1"/>
  <c r="I57" i="1" s="1"/>
  <c r="H57" i="1"/>
  <c r="F49" i="1"/>
  <c r="I49" i="1" s="1"/>
  <c r="H49" i="1"/>
  <c r="F41" i="1"/>
  <c r="I41" i="1" s="1"/>
  <c r="H41" i="1"/>
  <c r="F33" i="1"/>
  <c r="I33" i="1" s="1"/>
  <c r="F25" i="1"/>
  <c r="I25" i="1" s="1"/>
  <c r="I17" i="1"/>
  <c r="I9" i="1"/>
  <c r="H109" i="1"/>
  <c r="F109" i="1"/>
  <c r="I109" i="1" s="1"/>
  <c r="H101" i="1"/>
  <c r="F101" i="1"/>
  <c r="I101" i="1" s="1"/>
  <c r="H93" i="1"/>
  <c r="F93" i="1"/>
  <c r="I93" i="1" s="1"/>
  <c r="F86" i="1"/>
  <c r="I86" i="1" s="1"/>
  <c r="H86" i="1"/>
  <c r="F78" i="1"/>
  <c r="I78" i="1" s="1"/>
  <c r="H78" i="1"/>
  <c r="F70" i="1"/>
  <c r="I70" i="1" s="1"/>
  <c r="H70" i="1"/>
  <c r="F62" i="1"/>
  <c r="I62" i="1" s="1"/>
  <c r="H62" i="1"/>
  <c r="F54" i="1"/>
  <c r="I54" i="1" s="1"/>
  <c r="H54" i="1"/>
  <c r="F46" i="1"/>
  <c r="I46" i="1" s="1"/>
  <c r="H46" i="1"/>
  <c r="F38" i="1"/>
  <c r="I38" i="1" s="1"/>
  <c r="H38" i="1"/>
  <c r="H112" i="1"/>
  <c r="F112" i="1"/>
  <c r="I112" i="1" s="1"/>
  <c r="H104" i="1"/>
  <c r="F104" i="1"/>
  <c r="I104" i="1" s="1"/>
  <c r="H96" i="1"/>
  <c r="F96" i="1"/>
  <c r="I96" i="1" s="1"/>
  <c r="H88" i="1"/>
  <c r="F88" i="1"/>
  <c r="I88" i="1" s="1"/>
  <c r="F83" i="1"/>
  <c r="I83" i="1" s="1"/>
  <c r="H83" i="1"/>
  <c r="F75" i="1"/>
  <c r="I75" i="1" s="1"/>
  <c r="H75" i="1"/>
  <c r="F67" i="1"/>
  <c r="I67" i="1" s="1"/>
  <c r="H67" i="1"/>
  <c r="F59" i="1"/>
  <c r="I59" i="1" s="1"/>
  <c r="H59" i="1"/>
  <c r="F51" i="1"/>
  <c r="I51" i="1" s="1"/>
  <c r="H51" i="1"/>
  <c r="F43" i="1"/>
  <c r="I43" i="1" s="1"/>
  <c r="H43" i="1"/>
  <c r="F35" i="1"/>
  <c r="I35" i="1" s="1"/>
  <c r="H35" i="1"/>
  <c r="H107" i="1"/>
  <c r="F107" i="1"/>
  <c r="I107" i="1" s="1"/>
  <c r="J107" i="1" s="1"/>
  <c r="H99" i="1"/>
  <c r="F99" i="1"/>
  <c r="I99" i="1" s="1"/>
  <c r="J99" i="1" s="1"/>
  <c r="H91" i="1"/>
  <c r="F91" i="1"/>
  <c r="I91" i="1" s="1"/>
  <c r="F80" i="1"/>
  <c r="I80" i="1" s="1"/>
  <c r="H80" i="1"/>
  <c r="F72" i="1"/>
  <c r="I72" i="1" s="1"/>
  <c r="H72" i="1"/>
  <c r="F64" i="1"/>
  <c r="I64" i="1" s="1"/>
  <c r="H64" i="1"/>
  <c r="F56" i="1"/>
  <c r="I56" i="1" s="1"/>
  <c r="H56" i="1"/>
  <c r="F48" i="1"/>
  <c r="I48" i="1" s="1"/>
  <c r="H48" i="1"/>
  <c r="F40" i="1"/>
  <c r="I40" i="1" s="1"/>
  <c r="H40" i="1"/>
  <c r="H110" i="1"/>
  <c r="F110" i="1"/>
  <c r="I110" i="1" s="1"/>
  <c r="J110" i="1" s="1"/>
  <c r="H102" i="1"/>
  <c r="F102" i="1"/>
  <c r="I102" i="1" s="1"/>
  <c r="H94" i="1"/>
  <c r="F94" i="1"/>
  <c r="I94" i="1" s="1"/>
  <c r="J94" i="1" s="1"/>
  <c r="F85" i="1"/>
  <c r="I85" i="1" s="1"/>
  <c r="H85" i="1"/>
  <c r="F77" i="1"/>
  <c r="I77" i="1" s="1"/>
  <c r="H77" i="1"/>
  <c r="F69" i="1"/>
  <c r="I69" i="1" s="1"/>
  <c r="H69" i="1"/>
  <c r="F61" i="1"/>
  <c r="I61" i="1" s="1"/>
  <c r="H61" i="1"/>
  <c r="F53" i="1"/>
  <c r="I53" i="1" s="1"/>
  <c r="H53" i="1"/>
  <c r="F45" i="1"/>
  <c r="I45" i="1" s="1"/>
  <c r="H45" i="1"/>
  <c r="F37" i="1"/>
  <c r="I37" i="1" s="1"/>
  <c r="H37" i="1"/>
  <c r="F29" i="1"/>
  <c r="I29" i="1" s="1"/>
  <c r="I21" i="1"/>
  <c r="J21" i="1" s="1"/>
  <c r="I13" i="1"/>
  <c r="I5" i="1"/>
  <c r="J5" i="1" s="1"/>
  <c r="H33" i="1"/>
  <c r="H32" i="1"/>
  <c r="J32" i="1" s="1"/>
  <c r="H31" i="1"/>
  <c r="J31" i="1" s="1"/>
  <c r="H30" i="1"/>
  <c r="J30" i="1" s="1"/>
  <c r="H29" i="1"/>
  <c r="H28" i="1"/>
  <c r="H27" i="1"/>
  <c r="J27" i="1" s="1"/>
  <c r="H26" i="1"/>
  <c r="J26" i="1" s="1"/>
  <c r="H25" i="1"/>
  <c r="H24" i="1"/>
  <c r="J24" i="1" s="1"/>
  <c r="H23" i="1"/>
  <c r="J23" i="1" s="1"/>
  <c r="H22" i="1"/>
  <c r="J22" i="1" s="1"/>
  <c r="H21" i="1"/>
  <c r="H20" i="1"/>
  <c r="H19" i="1"/>
  <c r="J19" i="1" s="1"/>
  <c r="H18" i="1"/>
  <c r="J18" i="1" s="1"/>
  <c r="H17" i="1"/>
  <c r="H16" i="1"/>
  <c r="J16" i="1" s="1"/>
  <c r="H15" i="1"/>
  <c r="J15" i="1" s="1"/>
  <c r="H14" i="1"/>
  <c r="J14" i="1" s="1"/>
  <c r="H13" i="1"/>
  <c r="H12" i="1"/>
  <c r="H11" i="1"/>
  <c r="J11" i="1" s="1"/>
  <c r="H10" i="1"/>
  <c r="J10" i="1" s="1"/>
  <c r="H9" i="1"/>
  <c r="H8" i="1"/>
  <c r="J8" i="1" s="1"/>
  <c r="H7" i="1"/>
  <c r="J7" i="1" s="1"/>
  <c r="H6" i="1"/>
  <c r="J6" i="1" s="1"/>
  <c r="H5" i="1"/>
  <c r="H4" i="1"/>
  <c r="H3" i="1"/>
  <c r="J104" i="1" l="1"/>
  <c r="J90" i="1"/>
  <c r="J103" i="1"/>
  <c r="J145" i="1"/>
  <c r="J240" i="1"/>
  <c r="J600" i="1"/>
  <c r="J616" i="1"/>
  <c r="J632" i="1"/>
  <c r="J648" i="1"/>
  <c r="J718" i="1"/>
  <c r="J1118" i="1"/>
  <c r="J1381" i="1"/>
  <c r="J1389" i="1"/>
  <c r="J1397" i="1"/>
  <c r="J1405" i="1"/>
  <c r="J1413" i="1"/>
  <c r="J1421" i="1"/>
  <c r="J1429" i="1"/>
  <c r="J1437" i="1"/>
  <c r="J1445" i="1"/>
  <c r="J1453" i="1"/>
  <c r="J1461" i="1"/>
  <c r="J1472" i="1"/>
  <c r="J1487" i="1"/>
  <c r="J1503" i="1"/>
  <c r="J1519" i="1"/>
  <c r="J1535" i="1"/>
  <c r="J1551" i="1"/>
  <c r="J1567" i="1"/>
  <c r="J786" i="1"/>
  <c r="J200" i="1"/>
  <c r="I1341" i="1"/>
  <c r="J1341" i="1" s="1"/>
  <c r="J713" i="1"/>
  <c r="J794" i="1"/>
  <c r="J1363" i="1"/>
  <c r="J864" i="1"/>
  <c r="V1203" i="1"/>
  <c r="AI1203" i="1" s="1"/>
  <c r="J260" i="1"/>
  <c r="P1203" i="1"/>
  <c r="AC1203" i="1" s="1"/>
  <c r="J108" i="1"/>
  <c r="J155" i="1"/>
  <c r="J137" i="1"/>
  <c r="J361" i="1"/>
  <c r="J347" i="1"/>
  <c r="J349" i="1"/>
  <c r="J340" i="1"/>
  <c r="J355" i="1"/>
  <c r="J992" i="1"/>
  <c r="J1000" i="1"/>
  <c r="J1008" i="1"/>
  <c r="J1016" i="1"/>
  <c r="J1024" i="1"/>
  <c r="J1032" i="1"/>
  <c r="J1040" i="1"/>
  <c r="J1196" i="1"/>
  <c r="J1253" i="1"/>
  <c r="J1057" i="1"/>
  <c r="Q1203" i="1"/>
  <c r="AD1203" i="1" s="1"/>
  <c r="J422" i="1"/>
  <c r="J256" i="1"/>
  <c r="J608" i="1"/>
  <c r="J624" i="1"/>
  <c r="J640" i="1"/>
  <c r="J813" i="1"/>
  <c r="J1294" i="1"/>
  <c r="J191" i="1"/>
  <c r="J244" i="1"/>
  <c r="J1168" i="1"/>
  <c r="J845" i="1"/>
  <c r="J880" i="1"/>
  <c r="J4" i="1"/>
  <c r="J456" i="1"/>
  <c r="J510" i="1"/>
  <c r="J1112" i="1"/>
  <c r="I167" i="1"/>
  <c r="J167" i="1" s="1"/>
  <c r="V167" i="1" s="1"/>
  <c r="AI167" i="1" s="1"/>
  <c r="J1288" i="1"/>
  <c r="U1288" i="1" s="1"/>
  <c r="AH1288" i="1" s="1"/>
  <c r="J1271" i="1"/>
  <c r="R1347" i="1"/>
  <c r="AE1347" i="1" s="1"/>
  <c r="Q1347" i="1"/>
  <c r="AD1347" i="1" s="1"/>
  <c r="V1347" i="1"/>
  <c r="AI1347" i="1" s="1"/>
  <c r="U1347" i="1"/>
  <c r="AH1347" i="1" s="1"/>
  <c r="T1347" i="1"/>
  <c r="AG1347" i="1" s="1"/>
  <c r="S1347" i="1"/>
  <c r="AF1347" i="1" s="1"/>
  <c r="T167" i="1"/>
  <c r="AG167" i="1" s="1"/>
  <c r="V1288" i="1"/>
  <c r="AI1288" i="1" s="1"/>
  <c r="U856" i="1"/>
  <c r="AH856" i="1" s="1"/>
  <c r="T856" i="1"/>
  <c r="AG856" i="1" s="1"/>
  <c r="V856" i="1"/>
  <c r="AI856" i="1" s="1"/>
  <c r="U209" i="1"/>
  <c r="AH209" i="1" s="1"/>
  <c r="V209" i="1"/>
  <c r="AI209" i="1" s="1"/>
  <c r="S524" i="1"/>
  <c r="AF524" i="1" s="1"/>
  <c r="Q524" i="1"/>
  <c r="AD524" i="1" s="1"/>
  <c r="O524" i="1"/>
  <c r="AB524" i="1" s="1"/>
  <c r="V524" i="1"/>
  <c r="AI524" i="1" s="1"/>
  <c r="N524" i="1"/>
  <c r="AA524" i="1" s="1"/>
  <c r="T524" i="1"/>
  <c r="AG524" i="1" s="1"/>
  <c r="U524" i="1"/>
  <c r="AH524" i="1" s="1"/>
  <c r="R524" i="1"/>
  <c r="AE524" i="1" s="1"/>
  <c r="M524" i="1"/>
  <c r="Z524" i="1" s="1"/>
  <c r="P524" i="1"/>
  <c r="AC524" i="1" s="1"/>
  <c r="P1142" i="1"/>
  <c r="AC1142" i="1" s="1"/>
  <c r="O1142" i="1"/>
  <c r="AB1142" i="1" s="1"/>
  <c r="V1142" i="1"/>
  <c r="AI1142" i="1" s="1"/>
  <c r="N1142" i="1"/>
  <c r="AA1142" i="1" s="1"/>
  <c r="U1142" i="1"/>
  <c r="AH1142" i="1" s="1"/>
  <c r="T1142" i="1"/>
  <c r="AG1142" i="1" s="1"/>
  <c r="S1142" i="1"/>
  <c r="AF1142" i="1" s="1"/>
  <c r="R1142" i="1"/>
  <c r="AE1142" i="1" s="1"/>
  <c r="Q1142" i="1"/>
  <c r="AD1142" i="1" s="1"/>
  <c r="U808" i="1"/>
  <c r="AH808" i="1" s="1"/>
  <c r="M808" i="1"/>
  <c r="Z808" i="1" s="1"/>
  <c r="T808" i="1"/>
  <c r="AG808" i="1" s="1"/>
  <c r="L808" i="1"/>
  <c r="Y808" i="1" s="1"/>
  <c r="S808" i="1"/>
  <c r="AF808" i="1" s="1"/>
  <c r="K808" i="1"/>
  <c r="X808" i="1" s="1"/>
  <c r="R808" i="1"/>
  <c r="AE808" i="1" s="1"/>
  <c r="Q808" i="1"/>
  <c r="AD808" i="1" s="1"/>
  <c r="P808" i="1"/>
  <c r="AC808" i="1" s="1"/>
  <c r="V808" i="1"/>
  <c r="AI808" i="1" s="1"/>
  <c r="N808" i="1"/>
  <c r="AA808" i="1" s="1"/>
  <c r="O808" i="1"/>
  <c r="AB808" i="1" s="1"/>
  <c r="S225" i="1"/>
  <c r="AF225" i="1" s="1"/>
  <c r="Q225" i="1"/>
  <c r="AD225" i="1" s="1"/>
  <c r="O225" i="1"/>
  <c r="AB225" i="1" s="1"/>
  <c r="U225" i="1"/>
  <c r="AH225" i="1" s="1"/>
  <c r="T225" i="1"/>
  <c r="AG225" i="1" s="1"/>
  <c r="R225" i="1"/>
  <c r="AE225" i="1" s="1"/>
  <c r="P225" i="1"/>
  <c r="AC225" i="1" s="1"/>
  <c r="N225" i="1"/>
  <c r="AA225" i="1" s="1"/>
  <c r="M225" i="1"/>
  <c r="Z225" i="1" s="1"/>
  <c r="V225" i="1"/>
  <c r="AI225" i="1" s="1"/>
  <c r="R125" i="1"/>
  <c r="AE125" i="1" s="1"/>
  <c r="Q125" i="1"/>
  <c r="AD125" i="1" s="1"/>
  <c r="P125" i="1"/>
  <c r="AC125" i="1" s="1"/>
  <c r="O125" i="1"/>
  <c r="AB125" i="1" s="1"/>
  <c r="V125" i="1"/>
  <c r="AI125" i="1" s="1"/>
  <c r="N125" i="1"/>
  <c r="AA125" i="1" s="1"/>
  <c r="U125" i="1"/>
  <c r="AH125" i="1" s="1"/>
  <c r="M125" i="1"/>
  <c r="Z125" i="1" s="1"/>
  <c r="S125" i="1"/>
  <c r="AF125" i="1" s="1"/>
  <c r="K125" i="1"/>
  <c r="X125" i="1" s="1"/>
  <c r="L125" i="1"/>
  <c r="Y125" i="1" s="1"/>
  <c r="T125" i="1"/>
  <c r="AG125" i="1" s="1"/>
  <c r="V1271" i="1"/>
  <c r="AI1271" i="1" s="1"/>
  <c r="U1271" i="1"/>
  <c r="AH1271" i="1" s="1"/>
  <c r="S1271" i="1"/>
  <c r="AF1271" i="1" s="1"/>
  <c r="T1271" i="1"/>
  <c r="AG1271" i="1" s="1"/>
  <c r="T1060" i="1"/>
  <c r="AG1060" i="1" s="1"/>
  <c r="S1060" i="1"/>
  <c r="AF1060" i="1" s="1"/>
  <c r="R1060" i="1"/>
  <c r="AE1060" i="1" s="1"/>
  <c r="Q1060" i="1"/>
  <c r="AD1060" i="1" s="1"/>
  <c r="P1060" i="1"/>
  <c r="AC1060" i="1" s="1"/>
  <c r="V1060" i="1"/>
  <c r="AI1060" i="1" s="1"/>
  <c r="U1060" i="1"/>
  <c r="AH1060" i="1" s="1"/>
  <c r="Q705" i="1"/>
  <c r="AD705" i="1" s="1"/>
  <c r="O705" i="1"/>
  <c r="AB705" i="1" s="1"/>
  <c r="U705" i="1"/>
  <c r="AH705" i="1" s="1"/>
  <c r="M705" i="1"/>
  <c r="Z705" i="1" s="1"/>
  <c r="T705" i="1"/>
  <c r="AG705" i="1" s="1"/>
  <c r="L705" i="1"/>
  <c r="Y705" i="1" s="1"/>
  <c r="R705" i="1"/>
  <c r="AE705" i="1" s="1"/>
  <c r="N705" i="1"/>
  <c r="AA705" i="1" s="1"/>
  <c r="V705" i="1"/>
  <c r="AI705" i="1" s="1"/>
  <c r="P705" i="1"/>
  <c r="AC705" i="1" s="1"/>
  <c r="S705" i="1"/>
  <c r="AF705" i="1" s="1"/>
  <c r="V414" i="1"/>
  <c r="AI414" i="1" s="1"/>
  <c r="T414" i="1"/>
  <c r="AG414" i="1" s="1"/>
  <c r="U414" i="1"/>
  <c r="AH414" i="1" s="1"/>
  <c r="V470" i="1"/>
  <c r="AI470" i="1" s="1"/>
  <c r="N470" i="1"/>
  <c r="AA470" i="1" s="1"/>
  <c r="T470" i="1"/>
  <c r="AG470" i="1" s="1"/>
  <c r="L470" i="1"/>
  <c r="Y470" i="1" s="1"/>
  <c r="S470" i="1"/>
  <c r="AF470" i="1" s="1"/>
  <c r="K470" i="1"/>
  <c r="X470" i="1" s="1"/>
  <c r="R470" i="1"/>
  <c r="AE470" i="1" s="1"/>
  <c r="Q470" i="1"/>
  <c r="AD470" i="1" s="1"/>
  <c r="O470" i="1"/>
  <c r="AB470" i="1" s="1"/>
  <c r="U470" i="1"/>
  <c r="AH470" i="1" s="1"/>
  <c r="P470" i="1"/>
  <c r="AC470" i="1" s="1"/>
  <c r="M470" i="1"/>
  <c r="Z470" i="1" s="1"/>
  <c r="V755" i="1"/>
  <c r="AI755" i="1" s="1"/>
  <c r="U755" i="1"/>
  <c r="AH755" i="1" s="1"/>
  <c r="T755" i="1"/>
  <c r="AG755" i="1" s="1"/>
  <c r="U786" i="1"/>
  <c r="AH786" i="1" s="1"/>
  <c r="M786" i="1"/>
  <c r="Z786" i="1" s="1"/>
  <c r="T786" i="1"/>
  <c r="AG786" i="1" s="1"/>
  <c r="L786" i="1"/>
  <c r="Y786" i="1" s="1"/>
  <c r="S786" i="1"/>
  <c r="AF786" i="1" s="1"/>
  <c r="K786" i="1"/>
  <c r="X786" i="1" s="1"/>
  <c r="R786" i="1"/>
  <c r="AE786" i="1" s="1"/>
  <c r="Q786" i="1"/>
  <c r="AD786" i="1" s="1"/>
  <c r="P786" i="1"/>
  <c r="AC786" i="1" s="1"/>
  <c r="V786" i="1"/>
  <c r="AI786" i="1" s="1"/>
  <c r="N786" i="1"/>
  <c r="AA786" i="1" s="1"/>
  <c r="O786" i="1"/>
  <c r="AB786" i="1" s="1"/>
  <c r="O200" i="1"/>
  <c r="AB200" i="1" s="1"/>
  <c r="U200" i="1"/>
  <c r="AH200" i="1" s="1"/>
  <c r="S200" i="1"/>
  <c r="AF200" i="1" s="1"/>
  <c r="N200" i="1"/>
  <c r="AA200" i="1" s="1"/>
  <c r="V200" i="1"/>
  <c r="AI200" i="1" s="1"/>
  <c r="T200" i="1"/>
  <c r="AG200" i="1" s="1"/>
  <c r="R200" i="1"/>
  <c r="AE200" i="1" s="1"/>
  <c r="P200" i="1"/>
  <c r="AC200" i="1" s="1"/>
  <c r="Q200" i="1"/>
  <c r="AD200" i="1" s="1"/>
  <c r="R1167" i="1"/>
  <c r="AE1167" i="1" s="1"/>
  <c r="Q1167" i="1"/>
  <c r="AD1167" i="1" s="1"/>
  <c r="P1167" i="1"/>
  <c r="AC1167" i="1" s="1"/>
  <c r="V1167" i="1"/>
  <c r="AI1167" i="1" s="1"/>
  <c r="U1167" i="1"/>
  <c r="AH1167" i="1" s="1"/>
  <c r="T1167" i="1"/>
  <c r="AG1167" i="1" s="1"/>
  <c r="S1167" i="1"/>
  <c r="AF1167" i="1" s="1"/>
  <c r="R1170" i="1"/>
  <c r="AE1170" i="1" s="1"/>
  <c r="U893" i="1"/>
  <c r="AH893" i="1" s="1"/>
  <c r="R893" i="1"/>
  <c r="AE893" i="1" s="1"/>
  <c r="V893" i="1"/>
  <c r="AI893" i="1" s="1"/>
  <c r="T893" i="1"/>
  <c r="AG893" i="1" s="1"/>
  <c r="S893" i="1"/>
  <c r="AF893" i="1" s="1"/>
  <c r="V1295" i="1"/>
  <c r="AI1295" i="1" s="1"/>
  <c r="U1295" i="1"/>
  <c r="AH1295" i="1" s="1"/>
  <c r="S1295" i="1"/>
  <c r="AF1295" i="1" s="1"/>
  <c r="R1295" i="1"/>
  <c r="AE1295" i="1" s="1"/>
  <c r="Q1295" i="1"/>
  <c r="AD1295" i="1" s="1"/>
  <c r="T1295" i="1"/>
  <c r="AG1295" i="1" s="1"/>
  <c r="V1076" i="1"/>
  <c r="AI1076" i="1" s="1"/>
  <c r="U1076" i="1"/>
  <c r="AH1076" i="1" s="1"/>
  <c r="T1076" i="1"/>
  <c r="AG1076" i="1" s="1"/>
  <c r="S1076" i="1"/>
  <c r="AF1076" i="1" s="1"/>
  <c r="U860" i="1"/>
  <c r="AH860" i="1" s="1"/>
  <c r="M860" i="1"/>
  <c r="Z860" i="1" s="1"/>
  <c r="T860" i="1"/>
  <c r="AG860" i="1" s="1"/>
  <c r="L860" i="1"/>
  <c r="Y860" i="1" s="1"/>
  <c r="S860" i="1"/>
  <c r="AF860" i="1" s="1"/>
  <c r="K860" i="1"/>
  <c r="X860" i="1" s="1"/>
  <c r="R860" i="1"/>
  <c r="AE860" i="1" s="1"/>
  <c r="Q860" i="1"/>
  <c r="AD860" i="1" s="1"/>
  <c r="P860" i="1"/>
  <c r="AC860" i="1" s="1"/>
  <c r="V860" i="1"/>
  <c r="AI860" i="1" s="1"/>
  <c r="N860" i="1"/>
  <c r="AA860" i="1" s="1"/>
  <c r="O860" i="1"/>
  <c r="AB860" i="1" s="1"/>
  <c r="U794" i="1"/>
  <c r="AH794" i="1" s="1"/>
  <c r="M794" i="1"/>
  <c r="Z794" i="1" s="1"/>
  <c r="T794" i="1"/>
  <c r="AG794" i="1" s="1"/>
  <c r="L794" i="1"/>
  <c r="Y794" i="1" s="1"/>
  <c r="S794" i="1"/>
  <c r="AF794" i="1" s="1"/>
  <c r="K794" i="1"/>
  <c r="X794" i="1" s="1"/>
  <c r="R794" i="1"/>
  <c r="AE794" i="1" s="1"/>
  <c r="Q794" i="1"/>
  <c r="AD794" i="1" s="1"/>
  <c r="P794" i="1"/>
  <c r="AC794" i="1" s="1"/>
  <c r="V794" i="1"/>
  <c r="AI794" i="1" s="1"/>
  <c r="N794" i="1"/>
  <c r="AA794" i="1" s="1"/>
  <c r="O794" i="1"/>
  <c r="AB794" i="1" s="1"/>
  <c r="V1363" i="1"/>
  <c r="AI1363" i="1" s="1"/>
  <c r="U1363" i="1"/>
  <c r="AH1363" i="1" s="1"/>
  <c r="T1363" i="1"/>
  <c r="AG1363" i="1" s="1"/>
  <c r="S1363" i="1"/>
  <c r="AF1363" i="1" s="1"/>
  <c r="U901" i="1"/>
  <c r="AH901" i="1" s="1"/>
  <c r="M901" i="1"/>
  <c r="Z901" i="1" s="1"/>
  <c r="R901" i="1"/>
  <c r="AE901" i="1" s="1"/>
  <c r="P901" i="1"/>
  <c r="AC901" i="1" s="1"/>
  <c r="O901" i="1"/>
  <c r="AB901" i="1" s="1"/>
  <c r="N901" i="1"/>
  <c r="AA901" i="1" s="1"/>
  <c r="V901" i="1"/>
  <c r="AI901" i="1" s="1"/>
  <c r="T901" i="1"/>
  <c r="AG901" i="1" s="1"/>
  <c r="Q901" i="1"/>
  <c r="AD901" i="1" s="1"/>
  <c r="S901" i="1"/>
  <c r="AF901" i="1" s="1"/>
  <c r="U864" i="1"/>
  <c r="AH864" i="1" s="1"/>
  <c r="T864" i="1"/>
  <c r="AG864" i="1" s="1"/>
  <c r="S864" i="1"/>
  <c r="AF864" i="1" s="1"/>
  <c r="R864" i="1"/>
  <c r="AE864" i="1" s="1"/>
  <c r="Q864" i="1"/>
  <c r="AD864" i="1" s="1"/>
  <c r="P864" i="1"/>
  <c r="AC864" i="1" s="1"/>
  <c r="V864" i="1"/>
  <c r="AI864" i="1" s="1"/>
  <c r="O864" i="1"/>
  <c r="AB864" i="1" s="1"/>
  <c r="V219" i="1"/>
  <c r="AI219" i="1" s="1"/>
  <c r="U219" i="1"/>
  <c r="AH219" i="1" s="1"/>
  <c r="T219" i="1"/>
  <c r="AG219" i="1" s="1"/>
  <c r="U834" i="1"/>
  <c r="AH834" i="1" s="1"/>
  <c r="M834" i="1"/>
  <c r="Z834" i="1" s="1"/>
  <c r="T834" i="1"/>
  <c r="AG834" i="1" s="1"/>
  <c r="L834" i="1"/>
  <c r="Y834" i="1" s="1"/>
  <c r="S834" i="1"/>
  <c r="AF834" i="1" s="1"/>
  <c r="K834" i="1"/>
  <c r="X834" i="1" s="1"/>
  <c r="R834" i="1"/>
  <c r="AE834" i="1" s="1"/>
  <c r="Q834" i="1"/>
  <c r="AD834" i="1" s="1"/>
  <c r="P834" i="1"/>
  <c r="AC834" i="1" s="1"/>
  <c r="V834" i="1"/>
  <c r="AI834" i="1" s="1"/>
  <c r="N834" i="1"/>
  <c r="AA834" i="1" s="1"/>
  <c r="O834" i="1"/>
  <c r="AB834" i="1" s="1"/>
  <c r="P1150" i="1"/>
  <c r="AC1150" i="1" s="1"/>
  <c r="O1150" i="1"/>
  <c r="AB1150" i="1" s="1"/>
  <c r="V1150" i="1"/>
  <c r="AI1150" i="1" s="1"/>
  <c r="U1150" i="1"/>
  <c r="AH1150" i="1" s="1"/>
  <c r="T1150" i="1"/>
  <c r="AG1150" i="1" s="1"/>
  <c r="S1150" i="1"/>
  <c r="AF1150" i="1" s="1"/>
  <c r="R1150" i="1"/>
  <c r="AE1150" i="1" s="1"/>
  <c r="Q1150" i="1"/>
  <c r="AD1150" i="1" s="1"/>
  <c r="V398" i="1"/>
  <c r="AI398" i="1" s="1"/>
  <c r="T398" i="1"/>
  <c r="AG398" i="1" s="1"/>
  <c r="R398" i="1"/>
  <c r="AE398" i="1" s="1"/>
  <c r="Q398" i="1"/>
  <c r="AD398" i="1" s="1"/>
  <c r="U398" i="1"/>
  <c r="AH398" i="1" s="1"/>
  <c r="S398" i="1"/>
  <c r="AF398" i="1" s="1"/>
  <c r="P1146" i="1"/>
  <c r="AC1146" i="1" s="1"/>
  <c r="O1146" i="1"/>
  <c r="AB1146" i="1" s="1"/>
  <c r="V1146" i="1"/>
  <c r="AI1146" i="1" s="1"/>
  <c r="N1146" i="1"/>
  <c r="AA1146" i="1" s="1"/>
  <c r="U1146" i="1"/>
  <c r="AH1146" i="1" s="1"/>
  <c r="M1146" i="1"/>
  <c r="Z1146" i="1" s="1"/>
  <c r="T1146" i="1"/>
  <c r="AG1146" i="1" s="1"/>
  <c r="L1146" i="1"/>
  <c r="Y1146" i="1" s="1"/>
  <c r="S1146" i="1"/>
  <c r="AF1146" i="1" s="1"/>
  <c r="K1146" i="1"/>
  <c r="X1146" i="1" s="1"/>
  <c r="R1146" i="1"/>
  <c r="AE1146" i="1" s="1"/>
  <c r="Q1146" i="1"/>
  <c r="AD1146" i="1" s="1"/>
  <c r="V1311" i="1"/>
  <c r="AI1311" i="1" s="1"/>
  <c r="U1311" i="1"/>
  <c r="AH1311" i="1" s="1"/>
  <c r="T1311" i="1"/>
  <c r="AG1311" i="1" s="1"/>
  <c r="T1149" i="1"/>
  <c r="AG1149" i="1" s="1"/>
  <c r="S1149" i="1"/>
  <c r="AF1149" i="1" s="1"/>
  <c r="R1149" i="1"/>
  <c r="AE1149" i="1" s="1"/>
  <c r="Q1149" i="1"/>
  <c r="AD1149" i="1" s="1"/>
  <c r="P1149" i="1"/>
  <c r="AC1149" i="1" s="1"/>
  <c r="O1149" i="1"/>
  <c r="AB1149" i="1" s="1"/>
  <c r="V1149" i="1"/>
  <c r="AI1149" i="1" s="1"/>
  <c r="N1149" i="1"/>
  <c r="AA1149" i="1" s="1"/>
  <c r="U1149" i="1"/>
  <c r="AH1149" i="1" s="1"/>
  <c r="V391" i="1"/>
  <c r="AI391" i="1" s="1"/>
  <c r="R1191" i="1"/>
  <c r="AE1191" i="1" s="1"/>
  <c r="Q1191" i="1"/>
  <c r="AD1191" i="1" s="1"/>
  <c r="P1191" i="1"/>
  <c r="AC1191" i="1" s="1"/>
  <c r="V1191" i="1"/>
  <c r="AI1191" i="1" s="1"/>
  <c r="U1191" i="1"/>
  <c r="AH1191" i="1" s="1"/>
  <c r="T1191" i="1"/>
  <c r="AG1191" i="1" s="1"/>
  <c r="S1191" i="1"/>
  <c r="AF1191" i="1" s="1"/>
  <c r="O224" i="1"/>
  <c r="AB224" i="1" s="1"/>
  <c r="U224" i="1"/>
  <c r="AH224" i="1" s="1"/>
  <c r="M224" i="1"/>
  <c r="Z224" i="1" s="1"/>
  <c r="S224" i="1"/>
  <c r="AF224" i="1" s="1"/>
  <c r="T224" i="1"/>
  <c r="AG224" i="1" s="1"/>
  <c r="R224" i="1"/>
  <c r="AE224" i="1" s="1"/>
  <c r="Q224" i="1"/>
  <c r="AD224" i="1" s="1"/>
  <c r="P224" i="1"/>
  <c r="AC224" i="1" s="1"/>
  <c r="N224" i="1"/>
  <c r="AA224" i="1" s="1"/>
  <c r="L224" i="1"/>
  <c r="Y224" i="1" s="1"/>
  <c r="V224" i="1"/>
  <c r="AI224" i="1" s="1"/>
  <c r="R1175" i="1"/>
  <c r="AE1175" i="1" s="1"/>
  <c r="Q1175" i="1"/>
  <c r="AD1175" i="1" s="1"/>
  <c r="P1175" i="1"/>
  <c r="AC1175" i="1" s="1"/>
  <c r="O1175" i="1"/>
  <c r="AB1175" i="1" s="1"/>
  <c r="V1175" i="1"/>
  <c r="AI1175" i="1" s="1"/>
  <c r="N1175" i="1"/>
  <c r="AA1175" i="1" s="1"/>
  <c r="U1175" i="1"/>
  <c r="AH1175" i="1" s="1"/>
  <c r="T1175" i="1"/>
  <c r="AG1175" i="1" s="1"/>
  <c r="S1175" i="1"/>
  <c r="AF1175" i="1" s="1"/>
  <c r="T1127" i="1"/>
  <c r="AG1127" i="1" s="1"/>
  <c r="S1127" i="1"/>
  <c r="AF1127" i="1" s="1"/>
  <c r="R1127" i="1"/>
  <c r="AE1127" i="1" s="1"/>
  <c r="V1127" i="1"/>
  <c r="AI1127" i="1" s="1"/>
  <c r="U1127" i="1"/>
  <c r="AH1127" i="1" s="1"/>
  <c r="V406" i="1"/>
  <c r="AI406" i="1" s="1"/>
  <c r="N406" i="1"/>
  <c r="AA406" i="1" s="1"/>
  <c r="T406" i="1"/>
  <c r="AG406" i="1" s="1"/>
  <c r="L406" i="1"/>
  <c r="Y406" i="1" s="1"/>
  <c r="R406" i="1"/>
  <c r="AE406" i="1" s="1"/>
  <c r="Q406" i="1"/>
  <c r="AD406" i="1" s="1"/>
  <c r="O406" i="1"/>
  <c r="AB406" i="1" s="1"/>
  <c r="U406" i="1"/>
  <c r="AH406" i="1" s="1"/>
  <c r="S406" i="1"/>
  <c r="AF406" i="1" s="1"/>
  <c r="P406" i="1"/>
  <c r="AC406" i="1" s="1"/>
  <c r="M406" i="1"/>
  <c r="Z406" i="1" s="1"/>
  <c r="P1160" i="1"/>
  <c r="AC1160" i="1" s="1"/>
  <c r="O1160" i="1"/>
  <c r="AB1160" i="1" s="1"/>
  <c r="V1160" i="1"/>
  <c r="AI1160" i="1" s="1"/>
  <c r="N1160" i="1"/>
  <c r="AA1160" i="1" s="1"/>
  <c r="U1160" i="1"/>
  <c r="AH1160" i="1" s="1"/>
  <c r="M1160" i="1"/>
  <c r="Z1160" i="1" s="1"/>
  <c r="T1160" i="1"/>
  <c r="AG1160" i="1" s="1"/>
  <c r="L1160" i="1"/>
  <c r="Y1160" i="1" s="1"/>
  <c r="S1160" i="1"/>
  <c r="AF1160" i="1" s="1"/>
  <c r="R1160" i="1"/>
  <c r="AE1160" i="1" s="1"/>
  <c r="Q1160" i="1"/>
  <c r="AD1160" i="1" s="1"/>
  <c r="V518" i="1"/>
  <c r="AI518" i="1" s="1"/>
  <c r="T518" i="1"/>
  <c r="AG518" i="1" s="1"/>
  <c r="U518" i="1"/>
  <c r="AH518" i="1" s="1"/>
  <c r="P1094" i="1"/>
  <c r="AC1094" i="1" s="1"/>
  <c r="O1094" i="1"/>
  <c r="AB1094" i="1" s="1"/>
  <c r="V1094" i="1"/>
  <c r="AI1094" i="1" s="1"/>
  <c r="N1094" i="1"/>
  <c r="AA1094" i="1" s="1"/>
  <c r="U1094" i="1"/>
  <c r="AH1094" i="1" s="1"/>
  <c r="M1094" i="1"/>
  <c r="Z1094" i="1" s="1"/>
  <c r="T1094" i="1"/>
  <c r="AG1094" i="1" s="1"/>
  <c r="L1094" i="1"/>
  <c r="Y1094" i="1" s="1"/>
  <c r="S1094" i="1"/>
  <c r="AF1094" i="1" s="1"/>
  <c r="K1094" i="1"/>
  <c r="X1094" i="1" s="1"/>
  <c r="R1094" i="1"/>
  <c r="AE1094" i="1" s="1"/>
  <c r="Q1094" i="1"/>
  <c r="AD1094" i="1" s="1"/>
  <c r="V466" i="1"/>
  <c r="AI466" i="1" s="1"/>
  <c r="T466" i="1"/>
  <c r="AG466" i="1" s="1"/>
  <c r="U466" i="1"/>
  <c r="AH466" i="1" s="1"/>
  <c r="V973" i="1"/>
  <c r="AI973" i="1" s="1"/>
  <c r="U973" i="1"/>
  <c r="AH973" i="1" s="1"/>
  <c r="T973" i="1"/>
  <c r="AG973" i="1" s="1"/>
  <c r="V1163" i="1"/>
  <c r="AI1163" i="1" s="1"/>
  <c r="U1163" i="1"/>
  <c r="AH1163" i="1" s="1"/>
  <c r="T1163" i="1"/>
  <c r="AG1163" i="1" s="1"/>
  <c r="S1163" i="1"/>
  <c r="AF1163" i="1" s="1"/>
  <c r="R1163" i="1"/>
  <c r="AE1163" i="1" s="1"/>
  <c r="Q1163" i="1"/>
  <c r="AD1163" i="1" s="1"/>
  <c r="P1163" i="1"/>
  <c r="AC1163" i="1" s="1"/>
  <c r="O1163" i="1"/>
  <c r="AB1163" i="1" s="1"/>
  <c r="R381" i="1"/>
  <c r="AE381" i="1" s="1"/>
  <c r="P381" i="1"/>
  <c r="AC381" i="1" s="1"/>
  <c r="V381" i="1"/>
  <c r="AI381" i="1" s="1"/>
  <c r="N381" i="1"/>
  <c r="AA381" i="1" s="1"/>
  <c r="U381" i="1"/>
  <c r="AH381" i="1" s="1"/>
  <c r="M381" i="1"/>
  <c r="Z381" i="1" s="1"/>
  <c r="S381" i="1"/>
  <c r="AF381" i="1" s="1"/>
  <c r="T381" i="1"/>
  <c r="AG381" i="1" s="1"/>
  <c r="Q381" i="1"/>
  <c r="AD381" i="1" s="1"/>
  <c r="O381" i="1"/>
  <c r="AB381" i="1" s="1"/>
  <c r="R1256" i="1"/>
  <c r="AE1256" i="1" s="1"/>
  <c r="Q1256" i="1"/>
  <c r="AD1256" i="1" s="1"/>
  <c r="V1256" i="1"/>
  <c r="AI1256" i="1" s="1"/>
  <c r="U1256" i="1"/>
  <c r="AH1256" i="1" s="1"/>
  <c r="T1256" i="1"/>
  <c r="AG1256" i="1" s="1"/>
  <c r="S1256" i="1"/>
  <c r="AF1256" i="1" s="1"/>
  <c r="V872" i="1"/>
  <c r="AI872" i="1" s="1"/>
  <c r="U818" i="1"/>
  <c r="AH818" i="1" s="1"/>
  <c r="M818" i="1"/>
  <c r="Z818" i="1" s="1"/>
  <c r="T818" i="1"/>
  <c r="AG818" i="1" s="1"/>
  <c r="L818" i="1"/>
  <c r="Y818" i="1" s="1"/>
  <c r="S818" i="1"/>
  <c r="AF818" i="1" s="1"/>
  <c r="R818" i="1"/>
  <c r="AE818" i="1" s="1"/>
  <c r="Q818" i="1"/>
  <c r="AD818" i="1" s="1"/>
  <c r="P818" i="1"/>
  <c r="AC818" i="1" s="1"/>
  <c r="V818" i="1"/>
  <c r="AI818" i="1" s="1"/>
  <c r="N818" i="1"/>
  <c r="AA818" i="1" s="1"/>
  <c r="O818" i="1"/>
  <c r="AB818" i="1" s="1"/>
  <c r="U216" i="1"/>
  <c r="AH216" i="1" s="1"/>
  <c r="S216" i="1"/>
  <c r="AF216" i="1" s="1"/>
  <c r="V216" i="1"/>
  <c r="AI216" i="1" s="1"/>
  <c r="T216" i="1"/>
  <c r="AG216" i="1" s="1"/>
  <c r="R216" i="1"/>
  <c r="AE216" i="1" s="1"/>
  <c r="Q216" i="1"/>
  <c r="AD216" i="1" s="1"/>
  <c r="V1166" i="1"/>
  <c r="AI1166" i="1" s="1"/>
  <c r="U1166" i="1"/>
  <c r="AH1166" i="1" s="1"/>
  <c r="T1166" i="1"/>
  <c r="AG1166" i="1" s="1"/>
  <c r="S1166" i="1"/>
  <c r="AF1166" i="1" s="1"/>
  <c r="R1166" i="1"/>
  <c r="AE1166" i="1" s="1"/>
  <c r="Q1166" i="1"/>
  <c r="AD1166" i="1" s="1"/>
  <c r="P1166" i="1"/>
  <c r="AC1166" i="1" s="1"/>
  <c r="Q1170" i="1"/>
  <c r="AD1170" i="1" s="1"/>
  <c r="V1168" i="1"/>
  <c r="AI1168" i="1" s="1"/>
  <c r="U1168" i="1"/>
  <c r="AH1168" i="1" s="1"/>
  <c r="T1168" i="1"/>
  <c r="AG1168" i="1" s="1"/>
  <c r="S1168" i="1"/>
  <c r="AF1168" i="1" s="1"/>
  <c r="R1168" i="1"/>
  <c r="AE1168" i="1" s="1"/>
  <c r="Q1168" i="1"/>
  <c r="AD1168" i="1" s="1"/>
  <c r="P1168" i="1"/>
  <c r="AC1168" i="1" s="1"/>
  <c r="S1170" i="1"/>
  <c r="AF1170" i="1" s="1"/>
  <c r="Q15" i="1"/>
  <c r="AD15" i="1" s="1"/>
  <c r="P15" i="1"/>
  <c r="AC15" i="1" s="1"/>
  <c r="O15" i="1"/>
  <c r="AB15" i="1" s="1"/>
  <c r="U15" i="1"/>
  <c r="AH15" i="1" s="1"/>
  <c r="M15" i="1"/>
  <c r="Z15" i="1" s="1"/>
  <c r="S15" i="1"/>
  <c r="AF15" i="1" s="1"/>
  <c r="K15" i="1"/>
  <c r="X15" i="1" s="1"/>
  <c r="V15" i="1"/>
  <c r="AI15" i="1" s="1"/>
  <c r="T15" i="1"/>
  <c r="AG15" i="1" s="1"/>
  <c r="R15" i="1"/>
  <c r="AE15" i="1" s="1"/>
  <c r="N15" i="1"/>
  <c r="AA15" i="1" s="1"/>
  <c r="L15" i="1"/>
  <c r="Y15" i="1" s="1"/>
  <c r="U23" i="1"/>
  <c r="AH23" i="1" s="1"/>
  <c r="S23" i="1"/>
  <c r="AF23" i="1" s="1"/>
  <c r="V23" i="1"/>
  <c r="AI23" i="1" s="1"/>
  <c r="T23" i="1"/>
  <c r="AG23" i="1" s="1"/>
  <c r="V103" i="1"/>
  <c r="AI103" i="1" s="1"/>
  <c r="U103" i="1"/>
  <c r="AH103" i="1" s="1"/>
  <c r="V361" i="1"/>
  <c r="AI361" i="1" s="1"/>
  <c r="U361" i="1"/>
  <c r="AH361" i="1" s="1"/>
  <c r="S361" i="1"/>
  <c r="AF361" i="1" s="1"/>
  <c r="T361" i="1"/>
  <c r="AG361" i="1" s="1"/>
  <c r="R385" i="1"/>
  <c r="AE385" i="1" s="1"/>
  <c r="V385" i="1"/>
  <c r="AI385" i="1" s="1"/>
  <c r="U385" i="1"/>
  <c r="AH385" i="1" s="1"/>
  <c r="S385" i="1"/>
  <c r="AF385" i="1" s="1"/>
  <c r="Q385" i="1"/>
  <c r="AD385" i="1" s="1"/>
  <c r="T385" i="1"/>
  <c r="AG385" i="1" s="1"/>
  <c r="U806" i="1"/>
  <c r="AH806" i="1" s="1"/>
  <c r="V806" i="1"/>
  <c r="AI806" i="1" s="1"/>
  <c r="U848" i="1"/>
  <c r="AH848" i="1" s="1"/>
  <c r="M848" i="1"/>
  <c r="Z848" i="1" s="1"/>
  <c r="T848" i="1"/>
  <c r="AG848" i="1" s="1"/>
  <c r="L848" i="1"/>
  <c r="Y848" i="1" s="1"/>
  <c r="S848" i="1"/>
  <c r="AF848" i="1" s="1"/>
  <c r="R848" i="1"/>
  <c r="AE848" i="1" s="1"/>
  <c r="Q848" i="1"/>
  <c r="AD848" i="1" s="1"/>
  <c r="P848" i="1"/>
  <c r="AC848" i="1" s="1"/>
  <c r="V848" i="1"/>
  <c r="AI848" i="1" s="1"/>
  <c r="N848" i="1"/>
  <c r="AA848" i="1" s="1"/>
  <c r="O848" i="1"/>
  <c r="AB848" i="1" s="1"/>
  <c r="S962" i="1"/>
  <c r="AF962" i="1" s="1"/>
  <c r="V962" i="1"/>
  <c r="AI962" i="1" s="1"/>
  <c r="T962" i="1"/>
  <c r="AG962" i="1" s="1"/>
  <c r="U962" i="1"/>
  <c r="AH962" i="1" s="1"/>
  <c r="V1128" i="1"/>
  <c r="AI1128" i="1" s="1"/>
  <c r="U1128" i="1"/>
  <c r="AH1128" i="1" s="1"/>
  <c r="T1128" i="1"/>
  <c r="AG1128" i="1" s="1"/>
  <c r="S1128" i="1"/>
  <c r="AF1128" i="1" s="1"/>
  <c r="V1192" i="1"/>
  <c r="AI1192" i="1" s="1"/>
  <c r="U1192" i="1"/>
  <c r="AH1192" i="1" s="1"/>
  <c r="T1192" i="1"/>
  <c r="AG1192" i="1" s="1"/>
  <c r="S1192" i="1"/>
  <c r="AF1192" i="1" s="1"/>
  <c r="R1192" i="1"/>
  <c r="AE1192" i="1" s="1"/>
  <c r="Q1192" i="1"/>
  <c r="AD1192" i="1" s="1"/>
  <c r="P1192" i="1"/>
  <c r="AC1192" i="1" s="1"/>
  <c r="P1086" i="1"/>
  <c r="AC1086" i="1" s="1"/>
  <c r="V1086" i="1"/>
  <c r="AI1086" i="1" s="1"/>
  <c r="U1086" i="1"/>
  <c r="AH1086" i="1" s="1"/>
  <c r="T1086" i="1"/>
  <c r="AG1086" i="1" s="1"/>
  <c r="S1086" i="1"/>
  <c r="AF1086" i="1" s="1"/>
  <c r="R1086" i="1"/>
  <c r="AE1086" i="1" s="1"/>
  <c r="Q1086" i="1"/>
  <c r="AD1086" i="1" s="1"/>
  <c r="T1062" i="1"/>
  <c r="AG1062" i="1" s="1"/>
  <c r="S1062" i="1"/>
  <c r="AF1062" i="1" s="1"/>
  <c r="R1062" i="1"/>
  <c r="AE1062" i="1" s="1"/>
  <c r="V1062" i="1"/>
  <c r="AI1062" i="1" s="1"/>
  <c r="U1062" i="1"/>
  <c r="AH1062" i="1" s="1"/>
  <c r="V697" i="1"/>
  <c r="AI697" i="1" s="1"/>
  <c r="U697" i="1"/>
  <c r="AH697" i="1" s="1"/>
  <c r="T697" i="1"/>
  <c r="AG697" i="1" s="1"/>
  <c r="S697" i="1"/>
  <c r="AF697" i="1" s="1"/>
  <c r="R697" i="1"/>
  <c r="AE697" i="1" s="1"/>
  <c r="Q697" i="1"/>
  <c r="AD697" i="1" s="1"/>
  <c r="V124" i="1"/>
  <c r="AI124" i="1" s="1"/>
  <c r="N124" i="1"/>
  <c r="AA124" i="1" s="1"/>
  <c r="U124" i="1"/>
  <c r="AH124" i="1" s="1"/>
  <c r="M124" i="1"/>
  <c r="Z124" i="1" s="1"/>
  <c r="T124" i="1"/>
  <c r="AG124" i="1" s="1"/>
  <c r="L124" i="1"/>
  <c r="Y124" i="1" s="1"/>
  <c r="S124" i="1"/>
  <c r="AF124" i="1" s="1"/>
  <c r="K124" i="1"/>
  <c r="X124" i="1" s="1"/>
  <c r="R124" i="1"/>
  <c r="AE124" i="1" s="1"/>
  <c r="Q124" i="1"/>
  <c r="AD124" i="1" s="1"/>
  <c r="O124" i="1"/>
  <c r="AB124" i="1" s="1"/>
  <c r="P124" i="1"/>
  <c r="AC124" i="1" s="1"/>
  <c r="V410" i="1"/>
  <c r="AI410" i="1" s="1"/>
  <c r="T410" i="1"/>
  <c r="AG410" i="1" s="1"/>
  <c r="S410" i="1"/>
  <c r="AF410" i="1" s="1"/>
  <c r="R410" i="1"/>
  <c r="AE410" i="1" s="1"/>
  <c r="Q410" i="1"/>
  <c r="AD410" i="1" s="1"/>
  <c r="U410" i="1"/>
  <c r="AH410" i="1" s="1"/>
  <c r="P410" i="1"/>
  <c r="AC410" i="1" s="1"/>
  <c r="R1239" i="1"/>
  <c r="AE1239" i="1" s="1"/>
  <c r="Q1239" i="1"/>
  <c r="AD1239" i="1" s="1"/>
  <c r="P1239" i="1"/>
  <c r="AC1239" i="1" s="1"/>
  <c r="O1239" i="1"/>
  <c r="AB1239" i="1" s="1"/>
  <c r="V1239" i="1"/>
  <c r="AI1239" i="1" s="1"/>
  <c r="N1239" i="1"/>
  <c r="AA1239" i="1" s="1"/>
  <c r="U1239" i="1"/>
  <c r="AH1239" i="1" s="1"/>
  <c r="M1239" i="1"/>
  <c r="Z1239" i="1" s="1"/>
  <c r="T1239" i="1"/>
  <c r="AG1239" i="1" s="1"/>
  <c r="S1239" i="1"/>
  <c r="AF1239" i="1" s="1"/>
  <c r="V396" i="1"/>
  <c r="AI396" i="1" s="1"/>
  <c r="T396" i="1"/>
  <c r="AG396" i="1" s="1"/>
  <c r="R396" i="1"/>
  <c r="AE396" i="1" s="1"/>
  <c r="Q396" i="1"/>
  <c r="AD396" i="1" s="1"/>
  <c r="O396" i="1"/>
  <c r="AB396" i="1" s="1"/>
  <c r="U396" i="1"/>
  <c r="AH396" i="1" s="1"/>
  <c r="P396" i="1"/>
  <c r="AC396" i="1" s="1"/>
  <c r="S396" i="1"/>
  <c r="AF396" i="1" s="1"/>
  <c r="V884" i="1"/>
  <c r="AI884" i="1" s="1"/>
  <c r="U884" i="1"/>
  <c r="AH884" i="1" s="1"/>
  <c r="U8" i="1"/>
  <c r="AH8" i="1" s="1"/>
  <c r="T8" i="1"/>
  <c r="AG8" i="1" s="1"/>
  <c r="S8" i="1"/>
  <c r="AF8" i="1" s="1"/>
  <c r="Q8" i="1"/>
  <c r="AD8" i="1" s="1"/>
  <c r="V8" i="1"/>
  <c r="AI8" i="1" s="1"/>
  <c r="R8" i="1"/>
  <c r="AE8" i="1" s="1"/>
  <c r="V32" i="1"/>
  <c r="AI32" i="1" s="1"/>
  <c r="U32" i="1"/>
  <c r="AH32" i="1" s="1"/>
  <c r="T32" i="1"/>
  <c r="AG32" i="1" s="1"/>
  <c r="S32" i="1"/>
  <c r="AF32" i="1" s="1"/>
  <c r="R32" i="1"/>
  <c r="AE32" i="1" s="1"/>
  <c r="Q32" i="1"/>
  <c r="AD32" i="1" s="1"/>
  <c r="O32" i="1"/>
  <c r="AB32" i="1" s="1"/>
  <c r="P32" i="1"/>
  <c r="AC32" i="1" s="1"/>
  <c r="R145" i="1"/>
  <c r="AE145" i="1" s="1"/>
  <c r="Q145" i="1"/>
  <c r="AD145" i="1" s="1"/>
  <c r="P145" i="1"/>
  <c r="AC145" i="1" s="1"/>
  <c r="O145" i="1"/>
  <c r="AB145" i="1" s="1"/>
  <c r="V145" i="1"/>
  <c r="AI145" i="1" s="1"/>
  <c r="N145" i="1"/>
  <c r="AA145" i="1" s="1"/>
  <c r="U145" i="1"/>
  <c r="AH145" i="1" s="1"/>
  <c r="M145" i="1"/>
  <c r="Z145" i="1" s="1"/>
  <c r="S145" i="1"/>
  <c r="AF145" i="1" s="1"/>
  <c r="K145" i="1"/>
  <c r="X145" i="1" s="1"/>
  <c r="L145" i="1"/>
  <c r="Y145" i="1" s="1"/>
  <c r="T145" i="1"/>
  <c r="AG145" i="1" s="1"/>
  <c r="R477" i="1"/>
  <c r="AE477" i="1" s="1"/>
  <c r="V477" i="1"/>
  <c r="AI477" i="1" s="1"/>
  <c r="U477" i="1"/>
  <c r="AH477" i="1" s="1"/>
  <c r="S477" i="1"/>
  <c r="AF477" i="1" s="1"/>
  <c r="T477" i="1"/>
  <c r="AG477" i="1" s="1"/>
  <c r="U792" i="1"/>
  <c r="AH792" i="1" s="1"/>
  <c r="M792" i="1"/>
  <c r="Z792" i="1" s="1"/>
  <c r="T792" i="1"/>
  <c r="AG792" i="1" s="1"/>
  <c r="L792" i="1"/>
  <c r="Y792" i="1" s="1"/>
  <c r="S792" i="1"/>
  <c r="AF792" i="1" s="1"/>
  <c r="K792" i="1"/>
  <c r="X792" i="1" s="1"/>
  <c r="R792" i="1"/>
  <c r="AE792" i="1" s="1"/>
  <c r="Q792" i="1"/>
  <c r="AD792" i="1" s="1"/>
  <c r="P792" i="1"/>
  <c r="AC792" i="1" s="1"/>
  <c r="V792" i="1"/>
  <c r="AI792" i="1" s="1"/>
  <c r="N792" i="1"/>
  <c r="AA792" i="1" s="1"/>
  <c r="O792" i="1"/>
  <c r="AB792" i="1" s="1"/>
  <c r="U6" i="1"/>
  <c r="AH6" i="1" s="1"/>
  <c r="T6" i="1"/>
  <c r="AG6" i="1" s="1"/>
  <c r="Q6" i="1"/>
  <c r="AD6" i="1" s="1"/>
  <c r="O6" i="1"/>
  <c r="AB6" i="1" s="1"/>
  <c r="R6" i="1"/>
  <c r="AE6" i="1" s="1"/>
  <c r="V6" i="1"/>
  <c r="AI6" i="1" s="1"/>
  <c r="S6" i="1"/>
  <c r="AF6" i="1" s="1"/>
  <c r="P6" i="1"/>
  <c r="AC6" i="1" s="1"/>
  <c r="V14" i="1"/>
  <c r="AI14" i="1" s="1"/>
  <c r="U22" i="1"/>
  <c r="AH22" i="1" s="1"/>
  <c r="T22" i="1"/>
  <c r="AG22" i="1" s="1"/>
  <c r="S22" i="1"/>
  <c r="AF22" i="1" s="1"/>
  <c r="V22" i="1"/>
  <c r="AI22" i="1" s="1"/>
  <c r="R22" i="1"/>
  <c r="AE22" i="1" s="1"/>
  <c r="V30" i="1"/>
  <c r="AI30" i="1" s="1"/>
  <c r="N30" i="1"/>
  <c r="AA30" i="1" s="1"/>
  <c r="U30" i="1"/>
  <c r="AH30" i="1" s="1"/>
  <c r="M30" i="1"/>
  <c r="Z30" i="1" s="1"/>
  <c r="T30" i="1"/>
  <c r="AG30" i="1" s="1"/>
  <c r="S30" i="1"/>
  <c r="AF30" i="1" s="1"/>
  <c r="R30" i="1"/>
  <c r="AE30" i="1" s="1"/>
  <c r="Q30" i="1"/>
  <c r="AD30" i="1" s="1"/>
  <c r="O30" i="1"/>
  <c r="AB30" i="1" s="1"/>
  <c r="P30" i="1"/>
  <c r="AC30" i="1" s="1"/>
  <c r="J102" i="1"/>
  <c r="J91" i="1"/>
  <c r="V118" i="1"/>
  <c r="AI118" i="1" s="1"/>
  <c r="U118" i="1"/>
  <c r="AH118" i="1" s="1"/>
  <c r="T118" i="1"/>
  <c r="AG118" i="1" s="1"/>
  <c r="S118" i="1"/>
  <c r="AF118" i="1" s="1"/>
  <c r="R118" i="1"/>
  <c r="AE118" i="1" s="1"/>
  <c r="U166" i="1"/>
  <c r="AH166" i="1" s="1"/>
  <c r="V166" i="1"/>
  <c r="AI166" i="1" s="1"/>
  <c r="T166" i="1"/>
  <c r="AG166" i="1" s="1"/>
  <c r="S166" i="1"/>
  <c r="AF166" i="1" s="1"/>
  <c r="J141" i="1"/>
  <c r="U206" i="1"/>
  <c r="AH206" i="1" s="1"/>
  <c r="T206" i="1"/>
  <c r="AG206" i="1" s="1"/>
  <c r="V206" i="1"/>
  <c r="AI206" i="1" s="1"/>
  <c r="S205" i="1"/>
  <c r="AF205" i="1" s="1"/>
  <c r="V205" i="1"/>
  <c r="AI205" i="1" s="1"/>
  <c r="T205" i="1"/>
  <c r="AG205" i="1" s="1"/>
  <c r="U205" i="1"/>
  <c r="AH205" i="1" s="1"/>
  <c r="V287" i="1"/>
  <c r="AI287" i="1" s="1"/>
  <c r="J100" i="1"/>
  <c r="R256" i="1"/>
  <c r="AE256" i="1" s="1"/>
  <c r="V256" i="1"/>
  <c r="AI256" i="1" s="1"/>
  <c r="U256" i="1"/>
  <c r="AH256" i="1" s="1"/>
  <c r="S256" i="1"/>
  <c r="AF256" i="1" s="1"/>
  <c r="T256" i="1"/>
  <c r="AG256" i="1" s="1"/>
  <c r="V277" i="1"/>
  <c r="AI277" i="1" s="1"/>
  <c r="N277" i="1"/>
  <c r="AA277" i="1" s="1"/>
  <c r="U277" i="1"/>
  <c r="AH277" i="1" s="1"/>
  <c r="M277" i="1"/>
  <c r="Z277" i="1" s="1"/>
  <c r="T277" i="1"/>
  <c r="AG277" i="1" s="1"/>
  <c r="S277" i="1"/>
  <c r="AF277" i="1" s="1"/>
  <c r="R277" i="1"/>
  <c r="AE277" i="1" s="1"/>
  <c r="Q277" i="1"/>
  <c r="AD277" i="1" s="1"/>
  <c r="O277" i="1"/>
  <c r="AB277" i="1" s="1"/>
  <c r="P277" i="1"/>
  <c r="AC277" i="1" s="1"/>
  <c r="V246" i="1"/>
  <c r="AI246" i="1" s="1"/>
  <c r="U246" i="1"/>
  <c r="AH246" i="1" s="1"/>
  <c r="V233" i="1"/>
  <c r="AI233" i="1" s="1"/>
  <c r="U233" i="1"/>
  <c r="AH233" i="1" s="1"/>
  <c r="V265" i="1"/>
  <c r="AI265" i="1" s="1"/>
  <c r="N265" i="1"/>
  <c r="AA265" i="1" s="1"/>
  <c r="U265" i="1"/>
  <c r="AH265" i="1" s="1"/>
  <c r="T265" i="1"/>
  <c r="AG265" i="1" s="1"/>
  <c r="S265" i="1"/>
  <c r="AF265" i="1" s="1"/>
  <c r="R265" i="1"/>
  <c r="AE265" i="1" s="1"/>
  <c r="Q265" i="1"/>
  <c r="AD265" i="1" s="1"/>
  <c r="O265" i="1"/>
  <c r="AB265" i="1" s="1"/>
  <c r="P265" i="1"/>
  <c r="AC265" i="1" s="1"/>
  <c r="U228" i="1"/>
  <c r="AH228" i="1" s="1"/>
  <c r="S228" i="1"/>
  <c r="AF228" i="1" s="1"/>
  <c r="V228" i="1"/>
  <c r="AI228" i="1" s="1"/>
  <c r="T228" i="1"/>
  <c r="AG228" i="1" s="1"/>
  <c r="R228" i="1"/>
  <c r="AE228" i="1" s="1"/>
  <c r="Q228" i="1"/>
  <c r="AD228" i="1" s="1"/>
  <c r="P228" i="1"/>
  <c r="AC228" i="1" s="1"/>
  <c r="V260" i="1"/>
  <c r="AI260" i="1" s="1"/>
  <c r="R345" i="1"/>
  <c r="AE345" i="1" s="1"/>
  <c r="P345" i="1"/>
  <c r="AC345" i="1" s="1"/>
  <c r="V345" i="1"/>
  <c r="AI345" i="1" s="1"/>
  <c r="U345" i="1"/>
  <c r="AH345" i="1" s="1"/>
  <c r="S345" i="1"/>
  <c r="AF345" i="1" s="1"/>
  <c r="T345" i="1"/>
  <c r="AG345" i="1" s="1"/>
  <c r="Q345" i="1"/>
  <c r="AD345" i="1" s="1"/>
  <c r="V370" i="1"/>
  <c r="AI370" i="1" s="1"/>
  <c r="T370" i="1"/>
  <c r="AG370" i="1" s="1"/>
  <c r="R370" i="1"/>
  <c r="AE370" i="1" s="1"/>
  <c r="Q370" i="1"/>
  <c r="AD370" i="1" s="1"/>
  <c r="O370" i="1"/>
  <c r="AB370" i="1" s="1"/>
  <c r="U370" i="1"/>
  <c r="AH370" i="1" s="1"/>
  <c r="S370" i="1"/>
  <c r="AF370" i="1" s="1"/>
  <c r="P370" i="1"/>
  <c r="AC370" i="1" s="1"/>
  <c r="J366" i="1"/>
  <c r="R383" i="1"/>
  <c r="AE383" i="1" s="1"/>
  <c r="P383" i="1"/>
  <c r="AC383" i="1" s="1"/>
  <c r="V383" i="1"/>
  <c r="AI383" i="1" s="1"/>
  <c r="U383" i="1"/>
  <c r="AH383" i="1" s="1"/>
  <c r="S383" i="1"/>
  <c r="AF383" i="1" s="1"/>
  <c r="T383" i="1"/>
  <c r="AG383" i="1" s="1"/>
  <c r="Q383" i="1"/>
  <c r="AD383" i="1" s="1"/>
  <c r="O383" i="1"/>
  <c r="AB383" i="1" s="1"/>
  <c r="R473" i="1"/>
  <c r="AE473" i="1" s="1"/>
  <c r="P473" i="1"/>
  <c r="AC473" i="1" s="1"/>
  <c r="O473" i="1"/>
  <c r="AB473" i="1" s="1"/>
  <c r="V473" i="1"/>
  <c r="AI473" i="1" s="1"/>
  <c r="N473" i="1"/>
  <c r="AA473" i="1" s="1"/>
  <c r="U473" i="1"/>
  <c r="AH473" i="1" s="1"/>
  <c r="S473" i="1"/>
  <c r="AF473" i="1" s="1"/>
  <c r="Q473" i="1"/>
  <c r="AD473" i="1" s="1"/>
  <c r="T473" i="1"/>
  <c r="AG473" i="1" s="1"/>
  <c r="J462" i="1"/>
  <c r="R461" i="1"/>
  <c r="AE461" i="1" s="1"/>
  <c r="P461" i="1"/>
  <c r="AC461" i="1" s="1"/>
  <c r="O461" i="1"/>
  <c r="AB461" i="1" s="1"/>
  <c r="V461" i="1"/>
  <c r="AI461" i="1" s="1"/>
  <c r="U461" i="1"/>
  <c r="AH461" i="1" s="1"/>
  <c r="S461" i="1"/>
  <c r="AF461" i="1" s="1"/>
  <c r="T461" i="1"/>
  <c r="AG461" i="1" s="1"/>
  <c r="Q461" i="1"/>
  <c r="AD461" i="1" s="1"/>
  <c r="V456" i="1"/>
  <c r="AI456" i="1" s="1"/>
  <c r="T510" i="1"/>
  <c r="AG510" i="1" s="1"/>
  <c r="L510" i="1"/>
  <c r="Y510" i="1" s="1"/>
  <c r="Q510" i="1"/>
  <c r="AD510" i="1" s="1"/>
  <c r="O510" i="1"/>
  <c r="AB510" i="1" s="1"/>
  <c r="N510" i="1"/>
  <c r="AA510" i="1" s="1"/>
  <c r="V510" i="1"/>
  <c r="AI510" i="1" s="1"/>
  <c r="M510" i="1"/>
  <c r="Z510" i="1" s="1"/>
  <c r="U510" i="1"/>
  <c r="AH510" i="1" s="1"/>
  <c r="R510" i="1"/>
  <c r="AE510" i="1" s="1"/>
  <c r="S510" i="1"/>
  <c r="AF510" i="1" s="1"/>
  <c r="P510" i="1"/>
  <c r="AC510" i="1" s="1"/>
  <c r="U720" i="1"/>
  <c r="AH720" i="1" s="1"/>
  <c r="S720" i="1"/>
  <c r="AF720" i="1" s="1"/>
  <c r="Q720" i="1"/>
  <c r="AD720" i="1" s="1"/>
  <c r="P720" i="1"/>
  <c r="AC720" i="1" s="1"/>
  <c r="V720" i="1"/>
  <c r="AI720" i="1" s="1"/>
  <c r="N720" i="1"/>
  <c r="AA720" i="1" s="1"/>
  <c r="T720" i="1"/>
  <c r="AG720" i="1" s="1"/>
  <c r="R720" i="1"/>
  <c r="AE720" i="1" s="1"/>
  <c r="O720" i="1"/>
  <c r="AB720" i="1" s="1"/>
  <c r="Q749" i="1"/>
  <c r="AD749" i="1" s="1"/>
  <c r="V749" i="1"/>
  <c r="AI749" i="1" s="1"/>
  <c r="U749" i="1"/>
  <c r="AH749" i="1" s="1"/>
  <c r="T749" i="1"/>
  <c r="AG749" i="1" s="1"/>
  <c r="R749" i="1"/>
  <c r="AE749" i="1" s="1"/>
  <c r="S749" i="1"/>
  <c r="AF749" i="1" s="1"/>
  <c r="V725" i="1"/>
  <c r="AI725" i="1" s="1"/>
  <c r="U725" i="1"/>
  <c r="AH725" i="1" s="1"/>
  <c r="T725" i="1"/>
  <c r="AG725" i="1" s="1"/>
  <c r="S725" i="1"/>
  <c r="AF725" i="1" s="1"/>
  <c r="V700" i="1"/>
  <c r="AI700" i="1" s="1"/>
  <c r="T700" i="1"/>
  <c r="AG700" i="1" s="1"/>
  <c r="U700" i="1"/>
  <c r="AH700" i="1" s="1"/>
  <c r="S608" i="1"/>
  <c r="AF608" i="1" s="1"/>
  <c r="V608" i="1"/>
  <c r="AI608" i="1" s="1"/>
  <c r="T608" i="1"/>
  <c r="AG608" i="1" s="1"/>
  <c r="U608" i="1"/>
  <c r="AH608" i="1" s="1"/>
  <c r="V624" i="1"/>
  <c r="AI624" i="1" s="1"/>
  <c r="S640" i="1"/>
  <c r="AF640" i="1" s="1"/>
  <c r="R640" i="1"/>
  <c r="AE640" i="1" s="1"/>
  <c r="Q640" i="1"/>
  <c r="AD640" i="1" s="1"/>
  <c r="P640" i="1"/>
  <c r="AC640" i="1" s="1"/>
  <c r="O640" i="1"/>
  <c r="AB640" i="1" s="1"/>
  <c r="V640" i="1"/>
  <c r="AI640" i="1" s="1"/>
  <c r="N640" i="1"/>
  <c r="AA640" i="1" s="1"/>
  <c r="T640" i="1"/>
  <c r="AG640" i="1" s="1"/>
  <c r="L640" i="1"/>
  <c r="Y640" i="1" s="1"/>
  <c r="M640" i="1"/>
  <c r="Z640" i="1" s="1"/>
  <c r="U640" i="1"/>
  <c r="AH640" i="1" s="1"/>
  <c r="U730" i="1"/>
  <c r="AH730" i="1" s="1"/>
  <c r="M730" i="1"/>
  <c r="Z730" i="1" s="1"/>
  <c r="T730" i="1"/>
  <c r="AG730" i="1" s="1"/>
  <c r="L730" i="1"/>
  <c r="Y730" i="1" s="1"/>
  <c r="S730" i="1"/>
  <c r="AF730" i="1" s="1"/>
  <c r="K730" i="1"/>
  <c r="X730" i="1" s="1"/>
  <c r="R730" i="1"/>
  <c r="AE730" i="1" s="1"/>
  <c r="Q730" i="1"/>
  <c r="AD730" i="1" s="1"/>
  <c r="P730" i="1"/>
  <c r="AC730" i="1" s="1"/>
  <c r="V730" i="1"/>
  <c r="AI730" i="1" s="1"/>
  <c r="N730" i="1"/>
  <c r="AA730" i="1" s="1"/>
  <c r="O730" i="1"/>
  <c r="AB730" i="1" s="1"/>
  <c r="Q783" i="1"/>
  <c r="AD783" i="1" s="1"/>
  <c r="P783" i="1"/>
  <c r="AC783" i="1" s="1"/>
  <c r="O783" i="1"/>
  <c r="AB783" i="1" s="1"/>
  <c r="V783" i="1"/>
  <c r="AI783" i="1" s="1"/>
  <c r="N783" i="1"/>
  <c r="AA783" i="1" s="1"/>
  <c r="U783" i="1"/>
  <c r="AH783" i="1" s="1"/>
  <c r="M783" i="1"/>
  <c r="Z783" i="1" s="1"/>
  <c r="T783" i="1"/>
  <c r="AG783" i="1" s="1"/>
  <c r="L783" i="1"/>
  <c r="Y783" i="1" s="1"/>
  <c r="R783" i="1"/>
  <c r="AE783" i="1" s="1"/>
  <c r="S783" i="1"/>
  <c r="AF783" i="1" s="1"/>
  <c r="K783" i="1"/>
  <c r="X783" i="1" s="1"/>
  <c r="Q815" i="1"/>
  <c r="AD815" i="1" s="1"/>
  <c r="P815" i="1"/>
  <c r="AC815" i="1" s="1"/>
  <c r="O815" i="1"/>
  <c r="AB815" i="1" s="1"/>
  <c r="V815" i="1"/>
  <c r="AI815" i="1" s="1"/>
  <c r="N815" i="1"/>
  <c r="AA815" i="1" s="1"/>
  <c r="U815" i="1"/>
  <c r="AH815" i="1" s="1"/>
  <c r="M815" i="1"/>
  <c r="Z815" i="1" s="1"/>
  <c r="T815" i="1"/>
  <c r="AG815" i="1" s="1"/>
  <c r="L815" i="1"/>
  <c r="Y815" i="1" s="1"/>
  <c r="R815" i="1"/>
  <c r="AE815" i="1" s="1"/>
  <c r="S815" i="1"/>
  <c r="AF815" i="1" s="1"/>
  <c r="U828" i="1"/>
  <c r="AH828" i="1" s="1"/>
  <c r="T828" i="1"/>
  <c r="AG828" i="1" s="1"/>
  <c r="S828" i="1"/>
  <c r="AF828" i="1" s="1"/>
  <c r="R828" i="1"/>
  <c r="AE828" i="1" s="1"/>
  <c r="V828" i="1"/>
  <c r="AI828" i="1" s="1"/>
  <c r="Q886" i="1"/>
  <c r="AD886" i="1" s="1"/>
  <c r="V886" i="1"/>
  <c r="AI886" i="1" s="1"/>
  <c r="N886" i="1"/>
  <c r="AA886" i="1" s="1"/>
  <c r="T886" i="1"/>
  <c r="AG886" i="1" s="1"/>
  <c r="L886" i="1"/>
  <c r="Y886" i="1" s="1"/>
  <c r="P886" i="1"/>
  <c r="AC886" i="1" s="1"/>
  <c r="O886" i="1"/>
  <c r="AB886" i="1" s="1"/>
  <c r="M886" i="1"/>
  <c r="Z886" i="1" s="1"/>
  <c r="K886" i="1"/>
  <c r="X886" i="1" s="1"/>
  <c r="U886" i="1"/>
  <c r="AH886" i="1" s="1"/>
  <c r="R886" i="1"/>
  <c r="AE886" i="1" s="1"/>
  <c r="S886" i="1"/>
  <c r="AF886" i="1" s="1"/>
  <c r="U933" i="1"/>
  <c r="AH933" i="1" s="1"/>
  <c r="V933" i="1"/>
  <c r="AI933" i="1" s="1"/>
  <c r="T933" i="1"/>
  <c r="AG933" i="1" s="1"/>
  <c r="S933" i="1"/>
  <c r="AF933" i="1" s="1"/>
  <c r="Q801" i="1"/>
  <c r="AD801" i="1" s="1"/>
  <c r="V801" i="1"/>
  <c r="AI801" i="1" s="1"/>
  <c r="U801" i="1"/>
  <c r="AH801" i="1" s="1"/>
  <c r="T801" i="1"/>
  <c r="AG801" i="1" s="1"/>
  <c r="R801" i="1"/>
  <c r="AE801" i="1" s="1"/>
  <c r="S801" i="1"/>
  <c r="AF801" i="1" s="1"/>
  <c r="V833" i="1"/>
  <c r="AI833" i="1" s="1"/>
  <c r="U833" i="1"/>
  <c r="AH833" i="1" s="1"/>
  <c r="T833" i="1"/>
  <c r="AG833" i="1" s="1"/>
  <c r="S833" i="1"/>
  <c r="AF833" i="1" s="1"/>
  <c r="Q787" i="1"/>
  <c r="AD787" i="1" s="1"/>
  <c r="P787" i="1"/>
  <c r="AC787" i="1" s="1"/>
  <c r="O787" i="1"/>
  <c r="AB787" i="1" s="1"/>
  <c r="V787" i="1"/>
  <c r="AI787" i="1" s="1"/>
  <c r="N787" i="1"/>
  <c r="AA787" i="1" s="1"/>
  <c r="U787" i="1"/>
  <c r="AH787" i="1" s="1"/>
  <c r="M787" i="1"/>
  <c r="Z787" i="1" s="1"/>
  <c r="T787" i="1"/>
  <c r="AG787" i="1" s="1"/>
  <c r="L787" i="1"/>
  <c r="Y787" i="1" s="1"/>
  <c r="R787" i="1"/>
  <c r="AE787" i="1" s="1"/>
  <c r="S787" i="1"/>
  <c r="AF787" i="1" s="1"/>
  <c r="K787" i="1"/>
  <c r="X787" i="1" s="1"/>
  <c r="U754" i="1"/>
  <c r="AH754" i="1" s="1"/>
  <c r="T754" i="1"/>
  <c r="AG754" i="1" s="1"/>
  <c r="V754" i="1"/>
  <c r="AI754" i="1" s="1"/>
  <c r="T992" i="1"/>
  <c r="AG992" i="1" s="1"/>
  <c r="S992" i="1"/>
  <c r="AF992" i="1" s="1"/>
  <c r="R992" i="1"/>
  <c r="AE992" i="1" s="1"/>
  <c r="Q992" i="1"/>
  <c r="AD992" i="1" s="1"/>
  <c r="P992" i="1"/>
  <c r="AC992" i="1" s="1"/>
  <c r="O992" i="1"/>
  <c r="AB992" i="1" s="1"/>
  <c r="U992" i="1"/>
  <c r="AH992" i="1" s="1"/>
  <c r="N992" i="1"/>
  <c r="AA992" i="1" s="1"/>
  <c r="M992" i="1"/>
  <c r="Z992" i="1" s="1"/>
  <c r="V992" i="1"/>
  <c r="AI992" i="1" s="1"/>
  <c r="U1000" i="1"/>
  <c r="AH1000" i="1" s="1"/>
  <c r="V1000" i="1"/>
  <c r="AI1000" i="1" s="1"/>
  <c r="T1008" i="1"/>
  <c r="AG1008" i="1" s="1"/>
  <c r="S1008" i="1"/>
  <c r="AF1008" i="1" s="1"/>
  <c r="R1008" i="1"/>
  <c r="AE1008" i="1" s="1"/>
  <c r="Q1008" i="1"/>
  <c r="AD1008" i="1" s="1"/>
  <c r="P1008" i="1"/>
  <c r="AC1008" i="1" s="1"/>
  <c r="U1008" i="1"/>
  <c r="AH1008" i="1" s="1"/>
  <c r="V1008" i="1"/>
  <c r="AI1008" i="1" s="1"/>
  <c r="T1016" i="1"/>
  <c r="AG1016" i="1" s="1"/>
  <c r="L1016" i="1"/>
  <c r="Y1016" i="1" s="1"/>
  <c r="S1016" i="1"/>
  <c r="AF1016" i="1" s="1"/>
  <c r="K1016" i="1"/>
  <c r="X1016" i="1" s="1"/>
  <c r="R1016" i="1"/>
  <c r="AE1016" i="1" s="1"/>
  <c r="Q1016" i="1"/>
  <c r="AD1016" i="1" s="1"/>
  <c r="P1016" i="1"/>
  <c r="AC1016" i="1" s="1"/>
  <c r="O1016" i="1"/>
  <c r="AB1016" i="1" s="1"/>
  <c r="U1016" i="1"/>
  <c r="AH1016" i="1" s="1"/>
  <c r="N1016" i="1"/>
  <c r="AA1016" i="1" s="1"/>
  <c r="M1016" i="1"/>
  <c r="Z1016" i="1" s="1"/>
  <c r="V1016" i="1"/>
  <c r="AI1016" i="1" s="1"/>
  <c r="T1024" i="1"/>
  <c r="AG1024" i="1" s="1"/>
  <c r="S1024" i="1"/>
  <c r="AF1024" i="1" s="1"/>
  <c r="U1024" i="1"/>
  <c r="AH1024" i="1" s="1"/>
  <c r="V1024" i="1"/>
  <c r="AI1024" i="1" s="1"/>
  <c r="T1032" i="1"/>
  <c r="AG1032" i="1" s="1"/>
  <c r="S1032" i="1"/>
  <c r="AF1032" i="1" s="1"/>
  <c r="R1032" i="1"/>
  <c r="AE1032" i="1" s="1"/>
  <c r="Q1032" i="1"/>
  <c r="AD1032" i="1" s="1"/>
  <c r="P1032" i="1"/>
  <c r="AC1032" i="1" s="1"/>
  <c r="O1032" i="1"/>
  <c r="AB1032" i="1" s="1"/>
  <c r="U1032" i="1"/>
  <c r="AH1032" i="1" s="1"/>
  <c r="N1032" i="1"/>
  <c r="AA1032" i="1" s="1"/>
  <c r="V1032" i="1"/>
  <c r="AI1032" i="1" s="1"/>
  <c r="V1040" i="1"/>
  <c r="AI1040" i="1" s="1"/>
  <c r="V1064" i="1"/>
  <c r="AI1064" i="1" s="1"/>
  <c r="U1064" i="1"/>
  <c r="AH1064" i="1" s="1"/>
  <c r="T1064" i="1"/>
  <c r="AG1064" i="1" s="1"/>
  <c r="U844" i="1"/>
  <c r="AH844" i="1" s="1"/>
  <c r="T844" i="1"/>
  <c r="AG844" i="1" s="1"/>
  <c r="S844" i="1"/>
  <c r="AF844" i="1" s="1"/>
  <c r="R844" i="1"/>
  <c r="AE844" i="1" s="1"/>
  <c r="Q844" i="1"/>
  <c r="AD844" i="1" s="1"/>
  <c r="P844" i="1"/>
  <c r="AC844" i="1" s="1"/>
  <c r="V844" i="1"/>
  <c r="AI844" i="1" s="1"/>
  <c r="N844" i="1"/>
  <c r="AA844" i="1" s="1"/>
  <c r="O844" i="1"/>
  <c r="AB844" i="1" s="1"/>
  <c r="Q873" i="1"/>
  <c r="AD873" i="1" s="1"/>
  <c r="P873" i="1"/>
  <c r="AC873" i="1" s="1"/>
  <c r="O873" i="1"/>
  <c r="AB873" i="1" s="1"/>
  <c r="V873" i="1"/>
  <c r="AI873" i="1" s="1"/>
  <c r="N873" i="1"/>
  <c r="AA873" i="1" s="1"/>
  <c r="U873" i="1"/>
  <c r="AH873" i="1" s="1"/>
  <c r="M873" i="1"/>
  <c r="Z873" i="1" s="1"/>
  <c r="T873" i="1"/>
  <c r="AG873" i="1" s="1"/>
  <c r="L873" i="1"/>
  <c r="Y873" i="1" s="1"/>
  <c r="R873" i="1"/>
  <c r="AE873" i="1" s="1"/>
  <c r="S873" i="1"/>
  <c r="AF873" i="1" s="1"/>
  <c r="K873" i="1"/>
  <c r="X873" i="1" s="1"/>
  <c r="U866" i="1"/>
  <c r="AH866" i="1" s="1"/>
  <c r="T866" i="1"/>
  <c r="AG866" i="1" s="1"/>
  <c r="S866" i="1"/>
  <c r="AF866" i="1" s="1"/>
  <c r="R866" i="1"/>
  <c r="AE866" i="1" s="1"/>
  <c r="Q866" i="1"/>
  <c r="AD866" i="1" s="1"/>
  <c r="V866" i="1"/>
  <c r="AI866" i="1" s="1"/>
  <c r="S954" i="1"/>
  <c r="AF954" i="1" s="1"/>
  <c r="Q954" i="1"/>
  <c r="AD954" i="1" s="1"/>
  <c r="O954" i="1"/>
  <c r="AB954" i="1" s="1"/>
  <c r="V954" i="1"/>
  <c r="AI954" i="1" s="1"/>
  <c r="N954" i="1"/>
  <c r="AA954" i="1" s="1"/>
  <c r="T954" i="1"/>
  <c r="AG954" i="1" s="1"/>
  <c r="P954" i="1"/>
  <c r="AC954" i="1" s="1"/>
  <c r="R954" i="1"/>
  <c r="AE954" i="1" s="1"/>
  <c r="U954" i="1"/>
  <c r="AH954" i="1" s="1"/>
  <c r="T1145" i="1"/>
  <c r="AG1145" i="1" s="1"/>
  <c r="S1145" i="1"/>
  <c r="AF1145" i="1" s="1"/>
  <c r="R1145" i="1"/>
  <c r="AE1145" i="1" s="1"/>
  <c r="Q1145" i="1"/>
  <c r="AD1145" i="1" s="1"/>
  <c r="P1145" i="1"/>
  <c r="AC1145" i="1" s="1"/>
  <c r="O1145" i="1"/>
  <c r="AB1145" i="1" s="1"/>
  <c r="V1145" i="1"/>
  <c r="AI1145" i="1" s="1"/>
  <c r="N1145" i="1"/>
  <c r="AA1145" i="1" s="1"/>
  <c r="U1145" i="1"/>
  <c r="AH1145" i="1" s="1"/>
  <c r="J1126" i="1"/>
  <c r="V934" i="1"/>
  <c r="AI934" i="1" s="1"/>
  <c r="T934" i="1"/>
  <c r="AG934" i="1" s="1"/>
  <c r="U934" i="1"/>
  <c r="AH934" i="1" s="1"/>
  <c r="V1157" i="1"/>
  <c r="AI1157" i="1" s="1"/>
  <c r="U1157" i="1"/>
  <c r="AH1157" i="1" s="1"/>
  <c r="R1189" i="1"/>
  <c r="AE1189" i="1" s="1"/>
  <c r="Q1189" i="1"/>
  <c r="AD1189" i="1" s="1"/>
  <c r="P1189" i="1"/>
  <c r="AC1189" i="1" s="1"/>
  <c r="O1189" i="1"/>
  <c r="AB1189" i="1" s="1"/>
  <c r="V1189" i="1"/>
  <c r="AI1189" i="1" s="1"/>
  <c r="U1189" i="1"/>
  <c r="AH1189" i="1" s="1"/>
  <c r="T1189" i="1"/>
  <c r="AG1189" i="1" s="1"/>
  <c r="S1189" i="1"/>
  <c r="AF1189" i="1" s="1"/>
  <c r="R1361" i="1"/>
  <c r="AE1361" i="1" s="1"/>
  <c r="V1361" i="1"/>
  <c r="AI1361" i="1" s="1"/>
  <c r="U1361" i="1"/>
  <c r="AH1361" i="1" s="1"/>
  <c r="T1361" i="1"/>
  <c r="AG1361" i="1" s="1"/>
  <c r="S1361" i="1"/>
  <c r="AF1361" i="1" s="1"/>
  <c r="V1358" i="1"/>
  <c r="AI1358" i="1" s="1"/>
  <c r="U1358" i="1"/>
  <c r="AH1358" i="1" s="1"/>
  <c r="S1358" i="1"/>
  <c r="AF1358" i="1" s="1"/>
  <c r="R1358" i="1"/>
  <c r="AE1358" i="1" s="1"/>
  <c r="Q1358" i="1"/>
  <c r="AD1358" i="1" s="1"/>
  <c r="T1358" i="1"/>
  <c r="AG1358" i="1" s="1"/>
  <c r="P1358" i="1"/>
  <c r="AC1358" i="1" s="1"/>
  <c r="O1358" i="1"/>
  <c r="AB1358" i="1" s="1"/>
  <c r="R1294" i="1"/>
  <c r="AE1294" i="1" s="1"/>
  <c r="Q1294" i="1"/>
  <c r="AD1294" i="1" s="1"/>
  <c r="V1294" i="1"/>
  <c r="AI1294" i="1" s="1"/>
  <c r="U1294" i="1"/>
  <c r="AH1294" i="1" s="1"/>
  <c r="T1294" i="1"/>
  <c r="AG1294" i="1" s="1"/>
  <c r="S1294" i="1"/>
  <c r="AF1294" i="1" s="1"/>
  <c r="P1294" i="1"/>
  <c r="AC1294" i="1" s="1"/>
  <c r="V1309" i="1"/>
  <c r="AI1309" i="1" s="1"/>
  <c r="U1309" i="1"/>
  <c r="AH1309" i="1" s="1"/>
  <c r="T1309" i="1"/>
  <c r="AG1309" i="1" s="1"/>
  <c r="S1309" i="1"/>
  <c r="AF1309" i="1" s="1"/>
  <c r="R1309" i="1"/>
  <c r="AE1309" i="1" s="1"/>
  <c r="V1339" i="1"/>
  <c r="AI1339" i="1" s="1"/>
  <c r="V1478" i="1"/>
  <c r="AI1478" i="1" s="1"/>
  <c r="U1478" i="1"/>
  <c r="AH1478" i="1" s="1"/>
  <c r="T1478" i="1"/>
  <c r="AG1478" i="1" s="1"/>
  <c r="S1478" i="1"/>
  <c r="AF1478" i="1" s="1"/>
  <c r="R1478" i="1"/>
  <c r="AE1478" i="1" s="1"/>
  <c r="V1494" i="1"/>
  <c r="AI1494" i="1" s="1"/>
  <c r="U1494" i="1"/>
  <c r="AH1494" i="1" s="1"/>
  <c r="P1510" i="1"/>
  <c r="AC1510" i="1" s="1"/>
  <c r="O1510" i="1"/>
  <c r="AB1510" i="1" s="1"/>
  <c r="V1510" i="1"/>
  <c r="AI1510" i="1" s="1"/>
  <c r="N1510" i="1"/>
  <c r="AA1510" i="1" s="1"/>
  <c r="U1510" i="1"/>
  <c r="AH1510" i="1" s="1"/>
  <c r="M1510" i="1"/>
  <c r="Z1510" i="1" s="1"/>
  <c r="T1510" i="1"/>
  <c r="AG1510" i="1" s="1"/>
  <c r="L1510" i="1"/>
  <c r="Y1510" i="1" s="1"/>
  <c r="S1510" i="1"/>
  <c r="AF1510" i="1" s="1"/>
  <c r="K1510" i="1"/>
  <c r="X1510" i="1" s="1"/>
  <c r="R1510" i="1"/>
  <c r="AE1510" i="1" s="1"/>
  <c r="Q1510" i="1"/>
  <c r="AD1510" i="1" s="1"/>
  <c r="O1526" i="1"/>
  <c r="AB1526" i="1" s="1"/>
  <c r="V1526" i="1"/>
  <c r="AI1526" i="1" s="1"/>
  <c r="N1526" i="1"/>
  <c r="AA1526" i="1" s="1"/>
  <c r="T1526" i="1"/>
  <c r="AG1526" i="1" s="1"/>
  <c r="R1526" i="1"/>
  <c r="AE1526" i="1" s="1"/>
  <c r="Q1526" i="1"/>
  <c r="AD1526" i="1" s="1"/>
  <c r="P1526" i="1"/>
  <c r="AC1526" i="1" s="1"/>
  <c r="U1526" i="1"/>
  <c r="AH1526" i="1" s="1"/>
  <c r="S1526" i="1"/>
  <c r="AF1526" i="1" s="1"/>
  <c r="V1542" i="1"/>
  <c r="AI1542" i="1" s="1"/>
  <c r="U1542" i="1"/>
  <c r="AH1542" i="1" s="1"/>
  <c r="T1542" i="1"/>
  <c r="AG1542" i="1" s="1"/>
  <c r="R1542" i="1"/>
  <c r="AE1542" i="1" s="1"/>
  <c r="S1542" i="1"/>
  <c r="AF1542" i="1" s="1"/>
  <c r="Q1542" i="1"/>
  <c r="AD1542" i="1" s="1"/>
  <c r="V1558" i="1"/>
  <c r="AI1558" i="1" s="1"/>
  <c r="U1558" i="1"/>
  <c r="AH1558" i="1" s="1"/>
  <c r="T1558" i="1"/>
  <c r="AG1558" i="1" s="1"/>
  <c r="V1574" i="1"/>
  <c r="AI1574" i="1" s="1"/>
  <c r="R1233" i="1"/>
  <c r="AE1233" i="1" s="1"/>
  <c r="Q1233" i="1"/>
  <c r="AD1233" i="1" s="1"/>
  <c r="P1233" i="1"/>
  <c r="AC1233" i="1" s="1"/>
  <c r="V1233" i="1"/>
  <c r="AI1233" i="1" s="1"/>
  <c r="U1233" i="1"/>
  <c r="AH1233" i="1" s="1"/>
  <c r="T1233" i="1"/>
  <c r="AG1233" i="1" s="1"/>
  <c r="S1233" i="1"/>
  <c r="AF1233" i="1" s="1"/>
  <c r="V1404" i="1"/>
  <c r="AI1404" i="1" s="1"/>
  <c r="U1404" i="1"/>
  <c r="AH1404" i="1" s="1"/>
  <c r="P1460" i="1"/>
  <c r="AC1460" i="1" s="1"/>
  <c r="O1460" i="1"/>
  <c r="AB1460" i="1" s="1"/>
  <c r="V1460" i="1"/>
  <c r="AI1460" i="1" s="1"/>
  <c r="N1460" i="1"/>
  <c r="AA1460" i="1" s="1"/>
  <c r="U1460" i="1"/>
  <c r="AH1460" i="1" s="1"/>
  <c r="M1460" i="1"/>
  <c r="Z1460" i="1" s="1"/>
  <c r="T1460" i="1"/>
  <c r="AG1460" i="1" s="1"/>
  <c r="S1460" i="1"/>
  <c r="AF1460" i="1" s="1"/>
  <c r="R1460" i="1"/>
  <c r="AE1460" i="1" s="1"/>
  <c r="Q1460" i="1"/>
  <c r="AD1460" i="1" s="1"/>
  <c r="V1533" i="1"/>
  <c r="AI1533" i="1" s="1"/>
  <c r="U1533" i="1"/>
  <c r="AH1533" i="1" s="1"/>
  <c r="V1130" i="1"/>
  <c r="AI1130" i="1" s="1"/>
  <c r="U1130" i="1"/>
  <c r="AH1130" i="1" s="1"/>
  <c r="R1201" i="1"/>
  <c r="AE1201" i="1" s="1"/>
  <c r="Q1201" i="1"/>
  <c r="AD1201" i="1" s="1"/>
  <c r="P1201" i="1"/>
  <c r="AC1201" i="1" s="1"/>
  <c r="O1201" i="1"/>
  <c r="AB1201" i="1" s="1"/>
  <c r="V1201" i="1"/>
  <c r="AI1201" i="1" s="1"/>
  <c r="N1201" i="1"/>
  <c r="AA1201" i="1" s="1"/>
  <c r="U1201" i="1"/>
  <c r="AH1201" i="1" s="1"/>
  <c r="T1201" i="1"/>
  <c r="AG1201" i="1" s="1"/>
  <c r="S1201" i="1"/>
  <c r="AF1201" i="1" s="1"/>
  <c r="V1299" i="1"/>
  <c r="AI1299" i="1" s="1"/>
  <c r="U1299" i="1"/>
  <c r="AH1299" i="1" s="1"/>
  <c r="R1343" i="1"/>
  <c r="AE1343" i="1" s="1"/>
  <c r="Q1343" i="1"/>
  <c r="AD1343" i="1" s="1"/>
  <c r="O1343" i="1"/>
  <c r="AB1343" i="1" s="1"/>
  <c r="V1343" i="1"/>
  <c r="AI1343" i="1" s="1"/>
  <c r="N1343" i="1"/>
  <c r="AA1343" i="1" s="1"/>
  <c r="U1343" i="1"/>
  <c r="AH1343" i="1" s="1"/>
  <c r="M1343" i="1"/>
  <c r="Z1343" i="1" s="1"/>
  <c r="T1343" i="1"/>
  <c r="AG1343" i="1" s="1"/>
  <c r="S1343" i="1"/>
  <c r="AF1343" i="1" s="1"/>
  <c r="P1343" i="1"/>
  <c r="AC1343" i="1" s="1"/>
  <c r="T1143" i="1"/>
  <c r="AG1143" i="1" s="1"/>
  <c r="S1143" i="1"/>
  <c r="AF1143" i="1" s="1"/>
  <c r="R1143" i="1"/>
  <c r="AE1143" i="1" s="1"/>
  <c r="Q1143" i="1"/>
  <c r="AD1143" i="1" s="1"/>
  <c r="P1143" i="1"/>
  <c r="AC1143" i="1" s="1"/>
  <c r="O1143" i="1"/>
  <c r="AB1143" i="1" s="1"/>
  <c r="V1143" i="1"/>
  <c r="AI1143" i="1" s="1"/>
  <c r="N1143" i="1"/>
  <c r="AA1143" i="1" s="1"/>
  <c r="U1143" i="1"/>
  <c r="AH1143" i="1" s="1"/>
  <c r="V1365" i="1"/>
  <c r="AI1365" i="1" s="1"/>
  <c r="U1365" i="1"/>
  <c r="AH1365" i="1" s="1"/>
  <c r="T1365" i="1"/>
  <c r="AG1365" i="1" s="1"/>
  <c r="S1365" i="1"/>
  <c r="AF1365" i="1" s="1"/>
  <c r="V1198" i="1"/>
  <c r="AI1198" i="1" s="1"/>
  <c r="N1198" i="1"/>
  <c r="AA1198" i="1" s="1"/>
  <c r="U1198" i="1"/>
  <c r="AH1198" i="1" s="1"/>
  <c r="M1198" i="1"/>
  <c r="Z1198" i="1" s="1"/>
  <c r="T1198" i="1"/>
  <c r="AG1198" i="1" s="1"/>
  <c r="L1198" i="1"/>
  <c r="Y1198" i="1" s="1"/>
  <c r="S1198" i="1"/>
  <c r="AF1198" i="1" s="1"/>
  <c r="K1198" i="1"/>
  <c r="X1198" i="1" s="1"/>
  <c r="R1198" i="1"/>
  <c r="AE1198" i="1" s="1"/>
  <c r="Q1198" i="1"/>
  <c r="AD1198" i="1" s="1"/>
  <c r="P1198" i="1"/>
  <c r="AC1198" i="1" s="1"/>
  <c r="O1198" i="1"/>
  <c r="AB1198" i="1" s="1"/>
  <c r="V1182" i="1"/>
  <c r="AI1182" i="1" s="1"/>
  <c r="U1182" i="1"/>
  <c r="AH1182" i="1" s="1"/>
  <c r="T1182" i="1"/>
  <c r="AG1182" i="1" s="1"/>
  <c r="S1182" i="1"/>
  <c r="AF1182" i="1" s="1"/>
  <c r="V387" i="1"/>
  <c r="AI387" i="1" s="1"/>
  <c r="U387" i="1"/>
  <c r="AH387" i="1" s="1"/>
  <c r="S387" i="1"/>
  <c r="AF387" i="1" s="1"/>
  <c r="T387" i="1"/>
  <c r="AG387" i="1" s="1"/>
  <c r="R407" i="1"/>
  <c r="AE407" i="1" s="1"/>
  <c r="P407" i="1"/>
  <c r="AC407" i="1" s="1"/>
  <c r="O407" i="1"/>
  <c r="AB407" i="1" s="1"/>
  <c r="V407" i="1"/>
  <c r="AI407" i="1" s="1"/>
  <c r="N407" i="1"/>
  <c r="AA407" i="1" s="1"/>
  <c r="U407" i="1"/>
  <c r="AH407" i="1" s="1"/>
  <c r="M407" i="1"/>
  <c r="Z407" i="1" s="1"/>
  <c r="S407" i="1"/>
  <c r="AF407" i="1" s="1"/>
  <c r="T407" i="1"/>
  <c r="AG407" i="1" s="1"/>
  <c r="Q407" i="1"/>
  <c r="AD407" i="1" s="1"/>
  <c r="V120" i="1"/>
  <c r="AI120" i="1" s="1"/>
  <c r="N120" i="1"/>
  <c r="AA120" i="1" s="1"/>
  <c r="U120" i="1"/>
  <c r="AH120" i="1" s="1"/>
  <c r="M120" i="1"/>
  <c r="Z120" i="1" s="1"/>
  <c r="T120" i="1"/>
  <c r="AG120" i="1" s="1"/>
  <c r="L120" i="1"/>
  <c r="Y120" i="1" s="1"/>
  <c r="S120" i="1"/>
  <c r="AF120" i="1" s="1"/>
  <c r="K120" i="1"/>
  <c r="X120" i="1" s="1"/>
  <c r="R120" i="1"/>
  <c r="AE120" i="1" s="1"/>
  <c r="Q120" i="1"/>
  <c r="AD120" i="1" s="1"/>
  <c r="O120" i="1"/>
  <c r="AB120" i="1" s="1"/>
  <c r="P120" i="1"/>
  <c r="AC120" i="1" s="1"/>
  <c r="I156" i="1"/>
  <c r="J156" i="1" s="1"/>
  <c r="Q877" i="1"/>
  <c r="AD877" i="1" s="1"/>
  <c r="P877" i="1"/>
  <c r="AC877" i="1" s="1"/>
  <c r="O877" i="1"/>
  <c r="AB877" i="1" s="1"/>
  <c r="V877" i="1"/>
  <c r="AI877" i="1" s="1"/>
  <c r="U877" i="1"/>
  <c r="AH877" i="1" s="1"/>
  <c r="T877" i="1"/>
  <c r="AG877" i="1" s="1"/>
  <c r="R877" i="1"/>
  <c r="AE877" i="1" s="1"/>
  <c r="S877" i="1"/>
  <c r="AF877" i="1" s="1"/>
  <c r="V1158" i="1"/>
  <c r="AI1158" i="1" s="1"/>
  <c r="U1158" i="1"/>
  <c r="AH1158" i="1" s="1"/>
  <c r="V1255" i="1"/>
  <c r="AI1255" i="1" s="1"/>
  <c r="U1255" i="1"/>
  <c r="AH1255" i="1" s="1"/>
  <c r="S1255" i="1"/>
  <c r="AF1255" i="1" s="1"/>
  <c r="R1255" i="1"/>
  <c r="AE1255" i="1" s="1"/>
  <c r="Q1255" i="1"/>
  <c r="AD1255" i="1" s="1"/>
  <c r="T1255" i="1"/>
  <c r="AG1255" i="1" s="1"/>
  <c r="P1255" i="1"/>
  <c r="AC1255" i="1" s="1"/>
  <c r="V1186" i="1"/>
  <c r="AI1186" i="1" s="1"/>
  <c r="N1186" i="1"/>
  <c r="AA1186" i="1" s="1"/>
  <c r="U1186" i="1"/>
  <c r="AH1186" i="1" s="1"/>
  <c r="M1186" i="1"/>
  <c r="Z1186" i="1" s="1"/>
  <c r="T1186" i="1"/>
  <c r="AG1186" i="1" s="1"/>
  <c r="L1186" i="1"/>
  <c r="Y1186" i="1" s="1"/>
  <c r="S1186" i="1"/>
  <c r="AF1186" i="1" s="1"/>
  <c r="R1186" i="1"/>
  <c r="AE1186" i="1" s="1"/>
  <c r="Q1186" i="1"/>
  <c r="AD1186" i="1" s="1"/>
  <c r="P1186" i="1"/>
  <c r="AC1186" i="1" s="1"/>
  <c r="O1186" i="1"/>
  <c r="AB1186" i="1" s="1"/>
  <c r="Q769" i="1"/>
  <c r="AD769" i="1" s="1"/>
  <c r="P769" i="1"/>
  <c r="AC769" i="1" s="1"/>
  <c r="O769" i="1"/>
  <c r="AB769" i="1" s="1"/>
  <c r="V769" i="1"/>
  <c r="AI769" i="1" s="1"/>
  <c r="N769" i="1"/>
  <c r="AA769" i="1" s="1"/>
  <c r="U769" i="1"/>
  <c r="AH769" i="1" s="1"/>
  <c r="M769" i="1"/>
  <c r="Z769" i="1" s="1"/>
  <c r="T769" i="1"/>
  <c r="AG769" i="1" s="1"/>
  <c r="L769" i="1"/>
  <c r="Y769" i="1" s="1"/>
  <c r="R769" i="1"/>
  <c r="AE769" i="1" s="1"/>
  <c r="K769" i="1"/>
  <c r="X769" i="1" s="1"/>
  <c r="S769" i="1"/>
  <c r="AF769" i="1" s="1"/>
  <c r="V1234" i="1"/>
  <c r="AI1234" i="1" s="1"/>
  <c r="U1234" i="1"/>
  <c r="AH1234" i="1" s="1"/>
  <c r="T1234" i="1"/>
  <c r="AG1234" i="1" s="1"/>
  <c r="S1234" i="1"/>
  <c r="AF1234" i="1" s="1"/>
  <c r="R1234" i="1"/>
  <c r="AE1234" i="1" s="1"/>
  <c r="Q1234" i="1"/>
  <c r="AD1234" i="1" s="1"/>
  <c r="P1234" i="1"/>
  <c r="AC1234" i="1" s="1"/>
  <c r="T1093" i="1"/>
  <c r="AG1093" i="1" s="1"/>
  <c r="S1093" i="1"/>
  <c r="AF1093" i="1" s="1"/>
  <c r="R1093" i="1"/>
  <c r="AE1093" i="1" s="1"/>
  <c r="Q1093" i="1"/>
  <c r="AD1093" i="1" s="1"/>
  <c r="V1093" i="1"/>
  <c r="AI1093" i="1" s="1"/>
  <c r="U1093" i="1"/>
  <c r="AH1093" i="1" s="1"/>
  <c r="V1218" i="1"/>
  <c r="AI1218" i="1" s="1"/>
  <c r="U1218" i="1"/>
  <c r="AH1218" i="1" s="1"/>
  <c r="T1218" i="1"/>
  <c r="AG1218" i="1" s="1"/>
  <c r="S1218" i="1"/>
  <c r="AF1218" i="1" s="1"/>
  <c r="R1218" i="1"/>
  <c r="AE1218" i="1" s="1"/>
  <c r="T1121" i="1"/>
  <c r="AG1121" i="1" s="1"/>
  <c r="L1121" i="1"/>
  <c r="Y1121" i="1" s="1"/>
  <c r="S1121" i="1"/>
  <c r="AF1121" i="1" s="1"/>
  <c r="R1121" i="1"/>
  <c r="AE1121" i="1" s="1"/>
  <c r="Q1121" i="1"/>
  <c r="AD1121" i="1" s="1"/>
  <c r="P1121" i="1"/>
  <c r="AC1121" i="1" s="1"/>
  <c r="O1121" i="1"/>
  <c r="AB1121" i="1" s="1"/>
  <c r="V1121" i="1"/>
  <c r="AI1121" i="1" s="1"/>
  <c r="N1121" i="1"/>
  <c r="AA1121" i="1" s="1"/>
  <c r="U1121" i="1"/>
  <c r="AH1121" i="1" s="1"/>
  <c r="M1121" i="1"/>
  <c r="Z1121" i="1" s="1"/>
  <c r="Q888" i="1"/>
  <c r="AD888" i="1" s="1"/>
  <c r="V888" i="1"/>
  <c r="AI888" i="1" s="1"/>
  <c r="N888" i="1"/>
  <c r="AA888" i="1" s="1"/>
  <c r="T888" i="1"/>
  <c r="AG888" i="1" s="1"/>
  <c r="R888" i="1"/>
  <c r="AE888" i="1" s="1"/>
  <c r="P888" i="1"/>
  <c r="AC888" i="1" s="1"/>
  <c r="O888" i="1"/>
  <c r="AB888" i="1" s="1"/>
  <c r="M888" i="1"/>
  <c r="Z888" i="1" s="1"/>
  <c r="S888" i="1"/>
  <c r="AF888" i="1" s="1"/>
  <c r="U888" i="1"/>
  <c r="AH888" i="1" s="1"/>
  <c r="U885" i="1"/>
  <c r="AH885" i="1" s="1"/>
  <c r="V885" i="1"/>
  <c r="AI885" i="1" s="1"/>
  <c r="R1296" i="1"/>
  <c r="AE1296" i="1" s="1"/>
  <c r="V1296" i="1"/>
  <c r="AI1296" i="1" s="1"/>
  <c r="U1296" i="1"/>
  <c r="AH1296" i="1" s="1"/>
  <c r="T1296" i="1"/>
  <c r="AG1296" i="1" s="1"/>
  <c r="S1296" i="1"/>
  <c r="AF1296" i="1" s="1"/>
  <c r="V1105" i="1"/>
  <c r="AI1105" i="1" s="1"/>
  <c r="T1058" i="1"/>
  <c r="AG1058" i="1" s="1"/>
  <c r="S1058" i="1"/>
  <c r="AF1058" i="1" s="1"/>
  <c r="R1058" i="1"/>
  <c r="AE1058" i="1" s="1"/>
  <c r="Q1058" i="1"/>
  <c r="AD1058" i="1" s="1"/>
  <c r="P1058" i="1"/>
  <c r="AC1058" i="1" s="1"/>
  <c r="O1058" i="1"/>
  <c r="AB1058" i="1" s="1"/>
  <c r="V1058" i="1"/>
  <c r="AI1058" i="1" s="1"/>
  <c r="U1058" i="1"/>
  <c r="AH1058" i="1" s="1"/>
  <c r="N1058" i="1"/>
  <c r="AA1058" i="1" s="1"/>
  <c r="J1065" i="1"/>
  <c r="J1067" i="1"/>
  <c r="V90" i="1"/>
  <c r="AI90" i="1" s="1"/>
  <c r="U90" i="1"/>
  <c r="AH90" i="1" s="1"/>
  <c r="O210" i="1"/>
  <c r="AB210" i="1" s="1"/>
  <c r="U210" i="1"/>
  <c r="AH210" i="1" s="1"/>
  <c r="M210" i="1"/>
  <c r="Z210" i="1" s="1"/>
  <c r="S210" i="1"/>
  <c r="AF210" i="1" s="1"/>
  <c r="K210" i="1"/>
  <c r="X210" i="1" s="1"/>
  <c r="V210" i="1"/>
  <c r="AI210" i="1" s="1"/>
  <c r="T210" i="1"/>
  <c r="AG210" i="1" s="1"/>
  <c r="R210" i="1"/>
  <c r="AE210" i="1" s="1"/>
  <c r="Q210" i="1"/>
  <c r="AD210" i="1" s="1"/>
  <c r="P210" i="1"/>
  <c r="AC210" i="1" s="1"/>
  <c r="N210" i="1"/>
  <c r="AA210" i="1" s="1"/>
  <c r="L210" i="1"/>
  <c r="Y210" i="1" s="1"/>
  <c r="V340" i="1"/>
  <c r="AI340" i="1" s="1"/>
  <c r="N340" i="1"/>
  <c r="AA340" i="1" s="1"/>
  <c r="T340" i="1"/>
  <c r="AG340" i="1" s="1"/>
  <c r="L340" i="1"/>
  <c r="Y340" i="1" s="1"/>
  <c r="R340" i="1"/>
  <c r="AE340" i="1" s="1"/>
  <c r="Q340" i="1"/>
  <c r="AD340" i="1" s="1"/>
  <c r="O340" i="1"/>
  <c r="AB340" i="1" s="1"/>
  <c r="U340" i="1"/>
  <c r="AH340" i="1" s="1"/>
  <c r="S340" i="1"/>
  <c r="AF340" i="1" s="1"/>
  <c r="P340" i="1"/>
  <c r="AC340" i="1" s="1"/>
  <c r="M340" i="1"/>
  <c r="Z340" i="1" s="1"/>
  <c r="K340" i="1"/>
  <c r="X340" i="1" s="1"/>
  <c r="V481" i="1"/>
  <c r="AI481" i="1" s="1"/>
  <c r="V729" i="1"/>
  <c r="AI729" i="1" s="1"/>
  <c r="V894" i="1"/>
  <c r="AI894" i="1" s="1"/>
  <c r="T894" i="1"/>
  <c r="AG894" i="1" s="1"/>
  <c r="U894" i="1"/>
  <c r="AH894" i="1" s="1"/>
  <c r="S894" i="1"/>
  <c r="AF894" i="1" s="1"/>
  <c r="T1151" i="1"/>
  <c r="AG1151" i="1" s="1"/>
  <c r="S1151" i="1"/>
  <c r="AF1151" i="1" s="1"/>
  <c r="R1151" i="1"/>
  <c r="AE1151" i="1" s="1"/>
  <c r="Q1151" i="1"/>
  <c r="AD1151" i="1" s="1"/>
  <c r="P1151" i="1"/>
  <c r="AC1151" i="1" s="1"/>
  <c r="V1151" i="1"/>
  <c r="AI1151" i="1" s="1"/>
  <c r="U1151" i="1"/>
  <c r="AH1151" i="1" s="1"/>
  <c r="J1061" i="1"/>
  <c r="U16" i="1"/>
  <c r="AH16" i="1" s="1"/>
  <c r="M16" i="1"/>
  <c r="Z16" i="1" s="1"/>
  <c r="T16" i="1"/>
  <c r="AG16" i="1" s="1"/>
  <c r="L16" i="1"/>
  <c r="Y16" i="1" s="1"/>
  <c r="S16" i="1"/>
  <c r="AF16" i="1" s="1"/>
  <c r="Q16" i="1"/>
  <c r="AD16" i="1" s="1"/>
  <c r="O16" i="1"/>
  <c r="AB16" i="1" s="1"/>
  <c r="P16" i="1"/>
  <c r="AC16" i="1" s="1"/>
  <c r="N16" i="1"/>
  <c r="AA16" i="1" s="1"/>
  <c r="V16" i="1"/>
  <c r="AI16" i="1" s="1"/>
  <c r="R16" i="1"/>
  <c r="AE16" i="1" s="1"/>
  <c r="R147" i="1"/>
  <c r="AE147" i="1" s="1"/>
  <c r="Q147" i="1"/>
  <c r="AD147" i="1" s="1"/>
  <c r="P147" i="1"/>
  <c r="AC147" i="1" s="1"/>
  <c r="O147" i="1"/>
  <c r="AB147" i="1" s="1"/>
  <c r="V147" i="1"/>
  <c r="AI147" i="1" s="1"/>
  <c r="N147" i="1"/>
  <c r="AA147" i="1" s="1"/>
  <c r="U147" i="1"/>
  <c r="AH147" i="1" s="1"/>
  <c r="M147" i="1"/>
  <c r="Z147" i="1" s="1"/>
  <c r="S147" i="1"/>
  <c r="AF147" i="1" s="1"/>
  <c r="T147" i="1"/>
  <c r="AG147" i="1" s="1"/>
  <c r="J986" i="1"/>
  <c r="J1034" i="1"/>
  <c r="U945" i="1"/>
  <c r="AH945" i="1" s="1"/>
  <c r="R945" i="1"/>
  <c r="AE945" i="1" s="1"/>
  <c r="V945" i="1"/>
  <c r="AI945" i="1" s="1"/>
  <c r="T945" i="1"/>
  <c r="AG945" i="1" s="1"/>
  <c r="S945" i="1"/>
  <c r="AF945" i="1" s="1"/>
  <c r="T1161" i="1"/>
  <c r="AG1161" i="1" s="1"/>
  <c r="S1161" i="1"/>
  <c r="AF1161" i="1" s="1"/>
  <c r="R1161" i="1"/>
  <c r="AE1161" i="1" s="1"/>
  <c r="Q1161" i="1"/>
  <c r="AD1161" i="1" s="1"/>
  <c r="P1161" i="1"/>
  <c r="AC1161" i="1" s="1"/>
  <c r="O1161" i="1"/>
  <c r="AB1161" i="1" s="1"/>
  <c r="V1161" i="1"/>
  <c r="AI1161" i="1" s="1"/>
  <c r="N1161" i="1"/>
  <c r="AA1161" i="1" s="1"/>
  <c r="U1161" i="1"/>
  <c r="AH1161" i="1" s="1"/>
  <c r="M1161" i="1"/>
  <c r="Z1161" i="1" s="1"/>
  <c r="R1165" i="1"/>
  <c r="AE1165" i="1" s="1"/>
  <c r="Q1165" i="1"/>
  <c r="AD1165" i="1" s="1"/>
  <c r="P1165" i="1"/>
  <c r="AC1165" i="1" s="1"/>
  <c r="V1165" i="1"/>
  <c r="AI1165" i="1" s="1"/>
  <c r="U1165" i="1"/>
  <c r="AH1165" i="1" s="1"/>
  <c r="T1165" i="1"/>
  <c r="AG1165" i="1" s="1"/>
  <c r="S1165" i="1"/>
  <c r="AF1165" i="1" s="1"/>
  <c r="J1403" i="1"/>
  <c r="T1404" i="1" s="1"/>
  <c r="AG1404" i="1" s="1"/>
  <c r="J1443" i="1"/>
  <c r="J1547" i="1"/>
  <c r="V1263" i="1"/>
  <c r="AI1263" i="1" s="1"/>
  <c r="N1263" i="1"/>
  <c r="AA1263" i="1" s="1"/>
  <c r="U1263" i="1"/>
  <c r="AH1263" i="1" s="1"/>
  <c r="M1263" i="1"/>
  <c r="Z1263" i="1" s="1"/>
  <c r="S1263" i="1"/>
  <c r="AF1263" i="1" s="1"/>
  <c r="K1263" i="1"/>
  <c r="X1263" i="1" s="1"/>
  <c r="R1263" i="1"/>
  <c r="AE1263" i="1" s="1"/>
  <c r="Q1263" i="1"/>
  <c r="AD1263" i="1" s="1"/>
  <c r="O1263" i="1"/>
  <c r="AB1263" i="1" s="1"/>
  <c r="L1263" i="1"/>
  <c r="Y1263" i="1" s="1"/>
  <c r="T1263" i="1"/>
  <c r="AG1263" i="1" s="1"/>
  <c r="P1263" i="1"/>
  <c r="AC1263" i="1" s="1"/>
  <c r="J1546" i="1"/>
  <c r="J1545" i="1"/>
  <c r="J1619" i="1"/>
  <c r="J1715" i="1"/>
  <c r="J1608" i="1"/>
  <c r="J1688" i="1"/>
  <c r="J1702" i="1"/>
  <c r="J1621" i="1"/>
  <c r="J1669" i="1"/>
  <c r="J1614" i="1"/>
  <c r="J1634" i="1"/>
  <c r="J1190" i="1"/>
  <c r="N1191" i="1" s="1"/>
  <c r="AA1191" i="1" s="1"/>
  <c r="R411" i="1"/>
  <c r="AE411" i="1" s="1"/>
  <c r="V411" i="1"/>
  <c r="AI411" i="1" s="1"/>
  <c r="U411" i="1"/>
  <c r="AH411" i="1" s="1"/>
  <c r="S411" i="1"/>
  <c r="AF411" i="1" s="1"/>
  <c r="T411" i="1"/>
  <c r="AG411" i="1" s="1"/>
  <c r="Q411" i="1"/>
  <c r="AD411" i="1" s="1"/>
  <c r="T1113" i="1"/>
  <c r="AG1113" i="1" s="1"/>
  <c r="S1113" i="1"/>
  <c r="AF1113" i="1" s="1"/>
  <c r="R1113" i="1"/>
  <c r="AE1113" i="1" s="1"/>
  <c r="Q1113" i="1"/>
  <c r="AD1113" i="1" s="1"/>
  <c r="V1113" i="1"/>
  <c r="AI1113" i="1" s="1"/>
  <c r="U1113" i="1"/>
  <c r="AH1113" i="1" s="1"/>
  <c r="V1194" i="1"/>
  <c r="AI1194" i="1" s="1"/>
  <c r="U1194" i="1"/>
  <c r="AH1194" i="1" s="1"/>
  <c r="T1194" i="1"/>
  <c r="AG1194" i="1" s="1"/>
  <c r="S1194" i="1"/>
  <c r="AF1194" i="1" s="1"/>
  <c r="R1194" i="1"/>
  <c r="AE1194" i="1" s="1"/>
  <c r="Q1194" i="1"/>
  <c r="AD1194" i="1" s="1"/>
  <c r="P1194" i="1"/>
  <c r="AC1194" i="1" s="1"/>
  <c r="U832" i="1"/>
  <c r="AH832" i="1" s="1"/>
  <c r="T832" i="1"/>
  <c r="AG832" i="1" s="1"/>
  <c r="S832" i="1"/>
  <c r="AF832" i="1" s="1"/>
  <c r="V832" i="1"/>
  <c r="AI832" i="1" s="1"/>
  <c r="T1109" i="1"/>
  <c r="AG1109" i="1" s="1"/>
  <c r="S1109" i="1"/>
  <c r="AF1109" i="1" s="1"/>
  <c r="R1109" i="1"/>
  <c r="AE1109" i="1" s="1"/>
  <c r="Q1109" i="1"/>
  <c r="AD1109" i="1" s="1"/>
  <c r="P1109" i="1"/>
  <c r="AC1109" i="1" s="1"/>
  <c r="O1109" i="1"/>
  <c r="AB1109" i="1" s="1"/>
  <c r="V1109" i="1"/>
  <c r="AI1109" i="1" s="1"/>
  <c r="N1109" i="1"/>
  <c r="AA1109" i="1" s="1"/>
  <c r="U1109" i="1"/>
  <c r="AH1109" i="1" s="1"/>
  <c r="M1109" i="1"/>
  <c r="Z1109" i="1" s="1"/>
  <c r="V1251" i="1"/>
  <c r="AI1251" i="1" s="1"/>
  <c r="N1251" i="1"/>
  <c r="AA1251" i="1" s="1"/>
  <c r="U1251" i="1"/>
  <c r="AH1251" i="1" s="1"/>
  <c r="M1251" i="1"/>
  <c r="Z1251" i="1" s="1"/>
  <c r="S1251" i="1"/>
  <c r="AF1251" i="1" s="1"/>
  <c r="R1251" i="1"/>
  <c r="AE1251" i="1" s="1"/>
  <c r="Q1251" i="1"/>
  <c r="AD1251" i="1" s="1"/>
  <c r="T1251" i="1"/>
  <c r="AG1251" i="1" s="1"/>
  <c r="P1251" i="1"/>
  <c r="AC1251" i="1" s="1"/>
  <c r="O1251" i="1"/>
  <c r="AB1251" i="1" s="1"/>
  <c r="L1251" i="1"/>
  <c r="Y1251" i="1" s="1"/>
  <c r="T1135" i="1"/>
  <c r="AG1135" i="1" s="1"/>
  <c r="S1135" i="1"/>
  <c r="AF1135" i="1" s="1"/>
  <c r="R1135" i="1"/>
  <c r="AE1135" i="1" s="1"/>
  <c r="Q1135" i="1"/>
  <c r="AD1135" i="1" s="1"/>
  <c r="P1135" i="1"/>
  <c r="AC1135" i="1" s="1"/>
  <c r="O1135" i="1"/>
  <c r="AB1135" i="1" s="1"/>
  <c r="V1135" i="1"/>
  <c r="AI1135" i="1" s="1"/>
  <c r="N1135" i="1"/>
  <c r="AA1135" i="1" s="1"/>
  <c r="U1135" i="1"/>
  <c r="AH1135" i="1" s="1"/>
  <c r="M1135" i="1"/>
  <c r="Z1135" i="1" s="1"/>
  <c r="T1099" i="1"/>
  <c r="AG1099" i="1" s="1"/>
  <c r="S1099" i="1"/>
  <c r="AF1099" i="1" s="1"/>
  <c r="R1099" i="1"/>
  <c r="AE1099" i="1" s="1"/>
  <c r="Q1099" i="1"/>
  <c r="AD1099" i="1" s="1"/>
  <c r="P1099" i="1"/>
  <c r="AC1099" i="1" s="1"/>
  <c r="V1099" i="1"/>
  <c r="AI1099" i="1" s="1"/>
  <c r="U1099" i="1"/>
  <c r="AH1099" i="1" s="1"/>
  <c r="R1235" i="1"/>
  <c r="AE1235" i="1" s="1"/>
  <c r="Q1235" i="1"/>
  <c r="AD1235" i="1" s="1"/>
  <c r="P1235" i="1"/>
  <c r="AC1235" i="1" s="1"/>
  <c r="V1235" i="1"/>
  <c r="AI1235" i="1" s="1"/>
  <c r="U1235" i="1"/>
  <c r="AH1235" i="1" s="1"/>
  <c r="T1235" i="1"/>
  <c r="AG1235" i="1" s="1"/>
  <c r="S1235" i="1"/>
  <c r="AF1235" i="1" s="1"/>
  <c r="V1210" i="1"/>
  <c r="AI1210" i="1" s="1"/>
  <c r="U1210" i="1"/>
  <c r="AH1210" i="1" s="1"/>
  <c r="T1210" i="1"/>
  <c r="AG1210" i="1" s="1"/>
  <c r="S1210" i="1"/>
  <c r="AF1210" i="1" s="1"/>
  <c r="V1301" i="1"/>
  <c r="AI1301" i="1" s="1"/>
  <c r="J748" i="1"/>
  <c r="J1336" i="1"/>
  <c r="R1339" i="1" s="1"/>
  <c r="AE1339" i="1" s="1"/>
  <c r="J715" i="1"/>
  <c r="J896" i="1"/>
  <c r="J756" i="1"/>
  <c r="J1247" i="1"/>
  <c r="T1073" i="1"/>
  <c r="AG1073" i="1" s="1"/>
  <c r="S1073" i="1"/>
  <c r="AF1073" i="1" s="1"/>
  <c r="R1073" i="1"/>
  <c r="AE1073" i="1" s="1"/>
  <c r="Q1073" i="1"/>
  <c r="AD1073" i="1" s="1"/>
  <c r="P1073" i="1"/>
  <c r="AC1073" i="1" s="1"/>
  <c r="V1073" i="1"/>
  <c r="AI1073" i="1" s="1"/>
  <c r="U1073" i="1"/>
  <c r="AH1073" i="1" s="1"/>
  <c r="V650" i="1"/>
  <c r="AI650" i="1" s="1"/>
  <c r="V1244" i="1"/>
  <c r="AI1244" i="1" s="1"/>
  <c r="U1244" i="1"/>
  <c r="AH1244" i="1" s="1"/>
  <c r="T1244" i="1"/>
  <c r="AG1244" i="1" s="1"/>
  <c r="S1244" i="1"/>
  <c r="AF1244" i="1" s="1"/>
  <c r="R1244" i="1"/>
  <c r="AE1244" i="1" s="1"/>
  <c r="R131" i="1"/>
  <c r="AE131" i="1" s="1"/>
  <c r="Q131" i="1"/>
  <c r="AD131" i="1" s="1"/>
  <c r="P131" i="1"/>
  <c r="AC131" i="1" s="1"/>
  <c r="O131" i="1"/>
  <c r="AB131" i="1" s="1"/>
  <c r="V131" i="1"/>
  <c r="AI131" i="1" s="1"/>
  <c r="N131" i="1"/>
  <c r="AA131" i="1" s="1"/>
  <c r="U131" i="1"/>
  <c r="AH131" i="1" s="1"/>
  <c r="M131" i="1"/>
  <c r="Z131" i="1" s="1"/>
  <c r="S131" i="1"/>
  <c r="AF131" i="1" s="1"/>
  <c r="K131" i="1"/>
  <c r="X131" i="1" s="1"/>
  <c r="T131" i="1"/>
  <c r="AG131" i="1" s="1"/>
  <c r="L131" i="1"/>
  <c r="Y131" i="1" s="1"/>
  <c r="R129" i="1"/>
  <c r="AE129" i="1" s="1"/>
  <c r="Q129" i="1"/>
  <c r="AD129" i="1" s="1"/>
  <c r="P129" i="1"/>
  <c r="AC129" i="1" s="1"/>
  <c r="O129" i="1"/>
  <c r="AB129" i="1" s="1"/>
  <c r="V129" i="1"/>
  <c r="AI129" i="1" s="1"/>
  <c r="N129" i="1"/>
  <c r="AA129" i="1" s="1"/>
  <c r="U129" i="1"/>
  <c r="AH129" i="1" s="1"/>
  <c r="M129" i="1"/>
  <c r="Z129" i="1" s="1"/>
  <c r="S129" i="1"/>
  <c r="AF129" i="1" s="1"/>
  <c r="K129" i="1"/>
  <c r="X129" i="1" s="1"/>
  <c r="L129" i="1"/>
  <c r="Y129" i="1" s="1"/>
  <c r="T129" i="1"/>
  <c r="AG129" i="1" s="1"/>
  <c r="V130" i="1"/>
  <c r="AI130" i="1" s="1"/>
  <c r="N130" i="1"/>
  <c r="AA130" i="1" s="1"/>
  <c r="U130" i="1"/>
  <c r="AH130" i="1" s="1"/>
  <c r="M130" i="1"/>
  <c r="Z130" i="1" s="1"/>
  <c r="T130" i="1"/>
  <c r="AG130" i="1" s="1"/>
  <c r="L130" i="1"/>
  <c r="Y130" i="1" s="1"/>
  <c r="S130" i="1"/>
  <c r="AF130" i="1" s="1"/>
  <c r="K130" i="1"/>
  <c r="X130" i="1" s="1"/>
  <c r="R130" i="1"/>
  <c r="AE130" i="1" s="1"/>
  <c r="Q130" i="1"/>
  <c r="AD130" i="1" s="1"/>
  <c r="O130" i="1"/>
  <c r="AB130" i="1" s="1"/>
  <c r="P130" i="1"/>
  <c r="AC130" i="1" s="1"/>
  <c r="V272" i="1"/>
  <c r="AI272" i="1" s="1"/>
  <c r="U272" i="1"/>
  <c r="AH272" i="1" s="1"/>
  <c r="J362" i="1"/>
  <c r="R341" i="1"/>
  <c r="AE341" i="1" s="1"/>
  <c r="P341" i="1"/>
  <c r="AC341" i="1" s="1"/>
  <c r="V341" i="1"/>
  <c r="AI341" i="1" s="1"/>
  <c r="N341" i="1"/>
  <c r="AA341" i="1" s="1"/>
  <c r="U341" i="1"/>
  <c r="AH341" i="1" s="1"/>
  <c r="M341" i="1"/>
  <c r="Z341" i="1" s="1"/>
  <c r="S341" i="1"/>
  <c r="AF341" i="1" s="1"/>
  <c r="L341" i="1"/>
  <c r="Y341" i="1" s="1"/>
  <c r="T341" i="1"/>
  <c r="AG341" i="1" s="1"/>
  <c r="O341" i="1"/>
  <c r="AB341" i="1" s="1"/>
  <c r="Q341" i="1"/>
  <c r="AD341" i="1" s="1"/>
  <c r="R463" i="1"/>
  <c r="AE463" i="1" s="1"/>
  <c r="V463" i="1"/>
  <c r="AI463" i="1" s="1"/>
  <c r="U463" i="1"/>
  <c r="AH463" i="1" s="1"/>
  <c r="S463" i="1"/>
  <c r="AF463" i="1" s="1"/>
  <c r="T463" i="1"/>
  <c r="AG463" i="1" s="1"/>
  <c r="Q463" i="1"/>
  <c r="AD463" i="1" s="1"/>
  <c r="V418" i="1"/>
  <c r="AI418" i="1" s="1"/>
  <c r="N418" i="1"/>
  <c r="AA418" i="1" s="1"/>
  <c r="T418" i="1"/>
  <c r="AG418" i="1" s="1"/>
  <c r="L418" i="1"/>
  <c r="Y418" i="1" s="1"/>
  <c r="S418" i="1"/>
  <c r="AF418" i="1" s="1"/>
  <c r="K418" i="1"/>
  <c r="X418" i="1" s="1"/>
  <c r="R418" i="1"/>
  <c r="AE418" i="1" s="1"/>
  <c r="Q418" i="1"/>
  <c r="AD418" i="1" s="1"/>
  <c r="O418" i="1"/>
  <c r="AB418" i="1" s="1"/>
  <c r="U418" i="1"/>
  <c r="AH418" i="1" s="1"/>
  <c r="P418" i="1"/>
  <c r="AC418" i="1" s="1"/>
  <c r="M418" i="1"/>
  <c r="Z418" i="1" s="1"/>
  <c r="R475" i="1"/>
  <c r="AE475" i="1" s="1"/>
  <c r="P475" i="1"/>
  <c r="AC475" i="1" s="1"/>
  <c r="V475" i="1"/>
  <c r="AI475" i="1" s="1"/>
  <c r="U475" i="1"/>
  <c r="AH475" i="1" s="1"/>
  <c r="S475" i="1"/>
  <c r="AF475" i="1" s="1"/>
  <c r="T475" i="1"/>
  <c r="AG475" i="1" s="1"/>
  <c r="Q475" i="1"/>
  <c r="AD475" i="1" s="1"/>
  <c r="R485" i="1"/>
  <c r="AE485" i="1" s="1"/>
  <c r="P485" i="1"/>
  <c r="AC485" i="1" s="1"/>
  <c r="O485" i="1"/>
  <c r="AB485" i="1" s="1"/>
  <c r="V485" i="1"/>
  <c r="AI485" i="1" s="1"/>
  <c r="N485" i="1"/>
  <c r="AA485" i="1" s="1"/>
  <c r="U485" i="1"/>
  <c r="AH485" i="1" s="1"/>
  <c r="M485" i="1"/>
  <c r="Z485" i="1" s="1"/>
  <c r="S485" i="1"/>
  <c r="AF485" i="1" s="1"/>
  <c r="T485" i="1"/>
  <c r="AG485" i="1" s="1"/>
  <c r="Q485" i="1"/>
  <c r="AD485" i="1" s="1"/>
  <c r="S698" i="1"/>
  <c r="AF698" i="1" s="1"/>
  <c r="R698" i="1"/>
  <c r="AE698" i="1" s="1"/>
  <c r="V698" i="1"/>
  <c r="AI698" i="1" s="1"/>
  <c r="T698" i="1"/>
  <c r="AG698" i="1" s="1"/>
  <c r="U698" i="1"/>
  <c r="AH698" i="1" s="1"/>
  <c r="V737" i="1"/>
  <c r="AI737" i="1" s="1"/>
  <c r="U737" i="1"/>
  <c r="AH737" i="1" s="1"/>
  <c r="T737" i="1"/>
  <c r="AG737" i="1" s="1"/>
  <c r="R737" i="1"/>
  <c r="AE737" i="1" s="1"/>
  <c r="S737" i="1"/>
  <c r="AF737" i="1" s="1"/>
  <c r="U724" i="1"/>
  <c r="AH724" i="1" s="1"/>
  <c r="T724" i="1"/>
  <c r="AG724" i="1" s="1"/>
  <c r="S724" i="1"/>
  <c r="AF724" i="1" s="1"/>
  <c r="R724" i="1"/>
  <c r="AE724" i="1" s="1"/>
  <c r="V724" i="1"/>
  <c r="AI724" i="1" s="1"/>
  <c r="U744" i="1"/>
  <c r="AH744" i="1" s="1"/>
  <c r="M744" i="1"/>
  <c r="Z744" i="1" s="1"/>
  <c r="T744" i="1"/>
  <c r="AG744" i="1" s="1"/>
  <c r="L744" i="1"/>
  <c r="Y744" i="1" s="1"/>
  <c r="S744" i="1"/>
  <c r="AF744" i="1" s="1"/>
  <c r="R744" i="1"/>
  <c r="AE744" i="1" s="1"/>
  <c r="Q744" i="1"/>
  <c r="AD744" i="1" s="1"/>
  <c r="P744" i="1"/>
  <c r="AC744" i="1" s="1"/>
  <c r="V744" i="1"/>
  <c r="AI744" i="1" s="1"/>
  <c r="N744" i="1"/>
  <c r="AA744" i="1" s="1"/>
  <c r="O744" i="1"/>
  <c r="AB744" i="1" s="1"/>
  <c r="U826" i="1"/>
  <c r="AH826" i="1" s="1"/>
  <c r="T826" i="1"/>
  <c r="AG826" i="1" s="1"/>
  <c r="S826" i="1"/>
  <c r="AF826" i="1" s="1"/>
  <c r="R826" i="1"/>
  <c r="AE826" i="1" s="1"/>
  <c r="Q826" i="1"/>
  <c r="AD826" i="1" s="1"/>
  <c r="P826" i="1"/>
  <c r="AC826" i="1" s="1"/>
  <c r="V826" i="1"/>
  <c r="AI826" i="1" s="1"/>
  <c r="U788" i="1"/>
  <c r="AH788" i="1" s="1"/>
  <c r="M788" i="1"/>
  <c r="Z788" i="1" s="1"/>
  <c r="T788" i="1"/>
  <c r="AG788" i="1" s="1"/>
  <c r="L788" i="1"/>
  <c r="Y788" i="1" s="1"/>
  <c r="S788" i="1"/>
  <c r="AF788" i="1" s="1"/>
  <c r="K788" i="1"/>
  <c r="X788" i="1" s="1"/>
  <c r="R788" i="1"/>
  <c r="AE788" i="1" s="1"/>
  <c r="Q788" i="1"/>
  <c r="AD788" i="1" s="1"/>
  <c r="P788" i="1"/>
  <c r="AC788" i="1" s="1"/>
  <c r="V788" i="1"/>
  <c r="AI788" i="1" s="1"/>
  <c r="N788" i="1"/>
  <c r="AA788" i="1" s="1"/>
  <c r="O788" i="1"/>
  <c r="AB788" i="1" s="1"/>
  <c r="U846" i="1"/>
  <c r="AH846" i="1" s="1"/>
  <c r="T846" i="1"/>
  <c r="AG846" i="1" s="1"/>
  <c r="S846" i="1"/>
  <c r="AF846" i="1" s="1"/>
  <c r="R846" i="1"/>
  <c r="AE846" i="1" s="1"/>
  <c r="Q846" i="1"/>
  <c r="AD846" i="1" s="1"/>
  <c r="P846" i="1"/>
  <c r="AC846" i="1" s="1"/>
  <c r="V846" i="1"/>
  <c r="AI846" i="1" s="1"/>
  <c r="N846" i="1"/>
  <c r="AA846" i="1" s="1"/>
  <c r="O846" i="1"/>
  <c r="AB846" i="1" s="1"/>
  <c r="Q928" i="1"/>
  <c r="AD928" i="1" s="1"/>
  <c r="V928" i="1"/>
  <c r="AI928" i="1" s="1"/>
  <c r="N928" i="1"/>
  <c r="AA928" i="1" s="1"/>
  <c r="T928" i="1"/>
  <c r="AG928" i="1" s="1"/>
  <c r="U928" i="1"/>
  <c r="AH928" i="1" s="1"/>
  <c r="S928" i="1"/>
  <c r="AF928" i="1" s="1"/>
  <c r="R928" i="1"/>
  <c r="AE928" i="1" s="1"/>
  <c r="P928" i="1"/>
  <c r="AC928" i="1" s="1"/>
  <c r="O928" i="1"/>
  <c r="AB928" i="1" s="1"/>
  <c r="U814" i="1"/>
  <c r="AH814" i="1" s="1"/>
  <c r="M814" i="1"/>
  <c r="Z814" i="1" s="1"/>
  <c r="T814" i="1"/>
  <c r="AG814" i="1" s="1"/>
  <c r="L814" i="1"/>
  <c r="Y814" i="1" s="1"/>
  <c r="S814" i="1"/>
  <c r="AF814" i="1" s="1"/>
  <c r="R814" i="1"/>
  <c r="AE814" i="1" s="1"/>
  <c r="Q814" i="1"/>
  <c r="AD814" i="1" s="1"/>
  <c r="P814" i="1"/>
  <c r="AC814" i="1" s="1"/>
  <c r="V814" i="1"/>
  <c r="AI814" i="1" s="1"/>
  <c r="N814" i="1"/>
  <c r="AA814" i="1" s="1"/>
  <c r="O814" i="1"/>
  <c r="AB814" i="1" s="1"/>
  <c r="Q847" i="1"/>
  <c r="AD847" i="1" s="1"/>
  <c r="P847" i="1"/>
  <c r="AC847" i="1" s="1"/>
  <c r="O847" i="1"/>
  <c r="AB847" i="1" s="1"/>
  <c r="V847" i="1"/>
  <c r="AI847" i="1" s="1"/>
  <c r="N847" i="1"/>
  <c r="AA847" i="1" s="1"/>
  <c r="U847" i="1"/>
  <c r="AH847" i="1" s="1"/>
  <c r="M847" i="1"/>
  <c r="Z847" i="1" s="1"/>
  <c r="T847" i="1"/>
  <c r="AG847" i="1" s="1"/>
  <c r="L847" i="1"/>
  <c r="Y847" i="1" s="1"/>
  <c r="R847" i="1"/>
  <c r="AE847" i="1" s="1"/>
  <c r="S847" i="1"/>
  <c r="AF847" i="1" s="1"/>
  <c r="K847" i="1"/>
  <c r="X847" i="1" s="1"/>
  <c r="Q811" i="1"/>
  <c r="AD811" i="1" s="1"/>
  <c r="P811" i="1"/>
  <c r="AC811" i="1" s="1"/>
  <c r="O811" i="1"/>
  <c r="AB811" i="1" s="1"/>
  <c r="V811" i="1"/>
  <c r="AI811" i="1" s="1"/>
  <c r="N811" i="1"/>
  <c r="AA811" i="1" s="1"/>
  <c r="U811" i="1"/>
  <c r="AH811" i="1" s="1"/>
  <c r="M811" i="1"/>
  <c r="Z811" i="1" s="1"/>
  <c r="T811" i="1"/>
  <c r="AG811" i="1" s="1"/>
  <c r="L811" i="1"/>
  <c r="Y811" i="1" s="1"/>
  <c r="R811" i="1"/>
  <c r="AE811" i="1" s="1"/>
  <c r="S811" i="1"/>
  <c r="AF811" i="1" s="1"/>
  <c r="P967" i="1"/>
  <c r="AC967" i="1" s="1"/>
  <c r="O967" i="1"/>
  <c r="AB967" i="1" s="1"/>
  <c r="V967" i="1"/>
  <c r="AI967" i="1" s="1"/>
  <c r="N967" i="1"/>
  <c r="AA967" i="1" s="1"/>
  <c r="U967" i="1"/>
  <c r="AH967" i="1" s="1"/>
  <c r="T967" i="1"/>
  <c r="AG967" i="1" s="1"/>
  <c r="S967" i="1"/>
  <c r="AF967" i="1" s="1"/>
  <c r="R967" i="1"/>
  <c r="AE967" i="1" s="1"/>
  <c r="Q967" i="1"/>
  <c r="AD967" i="1" s="1"/>
  <c r="V975" i="1"/>
  <c r="AI975" i="1" s="1"/>
  <c r="V983" i="1"/>
  <c r="AI983" i="1" s="1"/>
  <c r="U983" i="1"/>
  <c r="AH983" i="1" s="1"/>
  <c r="T983" i="1"/>
  <c r="AG983" i="1" s="1"/>
  <c r="S983" i="1"/>
  <c r="AF983" i="1" s="1"/>
  <c r="R983" i="1"/>
  <c r="AE983" i="1" s="1"/>
  <c r="Q983" i="1"/>
  <c r="AD983" i="1" s="1"/>
  <c r="T1048" i="1"/>
  <c r="AG1048" i="1" s="1"/>
  <c r="S1048" i="1"/>
  <c r="AF1048" i="1" s="1"/>
  <c r="R1048" i="1"/>
  <c r="AE1048" i="1" s="1"/>
  <c r="Q1048" i="1"/>
  <c r="AD1048" i="1" s="1"/>
  <c r="P1048" i="1"/>
  <c r="AC1048" i="1" s="1"/>
  <c r="U1048" i="1"/>
  <c r="AH1048" i="1" s="1"/>
  <c r="V1048" i="1"/>
  <c r="AI1048" i="1" s="1"/>
  <c r="V882" i="1"/>
  <c r="AI882" i="1" s="1"/>
  <c r="T882" i="1"/>
  <c r="AG882" i="1" s="1"/>
  <c r="U882" i="1"/>
  <c r="AH882" i="1" s="1"/>
  <c r="Q849" i="1"/>
  <c r="AD849" i="1" s="1"/>
  <c r="P849" i="1"/>
  <c r="AC849" i="1" s="1"/>
  <c r="O849" i="1"/>
  <c r="AB849" i="1" s="1"/>
  <c r="V849" i="1"/>
  <c r="AI849" i="1" s="1"/>
  <c r="N849" i="1"/>
  <c r="AA849" i="1" s="1"/>
  <c r="U849" i="1"/>
  <c r="AH849" i="1" s="1"/>
  <c r="M849" i="1"/>
  <c r="Z849" i="1" s="1"/>
  <c r="T849" i="1"/>
  <c r="AG849" i="1" s="1"/>
  <c r="R849" i="1"/>
  <c r="AE849" i="1" s="1"/>
  <c r="S849" i="1"/>
  <c r="AF849" i="1" s="1"/>
  <c r="J1047" i="1"/>
  <c r="O1048" i="1" s="1"/>
  <c r="AB1048" i="1" s="1"/>
  <c r="Q944" i="1"/>
  <c r="AD944" i="1" s="1"/>
  <c r="V944" i="1"/>
  <c r="AI944" i="1" s="1"/>
  <c r="T944" i="1"/>
  <c r="AG944" i="1" s="1"/>
  <c r="U944" i="1"/>
  <c r="AH944" i="1" s="1"/>
  <c r="S944" i="1"/>
  <c r="AF944" i="1" s="1"/>
  <c r="R944" i="1"/>
  <c r="AE944" i="1" s="1"/>
  <c r="S958" i="1"/>
  <c r="AF958" i="1" s="1"/>
  <c r="R958" i="1"/>
  <c r="AE958" i="1" s="1"/>
  <c r="V958" i="1"/>
  <c r="AI958" i="1" s="1"/>
  <c r="T958" i="1"/>
  <c r="AG958" i="1" s="1"/>
  <c r="U958" i="1"/>
  <c r="AH958" i="1" s="1"/>
  <c r="J1136" i="1"/>
  <c r="L1135" i="1" s="1"/>
  <c r="Y1135" i="1" s="1"/>
  <c r="V1200" i="1"/>
  <c r="AI1200" i="1" s="1"/>
  <c r="N1200" i="1"/>
  <c r="AA1200" i="1" s="1"/>
  <c r="U1200" i="1"/>
  <c r="AH1200" i="1" s="1"/>
  <c r="M1200" i="1"/>
  <c r="Z1200" i="1" s="1"/>
  <c r="T1200" i="1"/>
  <c r="AG1200" i="1" s="1"/>
  <c r="S1200" i="1"/>
  <c r="AF1200" i="1" s="1"/>
  <c r="R1200" i="1"/>
  <c r="AE1200" i="1" s="1"/>
  <c r="Q1200" i="1"/>
  <c r="AD1200" i="1" s="1"/>
  <c r="P1200" i="1"/>
  <c r="AC1200" i="1" s="1"/>
  <c r="O1200" i="1"/>
  <c r="AB1200" i="1" s="1"/>
  <c r="V1279" i="1"/>
  <c r="AI1279" i="1" s="1"/>
  <c r="N1279" i="1"/>
  <c r="AA1279" i="1" s="1"/>
  <c r="U1279" i="1"/>
  <c r="AH1279" i="1" s="1"/>
  <c r="S1279" i="1"/>
  <c r="AF1279" i="1" s="1"/>
  <c r="R1279" i="1"/>
  <c r="AE1279" i="1" s="1"/>
  <c r="Q1279" i="1"/>
  <c r="AD1279" i="1" s="1"/>
  <c r="O1279" i="1"/>
  <c r="AB1279" i="1" s="1"/>
  <c r="T1279" i="1"/>
  <c r="AG1279" i="1" s="1"/>
  <c r="P1279" i="1"/>
  <c r="AC1279" i="1" s="1"/>
  <c r="J1470" i="1"/>
  <c r="J1488" i="1"/>
  <c r="J1504" i="1"/>
  <c r="J1520" i="1"/>
  <c r="J1536" i="1"/>
  <c r="J1552" i="1"/>
  <c r="J1568" i="1"/>
  <c r="J55" i="1"/>
  <c r="J1418" i="1"/>
  <c r="J1468" i="1"/>
  <c r="J1569" i="1"/>
  <c r="O1319" i="1"/>
  <c r="AB1319" i="1" s="1"/>
  <c r="V1319" i="1"/>
  <c r="AI1319" i="1" s="1"/>
  <c r="U1319" i="1"/>
  <c r="AH1319" i="1" s="1"/>
  <c r="T1319" i="1"/>
  <c r="AG1319" i="1" s="1"/>
  <c r="S1319" i="1"/>
  <c r="AF1319" i="1" s="1"/>
  <c r="R1319" i="1"/>
  <c r="AE1319" i="1" s="1"/>
  <c r="Q1319" i="1"/>
  <c r="AD1319" i="1" s="1"/>
  <c r="P1319" i="1"/>
  <c r="AC1319" i="1" s="1"/>
  <c r="R1369" i="1"/>
  <c r="AE1369" i="1" s="1"/>
  <c r="Q1369" i="1"/>
  <c r="AD1369" i="1" s="1"/>
  <c r="O1369" i="1"/>
  <c r="AB1369" i="1" s="1"/>
  <c r="V1369" i="1"/>
  <c r="AI1369" i="1" s="1"/>
  <c r="N1369" i="1"/>
  <c r="AA1369" i="1" s="1"/>
  <c r="U1369" i="1"/>
  <c r="AH1369" i="1" s="1"/>
  <c r="M1369" i="1"/>
  <c r="Z1369" i="1" s="1"/>
  <c r="P1369" i="1"/>
  <c r="AC1369" i="1" s="1"/>
  <c r="T1369" i="1"/>
  <c r="AG1369" i="1" s="1"/>
  <c r="S1369" i="1"/>
  <c r="AF1369" i="1" s="1"/>
  <c r="R1215" i="1"/>
  <c r="AE1215" i="1" s="1"/>
  <c r="Q1215" i="1"/>
  <c r="AD1215" i="1" s="1"/>
  <c r="P1215" i="1"/>
  <c r="AC1215" i="1" s="1"/>
  <c r="O1215" i="1"/>
  <c r="AB1215" i="1" s="1"/>
  <c r="V1215" i="1"/>
  <c r="AI1215" i="1" s="1"/>
  <c r="U1215" i="1"/>
  <c r="AH1215" i="1" s="1"/>
  <c r="T1215" i="1"/>
  <c r="AG1215" i="1" s="1"/>
  <c r="S1215" i="1"/>
  <c r="AF1215" i="1" s="1"/>
  <c r="O1303" i="1"/>
  <c r="AB1303" i="1" s="1"/>
  <c r="V1303" i="1"/>
  <c r="AI1303" i="1" s="1"/>
  <c r="N1303" i="1"/>
  <c r="AA1303" i="1" s="1"/>
  <c r="U1303" i="1"/>
  <c r="AH1303" i="1" s="1"/>
  <c r="M1303" i="1"/>
  <c r="Z1303" i="1" s="1"/>
  <c r="T1303" i="1"/>
  <c r="AG1303" i="1" s="1"/>
  <c r="L1303" i="1"/>
  <c r="Y1303" i="1" s="1"/>
  <c r="S1303" i="1"/>
  <c r="AF1303" i="1" s="1"/>
  <c r="R1303" i="1"/>
  <c r="AE1303" i="1" s="1"/>
  <c r="Q1303" i="1"/>
  <c r="AD1303" i="1" s="1"/>
  <c r="P1303" i="1"/>
  <c r="AC1303" i="1" s="1"/>
  <c r="V1277" i="1"/>
  <c r="AI1277" i="1" s="1"/>
  <c r="N1277" i="1"/>
  <c r="AA1277" i="1" s="1"/>
  <c r="U1277" i="1"/>
  <c r="AH1277" i="1" s="1"/>
  <c r="M1277" i="1"/>
  <c r="Z1277" i="1" s="1"/>
  <c r="S1277" i="1"/>
  <c r="AF1277" i="1" s="1"/>
  <c r="R1277" i="1"/>
  <c r="AE1277" i="1" s="1"/>
  <c r="Q1277" i="1"/>
  <c r="AD1277" i="1" s="1"/>
  <c r="P1277" i="1"/>
  <c r="AC1277" i="1" s="1"/>
  <c r="O1277" i="1"/>
  <c r="AB1277" i="1" s="1"/>
  <c r="L1277" i="1"/>
  <c r="Y1277" i="1" s="1"/>
  <c r="T1277" i="1"/>
  <c r="AG1277" i="1" s="1"/>
  <c r="V1360" i="1"/>
  <c r="AI1360" i="1" s="1"/>
  <c r="U1360" i="1"/>
  <c r="AH1360" i="1" s="1"/>
  <c r="S1360" i="1"/>
  <c r="AF1360" i="1" s="1"/>
  <c r="R1360" i="1"/>
  <c r="AE1360" i="1" s="1"/>
  <c r="Q1360" i="1"/>
  <c r="AD1360" i="1" s="1"/>
  <c r="T1360" i="1"/>
  <c r="AG1360" i="1" s="1"/>
  <c r="V1242" i="1"/>
  <c r="AI1242" i="1" s="1"/>
  <c r="U1242" i="1"/>
  <c r="AH1242" i="1" s="1"/>
  <c r="T1242" i="1"/>
  <c r="AG1242" i="1" s="1"/>
  <c r="S1242" i="1"/>
  <c r="AF1242" i="1" s="1"/>
  <c r="R1242" i="1"/>
  <c r="AE1242" i="1" s="1"/>
  <c r="Q1242" i="1"/>
  <c r="AD1242" i="1" s="1"/>
  <c r="P1242" i="1"/>
  <c r="AC1242" i="1" s="1"/>
  <c r="R1351" i="1"/>
  <c r="AE1351" i="1" s="1"/>
  <c r="V1351" i="1"/>
  <c r="AI1351" i="1" s="1"/>
  <c r="U1351" i="1"/>
  <c r="AH1351" i="1" s="1"/>
  <c r="S1351" i="1"/>
  <c r="AF1351" i="1" s="1"/>
  <c r="T1351" i="1"/>
  <c r="AG1351" i="1" s="1"/>
  <c r="V1222" i="1"/>
  <c r="AI1222" i="1" s="1"/>
  <c r="U1222" i="1"/>
  <c r="AH1222" i="1" s="1"/>
  <c r="V1293" i="1"/>
  <c r="AI1293" i="1" s="1"/>
  <c r="U1293" i="1"/>
  <c r="AH1293" i="1" s="1"/>
  <c r="S1293" i="1"/>
  <c r="AF1293" i="1" s="1"/>
  <c r="R1293" i="1"/>
  <c r="AE1293" i="1" s="1"/>
  <c r="Q1293" i="1"/>
  <c r="AD1293" i="1" s="1"/>
  <c r="P1293" i="1"/>
  <c r="AC1293" i="1" s="1"/>
  <c r="O1293" i="1"/>
  <c r="AB1293" i="1" s="1"/>
  <c r="T1293" i="1"/>
  <c r="AG1293" i="1" s="1"/>
  <c r="J1348" i="1"/>
  <c r="Q1351" i="1" s="1"/>
  <c r="AD1351" i="1" s="1"/>
  <c r="J1206" i="1"/>
  <c r="R1210" i="1" s="1"/>
  <c r="AE1210" i="1" s="1"/>
  <c r="V1366" i="1"/>
  <c r="AI1366" i="1" s="1"/>
  <c r="U1366" i="1"/>
  <c r="AH1366" i="1" s="1"/>
  <c r="S1366" i="1"/>
  <c r="AF1366" i="1" s="1"/>
  <c r="T1366" i="1"/>
  <c r="AG1366" i="1" s="1"/>
  <c r="Q512" i="1"/>
  <c r="AD512" i="1" s="1"/>
  <c r="V512" i="1"/>
  <c r="AI512" i="1" s="1"/>
  <c r="N512" i="1"/>
  <c r="AA512" i="1" s="1"/>
  <c r="T512" i="1"/>
  <c r="AG512" i="1" s="1"/>
  <c r="P512" i="1"/>
  <c r="AC512" i="1" s="1"/>
  <c r="U512" i="1"/>
  <c r="AH512" i="1" s="1"/>
  <c r="R512" i="1"/>
  <c r="AE512" i="1" s="1"/>
  <c r="S512" i="1"/>
  <c r="AF512" i="1" s="1"/>
  <c r="O512" i="1"/>
  <c r="AB512" i="1" s="1"/>
  <c r="R397" i="1"/>
  <c r="AE397" i="1" s="1"/>
  <c r="P397" i="1"/>
  <c r="AC397" i="1" s="1"/>
  <c r="V397" i="1"/>
  <c r="AI397" i="1" s="1"/>
  <c r="U397" i="1"/>
  <c r="AH397" i="1" s="1"/>
  <c r="S397" i="1"/>
  <c r="AF397" i="1" s="1"/>
  <c r="T397" i="1"/>
  <c r="AG397" i="1" s="1"/>
  <c r="Q397" i="1"/>
  <c r="AD397" i="1" s="1"/>
  <c r="V413" i="1"/>
  <c r="AI413" i="1" s="1"/>
  <c r="U413" i="1"/>
  <c r="AH413" i="1" s="1"/>
  <c r="S413" i="1"/>
  <c r="AF413" i="1" s="1"/>
  <c r="T413" i="1"/>
  <c r="AG413" i="1" s="1"/>
  <c r="V136" i="1"/>
  <c r="AI136" i="1" s="1"/>
  <c r="U136" i="1"/>
  <c r="AH136" i="1" s="1"/>
  <c r="T136" i="1"/>
  <c r="AG136" i="1" s="1"/>
  <c r="S136" i="1"/>
  <c r="AF136" i="1" s="1"/>
  <c r="R136" i="1"/>
  <c r="AE136" i="1" s="1"/>
  <c r="Q136" i="1"/>
  <c r="AD136" i="1" s="1"/>
  <c r="O136" i="1"/>
  <c r="AB136" i="1" s="1"/>
  <c r="P136" i="1"/>
  <c r="AC136" i="1" s="1"/>
  <c r="V1174" i="1"/>
  <c r="AI1174" i="1" s="1"/>
  <c r="N1174" i="1"/>
  <c r="AA1174" i="1" s="1"/>
  <c r="U1174" i="1"/>
  <c r="AH1174" i="1" s="1"/>
  <c r="M1174" i="1"/>
  <c r="Z1174" i="1" s="1"/>
  <c r="T1174" i="1"/>
  <c r="AG1174" i="1" s="1"/>
  <c r="S1174" i="1"/>
  <c r="AF1174" i="1" s="1"/>
  <c r="R1174" i="1"/>
  <c r="AE1174" i="1" s="1"/>
  <c r="Q1174" i="1"/>
  <c r="AD1174" i="1" s="1"/>
  <c r="P1174" i="1"/>
  <c r="AC1174" i="1" s="1"/>
  <c r="O1174" i="1"/>
  <c r="AB1174" i="1" s="1"/>
  <c r="S528" i="1"/>
  <c r="AF528" i="1" s="1"/>
  <c r="Q528" i="1"/>
  <c r="AD528" i="1" s="1"/>
  <c r="V528" i="1"/>
  <c r="AI528" i="1" s="1"/>
  <c r="T528" i="1"/>
  <c r="AG528" i="1" s="1"/>
  <c r="U528" i="1"/>
  <c r="AH528" i="1" s="1"/>
  <c r="R528" i="1"/>
  <c r="AE528" i="1" s="1"/>
  <c r="U736" i="1"/>
  <c r="AH736" i="1" s="1"/>
  <c r="T736" i="1"/>
  <c r="AG736" i="1" s="1"/>
  <c r="S736" i="1"/>
  <c r="AF736" i="1" s="1"/>
  <c r="R736" i="1"/>
  <c r="AE736" i="1" s="1"/>
  <c r="Q736" i="1"/>
  <c r="AD736" i="1" s="1"/>
  <c r="V736" i="1"/>
  <c r="AI736" i="1" s="1"/>
  <c r="Q759" i="1"/>
  <c r="AD759" i="1" s="1"/>
  <c r="P759" i="1"/>
  <c r="AC759" i="1" s="1"/>
  <c r="O759" i="1"/>
  <c r="AB759" i="1" s="1"/>
  <c r="V759" i="1"/>
  <c r="AI759" i="1" s="1"/>
  <c r="N759" i="1"/>
  <c r="AA759" i="1" s="1"/>
  <c r="U759" i="1"/>
  <c r="AH759" i="1" s="1"/>
  <c r="T759" i="1"/>
  <c r="AG759" i="1" s="1"/>
  <c r="R759" i="1"/>
  <c r="AE759" i="1" s="1"/>
  <c r="S759" i="1"/>
  <c r="AF759" i="1" s="1"/>
  <c r="T1111" i="1"/>
  <c r="AG1111" i="1" s="1"/>
  <c r="S1111" i="1"/>
  <c r="AF1111" i="1" s="1"/>
  <c r="R1111" i="1"/>
  <c r="AE1111" i="1" s="1"/>
  <c r="Q1111" i="1"/>
  <c r="AD1111" i="1" s="1"/>
  <c r="P1111" i="1"/>
  <c r="AC1111" i="1" s="1"/>
  <c r="O1111" i="1"/>
  <c r="AB1111" i="1" s="1"/>
  <c r="V1111" i="1"/>
  <c r="AI1111" i="1" s="1"/>
  <c r="U1111" i="1"/>
  <c r="AH1111" i="1" s="1"/>
  <c r="J376" i="1"/>
  <c r="J404" i="1"/>
  <c r="J217" i="1"/>
  <c r="Q723" i="1"/>
  <c r="AD723" i="1" s="1"/>
  <c r="U723" i="1"/>
  <c r="AH723" i="1" s="1"/>
  <c r="T723" i="1"/>
  <c r="AG723" i="1" s="1"/>
  <c r="R723" i="1"/>
  <c r="AE723" i="1" s="1"/>
  <c r="V723" i="1"/>
  <c r="AI723" i="1" s="1"/>
  <c r="S723" i="1"/>
  <c r="AF723" i="1" s="1"/>
  <c r="T1101" i="1"/>
  <c r="AG1101" i="1" s="1"/>
  <c r="S1101" i="1"/>
  <c r="AF1101" i="1" s="1"/>
  <c r="R1101" i="1"/>
  <c r="AE1101" i="1" s="1"/>
  <c r="V1101" i="1"/>
  <c r="AI1101" i="1" s="1"/>
  <c r="U1101" i="1"/>
  <c r="AH1101" i="1" s="1"/>
  <c r="R1280" i="1"/>
  <c r="AE1280" i="1" s="1"/>
  <c r="Q1280" i="1"/>
  <c r="AD1280" i="1" s="1"/>
  <c r="O1280" i="1"/>
  <c r="AB1280" i="1" s="1"/>
  <c r="V1280" i="1"/>
  <c r="AI1280" i="1" s="1"/>
  <c r="U1280" i="1"/>
  <c r="AH1280" i="1" s="1"/>
  <c r="T1280" i="1"/>
  <c r="AG1280" i="1" s="1"/>
  <c r="S1280" i="1"/>
  <c r="AF1280" i="1" s="1"/>
  <c r="P1280" i="1"/>
  <c r="AC1280" i="1" s="1"/>
  <c r="I140" i="1"/>
  <c r="J140" i="1" s="1"/>
  <c r="T1050" i="1"/>
  <c r="AG1050" i="1" s="1"/>
  <c r="S1050" i="1"/>
  <c r="AF1050" i="1" s="1"/>
  <c r="R1050" i="1"/>
  <c r="AE1050" i="1" s="1"/>
  <c r="Q1050" i="1"/>
  <c r="AD1050" i="1" s="1"/>
  <c r="P1050" i="1"/>
  <c r="AC1050" i="1" s="1"/>
  <c r="O1050" i="1"/>
  <c r="AB1050" i="1" s="1"/>
  <c r="V1050" i="1"/>
  <c r="AI1050" i="1" s="1"/>
  <c r="U1050" i="1"/>
  <c r="AH1050" i="1" s="1"/>
  <c r="N1050" i="1"/>
  <c r="AA1050" i="1" s="1"/>
  <c r="R1345" i="1"/>
  <c r="AE1345" i="1" s="1"/>
  <c r="Q1345" i="1"/>
  <c r="AD1345" i="1" s="1"/>
  <c r="O1345" i="1"/>
  <c r="AB1345" i="1" s="1"/>
  <c r="V1345" i="1"/>
  <c r="AI1345" i="1" s="1"/>
  <c r="U1345" i="1"/>
  <c r="AH1345" i="1" s="1"/>
  <c r="T1345" i="1"/>
  <c r="AG1345" i="1" s="1"/>
  <c r="S1345" i="1"/>
  <c r="AF1345" i="1" s="1"/>
  <c r="P1345" i="1"/>
  <c r="AC1345" i="1" s="1"/>
  <c r="J1071" i="1"/>
  <c r="J1087" i="1"/>
  <c r="O1086" i="1" s="1"/>
  <c r="AB1086" i="1" s="1"/>
  <c r="J1248" i="1"/>
  <c r="R1171" i="1"/>
  <c r="AE1171" i="1" s="1"/>
  <c r="Q1171" i="1"/>
  <c r="AD1171" i="1" s="1"/>
  <c r="P1171" i="1"/>
  <c r="AC1171" i="1" s="1"/>
  <c r="V1171" i="1"/>
  <c r="AI1171" i="1" s="1"/>
  <c r="U1171" i="1"/>
  <c r="AH1171" i="1" s="1"/>
  <c r="T1171" i="1"/>
  <c r="AG1171" i="1" s="1"/>
  <c r="S1171" i="1"/>
  <c r="AF1171" i="1" s="1"/>
  <c r="V339" i="1"/>
  <c r="AI339" i="1" s="1"/>
  <c r="R133" i="1"/>
  <c r="AE133" i="1" s="1"/>
  <c r="Q133" i="1"/>
  <c r="AD133" i="1" s="1"/>
  <c r="P133" i="1"/>
  <c r="AC133" i="1" s="1"/>
  <c r="O133" i="1"/>
  <c r="AB133" i="1" s="1"/>
  <c r="V133" i="1"/>
  <c r="AI133" i="1" s="1"/>
  <c r="N133" i="1"/>
  <c r="AA133" i="1" s="1"/>
  <c r="U133" i="1"/>
  <c r="AH133" i="1" s="1"/>
  <c r="M133" i="1"/>
  <c r="Z133" i="1" s="1"/>
  <c r="S133" i="1"/>
  <c r="AF133" i="1" s="1"/>
  <c r="T133" i="1"/>
  <c r="AG133" i="1" s="1"/>
  <c r="L133" i="1"/>
  <c r="Y133" i="1" s="1"/>
  <c r="V349" i="1"/>
  <c r="AI349" i="1" s="1"/>
  <c r="U349" i="1"/>
  <c r="AH349" i="1" s="1"/>
  <c r="T349" i="1"/>
  <c r="AG349" i="1" s="1"/>
  <c r="V281" i="1"/>
  <c r="AI281" i="1" s="1"/>
  <c r="U281" i="1"/>
  <c r="AH281" i="1" s="1"/>
  <c r="T281" i="1"/>
  <c r="AG281" i="1" s="1"/>
  <c r="S281" i="1"/>
  <c r="AF281" i="1" s="1"/>
  <c r="R281" i="1"/>
  <c r="AE281" i="1" s="1"/>
  <c r="Q281" i="1"/>
  <c r="AD281" i="1" s="1"/>
  <c r="V467" i="1"/>
  <c r="AI467" i="1" s="1"/>
  <c r="U467" i="1"/>
  <c r="AH467" i="1" s="1"/>
  <c r="V469" i="1"/>
  <c r="AI469" i="1" s="1"/>
  <c r="Q514" i="1"/>
  <c r="AD514" i="1" s="1"/>
  <c r="V514" i="1"/>
  <c r="AI514" i="1" s="1"/>
  <c r="T514" i="1"/>
  <c r="AG514" i="1" s="1"/>
  <c r="R514" i="1"/>
  <c r="AE514" i="1" s="1"/>
  <c r="S514" i="1"/>
  <c r="AF514" i="1" s="1"/>
  <c r="U514" i="1"/>
  <c r="AH514" i="1" s="1"/>
  <c r="P514" i="1"/>
  <c r="AC514" i="1" s="1"/>
  <c r="U836" i="1"/>
  <c r="AH836" i="1" s="1"/>
  <c r="M836" i="1"/>
  <c r="Z836" i="1" s="1"/>
  <c r="T836" i="1"/>
  <c r="AG836" i="1" s="1"/>
  <c r="S836" i="1"/>
  <c r="AF836" i="1" s="1"/>
  <c r="R836" i="1"/>
  <c r="AE836" i="1" s="1"/>
  <c r="Q836" i="1"/>
  <c r="AD836" i="1" s="1"/>
  <c r="P836" i="1"/>
  <c r="AC836" i="1" s="1"/>
  <c r="V836" i="1"/>
  <c r="AI836" i="1" s="1"/>
  <c r="N836" i="1"/>
  <c r="AA836" i="1" s="1"/>
  <c r="O836" i="1"/>
  <c r="AB836" i="1" s="1"/>
  <c r="Q795" i="1"/>
  <c r="AD795" i="1" s="1"/>
  <c r="P795" i="1"/>
  <c r="AC795" i="1" s="1"/>
  <c r="O795" i="1"/>
  <c r="AB795" i="1" s="1"/>
  <c r="V795" i="1"/>
  <c r="AI795" i="1" s="1"/>
  <c r="N795" i="1"/>
  <c r="AA795" i="1" s="1"/>
  <c r="U795" i="1"/>
  <c r="AH795" i="1" s="1"/>
  <c r="M795" i="1"/>
  <c r="Z795" i="1" s="1"/>
  <c r="T795" i="1"/>
  <c r="AG795" i="1" s="1"/>
  <c r="L795" i="1"/>
  <c r="Y795" i="1" s="1"/>
  <c r="R795" i="1"/>
  <c r="AE795" i="1" s="1"/>
  <c r="S795" i="1"/>
  <c r="AF795" i="1" s="1"/>
  <c r="K795" i="1"/>
  <c r="X795" i="1" s="1"/>
  <c r="Q942" i="1"/>
  <c r="AD942" i="1" s="1"/>
  <c r="V942" i="1"/>
  <c r="AI942" i="1" s="1"/>
  <c r="T942" i="1"/>
  <c r="AG942" i="1" s="1"/>
  <c r="U942" i="1"/>
  <c r="AH942" i="1" s="1"/>
  <c r="S942" i="1"/>
  <c r="AF942" i="1" s="1"/>
  <c r="R942" i="1"/>
  <c r="AE942" i="1" s="1"/>
  <c r="P942" i="1"/>
  <c r="AC942" i="1" s="1"/>
  <c r="O942" i="1"/>
  <c r="AB942" i="1" s="1"/>
  <c r="V1364" i="1"/>
  <c r="AI1364" i="1" s="1"/>
  <c r="U1364" i="1"/>
  <c r="AH1364" i="1" s="1"/>
  <c r="S1364" i="1"/>
  <c r="AF1364" i="1" s="1"/>
  <c r="T1364" i="1"/>
  <c r="AG1364" i="1" s="1"/>
  <c r="P1140" i="1"/>
  <c r="AC1140" i="1" s="1"/>
  <c r="O1140" i="1"/>
  <c r="AB1140" i="1" s="1"/>
  <c r="V1140" i="1"/>
  <c r="AI1140" i="1" s="1"/>
  <c r="N1140" i="1"/>
  <c r="AA1140" i="1" s="1"/>
  <c r="U1140" i="1"/>
  <c r="AH1140" i="1" s="1"/>
  <c r="M1140" i="1"/>
  <c r="Z1140" i="1" s="1"/>
  <c r="T1140" i="1"/>
  <c r="AG1140" i="1" s="1"/>
  <c r="L1140" i="1"/>
  <c r="Y1140" i="1" s="1"/>
  <c r="S1140" i="1"/>
  <c r="AF1140" i="1" s="1"/>
  <c r="K1140" i="1"/>
  <c r="X1140" i="1" s="1"/>
  <c r="R1140" i="1"/>
  <c r="AE1140" i="1" s="1"/>
  <c r="Q1140" i="1"/>
  <c r="AD1140" i="1" s="1"/>
  <c r="S1328" i="1"/>
  <c r="AF1328" i="1" s="1"/>
  <c r="K1328" i="1"/>
  <c r="X1328" i="1" s="1"/>
  <c r="R1328" i="1"/>
  <c r="AE1328" i="1" s="1"/>
  <c r="Q1328" i="1"/>
  <c r="AD1328" i="1" s="1"/>
  <c r="P1328" i="1"/>
  <c r="AC1328" i="1" s="1"/>
  <c r="O1328" i="1"/>
  <c r="AB1328" i="1" s="1"/>
  <c r="V1328" i="1"/>
  <c r="AI1328" i="1" s="1"/>
  <c r="N1328" i="1"/>
  <c r="AA1328" i="1" s="1"/>
  <c r="U1328" i="1"/>
  <c r="AH1328" i="1" s="1"/>
  <c r="M1328" i="1"/>
  <c r="Z1328" i="1" s="1"/>
  <c r="T1328" i="1"/>
  <c r="AG1328" i="1" s="1"/>
  <c r="L1328" i="1"/>
  <c r="Y1328" i="1" s="1"/>
  <c r="J493" i="1"/>
  <c r="Q902" i="1"/>
  <c r="AD902" i="1" s="1"/>
  <c r="V902" i="1"/>
  <c r="AI902" i="1" s="1"/>
  <c r="N902" i="1"/>
  <c r="AA902" i="1" s="1"/>
  <c r="T902" i="1"/>
  <c r="AG902" i="1" s="1"/>
  <c r="P902" i="1"/>
  <c r="AC902" i="1" s="1"/>
  <c r="O902" i="1"/>
  <c r="AB902" i="1" s="1"/>
  <c r="U902" i="1"/>
  <c r="AH902" i="1" s="1"/>
  <c r="R902" i="1"/>
  <c r="AE902" i="1" s="1"/>
  <c r="S902" i="1"/>
  <c r="AF902" i="1" s="1"/>
  <c r="J1002" i="1"/>
  <c r="J1042" i="1"/>
  <c r="V936" i="1"/>
  <c r="AI936" i="1" s="1"/>
  <c r="U936" i="1"/>
  <c r="AH936" i="1" s="1"/>
  <c r="P1092" i="1"/>
  <c r="AC1092" i="1" s="1"/>
  <c r="V1092" i="1"/>
  <c r="AI1092" i="1" s="1"/>
  <c r="U1092" i="1"/>
  <c r="AH1092" i="1" s="1"/>
  <c r="T1092" i="1"/>
  <c r="AG1092" i="1" s="1"/>
  <c r="S1092" i="1"/>
  <c r="AF1092" i="1" s="1"/>
  <c r="R1092" i="1"/>
  <c r="AE1092" i="1" s="1"/>
  <c r="Q1092" i="1"/>
  <c r="AD1092" i="1" s="1"/>
  <c r="J1419" i="1"/>
  <c r="J1467" i="1"/>
  <c r="J1531" i="1"/>
  <c r="J1530" i="1"/>
  <c r="J1416" i="1"/>
  <c r="R1349" i="1"/>
  <c r="AE1349" i="1" s="1"/>
  <c r="Q1349" i="1"/>
  <c r="AD1349" i="1" s="1"/>
  <c r="V1349" i="1"/>
  <c r="AI1349" i="1" s="1"/>
  <c r="U1349" i="1"/>
  <c r="AH1349" i="1" s="1"/>
  <c r="T1349" i="1"/>
  <c r="AG1349" i="1" s="1"/>
  <c r="S1349" i="1"/>
  <c r="AF1349" i="1" s="1"/>
  <c r="J1587" i="1"/>
  <c r="J1667" i="1"/>
  <c r="J1706" i="1"/>
  <c r="J1656" i="1"/>
  <c r="J1586" i="1"/>
  <c r="J1605" i="1"/>
  <c r="J1653" i="1"/>
  <c r="J1685" i="1"/>
  <c r="J1717" i="1"/>
  <c r="J1375" i="1"/>
  <c r="P1134" i="1"/>
  <c r="AC1134" i="1" s="1"/>
  <c r="O1134" i="1"/>
  <c r="AB1134" i="1" s="1"/>
  <c r="V1134" i="1"/>
  <c r="AI1134" i="1" s="1"/>
  <c r="N1134" i="1"/>
  <c r="AA1134" i="1" s="1"/>
  <c r="U1134" i="1"/>
  <c r="AH1134" i="1" s="1"/>
  <c r="M1134" i="1"/>
  <c r="Z1134" i="1" s="1"/>
  <c r="T1134" i="1"/>
  <c r="AG1134" i="1" s="1"/>
  <c r="L1134" i="1"/>
  <c r="Y1134" i="1" s="1"/>
  <c r="S1134" i="1"/>
  <c r="AF1134" i="1" s="1"/>
  <c r="K1134" i="1"/>
  <c r="X1134" i="1" s="1"/>
  <c r="R1134" i="1"/>
  <c r="AE1134" i="1" s="1"/>
  <c r="Q1134" i="1"/>
  <c r="AD1134" i="1" s="1"/>
  <c r="V128" i="1"/>
  <c r="AI128" i="1" s="1"/>
  <c r="N128" i="1"/>
  <c r="AA128" i="1" s="1"/>
  <c r="U128" i="1"/>
  <c r="AH128" i="1" s="1"/>
  <c r="M128" i="1"/>
  <c r="Z128" i="1" s="1"/>
  <c r="T128" i="1"/>
  <c r="AG128" i="1" s="1"/>
  <c r="L128" i="1"/>
  <c r="Y128" i="1" s="1"/>
  <c r="S128" i="1"/>
  <c r="AF128" i="1" s="1"/>
  <c r="K128" i="1"/>
  <c r="X128" i="1" s="1"/>
  <c r="R128" i="1"/>
  <c r="AE128" i="1" s="1"/>
  <c r="Q128" i="1"/>
  <c r="AD128" i="1" s="1"/>
  <c r="O128" i="1"/>
  <c r="AB128" i="1" s="1"/>
  <c r="P128" i="1"/>
  <c r="AC128" i="1" s="1"/>
  <c r="U10" i="1"/>
  <c r="AH10" i="1" s="1"/>
  <c r="T10" i="1"/>
  <c r="AG10" i="1" s="1"/>
  <c r="S10" i="1"/>
  <c r="AF10" i="1" s="1"/>
  <c r="V10" i="1"/>
  <c r="AI10" i="1" s="1"/>
  <c r="U26" i="1"/>
  <c r="AH26" i="1" s="1"/>
  <c r="V26" i="1"/>
  <c r="AI26" i="1" s="1"/>
  <c r="Q5" i="1"/>
  <c r="AD5" i="1" s="1"/>
  <c r="P5" i="1"/>
  <c r="AC5" i="1" s="1"/>
  <c r="U5" i="1"/>
  <c r="AH5" i="1" s="1"/>
  <c r="S5" i="1"/>
  <c r="AF5" i="1" s="1"/>
  <c r="V5" i="1"/>
  <c r="AI5" i="1" s="1"/>
  <c r="T5" i="1"/>
  <c r="AG5" i="1" s="1"/>
  <c r="N5" i="1"/>
  <c r="AA5" i="1" s="1"/>
  <c r="R5" i="1"/>
  <c r="AE5" i="1" s="1"/>
  <c r="O5" i="1"/>
  <c r="AB5" i="1" s="1"/>
  <c r="V134" i="1"/>
  <c r="AI134" i="1" s="1"/>
  <c r="N134" i="1"/>
  <c r="AA134" i="1" s="1"/>
  <c r="U134" i="1"/>
  <c r="AH134" i="1" s="1"/>
  <c r="M134" i="1"/>
  <c r="Z134" i="1" s="1"/>
  <c r="T134" i="1"/>
  <c r="AG134" i="1" s="1"/>
  <c r="S134" i="1"/>
  <c r="AF134" i="1" s="1"/>
  <c r="R134" i="1"/>
  <c r="AE134" i="1" s="1"/>
  <c r="Q134" i="1"/>
  <c r="AD134" i="1" s="1"/>
  <c r="O134" i="1"/>
  <c r="AB134" i="1" s="1"/>
  <c r="P134" i="1"/>
  <c r="AC134" i="1" s="1"/>
  <c r="S173" i="1"/>
  <c r="AF173" i="1" s="1"/>
  <c r="Q173" i="1"/>
  <c r="AD173" i="1" s="1"/>
  <c r="O173" i="1"/>
  <c r="AB173" i="1" s="1"/>
  <c r="N173" i="1"/>
  <c r="AA173" i="1" s="1"/>
  <c r="M173" i="1"/>
  <c r="Z173" i="1" s="1"/>
  <c r="V173" i="1"/>
  <c r="AI173" i="1" s="1"/>
  <c r="U173" i="1"/>
  <c r="AH173" i="1" s="1"/>
  <c r="T173" i="1"/>
  <c r="AG173" i="1" s="1"/>
  <c r="P173" i="1"/>
  <c r="AC173" i="1" s="1"/>
  <c r="R173" i="1"/>
  <c r="AE173" i="1" s="1"/>
  <c r="S189" i="1"/>
  <c r="AF189" i="1" s="1"/>
  <c r="Q189" i="1"/>
  <c r="AD189" i="1" s="1"/>
  <c r="R189" i="1"/>
  <c r="AE189" i="1" s="1"/>
  <c r="P189" i="1"/>
  <c r="AC189" i="1" s="1"/>
  <c r="V189" i="1"/>
  <c r="AI189" i="1" s="1"/>
  <c r="T189" i="1"/>
  <c r="AG189" i="1" s="1"/>
  <c r="U189" i="1"/>
  <c r="AH189" i="1" s="1"/>
  <c r="V108" i="1"/>
  <c r="AI108" i="1" s="1"/>
  <c r="N108" i="1"/>
  <c r="AA108" i="1" s="1"/>
  <c r="U108" i="1"/>
  <c r="AH108" i="1" s="1"/>
  <c r="M108" i="1"/>
  <c r="Z108" i="1" s="1"/>
  <c r="T108" i="1"/>
  <c r="AG108" i="1" s="1"/>
  <c r="S108" i="1"/>
  <c r="AF108" i="1" s="1"/>
  <c r="R108" i="1"/>
  <c r="AE108" i="1" s="1"/>
  <c r="Q108" i="1"/>
  <c r="AD108" i="1" s="1"/>
  <c r="O108" i="1"/>
  <c r="AB108" i="1" s="1"/>
  <c r="P108" i="1"/>
  <c r="AC108" i="1" s="1"/>
  <c r="R137" i="1"/>
  <c r="AE137" i="1" s="1"/>
  <c r="Q137" i="1"/>
  <c r="AD137" i="1" s="1"/>
  <c r="P137" i="1"/>
  <c r="AC137" i="1" s="1"/>
  <c r="V137" i="1"/>
  <c r="AI137" i="1" s="1"/>
  <c r="U137" i="1"/>
  <c r="AH137" i="1" s="1"/>
  <c r="S137" i="1"/>
  <c r="AF137" i="1" s="1"/>
  <c r="T137" i="1"/>
  <c r="AG137" i="1" s="1"/>
  <c r="V283" i="1"/>
  <c r="AI283" i="1" s="1"/>
  <c r="U283" i="1"/>
  <c r="AH283" i="1" s="1"/>
  <c r="T283" i="1"/>
  <c r="AG283" i="1" s="1"/>
  <c r="S283" i="1"/>
  <c r="AF283" i="1" s="1"/>
  <c r="R151" i="1"/>
  <c r="AE151" i="1" s="1"/>
  <c r="Q151" i="1"/>
  <c r="AD151" i="1" s="1"/>
  <c r="V151" i="1"/>
  <c r="AI151" i="1" s="1"/>
  <c r="U151" i="1"/>
  <c r="AH151" i="1" s="1"/>
  <c r="S151" i="1"/>
  <c r="AF151" i="1" s="1"/>
  <c r="T151" i="1"/>
  <c r="AG151" i="1" s="1"/>
  <c r="R240" i="1"/>
  <c r="AE240" i="1" s="1"/>
  <c r="Q240" i="1"/>
  <c r="AD240" i="1" s="1"/>
  <c r="P240" i="1"/>
  <c r="AC240" i="1" s="1"/>
  <c r="O240" i="1"/>
  <c r="AB240" i="1" s="1"/>
  <c r="U240" i="1"/>
  <c r="AH240" i="1" s="1"/>
  <c r="S240" i="1"/>
  <c r="AF240" i="1" s="1"/>
  <c r="V240" i="1"/>
  <c r="AI240" i="1" s="1"/>
  <c r="T240" i="1"/>
  <c r="AG240" i="1" s="1"/>
  <c r="R262" i="1"/>
  <c r="AE262" i="1" s="1"/>
  <c r="Q262" i="1"/>
  <c r="AD262" i="1" s="1"/>
  <c r="P262" i="1"/>
  <c r="AC262" i="1" s="1"/>
  <c r="O262" i="1"/>
  <c r="AB262" i="1" s="1"/>
  <c r="V262" i="1"/>
  <c r="AI262" i="1" s="1"/>
  <c r="N262" i="1"/>
  <c r="AA262" i="1" s="1"/>
  <c r="U262" i="1"/>
  <c r="AH262" i="1" s="1"/>
  <c r="M262" i="1"/>
  <c r="Z262" i="1" s="1"/>
  <c r="S262" i="1"/>
  <c r="AF262" i="1" s="1"/>
  <c r="K262" i="1"/>
  <c r="X262" i="1" s="1"/>
  <c r="T262" i="1"/>
  <c r="AG262" i="1" s="1"/>
  <c r="L262" i="1"/>
  <c r="Y262" i="1" s="1"/>
  <c r="O212" i="1"/>
  <c r="AB212" i="1" s="1"/>
  <c r="U212" i="1"/>
  <c r="AH212" i="1" s="1"/>
  <c r="M212" i="1"/>
  <c r="Z212" i="1" s="1"/>
  <c r="S212" i="1"/>
  <c r="AF212" i="1" s="1"/>
  <c r="V212" i="1"/>
  <c r="AI212" i="1" s="1"/>
  <c r="T212" i="1"/>
  <c r="AG212" i="1" s="1"/>
  <c r="R212" i="1"/>
  <c r="AE212" i="1" s="1"/>
  <c r="Q212" i="1"/>
  <c r="AD212" i="1" s="1"/>
  <c r="P212" i="1"/>
  <c r="AC212" i="1" s="1"/>
  <c r="N212" i="1"/>
  <c r="AA212" i="1" s="1"/>
  <c r="V342" i="1"/>
  <c r="AI342" i="1" s="1"/>
  <c r="N342" i="1"/>
  <c r="AA342" i="1" s="1"/>
  <c r="T342" i="1"/>
  <c r="AG342" i="1" s="1"/>
  <c r="R342" i="1"/>
  <c r="AE342" i="1" s="1"/>
  <c r="Q342" i="1"/>
  <c r="AD342" i="1" s="1"/>
  <c r="O342" i="1"/>
  <c r="AB342" i="1" s="1"/>
  <c r="U342" i="1"/>
  <c r="AH342" i="1" s="1"/>
  <c r="S342" i="1"/>
  <c r="AF342" i="1" s="1"/>
  <c r="P342" i="1"/>
  <c r="AC342" i="1" s="1"/>
  <c r="M342" i="1"/>
  <c r="Z342" i="1" s="1"/>
  <c r="V420" i="1"/>
  <c r="AI420" i="1" s="1"/>
  <c r="N420" i="1"/>
  <c r="AA420" i="1" s="1"/>
  <c r="T420" i="1"/>
  <c r="AG420" i="1" s="1"/>
  <c r="S420" i="1"/>
  <c r="AF420" i="1" s="1"/>
  <c r="R420" i="1"/>
  <c r="AE420" i="1" s="1"/>
  <c r="Q420" i="1"/>
  <c r="AD420" i="1" s="1"/>
  <c r="O420" i="1"/>
  <c r="AB420" i="1" s="1"/>
  <c r="M420" i="1"/>
  <c r="Z420" i="1" s="1"/>
  <c r="P420" i="1"/>
  <c r="AC420" i="1" s="1"/>
  <c r="U420" i="1"/>
  <c r="AH420" i="1" s="1"/>
  <c r="U706" i="1"/>
  <c r="AH706" i="1" s="1"/>
  <c r="M706" i="1"/>
  <c r="Z706" i="1" s="1"/>
  <c r="S706" i="1"/>
  <c r="AF706" i="1" s="1"/>
  <c r="Q706" i="1"/>
  <c r="AD706" i="1" s="1"/>
  <c r="P706" i="1"/>
  <c r="AC706" i="1" s="1"/>
  <c r="V706" i="1"/>
  <c r="AI706" i="1" s="1"/>
  <c r="N706" i="1"/>
  <c r="AA706" i="1" s="1"/>
  <c r="T706" i="1"/>
  <c r="AG706" i="1" s="1"/>
  <c r="R706" i="1"/>
  <c r="AE706" i="1" s="1"/>
  <c r="O706" i="1"/>
  <c r="AB706" i="1" s="1"/>
  <c r="S600" i="1"/>
  <c r="AF600" i="1" s="1"/>
  <c r="K600" i="1"/>
  <c r="X600" i="1" s="1"/>
  <c r="R600" i="1"/>
  <c r="AE600" i="1" s="1"/>
  <c r="Q600" i="1"/>
  <c r="AD600" i="1" s="1"/>
  <c r="P600" i="1"/>
  <c r="AC600" i="1" s="1"/>
  <c r="O600" i="1"/>
  <c r="AB600" i="1" s="1"/>
  <c r="V600" i="1"/>
  <c r="AI600" i="1" s="1"/>
  <c r="N600" i="1"/>
  <c r="AA600" i="1" s="1"/>
  <c r="T600" i="1"/>
  <c r="AG600" i="1" s="1"/>
  <c r="L600" i="1"/>
  <c r="Y600" i="1" s="1"/>
  <c r="U600" i="1"/>
  <c r="AH600" i="1" s="1"/>
  <c r="M600" i="1"/>
  <c r="Z600" i="1" s="1"/>
  <c r="S632" i="1"/>
  <c r="AF632" i="1" s="1"/>
  <c r="R632" i="1"/>
  <c r="AE632" i="1" s="1"/>
  <c r="Q632" i="1"/>
  <c r="AD632" i="1" s="1"/>
  <c r="V632" i="1"/>
  <c r="AI632" i="1" s="1"/>
  <c r="T632" i="1"/>
  <c r="AG632" i="1" s="1"/>
  <c r="U632" i="1"/>
  <c r="AH632" i="1" s="1"/>
  <c r="Q799" i="1"/>
  <c r="AD799" i="1" s="1"/>
  <c r="P799" i="1"/>
  <c r="AC799" i="1" s="1"/>
  <c r="O799" i="1"/>
  <c r="AB799" i="1" s="1"/>
  <c r="V799" i="1"/>
  <c r="AI799" i="1" s="1"/>
  <c r="U799" i="1"/>
  <c r="AH799" i="1" s="1"/>
  <c r="T799" i="1"/>
  <c r="AG799" i="1" s="1"/>
  <c r="R799" i="1"/>
  <c r="AE799" i="1" s="1"/>
  <c r="S799" i="1"/>
  <c r="AF799" i="1" s="1"/>
  <c r="U796" i="1"/>
  <c r="AH796" i="1" s="1"/>
  <c r="M796" i="1"/>
  <c r="Z796" i="1" s="1"/>
  <c r="T796" i="1"/>
  <c r="AG796" i="1" s="1"/>
  <c r="L796" i="1"/>
  <c r="Y796" i="1" s="1"/>
  <c r="S796" i="1"/>
  <c r="AF796" i="1" s="1"/>
  <c r="R796" i="1"/>
  <c r="AE796" i="1" s="1"/>
  <c r="Q796" i="1"/>
  <c r="AD796" i="1" s="1"/>
  <c r="P796" i="1"/>
  <c r="AC796" i="1" s="1"/>
  <c r="V796" i="1"/>
  <c r="AI796" i="1" s="1"/>
  <c r="N796" i="1"/>
  <c r="AA796" i="1" s="1"/>
  <c r="O796" i="1"/>
  <c r="AB796" i="1" s="1"/>
  <c r="U718" i="1"/>
  <c r="AH718" i="1" s="1"/>
  <c r="M718" i="1"/>
  <c r="Z718" i="1" s="1"/>
  <c r="S718" i="1"/>
  <c r="AF718" i="1" s="1"/>
  <c r="Q718" i="1"/>
  <c r="AD718" i="1" s="1"/>
  <c r="P718" i="1"/>
  <c r="AC718" i="1" s="1"/>
  <c r="V718" i="1"/>
  <c r="AI718" i="1" s="1"/>
  <c r="N718" i="1"/>
  <c r="AA718" i="1" s="1"/>
  <c r="T718" i="1"/>
  <c r="AG718" i="1" s="1"/>
  <c r="R718" i="1"/>
  <c r="AE718" i="1" s="1"/>
  <c r="O718" i="1"/>
  <c r="AB718" i="1" s="1"/>
  <c r="L718" i="1"/>
  <c r="Y718" i="1" s="1"/>
  <c r="U854" i="1"/>
  <c r="AH854" i="1" s="1"/>
  <c r="T854" i="1"/>
  <c r="AG854" i="1" s="1"/>
  <c r="S854" i="1"/>
  <c r="AF854" i="1" s="1"/>
  <c r="R854" i="1"/>
  <c r="AE854" i="1" s="1"/>
  <c r="V854" i="1"/>
  <c r="AI854" i="1" s="1"/>
  <c r="U929" i="1"/>
  <c r="AH929" i="1" s="1"/>
  <c r="R929" i="1"/>
  <c r="AE929" i="1" s="1"/>
  <c r="P929" i="1"/>
  <c r="AC929" i="1" s="1"/>
  <c r="V929" i="1"/>
  <c r="AI929" i="1" s="1"/>
  <c r="T929" i="1"/>
  <c r="AG929" i="1" s="1"/>
  <c r="S929" i="1"/>
  <c r="AF929" i="1" s="1"/>
  <c r="Q929" i="1"/>
  <c r="AD929" i="1" s="1"/>
  <c r="O929" i="1"/>
  <c r="AB929" i="1" s="1"/>
  <c r="Q785" i="1"/>
  <c r="AD785" i="1" s="1"/>
  <c r="P785" i="1"/>
  <c r="AC785" i="1" s="1"/>
  <c r="O785" i="1"/>
  <c r="AB785" i="1" s="1"/>
  <c r="V785" i="1"/>
  <c r="AI785" i="1" s="1"/>
  <c r="N785" i="1"/>
  <c r="AA785" i="1" s="1"/>
  <c r="U785" i="1"/>
  <c r="AH785" i="1" s="1"/>
  <c r="M785" i="1"/>
  <c r="Z785" i="1" s="1"/>
  <c r="T785" i="1"/>
  <c r="AG785" i="1" s="1"/>
  <c r="L785" i="1"/>
  <c r="Y785" i="1" s="1"/>
  <c r="R785" i="1"/>
  <c r="AE785" i="1" s="1"/>
  <c r="K785" i="1"/>
  <c r="X785" i="1" s="1"/>
  <c r="S785" i="1"/>
  <c r="AF785" i="1" s="1"/>
  <c r="Q817" i="1"/>
  <c r="AD817" i="1" s="1"/>
  <c r="P817" i="1"/>
  <c r="AC817" i="1" s="1"/>
  <c r="O817" i="1"/>
  <c r="AB817" i="1" s="1"/>
  <c r="V817" i="1"/>
  <c r="AI817" i="1" s="1"/>
  <c r="N817" i="1"/>
  <c r="AA817" i="1" s="1"/>
  <c r="U817" i="1"/>
  <c r="AH817" i="1" s="1"/>
  <c r="M817" i="1"/>
  <c r="Z817" i="1" s="1"/>
  <c r="T817" i="1"/>
  <c r="AG817" i="1" s="1"/>
  <c r="L817" i="1"/>
  <c r="Y817" i="1" s="1"/>
  <c r="R817" i="1"/>
  <c r="AE817" i="1" s="1"/>
  <c r="S817" i="1"/>
  <c r="AF817" i="1" s="1"/>
  <c r="Q819" i="1"/>
  <c r="AD819" i="1" s="1"/>
  <c r="P819" i="1"/>
  <c r="AC819" i="1" s="1"/>
  <c r="O819" i="1"/>
  <c r="AB819" i="1" s="1"/>
  <c r="V819" i="1"/>
  <c r="AI819" i="1" s="1"/>
  <c r="N819" i="1"/>
  <c r="AA819" i="1" s="1"/>
  <c r="U819" i="1"/>
  <c r="AH819" i="1" s="1"/>
  <c r="M819" i="1"/>
  <c r="Z819" i="1" s="1"/>
  <c r="T819" i="1"/>
  <c r="AG819" i="1" s="1"/>
  <c r="L819" i="1"/>
  <c r="Y819" i="1" s="1"/>
  <c r="R819" i="1"/>
  <c r="AE819" i="1" s="1"/>
  <c r="S819" i="1"/>
  <c r="AF819" i="1" s="1"/>
  <c r="V1080" i="1"/>
  <c r="AI1080" i="1" s="1"/>
  <c r="Q865" i="1"/>
  <c r="AD865" i="1" s="1"/>
  <c r="P865" i="1"/>
  <c r="AC865" i="1" s="1"/>
  <c r="V865" i="1"/>
  <c r="AI865" i="1" s="1"/>
  <c r="U865" i="1"/>
  <c r="AH865" i="1" s="1"/>
  <c r="T865" i="1"/>
  <c r="AG865" i="1" s="1"/>
  <c r="R865" i="1"/>
  <c r="AE865" i="1" s="1"/>
  <c r="S865" i="1"/>
  <c r="AF865" i="1" s="1"/>
  <c r="V1118" i="1"/>
  <c r="AI1118" i="1" s="1"/>
  <c r="U1118" i="1"/>
  <c r="AH1118" i="1" s="1"/>
  <c r="T1118" i="1"/>
  <c r="AG1118" i="1" s="1"/>
  <c r="S952" i="1"/>
  <c r="AF952" i="1" s="1"/>
  <c r="Q952" i="1"/>
  <c r="AD952" i="1" s="1"/>
  <c r="O952" i="1"/>
  <c r="AB952" i="1" s="1"/>
  <c r="V952" i="1"/>
  <c r="AI952" i="1" s="1"/>
  <c r="N952" i="1"/>
  <c r="AA952" i="1" s="1"/>
  <c r="T952" i="1"/>
  <c r="AG952" i="1" s="1"/>
  <c r="L952" i="1"/>
  <c r="Y952" i="1" s="1"/>
  <c r="R952" i="1"/>
  <c r="AE952" i="1" s="1"/>
  <c r="P952" i="1"/>
  <c r="AC952" i="1" s="1"/>
  <c r="M952" i="1"/>
  <c r="Z952" i="1" s="1"/>
  <c r="U952" i="1"/>
  <c r="AH952" i="1" s="1"/>
  <c r="T1046" i="1"/>
  <c r="AG1046" i="1" s="1"/>
  <c r="S1046" i="1"/>
  <c r="AF1046" i="1" s="1"/>
  <c r="R1046" i="1"/>
  <c r="AE1046" i="1" s="1"/>
  <c r="Q1046" i="1"/>
  <c r="AD1046" i="1" s="1"/>
  <c r="P1046" i="1"/>
  <c r="AC1046" i="1" s="1"/>
  <c r="O1046" i="1"/>
  <c r="AB1046" i="1" s="1"/>
  <c r="V1046" i="1"/>
  <c r="AI1046" i="1" s="1"/>
  <c r="N1046" i="1"/>
  <c r="AA1046" i="1" s="1"/>
  <c r="U1046" i="1"/>
  <c r="AH1046" i="1" s="1"/>
  <c r="T1141" i="1"/>
  <c r="AG1141" i="1" s="1"/>
  <c r="L1141" i="1"/>
  <c r="Y1141" i="1" s="1"/>
  <c r="S1141" i="1"/>
  <c r="AF1141" i="1" s="1"/>
  <c r="K1141" i="1"/>
  <c r="X1141" i="1" s="1"/>
  <c r="R1141" i="1"/>
  <c r="AE1141" i="1" s="1"/>
  <c r="Q1141" i="1"/>
  <c r="AD1141" i="1" s="1"/>
  <c r="P1141" i="1"/>
  <c r="AC1141" i="1" s="1"/>
  <c r="O1141" i="1"/>
  <c r="AB1141" i="1" s="1"/>
  <c r="V1141" i="1"/>
  <c r="AI1141" i="1" s="1"/>
  <c r="N1141" i="1"/>
  <c r="AA1141" i="1" s="1"/>
  <c r="U1141" i="1"/>
  <c r="AH1141" i="1" s="1"/>
  <c r="M1141" i="1"/>
  <c r="Z1141" i="1" s="1"/>
  <c r="R1173" i="1"/>
  <c r="AE1173" i="1" s="1"/>
  <c r="Q1173" i="1"/>
  <c r="AD1173" i="1" s="1"/>
  <c r="P1173" i="1"/>
  <c r="AC1173" i="1" s="1"/>
  <c r="O1173" i="1"/>
  <c r="AB1173" i="1" s="1"/>
  <c r="V1173" i="1"/>
  <c r="AI1173" i="1" s="1"/>
  <c r="N1173" i="1"/>
  <c r="AA1173" i="1" s="1"/>
  <c r="U1173" i="1"/>
  <c r="AH1173" i="1" s="1"/>
  <c r="M1173" i="1"/>
  <c r="Z1173" i="1" s="1"/>
  <c r="T1173" i="1"/>
  <c r="AG1173" i="1" s="1"/>
  <c r="L1173" i="1"/>
  <c r="Y1173" i="1" s="1"/>
  <c r="S1173" i="1"/>
  <c r="AF1173" i="1" s="1"/>
  <c r="R1205" i="1"/>
  <c r="AE1205" i="1" s="1"/>
  <c r="Q1205" i="1"/>
  <c r="AD1205" i="1" s="1"/>
  <c r="V1205" i="1"/>
  <c r="AI1205" i="1" s="1"/>
  <c r="U1205" i="1"/>
  <c r="AH1205" i="1" s="1"/>
  <c r="T1205" i="1"/>
  <c r="AG1205" i="1" s="1"/>
  <c r="S1205" i="1"/>
  <c r="AF1205" i="1" s="1"/>
  <c r="V1283" i="1"/>
  <c r="AI1283" i="1" s="1"/>
  <c r="U1283" i="1"/>
  <c r="AH1283" i="1" s="1"/>
  <c r="S1283" i="1"/>
  <c r="AF1283" i="1" s="1"/>
  <c r="R1283" i="1"/>
  <c r="AE1283" i="1" s="1"/>
  <c r="T1283" i="1"/>
  <c r="AG1283" i="1" s="1"/>
  <c r="V1323" i="1"/>
  <c r="AI1323" i="1" s="1"/>
  <c r="U1323" i="1"/>
  <c r="AH1323" i="1" s="1"/>
  <c r="T1323" i="1"/>
  <c r="AG1323" i="1" s="1"/>
  <c r="S1323" i="1"/>
  <c r="AF1323" i="1" s="1"/>
  <c r="T1139" i="1"/>
  <c r="AG1139" i="1" s="1"/>
  <c r="L1139" i="1"/>
  <c r="Y1139" i="1" s="1"/>
  <c r="S1139" i="1"/>
  <c r="AF1139" i="1" s="1"/>
  <c r="K1139" i="1"/>
  <c r="X1139" i="1" s="1"/>
  <c r="R1139" i="1"/>
  <c r="AE1139" i="1" s="1"/>
  <c r="Q1139" i="1"/>
  <c r="AD1139" i="1" s="1"/>
  <c r="P1139" i="1"/>
  <c r="AC1139" i="1" s="1"/>
  <c r="O1139" i="1"/>
  <c r="AB1139" i="1" s="1"/>
  <c r="V1139" i="1"/>
  <c r="AI1139" i="1" s="1"/>
  <c r="N1139" i="1"/>
  <c r="AA1139" i="1" s="1"/>
  <c r="M1139" i="1"/>
  <c r="Z1139" i="1" s="1"/>
  <c r="U1139" i="1"/>
  <c r="AH1139" i="1" s="1"/>
  <c r="V1307" i="1"/>
  <c r="AI1307" i="1" s="1"/>
  <c r="U1307" i="1"/>
  <c r="AH1307" i="1" s="1"/>
  <c r="T1307" i="1"/>
  <c r="AG1307" i="1" s="1"/>
  <c r="S1307" i="1"/>
  <c r="AF1307" i="1" s="1"/>
  <c r="R1307" i="1"/>
  <c r="AE1307" i="1" s="1"/>
  <c r="Q1307" i="1"/>
  <c r="AD1307" i="1" s="1"/>
  <c r="P1307" i="1"/>
  <c r="AC1307" i="1" s="1"/>
  <c r="S1381" i="1"/>
  <c r="AF1381" i="1" s="1"/>
  <c r="R1381" i="1"/>
  <c r="AE1381" i="1" s="1"/>
  <c r="Q1381" i="1"/>
  <c r="AD1381" i="1" s="1"/>
  <c r="P1381" i="1"/>
  <c r="AC1381" i="1" s="1"/>
  <c r="O1381" i="1"/>
  <c r="AB1381" i="1" s="1"/>
  <c r="V1381" i="1"/>
  <c r="AI1381" i="1" s="1"/>
  <c r="N1381" i="1"/>
  <c r="AA1381" i="1" s="1"/>
  <c r="U1381" i="1"/>
  <c r="AH1381" i="1" s="1"/>
  <c r="M1381" i="1"/>
  <c r="Z1381" i="1" s="1"/>
  <c r="T1381" i="1"/>
  <c r="AG1381" i="1" s="1"/>
  <c r="L1381" i="1"/>
  <c r="Y1381" i="1" s="1"/>
  <c r="V1389" i="1"/>
  <c r="AI1389" i="1" s="1"/>
  <c r="U1389" i="1"/>
  <c r="AH1389" i="1" s="1"/>
  <c r="T1389" i="1"/>
  <c r="AG1389" i="1" s="1"/>
  <c r="S1397" i="1"/>
  <c r="AF1397" i="1" s="1"/>
  <c r="R1397" i="1"/>
  <c r="AE1397" i="1" s="1"/>
  <c r="Q1397" i="1"/>
  <c r="AD1397" i="1" s="1"/>
  <c r="P1397" i="1"/>
  <c r="AC1397" i="1" s="1"/>
  <c r="O1397" i="1"/>
  <c r="AB1397" i="1" s="1"/>
  <c r="V1397" i="1"/>
  <c r="AI1397" i="1" s="1"/>
  <c r="U1397" i="1"/>
  <c r="AH1397" i="1" s="1"/>
  <c r="T1397" i="1"/>
  <c r="AG1397" i="1" s="1"/>
  <c r="V1405" i="1"/>
  <c r="AI1405" i="1" s="1"/>
  <c r="U1405" i="1"/>
  <c r="AH1405" i="1" s="1"/>
  <c r="T1405" i="1"/>
  <c r="AG1405" i="1" s="1"/>
  <c r="S1413" i="1"/>
  <c r="AF1413" i="1" s="1"/>
  <c r="R1413" i="1"/>
  <c r="AE1413" i="1" s="1"/>
  <c r="V1413" i="1"/>
  <c r="AI1413" i="1" s="1"/>
  <c r="U1413" i="1"/>
  <c r="AH1413" i="1" s="1"/>
  <c r="T1413" i="1"/>
  <c r="AG1413" i="1" s="1"/>
  <c r="S1421" i="1"/>
  <c r="AF1421" i="1" s="1"/>
  <c r="R1421" i="1"/>
  <c r="AE1421" i="1" s="1"/>
  <c r="Q1421" i="1"/>
  <c r="AD1421" i="1" s="1"/>
  <c r="P1421" i="1"/>
  <c r="AC1421" i="1" s="1"/>
  <c r="O1421" i="1"/>
  <c r="AB1421" i="1" s="1"/>
  <c r="V1421" i="1"/>
  <c r="AI1421" i="1" s="1"/>
  <c r="N1421" i="1"/>
  <c r="AA1421" i="1" s="1"/>
  <c r="U1421" i="1"/>
  <c r="AH1421" i="1" s="1"/>
  <c r="M1421" i="1"/>
  <c r="Z1421" i="1" s="1"/>
  <c r="T1421" i="1"/>
  <c r="AG1421" i="1" s="1"/>
  <c r="V1429" i="1"/>
  <c r="AI1429" i="1" s="1"/>
  <c r="U1429" i="1"/>
  <c r="AH1429" i="1" s="1"/>
  <c r="T1437" i="1"/>
  <c r="AG1437" i="1" s="1"/>
  <c r="S1437" i="1"/>
  <c r="AF1437" i="1" s="1"/>
  <c r="Q1437" i="1"/>
  <c r="AD1437" i="1" s="1"/>
  <c r="P1437" i="1"/>
  <c r="AC1437" i="1" s="1"/>
  <c r="V1437" i="1"/>
  <c r="AI1437" i="1" s="1"/>
  <c r="U1437" i="1"/>
  <c r="AH1437" i="1" s="1"/>
  <c r="R1437" i="1"/>
  <c r="AE1437" i="1" s="1"/>
  <c r="T1445" i="1"/>
  <c r="AG1445" i="1" s="1"/>
  <c r="L1445" i="1"/>
  <c r="Y1445" i="1" s="1"/>
  <c r="S1445" i="1"/>
  <c r="AF1445" i="1" s="1"/>
  <c r="K1445" i="1"/>
  <c r="X1445" i="1" s="1"/>
  <c r="R1445" i="1"/>
  <c r="AE1445" i="1" s="1"/>
  <c r="Q1445" i="1"/>
  <c r="AD1445" i="1" s="1"/>
  <c r="P1445" i="1"/>
  <c r="AC1445" i="1" s="1"/>
  <c r="O1445" i="1"/>
  <c r="AB1445" i="1" s="1"/>
  <c r="V1445" i="1"/>
  <c r="AI1445" i="1" s="1"/>
  <c r="U1445" i="1"/>
  <c r="AH1445" i="1" s="1"/>
  <c r="N1445" i="1"/>
  <c r="AA1445" i="1" s="1"/>
  <c r="M1445" i="1"/>
  <c r="Z1445" i="1" s="1"/>
  <c r="T1453" i="1"/>
  <c r="AG1453" i="1" s="1"/>
  <c r="S1453" i="1"/>
  <c r="AF1453" i="1" s="1"/>
  <c r="V1453" i="1"/>
  <c r="AI1453" i="1" s="1"/>
  <c r="U1453" i="1"/>
  <c r="AH1453" i="1" s="1"/>
  <c r="T1461" i="1"/>
  <c r="AG1461" i="1" s="1"/>
  <c r="S1461" i="1"/>
  <c r="AF1461" i="1" s="1"/>
  <c r="R1461" i="1"/>
  <c r="AE1461" i="1" s="1"/>
  <c r="Q1461" i="1"/>
  <c r="AD1461" i="1" s="1"/>
  <c r="P1461" i="1"/>
  <c r="AC1461" i="1" s="1"/>
  <c r="O1461" i="1"/>
  <c r="AB1461" i="1" s="1"/>
  <c r="V1461" i="1"/>
  <c r="AI1461" i="1" s="1"/>
  <c r="N1461" i="1"/>
  <c r="AA1461" i="1" s="1"/>
  <c r="U1461" i="1"/>
  <c r="AH1461" i="1" s="1"/>
  <c r="P1472" i="1"/>
  <c r="AC1472" i="1" s="1"/>
  <c r="O1472" i="1"/>
  <c r="AB1472" i="1" s="1"/>
  <c r="V1472" i="1"/>
  <c r="AI1472" i="1" s="1"/>
  <c r="N1472" i="1"/>
  <c r="AA1472" i="1" s="1"/>
  <c r="U1472" i="1"/>
  <c r="AH1472" i="1" s="1"/>
  <c r="M1472" i="1"/>
  <c r="Z1472" i="1" s="1"/>
  <c r="T1472" i="1"/>
  <c r="AG1472" i="1" s="1"/>
  <c r="L1472" i="1"/>
  <c r="Y1472" i="1" s="1"/>
  <c r="S1472" i="1"/>
  <c r="AF1472" i="1" s="1"/>
  <c r="R1472" i="1"/>
  <c r="AE1472" i="1" s="1"/>
  <c r="Q1472" i="1"/>
  <c r="AD1472" i="1" s="1"/>
  <c r="T1487" i="1"/>
  <c r="AG1487" i="1" s="1"/>
  <c r="S1487" i="1"/>
  <c r="AF1487" i="1" s="1"/>
  <c r="R1487" i="1"/>
  <c r="AE1487" i="1" s="1"/>
  <c r="Q1487" i="1"/>
  <c r="AD1487" i="1" s="1"/>
  <c r="P1487" i="1"/>
  <c r="AC1487" i="1" s="1"/>
  <c r="O1487" i="1"/>
  <c r="AB1487" i="1" s="1"/>
  <c r="V1487" i="1"/>
  <c r="AI1487" i="1" s="1"/>
  <c r="N1487" i="1"/>
  <c r="AA1487" i="1" s="1"/>
  <c r="U1487" i="1"/>
  <c r="AH1487" i="1" s="1"/>
  <c r="T1503" i="1"/>
  <c r="AG1503" i="1" s="1"/>
  <c r="S1503" i="1"/>
  <c r="AF1503" i="1" s="1"/>
  <c r="R1503" i="1"/>
  <c r="AE1503" i="1" s="1"/>
  <c r="Q1503" i="1"/>
  <c r="AD1503" i="1" s="1"/>
  <c r="V1503" i="1"/>
  <c r="AI1503" i="1" s="1"/>
  <c r="U1503" i="1"/>
  <c r="AH1503" i="1" s="1"/>
  <c r="V1519" i="1"/>
  <c r="AI1519" i="1" s="1"/>
  <c r="U1519" i="1"/>
  <c r="AH1519" i="1" s="1"/>
  <c r="T1519" i="1"/>
  <c r="AG1519" i="1" s="1"/>
  <c r="V1535" i="1"/>
  <c r="AI1535" i="1" s="1"/>
  <c r="S1551" i="1"/>
  <c r="AF1551" i="1" s="1"/>
  <c r="R1551" i="1"/>
  <c r="AE1551" i="1" s="1"/>
  <c r="Q1551" i="1"/>
  <c r="AD1551" i="1" s="1"/>
  <c r="P1551" i="1"/>
  <c r="AC1551" i="1" s="1"/>
  <c r="V1551" i="1"/>
  <c r="AI1551" i="1" s="1"/>
  <c r="N1551" i="1"/>
  <c r="AA1551" i="1" s="1"/>
  <c r="U1551" i="1"/>
  <c r="AH1551" i="1" s="1"/>
  <c r="T1551" i="1"/>
  <c r="AG1551" i="1" s="1"/>
  <c r="O1551" i="1"/>
  <c r="AB1551" i="1" s="1"/>
  <c r="M1551" i="1"/>
  <c r="Z1551" i="1" s="1"/>
  <c r="S1567" i="1"/>
  <c r="AF1567" i="1" s="1"/>
  <c r="R1567" i="1"/>
  <c r="AE1567" i="1" s="1"/>
  <c r="Q1567" i="1"/>
  <c r="AD1567" i="1" s="1"/>
  <c r="P1567" i="1"/>
  <c r="AC1567" i="1" s="1"/>
  <c r="V1567" i="1"/>
  <c r="AI1567" i="1" s="1"/>
  <c r="U1567" i="1"/>
  <c r="AH1567" i="1" s="1"/>
  <c r="T1567" i="1"/>
  <c r="AG1567" i="1" s="1"/>
  <c r="T1147" i="1"/>
  <c r="AG1147" i="1" s="1"/>
  <c r="L1147" i="1"/>
  <c r="Y1147" i="1" s="1"/>
  <c r="S1147" i="1"/>
  <c r="AF1147" i="1" s="1"/>
  <c r="R1147" i="1"/>
  <c r="AE1147" i="1" s="1"/>
  <c r="Q1147" i="1"/>
  <c r="AD1147" i="1" s="1"/>
  <c r="P1147" i="1"/>
  <c r="AC1147" i="1" s="1"/>
  <c r="O1147" i="1"/>
  <c r="AB1147" i="1" s="1"/>
  <c r="V1147" i="1"/>
  <c r="AI1147" i="1" s="1"/>
  <c r="N1147" i="1"/>
  <c r="AA1147" i="1" s="1"/>
  <c r="U1147" i="1"/>
  <c r="AH1147" i="1" s="1"/>
  <c r="M1147" i="1"/>
  <c r="Z1147" i="1" s="1"/>
  <c r="V1281" i="1"/>
  <c r="AI1281" i="1" s="1"/>
  <c r="U1281" i="1"/>
  <c r="AH1281" i="1" s="1"/>
  <c r="S1281" i="1"/>
  <c r="AF1281" i="1" s="1"/>
  <c r="R1281" i="1"/>
  <c r="AE1281" i="1" s="1"/>
  <c r="Q1281" i="1"/>
  <c r="AD1281" i="1" s="1"/>
  <c r="T1281" i="1"/>
  <c r="AG1281" i="1" s="1"/>
  <c r="P1281" i="1"/>
  <c r="AC1281" i="1" s="1"/>
  <c r="V1321" i="1"/>
  <c r="AI1321" i="1" s="1"/>
  <c r="U1321" i="1"/>
  <c r="AH1321" i="1" s="1"/>
  <c r="T1321" i="1"/>
  <c r="AG1321" i="1" s="1"/>
  <c r="S1321" i="1"/>
  <c r="AF1321" i="1" s="1"/>
  <c r="R1321" i="1"/>
  <c r="AE1321" i="1" s="1"/>
  <c r="Q1321" i="1"/>
  <c r="AD1321" i="1" s="1"/>
  <c r="V1374" i="1"/>
  <c r="AI1374" i="1" s="1"/>
  <c r="U1374" i="1"/>
  <c r="AH1374" i="1" s="1"/>
  <c r="S1374" i="1"/>
  <c r="AF1374" i="1" s="1"/>
  <c r="R1374" i="1"/>
  <c r="AE1374" i="1" s="1"/>
  <c r="T1374" i="1"/>
  <c r="AG1374" i="1" s="1"/>
  <c r="R1169" i="1"/>
  <c r="AE1169" i="1" s="1"/>
  <c r="Q1169" i="1"/>
  <c r="AD1169" i="1" s="1"/>
  <c r="P1169" i="1"/>
  <c r="AC1169" i="1" s="1"/>
  <c r="V1169" i="1"/>
  <c r="AI1169" i="1" s="1"/>
  <c r="U1169" i="1"/>
  <c r="AH1169" i="1" s="1"/>
  <c r="T1169" i="1"/>
  <c r="AG1169" i="1" s="1"/>
  <c r="S1169" i="1"/>
  <c r="AF1169" i="1" s="1"/>
  <c r="V1267" i="1"/>
  <c r="AI1267" i="1" s="1"/>
  <c r="U1267" i="1"/>
  <c r="AH1267" i="1" s="1"/>
  <c r="S1267" i="1"/>
  <c r="AF1267" i="1" s="1"/>
  <c r="R1267" i="1"/>
  <c r="AE1267" i="1" s="1"/>
  <c r="Q1267" i="1"/>
  <c r="AD1267" i="1" s="1"/>
  <c r="T1267" i="1"/>
  <c r="AG1267" i="1" s="1"/>
  <c r="P1267" i="1"/>
  <c r="AC1267" i="1" s="1"/>
  <c r="O1267" i="1"/>
  <c r="AB1267" i="1" s="1"/>
  <c r="V1326" i="1"/>
  <c r="AI1326" i="1" s="1"/>
  <c r="R1355" i="1"/>
  <c r="AE1355" i="1" s="1"/>
  <c r="Q1355" i="1"/>
  <c r="AD1355" i="1" s="1"/>
  <c r="O1355" i="1"/>
  <c r="AB1355" i="1" s="1"/>
  <c r="V1355" i="1"/>
  <c r="AI1355" i="1" s="1"/>
  <c r="N1355" i="1"/>
  <c r="AA1355" i="1" s="1"/>
  <c r="U1355" i="1"/>
  <c r="AH1355" i="1" s="1"/>
  <c r="M1355" i="1"/>
  <c r="Z1355" i="1" s="1"/>
  <c r="L1355" i="1"/>
  <c r="Y1355" i="1" s="1"/>
  <c r="T1355" i="1"/>
  <c r="AG1355" i="1" s="1"/>
  <c r="S1355" i="1"/>
  <c r="AF1355" i="1" s="1"/>
  <c r="P1355" i="1"/>
  <c r="AC1355" i="1" s="1"/>
  <c r="V374" i="1"/>
  <c r="AI374" i="1" s="1"/>
  <c r="T374" i="1"/>
  <c r="AG374" i="1" s="1"/>
  <c r="U374" i="1"/>
  <c r="AH374" i="1" s="1"/>
  <c r="S374" i="1"/>
  <c r="AF374" i="1" s="1"/>
  <c r="V1238" i="1"/>
  <c r="AI1238" i="1" s="1"/>
  <c r="N1238" i="1"/>
  <c r="AA1238" i="1" s="1"/>
  <c r="U1238" i="1"/>
  <c r="AH1238" i="1" s="1"/>
  <c r="M1238" i="1"/>
  <c r="Z1238" i="1" s="1"/>
  <c r="T1238" i="1"/>
  <c r="AG1238" i="1" s="1"/>
  <c r="L1238" i="1"/>
  <c r="Y1238" i="1" s="1"/>
  <c r="S1238" i="1"/>
  <c r="AF1238" i="1" s="1"/>
  <c r="R1238" i="1"/>
  <c r="AE1238" i="1" s="1"/>
  <c r="Q1238" i="1"/>
  <c r="AD1238" i="1" s="1"/>
  <c r="P1238" i="1"/>
  <c r="AC1238" i="1" s="1"/>
  <c r="O1238" i="1"/>
  <c r="AB1238" i="1" s="1"/>
  <c r="V1297" i="1"/>
  <c r="AI1297" i="1" s="1"/>
  <c r="U1297" i="1"/>
  <c r="AH1297" i="1" s="1"/>
  <c r="S1297" i="1"/>
  <c r="AF1297" i="1" s="1"/>
  <c r="T1297" i="1"/>
  <c r="AG1297" i="1" s="1"/>
  <c r="Q1576" i="1"/>
  <c r="AD1576" i="1" s="1"/>
  <c r="P1576" i="1"/>
  <c r="AC1576" i="1" s="1"/>
  <c r="O1576" i="1"/>
  <c r="AB1576" i="1" s="1"/>
  <c r="V1576" i="1"/>
  <c r="AI1576" i="1" s="1"/>
  <c r="N1576" i="1"/>
  <c r="AA1576" i="1" s="1"/>
  <c r="U1576" i="1"/>
  <c r="AH1576" i="1" s="1"/>
  <c r="M1576" i="1"/>
  <c r="Z1576" i="1" s="1"/>
  <c r="T1576" i="1"/>
  <c r="AG1576" i="1" s="1"/>
  <c r="L1576" i="1"/>
  <c r="Y1576" i="1" s="1"/>
  <c r="R1576" i="1"/>
  <c r="AE1576" i="1" s="1"/>
  <c r="S1576" i="1"/>
  <c r="AF1576" i="1" s="1"/>
  <c r="V222" i="1"/>
  <c r="AI222" i="1" s="1"/>
  <c r="V1224" i="1"/>
  <c r="AI1224" i="1" s="1"/>
  <c r="N1224" i="1"/>
  <c r="AA1224" i="1" s="1"/>
  <c r="U1224" i="1"/>
  <c r="AH1224" i="1" s="1"/>
  <c r="M1224" i="1"/>
  <c r="Z1224" i="1" s="1"/>
  <c r="T1224" i="1"/>
  <c r="AG1224" i="1" s="1"/>
  <c r="L1224" i="1"/>
  <c r="Y1224" i="1" s="1"/>
  <c r="S1224" i="1"/>
  <c r="AF1224" i="1" s="1"/>
  <c r="K1224" i="1"/>
  <c r="X1224" i="1" s="1"/>
  <c r="R1224" i="1"/>
  <c r="AE1224" i="1" s="1"/>
  <c r="Q1224" i="1"/>
  <c r="AD1224" i="1" s="1"/>
  <c r="P1224" i="1"/>
  <c r="AC1224" i="1" s="1"/>
  <c r="O1224" i="1"/>
  <c r="AB1224" i="1" s="1"/>
  <c r="R123" i="1"/>
  <c r="AE123" i="1" s="1"/>
  <c r="Q123" i="1"/>
  <c r="AD123" i="1" s="1"/>
  <c r="P123" i="1"/>
  <c r="AC123" i="1" s="1"/>
  <c r="O123" i="1"/>
  <c r="AB123" i="1" s="1"/>
  <c r="V123" i="1"/>
  <c r="AI123" i="1" s="1"/>
  <c r="N123" i="1"/>
  <c r="AA123" i="1" s="1"/>
  <c r="U123" i="1"/>
  <c r="AH123" i="1" s="1"/>
  <c r="M123" i="1"/>
  <c r="Z123" i="1" s="1"/>
  <c r="S123" i="1"/>
  <c r="AF123" i="1" s="1"/>
  <c r="K123" i="1"/>
  <c r="X123" i="1" s="1"/>
  <c r="T123" i="1"/>
  <c r="AG123" i="1" s="1"/>
  <c r="L123" i="1"/>
  <c r="Y123" i="1" s="1"/>
  <c r="Q743" i="1"/>
  <c r="AD743" i="1" s="1"/>
  <c r="P743" i="1"/>
  <c r="AC743" i="1" s="1"/>
  <c r="O743" i="1"/>
  <c r="AB743" i="1" s="1"/>
  <c r="V743" i="1"/>
  <c r="AI743" i="1" s="1"/>
  <c r="N743" i="1"/>
  <c r="AA743" i="1" s="1"/>
  <c r="U743" i="1"/>
  <c r="AH743" i="1" s="1"/>
  <c r="M743" i="1"/>
  <c r="Z743" i="1" s="1"/>
  <c r="T743" i="1"/>
  <c r="AG743" i="1" s="1"/>
  <c r="L743" i="1"/>
  <c r="Y743" i="1" s="1"/>
  <c r="R743" i="1"/>
  <c r="AE743" i="1" s="1"/>
  <c r="K743" i="1"/>
  <c r="X743" i="1" s="1"/>
  <c r="S743" i="1"/>
  <c r="AF743" i="1" s="1"/>
  <c r="Q890" i="1"/>
  <c r="AD890" i="1" s="1"/>
  <c r="V890" i="1"/>
  <c r="AI890" i="1" s="1"/>
  <c r="T890" i="1"/>
  <c r="AG890" i="1" s="1"/>
  <c r="S890" i="1"/>
  <c r="AF890" i="1" s="1"/>
  <c r="R890" i="1"/>
  <c r="AE890" i="1" s="1"/>
  <c r="P890" i="1"/>
  <c r="AC890" i="1" s="1"/>
  <c r="O890" i="1"/>
  <c r="AB890" i="1" s="1"/>
  <c r="U890" i="1"/>
  <c r="AH890" i="1" s="1"/>
  <c r="V1178" i="1"/>
  <c r="AI1178" i="1" s="1"/>
  <c r="U1178" i="1"/>
  <c r="AH1178" i="1" s="1"/>
  <c r="T1178" i="1"/>
  <c r="AG1178" i="1" s="1"/>
  <c r="S1178" i="1"/>
  <c r="AF1178" i="1" s="1"/>
  <c r="R1178" i="1"/>
  <c r="AE1178" i="1" s="1"/>
  <c r="Q1178" i="1"/>
  <c r="AD1178" i="1" s="1"/>
  <c r="U824" i="1"/>
  <c r="AH824" i="1" s="1"/>
  <c r="T824" i="1"/>
  <c r="AG824" i="1" s="1"/>
  <c r="S824" i="1"/>
  <c r="AF824" i="1" s="1"/>
  <c r="R824" i="1"/>
  <c r="AE824" i="1" s="1"/>
  <c r="Q824" i="1"/>
  <c r="AD824" i="1" s="1"/>
  <c r="P824" i="1"/>
  <c r="AC824" i="1" s="1"/>
  <c r="V824" i="1"/>
  <c r="AI824" i="1" s="1"/>
  <c r="N824" i="1"/>
  <c r="AA824" i="1" s="1"/>
  <c r="O824" i="1"/>
  <c r="AB824" i="1" s="1"/>
  <c r="P1162" i="1"/>
  <c r="AC1162" i="1" s="1"/>
  <c r="O1162" i="1"/>
  <c r="AB1162" i="1" s="1"/>
  <c r="V1162" i="1"/>
  <c r="AI1162" i="1" s="1"/>
  <c r="N1162" i="1"/>
  <c r="AA1162" i="1" s="1"/>
  <c r="U1162" i="1"/>
  <c r="AH1162" i="1" s="1"/>
  <c r="T1162" i="1"/>
  <c r="AG1162" i="1" s="1"/>
  <c r="S1162" i="1"/>
  <c r="AF1162" i="1" s="1"/>
  <c r="R1162" i="1"/>
  <c r="AE1162" i="1" s="1"/>
  <c r="Q1162" i="1"/>
  <c r="AD1162" i="1" s="1"/>
  <c r="V1312" i="1"/>
  <c r="AI1312" i="1" s="1"/>
  <c r="U1312" i="1"/>
  <c r="AH1312" i="1" s="1"/>
  <c r="V1228" i="1"/>
  <c r="AI1228" i="1" s="1"/>
  <c r="U1228" i="1"/>
  <c r="AH1228" i="1" s="1"/>
  <c r="T1228" i="1"/>
  <c r="AG1228" i="1" s="1"/>
  <c r="S1228" i="1"/>
  <c r="AF1228" i="1" s="1"/>
  <c r="R1228" i="1"/>
  <c r="AE1228" i="1" s="1"/>
  <c r="Q1228" i="1"/>
  <c r="AD1228" i="1" s="1"/>
  <c r="P1228" i="1"/>
  <c r="AC1228" i="1" s="1"/>
  <c r="O1228" i="1"/>
  <c r="AB1228" i="1" s="1"/>
  <c r="U816" i="1"/>
  <c r="AH816" i="1" s="1"/>
  <c r="M816" i="1"/>
  <c r="Z816" i="1" s="1"/>
  <c r="T816" i="1"/>
  <c r="AG816" i="1" s="1"/>
  <c r="L816" i="1"/>
  <c r="Y816" i="1" s="1"/>
  <c r="S816" i="1"/>
  <c r="AF816" i="1" s="1"/>
  <c r="R816" i="1"/>
  <c r="AE816" i="1" s="1"/>
  <c r="Q816" i="1"/>
  <c r="AD816" i="1" s="1"/>
  <c r="P816" i="1"/>
  <c r="AC816" i="1" s="1"/>
  <c r="V816" i="1"/>
  <c r="AI816" i="1" s="1"/>
  <c r="N816" i="1"/>
  <c r="AA816" i="1" s="1"/>
  <c r="O816" i="1"/>
  <c r="AB816" i="1" s="1"/>
  <c r="V1325" i="1"/>
  <c r="AI1325" i="1" s="1"/>
  <c r="U1325" i="1"/>
  <c r="AH1325" i="1" s="1"/>
  <c r="V1202" i="1"/>
  <c r="AI1202" i="1" s="1"/>
  <c r="U1202" i="1"/>
  <c r="AH1202" i="1" s="1"/>
  <c r="T1202" i="1"/>
  <c r="AG1202" i="1" s="1"/>
  <c r="S1202" i="1"/>
  <c r="AF1202" i="1" s="1"/>
  <c r="R1202" i="1"/>
  <c r="AE1202" i="1" s="1"/>
  <c r="Q1202" i="1"/>
  <c r="AD1202" i="1" s="1"/>
  <c r="P1202" i="1"/>
  <c r="AC1202" i="1" s="1"/>
  <c r="O1202" i="1"/>
  <c r="AB1202" i="1" s="1"/>
  <c r="V146" i="1"/>
  <c r="AI146" i="1" s="1"/>
  <c r="N146" i="1"/>
  <c r="AA146" i="1" s="1"/>
  <c r="U146" i="1"/>
  <c r="AH146" i="1" s="1"/>
  <c r="M146" i="1"/>
  <c r="Z146" i="1" s="1"/>
  <c r="T146" i="1"/>
  <c r="AG146" i="1" s="1"/>
  <c r="L146" i="1"/>
  <c r="Y146" i="1" s="1"/>
  <c r="S146" i="1"/>
  <c r="AF146" i="1" s="1"/>
  <c r="R146" i="1"/>
  <c r="AE146" i="1" s="1"/>
  <c r="Q146" i="1"/>
  <c r="AD146" i="1" s="1"/>
  <c r="O146" i="1"/>
  <c r="AB146" i="1" s="1"/>
  <c r="P146" i="1"/>
  <c r="AC146" i="1" s="1"/>
  <c r="P1066" i="1"/>
  <c r="AC1066" i="1" s="1"/>
  <c r="O1066" i="1"/>
  <c r="AB1066" i="1" s="1"/>
  <c r="V1066" i="1"/>
  <c r="AI1066" i="1" s="1"/>
  <c r="U1066" i="1"/>
  <c r="AH1066" i="1" s="1"/>
  <c r="T1066" i="1"/>
  <c r="AG1066" i="1" s="1"/>
  <c r="S1066" i="1"/>
  <c r="AF1066" i="1" s="1"/>
  <c r="R1066" i="1"/>
  <c r="AE1066" i="1" s="1"/>
  <c r="Q1066" i="1"/>
  <c r="AD1066" i="1" s="1"/>
  <c r="P1057" i="1"/>
  <c r="AC1057" i="1" s="1"/>
  <c r="O1057" i="1"/>
  <c r="AB1057" i="1" s="1"/>
  <c r="V1057" i="1"/>
  <c r="AI1057" i="1" s="1"/>
  <c r="N1057" i="1"/>
  <c r="AA1057" i="1" s="1"/>
  <c r="U1057" i="1"/>
  <c r="AH1057" i="1" s="1"/>
  <c r="M1057" i="1"/>
  <c r="Z1057" i="1" s="1"/>
  <c r="T1057" i="1"/>
  <c r="AG1057" i="1" s="1"/>
  <c r="S1057" i="1"/>
  <c r="AF1057" i="1" s="1"/>
  <c r="R1057" i="1"/>
  <c r="AE1057" i="1" s="1"/>
  <c r="Q1057" i="1"/>
  <c r="AD1057" i="1" s="1"/>
  <c r="J1107" i="1"/>
  <c r="V104" i="1"/>
  <c r="AI104" i="1" s="1"/>
  <c r="R347" i="1"/>
  <c r="AE347" i="1" s="1"/>
  <c r="V347" i="1"/>
  <c r="AI347" i="1" s="1"/>
  <c r="U347" i="1"/>
  <c r="AH347" i="1" s="1"/>
  <c r="S347" i="1"/>
  <c r="AF347" i="1" s="1"/>
  <c r="T347" i="1"/>
  <c r="AG347" i="1" s="1"/>
  <c r="U708" i="1"/>
  <c r="AH708" i="1" s="1"/>
  <c r="S708" i="1"/>
  <c r="AF708" i="1" s="1"/>
  <c r="Q708" i="1"/>
  <c r="AD708" i="1" s="1"/>
  <c r="P708" i="1"/>
  <c r="AC708" i="1" s="1"/>
  <c r="V708" i="1"/>
  <c r="AI708" i="1" s="1"/>
  <c r="T708" i="1"/>
  <c r="AG708" i="1" s="1"/>
  <c r="R708" i="1"/>
  <c r="AE708" i="1" s="1"/>
  <c r="O708" i="1"/>
  <c r="AB708" i="1" s="1"/>
  <c r="Q761" i="1"/>
  <c r="AD761" i="1" s="1"/>
  <c r="P761" i="1"/>
  <c r="AC761" i="1" s="1"/>
  <c r="V761" i="1"/>
  <c r="AI761" i="1" s="1"/>
  <c r="U761" i="1"/>
  <c r="AH761" i="1" s="1"/>
  <c r="T761" i="1"/>
  <c r="AG761" i="1" s="1"/>
  <c r="R761" i="1"/>
  <c r="AE761" i="1" s="1"/>
  <c r="S761" i="1"/>
  <c r="AF761" i="1" s="1"/>
  <c r="U895" i="1"/>
  <c r="AH895" i="1" s="1"/>
  <c r="V895" i="1"/>
  <c r="AI895" i="1" s="1"/>
  <c r="T895" i="1"/>
  <c r="AG895" i="1" s="1"/>
  <c r="P1068" i="1"/>
  <c r="AC1068" i="1" s="1"/>
  <c r="O1068" i="1"/>
  <c r="AB1068" i="1" s="1"/>
  <c r="V1068" i="1"/>
  <c r="AI1068" i="1" s="1"/>
  <c r="N1068" i="1"/>
  <c r="AA1068" i="1" s="1"/>
  <c r="U1068" i="1"/>
  <c r="AH1068" i="1" s="1"/>
  <c r="M1068" i="1"/>
  <c r="Z1068" i="1" s="1"/>
  <c r="T1068" i="1"/>
  <c r="AG1068" i="1" s="1"/>
  <c r="L1068" i="1"/>
  <c r="Y1068" i="1" s="1"/>
  <c r="S1068" i="1"/>
  <c r="AF1068" i="1" s="1"/>
  <c r="K1068" i="1"/>
  <c r="X1068" i="1" s="1"/>
  <c r="R1068" i="1"/>
  <c r="AE1068" i="1" s="1"/>
  <c r="Q1068" i="1"/>
  <c r="AD1068" i="1" s="1"/>
  <c r="V1196" i="1"/>
  <c r="AI1196" i="1" s="1"/>
  <c r="N1196" i="1"/>
  <c r="AA1196" i="1" s="1"/>
  <c r="U1196" i="1"/>
  <c r="AH1196" i="1" s="1"/>
  <c r="T1196" i="1"/>
  <c r="AG1196" i="1" s="1"/>
  <c r="S1196" i="1"/>
  <c r="AF1196" i="1" s="1"/>
  <c r="R1196" i="1"/>
  <c r="AE1196" i="1" s="1"/>
  <c r="Q1196" i="1"/>
  <c r="AD1196" i="1" s="1"/>
  <c r="P1196" i="1"/>
  <c r="AC1196" i="1" s="1"/>
  <c r="O1196" i="1"/>
  <c r="AB1196" i="1" s="1"/>
  <c r="R1199" i="1"/>
  <c r="AE1199" i="1" s="1"/>
  <c r="Q1199" i="1"/>
  <c r="AD1199" i="1" s="1"/>
  <c r="P1199" i="1"/>
  <c r="AC1199" i="1" s="1"/>
  <c r="O1199" i="1"/>
  <c r="AB1199" i="1" s="1"/>
  <c r="V1199" i="1"/>
  <c r="AI1199" i="1" s="1"/>
  <c r="N1199" i="1"/>
  <c r="AA1199" i="1" s="1"/>
  <c r="U1199" i="1"/>
  <c r="AH1199" i="1" s="1"/>
  <c r="M1199" i="1"/>
  <c r="Z1199" i="1" s="1"/>
  <c r="T1199" i="1"/>
  <c r="AG1199" i="1" s="1"/>
  <c r="L1199" i="1"/>
  <c r="Y1199" i="1" s="1"/>
  <c r="S1199" i="1"/>
  <c r="AF1199" i="1" s="1"/>
  <c r="O1305" i="1"/>
  <c r="AB1305" i="1" s="1"/>
  <c r="V1305" i="1"/>
  <c r="AI1305" i="1" s="1"/>
  <c r="N1305" i="1"/>
  <c r="AA1305" i="1" s="1"/>
  <c r="U1305" i="1"/>
  <c r="AH1305" i="1" s="1"/>
  <c r="T1305" i="1"/>
  <c r="AG1305" i="1" s="1"/>
  <c r="S1305" i="1"/>
  <c r="AF1305" i="1" s="1"/>
  <c r="R1305" i="1"/>
  <c r="AE1305" i="1" s="1"/>
  <c r="Q1305" i="1"/>
  <c r="AD1305" i="1" s="1"/>
  <c r="P1305" i="1"/>
  <c r="AC1305" i="1" s="1"/>
  <c r="R409" i="1"/>
  <c r="AE409" i="1" s="1"/>
  <c r="P409" i="1"/>
  <c r="AC409" i="1" s="1"/>
  <c r="O409" i="1"/>
  <c r="AB409" i="1" s="1"/>
  <c r="V409" i="1"/>
  <c r="AI409" i="1" s="1"/>
  <c r="U409" i="1"/>
  <c r="AH409" i="1" s="1"/>
  <c r="S409" i="1"/>
  <c r="AF409" i="1" s="1"/>
  <c r="Q409" i="1"/>
  <c r="AD409" i="1" s="1"/>
  <c r="T409" i="1"/>
  <c r="AG409" i="1" s="1"/>
  <c r="Q707" i="1"/>
  <c r="AD707" i="1" s="1"/>
  <c r="O707" i="1"/>
  <c r="AB707" i="1" s="1"/>
  <c r="U707" i="1"/>
  <c r="AH707" i="1" s="1"/>
  <c r="T707" i="1"/>
  <c r="AG707" i="1" s="1"/>
  <c r="R707" i="1"/>
  <c r="AE707" i="1" s="1"/>
  <c r="V707" i="1"/>
  <c r="AI707" i="1" s="1"/>
  <c r="S707" i="1"/>
  <c r="AF707" i="1" s="1"/>
  <c r="N707" i="1"/>
  <c r="AA707" i="1" s="1"/>
  <c r="P707" i="1"/>
  <c r="AC707" i="1" s="1"/>
  <c r="T1095" i="1"/>
  <c r="AG1095" i="1" s="1"/>
  <c r="L1095" i="1"/>
  <c r="Y1095" i="1" s="1"/>
  <c r="S1095" i="1"/>
  <c r="AF1095" i="1" s="1"/>
  <c r="R1095" i="1"/>
  <c r="AE1095" i="1" s="1"/>
  <c r="Q1095" i="1"/>
  <c r="AD1095" i="1" s="1"/>
  <c r="P1095" i="1"/>
  <c r="AC1095" i="1" s="1"/>
  <c r="O1095" i="1"/>
  <c r="AB1095" i="1" s="1"/>
  <c r="V1095" i="1"/>
  <c r="AI1095" i="1" s="1"/>
  <c r="N1095" i="1"/>
  <c r="AA1095" i="1" s="1"/>
  <c r="U1095" i="1"/>
  <c r="AH1095" i="1" s="1"/>
  <c r="M1095" i="1"/>
  <c r="Z1095" i="1" s="1"/>
  <c r="V1223" i="1"/>
  <c r="AI1223" i="1" s="1"/>
  <c r="U1223" i="1"/>
  <c r="AH1223" i="1" s="1"/>
  <c r="R1341" i="1"/>
  <c r="AE1341" i="1" s="1"/>
  <c r="Q1341" i="1"/>
  <c r="AD1341" i="1" s="1"/>
  <c r="O1341" i="1"/>
  <c r="AB1341" i="1" s="1"/>
  <c r="V1341" i="1"/>
  <c r="AI1341" i="1" s="1"/>
  <c r="N1341" i="1"/>
  <c r="AA1341" i="1" s="1"/>
  <c r="U1341" i="1"/>
  <c r="AH1341" i="1" s="1"/>
  <c r="M1341" i="1"/>
  <c r="Z1341" i="1" s="1"/>
  <c r="K1341" i="1"/>
  <c r="X1341" i="1" s="1"/>
  <c r="T1341" i="1"/>
  <c r="AG1341" i="1" s="1"/>
  <c r="S1341" i="1"/>
  <c r="AF1341" i="1" s="1"/>
  <c r="P1341" i="1"/>
  <c r="AC1341" i="1" s="1"/>
  <c r="L1341" i="1"/>
  <c r="Y1341" i="1" s="1"/>
  <c r="V1220" i="1"/>
  <c r="AI1220" i="1" s="1"/>
  <c r="U1220" i="1"/>
  <c r="AH1220" i="1" s="1"/>
  <c r="T1220" i="1"/>
  <c r="AG1220" i="1" s="1"/>
  <c r="R121" i="1"/>
  <c r="AE121" i="1" s="1"/>
  <c r="Q121" i="1"/>
  <c r="AD121" i="1" s="1"/>
  <c r="P121" i="1"/>
  <c r="AC121" i="1" s="1"/>
  <c r="O121" i="1"/>
  <c r="AB121" i="1" s="1"/>
  <c r="V121" i="1"/>
  <c r="AI121" i="1" s="1"/>
  <c r="N121" i="1"/>
  <c r="AA121" i="1" s="1"/>
  <c r="U121" i="1"/>
  <c r="AH121" i="1" s="1"/>
  <c r="M121" i="1"/>
  <c r="Z121" i="1" s="1"/>
  <c r="S121" i="1"/>
  <c r="AF121" i="1" s="1"/>
  <c r="K121" i="1"/>
  <c r="X121" i="1" s="1"/>
  <c r="T121" i="1"/>
  <c r="AG121" i="1" s="1"/>
  <c r="L121" i="1"/>
  <c r="Y121" i="1" s="1"/>
  <c r="V110" i="1"/>
  <c r="AI110" i="1" s="1"/>
  <c r="U110" i="1"/>
  <c r="AH110" i="1" s="1"/>
  <c r="T110" i="1"/>
  <c r="AG110" i="1" s="1"/>
  <c r="S110" i="1"/>
  <c r="AF110" i="1" s="1"/>
  <c r="R110" i="1"/>
  <c r="AE110" i="1" s="1"/>
  <c r="Q110" i="1"/>
  <c r="AD110" i="1" s="1"/>
  <c r="O110" i="1"/>
  <c r="AB110" i="1" s="1"/>
  <c r="P110" i="1"/>
  <c r="AC110" i="1" s="1"/>
  <c r="R395" i="1"/>
  <c r="AE395" i="1" s="1"/>
  <c r="P395" i="1"/>
  <c r="AC395" i="1" s="1"/>
  <c r="V395" i="1"/>
  <c r="AI395" i="1" s="1"/>
  <c r="N395" i="1"/>
  <c r="AA395" i="1" s="1"/>
  <c r="U395" i="1"/>
  <c r="AH395" i="1" s="1"/>
  <c r="S395" i="1"/>
  <c r="AF395" i="1" s="1"/>
  <c r="T395" i="1"/>
  <c r="AG395" i="1" s="1"/>
  <c r="Q395" i="1"/>
  <c r="AD395" i="1" s="1"/>
  <c r="O395" i="1"/>
  <c r="AB395" i="1" s="1"/>
  <c r="J432" i="1"/>
  <c r="U738" i="1"/>
  <c r="AH738" i="1" s="1"/>
  <c r="T738" i="1"/>
  <c r="AG738" i="1" s="1"/>
  <c r="S738" i="1"/>
  <c r="AF738" i="1" s="1"/>
  <c r="V738" i="1"/>
  <c r="AI738" i="1" s="1"/>
  <c r="U842" i="1"/>
  <c r="AH842" i="1" s="1"/>
  <c r="T842" i="1"/>
  <c r="AG842" i="1" s="1"/>
  <c r="S842" i="1"/>
  <c r="AF842" i="1" s="1"/>
  <c r="R842" i="1"/>
  <c r="AE842" i="1" s="1"/>
  <c r="Q842" i="1"/>
  <c r="AD842" i="1" s="1"/>
  <c r="P842" i="1"/>
  <c r="AC842" i="1" s="1"/>
  <c r="V842" i="1"/>
  <c r="AI842" i="1" s="1"/>
  <c r="N842" i="1"/>
  <c r="AA842" i="1" s="1"/>
  <c r="O842" i="1"/>
  <c r="AB842" i="1" s="1"/>
  <c r="J809" i="1"/>
  <c r="K814" i="1" s="1"/>
  <c r="X814" i="1" s="1"/>
  <c r="J994" i="1"/>
  <c r="J1026" i="1"/>
  <c r="P1072" i="1"/>
  <c r="AC1072" i="1" s="1"/>
  <c r="O1072" i="1"/>
  <c r="AB1072" i="1" s="1"/>
  <c r="V1072" i="1"/>
  <c r="AI1072" i="1" s="1"/>
  <c r="U1072" i="1"/>
  <c r="AH1072" i="1" s="1"/>
  <c r="T1072" i="1"/>
  <c r="AG1072" i="1" s="1"/>
  <c r="S1072" i="1"/>
  <c r="AF1072" i="1" s="1"/>
  <c r="R1072" i="1"/>
  <c r="AE1072" i="1" s="1"/>
  <c r="Q1072" i="1"/>
  <c r="AD1072" i="1" s="1"/>
  <c r="J919" i="1"/>
  <c r="V950" i="1"/>
  <c r="AI950" i="1" s="1"/>
  <c r="J1379" i="1"/>
  <c r="J1411" i="1"/>
  <c r="J1451" i="1"/>
  <c r="J1515" i="1"/>
  <c r="J1514" i="1"/>
  <c r="J1249" i="1"/>
  <c r="S1308" i="1"/>
  <c r="AF1308" i="1" s="1"/>
  <c r="R1308" i="1"/>
  <c r="AE1308" i="1" s="1"/>
  <c r="Q1308" i="1"/>
  <c r="AD1308" i="1" s="1"/>
  <c r="V1308" i="1"/>
  <c r="AI1308" i="1" s="1"/>
  <c r="U1308" i="1"/>
  <c r="AH1308" i="1" s="1"/>
  <c r="T1308" i="1"/>
  <c r="AG1308" i="1" s="1"/>
  <c r="V1291" i="1"/>
  <c r="AI1291" i="1" s="1"/>
  <c r="N1291" i="1"/>
  <c r="AA1291" i="1" s="1"/>
  <c r="U1291" i="1"/>
  <c r="AH1291" i="1" s="1"/>
  <c r="M1291" i="1"/>
  <c r="Z1291" i="1" s="1"/>
  <c r="S1291" i="1"/>
  <c r="AF1291" i="1" s="1"/>
  <c r="R1291" i="1"/>
  <c r="AE1291" i="1" s="1"/>
  <c r="Q1291" i="1"/>
  <c r="AD1291" i="1" s="1"/>
  <c r="T1291" i="1"/>
  <c r="AG1291" i="1" s="1"/>
  <c r="P1291" i="1"/>
  <c r="AC1291" i="1" s="1"/>
  <c r="O1291" i="1"/>
  <c r="AB1291" i="1" s="1"/>
  <c r="J1635" i="1"/>
  <c r="J1683" i="1"/>
  <c r="J1592" i="1"/>
  <c r="J1672" i="1"/>
  <c r="J1704" i="1"/>
  <c r="J1589" i="1"/>
  <c r="J1637" i="1"/>
  <c r="J1701" i="1"/>
  <c r="J1682" i="1"/>
  <c r="J1694" i="1"/>
  <c r="V337" i="1"/>
  <c r="AI337" i="1" s="1"/>
  <c r="U337" i="1"/>
  <c r="AH337" i="1" s="1"/>
  <c r="U18" i="1"/>
  <c r="AH18" i="1" s="1"/>
  <c r="T18" i="1"/>
  <c r="AG18" i="1" s="1"/>
  <c r="S18" i="1"/>
  <c r="AF18" i="1" s="1"/>
  <c r="Q18" i="1"/>
  <c r="AD18" i="1" s="1"/>
  <c r="O18" i="1"/>
  <c r="AB18" i="1" s="1"/>
  <c r="N18" i="1"/>
  <c r="AA18" i="1" s="1"/>
  <c r="R18" i="1"/>
  <c r="AE18" i="1" s="1"/>
  <c r="V18" i="1"/>
  <c r="AI18" i="1" s="1"/>
  <c r="P18" i="1"/>
  <c r="AC18" i="1" s="1"/>
  <c r="R107" i="1"/>
  <c r="AE107" i="1" s="1"/>
  <c r="Q107" i="1"/>
  <c r="AD107" i="1" s="1"/>
  <c r="P107" i="1"/>
  <c r="AC107" i="1" s="1"/>
  <c r="O107" i="1"/>
  <c r="AB107" i="1" s="1"/>
  <c r="V107" i="1"/>
  <c r="AI107" i="1" s="1"/>
  <c r="N107" i="1"/>
  <c r="AA107" i="1" s="1"/>
  <c r="U107" i="1"/>
  <c r="AH107" i="1" s="1"/>
  <c r="M107" i="1"/>
  <c r="Z107" i="1" s="1"/>
  <c r="S107" i="1"/>
  <c r="AF107" i="1" s="1"/>
  <c r="T107" i="1"/>
  <c r="AG107" i="1" s="1"/>
  <c r="L107" i="1"/>
  <c r="Y107" i="1" s="1"/>
  <c r="V58" i="1"/>
  <c r="AI58" i="1" s="1"/>
  <c r="U58" i="1"/>
  <c r="AH58" i="1" s="1"/>
  <c r="T58" i="1"/>
  <c r="AG58" i="1" s="1"/>
  <c r="S58" i="1"/>
  <c r="AF58" i="1" s="1"/>
  <c r="R58" i="1"/>
  <c r="AE58" i="1" s="1"/>
  <c r="Q58" i="1"/>
  <c r="AD58" i="1" s="1"/>
  <c r="O58" i="1"/>
  <c r="AB58" i="1" s="1"/>
  <c r="P58" i="1"/>
  <c r="AC58" i="1" s="1"/>
  <c r="V181" i="1"/>
  <c r="AI181" i="1" s="1"/>
  <c r="U181" i="1"/>
  <c r="AH181" i="1" s="1"/>
  <c r="S197" i="1"/>
  <c r="AF197" i="1" s="1"/>
  <c r="K197" i="1"/>
  <c r="X197" i="1" s="1"/>
  <c r="Q197" i="1"/>
  <c r="AD197" i="1" s="1"/>
  <c r="O197" i="1"/>
  <c r="AB197" i="1" s="1"/>
  <c r="L197" i="1"/>
  <c r="Y197" i="1" s="1"/>
  <c r="V197" i="1"/>
  <c r="AI197" i="1" s="1"/>
  <c r="U197" i="1"/>
  <c r="AH197" i="1" s="1"/>
  <c r="T197" i="1"/>
  <c r="AG197" i="1" s="1"/>
  <c r="R197" i="1"/>
  <c r="AE197" i="1" s="1"/>
  <c r="P197" i="1"/>
  <c r="AC197" i="1" s="1"/>
  <c r="M197" i="1"/>
  <c r="Z197" i="1" s="1"/>
  <c r="N197" i="1"/>
  <c r="AA197" i="1" s="1"/>
  <c r="V155" i="1"/>
  <c r="AI155" i="1" s="1"/>
  <c r="U155" i="1"/>
  <c r="AH155" i="1" s="1"/>
  <c r="T155" i="1"/>
  <c r="AG155" i="1" s="1"/>
  <c r="V291" i="1"/>
  <c r="AI291" i="1" s="1"/>
  <c r="N291" i="1"/>
  <c r="AA291" i="1" s="1"/>
  <c r="U291" i="1"/>
  <c r="AH291" i="1" s="1"/>
  <c r="T291" i="1"/>
  <c r="AG291" i="1" s="1"/>
  <c r="S291" i="1"/>
  <c r="AF291" i="1" s="1"/>
  <c r="R291" i="1"/>
  <c r="AE291" i="1" s="1"/>
  <c r="Q291" i="1"/>
  <c r="AD291" i="1" s="1"/>
  <c r="O291" i="1"/>
  <c r="AB291" i="1" s="1"/>
  <c r="P291" i="1"/>
  <c r="AC291" i="1" s="1"/>
  <c r="V269" i="1"/>
  <c r="AI269" i="1" s="1"/>
  <c r="U269" i="1"/>
  <c r="AH269" i="1" s="1"/>
  <c r="T269" i="1"/>
  <c r="AG269" i="1" s="1"/>
  <c r="S269" i="1"/>
  <c r="AF269" i="1" s="1"/>
  <c r="R269" i="1"/>
  <c r="AE269" i="1" s="1"/>
  <c r="U230" i="1"/>
  <c r="AH230" i="1" s="1"/>
  <c r="S230" i="1"/>
  <c r="AF230" i="1" s="1"/>
  <c r="V230" i="1"/>
  <c r="AI230" i="1" s="1"/>
  <c r="T230" i="1"/>
  <c r="AG230" i="1" s="1"/>
  <c r="R230" i="1"/>
  <c r="AE230" i="1" s="1"/>
  <c r="V249" i="1"/>
  <c r="AI249" i="1" s="1"/>
  <c r="N249" i="1"/>
  <c r="AA249" i="1" s="1"/>
  <c r="U249" i="1"/>
  <c r="AH249" i="1" s="1"/>
  <c r="M249" i="1"/>
  <c r="Z249" i="1" s="1"/>
  <c r="T249" i="1"/>
  <c r="AG249" i="1" s="1"/>
  <c r="L249" i="1"/>
  <c r="Y249" i="1" s="1"/>
  <c r="S249" i="1"/>
  <c r="AF249" i="1" s="1"/>
  <c r="K249" i="1"/>
  <c r="X249" i="1" s="1"/>
  <c r="R249" i="1"/>
  <c r="AE249" i="1" s="1"/>
  <c r="Q249" i="1"/>
  <c r="AD249" i="1" s="1"/>
  <c r="O249" i="1"/>
  <c r="AB249" i="1" s="1"/>
  <c r="P249" i="1"/>
  <c r="AC249" i="1" s="1"/>
  <c r="V244" i="1"/>
  <c r="AI244" i="1" s="1"/>
  <c r="U244" i="1"/>
  <c r="AH244" i="1" s="1"/>
  <c r="S244" i="1"/>
  <c r="AF244" i="1" s="1"/>
  <c r="T244" i="1"/>
  <c r="AG244" i="1" s="1"/>
  <c r="V394" i="1"/>
  <c r="AI394" i="1" s="1"/>
  <c r="N394" i="1"/>
  <c r="AA394" i="1" s="1"/>
  <c r="T394" i="1"/>
  <c r="AG394" i="1" s="1"/>
  <c r="R394" i="1"/>
  <c r="AE394" i="1" s="1"/>
  <c r="Q394" i="1"/>
  <c r="AD394" i="1" s="1"/>
  <c r="O394" i="1"/>
  <c r="AB394" i="1" s="1"/>
  <c r="P394" i="1"/>
  <c r="AC394" i="1" s="1"/>
  <c r="M394" i="1"/>
  <c r="Z394" i="1" s="1"/>
  <c r="S394" i="1"/>
  <c r="AF394" i="1" s="1"/>
  <c r="U394" i="1"/>
  <c r="AH394" i="1" s="1"/>
  <c r="V478" i="1"/>
  <c r="AI478" i="1" s="1"/>
  <c r="T478" i="1"/>
  <c r="AG478" i="1" s="1"/>
  <c r="S478" i="1"/>
  <c r="AF478" i="1" s="1"/>
  <c r="U478" i="1"/>
  <c r="AH478" i="1" s="1"/>
  <c r="O695" i="1"/>
  <c r="AB695" i="1" s="1"/>
  <c r="V695" i="1"/>
  <c r="AI695" i="1" s="1"/>
  <c r="U695" i="1"/>
  <c r="AH695" i="1" s="1"/>
  <c r="T695" i="1"/>
  <c r="AG695" i="1" s="1"/>
  <c r="S695" i="1"/>
  <c r="AF695" i="1" s="1"/>
  <c r="R695" i="1"/>
  <c r="AE695" i="1" s="1"/>
  <c r="P695" i="1"/>
  <c r="AC695" i="1" s="1"/>
  <c r="Q695" i="1"/>
  <c r="AD695" i="1" s="1"/>
  <c r="S616" i="1"/>
  <c r="AF616" i="1" s="1"/>
  <c r="R616" i="1"/>
  <c r="AE616" i="1" s="1"/>
  <c r="Q616" i="1"/>
  <c r="AD616" i="1" s="1"/>
  <c r="P616" i="1"/>
  <c r="AC616" i="1" s="1"/>
  <c r="O616" i="1"/>
  <c r="AB616" i="1" s="1"/>
  <c r="V616" i="1"/>
  <c r="AI616" i="1" s="1"/>
  <c r="N616" i="1"/>
  <c r="AA616" i="1" s="1"/>
  <c r="T616" i="1"/>
  <c r="AG616" i="1" s="1"/>
  <c r="U616" i="1"/>
  <c r="AH616" i="1" s="1"/>
  <c r="V648" i="1"/>
  <c r="AI648" i="1" s="1"/>
  <c r="T648" i="1"/>
  <c r="AG648" i="1" s="1"/>
  <c r="U648" i="1"/>
  <c r="AH648" i="1" s="1"/>
  <c r="V831" i="1"/>
  <c r="AI831" i="1" s="1"/>
  <c r="U831" i="1"/>
  <c r="AH831" i="1" s="1"/>
  <c r="T831" i="1"/>
  <c r="AG831" i="1" s="1"/>
  <c r="S831" i="1"/>
  <c r="AF831" i="1" s="1"/>
  <c r="Q789" i="1"/>
  <c r="AD789" i="1" s="1"/>
  <c r="P789" i="1"/>
  <c r="AC789" i="1" s="1"/>
  <c r="O789" i="1"/>
  <c r="AB789" i="1" s="1"/>
  <c r="V789" i="1"/>
  <c r="AI789" i="1" s="1"/>
  <c r="N789" i="1"/>
  <c r="AA789" i="1" s="1"/>
  <c r="U789" i="1"/>
  <c r="AH789" i="1" s="1"/>
  <c r="M789" i="1"/>
  <c r="Z789" i="1" s="1"/>
  <c r="T789" i="1"/>
  <c r="AG789" i="1" s="1"/>
  <c r="L789" i="1"/>
  <c r="Y789" i="1" s="1"/>
  <c r="R789" i="1"/>
  <c r="AE789" i="1" s="1"/>
  <c r="S789" i="1"/>
  <c r="AF789" i="1" s="1"/>
  <c r="K789" i="1"/>
  <c r="X789" i="1" s="1"/>
  <c r="U11" i="1"/>
  <c r="AH11" i="1" s="1"/>
  <c r="V11" i="1"/>
  <c r="AI11" i="1" s="1"/>
  <c r="T11" i="1"/>
  <c r="AG11" i="1" s="1"/>
  <c r="U27" i="1"/>
  <c r="AH27" i="1" s="1"/>
  <c r="V27" i="1"/>
  <c r="AI27" i="1" s="1"/>
  <c r="V142" i="1"/>
  <c r="AI142" i="1" s="1"/>
  <c r="U142" i="1"/>
  <c r="AH142" i="1" s="1"/>
  <c r="T142" i="1"/>
  <c r="AG142" i="1" s="1"/>
  <c r="S142" i="1"/>
  <c r="AF142" i="1" s="1"/>
  <c r="R142" i="1"/>
  <c r="AE142" i="1" s="1"/>
  <c r="R119" i="1"/>
  <c r="AE119" i="1" s="1"/>
  <c r="Q119" i="1"/>
  <c r="AD119" i="1" s="1"/>
  <c r="P119" i="1"/>
  <c r="AC119" i="1" s="1"/>
  <c r="O119" i="1"/>
  <c r="AB119" i="1" s="1"/>
  <c r="V119" i="1"/>
  <c r="AI119" i="1" s="1"/>
  <c r="N119" i="1"/>
  <c r="AA119" i="1" s="1"/>
  <c r="U119" i="1"/>
  <c r="AH119" i="1" s="1"/>
  <c r="M119" i="1"/>
  <c r="Z119" i="1" s="1"/>
  <c r="S119" i="1"/>
  <c r="AF119" i="1" s="1"/>
  <c r="K119" i="1"/>
  <c r="X119" i="1" s="1"/>
  <c r="T119" i="1"/>
  <c r="AG119" i="1" s="1"/>
  <c r="L119" i="1"/>
  <c r="Y119" i="1" s="1"/>
  <c r="S199" i="1"/>
  <c r="AF199" i="1" s="1"/>
  <c r="Q199" i="1"/>
  <c r="AD199" i="1" s="1"/>
  <c r="O199" i="1"/>
  <c r="AB199" i="1" s="1"/>
  <c r="M199" i="1"/>
  <c r="Z199" i="1" s="1"/>
  <c r="V199" i="1"/>
  <c r="AI199" i="1" s="1"/>
  <c r="U199" i="1"/>
  <c r="AH199" i="1" s="1"/>
  <c r="T199" i="1"/>
  <c r="AG199" i="1" s="1"/>
  <c r="R199" i="1"/>
  <c r="AE199" i="1" s="1"/>
  <c r="N199" i="1"/>
  <c r="AA199" i="1" s="1"/>
  <c r="P199" i="1"/>
  <c r="AC199" i="1" s="1"/>
  <c r="U202" i="1"/>
  <c r="AH202" i="1" s="1"/>
  <c r="S202" i="1"/>
  <c r="AF202" i="1" s="1"/>
  <c r="P202" i="1"/>
  <c r="AC202" i="1" s="1"/>
  <c r="V202" i="1"/>
  <c r="AI202" i="1" s="1"/>
  <c r="T202" i="1"/>
  <c r="AG202" i="1" s="1"/>
  <c r="Q202" i="1"/>
  <c r="AD202" i="1" s="1"/>
  <c r="R202" i="1"/>
  <c r="AE202" i="1" s="1"/>
  <c r="J294" i="1"/>
  <c r="J344" i="1"/>
  <c r="R471" i="1"/>
  <c r="AE471" i="1" s="1"/>
  <c r="P471" i="1"/>
  <c r="AC471" i="1" s="1"/>
  <c r="O471" i="1"/>
  <c r="AB471" i="1" s="1"/>
  <c r="V471" i="1"/>
  <c r="AI471" i="1" s="1"/>
  <c r="N471" i="1"/>
  <c r="AA471" i="1" s="1"/>
  <c r="U471" i="1"/>
  <c r="AH471" i="1" s="1"/>
  <c r="M471" i="1"/>
  <c r="Z471" i="1" s="1"/>
  <c r="S471" i="1"/>
  <c r="AF471" i="1" s="1"/>
  <c r="T471" i="1"/>
  <c r="AG471" i="1" s="1"/>
  <c r="L471" i="1"/>
  <c r="Y471" i="1" s="1"/>
  <c r="Q471" i="1"/>
  <c r="AD471" i="1" s="1"/>
  <c r="R483" i="1"/>
  <c r="AE483" i="1" s="1"/>
  <c r="P483" i="1"/>
  <c r="AC483" i="1" s="1"/>
  <c r="O483" i="1"/>
  <c r="AB483" i="1" s="1"/>
  <c r="V483" i="1"/>
  <c r="AI483" i="1" s="1"/>
  <c r="N483" i="1"/>
  <c r="AA483" i="1" s="1"/>
  <c r="U483" i="1"/>
  <c r="AH483" i="1" s="1"/>
  <c r="M483" i="1"/>
  <c r="Z483" i="1" s="1"/>
  <c r="S483" i="1"/>
  <c r="AF483" i="1" s="1"/>
  <c r="K483" i="1"/>
  <c r="X483" i="1" s="1"/>
  <c r="T483" i="1"/>
  <c r="AG483" i="1" s="1"/>
  <c r="Q483" i="1"/>
  <c r="AD483" i="1" s="1"/>
  <c r="L483" i="1"/>
  <c r="Y483" i="1" s="1"/>
  <c r="S652" i="1"/>
  <c r="AF652" i="1" s="1"/>
  <c r="K652" i="1"/>
  <c r="X652" i="1" s="1"/>
  <c r="R652" i="1"/>
  <c r="AE652" i="1" s="1"/>
  <c r="Q652" i="1"/>
  <c r="AD652" i="1" s="1"/>
  <c r="P652" i="1"/>
  <c r="AC652" i="1" s="1"/>
  <c r="O652" i="1"/>
  <c r="AB652" i="1" s="1"/>
  <c r="V652" i="1"/>
  <c r="AI652" i="1" s="1"/>
  <c r="N652" i="1"/>
  <c r="AA652" i="1" s="1"/>
  <c r="T652" i="1"/>
  <c r="AG652" i="1" s="1"/>
  <c r="L652" i="1"/>
  <c r="Y652" i="1" s="1"/>
  <c r="U652" i="1"/>
  <c r="AH652" i="1" s="1"/>
  <c r="M652" i="1"/>
  <c r="Z652" i="1" s="1"/>
  <c r="V520" i="1"/>
  <c r="AI520" i="1" s="1"/>
  <c r="S696" i="1"/>
  <c r="AF696" i="1" s="1"/>
  <c r="R696" i="1"/>
  <c r="AE696" i="1" s="1"/>
  <c r="Q696" i="1"/>
  <c r="AD696" i="1" s="1"/>
  <c r="P696" i="1"/>
  <c r="AC696" i="1" s="1"/>
  <c r="V696" i="1"/>
  <c r="AI696" i="1" s="1"/>
  <c r="T696" i="1"/>
  <c r="AG696" i="1" s="1"/>
  <c r="U696" i="1"/>
  <c r="AH696" i="1" s="1"/>
  <c r="V701" i="1"/>
  <c r="AI701" i="1" s="1"/>
  <c r="U701" i="1"/>
  <c r="AH701" i="1" s="1"/>
  <c r="U714" i="1"/>
  <c r="AH714" i="1" s="1"/>
  <c r="S714" i="1"/>
  <c r="AF714" i="1" s="1"/>
  <c r="Q714" i="1"/>
  <c r="AD714" i="1" s="1"/>
  <c r="V714" i="1"/>
  <c r="AI714" i="1" s="1"/>
  <c r="T714" i="1"/>
  <c r="AG714" i="1" s="1"/>
  <c r="R714" i="1"/>
  <c r="AE714" i="1" s="1"/>
  <c r="V703" i="1"/>
  <c r="AI703" i="1" s="1"/>
  <c r="U802" i="1"/>
  <c r="AH802" i="1" s="1"/>
  <c r="T802" i="1"/>
  <c r="AG802" i="1" s="1"/>
  <c r="S802" i="1"/>
  <c r="AF802" i="1" s="1"/>
  <c r="R802" i="1"/>
  <c r="AE802" i="1" s="1"/>
  <c r="V802" i="1"/>
  <c r="AI802" i="1" s="1"/>
  <c r="U804" i="1"/>
  <c r="AH804" i="1" s="1"/>
  <c r="T804" i="1"/>
  <c r="AG804" i="1" s="1"/>
  <c r="V804" i="1"/>
  <c r="AI804" i="1" s="1"/>
  <c r="U862" i="1"/>
  <c r="AH862" i="1" s="1"/>
  <c r="M862" i="1"/>
  <c r="Z862" i="1" s="1"/>
  <c r="T862" i="1"/>
  <c r="AG862" i="1" s="1"/>
  <c r="S862" i="1"/>
  <c r="AF862" i="1" s="1"/>
  <c r="R862" i="1"/>
  <c r="AE862" i="1" s="1"/>
  <c r="Q862" i="1"/>
  <c r="AD862" i="1" s="1"/>
  <c r="P862" i="1"/>
  <c r="AC862" i="1" s="1"/>
  <c r="V862" i="1"/>
  <c r="AI862" i="1" s="1"/>
  <c r="N862" i="1"/>
  <c r="AA862" i="1" s="1"/>
  <c r="O862" i="1"/>
  <c r="AB862" i="1" s="1"/>
  <c r="Q930" i="1"/>
  <c r="AD930" i="1" s="1"/>
  <c r="V930" i="1"/>
  <c r="AI930" i="1" s="1"/>
  <c r="T930" i="1"/>
  <c r="AG930" i="1" s="1"/>
  <c r="U930" i="1"/>
  <c r="AH930" i="1" s="1"/>
  <c r="S930" i="1"/>
  <c r="AF930" i="1" s="1"/>
  <c r="R930" i="1"/>
  <c r="AE930" i="1" s="1"/>
  <c r="P930" i="1"/>
  <c r="AC930" i="1" s="1"/>
  <c r="U790" i="1"/>
  <c r="AH790" i="1" s="1"/>
  <c r="M790" i="1"/>
  <c r="Z790" i="1" s="1"/>
  <c r="T790" i="1"/>
  <c r="AG790" i="1" s="1"/>
  <c r="L790" i="1"/>
  <c r="Y790" i="1" s="1"/>
  <c r="S790" i="1"/>
  <c r="AF790" i="1" s="1"/>
  <c r="K790" i="1"/>
  <c r="X790" i="1" s="1"/>
  <c r="R790" i="1"/>
  <c r="AE790" i="1" s="1"/>
  <c r="Q790" i="1"/>
  <c r="AD790" i="1" s="1"/>
  <c r="P790" i="1"/>
  <c r="AC790" i="1" s="1"/>
  <c r="V790" i="1"/>
  <c r="AI790" i="1" s="1"/>
  <c r="N790" i="1"/>
  <c r="AA790" i="1" s="1"/>
  <c r="O790" i="1"/>
  <c r="AB790" i="1" s="1"/>
  <c r="U822" i="1"/>
  <c r="AH822" i="1" s="1"/>
  <c r="M822" i="1"/>
  <c r="Z822" i="1" s="1"/>
  <c r="T822" i="1"/>
  <c r="AG822" i="1" s="1"/>
  <c r="L822" i="1"/>
  <c r="Y822" i="1" s="1"/>
  <c r="S822" i="1"/>
  <c r="AF822" i="1" s="1"/>
  <c r="R822" i="1"/>
  <c r="AE822" i="1" s="1"/>
  <c r="Q822" i="1"/>
  <c r="AD822" i="1" s="1"/>
  <c r="P822" i="1"/>
  <c r="AC822" i="1" s="1"/>
  <c r="V822" i="1"/>
  <c r="AI822" i="1" s="1"/>
  <c r="N822" i="1"/>
  <c r="AA822" i="1" s="1"/>
  <c r="O822" i="1"/>
  <c r="AB822" i="1" s="1"/>
  <c r="Q863" i="1"/>
  <c r="AD863" i="1" s="1"/>
  <c r="P863" i="1"/>
  <c r="AC863" i="1" s="1"/>
  <c r="O863" i="1"/>
  <c r="AB863" i="1" s="1"/>
  <c r="V863" i="1"/>
  <c r="AI863" i="1" s="1"/>
  <c r="N863" i="1"/>
  <c r="AA863" i="1" s="1"/>
  <c r="U863" i="1"/>
  <c r="AH863" i="1" s="1"/>
  <c r="T863" i="1"/>
  <c r="AG863" i="1" s="1"/>
  <c r="R863" i="1"/>
  <c r="AE863" i="1" s="1"/>
  <c r="S863" i="1"/>
  <c r="AF863" i="1" s="1"/>
  <c r="Q827" i="1"/>
  <c r="AD827" i="1" s="1"/>
  <c r="V827" i="1"/>
  <c r="AI827" i="1" s="1"/>
  <c r="U827" i="1"/>
  <c r="AH827" i="1" s="1"/>
  <c r="T827" i="1"/>
  <c r="AG827" i="1" s="1"/>
  <c r="R827" i="1"/>
  <c r="AE827" i="1" s="1"/>
  <c r="S827" i="1"/>
  <c r="AF827" i="1" s="1"/>
  <c r="P969" i="1"/>
  <c r="AC969" i="1" s="1"/>
  <c r="V969" i="1"/>
  <c r="AI969" i="1" s="1"/>
  <c r="U969" i="1"/>
  <c r="AH969" i="1" s="1"/>
  <c r="T969" i="1"/>
  <c r="AG969" i="1" s="1"/>
  <c r="S969" i="1"/>
  <c r="AF969" i="1" s="1"/>
  <c r="R969" i="1"/>
  <c r="AE969" i="1" s="1"/>
  <c r="Q969" i="1"/>
  <c r="AD969" i="1" s="1"/>
  <c r="P977" i="1"/>
  <c r="AC977" i="1" s="1"/>
  <c r="O977" i="1"/>
  <c r="AB977" i="1" s="1"/>
  <c r="V977" i="1"/>
  <c r="AI977" i="1" s="1"/>
  <c r="N977" i="1"/>
  <c r="AA977" i="1" s="1"/>
  <c r="U977" i="1"/>
  <c r="AH977" i="1" s="1"/>
  <c r="M977" i="1"/>
  <c r="Z977" i="1" s="1"/>
  <c r="T977" i="1"/>
  <c r="AG977" i="1" s="1"/>
  <c r="L977" i="1"/>
  <c r="Y977" i="1" s="1"/>
  <c r="S977" i="1"/>
  <c r="AF977" i="1" s="1"/>
  <c r="K977" i="1"/>
  <c r="X977" i="1" s="1"/>
  <c r="R977" i="1"/>
  <c r="AE977" i="1" s="1"/>
  <c r="Q977" i="1"/>
  <c r="AD977" i="1" s="1"/>
  <c r="T1052" i="1"/>
  <c r="AG1052" i="1" s="1"/>
  <c r="S1052" i="1"/>
  <c r="AF1052" i="1" s="1"/>
  <c r="R1052" i="1"/>
  <c r="AE1052" i="1" s="1"/>
  <c r="Q1052" i="1"/>
  <c r="AD1052" i="1" s="1"/>
  <c r="P1052" i="1"/>
  <c r="AC1052" i="1" s="1"/>
  <c r="O1052" i="1"/>
  <c r="AB1052" i="1" s="1"/>
  <c r="V1052" i="1"/>
  <c r="AI1052" i="1" s="1"/>
  <c r="U1052" i="1"/>
  <c r="AH1052" i="1" s="1"/>
  <c r="N1052" i="1"/>
  <c r="AA1052" i="1" s="1"/>
  <c r="T1054" i="1"/>
  <c r="AG1054" i="1" s="1"/>
  <c r="S1054" i="1"/>
  <c r="AF1054" i="1" s="1"/>
  <c r="R1054" i="1"/>
  <c r="AE1054" i="1" s="1"/>
  <c r="Q1054" i="1"/>
  <c r="AD1054" i="1" s="1"/>
  <c r="P1054" i="1"/>
  <c r="AC1054" i="1" s="1"/>
  <c r="O1054" i="1"/>
  <c r="AB1054" i="1" s="1"/>
  <c r="V1054" i="1"/>
  <c r="AI1054" i="1" s="1"/>
  <c r="N1054" i="1"/>
  <c r="AA1054" i="1" s="1"/>
  <c r="U1054" i="1"/>
  <c r="AH1054" i="1" s="1"/>
  <c r="U850" i="1"/>
  <c r="AH850" i="1" s="1"/>
  <c r="T850" i="1"/>
  <c r="AG850" i="1" s="1"/>
  <c r="S850" i="1"/>
  <c r="AF850" i="1" s="1"/>
  <c r="R850" i="1"/>
  <c r="AE850" i="1" s="1"/>
  <c r="Q850" i="1"/>
  <c r="AD850" i="1" s="1"/>
  <c r="P850" i="1"/>
  <c r="AC850" i="1" s="1"/>
  <c r="V850" i="1"/>
  <c r="AI850" i="1" s="1"/>
  <c r="N850" i="1"/>
  <c r="AA850" i="1" s="1"/>
  <c r="O850" i="1"/>
  <c r="AB850" i="1" s="1"/>
  <c r="U881" i="1"/>
  <c r="AH881" i="1" s="1"/>
  <c r="V881" i="1"/>
  <c r="AI881" i="1" s="1"/>
  <c r="T881" i="1"/>
  <c r="AG881" i="1" s="1"/>
  <c r="S881" i="1"/>
  <c r="AF881" i="1" s="1"/>
  <c r="P1049" i="1"/>
  <c r="AC1049" i="1" s="1"/>
  <c r="O1049" i="1"/>
  <c r="AB1049" i="1" s="1"/>
  <c r="V1049" i="1"/>
  <c r="AI1049" i="1" s="1"/>
  <c r="N1049" i="1"/>
  <c r="AA1049" i="1" s="1"/>
  <c r="U1049" i="1"/>
  <c r="AH1049" i="1" s="1"/>
  <c r="T1049" i="1"/>
  <c r="AG1049" i="1" s="1"/>
  <c r="S1049" i="1"/>
  <c r="AF1049" i="1" s="1"/>
  <c r="R1049" i="1"/>
  <c r="AE1049" i="1" s="1"/>
  <c r="Q1049" i="1"/>
  <c r="AD1049" i="1" s="1"/>
  <c r="S960" i="1"/>
  <c r="AF960" i="1" s="1"/>
  <c r="V960" i="1"/>
  <c r="AI960" i="1" s="1"/>
  <c r="T960" i="1"/>
  <c r="AG960" i="1" s="1"/>
  <c r="U960" i="1"/>
  <c r="AH960" i="1" s="1"/>
  <c r="P1090" i="1"/>
  <c r="AC1090" i="1" s="1"/>
  <c r="O1090" i="1"/>
  <c r="AB1090" i="1" s="1"/>
  <c r="V1090" i="1"/>
  <c r="AI1090" i="1" s="1"/>
  <c r="U1090" i="1"/>
  <c r="AH1090" i="1" s="1"/>
  <c r="T1090" i="1"/>
  <c r="AG1090" i="1" s="1"/>
  <c r="S1090" i="1"/>
  <c r="AF1090" i="1" s="1"/>
  <c r="R1090" i="1"/>
  <c r="AE1090" i="1" s="1"/>
  <c r="Q1090" i="1"/>
  <c r="AD1090" i="1" s="1"/>
  <c r="P1144" i="1"/>
  <c r="AC1144" i="1" s="1"/>
  <c r="O1144" i="1"/>
  <c r="AB1144" i="1" s="1"/>
  <c r="V1144" i="1"/>
  <c r="AI1144" i="1" s="1"/>
  <c r="N1144" i="1"/>
  <c r="AA1144" i="1" s="1"/>
  <c r="U1144" i="1"/>
  <c r="AH1144" i="1" s="1"/>
  <c r="M1144" i="1"/>
  <c r="Z1144" i="1" s="1"/>
  <c r="T1144" i="1"/>
  <c r="AG1144" i="1" s="1"/>
  <c r="L1144" i="1"/>
  <c r="Y1144" i="1" s="1"/>
  <c r="S1144" i="1"/>
  <c r="AF1144" i="1" s="1"/>
  <c r="K1144" i="1"/>
  <c r="X1144" i="1" s="1"/>
  <c r="R1144" i="1"/>
  <c r="AE1144" i="1" s="1"/>
  <c r="Q1144" i="1"/>
  <c r="AD1144" i="1" s="1"/>
  <c r="V1176" i="1"/>
  <c r="AI1176" i="1" s="1"/>
  <c r="U1176" i="1"/>
  <c r="AH1176" i="1" s="1"/>
  <c r="T1176" i="1"/>
  <c r="AG1176" i="1" s="1"/>
  <c r="S1176" i="1"/>
  <c r="AF1176" i="1" s="1"/>
  <c r="R1176" i="1"/>
  <c r="AE1176" i="1" s="1"/>
  <c r="Q1176" i="1"/>
  <c r="AD1176" i="1" s="1"/>
  <c r="P1176" i="1"/>
  <c r="AC1176" i="1" s="1"/>
  <c r="O1176" i="1"/>
  <c r="AB1176" i="1" s="1"/>
  <c r="V1208" i="1"/>
  <c r="AI1208" i="1" s="1"/>
  <c r="U1208" i="1"/>
  <c r="AH1208" i="1" s="1"/>
  <c r="T1208" i="1"/>
  <c r="AG1208" i="1" s="1"/>
  <c r="S1208" i="1"/>
  <c r="AF1208" i="1" s="1"/>
  <c r="R1208" i="1"/>
  <c r="AE1208" i="1" s="1"/>
  <c r="Q1208" i="1"/>
  <c r="AD1208" i="1" s="1"/>
  <c r="J1287" i="1"/>
  <c r="V1350" i="1"/>
  <c r="AI1350" i="1" s="1"/>
  <c r="U1350" i="1"/>
  <c r="AH1350" i="1" s="1"/>
  <c r="S1350" i="1"/>
  <c r="AF1350" i="1" s="1"/>
  <c r="R1350" i="1"/>
  <c r="AE1350" i="1" s="1"/>
  <c r="Q1350" i="1"/>
  <c r="AD1350" i="1" s="1"/>
  <c r="T1350" i="1"/>
  <c r="AG1350" i="1" s="1"/>
  <c r="P1350" i="1"/>
  <c r="AC1350" i="1" s="1"/>
  <c r="J1476" i="1"/>
  <c r="J1492" i="1"/>
  <c r="J1508" i="1"/>
  <c r="J1524" i="1"/>
  <c r="J1540" i="1"/>
  <c r="J1556" i="1"/>
  <c r="J1572" i="1"/>
  <c r="J71" i="1"/>
  <c r="J1380" i="1"/>
  <c r="J1430" i="1"/>
  <c r="J1485" i="1"/>
  <c r="J1225" i="1"/>
  <c r="K1235" i="1" s="1"/>
  <c r="X1235" i="1" s="1"/>
  <c r="J1266" i="1"/>
  <c r="J1284" i="1"/>
  <c r="Q1285" i="1" s="1"/>
  <c r="AD1285" i="1" s="1"/>
  <c r="J1327" i="1"/>
  <c r="U1326" i="1" s="1"/>
  <c r="AH1326" i="1" s="1"/>
  <c r="R1177" i="1"/>
  <c r="AE1177" i="1" s="1"/>
  <c r="Q1177" i="1"/>
  <c r="AD1177" i="1" s="1"/>
  <c r="P1177" i="1"/>
  <c r="AC1177" i="1" s="1"/>
  <c r="V1177" i="1"/>
  <c r="AI1177" i="1" s="1"/>
  <c r="U1177" i="1"/>
  <c r="AH1177" i="1" s="1"/>
  <c r="T1177" i="1"/>
  <c r="AG1177" i="1" s="1"/>
  <c r="S1177" i="1"/>
  <c r="AF1177" i="1" s="1"/>
  <c r="V1273" i="1"/>
  <c r="AI1273" i="1" s="1"/>
  <c r="U1273" i="1"/>
  <c r="AH1273" i="1" s="1"/>
  <c r="R1254" i="1"/>
  <c r="AE1254" i="1" s="1"/>
  <c r="Q1254" i="1"/>
  <c r="AD1254" i="1" s="1"/>
  <c r="O1254" i="1"/>
  <c r="AB1254" i="1" s="1"/>
  <c r="V1254" i="1"/>
  <c r="AI1254" i="1" s="1"/>
  <c r="U1254" i="1"/>
  <c r="AH1254" i="1" s="1"/>
  <c r="P1254" i="1"/>
  <c r="AC1254" i="1" s="1"/>
  <c r="T1254" i="1"/>
  <c r="AG1254" i="1" s="1"/>
  <c r="S1254" i="1"/>
  <c r="AF1254" i="1" s="1"/>
  <c r="R1353" i="1"/>
  <c r="AE1353" i="1" s="1"/>
  <c r="Q1353" i="1"/>
  <c r="AD1353" i="1" s="1"/>
  <c r="V1353" i="1"/>
  <c r="AI1353" i="1" s="1"/>
  <c r="U1353" i="1"/>
  <c r="AH1353" i="1" s="1"/>
  <c r="P1353" i="1"/>
  <c r="AC1353" i="1" s="1"/>
  <c r="T1353" i="1"/>
  <c r="AG1353" i="1" s="1"/>
  <c r="S1353" i="1"/>
  <c r="AF1353" i="1" s="1"/>
  <c r="V401" i="1"/>
  <c r="AI401" i="1" s="1"/>
  <c r="U401" i="1"/>
  <c r="AH401" i="1" s="1"/>
  <c r="T401" i="1"/>
  <c r="AG401" i="1" s="1"/>
  <c r="V152" i="1"/>
  <c r="AI152" i="1" s="1"/>
  <c r="U152" i="1"/>
  <c r="AH152" i="1" s="1"/>
  <c r="T152" i="1"/>
  <c r="AG152" i="1" s="1"/>
  <c r="S152" i="1"/>
  <c r="AF152" i="1" s="1"/>
  <c r="R152" i="1"/>
  <c r="AE152" i="1" s="1"/>
  <c r="V1236" i="1"/>
  <c r="AI1236" i="1" s="1"/>
  <c r="U1236" i="1"/>
  <c r="AH1236" i="1" s="1"/>
  <c r="T1236" i="1"/>
  <c r="AG1236" i="1" s="1"/>
  <c r="S1236" i="1"/>
  <c r="AF1236" i="1" s="1"/>
  <c r="R1236" i="1"/>
  <c r="AE1236" i="1" s="1"/>
  <c r="Q1236" i="1"/>
  <c r="AD1236" i="1" s="1"/>
  <c r="P1236" i="1"/>
  <c r="AC1236" i="1" s="1"/>
  <c r="Q745" i="1"/>
  <c r="AD745" i="1" s="1"/>
  <c r="P745" i="1"/>
  <c r="AC745" i="1" s="1"/>
  <c r="O745" i="1"/>
  <c r="AB745" i="1" s="1"/>
  <c r="V745" i="1"/>
  <c r="AI745" i="1" s="1"/>
  <c r="N745" i="1"/>
  <c r="AA745" i="1" s="1"/>
  <c r="U745" i="1"/>
  <c r="AH745" i="1" s="1"/>
  <c r="M745" i="1"/>
  <c r="Z745" i="1" s="1"/>
  <c r="T745" i="1"/>
  <c r="AG745" i="1" s="1"/>
  <c r="R745" i="1"/>
  <c r="AE745" i="1" s="1"/>
  <c r="S745" i="1"/>
  <c r="AF745" i="1" s="1"/>
  <c r="P1051" i="1"/>
  <c r="AC1051" i="1" s="1"/>
  <c r="O1051" i="1"/>
  <c r="AB1051" i="1" s="1"/>
  <c r="V1051" i="1"/>
  <c r="AI1051" i="1" s="1"/>
  <c r="N1051" i="1"/>
  <c r="AA1051" i="1" s="1"/>
  <c r="U1051" i="1"/>
  <c r="AH1051" i="1" s="1"/>
  <c r="T1051" i="1"/>
  <c r="AG1051" i="1" s="1"/>
  <c r="S1051" i="1"/>
  <c r="AF1051" i="1" s="1"/>
  <c r="Q1051" i="1"/>
  <c r="AD1051" i="1" s="1"/>
  <c r="R1051" i="1"/>
  <c r="AE1051" i="1" s="1"/>
  <c r="J400" i="1"/>
  <c r="I1123" i="1"/>
  <c r="J1123" i="1" s="1"/>
  <c r="T1159" i="1"/>
  <c r="AG1159" i="1" s="1"/>
  <c r="L1159" i="1"/>
  <c r="Y1159" i="1" s="1"/>
  <c r="S1159" i="1"/>
  <c r="AF1159" i="1" s="1"/>
  <c r="K1159" i="1"/>
  <c r="X1159" i="1" s="1"/>
  <c r="R1159" i="1"/>
  <c r="AE1159" i="1" s="1"/>
  <c r="Q1159" i="1"/>
  <c r="AD1159" i="1" s="1"/>
  <c r="P1159" i="1"/>
  <c r="AC1159" i="1" s="1"/>
  <c r="O1159" i="1"/>
  <c r="AB1159" i="1" s="1"/>
  <c r="V1159" i="1"/>
  <c r="AI1159" i="1" s="1"/>
  <c r="N1159" i="1"/>
  <c r="AA1159" i="1" s="1"/>
  <c r="U1159" i="1"/>
  <c r="AH1159" i="1" s="1"/>
  <c r="M1159" i="1"/>
  <c r="Z1159" i="1" s="1"/>
  <c r="J412" i="1"/>
  <c r="V1240" i="1"/>
  <c r="AI1240" i="1" s="1"/>
  <c r="N1240" i="1"/>
  <c r="AA1240" i="1" s="1"/>
  <c r="U1240" i="1"/>
  <c r="AH1240" i="1" s="1"/>
  <c r="T1240" i="1"/>
  <c r="AG1240" i="1" s="1"/>
  <c r="S1240" i="1"/>
  <c r="AF1240" i="1" s="1"/>
  <c r="R1240" i="1"/>
  <c r="AE1240" i="1" s="1"/>
  <c r="Q1240" i="1"/>
  <c r="AD1240" i="1" s="1"/>
  <c r="P1240" i="1"/>
  <c r="AC1240" i="1" s="1"/>
  <c r="O1240" i="1"/>
  <c r="AB1240" i="1" s="1"/>
  <c r="J1074" i="1"/>
  <c r="J1084" i="1"/>
  <c r="J1264" i="1"/>
  <c r="J1272" i="1"/>
  <c r="V532" i="1"/>
  <c r="AI532" i="1" s="1"/>
  <c r="U532" i="1"/>
  <c r="AH532" i="1" s="1"/>
  <c r="V1285" i="1"/>
  <c r="AI1285" i="1" s="1"/>
  <c r="U1285" i="1"/>
  <c r="AH1285" i="1" s="1"/>
  <c r="T1285" i="1"/>
  <c r="AG1285" i="1" s="1"/>
  <c r="R369" i="1"/>
  <c r="AE369" i="1" s="1"/>
  <c r="P369" i="1"/>
  <c r="AC369" i="1" s="1"/>
  <c r="V369" i="1"/>
  <c r="AI369" i="1" s="1"/>
  <c r="N369" i="1"/>
  <c r="AA369" i="1" s="1"/>
  <c r="U369" i="1"/>
  <c r="AH369" i="1" s="1"/>
  <c r="S369" i="1"/>
  <c r="AF369" i="1" s="1"/>
  <c r="Q369" i="1"/>
  <c r="AD369" i="1" s="1"/>
  <c r="O369" i="1"/>
  <c r="AB369" i="1" s="1"/>
  <c r="T369" i="1"/>
  <c r="AG369" i="1" s="1"/>
  <c r="T1170" i="1"/>
  <c r="AG1170" i="1" s="1"/>
  <c r="Q7" i="1"/>
  <c r="AD7" i="1" s="1"/>
  <c r="P7" i="1"/>
  <c r="AC7" i="1" s="1"/>
  <c r="U7" i="1"/>
  <c r="AH7" i="1" s="1"/>
  <c r="S7" i="1"/>
  <c r="AF7" i="1" s="1"/>
  <c r="R7" i="1"/>
  <c r="AE7" i="1" s="1"/>
  <c r="V7" i="1"/>
  <c r="AI7" i="1" s="1"/>
  <c r="T7" i="1"/>
  <c r="AG7" i="1" s="1"/>
  <c r="R31" i="1"/>
  <c r="AE31" i="1" s="1"/>
  <c r="Q31" i="1"/>
  <c r="AD31" i="1" s="1"/>
  <c r="P31" i="1"/>
  <c r="AC31" i="1" s="1"/>
  <c r="O31" i="1"/>
  <c r="AB31" i="1" s="1"/>
  <c r="V31" i="1"/>
  <c r="AI31" i="1" s="1"/>
  <c r="N31" i="1"/>
  <c r="AA31" i="1" s="1"/>
  <c r="U31" i="1"/>
  <c r="AH31" i="1" s="1"/>
  <c r="S31" i="1"/>
  <c r="AF31" i="1" s="1"/>
  <c r="T31" i="1"/>
  <c r="AG31" i="1" s="1"/>
  <c r="V122" i="1"/>
  <c r="AI122" i="1" s="1"/>
  <c r="N122" i="1"/>
  <c r="AA122" i="1" s="1"/>
  <c r="U122" i="1"/>
  <c r="AH122" i="1" s="1"/>
  <c r="M122" i="1"/>
  <c r="Z122" i="1" s="1"/>
  <c r="T122" i="1"/>
  <c r="AG122" i="1" s="1"/>
  <c r="L122" i="1"/>
  <c r="Y122" i="1" s="1"/>
  <c r="S122" i="1"/>
  <c r="AF122" i="1" s="1"/>
  <c r="K122" i="1"/>
  <c r="X122" i="1" s="1"/>
  <c r="R122" i="1"/>
  <c r="AE122" i="1" s="1"/>
  <c r="Q122" i="1"/>
  <c r="AD122" i="1" s="1"/>
  <c r="O122" i="1"/>
  <c r="AB122" i="1" s="1"/>
  <c r="P122" i="1"/>
  <c r="AC122" i="1" s="1"/>
  <c r="R355" i="1"/>
  <c r="AE355" i="1" s="1"/>
  <c r="P355" i="1"/>
  <c r="AC355" i="1" s="1"/>
  <c r="V355" i="1"/>
  <c r="AI355" i="1" s="1"/>
  <c r="N355" i="1"/>
  <c r="AA355" i="1" s="1"/>
  <c r="U355" i="1"/>
  <c r="AH355" i="1" s="1"/>
  <c r="M355" i="1"/>
  <c r="Z355" i="1" s="1"/>
  <c r="S355" i="1"/>
  <c r="AF355" i="1" s="1"/>
  <c r="O355" i="1"/>
  <c r="AB355" i="1" s="1"/>
  <c r="Q355" i="1"/>
  <c r="AD355" i="1" s="1"/>
  <c r="T355" i="1"/>
  <c r="AG355" i="1" s="1"/>
  <c r="Q757" i="1"/>
  <c r="AD757" i="1" s="1"/>
  <c r="P757" i="1"/>
  <c r="AC757" i="1" s="1"/>
  <c r="O757" i="1"/>
  <c r="AB757" i="1" s="1"/>
  <c r="V757" i="1"/>
  <c r="AI757" i="1" s="1"/>
  <c r="N757" i="1"/>
  <c r="AA757" i="1" s="1"/>
  <c r="U757" i="1"/>
  <c r="AH757" i="1" s="1"/>
  <c r="M757" i="1"/>
  <c r="Z757" i="1" s="1"/>
  <c r="T757" i="1"/>
  <c r="AG757" i="1" s="1"/>
  <c r="L757" i="1"/>
  <c r="Y757" i="1" s="1"/>
  <c r="R757" i="1"/>
  <c r="AE757" i="1" s="1"/>
  <c r="S757" i="1"/>
  <c r="AF757" i="1" s="1"/>
  <c r="U734" i="1"/>
  <c r="AH734" i="1" s="1"/>
  <c r="T734" i="1"/>
  <c r="AG734" i="1" s="1"/>
  <c r="S734" i="1"/>
  <c r="AF734" i="1" s="1"/>
  <c r="R734" i="1"/>
  <c r="AE734" i="1" s="1"/>
  <c r="Q734" i="1"/>
  <c r="AD734" i="1" s="1"/>
  <c r="P734" i="1"/>
  <c r="AC734" i="1" s="1"/>
  <c r="V734" i="1"/>
  <c r="AI734" i="1" s="1"/>
  <c r="O734" i="1"/>
  <c r="AB734" i="1" s="1"/>
  <c r="U784" i="1"/>
  <c r="AH784" i="1" s="1"/>
  <c r="M784" i="1"/>
  <c r="Z784" i="1" s="1"/>
  <c r="T784" i="1"/>
  <c r="AG784" i="1" s="1"/>
  <c r="L784" i="1"/>
  <c r="Y784" i="1" s="1"/>
  <c r="S784" i="1"/>
  <c r="AF784" i="1" s="1"/>
  <c r="K784" i="1"/>
  <c r="X784" i="1" s="1"/>
  <c r="R784" i="1"/>
  <c r="AE784" i="1" s="1"/>
  <c r="Q784" i="1"/>
  <c r="AD784" i="1" s="1"/>
  <c r="P784" i="1"/>
  <c r="AC784" i="1" s="1"/>
  <c r="V784" i="1"/>
  <c r="AI784" i="1" s="1"/>
  <c r="N784" i="1"/>
  <c r="AA784" i="1" s="1"/>
  <c r="O784" i="1"/>
  <c r="AB784" i="1" s="1"/>
  <c r="R1373" i="1"/>
  <c r="AE1373" i="1" s="1"/>
  <c r="Q1373" i="1"/>
  <c r="AD1373" i="1" s="1"/>
  <c r="V1373" i="1"/>
  <c r="AI1373" i="1" s="1"/>
  <c r="U1373" i="1"/>
  <c r="AH1373" i="1" s="1"/>
  <c r="T1373" i="1"/>
  <c r="AG1373" i="1" s="1"/>
  <c r="S1373" i="1"/>
  <c r="AF1373" i="1" s="1"/>
  <c r="O1315" i="1"/>
  <c r="AB1315" i="1" s="1"/>
  <c r="V1315" i="1"/>
  <c r="AI1315" i="1" s="1"/>
  <c r="N1315" i="1"/>
  <c r="AA1315" i="1" s="1"/>
  <c r="U1315" i="1"/>
  <c r="AH1315" i="1" s="1"/>
  <c r="M1315" i="1"/>
  <c r="Z1315" i="1" s="1"/>
  <c r="T1315" i="1"/>
  <c r="AG1315" i="1" s="1"/>
  <c r="L1315" i="1"/>
  <c r="Y1315" i="1" s="1"/>
  <c r="S1315" i="1"/>
  <c r="AF1315" i="1" s="1"/>
  <c r="K1315" i="1"/>
  <c r="X1315" i="1" s="1"/>
  <c r="R1315" i="1"/>
  <c r="AE1315" i="1" s="1"/>
  <c r="Q1315" i="1"/>
  <c r="AD1315" i="1" s="1"/>
  <c r="P1315" i="1"/>
  <c r="AC1315" i="1" s="1"/>
  <c r="V1313" i="1"/>
  <c r="AI1313" i="1" s="1"/>
  <c r="R1209" i="1"/>
  <c r="AE1209" i="1" s="1"/>
  <c r="Q1209" i="1"/>
  <c r="AD1209" i="1" s="1"/>
  <c r="V1209" i="1"/>
  <c r="AI1209" i="1" s="1"/>
  <c r="U1209" i="1"/>
  <c r="AH1209" i="1" s="1"/>
  <c r="T1209" i="1"/>
  <c r="AG1209" i="1" s="1"/>
  <c r="S1209" i="1"/>
  <c r="AF1209" i="1" s="1"/>
  <c r="R393" i="1"/>
  <c r="AE393" i="1" s="1"/>
  <c r="P393" i="1"/>
  <c r="AC393" i="1" s="1"/>
  <c r="V393" i="1"/>
  <c r="AI393" i="1" s="1"/>
  <c r="N393" i="1"/>
  <c r="AA393" i="1" s="1"/>
  <c r="U393" i="1"/>
  <c r="AH393" i="1" s="1"/>
  <c r="M393" i="1"/>
  <c r="Z393" i="1" s="1"/>
  <c r="S393" i="1"/>
  <c r="AF393" i="1" s="1"/>
  <c r="T393" i="1"/>
  <c r="AG393" i="1" s="1"/>
  <c r="Q393" i="1"/>
  <c r="AD393" i="1" s="1"/>
  <c r="O393" i="1"/>
  <c r="AB393" i="1" s="1"/>
  <c r="L393" i="1"/>
  <c r="Y393" i="1" s="1"/>
  <c r="T1103" i="1"/>
  <c r="AG1103" i="1" s="1"/>
  <c r="V1103" i="1"/>
  <c r="AI1103" i="1" s="1"/>
  <c r="U1103" i="1"/>
  <c r="AH1103" i="1" s="1"/>
  <c r="S1334" i="1"/>
  <c r="AF1334" i="1" s="1"/>
  <c r="R1334" i="1"/>
  <c r="AE1334" i="1" s="1"/>
  <c r="Q1334" i="1"/>
  <c r="AD1334" i="1" s="1"/>
  <c r="V1334" i="1"/>
  <c r="AI1334" i="1" s="1"/>
  <c r="U1334" i="1"/>
  <c r="AH1334" i="1" s="1"/>
  <c r="T1334" i="1"/>
  <c r="AG1334" i="1" s="1"/>
  <c r="Q713" i="1"/>
  <c r="AD713" i="1" s="1"/>
  <c r="U713" i="1"/>
  <c r="AH713" i="1" s="1"/>
  <c r="T713" i="1"/>
  <c r="AG713" i="1" s="1"/>
  <c r="R713" i="1"/>
  <c r="AE713" i="1" s="1"/>
  <c r="V713" i="1"/>
  <c r="AI713" i="1" s="1"/>
  <c r="S713" i="1"/>
  <c r="AF713" i="1" s="1"/>
  <c r="U24" i="1"/>
  <c r="AH24" i="1" s="1"/>
  <c r="T24" i="1"/>
  <c r="AG24" i="1" s="1"/>
  <c r="V24" i="1"/>
  <c r="AI24" i="1" s="1"/>
  <c r="V126" i="1"/>
  <c r="AI126" i="1" s="1"/>
  <c r="N126" i="1"/>
  <c r="AA126" i="1" s="1"/>
  <c r="U126" i="1"/>
  <c r="AH126" i="1" s="1"/>
  <c r="M126" i="1"/>
  <c r="Z126" i="1" s="1"/>
  <c r="T126" i="1"/>
  <c r="AG126" i="1" s="1"/>
  <c r="L126" i="1"/>
  <c r="Y126" i="1" s="1"/>
  <c r="S126" i="1"/>
  <c r="AF126" i="1" s="1"/>
  <c r="K126" i="1"/>
  <c r="X126" i="1" s="1"/>
  <c r="R126" i="1"/>
  <c r="AE126" i="1" s="1"/>
  <c r="Q126" i="1"/>
  <c r="AD126" i="1" s="1"/>
  <c r="O126" i="1"/>
  <c r="AB126" i="1" s="1"/>
  <c r="P126" i="1"/>
  <c r="AC126" i="1" s="1"/>
  <c r="V416" i="1"/>
  <c r="AI416" i="1" s="1"/>
  <c r="J498" i="1"/>
  <c r="Q733" i="1"/>
  <c r="AD733" i="1" s="1"/>
  <c r="P733" i="1"/>
  <c r="AC733" i="1" s="1"/>
  <c r="O733" i="1"/>
  <c r="AB733" i="1" s="1"/>
  <c r="V733" i="1"/>
  <c r="AI733" i="1" s="1"/>
  <c r="N733" i="1"/>
  <c r="AA733" i="1" s="1"/>
  <c r="U733" i="1"/>
  <c r="AH733" i="1" s="1"/>
  <c r="T733" i="1"/>
  <c r="AG733" i="1" s="1"/>
  <c r="R733" i="1"/>
  <c r="AE733" i="1" s="1"/>
  <c r="S733" i="1"/>
  <c r="AF733" i="1" s="1"/>
  <c r="Q791" i="1"/>
  <c r="AD791" i="1" s="1"/>
  <c r="P791" i="1"/>
  <c r="AC791" i="1" s="1"/>
  <c r="O791" i="1"/>
  <c r="AB791" i="1" s="1"/>
  <c r="V791" i="1"/>
  <c r="AI791" i="1" s="1"/>
  <c r="N791" i="1"/>
  <c r="AA791" i="1" s="1"/>
  <c r="U791" i="1"/>
  <c r="AH791" i="1" s="1"/>
  <c r="M791" i="1"/>
  <c r="Z791" i="1" s="1"/>
  <c r="T791" i="1"/>
  <c r="AG791" i="1" s="1"/>
  <c r="L791" i="1"/>
  <c r="Y791" i="1" s="1"/>
  <c r="R791" i="1"/>
  <c r="AE791" i="1" s="1"/>
  <c r="K791" i="1"/>
  <c r="X791" i="1" s="1"/>
  <c r="S791" i="1"/>
  <c r="AF791" i="1" s="1"/>
  <c r="Q841" i="1"/>
  <c r="AD841" i="1" s="1"/>
  <c r="P841" i="1"/>
  <c r="AC841" i="1" s="1"/>
  <c r="O841" i="1"/>
  <c r="AB841" i="1" s="1"/>
  <c r="V841" i="1"/>
  <c r="AI841" i="1" s="1"/>
  <c r="N841" i="1"/>
  <c r="AA841" i="1" s="1"/>
  <c r="U841" i="1"/>
  <c r="AH841" i="1" s="1"/>
  <c r="T841" i="1"/>
  <c r="AG841" i="1" s="1"/>
  <c r="R841" i="1"/>
  <c r="AE841" i="1" s="1"/>
  <c r="S841" i="1"/>
  <c r="AF841" i="1" s="1"/>
  <c r="J1018" i="1"/>
  <c r="R1197" i="1"/>
  <c r="AE1197" i="1" s="1"/>
  <c r="Q1197" i="1"/>
  <c r="AD1197" i="1" s="1"/>
  <c r="P1197" i="1"/>
  <c r="AC1197" i="1" s="1"/>
  <c r="O1197" i="1"/>
  <c r="AB1197" i="1" s="1"/>
  <c r="V1197" i="1"/>
  <c r="AI1197" i="1" s="1"/>
  <c r="N1197" i="1"/>
  <c r="AA1197" i="1" s="1"/>
  <c r="U1197" i="1"/>
  <c r="AH1197" i="1" s="1"/>
  <c r="T1197" i="1"/>
  <c r="AG1197" i="1" s="1"/>
  <c r="S1197" i="1"/>
  <c r="AF1197" i="1" s="1"/>
  <c r="J1387" i="1"/>
  <c r="J1427" i="1"/>
  <c r="J1459" i="1"/>
  <c r="J1499" i="1"/>
  <c r="J1498" i="1"/>
  <c r="J63" i="1"/>
  <c r="V1226" i="1"/>
  <c r="AI1226" i="1" s="1"/>
  <c r="N1226" i="1"/>
  <c r="AA1226" i="1" s="1"/>
  <c r="U1226" i="1"/>
  <c r="AH1226" i="1" s="1"/>
  <c r="M1226" i="1"/>
  <c r="Z1226" i="1" s="1"/>
  <c r="T1226" i="1"/>
  <c r="AG1226" i="1" s="1"/>
  <c r="S1226" i="1"/>
  <c r="AF1226" i="1" s="1"/>
  <c r="R1226" i="1"/>
  <c r="AE1226" i="1" s="1"/>
  <c r="Q1226" i="1"/>
  <c r="AD1226" i="1" s="1"/>
  <c r="P1226" i="1"/>
  <c r="AC1226" i="1" s="1"/>
  <c r="O1226" i="1"/>
  <c r="AB1226" i="1" s="1"/>
  <c r="J1603" i="1"/>
  <c r="J1699" i="1"/>
  <c r="J1640" i="1"/>
  <c r="V422" i="1"/>
  <c r="AI422" i="1" s="1"/>
  <c r="T422" i="1"/>
  <c r="AG422" i="1" s="1"/>
  <c r="S422" i="1"/>
  <c r="AF422" i="1" s="1"/>
  <c r="R422" i="1"/>
  <c r="AE422" i="1" s="1"/>
  <c r="Q422" i="1"/>
  <c r="AD422" i="1" s="1"/>
  <c r="O422" i="1"/>
  <c r="AB422" i="1" s="1"/>
  <c r="U422" i="1"/>
  <c r="AH422" i="1" s="1"/>
  <c r="P422" i="1"/>
  <c r="AC422" i="1" s="1"/>
  <c r="V94" i="1"/>
  <c r="AI94" i="1" s="1"/>
  <c r="N94" i="1"/>
  <c r="AA94" i="1" s="1"/>
  <c r="U94" i="1"/>
  <c r="AH94" i="1" s="1"/>
  <c r="M94" i="1"/>
  <c r="Z94" i="1" s="1"/>
  <c r="T94" i="1"/>
  <c r="AG94" i="1" s="1"/>
  <c r="L94" i="1"/>
  <c r="Y94" i="1" s="1"/>
  <c r="S94" i="1"/>
  <c r="AF94" i="1" s="1"/>
  <c r="R94" i="1"/>
  <c r="AE94" i="1" s="1"/>
  <c r="Q94" i="1"/>
  <c r="AD94" i="1" s="1"/>
  <c r="O94" i="1"/>
  <c r="AB94" i="1" s="1"/>
  <c r="P94" i="1"/>
  <c r="AC94" i="1" s="1"/>
  <c r="Q19" i="1"/>
  <c r="AD19" i="1" s="1"/>
  <c r="P19" i="1"/>
  <c r="AC19" i="1" s="1"/>
  <c r="O19" i="1"/>
  <c r="AB19" i="1" s="1"/>
  <c r="U19" i="1"/>
  <c r="AH19" i="1" s="1"/>
  <c r="S19" i="1"/>
  <c r="AF19" i="1" s="1"/>
  <c r="V19" i="1"/>
  <c r="AI19" i="1" s="1"/>
  <c r="T19" i="1"/>
  <c r="AG19" i="1" s="1"/>
  <c r="R19" i="1"/>
  <c r="AE19" i="1" s="1"/>
  <c r="V150" i="1"/>
  <c r="AI150" i="1" s="1"/>
  <c r="U150" i="1"/>
  <c r="AH150" i="1" s="1"/>
  <c r="T150" i="1"/>
  <c r="AG150" i="1" s="1"/>
  <c r="S150" i="1"/>
  <c r="AF150" i="1" s="1"/>
  <c r="R150" i="1"/>
  <c r="AE150" i="1" s="1"/>
  <c r="Q150" i="1"/>
  <c r="AD150" i="1" s="1"/>
  <c r="P150" i="1"/>
  <c r="AC150" i="1" s="1"/>
  <c r="V66" i="1"/>
  <c r="AI66" i="1" s="1"/>
  <c r="R127" i="1"/>
  <c r="AE127" i="1" s="1"/>
  <c r="Q127" i="1"/>
  <c r="AD127" i="1" s="1"/>
  <c r="P127" i="1"/>
  <c r="AC127" i="1" s="1"/>
  <c r="O127" i="1"/>
  <c r="AB127" i="1" s="1"/>
  <c r="V127" i="1"/>
  <c r="AI127" i="1" s="1"/>
  <c r="N127" i="1"/>
  <c r="AA127" i="1" s="1"/>
  <c r="U127" i="1"/>
  <c r="AH127" i="1" s="1"/>
  <c r="M127" i="1"/>
  <c r="Z127" i="1" s="1"/>
  <c r="S127" i="1"/>
  <c r="AF127" i="1" s="1"/>
  <c r="K127" i="1"/>
  <c r="X127" i="1" s="1"/>
  <c r="T127" i="1"/>
  <c r="AG127" i="1" s="1"/>
  <c r="L127" i="1"/>
  <c r="Y127" i="1" s="1"/>
  <c r="V183" i="1"/>
  <c r="AI183" i="1" s="1"/>
  <c r="S165" i="1"/>
  <c r="AF165" i="1" s="1"/>
  <c r="V165" i="1"/>
  <c r="AI165" i="1" s="1"/>
  <c r="U165" i="1"/>
  <c r="AH165" i="1" s="1"/>
  <c r="T165" i="1"/>
  <c r="AG165" i="1" s="1"/>
  <c r="R165" i="1"/>
  <c r="AE165" i="1" s="1"/>
  <c r="R159" i="1"/>
  <c r="AE159" i="1" s="1"/>
  <c r="Q159" i="1"/>
  <c r="AD159" i="1" s="1"/>
  <c r="P159" i="1"/>
  <c r="AC159" i="1" s="1"/>
  <c r="O159" i="1"/>
  <c r="AB159" i="1" s="1"/>
  <c r="V159" i="1"/>
  <c r="AI159" i="1" s="1"/>
  <c r="N159" i="1"/>
  <c r="AA159" i="1" s="1"/>
  <c r="U159" i="1"/>
  <c r="AH159" i="1" s="1"/>
  <c r="M159" i="1"/>
  <c r="Z159" i="1" s="1"/>
  <c r="S159" i="1"/>
  <c r="AF159" i="1" s="1"/>
  <c r="T159" i="1"/>
  <c r="AG159" i="1" s="1"/>
  <c r="L159" i="1"/>
  <c r="Y159" i="1" s="1"/>
  <c r="V474" i="1"/>
  <c r="AI474" i="1" s="1"/>
  <c r="T474" i="1"/>
  <c r="AG474" i="1" s="1"/>
  <c r="S474" i="1"/>
  <c r="AF474" i="1" s="1"/>
  <c r="R474" i="1"/>
  <c r="AE474" i="1" s="1"/>
  <c r="Q474" i="1"/>
  <c r="AD474" i="1" s="1"/>
  <c r="O474" i="1"/>
  <c r="AB474" i="1" s="1"/>
  <c r="U474" i="1"/>
  <c r="AH474" i="1" s="1"/>
  <c r="P474" i="1"/>
  <c r="AC474" i="1" s="1"/>
  <c r="J424" i="1"/>
  <c r="Q711" i="1"/>
  <c r="AD711" i="1" s="1"/>
  <c r="U711" i="1"/>
  <c r="AH711" i="1" s="1"/>
  <c r="T711" i="1"/>
  <c r="AG711" i="1" s="1"/>
  <c r="R711" i="1"/>
  <c r="AE711" i="1" s="1"/>
  <c r="V711" i="1"/>
  <c r="AI711" i="1" s="1"/>
  <c r="S711" i="1"/>
  <c r="AF711" i="1" s="1"/>
  <c r="V504" i="1"/>
  <c r="AI504" i="1" s="1"/>
  <c r="T504" i="1"/>
  <c r="AG504" i="1" s="1"/>
  <c r="S504" i="1"/>
  <c r="AF504" i="1" s="1"/>
  <c r="U504" i="1"/>
  <c r="AH504" i="1" s="1"/>
  <c r="Q839" i="1"/>
  <c r="AD839" i="1" s="1"/>
  <c r="P839" i="1"/>
  <c r="AC839" i="1" s="1"/>
  <c r="O839" i="1"/>
  <c r="AB839" i="1" s="1"/>
  <c r="V839" i="1"/>
  <c r="AI839" i="1" s="1"/>
  <c r="N839" i="1"/>
  <c r="AA839" i="1" s="1"/>
  <c r="U839" i="1"/>
  <c r="AH839" i="1" s="1"/>
  <c r="T839" i="1"/>
  <c r="AG839" i="1" s="1"/>
  <c r="R839" i="1"/>
  <c r="AE839" i="1" s="1"/>
  <c r="S839" i="1"/>
  <c r="AF839" i="1" s="1"/>
  <c r="U931" i="1"/>
  <c r="AH931" i="1" s="1"/>
  <c r="R931" i="1"/>
  <c r="AE931" i="1" s="1"/>
  <c r="V931" i="1"/>
  <c r="AI931" i="1" s="1"/>
  <c r="T931" i="1"/>
  <c r="AG931" i="1" s="1"/>
  <c r="S931" i="1"/>
  <c r="AF931" i="1" s="1"/>
  <c r="Q931" i="1"/>
  <c r="AD931" i="1" s="1"/>
  <c r="Q825" i="1"/>
  <c r="AD825" i="1" s="1"/>
  <c r="P825" i="1"/>
  <c r="AC825" i="1" s="1"/>
  <c r="O825" i="1"/>
  <c r="AB825" i="1" s="1"/>
  <c r="V825" i="1"/>
  <c r="AI825" i="1" s="1"/>
  <c r="U825" i="1"/>
  <c r="AH825" i="1" s="1"/>
  <c r="T825" i="1"/>
  <c r="AG825" i="1" s="1"/>
  <c r="R825" i="1"/>
  <c r="AE825" i="1" s="1"/>
  <c r="S825" i="1"/>
  <c r="AF825" i="1" s="1"/>
  <c r="Q835" i="1"/>
  <c r="AD835" i="1" s="1"/>
  <c r="P835" i="1"/>
  <c r="AC835" i="1" s="1"/>
  <c r="O835" i="1"/>
  <c r="AB835" i="1" s="1"/>
  <c r="V835" i="1"/>
  <c r="AI835" i="1" s="1"/>
  <c r="N835" i="1"/>
  <c r="AA835" i="1" s="1"/>
  <c r="U835" i="1"/>
  <c r="AH835" i="1" s="1"/>
  <c r="M835" i="1"/>
  <c r="Z835" i="1" s="1"/>
  <c r="T835" i="1"/>
  <c r="AG835" i="1" s="1"/>
  <c r="L835" i="1"/>
  <c r="Y835" i="1" s="1"/>
  <c r="R835" i="1"/>
  <c r="AE835" i="1" s="1"/>
  <c r="S835" i="1"/>
  <c r="AF835" i="1" s="1"/>
  <c r="T1056" i="1"/>
  <c r="AG1056" i="1" s="1"/>
  <c r="L1056" i="1"/>
  <c r="Y1056" i="1" s="1"/>
  <c r="S1056" i="1"/>
  <c r="AF1056" i="1" s="1"/>
  <c r="R1056" i="1"/>
  <c r="AE1056" i="1" s="1"/>
  <c r="Q1056" i="1"/>
  <c r="AD1056" i="1" s="1"/>
  <c r="P1056" i="1"/>
  <c r="AC1056" i="1" s="1"/>
  <c r="O1056" i="1"/>
  <c r="AB1056" i="1" s="1"/>
  <c r="U1056" i="1"/>
  <c r="AH1056" i="1" s="1"/>
  <c r="N1056" i="1"/>
  <c r="AA1056" i="1" s="1"/>
  <c r="M1056" i="1"/>
  <c r="Z1056" i="1" s="1"/>
  <c r="V1056" i="1"/>
  <c r="AI1056" i="1" s="1"/>
  <c r="U903" i="1"/>
  <c r="AH903" i="1" s="1"/>
  <c r="R903" i="1"/>
  <c r="AE903" i="1" s="1"/>
  <c r="P903" i="1"/>
  <c r="AC903" i="1" s="1"/>
  <c r="Q903" i="1"/>
  <c r="AD903" i="1" s="1"/>
  <c r="O903" i="1"/>
  <c r="AB903" i="1" s="1"/>
  <c r="V903" i="1"/>
  <c r="AI903" i="1" s="1"/>
  <c r="S903" i="1"/>
  <c r="AF903" i="1" s="1"/>
  <c r="T903" i="1"/>
  <c r="AG903" i="1" s="1"/>
  <c r="U937" i="1"/>
  <c r="AH937" i="1" s="1"/>
  <c r="V937" i="1"/>
  <c r="AI937" i="1" s="1"/>
  <c r="O953" i="1"/>
  <c r="AB953" i="1" s="1"/>
  <c r="U953" i="1"/>
  <c r="AH953" i="1" s="1"/>
  <c r="M953" i="1"/>
  <c r="Z953" i="1" s="1"/>
  <c r="S953" i="1"/>
  <c r="AF953" i="1" s="1"/>
  <c r="R953" i="1"/>
  <c r="AE953" i="1" s="1"/>
  <c r="P953" i="1"/>
  <c r="AC953" i="1" s="1"/>
  <c r="V953" i="1"/>
  <c r="AI953" i="1" s="1"/>
  <c r="T953" i="1"/>
  <c r="AG953" i="1" s="1"/>
  <c r="Q953" i="1"/>
  <c r="AD953" i="1" s="1"/>
  <c r="N953" i="1"/>
  <c r="AA953" i="1" s="1"/>
  <c r="Q813" i="1"/>
  <c r="AD813" i="1" s="1"/>
  <c r="P813" i="1"/>
  <c r="AC813" i="1" s="1"/>
  <c r="O813" i="1"/>
  <c r="AB813" i="1" s="1"/>
  <c r="V813" i="1"/>
  <c r="AI813" i="1" s="1"/>
  <c r="N813" i="1"/>
  <c r="AA813" i="1" s="1"/>
  <c r="U813" i="1"/>
  <c r="AH813" i="1" s="1"/>
  <c r="M813" i="1"/>
  <c r="Z813" i="1" s="1"/>
  <c r="T813" i="1"/>
  <c r="AG813" i="1" s="1"/>
  <c r="L813" i="1"/>
  <c r="Y813" i="1" s="1"/>
  <c r="R813" i="1"/>
  <c r="AE813" i="1" s="1"/>
  <c r="S813" i="1"/>
  <c r="AF813" i="1" s="1"/>
  <c r="K813" i="1"/>
  <c r="X813" i="1" s="1"/>
  <c r="V898" i="1"/>
  <c r="AI898" i="1" s="1"/>
  <c r="J897" i="1"/>
  <c r="Q895" i="1" s="1"/>
  <c r="AD895" i="1" s="1"/>
  <c r="Q938" i="1"/>
  <c r="AD938" i="1" s="1"/>
  <c r="V938" i="1"/>
  <c r="AI938" i="1" s="1"/>
  <c r="N938" i="1"/>
  <c r="AA938" i="1" s="1"/>
  <c r="T938" i="1"/>
  <c r="AG938" i="1" s="1"/>
  <c r="L938" i="1"/>
  <c r="Y938" i="1" s="1"/>
  <c r="S938" i="1"/>
  <c r="AF938" i="1" s="1"/>
  <c r="R938" i="1"/>
  <c r="AE938" i="1" s="1"/>
  <c r="P938" i="1"/>
  <c r="AC938" i="1" s="1"/>
  <c r="O938" i="1"/>
  <c r="AB938" i="1" s="1"/>
  <c r="M938" i="1"/>
  <c r="Z938" i="1" s="1"/>
  <c r="K938" i="1"/>
  <c r="X938" i="1" s="1"/>
  <c r="U938" i="1"/>
  <c r="AH938" i="1" s="1"/>
  <c r="T1129" i="1"/>
  <c r="AG1129" i="1" s="1"/>
  <c r="V1129" i="1"/>
  <c r="AI1129" i="1" s="1"/>
  <c r="U1129" i="1"/>
  <c r="AH1129" i="1" s="1"/>
  <c r="P1096" i="1"/>
  <c r="AC1096" i="1" s="1"/>
  <c r="O1096" i="1"/>
  <c r="AB1096" i="1" s="1"/>
  <c r="V1096" i="1"/>
  <c r="AI1096" i="1" s="1"/>
  <c r="N1096" i="1"/>
  <c r="AA1096" i="1" s="1"/>
  <c r="U1096" i="1"/>
  <c r="AH1096" i="1" s="1"/>
  <c r="M1096" i="1"/>
  <c r="Z1096" i="1" s="1"/>
  <c r="T1096" i="1"/>
  <c r="AG1096" i="1" s="1"/>
  <c r="S1096" i="1"/>
  <c r="AF1096" i="1" s="1"/>
  <c r="R1096" i="1"/>
  <c r="AE1096" i="1" s="1"/>
  <c r="Q1096" i="1"/>
  <c r="AD1096" i="1" s="1"/>
  <c r="V1181" i="1"/>
  <c r="AI1181" i="1" s="1"/>
  <c r="U1181" i="1"/>
  <c r="AH1181" i="1" s="1"/>
  <c r="T1181" i="1"/>
  <c r="AG1181" i="1" s="1"/>
  <c r="S1181" i="1"/>
  <c r="AF1181" i="1" s="1"/>
  <c r="R1213" i="1"/>
  <c r="AE1213" i="1" s="1"/>
  <c r="Q1213" i="1"/>
  <c r="AD1213" i="1" s="1"/>
  <c r="P1213" i="1"/>
  <c r="AC1213" i="1" s="1"/>
  <c r="O1213" i="1"/>
  <c r="AB1213" i="1" s="1"/>
  <c r="V1213" i="1"/>
  <c r="AI1213" i="1" s="1"/>
  <c r="N1213" i="1"/>
  <c r="AA1213" i="1" s="1"/>
  <c r="U1213" i="1"/>
  <c r="AH1213" i="1" s="1"/>
  <c r="M1213" i="1"/>
  <c r="Z1213" i="1" s="1"/>
  <c r="T1213" i="1"/>
  <c r="AG1213" i="1" s="1"/>
  <c r="S1213" i="1"/>
  <c r="AF1213" i="1" s="1"/>
  <c r="S956" i="1"/>
  <c r="AF956" i="1" s="1"/>
  <c r="Q956" i="1"/>
  <c r="AD956" i="1" s="1"/>
  <c r="P956" i="1"/>
  <c r="AC956" i="1" s="1"/>
  <c r="V956" i="1"/>
  <c r="AI956" i="1" s="1"/>
  <c r="T956" i="1"/>
  <c r="AG956" i="1" s="1"/>
  <c r="R956" i="1"/>
  <c r="AE956" i="1" s="1"/>
  <c r="U956" i="1"/>
  <c r="AH956" i="1" s="1"/>
  <c r="V1230" i="1"/>
  <c r="AI1230" i="1" s="1"/>
  <c r="U1230" i="1"/>
  <c r="AH1230" i="1" s="1"/>
  <c r="T1230" i="1"/>
  <c r="AG1230" i="1" s="1"/>
  <c r="S1230" i="1"/>
  <c r="AF1230" i="1" s="1"/>
  <c r="R1230" i="1"/>
  <c r="AE1230" i="1" s="1"/>
  <c r="Q1230" i="1"/>
  <c r="AD1230" i="1" s="1"/>
  <c r="P1230" i="1"/>
  <c r="AC1230" i="1" s="1"/>
  <c r="O1331" i="1"/>
  <c r="AB1331" i="1" s="1"/>
  <c r="V1331" i="1"/>
  <c r="AI1331" i="1" s="1"/>
  <c r="N1331" i="1"/>
  <c r="AA1331" i="1" s="1"/>
  <c r="U1331" i="1"/>
  <c r="AH1331" i="1" s="1"/>
  <c r="T1331" i="1"/>
  <c r="AG1331" i="1" s="1"/>
  <c r="S1331" i="1"/>
  <c r="AF1331" i="1" s="1"/>
  <c r="R1331" i="1"/>
  <c r="AE1331" i="1" s="1"/>
  <c r="Q1331" i="1"/>
  <c r="AD1331" i="1" s="1"/>
  <c r="P1331" i="1"/>
  <c r="AC1331" i="1" s="1"/>
  <c r="P1474" i="1"/>
  <c r="AC1474" i="1" s="1"/>
  <c r="O1474" i="1"/>
  <c r="AB1474" i="1" s="1"/>
  <c r="V1474" i="1"/>
  <c r="AI1474" i="1" s="1"/>
  <c r="N1474" i="1"/>
  <c r="AA1474" i="1" s="1"/>
  <c r="U1474" i="1"/>
  <c r="AH1474" i="1" s="1"/>
  <c r="T1474" i="1"/>
  <c r="AG1474" i="1" s="1"/>
  <c r="S1474" i="1"/>
  <c r="AF1474" i="1" s="1"/>
  <c r="R1474" i="1"/>
  <c r="AE1474" i="1" s="1"/>
  <c r="Q1474" i="1"/>
  <c r="AD1474" i="1" s="1"/>
  <c r="V1490" i="1"/>
  <c r="AI1490" i="1" s="1"/>
  <c r="U1490" i="1"/>
  <c r="AH1490" i="1" s="1"/>
  <c r="T1490" i="1"/>
  <c r="AG1490" i="1" s="1"/>
  <c r="S1490" i="1"/>
  <c r="AF1490" i="1" s="1"/>
  <c r="R1490" i="1"/>
  <c r="AE1490" i="1" s="1"/>
  <c r="Q1490" i="1"/>
  <c r="AD1490" i="1" s="1"/>
  <c r="V1506" i="1"/>
  <c r="AI1506" i="1" s="1"/>
  <c r="U1506" i="1"/>
  <c r="AH1506" i="1" s="1"/>
  <c r="T1506" i="1"/>
  <c r="AG1506" i="1" s="1"/>
  <c r="V1522" i="1"/>
  <c r="AI1522" i="1" s="1"/>
  <c r="O1538" i="1"/>
  <c r="AB1538" i="1" s="1"/>
  <c r="V1538" i="1"/>
  <c r="AI1538" i="1" s="1"/>
  <c r="N1538" i="1"/>
  <c r="AA1538" i="1" s="1"/>
  <c r="U1538" i="1"/>
  <c r="AH1538" i="1" s="1"/>
  <c r="M1538" i="1"/>
  <c r="Z1538" i="1" s="1"/>
  <c r="T1538" i="1"/>
  <c r="AG1538" i="1" s="1"/>
  <c r="R1538" i="1"/>
  <c r="AE1538" i="1" s="1"/>
  <c r="P1538" i="1"/>
  <c r="AC1538" i="1" s="1"/>
  <c r="S1538" i="1"/>
  <c r="AF1538" i="1" s="1"/>
  <c r="Q1538" i="1"/>
  <c r="AD1538" i="1" s="1"/>
  <c r="V1554" i="1"/>
  <c r="AI1554" i="1" s="1"/>
  <c r="U1554" i="1"/>
  <c r="AH1554" i="1" s="1"/>
  <c r="T1554" i="1"/>
  <c r="AG1554" i="1" s="1"/>
  <c r="R1554" i="1"/>
  <c r="AE1554" i="1" s="1"/>
  <c r="P1554" i="1"/>
  <c r="AC1554" i="1" s="1"/>
  <c r="S1554" i="1"/>
  <c r="AF1554" i="1" s="1"/>
  <c r="Q1554" i="1"/>
  <c r="AD1554" i="1" s="1"/>
  <c r="V1570" i="1"/>
  <c r="AI1570" i="1" s="1"/>
  <c r="U1570" i="1"/>
  <c r="AH1570" i="1" s="1"/>
  <c r="T1570" i="1"/>
  <c r="AG1570" i="1" s="1"/>
  <c r="S1570" i="1"/>
  <c r="AF1570" i="1" s="1"/>
  <c r="R1217" i="1"/>
  <c r="AE1217" i="1" s="1"/>
  <c r="Q1217" i="1"/>
  <c r="AD1217" i="1" s="1"/>
  <c r="V1217" i="1"/>
  <c r="AI1217" i="1" s="1"/>
  <c r="U1217" i="1"/>
  <c r="AH1217" i="1" s="1"/>
  <c r="T1217" i="1"/>
  <c r="AG1217" i="1" s="1"/>
  <c r="S1217" i="1"/>
  <c r="AF1217" i="1" s="1"/>
  <c r="V1392" i="1"/>
  <c r="AI1392" i="1" s="1"/>
  <c r="V1444" i="1"/>
  <c r="AI1444" i="1" s="1"/>
  <c r="U1444" i="1"/>
  <c r="AH1444" i="1" s="1"/>
  <c r="T1513" i="1"/>
  <c r="AG1513" i="1" s="1"/>
  <c r="S1513" i="1"/>
  <c r="AF1513" i="1" s="1"/>
  <c r="R1513" i="1"/>
  <c r="AE1513" i="1" s="1"/>
  <c r="Q1513" i="1"/>
  <c r="AD1513" i="1" s="1"/>
  <c r="P1513" i="1"/>
  <c r="AC1513" i="1" s="1"/>
  <c r="O1513" i="1"/>
  <c r="AB1513" i="1" s="1"/>
  <c r="V1513" i="1"/>
  <c r="AI1513" i="1" s="1"/>
  <c r="N1513" i="1"/>
  <c r="AA1513" i="1" s="1"/>
  <c r="U1513" i="1"/>
  <c r="AH1513" i="1" s="1"/>
  <c r="R1185" i="1"/>
  <c r="AE1185" i="1" s="1"/>
  <c r="Q1185" i="1"/>
  <c r="AD1185" i="1" s="1"/>
  <c r="P1185" i="1"/>
  <c r="AC1185" i="1" s="1"/>
  <c r="O1185" i="1"/>
  <c r="AB1185" i="1" s="1"/>
  <c r="V1185" i="1"/>
  <c r="AI1185" i="1" s="1"/>
  <c r="N1185" i="1"/>
  <c r="AA1185" i="1" s="1"/>
  <c r="U1185" i="1"/>
  <c r="AH1185" i="1" s="1"/>
  <c r="M1185" i="1"/>
  <c r="Z1185" i="1" s="1"/>
  <c r="T1185" i="1"/>
  <c r="AG1185" i="1" s="1"/>
  <c r="L1185" i="1"/>
  <c r="Y1185" i="1" s="1"/>
  <c r="S1185" i="1"/>
  <c r="AF1185" i="1" s="1"/>
  <c r="K1185" i="1"/>
  <c r="X1185" i="1" s="1"/>
  <c r="R1276" i="1"/>
  <c r="AE1276" i="1" s="1"/>
  <c r="Q1276" i="1"/>
  <c r="AD1276" i="1" s="1"/>
  <c r="O1276" i="1"/>
  <c r="AB1276" i="1" s="1"/>
  <c r="V1276" i="1"/>
  <c r="AI1276" i="1" s="1"/>
  <c r="N1276" i="1"/>
  <c r="AA1276" i="1" s="1"/>
  <c r="U1276" i="1"/>
  <c r="AH1276" i="1" s="1"/>
  <c r="M1276" i="1"/>
  <c r="Z1276" i="1" s="1"/>
  <c r="T1276" i="1"/>
  <c r="AG1276" i="1" s="1"/>
  <c r="S1276" i="1"/>
  <c r="AF1276" i="1" s="1"/>
  <c r="P1276" i="1"/>
  <c r="AC1276" i="1" s="1"/>
  <c r="L1276" i="1"/>
  <c r="Y1276" i="1" s="1"/>
  <c r="K1276" i="1"/>
  <c r="X1276" i="1" s="1"/>
  <c r="V1261" i="1"/>
  <c r="AI1261" i="1" s="1"/>
  <c r="R1359" i="1"/>
  <c r="AE1359" i="1" s="1"/>
  <c r="Q1359" i="1"/>
  <c r="AD1359" i="1" s="1"/>
  <c r="V1359" i="1"/>
  <c r="AI1359" i="1" s="1"/>
  <c r="U1359" i="1"/>
  <c r="AH1359" i="1" s="1"/>
  <c r="T1359" i="1"/>
  <c r="AG1359" i="1" s="1"/>
  <c r="S1359" i="1"/>
  <c r="AF1359" i="1" s="1"/>
  <c r="P1359" i="1"/>
  <c r="AC1359" i="1" s="1"/>
  <c r="U1579" i="1"/>
  <c r="AH1579" i="1" s="1"/>
  <c r="T1579" i="1"/>
  <c r="AG1579" i="1" s="1"/>
  <c r="S1579" i="1"/>
  <c r="AF1579" i="1" s="1"/>
  <c r="R1579" i="1"/>
  <c r="AE1579" i="1" s="1"/>
  <c r="Q1579" i="1"/>
  <c r="AD1579" i="1" s="1"/>
  <c r="P1579" i="1"/>
  <c r="AC1579" i="1" s="1"/>
  <c r="V1579" i="1"/>
  <c r="AI1579" i="1" s="1"/>
  <c r="O1579" i="1"/>
  <c r="AB1579" i="1" s="1"/>
  <c r="U1595" i="1"/>
  <c r="AH1595" i="1" s="1"/>
  <c r="S1595" i="1"/>
  <c r="AF1595" i="1" s="1"/>
  <c r="V1595" i="1"/>
  <c r="AI1595" i="1" s="1"/>
  <c r="T1595" i="1"/>
  <c r="AG1595" i="1" s="1"/>
  <c r="R1595" i="1"/>
  <c r="AE1595" i="1" s="1"/>
  <c r="U1611" i="1"/>
  <c r="AH1611" i="1" s="1"/>
  <c r="V1611" i="1"/>
  <c r="AI1611" i="1" s="1"/>
  <c r="P1627" i="1"/>
  <c r="AC1627" i="1" s="1"/>
  <c r="V1627" i="1"/>
  <c r="AI1627" i="1" s="1"/>
  <c r="N1627" i="1"/>
  <c r="AA1627" i="1" s="1"/>
  <c r="U1627" i="1"/>
  <c r="AH1627" i="1" s="1"/>
  <c r="M1627" i="1"/>
  <c r="Z1627" i="1" s="1"/>
  <c r="S1627" i="1"/>
  <c r="AF1627" i="1" s="1"/>
  <c r="K1627" i="1"/>
  <c r="X1627" i="1" s="1"/>
  <c r="Q1627" i="1"/>
  <c r="AD1627" i="1" s="1"/>
  <c r="O1627" i="1"/>
  <c r="AB1627" i="1" s="1"/>
  <c r="L1627" i="1"/>
  <c r="Y1627" i="1" s="1"/>
  <c r="R1627" i="1"/>
  <c r="AE1627" i="1" s="1"/>
  <c r="T1627" i="1"/>
  <c r="AG1627" i="1" s="1"/>
  <c r="P1643" i="1"/>
  <c r="AC1643" i="1" s="1"/>
  <c r="V1643" i="1"/>
  <c r="AI1643" i="1" s="1"/>
  <c r="N1643" i="1"/>
  <c r="AA1643" i="1" s="1"/>
  <c r="U1643" i="1"/>
  <c r="AH1643" i="1" s="1"/>
  <c r="S1643" i="1"/>
  <c r="AF1643" i="1" s="1"/>
  <c r="Q1643" i="1"/>
  <c r="AD1643" i="1" s="1"/>
  <c r="O1643" i="1"/>
  <c r="AB1643" i="1" s="1"/>
  <c r="R1643" i="1"/>
  <c r="AE1643" i="1" s="1"/>
  <c r="T1643" i="1"/>
  <c r="AG1643" i="1" s="1"/>
  <c r="V1659" i="1"/>
  <c r="AI1659" i="1" s="1"/>
  <c r="U1659" i="1"/>
  <c r="AH1659" i="1" s="1"/>
  <c r="S1659" i="1"/>
  <c r="AF1659" i="1" s="1"/>
  <c r="Q1659" i="1"/>
  <c r="AD1659" i="1" s="1"/>
  <c r="R1659" i="1"/>
  <c r="AE1659" i="1" s="1"/>
  <c r="T1659" i="1"/>
  <c r="AG1659" i="1" s="1"/>
  <c r="U1675" i="1"/>
  <c r="AH1675" i="1" s="1"/>
  <c r="T1675" i="1"/>
  <c r="AG1675" i="1" s="1"/>
  <c r="V1675" i="1"/>
  <c r="AI1675" i="1" s="1"/>
  <c r="V1691" i="1"/>
  <c r="AI1691" i="1" s="1"/>
  <c r="V1707" i="1"/>
  <c r="AI1707" i="1" s="1"/>
  <c r="N1707" i="1"/>
  <c r="AA1707" i="1" s="1"/>
  <c r="U1707" i="1"/>
  <c r="AH1707" i="1" s="1"/>
  <c r="M1707" i="1"/>
  <c r="Z1707" i="1" s="1"/>
  <c r="T1707" i="1"/>
  <c r="AG1707" i="1" s="1"/>
  <c r="S1707" i="1"/>
  <c r="AF1707" i="1" s="1"/>
  <c r="R1707" i="1"/>
  <c r="AE1707" i="1" s="1"/>
  <c r="Q1707" i="1"/>
  <c r="AD1707" i="1" s="1"/>
  <c r="P1707" i="1"/>
  <c r="AC1707" i="1" s="1"/>
  <c r="O1707" i="1"/>
  <c r="AB1707" i="1" s="1"/>
  <c r="Q1606" i="1"/>
  <c r="AD1606" i="1" s="1"/>
  <c r="S1606" i="1"/>
  <c r="AF1606" i="1" s="1"/>
  <c r="R1606" i="1"/>
  <c r="AE1606" i="1" s="1"/>
  <c r="P1606" i="1"/>
  <c r="AC1606" i="1" s="1"/>
  <c r="V1606" i="1"/>
  <c r="AI1606" i="1" s="1"/>
  <c r="T1606" i="1"/>
  <c r="AG1606" i="1" s="1"/>
  <c r="U1606" i="1"/>
  <c r="AH1606" i="1" s="1"/>
  <c r="V1674" i="1"/>
  <c r="AI1674" i="1" s="1"/>
  <c r="U1674" i="1"/>
  <c r="AH1674" i="1" s="1"/>
  <c r="T1674" i="1"/>
  <c r="AG1674" i="1" s="1"/>
  <c r="S1674" i="1"/>
  <c r="AF1674" i="1" s="1"/>
  <c r="V1584" i="1"/>
  <c r="AI1584" i="1" s="1"/>
  <c r="U1584" i="1"/>
  <c r="AH1584" i="1" s="1"/>
  <c r="T1584" i="1"/>
  <c r="AG1584" i="1" s="1"/>
  <c r="V1600" i="1"/>
  <c r="AI1600" i="1" s="1"/>
  <c r="Q1616" i="1"/>
  <c r="AD1616" i="1" s="1"/>
  <c r="O1616" i="1"/>
  <c r="AB1616" i="1" s="1"/>
  <c r="U1616" i="1"/>
  <c r="AH1616" i="1" s="1"/>
  <c r="M1616" i="1"/>
  <c r="Z1616" i="1" s="1"/>
  <c r="T1616" i="1"/>
  <c r="AG1616" i="1" s="1"/>
  <c r="S1616" i="1"/>
  <c r="AF1616" i="1" s="1"/>
  <c r="R1616" i="1"/>
  <c r="AE1616" i="1" s="1"/>
  <c r="P1616" i="1"/>
  <c r="AC1616" i="1" s="1"/>
  <c r="N1616" i="1"/>
  <c r="AA1616" i="1" s="1"/>
  <c r="V1616" i="1"/>
  <c r="AI1616" i="1" s="1"/>
  <c r="T1632" i="1"/>
  <c r="AG1632" i="1" s="1"/>
  <c r="R1632" i="1"/>
  <c r="AE1632" i="1" s="1"/>
  <c r="Q1632" i="1"/>
  <c r="AD1632" i="1" s="1"/>
  <c r="U1632" i="1"/>
  <c r="AH1632" i="1" s="1"/>
  <c r="S1632" i="1"/>
  <c r="AF1632" i="1" s="1"/>
  <c r="P1632" i="1"/>
  <c r="AC1632" i="1" s="1"/>
  <c r="V1632" i="1"/>
  <c r="AI1632" i="1" s="1"/>
  <c r="T1648" i="1"/>
  <c r="AG1648" i="1" s="1"/>
  <c r="U1648" i="1"/>
  <c r="AH1648" i="1" s="1"/>
  <c r="S1648" i="1"/>
  <c r="AF1648" i="1" s="1"/>
  <c r="V1648" i="1"/>
  <c r="AI1648" i="1" s="1"/>
  <c r="V1664" i="1"/>
  <c r="AI1664" i="1" s="1"/>
  <c r="Q1680" i="1"/>
  <c r="AD1680" i="1" s="1"/>
  <c r="P1680" i="1"/>
  <c r="AC1680" i="1" s="1"/>
  <c r="O1680" i="1"/>
  <c r="AB1680" i="1" s="1"/>
  <c r="V1680" i="1"/>
  <c r="AI1680" i="1" s="1"/>
  <c r="N1680" i="1"/>
  <c r="AA1680" i="1" s="1"/>
  <c r="U1680" i="1"/>
  <c r="AH1680" i="1" s="1"/>
  <c r="M1680" i="1"/>
  <c r="Z1680" i="1" s="1"/>
  <c r="T1680" i="1"/>
  <c r="AG1680" i="1" s="1"/>
  <c r="L1680" i="1"/>
  <c r="Y1680" i="1" s="1"/>
  <c r="R1680" i="1"/>
  <c r="AE1680" i="1" s="1"/>
  <c r="S1680" i="1"/>
  <c r="AF1680" i="1" s="1"/>
  <c r="R1696" i="1"/>
  <c r="AE1696" i="1" s="1"/>
  <c r="Q1696" i="1"/>
  <c r="AD1696" i="1" s="1"/>
  <c r="P1696" i="1"/>
  <c r="AC1696" i="1" s="1"/>
  <c r="O1696" i="1"/>
  <c r="AB1696" i="1" s="1"/>
  <c r="V1696" i="1"/>
  <c r="AI1696" i="1" s="1"/>
  <c r="U1696" i="1"/>
  <c r="AH1696" i="1" s="1"/>
  <c r="T1696" i="1"/>
  <c r="AG1696" i="1" s="1"/>
  <c r="S1696" i="1"/>
  <c r="AF1696" i="1" s="1"/>
  <c r="R1712" i="1"/>
  <c r="AE1712" i="1" s="1"/>
  <c r="V1712" i="1"/>
  <c r="AI1712" i="1" s="1"/>
  <c r="U1712" i="1"/>
  <c r="AH1712" i="1" s="1"/>
  <c r="T1712" i="1"/>
  <c r="AG1712" i="1" s="1"/>
  <c r="S1712" i="1"/>
  <c r="AF1712" i="1" s="1"/>
  <c r="V1610" i="1"/>
  <c r="AI1610" i="1" s="1"/>
  <c r="U1610" i="1"/>
  <c r="AH1610" i="1" s="1"/>
  <c r="T1610" i="1"/>
  <c r="AG1610" i="1" s="1"/>
  <c r="Q1670" i="1"/>
  <c r="AD1670" i="1" s="1"/>
  <c r="P1670" i="1"/>
  <c r="AC1670" i="1" s="1"/>
  <c r="O1670" i="1"/>
  <c r="AB1670" i="1" s="1"/>
  <c r="V1670" i="1"/>
  <c r="AI1670" i="1" s="1"/>
  <c r="U1670" i="1"/>
  <c r="AH1670" i="1" s="1"/>
  <c r="T1670" i="1"/>
  <c r="AG1670" i="1" s="1"/>
  <c r="S1670" i="1"/>
  <c r="AF1670" i="1" s="1"/>
  <c r="R1670" i="1"/>
  <c r="AE1670" i="1" s="1"/>
  <c r="U1581" i="1"/>
  <c r="AH1581" i="1" s="1"/>
  <c r="T1581" i="1"/>
  <c r="AG1581" i="1" s="1"/>
  <c r="S1581" i="1"/>
  <c r="AF1581" i="1" s="1"/>
  <c r="R1581" i="1"/>
  <c r="AE1581" i="1" s="1"/>
  <c r="Q1581" i="1"/>
  <c r="AD1581" i="1" s="1"/>
  <c r="V1581" i="1"/>
  <c r="AI1581" i="1" s="1"/>
  <c r="U1597" i="1"/>
  <c r="AH1597" i="1" s="1"/>
  <c r="T1597" i="1"/>
  <c r="AG1597" i="1" s="1"/>
  <c r="V1597" i="1"/>
  <c r="AI1597" i="1" s="1"/>
  <c r="V1613" i="1"/>
  <c r="AI1613" i="1" s="1"/>
  <c r="P1629" i="1"/>
  <c r="AC1629" i="1" s="1"/>
  <c r="V1629" i="1"/>
  <c r="AI1629" i="1" s="1"/>
  <c r="N1629" i="1"/>
  <c r="AA1629" i="1" s="1"/>
  <c r="U1629" i="1"/>
  <c r="AH1629" i="1" s="1"/>
  <c r="M1629" i="1"/>
  <c r="Z1629" i="1" s="1"/>
  <c r="S1629" i="1"/>
  <c r="AF1629" i="1" s="1"/>
  <c r="Q1629" i="1"/>
  <c r="AD1629" i="1" s="1"/>
  <c r="T1629" i="1"/>
  <c r="AG1629" i="1" s="1"/>
  <c r="O1629" i="1"/>
  <c r="AB1629" i="1" s="1"/>
  <c r="R1629" i="1"/>
  <c r="AE1629" i="1" s="1"/>
  <c r="P1645" i="1"/>
  <c r="AC1645" i="1" s="1"/>
  <c r="V1645" i="1"/>
  <c r="AI1645" i="1" s="1"/>
  <c r="U1645" i="1"/>
  <c r="AH1645" i="1" s="1"/>
  <c r="S1645" i="1"/>
  <c r="AF1645" i="1" s="1"/>
  <c r="Q1645" i="1"/>
  <c r="AD1645" i="1" s="1"/>
  <c r="T1645" i="1"/>
  <c r="AG1645" i="1" s="1"/>
  <c r="R1645" i="1"/>
  <c r="AE1645" i="1" s="1"/>
  <c r="U1661" i="1"/>
  <c r="AH1661" i="1" s="1"/>
  <c r="T1661" i="1"/>
  <c r="AG1661" i="1" s="1"/>
  <c r="S1661" i="1"/>
  <c r="AF1661" i="1" s="1"/>
  <c r="V1661" i="1"/>
  <c r="AI1661" i="1" s="1"/>
  <c r="V1677" i="1"/>
  <c r="AI1677" i="1" s="1"/>
  <c r="V1693" i="1"/>
  <c r="AI1693" i="1" s="1"/>
  <c r="N1693" i="1"/>
  <c r="AA1693" i="1" s="1"/>
  <c r="U1693" i="1"/>
  <c r="AH1693" i="1" s="1"/>
  <c r="M1693" i="1"/>
  <c r="Z1693" i="1" s="1"/>
  <c r="T1693" i="1"/>
  <c r="AG1693" i="1" s="1"/>
  <c r="L1693" i="1"/>
  <c r="Y1693" i="1" s="1"/>
  <c r="S1693" i="1"/>
  <c r="AF1693" i="1" s="1"/>
  <c r="R1693" i="1"/>
  <c r="AE1693" i="1" s="1"/>
  <c r="Q1693" i="1"/>
  <c r="AD1693" i="1" s="1"/>
  <c r="P1693" i="1"/>
  <c r="AC1693" i="1" s="1"/>
  <c r="O1693" i="1"/>
  <c r="AB1693" i="1" s="1"/>
  <c r="V1709" i="1"/>
  <c r="AI1709" i="1" s="1"/>
  <c r="U1709" i="1"/>
  <c r="AH1709" i="1" s="1"/>
  <c r="T1709" i="1"/>
  <c r="AG1709" i="1" s="1"/>
  <c r="S1709" i="1"/>
  <c r="AF1709" i="1" s="1"/>
  <c r="R1709" i="1"/>
  <c r="AE1709" i="1" s="1"/>
  <c r="Q1709" i="1"/>
  <c r="AD1709" i="1" s="1"/>
  <c r="P1709" i="1"/>
  <c r="AC1709" i="1" s="1"/>
  <c r="O1709" i="1"/>
  <c r="AB1709" i="1" s="1"/>
  <c r="V1582" i="1"/>
  <c r="AI1582" i="1" s="1"/>
  <c r="U1582" i="1"/>
  <c r="AH1582" i="1" s="1"/>
  <c r="T1582" i="1"/>
  <c r="AG1582" i="1" s="1"/>
  <c r="R1582" i="1"/>
  <c r="AE1582" i="1" s="1"/>
  <c r="S1582" i="1"/>
  <c r="AF1582" i="1" s="1"/>
  <c r="U1650" i="1"/>
  <c r="AH1650" i="1" s="1"/>
  <c r="V1650" i="1"/>
  <c r="AI1650" i="1" s="1"/>
  <c r="V1714" i="1"/>
  <c r="AI1714" i="1" s="1"/>
  <c r="U1714" i="1"/>
  <c r="AH1714" i="1" s="1"/>
  <c r="T1714" i="1"/>
  <c r="AG1714" i="1" s="1"/>
  <c r="Q1602" i="1"/>
  <c r="AD1602" i="1" s="1"/>
  <c r="O1602" i="1"/>
  <c r="AB1602" i="1" s="1"/>
  <c r="M1602" i="1"/>
  <c r="Z1602" i="1" s="1"/>
  <c r="V1602" i="1"/>
  <c r="AI1602" i="1" s="1"/>
  <c r="L1602" i="1"/>
  <c r="Y1602" i="1" s="1"/>
  <c r="U1602" i="1"/>
  <c r="AH1602" i="1" s="1"/>
  <c r="T1602" i="1"/>
  <c r="AG1602" i="1" s="1"/>
  <c r="S1602" i="1"/>
  <c r="AF1602" i="1" s="1"/>
  <c r="R1602" i="1"/>
  <c r="AE1602" i="1" s="1"/>
  <c r="N1602" i="1"/>
  <c r="AA1602" i="1" s="1"/>
  <c r="P1602" i="1"/>
  <c r="AC1602" i="1" s="1"/>
  <c r="V1662" i="1"/>
  <c r="AI1662" i="1" s="1"/>
  <c r="U1662" i="1"/>
  <c r="AH1662" i="1" s="1"/>
  <c r="T1662" i="1"/>
  <c r="AG1662" i="1" s="1"/>
  <c r="S1318" i="1"/>
  <c r="AF1318" i="1" s="1"/>
  <c r="R1318" i="1"/>
  <c r="AE1318" i="1" s="1"/>
  <c r="Q1318" i="1"/>
  <c r="AD1318" i="1" s="1"/>
  <c r="P1318" i="1"/>
  <c r="AC1318" i="1" s="1"/>
  <c r="O1318" i="1"/>
  <c r="AB1318" i="1" s="1"/>
  <c r="V1318" i="1"/>
  <c r="AI1318" i="1" s="1"/>
  <c r="N1318" i="1"/>
  <c r="AA1318" i="1" s="1"/>
  <c r="U1318" i="1"/>
  <c r="AH1318" i="1" s="1"/>
  <c r="T1318" i="1"/>
  <c r="AG1318" i="1" s="1"/>
  <c r="P1070" i="1"/>
  <c r="AC1070" i="1" s="1"/>
  <c r="O1070" i="1"/>
  <c r="AB1070" i="1" s="1"/>
  <c r="V1070" i="1"/>
  <c r="AI1070" i="1" s="1"/>
  <c r="N1070" i="1"/>
  <c r="AA1070" i="1" s="1"/>
  <c r="U1070" i="1"/>
  <c r="AH1070" i="1" s="1"/>
  <c r="M1070" i="1"/>
  <c r="Z1070" i="1" s="1"/>
  <c r="T1070" i="1"/>
  <c r="AG1070" i="1" s="1"/>
  <c r="S1070" i="1"/>
  <c r="AF1070" i="1" s="1"/>
  <c r="R1070" i="1"/>
  <c r="AE1070" i="1" s="1"/>
  <c r="Q1070" i="1"/>
  <c r="AD1070" i="1" s="1"/>
  <c r="V380" i="1"/>
  <c r="AI380" i="1" s="1"/>
  <c r="N380" i="1"/>
  <c r="AA380" i="1" s="1"/>
  <c r="T380" i="1"/>
  <c r="AG380" i="1" s="1"/>
  <c r="L380" i="1"/>
  <c r="Y380" i="1" s="1"/>
  <c r="R380" i="1"/>
  <c r="AE380" i="1" s="1"/>
  <c r="Q380" i="1"/>
  <c r="AD380" i="1" s="1"/>
  <c r="O380" i="1"/>
  <c r="AB380" i="1" s="1"/>
  <c r="M380" i="1"/>
  <c r="Z380" i="1" s="1"/>
  <c r="U380" i="1"/>
  <c r="AH380" i="1" s="1"/>
  <c r="P380" i="1"/>
  <c r="AC380" i="1" s="1"/>
  <c r="S380" i="1"/>
  <c r="AF380" i="1" s="1"/>
  <c r="V403" i="1"/>
  <c r="AI403" i="1" s="1"/>
  <c r="U403" i="1"/>
  <c r="AH403" i="1" s="1"/>
  <c r="R115" i="1"/>
  <c r="AE115" i="1" s="1"/>
  <c r="V115" i="1"/>
  <c r="AI115" i="1" s="1"/>
  <c r="U115" i="1"/>
  <c r="AH115" i="1" s="1"/>
  <c r="S115" i="1"/>
  <c r="AF115" i="1" s="1"/>
  <c r="T115" i="1"/>
  <c r="AG115" i="1" s="1"/>
  <c r="O172" i="1"/>
  <c r="AB172" i="1" s="1"/>
  <c r="U172" i="1"/>
  <c r="AH172" i="1" s="1"/>
  <c r="M172" i="1"/>
  <c r="Z172" i="1" s="1"/>
  <c r="Q172" i="1"/>
  <c r="AD172" i="1" s="1"/>
  <c r="P172" i="1"/>
  <c r="AC172" i="1" s="1"/>
  <c r="N172" i="1"/>
  <c r="AA172" i="1" s="1"/>
  <c r="L172" i="1"/>
  <c r="Y172" i="1" s="1"/>
  <c r="V172" i="1"/>
  <c r="AI172" i="1" s="1"/>
  <c r="T172" i="1"/>
  <c r="AG172" i="1" s="1"/>
  <c r="R172" i="1"/>
  <c r="AE172" i="1" s="1"/>
  <c r="S172" i="1"/>
  <c r="AF172" i="1" s="1"/>
  <c r="U740" i="1"/>
  <c r="AH740" i="1" s="1"/>
  <c r="V740" i="1"/>
  <c r="AI740" i="1" s="1"/>
  <c r="R1231" i="1"/>
  <c r="AE1231" i="1" s="1"/>
  <c r="Q1231" i="1"/>
  <c r="AD1231" i="1" s="1"/>
  <c r="P1231" i="1"/>
  <c r="AC1231" i="1" s="1"/>
  <c r="V1231" i="1"/>
  <c r="AI1231" i="1" s="1"/>
  <c r="U1231" i="1"/>
  <c r="AH1231" i="1" s="1"/>
  <c r="T1231" i="1"/>
  <c r="AG1231" i="1" s="1"/>
  <c r="S1231" i="1"/>
  <c r="AF1231" i="1" s="1"/>
  <c r="V132" i="1"/>
  <c r="AI132" i="1" s="1"/>
  <c r="N132" i="1"/>
  <c r="AA132" i="1" s="1"/>
  <c r="U132" i="1"/>
  <c r="AH132" i="1" s="1"/>
  <c r="M132" i="1"/>
  <c r="Z132" i="1" s="1"/>
  <c r="T132" i="1"/>
  <c r="AG132" i="1" s="1"/>
  <c r="L132" i="1"/>
  <c r="Y132" i="1" s="1"/>
  <c r="S132" i="1"/>
  <c r="AF132" i="1" s="1"/>
  <c r="K132" i="1"/>
  <c r="X132" i="1" s="1"/>
  <c r="R132" i="1"/>
  <c r="AE132" i="1" s="1"/>
  <c r="Q132" i="1"/>
  <c r="AD132" i="1" s="1"/>
  <c r="O132" i="1"/>
  <c r="AB132" i="1" s="1"/>
  <c r="P132" i="1"/>
  <c r="AC132" i="1" s="1"/>
  <c r="P1088" i="1"/>
  <c r="AC1088" i="1" s="1"/>
  <c r="O1088" i="1"/>
  <c r="AB1088" i="1" s="1"/>
  <c r="V1088" i="1"/>
  <c r="AI1088" i="1" s="1"/>
  <c r="U1088" i="1"/>
  <c r="AH1088" i="1" s="1"/>
  <c r="T1088" i="1"/>
  <c r="AG1088" i="1" s="1"/>
  <c r="S1088" i="1"/>
  <c r="AF1088" i="1" s="1"/>
  <c r="R1088" i="1"/>
  <c r="AE1088" i="1" s="1"/>
  <c r="Q1088" i="1"/>
  <c r="AD1088" i="1" s="1"/>
  <c r="V144" i="1"/>
  <c r="AI144" i="1" s="1"/>
  <c r="U144" i="1"/>
  <c r="AH144" i="1" s="1"/>
  <c r="T144" i="1"/>
  <c r="AG144" i="1" s="1"/>
  <c r="S144" i="1"/>
  <c r="AF144" i="1" s="1"/>
  <c r="R144" i="1"/>
  <c r="AE144" i="1" s="1"/>
  <c r="Q747" i="1"/>
  <c r="AD747" i="1" s="1"/>
  <c r="P747" i="1"/>
  <c r="AC747" i="1" s="1"/>
  <c r="O747" i="1"/>
  <c r="AB747" i="1" s="1"/>
  <c r="V747" i="1"/>
  <c r="AI747" i="1" s="1"/>
  <c r="U747" i="1"/>
  <c r="AH747" i="1" s="1"/>
  <c r="T747" i="1"/>
  <c r="AG747" i="1" s="1"/>
  <c r="R747" i="1"/>
  <c r="AE747" i="1" s="1"/>
  <c r="S747" i="1"/>
  <c r="AF747" i="1" s="1"/>
  <c r="V765" i="1"/>
  <c r="AI765" i="1" s="1"/>
  <c r="U765" i="1"/>
  <c r="AH765" i="1" s="1"/>
  <c r="T765" i="1"/>
  <c r="AG765" i="1" s="1"/>
  <c r="P1053" i="1"/>
  <c r="AC1053" i="1" s="1"/>
  <c r="O1053" i="1"/>
  <c r="AB1053" i="1" s="1"/>
  <c r="V1053" i="1"/>
  <c r="AI1053" i="1" s="1"/>
  <c r="N1053" i="1"/>
  <c r="AA1053" i="1" s="1"/>
  <c r="U1053" i="1"/>
  <c r="AH1053" i="1" s="1"/>
  <c r="T1053" i="1"/>
  <c r="AG1053" i="1" s="1"/>
  <c r="S1053" i="1"/>
  <c r="AF1053" i="1" s="1"/>
  <c r="R1053" i="1"/>
  <c r="AE1053" i="1" s="1"/>
  <c r="Q1053" i="1"/>
  <c r="AD1053" i="1" s="1"/>
  <c r="R1211" i="1"/>
  <c r="AE1211" i="1" s="1"/>
  <c r="Q1211" i="1"/>
  <c r="AD1211" i="1" s="1"/>
  <c r="P1211" i="1"/>
  <c r="AC1211" i="1" s="1"/>
  <c r="O1211" i="1"/>
  <c r="AB1211" i="1" s="1"/>
  <c r="V1211" i="1"/>
  <c r="AI1211" i="1" s="1"/>
  <c r="N1211" i="1"/>
  <c r="AA1211" i="1" s="1"/>
  <c r="U1211" i="1"/>
  <c r="AH1211" i="1" s="1"/>
  <c r="M1211" i="1"/>
  <c r="Z1211" i="1" s="1"/>
  <c r="T1211" i="1"/>
  <c r="AG1211" i="1" s="1"/>
  <c r="L1211" i="1"/>
  <c r="Y1211" i="1" s="1"/>
  <c r="S1211" i="1"/>
  <c r="AF1211" i="1" s="1"/>
  <c r="K1211" i="1"/>
  <c r="X1211" i="1" s="1"/>
  <c r="V1377" i="1"/>
  <c r="AI1377" i="1" s="1"/>
  <c r="U1377" i="1"/>
  <c r="AH1377" i="1" s="1"/>
  <c r="V148" i="1"/>
  <c r="AI148" i="1" s="1"/>
  <c r="N148" i="1"/>
  <c r="AA148" i="1" s="1"/>
  <c r="U148" i="1"/>
  <c r="AH148" i="1" s="1"/>
  <c r="T148" i="1"/>
  <c r="AG148" i="1" s="1"/>
  <c r="S148" i="1"/>
  <c r="AF148" i="1" s="1"/>
  <c r="R148" i="1"/>
  <c r="AE148" i="1" s="1"/>
  <c r="Q148" i="1"/>
  <c r="AD148" i="1" s="1"/>
  <c r="O148" i="1"/>
  <c r="AB148" i="1" s="1"/>
  <c r="P148" i="1"/>
  <c r="AC148" i="1" s="1"/>
  <c r="U868" i="1"/>
  <c r="AH868" i="1" s="1"/>
  <c r="T868" i="1"/>
  <c r="AG868" i="1" s="1"/>
  <c r="S868" i="1"/>
  <c r="AF868" i="1" s="1"/>
  <c r="V868" i="1"/>
  <c r="AI868" i="1" s="1"/>
  <c r="V138" i="1"/>
  <c r="AI138" i="1" s="1"/>
  <c r="U138" i="1"/>
  <c r="AH138" i="1" s="1"/>
  <c r="T138" i="1"/>
  <c r="AG138" i="1" s="1"/>
  <c r="S138" i="1"/>
  <c r="AF138" i="1" s="1"/>
  <c r="R138" i="1"/>
  <c r="AE138" i="1" s="1"/>
  <c r="Q138" i="1"/>
  <c r="AD138" i="1" s="1"/>
  <c r="T1089" i="1"/>
  <c r="AG1089" i="1" s="1"/>
  <c r="S1089" i="1"/>
  <c r="AF1089" i="1" s="1"/>
  <c r="R1089" i="1"/>
  <c r="AE1089" i="1" s="1"/>
  <c r="Q1089" i="1"/>
  <c r="AD1089" i="1" s="1"/>
  <c r="P1089" i="1"/>
  <c r="AC1089" i="1" s="1"/>
  <c r="O1089" i="1"/>
  <c r="AB1089" i="1" s="1"/>
  <c r="V1089" i="1"/>
  <c r="AI1089" i="1" s="1"/>
  <c r="U1089" i="1"/>
  <c r="AH1089" i="1" s="1"/>
  <c r="P1138" i="1"/>
  <c r="AC1138" i="1" s="1"/>
  <c r="O1138" i="1"/>
  <c r="AB1138" i="1" s="1"/>
  <c r="V1138" i="1"/>
  <c r="AI1138" i="1" s="1"/>
  <c r="N1138" i="1"/>
  <c r="AA1138" i="1" s="1"/>
  <c r="U1138" i="1"/>
  <c r="AH1138" i="1" s="1"/>
  <c r="M1138" i="1"/>
  <c r="Z1138" i="1" s="1"/>
  <c r="T1138" i="1"/>
  <c r="AG1138" i="1" s="1"/>
  <c r="L1138" i="1"/>
  <c r="Y1138" i="1" s="1"/>
  <c r="S1138" i="1"/>
  <c r="AF1138" i="1" s="1"/>
  <c r="K1138" i="1"/>
  <c r="X1138" i="1" s="1"/>
  <c r="R1138" i="1"/>
  <c r="AE1138" i="1" s="1"/>
  <c r="Q1138" i="1"/>
  <c r="AD1138" i="1" s="1"/>
  <c r="R1187" i="1"/>
  <c r="AE1187" i="1" s="1"/>
  <c r="Q1187" i="1"/>
  <c r="AD1187" i="1" s="1"/>
  <c r="P1187" i="1"/>
  <c r="AC1187" i="1" s="1"/>
  <c r="O1187" i="1"/>
  <c r="AB1187" i="1" s="1"/>
  <c r="V1187" i="1"/>
  <c r="AI1187" i="1" s="1"/>
  <c r="N1187" i="1"/>
  <c r="AA1187" i="1" s="1"/>
  <c r="U1187" i="1"/>
  <c r="AH1187" i="1" s="1"/>
  <c r="M1187" i="1"/>
  <c r="Z1187" i="1" s="1"/>
  <c r="T1187" i="1"/>
  <c r="AG1187" i="1" s="1"/>
  <c r="S1187" i="1"/>
  <c r="AF1187" i="1" s="1"/>
  <c r="S1320" i="1"/>
  <c r="AF1320" i="1" s="1"/>
  <c r="R1320" i="1"/>
  <c r="AE1320" i="1" s="1"/>
  <c r="Q1320" i="1"/>
  <c r="AD1320" i="1" s="1"/>
  <c r="P1320" i="1"/>
  <c r="AC1320" i="1" s="1"/>
  <c r="V1320" i="1"/>
  <c r="AI1320" i="1" s="1"/>
  <c r="U1320" i="1"/>
  <c r="AH1320" i="1" s="1"/>
  <c r="T1320" i="1"/>
  <c r="AG1320" i="1" s="1"/>
  <c r="T1097" i="1"/>
  <c r="AG1097" i="1" s="1"/>
  <c r="S1097" i="1"/>
  <c r="AF1097" i="1" s="1"/>
  <c r="R1097" i="1"/>
  <c r="AE1097" i="1" s="1"/>
  <c r="Q1097" i="1"/>
  <c r="AD1097" i="1" s="1"/>
  <c r="P1097" i="1"/>
  <c r="AC1097" i="1" s="1"/>
  <c r="O1097" i="1"/>
  <c r="AB1097" i="1" s="1"/>
  <c r="V1097" i="1"/>
  <c r="AI1097" i="1" s="1"/>
  <c r="N1097" i="1"/>
  <c r="AA1097" i="1" s="1"/>
  <c r="U1097" i="1"/>
  <c r="AH1097" i="1" s="1"/>
  <c r="R1252" i="1"/>
  <c r="AE1252" i="1" s="1"/>
  <c r="Q1252" i="1"/>
  <c r="AD1252" i="1" s="1"/>
  <c r="O1252" i="1"/>
  <c r="AB1252" i="1" s="1"/>
  <c r="V1252" i="1"/>
  <c r="AI1252" i="1" s="1"/>
  <c r="N1252" i="1"/>
  <c r="AA1252" i="1" s="1"/>
  <c r="U1252" i="1"/>
  <c r="AH1252" i="1" s="1"/>
  <c r="M1252" i="1"/>
  <c r="Z1252" i="1" s="1"/>
  <c r="S1252" i="1"/>
  <c r="AF1252" i="1" s="1"/>
  <c r="P1252" i="1"/>
  <c r="AC1252" i="1" s="1"/>
  <c r="T1252" i="1"/>
  <c r="AG1252" i="1" s="1"/>
  <c r="V352" i="1"/>
  <c r="AI352" i="1" s="1"/>
  <c r="Q845" i="1"/>
  <c r="AD845" i="1" s="1"/>
  <c r="P845" i="1"/>
  <c r="AC845" i="1" s="1"/>
  <c r="O845" i="1"/>
  <c r="AB845" i="1" s="1"/>
  <c r="V845" i="1"/>
  <c r="AI845" i="1" s="1"/>
  <c r="N845" i="1"/>
  <c r="AA845" i="1" s="1"/>
  <c r="U845" i="1"/>
  <c r="AH845" i="1" s="1"/>
  <c r="T845" i="1"/>
  <c r="AG845" i="1" s="1"/>
  <c r="R845" i="1"/>
  <c r="AE845" i="1" s="1"/>
  <c r="S845" i="1"/>
  <c r="AF845" i="1" s="1"/>
  <c r="V1352" i="1"/>
  <c r="AI1352" i="1" s="1"/>
  <c r="U1352" i="1"/>
  <c r="AH1352" i="1" s="1"/>
  <c r="S1352" i="1"/>
  <c r="AF1352" i="1" s="1"/>
  <c r="R1352" i="1"/>
  <c r="AE1352" i="1" s="1"/>
  <c r="Q1352" i="1"/>
  <c r="AD1352" i="1" s="1"/>
  <c r="T1352" i="1"/>
  <c r="AG1352" i="1" s="1"/>
  <c r="P1352" i="1"/>
  <c r="AC1352" i="1" s="1"/>
  <c r="V880" i="1"/>
  <c r="AI880" i="1" s="1"/>
  <c r="T880" i="1"/>
  <c r="AG880" i="1" s="1"/>
  <c r="U880" i="1"/>
  <c r="AH880" i="1" s="1"/>
  <c r="S880" i="1"/>
  <c r="AF880" i="1" s="1"/>
  <c r="R880" i="1"/>
  <c r="AE880" i="1" s="1"/>
  <c r="R117" i="1"/>
  <c r="AE117" i="1" s="1"/>
  <c r="V117" i="1"/>
  <c r="AI117" i="1" s="1"/>
  <c r="U117" i="1"/>
  <c r="AH117" i="1" s="1"/>
  <c r="S117" i="1"/>
  <c r="AF117" i="1" s="1"/>
  <c r="T117" i="1"/>
  <c r="AG117" i="1" s="1"/>
  <c r="T1117" i="1"/>
  <c r="AG1117" i="1" s="1"/>
  <c r="V1117" i="1"/>
  <c r="AI1117" i="1" s="1"/>
  <c r="U1117" i="1"/>
  <c r="AH1117" i="1" s="1"/>
  <c r="V1289" i="1"/>
  <c r="AI1289" i="1" s="1"/>
  <c r="N1289" i="1"/>
  <c r="AA1289" i="1" s="1"/>
  <c r="U1289" i="1"/>
  <c r="AH1289" i="1" s="1"/>
  <c r="M1289" i="1"/>
  <c r="Z1289" i="1" s="1"/>
  <c r="S1289" i="1"/>
  <c r="AF1289" i="1" s="1"/>
  <c r="K1289" i="1"/>
  <c r="X1289" i="1" s="1"/>
  <c r="R1289" i="1"/>
  <c r="AE1289" i="1" s="1"/>
  <c r="Q1289" i="1"/>
  <c r="AD1289" i="1" s="1"/>
  <c r="T1289" i="1"/>
  <c r="AG1289" i="1" s="1"/>
  <c r="P1289" i="1"/>
  <c r="AC1289" i="1" s="1"/>
  <c r="O1289" i="1"/>
  <c r="AB1289" i="1" s="1"/>
  <c r="L1289" i="1"/>
  <c r="Y1289" i="1" s="1"/>
  <c r="P1063" i="1"/>
  <c r="AC1063" i="1" s="1"/>
  <c r="O1063" i="1"/>
  <c r="AB1063" i="1" s="1"/>
  <c r="V1063" i="1"/>
  <c r="AI1063" i="1" s="1"/>
  <c r="U1063" i="1"/>
  <c r="AH1063" i="1" s="1"/>
  <c r="T1063" i="1"/>
  <c r="AG1063" i="1" s="1"/>
  <c r="L1063" i="1"/>
  <c r="Y1063" i="1" s="1"/>
  <c r="S1063" i="1"/>
  <c r="AF1063" i="1" s="1"/>
  <c r="K1063" i="1"/>
  <c r="X1063" i="1" s="1"/>
  <c r="R1063" i="1"/>
  <c r="AE1063" i="1" s="1"/>
  <c r="Q1063" i="1"/>
  <c r="AD1063" i="1" s="1"/>
  <c r="J1059" i="1"/>
  <c r="N1064" i="1" s="1"/>
  <c r="AA1064" i="1" s="1"/>
  <c r="U838" i="1"/>
  <c r="AH838" i="1" s="1"/>
  <c r="T838" i="1"/>
  <c r="AG838" i="1" s="1"/>
  <c r="S838" i="1"/>
  <c r="AF838" i="1" s="1"/>
  <c r="R838" i="1"/>
  <c r="AE838" i="1" s="1"/>
  <c r="Q838" i="1"/>
  <c r="AD838" i="1" s="1"/>
  <c r="P838" i="1"/>
  <c r="AC838" i="1" s="1"/>
  <c r="V838" i="1"/>
  <c r="AI838" i="1" s="1"/>
  <c r="N838" i="1"/>
  <c r="AA838" i="1" s="1"/>
  <c r="O838" i="1"/>
  <c r="AB838" i="1" s="1"/>
  <c r="V767" i="1"/>
  <c r="AI767" i="1" s="1"/>
  <c r="P965" i="1"/>
  <c r="AC965" i="1" s="1"/>
  <c r="O965" i="1"/>
  <c r="AB965" i="1" s="1"/>
  <c r="V965" i="1"/>
  <c r="AI965" i="1" s="1"/>
  <c r="N965" i="1"/>
  <c r="AA965" i="1" s="1"/>
  <c r="U965" i="1"/>
  <c r="AH965" i="1" s="1"/>
  <c r="M965" i="1"/>
  <c r="Z965" i="1" s="1"/>
  <c r="T965" i="1"/>
  <c r="AG965" i="1" s="1"/>
  <c r="L965" i="1"/>
  <c r="Y965" i="1" s="1"/>
  <c r="S965" i="1"/>
  <c r="AF965" i="1" s="1"/>
  <c r="R965" i="1"/>
  <c r="AE965" i="1" s="1"/>
  <c r="Q965" i="1"/>
  <c r="AD965" i="1" s="1"/>
  <c r="P981" i="1"/>
  <c r="AC981" i="1" s="1"/>
  <c r="O981" i="1"/>
  <c r="AB981" i="1" s="1"/>
  <c r="V981" i="1"/>
  <c r="AI981" i="1" s="1"/>
  <c r="U981" i="1"/>
  <c r="AH981" i="1" s="1"/>
  <c r="T981" i="1"/>
  <c r="AG981" i="1" s="1"/>
  <c r="S981" i="1"/>
  <c r="AF981" i="1" s="1"/>
  <c r="R981" i="1"/>
  <c r="AE981" i="1" s="1"/>
  <c r="Q981" i="1"/>
  <c r="AD981" i="1" s="1"/>
  <c r="U889" i="1"/>
  <c r="AH889" i="1" s="1"/>
  <c r="R889" i="1"/>
  <c r="AE889" i="1" s="1"/>
  <c r="P889" i="1"/>
  <c r="AC889" i="1" s="1"/>
  <c r="S889" i="1"/>
  <c r="AF889" i="1" s="1"/>
  <c r="Q889" i="1"/>
  <c r="AD889" i="1" s="1"/>
  <c r="O889" i="1"/>
  <c r="AB889" i="1" s="1"/>
  <c r="N889" i="1"/>
  <c r="AA889" i="1" s="1"/>
  <c r="T889" i="1"/>
  <c r="AG889" i="1" s="1"/>
  <c r="V889" i="1"/>
  <c r="AI889" i="1" s="1"/>
  <c r="T1153" i="1"/>
  <c r="AG1153" i="1" s="1"/>
  <c r="S1153" i="1"/>
  <c r="AF1153" i="1" s="1"/>
  <c r="R1153" i="1"/>
  <c r="AE1153" i="1" s="1"/>
  <c r="V1153" i="1"/>
  <c r="AI1153" i="1" s="1"/>
  <c r="U1153" i="1"/>
  <c r="AH1153" i="1" s="1"/>
  <c r="V1253" i="1"/>
  <c r="AI1253" i="1" s="1"/>
  <c r="N1253" i="1"/>
  <c r="AA1253" i="1" s="1"/>
  <c r="U1253" i="1"/>
  <c r="AH1253" i="1" s="1"/>
  <c r="S1253" i="1"/>
  <c r="AF1253" i="1" s="1"/>
  <c r="R1253" i="1"/>
  <c r="AE1253" i="1" s="1"/>
  <c r="Q1253" i="1"/>
  <c r="AD1253" i="1" s="1"/>
  <c r="T1253" i="1"/>
  <c r="AG1253" i="1" s="1"/>
  <c r="P1253" i="1"/>
  <c r="AC1253" i="1" s="1"/>
  <c r="O1253" i="1"/>
  <c r="AB1253" i="1" s="1"/>
  <c r="R1371" i="1"/>
  <c r="AE1371" i="1" s="1"/>
  <c r="Q1371" i="1"/>
  <c r="AD1371" i="1" s="1"/>
  <c r="O1371" i="1"/>
  <c r="AB1371" i="1" s="1"/>
  <c r="V1371" i="1"/>
  <c r="AI1371" i="1" s="1"/>
  <c r="U1371" i="1"/>
  <c r="AH1371" i="1" s="1"/>
  <c r="T1371" i="1"/>
  <c r="AG1371" i="1" s="1"/>
  <c r="S1371" i="1"/>
  <c r="AF1371" i="1" s="1"/>
  <c r="P1371" i="1"/>
  <c r="AC1371" i="1" s="1"/>
  <c r="S526" i="1"/>
  <c r="AF526" i="1" s="1"/>
  <c r="Q526" i="1"/>
  <c r="AD526" i="1" s="1"/>
  <c r="O526" i="1"/>
  <c r="AB526" i="1" s="1"/>
  <c r="V526" i="1"/>
  <c r="AI526" i="1" s="1"/>
  <c r="T526" i="1"/>
  <c r="AG526" i="1" s="1"/>
  <c r="U526" i="1"/>
  <c r="AH526" i="1" s="1"/>
  <c r="R526" i="1"/>
  <c r="AE526" i="1" s="1"/>
  <c r="P526" i="1"/>
  <c r="AC526" i="1" s="1"/>
  <c r="V1131" i="1"/>
  <c r="AI1131" i="1" s="1"/>
  <c r="V170" i="1"/>
  <c r="AI170" i="1" s="1"/>
  <c r="U208" i="1"/>
  <c r="AH208" i="1" s="1"/>
  <c r="V208" i="1"/>
  <c r="AI208" i="1" s="1"/>
  <c r="V1368" i="1"/>
  <c r="AI1368" i="1" s="1"/>
  <c r="N1368" i="1"/>
  <c r="AA1368" i="1" s="1"/>
  <c r="U1368" i="1"/>
  <c r="AH1368" i="1" s="1"/>
  <c r="M1368" i="1"/>
  <c r="Z1368" i="1" s="1"/>
  <c r="S1368" i="1"/>
  <c r="AF1368" i="1" s="1"/>
  <c r="R1368" i="1"/>
  <c r="AE1368" i="1" s="1"/>
  <c r="Q1368" i="1"/>
  <c r="AD1368" i="1" s="1"/>
  <c r="T1368" i="1"/>
  <c r="AG1368" i="1" s="1"/>
  <c r="P1368" i="1"/>
  <c r="AC1368" i="1" s="1"/>
  <c r="O1368" i="1"/>
  <c r="AB1368" i="1" s="1"/>
  <c r="L1368" i="1"/>
  <c r="Y1368" i="1" s="1"/>
  <c r="V1232" i="1"/>
  <c r="AI1232" i="1" s="1"/>
  <c r="U1232" i="1"/>
  <c r="AH1232" i="1" s="1"/>
  <c r="T1232" i="1"/>
  <c r="AG1232" i="1" s="1"/>
  <c r="S1232" i="1"/>
  <c r="AF1232" i="1" s="1"/>
  <c r="R1232" i="1"/>
  <c r="AE1232" i="1" s="1"/>
  <c r="Q1232" i="1"/>
  <c r="AD1232" i="1" s="1"/>
  <c r="P1232" i="1"/>
  <c r="AC1232" i="1" s="1"/>
  <c r="R99" i="1"/>
  <c r="AE99" i="1" s="1"/>
  <c r="Q99" i="1"/>
  <c r="AD99" i="1" s="1"/>
  <c r="V99" i="1"/>
  <c r="AI99" i="1" s="1"/>
  <c r="U99" i="1"/>
  <c r="AH99" i="1" s="1"/>
  <c r="S99" i="1"/>
  <c r="AF99" i="1" s="1"/>
  <c r="T99" i="1"/>
  <c r="AG99" i="1" s="1"/>
  <c r="U168" i="1"/>
  <c r="AH168" i="1" s="1"/>
  <c r="V168" i="1"/>
  <c r="AI168" i="1" s="1"/>
  <c r="J213" i="1"/>
  <c r="V289" i="1"/>
  <c r="AI289" i="1" s="1"/>
  <c r="N289" i="1"/>
  <c r="AA289" i="1" s="1"/>
  <c r="U289" i="1"/>
  <c r="AH289" i="1" s="1"/>
  <c r="M289" i="1"/>
  <c r="Z289" i="1" s="1"/>
  <c r="T289" i="1"/>
  <c r="AG289" i="1" s="1"/>
  <c r="L289" i="1"/>
  <c r="Y289" i="1" s="1"/>
  <c r="S289" i="1"/>
  <c r="AF289" i="1" s="1"/>
  <c r="R289" i="1"/>
  <c r="AE289" i="1" s="1"/>
  <c r="Q289" i="1"/>
  <c r="AD289" i="1" s="1"/>
  <c r="O289" i="1"/>
  <c r="AB289" i="1" s="1"/>
  <c r="P289" i="1"/>
  <c r="AC289" i="1" s="1"/>
  <c r="U716" i="1"/>
  <c r="AH716" i="1" s="1"/>
  <c r="S716" i="1"/>
  <c r="AF716" i="1" s="1"/>
  <c r="Q716" i="1"/>
  <c r="AD716" i="1" s="1"/>
  <c r="V716" i="1"/>
  <c r="AI716" i="1" s="1"/>
  <c r="T716" i="1"/>
  <c r="AG716" i="1" s="1"/>
  <c r="R716" i="1"/>
  <c r="AE716" i="1" s="1"/>
  <c r="Q823" i="1"/>
  <c r="AD823" i="1" s="1"/>
  <c r="P823" i="1"/>
  <c r="AC823" i="1" s="1"/>
  <c r="O823" i="1"/>
  <c r="AB823" i="1" s="1"/>
  <c r="V823" i="1"/>
  <c r="AI823" i="1" s="1"/>
  <c r="N823" i="1"/>
  <c r="AA823" i="1" s="1"/>
  <c r="U823" i="1"/>
  <c r="AH823" i="1" s="1"/>
  <c r="M823" i="1"/>
  <c r="Z823" i="1" s="1"/>
  <c r="T823" i="1"/>
  <c r="AG823" i="1" s="1"/>
  <c r="R823" i="1"/>
  <c r="AE823" i="1" s="1"/>
  <c r="S823" i="1"/>
  <c r="AF823" i="1" s="1"/>
  <c r="V763" i="1"/>
  <c r="AI763" i="1" s="1"/>
  <c r="U763" i="1"/>
  <c r="AH763" i="1" s="1"/>
  <c r="T763" i="1"/>
  <c r="AG763" i="1" s="1"/>
  <c r="R763" i="1"/>
  <c r="AE763" i="1" s="1"/>
  <c r="S763" i="1"/>
  <c r="AF763" i="1" s="1"/>
  <c r="V803" i="1"/>
  <c r="AI803" i="1" s="1"/>
  <c r="U803" i="1"/>
  <c r="AH803" i="1" s="1"/>
  <c r="T803" i="1"/>
  <c r="AG803" i="1" s="1"/>
  <c r="S803" i="1"/>
  <c r="AF803" i="1" s="1"/>
  <c r="J1010" i="1"/>
  <c r="V961" i="1"/>
  <c r="AI961" i="1" s="1"/>
  <c r="U961" i="1"/>
  <c r="AH961" i="1" s="1"/>
  <c r="T961" i="1"/>
  <c r="AG961" i="1" s="1"/>
  <c r="S961" i="1"/>
  <c r="AF961" i="1" s="1"/>
  <c r="P1112" i="1"/>
  <c r="AC1112" i="1" s="1"/>
  <c r="V1112" i="1"/>
  <c r="AI1112" i="1" s="1"/>
  <c r="U1112" i="1"/>
  <c r="AH1112" i="1" s="1"/>
  <c r="T1112" i="1"/>
  <c r="AG1112" i="1" s="1"/>
  <c r="S1112" i="1"/>
  <c r="AF1112" i="1" s="1"/>
  <c r="R1112" i="1"/>
  <c r="AE1112" i="1" s="1"/>
  <c r="Q1112" i="1"/>
  <c r="AD1112" i="1" s="1"/>
  <c r="T1133" i="1"/>
  <c r="AG1133" i="1" s="1"/>
  <c r="L1133" i="1"/>
  <c r="Y1133" i="1" s="1"/>
  <c r="S1133" i="1"/>
  <c r="AF1133" i="1" s="1"/>
  <c r="K1133" i="1"/>
  <c r="X1133" i="1" s="1"/>
  <c r="R1133" i="1"/>
  <c r="AE1133" i="1" s="1"/>
  <c r="Q1133" i="1"/>
  <c r="AD1133" i="1" s="1"/>
  <c r="P1133" i="1"/>
  <c r="AC1133" i="1" s="1"/>
  <c r="O1133" i="1"/>
  <c r="AB1133" i="1" s="1"/>
  <c r="V1133" i="1"/>
  <c r="AI1133" i="1" s="1"/>
  <c r="N1133" i="1"/>
  <c r="AA1133" i="1" s="1"/>
  <c r="U1133" i="1"/>
  <c r="AH1133" i="1" s="1"/>
  <c r="M1133" i="1"/>
  <c r="Z1133" i="1" s="1"/>
  <c r="V971" i="1"/>
  <c r="AI971" i="1" s="1"/>
  <c r="U971" i="1"/>
  <c r="AH971" i="1" s="1"/>
  <c r="T971" i="1"/>
  <c r="AG971" i="1" s="1"/>
  <c r="S971" i="1"/>
  <c r="AF971" i="1" s="1"/>
  <c r="R971" i="1"/>
  <c r="AE971" i="1" s="1"/>
  <c r="V1154" i="1"/>
  <c r="AI1154" i="1" s="1"/>
  <c r="U1154" i="1"/>
  <c r="AH1154" i="1" s="1"/>
  <c r="T1154" i="1"/>
  <c r="AG1154" i="1" s="1"/>
  <c r="S1154" i="1"/>
  <c r="AF1154" i="1" s="1"/>
  <c r="R1243" i="1"/>
  <c r="AE1243" i="1" s="1"/>
  <c r="Q1243" i="1"/>
  <c r="AD1243" i="1" s="1"/>
  <c r="V1243" i="1"/>
  <c r="AI1243" i="1" s="1"/>
  <c r="U1243" i="1"/>
  <c r="AH1243" i="1" s="1"/>
  <c r="T1243" i="1"/>
  <c r="AG1243" i="1" s="1"/>
  <c r="S1243" i="1"/>
  <c r="AF1243" i="1" s="1"/>
  <c r="O1317" i="1"/>
  <c r="AB1317" i="1" s="1"/>
  <c r="V1317" i="1"/>
  <c r="AI1317" i="1" s="1"/>
  <c r="N1317" i="1"/>
  <c r="AA1317" i="1" s="1"/>
  <c r="U1317" i="1"/>
  <c r="AH1317" i="1" s="1"/>
  <c r="M1317" i="1"/>
  <c r="Z1317" i="1" s="1"/>
  <c r="T1317" i="1"/>
  <c r="AG1317" i="1" s="1"/>
  <c r="S1317" i="1"/>
  <c r="AF1317" i="1" s="1"/>
  <c r="R1317" i="1"/>
  <c r="AE1317" i="1" s="1"/>
  <c r="Q1317" i="1"/>
  <c r="AD1317" i="1" s="1"/>
  <c r="P1317" i="1"/>
  <c r="AC1317" i="1" s="1"/>
  <c r="R1207" i="1"/>
  <c r="AE1207" i="1" s="1"/>
  <c r="Q1207" i="1"/>
  <c r="AD1207" i="1" s="1"/>
  <c r="V1207" i="1"/>
  <c r="AI1207" i="1" s="1"/>
  <c r="U1207" i="1"/>
  <c r="AH1207" i="1" s="1"/>
  <c r="T1207" i="1"/>
  <c r="AG1207" i="1" s="1"/>
  <c r="S1207" i="1"/>
  <c r="AF1207" i="1" s="1"/>
  <c r="J1395" i="1"/>
  <c r="J1435" i="1"/>
  <c r="J1483" i="1"/>
  <c r="J1563" i="1"/>
  <c r="J1275" i="1"/>
  <c r="J1482" i="1"/>
  <c r="J1562" i="1"/>
  <c r="J1489" i="1"/>
  <c r="V1342" i="1"/>
  <c r="AI1342" i="1" s="1"/>
  <c r="N1342" i="1"/>
  <c r="AA1342" i="1" s="1"/>
  <c r="U1342" i="1"/>
  <c r="AH1342" i="1" s="1"/>
  <c r="M1342" i="1"/>
  <c r="Z1342" i="1" s="1"/>
  <c r="S1342" i="1"/>
  <c r="AF1342" i="1" s="1"/>
  <c r="R1342" i="1"/>
  <c r="AE1342" i="1" s="1"/>
  <c r="Q1342" i="1"/>
  <c r="AD1342" i="1" s="1"/>
  <c r="T1342" i="1"/>
  <c r="AG1342" i="1" s="1"/>
  <c r="P1342" i="1"/>
  <c r="AC1342" i="1" s="1"/>
  <c r="O1342" i="1"/>
  <c r="AB1342" i="1" s="1"/>
  <c r="L1342" i="1"/>
  <c r="Y1342" i="1" s="1"/>
  <c r="J1651" i="1"/>
  <c r="J1638" i="1"/>
  <c r="J1624" i="1"/>
  <c r="J1642" i="1"/>
  <c r="U4" i="1"/>
  <c r="AH4" i="1" s="1"/>
  <c r="M4" i="1"/>
  <c r="Z4" i="1" s="1"/>
  <c r="T4" i="1"/>
  <c r="AG4" i="1" s="1"/>
  <c r="Q4" i="1"/>
  <c r="AD4" i="1" s="1"/>
  <c r="O4" i="1"/>
  <c r="AB4" i="1" s="1"/>
  <c r="V4" i="1"/>
  <c r="AI4" i="1" s="1"/>
  <c r="S4" i="1"/>
  <c r="AF4" i="1" s="1"/>
  <c r="R4" i="1"/>
  <c r="AE4" i="1" s="1"/>
  <c r="P4" i="1"/>
  <c r="AC4" i="1" s="1"/>
  <c r="N4" i="1"/>
  <c r="AA4" i="1" s="1"/>
  <c r="J12" i="1"/>
  <c r="J28" i="1"/>
  <c r="Q21" i="1"/>
  <c r="AD21" i="1" s="1"/>
  <c r="U21" i="1"/>
  <c r="AH21" i="1" s="1"/>
  <c r="S21" i="1"/>
  <c r="AF21" i="1" s="1"/>
  <c r="T21" i="1"/>
  <c r="AG21" i="1" s="1"/>
  <c r="R21" i="1"/>
  <c r="AE21" i="1" s="1"/>
  <c r="V21" i="1"/>
  <c r="AI21" i="1" s="1"/>
  <c r="V34" i="1"/>
  <c r="AI34" i="1" s="1"/>
  <c r="U34" i="1"/>
  <c r="AH34" i="1" s="1"/>
  <c r="T34" i="1"/>
  <c r="AG34" i="1" s="1"/>
  <c r="S34" i="1"/>
  <c r="AF34" i="1" s="1"/>
  <c r="R34" i="1"/>
  <c r="AE34" i="1" s="1"/>
  <c r="Q34" i="1"/>
  <c r="AD34" i="1" s="1"/>
  <c r="S175" i="1"/>
  <c r="AF175" i="1" s="1"/>
  <c r="Q175" i="1"/>
  <c r="AD175" i="1" s="1"/>
  <c r="V175" i="1"/>
  <c r="AI175" i="1" s="1"/>
  <c r="U175" i="1"/>
  <c r="AH175" i="1" s="1"/>
  <c r="T175" i="1"/>
  <c r="AG175" i="1" s="1"/>
  <c r="R175" i="1"/>
  <c r="AE175" i="1" s="1"/>
  <c r="P175" i="1"/>
  <c r="AC175" i="1" s="1"/>
  <c r="O175" i="1"/>
  <c r="AB175" i="1" s="1"/>
  <c r="S191" i="1"/>
  <c r="AF191" i="1" s="1"/>
  <c r="T191" i="1"/>
  <c r="AG191" i="1" s="1"/>
  <c r="R191" i="1"/>
  <c r="AE191" i="1" s="1"/>
  <c r="U191" i="1"/>
  <c r="AH191" i="1" s="1"/>
  <c r="V191" i="1"/>
  <c r="AI191" i="1" s="1"/>
  <c r="R143" i="1"/>
  <c r="AE143" i="1" s="1"/>
  <c r="V143" i="1"/>
  <c r="AI143" i="1" s="1"/>
  <c r="U143" i="1"/>
  <c r="AH143" i="1" s="1"/>
  <c r="S143" i="1"/>
  <c r="AF143" i="1" s="1"/>
  <c r="T143" i="1"/>
  <c r="AG143" i="1" s="1"/>
  <c r="V157" i="1"/>
  <c r="AI157" i="1" s="1"/>
  <c r="U157" i="1"/>
  <c r="AH157" i="1" s="1"/>
  <c r="T157" i="1"/>
  <c r="AG157" i="1" s="1"/>
  <c r="J285" i="1"/>
  <c r="T287" i="1" s="1"/>
  <c r="AG287" i="1" s="1"/>
  <c r="V293" i="1"/>
  <c r="AI293" i="1" s="1"/>
  <c r="U293" i="1"/>
  <c r="AH293" i="1" s="1"/>
  <c r="T293" i="1"/>
  <c r="AG293" i="1" s="1"/>
  <c r="S293" i="1"/>
  <c r="AF293" i="1" s="1"/>
  <c r="R293" i="1"/>
  <c r="AE293" i="1" s="1"/>
  <c r="Q293" i="1"/>
  <c r="AD293" i="1" s="1"/>
  <c r="P293" i="1"/>
  <c r="AC293" i="1" s="1"/>
  <c r="V356" i="1"/>
  <c r="AI356" i="1" s="1"/>
  <c r="N356" i="1"/>
  <c r="AA356" i="1" s="1"/>
  <c r="T356" i="1"/>
  <c r="AG356" i="1" s="1"/>
  <c r="R356" i="1"/>
  <c r="AE356" i="1" s="1"/>
  <c r="Q356" i="1"/>
  <c r="AD356" i="1" s="1"/>
  <c r="O356" i="1"/>
  <c r="AB356" i="1" s="1"/>
  <c r="U356" i="1"/>
  <c r="AH356" i="1" s="1"/>
  <c r="S356" i="1"/>
  <c r="AF356" i="1" s="1"/>
  <c r="P356" i="1"/>
  <c r="AC356" i="1" s="1"/>
  <c r="J486" i="1"/>
  <c r="V378" i="1"/>
  <c r="AI378" i="1" s="1"/>
  <c r="U704" i="1"/>
  <c r="AH704" i="1" s="1"/>
  <c r="M704" i="1"/>
  <c r="Z704" i="1" s="1"/>
  <c r="S704" i="1"/>
  <c r="AF704" i="1" s="1"/>
  <c r="K704" i="1"/>
  <c r="X704" i="1" s="1"/>
  <c r="Q704" i="1"/>
  <c r="AD704" i="1" s="1"/>
  <c r="P704" i="1"/>
  <c r="AC704" i="1" s="1"/>
  <c r="V704" i="1"/>
  <c r="AI704" i="1" s="1"/>
  <c r="N704" i="1"/>
  <c r="AA704" i="1" s="1"/>
  <c r="T704" i="1"/>
  <c r="AG704" i="1" s="1"/>
  <c r="R704" i="1"/>
  <c r="AE704" i="1" s="1"/>
  <c r="O704" i="1"/>
  <c r="AB704" i="1" s="1"/>
  <c r="L704" i="1"/>
  <c r="Y704" i="1" s="1"/>
  <c r="Q709" i="1"/>
  <c r="AD709" i="1" s="1"/>
  <c r="U709" i="1"/>
  <c r="AH709" i="1" s="1"/>
  <c r="T709" i="1"/>
  <c r="AG709" i="1" s="1"/>
  <c r="R709" i="1"/>
  <c r="AE709" i="1" s="1"/>
  <c r="V709" i="1"/>
  <c r="AI709" i="1" s="1"/>
  <c r="S709" i="1"/>
  <c r="AF709" i="1" s="1"/>
  <c r="P709" i="1"/>
  <c r="AC709" i="1" s="1"/>
  <c r="U722" i="1"/>
  <c r="AH722" i="1" s="1"/>
  <c r="S722" i="1"/>
  <c r="AF722" i="1" s="1"/>
  <c r="Q722" i="1"/>
  <c r="AD722" i="1" s="1"/>
  <c r="P722" i="1"/>
  <c r="AC722" i="1" s="1"/>
  <c r="V722" i="1"/>
  <c r="AI722" i="1" s="1"/>
  <c r="T722" i="1"/>
  <c r="AG722" i="1" s="1"/>
  <c r="R722" i="1"/>
  <c r="AE722" i="1" s="1"/>
  <c r="V807" i="1"/>
  <c r="AI807" i="1" s="1"/>
  <c r="U807" i="1"/>
  <c r="AH807" i="1" s="1"/>
  <c r="U812" i="1"/>
  <c r="AH812" i="1" s="1"/>
  <c r="M812" i="1"/>
  <c r="Z812" i="1" s="1"/>
  <c r="T812" i="1"/>
  <c r="AG812" i="1" s="1"/>
  <c r="L812" i="1"/>
  <c r="Y812" i="1" s="1"/>
  <c r="S812" i="1"/>
  <c r="AF812" i="1" s="1"/>
  <c r="K812" i="1"/>
  <c r="X812" i="1" s="1"/>
  <c r="R812" i="1"/>
  <c r="AE812" i="1" s="1"/>
  <c r="Q812" i="1"/>
  <c r="AD812" i="1" s="1"/>
  <c r="P812" i="1"/>
  <c r="AC812" i="1" s="1"/>
  <c r="V812" i="1"/>
  <c r="AI812" i="1" s="1"/>
  <c r="N812" i="1"/>
  <c r="AA812" i="1" s="1"/>
  <c r="O812" i="1"/>
  <c r="AB812" i="1" s="1"/>
  <c r="U870" i="1"/>
  <c r="AH870" i="1" s="1"/>
  <c r="V870" i="1"/>
  <c r="AI870" i="1" s="1"/>
  <c r="Q793" i="1"/>
  <c r="AD793" i="1" s="1"/>
  <c r="P793" i="1"/>
  <c r="AC793" i="1" s="1"/>
  <c r="O793" i="1"/>
  <c r="AB793" i="1" s="1"/>
  <c r="V793" i="1"/>
  <c r="AI793" i="1" s="1"/>
  <c r="N793" i="1"/>
  <c r="AA793" i="1" s="1"/>
  <c r="U793" i="1"/>
  <c r="AH793" i="1" s="1"/>
  <c r="M793" i="1"/>
  <c r="Z793" i="1" s="1"/>
  <c r="T793" i="1"/>
  <c r="AG793" i="1" s="1"/>
  <c r="L793" i="1"/>
  <c r="Y793" i="1" s="1"/>
  <c r="R793" i="1"/>
  <c r="AE793" i="1" s="1"/>
  <c r="S793" i="1"/>
  <c r="AF793" i="1" s="1"/>
  <c r="K793" i="1"/>
  <c r="X793" i="1" s="1"/>
  <c r="J876" i="1"/>
  <c r="V114" i="1"/>
  <c r="AI114" i="1" s="1"/>
  <c r="U114" i="1"/>
  <c r="AH114" i="1" s="1"/>
  <c r="T114" i="1"/>
  <c r="AG114" i="1" s="1"/>
  <c r="S114" i="1"/>
  <c r="AF114" i="1" s="1"/>
  <c r="R114" i="1"/>
  <c r="AE114" i="1" s="1"/>
  <c r="V158" i="1"/>
  <c r="AI158" i="1" s="1"/>
  <c r="N158" i="1"/>
  <c r="AA158" i="1" s="1"/>
  <c r="U158" i="1"/>
  <c r="AH158" i="1" s="1"/>
  <c r="M158" i="1"/>
  <c r="Z158" i="1" s="1"/>
  <c r="T158" i="1"/>
  <c r="AG158" i="1" s="1"/>
  <c r="L158" i="1"/>
  <c r="Y158" i="1" s="1"/>
  <c r="S158" i="1"/>
  <c r="AF158" i="1" s="1"/>
  <c r="K158" i="1"/>
  <c r="X158" i="1" s="1"/>
  <c r="R158" i="1"/>
  <c r="AE158" i="1" s="1"/>
  <c r="Q158" i="1"/>
  <c r="AD158" i="1" s="1"/>
  <c r="O158" i="1"/>
  <c r="AB158" i="1" s="1"/>
  <c r="P158" i="1"/>
  <c r="AC158" i="1" s="1"/>
  <c r="R135" i="1"/>
  <c r="AE135" i="1" s="1"/>
  <c r="Q135" i="1"/>
  <c r="AD135" i="1" s="1"/>
  <c r="P135" i="1"/>
  <c r="AC135" i="1" s="1"/>
  <c r="O135" i="1"/>
  <c r="AB135" i="1" s="1"/>
  <c r="V135" i="1"/>
  <c r="AI135" i="1" s="1"/>
  <c r="N135" i="1"/>
  <c r="AA135" i="1" s="1"/>
  <c r="U135" i="1"/>
  <c r="AH135" i="1" s="1"/>
  <c r="S135" i="1"/>
  <c r="AF135" i="1" s="1"/>
  <c r="T135" i="1"/>
  <c r="AG135" i="1" s="1"/>
  <c r="S201" i="1"/>
  <c r="AF201" i="1" s="1"/>
  <c r="Q201" i="1"/>
  <c r="AD201" i="1" s="1"/>
  <c r="O201" i="1"/>
  <c r="AB201" i="1" s="1"/>
  <c r="V201" i="1"/>
  <c r="AI201" i="1" s="1"/>
  <c r="U201" i="1"/>
  <c r="AH201" i="1" s="1"/>
  <c r="T201" i="1"/>
  <c r="AG201" i="1" s="1"/>
  <c r="P201" i="1"/>
  <c r="AC201" i="1" s="1"/>
  <c r="R201" i="1"/>
  <c r="AE201" i="1" s="1"/>
  <c r="U204" i="1"/>
  <c r="AH204" i="1" s="1"/>
  <c r="S204" i="1"/>
  <c r="AF204" i="1" s="1"/>
  <c r="V204" i="1"/>
  <c r="AI204" i="1" s="1"/>
  <c r="R204" i="1"/>
  <c r="AE204" i="1" s="1"/>
  <c r="T204" i="1"/>
  <c r="AG204" i="1" s="1"/>
  <c r="R280" i="1"/>
  <c r="AE280" i="1" s="1"/>
  <c r="Q280" i="1"/>
  <c r="AD280" i="1" s="1"/>
  <c r="P280" i="1"/>
  <c r="AC280" i="1" s="1"/>
  <c r="V280" i="1"/>
  <c r="AI280" i="1" s="1"/>
  <c r="U280" i="1"/>
  <c r="AH280" i="1" s="1"/>
  <c r="S280" i="1"/>
  <c r="AF280" i="1" s="1"/>
  <c r="T280" i="1"/>
  <c r="AG280" i="1" s="1"/>
  <c r="V360" i="1"/>
  <c r="AI360" i="1" s="1"/>
  <c r="T360" i="1"/>
  <c r="AG360" i="1" s="1"/>
  <c r="R360" i="1"/>
  <c r="AE360" i="1" s="1"/>
  <c r="S360" i="1"/>
  <c r="AF360" i="1" s="1"/>
  <c r="U360" i="1"/>
  <c r="AH360" i="1" s="1"/>
  <c r="J346" i="1"/>
  <c r="P347" i="1" s="1"/>
  <c r="AC347" i="1" s="1"/>
  <c r="V479" i="1"/>
  <c r="AI479" i="1" s="1"/>
  <c r="U479" i="1"/>
  <c r="AH479" i="1" s="1"/>
  <c r="T479" i="1"/>
  <c r="AG479" i="1" s="1"/>
  <c r="V465" i="1"/>
  <c r="AI465" i="1" s="1"/>
  <c r="U465" i="1"/>
  <c r="AH465" i="1" s="1"/>
  <c r="S465" i="1"/>
  <c r="AF465" i="1" s="1"/>
  <c r="T465" i="1"/>
  <c r="AG465" i="1" s="1"/>
  <c r="R399" i="1"/>
  <c r="AE399" i="1" s="1"/>
  <c r="V399" i="1"/>
  <c r="AI399" i="1" s="1"/>
  <c r="U399" i="1"/>
  <c r="AH399" i="1" s="1"/>
  <c r="S399" i="1"/>
  <c r="AF399" i="1" s="1"/>
  <c r="T399" i="1"/>
  <c r="AG399" i="1" s="1"/>
  <c r="V516" i="1"/>
  <c r="AI516" i="1" s="1"/>
  <c r="T516" i="1"/>
  <c r="AG516" i="1" s="1"/>
  <c r="S516" i="1"/>
  <c r="AF516" i="1" s="1"/>
  <c r="R516" i="1"/>
  <c r="AE516" i="1" s="1"/>
  <c r="U516" i="1"/>
  <c r="AH516" i="1" s="1"/>
  <c r="S654" i="1"/>
  <c r="AF654" i="1" s="1"/>
  <c r="R654" i="1"/>
  <c r="AE654" i="1" s="1"/>
  <c r="Q654" i="1"/>
  <c r="AD654" i="1" s="1"/>
  <c r="P654" i="1"/>
  <c r="AC654" i="1" s="1"/>
  <c r="O654" i="1"/>
  <c r="AB654" i="1" s="1"/>
  <c r="V654" i="1"/>
  <c r="AI654" i="1" s="1"/>
  <c r="N654" i="1"/>
  <c r="AA654" i="1" s="1"/>
  <c r="T654" i="1"/>
  <c r="AG654" i="1" s="1"/>
  <c r="U654" i="1"/>
  <c r="AH654" i="1" s="1"/>
  <c r="M654" i="1"/>
  <c r="Z654" i="1" s="1"/>
  <c r="U712" i="1"/>
  <c r="AH712" i="1" s="1"/>
  <c r="S712" i="1"/>
  <c r="AF712" i="1" s="1"/>
  <c r="Q712" i="1"/>
  <c r="AD712" i="1" s="1"/>
  <c r="V712" i="1"/>
  <c r="AI712" i="1" s="1"/>
  <c r="R712" i="1"/>
  <c r="AE712" i="1" s="1"/>
  <c r="T712" i="1"/>
  <c r="AG712" i="1" s="1"/>
  <c r="Q717" i="1"/>
  <c r="AD717" i="1" s="1"/>
  <c r="O717" i="1"/>
  <c r="AB717" i="1" s="1"/>
  <c r="U717" i="1"/>
  <c r="AH717" i="1" s="1"/>
  <c r="M717" i="1"/>
  <c r="Z717" i="1" s="1"/>
  <c r="T717" i="1"/>
  <c r="AG717" i="1" s="1"/>
  <c r="L717" i="1"/>
  <c r="Y717" i="1" s="1"/>
  <c r="R717" i="1"/>
  <c r="AE717" i="1" s="1"/>
  <c r="S717" i="1"/>
  <c r="AF717" i="1" s="1"/>
  <c r="P717" i="1"/>
  <c r="AC717" i="1" s="1"/>
  <c r="N717" i="1"/>
  <c r="AA717" i="1" s="1"/>
  <c r="K717" i="1"/>
  <c r="X717" i="1" s="1"/>
  <c r="V717" i="1"/>
  <c r="AI717" i="1" s="1"/>
  <c r="V741" i="1"/>
  <c r="AI741" i="1" s="1"/>
  <c r="Q719" i="1"/>
  <c r="AD719" i="1" s="1"/>
  <c r="O719" i="1"/>
  <c r="AB719" i="1" s="1"/>
  <c r="U719" i="1"/>
  <c r="AH719" i="1" s="1"/>
  <c r="M719" i="1"/>
  <c r="Z719" i="1" s="1"/>
  <c r="T719" i="1"/>
  <c r="AG719" i="1" s="1"/>
  <c r="R719" i="1"/>
  <c r="AE719" i="1" s="1"/>
  <c r="P719" i="1"/>
  <c r="AC719" i="1" s="1"/>
  <c r="N719" i="1"/>
  <c r="AA719" i="1" s="1"/>
  <c r="S719" i="1"/>
  <c r="AF719" i="1" s="1"/>
  <c r="V719" i="1"/>
  <c r="AI719" i="1" s="1"/>
  <c r="U726" i="1"/>
  <c r="AH726" i="1" s="1"/>
  <c r="T726" i="1"/>
  <c r="AG726" i="1" s="1"/>
  <c r="V726" i="1"/>
  <c r="AI726" i="1" s="1"/>
  <c r="U810" i="1"/>
  <c r="AH810" i="1" s="1"/>
  <c r="M810" i="1"/>
  <c r="Z810" i="1" s="1"/>
  <c r="T810" i="1"/>
  <c r="AG810" i="1" s="1"/>
  <c r="L810" i="1"/>
  <c r="Y810" i="1" s="1"/>
  <c r="S810" i="1"/>
  <c r="AF810" i="1" s="1"/>
  <c r="K810" i="1"/>
  <c r="X810" i="1" s="1"/>
  <c r="R810" i="1"/>
  <c r="AE810" i="1" s="1"/>
  <c r="Q810" i="1"/>
  <c r="AD810" i="1" s="1"/>
  <c r="P810" i="1"/>
  <c r="AC810" i="1" s="1"/>
  <c r="V810" i="1"/>
  <c r="AI810" i="1" s="1"/>
  <c r="N810" i="1"/>
  <c r="AA810" i="1" s="1"/>
  <c r="O810" i="1"/>
  <c r="AB810" i="1" s="1"/>
  <c r="Q843" i="1"/>
  <c r="AD843" i="1" s="1"/>
  <c r="P843" i="1"/>
  <c r="AC843" i="1" s="1"/>
  <c r="O843" i="1"/>
  <c r="AB843" i="1" s="1"/>
  <c r="V843" i="1"/>
  <c r="AI843" i="1" s="1"/>
  <c r="N843" i="1"/>
  <c r="AA843" i="1" s="1"/>
  <c r="U843" i="1"/>
  <c r="AH843" i="1" s="1"/>
  <c r="T843" i="1"/>
  <c r="AG843" i="1" s="1"/>
  <c r="R843" i="1"/>
  <c r="AE843" i="1" s="1"/>
  <c r="S843" i="1"/>
  <c r="AF843" i="1" s="1"/>
  <c r="U820" i="1"/>
  <c r="AH820" i="1" s="1"/>
  <c r="M820" i="1"/>
  <c r="Z820" i="1" s="1"/>
  <c r="T820" i="1"/>
  <c r="AG820" i="1" s="1"/>
  <c r="L820" i="1"/>
  <c r="Y820" i="1" s="1"/>
  <c r="S820" i="1"/>
  <c r="AF820" i="1" s="1"/>
  <c r="K820" i="1"/>
  <c r="X820" i="1" s="1"/>
  <c r="R820" i="1"/>
  <c r="AE820" i="1" s="1"/>
  <c r="Q820" i="1"/>
  <c r="AD820" i="1" s="1"/>
  <c r="P820" i="1"/>
  <c r="AC820" i="1" s="1"/>
  <c r="V820" i="1"/>
  <c r="AI820" i="1" s="1"/>
  <c r="N820" i="1"/>
  <c r="AA820" i="1" s="1"/>
  <c r="O820" i="1"/>
  <c r="AB820" i="1" s="1"/>
  <c r="V753" i="1"/>
  <c r="AI753" i="1" s="1"/>
  <c r="U753" i="1"/>
  <c r="AH753" i="1" s="1"/>
  <c r="T753" i="1"/>
  <c r="AG753" i="1" s="1"/>
  <c r="Q878" i="1"/>
  <c r="AD878" i="1" s="1"/>
  <c r="V878" i="1"/>
  <c r="AI878" i="1" s="1"/>
  <c r="U878" i="1"/>
  <c r="AH878" i="1" s="1"/>
  <c r="T878" i="1"/>
  <c r="AG878" i="1" s="1"/>
  <c r="S878" i="1"/>
  <c r="AF878" i="1" s="1"/>
  <c r="R878" i="1"/>
  <c r="AE878" i="1" s="1"/>
  <c r="P878" i="1"/>
  <c r="AC878" i="1" s="1"/>
  <c r="V932" i="1"/>
  <c r="AI932" i="1" s="1"/>
  <c r="T932" i="1"/>
  <c r="AG932" i="1" s="1"/>
  <c r="U932" i="1"/>
  <c r="AH932" i="1" s="1"/>
  <c r="S932" i="1"/>
  <c r="AF932" i="1" s="1"/>
  <c r="R932" i="1"/>
  <c r="AE932" i="1" s="1"/>
  <c r="U798" i="1"/>
  <c r="AH798" i="1" s="1"/>
  <c r="T798" i="1"/>
  <c r="AG798" i="1" s="1"/>
  <c r="S798" i="1"/>
  <c r="AF798" i="1" s="1"/>
  <c r="R798" i="1"/>
  <c r="AE798" i="1" s="1"/>
  <c r="Q798" i="1"/>
  <c r="AD798" i="1" s="1"/>
  <c r="P798" i="1"/>
  <c r="AC798" i="1" s="1"/>
  <c r="V798" i="1"/>
  <c r="AI798" i="1" s="1"/>
  <c r="N798" i="1"/>
  <c r="AA798" i="1" s="1"/>
  <c r="O798" i="1"/>
  <c r="AB798" i="1" s="1"/>
  <c r="U830" i="1"/>
  <c r="AH830" i="1" s="1"/>
  <c r="T830" i="1"/>
  <c r="AG830" i="1" s="1"/>
  <c r="S830" i="1"/>
  <c r="AF830" i="1" s="1"/>
  <c r="V830" i="1"/>
  <c r="AI830" i="1" s="1"/>
  <c r="U879" i="1"/>
  <c r="AH879" i="1" s="1"/>
  <c r="R879" i="1"/>
  <c r="AE879" i="1" s="1"/>
  <c r="V879" i="1"/>
  <c r="AI879" i="1" s="1"/>
  <c r="T879" i="1"/>
  <c r="AG879" i="1" s="1"/>
  <c r="S879" i="1"/>
  <c r="AF879" i="1" s="1"/>
  <c r="Q879" i="1"/>
  <c r="AD879" i="1" s="1"/>
  <c r="V963" i="1"/>
  <c r="AI963" i="1" s="1"/>
  <c r="U963" i="1"/>
  <c r="AH963" i="1" s="1"/>
  <c r="T963" i="1"/>
  <c r="AG963" i="1" s="1"/>
  <c r="S963" i="1"/>
  <c r="AF963" i="1" s="1"/>
  <c r="P979" i="1"/>
  <c r="AC979" i="1" s="1"/>
  <c r="O979" i="1"/>
  <c r="AB979" i="1" s="1"/>
  <c r="V979" i="1"/>
  <c r="AI979" i="1" s="1"/>
  <c r="N979" i="1"/>
  <c r="AA979" i="1" s="1"/>
  <c r="U979" i="1"/>
  <c r="AH979" i="1" s="1"/>
  <c r="M979" i="1"/>
  <c r="Z979" i="1" s="1"/>
  <c r="T979" i="1"/>
  <c r="AG979" i="1" s="1"/>
  <c r="S979" i="1"/>
  <c r="AF979" i="1" s="1"/>
  <c r="Q979" i="1"/>
  <c r="AD979" i="1" s="1"/>
  <c r="R979" i="1"/>
  <c r="AE979" i="1" s="1"/>
  <c r="Q892" i="1"/>
  <c r="AD892" i="1" s="1"/>
  <c r="V892" i="1"/>
  <c r="AI892" i="1" s="1"/>
  <c r="T892" i="1"/>
  <c r="AG892" i="1" s="1"/>
  <c r="U892" i="1"/>
  <c r="AH892" i="1" s="1"/>
  <c r="S892" i="1"/>
  <c r="AF892" i="1" s="1"/>
  <c r="R892" i="1"/>
  <c r="AE892" i="1" s="1"/>
  <c r="P892" i="1"/>
  <c r="AC892" i="1" s="1"/>
  <c r="V857" i="1"/>
  <c r="AI857" i="1" s="1"/>
  <c r="U857" i="1"/>
  <c r="AH857" i="1" s="1"/>
  <c r="V946" i="1"/>
  <c r="AI946" i="1" s="1"/>
  <c r="T946" i="1"/>
  <c r="AG946" i="1" s="1"/>
  <c r="U946" i="1"/>
  <c r="AH946" i="1" s="1"/>
  <c r="S946" i="1"/>
  <c r="AF946" i="1" s="1"/>
  <c r="T1137" i="1"/>
  <c r="AG1137" i="1" s="1"/>
  <c r="L1137" i="1"/>
  <c r="Y1137" i="1" s="1"/>
  <c r="S1137" i="1"/>
  <c r="AF1137" i="1" s="1"/>
  <c r="K1137" i="1"/>
  <c r="X1137" i="1" s="1"/>
  <c r="R1137" i="1"/>
  <c r="AE1137" i="1" s="1"/>
  <c r="Q1137" i="1"/>
  <c r="AD1137" i="1" s="1"/>
  <c r="P1137" i="1"/>
  <c r="AC1137" i="1" s="1"/>
  <c r="O1137" i="1"/>
  <c r="AB1137" i="1" s="1"/>
  <c r="V1137" i="1"/>
  <c r="AI1137" i="1" s="1"/>
  <c r="N1137" i="1"/>
  <c r="AA1137" i="1" s="1"/>
  <c r="U1137" i="1"/>
  <c r="AH1137" i="1" s="1"/>
  <c r="M1137" i="1"/>
  <c r="Z1137" i="1" s="1"/>
  <c r="V1258" i="1"/>
  <c r="AI1258" i="1" s="1"/>
  <c r="U1258" i="1"/>
  <c r="AH1258" i="1" s="1"/>
  <c r="T1258" i="1"/>
  <c r="AG1258" i="1" s="1"/>
  <c r="S1258" i="1"/>
  <c r="AF1258" i="1" s="1"/>
  <c r="J1102" i="1"/>
  <c r="V1152" i="1"/>
  <c r="AI1152" i="1" s="1"/>
  <c r="U1152" i="1"/>
  <c r="AH1152" i="1" s="1"/>
  <c r="T1152" i="1"/>
  <c r="AG1152" i="1" s="1"/>
  <c r="S1152" i="1"/>
  <c r="AF1152" i="1" s="1"/>
  <c r="R1152" i="1"/>
  <c r="AE1152" i="1" s="1"/>
  <c r="Q1152" i="1"/>
  <c r="AD1152" i="1" s="1"/>
  <c r="V1184" i="1"/>
  <c r="AI1184" i="1" s="1"/>
  <c r="U1184" i="1"/>
  <c r="AH1184" i="1" s="1"/>
  <c r="T1184" i="1"/>
  <c r="AG1184" i="1" s="1"/>
  <c r="S1184" i="1"/>
  <c r="AF1184" i="1" s="1"/>
  <c r="V1216" i="1"/>
  <c r="AI1216" i="1" s="1"/>
  <c r="U1216" i="1"/>
  <c r="AH1216" i="1" s="1"/>
  <c r="T1216" i="1"/>
  <c r="AG1216" i="1" s="1"/>
  <c r="S1216" i="1"/>
  <c r="AF1216" i="1" s="1"/>
  <c r="R1216" i="1"/>
  <c r="AE1216" i="1" s="1"/>
  <c r="Q1216" i="1"/>
  <c r="AD1216" i="1" s="1"/>
  <c r="P1216" i="1"/>
  <c r="AC1216" i="1" s="1"/>
  <c r="J1110" i="1"/>
  <c r="L1111" i="1" s="1"/>
  <c r="Y1111" i="1" s="1"/>
  <c r="R1227" i="1"/>
  <c r="AE1227" i="1" s="1"/>
  <c r="Q1227" i="1"/>
  <c r="AD1227" i="1" s="1"/>
  <c r="P1227" i="1"/>
  <c r="AC1227" i="1" s="1"/>
  <c r="O1227" i="1"/>
  <c r="AB1227" i="1" s="1"/>
  <c r="V1227" i="1"/>
  <c r="AI1227" i="1" s="1"/>
  <c r="N1227" i="1"/>
  <c r="AA1227" i="1" s="1"/>
  <c r="U1227" i="1"/>
  <c r="AH1227" i="1" s="1"/>
  <c r="T1227" i="1"/>
  <c r="AG1227" i="1" s="1"/>
  <c r="S1227" i="1"/>
  <c r="AF1227" i="1" s="1"/>
  <c r="J1292" i="1"/>
  <c r="V1344" i="1"/>
  <c r="AI1344" i="1" s="1"/>
  <c r="N1344" i="1"/>
  <c r="AA1344" i="1" s="1"/>
  <c r="U1344" i="1"/>
  <c r="AH1344" i="1" s="1"/>
  <c r="S1344" i="1"/>
  <c r="AF1344" i="1" s="1"/>
  <c r="R1344" i="1"/>
  <c r="AE1344" i="1" s="1"/>
  <c r="Q1344" i="1"/>
  <c r="AD1344" i="1" s="1"/>
  <c r="P1344" i="1"/>
  <c r="AC1344" i="1" s="1"/>
  <c r="O1344" i="1"/>
  <c r="AB1344" i="1" s="1"/>
  <c r="T1344" i="1"/>
  <c r="AG1344" i="1" s="1"/>
  <c r="V1183" i="1"/>
  <c r="AI1183" i="1" s="1"/>
  <c r="U1183" i="1"/>
  <c r="AH1183" i="1" s="1"/>
  <c r="T1183" i="1"/>
  <c r="AG1183" i="1" s="1"/>
  <c r="S1183" i="1"/>
  <c r="AF1183" i="1" s="1"/>
  <c r="V1246" i="1"/>
  <c r="AI1246" i="1" s="1"/>
  <c r="U1246" i="1"/>
  <c r="AH1246" i="1" s="1"/>
  <c r="T1246" i="1"/>
  <c r="AG1246" i="1" s="1"/>
  <c r="S1246" i="1"/>
  <c r="AF1246" i="1" s="1"/>
  <c r="O1246" i="1"/>
  <c r="AB1246" i="1" s="1"/>
  <c r="V1333" i="1"/>
  <c r="AI1333" i="1" s="1"/>
  <c r="U1333" i="1"/>
  <c r="AH1333" i="1" s="1"/>
  <c r="T1333" i="1"/>
  <c r="AG1333" i="1" s="1"/>
  <c r="S1333" i="1"/>
  <c r="AF1333" i="1" s="1"/>
  <c r="R1333" i="1"/>
  <c r="AE1333" i="1" s="1"/>
  <c r="Q1333" i="1"/>
  <c r="AD1333" i="1" s="1"/>
  <c r="P1333" i="1"/>
  <c r="AC1333" i="1" s="1"/>
  <c r="R1193" i="1"/>
  <c r="AE1193" i="1" s="1"/>
  <c r="Q1193" i="1"/>
  <c r="AD1193" i="1" s="1"/>
  <c r="P1193" i="1"/>
  <c r="AC1193" i="1" s="1"/>
  <c r="O1193" i="1"/>
  <c r="AB1193" i="1" s="1"/>
  <c r="V1193" i="1"/>
  <c r="AI1193" i="1" s="1"/>
  <c r="N1193" i="1"/>
  <c r="AA1193" i="1" s="1"/>
  <c r="U1193" i="1"/>
  <c r="AH1193" i="1" s="1"/>
  <c r="T1193" i="1"/>
  <c r="AG1193" i="1" s="1"/>
  <c r="S1193" i="1"/>
  <c r="AF1193" i="1" s="1"/>
  <c r="V1337" i="1"/>
  <c r="AI1337" i="1" s="1"/>
  <c r="U1337" i="1"/>
  <c r="AH1337" i="1" s="1"/>
  <c r="T1337" i="1"/>
  <c r="AG1337" i="1" s="1"/>
  <c r="V1376" i="1"/>
  <c r="AI1376" i="1" s="1"/>
  <c r="U1376" i="1"/>
  <c r="AH1376" i="1" s="1"/>
  <c r="T1376" i="1"/>
  <c r="AG1376" i="1" s="1"/>
  <c r="V1265" i="1"/>
  <c r="AI1265" i="1" s="1"/>
  <c r="N1265" i="1"/>
  <c r="AA1265" i="1" s="1"/>
  <c r="U1265" i="1"/>
  <c r="AH1265" i="1" s="1"/>
  <c r="M1265" i="1"/>
  <c r="Z1265" i="1" s="1"/>
  <c r="S1265" i="1"/>
  <c r="AF1265" i="1" s="1"/>
  <c r="R1265" i="1"/>
  <c r="AE1265" i="1" s="1"/>
  <c r="Q1265" i="1"/>
  <c r="AD1265" i="1" s="1"/>
  <c r="T1265" i="1"/>
  <c r="AG1265" i="1" s="1"/>
  <c r="P1265" i="1"/>
  <c r="AC1265" i="1" s="1"/>
  <c r="O1265" i="1"/>
  <c r="AB1265" i="1" s="1"/>
  <c r="V1214" i="1"/>
  <c r="AI1214" i="1" s="1"/>
  <c r="N1214" i="1"/>
  <c r="AA1214" i="1" s="1"/>
  <c r="U1214" i="1"/>
  <c r="AH1214" i="1" s="1"/>
  <c r="T1214" i="1"/>
  <c r="AG1214" i="1" s="1"/>
  <c r="S1214" i="1"/>
  <c r="AF1214" i="1" s="1"/>
  <c r="R1214" i="1"/>
  <c r="AE1214" i="1" s="1"/>
  <c r="Q1214" i="1"/>
  <c r="AD1214" i="1" s="1"/>
  <c r="P1214" i="1"/>
  <c r="AC1214" i="1" s="1"/>
  <c r="O1214" i="1"/>
  <c r="AB1214" i="1" s="1"/>
  <c r="J1078" i="1"/>
  <c r="U160" i="1"/>
  <c r="AH160" i="1" s="1"/>
  <c r="N160" i="1"/>
  <c r="AA160" i="1" s="1"/>
  <c r="V160" i="1"/>
  <c r="AI160" i="1" s="1"/>
  <c r="M160" i="1"/>
  <c r="Z160" i="1" s="1"/>
  <c r="T160" i="1"/>
  <c r="AG160" i="1" s="1"/>
  <c r="S160" i="1"/>
  <c r="AF160" i="1" s="1"/>
  <c r="R160" i="1"/>
  <c r="AE160" i="1" s="1"/>
  <c r="Q160" i="1"/>
  <c r="AD160" i="1" s="1"/>
  <c r="O160" i="1"/>
  <c r="AB160" i="1" s="1"/>
  <c r="P160" i="1"/>
  <c r="AC160" i="1" s="1"/>
  <c r="R405" i="1"/>
  <c r="AE405" i="1" s="1"/>
  <c r="P405" i="1"/>
  <c r="AC405" i="1" s="1"/>
  <c r="V405" i="1"/>
  <c r="AI405" i="1" s="1"/>
  <c r="N405" i="1"/>
  <c r="AA405" i="1" s="1"/>
  <c r="U405" i="1"/>
  <c r="AH405" i="1" s="1"/>
  <c r="M405" i="1"/>
  <c r="Z405" i="1" s="1"/>
  <c r="S405" i="1"/>
  <c r="AF405" i="1" s="1"/>
  <c r="K405" i="1"/>
  <c r="X405" i="1" s="1"/>
  <c r="L405" i="1"/>
  <c r="Y405" i="1" s="1"/>
  <c r="T405" i="1"/>
  <c r="AG405" i="1" s="1"/>
  <c r="O405" i="1"/>
  <c r="AB405" i="1" s="1"/>
  <c r="Q405" i="1"/>
  <c r="AD405" i="1" s="1"/>
  <c r="V116" i="1"/>
  <c r="AI116" i="1" s="1"/>
  <c r="U116" i="1"/>
  <c r="AH116" i="1" s="1"/>
  <c r="T116" i="1"/>
  <c r="AG116" i="1" s="1"/>
  <c r="S116" i="1"/>
  <c r="AF116" i="1" s="1"/>
  <c r="R116" i="1"/>
  <c r="AE116" i="1" s="1"/>
  <c r="U840" i="1"/>
  <c r="AH840" i="1" s="1"/>
  <c r="T840" i="1"/>
  <c r="AG840" i="1" s="1"/>
  <c r="S840" i="1"/>
  <c r="AF840" i="1" s="1"/>
  <c r="R840" i="1"/>
  <c r="AE840" i="1" s="1"/>
  <c r="Q840" i="1"/>
  <c r="AD840" i="1" s="1"/>
  <c r="P840" i="1"/>
  <c r="AC840" i="1" s="1"/>
  <c r="V840" i="1"/>
  <c r="AI840" i="1" s="1"/>
  <c r="N840" i="1"/>
  <c r="AA840" i="1" s="1"/>
  <c r="O840" i="1"/>
  <c r="AB840" i="1" s="1"/>
  <c r="T1155" i="1"/>
  <c r="AG1155" i="1" s="1"/>
  <c r="V1155" i="1"/>
  <c r="AI1155" i="1" s="1"/>
  <c r="U1155" i="1"/>
  <c r="AH1155" i="1" s="1"/>
  <c r="V751" i="1"/>
  <c r="AI751" i="1" s="1"/>
  <c r="U751" i="1"/>
  <c r="AH751" i="1" s="1"/>
  <c r="T751" i="1"/>
  <c r="AG751" i="1" s="1"/>
  <c r="S751" i="1"/>
  <c r="AF751" i="1" s="1"/>
  <c r="P1055" i="1"/>
  <c r="AC1055" i="1" s="1"/>
  <c r="O1055" i="1"/>
  <c r="AB1055" i="1" s="1"/>
  <c r="V1055" i="1"/>
  <c r="AI1055" i="1" s="1"/>
  <c r="N1055" i="1"/>
  <c r="AA1055" i="1" s="1"/>
  <c r="U1055" i="1"/>
  <c r="AH1055" i="1" s="1"/>
  <c r="M1055" i="1"/>
  <c r="Z1055" i="1" s="1"/>
  <c r="T1055" i="1"/>
  <c r="AG1055" i="1" s="1"/>
  <c r="L1055" i="1"/>
  <c r="Y1055" i="1" s="1"/>
  <c r="S1055" i="1"/>
  <c r="AF1055" i="1" s="1"/>
  <c r="K1055" i="1"/>
  <c r="X1055" i="1" s="1"/>
  <c r="R1055" i="1"/>
  <c r="AE1055" i="1" s="1"/>
  <c r="Q1055" i="1"/>
  <c r="AD1055" i="1" s="1"/>
  <c r="J408" i="1"/>
  <c r="U874" i="1"/>
  <c r="AH874" i="1" s="1"/>
  <c r="M874" i="1"/>
  <c r="Z874" i="1" s="1"/>
  <c r="T874" i="1"/>
  <c r="AG874" i="1" s="1"/>
  <c r="L874" i="1"/>
  <c r="Y874" i="1" s="1"/>
  <c r="S874" i="1"/>
  <c r="AF874" i="1" s="1"/>
  <c r="R874" i="1"/>
  <c r="AE874" i="1" s="1"/>
  <c r="Q874" i="1"/>
  <c r="AD874" i="1" s="1"/>
  <c r="P874" i="1"/>
  <c r="AC874" i="1" s="1"/>
  <c r="V874" i="1"/>
  <c r="AI874" i="1" s="1"/>
  <c r="N874" i="1"/>
  <c r="AA874" i="1" s="1"/>
  <c r="O874" i="1"/>
  <c r="AB874" i="1" s="1"/>
  <c r="T1091" i="1"/>
  <c r="AG1091" i="1" s="1"/>
  <c r="S1091" i="1"/>
  <c r="AF1091" i="1" s="1"/>
  <c r="R1091" i="1"/>
  <c r="AE1091" i="1" s="1"/>
  <c r="Q1091" i="1"/>
  <c r="AD1091" i="1" s="1"/>
  <c r="P1091" i="1"/>
  <c r="AC1091" i="1" s="1"/>
  <c r="O1091" i="1"/>
  <c r="AB1091" i="1" s="1"/>
  <c r="V1091" i="1"/>
  <c r="AI1091" i="1" s="1"/>
  <c r="U1091" i="1"/>
  <c r="AH1091" i="1" s="1"/>
  <c r="R1195" i="1"/>
  <c r="AE1195" i="1" s="1"/>
  <c r="Q1195" i="1"/>
  <c r="AD1195" i="1" s="1"/>
  <c r="P1195" i="1"/>
  <c r="AC1195" i="1" s="1"/>
  <c r="O1195" i="1"/>
  <c r="AB1195" i="1" s="1"/>
  <c r="V1195" i="1"/>
  <c r="AI1195" i="1" s="1"/>
  <c r="N1195" i="1"/>
  <c r="AA1195" i="1" s="1"/>
  <c r="U1195" i="1"/>
  <c r="AH1195" i="1" s="1"/>
  <c r="T1195" i="1"/>
  <c r="AG1195" i="1" s="1"/>
  <c r="S1195" i="1"/>
  <c r="AF1195" i="1" s="1"/>
  <c r="O162" i="1"/>
  <c r="AB162" i="1" s="1"/>
  <c r="U162" i="1"/>
  <c r="AH162" i="1" s="1"/>
  <c r="S162" i="1"/>
  <c r="AF162" i="1" s="1"/>
  <c r="R162" i="1"/>
  <c r="AE162" i="1" s="1"/>
  <c r="Q162" i="1"/>
  <c r="AD162" i="1" s="1"/>
  <c r="P162" i="1"/>
  <c r="AC162" i="1" s="1"/>
  <c r="T162" i="1"/>
  <c r="AG162" i="1" s="1"/>
  <c r="V162" i="1"/>
  <c r="AI162" i="1" s="1"/>
  <c r="U852" i="1"/>
  <c r="AH852" i="1" s="1"/>
  <c r="T852" i="1"/>
  <c r="AG852" i="1" s="1"/>
  <c r="S852" i="1"/>
  <c r="AF852" i="1" s="1"/>
  <c r="R852" i="1"/>
  <c r="AE852" i="1" s="1"/>
  <c r="Q852" i="1"/>
  <c r="AD852" i="1" s="1"/>
  <c r="P852" i="1"/>
  <c r="AC852" i="1" s="1"/>
  <c r="V852" i="1"/>
  <c r="AI852" i="1" s="1"/>
  <c r="T1119" i="1"/>
  <c r="AG1119" i="1" s="1"/>
  <c r="V1119" i="1"/>
  <c r="AI1119" i="1" s="1"/>
  <c r="U1119" i="1"/>
  <c r="AH1119" i="1" s="1"/>
  <c r="R1179" i="1"/>
  <c r="AE1179" i="1" s="1"/>
  <c r="V1179" i="1"/>
  <c r="AI1179" i="1" s="1"/>
  <c r="U1179" i="1"/>
  <c r="AH1179" i="1" s="1"/>
  <c r="T1179" i="1"/>
  <c r="AG1179" i="1" s="1"/>
  <c r="S1179" i="1"/>
  <c r="AF1179" i="1" s="1"/>
  <c r="V1269" i="1"/>
  <c r="AI1269" i="1" s="1"/>
  <c r="U1269" i="1"/>
  <c r="AH1269" i="1" s="1"/>
  <c r="S1269" i="1"/>
  <c r="AF1269" i="1" s="1"/>
  <c r="R1269" i="1"/>
  <c r="AE1269" i="1" s="1"/>
  <c r="Q1269" i="1"/>
  <c r="AD1269" i="1" s="1"/>
  <c r="T1269" i="1"/>
  <c r="AG1269" i="1" s="1"/>
  <c r="J721" i="1"/>
  <c r="N723" i="1" s="1"/>
  <c r="AA723" i="1" s="1"/>
  <c r="J1079" i="1"/>
  <c r="P1170" i="1"/>
  <c r="AC1170" i="1" s="1"/>
  <c r="U1170" i="1"/>
  <c r="AH1170" i="1" s="1"/>
  <c r="U732" i="1"/>
  <c r="AH732" i="1" s="1"/>
  <c r="M732" i="1"/>
  <c r="Z732" i="1" s="1"/>
  <c r="T732" i="1"/>
  <c r="AG732" i="1" s="1"/>
  <c r="S732" i="1"/>
  <c r="AF732" i="1" s="1"/>
  <c r="R732" i="1"/>
  <c r="AE732" i="1" s="1"/>
  <c r="Q732" i="1"/>
  <c r="AD732" i="1" s="1"/>
  <c r="P732" i="1"/>
  <c r="AC732" i="1" s="1"/>
  <c r="V732" i="1"/>
  <c r="AI732" i="1" s="1"/>
  <c r="N732" i="1"/>
  <c r="AA732" i="1" s="1"/>
  <c r="O732" i="1"/>
  <c r="AB732" i="1" s="1"/>
  <c r="J742" i="1"/>
  <c r="T740" i="1" s="1"/>
  <c r="AG740" i="1" s="1"/>
  <c r="J855" i="1"/>
  <c r="J9" i="1"/>
  <c r="J235" i="1"/>
  <c r="J220" i="1"/>
  <c r="S222" i="1" s="1"/>
  <c r="AF222" i="1" s="1"/>
  <c r="J306" i="1"/>
  <c r="J309" i="1"/>
  <c r="J50" i="1"/>
  <c r="J82" i="1"/>
  <c r="J179" i="1"/>
  <c r="J195" i="1"/>
  <c r="J232" i="1"/>
  <c r="S233" i="1" s="1"/>
  <c r="AF233" i="1" s="1"/>
  <c r="J223" i="1"/>
  <c r="J241" i="1"/>
  <c r="J392" i="1"/>
  <c r="J494" i="1"/>
  <c r="J448" i="1"/>
  <c r="J112" i="1"/>
  <c r="J93" i="1"/>
  <c r="J25" i="1"/>
  <c r="P22" i="1" s="1"/>
  <c r="AC22" i="1" s="1"/>
  <c r="J98" i="1"/>
  <c r="O104" i="1" s="1"/>
  <c r="AB104" i="1" s="1"/>
  <c r="J111" i="1"/>
  <c r="J218" i="1"/>
  <c r="J243" i="1"/>
  <c r="J290" i="1"/>
  <c r="J300" i="1"/>
  <c r="J308" i="1"/>
  <c r="J316" i="1"/>
  <c r="J317" i="1"/>
  <c r="J354" i="1"/>
  <c r="J365" i="1"/>
  <c r="J351" i="1"/>
  <c r="J348" i="1"/>
  <c r="Q347" i="1" s="1"/>
  <c r="AD347" i="1" s="1"/>
  <c r="J364" i="1"/>
  <c r="J480" i="1"/>
  <c r="R479" i="1" s="1"/>
  <c r="AE479" i="1" s="1"/>
  <c r="J556" i="1"/>
  <c r="J572" i="1"/>
  <c r="J588" i="1"/>
  <c r="J672" i="1"/>
  <c r="J659" i="1"/>
  <c r="J691" i="1"/>
  <c r="J731" i="1"/>
  <c r="K732" i="1" s="1"/>
  <c r="X732" i="1" s="1"/>
  <c r="J914" i="1"/>
  <c r="J917" i="1"/>
  <c r="J989" i="1"/>
  <c r="J997" i="1"/>
  <c r="Q1000" i="1" s="1"/>
  <c r="AD1000" i="1" s="1"/>
  <c r="J1005" i="1"/>
  <c r="J1013" i="1"/>
  <c r="J1021" i="1"/>
  <c r="J1029" i="1"/>
  <c r="J1037" i="1"/>
  <c r="J1045" i="1"/>
  <c r="M1049" i="1" s="1"/>
  <c r="Z1049" i="1" s="1"/>
  <c r="J837" i="1"/>
  <c r="L846" i="1" s="1"/>
  <c r="Y846" i="1" s="1"/>
  <c r="J920" i="1"/>
  <c r="J926" i="1"/>
  <c r="J907" i="1"/>
  <c r="J1270" i="1"/>
  <c r="J1372" i="1"/>
  <c r="J1332" i="1"/>
  <c r="N1337" i="1" s="1"/>
  <c r="AA1337" i="1" s="1"/>
  <c r="J1300" i="1"/>
  <c r="U1301" i="1" s="1"/>
  <c r="AH1301" i="1" s="1"/>
  <c r="I335" i="1"/>
  <c r="J335" i="1" s="1"/>
  <c r="R337" i="1" s="1"/>
  <c r="AE337" i="1" s="1"/>
  <c r="J1115" i="1"/>
  <c r="J1304" i="1"/>
  <c r="J2" i="1"/>
  <c r="J861" i="1"/>
  <c r="K868" i="1" s="1"/>
  <c r="X868" i="1" s="1"/>
  <c r="I1357" i="1"/>
  <c r="J1357" i="1" s="1"/>
  <c r="J1329" i="1"/>
  <c r="J1077" i="1"/>
  <c r="J1075" i="1"/>
  <c r="Q1076" i="1" s="1"/>
  <c r="AD1076" i="1" s="1"/>
  <c r="J1125" i="1"/>
  <c r="J764" i="1"/>
  <c r="J88" i="1"/>
  <c r="J101" i="1"/>
  <c r="P99" i="1" s="1"/>
  <c r="AC99" i="1" s="1"/>
  <c r="J106" i="1"/>
  <c r="J251" i="1"/>
  <c r="J302" i="1"/>
  <c r="J310" i="1"/>
  <c r="J255" i="1"/>
  <c r="J363" i="1"/>
  <c r="J336" i="1"/>
  <c r="J358" i="1"/>
  <c r="J372" i="1"/>
  <c r="J368" i="1"/>
  <c r="J484" i="1"/>
  <c r="J560" i="1"/>
  <c r="J576" i="1"/>
  <c r="J592" i="1"/>
  <c r="J680" i="1"/>
  <c r="J667" i="1"/>
  <c r="J768" i="1"/>
  <c r="J922" i="1"/>
  <c r="J925" i="1"/>
  <c r="J991" i="1"/>
  <c r="J999" i="1"/>
  <c r="J1007" i="1"/>
  <c r="J1015" i="1"/>
  <c r="J1023" i="1"/>
  <c r="J1031" i="1"/>
  <c r="J1039" i="1"/>
  <c r="J1108" i="1"/>
  <c r="K1109" i="1" s="1"/>
  <c r="X1109" i="1" s="1"/>
  <c r="J1116" i="1"/>
  <c r="R1117" i="1" s="1"/>
  <c r="AE1117" i="1" s="1"/>
  <c r="J1098" i="1"/>
  <c r="M1105" i="1" s="1"/>
  <c r="Z1105" i="1" s="1"/>
  <c r="J1156" i="1"/>
  <c r="P1157" i="1" s="1"/>
  <c r="AC1157" i="1" s="1"/>
  <c r="J1410" i="1"/>
  <c r="J1464" i="1"/>
  <c r="J1573" i="1"/>
  <c r="J1257" i="1"/>
  <c r="L1255" i="1" s="1"/>
  <c r="Y1255" i="1" s="1"/>
  <c r="J1402" i="1"/>
  <c r="S1404" i="1" s="1"/>
  <c r="AF1404" i="1" s="1"/>
  <c r="J1454" i="1"/>
  <c r="R1453" i="1" s="1"/>
  <c r="AE1453" i="1" s="1"/>
  <c r="J430" i="1"/>
  <c r="J1069" i="1"/>
  <c r="J1082" i="1"/>
  <c r="J1085" i="1"/>
  <c r="N1090" i="1" s="1"/>
  <c r="AA1090" i="1" s="1"/>
  <c r="I154" i="1"/>
  <c r="J154" i="1" s="1"/>
  <c r="J972" i="1"/>
  <c r="J96" i="1"/>
  <c r="M103" i="1" s="1"/>
  <c r="Z103" i="1" s="1"/>
  <c r="J109" i="1"/>
  <c r="J95" i="1"/>
  <c r="J105" i="1"/>
  <c r="T103" i="1" s="1"/>
  <c r="AG103" i="1" s="1"/>
  <c r="J153" i="1"/>
  <c r="P151" i="1" s="1"/>
  <c r="AC151" i="1" s="1"/>
  <c r="J282" i="1"/>
  <c r="O281" i="1" s="1"/>
  <c r="AB281" i="1" s="1"/>
  <c r="J301" i="1"/>
  <c r="J333" i="1"/>
  <c r="J338" i="1"/>
  <c r="T337" i="1" s="1"/>
  <c r="AG337" i="1" s="1"/>
  <c r="J389" i="1"/>
  <c r="T391" i="1" s="1"/>
  <c r="AG391" i="1" s="1"/>
  <c r="J390" i="1"/>
  <c r="U391" i="1" s="1"/>
  <c r="AH391" i="1" s="1"/>
  <c r="J382" i="1"/>
  <c r="J492" i="1"/>
  <c r="J488" i="1"/>
  <c r="J537" i="1"/>
  <c r="J500" i="1"/>
  <c r="J710" i="1"/>
  <c r="K705" i="1" s="1"/>
  <c r="X705" i="1" s="1"/>
  <c r="J974" i="1"/>
  <c r="J910" i="1"/>
  <c r="J1120" i="1"/>
  <c r="J1114" i="1"/>
  <c r="J1122" i="1"/>
  <c r="J1124" i="1"/>
  <c r="J1245" i="1"/>
  <c r="Q1244" i="1" s="1"/>
  <c r="AD1244" i="1" s="1"/>
  <c r="J1426" i="1"/>
  <c r="J1477" i="1"/>
  <c r="J1414" i="1"/>
  <c r="J1164" i="1"/>
  <c r="O1167" i="1" s="1"/>
  <c r="AB1167" i="1" s="1"/>
  <c r="J522" i="1"/>
  <c r="J386" i="1"/>
  <c r="J377" i="1"/>
  <c r="J367" i="1"/>
  <c r="J1219" i="1"/>
  <c r="N1223" i="1" s="1"/>
  <c r="AA1223" i="1" s="1"/>
  <c r="J728" i="1"/>
  <c r="K722" i="1" s="1"/>
  <c r="X722" i="1" s="1"/>
  <c r="J900" i="1"/>
  <c r="J699" i="1"/>
  <c r="N700" i="1" s="1"/>
  <c r="AA700" i="1" s="1"/>
  <c r="J1083" i="1"/>
  <c r="L1093" i="1" s="1"/>
  <c r="Y1093" i="1" s="1"/>
  <c r="J858" i="1"/>
  <c r="J1081" i="1"/>
  <c r="J298" i="1"/>
  <c r="J314" i="1"/>
  <c r="J552" i="1"/>
  <c r="J568" i="1"/>
  <c r="J584" i="1"/>
  <c r="J664" i="1"/>
  <c r="J683" i="1"/>
  <c r="J523" i="1"/>
  <c r="J694" i="1"/>
  <c r="J906" i="1"/>
  <c r="J909" i="1"/>
  <c r="J987" i="1"/>
  <c r="J995" i="1"/>
  <c r="J1003" i="1"/>
  <c r="J1011" i="1"/>
  <c r="J1019" i="1"/>
  <c r="J1027" i="1"/>
  <c r="J1035" i="1"/>
  <c r="J1043" i="1"/>
  <c r="J875" i="1"/>
  <c r="K879" i="1" s="1"/>
  <c r="X879" i="1" s="1"/>
  <c r="J912" i="1"/>
  <c r="J918" i="1"/>
  <c r="J1259" i="1"/>
  <c r="J1438" i="1"/>
  <c r="J1505" i="1"/>
  <c r="J1428" i="1"/>
  <c r="S1429" i="1" s="1"/>
  <c r="AF1429" i="1" s="1"/>
  <c r="J1286" i="1"/>
  <c r="T1288" i="1" s="1"/>
  <c r="AG1288" i="1" s="1"/>
  <c r="J79" i="1"/>
  <c r="J502" i="1"/>
  <c r="J187" i="1"/>
  <c r="J264" i="1"/>
  <c r="J254" i="1"/>
  <c r="J236" i="1"/>
  <c r="J604" i="1"/>
  <c r="J620" i="1"/>
  <c r="J636" i="1"/>
  <c r="J727" i="1"/>
  <c r="P729" i="1" s="1"/>
  <c r="AC729" i="1" s="1"/>
  <c r="J990" i="1"/>
  <c r="J998" i="1"/>
  <c r="J1006" i="1"/>
  <c r="J1014" i="1"/>
  <c r="J1022" i="1"/>
  <c r="J1030" i="1"/>
  <c r="J1038" i="1"/>
  <c r="J887" i="1"/>
  <c r="J927" i="1"/>
  <c r="L930" i="1" s="1"/>
  <c r="Y930" i="1" s="1"/>
  <c r="J1480" i="1"/>
  <c r="J1496" i="1"/>
  <c r="S1494" i="1" s="1"/>
  <c r="AF1494" i="1" s="1"/>
  <c r="J1512" i="1"/>
  <c r="J1528" i="1"/>
  <c r="J1544" i="1"/>
  <c r="J1560" i="1"/>
  <c r="J39" i="1"/>
  <c r="J87" i="1"/>
  <c r="J1396" i="1"/>
  <c r="J1442" i="1"/>
  <c r="J1525" i="1"/>
  <c r="J1241" i="1"/>
  <c r="K1239" i="1" s="1"/>
  <c r="X1239" i="1" s="1"/>
  <c r="J1346" i="1"/>
  <c r="O1349" i="1" s="1"/>
  <c r="AB1349" i="1" s="1"/>
  <c r="J1383" i="1"/>
  <c r="J1391" i="1"/>
  <c r="U1392" i="1" s="1"/>
  <c r="AH1392" i="1" s="1"/>
  <c r="J1399" i="1"/>
  <c r="J1407" i="1"/>
  <c r="J1415" i="1"/>
  <c r="J1423" i="1"/>
  <c r="J1431" i="1"/>
  <c r="J1439" i="1"/>
  <c r="J1447" i="1"/>
  <c r="J1455" i="1"/>
  <c r="J1463" i="1"/>
  <c r="J1475" i="1"/>
  <c r="J1491" i="1"/>
  <c r="P1494" i="1" s="1"/>
  <c r="AC1494" i="1" s="1"/>
  <c r="J1507" i="1"/>
  <c r="J1523" i="1"/>
  <c r="J1539" i="1"/>
  <c r="J1555" i="1"/>
  <c r="J1571" i="1"/>
  <c r="S1574" i="1" s="1"/>
  <c r="AF1574" i="1" s="1"/>
  <c r="J1221" i="1"/>
  <c r="S1223" i="1" s="1"/>
  <c r="AF1223" i="1" s="1"/>
  <c r="J1591" i="1"/>
  <c r="J1607" i="1"/>
  <c r="J1623" i="1"/>
  <c r="J1639" i="1"/>
  <c r="J1655" i="1"/>
  <c r="J1671" i="1"/>
  <c r="N1675" i="1" s="1"/>
  <c r="AA1675" i="1" s="1"/>
  <c r="J1687" i="1"/>
  <c r="J1703" i="1"/>
  <c r="J1578" i="1"/>
  <c r="M1579" i="1" s="1"/>
  <c r="Z1579" i="1" s="1"/>
  <c r="J1654" i="1"/>
  <c r="J1580" i="1"/>
  <c r="J1596" i="1"/>
  <c r="R1597" i="1" s="1"/>
  <c r="AE1597" i="1" s="1"/>
  <c r="J1612" i="1"/>
  <c r="T1613" i="1" s="1"/>
  <c r="AG1613" i="1" s="1"/>
  <c r="J1628" i="1"/>
  <c r="J1644" i="1"/>
  <c r="J1660" i="1"/>
  <c r="Q1664" i="1" s="1"/>
  <c r="AD1664" i="1" s="1"/>
  <c r="J1676" i="1"/>
  <c r="J1692" i="1"/>
  <c r="J1708" i="1"/>
  <c r="J1598" i="1"/>
  <c r="T1600" i="1" s="1"/>
  <c r="AG1600" i="1" s="1"/>
  <c r="J1658" i="1"/>
  <c r="O1662" i="1" s="1"/>
  <c r="AB1662" i="1" s="1"/>
  <c r="J1577" i="1"/>
  <c r="J1593" i="1"/>
  <c r="J1609" i="1"/>
  <c r="J1625" i="1"/>
  <c r="J1641" i="1"/>
  <c r="J1657" i="1"/>
  <c r="J1673" i="1"/>
  <c r="Q1675" i="1" s="1"/>
  <c r="AD1675" i="1" s="1"/>
  <c r="J1689" i="1"/>
  <c r="T1691" i="1" s="1"/>
  <c r="AG1691" i="1" s="1"/>
  <c r="J1705" i="1"/>
  <c r="J1367" i="1"/>
  <c r="J1630" i="1"/>
  <c r="L1632" i="1" s="1"/>
  <c r="Y1632" i="1" s="1"/>
  <c r="J1698" i="1"/>
  <c r="J1590" i="1"/>
  <c r="J1646" i="1"/>
  <c r="J1710" i="1"/>
  <c r="N1712" i="1" s="1"/>
  <c r="AA1712" i="1" s="1"/>
  <c r="J402" i="1"/>
  <c r="P403" i="1" s="1"/>
  <c r="AC403" i="1" s="1"/>
  <c r="I164" i="1"/>
  <c r="J164" i="1" s="1"/>
  <c r="J853" i="1"/>
  <c r="J869" i="1"/>
  <c r="R868" i="1" s="1"/>
  <c r="AE868" i="1" s="1"/>
  <c r="J800" i="1"/>
  <c r="O801" i="1" s="1"/>
  <c r="AB801" i="1" s="1"/>
  <c r="J20" i="1"/>
  <c r="J37" i="1"/>
  <c r="J38" i="1"/>
  <c r="J188" i="1"/>
  <c r="J538" i="1"/>
  <c r="J639" i="1"/>
  <c r="J540" i="1"/>
  <c r="J429" i="1"/>
  <c r="J569" i="1"/>
  <c r="J491" i="1"/>
  <c r="J679" i="1"/>
  <c r="J668" i="1"/>
  <c r="J772" i="1"/>
  <c r="J735" i="1"/>
  <c r="L732" i="1" s="1"/>
  <c r="Y732" i="1" s="1"/>
  <c r="J1229" i="1"/>
  <c r="L1234" i="1" s="1"/>
  <c r="Y1234" i="1" s="1"/>
  <c r="J29" i="1"/>
  <c r="K32" i="1" s="1"/>
  <c r="X32" i="1" s="1"/>
  <c r="J61" i="1"/>
  <c r="J64" i="1"/>
  <c r="J35" i="1"/>
  <c r="P34" i="1" s="1"/>
  <c r="AC34" i="1" s="1"/>
  <c r="J67" i="1"/>
  <c r="J62" i="1"/>
  <c r="J33" i="1"/>
  <c r="L32" i="1" s="1"/>
  <c r="Y32" i="1" s="1"/>
  <c r="J65" i="1"/>
  <c r="J60" i="1"/>
  <c r="J97" i="1"/>
  <c r="J178" i="1"/>
  <c r="J186" i="1"/>
  <c r="J194" i="1"/>
  <c r="J169" i="1"/>
  <c r="S167" i="1" s="1"/>
  <c r="AF167" i="1" s="1"/>
  <c r="J245" i="1"/>
  <c r="I267" i="1"/>
  <c r="J267" i="1" s="1"/>
  <c r="I275" i="1"/>
  <c r="J275" i="1" s="1"/>
  <c r="J221" i="1"/>
  <c r="J207" i="1"/>
  <c r="T209" i="1" s="1"/>
  <c r="AG209" i="1" s="1"/>
  <c r="I270" i="1"/>
  <c r="J270" i="1" s="1"/>
  <c r="Q272" i="1" s="1"/>
  <c r="AD272" i="1" s="1"/>
  <c r="I278" i="1"/>
  <c r="J278" i="1" s="1"/>
  <c r="J226" i="1"/>
  <c r="J258" i="1"/>
  <c r="J292" i="1"/>
  <c r="J299" i="1"/>
  <c r="J331" i="1"/>
  <c r="J318" i="1"/>
  <c r="J313" i="1"/>
  <c r="J247" i="1"/>
  <c r="J359" i="1"/>
  <c r="P360" i="1" s="1"/>
  <c r="AC360" i="1" s="1"/>
  <c r="J379" i="1"/>
  <c r="J357" i="1"/>
  <c r="M361" i="1" s="1"/>
  <c r="Z361" i="1" s="1"/>
  <c r="J319" i="1"/>
  <c r="J452" i="1"/>
  <c r="J472" i="1"/>
  <c r="L474" i="1" s="1"/>
  <c r="Y474" i="1" s="1"/>
  <c r="J525" i="1"/>
  <c r="M532" i="1" s="1"/>
  <c r="Z532" i="1" s="1"/>
  <c r="J555" i="1"/>
  <c r="J571" i="1"/>
  <c r="J587" i="1"/>
  <c r="J603" i="1"/>
  <c r="J619" i="1"/>
  <c r="J635" i="1"/>
  <c r="J415" i="1"/>
  <c r="J447" i="1"/>
  <c r="J490" i="1"/>
  <c r="J509" i="1"/>
  <c r="J535" i="1"/>
  <c r="J434" i="1"/>
  <c r="J482" i="1"/>
  <c r="U481" i="1" s="1"/>
  <c r="AH481" i="1" s="1"/>
  <c r="J519" i="1"/>
  <c r="J554" i="1"/>
  <c r="J570" i="1"/>
  <c r="J586" i="1"/>
  <c r="J602" i="1"/>
  <c r="J618" i="1"/>
  <c r="J634" i="1"/>
  <c r="J421" i="1"/>
  <c r="J453" i="1"/>
  <c r="J549" i="1"/>
  <c r="J565" i="1"/>
  <c r="J581" i="1"/>
  <c r="J597" i="1"/>
  <c r="J613" i="1"/>
  <c r="J629" i="1"/>
  <c r="J645" i="1"/>
  <c r="J435" i="1"/>
  <c r="J489" i="1"/>
  <c r="J425" i="1"/>
  <c r="J457" i="1"/>
  <c r="J541" i="1"/>
  <c r="J671" i="1"/>
  <c r="J674" i="1"/>
  <c r="J653" i="1"/>
  <c r="J685" i="1"/>
  <c r="J487" i="1"/>
  <c r="J662" i="1"/>
  <c r="J660" i="1"/>
  <c r="J692" i="1"/>
  <c r="J771" i="1"/>
  <c r="J779" i="1"/>
  <c r="J673" i="1"/>
  <c r="J770" i="1"/>
  <c r="J778" i="1"/>
  <c r="J905" i="1"/>
  <c r="J970" i="1"/>
  <c r="P971" i="1" s="1"/>
  <c r="AC971" i="1" s="1"/>
  <c r="J821" i="1"/>
  <c r="J883" i="1"/>
  <c r="O884" i="1" s="1"/>
  <c r="AB884" i="1" s="1"/>
  <c r="J924" i="1"/>
  <c r="I935" i="1"/>
  <c r="J935" i="1" s="1"/>
  <c r="P934" i="1" s="1"/>
  <c r="AC934" i="1" s="1"/>
  <c r="I943" i="1"/>
  <c r="J943" i="1" s="1"/>
  <c r="I951" i="1"/>
  <c r="J951" i="1" s="1"/>
  <c r="I959" i="1"/>
  <c r="J959" i="1" s="1"/>
  <c r="R962" i="1" s="1"/>
  <c r="AE962" i="1" s="1"/>
  <c r="J891" i="1"/>
  <c r="O894" i="1" s="1"/>
  <c r="AB894" i="1" s="1"/>
  <c r="J752" i="1"/>
  <c r="S754" i="1" s="1"/>
  <c r="AF754" i="1" s="1"/>
  <c r="J1188" i="1"/>
  <c r="L1192" i="1" s="1"/>
  <c r="Y1192" i="1" s="1"/>
  <c r="J1302" i="1"/>
  <c r="J1356" i="1"/>
  <c r="I948" i="1"/>
  <c r="J948" i="1" s="1"/>
  <c r="J1448" i="1"/>
  <c r="J1565" i="1"/>
  <c r="J1260" i="1"/>
  <c r="P1258" i="1" s="1"/>
  <c r="AC1258" i="1" s="1"/>
  <c r="J1282" i="1"/>
  <c r="J1314" i="1"/>
  <c r="U1313" i="1" s="1"/>
  <c r="AH1313" i="1" s="1"/>
  <c r="J1148" i="1"/>
  <c r="L1150" i="1" s="1"/>
  <c r="Y1150" i="1" s="1"/>
  <c r="J1378" i="1"/>
  <c r="S1376" i="1" s="1"/>
  <c r="AF1376" i="1" s="1"/>
  <c r="J1424" i="1"/>
  <c r="J1493" i="1"/>
  <c r="J1268" i="1"/>
  <c r="N1271" i="1" s="1"/>
  <c r="AA1271" i="1" s="1"/>
  <c r="J1322" i="1"/>
  <c r="O1323" i="1" s="1"/>
  <c r="AB1323" i="1" s="1"/>
  <c r="J1420" i="1"/>
  <c r="J1497" i="1"/>
  <c r="J75" i="1"/>
  <c r="J36" i="1"/>
  <c r="J196" i="1"/>
  <c r="J307" i="1"/>
  <c r="J322" i="1"/>
  <c r="J295" i="1"/>
  <c r="J559" i="1"/>
  <c r="J423" i="1"/>
  <c r="J558" i="1"/>
  <c r="J497" i="1"/>
  <c r="J585" i="1"/>
  <c r="J433" i="1"/>
  <c r="J682" i="1"/>
  <c r="J670" i="1"/>
  <c r="J781" i="1"/>
  <c r="J913" i="1"/>
  <c r="J899" i="1"/>
  <c r="J702" i="1"/>
  <c r="S701" i="1" s="1"/>
  <c r="AF701" i="1" s="1"/>
  <c r="J1462" i="1"/>
  <c r="J1517" i="1"/>
  <c r="J74" i="1"/>
  <c r="J177" i="1"/>
  <c r="J185" i="1"/>
  <c r="J227" i="1"/>
  <c r="N228" i="1" s="1"/>
  <c r="AA228" i="1" s="1"/>
  <c r="J211" i="1"/>
  <c r="J203" i="1"/>
  <c r="M200" i="1" s="1"/>
  <c r="Z200" i="1" s="1"/>
  <c r="J252" i="1"/>
  <c r="J296" i="1"/>
  <c r="J312" i="1"/>
  <c r="J325" i="1"/>
  <c r="J440" i="1"/>
  <c r="J495" i="1"/>
  <c r="J506" i="1"/>
  <c r="J548" i="1"/>
  <c r="J564" i="1"/>
  <c r="J580" i="1"/>
  <c r="J596" i="1"/>
  <c r="J656" i="1"/>
  <c r="J688" i="1"/>
  <c r="J675" i="1"/>
  <c r="J612" i="1"/>
  <c r="J628" i="1"/>
  <c r="J644" i="1"/>
  <c r="J750" i="1"/>
  <c r="P749" i="1" s="1"/>
  <c r="AC749" i="1" s="1"/>
  <c r="J762" i="1"/>
  <c r="J976" i="1"/>
  <c r="U975" i="1" s="1"/>
  <c r="AH975" i="1" s="1"/>
  <c r="J988" i="1"/>
  <c r="J996" i="1"/>
  <c r="P1000" i="1" s="1"/>
  <c r="AC1000" i="1" s="1"/>
  <c r="J1004" i="1"/>
  <c r="J1012" i="1"/>
  <c r="J1020" i="1"/>
  <c r="J1028" i="1"/>
  <c r="J1036" i="1"/>
  <c r="J1044" i="1"/>
  <c r="L1054" i="1" s="1"/>
  <c r="Y1054" i="1" s="1"/>
  <c r="J911" i="1"/>
  <c r="J985" i="1"/>
  <c r="J993" i="1"/>
  <c r="L992" i="1" s="1"/>
  <c r="Y992" i="1" s="1"/>
  <c r="J1001" i="1"/>
  <c r="J1009" i="1"/>
  <c r="J1017" i="1"/>
  <c r="J1025" i="1"/>
  <c r="R1024" i="1" s="1"/>
  <c r="AE1024" i="1" s="1"/>
  <c r="J1033" i="1"/>
  <c r="M1032" i="1" s="1"/>
  <c r="Z1032" i="1" s="1"/>
  <c r="J1041" i="1"/>
  <c r="U1040" i="1" s="1"/>
  <c r="AH1040" i="1" s="1"/>
  <c r="J904" i="1"/>
  <c r="J797" i="1"/>
  <c r="L801" i="1" s="1"/>
  <c r="Y801" i="1" s="1"/>
  <c r="J1274" i="1"/>
  <c r="J1484" i="1"/>
  <c r="J1500" i="1"/>
  <c r="J1516" i="1"/>
  <c r="J1532" i="1"/>
  <c r="S1533" i="1" s="1"/>
  <c r="AF1533" i="1" s="1"/>
  <c r="J1548" i="1"/>
  <c r="J1564" i="1"/>
  <c r="L1567" i="1" s="1"/>
  <c r="Y1567" i="1" s="1"/>
  <c r="J47" i="1"/>
  <c r="J1310" i="1"/>
  <c r="Q1313" i="1" s="1"/>
  <c r="AD1313" i="1" s="1"/>
  <c r="J1408" i="1"/>
  <c r="J1456" i="1"/>
  <c r="J1541" i="1"/>
  <c r="J1262" i="1"/>
  <c r="U1261" i="1" s="1"/>
  <c r="AH1261" i="1" s="1"/>
  <c r="J1298" i="1"/>
  <c r="N1295" i="1" s="1"/>
  <c r="AA1295" i="1" s="1"/>
  <c r="J1385" i="1"/>
  <c r="O1389" i="1" s="1"/>
  <c r="AB1389" i="1" s="1"/>
  <c r="J1393" i="1"/>
  <c r="J1401" i="1"/>
  <c r="J1409" i="1"/>
  <c r="J1417" i="1"/>
  <c r="J1425" i="1"/>
  <c r="P1429" i="1" s="1"/>
  <c r="AC1429" i="1" s="1"/>
  <c r="J1433" i="1"/>
  <c r="J1441" i="1"/>
  <c r="S1444" i="1" s="1"/>
  <c r="AF1444" i="1" s="1"/>
  <c r="J1449" i="1"/>
  <c r="J1457" i="1"/>
  <c r="J1465" i="1"/>
  <c r="J1479" i="1"/>
  <c r="J1495" i="1"/>
  <c r="J1511" i="1"/>
  <c r="K1522" i="1" s="1"/>
  <c r="X1522" i="1" s="1"/>
  <c r="J1527" i="1"/>
  <c r="M1526" i="1" s="1"/>
  <c r="Z1526" i="1" s="1"/>
  <c r="J1543" i="1"/>
  <c r="P1542" i="1" s="1"/>
  <c r="AC1542" i="1" s="1"/>
  <c r="J1559" i="1"/>
  <c r="S1558" i="1" s="1"/>
  <c r="AF1558" i="1" s="1"/>
  <c r="J1575" i="1"/>
  <c r="J1398" i="1"/>
  <c r="J1452" i="1"/>
  <c r="J1553" i="1"/>
  <c r="J1390" i="1"/>
  <c r="S1389" i="1" s="1"/>
  <c r="AF1389" i="1" s="1"/>
  <c r="J1440" i="1"/>
  <c r="R1444" i="1" s="1"/>
  <c r="AE1444" i="1" s="1"/>
  <c r="J1237" i="1"/>
  <c r="J1290" i="1"/>
  <c r="K1291" i="1" s="1"/>
  <c r="X1291" i="1" s="1"/>
  <c r="J1362" i="1"/>
  <c r="O1363" i="1" s="1"/>
  <c r="AB1363" i="1" s="1"/>
  <c r="J1486" i="1"/>
  <c r="L1487" i="1" s="1"/>
  <c r="Y1487" i="1" s="1"/>
  <c r="J1502" i="1"/>
  <c r="J1518" i="1"/>
  <c r="J1534" i="1"/>
  <c r="U1535" i="1" s="1"/>
  <c r="AH1535" i="1" s="1"/>
  <c r="J1550" i="1"/>
  <c r="J1566" i="1"/>
  <c r="N1570" i="1" s="1"/>
  <c r="AA1570" i="1" s="1"/>
  <c r="J446" i="1"/>
  <c r="J1382" i="1"/>
  <c r="J1432" i="1"/>
  <c r="J1501" i="1"/>
  <c r="J1561" i="1"/>
  <c r="J1370" i="1"/>
  <c r="K1368" i="1" s="1"/>
  <c r="X1368" i="1" s="1"/>
  <c r="J1473" i="1"/>
  <c r="L1478" i="1" s="1"/>
  <c r="Y1478" i="1" s="1"/>
  <c r="J1583" i="1"/>
  <c r="P1581" i="1" s="1"/>
  <c r="AC1581" i="1" s="1"/>
  <c r="J1599" i="1"/>
  <c r="U1600" i="1" s="1"/>
  <c r="AH1600" i="1" s="1"/>
  <c r="J1615" i="1"/>
  <c r="J1631" i="1"/>
  <c r="N1632" i="1" s="1"/>
  <c r="AA1632" i="1" s="1"/>
  <c r="J1647" i="1"/>
  <c r="J1663" i="1"/>
  <c r="R1664" i="1" s="1"/>
  <c r="AE1664" i="1" s="1"/>
  <c r="J1679" i="1"/>
  <c r="J1695" i="1"/>
  <c r="M1696" i="1" s="1"/>
  <c r="Z1696" i="1" s="1"/>
  <c r="J1711" i="1"/>
  <c r="P1712" i="1" s="1"/>
  <c r="AC1712" i="1" s="1"/>
  <c r="J1622" i="1"/>
  <c r="J1690" i="1"/>
  <c r="J1588" i="1"/>
  <c r="J1604" i="1"/>
  <c r="J1620" i="1"/>
  <c r="J1636" i="1"/>
  <c r="J1652" i="1"/>
  <c r="J1668" i="1"/>
  <c r="K1670" i="1" s="1"/>
  <c r="X1670" i="1" s="1"/>
  <c r="J1684" i="1"/>
  <c r="M1691" i="1" s="1"/>
  <c r="Z1691" i="1" s="1"/>
  <c r="J1700" i="1"/>
  <c r="J1716" i="1"/>
  <c r="J1626" i="1"/>
  <c r="J1686" i="1"/>
  <c r="J1585" i="1"/>
  <c r="S1584" i="1" s="1"/>
  <c r="AF1584" i="1" s="1"/>
  <c r="J1601" i="1"/>
  <c r="J1617" i="1"/>
  <c r="J1633" i="1"/>
  <c r="J1649" i="1"/>
  <c r="J1665" i="1"/>
  <c r="J1681" i="1"/>
  <c r="J1697" i="1"/>
  <c r="J1713" i="1"/>
  <c r="R1714" i="1" s="1"/>
  <c r="AE1714" i="1" s="1"/>
  <c r="J1594" i="1"/>
  <c r="P1595" i="1" s="1"/>
  <c r="AC1595" i="1" s="1"/>
  <c r="J1666" i="1"/>
  <c r="J1335" i="1"/>
  <c r="J1618" i="1"/>
  <c r="J1678" i="1"/>
  <c r="J72" i="1"/>
  <c r="J234" i="1"/>
  <c r="J263" i="1"/>
  <c r="K272" i="1" s="1"/>
  <c r="X272" i="1" s="1"/>
  <c r="J384" i="1"/>
  <c r="N387" i="1" s="1"/>
  <c r="AA387" i="1" s="1"/>
  <c r="J476" i="1"/>
  <c r="N477" i="1" s="1"/>
  <c r="AA477" i="1" s="1"/>
  <c r="J623" i="1"/>
  <c r="J543" i="1"/>
  <c r="J622" i="1"/>
  <c r="J601" i="1"/>
  <c r="J443" i="1"/>
  <c r="J693" i="1"/>
  <c r="L697" i="1" s="1"/>
  <c r="Y697" i="1" s="1"/>
  <c r="J681" i="1"/>
  <c r="J739" i="1"/>
  <c r="P737" i="1" s="1"/>
  <c r="AC737" i="1" s="1"/>
  <c r="J915" i="1"/>
  <c r="J1436" i="1"/>
  <c r="J42" i="1"/>
  <c r="J193" i="1"/>
  <c r="J248" i="1"/>
  <c r="J259" i="1"/>
  <c r="T260" i="1" s="1"/>
  <c r="AG260" i="1" s="1"/>
  <c r="J238" i="1"/>
  <c r="L240" i="1" s="1"/>
  <c r="Y240" i="1" s="1"/>
  <c r="J257" i="1"/>
  <c r="R260" i="1" s="1"/>
  <c r="AE260" i="1" s="1"/>
  <c r="J304" i="1"/>
  <c r="J45" i="1"/>
  <c r="J77" i="1"/>
  <c r="J48" i="1"/>
  <c r="J80" i="1"/>
  <c r="J51" i="1"/>
  <c r="J83" i="1"/>
  <c r="J46" i="1"/>
  <c r="J78" i="1"/>
  <c r="J49" i="1"/>
  <c r="J81" i="1"/>
  <c r="J44" i="1"/>
  <c r="J76" i="1"/>
  <c r="J113" i="1"/>
  <c r="Q118" i="1" s="1"/>
  <c r="AD118" i="1" s="1"/>
  <c r="J163" i="1"/>
  <c r="O165" i="1" s="1"/>
  <c r="AB165" i="1" s="1"/>
  <c r="J174" i="1"/>
  <c r="J182" i="1"/>
  <c r="T181" i="1" s="1"/>
  <c r="AG181" i="1" s="1"/>
  <c r="J190" i="1"/>
  <c r="J198" i="1"/>
  <c r="K205" i="1" s="1"/>
  <c r="X205" i="1" s="1"/>
  <c r="J161" i="1"/>
  <c r="J229" i="1"/>
  <c r="O233" i="1" s="1"/>
  <c r="AB233" i="1" s="1"/>
  <c r="J261" i="1"/>
  <c r="U260" i="1" s="1"/>
  <c r="AH260" i="1" s="1"/>
  <c r="I271" i="1"/>
  <c r="J271" i="1" s="1"/>
  <c r="K265" i="1" s="1"/>
  <c r="X265" i="1" s="1"/>
  <c r="I279" i="1"/>
  <c r="J279" i="1" s="1"/>
  <c r="J139" i="1"/>
  <c r="M136" i="1" s="1"/>
  <c r="Z136" i="1" s="1"/>
  <c r="J214" i="1"/>
  <c r="I274" i="1"/>
  <c r="J274" i="1" s="1"/>
  <c r="J242" i="1"/>
  <c r="J284" i="1"/>
  <c r="R283" i="1" s="1"/>
  <c r="AE283" i="1" s="1"/>
  <c r="J320" i="1"/>
  <c r="J315" i="1"/>
  <c r="J334" i="1"/>
  <c r="Q337" i="1" s="1"/>
  <c r="AD337" i="1" s="1"/>
  <c r="J297" i="1"/>
  <c r="J329" i="1"/>
  <c r="J324" i="1"/>
  <c r="J330" i="1"/>
  <c r="I343" i="1"/>
  <c r="J343" i="1" s="1"/>
  <c r="J239" i="1"/>
  <c r="J373" i="1"/>
  <c r="J303" i="1"/>
  <c r="J436" i="1"/>
  <c r="J464" i="1"/>
  <c r="N467" i="1" s="1"/>
  <c r="AA467" i="1" s="1"/>
  <c r="J496" i="1"/>
  <c r="J547" i="1"/>
  <c r="J563" i="1"/>
  <c r="J579" i="1"/>
  <c r="J595" i="1"/>
  <c r="J611" i="1"/>
  <c r="J627" i="1"/>
  <c r="J643" i="1"/>
  <c r="J431" i="1"/>
  <c r="J505" i="1"/>
  <c r="J517" i="1"/>
  <c r="J388" i="1"/>
  <c r="S391" i="1" s="1"/>
  <c r="AF391" i="1" s="1"/>
  <c r="J450" i="1"/>
  <c r="P456" i="1" s="1"/>
  <c r="AC456" i="1" s="1"/>
  <c r="J501" i="1"/>
  <c r="J546" i="1"/>
  <c r="J562" i="1"/>
  <c r="J578" i="1"/>
  <c r="J594" i="1"/>
  <c r="J610" i="1"/>
  <c r="J626" i="1"/>
  <c r="J642" i="1"/>
  <c r="J437" i="1"/>
  <c r="J499" i="1"/>
  <c r="J513" i="1"/>
  <c r="J542" i="1"/>
  <c r="J557" i="1"/>
  <c r="J573" i="1"/>
  <c r="J589" i="1"/>
  <c r="J605" i="1"/>
  <c r="J621" i="1"/>
  <c r="J637" i="1"/>
  <c r="J419" i="1"/>
  <c r="J451" i="1"/>
  <c r="J508" i="1"/>
  <c r="J539" i="1"/>
  <c r="J441" i="1"/>
  <c r="J655" i="1"/>
  <c r="J687" i="1"/>
  <c r="J658" i="1"/>
  <c r="J690" i="1"/>
  <c r="J669" i="1"/>
  <c r="J536" i="1"/>
  <c r="J678" i="1"/>
  <c r="J676" i="1"/>
  <c r="J775" i="1"/>
  <c r="J657" i="1"/>
  <c r="J689" i="1"/>
  <c r="J758" i="1"/>
  <c r="K763" i="1" s="1"/>
  <c r="X763" i="1" s="1"/>
  <c r="J760" i="1"/>
  <c r="J774" i="1"/>
  <c r="J782" i="1"/>
  <c r="J921" i="1"/>
  <c r="J978" i="1"/>
  <c r="J851" i="1"/>
  <c r="M854" i="1" s="1"/>
  <c r="Z854" i="1" s="1"/>
  <c r="J908" i="1"/>
  <c r="I939" i="1"/>
  <c r="J939" i="1" s="1"/>
  <c r="I947" i="1"/>
  <c r="J947" i="1" s="1"/>
  <c r="I955" i="1"/>
  <c r="J955" i="1" s="1"/>
  <c r="J805" i="1"/>
  <c r="T807" i="1" s="1"/>
  <c r="AG807" i="1" s="1"/>
  <c r="J1100" i="1"/>
  <c r="P1101" i="1" s="1"/>
  <c r="AC1101" i="1" s="1"/>
  <c r="J1172" i="1"/>
  <c r="J1204" i="1"/>
  <c r="L1201" i="1" s="1"/>
  <c r="Y1201" i="1" s="1"/>
  <c r="J1340" i="1"/>
  <c r="J1338" i="1"/>
  <c r="S1337" i="1" s="1"/>
  <c r="AF1337" i="1" s="1"/>
  <c r="J1388" i="1"/>
  <c r="J1481" i="1"/>
  <c r="J438" i="1"/>
  <c r="J1104" i="1"/>
  <c r="J1400" i="1"/>
  <c r="Q1404" i="1" s="1"/>
  <c r="AD1404" i="1" s="1"/>
  <c r="J1450" i="1"/>
  <c r="J1537" i="1"/>
  <c r="K1542" i="1" s="1"/>
  <c r="X1542" i="1" s="1"/>
  <c r="J1394" i="1"/>
  <c r="J1446" i="1"/>
  <c r="J1529" i="1"/>
  <c r="J40" i="1"/>
  <c r="J73" i="1"/>
  <c r="J180" i="1"/>
  <c r="S183" i="1" s="1"/>
  <c r="AF183" i="1" s="1"/>
  <c r="J321" i="1"/>
  <c r="J327" i="1"/>
  <c r="J575" i="1"/>
  <c r="J455" i="1"/>
  <c r="J574" i="1"/>
  <c r="J638" i="1"/>
  <c r="J617" i="1"/>
  <c r="J661" i="1"/>
  <c r="J515" i="1"/>
  <c r="P516" i="1" s="1"/>
  <c r="AC516" i="1" s="1"/>
  <c r="J780" i="1"/>
  <c r="J859" i="1"/>
  <c r="J1306" i="1"/>
  <c r="M1309" i="1" s="1"/>
  <c r="Z1309" i="1" s="1"/>
  <c r="J1386" i="1"/>
  <c r="J1509" i="1"/>
  <c r="J651" i="1"/>
  <c r="U650" i="1" s="1"/>
  <c r="AH650" i="1" s="1"/>
  <c r="J964" i="1"/>
  <c r="J980" i="1"/>
  <c r="M981" i="1" s="1"/>
  <c r="Z981" i="1" s="1"/>
  <c r="J69" i="1"/>
  <c r="J70" i="1"/>
  <c r="J68" i="1"/>
  <c r="J253" i="1"/>
  <c r="J266" i="1"/>
  <c r="J326" i="1"/>
  <c r="J428" i="1"/>
  <c r="J591" i="1"/>
  <c r="J511" i="1"/>
  <c r="L518" i="1" s="1"/>
  <c r="Y518" i="1" s="1"/>
  <c r="J606" i="1"/>
  <c r="J553" i="1"/>
  <c r="J649" i="1"/>
  <c r="J544" i="1"/>
  <c r="J773" i="1"/>
  <c r="J1434" i="1"/>
  <c r="L1437" i="1" s="1"/>
  <c r="Y1437" i="1" s="1"/>
  <c r="J286" i="1"/>
  <c r="U287" i="1" s="1"/>
  <c r="AH287" i="1" s="1"/>
  <c r="J13" i="1"/>
  <c r="J53" i="1"/>
  <c r="J85" i="1"/>
  <c r="J56" i="1"/>
  <c r="J59" i="1"/>
  <c r="J54" i="1"/>
  <c r="J86" i="1"/>
  <c r="J17" i="1"/>
  <c r="K22" i="1" s="1"/>
  <c r="X22" i="1" s="1"/>
  <c r="J57" i="1"/>
  <c r="M58" i="1" s="1"/>
  <c r="Z58" i="1" s="1"/>
  <c r="J52" i="1"/>
  <c r="J84" i="1"/>
  <c r="J89" i="1"/>
  <c r="J92" i="1"/>
  <c r="J176" i="1"/>
  <c r="J184" i="1"/>
  <c r="J192" i="1"/>
  <c r="J171" i="1"/>
  <c r="J237" i="1"/>
  <c r="K240" i="1" s="1"/>
  <c r="X240" i="1" s="1"/>
  <c r="I273" i="1"/>
  <c r="J273" i="1" s="1"/>
  <c r="T272" i="1" s="1"/>
  <c r="AG272" i="1" s="1"/>
  <c r="J149" i="1"/>
  <c r="K147" i="1" s="1"/>
  <c r="X147" i="1" s="1"/>
  <c r="I268" i="1"/>
  <c r="J268" i="1" s="1"/>
  <c r="I276" i="1"/>
  <c r="J276" i="1" s="1"/>
  <c r="J250" i="1"/>
  <c r="J288" i="1"/>
  <c r="J328" i="1"/>
  <c r="K337" i="1" s="1"/>
  <c r="X337" i="1" s="1"/>
  <c r="J323" i="1"/>
  <c r="J215" i="1"/>
  <c r="J305" i="1"/>
  <c r="J353" i="1"/>
  <c r="J332" i="1"/>
  <c r="J350" i="1"/>
  <c r="L345" i="1" s="1"/>
  <c r="Y345" i="1" s="1"/>
  <c r="J371" i="1"/>
  <c r="J311" i="1"/>
  <c r="J444" i="1"/>
  <c r="J468" i="1"/>
  <c r="S467" i="1" s="1"/>
  <c r="AF467" i="1" s="1"/>
  <c r="J551" i="1"/>
  <c r="J567" i="1"/>
  <c r="J583" i="1"/>
  <c r="J599" i="1"/>
  <c r="J615" i="1"/>
  <c r="L616" i="1" s="1"/>
  <c r="Y616" i="1" s="1"/>
  <c r="J631" i="1"/>
  <c r="O632" i="1" s="1"/>
  <c r="AB632" i="1" s="1"/>
  <c r="J647" i="1"/>
  <c r="J439" i="1"/>
  <c r="J507" i="1"/>
  <c r="J527" i="1"/>
  <c r="O532" i="1" s="1"/>
  <c r="AB532" i="1" s="1"/>
  <c r="J426" i="1"/>
  <c r="J458" i="1"/>
  <c r="K465" i="1" s="1"/>
  <c r="X465" i="1" s="1"/>
  <c r="J503" i="1"/>
  <c r="Q504" i="1" s="1"/>
  <c r="AD504" i="1" s="1"/>
  <c r="J550" i="1"/>
  <c r="J566" i="1"/>
  <c r="J582" i="1"/>
  <c r="J598" i="1"/>
  <c r="J614" i="1"/>
  <c r="J630" i="1"/>
  <c r="J646" i="1"/>
  <c r="Q648" i="1" s="1"/>
  <c r="AD648" i="1" s="1"/>
  <c r="J445" i="1"/>
  <c r="J529" i="1"/>
  <c r="Q532" i="1" s="1"/>
  <c r="AD532" i="1" s="1"/>
  <c r="J521" i="1"/>
  <c r="U520" i="1" s="1"/>
  <c r="AH520" i="1" s="1"/>
  <c r="J545" i="1"/>
  <c r="J561" i="1"/>
  <c r="J577" i="1"/>
  <c r="J593" i="1"/>
  <c r="J609" i="1"/>
  <c r="R608" i="1" s="1"/>
  <c r="AE608" i="1" s="1"/>
  <c r="J625" i="1"/>
  <c r="J641" i="1"/>
  <c r="K648" i="1" s="1"/>
  <c r="X648" i="1" s="1"/>
  <c r="J427" i="1"/>
  <c r="J459" i="1"/>
  <c r="L465" i="1" s="1"/>
  <c r="Y465" i="1" s="1"/>
  <c r="J417" i="1"/>
  <c r="J449" i="1"/>
  <c r="J533" i="1"/>
  <c r="J663" i="1"/>
  <c r="J666" i="1"/>
  <c r="J677" i="1"/>
  <c r="J686" i="1"/>
  <c r="J684" i="1"/>
  <c r="J766" i="1"/>
  <c r="S765" i="1" s="1"/>
  <c r="AF765" i="1" s="1"/>
  <c r="J777" i="1"/>
  <c r="J665" i="1"/>
  <c r="J746" i="1"/>
  <c r="M754" i="1" s="1"/>
  <c r="Z754" i="1" s="1"/>
  <c r="J776" i="1"/>
  <c r="J966" i="1"/>
  <c r="K973" i="1" s="1"/>
  <c r="X973" i="1" s="1"/>
  <c r="J982" i="1"/>
  <c r="N983" i="1" s="1"/>
  <c r="AA983" i="1" s="1"/>
  <c r="J867" i="1"/>
  <c r="N872" i="1" s="1"/>
  <c r="AA872" i="1" s="1"/>
  <c r="J916" i="1"/>
  <c r="J871" i="1"/>
  <c r="I941" i="1"/>
  <c r="J941" i="1" s="1"/>
  <c r="I949" i="1"/>
  <c r="J949" i="1" s="1"/>
  <c r="U950" i="1" s="1"/>
  <c r="AH950" i="1" s="1"/>
  <c r="I957" i="1"/>
  <c r="J957" i="1" s="1"/>
  <c r="P962" i="1" s="1"/>
  <c r="AC962" i="1" s="1"/>
  <c r="J829" i="1"/>
  <c r="L828" i="1" s="1"/>
  <c r="Y828" i="1" s="1"/>
  <c r="J1106" i="1"/>
  <c r="U1105" i="1" s="1"/>
  <c r="AH1105" i="1" s="1"/>
  <c r="J923" i="1"/>
  <c r="J1180" i="1"/>
  <c r="M1182" i="1" s="1"/>
  <c r="Z1182" i="1" s="1"/>
  <c r="J1212" i="1"/>
  <c r="K1222" i="1" s="1"/>
  <c r="X1222" i="1" s="1"/>
  <c r="J1330" i="1"/>
  <c r="L1339" i="1" s="1"/>
  <c r="Y1339" i="1" s="1"/>
  <c r="I940" i="1"/>
  <c r="J940" i="1" s="1"/>
  <c r="L944" i="1" s="1"/>
  <c r="Y944" i="1" s="1"/>
  <c r="J1422" i="1"/>
  <c r="L1421" i="1" s="1"/>
  <c r="Y1421" i="1" s="1"/>
  <c r="J1521" i="1"/>
  <c r="U1522" i="1" s="1"/>
  <c r="AH1522" i="1" s="1"/>
  <c r="J1132" i="1"/>
  <c r="P1129" i="1" s="1"/>
  <c r="AC1129" i="1" s="1"/>
  <c r="J1316" i="1"/>
  <c r="K1320" i="1" s="1"/>
  <c r="X1320" i="1" s="1"/>
  <c r="J1354" i="1"/>
  <c r="J1278" i="1"/>
  <c r="J1324" i="1"/>
  <c r="S1325" i="1" s="1"/>
  <c r="AF1325" i="1" s="1"/>
  <c r="J1471" i="1"/>
  <c r="J1412" i="1"/>
  <c r="J1466" i="1"/>
  <c r="J1557" i="1"/>
  <c r="R1558" i="1" s="1"/>
  <c r="AE1558" i="1" s="1"/>
  <c r="J454" i="1"/>
  <c r="J1406" i="1"/>
  <c r="J1458" i="1"/>
  <c r="J1549" i="1"/>
  <c r="J43" i="1"/>
  <c r="J41" i="1"/>
  <c r="J231" i="1"/>
  <c r="Q233" i="1" s="1"/>
  <c r="AD233" i="1" s="1"/>
  <c r="J375" i="1"/>
  <c r="J460" i="1"/>
  <c r="M467" i="1" s="1"/>
  <c r="Z467" i="1" s="1"/>
  <c r="J607" i="1"/>
  <c r="J442" i="1"/>
  <c r="J590" i="1"/>
  <c r="J534" i="1"/>
  <c r="J633" i="1"/>
  <c r="J531" i="1"/>
  <c r="J530" i="1"/>
  <c r="R532" i="1" s="1"/>
  <c r="AE532" i="1" s="1"/>
  <c r="J1469" i="1"/>
  <c r="J1384" i="1"/>
  <c r="J968" i="1"/>
  <c r="J984" i="1"/>
  <c r="P608" i="1" l="1"/>
  <c r="AC608" i="1" s="1"/>
  <c r="K1397" i="1"/>
  <c r="X1397" i="1" s="1"/>
  <c r="K422" i="1"/>
  <c r="X422" i="1" s="1"/>
  <c r="M516" i="1"/>
  <c r="Z516" i="1" s="1"/>
  <c r="N648" i="1"/>
  <c r="AA648" i="1" s="1"/>
  <c r="O189" i="1"/>
  <c r="AB189" i="1" s="1"/>
  <c r="N1437" i="1"/>
  <c r="AA1437" i="1" s="1"/>
  <c r="R1650" i="1"/>
  <c r="AE1650" i="1" s="1"/>
  <c r="K1616" i="1"/>
  <c r="X1616" i="1" s="1"/>
  <c r="L1389" i="1"/>
  <c r="Y1389" i="1" s="1"/>
  <c r="K219" i="1"/>
  <c r="X219" i="1" s="1"/>
  <c r="M632" i="1"/>
  <c r="Z632" i="1" s="1"/>
  <c r="M293" i="1"/>
  <c r="Z293" i="1" s="1"/>
  <c r="R1611" i="1"/>
  <c r="AE1611" i="1" s="1"/>
  <c r="P1404" i="1"/>
  <c r="AC1404" i="1" s="1"/>
  <c r="M191" i="1"/>
  <c r="Z191" i="1" s="1"/>
  <c r="O1117" i="1"/>
  <c r="AB1117" i="1" s="1"/>
  <c r="K1086" i="1"/>
  <c r="X1086" i="1" s="1"/>
  <c r="N1413" i="1"/>
  <c r="AA1413" i="1" s="1"/>
  <c r="S337" i="1"/>
  <c r="AF337" i="1" s="1"/>
  <c r="R90" i="1"/>
  <c r="AE90" i="1" s="1"/>
  <c r="K1195" i="1"/>
  <c r="X1195" i="1" s="1"/>
  <c r="N751" i="1"/>
  <c r="AA751" i="1" s="1"/>
  <c r="P1155" i="1"/>
  <c r="AC1155" i="1" s="1"/>
  <c r="M1246" i="1"/>
  <c r="Z1246" i="1" s="1"/>
  <c r="N1152" i="1"/>
  <c r="AA1152" i="1" s="1"/>
  <c r="K830" i="1"/>
  <c r="X830" i="1" s="1"/>
  <c r="K753" i="1"/>
  <c r="X753" i="1" s="1"/>
  <c r="K479" i="1"/>
  <c r="X479" i="1" s="1"/>
  <c r="Q204" i="1"/>
  <c r="AD204" i="1" s="1"/>
  <c r="M885" i="1"/>
  <c r="Z885" i="1" s="1"/>
  <c r="L1648" i="1"/>
  <c r="Y1648" i="1" s="1"/>
  <c r="L1154" i="1"/>
  <c r="Y1154" i="1" s="1"/>
  <c r="P803" i="1"/>
  <c r="AC803" i="1" s="1"/>
  <c r="N1117" i="1"/>
  <c r="AA1117" i="1" s="1"/>
  <c r="M1320" i="1"/>
  <c r="Z1320" i="1" s="1"/>
  <c r="M1581" i="1"/>
  <c r="Z1581" i="1" s="1"/>
  <c r="N898" i="1"/>
  <c r="AA898" i="1" s="1"/>
  <c r="K1503" i="1"/>
  <c r="X1503" i="1" s="1"/>
  <c r="M1090" i="1"/>
  <c r="Z1090" i="1" s="1"/>
  <c r="M1240" i="1"/>
  <c r="Z1240" i="1" s="1"/>
  <c r="L1220" i="1"/>
  <c r="Y1220" i="1" s="1"/>
  <c r="M1323" i="1"/>
  <c r="Z1323" i="1" s="1"/>
  <c r="M1046" i="1"/>
  <c r="Z1046" i="1" s="1"/>
  <c r="L799" i="1"/>
  <c r="Y799" i="1" s="1"/>
  <c r="N1111" i="1"/>
  <c r="AA1111" i="1" s="1"/>
  <c r="L928" i="1"/>
  <c r="Y928" i="1" s="1"/>
  <c r="O1235" i="1"/>
  <c r="AB1235" i="1" s="1"/>
  <c r="M1194" i="1"/>
  <c r="Z1194" i="1" s="1"/>
  <c r="O1064" i="1"/>
  <c r="AB1064" i="1" s="1"/>
  <c r="L1151" i="1"/>
  <c r="Y1151" i="1" s="1"/>
  <c r="S885" i="1"/>
  <c r="AF885" i="1" s="1"/>
  <c r="L1158" i="1"/>
  <c r="Y1158" i="1" s="1"/>
  <c r="T1299" i="1"/>
  <c r="AG1299" i="1" s="1"/>
  <c r="P1128" i="1"/>
  <c r="AC1128" i="1" s="1"/>
  <c r="N933" i="1"/>
  <c r="AA933" i="1" s="1"/>
  <c r="K828" i="1"/>
  <c r="X828" i="1" s="1"/>
  <c r="L700" i="1"/>
  <c r="Y700" i="1" s="1"/>
  <c r="M473" i="1"/>
  <c r="Z473" i="1" s="1"/>
  <c r="K206" i="1"/>
  <c r="X206" i="1" s="1"/>
  <c r="L1166" i="1"/>
  <c r="Y1166" i="1" s="1"/>
  <c r="K818" i="1"/>
  <c r="X818" i="1" s="1"/>
  <c r="M1311" i="1"/>
  <c r="Z1311" i="1" s="1"/>
  <c r="R755" i="1"/>
  <c r="AE755" i="1" s="1"/>
  <c r="M504" i="1"/>
  <c r="Z504" i="1" s="1"/>
  <c r="T624" i="1"/>
  <c r="AG624" i="1" s="1"/>
  <c r="O1339" i="1"/>
  <c r="AB1339" i="1" s="1"/>
  <c r="L456" i="1"/>
  <c r="Y456" i="1" s="1"/>
  <c r="N1453" i="1"/>
  <c r="AA1453" i="1" s="1"/>
  <c r="L901" i="1"/>
  <c r="Y901" i="1" s="1"/>
  <c r="N230" i="1"/>
  <c r="AA230" i="1" s="1"/>
  <c r="S260" i="1"/>
  <c r="AF260" i="1" s="1"/>
  <c r="R246" i="1"/>
  <c r="AE246" i="1" s="1"/>
  <c r="O737" i="1"/>
  <c r="AB737" i="1" s="1"/>
  <c r="P856" i="1"/>
  <c r="AC856" i="1" s="1"/>
  <c r="O1595" i="1"/>
  <c r="AB1595" i="1" s="1"/>
  <c r="N1650" i="1"/>
  <c r="AA1650" i="1" s="1"/>
  <c r="K895" i="1"/>
  <c r="X895" i="1" s="1"/>
  <c r="T729" i="1"/>
  <c r="AG729" i="1" s="1"/>
  <c r="K381" i="1"/>
  <c r="X381" i="1" s="1"/>
  <c r="K1076" i="1"/>
  <c r="X1076" i="1" s="1"/>
  <c r="Q765" i="1"/>
  <c r="AD765" i="1" s="1"/>
  <c r="K1313" i="1"/>
  <c r="X1313" i="1" s="1"/>
  <c r="K936" i="1"/>
  <c r="X936" i="1" s="1"/>
  <c r="Q222" i="1"/>
  <c r="AD222" i="1" s="1"/>
  <c r="Q1155" i="1"/>
  <c r="AD1155" i="1" s="1"/>
  <c r="M1214" i="1"/>
  <c r="Z1214" i="1" s="1"/>
  <c r="K1193" i="1"/>
  <c r="X1193" i="1" s="1"/>
  <c r="L1295" i="1"/>
  <c r="Y1295" i="1" s="1"/>
  <c r="L1216" i="1"/>
  <c r="Y1216" i="1" s="1"/>
  <c r="O1258" i="1"/>
  <c r="AB1258" i="1" s="1"/>
  <c r="O741" i="1"/>
  <c r="AB741" i="1" s="1"/>
  <c r="P712" i="1"/>
  <c r="AC712" i="1" s="1"/>
  <c r="M479" i="1"/>
  <c r="Z479" i="1" s="1"/>
  <c r="L34" i="1"/>
  <c r="Y34" i="1" s="1"/>
  <c r="N208" i="1"/>
  <c r="AA208" i="1" s="1"/>
  <c r="P880" i="1"/>
  <c r="AC880" i="1" s="1"/>
  <c r="Q352" i="1"/>
  <c r="AD352" i="1" s="1"/>
  <c r="M1088" i="1"/>
  <c r="Z1088" i="1" s="1"/>
  <c r="N1714" i="1"/>
  <c r="AA1714" i="1" s="1"/>
  <c r="N1709" i="1"/>
  <c r="AA1709" i="1" s="1"/>
  <c r="P1661" i="1"/>
  <c r="AC1661" i="1" s="1"/>
  <c r="O937" i="1"/>
  <c r="AB937" i="1" s="1"/>
  <c r="U183" i="1"/>
  <c r="AH183" i="1" s="1"/>
  <c r="N1313" i="1"/>
  <c r="AA1313" i="1" s="1"/>
  <c r="M1254" i="1"/>
  <c r="Z1254" i="1" s="1"/>
  <c r="L1196" i="1"/>
  <c r="Y1196" i="1" s="1"/>
  <c r="O1321" i="1"/>
  <c r="AB1321" i="1" s="1"/>
  <c r="M1349" i="1"/>
  <c r="Z1349" i="1" s="1"/>
  <c r="S339" i="1"/>
  <c r="AF339" i="1" s="1"/>
  <c r="K475" i="1"/>
  <c r="X475" i="1" s="1"/>
  <c r="O1040" i="1"/>
  <c r="AB1040" i="1" s="1"/>
  <c r="L1145" i="1"/>
  <c r="Y1145" i="1" s="1"/>
  <c r="M866" i="1"/>
  <c r="Z866" i="1" s="1"/>
  <c r="M1064" i="1"/>
  <c r="Z1064" i="1" s="1"/>
  <c r="R233" i="1"/>
  <c r="AE233" i="1" s="1"/>
  <c r="N1363" i="1"/>
  <c r="AA1363" i="1" s="1"/>
  <c r="M1142" i="1"/>
  <c r="Z1142" i="1" s="1"/>
  <c r="P167" i="1"/>
  <c r="AC167" i="1" s="1"/>
  <c r="R624" i="1"/>
  <c r="AE624" i="1" s="1"/>
  <c r="O504" i="1"/>
  <c r="AB504" i="1" s="1"/>
  <c r="N287" i="1"/>
  <c r="AA287" i="1" s="1"/>
  <c r="M183" i="1"/>
  <c r="Z183" i="1" s="1"/>
  <c r="K189" i="1"/>
  <c r="X189" i="1" s="1"/>
  <c r="K1421" i="1"/>
  <c r="X1421" i="1" s="1"/>
  <c r="O1288" i="1"/>
  <c r="AB1288" i="1" s="1"/>
  <c r="K697" i="1"/>
  <c r="X697" i="1" s="1"/>
  <c r="L225" i="1"/>
  <c r="Y225" i="1" s="1"/>
  <c r="R66" i="1"/>
  <c r="AE66" i="1" s="1"/>
  <c r="P165" i="1"/>
  <c r="AC165" i="1" s="1"/>
  <c r="K1576" i="1"/>
  <c r="X1576" i="1" s="1"/>
  <c r="K1632" i="1"/>
  <c r="X1632" i="1" s="1"/>
  <c r="M1674" i="1"/>
  <c r="Z1674" i="1" s="1"/>
  <c r="O1554" i="1"/>
  <c r="AB1554" i="1" s="1"/>
  <c r="L1453" i="1"/>
  <c r="Y1453" i="1" s="1"/>
  <c r="M1389" i="1"/>
  <c r="Z1389" i="1" s="1"/>
  <c r="S1040" i="1"/>
  <c r="AF1040" i="1" s="1"/>
  <c r="L884" i="1"/>
  <c r="Y884" i="1" s="1"/>
  <c r="K903" i="1"/>
  <c r="X903" i="1" s="1"/>
  <c r="K103" i="1"/>
  <c r="X103" i="1" s="1"/>
  <c r="K1101" i="1"/>
  <c r="X1101" i="1" s="1"/>
  <c r="S1000" i="1"/>
  <c r="AF1000" i="1" s="1"/>
  <c r="O1128" i="1"/>
  <c r="AB1128" i="1" s="1"/>
  <c r="K355" i="1"/>
  <c r="X355" i="1" s="1"/>
  <c r="O118" i="1"/>
  <c r="AB118" i="1" s="1"/>
  <c r="N244" i="1"/>
  <c r="AA244" i="1" s="1"/>
  <c r="L1195" i="1"/>
  <c r="Y1195" i="1" s="1"/>
  <c r="O751" i="1"/>
  <c r="AB751" i="1" s="1"/>
  <c r="R1155" i="1"/>
  <c r="AE1155" i="1" s="1"/>
  <c r="Q1337" i="1"/>
  <c r="AD1337" i="1" s="1"/>
  <c r="N1333" i="1"/>
  <c r="AA1333" i="1" s="1"/>
  <c r="K1227" i="1"/>
  <c r="X1227" i="1" s="1"/>
  <c r="P1152" i="1"/>
  <c r="AC1152" i="1" s="1"/>
  <c r="N892" i="1"/>
  <c r="AA892" i="1" s="1"/>
  <c r="O932" i="1"/>
  <c r="AB932" i="1" s="1"/>
  <c r="K878" i="1"/>
  <c r="X878" i="1" s="1"/>
  <c r="K201" i="1"/>
  <c r="X201" i="1" s="1"/>
  <c r="K143" i="1"/>
  <c r="X143" i="1" s="1"/>
  <c r="P21" i="1"/>
  <c r="AC21" i="1" s="1"/>
  <c r="L219" i="1"/>
  <c r="Y219" i="1" s="1"/>
  <c r="R208" i="1"/>
  <c r="AE208" i="1" s="1"/>
  <c r="N1153" i="1"/>
  <c r="AA1153" i="1" s="1"/>
  <c r="L1117" i="1"/>
  <c r="Y1117" i="1" s="1"/>
  <c r="R1610" i="1"/>
  <c r="AE1610" i="1" s="1"/>
  <c r="P1664" i="1"/>
  <c r="AC1664" i="1" s="1"/>
  <c r="M1675" i="1"/>
  <c r="Z1675" i="1" s="1"/>
  <c r="K1460" i="1"/>
  <c r="X1460" i="1" s="1"/>
  <c r="L398" i="1"/>
  <c r="Y398" i="1" s="1"/>
  <c r="Q27" i="1"/>
  <c r="AD27" i="1" s="1"/>
  <c r="S1519" i="1"/>
  <c r="AF1519" i="1" s="1"/>
  <c r="S1118" i="1"/>
  <c r="AF1118" i="1" s="1"/>
  <c r="O1092" i="1"/>
  <c r="AB1092" i="1" s="1"/>
  <c r="M397" i="1"/>
  <c r="Z397" i="1" s="1"/>
  <c r="O1194" i="1"/>
  <c r="AB1194" i="1" s="1"/>
  <c r="N1151" i="1"/>
  <c r="AA1151" i="1" s="1"/>
  <c r="K1105" i="1"/>
  <c r="X1105" i="1" s="1"/>
  <c r="P885" i="1"/>
  <c r="AC885" i="1" s="1"/>
  <c r="K1218" i="1"/>
  <c r="X1218" i="1" s="1"/>
  <c r="K1234" i="1"/>
  <c r="X1234" i="1" s="1"/>
  <c r="K1192" i="1"/>
  <c r="X1192" i="1" s="1"/>
  <c r="O608" i="1"/>
  <c r="AB608" i="1" s="1"/>
  <c r="K1551" i="1"/>
  <c r="X1551" i="1" s="1"/>
  <c r="O293" i="1"/>
  <c r="AB293" i="1" s="1"/>
  <c r="L281" i="1"/>
  <c r="Y281" i="1" s="1"/>
  <c r="L1659" i="1"/>
  <c r="Y1659" i="1" s="1"/>
  <c r="M1542" i="1"/>
  <c r="Z1542" i="1" s="1"/>
  <c r="K1032" i="1"/>
  <c r="X1032" i="1" s="1"/>
  <c r="L624" i="1"/>
  <c r="Y624" i="1" s="1"/>
  <c r="K1053" i="1"/>
  <c r="X1053" i="1" s="1"/>
  <c r="P1478" i="1"/>
  <c r="AC1478" i="1" s="1"/>
  <c r="S973" i="1"/>
  <c r="AF973" i="1" s="1"/>
  <c r="K117" i="1"/>
  <c r="X117" i="1" s="1"/>
  <c r="K1000" i="1"/>
  <c r="X1000" i="1" s="1"/>
  <c r="K1269" i="1"/>
  <c r="X1269" i="1" s="1"/>
  <c r="Q751" i="1"/>
  <c r="AD751" i="1" s="1"/>
  <c r="L1155" i="1"/>
  <c r="Y1155" i="1" s="1"/>
  <c r="R1337" i="1"/>
  <c r="AE1337" i="1" s="1"/>
  <c r="L1193" i="1"/>
  <c r="Y1193" i="1" s="1"/>
  <c r="M879" i="1"/>
  <c r="Z879" i="1" s="1"/>
  <c r="N753" i="1"/>
  <c r="AA753" i="1" s="1"/>
  <c r="T1650" i="1"/>
  <c r="AG1650" i="1" s="1"/>
  <c r="O1207" i="1"/>
  <c r="AB1207" i="1" s="1"/>
  <c r="R803" i="1"/>
  <c r="AE803" i="1" s="1"/>
  <c r="P716" i="1"/>
  <c r="AC716" i="1" s="1"/>
  <c r="P168" i="1"/>
  <c r="AC168" i="1" s="1"/>
  <c r="N138" i="1"/>
  <c r="AA138" i="1" s="1"/>
  <c r="N144" i="1"/>
  <c r="AA144" i="1" s="1"/>
  <c r="M740" i="1"/>
  <c r="Z740" i="1" s="1"/>
  <c r="K1554" i="1"/>
  <c r="X1554" i="1" s="1"/>
  <c r="O931" i="1"/>
  <c r="AB931" i="1" s="1"/>
  <c r="P24" i="1"/>
  <c r="AC24" i="1" s="1"/>
  <c r="N734" i="1"/>
  <c r="AA734" i="1" s="1"/>
  <c r="S401" i="1"/>
  <c r="AF401" i="1" s="1"/>
  <c r="O1353" i="1"/>
  <c r="AB1353" i="1" s="1"/>
  <c r="K1526" i="1"/>
  <c r="X1526" i="1" s="1"/>
  <c r="R804" i="1"/>
  <c r="AE804" i="1" s="1"/>
  <c r="L707" i="1"/>
  <c r="Y707" i="1" s="1"/>
  <c r="M1325" i="1"/>
  <c r="Z1325" i="1" s="1"/>
  <c r="S1312" i="1"/>
  <c r="AF1312" i="1" s="1"/>
  <c r="P1405" i="1"/>
  <c r="AC1405" i="1" s="1"/>
  <c r="N865" i="1"/>
  <c r="AA865" i="1" s="1"/>
  <c r="S349" i="1"/>
  <c r="AF349" i="1" s="1"/>
  <c r="K1242" i="1"/>
  <c r="X1242" i="1" s="1"/>
  <c r="P1574" i="1"/>
  <c r="AC1574" i="1" s="1"/>
  <c r="N1244" i="1"/>
  <c r="AA1244" i="1" s="1"/>
  <c r="L1301" i="1"/>
  <c r="Y1301" i="1" s="1"/>
  <c r="K877" i="1"/>
  <c r="X877" i="1" s="1"/>
  <c r="N1365" i="1"/>
  <c r="AA1365" i="1" s="1"/>
  <c r="T1157" i="1"/>
  <c r="AG1157" i="1" s="1"/>
  <c r="P801" i="1"/>
  <c r="AC801" i="1" s="1"/>
  <c r="K700" i="1"/>
  <c r="X700" i="1" s="1"/>
  <c r="R166" i="1"/>
  <c r="AE166" i="1" s="1"/>
  <c r="O1062" i="1"/>
  <c r="AB1062" i="1" s="1"/>
  <c r="U167" i="1"/>
  <c r="AH167" i="1" s="1"/>
  <c r="M650" i="1"/>
  <c r="Z650" i="1" s="1"/>
  <c r="K287" i="1"/>
  <c r="X287" i="1" s="1"/>
  <c r="N624" i="1"/>
  <c r="AA624" i="1" s="1"/>
  <c r="M240" i="1"/>
  <c r="Z240" i="1" s="1"/>
  <c r="P1522" i="1"/>
  <c r="AC1522" i="1" s="1"/>
  <c r="Q1040" i="1"/>
  <c r="AD1040" i="1" s="1"/>
  <c r="L532" i="1"/>
  <c r="Y532" i="1" s="1"/>
  <c r="O1712" i="1"/>
  <c r="AB1712" i="1" s="1"/>
  <c r="S1597" i="1"/>
  <c r="AF1597" i="1" s="1"/>
  <c r="O1535" i="1"/>
  <c r="AB1535" i="1" s="1"/>
  <c r="P1040" i="1"/>
  <c r="AC1040" i="1" s="1"/>
  <c r="P1218" i="1"/>
  <c r="AC1218" i="1" s="1"/>
  <c r="K1113" i="1"/>
  <c r="X1113" i="1" s="1"/>
  <c r="M1195" i="1"/>
  <c r="Z1195" i="1" s="1"/>
  <c r="O879" i="1"/>
  <c r="AB879" i="1" s="1"/>
  <c r="M798" i="1"/>
  <c r="Z798" i="1" s="1"/>
  <c r="L878" i="1"/>
  <c r="Y878" i="1" s="1"/>
  <c r="P479" i="1"/>
  <c r="AC479" i="1" s="1"/>
  <c r="L135" i="1"/>
  <c r="Y135" i="1" s="1"/>
  <c r="L485" i="1"/>
  <c r="Y485" i="1" s="1"/>
  <c r="O1243" i="1"/>
  <c r="AB1243" i="1" s="1"/>
  <c r="S168" i="1"/>
  <c r="AF168" i="1" s="1"/>
  <c r="P1153" i="1"/>
  <c r="AC1153" i="1" s="1"/>
  <c r="K1352" i="1"/>
  <c r="X1352" i="1" s="1"/>
  <c r="L1252" i="1"/>
  <c r="Y1252" i="1" s="1"/>
  <c r="Q115" i="1"/>
  <c r="AD115" i="1" s="1"/>
  <c r="O1600" i="1"/>
  <c r="AB1600" i="1" s="1"/>
  <c r="P1674" i="1"/>
  <c r="AC1674" i="1" s="1"/>
  <c r="T1392" i="1"/>
  <c r="AG1392" i="1" s="1"/>
  <c r="L1230" i="1"/>
  <c r="Y1230" i="1" s="1"/>
  <c r="M825" i="1"/>
  <c r="Z825" i="1" s="1"/>
  <c r="M839" i="1"/>
  <c r="Z839" i="1" s="1"/>
  <c r="Q1389" i="1"/>
  <c r="AD1389" i="1" s="1"/>
  <c r="O410" i="1"/>
  <c r="AB410" i="1" s="1"/>
  <c r="K1494" i="1"/>
  <c r="X1494" i="1" s="1"/>
  <c r="M827" i="1"/>
  <c r="Z827" i="1" s="1"/>
  <c r="K930" i="1"/>
  <c r="X930" i="1" s="1"/>
  <c r="O202" i="1"/>
  <c r="AB202" i="1" s="1"/>
  <c r="O1519" i="1"/>
  <c r="AB1519" i="1" s="1"/>
  <c r="K1321" i="1"/>
  <c r="X1321" i="1" s="1"/>
  <c r="K817" i="1"/>
  <c r="X817" i="1" s="1"/>
  <c r="R1364" i="1"/>
  <c r="AE1364" i="1" s="1"/>
  <c r="M1076" i="1"/>
  <c r="Z1076" i="1" s="1"/>
  <c r="P216" i="1"/>
  <c r="AC216" i="1" s="1"/>
  <c r="N528" i="1"/>
  <c r="AA528" i="1" s="1"/>
  <c r="M1293" i="1"/>
  <c r="Z1293" i="1" s="1"/>
  <c r="M1558" i="1"/>
  <c r="Z1558" i="1" s="1"/>
  <c r="M1301" i="1"/>
  <c r="Z1301" i="1" s="1"/>
  <c r="K1135" i="1"/>
  <c r="X1135" i="1" s="1"/>
  <c r="K1093" i="1"/>
  <c r="X1093" i="1" s="1"/>
  <c r="S1130" i="1"/>
  <c r="AF1130" i="1" s="1"/>
  <c r="L205" i="1"/>
  <c r="Y205" i="1" s="1"/>
  <c r="K884" i="1"/>
  <c r="X884" i="1" s="1"/>
  <c r="N1086" i="1"/>
  <c r="AA1086" i="1" s="1"/>
  <c r="Q806" i="1"/>
  <c r="AD806" i="1" s="1"/>
  <c r="R23" i="1"/>
  <c r="AE23" i="1" s="1"/>
  <c r="R466" i="1"/>
  <c r="AE466" i="1" s="1"/>
  <c r="P755" i="1"/>
  <c r="AC755" i="1" s="1"/>
  <c r="Q374" i="1"/>
  <c r="AD374" i="1" s="1"/>
  <c r="P183" i="1"/>
  <c r="AC183" i="1" s="1"/>
  <c r="K1253" i="1"/>
  <c r="X1253" i="1" s="1"/>
  <c r="M945" i="1"/>
  <c r="Z945" i="1" s="1"/>
  <c r="P1105" i="1"/>
  <c r="AC1105" i="1" s="1"/>
  <c r="K1519" i="1"/>
  <c r="X1519" i="1" s="1"/>
  <c r="O1542" i="1"/>
  <c r="AB1542" i="1" s="1"/>
  <c r="P767" i="1"/>
  <c r="AC767" i="1" s="1"/>
  <c r="M1567" i="1"/>
  <c r="Z1567" i="1" s="1"/>
  <c r="M456" i="1"/>
  <c r="Z456" i="1" s="1"/>
  <c r="R272" i="1"/>
  <c r="AE272" i="1" s="1"/>
  <c r="L189" i="1"/>
  <c r="Y189" i="1" s="1"/>
  <c r="Q1595" i="1"/>
  <c r="AD1595" i="1" s="1"/>
  <c r="P1024" i="1"/>
  <c r="AC1024" i="1" s="1"/>
  <c r="Q1429" i="1"/>
  <c r="AD1429" i="1" s="1"/>
  <c r="K485" i="1"/>
  <c r="X485" i="1" s="1"/>
  <c r="L1152" i="1"/>
  <c r="Y1152" i="1" s="1"/>
  <c r="M892" i="1"/>
  <c r="Z892" i="1" s="1"/>
  <c r="N932" i="1"/>
  <c r="AA932" i="1" s="1"/>
  <c r="R751" i="1"/>
  <c r="AE751" i="1" s="1"/>
  <c r="N1155" i="1"/>
  <c r="AA1155" i="1" s="1"/>
  <c r="Q1246" i="1"/>
  <c r="AD1246" i="1" s="1"/>
  <c r="M1344" i="1"/>
  <c r="Z1344" i="1" s="1"/>
  <c r="N830" i="1"/>
  <c r="AA830" i="1" s="1"/>
  <c r="O753" i="1"/>
  <c r="AB753" i="1" s="1"/>
  <c r="S741" i="1"/>
  <c r="AF741" i="1" s="1"/>
  <c r="O34" i="1"/>
  <c r="AB34" i="1" s="1"/>
  <c r="L8" i="1"/>
  <c r="Y8" i="1" s="1"/>
  <c r="Q170" i="1"/>
  <c r="AD170" i="1" s="1"/>
  <c r="L880" i="1"/>
  <c r="Y880" i="1" s="1"/>
  <c r="M1053" i="1"/>
  <c r="Z1053" i="1" s="1"/>
  <c r="N1231" i="1"/>
  <c r="AA1231" i="1" s="1"/>
  <c r="L1696" i="1"/>
  <c r="Y1696" i="1" s="1"/>
  <c r="L504" i="1"/>
  <c r="Y504" i="1" s="1"/>
  <c r="P1103" i="1"/>
  <c r="AC1103" i="1" s="1"/>
  <c r="N1350" i="1"/>
  <c r="AA1350" i="1" s="1"/>
  <c r="R703" i="1"/>
  <c r="AE703" i="1" s="1"/>
  <c r="L701" i="1"/>
  <c r="Y701" i="1" s="1"/>
  <c r="N831" i="1"/>
  <c r="AA831" i="1" s="1"/>
  <c r="K230" i="1"/>
  <c r="X230" i="1" s="1"/>
  <c r="L1170" i="1"/>
  <c r="Y1170" i="1" s="1"/>
  <c r="L1297" i="1"/>
  <c r="Y1297" i="1" s="1"/>
  <c r="S1326" i="1"/>
  <c r="AF1326" i="1" s="1"/>
  <c r="T936" i="1"/>
  <c r="AG936" i="1" s="1"/>
  <c r="Q469" i="1"/>
  <c r="AD469" i="1" s="1"/>
  <c r="L882" i="1"/>
  <c r="Y882" i="1" s="1"/>
  <c r="S975" i="1"/>
  <c r="AF975" i="1" s="1"/>
  <c r="P724" i="1"/>
  <c r="AC724" i="1" s="1"/>
  <c r="K463" i="1"/>
  <c r="X463" i="1" s="1"/>
  <c r="R361" i="1"/>
  <c r="AE361" i="1" s="1"/>
  <c r="O1113" i="1"/>
  <c r="AB1113" i="1" s="1"/>
  <c r="M1255" i="1"/>
  <c r="Z1255" i="1" s="1"/>
  <c r="L934" i="1"/>
  <c r="Y934" i="1" s="1"/>
  <c r="L1060" i="1"/>
  <c r="Y1060" i="1" s="1"/>
  <c r="N971" i="1"/>
  <c r="AA971" i="1" s="1"/>
  <c r="T532" i="1"/>
  <c r="AG532" i="1" s="1"/>
  <c r="O181" i="1"/>
  <c r="AB181" i="1" s="1"/>
  <c r="Q608" i="1"/>
  <c r="AD608" i="1" s="1"/>
  <c r="S650" i="1"/>
  <c r="AF650" i="1" s="1"/>
  <c r="N256" i="1"/>
  <c r="AA256" i="1" s="1"/>
  <c r="K952" i="1"/>
  <c r="X952" i="1" s="1"/>
  <c r="M337" i="1"/>
  <c r="Z337" i="1" s="1"/>
  <c r="P244" i="1"/>
  <c r="AC244" i="1" s="1"/>
  <c r="L167" i="1"/>
  <c r="Y167" i="1" s="1"/>
  <c r="M1606" i="1"/>
  <c r="Z1606" i="1" s="1"/>
  <c r="Q1453" i="1"/>
  <c r="AD1453" i="1" s="1"/>
  <c r="Q1478" i="1"/>
  <c r="AD1478" i="1" s="1"/>
  <c r="M1413" i="1"/>
  <c r="Z1413" i="1" s="1"/>
  <c r="O648" i="1"/>
  <c r="AB648" i="1" s="1"/>
  <c r="M256" i="1"/>
  <c r="Z256" i="1" s="1"/>
  <c r="L1460" i="1"/>
  <c r="Y1460" i="1" s="1"/>
  <c r="Q946" i="1"/>
  <c r="AD946" i="1" s="1"/>
  <c r="N944" i="1"/>
  <c r="AA944" i="1" s="1"/>
  <c r="S456" i="1"/>
  <c r="AF456" i="1" s="1"/>
  <c r="S520" i="1"/>
  <c r="AF520" i="1" s="1"/>
  <c r="R456" i="1"/>
  <c r="AE456" i="1" s="1"/>
  <c r="N339" i="1"/>
  <c r="AA339" i="1" s="1"/>
  <c r="O222" i="1"/>
  <c r="AB222" i="1" s="1"/>
  <c r="N23" i="1"/>
  <c r="AA23" i="1" s="1"/>
  <c r="L1600" i="1"/>
  <c r="Y1600" i="1" s="1"/>
  <c r="K1643" i="1"/>
  <c r="X1643" i="1" s="1"/>
  <c r="K1661" i="1"/>
  <c r="X1661" i="1" s="1"/>
  <c r="O1613" i="1"/>
  <c r="AB1613" i="1" s="1"/>
  <c r="L1008" i="1"/>
  <c r="Y1008" i="1" s="1"/>
  <c r="O1444" i="1"/>
  <c r="AB1444" i="1" s="1"/>
  <c r="P115" i="1"/>
  <c r="AC115" i="1" s="1"/>
  <c r="N852" i="1"/>
  <c r="AA852" i="1" s="1"/>
  <c r="S1080" i="1"/>
  <c r="AF1080" i="1" s="1"/>
  <c r="Q1119" i="1"/>
  <c r="AD1119" i="1" s="1"/>
  <c r="M852" i="1"/>
  <c r="Z852" i="1" s="1"/>
  <c r="Q116" i="1"/>
  <c r="AD116" i="1" s="1"/>
  <c r="M1152" i="1"/>
  <c r="Z1152" i="1" s="1"/>
  <c r="Q932" i="1"/>
  <c r="AD932" i="1" s="1"/>
  <c r="U741" i="1"/>
  <c r="AH741" i="1" s="1"/>
  <c r="O465" i="1"/>
  <c r="AB465" i="1" s="1"/>
  <c r="M280" i="1"/>
  <c r="Z280" i="1" s="1"/>
  <c r="K135" i="1"/>
  <c r="X135" i="1" s="1"/>
  <c r="Q870" i="1"/>
  <c r="AD870" i="1" s="1"/>
  <c r="Q143" i="1"/>
  <c r="AD143" i="1" s="1"/>
  <c r="L1405" i="1"/>
  <c r="Y1405" i="1" s="1"/>
  <c r="N803" i="1"/>
  <c r="AA803" i="1" s="1"/>
  <c r="Q144" i="1"/>
  <c r="AD144" i="1" s="1"/>
  <c r="M403" i="1"/>
  <c r="Z403" i="1" s="1"/>
  <c r="O1261" i="1"/>
  <c r="AB1261" i="1" s="1"/>
  <c r="M474" i="1"/>
  <c r="Z474" i="1" s="1"/>
  <c r="R1271" i="1"/>
  <c r="AE1271" i="1" s="1"/>
  <c r="O1478" i="1"/>
  <c r="AB1478" i="1" s="1"/>
  <c r="N802" i="1"/>
  <c r="AA802" i="1" s="1"/>
  <c r="K695" i="1"/>
  <c r="X695" i="1" s="1"/>
  <c r="P1519" i="1"/>
  <c r="AC1519" i="1" s="1"/>
  <c r="P1118" i="1"/>
  <c r="AC1118" i="1" s="1"/>
  <c r="S26" i="1"/>
  <c r="AF26" i="1" s="1"/>
  <c r="P1349" i="1"/>
  <c r="AC1349" i="1" s="1"/>
  <c r="L1092" i="1"/>
  <c r="Y1092" i="1" s="1"/>
  <c r="M1215" i="1"/>
  <c r="Z1215" i="1" s="1"/>
  <c r="N737" i="1"/>
  <c r="AA737" i="1" s="1"/>
  <c r="K1210" i="1"/>
  <c r="X1210" i="1" s="1"/>
  <c r="O1099" i="1"/>
  <c r="AB1099" i="1" s="1"/>
  <c r="Q832" i="1"/>
  <c r="AD832" i="1" s="1"/>
  <c r="R729" i="1"/>
  <c r="AE729" i="1" s="1"/>
  <c r="Q1062" i="1"/>
  <c r="AD1062" i="1" s="1"/>
  <c r="Q103" i="1"/>
  <c r="AD103" i="1" s="1"/>
  <c r="N1167" i="1"/>
  <c r="AA1167" i="1" s="1"/>
  <c r="N378" i="1"/>
  <c r="AA378" i="1" s="1"/>
  <c r="K983" i="1"/>
  <c r="X983" i="1" s="1"/>
  <c r="K1437" i="1"/>
  <c r="X1437" i="1" s="1"/>
  <c r="N191" i="1"/>
  <c r="AA191" i="1" s="1"/>
  <c r="O337" i="1"/>
  <c r="AB337" i="1" s="1"/>
  <c r="S1103" i="1"/>
  <c r="AF1103" i="1" s="1"/>
  <c r="K269" i="1"/>
  <c r="X269" i="1" s="1"/>
  <c r="L66" i="1"/>
  <c r="Y66" i="1" s="1"/>
  <c r="P1392" i="1"/>
  <c r="AC1392" i="1" s="1"/>
  <c r="K1319" i="1"/>
  <c r="X1319" i="1" s="1"/>
  <c r="L469" i="1"/>
  <c r="Y469" i="1" s="1"/>
  <c r="O90" i="1"/>
  <c r="AB90" i="1" s="1"/>
  <c r="M1312" i="1"/>
  <c r="Z1312" i="1" s="1"/>
  <c r="P945" i="1"/>
  <c r="AC945" i="1" s="1"/>
  <c r="M759" i="1"/>
  <c r="Z759" i="1" s="1"/>
  <c r="O1405" i="1"/>
  <c r="AB1405" i="1" s="1"/>
  <c r="P1313" i="1"/>
  <c r="AC1313" i="1" s="1"/>
  <c r="K1358" i="1"/>
  <c r="X1358" i="1" s="1"/>
  <c r="R1674" i="1"/>
  <c r="AE1674" i="1" s="1"/>
  <c r="M1584" i="1"/>
  <c r="Z1584" i="1" s="1"/>
  <c r="M1478" i="1"/>
  <c r="Z1478" i="1" s="1"/>
  <c r="K1413" i="1"/>
  <c r="X1413" i="1" s="1"/>
  <c r="M1397" i="1"/>
  <c r="Z1397" i="1" s="1"/>
  <c r="T857" i="1"/>
  <c r="AG857" i="1" s="1"/>
  <c r="P387" i="1"/>
  <c r="AC387" i="1" s="1"/>
  <c r="K1130" i="1"/>
  <c r="X1130" i="1" s="1"/>
  <c r="P281" i="1"/>
  <c r="AC281" i="1" s="1"/>
  <c r="K864" i="1"/>
  <c r="X864" i="1" s="1"/>
  <c r="L291" i="1"/>
  <c r="Y291" i="1" s="1"/>
  <c r="M725" i="1"/>
  <c r="Z725" i="1" s="1"/>
  <c r="K411" i="1"/>
  <c r="X411" i="1" s="1"/>
  <c r="O1155" i="1"/>
  <c r="AB1155" i="1" s="1"/>
  <c r="P963" i="1"/>
  <c r="AC963" i="1" s="1"/>
  <c r="P830" i="1"/>
  <c r="AC830" i="1" s="1"/>
  <c r="P932" i="1"/>
  <c r="AC932" i="1" s="1"/>
  <c r="N726" i="1"/>
  <c r="AA726" i="1" s="1"/>
  <c r="N741" i="1"/>
  <c r="AA741" i="1" s="1"/>
  <c r="P204" i="1"/>
  <c r="AC204" i="1" s="1"/>
  <c r="S870" i="1"/>
  <c r="AF870" i="1" s="1"/>
  <c r="N807" i="1"/>
  <c r="AA807" i="1" s="1"/>
  <c r="M1490" i="1"/>
  <c r="Z1490" i="1" s="1"/>
  <c r="P1131" i="1"/>
  <c r="AC1131" i="1" s="1"/>
  <c r="M1170" i="1"/>
  <c r="Z1170" i="1" s="1"/>
  <c r="N1063" i="1"/>
  <c r="AA1063" i="1" s="1"/>
  <c r="M1318" i="1"/>
  <c r="Z1318" i="1" s="1"/>
  <c r="K1318" i="1"/>
  <c r="X1318" i="1" s="1"/>
  <c r="M1677" i="1"/>
  <c r="Z1677" i="1" s="1"/>
  <c r="N1261" i="1"/>
  <c r="AA1261" i="1" s="1"/>
  <c r="L1217" i="1"/>
  <c r="Y1217" i="1" s="1"/>
  <c r="O898" i="1"/>
  <c r="AB898" i="1" s="1"/>
  <c r="P1373" i="1"/>
  <c r="AC1373" i="1" s="1"/>
  <c r="K1267" i="1"/>
  <c r="X1267" i="1" s="1"/>
  <c r="O714" i="1"/>
  <c r="AB714" i="1" s="1"/>
  <c r="S181" i="1"/>
  <c r="AF181" i="1" s="1"/>
  <c r="N1597" i="1"/>
  <c r="AA1597" i="1" s="1"/>
  <c r="M1307" i="1"/>
  <c r="Z1307" i="1" s="1"/>
  <c r="Q1533" i="1"/>
  <c r="AD1533" i="1" s="1"/>
  <c r="O469" i="1"/>
  <c r="AB469" i="1" s="1"/>
  <c r="M736" i="1"/>
  <c r="Z736" i="1" s="1"/>
  <c r="L136" i="1"/>
  <c r="Y136" i="1" s="1"/>
  <c r="P975" i="1"/>
  <c r="AC975" i="1" s="1"/>
  <c r="Q893" i="1"/>
  <c r="AD893" i="1" s="1"/>
  <c r="M1093" i="1"/>
  <c r="Z1093" i="1" s="1"/>
  <c r="K1186" i="1"/>
  <c r="X1186" i="1" s="1"/>
  <c r="R387" i="1"/>
  <c r="AE387" i="1" s="1"/>
  <c r="P1130" i="1"/>
  <c r="AC1130" i="1" s="1"/>
  <c r="Q1128" i="1"/>
  <c r="AD1128" i="1" s="1"/>
  <c r="M872" i="1"/>
  <c r="Z872" i="1" s="1"/>
  <c r="M1191" i="1"/>
  <c r="Z1191" i="1" s="1"/>
  <c r="O1384" i="1"/>
  <c r="AB1384" i="1" s="1"/>
  <c r="V1384" i="1"/>
  <c r="AI1384" i="1" s="1"/>
  <c r="N1384" i="1"/>
  <c r="AA1384" i="1" s="1"/>
  <c r="U1384" i="1"/>
  <c r="AH1384" i="1" s="1"/>
  <c r="M1384" i="1"/>
  <c r="Z1384" i="1" s="1"/>
  <c r="T1384" i="1"/>
  <c r="AG1384" i="1" s="1"/>
  <c r="L1384" i="1"/>
  <c r="Y1384" i="1" s="1"/>
  <c r="S1384" i="1"/>
  <c r="AF1384" i="1" s="1"/>
  <c r="K1384" i="1"/>
  <c r="X1384" i="1" s="1"/>
  <c r="R1384" i="1"/>
  <c r="AE1384" i="1" s="1"/>
  <c r="Q1384" i="1"/>
  <c r="AD1384" i="1" s="1"/>
  <c r="P1384" i="1"/>
  <c r="AC1384" i="1" s="1"/>
  <c r="R417" i="1"/>
  <c r="AE417" i="1" s="1"/>
  <c r="P417" i="1"/>
  <c r="AC417" i="1" s="1"/>
  <c r="O417" i="1"/>
  <c r="AB417" i="1" s="1"/>
  <c r="V417" i="1"/>
  <c r="AI417" i="1" s="1"/>
  <c r="N417" i="1"/>
  <c r="AA417" i="1" s="1"/>
  <c r="U417" i="1"/>
  <c r="AH417" i="1" s="1"/>
  <c r="M417" i="1"/>
  <c r="Z417" i="1" s="1"/>
  <c r="S417" i="1"/>
  <c r="AF417" i="1" s="1"/>
  <c r="K417" i="1"/>
  <c r="X417" i="1" s="1"/>
  <c r="Q417" i="1"/>
  <c r="AD417" i="1" s="1"/>
  <c r="L417" i="1"/>
  <c r="Y417" i="1" s="1"/>
  <c r="T417" i="1"/>
  <c r="AG417" i="1" s="1"/>
  <c r="R89" i="1"/>
  <c r="AE89" i="1" s="1"/>
  <c r="Q89" i="1"/>
  <c r="AD89" i="1" s="1"/>
  <c r="P89" i="1"/>
  <c r="AC89" i="1" s="1"/>
  <c r="O89" i="1"/>
  <c r="AB89" i="1" s="1"/>
  <c r="V89" i="1"/>
  <c r="AI89" i="1" s="1"/>
  <c r="N89" i="1"/>
  <c r="AA89" i="1" s="1"/>
  <c r="U89" i="1"/>
  <c r="AH89" i="1" s="1"/>
  <c r="M89" i="1"/>
  <c r="Z89" i="1" s="1"/>
  <c r="S89" i="1"/>
  <c r="AF89" i="1" s="1"/>
  <c r="K89" i="1"/>
  <c r="X89" i="1" s="1"/>
  <c r="T89" i="1"/>
  <c r="AG89" i="1" s="1"/>
  <c r="L89" i="1"/>
  <c r="Y89" i="1" s="1"/>
  <c r="T1481" i="1"/>
  <c r="AG1481" i="1" s="1"/>
  <c r="L1481" i="1"/>
  <c r="Y1481" i="1" s="1"/>
  <c r="S1481" i="1"/>
  <c r="AF1481" i="1" s="1"/>
  <c r="K1481" i="1"/>
  <c r="X1481" i="1" s="1"/>
  <c r="R1481" i="1"/>
  <c r="AE1481" i="1" s="1"/>
  <c r="Q1481" i="1"/>
  <c r="AD1481" i="1" s="1"/>
  <c r="P1481" i="1"/>
  <c r="AC1481" i="1" s="1"/>
  <c r="O1481" i="1"/>
  <c r="AB1481" i="1" s="1"/>
  <c r="V1481" i="1"/>
  <c r="AI1481" i="1" s="1"/>
  <c r="N1481" i="1"/>
  <c r="AA1481" i="1" s="1"/>
  <c r="U1481" i="1"/>
  <c r="AH1481" i="1" s="1"/>
  <c r="M1481" i="1"/>
  <c r="Z1481" i="1" s="1"/>
  <c r="R505" i="1"/>
  <c r="AE505" i="1" s="1"/>
  <c r="P505" i="1"/>
  <c r="AC505" i="1" s="1"/>
  <c r="O505" i="1"/>
  <c r="AB505" i="1" s="1"/>
  <c r="V505" i="1"/>
  <c r="AI505" i="1" s="1"/>
  <c r="N505" i="1"/>
  <c r="AA505" i="1" s="1"/>
  <c r="U505" i="1"/>
  <c r="AH505" i="1" s="1"/>
  <c r="M505" i="1"/>
  <c r="Z505" i="1" s="1"/>
  <c r="S505" i="1"/>
  <c r="AF505" i="1" s="1"/>
  <c r="K505" i="1"/>
  <c r="X505" i="1" s="1"/>
  <c r="Q505" i="1"/>
  <c r="AD505" i="1" s="1"/>
  <c r="L505" i="1"/>
  <c r="Y505" i="1" s="1"/>
  <c r="T505" i="1"/>
  <c r="AG505" i="1" s="1"/>
  <c r="S193" i="1"/>
  <c r="AF193" i="1" s="1"/>
  <c r="K193" i="1"/>
  <c r="X193" i="1" s="1"/>
  <c r="Q193" i="1"/>
  <c r="AD193" i="1" s="1"/>
  <c r="O193" i="1"/>
  <c r="AB193" i="1" s="1"/>
  <c r="U193" i="1"/>
  <c r="AH193" i="1" s="1"/>
  <c r="T193" i="1"/>
  <c r="AG193" i="1" s="1"/>
  <c r="R193" i="1"/>
  <c r="AE193" i="1" s="1"/>
  <c r="P193" i="1"/>
  <c r="AC193" i="1" s="1"/>
  <c r="N193" i="1"/>
  <c r="AA193" i="1" s="1"/>
  <c r="M193" i="1"/>
  <c r="Z193" i="1" s="1"/>
  <c r="V193" i="1"/>
  <c r="AI193" i="1" s="1"/>
  <c r="L193" i="1"/>
  <c r="Y193" i="1" s="1"/>
  <c r="T1501" i="1"/>
  <c r="AG1501" i="1" s="1"/>
  <c r="L1501" i="1"/>
  <c r="Y1501" i="1" s="1"/>
  <c r="S1501" i="1"/>
  <c r="AF1501" i="1" s="1"/>
  <c r="K1501" i="1"/>
  <c r="X1501" i="1" s="1"/>
  <c r="R1501" i="1"/>
  <c r="AE1501" i="1" s="1"/>
  <c r="Q1501" i="1"/>
  <c r="AD1501" i="1" s="1"/>
  <c r="P1501" i="1"/>
  <c r="AC1501" i="1" s="1"/>
  <c r="O1501" i="1"/>
  <c r="AB1501" i="1" s="1"/>
  <c r="V1501" i="1"/>
  <c r="AI1501" i="1" s="1"/>
  <c r="N1501" i="1"/>
  <c r="AA1501" i="1" s="1"/>
  <c r="U1501" i="1"/>
  <c r="AH1501" i="1" s="1"/>
  <c r="M1501" i="1"/>
  <c r="Z1501" i="1" s="1"/>
  <c r="P1009" i="1"/>
  <c r="AC1009" i="1" s="1"/>
  <c r="O1009" i="1"/>
  <c r="AB1009" i="1" s="1"/>
  <c r="V1009" i="1"/>
  <c r="AI1009" i="1" s="1"/>
  <c r="N1009" i="1"/>
  <c r="AA1009" i="1" s="1"/>
  <c r="U1009" i="1"/>
  <c r="AH1009" i="1" s="1"/>
  <c r="M1009" i="1"/>
  <c r="Z1009" i="1" s="1"/>
  <c r="T1009" i="1"/>
  <c r="AG1009" i="1" s="1"/>
  <c r="L1009" i="1"/>
  <c r="Y1009" i="1" s="1"/>
  <c r="S1009" i="1"/>
  <c r="AF1009" i="1" s="1"/>
  <c r="K1009" i="1"/>
  <c r="X1009" i="1" s="1"/>
  <c r="R1009" i="1"/>
  <c r="AE1009" i="1" s="1"/>
  <c r="Q1009" i="1"/>
  <c r="AD1009" i="1" s="1"/>
  <c r="O585" i="1"/>
  <c r="AB585" i="1" s="1"/>
  <c r="V585" i="1"/>
  <c r="AI585" i="1" s="1"/>
  <c r="N585" i="1"/>
  <c r="AA585" i="1" s="1"/>
  <c r="U585" i="1"/>
  <c r="AH585" i="1" s="1"/>
  <c r="M585" i="1"/>
  <c r="Z585" i="1" s="1"/>
  <c r="T585" i="1"/>
  <c r="AG585" i="1" s="1"/>
  <c r="L585" i="1"/>
  <c r="Y585" i="1" s="1"/>
  <c r="S585" i="1"/>
  <c r="AF585" i="1" s="1"/>
  <c r="K585" i="1"/>
  <c r="X585" i="1" s="1"/>
  <c r="R585" i="1"/>
  <c r="AE585" i="1" s="1"/>
  <c r="P585" i="1"/>
  <c r="AC585" i="1" s="1"/>
  <c r="Q585" i="1"/>
  <c r="AD585" i="1" s="1"/>
  <c r="R435" i="1"/>
  <c r="AE435" i="1" s="1"/>
  <c r="P435" i="1"/>
  <c r="AC435" i="1" s="1"/>
  <c r="O435" i="1"/>
  <c r="AB435" i="1" s="1"/>
  <c r="V435" i="1"/>
  <c r="AI435" i="1" s="1"/>
  <c r="N435" i="1"/>
  <c r="AA435" i="1" s="1"/>
  <c r="U435" i="1"/>
  <c r="AH435" i="1" s="1"/>
  <c r="M435" i="1"/>
  <c r="Z435" i="1" s="1"/>
  <c r="S435" i="1"/>
  <c r="AF435" i="1" s="1"/>
  <c r="K435" i="1"/>
  <c r="X435" i="1" s="1"/>
  <c r="T435" i="1"/>
  <c r="AG435" i="1" s="1"/>
  <c r="Q435" i="1"/>
  <c r="AD435" i="1" s="1"/>
  <c r="L435" i="1"/>
  <c r="Y435" i="1" s="1"/>
  <c r="R97" i="1"/>
  <c r="AE97" i="1" s="1"/>
  <c r="Q97" i="1"/>
  <c r="AD97" i="1" s="1"/>
  <c r="P97" i="1"/>
  <c r="AC97" i="1" s="1"/>
  <c r="O97" i="1"/>
  <c r="AB97" i="1" s="1"/>
  <c r="V97" i="1"/>
  <c r="AI97" i="1" s="1"/>
  <c r="N97" i="1"/>
  <c r="AA97" i="1" s="1"/>
  <c r="U97" i="1"/>
  <c r="AH97" i="1" s="1"/>
  <c r="M97" i="1"/>
  <c r="Z97" i="1" s="1"/>
  <c r="S97" i="1"/>
  <c r="AF97" i="1" s="1"/>
  <c r="K97" i="1"/>
  <c r="X97" i="1" s="1"/>
  <c r="L97" i="1"/>
  <c r="Y97" i="1" s="1"/>
  <c r="T97" i="1"/>
  <c r="AG97" i="1" s="1"/>
  <c r="R1692" i="1"/>
  <c r="AE1692" i="1" s="1"/>
  <c r="Q1692" i="1"/>
  <c r="AD1692" i="1" s="1"/>
  <c r="P1692" i="1"/>
  <c r="AC1692" i="1" s="1"/>
  <c r="O1692" i="1"/>
  <c r="AB1692" i="1" s="1"/>
  <c r="V1692" i="1"/>
  <c r="AI1692" i="1" s="1"/>
  <c r="N1692" i="1"/>
  <c r="AA1692" i="1" s="1"/>
  <c r="U1692" i="1"/>
  <c r="AH1692" i="1" s="1"/>
  <c r="M1692" i="1"/>
  <c r="Z1692" i="1" s="1"/>
  <c r="T1692" i="1"/>
  <c r="AG1692" i="1" s="1"/>
  <c r="L1692" i="1"/>
  <c r="Y1692" i="1" s="1"/>
  <c r="S1692" i="1"/>
  <c r="AF1692" i="1" s="1"/>
  <c r="K1692" i="1"/>
  <c r="X1692" i="1" s="1"/>
  <c r="P1442" i="1"/>
  <c r="AC1442" i="1" s="1"/>
  <c r="O1442" i="1"/>
  <c r="AB1442" i="1" s="1"/>
  <c r="V1442" i="1"/>
  <c r="AI1442" i="1" s="1"/>
  <c r="N1442" i="1"/>
  <c r="AA1442" i="1" s="1"/>
  <c r="U1442" i="1"/>
  <c r="AH1442" i="1" s="1"/>
  <c r="M1442" i="1"/>
  <c r="Z1442" i="1" s="1"/>
  <c r="T1442" i="1"/>
  <c r="AG1442" i="1" s="1"/>
  <c r="L1442" i="1"/>
  <c r="Y1442" i="1" s="1"/>
  <c r="S1442" i="1"/>
  <c r="AF1442" i="1" s="1"/>
  <c r="K1442" i="1"/>
  <c r="X1442" i="1" s="1"/>
  <c r="R1442" i="1"/>
  <c r="AE1442" i="1" s="1"/>
  <c r="Q1442" i="1"/>
  <c r="AD1442" i="1" s="1"/>
  <c r="P1019" i="1"/>
  <c r="AC1019" i="1" s="1"/>
  <c r="O1019" i="1"/>
  <c r="AB1019" i="1" s="1"/>
  <c r="V1019" i="1"/>
  <c r="AI1019" i="1" s="1"/>
  <c r="N1019" i="1"/>
  <c r="AA1019" i="1" s="1"/>
  <c r="U1019" i="1"/>
  <c r="AH1019" i="1" s="1"/>
  <c r="M1019" i="1"/>
  <c r="Z1019" i="1" s="1"/>
  <c r="T1019" i="1"/>
  <c r="AG1019" i="1" s="1"/>
  <c r="L1019" i="1"/>
  <c r="Y1019" i="1" s="1"/>
  <c r="S1019" i="1"/>
  <c r="AF1019" i="1" s="1"/>
  <c r="K1019" i="1"/>
  <c r="X1019" i="1" s="1"/>
  <c r="Q1019" i="1"/>
  <c r="AD1019" i="1" s="1"/>
  <c r="R1019" i="1"/>
  <c r="AE1019" i="1" s="1"/>
  <c r="O523" i="1"/>
  <c r="AB523" i="1" s="1"/>
  <c r="U523" i="1"/>
  <c r="AH523" i="1" s="1"/>
  <c r="M523" i="1"/>
  <c r="Z523" i="1" s="1"/>
  <c r="S523" i="1"/>
  <c r="AF523" i="1" s="1"/>
  <c r="K523" i="1"/>
  <c r="X523" i="1" s="1"/>
  <c r="R523" i="1"/>
  <c r="AE523" i="1" s="1"/>
  <c r="P523" i="1"/>
  <c r="AC523" i="1" s="1"/>
  <c r="V523" i="1"/>
  <c r="AI523" i="1" s="1"/>
  <c r="T523" i="1"/>
  <c r="AG523" i="1" s="1"/>
  <c r="Q523" i="1"/>
  <c r="AD523" i="1" s="1"/>
  <c r="N523" i="1"/>
  <c r="AA523" i="1" s="1"/>
  <c r="L523" i="1"/>
  <c r="Y523" i="1" s="1"/>
  <c r="T1081" i="1"/>
  <c r="AG1081" i="1" s="1"/>
  <c r="L1081" i="1"/>
  <c r="Y1081" i="1" s="1"/>
  <c r="S1081" i="1"/>
  <c r="AF1081" i="1" s="1"/>
  <c r="K1081" i="1"/>
  <c r="X1081" i="1" s="1"/>
  <c r="R1081" i="1"/>
  <c r="AE1081" i="1" s="1"/>
  <c r="Q1081" i="1"/>
  <c r="AD1081" i="1" s="1"/>
  <c r="P1081" i="1"/>
  <c r="AC1081" i="1" s="1"/>
  <c r="O1081" i="1"/>
  <c r="AB1081" i="1" s="1"/>
  <c r="V1081" i="1"/>
  <c r="AI1081" i="1" s="1"/>
  <c r="N1081" i="1"/>
  <c r="AA1081" i="1" s="1"/>
  <c r="U1081" i="1"/>
  <c r="AH1081" i="1" s="1"/>
  <c r="M1081" i="1"/>
  <c r="Z1081" i="1" s="1"/>
  <c r="R377" i="1"/>
  <c r="AE377" i="1" s="1"/>
  <c r="P377" i="1"/>
  <c r="AC377" i="1" s="1"/>
  <c r="V377" i="1"/>
  <c r="AI377" i="1" s="1"/>
  <c r="N377" i="1"/>
  <c r="AA377" i="1" s="1"/>
  <c r="U377" i="1"/>
  <c r="AH377" i="1" s="1"/>
  <c r="M377" i="1"/>
  <c r="Z377" i="1" s="1"/>
  <c r="S377" i="1"/>
  <c r="AF377" i="1" s="1"/>
  <c r="K377" i="1"/>
  <c r="X377" i="1" s="1"/>
  <c r="T377" i="1"/>
  <c r="AG377" i="1" s="1"/>
  <c r="Q377" i="1"/>
  <c r="AD377" i="1" s="1"/>
  <c r="O377" i="1"/>
  <c r="AB377" i="1" s="1"/>
  <c r="L377" i="1"/>
  <c r="Y377" i="1" s="1"/>
  <c r="V154" i="1"/>
  <c r="AI154" i="1" s="1"/>
  <c r="N154" i="1"/>
  <c r="AA154" i="1" s="1"/>
  <c r="U154" i="1"/>
  <c r="AH154" i="1" s="1"/>
  <c r="M154" i="1"/>
  <c r="Z154" i="1" s="1"/>
  <c r="T154" i="1"/>
  <c r="AG154" i="1" s="1"/>
  <c r="L154" i="1"/>
  <c r="Y154" i="1" s="1"/>
  <c r="S154" i="1"/>
  <c r="AF154" i="1" s="1"/>
  <c r="K154" i="1"/>
  <c r="X154" i="1" s="1"/>
  <c r="R154" i="1"/>
  <c r="AE154" i="1" s="1"/>
  <c r="Q154" i="1"/>
  <c r="AD154" i="1" s="1"/>
  <c r="O154" i="1"/>
  <c r="AB154" i="1" s="1"/>
  <c r="P154" i="1"/>
  <c r="AC154" i="1" s="1"/>
  <c r="U1573" i="1"/>
  <c r="AH1573" i="1" s="1"/>
  <c r="T1573" i="1"/>
  <c r="AG1573" i="1" s="1"/>
  <c r="L1573" i="1"/>
  <c r="Y1573" i="1" s="1"/>
  <c r="S1573" i="1"/>
  <c r="AF1573" i="1" s="1"/>
  <c r="K1573" i="1"/>
  <c r="X1573" i="1" s="1"/>
  <c r="R1573" i="1"/>
  <c r="AE1573" i="1" s="1"/>
  <c r="Q1573" i="1"/>
  <c r="AD1573" i="1" s="1"/>
  <c r="P1573" i="1"/>
  <c r="AC1573" i="1" s="1"/>
  <c r="V1573" i="1"/>
  <c r="AI1573" i="1" s="1"/>
  <c r="N1573" i="1"/>
  <c r="AA1573" i="1" s="1"/>
  <c r="O1573" i="1"/>
  <c r="AB1573" i="1" s="1"/>
  <c r="M1573" i="1"/>
  <c r="Z1573" i="1" s="1"/>
  <c r="P1031" i="1"/>
  <c r="AC1031" i="1" s="1"/>
  <c r="O1031" i="1"/>
  <c r="AB1031" i="1" s="1"/>
  <c r="V1031" i="1"/>
  <c r="AI1031" i="1" s="1"/>
  <c r="N1031" i="1"/>
  <c r="AA1031" i="1" s="1"/>
  <c r="U1031" i="1"/>
  <c r="AH1031" i="1" s="1"/>
  <c r="M1031" i="1"/>
  <c r="Z1031" i="1" s="1"/>
  <c r="T1031" i="1"/>
  <c r="AG1031" i="1" s="1"/>
  <c r="L1031" i="1"/>
  <c r="Y1031" i="1" s="1"/>
  <c r="S1031" i="1"/>
  <c r="AF1031" i="1" s="1"/>
  <c r="K1031" i="1"/>
  <c r="X1031" i="1" s="1"/>
  <c r="R1031" i="1"/>
  <c r="AE1031" i="1" s="1"/>
  <c r="Q1031" i="1"/>
  <c r="AD1031" i="1" s="1"/>
  <c r="U768" i="1"/>
  <c r="AH768" i="1" s="1"/>
  <c r="M768" i="1"/>
  <c r="Z768" i="1" s="1"/>
  <c r="T768" i="1"/>
  <c r="AG768" i="1" s="1"/>
  <c r="L768" i="1"/>
  <c r="Y768" i="1" s="1"/>
  <c r="S768" i="1"/>
  <c r="AF768" i="1" s="1"/>
  <c r="K768" i="1"/>
  <c r="X768" i="1" s="1"/>
  <c r="R768" i="1"/>
  <c r="AE768" i="1" s="1"/>
  <c r="Q768" i="1"/>
  <c r="AD768" i="1" s="1"/>
  <c r="P768" i="1"/>
  <c r="AC768" i="1" s="1"/>
  <c r="V768" i="1"/>
  <c r="AI768" i="1" s="1"/>
  <c r="N768" i="1"/>
  <c r="AA768" i="1" s="1"/>
  <c r="O768" i="1"/>
  <c r="AB768" i="1" s="1"/>
  <c r="V372" i="1"/>
  <c r="AI372" i="1" s="1"/>
  <c r="N372" i="1"/>
  <c r="AA372" i="1" s="1"/>
  <c r="T372" i="1"/>
  <c r="AG372" i="1" s="1"/>
  <c r="L372" i="1"/>
  <c r="Y372" i="1" s="1"/>
  <c r="R372" i="1"/>
  <c r="AE372" i="1" s="1"/>
  <c r="Q372" i="1"/>
  <c r="AD372" i="1" s="1"/>
  <c r="O372" i="1"/>
  <c r="AB372" i="1" s="1"/>
  <c r="U372" i="1"/>
  <c r="AH372" i="1" s="1"/>
  <c r="S372" i="1"/>
  <c r="AF372" i="1" s="1"/>
  <c r="P372" i="1"/>
  <c r="AC372" i="1" s="1"/>
  <c r="M372" i="1"/>
  <c r="Z372" i="1" s="1"/>
  <c r="K372" i="1"/>
  <c r="X372" i="1" s="1"/>
  <c r="V106" i="1"/>
  <c r="AI106" i="1" s="1"/>
  <c r="N106" i="1"/>
  <c r="AA106" i="1" s="1"/>
  <c r="U106" i="1"/>
  <c r="AH106" i="1" s="1"/>
  <c r="M106" i="1"/>
  <c r="Z106" i="1" s="1"/>
  <c r="T106" i="1"/>
  <c r="AG106" i="1" s="1"/>
  <c r="L106" i="1"/>
  <c r="Y106" i="1" s="1"/>
  <c r="S106" i="1"/>
  <c r="AF106" i="1" s="1"/>
  <c r="K106" i="1"/>
  <c r="X106" i="1" s="1"/>
  <c r="R106" i="1"/>
  <c r="AE106" i="1" s="1"/>
  <c r="Q106" i="1"/>
  <c r="AD106" i="1" s="1"/>
  <c r="O106" i="1"/>
  <c r="AB106" i="1" s="1"/>
  <c r="P106" i="1"/>
  <c r="AC106" i="1" s="1"/>
  <c r="R1357" i="1"/>
  <c r="AE1357" i="1" s="1"/>
  <c r="Q1357" i="1"/>
  <c r="AD1357" i="1" s="1"/>
  <c r="O1357" i="1"/>
  <c r="AB1357" i="1" s="1"/>
  <c r="V1357" i="1"/>
  <c r="AI1357" i="1" s="1"/>
  <c r="N1357" i="1"/>
  <c r="AA1357" i="1" s="1"/>
  <c r="U1357" i="1"/>
  <c r="AH1357" i="1" s="1"/>
  <c r="M1357" i="1"/>
  <c r="Z1357" i="1" s="1"/>
  <c r="K1357" i="1"/>
  <c r="X1357" i="1" s="1"/>
  <c r="T1357" i="1"/>
  <c r="AG1357" i="1" s="1"/>
  <c r="S1357" i="1"/>
  <c r="AF1357" i="1" s="1"/>
  <c r="P1357" i="1"/>
  <c r="AC1357" i="1" s="1"/>
  <c r="L1357" i="1"/>
  <c r="Y1357" i="1" s="1"/>
  <c r="V1372" i="1"/>
  <c r="AI1372" i="1" s="1"/>
  <c r="N1372" i="1"/>
  <c r="AA1372" i="1" s="1"/>
  <c r="U1372" i="1"/>
  <c r="AH1372" i="1" s="1"/>
  <c r="M1372" i="1"/>
  <c r="Z1372" i="1" s="1"/>
  <c r="S1372" i="1"/>
  <c r="AF1372" i="1" s="1"/>
  <c r="K1372" i="1"/>
  <c r="X1372" i="1" s="1"/>
  <c r="R1372" i="1"/>
  <c r="AE1372" i="1" s="1"/>
  <c r="Q1372" i="1"/>
  <c r="AD1372" i="1" s="1"/>
  <c r="T1372" i="1"/>
  <c r="AG1372" i="1" s="1"/>
  <c r="P1372" i="1"/>
  <c r="AC1372" i="1" s="1"/>
  <c r="O1372" i="1"/>
  <c r="AB1372" i="1" s="1"/>
  <c r="L1372" i="1"/>
  <c r="Y1372" i="1" s="1"/>
  <c r="P1029" i="1"/>
  <c r="AC1029" i="1" s="1"/>
  <c r="O1029" i="1"/>
  <c r="AB1029" i="1" s="1"/>
  <c r="V1029" i="1"/>
  <c r="AI1029" i="1" s="1"/>
  <c r="N1029" i="1"/>
  <c r="AA1029" i="1" s="1"/>
  <c r="U1029" i="1"/>
  <c r="AH1029" i="1" s="1"/>
  <c r="M1029" i="1"/>
  <c r="Z1029" i="1" s="1"/>
  <c r="T1029" i="1"/>
  <c r="AG1029" i="1" s="1"/>
  <c r="L1029" i="1"/>
  <c r="Y1029" i="1" s="1"/>
  <c r="S1029" i="1"/>
  <c r="AF1029" i="1" s="1"/>
  <c r="K1029" i="1"/>
  <c r="X1029" i="1" s="1"/>
  <c r="R1029" i="1"/>
  <c r="AE1029" i="1" s="1"/>
  <c r="Q1029" i="1"/>
  <c r="AD1029" i="1" s="1"/>
  <c r="Q731" i="1"/>
  <c r="AD731" i="1" s="1"/>
  <c r="P731" i="1"/>
  <c r="AC731" i="1" s="1"/>
  <c r="O731" i="1"/>
  <c r="AB731" i="1" s="1"/>
  <c r="V731" i="1"/>
  <c r="AI731" i="1" s="1"/>
  <c r="N731" i="1"/>
  <c r="AA731" i="1" s="1"/>
  <c r="U731" i="1"/>
  <c r="AH731" i="1" s="1"/>
  <c r="M731" i="1"/>
  <c r="Z731" i="1" s="1"/>
  <c r="T731" i="1"/>
  <c r="AG731" i="1" s="1"/>
  <c r="L731" i="1"/>
  <c r="Y731" i="1" s="1"/>
  <c r="R731" i="1"/>
  <c r="AE731" i="1" s="1"/>
  <c r="S731" i="1"/>
  <c r="AF731" i="1" s="1"/>
  <c r="K731" i="1"/>
  <c r="X731" i="1" s="1"/>
  <c r="N1184" i="1"/>
  <c r="AA1184" i="1" s="1"/>
  <c r="K516" i="1"/>
  <c r="X516" i="1" s="1"/>
  <c r="R378" i="1"/>
  <c r="AE378" i="1" s="1"/>
  <c r="M1371" i="1"/>
  <c r="Z1371" i="1" s="1"/>
  <c r="M1611" i="1"/>
  <c r="Z1611" i="1" s="1"/>
  <c r="K1490" i="1"/>
  <c r="X1490" i="1" s="1"/>
  <c r="Q1181" i="1"/>
  <c r="AD1181" i="1" s="1"/>
  <c r="R1284" i="1"/>
  <c r="AE1284" i="1" s="1"/>
  <c r="Q1284" i="1"/>
  <c r="AD1284" i="1" s="1"/>
  <c r="O1284" i="1"/>
  <c r="AB1284" i="1" s="1"/>
  <c r="V1284" i="1"/>
  <c r="AI1284" i="1" s="1"/>
  <c r="N1284" i="1"/>
  <c r="AA1284" i="1" s="1"/>
  <c r="U1284" i="1"/>
  <c r="AH1284" i="1" s="1"/>
  <c r="M1284" i="1"/>
  <c r="Z1284" i="1" s="1"/>
  <c r="S1284" i="1"/>
  <c r="AF1284" i="1" s="1"/>
  <c r="P1284" i="1"/>
  <c r="AC1284" i="1" s="1"/>
  <c r="L1284" i="1"/>
  <c r="Y1284" i="1" s="1"/>
  <c r="K1284" i="1"/>
  <c r="X1284" i="1" s="1"/>
  <c r="T1284" i="1"/>
  <c r="AG1284" i="1" s="1"/>
  <c r="O1556" i="1"/>
  <c r="AB1556" i="1" s="1"/>
  <c r="V1556" i="1"/>
  <c r="AI1556" i="1" s="1"/>
  <c r="N1556" i="1"/>
  <c r="AA1556" i="1" s="1"/>
  <c r="U1556" i="1"/>
  <c r="AH1556" i="1" s="1"/>
  <c r="M1556" i="1"/>
  <c r="Z1556" i="1" s="1"/>
  <c r="T1556" i="1"/>
  <c r="AG1556" i="1" s="1"/>
  <c r="L1556" i="1"/>
  <c r="Y1556" i="1" s="1"/>
  <c r="R1556" i="1"/>
  <c r="AE1556" i="1" s="1"/>
  <c r="K1556" i="1"/>
  <c r="X1556" i="1" s="1"/>
  <c r="S1556" i="1"/>
  <c r="AF1556" i="1" s="1"/>
  <c r="Q1556" i="1"/>
  <c r="AD1556" i="1" s="1"/>
  <c r="P1556" i="1"/>
  <c r="AC1556" i="1" s="1"/>
  <c r="R155" i="1"/>
  <c r="AE155" i="1" s="1"/>
  <c r="M1360" i="1"/>
  <c r="Z1360" i="1" s="1"/>
  <c r="O650" i="1"/>
  <c r="AB650" i="1" s="1"/>
  <c r="S163" i="1"/>
  <c r="AF163" i="1" s="1"/>
  <c r="K163" i="1"/>
  <c r="X163" i="1" s="1"/>
  <c r="Q163" i="1"/>
  <c r="AD163" i="1" s="1"/>
  <c r="R163" i="1"/>
  <c r="AE163" i="1" s="1"/>
  <c r="P163" i="1"/>
  <c r="AC163" i="1" s="1"/>
  <c r="O163" i="1"/>
  <c r="AB163" i="1" s="1"/>
  <c r="N163" i="1"/>
  <c r="AA163" i="1" s="1"/>
  <c r="M163" i="1"/>
  <c r="Z163" i="1" s="1"/>
  <c r="V163" i="1"/>
  <c r="AI163" i="1" s="1"/>
  <c r="L163" i="1"/>
  <c r="Y163" i="1" s="1"/>
  <c r="T163" i="1"/>
  <c r="AG163" i="1" s="1"/>
  <c r="U163" i="1"/>
  <c r="AH163" i="1" s="1"/>
  <c r="P1183" i="1"/>
  <c r="AC1183" i="1" s="1"/>
  <c r="M946" i="1"/>
  <c r="Z946" i="1" s="1"/>
  <c r="K979" i="1"/>
  <c r="X979" i="1" s="1"/>
  <c r="K726" i="1"/>
  <c r="X726" i="1" s="1"/>
  <c r="P399" i="1"/>
  <c r="AC399" i="1" s="1"/>
  <c r="L722" i="1"/>
  <c r="Y722" i="1" s="1"/>
  <c r="N157" i="1"/>
  <c r="AA157" i="1" s="1"/>
  <c r="K175" i="1"/>
  <c r="X175" i="1" s="1"/>
  <c r="T984" i="1"/>
  <c r="AG984" i="1" s="1"/>
  <c r="L984" i="1"/>
  <c r="Y984" i="1" s="1"/>
  <c r="S984" i="1"/>
  <c r="AF984" i="1" s="1"/>
  <c r="K984" i="1"/>
  <c r="X984" i="1" s="1"/>
  <c r="R984" i="1"/>
  <c r="AE984" i="1" s="1"/>
  <c r="Q984" i="1"/>
  <c r="AD984" i="1" s="1"/>
  <c r="P984" i="1"/>
  <c r="AC984" i="1" s="1"/>
  <c r="O984" i="1"/>
  <c r="AB984" i="1" s="1"/>
  <c r="U984" i="1"/>
  <c r="AH984" i="1" s="1"/>
  <c r="N984" i="1"/>
  <c r="AA984" i="1" s="1"/>
  <c r="M984" i="1"/>
  <c r="Z984" i="1" s="1"/>
  <c r="V984" i="1"/>
  <c r="AI984" i="1" s="1"/>
  <c r="S1549" i="1"/>
  <c r="AF1549" i="1" s="1"/>
  <c r="K1549" i="1"/>
  <c r="X1549" i="1" s="1"/>
  <c r="R1549" i="1"/>
  <c r="AE1549" i="1" s="1"/>
  <c r="Q1549" i="1"/>
  <c r="AD1549" i="1" s="1"/>
  <c r="P1549" i="1"/>
  <c r="AC1549" i="1" s="1"/>
  <c r="V1549" i="1"/>
  <c r="AI1549" i="1" s="1"/>
  <c r="N1549" i="1"/>
  <c r="AA1549" i="1" s="1"/>
  <c r="L1549" i="1"/>
  <c r="Y1549" i="1" s="1"/>
  <c r="U1549" i="1"/>
  <c r="AH1549" i="1" s="1"/>
  <c r="T1549" i="1"/>
  <c r="AG1549" i="1" s="1"/>
  <c r="O1549" i="1"/>
  <c r="AB1549" i="1" s="1"/>
  <c r="M1549" i="1"/>
  <c r="Z1549" i="1" s="1"/>
  <c r="S1330" i="1"/>
  <c r="AF1330" i="1" s="1"/>
  <c r="K1330" i="1"/>
  <c r="X1330" i="1" s="1"/>
  <c r="R1330" i="1"/>
  <c r="AE1330" i="1" s="1"/>
  <c r="Q1330" i="1"/>
  <c r="AD1330" i="1" s="1"/>
  <c r="P1330" i="1"/>
  <c r="AC1330" i="1" s="1"/>
  <c r="O1330" i="1"/>
  <c r="AB1330" i="1" s="1"/>
  <c r="V1330" i="1"/>
  <c r="AI1330" i="1" s="1"/>
  <c r="N1330" i="1"/>
  <c r="AA1330" i="1" s="1"/>
  <c r="U1330" i="1"/>
  <c r="AH1330" i="1" s="1"/>
  <c r="M1330" i="1"/>
  <c r="Z1330" i="1" s="1"/>
  <c r="T1330" i="1"/>
  <c r="AG1330" i="1" s="1"/>
  <c r="L1330" i="1"/>
  <c r="Y1330" i="1" s="1"/>
  <c r="S630" i="1"/>
  <c r="AF630" i="1" s="1"/>
  <c r="K630" i="1"/>
  <c r="X630" i="1" s="1"/>
  <c r="R630" i="1"/>
  <c r="AE630" i="1" s="1"/>
  <c r="Q630" i="1"/>
  <c r="AD630" i="1" s="1"/>
  <c r="P630" i="1"/>
  <c r="AC630" i="1" s="1"/>
  <c r="O630" i="1"/>
  <c r="AB630" i="1" s="1"/>
  <c r="V630" i="1"/>
  <c r="AI630" i="1" s="1"/>
  <c r="N630" i="1"/>
  <c r="AA630" i="1" s="1"/>
  <c r="T630" i="1"/>
  <c r="AG630" i="1" s="1"/>
  <c r="L630" i="1"/>
  <c r="Y630" i="1" s="1"/>
  <c r="U630" i="1"/>
  <c r="AH630" i="1" s="1"/>
  <c r="M630" i="1"/>
  <c r="Z630" i="1" s="1"/>
  <c r="R326" i="1"/>
  <c r="AE326" i="1" s="1"/>
  <c r="Q326" i="1"/>
  <c r="AD326" i="1" s="1"/>
  <c r="U326" i="1"/>
  <c r="AH326" i="1" s="1"/>
  <c r="K326" i="1"/>
  <c r="X326" i="1" s="1"/>
  <c r="T326" i="1"/>
  <c r="AG326" i="1" s="1"/>
  <c r="S326" i="1"/>
  <c r="AF326" i="1" s="1"/>
  <c r="P326" i="1"/>
  <c r="AC326" i="1" s="1"/>
  <c r="O326" i="1"/>
  <c r="AB326" i="1" s="1"/>
  <c r="N326" i="1"/>
  <c r="AA326" i="1" s="1"/>
  <c r="V326" i="1"/>
  <c r="AI326" i="1" s="1"/>
  <c r="L326" i="1"/>
  <c r="Y326" i="1" s="1"/>
  <c r="M326" i="1"/>
  <c r="Z326" i="1" s="1"/>
  <c r="U1679" i="1"/>
  <c r="AH1679" i="1" s="1"/>
  <c r="M1679" i="1"/>
  <c r="Z1679" i="1" s="1"/>
  <c r="T1679" i="1"/>
  <c r="AG1679" i="1" s="1"/>
  <c r="L1679" i="1"/>
  <c r="Y1679" i="1" s="1"/>
  <c r="S1679" i="1"/>
  <c r="AF1679" i="1" s="1"/>
  <c r="K1679" i="1"/>
  <c r="X1679" i="1" s="1"/>
  <c r="R1679" i="1"/>
  <c r="AE1679" i="1" s="1"/>
  <c r="Q1679" i="1"/>
  <c r="AD1679" i="1" s="1"/>
  <c r="P1679" i="1"/>
  <c r="AC1679" i="1" s="1"/>
  <c r="V1679" i="1"/>
  <c r="AI1679" i="1" s="1"/>
  <c r="O1679" i="1"/>
  <c r="AB1679" i="1" s="1"/>
  <c r="N1679" i="1"/>
  <c r="AA1679" i="1" s="1"/>
  <c r="O1179" i="1"/>
  <c r="AB1179" i="1" s="1"/>
  <c r="O852" i="1"/>
  <c r="AB852" i="1" s="1"/>
  <c r="N162" i="1"/>
  <c r="AA162" i="1" s="1"/>
  <c r="L1214" i="1"/>
  <c r="Y1214" i="1" s="1"/>
  <c r="K1376" i="1"/>
  <c r="X1376" i="1" s="1"/>
  <c r="L1183" i="1"/>
  <c r="Y1183" i="1" s="1"/>
  <c r="K1344" i="1"/>
  <c r="X1344" i="1" s="1"/>
  <c r="O1184" i="1"/>
  <c r="AB1184" i="1" s="1"/>
  <c r="P1102" i="1"/>
  <c r="AC1102" i="1" s="1"/>
  <c r="O1102" i="1"/>
  <c r="AB1102" i="1" s="1"/>
  <c r="V1102" i="1"/>
  <c r="AI1102" i="1" s="1"/>
  <c r="N1102" i="1"/>
  <c r="AA1102" i="1" s="1"/>
  <c r="U1102" i="1"/>
  <c r="AH1102" i="1" s="1"/>
  <c r="M1102" i="1"/>
  <c r="Z1102" i="1" s="1"/>
  <c r="T1102" i="1"/>
  <c r="AG1102" i="1" s="1"/>
  <c r="L1102" i="1"/>
  <c r="Y1102" i="1" s="1"/>
  <c r="S1102" i="1"/>
  <c r="AF1102" i="1" s="1"/>
  <c r="K1102" i="1"/>
  <c r="X1102" i="1" s="1"/>
  <c r="R1102" i="1"/>
  <c r="AE1102" i="1" s="1"/>
  <c r="Q1102" i="1"/>
  <c r="AD1102" i="1" s="1"/>
  <c r="L946" i="1"/>
  <c r="Y946" i="1" s="1"/>
  <c r="Q857" i="1"/>
  <c r="AD857" i="1" s="1"/>
  <c r="S726" i="1"/>
  <c r="AF726" i="1" s="1"/>
  <c r="N465" i="1"/>
  <c r="AA465" i="1" s="1"/>
  <c r="K280" i="1"/>
  <c r="X280" i="1" s="1"/>
  <c r="T968" i="1"/>
  <c r="AG968" i="1" s="1"/>
  <c r="L968" i="1"/>
  <c r="Y968" i="1" s="1"/>
  <c r="S968" i="1"/>
  <c r="AF968" i="1" s="1"/>
  <c r="K968" i="1"/>
  <c r="X968" i="1" s="1"/>
  <c r="R968" i="1"/>
  <c r="AE968" i="1" s="1"/>
  <c r="Q968" i="1"/>
  <c r="AD968" i="1" s="1"/>
  <c r="P968" i="1"/>
  <c r="AC968" i="1" s="1"/>
  <c r="O968" i="1"/>
  <c r="AB968" i="1" s="1"/>
  <c r="U968" i="1"/>
  <c r="AH968" i="1" s="1"/>
  <c r="N968" i="1"/>
  <c r="AA968" i="1" s="1"/>
  <c r="M968" i="1"/>
  <c r="Z968" i="1" s="1"/>
  <c r="V968" i="1"/>
  <c r="AI968" i="1" s="1"/>
  <c r="V442" i="1"/>
  <c r="AI442" i="1" s="1"/>
  <c r="N442" i="1"/>
  <c r="AA442" i="1" s="1"/>
  <c r="T442" i="1"/>
  <c r="AG442" i="1" s="1"/>
  <c r="L442" i="1"/>
  <c r="Y442" i="1" s="1"/>
  <c r="S442" i="1"/>
  <c r="AF442" i="1" s="1"/>
  <c r="K442" i="1"/>
  <c r="X442" i="1" s="1"/>
  <c r="R442" i="1"/>
  <c r="AE442" i="1" s="1"/>
  <c r="Q442" i="1"/>
  <c r="AD442" i="1" s="1"/>
  <c r="O442" i="1"/>
  <c r="AB442" i="1" s="1"/>
  <c r="U442" i="1"/>
  <c r="AH442" i="1" s="1"/>
  <c r="P442" i="1"/>
  <c r="AC442" i="1" s="1"/>
  <c r="M442" i="1"/>
  <c r="Z442" i="1" s="1"/>
  <c r="P1458" i="1"/>
  <c r="AC1458" i="1" s="1"/>
  <c r="O1458" i="1"/>
  <c r="AB1458" i="1" s="1"/>
  <c r="V1458" i="1"/>
  <c r="AI1458" i="1" s="1"/>
  <c r="N1458" i="1"/>
  <c r="AA1458" i="1" s="1"/>
  <c r="U1458" i="1"/>
  <c r="AH1458" i="1" s="1"/>
  <c r="M1458" i="1"/>
  <c r="Z1458" i="1" s="1"/>
  <c r="T1458" i="1"/>
  <c r="AG1458" i="1" s="1"/>
  <c r="L1458" i="1"/>
  <c r="Y1458" i="1" s="1"/>
  <c r="S1458" i="1"/>
  <c r="AF1458" i="1" s="1"/>
  <c r="K1458" i="1"/>
  <c r="X1458" i="1" s="1"/>
  <c r="R1458" i="1"/>
  <c r="AE1458" i="1" s="1"/>
  <c r="Q1458" i="1"/>
  <c r="AD1458" i="1" s="1"/>
  <c r="R1278" i="1"/>
  <c r="AE1278" i="1" s="1"/>
  <c r="Q1278" i="1"/>
  <c r="AD1278" i="1" s="1"/>
  <c r="O1278" i="1"/>
  <c r="AB1278" i="1" s="1"/>
  <c r="V1278" i="1"/>
  <c r="AI1278" i="1" s="1"/>
  <c r="N1278" i="1"/>
  <c r="AA1278" i="1" s="1"/>
  <c r="U1278" i="1"/>
  <c r="AH1278" i="1" s="1"/>
  <c r="M1278" i="1"/>
  <c r="Z1278" i="1" s="1"/>
  <c r="T1278" i="1"/>
  <c r="AG1278" i="1" s="1"/>
  <c r="S1278" i="1"/>
  <c r="AF1278" i="1" s="1"/>
  <c r="P1278" i="1"/>
  <c r="AC1278" i="1" s="1"/>
  <c r="L1278" i="1"/>
  <c r="Y1278" i="1" s="1"/>
  <c r="K1278" i="1"/>
  <c r="X1278" i="1" s="1"/>
  <c r="V1212" i="1"/>
  <c r="AI1212" i="1" s="1"/>
  <c r="N1212" i="1"/>
  <c r="AA1212" i="1" s="1"/>
  <c r="U1212" i="1"/>
  <c r="AH1212" i="1" s="1"/>
  <c r="M1212" i="1"/>
  <c r="Z1212" i="1" s="1"/>
  <c r="T1212" i="1"/>
  <c r="AG1212" i="1" s="1"/>
  <c r="L1212" i="1"/>
  <c r="Y1212" i="1" s="1"/>
  <c r="S1212" i="1"/>
  <c r="AF1212" i="1" s="1"/>
  <c r="K1212" i="1"/>
  <c r="X1212" i="1" s="1"/>
  <c r="R1212" i="1"/>
  <c r="AE1212" i="1" s="1"/>
  <c r="Q1212" i="1"/>
  <c r="AD1212" i="1" s="1"/>
  <c r="P1212" i="1"/>
  <c r="AC1212" i="1" s="1"/>
  <c r="O1212" i="1"/>
  <c r="AB1212" i="1" s="1"/>
  <c r="Q871" i="1"/>
  <c r="AD871" i="1" s="1"/>
  <c r="P871" i="1"/>
  <c r="AC871" i="1" s="1"/>
  <c r="O871" i="1"/>
  <c r="AB871" i="1" s="1"/>
  <c r="V871" i="1"/>
  <c r="AI871" i="1" s="1"/>
  <c r="N871" i="1"/>
  <c r="AA871" i="1" s="1"/>
  <c r="U871" i="1"/>
  <c r="AH871" i="1" s="1"/>
  <c r="M871" i="1"/>
  <c r="Z871" i="1" s="1"/>
  <c r="T871" i="1"/>
  <c r="AG871" i="1" s="1"/>
  <c r="L871" i="1"/>
  <c r="Y871" i="1" s="1"/>
  <c r="R871" i="1"/>
  <c r="AE871" i="1" s="1"/>
  <c r="K871" i="1"/>
  <c r="X871" i="1" s="1"/>
  <c r="S871" i="1"/>
  <c r="AF871" i="1" s="1"/>
  <c r="Q777" i="1"/>
  <c r="AD777" i="1" s="1"/>
  <c r="P777" i="1"/>
  <c r="AC777" i="1" s="1"/>
  <c r="O777" i="1"/>
  <c r="AB777" i="1" s="1"/>
  <c r="V777" i="1"/>
  <c r="AI777" i="1" s="1"/>
  <c r="N777" i="1"/>
  <c r="AA777" i="1" s="1"/>
  <c r="U777" i="1"/>
  <c r="AH777" i="1" s="1"/>
  <c r="M777" i="1"/>
  <c r="Z777" i="1" s="1"/>
  <c r="T777" i="1"/>
  <c r="AG777" i="1" s="1"/>
  <c r="L777" i="1"/>
  <c r="Y777" i="1" s="1"/>
  <c r="R777" i="1"/>
  <c r="AE777" i="1" s="1"/>
  <c r="S777" i="1"/>
  <c r="AF777" i="1" s="1"/>
  <c r="K777" i="1"/>
  <c r="X777" i="1" s="1"/>
  <c r="R449" i="1"/>
  <c r="AE449" i="1" s="1"/>
  <c r="P449" i="1"/>
  <c r="AC449" i="1" s="1"/>
  <c r="O449" i="1"/>
  <c r="AB449" i="1" s="1"/>
  <c r="V449" i="1"/>
  <c r="AI449" i="1" s="1"/>
  <c r="N449" i="1"/>
  <c r="AA449" i="1" s="1"/>
  <c r="U449" i="1"/>
  <c r="AH449" i="1" s="1"/>
  <c r="M449" i="1"/>
  <c r="Z449" i="1" s="1"/>
  <c r="S449" i="1"/>
  <c r="AF449" i="1" s="1"/>
  <c r="K449" i="1"/>
  <c r="X449" i="1" s="1"/>
  <c r="Q449" i="1"/>
  <c r="AD449" i="1" s="1"/>
  <c r="L449" i="1"/>
  <c r="Y449" i="1" s="1"/>
  <c r="T449" i="1"/>
  <c r="AG449" i="1" s="1"/>
  <c r="O577" i="1"/>
  <c r="AB577" i="1" s="1"/>
  <c r="V577" i="1"/>
  <c r="AI577" i="1" s="1"/>
  <c r="N577" i="1"/>
  <c r="AA577" i="1" s="1"/>
  <c r="U577" i="1"/>
  <c r="AH577" i="1" s="1"/>
  <c r="M577" i="1"/>
  <c r="Z577" i="1" s="1"/>
  <c r="T577" i="1"/>
  <c r="AG577" i="1" s="1"/>
  <c r="L577" i="1"/>
  <c r="Y577" i="1" s="1"/>
  <c r="S577" i="1"/>
  <c r="AF577" i="1" s="1"/>
  <c r="K577" i="1"/>
  <c r="X577" i="1" s="1"/>
  <c r="R577" i="1"/>
  <c r="AE577" i="1" s="1"/>
  <c r="P577" i="1"/>
  <c r="AC577" i="1" s="1"/>
  <c r="Q577" i="1"/>
  <c r="AD577" i="1" s="1"/>
  <c r="S614" i="1"/>
  <c r="AF614" i="1" s="1"/>
  <c r="K614" i="1"/>
  <c r="X614" i="1" s="1"/>
  <c r="R614" i="1"/>
  <c r="AE614" i="1" s="1"/>
  <c r="Q614" i="1"/>
  <c r="AD614" i="1" s="1"/>
  <c r="P614" i="1"/>
  <c r="AC614" i="1" s="1"/>
  <c r="O614" i="1"/>
  <c r="AB614" i="1" s="1"/>
  <c r="V614" i="1"/>
  <c r="AI614" i="1" s="1"/>
  <c r="N614" i="1"/>
  <c r="AA614" i="1" s="1"/>
  <c r="T614" i="1"/>
  <c r="AG614" i="1" s="1"/>
  <c r="L614" i="1"/>
  <c r="Y614" i="1" s="1"/>
  <c r="U614" i="1"/>
  <c r="AH614" i="1" s="1"/>
  <c r="M614" i="1"/>
  <c r="Z614" i="1" s="1"/>
  <c r="O527" i="1"/>
  <c r="AB527" i="1" s="1"/>
  <c r="U527" i="1"/>
  <c r="AH527" i="1" s="1"/>
  <c r="M527" i="1"/>
  <c r="Z527" i="1" s="1"/>
  <c r="S527" i="1"/>
  <c r="AF527" i="1" s="1"/>
  <c r="K527" i="1"/>
  <c r="X527" i="1" s="1"/>
  <c r="R527" i="1"/>
  <c r="AE527" i="1" s="1"/>
  <c r="P527" i="1"/>
  <c r="AC527" i="1" s="1"/>
  <c r="Q527" i="1"/>
  <c r="AD527" i="1" s="1"/>
  <c r="N527" i="1"/>
  <c r="AA527" i="1" s="1"/>
  <c r="L527" i="1"/>
  <c r="Y527" i="1" s="1"/>
  <c r="T527" i="1"/>
  <c r="AG527" i="1" s="1"/>
  <c r="V527" i="1"/>
  <c r="AI527" i="1" s="1"/>
  <c r="O567" i="1"/>
  <c r="AB567" i="1" s="1"/>
  <c r="V567" i="1"/>
  <c r="AI567" i="1" s="1"/>
  <c r="N567" i="1"/>
  <c r="AA567" i="1" s="1"/>
  <c r="U567" i="1"/>
  <c r="AH567" i="1" s="1"/>
  <c r="M567" i="1"/>
  <c r="Z567" i="1" s="1"/>
  <c r="T567" i="1"/>
  <c r="AG567" i="1" s="1"/>
  <c r="L567" i="1"/>
  <c r="Y567" i="1" s="1"/>
  <c r="S567" i="1"/>
  <c r="AF567" i="1" s="1"/>
  <c r="K567" i="1"/>
  <c r="X567" i="1" s="1"/>
  <c r="R567" i="1"/>
  <c r="AE567" i="1" s="1"/>
  <c r="P567" i="1"/>
  <c r="AC567" i="1" s="1"/>
  <c r="Q567" i="1"/>
  <c r="AD567" i="1" s="1"/>
  <c r="R353" i="1"/>
  <c r="AE353" i="1" s="1"/>
  <c r="P353" i="1"/>
  <c r="AC353" i="1" s="1"/>
  <c r="V353" i="1"/>
  <c r="AI353" i="1" s="1"/>
  <c r="N353" i="1"/>
  <c r="AA353" i="1" s="1"/>
  <c r="U353" i="1"/>
  <c r="AH353" i="1" s="1"/>
  <c r="M353" i="1"/>
  <c r="Z353" i="1" s="1"/>
  <c r="S353" i="1"/>
  <c r="AF353" i="1" s="1"/>
  <c r="K353" i="1"/>
  <c r="X353" i="1" s="1"/>
  <c r="Q353" i="1"/>
  <c r="AD353" i="1" s="1"/>
  <c r="O353" i="1"/>
  <c r="AB353" i="1" s="1"/>
  <c r="L353" i="1"/>
  <c r="Y353" i="1" s="1"/>
  <c r="T353" i="1"/>
  <c r="AG353" i="1" s="1"/>
  <c r="R268" i="1"/>
  <c r="AE268" i="1" s="1"/>
  <c r="Q268" i="1"/>
  <c r="AD268" i="1" s="1"/>
  <c r="P268" i="1"/>
  <c r="AC268" i="1" s="1"/>
  <c r="O268" i="1"/>
  <c r="AB268" i="1" s="1"/>
  <c r="V268" i="1"/>
  <c r="AI268" i="1" s="1"/>
  <c r="N268" i="1"/>
  <c r="AA268" i="1" s="1"/>
  <c r="U268" i="1"/>
  <c r="AH268" i="1" s="1"/>
  <c r="M268" i="1"/>
  <c r="Z268" i="1" s="1"/>
  <c r="S268" i="1"/>
  <c r="AF268" i="1" s="1"/>
  <c r="K268" i="1"/>
  <c r="X268" i="1" s="1"/>
  <c r="T268" i="1"/>
  <c r="AG268" i="1" s="1"/>
  <c r="L268" i="1"/>
  <c r="Y268" i="1" s="1"/>
  <c r="V92" i="1"/>
  <c r="AI92" i="1" s="1"/>
  <c r="N92" i="1"/>
  <c r="AA92" i="1" s="1"/>
  <c r="U92" i="1"/>
  <c r="AH92" i="1" s="1"/>
  <c r="M92" i="1"/>
  <c r="Z92" i="1" s="1"/>
  <c r="T92" i="1"/>
  <c r="AG92" i="1" s="1"/>
  <c r="L92" i="1"/>
  <c r="Y92" i="1" s="1"/>
  <c r="S92" i="1"/>
  <c r="AF92" i="1" s="1"/>
  <c r="K92" i="1"/>
  <c r="X92" i="1" s="1"/>
  <c r="R92" i="1"/>
  <c r="AE92" i="1" s="1"/>
  <c r="Q92" i="1"/>
  <c r="AD92" i="1" s="1"/>
  <c r="O92" i="1"/>
  <c r="AB92" i="1" s="1"/>
  <c r="P92" i="1"/>
  <c r="AC92" i="1" s="1"/>
  <c r="R59" i="1"/>
  <c r="AE59" i="1" s="1"/>
  <c r="Q59" i="1"/>
  <c r="AD59" i="1" s="1"/>
  <c r="P59" i="1"/>
  <c r="AC59" i="1" s="1"/>
  <c r="O59" i="1"/>
  <c r="AB59" i="1" s="1"/>
  <c r="V59" i="1"/>
  <c r="AI59" i="1" s="1"/>
  <c r="N59" i="1"/>
  <c r="AA59" i="1" s="1"/>
  <c r="U59" i="1"/>
  <c r="AH59" i="1" s="1"/>
  <c r="M59" i="1"/>
  <c r="Z59" i="1" s="1"/>
  <c r="S59" i="1"/>
  <c r="AF59" i="1" s="1"/>
  <c r="K59" i="1"/>
  <c r="X59" i="1" s="1"/>
  <c r="T59" i="1"/>
  <c r="AG59" i="1" s="1"/>
  <c r="L59" i="1"/>
  <c r="Y59" i="1" s="1"/>
  <c r="S544" i="1"/>
  <c r="AF544" i="1" s="1"/>
  <c r="K544" i="1"/>
  <c r="X544" i="1" s="1"/>
  <c r="Q544" i="1"/>
  <c r="AD544" i="1" s="1"/>
  <c r="O544" i="1"/>
  <c r="AB544" i="1" s="1"/>
  <c r="V544" i="1"/>
  <c r="AI544" i="1" s="1"/>
  <c r="N544" i="1"/>
  <c r="AA544" i="1" s="1"/>
  <c r="T544" i="1"/>
  <c r="AG544" i="1" s="1"/>
  <c r="L544" i="1"/>
  <c r="Y544" i="1" s="1"/>
  <c r="U544" i="1"/>
  <c r="AH544" i="1" s="1"/>
  <c r="R544" i="1"/>
  <c r="AE544" i="1" s="1"/>
  <c r="P544" i="1"/>
  <c r="AC544" i="1" s="1"/>
  <c r="M544" i="1"/>
  <c r="Z544" i="1" s="1"/>
  <c r="R266" i="1"/>
  <c r="AE266" i="1" s="1"/>
  <c r="Q266" i="1"/>
  <c r="AD266" i="1" s="1"/>
  <c r="P266" i="1"/>
  <c r="AC266" i="1" s="1"/>
  <c r="O266" i="1"/>
  <c r="AB266" i="1" s="1"/>
  <c r="V266" i="1"/>
  <c r="AI266" i="1" s="1"/>
  <c r="N266" i="1"/>
  <c r="AA266" i="1" s="1"/>
  <c r="U266" i="1"/>
  <c r="AH266" i="1" s="1"/>
  <c r="M266" i="1"/>
  <c r="Z266" i="1" s="1"/>
  <c r="S266" i="1"/>
  <c r="AF266" i="1" s="1"/>
  <c r="K266" i="1"/>
  <c r="X266" i="1" s="1"/>
  <c r="L266" i="1"/>
  <c r="Y266" i="1" s="1"/>
  <c r="T266" i="1"/>
  <c r="AG266" i="1" s="1"/>
  <c r="T1509" i="1"/>
  <c r="AG1509" i="1" s="1"/>
  <c r="L1509" i="1"/>
  <c r="Y1509" i="1" s="1"/>
  <c r="S1509" i="1"/>
  <c r="AF1509" i="1" s="1"/>
  <c r="K1509" i="1"/>
  <c r="X1509" i="1" s="1"/>
  <c r="R1509" i="1"/>
  <c r="AE1509" i="1" s="1"/>
  <c r="Q1509" i="1"/>
  <c r="AD1509" i="1" s="1"/>
  <c r="P1509" i="1"/>
  <c r="AC1509" i="1" s="1"/>
  <c r="O1509" i="1"/>
  <c r="AB1509" i="1" s="1"/>
  <c r="V1509" i="1"/>
  <c r="AI1509" i="1" s="1"/>
  <c r="N1509" i="1"/>
  <c r="AA1509" i="1" s="1"/>
  <c r="U1509" i="1"/>
  <c r="AH1509" i="1" s="1"/>
  <c r="M1509" i="1"/>
  <c r="Z1509" i="1" s="1"/>
  <c r="S638" i="1"/>
  <c r="AF638" i="1" s="1"/>
  <c r="K638" i="1"/>
  <c r="X638" i="1" s="1"/>
  <c r="R638" i="1"/>
  <c r="AE638" i="1" s="1"/>
  <c r="Q638" i="1"/>
  <c r="AD638" i="1" s="1"/>
  <c r="P638" i="1"/>
  <c r="AC638" i="1" s="1"/>
  <c r="O638" i="1"/>
  <c r="AB638" i="1" s="1"/>
  <c r="V638" i="1"/>
  <c r="AI638" i="1" s="1"/>
  <c r="N638" i="1"/>
  <c r="AA638" i="1" s="1"/>
  <c r="T638" i="1"/>
  <c r="AG638" i="1" s="1"/>
  <c r="L638" i="1"/>
  <c r="Y638" i="1" s="1"/>
  <c r="U638" i="1"/>
  <c r="AH638" i="1" s="1"/>
  <c r="M638" i="1"/>
  <c r="Z638" i="1" s="1"/>
  <c r="V40" i="1"/>
  <c r="AI40" i="1" s="1"/>
  <c r="N40" i="1"/>
  <c r="AA40" i="1" s="1"/>
  <c r="U40" i="1"/>
  <c r="AH40" i="1" s="1"/>
  <c r="M40" i="1"/>
  <c r="Z40" i="1" s="1"/>
  <c r="T40" i="1"/>
  <c r="AG40" i="1" s="1"/>
  <c r="L40" i="1"/>
  <c r="Y40" i="1" s="1"/>
  <c r="S40" i="1"/>
  <c r="AF40" i="1" s="1"/>
  <c r="K40" i="1"/>
  <c r="X40" i="1" s="1"/>
  <c r="R40" i="1"/>
  <c r="AE40" i="1" s="1"/>
  <c r="Q40" i="1"/>
  <c r="AD40" i="1" s="1"/>
  <c r="O40" i="1"/>
  <c r="AB40" i="1" s="1"/>
  <c r="P40" i="1"/>
  <c r="AC40" i="1" s="1"/>
  <c r="V438" i="1"/>
  <c r="AI438" i="1" s="1"/>
  <c r="N438" i="1"/>
  <c r="AA438" i="1" s="1"/>
  <c r="T438" i="1"/>
  <c r="AG438" i="1" s="1"/>
  <c r="L438" i="1"/>
  <c r="Y438" i="1" s="1"/>
  <c r="S438" i="1"/>
  <c r="AF438" i="1" s="1"/>
  <c r="K438" i="1"/>
  <c r="X438" i="1" s="1"/>
  <c r="R438" i="1"/>
  <c r="AE438" i="1" s="1"/>
  <c r="Q438" i="1"/>
  <c r="AD438" i="1" s="1"/>
  <c r="O438" i="1"/>
  <c r="AB438" i="1" s="1"/>
  <c r="U438" i="1"/>
  <c r="AH438" i="1" s="1"/>
  <c r="P438" i="1"/>
  <c r="AC438" i="1" s="1"/>
  <c r="M438" i="1"/>
  <c r="Z438" i="1" s="1"/>
  <c r="Q805" i="1"/>
  <c r="AD805" i="1" s="1"/>
  <c r="P805" i="1"/>
  <c r="AC805" i="1" s="1"/>
  <c r="O805" i="1"/>
  <c r="AB805" i="1" s="1"/>
  <c r="V805" i="1"/>
  <c r="AI805" i="1" s="1"/>
  <c r="N805" i="1"/>
  <c r="AA805" i="1" s="1"/>
  <c r="U805" i="1"/>
  <c r="AH805" i="1" s="1"/>
  <c r="M805" i="1"/>
  <c r="Z805" i="1" s="1"/>
  <c r="T805" i="1"/>
  <c r="AG805" i="1" s="1"/>
  <c r="L805" i="1"/>
  <c r="Y805" i="1" s="1"/>
  <c r="R805" i="1"/>
  <c r="AE805" i="1" s="1"/>
  <c r="S805" i="1"/>
  <c r="AF805" i="1" s="1"/>
  <c r="K805" i="1"/>
  <c r="X805" i="1" s="1"/>
  <c r="U782" i="1"/>
  <c r="AH782" i="1" s="1"/>
  <c r="M782" i="1"/>
  <c r="Z782" i="1" s="1"/>
  <c r="T782" i="1"/>
  <c r="AG782" i="1" s="1"/>
  <c r="L782" i="1"/>
  <c r="Y782" i="1" s="1"/>
  <c r="S782" i="1"/>
  <c r="AF782" i="1" s="1"/>
  <c r="K782" i="1"/>
  <c r="X782" i="1" s="1"/>
  <c r="R782" i="1"/>
  <c r="AE782" i="1" s="1"/>
  <c r="Q782" i="1"/>
  <c r="AD782" i="1" s="1"/>
  <c r="P782" i="1"/>
  <c r="AC782" i="1" s="1"/>
  <c r="V782" i="1"/>
  <c r="AI782" i="1" s="1"/>
  <c r="N782" i="1"/>
  <c r="AA782" i="1" s="1"/>
  <c r="O782" i="1"/>
  <c r="AB782" i="1" s="1"/>
  <c r="S678" i="1"/>
  <c r="AF678" i="1" s="1"/>
  <c r="K678" i="1"/>
  <c r="X678" i="1" s="1"/>
  <c r="R678" i="1"/>
  <c r="AE678" i="1" s="1"/>
  <c r="Q678" i="1"/>
  <c r="AD678" i="1" s="1"/>
  <c r="P678" i="1"/>
  <c r="AC678" i="1" s="1"/>
  <c r="O678" i="1"/>
  <c r="AB678" i="1" s="1"/>
  <c r="V678" i="1"/>
  <c r="AI678" i="1" s="1"/>
  <c r="N678" i="1"/>
  <c r="AA678" i="1" s="1"/>
  <c r="T678" i="1"/>
  <c r="AG678" i="1" s="1"/>
  <c r="L678" i="1"/>
  <c r="Y678" i="1" s="1"/>
  <c r="U678" i="1"/>
  <c r="AH678" i="1" s="1"/>
  <c r="M678" i="1"/>
  <c r="Z678" i="1" s="1"/>
  <c r="O539" i="1"/>
  <c r="AB539" i="1" s="1"/>
  <c r="U539" i="1"/>
  <c r="AH539" i="1" s="1"/>
  <c r="M539" i="1"/>
  <c r="Z539" i="1" s="1"/>
  <c r="S539" i="1"/>
  <c r="AF539" i="1" s="1"/>
  <c r="K539" i="1"/>
  <c r="X539" i="1" s="1"/>
  <c r="R539" i="1"/>
  <c r="AE539" i="1" s="1"/>
  <c r="P539" i="1"/>
  <c r="AC539" i="1" s="1"/>
  <c r="V539" i="1"/>
  <c r="AI539" i="1" s="1"/>
  <c r="T539" i="1"/>
  <c r="AG539" i="1" s="1"/>
  <c r="Q539" i="1"/>
  <c r="AD539" i="1" s="1"/>
  <c r="N539" i="1"/>
  <c r="AA539" i="1" s="1"/>
  <c r="L539" i="1"/>
  <c r="Y539" i="1" s="1"/>
  <c r="O573" i="1"/>
  <c r="AB573" i="1" s="1"/>
  <c r="V573" i="1"/>
  <c r="AI573" i="1" s="1"/>
  <c r="N573" i="1"/>
  <c r="AA573" i="1" s="1"/>
  <c r="U573" i="1"/>
  <c r="AH573" i="1" s="1"/>
  <c r="M573" i="1"/>
  <c r="Z573" i="1" s="1"/>
  <c r="T573" i="1"/>
  <c r="AG573" i="1" s="1"/>
  <c r="L573" i="1"/>
  <c r="Y573" i="1" s="1"/>
  <c r="S573" i="1"/>
  <c r="AF573" i="1" s="1"/>
  <c r="K573" i="1"/>
  <c r="X573" i="1" s="1"/>
  <c r="R573" i="1"/>
  <c r="AE573" i="1" s="1"/>
  <c r="P573" i="1"/>
  <c r="AC573" i="1" s="1"/>
  <c r="Q573" i="1"/>
  <c r="AD573" i="1" s="1"/>
  <c r="S610" i="1"/>
  <c r="AF610" i="1" s="1"/>
  <c r="K610" i="1"/>
  <c r="X610" i="1" s="1"/>
  <c r="R610" i="1"/>
  <c r="AE610" i="1" s="1"/>
  <c r="Q610" i="1"/>
  <c r="AD610" i="1" s="1"/>
  <c r="P610" i="1"/>
  <c r="AC610" i="1" s="1"/>
  <c r="O610" i="1"/>
  <c r="AB610" i="1" s="1"/>
  <c r="V610" i="1"/>
  <c r="AI610" i="1" s="1"/>
  <c r="N610" i="1"/>
  <c r="AA610" i="1" s="1"/>
  <c r="T610" i="1"/>
  <c r="AG610" i="1" s="1"/>
  <c r="L610" i="1"/>
  <c r="Y610" i="1" s="1"/>
  <c r="U610" i="1"/>
  <c r="AH610" i="1" s="1"/>
  <c r="M610" i="1"/>
  <c r="Z610" i="1" s="1"/>
  <c r="U517" i="1"/>
  <c r="AH517" i="1" s="1"/>
  <c r="M517" i="1"/>
  <c r="Z517" i="1" s="1"/>
  <c r="R517" i="1"/>
  <c r="AE517" i="1" s="1"/>
  <c r="P517" i="1"/>
  <c r="AC517" i="1" s="1"/>
  <c r="T517" i="1"/>
  <c r="AG517" i="1" s="1"/>
  <c r="S517" i="1"/>
  <c r="AF517" i="1" s="1"/>
  <c r="Q517" i="1"/>
  <c r="AD517" i="1" s="1"/>
  <c r="O517" i="1"/>
  <c r="AB517" i="1" s="1"/>
  <c r="N517" i="1"/>
  <c r="AA517" i="1" s="1"/>
  <c r="L517" i="1"/>
  <c r="Y517" i="1" s="1"/>
  <c r="V517" i="1"/>
  <c r="AI517" i="1" s="1"/>
  <c r="K517" i="1"/>
  <c r="X517" i="1" s="1"/>
  <c r="O563" i="1"/>
  <c r="AB563" i="1" s="1"/>
  <c r="V563" i="1"/>
  <c r="AI563" i="1" s="1"/>
  <c r="N563" i="1"/>
  <c r="AA563" i="1" s="1"/>
  <c r="U563" i="1"/>
  <c r="AH563" i="1" s="1"/>
  <c r="M563" i="1"/>
  <c r="Z563" i="1" s="1"/>
  <c r="T563" i="1"/>
  <c r="AG563" i="1" s="1"/>
  <c r="L563" i="1"/>
  <c r="Y563" i="1" s="1"/>
  <c r="S563" i="1"/>
  <c r="AF563" i="1" s="1"/>
  <c r="K563" i="1"/>
  <c r="X563" i="1" s="1"/>
  <c r="R563" i="1"/>
  <c r="AE563" i="1" s="1"/>
  <c r="P563" i="1"/>
  <c r="AC563" i="1" s="1"/>
  <c r="Q563" i="1"/>
  <c r="AD563" i="1" s="1"/>
  <c r="R343" i="1"/>
  <c r="AE343" i="1" s="1"/>
  <c r="P343" i="1"/>
  <c r="AC343" i="1" s="1"/>
  <c r="V343" i="1"/>
  <c r="AI343" i="1" s="1"/>
  <c r="N343" i="1"/>
  <c r="AA343" i="1" s="1"/>
  <c r="U343" i="1"/>
  <c r="AH343" i="1" s="1"/>
  <c r="M343" i="1"/>
  <c r="Z343" i="1" s="1"/>
  <c r="S343" i="1"/>
  <c r="AF343" i="1" s="1"/>
  <c r="K343" i="1"/>
  <c r="X343" i="1" s="1"/>
  <c r="T343" i="1"/>
  <c r="AG343" i="1" s="1"/>
  <c r="Q343" i="1"/>
  <c r="AD343" i="1" s="1"/>
  <c r="L343" i="1"/>
  <c r="Y343" i="1" s="1"/>
  <c r="O343" i="1"/>
  <c r="AB343" i="1" s="1"/>
  <c r="R284" i="1"/>
  <c r="AE284" i="1" s="1"/>
  <c r="Q284" i="1"/>
  <c r="AD284" i="1" s="1"/>
  <c r="P284" i="1"/>
  <c r="AC284" i="1" s="1"/>
  <c r="O284" i="1"/>
  <c r="AB284" i="1" s="1"/>
  <c r="V284" i="1"/>
  <c r="AI284" i="1" s="1"/>
  <c r="N284" i="1"/>
  <c r="AA284" i="1" s="1"/>
  <c r="U284" i="1"/>
  <c r="AH284" i="1" s="1"/>
  <c r="M284" i="1"/>
  <c r="Z284" i="1" s="1"/>
  <c r="S284" i="1"/>
  <c r="AF284" i="1" s="1"/>
  <c r="K284" i="1"/>
  <c r="X284" i="1" s="1"/>
  <c r="T284" i="1"/>
  <c r="AG284" i="1" s="1"/>
  <c r="L284" i="1"/>
  <c r="Y284" i="1" s="1"/>
  <c r="S229" i="1"/>
  <c r="AF229" i="1" s="1"/>
  <c r="K229" i="1"/>
  <c r="X229" i="1" s="1"/>
  <c r="Q229" i="1"/>
  <c r="AD229" i="1" s="1"/>
  <c r="O229" i="1"/>
  <c r="AB229" i="1" s="1"/>
  <c r="L229" i="1"/>
  <c r="Y229" i="1" s="1"/>
  <c r="V229" i="1"/>
  <c r="AI229" i="1" s="1"/>
  <c r="U229" i="1"/>
  <c r="AH229" i="1" s="1"/>
  <c r="T229" i="1"/>
  <c r="AG229" i="1" s="1"/>
  <c r="R229" i="1"/>
  <c r="AE229" i="1" s="1"/>
  <c r="P229" i="1"/>
  <c r="AC229" i="1" s="1"/>
  <c r="M229" i="1"/>
  <c r="Z229" i="1" s="1"/>
  <c r="N229" i="1"/>
  <c r="AA229" i="1" s="1"/>
  <c r="V76" i="1"/>
  <c r="AI76" i="1" s="1"/>
  <c r="N76" i="1"/>
  <c r="AA76" i="1" s="1"/>
  <c r="U76" i="1"/>
  <c r="AH76" i="1" s="1"/>
  <c r="M76" i="1"/>
  <c r="Z76" i="1" s="1"/>
  <c r="T76" i="1"/>
  <c r="AG76" i="1" s="1"/>
  <c r="L76" i="1"/>
  <c r="Y76" i="1" s="1"/>
  <c r="S76" i="1"/>
  <c r="AF76" i="1" s="1"/>
  <c r="K76" i="1"/>
  <c r="X76" i="1" s="1"/>
  <c r="R76" i="1"/>
  <c r="AE76" i="1" s="1"/>
  <c r="Q76" i="1"/>
  <c r="AD76" i="1" s="1"/>
  <c r="O76" i="1"/>
  <c r="AB76" i="1" s="1"/>
  <c r="P76" i="1"/>
  <c r="AC76" i="1" s="1"/>
  <c r="V80" i="1"/>
  <c r="AI80" i="1" s="1"/>
  <c r="N80" i="1"/>
  <c r="AA80" i="1" s="1"/>
  <c r="U80" i="1"/>
  <c r="AH80" i="1" s="1"/>
  <c r="M80" i="1"/>
  <c r="Z80" i="1" s="1"/>
  <c r="T80" i="1"/>
  <c r="AG80" i="1" s="1"/>
  <c r="L80" i="1"/>
  <c r="Y80" i="1" s="1"/>
  <c r="S80" i="1"/>
  <c r="AF80" i="1" s="1"/>
  <c r="K80" i="1"/>
  <c r="X80" i="1" s="1"/>
  <c r="R80" i="1"/>
  <c r="AE80" i="1" s="1"/>
  <c r="Q80" i="1"/>
  <c r="AD80" i="1" s="1"/>
  <c r="O80" i="1"/>
  <c r="AB80" i="1" s="1"/>
  <c r="P80" i="1"/>
  <c r="AC80" i="1" s="1"/>
  <c r="R248" i="1"/>
  <c r="AE248" i="1" s="1"/>
  <c r="Q248" i="1"/>
  <c r="AD248" i="1" s="1"/>
  <c r="P248" i="1"/>
  <c r="AC248" i="1" s="1"/>
  <c r="O248" i="1"/>
  <c r="AB248" i="1" s="1"/>
  <c r="V248" i="1"/>
  <c r="AI248" i="1" s="1"/>
  <c r="N248" i="1"/>
  <c r="AA248" i="1" s="1"/>
  <c r="U248" i="1"/>
  <c r="AH248" i="1" s="1"/>
  <c r="M248" i="1"/>
  <c r="Z248" i="1" s="1"/>
  <c r="S248" i="1"/>
  <c r="AF248" i="1" s="1"/>
  <c r="K248" i="1"/>
  <c r="X248" i="1" s="1"/>
  <c r="T248" i="1"/>
  <c r="AG248" i="1" s="1"/>
  <c r="L248" i="1"/>
  <c r="Y248" i="1" s="1"/>
  <c r="R443" i="1"/>
  <c r="AE443" i="1" s="1"/>
  <c r="P443" i="1"/>
  <c r="AC443" i="1" s="1"/>
  <c r="O443" i="1"/>
  <c r="AB443" i="1" s="1"/>
  <c r="V443" i="1"/>
  <c r="AI443" i="1" s="1"/>
  <c r="N443" i="1"/>
  <c r="AA443" i="1" s="1"/>
  <c r="U443" i="1"/>
  <c r="AH443" i="1" s="1"/>
  <c r="M443" i="1"/>
  <c r="Z443" i="1" s="1"/>
  <c r="S443" i="1"/>
  <c r="AF443" i="1" s="1"/>
  <c r="K443" i="1"/>
  <c r="X443" i="1" s="1"/>
  <c r="T443" i="1"/>
  <c r="AG443" i="1" s="1"/>
  <c r="Q443" i="1"/>
  <c r="AD443" i="1" s="1"/>
  <c r="L443" i="1"/>
  <c r="Y443" i="1" s="1"/>
  <c r="O234" i="1"/>
  <c r="AB234" i="1" s="1"/>
  <c r="U234" i="1"/>
  <c r="AH234" i="1" s="1"/>
  <c r="M234" i="1"/>
  <c r="Z234" i="1" s="1"/>
  <c r="S234" i="1"/>
  <c r="AF234" i="1" s="1"/>
  <c r="K234" i="1"/>
  <c r="X234" i="1" s="1"/>
  <c r="P234" i="1"/>
  <c r="AC234" i="1" s="1"/>
  <c r="N234" i="1"/>
  <c r="AA234" i="1" s="1"/>
  <c r="L234" i="1"/>
  <c r="Y234" i="1" s="1"/>
  <c r="V234" i="1"/>
  <c r="AI234" i="1" s="1"/>
  <c r="T234" i="1"/>
  <c r="AG234" i="1" s="1"/>
  <c r="Q234" i="1"/>
  <c r="AD234" i="1" s="1"/>
  <c r="R234" i="1"/>
  <c r="AE234" i="1" s="1"/>
  <c r="V1697" i="1"/>
  <c r="AI1697" i="1" s="1"/>
  <c r="N1697" i="1"/>
  <c r="AA1697" i="1" s="1"/>
  <c r="U1697" i="1"/>
  <c r="AH1697" i="1" s="1"/>
  <c r="M1697" i="1"/>
  <c r="Z1697" i="1" s="1"/>
  <c r="T1697" i="1"/>
  <c r="AG1697" i="1" s="1"/>
  <c r="L1697" i="1"/>
  <c r="Y1697" i="1" s="1"/>
  <c r="S1697" i="1"/>
  <c r="AF1697" i="1" s="1"/>
  <c r="K1697" i="1"/>
  <c r="X1697" i="1" s="1"/>
  <c r="R1697" i="1"/>
  <c r="AE1697" i="1" s="1"/>
  <c r="Q1697" i="1"/>
  <c r="AD1697" i="1" s="1"/>
  <c r="P1697" i="1"/>
  <c r="AC1697" i="1" s="1"/>
  <c r="O1697" i="1"/>
  <c r="AB1697" i="1" s="1"/>
  <c r="R1686" i="1"/>
  <c r="AE1686" i="1" s="1"/>
  <c r="Q1686" i="1"/>
  <c r="AD1686" i="1" s="1"/>
  <c r="P1686" i="1"/>
  <c r="AC1686" i="1" s="1"/>
  <c r="O1686" i="1"/>
  <c r="AB1686" i="1" s="1"/>
  <c r="V1686" i="1"/>
  <c r="AI1686" i="1" s="1"/>
  <c r="N1686" i="1"/>
  <c r="AA1686" i="1" s="1"/>
  <c r="U1686" i="1"/>
  <c r="AH1686" i="1" s="1"/>
  <c r="M1686" i="1"/>
  <c r="Z1686" i="1" s="1"/>
  <c r="T1686" i="1"/>
  <c r="AG1686" i="1" s="1"/>
  <c r="L1686" i="1"/>
  <c r="Y1686" i="1" s="1"/>
  <c r="K1686" i="1"/>
  <c r="X1686" i="1" s="1"/>
  <c r="S1686" i="1"/>
  <c r="AF1686" i="1" s="1"/>
  <c r="T1620" i="1"/>
  <c r="AG1620" i="1" s="1"/>
  <c r="L1620" i="1"/>
  <c r="Y1620" i="1" s="1"/>
  <c r="Q1620" i="1"/>
  <c r="AD1620" i="1" s="1"/>
  <c r="O1620" i="1"/>
  <c r="AB1620" i="1" s="1"/>
  <c r="U1620" i="1"/>
  <c r="AH1620" i="1" s="1"/>
  <c r="M1620" i="1"/>
  <c r="Z1620" i="1" s="1"/>
  <c r="R1620" i="1"/>
  <c r="AE1620" i="1" s="1"/>
  <c r="P1620" i="1"/>
  <c r="AC1620" i="1" s="1"/>
  <c r="N1620" i="1"/>
  <c r="AA1620" i="1" s="1"/>
  <c r="K1620" i="1"/>
  <c r="X1620" i="1" s="1"/>
  <c r="S1620" i="1"/>
  <c r="AF1620" i="1" s="1"/>
  <c r="V1620" i="1"/>
  <c r="AI1620" i="1" s="1"/>
  <c r="U1663" i="1"/>
  <c r="AH1663" i="1" s="1"/>
  <c r="M1663" i="1"/>
  <c r="Z1663" i="1" s="1"/>
  <c r="T1663" i="1"/>
  <c r="AG1663" i="1" s="1"/>
  <c r="L1663" i="1"/>
  <c r="Y1663" i="1" s="1"/>
  <c r="S1663" i="1"/>
  <c r="AF1663" i="1" s="1"/>
  <c r="K1663" i="1"/>
  <c r="X1663" i="1" s="1"/>
  <c r="R1663" i="1"/>
  <c r="AE1663" i="1" s="1"/>
  <c r="Q1663" i="1"/>
  <c r="AD1663" i="1" s="1"/>
  <c r="P1663" i="1"/>
  <c r="AC1663" i="1" s="1"/>
  <c r="V1663" i="1"/>
  <c r="AI1663" i="1" s="1"/>
  <c r="O1663" i="1"/>
  <c r="AB1663" i="1" s="1"/>
  <c r="N1663" i="1"/>
  <c r="AA1663" i="1" s="1"/>
  <c r="S1561" i="1"/>
  <c r="AF1561" i="1" s="1"/>
  <c r="K1561" i="1"/>
  <c r="X1561" i="1" s="1"/>
  <c r="R1561" i="1"/>
  <c r="AE1561" i="1" s="1"/>
  <c r="Q1561" i="1"/>
  <c r="AD1561" i="1" s="1"/>
  <c r="P1561" i="1"/>
  <c r="AC1561" i="1" s="1"/>
  <c r="V1561" i="1"/>
  <c r="AI1561" i="1" s="1"/>
  <c r="N1561" i="1"/>
  <c r="AA1561" i="1" s="1"/>
  <c r="O1561" i="1"/>
  <c r="AB1561" i="1" s="1"/>
  <c r="M1561" i="1"/>
  <c r="Z1561" i="1" s="1"/>
  <c r="L1561" i="1"/>
  <c r="Y1561" i="1" s="1"/>
  <c r="U1561" i="1"/>
  <c r="AH1561" i="1" s="1"/>
  <c r="T1561" i="1"/>
  <c r="AG1561" i="1" s="1"/>
  <c r="P1518" i="1"/>
  <c r="AC1518" i="1" s="1"/>
  <c r="O1518" i="1"/>
  <c r="AB1518" i="1" s="1"/>
  <c r="V1518" i="1"/>
  <c r="AI1518" i="1" s="1"/>
  <c r="N1518" i="1"/>
  <c r="AA1518" i="1" s="1"/>
  <c r="U1518" i="1"/>
  <c r="AH1518" i="1" s="1"/>
  <c r="M1518" i="1"/>
  <c r="Z1518" i="1" s="1"/>
  <c r="T1518" i="1"/>
  <c r="AG1518" i="1" s="1"/>
  <c r="L1518" i="1"/>
  <c r="Y1518" i="1" s="1"/>
  <c r="S1518" i="1"/>
  <c r="AF1518" i="1" s="1"/>
  <c r="K1518" i="1"/>
  <c r="X1518" i="1" s="1"/>
  <c r="R1518" i="1"/>
  <c r="AE1518" i="1" s="1"/>
  <c r="Q1518" i="1"/>
  <c r="AD1518" i="1" s="1"/>
  <c r="S1553" i="1"/>
  <c r="AF1553" i="1" s="1"/>
  <c r="K1553" i="1"/>
  <c r="X1553" i="1" s="1"/>
  <c r="R1553" i="1"/>
  <c r="AE1553" i="1" s="1"/>
  <c r="Q1553" i="1"/>
  <c r="AD1553" i="1" s="1"/>
  <c r="P1553" i="1"/>
  <c r="AC1553" i="1" s="1"/>
  <c r="V1553" i="1"/>
  <c r="AI1553" i="1" s="1"/>
  <c r="N1553" i="1"/>
  <c r="AA1553" i="1" s="1"/>
  <c r="U1553" i="1"/>
  <c r="AH1553" i="1" s="1"/>
  <c r="T1553" i="1"/>
  <c r="AG1553" i="1" s="1"/>
  <c r="O1553" i="1"/>
  <c r="AB1553" i="1" s="1"/>
  <c r="M1553" i="1"/>
  <c r="Z1553" i="1" s="1"/>
  <c r="L1553" i="1"/>
  <c r="Y1553" i="1" s="1"/>
  <c r="T1495" i="1"/>
  <c r="AG1495" i="1" s="1"/>
  <c r="L1495" i="1"/>
  <c r="Y1495" i="1" s="1"/>
  <c r="S1495" i="1"/>
  <c r="AF1495" i="1" s="1"/>
  <c r="K1495" i="1"/>
  <c r="X1495" i="1" s="1"/>
  <c r="R1495" i="1"/>
  <c r="AE1495" i="1" s="1"/>
  <c r="Q1495" i="1"/>
  <c r="AD1495" i="1" s="1"/>
  <c r="P1495" i="1"/>
  <c r="AC1495" i="1" s="1"/>
  <c r="O1495" i="1"/>
  <c r="AB1495" i="1" s="1"/>
  <c r="V1495" i="1"/>
  <c r="AI1495" i="1" s="1"/>
  <c r="N1495" i="1"/>
  <c r="AA1495" i="1" s="1"/>
  <c r="U1495" i="1"/>
  <c r="AH1495" i="1" s="1"/>
  <c r="M1495" i="1"/>
  <c r="Z1495" i="1" s="1"/>
  <c r="S1417" i="1"/>
  <c r="AF1417" i="1" s="1"/>
  <c r="K1417" i="1"/>
  <c r="X1417" i="1" s="1"/>
  <c r="R1417" i="1"/>
  <c r="AE1417" i="1" s="1"/>
  <c r="Q1417" i="1"/>
  <c r="AD1417" i="1" s="1"/>
  <c r="P1417" i="1"/>
  <c r="AC1417" i="1" s="1"/>
  <c r="O1417" i="1"/>
  <c r="AB1417" i="1" s="1"/>
  <c r="V1417" i="1"/>
  <c r="AI1417" i="1" s="1"/>
  <c r="N1417" i="1"/>
  <c r="AA1417" i="1" s="1"/>
  <c r="U1417" i="1"/>
  <c r="AH1417" i="1" s="1"/>
  <c r="M1417" i="1"/>
  <c r="Z1417" i="1" s="1"/>
  <c r="T1417" i="1"/>
  <c r="AG1417" i="1" s="1"/>
  <c r="L1417" i="1"/>
  <c r="Y1417" i="1" s="1"/>
  <c r="P1456" i="1"/>
  <c r="AC1456" i="1" s="1"/>
  <c r="O1456" i="1"/>
  <c r="AB1456" i="1" s="1"/>
  <c r="V1456" i="1"/>
  <c r="AI1456" i="1" s="1"/>
  <c r="N1456" i="1"/>
  <c r="AA1456" i="1" s="1"/>
  <c r="U1456" i="1"/>
  <c r="AH1456" i="1" s="1"/>
  <c r="M1456" i="1"/>
  <c r="Z1456" i="1" s="1"/>
  <c r="T1456" i="1"/>
  <c r="AG1456" i="1" s="1"/>
  <c r="L1456" i="1"/>
  <c r="Y1456" i="1" s="1"/>
  <c r="S1456" i="1"/>
  <c r="AF1456" i="1" s="1"/>
  <c r="K1456" i="1"/>
  <c r="X1456" i="1" s="1"/>
  <c r="R1456" i="1"/>
  <c r="AE1456" i="1" s="1"/>
  <c r="Q1456" i="1"/>
  <c r="AD1456" i="1" s="1"/>
  <c r="P1500" i="1"/>
  <c r="AC1500" i="1" s="1"/>
  <c r="O1500" i="1"/>
  <c r="AB1500" i="1" s="1"/>
  <c r="V1500" i="1"/>
  <c r="AI1500" i="1" s="1"/>
  <c r="N1500" i="1"/>
  <c r="AA1500" i="1" s="1"/>
  <c r="U1500" i="1"/>
  <c r="AH1500" i="1" s="1"/>
  <c r="M1500" i="1"/>
  <c r="Z1500" i="1" s="1"/>
  <c r="T1500" i="1"/>
  <c r="AG1500" i="1" s="1"/>
  <c r="L1500" i="1"/>
  <c r="Y1500" i="1" s="1"/>
  <c r="S1500" i="1"/>
  <c r="AF1500" i="1" s="1"/>
  <c r="K1500" i="1"/>
  <c r="X1500" i="1" s="1"/>
  <c r="R1500" i="1"/>
  <c r="AE1500" i="1" s="1"/>
  <c r="Q1500" i="1"/>
  <c r="AD1500" i="1" s="1"/>
  <c r="P1017" i="1"/>
  <c r="AC1017" i="1" s="1"/>
  <c r="O1017" i="1"/>
  <c r="AB1017" i="1" s="1"/>
  <c r="V1017" i="1"/>
  <c r="AI1017" i="1" s="1"/>
  <c r="N1017" i="1"/>
  <c r="AA1017" i="1" s="1"/>
  <c r="U1017" i="1"/>
  <c r="AH1017" i="1" s="1"/>
  <c r="M1017" i="1"/>
  <c r="Z1017" i="1" s="1"/>
  <c r="T1017" i="1"/>
  <c r="AG1017" i="1" s="1"/>
  <c r="L1017" i="1"/>
  <c r="Y1017" i="1" s="1"/>
  <c r="S1017" i="1"/>
  <c r="AF1017" i="1" s="1"/>
  <c r="K1017" i="1"/>
  <c r="X1017" i="1" s="1"/>
  <c r="R1017" i="1"/>
  <c r="AE1017" i="1" s="1"/>
  <c r="Q1017" i="1"/>
  <c r="AD1017" i="1" s="1"/>
  <c r="T1028" i="1"/>
  <c r="AG1028" i="1" s="1"/>
  <c r="L1028" i="1"/>
  <c r="Y1028" i="1" s="1"/>
  <c r="S1028" i="1"/>
  <c r="AF1028" i="1" s="1"/>
  <c r="K1028" i="1"/>
  <c r="X1028" i="1" s="1"/>
  <c r="R1028" i="1"/>
  <c r="AE1028" i="1" s="1"/>
  <c r="Q1028" i="1"/>
  <c r="AD1028" i="1" s="1"/>
  <c r="P1028" i="1"/>
  <c r="AC1028" i="1" s="1"/>
  <c r="O1028" i="1"/>
  <c r="AB1028" i="1" s="1"/>
  <c r="V1028" i="1"/>
  <c r="AI1028" i="1" s="1"/>
  <c r="U1028" i="1"/>
  <c r="AH1028" i="1" s="1"/>
  <c r="N1028" i="1"/>
  <c r="AA1028" i="1" s="1"/>
  <c r="M1028" i="1"/>
  <c r="Z1028" i="1" s="1"/>
  <c r="U750" i="1"/>
  <c r="AH750" i="1" s="1"/>
  <c r="M750" i="1"/>
  <c r="Z750" i="1" s="1"/>
  <c r="T750" i="1"/>
  <c r="AG750" i="1" s="1"/>
  <c r="L750" i="1"/>
  <c r="Y750" i="1" s="1"/>
  <c r="S750" i="1"/>
  <c r="AF750" i="1" s="1"/>
  <c r="K750" i="1"/>
  <c r="X750" i="1" s="1"/>
  <c r="R750" i="1"/>
  <c r="AE750" i="1" s="1"/>
  <c r="Q750" i="1"/>
  <c r="AD750" i="1" s="1"/>
  <c r="P750" i="1"/>
  <c r="AC750" i="1" s="1"/>
  <c r="V750" i="1"/>
  <c r="AI750" i="1" s="1"/>
  <c r="N750" i="1"/>
  <c r="AA750" i="1" s="1"/>
  <c r="O750" i="1"/>
  <c r="AB750" i="1" s="1"/>
  <c r="S580" i="1"/>
  <c r="AF580" i="1" s="1"/>
  <c r="K580" i="1"/>
  <c r="X580" i="1" s="1"/>
  <c r="R580" i="1"/>
  <c r="AE580" i="1" s="1"/>
  <c r="Q580" i="1"/>
  <c r="AD580" i="1" s="1"/>
  <c r="P580" i="1"/>
  <c r="AC580" i="1" s="1"/>
  <c r="O580" i="1"/>
  <c r="AB580" i="1" s="1"/>
  <c r="V580" i="1"/>
  <c r="AI580" i="1" s="1"/>
  <c r="N580" i="1"/>
  <c r="AA580" i="1" s="1"/>
  <c r="T580" i="1"/>
  <c r="AG580" i="1" s="1"/>
  <c r="L580" i="1"/>
  <c r="Y580" i="1" s="1"/>
  <c r="U580" i="1"/>
  <c r="AH580" i="1" s="1"/>
  <c r="M580" i="1"/>
  <c r="Z580" i="1" s="1"/>
  <c r="R296" i="1"/>
  <c r="AE296" i="1" s="1"/>
  <c r="Q296" i="1"/>
  <c r="AD296" i="1" s="1"/>
  <c r="P296" i="1"/>
  <c r="AC296" i="1" s="1"/>
  <c r="O296" i="1"/>
  <c r="AB296" i="1" s="1"/>
  <c r="V296" i="1"/>
  <c r="AI296" i="1" s="1"/>
  <c r="N296" i="1"/>
  <c r="AA296" i="1" s="1"/>
  <c r="U296" i="1"/>
  <c r="AH296" i="1" s="1"/>
  <c r="M296" i="1"/>
  <c r="Z296" i="1" s="1"/>
  <c r="S296" i="1"/>
  <c r="AF296" i="1" s="1"/>
  <c r="K296" i="1"/>
  <c r="X296" i="1" s="1"/>
  <c r="T296" i="1"/>
  <c r="AG296" i="1" s="1"/>
  <c r="L296" i="1"/>
  <c r="Y296" i="1" s="1"/>
  <c r="T1517" i="1"/>
  <c r="AG1517" i="1" s="1"/>
  <c r="L1517" i="1"/>
  <c r="Y1517" i="1" s="1"/>
  <c r="S1517" i="1"/>
  <c r="AF1517" i="1" s="1"/>
  <c r="K1517" i="1"/>
  <c r="X1517" i="1" s="1"/>
  <c r="R1517" i="1"/>
  <c r="AE1517" i="1" s="1"/>
  <c r="Q1517" i="1"/>
  <c r="AD1517" i="1" s="1"/>
  <c r="P1517" i="1"/>
  <c r="AC1517" i="1" s="1"/>
  <c r="O1517" i="1"/>
  <c r="AB1517" i="1" s="1"/>
  <c r="V1517" i="1"/>
  <c r="AI1517" i="1" s="1"/>
  <c r="N1517" i="1"/>
  <c r="AA1517" i="1" s="1"/>
  <c r="U1517" i="1"/>
  <c r="AH1517" i="1" s="1"/>
  <c r="M1517" i="1"/>
  <c r="Z1517" i="1" s="1"/>
  <c r="R433" i="1"/>
  <c r="AE433" i="1" s="1"/>
  <c r="P433" i="1"/>
  <c r="AC433" i="1" s="1"/>
  <c r="O433" i="1"/>
  <c r="AB433" i="1" s="1"/>
  <c r="V433" i="1"/>
  <c r="AI433" i="1" s="1"/>
  <c r="N433" i="1"/>
  <c r="AA433" i="1" s="1"/>
  <c r="U433" i="1"/>
  <c r="AH433" i="1" s="1"/>
  <c r="M433" i="1"/>
  <c r="Z433" i="1" s="1"/>
  <c r="S433" i="1"/>
  <c r="AF433" i="1" s="1"/>
  <c r="K433" i="1"/>
  <c r="X433" i="1" s="1"/>
  <c r="Q433" i="1"/>
  <c r="AD433" i="1" s="1"/>
  <c r="L433" i="1"/>
  <c r="Y433" i="1" s="1"/>
  <c r="T433" i="1"/>
  <c r="AG433" i="1" s="1"/>
  <c r="V307" i="1"/>
  <c r="AI307" i="1" s="1"/>
  <c r="N307" i="1"/>
  <c r="AA307" i="1" s="1"/>
  <c r="U307" i="1"/>
  <c r="AH307" i="1" s="1"/>
  <c r="M307" i="1"/>
  <c r="Z307" i="1" s="1"/>
  <c r="T307" i="1"/>
  <c r="AG307" i="1" s="1"/>
  <c r="L307" i="1"/>
  <c r="Y307" i="1" s="1"/>
  <c r="S307" i="1"/>
  <c r="AF307" i="1" s="1"/>
  <c r="K307" i="1"/>
  <c r="X307" i="1" s="1"/>
  <c r="R307" i="1"/>
  <c r="AE307" i="1" s="1"/>
  <c r="Q307" i="1"/>
  <c r="AD307" i="1" s="1"/>
  <c r="O307" i="1"/>
  <c r="AB307" i="1" s="1"/>
  <c r="P307" i="1"/>
  <c r="AC307" i="1" s="1"/>
  <c r="T1493" i="1"/>
  <c r="AG1493" i="1" s="1"/>
  <c r="L1493" i="1"/>
  <c r="Y1493" i="1" s="1"/>
  <c r="S1493" i="1"/>
  <c r="AF1493" i="1" s="1"/>
  <c r="K1493" i="1"/>
  <c r="X1493" i="1" s="1"/>
  <c r="R1493" i="1"/>
  <c r="AE1493" i="1" s="1"/>
  <c r="Q1493" i="1"/>
  <c r="AD1493" i="1" s="1"/>
  <c r="P1493" i="1"/>
  <c r="AC1493" i="1" s="1"/>
  <c r="O1493" i="1"/>
  <c r="AB1493" i="1" s="1"/>
  <c r="V1493" i="1"/>
  <c r="AI1493" i="1" s="1"/>
  <c r="N1493" i="1"/>
  <c r="AA1493" i="1" s="1"/>
  <c r="U1493" i="1"/>
  <c r="AH1493" i="1" s="1"/>
  <c r="M1493" i="1"/>
  <c r="Z1493" i="1" s="1"/>
  <c r="P1448" i="1"/>
  <c r="AC1448" i="1" s="1"/>
  <c r="O1448" i="1"/>
  <c r="AB1448" i="1" s="1"/>
  <c r="V1448" i="1"/>
  <c r="AI1448" i="1" s="1"/>
  <c r="N1448" i="1"/>
  <c r="AA1448" i="1" s="1"/>
  <c r="U1448" i="1"/>
  <c r="AH1448" i="1" s="1"/>
  <c r="M1448" i="1"/>
  <c r="Z1448" i="1" s="1"/>
  <c r="T1448" i="1"/>
  <c r="AG1448" i="1" s="1"/>
  <c r="L1448" i="1"/>
  <c r="Y1448" i="1" s="1"/>
  <c r="S1448" i="1"/>
  <c r="AF1448" i="1" s="1"/>
  <c r="K1448" i="1"/>
  <c r="X1448" i="1" s="1"/>
  <c r="R1448" i="1"/>
  <c r="AE1448" i="1" s="1"/>
  <c r="Q1448" i="1"/>
  <c r="AD1448" i="1" s="1"/>
  <c r="O951" i="1"/>
  <c r="AB951" i="1" s="1"/>
  <c r="U951" i="1"/>
  <c r="AH951" i="1" s="1"/>
  <c r="M951" i="1"/>
  <c r="Z951" i="1" s="1"/>
  <c r="S951" i="1"/>
  <c r="AF951" i="1" s="1"/>
  <c r="K951" i="1"/>
  <c r="X951" i="1" s="1"/>
  <c r="R951" i="1"/>
  <c r="AE951" i="1" s="1"/>
  <c r="P951" i="1"/>
  <c r="AC951" i="1" s="1"/>
  <c r="V951" i="1"/>
  <c r="AI951" i="1" s="1"/>
  <c r="T951" i="1"/>
  <c r="AG951" i="1" s="1"/>
  <c r="Q951" i="1"/>
  <c r="AD951" i="1" s="1"/>
  <c r="L951" i="1"/>
  <c r="Y951" i="1" s="1"/>
  <c r="N951" i="1"/>
  <c r="AA951" i="1" s="1"/>
  <c r="U778" i="1"/>
  <c r="AH778" i="1" s="1"/>
  <c r="M778" i="1"/>
  <c r="Z778" i="1" s="1"/>
  <c r="T778" i="1"/>
  <c r="AG778" i="1" s="1"/>
  <c r="L778" i="1"/>
  <c r="Y778" i="1" s="1"/>
  <c r="S778" i="1"/>
  <c r="AF778" i="1" s="1"/>
  <c r="K778" i="1"/>
  <c r="X778" i="1" s="1"/>
  <c r="R778" i="1"/>
  <c r="AE778" i="1" s="1"/>
  <c r="Q778" i="1"/>
  <c r="AD778" i="1" s="1"/>
  <c r="P778" i="1"/>
  <c r="AC778" i="1" s="1"/>
  <c r="V778" i="1"/>
  <c r="AI778" i="1" s="1"/>
  <c r="N778" i="1"/>
  <c r="AA778" i="1" s="1"/>
  <c r="O778" i="1"/>
  <c r="AB778" i="1" s="1"/>
  <c r="R487" i="1"/>
  <c r="AE487" i="1" s="1"/>
  <c r="P487" i="1"/>
  <c r="AC487" i="1" s="1"/>
  <c r="O487" i="1"/>
  <c r="AB487" i="1" s="1"/>
  <c r="V487" i="1"/>
  <c r="AI487" i="1" s="1"/>
  <c r="N487" i="1"/>
  <c r="AA487" i="1" s="1"/>
  <c r="U487" i="1"/>
  <c r="AH487" i="1" s="1"/>
  <c r="M487" i="1"/>
  <c r="Z487" i="1" s="1"/>
  <c r="S487" i="1"/>
  <c r="AF487" i="1" s="1"/>
  <c r="K487" i="1"/>
  <c r="X487" i="1" s="1"/>
  <c r="T487" i="1"/>
  <c r="AG487" i="1" s="1"/>
  <c r="L487" i="1"/>
  <c r="Y487" i="1" s="1"/>
  <c r="Q487" i="1"/>
  <c r="AD487" i="1" s="1"/>
  <c r="R489" i="1"/>
  <c r="AE489" i="1" s="1"/>
  <c r="P489" i="1"/>
  <c r="AC489" i="1" s="1"/>
  <c r="O489" i="1"/>
  <c r="AB489" i="1" s="1"/>
  <c r="V489" i="1"/>
  <c r="AI489" i="1" s="1"/>
  <c r="N489" i="1"/>
  <c r="AA489" i="1" s="1"/>
  <c r="U489" i="1"/>
  <c r="AH489" i="1" s="1"/>
  <c r="M489" i="1"/>
  <c r="Z489" i="1" s="1"/>
  <c r="S489" i="1"/>
  <c r="AF489" i="1" s="1"/>
  <c r="K489" i="1"/>
  <c r="X489" i="1" s="1"/>
  <c r="Q489" i="1"/>
  <c r="AD489" i="1" s="1"/>
  <c r="L489" i="1"/>
  <c r="Y489" i="1" s="1"/>
  <c r="T489" i="1"/>
  <c r="AG489" i="1" s="1"/>
  <c r="O549" i="1"/>
  <c r="AB549" i="1" s="1"/>
  <c r="V549" i="1"/>
  <c r="AI549" i="1" s="1"/>
  <c r="N549" i="1"/>
  <c r="AA549" i="1" s="1"/>
  <c r="U549" i="1"/>
  <c r="AH549" i="1" s="1"/>
  <c r="M549" i="1"/>
  <c r="Z549" i="1" s="1"/>
  <c r="T549" i="1"/>
  <c r="AG549" i="1" s="1"/>
  <c r="L549" i="1"/>
  <c r="Y549" i="1" s="1"/>
  <c r="S549" i="1"/>
  <c r="AF549" i="1" s="1"/>
  <c r="K549" i="1"/>
  <c r="X549" i="1" s="1"/>
  <c r="R549" i="1"/>
  <c r="AE549" i="1" s="1"/>
  <c r="P549" i="1"/>
  <c r="AC549" i="1" s="1"/>
  <c r="Q549" i="1"/>
  <c r="AD549" i="1" s="1"/>
  <c r="S554" i="1"/>
  <c r="AF554" i="1" s="1"/>
  <c r="K554" i="1"/>
  <c r="X554" i="1" s="1"/>
  <c r="R554" i="1"/>
  <c r="AE554" i="1" s="1"/>
  <c r="Q554" i="1"/>
  <c r="AD554" i="1" s="1"/>
  <c r="P554" i="1"/>
  <c r="AC554" i="1" s="1"/>
  <c r="O554" i="1"/>
  <c r="AB554" i="1" s="1"/>
  <c r="V554" i="1"/>
  <c r="AI554" i="1" s="1"/>
  <c r="N554" i="1"/>
  <c r="AA554" i="1" s="1"/>
  <c r="T554" i="1"/>
  <c r="AG554" i="1" s="1"/>
  <c r="L554" i="1"/>
  <c r="Y554" i="1" s="1"/>
  <c r="M554" i="1"/>
  <c r="Z554" i="1" s="1"/>
  <c r="U554" i="1"/>
  <c r="AH554" i="1" s="1"/>
  <c r="R415" i="1"/>
  <c r="AE415" i="1" s="1"/>
  <c r="P415" i="1"/>
  <c r="AC415" i="1" s="1"/>
  <c r="O415" i="1"/>
  <c r="AB415" i="1" s="1"/>
  <c r="V415" i="1"/>
  <c r="AI415" i="1" s="1"/>
  <c r="N415" i="1"/>
  <c r="AA415" i="1" s="1"/>
  <c r="U415" i="1"/>
  <c r="AH415" i="1" s="1"/>
  <c r="M415" i="1"/>
  <c r="Z415" i="1" s="1"/>
  <c r="S415" i="1"/>
  <c r="AF415" i="1" s="1"/>
  <c r="K415" i="1"/>
  <c r="X415" i="1" s="1"/>
  <c r="T415" i="1"/>
  <c r="AG415" i="1" s="1"/>
  <c r="L415" i="1"/>
  <c r="Y415" i="1" s="1"/>
  <c r="Q415" i="1"/>
  <c r="AD415" i="1" s="1"/>
  <c r="V472" i="1"/>
  <c r="AI472" i="1" s="1"/>
  <c r="N472" i="1"/>
  <c r="AA472" i="1" s="1"/>
  <c r="T472" i="1"/>
  <c r="AG472" i="1" s="1"/>
  <c r="L472" i="1"/>
  <c r="Y472" i="1" s="1"/>
  <c r="S472" i="1"/>
  <c r="AF472" i="1" s="1"/>
  <c r="K472" i="1"/>
  <c r="X472" i="1" s="1"/>
  <c r="R472" i="1"/>
  <c r="AE472" i="1" s="1"/>
  <c r="Q472" i="1"/>
  <c r="AD472" i="1" s="1"/>
  <c r="O472" i="1"/>
  <c r="AB472" i="1" s="1"/>
  <c r="U472" i="1"/>
  <c r="AH472" i="1" s="1"/>
  <c r="P472" i="1"/>
  <c r="AC472" i="1" s="1"/>
  <c r="M472" i="1"/>
  <c r="Z472" i="1" s="1"/>
  <c r="R318" i="1"/>
  <c r="AE318" i="1" s="1"/>
  <c r="Q318" i="1"/>
  <c r="AD318" i="1" s="1"/>
  <c r="P318" i="1"/>
  <c r="AC318" i="1" s="1"/>
  <c r="O318" i="1"/>
  <c r="AB318" i="1" s="1"/>
  <c r="V318" i="1"/>
  <c r="AI318" i="1" s="1"/>
  <c r="N318" i="1"/>
  <c r="AA318" i="1" s="1"/>
  <c r="U318" i="1"/>
  <c r="AH318" i="1" s="1"/>
  <c r="M318" i="1"/>
  <c r="Z318" i="1" s="1"/>
  <c r="S318" i="1"/>
  <c r="AF318" i="1" s="1"/>
  <c r="K318" i="1"/>
  <c r="X318" i="1" s="1"/>
  <c r="T318" i="1"/>
  <c r="AG318" i="1" s="1"/>
  <c r="L318" i="1"/>
  <c r="Y318" i="1" s="1"/>
  <c r="S207" i="1"/>
  <c r="AF207" i="1" s="1"/>
  <c r="K207" i="1"/>
  <c r="X207" i="1" s="1"/>
  <c r="Q207" i="1"/>
  <c r="AD207" i="1" s="1"/>
  <c r="O207" i="1"/>
  <c r="AB207" i="1" s="1"/>
  <c r="T207" i="1"/>
  <c r="AG207" i="1" s="1"/>
  <c r="R207" i="1"/>
  <c r="AE207" i="1" s="1"/>
  <c r="P207" i="1"/>
  <c r="AC207" i="1" s="1"/>
  <c r="N207" i="1"/>
  <c r="AA207" i="1" s="1"/>
  <c r="M207" i="1"/>
  <c r="Z207" i="1" s="1"/>
  <c r="L207" i="1"/>
  <c r="Y207" i="1" s="1"/>
  <c r="U207" i="1"/>
  <c r="AH207" i="1" s="1"/>
  <c r="V207" i="1"/>
  <c r="AI207" i="1" s="1"/>
  <c r="O178" i="1"/>
  <c r="AB178" i="1" s="1"/>
  <c r="U178" i="1"/>
  <c r="AH178" i="1" s="1"/>
  <c r="M178" i="1"/>
  <c r="Z178" i="1" s="1"/>
  <c r="S178" i="1"/>
  <c r="AF178" i="1" s="1"/>
  <c r="K178" i="1"/>
  <c r="X178" i="1" s="1"/>
  <c r="V178" i="1"/>
  <c r="AI178" i="1" s="1"/>
  <c r="T178" i="1"/>
  <c r="AG178" i="1" s="1"/>
  <c r="R178" i="1"/>
  <c r="AE178" i="1" s="1"/>
  <c r="Q178" i="1"/>
  <c r="AD178" i="1" s="1"/>
  <c r="P178" i="1"/>
  <c r="AC178" i="1" s="1"/>
  <c r="N178" i="1"/>
  <c r="AA178" i="1" s="1"/>
  <c r="L178" i="1"/>
  <c r="Y178" i="1" s="1"/>
  <c r="V64" i="1"/>
  <c r="AI64" i="1" s="1"/>
  <c r="N64" i="1"/>
  <c r="AA64" i="1" s="1"/>
  <c r="U64" i="1"/>
  <c r="AH64" i="1" s="1"/>
  <c r="M64" i="1"/>
  <c r="Z64" i="1" s="1"/>
  <c r="T64" i="1"/>
  <c r="AG64" i="1" s="1"/>
  <c r="L64" i="1"/>
  <c r="Y64" i="1" s="1"/>
  <c r="S64" i="1"/>
  <c r="AF64" i="1" s="1"/>
  <c r="K64" i="1"/>
  <c r="X64" i="1" s="1"/>
  <c r="R64" i="1"/>
  <c r="AE64" i="1" s="1"/>
  <c r="Q64" i="1"/>
  <c r="AD64" i="1" s="1"/>
  <c r="O64" i="1"/>
  <c r="AB64" i="1" s="1"/>
  <c r="P64" i="1"/>
  <c r="AC64" i="1" s="1"/>
  <c r="R491" i="1"/>
  <c r="AE491" i="1" s="1"/>
  <c r="P491" i="1"/>
  <c r="AC491" i="1" s="1"/>
  <c r="O491" i="1"/>
  <c r="AB491" i="1" s="1"/>
  <c r="V491" i="1"/>
  <c r="AI491" i="1" s="1"/>
  <c r="N491" i="1"/>
  <c r="AA491" i="1" s="1"/>
  <c r="U491" i="1"/>
  <c r="AH491" i="1" s="1"/>
  <c r="M491" i="1"/>
  <c r="Z491" i="1" s="1"/>
  <c r="S491" i="1"/>
  <c r="AF491" i="1" s="1"/>
  <c r="K491" i="1"/>
  <c r="X491" i="1" s="1"/>
  <c r="T491" i="1"/>
  <c r="AG491" i="1" s="1"/>
  <c r="Q491" i="1"/>
  <c r="AD491" i="1" s="1"/>
  <c r="L491" i="1"/>
  <c r="Y491" i="1" s="1"/>
  <c r="R37" i="1"/>
  <c r="AE37" i="1" s="1"/>
  <c r="Q37" i="1"/>
  <c r="AD37" i="1" s="1"/>
  <c r="P37" i="1"/>
  <c r="AC37" i="1" s="1"/>
  <c r="O37" i="1"/>
  <c r="AB37" i="1" s="1"/>
  <c r="V37" i="1"/>
  <c r="AI37" i="1" s="1"/>
  <c r="N37" i="1"/>
  <c r="AA37" i="1" s="1"/>
  <c r="U37" i="1"/>
  <c r="AH37" i="1" s="1"/>
  <c r="M37" i="1"/>
  <c r="Z37" i="1" s="1"/>
  <c r="S37" i="1"/>
  <c r="AF37" i="1" s="1"/>
  <c r="K37" i="1"/>
  <c r="X37" i="1" s="1"/>
  <c r="T37" i="1"/>
  <c r="AG37" i="1" s="1"/>
  <c r="L37" i="1"/>
  <c r="Y37" i="1" s="1"/>
  <c r="T1646" i="1"/>
  <c r="AG1646" i="1" s="1"/>
  <c r="L1646" i="1"/>
  <c r="Y1646" i="1" s="1"/>
  <c r="R1646" i="1"/>
  <c r="AE1646" i="1" s="1"/>
  <c r="Q1646" i="1"/>
  <c r="AD1646" i="1" s="1"/>
  <c r="O1646" i="1"/>
  <c r="AB1646" i="1" s="1"/>
  <c r="U1646" i="1"/>
  <c r="AH1646" i="1" s="1"/>
  <c r="M1646" i="1"/>
  <c r="Z1646" i="1" s="1"/>
  <c r="V1646" i="1"/>
  <c r="AI1646" i="1" s="1"/>
  <c r="S1646" i="1"/>
  <c r="AF1646" i="1" s="1"/>
  <c r="P1646" i="1"/>
  <c r="AC1646" i="1" s="1"/>
  <c r="N1646" i="1"/>
  <c r="AA1646" i="1" s="1"/>
  <c r="K1646" i="1"/>
  <c r="X1646" i="1" s="1"/>
  <c r="P1657" i="1"/>
  <c r="AC1657" i="1" s="1"/>
  <c r="V1657" i="1"/>
  <c r="AI1657" i="1" s="1"/>
  <c r="N1657" i="1"/>
  <c r="AA1657" i="1" s="1"/>
  <c r="U1657" i="1"/>
  <c r="AH1657" i="1" s="1"/>
  <c r="M1657" i="1"/>
  <c r="Z1657" i="1" s="1"/>
  <c r="S1657" i="1"/>
  <c r="AF1657" i="1" s="1"/>
  <c r="K1657" i="1"/>
  <c r="X1657" i="1" s="1"/>
  <c r="Q1657" i="1"/>
  <c r="AD1657" i="1" s="1"/>
  <c r="R1657" i="1"/>
  <c r="AE1657" i="1" s="1"/>
  <c r="O1657" i="1"/>
  <c r="AB1657" i="1" s="1"/>
  <c r="L1657" i="1"/>
  <c r="Y1657" i="1" s="1"/>
  <c r="T1657" i="1"/>
  <c r="AG1657" i="1" s="1"/>
  <c r="R1708" i="1"/>
  <c r="AE1708" i="1" s="1"/>
  <c r="Q1708" i="1"/>
  <c r="AD1708" i="1" s="1"/>
  <c r="P1708" i="1"/>
  <c r="AC1708" i="1" s="1"/>
  <c r="O1708" i="1"/>
  <c r="AB1708" i="1" s="1"/>
  <c r="V1708" i="1"/>
  <c r="AI1708" i="1" s="1"/>
  <c r="N1708" i="1"/>
  <c r="AA1708" i="1" s="1"/>
  <c r="U1708" i="1"/>
  <c r="AH1708" i="1" s="1"/>
  <c r="M1708" i="1"/>
  <c r="Z1708" i="1" s="1"/>
  <c r="T1708" i="1"/>
  <c r="AG1708" i="1" s="1"/>
  <c r="L1708" i="1"/>
  <c r="Y1708" i="1" s="1"/>
  <c r="S1708" i="1"/>
  <c r="AF1708" i="1" s="1"/>
  <c r="K1708" i="1"/>
  <c r="X1708" i="1" s="1"/>
  <c r="Q1580" i="1"/>
  <c r="AD1580" i="1" s="1"/>
  <c r="P1580" i="1"/>
  <c r="AC1580" i="1" s="1"/>
  <c r="O1580" i="1"/>
  <c r="AB1580" i="1" s="1"/>
  <c r="V1580" i="1"/>
  <c r="AI1580" i="1" s="1"/>
  <c r="N1580" i="1"/>
  <c r="AA1580" i="1" s="1"/>
  <c r="U1580" i="1"/>
  <c r="AH1580" i="1" s="1"/>
  <c r="M1580" i="1"/>
  <c r="Z1580" i="1" s="1"/>
  <c r="T1580" i="1"/>
  <c r="AG1580" i="1" s="1"/>
  <c r="L1580" i="1"/>
  <c r="Y1580" i="1" s="1"/>
  <c r="R1580" i="1"/>
  <c r="AE1580" i="1" s="1"/>
  <c r="S1580" i="1"/>
  <c r="AF1580" i="1" s="1"/>
  <c r="K1580" i="1"/>
  <c r="X1580" i="1" s="1"/>
  <c r="P1623" i="1"/>
  <c r="AC1623" i="1" s="1"/>
  <c r="V1623" i="1"/>
  <c r="AI1623" i="1" s="1"/>
  <c r="N1623" i="1"/>
  <c r="AA1623" i="1" s="1"/>
  <c r="U1623" i="1"/>
  <c r="AH1623" i="1" s="1"/>
  <c r="M1623" i="1"/>
  <c r="Z1623" i="1" s="1"/>
  <c r="S1623" i="1"/>
  <c r="AF1623" i="1" s="1"/>
  <c r="K1623" i="1"/>
  <c r="X1623" i="1" s="1"/>
  <c r="Q1623" i="1"/>
  <c r="AD1623" i="1" s="1"/>
  <c r="T1623" i="1"/>
  <c r="AG1623" i="1" s="1"/>
  <c r="R1623" i="1"/>
  <c r="AE1623" i="1" s="1"/>
  <c r="O1623" i="1"/>
  <c r="AB1623" i="1" s="1"/>
  <c r="L1623" i="1"/>
  <c r="Y1623" i="1" s="1"/>
  <c r="T1507" i="1"/>
  <c r="AG1507" i="1" s="1"/>
  <c r="L1507" i="1"/>
  <c r="Y1507" i="1" s="1"/>
  <c r="S1507" i="1"/>
  <c r="AF1507" i="1" s="1"/>
  <c r="K1507" i="1"/>
  <c r="X1507" i="1" s="1"/>
  <c r="R1507" i="1"/>
  <c r="AE1507" i="1" s="1"/>
  <c r="Q1507" i="1"/>
  <c r="AD1507" i="1" s="1"/>
  <c r="P1507" i="1"/>
  <c r="AC1507" i="1" s="1"/>
  <c r="O1507" i="1"/>
  <c r="AB1507" i="1" s="1"/>
  <c r="V1507" i="1"/>
  <c r="AI1507" i="1" s="1"/>
  <c r="N1507" i="1"/>
  <c r="AA1507" i="1" s="1"/>
  <c r="U1507" i="1"/>
  <c r="AH1507" i="1" s="1"/>
  <c r="M1507" i="1"/>
  <c r="Z1507" i="1" s="1"/>
  <c r="S1423" i="1"/>
  <c r="AF1423" i="1" s="1"/>
  <c r="K1423" i="1"/>
  <c r="X1423" i="1" s="1"/>
  <c r="R1423" i="1"/>
  <c r="AE1423" i="1" s="1"/>
  <c r="Q1423" i="1"/>
  <c r="AD1423" i="1" s="1"/>
  <c r="P1423" i="1"/>
  <c r="AC1423" i="1" s="1"/>
  <c r="O1423" i="1"/>
  <c r="AB1423" i="1" s="1"/>
  <c r="V1423" i="1"/>
  <c r="AI1423" i="1" s="1"/>
  <c r="N1423" i="1"/>
  <c r="AA1423" i="1" s="1"/>
  <c r="U1423" i="1"/>
  <c r="AH1423" i="1" s="1"/>
  <c r="M1423" i="1"/>
  <c r="Z1423" i="1" s="1"/>
  <c r="T1423" i="1"/>
  <c r="AG1423" i="1" s="1"/>
  <c r="L1423" i="1"/>
  <c r="Y1423" i="1" s="1"/>
  <c r="S1525" i="1"/>
  <c r="AF1525" i="1" s="1"/>
  <c r="K1525" i="1"/>
  <c r="X1525" i="1" s="1"/>
  <c r="R1525" i="1"/>
  <c r="AE1525" i="1" s="1"/>
  <c r="P1525" i="1"/>
  <c r="AC1525" i="1" s="1"/>
  <c r="V1525" i="1"/>
  <c r="AI1525" i="1" s="1"/>
  <c r="N1525" i="1"/>
  <c r="AA1525" i="1" s="1"/>
  <c r="M1525" i="1"/>
  <c r="Z1525" i="1" s="1"/>
  <c r="L1525" i="1"/>
  <c r="Y1525" i="1" s="1"/>
  <c r="U1525" i="1"/>
  <c r="AH1525" i="1" s="1"/>
  <c r="T1525" i="1"/>
  <c r="AG1525" i="1" s="1"/>
  <c r="Q1525" i="1"/>
  <c r="AD1525" i="1" s="1"/>
  <c r="O1525" i="1"/>
  <c r="AB1525" i="1" s="1"/>
  <c r="P1512" i="1"/>
  <c r="AC1512" i="1" s="1"/>
  <c r="O1512" i="1"/>
  <c r="AB1512" i="1" s="1"/>
  <c r="V1512" i="1"/>
  <c r="AI1512" i="1" s="1"/>
  <c r="N1512" i="1"/>
  <c r="AA1512" i="1" s="1"/>
  <c r="U1512" i="1"/>
  <c r="AH1512" i="1" s="1"/>
  <c r="M1512" i="1"/>
  <c r="Z1512" i="1" s="1"/>
  <c r="T1512" i="1"/>
  <c r="AG1512" i="1" s="1"/>
  <c r="L1512" i="1"/>
  <c r="Y1512" i="1" s="1"/>
  <c r="S1512" i="1"/>
  <c r="AF1512" i="1" s="1"/>
  <c r="K1512" i="1"/>
  <c r="X1512" i="1" s="1"/>
  <c r="R1512" i="1"/>
  <c r="AE1512" i="1" s="1"/>
  <c r="Q1512" i="1"/>
  <c r="AD1512" i="1" s="1"/>
  <c r="T1014" i="1"/>
  <c r="AG1014" i="1" s="1"/>
  <c r="L1014" i="1"/>
  <c r="Y1014" i="1" s="1"/>
  <c r="S1014" i="1"/>
  <c r="AF1014" i="1" s="1"/>
  <c r="K1014" i="1"/>
  <c r="X1014" i="1" s="1"/>
  <c r="R1014" i="1"/>
  <c r="AE1014" i="1" s="1"/>
  <c r="Q1014" i="1"/>
  <c r="AD1014" i="1" s="1"/>
  <c r="P1014" i="1"/>
  <c r="AC1014" i="1" s="1"/>
  <c r="O1014" i="1"/>
  <c r="AB1014" i="1" s="1"/>
  <c r="M1014" i="1"/>
  <c r="Z1014" i="1" s="1"/>
  <c r="V1014" i="1"/>
  <c r="AI1014" i="1" s="1"/>
  <c r="N1014" i="1"/>
  <c r="AA1014" i="1" s="1"/>
  <c r="U1014" i="1"/>
  <c r="AH1014" i="1" s="1"/>
  <c r="O236" i="1"/>
  <c r="AB236" i="1" s="1"/>
  <c r="U236" i="1"/>
  <c r="AH236" i="1" s="1"/>
  <c r="M236" i="1"/>
  <c r="Z236" i="1" s="1"/>
  <c r="S236" i="1"/>
  <c r="AF236" i="1" s="1"/>
  <c r="K236" i="1"/>
  <c r="X236" i="1" s="1"/>
  <c r="Q236" i="1"/>
  <c r="AD236" i="1" s="1"/>
  <c r="P236" i="1"/>
  <c r="AC236" i="1" s="1"/>
  <c r="N236" i="1"/>
  <c r="AA236" i="1" s="1"/>
  <c r="L236" i="1"/>
  <c r="Y236" i="1" s="1"/>
  <c r="V236" i="1"/>
  <c r="AI236" i="1" s="1"/>
  <c r="R236" i="1"/>
  <c r="AE236" i="1" s="1"/>
  <c r="T236" i="1"/>
  <c r="AG236" i="1" s="1"/>
  <c r="T1505" i="1"/>
  <c r="AG1505" i="1" s="1"/>
  <c r="L1505" i="1"/>
  <c r="Y1505" i="1" s="1"/>
  <c r="S1505" i="1"/>
  <c r="AF1505" i="1" s="1"/>
  <c r="K1505" i="1"/>
  <c r="X1505" i="1" s="1"/>
  <c r="R1505" i="1"/>
  <c r="AE1505" i="1" s="1"/>
  <c r="Q1505" i="1"/>
  <c r="AD1505" i="1" s="1"/>
  <c r="P1505" i="1"/>
  <c r="AC1505" i="1" s="1"/>
  <c r="O1505" i="1"/>
  <c r="AB1505" i="1" s="1"/>
  <c r="V1505" i="1"/>
  <c r="AI1505" i="1" s="1"/>
  <c r="N1505" i="1"/>
  <c r="AA1505" i="1" s="1"/>
  <c r="U1505" i="1"/>
  <c r="AH1505" i="1" s="1"/>
  <c r="M1505" i="1"/>
  <c r="Z1505" i="1" s="1"/>
  <c r="P1027" i="1"/>
  <c r="AC1027" i="1" s="1"/>
  <c r="O1027" i="1"/>
  <c r="AB1027" i="1" s="1"/>
  <c r="V1027" i="1"/>
  <c r="AI1027" i="1" s="1"/>
  <c r="N1027" i="1"/>
  <c r="AA1027" i="1" s="1"/>
  <c r="U1027" i="1"/>
  <c r="AH1027" i="1" s="1"/>
  <c r="M1027" i="1"/>
  <c r="Z1027" i="1" s="1"/>
  <c r="T1027" i="1"/>
  <c r="AG1027" i="1" s="1"/>
  <c r="L1027" i="1"/>
  <c r="Y1027" i="1" s="1"/>
  <c r="S1027" i="1"/>
  <c r="AF1027" i="1" s="1"/>
  <c r="K1027" i="1"/>
  <c r="X1027" i="1" s="1"/>
  <c r="Q1027" i="1"/>
  <c r="AD1027" i="1" s="1"/>
  <c r="R1027" i="1"/>
  <c r="AE1027" i="1" s="1"/>
  <c r="S694" i="1"/>
  <c r="AF694" i="1" s="1"/>
  <c r="K694" i="1"/>
  <c r="X694" i="1" s="1"/>
  <c r="R694" i="1"/>
  <c r="AE694" i="1" s="1"/>
  <c r="Q694" i="1"/>
  <c r="AD694" i="1" s="1"/>
  <c r="P694" i="1"/>
  <c r="AC694" i="1" s="1"/>
  <c r="O694" i="1"/>
  <c r="AB694" i="1" s="1"/>
  <c r="V694" i="1"/>
  <c r="AI694" i="1" s="1"/>
  <c r="N694" i="1"/>
  <c r="AA694" i="1" s="1"/>
  <c r="T694" i="1"/>
  <c r="AG694" i="1" s="1"/>
  <c r="L694" i="1"/>
  <c r="Y694" i="1" s="1"/>
  <c r="U694" i="1"/>
  <c r="AH694" i="1" s="1"/>
  <c r="M694" i="1"/>
  <c r="Z694" i="1" s="1"/>
  <c r="R298" i="1"/>
  <c r="AE298" i="1" s="1"/>
  <c r="Q298" i="1"/>
  <c r="AD298" i="1" s="1"/>
  <c r="P298" i="1"/>
  <c r="AC298" i="1" s="1"/>
  <c r="O298" i="1"/>
  <c r="AB298" i="1" s="1"/>
  <c r="V298" i="1"/>
  <c r="AI298" i="1" s="1"/>
  <c r="N298" i="1"/>
  <c r="AA298" i="1" s="1"/>
  <c r="U298" i="1"/>
  <c r="AH298" i="1" s="1"/>
  <c r="M298" i="1"/>
  <c r="Z298" i="1" s="1"/>
  <c r="S298" i="1"/>
  <c r="AF298" i="1" s="1"/>
  <c r="K298" i="1"/>
  <c r="X298" i="1" s="1"/>
  <c r="L298" i="1"/>
  <c r="Y298" i="1" s="1"/>
  <c r="T298" i="1"/>
  <c r="AG298" i="1" s="1"/>
  <c r="R367" i="1"/>
  <c r="AE367" i="1" s="1"/>
  <c r="P367" i="1"/>
  <c r="AC367" i="1" s="1"/>
  <c r="V367" i="1"/>
  <c r="AI367" i="1" s="1"/>
  <c r="N367" i="1"/>
  <c r="AA367" i="1" s="1"/>
  <c r="U367" i="1"/>
  <c r="AH367" i="1" s="1"/>
  <c r="M367" i="1"/>
  <c r="Z367" i="1" s="1"/>
  <c r="S367" i="1"/>
  <c r="AF367" i="1" s="1"/>
  <c r="K367" i="1"/>
  <c r="X367" i="1" s="1"/>
  <c r="T367" i="1"/>
  <c r="AG367" i="1" s="1"/>
  <c r="Q367" i="1"/>
  <c r="AD367" i="1" s="1"/>
  <c r="O367" i="1"/>
  <c r="AB367" i="1" s="1"/>
  <c r="L367" i="1"/>
  <c r="Y367" i="1" s="1"/>
  <c r="R1245" i="1"/>
  <c r="AE1245" i="1" s="1"/>
  <c r="Q1245" i="1"/>
  <c r="AD1245" i="1" s="1"/>
  <c r="P1245" i="1"/>
  <c r="AC1245" i="1" s="1"/>
  <c r="O1245" i="1"/>
  <c r="AB1245" i="1" s="1"/>
  <c r="V1245" i="1"/>
  <c r="AI1245" i="1" s="1"/>
  <c r="N1245" i="1"/>
  <c r="AA1245" i="1" s="1"/>
  <c r="U1245" i="1"/>
  <c r="AH1245" i="1" s="1"/>
  <c r="M1245" i="1"/>
  <c r="Z1245" i="1" s="1"/>
  <c r="T1245" i="1"/>
  <c r="AG1245" i="1" s="1"/>
  <c r="L1245" i="1"/>
  <c r="Y1245" i="1" s="1"/>
  <c r="S1245" i="1"/>
  <c r="AF1245" i="1" s="1"/>
  <c r="K1245" i="1"/>
  <c r="X1245" i="1" s="1"/>
  <c r="V500" i="1"/>
  <c r="AI500" i="1" s="1"/>
  <c r="N500" i="1"/>
  <c r="AA500" i="1" s="1"/>
  <c r="T500" i="1"/>
  <c r="AG500" i="1" s="1"/>
  <c r="L500" i="1"/>
  <c r="Y500" i="1" s="1"/>
  <c r="S500" i="1"/>
  <c r="AF500" i="1" s="1"/>
  <c r="K500" i="1"/>
  <c r="X500" i="1" s="1"/>
  <c r="R500" i="1"/>
  <c r="AE500" i="1" s="1"/>
  <c r="Q500" i="1"/>
  <c r="AD500" i="1" s="1"/>
  <c r="O500" i="1"/>
  <c r="AB500" i="1" s="1"/>
  <c r="M500" i="1"/>
  <c r="Z500" i="1" s="1"/>
  <c r="P500" i="1"/>
  <c r="AC500" i="1" s="1"/>
  <c r="U500" i="1"/>
  <c r="AH500" i="1" s="1"/>
  <c r="R333" i="1"/>
  <c r="AE333" i="1" s="1"/>
  <c r="P333" i="1"/>
  <c r="AC333" i="1" s="1"/>
  <c r="V333" i="1"/>
  <c r="AI333" i="1" s="1"/>
  <c r="N333" i="1"/>
  <c r="AA333" i="1" s="1"/>
  <c r="U333" i="1"/>
  <c r="AH333" i="1" s="1"/>
  <c r="M333" i="1"/>
  <c r="Z333" i="1" s="1"/>
  <c r="S333" i="1"/>
  <c r="AF333" i="1" s="1"/>
  <c r="K333" i="1"/>
  <c r="X333" i="1" s="1"/>
  <c r="T333" i="1"/>
  <c r="AG333" i="1" s="1"/>
  <c r="Q333" i="1"/>
  <c r="AD333" i="1" s="1"/>
  <c r="O333" i="1"/>
  <c r="AB333" i="1" s="1"/>
  <c r="L333" i="1"/>
  <c r="Y333" i="1" s="1"/>
  <c r="T972" i="1"/>
  <c r="AG972" i="1" s="1"/>
  <c r="L972" i="1"/>
  <c r="Y972" i="1" s="1"/>
  <c r="S972" i="1"/>
  <c r="AF972" i="1" s="1"/>
  <c r="K972" i="1"/>
  <c r="X972" i="1" s="1"/>
  <c r="R972" i="1"/>
  <c r="AE972" i="1" s="1"/>
  <c r="Q972" i="1"/>
  <c r="AD972" i="1" s="1"/>
  <c r="P972" i="1"/>
  <c r="AC972" i="1" s="1"/>
  <c r="O972" i="1"/>
  <c r="AB972" i="1" s="1"/>
  <c r="V972" i="1"/>
  <c r="AI972" i="1" s="1"/>
  <c r="U972" i="1"/>
  <c r="AH972" i="1" s="1"/>
  <c r="N972" i="1"/>
  <c r="AA972" i="1" s="1"/>
  <c r="M972" i="1"/>
  <c r="Z972" i="1" s="1"/>
  <c r="V1257" i="1"/>
  <c r="AI1257" i="1" s="1"/>
  <c r="N1257" i="1"/>
  <c r="AA1257" i="1" s="1"/>
  <c r="U1257" i="1"/>
  <c r="AH1257" i="1" s="1"/>
  <c r="M1257" i="1"/>
  <c r="Z1257" i="1" s="1"/>
  <c r="S1257" i="1"/>
  <c r="AF1257" i="1" s="1"/>
  <c r="K1257" i="1"/>
  <c r="X1257" i="1" s="1"/>
  <c r="R1257" i="1"/>
  <c r="AE1257" i="1" s="1"/>
  <c r="Q1257" i="1"/>
  <c r="AD1257" i="1" s="1"/>
  <c r="T1257" i="1"/>
  <c r="AG1257" i="1" s="1"/>
  <c r="P1257" i="1"/>
  <c r="AC1257" i="1" s="1"/>
  <c r="O1257" i="1"/>
  <c r="AB1257" i="1" s="1"/>
  <c r="L1257" i="1"/>
  <c r="Y1257" i="1" s="1"/>
  <c r="P1039" i="1"/>
  <c r="AC1039" i="1" s="1"/>
  <c r="O1039" i="1"/>
  <c r="AB1039" i="1" s="1"/>
  <c r="V1039" i="1"/>
  <c r="AI1039" i="1" s="1"/>
  <c r="N1039" i="1"/>
  <c r="AA1039" i="1" s="1"/>
  <c r="U1039" i="1"/>
  <c r="AH1039" i="1" s="1"/>
  <c r="M1039" i="1"/>
  <c r="Z1039" i="1" s="1"/>
  <c r="T1039" i="1"/>
  <c r="AG1039" i="1" s="1"/>
  <c r="L1039" i="1"/>
  <c r="Y1039" i="1" s="1"/>
  <c r="S1039" i="1"/>
  <c r="AF1039" i="1" s="1"/>
  <c r="K1039" i="1"/>
  <c r="X1039" i="1" s="1"/>
  <c r="R1039" i="1"/>
  <c r="AE1039" i="1" s="1"/>
  <c r="Q1039" i="1"/>
  <c r="AD1039" i="1" s="1"/>
  <c r="Q922" i="1"/>
  <c r="AD922" i="1" s="1"/>
  <c r="V922" i="1"/>
  <c r="AI922" i="1" s="1"/>
  <c r="N922" i="1"/>
  <c r="AA922" i="1" s="1"/>
  <c r="T922" i="1"/>
  <c r="AG922" i="1" s="1"/>
  <c r="L922" i="1"/>
  <c r="Y922" i="1" s="1"/>
  <c r="S922" i="1"/>
  <c r="AF922" i="1" s="1"/>
  <c r="R922" i="1"/>
  <c r="AE922" i="1" s="1"/>
  <c r="P922" i="1"/>
  <c r="AC922" i="1" s="1"/>
  <c r="O922" i="1"/>
  <c r="AB922" i="1" s="1"/>
  <c r="M922" i="1"/>
  <c r="Z922" i="1" s="1"/>
  <c r="K922" i="1"/>
  <c r="X922" i="1" s="1"/>
  <c r="U922" i="1"/>
  <c r="AH922" i="1" s="1"/>
  <c r="V368" i="1"/>
  <c r="AI368" i="1" s="1"/>
  <c r="N368" i="1"/>
  <c r="AA368" i="1" s="1"/>
  <c r="T368" i="1"/>
  <c r="AG368" i="1" s="1"/>
  <c r="L368" i="1"/>
  <c r="Y368" i="1" s="1"/>
  <c r="R368" i="1"/>
  <c r="AE368" i="1" s="1"/>
  <c r="Q368" i="1"/>
  <c r="AD368" i="1" s="1"/>
  <c r="O368" i="1"/>
  <c r="AB368" i="1" s="1"/>
  <c r="U368" i="1"/>
  <c r="AH368" i="1" s="1"/>
  <c r="S368" i="1"/>
  <c r="AF368" i="1" s="1"/>
  <c r="P368" i="1"/>
  <c r="AC368" i="1" s="1"/>
  <c r="K368" i="1"/>
  <c r="X368" i="1" s="1"/>
  <c r="M368" i="1"/>
  <c r="Z368" i="1" s="1"/>
  <c r="V251" i="1"/>
  <c r="AI251" i="1" s="1"/>
  <c r="N251" i="1"/>
  <c r="AA251" i="1" s="1"/>
  <c r="U251" i="1"/>
  <c r="AH251" i="1" s="1"/>
  <c r="M251" i="1"/>
  <c r="Z251" i="1" s="1"/>
  <c r="T251" i="1"/>
  <c r="AG251" i="1" s="1"/>
  <c r="L251" i="1"/>
  <c r="Y251" i="1" s="1"/>
  <c r="S251" i="1"/>
  <c r="AF251" i="1" s="1"/>
  <c r="K251" i="1"/>
  <c r="X251" i="1" s="1"/>
  <c r="R251" i="1"/>
  <c r="AE251" i="1" s="1"/>
  <c r="Q251" i="1"/>
  <c r="AD251" i="1" s="1"/>
  <c r="O251" i="1"/>
  <c r="AB251" i="1" s="1"/>
  <c r="P251" i="1"/>
  <c r="AC251" i="1" s="1"/>
  <c r="O1329" i="1"/>
  <c r="AB1329" i="1" s="1"/>
  <c r="V1329" i="1"/>
  <c r="AI1329" i="1" s="1"/>
  <c r="N1329" i="1"/>
  <c r="AA1329" i="1" s="1"/>
  <c r="U1329" i="1"/>
  <c r="AH1329" i="1" s="1"/>
  <c r="M1329" i="1"/>
  <c r="Z1329" i="1" s="1"/>
  <c r="T1329" i="1"/>
  <c r="AG1329" i="1" s="1"/>
  <c r="L1329" i="1"/>
  <c r="Y1329" i="1" s="1"/>
  <c r="S1329" i="1"/>
  <c r="AF1329" i="1" s="1"/>
  <c r="K1329" i="1"/>
  <c r="X1329" i="1" s="1"/>
  <c r="R1329" i="1"/>
  <c r="AE1329" i="1" s="1"/>
  <c r="Q1329" i="1"/>
  <c r="AD1329" i="1" s="1"/>
  <c r="P1329" i="1"/>
  <c r="AC1329" i="1" s="1"/>
  <c r="S1332" i="1"/>
  <c r="AF1332" i="1" s="1"/>
  <c r="K1332" i="1"/>
  <c r="X1332" i="1" s="1"/>
  <c r="R1332" i="1"/>
  <c r="AE1332" i="1" s="1"/>
  <c r="Q1332" i="1"/>
  <c r="AD1332" i="1" s="1"/>
  <c r="P1332" i="1"/>
  <c r="AC1332" i="1" s="1"/>
  <c r="O1332" i="1"/>
  <c r="AB1332" i="1" s="1"/>
  <c r="V1332" i="1"/>
  <c r="AI1332" i="1" s="1"/>
  <c r="N1332" i="1"/>
  <c r="AA1332" i="1" s="1"/>
  <c r="U1332" i="1"/>
  <c r="AH1332" i="1" s="1"/>
  <c r="M1332" i="1"/>
  <c r="Z1332" i="1" s="1"/>
  <c r="T1332" i="1"/>
  <c r="AG1332" i="1" s="1"/>
  <c r="L1332" i="1"/>
  <c r="Y1332" i="1" s="1"/>
  <c r="P1037" i="1"/>
  <c r="AC1037" i="1" s="1"/>
  <c r="O1037" i="1"/>
  <c r="AB1037" i="1" s="1"/>
  <c r="V1037" i="1"/>
  <c r="AI1037" i="1" s="1"/>
  <c r="N1037" i="1"/>
  <c r="AA1037" i="1" s="1"/>
  <c r="U1037" i="1"/>
  <c r="AH1037" i="1" s="1"/>
  <c r="M1037" i="1"/>
  <c r="Z1037" i="1" s="1"/>
  <c r="T1037" i="1"/>
  <c r="AG1037" i="1" s="1"/>
  <c r="L1037" i="1"/>
  <c r="Y1037" i="1" s="1"/>
  <c r="S1037" i="1"/>
  <c r="AF1037" i="1" s="1"/>
  <c r="K1037" i="1"/>
  <c r="X1037" i="1" s="1"/>
  <c r="R1037" i="1"/>
  <c r="AE1037" i="1" s="1"/>
  <c r="Q1037" i="1"/>
  <c r="AD1037" i="1" s="1"/>
  <c r="Q914" i="1"/>
  <c r="AD914" i="1" s="1"/>
  <c r="V914" i="1"/>
  <c r="AI914" i="1" s="1"/>
  <c r="N914" i="1"/>
  <c r="AA914" i="1" s="1"/>
  <c r="T914" i="1"/>
  <c r="AG914" i="1" s="1"/>
  <c r="L914" i="1"/>
  <c r="Y914" i="1" s="1"/>
  <c r="M914" i="1"/>
  <c r="Z914" i="1" s="1"/>
  <c r="K914" i="1"/>
  <c r="X914" i="1" s="1"/>
  <c r="U914" i="1"/>
  <c r="AH914" i="1" s="1"/>
  <c r="S914" i="1"/>
  <c r="AF914" i="1" s="1"/>
  <c r="R914" i="1"/>
  <c r="AE914" i="1" s="1"/>
  <c r="O914" i="1"/>
  <c r="AB914" i="1" s="1"/>
  <c r="P914" i="1"/>
  <c r="AC914" i="1" s="1"/>
  <c r="V480" i="1"/>
  <c r="AI480" i="1" s="1"/>
  <c r="N480" i="1"/>
  <c r="AA480" i="1" s="1"/>
  <c r="T480" i="1"/>
  <c r="AG480" i="1" s="1"/>
  <c r="L480" i="1"/>
  <c r="Y480" i="1" s="1"/>
  <c r="S480" i="1"/>
  <c r="AF480" i="1" s="1"/>
  <c r="K480" i="1"/>
  <c r="X480" i="1" s="1"/>
  <c r="R480" i="1"/>
  <c r="AE480" i="1" s="1"/>
  <c r="Q480" i="1"/>
  <c r="AD480" i="1" s="1"/>
  <c r="O480" i="1"/>
  <c r="AB480" i="1" s="1"/>
  <c r="U480" i="1"/>
  <c r="AH480" i="1" s="1"/>
  <c r="P480" i="1"/>
  <c r="AC480" i="1" s="1"/>
  <c r="M480" i="1"/>
  <c r="Z480" i="1" s="1"/>
  <c r="R308" i="1"/>
  <c r="AE308" i="1" s="1"/>
  <c r="Q308" i="1"/>
  <c r="AD308" i="1" s="1"/>
  <c r="P308" i="1"/>
  <c r="AC308" i="1" s="1"/>
  <c r="O308" i="1"/>
  <c r="AB308" i="1" s="1"/>
  <c r="V308" i="1"/>
  <c r="AI308" i="1" s="1"/>
  <c r="N308" i="1"/>
  <c r="AA308" i="1" s="1"/>
  <c r="U308" i="1"/>
  <c r="AH308" i="1" s="1"/>
  <c r="M308" i="1"/>
  <c r="Z308" i="1" s="1"/>
  <c r="S308" i="1"/>
  <c r="AF308" i="1" s="1"/>
  <c r="K308" i="1"/>
  <c r="X308" i="1" s="1"/>
  <c r="L308" i="1"/>
  <c r="Y308" i="1" s="1"/>
  <c r="T308" i="1"/>
  <c r="AG308" i="1" s="1"/>
  <c r="R93" i="1"/>
  <c r="AE93" i="1" s="1"/>
  <c r="Q93" i="1"/>
  <c r="AD93" i="1" s="1"/>
  <c r="P93" i="1"/>
  <c r="AC93" i="1" s="1"/>
  <c r="O93" i="1"/>
  <c r="AB93" i="1" s="1"/>
  <c r="V93" i="1"/>
  <c r="AI93" i="1" s="1"/>
  <c r="N93" i="1"/>
  <c r="AA93" i="1" s="1"/>
  <c r="U93" i="1"/>
  <c r="AH93" i="1" s="1"/>
  <c r="M93" i="1"/>
  <c r="Z93" i="1" s="1"/>
  <c r="S93" i="1"/>
  <c r="AF93" i="1" s="1"/>
  <c r="K93" i="1"/>
  <c r="X93" i="1" s="1"/>
  <c r="T93" i="1"/>
  <c r="AG93" i="1" s="1"/>
  <c r="L93" i="1"/>
  <c r="Y93" i="1" s="1"/>
  <c r="S195" i="1"/>
  <c r="AF195" i="1" s="1"/>
  <c r="K195" i="1"/>
  <c r="X195" i="1" s="1"/>
  <c r="Q195" i="1"/>
  <c r="AD195" i="1" s="1"/>
  <c r="O195" i="1"/>
  <c r="AB195" i="1" s="1"/>
  <c r="V195" i="1"/>
  <c r="AI195" i="1" s="1"/>
  <c r="U195" i="1"/>
  <c r="AH195" i="1" s="1"/>
  <c r="T195" i="1"/>
  <c r="AG195" i="1" s="1"/>
  <c r="R195" i="1"/>
  <c r="AE195" i="1" s="1"/>
  <c r="P195" i="1"/>
  <c r="AC195" i="1" s="1"/>
  <c r="N195" i="1"/>
  <c r="AA195" i="1" s="1"/>
  <c r="L195" i="1"/>
  <c r="Y195" i="1" s="1"/>
  <c r="M195" i="1"/>
  <c r="Z195" i="1" s="1"/>
  <c r="Q9" i="1"/>
  <c r="AD9" i="1" s="1"/>
  <c r="P9" i="1"/>
  <c r="AC9" i="1" s="1"/>
  <c r="O9" i="1"/>
  <c r="AB9" i="1" s="1"/>
  <c r="U9" i="1"/>
  <c r="AH9" i="1" s="1"/>
  <c r="M9" i="1"/>
  <c r="Z9" i="1" s="1"/>
  <c r="S9" i="1"/>
  <c r="AF9" i="1" s="1"/>
  <c r="N9" i="1"/>
  <c r="AA9" i="1" s="1"/>
  <c r="L9" i="1"/>
  <c r="Y9" i="1" s="1"/>
  <c r="T9" i="1"/>
  <c r="AG9" i="1" s="1"/>
  <c r="V9" i="1"/>
  <c r="AI9" i="1" s="1"/>
  <c r="R9" i="1"/>
  <c r="AE9" i="1" s="1"/>
  <c r="P1179" i="1"/>
  <c r="AC1179" i="1" s="1"/>
  <c r="P1119" i="1"/>
  <c r="AC1119" i="1" s="1"/>
  <c r="K751" i="1"/>
  <c r="X751" i="1" s="1"/>
  <c r="L840" i="1"/>
  <c r="Y840" i="1" s="1"/>
  <c r="K116" i="1"/>
  <c r="X116" i="1" s="1"/>
  <c r="K160" i="1"/>
  <c r="X160" i="1" s="1"/>
  <c r="P1078" i="1"/>
  <c r="AC1078" i="1" s="1"/>
  <c r="O1078" i="1"/>
  <c r="AB1078" i="1" s="1"/>
  <c r="V1078" i="1"/>
  <c r="AI1078" i="1" s="1"/>
  <c r="N1078" i="1"/>
  <c r="AA1078" i="1" s="1"/>
  <c r="U1078" i="1"/>
  <c r="AH1078" i="1" s="1"/>
  <c r="M1078" i="1"/>
  <c r="Z1078" i="1" s="1"/>
  <c r="T1078" i="1"/>
  <c r="AG1078" i="1" s="1"/>
  <c r="L1078" i="1"/>
  <c r="Y1078" i="1" s="1"/>
  <c r="S1078" i="1"/>
  <c r="AF1078" i="1" s="1"/>
  <c r="K1078" i="1"/>
  <c r="X1078" i="1" s="1"/>
  <c r="R1078" i="1"/>
  <c r="AE1078" i="1" s="1"/>
  <c r="Q1078" i="1"/>
  <c r="AD1078" i="1" s="1"/>
  <c r="L1265" i="1"/>
  <c r="Y1265" i="1" s="1"/>
  <c r="K1337" i="1"/>
  <c r="X1337" i="1" s="1"/>
  <c r="O1337" i="1"/>
  <c r="AB1337" i="1" s="1"/>
  <c r="K1333" i="1"/>
  <c r="X1333" i="1" s="1"/>
  <c r="O1333" i="1"/>
  <c r="AB1333" i="1" s="1"/>
  <c r="R1183" i="1"/>
  <c r="AE1183" i="1" s="1"/>
  <c r="L1227" i="1"/>
  <c r="Y1227" i="1" s="1"/>
  <c r="P1184" i="1"/>
  <c r="AC1184" i="1" s="1"/>
  <c r="L1258" i="1"/>
  <c r="Y1258" i="1" s="1"/>
  <c r="P946" i="1"/>
  <c r="AC946" i="1" s="1"/>
  <c r="K892" i="1"/>
  <c r="X892" i="1" s="1"/>
  <c r="L979" i="1"/>
  <c r="Y979" i="1" s="1"/>
  <c r="Q963" i="1"/>
  <c r="AD963" i="1" s="1"/>
  <c r="O830" i="1"/>
  <c r="AB830" i="1" s="1"/>
  <c r="L830" i="1"/>
  <c r="Y830" i="1" s="1"/>
  <c r="S753" i="1"/>
  <c r="AF753" i="1" s="1"/>
  <c r="K843" i="1"/>
  <c r="X843" i="1" s="1"/>
  <c r="O726" i="1"/>
  <c r="AB726" i="1" s="1"/>
  <c r="L726" i="1"/>
  <c r="Y726" i="1" s="1"/>
  <c r="K741" i="1"/>
  <c r="X741" i="1" s="1"/>
  <c r="K712" i="1"/>
  <c r="X712" i="1" s="1"/>
  <c r="K399" i="1"/>
  <c r="X399" i="1" s="1"/>
  <c r="S479" i="1"/>
  <c r="AF479" i="1" s="1"/>
  <c r="V346" i="1"/>
  <c r="AI346" i="1" s="1"/>
  <c r="N346" i="1"/>
  <c r="AA346" i="1" s="1"/>
  <c r="T346" i="1"/>
  <c r="AG346" i="1" s="1"/>
  <c r="L346" i="1"/>
  <c r="Y346" i="1" s="1"/>
  <c r="R346" i="1"/>
  <c r="AE346" i="1" s="1"/>
  <c r="Q346" i="1"/>
  <c r="AD346" i="1" s="1"/>
  <c r="O346" i="1"/>
  <c r="AB346" i="1" s="1"/>
  <c r="P346" i="1"/>
  <c r="AC346" i="1" s="1"/>
  <c r="M346" i="1"/>
  <c r="Z346" i="1" s="1"/>
  <c r="K346" i="1"/>
  <c r="X346" i="1" s="1"/>
  <c r="S346" i="1"/>
  <c r="AF346" i="1" s="1"/>
  <c r="U346" i="1"/>
  <c r="AH346" i="1" s="1"/>
  <c r="K204" i="1"/>
  <c r="X204" i="1" s="1"/>
  <c r="K870" i="1"/>
  <c r="X870" i="1" s="1"/>
  <c r="M722" i="1"/>
  <c r="Z722" i="1" s="1"/>
  <c r="L709" i="1"/>
  <c r="Y709" i="1" s="1"/>
  <c r="Q378" i="1"/>
  <c r="AD378" i="1" s="1"/>
  <c r="M356" i="1"/>
  <c r="Z356" i="1" s="1"/>
  <c r="O157" i="1"/>
  <c r="AB157" i="1" s="1"/>
  <c r="M143" i="1"/>
  <c r="Z143" i="1" s="1"/>
  <c r="O191" i="1"/>
  <c r="AB191" i="1" s="1"/>
  <c r="M34" i="1"/>
  <c r="Z34" i="1" s="1"/>
  <c r="U28" i="1"/>
  <c r="AH28" i="1" s="1"/>
  <c r="M28" i="1"/>
  <c r="Z28" i="1" s="1"/>
  <c r="T28" i="1"/>
  <c r="AG28" i="1" s="1"/>
  <c r="L28" i="1"/>
  <c r="Y28" i="1" s="1"/>
  <c r="S28" i="1"/>
  <c r="AF28" i="1" s="1"/>
  <c r="K28" i="1"/>
  <c r="X28" i="1" s="1"/>
  <c r="Q28" i="1"/>
  <c r="AD28" i="1" s="1"/>
  <c r="O28" i="1"/>
  <c r="AB28" i="1" s="1"/>
  <c r="V28" i="1"/>
  <c r="AI28" i="1" s="1"/>
  <c r="R28" i="1"/>
  <c r="AE28" i="1" s="1"/>
  <c r="P28" i="1"/>
  <c r="AC28" i="1" s="1"/>
  <c r="N28" i="1"/>
  <c r="AA28" i="1" s="1"/>
  <c r="T1638" i="1"/>
  <c r="AG1638" i="1" s="1"/>
  <c r="L1638" i="1"/>
  <c r="Y1638" i="1" s="1"/>
  <c r="R1638" i="1"/>
  <c r="AE1638" i="1" s="1"/>
  <c r="Q1638" i="1"/>
  <c r="AD1638" i="1" s="1"/>
  <c r="O1638" i="1"/>
  <c r="AB1638" i="1" s="1"/>
  <c r="U1638" i="1"/>
  <c r="AH1638" i="1" s="1"/>
  <c r="M1638" i="1"/>
  <c r="Z1638" i="1" s="1"/>
  <c r="K1638" i="1"/>
  <c r="X1638" i="1" s="1"/>
  <c r="V1638" i="1"/>
  <c r="AI1638" i="1" s="1"/>
  <c r="S1638" i="1"/>
  <c r="AF1638" i="1" s="1"/>
  <c r="N1638" i="1"/>
  <c r="AA1638" i="1" s="1"/>
  <c r="P1638" i="1"/>
  <c r="AC1638" i="1" s="1"/>
  <c r="K1342" i="1"/>
  <c r="X1342" i="1" s="1"/>
  <c r="P1482" i="1"/>
  <c r="AC1482" i="1" s="1"/>
  <c r="O1482" i="1"/>
  <c r="AB1482" i="1" s="1"/>
  <c r="V1482" i="1"/>
  <c r="AI1482" i="1" s="1"/>
  <c r="N1482" i="1"/>
  <c r="AA1482" i="1" s="1"/>
  <c r="U1482" i="1"/>
  <c r="AH1482" i="1" s="1"/>
  <c r="M1482" i="1"/>
  <c r="Z1482" i="1" s="1"/>
  <c r="T1482" i="1"/>
  <c r="AG1482" i="1" s="1"/>
  <c r="L1482" i="1"/>
  <c r="Y1482" i="1" s="1"/>
  <c r="S1482" i="1"/>
  <c r="AF1482" i="1" s="1"/>
  <c r="K1482" i="1"/>
  <c r="X1482" i="1" s="1"/>
  <c r="R1482" i="1"/>
  <c r="AE1482" i="1" s="1"/>
  <c r="Q1482" i="1"/>
  <c r="AD1482" i="1" s="1"/>
  <c r="L1207" i="1"/>
  <c r="Y1207" i="1" s="1"/>
  <c r="L1243" i="1"/>
  <c r="Y1243" i="1" s="1"/>
  <c r="M1154" i="1"/>
  <c r="Z1154" i="1" s="1"/>
  <c r="K971" i="1"/>
  <c r="X971" i="1" s="1"/>
  <c r="O971" i="1"/>
  <c r="AB971" i="1" s="1"/>
  <c r="K1112" i="1"/>
  <c r="X1112" i="1" s="1"/>
  <c r="O1112" i="1"/>
  <c r="AB1112" i="1" s="1"/>
  <c r="O803" i="1"/>
  <c r="AB803" i="1" s="1"/>
  <c r="M763" i="1"/>
  <c r="Z763" i="1" s="1"/>
  <c r="K823" i="1"/>
  <c r="X823" i="1" s="1"/>
  <c r="R168" i="1"/>
  <c r="AE168" i="1" s="1"/>
  <c r="L99" i="1"/>
  <c r="Y99" i="1" s="1"/>
  <c r="O99" i="1"/>
  <c r="AB99" i="1" s="1"/>
  <c r="K1232" i="1"/>
  <c r="X1232" i="1" s="1"/>
  <c r="Q208" i="1"/>
  <c r="AD208" i="1" s="1"/>
  <c r="S170" i="1"/>
  <c r="AF170" i="1" s="1"/>
  <c r="O1131" i="1"/>
  <c r="AB1131" i="1" s="1"/>
  <c r="M526" i="1"/>
  <c r="Z526" i="1" s="1"/>
  <c r="L1371" i="1"/>
  <c r="Y1371" i="1" s="1"/>
  <c r="L1253" i="1"/>
  <c r="Y1253" i="1" s="1"/>
  <c r="M1253" i="1"/>
  <c r="Z1253" i="1" s="1"/>
  <c r="O1153" i="1"/>
  <c r="AB1153" i="1" s="1"/>
  <c r="L981" i="1"/>
  <c r="Y981" i="1" s="1"/>
  <c r="T767" i="1"/>
  <c r="AG767" i="1" s="1"/>
  <c r="L838" i="1"/>
  <c r="Y838" i="1" s="1"/>
  <c r="S1117" i="1"/>
  <c r="AF1117" i="1" s="1"/>
  <c r="M880" i="1"/>
  <c r="Z880" i="1" s="1"/>
  <c r="N880" i="1"/>
  <c r="AA880" i="1" s="1"/>
  <c r="O352" i="1"/>
  <c r="AB352" i="1" s="1"/>
  <c r="K1252" i="1"/>
  <c r="X1252" i="1" s="1"/>
  <c r="L1320" i="1"/>
  <c r="Y1320" i="1" s="1"/>
  <c r="O138" i="1"/>
  <c r="AB138" i="1" s="1"/>
  <c r="M1377" i="1"/>
  <c r="Z1377" i="1" s="1"/>
  <c r="O765" i="1"/>
  <c r="AB765" i="1" s="1"/>
  <c r="M747" i="1"/>
  <c r="Z747" i="1" s="1"/>
  <c r="O144" i="1"/>
  <c r="AB144" i="1" s="1"/>
  <c r="N740" i="1"/>
  <c r="AA740" i="1" s="1"/>
  <c r="S403" i="1"/>
  <c r="AF403" i="1" s="1"/>
  <c r="M1662" i="1"/>
  <c r="Z1662" i="1" s="1"/>
  <c r="S1650" i="1"/>
  <c r="AF1650" i="1" s="1"/>
  <c r="M1582" i="1"/>
  <c r="Z1582" i="1" s="1"/>
  <c r="O1677" i="1"/>
  <c r="AB1677" i="1" s="1"/>
  <c r="T1677" i="1"/>
  <c r="AG1677" i="1" s="1"/>
  <c r="O1645" i="1"/>
  <c r="AB1645" i="1" s="1"/>
  <c r="N1645" i="1"/>
  <c r="AA1645" i="1" s="1"/>
  <c r="K1629" i="1"/>
  <c r="X1629" i="1" s="1"/>
  <c r="S1613" i="1"/>
  <c r="AF1613" i="1" s="1"/>
  <c r="Q1597" i="1"/>
  <c r="AD1597" i="1" s="1"/>
  <c r="N1581" i="1"/>
  <c r="AA1581" i="1" s="1"/>
  <c r="M1670" i="1"/>
  <c r="Z1670" i="1" s="1"/>
  <c r="N1610" i="1"/>
  <c r="AA1610" i="1" s="1"/>
  <c r="M1610" i="1"/>
  <c r="Z1610" i="1" s="1"/>
  <c r="K1696" i="1"/>
  <c r="X1696" i="1" s="1"/>
  <c r="K1664" i="1"/>
  <c r="X1664" i="1" s="1"/>
  <c r="O1664" i="1"/>
  <c r="AB1664" i="1" s="1"/>
  <c r="M1648" i="1"/>
  <c r="Z1648" i="1" s="1"/>
  <c r="R1600" i="1"/>
  <c r="AE1600" i="1" s="1"/>
  <c r="P1600" i="1"/>
  <c r="AC1600" i="1" s="1"/>
  <c r="O1674" i="1"/>
  <c r="AB1674" i="1" s="1"/>
  <c r="S1691" i="1"/>
  <c r="AF1691" i="1" s="1"/>
  <c r="O1675" i="1"/>
  <c r="AB1675" i="1" s="1"/>
  <c r="K1659" i="1"/>
  <c r="X1659" i="1" s="1"/>
  <c r="N1611" i="1"/>
  <c r="AA1611" i="1" s="1"/>
  <c r="S1611" i="1"/>
  <c r="AF1611" i="1" s="1"/>
  <c r="K1595" i="1"/>
  <c r="X1595" i="1" s="1"/>
  <c r="N1579" i="1"/>
  <c r="AA1579" i="1" s="1"/>
  <c r="M1359" i="1"/>
  <c r="Z1359" i="1" s="1"/>
  <c r="L1261" i="1"/>
  <c r="Y1261" i="1" s="1"/>
  <c r="L1392" i="1"/>
  <c r="Y1392" i="1" s="1"/>
  <c r="P1217" i="1"/>
  <c r="AC1217" i="1" s="1"/>
  <c r="L1570" i="1"/>
  <c r="Y1570" i="1" s="1"/>
  <c r="N1554" i="1"/>
  <c r="AA1554" i="1" s="1"/>
  <c r="L1538" i="1"/>
  <c r="Y1538" i="1" s="1"/>
  <c r="N1522" i="1"/>
  <c r="AA1522" i="1" s="1"/>
  <c r="P1181" i="1"/>
  <c r="AC1181" i="1" s="1"/>
  <c r="S1129" i="1"/>
  <c r="AF1129" i="1" s="1"/>
  <c r="P898" i="1"/>
  <c r="AC898" i="1" s="1"/>
  <c r="T898" i="1"/>
  <c r="AG898" i="1" s="1"/>
  <c r="L953" i="1"/>
  <c r="Y953" i="1" s="1"/>
  <c r="N937" i="1"/>
  <c r="AA937" i="1" s="1"/>
  <c r="K835" i="1"/>
  <c r="X835" i="1" s="1"/>
  <c r="P931" i="1"/>
  <c r="AC931" i="1" s="1"/>
  <c r="V424" i="1"/>
  <c r="AI424" i="1" s="1"/>
  <c r="N424" i="1"/>
  <c r="AA424" i="1" s="1"/>
  <c r="T424" i="1"/>
  <c r="AG424" i="1" s="1"/>
  <c r="L424" i="1"/>
  <c r="Y424" i="1" s="1"/>
  <c r="S424" i="1"/>
  <c r="AF424" i="1" s="1"/>
  <c r="K424" i="1"/>
  <c r="X424" i="1" s="1"/>
  <c r="R424" i="1"/>
  <c r="AE424" i="1" s="1"/>
  <c r="Q424" i="1"/>
  <c r="AD424" i="1" s="1"/>
  <c r="O424" i="1"/>
  <c r="AB424" i="1" s="1"/>
  <c r="U424" i="1"/>
  <c r="AH424" i="1" s="1"/>
  <c r="P424" i="1"/>
  <c r="AC424" i="1" s="1"/>
  <c r="M424" i="1"/>
  <c r="Z424" i="1" s="1"/>
  <c r="N165" i="1"/>
  <c r="AA165" i="1" s="1"/>
  <c r="T183" i="1"/>
  <c r="AG183" i="1" s="1"/>
  <c r="K1226" i="1"/>
  <c r="X1226" i="1" s="1"/>
  <c r="R63" i="1"/>
  <c r="AE63" i="1" s="1"/>
  <c r="Q63" i="1"/>
  <c r="AD63" i="1" s="1"/>
  <c r="P63" i="1"/>
  <c r="AC63" i="1" s="1"/>
  <c r="O63" i="1"/>
  <c r="AB63" i="1" s="1"/>
  <c r="V63" i="1"/>
  <c r="AI63" i="1" s="1"/>
  <c r="N63" i="1"/>
  <c r="AA63" i="1" s="1"/>
  <c r="U63" i="1"/>
  <c r="AH63" i="1" s="1"/>
  <c r="M63" i="1"/>
  <c r="Z63" i="1" s="1"/>
  <c r="S63" i="1"/>
  <c r="AF63" i="1" s="1"/>
  <c r="K63" i="1"/>
  <c r="X63" i="1" s="1"/>
  <c r="T63" i="1"/>
  <c r="AG63" i="1" s="1"/>
  <c r="L63" i="1"/>
  <c r="Y63" i="1" s="1"/>
  <c r="L1197" i="1"/>
  <c r="Y1197" i="1" s="1"/>
  <c r="M841" i="1"/>
  <c r="Z841" i="1" s="1"/>
  <c r="M733" i="1"/>
  <c r="Z733" i="1" s="1"/>
  <c r="M416" i="1"/>
  <c r="Z416" i="1" s="1"/>
  <c r="L416" i="1"/>
  <c r="Y416" i="1" s="1"/>
  <c r="N24" i="1"/>
  <c r="AA24" i="1" s="1"/>
  <c r="L24" i="1"/>
  <c r="Y24" i="1" s="1"/>
  <c r="L1334" i="1"/>
  <c r="Y1334" i="1" s="1"/>
  <c r="O1103" i="1"/>
  <c r="AB1103" i="1" s="1"/>
  <c r="M1209" i="1"/>
  <c r="Z1209" i="1" s="1"/>
  <c r="L1373" i="1"/>
  <c r="Y1373" i="1" s="1"/>
  <c r="L734" i="1"/>
  <c r="Y734" i="1" s="1"/>
  <c r="L31" i="1"/>
  <c r="Y31" i="1" s="1"/>
  <c r="O7" i="1"/>
  <c r="AB7" i="1" s="1"/>
  <c r="P1074" i="1"/>
  <c r="AC1074" i="1" s="1"/>
  <c r="O1074" i="1"/>
  <c r="AB1074" i="1" s="1"/>
  <c r="V1074" i="1"/>
  <c r="AI1074" i="1" s="1"/>
  <c r="N1074" i="1"/>
  <c r="AA1074" i="1" s="1"/>
  <c r="U1074" i="1"/>
  <c r="AH1074" i="1" s="1"/>
  <c r="M1074" i="1"/>
  <c r="Z1074" i="1" s="1"/>
  <c r="T1074" i="1"/>
  <c r="AG1074" i="1" s="1"/>
  <c r="L1074" i="1"/>
  <c r="Y1074" i="1" s="1"/>
  <c r="S1074" i="1"/>
  <c r="AF1074" i="1" s="1"/>
  <c r="K1074" i="1"/>
  <c r="X1074" i="1" s="1"/>
  <c r="R1074" i="1"/>
  <c r="AE1074" i="1" s="1"/>
  <c r="Q1074" i="1"/>
  <c r="AD1074" i="1" s="1"/>
  <c r="L1051" i="1"/>
  <c r="Y1051" i="1" s="1"/>
  <c r="K745" i="1"/>
  <c r="X745" i="1" s="1"/>
  <c r="K1236" i="1"/>
  <c r="X1236" i="1" s="1"/>
  <c r="P152" i="1"/>
  <c r="AC152" i="1" s="1"/>
  <c r="M152" i="1"/>
  <c r="Z152" i="1" s="1"/>
  <c r="K401" i="1"/>
  <c r="X401" i="1" s="1"/>
  <c r="L1273" i="1"/>
  <c r="Y1273" i="1" s="1"/>
  <c r="M1273" i="1"/>
  <c r="Z1273" i="1" s="1"/>
  <c r="M1177" i="1"/>
  <c r="Z1177" i="1" s="1"/>
  <c r="O1327" i="1"/>
  <c r="AB1327" i="1" s="1"/>
  <c r="V1327" i="1"/>
  <c r="AI1327" i="1" s="1"/>
  <c r="N1327" i="1"/>
  <c r="AA1327" i="1" s="1"/>
  <c r="U1327" i="1"/>
  <c r="AH1327" i="1" s="1"/>
  <c r="M1327" i="1"/>
  <c r="Z1327" i="1" s="1"/>
  <c r="T1327" i="1"/>
  <c r="AG1327" i="1" s="1"/>
  <c r="L1327" i="1"/>
  <c r="Y1327" i="1" s="1"/>
  <c r="S1327" i="1"/>
  <c r="AF1327" i="1" s="1"/>
  <c r="K1327" i="1"/>
  <c r="X1327" i="1" s="1"/>
  <c r="R1327" i="1"/>
  <c r="AE1327" i="1" s="1"/>
  <c r="Q1327" i="1"/>
  <c r="AD1327" i="1" s="1"/>
  <c r="P1327" i="1"/>
  <c r="AC1327" i="1" s="1"/>
  <c r="P1572" i="1"/>
  <c r="AC1572" i="1" s="1"/>
  <c r="O1572" i="1"/>
  <c r="AB1572" i="1" s="1"/>
  <c r="V1572" i="1"/>
  <c r="AI1572" i="1" s="1"/>
  <c r="N1572" i="1"/>
  <c r="AA1572" i="1" s="1"/>
  <c r="U1572" i="1"/>
  <c r="AH1572" i="1" s="1"/>
  <c r="M1572" i="1"/>
  <c r="Z1572" i="1" s="1"/>
  <c r="T1572" i="1"/>
  <c r="AG1572" i="1" s="1"/>
  <c r="L1572" i="1"/>
  <c r="Y1572" i="1" s="1"/>
  <c r="R1572" i="1"/>
  <c r="AE1572" i="1" s="1"/>
  <c r="K1572" i="1"/>
  <c r="X1572" i="1" s="1"/>
  <c r="S1572" i="1"/>
  <c r="AF1572" i="1" s="1"/>
  <c r="Q1572" i="1"/>
  <c r="AD1572" i="1" s="1"/>
  <c r="O1350" i="1"/>
  <c r="AB1350" i="1" s="1"/>
  <c r="K1208" i="1"/>
  <c r="X1208" i="1" s="1"/>
  <c r="M1176" i="1"/>
  <c r="Z1176" i="1" s="1"/>
  <c r="N960" i="1"/>
  <c r="AA960" i="1" s="1"/>
  <c r="L850" i="1"/>
  <c r="Y850" i="1" s="1"/>
  <c r="M1052" i="1"/>
  <c r="Z1052" i="1" s="1"/>
  <c r="K1052" i="1"/>
  <c r="X1052" i="1" s="1"/>
  <c r="N969" i="1"/>
  <c r="AA969" i="1" s="1"/>
  <c r="K863" i="1"/>
  <c r="X863" i="1" s="1"/>
  <c r="L862" i="1"/>
  <c r="Y862" i="1" s="1"/>
  <c r="Q804" i="1"/>
  <c r="AD804" i="1" s="1"/>
  <c r="O802" i="1"/>
  <c r="AB802" i="1" s="1"/>
  <c r="L802" i="1"/>
  <c r="Y802" i="1" s="1"/>
  <c r="P703" i="1"/>
  <c r="AC703" i="1" s="1"/>
  <c r="K714" i="1"/>
  <c r="X714" i="1" s="1"/>
  <c r="M696" i="1"/>
  <c r="Z696" i="1" s="1"/>
  <c r="R520" i="1"/>
  <c r="AE520" i="1" s="1"/>
  <c r="L199" i="1"/>
  <c r="Y199" i="1" s="1"/>
  <c r="L142" i="1"/>
  <c r="Y142" i="1" s="1"/>
  <c r="T27" i="1"/>
  <c r="AG27" i="1" s="1"/>
  <c r="P27" i="1"/>
  <c r="AC27" i="1" s="1"/>
  <c r="S11" i="1"/>
  <c r="AF11" i="1" s="1"/>
  <c r="L648" i="1"/>
  <c r="Y648" i="1" s="1"/>
  <c r="K478" i="1"/>
  <c r="X478" i="1" s="1"/>
  <c r="K394" i="1"/>
  <c r="X394" i="1" s="1"/>
  <c r="L230" i="1"/>
  <c r="Y230" i="1" s="1"/>
  <c r="Q269" i="1"/>
  <c r="AD269" i="1" s="1"/>
  <c r="N269" i="1"/>
  <c r="AA269" i="1" s="1"/>
  <c r="K155" i="1"/>
  <c r="X155" i="1" s="1"/>
  <c r="Q155" i="1"/>
  <c r="AD155" i="1" s="1"/>
  <c r="P181" i="1"/>
  <c r="AC181" i="1" s="1"/>
  <c r="K181" i="1"/>
  <c r="X181" i="1" s="1"/>
  <c r="L58" i="1"/>
  <c r="Y58" i="1" s="1"/>
  <c r="K107" i="1"/>
  <c r="X107" i="1" s="1"/>
  <c r="K18" i="1"/>
  <c r="X18" i="1" s="1"/>
  <c r="P337" i="1"/>
  <c r="AC337" i="1" s="1"/>
  <c r="Q1672" i="1"/>
  <c r="AD1672" i="1" s="1"/>
  <c r="P1672" i="1"/>
  <c r="AC1672" i="1" s="1"/>
  <c r="O1672" i="1"/>
  <c r="AB1672" i="1" s="1"/>
  <c r="V1672" i="1"/>
  <c r="AI1672" i="1" s="1"/>
  <c r="N1672" i="1"/>
  <c r="AA1672" i="1" s="1"/>
  <c r="U1672" i="1"/>
  <c r="AH1672" i="1" s="1"/>
  <c r="M1672" i="1"/>
  <c r="Z1672" i="1" s="1"/>
  <c r="T1672" i="1"/>
  <c r="AG1672" i="1" s="1"/>
  <c r="L1672" i="1"/>
  <c r="Y1672" i="1" s="1"/>
  <c r="R1672" i="1"/>
  <c r="AE1672" i="1" s="1"/>
  <c r="K1672" i="1"/>
  <c r="X1672" i="1" s="1"/>
  <c r="S1672" i="1"/>
  <c r="AF1672" i="1" s="1"/>
  <c r="L1308" i="1"/>
  <c r="Y1308" i="1" s="1"/>
  <c r="S1411" i="1"/>
  <c r="AF1411" i="1" s="1"/>
  <c r="K1411" i="1"/>
  <c r="X1411" i="1" s="1"/>
  <c r="R1411" i="1"/>
  <c r="AE1411" i="1" s="1"/>
  <c r="Q1411" i="1"/>
  <c r="AD1411" i="1" s="1"/>
  <c r="P1411" i="1"/>
  <c r="AC1411" i="1" s="1"/>
  <c r="O1411" i="1"/>
  <c r="AB1411" i="1" s="1"/>
  <c r="V1411" i="1"/>
  <c r="AI1411" i="1" s="1"/>
  <c r="N1411" i="1"/>
  <c r="AA1411" i="1" s="1"/>
  <c r="U1411" i="1"/>
  <c r="AH1411" i="1" s="1"/>
  <c r="M1411" i="1"/>
  <c r="Z1411" i="1" s="1"/>
  <c r="T1411" i="1"/>
  <c r="AG1411" i="1" s="1"/>
  <c r="L1411" i="1"/>
  <c r="Y1411" i="1" s="1"/>
  <c r="N950" i="1"/>
  <c r="AA950" i="1" s="1"/>
  <c r="M842" i="1"/>
  <c r="Z842" i="1" s="1"/>
  <c r="K738" i="1"/>
  <c r="X738" i="1" s="1"/>
  <c r="S1220" i="1"/>
  <c r="AF1220" i="1" s="1"/>
  <c r="L409" i="1"/>
  <c r="Y409" i="1" s="1"/>
  <c r="L1305" i="1"/>
  <c r="Y1305" i="1" s="1"/>
  <c r="O761" i="1"/>
  <c r="AB761" i="1" s="1"/>
  <c r="O347" i="1"/>
  <c r="AB347" i="1" s="1"/>
  <c r="S104" i="1"/>
  <c r="AF104" i="1" s="1"/>
  <c r="L1203" i="1"/>
  <c r="Y1203" i="1" s="1"/>
  <c r="K1066" i="1"/>
  <c r="X1066" i="1" s="1"/>
  <c r="N1202" i="1"/>
  <c r="AA1202" i="1" s="1"/>
  <c r="T1325" i="1"/>
  <c r="AG1325" i="1" s="1"/>
  <c r="L1228" i="1"/>
  <c r="Y1228" i="1" s="1"/>
  <c r="K1312" i="1"/>
  <c r="X1312" i="1" s="1"/>
  <c r="M1162" i="1"/>
  <c r="Z1162" i="1" s="1"/>
  <c r="M824" i="1"/>
  <c r="Z824" i="1" s="1"/>
  <c r="L1178" i="1"/>
  <c r="Y1178" i="1" s="1"/>
  <c r="M890" i="1"/>
  <c r="Z890" i="1" s="1"/>
  <c r="L222" i="1"/>
  <c r="Y222" i="1" s="1"/>
  <c r="U222" i="1"/>
  <c r="AH222" i="1" s="1"/>
  <c r="N1297" i="1"/>
  <c r="AA1297" i="1" s="1"/>
  <c r="P374" i="1"/>
  <c r="AC374" i="1" s="1"/>
  <c r="N374" i="1"/>
  <c r="AA374" i="1" s="1"/>
  <c r="M1326" i="1"/>
  <c r="Z1326" i="1" s="1"/>
  <c r="K1326" i="1"/>
  <c r="X1326" i="1" s="1"/>
  <c r="L1169" i="1"/>
  <c r="Y1169" i="1" s="1"/>
  <c r="K1374" i="1"/>
  <c r="X1374" i="1" s="1"/>
  <c r="K1281" i="1"/>
  <c r="X1281" i="1" s="1"/>
  <c r="L1461" i="1"/>
  <c r="Y1461" i="1" s="1"/>
  <c r="M1429" i="1"/>
  <c r="Z1429" i="1" s="1"/>
  <c r="K1429" i="1"/>
  <c r="X1429" i="1" s="1"/>
  <c r="K1381" i="1"/>
  <c r="X1381" i="1" s="1"/>
  <c r="P1283" i="1"/>
  <c r="AC1283" i="1" s="1"/>
  <c r="N1283" i="1"/>
  <c r="AA1283" i="1" s="1"/>
  <c r="N1205" i="1"/>
  <c r="AA1205" i="1" s="1"/>
  <c r="L1046" i="1"/>
  <c r="Y1046" i="1" s="1"/>
  <c r="K1118" i="1"/>
  <c r="X1118" i="1" s="1"/>
  <c r="O1118" i="1"/>
  <c r="AB1118" i="1" s="1"/>
  <c r="K1080" i="1"/>
  <c r="X1080" i="1" s="1"/>
  <c r="O1080" i="1"/>
  <c r="AB1080" i="1" s="1"/>
  <c r="M929" i="1"/>
  <c r="Z929" i="1" s="1"/>
  <c r="K854" i="1"/>
  <c r="X854" i="1" s="1"/>
  <c r="K796" i="1"/>
  <c r="X796" i="1" s="1"/>
  <c r="N151" i="1"/>
  <c r="AA151" i="1" s="1"/>
  <c r="Q283" i="1"/>
  <c r="AD283" i="1" s="1"/>
  <c r="N283" i="1"/>
  <c r="AA283" i="1" s="1"/>
  <c r="N137" i="1"/>
  <c r="AA137" i="1" s="1"/>
  <c r="K173" i="1"/>
  <c r="X173" i="1" s="1"/>
  <c r="L134" i="1"/>
  <c r="Y134" i="1" s="1"/>
  <c r="K26" i="1"/>
  <c r="X26" i="1" s="1"/>
  <c r="R10" i="1"/>
  <c r="AE10" i="1" s="1"/>
  <c r="M10" i="1"/>
  <c r="Z10" i="1" s="1"/>
  <c r="T1656" i="1"/>
  <c r="AG1656" i="1" s="1"/>
  <c r="L1656" i="1"/>
  <c r="Y1656" i="1" s="1"/>
  <c r="R1656" i="1"/>
  <c r="AE1656" i="1" s="1"/>
  <c r="Q1656" i="1"/>
  <c r="AD1656" i="1" s="1"/>
  <c r="O1656" i="1"/>
  <c r="AB1656" i="1" s="1"/>
  <c r="U1656" i="1"/>
  <c r="AH1656" i="1" s="1"/>
  <c r="M1656" i="1"/>
  <c r="Z1656" i="1" s="1"/>
  <c r="V1656" i="1"/>
  <c r="AI1656" i="1" s="1"/>
  <c r="S1656" i="1"/>
  <c r="AF1656" i="1" s="1"/>
  <c r="P1656" i="1"/>
  <c r="AC1656" i="1" s="1"/>
  <c r="K1656" i="1"/>
  <c r="X1656" i="1" s="1"/>
  <c r="N1656" i="1"/>
  <c r="AA1656" i="1" s="1"/>
  <c r="O1416" i="1"/>
  <c r="AB1416" i="1" s="1"/>
  <c r="V1416" i="1"/>
  <c r="AI1416" i="1" s="1"/>
  <c r="N1416" i="1"/>
  <c r="AA1416" i="1" s="1"/>
  <c r="U1416" i="1"/>
  <c r="AH1416" i="1" s="1"/>
  <c r="M1416" i="1"/>
  <c r="Z1416" i="1" s="1"/>
  <c r="T1416" i="1"/>
  <c r="AG1416" i="1" s="1"/>
  <c r="L1416" i="1"/>
  <c r="Y1416" i="1" s="1"/>
  <c r="S1416" i="1"/>
  <c r="AF1416" i="1" s="1"/>
  <c r="K1416" i="1"/>
  <c r="X1416" i="1" s="1"/>
  <c r="R1416" i="1"/>
  <c r="AE1416" i="1" s="1"/>
  <c r="Q1416" i="1"/>
  <c r="AD1416" i="1" s="1"/>
  <c r="P1416" i="1"/>
  <c r="AC1416" i="1" s="1"/>
  <c r="L936" i="1"/>
  <c r="Y936" i="1" s="1"/>
  <c r="Q1364" i="1"/>
  <c r="AD1364" i="1" s="1"/>
  <c r="M942" i="1"/>
  <c r="Z942" i="1" s="1"/>
  <c r="L836" i="1"/>
  <c r="Y836" i="1" s="1"/>
  <c r="M514" i="1"/>
  <c r="Z514" i="1" s="1"/>
  <c r="M281" i="1"/>
  <c r="Z281" i="1" s="1"/>
  <c r="K349" i="1"/>
  <c r="X349" i="1" s="1"/>
  <c r="K339" i="1"/>
  <c r="X339" i="1" s="1"/>
  <c r="K1171" i="1"/>
  <c r="X1171" i="1" s="1"/>
  <c r="O1171" i="1"/>
  <c r="AB1171" i="1" s="1"/>
  <c r="L1345" i="1"/>
  <c r="Y1345" i="1" s="1"/>
  <c r="K1280" i="1"/>
  <c r="X1280" i="1" s="1"/>
  <c r="O1101" i="1"/>
  <c r="AB1101" i="1" s="1"/>
  <c r="P723" i="1"/>
  <c r="AC723" i="1" s="1"/>
  <c r="M723" i="1"/>
  <c r="Z723" i="1" s="1"/>
  <c r="N736" i="1"/>
  <c r="AA736" i="1" s="1"/>
  <c r="Q413" i="1"/>
  <c r="AD413" i="1" s="1"/>
  <c r="O413" i="1"/>
  <c r="AB413" i="1" s="1"/>
  <c r="R1366" i="1"/>
  <c r="AE1366" i="1" s="1"/>
  <c r="V1348" i="1"/>
  <c r="AI1348" i="1" s="1"/>
  <c r="N1348" i="1"/>
  <c r="AA1348" i="1" s="1"/>
  <c r="U1348" i="1"/>
  <c r="AH1348" i="1" s="1"/>
  <c r="M1348" i="1"/>
  <c r="Z1348" i="1" s="1"/>
  <c r="S1348" i="1"/>
  <c r="AF1348" i="1" s="1"/>
  <c r="K1348" i="1"/>
  <c r="X1348" i="1" s="1"/>
  <c r="R1348" i="1"/>
  <c r="AE1348" i="1" s="1"/>
  <c r="Q1348" i="1"/>
  <c r="AD1348" i="1" s="1"/>
  <c r="L1348" i="1"/>
  <c r="Y1348" i="1" s="1"/>
  <c r="T1348" i="1"/>
  <c r="AG1348" i="1" s="1"/>
  <c r="P1348" i="1"/>
  <c r="AC1348" i="1" s="1"/>
  <c r="O1348" i="1"/>
  <c r="AB1348" i="1" s="1"/>
  <c r="R1222" i="1"/>
  <c r="AE1222" i="1" s="1"/>
  <c r="N1351" i="1"/>
  <c r="AA1351" i="1" s="1"/>
  <c r="O1520" i="1"/>
  <c r="AB1520" i="1" s="1"/>
  <c r="V1520" i="1"/>
  <c r="AI1520" i="1" s="1"/>
  <c r="N1520" i="1"/>
  <c r="AA1520" i="1" s="1"/>
  <c r="T1520" i="1"/>
  <c r="AG1520" i="1" s="1"/>
  <c r="L1520" i="1"/>
  <c r="Y1520" i="1" s="1"/>
  <c r="R1520" i="1"/>
  <c r="AE1520" i="1" s="1"/>
  <c r="U1520" i="1"/>
  <c r="AH1520" i="1" s="1"/>
  <c r="S1520" i="1"/>
  <c r="AF1520" i="1" s="1"/>
  <c r="Q1520" i="1"/>
  <c r="AD1520" i="1" s="1"/>
  <c r="P1520" i="1"/>
  <c r="AC1520" i="1" s="1"/>
  <c r="M1520" i="1"/>
  <c r="Z1520" i="1" s="1"/>
  <c r="K1520" i="1"/>
  <c r="X1520" i="1" s="1"/>
  <c r="M882" i="1"/>
  <c r="Z882" i="1" s="1"/>
  <c r="N1048" i="1"/>
  <c r="AA1048" i="1" s="1"/>
  <c r="L1048" i="1"/>
  <c r="Y1048" i="1" s="1"/>
  <c r="M983" i="1"/>
  <c r="Z983" i="1" s="1"/>
  <c r="K975" i="1"/>
  <c r="X975" i="1" s="1"/>
  <c r="O975" i="1"/>
  <c r="AB975" i="1" s="1"/>
  <c r="M967" i="1"/>
  <c r="Z967" i="1" s="1"/>
  <c r="K928" i="1"/>
  <c r="X928" i="1" s="1"/>
  <c r="M846" i="1"/>
  <c r="Z846" i="1" s="1"/>
  <c r="M826" i="1"/>
  <c r="Z826" i="1" s="1"/>
  <c r="K744" i="1"/>
  <c r="X744" i="1" s="1"/>
  <c r="M724" i="1"/>
  <c r="Z724" i="1" s="1"/>
  <c r="L698" i="1"/>
  <c r="Y698" i="1" s="1"/>
  <c r="K698" i="1"/>
  <c r="X698" i="1" s="1"/>
  <c r="P463" i="1"/>
  <c r="AC463" i="1" s="1"/>
  <c r="P272" i="1"/>
  <c r="AC272" i="1" s="1"/>
  <c r="P1244" i="1"/>
  <c r="AC1244" i="1" s="1"/>
  <c r="U748" i="1"/>
  <c r="AH748" i="1" s="1"/>
  <c r="M748" i="1"/>
  <c r="Z748" i="1" s="1"/>
  <c r="T748" i="1"/>
  <c r="AG748" i="1" s="1"/>
  <c r="L748" i="1"/>
  <c r="Y748" i="1" s="1"/>
  <c r="S748" i="1"/>
  <c r="AF748" i="1" s="1"/>
  <c r="K748" i="1"/>
  <c r="X748" i="1" s="1"/>
  <c r="R748" i="1"/>
  <c r="AE748" i="1" s="1"/>
  <c r="Q748" i="1"/>
  <c r="AD748" i="1" s="1"/>
  <c r="P748" i="1"/>
  <c r="AC748" i="1" s="1"/>
  <c r="V748" i="1"/>
  <c r="AI748" i="1" s="1"/>
  <c r="N748" i="1"/>
  <c r="AA748" i="1" s="1"/>
  <c r="O748" i="1"/>
  <c r="AB748" i="1" s="1"/>
  <c r="T1301" i="1"/>
  <c r="AG1301" i="1" s="1"/>
  <c r="P832" i="1"/>
  <c r="AC832" i="1" s="1"/>
  <c r="N411" i="1"/>
  <c r="AA411" i="1" s="1"/>
  <c r="U1669" i="1"/>
  <c r="AH1669" i="1" s="1"/>
  <c r="M1669" i="1"/>
  <c r="Z1669" i="1" s="1"/>
  <c r="T1669" i="1"/>
  <c r="AG1669" i="1" s="1"/>
  <c r="L1669" i="1"/>
  <c r="Y1669" i="1" s="1"/>
  <c r="S1669" i="1"/>
  <c r="AF1669" i="1" s="1"/>
  <c r="K1669" i="1"/>
  <c r="X1669" i="1" s="1"/>
  <c r="R1669" i="1"/>
  <c r="AE1669" i="1" s="1"/>
  <c r="Q1669" i="1"/>
  <c r="AD1669" i="1" s="1"/>
  <c r="P1669" i="1"/>
  <c r="AC1669" i="1" s="1"/>
  <c r="V1669" i="1"/>
  <c r="AI1669" i="1" s="1"/>
  <c r="O1669" i="1"/>
  <c r="AB1669" i="1" s="1"/>
  <c r="N1669" i="1"/>
  <c r="AA1669" i="1" s="1"/>
  <c r="O1546" i="1"/>
  <c r="AB1546" i="1" s="1"/>
  <c r="V1546" i="1"/>
  <c r="AI1546" i="1" s="1"/>
  <c r="N1546" i="1"/>
  <c r="AA1546" i="1" s="1"/>
  <c r="U1546" i="1"/>
  <c r="AH1546" i="1" s="1"/>
  <c r="M1546" i="1"/>
  <c r="Z1546" i="1" s="1"/>
  <c r="T1546" i="1"/>
  <c r="AG1546" i="1" s="1"/>
  <c r="L1546" i="1"/>
  <c r="Y1546" i="1" s="1"/>
  <c r="R1546" i="1"/>
  <c r="AE1546" i="1" s="1"/>
  <c r="S1546" i="1"/>
  <c r="AF1546" i="1" s="1"/>
  <c r="Q1546" i="1"/>
  <c r="AD1546" i="1" s="1"/>
  <c r="P1546" i="1"/>
  <c r="AC1546" i="1" s="1"/>
  <c r="K1546" i="1"/>
  <c r="X1546" i="1" s="1"/>
  <c r="K1165" i="1"/>
  <c r="X1165" i="1" s="1"/>
  <c r="O1165" i="1"/>
  <c r="AB1165" i="1" s="1"/>
  <c r="O945" i="1"/>
  <c r="AB945" i="1" s="1"/>
  <c r="K16" i="1"/>
  <c r="X16" i="1" s="1"/>
  <c r="S729" i="1"/>
  <c r="AF729" i="1" s="1"/>
  <c r="O729" i="1"/>
  <c r="AB729" i="1" s="1"/>
  <c r="M481" i="1"/>
  <c r="Z481" i="1" s="1"/>
  <c r="R1105" i="1"/>
  <c r="AE1105" i="1" s="1"/>
  <c r="O885" i="1"/>
  <c r="AB885" i="1" s="1"/>
  <c r="S1158" i="1"/>
  <c r="AF1158" i="1" s="1"/>
  <c r="P1158" i="1"/>
  <c r="AC1158" i="1" s="1"/>
  <c r="N877" i="1"/>
  <c r="AA877" i="1" s="1"/>
  <c r="L387" i="1"/>
  <c r="Y387" i="1" s="1"/>
  <c r="L1182" i="1"/>
  <c r="Y1182" i="1" s="1"/>
  <c r="L1143" i="1"/>
  <c r="Y1143" i="1" s="1"/>
  <c r="P1299" i="1"/>
  <c r="AC1299" i="1" s="1"/>
  <c r="N1299" i="1"/>
  <c r="AA1299" i="1" s="1"/>
  <c r="O1130" i="1"/>
  <c r="AB1130" i="1" s="1"/>
  <c r="L1233" i="1"/>
  <c r="Y1233" i="1" s="1"/>
  <c r="U1574" i="1"/>
  <c r="AH1574" i="1" s="1"/>
  <c r="Q1558" i="1"/>
  <c r="AD1558" i="1" s="1"/>
  <c r="O1494" i="1"/>
  <c r="AB1494" i="1" s="1"/>
  <c r="K1339" i="1"/>
  <c r="X1339" i="1" s="1"/>
  <c r="Q1339" i="1"/>
  <c r="AD1339" i="1" s="1"/>
  <c r="P1361" i="1"/>
  <c r="AC1361" i="1" s="1"/>
  <c r="Q1361" i="1"/>
  <c r="AD1361" i="1" s="1"/>
  <c r="N1189" i="1"/>
  <c r="AA1189" i="1" s="1"/>
  <c r="N1157" i="1"/>
  <c r="AA1157" i="1" s="1"/>
  <c r="L1157" i="1"/>
  <c r="Y1157" i="1" s="1"/>
  <c r="N866" i="1"/>
  <c r="AA866" i="1" s="1"/>
  <c r="M1040" i="1"/>
  <c r="Z1040" i="1" s="1"/>
  <c r="M1024" i="1"/>
  <c r="Z1024" i="1" s="1"/>
  <c r="M1008" i="1"/>
  <c r="Z1008" i="1" s="1"/>
  <c r="R754" i="1"/>
  <c r="AE754" i="1" s="1"/>
  <c r="M833" i="1"/>
  <c r="Z833" i="1" s="1"/>
  <c r="K801" i="1"/>
  <c r="X801" i="1" s="1"/>
  <c r="L933" i="1"/>
  <c r="Y933" i="1" s="1"/>
  <c r="M624" i="1"/>
  <c r="Z624" i="1" s="1"/>
  <c r="R700" i="1"/>
  <c r="AE700" i="1" s="1"/>
  <c r="O749" i="1"/>
  <c r="AB749" i="1" s="1"/>
  <c r="L383" i="1"/>
  <c r="Y383" i="1" s="1"/>
  <c r="N383" i="1"/>
  <c r="AA383" i="1" s="1"/>
  <c r="K228" i="1"/>
  <c r="X228" i="1" s="1"/>
  <c r="N233" i="1"/>
  <c r="AA233" i="1" s="1"/>
  <c r="S246" i="1"/>
  <c r="AF246" i="1" s="1"/>
  <c r="L287" i="1"/>
  <c r="Y287" i="1" s="1"/>
  <c r="R206" i="1"/>
  <c r="AE206" i="1" s="1"/>
  <c r="P166" i="1"/>
  <c r="AC166" i="1" s="1"/>
  <c r="M166" i="1"/>
  <c r="Z166" i="1" s="1"/>
  <c r="V102" i="1"/>
  <c r="AI102" i="1" s="1"/>
  <c r="N102" i="1"/>
  <c r="AA102" i="1" s="1"/>
  <c r="U102" i="1"/>
  <c r="AH102" i="1" s="1"/>
  <c r="M102" i="1"/>
  <c r="Z102" i="1" s="1"/>
  <c r="T102" i="1"/>
  <c r="AG102" i="1" s="1"/>
  <c r="L102" i="1"/>
  <c r="Y102" i="1" s="1"/>
  <c r="S102" i="1"/>
  <c r="AF102" i="1" s="1"/>
  <c r="K102" i="1"/>
  <c r="X102" i="1" s="1"/>
  <c r="R102" i="1"/>
  <c r="AE102" i="1" s="1"/>
  <c r="Q102" i="1"/>
  <c r="AD102" i="1" s="1"/>
  <c r="O102" i="1"/>
  <c r="AB102" i="1" s="1"/>
  <c r="P102" i="1"/>
  <c r="AC102" i="1" s="1"/>
  <c r="N22" i="1"/>
  <c r="AA22" i="1" s="1"/>
  <c r="S14" i="1"/>
  <c r="AF14" i="1" s="1"/>
  <c r="K477" i="1"/>
  <c r="X477" i="1" s="1"/>
  <c r="Q884" i="1"/>
  <c r="AD884" i="1" s="1"/>
  <c r="M697" i="1"/>
  <c r="Z697" i="1" s="1"/>
  <c r="M1062" i="1"/>
  <c r="Z1062" i="1" s="1"/>
  <c r="P806" i="1"/>
  <c r="AC806" i="1" s="1"/>
  <c r="Q23" i="1"/>
  <c r="AD23" i="1" s="1"/>
  <c r="N1168" i="1"/>
  <c r="AA1168" i="1" s="1"/>
  <c r="M216" i="1"/>
  <c r="Z216" i="1" s="1"/>
  <c r="T872" i="1"/>
  <c r="AG872" i="1" s="1"/>
  <c r="M1256" i="1"/>
  <c r="Z1256" i="1" s="1"/>
  <c r="Q973" i="1"/>
  <c r="AD973" i="1" s="1"/>
  <c r="N973" i="1"/>
  <c r="AA973" i="1" s="1"/>
  <c r="Q466" i="1"/>
  <c r="AD466" i="1" s="1"/>
  <c r="R518" i="1"/>
  <c r="AE518" i="1" s="1"/>
  <c r="K1170" i="1"/>
  <c r="X1170" i="1" s="1"/>
  <c r="K224" i="1"/>
  <c r="X224" i="1" s="1"/>
  <c r="L1149" i="1"/>
  <c r="Y1149" i="1" s="1"/>
  <c r="K1150" i="1"/>
  <c r="X1150" i="1" s="1"/>
  <c r="O1076" i="1"/>
  <c r="AB1076" i="1" s="1"/>
  <c r="K1295" i="1"/>
  <c r="X1295" i="1" s="1"/>
  <c r="N893" i="1"/>
  <c r="AA893" i="1" s="1"/>
  <c r="M893" i="1"/>
  <c r="Z893" i="1" s="1"/>
  <c r="S755" i="1"/>
  <c r="AF755" i="1" s="1"/>
  <c r="O755" i="1"/>
  <c r="AB755" i="1" s="1"/>
  <c r="P414" i="1"/>
  <c r="AC414" i="1" s="1"/>
  <c r="N1060" i="1"/>
  <c r="AA1060" i="1" s="1"/>
  <c r="R209" i="1"/>
  <c r="AE209" i="1" s="1"/>
  <c r="N856" i="1"/>
  <c r="AA856" i="1" s="1"/>
  <c r="M1288" i="1"/>
  <c r="Z1288" i="1" s="1"/>
  <c r="N167" i="1"/>
  <c r="AA167" i="1" s="1"/>
  <c r="Q167" i="1"/>
  <c r="AD167" i="1" s="1"/>
  <c r="M1347" i="1"/>
  <c r="Z1347" i="1" s="1"/>
  <c r="U766" i="1"/>
  <c r="AH766" i="1" s="1"/>
  <c r="M766" i="1"/>
  <c r="Z766" i="1" s="1"/>
  <c r="T766" i="1"/>
  <c r="AG766" i="1" s="1"/>
  <c r="L766" i="1"/>
  <c r="Y766" i="1" s="1"/>
  <c r="S766" i="1"/>
  <c r="AF766" i="1" s="1"/>
  <c r="K766" i="1"/>
  <c r="X766" i="1" s="1"/>
  <c r="R766" i="1"/>
  <c r="AE766" i="1" s="1"/>
  <c r="Q766" i="1"/>
  <c r="AD766" i="1" s="1"/>
  <c r="P766" i="1"/>
  <c r="AC766" i="1" s="1"/>
  <c r="V766" i="1"/>
  <c r="AI766" i="1" s="1"/>
  <c r="N766" i="1"/>
  <c r="AA766" i="1" s="1"/>
  <c r="O766" i="1"/>
  <c r="AB766" i="1" s="1"/>
  <c r="R149" i="1"/>
  <c r="AE149" i="1" s="1"/>
  <c r="Q149" i="1"/>
  <c r="AD149" i="1" s="1"/>
  <c r="P149" i="1"/>
  <c r="AC149" i="1" s="1"/>
  <c r="O149" i="1"/>
  <c r="AB149" i="1" s="1"/>
  <c r="V149" i="1"/>
  <c r="AI149" i="1" s="1"/>
  <c r="N149" i="1"/>
  <c r="AA149" i="1" s="1"/>
  <c r="U149" i="1"/>
  <c r="AH149" i="1" s="1"/>
  <c r="M149" i="1"/>
  <c r="Z149" i="1" s="1"/>
  <c r="S149" i="1"/>
  <c r="AF149" i="1" s="1"/>
  <c r="K149" i="1"/>
  <c r="X149" i="1" s="1"/>
  <c r="T149" i="1"/>
  <c r="AG149" i="1" s="1"/>
  <c r="L149" i="1"/>
  <c r="Y149" i="1" s="1"/>
  <c r="S1529" i="1"/>
  <c r="AF1529" i="1" s="1"/>
  <c r="K1529" i="1"/>
  <c r="X1529" i="1" s="1"/>
  <c r="R1529" i="1"/>
  <c r="AE1529" i="1" s="1"/>
  <c r="Q1529" i="1"/>
  <c r="AD1529" i="1" s="1"/>
  <c r="P1529" i="1"/>
  <c r="AC1529" i="1" s="1"/>
  <c r="V1529" i="1"/>
  <c r="AI1529" i="1" s="1"/>
  <c r="N1529" i="1"/>
  <c r="AA1529" i="1" s="1"/>
  <c r="O1529" i="1"/>
  <c r="AB1529" i="1" s="1"/>
  <c r="M1529" i="1"/>
  <c r="Z1529" i="1" s="1"/>
  <c r="L1529" i="1"/>
  <c r="Y1529" i="1" s="1"/>
  <c r="U1529" i="1"/>
  <c r="AH1529" i="1" s="1"/>
  <c r="T1529" i="1"/>
  <c r="AG1529" i="1" s="1"/>
  <c r="S594" i="1"/>
  <c r="AF594" i="1" s="1"/>
  <c r="K594" i="1"/>
  <c r="X594" i="1" s="1"/>
  <c r="R594" i="1"/>
  <c r="AE594" i="1" s="1"/>
  <c r="Q594" i="1"/>
  <c r="AD594" i="1" s="1"/>
  <c r="P594" i="1"/>
  <c r="AC594" i="1" s="1"/>
  <c r="O594" i="1"/>
  <c r="AB594" i="1" s="1"/>
  <c r="V594" i="1"/>
  <c r="AI594" i="1" s="1"/>
  <c r="N594" i="1"/>
  <c r="AA594" i="1" s="1"/>
  <c r="T594" i="1"/>
  <c r="AG594" i="1" s="1"/>
  <c r="L594" i="1"/>
  <c r="Y594" i="1" s="1"/>
  <c r="U594" i="1"/>
  <c r="AH594" i="1" s="1"/>
  <c r="M594" i="1"/>
  <c r="Z594" i="1" s="1"/>
  <c r="V48" i="1"/>
  <c r="AI48" i="1" s="1"/>
  <c r="N48" i="1"/>
  <c r="AA48" i="1" s="1"/>
  <c r="U48" i="1"/>
  <c r="AH48" i="1" s="1"/>
  <c r="M48" i="1"/>
  <c r="Z48" i="1" s="1"/>
  <c r="T48" i="1"/>
  <c r="AG48" i="1" s="1"/>
  <c r="L48" i="1"/>
  <c r="Y48" i="1" s="1"/>
  <c r="S48" i="1"/>
  <c r="AF48" i="1" s="1"/>
  <c r="K48" i="1"/>
  <c r="X48" i="1" s="1"/>
  <c r="R48" i="1"/>
  <c r="AE48" i="1" s="1"/>
  <c r="Q48" i="1"/>
  <c r="AD48" i="1" s="1"/>
  <c r="O48" i="1"/>
  <c r="AB48" i="1" s="1"/>
  <c r="P48" i="1"/>
  <c r="AC48" i="1" s="1"/>
  <c r="P1647" i="1"/>
  <c r="AC1647" i="1" s="1"/>
  <c r="V1647" i="1"/>
  <c r="AI1647" i="1" s="1"/>
  <c r="N1647" i="1"/>
  <c r="AA1647" i="1" s="1"/>
  <c r="U1647" i="1"/>
  <c r="AH1647" i="1" s="1"/>
  <c r="M1647" i="1"/>
  <c r="Z1647" i="1" s="1"/>
  <c r="S1647" i="1"/>
  <c r="AF1647" i="1" s="1"/>
  <c r="K1647" i="1"/>
  <c r="X1647" i="1" s="1"/>
  <c r="Q1647" i="1"/>
  <c r="AD1647" i="1" s="1"/>
  <c r="T1647" i="1"/>
  <c r="AG1647" i="1" s="1"/>
  <c r="R1647" i="1"/>
  <c r="AE1647" i="1" s="1"/>
  <c r="L1647" i="1"/>
  <c r="Y1647" i="1" s="1"/>
  <c r="O1647" i="1"/>
  <c r="AB1647" i="1" s="1"/>
  <c r="P1484" i="1"/>
  <c r="AC1484" i="1" s="1"/>
  <c r="O1484" i="1"/>
  <c r="AB1484" i="1" s="1"/>
  <c r="V1484" i="1"/>
  <c r="AI1484" i="1" s="1"/>
  <c r="N1484" i="1"/>
  <c r="AA1484" i="1" s="1"/>
  <c r="U1484" i="1"/>
  <c r="AH1484" i="1" s="1"/>
  <c r="M1484" i="1"/>
  <c r="Z1484" i="1" s="1"/>
  <c r="T1484" i="1"/>
  <c r="AG1484" i="1" s="1"/>
  <c r="L1484" i="1"/>
  <c r="Y1484" i="1" s="1"/>
  <c r="S1484" i="1"/>
  <c r="AF1484" i="1" s="1"/>
  <c r="K1484" i="1"/>
  <c r="X1484" i="1" s="1"/>
  <c r="R1484" i="1"/>
  <c r="AE1484" i="1" s="1"/>
  <c r="Q1484" i="1"/>
  <c r="AD1484" i="1" s="1"/>
  <c r="O1424" i="1"/>
  <c r="AB1424" i="1" s="1"/>
  <c r="V1424" i="1"/>
  <c r="AI1424" i="1" s="1"/>
  <c r="N1424" i="1"/>
  <c r="AA1424" i="1" s="1"/>
  <c r="U1424" i="1"/>
  <c r="AH1424" i="1" s="1"/>
  <c r="M1424" i="1"/>
  <c r="Z1424" i="1" s="1"/>
  <c r="T1424" i="1"/>
  <c r="AG1424" i="1" s="1"/>
  <c r="L1424" i="1"/>
  <c r="Y1424" i="1" s="1"/>
  <c r="S1424" i="1"/>
  <c r="AF1424" i="1" s="1"/>
  <c r="K1424" i="1"/>
  <c r="X1424" i="1" s="1"/>
  <c r="R1424" i="1"/>
  <c r="AE1424" i="1" s="1"/>
  <c r="Q1424" i="1"/>
  <c r="AD1424" i="1" s="1"/>
  <c r="P1424" i="1"/>
  <c r="AC1424" i="1" s="1"/>
  <c r="O635" i="1"/>
  <c r="AB635" i="1" s="1"/>
  <c r="V635" i="1"/>
  <c r="AI635" i="1" s="1"/>
  <c r="N635" i="1"/>
  <c r="AA635" i="1" s="1"/>
  <c r="U635" i="1"/>
  <c r="AH635" i="1" s="1"/>
  <c r="M635" i="1"/>
  <c r="Z635" i="1" s="1"/>
  <c r="T635" i="1"/>
  <c r="AG635" i="1" s="1"/>
  <c r="L635" i="1"/>
  <c r="Y635" i="1" s="1"/>
  <c r="S635" i="1"/>
  <c r="AF635" i="1" s="1"/>
  <c r="K635" i="1"/>
  <c r="X635" i="1" s="1"/>
  <c r="R635" i="1"/>
  <c r="AE635" i="1" s="1"/>
  <c r="P635" i="1"/>
  <c r="AC635" i="1" s="1"/>
  <c r="Q635" i="1"/>
  <c r="AD635" i="1" s="1"/>
  <c r="U20" i="1"/>
  <c r="AH20" i="1" s="1"/>
  <c r="M20" i="1"/>
  <c r="Z20" i="1" s="1"/>
  <c r="T20" i="1"/>
  <c r="AG20" i="1" s="1"/>
  <c r="L20" i="1"/>
  <c r="Y20" i="1" s="1"/>
  <c r="S20" i="1"/>
  <c r="AF20" i="1" s="1"/>
  <c r="K20" i="1"/>
  <c r="X20" i="1" s="1"/>
  <c r="Q20" i="1"/>
  <c r="AD20" i="1" s="1"/>
  <c r="O20" i="1"/>
  <c r="AB20" i="1" s="1"/>
  <c r="V20" i="1"/>
  <c r="AI20" i="1" s="1"/>
  <c r="R20" i="1"/>
  <c r="AE20" i="1" s="1"/>
  <c r="P20" i="1"/>
  <c r="AC20" i="1" s="1"/>
  <c r="N20" i="1"/>
  <c r="AA20" i="1" s="1"/>
  <c r="S1415" i="1"/>
  <c r="AF1415" i="1" s="1"/>
  <c r="K1415" i="1"/>
  <c r="X1415" i="1" s="1"/>
  <c r="R1415" i="1"/>
  <c r="AE1415" i="1" s="1"/>
  <c r="Q1415" i="1"/>
  <c r="AD1415" i="1" s="1"/>
  <c r="P1415" i="1"/>
  <c r="AC1415" i="1" s="1"/>
  <c r="O1415" i="1"/>
  <c r="AB1415" i="1" s="1"/>
  <c r="V1415" i="1"/>
  <c r="AI1415" i="1" s="1"/>
  <c r="N1415" i="1"/>
  <c r="AA1415" i="1" s="1"/>
  <c r="U1415" i="1"/>
  <c r="AH1415" i="1" s="1"/>
  <c r="M1415" i="1"/>
  <c r="Z1415" i="1" s="1"/>
  <c r="T1415" i="1"/>
  <c r="AG1415" i="1" s="1"/>
  <c r="L1415" i="1"/>
  <c r="Y1415" i="1" s="1"/>
  <c r="P1438" i="1"/>
  <c r="AC1438" i="1" s="1"/>
  <c r="O1438" i="1"/>
  <c r="AB1438" i="1" s="1"/>
  <c r="U1438" i="1"/>
  <c r="AH1438" i="1" s="1"/>
  <c r="M1438" i="1"/>
  <c r="Z1438" i="1" s="1"/>
  <c r="T1438" i="1"/>
  <c r="AG1438" i="1" s="1"/>
  <c r="L1438" i="1"/>
  <c r="Y1438" i="1" s="1"/>
  <c r="S1438" i="1"/>
  <c r="AF1438" i="1" s="1"/>
  <c r="K1438" i="1"/>
  <c r="X1438" i="1" s="1"/>
  <c r="V1438" i="1"/>
  <c r="AI1438" i="1" s="1"/>
  <c r="R1438" i="1"/>
  <c r="AE1438" i="1" s="1"/>
  <c r="Q1438" i="1"/>
  <c r="AD1438" i="1" s="1"/>
  <c r="N1438" i="1"/>
  <c r="AA1438" i="1" s="1"/>
  <c r="P1124" i="1"/>
  <c r="AC1124" i="1" s="1"/>
  <c r="O1124" i="1"/>
  <c r="AB1124" i="1" s="1"/>
  <c r="V1124" i="1"/>
  <c r="AI1124" i="1" s="1"/>
  <c r="N1124" i="1"/>
  <c r="AA1124" i="1" s="1"/>
  <c r="U1124" i="1"/>
  <c r="AH1124" i="1" s="1"/>
  <c r="M1124" i="1"/>
  <c r="Z1124" i="1" s="1"/>
  <c r="T1124" i="1"/>
  <c r="AG1124" i="1" s="1"/>
  <c r="L1124" i="1"/>
  <c r="Y1124" i="1" s="1"/>
  <c r="S1124" i="1"/>
  <c r="AF1124" i="1" s="1"/>
  <c r="K1124" i="1"/>
  <c r="X1124" i="1" s="1"/>
  <c r="R1124" i="1"/>
  <c r="AE1124" i="1" s="1"/>
  <c r="Q1124" i="1"/>
  <c r="AD1124" i="1" s="1"/>
  <c r="V364" i="1"/>
  <c r="AI364" i="1" s="1"/>
  <c r="N364" i="1"/>
  <c r="AA364" i="1" s="1"/>
  <c r="T364" i="1"/>
  <c r="AG364" i="1" s="1"/>
  <c r="L364" i="1"/>
  <c r="Y364" i="1" s="1"/>
  <c r="R364" i="1"/>
  <c r="AE364" i="1" s="1"/>
  <c r="Q364" i="1"/>
  <c r="AD364" i="1" s="1"/>
  <c r="O364" i="1"/>
  <c r="AB364" i="1" s="1"/>
  <c r="M364" i="1"/>
  <c r="Z364" i="1" s="1"/>
  <c r="K364" i="1"/>
  <c r="X364" i="1" s="1"/>
  <c r="U364" i="1"/>
  <c r="AH364" i="1" s="1"/>
  <c r="P364" i="1"/>
  <c r="AC364" i="1" s="1"/>
  <c r="S364" i="1"/>
  <c r="AF364" i="1" s="1"/>
  <c r="R300" i="1"/>
  <c r="AE300" i="1" s="1"/>
  <c r="Q300" i="1"/>
  <c r="AD300" i="1" s="1"/>
  <c r="P300" i="1"/>
  <c r="AC300" i="1" s="1"/>
  <c r="O300" i="1"/>
  <c r="AB300" i="1" s="1"/>
  <c r="V300" i="1"/>
  <c r="AI300" i="1" s="1"/>
  <c r="N300" i="1"/>
  <c r="AA300" i="1" s="1"/>
  <c r="U300" i="1"/>
  <c r="AH300" i="1" s="1"/>
  <c r="M300" i="1"/>
  <c r="Z300" i="1" s="1"/>
  <c r="S300" i="1"/>
  <c r="AF300" i="1" s="1"/>
  <c r="K300" i="1"/>
  <c r="X300" i="1" s="1"/>
  <c r="T300" i="1"/>
  <c r="AG300" i="1" s="1"/>
  <c r="L300" i="1"/>
  <c r="Y300" i="1" s="1"/>
  <c r="V112" i="1"/>
  <c r="AI112" i="1" s="1"/>
  <c r="N112" i="1"/>
  <c r="AA112" i="1" s="1"/>
  <c r="U112" i="1"/>
  <c r="AH112" i="1" s="1"/>
  <c r="M112" i="1"/>
  <c r="Z112" i="1" s="1"/>
  <c r="T112" i="1"/>
  <c r="AG112" i="1" s="1"/>
  <c r="L112" i="1"/>
  <c r="Y112" i="1" s="1"/>
  <c r="S112" i="1"/>
  <c r="AF112" i="1" s="1"/>
  <c r="K112" i="1"/>
  <c r="X112" i="1" s="1"/>
  <c r="R112" i="1"/>
  <c r="AE112" i="1" s="1"/>
  <c r="Q112" i="1"/>
  <c r="AD112" i="1" s="1"/>
  <c r="O112" i="1"/>
  <c r="AB112" i="1" s="1"/>
  <c r="P112" i="1"/>
  <c r="AC112" i="1" s="1"/>
  <c r="S179" i="1"/>
  <c r="AF179" i="1" s="1"/>
  <c r="K179" i="1"/>
  <c r="X179" i="1" s="1"/>
  <c r="Q179" i="1"/>
  <c r="AD179" i="1" s="1"/>
  <c r="O179" i="1"/>
  <c r="AB179" i="1" s="1"/>
  <c r="V179" i="1"/>
  <c r="AI179" i="1" s="1"/>
  <c r="U179" i="1"/>
  <c r="AH179" i="1" s="1"/>
  <c r="T179" i="1"/>
  <c r="AG179" i="1" s="1"/>
  <c r="R179" i="1"/>
  <c r="AE179" i="1" s="1"/>
  <c r="P179" i="1"/>
  <c r="AC179" i="1" s="1"/>
  <c r="N179" i="1"/>
  <c r="AA179" i="1" s="1"/>
  <c r="L179" i="1"/>
  <c r="Y179" i="1" s="1"/>
  <c r="M179" i="1"/>
  <c r="Z179" i="1" s="1"/>
  <c r="Q855" i="1"/>
  <c r="AD855" i="1" s="1"/>
  <c r="P855" i="1"/>
  <c r="AC855" i="1" s="1"/>
  <c r="O855" i="1"/>
  <c r="AB855" i="1" s="1"/>
  <c r="V855" i="1"/>
  <c r="AI855" i="1" s="1"/>
  <c r="N855" i="1"/>
  <c r="AA855" i="1" s="1"/>
  <c r="U855" i="1"/>
  <c r="AH855" i="1" s="1"/>
  <c r="M855" i="1"/>
  <c r="Z855" i="1" s="1"/>
  <c r="T855" i="1"/>
  <c r="AG855" i="1" s="1"/>
  <c r="L855" i="1"/>
  <c r="Y855" i="1" s="1"/>
  <c r="R855" i="1"/>
  <c r="AE855" i="1" s="1"/>
  <c r="K855" i="1"/>
  <c r="X855" i="1" s="1"/>
  <c r="S855" i="1"/>
  <c r="AF855" i="1" s="1"/>
  <c r="T1079" i="1"/>
  <c r="AG1079" i="1" s="1"/>
  <c r="L1079" i="1"/>
  <c r="Y1079" i="1" s="1"/>
  <c r="S1079" i="1"/>
  <c r="AF1079" i="1" s="1"/>
  <c r="K1079" i="1"/>
  <c r="X1079" i="1" s="1"/>
  <c r="R1079" i="1"/>
  <c r="AE1079" i="1" s="1"/>
  <c r="Q1079" i="1"/>
  <c r="AD1079" i="1" s="1"/>
  <c r="P1079" i="1"/>
  <c r="AC1079" i="1" s="1"/>
  <c r="O1079" i="1"/>
  <c r="AB1079" i="1" s="1"/>
  <c r="V1079" i="1"/>
  <c r="AI1079" i="1" s="1"/>
  <c r="N1079" i="1"/>
  <c r="AA1079" i="1" s="1"/>
  <c r="U1079" i="1"/>
  <c r="AH1079" i="1" s="1"/>
  <c r="M1079" i="1"/>
  <c r="Z1079" i="1" s="1"/>
  <c r="N946" i="1"/>
  <c r="AA946" i="1" s="1"/>
  <c r="Q191" i="1"/>
  <c r="AD191" i="1" s="1"/>
  <c r="M961" i="1"/>
  <c r="Z961" i="1" s="1"/>
  <c r="P1611" i="1"/>
  <c r="AC1611" i="1" s="1"/>
  <c r="L1181" i="1"/>
  <c r="Y1181" i="1" s="1"/>
  <c r="L104" i="1"/>
  <c r="Y104" i="1" s="1"/>
  <c r="R1706" i="1"/>
  <c r="AE1706" i="1" s="1"/>
  <c r="Q1706" i="1"/>
  <c r="AD1706" i="1" s="1"/>
  <c r="P1706" i="1"/>
  <c r="AC1706" i="1" s="1"/>
  <c r="O1706" i="1"/>
  <c r="AB1706" i="1" s="1"/>
  <c r="V1706" i="1"/>
  <c r="AI1706" i="1" s="1"/>
  <c r="N1706" i="1"/>
  <c r="AA1706" i="1" s="1"/>
  <c r="U1706" i="1"/>
  <c r="AH1706" i="1" s="1"/>
  <c r="M1706" i="1"/>
  <c r="Z1706" i="1" s="1"/>
  <c r="T1706" i="1"/>
  <c r="AG1706" i="1" s="1"/>
  <c r="L1706" i="1"/>
  <c r="Y1706" i="1" s="1"/>
  <c r="S1706" i="1"/>
  <c r="AF1706" i="1" s="1"/>
  <c r="K1706" i="1"/>
  <c r="X1706" i="1" s="1"/>
  <c r="K942" i="1"/>
  <c r="X942" i="1" s="1"/>
  <c r="P413" i="1"/>
  <c r="AC413" i="1" s="1"/>
  <c r="S1569" i="1"/>
  <c r="AF1569" i="1" s="1"/>
  <c r="K1569" i="1"/>
  <c r="X1569" i="1" s="1"/>
  <c r="R1569" i="1"/>
  <c r="AE1569" i="1" s="1"/>
  <c r="Q1569" i="1"/>
  <c r="AD1569" i="1" s="1"/>
  <c r="P1569" i="1"/>
  <c r="AC1569" i="1" s="1"/>
  <c r="V1569" i="1"/>
  <c r="AI1569" i="1" s="1"/>
  <c r="N1569" i="1"/>
  <c r="AA1569" i="1" s="1"/>
  <c r="U1569" i="1"/>
  <c r="AH1569" i="1" s="1"/>
  <c r="T1569" i="1"/>
  <c r="AG1569" i="1" s="1"/>
  <c r="O1569" i="1"/>
  <c r="AB1569" i="1" s="1"/>
  <c r="M1569" i="1"/>
  <c r="Z1569" i="1" s="1"/>
  <c r="L1569" i="1"/>
  <c r="Y1569" i="1" s="1"/>
  <c r="P1504" i="1"/>
  <c r="AC1504" i="1" s="1"/>
  <c r="O1504" i="1"/>
  <c r="AB1504" i="1" s="1"/>
  <c r="V1504" i="1"/>
  <c r="AI1504" i="1" s="1"/>
  <c r="N1504" i="1"/>
  <c r="AA1504" i="1" s="1"/>
  <c r="U1504" i="1"/>
  <c r="AH1504" i="1" s="1"/>
  <c r="M1504" i="1"/>
  <c r="Z1504" i="1" s="1"/>
  <c r="T1504" i="1"/>
  <c r="AG1504" i="1" s="1"/>
  <c r="L1504" i="1"/>
  <c r="Y1504" i="1" s="1"/>
  <c r="S1504" i="1"/>
  <c r="AF1504" i="1" s="1"/>
  <c r="K1504" i="1"/>
  <c r="X1504" i="1" s="1"/>
  <c r="R1504" i="1"/>
  <c r="AE1504" i="1" s="1"/>
  <c r="Q1504" i="1"/>
  <c r="AD1504" i="1" s="1"/>
  <c r="N90" i="1"/>
  <c r="AA90" i="1" s="1"/>
  <c r="P1533" i="1"/>
  <c r="AC1533" i="1" s="1"/>
  <c r="N1574" i="1"/>
  <c r="AA1574" i="1" s="1"/>
  <c r="N1040" i="1"/>
  <c r="AA1040" i="1" s="1"/>
  <c r="N1008" i="1"/>
  <c r="AA1008" i="1" s="1"/>
  <c r="K456" i="1"/>
  <c r="X456" i="1" s="1"/>
  <c r="M246" i="1"/>
  <c r="Z246" i="1" s="1"/>
  <c r="O22" i="1"/>
  <c r="AB22" i="1" s="1"/>
  <c r="L410" i="1"/>
  <c r="Y410" i="1" s="1"/>
  <c r="N385" i="1"/>
  <c r="AA385" i="1" s="1"/>
  <c r="O103" i="1"/>
  <c r="AB103" i="1" s="1"/>
  <c r="R973" i="1"/>
  <c r="AE973" i="1" s="1"/>
  <c r="M1175" i="1"/>
  <c r="Z1175" i="1" s="1"/>
  <c r="N391" i="1"/>
  <c r="AA391" i="1" s="1"/>
  <c r="N414" i="1"/>
  <c r="AA414" i="1" s="1"/>
  <c r="K1271" i="1"/>
  <c r="X1271" i="1" s="1"/>
  <c r="K524" i="1"/>
  <c r="X524" i="1" s="1"/>
  <c r="M856" i="1"/>
  <c r="Z856" i="1" s="1"/>
  <c r="K167" i="1"/>
  <c r="X167" i="1" s="1"/>
  <c r="T1469" i="1"/>
  <c r="AG1469" i="1" s="1"/>
  <c r="L1469" i="1"/>
  <c r="Y1469" i="1" s="1"/>
  <c r="S1469" i="1"/>
  <c r="AF1469" i="1" s="1"/>
  <c r="K1469" i="1"/>
  <c r="X1469" i="1" s="1"/>
  <c r="R1469" i="1"/>
  <c r="AE1469" i="1" s="1"/>
  <c r="Q1469" i="1"/>
  <c r="AD1469" i="1" s="1"/>
  <c r="P1469" i="1"/>
  <c r="AC1469" i="1" s="1"/>
  <c r="O1469" i="1"/>
  <c r="AB1469" i="1" s="1"/>
  <c r="V1469" i="1"/>
  <c r="AI1469" i="1" s="1"/>
  <c r="N1469" i="1"/>
  <c r="AA1469" i="1" s="1"/>
  <c r="U1469" i="1"/>
  <c r="AH1469" i="1" s="1"/>
  <c r="M1469" i="1"/>
  <c r="Z1469" i="1" s="1"/>
  <c r="V460" i="1"/>
  <c r="AI460" i="1" s="1"/>
  <c r="N460" i="1"/>
  <c r="AA460" i="1" s="1"/>
  <c r="T460" i="1"/>
  <c r="AG460" i="1" s="1"/>
  <c r="L460" i="1"/>
  <c r="Y460" i="1" s="1"/>
  <c r="S460" i="1"/>
  <c r="AF460" i="1" s="1"/>
  <c r="K460" i="1"/>
  <c r="X460" i="1" s="1"/>
  <c r="R460" i="1"/>
  <c r="AE460" i="1" s="1"/>
  <c r="Q460" i="1"/>
  <c r="AD460" i="1" s="1"/>
  <c r="O460" i="1"/>
  <c r="AB460" i="1" s="1"/>
  <c r="M460" i="1"/>
  <c r="Z460" i="1" s="1"/>
  <c r="P460" i="1"/>
  <c r="AC460" i="1" s="1"/>
  <c r="U460" i="1"/>
  <c r="AH460" i="1" s="1"/>
  <c r="V454" i="1"/>
  <c r="AI454" i="1" s="1"/>
  <c r="N454" i="1"/>
  <c r="AA454" i="1" s="1"/>
  <c r="T454" i="1"/>
  <c r="AG454" i="1" s="1"/>
  <c r="L454" i="1"/>
  <c r="Y454" i="1" s="1"/>
  <c r="S454" i="1"/>
  <c r="AF454" i="1" s="1"/>
  <c r="K454" i="1"/>
  <c r="X454" i="1" s="1"/>
  <c r="R454" i="1"/>
  <c r="AE454" i="1" s="1"/>
  <c r="Q454" i="1"/>
  <c r="AD454" i="1" s="1"/>
  <c r="O454" i="1"/>
  <c r="AB454" i="1" s="1"/>
  <c r="U454" i="1"/>
  <c r="AH454" i="1" s="1"/>
  <c r="P454" i="1"/>
  <c r="AC454" i="1" s="1"/>
  <c r="M454" i="1"/>
  <c r="Z454" i="1" s="1"/>
  <c r="S1316" i="1"/>
  <c r="AF1316" i="1" s="1"/>
  <c r="K1316" i="1"/>
  <c r="X1316" i="1" s="1"/>
  <c r="R1316" i="1"/>
  <c r="AE1316" i="1" s="1"/>
  <c r="Q1316" i="1"/>
  <c r="AD1316" i="1" s="1"/>
  <c r="P1316" i="1"/>
  <c r="AC1316" i="1" s="1"/>
  <c r="O1316" i="1"/>
  <c r="AB1316" i="1" s="1"/>
  <c r="V1316" i="1"/>
  <c r="AI1316" i="1" s="1"/>
  <c r="N1316" i="1"/>
  <c r="AA1316" i="1" s="1"/>
  <c r="U1316" i="1"/>
  <c r="AH1316" i="1" s="1"/>
  <c r="M1316" i="1"/>
  <c r="Z1316" i="1" s="1"/>
  <c r="T1316" i="1"/>
  <c r="AG1316" i="1" s="1"/>
  <c r="L1316" i="1"/>
  <c r="Y1316" i="1" s="1"/>
  <c r="U923" i="1"/>
  <c r="AH923" i="1" s="1"/>
  <c r="M923" i="1"/>
  <c r="Z923" i="1" s="1"/>
  <c r="R923" i="1"/>
  <c r="AE923" i="1" s="1"/>
  <c r="P923" i="1"/>
  <c r="AC923" i="1" s="1"/>
  <c r="T923" i="1"/>
  <c r="AG923" i="1" s="1"/>
  <c r="S923" i="1"/>
  <c r="AF923" i="1" s="1"/>
  <c r="Q923" i="1"/>
  <c r="AD923" i="1" s="1"/>
  <c r="O923" i="1"/>
  <c r="AB923" i="1" s="1"/>
  <c r="N923" i="1"/>
  <c r="AA923" i="1" s="1"/>
  <c r="L923" i="1"/>
  <c r="Y923" i="1" s="1"/>
  <c r="V923" i="1"/>
  <c r="AI923" i="1" s="1"/>
  <c r="K923" i="1"/>
  <c r="X923" i="1" s="1"/>
  <c r="Q867" i="1"/>
  <c r="AD867" i="1" s="1"/>
  <c r="P867" i="1"/>
  <c r="AC867" i="1" s="1"/>
  <c r="O867" i="1"/>
  <c r="AB867" i="1" s="1"/>
  <c r="V867" i="1"/>
  <c r="AI867" i="1" s="1"/>
  <c r="N867" i="1"/>
  <c r="AA867" i="1" s="1"/>
  <c r="U867" i="1"/>
  <c r="AH867" i="1" s="1"/>
  <c r="M867" i="1"/>
  <c r="Z867" i="1" s="1"/>
  <c r="T867" i="1"/>
  <c r="AG867" i="1" s="1"/>
  <c r="L867" i="1"/>
  <c r="Y867" i="1" s="1"/>
  <c r="R867" i="1"/>
  <c r="AE867" i="1" s="1"/>
  <c r="S867" i="1"/>
  <c r="AF867" i="1" s="1"/>
  <c r="K867" i="1"/>
  <c r="X867" i="1" s="1"/>
  <c r="S684" i="1"/>
  <c r="AF684" i="1" s="1"/>
  <c r="K684" i="1"/>
  <c r="X684" i="1" s="1"/>
  <c r="R684" i="1"/>
  <c r="AE684" i="1" s="1"/>
  <c r="Q684" i="1"/>
  <c r="AD684" i="1" s="1"/>
  <c r="P684" i="1"/>
  <c r="AC684" i="1" s="1"/>
  <c r="O684" i="1"/>
  <c r="AB684" i="1" s="1"/>
  <c r="V684" i="1"/>
  <c r="AI684" i="1" s="1"/>
  <c r="N684" i="1"/>
  <c r="AA684" i="1" s="1"/>
  <c r="T684" i="1"/>
  <c r="AG684" i="1" s="1"/>
  <c r="L684" i="1"/>
  <c r="Y684" i="1" s="1"/>
  <c r="U684" i="1"/>
  <c r="AH684" i="1" s="1"/>
  <c r="M684" i="1"/>
  <c r="Z684" i="1" s="1"/>
  <c r="R459" i="1"/>
  <c r="AE459" i="1" s="1"/>
  <c r="P459" i="1"/>
  <c r="AC459" i="1" s="1"/>
  <c r="O459" i="1"/>
  <c r="AB459" i="1" s="1"/>
  <c r="V459" i="1"/>
  <c r="AI459" i="1" s="1"/>
  <c r="N459" i="1"/>
  <c r="AA459" i="1" s="1"/>
  <c r="U459" i="1"/>
  <c r="AH459" i="1" s="1"/>
  <c r="M459" i="1"/>
  <c r="Z459" i="1" s="1"/>
  <c r="S459" i="1"/>
  <c r="AF459" i="1" s="1"/>
  <c r="K459" i="1"/>
  <c r="X459" i="1" s="1"/>
  <c r="T459" i="1"/>
  <c r="AG459" i="1" s="1"/>
  <c r="Q459" i="1"/>
  <c r="AD459" i="1" s="1"/>
  <c r="L459" i="1"/>
  <c r="Y459" i="1" s="1"/>
  <c r="O545" i="1"/>
  <c r="AB545" i="1" s="1"/>
  <c r="U545" i="1"/>
  <c r="AH545" i="1" s="1"/>
  <c r="M545" i="1"/>
  <c r="Z545" i="1" s="1"/>
  <c r="S545" i="1"/>
  <c r="AF545" i="1" s="1"/>
  <c r="K545" i="1"/>
  <c r="X545" i="1" s="1"/>
  <c r="R545" i="1"/>
  <c r="AE545" i="1" s="1"/>
  <c r="P545" i="1"/>
  <c r="AC545" i="1" s="1"/>
  <c r="N545" i="1"/>
  <c r="AA545" i="1" s="1"/>
  <c r="L545" i="1"/>
  <c r="Y545" i="1" s="1"/>
  <c r="V545" i="1"/>
  <c r="AI545" i="1" s="1"/>
  <c r="Q545" i="1"/>
  <c r="AD545" i="1" s="1"/>
  <c r="T545" i="1"/>
  <c r="AG545" i="1" s="1"/>
  <c r="S582" i="1"/>
  <c r="AF582" i="1" s="1"/>
  <c r="K582" i="1"/>
  <c r="X582" i="1" s="1"/>
  <c r="R582" i="1"/>
  <c r="AE582" i="1" s="1"/>
  <c r="Q582" i="1"/>
  <c r="AD582" i="1" s="1"/>
  <c r="P582" i="1"/>
  <c r="AC582" i="1" s="1"/>
  <c r="O582" i="1"/>
  <c r="AB582" i="1" s="1"/>
  <c r="V582" i="1"/>
  <c r="AI582" i="1" s="1"/>
  <c r="N582" i="1"/>
  <c r="AA582" i="1" s="1"/>
  <c r="T582" i="1"/>
  <c r="AG582" i="1" s="1"/>
  <c r="L582" i="1"/>
  <c r="Y582" i="1" s="1"/>
  <c r="U582" i="1"/>
  <c r="AH582" i="1" s="1"/>
  <c r="M582" i="1"/>
  <c r="Z582" i="1" s="1"/>
  <c r="R439" i="1"/>
  <c r="AE439" i="1" s="1"/>
  <c r="P439" i="1"/>
  <c r="AC439" i="1" s="1"/>
  <c r="O439" i="1"/>
  <c r="AB439" i="1" s="1"/>
  <c r="V439" i="1"/>
  <c r="AI439" i="1" s="1"/>
  <c r="N439" i="1"/>
  <c r="AA439" i="1" s="1"/>
  <c r="U439" i="1"/>
  <c r="AH439" i="1" s="1"/>
  <c r="M439" i="1"/>
  <c r="Z439" i="1" s="1"/>
  <c r="S439" i="1"/>
  <c r="AF439" i="1" s="1"/>
  <c r="K439" i="1"/>
  <c r="X439" i="1" s="1"/>
  <c r="T439" i="1"/>
  <c r="AG439" i="1" s="1"/>
  <c r="L439" i="1"/>
  <c r="Y439" i="1" s="1"/>
  <c r="Q439" i="1"/>
  <c r="AD439" i="1" s="1"/>
  <c r="V468" i="1"/>
  <c r="AI468" i="1" s="1"/>
  <c r="N468" i="1"/>
  <c r="AA468" i="1" s="1"/>
  <c r="T468" i="1"/>
  <c r="AG468" i="1" s="1"/>
  <c r="L468" i="1"/>
  <c r="Y468" i="1" s="1"/>
  <c r="S468" i="1"/>
  <c r="AF468" i="1" s="1"/>
  <c r="K468" i="1"/>
  <c r="X468" i="1" s="1"/>
  <c r="R468" i="1"/>
  <c r="AE468" i="1" s="1"/>
  <c r="Q468" i="1"/>
  <c r="AD468" i="1" s="1"/>
  <c r="O468" i="1"/>
  <c r="AB468" i="1" s="1"/>
  <c r="M468" i="1"/>
  <c r="Z468" i="1" s="1"/>
  <c r="P468" i="1"/>
  <c r="AC468" i="1" s="1"/>
  <c r="U468" i="1"/>
  <c r="AH468" i="1" s="1"/>
  <c r="S215" i="1"/>
  <c r="AF215" i="1" s="1"/>
  <c r="K215" i="1"/>
  <c r="X215" i="1" s="1"/>
  <c r="Q215" i="1"/>
  <c r="AD215" i="1" s="1"/>
  <c r="O215" i="1"/>
  <c r="AB215" i="1" s="1"/>
  <c r="M215" i="1"/>
  <c r="Z215" i="1" s="1"/>
  <c r="L215" i="1"/>
  <c r="Y215" i="1" s="1"/>
  <c r="V215" i="1"/>
  <c r="AI215" i="1" s="1"/>
  <c r="U215" i="1"/>
  <c r="AH215" i="1" s="1"/>
  <c r="T215" i="1"/>
  <c r="AG215" i="1" s="1"/>
  <c r="R215" i="1"/>
  <c r="AE215" i="1" s="1"/>
  <c r="N215" i="1"/>
  <c r="AA215" i="1" s="1"/>
  <c r="P215" i="1"/>
  <c r="AC215" i="1" s="1"/>
  <c r="V273" i="1"/>
  <c r="AI273" i="1" s="1"/>
  <c r="N273" i="1"/>
  <c r="AA273" i="1" s="1"/>
  <c r="U273" i="1"/>
  <c r="AH273" i="1" s="1"/>
  <c r="M273" i="1"/>
  <c r="Z273" i="1" s="1"/>
  <c r="T273" i="1"/>
  <c r="AG273" i="1" s="1"/>
  <c r="L273" i="1"/>
  <c r="Y273" i="1" s="1"/>
  <c r="S273" i="1"/>
  <c r="AF273" i="1" s="1"/>
  <c r="K273" i="1"/>
  <c r="X273" i="1" s="1"/>
  <c r="R273" i="1"/>
  <c r="AE273" i="1" s="1"/>
  <c r="Q273" i="1"/>
  <c r="AD273" i="1" s="1"/>
  <c r="O273" i="1"/>
  <c r="AB273" i="1" s="1"/>
  <c r="P273" i="1"/>
  <c r="AC273" i="1" s="1"/>
  <c r="V84" i="1"/>
  <c r="AI84" i="1" s="1"/>
  <c r="N84" i="1"/>
  <c r="AA84" i="1" s="1"/>
  <c r="U84" i="1"/>
  <c r="AH84" i="1" s="1"/>
  <c r="M84" i="1"/>
  <c r="Z84" i="1" s="1"/>
  <c r="T84" i="1"/>
  <c r="AG84" i="1" s="1"/>
  <c r="L84" i="1"/>
  <c r="Y84" i="1" s="1"/>
  <c r="S84" i="1"/>
  <c r="AF84" i="1" s="1"/>
  <c r="K84" i="1"/>
  <c r="X84" i="1" s="1"/>
  <c r="R84" i="1"/>
  <c r="AE84" i="1" s="1"/>
  <c r="Q84" i="1"/>
  <c r="AD84" i="1" s="1"/>
  <c r="O84" i="1"/>
  <c r="AB84" i="1" s="1"/>
  <c r="P84" i="1"/>
  <c r="AC84" i="1" s="1"/>
  <c r="R85" i="1"/>
  <c r="AE85" i="1" s="1"/>
  <c r="Q85" i="1"/>
  <c r="AD85" i="1" s="1"/>
  <c r="P85" i="1"/>
  <c r="AC85" i="1" s="1"/>
  <c r="O85" i="1"/>
  <c r="AB85" i="1" s="1"/>
  <c r="V85" i="1"/>
  <c r="AI85" i="1" s="1"/>
  <c r="N85" i="1"/>
  <c r="AA85" i="1" s="1"/>
  <c r="U85" i="1"/>
  <c r="AH85" i="1" s="1"/>
  <c r="M85" i="1"/>
  <c r="Z85" i="1" s="1"/>
  <c r="S85" i="1"/>
  <c r="AF85" i="1" s="1"/>
  <c r="K85" i="1"/>
  <c r="X85" i="1" s="1"/>
  <c r="T85" i="1"/>
  <c r="AG85" i="1" s="1"/>
  <c r="L85" i="1"/>
  <c r="Y85" i="1" s="1"/>
  <c r="O553" i="1"/>
  <c r="AB553" i="1" s="1"/>
  <c r="V553" i="1"/>
  <c r="AI553" i="1" s="1"/>
  <c r="N553" i="1"/>
  <c r="AA553" i="1" s="1"/>
  <c r="U553" i="1"/>
  <c r="AH553" i="1" s="1"/>
  <c r="M553" i="1"/>
  <c r="Z553" i="1" s="1"/>
  <c r="T553" i="1"/>
  <c r="AG553" i="1" s="1"/>
  <c r="L553" i="1"/>
  <c r="Y553" i="1" s="1"/>
  <c r="S553" i="1"/>
  <c r="AF553" i="1" s="1"/>
  <c r="K553" i="1"/>
  <c r="X553" i="1" s="1"/>
  <c r="R553" i="1"/>
  <c r="AE553" i="1" s="1"/>
  <c r="P553" i="1"/>
  <c r="AC553" i="1" s="1"/>
  <c r="Q553" i="1"/>
  <c r="AD553" i="1" s="1"/>
  <c r="V68" i="1"/>
  <c r="AI68" i="1" s="1"/>
  <c r="N68" i="1"/>
  <c r="AA68" i="1" s="1"/>
  <c r="U68" i="1"/>
  <c r="AH68" i="1" s="1"/>
  <c r="M68" i="1"/>
  <c r="Z68" i="1" s="1"/>
  <c r="T68" i="1"/>
  <c r="AG68" i="1" s="1"/>
  <c r="L68" i="1"/>
  <c r="Y68" i="1" s="1"/>
  <c r="S68" i="1"/>
  <c r="AF68" i="1" s="1"/>
  <c r="K68" i="1"/>
  <c r="X68" i="1" s="1"/>
  <c r="R68" i="1"/>
  <c r="AE68" i="1" s="1"/>
  <c r="Q68" i="1"/>
  <c r="AD68" i="1" s="1"/>
  <c r="O68" i="1"/>
  <c r="AB68" i="1" s="1"/>
  <c r="P68" i="1"/>
  <c r="AC68" i="1" s="1"/>
  <c r="S1306" i="1"/>
  <c r="AF1306" i="1" s="1"/>
  <c r="K1306" i="1"/>
  <c r="X1306" i="1" s="1"/>
  <c r="R1306" i="1"/>
  <c r="AE1306" i="1" s="1"/>
  <c r="Q1306" i="1"/>
  <c r="AD1306" i="1" s="1"/>
  <c r="P1306" i="1"/>
  <c r="AC1306" i="1" s="1"/>
  <c r="O1306" i="1"/>
  <c r="AB1306" i="1" s="1"/>
  <c r="V1306" i="1"/>
  <c r="AI1306" i="1" s="1"/>
  <c r="N1306" i="1"/>
  <c r="AA1306" i="1" s="1"/>
  <c r="U1306" i="1"/>
  <c r="AH1306" i="1" s="1"/>
  <c r="M1306" i="1"/>
  <c r="Z1306" i="1" s="1"/>
  <c r="T1306" i="1"/>
  <c r="AG1306" i="1" s="1"/>
  <c r="L1306" i="1"/>
  <c r="Y1306" i="1" s="1"/>
  <c r="R455" i="1"/>
  <c r="AE455" i="1" s="1"/>
  <c r="P455" i="1"/>
  <c r="AC455" i="1" s="1"/>
  <c r="O455" i="1"/>
  <c r="AB455" i="1" s="1"/>
  <c r="V455" i="1"/>
  <c r="AI455" i="1" s="1"/>
  <c r="N455" i="1"/>
  <c r="AA455" i="1" s="1"/>
  <c r="U455" i="1"/>
  <c r="AH455" i="1" s="1"/>
  <c r="M455" i="1"/>
  <c r="Z455" i="1" s="1"/>
  <c r="S455" i="1"/>
  <c r="AF455" i="1" s="1"/>
  <c r="K455" i="1"/>
  <c r="X455" i="1" s="1"/>
  <c r="T455" i="1"/>
  <c r="AG455" i="1" s="1"/>
  <c r="L455" i="1"/>
  <c r="Y455" i="1" s="1"/>
  <c r="Q455" i="1"/>
  <c r="AD455" i="1" s="1"/>
  <c r="P1446" i="1"/>
  <c r="AC1446" i="1" s="1"/>
  <c r="O1446" i="1"/>
  <c r="AB1446" i="1" s="1"/>
  <c r="V1446" i="1"/>
  <c r="AI1446" i="1" s="1"/>
  <c r="N1446" i="1"/>
  <c r="AA1446" i="1" s="1"/>
  <c r="U1446" i="1"/>
  <c r="AH1446" i="1" s="1"/>
  <c r="M1446" i="1"/>
  <c r="Z1446" i="1" s="1"/>
  <c r="T1446" i="1"/>
  <c r="AG1446" i="1" s="1"/>
  <c r="L1446" i="1"/>
  <c r="Y1446" i="1" s="1"/>
  <c r="S1446" i="1"/>
  <c r="AF1446" i="1" s="1"/>
  <c r="K1446" i="1"/>
  <c r="X1446" i="1" s="1"/>
  <c r="R1446" i="1"/>
  <c r="AE1446" i="1" s="1"/>
  <c r="Q1446" i="1"/>
  <c r="AD1446" i="1" s="1"/>
  <c r="O1388" i="1"/>
  <c r="AB1388" i="1" s="1"/>
  <c r="V1388" i="1"/>
  <c r="AI1388" i="1" s="1"/>
  <c r="N1388" i="1"/>
  <c r="AA1388" i="1" s="1"/>
  <c r="U1388" i="1"/>
  <c r="AH1388" i="1" s="1"/>
  <c r="M1388" i="1"/>
  <c r="Z1388" i="1" s="1"/>
  <c r="T1388" i="1"/>
  <c r="AG1388" i="1" s="1"/>
  <c r="L1388" i="1"/>
  <c r="Y1388" i="1" s="1"/>
  <c r="S1388" i="1"/>
  <c r="AF1388" i="1" s="1"/>
  <c r="K1388" i="1"/>
  <c r="X1388" i="1" s="1"/>
  <c r="R1388" i="1"/>
  <c r="AE1388" i="1" s="1"/>
  <c r="Q1388" i="1"/>
  <c r="AD1388" i="1" s="1"/>
  <c r="P1388" i="1"/>
  <c r="AC1388" i="1" s="1"/>
  <c r="U947" i="1"/>
  <c r="AH947" i="1" s="1"/>
  <c r="M947" i="1"/>
  <c r="Z947" i="1" s="1"/>
  <c r="S947" i="1"/>
  <c r="AF947" i="1" s="1"/>
  <c r="K947" i="1"/>
  <c r="X947" i="1" s="1"/>
  <c r="R947" i="1"/>
  <c r="AE947" i="1" s="1"/>
  <c r="P947" i="1"/>
  <c r="AC947" i="1" s="1"/>
  <c r="O947" i="1"/>
  <c r="AB947" i="1" s="1"/>
  <c r="N947" i="1"/>
  <c r="AA947" i="1" s="1"/>
  <c r="L947" i="1"/>
  <c r="Y947" i="1" s="1"/>
  <c r="V947" i="1"/>
  <c r="AI947" i="1" s="1"/>
  <c r="Q947" i="1"/>
  <c r="AD947" i="1" s="1"/>
  <c r="T947" i="1"/>
  <c r="AG947" i="1" s="1"/>
  <c r="U760" i="1"/>
  <c r="AH760" i="1" s="1"/>
  <c r="M760" i="1"/>
  <c r="Z760" i="1" s="1"/>
  <c r="T760" i="1"/>
  <c r="AG760" i="1" s="1"/>
  <c r="L760" i="1"/>
  <c r="Y760" i="1" s="1"/>
  <c r="S760" i="1"/>
  <c r="AF760" i="1" s="1"/>
  <c r="K760" i="1"/>
  <c r="X760" i="1" s="1"/>
  <c r="R760" i="1"/>
  <c r="AE760" i="1" s="1"/>
  <c r="Q760" i="1"/>
  <c r="AD760" i="1" s="1"/>
  <c r="P760" i="1"/>
  <c r="AC760" i="1" s="1"/>
  <c r="V760" i="1"/>
  <c r="AI760" i="1" s="1"/>
  <c r="N760" i="1"/>
  <c r="AA760" i="1" s="1"/>
  <c r="O760" i="1"/>
  <c r="AB760" i="1" s="1"/>
  <c r="O669" i="1"/>
  <c r="AB669" i="1" s="1"/>
  <c r="V669" i="1"/>
  <c r="AI669" i="1" s="1"/>
  <c r="N669" i="1"/>
  <c r="AA669" i="1" s="1"/>
  <c r="U669" i="1"/>
  <c r="AH669" i="1" s="1"/>
  <c r="M669" i="1"/>
  <c r="Z669" i="1" s="1"/>
  <c r="T669" i="1"/>
  <c r="AG669" i="1" s="1"/>
  <c r="L669" i="1"/>
  <c r="Y669" i="1" s="1"/>
  <c r="S669" i="1"/>
  <c r="AF669" i="1" s="1"/>
  <c r="K669" i="1"/>
  <c r="X669" i="1" s="1"/>
  <c r="R669" i="1"/>
  <c r="AE669" i="1" s="1"/>
  <c r="P669" i="1"/>
  <c r="AC669" i="1" s="1"/>
  <c r="Q669" i="1"/>
  <c r="AD669" i="1" s="1"/>
  <c r="R451" i="1"/>
  <c r="AE451" i="1" s="1"/>
  <c r="P451" i="1"/>
  <c r="AC451" i="1" s="1"/>
  <c r="O451" i="1"/>
  <c r="AB451" i="1" s="1"/>
  <c r="V451" i="1"/>
  <c r="AI451" i="1" s="1"/>
  <c r="N451" i="1"/>
  <c r="AA451" i="1" s="1"/>
  <c r="U451" i="1"/>
  <c r="AH451" i="1" s="1"/>
  <c r="M451" i="1"/>
  <c r="Z451" i="1" s="1"/>
  <c r="S451" i="1"/>
  <c r="AF451" i="1" s="1"/>
  <c r="K451" i="1"/>
  <c r="X451" i="1" s="1"/>
  <c r="T451" i="1"/>
  <c r="AG451" i="1" s="1"/>
  <c r="Q451" i="1"/>
  <c r="AD451" i="1" s="1"/>
  <c r="L451" i="1"/>
  <c r="Y451" i="1" s="1"/>
  <c r="S542" i="1"/>
  <c r="AF542" i="1" s="1"/>
  <c r="K542" i="1"/>
  <c r="X542" i="1" s="1"/>
  <c r="Q542" i="1"/>
  <c r="AD542" i="1" s="1"/>
  <c r="O542" i="1"/>
  <c r="AB542" i="1" s="1"/>
  <c r="V542" i="1"/>
  <c r="AI542" i="1" s="1"/>
  <c r="N542" i="1"/>
  <c r="AA542" i="1" s="1"/>
  <c r="T542" i="1"/>
  <c r="AG542" i="1" s="1"/>
  <c r="L542" i="1"/>
  <c r="Y542" i="1" s="1"/>
  <c r="U542" i="1"/>
  <c r="AH542" i="1" s="1"/>
  <c r="R542" i="1"/>
  <c r="AE542" i="1" s="1"/>
  <c r="P542" i="1"/>
  <c r="AC542" i="1" s="1"/>
  <c r="M542" i="1"/>
  <c r="Z542" i="1" s="1"/>
  <c r="S578" i="1"/>
  <c r="AF578" i="1" s="1"/>
  <c r="K578" i="1"/>
  <c r="X578" i="1" s="1"/>
  <c r="R578" i="1"/>
  <c r="AE578" i="1" s="1"/>
  <c r="Q578" i="1"/>
  <c r="AD578" i="1" s="1"/>
  <c r="P578" i="1"/>
  <c r="AC578" i="1" s="1"/>
  <c r="O578" i="1"/>
  <c r="AB578" i="1" s="1"/>
  <c r="V578" i="1"/>
  <c r="AI578" i="1" s="1"/>
  <c r="N578" i="1"/>
  <c r="AA578" i="1" s="1"/>
  <c r="T578" i="1"/>
  <c r="AG578" i="1" s="1"/>
  <c r="L578" i="1"/>
  <c r="Y578" i="1" s="1"/>
  <c r="U578" i="1"/>
  <c r="AH578" i="1" s="1"/>
  <c r="M578" i="1"/>
  <c r="Z578" i="1" s="1"/>
  <c r="R431" i="1"/>
  <c r="AE431" i="1" s="1"/>
  <c r="P431" i="1"/>
  <c r="AC431" i="1" s="1"/>
  <c r="O431" i="1"/>
  <c r="AB431" i="1" s="1"/>
  <c r="V431" i="1"/>
  <c r="AI431" i="1" s="1"/>
  <c r="N431" i="1"/>
  <c r="AA431" i="1" s="1"/>
  <c r="U431" i="1"/>
  <c r="AH431" i="1" s="1"/>
  <c r="M431" i="1"/>
  <c r="Z431" i="1" s="1"/>
  <c r="S431" i="1"/>
  <c r="AF431" i="1" s="1"/>
  <c r="K431" i="1"/>
  <c r="X431" i="1" s="1"/>
  <c r="T431" i="1"/>
  <c r="AG431" i="1" s="1"/>
  <c r="L431" i="1"/>
  <c r="Y431" i="1" s="1"/>
  <c r="Q431" i="1"/>
  <c r="AD431" i="1" s="1"/>
  <c r="V496" i="1"/>
  <c r="AI496" i="1" s="1"/>
  <c r="N496" i="1"/>
  <c r="AA496" i="1" s="1"/>
  <c r="T496" i="1"/>
  <c r="AG496" i="1" s="1"/>
  <c r="L496" i="1"/>
  <c r="Y496" i="1" s="1"/>
  <c r="S496" i="1"/>
  <c r="AF496" i="1" s="1"/>
  <c r="K496" i="1"/>
  <c r="X496" i="1" s="1"/>
  <c r="R496" i="1"/>
  <c r="AE496" i="1" s="1"/>
  <c r="Q496" i="1"/>
  <c r="AD496" i="1" s="1"/>
  <c r="O496" i="1"/>
  <c r="AB496" i="1" s="1"/>
  <c r="U496" i="1"/>
  <c r="AH496" i="1" s="1"/>
  <c r="P496" i="1"/>
  <c r="AC496" i="1" s="1"/>
  <c r="M496" i="1"/>
  <c r="Z496" i="1" s="1"/>
  <c r="R324" i="1"/>
  <c r="AE324" i="1" s="1"/>
  <c r="Q324" i="1"/>
  <c r="AD324" i="1" s="1"/>
  <c r="M324" i="1"/>
  <c r="Z324" i="1" s="1"/>
  <c r="V324" i="1"/>
  <c r="AI324" i="1" s="1"/>
  <c r="L324" i="1"/>
  <c r="Y324" i="1" s="1"/>
  <c r="U324" i="1"/>
  <c r="AH324" i="1" s="1"/>
  <c r="K324" i="1"/>
  <c r="X324" i="1" s="1"/>
  <c r="T324" i="1"/>
  <c r="AG324" i="1" s="1"/>
  <c r="S324" i="1"/>
  <c r="AF324" i="1" s="1"/>
  <c r="P324" i="1"/>
  <c r="AC324" i="1" s="1"/>
  <c r="N324" i="1"/>
  <c r="AA324" i="1" s="1"/>
  <c r="O324" i="1"/>
  <c r="AB324" i="1" s="1"/>
  <c r="R274" i="1"/>
  <c r="AE274" i="1" s="1"/>
  <c r="Q274" i="1"/>
  <c r="AD274" i="1" s="1"/>
  <c r="P274" i="1"/>
  <c r="AC274" i="1" s="1"/>
  <c r="O274" i="1"/>
  <c r="AB274" i="1" s="1"/>
  <c r="V274" i="1"/>
  <c r="AI274" i="1" s="1"/>
  <c r="N274" i="1"/>
  <c r="AA274" i="1" s="1"/>
  <c r="U274" i="1"/>
  <c r="AH274" i="1" s="1"/>
  <c r="M274" i="1"/>
  <c r="Z274" i="1" s="1"/>
  <c r="S274" i="1"/>
  <c r="AF274" i="1" s="1"/>
  <c r="K274" i="1"/>
  <c r="X274" i="1" s="1"/>
  <c r="T274" i="1"/>
  <c r="AG274" i="1" s="1"/>
  <c r="L274" i="1"/>
  <c r="Y274" i="1" s="1"/>
  <c r="O198" i="1"/>
  <c r="AB198" i="1" s="1"/>
  <c r="U198" i="1"/>
  <c r="AH198" i="1" s="1"/>
  <c r="M198" i="1"/>
  <c r="Z198" i="1" s="1"/>
  <c r="S198" i="1"/>
  <c r="AF198" i="1" s="1"/>
  <c r="K198" i="1"/>
  <c r="X198" i="1" s="1"/>
  <c r="L198" i="1"/>
  <c r="Y198" i="1" s="1"/>
  <c r="V198" i="1"/>
  <c r="AI198" i="1" s="1"/>
  <c r="T198" i="1"/>
  <c r="AG198" i="1" s="1"/>
  <c r="R198" i="1"/>
  <c r="AE198" i="1" s="1"/>
  <c r="Q198" i="1"/>
  <c r="AD198" i="1" s="1"/>
  <c r="N198" i="1"/>
  <c r="AA198" i="1" s="1"/>
  <c r="P198" i="1"/>
  <c r="AC198" i="1" s="1"/>
  <c r="R81" i="1"/>
  <c r="AE81" i="1" s="1"/>
  <c r="Q81" i="1"/>
  <c r="AD81" i="1" s="1"/>
  <c r="P81" i="1"/>
  <c r="AC81" i="1" s="1"/>
  <c r="O81" i="1"/>
  <c r="AB81" i="1" s="1"/>
  <c r="V81" i="1"/>
  <c r="AI81" i="1" s="1"/>
  <c r="N81" i="1"/>
  <c r="AA81" i="1" s="1"/>
  <c r="U81" i="1"/>
  <c r="AH81" i="1" s="1"/>
  <c r="M81" i="1"/>
  <c r="Z81" i="1" s="1"/>
  <c r="S81" i="1"/>
  <c r="AF81" i="1" s="1"/>
  <c r="K81" i="1"/>
  <c r="X81" i="1" s="1"/>
  <c r="L81" i="1"/>
  <c r="Y81" i="1" s="1"/>
  <c r="T81" i="1"/>
  <c r="AG81" i="1" s="1"/>
  <c r="R77" i="1"/>
  <c r="AE77" i="1" s="1"/>
  <c r="Q77" i="1"/>
  <c r="AD77" i="1" s="1"/>
  <c r="P77" i="1"/>
  <c r="AC77" i="1" s="1"/>
  <c r="O77" i="1"/>
  <c r="AB77" i="1" s="1"/>
  <c r="V77" i="1"/>
  <c r="AI77" i="1" s="1"/>
  <c r="N77" i="1"/>
  <c r="AA77" i="1" s="1"/>
  <c r="U77" i="1"/>
  <c r="AH77" i="1" s="1"/>
  <c r="M77" i="1"/>
  <c r="Z77" i="1" s="1"/>
  <c r="S77" i="1"/>
  <c r="AF77" i="1" s="1"/>
  <c r="K77" i="1"/>
  <c r="X77" i="1" s="1"/>
  <c r="L77" i="1"/>
  <c r="Y77" i="1" s="1"/>
  <c r="T77" i="1"/>
  <c r="AG77" i="1" s="1"/>
  <c r="V42" i="1"/>
  <c r="AI42" i="1" s="1"/>
  <c r="N42" i="1"/>
  <c r="AA42" i="1" s="1"/>
  <c r="U42" i="1"/>
  <c r="AH42" i="1" s="1"/>
  <c r="M42" i="1"/>
  <c r="Z42" i="1" s="1"/>
  <c r="T42" i="1"/>
  <c r="AG42" i="1" s="1"/>
  <c r="L42" i="1"/>
  <c r="Y42" i="1" s="1"/>
  <c r="S42" i="1"/>
  <c r="AF42" i="1" s="1"/>
  <c r="K42" i="1"/>
  <c r="X42" i="1" s="1"/>
  <c r="R42" i="1"/>
  <c r="AE42" i="1" s="1"/>
  <c r="Q42" i="1"/>
  <c r="AD42" i="1" s="1"/>
  <c r="O42" i="1"/>
  <c r="AB42" i="1" s="1"/>
  <c r="P42" i="1"/>
  <c r="AC42" i="1" s="1"/>
  <c r="S622" i="1"/>
  <c r="AF622" i="1" s="1"/>
  <c r="K622" i="1"/>
  <c r="X622" i="1" s="1"/>
  <c r="R622" i="1"/>
  <c r="AE622" i="1" s="1"/>
  <c r="Q622" i="1"/>
  <c r="AD622" i="1" s="1"/>
  <c r="P622" i="1"/>
  <c r="AC622" i="1" s="1"/>
  <c r="O622" i="1"/>
  <c r="AB622" i="1" s="1"/>
  <c r="V622" i="1"/>
  <c r="AI622" i="1" s="1"/>
  <c r="N622" i="1"/>
  <c r="AA622" i="1" s="1"/>
  <c r="T622" i="1"/>
  <c r="AG622" i="1" s="1"/>
  <c r="L622" i="1"/>
  <c r="Y622" i="1" s="1"/>
  <c r="U622" i="1"/>
  <c r="AH622" i="1" s="1"/>
  <c r="M622" i="1"/>
  <c r="Z622" i="1" s="1"/>
  <c r="Q1678" i="1"/>
  <c r="AD1678" i="1" s="1"/>
  <c r="P1678" i="1"/>
  <c r="AC1678" i="1" s="1"/>
  <c r="O1678" i="1"/>
  <c r="AB1678" i="1" s="1"/>
  <c r="V1678" i="1"/>
  <c r="AI1678" i="1" s="1"/>
  <c r="N1678" i="1"/>
  <c r="AA1678" i="1" s="1"/>
  <c r="U1678" i="1"/>
  <c r="AH1678" i="1" s="1"/>
  <c r="M1678" i="1"/>
  <c r="Z1678" i="1" s="1"/>
  <c r="T1678" i="1"/>
  <c r="AG1678" i="1" s="1"/>
  <c r="L1678" i="1"/>
  <c r="Y1678" i="1" s="1"/>
  <c r="S1678" i="1"/>
  <c r="AF1678" i="1" s="1"/>
  <c r="K1678" i="1"/>
  <c r="X1678" i="1" s="1"/>
  <c r="R1678" i="1"/>
  <c r="AE1678" i="1" s="1"/>
  <c r="U1665" i="1"/>
  <c r="AH1665" i="1" s="1"/>
  <c r="M1665" i="1"/>
  <c r="Z1665" i="1" s="1"/>
  <c r="T1665" i="1"/>
  <c r="AG1665" i="1" s="1"/>
  <c r="L1665" i="1"/>
  <c r="Y1665" i="1" s="1"/>
  <c r="S1665" i="1"/>
  <c r="AF1665" i="1" s="1"/>
  <c r="K1665" i="1"/>
  <c r="X1665" i="1" s="1"/>
  <c r="R1665" i="1"/>
  <c r="AE1665" i="1" s="1"/>
  <c r="Q1665" i="1"/>
  <c r="AD1665" i="1" s="1"/>
  <c r="P1665" i="1"/>
  <c r="AC1665" i="1" s="1"/>
  <c r="V1665" i="1"/>
  <c r="AI1665" i="1" s="1"/>
  <c r="O1665" i="1"/>
  <c r="AB1665" i="1" s="1"/>
  <c r="N1665" i="1"/>
  <c r="AA1665" i="1" s="1"/>
  <c r="R1716" i="1"/>
  <c r="AE1716" i="1" s="1"/>
  <c r="Q1716" i="1"/>
  <c r="AD1716" i="1" s="1"/>
  <c r="P1716" i="1"/>
  <c r="AC1716" i="1" s="1"/>
  <c r="O1716" i="1"/>
  <c r="AB1716" i="1" s="1"/>
  <c r="V1716" i="1"/>
  <c r="AI1716" i="1" s="1"/>
  <c r="N1716" i="1"/>
  <c r="AA1716" i="1" s="1"/>
  <c r="U1716" i="1"/>
  <c r="AH1716" i="1" s="1"/>
  <c r="M1716" i="1"/>
  <c r="Z1716" i="1" s="1"/>
  <c r="T1716" i="1"/>
  <c r="AG1716" i="1" s="1"/>
  <c r="L1716" i="1"/>
  <c r="Y1716" i="1" s="1"/>
  <c r="S1716" i="1"/>
  <c r="AF1716" i="1" s="1"/>
  <c r="K1716" i="1"/>
  <c r="X1716" i="1" s="1"/>
  <c r="Q1588" i="1"/>
  <c r="AD1588" i="1" s="1"/>
  <c r="P1588" i="1"/>
  <c r="AC1588" i="1" s="1"/>
  <c r="O1588" i="1"/>
  <c r="AB1588" i="1" s="1"/>
  <c r="V1588" i="1"/>
  <c r="AI1588" i="1" s="1"/>
  <c r="N1588" i="1"/>
  <c r="AA1588" i="1" s="1"/>
  <c r="U1588" i="1"/>
  <c r="AH1588" i="1" s="1"/>
  <c r="M1588" i="1"/>
  <c r="Z1588" i="1" s="1"/>
  <c r="T1588" i="1"/>
  <c r="AG1588" i="1" s="1"/>
  <c r="L1588" i="1"/>
  <c r="Y1588" i="1" s="1"/>
  <c r="R1588" i="1"/>
  <c r="AE1588" i="1" s="1"/>
  <c r="S1588" i="1"/>
  <c r="AF1588" i="1" s="1"/>
  <c r="K1588" i="1"/>
  <c r="X1588" i="1" s="1"/>
  <c r="P1631" i="1"/>
  <c r="AC1631" i="1" s="1"/>
  <c r="V1631" i="1"/>
  <c r="AI1631" i="1" s="1"/>
  <c r="N1631" i="1"/>
  <c r="AA1631" i="1" s="1"/>
  <c r="U1631" i="1"/>
  <c r="AH1631" i="1" s="1"/>
  <c r="M1631" i="1"/>
  <c r="Z1631" i="1" s="1"/>
  <c r="S1631" i="1"/>
  <c r="AF1631" i="1" s="1"/>
  <c r="K1631" i="1"/>
  <c r="X1631" i="1" s="1"/>
  <c r="Q1631" i="1"/>
  <c r="AD1631" i="1" s="1"/>
  <c r="T1631" i="1"/>
  <c r="AG1631" i="1" s="1"/>
  <c r="R1631" i="1"/>
  <c r="AE1631" i="1" s="1"/>
  <c r="L1631" i="1"/>
  <c r="Y1631" i="1" s="1"/>
  <c r="O1631" i="1"/>
  <c r="AB1631" i="1" s="1"/>
  <c r="O1432" i="1"/>
  <c r="AB1432" i="1" s="1"/>
  <c r="V1432" i="1"/>
  <c r="AI1432" i="1" s="1"/>
  <c r="N1432" i="1"/>
  <c r="AA1432" i="1" s="1"/>
  <c r="U1432" i="1"/>
  <c r="AH1432" i="1" s="1"/>
  <c r="M1432" i="1"/>
  <c r="Z1432" i="1" s="1"/>
  <c r="T1432" i="1"/>
  <c r="AG1432" i="1" s="1"/>
  <c r="L1432" i="1"/>
  <c r="Y1432" i="1" s="1"/>
  <c r="S1432" i="1"/>
  <c r="AF1432" i="1" s="1"/>
  <c r="K1432" i="1"/>
  <c r="X1432" i="1" s="1"/>
  <c r="R1432" i="1"/>
  <c r="AE1432" i="1" s="1"/>
  <c r="Q1432" i="1"/>
  <c r="AD1432" i="1" s="1"/>
  <c r="P1432" i="1"/>
  <c r="AC1432" i="1" s="1"/>
  <c r="P1486" i="1"/>
  <c r="AC1486" i="1" s="1"/>
  <c r="O1486" i="1"/>
  <c r="AB1486" i="1" s="1"/>
  <c r="V1486" i="1"/>
  <c r="AI1486" i="1" s="1"/>
  <c r="N1486" i="1"/>
  <c r="AA1486" i="1" s="1"/>
  <c r="U1486" i="1"/>
  <c r="AH1486" i="1" s="1"/>
  <c r="M1486" i="1"/>
  <c r="Z1486" i="1" s="1"/>
  <c r="T1486" i="1"/>
  <c r="AG1486" i="1" s="1"/>
  <c r="L1486" i="1"/>
  <c r="Y1486" i="1" s="1"/>
  <c r="S1486" i="1"/>
  <c r="AF1486" i="1" s="1"/>
  <c r="K1486" i="1"/>
  <c r="X1486" i="1" s="1"/>
  <c r="R1486" i="1"/>
  <c r="AE1486" i="1" s="1"/>
  <c r="Q1486" i="1"/>
  <c r="AD1486" i="1" s="1"/>
  <c r="O1398" i="1"/>
  <c r="AB1398" i="1" s="1"/>
  <c r="V1398" i="1"/>
  <c r="AI1398" i="1" s="1"/>
  <c r="N1398" i="1"/>
  <c r="AA1398" i="1" s="1"/>
  <c r="U1398" i="1"/>
  <c r="AH1398" i="1" s="1"/>
  <c r="M1398" i="1"/>
  <c r="Z1398" i="1" s="1"/>
  <c r="T1398" i="1"/>
  <c r="AG1398" i="1" s="1"/>
  <c r="L1398" i="1"/>
  <c r="Y1398" i="1" s="1"/>
  <c r="S1398" i="1"/>
  <c r="AF1398" i="1" s="1"/>
  <c r="K1398" i="1"/>
  <c r="X1398" i="1" s="1"/>
  <c r="R1398" i="1"/>
  <c r="AE1398" i="1" s="1"/>
  <c r="Q1398" i="1"/>
  <c r="AD1398" i="1" s="1"/>
  <c r="P1398" i="1"/>
  <c r="AC1398" i="1" s="1"/>
  <c r="T1465" i="1"/>
  <c r="AG1465" i="1" s="1"/>
  <c r="L1465" i="1"/>
  <c r="Y1465" i="1" s="1"/>
  <c r="S1465" i="1"/>
  <c r="AF1465" i="1" s="1"/>
  <c r="K1465" i="1"/>
  <c r="X1465" i="1" s="1"/>
  <c r="R1465" i="1"/>
  <c r="AE1465" i="1" s="1"/>
  <c r="Q1465" i="1"/>
  <c r="AD1465" i="1" s="1"/>
  <c r="P1465" i="1"/>
  <c r="AC1465" i="1" s="1"/>
  <c r="O1465" i="1"/>
  <c r="AB1465" i="1" s="1"/>
  <c r="V1465" i="1"/>
  <c r="AI1465" i="1" s="1"/>
  <c r="N1465" i="1"/>
  <c r="AA1465" i="1" s="1"/>
  <c r="U1465" i="1"/>
  <c r="AH1465" i="1" s="1"/>
  <c r="M1465" i="1"/>
  <c r="Z1465" i="1" s="1"/>
  <c r="S1401" i="1"/>
  <c r="AF1401" i="1" s="1"/>
  <c r="K1401" i="1"/>
  <c r="X1401" i="1" s="1"/>
  <c r="R1401" i="1"/>
  <c r="AE1401" i="1" s="1"/>
  <c r="Q1401" i="1"/>
  <c r="AD1401" i="1" s="1"/>
  <c r="P1401" i="1"/>
  <c r="AC1401" i="1" s="1"/>
  <c r="O1401" i="1"/>
  <c r="AB1401" i="1" s="1"/>
  <c r="V1401" i="1"/>
  <c r="AI1401" i="1" s="1"/>
  <c r="N1401" i="1"/>
  <c r="AA1401" i="1" s="1"/>
  <c r="U1401" i="1"/>
  <c r="AH1401" i="1" s="1"/>
  <c r="M1401" i="1"/>
  <c r="Z1401" i="1" s="1"/>
  <c r="T1401" i="1"/>
  <c r="AG1401" i="1" s="1"/>
  <c r="L1401" i="1"/>
  <c r="Y1401" i="1" s="1"/>
  <c r="S1310" i="1"/>
  <c r="AF1310" i="1" s="1"/>
  <c r="K1310" i="1"/>
  <c r="X1310" i="1" s="1"/>
  <c r="R1310" i="1"/>
  <c r="AE1310" i="1" s="1"/>
  <c r="Q1310" i="1"/>
  <c r="AD1310" i="1" s="1"/>
  <c r="P1310" i="1"/>
  <c r="AC1310" i="1" s="1"/>
  <c r="O1310" i="1"/>
  <c r="AB1310" i="1" s="1"/>
  <c r="V1310" i="1"/>
  <c r="AI1310" i="1" s="1"/>
  <c r="N1310" i="1"/>
  <c r="AA1310" i="1" s="1"/>
  <c r="U1310" i="1"/>
  <c r="AH1310" i="1" s="1"/>
  <c r="M1310" i="1"/>
  <c r="Z1310" i="1" s="1"/>
  <c r="T1310" i="1"/>
  <c r="AG1310" i="1" s="1"/>
  <c r="L1310" i="1"/>
  <c r="Y1310" i="1" s="1"/>
  <c r="R1274" i="1"/>
  <c r="AE1274" i="1" s="1"/>
  <c r="Q1274" i="1"/>
  <c r="AD1274" i="1" s="1"/>
  <c r="O1274" i="1"/>
  <c r="AB1274" i="1" s="1"/>
  <c r="V1274" i="1"/>
  <c r="AI1274" i="1" s="1"/>
  <c r="N1274" i="1"/>
  <c r="AA1274" i="1" s="1"/>
  <c r="U1274" i="1"/>
  <c r="AH1274" i="1" s="1"/>
  <c r="M1274" i="1"/>
  <c r="Z1274" i="1" s="1"/>
  <c r="K1274" i="1"/>
  <c r="X1274" i="1" s="1"/>
  <c r="T1274" i="1"/>
  <c r="AG1274" i="1" s="1"/>
  <c r="S1274" i="1"/>
  <c r="AF1274" i="1" s="1"/>
  <c r="P1274" i="1"/>
  <c r="AC1274" i="1" s="1"/>
  <c r="L1274" i="1"/>
  <c r="Y1274" i="1" s="1"/>
  <c r="P1001" i="1"/>
  <c r="AC1001" i="1" s="1"/>
  <c r="O1001" i="1"/>
  <c r="AB1001" i="1" s="1"/>
  <c r="V1001" i="1"/>
  <c r="AI1001" i="1" s="1"/>
  <c r="N1001" i="1"/>
  <c r="AA1001" i="1" s="1"/>
  <c r="U1001" i="1"/>
  <c r="AH1001" i="1" s="1"/>
  <c r="M1001" i="1"/>
  <c r="Z1001" i="1" s="1"/>
  <c r="T1001" i="1"/>
  <c r="AG1001" i="1" s="1"/>
  <c r="L1001" i="1"/>
  <c r="Y1001" i="1" s="1"/>
  <c r="S1001" i="1"/>
  <c r="AF1001" i="1" s="1"/>
  <c r="K1001" i="1"/>
  <c r="X1001" i="1" s="1"/>
  <c r="R1001" i="1"/>
  <c r="AE1001" i="1" s="1"/>
  <c r="Q1001" i="1"/>
  <c r="AD1001" i="1" s="1"/>
  <c r="T1012" i="1"/>
  <c r="AG1012" i="1" s="1"/>
  <c r="L1012" i="1"/>
  <c r="Y1012" i="1" s="1"/>
  <c r="S1012" i="1"/>
  <c r="AF1012" i="1" s="1"/>
  <c r="K1012" i="1"/>
  <c r="X1012" i="1" s="1"/>
  <c r="R1012" i="1"/>
  <c r="AE1012" i="1" s="1"/>
  <c r="Q1012" i="1"/>
  <c r="AD1012" i="1" s="1"/>
  <c r="P1012" i="1"/>
  <c r="AC1012" i="1" s="1"/>
  <c r="O1012" i="1"/>
  <c r="AB1012" i="1" s="1"/>
  <c r="V1012" i="1"/>
  <c r="AI1012" i="1" s="1"/>
  <c r="U1012" i="1"/>
  <c r="AH1012" i="1" s="1"/>
  <c r="N1012" i="1"/>
  <c r="AA1012" i="1" s="1"/>
  <c r="M1012" i="1"/>
  <c r="Z1012" i="1" s="1"/>
  <c r="S628" i="1"/>
  <c r="AF628" i="1" s="1"/>
  <c r="K628" i="1"/>
  <c r="X628" i="1" s="1"/>
  <c r="R628" i="1"/>
  <c r="AE628" i="1" s="1"/>
  <c r="Q628" i="1"/>
  <c r="AD628" i="1" s="1"/>
  <c r="P628" i="1"/>
  <c r="AC628" i="1" s="1"/>
  <c r="O628" i="1"/>
  <c r="AB628" i="1" s="1"/>
  <c r="V628" i="1"/>
  <c r="AI628" i="1" s="1"/>
  <c r="N628" i="1"/>
  <c r="AA628" i="1" s="1"/>
  <c r="T628" i="1"/>
  <c r="AG628" i="1" s="1"/>
  <c r="L628" i="1"/>
  <c r="Y628" i="1" s="1"/>
  <c r="U628" i="1"/>
  <c r="AH628" i="1" s="1"/>
  <c r="M628" i="1"/>
  <c r="Z628" i="1" s="1"/>
  <c r="S548" i="1"/>
  <c r="AF548" i="1" s="1"/>
  <c r="K548" i="1"/>
  <c r="X548" i="1" s="1"/>
  <c r="Q548" i="1"/>
  <c r="AD548" i="1" s="1"/>
  <c r="O548" i="1"/>
  <c r="AB548" i="1" s="1"/>
  <c r="V548" i="1"/>
  <c r="AI548" i="1" s="1"/>
  <c r="N548" i="1"/>
  <c r="AA548" i="1" s="1"/>
  <c r="T548" i="1"/>
  <c r="AG548" i="1" s="1"/>
  <c r="L548" i="1"/>
  <c r="Y548" i="1" s="1"/>
  <c r="U548" i="1"/>
  <c r="AH548" i="1" s="1"/>
  <c r="R548" i="1"/>
  <c r="AE548" i="1" s="1"/>
  <c r="P548" i="1"/>
  <c r="AC548" i="1" s="1"/>
  <c r="M548" i="1"/>
  <c r="Z548" i="1" s="1"/>
  <c r="S203" i="1"/>
  <c r="AF203" i="1" s="1"/>
  <c r="K203" i="1"/>
  <c r="X203" i="1" s="1"/>
  <c r="Q203" i="1"/>
  <c r="AD203" i="1" s="1"/>
  <c r="O203" i="1"/>
  <c r="AB203" i="1" s="1"/>
  <c r="P203" i="1"/>
  <c r="AC203" i="1" s="1"/>
  <c r="N203" i="1"/>
  <c r="AA203" i="1" s="1"/>
  <c r="M203" i="1"/>
  <c r="Z203" i="1" s="1"/>
  <c r="L203" i="1"/>
  <c r="Y203" i="1" s="1"/>
  <c r="V203" i="1"/>
  <c r="AI203" i="1" s="1"/>
  <c r="U203" i="1"/>
  <c r="AH203" i="1" s="1"/>
  <c r="R203" i="1"/>
  <c r="AE203" i="1" s="1"/>
  <c r="T203" i="1"/>
  <c r="AG203" i="1" s="1"/>
  <c r="U702" i="1"/>
  <c r="AH702" i="1" s="1"/>
  <c r="S702" i="1"/>
  <c r="AF702" i="1" s="1"/>
  <c r="Q702" i="1"/>
  <c r="AD702" i="1" s="1"/>
  <c r="P702" i="1"/>
  <c r="AC702" i="1" s="1"/>
  <c r="V702" i="1"/>
  <c r="AI702" i="1" s="1"/>
  <c r="N702" i="1"/>
  <c r="AA702" i="1" s="1"/>
  <c r="K702" i="1"/>
  <c r="X702" i="1" s="1"/>
  <c r="T702" i="1"/>
  <c r="AG702" i="1" s="1"/>
  <c r="R702" i="1"/>
  <c r="AE702" i="1" s="1"/>
  <c r="O702" i="1"/>
  <c r="AB702" i="1" s="1"/>
  <c r="L702" i="1"/>
  <c r="Y702" i="1" s="1"/>
  <c r="M702" i="1"/>
  <c r="Z702" i="1" s="1"/>
  <c r="R497" i="1"/>
  <c r="AE497" i="1" s="1"/>
  <c r="P497" i="1"/>
  <c r="AC497" i="1" s="1"/>
  <c r="O497" i="1"/>
  <c r="AB497" i="1" s="1"/>
  <c r="V497" i="1"/>
  <c r="AI497" i="1" s="1"/>
  <c r="N497" i="1"/>
  <c r="AA497" i="1" s="1"/>
  <c r="U497" i="1"/>
  <c r="AH497" i="1" s="1"/>
  <c r="M497" i="1"/>
  <c r="Z497" i="1" s="1"/>
  <c r="S497" i="1"/>
  <c r="AF497" i="1" s="1"/>
  <c r="K497" i="1"/>
  <c r="X497" i="1" s="1"/>
  <c r="Q497" i="1"/>
  <c r="AD497" i="1" s="1"/>
  <c r="L497" i="1"/>
  <c r="Y497" i="1" s="1"/>
  <c r="T497" i="1"/>
  <c r="AG497" i="1" s="1"/>
  <c r="V36" i="1"/>
  <c r="AI36" i="1" s="1"/>
  <c r="N36" i="1"/>
  <c r="AA36" i="1" s="1"/>
  <c r="U36" i="1"/>
  <c r="AH36" i="1" s="1"/>
  <c r="M36" i="1"/>
  <c r="Z36" i="1" s="1"/>
  <c r="T36" i="1"/>
  <c r="AG36" i="1" s="1"/>
  <c r="L36" i="1"/>
  <c r="Y36" i="1" s="1"/>
  <c r="S36" i="1"/>
  <c r="AF36" i="1" s="1"/>
  <c r="K36" i="1"/>
  <c r="X36" i="1" s="1"/>
  <c r="R36" i="1"/>
  <c r="AE36" i="1" s="1"/>
  <c r="Q36" i="1"/>
  <c r="AD36" i="1" s="1"/>
  <c r="O36" i="1"/>
  <c r="AB36" i="1" s="1"/>
  <c r="P36" i="1"/>
  <c r="AC36" i="1" s="1"/>
  <c r="V1378" i="1"/>
  <c r="AI1378" i="1" s="1"/>
  <c r="N1378" i="1"/>
  <c r="AA1378" i="1" s="1"/>
  <c r="U1378" i="1"/>
  <c r="AH1378" i="1" s="1"/>
  <c r="M1378" i="1"/>
  <c r="Z1378" i="1" s="1"/>
  <c r="T1378" i="1"/>
  <c r="AG1378" i="1" s="1"/>
  <c r="S1378" i="1"/>
  <c r="AF1378" i="1" s="1"/>
  <c r="K1378" i="1"/>
  <c r="X1378" i="1" s="1"/>
  <c r="R1378" i="1"/>
  <c r="AE1378" i="1" s="1"/>
  <c r="Q1378" i="1"/>
  <c r="AD1378" i="1" s="1"/>
  <c r="O1378" i="1"/>
  <c r="AB1378" i="1" s="1"/>
  <c r="L1378" i="1"/>
  <c r="Y1378" i="1" s="1"/>
  <c r="P1378" i="1"/>
  <c r="AC1378" i="1" s="1"/>
  <c r="V1356" i="1"/>
  <c r="AI1356" i="1" s="1"/>
  <c r="N1356" i="1"/>
  <c r="AA1356" i="1" s="1"/>
  <c r="U1356" i="1"/>
  <c r="AH1356" i="1" s="1"/>
  <c r="M1356" i="1"/>
  <c r="Z1356" i="1" s="1"/>
  <c r="S1356" i="1"/>
  <c r="AF1356" i="1" s="1"/>
  <c r="K1356" i="1"/>
  <c r="X1356" i="1" s="1"/>
  <c r="R1356" i="1"/>
  <c r="AE1356" i="1" s="1"/>
  <c r="Q1356" i="1"/>
  <c r="AD1356" i="1" s="1"/>
  <c r="T1356" i="1"/>
  <c r="AG1356" i="1" s="1"/>
  <c r="P1356" i="1"/>
  <c r="AC1356" i="1" s="1"/>
  <c r="O1356" i="1"/>
  <c r="AB1356" i="1" s="1"/>
  <c r="L1356" i="1"/>
  <c r="Y1356" i="1" s="1"/>
  <c r="U935" i="1"/>
  <c r="AH935" i="1" s="1"/>
  <c r="M935" i="1"/>
  <c r="Z935" i="1" s="1"/>
  <c r="R935" i="1"/>
  <c r="AE935" i="1" s="1"/>
  <c r="P935" i="1"/>
  <c r="AC935" i="1" s="1"/>
  <c r="Q935" i="1"/>
  <c r="AD935" i="1" s="1"/>
  <c r="O935" i="1"/>
  <c r="AB935" i="1" s="1"/>
  <c r="N935" i="1"/>
  <c r="AA935" i="1" s="1"/>
  <c r="L935" i="1"/>
  <c r="Y935" i="1" s="1"/>
  <c r="K935" i="1"/>
  <c r="X935" i="1" s="1"/>
  <c r="V935" i="1"/>
  <c r="AI935" i="1" s="1"/>
  <c r="S935" i="1"/>
  <c r="AF935" i="1" s="1"/>
  <c r="T935" i="1"/>
  <c r="AG935" i="1" s="1"/>
  <c r="O673" i="1"/>
  <c r="AB673" i="1" s="1"/>
  <c r="V673" i="1"/>
  <c r="AI673" i="1" s="1"/>
  <c r="N673" i="1"/>
  <c r="AA673" i="1" s="1"/>
  <c r="U673" i="1"/>
  <c r="AH673" i="1" s="1"/>
  <c r="M673" i="1"/>
  <c r="Z673" i="1" s="1"/>
  <c r="T673" i="1"/>
  <c r="AG673" i="1" s="1"/>
  <c r="L673" i="1"/>
  <c r="Y673" i="1" s="1"/>
  <c r="S673" i="1"/>
  <c r="AF673" i="1" s="1"/>
  <c r="K673" i="1"/>
  <c r="X673" i="1" s="1"/>
  <c r="R673" i="1"/>
  <c r="AE673" i="1" s="1"/>
  <c r="P673" i="1"/>
  <c r="AC673" i="1" s="1"/>
  <c r="Q673" i="1"/>
  <c r="AD673" i="1" s="1"/>
  <c r="O653" i="1"/>
  <c r="AB653" i="1" s="1"/>
  <c r="V653" i="1"/>
  <c r="AI653" i="1" s="1"/>
  <c r="N653" i="1"/>
  <c r="AA653" i="1" s="1"/>
  <c r="U653" i="1"/>
  <c r="AH653" i="1" s="1"/>
  <c r="M653" i="1"/>
  <c r="Z653" i="1" s="1"/>
  <c r="T653" i="1"/>
  <c r="AG653" i="1" s="1"/>
  <c r="L653" i="1"/>
  <c r="Y653" i="1" s="1"/>
  <c r="S653" i="1"/>
  <c r="AF653" i="1" s="1"/>
  <c r="K653" i="1"/>
  <c r="X653" i="1" s="1"/>
  <c r="R653" i="1"/>
  <c r="AE653" i="1" s="1"/>
  <c r="P653" i="1"/>
  <c r="AC653" i="1" s="1"/>
  <c r="Q653" i="1"/>
  <c r="AD653" i="1" s="1"/>
  <c r="O645" i="1"/>
  <c r="AB645" i="1" s="1"/>
  <c r="V645" i="1"/>
  <c r="AI645" i="1" s="1"/>
  <c r="N645" i="1"/>
  <c r="AA645" i="1" s="1"/>
  <c r="U645" i="1"/>
  <c r="AH645" i="1" s="1"/>
  <c r="M645" i="1"/>
  <c r="Z645" i="1" s="1"/>
  <c r="T645" i="1"/>
  <c r="AG645" i="1" s="1"/>
  <c r="L645" i="1"/>
  <c r="Y645" i="1" s="1"/>
  <c r="S645" i="1"/>
  <c r="AF645" i="1" s="1"/>
  <c r="K645" i="1"/>
  <c r="X645" i="1" s="1"/>
  <c r="R645" i="1"/>
  <c r="AE645" i="1" s="1"/>
  <c r="P645" i="1"/>
  <c r="AC645" i="1" s="1"/>
  <c r="Q645" i="1"/>
  <c r="AD645" i="1" s="1"/>
  <c r="R421" i="1"/>
  <c r="AE421" i="1" s="1"/>
  <c r="P421" i="1"/>
  <c r="AC421" i="1" s="1"/>
  <c r="O421" i="1"/>
  <c r="AB421" i="1" s="1"/>
  <c r="V421" i="1"/>
  <c r="AI421" i="1" s="1"/>
  <c r="N421" i="1"/>
  <c r="AA421" i="1" s="1"/>
  <c r="U421" i="1"/>
  <c r="AH421" i="1" s="1"/>
  <c r="M421" i="1"/>
  <c r="Z421" i="1" s="1"/>
  <c r="S421" i="1"/>
  <c r="AF421" i="1" s="1"/>
  <c r="K421" i="1"/>
  <c r="X421" i="1" s="1"/>
  <c r="T421" i="1"/>
  <c r="AG421" i="1" s="1"/>
  <c r="Q421" i="1"/>
  <c r="AD421" i="1" s="1"/>
  <c r="L421" i="1"/>
  <c r="Y421" i="1" s="1"/>
  <c r="V482" i="1"/>
  <c r="AI482" i="1" s="1"/>
  <c r="N482" i="1"/>
  <c r="AA482" i="1" s="1"/>
  <c r="T482" i="1"/>
  <c r="AG482" i="1" s="1"/>
  <c r="L482" i="1"/>
  <c r="Y482" i="1" s="1"/>
  <c r="S482" i="1"/>
  <c r="AF482" i="1" s="1"/>
  <c r="K482" i="1"/>
  <c r="X482" i="1" s="1"/>
  <c r="R482" i="1"/>
  <c r="AE482" i="1" s="1"/>
  <c r="Q482" i="1"/>
  <c r="AD482" i="1" s="1"/>
  <c r="O482" i="1"/>
  <c r="AB482" i="1" s="1"/>
  <c r="U482" i="1"/>
  <c r="AH482" i="1" s="1"/>
  <c r="P482" i="1"/>
  <c r="AC482" i="1" s="1"/>
  <c r="M482" i="1"/>
  <c r="Z482" i="1" s="1"/>
  <c r="O619" i="1"/>
  <c r="AB619" i="1" s="1"/>
  <c r="V619" i="1"/>
  <c r="AI619" i="1" s="1"/>
  <c r="N619" i="1"/>
  <c r="AA619" i="1" s="1"/>
  <c r="U619" i="1"/>
  <c r="AH619" i="1" s="1"/>
  <c r="M619" i="1"/>
  <c r="Z619" i="1" s="1"/>
  <c r="T619" i="1"/>
  <c r="AG619" i="1" s="1"/>
  <c r="L619" i="1"/>
  <c r="Y619" i="1" s="1"/>
  <c r="S619" i="1"/>
  <c r="AF619" i="1" s="1"/>
  <c r="K619" i="1"/>
  <c r="X619" i="1" s="1"/>
  <c r="R619" i="1"/>
  <c r="AE619" i="1" s="1"/>
  <c r="P619" i="1"/>
  <c r="AC619" i="1" s="1"/>
  <c r="Q619" i="1"/>
  <c r="AD619" i="1" s="1"/>
  <c r="V319" i="1"/>
  <c r="AI319" i="1" s="1"/>
  <c r="N319" i="1"/>
  <c r="AA319" i="1" s="1"/>
  <c r="U319" i="1"/>
  <c r="AH319" i="1" s="1"/>
  <c r="M319" i="1"/>
  <c r="Z319" i="1" s="1"/>
  <c r="T319" i="1"/>
  <c r="AG319" i="1" s="1"/>
  <c r="L319" i="1"/>
  <c r="Y319" i="1" s="1"/>
  <c r="S319" i="1"/>
  <c r="AF319" i="1" s="1"/>
  <c r="K319" i="1"/>
  <c r="X319" i="1" s="1"/>
  <c r="R319" i="1"/>
  <c r="AE319" i="1" s="1"/>
  <c r="Q319" i="1"/>
  <c r="AD319" i="1" s="1"/>
  <c r="O319" i="1"/>
  <c r="AB319" i="1" s="1"/>
  <c r="P319" i="1"/>
  <c r="AC319" i="1" s="1"/>
  <c r="V299" i="1"/>
  <c r="AI299" i="1" s="1"/>
  <c r="N299" i="1"/>
  <c r="AA299" i="1" s="1"/>
  <c r="U299" i="1"/>
  <c r="AH299" i="1" s="1"/>
  <c r="M299" i="1"/>
  <c r="Z299" i="1" s="1"/>
  <c r="T299" i="1"/>
  <c r="AG299" i="1" s="1"/>
  <c r="L299" i="1"/>
  <c r="Y299" i="1" s="1"/>
  <c r="S299" i="1"/>
  <c r="AF299" i="1" s="1"/>
  <c r="K299" i="1"/>
  <c r="X299" i="1" s="1"/>
  <c r="R299" i="1"/>
  <c r="AE299" i="1" s="1"/>
  <c r="Q299" i="1"/>
  <c r="AD299" i="1" s="1"/>
  <c r="O299" i="1"/>
  <c r="AB299" i="1" s="1"/>
  <c r="P299" i="1"/>
  <c r="AC299" i="1" s="1"/>
  <c r="V275" i="1"/>
  <c r="AI275" i="1" s="1"/>
  <c r="N275" i="1"/>
  <c r="AA275" i="1" s="1"/>
  <c r="U275" i="1"/>
  <c r="AH275" i="1" s="1"/>
  <c r="M275" i="1"/>
  <c r="Z275" i="1" s="1"/>
  <c r="T275" i="1"/>
  <c r="AG275" i="1" s="1"/>
  <c r="L275" i="1"/>
  <c r="Y275" i="1" s="1"/>
  <c r="S275" i="1"/>
  <c r="AF275" i="1" s="1"/>
  <c r="K275" i="1"/>
  <c r="X275" i="1" s="1"/>
  <c r="R275" i="1"/>
  <c r="AE275" i="1" s="1"/>
  <c r="Q275" i="1"/>
  <c r="AD275" i="1" s="1"/>
  <c r="O275" i="1"/>
  <c r="AB275" i="1" s="1"/>
  <c r="P275" i="1"/>
  <c r="AC275" i="1" s="1"/>
  <c r="V60" i="1"/>
  <c r="AI60" i="1" s="1"/>
  <c r="N60" i="1"/>
  <c r="AA60" i="1" s="1"/>
  <c r="U60" i="1"/>
  <c r="AH60" i="1" s="1"/>
  <c r="M60" i="1"/>
  <c r="Z60" i="1" s="1"/>
  <c r="T60" i="1"/>
  <c r="AG60" i="1" s="1"/>
  <c r="L60" i="1"/>
  <c r="Y60" i="1" s="1"/>
  <c r="S60" i="1"/>
  <c r="AF60" i="1" s="1"/>
  <c r="K60" i="1"/>
  <c r="X60" i="1" s="1"/>
  <c r="R60" i="1"/>
  <c r="AE60" i="1" s="1"/>
  <c r="Q60" i="1"/>
  <c r="AD60" i="1" s="1"/>
  <c r="O60" i="1"/>
  <c r="AB60" i="1" s="1"/>
  <c r="P60" i="1"/>
  <c r="AC60" i="1" s="1"/>
  <c r="R29" i="1"/>
  <c r="AE29" i="1" s="1"/>
  <c r="Q29" i="1"/>
  <c r="AD29" i="1" s="1"/>
  <c r="P29" i="1"/>
  <c r="AC29" i="1" s="1"/>
  <c r="O29" i="1"/>
  <c r="AB29" i="1" s="1"/>
  <c r="V29" i="1"/>
  <c r="AI29" i="1" s="1"/>
  <c r="U29" i="1"/>
  <c r="AH29" i="1" s="1"/>
  <c r="M29" i="1"/>
  <c r="Z29" i="1" s="1"/>
  <c r="S29" i="1"/>
  <c r="AF29" i="1" s="1"/>
  <c r="K29" i="1"/>
  <c r="X29" i="1" s="1"/>
  <c r="N29" i="1"/>
  <c r="AA29" i="1" s="1"/>
  <c r="T29" i="1"/>
  <c r="AG29" i="1" s="1"/>
  <c r="L29" i="1"/>
  <c r="Y29" i="1" s="1"/>
  <c r="R429" i="1"/>
  <c r="AE429" i="1" s="1"/>
  <c r="P429" i="1"/>
  <c r="AC429" i="1" s="1"/>
  <c r="O429" i="1"/>
  <c r="AB429" i="1" s="1"/>
  <c r="V429" i="1"/>
  <c r="AI429" i="1" s="1"/>
  <c r="N429" i="1"/>
  <c r="AA429" i="1" s="1"/>
  <c r="U429" i="1"/>
  <c r="AH429" i="1" s="1"/>
  <c r="M429" i="1"/>
  <c r="Z429" i="1" s="1"/>
  <c r="S429" i="1"/>
  <c r="AF429" i="1" s="1"/>
  <c r="K429" i="1"/>
  <c r="X429" i="1" s="1"/>
  <c r="T429" i="1"/>
  <c r="AG429" i="1" s="1"/>
  <c r="Q429" i="1"/>
  <c r="AD429" i="1" s="1"/>
  <c r="L429" i="1"/>
  <c r="Y429" i="1" s="1"/>
  <c r="U800" i="1"/>
  <c r="AH800" i="1" s="1"/>
  <c r="M800" i="1"/>
  <c r="Z800" i="1" s="1"/>
  <c r="T800" i="1"/>
  <c r="AG800" i="1" s="1"/>
  <c r="L800" i="1"/>
  <c r="Y800" i="1" s="1"/>
  <c r="S800" i="1"/>
  <c r="AF800" i="1" s="1"/>
  <c r="K800" i="1"/>
  <c r="X800" i="1" s="1"/>
  <c r="R800" i="1"/>
  <c r="AE800" i="1" s="1"/>
  <c r="Q800" i="1"/>
  <c r="AD800" i="1" s="1"/>
  <c r="P800" i="1"/>
  <c r="AC800" i="1" s="1"/>
  <c r="V800" i="1"/>
  <c r="AI800" i="1" s="1"/>
  <c r="N800" i="1"/>
  <c r="AA800" i="1" s="1"/>
  <c r="O800" i="1"/>
  <c r="AB800" i="1" s="1"/>
  <c r="R1698" i="1"/>
  <c r="AE1698" i="1" s="1"/>
  <c r="Q1698" i="1"/>
  <c r="AD1698" i="1" s="1"/>
  <c r="P1698" i="1"/>
  <c r="AC1698" i="1" s="1"/>
  <c r="O1698" i="1"/>
  <c r="AB1698" i="1" s="1"/>
  <c r="V1698" i="1"/>
  <c r="AI1698" i="1" s="1"/>
  <c r="N1698" i="1"/>
  <c r="AA1698" i="1" s="1"/>
  <c r="U1698" i="1"/>
  <c r="AH1698" i="1" s="1"/>
  <c r="M1698" i="1"/>
  <c r="Z1698" i="1" s="1"/>
  <c r="T1698" i="1"/>
  <c r="AG1698" i="1" s="1"/>
  <c r="L1698" i="1"/>
  <c r="Y1698" i="1" s="1"/>
  <c r="S1698" i="1"/>
  <c r="AF1698" i="1" s="1"/>
  <c r="K1698" i="1"/>
  <c r="X1698" i="1" s="1"/>
  <c r="P1625" i="1"/>
  <c r="AC1625" i="1" s="1"/>
  <c r="V1625" i="1"/>
  <c r="AI1625" i="1" s="1"/>
  <c r="N1625" i="1"/>
  <c r="AA1625" i="1" s="1"/>
  <c r="U1625" i="1"/>
  <c r="AH1625" i="1" s="1"/>
  <c r="M1625" i="1"/>
  <c r="Z1625" i="1" s="1"/>
  <c r="S1625" i="1"/>
  <c r="AF1625" i="1" s="1"/>
  <c r="K1625" i="1"/>
  <c r="X1625" i="1" s="1"/>
  <c r="Q1625" i="1"/>
  <c r="AD1625" i="1" s="1"/>
  <c r="R1625" i="1"/>
  <c r="AE1625" i="1" s="1"/>
  <c r="O1625" i="1"/>
  <c r="AB1625" i="1" s="1"/>
  <c r="L1625" i="1"/>
  <c r="Y1625" i="1" s="1"/>
  <c r="T1625" i="1"/>
  <c r="AG1625" i="1" s="1"/>
  <c r="Q1676" i="1"/>
  <c r="AD1676" i="1" s="1"/>
  <c r="P1676" i="1"/>
  <c r="AC1676" i="1" s="1"/>
  <c r="O1676" i="1"/>
  <c r="AB1676" i="1" s="1"/>
  <c r="V1676" i="1"/>
  <c r="AI1676" i="1" s="1"/>
  <c r="N1676" i="1"/>
  <c r="AA1676" i="1" s="1"/>
  <c r="U1676" i="1"/>
  <c r="AH1676" i="1" s="1"/>
  <c r="M1676" i="1"/>
  <c r="Z1676" i="1" s="1"/>
  <c r="T1676" i="1"/>
  <c r="AG1676" i="1" s="1"/>
  <c r="L1676" i="1"/>
  <c r="Y1676" i="1" s="1"/>
  <c r="S1676" i="1"/>
  <c r="AF1676" i="1" s="1"/>
  <c r="R1676" i="1"/>
  <c r="AE1676" i="1" s="1"/>
  <c r="K1676" i="1"/>
  <c r="X1676" i="1" s="1"/>
  <c r="Q1578" i="1"/>
  <c r="AD1578" i="1" s="1"/>
  <c r="P1578" i="1"/>
  <c r="AC1578" i="1" s="1"/>
  <c r="O1578" i="1"/>
  <c r="AB1578" i="1" s="1"/>
  <c r="V1578" i="1"/>
  <c r="AI1578" i="1" s="1"/>
  <c r="N1578" i="1"/>
  <c r="AA1578" i="1" s="1"/>
  <c r="U1578" i="1"/>
  <c r="AH1578" i="1" s="1"/>
  <c r="M1578" i="1"/>
  <c r="Z1578" i="1" s="1"/>
  <c r="T1578" i="1"/>
  <c r="AG1578" i="1" s="1"/>
  <c r="L1578" i="1"/>
  <c r="Y1578" i="1" s="1"/>
  <c r="R1578" i="1"/>
  <c r="AE1578" i="1" s="1"/>
  <c r="S1578" i="1"/>
  <c r="AF1578" i="1" s="1"/>
  <c r="K1578" i="1"/>
  <c r="X1578" i="1" s="1"/>
  <c r="U1591" i="1"/>
  <c r="AH1591" i="1" s="1"/>
  <c r="M1591" i="1"/>
  <c r="Z1591" i="1" s="1"/>
  <c r="T1591" i="1"/>
  <c r="AG1591" i="1" s="1"/>
  <c r="L1591" i="1"/>
  <c r="Y1591" i="1" s="1"/>
  <c r="S1591" i="1"/>
  <c r="AF1591" i="1" s="1"/>
  <c r="K1591" i="1"/>
  <c r="X1591" i="1" s="1"/>
  <c r="R1591" i="1"/>
  <c r="AE1591" i="1" s="1"/>
  <c r="Q1591" i="1"/>
  <c r="AD1591" i="1" s="1"/>
  <c r="P1591" i="1"/>
  <c r="AC1591" i="1" s="1"/>
  <c r="V1591" i="1"/>
  <c r="AI1591" i="1" s="1"/>
  <c r="N1591" i="1"/>
  <c r="AA1591" i="1" s="1"/>
  <c r="O1591" i="1"/>
  <c r="AB1591" i="1" s="1"/>
  <c r="T1475" i="1"/>
  <c r="AG1475" i="1" s="1"/>
  <c r="L1475" i="1"/>
  <c r="Y1475" i="1" s="1"/>
  <c r="S1475" i="1"/>
  <c r="AF1475" i="1" s="1"/>
  <c r="K1475" i="1"/>
  <c r="X1475" i="1" s="1"/>
  <c r="R1475" i="1"/>
  <c r="AE1475" i="1" s="1"/>
  <c r="Q1475" i="1"/>
  <c r="AD1475" i="1" s="1"/>
  <c r="P1475" i="1"/>
  <c r="AC1475" i="1" s="1"/>
  <c r="O1475" i="1"/>
  <c r="AB1475" i="1" s="1"/>
  <c r="V1475" i="1"/>
  <c r="AI1475" i="1" s="1"/>
  <c r="N1475" i="1"/>
  <c r="AA1475" i="1" s="1"/>
  <c r="U1475" i="1"/>
  <c r="AH1475" i="1" s="1"/>
  <c r="M1475" i="1"/>
  <c r="Z1475" i="1" s="1"/>
  <c r="S1407" i="1"/>
  <c r="AF1407" i="1" s="1"/>
  <c r="K1407" i="1"/>
  <c r="X1407" i="1" s="1"/>
  <c r="R1407" i="1"/>
  <c r="AE1407" i="1" s="1"/>
  <c r="Q1407" i="1"/>
  <c r="AD1407" i="1" s="1"/>
  <c r="P1407" i="1"/>
  <c r="AC1407" i="1" s="1"/>
  <c r="O1407" i="1"/>
  <c r="AB1407" i="1" s="1"/>
  <c r="V1407" i="1"/>
  <c r="AI1407" i="1" s="1"/>
  <c r="N1407" i="1"/>
  <c r="AA1407" i="1" s="1"/>
  <c r="U1407" i="1"/>
  <c r="AH1407" i="1" s="1"/>
  <c r="M1407" i="1"/>
  <c r="Z1407" i="1" s="1"/>
  <c r="T1407" i="1"/>
  <c r="AG1407" i="1" s="1"/>
  <c r="L1407" i="1"/>
  <c r="Y1407" i="1" s="1"/>
  <c r="O1396" i="1"/>
  <c r="AB1396" i="1" s="1"/>
  <c r="V1396" i="1"/>
  <c r="AI1396" i="1" s="1"/>
  <c r="N1396" i="1"/>
  <c r="AA1396" i="1" s="1"/>
  <c r="U1396" i="1"/>
  <c r="AH1396" i="1" s="1"/>
  <c r="M1396" i="1"/>
  <c r="Z1396" i="1" s="1"/>
  <c r="T1396" i="1"/>
  <c r="AG1396" i="1" s="1"/>
  <c r="L1396" i="1"/>
  <c r="Y1396" i="1" s="1"/>
  <c r="S1396" i="1"/>
  <c r="AF1396" i="1" s="1"/>
  <c r="K1396" i="1"/>
  <c r="X1396" i="1" s="1"/>
  <c r="R1396" i="1"/>
  <c r="AE1396" i="1" s="1"/>
  <c r="Q1396" i="1"/>
  <c r="AD1396" i="1" s="1"/>
  <c r="P1396" i="1"/>
  <c r="AC1396" i="1" s="1"/>
  <c r="P1480" i="1"/>
  <c r="AC1480" i="1" s="1"/>
  <c r="O1480" i="1"/>
  <c r="AB1480" i="1" s="1"/>
  <c r="V1480" i="1"/>
  <c r="AI1480" i="1" s="1"/>
  <c r="N1480" i="1"/>
  <c r="AA1480" i="1" s="1"/>
  <c r="U1480" i="1"/>
  <c r="AH1480" i="1" s="1"/>
  <c r="M1480" i="1"/>
  <c r="Z1480" i="1" s="1"/>
  <c r="T1480" i="1"/>
  <c r="AG1480" i="1" s="1"/>
  <c r="L1480" i="1"/>
  <c r="Y1480" i="1" s="1"/>
  <c r="S1480" i="1"/>
  <c r="AF1480" i="1" s="1"/>
  <c r="K1480" i="1"/>
  <c r="X1480" i="1" s="1"/>
  <c r="R1480" i="1"/>
  <c r="AE1480" i="1" s="1"/>
  <c r="Q1480" i="1"/>
  <c r="AD1480" i="1" s="1"/>
  <c r="T998" i="1"/>
  <c r="AG998" i="1" s="1"/>
  <c r="L998" i="1"/>
  <c r="Y998" i="1" s="1"/>
  <c r="S998" i="1"/>
  <c r="AF998" i="1" s="1"/>
  <c r="K998" i="1"/>
  <c r="X998" i="1" s="1"/>
  <c r="R998" i="1"/>
  <c r="AE998" i="1" s="1"/>
  <c r="Q998" i="1"/>
  <c r="AD998" i="1" s="1"/>
  <c r="P998" i="1"/>
  <c r="AC998" i="1" s="1"/>
  <c r="O998" i="1"/>
  <c r="AB998" i="1" s="1"/>
  <c r="M998" i="1"/>
  <c r="Z998" i="1" s="1"/>
  <c r="V998" i="1"/>
  <c r="AI998" i="1" s="1"/>
  <c r="N998" i="1"/>
  <c r="AA998" i="1" s="1"/>
  <c r="U998" i="1"/>
  <c r="AH998" i="1" s="1"/>
  <c r="R264" i="1"/>
  <c r="AE264" i="1" s="1"/>
  <c r="Q264" i="1"/>
  <c r="AD264" i="1" s="1"/>
  <c r="P264" i="1"/>
  <c r="AC264" i="1" s="1"/>
  <c r="O264" i="1"/>
  <c r="AB264" i="1" s="1"/>
  <c r="V264" i="1"/>
  <c r="AI264" i="1" s="1"/>
  <c r="N264" i="1"/>
  <c r="AA264" i="1" s="1"/>
  <c r="U264" i="1"/>
  <c r="AH264" i="1" s="1"/>
  <c r="M264" i="1"/>
  <c r="Z264" i="1" s="1"/>
  <c r="S264" i="1"/>
  <c r="AF264" i="1" s="1"/>
  <c r="K264" i="1"/>
  <c r="X264" i="1" s="1"/>
  <c r="T264" i="1"/>
  <c r="AG264" i="1" s="1"/>
  <c r="L264" i="1"/>
  <c r="Y264" i="1" s="1"/>
  <c r="V1259" i="1"/>
  <c r="AI1259" i="1" s="1"/>
  <c r="N1259" i="1"/>
  <c r="AA1259" i="1" s="1"/>
  <c r="U1259" i="1"/>
  <c r="AH1259" i="1" s="1"/>
  <c r="M1259" i="1"/>
  <c r="Z1259" i="1" s="1"/>
  <c r="S1259" i="1"/>
  <c r="AF1259" i="1" s="1"/>
  <c r="K1259" i="1"/>
  <c r="X1259" i="1" s="1"/>
  <c r="R1259" i="1"/>
  <c r="AE1259" i="1" s="1"/>
  <c r="Q1259" i="1"/>
  <c r="AD1259" i="1" s="1"/>
  <c r="T1259" i="1"/>
  <c r="AG1259" i="1" s="1"/>
  <c r="P1259" i="1"/>
  <c r="AC1259" i="1" s="1"/>
  <c r="O1259" i="1"/>
  <c r="AB1259" i="1" s="1"/>
  <c r="L1259" i="1"/>
  <c r="Y1259" i="1" s="1"/>
  <c r="P1011" i="1"/>
  <c r="AC1011" i="1" s="1"/>
  <c r="O1011" i="1"/>
  <c r="AB1011" i="1" s="1"/>
  <c r="V1011" i="1"/>
  <c r="AI1011" i="1" s="1"/>
  <c r="N1011" i="1"/>
  <c r="AA1011" i="1" s="1"/>
  <c r="U1011" i="1"/>
  <c r="AH1011" i="1" s="1"/>
  <c r="M1011" i="1"/>
  <c r="Z1011" i="1" s="1"/>
  <c r="T1011" i="1"/>
  <c r="AG1011" i="1" s="1"/>
  <c r="L1011" i="1"/>
  <c r="Y1011" i="1" s="1"/>
  <c r="S1011" i="1"/>
  <c r="AF1011" i="1" s="1"/>
  <c r="K1011" i="1"/>
  <c r="X1011" i="1" s="1"/>
  <c r="Q1011" i="1"/>
  <c r="AD1011" i="1" s="1"/>
  <c r="R1011" i="1"/>
  <c r="AE1011" i="1" s="1"/>
  <c r="O683" i="1"/>
  <c r="AB683" i="1" s="1"/>
  <c r="V683" i="1"/>
  <c r="AI683" i="1" s="1"/>
  <c r="N683" i="1"/>
  <c r="AA683" i="1" s="1"/>
  <c r="U683" i="1"/>
  <c r="AH683" i="1" s="1"/>
  <c r="M683" i="1"/>
  <c r="Z683" i="1" s="1"/>
  <c r="T683" i="1"/>
  <c r="AG683" i="1" s="1"/>
  <c r="L683" i="1"/>
  <c r="Y683" i="1" s="1"/>
  <c r="S683" i="1"/>
  <c r="AF683" i="1" s="1"/>
  <c r="K683" i="1"/>
  <c r="X683" i="1" s="1"/>
  <c r="R683" i="1"/>
  <c r="AE683" i="1" s="1"/>
  <c r="P683" i="1"/>
  <c r="AC683" i="1" s="1"/>
  <c r="Q683" i="1"/>
  <c r="AD683" i="1" s="1"/>
  <c r="U858" i="1"/>
  <c r="AH858" i="1" s="1"/>
  <c r="M858" i="1"/>
  <c r="Z858" i="1" s="1"/>
  <c r="T858" i="1"/>
  <c r="AG858" i="1" s="1"/>
  <c r="L858" i="1"/>
  <c r="Y858" i="1" s="1"/>
  <c r="S858" i="1"/>
  <c r="AF858" i="1" s="1"/>
  <c r="K858" i="1"/>
  <c r="X858" i="1" s="1"/>
  <c r="R858" i="1"/>
  <c r="AE858" i="1" s="1"/>
  <c r="Q858" i="1"/>
  <c r="AD858" i="1" s="1"/>
  <c r="P858" i="1"/>
  <c r="AC858" i="1" s="1"/>
  <c r="V858" i="1"/>
  <c r="AI858" i="1" s="1"/>
  <c r="N858" i="1"/>
  <c r="AA858" i="1" s="1"/>
  <c r="O858" i="1"/>
  <c r="AB858" i="1" s="1"/>
  <c r="V386" i="1"/>
  <c r="AI386" i="1" s="1"/>
  <c r="N386" i="1"/>
  <c r="AA386" i="1" s="1"/>
  <c r="T386" i="1"/>
  <c r="AG386" i="1" s="1"/>
  <c r="L386" i="1"/>
  <c r="Y386" i="1" s="1"/>
  <c r="R386" i="1"/>
  <c r="AE386" i="1" s="1"/>
  <c r="Q386" i="1"/>
  <c r="AD386" i="1" s="1"/>
  <c r="O386" i="1"/>
  <c r="AB386" i="1" s="1"/>
  <c r="U386" i="1"/>
  <c r="AH386" i="1" s="1"/>
  <c r="S386" i="1"/>
  <c r="AF386" i="1" s="1"/>
  <c r="P386" i="1"/>
  <c r="AC386" i="1" s="1"/>
  <c r="M386" i="1"/>
  <c r="Z386" i="1" s="1"/>
  <c r="K386" i="1"/>
  <c r="X386" i="1" s="1"/>
  <c r="P1122" i="1"/>
  <c r="AC1122" i="1" s="1"/>
  <c r="O1122" i="1"/>
  <c r="AB1122" i="1" s="1"/>
  <c r="V1122" i="1"/>
  <c r="AI1122" i="1" s="1"/>
  <c r="N1122" i="1"/>
  <c r="AA1122" i="1" s="1"/>
  <c r="U1122" i="1"/>
  <c r="AH1122" i="1" s="1"/>
  <c r="M1122" i="1"/>
  <c r="Z1122" i="1" s="1"/>
  <c r="T1122" i="1"/>
  <c r="AG1122" i="1" s="1"/>
  <c r="L1122" i="1"/>
  <c r="Y1122" i="1" s="1"/>
  <c r="S1122" i="1"/>
  <c r="AF1122" i="1" s="1"/>
  <c r="K1122" i="1"/>
  <c r="X1122" i="1" s="1"/>
  <c r="R1122" i="1"/>
  <c r="AE1122" i="1" s="1"/>
  <c r="Q1122" i="1"/>
  <c r="AD1122" i="1" s="1"/>
  <c r="V488" i="1"/>
  <c r="AI488" i="1" s="1"/>
  <c r="N488" i="1"/>
  <c r="AA488" i="1" s="1"/>
  <c r="T488" i="1"/>
  <c r="AG488" i="1" s="1"/>
  <c r="L488" i="1"/>
  <c r="Y488" i="1" s="1"/>
  <c r="S488" i="1"/>
  <c r="AF488" i="1" s="1"/>
  <c r="K488" i="1"/>
  <c r="X488" i="1" s="1"/>
  <c r="R488" i="1"/>
  <c r="AE488" i="1" s="1"/>
  <c r="Q488" i="1"/>
  <c r="AD488" i="1" s="1"/>
  <c r="O488" i="1"/>
  <c r="AB488" i="1" s="1"/>
  <c r="U488" i="1"/>
  <c r="AH488" i="1" s="1"/>
  <c r="P488" i="1"/>
  <c r="AC488" i="1" s="1"/>
  <c r="M488" i="1"/>
  <c r="Z488" i="1" s="1"/>
  <c r="R282" i="1"/>
  <c r="AE282" i="1" s="1"/>
  <c r="Q282" i="1"/>
  <c r="AD282" i="1" s="1"/>
  <c r="P282" i="1"/>
  <c r="AC282" i="1" s="1"/>
  <c r="O282" i="1"/>
  <c r="AB282" i="1" s="1"/>
  <c r="V282" i="1"/>
  <c r="AI282" i="1" s="1"/>
  <c r="N282" i="1"/>
  <c r="AA282" i="1" s="1"/>
  <c r="U282" i="1"/>
  <c r="AH282" i="1" s="1"/>
  <c r="M282" i="1"/>
  <c r="Z282" i="1" s="1"/>
  <c r="S282" i="1"/>
  <c r="AF282" i="1" s="1"/>
  <c r="K282" i="1"/>
  <c r="X282" i="1" s="1"/>
  <c r="L282" i="1"/>
  <c r="Y282" i="1" s="1"/>
  <c r="T282" i="1"/>
  <c r="AG282" i="1" s="1"/>
  <c r="T1085" i="1"/>
  <c r="AG1085" i="1" s="1"/>
  <c r="L1085" i="1"/>
  <c r="Y1085" i="1" s="1"/>
  <c r="S1085" i="1"/>
  <c r="AF1085" i="1" s="1"/>
  <c r="K1085" i="1"/>
  <c r="X1085" i="1" s="1"/>
  <c r="R1085" i="1"/>
  <c r="AE1085" i="1" s="1"/>
  <c r="Q1085" i="1"/>
  <c r="AD1085" i="1" s="1"/>
  <c r="P1085" i="1"/>
  <c r="AC1085" i="1" s="1"/>
  <c r="O1085" i="1"/>
  <c r="AB1085" i="1" s="1"/>
  <c r="V1085" i="1"/>
  <c r="AI1085" i="1" s="1"/>
  <c r="N1085" i="1"/>
  <c r="AA1085" i="1" s="1"/>
  <c r="U1085" i="1"/>
  <c r="AH1085" i="1" s="1"/>
  <c r="M1085" i="1"/>
  <c r="Z1085" i="1" s="1"/>
  <c r="P1464" i="1"/>
  <c r="AC1464" i="1" s="1"/>
  <c r="O1464" i="1"/>
  <c r="AB1464" i="1" s="1"/>
  <c r="V1464" i="1"/>
  <c r="AI1464" i="1" s="1"/>
  <c r="N1464" i="1"/>
  <c r="AA1464" i="1" s="1"/>
  <c r="U1464" i="1"/>
  <c r="AH1464" i="1" s="1"/>
  <c r="M1464" i="1"/>
  <c r="Z1464" i="1" s="1"/>
  <c r="T1464" i="1"/>
  <c r="AG1464" i="1" s="1"/>
  <c r="L1464" i="1"/>
  <c r="Y1464" i="1" s="1"/>
  <c r="S1464" i="1"/>
  <c r="AF1464" i="1" s="1"/>
  <c r="K1464" i="1"/>
  <c r="X1464" i="1" s="1"/>
  <c r="R1464" i="1"/>
  <c r="AE1464" i="1" s="1"/>
  <c r="Q1464" i="1"/>
  <c r="AD1464" i="1" s="1"/>
  <c r="P1023" i="1"/>
  <c r="AC1023" i="1" s="1"/>
  <c r="O1023" i="1"/>
  <c r="AB1023" i="1" s="1"/>
  <c r="V1023" i="1"/>
  <c r="AI1023" i="1" s="1"/>
  <c r="N1023" i="1"/>
  <c r="AA1023" i="1" s="1"/>
  <c r="U1023" i="1"/>
  <c r="AH1023" i="1" s="1"/>
  <c r="M1023" i="1"/>
  <c r="Z1023" i="1" s="1"/>
  <c r="T1023" i="1"/>
  <c r="AG1023" i="1" s="1"/>
  <c r="L1023" i="1"/>
  <c r="Y1023" i="1" s="1"/>
  <c r="S1023" i="1"/>
  <c r="AF1023" i="1" s="1"/>
  <c r="K1023" i="1"/>
  <c r="X1023" i="1" s="1"/>
  <c r="R1023" i="1"/>
  <c r="AE1023" i="1" s="1"/>
  <c r="Q1023" i="1"/>
  <c r="AD1023" i="1" s="1"/>
  <c r="O667" i="1"/>
  <c r="AB667" i="1" s="1"/>
  <c r="V667" i="1"/>
  <c r="AI667" i="1" s="1"/>
  <c r="N667" i="1"/>
  <c r="AA667" i="1" s="1"/>
  <c r="U667" i="1"/>
  <c r="AH667" i="1" s="1"/>
  <c r="M667" i="1"/>
  <c r="Z667" i="1" s="1"/>
  <c r="T667" i="1"/>
  <c r="AG667" i="1" s="1"/>
  <c r="L667" i="1"/>
  <c r="Y667" i="1" s="1"/>
  <c r="S667" i="1"/>
  <c r="AF667" i="1" s="1"/>
  <c r="K667" i="1"/>
  <c r="X667" i="1" s="1"/>
  <c r="R667" i="1"/>
  <c r="AE667" i="1" s="1"/>
  <c r="P667" i="1"/>
  <c r="AC667" i="1" s="1"/>
  <c r="Q667" i="1"/>
  <c r="AD667" i="1" s="1"/>
  <c r="V358" i="1"/>
  <c r="AI358" i="1" s="1"/>
  <c r="N358" i="1"/>
  <c r="AA358" i="1" s="1"/>
  <c r="T358" i="1"/>
  <c r="AG358" i="1" s="1"/>
  <c r="L358" i="1"/>
  <c r="Y358" i="1" s="1"/>
  <c r="R358" i="1"/>
  <c r="AE358" i="1" s="1"/>
  <c r="Q358" i="1"/>
  <c r="AD358" i="1" s="1"/>
  <c r="O358" i="1"/>
  <c r="AB358" i="1" s="1"/>
  <c r="U358" i="1"/>
  <c r="AH358" i="1" s="1"/>
  <c r="S358" i="1"/>
  <c r="AF358" i="1" s="1"/>
  <c r="P358" i="1"/>
  <c r="AC358" i="1" s="1"/>
  <c r="M358" i="1"/>
  <c r="Z358" i="1" s="1"/>
  <c r="K358" i="1"/>
  <c r="X358" i="1" s="1"/>
  <c r="R101" i="1"/>
  <c r="AE101" i="1" s="1"/>
  <c r="Q101" i="1"/>
  <c r="AD101" i="1" s="1"/>
  <c r="P101" i="1"/>
  <c r="AC101" i="1" s="1"/>
  <c r="O101" i="1"/>
  <c r="AB101" i="1" s="1"/>
  <c r="V101" i="1"/>
  <c r="AI101" i="1" s="1"/>
  <c r="N101" i="1"/>
  <c r="AA101" i="1" s="1"/>
  <c r="U101" i="1"/>
  <c r="AH101" i="1" s="1"/>
  <c r="M101" i="1"/>
  <c r="Z101" i="1" s="1"/>
  <c r="S101" i="1"/>
  <c r="AF101" i="1" s="1"/>
  <c r="K101" i="1"/>
  <c r="X101" i="1" s="1"/>
  <c r="T101" i="1"/>
  <c r="AG101" i="1" s="1"/>
  <c r="L101" i="1"/>
  <c r="Y101" i="1" s="1"/>
  <c r="Q861" i="1"/>
  <c r="AD861" i="1" s="1"/>
  <c r="P861" i="1"/>
  <c r="AC861" i="1" s="1"/>
  <c r="O861" i="1"/>
  <c r="AB861" i="1" s="1"/>
  <c r="V861" i="1"/>
  <c r="AI861" i="1" s="1"/>
  <c r="N861" i="1"/>
  <c r="AA861" i="1" s="1"/>
  <c r="U861" i="1"/>
  <c r="AH861" i="1" s="1"/>
  <c r="M861" i="1"/>
  <c r="Z861" i="1" s="1"/>
  <c r="T861" i="1"/>
  <c r="AG861" i="1" s="1"/>
  <c r="L861" i="1"/>
  <c r="Y861" i="1" s="1"/>
  <c r="R861" i="1"/>
  <c r="AE861" i="1" s="1"/>
  <c r="S861" i="1"/>
  <c r="AF861" i="1" s="1"/>
  <c r="K861" i="1"/>
  <c r="X861" i="1" s="1"/>
  <c r="R1270" i="1"/>
  <c r="AE1270" i="1" s="1"/>
  <c r="Q1270" i="1"/>
  <c r="AD1270" i="1" s="1"/>
  <c r="O1270" i="1"/>
  <c r="AB1270" i="1" s="1"/>
  <c r="V1270" i="1"/>
  <c r="AI1270" i="1" s="1"/>
  <c r="N1270" i="1"/>
  <c r="AA1270" i="1" s="1"/>
  <c r="U1270" i="1"/>
  <c r="AH1270" i="1" s="1"/>
  <c r="M1270" i="1"/>
  <c r="Z1270" i="1" s="1"/>
  <c r="P1270" i="1"/>
  <c r="AC1270" i="1" s="1"/>
  <c r="L1270" i="1"/>
  <c r="Y1270" i="1" s="1"/>
  <c r="K1270" i="1"/>
  <c r="X1270" i="1" s="1"/>
  <c r="T1270" i="1"/>
  <c r="AG1270" i="1" s="1"/>
  <c r="S1270" i="1"/>
  <c r="AF1270" i="1" s="1"/>
  <c r="P1021" i="1"/>
  <c r="AC1021" i="1" s="1"/>
  <c r="O1021" i="1"/>
  <c r="AB1021" i="1" s="1"/>
  <c r="V1021" i="1"/>
  <c r="AI1021" i="1" s="1"/>
  <c r="N1021" i="1"/>
  <c r="AA1021" i="1" s="1"/>
  <c r="U1021" i="1"/>
  <c r="AH1021" i="1" s="1"/>
  <c r="M1021" i="1"/>
  <c r="Z1021" i="1" s="1"/>
  <c r="T1021" i="1"/>
  <c r="AG1021" i="1" s="1"/>
  <c r="L1021" i="1"/>
  <c r="Y1021" i="1" s="1"/>
  <c r="S1021" i="1"/>
  <c r="AF1021" i="1" s="1"/>
  <c r="K1021" i="1"/>
  <c r="X1021" i="1" s="1"/>
  <c r="R1021" i="1"/>
  <c r="AE1021" i="1" s="1"/>
  <c r="Q1021" i="1"/>
  <c r="AD1021" i="1" s="1"/>
  <c r="O691" i="1"/>
  <c r="AB691" i="1" s="1"/>
  <c r="V691" i="1"/>
  <c r="AI691" i="1" s="1"/>
  <c r="N691" i="1"/>
  <c r="AA691" i="1" s="1"/>
  <c r="U691" i="1"/>
  <c r="AH691" i="1" s="1"/>
  <c r="M691" i="1"/>
  <c r="Z691" i="1" s="1"/>
  <c r="T691" i="1"/>
  <c r="AG691" i="1" s="1"/>
  <c r="L691" i="1"/>
  <c r="Y691" i="1" s="1"/>
  <c r="S691" i="1"/>
  <c r="AF691" i="1" s="1"/>
  <c r="K691" i="1"/>
  <c r="X691" i="1" s="1"/>
  <c r="R691" i="1"/>
  <c r="AE691" i="1" s="1"/>
  <c r="P691" i="1"/>
  <c r="AC691" i="1" s="1"/>
  <c r="Q691" i="1"/>
  <c r="AD691" i="1" s="1"/>
  <c r="V348" i="1"/>
  <c r="AI348" i="1" s="1"/>
  <c r="N348" i="1"/>
  <c r="AA348" i="1" s="1"/>
  <c r="T348" i="1"/>
  <c r="AG348" i="1" s="1"/>
  <c r="L348" i="1"/>
  <c r="Y348" i="1" s="1"/>
  <c r="R348" i="1"/>
  <c r="AE348" i="1" s="1"/>
  <c r="Q348" i="1"/>
  <c r="AD348" i="1" s="1"/>
  <c r="O348" i="1"/>
  <c r="AB348" i="1" s="1"/>
  <c r="M348" i="1"/>
  <c r="Z348" i="1" s="1"/>
  <c r="K348" i="1"/>
  <c r="X348" i="1" s="1"/>
  <c r="U348" i="1"/>
  <c r="AH348" i="1" s="1"/>
  <c r="P348" i="1"/>
  <c r="AC348" i="1" s="1"/>
  <c r="S348" i="1"/>
  <c r="AF348" i="1" s="1"/>
  <c r="R290" i="1"/>
  <c r="AE290" i="1" s="1"/>
  <c r="Q290" i="1"/>
  <c r="AD290" i="1" s="1"/>
  <c r="P290" i="1"/>
  <c r="AC290" i="1" s="1"/>
  <c r="O290" i="1"/>
  <c r="AB290" i="1" s="1"/>
  <c r="V290" i="1"/>
  <c r="AI290" i="1" s="1"/>
  <c r="N290" i="1"/>
  <c r="AA290" i="1" s="1"/>
  <c r="U290" i="1"/>
  <c r="AH290" i="1" s="1"/>
  <c r="M290" i="1"/>
  <c r="Z290" i="1" s="1"/>
  <c r="S290" i="1"/>
  <c r="AF290" i="1" s="1"/>
  <c r="K290" i="1"/>
  <c r="X290" i="1" s="1"/>
  <c r="T290" i="1"/>
  <c r="AG290" i="1" s="1"/>
  <c r="L290" i="1"/>
  <c r="Y290" i="1" s="1"/>
  <c r="V448" i="1"/>
  <c r="AI448" i="1" s="1"/>
  <c r="N448" i="1"/>
  <c r="AA448" i="1" s="1"/>
  <c r="T448" i="1"/>
  <c r="AG448" i="1" s="1"/>
  <c r="L448" i="1"/>
  <c r="Y448" i="1" s="1"/>
  <c r="S448" i="1"/>
  <c r="AF448" i="1" s="1"/>
  <c r="K448" i="1"/>
  <c r="X448" i="1" s="1"/>
  <c r="R448" i="1"/>
  <c r="AE448" i="1" s="1"/>
  <c r="Q448" i="1"/>
  <c r="AD448" i="1" s="1"/>
  <c r="O448" i="1"/>
  <c r="AB448" i="1" s="1"/>
  <c r="U448" i="1"/>
  <c r="AH448" i="1" s="1"/>
  <c r="P448" i="1"/>
  <c r="AC448" i="1" s="1"/>
  <c r="M448" i="1"/>
  <c r="Z448" i="1" s="1"/>
  <c r="V82" i="1"/>
  <c r="AI82" i="1" s="1"/>
  <c r="N82" i="1"/>
  <c r="AA82" i="1" s="1"/>
  <c r="U82" i="1"/>
  <c r="AH82" i="1" s="1"/>
  <c r="M82" i="1"/>
  <c r="Z82" i="1" s="1"/>
  <c r="T82" i="1"/>
  <c r="AG82" i="1" s="1"/>
  <c r="L82" i="1"/>
  <c r="Y82" i="1" s="1"/>
  <c r="S82" i="1"/>
  <c r="AF82" i="1" s="1"/>
  <c r="K82" i="1"/>
  <c r="X82" i="1" s="1"/>
  <c r="R82" i="1"/>
  <c r="AE82" i="1" s="1"/>
  <c r="Q82" i="1"/>
  <c r="AD82" i="1" s="1"/>
  <c r="O82" i="1"/>
  <c r="AB82" i="1" s="1"/>
  <c r="P82" i="1"/>
  <c r="AC82" i="1" s="1"/>
  <c r="U742" i="1"/>
  <c r="AH742" i="1" s="1"/>
  <c r="M742" i="1"/>
  <c r="Z742" i="1" s="1"/>
  <c r="T742" i="1"/>
  <c r="AG742" i="1" s="1"/>
  <c r="L742" i="1"/>
  <c r="Y742" i="1" s="1"/>
  <c r="S742" i="1"/>
  <c r="AF742" i="1" s="1"/>
  <c r="K742" i="1"/>
  <c r="X742" i="1" s="1"/>
  <c r="R742" i="1"/>
  <c r="AE742" i="1" s="1"/>
  <c r="Q742" i="1"/>
  <c r="AD742" i="1" s="1"/>
  <c r="P742" i="1"/>
  <c r="AC742" i="1" s="1"/>
  <c r="V742" i="1"/>
  <c r="AI742" i="1" s="1"/>
  <c r="N742" i="1"/>
  <c r="AA742" i="1" s="1"/>
  <c r="O742" i="1"/>
  <c r="AB742" i="1" s="1"/>
  <c r="Q721" i="1"/>
  <c r="AD721" i="1" s="1"/>
  <c r="O721" i="1"/>
  <c r="AB721" i="1" s="1"/>
  <c r="U721" i="1"/>
  <c r="AH721" i="1" s="1"/>
  <c r="M721" i="1"/>
  <c r="Z721" i="1" s="1"/>
  <c r="T721" i="1"/>
  <c r="AG721" i="1" s="1"/>
  <c r="L721" i="1"/>
  <c r="Y721" i="1" s="1"/>
  <c r="R721" i="1"/>
  <c r="AE721" i="1" s="1"/>
  <c r="N721" i="1"/>
  <c r="AA721" i="1" s="1"/>
  <c r="K721" i="1"/>
  <c r="X721" i="1" s="1"/>
  <c r="V721" i="1"/>
  <c r="AI721" i="1" s="1"/>
  <c r="P721" i="1"/>
  <c r="AC721" i="1" s="1"/>
  <c r="S721" i="1"/>
  <c r="AF721" i="1" s="1"/>
  <c r="R1119" i="1"/>
  <c r="AE1119" i="1" s="1"/>
  <c r="P751" i="1"/>
  <c r="AC751" i="1" s="1"/>
  <c r="M840" i="1"/>
  <c r="Z840" i="1" s="1"/>
  <c r="L116" i="1"/>
  <c r="Y116" i="1" s="1"/>
  <c r="L160" i="1"/>
  <c r="Y160" i="1" s="1"/>
  <c r="L1376" i="1"/>
  <c r="Y1376" i="1" s="1"/>
  <c r="L1337" i="1"/>
  <c r="Y1337" i="1" s="1"/>
  <c r="L1333" i="1"/>
  <c r="Y1333" i="1" s="1"/>
  <c r="P1246" i="1"/>
  <c r="AC1246" i="1" s="1"/>
  <c r="L1344" i="1"/>
  <c r="Y1344" i="1" s="1"/>
  <c r="M1227" i="1"/>
  <c r="Z1227" i="1" s="1"/>
  <c r="P1110" i="1"/>
  <c r="AC1110" i="1" s="1"/>
  <c r="O1110" i="1"/>
  <c r="AB1110" i="1" s="1"/>
  <c r="V1110" i="1"/>
  <c r="AI1110" i="1" s="1"/>
  <c r="N1110" i="1"/>
  <c r="AA1110" i="1" s="1"/>
  <c r="U1110" i="1"/>
  <c r="AH1110" i="1" s="1"/>
  <c r="M1110" i="1"/>
  <c r="Z1110" i="1" s="1"/>
  <c r="T1110" i="1"/>
  <c r="AG1110" i="1" s="1"/>
  <c r="L1110" i="1"/>
  <c r="Y1110" i="1" s="1"/>
  <c r="S1110" i="1"/>
  <c r="AF1110" i="1" s="1"/>
  <c r="K1110" i="1"/>
  <c r="X1110" i="1" s="1"/>
  <c r="R1110" i="1"/>
  <c r="AE1110" i="1" s="1"/>
  <c r="Q1110" i="1"/>
  <c r="AD1110" i="1" s="1"/>
  <c r="R1184" i="1"/>
  <c r="AE1184" i="1" s="1"/>
  <c r="Q1258" i="1"/>
  <c r="AD1258" i="1" s="1"/>
  <c r="R946" i="1"/>
  <c r="AE946" i="1" s="1"/>
  <c r="O892" i="1"/>
  <c r="AB892" i="1" s="1"/>
  <c r="R963" i="1"/>
  <c r="AE963" i="1" s="1"/>
  <c r="M830" i="1"/>
  <c r="Z830" i="1" s="1"/>
  <c r="K798" i="1"/>
  <c r="X798" i="1" s="1"/>
  <c r="R753" i="1"/>
  <c r="AE753" i="1" s="1"/>
  <c r="P753" i="1"/>
  <c r="AC753" i="1" s="1"/>
  <c r="M726" i="1"/>
  <c r="Z726" i="1" s="1"/>
  <c r="L719" i="1"/>
  <c r="Y719" i="1" s="1"/>
  <c r="R741" i="1"/>
  <c r="AE741" i="1" s="1"/>
  <c r="P741" i="1"/>
  <c r="AC741" i="1" s="1"/>
  <c r="L712" i="1"/>
  <c r="Y712" i="1" s="1"/>
  <c r="M712" i="1"/>
  <c r="Z712" i="1" s="1"/>
  <c r="M399" i="1"/>
  <c r="Z399" i="1" s="1"/>
  <c r="Q465" i="1"/>
  <c r="AD465" i="1" s="1"/>
  <c r="P465" i="1"/>
  <c r="AC465" i="1" s="1"/>
  <c r="K360" i="1"/>
  <c r="X360" i="1" s="1"/>
  <c r="M204" i="1"/>
  <c r="Z204" i="1" s="1"/>
  <c r="L201" i="1"/>
  <c r="Y201" i="1" s="1"/>
  <c r="O114" i="1"/>
  <c r="AB114" i="1" s="1"/>
  <c r="O870" i="1"/>
  <c r="AB870" i="1" s="1"/>
  <c r="L870" i="1"/>
  <c r="Y870" i="1" s="1"/>
  <c r="S807" i="1"/>
  <c r="AF807" i="1" s="1"/>
  <c r="N722" i="1"/>
  <c r="AA722" i="1" s="1"/>
  <c r="N709" i="1"/>
  <c r="AA709" i="1" s="1"/>
  <c r="M709" i="1"/>
  <c r="Z709" i="1" s="1"/>
  <c r="U378" i="1"/>
  <c r="AH378" i="1" s="1"/>
  <c r="L378" i="1"/>
  <c r="Y378" i="1" s="1"/>
  <c r="K157" i="1"/>
  <c r="X157" i="1" s="1"/>
  <c r="Q157" i="1"/>
  <c r="AD157" i="1" s="1"/>
  <c r="N143" i="1"/>
  <c r="AA143" i="1" s="1"/>
  <c r="L191" i="1"/>
  <c r="Y191" i="1" s="1"/>
  <c r="K191" i="1"/>
  <c r="X191" i="1" s="1"/>
  <c r="L175" i="1"/>
  <c r="Y175" i="1" s="1"/>
  <c r="N34" i="1"/>
  <c r="AA34" i="1" s="1"/>
  <c r="L4" i="1"/>
  <c r="Y4" i="1" s="1"/>
  <c r="S1563" i="1"/>
  <c r="AF1563" i="1" s="1"/>
  <c r="K1563" i="1"/>
  <c r="X1563" i="1" s="1"/>
  <c r="R1563" i="1"/>
  <c r="AE1563" i="1" s="1"/>
  <c r="Q1563" i="1"/>
  <c r="AD1563" i="1" s="1"/>
  <c r="P1563" i="1"/>
  <c r="AC1563" i="1" s="1"/>
  <c r="V1563" i="1"/>
  <c r="AI1563" i="1" s="1"/>
  <c r="N1563" i="1"/>
  <c r="AA1563" i="1" s="1"/>
  <c r="M1563" i="1"/>
  <c r="Z1563" i="1" s="1"/>
  <c r="L1563" i="1"/>
  <c r="Y1563" i="1" s="1"/>
  <c r="U1563" i="1"/>
  <c r="AH1563" i="1" s="1"/>
  <c r="T1563" i="1"/>
  <c r="AG1563" i="1" s="1"/>
  <c r="O1563" i="1"/>
  <c r="AB1563" i="1" s="1"/>
  <c r="M1207" i="1"/>
  <c r="Z1207" i="1" s="1"/>
  <c r="M1243" i="1"/>
  <c r="Z1243" i="1" s="1"/>
  <c r="Q1154" i="1"/>
  <c r="AD1154" i="1" s="1"/>
  <c r="N1154" i="1"/>
  <c r="AA1154" i="1" s="1"/>
  <c r="L971" i="1"/>
  <c r="Y971" i="1" s="1"/>
  <c r="L1112" i="1"/>
  <c r="Y1112" i="1" s="1"/>
  <c r="Q961" i="1"/>
  <c r="AD961" i="1" s="1"/>
  <c r="L803" i="1"/>
  <c r="Y803" i="1" s="1"/>
  <c r="Q803" i="1"/>
  <c r="AD803" i="1" s="1"/>
  <c r="N763" i="1"/>
  <c r="AA763" i="1" s="1"/>
  <c r="L823" i="1"/>
  <c r="Y823" i="1" s="1"/>
  <c r="T168" i="1"/>
  <c r="AG168" i="1" s="1"/>
  <c r="K99" i="1"/>
  <c r="X99" i="1" s="1"/>
  <c r="L1232" i="1"/>
  <c r="Y1232" i="1" s="1"/>
  <c r="T208" i="1"/>
  <c r="AG208" i="1" s="1"/>
  <c r="T170" i="1"/>
  <c r="AG170" i="1" s="1"/>
  <c r="U170" i="1"/>
  <c r="AH170" i="1" s="1"/>
  <c r="Q1131" i="1"/>
  <c r="AD1131" i="1" s="1"/>
  <c r="K526" i="1"/>
  <c r="X526" i="1" s="1"/>
  <c r="Q1153" i="1"/>
  <c r="AD1153" i="1" s="1"/>
  <c r="K889" i="1"/>
  <c r="X889" i="1" s="1"/>
  <c r="M889" i="1"/>
  <c r="Z889" i="1" s="1"/>
  <c r="K965" i="1"/>
  <c r="X965" i="1" s="1"/>
  <c r="U767" i="1"/>
  <c r="AH767" i="1" s="1"/>
  <c r="M838" i="1"/>
  <c r="Z838" i="1" s="1"/>
  <c r="Q880" i="1"/>
  <c r="AD880" i="1" s="1"/>
  <c r="L845" i="1"/>
  <c r="Y845" i="1" s="1"/>
  <c r="R352" i="1"/>
  <c r="AE352" i="1" s="1"/>
  <c r="N1377" i="1"/>
  <c r="AA1377" i="1" s="1"/>
  <c r="L765" i="1"/>
  <c r="Y765" i="1" s="1"/>
  <c r="N747" i="1"/>
  <c r="AA747" i="1" s="1"/>
  <c r="P740" i="1"/>
  <c r="AC740" i="1" s="1"/>
  <c r="K380" i="1"/>
  <c r="X380" i="1" s="1"/>
  <c r="N1662" i="1"/>
  <c r="AA1662" i="1" s="1"/>
  <c r="N1582" i="1"/>
  <c r="AA1582" i="1" s="1"/>
  <c r="P1677" i="1"/>
  <c r="AC1677" i="1" s="1"/>
  <c r="U1677" i="1"/>
  <c r="AH1677" i="1" s="1"/>
  <c r="Q1661" i="1"/>
  <c r="AD1661" i="1" s="1"/>
  <c r="L1645" i="1"/>
  <c r="Y1645" i="1" s="1"/>
  <c r="U1613" i="1"/>
  <c r="AH1613" i="1" s="1"/>
  <c r="N1670" i="1"/>
  <c r="AA1670" i="1" s="1"/>
  <c r="S1610" i="1"/>
  <c r="AF1610" i="1" s="1"/>
  <c r="Q1610" i="1"/>
  <c r="AD1610" i="1" s="1"/>
  <c r="L1664" i="1"/>
  <c r="Y1664" i="1" s="1"/>
  <c r="O1648" i="1"/>
  <c r="AB1648" i="1" s="1"/>
  <c r="K1600" i="1"/>
  <c r="X1600" i="1" s="1"/>
  <c r="Q1600" i="1"/>
  <c r="AD1600" i="1" s="1"/>
  <c r="N1584" i="1"/>
  <c r="AA1584" i="1" s="1"/>
  <c r="L1674" i="1"/>
  <c r="Y1674" i="1" s="1"/>
  <c r="Q1674" i="1"/>
  <c r="AD1674" i="1" s="1"/>
  <c r="P1675" i="1"/>
  <c r="AC1675" i="1" s="1"/>
  <c r="M1659" i="1"/>
  <c r="Z1659" i="1" s="1"/>
  <c r="Q1611" i="1"/>
  <c r="AD1611" i="1" s="1"/>
  <c r="L1595" i="1"/>
  <c r="Y1595" i="1" s="1"/>
  <c r="N1359" i="1"/>
  <c r="AA1359" i="1" s="1"/>
  <c r="P1261" i="1"/>
  <c r="AC1261" i="1" s="1"/>
  <c r="P1444" i="1"/>
  <c r="AC1444" i="1" s="1"/>
  <c r="M1392" i="1"/>
  <c r="Z1392" i="1" s="1"/>
  <c r="M1570" i="1"/>
  <c r="Z1570" i="1" s="1"/>
  <c r="M1522" i="1"/>
  <c r="Z1522" i="1" s="1"/>
  <c r="O1522" i="1"/>
  <c r="AB1522" i="1" s="1"/>
  <c r="P1490" i="1"/>
  <c r="AC1490" i="1" s="1"/>
  <c r="K1331" i="1"/>
  <c r="X1331" i="1" s="1"/>
  <c r="L956" i="1"/>
  <c r="Y956" i="1" s="1"/>
  <c r="R1181" i="1"/>
  <c r="AE1181" i="1" s="1"/>
  <c r="R898" i="1"/>
  <c r="AE898" i="1" s="1"/>
  <c r="Q937" i="1"/>
  <c r="AD937" i="1" s="1"/>
  <c r="M903" i="1"/>
  <c r="Z903" i="1" s="1"/>
  <c r="M931" i="1"/>
  <c r="Z931" i="1" s="1"/>
  <c r="N504" i="1"/>
  <c r="AA504" i="1" s="1"/>
  <c r="L711" i="1"/>
  <c r="Y711" i="1" s="1"/>
  <c r="Q165" i="1"/>
  <c r="AD165" i="1" s="1"/>
  <c r="S66" i="1"/>
  <c r="AF66" i="1" s="1"/>
  <c r="O150" i="1"/>
  <c r="AB150" i="1" s="1"/>
  <c r="K19" i="1"/>
  <c r="X19" i="1" s="1"/>
  <c r="V1699" i="1"/>
  <c r="AI1699" i="1" s="1"/>
  <c r="N1699" i="1"/>
  <c r="AA1699" i="1" s="1"/>
  <c r="U1699" i="1"/>
  <c r="AH1699" i="1" s="1"/>
  <c r="M1699" i="1"/>
  <c r="Z1699" i="1" s="1"/>
  <c r="T1699" i="1"/>
  <c r="AG1699" i="1" s="1"/>
  <c r="L1699" i="1"/>
  <c r="Y1699" i="1" s="1"/>
  <c r="S1699" i="1"/>
  <c r="AF1699" i="1" s="1"/>
  <c r="K1699" i="1"/>
  <c r="X1699" i="1" s="1"/>
  <c r="R1699" i="1"/>
  <c r="AE1699" i="1" s="1"/>
  <c r="Q1699" i="1"/>
  <c r="AD1699" i="1" s="1"/>
  <c r="P1699" i="1"/>
  <c r="AC1699" i="1" s="1"/>
  <c r="O1699" i="1"/>
  <c r="AB1699" i="1" s="1"/>
  <c r="L1226" i="1"/>
  <c r="Y1226" i="1" s="1"/>
  <c r="T1499" i="1"/>
  <c r="AG1499" i="1" s="1"/>
  <c r="L1499" i="1"/>
  <c r="Y1499" i="1" s="1"/>
  <c r="S1499" i="1"/>
  <c r="AF1499" i="1" s="1"/>
  <c r="K1499" i="1"/>
  <c r="X1499" i="1" s="1"/>
  <c r="R1499" i="1"/>
  <c r="AE1499" i="1" s="1"/>
  <c r="Q1499" i="1"/>
  <c r="AD1499" i="1" s="1"/>
  <c r="P1499" i="1"/>
  <c r="AC1499" i="1" s="1"/>
  <c r="O1499" i="1"/>
  <c r="AB1499" i="1" s="1"/>
  <c r="V1499" i="1"/>
  <c r="AI1499" i="1" s="1"/>
  <c r="N1499" i="1"/>
  <c r="AA1499" i="1" s="1"/>
  <c r="M1499" i="1"/>
  <c r="Z1499" i="1" s="1"/>
  <c r="U1499" i="1"/>
  <c r="AH1499" i="1" s="1"/>
  <c r="M1197" i="1"/>
  <c r="Z1197" i="1" s="1"/>
  <c r="T1018" i="1"/>
  <c r="AG1018" i="1" s="1"/>
  <c r="L1018" i="1"/>
  <c r="Y1018" i="1" s="1"/>
  <c r="S1018" i="1"/>
  <c r="AF1018" i="1" s="1"/>
  <c r="K1018" i="1"/>
  <c r="X1018" i="1" s="1"/>
  <c r="R1018" i="1"/>
  <c r="AE1018" i="1" s="1"/>
  <c r="Q1018" i="1"/>
  <c r="AD1018" i="1" s="1"/>
  <c r="P1018" i="1"/>
  <c r="AC1018" i="1" s="1"/>
  <c r="O1018" i="1"/>
  <c r="AB1018" i="1" s="1"/>
  <c r="V1018" i="1"/>
  <c r="AI1018" i="1" s="1"/>
  <c r="U1018" i="1"/>
  <c r="AH1018" i="1" s="1"/>
  <c r="N1018" i="1"/>
  <c r="AA1018" i="1" s="1"/>
  <c r="M1018" i="1"/>
  <c r="Z1018" i="1" s="1"/>
  <c r="U416" i="1"/>
  <c r="AH416" i="1" s="1"/>
  <c r="N416" i="1"/>
  <c r="AA416" i="1" s="1"/>
  <c r="R24" i="1"/>
  <c r="AE24" i="1" s="1"/>
  <c r="M24" i="1"/>
  <c r="Z24" i="1" s="1"/>
  <c r="L713" i="1"/>
  <c r="Y713" i="1" s="1"/>
  <c r="M1334" i="1"/>
  <c r="Z1334" i="1" s="1"/>
  <c r="K1334" i="1"/>
  <c r="X1334" i="1" s="1"/>
  <c r="Q1103" i="1"/>
  <c r="AD1103" i="1" s="1"/>
  <c r="N1209" i="1"/>
  <c r="AA1209" i="1" s="1"/>
  <c r="R1313" i="1"/>
  <c r="AE1313" i="1" s="1"/>
  <c r="M734" i="1"/>
  <c r="Z734" i="1" s="1"/>
  <c r="L355" i="1"/>
  <c r="Y355" i="1" s="1"/>
  <c r="K31" i="1"/>
  <c r="X31" i="1" s="1"/>
  <c r="L369" i="1"/>
  <c r="Y369" i="1" s="1"/>
  <c r="R1285" i="1"/>
  <c r="AE1285" i="1" s="1"/>
  <c r="P532" i="1"/>
  <c r="AC532" i="1" s="1"/>
  <c r="T1123" i="1"/>
  <c r="AG1123" i="1" s="1"/>
  <c r="L1123" i="1"/>
  <c r="Y1123" i="1" s="1"/>
  <c r="S1123" i="1"/>
  <c r="AF1123" i="1" s="1"/>
  <c r="K1123" i="1"/>
  <c r="X1123" i="1" s="1"/>
  <c r="R1123" i="1"/>
  <c r="AE1123" i="1" s="1"/>
  <c r="Q1123" i="1"/>
  <c r="AD1123" i="1" s="1"/>
  <c r="P1123" i="1"/>
  <c r="AC1123" i="1" s="1"/>
  <c r="O1123" i="1"/>
  <c r="AB1123" i="1" s="1"/>
  <c r="V1123" i="1"/>
  <c r="AI1123" i="1" s="1"/>
  <c r="N1123" i="1"/>
  <c r="AA1123" i="1" s="1"/>
  <c r="M1123" i="1"/>
  <c r="Z1123" i="1" s="1"/>
  <c r="U1123" i="1"/>
  <c r="AH1123" i="1" s="1"/>
  <c r="M1051" i="1"/>
  <c r="Z1051" i="1" s="1"/>
  <c r="L1236" i="1"/>
  <c r="Y1236" i="1" s="1"/>
  <c r="Q152" i="1"/>
  <c r="AD152" i="1" s="1"/>
  <c r="N152" i="1"/>
  <c r="AA152" i="1" s="1"/>
  <c r="M401" i="1"/>
  <c r="Z401" i="1" s="1"/>
  <c r="K1353" i="1"/>
  <c r="X1353" i="1" s="1"/>
  <c r="P1273" i="1"/>
  <c r="AC1273" i="1" s="1"/>
  <c r="N1273" i="1"/>
  <c r="AA1273" i="1" s="1"/>
  <c r="N1177" i="1"/>
  <c r="AA1177" i="1" s="1"/>
  <c r="R1266" i="1"/>
  <c r="AE1266" i="1" s="1"/>
  <c r="Q1266" i="1"/>
  <c r="AD1266" i="1" s="1"/>
  <c r="O1266" i="1"/>
  <c r="AB1266" i="1" s="1"/>
  <c r="V1266" i="1"/>
  <c r="AI1266" i="1" s="1"/>
  <c r="N1266" i="1"/>
  <c r="AA1266" i="1" s="1"/>
  <c r="U1266" i="1"/>
  <c r="AH1266" i="1" s="1"/>
  <c r="M1266" i="1"/>
  <c r="Z1266" i="1" s="1"/>
  <c r="T1266" i="1"/>
  <c r="AG1266" i="1" s="1"/>
  <c r="S1266" i="1"/>
  <c r="AF1266" i="1" s="1"/>
  <c r="P1266" i="1"/>
  <c r="AC1266" i="1" s="1"/>
  <c r="L1266" i="1"/>
  <c r="Y1266" i="1" s="1"/>
  <c r="K1266" i="1"/>
  <c r="X1266" i="1" s="1"/>
  <c r="O1540" i="1"/>
  <c r="AB1540" i="1" s="1"/>
  <c r="V1540" i="1"/>
  <c r="AI1540" i="1" s="1"/>
  <c r="N1540" i="1"/>
  <c r="AA1540" i="1" s="1"/>
  <c r="U1540" i="1"/>
  <c r="AH1540" i="1" s="1"/>
  <c r="M1540" i="1"/>
  <c r="Z1540" i="1" s="1"/>
  <c r="T1540" i="1"/>
  <c r="AG1540" i="1" s="1"/>
  <c r="L1540" i="1"/>
  <c r="Y1540" i="1" s="1"/>
  <c r="R1540" i="1"/>
  <c r="AE1540" i="1" s="1"/>
  <c r="K1540" i="1"/>
  <c r="X1540" i="1" s="1"/>
  <c r="S1540" i="1"/>
  <c r="AF1540" i="1" s="1"/>
  <c r="Q1540" i="1"/>
  <c r="AD1540" i="1" s="1"/>
  <c r="P1540" i="1"/>
  <c r="AC1540" i="1" s="1"/>
  <c r="L1208" i="1"/>
  <c r="Y1208" i="1" s="1"/>
  <c r="N1176" i="1"/>
  <c r="AA1176" i="1" s="1"/>
  <c r="K1090" i="1"/>
  <c r="X1090" i="1" s="1"/>
  <c r="O960" i="1"/>
  <c r="AB960" i="1" s="1"/>
  <c r="K1049" i="1"/>
  <c r="X1049" i="1" s="1"/>
  <c r="K881" i="1"/>
  <c r="X881" i="1" s="1"/>
  <c r="M850" i="1"/>
  <c r="Z850" i="1" s="1"/>
  <c r="L1052" i="1"/>
  <c r="Y1052" i="1" s="1"/>
  <c r="K969" i="1"/>
  <c r="X969" i="1" s="1"/>
  <c r="O969" i="1"/>
  <c r="AB969" i="1" s="1"/>
  <c r="K822" i="1"/>
  <c r="X822" i="1" s="1"/>
  <c r="M930" i="1"/>
  <c r="Z930" i="1" s="1"/>
  <c r="K804" i="1"/>
  <c r="X804" i="1" s="1"/>
  <c r="M802" i="1"/>
  <c r="Z802" i="1" s="1"/>
  <c r="L703" i="1"/>
  <c r="Y703" i="1" s="1"/>
  <c r="M714" i="1"/>
  <c r="Z714" i="1" s="1"/>
  <c r="T701" i="1"/>
  <c r="AG701" i="1" s="1"/>
  <c r="L696" i="1"/>
  <c r="Y696" i="1" s="1"/>
  <c r="K696" i="1"/>
  <c r="X696" i="1" s="1"/>
  <c r="L202" i="1"/>
  <c r="Y202" i="1" s="1"/>
  <c r="P142" i="1"/>
  <c r="AC142" i="1" s="1"/>
  <c r="M142" i="1"/>
  <c r="Z142" i="1" s="1"/>
  <c r="L27" i="1"/>
  <c r="Y27" i="1" s="1"/>
  <c r="N11" i="1"/>
  <c r="AA11" i="1" s="1"/>
  <c r="K831" i="1"/>
  <c r="X831" i="1" s="1"/>
  <c r="M616" i="1"/>
  <c r="Z616" i="1" s="1"/>
  <c r="M478" i="1"/>
  <c r="Z478" i="1" s="1"/>
  <c r="L478" i="1"/>
  <c r="Y478" i="1" s="1"/>
  <c r="O244" i="1"/>
  <c r="AB244" i="1" s="1"/>
  <c r="P230" i="1"/>
  <c r="AC230" i="1" s="1"/>
  <c r="M291" i="1"/>
  <c r="Z291" i="1" s="1"/>
  <c r="M155" i="1"/>
  <c r="Z155" i="1" s="1"/>
  <c r="L18" i="1"/>
  <c r="Y18" i="1" s="1"/>
  <c r="R1694" i="1"/>
  <c r="AE1694" i="1" s="1"/>
  <c r="Q1694" i="1"/>
  <c r="AD1694" i="1" s="1"/>
  <c r="P1694" i="1"/>
  <c r="AC1694" i="1" s="1"/>
  <c r="O1694" i="1"/>
  <c r="AB1694" i="1" s="1"/>
  <c r="V1694" i="1"/>
  <c r="AI1694" i="1" s="1"/>
  <c r="N1694" i="1"/>
  <c r="AA1694" i="1" s="1"/>
  <c r="U1694" i="1"/>
  <c r="AH1694" i="1" s="1"/>
  <c r="M1694" i="1"/>
  <c r="Z1694" i="1" s="1"/>
  <c r="T1694" i="1"/>
  <c r="AG1694" i="1" s="1"/>
  <c r="L1694" i="1"/>
  <c r="Y1694" i="1" s="1"/>
  <c r="S1694" i="1"/>
  <c r="AF1694" i="1" s="1"/>
  <c r="K1694" i="1"/>
  <c r="X1694" i="1" s="1"/>
  <c r="U1683" i="1"/>
  <c r="AH1683" i="1" s="1"/>
  <c r="M1683" i="1"/>
  <c r="Z1683" i="1" s="1"/>
  <c r="T1683" i="1"/>
  <c r="AG1683" i="1" s="1"/>
  <c r="L1683" i="1"/>
  <c r="Y1683" i="1" s="1"/>
  <c r="S1683" i="1"/>
  <c r="AF1683" i="1" s="1"/>
  <c r="K1683" i="1"/>
  <c r="X1683" i="1" s="1"/>
  <c r="R1683" i="1"/>
  <c r="AE1683" i="1" s="1"/>
  <c r="Q1683" i="1"/>
  <c r="AD1683" i="1" s="1"/>
  <c r="P1683" i="1"/>
  <c r="AC1683" i="1" s="1"/>
  <c r="N1683" i="1"/>
  <c r="AA1683" i="1" s="1"/>
  <c r="O1683" i="1"/>
  <c r="AB1683" i="1" s="1"/>
  <c r="V1683" i="1"/>
  <c r="AI1683" i="1" s="1"/>
  <c r="M1308" i="1"/>
  <c r="Z1308" i="1" s="1"/>
  <c r="K1308" i="1"/>
  <c r="X1308" i="1" s="1"/>
  <c r="M950" i="1"/>
  <c r="Z950" i="1" s="1"/>
  <c r="O950" i="1"/>
  <c r="AB950" i="1" s="1"/>
  <c r="O738" i="1"/>
  <c r="AB738" i="1" s="1"/>
  <c r="L738" i="1"/>
  <c r="Y738" i="1" s="1"/>
  <c r="K409" i="1"/>
  <c r="X409" i="1" s="1"/>
  <c r="M1305" i="1"/>
  <c r="Z1305" i="1" s="1"/>
  <c r="L761" i="1"/>
  <c r="Y761" i="1" s="1"/>
  <c r="T104" i="1"/>
  <c r="AG104" i="1" s="1"/>
  <c r="L1066" i="1"/>
  <c r="Y1066" i="1" s="1"/>
  <c r="K1202" i="1"/>
  <c r="X1202" i="1" s="1"/>
  <c r="P1325" i="1"/>
  <c r="AC1325" i="1" s="1"/>
  <c r="M1228" i="1"/>
  <c r="Z1228" i="1" s="1"/>
  <c r="N1312" i="1"/>
  <c r="AA1312" i="1" s="1"/>
  <c r="O1178" i="1"/>
  <c r="AB1178" i="1" s="1"/>
  <c r="M1178" i="1"/>
  <c r="Z1178" i="1" s="1"/>
  <c r="P222" i="1"/>
  <c r="AC222" i="1" s="1"/>
  <c r="Q1297" i="1"/>
  <c r="AD1297" i="1" s="1"/>
  <c r="N1326" i="1"/>
  <c r="AA1326" i="1" s="1"/>
  <c r="L1267" i="1"/>
  <c r="Y1267" i="1" s="1"/>
  <c r="M1267" i="1"/>
  <c r="Z1267" i="1" s="1"/>
  <c r="M1169" i="1"/>
  <c r="Z1169" i="1" s="1"/>
  <c r="L1374" i="1"/>
  <c r="Y1374" i="1" s="1"/>
  <c r="M1374" i="1"/>
  <c r="Z1374" i="1" s="1"/>
  <c r="O1281" i="1"/>
  <c r="AB1281" i="1" s="1"/>
  <c r="M1281" i="1"/>
  <c r="Z1281" i="1" s="1"/>
  <c r="L1535" i="1"/>
  <c r="Y1535" i="1" s="1"/>
  <c r="Q1535" i="1"/>
  <c r="AD1535" i="1" s="1"/>
  <c r="Q1519" i="1"/>
  <c r="AD1519" i="1" s="1"/>
  <c r="M1503" i="1"/>
  <c r="Z1503" i="1" s="1"/>
  <c r="M1453" i="1"/>
  <c r="Z1453" i="1" s="1"/>
  <c r="K1453" i="1"/>
  <c r="X1453" i="1" s="1"/>
  <c r="N1429" i="1"/>
  <c r="AA1429" i="1" s="1"/>
  <c r="Q1405" i="1"/>
  <c r="AD1405" i="1" s="1"/>
  <c r="N1397" i="1"/>
  <c r="AA1397" i="1" s="1"/>
  <c r="P1323" i="1"/>
  <c r="AC1323" i="1" s="1"/>
  <c r="Q1283" i="1"/>
  <c r="AD1283" i="1" s="1"/>
  <c r="K1205" i="1"/>
  <c r="X1205" i="1" s="1"/>
  <c r="O1205" i="1"/>
  <c r="AB1205" i="1" s="1"/>
  <c r="L1118" i="1"/>
  <c r="Y1118" i="1" s="1"/>
  <c r="L1080" i="1"/>
  <c r="Y1080" i="1" s="1"/>
  <c r="K819" i="1"/>
  <c r="X819" i="1" s="1"/>
  <c r="O854" i="1"/>
  <c r="AB854" i="1" s="1"/>
  <c r="L854" i="1"/>
  <c r="Y854" i="1" s="1"/>
  <c r="L706" i="1"/>
  <c r="Y706" i="1" s="1"/>
  <c r="K706" i="1"/>
  <c r="X706" i="1" s="1"/>
  <c r="K342" i="1"/>
  <c r="X342" i="1" s="1"/>
  <c r="L342" i="1"/>
  <c r="Y342" i="1" s="1"/>
  <c r="L151" i="1"/>
  <c r="Y151" i="1" s="1"/>
  <c r="O151" i="1"/>
  <c r="AB151" i="1" s="1"/>
  <c r="K283" i="1"/>
  <c r="X283" i="1" s="1"/>
  <c r="L137" i="1"/>
  <c r="Y137" i="1" s="1"/>
  <c r="O137" i="1"/>
  <c r="AB137" i="1" s="1"/>
  <c r="K108" i="1"/>
  <c r="X108" i="1" s="1"/>
  <c r="L173" i="1"/>
  <c r="Y173" i="1" s="1"/>
  <c r="N26" i="1"/>
  <c r="AA26" i="1" s="1"/>
  <c r="L26" i="1"/>
  <c r="Y26" i="1" s="1"/>
  <c r="O10" i="1"/>
  <c r="AB10" i="1" s="1"/>
  <c r="R1375" i="1"/>
  <c r="AE1375" i="1" s="1"/>
  <c r="Q1375" i="1"/>
  <c r="AD1375" i="1" s="1"/>
  <c r="O1375" i="1"/>
  <c r="AB1375" i="1" s="1"/>
  <c r="V1375" i="1"/>
  <c r="AI1375" i="1" s="1"/>
  <c r="N1375" i="1"/>
  <c r="AA1375" i="1" s="1"/>
  <c r="U1375" i="1"/>
  <c r="AH1375" i="1" s="1"/>
  <c r="M1375" i="1"/>
  <c r="Z1375" i="1" s="1"/>
  <c r="T1375" i="1"/>
  <c r="AG1375" i="1" s="1"/>
  <c r="S1375" i="1"/>
  <c r="AF1375" i="1" s="1"/>
  <c r="P1375" i="1"/>
  <c r="AC1375" i="1" s="1"/>
  <c r="L1375" i="1"/>
  <c r="Y1375" i="1" s="1"/>
  <c r="K1375" i="1"/>
  <c r="X1375" i="1" s="1"/>
  <c r="U1667" i="1"/>
  <c r="AH1667" i="1" s="1"/>
  <c r="M1667" i="1"/>
  <c r="Z1667" i="1" s="1"/>
  <c r="T1667" i="1"/>
  <c r="AG1667" i="1" s="1"/>
  <c r="L1667" i="1"/>
  <c r="Y1667" i="1" s="1"/>
  <c r="S1667" i="1"/>
  <c r="AF1667" i="1" s="1"/>
  <c r="K1667" i="1"/>
  <c r="X1667" i="1" s="1"/>
  <c r="R1667" i="1"/>
  <c r="AE1667" i="1" s="1"/>
  <c r="Q1667" i="1"/>
  <c r="AD1667" i="1" s="1"/>
  <c r="P1667" i="1"/>
  <c r="AC1667" i="1" s="1"/>
  <c r="N1667" i="1"/>
  <c r="AA1667" i="1" s="1"/>
  <c r="O1667" i="1"/>
  <c r="AB1667" i="1" s="1"/>
  <c r="V1667" i="1"/>
  <c r="AI1667" i="1" s="1"/>
  <c r="S1531" i="1"/>
  <c r="AF1531" i="1" s="1"/>
  <c r="K1531" i="1"/>
  <c r="X1531" i="1" s="1"/>
  <c r="R1531" i="1"/>
  <c r="AE1531" i="1" s="1"/>
  <c r="Q1531" i="1"/>
  <c r="AD1531" i="1" s="1"/>
  <c r="P1531" i="1"/>
  <c r="AC1531" i="1" s="1"/>
  <c r="V1531" i="1"/>
  <c r="AI1531" i="1" s="1"/>
  <c r="N1531" i="1"/>
  <c r="AA1531" i="1" s="1"/>
  <c r="M1531" i="1"/>
  <c r="Z1531" i="1" s="1"/>
  <c r="L1531" i="1"/>
  <c r="Y1531" i="1" s="1"/>
  <c r="U1531" i="1"/>
  <c r="AH1531" i="1" s="1"/>
  <c r="T1531" i="1"/>
  <c r="AG1531" i="1" s="1"/>
  <c r="O1531" i="1"/>
  <c r="AB1531" i="1" s="1"/>
  <c r="S936" i="1"/>
  <c r="AF936" i="1" s="1"/>
  <c r="N936" i="1"/>
  <c r="AA936" i="1" s="1"/>
  <c r="K902" i="1"/>
  <c r="X902" i="1" s="1"/>
  <c r="K1364" i="1"/>
  <c r="X1364" i="1" s="1"/>
  <c r="T469" i="1"/>
  <c r="AG469" i="1" s="1"/>
  <c r="P469" i="1"/>
  <c r="AC469" i="1" s="1"/>
  <c r="N281" i="1"/>
  <c r="AA281" i="1" s="1"/>
  <c r="M349" i="1"/>
  <c r="Z349" i="1" s="1"/>
  <c r="K133" i="1"/>
  <c r="X133" i="1" s="1"/>
  <c r="M339" i="1"/>
  <c r="Z339" i="1" s="1"/>
  <c r="L1171" i="1"/>
  <c r="Y1171" i="1" s="1"/>
  <c r="Q1101" i="1"/>
  <c r="AD1101" i="1" s="1"/>
  <c r="O723" i="1"/>
  <c r="AB723" i="1" s="1"/>
  <c r="P736" i="1"/>
  <c r="AC736" i="1" s="1"/>
  <c r="K413" i="1"/>
  <c r="X413" i="1" s="1"/>
  <c r="R413" i="1"/>
  <c r="AE413" i="1" s="1"/>
  <c r="L1293" i="1"/>
  <c r="Y1293" i="1" s="1"/>
  <c r="S1222" i="1"/>
  <c r="AF1222" i="1" s="1"/>
  <c r="K1351" i="1"/>
  <c r="X1351" i="1" s="1"/>
  <c r="O1351" i="1"/>
  <c r="AB1351" i="1" s="1"/>
  <c r="L1360" i="1"/>
  <c r="Y1360" i="1" s="1"/>
  <c r="L1319" i="1"/>
  <c r="Y1319" i="1" s="1"/>
  <c r="P1468" i="1"/>
  <c r="AC1468" i="1" s="1"/>
  <c r="O1468" i="1"/>
  <c r="AB1468" i="1" s="1"/>
  <c r="V1468" i="1"/>
  <c r="AI1468" i="1" s="1"/>
  <c r="N1468" i="1"/>
  <c r="AA1468" i="1" s="1"/>
  <c r="U1468" i="1"/>
  <c r="AH1468" i="1" s="1"/>
  <c r="M1468" i="1"/>
  <c r="Z1468" i="1" s="1"/>
  <c r="T1468" i="1"/>
  <c r="AG1468" i="1" s="1"/>
  <c r="L1468" i="1"/>
  <c r="Y1468" i="1" s="1"/>
  <c r="S1468" i="1"/>
  <c r="AF1468" i="1" s="1"/>
  <c r="K1468" i="1"/>
  <c r="X1468" i="1" s="1"/>
  <c r="R1468" i="1"/>
  <c r="AE1468" i="1" s="1"/>
  <c r="Q1468" i="1"/>
  <c r="AD1468" i="1" s="1"/>
  <c r="P1488" i="1"/>
  <c r="AC1488" i="1" s="1"/>
  <c r="O1488" i="1"/>
  <c r="AB1488" i="1" s="1"/>
  <c r="V1488" i="1"/>
  <c r="AI1488" i="1" s="1"/>
  <c r="N1488" i="1"/>
  <c r="AA1488" i="1" s="1"/>
  <c r="U1488" i="1"/>
  <c r="AH1488" i="1" s="1"/>
  <c r="M1488" i="1"/>
  <c r="Z1488" i="1" s="1"/>
  <c r="T1488" i="1"/>
  <c r="AG1488" i="1" s="1"/>
  <c r="L1488" i="1"/>
  <c r="Y1488" i="1" s="1"/>
  <c r="S1488" i="1"/>
  <c r="AF1488" i="1" s="1"/>
  <c r="K1488" i="1"/>
  <c r="X1488" i="1" s="1"/>
  <c r="R1488" i="1"/>
  <c r="AE1488" i="1" s="1"/>
  <c r="Q1488" i="1"/>
  <c r="AD1488" i="1" s="1"/>
  <c r="K1279" i="1"/>
  <c r="X1279" i="1" s="1"/>
  <c r="M944" i="1"/>
  <c r="Z944" i="1" s="1"/>
  <c r="P882" i="1"/>
  <c r="AC882" i="1" s="1"/>
  <c r="L975" i="1"/>
  <c r="Y975" i="1" s="1"/>
  <c r="Q724" i="1"/>
  <c r="AD724" i="1" s="1"/>
  <c r="N698" i="1"/>
  <c r="AA698" i="1" s="1"/>
  <c r="S272" i="1"/>
  <c r="AF272" i="1" s="1"/>
  <c r="P650" i="1"/>
  <c r="AC650" i="1" s="1"/>
  <c r="O1301" i="1"/>
  <c r="AB1301" i="1" s="1"/>
  <c r="R832" i="1"/>
  <c r="AE832" i="1" s="1"/>
  <c r="P1113" i="1"/>
  <c r="AC1113" i="1" s="1"/>
  <c r="O411" i="1"/>
  <c r="AB411" i="1" s="1"/>
  <c r="R1702" i="1"/>
  <c r="AE1702" i="1" s="1"/>
  <c r="Q1702" i="1"/>
  <c r="AD1702" i="1" s="1"/>
  <c r="P1702" i="1"/>
  <c r="AC1702" i="1" s="1"/>
  <c r="O1702" i="1"/>
  <c r="AB1702" i="1" s="1"/>
  <c r="V1702" i="1"/>
  <c r="AI1702" i="1" s="1"/>
  <c r="N1702" i="1"/>
  <c r="AA1702" i="1" s="1"/>
  <c r="U1702" i="1"/>
  <c r="AH1702" i="1" s="1"/>
  <c r="M1702" i="1"/>
  <c r="Z1702" i="1" s="1"/>
  <c r="T1702" i="1"/>
  <c r="AG1702" i="1" s="1"/>
  <c r="L1702" i="1"/>
  <c r="Y1702" i="1" s="1"/>
  <c r="K1702" i="1"/>
  <c r="X1702" i="1" s="1"/>
  <c r="S1702" i="1"/>
  <c r="AF1702" i="1" s="1"/>
  <c r="L1165" i="1"/>
  <c r="Y1165" i="1" s="1"/>
  <c r="Q945" i="1"/>
  <c r="AD945" i="1" s="1"/>
  <c r="L894" i="1"/>
  <c r="Y894" i="1" s="1"/>
  <c r="L729" i="1"/>
  <c r="Y729" i="1" s="1"/>
  <c r="Q729" i="1"/>
  <c r="AD729" i="1" s="1"/>
  <c r="N481" i="1"/>
  <c r="AA481" i="1" s="1"/>
  <c r="S1105" i="1"/>
  <c r="AF1105" i="1" s="1"/>
  <c r="M1296" i="1"/>
  <c r="Z1296" i="1" s="1"/>
  <c r="Q885" i="1"/>
  <c r="AD885" i="1" s="1"/>
  <c r="R885" i="1"/>
  <c r="AE885" i="1" s="1"/>
  <c r="O1255" i="1"/>
  <c r="AB1255" i="1" s="1"/>
  <c r="T1158" i="1"/>
  <c r="AG1158" i="1" s="1"/>
  <c r="K387" i="1"/>
  <c r="X387" i="1" s="1"/>
  <c r="O1182" i="1"/>
  <c r="AB1182" i="1" s="1"/>
  <c r="K1365" i="1"/>
  <c r="X1365" i="1" s="1"/>
  <c r="K1343" i="1"/>
  <c r="X1343" i="1" s="1"/>
  <c r="Q1299" i="1"/>
  <c r="AD1299" i="1" s="1"/>
  <c r="K1201" i="1"/>
  <c r="X1201" i="1" s="1"/>
  <c r="L1130" i="1"/>
  <c r="Y1130" i="1" s="1"/>
  <c r="M1533" i="1"/>
  <c r="Z1533" i="1" s="1"/>
  <c r="M1233" i="1"/>
  <c r="Z1233" i="1" s="1"/>
  <c r="K1574" i="1"/>
  <c r="X1574" i="1" s="1"/>
  <c r="L1494" i="1"/>
  <c r="Y1494" i="1" s="1"/>
  <c r="N1478" i="1"/>
  <c r="AA1478" i="1" s="1"/>
  <c r="M1339" i="1"/>
  <c r="Z1339" i="1" s="1"/>
  <c r="P1309" i="1"/>
  <c r="AC1309" i="1" s="1"/>
  <c r="L1358" i="1"/>
  <c r="Y1358" i="1" s="1"/>
  <c r="M1358" i="1"/>
  <c r="Z1358" i="1" s="1"/>
  <c r="K1189" i="1"/>
  <c r="X1189" i="1" s="1"/>
  <c r="O1157" i="1"/>
  <c r="AB1157" i="1" s="1"/>
  <c r="S934" i="1"/>
  <c r="AF934" i="1" s="1"/>
  <c r="P866" i="1"/>
  <c r="AC866" i="1" s="1"/>
  <c r="T1040" i="1"/>
  <c r="AG1040" i="1" s="1"/>
  <c r="R1000" i="1"/>
  <c r="AE1000" i="1" s="1"/>
  <c r="N833" i="1"/>
  <c r="AA833" i="1" s="1"/>
  <c r="O933" i="1"/>
  <c r="AB933" i="1" s="1"/>
  <c r="S624" i="1"/>
  <c r="AF624" i="1" s="1"/>
  <c r="S700" i="1"/>
  <c r="AF700" i="1" s="1"/>
  <c r="N725" i="1"/>
  <c r="AA725" i="1" s="1"/>
  <c r="L749" i="1"/>
  <c r="Y749" i="1" s="1"/>
  <c r="K510" i="1"/>
  <c r="X510" i="1" s="1"/>
  <c r="K461" i="1"/>
  <c r="X461" i="1" s="1"/>
  <c r="O345" i="1"/>
  <c r="AB345" i="1" s="1"/>
  <c r="L228" i="1"/>
  <c r="Y228" i="1" s="1"/>
  <c r="M228" i="1"/>
  <c r="Z228" i="1" s="1"/>
  <c r="P233" i="1"/>
  <c r="AC233" i="1" s="1"/>
  <c r="P287" i="1"/>
  <c r="AC287" i="1" s="1"/>
  <c r="M287" i="1"/>
  <c r="Z287" i="1" s="1"/>
  <c r="M205" i="1"/>
  <c r="Z205" i="1" s="1"/>
  <c r="S206" i="1"/>
  <c r="AF206" i="1" s="1"/>
  <c r="O166" i="1"/>
  <c r="AB166" i="1" s="1"/>
  <c r="Q22" i="1"/>
  <c r="AD22" i="1" s="1"/>
  <c r="N14" i="1"/>
  <c r="AA14" i="1" s="1"/>
  <c r="T14" i="1"/>
  <c r="AG14" i="1" s="1"/>
  <c r="N6" i="1"/>
  <c r="AA6" i="1" s="1"/>
  <c r="M477" i="1"/>
  <c r="Z477" i="1" s="1"/>
  <c r="P8" i="1"/>
  <c r="AC8" i="1" s="1"/>
  <c r="M884" i="1"/>
  <c r="Z884" i="1" s="1"/>
  <c r="P697" i="1"/>
  <c r="AC697" i="1" s="1"/>
  <c r="N697" i="1"/>
  <c r="AA697" i="1" s="1"/>
  <c r="P1062" i="1"/>
  <c r="AC1062" i="1" s="1"/>
  <c r="R1128" i="1"/>
  <c r="AE1128" i="1" s="1"/>
  <c r="R806" i="1"/>
  <c r="AE806" i="1" s="1"/>
  <c r="L385" i="1"/>
  <c r="Y385" i="1" s="1"/>
  <c r="P103" i="1"/>
  <c r="AC103" i="1" s="1"/>
  <c r="K23" i="1"/>
  <c r="X23" i="1" s="1"/>
  <c r="K1168" i="1"/>
  <c r="X1168" i="1" s="1"/>
  <c r="O216" i="1"/>
  <c r="AB216" i="1" s="1"/>
  <c r="P872" i="1"/>
  <c r="AC872" i="1" s="1"/>
  <c r="U872" i="1"/>
  <c r="AH872" i="1" s="1"/>
  <c r="N1256" i="1"/>
  <c r="AA1256" i="1" s="1"/>
  <c r="K1163" i="1"/>
  <c r="X1163" i="1" s="1"/>
  <c r="O973" i="1"/>
  <c r="AB973" i="1" s="1"/>
  <c r="K466" i="1"/>
  <c r="X466" i="1" s="1"/>
  <c r="L391" i="1"/>
  <c r="Y391" i="1" s="1"/>
  <c r="P1311" i="1"/>
  <c r="AC1311" i="1" s="1"/>
  <c r="P398" i="1"/>
  <c r="AC398" i="1" s="1"/>
  <c r="L864" i="1"/>
  <c r="Y864" i="1" s="1"/>
  <c r="K901" i="1"/>
  <c r="X901" i="1" s="1"/>
  <c r="K1363" i="1"/>
  <c r="X1363" i="1" s="1"/>
  <c r="L1076" i="1"/>
  <c r="Y1076" i="1" s="1"/>
  <c r="P1295" i="1"/>
  <c r="AC1295" i="1" s="1"/>
  <c r="M1295" i="1"/>
  <c r="Z1295" i="1" s="1"/>
  <c r="L755" i="1"/>
  <c r="Y755" i="1" s="1"/>
  <c r="Q755" i="1"/>
  <c r="AD755" i="1" s="1"/>
  <c r="O414" i="1"/>
  <c r="AB414" i="1" s="1"/>
  <c r="N1288" i="1"/>
  <c r="AA1288" i="1" s="1"/>
  <c r="R167" i="1"/>
  <c r="AE167" i="1" s="1"/>
  <c r="N1347" i="1"/>
  <c r="AA1347" i="1" s="1"/>
  <c r="V1180" i="1"/>
  <c r="AI1180" i="1" s="1"/>
  <c r="N1180" i="1"/>
  <c r="AA1180" i="1" s="1"/>
  <c r="U1180" i="1"/>
  <c r="AH1180" i="1" s="1"/>
  <c r="M1180" i="1"/>
  <c r="Z1180" i="1" s="1"/>
  <c r="T1180" i="1"/>
  <c r="AG1180" i="1" s="1"/>
  <c r="L1180" i="1"/>
  <c r="Y1180" i="1" s="1"/>
  <c r="S1180" i="1"/>
  <c r="AF1180" i="1" s="1"/>
  <c r="K1180" i="1"/>
  <c r="X1180" i="1" s="1"/>
  <c r="R1180" i="1"/>
  <c r="AE1180" i="1" s="1"/>
  <c r="Q1180" i="1"/>
  <c r="AD1180" i="1" s="1"/>
  <c r="P1180" i="1"/>
  <c r="AC1180" i="1" s="1"/>
  <c r="O1180" i="1"/>
  <c r="AB1180" i="1" s="1"/>
  <c r="O551" i="1"/>
  <c r="AB551" i="1" s="1"/>
  <c r="V551" i="1"/>
  <c r="AI551" i="1" s="1"/>
  <c r="N551" i="1"/>
  <c r="AA551" i="1" s="1"/>
  <c r="U551" i="1"/>
  <c r="AH551" i="1" s="1"/>
  <c r="M551" i="1"/>
  <c r="Z551" i="1" s="1"/>
  <c r="T551" i="1"/>
  <c r="AG551" i="1" s="1"/>
  <c r="L551" i="1"/>
  <c r="Y551" i="1" s="1"/>
  <c r="S551" i="1"/>
  <c r="AF551" i="1" s="1"/>
  <c r="K551" i="1"/>
  <c r="X551" i="1" s="1"/>
  <c r="R551" i="1"/>
  <c r="AE551" i="1" s="1"/>
  <c r="P551" i="1"/>
  <c r="AC551" i="1" s="1"/>
  <c r="Q551" i="1"/>
  <c r="AD551" i="1" s="1"/>
  <c r="S574" i="1"/>
  <c r="AF574" i="1" s="1"/>
  <c r="K574" i="1"/>
  <c r="X574" i="1" s="1"/>
  <c r="R574" i="1"/>
  <c r="AE574" i="1" s="1"/>
  <c r="Q574" i="1"/>
  <c r="AD574" i="1" s="1"/>
  <c r="P574" i="1"/>
  <c r="AC574" i="1" s="1"/>
  <c r="O574" i="1"/>
  <c r="AB574" i="1" s="1"/>
  <c r="V574" i="1"/>
  <c r="AI574" i="1" s="1"/>
  <c r="N574" i="1"/>
  <c r="AA574" i="1" s="1"/>
  <c r="T574" i="1"/>
  <c r="AG574" i="1" s="1"/>
  <c r="L574" i="1"/>
  <c r="Y574" i="1" s="1"/>
  <c r="U574" i="1"/>
  <c r="AH574" i="1" s="1"/>
  <c r="M574" i="1"/>
  <c r="Z574" i="1" s="1"/>
  <c r="O557" i="1"/>
  <c r="AB557" i="1" s="1"/>
  <c r="V557" i="1"/>
  <c r="AI557" i="1" s="1"/>
  <c r="N557" i="1"/>
  <c r="AA557" i="1" s="1"/>
  <c r="U557" i="1"/>
  <c r="AH557" i="1" s="1"/>
  <c r="M557" i="1"/>
  <c r="Z557" i="1" s="1"/>
  <c r="T557" i="1"/>
  <c r="AG557" i="1" s="1"/>
  <c r="L557" i="1"/>
  <c r="Y557" i="1" s="1"/>
  <c r="S557" i="1"/>
  <c r="AF557" i="1" s="1"/>
  <c r="K557" i="1"/>
  <c r="X557" i="1" s="1"/>
  <c r="R557" i="1"/>
  <c r="AE557" i="1" s="1"/>
  <c r="P557" i="1"/>
  <c r="AC557" i="1" s="1"/>
  <c r="Q557" i="1"/>
  <c r="AD557" i="1" s="1"/>
  <c r="V44" i="1"/>
  <c r="AI44" i="1" s="1"/>
  <c r="N44" i="1"/>
  <c r="AA44" i="1" s="1"/>
  <c r="U44" i="1"/>
  <c r="AH44" i="1" s="1"/>
  <c r="M44" i="1"/>
  <c r="Z44" i="1" s="1"/>
  <c r="T44" i="1"/>
  <c r="AG44" i="1" s="1"/>
  <c r="L44" i="1"/>
  <c r="Y44" i="1" s="1"/>
  <c r="S44" i="1"/>
  <c r="AF44" i="1" s="1"/>
  <c r="K44" i="1"/>
  <c r="X44" i="1" s="1"/>
  <c r="R44" i="1"/>
  <c r="AE44" i="1" s="1"/>
  <c r="Q44" i="1"/>
  <c r="AD44" i="1" s="1"/>
  <c r="O44" i="1"/>
  <c r="AB44" i="1" s="1"/>
  <c r="P44" i="1"/>
  <c r="AC44" i="1" s="1"/>
  <c r="Q1604" i="1"/>
  <c r="AD1604" i="1" s="1"/>
  <c r="O1604" i="1"/>
  <c r="AB1604" i="1" s="1"/>
  <c r="U1604" i="1"/>
  <c r="AH1604" i="1" s="1"/>
  <c r="K1604" i="1"/>
  <c r="X1604" i="1" s="1"/>
  <c r="T1604" i="1"/>
  <c r="AG1604" i="1" s="1"/>
  <c r="S1604" i="1"/>
  <c r="AF1604" i="1" s="1"/>
  <c r="R1604" i="1"/>
  <c r="AE1604" i="1" s="1"/>
  <c r="P1604" i="1"/>
  <c r="AC1604" i="1" s="1"/>
  <c r="N1604" i="1"/>
  <c r="AA1604" i="1" s="1"/>
  <c r="V1604" i="1"/>
  <c r="AI1604" i="1" s="1"/>
  <c r="L1604" i="1"/>
  <c r="Y1604" i="1" s="1"/>
  <c r="M1604" i="1"/>
  <c r="Z1604" i="1" s="1"/>
  <c r="O1408" i="1"/>
  <c r="AB1408" i="1" s="1"/>
  <c r="V1408" i="1"/>
  <c r="AI1408" i="1" s="1"/>
  <c r="N1408" i="1"/>
  <c r="AA1408" i="1" s="1"/>
  <c r="U1408" i="1"/>
  <c r="AH1408" i="1" s="1"/>
  <c r="M1408" i="1"/>
  <c r="Z1408" i="1" s="1"/>
  <c r="T1408" i="1"/>
  <c r="AG1408" i="1" s="1"/>
  <c r="L1408" i="1"/>
  <c r="Y1408" i="1" s="1"/>
  <c r="S1408" i="1"/>
  <c r="AF1408" i="1" s="1"/>
  <c r="K1408" i="1"/>
  <c r="X1408" i="1" s="1"/>
  <c r="R1408" i="1"/>
  <c r="AE1408" i="1" s="1"/>
  <c r="Q1408" i="1"/>
  <c r="AD1408" i="1" s="1"/>
  <c r="P1408" i="1"/>
  <c r="AC1408" i="1" s="1"/>
  <c r="P1462" i="1"/>
  <c r="AC1462" i="1" s="1"/>
  <c r="O1462" i="1"/>
  <c r="AB1462" i="1" s="1"/>
  <c r="V1462" i="1"/>
  <c r="AI1462" i="1" s="1"/>
  <c r="N1462" i="1"/>
  <c r="AA1462" i="1" s="1"/>
  <c r="U1462" i="1"/>
  <c r="AH1462" i="1" s="1"/>
  <c r="M1462" i="1"/>
  <c r="Z1462" i="1" s="1"/>
  <c r="T1462" i="1"/>
  <c r="AG1462" i="1" s="1"/>
  <c r="L1462" i="1"/>
  <c r="Y1462" i="1" s="1"/>
  <c r="S1462" i="1"/>
  <c r="AF1462" i="1" s="1"/>
  <c r="K1462" i="1"/>
  <c r="X1462" i="1" s="1"/>
  <c r="R1462" i="1"/>
  <c r="AE1462" i="1" s="1"/>
  <c r="Q1462" i="1"/>
  <c r="AD1462" i="1" s="1"/>
  <c r="O685" i="1"/>
  <c r="AB685" i="1" s="1"/>
  <c r="V685" i="1"/>
  <c r="AI685" i="1" s="1"/>
  <c r="N685" i="1"/>
  <c r="AA685" i="1" s="1"/>
  <c r="U685" i="1"/>
  <c r="AH685" i="1" s="1"/>
  <c r="M685" i="1"/>
  <c r="Z685" i="1" s="1"/>
  <c r="T685" i="1"/>
  <c r="AG685" i="1" s="1"/>
  <c r="L685" i="1"/>
  <c r="Y685" i="1" s="1"/>
  <c r="S685" i="1"/>
  <c r="AF685" i="1" s="1"/>
  <c r="K685" i="1"/>
  <c r="X685" i="1" s="1"/>
  <c r="R685" i="1"/>
  <c r="AE685" i="1" s="1"/>
  <c r="P685" i="1"/>
  <c r="AC685" i="1" s="1"/>
  <c r="Q685" i="1"/>
  <c r="AD685" i="1" s="1"/>
  <c r="S221" i="1"/>
  <c r="AF221" i="1" s="1"/>
  <c r="K221" i="1"/>
  <c r="X221" i="1" s="1"/>
  <c r="Q221" i="1"/>
  <c r="AD221" i="1" s="1"/>
  <c r="O221" i="1"/>
  <c r="AB221" i="1" s="1"/>
  <c r="R221" i="1"/>
  <c r="AE221" i="1" s="1"/>
  <c r="P221" i="1"/>
  <c r="AC221" i="1" s="1"/>
  <c r="N221" i="1"/>
  <c r="AA221" i="1" s="1"/>
  <c r="M221" i="1"/>
  <c r="Z221" i="1" s="1"/>
  <c r="L221" i="1"/>
  <c r="Y221" i="1" s="1"/>
  <c r="V221" i="1"/>
  <c r="AI221" i="1" s="1"/>
  <c r="T221" i="1"/>
  <c r="AG221" i="1" s="1"/>
  <c r="U221" i="1"/>
  <c r="AH221" i="1" s="1"/>
  <c r="U1607" i="1"/>
  <c r="AH1607" i="1" s="1"/>
  <c r="M1607" i="1"/>
  <c r="Z1607" i="1" s="1"/>
  <c r="S1607" i="1"/>
  <c r="AF1607" i="1" s="1"/>
  <c r="K1607" i="1"/>
  <c r="X1607" i="1" s="1"/>
  <c r="Q1607" i="1"/>
  <c r="AD1607" i="1" s="1"/>
  <c r="P1607" i="1"/>
  <c r="AC1607" i="1" s="1"/>
  <c r="O1607" i="1"/>
  <c r="AB1607" i="1" s="1"/>
  <c r="N1607" i="1"/>
  <c r="AA1607" i="1" s="1"/>
  <c r="L1607" i="1"/>
  <c r="Y1607" i="1" s="1"/>
  <c r="V1607" i="1"/>
  <c r="AI1607" i="1" s="1"/>
  <c r="R1607" i="1"/>
  <c r="AE1607" i="1" s="1"/>
  <c r="T1607" i="1"/>
  <c r="AG1607" i="1" s="1"/>
  <c r="M1183" i="1"/>
  <c r="Z1183" i="1" s="1"/>
  <c r="N963" i="1"/>
  <c r="AA963" i="1" s="1"/>
  <c r="N516" i="1"/>
  <c r="AA516" i="1" s="1"/>
  <c r="P157" i="1"/>
  <c r="AC157" i="1" s="1"/>
  <c r="M170" i="1"/>
  <c r="Z170" i="1" s="1"/>
  <c r="O1610" i="1"/>
  <c r="AB1610" i="1" s="1"/>
  <c r="K1444" i="1"/>
  <c r="X1444" i="1" s="1"/>
  <c r="M1506" i="1"/>
  <c r="Z1506" i="1" s="1"/>
  <c r="K956" i="1"/>
  <c r="X956" i="1" s="1"/>
  <c r="O152" i="1"/>
  <c r="AB152" i="1" s="1"/>
  <c r="S1379" i="1"/>
  <c r="AF1379" i="1" s="1"/>
  <c r="R1379" i="1"/>
  <c r="AE1379" i="1" s="1"/>
  <c r="Q1379" i="1"/>
  <c r="AD1379" i="1" s="1"/>
  <c r="P1379" i="1"/>
  <c r="AC1379" i="1" s="1"/>
  <c r="O1379" i="1"/>
  <c r="AB1379" i="1" s="1"/>
  <c r="V1379" i="1"/>
  <c r="AI1379" i="1" s="1"/>
  <c r="N1379" i="1"/>
  <c r="AA1379" i="1" s="1"/>
  <c r="U1379" i="1"/>
  <c r="AH1379" i="1" s="1"/>
  <c r="M1379" i="1"/>
  <c r="Z1379" i="1" s="1"/>
  <c r="T1379" i="1"/>
  <c r="AG1379" i="1" s="1"/>
  <c r="L1379" i="1"/>
  <c r="Y1379" i="1" s="1"/>
  <c r="K1379" i="1"/>
  <c r="X1379" i="1" s="1"/>
  <c r="N222" i="1"/>
  <c r="AA222" i="1" s="1"/>
  <c r="P1389" i="1"/>
  <c r="AC1389" i="1" s="1"/>
  <c r="L849" i="1"/>
  <c r="Y849" i="1" s="1"/>
  <c r="P1621" i="1"/>
  <c r="AC1621" i="1" s="1"/>
  <c r="V1621" i="1"/>
  <c r="AI1621" i="1" s="1"/>
  <c r="U1621" i="1"/>
  <c r="AH1621" i="1" s="1"/>
  <c r="M1621" i="1"/>
  <c r="Z1621" i="1" s="1"/>
  <c r="S1621" i="1"/>
  <c r="AF1621" i="1" s="1"/>
  <c r="K1621" i="1"/>
  <c r="X1621" i="1" s="1"/>
  <c r="Q1621" i="1"/>
  <c r="AD1621" i="1" s="1"/>
  <c r="T1621" i="1"/>
  <c r="AG1621" i="1" s="1"/>
  <c r="R1621" i="1"/>
  <c r="AE1621" i="1" s="1"/>
  <c r="O1621" i="1"/>
  <c r="AB1621" i="1" s="1"/>
  <c r="N1621" i="1"/>
  <c r="AA1621" i="1" s="1"/>
  <c r="L1621" i="1"/>
  <c r="Y1621" i="1" s="1"/>
  <c r="M1404" i="1"/>
  <c r="Z1404" i="1" s="1"/>
  <c r="O1558" i="1"/>
  <c r="AB1558" i="1" s="1"/>
  <c r="L1040" i="1"/>
  <c r="Y1040" i="1" s="1"/>
  <c r="K754" i="1"/>
  <c r="X754" i="1" s="1"/>
  <c r="M260" i="1"/>
  <c r="Z260" i="1" s="1"/>
  <c r="L118" i="1"/>
  <c r="Y118" i="1" s="1"/>
  <c r="L103" i="1"/>
  <c r="Y103" i="1" s="1"/>
  <c r="S518" i="1"/>
  <c r="AF518" i="1" s="1"/>
  <c r="S219" i="1"/>
  <c r="AF219" i="1" s="1"/>
  <c r="P1076" i="1"/>
  <c r="AC1076" i="1" s="1"/>
  <c r="S1557" i="1"/>
  <c r="AF1557" i="1" s="1"/>
  <c r="K1557" i="1"/>
  <c r="X1557" i="1" s="1"/>
  <c r="R1557" i="1"/>
  <c r="AE1557" i="1" s="1"/>
  <c r="Q1557" i="1"/>
  <c r="AD1557" i="1" s="1"/>
  <c r="P1557" i="1"/>
  <c r="AC1557" i="1" s="1"/>
  <c r="V1557" i="1"/>
  <c r="AI1557" i="1" s="1"/>
  <c r="N1557" i="1"/>
  <c r="AA1557" i="1" s="1"/>
  <c r="U1557" i="1"/>
  <c r="AH1557" i="1" s="1"/>
  <c r="T1557" i="1"/>
  <c r="AG1557" i="1" s="1"/>
  <c r="O1557" i="1"/>
  <c r="AB1557" i="1" s="1"/>
  <c r="M1557" i="1"/>
  <c r="Z1557" i="1" s="1"/>
  <c r="L1557" i="1"/>
  <c r="Y1557" i="1" s="1"/>
  <c r="P1106" i="1"/>
  <c r="AC1106" i="1" s="1"/>
  <c r="O1106" i="1"/>
  <c r="AB1106" i="1" s="1"/>
  <c r="V1106" i="1"/>
  <c r="AI1106" i="1" s="1"/>
  <c r="N1106" i="1"/>
  <c r="AA1106" i="1" s="1"/>
  <c r="U1106" i="1"/>
  <c r="AH1106" i="1" s="1"/>
  <c r="M1106" i="1"/>
  <c r="Z1106" i="1" s="1"/>
  <c r="T1106" i="1"/>
  <c r="AG1106" i="1" s="1"/>
  <c r="L1106" i="1"/>
  <c r="Y1106" i="1" s="1"/>
  <c r="S1106" i="1"/>
  <c r="AF1106" i="1" s="1"/>
  <c r="K1106" i="1"/>
  <c r="X1106" i="1" s="1"/>
  <c r="R1106" i="1"/>
  <c r="AE1106" i="1" s="1"/>
  <c r="Q1106" i="1"/>
  <c r="AD1106" i="1" s="1"/>
  <c r="R427" i="1"/>
  <c r="AE427" i="1" s="1"/>
  <c r="P427" i="1"/>
  <c r="AC427" i="1" s="1"/>
  <c r="O427" i="1"/>
  <c r="AB427" i="1" s="1"/>
  <c r="V427" i="1"/>
  <c r="AI427" i="1" s="1"/>
  <c r="N427" i="1"/>
  <c r="AA427" i="1" s="1"/>
  <c r="U427" i="1"/>
  <c r="AH427" i="1" s="1"/>
  <c r="M427" i="1"/>
  <c r="Z427" i="1" s="1"/>
  <c r="S427" i="1"/>
  <c r="AF427" i="1" s="1"/>
  <c r="K427" i="1"/>
  <c r="X427" i="1" s="1"/>
  <c r="T427" i="1"/>
  <c r="AG427" i="1" s="1"/>
  <c r="Q427" i="1"/>
  <c r="AD427" i="1" s="1"/>
  <c r="L427" i="1"/>
  <c r="Y427" i="1" s="1"/>
  <c r="U521" i="1"/>
  <c r="AH521" i="1" s="1"/>
  <c r="M521" i="1"/>
  <c r="Z521" i="1" s="1"/>
  <c r="S521" i="1"/>
  <c r="AF521" i="1" s="1"/>
  <c r="K521" i="1"/>
  <c r="X521" i="1" s="1"/>
  <c r="R521" i="1"/>
  <c r="AE521" i="1" s="1"/>
  <c r="P521" i="1"/>
  <c r="AC521" i="1" s="1"/>
  <c r="L521" i="1"/>
  <c r="Y521" i="1" s="1"/>
  <c r="V521" i="1"/>
  <c r="AI521" i="1" s="1"/>
  <c r="T521" i="1"/>
  <c r="AG521" i="1" s="1"/>
  <c r="Q521" i="1"/>
  <c r="AD521" i="1" s="1"/>
  <c r="N521" i="1"/>
  <c r="AA521" i="1" s="1"/>
  <c r="O521" i="1"/>
  <c r="AB521" i="1" s="1"/>
  <c r="O647" i="1"/>
  <c r="AB647" i="1" s="1"/>
  <c r="V647" i="1"/>
  <c r="AI647" i="1" s="1"/>
  <c r="N647" i="1"/>
  <c r="AA647" i="1" s="1"/>
  <c r="U647" i="1"/>
  <c r="AH647" i="1" s="1"/>
  <c r="M647" i="1"/>
  <c r="Z647" i="1" s="1"/>
  <c r="T647" i="1"/>
  <c r="AG647" i="1" s="1"/>
  <c r="L647" i="1"/>
  <c r="Y647" i="1" s="1"/>
  <c r="S647" i="1"/>
  <c r="AF647" i="1" s="1"/>
  <c r="K647" i="1"/>
  <c r="X647" i="1" s="1"/>
  <c r="R647" i="1"/>
  <c r="AE647" i="1" s="1"/>
  <c r="P647" i="1"/>
  <c r="AC647" i="1" s="1"/>
  <c r="Q647" i="1"/>
  <c r="AD647" i="1" s="1"/>
  <c r="V237" i="1"/>
  <c r="AI237" i="1" s="1"/>
  <c r="S237" i="1"/>
  <c r="AF237" i="1" s="1"/>
  <c r="K237" i="1"/>
  <c r="X237" i="1" s="1"/>
  <c r="Q237" i="1"/>
  <c r="AD237" i="1" s="1"/>
  <c r="O237" i="1"/>
  <c r="AB237" i="1" s="1"/>
  <c r="R237" i="1"/>
  <c r="AE237" i="1" s="1"/>
  <c r="P237" i="1"/>
  <c r="AC237" i="1" s="1"/>
  <c r="N237" i="1"/>
  <c r="AA237" i="1" s="1"/>
  <c r="M237" i="1"/>
  <c r="Z237" i="1" s="1"/>
  <c r="L237" i="1"/>
  <c r="Y237" i="1" s="1"/>
  <c r="T237" i="1"/>
  <c r="AG237" i="1" s="1"/>
  <c r="U237" i="1"/>
  <c r="AH237" i="1" s="1"/>
  <c r="R53" i="1"/>
  <c r="AE53" i="1" s="1"/>
  <c r="Q53" i="1"/>
  <c r="AD53" i="1" s="1"/>
  <c r="P53" i="1"/>
  <c r="AC53" i="1" s="1"/>
  <c r="O53" i="1"/>
  <c r="AB53" i="1" s="1"/>
  <c r="V53" i="1"/>
  <c r="AI53" i="1" s="1"/>
  <c r="N53" i="1"/>
  <c r="AA53" i="1" s="1"/>
  <c r="U53" i="1"/>
  <c r="AH53" i="1" s="1"/>
  <c r="M53" i="1"/>
  <c r="Z53" i="1" s="1"/>
  <c r="S53" i="1"/>
  <c r="AF53" i="1" s="1"/>
  <c r="K53" i="1"/>
  <c r="X53" i="1" s="1"/>
  <c r="T53" i="1"/>
  <c r="AG53" i="1" s="1"/>
  <c r="L53" i="1"/>
  <c r="Y53" i="1" s="1"/>
  <c r="V70" i="1"/>
  <c r="AI70" i="1" s="1"/>
  <c r="N70" i="1"/>
  <c r="AA70" i="1" s="1"/>
  <c r="U70" i="1"/>
  <c r="AH70" i="1" s="1"/>
  <c r="M70" i="1"/>
  <c r="Z70" i="1" s="1"/>
  <c r="T70" i="1"/>
  <c r="AG70" i="1" s="1"/>
  <c r="L70" i="1"/>
  <c r="Y70" i="1" s="1"/>
  <c r="S70" i="1"/>
  <c r="AF70" i="1" s="1"/>
  <c r="K70" i="1"/>
  <c r="X70" i="1" s="1"/>
  <c r="R70" i="1"/>
  <c r="AE70" i="1" s="1"/>
  <c r="Q70" i="1"/>
  <c r="AD70" i="1" s="1"/>
  <c r="O70" i="1"/>
  <c r="AB70" i="1" s="1"/>
  <c r="P70" i="1"/>
  <c r="AC70" i="1" s="1"/>
  <c r="O575" i="1"/>
  <c r="AB575" i="1" s="1"/>
  <c r="V575" i="1"/>
  <c r="AI575" i="1" s="1"/>
  <c r="N575" i="1"/>
  <c r="AA575" i="1" s="1"/>
  <c r="U575" i="1"/>
  <c r="AH575" i="1" s="1"/>
  <c r="M575" i="1"/>
  <c r="Z575" i="1" s="1"/>
  <c r="T575" i="1"/>
  <c r="AG575" i="1" s="1"/>
  <c r="L575" i="1"/>
  <c r="Y575" i="1" s="1"/>
  <c r="S575" i="1"/>
  <c r="AF575" i="1" s="1"/>
  <c r="K575" i="1"/>
  <c r="X575" i="1" s="1"/>
  <c r="R575" i="1"/>
  <c r="AE575" i="1" s="1"/>
  <c r="P575" i="1"/>
  <c r="AC575" i="1" s="1"/>
  <c r="Q575" i="1"/>
  <c r="AD575" i="1" s="1"/>
  <c r="O1394" i="1"/>
  <c r="AB1394" i="1" s="1"/>
  <c r="V1394" i="1"/>
  <c r="AI1394" i="1" s="1"/>
  <c r="N1394" i="1"/>
  <c r="AA1394" i="1" s="1"/>
  <c r="U1394" i="1"/>
  <c r="AH1394" i="1" s="1"/>
  <c r="M1394" i="1"/>
  <c r="Z1394" i="1" s="1"/>
  <c r="T1394" i="1"/>
  <c r="AG1394" i="1" s="1"/>
  <c r="L1394" i="1"/>
  <c r="Y1394" i="1" s="1"/>
  <c r="S1394" i="1"/>
  <c r="AF1394" i="1" s="1"/>
  <c r="K1394" i="1"/>
  <c r="X1394" i="1" s="1"/>
  <c r="R1394" i="1"/>
  <c r="AE1394" i="1" s="1"/>
  <c r="Q1394" i="1"/>
  <c r="AD1394" i="1" s="1"/>
  <c r="P1394" i="1"/>
  <c r="AC1394" i="1" s="1"/>
  <c r="U939" i="1"/>
  <c r="AH939" i="1" s="1"/>
  <c r="M939" i="1"/>
  <c r="Z939" i="1" s="1"/>
  <c r="R939" i="1"/>
  <c r="AE939" i="1" s="1"/>
  <c r="P939" i="1"/>
  <c r="AC939" i="1" s="1"/>
  <c r="T939" i="1"/>
  <c r="AG939" i="1" s="1"/>
  <c r="S939" i="1"/>
  <c r="AF939" i="1" s="1"/>
  <c r="Q939" i="1"/>
  <c r="AD939" i="1" s="1"/>
  <c r="O939" i="1"/>
  <c r="AB939" i="1" s="1"/>
  <c r="N939" i="1"/>
  <c r="AA939" i="1" s="1"/>
  <c r="L939" i="1"/>
  <c r="Y939" i="1" s="1"/>
  <c r="V939" i="1"/>
  <c r="AI939" i="1" s="1"/>
  <c r="K939" i="1"/>
  <c r="X939" i="1" s="1"/>
  <c r="S690" i="1"/>
  <c r="AF690" i="1" s="1"/>
  <c r="K690" i="1"/>
  <c r="X690" i="1" s="1"/>
  <c r="R690" i="1"/>
  <c r="AE690" i="1" s="1"/>
  <c r="Q690" i="1"/>
  <c r="AD690" i="1" s="1"/>
  <c r="P690" i="1"/>
  <c r="AC690" i="1" s="1"/>
  <c r="O690" i="1"/>
  <c r="AB690" i="1" s="1"/>
  <c r="V690" i="1"/>
  <c r="AI690" i="1" s="1"/>
  <c r="N690" i="1"/>
  <c r="AA690" i="1" s="1"/>
  <c r="T690" i="1"/>
  <c r="AG690" i="1" s="1"/>
  <c r="L690" i="1"/>
  <c r="Y690" i="1" s="1"/>
  <c r="U690" i="1"/>
  <c r="AH690" i="1" s="1"/>
  <c r="M690" i="1"/>
  <c r="Z690" i="1" s="1"/>
  <c r="U513" i="1"/>
  <c r="AH513" i="1" s="1"/>
  <c r="M513" i="1"/>
  <c r="Z513" i="1" s="1"/>
  <c r="R513" i="1"/>
  <c r="AE513" i="1" s="1"/>
  <c r="P513" i="1"/>
  <c r="AC513" i="1" s="1"/>
  <c r="Q513" i="1"/>
  <c r="AD513" i="1" s="1"/>
  <c r="N513" i="1"/>
  <c r="AA513" i="1" s="1"/>
  <c r="L513" i="1"/>
  <c r="Y513" i="1" s="1"/>
  <c r="K513" i="1"/>
  <c r="X513" i="1" s="1"/>
  <c r="V513" i="1"/>
  <c r="AI513" i="1" s="1"/>
  <c r="S513" i="1"/>
  <c r="AF513" i="1" s="1"/>
  <c r="T513" i="1"/>
  <c r="AG513" i="1" s="1"/>
  <c r="O513" i="1"/>
  <c r="AB513" i="1" s="1"/>
  <c r="O643" i="1"/>
  <c r="AB643" i="1" s="1"/>
  <c r="V643" i="1"/>
  <c r="AI643" i="1" s="1"/>
  <c r="N643" i="1"/>
  <c r="AA643" i="1" s="1"/>
  <c r="U643" i="1"/>
  <c r="AH643" i="1" s="1"/>
  <c r="M643" i="1"/>
  <c r="Z643" i="1" s="1"/>
  <c r="T643" i="1"/>
  <c r="AG643" i="1" s="1"/>
  <c r="L643" i="1"/>
  <c r="Y643" i="1" s="1"/>
  <c r="S643" i="1"/>
  <c r="AF643" i="1" s="1"/>
  <c r="K643" i="1"/>
  <c r="X643" i="1" s="1"/>
  <c r="R643" i="1"/>
  <c r="AE643" i="1" s="1"/>
  <c r="P643" i="1"/>
  <c r="AC643" i="1" s="1"/>
  <c r="Q643" i="1"/>
  <c r="AD643" i="1" s="1"/>
  <c r="V329" i="1"/>
  <c r="AI329" i="1" s="1"/>
  <c r="N329" i="1"/>
  <c r="AA329" i="1" s="1"/>
  <c r="U329" i="1"/>
  <c r="AH329" i="1" s="1"/>
  <c r="M329" i="1"/>
  <c r="Z329" i="1" s="1"/>
  <c r="S329" i="1"/>
  <c r="AF329" i="1" s="1"/>
  <c r="K329" i="1"/>
  <c r="X329" i="1" s="1"/>
  <c r="R329" i="1"/>
  <c r="AE329" i="1" s="1"/>
  <c r="Q329" i="1"/>
  <c r="AD329" i="1" s="1"/>
  <c r="P329" i="1"/>
  <c r="AC329" i="1" s="1"/>
  <c r="O329" i="1"/>
  <c r="AB329" i="1" s="1"/>
  <c r="L329" i="1"/>
  <c r="Y329" i="1" s="1"/>
  <c r="T329" i="1"/>
  <c r="AG329" i="1" s="1"/>
  <c r="R45" i="1"/>
  <c r="AE45" i="1" s="1"/>
  <c r="Q45" i="1"/>
  <c r="AD45" i="1" s="1"/>
  <c r="P45" i="1"/>
  <c r="AC45" i="1" s="1"/>
  <c r="O45" i="1"/>
  <c r="AB45" i="1" s="1"/>
  <c r="V45" i="1"/>
  <c r="AI45" i="1" s="1"/>
  <c r="N45" i="1"/>
  <c r="AA45" i="1" s="1"/>
  <c r="U45" i="1"/>
  <c r="AH45" i="1" s="1"/>
  <c r="M45" i="1"/>
  <c r="Z45" i="1" s="1"/>
  <c r="S45" i="1"/>
  <c r="AF45" i="1" s="1"/>
  <c r="K45" i="1"/>
  <c r="X45" i="1" s="1"/>
  <c r="L45" i="1"/>
  <c r="Y45" i="1" s="1"/>
  <c r="T45" i="1"/>
  <c r="AG45" i="1" s="1"/>
  <c r="O543" i="1"/>
  <c r="AB543" i="1" s="1"/>
  <c r="U543" i="1"/>
  <c r="AH543" i="1" s="1"/>
  <c r="M543" i="1"/>
  <c r="Z543" i="1" s="1"/>
  <c r="S543" i="1"/>
  <c r="AF543" i="1" s="1"/>
  <c r="K543" i="1"/>
  <c r="X543" i="1" s="1"/>
  <c r="R543" i="1"/>
  <c r="AE543" i="1" s="1"/>
  <c r="P543" i="1"/>
  <c r="AC543" i="1" s="1"/>
  <c r="Q543" i="1"/>
  <c r="AD543" i="1" s="1"/>
  <c r="N543" i="1"/>
  <c r="AA543" i="1" s="1"/>
  <c r="L543" i="1"/>
  <c r="Y543" i="1" s="1"/>
  <c r="T543" i="1"/>
  <c r="AG543" i="1" s="1"/>
  <c r="V543" i="1"/>
  <c r="AI543" i="1" s="1"/>
  <c r="P1649" i="1"/>
  <c r="AC1649" i="1" s="1"/>
  <c r="V1649" i="1"/>
  <c r="AI1649" i="1" s="1"/>
  <c r="N1649" i="1"/>
  <c r="AA1649" i="1" s="1"/>
  <c r="U1649" i="1"/>
  <c r="AH1649" i="1" s="1"/>
  <c r="M1649" i="1"/>
  <c r="Z1649" i="1" s="1"/>
  <c r="S1649" i="1"/>
  <c r="AF1649" i="1" s="1"/>
  <c r="K1649" i="1"/>
  <c r="X1649" i="1" s="1"/>
  <c r="Q1649" i="1"/>
  <c r="AD1649" i="1" s="1"/>
  <c r="T1649" i="1"/>
  <c r="AG1649" i="1" s="1"/>
  <c r="R1649" i="1"/>
  <c r="AE1649" i="1" s="1"/>
  <c r="O1649" i="1"/>
  <c r="AB1649" i="1" s="1"/>
  <c r="L1649" i="1"/>
  <c r="Y1649" i="1" s="1"/>
  <c r="R1690" i="1"/>
  <c r="AE1690" i="1" s="1"/>
  <c r="Q1690" i="1"/>
  <c r="AD1690" i="1" s="1"/>
  <c r="P1690" i="1"/>
  <c r="AC1690" i="1" s="1"/>
  <c r="O1690" i="1"/>
  <c r="AB1690" i="1" s="1"/>
  <c r="V1690" i="1"/>
  <c r="AI1690" i="1" s="1"/>
  <c r="N1690" i="1"/>
  <c r="AA1690" i="1" s="1"/>
  <c r="U1690" i="1"/>
  <c r="AH1690" i="1" s="1"/>
  <c r="M1690" i="1"/>
  <c r="Z1690" i="1" s="1"/>
  <c r="T1690" i="1"/>
  <c r="AG1690" i="1" s="1"/>
  <c r="L1690" i="1"/>
  <c r="Y1690" i="1" s="1"/>
  <c r="S1690" i="1"/>
  <c r="AF1690" i="1" s="1"/>
  <c r="K1690" i="1"/>
  <c r="X1690" i="1" s="1"/>
  <c r="O1382" i="1"/>
  <c r="AB1382" i="1" s="1"/>
  <c r="V1382" i="1"/>
  <c r="AI1382" i="1" s="1"/>
  <c r="N1382" i="1"/>
  <c r="AA1382" i="1" s="1"/>
  <c r="U1382" i="1"/>
  <c r="AH1382" i="1" s="1"/>
  <c r="M1382" i="1"/>
  <c r="Z1382" i="1" s="1"/>
  <c r="T1382" i="1"/>
  <c r="AG1382" i="1" s="1"/>
  <c r="L1382" i="1"/>
  <c r="Y1382" i="1" s="1"/>
  <c r="S1382" i="1"/>
  <c r="AF1382" i="1" s="1"/>
  <c r="K1382" i="1"/>
  <c r="X1382" i="1" s="1"/>
  <c r="R1382" i="1"/>
  <c r="AE1382" i="1" s="1"/>
  <c r="Q1382" i="1"/>
  <c r="AD1382" i="1" s="1"/>
  <c r="P1382" i="1"/>
  <c r="AC1382" i="1" s="1"/>
  <c r="U1575" i="1"/>
  <c r="AH1575" i="1" s="1"/>
  <c r="M1575" i="1"/>
  <c r="Z1575" i="1" s="1"/>
  <c r="T1575" i="1"/>
  <c r="AG1575" i="1" s="1"/>
  <c r="L1575" i="1"/>
  <c r="Y1575" i="1" s="1"/>
  <c r="S1575" i="1"/>
  <c r="AF1575" i="1" s="1"/>
  <c r="K1575" i="1"/>
  <c r="X1575" i="1" s="1"/>
  <c r="R1575" i="1"/>
  <c r="AE1575" i="1" s="1"/>
  <c r="Q1575" i="1"/>
  <c r="AD1575" i="1" s="1"/>
  <c r="P1575" i="1"/>
  <c r="AC1575" i="1" s="1"/>
  <c r="V1575" i="1"/>
  <c r="AI1575" i="1" s="1"/>
  <c r="N1575" i="1"/>
  <c r="AA1575" i="1" s="1"/>
  <c r="O1575" i="1"/>
  <c r="AB1575" i="1" s="1"/>
  <c r="S1393" i="1"/>
  <c r="AF1393" i="1" s="1"/>
  <c r="K1393" i="1"/>
  <c r="X1393" i="1" s="1"/>
  <c r="R1393" i="1"/>
  <c r="AE1393" i="1" s="1"/>
  <c r="Q1393" i="1"/>
  <c r="AD1393" i="1" s="1"/>
  <c r="P1393" i="1"/>
  <c r="AC1393" i="1" s="1"/>
  <c r="O1393" i="1"/>
  <c r="AB1393" i="1" s="1"/>
  <c r="V1393" i="1"/>
  <c r="AI1393" i="1" s="1"/>
  <c r="N1393" i="1"/>
  <c r="AA1393" i="1" s="1"/>
  <c r="U1393" i="1"/>
  <c r="AH1393" i="1" s="1"/>
  <c r="M1393" i="1"/>
  <c r="Z1393" i="1" s="1"/>
  <c r="L1393" i="1"/>
  <c r="Y1393" i="1" s="1"/>
  <c r="T1393" i="1"/>
  <c r="AG1393" i="1" s="1"/>
  <c r="Q797" i="1"/>
  <c r="AD797" i="1" s="1"/>
  <c r="P797" i="1"/>
  <c r="AC797" i="1" s="1"/>
  <c r="O797" i="1"/>
  <c r="AB797" i="1" s="1"/>
  <c r="V797" i="1"/>
  <c r="AI797" i="1" s="1"/>
  <c r="N797" i="1"/>
  <c r="AA797" i="1" s="1"/>
  <c r="U797" i="1"/>
  <c r="AH797" i="1" s="1"/>
  <c r="M797" i="1"/>
  <c r="Z797" i="1" s="1"/>
  <c r="T797" i="1"/>
  <c r="AG797" i="1" s="1"/>
  <c r="L797" i="1"/>
  <c r="Y797" i="1" s="1"/>
  <c r="R797" i="1"/>
  <c r="AE797" i="1" s="1"/>
  <c r="S797" i="1"/>
  <c r="AF797" i="1" s="1"/>
  <c r="K797" i="1"/>
  <c r="X797" i="1" s="1"/>
  <c r="V506" i="1"/>
  <c r="AI506" i="1" s="1"/>
  <c r="N506" i="1"/>
  <c r="AA506" i="1" s="1"/>
  <c r="T506" i="1"/>
  <c r="AG506" i="1" s="1"/>
  <c r="L506" i="1"/>
  <c r="Y506" i="1" s="1"/>
  <c r="S506" i="1"/>
  <c r="AF506" i="1" s="1"/>
  <c r="K506" i="1"/>
  <c r="X506" i="1" s="1"/>
  <c r="R506" i="1"/>
  <c r="AE506" i="1" s="1"/>
  <c r="Q506" i="1"/>
  <c r="AD506" i="1" s="1"/>
  <c r="O506" i="1"/>
  <c r="AB506" i="1" s="1"/>
  <c r="U506" i="1"/>
  <c r="AH506" i="1" s="1"/>
  <c r="P506" i="1"/>
  <c r="AC506" i="1" s="1"/>
  <c r="M506" i="1"/>
  <c r="Z506" i="1" s="1"/>
  <c r="Q924" i="1"/>
  <c r="AD924" i="1" s="1"/>
  <c r="V924" i="1"/>
  <c r="AI924" i="1" s="1"/>
  <c r="N924" i="1"/>
  <c r="AA924" i="1" s="1"/>
  <c r="T924" i="1"/>
  <c r="AG924" i="1" s="1"/>
  <c r="L924" i="1"/>
  <c r="Y924" i="1" s="1"/>
  <c r="U924" i="1"/>
  <c r="AH924" i="1" s="1"/>
  <c r="S924" i="1"/>
  <c r="AF924" i="1" s="1"/>
  <c r="R924" i="1"/>
  <c r="AE924" i="1" s="1"/>
  <c r="P924" i="1"/>
  <c r="AC924" i="1" s="1"/>
  <c r="O924" i="1"/>
  <c r="AB924" i="1" s="1"/>
  <c r="M924" i="1"/>
  <c r="Z924" i="1" s="1"/>
  <c r="K924" i="1"/>
  <c r="X924" i="1" s="1"/>
  <c r="T1630" i="1"/>
  <c r="AG1630" i="1" s="1"/>
  <c r="L1630" i="1"/>
  <c r="Y1630" i="1" s="1"/>
  <c r="R1630" i="1"/>
  <c r="AE1630" i="1" s="1"/>
  <c r="Q1630" i="1"/>
  <c r="AD1630" i="1" s="1"/>
  <c r="O1630" i="1"/>
  <c r="AB1630" i="1" s="1"/>
  <c r="U1630" i="1"/>
  <c r="AH1630" i="1" s="1"/>
  <c r="M1630" i="1"/>
  <c r="Z1630" i="1" s="1"/>
  <c r="V1630" i="1"/>
  <c r="AI1630" i="1" s="1"/>
  <c r="S1630" i="1"/>
  <c r="AF1630" i="1" s="1"/>
  <c r="P1630" i="1"/>
  <c r="AC1630" i="1" s="1"/>
  <c r="N1630" i="1"/>
  <c r="AA1630" i="1" s="1"/>
  <c r="K1630" i="1"/>
  <c r="X1630" i="1" s="1"/>
  <c r="L1269" i="1"/>
  <c r="Y1269" i="1" s="1"/>
  <c r="M1119" i="1"/>
  <c r="Z1119" i="1" s="1"/>
  <c r="K162" i="1"/>
  <c r="X162" i="1" s="1"/>
  <c r="N1376" i="1"/>
  <c r="AA1376" i="1" s="1"/>
  <c r="O1216" i="1"/>
  <c r="AB1216" i="1" s="1"/>
  <c r="N857" i="1"/>
  <c r="AA857" i="1" s="1"/>
  <c r="O963" i="1"/>
  <c r="AB963" i="1" s="1"/>
  <c r="Q753" i="1"/>
  <c r="AD753" i="1" s="1"/>
  <c r="L843" i="1"/>
  <c r="Y843" i="1" s="1"/>
  <c r="L741" i="1"/>
  <c r="Y741" i="1" s="1"/>
  <c r="O516" i="1"/>
  <c r="AB516" i="1" s="1"/>
  <c r="R465" i="1"/>
  <c r="AE465" i="1" s="1"/>
  <c r="N360" i="1"/>
  <c r="AA360" i="1" s="1"/>
  <c r="K807" i="1"/>
  <c r="X807" i="1" s="1"/>
  <c r="K709" i="1"/>
  <c r="X709" i="1" s="1"/>
  <c r="T378" i="1"/>
  <c r="AG378" i="1" s="1"/>
  <c r="S157" i="1"/>
  <c r="AF157" i="1" s="1"/>
  <c r="R157" i="1"/>
  <c r="AE157" i="1" s="1"/>
  <c r="M21" i="1"/>
  <c r="Z21" i="1" s="1"/>
  <c r="T1483" i="1"/>
  <c r="AG1483" i="1" s="1"/>
  <c r="L1483" i="1"/>
  <c r="Y1483" i="1" s="1"/>
  <c r="S1483" i="1"/>
  <c r="AF1483" i="1" s="1"/>
  <c r="K1483" i="1"/>
  <c r="X1483" i="1" s="1"/>
  <c r="R1483" i="1"/>
  <c r="AE1483" i="1" s="1"/>
  <c r="Q1483" i="1"/>
  <c r="AD1483" i="1" s="1"/>
  <c r="P1483" i="1"/>
  <c r="AC1483" i="1" s="1"/>
  <c r="O1483" i="1"/>
  <c r="AB1483" i="1" s="1"/>
  <c r="V1483" i="1"/>
  <c r="AI1483" i="1" s="1"/>
  <c r="N1483" i="1"/>
  <c r="AA1483" i="1" s="1"/>
  <c r="M1483" i="1"/>
  <c r="Z1483" i="1" s="1"/>
  <c r="U1483" i="1"/>
  <c r="AH1483" i="1" s="1"/>
  <c r="R1154" i="1"/>
  <c r="AE1154" i="1" s="1"/>
  <c r="P961" i="1"/>
  <c r="AC961" i="1" s="1"/>
  <c r="N961" i="1"/>
  <c r="AA961" i="1" s="1"/>
  <c r="O716" i="1"/>
  <c r="AB716" i="1" s="1"/>
  <c r="K716" i="1"/>
  <c r="X716" i="1" s="1"/>
  <c r="K289" i="1"/>
  <c r="X289" i="1" s="1"/>
  <c r="S213" i="1"/>
  <c r="AF213" i="1" s="1"/>
  <c r="K213" i="1"/>
  <c r="X213" i="1" s="1"/>
  <c r="Q213" i="1"/>
  <c r="AD213" i="1" s="1"/>
  <c r="O213" i="1"/>
  <c r="AB213" i="1" s="1"/>
  <c r="L213" i="1"/>
  <c r="Y213" i="1" s="1"/>
  <c r="V213" i="1"/>
  <c r="AI213" i="1" s="1"/>
  <c r="U213" i="1"/>
  <c r="AH213" i="1" s="1"/>
  <c r="T213" i="1"/>
  <c r="AG213" i="1" s="1"/>
  <c r="R213" i="1"/>
  <c r="AE213" i="1" s="1"/>
  <c r="P213" i="1"/>
  <c r="AC213" i="1" s="1"/>
  <c r="M213" i="1"/>
  <c r="Z213" i="1" s="1"/>
  <c r="N213" i="1"/>
  <c r="AA213" i="1" s="1"/>
  <c r="K168" i="1"/>
  <c r="X168" i="1" s="1"/>
  <c r="K208" i="1"/>
  <c r="X208" i="1" s="1"/>
  <c r="L170" i="1"/>
  <c r="Y170" i="1" s="1"/>
  <c r="O170" i="1"/>
  <c r="AB170" i="1" s="1"/>
  <c r="R1131" i="1"/>
  <c r="AE1131" i="1" s="1"/>
  <c r="N1371" i="1"/>
  <c r="AA1371" i="1" s="1"/>
  <c r="L889" i="1"/>
  <c r="Y889" i="1" s="1"/>
  <c r="N767" i="1"/>
  <c r="AA767" i="1" s="1"/>
  <c r="L117" i="1"/>
  <c r="Y117" i="1" s="1"/>
  <c r="O117" i="1"/>
  <c r="AB117" i="1" s="1"/>
  <c r="L1352" i="1"/>
  <c r="Y1352" i="1" s="1"/>
  <c r="M1352" i="1"/>
  <c r="Z1352" i="1" s="1"/>
  <c r="M352" i="1"/>
  <c r="Z352" i="1" s="1"/>
  <c r="L352" i="1"/>
  <c r="Y352" i="1" s="1"/>
  <c r="M1097" i="1"/>
  <c r="Z1097" i="1" s="1"/>
  <c r="K1097" i="1"/>
  <c r="X1097" i="1" s="1"/>
  <c r="N1320" i="1"/>
  <c r="AA1320" i="1" s="1"/>
  <c r="K1187" i="1"/>
  <c r="X1187" i="1" s="1"/>
  <c r="M1089" i="1"/>
  <c r="Z1089" i="1" s="1"/>
  <c r="K1089" i="1"/>
  <c r="X1089" i="1" s="1"/>
  <c r="K138" i="1"/>
  <c r="X138" i="1" s="1"/>
  <c r="O868" i="1"/>
  <c r="AB868" i="1" s="1"/>
  <c r="L868" i="1"/>
  <c r="Y868" i="1" s="1"/>
  <c r="K148" i="1"/>
  <c r="X148" i="1" s="1"/>
  <c r="K1377" i="1"/>
  <c r="X1377" i="1" s="1"/>
  <c r="K747" i="1"/>
  <c r="X747" i="1" s="1"/>
  <c r="K144" i="1"/>
  <c r="X144" i="1" s="1"/>
  <c r="N1088" i="1"/>
  <c r="AA1088" i="1" s="1"/>
  <c r="K1231" i="1"/>
  <c r="X1231" i="1" s="1"/>
  <c r="O1231" i="1"/>
  <c r="AB1231" i="1" s="1"/>
  <c r="Q740" i="1"/>
  <c r="AD740" i="1" s="1"/>
  <c r="M115" i="1"/>
  <c r="Z115" i="1" s="1"/>
  <c r="T403" i="1"/>
  <c r="AG403" i="1" s="1"/>
  <c r="N403" i="1"/>
  <c r="AA403" i="1" s="1"/>
  <c r="R1662" i="1"/>
  <c r="AE1662" i="1" s="1"/>
  <c r="K1714" i="1"/>
  <c r="X1714" i="1" s="1"/>
  <c r="O1714" i="1"/>
  <c r="AB1714" i="1" s="1"/>
  <c r="P1650" i="1"/>
  <c r="AC1650" i="1" s="1"/>
  <c r="K1582" i="1"/>
  <c r="X1582" i="1" s="1"/>
  <c r="K1709" i="1"/>
  <c r="X1709" i="1" s="1"/>
  <c r="Q1677" i="1"/>
  <c r="AD1677" i="1" s="1"/>
  <c r="O1661" i="1"/>
  <c r="AB1661" i="1" s="1"/>
  <c r="R1661" i="1"/>
  <c r="AE1661" i="1" s="1"/>
  <c r="P1613" i="1"/>
  <c r="AC1613" i="1" s="1"/>
  <c r="L1597" i="1"/>
  <c r="Y1597" i="1" s="1"/>
  <c r="K1597" i="1"/>
  <c r="X1597" i="1" s="1"/>
  <c r="T1664" i="1"/>
  <c r="AG1664" i="1" s="1"/>
  <c r="Q1648" i="1"/>
  <c r="AD1648" i="1" s="1"/>
  <c r="K1584" i="1"/>
  <c r="X1584" i="1" s="1"/>
  <c r="K1606" i="1"/>
  <c r="X1606" i="1" s="1"/>
  <c r="K1707" i="1"/>
  <c r="X1707" i="1" s="1"/>
  <c r="O1691" i="1"/>
  <c r="AB1691" i="1" s="1"/>
  <c r="K1359" i="1"/>
  <c r="X1359" i="1" s="1"/>
  <c r="Q1261" i="1"/>
  <c r="AD1261" i="1" s="1"/>
  <c r="M1513" i="1"/>
  <c r="Z1513" i="1" s="1"/>
  <c r="K1513" i="1"/>
  <c r="X1513" i="1" s="1"/>
  <c r="L1444" i="1"/>
  <c r="Y1444" i="1" s="1"/>
  <c r="M1217" i="1"/>
  <c r="Z1217" i="1" s="1"/>
  <c r="Q1570" i="1"/>
  <c r="AD1570" i="1" s="1"/>
  <c r="Q1506" i="1"/>
  <c r="AD1506" i="1" s="1"/>
  <c r="N1506" i="1"/>
  <c r="AA1506" i="1" s="1"/>
  <c r="L1490" i="1"/>
  <c r="Y1490" i="1" s="1"/>
  <c r="O1230" i="1"/>
  <c r="AB1230" i="1" s="1"/>
  <c r="M1230" i="1"/>
  <c r="Z1230" i="1" s="1"/>
  <c r="K1213" i="1"/>
  <c r="X1213" i="1" s="1"/>
  <c r="M1181" i="1"/>
  <c r="Z1181" i="1" s="1"/>
  <c r="O1129" i="1"/>
  <c r="AB1129" i="1" s="1"/>
  <c r="S898" i="1"/>
  <c r="AF898" i="1" s="1"/>
  <c r="Q898" i="1"/>
  <c r="AD898" i="1" s="1"/>
  <c r="S937" i="1"/>
  <c r="AF937" i="1" s="1"/>
  <c r="N825" i="1"/>
  <c r="AA825" i="1" s="1"/>
  <c r="N474" i="1"/>
  <c r="AA474" i="1" s="1"/>
  <c r="K165" i="1"/>
  <c r="X165" i="1" s="1"/>
  <c r="L183" i="1"/>
  <c r="Y183" i="1" s="1"/>
  <c r="N150" i="1"/>
  <c r="AA150" i="1" s="1"/>
  <c r="U1603" i="1"/>
  <c r="AH1603" i="1" s="1"/>
  <c r="M1603" i="1"/>
  <c r="Z1603" i="1" s="1"/>
  <c r="S1603" i="1"/>
  <c r="AF1603" i="1" s="1"/>
  <c r="K1603" i="1"/>
  <c r="X1603" i="1" s="1"/>
  <c r="L1603" i="1"/>
  <c r="Y1603" i="1" s="1"/>
  <c r="V1603" i="1"/>
  <c r="AI1603" i="1" s="1"/>
  <c r="T1603" i="1"/>
  <c r="AG1603" i="1" s="1"/>
  <c r="R1603" i="1"/>
  <c r="AE1603" i="1" s="1"/>
  <c r="Q1603" i="1"/>
  <c r="AD1603" i="1" s="1"/>
  <c r="P1603" i="1"/>
  <c r="AC1603" i="1" s="1"/>
  <c r="N1603" i="1"/>
  <c r="AA1603" i="1" s="1"/>
  <c r="O1603" i="1"/>
  <c r="AB1603" i="1" s="1"/>
  <c r="T1459" i="1"/>
  <c r="AG1459" i="1" s="1"/>
  <c r="L1459" i="1"/>
  <c r="Y1459" i="1" s="1"/>
  <c r="S1459" i="1"/>
  <c r="AF1459" i="1" s="1"/>
  <c r="K1459" i="1"/>
  <c r="X1459" i="1" s="1"/>
  <c r="R1459" i="1"/>
  <c r="AE1459" i="1" s="1"/>
  <c r="Q1459" i="1"/>
  <c r="AD1459" i="1" s="1"/>
  <c r="P1459" i="1"/>
  <c r="AC1459" i="1" s="1"/>
  <c r="O1459" i="1"/>
  <c r="AB1459" i="1" s="1"/>
  <c r="V1459" i="1"/>
  <c r="AI1459" i="1" s="1"/>
  <c r="N1459" i="1"/>
  <c r="AA1459" i="1" s="1"/>
  <c r="U1459" i="1"/>
  <c r="AH1459" i="1" s="1"/>
  <c r="M1459" i="1"/>
  <c r="Z1459" i="1" s="1"/>
  <c r="K841" i="1"/>
  <c r="X841" i="1" s="1"/>
  <c r="K733" i="1"/>
  <c r="X733" i="1" s="1"/>
  <c r="O416" i="1"/>
  <c r="AB416" i="1" s="1"/>
  <c r="R1103" i="1"/>
  <c r="AE1103" i="1" s="1"/>
  <c r="O1313" i="1"/>
  <c r="AB1313" i="1" s="1"/>
  <c r="K1285" i="1"/>
  <c r="X1285" i="1" s="1"/>
  <c r="K532" i="1"/>
  <c r="X532" i="1" s="1"/>
  <c r="V400" i="1"/>
  <c r="AI400" i="1" s="1"/>
  <c r="N400" i="1"/>
  <c r="AA400" i="1" s="1"/>
  <c r="T400" i="1"/>
  <c r="AG400" i="1" s="1"/>
  <c r="L400" i="1"/>
  <c r="Y400" i="1" s="1"/>
  <c r="R400" i="1"/>
  <c r="AE400" i="1" s="1"/>
  <c r="Q400" i="1"/>
  <c r="AD400" i="1" s="1"/>
  <c r="O400" i="1"/>
  <c r="AB400" i="1" s="1"/>
  <c r="U400" i="1"/>
  <c r="AH400" i="1" s="1"/>
  <c r="S400" i="1"/>
  <c r="AF400" i="1" s="1"/>
  <c r="P400" i="1"/>
  <c r="AC400" i="1" s="1"/>
  <c r="K400" i="1"/>
  <c r="X400" i="1" s="1"/>
  <c r="M400" i="1"/>
  <c r="Z400" i="1" s="1"/>
  <c r="L745" i="1"/>
  <c r="Y745" i="1" s="1"/>
  <c r="L1353" i="1"/>
  <c r="Y1353" i="1" s="1"/>
  <c r="N1254" i="1"/>
  <c r="AA1254" i="1" s="1"/>
  <c r="T1273" i="1"/>
  <c r="AG1273" i="1" s="1"/>
  <c r="R1225" i="1"/>
  <c r="AE1225" i="1" s="1"/>
  <c r="Q1225" i="1"/>
  <c r="AD1225" i="1" s="1"/>
  <c r="P1225" i="1"/>
  <c r="AC1225" i="1" s="1"/>
  <c r="O1225" i="1"/>
  <c r="AB1225" i="1" s="1"/>
  <c r="V1225" i="1"/>
  <c r="AI1225" i="1" s="1"/>
  <c r="N1225" i="1"/>
  <c r="AA1225" i="1" s="1"/>
  <c r="U1225" i="1"/>
  <c r="AH1225" i="1" s="1"/>
  <c r="M1225" i="1"/>
  <c r="Z1225" i="1" s="1"/>
  <c r="T1225" i="1"/>
  <c r="AG1225" i="1" s="1"/>
  <c r="L1225" i="1"/>
  <c r="Y1225" i="1" s="1"/>
  <c r="S1225" i="1"/>
  <c r="AF1225" i="1" s="1"/>
  <c r="K1225" i="1"/>
  <c r="X1225" i="1" s="1"/>
  <c r="O1524" i="1"/>
  <c r="AB1524" i="1" s="1"/>
  <c r="V1524" i="1"/>
  <c r="AI1524" i="1" s="1"/>
  <c r="N1524" i="1"/>
  <c r="AA1524" i="1" s="1"/>
  <c r="T1524" i="1"/>
  <c r="AG1524" i="1" s="1"/>
  <c r="L1524" i="1"/>
  <c r="Y1524" i="1" s="1"/>
  <c r="R1524" i="1"/>
  <c r="AE1524" i="1" s="1"/>
  <c r="U1524" i="1"/>
  <c r="AH1524" i="1" s="1"/>
  <c r="S1524" i="1"/>
  <c r="AF1524" i="1" s="1"/>
  <c r="Q1524" i="1"/>
  <c r="AD1524" i="1" s="1"/>
  <c r="P1524" i="1"/>
  <c r="AC1524" i="1" s="1"/>
  <c r="M1524" i="1"/>
  <c r="Z1524" i="1" s="1"/>
  <c r="K1524" i="1"/>
  <c r="X1524" i="1" s="1"/>
  <c r="V1287" i="1"/>
  <c r="AI1287" i="1" s="1"/>
  <c r="N1287" i="1"/>
  <c r="AA1287" i="1" s="1"/>
  <c r="U1287" i="1"/>
  <c r="AH1287" i="1" s="1"/>
  <c r="M1287" i="1"/>
  <c r="Z1287" i="1" s="1"/>
  <c r="S1287" i="1"/>
  <c r="AF1287" i="1" s="1"/>
  <c r="K1287" i="1"/>
  <c r="X1287" i="1" s="1"/>
  <c r="R1287" i="1"/>
  <c r="AE1287" i="1" s="1"/>
  <c r="Q1287" i="1"/>
  <c r="AD1287" i="1" s="1"/>
  <c r="T1287" i="1"/>
  <c r="AG1287" i="1" s="1"/>
  <c r="P1287" i="1"/>
  <c r="AC1287" i="1" s="1"/>
  <c r="O1287" i="1"/>
  <c r="AB1287" i="1" s="1"/>
  <c r="L1287" i="1"/>
  <c r="Y1287" i="1" s="1"/>
  <c r="P960" i="1"/>
  <c r="AC960" i="1" s="1"/>
  <c r="L881" i="1"/>
  <c r="Y881" i="1" s="1"/>
  <c r="N827" i="1"/>
  <c r="AA827" i="1" s="1"/>
  <c r="L863" i="1"/>
  <c r="Y863" i="1" s="1"/>
  <c r="S804" i="1"/>
  <c r="AF804" i="1" s="1"/>
  <c r="P802" i="1"/>
  <c r="AC802" i="1" s="1"/>
  <c r="T703" i="1"/>
  <c r="AG703" i="1" s="1"/>
  <c r="L714" i="1"/>
  <c r="Y714" i="1" s="1"/>
  <c r="M701" i="1"/>
  <c r="Z701" i="1" s="1"/>
  <c r="L520" i="1"/>
  <c r="Y520" i="1" s="1"/>
  <c r="K471" i="1"/>
  <c r="X471" i="1" s="1"/>
  <c r="N202" i="1"/>
  <c r="AA202" i="1" s="1"/>
  <c r="O142" i="1"/>
  <c r="AB142" i="1" s="1"/>
  <c r="K27" i="1"/>
  <c r="X27" i="1" s="1"/>
  <c r="O11" i="1"/>
  <c r="AB11" i="1" s="1"/>
  <c r="O831" i="1"/>
  <c r="AB831" i="1" s="1"/>
  <c r="L695" i="1"/>
  <c r="Y695" i="1" s="1"/>
  <c r="P478" i="1"/>
  <c r="AC478" i="1" s="1"/>
  <c r="L244" i="1"/>
  <c r="Y244" i="1" s="1"/>
  <c r="M230" i="1"/>
  <c r="Z230" i="1" s="1"/>
  <c r="Q1682" i="1"/>
  <c r="AD1682" i="1" s="1"/>
  <c r="P1682" i="1"/>
  <c r="AC1682" i="1" s="1"/>
  <c r="O1682" i="1"/>
  <c r="AB1682" i="1" s="1"/>
  <c r="V1682" i="1"/>
  <c r="AI1682" i="1" s="1"/>
  <c r="N1682" i="1"/>
  <c r="AA1682" i="1" s="1"/>
  <c r="U1682" i="1"/>
  <c r="AH1682" i="1" s="1"/>
  <c r="M1682" i="1"/>
  <c r="Z1682" i="1" s="1"/>
  <c r="T1682" i="1"/>
  <c r="AG1682" i="1" s="1"/>
  <c r="L1682" i="1"/>
  <c r="Y1682" i="1" s="1"/>
  <c r="S1682" i="1"/>
  <c r="AF1682" i="1" s="1"/>
  <c r="R1682" i="1"/>
  <c r="AE1682" i="1" s="1"/>
  <c r="K1682" i="1"/>
  <c r="X1682" i="1" s="1"/>
  <c r="P1635" i="1"/>
  <c r="AC1635" i="1" s="1"/>
  <c r="V1635" i="1"/>
  <c r="AI1635" i="1" s="1"/>
  <c r="N1635" i="1"/>
  <c r="AA1635" i="1" s="1"/>
  <c r="U1635" i="1"/>
  <c r="AH1635" i="1" s="1"/>
  <c r="M1635" i="1"/>
  <c r="Z1635" i="1" s="1"/>
  <c r="S1635" i="1"/>
  <c r="AF1635" i="1" s="1"/>
  <c r="K1635" i="1"/>
  <c r="X1635" i="1" s="1"/>
  <c r="Q1635" i="1"/>
  <c r="AD1635" i="1" s="1"/>
  <c r="T1635" i="1"/>
  <c r="AG1635" i="1" s="1"/>
  <c r="R1635" i="1"/>
  <c r="AE1635" i="1" s="1"/>
  <c r="O1635" i="1"/>
  <c r="AB1635" i="1" s="1"/>
  <c r="L1635" i="1"/>
  <c r="Y1635" i="1" s="1"/>
  <c r="P950" i="1"/>
  <c r="AC950" i="1" s="1"/>
  <c r="Q950" i="1"/>
  <c r="AD950" i="1" s="1"/>
  <c r="L1072" i="1"/>
  <c r="Y1072" i="1" s="1"/>
  <c r="T1026" i="1"/>
  <c r="AG1026" i="1" s="1"/>
  <c r="L1026" i="1"/>
  <c r="Y1026" i="1" s="1"/>
  <c r="S1026" i="1"/>
  <c r="AF1026" i="1" s="1"/>
  <c r="K1026" i="1"/>
  <c r="X1026" i="1" s="1"/>
  <c r="R1026" i="1"/>
  <c r="AE1026" i="1" s="1"/>
  <c r="Q1026" i="1"/>
  <c r="AD1026" i="1" s="1"/>
  <c r="P1026" i="1"/>
  <c r="AC1026" i="1" s="1"/>
  <c r="O1026" i="1"/>
  <c r="AB1026" i="1" s="1"/>
  <c r="V1026" i="1"/>
  <c r="AI1026" i="1" s="1"/>
  <c r="U1026" i="1"/>
  <c r="AH1026" i="1" s="1"/>
  <c r="N1026" i="1"/>
  <c r="AA1026" i="1" s="1"/>
  <c r="M1026" i="1"/>
  <c r="Z1026" i="1" s="1"/>
  <c r="N738" i="1"/>
  <c r="AA738" i="1" s="1"/>
  <c r="K395" i="1"/>
  <c r="X395" i="1" s="1"/>
  <c r="M110" i="1"/>
  <c r="Z110" i="1" s="1"/>
  <c r="O1220" i="1"/>
  <c r="AB1220" i="1" s="1"/>
  <c r="M1220" i="1"/>
  <c r="Z1220" i="1" s="1"/>
  <c r="O1223" i="1"/>
  <c r="AB1223" i="1" s="1"/>
  <c r="M707" i="1"/>
  <c r="Z707" i="1" s="1"/>
  <c r="M1196" i="1"/>
  <c r="Z1196" i="1" s="1"/>
  <c r="N895" i="1"/>
  <c r="AA895" i="1" s="1"/>
  <c r="P895" i="1"/>
  <c r="AC895" i="1" s="1"/>
  <c r="L708" i="1"/>
  <c r="Y708" i="1" s="1"/>
  <c r="K708" i="1"/>
  <c r="X708" i="1" s="1"/>
  <c r="K347" i="1"/>
  <c r="X347" i="1" s="1"/>
  <c r="P104" i="1"/>
  <c r="AC104" i="1" s="1"/>
  <c r="M104" i="1"/>
  <c r="Z104" i="1" s="1"/>
  <c r="Q1325" i="1"/>
  <c r="AD1325" i="1" s="1"/>
  <c r="N1325" i="1"/>
  <c r="AA1325" i="1" s="1"/>
  <c r="P1178" i="1"/>
  <c r="AC1178" i="1" s="1"/>
  <c r="R1297" i="1"/>
  <c r="AE1297" i="1" s="1"/>
  <c r="O374" i="1"/>
  <c r="AB374" i="1" s="1"/>
  <c r="O1374" i="1"/>
  <c r="AB1374" i="1" s="1"/>
  <c r="L1321" i="1"/>
  <c r="Y1321" i="1" s="1"/>
  <c r="M1535" i="1"/>
  <c r="Z1535" i="1" s="1"/>
  <c r="R1535" i="1"/>
  <c r="AE1535" i="1" s="1"/>
  <c r="R1519" i="1"/>
  <c r="AE1519" i="1" s="1"/>
  <c r="R1405" i="1"/>
  <c r="AE1405" i="1" s="1"/>
  <c r="R1389" i="1"/>
  <c r="AE1389" i="1" s="1"/>
  <c r="N1307" i="1"/>
  <c r="AA1307" i="1" s="1"/>
  <c r="Q1323" i="1"/>
  <c r="AD1323" i="1" s="1"/>
  <c r="N1323" i="1"/>
  <c r="AA1323" i="1" s="1"/>
  <c r="P1205" i="1"/>
  <c r="AC1205" i="1" s="1"/>
  <c r="K865" i="1"/>
  <c r="X865" i="1" s="1"/>
  <c r="O865" i="1"/>
  <c r="AB865" i="1" s="1"/>
  <c r="T1080" i="1"/>
  <c r="AG1080" i="1" s="1"/>
  <c r="N854" i="1"/>
  <c r="AA854" i="1" s="1"/>
  <c r="M799" i="1"/>
  <c r="Z799" i="1" s="1"/>
  <c r="P26" i="1"/>
  <c r="AC26" i="1" s="1"/>
  <c r="T26" i="1"/>
  <c r="AG26" i="1" s="1"/>
  <c r="Q10" i="1"/>
  <c r="AD10" i="1" s="1"/>
  <c r="V1717" i="1"/>
  <c r="AI1717" i="1" s="1"/>
  <c r="N1717" i="1"/>
  <c r="AA1717" i="1" s="1"/>
  <c r="U1717" i="1"/>
  <c r="AH1717" i="1" s="1"/>
  <c r="M1717" i="1"/>
  <c r="Z1717" i="1" s="1"/>
  <c r="T1717" i="1"/>
  <c r="AG1717" i="1" s="1"/>
  <c r="L1717" i="1"/>
  <c r="Y1717" i="1" s="1"/>
  <c r="S1717" i="1"/>
  <c r="AF1717" i="1" s="1"/>
  <c r="K1717" i="1"/>
  <c r="X1717" i="1" s="1"/>
  <c r="R1717" i="1"/>
  <c r="AE1717" i="1" s="1"/>
  <c r="Q1717" i="1"/>
  <c r="AD1717" i="1" s="1"/>
  <c r="P1717" i="1"/>
  <c r="AC1717" i="1" s="1"/>
  <c r="O1717" i="1"/>
  <c r="AB1717" i="1" s="1"/>
  <c r="U1587" i="1"/>
  <c r="AH1587" i="1" s="1"/>
  <c r="M1587" i="1"/>
  <c r="Z1587" i="1" s="1"/>
  <c r="T1587" i="1"/>
  <c r="AG1587" i="1" s="1"/>
  <c r="L1587" i="1"/>
  <c r="Y1587" i="1" s="1"/>
  <c r="S1587" i="1"/>
  <c r="AF1587" i="1" s="1"/>
  <c r="K1587" i="1"/>
  <c r="X1587" i="1" s="1"/>
  <c r="R1587" i="1"/>
  <c r="AE1587" i="1" s="1"/>
  <c r="Q1587" i="1"/>
  <c r="AD1587" i="1" s="1"/>
  <c r="P1587" i="1"/>
  <c r="AC1587" i="1" s="1"/>
  <c r="V1587" i="1"/>
  <c r="AI1587" i="1" s="1"/>
  <c r="N1587" i="1"/>
  <c r="AA1587" i="1" s="1"/>
  <c r="O1587" i="1"/>
  <c r="AB1587" i="1" s="1"/>
  <c r="N1349" i="1"/>
  <c r="AA1349" i="1" s="1"/>
  <c r="T1467" i="1"/>
  <c r="AG1467" i="1" s="1"/>
  <c r="L1467" i="1"/>
  <c r="Y1467" i="1" s="1"/>
  <c r="S1467" i="1"/>
  <c r="AF1467" i="1" s="1"/>
  <c r="K1467" i="1"/>
  <c r="X1467" i="1" s="1"/>
  <c r="R1467" i="1"/>
  <c r="AE1467" i="1" s="1"/>
  <c r="Q1467" i="1"/>
  <c r="AD1467" i="1" s="1"/>
  <c r="P1467" i="1"/>
  <c r="AC1467" i="1" s="1"/>
  <c r="O1467" i="1"/>
  <c r="AB1467" i="1" s="1"/>
  <c r="V1467" i="1"/>
  <c r="AI1467" i="1" s="1"/>
  <c r="N1467" i="1"/>
  <c r="AA1467" i="1" s="1"/>
  <c r="M1467" i="1"/>
  <c r="Z1467" i="1" s="1"/>
  <c r="U1467" i="1"/>
  <c r="AH1467" i="1" s="1"/>
  <c r="M1092" i="1"/>
  <c r="Z1092" i="1" s="1"/>
  <c r="M902" i="1"/>
  <c r="Z902" i="1" s="1"/>
  <c r="R493" i="1"/>
  <c r="AE493" i="1" s="1"/>
  <c r="P493" i="1"/>
  <c r="AC493" i="1" s="1"/>
  <c r="O493" i="1"/>
  <c r="AB493" i="1" s="1"/>
  <c r="V493" i="1"/>
  <c r="AI493" i="1" s="1"/>
  <c r="N493" i="1"/>
  <c r="AA493" i="1" s="1"/>
  <c r="U493" i="1"/>
  <c r="AH493" i="1" s="1"/>
  <c r="M493" i="1"/>
  <c r="Z493" i="1" s="1"/>
  <c r="S493" i="1"/>
  <c r="AF493" i="1" s="1"/>
  <c r="K493" i="1"/>
  <c r="X493" i="1" s="1"/>
  <c r="T493" i="1"/>
  <c r="AG493" i="1" s="1"/>
  <c r="Q493" i="1"/>
  <c r="AD493" i="1" s="1"/>
  <c r="L493" i="1"/>
  <c r="Y493" i="1" s="1"/>
  <c r="L514" i="1"/>
  <c r="Y514" i="1" s="1"/>
  <c r="K469" i="1"/>
  <c r="X469" i="1" s="1"/>
  <c r="R469" i="1"/>
  <c r="AE469" i="1" s="1"/>
  <c r="U339" i="1"/>
  <c r="AH339" i="1" s="1"/>
  <c r="M1050" i="1"/>
  <c r="Z1050" i="1" s="1"/>
  <c r="K1050" i="1"/>
  <c r="X1050" i="1" s="1"/>
  <c r="M528" i="1"/>
  <c r="Z528" i="1" s="1"/>
  <c r="O528" i="1"/>
  <c r="AB528" i="1" s="1"/>
  <c r="K1174" i="1"/>
  <c r="X1174" i="1" s="1"/>
  <c r="L397" i="1"/>
  <c r="Y397" i="1" s="1"/>
  <c r="N397" i="1"/>
  <c r="AA397" i="1" s="1"/>
  <c r="K512" i="1"/>
  <c r="X512" i="1" s="1"/>
  <c r="L1366" i="1"/>
  <c r="Y1366" i="1" s="1"/>
  <c r="M1366" i="1"/>
  <c r="Z1366" i="1" s="1"/>
  <c r="N1293" i="1"/>
  <c r="AA1293" i="1" s="1"/>
  <c r="L1222" i="1"/>
  <c r="Y1222" i="1" s="1"/>
  <c r="L1351" i="1"/>
  <c r="Y1351" i="1" s="1"/>
  <c r="L1242" i="1"/>
  <c r="Y1242" i="1" s="1"/>
  <c r="O1360" i="1"/>
  <c r="AB1360" i="1" s="1"/>
  <c r="N1360" i="1"/>
  <c r="AA1360" i="1" s="1"/>
  <c r="K1277" i="1"/>
  <c r="X1277" i="1" s="1"/>
  <c r="N1215" i="1"/>
  <c r="AA1215" i="1" s="1"/>
  <c r="K1369" i="1"/>
  <c r="X1369" i="1" s="1"/>
  <c r="O1418" i="1"/>
  <c r="AB1418" i="1" s="1"/>
  <c r="V1418" i="1"/>
  <c r="AI1418" i="1" s="1"/>
  <c r="N1418" i="1"/>
  <c r="AA1418" i="1" s="1"/>
  <c r="U1418" i="1"/>
  <c r="AH1418" i="1" s="1"/>
  <c r="M1418" i="1"/>
  <c r="Z1418" i="1" s="1"/>
  <c r="T1418" i="1"/>
  <c r="AG1418" i="1" s="1"/>
  <c r="L1418" i="1"/>
  <c r="Y1418" i="1" s="1"/>
  <c r="S1418" i="1"/>
  <c r="AF1418" i="1" s="1"/>
  <c r="K1418" i="1"/>
  <c r="X1418" i="1" s="1"/>
  <c r="R1418" i="1"/>
  <c r="AE1418" i="1" s="1"/>
  <c r="Q1418" i="1"/>
  <c r="AD1418" i="1" s="1"/>
  <c r="P1418" i="1"/>
  <c r="AC1418" i="1" s="1"/>
  <c r="P1470" i="1"/>
  <c r="AC1470" i="1" s="1"/>
  <c r="O1470" i="1"/>
  <c r="AB1470" i="1" s="1"/>
  <c r="V1470" i="1"/>
  <c r="AI1470" i="1" s="1"/>
  <c r="N1470" i="1"/>
  <c r="AA1470" i="1" s="1"/>
  <c r="U1470" i="1"/>
  <c r="AH1470" i="1" s="1"/>
  <c r="M1470" i="1"/>
  <c r="Z1470" i="1" s="1"/>
  <c r="T1470" i="1"/>
  <c r="AG1470" i="1" s="1"/>
  <c r="L1470" i="1"/>
  <c r="Y1470" i="1" s="1"/>
  <c r="S1470" i="1"/>
  <c r="AF1470" i="1" s="1"/>
  <c r="K1470" i="1"/>
  <c r="X1470" i="1" s="1"/>
  <c r="R1470" i="1"/>
  <c r="AE1470" i="1" s="1"/>
  <c r="Q1470" i="1"/>
  <c r="AD1470" i="1" s="1"/>
  <c r="O958" i="1"/>
  <c r="AB958" i="1" s="1"/>
  <c r="P944" i="1"/>
  <c r="AC944" i="1" s="1"/>
  <c r="O882" i="1"/>
  <c r="AB882" i="1" s="1"/>
  <c r="N882" i="1"/>
  <c r="AA882" i="1" s="1"/>
  <c r="T975" i="1"/>
  <c r="AG975" i="1" s="1"/>
  <c r="M928" i="1"/>
  <c r="Z928" i="1" s="1"/>
  <c r="K737" i="1"/>
  <c r="X737" i="1" s="1"/>
  <c r="M475" i="1"/>
  <c r="Z475" i="1" s="1"/>
  <c r="M463" i="1"/>
  <c r="Z463" i="1" s="1"/>
  <c r="M272" i="1"/>
  <c r="Z272" i="1" s="1"/>
  <c r="K1244" i="1"/>
  <c r="X1244" i="1" s="1"/>
  <c r="Q650" i="1"/>
  <c r="AD650" i="1" s="1"/>
  <c r="O1073" i="1"/>
  <c r="AB1073" i="1" s="1"/>
  <c r="R1247" i="1"/>
  <c r="AE1247" i="1" s="1"/>
  <c r="Q1247" i="1"/>
  <c r="AD1247" i="1" s="1"/>
  <c r="P1247" i="1"/>
  <c r="AC1247" i="1" s="1"/>
  <c r="O1247" i="1"/>
  <c r="AB1247" i="1" s="1"/>
  <c r="V1247" i="1"/>
  <c r="AI1247" i="1" s="1"/>
  <c r="N1247" i="1"/>
  <c r="AA1247" i="1" s="1"/>
  <c r="U1247" i="1"/>
  <c r="AH1247" i="1" s="1"/>
  <c r="M1247" i="1"/>
  <c r="Z1247" i="1" s="1"/>
  <c r="T1247" i="1"/>
  <c r="AG1247" i="1" s="1"/>
  <c r="L1247" i="1"/>
  <c r="Y1247" i="1" s="1"/>
  <c r="S1247" i="1"/>
  <c r="AF1247" i="1" s="1"/>
  <c r="K1247" i="1"/>
  <c r="X1247" i="1" s="1"/>
  <c r="P1301" i="1"/>
  <c r="AC1301" i="1" s="1"/>
  <c r="N1301" i="1"/>
  <c r="AA1301" i="1" s="1"/>
  <c r="L1210" i="1"/>
  <c r="Y1210" i="1" s="1"/>
  <c r="L1235" i="1"/>
  <c r="Y1235" i="1" s="1"/>
  <c r="K1251" i="1"/>
  <c r="X1251" i="1" s="1"/>
  <c r="L1109" i="1"/>
  <c r="Y1109" i="1" s="1"/>
  <c r="K832" i="1"/>
  <c r="X832" i="1" s="1"/>
  <c r="N1194" i="1"/>
  <c r="AA1194" i="1" s="1"/>
  <c r="P411" i="1"/>
  <c r="AC411" i="1" s="1"/>
  <c r="R1688" i="1"/>
  <c r="AE1688" i="1" s="1"/>
  <c r="Q1688" i="1"/>
  <c r="AD1688" i="1" s="1"/>
  <c r="P1688" i="1"/>
  <c r="AC1688" i="1" s="1"/>
  <c r="O1688" i="1"/>
  <c r="AB1688" i="1" s="1"/>
  <c r="V1688" i="1"/>
  <c r="AI1688" i="1" s="1"/>
  <c r="N1688" i="1"/>
  <c r="AA1688" i="1" s="1"/>
  <c r="U1688" i="1"/>
  <c r="AH1688" i="1" s="1"/>
  <c r="M1688" i="1"/>
  <c r="Z1688" i="1" s="1"/>
  <c r="T1688" i="1"/>
  <c r="AG1688" i="1" s="1"/>
  <c r="L1688" i="1"/>
  <c r="Y1688" i="1" s="1"/>
  <c r="S1688" i="1"/>
  <c r="AF1688" i="1" s="1"/>
  <c r="K1688" i="1"/>
  <c r="X1688" i="1" s="1"/>
  <c r="O1151" i="1"/>
  <c r="AB1151" i="1" s="1"/>
  <c r="M894" i="1"/>
  <c r="Z894" i="1" s="1"/>
  <c r="T481" i="1"/>
  <c r="AG481" i="1" s="1"/>
  <c r="K90" i="1"/>
  <c r="X90" i="1" s="1"/>
  <c r="T1067" i="1"/>
  <c r="AG1067" i="1" s="1"/>
  <c r="L1067" i="1"/>
  <c r="Y1067" i="1" s="1"/>
  <c r="S1067" i="1"/>
  <c r="AF1067" i="1" s="1"/>
  <c r="K1067" i="1"/>
  <c r="X1067" i="1" s="1"/>
  <c r="R1067" i="1"/>
  <c r="AE1067" i="1" s="1"/>
  <c r="Q1067" i="1"/>
  <c r="AD1067" i="1" s="1"/>
  <c r="P1067" i="1"/>
  <c r="AC1067" i="1" s="1"/>
  <c r="O1067" i="1"/>
  <c r="AB1067" i="1" s="1"/>
  <c r="V1067" i="1"/>
  <c r="AI1067" i="1" s="1"/>
  <c r="N1067" i="1"/>
  <c r="AA1067" i="1" s="1"/>
  <c r="U1067" i="1"/>
  <c r="AH1067" i="1" s="1"/>
  <c r="M1067" i="1"/>
  <c r="Z1067" i="1" s="1"/>
  <c r="N1105" i="1"/>
  <c r="AA1105" i="1" s="1"/>
  <c r="L1105" i="1"/>
  <c r="Y1105" i="1" s="1"/>
  <c r="T885" i="1"/>
  <c r="AG885" i="1" s="1"/>
  <c r="L1218" i="1"/>
  <c r="Y1218" i="1" s="1"/>
  <c r="N1093" i="1"/>
  <c r="AA1093" i="1" s="1"/>
  <c r="N1255" i="1"/>
  <c r="AA1255" i="1" s="1"/>
  <c r="M1158" i="1"/>
  <c r="Z1158" i="1" s="1"/>
  <c r="L407" i="1"/>
  <c r="Y407" i="1" s="1"/>
  <c r="P1182" i="1"/>
  <c r="AC1182" i="1" s="1"/>
  <c r="L1365" i="1"/>
  <c r="Y1365" i="1" s="1"/>
  <c r="O1365" i="1"/>
  <c r="AB1365" i="1" s="1"/>
  <c r="L1343" i="1"/>
  <c r="Y1343" i="1" s="1"/>
  <c r="R1299" i="1"/>
  <c r="AE1299" i="1" s="1"/>
  <c r="T1130" i="1"/>
  <c r="AG1130" i="1" s="1"/>
  <c r="O1533" i="1"/>
  <c r="AB1533" i="1" s="1"/>
  <c r="R1533" i="1"/>
  <c r="AE1533" i="1" s="1"/>
  <c r="N1404" i="1"/>
  <c r="AA1404" i="1" s="1"/>
  <c r="O1574" i="1"/>
  <c r="AB1574" i="1" s="1"/>
  <c r="L1558" i="1"/>
  <c r="Y1558" i="1" s="1"/>
  <c r="N1542" i="1"/>
  <c r="AA1542" i="1" s="1"/>
  <c r="T1494" i="1"/>
  <c r="AG1494" i="1" s="1"/>
  <c r="Q1309" i="1"/>
  <c r="AD1309" i="1" s="1"/>
  <c r="N1309" i="1"/>
  <c r="AA1309" i="1" s="1"/>
  <c r="M1294" i="1"/>
  <c r="Z1294" i="1" s="1"/>
  <c r="M1361" i="1"/>
  <c r="Z1361" i="1" s="1"/>
  <c r="R934" i="1"/>
  <c r="AE934" i="1" s="1"/>
  <c r="N934" i="1"/>
  <c r="AA934" i="1" s="1"/>
  <c r="L1064" i="1"/>
  <c r="Y1064" i="1" s="1"/>
  <c r="O1024" i="1"/>
  <c r="AB1024" i="1" s="1"/>
  <c r="O1008" i="1"/>
  <c r="AB1008" i="1" s="1"/>
  <c r="O754" i="1"/>
  <c r="AB754" i="1" s="1"/>
  <c r="L754" i="1"/>
  <c r="Y754" i="1" s="1"/>
  <c r="P933" i="1"/>
  <c r="AC933" i="1" s="1"/>
  <c r="O828" i="1"/>
  <c r="AB828" i="1" s="1"/>
  <c r="K725" i="1"/>
  <c r="X725" i="1" s="1"/>
  <c r="L720" i="1"/>
  <c r="Y720" i="1" s="1"/>
  <c r="K720" i="1"/>
  <c r="X720" i="1" s="1"/>
  <c r="V462" i="1"/>
  <c r="AI462" i="1" s="1"/>
  <c r="N462" i="1"/>
  <c r="AA462" i="1" s="1"/>
  <c r="T462" i="1"/>
  <c r="AG462" i="1" s="1"/>
  <c r="L462" i="1"/>
  <c r="Y462" i="1" s="1"/>
  <c r="S462" i="1"/>
  <c r="AF462" i="1" s="1"/>
  <c r="K462" i="1"/>
  <c r="X462" i="1" s="1"/>
  <c r="R462" i="1"/>
  <c r="AE462" i="1" s="1"/>
  <c r="Q462" i="1"/>
  <c r="AD462" i="1" s="1"/>
  <c r="O462" i="1"/>
  <c r="AB462" i="1" s="1"/>
  <c r="U462" i="1"/>
  <c r="AH462" i="1" s="1"/>
  <c r="P462" i="1"/>
  <c r="AC462" i="1" s="1"/>
  <c r="M462" i="1"/>
  <c r="Z462" i="1" s="1"/>
  <c r="N260" i="1"/>
  <c r="AA260" i="1" s="1"/>
  <c r="L265" i="1"/>
  <c r="Y265" i="1" s="1"/>
  <c r="T233" i="1"/>
  <c r="AG233" i="1" s="1"/>
  <c r="K233" i="1"/>
  <c r="X233" i="1" s="1"/>
  <c r="N246" i="1"/>
  <c r="AA246" i="1" s="1"/>
  <c r="O287" i="1"/>
  <c r="AB287" i="1" s="1"/>
  <c r="N205" i="1"/>
  <c r="AA205" i="1" s="1"/>
  <c r="M206" i="1"/>
  <c r="Z206" i="1" s="1"/>
  <c r="P118" i="1"/>
  <c r="AC118" i="1" s="1"/>
  <c r="M118" i="1"/>
  <c r="Z118" i="1" s="1"/>
  <c r="P14" i="1"/>
  <c r="AC14" i="1" s="1"/>
  <c r="M14" i="1"/>
  <c r="Z14" i="1" s="1"/>
  <c r="M8" i="1"/>
  <c r="Z8" i="1" s="1"/>
  <c r="N396" i="1"/>
  <c r="AA396" i="1" s="1"/>
  <c r="N410" i="1"/>
  <c r="AA410" i="1" s="1"/>
  <c r="K1128" i="1"/>
  <c r="X1128" i="1" s="1"/>
  <c r="O962" i="1"/>
  <c r="AB962" i="1" s="1"/>
  <c r="K806" i="1"/>
  <c r="X806" i="1" s="1"/>
  <c r="O385" i="1"/>
  <c r="AB385" i="1" s="1"/>
  <c r="P385" i="1"/>
  <c r="AC385" i="1" s="1"/>
  <c r="O1166" i="1"/>
  <c r="AB1166" i="1" s="1"/>
  <c r="M1166" i="1"/>
  <c r="Z1166" i="1" s="1"/>
  <c r="Q872" i="1"/>
  <c r="AD872" i="1" s="1"/>
  <c r="P1256" i="1"/>
  <c r="AC1256" i="1" s="1"/>
  <c r="N1170" i="1"/>
  <c r="AA1170" i="1" s="1"/>
  <c r="P973" i="1"/>
  <c r="AC973" i="1" s="1"/>
  <c r="S466" i="1"/>
  <c r="AF466" i="1" s="1"/>
  <c r="K1160" i="1"/>
  <c r="X1160" i="1" s="1"/>
  <c r="N1127" i="1"/>
  <c r="AA1127" i="1" s="1"/>
  <c r="L1127" i="1"/>
  <c r="Y1127" i="1" s="1"/>
  <c r="Q391" i="1"/>
  <c r="AD391" i="1" s="1"/>
  <c r="P391" i="1"/>
  <c r="AC391" i="1" s="1"/>
  <c r="Q1311" i="1"/>
  <c r="AD1311" i="1" s="1"/>
  <c r="N1311" i="1"/>
  <c r="AA1311" i="1" s="1"/>
  <c r="M398" i="1"/>
  <c r="Z398" i="1" s="1"/>
  <c r="M219" i="1"/>
  <c r="Z219" i="1" s="1"/>
  <c r="N864" i="1"/>
  <c r="AA864" i="1" s="1"/>
  <c r="L1363" i="1"/>
  <c r="Y1363" i="1" s="1"/>
  <c r="K1167" i="1"/>
  <c r="X1167" i="1" s="1"/>
  <c r="Q414" i="1"/>
  <c r="AD414" i="1" s="1"/>
  <c r="O1060" i="1"/>
  <c r="AB1060" i="1" s="1"/>
  <c r="L1271" i="1"/>
  <c r="Y1271" i="1" s="1"/>
  <c r="M1271" i="1"/>
  <c r="Z1271" i="1" s="1"/>
  <c r="L524" i="1"/>
  <c r="Y524" i="1" s="1"/>
  <c r="L209" i="1"/>
  <c r="Y209" i="1" s="1"/>
  <c r="O209" i="1"/>
  <c r="AB209" i="1" s="1"/>
  <c r="Q856" i="1"/>
  <c r="AD856" i="1" s="1"/>
  <c r="P1288" i="1"/>
  <c r="AC1288" i="1" s="1"/>
  <c r="K1347" i="1"/>
  <c r="X1347" i="1" s="1"/>
  <c r="V1354" i="1"/>
  <c r="AI1354" i="1" s="1"/>
  <c r="N1354" i="1"/>
  <c r="AA1354" i="1" s="1"/>
  <c r="U1354" i="1"/>
  <c r="AH1354" i="1" s="1"/>
  <c r="M1354" i="1"/>
  <c r="Z1354" i="1" s="1"/>
  <c r="S1354" i="1"/>
  <c r="AF1354" i="1" s="1"/>
  <c r="K1354" i="1"/>
  <c r="X1354" i="1" s="1"/>
  <c r="R1354" i="1"/>
  <c r="AE1354" i="1" s="1"/>
  <c r="Q1354" i="1"/>
  <c r="AD1354" i="1" s="1"/>
  <c r="T1354" i="1"/>
  <c r="AG1354" i="1" s="1"/>
  <c r="P1354" i="1"/>
  <c r="AC1354" i="1" s="1"/>
  <c r="O1354" i="1"/>
  <c r="AB1354" i="1" s="1"/>
  <c r="L1354" i="1"/>
  <c r="Y1354" i="1" s="1"/>
  <c r="R507" i="1"/>
  <c r="AE507" i="1" s="1"/>
  <c r="P507" i="1"/>
  <c r="AC507" i="1" s="1"/>
  <c r="O507" i="1"/>
  <c r="AB507" i="1" s="1"/>
  <c r="V507" i="1"/>
  <c r="AI507" i="1" s="1"/>
  <c r="N507" i="1"/>
  <c r="AA507" i="1" s="1"/>
  <c r="U507" i="1"/>
  <c r="AH507" i="1" s="1"/>
  <c r="M507" i="1"/>
  <c r="Z507" i="1" s="1"/>
  <c r="S507" i="1"/>
  <c r="AF507" i="1" s="1"/>
  <c r="K507" i="1"/>
  <c r="X507" i="1" s="1"/>
  <c r="T507" i="1"/>
  <c r="AG507" i="1" s="1"/>
  <c r="Q507" i="1"/>
  <c r="AD507" i="1" s="1"/>
  <c r="L507" i="1"/>
  <c r="Y507" i="1" s="1"/>
  <c r="V253" i="1"/>
  <c r="AI253" i="1" s="1"/>
  <c r="N253" i="1"/>
  <c r="AA253" i="1" s="1"/>
  <c r="U253" i="1"/>
  <c r="AH253" i="1" s="1"/>
  <c r="M253" i="1"/>
  <c r="Z253" i="1" s="1"/>
  <c r="T253" i="1"/>
  <c r="AG253" i="1" s="1"/>
  <c r="L253" i="1"/>
  <c r="Y253" i="1" s="1"/>
  <c r="S253" i="1"/>
  <c r="AF253" i="1" s="1"/>
  <c r="K253" i="1"/>
  <c r="X253" i="1" s="1"/>
  <c r="R253" i="1"/>
  <c r="AE253" i="1" s="1"/>
  <c r="Q253" i="1"/>
  <c r="AD253" i="1" s="1"/>
  <c r="O253" i="1"/>
  <c r="AB253" i="1" s="1"/>
  <c r="P253" i="1"/>
  <c r="AC253" i="1" s="1"/>
  <c r="S536" i="1"/>
  <c r="AF536" i="1" s="1"/>
  <c r="K536" i="1"/>
  <c r="X536" i="1" s="1"/>
  <c r="Q536" i="1"/>
  <c r="AD536" i="1" s="1"/>
  <c r="O536" i="1"/>
  <c r="AB536" i="1" s="1"/>
  <c r="V536" i="1"/>
  <c r="AI536" i="1" s="1"/>
  <c r="N536" i="1"/>
  <c r="AA536" i="1" s="1"/>
  <c r="T536" i="1"/>
  <c r="AG536" i="1" s="1"/>
  <c r="L536" i="1"/>
  <c r="Y536" i="1" s="1"/>
  <c r="P536" i="1"/>
  <c r="AC536" i="1" s="1"/>
  <c r="M536" i="1"/>
  <c r="Z536" i="1" s="1"/>
  <c r="R536" i="1"/>
  <c r="AE536" i="1" s="1"/>
  <c r="U536" i="1"/>
  <c r="AH536" i="1" s="1"/>
  <c r="R242" i="1"/>
  <c r="AE242" i="1" s="1"/>
  <c r="Q242" i="1"/>
  <c r="AD242" i="1" s="1"/>
  <c r="P242" i="1"/>
  <c r="AC242" i="1" s="1"/>
  <c r="O242" i="1"/>
  <c r="AB242" i="1" s="1"/>
  <c r="U242" i="1"/>
  <c r="AH242" i="1" s="1"/>
  <c r="M242" i="1"/>
  <c r="Z242" i="1" s="1"/>
  <c r="S242" i="1"/>
  <c r="AF242" i="1" s="1"/>
  <c r="K242" i="1"/>
  <c r="X242" i="1" s="1"/>
  <c r="V242" i="1"/>
  <c r="AI242" i="1" s="1"/>
  <c r="T242" i="1"/>
  <c r="AG242" i="1" s="1"/>
  <c r="L242" i="1"/>
  <c r="Y242" i="1" s="1"/>
  <c r="N242" i="1"/>
  <c r="AA242" i="1" s="1"/>
  <c r="U1681" i="1"/>
  <c r="AH1681" i="1" s="1"/>
  <c r="M1681" i="1"/>
  <c r="Z1681" i="1" s="1"/>
  <c r="T1681" i="1"/>
  <c r="AG1681" i="1" s="1"/>
  <c r="L1681" i="1"/>
  <c r="Y1681" i="1" s="1"/>
  <c r="S1681" i="1"/>
  <c r="AF1681" i="1" s="1"/>
  <c r="K1681" i="1"/>
  <c r="X1681" i="1" s="1"/>
  <c r="R1681" i="1"/>
  <c r="AE1681" i="1" s="1"/>
  <c r="Q1681" i="1"/>
  <c r="AD1681" i="1" s="1"/>
  <c r="P1681" i="1"/>
  <c r="AC1681" i="1" s="1"/>
  <c r="V1681" i="1"/>
  <c r="AI1681" i="1" s="1"/>
  <c r="O1681" i="1"/>
  <c r="AB1681" i="1" s="1"/>
  <c r="N1681" i="1"/>
  <c r="AA1681" i="1" s="1"/>
  <c r="T1479" i="1"/>
  <c r="AG1479" i="1" s="1"/>
  <c r="L1479" i="1"/>
  <c r="Y1479" i="1" s="1"/>
  <c r="S1479" i="1"/>
  <c r="AF1479" i="1" s="1"/>
  <c r="K1479" i="1"/>
  <c r="X1479" i="1" s="1"/>
  <c r="R1479" i="1"/>
  <c r="AE1479" i="1" s="1"/>
  <c r="Q1479" i="1"/>
  <c r="AD1479" i="1" s="1"/>
  <c r="P1479" i="1"/>
  <c r="AC1479" i="1" s="1"/>
  <c r="O1479" i="1"/>
  <c r="AB1479" i="1" s="1"/>
  <c r="V1479" i="1"/>
  <c r="AI1479" i="1" s="1"/>
  <c r="N1479" i="1"/>
  <c r="AA1479" i="1" s="1"/>
  <c r="U1479" i="1"/>
  <c r="AH1479" i="1" s="1"/>
  <c r="M1479" i="1"/>
  <c r="Z1479" i="1" s="1"/>
  <c r="S564" i="1"/>
  <c r="AF564" i="1" s="1"/>
  <c r="K564" i="1"/>
  <c r="X564" i="1" s="1"/>
  <c r="R564" i="1"/>
  <c r="AE564" i="1" s="1"/>
  <c r="Q564" i="1"/>
  <c r="AD564" i="1" s="1"/>
  <c r="P564" i="1"/>
  <c r="AC564" i="1" s="1"/>
  <c r="O564" i="1"/>
  <c r="AB564" i="1" s="1"/>
  <c r="V564" i="1"/>
  <c r="AI564" i="1" s="1"/>
  <c r="N564" i="1"/>
  <c r="AA564" i="1" s="1"/>
  <c r="T564" i="1"/>
  <c r="AG564" i="1" s="1"/>
  <c r="L564" i="1"/>
  <c r="Y564" i="1" s="1"/>
  <c r="U564" i="1"/>
  <c r="AH564" i="1" s="1"/>
  <c r="M564" i="1"/>
  <c r="Z564" i="1" s="1"/>
  <c r="U943" i="1"/>
  <c r="AH943" i="1" s="1"/>
  <c r="M943" i="1"/>
  <c r="Z943" i="1" s="1"/>
  <c r="R943" i="1"/>
  <c r="AE943" i="1" s="1"/>
  <c r="P943" i="1"/>
  <c r="AC943" i="1" s="1"/>
  <c r="K943" i="1"/>
  <c r="X943" i="1" s="1"/>
  <c r="V943" i="1"/>
  <c r="AI943" i="1" s="1"/>
  <c r="T943" i="1"/>
  <c r="AG943" i="1" s="1"/>
  <c r="S943" i="1"/>
  <c r="AF943" i="1" s="1"/>
  <c r="Q943" i="1"/>
  <c r="AD943" i="1" s="1"/>
  <c r="O943" i="1"/>
  <c r="AB943" i="1" s="1"/>
  <c r="L943" i="1"/>
  <c r="Y943" i="1" s="1"/>
  <c r="N943" i="1"/>
  <c r="AA943" i="1" s="1"/>
  <c r="V452" i="1"/>
  <c r="AI452" i="1" s="1"/>
  <c r="N452" i="1"/>
  <c r="AA452" i="1" s="1"/>
  <c r="T452" i="1"/>
  <c r="AG452" i="1" s="1"/>
  <c r="L452" i="1"/>
  <c r="Y452" i="1" s="1"/>
  <c r="S452" i="1"/>
  <c r="AF452" i="1" s="1"/>
  <c r="K452" i="1"/>
  <c r="X452" i="1" s="1"/>
  <c r="R452" i="1"/>
  <c r="AE452" i="1" s="1"/>
  <c r="Q452" i="1"/>
  <c r="AD452" i="1" s="1"/>
  <c r="O452" i="1"/>
  <c r="AB452" i="1" s="1"/>
  <c r="M452" i="1"/>
  <c r="Z452" i="1" s="1"/>
  <c r="P452" i="1"/>
  <c r="AC452" i="1" s="1"/>
  <c r="U452" i="1"/>
  <c r="AH452" i="1" s="1"/>
  <c r="O569" i="1"/>
  <c r="AB569" i="1" s="1"/>
  <c r="V569" i="1"/>
  <c r="AI569" i="1" s="1"/>
  <c r="N569" i="1"/>
  <c r="AA569" i="1" s="1"/>
  <c r="U569" i="1"/>
  <c r="AH569" i="1" s="1"/>
  <c r="M569" i="1"/>
  <c r="Z569" i="1" s="1"/>
  <c r="T569" i="1"/>
  <c r="AG569" i="1" s="1"/>
  <c r="L569" i="1"/>
  <c r="Y569" i="1" s="1"/>
  <c r="S569" i="1"/>
  <c r="AF569" i="1" s="1"/>
  <c r="K569" i="1"/>
  <c r="X569" i="1" s="1"/>
  <c r="R569" i="1"/>
  <c r="AE569" i="1" s="1"/>
  <c r="P569" i="1"/>
  <c r="AC569" i="1" s="1"/>
  <c r="Q569" i="1"/>
  <c r="AD569" i="1" s="1"/>
  <c r="T1491" i="1"/>
  <c r="AG1491" i="1" s="1"/>
  <c r="L1491" i="1"/>
  <c r="Y1491" i="1" s="1"/>
  <c r="S1491" i="1"/>
  <c r="AF1491" i="1" s="1"/>
  <c r="K1491" i="1"/>
  <c r="X1491" i="1" s="1"/>
  <c r="R1491" i="1"/>
  <c r="AE1491" i="1" s="1"/>
  <c r="Q1491" i="1"/>
  <c r="AD1491" i="1" s="1"/>
  <c r="P1491" i="1"/>
  <c r="AC1491" i="1" s="1"/>
  <c r="O1491" i="1"/>
  <c r="AB1491" i="1" s="1"/>
  <c r="V1491" i="1"/>
  <c r="AI1491" i="1" s="1"/>
  <c r="N1491" i="1"/>
  <c r="AA1491" i="1" s="1"/>
  <c r="U1491" i="1"/>
  <c r="AH1491" i="1" s="1"/>
  <c r="M1491" i="1"/>
  <c r="Z1491" i="1" s="1"/>
  <c r="R254" i="1"/>
  <c r="AE254" i="1" s="1"/>
  <c r="Q254" i="1"/>
  <c r="AD254" i="1" s="1"/>
  <c r="P254" i="1"/>
  <c r="AC254" i="1" s="1"/>
  <c r="O254" i="1"/>
  <c r="AB254" i="1" s="1"/>
  <c r="V254" i="1"/>
  <c r="AI254" i="1" s="1"/>
  <c r="N254" i="1"/>
  <c r="AA254" i="1" s="1"/>
  <c r="U254" i="1"/>
  <c r="AH254" i="1" s="1"/>
  <c r="M254" i="1"/>
  <c r="Z254" i="1" s="1"/>
  <c r="S254" i="1"/>
  <c r="AF254" i="1" s="1"/>
  <c r="K254" i="1"/>
  <c r="X254" i="1" s="1"/>
  <c r="T254" i="1"/>
  <c r="AG254" i="1" s="1"/>
  <c r="L254" i="1"/>
  <c r="Y254" i="1" s="1"/>
  <c r="V301" i="1"/>
  <c r="AI301" i="1" s="1"/>
  <c r="N301" i="1"/>
  <c r="AA301" i="1" s="1"/>
  <c r="U301" i="1"/>
  <c r="AH301" i="1" s="1"/>
  <c r="M301" i="1"/>
  <c r="Z301" i="1" s="1"/>
  <c r="T301" i="1"/>
  <c r="AG301" i="1" s="1"/>
  <c r="L301" i="1"/>
  <c r="Y301" i="1" s="1"/>
  <c r="S301" i="1"/>
  <c r="AF301" i="1" s="1"/>
  <c r="K301" i="1"/>
  <c r="X301" i="1" s="1"/>
  <c r="R301" i="1"/>
  <c r="AE301" i="1" s="1"/>
  <c r="Q301" i="1"/>
  <c r="AD301" i="1" s="1"/>
  <c r="O301" i="1"/>
  <c r="AB301" i="1" s="1"/>
  <c r="P301" i="1"/>
  <c r="AC301" i="1" s="1"/>
  <c r="L1179" i="1"/>
  <c r="Y1179" i="1" s="1"/>
  <c r="Q1184" i="1"/>
  <c r="AD1184" i="1" s="1"/>
  <c r="M857" i="1"/>
  <c r="Z857" i="1" s="1"/>
  <c r="P114" i="1"/>
  <c r="AC114" i="1" s="1"/>
  <c r="L293" i="1"/>
  <c r="Y293" i="1" s="1"/>
  <c r="K21" i="1"/>
  <c r="X21" i="1" s="1"/>
  <c r="U12" i="1"/>
  <c r="AH12" i="1" s="1"/>
  <c r="M12" i="1"/>
  <c r="Z12" i="1" s="1"/>
  <c r="T12" i="1"/>
  <c r="AG12" i="1" s="1"/>
  <c r="L12" i="1"/>
  <c r="Y12" i="1" s="1"/>
  <c r="S12" i="1"/>
  <c r="AF12" i="1" s="1"/>
  <c r="Q12" i="1"/>
  <c r="AD12" i="1" s="1"/>
  <c r="O12" i="1"/>
  <c r="AB12" i="1" s="1"/>
  <c r="V12" i="1"/>
  <c r="AI12" i="1" s="1"/>
  <c r="R12" i="1"/>
  <c r="AE12" i="1" s="1"/>
  <c r="P12" i="1"/>
  <c r="AC12" i="1" s="1"/>
  <c r="N12" i="1"/>
  <c r="AA12" i="1" s="1"/>
  <c r="P1651" i="1"/>
  <c r="AC1651" i="1" s="1"/>
  <c r="V1651" i="1"/>
  <c r="AI1651" i="1" s="1"/>
  <c r="N1651" i="1"/>
  <c r="AA1651" i="1" s="1"/>
  <c r="U1651" i="1"/>
  <c r="AH1651" i="1" s="1"/>
  <c r="M1651" i="1"/>
  <c r="Z1651" i="1" s="1"/>
  <c r="S1651" i="1"/>
  <c r="AF1651" i="1" s="1"/>
  <c r="K1651" i="1"/>
  <c r="X1651" i="1" s="1"/>
  <c r="Q1651" i="1"/>
  <c r="AD1651" i="1" s="1"/>
  <c r="T1651" i="1"/>
  <c r="AG1651" i="1" s="1"/>
  <c r="R1651" i="1"/>
  <c r="AE1651" i="1" s="1"/>
  <c r="O1651" i="1"/>
  <c r="AB1651" i="1" s="1"/>
  <c r="L1651" i="1"/>
  <c r="Y1651" i="1" s="1"/>
  <c r="R765" i="1"/>
  <c r="AE765" i="1" s="1"/>
  <c r="L1650" i="1"/>
  <c r="Y1650" i="1" s="1"/>
  <c r="N1606" i="1"/>
  <c r="AA1606" i="1" s="1"/>
  <c r="P504" i="1"/>
  <c r="AC504" i="1" s="1"/>
  <c r="M150" i="1"/>
  <c r="Z150" i="1" s="1"/>
  <c r="P1498" i="1"/>
  <c r="AC1498" i="1" s="1"/>
  <c r="O1498" i="1"/>
  <c r="AB1498" i="1" s="1"/>
  <c r="V1498" i="1"/>
  <c r="AI1498" i="1" s="1"/>
  <c r="N1498" i="1"/>
  <c r="AA1498" i="1" s="1"/>
  <c r="U1498" i="1"/>
  <c r="AH1498" i="1" s="1"/>
  <c r="M1498" i="1"/>
  <c r="Z1498" i="1" s="1"/>
  <c r="T1498" i="1"/>
  <c r="AG1498" i="1" s="1"/>
  <c r="L1498" i="1"/>
  <c r="Y1498" i="1" s="1"/>
  <c r="S1498" i="1"/>
  <c r="AF1498" i="1" s="1"/>
  <c r="K1498" i="1"/>
  <c r="X1498" i="1" s="1"/>
  <c r="R1498" i="1"/>
  <c r="AE1498" i="1" s="1"/>
  <c r="Q1498" i="1"/>
  <c r="AD1498" i="1" s="1"/>
  <c r="P416" i="1"/>
  <c r="AC416" i="1" s="1"/>
  <c r="S648" i="1"/>
  <c r="AF648" i="1" s="1"/>
  <c r="O1530" i="1"/>
  <c r="AB1530" i="1" s="1"/>
  <c r="V1530" i="1"/>
  <c r="AI1530" i="1" s="1"/>
  <c r="N1530" i="1"/>
  <c r="AA1530" i="1" s="1"/>
  <c r="U1530" i="1"/>
  <c r="AH1530" i="1" s="1"/>
  <c r="M1530" i="1"/>
  <c r="Z1530" i="1" s="1"/>
  <c r="T1530" i="1"/>
  <c r="AG1530" i="1" s="1"/>
  <c r="L1530" i="1"/>
  <c r="Y1530" i="1" s="1"/>
  <c r="R1530" i="1"/>
  <c r="AE1530" i="1" s="1"/>
  <c r="S1530" i="1"/>
  <c r="AF1530" i="1" s="1"/>
  <c r="Q1530" i="1"/>
  <c r="AD1530" i="1" s="1"/>
  <c r="P1530" i="1"/>
  <c r="AC1530" i="1" s="1"/>
  <c r="K1530" i="1"/>
  <c r="X1530" i="1" s="1"/>
  <c r="O514" i="1"/>
  <c r="AB514" i="1" s="1"/>
  <c r="N945" i="1"/>
  <c r="AA945" i="1" s="1"/>
  <c r="O387" i="1"/>
  <c r="AB387" i="1" s="1"/>
  <c r="L1024" i="1"/>
  <c r="Y1024" i="1" s="1"/>
  <c r="K624" i="1"/>
  <c r="X624" i="1" s="1"/>
  <c r="N345" i="1"/>
  <c r="AA345" i="1" s="1"/>
  <c r="N8" i="1"/>
  <c r="AA8" i="1" s="1"/>
  <c r="M410" i="1"/>
  <c r="Z410" i="1" s="1"/>
  <c r="N962" i="1"/>
  <c r="AA962" i="1" s="1"/>
  <c r="K361" i="1"/>
  <c r="X361" i="1" s="1"/>
  <c r="M1127" i="1"/>
  <c r="Z1127" i="1" s="1"/>
  <c r="O391" i="1"/>
  <c r="AB391" i="1" s="1"/>
  <c r="O893" i="1"/>
  <c r="AB893" i="1" s="1"/>
  <c r="R375" i="1"/>
  <c r="AE375" i="1" s="1"/>
  <c r="P375" i="1"/>
  <c r="AC375" i="1" s="1"/>
  <c r="V375" i="1"/>
  <c r="AI375" i="1" s="1"/>
  <c r="N375" i="1"/>
  <c r="AA375" i="1" s="1"/>
  <c r="U375" i="1"/>
  <c r="AH375" i="1" s="1"/>
  <c r="M375" i="1"/>
  <c r="Z375" i="1" s="1"/>
  <c r="S375" i="1"/>
  <c r="AF375" i="1" s="1"/>
  <c r="K375" i="1"/>
  <c r="X375" i="1" s="1"/>
  <c r="T375" i="1"/>
  <c r="AG375" i="1" s="1"/>
  <c r="Q375" i="1"/>
  <c r="AD375" i="1" s="1"/>
  <c r="L375" i="1"/>
  <c r="Y375" i="1" s="1"/>
  <c r="O375" i="1"/>
  <c r="AB375" i="1" s="1"/>
  <c r="T982" i="1"/>
  <c r="AG982" i="1" s="1"/>
  <c r="L982" i="1"/>
  <c r="Y982" i="1" s="1"/>
  <c r="S982" i="1"/>
  <c r="AF982" i="1" s="1"/>
  <c r="K982" i="1"/>
  <c r="X982" i="1" s="1"/>
  <c r="R982" i="1"/>
  <c r="AE982" i="1" s="1"/>
  <c r="Q982" i="1"/>
  <c r="AD982" i="1" s="1"/>
  <c r="P982" i="1"/>
  <c r="AC982" i="1" s="1"/>
  <c r="O982" i="1"/>
  <c r="AB982" i="1" s="1"/>
  <c r="M982" i="1"/>
  <c r="Z982" i="1" s="1"/>
  <c r="V982" i="1"/>
  <c r="AI982" i="1" s="1"/>
  <c r="N982" i="1"/>
  <c r="AA982" i="1" s="1"/>
  <c r="U982" i="1"/>
  <c r="AH982" i="1" s="1"/>
  <c r="V323" i="1"/>
  <c r="AI323" i="1" s="1"/>
  <c r="U323" i="1"/>
  <c r="AH323" i="1" s="1"/>
  <c r="M323" i="1"/>
  <c r="Z323" i="1" s="1"/>
  <c r="O323" i="1"/>
  <c r="AB323" i="1" s="1"/>
  <c r="N323" i="1"/>
  <c r="AA323" i="1" s="1"/>
  <c r="L323" i="1"/>
  <c r="Y323" i="1" s="1"/>
  <c r="T323" i="1"/>
  <c r="AG323" i="1" s="1"/>
  <c r="K323" i="1"/>
  <c r="X323" i="1" s="1"/>
  <c r="S323" i="1"/>
  <c r="AF323" i="1" s="1"/>
  <c r="R323" i="1"/>
  <c r="AE323" i="1" s="1"/>
  <c r="P323" i="1"/>
  <c r="AC323" i="1" s="1"/>
  <c r="Q323" i="1"/>
  <c r="AD323" i="1" s="1"/>
  <c r="U758" i="1"/>
  <c r="AH758" i="1" s="1"/>
  <c r="M758" i="1"/>
  <c r="Z758" i="1" s="1"/>
  <c r="T758" i="1"/>
  <c r="AG758" i="1" s="1"/>
  <c r="L758" i="1"/>
  <c r="Y758" i="1" s="1"/>
  <c r="S758" i="1"/>
  <c r="AF758" i="1" s="1"/>
  <c r="K758" i="1"/>
  <c r="X758" i="1" s="1"/>
  <c r="R758" i="1"/>
  <c r="AE758" i="1" s="1"/>
  <c r="Q758" i="1"/>
  <c r="AD758" i="1" s="1"/>
  <c r="P758" i="1"/>
  <c r="AC758" i="1" s="1"/>
  <c r="V758" i="1"/>
  <c r="AI758" i="1" s="1"/>
  <c r="N758" i="1"/>
  <c r="AA758" i="1" s="1"/>
  <c r="O758" i="1"/>
  <c r="AB758" i="1" s="1"/>
  <c r="R419" i="1"/>
  <c r="AE419" i="1" s="1"/>
  <c r="P419" i="1"/>
  <c r="AC419" i="1" s="1"/>
  <c r="O419" i="1"/>
  <c r="AB419" i="1" s="1"/>
  <c r="V419" i="1"/>
  <c r="AI419" i="1" s="1"/>
  <c r="N419" i="1"/>
  <c r="AA419" i="1" s="1"/>
  <c r="U419" i="1"/>
  <c r="AH419" i="1" s="1"/>
  <c r="M419" i="1"/>
  <c r="Z419" i="1" s="1"/>
  <c r="S419" i="1"/>
  <c r="AF419" i="1" s="1"/>
  <c r="K419" i="1"/>
  <c r="X419" i="1" s="1"/>
  <c r="T419" i="1"/>
  <c r="AG419" i="1" s="1"/>
  <c r="Q419" i="1"/>
  <c r="AD419" i="1" s="1"/>
  <c r="L419" i="1"/>
  <c r="Y419" i="1" s="1"/>
  <c r="S562" i="1"/>
  <c r="AF562" i="1" s="1"/>
  <c r="K562" i="1"/>
  <c r="X562" i="1" s="1"/>
  <c r="R562" i="1"/>
  <c r="AE562" i="1" s="1"/>
  <c r="Q562" i="1"/>
  <c r="AD562" i="1" s="1"/>
  <c r="P562" i="1"/>
  <c r="AC562" i="1" s="1"/>
  <c r="O562" i="1"/>
  <c r="AB562" i="1" s="1"/>
  <c r="V562" i="1"/>
  <c r="AI562" i="1" s="1"/>
  <c r="N562" i="1"/>
  <c r="AA562" i="1" s="1"/>
  <c r="T562" i="1"/>
  <c r="AG562" i="1" s="1"/>
  <c r="L562" i="1"/>
  <c r="Y562" i="1" s="1"/>
  <c r="U562" i="1"/>
  <c r="AH562" i="1" s="1"/>
  <c r="M562" i="1"/>
  <c r="Z562" i="1" s="1"/>
  <c r="V464" i="1"/>
  <c r="AI464" i="1" s="1"/>
  <c r="N464" i="1"/>
  <c r="AA464" i="1" s="1"/>
  <c r="T464" i="1"/>
  <c r="AG464" i="1" s="1"/>
  <c r="L464" i="1"/>
  <c r="Y464" i="1" s="1"/>
  <c r="S464" i="1"/>
  <c r="AF464" i="1" s="1"/>
  <c r="K464" i="1"/>
  <c r="X464" i="1" s="1"/>
  <c r="R464" i="1"/>
  <c r="AE464" i="1" s="1"/>
  <c r="Q464" i="1"/>
  <c r="AD464" i="1" s="1"/>
  <c r="O464" i="1"/>
  <c r="AB464" i="1" s="1"/>
  <c r="U464" i="1"/>
  <c r="AH464" i="1" s="1"/>
  <c r="P464" i="1"/>
  <c r="AC464" i="1" s="1"/>
  <c r="M464" i="1"/>
  <c r="Z464" i="1" s="1"/>
  <c r="O214" i="1"/>
  <c r="AB214" i="1" s="1"/>
  <c r="U214" i="1"/>
  <c r="AH214" i="1" s="1"/>
  <c r="M214" i="1"/>
  <c r="Z214" i="1" s="1"/>
  <c r="S214" i="1"/>
  <c r="AF214" i="1" s="1"/>
  <c r="K214" i="1"/>
  <c r="X214" i="1" s="1"/>
  <c r="L214" i="1"/>
  <c r="Y214" i="1" s="1"/>
  <c r="V214" i="1"/>
  <c r="AI214" i="1" s="1"/>
  <c r="T214" i="1"/>
  <c r="AG214" i="1" s="1"/>
  <c r="R214" i="1"/>
  <c r="AE214" i="1" s="1"/>
  <c r="Q214" i="1"/>
  <c r="AD214" i="1" s="1"/>
  <c r="N214" i="1"/>
  <c r="AA214" i="1" s="1"/>
  <c r="P214" i="1"/>
  <c r="AC214" i="1" s="1"/>
  <c r="R49" i="1"/>
  <c r="AE49" i="1" s="1"/>
  <c r="Q49" i="1"/>
  <c r="AD49" i="1" s="1"/>
  <c r="P49" i="1"/>
  <c r="AC49" i="1" s="1"/>
  <c r="O49" i="1"/>
  <c r="AB49" i="1" s="1"/>
  <c r="V49" i="1"/>
  <c r="AI49" i="1" s="1"/>
  <c r="N49" i="1"/>
  <c r="AA49" i="1" s="1"/>
  <c r="U49" i="1"/>
  <c r="AH49" i="1" s="1"/>
  <c r="M49" i="1"/>
  <c r="Z49" i="1" s="1"/>
  <c r="S49" i="1"/>
  <c r="AF49" i="1" s="1"/>
  <c r="K49" i="1"/>
  <c r="X49" i="1" s="1"/>
  <c r="L49" i="1"/>
  <c r="Y49" i="1" s="1"/>
  <c r="T49" i="1"/>
  <c r="AG49" i="1" s="1"/>
  <c r="P1436" i="1"/>
  <c r="AC1436" i="1" s="1"/>
  <c r="O1436" i="1"/>
  <c r="AB1436" i="1" s="1"/>
  <c r="U1436" i="1"/>
  <c r="AH1436" i="1" s="1"/>
  <c r="M1436" i="1"/>
  <c r="Z1436" i="1" s="1"/>
  <c r="T1436" i="1"/>
  <c r="AG1436" i="1" s="1"/>
  <c r="L1436" i="1"/>
  <c r="Y1436" i="1" s="1"/>
  <c r="S1436" i="1"/>
  <c r="AF1436" i="1" s="1"/>
  <c r="K1436" i="1"/>
  <c r="X1436" i="1" s="1"/>
  <c r="V1436" i="1"/>
  <c r="AI1436" i="1" s="1"/>
  <c r="R1436" i="1"/>
  <c r="AE1436" i="1" s="1"/>
  <c r="Q1436" i="1"/>
  <c r="AD1436" i="1" s="1"/>
  <c r="N1436" i="1"/>
  <c r="AA1436" i="1" s="1"/>
  <c r="T1618" i="1"/>
  <c r="AG1618" i="1" s="1"/>
  <c r="L1618" i="1"/>
  <c r="Y1618" i="1" s="1"/>
  <c r="Q1618" i="1"/>
  <c r="AD1618" i="1" s="1"/>
  <c r="O1618" i="1"/>
  <c r="AB1618" i="1" s="1"/>
  <c r="U1618" i="1"/>
  <c r="AH1618" i="1" s="1"/>
  <c r="M1618" i="1"/>
  <c r="Z1618" i="1" s="1"/>
  <c r="V1618" i="1"/>
  <c r="AI1618" i="1" s="1"/>
  <c r="S1618" i="1"/>
  <c r="AF1618" i="1" s="1"/>
  <c r="R1618" i="1"/>
  <c r="AE1618" i="1" s="1"/>
  <c r="P1618" i="1"/>
  <c r="AC1618" i="1" s="1"/>
  <c r="K1618" i="1"/>
  <c r="X1618" i="1" s="1"/>
  <c r="N1618" i="1"/>
  <c r="AA1618" i="1" s="1"/>
  <c r="R1700" i="1"/>
  <c r="AE1700" i="1" s="1"/>
  <c r="Q1700" i="1"/>
  <c r="AD1700" i="1" s="1"/>
  <c r="P1700" i="1"/>
  <c r="AC1700" i="1" s="1"/>
  <c r="O1700" i="1"/>
  <c r="AB1700" i="1" s="1"/>
  <c r="V1700" i="1"/>
  <c r="AI1700" i="1" s="1"/>
  <c r="N1700" i="1"/>
  <c r="AA1700" i="1" s="1"/>
  <c r="U1700" i="1"/>
  <c r="AH1700" i="1" s="1"/>
  <c r="M1700" i="1"/>
  <c r="Z1700" i="1" s="1"/>
  <c r="T1700" i="1"/>
  <c r="AG1700" i="1" s="1"/>
  <c r="L1700" i="1"/>
  <c r="Y1700" i="1" s="1"/>
  <c r="S1700" i="1"/>
  <c r="AF1700" i="1" s="1"/>
  <c r="K1700" i="1"/>
  <c r="X1700" i="1" s="1"/>
  <c r="U1615" i="1"/>
  <c r="AH1615" i="1" s="1"/>
  <c r="M1615" i="1"/>
  <c r="Z1615" i="1" s="1"/>
  <c r="S1615" i="1"/>
  <c r="AF1615" i="1" s="1"/>
  <c r="K1615" i="1"/>
  <c r="X1615" i="1" s="1"/>
  <c r="Q1615" i="1"/>
  <c r="AD1615" i="1" s="1"/>
  <c r="T1615" i="1"/>
  <c r="AG1615" i="1" s="1"/>
  <c r="R1615" i="1"/>
  <c r="AE1615" i="1" s="1"/>
  <c r="P1615" i="1"/>
  <c r="AC1615" i="1" s="1"/>
  <c r="O1615" i="1"/>
  <c r="AB1615" i="1" s="1"/>
  <c r="N1615" i="1"/>
  <c r="AA1615" i="1" s="1"/>
  <c r="L1615" i="1"/>
  <c r="Y1615" i="1" s="1"/>
  <c r="V1615" i="1"/>
  <c r="AI1615" i="1" s="1"/>
  <c r="V1362" i="1"/>
  <c r="AI1362" i="1" s="1"/>
  <c r="N1362" i="1"/>
  <c r="AA1362" i="1" s="1"/>
  <c r="U1362" i="1"/>
  <c r="AH1362" i="1" s="1"/>
  <c r="M1362" i="1"/>
  <c r="Z1362" i="1" s="1"/>
  <c r="S1362" i="1"/>
  <c r="AF1362" i="1" s="1"/>
  <c r="K1362" i="1"/>
  <c r="X1362" i="1" s="1"/>
  <c r="R1362" i="1"/>
  <c r="AE1362" i="1" s="1"/>
  <c r="Q1362" i="1"/>
  <c r="AD1362" i="1" s="1"/>
  <c r="O1362" i="1"/>
  <c r="AB1362" i="1" s="1"/>
  <c r="L1362" i="1"/>
  <c r="Y1362" i="1" s="1"/>
  <c r="T1362" i="1"/>
  <c r="AG1362" i="1" s="1"/>
  <c r="P1362" i="1"/>
  <c r="AC1362" i="1" s="1"/>
  <c r="T1457" i="1"/>
  <c r="AG1457" i="1" s="1"/>
  <c r="L1457" i="1"/>
  <c r="Y1457" i="1" s="1"/>
  <c r="S1457" i="1"/>
  <c r="AF1457" i="1" s="1"/>
  <c r="K1457" i="1"/>
  <c r="X1457" i="1" s="1"/>
  <c r="R1457" i="1"/>
  <c r="AE1457" i="1" s="1"/>
  <c r="Q1457" i="1"/>
  <c r="AD1457" i="1" s="1"/>
  <c r="P1457" i="1"/>
  <c r="AC1457" i="1" s="1"/>
  <c r="O1457" i="1"/>
  <c r="AB1457" i="1" s="1"/>
  <c r="N1457" i="1"/>
  <c r="AA1457" i="1" s="1"/>
  <c r="M1457" i="1"/>
  <c r="Z1457" i="1" s="1"/>
  <c r="V1457" i="1"/>
  <c r="AI1457" i="1" s="1"/>
  <c r="U1457" i="1"/>
  <c r="AH1457" i="1" s="1"/>
  <c r="R47" i="1"/>
  <c r="AE47" i="1" s="1"/>
  <c r="Q47" i="1"/>
  <c r="AD47" i="1" s="1"/>
  <c r="P47" i="1"/>
  <c r="AC47" i="1" s="1"/>
  <c r="O47" i="1"/>
  <c r="AB47" i="1" s="1"/>
  <c r="V47" i="1"/>
  <c r="AI47" i="1" s="1"/>
  <c r="N47" i="1"/>
  <c r="AA47" i="1" s="1"/>
  <c r="U47" i="1"/>
  <c r="AH47" i="1" s="1"/>
  <c r="M47" i="1"/>
  <c r="Z47" i="1" s="1"/>
  <c r="S47" i="1"/>
  <c r="AF47" i="1" s="1"/>
  <c r="K47" i="1"/>
  <c r="X47" i="1" s="1"/>
  <c r="T47" i="1"/>
  <c r="AG47" i="1" s="1"/>
  <c r="L47" i="1"/>
  <c r="Y47" i="1" s="1"/>
  <c r="P993" i="1"/>
  <c r="AC993" i="1" s="1"/>
  <c r="O993" i="1"/>
  <c r="AB993" i="1" s="1"/>
  <c r="V993" i="1"/>
  <c r="AI993" i="1" s="1"/>
  <c r="N993" i="1"/>
  <c r="AA993" i="1" s="1"/>
  <c r="U993" i="1"/>
  <c r="AH993" i="1" s="1"/>
  <c r="M993" i="1"/>
  <c r="Z993" i="1" s="1"/>
  <c r="T993" i="1"/>
  <c r="AG993" i="1" s="1"/>
  <c r="L993" i="1"/>
  <c r="Y993" i="1" s="1"/>
  <c r="S993" i="1"/>
  <c r="AF993" i="1" s="1"/>
  <c r="K993" i="1"/>
  <c r="X993" i="1" s="1"/>
  <c r="R993" i="1"/>
  <c r="AE993" i="1" s="1"/>
  <c r="Q993" i="1"/>
  <c r="AD993" i="1" s="1"/>
  <c r="T1004" i="1"/>
  <c r="AG1004" i="1" s="1"/>
  <c r="L1004" i="1"/>
  <c r="Y1004" i="1" s="1"/>
  <c r="S1004" i="1"/>
  <c r="AF1004" i="1" s="1"/>
  <c r="K1004" i="1"/>
  <c r="X1004" i="1" s="1"/>
  <c r="R1004" i="1"/>
  <c r="AE1004" i="1" s="1"/>
  <c r="Q1004" i="1"/>
  <c r="AD1004" i="1" s="1"/>
  <c r="P1004" i="1"/>
  <c r="AC1004" i="1" s="1"/>
  <c r="O1004" i="1"/>
  <c r="AB1004" i="1" s="1"/>
  <c r="V1004" i="1"/>
  <c r="AI1004" i="1" s="1"/>
  <c r="U1004" i="1"/>
  <c r="AH1004" i="1" s="1"/>
  <c r="N1004" i="1"/>
  <c r="AA1004" i="1" s="1"/>
  <c r="M1004" i="1"/>
  <c r="Z1004" i="1" s="1"/>
  <c r="S612" i="1"/>
  <c r="AF612" i="1" s="1"/>
  <c r="K612" i="1"/>
  <c r="X612" i="1" s="1"/>
  <c r="R612" i="1"/>
  <c r="AE612" i="1" s="1"/>
  <c r="Q612" i="1"/>
  <c r="AD612" i="1" s="1"/>
  <c r="P612" i="1"/>
  <c r="AC612" i="1" s="1"/>
  <c r="O612" i="1"/>
  <c r="AB612" i="1" s="1"/>
  <c r="V612" i="1"/>
  <c r="AI612" i="1" s="1"/>
  <c r="N612" i="1"/>
  <c r="AA612" i="1" s="1"/>
  <c r="T612" i="1"/>
  <c r="AG612" i="1" s="1"/>
  <c r="L612" i="1"/>
  <c r="Y612" i="1" s="1"/>
  <c r="U612" i="1"/>
  <c r="AH612" i="1" s="1"/>
  <c r="M612" i="1"/>
  <c r="Z612" i="1" s="1"/>
  <c r="S211" i="1"/>
  <c r="AF211" i="1" s="1"/>
  <c r="K211" i="1"/>
  <c r="X211" i="1" s="1"/>
  <c r="Q211" i="1"/>
  <c r="AD211" i="1" s="1"/>
  <c r="O211" i="1"/>
  <c r="AB211" i="1" s="1"/>
  <c r="V211" i="1"/>
  <c r="AI211" i="1" s="1"/>
  <c r="U211" i="1"/>
  <c r="AH211" i="1" s="1"/>
  <c r="T211" i="1"/>
  <c r="AG211" i="1" s="1"/>
  <c r="R211" i="1"/>
  <c r="AE211" i="1" s="1"/>
  <c r="P211" i="1"/>
  <c r="AC211" i="1" s="1"/>
  <c r="N211" i="1"/>
  <c r="AA211" i="1" s="1"/>
  <c r="L211" i="1"/>
  <c r="Y211" i="1" s="1"/>
  <c r="M211" i="1"/>
  <c r="Z211" i="1" s="1"/>
  <c r="U899" i="1"/>
  <c r="AH899" i="1" s="1"/>
  <c r="M899" i="1"/>
  <c r="Z899" i="1" s="1"/>
  <c r="R899" i="1"/>
  <c r="AE899" i="1" s="1"/>
  <c r="P899" i="1"/>
  <c r="AC899" i="1" s="1"/>
  <c r="N899" i="1"/>
  <c r="AA899" i="1" s="1"/>
  <c r="L899" i="1"/>
  <c r="Y899" i="1" s="1"/>
  <c r="K899" i="1"/>
  <c r="X899" i="1" s="1"/>
  <c r="V899" i="1"/>
  <c r="AI899" i="1" s="1"/>
  <c r="T899" i="1"/>
  <c r="AG899" i="1" s="1"/>
  <c r="S899" i="1"/>
  <c r="AF899" i="1" s="1"/>
  <c r="O899" i="1"/>
  <c r="AB899" i="1" s="1"/>
  <c r="Q899" i="1"/>
  <c r="AD899" i="1" s="1"/>
  <c r="R75" i="1"/>
  <c r="AE75" i="1" s="1"/>
  <c r="Q75" i="1"/>
  <c r="AD75" i="1" s="1"/>
  <c r="P75" i="1"/>
  <c r="AC75" i="1" s="1"/>
  <c r="O75" i="1"/>
  <c r="AB75" i="1" s="1"/>
  <c r="V75" i="1"/>
  <c r="AI75" i="1" s="1"/>
  <c r="N75" i="1"/>
  <c r="AA75" i="1" s="1"/>
  <c r="U75" i="1"/>
  <c r="AH75" i="1" s="1"/>
  <c r="M75" i="1"/>
  <c r="Z75" i="1" s="1"/>
  <c r="S75" i="1"/>
  <c r="AF75" i="1" s="1"/>
  <c r="K75" i="1"/>
  <c r="X75" i="1" s="1"/>
  <c r="T75" i="1"/>
  <c r="AG75" i="1" s="1"/>
  <c r="L75" i="1"/>
  <c r="Y75" i="1" s="1"/>
  <c r="P1148" i="1"/>
  <c r="AC1148" i="1" s="1"/>
  <c r="O1148" i="1"/>
  <c r="AB1148" i="1" s="1"/>
  <c r="V1148" i="1"/>
  <c r="AI1148" i="1" s="1"/>
  <c r="N1148" i="1"/>
  <c r="AA1148" i="1" s="1"/>
  <c r="U1148" i="1"/>
  <c r="AH1148" i="1" s="1"/>
  <c r="M1148" i="1"/>
  <c r="Z1148" i="1" s="1"/>
  <c r="T1148" i="1"/>
  <c r="AG1148" i="1" s="1"/>
  <c r="L1148" i="1"/>
  <c r="Y1148" i="1" s="1"/>
  <c r="S1148" i="1"/>
  <c r="AF1148" i="1" s="1"/>
  <c r="K1148" i="1"/>
  <c r="X1148" i="1" s="1"/>
  <c r="R1148" i="1"/>
  <c r="AE1148" i="1" s="1"/>
  <c r="Q1148" i="1"/>
  <c r="AD1148" i="1" s="1"/>
  <c r="S1302" i="1"/>
  <c r="AF1302" i="1" s="1"/>
  <c r="K1302" i="1"/>
  <c r="X1302" i="1" s="1"/>
  <c r="R1302" i="1"/>
  <c r="AE1302" i="1" s="1"/>
  <c r="Q1302" i="1"/>
  <c r="AD1302" i="1" s="1"/>
  <c r="P1302" i="1"/>
  <c r="AC1302" i="1" s="1"/>
  <c r="O1302" i="1"/>
  <c r="AB1302" i="1" s="1"/>
  <c r="V1302" i="1"/>
  <c r="AI1302" i="1" s="1"/>
  <c r="N1302" i="1"/>
  <c r="AA1302" i="1" s="1"/>
  <c r="U1302" i="1"/>
  <c r="AH1302" i="1" s="1"/>
  <c r="M1302" i="1"/>
  <c r="Z1302" i="1" s="1"/>
  <c r="T1302" i="1"/>
  <c r="AG1302" i="1" s="1"/>
  <c r="L1302" i="1"/>
  <c r="Y1302" i="1" s="1"/>
  <c r="Q779" i="1"/>
  <c r="AD779" i="1" s="1"/>
  <c r="P779" i="1"/>
  <c r="AC779" i="1" s="1"/>
  <c r="O779" i="1"/>
  <c r="AB779" i="1" s="1"/>
  <c r="V779" i="1"/>
  <c r="AI779" i="1" s="1"/>
  <c r="N779" i="1"/>
  <c r="AA779" i="1" s="1"/>
  <c r="U779" i="1"/>
  <c r="AH779" i="1" s="1"/>
  <c r="M779" i="1"/>
  <c r="Z779" i="1" s="1"/>
  <c r="T779" i="1"/>
  <c r="AG779" i="1" s="1"/>
  <c r="L779" i="1"/>
  <c r="Y779" i="1" s="1"/>
  <c r="R779" i="1"/>
  <c r="AE779" i="1" s="1"/>
  <c r="S779" i="1"/>
  <c r="AF779" i="1" s="1"/>
  <c r="K779" i="1"/>
  <c r="X779" i="1" s="1"/>
  <c r="S674" i="1"/>
  <c r="AF674" i="1" s="1"/>
  <c r="K674" i="1"/>
  <c r="X674" i="1" s="1"/>
  <c r="R674" i="1"/>
  <c r="AE674" i="1" s="1"/>
  <c r="Q674" i="1"/>
  <c r="AD674" i="1" s="1"/>
  <c r="P674" i="1"/>
  <c r="AC674" i="1" s="1"/>
  <c r="O674" i="1"/>
  <c r="AB674" i="1" s="1"/>
  <c r="V674" i="1"/>
  <c r="AI674" i="1" s="1"/>
  <c r="N674" i="1"/>
  <c r="AA674" i="1" s="1"/>
  <c r="T674" i="1"/>
  <c r="AG674" i="1" s="1"/>
  <c r="L674" i="1"/>
  <c r="Y674" i="1" s="1"/>
  <c r="U674" i="1"/>
  <c r="AH674" i="1" s="1"/>
  <c r="M674" i="1"/>
  <c r="Z674" i="1" s="1"/>
  <c r="O629" i="1"/>
  <c r="AB629" i="1" s="1"/>
  <c r="V629" i="1"/>
  <c r="AI629" i="1" s="1"/>
  <c r="N629" i="1"/>
  <c r="AA629" i="1" s="1"/>
  <c r="U629" i="1"/>
  <c r="AH629" i="1" s="1"/>
  <c r="M629" i="1"/>
  <c r="Z629" i="1" s="1"/>
  <c r="T629" i="1"/>
  <c r="AG629" i="1" s="1"/>
  <c r="L629" i="1"/>
  <c r="Y629" i="1" s="1"/>
  <c r="S629" i="1"/>
  <c r="AF629" i="1" s="1"/>
  <c r="K629" i="1"/>
  <c r="X629" i="1" s="1"/>
  <c r="R629" i="1"/>
  <c r="AE629" i="1" s="1"/>
  <c r="P629" i="1"/>
  <c r="AC629" i="1" s="1"/>
  <c r="Q629" i="1"/>
  <c r="AD629" i="1" s="1"/>
  <c r="S634" i="1"/>
  <c r="AF634" i="1" s="1"/>
  <c r="K634" i="1"/>
  <c r="X634" i="1" s="1"/>
  <c r="R634" i="1"/>
  <c r="AE634" i="1" s="1"/>
  <c r="Q634" i="1"/>
  <c r="AD634" i="1" s="1"/>
  <c r="P634" i="1"/>
  <c r="AC634" i="1" s="1"/>
  <c r="O634" i="1"/>
  <c r="AB634" i="1" s="1"/>
  <c r="V634" i="1"/>
  <c r="AI634" i="1" s="1"/>
  <c r="N634" i="1"/>
  <c r="AA634" i="1" s="1"/>
  <c r="T634" i="1"/>
  <c r="AG634" i="1" s="1"/>
  <c r="L634" i="1"/>
  <c r="Y634" i="1" s="1"/>
  <c r="M634" i="1"/>
  <c r="Z634" i="1" s="1"/>
  <c r="U634" i="1"/>
  <c r="AH634" i="1" s="1"/>
  <c r="V434" i="1"/>
  <c r="AI434" i="1" s="1"/>
  <c r="N434" i="1"/>
  <c r="AA434" i="1" s="1"/>
  <c r="T434" i="1"/>
  <c r="AG434" i="1" s="1"/>
  <c r="L434" i="1"/>
  <c r="Y434" i="1" s="1"/>
  <c r="S434" i="1"/>
  <c r="AF434" i="1" s="1"/>
  <c r="K434" i="1"/>
  <c r="X434" i="1" s="1"/>
  <c r="R434" i="1"/>
  <c r="AE434" i="1" s="1"/>
  <c r="Q434" i="1"/>
  <c r="AD434" i="1" s="1"/>
  <c r="O434" i="1"/>
  <c r="AB434" i="1" s="1"/>
  <c r="U434" i="1"/>
  <c r="AH434" i="1" s="1"/>
  <c r="P434" i="1"/>
  <c r="AC434" i="1" s="1"/>
  <c r="M434" i="1"/>
  <c r="Z434" i="1" s="1"/>
  <c r="O603" i="1"/>
  <c r="AB603" i="1" s="1"/>
  <c r="V603" i="1"/>
  <c r="AI603" i="1" s="1"/>
  <c r="N603" i="1"/>
  <c r="AA603" i="1" s="1"/>
  <c r="U603" i="1"/>
  <c r="AH603" i="1" s="1"/>
  <c r="M603" i="1"/>
  <c r="Z603" i="1" s="1"/>
  <c r="T603" i="1"/>
  <c r="AG603" i="1" s="1"/>
  <c r="L603" i="1"/>
  <c r="Y603" i="1" s="1"/>
  <c r="S603" i="1"/>
  <c r="AF603" i="1" s="1"/>
  <c r="K603" i="1"/>
  <c r="X603" i="1" s="1"/>
  <c r="R603" i="1"/>
  <c r="AE603" i="1" s="1"/>
  <c r="P603" i="1"/>
  <c r="AC603" i="1" s="1"/>
  <c r="Q603" i="1"/>
  <c r="AD603" i="1" s="1"/>
  <c r="R357" i="1"/>
  <c r="AE357" i="1" s="1"/>
  <c r="P357" i="1"/>
  <c r="AC357" i="1" s="1"/>
  <c r="V357" i="1"/>
  <c r="AI357" i="1" s="1"/>
  <c r="N357" i="1"/>
  <c r="AA357" i="1" s="1"/>
  <c r="U357" i="1"/>
  <c r="AH357" i="1" s="1"/>
  <c r="M357" i="1"/>
  <c r="Z357" i="1" s="1"/>
  <c r="S357" i="1"/>
  <c r="AF357" i="1" s="1"/>
  <c r="K357" i="1"/>
  <c r="X357" i="1" s="1"/>
  <c r="L357" i="1"/>
  <c r="Y357" i="1" s="1"/>
  <c r="T357" i="1"/>
  <c r="AG357" i="1" s="1"/>
  <c r="O357" i="1"/>
  <c r="AB357" i="1" s="1"/>
  <c r="Q357" i="1"/>
  <c r="AD357" i="1" s="1"/>
  <c r="R292" i="1"/>
  <c r="AE292" i="1" s="1"/>
  <c r="Q292" i="1"/>
  <c r="AD292" i="1" s="1"/>
  <c r="P292" i="1"/>
  <c r="AC292" i="1" s="1"/>
  <c r="O292" i="1"/>
  <c r="AB292" i="1" s="1"/>
  <c r="V292" i="1"/>
  <c r="AI292" i="1" s="1"/>
  <c r="N292" i="1"/>
  <c r="AA292" i="1" s="1"/>
  <c r="U292" i="1"/>
  <c r="AH292" i="1" s="1"/>
  <c r="M292" i="1"/>
  <c r="Z292" i="1" s="1"/>
  <c r="S292" i="1"/>
  <c r="AF292" i="1" s="1"/>
  <c r="K292" i="1"/>
  <c r="X292" i="1" s="1"/>
  <c r="L292" i="1"/>
  <c r="Y292" i="1" s="1"/>
  <c r="T292" i="1"/>
  <c r="AG292" i="1" s="1"/>
  <c r="V267" i="1"/>
  <c r="AI267" i="1" s="1"/>
  <c r="N267" i="1"/>
  <c r="AA267" i="1" s="1"/>
  <c r="U267" i="1"/>
  <c r="AH267" i="1" s="1"/>
  <c r="M267" i="1"/>
  <c r="Z267" i="1" s="1"/>
  <c r="T267" i="1"/>
  <c r="AG267" i="1" s="1"/>
  <c r="L267" i="1"/>
  <c r="Y267" i="1" s="1"/>
  <c r="S267" i="1"/>
  <c r="AF267" i="1" s="1"/>
  <c r="K267" i="1"/>
  <c r="X267" i="1" s="1"/>
  <c r="R267" i="1"/>
  <c r="AE267" i="1" s="1"/>
  <c r="Q267" i="1"/>
  <c r="AD267" i="1" s="1"/>
  <c r="O267" i="1"/>
  <c r="AB267" i="1" s="1"/>
  <c r="P267" i="1"/>
  <c r="AC267" i="1" s="1"/>
  <c r="R65" i="1"/>
  <c r="AE65" i="1" s="1"/>
  <c r="Q65" i="1"/>
  <c r="AD65" i="1" s="1"/>
  <c r="P65" i="1"/>
  <c r="AC65" i="1" s="1"/>
  <c r="O65" i="1"/>
  <c r="AB65" i="1" s="1"/>
  <c r="V65" i="1"/>
  <c r="AI65" i="1" s="1"/>
  <c r="N65" i="1"/>
  <c r="AA65" i="1" s="1"/>
  <c r="U65" i="1"/>
  <c r="AH65" i="1" s="1"/>
  <c r="M65" i="1"/>
  <c r="Z65" i="1" s="1"/>
  <c r="S65" i="1"/>
  <c r="AF65" i="1" s="1"/>
  <c r="K65" i="1"/>
  <c r="X65" i="1" s="1"/>
  <c r="L65" i="1"/>
  <c r="Y65" i="1" s="1"/>
  <c r="T65" i="1"/>
  <c r="AG65" i="1" s="1"/>
  <c r="R1229" i="1"/>
  <c r="AE1229" i="1" s="1"/>
  <c r="Q1229" i="1"/>
  <c r="AD1229" i="1" s="1"/>
  <c r="P1229" i="1"/>
  <c r="AC1229" i="1" s="1"/>
  <c r="O1229" i="1"/>
  <c r="AB1229" i="1" s="1"/>
  <c r="V1229" i="1"/>
  <c r="AI1229" i="1" s="1"/>
  <c r="N1229" i="1"/>
  <c r="AA1229" i="1" s="1"/>
  <c r="U1229" i="1"/>
  <c r="AH1229" i="1" s="1"/>
  <c r="M1229" i="1"/>
  <c r="Z1229" i="1" s="1"/>
  <c r="T1229" i="1"/>
  <c r="AG1229" i="1" s="1"/>
  <c r="L1229" i="1"/>
  <c r="Y1229" i="1" s="1"/>
  <c r="S1229" i="1"/>
  <c r="AF1229" i="1" s="1"/>
  <c r="K1229" i="1"/>
  <c r="X1229" i="1" s="1"/>
  <c r="S540" i="1"/>
  <c r="AF540" i="1" s="1"/>
  <c r="K540" i="1"/>
  <c r="X540" i="1" s="1"/>
  <c r="Q540" i="1"/>
  <c r="AD540" i="1" s="1"/>
  <c r="O540" i="1"/>
  <c r="AB540" i="1" s="1"/>
  <c r="V540" i="1"/>
  <c r="AI540" i="1" s="1"/>
  <c r="N540" i="1"/>
  <c r="AA540" i="1" s="1"/>
  <c r="T540" i="1"/>
  <c r="AG540" i="1" s="1"/>
  <c r="L540" i="1"/>
  <c r="Y540" i="1" s="1"/>
  <c r="U540" i="1"/>
  <c r="AH540" i="1" s="1"/>
  <c r="R540" i="1"/>
  <c r="AE540" i="1" s="1"/>
  <c r="M540" i="1"/>
  <c r="Z540" i="1" s="1"/>
  <c r="P540" i="1"/>
  <c r="AC540" i="1" s="1"/>
  <c r="Q869" i="1"/>
  <c r="AD869" i="1" s="1"/>
  <c r="P869" i="1"/>
  <c r="AC869" i="1" s="1"/>
  <c r="O869" i="1"/>
  <c r="AB869" i="1" s="1"/>
  <c r="V869" i="1"/>
  <c r="AI869" i="1" s="1"/>
  <c r="N869" i="1"/>
  <c r="AA869" i="1" s="1"/>
  <c r="U869" i="1"/>
  <c r="AH869" i="1" s="1"/>
  <c r="M869" i="1"/>
  <c r="Z869" i="1" s="1"/>
  <c r="T869" i="1"/>
  <c r="AG869" i="1" s="1"/>
  <c r="L869" i="1"/>
  <c r="Y869" i="1" s="1"/>
  <c r="R869" i="1"/>
  <c r="AE869" i="1" s="1"/>
  <c r="S869" i="1"/>
  <c r="AF869" i="1" s="1"/>
  <c r="K869" i="1"/>
  <c r="X869" i="1" s="1"/>
  <c r="U1609" i="1"/>
  <c r="AH1609" i="1" s="1"/>
  <c r="M1609" i="1"/>
  <c r="Z1609" i="1" s="1"/>
  <c r="S1609" i="1"/>
  <c r="AF1609" i="1" s="1"/>
  <c r="K1609" i="1"/>
  <c r="X1609" i="1" s="1"/>
  <c r="O1609" i="1"/>
  <c r="AB1609" i="1" s="1"/>
  <c r="N1609" i="1"/>
  <c r="AA1609" i="1" s="1"/>
  <c r="L1609" i="1"/>
  <c r="Y1609" i="1" s="1"/>
  <c r="V1609" i="1"/>
  <c r="AI1609" i="1" s="1"/>
  <c r="T1609" i="1"/>
  <c r="AG1609" i="1" s="1"/>
  <c r="R1609" i="1"/>
  <c r="AE1609" i="1" s="1"/>
  <c r="P1609" i="1"/>
  <c r="AC1609" i="1" s="1"/>
  <c r="Q1609" i="1"/>
  <c r="AD1609" i="1" s="1"/>
  <c r="T1660" i="1"/>
  <c r="AG1660" i="1" s="1"/>
  <c r="L1660" i="1"/>
  <c r="Y1660" i="1" s="1"/>
  <c r="R1660" i="1"/>
  <c r="AE1660" i="1" s="1"/>
  <c r="Q1660" i="1"/>
  <c r="AD1660" i="1" s="1"/>
  <c r="O1660" i="1"/>
  <c r="AB1660" i="1" s="1"/>
  <c r="U1660" i="1"/>
  <c r="AH1660" i="1" s="1"/>
  <c r="M1660" i="1"/>
  <c r="Z1660" i="1" s="1"/>
  <c r="V1660" i="1"/>
  <c r="AI1660" i="1" s="1"/>
  <c r="S1660" i="1"/>
  <c r="AF1660" i="1" s="1"/>
  <c r="P1660" i="1"/>
  <c r="AC1660" i="1" s="1"/>
  <c r="N1660" i="1"/>
  <c r="AA1660" i="1" s="1"/>
  <c r="K1660" i="1"/>
  <c r="X1660" i="1" s="1"/>
  <c r="V1703" i="1"/>
  <c r="AI1703" i="1" s="1"/>
  <c r="N1703" i="1"/>
  <c r="AA1703" i="1" s="1"/>
  <c r="U1703" i="1"/>
  <c r="AH1703" i="1" s="1"/>
  <c r="M1703" i="1"/>
  <c r="Z1703" i="1" s="1"/>
  <c r="T1703" i="1"/>
  <c r="AG1703" i="1" s="1"/>
  <c r="L1703" i="1"/>
  <c r="Y1703" i="1" s="1"/>
  <c r="S1703" i="1"/>
  <c r="AF1703" i="1" s="1"/>
  <c r="K1703" i="1"/>
  <c r="X1703" i="1" s="1"/>
  <c r="R1703" i="1"/>
  <c r="AE1703" i="1" s="1"/>
  <c r="Q1703" i="1"/>
  <c r="AD1703" i="1" s="1"/>
  <c r="P1703" i="1"/>
  <c r="AC1703" i="1" s="1"/>
  <c r="O1703" i="1"/>
  <c r="AB1703" i="1" s="1"/>
  <c r="R1221" i="1"/>
  <c r="AE1221" i="1" s="1"/>
  <c r="Q1221" i="1"/>
  <c r="AD1221" i="1" s="1"/>
  <c r="P1221" i="1"/>
  <c r="AC1221" i="1" s="1"/>
  <c r="O1221" i="1"/>
  <c r="AB1221" i="1" s="1"/>
  <c r="V1221" i="1"/>
  <c r="AI1221" i="1" s="1"/>
  <c r="N1221" i="1"/>
  <c r="AA1221" i="1" s="1"/>
  <c r="U1221" i="1"/>
  <c r="AH1221" i="1" s="1"/>
  <c r="M1221" i="1"/>
  <c r="Z1221" i="1" s="1"/>
  <c r="T1221" i="1"/>
  <c r="AG1221" i="1" s="1"/>
  <c r="L1221" i="1"/>
  <c r="Y1221" i="1" s="1"/>
  <c r="S1221" i="1"/>
  <c r="AF1221" i="1" s="1"/>
  <c r="K1221" i="1"/>
  <c r="X1221" i="1" s="1"/>
  <c r="T1463" i="1"/>
  <c r="AG1463" i="1" s="1"/>
  <c r="L1463" i="1"/>
  <c r="Y1463" i="1" s="1"/>
  <c r="S1463" i="1"/>
  <c r="AF1463" i="1" s="1"/>
  <c r="K1463" i="1"/>
  <c r="X1463" i="1" s="1"/>
  <c r="R1463" i="1"/>
  <c r="AE1463" i="1" s="1"/>
  <c r="Q1463" i="1"/>
  <c r="AD1463" i="1" s="1"/>
  <c r="P1463" i="1"/>
  <c r="AC1463" i="1" s="1"/>
  <c r="O1463" i="1"/>
  <c r="AB1463" i="1" s="1"/>
  <c r="V1463" i="1"/>
  <c r="AI1463" i="1" s="1"/>
  <c r="N1463" i="1"/>
  <c r="AA1463" i="1" s="1"/>
  <c r="U1463" i="1"/>
  <c r="AH1463" i="1" s="1"/>
  <c r="M1463" i="1"/>
  <c r="Z1463" i="1" s="1"/>
  <c r="S1399" i="1"/>
  <c r="AF1399" i="1" s="1"/>
  <c r="K1399" i="1"/>
  <c r="X1399" i="1" s="1"/>
  <c r="R1399" i="1"/>
  <c r="AE1399" i="1" s="1"/>
  <c r="Q1399" i="1"/>
  <c r="AD1399" i="1" s="1"/>
  <c r="P1399" i="1"/>
  <c r="AC1399" i="1" s="1"/>
  <c r="O1399" i="1"/>
  <c r="AB1399" i="1" s="1"/>
  <c r="V1399" i="1"/>
  <c r="AI1399" i="1" s="1"/>
  <c r="N1399" i="1"/>
  <c r="AA1399" i="1" s="1"/>
  <c r="U1399" i="1"/>
  <c r="AH1399" i="1" s="1"/>
  <c r="M1399" i="1"/>
  <c r="Z1399" i="1" s="1"/>
  <c r="T1399" i="1"/>
  <c r="AG1399" i="1" s="1"/>
  <c r="L1399" i="1"/>
  <c r="Y1399" i="1" s="1"/>
  <c r="R87" i="1"/>
  <c r="AE87" i="1" s="1"/>
  <c r="Q87" i="1"/>
  <c r="AD87" i="1" s="1"/>
  <c r="P87" i="1"/>
  <c r="AC87" i="1" s="1"/>
  <c r="O87" i="1"/>
  <c r="AB87" i="1" s="1"/>
  <c r="V87" i="1"/>
  <c r="AI87" i="1" s="1"/>
  <c r="N87" i="1"/>
  <c r="AA87" i="1" s="1"/>
  <c r="U87" i="1"/>
  <c r="AH87" i="1" s="1"/>
  <c r="M87" i="1"/>
  <c r="Z87" i="1" s="1"/>
  <c r="S87" i="1"/>
  <c r="AF87" i="1" s="1"/>
  <c r="K87" i="1"/>
  <c r="X87" i="1" s="1"/>
  <c r="T87" i="1"/>
  <c r="AG87" i="1" s="1"/>
  <c r="L87" i="1"/>
  <c r="Y87" i="1" s="1"/>
  <c r="U927" i="1"/>
  <c r="AH927" i="1" s="1"/>
  <c r="M927" i="1"/>
  <c r="Z927" i="1" s="1"/>
  <c r="R927" i="1"/>
  <c r="AE927" i="1" s="1"/>
  <c r="P927" i="1"/>
  <c r="AC927" i="1" s="1"/>
  <c r="K927" i="1"/>
  <c r="X927" i="1" s="1"/>
  <c r="V927" i="1"/>
  <c r="AI927" i="1" s="1"/>
  <c r="T927" i="1"/>
  <c r="AG927" i="1" s="1"/>
  <c r="S927" i="1"/>
  <c r="AF927" i="1" s="1"/>
  <c r="Q927" i="1"/>
  <c r="AD927" i="1" s="1"/>
  <c r="O927" i="1"/>
  <c r="AB927" i="1" s="1"/>
  <c r="L927" i="1"/>
  <c r="Y927" i="1" s="1"/>
  <c r="N927" i="1"/>
  <c r="AA927" i="1" s="1"/>
  <c r="T990" i="1"/>
  <c r="AG990" i="1" s="1"/>
  <c r="L990" i="1"/>
  <c r="Y990" i="1" s="1"/>
  <c r="S990" i="1"/>
  <c r="AF990" i="1" s="1"/>
  <c r="K990" i="1"/>
  <c r="X990" i="1" s="1"/>
  <c r="R990" i="1"/>
  <c r="AE990" i="1" s="1"/>
  <c r="Q990" i="1"/>
  <c r="AD990" i="1" s="1"/>
  <c r="P990" i="1"/>
  <c r="AC990" i="1" s="1"/>
  <c r="O990" i="1"/>
  <c r="AB990" i="1" s="1"/>
  <c r="M990" i="1"/>
  <c r="Z990" i="1" s="1"/>
  <c r="V990" i="1"/>
  <c r="AI990" i="1" s="1"/>
  <c r="N990" i="1"/>
  <c r="AA990" i="1" s="1"/>
  <c r="U990" i="1"/>
  <c r="AH990" i="1" s="1"/>
  <c r="S187" i="1"/>
  <c r="AF187" i="1" s="1"/>
  <c r="K187" i="1"/>
  <c r="X187" i="1" s="1"/>
  <c r="Q187" i="1"/>
  <c r="AD187" i="1" s="1"/>
  <c r="O187" i="1"/>
  <c r="AB187" i="1" s="1"/>
  <c r="P187" i="1"/>
  <c r="AC187" i="1" s="1"/>
  <c r="N187" i="1"/>
  <c r="AA187" i="1" s="1"/>
  <c r="M187" i="1"/>
  <c r="Z187" i="1" s="1"/>
  <c r="L187" i="1"/>
  <c r="Y187" i="1" s="1"/>
  <c r="V187" i="1"/>
  <c r="AI187" i="1" s="1"/>
  <c r="U187" i="1"/>
  <c r="AH187" i="1" s="1"/>
  <c r="R187" i="1"/>
  <c r="AE187" i="1" s="1"/>
  <c r="T187" i="1"/>
  <c r="AG187" i="1" s="1"/>
  <c r="Q918" i="1"/>
  <c r="AD918" i="1" s="1"/>
  <c r="V918" i="1"/>
  <c r="AI918" i="1" s="1"/>
  <c r="N918" i="1"/>
  <c r="AA918" i="1" s="1"/>
  <c r="T918" i="1"/>
  <c r="AG918" i="1" s="1"/>
  <c r="L918" i="1"/>
  <c r="Y918" i="1" s="1"/>
  <c r="P918" i="1"/>
  <c r="AC918" i="1" s="1"/>
  <c r="O918" i="1"/>
  <c r="AB918" i="1" s="1"/>
  <c r="M918" i="1"/>
  <c r="Z918" i="1" s="1"/>
  <c r="K918" i="1"/>
  <c r="X918" i="1" s="1"/>
  <c r="U918" i="1"/>
  <c r="AH918" i="1" s="1"/>
  <c r="R918" i="1"/>
  <c r="AE918" i="1" s="1"/>
  <c r="S918" i="1"/>
  <c r="AF918" i="1" s="1"/>
  <c r="P1003" i="1"/>
  <c r="AC1003" i="1" s="1"/>
  <c r="O1003" i="1"/>
  <c r="AB1003" i="1" s="1"/>
  <c r="V1003" i="1"/>
  <c r="AI1003" i="1" s="1"/>
  <c r="N1003" i="1"/>
  <c r="AA1003" i="1" s="1"/>
  <c r="U1003" i="1"/>
  <c r="AH1003" i="1" s="1"/>
  <c r="M1003" i="1"/>
  <c r="Z1003" i="1" s="1"/>
  <c r="T1003" i="1"/>
  <c r="AG1003" i="1" s="1"/>
  <c r="L1003" i="1"/>
  <c r="Y1003" i="1" s="1"/>
  <c r="S1003" i="1"/>
  <c r="AF1003" i="1" s="1"/>
  <c r="K1003" i="1"/>
  <c r="X1003" i="1" s="1"/>
  <c r="Q1003" i="1"/>
  <c r="AD1003" i="1" s="1"/>
  <c r="R1003" i="1"/>
  <c r="AE1003" i="1" s="1"/>
  <c r="S664" i="1"/>
  <c r="AF664" i="1" s="1"/>
  <c r="K664" i="1"/>
  <c r="X664" i="1" s="1"/>
  <c r="R664" i="1"/>
  <c r="AE664" i="1" s="1"/>
  <c r="Q664" i="1"/>
  <c r="AD664" i="1" s="1"/>
  <c r="P664" i="1"/>
  <c r="AC664" i="1" s="1"/>
  <c r="O664" i="1"/>
  <c r="AB664" i="1" s="1"/>
  <c r="V664" i="1"/>
  <c r="AI664" i="1" s="1"/>
  <c r="N664" i="1"/>
  <c r="AA664" i="1" s="1"/>
  <c r="T664" i="1"/>
  <c r="AG664" i="1" s="1"/>
  <c r="L664" i="1"/>
  <c r="Y664" i="1" s="1"/>
  <c r="U664" i="1"/>
  <c r="AH664" i="1" s="1"/>
  <c r="M664" i="1"/>
  <c r="Z664" i="1" s="1"/>
  <c r="T1083" i="1"/>
  <c r="AG1083" i="1" s="1"/>
  <c r="L1083" i="1"/>
  <c r="Y1083" i="1" s="1"/>
  <c r="S1083" i="1"/>
  <c r="AF1083" i="1" s="1"/>
  <c r="K1083" i="1"/>
  <c r="X1083" i="1" s="1"/>
  <c r="R1083" i="1"/>
  <c r="AE1083" i="1" s="1"/>
  <c r="Q1083" i="1"/>
  <c r="AD1083" i="1" s="1"/>
  <c r="P1083" i="1"/>
  <c r="AC1083" i="1" s="1"/>
  <c r="O1083" i="1"/>
  <c r="AB1083" i="1" s="1"/>
  <c r="V1083" i="1"/>
  <c r="AI1083" i="1" s="1"/>
  <c r="N1083" i="1"/>
  <c r="AA1083" i="1" s="1"/>
  <c r="U1083" i="1"/>
  <c r="AH1083" i="1" s="1"/>
  <c r="M1083" i="1"/>
  <c r="Z1083" i="1" s="1"/>
  <c r="Q522" i="1"/>
  <c r="AD522" i="1" s="1"/>
  <c r="O522" i="1"/>
  <c r="AB522" i="1" s="1"/>
  <c r="V522" i="1"/>
  <c r="AI522" i="1" s="1"/>
  <c r="N522" i="1"/>
  <c r="AA522" i="1" s="1"/>
  <c r="T522" i="1"/>
  <c r="AG522" i="1" s="1"/>
  <c r="L522" i="1"/>
  <c r="Y522" i="1" s="1"/>
  <c r="P522" i="1"/>
  <c r="AC522" i="1" s="1"/>
  <c r="M522" i="1"/>
  <c r="Z522" i="1" s="1"/>
  <c r="K522" i="1"/>
  <c r="X522" i="1" s="1"/>
  <c r="U522" i="1"/>
  <c r="AH522" i="1" s="1"/>
  <c r="R522" i="1"/>
  <c r="AE522" i="1" s="1"/>
  <c r="S522" i="1"/>
  <c r="AF522" i="1" s="1"/>
  <c r="P1114" i="1"/>
  <c r="AC1114" i="1" s="1"/>
  <c r="O1114" i="1"/>
  <c r="AB1114" i="1" s="1"/>
  <c r="V1114" i="1"/>
  <c r="AI1114" i="1" s="1"/>
  <c r="N1114" i="1"/>
  <c r="AA1114" i="1" s="1"/>
  <c r="U1114" i="1"/>
  <c r="AH1114" i="1" s="1"/>
  <c r="M1114" i="1"/>
  <c r="Z1114" i="1" s="1"/>
  <c r="T1114" i="1"/>
  <c r="AG1114" i="1" s="1"/>
  <c r="L1114" i="1"/>
  <c r="Y1114" i="1" s="1"/>
  <c r="S1114" i="1"/>
  <c r="AF1114" i="1" s="1"/>
  <c r="K1114" i="1"/>
  <c r="X1114" i="1" s="1"/>
  <c r="R1114" i="1"/>
  <c r="AE1114" i="1" s="1"/>
  <c r="Q1114" i="1"/>
  <c r="AD1114" i="1" s="1"/>
  <c r="V492" i="1"/>
  <c r="AI492" i="1" s="1"/>
  <c r="N492" i="1"/>
  <c r="AA492" i="1" s="1"/>
  <c r="T492" i="1"/>
  <c r="AG492" i="1" s="1"/>
  <c r="L492" i="1"/>
  <c r="Y492" i="1" s="1"/>
  <c r="S492" i="1"/>
  <c r="AF492" i="1" s="1"/>
  <c r="K492" i="1"/>
  <c r="X492" i="1" s="1"/>
  <c r="R492" i="1"/>
  <c r="AE492" i="1" s="1"/>
  <c r="Q492" i="1"/>
  <c r="AD492" i="1" s="1"/>
  <c r="O492" i="1"/>
  <c r="AB492" i="1" s="1"/>
  <c r="M492" i="1"/>
  <c r="Z492" i="1" s="1"/>
  <c r="P492" i="1"/>
  <c r="AC492" i="1" s="1"/>
  <c r="U492" i="1"/>
  <c r="AH492" i="1" s="1"/>
  <c r="R153" i="1"/>
  <c r="AE153" i="1" s="1"/>
  <c r="Q153" i="1"/>
  <c r="AD153" i="1" s="1"/>
  <c r="P153" i="1"/>
  <c r="AC153" i="1" s="1"/>
  <c r="O153" i="1"/>
  <c r="AB153" i="1" s="1"/>
  <c r="V153" i="1"/>
  <c r="AI153" i="1" s="1"/>
  <c r="N153" i="1"/>
  <c r="AA153" i="1" s="1"/>
  <c r="U153" i="1"/>
  <c r="AH153" i="1" s="1"/>
  <c r="M153" i="1"/>
  <c r="Z153" i="1" s="1"/>
  <c r="S153" i="1"/>
  <c r="AF153" i="1" s="1"/>
  <c r="K153" i="1"/>
  <c r="X153" i="1" s="1"/>
  <c r="T153" i="1"/>
  <c r="AG153" i="1" s="1"/>
  <c r="L153" i="1"/>
  <c r="Y153" i="1" s="1"/>
  <c r="P1082" i="1"/>
  <c r="AC1082" i="1" s="1"/>
  <c r="O1082" i="1"/>
  <c r="AB1082" i="1" s="1"/>
  <c r="V1082" i="1"/>
  <c r="AI1082" i="1" s="1"/>
  <c r="N1082" i="1"/>
  <c r="AA1082" i="1" s="1"/>
  <c r="U1082" i="1"/>
  <c r="AH1082" i="1" s="1"/>
  <c r="M1082" i="1"/>
  <c r="Z1082" i="1" s="1"/>
  <c r="T1082" i="1"/>
  <c r="AG1082" i="1" s="1"/>
  <c r="L1082" i="1"/>
  <c r="Y1082" i="1" s="1"/>
  <c r="S1082" i="1"/>
  <c r="AF1082" i="1" s="1"/>
  <c r="K1082" i="1"/>
  <c r="X1082" i="1" s="1"/>
  <c r="R1082" i="1"/>
  <c r="AE1082" i="1" s="1"/>
  <c r="Q1082" i="1"/>
  <c r="AD1082" i="1" s="1"/>
  <c r="O1410" i="1"/>
  <c r="AB1410" i="1" s="1"/>
  <c r="V1410" i="1"/>
  <c r="AI1410" i="1" s="1"/>
  <c r="N1410" i="1"/>
  <c r="AA1410" i="1" s="1"/>
  <c r="U1410" i="1"/>
  <c r="AH1410" i="1" s="1"/>
  <c r="M1410" i="1"/>
  <c r="Z1410" i="1" s="1"/>
  <c r="T1410" i="1"/>
  <c r="AG1410" i="1" s="1"/>
  <c r="L1410" i="1"/>
  <c r="Y1410" i="1" s="1"/>
  <c r="S1410" i="1"/>
  <c r="AF1410" i="1" s="1"/>
  <c r="K1410" i="1"/>
  <c r="X1410" i="1" s="1"/>
  <c r="R1410" i="1"/>
  <c r="AE1410" i="1" s="1"/>
  <c r="Q1410" i="1"/>
  <c r="AD1410" i="1" s="1"/>
  <c r="P1410" i="1"/>
  <c r="AC1410" i="1" s="1"/>
  <c r="P1015" i="1"/>
  <c r="AC1015" i="1" s="1"/>
  <c r="O1015" i="1"/>
  <c r="AB1015" i="1" s="1"/>
  <c r="V1015" i="1"/>
  <c r="AI1015" i="1" s="1"/>
  <c r="N1015" i="1"/>
  <c r="AA1015" i="1" s="1"/>
  <c r="U1015" i="1"/>
  <c r="AH1015" i="1" s="1"/>
  <c r="M1015" i="1"/>
  <c r="Z1015" i="1" s="1"/>
  <c r="T1015" i="1"/>
  <c r="AG1015" i="1" s="1"/>
  <c r="L1015" i="1"/>
  <c r="Y1015" i="1" s="1"/>
  <c r="S1015" i="1"/>
  <c r="AF1015" i="1" s="1"/>
  <c r="K1015" i="1"/>
  <c r="X1015" i="1" s="1"/>
  <c r="R1015" i="1"/>
  <c r="AE1015" i="1" s="1"/>
  <c r="Q1015" i="1"/>
  <c r="AD1015" i="1" s="1"/>
  <c r="S680" i="1"/>
  <c r="AF680" i="1" s="1"/>
  <c r="K680" i="1"/>
  <c r="X680" i="1" s="1"/>
  <c r="R680" i="1"/>
  <c r="AE680" i="1" s="1"/>
  <c r="Q680" i="1"/>
  <c r="AD680" i="1" s="1"/>
  <c r="P680" i="1"/>
  <c r="AC680" i="1" s="1"/>
  <c r="O680" i="1"/>
  <c r="AB680" i="1" s="1"/>
  <c r="V680" i="1"/>
  <c r="AI680" i="1" s="1"/>
  <c r="N680" i="1"/>
  <c r="AA680" i="1" s="1"/>
  <c r="T680" i="1"/>
  <c r="AG680" i="1" s="1"/>
  <c r="L680" i="1"/>
  <c r="Y680" i="1" s="1"/>
  <c r="U680" i="1"/>
  <c r="AH680" i="1" s="1"/>
  <c r="M680" i="1"/>
  <c r="Z680" i="1" s="1"/>
  <c r="V336" i="1"/>
  <c r="AI336" i="1" s="1"/>
  <c r="N336" i="1"/>
  <c r="AA336" i="1" s="1"/>
  <c r="T336" i="1"/>
  <c r="AG336" i="1" s="1"/>
  <c r="L336" i="1"/>
  <c r="Y336" i="1" s="1"/>
  <c r="R336" i="1"/>
  <c r="AE336" i="1" s="1"/>
  <c r="Q336" i="1"/>
  <c r="AD336" i="1" s="1"/>
  <c r="O336" i="1"/>
  <c r="AB336" i="1" s="1"/>
  <c r="U336" i="1"/>
  <c r="AH336" i="1" s="1"/>
  <c r="S336" i="1"/>
  <c r="AF336" i="1" s="1"/>
  <c r="P336" i="1"/>
  <c r="AC336" i="1" s="1"/>
  <c r="K336" i="1"/>
  <c r="X336" i="1" s="1"/>
  <c r="M336" i="1"/>
  <c r="Z336" i="1" s="1"/>
  <c r="V88" i="1"/>
  <c r="AI88" i="1" s="1"/>
  <c r="N88" i="1"/>
  <c r="AA88" i="1" s="1"/>
  <c r="U88" i="1"/>
  <c r="AH88" i="1" s="1"/>
  <c r="M88" i="1"/>
  <c r="Z88" i="1" s="1"/>
  <c r="T88" i="1"/>
  <c r="AG88" i="1" s="1"/>
  <c r="L88" i="1"/>
  <c r="Y88" i="1" s="1"/>
  <c r="S88" i="1"/>
  <c r="AF88" i="1" s="1"/>
  <c r="K88" i="1"/>
  <c r="X88" i="1" s="1"/>
  <c r="R88" i="1"/>
  <c r="AE88" i="1" s="1"/>
  <c r="Q88" i="1"/>
  <c r="AD88" i="1" s="1"/>
  <c r="O88" i="1"/>
  <c r="AB88" i="1" s="1"/>
  <c r="P88" i="1"/>
  <c r="AC88" i="1" s="1"/>
  <c r="U2" i="1"/>
  <c r="AH2" i="1" s="1"/>
  <c r="M2" i="1"/>
  <c r="Z2" i="1" s="1"/>
  <c r="T2" i="1"/>
  <c r="AG2" i="1" s="1"/>
  <c r="K2" i="1"/>
  <c r="X2" i="1" s="1"/>
  <c r="S2" i="1"/>
  <c r="AF2" i="1" s="1"/>
  <c r="L2" i="1"/>
  <c r="Y2" i="1" s="1"/>
  <c r="R2" i="1"/>
  <c r="AE2" i="1" s="1"/>
  <c r="Q2" i="1"/>
  <c r="AD2" i="1" s="1"/>
  <c r="P2" i="1"/>
  <c r="AC2" i="1" s="1"/>
  <c r="O2" i="1"/>
  <c r="AB2" i="1" s="1"/>
  <c r="V2" i="1"/>
  <c r="AI2" i="1" s="1"/>
  <c r="N2" i="1"/>
  <c r="AA2" i="1" s="1"/>
  <c r="U907" i="1"/>
  <c r="AH907" i="1" s="1"/>
  <c r="M907" i="1"/>
  <c r="Z907" i="1" s="1"/>
  <c r="R907" i="1"/>
  <c r="AE907" i="1" s="1"/>
  <c r="P907" i="1"/>
  <c r="AC907" i="1" s="1"/>
  <c r="T907" i="1"/>
  <c r="AG907" i="1" s="1"/>
  <c r="S907" i="1"/>
  <c r="AF907" i="1" s="1"/>
  <c r="Q907" i="1"/>
  <c r="AD907" i="1" s="1"/>
  <c r="O907" i="1"/>
  <c r="AB907" i="1" s="1"/>
  <c r="N907" i="1"/>
  <c r="AA907" i="1" s="1"/>
  <c r="L907" i="1"/>
  <c r="Y907" i="1" s="1"/>
  <c r="V907" i="1"/>
  <c r="AI907" i="1" s="1"/>
  <c r="K907" i="1"/>
  <c r="X907" i="1" s="1"/>
  <c r="P1013" i="1"/>
  <c r="AC1013" i="1" s="1"/>
  <c r="O1013" i="1"/>
  <c r="AB1013" i="1" s="1"/>
  <c r="V1013" i="1"/>
  <c r="AI1013" i="1" s="1"/>
  <c r="N1013" i="1"/>
  <c r="AA1013" i="1" s="1"/>
  <c r="U1013" i="1"/>
  <c r="AH1013" i="1" s="1"/>
  <c r="M1013" i="1"/>
  <c r="Z1013" i="1" s="1"/>
  <c r="T1013" i="1"/>
  <c r="AG1013" i="1" s="1"/>
  <c r="L1013" i="1"/>
  <c r="Y1013" i="1" s="1"/>
  <c r="S1013" i="1"/>
  <c r="AF1013" i="1" s="1"/>
  <c r="K1013" i="1"/>
  <c r="X1013" i="1" s="1"/>
  <c r="R1013" i="1"/>
  <c r="AE1013" i="1" s="1"/>
  <c r="Q1013" i="1"/>
  <c r="AD1013" i="1" s="1"/>
  <c r="O659" i="1"/>
  <c r="AB659" i="1" s="1"/>
  <c r="V659" i="1"/>
  <c r="AI659" i="1" s="1"/>
  <c r="N659" i="1"/>
  <c r="AA659" i="1" s="1"/>
  <c r="U659" i="1"/>
  <c r="AH659" i="1" s="1"/>
  <c r="M659" i="1"/>
  <c r="Z659" i="1" s="1"/>
  <c r="T659" i="1"/>
  <c r="AG659" i="1" s="1"/>
  <c r="L659" i="1"/>
  <c r="Y659" i="1" s="1"/>
  <c r="S659" i="1"/>
  <c r="AF659" i="1" s="1"/>
  <c r="K659" i="1"/>
  <c r="X659" i="1" s="1"/>
  <c r="R659" i="1"/>
  <c r="AE659" i="1" s="1"/>
  <c r="P659" i="1"/>
  <c r="AC659" i="1" s="1"/>
  <c r="Q659" i="1"/>
  <c r="AD659" i="1" s="1"/>
  <c r="R351" i="1"/>
  <c r="AE351" i="1" s="1"/>
  <c r="P351" i="1"/>
  <c r="AC351" i="1" s="1"/>
  <c r="V351" i="1"/>
  <c r="AI351" i="1" s="1"/>
  <c r="N351" i="1"/>
  <c r="AA351" i="1" s="1"/>
  <c r="U351" i="1"/>
  <c r="AH351" i="1" s="1"/>
  <c r="M351" i="1"/>
  <c r="Z351" i="1" s="1"/>
  <c r="S351" i="1"/>
  <c r="AF351" i="1" s="1"/>
  <c r="K351" i="1"/>
  <c r="X351" i="1" s="1"/>
  <c r="T351" i="1"/>
  <c r="AG351" i="1" s="1"/>
  <c r="Q351" i="1"/>
  <c r="AD351" i="1" s="1"/>
  <c r="O351" i="1"/>
  <c r="AB351" i="1" s="1"/>
  <c r="L351" i="1"/>
  <c r="Y351" i="1" s="1"/>
  <c r="V243" i="1"/>
  <c r="AI243" i="1" s="1"/>
  <c r="N243" i="1"/>
  <c r="AA243" i="1" s="1"/>
  <c r="U243" i="1"/>
  <c r="AH243" i="1" s="1"/>
  <c r="M243" i="1"/>
  <c r="Z243" i="1" s="1"/>
  <c r="T243" i="1"/>
  <c r="AG243" i="1" s="1"/>
  <c r="L243" i="1"/>
  <c r="Y243" i="1" s="1"/>
  <c r="S243" i="1"/>
  <c r="AF243" i="1" s="1"/>
  <c r="K243" i="1"/>
  <c r="X243" i="1" s="1"/>
  <c r="Q243" i="1"/>
  <c r="AD243" i="1" s="1"/>
  <c r="O243" i="1"/>
  <c r="AB243" i="1" s="1"/>
  <c r="R243" i="1"/>
  <c r="AE243" i="1" s="1"/>
  <c r="P243" i="1"/>
  <c r="AC243" i="1" s="1"/>
  <c r="V494" i="1"/>
  <c r="AI494" i="1" s="1"/>
  <c r="N494" i="1"/>
  <c r="AA494" i="1" s="1"/>
  <c r="T494" i="1"/>
  <c r="AG494" i="1" s="1"/>
  <c r="L494" i="1"/>
  <c r="Y494" i="1" s="1"/>
  <c r="S494" i="1"/>
  <c r="AF494" i="1" s="1"/>
  <c r="K494" i="1"/>
  <c r="X494" i="1" s="1"/>
  <c r="R494" i="1"/>
  <c r="AE494" i="1" s="1"/>
  <c r="Q494" i="1"/>
  <c r="AD494" i="1" s="1"/>
  <c r="O494" i="1"/>
  <c r="AB494" i="1" s="1"/>
  <c r="U494" i="1"/>
  <c r="AH494" i="1" s="1"/>
  <c r="P494" i="1"/>
  <c r="AC494" i="1" s="1"/>
  <c r="M494" i="1"/>
  <c r="Z494" i="1" s="1"/>
  <c r="V50" i="1"/>
  <c r="AI50" i="1" s="1"/>
  <c r="N50" i="1"/>
  <c r="AA50" i="1" s="1"/>
  <c r="U50" i="1"/>
  <c r="AH50" i="1" s="1"/>
  <c r="M50" i="1"/>
  <c r="Z50" i="1" s="1"/>
  <c r="T50" i="1"/>
  <c r="AG50" i="1" s="1"/>
  <c r="L50" i="1"/>
  <c r="Y50" i="1" s="1"/>
  <c r="S50" i="1"/>
  <c r="AF50" i="1" s="1"/>
  <c r="K50" i="1"/>
  <c r="X50" i="1" s="1"/>
  <c r="R50" i="1"/>
  <c r="AE50" i="1" s="1"/>
  <c r="Q50" i="1"/>
  <c r="AD50" i="1" s="1"/>
  <c r="O50" i="1"/>
  <c r="AB50" i="1" s="1"/>
  <c r="P50" i="1"/>
  <c r="AC50" i="1" s="1"/>
  <c r="M1269" i="1"/>
  <c r="Z1269" i="1" s="1"/>
  <c r="L751" i="1"/>
  <c r="Y751" i="1" s="1"/>
  <c r="O1376" i="1"/>
  <c r="AB1376" i="1" s="1"/>
  <c r="N1183" i="1"/>
  <c r="AA1183" i="1" s="1"/>
  <c r="K1184" i="1"/>
  <c r="X1184" i="1" s="1"/>
  <c r="K963" i="1"/>
  <c r="X963" i="1" s="1"/>
  <c r="L753" i="1"/>
  <c r="Y753" i="1" s="1"/>
  <c r="Q741" i="1"/>
  <c r="AD741" i="1" s="1"/>
  <c r="Q516" i="1"/>
  <c r="AD516" i="1" s="1"/>
  <c r="N479" i="1"/>
  <c r="AA479" i="1" s="1"/>
  <c r="N280" i="1"/>
  <c r="AA280" i="1" s="1"/>
  <c r="Q114" i="1"/>
  <c r="AD114" i="1" s="1"/>
  <c r="T870" i="1"/>
  <c r="AG870" i="1" s="1"/>
  <c r="S378" i="1"/>
  <c r="AF378" i="1" s="1"/>
  <c r="O531" i="1"/>
  <c r="AB531" i="1" s="1"/>
  <c r="U531" i="1"/>
  <c r="AH531" i="1" s="1"/>
  <c r="M531" i="1"/>
  <c r="Z531" i="1" s="1"/>
  <c r="S531" i="1"/>
  <c r="AF531" i="1" s="1"/>
  <c r="K531" i="1"/>
  <c r="X531" i="1" s="1"/>
  <c r="R531" i="1"/>
  <c r="AE531" i="1" s="1"/>
  <c r="P531" i="1"/>
  <c r="AC531" i="1" s="1"/>
  <c r="L531" i="1"/>
  <c r="Y531" i="1" s="1"/>
  <c r="V531" i="1"/>
  <c r="AI531" i="1" s="1"/>
  <c r="T531" i="1"/>
  <c r="AG531" i="1" s="1"/>
  <c r="N531" i="1"/>
  <c r="AA531" i="1" s="1"/>
  <c r="Q531" i="1"/>
  <c r="AD531" i="1" s="1"/>
  <c r="S231" i="1"/>
  <c r="AF231" i="1" s="1"/>
  <c r="K231" i="1"/>
  <c r="X231" i="1" s="1"/>
  <c r="Q231" i="1"/>
  <c r="AD231" i="1" s="1"/>
  <c r="O231" i="1"/>
  <c r="AB231" i="1" s="1"/>
  <c r="M231" i="1"/>
  <c r="Z231" i="1" s="1"/>
  <c r="L231" i="1"/>
  <c r="Y231" i="1" s="1"/>
  <c r="V231" i="1"/>
  <c r="AI231" i="1" s="1"/>
  <c r="U231" i="1"/>
  <c r="AH231" i="1" s="1"/>
  <c r="T231" i="1"/>
  <c r="AG231" i="1" s="1"/>
  <c r="R231" i="1"/>
  <c r="AE231" i="1" s="1"/>
  <c r="N231" i="1"/>
  <c r="AA231" i="1" s="1"/>
  <c r="P231" i="1"/>
  <c r="AC231" i="1" s="1"/>
  <c r="P1466" i="1"/>
  <c r="AC1466" i="1" s="1"/>
  <c r="O1466" i="1"/>
  <c r="AB1466" i="1" s="1"/>
  <c r="V1466" i="1"/>
  <c r="AI1466" i="1" s="1"/>
  <c r="N1466" i="1"/>
  <c r="AA1466" i="1" s="1"/>
  <c r="U1466" i="1"/>
  <c r="AH1466" i="1" s="1"/>
  <c r="M1466" i="1"/>
  <c r="Z1466" i="1" s="1"/>
  <c r="T1466" i="1"/>
  <c r="AG1466" i="1" s="1"/>
  <c r="L1466" i="1"/>
  <c r="Y1466" i="1" s="1"/>
  <c r="S1466" i="1"/>
  <c r="AF1466" i="1" s="1"/>
  <c r="K1466" i="1"/>
  <c r="X1466" i="1" s="1"/>
  <c r="R1466" i="1"/>
  <c r="AE1466" i="1" s="1"/>
  <c r="Q1466" i="1"/>
  <c r="AD1466" i="1" s="1"/>
  <c r="S1521" i="1"/>
  <c r="AF1521" i="1" s="1"/>
  <c r="K1521" i="1"/>
  <c r="X1521" i="1" s="1"/>
  <c r="R1521" i="1"/>
  <c r="AE1521" i="1" s="1"/>
  <c r="P1521" i="1"/>
  <c r="AC1521" i="1" s="1"/>
  <c r="V1521" i="1"/>
  <c r="AI1521" i="1" s="1"/>
  <c r="N1521" i="1"/>
  <c r="AA1521" i="1" s="1"/>
  <c r="M1521" i="1"/>
  <c r="Z1521" i="1" s="1"/>
  <c r="L1521" i="1"/>
  <c r="Y1521" i="1" s="1"/>
  <c r="U1521" i="1"/>
  <c r="AH1521" i="1" s="1"/>
  <c r="T1521" i="1"/>
  <c r="AG1521" i="1" s="1"/>
  <c r="Q1521" i="1"/>
  <c r="AD1521" i="1" s="1"/>
  <c r="O1521" i="1"/>
  <c r="AB1521" i="1" s="1"/>
  <c r="Q829" i="1"/>
  <c r="AD829" i="1" s="1"/>
  <c r="P829" i="1"/>
  <c r="AC829" i="1" s="1"/>
  <c r="O829" i="1"/>
  <c r="AB829" i="1" s="1"/>
  <c r="V829" i="1"/>
  <c r="AI829" i="1" s="1"/>
  <c r="N829" i="1"/>
  <c r="AA829" i="1" s="1"/>
  <c r="U829" i="1"/>
  <c r="AH829" i="1" s="1"/>
  <c r="M829" i="1"/>
  <c r="Z829" i="1" s="1"/>
  <c r="T829" i="1"/>
  <c r="AG829" i="1" s="1"/>
  <c r="L829" i="1"/>
  <c r="Y829" i="1" s="1"/>
  <c r="R829" i="1"/>
  <c r="AE829" i="1" s="1"/>
  <c r="S829" i="1"/>
  <c r="AF829" i="1" s="1"/>
  <c r="K829" i="1"/>
  <c r="X829" i="1" s="1"/>
  <c r="T966" i="1"/>
  <c r="AG966" i="1" s="1"/>
  <c r="L966" i="1"/>
  <c r="Y966" i="1" s="1"/>
  <c r="S966" i="1"/>
  <c r="AF966" i="1" s="1"/>
  <c r="K966" i="1"/>
  <c r="X966" i="1" s="1"/>
  <c r="R966" i="1"/>
  <c r="AE966" i="1" s="1"/>
  <c r="Q966" i="1"/>
  <c r="AD966" i="1" s="1"/>
  <c r="P966" i="1"/>
  <c r="AC966" i="1" s="1"/>
  <c r="O966" i="1"/>
  <c r="AB966" i="1" s="1"/>
  <c r="M966" i="1"/>
  <c r="Z966" i="1" s="1"/>
  <c r="V966" i="1"/>
  <c r="AI966" i="1" s="1"/>
  <c r="N966" i="1"/>
  <c r="AA966" i="1" s="1"/>
  <c r="U966" i="1"/>
  <c r="AH966" i="1" s="1"/>
  <c r="O677" i="1"/>
  <c r="AB677" i="1" s="1"/>
  <c r="V677" i="1"/>
  <c r="AI677" i="1" s="1"/>
  <c r="N677" i="1"/>
  <c r="AA677" i="1" s="1"/>
  <c r="U677" i="1"/>
  <c r="AH677" i="1" s="1"/>
  <c r="M677" i="1"/>
  <c r="Z677" i="1" s="1"/>
  <c r="T677" i="1"/>
  <c r="AG677" i="1" s="1"/>
  <c r="L677" i="1"/>
  <c r="Y677" i="1" s="1"/>
  <c r="S677" i="1"/>
  <c r="AF677" i="1" s="1"/>
  <c r="K677" i="1"/>
  <c r="X677" i="1" s="1"/>
  <c r="R677" i="1"/>
  <c r="AE677" i="1" s="1"/>
  <c r="P677" i="1"/>
  <c r="AC677" i="1" s="1"/>
  <c r="Q677" i="1"/>
  <c r="AD677" i="1" s="1"/>
  <c r="O641" i="1"/>
  <c r="AB641" i="1" s="1"/>
  <c r="V641" i="1"/>
  <c r="AI641" i="1" s="1"/>
  <c r="N641" i="1"/>
  <c r="AA641" i="1" s="1"/>
  <c r="U641" i="1"/>
  <c r="AH641" i="1" s="1"/>
  <c r="M641" i="1"/>
  <c r="Z641" i="1" s="1"/>
  <c r="T641" i="1"/>
  <c r="AG641" i="1" s="1"/>
  <c r="L641" i="1"/>
  <c r="Y641" i="1" s="1"/>
  <c r="S641" i="1"/>
  <c r="AF641" i="1" s="1"/>
  <c r="K641" i="1"/>
  <c r="X641" i="1" s="1"/>
  <c r="R641" i="1"/>
  <c r="AE641" i="1" s="1"/>
  <c r="P641" i="1"/>
  <c r="AC641" i="1" s="1"/>
  <c r="Q641" i="1"/>
  <c r="AD641" i="1" s="1"/>
  <c r="O529" i="1"/>
  <c r="AB529" i="1" s="1"/>
  <c r="U529" i="1"/>
  <c r="AH529" i="1" s="1"/>
  <c r="M529" i="1"/>
  <c r="Z529" i="1" s="1"/>
  <c r="S529" i="1"/>
  <c r="AF529" i="1" s="1"/>
  <c r="K529" i="1"/>
  <c r="X529" i="1" s="1"/>
  <c r="R529" i="1"/>
  <c r="AE529" i="1" s="1"/>
  <c r="P529" i="1"/>
  <c r="AC529" i="1" s="1"/>
  <c r="N529" i="1"/>
  <c r="AA529" i="1" s="1"/>
  <c r="L529" i="1"/>
  <c r="Y529" i="1" s="1"/>
  <c r="V529" i="1"/>
  <c r="AI529" i="1" s="1"/>
  <c r="Q529" i="1"/>
  <c r="AD529" i="1" s="1"/>
  <c r="T529" i="1"/>
  <c r="AG529" i="1" s="1"/>
  <c r="S550" i="1"/>
  <c r="AF550" i="1" s="1"/>
  <c r="K550" i="1"/>
  <c r="X550" i="1" s="1"/>
  <c r="R550" i="1"/>
  <c r="AE550" i="1" s="1"/>
  <c r="Q550" i="1"/>
  <c r="AD550" i="1" s="1"/>
  <c r="P550" i="1"/>
  <c r="AC550" i="1" s="1"/>
  <c r="O550" i="1"/>
  <c r="AB550" i="1" s="1"/>
  <c r="V550" i="1"/>
  <c r="AI550" i="1" s="1"/>
  <c r="N550" i="1"/>
  <c r="AA550" i="1" s="1"/>
  <c r="T550" i="1"/>
  <c r="AG550" i="1" s="1"/>
  <c r="L550" i="1"/>
  <c r="Y550" i="1" s="1"/>
  <c r="U550" i="1"/>
  <c r="AH550" i="1" s="1"/>
  <c r="M550" i="1"/>
  <c r="Z550" i="1" s="1"/>
  <c r="O631" i="1"/>
  <c r="AB631" i="1" s="1"/>
  <c r="V631" i="1"/>
  <c r="AI631" i="1" s="1"/>
  <c r="N631" i="1"/>
  <c r="AA631" i="1" s="1"/>
  <c r="U631" i="1"/>
  <c r="AH631" i="1" s="1"/>
  <c r="M631" i="1"/>
  <c r="Z631" i="1" s="1"/>
  <c r="T631" i="1"/>
  <c r="AG631" i="1" s="1"/>
  <c r="L631" i="1"/>
  <c r="Y631" i="1" s="1"/>
  <c r="S631" i="1"/>
  <c r="AF631" i="1" s="1"/>
  <c r="K631" i="1"/>
  <c r="X631" i="1" s="1"/>
  <c r="R631" i="1"/>
  <c r="AE631" i="1" s="1"/>
  <c r="P631" i="1"/>
  <c r="AC631" i="1" s="1"/>
  <c r="Q631" i="1"/>
  <c r="AD631" i="1" s="1"/>
  <c r="V311" i="1"/>
  <c r="AI311" i="1" s="1"/>
  <c r="N311" i="1"/>
  <c r="AA311" i="1" s="1"/>
  <c r="U311" i="1"/>
  <c r="AH311" i="1" s="1"/>
  <c r="M311" i="1"/>
  <c r="Z311" i="1" s="1"/>
  <c r="T311" i="1"/>
  <c r="AG311" i="1" s="1"/>
  <c r="L311" i="1"/>
  <c r="Y311" i="1" s="1"/>
  <c r="S311" i="1"/>
  <c r="AF311" i="1" s="1"/>
  <c r="K311" i="1"/>
  <c r="X311" i="1" s="1"/>
  <c r="R311" i="1"/>
  <c r="AE311" i="1" s="1"/>
  <c r="Q311" i="1"/>
  <c r="AD311" i="1" s="1"/>
  <c r="O311" i="1"/>
  <c r="AB311" i="1" s="1"/>
  <c r="P311" i="1"/>
  <c r="AC311" i="1" s="1"/>
  <c r="R328" i="1"/>
  <c r="AE328" i="1" s="1"/>
  <c r="Q328" i="1"/>
  <c r="AD328" i="1" s="1"/>
  <c r="S328" i="1"/>
  <c r="AF328" i="1" s="1"/>
  <c r="P328" i="1"/>
  <c r="AC328" i="1" s="1"/>
  <c r="O328" i="1"/>
  <c r="AB328" i="1" s="1"/>
  <c r="N328" i="1"/>
  <c r="AA328" i="1" s="1"/>
  <c r="M328" i="1"/>
  <c r="Z328" i="1" s="1"/>
  <c r="V328" i="1"/>
  <c r="AI328" i="1" s="1"/>
  <c r="L328" i="1"/>
  <c r="Y328" i="1" s="1"/>
  <c r="T328" i="1"/>
  <c r="AG328" i="1" s="1"/>
  <c r="U328" i="1"/>
  <c r="AH328" i="1" s="1"/>
  <c r="K328" i="1"/>
  <c r="X328" i="1" s="1"/>
  <c r="S171" i="1"/>
  <c r="AF171" i="1" s="1"/>
  <c r="K171" i="1"/>
  <c r="X171" i="1" s="1"/>
  <c r="Q171" i="1"/>
  <c r="AD171" i="1" s="1"/>
  <c r="R171" i="1"/>
  <c r="AE171" i="1" s="1"/>
  <c r="P171" i="1"/>
  <c r="AC171" i="1" s="1"/>
  <c r="O171" i="1"/>
  <c r="AB171" i="1" s="1"/>
  <c r="N171" i="1"/>
  <c r="AA171" i="1" s="1"/>
  <c r="M171" i="1"/>
  <c r="Z171" i="1" s="1"/>
  <c r="V171" i="1"/>
  <c r="AI171" i="1" s="1"/>
  <c r="L171" i="1"/>
  <c r="Y171" i="1" s="1"/>
  <c r="T171" i="1"/>
  <c r="AG171" i="1" s="1"/>
  <c r="U171" i="1"/>
  <c r="AH171" i="1" s="1"/>
  <c r="R57" i="1"/>
  <c r="AE57" i="1" s="1"/>
  <c r="Q57" i="1"/>
  <c r="AD57" i="1" s="1"/>
  <c r="P57" i="1"/>
  <c r="AC57" i="1" s="1"/>
  <c r="O57" i="1"/>
  <c r="AB57" i="1" s="1"/>
  <c r="V57" i="1"/>
  <c r="AI57" i="1" s="1"/>
  <c r="N57" i="1"/>
  <c r="AA57" i="1" s="1"/>
  <c r="U57" i="1"/>
  <c r="AH57" i="1" s="1"/>
  <c r="M57" i="1"/>
  <c r="Z57" i="1" s="1"/>
  <c r="S57" i="1"/>
  <c r="AF57" i="1" s="1"/>
  <c r="K57" i="1"/>
  <c r="X57" i="1" s="1"/>
  <c r="T57" i="1"/>
  <c r="AG57" i="1" s="1"/>
  <c r="L57" i="1"/>
  <c r="Y57" i="1" s="1"/>
  <c r="Q13" i="1"/>
  <c r="AD13" i="1" s="1"/>
  <c r="P13" i="1"/>
  <c r="AC13" i="1" s="1"/>
  <c r="O13" i="1"/>
  <c r="AB13" i="1" s="1"/>
  <c r="U13" i="1"/>
  <c r="AH13" i="1" s="1"/>
  <c r="M13" i="1"/>
  <c r="Z13" i="1" s="1"/>
  <c r="S13" i="1"/>
  <c r="AF13" i="1" s="1"/>
  <c r="V13" i="1"/>
  <c r="AI13" i="1" s="1"/>
  <c r="N13" i="1"/>
  <c r="AA13" i="1" s="1"/>
  <c r="T13" i="1"/>
  <c r="AG13" i="1" s="1"/>
  <c r="R13" i="1"/>
  <c r="AE13" i="1" s="1"/>
  <c r="L13" i="1"/>
  <c r="Y13" i="1" s="1"/>
  <c r="U511" i="1"/>
  <c r="AH511" i="1" s="1"/>
  <c r="M511" i="1"/>
  <c r="Z511" i="1" s="1"/>
  <c r="R511" i="1"/>
  <c r="AE511" i="1" s="1"/>
  <c r="P511" i="1"/>
  <c r="AC511" i="1" s="1"/>
  <c r="O511" i="1"/>
  <c r="AB511" i="1" s="1"/>
  <c r="L511" i="1"/>
  <c r="Y511" i="1" s="1"/>
  <c r="K511" i="1"/>
  <c r="X511" i="1" s="1"/>
  <c r="V511" i="1"/>
  <c r="AI511" i="1" s="1"/>
  <c r="T511" i="1"/>
  <c r="AG511" i="1" s="1"/>
  <c r="Q511" i="1"/>
  <c r="AD511" i="1" s="1"/>
  <c r="N511" i="1"/>
  <c r="AA511" i="1" s="1"/>
  <c r="S511" i="1"/>
  <c r="AF511" i="1" s="1"/>
  <c r="R69" i="1"/>
  <c r="AE69" i="1" s="1"/>
  <c r="Q69" i="1"/>
  <c r="AD69" i="1" s="1"/>
  <c r="P69" i="1"/>
  <c r="AC69" i="1" s="1"/>
  <c r="O69" i="1"/>
  <c r="AB69" i="1" s="1"/>
  <c r="V69" i="1"/>
  <c r="AI69" i="1" s="1"/>
  <c r="N69" i="1"/>
  <c r="AA69" i="1" s="1"/>
  <c r="U69" i="1"/>
  <c r="AH69" i="1" s="1"/>
  <c r="M69" i="1"/>
  <c r="Z69" i="1" s="1"/>
  <c r="S69" i="1"/>
  <c r="AF69" i="1" s="1"/>
  <c r="K69" i="1"/>
  <c r="X69" i="1" s="1"/>
  <c r="T69" i="1"/>
  <c r="AG69" i="1" s="1"/>
  <c r="L69" i="1"/>
  <c r="Y69" i="1" s="1"/>
  <c r="U780" i="1"/>
  <c r="AH780" i="1" s="1"/>
  <c r="M780" i="1"/>
  <c r="Z780" i="1" s="1"/>
  <c r="T780" i="1"/>
  <c r="AG780" i="1" s="1"/>
  <c r="L780" i="1"/>
  <c r="Y780" i="1" s="1"/>
  <c r="S780" i="1"/>
  <c r="AF780" i="1" s="1"/>
  <c r="K780" i="1"/>
  <c r="X780" i="1" s="1"/>
  <c r="R780" i="1"/>
  <c r="AE780" i="1" s="1"/>
  <c r="Q780" i="1"/>
  <c r="AD780" i="1" s="1"/>
  <c r="P780" i="1"/>
  <c r="AC780" i="1" s="1"/>
  <c r="V780" i="1"/>
  <c r="AI780" i="1" s="1"/>
  <c r="N780" i="1"/>
  <c r="AA780" i="1" s="1"/>
  <c r="O780" i="1"/>
  <c r="AB780" i="1" s="1"/>
  <c r="V327" i="1"/>
  <c r="AI327" i="1" s="1"/>
  <c r="N327" i="1"/>
  <c r="AA327" i="1" s="1"/>
  <c r="U327" i="1"/>
  <c r="AH327" i="1" s="1"/>
  <c r="M327" i="1"/>
  <c r="Z327" i="1" s="1"/>
  <c r="S327" i="1"/>
  <c r="AF327" i="1" s="1"/>
  <c r="R327" i="1"/>
  <c r="AE327" i="1" s="1"/>
  <c r="Q327" i="1"/>
  <c r="AD327" i="1" s="1"/>
  <c r="P327" i="1"/>
  <c r="AC327" i="1" s="1"/>
  <c r="O327" i="1"/>
  <c r="AB327" i="1" s="1"/>
  <c r="L327" i="1"/>
  <c r="Y327" i="1" s="1"/>
  <c r="T327" i="1"/>
  <c r="AG327" i="1" s="1"/>
  <c r="K327" i="1"/>
  <c r="X327" i="1" s="1"/>
  <c r="S1537" i="1"/>
  <c r="AF1537" i="1" s="1"/>
  <c r="K1537" i="1"/>
  <c r="X1537" i="1" s="1"/>
  <c r="R1537" i="1"/>
  <c r="AE1537" i="1" s="1"/>
  <c r="Q1537" i="1"/>
  <c r="AD1537" i="1" s="1"/>
  <c r="P1537" i="1"/>
  <c r="AC1537" i="1" s="1"/>
  <c r="V1537" i="1"/>
  <c r="AI1537" i="1" s="1"/>
  <c r="N1537" i="1"/>
  <c r="AA1537" i="1" s="1"/>
  <c r="U1537" i="1"/>
  <c r="AH1537" i="1" s="1"/>
  <c r="T1537" i="1"/>
  <c r="AG1537" i="1" s="1"/>
  <c r="O1537" i="1"/>
  <c r="AB1537" i="1" s="1"/>
  <c r="M1537" i="1"/>
  <c r="Z1537" i="1" s="1"/>
  <c r="L1537" i="1"/>
  <c r="Y1537" i="1" s="1"/>
  <c r="V1340" i="1"/>
  <c r="AI1340" i="1" s="1"/>
  <c r="N1340" i="1"/>
  <c r="AA1340" i="1" s="1"/>
  <c r="U1340" i="1"/>
  <c r="AH1340" i="1" s="1"/>
  <c r="M1340" i="1"/>
  <c r="Z1340" i="1" s="1"/>
  <c r="S1340" i="1"/>
  <c r="AF1340" i="1" s="1"/>
  <c r="R1340" i="1"/>
  <c r="AE1340" i="1" s="1"/>
  <c r="Q1340" i="1"/>
  <c r="AD1340" i="1" s="1"/>
  <c r="T1340" i="1"/>
  <c r="AG1340" i="1" s="1"/>
  <c r="P1340" i="1"/>
  <c r="AC1340" i="1" s="1"/>
  <c r="O1340" i="1"/>
  <c r="AB1340" i="1" s="1"/>
  <c r="L1340" i="1"/>
  <c r="Y1340" i="1" s="1"/>
  <c r="K1340" i="1"/>
  <c r="X1340" i="1" s="1"/>
  <c r="Q908" i="1"/>
  <c r="AD908" i="1" s="1"/>
  <c r="V908" i="1"/>
  <c r="AI908" i="1" s="1"/>
  <c r="N908" i="1"/>
  <c r="AA908" i="1" s="1"/>
  <c r="T908" i="1"/>
  <c r="AG908" i="1" s="1"/>
  <c r="L908" i="1"/>
  <c r="Y908" i="1" s="1"/>
  <c r="U908" i="1"/>
  <c r="AH908" i="1" s="1"/>
  <c r="S908" i="1"/>
  <c r="AF908" i="1" s="1"/>
  <c r="R908" i="1"/>
  <c r="AE908" i="1" s="1"/>
  <c r="P908" i="1"/>
  <c r="AC908" i="1" s="1"/>
  <c r="O908" i="1"/>
  <c r="AB908" i="1" s="1"/>
  <c r="M908" i="1"/>
  <c r="Z908" i="1" s="1"/>
  <c r="K908" i="1"/>
  <c r="X908" i="1" s="1"/>
  <c r="O689" i="1"/>
  <c r="AB689" i="1" s="1"/>
  <c r="V689" i="1"/>
  <c r="AI689" i="1" s="1"/>
  <c r="N689" i="1"/>
  <c r="AA689" i="1" s="1"/>
  <c r="U689" i="1"/>
  <c r="AH689" i="1" s="1"/>
  <c r="M689" i="1"/>
  <c r="Z689" i="1" s="1"/>
  <c r="T689" i="1"/>
  <c r="AG689" i="1" s="1"/>
  <c r="L689" i="1"/>
  <c r="Y689" i="1" s="1"/>
  <c r="S689" i="1"/>
  <c r="AF689" i="1" s="1"/>
  <c r="K689" i="1"/>
  <c r="X689" i="1" s="1"/>
  <c r="R689" i="1"/>
  <c r="AE689" i="1" s="1"/>
  <c r="P689" i="1"/>
  <c r="AC689" i="1" s="1"/>
  <c r="Q689" i="1"/>
  <c r="AD689" i="1" s="1"/>
  <c r="S658" i="1"/>
  <c r="AF658" i="1" s="1"/>
  <c r="K658" i="1"/>
  <c r="X658" i="1" s="1"/>
  <c r="R658" i="1"/>
  <c r="AE658" i="1" s="1"/>
  <c r="Q658" i="1"/>
  <c r="AD658" i="1" s="1"/>
  <c r="P658" i="1"/>
  <c r="AC658" i="1" s="1"/>
  <c r="O658" i="1"/>
  <c r="AB658" i="1" s="1"/>
  <c r="V658" i="1"/>
  <c r="AI658" i="1" s="1"/>
  <c r="N658" i="1"/>
  <c r="AA658" i="1" s="1"/>
  <c r="T658" i="1"/>
  <c r="AG658" i="1" s="1"/>
  <c r="L658" i="1"/>
  <c r="Y658" i="1" s="1"/>
  <c r="U658" i="1"/>
  <c r="AH658" i="1" s="1"/>
  <c r="M658" i="1"/>
  <c r="Z658" i="1" s="1"/>
  <c r="O637" i="1"/>
  <c r="AB637" i="1" s="1"/>
  <c r="V637" i="1"/>
  <c r="AI637" i="1" s="1"/>
  <c r="N637" i="1"/>
  <c r="AA637" i="1" s="1"/>
  <c r="U637" i="1"/>
  <c r="AH637" i="1" s="1"/>
  <c r="M637" i="1"/>
  <c r="Z637" i="1" s="1"/>
  <c r="T637" i="1"/>
  <c r="AG637" i="1" s="1"/>
  <c r="L637" i="1"/>
  <c r="Y637" i="1" s="1"/>
  <c r="S637" i="1"/>
  <c r="AF637" i="1" s="1"/>
  <c r="K637" i="1"/>
  <c r="X637" i="1" s="1"/>
  <c r="R637" i="1"/>
  <c r="AE637" i="1" s="1"/>
  <c r="P637" i="1"/>
  <c r="AC637" i="1" s="1"/>
  <c r="Q637" i="1"/>
  <c r="AD637" i="1" s="1"/>
  <c r="R499" i="1"/>
  <c r="AE499" i="1" s="1"/>
  <c r="P499" i="1"/>
  <c r="AC499" i="1" s="1"/>
  <c r="O499" i="1"/>
  <c r="AB499" i="1" s="1"/>
  <c r="V499" i="1"/>
  <c r="AI499" i="1" s="1"/>
  <c r="N499" i="1"/>
  <c r="AA499" i="1" s="1"/>
  <c r="U499" i="1"/>
  <c r="AH499" i="1" s="1"/>
  <c r="M499" i="1"/>
  <c r="Z499" i="1" s="1"/>
  <c r="S499" i="1"/>
  <c r="AF499" i="1" s="1"/>
  <c r="K499" i="1"/>
  <c r="X499" i="1" s="1"/>
  <c r="T499" i="1"/>
  <c r="AG499" i="1" s="1"/>
  <c r="Q499" i="1"/>
  <c r="AD499" i="1" s="1"/>
  <c r="L499" i="1"/>
  <c r="Y499" i="1" s="1"/>
  <c r="S546" i="1"/>
  <c r="AF546" i="1" s="1"/>
  <c r="K546" i="1"/>
  <c r="X546" i="1" s="1"/>
  <c r="Q546" i="1"/>
  <c r="AD546" i="1" s="1"/>
  <c r="O546" i="1"/>
  <c r="AB546" i="1" s="1"/>
  <c r="V546" i="1"/>
  <c r="AI546" i="1" s="1"/>
  <c r="N546" i="1"/>
  <c r="AA546" i="1" s="1"/>
  <c r="T546" i="1"/>
  <c r="AG546" i="1" s="1"/>
  <c r="L546" i="1"/>
  <c r="Y546" i="1" s="1"/>
  <c r="U546" i="1"/>
  <c r="AH546" i="1" s="1"/>
  <c r="R546" i="1"/>
  <c r="AE546" i="1" s="1"/>
  <c r="P546" i="1"/>
  <c r="AC546" i="1" s="1"/>
  <c r="M546" i="1"/>
  <c r="Z546" i="1" s="1"/>
  <c r="O627" i="1"/>
  <c r="AB627" i="1" s="1"/>
  <c r="V627" i="1"/>
  <c r="AI627" i="1" s="1"/>
  <c r="N627" i="1"/>
  <c r="AA627" i="1" s="1"/>
  <c r="U627" i="1"/>
  <c r="AH627" i="1" s="1"/>
  <c r="M627" i="1"/>
  <c r="Z627" i="1" s="1"/>
  <c r="T627" i="1"/>
  <c r="AG627" i="1" s="1"/>
  <c r="L627" i="1"/>
  <c r="Y627" i="1" s="1"/>
  <c r="S627" i="1"/>
  <c r="AF627" i="1" s="1"/>
  <c r="K627" i="1"/>
  <c r="X627" i="1" s="1"/>
  <c r="R627" i="1"/>
  <c r="AE627" i="1" s="1"/>
  <c r="P627" i="1"/>
  <c r="AC627" i="1" s="1"/>
  <c r="Q627" i="1"/>
  <c r="AD627" i="1" s="1"/>
  <c r="V436" i="1"/>
  <c r="AI436" i="1" s="1"/>
  <c r="N436" i="1"/>
  <c r="AA436" i="1" s="1"/>
  <c r="T436" i="1"/>
  <c r="AG436" i="1" s="1"/>
  <c r="L436" i="1"/>
  <c r="Y436" i="1" s="1"/>
  <c r="S436" i="1"/>
  <c r="AF436" i="1" s="1"/>
  <c r="K436" i="1"/>
  <c r="X436" i="1" s="1"/>
  <c r="R436" i="1"/>
  <c r="AE436" i="1" s="1"/>
  <c r="Q436" i="1"/>
  <c r="AD436" i="1" s="1"/>
  <c r="O436" i="1"/>
  <c r="AB436" i="1" s="1"/>
  <c r="M436" i="1"/>
  <c r="Z436" i="1" s="1"/>
  <c r="P436" i="1"/>
  <c r="AC436" i="1" s="1"/>
  <c r="U436" i="1"/>
  <c r="AH436" i="1" s="1"/>
  <c r="V297" i="1"/>
  <c r="AI297" i="1" s="1"/>
  <c r="N297" i="1"/>
  <c r="AA297" i="1" s="1"/>
  <c r="U297" i="1"/>
  <c r="AH297" i="1" s="1"/>
  <c r="M297" i="1"/>
  <c r="Z297" i="1" s="1"/>
  <c r="T297" i="1"/>
  <c r="AG297" i="1" s="1"/>
  <c r="L297" i="1"/>
  <c r="Y297" i="1" s="1"/>
  <c r="S297" i="1"/>
  <c r="AF297" i="1" s="1"/>
  <c r="K297" i="1"/>
  <c r="X297" i="1" s="1"/>
  <c r="R297" i="1"/>
  <c r="AE297" i="1" s="1"/>
  <c r="Q297" i="1"/>
  <c r="AD297" i="1" s="1"/>
  <c r="O297" i="1"/>
  <c r="AB297" i="1" s="1"/>
  <c r="P297" i="1"/>
  <c r="AC297" i="1" s="1"/>
  <c r="R139" i="1"/>
  <c r="AE139" i="1" s="1"/>
  <c r="Q139" i="1"/>
  <c r="AD139" i="1" s="1"/>
  <c r="P139" i="1"/>
  <c r="AC139" i="1" s="1"/>
  <c r="O139" i="1"/>
  <c r="AB139" i="1" s="1"/>
  <c r="V139" i="1"/>
  <c r="AI139" i="1" s="1"/>
  <c r="N139" i="1"/>
  <c r="AA139" i="1" s="1"/>
  <c r="U139" i="1"/>
  <c r="AH139" i="1" s="1"/>
  <c r="M139" i="1"/>
  <c r="Z139" i="1" s="1"/>
  <c r="S139" i="1"/>
  <c r="AF139" i="1" s="1"/>
  <c r="K139" i="1"/>
  <c r="X139" i="1" s="1"/>
  <c r="T139" i="1"/>
  <c r="AG139" i="1" s="1"/>
  <c r="L139" i="1"/>
  <c r="Y139" i="1" s="1"/>
  <c r="O182" i="1"/>
  <c r="AB182" i="1" s="1"/>
  <c r="U182" i="1"/>
  <c r="AH182" i="1" s="1"/>
  <c r="M182" i="1"/>
  <c r="Z182" i="1" s="1"/>
  <c r="S182" i="1"/>
  <c r="AF182" i="1" s="1"/>
  <c r="K182" i="1"/>
  <c r="X182" i="1" s="1"/>
  <c r="L182" i="1"/>
  <c r="Y182" i="1" s="1"/>
  <c r="V182" i="1"/>
  <c r="AI182" i="1" s="1"/>
  <c r="T182" i="1"/>
  <c r="AG182" i="1" s="1"/>
  <c r="R182" i="1"/>
  <c r="AE182" i="1" s="1"/>
  <c r="Q182" i="1"/>
  <c r="AD182" i="1" s="1"/>
  <c r="N182" i="1"/>
  <c r="AA182" i="1" s="1"/>
  <c r="P182" i="1"/>
  <c r="AC182" i="1" s="1"/>
  <c r="V78" i="1"/>
  <c r="AI78" i="1" s="1"/>
  <c r="N78" i="1"/>
  <c r="AA78" i="1" s="1"/>
  <c r="U78" i="1"/>
  <c r="AH78" i="1" s="1"/>
  <c r="M78" i="1"/>
  <c r="Z78" i="1" s="1"/>
  <c r="T78" i="1"/>
  <c r="AG78" i="1" s="1"/>
  <c r="L78" i="1"/>
  <c r="Y78" i="1" s="1"/>
  <c r="S78" i="1"/>
  <c r="AF78" i="1" s="1"/>
  <c r="K78" i="1"/>
  <c r="X78" i="1" s="1"/>
  <c r="R78" i="1"/>
  <c r="AE78" i="1" s="1"/>
  <c r="Q78" i="1"/>
  <c r="AD78" i="1" s="1"/>
  <c r="O78" i="1"/>
  <c r="AB78" i="1" s="1"/>
  <c r="P78" i="1"/>
  <c r="AC78" i="1" s="1"/>
  <c r="R304" i="1"/>
  <c r="AE304" i="1" s="1"/>
  <c r="Q304" i="1"/>
  <c r="AD304" i="1" s="1"/>
  <c r="P304" i="1"/>
  <c r="AC304" i="1" s="1"/>
  <c r="O304" i="1"/>
  <c r="AB304" i="1" s="1"/>
  <c r="V304" i="1"/>
  <c r="AI304" i="1" s="1"/>
  <c r="N304" i="1"/>
  <c r="AA304" i="1" s="1"/>
  <c r="U304" i="1"/>
  <c r="AH304" i="1" s="1"/>
  <c r="M304" i="1"/>
  <c r="Z304" i="1" s="1"/>
  <c r="S304" i="1"/>
  <c r="AF304" i="1" s="1"/>
  <c r="K304" i="1"/>
  <c r="X304" i="1" s="1"/>
  <c r="T304" i="1"/>
  <c r="AG304" i="1" s="1"/>
  <c r="L304" i="1"/>
  <c r="Y304" i="1" s="1"/>
  <c r="U915" i="1"/>
  <c r="AH915" i="1" s="1"/>
  <c r="M915" i="1"/>
  <c r="Z915" i="1" s="1"/>
  <c r="R915" i="1"/>
  <c r="AE915" i="1" s="1"/>
  <c r="P915" i="1"/>
  <c r="AC915" i="1" s="1"/>
  <c r="N915" i="1"/>
  <c r="AA915" i="1" s="1"/>
  <c r="L915" i="1"/>
  <c r="Y915" i="1" s="1"/>
  <c r="K915" i="1"/>
  <c r="X915" i="1" s="1"/>
  <c r="V915" i="1"/>
  <c r="AI915" i="1" s="1"/>
  <c r="T915" i="1"/>
  <c r="AG915" i="1" s="1"/>
  <c r="S915" i="1"/>
  <c r="AF915" i="1" s="1"/>
  <c r="O915" i="1"/>
  <c r="AB915" i="1" s="1"/>
  <c r="Q915" i="1"/>
  <c r="AD915" i="1" s="1"/>
  <c r="O623" i="1"/>
  <c r="AB623" i="1" s="1"/>
  <c r="V623" i="1"/>
  <c r="AI623" i="1" s="1"/>
  <c r="N623" i="1"/>
  <c r="AA623" i="1" s="1"/>
  <c r="U623" i="1"/>
  <c r="AH623" i="1" s="1"/>
  <c r="M623" i="1"/>
  <c r="Z623" i="1" s="1"/>
  <c r="T623" i="1"/>
  <c r="AG623" i="1" s="1"/>
  <c r="L623" i="1"/>
  <c r="Y623" i="1" s="1"/>
  <c r="S623" i="1"/>
  <c r="AF623" i="1" s="1"/>
  <c r="K623" i="1"/>
  <c r="X623" i="1" s="1"/>
  <c r="R623" i="1"/>
  <c r="AE623" i="1" s="1"/>
  <c r="P623" i="1"/>
  <c r="AC623" i="1" s="1"/>
  <c r="Q623" i="1"/>
  <c r="AD623" i="1" s="1"/>
  <c r="O1335" i="1"/>
  <c r="AB1335" i="1" s="1"/>
  <c r="V1335" i="1"/>
  <c r="AI1335" i="1" s="1"/>
  <c r="N1335" i="1"/>
  <c r="AA1335" i="1" s="1"/>
  <c r="U1335" i="1"/>
  <c r="AH1335" i="1" s="1"/>
  <c r="M1335" i="1"/>
  <c r="Z1335" i="1" s="1"/>
  <c r="T1335" i="1"/>
  <c r="AG1335" i="1" s="1"/>
  <c r="L1335" i="1"/>
  <c r="Y1335" i="1" s="1"/>
  <c r="S1335" i="1"/>
  <c r="AF1335" i="1" s="1"/>
  <c r="K1335" i="1"/>
  <c r="X1335" i="1" s="1"/>
  <c r="R1335" i="1"/>
  <c r="AE1335" i="1" s="1"/>
  <c r="Q1335" i="1"/>
  <c r="AD1335" i="1" s="1"/>
  <c r="P1335" i="1"/>
  <c r="AC1335" i="1" s="1"/>
  <c r="P1633" i="1"/>
  <c r="AC1633" i="1" s="1"/>
  <c r="V1633" i="1"/>
  <c r="AI1633" i="1" s="1"/>
  <c r="N1633" i="1"/>
  <c r="AA1633" i="1" s="1"/>
  <c r="U1633" i="1"/>
  <c r="AH1633" i="1" s="1"/>
  <c r="M1633" i="1"/>
  <c r="Z1633" i="1" s="1"/>
  <c r="S1633" i="1"/>
  <c r="AF1633" i="1" s="1"/>
  <c r="K1633" i="1"/>
  <c r="X1633" i="1" s="1"/>
  <c r="Q1633" i="1"/>
  <c r="AD1633" i="1" s="1"/>
  <c r="T1633" i="1"/>
  <c r="AG1633" i="1" s="1"/>
  <c r="R1633" i="1"/>
  <c r="AE1633" i="1" s="1"/>
  <c r="O1633" i="1"/>
  <c r="AB1633" i="1" s="1"/>
  <c r="L1633" i="1"/>
  <c r="Y1633" i="1" s="1"/>
  <c r="Q1684" i="1"/>
  <c r="AD1684" i="1" s="1"/>
  <c r="P1684" i="1"/>
  <c r="AC1684" i="1" s="1"/>
  <c r="O1684" i="1"/>
  <c r="AB1684" i="1" s="1"/>
  <c r="V1684" i="1"/>
  <c r="AI1684" i="1" s="1"/>
  <c r="N1684" i="1"/>
  <c r="AA1684" i="1" s="1"/>
  <c r="U1684" i="1"/>
  <c r="AH1684" i="1" s="1"/>
  <c r="M1684" i="1"/>
  <c r="Z1684" i="1" s="1"/>
  <c r="T1684" i="1"/>
  <c r="AG1684" i="1" s="1"/>
  <c r="L1684" i="1"/>
  <c r="Y1684" i="1" s="1"/>
  <c r="S1684" i="1"/>
  <c r="AF1684" i="1" s="1"/>
  <c r="R1684" i="1"/>
  <c r="AE1684" i="1" s="1"/>
  <c r="K1684" i="1"/>
  <c r="X1684" i="1" s="1"/>
  <c r="T1622" i="1"/>
  <c r="AG1622" i="1" s="1"/>
  <c r="L1622" i="1"/>
  <c r="Y1622" i="1" s="1"/>
  <c r="R1622" i="1"/>
  <c r="AE1622" i="1" s="1"/>
  <c r="Q1622" i="1"/>
  <c r="AD1622" i="1" s="1"/>
  <c r="O1622" i="1"/>
  <c r="AB1622" i="1" s="1"/>
  <c r="U1622" i="1"/>
  <c r="AH1622" i="1" s="1"/>
  <c r="M1622" i="1"/>
  <c r="Z1622" i="1" s="1"/>
  <c r="K1622" i="1"/>
  <c r="X1622" i="1" s="1"/>
  <c r="V1622" i="1"/>
  <c r="AI1622" i="1" s="1"/>
  <c r="S1622" i="1"/>
  <c r="AF1622" i="1" s="1"/>
  <c r="N1622" i="1"/>
  <c r="AA1622" i="1" s="1"/>
  <c r="P1622" i="1"/>
  <c r="AC1622" i="1" s="1"/>
  <c r="U1599" i="1"/>
  <c r="AH1599" i="1" s="1"/>
  <c r="M1599" i="1"/>
  <c r="Z1599" i="1" s="1"/>
  <c r="S1599" i="1"/>
  <c r="AF1599" i="1" s="1"/>
  <c r="K1599" i="1"/>
  <c r="X1599" i="1" s="1"/>
  <c r="Q1599" i="1"/>
  <c r="AD1599" i="1" s="1"/>
  <c r="P1599" i="1"/>
  <c r="AC1599" i="1" s="1"/>
  <c r="O1599" i="1"/>
  <c r="AB1599" i="1" s="1"/>
  <c r="N1599" i="1"/>
  <c r="AA1599" i="1" s="1"/>
  <c r="L1599" i="1"/>
  <c r="Y1599" i="1" s="1"/>
  <c r="V1599" i="1"/>
  <c r="AI1599" i="1" s="1"/>
  <c r="R1599" i="1"/>
  <c r="AE1599" i="1" s="1"/>
  <c r="T1599" i="1"/>
  <c r="AG1599" i="1" s="1"/>
  <c r="V446" i="1"/>
  <c r="AI446" i="1" s="1"/>
  <c r="N446" i="1"/>
  <c r="AA446" i="1" s="1"/>
  <c r="T446" i="1"/>
  <c r="AG446" i="1" s="1"/>
  <c r="L446" i="1"/>
  <c r="Y446" i="1" s="1"/>
  <c r="S446" i="1"/>
  <c r="AF446" i="1" s="1"/>
  <c r="K446" i="1"/>
  <c r="X446" i="1" s="1"/>
  <c r="R446" i="1"/>
  <c r="AE446" i="1" s="1"/>
  <c r="Q446" i="1"/>
  <c r="AD446" i="1" s="1"/>
  <c r="O446" i="1"/>
  <c r="AB446" i="1" s="1"/>
  <c r="U446" i="1"/>
  <c r="AH446" i="1" s="1"/>
  <c r="P446" i="1"/>
  <c r="AC446" i="1" s="1"/>
  <c r="M446" i="1"/>
  <c r="Z446" i="1" s="1"/>
  <c r="R1290" i="1"/>
  <c r="AE1290" i="1" s="1"/>
  <c r="Q1290" i="1"/>
  <c r="AD1290" i="1" s="1"/>
  <c r="O1290" i="1"/>
  <c r="AB1290" i="1" s="1"/>
  <c r="V1290" i="1"/>
  <c r="AI1290" i="1" s="1"/>
  <c r="N1290" i="1"/>
  <c r="AA1290" i="1" s="1"/>
  <c r="U1290" i="1"/>
  <c r="AH1290" i="1" s="1"/>
  <c r="M1290" i="1"/>
  <c r="Z1290" i="1" s="1"/>
  <c r="K1290" i="1"/>
  <c r="X1290" i="1" s="1"/>
  <c r="T1290" i="1"/>
  <c r="AG1290" i="1" s="1"/>
  <c r="S1290" i="1"/>
  <c r="AF1290" i="1" s="1"/>
  <c r="P1290" i="1"/>
  <c r="AC1290" i="1" s="1"/>
  <c r="L1290" i="1"/>
  <c r="Y1290" i="1" s="1"/>
  <c r="S1559" i="1"/>
  <c r="AF1559" i="1" s="1"/>
  <c r="K1559" i="1"/>
  <c r="X1559" i="1" s="1"/>
  <c r="R1559" i="1"/>
  <c r="AE1559" i="1" s="1"/>
  <c r="Q1559" i="1"/>
  <c r="AD1559" i="1" s="1"/>
  <c r="P1559" i="1"/>
  <c r="AC1559" i="1" s="1"/>
  <c r="V1559" i="1"/>
  <c r="AI1559" i="1" s="1"/>
  <c r="N1559" i="1"/>
  <c r="AA1559" i="1" s="1"/>
  <c r="T1559" i="1"/>
  <c r="AG1559" i="1" s="1"/>
  <c r="O1559" i="1"/>
  <c r="AB1559" i="1" s="1"/>
  <c r="M1559" i="1"/>
  <c r="Z1559" i="1" s="1"/>
  <c r="L1559" i="1"/>
  <c r="Y1559" i="1" s="1"/>
  <c r="U1559" i="1"/>
  <c r="AH1559" i="1" s="1"/>
  <c r="T1449" i="1"/>
  <c r="AG1449" i="1" s="1"/>
  <c r="L1449" i="1"/>
  <c r="Y1449" i="1" s="1"/>
  <c r="S1449" i="1"/>
  <c r="AF1449" i="1" s="1"/>
  <c r="K1449" i="1"/>
  <c r="X1449" i="1" s="1"/>
  <c r="R1449" i="1"/>
  <c r="AE1449" i="1" s="1"/>
  <c r="Q1449" i="1"/>
  <c r="AD1449" i="1" s="1"/>
  <c r="P1449" i="1"/>
  <c r="AC1449" i="1" s="1"/>
  <c r="O1449" i="1"/>
  <c r="AB1449" i="1" s="1"/>
  <c r="N1449" i="1"/>
  <c r="AA1449" i="1" s="1"/>
  <c r="M1449" i="1"/>
  <c r="Z1449" i="1" s="1"/>
  <c r="V1449" i="1"/>
  <c r="AI1449" i="1" s="1"/>
  <c r="U1449" i="1"/>
  <c r="AH1449" i="1" s="1"/>
  <c r="S1385" i="1"/>
  <c r="AF1385" i="1" s="1"/>
  <c r="K1385" i="1"/>
  <c r="X1385" i="1" s="1"/>
  <c r="R1385" i="1"/>
  <c r="AE1385" i="1" s="1"/>
  <c r="Q1385" i="1"/>
  <c r="AD1385" i="1" s="1"/>
  <c r="P1385" i="1"/>
  <c r="AC1385" i="1" s="1"/>
  <c r="O1385" i="1"/>
  <c r="AB1385" i="1" s="1"/>
  <c r="V1385" i="1"/>
  <c r="AI1385" i="1" s="1"/>
  <c r="N1385" i="1"/>
  <c r="AA1385" i="1" s="1"/>
  <c r="U1385" i="1"/>
  <c r="AH1385" i="1" s="1"/>
  <c r="M1385" i="1"/>
  <c r="Z1385" i="1" s="1"/>
  <c r="T1385" i="1"/>
  <c r="AG1385" i="1" s="1"/>
  <c r="L1385" i="1"/>
  <c r="Y1385" i="1" s="1"/>
  <c r="O1564" i="1"/>
  <c r="AB1564" i="1" s="1"/>
  <c r="V1564" i="1"/>
  <c r="AI1564" i="1" s="1"/>
  <c r="N1564" i="1"/>
  <c r="AA1564" i="1" s="1"/>
  <c r="U1564" i="1"/>
  <c r="AH1564" i="1" s="1"/>
  <c r="M1564" i="1"/>
  <c r="Z1564" i="1" s="1"/>
  <c r="T1564" i="1"/>
  <c r="AG1564" i="1" s="1"/>
  <c r="L1564" i="1"/>
  <c r="Y1564" i="1" s="1"/>
  <c r="R1564" i="1"/>
  <c r="AE1564" i="1" s="1"/>
  <c r="S1564" i="1"/>
  <c r="AF1564" i="1" s="1"/>
  <c r="Q1564" i="1"/>
  <c r="AD1564" i="1" s="1"/>
  <c r="P1564" i="1"/>
  <c r="AC1564" i="1" s="1"/>
  <c r="K1564" i="1"/>
  <c r="X1564" i="1" s="1"/>
  <c r="Q904" i="1"/>
  <c r="AD904" i="1" s="1"/>
  <c r="V904" i="1"/>
  <c r="AI904" i="1" s="1"/>
  <c r="N904" i="1"/>
  <c r="AA904" i="1" s="1"/>
  <c r="T904" i="1"/>
  <c r="AG904" i="1" s="1"/>
  <c r="L904" i="1"/>
  <c r="Y904" i="1" s="1"/>
  <c r="R904" i="1"/>
  <c r="AE904" i="1" s="1"/>
  <c r="P904" i="1"/>
  <c r="AC904" i="1" s="1"/>
  <c r="O904" i="1"/>
  <c r="AB904" i="1" s="1"/>
  <c r="M904" i="1"/>
  <c r="Z904" i="1" s="1"/>
  <c r="K904" i="1"/>
  <c r="X904" i="1" s="1"/>
  <c r="S904" i="1"/>
  <c r="AF904" i="1" s="1"/>
  <c r="U904" i="1"/>
  <c r="AH904" i="1" s="1"/>
  <c r="P985" i="1"/>
  <c r="AC985" i="1" s="1"/>
  <c r="O985" i="1"/>
  <c r="AB985" i="1" s="1"/>
  <c r="V985" i="1"/>
  <c r="AI985" i="1" s="1"/>
  <c r="N985" i="1"/>
  <c r="AA985" i="1" s="1"/>
  <c r="U985" i="1"/>
  <c r="AH985" i="1" s="1"/>
  <c r="M985" i="1"/>
  <c r="Z985" i="1" s="1"/>
  <c r="T985" i="1"/>
  <c r="AG985" i="1" s="1"/>
  <c r="L985" i="1"/>
  <c r="Y985" i="1" s="1"/>
  <c r="S985" i="1"/>
  <c r="AF985" i="1" s="1"/>
  <c r="K985" i="1"/>
  <c r="X985" i="1" s="1"/>
  <c r="R985" i="1"/>
  <c r="AE985" i="1" s="1"/>
  <c r="Q985" i="1"/>
  <c r="AD985" i="1" s="1"/>
  <c r="T996" i="1"/>
  <c r="AG996" i="1" s="1"/>
  <c r="L996" i="1"/>
  <c r="Y996" i="1" s="1"/>
  <c r="S996" i="1"/>
  <c r="AF996" i="1" s="1"/>
  <c r="K996" i="1"/>
  <c r="X996" i="1" s="1"/>
  <c r="R996" i="1"/>
  <c r="AE996" i="1" s="1"/>
  <c r="Q996" i="1"/>
  <c r="AD996" i="1" s="1"/>
  <c r="P996" i="1"/>
  <c r="AC996" i="1" s="1"/>
  <c r="O996" i="1"/>
  <c r="AB996" i="1" s="1"/>
  <c r="V996" i="1"/>
  <c r="AI996" i="1" s="1"/>
  <c r="U996" i="1"/>
  <c r="AH996" i="1" s="1"/>
  <c r="N996" i="1"/>
  <c r="AA996" i="1" s="1"/>
  <c r="M996" i="1"/>
  <c r="Z996" i="1" s="1"/>
  <c r="O675" i="1"/>
  <c r="AB675" i="1" s="1"/>
  <c r="V675" i="1"/>
  <c r="AI675" i="1" s="1"/>
  <c r="N675" i="1"/>
  <c r="AA675" i="1" s="1"/>
  <c r="U675" i="1"/>
  <c r="AH675" i="1" s="1"/>
  <c r="M675" i="1"/>
  <c r="Z675" i="1" s="1"/>
  <c r="T675" i="1"/>
  <c r="AG675" i="1" s="1"/>
  <c r="L675" i="1"/>
  <c r="Y675" i="1" s="1"/>
  <c r="S675" i="1"/>
  <c r="AF675" i="1" s="1"/>
  <c r="K675" i="1"/>
  <c r="X675" i="1" s="1"/>
  <c r="R675" i="1"/>
  <c r="AE675" i="1" s="1"/>
  <c r="P675" i="1"/>
  <c r="AC675" i="1" s="1"/>
  <c r="Q675" i="1"/>
  <c r="AD675" i="1" s="1"/>
  <c r="R495" i="1"/>
  <c r="AE495" i="1" s="1"/>
  <c r="P495" i="1"/>
  <c r="AC495" i="1" s="1"/>
  <c r="O495" i="1"/>
  <c r="AB495" i="1" s="1"/>
  <c r="V495" i="1"/>
  <c r="AI495" i="1" s="1"/>
  <c r="N495" i="1"/>
  <c r="AA495" i="1" s="1"/>
  <c r="U495" i="1"/>
  <c r="AH495" i="1" s="1"/>
  <c r="M495" i="1"/>
  <c r="Z495" i="1" s="1"/>
  <c r="S495" i="1"/>
  <c r="AF495" i="1" s="1"/>
  <c r="K495" i="1"/>
  <c r="X495" i="1" s="1"/>
  <c r="T495" i="1"/>
  <c r="AG495" i="1" s="1"/>
  <c r="L495" i="1"/>
  <c r="Y495" i="1" s="1"/>
  <c r="Q495" i="1"/>
  <c r="AD495" i="1" s="1"/>
  <c r="S227" i="1"/>
  <c r="AF227" i="1" s="1"/>
  <c r="K227" i="1"/>
  <c r="X227" i="1" s="1"/>
  <c r="Q227" i="1"/>
  <c r="AD227" i="1" s="1"/>
  <c r="O227" i="1"/>
  <c r="AB227" i="1" s="1"/>
  <c r="V227" i="1"/>
  <c r="AI227" i="1" s="1"/>
  <c r="U227" i="1"/>
  <c r="AH227" i="1" s="1"/>
  <c r="T227" i="1"/>
  <c r="AG227" i="1" s="1"/>
  <c r="R227" i="1"/>
  <c r="AE227" i="1" s="1"/>
  <c r="P227" i="1"/>
  <c r="AC227" i="1" s="1"/>
  <c r="N227" i="1"/>
  <c r="AA227" i="1" s="1"/>
  <c r="L227" i="1"/>
  <c r="Y227" i="1" s="1"/>
  <c r="M227" i="1"/>
  <c r="Z227" i="1" s="1"/>
  <c r="U913" i="1"/>
  <c r="AH913" i="1" s="1"/>
  <c r="M913" i="1"/>
  <c r="Z913" i="1" s="1"/>
  <c r="R913" i="1"/>
  <c r="AE913" i="1" s="1"/>
  <c r="P913" i="1"/>
  <c r="AC913" i="1" s="1"/>
  <c r="L913" i="1"/>
  <c r="Y913" i="1" s="1"/>
  <c r="K913" i="1"/>
  <c r="X913" i="1" s="1"/>
  <c r="V913" i="1"/>
  <c r="AI913" i="1" s="1"/>
  <c r="T913" i="1"/>
  <c r="AG913" i="1" s="1"/>
  <c r="S913" i="1"/>
  <c r="AF913" i="1" s="1"/>
  <c r="Q913" i="1"/>
  <c r="AD913" i="1" s="1"/>
  <c r="N913" i="1"/>
  <c r="AA913" i="1" s="1"/>
  <c r="O913" i="1"/>
  <c r="AB913" i="1" s="1"/>
  <c r="R423" i="1"/>
  <c r="AE423" i="1" s="1"/>
  <c r="P423" i="1"/>
  <c r="AC423" i="1" s="1"/>
  <c r="O423" i="1"/>
  <c r="AB423" i="1" s="1"/>
  <c r="V423" i="1"/>
  <c r="AI423" i="1" s="1"/>
  <c r="N423" i="1"/>
  <c r="AA423" i="1" s="1"/>
  <c r="U423" i="1"/>
  <c r="AH423" i="1" s="1"/>
  <c r="M423" i="1"/>
  <c r="Z423" i="1" s="1"/>
  <c r="S423" i="1"/>
  <c r="AF423" i="1" s="1"/>
  <c r="K423" i="1"/>
  <c r="X423" i="1" s="1"/>
  <c r="T423" i="1"/>
  <c r="AG423" i="1" s="1"/>
  <c r="L423" i="1"/>
  <c r="Y423" i="1" s="1"/>
  <c r="Q423" i="1"/>
  <c r="AD423" i="1" s="1"/>
  <c r="T1497" i="1"/>
  <c r="AG1497" i="1" s="1"/>
  <c r="L1497" i="1"/>
  <c r="Y1497" i="1" s="1"/>
  <c r="S1497" i="1"/>
  <c r="AF1497" i="1" s="1"/>
  <c r="K1497" i="1"/>
  <c r="X1497" i="1" s="1"/>
  <c r="R1497" i="1"/>
  <c r="AE1497" i="1" s="1"/>
  <c r="Q1497" i="1"/>
  <c r="AD1497" i="1" s="1"/>
  <c r="P1497" i="1"/>
  <c r="AC1497" i="1" s="1"/>
  <c r="O1497" i="1"/>
  <c r="AB1497" i="1" s="1"/>
  <c r="V1497" i="1"/>
  <c r="AI1497" i="1" s="1"/>
  <c r="N1497" i="1"/>
  <c r="AA1497" i="1" s="1"/>
  <c r="U1497" i="1"/>
  <c r="AH1497" i="1" s="1"/>
  <c r="M1497" i="1"/>
  <c r="Z1497" i="1" s="1"/>
  <c r="S1314" i="1"/>
  <c r="AF1314" i="1" s="1"/>
  <c r="K1314" i="1"/>
  <c r="X1314" i="1" s="1"/>
  <c r="R1314" i="1"/>
  <c r="AE1314" i="1" s="1"/>
  <c r="Q1314" i="1"/>
  <c r="AD1314" i="1" s="1"/>
  <c r="P1314" i="1"/>
  <c r="AC1314" i="1" s="1"/>
  <c r="O1314" i="1"/>
  <c r="AB1314" i="1" s="1"/>
  <c r="V1314" i="1"/>
  <c r="AI1314" i="1" s="1"/>
  <c r="N1314" i="1"/>
  <c r="AA1314" i="1" s="1"/>
  <c r="U1314" i="1"/>
  <c r="AH1314" i="1" s="1"/>
  <c r="M1314" i="1"/>
  <c r="Z1314" i="1" s="1"/>
  <c r="T1314" i="1"/>
  <c r="AG1314" i="1" s="1"/>
  <c r="L1314" i="1"/>
  <c r="Y1314" i="1" s="1"/>
  <c r="V1188" i="1"/>
  <c r="AI1188" i="1" s="1"/>
  <c r="N1188" i="1"/>
  <c r="AA1188" i="1" s="1"/>
  <c r="U1188" i="1"/>
  <c r="AH1188" i="1" s="1"/>
  <c r="M1188" i="1"/>
  <c r="Z1188" i="1" s="1"/>
  <c r="T1188" i="1"/>
  <c r="AG1188" i="1" s="1"/>
  <c r="L1188" i="1"/>
  <c r="Y1188" i="1" s="1"/>
  <c r="S1188" i="1"/>
  <c r="AF1188" i="1" s="1"/>
  <c r="K1188" i="1"/>
  <c r="X1188" i="1" s="1"/>
  <c r="R1188" i="1"/>
  <c r="AE1188" i="1" s="1"/>
  <c r="Q1188" i="1"/>
  <c r="AD1188" i="1" s="1"/>
  <c r="P1188" i="1"/>
  <c r="AC1188" i="1" s="1"/>
  <c r="O1188" i="1"/>
  <c r="AB1188" i="1" s="1"/>
  <c r="U883" i="1"/>
  <c r="AH883" i="1" s="1"/>
  <c r="M883" i="1"/>
  <c r="Z883" i="1" s="1"/>
  <c r="R883" i="1"/>
  <c r="AE883" i="1" s="1"/>
  <c r="P883" i="1"/>
  <c r="AC883" i="1" s="1"/>
  <c r="N883" i="1"/>
  <c r="AA883" i="1" s="1"/>
  <c r="L883" i="1"/>
  <c r="Y883" i="1" s="1"/>
  <c r="K883" i="1"/>
  <c r="X883" i="1" s="1"/>
  <c r="V883" i="1"/>
  <c r="AI883" i="1" s="1"/>
  <c r="T883" i="1"/>
  <c r="AG883" i="1" s="1"/>
  <c r="S883" i="1"/>
  <c r="AF883" i="1" s="1"/>
  <c r="O883" i="1"/>
  <c r="AB883" i="1" s="1"/>
  <c r="Q883" i="1"/>
  <c r="AD883" i="1" s="1"/>
  <c r="Q771" i="1"/>
  <c r="AD771" i="1" s="1"/>
  <c r="P771" i="1"/>
  <c r="AC771" i="1" s="1"/>
  <c r="O771" i="1"/>
  <c r="AB771" i="1" s="1"/>
  <c r="V771" i="1"/>
  <c r="AI771" i="1" s="1"/>
  <c r="N771" i="1"/>
  <c r="AA771" i="1" s="1"/>
  <c r="U771" i="1"/>
  <c r="AH771" i="1" s="1"/>
  <c r="M771" i="1"/>
  <c r="Z771" i="1" s="1"/>
  <c r="T771" i="1"/>
  <c r="AG771" i="1" s="1"/>
  <c r="L771" i="1"/>
  <c r="Y771" i="1" s="1"/>
  <c r="R771" i="1"/>
  <c r="AE771" i="1" s="1"/>
  <c r="S771" i="1"/>
  <c r="AF771" i="1" s="1"/>
  <c r="K771" i="1"/>
  <c r="X771" i="1" s="1"/>
  <c r="O671" i="1"/>
  <c r="AB671" i="1" s="1"/>
  <c r="V671" i="1"/>
  <c r="AI671" i="1" s="1"/>
  <c r="N671" i="1"/>
  <c r="AA671" i="1" s="1"/>
  <c r="U671" i="1"/>
  <c r="AH671" i="1" s="1"/>
  <c r="M671" i="1"/>
  <c r="Z671" i="1" s="1"/>
  <c r="T671" i="1"/>
  <c r="AG671" i="1" s="1"/>
  <c r="L671" i="1"/>
  <c r="Y671" i="1" s="1"/>
  <c r="S671" i="1"/>
  <c r="AF671" i="1" s="1"/>
  <c r="K671" i="1"/>
  <c r="X671" i="1" s="1"/>
  <c r="R671" i="1"/>
  <c r="AE671" i="1" s="1"/>
  <c r="P671" i="1"/>
  <c r="AC671" i="1" s="1"/>
  <c r="Q671" i="1"/>
  <c r="AD671" i="1" s="1"/>
  <c r="O613" i="1"/>
  <c r="AB613" i="1" s="1"/>
  <c r="V613" i="1"/>
  <c r="AI613" i="1" s="1"/>
  <c r="N613" i="1"/>
  <c r="AA613" i="1" s="1"/>
  <c r="U613" i="1"/>
  <c r="AH613" i="1" s="1"/>
  <c r="M613" i="1"/>
  <c r="Z613" i="1" s="1"/>
  <c r="T613" i="1"/>
  <c r="AG613" i="1" s="1"/>
  <c r="L613" i="1"/>
  <c r="Y613" i="1" s="1"/>
  <c r="S613" i="1"/>
  <c r="AF613" i="1" s="1"/>
  <c r="K613" i="1"/>
  <c r="X613" i="1" s="1"/>
  <c r="R613" i="1"/>
  <c r="AE613" i="1" s="1"/>
  <c r="P613" i="1"/>
  <c r="AC613" i="1" s="1"/>
  <c r="Q613" i="1"/>
  <c r="AD613" i="1" s="1"/>
  <c r="S618" i="1"/>
  <c r="AF618" i="1" s="1"/>
  <c r="K618" i="1"/>
  <c r="X618" i="1" s="1"/>
  <c r="R618" i="1"/>
  <c r="AE618" i="1" s="1"/>
  <c r="Q618" i="1"/>
  <c r="AD618" i="1" s="1"/>
  <c r="P618" i="1"/>
  <c r="AC618" i="1" s="1"/>
  <c r="O618" i="1"/>
  <c r="AB618" i="1" s="1"/>
  <c r="V618" i="1"/>
  <c r="AI618" i="1" s="1"/>
  <c r="N618" i="1"/>
  <c r="AA618" i="1" s="1"/>
  <c r="T618" i="1"/>
  <c r="AG618" i="1" s="1"/>
  <c r="L618" i="1"/>
  <c r="Y618" i="1" s="1"/>
  <c r="M618" i="1"/>
  <c r="Z618" i="1" s="1"/>
  <c r="U618" i="1"/>
  <c r="AH618" i="1" s="1"/>
  <c r="O535" i="1"/>
  <c r="AB535" i="1" s="1"/>
  <c r="U535" i="1"/>
  <c r="AH535" i="1" s="1"/>
  <c r="M535" i="1"/>
  <c r="Z535" i="1" s="1"/>
  <c r="S535" i="1"/>
  <c r="AF535" i="1" s="1"/>
  <c r="K535" i="1"/>
  <c r="X535" i="1" s="1"/>
  <c r="R535" i="1"/>
  <c r="AE535" i="1" s="1"/>
  <c r="P535" i="1"/>
  <c r="AC535" i="1" s="1"/>
  <c r="V535" i="1"/>
  <c r="AI535" i="1" s="1"/>
  <c r="T535" i="1"/>
  <c r="AG535" i="1" s="1"/>
  <c r="Q535" i="1"/>
  <c r="AD535" i="1" s="1"/>
  <c r="N535" i="1"/>
  <c r="AA535" i="1" s="1"/>
  <c r="L535" i="1"/>
  <c r="Y535" i="1" s="1"/>
  <c r="O587" i="1"/>
  <c r="AB587" i="1" s="1"/>
  <c r="V587" i="1"/>
  <c r="AI587" i="1" s="1"/>
  <c r="N587" i="1"/>
  <c r="AA587" i="1" s="1"/>
  <c r="U587" i="1"/>
  <c r="AH587" i="1" s="1"/>
  <c r="M587" i="1"/>
  <c r="Z587" i="1" s="1"/>
  <c r="T587" i="1"/>
  <c r="AG587" i="1" s="1"/>
  <c r="L587" i="1"/>
  <c r="Y587" i="1" s="1"/>
  <c r="S587" i="1"/>
  <c r="AF587" i="1" s="1"/>
  <c r="K587" i="1"/>
  <c r="X587" i="1" s="1"/>
  <c r="R587" i="1"/>
  <c r="AE587" i="1" s="1"/>
  <c r="P587" i="1"/>
  <c r="AC587" i="1" s="1"/>
  <c r="Q587" i="1"/>
  <c r="AD587" i="1" s="1"/>
  <c r="R379" i="1"/>
  <c r="AE379" i="1" s="1"/>
  <c r="P379" i="1"/>
  <c r="AC379" i="1" s="1"/>
  <c r="V379" i="1"/>
  <c r="AI379" i="1" s="1"/>
  <c r="N379" i="1"/>
  <c r="AA379" i="1" s="1"/>
  <c r="U379" i="1"/>
  <c r="AH379" i="1" s="1"/>
  <c r="M379" i="1"/>
  <c r="Z379" i="1" s="1"/>
  <c r="S379" i="1"/>
  <c r="AF379" i="1" s="1"/>
  <c r="K379" i="1"/>
  <c r="X379" i="1" s="1"/>
  <c r="T379" i="1"/>
  <c r="AG379" i="1" s="1"/>
  <c r="Q379" i="1"/>
  <c r="AD379" i="1" s="1"/>
  <c r="O379" i="1"/>
  <c r="AB379" i="1" s="1"/>
  <c r="L379" i="1"/>
  <c r="Y379" i="1" s="1"/>
  <c r="R258" i="1"/>
  <c r="AE258" i="1" s="1"/>
  <c r="Q258" i="1"/>
  <c r="AD258" i="1" s="1"/>
  <c r="P258" i="1"/>
  <c r="AC258" i="1" s="1"/>
  <c r="O258" i="1"/>
  <c r="AB258" i="1" s="1"/>
  <c r="V258" i="1"/>
  <c r="AI258" i="1" s="1"/>
  <c r="N258" i="1"/>
  <c r="AA258" i="1" s="1"/>
  <c r="U258" i="1"/>
  <c r="AH258" i="1" s="1"/>
  <c r="M258" i="1"/>
  <c r="Z258" i="1" s="1"/>
  <c r="S258" i="1"/>
  <c r="AF258" i="1" s="1"/>
  <c r="K258" i="1"/>
  <c r="X258" i="1" s="1"/>
  <c r="T258" i="1"/>
  <c r="AG258" i="1" s="1"/>
  <c r="L258" i="1"/>
  <c r="Y258" i="1" s="1"/>
  <c r="V245" i="1"/>
  <c r="AI245" i="1" s="1"/>
  <c r="N245" i="1"/>
  <c r="AA245" i="1" s="1"/>
  <c r="U245" i="1"/>
  <c r="AH245" i="1" s="1"/>
  <c r="M245" i="1"/>
  <c r="Z245" i="1" s="1"/>
  <c r="T245" i="1"/>
  <c r="AG245" i="1" s="1"/>
  <c r="L245" i="1"/>
  <c r="Y245" i="1" s="1"/>
  <c r="S245" i="1"/>
  <c r="AF245" i="1" s="1"/>
  <c r="K245" i="1"/>
  <c r="X245" i="1" s="1"/>
  <c r="R245" i="1"/>
  <c r="AE245" i="1" s="1"/>
  <c r="Q245" i="1"/>
  <c r="AD245" i="1" s="1"/>
  <c r="O245" i="1"/>
  <c r="AB245" i="1" s="1"/>
  <c r="P245" i="1"/>
  <c r="AC245" i="1" s="1"/>
  <c r="R33" i="1"/>
  <c r="AE33" i="1" s="1"/>
  <c r="Q33" i="1"/>
  <c r="AD33" i="1" s="1"/>
  <c r="P33" i="1"/>
  <c r="AC33" i="1" s="1"/>
  <c r="O33" i="1"/>
  <c r="AB33" i="1" s="1"/>
  <c r="V33" i="1"/>
  <c r="AI33" i="1" s="1"/>
  <c r="N33" i="1"/>
  <c r="AA33" i="1" s="1"/>
  <c r="U33" i="1"/>
  <c r="AH33" i="1" s="1"/>
  <c r="M33" i="1"/>
  <c r="Z33" i="1" s="1"/>
  <c r="S33" i="1"/>
  <c r="AF33" i="1" s="1"/>
  <c r="K33" i="1"/>
  <c r="X33" i="1" s="1"/>
  <c r="L33" i="1"/>
  <c r="Y33" i="1" s="1"/>
  <c r="T33" i="1"/>
  <c r="AG33" i="1" s="1"/>
  <c r="Q735" i="1"/>
  <c r="AD735" i="1" s="1"/>
  <c r="P735" i="1"/>
  <c r="AC735" i="1" s="1"/>
  <c r="O735" i="1"/>
  <c r="AB735" i="1" s="1"/>
  <c r="V735" i="1"/>
  <c r="AI735" i="1" s="1"/>
  <c r="N735" i="1"/>
  <c r="AA735" i="1" s="1"/>
  <c r="U735" i="1"/>
  <c r="AH735" i="1" s="1"/>
  <c r="M735" i="1"/>
  <c r="Z735" i="1" s="1"/>
  <c r="T735" i="1"/>
  <c r="AG735" i="1" s="1"/>
  <c r="L735" i="1"/>
  <c r="Y735" i="1" s="1"/>
  <c r="R735" i="1"/>
  <c r="AE735" i="1" s="1"/>
  <c r="S735" i="1"/>
  <c r="AF735" i="1" s="1"/>
  <c r="K735" i="1"/>
  <c r="X735" i="1" s="1"/>
  <c r="O639" i="1"/>
  <c r="AB639" i="1" s="1"/>
  <c r="V639" i="1"/>
  <c r="AI639" i="1" s="1"/>
  <c r="N639" i="1"/>
  <c r="AA639" i="1" s="1"/>
  <c r="U639" i="1"/>
  <c r="AH639" i="1" s="1"/>
  <c r="M639" i="1"/>
  <c r="Z639" i="1" s="1"/>
  <c r="T639" i="1"/>
  <c r="AG639" i="1" s="1"/>
  <c r="L639" i="1"/>
  <c r="Y639" i="1" s="1"/>
  <c r="S639" i="1"/>
  <c r="AF639" i="1" s="1"/>
  <c r="K639" i="1"/>
  <c r="X639" i="1" s="1"/>
  <c r="R639" i="1"/>
  <c r="AE639" i="1" s="1"/>
  <c r="P639" i="1"/>
  <c r="AC639" i="1" s="1"/>
  <c r="Q639" i="1"/>
  <c r="AD639" i="1" s="1"/>
  <c r="Q853" i="1"/>
  <c r="AD853" i="1" s="1"/>
  <c r="P853" i="1"/>
  <c r="AC853" i="1" s="1"/>
  <c r="O853" i="1"/>
  <c r="AB853" i="1" s="1"/>
  <c r="V853" i="1"/>
  <c r="AI853" i="1" s="1"/>
  <c r="N853" i="1"/>
  <c r="AA853" i="1" s="1"/>
  <c r="U853" i="1"/>
  <c r="AH853" i="1" s="1"/>
  <c r="M853" i="1"/>
  <c r="Z853" i="1" s="1"/>
  <c r="T853" i="1"/>
  <c r="AG853" i="1" s="1"/>
  <c r="L853" i="1"/>
  <c r="Y853" i="1" s="1"/>
  <c r="R853" i="1"/>
  <c r="AE853" i="1" s="1"/>
  <c r="S853" i="1"/>
  <c r="AF853" i="1" s="1"/>
  <c r="K853" i="1"/>
  <c r="X853" i="1" s="1"/>
  <c r="R1367" i="1"/>
  <c r="AE1367" i="1" s="1"/>
  <c r="Q1367" i="1"/>
  <c r="AD1367" i="1" s="1"/>
  <c r="O1367" i="1"/>
  <c r="AB1367" i="1" s="1"/>
  <c r="V1367" i="1"/>
  <c r="AI1367" i="1" s="1"/>
  <c r="N1367" i="1"/>
  <c r="AA1367" i="1" s="1"/>
  <c r="U1367" i="1"/>
  <c r="AH1367" i="1" s="1"/>
  <c r="M1367" i="1"/>
  <c r="Z1367" i="1" s="1"/>
  <c r="S1367" i="1"/>
  <c r="AF1367" i="1" s="1"/>
  <c r="P1367" i="1"/>
  <c r="AC1367" i="1" s="1"/>
  <c r="L1367" i="1"/>
  <c r="Y1367" i="1" s="1"/>
  <c r="K1367" i="1"/>
  <c r="X1367" i="1" s="1"/>
  <c r="T1367" i="1"/>
  <c r="AG1367" i="1" s="1"/>
  <c r="U1593" i="1"/>
  <c r="AH1593" i="1" s="1"/>
  <c r="M1593" i="1"/>
  <c r="Z1593" i="1" s="1"/>
  <c r="T1593" i="1"/>
  <c r="AG1593" i="1" s="1"/>
  <c r="L1593" i="1"/>
  <c r="Y1593" i="1" s="1"/>
  <c r="S1593" i="1"/>
  <c r="AF1593" i="1" s="1"/>
  <c r="K1593" i="1"/>
  <c r="X1593" i="1" s="1"/>
  <c r="R1593" i="1"/>
  <c r="AE1593" i="1" s="1"/>
  <c r="Q1593" i="1"/>
  <c r="AD1593" i="1" s="1"/>
  <c r="P1593" i="1"/>
  <c r="AC1593" i="1" s="1"/>
  <c r="V1593" i="1"/>
  <c r="AI1593" i="1" s="1"/>
  <c r="N1593" i="1"/>
  <c r="AA1593" i="1" s="1"/>
  <c r="O1593" i="1"/>
  <c r="AB1593" i="1" s="1"/>
  <c r="T1644" i="1"/>
  <c r="AG1644" i="1" s="1"/>
  <c r="L1644" i="1"/>
  <c r="Y1644" i="1" s="1"/>
  <c r="R1644" i="1"/>
  <c r="AE1644" i="1" s="1"/>
  <c r="Q1644" i="1"/>
  <c r="AD1644" i="1" s="1"/>
  <c r="O1644" i="1"/>
  <c r="AB1644" i="1" s="1"/>
  <c r="U1644" i="1"/>
  <c r="AH1644" i="1" s="1"/>
  <c r="M1644" i="1"/>
  <c r="Z1644" i="1" s="1"/>
  <c r="V1644" i="1"/>
  <c r="AI1644" i="1" s="1"/>
  <c r="S1644" i="1"/>
  <c r="AF1644" i="1" s="1"/>
  <c r="P1644" i="1"/>
  <c r="AC1644" i="1" s="1"/>
  <c r="N1644" i="1"/>
  <c r="AA1644" i="1" s="1"/>
  <c r="K1644" i="1"/>
  <c r="X1644" i="1" s="1"/>
  <c r="V1687" i="1"/>
  <c r="AI1687" i="1" s="1"/>
  <c r="N1687" i="1"/>
  <c r="AA1687" i="1" s="1"/>
  <c r="U1687" i="1"/>
  <c r="AH1687" i="1" s="1"/>
  <c r="M1687" i="1"/>
  <c r="Z1687" i="1" s="1"/>
  <c r="T1687" i="1"/>
  <c r="AG1687" i="1" s="1"/>
  <c r="L1687" i="1"/>
  <c r="Y1687" i="1" s="1"/>
  <c r="S1687" i="1"/>
  <c r="AF1687" i="1" s="1"/>
  <c r="K1687" i="1"/>
  <c r="X1687" i="1" s="1"/>
  <c r="R1687" i="1"/>
  <c r="AE1687" i="1" s="1"/>
  <c r="Q1687" i="1"/>
  <c r="AD1687" i="1" s="1"/>
  <c r="P1687" i="1"/>
  <c r="AC1687" i="1" s="1"/>
  <c r="O1687" i="1"/>
  <c r="AB1687" i="1" s="1"/>
  <c r="S1571" i="1"/>
  <c r="AF1571" i="1" s="1"/>
  <c r="K1571" i="1"/>
  <c r="X1571" i="1" s="1"/>
  <c r="R1571" i="1"/>
  <c r="AE1571" i="1" s="1"/>
  <c r="Q1571" i="1"/>
  <c r="AD1571" i="1" s="1"/>
  <c r="P1571" i="1"/>
  <c r="AC1571" i="1" s="1"/>
  <c r="V1571" i="1"/>
  <c r="AI1571" i="1" s="1"/>
  <c r="N1571" i="1"/>
  <c r="AA1571" i="1" s="1"/>
  <c r="U1571" i="1"/>
  <c r="AH1571" i="1" s="1"/>
  <c r="T1571" i="1"/>
  <c r="AG1571" i="1" s="1"/>
  <c r="O1571" i="1"/>
  <c r="AB1571" i="1" s="1"/>
  <c r="M1571" i="1"/>
  <c r="Z1571" i="1" s="1"/>
  <c r="L1571" i="1"/>
  <c r="Y1571" i="1" s="1"/>
  <c r="T1455" i="1"/>
  <c r="AG1455" i="1" s="1"/>
  <c r="L1455" i="1"/>
  <c r="Y1455" i="1" s="1"/>
  <c r="S1455" i="1"/>
  <c r="AF1455" i="1" s="1"/>
  <c r="K1455" i="1"/>
  <c r="X1455" i="1" s="1"/>
  <c r="R1455" i="1"/>
  <c r="AE1455" i="1" s="1"/>
  <c r="Q1455" i="1"/>
  <c r="AD1455" i="1" s="1"/>
  <c r="P1455" i="1"/>
  <c r="AC1455" i="1" s="1"/>
  <c r="O1455" i="1"/>
  <c r="AB1455" i="1" s="1"/>
  <c r="V1455" i="1"/>
  <c r="AI1455" i="1" s="1"/>
  <c r="U1455" i="1"/>
  <c r="AH1455" i="1" s="1"/>
  <c r="N1455" i="1"/>
  <c r="AA1455" i="1" s="1"/>
  <c r="M1455" i="1"/>
  <c r="Z1455" i="1" s="1"/>
  <c r="S1391" i="1"/>
  <c r="AF1391" i="1" s="1"/>
  <c r="K1391" i="1"/>
  <c r="X1391" i="1" s="1"/>
  <c r="R1391" i="1"/>
  <c r="AE1391" i="1" s="1"/>
  <c r="Q1391" i="1"/>
  <c r="AD1391" i="1" s="1"/>
  <c r="P1391" i="1"/>
  <c r="AC1391" i="1" s="1"/>
  <c r="O1391" i="1"/>
  <c r="AB1391" i="1" s="1"/>
  <c r="V1391" i="1"/>
  <c r="AI1391" i="1" s="1"/>
  <c r="N1391" i="1"/>
  <c r="AA1391" i="1" s="1"/>
  <c r="U1391" i="1"/>
  <c r="AH1391" i="1" s="1"/>
  <c r="M1391" i="1"/>
  <c r="Z1391" i="1" s="1"/>
  <c r="T1391" i="1"/>
  <c r="AG1391" i="1" s="1"/>
  <c r="L1391" i="1"/>
  <c r="Y1391" i="1" s="1"/>
  <c r="R39" i="1"/>
  <c r="AE39" i="1" s="1"/>
  <c r="Q39" i="1"/>
  <c r="AD39" i="1" s="1"/>
  <c r="P39" i="1"/>
  <c r="AC39" i="1" s="1"/>
  <c r="O39" i="1"/>
  <c r="AB39" i="1" s="1"/>
  <c r="V39" i="1"/>
  <c r="AI39" i="1" s="1"/>
  <c r="N39" i="1"/>
  <c r="AA39" i="1" s="1"/>
  <c r="U39" i="1"/>
  <c r="AH39" i="1" s="1"/>
  <c r="M39" i="1"/>
  <c r="Z39" i="1" s="1"/>
  <c r="S39" i="1"/>
  <c r="AF39" i="1" s="1"/>
  <c r="K39" i="1"/>
  <c r="X39" i="1" s="1"/>
  <c r="T39" i="1"/>
  <c r="AG39" i="1" s="1"/>
  <c r="L39" i="1"/>
  <c r="Y39" i="1" s="1"/>
  <c r="U887" i="1"/>
  <c r="AH887" i="1" s="1"/>
  <c r="M887" i="1"/>
  <c r="Z887" i="1" s="1"/>
  <c r="R887" i="1"/>
  <c r="AE887" i="1" s="1"/>
  <c r="P887" i="1"/>
  <c r="AC887" i="1" s="1"/>
  <c r="Q887" i="1"/>
  <c r="AD887" i="1" s="1"/>
  <c r="O887" i="1"/>
  <c r="AB887" i="1" s="1"/>
  <c r="N887" i="1"/>
  <c r="AA887" i="1" s="1"/>
  <c r="L887" i="1"/>
  <c r="Y887" i="1" s="1"/>
  <c r="K887" i="1"/>
  <c r="X887" i="1" s="1"/>
  <c r="V887" i="1"/>
  <c r="AI887" i="1" s="1"/>
  <c r="S887" i="1"/>
  <c r="AF887" i="1" s="1"/>
  <c r="T887" i="1"/>
  <c r="AG887" i="1" s="1"/>
  <c r="Q727" i="1"/>
  <c r="AD727" i="1" s="1"/>
  <c r="P727" i="1"/>
  <c r="AC727" i="1" s="1"/>
  <c r="O727" i="1"/>
  <c r="AB727" i="1" s="1"/>
  <c r="V727" i="1"/>
  <c r="AI727" i="1" s="1"/>
  <c r="N727" i="1"/>
  <c r="AA727" i="1" s="1"/>
  <c r="U727" i="1"/>
  <c r="AH727" i="1" s="1"/>
  <c r="M727" i="1"/>
  <c r="Z727" i="1" s="1"/>
  <c r="T727" i="1"/>
  <c r="AG727" i="1" s="1"/>
  <c r="L727" i="1"/>
  <c r="Y727" i="1" s="1"/>
  <c r="R727" i="1"/>
  <c r="AE727" i="1" s="1"/>
  <c r="K727" i="1"/>
  <c r="X727" i="1" s="1"/>
  <c r="S727" i="1"/>
  <c r="AF727" i="1" s="1"/>
  <c r="V502" i="1"/>
  <c r="AI502" i="1" s="1"/>
  <c r="N502" i="1"/>
  <c r="AA502" i="1" s="1"/>
  <c r="T502" i="1"/>
  <c r="AG502" i="1" s="1"/>
  <c r="L502" i="1"/>
  <c r="Y502" i="1" s="1"/>
  <c r="S502" i="1"/>
  <c r="AF502" i="1" s="1"/>
  <c r="K502" i="1"/>
  <c r="X502" i="1" s="1"/>
  <c r="R502" i="1"/>
  <c r="AE502" i="1" s="1"/>
  <c r="Q502" i="1"/>
  <c r="AD502" i="1" s="1"/>
  <c r="O502" i="1"/>
  <c r="AB502" i="1" s="1"/>
  <c r="U502" i="1"/>
  <c r="AH502" i="1" s="1"/>
  <c r="P502" i="1"/>
  <c r="AC502" i="1" s="1"/>
  <c r="M502" i="1"/>
  <c r="Z502" i="1" s="1"/>
  <c r="Q912" i="1"/>
  <c r="AD912" i="1" s="1"/>
  <c r="V912" i="1"/>
  <c r="AI912" i="1" s="1"/>
  <c r="N912" i="1"/>
  <c r="AA912" i="1" s="1"/>
  <c r="T912" i="1"/>
  <c r="AG912" i="1" s="1"/>
  <c r="L912" i="1"/>
  <c r="Y912" i="1" s="1"/>
  <c r="K912" i="1"/>
  <c r="X912" i="1" s="1"/>
  <c r="U912" i="1"/>
  <c r="AH912" i="1" s="1"/>
  <c r="S912" i="1"/>
  <c r="AF912" i="1" s="1"/>
  <c r="R912" i="1"/>
  <c r="AE912" i="1" s="1"/>
  <c r="P912" i="1"/>
  <c r="AC912" i="1" s="1"/>
  <c r="M912" i="1"/>
  <c r="Z912" i="1" s="1"/>
  <c r="O912" i="1"/>
  <c r="AB912" i="1" s="1"/>
  <c r="P995" i="1"/>
  <c r="AC995" i="1" s="1"/>
  <c r="O995" i="1"/>
  <c r="AB995" i="1" s="1"/>
  <c r="V995" i="1"/>
  <c r="AI995" i="1" s="1"/>
  <c r="N995" i="1"/>
  <c r="AA995" i="1" s="1"/>
  <c r="U995" i="1"/>
  <c r="AH995" i="1" s="1"/>
  <c r="M995" i="1"/>
  <c r="Z995" i="1" s="1"/>
  <c r="T995" i="1"/>
  <c r="AG995" i="1" s="1"/>
  <c r="L995" i="1"/>
  <c r="Y995" i="1" s="1"/>
  <c r="S995" i="1"/>
  <c r="AF995" i="1" s="1"/>
  <c r="K995" i="1"/>
  <c r="X995" i="1" s="1"/>
  <c r="Q995" i="1"/>
  <c r="AD995" i="1" s="1"/>
  <c r="R995" i="1"/>
  <c r="AE995" i="1" s="1"/>
  <c r="S584" i="1"/>
  <c r="AF584" i="1" s="1"/>
  <c r="K584" i="1"/>
  <c r="X584" i="1" s="1"/>
  <c r="R584" i="1"/>
  <c r="AE584" i="1" s="1"/>
  <c r="Q584" i="1"/>
  <c r="AD584" i="1" s="1"/>
  <c r="P584" i="1"/>
  <c r="AC584" i="1" s="1"/>
  <c r="O584" i="1"/>
  <c r="AB584" i="1" s="1"/>
  <c r="V584" i="1"/>
  <c r="AI584" i="1" s="1"/>
  <c r="N584" i="1"/>
  <c r="AA584" i="1" s="1"/>
  <c r="T584" i="1"/>
  <c r="AG584" i="1" s="1"/>
  <c r="L584" i="1"/>
  <c r="Y584" i="1" s="1"/>
  <c r="U584" i="1"/>
  <c r="AH584" i="1" s="1"/>
  <c r="M584" i="1"/>
  <c r="Z584" i="1" s="1"/>
  <c r="O699" i="1"/>
  <c r="AB699" i="1" s="1"/>
  <c r="V699" i="1"/>
  <c r="AI699" i="1" s="1"/>
  <c r="N699" i="1"/>
  <c r="AA699" i="1" s="1"/>
  <c r="U699" i="1"/>
  <c r="AH699" i="1" s="1"/>
  <c r="M699" i="1"/>
  <c r="Z699" i="1" s="1"/>
  <c r="T699" i="1"/>
  <c r="AG699" i="1" s="1"/>
  <c r="L699" i="1"/>
  <c r="Y699" i="1" s="1"/>
  <c r="S699" i="1"/>
  <c r="AF699" i="1" s="1"/>
  <c r="K699" i="1"/>
  <c r="X699" i="1" s="1"/>
  <c r="R699" i="1"/>
  <c r="AE699" i="1" s="1"/>
  <c r="P699" i="1"/>
  <c r="AC699" i="1" s="1"/>
  <c r="Q699" i="1"/>
  <c r="AD699" i="1" s="1"/>
  <c r="V1164" i="1"/>
  <c r="AI1164" i="1" s="1"/>
  <c r="N1164" i="1"/>
  <c r="AA1164" i="1" s="1"/>
  <c r="U1164" i="1"/>
  <c r="AH1164" i="1" s="1"/>
  <c r="M1164" i="1"/>
  <c r="Z1164" i="1" s="1"/>
  <c r="T1164" i="1"/>
  <c r="AG1164" i="1" s="1"/>
  <c r="L1164" i="1"/>
  <c r="Y1164" i="1" s="1"/>
  <c r="S1164" i="1"/>
  <c r="AF1164" i="1" s="1"/>
  <c r="K1164" i="1"/>
  <c r="X1164" i="1" s="1"/>
  <c r="R1164" i="1"/>
  <c r="AE1164" i="1" s="1"/>
  <c r="Q1164" i="1"/>
  <c r="AD1164" i="1" s="1"/>
  <c r="P1164" i="1"/>
  <c r="AC1164" i="1" s="1"/>
  <c r="O1164" i="1"/>
  <c r="AB1164" i="1" s="1"/>
  <c r="O1170" i="1"/>
  <c r="AB1170" i="1" s="1"/>
  <c r="P1120" i="1"/>
  <c r="AC1120" i="1" s="1"/>
  <c r="O1120" i="1"/>
  <c r="AB1120" i="1" s="1"/>
  <c r="V1120" i="1"/>
  <c r="AI1120" i="1" s="1"/>
  <c r="N1120" i="1"/>
  <c r="AA1120" i="1" s="1"/>
  <c r="U1120" i="1"/>
  <c r="AH1120" i="1" s="1"/>
  <c r="M1120" i="1"/>
  <c r="Z1120" i="1" s="1"/>
  <c r="T1120" i="1"/>
  <c r="AG1120" i="1" s="1"/>
  <c r="L1120" i="1"/>
  <c r="Y1120" i="1" s="1"/>
  <c r="S1120" i="1"/>
  <c r="AF1120" i="1" s="1"/>
  <c r="K1120" i="1"/>
  <c r="X1120" i="1" s="1"/>
  <c r="R1120" i="1"/>
  <c r="AE1120" i="1" s="1"/>
  <c r="Q1120" i="1"/>
  <c r="AD1120" i="1" s="1"/>
  <c r="V382" i="1"/>
  <c r="AI382" i="1" s="1"/>
  <c r="N382" i="1"/>
  <c r="AA382" i="1" s="1"/>
  <c r="T382" i="1"/>
  <c r="AG382" i="1" s="1"/>
  <c r="L382" i="1"/>
  <c r="Y382" i="1" s="1"/>
  <c r="R382" i="1"/>
  <c r="AE382" i="1" s="1"/>
  <c r="Q382" i="1"/>
  <c r="AD382" i="1" s="1"/>
  <c r="O382" i="1"/>
  <c r="AB382" i="1" s="1"/>
  <c r="K382" i="1"/>
  <c r="X382" i="1" s="1"/>
  <c r="U382" i="1"/>
  <c r="AH382" i="1" s="1"/>
  <c r="S382" i="1"/>
  <c r="AF382" i="1" s="1"/>
  <c r="M382" i="1"/>
  <c r="Z382" i="1" s="1"/>
  <c r="P382" i="1"/>
  <c r="AC382" i="1" s="1"/>
  <c r="R105" i="1"/>
  <c r="AE105" i="1" s="1"/>
  <c r="Q105" i="1"/>
  <c r="AD105" i="1" s="1"/>
  <c r="P105" i="1"/>
  <c r="AC105" i="1" s="1"/>
  <c r="O105" i="1"/>
  <c r="AB105" i="1" s="1"/>
  <c r="V105" i="1"/>
  <c r="AI105" i="1" s="1"/>
  <c r="N105" i="1"/>
  <c r="AA105" i="1" s="1"/>
  <c r="U105" i="1"/>
  <c r="AH105" i="1" s="1"/>
  <c r="M105" i="1"/>
  <c r="Z105" i="1" s="1"/>
  <c r="S105" i="1"/>
  <c r="AF105" i="1" s="1"/>
  <c r="K105" i="1"/>
  <c r="X105" i="1" s="1"/>
  <c r="T105" i="1"/>
  <c r="AG105" i="1" s="1"/>
  <c r="L105" i="1"/>
  <c r="Y105" i="1" s="1"/>
  <c r="T1069" i="1"/>
  <c r="AG1069" i="1" s="1"/>
  <c r="L1069" i="1"/>
  <c r="Y1069" i="1" s="1"/>
  <c r="S1069" i="1"/>
  <c r="AF1069" i="1" s="1"/>
  <c r="K1069" i="1"/>
  <c r="X1069" i="1" s="1"/>
  <c r="R1069" i="1"/>
  <c r="AE1069" i="1" s="1"/>
  <c r="Q1069" i="1"/>
  <c r="AD1069" i="1" s="1"/>
  <c r="P1069" i="1"/>
  <c r="AC1069" i="1" s="1"/>
  <c r="O1069" i="1"/>
  <c r="AB1069" i="1" s="1"/>
  <c r="V1069" i="1"/>
  <c r="AI1069" i="1" s="1"/>
  <c r="N1069" i="1"/>
  <c r="AA1069" i="1" s="1"/>
  <c r="U1069" i="1"/>
  <c r="AH1069" i="1" s="1"/>
  <c r="M1069" i="1"/>
  <c r="Z1069" i="1" s="1"/>
  <c r="P1156" i="1"/>
  <c r="AC1156" i="1" s="1"/>
  <c r="O1156" i="1"/>
  <c r="AB1156" i="1" s="1"/>
  <c r="V1156" i="1"/>
  <c r="AI1156" i="1" s="1"/>
  <c r="N1156" i="1"/>
  <c r="AA1156" i="1" s="1"/>
  <c r="U1156" i="1"/>
  <c r="AH1156" i="1" s="1"/>
  <c r="M1156" i="1"/>
  <c r="Z1156" i="1" s="1"/>
  <c r="T1156" i="1"/>
  <c r="AG1156" i="1" s="1"/>
  <c r="L1156" i="1"/>
  <c r="Y1156" i="1" s="1"/>
  <c r="S1156" i="1"/>
  <c r="AF1156" i="1" s="1"/>
  <c r="K1156" i="1"/>
  <c r="X1156" i="1" s="1"/>
  <c r="R1156" i="1"/>
  <c r="AE1156" i="1" s="1"/>
  <c r="Q1156" i="1"/>
  <c r="AD1156" i="1" s="1"/>
  <c r="P1007" i="1"/>
  <c r="AC1007" i="1" s="1"/>
  <c r="O1007" i="1"/>
  <c r="AB1007" i="1" s="1"/>
  <c r="V1007" i="1"/>
  <c r="AI1007" i="1" s="1"/>
  <c r="N1007" i="1"/>
  <c r="AA1007" i="1" s="1"/>
  <c r="U1007" i="1"/>
  <c r="AH1007" i="1" s="1"/>
  <c r="M1007" i="1"/>
  <c r="Z1007" i="1" s="1"/>
  <c r="T1007" i="1"/>
  <c r="AG1007" i="1" s="1"/>
  <c r="L1007" i="1"/>
  <c r="Y1007" i="1" s="1"/>
  <c r="S1007" i="1"/>
  <c r="AF1007" i="1" s="1"/>
  <c r="K1007" i="1"/>
  <c r="X1007" i="1" s="1"/>
  <c r="R1007" i="1"/>
  <c r="AE1007" i="1" s="1"/>
  <c r="Q1007" i="1"/>
  <c r="AD1007" i="1" s="1"/>
  <c r="S592" i="1"/>
  <c r="AF592" i="1" s="1"/>
  <c r="K592" i="1"/>
  <c r="X592" i="1" s="1"/>
  <c r="R592" i="1"/>
  <c r="AE592" i="1" s="1"/>
  <c r="Q592" i="1"/>
  <c r="AD592" i="1" s="1"/>
  <c r="P592" i="1"/>
  <c r="AC592" i="1" s="1"/>
  <c r="O592" i="1"/>
  <c r="AB592" i="1" s="1"/>
  <c r="V592" i="1"/>
  <c r="AI592" i="1" s="1"/>
  <c r="N592" i="1"/>
  <c r="AA592" i="1" s="1"/>
  <c r="T592" i="1"/>
  <c r="AG592" i="1" s="1"/>
  <c r="L592" i="1"/>
  <c r="Y592" i="1" s="1"/>
  <c r="M592" i="1"/>
  <c r="Z592" i="1" s="1"/>
  <c r="U592" i="1"/>
  <c r="AH592" i="1" s="1"/>
  <c r="R363" i="1"/>
  <c r="AE363" i="1" s="1"/>
  <c r="P363" i="1"/>
  <c r="AC363" i="1" s="1"/>
  <c r="V363" i="1"/>
  <c r="AI363" i="1" s="1"/>
  <c r="N363" i="1"/>
  <c r="AA363" i="1" s="1"/>
  <c r="U363" i="1"/>
  <c r="AH363" i="1" s="1"/>
  <c r="M363" i="1"/>
  <c r="Z363" i="1" s="1"/>
  <c r="S363" i="1"/>
  <c r="AF363" i="1" s="1"/>
  <c r="K363" i="1"/>
  <c r="X363" i="1" s="1"/>
  <c r="T363" i="1"/>
  <c r="AG363" i="1" s="1"/>
  <c r="Q363" i="1"/>
  <c r="AD363" i="1" s="1"/>
  <c r="O363" i="1"/>
  <c r="AB363" i="1" s="1"/>
  <c r="L363" i="1"/>
  <c r="Y363" i="1" s="1"/>
  <c r="U764" i="1"/>
  <c r="AH764" i="1" s="1"/>
  <c r="M764" i="1"/>
  <c r="Z764" i="1" s="1"/>
  <c r="T764" i="1"/>
  <c r="AG764" i="1" s="1"/>
  <c r="L764" i="1"/>
  <c r="Y764" i="1" s="1"/>
  <c r="S764" i="1"/>
  <c r="AF764" i="1" s="1"/>
  <c r="K764" i="1"/>
  <c r="X764" i="1" s="1"/>
  <c r="R764" i="1"/>
  <c r="AE764" i="1" s="1"/>
  <c r="Q764" i="1"/>
  <c r="AD764" i="1" s="1"/>
  <c r="P764" i="1"/>
  <c r="AC764" i="1" s="1"/>
  <c r="V764" i="1"/>
  <c r="AI764" i="1" s="1"/>
  <c r="N764" i="1"/>
  <c r="AA764" i="1" s="1"/>
  <c r="O764" i="1"/>
  <c r="AB764" i="1" s="1"/>
  <c r="S1304" i="1"/>
  <c r="AF1304" i="1" s="1"/>
  <c r="K1304" i="1"/>
  <c r="X1304" i="1" s="1"/>
  <c r="R1304" i="1"/>
  <c r="AE1304" i="1" s="1"/>
  <c r="Q1304" i="1"/>
  <c r="AD1304" i="1" s="1"/>
  <c r="P1304" i="1"/>
  <c r="AC1304" i="1" s="1"/>
  <c r="O1304" i="1"/>
  <c r="AB1304" i="1" s="1"/>
  <c r="V1304" i="1"/>
  <c r="AI1304" i="1" s="1"/>
  <c r="N1304" i="1"/>
  <c r="AA1304" i="1" s="1"/>
  <c r="U1304" i="1"/>
  <c r="AH1304" i="1" s="1"/>
  <c r="M1304" i="1"/>
  <c r="Z1304" i="1" s="1"/>
  <c r="L1304" i="1"/>
  <c r="Y1304" i="1" s="1"/>
  <c r="T1304" i="1"/>
  <c r="AG1304" i="1" s="1"/>
  <c r="Q926" i="1"/>
  <c r="AD926" i="1" s="1"/>
  <c r="V926" i="1"/>
  <c r="AI926" i="1" s="1"/>
  <c r="N926" i="1"/>
  <c r="AA926" i="1" s="1"/>
  <c r="T926" i="1"/>
  <c r="AG926" i="1" s="1"/>
  <c r="L926" i="1"/>
  <c r="Y926" i="1" s="1"/>
  <c r="U926" i="1"/>
  <c r="AH926" i="1" s="1"/>
  <c r="S926" i="1"/>
  <c r="AF926" i="1" s="1"/>
  <c r="R926" i="1"/>
  <c r="AE926" i="1" s="1"/>
  <c r="P926" i="1"/>
  <c r="AC926" i="1" s="1"/>
  <c r="O926" i="1"/>
  <c r="AB926" i="1" s="1"/>
  <c r="K926" i="1"/>
  <c r="X926" i="1" s="1"/>
  <c r="M926" i="1"/>
  <c r="Z926" i="1" s="1"/>
  <c r="P1005" i="1"/>
  <c r="AC1005" i="1" s="1"/>
  <c r="O1005" i="1"/>
  <c r="AB1005" i="1" s="1"/>
  <c r="V1005" i="1"/>
  <c r="AI1005" i="1" s="1"/>
  <c r="N1005" i="1"/>
  <c r="AA1005" i="1" s="1"/>
  <c r="U1005" i="1"/>
  <c r="AH1005" i="1" s="1"/>
  <c r="M1005" i="1"/>
  <c r="Z1005" i="1" s="1"/>
  <c r="T1005" i="1"/>
  <c r="AG1005" i="1" s="1"/>
  <c r="L1005" i="1"/>
  <c r="Y1005" i="1" s="1"/>
  <c r="S1005" i="1"/>
  <c r="AF1005" i="1" s="1"/>
  <c r="K1005" i="1"/>
  <c r="X1005" i="1" s="1"/>
  <c r="R1005" i="1"/>
  <c r="AE1005" i="1" s="1"/>
  <c r="Q1005" i="1"/>
  <c r="AD1005" i="1" s="1"/>
  <c r="S672" i="1"/>
  <c r="AF672" i="1" s="1"/>
  <c r="K672" i="1"/>
  <c r="X672" i="1" s="1"/>
  <c r="R672" i="1"/>
  <c r="AE672" i="1" s="1"/>
  <c r="Q672" i="1"/>
  <c r="AD672" i="1" s="1"/>
  <c r="P672" i="1"/>
  <c r="AC672" i="1" s="1"/>
  <c r="O672" i="1"/>
  <c r="AB672" i="1" s="1"/>
  <c r="V672" i="1"/>
  <c r="AI672" i="1" s="1"/>
  <c r="N672" i="1"/>
  <c r="AA672" i="1" s="1"/>
  <c r="T672" i="1"/>
  <c r="AG672" i="1" s="1"/>
  <c r="L672" i="1"/>
  <c r="Y672" i="1" s="1"/>
  <c r="M672" i="1"/>
  <c r="Z672" i="1" s="1"/>
  <c r="U672" i="1"/>
  <c r="AH672" i="1" s="1"/>
  <c r="R365" i="1"/>
  <c r="AE365" i="1" s="1"/>
  <c r="P365" i="1"/>
  <c r="AC365" i="1" s="1"/>
  <c r="V365" i="1"/>
  <c r="AI365" i="1" s="1"/>
  <c r="N365" i="1"/>
  <c r="AA365" i="1" s="1"/>
  <c r="U365" i="1"/>
  <c r="AH365" i="1" s="1"/>
  <c r="M365" i="1"/>
  <c r="Z365" i="1" s="1"/>
  <c r="S365" i="1"/>
  <c r="AF365" i="1" s="1"/>
  <c r="K365" i="1"/>
  <c r="X365" i="1" s="1"/>
  <c r="T365" i="1"/>
  <c r="AG365" i="1" s="1"/>
  <c r="Q365" i="1"/>
  <c r="AD365" i="1" s="1"/>
  <c r="O365" i="1"/>
  <c r="AB365" i="1" s="1"/>
  <c r="L365" i="1"/>
  <c r="Y365" i="1" s="1"/>
  <c r="O218" i="1"/>
  <c r="AB218" i="1" s="1"/>
  <c r="U218" i="1"/>
  <c r="AH218" i="1" s="1"/>
  <c r="M218" i="1"/>
  <c r="Z218" i="1" s="1"/>
  <c r="S218" i="1"/>
  <c r="AF218" i="1" s="1"/>
  <c r="K218" i="1"/>
  <c r="X218" i="1" s="1"/>
  <c r="P218" i="1"/>
  <c r="AC218" i="1" s="1"/>
  <c r="N218" i="1"/>
  <c r="AA218" i="1" s="1"/>
  <c r="L218" i="1"/>
  <c r="Y218" i="1" s="1"/>
  <c r="V218" i="1"/>
  <c r="AI218" i="1" s="1"/>
  <c r="T218" i="1"/>
  <c r="AG218" i="1" s="1"/>
  <c r="Q218" i="1"/>
  <c r="AD218" i="1" s="1"/>
  <c r="R218" i="1"/>
  <c r="AE218" i="1" s="1"/>
  <c r="V392" i="1"/>
  <c r="AI392" i="1" s="1"/>
  <c r="N392" i="1"/>
  <c r="AA392" i="1" s="1"/>
  <c r="T392" i="1"/>
  <c r="AG392" i="1" s="1"/>
  <c r="L392" i="1"/>
  <c r="Y392" i="1" s="1"/>
  <c r="R392" i="1"/>
  <c r="AE392" i="1" s="1"/>
  <c r="Q392" i="1"/>
  <c r="AD392" i="1" s="1"/>
  <c r="O392" i="1"/>
  <c r="AB392" i="1" s="1"/>
  <c r="S392" i="1"/>
  <c r="AF392" i="1" s="1"/>
  <c r="P392" i="1"/>
  <c r="AC392" i="1" s="1"/>
  <c r="M392" i="1"/>
  <c r="Z392" i="1" s="1"/>
  <c r="K392" i="1"/>
  <c r="X392" i="1" s="1"/>
  <c r="U392" i="1"/>
  <c r="AH392" i="1" s="1"/>
  <c r="V309" i="1"/>
  <c r="AI309" i="1" s="1"/>
  <c r="N309" i="1"/>
  <c r="AA309" i="1" s="1"/>
  <c r="U309" i="1"/>
  <c r="AH309" i="1" s="1"/>
  <c r="M309" i="1"/>
  <c r="Z309" i="1" s="1"/>
  <c r="T309" i="1"/>
  <c r="AG309" i="1" s="1"/>
  <c r="L309" i="1"/>
  <c r="Y309" i="1" s="1"/>
  <c r="S309" i="1"/>
  <c r="AF309" i="1" s="1"/>
  <c r="K309" i="1"/>
  <c r="X309" i="1" s="1"/>
  <c r="R309" i="1"/>
  <c r="AE309" i="1" s="1"/>
  <c r="Q309" i="1"/>
  <c r="AD309" i="1" s="1"/>
  <c r="O309" i="1"/>
  <c r="AB309" i="1" s="1"/>
  <c r="P309" i="1"/>
  <c r="AC309" i="1" s="1"/>
  <c r="O1269" i="1"/>
  <c r="AB1269" i="1" s="1"/>
  <c r="S1119" i="1"/>
  <c r="AF1119" i="1" s="1"/>
  <c r="M162" i="1"/>
  <c r="Z162" i="1" s="1"/>
  <c r="M1091" i="1"/>
  <c r="Z1091" i="1" s="1"/>
  <c r="K1155" i="1"/>
  <c r="X1155" i="1" s="1"/>
  <c r="P116" i="1"/>
  <c r="AC116" i="1" s="1"/>
  <c r="M116" i="1"/>
  <c r="Z116" i="1" s="1"/>
  <c r="P1376" i="1"/>
  <c r="AC1376" i="1" s="1"/>
  <c r="M1337" i="1"/>
  <c r="Z1337" i="1" s="1"/>
  <c r="M1333" i="1"/>
  <c r="Z1333" i="1" s="1"/>
  <c r="R1246" i="1"/>
  <c r="AE1246" i="1" s="1"/>
  <c r="K1258" i="1"/>
  <c r="X1258" i="1" s="1"/>
  <c r="K857" i="1"/>
  <c r="X857" i="1" s="1"/>
  <c r="N879" i="1"/>
  <c r="AA879" i="1" s="1"/>
  <c r="P879" i="1"/>
  <c r="AC879" i="1" s="1"/>
  <c r="Q830" i="1"/>
  <c r="AD830" i="1" s="1"/>
  <c r="L798" i="1"/>
  <c r="Y798" i="1" s="1"/>
  <c r="K932" i="1"/>
  <c r="X932" i="1" s="1"/>
  <c r="O878" i="1"/>
  <c r="AB878" i="1" s="1"/>
  <c r="Q726" i="1"/>
  <c r="AD726" i="1" s="1"/>
  <c r="T741" i="1"/>
  <c r="AG741" i="1" s="1"/>
  <c r="N712" i="1"/>
  <c r="AA712" i="1" s="1"/>
  <c r="L399" i="1"/>
  <c r="Y399" i="1" s="1"/>
  <c r="N399" i="1"/>
  <c r="AA399" i="1" s="1"/>
  <c r="Q479" i="1"/>
  <c r="AD479" i="1" s="1"/>
  <c r="L204" i="1"/>
  <c r="Y204" i="1" s="1"/>
  <c r="O204" i="1"/>
  <c r="AB204" i="1" s="1"/>
  <c r="N201" i="1"/>
  <c r="AA201" i="1" s="1"/>
  <c r="M870" i="1"/>
  <c r="Z870" i="1" s="1"/>
  <c r="R807" i="1"/>
  <c r="AE807" i="1" s="1"/>
  <c r="P807" i="1"/>
  <c r="AC807" i="1" s="1"/>
  <c r="O709" i="1"/>
  <c r="AB709" i="1" s="1"/>
  <c r="K378" i="1"/>
  <c r="X378" i="1" s="1"/>
  <c r="M157" i="1"/>
  <c r="Z157" i="1" s="1"/>
  <c r="L143" i="1"/>
  <c r="Y143" i="1" s="1"/>
  <c r="O143" i="1"/>
  <c r="AB143" i="1" s="1"/>
  <c r="M175" i="1"/>
  <c r="Z175" i="1" s="1"/>
  <c r="K34" i="1"/>
  <c r="X34" i="1" s="1"/>
  <c r="T1435" i="1"/>
  <c r="AG1435" i="1" s="1"/>
  <c r="L1435" i="1"/>
  <c r="Y1435" i="1" s="1"/>
  <c r="S1435" i="1"/>
  <c r="AF1435" i="1" s="1"/>
  <c r="K1435" i="1"/>
  <c r="X1435" i="1" s="1"/>
  <c r="Q1435" i="1"/>
  <c r="AD1435" i="1" s="1"/>
  <c r="P1435" i="1"/>
  <c r="AC1435" i="1" s="1"/>
  <c r="O1435" i="1"/>
  <c r="AB1435" i="1" s="1"/>
  <c r="N1435" i="1"/>
  <c r="AA1435" i="1" s="1"/>
  <c r="M1435" i="1"/>
  <c r="Z1435" i="1" s="1"/>
  <c r="V1435" i="1"/>
  <c r="AI1435" i="1" s="1"/>
  <c r="U1435" i="1"/>
  <c r="AH1435" i="1" s="1"/>
  <c r="R1435" i="1"/>
  <c r="AE1435" i="1" s="1"/>
  <c r="N1207" i="1"/>
  <c r="AA1207" i="1" s="1"/>
  <c r="N1243" i="1"/>
  <c r="AA1243" i="1" s="1"/>
  <c r="K1154" i="1"/>
  <c r="X1154" i="1" s="1"/>
  <c r="O1154" i="1"/>
  <c r="AB1154" i="1" s="1"/>
  <c r="M971" i="1"/>
  <c r="Z971" i="1" s="1"/>
  <c r="M1112" i="1"/>
  <c r="Z1112" i="1" s="1"/>
  <c r="R961" i="1"/>
  <c r="AE961" i="1" s="1"/>
  <c r="M803" i="1"/>
  <c r="Z803" i="1" s="1"/>
  <c r="O763" i="1"/>
  <c r="AB763" i="1" s="1"/>
  <c r="L716" i="1"/>
  <c r="Y716" i="1" s="1"/>
  <c r="N168" i="1"/>
  <c r="AA168" i="1" s="1"/>
  <c r="M99" i="1"/>
  <c r="Z99" i="1" s="1"/>
  <c r="O1232" i="1"/>
  <c r="AB1232" i="1" s="1"/>
  <c r="M1232" i="1"/>
  <c r="Z1232" i="1" s="1"/>
  <c r="S208" i="1"/>
  <c r="AF208" i="1" s="1"/>
  <c r="N170" i="1"/>
  <c r="AA170" i="1" s="1"/>
  <c r="M1131" i="1"/>
  <c r="Z1131" i="1" s="1"/>
  <c r="K1131" i="1"/>
  <c r="X1131" i="1" s="1"/>
  <c r="L526" i="1"/>
  <c r="Y526" i="1" s="1"/>
  <c r="M1153" i="1"/>
  <c r="Z1153" i="1" s="1"/>
  <c r="K1153" i="1"/>
  <c r="X1153" i="1" s="1"/>
  <c r="N981" i="1"/>
  <c r="AA981" i="1" s="1"/>
  <c r="K767" i="1"/>
  <c r="X767" i="1" s="1"/>
  <c r="P1059" i="1"/>
  <c r="AC1059" i="1" s="1"/>
  <c r="O1059" i="1"/>
  <c r="AB1059" i="1" s="1"/>
  <c r="V1059" i="1"/>
  <c r="AI1059" i="1" s="1"/>
  <c r="N1059" i="1"/>
  <c r="AA1059" i="1" s="1"/>
  <c r="U1059" i="1"/>
  <c r="AH1059" i="1" s="1"/>
  <c r="M1059" i="1"/>
  <c r="Z1059" i="1" s="1"/>
  <c r="T1059" i="1"/>
  <c r="AG1059" i="1" s="1"/>
  <c r="L1059" i="1"/>
  <c r="Y1059" i="1" s="1"/>
  <c r="S1059" i="1"/>
  <c r="AF1059" i="1" s="1"/>
  <c r="K1059" i="1"/>
  <c r="X1059" i="1" s="1"/>
  <c r="Q1059" i="1"/>
  <c r="AD1059" i="1" s="1"/>
  <c r="R1059" i="1"/>
  <c r="AE1059" i="1" s="1"/>
  <c r="P1117" i="1"/>
  <c r="AC1117" i="1" s="1"/>
  <c r="P117" i="1"/>
  <c r="AC117" i="1" s="1"/>
  <c r="O1352" i="1"/>
  <c r="AB1352" i="1" s="1"/>
  <c r="M845" i="1"/>
  <c r="Z845" i="1" s="1"/>
  <c r="K352" i="1"/>
  <c r="X352" i="1" s="1"/>
  <c r="T352" i="1"/>
  <c r="AG352" i="1" s="1"/>
  <c r="N868" i="1"/>
  <c r="AA868" i="1" s="1"/>
  <c r="L1377" i="1"/>
  <c r="Y1377" i="1" s="1"/>
  <c r="O1377" i="1"/>
  <c r="AB1377" i="1" s="1"/>
  <c r="M765" i="1"/>
  <c r="Z765" i="1" s="1"/>
  <c r="R740" i="1"/>
  <c r="AE740" i="1" s="1"/>
  <c r="Q403" i="1"/>
  <c r="AD403" i="1" s="1"/>
  <c r="K1662" i="1"/>
  <c r="X1662" i="1" s="1"/>
  <c r="K1602" i="1"/>
  <c r="X1602" i="1" s="1"/>
  <c r="S1714" i="1"/>
  <c r="AF1714" i="1" s="1"/>
  <c r="P1714" i="1"/>
  <c r="AC1714" i="1" s="1"/>
  <c r="M1650" i="1"/>
  <c r="Z1650" i="1" s="1"/>
  <c r="O1582" i="1"/>
  <c r="AB1582" i="1" s="1"/>
  <c r="R1677" i="1"/>
  <c r="AE1677" i="1" s="1"/>
  <c r="L1661" i="1"/>
  <c r="Y1661" i="1" s="1"/>
  <c r="K1645" i="1"/>
  <c r="X1645" i="1" s="1"/>
  <c r="Q1613" i="1"/>
  <c r="AD1613" i="1" s="1"/>
  <c r="K1610" i="1"/>
  <c r="X1610" i="1" s="1"/>
  <c r="K1712" i="1"/>
  <c r="X1712" i="1" s="1"/>
  <c r="K1680" i="1"/>
  <c r="X1680" i="1" s="1"/>
  <c r="M1664" i="1"/>
  <c r="Z1664" i="1" s="1"/>
  <c r="K1648" i="1"/>
  <c r="X1648" i="1" s="1"/>
  <c r="R1648" i="1"/>
  <c r="AE1648" i="1" s="1"/>
  <c r="M1632" i="1"/>
  <c r="Z1632" i="1" s="1"/>
  <c r="O1584" i="1"/>
  <c r="AB1584" i="1" s="1"/>
  <c r="P1691" i="1"/>
  <c r="AC1691" i="1" s="1"/>
  <c r="U1691" i="1"/>
  <c r="AH1691" i="1" s="1"/>
  <c r="R1675" i="1"/>
  <c r="AE1675" i="1" s="1"/>
  <c r="N1659" i="1"/>
  <c r="AA1659" i="1" s="1"/>
  <c r="T1611" i="1"/>
  <c r="AG1611" i="1" s="1"/>
  <c r="N1595" i="1"/>
  <c r="AA1595" i="1" s="1"/>
  <c r="M1595" i="1"/>
  <c r="Z1595" i="1" s="1"/>
  <c r="L1359" i="1"/>
  <c r="Y1359" i="1" s="1"/>
  <c r="O1359" i="1"/>
  <c r="AB1359" i="1" s="1"/>
  <c r="R1261" i="1"/>
  <c r="AE1261" i="1" s="1"/>
  <c r="T1444" i="1"/>
  <c r="AG1444" i="1" s="1"/>
  <c r="Q1392" i="1"/>
  <c r="AD1392" i="1" s="1"/>
  <c r="N1392" i="1"/>
  <c r="AA1392" i="1" s="1"/>
  <c r="L1554" i="1"/>
  <c r="Y1554" i="1" s="1"/>
  <c r="Q1522" i="1"/>
  <c r="AD1522" i="1" s="1"/>
  <c r="R1506" i="1"/>
  <c r="AE1506" i="1" s="1"/>
  <c r="L1331" i="1"/>
  <c r="Y1331" i="1" s="1"/>
  <c r="N956" i="1"/>
  <c r="AA956" i="1" s="1"/>
  <c r="U898" i="1"/>
  <c r="AH898" i="1" s="1"/>
  <c r="P937" i="1"/>
  <c r="AC937" i="1" s="1"/>
  <c r="L903" i="1"/>
  <c r="Y903" i="1" s="1"/>
  <c r="K1056" i="1"/>
  <c r="X1056" i="1" s="1"/>
  <c r="K825" i="1"/>
  <c r="X825" i="1" s="1"/>
  <c r="K711" i="1"/>
  <c r="X711" i="1" s="1"/>
  <c r="M711" i="1"/>
  <c r="Z711" i="1" s="1"/>
  <c r="T66" i="1"/>
  <c r="AG66" i="1" s="1"/>
  <c r="M19" i="1"/>
  <c r="Z19" i="1" s="1"/>
  <c r="S1427" i="1"/>
  <c r="AF1427" i="1" s="1"/>
  <c r="K1427" i="1"/>
  <c r="X1427" i="1" s="1"/>
  <c r="R1427" i="1"/>
  <c r="AE1427" i="1" s="1"/>
  <c r="Q1427" i="1"/>
  <c r="AD1427" i="1" s="1"/>
  <c r="P1427" i="1"/>
  <c r="AC1427" i="1" s="1"/>
  <c r="O1427" i="1"/>
  <c r="AB1427" i="1" s="1"/>
  <c r="V1427" i="1"/>
  <c r="AI1427" i="1" s="1"/>
  <c r="N1427" i="1"/>
  <c r="AA1427" i="1" s="1"/>
  <c r="U1427" i="1"/>
  <c r="AH1427" i="1" s="1"/>
  <c r="M1427" i="1"/>
  <c r="Z1427" i="1" s="1"/>
  <c r="T1427" i="1"/>
  <c r="AG1427" i="1" s="1"/>
  <c r="L1427" i="1"/>
  <c r="Y1427" i="1" s="1"/>
  <c r="Q416" i="1"/>
  <c r="AD416" i="1" s="1"/>
  <c r="O24" i="1"/>
  <c r="AB24" i="1" s="1"/>
  <c r="K713" i="1"/>
  <c r="X713" i="1" s="1"/>
  <c r="M713" i="1"/>
  <c r="Z713" i="1" s="1"/>
  <c r="N1334" i="1"/>
  <c r="AA1334" i="1" s="1"/>
  <c r="M1103" i="1"/>
  <c r="Z1103" i="1" s="1"/>
  <c r="K1103" i="1"/>
  <c r="X1103" i="1" s="1"/>
  <c r="K393" i="1"/>
  <c r="X393" i="1" s="1"/>
  <c r="K1209" i="1"/>
  <c r="X1209" i="1" s="1"/>
  <c r="O1209" i="1"/>
  <c r="AB1209" i="1" s="1"/>
  <c r="S1313" i="1"/>
  <c r="AF1313" i="1" s="1"/>
  <c r="K1373" i="1"/>
  <c r="X1373" i="1" s="1"/>
  <c r="K757" i="1"/>
  <c r="X757" i="1" s="1"/>
  <c r="M31" i="1"/>
  <c r="Z31" i="1" s="1"/>
  <c r="M7" i="1"/>
  <c r="Z7" i="1" s="1"/>
  <c r="S1285" i="1"/>
  <c r="AF1285" i="1" s="1"/>
  <c r="S532" i="1"/>
  <c r="AF532" i="1" s="1"/>
  <c r="O1236" i="1"/>
  <c r="AB1236" i="1" s="1"/>
  <c r="M1236" i="1"/>
  <c r="Z1236" i="1" s="1"/>
  <c r="K152" i="1"/>
  <c r="X152" i="1" s="1"/>
  <c r="N401" i="1"/>
  <c r="AA401" i="1" s="1"/>
  <c r="Q1273" i="1"/>
  <c r="AD1273" i="1" s="1"/>
  <c r="K1177" i="1"/>
  <c r="X1177" i="1" s="1"/>
  <c r="O1177" i="1"/>
  <c r="AB1177" i="1" s="1"/>
  <c r="T1485" i="1"/>
  <c r="AG1485" i="1" s="1"/>
  <c r="L1485" i="1"/>
  <c r="Y1485" i="1" s="1"/>
  <c r="S1485" i="1"/>
  <c r="AF1485" i="1" s="1"/>
  <c r="K1485" i="1"/>
  <c r="X1485" i="1" s="1"/>
  <c r="R1485" i="1"/>
  <c r="AE1485" i="1" s="1"/>
  <c r="Q1485" i="1"/>
  <c r="AD1485" i="1" s="1"/>
  <c r="P1485" i="1"/>
  <c r="AC1485" i="1" s="1"/>
  <c r="O1485" i="1"/>
  <c r="AB1485" i="1" s="1"/>
  <c r="V1485" i="1"/>
  <c r="AI1485" i="1" s="1"/>
  <c r="N1485" i="1"/>
  <c r="AA1485" i="1" s="1"/>
  <c r="U1485" i="1"/>
  <c r="AH1485" i="1" s="1"/>
  <c r="M1485" i="1"/>
  <c r="Z1485" i="1" s="1"/>
  <c r="P1508" i="1"/>
  <c r="AC1508" i="1" s="1"/>
  <c r="O1508" i="1"/>
  <c r="AB1508" i="1" s="1"/>
  <c r="V1508" i="1"/>
  <c r="AI1508" i="1" s="1"/>
  <c r="N1508" i="1"/>
  <c r="AA1508" i="1" s="1"/>
  <c r="U1508" i="1"/>
  <c r="AH1508" i="1" s="1"/>
  <c r="M1508" i="1"/>
  <c r="Z1508" i="1" s="1"/>
  <c r="T1508" i="1"/>
  <c r="AG1508" i="1" s="1"/>
  <c r="L1508" i="1"/>
  <c r="Y1508" i="1" s="1"/>
  <c r="S1508" i="1"/>
  <c r="AF1508" i="1" s="1"/>
  <c r="K1508" i="1"/>
  <c r="X1508" i="1" s="1"/>
  <c r="R1508" i="1"/>
  <c r="AE1508" i="1" s="1"/>
  <c r="Q1508" i="1"/>
  <c r="AD1508" i="1" s="1"/>
  <c r="O1208" i="1"/>
  <c r="AB1208" i="1" s="1"/>
  <c r="M1208" i="1"/>
  <c r="Z1208" i="1" s="1"/>
  <c r="K1176" i="1"/>
  <c r="X1176" i="1" s="1"/>
  <c r="L1090" i="1"/>
  <c r="Y1090" i="1" s="1"/>
  <c r="Q960" i="1"/>
  <c r="AD960" i="1" s="1"/>
  <c r="L1049" i="1"/>
  <c r="Y1049" i="1" s="1"/>
  <c r="O881" i="1"/>
  <c r="AB881" i="1" s="1"/>
  <c r="P881" i="1"/>
  <c r="AC881" i="1" s="1"/>
  <c r="K1054" i="1"/>
  <c r="X1054" i="1" s="1"/>
  <c r="L969" i="1"/>
  <c r="Y969" i="1" s="1"/>
  <c r="K827" i="1"/>
  <c r="X827" i="1" s="1"/>
  <c r="O804" i="1"/>
  <c r="AB804" i="1" s="1"/>
  <c r="L804" i="1"/>
  <c r="Y804" i="1" s="1"/>
  <c r="Q802" i="1"/>
  <c r="AD802" i="1" s="1"/>
  <c r="M703" i="1"/>
  <c r="Z703" i="1" s="1"/>
  <c r="N714" i="1"/>
  <c r="AA714" i="1" s="1"/>
  <c r="Q701" i="1"/>
  <c r="AD701" i="1" s="1"/>
  <c r="N696" i="1"/>
  <c r="AA696" i="1" s="1"/>
  <c r="M520" i="1"/>
  <c r="Z520" i="1" s="1"/>
  <c r="T520" i="1"/>
  <c r="AG520" i="1" s="1"/>
  <c r="V344" i="1"/>
  <c r="AI344" i="1" s="1"/>
  <c r="N344" i="1"/>
  <c r="AA344" i="1" s="1"/>
  <c r="T344" i="1"/>
  <c r="AG344" i="1" s="1"/>
  <c r="L344" i="1"/>
  <c r="Y344" i="1" s="1"/>
  <c r="R344" i="1"/>
  <c r="AE344" i="1" s="1"/>
  <c r="Q344" i="1"/>
  <c r="AD344" i="1" s="1"/>
  <c r="O344" i="1"/>
  <c r="AB344" i="1" s="1"/>
  <c r="S344" i="1"/>
  <c r="AF344" i="1" s="1"/>
  <c r="P344" i="1"/>
  <c r="AC344" i="1" s="1"/>
  <c r="M344" i="1"/>
  <c r="Z344" i="1" s="1"/>
  <c r="K344" i="1"/>
  <c r="X344" i="1" s="1"/>
  <c r="U344" i="1"/>
  <c r="AH344" i="1" s="1"/>
  <c r="K199" i="1"/>
  <c r="X199" i="1" s="1"/>
  <c r="Q142" i="1"/>
  <c r="AD142" i="1" s="1"/>
  <c r="N142" i="1"/>
  <c r="AA142" i="1" s="1"/>
  <c r="S27" i="1"/>
  <c r="AF27" i="1" s="1"/>
  <c r="P11" i="1"/>
  <c r="AC11" i="1" s="1"/>
  <c r="R831" i="1"/>
  <c r="AE831" i="1" s="1"/>
  <c r="P831" i="1"/>
  <c r="AC831" i="1" s="1"/>
  <c r="K616" i="1"/>
  <c r="X616" i="1" s="1"/>
  <c r="N478" i="1"/>
  <c r="AA478" i="1" s="1"/>
  <c r="Q244" i="1"/>
  <c r="AD244" i="1" s="1"/>
  <c r="Q230" i="1"/>
  <c r="AD230" i="1" s="1"/>
  <c r="L269" i="1"/>
  <c r="Y269" i="1" s="1"/>
  <c r="N155" i="1"/>
  <c r="AA155" i="1" s="1"/>
  <c r="N58" i="1"/>
  <c r="AA58" i="1" s="1"/>
  <c r="M18" i="1"/>
  <c r="Z18" i="1" s="1"/>
  <c r="V1701" i="1"/>
  <c r="AI1701" i="1" s="1"/>
  <c r="N1701" i="1"/>
  <c r="AA1701" i="1" s="1"/>
  <c r="U1701" i="1"/>
  <c r="AH1701" i="1" s="1"/>
  <c r="M1701" i="1"/>
  <c r="Z1701" i="1" s="1"/>
  <c r="T1701" i="1"/>
  <c r="AG1701" i="1" s="1"/>
  <c r="L1701" i="1"/>
  <c r="Y1701" i="1" s="1"/>
  <c r="S1701" i="1"/>
  <c r="AF1701" i="1" s="1"/>
  <c r="K1701" i="1"/>
  <c r="X1701" i="1" s="1"/>
  <c r="R1701" i="1"/>
  <c r="AE1701" i="1" s="1"/>
  <c r="Q1701" i="1"/>
  <c r="AD1701" i="1" s="1"/>
  <c r="P1701" i="1"/>
  <c r="AC1701" i="1" s="1"/>
  <c r="O1701" i="1"/>
  <c r="AB1701" i="1" s="1"/>
  <c r="L1291" i="1"/>
  <c r="Y1291" i="1" s="1"/>
  <c r="N1308" i="1"/>
  <c r="AA1308" i="1" s="1"/>
  <c r="V1249" i="1"/>
  <c r="AI1249" i="1" s="1"/>
  <c r="U1249" i="1"/>
  <c r="AH1249" i="1" s="1"/>
  <c r="R1249" i="1"/>
  <c r="AE1249" i="1" s="1"/>
  <c r="Q1249" i="1"/>
  <c r="AD1249" i="1" s="1"/>
  <c r="P1249" i="1"/>
  <c r="AC1249" i="1" s="1"/>
  <c r="O1249" i="1"/>
  <c r="AB1249" i="1" s="1"/>
  <c r="N1249" i="1"/>
  <c r="AA1249" i="1" s="1"/>
  <c r="M1249" i="1"/>
  <c r="Z1249" i="1" s="1"/>
  <c r="T1249" i="1"/>
  <c r="AG1249" i="1" s="1"/>
  <c r="L1249" i="1"/>
  <c r="Y1249" i="1" s="1"/>
  <c r="S1249" i="1"/>
  <c r="AF1249" i="1" s="1"/>
  <c r="K1249" i="1"/>
  <c r="X1249" i="1" s="1"/>
  <c r="R950" i="1"/>
  <c r="AE950" i="1" s="1"/>
  <c r="K950" i="1"/>
  <c r="X950" i="1" s="1"/>
  <c r="T994" i="1"/>
  <c r="AG994" i="1" s="1"/>
  <c r="L994" i="1"/>
  <c r="Y994" i="1" s="1"/>
  <c r="S994" i="1"/>
  <c r="AF994" i="1" s="1"/>
  <c r="K994" i="1"/>
  <c r="X994" i="1" s="1"/>
  <c r="R994" i="1"/>
  <c r="AE994" i="1" s="1"/>
  <c r="Q994" i="1"/>
  <c r="AD994" i="1" s="1"/>
  <c r="P994" i="1"/>
  <c r="AC994" i="1" s="1"/>
  <c r="O994" i="1"/>
  <c r="AB994" i="1" s="1"/>
  <c r="V994" i="1"/>
  <c r="AI994" i="1" s="1"/>
  <c r="U994" i="1"/>
  <c r="AH994" i="1" s="1"/>
  <c r="N994" i="1"/>
  <c r="AA994" i="1" s="1"/>
  <c r="M994" i="1"/>
  <c r="Z994" i="1" s="1"/>
  <c r="K842" i="1"/>
  <c r="X842" i="1" s="1"/>
  <c r="M738" i="1"/>
  <c r="Z738" i="1" s="1"/>
  <c r="P1220" i="1"/>
  <c r="AC1220" i="1" s="1"/>
  <c r="K1223" i="1"/>
  <c r="X1223" i="1" s="1"/>
  <c r="P1223" i="1"/>
  <c r="AC1223" i="1" s="1"/>
  <c r="M409" i="1"/>
  <c r="Z409" i="1" s="1"/>
  <c r="L895" i="1"/>
  <c r="Y895" i="1" s="1"/>
  <c r="R895" i="1"/>
  <c r="AE895" i="1" s="1"/>
  <c r="M761" i="1"/>
  <c r="Z761" i="1" s="1"/>
  <c r="U104" i="1"/>
  <c r="AH104" i="1" s="1"/>
  <c r="K1057" i="1"/>
  <c r="X1057" i="1" s="1"/>
  <c r="M1066" i="1"/>
  <c r="Z1066" i="1" s="1"/>
  <c r="L1202" i="1"/>
  <c r="Y1202" i="1" s="1"/>
  <c r="R1325" i="1"/>
  <c r="AE1325" i="1" s="1"/>
  <c r="K816" i="1"/>
  <c r="X816" i="1" s="1"/>
  <c r="N1228" i="1"/>
  <c r="AA1228" i="1" s="1"/>
  <c r="O1312" i="1"/>
  <c r="AB1312" i="1" s="1"/>
  <c r="K1162" i="1"/>
  <c r="X1162" i="1" s="1"/>
  <c r="K824" i="1"/>
  <c r="X824" i="1" s="1"/>
  <c r="N1178" i="1"/>
  <c r="AA1178" i="1" s="1"/>
  <c r="R222" i="1"/>
  <c r="AE222" i="1" s="1"/>
  <c r="K1297" i="1"/>
  <c r="X1297" i="1" s="1"/>
  <c r="O1326" i="1"/>
  <c r="AB1326" i="1" s="1"/>
  <c r="N1267" i="1"/>
  <c r="AA1267" i="1" s="1"/>
  <c r="N1169" i="1"/>
  <c r="AA1169" i="1" s="1"/>
  <c r="P1374" i="1"/>
  <c r="AC1374" i="1" s="1"/>
  <c r="N1374" i="1"/>
  <c r="AA1374" i="1" s="1"/>
  <c r="N1281" i="1"/>
  <c r="AA1281" i="1" s="1"/>
  <c r="O1567" i="1"/>
  <c r="AB1567" i="1" s="1"/>
  <c r="K1567" i="1"/>
  <c r="X1567" i="1" s="1"/>
  <c r="K1535" i="1"/>
  <c r="X1535" i="1" s="1"/>
  <c r="N1503" i="1"/>
  <c r="AA1503" i="1" s="1"/>
  <c r="L1503" i="1"/>
  <c r="Y1503" i="1" s="1"/>
  <c r="K1472" i="1"/>
  <c r="X1472" i="1" s="1"/>
  <c r="O1429" i="1"/>
  <c r="AB1429" i="1" s="1"/>
  <c r="O1413" i="1"/>
  <c r="AB1413" i="1" s="1"/>
  <c r="M1405" i="1"/>
  <c r="Z1405" i="1" s="1"/>
  <c r="K1405" i="1"/>
  <c r="X1405" i="1" s="1"/>
  <c r="K1389" i="1"/>
  <c r="X1389" i="1" s="1"/>
  <c r="R1323" i="1"/>
  <c r="AE1323" i="1" s="1"/>
  <c r="K1283" i="1"/>
  <c r="X1283" i="1" s="1"/>
  <c r="L1205" i="1"/>
  <c r="Y1205" i="1" s="1"/>
  <c r="M1118" i="1"/>
  <c r="Z1118" i="1" s="1"/>
  <c r="M1080" i="1"/>
  <c r="Z1080" i="1" s="1"/>
  <c r="K929" i="1"/>
  <c r="X929" i="1" s="1"/>
  <c r="L632" i="1"/>
  <c r="Y632" i="1" s="1"/>
  <c r="K632" i="1"/>
  <c r="X632" i="1" s="1"/>
  <c r="K420" i="1"/>
  <c r="X420" i="1" s="1"/>
  <c r="K151" i="1"/>
  <c r="X151" i="1" s="1"/>
  <c r="L283" i="1"/>
  <c r="Y283" i="1" s="1"/>
  <c r="K137" i="1"/>
  <c r="X137" i="1" s="1"/>
  <c r="L108" i="1"/>
  <c r="Y108" i="1" s="1"/>
  <c r="R26" i="1"/>
  <c r="AE26" i="1" s="1"/>
  <c r="M26" i="1"/>
  <c r="Z26" i="1" s="1"/>
  <c r="U1685" i="1"/>
  <c r="AH1685" i="1" s="1"/>
  <c r="M1685" i="1"/>
  <c r="Z1685" i="1" s="1"/>
  <c r="T1685" i="1"/>
  <c r="AG1685" i="1" s="1"/>
  <c r="L1685" i="1"/>
  <c r="Y1685" i="1" s="1"/>
  <c r="S1685" i="1"/>
  <c r="AF1685" i="1" s="1"/>
  <c r="K1685" i="1"/>
  <c r="X1685" i="1" s="1"/>
  <c r="R1685" i="1"/>
  <c r="AE1685" i="1" s="1"/>
  <c r="Q1685" i="1"/>
  <c r="AD1685" i="1" s="1"/>
  <c r="P1685" i="1"/>
  <c r="AC1685" i="1" s="1"/>
  <c r="V1685" i="1"/>
  <c r="AI1685" i="1" s="1"/>
  <c r="O1685" i="1"/>
  <c r="AB1685" i="1" s="1"/>
  <c r="N1685" i="1"/>
  <c r="AA1685" i="1" s="1"/>
  <c r="K1349" i="1"/>
  <c r="X1349" i="1" s="1"/>
  <c r="S1419" i="1"/>
  <c r="AF1419" i="1" s="1"/>
  <c r="K1419" i="1"/>
  <c r="X1419" i="1" s="1"/>
  <c r="R1419" i="1"/>
  <c r="AE1419" i="1" s="1"/>
  <c r="Q1419" i="1"/>
  <c r="AD1419" i="1" s="1"/>
  <c r="P1419" i="1"/>
  <c r="AC1419" i="1" s="1"/>
  <c r="O1419" i="1"/>
  <c r="AB1419" i="1" s="1"/>
  <c r="V1419" i="1"/>
  <c r="AI1419" i="1" s="1"/>
  <c r="N1419" i="1"/>
  <c r="AA1419" i="1" s="1"/>
  <c r="U1419" i="1"/>
  <c r="AH1419" i="1" s="1"/>
  <c r="M1419" i="1"/>
  <c r="Z1419" i="1" s="1"/>
  <c r="T1419" i="1"/>
  <c r="AG1419" i="1" s="1"/>
  <c r="L1419" i="1"/>
  <c r="Y1419" i="1" s="1"/>
  <c r="M936" i="1"/>
  <c r="Z936" i="1" s="1"/>
  <c r="Q936" i="1"/>
  <c r="AD936" i="1" s="1"/>
  <c r="O1364" i="1"/>
  <c r="AB1364" i="1" s="1"/>
  <c r="M1364" i="1"/>
  <c r="Z1364" i="1" s="1"/>
  <c r="S469" i="1"/>
  <c r="AF469" i="1" s="1"/>
  <c r="L467" i="1"/>
  <c r="Y467" i="1" s="1"/>
  <c r="K281" i="1"/>
  <c r="X281" i="1" s="1"/>
  <c r="L349" i="1"/>
  <c r="Y349" i="1" s="1"/>
  <c r="N349" i="1"/>
  <c r="AA349" i="1" s="1"/>
  <c r="T339" i="1"/>
  <c r="AG339" i="1" s="1"/>
  <c r="M1171" i="1"/>
  <c r="Z1171" i="1" s="1"/>
  <c r="V1248" i="1"/>
  <c r="AI1248" i="1" s="1"/>
  <c r="N1248" i="1"/>
  <c r="AA1248" i="1" s="1"/>
  <c r="U1248" i="1"/>
  <c r="AH1248" i="1" s="1"/>
  <c r="M1248" i="1"/>
  <c r="Z1248" i="1" s="1"/>
  <c r="T1248" i="1"/>
  <c r="AG1248" i="1" s="1"/>
  <c r="L1248" i="1"/>
  <c r="Y1248" i="1" s="1"/>
  <c r="S1248" i="1"/>
  <c r="AF1248" i="1" s="1"/>
  <c r="K1248" i="1"/>
  <c r="X1248" i="1" s="1"/>
  <c r="R1248" i="1"/>
  <c r="AE1248" i="1" s="1"/>
  <c r="Q1248" i="1"/>
  <c r="AD1248" i="1" s="1"/>
  <c r="P1248" i="1"/>
  <c r="AC1248" i="1" s="1"/>
  <c r="O1248" i="1"/>
  <c r="AB1248" i="1" s="1"/>
  <c r="M1345" i="1"/>
  <c r="Z1345" i="1" s="1"/>
  <c r="M1101" i="1"/>
  <c r="Z1101" i="1" s="1"/>
  <c r="K723" i="1"/>
  <c r="X723" i="1" s="1"/>
  <c r="S217" i="1"/>
  <c r="AF217" i="1" s="1"/>
  <c r="K217" i="1"/>
  <c r="X217" i="1" s="1"/>
  <c r="Q217" i="1"/>
  <c r="AD217" i="1" s="1"/>
  <c r="O217" i="1"/>
  <c r="AB217" i="1" s="1"/>
  <c r="N217" i="1"/>
  <c r="AA217" i="1" s="1"/>
  <c r="M217" i="1"/>
  <c r="Z217" i="1" s="1"/>
  <c r="L217" i="1"/>
  <c r="Y217" i="1" s="1"/>
  <c r="V217" i="1"/>
  <c r="AI217" i="1" s="1"/>
  <c r="U217" i="1"/>
  <c r="AH217" i="1" s="1"/>
  <c r="T217" i="1"/>
  <c r="AG217" i="1" s="1"/>
  <c r="P217" i="1"/>
  <c r="AC217" i="1" s="1"/>
  <c r="R217" i="1"/>
  <c r="AE217" i="1" s="1"/>
  <c r="K759" i="1"/>
  <c r="X759" i="1" s="1"/>
  <c r="P528" i="1"/>
  <c r="AC528" i="1" s="1"/>
  <c r="M413" i="1"/>
  <c r="Z413" i="1" s="1"/>
  <c r="O397" i="1"/>
  <c r="AB397" i="1" s="1"/>
  <c r="M512" i="1"/>
  <c r="Z512" i="1" s="1"/>
  <c r="O1366" i="1"/>
  <c r="AB1366" i="1" s="1"/>
  <c r="T1222" i="1"/>
  <c r="AG1222" i="1" s="1"/>
  <c r="P1351" i="1"/>
  <c r="AC1351" i="1" s="1"/>
  <c r="P1360" i="1"/>
  <c r="AC1360" i="1" s="1"/>
  <c r="K1303" i="1"/>
  <c r="X1303" i="1" s="1"/>
  <c r="L1369" i="1"/>
  <c r="Y1369" i="1" s="1"/>
  <c r="M1319" i="1"/>
  <c r="Z1319" i="1" s="1"/>
  <c r="R55" i="1"/>
  <c r="AE55" i="1" s="1"/>
  <c r="Q55" i="1"/>
  <c r="AD55" i="1" s="1"/>
  <c r="P55" i="1"/>
  <c r="AC55" i="1" s="1"/>
  <c r="O55" i="1"/>
  <c r="AB55" i="1" s="1"/>
  <c r="V55" i="1"/>
  <c r="AI55" i="1" s="1"/>
  <c r="N55" i="1"/>
  <c r="AA55" i="1" s="1"/>
  <c r="U55" i="1"/>
  <c r="AH55" i="1" s="1"/>
  <c r="M55" i="1"/>
  <c r="Z55" i="1" s="1"/>
  <c r="S55" i="1"/>
  <c r="AF55" i="1" s="1"/>
  <c r="K55" i="1"/>
  <c r="X55" i="1" s="1"/>
  <c r="T55" i="1"/>
  <c r="AG55" i="1" s="1"/>
  <c r="L55" i="1"/>
  <c r="Y55" i="1" s="1"/>
  <c r="M1279" i="1"/>
  <c r="Z1279" i="1" s="1"/>
  <c r="K1200" i="1"/>
  <c r="X1200" i="1" s="1"/>
  <c r="P1136" i="1"/>
  <c r="AC1136" i="1" s="1"/>
  <c r="O1136" i="1"/>
  <c r="AB1136" i="1" s="1"/>
  <c r="V1136" i="1"/>
  <c r="AI1136" i="1" s="1"/>
  <c r="N1136" i="1"/>
  <c r="AA1136" i="1" s="1"/>
  <c r="U1136" i="1"/>
  <c r="AH1136" i="1" s="1"/>
  <c r="M1136" i="1"/>
  <c r="Z1136" i="1" s="1"/>
  <c r="T1136" i="1"/>
  <c r="AG1136" i="1" s="1"/>
  <c r="L1136" i="1"/>
  <c r="Y1136" i="1" s="1"/>
  <c r="S1136" i="1"/>
  <c r="AF1136" i="1" s="1"/>
  <c r="K1136" i="1"/>
  <c r="X1136" i="1" s="1"/>
  <c r="R1136" i="1"/>
  <c r="AE1136" i="1" s="1"/>
  <c r="Q1136" i="1"/>
  <c r="AD1136" i="1" s="1"/>
  <c r="P958" i="1"/>
  <c r="AC958" i="1" s="1"/>
  <c r="R882" i="1"/>
  <c r="AE882" i="1" s="1"/>
  <c r="O983" i="1"/>
  <c r="AB983" i="1" s="1"/>
  <c r="M975" i="1"/>
  <c r="Z975" i="1" s="1"/>
  <c r="K967" i="1"/>
  <c r="X967" i="1" s="1"/>
  <c r="K846" i="1"/>
  <c r="X846" i="1" s="1"/>
  <c r="K826" i="1"/>
  <c r="X826" i="1" s="1"/>
  <c r="K724" i="1"/>
  <c r="X724" i="1" s="1"/>
  <c r="O698" i="1"/>
  <c r="AB698" i="1" s="1"/>
  <c r="R650" i="1"/>
  <c r="AE650" i="1" s="1"/>
  <c r="U756" i="1"/>
  <c r="AH756" i="1" s="1"/>
  <c r="M756" i="1"/>
  <c r="Z756" i="1" s="1"/>
  <c r="T756" i="1"/>
  <c r="AG756" i="1" s="1"/>
  <c r="L756" i="1"/>
  <c r="Y756" i="1" s="1"/>
  <c r="S756" i="1"/>
  <c r="AF756" i="1" s="1"/>
  <c r="K756" i="1"/>
  <c r="X756" i="1" s="1"/>
  <c r="R756" i="1"/>
  <c r="AE756" i="1" s="1"/>
  <c r="Q756" i="1"/>
  <c r="AD756" i="1" s="1"/>
  <c r="P756" i="1"/>
  <c r="AC756" i="1" s="1"/>
  <c r="V756" i="1"/>
  <c r="AI756" i="1" s="1"/>
  <c r="N756" i="1"/>
  <c r="AA756" i="1" s="1"/>
  <c r="O756" i="1"/>
  <c r="AB756" i="1" s="1"/>
  <c r="Q1301" i="1"/>
  <c r="AD1301" i="1" s="1"/>
  <c r="Q1608" i="1"/>
  <c r="AD1608" i="1" s="1"/>
  <c r="O1608" i="1"/>
  <c r="AB1608" i="1" s="1"/>
  <c r="P1608" i="1"/>
  <c r="AC1608" i="1" s="1"/>
  <c r="N1608" i="1"/>
  <c r="AA1608" i="1" s="1"/>
  <c r="M1608" i="1"/>
  <c r="Z1608" i="1" s="1"/>
  <c r="V1608" i="1"/>
  <c r="AI1608" i="1" s="1"/>
  <c r="L1608" i="1"/>
  <c r="Y1608" i="1" s="1"/>
  <c r="U1608" i="1"/>
  <c r="AH1608" i="1" s="1"/>
  <c r="K1608" i="1"/>
  <c r="X1608" i="1" s="1"/>
  <c r="T1608" i="1"/>
  <c r="AG1608" i="1" s="1"/>
  <c r="R1608" i="1"/>
  <c r="AE1608" i="1" s="1"/>
  <c r="S1608" i="1"/>
  <c r="AF1608" i="1" s="1"/>
  <c r="M1165" i="1"/>
  <c r="Z1165" i="1" s="1"/>
  <c r="K1161" i="1"/>
  <c r="X1161" i="1" s="1"/>
  <c r="T1034" i="1"/>
  <c r="AG1034" i="1" s="1"/>
  <c r="L1034" i="1"/>
  <c r="Y1034" i="1" s="1"/>
  <c r="S1034" i="1"/>
  <c r="AF1034" i="1" s="1"/>
  <c r="K1034" i="1"/>
  <c r="X1034" i="1" s="1"/>
  <c r="R1034" i="1"/>
  <c r="AE1034" i="1" s="1"/>
  <c r="Q1034" i="1"/>
  <c r="AD1034" i="1" s="1"/>
  <c r="P1034" i="1"/>
  <c r="AC1034" i="1" s="1"/>
  <c r="O1034" i="1"/>
  <c r="AB1034" i="1" s="1"/>
  <c r="V1034" i="1"/>
  <c r="AI1034" i="1" s="1"/>
  <c r="U1034" i="1"/>
  <c r="AH1034" i="1" s="1"/>
  <c r="N1034" i="1"/>
  <c r="AA1034" i="1" s="1"/>
  <c r="M1034" i="1"/>
  <c r="Z1034" i="1" s="1"/>
  <c r="K894" i="1"/>
  <c r="X894" i="1" s="1"/>
  <c r="N894" i="1"/>
  <c r="AA894" i="1" s="1"/>
  <c r="M729" i="1"/>
  <c r="Z729" i="1" s="1"/>
  <c r="L481" i="1"/>
  <c r="Y481" i="1" s="1"/>
  <c r="O481" i="1"/>
  <c r="AB481" i="1" s="1"/>
  <c r="S90" i="1"/>
  <c r="AF90" i="1" s="1"/>
  <c r="T1065" i="1"/>
  <c r="AG1065" i="1" s="1"/>
  <c r="L1065" i="1"/>
  <c r="Y1065" i="1" s="1"/>
  <c r="S1065" i="1"/>
  <c r="AF1065" i="1" s="1"/>
  <c r="K1065" i="1"/>
  <c r="X1065" i="1" s="1"/>
  <c r="R1065" i="1"/>
  <c r="AE1065" i="1" s="1"/>
  <c r="Q1065" i="1"/>
  <c r="AD1065" i="1" s="1"/>
  <c r="P1065" i="1"/>
  <c r="AC1065" i="1" s="1"/>
  <c r="O1065" i="1"/>
  <c r="AB1065" i="1" s="1"/>
  <c r="V1065" i="1"/>
  <c r="AI1065" i="1" s="1"/>
  <c r="N1065" i="1"/>
  <c r="AA1065" i="1" s="1"/>
  <c r="U1065" i="1"/>
  <c r="AH1065" i="1" s="1"/>
  <c r="M1065" i="1"/>
  <c r="Z1065" i="1" s="1"/>
  <c r="T1105" i="1"/>
  <c r="AG1105" i="1" s="1"/>
  <c r="N1296" i="1"/>
  <c r="AA1296" i="1" s="1"/>
  <c r="L888" i="1"/>
  <c r="Y888" i="1" s="1"/>
  <c r="L877" i="1"/>
  <c r="Y877" i="1" s="1"/>
  <c r="M387" i="1"/>
  <c r="Z387" i="1" s="1"/>
  <c r="Q1182" i="1"/>
  <c r="AD1182" i="1" s="1"/>
  <c r="N1182" i="1"/>
  <c r="AA1182" i="1" s="1"/>
  <c r="P1365" i="1"/>
  <c r="AC1365" i="1" s="1"/>
  <c r="Q1365" i="1"/>
  <c r="AD1365" i="1" s="1"/>
  <c r="K1299" i="1"/>
  <c r="X1299" i="1" s="1"/>
  <c r="M1130" i="1"/>
  <c r="Z1130" i="1" s="1"/>
  <c r="T1533" i="1"/>
  <c r="AG1533" i="1" s="1"/>
  <c r="K1533" i="1"/>
  <c r="X1533" i="1" s="1"/>
  <c r="R1404" i="1"/>
  <c r="AE1404" i="1" s="1"/>
  <c r="N1233" i="1"/>
  <c r="AA1233" i="1" s="1"/>
  <c r="R1574" i="1"/>
  <c r="AE1574" i="1" s="1"/>
  <c r="M1494" i="1"/>
  <c r="Z1494" i="1" s="1"/>
  <c r="K1478" i="1"/>
  <c r="X1478" i="1" s="1"/>
  <c r="P1339" i="1"/>
  <c r="AC1339" i="1" s="1"/>
  <c r="N1358" i="1"/>
  <c r="AA1358" i="1" s="1"/>
  <c r="L1189" i="1"/>
  <c r="Y1189" i="1" s="1"/>
  <c r="Q1157" i="1"/>
  <c r="AD1157" i="1" s="1"/>
  <c r="Q1064" i="1"/>
  <c r="AD1064" i="1" s="1"/>
  <c r="M1000" i="1"/>
  <c r="Z1000" i="1" s="1"/>
  <c r="N754" i="1"/>
  <c r="AA754" i="1" s="1"/>
  <c r="K833" i="1"/>
  <c r="X833" i="1" s="1"/>
  <c r="O833" i="1"/>
  <c r="AB833" i="1" s="1"/>
  <c r="M801" i="1"/>
  <c r="Z801" i="1" s="1"/>
  <c r="Q933" i="1"/>
  <c r="AD933" i="1" s="1"/>
  <c r="R933" i="1"/>
  <c r="AE933" i="1" s="1"/>
  <c r="N828" i="1"/>
  <c r="AA828" i="1" s="1"/>
  <c r="M608" i="1"/>
  <c r="Z608" i="1" s="1"/>
  <c r="O725" i="1"/>
  <c r="AB725" i="1" s="1"/>
  <c r="M749" i="1"/>
  <c r="Z749" i="1" s="1"/>
  <c r="T456" i="1"/>
  <c r="AG456" i="1" s="1"/>
  <c r="M461" i="1"/>
  <c r="Z461" i="1" s="1"/>
  <c r="K383" i="1"/>
  <c r="X383" i="1" s="1"/>
  <c r="V366" i="1"/>
  <c r="AI366" i="1" s="1"/>
  <c r="N366" i="1"/>
  <c r="AA366" i="1" s="1"/>
  <c r="T366" i="1"/>
  <c r="AG366" i="1" s="1"/>
  <c r="L366" i="1"/>
  <c r="Y366" i="1" s="1"/>
  <c r="R366" i="1"/>
  <c r="AE366" i="1" s="1"/>
  <c r="Q366" i="1"/>
  <c r="AD366" i="1" s="1"/>
  <c r="O366" i="1"/>
  <c r="AB366" i="1" s="1"/>
  <c r="K366" i="1"/>
  <c r="X366" i="1" s="1"/>
  <c r="U366" i="1"/>
  <c r="AH366" i="1" s="1"/>
  <c r="S366" i="1"/>
  <c r="AF366" i="1" s="1"/>
  <c r="M366" i="1"/>
  <c r="Z366" i="1" s="1"/>
  <c r="P366" i="1"/>
  <c r="AC366" i="1" s="1"/>
  <c r="O228" i="1"/>
  <c r="AB228" i="1" s="1"/>
  <c r="Q287" i="1"/>
  <c r="AD287" i="1" s="1"/>
  <c r="P205" i="1"/>
  <c r="AC205" i="1" s="1"/>
  <c r="L206" i="1"/>
  <c r="Y206" i="1" s="1"/>
  <c r="K166" i="1"/>
  <c r="X166" i="1" s="1"/>
  <c r="R14" i="1"/>
  <c r="AE14" i="1" s="1"/>
  <c r="U14" i="1"/>
  <c r="AH14" i="1" s="1"/>
  <c r="K396" i="1"/>
  <c r="X396" i="1" s="1"/>
  <c r="O697" i="1"/>
  <c r="AB697" i="1" s="1"/>
  <c r="S806" i="1"/>
  <c r="AF806" i="1" s="1"/>
  <c r="S103" i="1"/>
  <c r="AF103" i="1" s="1"/>
  <c r="R103" i="1"/>
  <c r="AE103" i="1" s="1"/>
  <c r="M23" i="1"/>
  <c r="Z23" i="1" s="1"/>
  <c r="L1168" i="1"/>
  <c r="Y1168" i="1" s="1"/>
  <c r="L216" i="1"/>
  <c r="Y216" i="1" s="1"/>
  <c r="R872" i="1"/>
  <c r="AE872" i="1" s="1"/>
  <c r="O1256" i="1"/>
  <c r="AB1256" i="1" s="1"/>
  <c r="M1163" i="1"/>
  <c r="Z1163" i="1" s="1"/>
  <c r="L1163" i="1"/>
  <c r="Y1163" i="1" s="1"/>
  <c r="L973" i="1"/>
  <c r="Y973" i="1" s="1"/>
  <c r="M466" i="1"/>
  <c r="Z466" i="1" s="1"/>
  <c r="L466" i="1"/>
  <c r="Y466" i="1" s="1"/>
  <c r="K518" i="1"/>
  <c r="X518" i="1" s="1"/>
  <c r="R391" i="1"/>
  <c r="AE391" i="1" s="1"/>
  <c r="R1311" i="1"/>
  <c r="AE1311" i="1" s="1"/>
  <c r="N398" i="1"/>
  <c r="AA398" i="1" s="1"/>
  <c r="M1150" i="1"/>
  <c r="Z1150" i="1" s="1"/>
  <c r="N219" i="1"/>
  <c r="AA219" i="1" s="1"/>
  <c r="M864" i="1"/>
  <c r="Z864" i="1" s="1"/>
  <c r="P1363" i="1"/>
  <c r="AC1363" i="1" s="1"/>
  <c r="Q1363" i="1"/>
  <c r="AD1363" i="1" s="1"/>
  <c r="L200" i="1"/>
  <c r="Y200" i="1" s="1"/>
  <c r="M755" i="1"/>
  <c r="Z755" i="1" s="1"/>
  <c r="R414" i="1"/>
  <c r="AE414" i="1" s="1"/>
  <c r="O1271" i="1"/>
  <c r="AB1271" i="1" s="1"/>
  <c r="Q209" i="1"/>
  <c r="AD209" i="1" s="1"/>
  <c r="R856" i="1"/>
  <c r="AE856" i="1" s="1"/>
  <c r="S1288" i="1"/>
  <c r="AF1288" i="1" s="1"/>
  <c r="L1347" i="1"/>
  <c r="Y1347" i="1" s="1"/>
  <c r="O1347" i="1"/>
  <c r="AB1347" i="1" s="1"/>
  <c r="O607" i="1"/>
  <c r="AB607" i="1" s="1"/>
  <c r="V607" i="1"/>
  <c r="AI607" i="1" s="1"/>
  <c r="N607" i="1"/>
  <c r="AA607" i="1" s="1"/>
  <c r="U607" i="1"/>
  <c r="AH607" i="1" s="1"/>
  <c r="M607" i="1"/>
  <c r="Z607" i="1" s="1"/>
  <c r="T607" i="1"/>
  <c r="AG607" i="1" s="1"/>
  <c r="L607" i="1"/>
  <c r="Y607" i="1" s="1"/>
  <c r="S607" i="1"/>
  <c r="AF607" i="1" s="1"/>
  <c r="K607" i="1"/>
  <c r="X607" i="1" s="1"/>
  <c r="R607" i="1"/>
  <c r="AE607" i="1" s="1"/>
  <c r="P607" i="1"/>
  <c r="AC607" i="1" s="1"/>
  <c r="Q607" i="1"/>
  <c r="AD607" i="1" s="1"/>
  <c r="O561" i="1"/>
  <c r="AB561" i="1" s="1"/>
  <c r="V561" i="1"/>
  <c r="AI561" i="1" s="1"/>
  <c r="N561" i="1"/>
  <c r="AA561" i="1" s="1"/>
  <c r="U561" i="1"/>
  <c r="AH561" i="1" s="1"/>
  <c r="M561" i="1"/>
  <c r="Z561" i="1" s="1"/>
  <c r="T561" i="1"/>
  <c r="AG561" i="1" s="1"/>
  <c r="L561" i="1"/>
  <c r="Y561" i="1" s="1"/>
  <c r="S561" i="1"/>
  <c r="AF561" i="1" s="1"/>
  <c r="K561" i="1"/>
  <c r="X561" i="1" s="1"/>
  <c r="R561" i="1"/>
  <c r="AE561" i="1" s="1"/>
  <c r="P561" i="1"/>
  <c r="AC561" i="1" s="1"/>
  <c r="Q561" i="1"/>
  <c r="AD561" i="1" s="1"/>
  <c r="V56" i="1"/>
  <c r="AI56" i="1" s="1"/>
  <c r="N56" i="1"/>
  <c r="AA56" i="1" s="1"/>
  <c r="U56" i="1"/>
  <c r="AH56" i="1" s="1"/>
  <c r="M56" i="1"/>
  <c r="Z56" i="1" s="1"/>
  <c r="T56" i="1"/>
  <c r="AG56" i="1" s="1"/>
  <c r="L56" i="1"/>
  <c r="Y56" i="1" s="1"/>
  <c r="S56" i="1"/>
  <c r="AF56" i="1" s="1"/>
  <c r="K56" i="1"/>
  <c r="X56" i="1" s="1"/>
  <c r="R56" i="1"/>
  <c r="AE56" i="1" s="1"/>
  <c r="Q56" i="1"/>
  <c r="AD56" i="1" s="1"/>
  <c r="O56" i="1"/>
  <c r="AB56" i="1" s="1"/>
  <c r="P56" i="1"/>
  <c r="AC56" i="1" s="1"/>
  <c r="O955" i="1"/>
  <c r="AB955" i="1" s="1"/>
  <c r="U955" i="1"/>
  <c r="AH955" i="1" s="1"/>
  <c r="M955" i="1"/>
  <c r="Z955" i="1" s="1"/>
  <c r="S955" i="1"/>
  <c r="AF955" i="1" s="1"/>
  <c r="K955" i="1"/>
  <c r="X955" i="1" s="1"/>
  <c r="R955" i="1"/>
  <c r="AE955" i="1" s="1"/>
  <c r="P955" i="1"/>
  <c r="AC955" i="1" s="1"/>
  <c r="V955" i="1"/>
  <c r="AI955" i="1" s="1"/>
  <c r="T955" i="1"/>
  <c r="AG955" i="1" s="1"/>
  <c r="Q955" i="1"/>
  <c r="AD955" i="1" s="1"/>
  <c r="N955" i="1"/>
  <c r="AA955" i="1" s="1"/>
  <c r="L955" i="1"/>
  <c r="Y955" i="1" s="1"/>
  <c r="O547" i="1"/>
  <c r="AB547" i="1" s="1"/>
  <c r="U547" i="1"/>
  <c r="AH547" i="1" s="1"/>
  <c r="M547" i="1"/>
  <c r="Z547" i="1" s="1"/>
  <c r="S547" i="1"/>
  <c r="AF547" i="1" s="1"/>
  <c r="K547" i="1"/>
  <c r="X547" i="1" s="1"/>
  <c r="R547" i="1"/>
  <c r="AE547" i="1" s="1"/>
  <c r="P547" i="1"/>
  <c r="AC547" i="1" s="1"/>
  <c r="L547" i="1"/>
  <c r="Y547" i="1" s="1"/>
  <c r="V547" i="1"/>
  <c r="AI547" i="1" s="1"/>
  <c r="T547" i="1"/>
  <c r="AG547" i="1" s="1"/>
  <c r="N547" i="1"/>
  <c r="AA547" i="1" s="1"/>
  <c r="Q547" i="1"/>
  <c r="AD547" i="1" s="1"/>
  <c r="O601" i="1"/>
  <c r="AB601" i="1" s="1"/>
  <c r="V601" i="1"/>
  <c r="AI601" i="1" s="1"/>
  <c r="N601" i="1"/>
  <c r="AA601" i="1" s="1"/>
  <c r="U601" i="1"/>
  <c r="AH601" i="1" s="1"/>
  <c r="M601" i="1"/>
  <c r="Z601" i="1" s="1"/>
  <c r="T601" i="1"/>
  <c r="AG601" i="1" s="1"/>
  <c r="L601" i="1"/>
  <c r="Y601" i="1" s="1"/>
  <c r="S601" i="1"/>
  <c r="AF601" i="1" s="1"/>
  <c r="K601" i="1"/>
  <c r="X601" i="1" s="1"/>
  <c r="R601" i="1"/>
  <c r="AE601" i="1" s="1"/>
  <c r="P601" i="1"/>
  <c r="AC601" i="1" s="1"/>
  <c r="Q601" i="1"/>
  <c r="AD601" i="1" s="1"/>
  <c r="P1502" i="1"/>
  <c r="AC1502" i="1" s="1"/>
  <c r="O1502" i="1"/>
  <c r="AB1502" i="1" s="1"/>
  <c r="V1502" i="1"/>
  <c r="AI1502" i="1" s="1"/>
  <c r="N1502" i="1"/>
  <c r="AA1502" i="1" s="1"/>
  <c r="U1502" i="1"/>
  <c r="AH1502" i="1" s="1"/>
  <c r="M1502" i="1"/>
  <c r="Z1502" i="1" s="1"/>
  <c r="T1502" i="1"/>
  <c r="AG1502" i="1" s="1"/>
  <c r="L1502" i="1"/>
  <c r="Y1502" i="1" s="1"/>
  <c r="S1502" i="1"/>
  <c r="AF1502" i="1" s="1"/>
  <c r="K1502" i="1"/>
  <c r="X1502" i="1" s="1"/>
  <c r="R1502" i="1"/>
  <c r="AE1502" i="1" s="1"/>
  <c r="Q1502" i="1"/>
  <c r="AD1502" i="1" s="1"/>
  <c r="T1020" i="1"/>
  <c r="AG1020" i="1" s="1"/>
  <c r="L1020" i="1"/>
  <c r="Y1020" i="1" s="1"/>
  <c r="S1020" i="1"/>
  <c r="AF1020" i="1" s="1"/>
  <c r="K1020" i="1"/>
  <c r="X1020" i="1" s="1"/>
  <c r="R1020" i="1"/>
  <c r="AE1020" i="1" s="1"/>
  <c r="Q1020" i="1"/>
  <c r="AD1020" i="1" s="1"/>
  <c r="P1020" i="1"/>
  <c r="AC1020" i="1" s="1"/>
  <c r="O1020" i="1"/>
  <c r="AB1020" i="1" s="1"/>
  <c r="V1020" i="1"/>
  <c r="AI1020" i="1" s="1"/>
  <c r="U1020" i="1"/>
  <c r="AH1020" i="1" s="1"/>
  <c r="N1020" i="1"/>
  <c r="AA1020" i="1" s="1"/>
  <c r="M1020" i="1"/>
  <c r="Z1020" i="1" s="1"/>
  <c r="O196" i="1"/>
  <c r="AB196" i="1" s="1"/>
  <c r="U196" i="1"/>
  <c r="AH196" i="1" s="1"/>
  <c r="M196" i="1"/>
  <c r="Z196" i="1" s="1"/>
  <c r="S196" i="1"/>
  <c r="AF196" i="1" s="1"/>
  <c r="K196" i="1"/>
  <c r="X196" i="1" s="1"/>
  <c r="V196" i="1"/>
  <c r="AI196" i="1" s="1"/>
  <c r="T196" i="1"/>
  <c r="AG196" i="1" s="1"/>
  <c r="R196" i="1"/>
  <c r="AE196" i="1" s="1"/>
  <c r="Q196" i="1"/>
  <c r="AD196" i="1" s="1"/>
  <c r="P196" i="1"/>
  <c r="AC196" i="1" s="1"/>
  <c r="L196" i="1"/>
  <c r="Y196" i="1" s="1"/>
  <c r="N196" i="1"/>
  <c r="AA196" i="1" s="1"/>
  <c r="R453" i="1"/>
  <c r="AE453" i="1" s="1"/>
  <c r="P453" i="1"/>
  <c r="AC453" i="1" s="1"/>
  <c r="O453" i="1"/>
  <c r="AB453" i="1" s="1"/>
  <c r="V453" i="1"/>
  <c r="AI453" i="1" s="1"/>
  <c r="N453" i="1"/>
  <c r="AA453" i="1" s="1"/>
  <c r="U453" i="1"/>
  <c r="AH453" i="1" s="1"/>
  <c r="M453" i="1"/>
  <c r="Z453" i="1" s="1"/>
  <c r="S453" i="1"/>
  <c r="AF453" i="1" s="1"/>
  <c r="K453" i="1"/>
  <c r="X453" i="1" s="1"/>
  <c r="T453" i="1"/>
  <c r="AG453" i="1" s="1"/>
  <c r="Q453" i="1"/>
  <c r="AD453" i="1" s="1"/>
  <c r="L453" i="1"/>
  <c r="Y453" i="1" s="1"/>
  <c r="P1641" i="1"/>
  <c r="AC1641" i="1" s="1"/>
  <c r="V1641" i="1"/>
  <c r="AI1641" i="1" s="1"/>
  <c r="N1641" i="1"/>
  <c r="AA1641" i="1" s="1"/>
  <c r="U1641" i="1"/>
  <c r="AH1641" i="1" s="1"/>
  <c r="M1641" i="1"/>
  <c r="Z1641" i="1" s="1"/>
  <c r="S1641" i="1"/>
  <c r="AF1641" i="1" s="1"/>
  <c r="K1641" i="1"/>
  <c r="X1641" i="1" s="1"/>
  <c r="Q1641" i="1"/>
  <c r="AD1641" i="1" s="1"/>
  <c r="R1641" i="1"/>
  <c r="AE1641" i="1" s="1"/>
  <c r="O1641" i="1"/>
  <c r="AB1641" i="1" s="1"/>
  <c r="L1641" i="1"/>
  <c r="Y1641" i="1" s="1"/>
  <c r="T1641" i="1"/>
  <c r="AG1641" i="1" s="1"/>
  <c r="M1376" i="1"/>
  <c r="Z1376" i="1" s="1"/>
  <c r="O946" i="1"/>
  <c r="AB946" i="1" s="1"/>
  <c r="L157" i="1"/>
  <c r="Y157" i="1" s="1"/>
  <c r="N117" i="1"/>
  <c r="AA117" i="1" s="1"/>
  <c r="K1650" i="1"/>
  <c r="X1650" i="1" s="1"/>
  <c r="M1613" i="1"/>
  <c r="Z1613" i="1" s="1"/>
  <c r="L1643" i="1"/>
  <c r="Y1643" i="1" s="1"/>
  <c r="O1490" i="1"/>
  <c r="AB1490" i="1" s="1"/>
  <c r="L1129" i="1"/>
  <c r="Y1129" i="1" s="1"/>
  <c r="T1640" i="1"/>
  <c r="AG1640" i="1" s="1"/>
  <c r="L1640" i="1"/>
  <c r="Y1640" i="1" s="1"/>
  <c r="R1640" i="1"/>
  <c r="AE1640" i="1" s="1"/>
  <c r="Q1640" i="1"/>
  <c r="AD1640" i="1" s="1"/>
  <c r="O1640" i="1"/>
  <c r="AB1640" i="1" s="1"/>
  <c r="U1640" i="1"/>
  <c r="AH1640" i="1" s="1"/>
  <c r="M1640" i="1"/>
  <c r="Z1640" i="1" s="1"/>
  <c r="V1640" i="1"/>
  <c r="AI1640" i="1" s="1"/>
  <c r="S1640" i="1"/>
  <c r="AF1640" i="1" s="1"/>
  <c r="P1640" i="1"/>
  <c r="AC1640" i="1" s="1"/>
  <c r="K1640" i="1"/>
  <c r="X1640" i="1" s="1"/>
  <c r="N1640" i="1"/>
  <c r="AA1640" i="1" s="1"/>
  <c r="M11" i="1"/>
  <c r="Z11" i="1" s="1"/>
  <c r="S155" i="1"/>
  <c r="AF155" i="1" s="1"/>
  <c r="K1072" i="1"/>
  <c r="X1072" i="1" s="1"/>
  <c r="P1535" i="1"/>
  <c r="AC1535" i="1" s="1"/>
  <c r="P1080" i="1"/>
  <c r="AC1080" i="1" s="1"/>
  <c r="N942" i="1"/>
  <c r="AA942" i="1" s="1"/>
  <c r="L1280" i="1"/>
  <c r="Y1280" i="1" s="1"/>
  <c r="K1366" i="1"/>
  <c r="X1366" i="1" s="1"/>
  <c r="O944" i="1"/>
  <c r="AB944" i="1" s="1"/>
  <c r="Q90" i="1"/>
  <c r="AD90" i="1" s="1"/>
  <c r="M844" i="1"/>
  <c r="Z844" i="1" s="1"/>
  <c r="N1024" i="1"/>
  <c r="AA1024" i="1" s="1"/>
  <c r="V100" i="1"/>
  <c r="AI100" i="1" s="1"/>
  <c r="N100" i="1"/>
  <c r="AA100" i="1" s="1"/>
  <c r="U100" i="1"/>
  <c r="AH100" i="1" s="1"/>
  <c r="M100" i="1"/>
  <c r="Z100" i="1" s="1"/>
  <c r="T100" i="1"/>
  <c r="AG100" i="1" s="1"/>
  <c r="L100" i="1"/>
  <c r="Y100" i="1" s="1"/>
  <c r="S100" i="1"/>
  <c r="AF100" i="1" s="1"/>
  <c r="K100" i="1"/>
  <c r="X100" i="1" s="1"/>
  <c r="R100" i="1"/>
  <c r="AE100" i="1" s="1"/>
  <c r="Q100" i="1"/>
  <c r="AD100" i="1" s="1"/>
  <c r="O100" i="1"/>
  <c r="AB100" i="1" s="1"/>
  <c r="P100" i="1"/>
  <c r="AC100" i="1" s="1"/>
  <c r="L14" i="1"/>
  <c r="Y14" i="1" s="1"/>
  <c r="L396" i="1"/>
  <c r="Y396" i="1" s="1"/>
  <c r="N1128" i="1"/>
  <c r="AA1128" i="1" s="1"/>
  <c r="K1127" i="1"/>
  <c r="X1127" i="1" s="1"/>
  <c r="S530" i="1"/>
  <c r="AF530" i="1" s="1"/>
  <c r="K530" i="1"/>
  <c r="X530" i="1" s="1"/>
  <c r="Q530" i="1"/>
  <c r="AD530" i="1" s="1"/>
  <c r="O530" i="1"/>
  <c r="AB530" i="1" s="1"/>
  <c r="V530" i="1"/>
  <c r="AI530" i="1" s="1"/>
  <c r="N530" i="1"/>
  <c r="AA530" i="1" s="1"/>
  <c r="T530" i="1"/>
  <c r="AG530" i="1" s="1"/>
  <c r="L530" i="1"/>
  <c r="Y530" i="1" s="1"/>
  <c r="U530" i="1"/>
  <c r="AH530" i="1" s="1"/>
  <c r="R530" i="1"/>
  <c r="AE530" i="1" s="1"/>
  <c r="P530" i="1"/>
  <c r="AC530" i="1" s="1"/>
  <c r="M530" i="1"/>
  <c r="Z530" i="1" s="1"/>
  <c r="P1132" i="1"/>
  <c r="AC1132" i="1" s="1"/>
  <c r="O1132" i="1"/>
  <c r="AB1132" i="1" s="1"/>
  <c r="V1132" i="1"/>
  <c r="AI1132" i="1" s="1"/>
  <c r="N1132" i="1"/>
  <c r="AA1132" i="1" s="1"/>
  <c r="U1132" i="1"/>
  <c r="AH1132" i="1" s="1"/>
  <c r="M1132" i="1"/>
  <c r="Z1132" i="1" s="1"/>
  <c r="T1132" i="1"/>
  <c r="AG1132" i="1" s="1"/>
  <c r="L1132" i="1"/>
  <c r="Y1132" i="1" s="1"/>
  <c r="S1132" i="1"/>
  <c r="AF1132" i="1" s="1"/>
  <c r="K1132" i="1"/>
  <c r="X1132" i="1" s="1"/>
  <c r="R1132" i="1"/>
  <c r="AE1132" i="1" s="1"/>
  <c r="Q1132" i="1"/>
  <c r="AD1132" i="1" s="1"/>
  <c r="S686" i="1"/>
  <c r="AF686" i="1" s="1"/>
  <c r="K686" i="1"/>
  <c r="X686" i="1" s="1"/>
  <c r="R686" i="1"/>
  <c r="AE686" i="1" s="1"/>
  <c r="Q686" i="1"/>
  <c r="AD686" i="1" s="1"/>
  <c r="P686" i="1"/>
  <c r="AC686" i="1" s="1"/>
  <c r="O686" i="1"/>
  <c r="AB686" i="1" s="1"/>
  <c r="V686" i="1"/>
  <c r="AI686" i="1" s="1"/>
  <c r="N686" i="1"/>
  <c r="AA686" i="1" s="1"/>
  <c r="T686" i="1"/>
  <c r="AG686" i="1" s="1"/>
  <c r="L686" i="1"/>
  <c r="Y686" i="1" s="1"/>
  <c r="U686" i="1"/>
  <c r="AH686" i="1" s="1"/>
  <c r="M686" i="1"/>
  <c r="Z686" i="1" s="1"/>
  <c r="S566" i="1"/>
  <c r="AF566" i="1" s="1"/>
  <c r="K566" i="1"/>
  <c r="X566" i="1" s="1"/>
  <c r="R566" i="1"/>
  <c r="AE566" i="1" s="1"/>
  <c r="Q566" i="1"/>
  <c r="AD566" i="1" s="1"/>
  <c r="P566" i="1"/>
  <c r="AC566" i="1" s="1"/>
  <c r="O566" i="1"/>
  <c r="AB566" i="1" s="1"/>
  <c r="V566" i="1"/>
  <c r="AI566" i="1" s="1"/>
  <c r="N566" i="1"/>
  <c r="AA566" i="1" s="1"/>
  <c r="T566" i="1"/>
  <c r="AG566" i="1" s="1"/>
  <c r="L566" i="1"/>
  <c r="Y566" i="1" s="1"/>
  <c r="U566" i="1"/>
  <c r="AH566" i="1" s="1"/>
  <c r="M566" i="1"/>
  <c r="Z566" i="1" s="1"/>
  <c r="V444" i="1"/>
  <c r="AI444" i="1" s="1"/>
  <c r="N444" i="1"/>
  <c r="AA444" i="1" s="1"/>
  <c r="T444" i="1"/>
  <c r="AG444" i="1" s="1"/>
  <c r="L444" i="1"/>
  <c r="Y444" i="1" s="1"/>
  <c r="S444" i="1"/>
  <c r="AF444" i="1" s="1"/>
  <c r="K444" i="1"/>
  <c r="X444" i="1" s="1"/>
  <c r="R444" i="1"/>
  <c r="AE444" i="1" s="1"/>
  <c r="Q444" i="1"/>
  <c r="AD444" i="1" s="1"/>
  <c r="O444" i="1"/>
  <c r="AB444" i="1" s="1"/>
  <c r="M444" i="1"/>
  <c r="Z444" i="1" s="1"/>
  <c r="P444" i="1"/>
  <c r="AC444" i="1" s="1"/>
  <c r="U444" i="1"/>
  <c r="AH444" i="1" s="1"/>
  <c r="V52" i="1"/>
  <c r="AI52" i="1" s="1"/>
  <c r="N52" i="1"/>
  <c r="AA52" i="1" s="1"/>
  <c r="U52" i="1"/>
  <c r="AH52" i="1" s="1"/>
  <c r="M52" i="1"/>
  <c r="Z52" i="1" s="1"/>
  <c r="T52" i="1"/>
  <c r="AG52" i="1" s="1"/>
  <c r="L52" i="1"/>
  <c r="Y52" i="1" s="1"/>
  <c r="S52" i="1"/>
  <c r="AF52" i="1" s="1"/>
  <c r="K52" i="1"/>
  <c r="X52" i="1" s="1"/>
  <c r="R52" i="1"/>
  <c r="AE52" i="1" s="1"/>
  <c r="Q52" i="1"/>
  <c r="AD52" i="1" s="1"/>
  <c r="O52" i="1"/>
  <c r="AB52" i="1" s="1"/>
  <c r="P52" i="1"/>
  <c r="AC52" i="1" s="1"/>
  <c r="S606" i="1"/>
  <c r="AF606" i="1" s="1"/>
  <c r="K606" i="1"/>
  <c r="X606" i="1" s="1"/>
  <c r="R606" i="1"/>
  <c r="AE606" i="1" s="1"/>
  <c r="Q606" i="1"/>
  <c r="AD606" i="1" s="1"/>
  <c r="P606" i="1"/>
  <c r="AC606" i="1" s="1"/>
  <c r="O606" i="1"/>
  <c r="AB606" i="1" s="1"/>
  <c r="V606" i="1"/>
  <c r="AI606" i="1" s="1"/>
  <c r="N606" i="1"/>
  <c r="AA606" i="1" s="1"/>
  <c r="T606" i="1"/>
  <c r="AG606" i="1" s="1"/>
  <c r="L606" i="1"/>
  <c r="Y606" i="1" s="1"/>
  <c r="U606" i="1"/>
  <c r="AH606" i="1" s="1"/>
  <c r="M606" i="1"/>
  <c r="Z606" i="1" s="1"/>
  <c r="Q859" i="1"/>
  <c r="AD859" i="1" s="1"/>
  <c r="P859" i="1"/>
  <c r="AC859" i="1" s="1"/>
  <c r="O859" i="1"/>
  <c r="AB859" i="1" s="1"/>
  <c r="V859" i="1"/>
  <c r="AI859" i="1" s="1"/>
  <c r="N859" i="1"/>
  <c r="AA859" i="1" s="1"/>
  <c r="U859" i="1"/>
  <c r="AH859" i="1" s="1"/>
  <c r="M859" i="1"/>
  <c r="Z859" i="1" s="1"/>
  <c r="T859" i="1"/>
  <c r="AG859" i="1" s="1"/>
  <c r="L859" i="1"/>
  <c r="Y859" i="1" s="1"/>
  <c r="R859" i="1"/>
  <c r="AE859" i="1" s="1"/>
  <c r="S859" i="1"/>
  <c r="AF859" i="1" s="1"/>
  <c r="K859" i="1"/>
  <c r="X859" i="1" s="1"/>
  <c r="S1338" i="1"/>
  <c r="AF1338" i="1" s="1"/>
  <c r="K1338" i="1"/>
  <c r="X1338" i="1" s="1"/>
  <c r="R1338" i="1"/>
  <c r="AE1338" i="1" s="1"/>
  <c r="Q1338" i="1"/>
  <c r="AD1338" i="1" s="1"/>
  <c r="P1338" i="1"/>
  <c r="AC1338" i="1" s="1"/>
  <c r="O1338" i="1"/>
  <c r="AB1338" i="1" s="1"/>
  <c r="V1338" i="1"/>
  <c r="AI1338" i="1" s="1"/>
  <c r="N1338" i="1"/>
  <c r="AA1338" i="1" s="1"/>
  <c r="U1338" i="1"/>
  <c r="AH1338" i="1" s="1"/>
  <c r="M1338" i="1"/>
  <c r="Z1338" i="1" s="1"/>
  <c r="T1338" i="1"/>
  <c r="AG1338" i="1" s="1"/>
  <c r="L1338" i="1"/>
  <c r="Y1338" i="1" s="1"/>
  <c r="O190" i="1"/>
  <c r="AB190" i="1" s="1"/>
  <c r="U190" i="1"/>
  <c r="AH190" i="1" s="1"/>
  <c r="M190" i="1"/>
  <c r="Z190" i="1" s="1"/>
  <c r="S190" i="1"/>
  <c r="AF190" i="1" s="1"/>
  <c r="K190" i="1"/>
  <c r="X190" i="1" s="1"/>
  <c r="R190" i="1"/>
  <c r="AE190" i="1" s="1"/>
  <c r="Q190" i="1"/>
  <c r="AD190" i="1" s="1"/>
  <c r="P190" i="1"/>
  <c r="AC190" i="1" s="1"/>
  <c r="N190" i="1"/>
  <c r="AA190" i="1" s="1"/>
  <c r="L190" i="1"/>
  <c r="Y190" i="1" s="1"/>
  <c r="T190" i="1"/>
  <c r="AG190" i="1" s="1"/>
  <c r="V190" i="1"/>
  <c r="AI190" i="1" s="1"/>
  <c r="S558" i="1"/>
  <c r="AF558" i="1" s="1"/>
  <c r="K558" i="1"/>
  <c r="X558" i="1" s="1"/>
  <c r="R558" i="1"/>
  <c r="AE558" i="1" s="1"/>
  <c r="Q558" i="1"/>
  <c r="AD558" i="1" s="1"/>
  <c r="P558" i="1"/>
  <c r="AC558" i="1" s="1"/>
  <c r="O558" i="1"/>
  <c r="AB558" i="1" s="1"/>
  <c r="V558" i="1"/>
  <c r="AI558" i="1" s="1"/>
  <c r="N558" i="1"/>
  <c r="AA558" i="1" s="1"/>
  <c r="T558" i="1"/>
  <c r="AG558" i="1" s="1"/>
  <c r="L558" i="1"/>
  <c r="Y558" i="1" s="1"/>
  <c r="U558" i="1"/>
  <c r="AH558" i="1" s="1"/>
  <c r="M558" i="1"/>
  <c r="Z558" i="1" s="1"/>
  <c r="M1179" i="1"/>
  <c r="Z1179" i="1" s="1"/>
  <c r="K1119" i="1"/>
  <c r="X1119" i="1" s="1"/>
  <c r="K1091" i="1"/>
  <c r="X1091" i="1" s="1"/>
  <c r="V408" i="1"/>
  <c r="AI408" i="1" s="1"/>
  <c r="N408" i="1"/>
  <c r="AA408" i="1" s="1"/>
  <c r="T408" i="1"/>
  <c r="AG408" i="1" s="1"/>
  <c r="L408" i="1"/>
  <c r="Y408" i="1" s="1"/>
  <c r="S408" i="1"/>
  <c r="AF408" i="1" s="1"/>
  <c r="K408" i="1"/>
  <c r="X408" i="1" s="1"/>
  <c r="R408" i="1"/>
  <c r="AE408" i="1" s="1"/>
  <c r="Q408" i="1"/>
  <c r="AD408" i="1" s="1"/>
  <c r="O408" i="1"/>
  <c r="AB408" i="1" s="1"/>
  <c r="U408" i="1"/>
  <c r="AH408" i="1" s="1"/>
  <c r="P408" i="1"/>
  <c r="AC408" i="1" s="1"/>
  <c r="M408" i="1"/>
  <c r="Z408" i="1" s="1"/>
  <c r="K1265" i="1"/>
  <c r="X1265" i="1" s="1"/>
  <c r="N1246" i="1"/>
  <c r="AA1246" i="1" s="1"/>
  <c r="M1216" i="1"/>
  <c r="Z1216" i="1" s="1"/>
  <c r="R1258" i="1"/>
  <c r="AE1258" i="1" s="1"/>
  <c r="P726" i="1"/>
  <c r="AC726" i="1" s="1"/>
  <c r="O712" i="1"/>
  <c r="AB712" i="1" s="1"/>
  <c r="M360" i="1"/>
  <c r="Z360" i="1" s="1"/>
  <c r="M201" i="1"/>
  <c r="Z201" i="1" s="1"/>
  <c r="N114" i="1"/>
  <c r="AA114" i="1" s="1"/>
  <c r="N870" i="1"/>
  <c r="AA870" i="1" s="1"/>
  <c r="O807" i="1"/>
  <c r="AB807" i="1" s="1"/>
  <c r="O633" i="1"/>
  <c r="AB633" i="1" s="1"/>
  <c r="V633" i="1"/>
  <c r="AI633" i="1" s="1"/>
  <c r="N633" i="1"/>
  <c r="AA633" i="1" s="1"/>
  <c r="U633" i="1"/>
  <c r="AH633" i="1" s="1"/>
  <c r="M633" i="1"/>
  <c r="Z633" i="1" s="1"/>
  <c r="T633" i="1"/>
  <c r="AG633" i="1" s="1"/>
  <c r="L633" i="1"/>
  <c r="Y633" i="1" s="1"/>
  <c r="S633" i="1"/>
  <c r="AF633" i="1" s="1"/>
  <c r="K633" i="1"/>
  <c r="X633" i="1" s="1"/>
  <c r="R633" i="1"/>
  <c r="AE633" i="1" s="1"/>
  <c r="P633" i="1"/>
  <c r="AC633" i="1" s="1"/>
  <c r="Q633" i="1"/>
  <c r="AD633" i="1" s="1"/>
  <c r="R41" i="1"/>
  <c r="AE41" i="1" s="1"/>
  <c r="Q41" i="1"/>
  <c r="AD41" i="1" s="1"/>
  <c r="P41" i="1"/>
  <c r="AC41" i="1" s="1"/>
  <c r="O41" i="1"/>
  <c r="AB41" i="1" s="1"/>
  <c r="V41" i="1"/>
  <c r="AI41" i="1" s="1"/>
  <c r="N41" i="1"/>
  <c r="AA41" i="1" s="1"/>
  <c r="U41" i="1"/>
  <c r="AH41" i="1" s="1"/>
  <c r="M41" i="1"/>
  <c r="Z41" i="1" s="1"/>
  <c r="S41" i="1"/>
  <c r="AF41" i="1" s="1"/>
  <c r="K41" i="1"/>
  <c r="X41" i="1" s="1"/>
  <c r="T41" i="1"/>
  <c r="AG41" i="1" s="1"/>
  <c r="L41" i="1"/>
  <c r="Y41" i="1" s="1"/>
  <c r="O1412" i="1"/>
  <c r="AB1412" i="1" s="1"/>
  <c r="V1412" i="1"/>
  <c r="AI1412" i="1" s="1"/>
  <c r="N1412" i="1"/>
  <c r="AA1412" i="1" s="1"/>
  <c r="U1412" i="1"/>
  <c r="AH1412" i="1" s="1"/>
  <c r="M1412" i="1"/>
  <c r="Z1412" i="1" s="1"/>
  <c r="T1412" i="1"/>
  <c r="AG1412" i="1" s="1"/>
  <c r="L1412" i="1"/>
  <c r="Y1412" i="1" s="1"/>
  <c r="S1412" i="1"/>
  <c r="AF1412" i="1" s="1"/>
  <c r="K1412" i="1"/>
  <c r="X1412" i="1" s="1"/>
  <c r="R1412" i="1"/>
  <c r="AE1412" i="1" s="1"/>
  <c r="Q1412" i="1"/>
  <c r="AD1412" i="1" s="1"/>
  <c r="P1412" i="1"/>
  <c r="AC1412" i="1" s="1"/>
  <c r="O1422" i="1"/>
  <c r="AB1422" i="1" s="1"/>
  <c r="V1422" i="1"/>
  <c r="AI1422" i="1" s="1"/>
  <c r="N1422" i="1"/>
  <c r="AA1422" i="1" s="1"/>
  <c r="U1422" i="1"/>
  <c r="AH1422" i="1" s="1"/>
  <c r="M1422" i="1"/>
  <c r="Z1422" i="1" s="1"/>
  <c r="T1422" i="1"/>
  <c r="AG1422" i="1" s="1"/>
  <c r="L1422" i="1"/>
  <c r="Y1422" i="1" s="1"/>
  <c r="S1422" i="1"/>
  <c r="AF1422" i="1" s="1"/>
  <c r="K1422" i="1"/>
  <c r="X1422" i="1" s="1"/>
  <c r="R1422" i="1"/>
  <c r="AE1422" i="1" s="1"/>
  <c r="Q1422" i="1"/>
  <c r="AD1422" i="1" s="1"/>
  <c r="P1422" i="1"/>
  <c r="AC1422" i="1" s="1"/>
  <c r="O957" i="1"/>
  <c r="AB957" i="1" s="1"/>
  <c r="V957" i="1"/>
  <c r="AI957" i="1" s="1"/>
  <c r="U957" i="1"/>
  <c r="AH957" i="1" s="1"/>
  <c r="M957" i="1"/>
  <c r="Z957" i="1" s="1"/>
  <c r="T957" i="1"/>
  <c r="AG957" i="1" s="1"/>
  <c r="L957" i="1"/>
  <c r="Y957" i="1" s="1"/>
  <c r="S957" i="1"/>
  <c r="AF957" i="1" s="1"/>
  <c r="K957" i="1"/>
  <c r="X957" i="1" s="1"/>
  <c r="R957" i="1"/>
  <c r="AE957" i="1" s="1"/>
  <c r="P957" i="1"/>
  <c r="AC957" i="1" s="1"/>
  <c r="Q957" i="1"/>
  <c r="AD957" i="1" s="1"/>
  <c r="N957" i="1"/>
  <c r="AA957" i="1" s="1"/>
  <c r="U776" i="1"/>
  <c r="AH776" i="1" s="1"/>
  <c r="M776" i="1"/>
  <c r="Z776" i="1" s="1"/>
  <c r="T776" i="1"/>
  <c r="AG776" i="1" s="1"/>
  <c r="L776" i="1"/>
  <c r="Y776" i="1" s="1"/>
  <c r="S776" i="1"/>
  <c r="AF776" i="1" s="1"/>
  <c r="K776" i="1"/>
  <c r="X776" i="1" s="1"/>
  <c r="R776" i="1"/>
  <c r="AE776" i="1" s="1"/>
  <c r="Q776" i="1"/>
  <c r="AD776" i="1" s="1"/>
  <c r="P776" i="1"/>
  <c r="AC776" i="1" s="1"/>
  <c r="V776" i="1"/>
  <c r="AI776" i="1" s="1"/>
  <c r="N776" i="1"/>
  <c r="AA776" i="1" s="1"/>
  <c r="O776" i="1"/>
  <c r="AB776" i="1" s="1"/>
  <c r="S666" i="1"/>
  <c r="AF666" i="1" s="1"/>
  <c r="K666" i="1"/>
  <c r="X666" i="1" s="1"/>
  <c r="R666" i="1"/>
  <c r="AE666" i="1" s="1"/>
  <c r="Q666" i="1"/>
  <c r="AD666" i="1" s="1"/>
  <c r="P666" i="1"/>
  <c r="AC666" i="1" s="1"/>
  <c r="O666" i="1"/>
  <c r="AB666" i="1" s="1"/>
  <c r="V666" i="1"/>
  <c r="AI666" i="1" s="1"/>
  <c r="N666" i="1"/>
  <c r="AA666" i="1" s="1"/>
  <c r="T666" i="1"/>
  <c r="AG666" i="1" s="1"/>
  <c r="L666" i="1"/>
  <c r="Y666" i="1" s="1"/>
  <c r="M666" i="1"/>
  <c r="Z666" i="1" s="1"/>
  <c r="U666" i="1"/>
  <c r="AH666" i="1" s="1"/>
  <c r="O625" i="1"/>
  <c r="AB625" i="1" s="1"/>
  <c r="V625" i="1"/>
  <c r="AI625" i="1" s="1"/>
  <c r="N625" i="1"/>
  <c r="AA625" i="1" s="1"/>
  <c r="U625" i="1"/>
  <c r="AH625" i="1" s="1"/>
  <c r="M625" i="1"/>
  <c r="Z625" i="1" s="1"/>
  <c r="T625" i="1"/>
  <c r="AG625" i="1" s="1"/>
  <c r="L625" i="1"/>
  <c r="Y625" i="1" s="1"/>
  <c r="S625" i="1"/>
  <c r="AF625" i="1" s="1"/>
  <c r="K625" i="1"/>
  <c r="X625" i="1" s="1"/>
  <c r="R625" i="1"/>
  <c r="AE625" i="1" s="1"/>
  <c r="P625" i="1"/>
  <c r="AC625" i="1" s="1"/>
  <c r="Q625" i="1"/>
  <c r="AD625" i="1" s="1"/>
  <c r="R445" i="1"/>
  <c r="AE445" i="1" s="1"/>
  <c r="P445" i="1"/>
  <c r="AC445" i="1" s="1"/>
  <c r="O445" i="1"/>
  <c r="AB445" i="1" s="1"/>
  <c r="V445" i="1"/>
  <c r="AI445" i="1" s="1"/>
  <c r="N445" i="1"/>
  <c r="AA445" i="1" s="1"/>
  <c r="U445" i="1"/>
  <c r="AH445" i="1" s="1"/>
  <c r="M445" i="1"/>
  <c r="Z445" i="1" s="1"/>
  <c r="S445" i="1"/>
  <c r="AF445" i="1" s="1"/>
  <c r="K445" i="1"/>
  <c r="X445" i="1" s="1"/>
  <c r="T445" i="1"/>
  <c r="AG445" i="1" s="1"/>
  <c r="Q445" i="1"/>
  <c r="AD445" i="1" s="1"/>
  <c r="L445" i="1"/>
  <c r="Y445" i="1" s="1"/>
  <c r="R503" i="1"/>
  <c r="AE503" i="1" s="1"/>
  <c r="P503" i="1"/>
  <c r="AC503" i="1" s="1"/>
  <c r="O503" i="1"/>
  <c r="AB503" i="1" s="1"/>
  <c r="V503" i="1"/>
  <c r="AI503" i="1" s="1"/>
  <c r="N503" i="1"/>
  <c r="AA503" i="1" s="1"/>
  <c r="U503" i="1"/>
  <c r="AH503" i="1" s="1"/>
  <c r="M503" i="1"/>
  <c r="Z503" i="1" s="1"/>
  <c r="S503" i="1"/>
  <c r="AF503" i="1" s="1"/>
  <c r="K503" i="1"/>
  <c r="X503" i="1" s="1"/>
  <c r="T503" i="1"/>
  <c r="AG503" i="1" s="1"/>
  <c r="L503" i="1"/>
  <c r="Y503" i="1" s="1"/>
  <c r="Q503" i="1"/>
  <c r="AD503" i="1" s="1"/>
  <c r="O615" i="1"/>
  <c r="AB615" i="1" s="1"/>
  <c r="V615" i="1"/>
  <c r="AI615" i="1" s="1"/>
  <c r="N615" i="1"/>
  <c r="AA615" i="1" s="1"/>
  <c r="U615" i="1"/>
  <c r="AH615" i="1" s="1"/>
  <c r="M615" i="1"/>
  <c r="Z615" i="1" s="1"/>
  <c r="T615" i="1"/>
  <c r="AG615" i="1" s="1"/>
  <c r="L615" i="1"/>
  <c r="Y615" i="1" s="1"/>
  <c r="S615" i="1"/>
  <c r="AF615" i="1" s="1"/>
  <c r="K615" i="1"/>
  <c r="X615" i="1" s="1"/>
  <c r="R615" i="1"/>
  <c r="AE615" i="1" s="1"/>
  <c r="P615" i="1"/>
  <c r="AC615" i="1" s="1"/>
  <c r="Q615" i="1"/>
  <c r="AD615" i="1" s="1"/>
  <c r="R371" i="1"/>
  <c r="AE371" i="1" s="1"/>
  <c r="P371" i="1"/>
  <c r="AC371" i="1" s="1"/>
  <c r="V371" i="1"/>
  <c r="AI371" i="1" s="1"/>
  <c r="N371" i="1"/>
  <c r="AA371" i="1" s="1"/>
  <c r="U371" i="1"/>
  <c r="AH371" i="1" s="1"/>
  <c r="M371" i="1"/>
  <c r="Z371" i="1" s="1"/>
  <c r="S371" i="1"/>
  <c r="AF371" i="1" s="1"/>
  <c r="K371" i="1"/>
  <c r="X371" i="1" s="1"/>
  <c r="O371" i="1"/>
  <c r="AB371" i="1" s="1"/>
  <c r="L371" i="1"/>
  <c r="Y371" i="1" s="1"/>
  <c r="Q371" i="1"/>
  <c r="AD371" i="1" s="1"/>
  <c r="T371" i="1"/>
  <c r="AG371" i="1" s="1"/>
  <c r="R288" i="1"/>
  <c r="AE288" i="1" s="1"/>
  <c r="Q288" i="1"/>
  <c r="AD288" i="1" s="1"/>
  <c r="P288" i="1"/>
  <c r="AC288" i="1" s="1"/>
  <c r="O288" i="1"/>
  <c r="AB288" i="1" s="1"/>
  <c r="V288" i="1"/>
  <c r="AI288" i="1" s="1"/>
  <c r="N288" i="1"/>
  <c r="AA288" i="1" s="1"/>
  <c r="U288" i="1"/>
  <c r="AH288" i="1" s="1"/>
  <c r="M288" i="1"/>
  <c r="Z288" i="1" s="1"/>
  <c r="S288" i="1"/>
  <c r="AF288" i="1" s="1"/>
  <c r="K288" i="1"/>
  <c r="X288" i="1" s="1"/>
  <c r="T288" i="1"/>
  <c r="AG288" i="1" s="1"/>
  <c r="L288" i="1"/>
  <c r="Y288" i="1" s="1"/>
  <c r="O192" i="1"/>
  <c r="AB192" i="1" s="1"/>
  <c r="U192" i="1"/>
  <c r="AH192" i="1" s="1"/>
  <c r="M192" i="1"/>
  <c r="Z192" i="1" s="1"/>
  <c r="S192" i="1"/>
  <c r="AF192" i="1" s="1"/>
  <c r="K192" i="1"/>
  <c r="X192" i="1" s="1"/>
  <c r="T192" i="1"/>
  <c r="AG192" i="1" s="1"/>
  <c r="R192" i="1"/>
  <c r="AE192" i="1" s="1"/>
  <c r="Q192" i="1"/>
  <c r="AD192" i="1" s="1"/>
  <c r="P192" i="1"/>
  <c r="AC192" i="1" s="1"/>
  <c r="N192" i="1"/>
  <c r="AA192" i="1" s="1"/>
  <c r="L192" i="1"/>
  <c r="Y192" i="1" s="1"/>
  <c r="V192" i="1"/>
  <c r="AI192" i="1" s="1"/>
  <c r="Q17" i="1"/>
  <c r="AD17" i="1" s="1"/>
  <c r="P17" i="1"/>
  <c r="AC17" i="1" s="1"/>
  <c r="O17" i="1"/>
  <c r="AB17" i="1" s="1"/>
  <c r="U17" i="1"/>
  <c r="AH17" i="1" s="1"/>
  <c r="M17" i="1"/>
  <c r="Z17" i="1" s="1"/>
  <c r="S17" i="1"/>
  <c r="AF17" i="1" s="1"/>
  <c r="K17" i="1"/>
  <c r="X17" i="1" s="1"/>
  <c r="V17" i="1"/>
  <c r="AI17" i="1" s="1"/>
  <c r="T17" i="1"/>
  <c r="AG17" i="1" s="1"/>
  <c r="R17" i="1"/>
  <c r="AE17" i="1" s="1"/>
  <c r="N17" i="1"/>
  <c r="AA17" i="1" s="1"/>
  <c r="L17" i="1"/>
  <c r="Y17" i="1" s="1"/>
  <c r="R286" i="1"/>
  <c r="AE286" i="1" s="1"/>
  <c r="Q286" i="1"/>
  <c r="AD286" i="1" s="1"/>
  <c r="P286" i="1"/>
  <c r="AC286" i="1" s="1"/>
  <c r="O286" i="1"/>
  <c r="AB286" i="1" s="1"/>
  <c r="V286" i="1"/>
  <c r="AI286" i="1" s="1"/>
  <c r="N286" i="1"/>
  <c r="AA286" i="1" s="1"/>
  <c r="U286" i="1"/>
  <c r="AH286" i="1" s="1"/>
  <c r="M286" i="1"/>
  <c r="Z286" i="1" s="1"/>
  <c r="S286" i="1"/>
  <c r="AF286" i="1" s="1"/>
  <c r="K286" i="1"/>
  <c r="X286" i="1" s="1"/>
  <c r="T286" i="1"/>
  <c r="AG286" i="1" s="1"/>
  <c r="L286" i="1"/>
  <c r="Y286" i="1" s="1"/>
  <c r="O591" i="1"/>
  <c r="AB591" i="1" s="1"/>
  <c r="V591" i="1"/>
  <c r="AI591" i="1" s="1"/>
  <c r="N591" i="1"/>
  <c r="AA591" i="1" s="1"/>
  <c r="U591" i="1"/>
  <c r="AH591" i="1" s="1"/>
  <c r="M591" i="1"/>
  <c r="Z591" i="1" s="1"/>
  <c r="T591" i="1"/>
  <c r="AG591" i="1" s="1"/>
  <c r="L591" i="1"/>
  <c r="Y591" i="1" s="1"/>
  <c r="S591" i="1"/>
  <c r="AF591" i="1" s="1"/>
  <c r="K591" i="1"/>
  <c r="X591" i="1" s="1"/>
  <c r="R591" i="1"/>
  <c r="AE591" i="1" s="1"/>
  <c r="P591" i="1"/>
  <c r="AC591" i="1" s="1"/>
  <c r="Q591" i="1"/>
  <c r="AD591" i="1" s="1"/>
  <c r="T980" i="1"/>
  <c r="AG980" i="1" s="1"/>
  <c r="L980" i="1"/>
  <c r="Y980" i="1" s="1"/>
  <c r="S980" i="1"/>
  <c r="AF980" i="1" s="1"/>
  <c r="K980" i="1"/>
  <c r="X980" i="1" s="1"/>
  <c r="R980" i="1"/>
  <c r="AE980" i="1" s="1"/>
  <c r="Q980" i="1"/>
  <c r="AD980" i="1" s="1"/>
  <c r="P980" i="1"/>
  <c r="AC980" i="1" s="1"/>
  <c r="O980" i="1"/>
  <c r="AB980" i="1" s="1"/>
  <c r="V980" i="1"/>
  <c r="AI980" i="1" s="1"/>
  <c r="U980" i="1"/>
  <c r="AH980" i="1" s="1"/>
  <c r="N980" i="1"/>
  <c r="AA980" i="1" s="1"/>
  <c r="M980" i="1"/>
  <c r="Z980" i="1" s="1"/>
  <c r="U515" i="1"/>
  <c r="AH515" i="1" s="1"/>
  <c r="M515" i="1"/>
  <c r="Z515" i="1" s="1"/>
  <c r="R515" i="1"/>
  <c r="AE515" i="1" s="1"/>
  <c r="P515" i="1"/>
  <c r="AC515" i="1" s="1"/>
  <c r="S515" i="1"/>
  <c r="AF515" i="1" s="1"/>
  <c r="O515" i="1"/>
  <c r="AB515" i="1" s="1"/>
  <c r="N515" i="1"/>
  <c r="AA515" i="1" s="1"/>
  <c r="L515" i="1"/>
  <c r="Y515" i="1" s="1"/>
  <c r="K515" i="1"/>
  <c r="X515" i="1" s="1"/>
  <c r="T515" i="1"/>
  <c r="AG515" i="1" s="1"/>
  <c r="Q515" i="1"/>
  <c r="AD515" i="1" s="1"/>
  <c r="V515" i="1"/>
  <c r="AI515" i="1" s="1"/>
  <c r="V321" i="1"/>
  <c r="AI321" i="1" s="1"/>
  <c r="N321" i="1"/>
  <c r="AA321" i="1" s="1"/>
  <c r="U321" i="1"/>
  <c r="AH321" i="1" s="1"/>
  <c r="M321" i="1"/>
  <c r="Z321" i="1" s="1"/>
  <c r="T321" i="1"/>
  <c r="AG321" i="1" s="1"/>
  <c r="L321" i="1"/>
  <c r="Y321" i="1" s="1"/>
  <c r="S321" i="1"/>
  <c r="AF321" i="1" s="1"/>
  <c r="K321" i="1"/>
  <c r="X321" i="1" s="1"/>
  <c r="R321" i="1"/>
  <c r="AE321" i="1" s="1"/>
  <c r="Q321" i="1"/>
  <c r="AD321" i="1" s="1"/>
  <c r="O321" i="1"/>
  <c r="AB321" i="1" s="1"/>
  <c r="P321" i="1"/>
  <c r="AC321" i="1" s="1"/>
  <c r="P1450" i="1"/>
  <c r="AC1450" i="1" s="1"/>
  <c r="O1450" i="1"/>
  <c r="AB1450" i="1" s="1"/>
  <c r="V1450" i="1"/>
  <c r="AI1450" i="1" s="1"/>
  <c r="N1450" i="1"/>
  <c r="AA1450" i="1" s="1"/>
  <c r="U1450" i="1"/>
  <c r="AH1450" i="1" s="1"/>
  <c r="M1450" i="1"/>
  <c r="Z1450" i="1" s="1"/>
  <c r="T1450" i="1"/>
  <c r="AG1450" i="1" s="1"/>
  <c r="L1450" i="1"/>
  <c r="Y1450" i="1" s="1"/>
  <c r="S1450" i="1"/>
  <c r="AF1450" i="1" s="1"/>
  <c r="K1450" i="1"/>
  <c r="X1450" i="1" s="1"/>
  <c r="R1450" i="1"/>
  <c r="AE1450" i="1" s="1"/>
  <c r="Q1450" i="1"/>
  <c r="AD1450" i="1" s="1"/>
  <c r="V1204" i="1"/>
  <c r="AI1204" i="1" s="1"/>
  <c r="N1204" i="1"/>
  <c r="AA1204" i="1" s="1"/>
  <c r="U1204" i="1"/>
  <c r="AH1204" i="1" s="1"/>
  <c r="M1204" i="1"/>
  <c r="Z1204" i="1" s="1"/>
  <c r="T1204" i="1"/>
  <c r="AG1204" i="1" s="1"/>
  <c r="L1204" i="1"/>
  <c r="Y1204" i="1" s="1"/>
  <c r="S1204" i="1"/>
  <c r="AF1204" i="1" s="1"/>
  <c r="K1204" i="1"/>
  <c r="X1204" i="1" s="1"/>
  <c r="R1204" i="1"/>
  <c r="AE1204" i="1" s="1"/>
  <c r="Q1204" i="1"/>
  <c r="AD1204" i="1" s="1"/>
  <c r="P1204" i="1"/>
  <c r="AC1204" i="1" s="1"/>
  <c r="O1204" i="1"/>
  <c r="AB1204" i="1" s="1"/>
  <c r="O1203" i="1"/>
  <c r="AB1203" i="1" s="1"/>
  <c r="Q851" i="1"/>
  <c r="AD851" i="1" s="1"/>
  <c r="P851" i="1"/>
  <c r="AC851" i="1" s="1"/>
  <c r="O851" i="1"/>
  <c r="AB851" i="1" s="1"/>
  <c r="V851" i="1"/>
  <c r="AI851" i="1" s="1"/>
  <c r="N851" i="1"/>
  <c r="AA851" i="1" s="1"/>
  <c r="U851" i="1"/>
  <c r="AH851" i="1" s="1"/>
  <c r="M851" i="1"/>
  <c r="Z851" i="1" s="1"/>
  <c r="T851" i="1"/>
  <c r="AG851" i="1" s="1"/>
  <c r="L851" i="1"/>
  <c r="Y851" i="1" s="1"/>
  <c r="R851" i="1"/>
  <c r="AE851" i="1" s="1"/>
  <c r="S851" i="1"/>
  <c r="AF851" i="1" s="1"/>
  <c r="K851" i="1"/>
  <c r="X851" i="1" s="1"/>
  <c r="O657" i="1"/>
  <c r="AB657" i="1" s="1"/>
  <c r="V657" i="1"/>
  <c r="AI657" i="1" s="1"/>
  <c r="N657" i="1"/>
  <c r="AA657" i="1" s="1"/>
  <c r="U657" i="1"/>
  <c r="AH657" i="1" s="1"/>
  <c r="M657" i="1"/>
  <c r="Z657" i="1" s="1"/>
  <c r="T657" i="1"/>
  <c r="AG657" i="1" s="1"/>
  <c r="L657" i="1"/>
  <c r="Y657" i="1" s="1"/>
  <c r="S657" i="1"/>
  <c r="AF657" i="1" s="1"/>
  <c r="K657" i="1"/>
  <c r="X657" i="1" s="1"/>
  <c r="R657" i="1"/>
  <c r="AE657" i="1" s="1"/>
  <c r="P657" i="1"/>
  <c r="AC657" i="1" s="1"/>
  <c r="Q657" i="1"/>
  <c r="AD657" i="1" s="1"/>
  <c r="O687" i="1"/>
  <c r="AB687" i="1" s="1"/>
  <c r="V687" i="1"/>
  <c r="AI687" i="1" s="1"/>
  <c r="N687" i="1"/>
  <c r="AA687" i="1" s="1"/>
  <c r="U687" i="1"/>
  <c r="AH687" i="1" s="1"/>
  <c r="M687" i="1"/>
  <c r="Z687" i="1" s="1"/>
  <c r="T687" i="1"/>
  <c r="AG687" i="1" s="1"/>
  <c r="L687" i="1"/>
  <c r="Y687" i="1" s="1"/>
  <c r="S687" i="1"/>
  <c r="AF687" i="1" s="1"/>
  <c r="K687" i="1"/>
  <c r="X687" i="1" s="1"/>
  <c r="R687" i="1"/>
  <c r="AE687" i="1" s="1"/>
  <c r="P687" i="1"/>
  <c r="AC687" i="1" s="1"/>
  <c r="Q687" i="1"/>
  <c r="AD687" i="1" s="1"/>
  <c r="O621" i="1"/>
  <c r="AB621" i="1" s="1"/>
  <c r="V621" i="1"/>
  <c r="AI621" i="1" s="1"/>
  <c r="N621" i="1"/>
  <c r="AA621" i="1" s="1"/>
  <c r="U621" i="1"/>
  <c r="AH621" i="1" s="1"/>
  <c r="M621" i="1"/>
  <c r="Z621" i="1" s="1"/>
  <c r="T621" i="1"/>
  <c r="AG621" i="1" s="1"/>
  <c r="L621" i="1"/>
  <c r="Y621" i="1" s="1"/>
  <c r="S621" i="1"/>
  <c r="AF621" i="1" s="1"/>
  <c r="K621" i="1"/>
  <c r="X621" i="1" s="1"/>
  <c r="R621" i="1"/>
  <c r="AE621" i="1" s="1"/>
  <c r="P621" i="1"/>
  <c r="AC621" i="1" s="1"/>
  <c r="Q621" i="1"/>
  <c r="AD621" i="1" s="1"/>
  <c r="R437" i="1"/>
  <c r="AE437" i="1" s="1"/>
  <c r="P437" i="1"/>
  <c r="AC437" i="1" s="1"/>
  <c r="O437" i="1"/>
  <c r="AB437" i="1" s="1"/>
  <c r="V437" i="1"/>
  <c r="AI437" i="1" s="1"/>
  <c r="N437" i="1"/>
  <c r="AA437" i="1" s="1"/>
  <c r="U437" i="1"/>
  <c r="AH437" i="1" s="1"/>
  <c r="M437" i="1"/>
  <c r="Z437" i="1" s="1"/>
  <c r="S437" i="1"/>
  <c r="AF437" i="1" s="1"/>
  <c r="K437" i="1"/>
  <c r="X437" i="1" s="1"/>
  <c r="T437" i="1"/>
  <c r="AG437" i="1" s="1"/>
  <c r="Q437" i="1"/>
  <c r="AD437" i="1" s="1"/>
  <c r="L437" i="1"/>
  <c r="Y437" i="1" s="1"/>
  <c r="R501" i="1"/>
  <c r="AE501" i="1" s="1"/>
  <c r="P501" i="1"/>
  <c r="AC501" i="1" s="1"/>
  <c r="O501" i="1"/>
  <c r="AB501" i="1" s="1"/>
  <c r="V501" i="1"/>
  <c r="AI501" i="1" s="1"/>
  <c r="N501" i="1"/>
  <c r="AA501" i="1" s="1"/>
  <c r="U501" i="1"/>
  <c r="AH501" i="1" s="1"/>
  <c r="M501" i="1"/>
  <c r="Z501" i="1" s="1"/>
  <c r="S501" i="1"/>
  <c r="AF501" i="1" s="1"/>
  <c r="K501" i="1"/>
  <c r="X501" i="1" s="1"/>
  <c r="T501" i="1"/>
  <c r="AG501" i="1" s="1"/>
  <c r="Q501" i="1"/>
  <c r="AD501" i="1" s="1"/>
  <c r="L501" i="1"/>
  <c r="Y501" i="1" s="1"/>
  <c r="O611" i="1"/>
  <c r="AB611" i="1" s="1"/>
  <c r="V611" i="1"/>
  <c r="AI611" i="1" s="1"/>
  <c r="N611" i="1"/>
  <c r="AA611" i="1" s="1"/>
  <c r="U611" i="1"/>
  <c r="AH611" i="1" s="1"/>
  <c r="M611" i="1"/>
  <c r="Z611" i="1" s="1"/>
  <c r="T611" i="1"/>
  <c r="AG611" i="1" s="1"/>
  <c r="L611" i="1"/>
  <c r="Y611" i="1" s="1"/>
  <c r="S611" i="1"/>
  <c r="AF611" i="1" s="1"/>
  <c r="K611" i="1"/>
  <c r="X611" i="1" s="1"/>
  <c r="R611" i="1"/>
  <c r="AE611" i="1" s="1"/>
  <c r="P611" i="1"/>
  <c r="AC611" i="1" s="1"/>
  <c r="Q611" i="1"/>
  <c r="AD611" i="1" s="1"/>
  <c r="V303" i="1"/>
  <c r="AI303" i="1" s="1"/>
  <c r="N303" i="1"/>
  <c r="AA303" i="1" s="1"/>
  <c r="U303" i="1"/>
  <c r="AH303" i="1" s="1"/>
  <c r="M303" i="1"/>
  <c r="Z303" i="1" s="1"/>
  <c r="T303" i="1"/>
  <c r="AG303" i="1" s="1"/>
  <c r="L303" i="1"/>
  <c r="Y303" i="1" s="1"/>
  <c r="S303" i="1"/>
  <c r="AF303" i="1" s="1"/>
  <c r="K303" i="1"/>
  <c r="X303" i="1" s="1"/>
  <c r="R303" i="1"/>
  <c r="AE303" i="1" s="1"/>
  <c r="Q303" i="1"/>
  <c r="AD303" i="1" s="1"/>
  <c r="O303" i="1"/>
  <c r="AB303" i="1" s="1"/>
  <c r="P303" i="1"/>
  <c r="AC303" i="1" s="1"/>
  <c r="V334" i="1"/>
  <c r="AI334" i="1" s="1"/>
  <c r="N334" i="1"/>
  <c r="AA334" i="1" s="1"/>
  <c r="T334" i="1"/>
  <c r="AG334" i="1" s="1"/>
  <c r="L334" i="1"/>
  <c r="Y334" i="1" s="1"/>
  <c r="R334" i="1"/>
  <c r="AE334" i="1" s="1"/>
  <c r="Q334" i="1"/>
  <c r="AD334" i="1" s="1"/>
  <c r="O334" i="1"/>
  <c r="AB334" i="1" s="1"/>
  <c r="K334" i="1"/>
  <c r="X334" i="1" s="1"/>
  <c r="U334" i="1"/>
  <c r="AH334" i="1" s="1"/>
  <c r="S334" i="1"/>
  <c r="AF334" i="1" s="1"/>
  <c r="M334" i="1"/>
  <c r="Z334" i="1" s="1"/>
  <c r="P334" i="1"/>
  <c r="AC334" i="1" s="1"/>
  <c r="V279" i="1"/>
  <c r="AI279" i="1" s="1"/>
  <c r="N279" i="1"/>
  <c r="AA279" i="1" s="1"/>
  <c r="U279" i="1"/>
  <c r="AH279" i="1" s="1"/>
  <c r="M279" i="1"/>
  <c r="Z279" i="1" s="1"/>
  <c r="T279" i="1"/>
  <c r="AG279" i="1" s="1"/>
  <c r="L279" i="1"/>
  <c r="Y279" i="1" s="1"/>
  <c r="S279" i="1"/>
  <c r="AF279" i="1" s="1"/>
  <c r="K279" i="1"/>
  <c r="X279" i="1" s="1"/>
  <c r="R279" i="1"/>
  <c r="AE279" i="1" s="1"/>
  <c r="Q279" i="1"/>
  <c r="AD279" i="1" s="1"/>
  <c r="O279" i="1"/>
  <c r="AB279" i="1" s="1"/>
  <c r="P279" i="1"/>
  <c r="AC279" i="1" s="1"/>
  <c r="O174" i="1"/>
  <c r="AB174" i="1" s="1"/>
  <c r="U174" i="1"/>
  <c r="AH174" i="1" s="1"/>
  <c r="M174" i="1"/>
  <c r="Z174" i="1" s="1"/>
  <c r="N174" i="1"/>
  <c r="AA174" i="1" s="1"/>
  <c r="L174" i="1"/>
  <c r="Y174" i="1" s="1"/>
  <c r="V174" i="1"/>
  <c r="AI174" i="1" s="1"/>
  <c r="K174" i="1"/>
  <c r="X174" i="1" s="1"/>
  <c r="T174" i="1"/>
  <c r="AG174" i="1" s="1"/>
  <c r="S174" i="1"/>
  <c r="AF174" i="1" s="1"/>
  <c r="R174" i="1"/>
  <c r="AE174" i="1" s="1"/>
  <c r="P174" i="1"/>
  <c r="AC174" i="1" s="1"/>
  <c r="Q174" i="1"/>
  <c r="AD174" i="1" s="1"/>
  <c r="V46" i="1"/>
  <c r="AI46" i="1" s="1"/>
  <c r="N46" i="1"/>
  <c r="AA46" i="1" s="1"/>
  <c r="U46" i="1"/>
  <c r="AH46" i="1" s="1"/>
  <c r="M46" i="1"/>
  <c r="Z46" i="1" s="1"/>
  <c r="T46" i="1"/>
  <c r="AG46" i="1" s="1"/>
  <c r="L46" i="1"/>
  <c r="Y46" i="1" s="1"/>
  <c r="S46" i="1"/>
  <c r="AF46" i="1" s="1"/>
  <c r="K46" i="1"/>
  <c r="X46" i="1" s="1"/>
  <c r="R46" i="1"/>
  <c r="AE46" i="1" s="1"/>
  <c r="Q46" i="1"/>
  <c r="AD46" i="1" s="1"/>
  <c r="O46" i="1"/>
  <c r="AB46" i="1" s="1"/>
  <c r="P46" i="1"/>
  <c r="AC46" i="1" s="1"/>
  <c r="V257" i="1"/>
  <c r="AI257" i="1" s="1"/>
  <c r="N257" i="1"/>
  <c r="AA257" i="1" s="1"/>
  <c r="U257" i="1"/>
  <c r="AH257" i="1" s="1"/>
  <c r="M257" i="1"/>
  <c r="Z257" i="1" s="1"/>
  <c r="T257" i="1"/>
  <c r="AG257" i="1" s="1"/>
  <c r="L257" i="1"/>
  <c r="Y257" i="1" s="1"/>
  <c r="S257" i="1"/>
  <c r="AF257" i="1" s="1"/>
  <c r="K257" i="1"/>
  <c r="X257" i="1" s="1"/>
  <c r="R257" i="1"/>
  <c r="AE257" i="1" s="1"/>
  <c r="Q257" i="1"/>
  <c r="AD257" i="1" s="1"/>
  <c r="O257" i="1"/>
  <c r="AB257" i="1" s="1"/>
  <c r="P257" i="1"/>
  <c r="AC257" i="1" s="1"/>
  <c r="Q739" i="1"/>
  <c r="AD739" i="1" s="1"/>
  <c r="P739" i="1"/>
  <c r="AC739" i="1" s="1"/>
  <c r="O739" i="1"/>
  <c r="AB739" i="1" s="1"/>
  <c r="V739" i="1"/>
  <c r="AI739" i="1" s="1"/>
  <c r="N739" i="1"/>
  <c r="AA739" i="1" s="1"/>
  <c r="U739" i="1"/>
  <c r="AH739" i="1" s="1"/>
  <c r="M739" i="1"/>
  <c r="Z739" i="1" s="1"/>
  <c r="T739" i="1"/>
  <c r="AG739" i="1" s="1"/>
  <c r="L739" i="1"/>
  <c r="Y739" i="1" s="1"/>
  <c r="R739" i="1"/>
  <c r="AE739" i="1" s="1"/>
  <c r="S739" i="1"/>
  <c r="AF739" i="1" s="1"/>
  <c r="K739" i="1"/>
  <c r="X739" i="1" s="1"/>
  <c r="V476" i="1"/>
  <c r="AI476" i="1" s="1"/>
  <c r="N476" i="1"/>
  <c r="AA476" i="1" s="1"/>
  <c r="T476" i="1"/>
  <c r="AG476" i="1" s="1"/>
  <c r="L476" i="1"/>
  <c r="Y476" i="1" s="1"/>
  <c r="S476" i="1"/>
  <c r="AF476" i="1" s="1"/>
  <c r="K476" i="1"/>
  <c r="X476" i="1" s="1"/>
  <c r="R476" i="1"/>
  <c r="AE476" i="1" s="1"/>
  <c r="Q476" i="1"/>
  <c r="AD476" i="1" s="1"/>
  <c r="O476" i="1"/>
  <c r="AB476" i="1" s="1"/>
  <c r="M476" i="1"/>
  <c r="Z476" i="1" s="1"/>
  <c r="P476" i="1"/>
  <c r="AC476" i="1" s="1"/>
  <c r="U476" i="1"/>
  <c r="AH476" i="1" s="1"/>
  <c r="Q1666" i="1"/>
  <c r="AD1666" i="1" s="1"/>
  <c r="P1666" i="1"/>
  <c r="AC1666" i="1" s="1"/>
  <c r="O1666" i="1"/>
  <c r="AB1666" i="1" s="1"/>
  <c r="V1666" i="1"/>
  <c r="AI1666" i="1" s="1"/>
  <c r="N1666" i="1"/>
  <c r="AA1666" i="1" s="1"/>
  <c r="U1666" i="1"/>
  <c r="AH1666" i="1" s="1"/>
  <c r="M1666" i="1"/>
  <c r="Z1666" i="1" s="1"/>
  <c r="T1666" i="1"/>
  <c r="AG1666" i="1" s="1"/>
  <c r="L1666" i="1"/>
  <c r="Y1666" i="1" s="1"/>
  <c r="S1666" i="1"/>
  <c r="AF1666" i="1" s="1"/>
  <c r="R1666" i="1"/>
  <c r="AE1666" i="1" s="1"/>
  <c r="K1666" i="1"/>
  <c r="X1666" i="1" s="1"/>
  <c r="U1617" i="1"/>
  <c r="AH1617" i="1" s="1"/>
  <c r="M1617" i="1"/>
  <c r="Z1617" i="1" s="1"/>
  <c r="S1617" i="1"/>
  <c r="AF1617" i="1" s="1"/>
  <c r="K1617" i="1"/>
  <c r="X1617" i="1" s="1"/>
  <c r="Q1617" i="1"/>
  <c r="AD1617" i="1" s="1"/>
  <c r="V1617" i="1"/>
  <c r="AI1617" i="1" s="1"/>
  <c r="T1617" i="1"/>
  <c r="AG1617" i="1" s="1"/>
  <c r="R1617" i="1"/>
  <c r="AE1617" i="1" s="1"/>
  <c r="P1617" i="1"/>
  <c r="AC1617" i="1" s="1"/>
  <c r="O1617" i="1"/>
  <c r="AB1617" i="1" s="1"/>
  <c r="N1617" i="1"/>
  <c r="AA1617" i="1" s="1"/>
  <c r="L1617" i="1"/>
  <c r="Y1617" i="1" s="1"/>
  <c r="Q1668" i="1"/>
  <c r="AD1668" i="1" s="1"/>
  <c r="P1668" i="1"/>
  <c r="AC1668" i="1" s="1"/>
  <c r="O1668" i="1"/>
  <c r="AB1668" i="1" s="1"/>
  <c r="V1668" i="1"/>
  <c r="AI1668" i="1" s="1"/>
  <c r="N1668" i="1"/>
  <c r="AA1668" i="1" s="1"/>
  <c r="U1668" i="1"/>
  <c r="AH1668" i="1" s="1"/>
  <c r="M1668" i="1"/>
  <c r="Z1668" i="1" s="1"/>
  <c r="T1668" i="1"/>
  <c r="AG1668" i="1" s="1"/>
  <c r="L1668" i="1"/>
  <c r="Y1668" i="1" s="1"/>
  <c r="S1668" i="1"/>
  <c r="AF1668" i="1" s="1"/>
  <c r="R1668" i="1"/>
  <c r="AE1668" i="1" s="1"/>
  <c r="K1668" i="1"/>
  <c r="X1668" i="1" s="1"/>
  <c r="V1711" i="1"/>
  <c r="AI1711" i="1" s="1"/>
  <c r="N1711" i="1"/>
  <c r="AA1711" i="1" s="1"/>
  <c r="U1711" i="1"/>
  <c r="AH1711" i="1" s="1"/>
  <c r="M1711" i="1"/>
  <c r="Z1711" i="1" s="1"/>
  <c r="T1711" i="1"/>
  <c r="AG1711" i="1" s="1"/>
  <c r="L1711" i="1"/>
  <c r="Y1711" i="1" s="1"/>
  <c r="S1711" i="1"/>
  <c r="AF1711" i="1" s="1"/>
  <c r="K1711" i="1"/>
  <c r="X1711" i="1" s="1"/>
  <c r="R1711" i="1"/>
  <c r="AE1711" i="1" s="1"/>
  <c r="Q1711" i="1"/>
  <c r="AD1711" i="1" s="1"/>
  <c r="P1711" i="1"/>
  <c r="AC1711" i="1" s="1"/>
  <c r="O1711" i="1"/>
  <c r="AB1711" i="1" s="1"/>
  <c r="U1583" i="1"/>
  <c r="AH1583" i="1" s="1"/>
  <c r="M1583" i="1"/>
  <c r="Z1583" i="1" s="1"/>
  <c r="T1583" i="1"/>
  <c r="AG1583" i="1" s="1"/>
  <c r="L1583" i="1"/>
  <c r="Y1583" i="1" s="1"/>
  <c r="S1583" i="1"/>
  <c r="AF1583" i="1" s="1"/>
  <c r="K1583" i="1"/>
  <c r="X1583" i="1" s="1"/>
  <c r="R1583" i="1"/>
  <c r="AE1583" i="1" s="1"/>
  <c r="Q1583" i="1"/>
  <c r="AD1583" i="1" s="1"/>
  <c r="P1583" i="1"/>
  <c r="AC1583" i="1" s="1"/>
  <c r="V1583" i="1"/>
  <c r="AI1583" i="1" s="1"/>
  <c r="N1583" i="1"/>
  <c r="AA1583" i="1" s="1"/>
  <c r="O1583" i="1"/>
  <c r="AB1583" i="1" s="1"/>
  <c r="O1566" i="1"/>
  <c r="AB1566" i="1" s="1"/>
  <c r="V1566" i="1"/>
  <c r="AI1566" i="1" s="1"/>
  <c r="N1566" i="1"/>
  <c r="AA1566" i="1" s="1"/>
  <c r="U1566" i="1"/>
  <c r="AH1566" i="1" s="1"/>
  <c r="M1566" i="1"/>
  <c r="Z1566" i="1" s="1"/>
  <c r="T1566" i="1"/>
  <c r="AG1566" i="1" s="1"/>
  <c r="L1566" i="1"/>
  <c r="Y1566" i="1" s="1"/>
  <c r="R1566" i="1"/>
  <c r="AE1566" i="1" s="1"/>
  <c r="S1566" i="1"/>
  <c r="AF1566" i="1" s="1"/>
  <c r="Q1566" i="1"/>
  <c r="AD1566" i="1" s="1"/>
  <c r="P1566" i="1"/>
  <c r="AC1566" i="1" s="1"/>
  <c r="K1566" i="1"/>
  <c r="X1566" i="1" s="1"/>
  <c r="R1237" i="1"/>
  <c r="AE1237" i="1" s="1"/>
  <c r="Q1237" i="1"/>
  <c r="AD1237" i="1" s="1"/>
  <c r="P1237" i="1"/>
  <c r="AC1237" i="1" s="1"/>
  <c r="O1237" i="1"/>
  <c r="AB1237" i="1" s="1"/>
  <c r="V1237" i="1"/>
  <c r="AI1237" i="1" s="1"/>
  <c r="N1237" i="1"/>
  <c r="AA1237" i="1" s="1"/>
  <c r="U1237" i="1"/>
  <c r="AH1237" i="1" s="1"/>
  <c r="M1237" i="1"/>
  <c r="Z1237" i="1" s="1"/>
  <c r="T1237" i="1"/>
  <c r="AG1237" i="1" s="1"/>
  <c r="L1237" i="1"/>
  <c r="Y1237" i="1" s="1"/>
  <c r="S1237" i="1"/>
  <c r="AF1237" i="1" s="1"/>
  <c r="K1237" i="1"/>
  <c r="X1237" i="1" s="1"/>
  <c r="S1543" i="1"/>
  <c r="AF1543" i="1" s="1"/>
  <c r="K1543" i="1"/>
  <c r="X1543" i="1" s="1"/>
  <c r="R1543" i="1"/>
  <c r="AE1543" i="1" s="1"/>
  <c r="Q1543" i="1"/>
  <c r="AD1543" i="1" s="1"/>
  <c r="P1543" i="1"/>
  <c r="AC1543" i="1" s="1"/>
  <c r="V1543" i="1"/>
  <c r="AI1543" i="1" s="1"/>
  <c r="N1543" i="1"/>
  <c r="AA1543" i="1" s="1"/>
  <c r="T1543" i="1"/>
  <c r="AG1543" i="1" s="1"/>
  <c r="O1543" i="1"/>
  <c r="AB1543" i="1" s="1"/>
  <c r="M1543" i="1"/>
  <c r="Z1543" i="1" s="1"/>
  <c r="L1543" i="1"/>
  <c r="Y1543" i="1" s="1"/>
  <c r="U1543" i="1"/>
  <c r="AH1543" i="1" s="1"/>
  <c r="T1441" i="1"/>
  <c r="AG1441" i="1" s="1"/>
  <c r="L1441" i="1"/>
  <c r="Y1441" i="1" s="1"/>
  <c r="S1441" i="1"/>
  <c r="AF1441" i="1" s="1"/>
  <c r="K1441" i="1"/>
  <c r="X1441" i="1" s="1"/>
  <c r="R1441" i="1"/>
  <c r="AE1441" i="1" s="1"/>
  <c r="Q1441" i="1"/>
  <c r="AD1441" i="1" s="1"/>
  <c r="P1441" i="1"/>
  <c r="AC1441" i="1" s="1"/>
  <c r="O1441" i="1"/>
  <c r="AB1441" i="1" s="1"/>
  <c r="N1441" i="1"/>
  <c r="AA1441" i="1" s="1"/>
  <c r="M1441" i="1"/>
  <c r="Z1441" i="1" s="1"/>
  <c r="V1441" i="1"/>
  <c r="AI1441" i="1" s="1"/>
  <c r="U1441" i="1"/>
  <c r="AH1441" i="1" s="1"/>
  <c r="R1298" i="1"/>
  <c r="AE1298" i="1" s="1"/>
  <c r="Q1298" i="1"/>
  <c r="AD1298" i="1" s="1"/>
  <c r="O1298" i="1"/>
  <c r="AB1298" i="1" s="1"/>
  <c r="V1298" i="1"/>
  <c r="AI1298" i="1" s="1"/>
  <c r="N1298" i="1"/>
  <c r="AA1298" i="1" s="1"/>
  <c r="U1298" i="1"/>
  <c r="AH1298" i="1" s="1"/>
  <c r="M1298" i="1"/>
  <c r="Z1298" i="1" s="1"/>
  <c r="T1298" i="1"/>
  <c r="AG1298" i="1" s="1"/>
  <c r="S1298" i="1"/>
  <c r="AF1298" i="1" s="1"/>
  <c r="P1298" i="1"/>
  <c r="AC1298" i="1" s="1"/>
  <c r="L1298" i="1"/>
  <c r="Y1298" i="1" s="1"/>
  <c r="K1298" i="1"/>
  <c r="X1298" i="1" s="1"/>
  <c r="O1548" i="1"/>
  <c r="AB1548" i="1" s="1"/>
  <c r="V1548" i="1"/>
  <c r="AI1548" i="1" s="1"/>
  <c r="N1548" i="1"/>
  <c r="AA1548" i="1" s="1"/>
  <c r="U1548" i="1"/>
  <c r="AH1548" i="1" s="1"/>
  <c r="M1548" i="1"/>
  <c r="Z1548" i="1" s="1"/>
  <c r="T1548" i="1"/>
  <c r="AG1548" i="1" s="1"/>
  <c r="L1548" i="1"/>
  <c r="Y1548" i="1" s="1"/>
  <c r="R1548" i="1"/>
  <c r="AE1548" i="1" s="1"/>
  <c r="S1548" i="1"/>
  <c r="AF1548" i="1" s="1"/>
  <c r="Q1548" i="1"/>
  <c r="AD1548" i="1" s="1"/>
  <c r="P1548" i="1"/>
  <c r="AC1548" i="1" s="1"/>
  <c r="K1548" i="1"/>
  <c r="X1548" i="1" s="1"/>
  <c r="P1041" i="1"/>
  <c r="AC1041" i="1" s="1"/>
  <c r="O1041" i="1"/>
  <c r="AB1041" i="1" s="1"/>
  <c r="V1041" i="1"/>
  <c r="AI1041" i="1" s="1"/>
  <c r="N1041" i="1"/>
  <c r="AA1041" i="1" s="1"/>
  <c r="U1041" i="1"/>
  <c r="AH1041" i="1" s="1"/>
  <c r="M1041" i="1"/>
  <c r="Z1041" i="1" s="1"/>
  <c r="T1041" i="1"/>
  <c r="AG1041" i="1" s="1"/>
  <c r="L1041" i="1"/>
  <c r="Y1041" i="1" s="1"/>
  <c r="S1041" i="1"/>
  <c r="AF1041" i="1" s="1"/>
  <c r="K1041" i="1"/>
  <c r="X1041" i="1" s="1"/>
  <c r="R1041" i="1"/>
  <c r="AE1041" i="1" s="1"/>
  <c r="Q1041" i="1"/>
  <c r="AD1041" i="1" s="1"/>
  <c r="U911" i="1"/>
  <c r="AH911" i="1" s="1"/>
  <c r="M911" i="1"/>
  <c r="Z911" i="1" s="1"/>
  <c r="R911" i="1"/>
  <c r="AE911" i="1" s="1"/>
  <c r="P911" i="1"/>
  <c r="AC911" i="1" s="1"/>
  <c r="K911" i="1"/>
  <c r="X911" i="1" s="1"/>
  <c r="V911" i="1"/>
  <c r="AI911" i="1" s="1"/>
  <c r="T911" i="1"/>
  <c r="AG911" i="1" s="1"/>
  <c r="S911" i="1"/>
  <c r="AF911" i="1" s="1"/>
  <c r="Q911" i="1"/>
  <c r="AD911" i="1" s="1"/>
  <c r="O911" i="1"/>
  <c r="AB911" i="1" s="1"/>
  <c r="L911" i="1"/>
  <c r="Y911" i="1" s="1"/>
  <c r="N911" i="1"/>
  <c r="AA911" i="1" s="1"/>
  <c r="T988" i="1"/>
  <c r="AG988" i="1" s="1"/>
  <c r="L988" i="1"/>
  <c r="Y988" i="1" s="1"/>
  <c r="S988" i="1"/>
  <c r="AF988" i="1" s="1"/>
  <c r="K988" i="1"/>
  <c r="X988" i="1" s="1"/>
  <c r="R988" i="1"/>
  <c r="AE988" i="1" s="1"/>
  <c r="Q988" i="1"/>
  <c r="AD988" i="1" s="1"/>
  <c r="P988" i="1"/>
  <c r="AC988" i="1" s="1"/>
  <c r="O988" i="1"/>
  <c r="AB988" i="1" s="1"/>
  <c r="V988" i="1"/>
  <c r="AI988" i="1" s="1"/>
  <c r="U988" i="1"/>
  <c r="AH988" i="1" s="1"/>
  <c r="N988" i="1"/>
  <c r="AA988" i="1" s="1"/>
  <c r="M988" i="1"/>
  <c r="Z988" i="1" s="1"/>
  <c r="S688" i="1"/>
  <c r="AF688" i="1" s="1"/>
  <c r="K688" i="1"/>
  <c r="X688" i="1" s="1"/>
  <c r="R688" i="1"/>
  <c r="AE688" i="1" s="1"/>
  <c r="Q688" i="1"/>
  <c r="AD688" i="1" s="1"/>
  <c r="P688" i="1"/>
  <c r="AC688" i="1" s="1"/>
  <c r="O688" i="1"/>
  <c r="AB688" i="1" s="1"/>
  <c r="V688" i="1"/>
  <c r="AI688" i="1" s="1"/>
  <c r="N688" i="1"/>
  <c r="AA688" i="1" s="1"/>
  <c r="T688" i="1"/>
  <c r="AG688" i="1" s="1"/>
  <c r="L688" i="1"/>
  <c r="Y688" i="1" s="1"/>
  <c r="M688" i="1"/>
  <c r="Z688" i="1" s="1"/>
  <c r="U688" i="1"/>
  <c r="AH688" i="1" s="1"/>
  <c r="V440" i="1"/>
  <c r="AI440" i="1" s="1"/>
  <c r="N440" i="1"/>
  <c r="AA440" i="1" s="1"/>
  <c r="T440" i="1"/>
  <c r="AG440" i="1" s="1"/>
  <c r="L440" i="1"/>
  <c r="Y440" i="1" s="1"/>
  <c r="S440" i="1"/>
  <c r="AF440" i="1" s="1"/>
  <c r="K440" i="1"/>
  <c r="X440" i="1" s="1"/>
  <c r="R440" i="1"/>
  <c r="AE440" i="1" s="1"/>
  <c r="Q440" i="1"/>
  <c r="AD440" i="1" s="1"/>
  <c r="O440" i="1"/>
  <c r="AB440" i="1" s="1"/>
  <c r="U440" i="1"/>
  <c r="AH440" i="1" s="1"/>
  <c r="P440" i="1"/>
  <c r="AC440" i="1" s="1"/>
  <c r="M440" i="1"/>
  <c r="Z440" i="1" s="1"/>
  <c r="S185" i="1"/>
  <c r="AF185" i="1" s="1"/>
  <c r="K185" i="1"/>
  <c r="X185" i="1" s="1"/>
  <c r="Q185" i="1"/>
  <c r="AD185" i="1" s="1"/>
  <c r="O185" i="1"/>
  <c r="AB185" i="1" s="1"/>
  <c r="N185" i="1"/>
  <c r="AA185" i="1" s="1"/>
  <c r="M185" i="1"/>
  <c r="Z185" i="1" s="1"/>
  <c r="L185" i="1"/>
  <c r="Y185" i="1" s="1"/>
  <c r="V185" i="1"/>
  <c r="AI185" i="1" s="1"/>
  <c r="U185" i="1"/>
  <c r="AH185" i="1" s="1"/>
  <c r="T185" i="1"/>
  <c r="AG185" i="1" s="1"/>
  <c r="P185" i="1"/>
  <c r="AC185" i="1" s="1"/>
  <c r="R185" i="1"/>
  <c r="AE185" i="1" s="1"/>
  <c r="Q781" i="1"/>
  <c r="AD781" i="1" s="1"/>
  <c r="P781" i="1"/>
  <c r="AC781" i="1" s="1"/>
  <c r="O781" i="1"/>
  <c r="AB781" i="1" s="1"/>
  <c r="V781" i="1"/>
  <c r="AI781" i="1" s="1"/>
  <c r="N781" i="1"/>
  <c r="AA781" i="1" s="1"/>
  <c r="U781" i="1"/>
  <c r="AH781" i="1" s="1"/>
  <c r="M781" i="1"/>
  <c r="Z781" i="1" s="1"/>
  <c r="T781" i="1"/>
  <c r="AG781" i="1" s="1"/>
  <c r="L781" i="1"/>
  <c r="Y781" i="1" s="1"/>
  <c r="R781" i="1"/>
  <c r="AE781" i="1" s="1"/>
  <c r="S781" i="1"/>
  <c r="AF781" i="1" s="1"/>
  <c r="K781" i="1"/>
  <c r="X781" i="1" s="1"/>
  <c r="O559" i="1"/>
  <c r="AB559" i="1" s="1"/>
  <c r="V559" i="1"/>
  <c r="AI559" i="1" s="1"/>
  <c r="N559" i="1"/>
  <c r="AA559" i="1" s="1"/>
  <c r="U559" i="1"/>
  <c r="AH559" i="1" s="1"/>
  <c r="M559" i="1"/>
  <c r="Z559" i="1" s="1"/>
  <c r="T559" i="1"/>
  <c r="AG559" i="1" s="1"/>
  <c r="L559" i="1"/>
  <c r="Y559" i="1" s="1"/>
  <c r="S559" i="1"/>
  <c r="AF559" i="1" s="1"/>
  <c r="K559" i="1"/>
  <c r="X559" i="1" s="1"/>
  <c r="R559" i="1"/>
  <c r="AE559" i="1" s="1"/>
  <c r="P559" i="1"/>
  <c r="AC559" i="1" s="1"/>
  <c r="Q559" i="1"/>
  <c r="AD559" i="1" s="1"/>
  <c r="O1420" i="1"/>
  <c r="AB1420" i="1" s="1"/>
  <c r="V1420" i="1"/>
  <c r="AI1420" i="1" s="1"/>
  <c r="N1420" i="1"/>
  <c r="AA1420" i="1" s="1"/>
  <c r="U1420" i="1"/>
  <c r="AH1420" i="1" s="1"/>
  <c r="M1420" i="1"/>
  <c r="Z1420" i="1" s="1"/>
  <c r="T1420" i="1"/>
  <c r="AG1420" i="1" s="1"/>
  <c r="L1420" i="1"/>
  <c r="Y1420" i="1" s="1"/>
  <c r="S1420" i="1"/>
  <c r="AF1420" i="1" s="1"/>
  <c r="K1420" i="1"/>
  <c r="X1420" i="1" s="1"/>
  <c r="R1420" i="1"/>
  <c r="AE1420" i="1" s="1"/>
  <c r="Q1420" i="1"/>
  <c r="AD1420" i="1" s="1"/>
  <c r="P1420" i="1"/>
  <c r="AC1420" i="1" s="1"/>
  <c r="R1282" i="1"/>
  <c r="AE1282" i="1" s="1"/>
  <c r="Q1282" i="1"/>
  <c r="AD1282" i="1" s="1"/>
  <c r="O1282" i="1"/>
  <c r="AB1282" i="1" s="1"/>
  <c r="V1282" i="1"/>
  <c r="AI1282" i="1" s="1"/>
  <c r="N1282" i="1"/>
  <c r="AA1282" i="1" s="1"/>
  <c r="U1282" i="1"/>
  <c r="AH1282" i="1" s="1"/>
  <c r="M1282" i="1"/>
  <c r="Z1282" i="1" s="1"/>
  <c r="T1282" i="1"/>
  <c r="AG1282" i="1" s="1"/>
  <c r="S1282" i="1"/>
  <c r="AF1282" i="1" s="1"/>
  <c r="P1282" i="1"/>
  <c r="AC1282" i="1" s="1"/>
  <c r="L1282" i="1"/>
  <c r="Y1282" i="1" s="1"/>
  <c r="K1282" i="1"/>
  <c r="X1282" i="1" s="1"/>
  <c r="U752" i="1"/>
  <c r="AH752" i="1" s="1"/>
  <c r="M752" i="1"/>
  <c r="Z752" i="1" s="1"/>
  <c r="T752" i="1"/>
  <c r="AG752" i="1" s="1"/>
  <c r="L752" i="1"/>
  <c r="Y752" i="1" s="1"/>
  <c r="S752" i="1"/>
  <c r="AF752" i="1" s="1"/>
  <c r="K752" i="1"/>
  <c r="X752" i="1" s="1"/>
  <c r="R752" i="1"/>
  <c r="AE752" i="1" s="1"/>
  <c r="Q752" i="1"/>
  <c r="AD752" i="1" s="1"/>
  <c r="P752" i="1"/>
  <c r="AC752" i="1" s="1"/>
  <c r="V752" i="1"/>
  <c r="AI752" i="1" s="1"/>
  <c r="N752" i="1"/>
  <c r="AA752" i="1" s="1"/>
  <c r="O752" i="1"/>
  <c r="AB752" i="1" s="1"/>
  <c r="Q821" i="1"/>
  <c r="AD821" i="1" s="1"/>
  <c r="P821" i="1"/>
  <c r="AC821" i="1" s="1"/>
  <c r="O821" i="1"/>
  <c r="AB821" i="1" s="1"/>
  <c r="V821" i="1"/>
  <c r="AI821" i="1" s="1"/>
  <c r="N821" i="1"/>
  <c r="AA821" i="1" s="1"/>
  <c r="U821" i="1"/>
  <c r="AH821" i="1" s="1"/>
  <c r="M821" i="1"/>
  <c r="Z821" i="1" s="1"/>
  <c r="T821" i="1"/>
  <c r="AG821" i="1" s="1"/>
  <c r="L821" i="1"/>
  <c r="Y821" i="1" s="1"/>
  <c r="R821" i="1"/>
  <c r="AE821" i="1" s="1"/>
  <c r="S821" i="1"/>
  <c r="AF821" i="1" s="1"/>
  <c r="K821" i="1"/>
  <c r="X821" i="1" s="1"/>
  <c r="S692" i="1"/>
  <c r="AF692" i="1" s="1"/>
  <c r="K692" i="1"/>
  <c r="X692" i="1" s="1"/>
  <c r="R692" i="1"/>
  <c r="AE692" i="1" s="1"/>
  <c r="Q692" i="1"/>
  <c r="AD692" i="1" s="1"/>
  <c r="P692" i="1"/>
  <c r="AC692" i="1" s="1"/>
  <c r="O692" i="1"/>
  <c r="AB692" i="1" s="1"/>
  <c r="V692" i="1"/>
  <c r="AI692" i="1" s="1"/>
  <c r="N692" i="1"/>
  <c r="AA692" i="1" s="1"/>
  <c r="T692" i="1"/>
  <c r="AG692" i="1" s="1"/>
  <c r="L692" i="1"/>
  <c r="Y692" i="1" s="1"/>
  <c r="U692" i="1"/>
  <c r="AH692" i="1" s="1"/>
  <c r="M692" i="1"/>
  <c r="Z692" i="1" s="1"/>
  <c r="O541" i="1"/>
  <c r="AB541" i="1" s="1"/>
  <c r="U541" i="1"/>
  <c r="AH541" i="1" s="1"/>
  <c r="M541" i="1"/>
  <c r="Z541" i="1" s="1"/>
  <c r="S541" i="1"/>
  <c r="AF541" i="1" s="1"/>
  <c r="K541" i="1"/>
  <c r="X541" i="1" s="1"/>
  <c r="R541" i="1"/>
  <c r="AE541" i="1" s="1"/>
  <c r="P541" i="1"/>
  <c r="AC541" i="1" s="1"/>
  <c r="T541" i="1"/>
  <c r="AG541" i="1" s="1"/>
  <c r="Q541" i="1"/>
  <c r="AD541" i="1" s="1"/>
  <c r="N541" i="1"/>
  <c r="AA541" i="1" s="1"/>
  <c r="L541" i="1"/>
  <c r="Y541" i="1" s="1"/>
  <c r="V541" i="1"/>
  <c r="AI541" i="1" s="1"/>
  <c r="O597" i="1"/>
  <c r="AB597" i="1" s="1"/>
  <c r="V597" i="1"/>
  <c r="AI597" i="1" s="1"/>
  <c r="N597" i="1"/>
  <c r="AA597" i="1" s="1"/>
  <c r="U597" i="1"/>
  <c r="AH597" i="1" s="1"/>
  <c r="M597" i="1"/>
  <c r="Z597" i="1" s="1"/>
  <c r="T597" i="1"/>
  <c r="AG597" i="1" s="1"/>
  <c r="L597" i="1"/>
  <c r="Y597" i="1" s="1"/>
  <c r="S597" i="1"/>
  <c r="AF597" i="1" s="1"/>
  <c r="K597" i="1"/>
  <c r="X597" i="1" s="1"/>
  <c r="R597" i="1"/>
  <c r="AE597" i="1" s="1"/>
  <c r="P597" i="1"/>
  <c r="AC597" i="1" s="1"/>
  <c r="Q597" i="1"/>
  <c r="AD597" i="1" s="1"/>
  <c r="S602" i="1"/>
  <c r="AF602" i="1" s="1"/>
  <c r="K602" i="1"/>
  <c r="X602" i="1" s="1"/>
  <c r="R602" i="1"/>
  <c r="AE602" i="1" s="1"/>
  <c r="Q602" i="1"/>
  <c r="AD602" i="1" s="1"/>
  <c r="P602" i="1"/>
  <c r="AC602" i="1" s="1"/>
  <c r="O602" i="1"/>
  <c r="AB602" i="1" s="1"/>
  <c r="V602" i="1"/>
  <c r="AI602" i="1" s="1"/>
  <c r="N602" i="1"/>
  <c r="AA602" i="1" s="1"/>
  <c r="T602" i="1"/>
  <c r="AG602" i="1" s="1"/>
  <c r="L602" i="1"/>
  <c r="Y602" i="1" s="1"/>
  <c r="M602" i="1"/>
  <c r="Z602" i="1" s="1"/>
  <c r="U602" i="1"/>
  <c r="AH602" i="1" s="1"/>
  <c r="P509" i="1"/>
  <c r="AC509" i="1" s="1"/>
  <c r="T509" i="1"/>
  <c r="AG509" i="1" s="1"/>
  <c r="K509" i="1"/>
  <c r="X509" i="1" s="1"/>
  <c r="R509" i="1"/>
  <c r="AE509" i="1" s="1"/>
  <c r="Q509" i="1"/>
  <c r="AD509" i="1" s="1"/>
  <c r="O509" i="1"/>
  <c r="AB509" i="1" s="1"/>
  <c r="N509" i="1"/>
  <c r="AA509" i="1" s="1"/>
  <c r="U509" i="1"/>
  <c r="AH509" i="1" s="1"/>
  <c r="L509" i="1"/>
  <c r="Y509" i="1" s="1"/>
  <c r="V509" i="1"/>
  <c r="AI509" i="1" s="1"/>
  <c r="S509" i="1"/>
  <c r="AF509" i="1" s="1"/>
  <c r="M509" i="1"/>
  <c r="Z509" i="1" s="1"/>
  <c r="O571" i="1"/>
  <c r="AB571" i="1" s="1"/>
  <c r="V571" i="1"/>
  <c r="AI571" i="1" s="1"/>
  <c r="N571" i="1"/>
  <c r="AA571" i="1" s="1"/>
  <c r="U571" i="1"/>
  <c r="AH571" i="1" s="1"/>
  <c r="M571" i="1"/>
  <c r="Z571" i="1" s="1"/>
  <c r="T571" i="1"/>
  <c r="AG571" i="1" s="1"/>
  <c r="L571" i="1"/>
  <c r="Y571" i="1" s="1"/>
  <c r="S571" i="1"/>
  <c r="AF571" i="1" s="1"/>
  <c r="K571" i="1"/>
  <c r="X571" i="1" s="1"/>
  <c r="R571" i="1"/>
  <c r="AE571" i="1" s="1"/>
  <c r="P571" i="1"/>
  <c r="AC571" i="1" s="1"/>
  <c r="Q571" i="1"/>
  <c r="AD571" i="1" s="1"/>
  <c r="R359" i="1"/>
  <c r="AE359" i="1" s="1"/>
  <c r="P359" i="1"/>
  <c r="AC359" i="1" s="1"/>
  <c r="V359" i="1"/>
  <c r="AI359" i="1" s="1"/>
  <c r="N359" i="1"/>
  <c r="AA359" i="1" s="1"/>
  <c r="U359" i="1"/>
  <c r="AH359" i="1" s="1"/>
  <c r="M359" i="1"/>
  <c r="Z359" i="1" s="1"/>
  <c r="S359" i="1"/>
  <c r="AF359" i="1" s="1"/>
  <c r="K359" i="1"/>
  <c r="X359" i="1" s="1"/>
  <c r="T359" i="1"/>
  <c r="AG359" i="1" s="1"/>
  <c r="Q359" i="1"/>
  <c r="AD359" i="1" s="1"/>
  <c r="L359" i="1"/>
  <c r="Y359" i="1" s="1"/>
  <c r="O359" i="1"/>
  <c r="AB359" i="1" s="1"/>
  <c r="O226" i="1"/>
  <c r="AB226" i="1" s="1"/>
  <c r="U226" i="1"/>
  <c r="AH226" i="1" s="1"/>
  <c r="M226" i="1"/>
  <c r="Z226" i="1" s="1"/>
  <c r="S226" i="1"/>
  <c r="AF226" i="1" s="1"/>
  <c r="K226" i="1"/>
  <c r="X226" i="1" s="1"/>
  <c r="V226" i="1"/>
  <c r="AI226" i="1" s="1"/>
  <c r="T226" i="1"/>
  <c r="AG226" i="1" s="1"/>
  <c r="R226" i="1"/>
  <c r="AE226" i="1" s="1"/>
  <c r="Q226" i="1"/>
  <c r="AD226" i="1" s="1"/>
  <c r="P226" i="1"/>
  <c r="AC226" i="1" s="1"/>
  <c r="N226" i="1"/>
  <c r="AA226" i="1" s="1"/>
  <c r="L226" i="1"/>
  <c r="Y226" i="1" s="1"/>
  <c r="S169" i="1"/>
  <c r="AF169" i="1" s="1"/>
  <c r="K169" i="1"/>
  <c r="X169" i="1" s="1"/>
  <c r="Q169" i="1"/>
  <c r="AD169" i="1" s="1"/>
  <c r="U169" i="1"/>
  <c r="AH169" i="1" s="1"/>
  <c r="T169" i="1"/>
  <c r="AG169" i="1" s="1"/>
  <c r="R169" i="1"/>
  <c r="AE169" i="1" s="1"/>
  <c r="P169" i="1"/>
  <c r="AC169" i="1" s="1"/>
  <c r="O169" i="1"/>
  <c r="AB169" i="1" s="1"/>
  <c r="N169" i="1"/>
  <c r="AA169" i="1" s="1"/>
  <c r="V169" i="1"/>
  <c r="AI169" i="1" s="1"/>
  <c r="L169" i="1"/>
  <c r="Y169" i="1" s="1"/>
  <c r="M169" i="1"/>
  <c r="Z169" i="1" s="1"/>
  <c r="V62" i="1"/>
  <c r="AI62" i="1" s="1"/>
  <c r="N62" i="1"/>
  <c r="AA62" i="1" s="1"/>
  <c r="U62" i="1"/>
  <c r="AH62" i="1" s="1"/>
  <c r="M62" i="1"/>
  <c r="Z62" i="1" s="1"/>
  <c r="T62" i="1"/>
  <c r="AG62" i="1" s="1"/>
  <c r="L62" i="1"/>
  <c r="Y62" i="1" s="1"/>
  <c r="S62" i="1"/>
  <c r="AF62" i="1" s="1"/>
  <c r="K62" i="1"/>
  <c r="X62" i="1" s="1"/>
  <c r="R62" i="1"/>
  <c r="AE62" i="1" s="1"/>
  <c r="Q62" i="1"/>
  <c r="AD62" i="1" s="1"/>
  <c r="O62" i="1"/>
  <c r="AB62" i="1" s="1"/>
  <c r="P62" i="1"/>
  <c r="AC62" i="1" s="1"/>
  <c r="U772" i="1"/>
  <c r="AH772" i="1" s="1"/>
  <c r="M772" i="1"/>
  <c r="Z772" i="1" s="1"/>
  <c r="T772" i="1"/>
  <c r="AG772" i="1" s="1"/>
  <c r="L772" i="1"/>
  <c r="Y772" i="1" s="1"/>
  <c r="S772" i="1"/>
  <c r="AF772" i="1" s="1"/>
  <c r="K772" i="1"/>
  <c r="X772" i="1" s="1"/>
  <c r="R772" i="1"/>
  <c r="AE772" i="1" s="1"/>
  <c r="Q772" i="1"/>
  <c r="AD772" i="1" s="1"/>
  <c r="P772" i="1"/>
  <c r="AC772" i="1" s="1"/>
  <c r="V772" i="1"/>
  <c r="AI772" i="1" s="1"/>
  <c r="N772" i="1"/>
  <c r="AA772" i="1" s="1"/>
  <c r="O772" i="1"/>
  <c r="AB772" i="1" s="1"/>
  <c r="S538" i="1"/>
  <c r="AF538" i="1" s="1"/>
  <c r="K538" i="1"/>
  <c r="X538" i="1" s="1"/>
  <c r="Q538" i="1"/>
  <c r="AD538" i="1" s="1"/>
  <c r="O538" i="1"/>
  <c r="AB538" i="1" s="1"/>
  <c r="V538" i="1"/>
  <c r="AI538" i="1" s="1"/>
  <c r="N538" i="1"/>
  <c r="AA538" i="1" s="1"/>
  <c r="T538" i="1"/>
  <c r="AG538" i="1" s="1"/>
  <c r="L538" i="1"/>
  <c r="Y538" i="1" s="1"/>
  <c r="M538" i="1"/>
  <c r="Z538" i="1" s="1"/>
  <c r="U538" i="1"/>
  <c r="AH538" i="1" s="1"/>
  <c r="P538" i="1"/>
  <c r="AC538" i="1" s="1"/>
  <c r="R538" i="1"/>
  <c r="AE538" i="1" s="1"/>
  <c r="O164" i="1"/>
  <c r="AB164" i="1" s="1"/>
  <c r="U164" i="1"/>
  <c r="AH164" i="1" s="1"/>
  <c r="M164" i="1"/>
  <c r="Z164" i="1" s="1"/>
  <c r="Q164" i="1"/>
  <c r="AD164" i="1" s="1"/>
  <c r="P164" i="1"/>
  <c r="AC164" i="1" s="1"/>
  <c r="N164" i="1"/>
  <c r="AA164" i="1" s="1"/>
  <c r="L164" i="1"/>
  <c r="Y164" i="1" s="1"/>
  <c r="V164" i="1"/>
  <c r="AI164" i="1" s="1"/>
  <c r="K164" i="1"/>
  <c r="X164" i="1" s="1"/>
  <c r="T164" i="1"/>
  <c r="AG164" i="1" s="1"/>
  <c r="R164" i="1"/>
  <c r="AE164" i="1" s="1"/>
  <c r="S164" i="1"/>
  <c r="AF164" i="1" s="1"/>
  <c r="V1705" i="1"/>
  <c r="AI1705" i="1" s="1"/>
  <c r="N1705" i="1"/>
  <c r="AA1705" i="1" s="1"/>
  <c r="U1705" i="1"/>
  <c r="AH1705" i="1" s="1"/>
  <c r="M1705" i="1"/>
  <c r="Z1705" i="1" s="1"/>
  <c r="T1705" i="1"/>
  <c r="AG1705" i="1" s="1"/>
  <c r="L1705" i="1"/>
  <c r="Y1705" i="1" s="1"/>
  <c r="S1705" i="1"/>
  <c r="AF1705" i="1" s="1"/>
  <c r="K1705" i="1"/>
  <c r="X1705" i="1" s="1"/>
  <c r="R1705" i="1"/>
  <c r="AE1705" i="1" s="1"/>
  <c r="Q1705" i="1"/>
  <c r="AD1705" i="1" s="1"/>
  <c r="P1705" i="1"/>
  <c r="AC1705" i="1" s="1"/>
  <c r="O1705" i="1"/>
  <c r="AB1705" i="1" s="1"/>
  <c r="U1577" i="1"/>
  <c r="AH1577" i="1" s="1"/>
  <c r="M1577" i="1"/>
  <c r="Z1577" i="1" s="1"/>
  <c r="T1577" i="1"/>
  <c r="AG1577" i="1" s="1"/>
  <c r="L1577" i="1"/>
  <c r="Y1577" i="1" s="1"/>
  <c r="S1577" i="1"/>
  <c r="AF1577" i="1" s="1"/>
  <c r="K1577" i="1"/>
  <c r="X1577" i="1" s="1"/>
  <c r="R1577" i="1"/>
  <c r="AE1577" i="1" s="1"/>
  <c r="Q1577" i="1"/>
  <c r="AD1577" i="1" s="1"/>
  <c r="P1577" i="1"/>
  <c r="AC1577" i="1" s="1"/>
  <c r="V1577" i="1"/>
  <c r="AI1577" i="1" s="1"/>
  <c r="N1577" i="1"/>
  <c r="AA1577" i="1" s="1"/>
  <c r="O1577" i="1"/>
  <c r="AB1577" i="1" s="1"/>
  <c r="T1628" i="1"/>
  <c r="AG1628" i="1" s="1"/>
  <c r="L1628" i="1"/>
  <c r="Y1628" i="1" s="1"/>
  <c r="R1628" i="1"/>
  <c r="AE1628" i="1" s="1"/>
  <c r="Q1628" i="1"/>
  <c r="AD1628" i="1" s="1"/>
  <c r="O1628" i="1"/>
  <c r="AB1628" i="1" s="1"/>
  <c r="U1628" i="1"/>
  <c r="AH1628" i="1" s="1"/>
  <c r="M1628" i="1"/>
  <c r="Z1628" i="1" s="1"/>
  <c r="V1628" i="1"/>
  <c r="AI1628" i="1" s="1"/>
  <c r="S1628" i="1"/>
  <c r="AF1628" i="1" s="1"/>
  <c r="P1628" i="1"/>
  <c r="AC1628" i="1" s="1"/>
  <c r="N1628" i="1"/>
  <c r="AA1628" i="1" s="1"/>
  <c r="K1628" i="1"/>
  <c r="X1628" i="1" s="1"/>
  <c r="U1671" i="1"/>
  <c r="AH1671" i="1" s="1"/>
  <c r="M1671" i="1"/>
  <c r="Z1671" i="1" s="1"/>
  <c r="T1671" i="1"/>
  <c r="AG1671" i="1" s="1"/>
  <c r="L1671" i="1"/>
  <c r="Y1671" i="1" s="1"/>
  <c r="S1671" i="1"/>
  <c r="AF1671" i="1" s="1"/>
  <c r="K1671" i="1"/>
  <c r="X1671" i="1" s="1"/>
  <c r="R1671" i="1"/>
  <c r="AE1671" i="1" s="1"/>
  <c r="Q1671" i="1"/>
  <c r="AD1671" i="1" s="1"/>
  <c r="P1671" i="1"/>
  <c r="AC1671" i="1" s="1"/>
  <c r="V1671" i="1"/>
  <c r="AI1671" i="1" s="1"/>
  <c r="O1671" i="1"/>
  <c r="AB1671" i="1" s="1"/>
  <c r="N1671" i="1"/>
  <c r="AA1671" i="1" s="1"/>
  <c r="S1555" i="1"/>
  <c r="AF1555" i="1" s="1"/>
  <c r="K1555" i="1"/>
  <c r="X1555" i="1" s="1"/>
  <c r="R1555" i="1"/>
  <c r="AE1555" i="1" s="1"/>
  <c r="Q1555" i="1"/>
  <c r="AD1555" i="1" s="1"/>
  <c r="P1555" i="1"/>
  <c r="AC1555" i="1" s="1"/>
  <c r="V1555" i="1"/>
  <c r="AI1555" i="1" s="1"/>
  <c r="N1555" i="1"/>
  <c r="AA1555" i="1" s="1"/>
  <c r="U1555" i="1"/>
  <c r="AH1555" i="1" s="1"/>
  <c r="T1555" i="1"/>
  <c r="AG1555" i="1" s="1"/>
  <c r="O1555" i="1"/>
  <c r="AB1555" i="1" s="1"/>
  <c r="M1555" i="1"/>
  <c r="Z1555" i="1" s="1"/>
  <c r="L1555" i="1"/>
  <c r="Y1555" i="1" s="1"/>
  <c r="T1447" i="1"/>
  <c r="AG1447" i="1" s="1"/>
  <c r="L1447" i="1"/>
  <c r="Y1447" i="1" s="1"/>
  <c r="S1447" i="1"/>
  <c r="AF1447" i="1" s="1"/>
  <c r="K1447" i="1"/>
  <c r="X1447" i="1" s="1"/>
  <c r="R1447" i="1"/>
  <c r="AE1447" i="1" s="1"/>
  <c r="Q1447" i="1"/>
  <c r="AD1447" i="1" s="1"/>
  <c r="P1447" i="1"/>
  <c r="AC1447" i="1" s="1"/>
  <c r="O1447" i="1"/>
  <c r="AB1447" i="1" s="1"/>
  <c r="V1447" i="1"/>
  <c r="AI1447" i="1" s="1"/>
  <c r="U1447" i="1"/>
  <c r="AH1447" i="1" s="1"/>
  <c r="N1447" i="1"/>
  <c r="AA1447" i="1" s="1"/>
  <c r="M1447" i="1"/>
  <c r="Z1447" i="1" s="1"/>
  <c r="S1383" i="1"/>
  <c r="AF1383" i="1" s="1"/>
  <c r="K1383" i="1"/>
  <c r="X1383" i="1" s="1"/>
  <c r="R1383" i="1"/>
  <c r="AE1383" i="1" s="1"/>
  <c r="Q1383" i="1"/>
  <c r="AD1383" i="1" s="1"/>
  <c r="P1383" i="1"/>
  <c r="AC1383" i="1" s="1"/>
  <c r="O1383" i="1"/>
  <c r="AB1383" i="1" s="1"/>
  <c r="V1383" i="1"/>
  <c r="AI1383" i="1" s="1"/>
  <c r="N1383" i="1"/>
  <c r="AA1383" i="1" s="1"/>
  <c r="U1383" i="1"/>
  <c r="AH1383" i="1" s="1"/>
  <c r="M1383" i="1"/>
  <c r="Z1383" i="1" s="1"/>
  <c r="T1383" i="1"/>
  <c r="AG1383" i="1" s="1"/>
  <c r="L1383" i="1"/>
  <c r="Y1383" i="1" s="1"/>
  <c r="O1560" i="1"/>
  <c r="AB1560" i="1" s="1"/>
  <c r="V1560" i="1"/>
  <c r="AI1560" i="1" s="1"/>
  <c r="N1560" i="1"/>
  <c r="AA1560" i="1" s="1"/>
  <c r="U1560" i="1"/>
  <c r="AH1560" i="1" s="1"/>
  <c r="M1560" i="1"/>
  <c r="Z1560" i="1" s="1"/>
  <c r="T1560" i="1"/>
  <c r="AG1560" i="1" s="1"/>
  <c r="L1560" i="1"/>
  <c r="Y1560" i="1" s="1"/>
  <c r="R1560" i="1"/>
  <c r="AE1560" i="1" s="1"/>
  <c r="S1560" i="1"/>
  <c r="AF1560" i="1" s="1"/>
  <c r="Q1560" i="1"/>
  <c r="AD1560" i="1" s="1"/>
  <c r="P1560" i="1"/>
  <c r="AC1560" i="1" s="1"/>
  <c r="K1560" i="1"/>
  <c r="X1560" i="1" s="1"/>
  <c r="T1038" i="1"/>
  <c r="AG1038" i="1" s="1"/>
  <c r="L1038" i="1"/>
  <c r="Y1038" i="1" s="1"/>
  <c r="S1038" i="1"/>
  <c r="AF1038" i="1" s="1"/>
  <c r="K1038" i="1"/>
  <c r="X1038" i="1" s="1"/>
  <c r="R1038" i="1"/>
  <c r="AE1038" i="1" s="1"/>
  <c r="Q1038" i="1"/>
  <c r="AD1038" i="1" s="1"/>
  <c r="P1038" i="1"/>
  <c r="AC1038" i="1" s="1"/>
  <c r="O1038" i="1"/>
  <c r="AB1038" i="1" s="1"/>
  <c r="M1038" i="1"/>
  <c r="Z1038" i="1" s="1"/>
  <c r="V1038" i="1"/>
  <c r="AI1038" i="1" s="1"/>
  <c r="N1038" i="1"/>
  <c r="AA1038" i="1" s="1"/>
  <c r="U1038" i="1"/>
  <c r="AH1038" i="1" s="1"/>
  <c r="S636" i="1"/>
  <c r="AF636" i="1" s="1"/>
  <c r="K636" i="1"/>
  <c r="X636" i="1" s="1"/>
  <c r="R636" i="1"/>
  <c r="AE636" i="1" s="1"/>
  <c r="Q636" i="1"/>
  <c r="AD636" i="1" s="1"/>
  <c r="P636" i="1"/>
  <c r="AC636" i="1" s="1"/>
  <c r="O636" i="1"/>
  <c r="AB636" i="1" s="1"/>
  <c r="V636" i="1"/>
  <c r="AI636" i="1" s="1"/>
  <c r="N636" i="1"/>
  <c r="AA636" i="1" s="1"/>
  <c r="T636" i="1"/>
  <c r="AG636" i="1" s="1"/>
  <c r="L636" i="1"/>
  <c r="Y636" i="1" s="1"/>
  <c r="U636" i="1"/>
  <c r="AH636" i="1" s="1"/>
  <c r="M636" i="1"/>
  <c r="Z636" i="1" s="1"/>
  <c r="R79" i="1"/>
  <c r="AE79" i="1" s="1"/>
  <c r="Q79" i="1"/>
  <c r="AD79" i="1" s="1"/>
  <c r="P79" i="1"/>
  <c r="AC79" i="1" s="1"/>
  <c r="O79" i="1"/>
  <c r="AB79" i="1" s="1"/>
  <c r="V79" i="1"/>
  <c r="AI79" i="1" s="1"/>
  <c r="N79" i="1"/>
  <c r="AA79" i="1" s="1"/>
  <c r="U79" i="1"/>
  <c r="AH79" i="1" s="1"/>
  <c r="M79" i="1"/>
  <c r="Z79" i="1" s="1"/>
  <c r="S79" i="1"/>
  <c r="AF79" i="1" s="1"/>
  <c r="K79" i="1"/>
  <c r="X79" i="1" s="1"/>
  <c r="T79" i="1"/>
  <c r="AG79" i="1" s="1"/>
  <c r="L79" i="1"/>
  <c r="Y79" i="1" s="1"/>
  <c r="Q875" i="1"/>
  <c r="AD875" i="1" s="1"/>
  <c r="P875" i="1"/>
  <c r="AC875" i="1" s="1"/>
  <c r="O875" i="1"/>
  <c r="AB875" i="1" s="1"/>
  <c r="V875" i="1"/>
  <c r="AI875" i="1" s="1"/>
  <c r="N875" i="1"/>
  <c r="AA875" i="1" s="1"/>
  <c r="U875" i="1"/>
  <c r="AH875" i="1" s="1"/>
  <c r="M875" i="1"/>
  <c r="Z875" i="1" s="1"/>
  <c r="T875" i="1"/>
  <c r="AG875" i="1" s="1"/>
  <c r="L875" i="1"/>
  <c r="Y875" i="1" s="1"/>
  <c r="R875" i="1"/>
  <c r="AE875" i="1" s="1"/>
  <c r="S875" i="1"/>
  <c r="AF875" i="1" s="1"/>
  <c r="K875" i="1"/>
  <c r="X875" i="1" s="1"/>
  <c r="P987" i="1"/>
  <c r="AC987" i="1" s="1"/>
  <c r="O987" i="1"/>
  <c r="AB987" i="1" s="1"/>
  <c r="V987" i="1"/>
  <c r="AI987" i="1" s="1"/>
  <c r="N987" i="1"/>
  <c r="AA987" i="1" s="1"/>
  <c r="U987" i="1"/>
  <c r="AH987" i="1" s="1"/>
  <c r="M987" i="1"/>
  <c r="Z987" i="1" s="1"/>
  <c r="T987" i="1"/>
  <c r="AG987" i="1" s="1"/>
  <c r="L987" i="1"/>
  <c r="Y987" i="1" s="1"/>
  <c r="S987" i="1"/>
  <c r="AF987" i="1" s="1"/>
  <c r="K987" i="1"/>
  <c r="X987" i="1" s="1"/>
  <c r="Q987" i="1"/>
  <c r="AD987" i="1" s="1"/>
  <c r="R987" i="1"/>
  <c r="AE987" i="1" s="1"/>
  <c r="S568" i="1"/>
  <c r="AF568" i="1" s="1"/>
  <c r="K568" i="1"/>
  <c r="X568" i="1" s="1"/>
  <c r="R568" i="1"/>
  <c r="AE568" i="1" s="1"/>
  <c r="Q568" i="1"/>
  <c r="AD568" i="1" s="1"/>
  <c r="P568" i="1"/>
  <c r="AC568" i="1" s="1"/>
  <c r="O568" i="1"/>
  <c r="AB568" i="1" s="1"/>
  <c r="V568" i="1"/>
  <c r="AI568" i="1" s="1"/>
  <c r="N568" i="1"/>
  <c r="AA568" i="1" s="1"/>
  <c r="T568" i="1"/>
  <c r="AG568" i="1" s="1"/>
  <c r="L568" i="1"/>
  <c r="Y568" i="1" s="1"/>
  <c r="U568" i="1"/>
  <c r="AH568" i="1" s="1"/>
  <c r="M568" i="1"/>
  <c r="Z568" i="1" s="1"/>
  <c r="Q900" i="1"/>
  <c r="AD900" i="1" s="1"/>
  <c r="V900" i="1"/>
  <c r="AI900" i="1" s="1"/>
  <c r="N900" i="1"/>
  <c r="AA900" i="1" s="1"/>
  <c r="T900" i="1"/>
  <c r="AG900" i="1" s="1"/>
  <c r="L900" i="1"/>
  <c r="Y900" i="1" s="1"/>
  <c r="O900" i="1"/>
  <c r="AB900" i="1" s="1"/>
  <c r="M900" i="1"/>
  <c r="Z900" i="1" s="1"/>
  <c r="K900" i="1"/>
  <c r="X900" i="1" s="1"/>
  <c r="U900" i="1"/>
  <c r="AH900" i="1" s="1"/>
  <c r="S900" i="1"/>
  <c r="AF900" i="1" s="1"/>
  <c r="P900" i="1"/>
  <c r="AC900" i="1" s="1"/>
  <c r="R900" i="1"/>
  <c r="AE900" i="1" s="1"/>
  <c r="O1414" i="1"/>
  <c r="AB1414" i="1" s="1"/>
  <c r="V1414" i="1"/>
  <c r="AI1414" i="1" s="1"/>
  <c r="N1414" i="1"/>
  <c r="AA1414" i="1" s="1"/>
  <c r="U1414" i="1"/>
  <c r="AH1414" i="1" s="1"/>
  <c r="M1414" i="1"/>
  <c r="Z1414" i="1" s="1"/>
  <c r="T1414" i="1"/>
  <c r="AG1414" i="1" s="1"/>
  <c r="L1414" i="1"/>
  <c r="Y1414" i="1" s="1"/>
  <c r="S1414" i="1"/>
  <c r="AF1414" i="1" s="1"/>
  <c r="K1414" i="1"/>
  <c r="X1414" i="1" s="1"/>
  <c r="R1414" i="1"/>
  <c r="AE1414" i="1" s="1"/>
  <c r="Q1414" i="1"/>
  <c r="AD1414" i="1" s="1"/>
  <c r="P1414" i="1"/>
  <c r="AC1414" i="1" s="1"/>
  <c r="Q910" i="1"/>
  <c r="AD910" i="1" s="1"/>
  <c r="V910" i="1"/>
  <c r="AI910" i="1" s="1"/>
  <c r="N910" i="1"/>
  <c r="AA910" i="1" s="1"/>
  <c r="T910" i="1"/>
  <c r="AG910" i="1" s="1"/>
  <c r="L910" i="1"/>
  <c r="Y910" i="1" s="1"/>
  <c r="U910" i="1"/>
  <c r="AH910" i="1" s="1"/>
  <c r="S910" i="1"/>
  <c r="AF910" i="1" s="1"/>
  <c r="R910" i="1"/>
  <c r="AE910" i="1" s="1"/>
  <c r="P910" i="1"/>
  <c r="AC910" i="1" s="1"/>
  <c r="O910" i="1"/>
  <c r="AB910" i="1" s="1"/>
  <c r="K910" i="1"/>
  <c r="X910" i="1" s="1"/>
  <c r="M910" i="1"/>
  <c r="Z910" i="1" s="1"/>
  <c r="V390" i="1"/>
  <c r="AI390" i="1" s="1"/>
  <c r="N390" i="1"/>
  <c r="AA390" i="1" s="1"/>
  <c r="T390" i="1"/>
  <c r="AG390" i="1" s="1"/>
  <c r="L390" i="1"/>
  <c r="Y390" i="1" s="1"/>
  <c r="R390" i="1"/>
  <c r="AE390" i="1" s="1"/>
  <c r="Q390" i="1"/>
  <c r="AD390" i="1" s="1"/>
  <c r="O390" i="1"/>
  <c r="AB390" i="1" s="1"/>
  <c r="U390" i="1"/>
  <c r="AH390" i="1" s="1"/>
  <c r="S390" i="1"/>
  <c r="AF390" i="1" s="1"/>
  <c r="P390" i="1"/>
  <c r="AC390" i="1" s="1"/>
  <c r="M390" i="1"/>
  <c r="Z390" i="1" s="1"/>
  <c r="K390" i="1"/>
  <c r="X390" i="1" s="1"/>
  <c r="R95" i="1"/>
  <c r="AE95" i="1" s="1"/>
  <c r="Q95" i="1"/>
  <c r="AD95" i="1" s="1"/>
  <c r="P95" i="1"/>
  <c r="AC95" i="1" s="1"/>
  <c r="O95" i="1"/>
  <c r="AB95" i="1" s="1"/>
  <c r="V95" i="1"/>
  <c r="AI95" i="1" s="1"/>
  <c r="N95" i="1"/>
  <c r="AA95" i="1" s="1"/>
  <c r="U95" i="1"/>
  <c r="AH95" i="1" s="1"/>
  <c r="M95" i="1"/>
  <c r="Z95" i="1" s="1"/>
  <c r="S95" i="1"/>
  <c r="AF95" i="1" s="1"/>
  <c r="K95" i="1"/>
  <c r="X95" i="1" s="1"/>
  <c r="T95" i="1"/>
  <c r="AG95" i="1" s="1"/>
  <c r="L95" i="1"/>
  <c r="Y95" i="1" s="1"/>
  <c r="V430" i="1"/>
  <c r="AI430" i="1" s="1"/>
  <c r="N430" i="1"/>
  <c r="AA430" i="1" s="1"/>
  <c r="T430" i="1"/>
  <c r="AG430" i="1" s="1"/>
  <c r="L430" i="1"/>
  <c r="Y430" i="1" s="1"/>
  <c r="S430" i="1"/>
  <c r="AF430" i="1" s="1"/>
  <c r="K430" i="1"/>
  <c r="X430" i="1" s="1"/>
  <c r="R430" i="1"/>
  <c r="AE430" i="1" s="1"/>
  <c r="Q430" i="1"/>
  <c r="AD430" i="1" s="1"/>
  <c r="O430" i="1"/>
  <c r="AB430" i="1" s="1"/>
  <c r="U430" i="1"/>
  <c r="AH430" i="1" s="1"/>
  <c r="P430" i="1"/>
  <c r="AC430" i="1" s="1"/>
  <c r="M430" i="1"/>
  <c r="Z430" i="1" s="1"/>
  <c r="P1098" i="1"/>
  <c r="AC1098" i="1" s="1"/>
  <c r="O1098" i="1"/>
  <c r="AB1098" i="1" s="1"/>
  <c r="V1098" i="1"/>
  <c r="AI1098" i="1" s="1"/>
  <c r="N1098" i="1"/>
  <c r="AA1098" i="1" s="1"/>
  <c r="U1098" i="1"/>
  <c r="AH1098" i="1" s="1"/>
  <c r="M1098" i="1"/>
  <c r="Z1098" i="1" s="1"/>
  <c r="T1098" i="1"/>
  <c r="AG1098" i="1" s="1"/>
  <c r="L1098" i="1"/>
  <c r="Y1098" i="1" s="1"/>
  <c r="S1098" i="1"/>
  <c r="AF1098" i="1" s="1"/>
  <c r="K1098" i="1"/>
  <c r="X1098" i="1" s="1"/>
  <c r="R1098" i="1"/>
  <c r="AE1098" i="1" s="1"/>
  <c r="Q1098" i="1"/>
  <c r="AD1098" i="1" s="1"/>
  <c r="P999" i="1"/>
  <c r="AC999" i="1" s="1"/>
  <c r="O999" i="1"/>
  <c r="AB999" i="1" s="1"/>
  <c r="V999" i="1"/>
  <c r="AI999" i="1" s="1"/>
  <c r="N999" i="1"/>
  <c r="AA999" i="1" s="1"/>
  <c r="U999" i="1"/>
  <c r="AH999" i="1" s="1"/>
  <c r="M999" i="1"/>
  <c r="Z999" i="1" s="1"/>
  <c r="T999" i="1"/>
  <c r="AG999" i="1" s="1"/>
  <c r="L999" i="1"/>
  <c r="Y999" i="1" s="1"/>
  <c r="S999" i="1"/>
  <c r="AF999" i="1" s="1"/>
  <c r="K999" i="1"/>
  <c r="X999" i="1" s="1"/>
  <c r="R999" i="1"/>
  <c r="AE999" i="1" s="1"/>
  <c r="Q999" i="1"/>
  <c r="AD999" i="1" s="1"/>
  <c r="S576" i="1"/>
  <c r="AF576" i="1" s="1"/>
  <c r="K576" i="1"/>
  <c r="X576" i="1" s="1"/>
  <c r="R576" i="1"/>
  <c r="AE576" i="1" s="1"/>
  <c r="Q576" i="1"/>
  <c r="AD576" i="1" s="1"/>
  <c r="P576" i="1"/>
  <c r="AC576" i="1" s="1"/>
  <c r="O576" i="1"/>
  <c r="AB576" i="1" s="1"/>
  <c r="V576" i="1"/>
  <c r="AI576" i="1" s="1"/>
  <c r="N576" i="1"/>
  <c r="AA576" i="1" s="1"/>
  <c r="T576" i="1"/>
  <c r="AG576" i="1" s="1"/>
  <c r="L576" i="1"/>
  <c r="Y576" i="1" s="1"/>
  <c r="M576" i="1"/>
  <c r="Z576" i="1" s="1"/>
  <c r="U576" i="1"/>
  <c r="AH576" i="1" s="1"/>
  <c r="V255" i="1"/>
  <c r="AI255" i="1" s="1"/>
  <c r="N255" i="1"/>
  <c r="AA255" i="1" s="1"/>
  <c r="U255" i="1"/>
  <c r="AH255" i="1" s="1"/>
  <c r="M255" i="1"/>
  <c r="Z255" i="1" s="1"/>
  <c r="T255" i="1"/>
  <c r="AG255" i="1" s="1"/>
  <c r="L255" i="1"/>
  <c r="Y255" i="1" s="1"/>
  <c r="S255" i="1"/>
  <c r="AF255" i="1" s="1"/>
  <c r="K255" i="1"/>
  <c r="X255" i="1" s="1"/>
  <c r="R255" i="1"/>
  <c r="AE255" i="1" s="1"/>
  <c r="Q255" i="1"/>
  <c r="AD255" i="1" s="1"/>
  <c r="O255" i="1"/>
  <c r="AB255" i="1" s="1"/>
  <c r="P255" i="1"/>
  <c r="AC255" i="1" s="1"/>
  <c r="T1125" i="1"/>
  <c r="AG1125" i="1" s="1"/>
  <c r="L1125" i="1"/>
  <c r="Y1125" i="1" s="1"/>
  <c r="S1125" i="1"/>
  <c r="AF1125" i="1" s="1"/>
  <c r="K1125" i="1"/>
  <c r="X1125" i="1" s="1"/>
  <c r="R1125" i="1"/>
  <c r="AE1125" i="1" s="1"/>
  <c r="Q1125" i="1"/>
  <c r="AD1125" i="1" s="1"/>
  <c r="P1125" i="1"/>
  <c r="AC1125" i="1" s="1"/>
  <c r="O1125" i="1"/>
  <c r="AB1125" i="1" s="1"/>
  <c r="V1125" i="1"/>
  <c r="AI1125" i="1" s="1"/>
  <c r="N1125" i="1"/>
  <c r="AA1125" i="1" s="1"/>
  <c r="U1125" i="1"/>
  <c r="AH1125" i="1" s="1"/>
  <c r="M1125" i="1"/>
  <c r="Z1125" i="1" s="1"/>
  <c r="T1115" i="1"/>
  <c r="AG1115" i="1" s="1"/>
  <c r="L1115" i="1"/>
  <c r="Y1115" i="1" s="1"/>
  <c r="S1115" i="1"/>
  <c r="AF1115" i="1" s="1"/>
  <c r="K1115" i="1"/>
  <c r="X1115" i="1" s="1"/>
  <c r="R1115" i="1"/>
  <c r="AE1115" i="1" s="1"/>
  <c r="Q1115" i="1"/>
  <c r="AD1115" i="1" s="1"/>
  <c r="P1115" i="1"/>
  <c r="AC1115" i="1" s="1"/>
  <c r="O1115" i="1"/>
  <c r="AB1115" i="1" s="1"/>
  <c r="V1115" i="1"/>
  <c r="AI1115" i="1" s="1"/>
  <c r="N1115" i="1"/>
  <c r="AA1115" i="1" s="1"/>
  <c r="U1115" i="1"/>
  <c r="AH1115" i="1" s="1"/>
  <c r="M1115" i="1"/>
  <c r="Z1115" i="1" s="1"/>
  <c r="Q920" i="1"/>
  <c r="AD920" i="1" s="1"/>
  <c r="V920" i="1"/>
  <c r="AI920" i="1" s="1"/>
  <c r="N920" i="1"/>
  <c r="AA920" i="1" s="1"/>
  <c r="T920" i="1"/>
  <c r="AG920" i="1" s="1"/>
  <c r="L920" i="1"/>
  <c r="Y920" i="1" s="1"/>
  <c r="R920" i="1"/>
  <c r="AE920" i="1" s="1"/>
  <c r="P920" i="1"/>
  <c r="AC920" i="1" s="1"/>
  <c r="O920" i="1"/>
  <c r="AB920" i="1" s="1"/>
  <c r="M920" i="1"/>
  <c r="Z920" i="1" s="1"/>
  <c r="K920" i="1"/>
  <c r="X920" i="1" s="1"/>
  <c r="S920" i="1"/>
  <c r="AF920" i="1" s="1"/>
  <c r="U920" i="1"/>
  <c r="AH920" i="1" s="1"/>
  <c r="P997" i="1"/>
  <c r="AC997" i="1" s="1"/>
  <c r="O997" i="1"/>
  <c r="AB997" i="1" s="1"/>
  <c r="V997" i="1"/>
  <c r="AI997" i="1" s="1"/>
  <c r="N997" i="1"/>
  <c r="AA997" i="1" s="1"/>
  <c r="U997" i="1"/>
  <c r="AH997" i="1" s="1"/>
  <c r="M997" i="1"/>
  <c r="Z997" i="1" s="1"/>
  <c r="T997" i="1"/>
  <c r="AG997" i="1" s="1"/>
  <c r="L997" i="1"/>
  <c r="Y997" i="1" s="1"/>
  <c r="S997" i="1"/>
  <c r="AF997" i="1" s="1"/>
  <c r="K997" i="1"/>
  <c r="X997" i="1" s="1"/>
  <c r="R997" i="1"/>
  <c r="AE997" i="1" s="1"/>
  <c r="Q997" i="1"/>
  <c r="AD997" i="1" s="1"/>
  <c r="S588" i="1"/>
  <c r="AF588" i="1" s="1"/>
  <c r="K588" i="1"/>
  <c r="X588" i="1" s="1"/>
  <c r="R588" i="1"/>
  <c r="AE588" i="1" s="1"/>
  <c r="Q588" i="1"/>
  <c r="AD588" i="1" s="1"/>
  <c r="P588" i="1"/>
  <c r="AC588" i="1" s="1"/>
  <c r="O588" i="1"/>
  <c r="AB588" i="1" s="1"/>
  <c r="V588" i="1"/>
  <c r="AI588" i="1" s="1"/>
  <c r="N588" i="1"/>
  <c r="AA588" i="1" s="1"/>
  <c r="T588" i="1"/>
  <c r="AG588" i="1" s="1"/>
  <c r="L588" i="1"/>
  <c r="Y588" i="1" s="1"/>
  <c r="U588" i="1"/>
  <c r="AH588" i="1" s="1"/>
  <c r="M588" i="1"/>
  <c r="Z588" i="1" s="1"/>
  <c r="V354" i="1"/>
  <c r="AI354" i="1" s="1"/>
  <c r="N354" i="1"/>
  <c r="AA354" i="1" s="1"/>
  <c r="T354" i="1"/>
  <c r="AG354" i="1" s="1"/>
  <c r="L354" i="1"/>
  <c r="Y354" i="1" s="1"/>
  <c r="R354" i="1"/>
  <c r="AE354" i="1" s="1"/>
  <c r="Q354" i="1"/>
  <c r="AD354" i="1" s="1"/>
  <c r="O354" i="1"/>
  <c r="AB354" i="1" s="1"/>
  <c r="U354" i="1"/>
  <c r="AH354" i="1" s="1"/>
  <c r="S354" i="1"/>
  <c r="AF354" i="1" s="1"/>
  <c r="P354" i="1"/>
  <c r="AC354" i="1" s="1"/>
  <c r="M354" i="1"/>
  <c r="Z354" i="1" s="1"/>
  <c r="K354" i="1"/>
  <c r="X354" i="1" s="1"/>
  <c r="R111" i="1"/>
  <c r="AE111" i="1" s="1"/>
  <c r="Q111" i="1"/>
  <c r="AD111" i="1" s="1"/>
  <c r="P111" i="1"/>
  <c r="AC111" i="1" s="1"/>
  <c r="O111" i="1"/>
  <c r="AB111" i="1" s="1"/>
  <c r="V111" i="1"/>
  <c r="AI111" i="1" s="1"/>
  <c r="N111" i="1"/>
  <c r="AA111" i="1" s="1"/>
  <c r="U111" i="1"/>
  <c r="AH111" i="1" s="1"/>
  <c r="M111" i="1"/>
  <c r="Z111" i="1" s="1"/>
  <c r="S111" i="1"/>
  <c r="AF111" i="1" s="1"/>
  <c r="K111" i="1"/>
  <c r="X111" i="1" s="1"/>
  <c r="T111" i="1"/>
  <c r="AG111" i="1" s="1"/>
  <c r="L111" i="1"/>
  <c r="Y111" i="1" s="1"/>
  <c r="V241" i="1"/>
  <c r="AI241" i="1" s="1"/>
  <c r="N241" i="1"/>
  <c r="AA241" i="1" s="1"/>
  <c r="U241" i="1"/>
  <c r="AH241" i="1" s="1"/>
  <c r="M241" i="1"/>
  <c r="Z241" i="1" s="1"/>
  <c r="T241" i="1"/>
  <c r="AG241" i="1" s="1"/>
  <c r="L241" i="1"/>
  <c r="Y241" i="1" s="1"/>
  <c r="S241" i="1"/>
  <c r="AF241" i="1" s="1"/>
  <c r="K241" i="1"/>
  <c r="X241" i="1" s="1"/>
  <c r="Q241" i="1"/>
  <c r="AD241" i="1" s="1"/>
  <c r="O241" i="1"/>
  <c r="AB241" i="1" s="1"/>
  <c r="R241" i="1"/>
  <c r="AE241" i="1" s="1"/>
  <c r="P241" i="1"/>
  <c r="AC241" i="1" s="1"/>
  <c r="R306" i="1"/>
  <c r="AE306" i="1" s="1"/>
  <c r="Q306" i="1"/>
  <c r="AD306" i="1" s="1"/>
  <c r="P306" i="1"/>
  <c r="AC306" i="1" s="1"/>
  <c r="O306" i="1"/>
  <c r="AB306" i="1" s="1"/>
  <c r="V306" i="1"/>
  <c r="AI306" i="1" s="1"/>
  <c r="N306" i="1"/>
  <c r="AA306" i="1" s="1"/>
  <c r="U306" i="1"/>
  <c r="AH306" i="1" s="1"/>
  <c r="M306" i="1"/>
  <c r="Z306" i="1" s="1"/>
  <c r="S306" i="1"/>
  <c r="AF306" i="1" s="1"/>
  <c r="K306" i="1"/>
  <c r="X306" i="1" s="1"/>
  <c r="T306" i="1"/>
  <c r="AG306" i="1" s="1"/>
  <c r="L306" i="1"/>
  <c r="Y306" i="1" s="1"/>
  <c r="P1269" i="1"/>
  <c r="AC1269" i="1" s="1"/>
  <c r="N1269" i="1"/>
  <c r="AA1269" i="1" s="1"/>
  <c r="N1179" i="1"/>
  <c r="AA1179" i="1" s="1"/>
  <c r="N1119" i="1"/>
  <c r="AA1119" i="1" s="1"/>
  <c r="L1119" i="1"/>
  <c r="Y1119" i="1" s="1"/>
  <c r="K852" i="1"/>
  <c r="X852" i="1" s="1"/>
  <c r="N1091" i="1"/>
  <c r="AA1091" i="1" s="1"/>
  <c r="L1091" i="1"/>
  <c r="Y1091" i="1" s="1"/>
  <c r="K874" i="1"/>
  <c r="X874" i="1" s="1"/>
  <c r="M751" i="1"/>
  <c r="Z751" i="1" s="1"/>
  <c r="M1155" i="1"/>
  <c r="Z1155" i="1" s="1"/>
  <c r="S1155" i="1"/>
  <c r="AF1155" i="1" s="1"/>
  <c r="O116" i="1"/>
  <c r="AB116" i="1" s="1"/>
  <c r="K1214" i="1"/>
  <c r="X1214" i="1" s="1"/>
  <c r="Q1376" i="1"/>
  <c r="AD1376" i="1" s="1"/>
  <c r="P1337" i="1"/>
  <c r="AC1337" i="1" s="1"/>
  <c r="M1193" i="1"/>
  <c r="Z1193" i="1" s="1"/>
  <c r="K1246" i="1"/>
  <c r="X1246" i="1" s="1"/>
  <c r="K1183" i="1"/>
  <c r="X1183" i="1" s="1"/>
  <c r="O1183" i="1"/>
  <c r="AB1183" i="1" s="1"/>
  <c r="R1292" i="1"/>
  <c r="AE1292" i="1" s="1"/>
  <c r="Q1292" i="1"/>
  <c r="AD1292" i="1" s="1"/>
  <c r="O1292" i="1"/>
  <c r="AB1292" i="1" s="1"/>
  <c r="V1292" i="1"/>
  <c r="AI1292" i="1" s="1"/>
  <c r="N1292" i="1"/>
  <c r="AA1292" i="1" s="1"/>
  <c r="U1292" i="1"/>
  <c r="AH1292" i="1" s="1"/>
  <c r="M1292" i="1"/>
  <c r="Z1292" i="1" s="1"/>
  <c r="T1292" i="1"/>
  <c r="AG1292" i="1" s="1"/>
  <c r="S1292" i="1"/>
  <c r="AF1292" i="1" s="1"/>
  <c r="P1292" i="1"/>
  <c r="AC1292" i="1" s="1"/>
  <c r="L1292" i="1"/>
  <c r="Y1292" i="1" s="1"/>
  <c r="K1292" i="1"/>
  <c r="X1292" i="1" s="1"/>
  <c r="N1216" i="1"/>
  <c r="AA1216" i="1" s="1"/>
  <c r="L1184" i="1"/>
  <c r="Y1184" i="1" s="1"/>
  <c r="K1152" i="1"/>
  <c r="X1152" i="1" s="1"/>
  <c r="O1152" i="1"/>
  <c r="AB1152" i="1" s="1"/>
  <c r="M1258" i="1"/>
  <c r="Z1258" i="1" s="1"/>
  <c r="K946" i="1"/>
  <c r="X946" i="1" s="1"/>
  <c r="S857" i="1"/>
  <c r="AF857" i="1" s="1"/>
  <c r="O857" i="1"/>
  <c r="AB857" i="1" s="1"/>
  <c r="L963" i="1"/>
  <c r="Y963" i="1" s="1"/>
  <c r="L879" i="1"/>
  <c r="Y879" i="1" s="1"/>
  <c r="R830" i="1"/>
  <c r="AE830" i="1" s="1"/>
  <c r="M932" i="1"/>
  <c r="Z932" i="1" s="1"/>
  <c r="N878" i="1"/>
  <c r="AA878" i="1" s="1"/>
  <c r="M878" i="1"/>
  <c r="Z878" i="1" s="1"/>
  <c r="M753" i="1"/>
  <c r="Z753" i="1" s="1"/>
  <c r="M843" i="1"/>
  <c r="Z843" i="1" s="1"/>
  <c r="R726" i="1"/>
  <c r="AE726" i="1" s="1"/>
  <c r="M741" i="1"/>
  <c r="Z741" i="1" s="1"/>
  <c r="O399" i="1"/>
  <c r="AB399" i="1" s="1"/>
  <c r="M465" i="1"/>
  <c r="Z465" i="1" s="1"/>
  <c r="L479" i="1"/>
  <c r="Y479" i="1" s="1"/>
  <c r="O479" i="1"/>
  <c r="AB479" i="1" s="1"/>
  <c r="L280" i="1"/>
  <c r="Y280" i="1" s="1"/>
  <c r="O280" i="1"/>
  <c r="AB280" i="1" s="1"/>
  <c r="N204" i="1"/>
  <c r="AA204" i="1" s="1"/>
  <c r="M135" i="1"/>
  <c r="Z135" i="1" s="1"/>
  <c r="K114" i="1"/>
  <c r="X114" i="1" s="1"/>
  <c r="U876" i="1"/>
  <c r="AH876" i="1" s="1"/>
  <c r="M876" i="1"/>
  <c r="Z876" i="1" s="1"/>
  <c r="T876" i="1"/>
  <c r="AG876" i="1" s="1"/>
  <c r="L876" i="1"/>
  <c r="Y876" i="1" s="1"/>
  <c r="S876" i="1"/>
  <c r="AF876" i="1" s="1"/>
  <c r="K876" i="1"/>
  <c r="X876" i="1" s="1"/>
  <c r="R876" i="1"/>
  <c r="AE876" i="1" s="1"/>
  <c r="Q876" i="1"/>
  <c r="AD876" i="1" s="1"/>
  <c r="P876" i="1"/>
  <c r="AC876" i="1" s="1"/>
  <c r="V876" i="1"/>
  <c r="AI876" i="1" s="1"/>
  <c r="N876" i="1"/>
  <c r="AA876" i="1" s="1"/>
  <c r="O876" i="1"/>
  <c r="AB876" i="1" s="1"/>
  <c r="P870" i="1"/>
  <c r="AC870" i="1" s="1"/>
  <c r="L807" i="1"/>
  <c r="Y807" i="1" s="1"/>
  <c r="Q807" i="1"/>
  <c r="AD807" i="1" s="1"/>
  <c r="M378" i="1"/>
  <c r="Z378" i="1" s="1"/>
  <c r="N293" i="1"/>
  <c r="AA293" i="1" s="1"/>
  <c r="P143" i="1"/>
  <c r="AC143" i="1" s="1"/>
  <c r="P191" i="1"/>
  <c r="AC191" i="1" s="1"/>
  <c r="N175" i="1"/>
  <c r="AA175" i="1" s="1"/>
  <c r="L21" i="1"/>
  <c r="Y21" i="1" s="1"/>
  <c r="O21" i="1"/>
  <c r="AB21" i="1" s="1"/>
  <c r="S1395" i="1"/>
  <c r="AF1395" i="1" s="1"/>
  <c r="K1395" i="1"/>
  <c r="X1395" i="1" s="1"/>
  <c r="R1395" i="1"/>
  <c r="AE1395" i="1" s="1"/>
  <c r="Q1395" i="1"/>
  <c r="AD1395" i="1" s="1"/>
  <c r="P1395" i="1"/>
  <c r="AC1395" i="1" s="1"/>
  <c r="O1395" i="1"/>
  <c r="AB1395" i="1" s="1"/>
  <c r="V1395" i="1"/>
  <c r="AI1395" i="1" s="1"/>
  <c r="N1395" i="1"/>
  <c r="AA1395" i="1" s="1"/>
  <c r="U1395" i="1"/>
  <c r="AH1395" i="1" s="1"/>
  <c r="M1395" i="1"/>
  <c r="Z1395" i="1" s="1"/>
  <c r="T1395" i="1"/>
  <c r="AG1395" i="1" s="1"/>
  <c r="L1395" i="1"/>
  <c r="Y1395" i="1" s="1"/>
  <c r="K1317" i="1"/>
  <c r="X1317" i="1" s="1"/>
  <c r="P1154" i="1"/>
  <c r="AC1154" i="1" s="1"/>
  <c r="K961" i="1"/>
  <c r="X961" i="1" s="1"/>
  <c r="O961" i="1"/>
  <c r="AB961" i="1" s="1"/>
  <c r="P763" i="1"/>
  <c r="AC763" i="1" s="1"/>
  <c r="M716" i="1"/>
  <c r="Z716" i="1" s="1"/>
  <c r="L168" i="1"/>
  <c r="Y168" i="1" s="1"/>
  <c r="M168" i="1"/>
  <c r="Z168" i="1" s="1"/>
  <c r="L208" i="1"/>
  <c r="Y208" i="1" s="1"/>
  <c r="M208" i="1"/>
  <c r="Z208" i="1" s="1"/>
  <c r="P170" i="1"/>
  <c r="AC170" i="1" s="1"/>
  <c r="U1131" i="1"/>
  <c r="AH1131" i="1" s="1"/>
  <c r="S1131" i="1"/>
  <c r="AF1131" i="1" s="1"/>
  <c r="S767" i="1"/>
  <c r="AF767" i="1" s="1"/>
  <c r="O767" i="1"/>
  <c r="AB767" i="1" s="1"/>
  <c r="M1203" i="1"/>
  <c r="Z1203" i="1" s="1"/>
  <c r="M1063" i="1"/>
  <c r="Z1063" i="1" s="1"/>
  <c r="Q1117" i="1"/>
  <c r="AD1117" i="1" s="1"/>
  <c r="Q117" i="1"/>
  <c r="AD117" i="1" s="1"/>
  <c r="K880" i="1"/>
  <c r="X880" i="1" s="1"/>
  <c r="N1352" i="1"/>
  <c r="AA1352" i="1" s="1"/>
  <c r="P352" i="1"/>
  <c r="AC352" i="1" s="1"/>
  <c r="N352" i="1"/>
  <c r="AA352" i="1" s="1"/>
  <c r="L1097" i="1"/>
  <c r="Y1097" i="1" s="1"/>
  <c r="O1320" i="1"/>
  <c r="AB1320" i="1" s="1"/>
  <c r="L1187" i="1"/>
  <c r="Y1187" i="1" s="1"/>
  <c r="N1089" i="1"/>
  <c r="AA1089" i="1" s="1"/>
  <c r="L1089" i="1"/>
  <c r="Y1089" i="1" s="1"/>
  <c r="L138" i="1"/>
  <c r="Y138" i="1" s="1"/>
  <c r="M868" i="1"/>
  <c r="Z868" i="1" s="1"/>
  <c r="L148" i="1"/>
  <c r="Y148" i="1" s="1"/>
  <c r="P1377" i="1"/>
  <c r="AC1377" i="1" s="1"/>
  <c r="Q1377" i="1"/>
  <c r="AD1377" i="1" s="1"/>
  <c r="L144" i="1"/>
  <c r="Y144" i="1" s="1"/>
  <c r="K1088" i="1"/>
  <c r="X1088" i="1" s="1"/>
  <c r="L1231" i="1"/>
  <c r="Y1231" i="1" s="1"/>
  <c r="K740" i="1"/>
  <c r="X740" i="1" s="1"/>
  <c r="N115" i="1"/>
  <c r="AA115" i="1" s="1"/>
  <c r="L403" i="1"/>
  <c r="Y403" i="1" s="1"/>
  <c r="K1070" i="1"/>
  <c r="X1070" i="1" s="1"/>
  <c r="S1662" i="1"/>
  <c r="AF1662" i="1" s="1"/>
  <c r="P1662" i="1"/>
  <c r="AC1662" i="1" s="1"/>
  <c r="L1714" i="1"/>
  <c r="Y1714" i="1" s="1"/>
  <c r="Q1714" i="1"/>
  <c r="AD1714" i="1" s="1"/>
  <c r="P1582" i="1"/>
  <c r="AC1582" i="1" s="1"/>
  <c r="L1709" i="1"/>
  <c r="Y1709" i="1" s="1"/>
  <c r="K1677" i="1"/>
  <c r="X1677" i="1" s="1"/>
  <c r="R1613" i="1"/>
  <c r="AE1613" i="1" s="1"/>
  <c r="M1597" i="1"/>
  <c r="Z1597" i="1" s="1"/>
  <c r="K1581" i="1"/>
  <c r="X1581" i="1" s="1"/>
  <c r="L1712" i="1"/>
  <c r="Y1712" i="1" s="1"/>
  <c r="Q1712" i="1"/>
  <c r="AD1712" i="1" s="1"/>
  <c r="N1696" i="1"/>
  <c r="AA1696" i="1" s="1"/>
  <c r="U1664" i="1"/>
  <c r="AH1664" i="1" s="1"/>
  <c r="N1648" i="1"/>
  <c r="AA1648" i="1" s="1"/>
  <c r="L1616" i="1"/>
  <c r="Y1616" i="1" s="1"/>
  <c r="R1584" i="1"/>
  <c r="AE1584" i="1" s="1"/>
  <c r="P1584" i="1"/>
  <c r="AC1584" i="1" s="1"/>
  <c r="O1606" i="1"/>
  <c r="AB1606" i="1" s="1"/>
  <c r="L1707" i="1"/>
  <c r="Y1707" i="1" s="1"/>
  <c r="Q1691" i="1"/>
  <c r="AD1691" i="1" s="1"/>
  <c r="N1691" i="1"/>
  <c r="AA1691" i="1" s="1"/>
  <c r="K1675" i="1"/>
  <c r="X1675" i="1" s="1"/>
  <c r="K1579" i="1"/>
  <c r="X1579" i="1" s="1"/>
  <c r="K1261" i="1"/>
  <c r="X1261" i="1" s="1"/>
  <c r="L1513" i="1"/>
  <c r="Y1513" i="1" s="1"/>
  <c r="M1444" i="1"/>
  <c r="Z1444" i="1" s="1"/>
  <c r="R1392" i="1"/>
  <c r="AE1392" i="1" s="1"/>
  <c r="N1217" i="1"/>
  <c r="AA1217" i="1" s="1"/>
  <c r="K1570" i="1"/>
  <c r="X1570" i="1" s="1"/>
  <c r="K1538" i="1"/>
  <c r="X1538" i="1" s="1"/>
  <c r="R1522" i="1"/>
  <c r="AE1522" i="1" s="1"/>
  <c r="K1506" i="1"/>
  <c r="X1506" i="1" s="1"/>
  <c r="O1506" i="1"/>
  <c r="AB1506" i="1" s="1"/>
  <c r="K1474" i="1"/>
  <c r="X1474" i="1" s="1"/>
  <c r="N1230" i="1"/>
  <c r="AA1230" i="1" s="1"/>
  <c r="L1213" i="1"/>
  <c r="Y1213" i="1" s="1"/>
  <c r="N1181" i="1"/>
  <c r="AA1181" i="1" s="1"/>
  <c r="K1096" i="1"/>
  <c r="X1096" i="1" s="1"/>
  <c r="Q1129" i="1"/>
  <c r="AD1129" i="1" s="1"/>
  <c r="K898" i="1"/>
  <c r="X898" i="1" s="1"/>
  <c r="T937" i="1"/>
  <c r="AG937" i="1" s="1"/>
  <c r="R937" i="1"/>
  <c r="AE937" i="1" s="1"/>
  <c r="N903" i="1"/>
  <c r="AA903" i="1" s="1"/>
  <c r="K931" i="1"/>
  <c r="X931" i="1" s="1"/>
  <c r="K839" i="1"/>
  <c r="X839" i="1" s="1"/>
  <c r="R504" i="1"/>
  <c r="AE504" i="1" s="1"/>
  <c r="N711" i="1"/>
  <c r="AA711" i="1" s="1"/>
  <c r="L165" i="1"/>
  <c r="Y165" i="1" s="1"/>
  <c r="O183" i="1"/>
  <c r="AB183" i="1" s="1"/>
  <c r="P66" i="1"/>
  <c r="AC66" i="1" s="1"/>
  <c r="M66" i="1"/>
  <c r="Z66" i="1" s="1"/>
  <c r="K150" i="1"/>
  <c r="X150" i="1" s="1"/>
  <c r="L19" i="1"/>
  <c r="Y19" i="1" s="1"/>
  <c r="K94" i="1"/>
  <c r="X94" i="1" s="1"/>
  <c r="M422" i="1"/>
  <c r="Z422" i="1" s="1"/>
  <c r="L422" i="1"/>
  <c r="Y422" i="1" s="1"/>
  <c r="S1387" i="1"/>
  <c r="AF1387" i="1" s="1"/>
  <c r="K1387" i="1"/>
  <c r="X1387" i="1" s="1"/>
  <c r="R1387" i="1"/>
  <c r="AE1387" i="1" s="1"/>
  <c r="Q1387" i="1"/>
  <c r="AD1387" i="1" s="1"/>
  <c r="P1387" i="1"/>
  <c r="AC1387" i="1" s="1"/>
  <c r="O1387" i="1"/>
  <c r="AB1387" i="1" s="1"/>
  <c r="V1387" i="1"/>
  <c r="AI1387" i="1" s="1"/>
  <c r="N1387" i="1"/>
  <c r="AA1387" i="1" s="1"/>
  <c r="U1387" i="1"/>
  <c r="AH1387" i="1" s="1"/>
  <c r="M1387" i="1"/>
  <c r="Z1387" i="1" s="1"/>
  <c r="T1387" i="1"/>
  <c r="AG1387" i="1" s="1"/>
  <c r="L1387" i="1"/>
  <c r="Y1387" i="1" s="1"/>
  <c r="R416" i="1"/>
  <c r="AE416" i="1" s="1"/>
  <c r="Q24" i="1"/>
  <c r="AD24" i="1" s="1"/>
  <c r="N713" i="1"/>
  <c r="AA713" i="1" s="1"/>
  <c r="P1209" i="1"/>
  <c r="AC1209" i="1" s="1"/>
  <c r="L1313" i="1"/>
  <c r="Y1313" i="1" s="1"/>
  <c r="M1373" i="1"/>
  <c r="Z1373" i="1" s="1"/>
  <c r="K369" i="1"/>
  <c r="X369" i="1" s="1"/>
  <c r="L1285" i="1"/>
  <c r="Y1285" i="1" s="1"/>
  <c r="M1285" i="1"/>
  <c r="Z1285" i="1" s="1"/>
  <c r="R1272" i="1"/>
  <c r="AE1272" i="1" s="1"/>
  <c r="Q1272" i="1"/>
  <c r="AD1272" i="1" s="1"/>
  <c r="O1272" i="1"/>
  <c r="AB1272" i="1" s="1"/>
  <c r="V1272" i="1"/>
  <c r="AI1272" i="1" s="1"/>
  <c r="N1272" i="1"/>
  <c r="AA1272" i="1" s="1"/>
  <c r="U1272" i="1"/>
  <c r="AH1272" i="1" s="1"/>
  <c r="M1272" i="1"/>
  <c r="Z1272" i="1" s="1"/>
  <c r="L1272" i="1"/>
  <c r="Y1272" i="1" s="1"/>
  <c r="K1272" i="1"/>
  <c r="X1272" i="1" s="1"/>
  <c r="T1272" i="1"/>
  <c r="AG1272" i="1" s="1"/>
  <c r="S1272" i="1"/>
  <c r="AF1272" i="1" s="1"/>
  <c r="P1272" i="1"/>
  <c r="AC1272" i="1" s="1"/>
  <c r="K1240" i="1"/>
  <c r="X1240" i="1" s="1"/>
  <c r="V412" i="1"/>
  <c r="AI412" i="1" s="1"/>
  <c r="N412" i="1"/>
  <c r="AA412" i="1" s="1"/>
  <c r="T412" i="1"/>
  <c r="AG412" i="1" s="1"/>
  <c r="L412" i="1"/>
  <c r="Y412" i="1" s="1"/>
  <c r="S412" i="1"/>
  <c r="AF412" i="1" s="1"/>
  <c r="K412" i="1"/>
  <c r="X412" i="1" s="1"/>
  <c r="R412" i="1"/>
  <c r="AE412" i="1" s="1"/>
  <c r="Q412" i="1"/>
  <c r="AD412" i="1" s="1"/>
  <c r="O412" i="1"/>
  <c r="AB412" i="1" s="1"/>
  <c r="M412" i="1"/>
  <c r="Z412" i="1" s="1"/>
  <c r="P412" i="1"/>
  <c r="AC412" i="1" s="1"/>
  <c r="U412" i="1"/>
  <c r="AH412" i="1" s="1"/>
  <c r="L401" i="1"/>
  <c r="Y401" i="1" s="1"/>
  <c r="M1353" i="1"/>
  <c r="Z1353" i="1" s="1"/>
  <c r="R1273" i="1"/>
  <c r="AE1273" i="1" s="1"/>
  <c r="O1430" i="1"/>
  <c r="AB1430" i="1" s="1"/>
  <c r="V1430" i="1"/>
  <c r="AI1430" i="1" s="1"/>
  <c r="N1430" i="1"/>
  <c r="AA1430" i="1" s="1"/>
  <c r="U1430" i="1"/>
  <c r="AH1430" i="1" s="1"/>
  <c r="M1430" i="1"/>
  <c r="Z1430" i="1" s="1"/>
  <c r="T1430" i="1"/>
  <c r="AG1430" i="1" s="1"/>
  <c r="L1430" i="1"/>
  <c r="Y1430" i="1" s="1"/>
  <c r="S1430" i="1"/>
  <c r="AF1430" i="1" s="1"/>
  <c r="K1430" i="1"/>
  <c r="X1430" i="1" s="1"/>
  <c r="R1430" i="1"/>
  <c r="AE1430" i="1" s="1"/>
  <c r="Q1430" i="1"/>
  <c r="AD1430" i="1" s="1"/>
  <c r="P1430" i="1"/>
  <c r="AC1430" i="1" s="1"/>
  <c r="P1492" i="1"/>
  <c r="AC1492" i="1" s="1"/>
  <c r="O1492" i="1"/>
  <c r="AB1492" i="1" s="1"/>
  <c r="V1492" i="1"/>
  <c r="AI1492" i="1" s="1"/>
  <c r="N1492" i="1"/>
  <c r="AA1492" i="1" s="1"/>
  <c r="U1492" i="1"/>
  <c r="AH1492" i="1" s="1"/>
  <c r="M1492" i="1"/>
  <c r="Z1492" i="1" s="1"/>
  <c r="T1492" i="1"/>
  <c r="AG1492" i="1" s="1"/>
  <c r="L1492" i="1"/>
  <c r="Y1492" i="1" s="1"/>
  <c r="S1492" i="1"/>
  <c r="AF1492" i="1" s="1"/>
  <c r="K1492" i="1"/>
  <c r="X1492" i="1" s="1"/>
  <c r="R1492" i="1"/>
  <c r="AE1492" i="1" s="1"/>
  <c r="Q1492" i="1"/>
  <c r="AD1492" i="1" s="1"/>
  <c r="K1350" i="1"/>
  <c r="X1350" i="1" s="1"/>
  <c r="P1208" i="1"/>
  <c r="AC1208" i="1" s="1"/>
  <c r="M960" i="1"/>
  <c r="Z960" i="1" s="1"/>
  <c r="R960" i="1"/>
  <c r="AE960" i="1" s="1"/>
  <c r="N881" i="1"/>
  <c r="AA881" i="1" s="1"/>
  <c r="R881" i="1"/>
  <c r="AE881" i="1" s="1"/>
  <c r="O827" i="1"/>
  <c r="AB827" i="1" s="1"/>
  <c r="M863" i="1"/>
  <c r="Z863" i="1" s="1"/>
  <c r="O930" i="1"/>
  <c r="AB930" i="1" s="1"/>
  <c r="N930" i="1"/>
  <c r="AA930" i="1" s="1"/>
  <c r="N804" i="1"/>
  <c r="AA804" i="1" s="1"/>
  <c r="S703" i="1"/>
  <c r="AF703" i="1" s="1"/>
  <c r="U703" i="1"/>
  <c r="AH703" i="1" s="1"/>
  <c r="P701" i="1"/>
  <c r="AC701" i="1" s="1"/>
  <c r="N701" i="1"/>
  <c r="AA701" i="1" s="1"/>
  <c r="K520" i="1"/>
  <c r="X520" i="1" s="1"/>
  <c r="N520" i="1"/>
  <c r="AA520" i="1" s="1"/>
  <c r="R294" i="1"/>
  <c r="AE294" i="1" s="1"/>
  <c r="Q294" i="1"/>
  <c r="AD294" i="1" s="1"/>
  <c r="P294" i="1"/>
  <c r="AC294" i="1" s="1"/>
  <c r="O294" i="1"/>
  <c r="AB294" i="1" s="1"/>
  <c r="V294" i="1"/>
  <c r="AI294" i="1" s="1"/>
  <c r="N294" i="1"/>
  <c r="AA294" i="1" s="1"/>
  <c r="U294" i="1"/>
  <c r="AH294" i="1" s="1"/>
  <c r="M294" i="1"/>
  <c r="Z294" i="1" s="1"/>
  <c r="S294" i="1"/>
  <c r="AF294" i="1" s="1"/>
  <c r="K294" i="1"/>
  <c r="X294" i="1" s="1"/>
  <c r="T294" i="1"/>
  <c r="AG294" i="1" s="1"/>
  <c r="L294" i="1"/>
  <c r="Y294" i="1" s="1"/>
  <c r="K202" i="1"/>
  <c r="X202" i="1" s="1"/>
  <c r="M27" i="1"/>
  <c r="Z27" i="1" s="1"/>
  <c r="R11" i="1"/>
  <c r="AE11" i="1" s="1"/>
  <c r="Q11" i="1"/>
  <c r="AD11" i="1" s="1"/>
  <c r="L831" i="1"/>
  <c r="Y831" i="1" s="1"/>
  <c r="Q831" i="1"/>
  <c r="AD831" i="1" s="1"/>
  <c r="P648" i="1"/>
  <c r="AC648" i="1" s="1"/>
  <c r="M695" i="1"/>
  <c r="Z695" i="1" s="1"/>
  <c r="O478" i="1"/>
  <c r="AB478" i="1" s="1"/>
  <c r="K244" i="1"/>
  <c r="X244" i="1" s="1"/>
  <c r="R244" i="1"/>
  <c r="AE244" i="1" s="1"/>
  <c r="O230" i="1"/>
  <c r="AB230" i="1" s="1"/>
  <c r="L181" i="1"/>
  <c r="Y181" i="1" s="1"/>
  <c r="P1637" i="1"/>
  <c r="AC1637" i="1" s="1"/>
  <c r="V1637" i="1"/>
  <c r="AI1637" i="1" s="1"/>
  <c r="N1637" i="1"/>
  <c r="AA1637" i="1" s="1"/>
  <c r="U1637" i="1"/>
  <c r="AH1637" i="1" s="1"/>
  <c r="M1637" i="1"/>
  <c r="Z1637" i="1" s="1"/>
  <c r="S1637" i="1"/>
  <c r="AF1637" i="1" s="1"/>
  <c r="K1637" i="1"/>
  <c r="X1637" i="1" s="1"/>
  <c r="Q1637" i="1"/>
  <c r="AD1637" i="1" s="1"/>
  <c r="T1637" i="1"/>
  <c r="AG1637" i="1" s="1"/>
  <c r="R1637" i="1"/>
  <c r="AE1637" i="1" s="1"/>
  <c r="O1637" i="1"/>
  <c r="AB1637" i="1" s="1"/>
  <c r="L1637" i="1"/>
  <c r="Y1637" i="1" s="1"/>
  <c r="P1514" i="1"/>
  <c r="AC1514" i="1" s="1"/>
  <c r="O1514" i="1"/>
  <c r="AB1514" i="1" s="1"/>
  <c r="V1514" i="1"/>
  <c r="AI1514" i="1" s="1"/>
  <c r="N1514" i="1"/>
  <c r="AA1514" i="1" s="1"/>
  <c r="U1514" i="1"/>
  <c r="AH1514" i="1" s="1"/>
  <c r="M1514" i="1"/>
  <c r="Z1514" i="1" s="1"/>
  <c r="T1514" i="1"/>
  <c r="AG1514" i="1" s="1"/>
  <c r="L1514" i="1"/>
  <c r="Y1514" i="1" s="1"/>
  <c r="S1514" i="1"/>
  <c r="AF1514" i="1" s="1"/>
  <c r="K1514" i="1"/>
  <c r="X1514" i="1" s="1"/>
  <c r="R1514" i="1"/>
  <c r="AE1514" i="1" s="1"/>
  <c r="Q1514" i="1"/>
  <c r="AD1514" i="1" s="1"/>
  <c r="S950" i="1"/>
  <c r="AF950" i="1" s="1"/>
  <c r="M1072" i="1"/>
  <c r="Z1072" i="1" s="1"/>
  <c r="Q809" i="1"/>
  <c r="AD809" i="1" s="1"/>
  <c r="P809" i="1"/>
  <c r="AC809" i="1" s="1"/>
  <c r="O809" i="1"/>
  <c r="AB809" i="1" s="1"/>
  <c r="V809" i="1"/>
  <c r="AI809" i="1" s="1"/>
  <c r="N809" i="1"/>
  <c r="AA809" i="1" s="1"/>
  <c r="U809" i="1"/>
  <c r="AH809" i="1" s="1"/>
  <c r="M809" i="1"/>
  <c r="Z809" i="1" s="1"/>
  <c r="T809" i="1"/>
  <c r="AG809" i="1" s="1"/>
  <c r="L809" i="1"/>
  <c r="Y809" i="1" s="1"/>
  <c r="R809" i="1"/>
  <c r="AE809" i="1" s="1"/>
  <c r="S809" i="1"/>
  <c r="AF809" i="1" s="1"/>
  <c r="K809" i="1"/>
  <c r="X809" i="1" s="1"/>
  <c r="P738" i="1"/>
  <c r="AC738" i="1" s="1"/>
  <c r="M395" i="1"/>
  <c r="Z395" i="1" s="1"/>
  <c r="N110" i="1"/>
  <c r="AA110" i="1" s="1"/>
  <c r="Q1220" i="1"/>
  <c r="AD1220" i="1" s="1"/>
  <c r="N1220" i="1"/>
  <c r="AA1220" i="1" s="1"/>
  <c r="L1223" i="1"/>
  <c r="Y1223" i="1" s="1"/>
  <c r="Q1223" i="1"/>
  <c r="AD1223" i="1" s="1"/>
  <c r="O895" i="1"/>
  <c r="AB895" i="1" s="1"/>
  <c r="M895" i="1"/>
  <c r="Z895" i="1" s="1"/>
  <c r="M708" i="1"/>
  <c r="Z708" i="1" s="1"/>
  <c r="M347" i="1"/>
  <c r="Z347" i="1" s="1"/>
  <c r="Q104" i="1"/>
  <c r="AD104" i="1" s="1"/>
  <c r="N104" i="1"/>
  <c r="AA104" i="1" s="1"/>
  <c r="K1325" i="1"/>
  <c r="X1325" i="1" s="1"/>
  <c r="O1325" i="1"/>
  <c r="AB1325" i="1" s="1"/>
  <c r="P1312" i="1"/>
  <c r="AC1312" i="1" s="1"/>
  <c r="L890" i="1"/>
  <c r="Y890" i="1" s="1"/>
  <c r="K222" i="1"/>
  <c r="X222" i="1" s="1"/>
  <c r="R374" i="1"/>
  <c r="AE374" i="1" s="1"/>
  <c r="K1355" i="1"/>
  <c r="X1355" i="1" s="1"/>
  <c r="P1326" i="1"/>
  <c r="AC1326" i="1" s="1"/>
  <c r="M1321" i="1"/>
  <c r="Z1321" i="1" s="1"/>
  <c r="L1281" i="1"/>
  <c r="Y1281" i="1" s="1"/>
  <c r="T1535" i="1"/>
  <c r="AG1535" i="1" s="1"/>
  <c r="S1535" i="1"/>
  <c r="AF1535" i="1" s="1"/>
  <c r="P1413" i="1"/>
  <c r="AC1413" i="1" s="1"/>
  <c r="S1405" i="1"/>
  <c r="AF1405" i="1" s="1"/>
  <c r="K1307" i="1"/>
  <c r="X1307" i="1" s="1"/>
  <c r="O1307" i="1"/>
  <c r="AB1307" i="1" s="1"/>
  <c r="K1323" i="1"/>
  <c r="X1323" i="1" s="1"/>
  <c r="L865" i="1"/>
  <c r="Y865" i="1" s="1"/>
  <c r="U1080" i="1"/>
  <c r="AH1080" i="1" s="1"/>
  <c r="L929" i="1"/>
  <c r="Y929" i="1" s="1"/>
  <c r="P854" i="1"/>
  <c r="AC854" i="1" s="1"/>
  <c r="N799" i="1"/>
  <c r="AA799" i="1" s="1"/>
  <c r="K212" i="1"/>
  <c r="X212" i="1" s="1"/>
  <c r="P1653" i="1"/>
  <c r="AC1653" i="1" s="1"/>
  <c r="V1653" i="1"/>
  <c r="AI1653" i="1" s="1"/>
  <c r="N1653" i="1"/>
  <c r="AA1653" i="1" s="1"/>
  <c r="U1653" i="1"/>
  <c r="AH1653" i="1" s="1"/>
  <c r="M1653" i="1"/>
  <c r="Z1653" i="1" s="1"/>
  <c r="S1653" i="1"/>
  <c r="AF1653" i="1" s="1"/>
  <c r="K1653" i="1"/>
  <c r="X1653" i="1" s="1"/>
  <c r="Q1653" i="1"/>
  <c r="AD1653" i="1" s="1"/>
  <c r="T1653" i="1"/>
  <c r="AG1653" i="1" s="1"/>
  <c r="R1653" i="1"/>
  <c r="AE1653" i="1" s="1"/>
  <c r="O1653" i="1"/>
  <c r="AB1653" i="1" s="1"/>
  <c r="L1653" i="1"/>
  <c r="Y1653" i="1" s="1"/>
  <c r="L1349" i="1"/>
  <c r="Y1349" i="1" s="1"/>
  <c r="N1092" i="1"/>
  <c r="AA1092" i="1" s="1"/>
  <c r="O936" i="1"/>
  <c r="AB936" i="1" s="1"/>
  <c r="T1042" i="1"/>
  <c r="AG1042" i="1" s="1"/>
  <c r="L1042" i="1"/>
  <c r="Y1042" i="1" s="1"/>
  <c r="S1042" i="1"/>
  <c r="AF1042" i="1" s="1"/>
  <c r="K1042" i="1"/>
  <c r="X1042" i="1" s="1"/>
  <c r="R1042" i="1"/>
  <c r="AE1042" i="1" s="1"/>
  <c r="Q1042" i="1"/>
  <c r="AD1042" i="1" s="1"/>
  <c r="P1042" i="1"/>
  <c r="AC1042" i="1" s="1"/>
  <c r="O1042" i="1"/>
  <c r="AB1042" i="1" s="1"/>
  <c r="V1042" i="1"/>
  <c r="AI1042" i="1" s="1"/>
  <c r="U1042" i="1"/>
  <c r="AH1042" i="1" s="1"/>
  <c r="N1042" i="1"/>
  <c r="AA1042" i="1" s="1"/>
  <c r="M1042" i="1"/>
  <c r="Z1042" i="1" s="1"/>
  <c r="P1364" i="1"/>
  <c r="AC1364" i="1" s="1"/>
  <c r="N514" i="1"/>
  <c r="AA514" i="1" s="1"/>
  <c r="M469" i="1"/>
  <c r="Z469" i="1" s="1"/>
  <c r="Q467" i="1"/>
  <c r="AD467" i="1" s="1"/>
  <c r="O467" i="1"/>
  <c r="AB467" i="1" s="1"/>
  <c r="O349" i="1"/>
  <c r="AB349" i="1" s="1"/>
  <c r="Q339" i="1"/>
  <c r="AD339" i="1" s="1"/>
  <c r="T1087" i="1"/>
  <c r="AG1087" i="1" s="1"/>
  <c r="L1087" i="1"/>
  <c r="Y1087" i="1" s="1"/>
  <c r="S1087" i="1"/>
  <c r="AF1087" i="1" s="1"/>
  <c r="K1087" i="1"/>
  <c r="X1087" i="1" s="1"/>
  <c r="R1087" i="1"/>
  <c r="AE1087" i="1" s="1"/>
  <c r="Q1087" i="1"/>
  <c r="AD1087" i="1" s="1"/>
  <c r="P1087" i="1"/>
  <c r="AC1087" i="1" s="1"/>
  <c r="O1087" i="1"/>
  <c r="AB1087" i="1" s="1"/>
  <c r="V1087" i="1"/>
  <c r="AI1087" i="1" s="1"/>
  <c r="N1087" i="1"/>
  <c r="AA1087" i="1" s="1"/>
  <c r="U1087" i="1"/>
  <c r="AH1087" i="1" s="1"/>
  <c r="M1087" i="1"/>
  <c r="Z1087" i="1" s="1"/>
  <c r="L1050" i="1"/>
  <c r="Y1050" i="1" s="1"/>
  <c r="M1280" i="1"/>
  <c r="Z1280" i="1" s="1"/>
  <c r="V404" i="1"/>
  <c r="AI404" i="1" s="1"/>
  <c r="N404" i="1"/>
  <c r="AA404" i="1" s="1"/>
  <c r="T404" i="1"/>
  <c r="AG404" i="1" s="1"/>
  <c r="L404" i="1"/>
  <c r="Y404" i="1" s="1"/>
  <c r="R404" i="1"/>
  <c r="AE404" i="1" s="1"/>
  <c r="Q404" i="1"/>
  <c r="AD404" i="1" s="1"/>
  <c r="O404" i="1"/>
  <c r="AB404" i="1" s="1"/>
  <c r="U404" i="1"/>
  <c r="AH404" i="1" s="1"/>
  <c r="S404" i="1"/>
  <c r="AF404" i="1" s="1"/>
  <c r="P404" i="1"/>
  <c r="AC404" i="1" s="1"/>
  <c r="M404" i="1"/>
  <c r="Z404" i="1" s="1"/>
  <c r="K404" i="1"/>
  <c r="X404" i="1" s="1"/>
  <c r="K736" i="1"/>
  <c r="X736" i="1" s="1"/>
  <c r="K528" i="1"/>
  <c r="X528" i="1" s="1"/>
  <c r="L1174" i="1"/>
  <c r="Y1174" i="1" s="1"/>
  <c r="N136" i="1"/>
  <c r="AA136" i="1" s="1"/>
  <c r="P1366" i="1"/>
  <c r="AC1366" i="1" s="1"/>
  <c r="N1366" i="1"/>
  <c r="AA1366" i="1" s="1"/>
  <c r="O1222" i="1"/>
  <c r="AB1222" i="1" s="1"/>
  <c r="M1222" i="1"/>
  <c r="Z1222" i="1" s="1"/>
  <c r="O1242" i="1"/>
  <c r="AB1242" i="1" s="1"/>
  <c r="M1242" i="1"/>
  <c r="Z1242" i="1" s="1"/>
  <c r="K1215" i="1"/>
  <c r="X1215" i="1" s="1"/>
  <c r="O1568" i="1"/>
  <c r="AB1568" i="1" s="1"/>
  <c r="V1568" i="1"/>
  <c r="AI1568" i="1" s="1"/>
  <c r="N1568" i="1"/>
  <c r="AA1568" i="1" s="1"/>
  <c r="U1568" i="1"/>
  <c r="AH1568" i="1" s="1"/>
  <c r="M1568" i="1"/>
  <c r="Z1568" i="1" s="1"/>
  <c r="T1568" i="1"/>
  <c r="AG1568" i="1" s="1"/>
  <c r="L1568" i="1"/>
  <c r="Y1568" i="1" s="1"/>
  <c r="R1568" i="1"/>
  <c r="AE1568" i="1" s="1"/>
  <c r="Q1568" i="1"/>
  <c r="AD1568" i="1" s="1"/>
  <c r="P1568" i="1"/>
  <c r="AC1568" i="1" s="1"/>
  <c r="K1568" i="1"/>
  <c r="X1568" i="1" s="1"/>
  <c r="S1568" i="1"/>
  <c r="AF1568" i="1" s="1"/>
  <c r="M958" i="1"/>
  <c r="Z958" i="1" s="1"/>
  <c r="Q958" i="1"/>
  <c r="AD958" i="1" s="1"/>
  <c r="P1047" i="1"/>
  <c r="AC1047" i="1" s="1"/>
  <c r="O1047" i="1"/>
  <c r="AB1047" i="1" s="1"/>
  <c r="V1047" i="1"/>
  <c r="AI1047" i="1" s="1"/>
  <c r="N1047" i="1"/>
  <c r="AA1047" i="1" s="1"/>
  <c r="U1047" i="1"/>
  <c r="AH1047" i="1" s="1"/>
  <c r="M1047" i="1"/>
  <c r="Z1047" i="1" s="1"/>
  <c r="T1047" i="1"/>
  <c r="AG1047" i="1" s="1"/>
  <c r="L1047" i="1"/>
  <c r="Y1047" i="1" s="1"/>
  <c r="S1047" i="1"/>
  <c r="AF1047" i="1" s="1"/>
  <c r="K1047" i="1"/>
  <c r="X1047" i="1" s="1"/>
  <c r="R1047" i="1"/>
  <c r="AE1047" i="1" s="1"/>
  <c r="Q1047" i="1"/>
  <c r="AD1047" i="1" s="1"/>
  <c r="S882" i="1"/>
  <c r="AF882" i="1" s="1"/>
  <c r="Q882" i="1"/>
  <c r="AD882" i="1" s="1"/>
  <c r="P983" i="1"/>
  <c r="AC983" i="1" s="1"/>
  <c r="L737" i="1"/>
  <c r="Y737" i="1" s="1"/>
  <c r="Q737" i="1"/>
  <c r="AD737" i="1" s="1"/>
  <c r="P698" i="1"/>
  <c r="AC698" i="1" s="1"/>
  <c r="N475" i="1"/>
  <c r="AA475" i="1" s="1"/>
  <c r="N463" i="1"/>
  <c r="AA463" i="1" s="1"/>
  <c r="N272" i="1"/>
  <c r="AA272" i="1" s="1"/>
  <c r="L1244" i="1"/>
  <c r="Y1244" i="1" s="1"/>
  <c r="L650" i="1"/>
  <c r="Y650" i="1" s="1"/>
  <c r="K650" i="1"/>
  <c r="X650" i="1" s="1"/>
  <c r="Q896" i="1"/>
  <c r="AD896" i="1" s="1"/>
  <c r="V896" i="1"/>
  <c r="AI896" i="1" s="1"/>
  <c r="N896" i="1"/>
  <c r="AA896" i="1" s="1"/>
  <c r="T896" i="1"/>
  <c r="AG896" i="1" s="1"/>
  <c r="L896" i="1"/>
  <c r="Y896" i="1" s="1"/>
  <c r="K896" i="1"/>
  <c r="X896" i="1" s="1"/>
  <c r="U896" i="1"/>
  <c r="AH896" i="1" s="1"/>
  <c r="S896" i="1"/>
  <c r="AF896" i="1" s="1"/>
  <c r="R896" i="1"/>
  <c r="AE896" i="1" s="1"/>
  <c r="P896" i="1"/>
  <c r="AC896" i="1" s="1"/>
  <c r="M896" i="1"/>
  <c r="Z896" i="1" s="1"/>
  <c r="O896" i="1"/>
  <c r="AB896" i="1" s="1"/>
  <c r="R1301" i="1"/>
  <c r="AE1301" i="1" s="1"/>
  <c r="O1210" i="1"/>
  <c r="AB1210" i="1" s="1"/>
  <c r="M1210" i="1"/>
  <c r="Z1210" i="1" s="1"/>
  <c r="M1235" i="1"/>
  <c r="Z1235" i="1" s="1"/>
  <c r="M1099" i="1"/>
  <c r="Z1099" i="1" s="1"/>
  <c r="K1099" i="1"/>
  <c r="X1099" i="1" s="1"/>
  <c r="O832" i="1"/>
  <c r="AB832" i="1" s="1"/>
  <c r="L832" i="1"/>
  <c r="Y832" i="1" s="1"/>
  <c r="K1194" i="1"/>
  <c r="X1194" i="1" s="1"/>
  <c r="V1190" i="1"/>
  <c r="AI1190" i="1" s="1"/>
  <c r="N1190" i="1"/>
  <c r="AA1190" i="1" s="1"/>
  <c r="U1190" i="1"/>
  <c r="AH1190" i="1" s="1"/>
  <c r="M1190" i="1"/>
  <c r="Z1190" i="1" s="1"/>
  <c r="T1190" i="1"/>
  <c r="AG1190" i="1" s="1"/>
  <c r="L1190" i="1"/>
  <c r="Y1190" i="1" s="1"/>
  <c r="S1190" i="1"/>
  <c r="AF1190" i="1" s="1"/>
  <c r="K1190" i="1"/>
  <c r="X1190" i="1" s="1"/>
  <c r="R1190" i="1"/>
  <c r="AE1190" i="1" s="1"/>
  <c r="Q1190" i="1"/>
  <c r="AD1190" i="1" s="1"/>
  <c r="P1190" i="1"/>
  <c r="AC1190" i="1" s="1"/>
  <c r="O1190" i="1"/>
  <c r="AB1190" i="1" s="1"/>
  <c r="V1715" i="1"/>
  <c r="AI1715" i="1" s="1"/>
  <c r="N1715" i="1"/>
  <c r="AA1715" i="1" s="1"/>
  <c r="U1715" i="1"/>
  <c r="AH1715" i="1" s="1"/>
  <c r="M1715" i="1"/>
  <c r="Z1715" i="1" s="1"/>
  <c r="T1715" i="1"/>
  <c r="AG1715" i="1" s="1"/>
  <c r="L1715" i="1"/>
  <c r="Y1715" i="1" s="1"/>
  <c r="S1715" i="1"/>
  <c r="AF1715" i="1" s="1"/>
  <c r="K1715" i="1"/>
  <c r="X1715" i="1" s="1"/>
  <c r="R1715" i="1"/>
  <c r="AE1715" i="1" s="1"/>
  <c r="Q1715" i="1"/>
  <c r="AD1715" i="1" s="1"/>
  <c r="P1715" i="1"/>
  <c r="AC1715" i="1" s="1"/>
  <c r="O1715" i="1"/>
  <c r="AB1715" i="1" s="1"/>
  <c r="S1547" i="1"/>
  <c r="AF1547" i="1" s="1"/>
  <c r="K1547" i="1"/>
  <c r="X1547" i="1" s="1"/>
  <c r="R1547" i="1"/>
  <c r="AE1547" i="1" s="1"/>
  <c r="Q1547" i="1"/>
  <c r="AD1547" i="1" s="1"/>
  <c r="P1547" i="1"/>
  <c r="AC1547" i="1" s="1"/>
  <c r="V1547" i="1"/>
  <c r="AI1547" i="1" s="1"/>
  <c r="N1547" i="1"/>
  <c r="AA1547" i="1" s="1"/>
  <c r="M1547" i="1"/>
  <c r="Z1547" i="1" s="1"/>
  <c r="L1547" i="1"/>
  <c r="Y1547" i="1" s="1"/>
  <c r="U1547" i="1"/>
  <c r="AH1547" i="1" s="1"/>
  <c r="T1547" i="1"/>
  <c r="AG1547" i="1" s="1"/>
  <c r="O1547" i="1"/>
  <c r="AB1547" i="1" s="1"/>
  <c r="T986" i="1"/>
  <c r="AG986" i="1" s="1"/>
  <c r="L986" i="1"/>
  <c r="Y986" i="1" s="1"/>
  <c r="S986" i="1"/>
  <c r="AF986" i="1" s="1"/>
  <c r="K986" i="1"/>
  <c r="X986" i="1" s="1"/>
  <c r="R986" i="1"/>
  <c r="AE986" i="1" s="1"/>
  <c r="Q986" i="1"/>
  <c r="AD986" i="1" s="1"/>
  <c r="P986" i="1"/>
  <c r="AC986" i="1" s="1"/>
  <c r="O986" i="1"/>
  <c r="AB986" i="1" s="1"/>
  <c r="V986" i="1"/>
  <c r="AI986" i="1" s="1"/>
  <c r="U986" i="1"/>
  <c r="AH986" i="1" s="1"/>
  <c r="N986" i="1"/>
  <c r="AA986" i="1" s="1"/>
  <c r="M986" i="1"/>
  <c r="Z986" i="1" s="1"/>
  <c r="U729" i="1"/>
  <c r="AH729" i="1" s="1"/>
  <c r="Q481" i="1"/>
  <c r="AD481" i="1" s="1"/>
  <c r="P481" i="1"/>
  <c r="AC481" i="1" s="1"/>
  <c r="L90" i="1"/>
  <c r="Y90" i="1" s="1"/>
  <c r="M1058" i="1"/>
  <c r="Z1058" i="1" s="1"/>
  <c r="K1058" i="1"/>
  <c r="X1058" i="1" s="1"/>
  <c r="O1105" i="1"/>
  <c r="AB1105" i="1" s="1"/>
  <c r="K1296" i="1"/>
  <c r="X1296" i="1" s="1"/>
  <c r="K885" i="1"/>
  <c r="X885" i="1" s="1"/>
  <c r="O1218" i="1"/>
  <c r="AB1218" i="1" s="1"/>
  <c r="M1218" i="1"/>
  <c r="Z1218" i="1" s="1"/>
  <c r="O1093" i="1"/>
  <c r="AB1093" i="1" s="1"/>
  <c r="O1234" i="1"/>
  <c r="AB1234" i="1" s="1"/>
  <c r="M1234" i="1"/>
  <c r="Z1234" i="1" s="1"/>
  <c r="Q1158" i="1"/>
  <c r="AD1158" i="1" s="1"/>
  <c r="N1158" i="1"/>
  <c r="AA1158" i="1" s="1"/>
  <c r="V156" i="1"/>
  <c r="AI156" i="1" s="1"/>
  <c r="N156" i="1"/>
  <c r="AA156" i="1" s="1"/>
  <c r="U156" i="1"/>
  <c r="AH156" i="1" s="1"/>
  <c r="M156" i="1"/>
  <c r="Z156" i="1" s="1"/>
  <c r="T156" i="1"/>
  <c r="AG156" i="1" s="1"/>
  <c r="L156" i="1"/>
  <c r="Y156" i="1" s="1"/>
  <c r="S156" i="1"/>
  <c r="AF156" i="1" s="1"/>
  <c r="K156" i="1"/>
  <c r="X156" i="1" s="1"/>
  <c r="R156" i="1"/>
  <c r="AE156" i="1" s="1"/>
  <c r="Q156" i="1"/>
  <c r="AD156" i="1" s="1"/>
  <c r="O156" i="1"/>
  <c r="AB156" i="1" s="1"/>
  <c r="P156" i="1"/>
  <c r="AC156" i="1" s="1"/>
  <c r="K407" i="1"/>
  <c r="X407" i="1" s="1"/>
  <c r="R1182" i="1"/>
  <c r="AE1182" i="1" s="1"/>
  <c r="R1365" i="1"/>
  <c r="AE1365" i="1" s="1"/>
  <c r="S1299" i="1"/>
  <c r="AF1299" i="1" s="1"/>
  <c r="K1404" i="1"/>
  <c r="X1404" i="1" s="1"/>
  <c r="O1404" i="1"/>
  <c r="AB1404" i="1" s="1"/>
  <c r="L1574" i="1"/>
  <c r="Y1574" i="1" s="1"/>
  <c r="Q1574" i="1"/>
  <c r="AD1574" i="1" s="1"/>
  <c r="L1526" i="1"/>
  <c r="Y1526" i="1" s="1"/>
  <c r="U1339" i="1"/>
  <c r="AH1339" i="1" s="1"/>
  <c r="K1309" i="1"/>
  <c r="X1309" i="1" s="1"/>
  <c r="O1309" i="1"/>
  <c r="AB1309" i="1" s="1"/>
  <c r="N1294" i="1"/>
  <c r="AA1294" i="1" s="1"/>
  <c r="N1361" i="1"/>
  <c r="AA1361" i="1" s="1"/>
  <c r="R1157" i="1"/>
  <c r="AE1157" i="1" s="1"/>
  <c r="K934" i="1"/>
  <c r="X934" i="1" s="1"/>
  <c r="Q934" i="1"/>
  <c r="AD934" i="1" s="1"/>
  <c r="M954" i="1"/>
  <c r="Z954" i="1" s="1"/>
  <c r="K954" i="1"/>
  <c r="X954" i="1" s="1"/>
  <c r="K866" i="1"/>
  <c r="X866" i="1" s="1"/>
  <c r="K844" i="1"/>
  <c r="X844" i="1" s="1"/>
  <c r="R1064" i="1"/>
  <c r="AE1064" i="1" s="1"/>
  <c r="L1032" i="1"/>
  <c r="Y1032" i="1" s="1"/>
  <c r="Q1024" i="1"/>
  <c r="AD1024" i="1" s="1"/>
  <c r="N1000" i="1"/>
  <c r="AA1000" i="1" s="1"/>
  <c r="L1000" i="1"/>
  <c r="Y1000" i="1" s="1"/>
  <c r="R833" i="1"/>
  <c r="AE833" i="1" s="1"/>
  <c r="P833" i="1"/>
  <c r="AC833" i="1" s="1"/>
  <c r="M933" i="1"/>
  <c r="Z933" i="1" s="1"/>
  <c r="M828" i="1"/>
  <c r="Z828" i="1" s="1"/>
  <c r="K640" i="1"/>
  <c r="X640" i="1" s="1"/>
  <c r="O624" i="1"/>
  <c r="AB624" i="1" s="1"/>
  <c r="L608" i="1"/>
  <c r="Y608" i="1" s="1"/>
  <c r="K608" i="1"/>
  <c r="X608" i="1" s="1"/>
  <c r="O700" i="1"/>
  <c r="AB700" i="1" s="1"/>
  <c r="R725" i="1"/>
  <c r="AE725" i="1" s="1"/>
  <c r="P725" i="1"/>
  <c r="AC725" i="1" s="1"/>
  <c r="M720" i="1"/>
  <c r="Z720" i="1" s="1"/>
  <c r="U456" i="1"/>
  <c r="AH456" i="1" s="1"/>
  <c r="N456" i="1"/>
  <c r="AA456" i="1" s="1"/>
  <c r="L473" i="1"/>
  <c r="Y473" i="1" s="1"/>
  <c r="K370" i="1"/>
  <c r="X370" i="1" s="1"/>
  <c r="L370" i="1"/>
  <c r="Y370" i="1" s="1"/>
  <c r="K345" i="1"/>
  <c r="X345" i="1" s="1"/>
  <c r="O260" i="1"/>
  <c r="AB260" i="1" s="1"/>
  <c r="M265" i="1"/>
  <c r="Z265" i="1" s="1"/>
  <c r="L246" i="1"/>
  <c r="Y246" i="1" s="1"/>
  <c r="O246" i="1"/>
  <c r="AB246" i="1" s="1"/>
  <c r="K277" i="1"/>
  <c r="X277" i="1" s="1"/>
  <c r="L256" i="1"/>
  <c r="Y256" i="1" s="1"/>
  <c r="O256" i="1"/>
  <c r="AB256" i="1" s="1"/>
  <c r="R287" i="1"/>
  <c r="AE287" i="1" s="1"/>
  <c r="R205" i="1"/>
  <c r="AE205" i="1" s="1"/>
  <c r="N206" i="1"/>
  <c r="AA206" i="1" s="1"/>
  <c r="O206" i="1"/>
  <c r="AB206" i="1" s="1"/>
  <c r="N118" i="1"/>
  <c r="AA118" i="1" s="1"/>
  <c r="K30" i="1"/>
  <c r="X30" i="1" s="1"/>
  <c r="L22" i="1"/>
  <c r="Y22" i="1" s="1"/>
  <c r="O14" i="1"/>
  <c r="AB14" i="1" s="1"/>
  <c r="L6" i="1"/>
  <c r="Y6" i="1" s="1"/>
  <c r="L477" i="1"/>
  <c r="Y477" i="1" s="1"/>
  <c r="M32" i="1"/>
  <c r="Z32" i="1" s="1"/>
  <c r="O8" i="1"/>
  <c r="AB8" i="1" s="1"/>
  <c r="R884" i="1"/>
  <c r="AE884" i="1" s="1"/>
  <c r="T884" i="1"/>
  <c r="AG884" i="1" s="1"/>
  <c r="M396" i="1"/>
  <c r="Z396" i="1" s="1"/>
  <c r="K1062" i="1"/>
  <c r="X1062" i="1" s="1"/>
  <c r="L1086" i="1"/>
  <c r="Y1086" i="1" s="1"/>
  <c r="O1192" i="1"/>
  <c r="AB1192" i="1" s="1"/>
  <c r="M1192" i="1"/>
  <c r="Z1192" i="1" s="1"/>
  <c r="L1128" i="1"/>
  <c r="Y1128" i="1" s="1"/>
  <c r="M962" i="1"/>
  <c r="Z962" i="1" s="1"/>
  <c r="Q962" i="1"/>
  <c r="AD962" i="1" s="1"/>
  <c r="O806" i="1"/>
  <c r="AB806" i="1" s="1"/>
  <c r="L806" i="1"/>
  <c r="Y806" i="1" s="1"/>
  <c r="K385" i="1"/>
  <c r="X385" i="1" s="1"/>
  <c r="L361" i="1"/>
  <c r="Y361" i="1" s="1"/>
  <c r="N361" i="1"/>
  <c r="AA361" i="1" s="1"/>
  <c r="N1166" i="1"/>
  <c r="AA1166" i="1" s="1"/>
  <c r="N216" i="1"/>
  <c r="AA216" i="1" s="1"/>
  <c r="K872" i="1"/>
  <c r="X872" i="1" s="1"/>
  <c r="N1163" i="1"/>
  <c r="AA1163" i="1" s="1"/>
  <c r="P466" i="1"/>
  <c r="AC466" i="1" s="1"/>
  <c r="M518" i="1"/>
  <c r="Z518" i="1" s="1"/>
  <c r="N518" i="1"/>
  <c r="AA518" i="1" s="1"/>
  <c r="K406" i="1"/>
  <c r="X406" i="1" s="1"/>
  <c r="O1127" i="1"/>
  <c r="AB1127" i="1" s="1"/>
  <c r="O1191" i="1"/>
  <c r="AB1191" i="1" s="1"/>
  <c r="K391" i="1"/>
  <c r="X391" i="1" s="1"/>
  <c r="N1203" i="1"/>
  <c r="AA1203" i="1" s="1"/>
  <c r="K1311" i="1"/>
  <c r="X1311" i="1" s="1"/>
  <c r="O1311" i="1"/>
  <c r="AB1311" i="1" s="1"/>
  <c r="P219" i="1"/>
  <c r="AC219" i="1" s="1"/>
  <c r="R1363" i="1"/>
  <c r="AE1363" i="1" s="1"/>
  <c r="O1295" i="1"/>
  <c r="AB1295" i="1" s="1"/>
  <c r="L1167" i="1"/>
  <c r="Y1167" i="1" s="1"/>
  <c r="K414" i="1"/>
  <c r="X414" i="1" s="1"/>
  <c r="P1271" i="1"/>
  <c r="AC1271" i="1" s="1"/>
  <c r="K225" i="1"/>
  <c r="X225" i="1" s="1"/>
  <c r="K1142" i="1"/>
  <c r="X1142" i="1" s="1"/>
  <c r="M209" i="1"/>
  <c r="Z209" i="1" s="1"/>
  <c r="K209" i="1"/>
  <c r="X209" i="1" s="1"/>
  <c r="K856" i="1"/>
  <c r="X856" i="1" s="1"/>
  <c r="Q1288" i="1"/>
  <c r="AD1288" i="1" s="1"/>
  <c r="P1347" i="1"/>
  <c r="AC1347" i="1" s="1"/>
  <c r="Q916" i="1"/>
  <c r="AD916" i="1" s="1"/>
  <c r="V916" i="1"/>
  <c r="AI916" i="1" s="1"/>
  <c r="N916" i="1"/>
  <c r="AA916" i="1" s="1"/>
  <c r="T916" i="1"/>
  <c r="AG916" i="1" s="1"/>
  <c r="L916" i="1"/>
  <c r="Y916" i="1" s="1"/>
  <c r="O916" i="1"/>
  <c r="AB916" i="1" s="1"/>
  <c r="M916" i="1"/>
  <c r="Z916" i="1" s="1"/>
  <c r="K916" i="1"/>
  <c r="X916" i="1" s="1"/>
  <c r="U916" i="1"/>
  <c r="AH916" i="1" s="1"/>
  <c r="S916" i="1"/>
  <c r="AF916" i="1" s="1"/>
  <c r="P916" i="1"/>
  <c r="AC916" i="1" s="1"/>
  <c r="R916" i="1"/>
  <c r="AE916" i="1" s="1"/>
  <c r="V305" i="1"/>
  <c r="AI305" i="1" s="1"/>
  <c r="N305" i="1"/>
  <c r="AA305" i="1" s="1"/>
  <c r="U305" i="1"/>
  <c r="AH305" i="1" s="1"/>
  <c r="M305" i="1"/>
  <c r="Z305" i="1" s="1"/>
  <c r="T305" i="1"/>
  <c r="AG305" i="1" s="1"/>
  <c r="L305" i="1"/>
  <c r="Y305" i="1" s="1"/>
  <c r="S305" i="1"/>
  <c r="AF305" i="1" s="1"/>
  <c r="K305" i="1"/>
  <c r="X305" i="1" s="1"/>
  <c r="R305" i="1"/>
  <c r="AE305" i="1" s="1"/>
  <c r="Q305" i="1"/>
  <c r="AD305" i="1" s="1"/>
  <c r="O305" i="1"/>
  <c r="AB305" i="1" s="1"/>
  <c r="P305" i="1"/>
  <c r="AC305" i="1" s="1"/>
  <c r="O1386" i="1"/>
  <c r="AB1386" i="1" s="1"/>
  <c r="V1386" i="1"/>
  <c r="AI1386" i="1" s="1"/>
  <c r="N1386" i="1"/>
  <c r="AA1386" i="1" s="1"/>
  <c r="U1386" i="1"/>
  <c r="AH1386" i="1" s="1"/>
  <c r="M1386" i="1"/>
  <c r="Z1386" i="1" s="1"/>
  <c r="T1386" i="1"/>
  <c r="AG1386" i="1" s="1"/>
  <c r="L1386" i="1"/>
  <c r="Y1386" i="1" s="1"/>
  <c r="S1386" i="1"/>
  <c r="AF1386" i="1" s="1"/>
  <c r="K1386" i="1"/>
  <c r="X1386" i="1" s="1"/>
  <c r="R1386" i="1"/>
  <c r="AE1386" i="1" s="1"/>
  <c r="Q1386" i="1"/>
  <c r="AD1386" i="1" s="1"/>
  <c r="P1386" i="1"/>
  <c r="AC1386" i="1" s="1"/>
  <c r="T508" i="1"/>
  <c r="AG508" i="1" s="1"/>
  <c r="N508" i="1"/>
  <c r="AA508" i="1" s="1"/>
  <c r="U508" i="1"/>
  <c r="AH508" i="1" s="1"/>
  <c r="L508" i="1"/>
  <c r="Y508" i="1" s="1"/>
  <c r="S508" i="1"/>
  <c r="AF508" i="1" s="1"/>
  <c r="K508" i="1"/>
  <c r="X508" i="1" s="1"/>
  <c r="R508" i="1"/>
  <c r="AE508" i="1" s="1"/>
  <c r="Q508" i="1"/>
  <c r="AD508" i="1" s="1"/>
  <c r="O508" i="1"/>
  <c r="AB508" i="1" s="1"/>
  <c r="M508" i="1"/>
  <c r="Z508" i="1" s="1"/>
  <c r="P508" i="1"/>
  <c r="AC508" i="1" s="1"/>
  <c r="V508" i="1"/>
  <c r="AI508" i="1" s="1"/>
  <c r="S161" i="1"/>
  <c r="AF161" i="1" s="1"/>
  <c r="Q161" i="1"/>
  <c r="AD161" i="1" s="1"/>
  <c r="U161" i="1"/>
  <c r="AH161" i="1" s="1"/>
  <c r="K161" i="1"/>
  <c r="X161" i="1" s="1"/>
  <c r="T161" i="1"/>
  <c r="AG161" i="1" s="1"/>
  <c r="R161" i="1"/>
  <c r="AE161" i="1" s="1"/>
  <c r="P161" i="1"/>
  <c r="AC161" i="1" s="1"/>
  <c r="O161" i="1"/>
  <c r="AB161" i="1" s="1"/>
  <c r="N161" i="1"/>
  <c r="AA161" i="1" s="1"/>
  <c r="V161" i="1"/>
  <c r="AI161" i="1" s="1"/>
  <c r="L161" i="1"/>
  <c r="Y161" i="1" s="1"/>
  <c r="M161" i="1"/>
  <c r="Z161" i="1" s="1"/>
  <c r="T1626" i="1"/>
  <c r="AG1626" i="1" s="1"/>
  <c r="L1626" i="1"/>
  <c r="Y1626" i="1" s="1"/>
  <c r="R1626" i="1"/>
  <c r="AE1626" i="1" s="1"/>
  <c r="Q1626" i="1"/>
  <c r="AD1626" i="1" s="1"/>
  <c r="O1626" i="1"/>
  <c r="AB1626" i="1" s="1"/>
  <c r="U1626" i="1"/>
  <c r="AH1626" i="1" s="1"/>
  <c r="M1626" i="1"/>
  <c r="Z1626" i="1" s="1"/>
  <c r="V1626" i="1"/>
  <c r="AI1626" i="1" s="1"/>
  <c r="S1626" i="1"/>
  <c r="AF1626" i="1" s="1"/>
  <c r="P1626" i="1"/>
  <c r="AC1626" i="1" s="1"/>
  <c r="N1626" i="1"/>
  <c r="AA1626" i="1" s="1"/>
  <c r="K1626" i="1"/>
  <c r="X1626" i="1" s="1"/>
  <c r="S1409" i="1"/>
  <c r="AF1409" i="1" s="1"/>
  <c r="K1409" i="1"/>
  <c r="X1409" i="1" s="1"/>
  <c r="R1409" i="1"/>
  <c r="AE1409" i="1" s="1"/>
  <c r="Q1409" i="1"/>
  <c r="AD1409" i="1" s="1"/>
  <c r="P1409" i="1"/>
  <c r="AC1409" i="1" s="1"/>
  <c r="O1409" i="1"/>
  <c r="AB1409" i="1" s="1"/>
  <c r="V1409" i="1"/>
  <c r="AI1409" i="1" s="1"/>
  <c r="N1409" i="1"/>
  <c r="AA1409" i="1" s="1"/>
  <c r="U1409" i="1"/>
  <c r="AH1409" i="1" s="1"/>
  <c r="M1409" i="1"/>
  <c r="Z1409" i="1" s="1"/>
  <c r="L1409" i="1"/>
  <c r="Y1409" i="1" s="1"/>
  <c r="T1409" i="1"/>
  <c r="AG1409" i="1" s="1"/>
  <c r="R252" i="1"/>
  <c r="AE252" i="1" s="1"/>
  <c r="Q252" i="1"/>
  <c r="AD252" i="1" s="1"/>
  <c r="P252" i="1"/>
  <c r="AC252" i="1" s="1"/>
  <c r="O252" i="1"/>
  <c r="AB252" i="1" s="1"/>
  <c r="V252" i="1"/>
  <c r="AI252" i="1" s="1"/>
  <c r="N252" i="1"/>
  <c r="AA252" i="1" s="1"/>
  <c r="U252" i="1"/>
  <c r="AH252" i="1" s="1"/>
  <c r="M252" i="1"/>
  <c r="Z252" i="1" s="1"/>
  <c r="S252" i="1"/>
  <c r="AF252" i="1" s="1"/>
  <c r="K252" i="1"/>
  <c r="X252" i="1" s="1"/>
  <c r="T252" i="1"/>
  <c r="AG252" i="1" s="1"/>
  <c r="L252" i="1"/>
  <c r="Y252" i="1" s="1"/>
  <c r="U770" i="1"/>
  <c r="AH770" i="1" s="1"/>
  <c r="M770" i="1"/>
  <c r="Z770" i="1" s="1"/>
  <c r="T770" i="1"/>
  <c r="AG770" i="1" s="1"/>
  <c r="L770" i="1"/>
  <c r="Y770" i="1" s="1"/>
  <c r="S770" i="1"/>
  <c r="AF770" i="1" s="1"/>
  <c r="K770" i="1"/>
  <c r="X770" i="1" s="1"/>
  <c r="R770" i="1"/>
  <c r="AE770" i="1" s="1"/>
  <c r="Q770" i="1"/>
  <c r="AD770" i="1" s="1"/>
  <c r="P770" i="1"/>
  <c r="AC770" i="1" s="1"/>
  <c r="V770" i="1"/>
  <c r="AI770" i="1" s="1"/>
  <c r="N770" i="1"/>
  <c r="AA770" i="1" s="1"/>
  <c r="O770" i="1"/>
  <c r="AB770" i="1" s="1"/>
  <c r="R331" i="1"/>
  <c r="AE331" i="1" s="1"/>
  <c r="P331" i="1"/>
  <c r="AC331" i="1" s="1"/>
  <c r="V331" i="1"/>
  <c r="AI331" i="1" s="1"/>
  <c r="N331" i="1"/>
  <c r="AA331" i="1" s="1"/>
  <c r="U331" i="1"/>
  <c r="AH331" i="1" s="1"/>
  <c r="M331" i="1"/>
  <c r="Z331" i="1" s="1"/>
  <c r="S331" i="1"/>
  <c r="AF331" i="1" s="1"/>
  <c r="K331" i="1"/>
  <c r="X331" i="1" s="1"/>
  <c r="T331" i="1"/>
  <c r="AG331" i="1" s="1"/>
  <c r="Q331" i="1"/>
  <c r="AD331" i="1" s="1"/>
  <c r="O331" i="1"/>
  <c r="AB331" i="1" s="1"/>
  <c r="L331" i="1"/>
  <c r="Y331" i="1" s="1"/>
  <c r="Q1590" i="1"/>
  <c r="AD1590" i="1" s="1"/>
  <c r="P1590" i="1"/>
  <c r="AC1590" i="1" s="1"/>
  <c r="O1590" i="1"/>
  <c r="AB1590" i="1" s="1"/>
  <c r="V1590" i="1"/>
  <c r="AI1590" i="1" s="1"/>
  <c r="N1590" i="1"/>
  <c r="AA1590" i="1" s="1"/>
  <c r="U1590" i="1"/>
  <c r="AH1590" i="1" s="1"/>
  <c r="M1590" i="1"/>
  <c r="Z1590" i="1" s="1"/>
  <c r="T1590" i="1"/>
  <c r="AG1590" i="1" s="1"/>
  <c r="L1590" i="1"/>
  <c r="Y1590" i="1" s="1"/>
  <c r="R1590" i="1"/>
  <c r="AE1590" i="1" s="1"/>
  <c r="S1590" i="1"/>
  <c r="AF1590" i="1" s="1"/>
  <c r="K1590" i="1"/>
  <c r="X1590" i="1" s="1"/>
  <c r="P1496" i="1"/>
  <c r="AC1496" i="1" s="1"/>
  <c r="O1496" i="1"/>
  <c r="AB1496" i="1" s="1"/>
  <c r="V1496" i="1"/>
  <c r="AI1496" i="1" s="1"/>
  <c r="N1496" i="1"/>
  <c r="AA1496" i="1" s="1"/>
  <c r="U1496" i="1"/>
  <c r="AH1496" i="1" s="1"/>
  <c r="M1496" i="1"/>
  <c r="Z1496" i="1" s="1"/>
  <c r="T1496" i="1"/>
  <c r="AG1496" i="1" s="1"/>
  <c r="L1496" i="1"/>
  <c r="Y1496" i="1" s="1"/>
  <c r="S1496" i="1"/>
  <c r="AF1496" i="1" s="1"/>
  <c r="K1496" i="1"/>
  <c r="X1496" i="1" s="1"/>
  <c r="R1496" i="1"/>
  <c r="AE1496" i="1" s="1"/>
  <c r="Q1496" i="1"/>
  <c r="AD1496" i="1" s="1"/>
  <c r="Q1179" i="1"/>
  <c r="AD1179" i="1" s="1"/>
  <c r="L360" i="1"/>
  <c r="Y360" i="1" s="1"/>
  <c r="V1275" i="1"/>
  <c r="AI1275" i="1" s="1"/>
  <c r="N1275" i="1"/>
  <c r="AA1275" i="1" s="1"/>
  <c r="U1275" i="1"/>
  <c r="AH1275" i="1" s="1"/>
  <c r="M1275" i="1"/>
  <c r="Z1275" i="1" s="1"/>
  <c r="S1275" i="1"/>
  <c r="AF1275" i="1" s="1"/>
  <c r="K1275" i="1"/>
  <c r="X1275" i="1" s="1"/>
  <c r="R1275" i="1"/>
  <c r="AE1275" i="1" s="1"/>
  <c r="Q1275" i="1"/>
  <c r="AD1275" i="1" s="1"/>
  <c r="T1275" i="1"/>
  <c r="AG1275" i="1" s="1"/>
  <c r="P1275" i="1"/>
  <c r="AC1275" i="1" s="1"/>
  <c r="O1275" i="1"/>
  <c r="AB1275" i="1" s="1"/>
  <c r="L1275" i="1"/>
  <c r="Y1275" i="1" s="1"/>
  <c r="M767" i="1"/>
  <c r="Z767" i="1" s="1"/>
  <c r="P765" i="1"/>
  <c r="AC765" i="1" s="1"/>
  <c r="N1613" i="1"/>
  <c r="AA1613" i="1" s="1"/>
  <c r="M956" i="1"/>
  <c r="Z956" i="1" s="1"/>
  <c r="K66" i="1"/>
  <c r="X66" i="1" s="1"/>
  <c r="T416" i="1"/>
  <c r="AG416" i="1" s="1"/>
  <c r="O1373" i="1"/>
  <c r="AB1373" i="1" s="1"/>
  <c r="R181" i="1"/>
  <c r="AE181" i="1" s="1"/>
  <c r="L110" i="1"/>
  <c r="Y110" i="1" s="1"/>
  <c r="P632" i="1"/>
  <c r="AC632" i="1" s="1"/>
  <c r="N1073" i="1"/>
  <c r="AA1073" i="1" s="1"/>
  <c r="K1121" i="1"/>
  <c r="X1121" i="1" s="1"/>
  <c r="R43" i="1"/>
  <c r="AE43" i="1" s="1"/>
  <c r="Q43" i="1"/>
  <c r="AD43" i="1" s="1"/>
  <c r="P43" i="1"/>
  <c r="AC43" i="1" s="1"/>
  <c r="O43" i="1"/>
  <c r="AB43" i="1" s="1"/>
  <c r="V43" i="1"/>
  <c r="AI43" i="1" s="1"/>
  <c r="N43" i="1"/>
  <c r="AA43" i="1" s="1"/>
  <c r="U43" i="1"/>
  <c r="AH43" i="1" s="1"/>
  <c r="M43" i="1"/>
  <c r="Z43" i="1" s="1"/>
  <c r="S43" i="1"/>
  <c r="AF43" i="1" s="1"/>
  <c r="K43" i="1"/>
  <c r="X43" i="1" s="1"/>
  <c r="T43" i="1"/>
  <c r="AG43" i="1" s="1"/>
  <c r="L43" i="1"/>
  <c r="Y43" i="1" s="1"/>
  <c r="Q940" i="1"/>
  <c r="AD940" i="1" s="1"/>
  <c r="V940" i="1"/>
  <c r="AI940" i="1" s="1"/>
  <c r="N940" i="1"/>
  <c r="AA940" i="1" s="1"/>
  <c r="T940" i="1"/>
  <c r="AG940" i="1" s="1"/>
  <c r="L940" i="1"/>
  <c r="Y940" i="1" s="1"/>
  <c r="U940" i="1"/>
  <c r="AH940" i="1" s="1"/>
  <c r="S940" i="1"/>
  <c r="AF940" i="1" s="1"/>
  <c r="R940" i="1"/>
  <c r="AE940" i="1" s="1"/>
  <c r="P940" i="1"/>
  <c r="AC940" i="1" s="1"/>
  <c r="O940" i="1"/>
  <c r="AB940" i="1" s="1"/>
  <c r="M940" i="1"/>
  <c r="Z940" i="1" s="1"/>
  <c r="K940" i="1"/>
  <c r="X940" i="1" s="1"/>
  <c r="U746" i="1"/>
  <c r="AH746" i="1" s="1"/>
  <c r="M746" i="1"/>
  <c r="Z746" i="1" s="1"/>
  <c r="T746" i="1"/>
  <c r="AG746" i="1" s="1"/>
  <c r="L746" i="1"/>
  <c r="Y746" i="1" s="1"/>
  <c r="S746" i="1"/>
  <c r="AF746" i="1" s="1"/>
  <c r="K746" i="1"/>
  <c r="X746" i="1" s="1"/>
  <c r="R746" i="1"/>
  <c r="AE746" i="1" s="1"/>
  <c r="Q746" i="1"/>
  <c r="AD746" i="1" s="1"/>
  <c r="P746" i="1"/>
  <c r="AC746" i="1" s="1"/>
  <c r="V746" i="1"/>
  <c r="AI746" i="1" s="1"/>
  <c r="N746" i="1"/>
  <c r="AA746" i="1" s="1"/>
  <c r="O746" i="1"/>
  <c r="AB746" i="1" s="1"/>
  <c r="O609" i="1"/>
  <c r="AB609" i="1" s="1"/>
  <c r="V609" i="1"/>
  <c r="AI609" i="1" s="1"/>
  <c r="N609" i="1"/>
  <c r="AA609" i="1" s="1"/>
  <c r="U609" i="1"/>
  <c r="AH609" i="1" s="1"/>
  <c r="M609" i="1"/>
  <c r="Z609" i="1" s="1"/>
  <c r="T609" i="1"/>
  <c r="AG609" i="1" s="1"/>
  <c r="L609" i="1"/>
  <c r="Y609" i="1" s="1"/>
  <c r="S609" i="1"/>
  <c r="AF609" i="1" s="1"/>
  <c r="K609" i="1"/>
  <c r="X609" i="1" s="1"/>
  <c r="R609" i="1"/>
  <c r="AE609" i="1" s="1"/>
  <c r="P609" i="1"/>
  <c r="AC609" i="1" s="1"/>
  <c r="Q609" i="1"/>
  <c r="AD609" i="1" s="1"/>
  <c r="V458" i="1"/>
  <c r="AI458" i="1" s="1"/>
  <c r="N458" i="1"/>
  <c r="AA458" i="1" s="1"/>
  <c r="T458" i="1"/>
  <c r="AG458" i="1" s="1"/>
  <c r="L458" i="1"/>
  <c r="Y458" i="1" s="1"/>
  <c r="S458" i="1"/>
  <c r="AF458" i="1" s="1"/>
  <c r="K458" i="1"/>
  <c r="X458" i="1" s="1"/>
  <c r="R458" i="1"/>
  <c r="AE458" i="1" s="1"/>
  <c r="Q458" i="1"/>
  <c r="AD458" i="1" s="1"/>
  <c r="O458" i="1"/>
  <c r="AB458" i="1" s="1"/>
  <c r="U458" i="1"/>
  <c r="AH458" i="1" s="1"/>
  <c r="P458" i="1"/>
  <c r="AC458" i="1" s="1"/>
  <c r="M458" i="1"/>
  <c r="Z458" i="1" s="1"/>
  <c r="V350" i="1"/>
  <c r="AI350" i="1" s="1"/>
  <c r="N350" i="1"/>
  <c r="AA350" i="1" s="1"/>
  <c r="T350" i="1"/>
  <c r="AG350" i="1" s="1"/>
  <c r="L350" i="1"/>
  <c r="Y350" i="1" s="1"/>
  <c r="R350" i="1"/>
  <c r="AE350" i="1" s="1"/>
  <c r="Q350" i="1"/>
  <c r="AD350" i="1" s="1"/>
  <c r="O350" i="1"/>
  <c r="AB350" i="1" s="1"/>
  <c r="K350" i="1"/>
  <c r="X350" i="1" s="1"/>
  <c r="U350" i="1"/>
  <c r="AH350" i="1" s="1"/>
  <c r="S350" i="1"/>
  <c r="AF350" i="1" s="1"/>
  <c r="M350" i="1"/>
  <c r="Z350" i="1" s="1"/>
  <c r="P350" i="1"/>
  <c r="AC350" i="1" s="1"/>
  <c r="O184" i="1"/>
  <c r="AB184" i="1" s="1"/>
  <c r="U184" i="1"/>
  <c r="AH184" i="1" s="1"/>
  <c r="M184" i="1"/>
  <c r="Z184" i="1" s="1"/>
  <c r="S184" i="1"/>
  <c r="AF184" i="1" s="1"/>
  <c r="K184" i="1"/>
  <c r="X184" i="1" s="1"/>
  <c r="N184" i="1"/>
  <c r="AA184" i="1" s="1"/>
  <c r="L184" i="1"/>
  <c r="Y184" i="1" s="1"/>
  <c r="V184" i="1"/>
  <c r="AI184" i="1" s="1"/>
  <c r="T184" i="1"/>
  <c r="AG184" i="1" s="1"/>
  <c r="R184" i="1"/>
  <c r="AE184" i="1" s="1"/>
  <c r="P184" i="1"/>
  <c r="AC184" i="1" s="1"/>
  <c r="Q184" i="1"/>
  <c r="AD184" i="1" s="1"/>
  <c r="V428" i="1"/>
  <c r="AI428" i="1" s="1"/>
  <c r="N428" i="1"/>
  <c r="AA428" i="1" s="1"/>
  <c r="T428" i="1"/>
  <c r="AG428" i="1" s="1"/>
  <c r="L428" i="1"/>
  <c r="Y428" i="1" s="1"/>
  <c r="S428" i="1"/>
  <c r="AF428" i="1" s="1"/>
  <c r="K428" i="1"/>
  <c r="X428" i="1" s="1"/>
  <c r="R428" i="1"/>
  <c r="AE428" i="1" s="1"/>
  <c r="Q428" i="1"/>
  <c r="AD428" i="1" s="1"/>
  <c r="O428" i="1"/>
  <c r="AB428" i="1" s="1"/>
  <c r="M428" i="1"/>
  <c r="Z428" i="1" s="1"/>
  <c r="P428" i="1"/>
  <c r="AC428" i="1" s="1"/>
  <c r="U428" i="1"/>
  <c r="AH428" i="1" s="1"/>
  <c r="O661" i="1"/>
  <c r="AB661" i="1" s="1"/>
  <c r="V661" i="1"/>
  <c r="AI661" i="1" s="1"/>
  <c r="N661" i="1"/>
  <c r="AA661" i="1" s="1"/>
  <c r="U661" i="1"/>
  <c r="AH661" i="1" s="1"/>
  <c r="M661" i="1"/>
  <c r="Z661" i="1" s="1"/>
  <c r="T661" i="1"/>
  <c r="AG661" i="1" s="1"/>
  <c r="L661" i="1"/>
  <c r="Y661" i="1" s="1"/>
  <c r="S661" i="1"/>
  <c r="AF661" i="1" s="1"/>
  <c r="K661" i="1"/>
  <c r="X661" i="1" s="1"/>
  <c r="R661" i="1"/>
  <c r="AE661" i="1" s="1"/>
  <c r="P661" i="1"/>
  <c r="AC661" i="1" s="1"/>
  <c r="Q661" i="1"/>
  <c r="AD661" i="1" s="1"/>
  <c r="O1400" i="1"/>
  <c r="AB1400" i="1" s="1"/>
  <c r="V1400" i="1"/>
  <c r="AI1400" i="1" s="1"/>
  <c r="N1400" i="1"/>
  <c r="AA1400" i="1" s="1"/>
  <c r="U1400" i="1"/>
  <c r="AH1400" i="1" s="1"/>
  <c r="M1400" i="1"/>
  <c r="Z1400" i="1" s="1"/>
  <c r="T1400" i="1"/>
  <c r="AG1400" i="1" s="1"/>
  <c r="L1400" i="1"/>
  <c r="Y1400" i="1" s="1"/>
  <c r="S1400" i="1"/>
  <c r="AF1400" i="1" s="1"/>
  <c r="K1400" i="1"/>
  <c r="X1400" i="1" s="1"/>
  <c r="R1400" i="1"/>
  <c r="AE1400" i="1" s="1"/>
  <c r="Q1400" i="1"/>
  <c r="AD1400" i="1" s="1"/>
  <c r="P1400" i="1"/>
  <c r="AC1400" i="1" s="1"/>
  <c r="T978" i="1"/>
  <c r="AG978" i="1" s="1"/>
  <c r="L978" i="1"/>
  <c r="Y978" i="1" s="1"/>
  <c r="S978" i="1"/>
  <c r="AF978" i="1" s="1"/>
  <c r="K978" i="1"/>
  <c r="X978" i="1" s="1"/>
  <c r="R978" i="1"/>
  <c r="AE978" i="1" s="1"/>
  <c r="Q978" i="1"/>
  <c r="AD978" i="1" s="1"/>
  <c r="P978" i="1"/>
  <c r="AC978" i="1" s="1"/>
  <c r="O978" i="1"/>
  <c r="AB978" i="1" s="1"/>
  <c r="V978" i="1"/>
  <c r="AI978" i="1" s="1"/>
  <c r="U978" i="1"/>
  <c r="AH978" i="1" s="1"/>
  <c r="N978" i="1"/>
  <c r="AA978" i="1" s="1"/>
  <c r="M978" i="1"/>
  <c r="Z978" i="1" s="1"/>
  <c r="O655" i="1"/>
  <c r="AB655" i="1" s="1"/>
  <c r="V655" i="1"/>
  <c r="AI655" i="1" s="1"/>
  <c r="N655" i="1"/>
  <c r="AA655" i="1" s="1"/>
  <c r="U655" i="1"/>
  <c r="AH655" i="1" s="1"/>
  <c r="M655" i="1"/>
  <c r="Z655" i="1" s="1"/>
  <c r="T655" i="1"/>
  <c r="AG655" i="1" s="1"/>
  <c r="L655" i="1"/>
  <c r="Y655" i="1" s="1"/>
  <c r="S655" i="1"/>
  <c r="AF655" i="1" s="1"/>
  <c r="K655" i="1"/>
  <c r="X655" i="1" s="1"/>
  <c r="R655" i="1"/>
  <c r="AE655" i="1" s="1"/>
  <c r="P655" i="1"/>
  <c r="AC655" i="1" s="1"/>
  <c r="Q655" i="1"/>
  <c r="AD655" i="1" s="1"/>
  <c r="S642" i="1"/>
  <c r="AF642" i="1" s="1"/>
  <c r="K642" i="1"/>
  <c r="X642" i="1" s="1"/>
  <c r="R642" i="1"/>
  <c r="AE642" i="1" s="1"/>
  <c r="Q642" i="1"/>
  <c r="AD642" i="1" s="1"/>
  <c r="P642" i="1"/>
  <c r="AC642" i="1" s="1"/>
  <c r="O642" i="1"/>
  <c r="AB642" i="1" s="1"/>
  <c r="V642" i="1"/>
  <c r="AI642" i="1" s="1"/>
  <c r="N642" i="1"/>
  <c r="AA642" i="1" s="1"/>
  <c r="T642" i="1"/>
  <c r="AG642" i="1" s="1"/>
  <c r="L642" i="1"/>
  <c r="Y642" i="1" s="1"/>
  <c r="U642" i="1"/>
  <c r="AH642" i="1" s="1"/>
  <c r="M642" i="1"/>
  <c r="Z642" i="1" s="1"/>
  <c r="O595" i="1"/>
  <c r="AB595" i="1" s="1"/>
  <c r="V595" i="1"/>
  <c r="AI595" i="1" s="1"/>
  <c r="N595" i="1"/>
  <c r="AA595" i="1" s="1"/>
  <c r="U595" i="1"/>
  <c r="AH595" i="1" s="1"/>
  <c r="M595" i="1"/>
  <c r="Z595" i="1" s="1"/>
  <c r="T595" i="1"/>
  <c r="AG595" i="1" s="1"/>
  <c r="L595" i="1"/>
  <c r="Y595" i="1" s="1"/>
  <c r="S595" i="1"/>
  <c r="AF595" i="1" s="1"/>
  <c r="K595" i="1"/>
  <c r="X595" i="1" s="1"/>
  <c r="R595" i="1"/>
  <c r="AE595" i="1" s="1"/>
  <c r="P595" i="1"/>
  <c r="AC595" i="1" s="1"/>
  <c r="Q595" i="1"/>
  <c r="AD595" i="1" s="1"/>
  <c r="V315" i="1"/>
  <c r="AI315" i="1" s="1"/>
  <c r="N315" i="1"/>
  <c r="AA315" i="1" s="1"/>
  <c r="U315" i="1"/>
  <c r="AH315" i="1" s="1"/>
  <c r="M315" i="1"/>
  <c r="Z315" i="1" s="1"/>
  <c r="T315" i="1"/>
  <c r="AG315" i="1" s="1"/>
  <c r="L315" i="1"/>
  <c r="Y315" i="1" s="1"/>
  <c r="S315" i="1"/>
  <c r="AF315" i="1" s="1"/>
  <c r="K315" i="1"/>
  <c r="X315" i="1" s="1"/>
  <c r="R315" i="1"/>
  <c r="AE315" i="1" s="1"/>
  <c r="Q315" i="1"/>
  <c r="AD315" i="1" s="1"/>
  <c r="O315" i="1"/>
  <c r="AB315" i="1" s="1"/>
  <c r="P315" i="1"/>
  <c r="AC315" i="1" s="1"/>
  <c r="R83" i="1"/>
  <c r="AE83" i="1" s="1"/>
  <c r="Q83" i="1"/>
  <c r="AD83" i="1" s="1"/>
  <c r="P83" i="1"/>
  <c r="AC83" i="1" s="1"/>
  <c r="O83" i="1"/>
  <c r="AB83" i="1" s="1"/>
  <c r="V83" i="1"/>
  <c r="AI83" i="1" s="1"/>
  <c r="N83" i="1"/>
  <c r="AA83" i="1" s="1"/>
  <c r="U83" i="1"/>
  <c r="AH83" i="1" s="1"/>
  <c r="M83" i="1"/>
  <c r="Z83" i="1" s="1"/>
  <c r="S83" i="1"/>
  <c r="AF83" i="1" s="1"/>
  <c r="K83" i="1"/>
  <c r="X83" i="1" s="1"/>
  <c r="T83" i="1"/>
  <c r="AG83" i="1" s="1"/>
  <c r="L83" i="1"/>
  <c r="Y83" i="1" s="1"/>
  <c r="O681" i="1"/>
  <c r="AB681" i="1" s="1"/>
  <c r="V681" i="1"/>
  <c r="AI681" i="1" s="1"/>
  <c r="N681" i="1"/>
  <c r="AA681" i="1" s="1"/>
  <c r="U681" i="1"/>
  <c r="AH681" i="1" s="1"/>
  <c r="M681" i="1"/>
  <c r="Z681" i="1" s="1"/>
  <c r="T681" i="1"/>
  <c r="AG681" i="1" s="1"/>
  <c r="L681" i="1"/>
  <c r="Y681" i="1" s="1"/>
  <c r="S681" i="1"/>
  <c r="AF681" i="1" s="1"/>
  <c r="K681" i="1"/>
  <c r="X681" i="1" s="1"/>
  <c r="R681" i="1"/>
  <c r="AE681" i="1" s="1"/>
  <c r="P681" i="1"/>
  <c r="AC681" i="1" s="1"/>
  <c r="Q681" i="1"/>
  <c r="AD681" i="1" s="1"/>
  <c r="Q1594" i="1"/>
  <c r="AD1594" i="1" s="1"/>
  <c r="P1594" i="1"/>
  <c r="AC1594" i="1" s="1"/>
  <c r="O1594" i="1"/>
  <c r="AB1594" i="1" s="1"/>
  <c r="V1594" i="1"/>
  <c r="AI1594" i="1" s="1"/>
  <c r="N1594" i="1"/>
  <c r="AA1594" i="1" s="1"/>
  <c r="U1594" i="1"/>
  <c r="AH1594" i="1" s="1"/>
  <c r="M1594" i="1"/>
  <c r="Z1594" i="1" s="1"/>
  <c r="T1594" i="1"/>
  <c r="AG1594" i="1" s="1"/>
  <c r="L1594" i="1"/>
  <c r="Y1594" i="1" s="1"/>
  <c r="R1594" i="1"/>
  <c r="AE1594" i="1" s="1"/>
  <c r="S1594" i="1"/>
  <c r="AF1594" i="1" s="1"/>
  <c r="K1594" i="1"/>
  <c r="X1594" i="1" s="1"/>
  <c r="U1601" i="1"/>
  <c r="AH1601" i="1" s="1"/>
  <c r="M1601" i="1"/>
  <c r="Z1601" i="1" s="1"/>
  <c r="S1601" i="1"/>
  <c r="AF1601" i="1" s="1"/>
  <c r="K1601" i="1"/>
  <c r="X1601" i="1" s="1"/>
  <c r="O1601" i="1"/>
  <c r="AB1601" i="1" s="1"/>
  <c r="N1601" i="1"/>
  <c r="AA1601" i="1" s="1"/>
  <c r="L1601" i="1"/>
  <c r="Y1601" i="1" s="1"/>
  <c r="V1601" i="1"/>
  <c r="AI1601" i="1" s="1"/>
  <c r="T1601" i="1"/>
  <c r="AG1601" i="1" s="1"/>
  <c r="R1601" i="1"/>
  <c r="AE1601" i="1" s="1"/>
  <c r="P1601" i="1"/>
  <c r="AC1601" i="1" s="1"/>
  <c r="Q1601" i="1"/>
  <c r="AD1601" i="1" s="1"/>
  <c r="V1695" i="1"/>
  <c r="AI1695" i="1" s="1"/>
  <c r="N1695" i="1"/>
  <c r="AA1695" i="1" s="1"/>
  <c r="U1695" i="1"/>
  <c r="AH1695" i="1" s="1"/>
  <c r="M1695" i="1"/>
  <c r="Z1695" i="1" s="1"/>
  <c r="T1695" i="1"/>
  <c r="AG1695" i="1" s="1"/>
  <c r="L1695" i="1"/>
  <c r="Y1695" i="1" s="1"/>
  <c r="S1695" i="1"/>
  <c r="AF1695" i="1" s="1"/>
  <c r="K1695" i="1"/>
  <c r="X1695" i="1" s="1"/>
  <c r="R1695" i="1"/>
  <c r="AE1695" i="1" s="1"/>
  <c r="Q1695" i="1"/>
  <c r="AD1695" i="1" s="1"/>
  <c r="P1695" i="1"/>
  <c r="AC1695" i="1" s="1"/>
  <c r="O1695" i="1"/>
  <c r="AB1695" i="1" s="1"/>
  <c r="O1550" i="1"/>
  <c r="AB1550" i="1" s="1"/>
  <c r="V1550" i="1"/>
  <c r="AI1550" i="1" s="1"/>
  <c r="N1550" i="1"/>
  <c r="AA1550" i="1" s="1"/>
  <c r="U1550" i="1"/>
  <c r="AH1550" i="1" s="1"/>
  <c r="M1550" i="1"/>
  <c r="Z1550" i="1" s="1"/>
  <c r="T1550" i="1"/>
  <c r="AG1550" i="1" s="1"/>
  <c r="L1550" i="1"/>
  <c r="Y1550" i="1" s="1"/>
  <c r="R1550" i="1"/>
  <c r="AE1550" i="1" s="1"/>
  <c r="S1550" i="1"/>
  <c r="AF1550" i="1" s="1"/>
  <c r="Q1550" i="1"/>
  <c r="AD1550" i="1" s="1"/>
  <c r="P1550" i="1"/>
  <c r="AC1550" i="1" s="1"/>
  <c r="K1550" i="1"/>
  <c r="X1550" i="1" s="1"/>
  <c r="S1527" i="1"/>
  <c r="AF1527" i="1" s="1"/>
  <c r="K1527" i="1"/>
  <c r="X1527" i="1" s="1"/>
  <c r="R1527" i="1"/>
  <c r="AE1527" i="1" s="1"/>
  <c r="P1527" i="1"/>
  <c r="AC1527" i="1" s="1"/>
  <c r="V1527" i="1"/>
  <c r="AI1527" i="1" s="1"/>
  <c r="N1527" i="1"/>
  <c r="AA1527" i="1" s="1"/>
  <c r="U1527" i="1"/>
  <c r="AH1527" i="1" s="1"/>
  <c r="T1527" i="1"/>
  <c r="AG1527" i="1" s="1"/>
  <c r="Q1527" i="1"/>
  <c r="AD1527" i="1" s="1"/>
  <c r="O1527" i="1"/>
  <c r="AB1527" i="1" s="1"/>
  <c r="M1527" i="1"/>
  <c r="Z1527" i="1" s="1"/>
  <c r="L1527" i="1"/>
  <c r="Y1527" i="1" s="1"/>
  <c r="R1262" i="1"/>
  <c r="AE1262" i="1" s="1"/>
  <c r="Q1262" i="1"/>
  <c r="AD1262" i="1" s="1"/>
  <c r="O1262" i="1"/>
  <c r="AB1262" i="1" s="1"/>
  <c r="V1262" i="1"/>
  <c r="AI1262" i="1" s="1"/>
  <c r="N1262" i="1"/>
  <c r="AA1262" i="1" s="1"/>
  <c r="U1262" i="1"/>
  <c r="AH1262" i="1" s="1"/>
  <c r="M1262" i="1"/>
  <c r="Z1262" i="1" s="1"/>
  <c r="T1262" i="1"/>
  <c r="AG1262" i="1" s="1"/>
  <c r="S1262" i="1"/>
  <c r="AF1262" i="1" s="1"/>
  <c r="P1262" i="1"/>
  <c r="AC1262" i="1" s="1"/>
  <c r="L1262" i="1"/>
  <c r="Y1262" i="1" s="1"/>
  <c r="K1262" i="1"/>
  <c r="X1262" i="1" s="1"/>
  <c r="P1033" i="1"/>
  <c r="AC1033" i="1" s="1"/>
  <c r="O1033" i="1"/>
  <c r="AB1033" i="1" s="1"/>
  <c r="V1033" i="1"/>
  <c r="AI1033" i="1" s="1"/>
  <c r="N1033" i="1"/>
  <c r="AA1033" i="1" s="1"/>
  <c r="U1033" i="1"/>
  <c r="AH1033" i="1" s="1"/>
  <c r="M1033" i="1"/>
  <c r="Z1033" i="1" s="1"/>
  <c r="T1033" i="1"/>
  <c r="AG1033" i="1" s="1"/>
  <c r="L1033" i="1"/>
  <c r="Y1033" i="1" s="1"/>
  <c r="S1033" i="1"/>
  <c r="AF1033" i="1" s="1"/>
  <c r="K1033" i="1"/>
  <c r="X1033" i="1" s="1"/>
  <c r="R1033" i="1"/>
  <c r="AE1033" i="1" s="1"/>
  <c r="Q1033" i="1"/>
  <c r="AD1033" i="1" s="1"/>
  <c r="T976" i="1"/>
  <c r="AG976" i="1" s="1"/>
  <c r="L976" i="1"/>
  <c r="Y976" i="1" s="1"/>
  <c r="S976" i="1"/>
  <c r="AF976" i="1" s="1"/>
  <c r="K976" i="1"/>
  <c r="X976" i="1" s="1"/>
  <c r="R976" i="1"/>
  <c r="AE976" i="1" s="1"/>
  <c r="Q976" i="1"/>
  <c r="AD976" i="1" s="1"/>
  <c r="P976" i="1"/>
  <c r="AC976" i="1" s="1"/>
  <c r="O976" i="1"/>
  <c r="AB976" i="1" s="1"/>
  <c r="U976" i="1"/>
  <c r="AH976" i="1" s="1"/>
  <c r="N976" i="1"/>
  <c r="AA976" i="1" s="1"/>
  <c r="M976" i="1"/>
  <c r="Z976" i="1" s="1"/>
  <c r="V976" i="1"/>
  <c r="AI976" i="1" s="1"/>
  <c r="V325" i="1"/>
  <c r="AI325" i="1" s="1"/>
  <c r="N325" i="1"/>
  <c r="AA325" i="1" s="1"/>
  <c r="U325" i="1"/>
  <c r="AH325" i="1" s="1"/>
  <c r="M325" i="1"/>
  <c r="Z325" i="1" s="1"/>
  <c r="K325" i="1"/>
  <c r="X325" i="1" s="1"/>
  <c r="T325" i="1"/>
  <c r="AG325" i="1" s="1"/>
  <c r="S325" i="1"/>
  <c r="AF325" i="1" s="1"/>
  <c r="R325" i="1"/>
  <c r="AE325" i="1" s="1"/>
  <c r="Q325" i="1"/>
  <c r="AD325" i="1" s="1"/>
  <c r="P325" i="1"/>
  <c r="AC325" i="1" s="1"/>
  <c r="L325" i="1"/>
  <c r="Y325" i="1" s="1"/>
  <c r="O325" i="1"/>
  <c r="AB325" i="1" s="1"/>
  <c r="S670" i="1"/>
  <c r="AF670" i="1" s="1"/>
  <c r="K670" i="1"/>
  <c r="X670" i="1" s="1"/>
  <c r="R670" i="1"/>
  <c r="AE670" i="1" s="1"/>
  <c r="Q670" i="1"/>
  <c r="AD670" i="1" s="1"/>
  <c r="P670" i="1"/>
  <c r="AC670" i="1" s="1"/>
  <c r="O670" i="1"/>
  <c r="AB670" i="1" s="1"/>
  <c r="V670" i="1"/>
  <c r="AI670" i="1" s="1"/>
  <c r="N670" i="1"/>
  <c r="AA670" i="1" s="1"/>
  <c r="T670" i="1"/>
  <c r="AG670" i="1" s="1"/>
  <c r="L670" i="1"/>
  <c r="Y670" i="1" s="1"/>
  <c r="U670" i="1"/>
  <c r="AH670" i="1" s="1"/>
  <c r="M670" i="1"/>
  <c r="Z670" i="1" s="1"/>
  <c r="S1322" i="1"/>
  <c r="AF1322" i="1" s="1"/>
  <c r="K1322" i="1"/>
  <c r="X1322" i="1" s="1"/>
  <c r="R1322" i="1"/>
  <c r="AE1322" i="1" s="1"/>
  <c r="Q1322" i="1"/>
  <c r="AD1322" i="1" s="1"/>
  <c r="P1322" i="1"/>
  <c r="AC1322" i="1" s="1"/>
  <c r="O1322" i="1"/>
  <c r="AB1322" i="1" s="1"/>
  <c r="V1322" i="1"/>
  <c r="AI1322" i="1" s="1"/>
  <c r="N1322" i="1"/>
  <c r="AA1322" i="1" s="1"/>
  <c r="U1322" i="1"/>
  <c r="AH1322" i="1" s="1"/>
  <c r="M1322" i="1"/>
  <c r="Z1322" i="1" s="1"/>
  <c r="T1322" i="1"/>
  <c r="AG1322" i="1" s="1"/>
  <c r="L1322" i="1"/>
  <c r="Y1322" i="1" s="1"/>
  <c r="U891" i="1"/>
  <c r="AH891" i="1" s="1"/>
  <c r="M891" i="1"/>
  <c r="Z891" i="1" s="1"/>
  <c r="R891" i="1"/>
  <c r="AE891" i="1" s="1"/>
  <c r="P891" i="1"/>
  <c r="AC891" i="1" s="1"/>
  <c r="T891" i="1"/>
  <c r="AG891" i="1" s="1"/>
  <c r="S891" i="1"/>
  <c r="AF891" i="1" s="1"/>
  <c r="Q891" i="1"/>
  <c r="AD891" i="1" s="1"/>
  <c r="O891" i="1"/>
  <c r="AB891" i="1" s="1"/>
  <c r="N891" i="1"/>
  <c r="AA891" i="1" s="1"/>
  <c r="L891" i="1"/>
  <c r="Y891" i="1" s="1"/>
  <c r="V891" i="1"/>
  <c r="AI891" i="1" s="1"/>
  <c r="K891" i="1"/>
  <c r="X891" i="1" s="1"/>
  <c r="S660" i="1"/>
  <c r="AF660" i="1" s="1"/>
  <c r="K660" i="1"/>
  <c r="X660" i="1" s="1"/>
  <c r="R660" i="1"/>
  <c r="AE660" i="1" s="1"/>
  <c r="Q660" i="1"/>
  <c r="AD660" i="1" s="1"/>
  <c r="P660" i="1"/>
  <c r="AC660" i="1" s="1"/>
  <c r="O660" i="1"/>
  <c r="AB660" i="1" s="1"/>
  <c r="V660" i="1"/>
  <c r="AI660" i="1" s="1"/>
  <c r="N660" i="1"/>
  <c r="AA660" i="1" s="1"/>
  <c r="T660" i="1"/>
  <c r="AG660" i="1" s="1"/>
  <c r="L660" i="1"/>
  <c r="Y660" i="1" s="1"/>
  <c r="U660" i="1"/>
  <c r="AH660" i="1" s="1"/>
  <c r="M660" i="1"/>
  <c r="Z660" i="1" s="1"/>
  <c r="O581" i="1"/>
  <c r="AB581" i="1" s="1"/>
  <c r="V581" i="1"/>
  <c r="AI581" i="1" s="1"/>
  <c r="N581" i="1"/>
  <c r="AA581" i="1" s="1"/>
  <c r="U581" i="1"/>
  <c r="AH581" i="1" s="1"/>
  <c r="M581" i="1"/>
  <c r="Z581" i="1" s="1"/>
  <c r="T581" i="1"/>
  <c r="AG581" i="1" s="1"/>
  <c r="L581" i="1"/>
  <c r="Y581" i="1" s="1"/>
  <c r="S581" i="1"/>
  <c r="AF581" i="1" s="1"/>
  <c r="K581" i="1"/>
  <c r="X581" i="1" s="1"/>
  <c r="R581" i="1"/>
  <c r="AE581" i="1" s="1"/>
  <c r="P581" i="1"/>
  <c r="AC581" i="1" s="1"/>
  <c r="Q581" i="1"/>
  <c r="AD581" i="1" s="1"/>
  <c r="V490" i="1"/>
  <c r="AI490" i="1" s="1"/>
  <c r="N490" i="1"/>
  <c r="AA490" i="1" s="1"/>
  <c r="T490" i="1"/>
  <c r="AG490" i="1" s="1"/>
  <c r="L490" i="1"/>
  <c r="Y490" i="1" s="1"/>
  <c r="S490" i="1"/>
  <c r="AF490" i="1" s="1"/>
  <c r="K490" i="1"/>
  <c r="X490" i="1" s="1"/>
  <c r="R490" i="1"/>
  <c r="AE490" i="1" s="1"/>
  <c r="Q490" i="1"/>
  <c r="AD490" i="1" s="1"/>
  <c r="O490" i="1"/>
  <c r="AB490" i="1" s="1"/>
  <c r="U490" i="1"/>
  <c r="AH490" i="1" s="1"/>
  <c r="P490" i="1"/>
  <c r="AC490" i="1" s="1"/>
  <c r="M490" i="1"/>
  <c r="Z490" i="1" s="1"/>
  <c r="V247" i="1"/>
  <c r="AI247" i="1" s="1"/>
  <c r="N247" i="1"/>
  <c r="AA247" i="1" s="1"/>
  <c r="U247" i="1"/>
  <c r="AH247" i="1" s="1"/>
  <c r="M247" i="1"/>
  <c r="Z247" i="1" s="1"/>
  <c r="T247" i="1"/>
  <c r="AG247" i="1" s="1"/>
  <c r="L247" i="1"/>
  <c r="Y247" i="1" s="1"/>
  <c r="S247" i="1"/>
  <c r="AF247" i="1" s="1"/>
  <c r="K247" i="1"/>
  <c r="X247" i="1" s="1"/>
  <c r="R247" i="1"/>
  <c r="AE247" i="1" s="1"/>
  <c r="Q247" i="1"/>
  <c r="AD247" i="1" s="1"/>
  <c r="O247" i="1"/>
  <c r="AB247" i="1" s="1"/>
  <c r="P247" i="1"/>
  <c r="AC247" i="1" s="1"/>
  <c r="O194" i="1"/>
  <c r="AB194" i="1" s="1"/>
  <c r="U194" i="1"/>
  <c r="AH194" i="1" s="1"/>
  <c r="M194" i="1"/>
  <c r="Z194" i="1" s="1"/>
  <c r="S194" i="1"/>
  <c r="AF194" i="1" s="1"/>
  <c r="K194" i="1"/>
  <c r="X194" i="1" s="1"/>
  <c r="V194" i="1"/>
  <c r="AI194" i="1" s="1"/>
  <c r="T194" i="1"/>
  <c r="AG194" i="1" s="1"/>
  <c r="R194" i="1"/>
  <c r="AE194" i="1" s="1"/>
  <c r="Q194" i="1"/>
  <c r="AD194" i="1" s="1"/>
  <c r="P194" i="1"/>
  <c r="AC194" i="1" s="1"/>
  <c r="N194" i="1"/>
  <c r="AA194" i="1" s="1"/>
  <c r="L194" i="1"/>
  <c r="Y194" i="1" s="1"/>
  <c r="S668" i="1"/>
  <c r="AF668" i="1" s="1"/>
  <c r="K668" i="1"/>
  <c r="X668" i="1" s="1"/>
  <c r="R668" i="1"/>
  <c r="AE668" i="1" s="1"/>
  <c r="Q668" i="1"/>
  <c r="AD668" i="1" s="1"/>
  <c r="P668" i="1"/>
  <c r="AC668" i="1" s="1"/>
  <c r="O668" i="1"/>
  <c r="AB668" i="1" s="1"/>
  <c r="V668" i="1"/>
  <c r="AI668" i="1" s="1"/>
  <c r="N668" i="1"/>
  <c r="AA668" i="1" s="1"/>
  <c r="T668" i="1"/>
  <c r="AG668" i="1" s="1"/>
  <c r="L668" i="1"/>
  <c r="Y668" i="1" s="1"/>
  <c r="U668" i="1"/>
  <c r="AH668" i="1" s="1"/>
  <c r="M668" i="1"/>
  <c r="Z668" i="1" s="1"/>
  <c r="V402" i="1"/>
  <c r="AI402" i="1" s="1"/>
  <c r="N402" i="1"/>
  <c r="AA402" i="1" s="1"/>
  <c r="T402" i="1"/>
  <c r="AG402" i="1" s="1"/>
  <c r="L402" i="1"/>
  <c r="Y402" i="1" s="1"/>
  <c r="R402" i="1"/>
  <c r="AE402" i="1" s="1"/>
  <c r="Q402" i="1"/>
  <c r="AD402" i="1" s="1"/>
  <c r="O402" i="1"/>
  <c r="AB402" i="1" s="1"/>
  <c r="U402" i="1"/>
  <c r="AH402" i="1" s="1"/>
  <c r="S402" i="1"/>
  <c r="AF402" i="1" s="1"/>
  <c r="P402" i="1"/>
  <c r="AC402" i="1" s="1"/>
  <c r="M402" i="1"/>
  <c r="Z402" i="1" s="1"/>
  <c r="K402" i="1"/>
  <c r="X402" i="1" s="1"/>
  <c r="T1658" i="1"/>
  <c r="AG1658" i="1" s="1"/>
  <c r="L1658" i="1"/>
  <c r="Y1658" i="1" s="1"/>
  <c r="R1658" i="1"/>
  <c r="AE1658" i="1" s="1"/>
  <c r="Q1658" i="1"/>
  <c r="AD1658" i="1" s="1"/>
  <c r="O1658" i="1"/>
  <c r="AB1658" i="1" s="1"/>
  <c r="U1658" i="1"/>
  <c r="AH1658" i="1" s="1"/>
  <c r="M1658" i="1"/>
  <c r="Z1658" i="1" s="1"/>
  <c r="V1658" i="1"/>
  <c r="AI1658" i="1" s="1"/>
  <c r="S1658" i="1"/>
  <c r="AF1658" i="1" s="1"/>
  <c r="P1658" i="1"/>
  <c r="AC1658" i="1" s="1"/>
  <c r="N1658" i="1"/>
  <c r="AA1658" i="1" s="1"/>
  <c r="K1658" i="1"/>
  <c r="X1658" i="1" s="1"/>
  <c r="P1655" i="1"/>
  <c r="AC1655" i="1" s="1"/>
  <c r="V1655" i="1"/>
  <c r="AI1655" i="1" s="1"/>
  <c r="N1655" i="1"/>
  <c r="AA1655" i="1" s="1"/>
  <c r="U1655" i="1"/>
  <c r="AH1655" i="1" s="1"/>
  <c r="M1655" i="1"/>
  <c r="Z1655" i="1" s="1"/>
  <c r="S1655" i="1"/>
  <c r="AF1655" i="1" s="1"/>
  <c r="K1655" i="1"/>
  <c r="X1655" i="1" s="1"/>
  <c r="Q1655" i="1"/>
  <c r="AD1655" i="1" s="1"/>
  <c r="T1655" i="1"/>
  <c r="AG1655" i="1" s="1"/>
  <c r="R1655" i="1"/>
  <c r="AE1655" i="1" s="1"/>
  <c r="O1655" i="1"/>
  <c r="AB1655" i="1" s="1"/>
  <c r="L1655" i="1"/>
  <c r="Y1655" i="1" s="1"/>
  <c r="V1346" i="1"/>
  <c r="AI1346" i="1" s="1"/>
  <c r="N1346" i="1"/>
  <c r="AA1346" i="1" s="1"/>
  <c r="U1346" i="1"/>
  <c r="AH1346" i="1" s="1"/>
  <c r="M1346" i="1"/>
  <c r="Z1346" i="1" s="1"/>
  <c r="S1346" i="1"/>
  <c r="AF1346" i="1" s="1"/>
  <c r="K1346" i="1"/>
  <c r="X1346" i="1" s="1"/>
  <c r="R1346" i="1"/>
  <c r="AE1346" i="1" s="1"/>
  <c r="Q1346" i="1"/>
  <c r="AD1346" i="1" s="1"/>
  <c r="O1346" i="1"/>
  <c r="AB1346" i="1" s="1"/>
  <c r="L1346" i="1"/>
  <c r="Y1346" i="1" s="1"/>
  <c r="T1346" i="1"/>
  <c r="AG1346" i="1" s="1"/>
  <c r="P1346" i="1"/>
  <c r="AC1346" i="1" s="1"/>
  <c r="P1043" i="1"/>
  <c r="AC1043" i="1" s="1"/>
  <c r="O1043" i="1"/>
  <c r="AB1043" i="1" s="1"/>
  <c r="V1043" i="1"/>
  <c r="AI1043" i="1" s="1"/>
  <c r="N1043" i="1"/>
  <c r="AA1043" i="1" s="1"/>
  <c r="U1043" i="1"/>
  <c r="AH1043" i="1" s="1"/>
  <c r="M1043" i="1"/>
  <c r="Z1043" i="1" s="1"/>
  <c r="T1043" i="1"/>
  <c r="AG1043" i="1" s="1"/>
  <c r="L1043" i="1"/>
  <c r="Y1043" i="1" s="1"/>
  <c r="S1043" i="1"/>
  <c r="AF1043" i="1" s="1"/>
  <c r="K1043" i="1"/>
  <c r="X1043" i="1" s="1"/>
  <c r="Q1043" i="1"/>
  <c r="AD1043" i="1" s="1"/>
  <c r="R1043" i="1"/>
  <c r="AE1043" i="1" s="1"/>
  <c r="P1454" i="1"/>
  <c r="AC1454" i="1" s="1"/>
  <c r="O1454" i="1"/>
  <c r="AB1454" i="1" s="1"/>
  <c r="V1454" i="1"/>
  <c r="AI1454" i="1" s="1"/>
  <c r="N1454" i="1"/>
  <c r="AA1454" i="1" s="1"/>
  <c r="U1454" i="1"/>
  <c r="AH1454" i="1" s="1"/>
  <c r="M1454" i="1"/>
  <c r="Z1454" i="1" s="1"/>
  <c r="T1454" i="1"/>
  <c r="AG1454" i="1" s="1"/>
  <c r="L1454" i="1"/>
  <c r="Y1454" i="1" s="1"/>
  <c r="S1454" i="1"/>
  <c r="AF1454" i="1" s="1"/>
  <c r="K1454" i="1"/>
  <c r="X1454" i="1" s="1"/>
  <c r="R1454" i="1"/>
  <c r="AE1454" i="1" s="1"/>
  <c r="Q1454" i="1"/>
  <c r="AD1454" i="1" s="1"/>
  <c r="N116" i="1"/>
  <c r="AA116" i="1" s="1"/>
  <c r="P857" i="1"/>
  <c r="AC857" i="1" s="1"/>
  <c r="K654" i="1"/>
  <c r="X654" i="1" s="1"/>
  <c r="N21" i="1"/>
  <c r="AA21" i="1" s="1"/>
  <c r="T1642" i="1"/>
  <c r="AG1642" i="1" s="1"/>
  <c r="L1642" i="1"/>
  <c r="Y1642" i="1" s="1"/>
  <c r="R1642" i="1"/>
  <c r="AE1642" i="1" s="1"/>
  <c r="Q1642" i="1"/>
  <c r="AD1642" i="1" s="1"/>
  <c r="O1642" i="1"/>
  <c r="AB1642" i="1" s="1"/>
  <c r="U1642" i="1"/>
  <c r="AH1642" i="1" s="1"/>
  <c r="M1642" i="1"/>
  <c r="Z1642" i="1" s="1"/>
  <c r="V1642" i="1"/>
  <c r="AI1642" i="1" s="1"/>
  <c r="S1642" i="1"/>
  <c r="AF1642" i="1" s="1"/>
  <c r="P1642" i="1"/>
  <c r="AC1642" i="1" s="1"/>
  <c r="N1642" i="1"/>
  <c r="AA1642" i="1" s="1"/>
  <c r="K1642" i="1"/>
  <c r="X1642" i="1" s="1"/>
  <c r="T1489" i="1"/>
  <c r="AG1489" i="1" s="1"/>
  <c r="L1489" i="1"/>
  <c r="Y1489" i="1" s="1"/>
  <c r="S1489" i="1"/>
  <c r="AF1489" i="1" s="1"/>
  <c r="K1489" i="1"/>
  <c r="X1489" i="1" s="1"/>
  <c r="R1489" i="1"/>
  <c r="AE1489" i="1" s="1"/>
  <c r="Q1489" i="1"/>
  <c r="AD1489" i="1" s="1"/>
  <c r="P1489" i="1"/>
  <c r="AC1489" i="1" s="1"/>
  <c r="O1489" i="1"/>
  <c r="AB1489" i="1" s="1"/>
  <c r="V1489" i="1"/>
  <c r="AI1489" i="1" s="1"/>
  <c r="N1489" i="1"/>
  <c r="AA1489" i="1" s="1"/>
  <c r="U1489" i="1"/>
  <c r="AH1489" i="1" s="1"/>
  <c r="M1489" i="1"/>
  <c r="Z1489" i="1" s="1"/>
  <c r="K1243" i="1"/>
  <c r="X1243" i="1" s="1"/>
  <c r="N1112" i="1"/>
  <c r="AA1112" i="1" s="1"/>
  <c r="T1010" i="1"/>
  <c r="AG1010" i="1" s="1"/>
  <c r="L1010" i="1"/>
  <c r="Y1010" i="1" s="1"/>
  <c r="S1010" i="1"/>
  <c r="AF1010" i="1" s="1"/>
  <c r="K1010" i="1"/>
  <c r="X1010" i="1" s="1"/>
  <c r="R1010" i="1"/>
  <c r="AE1010" i="1" s="1"/>
  <c r="Q1010" i="1"/>
  <c r="AD1010" i="1" s="1"/>
  <c r="P1010" i="1"/>
  <c r="AC1010" i="1" s="1"/>
  <c r="O1010" i="1"/>
  <c r="AB1010" i="1" s="1"/>
  <c r="V1010" i="1"/>
  <c r="AI1010" i="1" s="1"/>
  <c r="U1010" i="1"/>
  <c r="AH1010" i="1" s="1"/>
  <c r="N1010" i="1"/>
  <c r="AA1010" i="1" s="1"/>
  <c r="M1010" i="1"/>
  <c r="Z1010" i="1" s="1"/>
  <c r="L763" i="1"/>
  <c r="Y763" i="1" s="1"/>
  <c r="Q763" i="1"/>
  <c r="AD763" i="1" s="1"/>
  <c r="N99" i="1"/>
  <c r="AA99" i="1" s="1"/>
  <c r="N1232" i="1"/>
  <c r="AA1232" i="1" s="1"/>
  <c r="N1131" i="1"/>
  <c r="AA1131" i="1" s="1"/>
  <c r="L1131" i="1"/>
  <c r="Y1131" i="1" s="1"/>
  <c r="N526" i="1"/>
  <c r="AA526" i="1" s="1"/>
  <c r="L1153" i="1"/>
  <c r="Y1153" i="1" s="1"/>
  <c r="K981" i="1"/>
  <c r="X981" i="1" s="1"/>
  <c r="R767" i="1"/>
  <c r="AE767" i="1" s="1"/>
  <c r="K838" i="1"/>
  <c r="X838" i="1" s="1"/>
  <c r="S352" i="1"/>
  <c r="AF352" i="1" s="1"/>
  <c r="P868" i="1"/>
  <c r="AC868" i="1" s="1"/>
  <c r="S1377" i="1"/>
  <c r="AF1377" i="1" s="1"/>
  <c r="R1377" i="1"/>
  <c r="AE1377" i="1" s="1"/>
  <c r="N765" i="1"/>
  <c r="AA765" i="1" s="1"/>
  <c r="L747" i="1"/>
  <c r="Y747" i="1" s="1"/>
  <c r="S740" i="1"/>
  <c r="AF740" i="1" s="1"/>
  <c r="K172" i="1"/>
  <c r="X172" i="1" s="1"/>
  <c r="O403" i="1"/>
  <c r="AB403" i="1" s="1"/>
  <c r="R403" i="1"/>
  <c r="AE403" i="1" s="1"/>
  <c r="L1662" i="1"/>
  <c r="Y1662" i="1" s="1"/>
  <c r="Q1662" i="1"/>
  <c r="AD1662" i="1" s="1"/>
  <c r="O1650" i="1"/>
  <c r="AB1650" i="1" s="1"/>
  <c r="L1582" i="1"/>
  <c r="Y1582" i="1" s="1"/>
  <c r="Q1582" i="1"/>
  <c r="AD1582" i="1" s="1"/>
  <c r="S1677" i="1"/>
  <c r="AF1677" i="1" s="1"/>
  <c r="M1661" i="1"/>
  <c r="Z1661" i="1" s="1"/>
  <c r="M1645" i="1"/>
  <c r="Z1645" i="1" s="1"/>
  <c r="L1629" i="1"/>
  <c r="Y1629" i="1" s="1"/>
  <c r="O1597" i="1"/>
  <c r="AB1597" i="1" s="1"/>
  <c r="L1670" i="1"/>
  <c r="Y1670" i="1" s="1"/>
  <c r="L1610" i="1"/>
  <c r="Y1610" i="1" s="1"/>
  <c r="N1664" i="1"/>
  <c r="AA1664" i="1" s="1"/>
  <c r="P1648" i="1"/>
  <c r="AC1648" i="1" s="1"/>
  <c r="O1632" i="1"/>
  <c r="AB1632" i="1" s="1"/>
  <c r="M1600" i="1"/>
  <c r="Z1600" i="1" s="1"/>
  <c r="L1584" i="1"/>
  <c r="Y1584" i="1" s="1"/>
  <c r="Q1584" i="1"/>
  <c r="AD1584" i="1" s="1"/>
  <c r="N1674" i="1"/>
  <c r="AA1674" i="1" s="1"/>
  <c r="L1606" i="1"/>
  <c r="Y1606" i="1" s="1"/>
  <c r="R1691" i="1"/>
  <c r="AE1691" i="1" s="1"/>
  <c r="S1675" i="1"/>
  <c r="AF1675" i="1" s="1"/>
  <c r="O1659" i="1"/>
  <c r="AB1659" i="1" s="1"/>
  <c r="P1659" i="1"/>
  <c r="AC1659" i="1" s="1"/>
  <c r="M1643" i="1"/>
  <c r="Z1643" i="1" s="1"/>
  <c r="L1611" i="1"/>
  <c r="Y1611" i="1" s="1"/>
  <c r="S1261" i="1"/>
  <c r="AF1261" i="1" s="1"/>
  <c r="K1392" i="1"/>
  <c r="X1392" i="1" s="1"/>
  <c r="O1392" i="1"/>
  <c r="AB1392" i="1" s="1"/>
  <c r="P1570" i="1"/>
  <c r="AC1570" i="1" s="1"/>
  <c r="O1570" i="1"/>
  <c r="AB1570" i="1" s="1"/>
  <c r="M1554" i="1"/>
  <c r="Z1554" i="1" s="1"/>
  <c r="L1522" i="1"/>
  <c r="Y1522" i="1" s="1"/>
  <c r="S1506" i="1"/>
  <c r="AF1506" i="1" s="1"/>
  <c r="P1506" i="1"/>
  <c r="AC1506" i="1" s="1"/>
  <c r="M1331" i="1"/>
  <c r="Z1331" i="1" s="1"/>
  <c r="O956" i="1"/>
  <c r="AB956" i="1" s="1"/>
  <c r="R1129" i="1"/>
  <c r="AE1129" i="1" s="1"/>
  <c r="M898" i="1"/>
  <c r="Z898" i="1" s="1"/>
  <c r="K937" i="1"/>
  <c r="X937" i="1" s="1"/>
  <c r="M937" i="1"/>
  <c r="Z937" i="1" s="1"/>
  <c r="L931" i="1"/>
  <c r="Y931" i="1" s="1"/>
  <c r="K504" i="1"/>
  <c r="X504" i="1" s="1"/>
  <c r="P711" i="1"/>
  <c r="AC711" i="1" s="1"/>
  <c r="O711" i="1"/>
  <c r="AB711" i="1" s="1"/>
  <c r="N183" i="1"/>
  <c r="AA183" i="1" s="1"/>
  <c r="Q183" i="1"/>
  <c r="AD183" i="1" s="1"/>
  <c r="O66" i="1"/>
  <c r="AB66" i="1" s="1"/>
  <c r="U66" i="1"/>
  <c r="AH66" i="1" s="1"/>
  <c r="N19" i="1"/>
  <c r="AA19" i="1" s="1"/>
  <c r="K1197" i="1"/>
  <c r="X1197" i="1" s="1"/>
  <c r="L841" i="1"/>
  <c r="Y841" i="1" s="1"/>
  <c r="L733" i="1"/>
  <c r="Y733" i="1" s="1"/>
  <c r="K416" i="1"/>
  <c r="X416" i="1" s="1"/>
  <c r="K24" i="1"/>
  <c r="X24" i="1" s="1"/>
  <c r="P713" i="1"/>
  <c r="AC713" i="1" s="1"/>
  <c r="O713" i="1"/>
  <c r="AB713" i="1" s="1"/>
  <c r="O1334" i="1"/>
  <c r="AB1334" i="1" s="1"/>
  <c r="N1103" i="1"/>
  <c r="AA1103" i="1" s="1"/>
  <c r="L1103" i="1"/>
  <c r="Y1103" i="1" s="1"/>
  <c r="L1209" i="1"/>
  <c r="Y1209" i="1" s="1"/>
  <c r="T1313" i="1"/>
  <c r="AG1313" i="1" s="1"/>
  <c r="K734" i="1"/>
  <c r="X734" i="1" s="1"/>
  <c r="L7" i="1"/>
  <c r="Y7" i="1" s="1"/>
  <c r="O1285" i="1"/>
  <c r="AB1285" i="1" s="1"/>
  <c r="R1264" i="1"/>
  <c r="AE1264" i="1" s="1"/>
  <c r="Q1264" i="1"/>
  <c r="AD1264" i="1" s="1"/>
  <c r="O1264" i="1"/>
  <c r="AB1264" i="1" s="1"/>
  <c r="V1264" i="1"/>
  <c r="AI1264" i="1" s="1"/>
  <c r="N1264" i="1"/>
  <c r="AA1264" i="1" s="1"/>
  <c r="U1264" i="1"/>
  <c r="AH1264" i="1" s="1"/>
  <c r="M1264" i="1"/>
  <c r="Z1264" i="1" s="1"/>
  <c r="T1264" i="1"/>
  <c r="AG1264" i="1" s="1"/>
  <c r="S1264" i="1"/>
  <c r="AF1264" i="1" s="1"/>
  <c r="P1264" i="1"/>
  <c r="AC1264" i="1" s="1"/>
  <c r="L1264" i="1"/>
  <c r="Y1264" i="1" s="1"/>
  <c r="K1264" i="1"/>
  <c r="X1264" i="1" s="1"/>
  <c r="K1051" i="1"/>
  <c r="X1051" i="1" s="1"/>
  <c r="N1236" i="1"/>
  <c r="AA1236" i="1" s="1"/>
  <c r="L152" i="1"/>
  <c r="Y152" i="1" s="1"/>
  <c r="O401" i="1"/>
  <c r="AB401" i="1" s="1"/>
  <c r="P401" i="1"/>
  <c r="AC401" i="1" s="1"/>
  <c r="K1254" i="1"/>
  <c r="X1254" i="1" s="1"/>
  <c r="K1273" i="1"/>
  <c r="X1273" i="1" s="1"/>
  <c r="L1177" i="1"/>
  <c r="Y1177" i="1" s="1"/>
  <c r="O1380" i="1"/>
  <c r="AB1380" i="1" s="1"/>
  <c r="V1380" i="1"/>
  <c r="AI1380" i="1" s="1"/>
  <c r="N1380" i="1"/>
  <c r="AA1380" i="1" s="1"/>
  <c r="U1380" i="1"/>
  <c r="AH1380" i="1" s="1"/>
  <c r="M1380" i="1"/>
  <c r="Z1380" i="1" s="1"/>
  <c r="T1380" i="1"/>
  <c r="AG1380" i="1" s="1"/>
  <c r="L1380" i="1"/>
  <c r="Y1380" i="1" s="1"/>
  <c r="S1380" i="1"/>
  <c r="AF1380" i="1" s="1"/>
  <c r="K1380" i="1"/>
  <c r="X1380" i="1" s="1"/>
  <c r="R1380" i="1"/>
  <c r="AE1380" i="1" s="1"/>
  <c r="Q1380" i="1"/>
  <c r="AD1380" i="1" s="1"/>
  <c r="P1380" i="1"/>
  <c r="AC1380" i="1" s="1"/>
  <c r="P1476" i="1"/>
  <c r="AC1476" i="1" s="1"/>
  <c r="O1476" i="1"/>
  <c r="AB1476" i="1" s="1"/>
  <c r="V1476" i="1"/>
  <c r="AI1476" i="1" s="1"/>
  <c r="N1476" i="1"/>
  <c r="AA1476" i="1" s="1"/>
  <c r="U1476" i="1"/>
  <c r="AH1476" i="1" s="1"/>
  <c r="M1476" i="1"/>
  <c r="Z1476" i="1" s="1"/>
  <c r="T1476" i="1"/>
  <c r="AG1476" i="1" s="1"/>
  <c r="L1476" i="1"/>
  <c r="Y1476" i="1" s="1"/>
  <c r="S1476" i="1"/>
  <c r="AF1476" i="1" s="1"/>
  <c r="K1476" i="1"/>
  <c r="X1476" i="1" s="1"/>
  <c r="R1476" i="1"/>
  <c r="AE1476" i="1" s="1"/>
  <c r="Q1476" i="1"/>
  <c r="AD1476" i="1" s="1"/>
  <c r="N1208" i="1"/>
  <c r="AA1208" i="1" s="1"/>
  <c r="L1176" i="1"/>
  <c r="Y1176" i="1" s="1"/>
  <c r="L960" i="1"/>
  <c r="Y960" i="1" s="1"/>
  <c r="K960" i="1"/>
  <c r="X960" i="1" s="1"/>
  <c r="Q881" i="1"/>
  <c r="AD881" i="1" s="1"/>
  <c r="M881" i="1"/>
  <c r="Z881" i="1" s="1"/>
  <c r="K850" i="1"/>
  <c r="X850" i="1" s="1"/>
  <c r="M969" i="1"/>
  <c r="Z969" i="1" s="1"/>
  <c r="P827" i="1"/>
  <c r="AC827" i="1" s="1"/>
  <c r="K862" i="1"/>
  <c r="X862" i="1" s="1"/>
  <c r="M804" i="1"/>
  <c r="Z804" i="1" s="1"/>
  <c r="K802" i="1"/>
  <c r="X802" i="1" s="1"/>
  <c r="K703" i="1"/>
  <c r="X703" i="1" s="1"/>
  <c r="O703" i="1"/>
  <c r="AB703" i="1" s="1"/>
  <c r="P714" i="1"/>
  <c r="AC714" i="1" s="1"/>
  <c r="R701" i="1"/>
  <c r="AE701" i="1" s="1"/>
  <c r="O696" i="1"/>
  <c r="AB696" i="1" s="1"/>
  <c r="O520" i="1"/>
  <c r="AB520" i="1" s="1"/>
  <c r="K142" i="1"/>
  <c r="X142" i="1" s="1"/>
  <c r="N27" i="1"/>
  <c r="AA27" i="1" s="1"/>
  <c r="L11" i="1"/>
  <c r="Y11" i="1" s="1"/>
  <c r="M648" i="1"/>
  <c r="Z648" i="1" s="1"/>
  <c r="Q478" i="1"/>
  <c r="AD478" i="1" s="1"/>
  <c r="L394" i="1"/>
  <c r="Y394" i="1" s="1"/>
  <c r="P269" i="1"/>
  <c r="AC269" i="1" s="1"/>
  <c r="M269" i="1"/>
  <c r="Z269" i="1" s="1"/>
  <c r="K291" i="1"/>
  <c r="X291" i="1" s="1"/>
  <c r="L155" i="1"/>
  <c r="Y155" i="1" s="1"/>
  <c r="O155" i="1"/>
  <c r="AB155" i="1" s="1"/>
  <c r="N181" i="1"/>
  <c r="AA181" i="1" s="1"/>
  <c r="K58" i="1"/>
  <c r="X58" i="1" s="1"/>
  <c r="N337" i="1"/>
  <c r="AA337" i="1" s="1"/>
  <c r="U1589" i="1"/>
  <c r="AH1589" i="1" s="1"/>
  <c r="M1589" i="1"/>
  <c r="Z1589" i="1" s="1"/>
  <c r="T1589" i="1"/>
  <c r="AG1589" i="1" s="1"/>
  <c r="L1589" i="1"/>
  <c r="Y1589" i="1" s="1"/>
  <c r="S1589" i="1"/>
  <c r="AF1589" i="1" s="1"/>
  <c r="K1589" i="1"/>
  <c r="X1589" i="1" s="1"/>
  <c r="R1589" i="1"/>
  <c r="AE1589" i="1" s="1"/>
  <c r="Q1589" i="1"/>
  <c r="AD1589" i="1" s="1"/>
  <c r="P1589" i="1"/>
  <c r="AC1589" i="1" s="1"/>
  <c r="V1589" i="1"/>
  <c r="AI1589" i="1" s="1"/>
  <c r="N1589" i="1"/>
  <c r="AA1589" i="1" s="1"/>
  <c r="O1589" i="1"/>
  <c r="AB1589" i="1" s="1"/>
  <c r="O1308" i="1"/>
  <c r="AB1308" i="1" s="1"/>
  <c r="T1515" i="1"/>
  <c r="AG1515" i="1" s="1"/>
  <c r="L1515" i="1"/>
  <c r="Y1515" i="1" s="1"/>
  <c r="S1515" i="1"/>
  <c r="AF1515" i="1" s="1"/>
  <c r="K1515" i="1"/>
  <c r="X1515" i="1" s="1"/>
  <c r="R1515" i="1"/>
  <c r="AE1515" i="1" s="1"/>
  <c r="Q1515" i="1"/>
  <c r="AD1515" i="1" s="1"/>
  <c r="P1515" i="1"/>
  <c r="AC1515" i="1" s="1"/>
  <c r="O1515" i="1"/>
  <c r="AB1515" i="1" s="1"/>
  <c r="V1515" i="1"/>
  <c r="AI1515" i="1" s="1"/>
  <c r="N1515" i="1"/>
  <c r="AA1515" i="1" s="1"/>
  <c r="M1515" i="1"/>
  <c r="Z1515" i="1" s="1"/>
  <c r="U1515" i="1"/>
  <c r="AH1515" i="1" s="1"/>
  <c r="L950" i="1"/>
  <c r="Y950" i="1" s="1"/>
  <c r="U919" i="1"/>
  <c r="AH919" i="1" s="1"/>
  <c r="M919" i="1"/>
  <c r="Z919" i="1" s="1"/>
  <c r="R919" i="1"/>
  <c r="AE919" i="1" s="1"/>
  <c r="P919" i="1"/>
  <c r="AC919" i="1" s="1"/>
  <c r="Q919" i="1"/>
  <c r="AD919" i="1" s="1"/>
  <c r="O919" i="1"/>
  <c r="AB919" i="1" s="1"/>
  <c r="N919" i="1"/>
  <c r="AA919" i="1" s="1"/>
  <c r="L919" i="1"/>
  <c r="Y919" i="1" s="1"/>
  <c r="K919" i="1"/>
  <c r="X919" i="1" s="1"/>
  <c r="V919" i="1"/>
  <c r="AI919" i="1" s="1"/>
  <c r="S919" i="1"/>
  <c r="AF919" i="1" s="1"/>
  <c r="T919" i="1"/>
  <c r="AG919" i="1" s="1"/>
  <c r="L842" i="1"/>
  <c r="Y842" i="1" s="1"/>
  <c r="Q738" i="1"/>
  <c r="AD738" i="1" s="1"/>
  <c r="V432" i="1"/>
  <c r="AI432" i="1" s="1"/>
  <c r="N432" i="1"/>
  <c r="AA432" i="1" s="1"/>
  <c r="T432" i="1"/>
  <c r="AG432" i="1" s="1"/>
  <c r="L432" i="1"/>
  <c r="Y432" i="1" s="1"/>
  <c r="S432" i="1"/>
  <c r="AF432" i="1" s="1"/>
  <c r="K432" i="1"/>
  <c r="X432" i="1" s="1"/>
  <c r="R432" i="1"/>
  <c r="AE432" i="1" s="1"/>
  <c r="Q432" i="1"/>
  <c r="AD432" i="1" s="1"/>
  <c r="O432" i="1"/>
  <c r="AB432" i="1" s="1"/>
  <c r="U432" i="1"/>
  <c r="AH432" i="1" s="1"/>
  <c r="P432" i="1"/>
  <c r="AC432" i="1" s="1"/>
  <c r="M432" i="1"/>
  <c r="Z432" i="1" s="1"/>
  <c r="R1220" i="1"/>
  <c r="AE1220" i="1" s="1"/>
  <c r="T1223" i="1"/>
  <c r="AG1223" i="1" s="1"/>
  <c r="R1223" i="1"/>
  <c r="AE1223" i="1" s="1"/>
  <c r="N409" i="1"/>
  <c r="AA409" i="1" s="1"/>
  <c r="K1305" i="1"/>
  <c r="X1305" i="1" s="1"/>
  <c r="N761" i="1"/>
  <c r="AA761" i="1" s="1"/>
  <c r="R104" i="1"/>
  <c r="AE104" i="1" s="1"/>
  <c r="L1057" i="1"/>
  <c r="Y1057" i="1" s="1"/>
  <c r="N1066" i="1"/>
  <c r="AA1066" i="1" s="1"/>
  <c r="K146" i="1"/>
  <c r="X146" i="1" s="1"/>
  <c r="M1202" i="1"/>
  <c r="Z1202" i="1" s="1"/>
  <c r="K1228" i="1"/>
  <c r="X1228" i="1" s="1"/>
  <c r="L1312" i="1"/>
  <c r="Y1312" i="1" s="1"/>
  <c r="Q1312" i="1"/>
  <c r="AD1312" i="1" s="1"/>
  <c r="L1162" i="1"/>
  <c r="Y1162" i="1" s="1"/>
  <c r="L824" i="1"/>
  <c r="Y824" i="1" s="1"/>
  <c r="K1178" i="1"/>
  <c r="X1178" i="1" s="1"/>
  <c r="O1297" i="1"/>
  <c r="AB1297" i="1" s="1"/>
  <c r="M1297" i="1"/>
  <c r="Z1297" i="1" s="1"/>
  <c r="K1238" i="1"/>
  <c r="X1238" i="1" s="1"/>
  <c r="K374" i="1"/>
  <c r="X374" i="1" s="1"/>
  <c r="L374" i="1"/>
  <c r="Y374" i="1" s="1"/>
  <c r="L1326" i="1"/>
  <c r="Y1326" i="1" s="1"/>
  <c r="Q1326" i="1"/>
  <c r="AD1326" i="1" s="1"/>
  <c r="K1169" i="1"/>
  <c r="X1169" i="1" s="1"/>
  <c r="O1169" i="1"/>
  <c r="AB1169" i="1" s="1"/>
  <c r="Q1374" i="1"/>
  <c r="AD1374" i="1" s="1"/>
  <c r="P1321" i="1"/>
  <c r="AC1321" i="1" s="1"/>
  <c r="K1147" i="1"/>
  <c r="X1147" i="1" s="1"/>
  <c r="L1551" i="1"/>
  <c r="Y1551" i="1" s="1"/>
  <c r="M1519" i="1"/>
  <c r="Z1519" i="1" s="1"/>
  <c r="L1519" i="1"/>
  <c r="Y1519" i="1" s="1"/>
  <c r="O1503" i="1"/>
  <c r="AB1503" i="1" s="1"/>
  <c r="M1487" i="1"/>
  <c r="Z1487" i="1" s="1"/>
  <c r="K1487" i="1"/>
  <c r="X1487" i="1" s="1"/>
  <c r="M1461" i="1"/>
  <c r="Z1461" i="1" s="1"/>
  <c r="K1461" i="1"/>
  <c r="X1461" i="1" s="1"/>
  <c r="O1453" i="1"/>
  <c r="AB1453" i="1" s="1"/>
  <c r="M1437" i="1"/>
  <c r="Z1437" i="1" s="1"/>
  <c r="L1429" i="1"/>
  <c r="Y1429" i="1" s="1"/>
  <c r="L1413" i="1"/>
  <c r="Y1413" i="1" s="1"/>
  <c r="Q1413" i="1"/>
  <c r="AD1413" i="1" s="1"/>
  <c r="N1405" i="1"/>
  <c r="AA1405" i="1" s="1"/>
  <c r="L1397" i="1"/>
  <c r="Y1397" i="1" s="1"/>
  <c r="N1389" i="1"/>
  <c r="AA1389" i="1" s="1"/>
  <c r="L1283" i="1"/>
  <c r="Y1283" i="1" s="1"/>
  <c r="M1283" i="1"/>
  <c r="Z1283" i="1" s="1"/>
  <c r="M1205" i="1"/>
  <c r="Z1205" i="1" s="1"/>
  <c r="K1173" i="1"/>
  <c r="X1173" i="1" s="1"/>
  <c r="K1046" i="1"/>
  <c r="X1046" i="1" s="1"/>
  <c r="Q1118" i="1"/>
  <c r="AD1118" i="1" s="1"/>
  <c r="N1118" i="1"/>
  <c r="AA1118" i="1" s="1"/>
  <c r="Q1080" i="1"/>
  <c r="AD1080" i="1" s="1"/>
  <c r="N1080" i="1"/>
  <c r="AA1080" i="1" s="1"/>
  <c r="Q854" i="1"/>
  <c r="AD854" i="1" s="1"/>
  <c r="K718" i="1"/>
  <c r="X718" i="1" s="1"/>
  <c r="K799" i="1"/>
  <c r="X799" i="1" s="1"/>
  <c r="N632" i="1"/>
  <c r="AA632" i="1" s="1"/>
  <c r="L420" i="1"/>
  <c r="Y420" i="1" s="1"/>
  <c r="M151" i="1"/>
  <c r="Z151" i="1" s="1"/>
  <c r="P283" i="1"/>
  <c r="AC283" i="1" s="1"/>
  <c r="M283" i="1"/>
  <c r="Z283" i="1" s="1"/>
  <c r="M137" i="1"/>
  <c r="Z137" i="1" s="1"/>
  <c r="M189" i="1"/>
  <c r="Z189" i="1" s="1"/>
  <c r="K134" i="1"/>
  <c r="X134" i="1" s="1"/>
  <c r="L5" i="1"/>
  <c r="Y5" i="1" s="1"/>
  <c r="M5" i="1"/>
  <c r="Z5" i="1" s="1"/>
  <c r="O26" i="1"/>
  <c r="AB26" i="1" s="1"/>
  <c r="N10" i="1"/>
  <c r="AA10" i="1" s="1"/>
  <c r="L10" i="1"/>
  <c r="Y10" i="1" s="1"/>
  <c r="U1605" i="1"/>
  <c r="AH1605" i="1" s="1"/>
  <c r="M1605" i="1"/>
  <c r="Z1605" i="1" s="1"/>
  <c r="S1605" i="1"/>
  <c r="AF1605" i="1" s="1"/>
  <c r="K1605" i="1"/>
  <c r="X1605" i="1" s="1"/>
  <c r="T1605" i="1"/>
  <c r="AG1605" i="1" s="1"/>
  <c r="R1605" i="1"/>
  <c r="AE1605" i="1" s="1"/>
  <c r="Q1605" i="1"/>
  <c r="AD1605" i="1" s="1"/>
  <c r="P1605" i="1"/>
  <c r="AC1605" i="1" s="1"/>
  <c r="O1605" i="1"/>
  <c r="AB1605" i="1" s="1"/>
  <c r="N1605" i="1"/>
  <c r="AA1605" i="1" s="1"/>
  <c r="V1605" i="1"/>
  <c r="AI1605" i="1" s="1"/>
  <c r="L1605" i="1"/>
  <c r="Y1605" i="1" s="1"/>
  <c r="P936" i="1"/>
  <c r="AC936" i="1" s="1"/>
  <c r="T1002" i="1"/>
  <c r="AG1002" i="1" s="1"/>
  <c r="L1002" i="1"/>
  <c r="Y1002" i="1" s="1"/>
  <c r="S1002" i="1"/>
  <c r="AF1002" i="1" s="1"/>
  <c r="K1002" i="1"/>
  <c r="X1002" i="1" s="1"/>
  <c r="R1002" i="1"/>
  <c r="AE1002" i="1" s="1"/>
  <c r="Q1002" i="1"/>
  <c r="AD1002" i="1" s="1"/>
  <c r="P1002" i="1"/>
  <c r="AC1002" i="1" s="1"/>
  <c r="O1002" i="1"/>
  <c r="AB1002" i="1" s="1"/>
  <c r="V1002" i="1"/>
  <c r="AI1002" i="1" s="1"/>
  <c r="U1002" i="1"/>
  <c r="AH1002" i="1" s="1"/>
  <c r="N1002" i="1"/>
  <c r="AA1002" i="1" s="1"/>
  <c r="M1002" i="1"/>
  <c r="Z1002" i="1" s="1"/>
  <c r="L902" i="1"/>
  <c r="Y902" i="1" s="1"/>
  <c r="N1364" i="1"/>
  <c r="AA1364" i="1" s="1"/>
  <c r="K836" i="1"/>
  <c r="X836" i="1" s="1"/>
  <c r="U469" i="1"/>
  <c r="AH469" i="1" s="1"/>
  <c r="T467" i="1"/>
  <c r="AG467" i="1" s="1"/>
  <c r="P467" i="1"/>
  <c r="AC467" i="1" s="1"/>
  <c r="Q349" i="1"/>
  <c r="AD349" i="1" s="1"/>
  <c r="P349" i="1"/>
  <c r="AC349" i="1" s="1"/>
  <c r="L339" i="1"/>
  <c r="Y339" i="1" s="1"/>
  <c r="P339" i="1"/>
  <c r="AC339" i="1" s="1"/>
  <c r="N1171" i="1"/>
  <c r="AA1171" i="1" s="1"/>
  <c r="T1071" i="1"/>
  <c r="AG1071" i="1" s="1"/>
  <c r="L1071" i="1"/>
  <c r="Y1071" i="1" s="1"/>
  <c r="S1071" i="1"/>
  <c r="AF1071" i="1" s="1"/>
  <c r="K1071" i="1"/>
  <c r="X1071" i="1" s="1"/>
  <c r="R1071" i="1"/>
  <c r="AE1071" i="1" s="1"/>
  <c r="Q1071" i="1"/>
  <c r="AD1071" i="1" s="1"/>
  <c r="P1071" i="1"/>
  <c r="AC1071" i="1" s="1"/>
  <c r="O1071" i="1"/>
  <c r="AB1071" i="1" s="1"/>
  <c r="V1071" i="1"/>
  <c r="AI1071" i="1" s="1"/>
  <c r="N1071" i="1"/>
  <c r="AA1071" i="1" s="1"/>
  <c r="U1071" i="1"/>
  <c r="AH1071" i="1" s="1"/>
  <c r="M1071" i="1"/>
  <c r="Z1071" i="1" s="1"/>
  <c r="N1345" i="1"/>
  <c r="AA1345" i="1" s="1"/>
  <c r="N1101" i="1"/>
  <c r="AA1101" i="1" s="1"/>
  <c r="L1101" i="1"/>
  <c r="Y1101" i="1" s="1"/>
  <c r="L723" i="1"/>
  <c r="Y723" i="1" s="1"/>
  <c r="V376" i="1"/>
  <c r="AI376" i="1" s="1"/>
  <c r="N376" i="1"/>
  <c r="AA376" i="1" s="1"/>
  <c r="T376" i="1"/>
  <c r="AG376" i="1" s="1"/>
  <c r="L376" i="1"/>
  <c r="Y376" i="1" s="1"/>
  <c r="R376" i="1"/>
  <c r="AE376" i="1" s="1"/>
  <c r="Q376" i="1"/>
  <c r="AD376" i="1" s="1"/>
  <c r="O376" i="1"/>
  <c r="AB376" i="1" s="1"/>
  <c r="S376" i="1"/>
  <c r="AF376" i="1" s="1"/>
  <c r="P376" i="1"/>
  <c r="AC376" i="1" s="1"/>
  <c r="M376" i="1"/>
  <c r="Z376" i="1" s="1"/>
  <c r="K376" i="1"/>
  <c r="X376" i="1" s="1"/>
  <c r="U376" i="1"/>
  <c r="AH376" i="1" s="1"/>
  <c r="L759" i="1"/>
  <c r="Y759" i="1" s="1"/>
  <c r="N413" i="1"/>
  <c r="AA413" i="1" s="1"/>
  <c r="L512" i="1"/>
  <c r="Y512" i="1" s="1"/>
  <c r="P1222" i="1"/>
  <c r="AC1222" i="1" s="1"/>
  <c r="M1351" i="1"/>
  <c r="Z1351" i="1" s="1"/>
  <c r="N1319" i="1"/>
  <c r="AA1319" i="1" s="1"/>
  <c r="O1552" i="1"/>
  <c r="AB1552" i="1" s="1"/>
  <c r="V1552" i="1"/>
  <c r="AI1552" i="1" s="1"/>
  <c r="N1552" i="1"/>
  <c r="AA1552" i="1" s="1"/>
  <c r="U1552" i="1"/>
  <c r="AH1552" i="1" s="1"/>
  <c r="M1552" i="1"/>
  <c r="Z1552" i="1" s="1"/>
  <c r="T1552" i="1"/>
  <c r="AG1552" i="1" s="1"/>
  <c r="L1552" i="1"/>
  <c r="Y1552" i="1" s="1"/>
  <c r="R1552" i="1"/>
  <c r="AE1552" i="1" s="1"/>
  <c r="Q1552" i="1"/>
  <c r="AD1552" i="1" s="1"/>
  <c r="P1552" i="1"/>
  <c r="AC1552" i="1" s="1"/>
  <c r="K1552" i="1"/>
  <c r="X1552" i="1" s="1"/>
  <c r="S1552" i="1"/>
  <c r="AF1552" i="1" s="1"/>
  <c r="L1279" i="1"/>
  <c r="Y1279" i="1" s="1"/>
  <c r="L1200" i="1"/>
  <c r="Y1200" i="1" s="1"/>
  <c r="K1048" i="1"/>
  <c r="X1048" i="1" s="1"/>
  <c r="L983" i="1"/>
  <c r="Y983" i="1" s="1"/>
  <c r="Q975" i="1"/>
  <c r="AD975" i="1" s="1"/>
  <c r="N975" i="1"/>
  <c r="AA975" i="1" s="1"/>
  <c r="L967" i="1"/>
  <c r="Y967" i="1" s="1"/>
  <c r="K811" i="1"/>
  <c r="X811" i="1" s="1"/>
  <c r="O826" i="1"/>
  <c r="AB826" i="1" s="1"/>
  <c r="L826" i="1"/>
  <c r="Y826" i="1" s="1"/>
  <c r="O724" i="1"/>
  <c r="AB724" i="1" s="1"/>
  <c r="L724" i="1"/>
  <c r="Y724" i="1" s="1"/>
  <c r="Q698" i="1"/>
  <c r="AD698" i="1" s="1"/>
  <c r="L475" i="1"/>
  <c r="Y475" i="1" s="1"/>
  <c r="K341" i="1"/>
  <c r="X341" i="1" s="1"/>
  <c r="V362" i="1"/>
  <c r="AI362" i="1" s="1"/>
  <c r="N362" i="1"/>
  <c r="AA362" i="1" s="1"/>
  <c r="T362" i="1"/>
  <c r="AG362" i="1" s="1"/>
  <c r="L362" i="1"/>
  <c r="Y362" i="1" s="1"/>
  <c r="R362" i="1"/>
  <c r="AE362" i="1" s="1"/>
  <c r="Q362" i="1"/>
  <c r="AD362" i="1" s="1"/>
  <c r="O362" i="1"/>
  <c r="AB362" i="1" s="1"/>
  <c r="P362" i="1"/>
  <c r="AC362" i="1" s="1"/>
  <c r="M362" i="1"/>
  <c r="Z362" i="1" s="1"/>
  <c r="K362" i="1"/>
  <c r="X362" i="1" s="1"/>
  <c r="S362" i="1"/>
  <c r="AF362" i="1" s="1"/>
  <c r="U362" i="1"/>
  <c r="AH362" i="1" s="1"/>
  <c r="T650" i="1"/>
  <c r="AG650" i="1" s="1"/>
  <c r="Q715" i="1"/>
  <c r="AD715" i="1" s="1"/>
  <c r="O715" i="1"/>
  <c r="AB715" i="1" s="1"/>
  <c r="U715" i="1"/>
  <c r="AH715" i="1" s="1"/>
  <c r="M715" i="1"/>
  <c r="Z715" i="1" s="1"/>
  <c r="T715" i="1"/>
  <c r="AG715" i="1" s="1"/>
  <c r="L715" i="1"/>
  <c r="Y715" i="1" s="1"/>
  <c r="R715" i="1"/>
  <c r="AE715" i="1" s="1"/>
  <c r="V715" i="1"/>
  <c r="AI715" i="1" s="1"/>
  <c r="S715" i="1"/>
  <c r="AF715" i="1" s="1"/>
  <c r="P715" i="1"/>
  <c r="AC715" i="1" s="1"/>
  <c r="N715" i="1"/>
  <c r="AA715" i="1" s="1"/>
  <c r="K715" i="1"/>
  <c r="X715" i="1" s="1"/>
  <c r="K1301" i="1"/>
  <c r="X1301" i="1" s="1"/>
  <c r="P1210" i="1"/>
  <c r="AC1210" i="1" s="1"/>
  <c r="N832" i="1"/>
  <c r="AA832" i="1" s="1"/>
  <c r="M1113" i="1"/>
  <c r="Z1113" i="1" s="1"/>
  <c r="M411" i="1"/>
  <c r="Z411" i="1" s="1"/>
  <c r="T1634" i="1"/>
  <c r="AG1634" i="1" s="1"/>
  <c r="L1634" i="1"/>
  <c r="Y1634" i="1" s="1"/>
  <c r="R1634" i="1"/>
  <c r="AE1634" i="1" s="1"/>
  <c r="Q1634" i="1"/>
  <c r="AD1634" i="1" s="1"/>
  <c r="O1634" i="1"/>
  <c r="AB1634" i="1" s="1"/>
  <c r="U1634" i="1"/>
  <c r="AH1634" i="1" s="1"/>
  <c r="M1634" i="1"/>
  <c r="Z1634" i="1" s="1"/>
  <c r="P1634" i="1"/>
  <c r="AC1634" i="1" s="1"/>
  <c r="N1634" i="1"/>
  <c r="AA1634" i="1" s="1"/>
  <c r="K1634" i="1"/>
  <c r="X1634" i="1" s="1"/>
  <c r="S1634" i="1"/>
  <c r="AF1634" i="1" s="1"/>
  <c r="V1634" i="1"/>
  <c r="AI1634" i="1" s="1"/>
  <c r="P1619" i="1"/>
  <c r="AC1619" i="1" s="1"/>
  <c r="U1619" i="1"/>
  <c r="AH1619" i="1" s="1"/>
  <c r="M1619" i="1"/>
  <c r="Z1619" i="1" s="1"/>
  <c r="S1619" i="1"/>
  <c r="AF1619" i="1" s="1"/>
  <c r="K1619" i="1"/>
  <c r="X1619" i="1" s="1"/>
  <c r="Q1619" i="1"/>
  <c r="AD1619" i="1" s="1"/>
  <c r="N1619" i="1"/>
  <c r="AA1619" i="1" s="1"/>
  <c r="L1619" i="1"/>
  <c r="Y1619" i="1" s="1"/>
  <c r="V1619" i="1"/>
  <c r="AI1619" i="1" s="1"/>
  <c r="T1619" i="1"/>
  <c r="AG1619" i="1" s="1"/>
  <c r="O1619" i="1"/>
  <c r="AB1619" i="1" s="1"/>
  <c r="R1619" i="1"/>
  <c r="AE1619" i="1" s="1"/>
  <c r="T1443" i="1"/>
  <c r="AG1443" i="1" s="1"/>
  <c r="L1443" i="1"/>
  <c r="Y1443" i="1" s="1"/>
  <c r="S1443" i="1"/>
  <c r="AF1443" i="1" s="1"/>
  <c r="K1443" i="1"/>
  <c r="X1443" i="1" s="1"/>
  <c r="R1443" i="1"/>
  <c r="AE1443" i="1" s="1"/>
  <c r="Q1443" i="1"/>
  <c r="AD1443" i="1" s="1"/>
  <c r="P1443" i="1"/>
  <c r="AC1443" i="1" s="1"/>
  <c r="O1443" i="1"/>
  <c r="AB1443" i="1" s="1"/>
  <c r="V1443" i="1"/>
  <c r="AI1443" i="1" s="1"/>
  <c r="U1443" i="1"/>
  <c r="AH1443" i="1" s="1"/>
  <c r="N1443" i="1"/>
  <c r="AA1443" i="1" s="1"/>
  <c r="M1443" i="1"/>
  <c r="Z1443" i="1" s="1"/>
  <c r="N1165" i="1"/>
  <c r="AA1165" i="1" s="1"/>
  <c r="L1161" i="1"/>
  <c r="Y1161" i="1" s="1"/>
  <c r="K945" i="1"/>
  <c r="X945" i="1" s="1"/>
  <c r="L147" i="1"/>
  <c r="Y147" i="1" s="1"/>
  <c r="P1061" i="1"/>
  <c r="AC1061" i="1" s="1"/>
  <c r="O1061" i="1"/>
  <c r="AB1061" i="1" s="1"/>
  <c r="V1061" i="1"/>
  <c r="AI1061" i="1" s="1"/>
  <c r="N1061" i="1"/>
  <c r="AA1061" i="1" s="1"/>
  <c r="U1061" i="1"/>
  <c r="AH1061" i="1" s="1"/>
  <c r="M1061" i="1"/>
  <c r="Z1061" i="1" s="1"/>
  <c r="T1061" i="1"/>
  <c r="AG1061" i="1" s="1"/>
  <c r="L1061" i="1"/>
  <c r="Y1061" i="1" s="1"/>
  <c r="S1061" i="1"/>
  <c r="AF1061" i="1" s="1"/>
  <c r="K1061" i="1"/>
  <c r="X1061" i="1" s="1"/>
  <c r="R1061" i="1"/>
  <c r="AE1061" i="1" s="1"/>
  <c r="Q1061" i="1"/>
  <c r="AD1061" i="1" s="1"/>
  <c r="P894" i="1"/>
  <c r="AC894" i="1" s="1"/>
  <c r="Q894" i="1"/>
  <c r="AD894" i="1" s="1"/>
  <c r="N729" i="1"/>
  <c r="AA729" i="1" s="1"/>
  <c r="K481" i="1"/>
  <c r="X481" i="1" s="1"/>
  <c r="R481" i="1"/>
  <c r="AE481" i="1" s="1"/>
  <c r="T90" i="1"/>
  <c r="AG90" i="1" s="1"/>
  <c r="L1296" i="1"/>
  <c r="Y1296" i="1" s="1"/>
  <c r="O1296" i="1"/>
  <c r="AB1296" i="1" s="1"/>
  <c r="L885" i="1"/>
  <c r="Y885" i="1" s="1"/>
  <c r="P1093" i="1"/>
  <c r="AC1093" i="1" s="1"/>
  <c r="R1158" i="1"/>
  <c r="AE1158" i="1" s="1"/>
  <c r="M877" i="1"/>
  <c r="Z877" i="1" s="1"/>
  <c r="K1182" i="1"/>
  <c r="X1182" i="1" s="1"/>
  <c r="M1143" i="1"/>
  <c r="Z1143" i="1" s="1"/>
  <c r="K1143" i="1"/>
  <c r="X1143" i="1" s="1"/>
  <c r="L1299" i="1"/>
  <c r="Y1299" i="1" s="1"/>
  <c r="M1299" i="1"/>
  <c r="Z1299" i="1" s="1"/>
  <c r="M1201" i="1"/>
  <c r="Z1201" i="1" s="1"/>
  <c r="Q1130" i="1"/>
  <c r="AD1130" i="1" s="1"/>
  <c r="N1130" i="1"/>
  <c r="AA1130" i="1" s="1"/>
  <c r="L1533" i="1"/>
  <c r="Y1533" i="1" s="1"/>
  <c r="K1233" i="1"/>
  <c r="X1233" i="1" s="1"/>
  <c r="O1233" i="1"/>
  <c r="AB1233" i="1" s="1"/>
  <c r="T1574" i="1"/>
  <c r="AG1574" i="1" s="1"/>
  <c r="K1558" i="1"/>
  <c r="X1558" i="1" s="1"/>
  <c r="Q1494" i="1"/>
  <c r="AD1494" i="1" s="1"/>
  <c r="N1494" i="1"/>
  <c r="AA1494" i="1" s="1"/>
  <c r="S1339" i="1"/>
  <c r="AF1339" i="1" s="1"/>
  <c r="N1339" i="1"/>
  <c r="AA1339" i="1" s="1"/>
  <c r="K1294" i="1"/>
  <c r="X1294" i="1" s="1"/>
  <c r="K1361" i="1"/>
  <c r="X1361" i="1" s="1"/>
  <c r="M1189" i="1"/>
  <c r="Z1189" i="1" s="1"/>
  <c r="M1157" i="1"/>
  <c r="Z1157" i="1" s="1"/>
  <c r="K1157" i="1"/>
  <c r="X1157" i="1" s="1"/>
  <c r="M934" i="1"/>
  <c r="Z934" i="1" s="1"/>
  <c r="P1126" i="1"/>
  <c r="AC1126" i="1" s="1"/>
  <c r="O1126" i="1"/>
  <c r="AB1126" i="1" s="1"/>
  <c r="V1126" i="1"/>
  <c r="AI1126" i="1" s="1"/>
  <c r="N1126" i="1"/>
  <c r="AA1126" i="1" s="1"/>
  <c r="U1126" i="1"/>
  <c r="AH1126" i="1" s="1"/>
  <c r="M1126" i="1"/>
  <c r="Z1126" i="1" s="1"/>
  <c r="T1126" i="1"/>
  <c r="AG1126" i="1" s="1"/>
  <c r="L1126" i="1"/>
  <c r="Y1126" i="1" s="1"/>
  <c r="S1126" i="1"/>
  <c r="AF1126" i="1" s="1"/>
  <c r="K1126" i="1"/>
  <c r="X1126" i="1" s="1"/>
  <c r="R1126" i="1"/>
  <c r="AE1126" i="1" s="1"/>
  <c r="Q1126" i="1"/>
  <c r="AD1126" i="1" s="1"/>
  <c r="K1064" i="1"/>
  <c r="X1064" i="1" s="1"/>
  <c r="P1064" i="1"/>
  <c r="AC1064" i="1" s="1"/>
  <c r="R1040" i="1"/>
  <c r="AE1040" i="1" s="1"/>
  <c r="T1000" i="1"/>
  <c r="AG1000" i="1" s="1"/>
  <c r="P754" i="1"/>
  <c r="AC754" i="1" s="1"/>
  <c r="L833" i="1"/>
  <c r="Y833" i="1" s="1"/>
  <c r="Q833" i="1"/>
  <c r="AD833" i="1" s="1"/>
  <c r="N801" i="1"/>
  <c r="AA801" i="1" s="1"/>
  <c r="P828" i="1"/>
  <c r="AC828" i="1" s="1"/>
  <c r="P624" i="1"/>
  <c r="AC624" i="1" s="1"/>
  <c r="P700" i="1"/>
  <c r="AC700" i="1" s="1"/>
  <c r="L725" i="1"/>
  <c r="Y725" i="1" s="1"/>
  <c r="Q725" i="1"/>
  <c r="AD725" i="1" s="1"/>
  <c r="N749" i="1"/>
  <c r="AA749" i="1" s="1"/>
  <c r="O456" i="1"/>
  <c r="AB456" i="1" s="1"/>
  <c r="N461" i="1"/>
  <c r="AA461" i="1" s="1"/>
  <c r="M383" i="1"/>
  <c r="Z383" i="1" s="1"/>
  <c r="M370" i="1"/>
  <c r="Z370" i="1" s="1"/>
  <c r="L260" i="1"/>
  <c r="Y260" i="1" s="1"/>
  <c r="P260" i="1"/>
  <c r="AC260" i="1" s="1"/>
  <c r="L233" i="1"/>
  <c r="Y233" i="1" s="1"/>
  <c r="T246" i="1"/>
  <c r="AG246" i="1" s="1"/>
  <c r="P246" i="1"/>
  <c r="AC246" i="1" s="1"/>
  <c r="P256" i="1"/>
  <c r="AC256" i="1" s="1"/>
  <c r="O205" i="1"/>
  <c r="AB205" i="1" s="1"/>
  <c r="P206" i="1"/>
  <c r="AC206" i="1" s="1"/>
  <c r="R141" i="1"/>
  <c r="AE141" i="1" s="1"/>
  <c r="Q141" i="1"/>
  <c r="AD141" i="1" s="1"/>
  <c r="P141" i="1"/>
  <c r="AC141" i="1" s="1"/>
  <c r="O141" i="1"/>
  <c r="AB141" i="1" s="1"/>
  <c r="V141" i="1"/>
  <c r="AI141" i="1" s="1"/>
  <c r="N141" i="1"/>
  <c r="AA141" i="1" s="1"/>
  <c r="U141" i="1"/>
  <c r="AH141" i="1" s="1"/>
  <c r="M141" i="1"/>
  <c r="Z141" i="1" s="1"/>
  <c r="S141" i="1"/>
  <c r="AF141" i="1" s="1"/>
  <c r="K141" i="1"/>
  <c r="X141" i="1" s="1"/>
  <c r="L141" i="1"/>
  <c r="Y141" i="1" s="1"/>
  <c r="T141" i="1"/>
  <c r="AG141" i="1" s="1"/>
  <c r="L166" i="1"/>
  <c r="Y166" i="1" s="1"/>
  <c r="Q14" i="1"/>
  <c r="AD14" i="1" s="1"/>
  <c r="Q477" i="1"/>
  <c r="AD477" i="1" s="1"/>
  <c r="O477" i="1"/>
  <c r="AB477" i="1" s="1"/>
  <c r="P884" i="1"/>
  <c r="AC884" i="1" s="1"/>
  <c r="N884" i="1"/>
  <c r="AA884" i="1" s="1"/>
  <c r="N1062" i="1"/>
  <c r="AA1062" i="1" s="1"/>
  <c r="N806" i="1"/>
  <c r="AA806" i="1" s="1"/>
  <c r="T806" i="1"/>
  <c r="AG806" i="1" s="1"/>
  <c r="O361" i="1"/>
  <c r="AB361" i="1" s="1"/>
  <c r="O23" i="1"/>
  <c r="AB23" i="1" s="1"/>
  <c r="O1168" i="1"/>
  <c r="AB1168" i="1" s="1"/>
  <c r="M1168" i="1"/>
  <c r="Z1168" i="1" s="1"/>
  <c r="K216" i="1"/>
  <c r="X216" i="1" s="1"/>
  <c r="S872" i="1"/>
  <c r="AF872" i="1" s="1"/>
  <c r="K1256" i="1"/>
  <c r="X1256" i="1" s="1"/>
  <c r="M973" i="1"/>
  <c r="Z973" i="1" s="1"/>
  <c r="N466" i="1"/>
  <c r="AA466" i="1" s="1"/>
  <c r="O518" i="1"/>
  <c r="AB518" i="1" s="1"/>
  <c r="P1127" i="1"/>
  <c r="AC1127" i="1" s="1"/>
  <c r="K1175" i="1"/>
  <c r="X1175" i="1" s="1"/>
  <c r="K1191" i="1"/>
  <c r="X1191" i="1" s="1"/>
  <c r="M1149" i="1"/>
  <c r="Z1149" i="1" s="1"/>
  <c r="K1149" i="1"/>
  <c r="X1149" i="1" s="1"/>
  <c r="S1311" i="1"/>
  <c r="AF1311" i="1" s="1"/>
  <c r="K398" i="1"/>
  <c r="X398" i="1" s="1"/>
  <c r="N1150" i="1"/>
  <c r="AA1150" i="1" s="1"/>
  <c r="O219" i="1"/>
  <c r="AB219" i="1" s="1"/>
  <c r="N1076" i="1"/>
  <c r="AA1076" i="1" s="1"/>
  <c r="L893" i="1"/>
  <c r="Y893" i="1" s="1"/>
  <c r="P893" i="1"/>
  <c r="AC893" i="1" s="1"/>
  <c r="K200" i="1"/>
  <c r="X200" i="1" s="1"/>
  <c r="N755" i="1"/>
  <c r="AA755" i="1" s="1"/>
  <c r="S414" i="1"/>
  <c r="AF414" i="1" s="1"/>
  <c r="N209" i="1"/>
  <c r="AA209" i="1" s="1"/>
  <c r="S209" i="1"/>
  <c r="AF209" i="1" s="1"/>
  <c r="S856" i="1"/>
  <c r="AF856" i="1" s="1"/>
  <c r="K1288" i="1"/>
  <c r="X1288" i="1" s="1"/>
  <c r="R1288" i="1"/>
  <c r="AE1288" i="1" s="1"/>
  <c r="O1406" i="1"/>
  <c r="AB1406" i="1" s="1"/>
  <c r="V1406" i="1"/>
  <c r="AI1406" i="1" s="1"/>
  <c r="N1406" i="1"/>
  <c r="AA1406" i="1" s="1"/>
  <c r="U1406" i="1"/>
  <c r="AH1406" i="1" s="1"/>
  <c r="M1406" i="1"/>
  <c r="Z1406" i="1" s="1"/>
  <c r="T1406" i="1"/>
  <c r="AG1406" i="1" s="1"/>
  <c r="L1406" i="1"/>
  <c r="Y1406" i="1" s="1"/>
  <c r="S1406" i="1"/>
  <c r="AF1406" i="1" s="1"/>
  <c r="K1406" i="1"/>
  <c r="X1406" i="1" s="1"/>
  <c r="R1406" i="1"/>
  <c r="AE1406" i="1" s="1"/>
  <c r="Q1406" i="1"/>
  <c r="AD1406" i="1" s="1"/>
  <c r="P1406" i="1"/>
  <c r="AC1406" i="1" s="1"/>
  <c r="S598" i="1"/>
  <c r="AF598" i="1" s="1"/>
  <c r="K598" i="1"/>
  <c r="X598" i="1" s="1"/>
  <c r="R598" i="1"/>
  <c r="AE598" i="1" s="1"/>
  <c r="Q598" i="1"/>
  <c r="AD598" i="1" s="1"/>
  <c r="P598" i="1"/>
  <c r="AC598" i="1" s="1"/>
  <c r="O598" i="1"/>
  <c r="AB598" i="1" s="1"/>
  <c r="V598" i="1"/>
  <c r="AI598" i="1" s="1"/>
  <c r="N598" i="1"/>
  <c r="AA598" i="1" s="1"/>
  <c r="T598" i="1"/>
  <c r="AG598" i="1" s="1"/>
  <c r="L598" i="1"/>
  <c r="Y598" i="1" s="1"/>
  <c r="U598" i="1"/>
  <c r="AH598" i="1" s="1"/>
  <c r="M598" i="1"/>
  <c r="Z598" i="1" s="1"/>
  <c r="O649" i="1"/>
  <c r="AB649" i="1" s="1"/>
  <c r="V649" i="1"/>
  <c r="AI649" i="1" s="1"/>
  <c r="N649" i="1"/>
  <c r="AA649" i="1" s="1"/>
  <c r="U649" i="1"/>
  <c r="AH649" i="1" s="1"/>
  <c r="M649" i="1"/>
  <c r="Z649" i="1" s="1"/>
  <c r="T649" i="1"/>
  <c r="AG649" i="1" s="1"/>
  <c r="L649" i="1"/>
  <c r="Y649" i="1" s="1"/>
  <c r="S649" i="1"/>
  <c r="AF649" i="1" s="1"/>
  <c r="K649" i="1"/>
  <c r="X649" i="1" s="1"/>
  <c r="R649" i="1"/>
  <c r="AE649" i="1" s="1"/>
  <c r="P649" i="1"/>
  <c r="AC649" i="1" s="1"/>
  <c r="Q649" i="1"/>
  <c r="AD649" i="1" s="1"/>
  <c r="U774" i="1"/>
  <c r="AH774" i="1" s="1"/>
  <c r="M774" i="1"/>
  <c r="Z774" i="1" s="1"/>
  <c r="T774" i="1"/>
  <c r="AG774" i="1" s="1"/>
  <c r="L774" i="1"/>
  <c r="Y774" i="1" s="1"/>
  <c r="S774" i="1"/>
  <c r="AF774" i="1" s="1"/>
  <c r="K774" i="1"/>
  <c r="X774" i="1" s="1"/>
  <c r="R774" i="1"/>
  <c r="AE774" i="1" s="1"/>
  <c r="Q774" i="1"/>
  <c r="AD774" i="1" s="1"/>
  <c r="P774" i="1"/>
  <c r="AC774" i="1" s="1"/>
  <c r="V774" i="1"/>
  <c r="AI774" i="1" s="1"/>
  <c r="N774" i="1"/>
  <c r="AA774" i="1" s="1"/>
  <c r="O774" i="1"/>
  <c r="AB774" i="1" s="1"/>
  <c r="R330" i="1"/>
  <c r="AE330" i="1" s="1"/>
  <c r="Q330" i="1"/>
  <c r="AD330" i="1" s="1"/>
  <c r="O330" i="1"/>
  <c r="AB330" i="1" s="1"/>
  <c r="T330" i="1"/>
  <c r="AG330" i="1" s="1"/>
  <c r="S330" i="1"/>
  <c r="AF330" i="1" s="1"/>
  <c r="P330" i="1"/>
  <c r="AC330" i="1" s="1"/>
  <c r="N330" i="1"/>
  <c r="AA330" i="1" s="1"/>
  <c r="M330" i="1"/>
  <c r="Z330" i="1" s="1"/>
  <c r="L330" i="1"/>
  <c r="Y330" i="1" s="1"/>
  <c r="U330" i="1"/>
  <c r="AH330" i="1" s="1"/>
  <c r="V330" i="1"/>
  <c r="AI330" i="1" s="1"/>
  <c r="K330" i="1"/>
  <c r="X330" i="1" s="1"/>
  <c r="V72" i="1"/>
  <c r="AI72" i="1" s="1"/>
  <c r="N72" i="1"/>
  <c r="AA72" i="1" s="1"/>
  <c r="U72" i="1"/>
  <c r="AH72" i="1" s="1"/>
  <c r="M72" i="1"/>
  <c r="Z72" i="1" s="1"/>
  <c r="T72" i="1"/>
  <c r="AG72" i="1" s="1"/>
  <c r="L72" i="1"/>
  <c r="Y72" i="1" s="1"/>
  <c r="S72" i="1"/>
  <c r="AF72" i="1" s="1"/>
  <c r="K72" i="1"/>
  <c r="X72" i="1" s="1"/>
  <c r="R72" i="1"/>
  <c r="AE72" i="1" s="1"/>
  <c r="Q72" i="1"/>
  <c r="AD72" i="1" s="1"/>
  <c r="O72" i="1"/>
  <c r="AB72" i="1" s="1"/>
  <c r="P72" i="1"/>
  <c r="AC72" i="1" s="1"/>
  <c r="P1452" i="1"/>
  <c r="AC1452" i="1" s="1"/>
  <c r="O1452" i="1"/>
  <c r="AB1452" i="1" s="1"/>
  <c r="V1452" i="1"/>
  <c r="AI1452" i="1" s="1"/>
  <c r="N1452" i="1"/>
  <c r="AA1452" i="1" s="1"/>
  <c r="U1452" i="1"/>
  <c r="AH1452" i="1" s="1"/>
  <c r="M1452" i="1"/>
  <c r="Z1452" i="1" s="1"/>
  <c r="T1452" i="1"/>
  <c r="AG1452" i="1" s="1"/>
  <c r="L1452" i="1"/>
  <c r="Y1452" i="1" s="1"/>
  <c r="S1452" i="1"/>
  <c r="AF1452" i="1" s="1"/>
  <c r="K1452" i="1"/>
  <c r="X1452" i="1" s="1"/>
  <c r="R1452" i="1"/>
  <c r="AE1452" i="1" s="1"/>
  <c r="Q1452" i="1"/>
  <c r="AD1452" i="1" s="1"/>
  <c r="S644" i="1"/>
  <c r="AF644" i="1" s="1"/>
  <c r="K644" i="1"/>
  <c r="X644" i="1" s="1"/>
  <c r="R644" i="1"/>
  <c r="AE644" i="1" s="1"/>
  <c r="Q644" i="1"/>
  <c r="AD644" i="1" s="1"/>
  <c r="P644" i="1"/>
  <c r="AC644" i="1" s="1"/>
  <c r="O644" i="1"/>
  <c r="AB644" i="1" s="1"/>
  <c r="V644" i="1"/>
  <c r="AI644" i="1" s="1"/>
  <c r="N644" i="1"/>
  <c r="AA644" i="1" s="1"/>
  <c r="T644" i="1"/>
  <c r="AG644" i="1" s="1"/>
  <c r="L644" i="1"/>
  <c r="Y644" i="1" s="1"/>
  <c r="U644" i="1"/>
  <c r="AH644" i="1" s="1"/>
  <c r="M644" i="1"/>
  <c r="Z644" i="1" s="1"/>
  <c r="S948" i="1"/>
  <c r="AF948" i="1" s="1"/>
  <c r="K948" i="1"/>
  <c r="X948" i="1" s="1"/>
  <c r="Q948" i="1"/>
  <c r="AD948" i="1" s="1"/>
  <c r="O948" i="1"/>
  <c r="AB948" i="1" s="1"/>
  <c r="V948" i="1"/>
  <c r="AI948" i="1" s="1"/>
  <c r="N948" i="1"/>
  <c r="AA948" i="1" s="1"/>
  <c r="T948" i="1"/>
  <c r="AG948" i="1" s="1"/>
  <c r="L948" i="1"/>
  <c r="Y948" i="1" s="1"/>
  <c r="U948" i="1"/>
  <c r="AH948" i="1" s="1"/>
  <c r="R948" i="1"/>
  <c r="AE948" i="1" s="1"/>
  <c r="P948" i="1"/>
  <c r="AC948" i="1" s="1"/>
  <c r="M948" i="1"/>
  <c r="Z948" i="1" s="1"/>
  <c r="U519" i="1"/>
  <c r="AH519" i="1" s="1"/>
  <c r="M519" i="1"/>
  <c r="Z519" i="1" s="1"/>
  <c r="R519" i="1"/>
  <c r="AE519" i="1" s="1"/>
  <c r="P519" i="1"/>
  <c r="AC519" i="1" s="1"/>
  <c r="V519" i="1"/>
  <c r="AI519" i="1" s="1"/>
  <c r="T519" i="1"/>
  <c r="AG519" i="1" s="1"/>
  <c r="S519" i="1"/>
  <c r="AF519" i="1" s="1"/>
  <c r="Q519" i="1"/>
  <c r="AD519" i="1" s="1"/>
  <c r="O519" i="1"/>
  <c r="AB519" i="1" s="1"/>
  <c r="N519" i="1"/>
  <c r="AA519" i="1" s="1"/>
  <c r="K519" i="1"/>
  <c r="X519" i="1" s="1"/>
  <c r="L519" i="1"/>
  <c r="Y519" i="1" s="1"/>
  <c r="R61" i="1"/>
  <c r="AE61" i="1" s="1"/>
  <c r="Q61" i="1"/>
  <c r="AD61" i="1" s="1"/>
  <c r="P61" i="1"/>
  <c r="AC61" i="1" s="1"/>
  <c r="O61" i="1"/>
  <c r="AB61" i="1" s="1"/>
  <c r="V61" i="1"/>
  <c r="AI61" i="1" s="1"/>
  <c r="N61" i="1"/>
  <c r="AA61" i="1" s="1"/>
  <c r="U61" i="1"/>
  <c r="AH61" i="1" s="1"/>
  <c r="M61" i="1"/>
  <c r="Z61" i="1" s="1"/>
  <c r="S61" i="1"/>
  <c r="AF61" i="1" s="1"/>
  <c r="K61" i="1"/>
  <c r="X61" i="1" s="1"/>
  <c r="L61" i="1"/>
  <c r="Y61" i="1" s="1"/>
  <c r="T61" i="1"/>
  <c r="AG61" i="1" s="1"/>
  <c r="T1654" i="1"/>
  <c r="AG1654" i="1" s="1"/>
  <c r="L1654" i="1"/>
  <c r="Y1654" i="1" s="1"/>
  <c r="R1654" i="1"/>
  <c r="AE1654" i="1" s="1"/>
  <c r="Q1654" i="1"/>
  <c r="AD1654" i="1" s="1"/>
  <c r="O1654" i="1"/>
  <c r="AB1654" i="1" s="1"/>
  <c r="U1654" i="1"/>
  <c r="AH1654" i="1" s="1"/>
  <c r="M1654" i="1"/>
  <c r="Z1654" i="1" s="1"/>
  <c r="K1654" i="1"/>
  <c r="X1654" i="1" s="1"/>
  <c r="V1654" i="1"/>
  <c r="AI1654" i="1" s="1"/>
  <c r="S1654" i="1"/>
  <c r="AF1654" i="1" s="1"/>
  <c r="N1654" i="1"/>
  <c r="AA1654" i="1" s="1"/>
  <c r="P1654" i="1"/>
  <c r="AC1654" i="1" s="1"/>
  <c r="T1006" i="1"/>
  <c r="AG1006" i="1" s="1"/>
  <c r="L1006" i="1"/>
  <c r="Y1006" i="1" s="1"/>
  <c r="S1006" i="1"/>
  <c r="AF1006" i="1" s="1"/>
  <c r="K1006" i="1"/>
  <c r="X1006" i="1" s="1"/>
  <c r="R1006" i="1"/>
  <c r="AE1006" i="1" s="1"/>
  <c r="Q1006" i="1"/>
  <c r="AD1006" i="1" s="1"/>
  <c r="P1006" i="1"/>
  <c r="AC1006" i="1" s="1"/>
  <c r="O1006" i="1"/>
  <c r="AB1006" i="1" s="1"/>
  <c r="M1006" i="1"/>
  <c r="Z1006" i="1" s="1"/>
  <c r="V1006" i="1"/>
  <c r="AI1006" i="1" s="1"/>
  <c r="N1006" i="1"/>
  <c r="AA1006" i="1" s="1"/>
  <c r="U1006" i="1"/>
  <c r="AH1006" i="1" s="1"/>
  <c r="O537" i="1"/>
  <c r="AB537" i="1" s="1"/>
  <c r="U537" i="1"/>
  <c r="AH537" i="1" s="1"/>
  <c r="M537" i="1"/>
  <c r="Z537" i="1" s="1"/>
  <c r="S537" i="1"/>
  <c r="AF537" i="1" s="1"/>
  <c r="K537" i="1"/>
  <c r="X537" i="1" s="1"/>
  <c r="R537" i="1"/>
  <c r="AE537" i="1" s="1"/>
  <c r="P537" i="1"/>
  <c r="AC537" i="1" s="1"/>
  <c r="V537" i="1"/>
  <c r="AI537" i="1" s="1"/>
  <c r="T537" i="1"/>
  <c r="AG537" i="1" s="1"/>
  <c r="Q537" i="1"/>
  <c r="AD537" i="1" s="1"/>
  <c r="N537" i="1"/>
  <c r="AA537" i="1" s="1"/>
  <c r="L537" i="1"/>
  <c r="Y537" i="1" s="1"/>
  <c r="M114" i="1"/>
  <c r="Z114" i="1" s="1"/>
  <c r="K170" i="1"/>
  <c r="X170" i="1" s="1"/>
  <c r="K115" i="1"/>
  <c r="X115" i="1" s="1"/>
  <c r="L1691" i="1"/>
  <c r="Y1691" i="1" s="1"/>
  <c r="M1474" i="1"/>
  <c r="Z1474" i="1" s="1"/>
  <c r="N1129" i="1"/>
  <c r="AA1129" i="1" s="1"/>
  <c r="O1273" i="1"/>
  <c r="AB1273" i="1" s="1"/>
  <c r="Q1592" i="1"/>
  <c r="AD1592" i="1" s="1"/>
  <c r="P1592" i="1"/>
  <c r="AC1592" i="1" s="1"/>
  <c r="O1592" i="1"/>
  <c r="AB1592" i="1" s="1"/>
  <c r="V1592" i="1"/>
  <c r="AI1592" i="1" s="1"/>
  <c r="N1592" i="1"/>
  <c r="AA1592" i="1" s="1"/>
  <c r="U1592" i="1"/>
  <c r="AH1592" i="1" s="1"/>
  <c r="M1592" i="1"/>
  <c r="Z1592" i="1" s="1"/>
  <c r="T1592" i="1"/>
  <c r="AG1592" i="1" s="1"/>
  <c r="L1592" i="1"/>
  <c r="Y1592" i="1" s="1"/>
  <c r="R1592" i="1"/>
  <c r="AE1592" i="1" s="1"/>
  <c r="K1592" i="1"/>
  <c r="X1592" i="1" s="1"/>
  <c r="S1592" i="1"/>
  <c r="AF1592" i="1" s="1"/>
  <c r="N958" i="1"/>
  <c r="AA958" i="1" s="1"/>
  <c r="L1073" i="1"/>
  <c r="Y1073" i="1" s="1"/>
  <c r="L411" i="1"/>
  <c r="Y411" i="1" s="1"/>
  <c r="S534" i="1"/>
  <c r="AF534" i="1" s="1"/>
  <c r="K534" i="1"/>
  <c r="X534" i="1" s="1"/>
  <c r="Q534" i="1"/>
  <c r="AD534" i="1" s="1"/>
  <c r="O534" i="1"/>
  <c r="AB534" i="1" s="1"/>
  <c r="V534" i="1"/>
  <c r="AI534" i="1" s="1"/>
  <c r="N534" i="1"/>
  <c r="AA534" i="1" s="1"/>
  <c r="T534" i="1"/>
  <c r="AG534" i="1" s="1"/>
  <c r="L534" i="1"/>
  <c r="Y534" i="1" s="1"/>
  <c r="R534" i="1"/>
  <c r="AE534" i="1" s="1"/>
  <c r="P534" i="1"/>
  <c r="AC534" i="1" s="1"/>
  <c r="M534" i="1"/>
  <c r="Z534" i="1" s="1"/>
  <c r="U534" i="1"/>
  <c r="AH534" i="1" s="1"/>
  <c r="T1471" i="1"/>
  <c r="AG1471" i="1" s="1"/>
  <c r="L1471" i="1"/>
  <c r="Y1471" i="1" s="1"/>
  <c r="S1471" i="1"/>
  <c r="AF1471" i="1" s="1"/>
  <c r="K1471" i="1"/>
  <c r="X1471" i="1" s="1"/>
  <c r="R1471" i="1"/>
  <c r="AE1471" i="1" s="1"/>
  <c r="Q1471" i="1"/>
  <c r="AD1471" i="1" s="1"/>
  <c r="P1471" i="1"/>
  <c r="AC1471" i="1" s="1"/>
  <c r="O1471" i="1"/>
  <c r="AB1471" i="1" s="1"/>
  <c r="V1471" i="1"/>
  <c r="AI1471" i="1" s="1"/>
  <c r="N1471" i="1"/>
  <c r="AA1471" i="1" s="1"/>
  <c r="U1471" i="1"/>
  <c r="AH1471" i="1" s="1"/>
  <c r="M1471" i="1"/>
  <c r="Z1471" i="1" s="1"/>
  <c r="O949" i="1"/>
  <c r="AB949" i="1" s="1"/>
  <c r="U949" i="1"/>
  <c r="AH949" i="1" s="1"/>
  <c r="M949" i="1"/>
  <c r="Z949" i="1" s="1"/>
  <c r="S949" i="1"/>
  <c r="AF949" i="1" s="1"/>
  <c r="K949" i="1"/>
  <c r="X949" i="1" s="1"/>
  <c r="R949" i="1"/>
  <c r="AE949" i="1" s="1"/>
  <c r="P949" i="1"/>
  <c r="AC949" i="1" s="1"/>
  <c r="L949" i="1"/>
  <c r="Y949" i="1" s="1"/>
  <c r="V949" i="1"/>
  <c r="AI949" i="1" s="1"/>
  <c r="T949" i="1"/>
  <c r="AG949" i="1" s="1"/>
  <c r="N949" i="1"/>
  <c r="AA949" i="1" s="1"/>
  <c r="Q949" i="1"/>
  <c r="AD949" i="1" s="1"/>
  <c r="O663" i="1"/>
  <c r="AB663" i="1" s="1"/>
  <c r="V663" i="1"/>
  <c r="AI663" i="1" s="1"/>
  <c r="N663" i="1"/>
  <c r="AA663" i="1" s="1"/>
  <c r="U663" i="1"/>
  <c r="AH663" i="1" s="1"/>
  <c r="M663" i="1"/>
  <c r="Z663" i="1" s="1"/>
  <c r="T663" i="1"/>
  <c r="AG663" i="1" s="1"/>
  <c r="L663" i="1"/>
  <c r="Y663" i="1" s="1"/>
  <c r="S663" i="1"/>
  <c r="AF663" i="1" s="1"/>
  <c r="K663" i="1"/>
  <c r="X663" i="1" s="1"/>
  <c r="R663" i="1"/>
  <c r="AE663" i="1" s="1"/>
  <c r="P663" i="1"/>
  <c r="AC663" i="1" s="1"/>
  <c r="Q663" i="1"/>
  <c r="AD663" i="1" s="1"/>
  <c r="S646" i="1"/>
  <c r="AF646" i="1" s="1"/>
  <c r="K646" i="1"/>
  <c r="X646" i="1" s="1"/>
  <c r="R646" i="1"/>
  <c r="AE646" i="1" s="1"/>
  <c r="Q646" i="1"/>
  <c r="AD646" i="1" s="1"/>
  <c r="P646" i="1"/>
  <c r="AC646" i="1" s="1"/>
  <c r="O646" i="1"/>
  <c r="AB646" i="1" s="1"/>
  <c r="V646" i="1"/>
  <c r="AI646" i="1" s="1"/>
  <c r="N646" i="1"/>
  <c r="AA646" i="1" s="1"/>
  <c r="T646" i="1"/>
  <c r="AG646" i="1" s="1"/>
  <c r="L646" i="1"/>
  <c r="Y646" i="1" s="1"/>
  <c r="U646" i="1"/>
  <c r="AH646" i="1" s="1"/>
  <c r="M646" i="1"/>
  <c r="Z646" i="1" s="1"/>
  <c r="O599" i="1"/>
  <c r="AB599" i="1" s="1"/>
  <c r="V599" i="1"/>
  <c r="AI599" i="1" s="1"/>
  <c r="N599" i="1"/>
  <c r="AA599" i="1" s="1"/>
  <c r="U599" i="1"/>
  <c r="AH599" i="1" s="1"/>
  <c r="M599" i="1"/>
  <c r="Z599" i="1" s="1"/>
  <c r="T599" i="1"/>
  <c r="AG599" i="1" s="1"/>
  <c r="L599" i="1"/>
  <c r="Y599" i="1" s="1"/>
  <c r="S599" i="1"/>
  <c r="AF599" i="1" s="1"/>
  <c r="K599" i="1"/>
  <c r="X599" i="1" s="1"/>
  <c r="R599" i="1"/>
  <c r="AE599" i="1" s="1"/>
  <c r="P599" i="1"/>
  <c r="AC599" i="1" s="1"/>
  <c r="Q599" i="1"/>
  <c r="AD599" i="1" s="1"/>
  <c r="R250" i="1"/>
  <c r="AE250" i="1" s="1"/>
  <c r="Q250" i="1"/>
  <c r="AD250" i="1" s="1"/>
  <c r="P250" i="1"/>
  <c r="AC250" i="1" s="1"/>
  <c r="O250" i="1"/>
  <c r="AB250" i="1" s="1"/>
  <c r="V250" i="1"/>
  <c r="AI250" i="1" s="1"/>
  <c r="N250" i="1"/>
  <c r="AA250" i="1" s="1"/>
  <c r="U250" i="1"/>
  <c r="AH250" i="1" s="1"/>
  <c r="M250" i="1"/>
  <c r="Z250" i="1" s="1"/>
  <c r="S250" i="1"/>
  <c r="AF250" i="1" s="1"/>
  <c r="K250" i="1"/>
  <c r="X250" i="1" s="1"/>
  <c r="L250" i="1"/>
  <c r="Y250" i="1" s="1"/>
  <c r="T250" i="1"/>
  <c r="AG250" i="1" s="1"/>
  <c r="V86" i="1"/>
  <c r="AI86" i="1" s="1"/>
  <c r="N86" i="1"/>
  <c r="AA86" i="1" s="1"/>
  <c r="U86" i="1"/>
  <c r="AH86" i="1" s="1"/>
  <c r="M86" i="1"/>
  <c r="Z86" i="1" s="1"/>
  <c r="T86" i="1"/>
  <c r="AG86" i="1" s="1"/>
  <c r="L86" i="1"/>
  <c r="Y86" i="1" s="1"/>
  <c r="S86" i="1"/>
  <c r="AF86" i="1" s="1"/>
  <c r="K86" i="1"/>
  <c r="X86" i="1" s="1"/>
  <c r="R86" i="1"/>
  <c r="AE86" i="1" s="1"/>
  <c r="Q86" i="1"/>
  <c r="AD86" i="1" s="1"/>
  <c r="O86" i="1"/>
  <c r="AB86" i="1" s="1"/>
  <c r="P86" i="1"/>
  <c r="AC86" i="1" s="1"/>
  <c r="S1434" i="1"/>
  <c r="AF1434" i="1" s="1"/>
  <c r="O1434" i="1"/>
  <c r="AB1434" i="1" s="1"/>
  <c r="N1434" i="1"/>
  <c r="AA1434" i="1" s="1"/>
  <c r="V1434" i="1"/>
  <c r="AI1434" i="1" s="1"/>
  <c r="M1434" i="1"/>
  <c r="Z1434" i="1" s="1"/>
  <c r="U1434" i="1"/>
  <c r="AH1434" i="1" s="1"/>
  <c r="L1434" i="1"/>
  <c r="Y1434" i="1" s="1"/>
  <c r="T1434" i="1"/>
  <c r="AG1434" i="1" s="1"/>
  <c r="K1434" i="1"/>
  <c r="X1434" i="1" s="1"/>
  <c r="R1434" i="1"/>
  <c r="AE1434" i="1" s="1"/>
  <c r="Q1434" i="1"/>
  <c r="AD1434" i="1" s="1"/>
  <c r="P1434" i="1"/>
  <c r="AC1434" i="1" s="1"/>
  <c r="T964" i="1"/>
  <c r="AG964" i="1" s="1"/>
  <c r="L964" i="1"/>
  <c r="Y964" i="1" s="1"/>
  <c r="S964" i="1"/>
  <c r="AF964" i="1" s="1"/>
  <c r="R964" i="1"/>
  <c r="AE964" i="1" s="1"/>
  <c r="P964" i="1"/>
  <c r="AC964" i="1" s="1"/>
  <c r="O964" i="1"/>
  <c r="AB964" i="1" s="1"/>
  <c r="K964" i="1"/>
  <c r="X964" i="1" s="1"/>
  <c r="V964" i="1"/>
  <c r="AI964" i="1" s="1"/>
  <c r="U964" i="1"/>
  <c r="AH964" i="1" s="1"/>
  <c r="Q964" i="1"/>
  <c r="AD964" i="1" s="1"/>
  <c r="M964" i="1"/>
  <c r="Z964" i="1" s="1"/>
  <c r="N964" i="1"/>
  <c r="AA964" i="1" s="1"/>
  <c r="O180" i="1"/>
  <c r="AB180" i="1" s="1"/>
  <c r="U180" i="1"/>
  <c r="AH180" i="1" s="1"/>
  <c r="M180" i="1"/>
  <c r="Z180" i="1" s="1"/>
  <c r="S180" i="1"/>
  <c r="AF180" i="1" s="1"/>
  <c r="K180" i="1"/>
  <c r="X180" i="1" s="1"/>
  <c r="V180" i="1"/>
  <c r="AI180" i="1" s="1"/>
  <c r="T180" i="1"/>
  <c r="AG180" i="1" s="1"/>
  <c r="R180" i="1"/>
  <c r="AE180" i="1" s="1"/>
  <c r="Q180" i="1"/>
  <c r="AD180" i="1" s="1"/>
  <c r="P180" i="1"/>
  <c r="AC180" i="1" s="1"/>
  <c r="L180" i="1"/>
  <c r="Y180" i="1" s="1"/>
  <c r="N180" i="1"/>
  <c r="AA180" i="1" s="1"/>
  <c r="V1172" i="1"/>
  <c r="AI1172" i="1" s="1"/>
  <c r="N1172" i="1"/>
  <c r="AA1172" i="1" s="1"/>
  <c r="U1172" i="1"/>
  <c r="AH1172" i="1" s="1"/>
  <c r="M1172" i="1"/>
  <c r="Z1172" i="1" s="1"/>
  <c r="T1172" i="1"/>
  <c r="AG1172" i="1" s="1"/>
  <c r="L1172" i="1"/>
  <c r="Y1172" i="1" s="1"/>
  <c r="S1172" i="1"/>
  <c r="AF1172" i="1" s="1"/>
  <c r="K1172" i="1"/>
  <c r="X1172" i="1" s="1"/>
  <c r="R1172" i="1"/>
  <c r="AE1172" i="1" s="1"/>
  <c r="Q1172" i="1"/>
  <c r="AD1172" i="1" s="1"/>
  <c r="P1172" i="1"/>
  <c r="AC1172" i="1" s="1"/>
  <c r="O1172" i="1"/>
  <c r="AB1172" i="1" s="1"/>
  <c r="Q775" i="1"/>
  <c r="AD775" i="1" s="1"/>
  <c r="P775" i="1"/>
  <c r="AC775" i="1" s="1"/>
  <c r="O775" i="1"/>
  <c r="AB775" i="1" s="1"/>
  <c r="V775" i="1"/>
  <c r="AI775" i="1" s="1"/>
  <c r="N775" i="1"/>
  <c r="AA775" i="1" s="1"/>
  <c r="U775" i="1"/>
  <c r="AH775" i="1" s="1"/>
  <c r="M775" i="1"/>
  <c r="Z775" i="1" s="1"/>
  <c r="T775" i="1"/>
  <c r="AG775" i="1" s="1"/>
  <c r="L775" i="1"/>
  <c r="Y775" i="1" s="1"/>
  <c r="R775" i="1"/>
  <c r="AE775" i="1" s="1"/>
  <c r="K775" i="1"/>
  <c r="X775" i="1" s="1"/>
  <c r="S775" i="1"/>
  <c r="AF775" i="1" s="1"/>
  <c r="O605" i="1"/>
  <c r="AB605" i="1" s="1"/>
  <c r="V605" i="1"/>
  <c r="AI605" i="1" s="1"/>
  <c r="N605" i="1"/>
  <c r="AA605" i="1" s="1"/>
  <c r="U605" i="1"/>
  <c r="AH605" i="1" s="1"/>
  <c r="M605" i="1"/>
  <c r="Z605" i="1" s="1"/>
  <c r="T605" i="1"/>
  <c r="AG605" i="1" s="1"/>
  <c r="L605" i="1"/>
  <c r="Y605" i="1" s="1"/>
  <c r="S605" i="1"/>
  <c r="AF605" i="1" s="1"/>
  <c r="K605" i="1"/>
  <c r="X605" i="1" s="1"/>
  <c r="R605" i="1"/>
  <c r="AE605" i="1" s="1"/>
  <c r="P605" i="1"/>
  <c r="AC605" i="1" s="1"/>
  <c r="Q605" i="1"/>
  <c r="AD605" i="1" s="1"/>
  <c r="V450" i="1"/>
  <c r="AI450" i="1" s="1"/>
  <c r="N450" i="1"/>
  <c r="AA450" i="1" s="1"/>
  <c r="T450" i="1"/>
  <c r="AG450" i="1" s="1"/>
  <c r="L450" i="1"/>
  <c r="Y450" i="1" s="1"/>
  <c r="S450" i="1"/>
  <c r="AF450" i="1" s="1"/>
  <c r="K450" i="1"/>
  <c r="X450" i="1" s="1"/>
  <c r="R450" i="1"/>
  <c r="AE450" i="1" s="1"/>
  <c r="Q450" i="1"/>
  <c r="AD450" i="1" s="1"/>
  <c r="O450" i="1"/>
  <c r="AB450" i="1" s="1"/>
  <c r="U450" i="1"/>
  <c r="AH450" i="1" s="1"/>
  <c r="P450" i="1"/>
  <c r="AC450" i="1" s="1"/>
  <c r="M450" i="1"/>
  <c r="Z450" i="1" s="1"/>
  <c r="R373" i="1"/>
  <c r="AE373" i="1" s="1"/>
  <c r="P373" i="1"/>
  <c r="AC373" i="1" s="1"/>
  <c r="V373" i="1"/>
  <c r="AI373" i="1" s="1"/>
  <c r="N373" i="1"/>
  <c r="AA373" i="1" s="1"/>
  <c r="U373" i="1"/>
  <c r="AH373" i="1" s="1"/>
  <c r="M373" i="1"/>
  <c r="Z373" i="1" s="1"/>
  <c r="S373" i="1"/>
  <c r="AF373" i="1" s="1"/>
  <c r="K373" i="1"/>
  <c r="X373" i="1" s="1"/>
  <c r="L373" i="1"/>
  <c r="Y373" i="1" s="1"/>
  <c r="T373" i="1"/>
  <c r="AG373" i="1" s="1"/>
  <c r="O373" i="1"/>
  <c r="AB373" i="1" s="1"/>
  <c r="Q373" i="1"/>
  <c r="AD373" i="1" s="1"/>
  <c r="V271" i="1"/>
  <c r="AI271" i="1" s="1"/>
  <c r="N271" i="1"/>
  <c r="AA271" i="1" s="1"/>
  <c r="U271" i="1"/>
  <c r="AH271" i="1" s="1"/>
  <c r="M271" i="1"/>
  <c r="Z271" i="1" s="1"/>
  <c r="T271" i="1"/>
  <c r="AG271" i="1" s="1"/>
  <c r="L271" i="1"/>
  <c r="Y271" i="1" s="1"/>
  <c r="S271" i="1"/>
  <c r="AF271" i="1" s="1"/>
  <c r="K271" i="1"/>
  <c r="X271" i="1" s="1"/>
  <c r="R271" i="1"/>
  <c r="AE271" i="1" s="1"/>
  <c r="Q271" i="1"/>
  <c r="AD271" i="1" s="1"/>
  <c r="O271" i="1"/>
  <c r="AB271" i="1" s="1"/>
  <c r="P271" i="1"/>
  <c r="AC271" i="1" s="1"/>
  <c r="R238" i="1"/>
  <c r="AE238" i="1" s="1"/>
  <c r="O238" i="1"/>
  <c r="AB238" i="1" s="1"/>
  <c r="U238" i="1"/>
  <c r="AH238" i="1" s="1"/>
  <c r="M238" i="1"/>
  <c r="Z238" i="1" s="1"/>
  <c r="S238" i="1"/>
  <c r="AF238" i="1" s="1"/>
  <c r="K238" i="1"/>
  <c r="X238" i="1" s="1"/>
  <c r="V238" i="1"/>
  <c r="AI238" i="1" s="1"/>
  <c r="T238" i="1"/>
  <c r="AG238" i="1" s="1"/>
  <c r="Q238" i="1"/>
  <c r="AD238" i="1" s="1"/>
  <c r="P238" i="1"/>
  <c r="AC238" i="1" s="1"/>
  <c r="N238" i="1"/>
  <c r="AA238" i="1" s="1"/>
  <c r="L238" i="1"/>
  <c r="Y238" i="1" s="1"/>
  <c r="V384" i="1"/>
  <c r="AI384" i="1" s="1"/>
  <c r="N384" i="1"/>
  <c r="AA384" i="1" s="1"/>
  <c r="T384" i="1"/>
  <c r="AG384" i="1" s="1"/>
  <c r="L384" i="1"/>
  <c r="Y384" i="1" s="1"/>
  <c r="R384" i="1"/>
  <c r="AE384" i="1" s="1"/>
  <c r="Q384" i="1"/>
  <c r="AD384" i="1" s="1"/>
  <c r="O384" i="1"/>
  <c r="AB384" i="1" s="1"/>
  <c r="U384" i="1"/>
  <c r="AH384" i="1" s="1"/>
  <c r="S384" i="1"/>
  <c r="AF384" i="1" s="1"/>
  <c r="P384" i="1"/>
  <c r="AC384" i="1" s="1"/>
  <c r="K384" i="1"/>
  <c r="X384" i="1" s="1"/>
  <c r="M384" i="1"/>
  <c r="Z384" i="1" s="1"/>
  <c r="T1652" i="1"/>
  <c r="AG1652" i="1" s="1"/>
  <c r="L1652" i="1"/>
  <c r="Y1652" i="1" s="1"/>
  <c r="R1652" i="1"/>
  <c r="AE1652" i="1" s="1"/>
  <c r="Q1652" i="1"/>
  <c r="AD1652" i="1" s="1"/>
  <c r="O1652" i="1"/>
  <c r="AB1652" i="1" s="1"/>
  <c r="U1652" i="1"/>
  <c r="AH1652" i="1" s="1"/>
  <c r="M1652" i="1"/>
  <c r="Z1652" i="1" s="1"/>
  <c r="N1652" i="1"/>
  <c r="AA1652" i="1" s="1"/>
  <c r="K1652" i="1"/>
  <c r="X1652" i="1" s="1"/>
  <c r="V1652" i="1"/>
  <c r="AI1652" i="1" s="1"/>
  <c r="P1652" i="1"/>
  <c r="AC1652" i="1" s="1"/>
  <c r="S1652" i="1"/>
  <c r="AF1652" i="1" s="1"/>
  <c r="T1473" i="1"/>
  <c r="AG1473" i="1" s="1"/>
  <c r="L1473" i="1"/>
  <c r="Y1473" i="1" s="1"/>
  <c r="S1473" i="1"/>
  <c r="AF1473" i="1" s="1"/>
  <c r="K1473" i="1"/>
  <c r="X1473" i="1" s="1"/>
  <c r="R1473" i="1"/>
  <c r="AE1473" i="1" s="1"/>
  <c r="Q1473" i="1"/>
  <c r="AD1473" i="1" s="1"/>
  <c r="P1473" i="1"/>
  <c r="AC1473" i="1" s="1"/>
  <c r="O1473" i="1"/>
  <c r="AB1473" i="1" s="1"/>
  <c r="V1473" i="1"/>
  <c r="AI1473" i="1" s="1"/>
  <c r="N1473" i="1"/>
  <c r="AA1473" i="1" s="1"/>
  <c r="U1473" i="1"/>
  <c r="AH1473" i="1" s="1"/>
  <c r="M1473" i="1"/>
  <c r="Z1473" i="1" s="1"/>
  <c r="P1440" i="1"/>
  <c r="AC1440" i="1" s="1"/>
  <c r="O1440" i="1"/>
  <c r="AB1440" i="1" s="1"/>
  <c r="V1440" i="1"/>
  <c r="AI1440" i="1" s="1"/>
  <c r="N1440" i="1"/>
  <c r="AA1440" i="1" s="1"/>
  <c r="U1440" i="1"/>
  <c r="AH1440" i="1" s="1"/>
  <c r="M1440" i="1"/>
  <c r="Z1440" i="1" s="1"/>
  <c r="T1440" i="1"/>
  <c r="AG1440" i="1" s="1"/>
  <c r="L1440" i="1"/>
  <c r="Y1440" i="1" s="1"/>
  <c r="S1440" i="1"/>
  <c r="AF1440" i="1" s="1"/>
  <c r="K1440" i="1"/>
  <c r="X1440" i="1" s="1"/>
  <c r="R1440" i="1"/>
  <c r="AE1440" i="1" s="1"/>
  <c r="Q1440" i="1"/>
  <c r="AD1440" i="1" s="1"/>
  <c r="S1433" i="1"/>
  <c r="AF1433" i="1" s="1"/>
  <c r="K1433" i="1"/>
  <c r="X1433" i="1" s="1"/>
  <c r="R1433" i="1"/>
  <c r="AE1433" i="1" s="1"/>
  <c r="Q1433" i="1"/>
  <c r="AD1433" i="1" s="1"/>
  <c r="P1433" i="1"/>
  <c r="AC1433" i="1" s="1"/>
  <c r="O1433" i="1"/>
  <c r="AB1433" i="1" s="1"/>
  <c r="V1433" i="1"/>
  <c r="AI1433" i="1" s="1"/>
  <c r="N1433" i="1"/>
  <c r="AA1433" i="1" s="1"/>
  <c r="U1433" i="1"/>
  <c r="AH1433" i="1" s="1"/>
  <c r="M1433" i="1"/>
  <c r="Z1433" i="1" s="1"/>
  <c r="T1433" i="1"/>
  <c r="AG1433" i="1" s="1"/>
  <c r="L1433" i="1"/>
  <c r="Y1433" i="1" s="1"/>
  <c r="O1532" i="1"/>
  <c r="AB1532" i="1" s="1"/>
  <c r="V1532" i="1"/>
  <c r="AI1532" i="1" s="1"/>
  <c r="N1532" i="1"/>
  <c r="AA1532" i="1" s="1"/>
  <c r="U1532" i="1"/>
  <c r="AH1532" i="1" s="1"/>
  <c r="M1532" i="1"/>
  <c r="Z1532" i="1" s="1"/>
  <c r="T1532" i="1"/>
  <c r="AG1532" i="1" s="1"/>
  <c r="L1532" i="1"/>
  <c r="Y1532" i="1" s="1"/>
  <c r="R1532" i="1"/>
  <c r="AE1532" i="1" s="1"/>
  <c r="S1532" i="1"/>
  <c r="AF1532" i="1" s="1"/>
  <c r="Q1532" i="1"/>
  <c r="AD1532" i="1" s="1"/>
  <c r="P1532" i="1"/>
  <c r="AC1532" i="1" s="1"/>
  <c r="K1532" i="1"/>
  <c r="X1532" i="1" s="1"/>
  <c r="T1044" i="1"/>
  <c r="AG1044" i="1" s="1"/>
  <c r="L1044" i="1"/>
  <c r="Y1044" i="1" s="1"/>
  <c r="S1044" i="1"/>
  <c r="AF1044" i="1" s="1"/>
  <c r="K1044" i="1"/>
  <c r="X1044" i="1" s="1"/>
  <c r="R1044" i="1"/>
  <c r="AE1044" i="1" s="1"/>
  <c r="Q1044" i="1"/>
  <c r="AD1044" i="1" s="1"/>
  <c r="P1044" i="1"/>
  <c r="AC1044" i="1" s="1"/>
  <c r="O1044" i="1"/>
  <c r="AB1044" i="1" s="1"/>
  <c r="V1044" i="1"/>
  <c r="AI1044" i="1" s="1"/>
  <c r="U1044" i="1"/>
  <c r="AH1044" i="1" s="1"/>
  <c r="N1044" i="1"/>
  <c r="AA1044" i="1" s="1"/>
  <c r="M1044" i="1"/>
  <c r="Z1044" i="1" s="1"/>
  <c r="S656" i="1"/>
  <c r="AF656" i="1" s="1"/>
  <c r="K656" i="1"/>
  <c r="X656" i="1" s="1"/>
  <c r="R656" i="1"/>
  <c r="AE656" i="1" s="1"/>
  <c r="Q656" i="1"/>
  <c r="AD656" i="1" s="1"/>
  <c r="P656" i="1"/>
  <c r="AC656" i="1" s="1"/>
  <c r="O656" i="1"/>
  <c r="AB656" i="1" s="1"/>
  <c r="V656" i="1"/>
  <c r="AI656" i="1" s="1"/>
  <c r="N656" i="1"/>
  <c r="AA656" i="1" s="1"/>
  <c r="T656" i="1"/>
  <c r="AG656" i="1" s="1"/>
  <c r="L656" i="1"/>
  <c r="Y656" i="1" s="1"/>
  <c r="M656" i="1"/>
  <c r="Z656" i="1" s="1"/>
  <c r="U656" i="1"/>
  <c r="AH656" i="1" s="1"/>
  <c r="S177" i="1"/>
  <c r="AF177" i="1" s="1"/>
  <c r="K177" i="1"/>
  <c r="X177" i="1" s="1"/>
  <c r="Q177" i="1"/>
  <c r="AD177" i="1" s="1"/>
  <c r="U177" i="1"/>
  <c r="AH177" i="1" s="1"/>
  <c r="T177" i="1"/>
  <c r="AG177" i="1" s="1"/>
  <c r="R177" i="1"/>
  <c r="AE177" i="1" s="1"/>
  <c r="P177" i="1"/>
  <c r="AC177" i="1" s="1"/>
  <c r="O177" i="1"/>
  <c r="AB177" i="1" s="1"/>
  <c r="N177" i="1"/>
  <c r="AA177" i="1" s="1"/>
  <c r="V177" i="1"/>
  <c r="AI177" i="1" s="1"/>
  <c r="L177" i="1"/>
  <c r="Y177" i="1" s="1"/>
  <c r="M177" i="1"/>
  <c r="Z177" i="1" s="1"/>
  <c r="V295" i="1"/>
  <c r="AI295" i="1" s="1"/>
  <c r="N295" i="1"/>
  <c r="AA295" i="1" s="1"/>
  <c r="U295" i="1"/>
  <c r="AH295" i="1" s="1"/>
  <c r="M295" i="1"/>
  <c r="Z295" i="1" s="1"/>
  <c r="T295" i="1"/>
  <c r="AG295" i="1" s="1"/>
  <c r="L295" i="1"/>
  <c r="Y295" i="1" s="1"/>
  <c r="S295" i="1"/>
  <c r="AF295" i="1" s="1"/>
  <c r="K295" i="1"/>
  <c r="X295" i="1" s="1"/>
  <c r="R295" i="1"/>
  <c r="AE295" i="1" s="1"/>
  <c r="Q295" i="1"/>
  <c r="AD295" i="1" s="1"/>
  <c r="O295" i="1"/>
  <c r="AB295" i="1" s="1"/>
  <c r="P295" i="1"/>
  <c r="AC295" i="1" s="1"/>
  <c r="R1260" i="1"/>
  <c r="AE1260" i="1" s="1"/>
  <c r="Q1260" i="1"/>
  <c r="AD1260" i="1" s="1"/>
  <c r="O1260" i="1"/>
  <c r="AB1260" i="1" s="1"/>
  <c r="V1260" i="1"/>
  <c r="AI1260" i="1" s="1"/>
  <c r="N1260" i="1"/>
  <c r="AA1260" i="1" s="1"/>
  <c r="U1260" i="1"/>
  <c r="AH1260" i="1" s="1"/>
  <c r="M1260" i="1"/>
  <c r="Z1260" i="1" s="1"/>
  <c r="T1260" i="1"/>
  <c r="AG1260" i="1" s="1"/>
  <c r="S1260" i="1"/>
  <c r="AF1260" i="1" s="1"/>
  <c r="P1260" i="1"/>
  <c r="AC1260" i="1" s="1"/>
  <c r="L1260" i="1"/>
  <c r="Y1260" i="1" s="1"/>
  <c r="K1260" i="1"/>
  <c r="X1260" i="1" s="1"/>
  <c r="T970" i="1"/>
  <c r="AG970" i="1" s="1"/>
  <c r="L970" i="1"/>
  <c r="Y970" i="1" s="1"/>
  <c r="S970" i="1"/>
  <c r="AF970" i="1" s="1"/>
  <c r="K970" i="1"/>
  <c r="X970" i="1" s="1"/>
  <c r="R970" i="1"/>
  <c r="AE970" i="1" s="1"/>
  <c r="Q970" i="1"/>
  <c r="AD970" i="1" s="1"/>
  <c r="P970" i="1"/>
  <c r="AC970" i="1" s="1"/>
  <c r="O970" i="1"/>
  <c r="AB970" i="1" s="1"/>
  <c r="V970" i="1"/>
  <c r="AI970" i="1" s="1"/>
  <c r="U970" i="1"/>
  <c r="AH970" i="1" s="1"/>
  <c r="N970" i="1"/>
  <c r="AA970" i="1" s="1"/>
  <c r="M970" i="1"/>
  <c r="Z970" i="1" s="1"/>
  <c r="R457" i="1"/>
  <c r="AE457" i="1" s="1"/>
  <c r="P457" i="1"/>
  <c r="AC457" i="1" s="1"/>
  <c r="O457" i="1"/>
  <c r="AB457" i="1" s="1"/>
  <c r="V457" i="1"/>
  <c r="AI457" i="1" s="1"/>
  <c r="N457" i="1"/>
  <c r="AA457" i="1" s="1"/>
  <c r="U457" i="1"/>
  <c r="AH457" i="1" s="1"/>
  <c r="M457" i="1"/>
  <c r="Z457" i="1" s="1"/>
  <c r="S457" i="1"/>
  <c r="AF457" i="1" s="1"/>
  <c r="K457" i="1"/>
  <c r="X457" i="1" s="1"/>
  <c r="Q457" i="1"/>
  <c r="AD457" i="1" s="1"/>
  <c r="L457" i="1"/>
  <c r="Y457" i="1" s="1"/>
  <c r="T457" i="1"/>
  <c r="AG457" i="1" s="1"/>
  <c r="S586" i="1"/>
  <c r="AF586" i="1" s="1"/>
  <c r="K586" i="1"/>
  <c r="X586" i="1" s="1"/>
  <c r="R586" i="1"/>
  <c r="AE586" i="1" s="1"/>
  <c r="Q586" i="1"/>
  <c r="AD586" i="1" s="1"/>
  <c r="P586" i="1"/>
  <c r="AC586" i="1" s="1"/>
  <c r="O586" i="1"/>
  <c r="AB586" i="1" s="1"/>
  <c r="V586" i="1"/>
  <c r="AI586" i="1" s="1"/>
  <c r="N586" i="1"/>
  <c r="AA586" i="1" s="1"/>
  <c r="T586" i="1"/>
  <c r="AG586" i="1" s="1"/>
  <c r="L586" i="1"/>
  <c r="Y586" i="1" s="1"/>
  <c r="M586" i="1"/>
  <c r="Z586" i="1" s="1"/>
  <c r="U586" i="1"/>
  <c r="AH586" i="1" s="1"/>
  <c r="O555" i="1"/>
  <c r="AB555" i="1" s="1"/>
  <c r="V555" i="1"/>
  <c r="AI555" i="1" s="1"/>
  <c r="N555" i="1"/>
  <c r="AA555" i="1" s="1"/>
  <c r="U555" i="1"/>
  <c r="AH555" i="1" s="1"/>
  <c r="M555" i="1"/>
  <c r="Z555" i="1" s="1"/>
  <c r="T555" i="1"/>
  <c r="AG555" i="1" s="1"/>
  <c r="L555" i="1"/>
  <c r="Y555" i="1" s="1"/>
  <c r="S555" i="1"/>
  <c r="AF555" i="1" s="1"/>
  <c r="K555" i="1"/>
  <c r="X555" i="1" s="1"/>
  <c r="R555" i="1"/>
  <c r="AE555" i="1" s="1"/>
  <c r="P555" i="1"/>
  <c r="AC555" i="1" s="1"/>
  <c r="Q555" i="1"/>
  <c r="AD555" i="1" s="1"/>
  <c r="R278" i="1"/>
  <c r="AE278" i="1" s="1"/>
  <c r="Q278" i="1"/>
  <c r="AD278" i="1" s="1"/>
  <c r="P278" i="1"/>
  <c r="AC278" i="1" s="1"/>
  <c r="O278" i="1"/>
  <c r="AB278" i="1" s="1"/>
  <c r="V278" i="1"/>
  <c r="AI278" i="1" s="1"/>
  <c r="N278" i="1"/>
  <c r="AA278" i="1" s="1"/>
  <c r="U278" i="1"/>
  <c r="AH278" i="1" s="1"/>
  <c r="M278" i="1"/>
  <c r="Z278" i="1" s="1"/>
  <c r="S278" i="1"/>
  <c r="AF278" i="1" s="1"/>
  <c r="K278" i="1"/>
  <c r="X278" i="1" s="1"/>
  <c r="T278" i="1"/>
  <c r="AG278" i="1" s="1"/>
  <c r="L278" i="1"/>
  <c r="Y278" i="1" s="1"/>
  <c r="R67" i="1"/>
  <c r="AE67" i="1" s="1"/>
  <c r="Q67" i="1"/>
  <c r="AD67" i="1" s="1"/>
  <c r="P67" i="1"/>
  <c r="AC67" i="1" s="1"/>
  <c r="O67" i="1"/>
  <c r="AB67" i="1" s="1"/>
  <c r="V67" i="1"/>
  <c r="AI67" i="1" s="1"/>
  <c r="N67" i="1"/>
  <c r="AA67" i="1" s="1"/>
  <c r="U67" i="1"/>
  <c r="AH67" i="1" s="1"/>
  <c r="M67" i="1"/>
  <c r="Z67" i="1" s="1"/>
  <c r="S67" i="1"/>
  <c r="AF67" i="1" s="1"/>
  <c r="K67" i="1"/>
  <c r="X67" i="1" s="1"/>
  <c r="T67" i="1"/>
  <c r="AG67" i="1" s="1"/>
  <c r="L67" i="1"/>
  <c r="Y67" i="1" s="1"/>
  <c r="O188" i="1"/>
  <c r="AB188" i="1" s="1"/>
  <c r="U188" i="1"/>
  <c r="AH188" i="1" s="1"/>
  <c r="M188" i="1"/>
  <c r="Z188" i="1" s="1"/>
  <c r="S188" i="1"/>
  <c r="AF188" i="1" s="1"/>
  <c r="K188" i="1"/>
  <c r="X188" i="1" s="1"/>
  <c r="Q188" i="1"/>
  <c r="AD188" i="1" s="1"/>
  <c r="P188" i="1"/>
  <c r="AC188" i="1" s="1"/>
  <c r="N188" i="1"/>
  <c r="AA188" i="1" s="1"/>
  <c r="L188" i="1"/>
  <c r="Y188" i="1" s="1"/>
  <c r="V188" i="1"/>
  <c r="AI188" i="1" s="1"/>
  <c r="R188" i="1"/>
  <c r="AE188" i="1" s="1"/>
  <c r="T188" i="1"/>
  <c r="AG188" i="1" s="1"/>
  <c r="V1689" i="1"/>
  <c r="AI1689" i="1" s="1"/>
  <c r="N1689" i="1"/>
  <c r="AA1689" i="1" s="1"/>
  <c r="U1689" i="1"/>
  <c r="AH1689" i="1" s="1"/>
  <c r="M1689" i="1"/>
  <c r="Z1689" i="1" s="1"/>
  <c r="T1689" i="1"/>
  <c r="AG1689" i="1" s="1"/>
  <c r="L1689" i="1"/>
  <c r="Y1689" i="1" s="1"/>
  <c r="S1689" i="1"/>
  <c r="AF1689" i="1" s="1"/>
  <c r="K1689" i="1"/>
  <c r="X1689" i="1" s="1"/>
  <c r="R1689" i="1"/>
  <c r="AE1689" i="1" s="1"/>
  <c r="Q1689" i="1"/>
  <c r="AD1689" i="1" s="1"/>
  <c r="P1689" i="1"/>
  <c r="AC1689" i="1" s="1"/>
  <c r="O1689" i="1"/>
  <c r="AB1689" i="1" s="1"/>
  <c r="Q1612" i="1"/>
  <c r="AD1612" i="1" s="1"/>
  <c r="O1612" i="1"/>
  <c r="AB1612" i="1" s="1"/>
  <c r="U1612" i="1"/>
  <c r="AH1612" i="1" s="1"/>
  <c r="K1612" i="1"/>
  <c r="X1612" i="1" s="1"/>
  <c r="T1612" i="1"/>
  <c r="AG1612" i="1" s="1"/>
  <c r="S1612" i="1"/>
  <c r="AF1612" i="1" s="1"/>
  <c r="R1612" i="1"/>
  <c r="AE1612" i="1" s="1"/>
  <c r="P1612" i="1"/>
  <c r="AC1612" i="1" s="1"/>
  <c r="N1612" i="1"/>
  <c r="AA1612" i="1" s="1"/>
  <c r="V1612" i="1"/>
  <c r="AI1612" i="1" s="1"/>
  <c r="L1612" i="1"/>
  <c r="Y1612" i="1" s="1"/>
  <c r="M1612" i="1"/>
  <c r="Z1612" i="1" s="1"/>
  <c r="S1539" i="1"/>
  <c r="AF1539" i="1" s="1"/>
  <c r="K1539" i="1"/>
  <c r="X1539" i="1" s="1"/>
  <c r="R1539" i="1"/>
  <c r="AE1539" i="1" s="1"/>
  <c r="Q1539" i="1"/>
  <c r="AD1539" i="1" s="1"/>
  <c r="P1539" i="1"/>
  <c r="AC1539" i="1" s="1"/>
  <c r="V1539" i="1"/>
  <c r="AI1539" i="1" s="1"/>
  <c r="N1539" i="1"/>
  <c r="AA1539" i="1" s="1"/>
  <c r="U1539" i="1"/>
  <c r="AH1539" i="1" s="1"/>
  <c r="T1539" i="1"/>
  <c r="AG1539" i="1" s="1"/>
  <c r="O1539" i="1"/>
  <c r="AB1539" i="1" s="1"/>
  <c r="M1539" i="1"/>
  <c r="Z1539" i="1" s="1"/>
  <c r="L1539" i="1"/>
  <c r="Y1539" i="1" s="1"/>
  <c r="T1439" i="1"/>
  <c r="AG1439" i="1" s="1"/>
  <c r="L1439" i="1"/>
  <c r="Y1439" i="1" s="1"/>
  <c r="S1439" i="1"/>
  <c r="AF1439" i="1" s="1"/>
  <c r="K1439" i="1"/>
  <c r="X1439" i="1" s="1"/>
  <c r="R1439" i="1"/>
  <c r="AE1439" i="1" s="1"/>
  <c r="Q1439" i="1"/>
  <c r="AD1439" i="1" s="1"/>
  <c r="P1439" i="1"/>
  <c r="AC1439" i="1" s="1"/>
  <c r="O1439" i="1"/>
  <c r="AB1439" i="1" s="1"/>
  <c r="V1439" i="1"/>
  <c r="AI1439" i="1" s="1"/>
  <c r="U1439" i="1"/>
  <c r="AH1439" i="1" s="1"/>
  <c r="N1439" i="1"/>
  <c r="AA1439" i="1" s="1"/>
  <c r="M1439" i="1"/>
  <c r="Z1439" i="1" s="1"/>
  <c r="O1544" i="1"/>
  <c r="AB1544" i="1" s="1"/>
  <c r="V1544" i="1"/>
  <c r="AI1544" i="1" s="1"/>
  <c r="N1544" i="1"/>
  <c r="AA1544" i="1" s="1"/>
  <c r="U1544" i="1"/>
  <c r="AH1544" i="1" s="1"/>
  <c r="M1544" i="1"/>
  <c r="Z1544" i="1" s="1"/>
  <c r="T1544" i="1"/>
  <c r="AG1544" i="1" s="1"/>
  <c r="L1544" i="1"/>
  <c r="Y1544" i="1" s="1"/>
  <c r="R1544" i="1"/>
  <c r="AE1544" i="1" s="1"/>
  <c r="S1544" i="1"/>
  <c r="AF1544" i="1" s="1"/>
  <c r="Q1544" i="1"/>
  <c r="AD1544" i="1" s="1"/>
  <c r="P1544" i="1"/>
  <c r="AC1544" i="1" s="1"/>
  <c r="K1544" i="1"/>
  <c r="X1544" i="1" s="1"/>
  <c r="T1030" i="1"/>
  <c r="AG1030" i="1" s="1"/>
  <c r="L1030" i="1"/>
  <c r="Y1030" i="1" s="1"/>
  <c r="S1030" i="1"/>
  <c r="AF1030" i="1" s="1"/>
  <c r="K1030" i="1"/>
  <c r="X1030" i="1" s="1"/>
  <c r="R1030" i="1"/>
  <c r="AE1030" i="1" s="1"/>
  <c r="Q1030" i="1"/>
  <c r="AD1030" i="1" s="1"/>
  <c r="P1030" i="1"/>
  <c r="AC1030" i="1" s="1"/>
  <c r="O1030" i="1"/>
  <c r="AB1030" i="1" s="1"/>
  <c r="M1030" i="1"/>
  <c r="Z1030" i="1" s="1"/>
  <c r="V1030" i="1"/>
  <c r="AI1030" i="1" s="1"/>
  <c r="N1030" i="1"/>
  <c r="AA1030" i="1" s="1"/>
  <c r="U1030" i="1"/>
  <c r="AH1030" i="1" s="1"/>
  <c r="S620" i="1"/>
  <c r="AF620" i="1" s="1"/>
  <c r="K620" i="1"/>
  <c r="X620" i="1" s="1"/>
  <c r="R620" i="1"/>
  <c r="AE620" i="1" s="1"/>
  <c r="Q620" i="1"/>
  <c r="AD620" i="1" s="1"/>
  <c r="P620" i="1"/>
  <c r="AC620" i="1" s="1"/>
  <c r="O620" i="1"/>
  <c r="AB620" i="1" s="1"/>
  <c r="V620" i="1"/>
  <c r="AI620" i="1" s="1"/>
  <c r="N620" i="1"/>
  <c r="AA620" i="1" s="1"/>
  <c r="T620" i="1"/>
  <c r="AG620" i="1" s="1"/>
  <c r="L620" i="1"/>
  <c r="Y620" i="1" s="1"/>
  <c r="U620" i="1"/>
  <c r="AH620" i="1" s="1"/>
  <c r="M620" i="1"/>
  <c r="Z620" i="1" s="1"/>
  <c r="R1286" i="1"/>
  <c r="AE1286" i="1" s="1"/>
  <c r="Q1286" i="1"/>
  <c r="AD1286" i="1" s="1"/>
  <c r="O1286" i="1"/>
  <c r="AB1286" i="1" s="1"/>
  <c r="V1286" i="1"/>
  <c r="AI1286" i="1" s="1"/>
  <c r="N1286" i="1"/>
  <c r="AA1286" i="1" s="1"/>
  <c r="U1286" i="1"/>
  <c r="AH1286" i="1" s="1"/>
  <c r="M1286" i="1"/>
  <c r="Z1286" i="1" s="1"/>
  <c r="P1286" i="1"/>
  <c r="AC1286" i="1" s="1"/>
  <c r="L1286" i="1"/>
  <c r="Y1286" i="1" s="1"/>
  <c r="K1286" i="1"/>
  <c r="X1286" i="1" s="1"/>
  <c r="T1286" i="1"/>
  <c r="AG1286" i="1" s="1"/>
  <c r="S1286" i="1"/>
  <c r="AF1286" i="1" s="1"/>
  <c r="U909" i="1"/>
  <c r="AH909" i="1" s="1"/>
  <c r="M909" i="1"/>
  <c r="Z909" i="1" s="1"/>
  <c r="R909" i="1"/>
  <c r="AE909" i="1" s="1"/>
  <c r="P909" i="1"/>
  <c r="AC909" i="1" s="1"/>
  <c r="V909" i="1"/>
  <c r="AI909" i="1" s="1"/>
  <c r="T909" i="1"/>
  <c r="AG909" i="1" s="1"/>
  <c r="S909" i="1"/>
  <c r="AF909" i="1" s="1"/>
  <c r="Q909" i="1"/>
  <c r="AD909" i="1" s="1"/>
  <c r="O909" i="1"/>
  <c r="AB909" i="1" s="1"/>
  <c r="N909" i="1"/>
  <c r="AA909" i="1" s="1"/>
  <c r="K909" i="1"/>
  <c r="X909" i="1" s="1"/>
  <c r="L909" i="1"/>
  <c r="Y909" i="1" s="1"/>
  <c r="S552" i="1"/>
  <c r="AF552" i="1" s="1"/>
  <c r="K552" i="1"/>
  <c r="X552" i="1" s="1"/>
  <c r="R552" i="1"/>
  <c r="AE552" i="1" s="1"/>
  <c r="Q552" i="1"/>
  <c r="AD552" i="1" s="1"/>
  <c r="P552" i="1"/>
  <c r="AC552" i="1" s="1"/>
  <c r="O552" i="1"/>
  <c r="AB552" i="1" s="1"/>
  <c r="V552" i="1"/>
  <c r="AI552" i="1" s="1"/>
  <c r="N552" i="1"/>
  <c r="AA552" i="1" s="1"/>
  <c r="T552" i="1"/>
  <c r="AG552" i="1" s="1"/>
  <c r="L552" i="1"/>
  <c r="Y552" i="1" s="1"/>
  <c r="U552" i="1"/>
  <c r="AH552" i="1" s="1"/>
  <c r="M552" i="1"/>
  <c r="Z552" i="1" s="1"/>
  <c r="U728" i="1"/>
  <c r="AH728" i="1" s="1"/>
  <c r="M728" i="1"/>
  <c r="Z728" i="1" s="1"/>
  <c r="T728" i="1"/>
  <c r="AG728" i="1" s="1"/>
  <c r="L728" i="1"/>
  <c r="Y728" i="1" s="1"/>
  <c r="S728" i="1"/>
  <c r="AF728" i="1" s="1"/>
  <c r="K728" i="1"/>
  <c r="X728" i="1" s="1"/>
  <c r="R728" i="1"/>
  <c r="AE728" i="1" s="1"/>
  <c r="Q728" i="1"/>
  <c r="AD728" i="1" s="1"/>
  <c r="P728" i="1"/>
  <c r="AC728" i="1" s="1"/>
  <c r="V728" i="1"/>
  <c r="AI728" i="1" s="1"/>
  <c r="N728" i="1"/>
  <c r="AA728" i="1" s="1"/>
  <c r="O728" i="1"/>
  <c r="AB728" i="1" s="1"/>
  <c r="T1477" i="1"/>
  <c r="AG1477" i="1" s="1"/>
  <c r="L1477" i="1"/>
  <c r="Y1477" i="1" s="1"/>
  <c r="S1477" i="1"/>
  <c r="AF1477" i="1" s="1"/>
  <c r="K1477" i="1"/>
  <c r="X1477" i="1" s="1"/>
  <c r="R1477" i="1"/>
  <c r="AE1477" i="1" s="1"/>
  <c r="Q1477" i="1"/>
  <c r="AD1477" i="1" s="1"/>
  <c r="P1477" i="1"/>
  <c r="AC1477" i="1" s="1"/>
  <c r="O1477" i="1"/>
  <c r="AB1477" i="1" s="1"/>
  <c r="V1477" i="1"/>
  <c r="AI1477" i="1" s="1"/>
  <c r="N1477" i="1"/>
  <c r="AA1477" i="1" s="1"/>
  <c r="U1477" i="1"/>
  <c r="AH1477" i="1" s="1"/>
  <c r="M1477" i="1"/>
  <c r="Z1477" i="1" s="1"/>
  <c r="T974" i="1"/>
  <c r="AG974" i="1" s="1"/>
  <c r="L974" i="1"/>
  <c r="Y974" i="1" s="1"/>
  <c r="S974" i="1"/>
  <c r="AF974" i="1" s="1"/>
  <c r="K974" i="1"/>
  <c r="X974" i="1" s="1"/>
  <c r="R974" i="1"/>
  <c r="AE974" i="1" s="1"/>
  <c r="Q974" i="1"/>
  <c r="AD974" i="1" s="1"/>
  <c r="P974" i="1"/>
  <c r="AC974" i="1" s="1"/>
  <c r="O974" i="1"/>
  <c r="AB974" i="1" s="1"/>
  <c r="M974" i="1"/>
  <c r="Z974" i="1" s="1"/>
  <c r="V974" i="1"/>
  <c r="AI974" i="1" s="1"/>
  <c r="N974" i="1"/>
  <c r="AA974" i="1" s="1"/>
  <c r="U974" i="1"/>
  <c r="AH974" i="1" s="1"/>
  <c r="R389" i="1"/>
  <c r="AE389" i="1" s="1"/>
  <c r="P389" i="1"/>
  <c r="AC389" i="1" s="1"/>
  <c r="V389" i="1"/>
  <c r="AI389" i="1" s="1"/>
  <c r="N389" i="1"/>
  <c r="AA389" i="1" s="1"/>
  <c r="U389" i="1"/>
  <c r="AH389" i="1" s="1"/>
  <c r="M389" i="1"/>
  <c r="Z389" i="1" s="1"/>
  <c r="S389" i="1"/>
  <c r="AF389" i="1" s="1"/>
  <c r="K389" i="1"/>
  <c r="X389" i="1" s="1"/>
  <c r="L389" i="1"/>
  <c r="Y389" i="1" s="1"/>
  <c r="T389" i="1"/>
  <c r="AG389" i="1" s="1"/>
  <c r="O389" i="1"/>
  <c r="AB389" i="1" s="1"/>
  <c r="Q389" i="1"/>
  <c r="AD389" i="1" s="1"/>
  <c r="R109" i="1"/>
  <c r="AE109" i="1" s="1"/>
  <c r="Q109" i="1"/>
  <c r="AD109" i="1" s="1"/>
  <c r="P109" i="1"/>
  <c r="AC109" i="1" s="1"/>
  <c r="O109" i="1"/>
  <c r="AB109" i="1" s="1"/>
  <c r="V109" i="1"/>
  <c r="AI109" i="1" s="1"/>
  <c r="N109" i="1"/>
  <c r="AA109" i="1" s="1"/>
  <c r="U109" i="1"/>
  <c r="AH109" i="1" s="1"/>
  <c r="M109" i="1"/>
  <c r="Z109" i="1" s="1"/>
  <c r="S109" i="1"/>
  <c r="AF109" i="1" s="1"/>
  <c r="K109" i="1"/>
  <c r="X109" i="1" s="1"/>
  <c r="L109" i="1"/>
  <c r="Y109" i="1" s="1"/>
  <c r="T109" i="1"/>
  <c r="AG109" i="1" s="1"/>
  <c r="P1116" i="1"/>
  <c r="AC1116" i="1" s="1"/>
  <c r="O1116" i="1"/>
  <c r="AB1116" i="1" s="1"/>
  <c r="V1116" i="1"/>
  <c r="AI1116" i="1" s="1"/>
  <c r="N1116" i="1"/>
  <c r="AA1116" i="1" s="1"/>
  <c r="U1116" i="1"/>
  <c r="AH1116" i="1" s="1"/>
  <c r="M1116" i="1"/>
  <c r="Z1116" i="1" s="1"/>
  <c r="T1116" i="1"/>
  <c r="AG1116" i="1" s="1"/>
  <c r="L1116" i="1"/>
  <c r="Y1116" i="1" s="1"/>
  <c r="S1116" i="1"/>
  <c r="AF1116" i="1" s="1"/>
  <c r="K1116" i="1"/>
  <c r="X1116" i="1" s="1"/>
  <c r="R1116" i="1"/>
  <c r="AE1116" i="1" s="1"/>
  <c r="Q1116" i="1"/>
  <c r="AD1116" i="1" s="1"/>
  <c r="P991" i="1"/>
  <c r="AC991" i="1" s="1"/>
  <c r="O991" i="1"/>
  <c r="AB991" i="1" s="1"/>
  <c r="V991" i="1"/>
  <c r="AI991" i="1" s="1"/>
  <c r="N991" i="1"/>
  <c r="AA991" i="1" s="1"/>
  <c r="U991" i="1"/>
  <c r="AH991" i="1" s="1"/>
  <c r="M991" i="1"/>
  <c r="Z991" i="1" s="1"/>
  <c r="T991" i="1"/>
  <c r="AG991" i="1" s="1"/>
  <c r="L991" i="1"/>
  <c r="Y991" i="1" s="1"/>
  <c r="S991" i="1"/>
  <c r="AF991" i="1" s="1"/>
  <c r="K991" i="1"/>
  <c r="X991" i="1" s="1"/>
  <c r="R991" i="1"/>
  <c r="AE991" i="1" s="1"/>
  <c r="Q991" i="1"/>
  <c r="AD991" i="1" s="1"/>
  <c r="S560" i="1"/>
  <c r="AF560" i="1" s="1"/>
  <c r="K560" i="1"/>
  <c r="X560" i="1" s="1"/>
  <c r="R560" i="1"/>
  <c r="AE560" i="1" s="1"/>
  <c r="Q560" i="1"/>
  <c r="AD560" i="1" s="1"/>
  <c r="P560" i="1"/>
  <c r="AC560" i="1" s="1"/>
  <c r="O560" i="1"/>
  <c r="AB560" i="1" s="1"/>
  <c r="V560" i="1"/>
  <c r="AI560" i="1" s="1"/>
  <c r="N560" i="1"/>
  <c r="AA560" i="1" s="1"/>
  <c r="T560" i="1"/>
  <c r="AG560" i="1" s="1"/>
  <c r="L560" i="1"/>
  <c r="Y560" i="1" s="1"/>
  <c r="M560" i="1"/>
  <c r="Z560" i="1" s="1"/>
  <c r="U560" i="1"/>
  <c r="AH560" i="1" s="1"/>
  <c r="R310" i="1"/>
  <c r="AE310" i="1" s="1"/>
  <c r="Q310" i="1"/>
  <c r="AD310" i="1" s="1"/>
  <c r="P310" i="1"/>
  <c r="AC310" i="1" s="1"/>
  <c r="O310" i="1"/>
  <c r="AB310" i="1" s="1"/>
  <c r="V310" i="1"/>
  <c r="AI310" i="1" s="1"/>
  <c r="N310" i="1"/>
  <c r="AA310" i="1" s="1"/>
  <c r="U310" i="1"/>
  <c r="AH310" i="1" s="1"/>
  <c r="M310" i="1"/>
  <c r="Z310" i="1" s="1"/>
  <c r="S310" i="1"/>
  <c r="AF310" i="1" s="1"/>
  <c r="K310" i="1"/>
  <c r="X310" i="1" s="1"/>
  <c r="T310" i="1"/>
  <c r="AG310" i="1" s="1"/>
  <c r="L310" i="1"/>
  <c r="Y310" i="1" s="1"/>
  <c r="T1075" i="1"/>
  <c r="AG1075" i="1" s="1"/>
  <c r="L1075" i="1"/>
  <c r="Y1075" i="1" s="1"/>
  <c r="S1075" i="1"/>
  <c r="AF1075" i="1" s="1"/>
  <c r="K1075" i="1"/>
  <c r="X1075" i="1" s="1"/>
  <c r="R1075" i="1"/>
  <c r="AE1075" i="1" s="1"/>
  <c r="Q1075" i="1"/>
  <c r="AD1075" i="1" s="1"/>
  <c r="P1075" i="1"/>
  <c r="AC1075" i="1" s="1"/>
  <c r="O1075" i="1"/>
  <c r="AB1075" i="1" s="1"/>
  <c r="V1075" i="1"/>
  <c r="AI1075" i="1" s="1"/>
  <c r="N1075" i="1"/>
  <c r="AA1075" i="1" s="1"/>
  <c r="M1075" i="1"/>
  <c r="Z1075" i="1" s="1"/>
  <c r="U1075" i="1"/>
  <c r="AH1075" i="1" s="1"/>
  <c r="R335" i="1"/>
  <c r="AE335" i="1" s="1"/>
  <c r="P335" i="1"/>
  <c r="AC335" i="1" s="1"/>
  <c r="V335" i="1"/>
  <c r="AI335" i="1" s="1"/>
  <c r="N335" i="1"/>
  <c r="AA335" i="1" s="1"/>
  <c r="U335" i="1"/>
  <c r="AH335" i="1" s="1"/>
  <c r="M335" i="1"/>
  <c r="Z335" i="1" s="1"/>
  <c r="S335" i="1"/>
  <c r="AF335" i="1" s="1"/>
  <c r="K335" i="1"/>
  <c r="X335" i="1" s="1"/>
  <c r="T335" i="1"/>
  <c r="AG335" i="1" s="1"/>
  <c r="Q335" i="1"/>
  <c r="AD335" i="1" s="1"/>
  <c r="O335" i="1"/>
  <c r="AB335" i="1" s="1"/>
  <c r="L335" i="1"/>
  <c r="Y335" i="1" s="1"/>
  <c r="Q837" i="1"/>
  <c r="AD837" i="1" s="1"/>
  <c r="P837" i="1"/>
  <c r="AC837" i="1" s="1"/>
  <c r="O837" i="1"/>
  <c r="AB837" i="1" s="1"/>
  <c r="V837" i="1"/>
  <c r="AI837" i="1" s="1"/>
  <c r="N837" i="1"/>
  <c r="AA837" i="1" s="1"/>
  <c r="U837" i="1"/>
  <c r="AH837" i="1" s="1"/>
  <c r="M837" i="1"/>
  <c r="Z837" i="1" s="1"/>
  <c r="T837" i="1"/>
  <c r="AG837" i="1" s="1"/>
  <c r="L837" i="1"/>
  <c r="Y837" i="1" s="1"/>
  <c r="R837" i="1"/>
  <c r="AE837" i="1" s="1"/>
  <c r="S837" i="1"/>
  <c r="AF837" i="1" s="1"/>
  <c r="K837" i="1"/>
  <c r="X837" i="1" s="1"/>
  <c r="P989" i="1"/>
  <c r="AC989" i="1" s="1"/>
  <c r="O989" i="1"/>
  <c r="AB989" i="1" s="1"/>
  <c r="V989" i="1"/>
  <c r="AI989" i="1" s="1"/>
  <c r="N989" i="1"/>
  <c r="AA989" i="1" s="1"/>
  <c r="U989" i="1"/>
  <c r="AH989" i="1" s="1"/>
  <c r="M989" i="1"/>
  <c r="Z989" i="1" s="1"/>
  <c r="T989" i="1"/>
  <c r="AG989" i="1" s="1"/>
  <c r="L989" i="1"/>
  <c r="Y989" i="1" s="1"/>
  <c r="S989" i="1"/>
  <c r="AF989" i="1" s="1"/>
  <c r="K989" i="1"/>
  <c r="X989" i="1" s="1"/>
  <c r="R989" i="1"/>
  <c r="AE989" i="1" s="1"/>
  <c r="Q989" i="1"/>
  <c r="AD989" i="1" s="1"/>
  <c r="S572" i="1"/>
  <c r="AF572" i="1" s="1"/>
  <c r="K572" i="1"/>
  <c r="X572" i="1" s="1"/>
  <c r="R572" i="1"/>
  <c r="AE572" i="1" s="1"/>
  <c r="Q572" i="1"/>
  <c r="AD572" i="1" s="1"/>
  <c r="P572" i="1"/>
  <c r="AC572" i="1" s="1"/>
  <c r="O572" i="1"/>
  <c r="AB572" i="1" s="1"/>
  <c r="V572" i="1"/>
  <c r="AI572" i="1" s="1"/>
  <c r="N572" i="1"/>
  <c r="AA572" i="1" s="1"/>
  <c r="T572" i="1"/>
  <c r="AG572" i="1" s="1"/>
  <c r="L572" i="1"/>
  <c r="Y572" i="1" s="1"/>
  <c r="U572" i="1"/>
  <c r="AH572" i="1" s="1"/>
  <c r="M572" i="1"/>
  <c r="Z572" i="1" s="1"/>
  <c r="V317" i="1"/>
  <c r="AI317" i="1" s="1"/>
  <c r="N317" i="1"/>
  <c r="AA317" i="1" s="1"/>
  <c r="U317" i="1"/>
  <c r="AH317" i="1" s="1"/>
  <c r="M317" i="1"/>
  <c r="Z317" i="1" s="1"/>
  <c r="T317" i="1"/>
  <c r="AG317" i="1" s="1"/>
  <c r="L317" i="1"/>
  <c r="Y317" i="1" s="1"/>
  <c r="S317" i="1"/>
  <c r="AF317" i="1" s="1"/>
  <c r="K317" i="1"/>
  <c r="X317" i="1" s="1"/>
  <c r="R317" i="1"/>
  <c r="AE317" i="1" s="1"/>
  <c r="Q317" i="1"/>
  <c r="AD317" i="1" s="1"/>
  <c r="O317" i="1"/>
  <c r="AB317" i="1" s="1"/>
  <c r="P317" i="1"/>
  <c r="AC317" i="1" s="1"/>
  <c r="V98" i="1"/>
  <c r="AI98" i="1" s="1"/>
  <c r="N98" i="1"/>
  <c r="AA98" i="1" s="1"/>
  <c r="U98" i="1"/>
  <c r="AH98" i="1" s="1"/>
  <c r="M98" i="1"/>
  <c r="Z98" i="1" s="1"/>
  <c r="T98" i="1"/>
  <c r="AG98" i="1" s="1"/>
  <c r="L98" i="1"/>
  <c r="Y98" i="1" s="1"/>
  <c r="S98" i="1"/>
  <c r="AF98" i="1" s="1"/>
  <c r="K98" i="1"/>
  <c r="X98" i="1" s="1"/>
  <c r="R98" i="1"/>
  <c r="AE98" i="1" s="1"/>
  <c r="Q98" i="1"/>
  <c r="AD98" i="1" s="1"/>
  <c r="O98" i="1"/>
  <c r="AB98" i="1" s="1"/>
  <c r="P98" i="1"/>
  <c r="AC98" i="1" s="1"/>
  <c r="S223" i="1"/>
  <c r="AF223" i="1" s="1"/>
  <c r="K223" i="1"/>
  <c r="X223" i="1" s="1"/>
  <c r="Q223" i="1"/>
  <c r="AD223" i="1" s="1"/>
  <c r="O223" i="1"/>
  <c r="AB223" i="1" s="1"/>
  <c r="T223" i="1"/>
  <c r="AG223" i="1" s="1"/>
  <c r="R223" i="1"/>
  <c r="AE223" i="1" s="1"/>
  <c r="P223" i="1"/>
  <c r="AC223" i="1" s="1"/>
  <c r="N223" i="1"/>
  <c r="AA223" i="1" s="1"/>
  <c r="M223" i="1"/>
  <c r="Z223" i="1" s="1"/>
  <c r="L223" i="1"/>
  <c r="Y223" i="1" s="1"/>
  <c r="U223" i="1"/>
  <c r="AH223" i="1" s="1"/>
  <c r="V223" i="1"/>
  <c r="AI223" i="1" s="1"/>
  <c r="O220" i="1"/>
  <c r="AB220" i="1" s="1"/>
  <c r="U220" i="1"/>
  <c r="AH220" i="1" s="1"/>
  <c r="M220" i="1"/>
  <c r="Z220" i="1" s="1"/>
  <c r="S220" i="1"/>
  <c r="AF220" i="1" s="1"/>
  <c r="K220" i="1"/>
  <c r="X220" i="1" s="1"/>
  <c r="Q220" i="1"/>
  <c r="AD220" i="1" s="1"/>
  <c r="P220" i="1"/>
  <c r="AC220" i="1" s="1"/>
  <c r="N220" i="1"/>
  <c r="AA220" i="1" s="1"/>
  <c r="L220" i="1"/>
  <c r="Y220" i="1" s="1"/>
  <c r="V220" i="1"/>
  <c r="AI220" i="1" s="1"/>
  <c r="R220" i="1"/>
  <c r="AE220" i="1" s="1"/>
  <c r="T220" i="1"/>
  <c r="AG220" i="1" s="1"/>
  <c r="L162" i="1"/>
  <c r="Y162" i="1" s="1"/>
  <c r="K840" i="1"/>
  <c r="X840" i="1" s="1"/>
  <c r="R1376" i="1"/>
  <c r="AE1376" i="1" s="1"/>
  <c r="R857" i="1"/>
  <c r="AE857" i="1" s="1"/>
  <c r="K719" i="1"/>
  <c r="X719" i="1" s="1"/>
  <c r="L654" i="1"/>
  <c r="Y654" i="1" s="1"/>
  <c r="Q399" i="1"/>
  <c r="AD399" i="1" s="1"/>
  <c r="O360" i="1"/>
  <c r="AB360" i="1" s="1"/>
  <c r="P378" i="1"/>
  <c r="AC378" i="1" s="1"/>
  <c r="V486" i="1"/>
  <c r="AI486" i="1" s="1"/>
  <c r="N486" i="1"/>
  <c r="AA486" i="1" s="1"/>
  <c r="T486" i="1"/>
  <c r="AG486" i="1" s="1"/>
  <c r="L486" i="1"/>
  <c r="Y486" i="1" s="1"/>
  <c r="S486" i="1"/>
  <c r="AF486" i="1" s="1"/>
  <c r="K486" i="1"/>
  <c r="X486" i="1" s="1"/>
  <c r="R486" i="1"/>
  <c r="AE486" i="1" s="1"/>
  <c r="Q486" i="1"/>
  <c r="AD486" i="1" s="1"/>
  <c r="O486" i="1"/>
  <c r="AB486" i="1" s="1"/>
  <c r="U486" i="1"/>
  <c r="AH486" i="1" s="1"/>
  <c r="P486" i="1"/>
  <c r="AC486" i="1" s="1"/>
  <c r="M486" i="1"/>
  <c r="Z486" i="1" s="1"/>
  <c r="S590" i="1"/>
  <c r="AF590" i="1" s="1"/>
  <c r="K590" i="1"/>
  <c r="X590" i="1" s="1"/>
  <c r="R590" i="1"/>
  <c r="AE590" i="1" s="1"/>
  <c r="Q590" i="1"/>
  <c r="AD590" i="1" s="1"/>
  <c r="P590" i="1"/>
  <c r="AC590" i="1" s="1"/>
  <c r="O590" i="1"/>
  <c r="AB590" i="1" s="1"/>
  <c r="V590" i="1"/>
  <c r="AI590" i="1" s="1"/>
  <c r="N590" i="1"/>
  <c r="AA590" i="1" s="1"/>
  <c r="T590" i="1"/>
  <c r="AG590" i="1" s="1"/>
  <c r="L590" i="1"/>
  <c r="Y590" i="1" s="1"/>
  <c r="U590" i="1"/>
  <c r="AH590" i="1" s="1"/>
  <c r="M590" i="1"/>
  <c r="Z590" i="1" s="1"/>
  <c r="S1324" i="1"/>
  <c r="AF1324" i="1" s="1"/>
  <c r="K1324" i="1"/>
  <c r="X1324" i="1" s="1"/>
  <c r="R1324" i="1"/>
  <c r="AE1324" i="1" s="1"/>
  <c r="Q1324" i="1"/>
  <c r="AD1324" i="1" s="1"/>
  <c r="P1324" i="1"/>
  <c r="AC1324" i="1" s="1"/>
  <c r="O1324" i="1"/>
  <c r="AB1324" i="1" s="1"/>
  <c r="V1324" i="1"/>
  <c r="AI1324" i="1" s="1"/>
  <c r="N1324" i="1"/>
  <c r="AA1324" i="1" s="1"/>
  <c r="U1324" i="1"/>
  <c r="AH1324" i="1" s="1"/>
  <c r="M1324" i="1"/>
  <c r="Z1324" i="1" s="1"/>
  <c r="T1324" i="1"/>
  <c r="AG1324" i="1" s="1"/>
  <c r="L1324" i="1"/>
  <c r="Y1324" i="1" s="1"/>
  <c r="U941" i="1"/>
  <c r="AH941" i="1" s="1"/>
  <c r="M941" i="1"/>
  <c r="Z941" i="1" s="1"/>
  <c r="R941" i="1"/>
  <c r="AE941" i="1" s="1"/>
  <c r="P941" i="1"/>
  <c r="AC941" i="1" s="1"/>
  <c r="V941" i="1"/>
  <c r="AI941" i="1" s="1"/>
  <c r="T941" i="1"/>
  <c r="AG941" i="1" s="1"/>
  <c r="S941" i="1"/>
  <c r="AF941" i="1" s="1"/>
  <c r="Q941" i="1"/>
  <c r="AD941" i="1" s="1"/>
  <c r="O941" i="1"/>
  <c r="AB941" i="1" s="1"/>
  <c r="N941" i="1"/>
  <c r="AA941" i="1" s="1"/>
  <c r="K941" i="1"/>
  <c r="X941" i="1" s="1"/>
  <c r="L941" i="1"/>
  <c r="Y941" i="1" s="1"/>
  <c r="O665" i="1"/>
  <c r="AB665" i="1" s="1"/>
  <c r="V665" i="1"/>
  <c r="AI665" i="1" s="1"/>
  <c r="N665" i="1"/>
  <c r="AA665" i="1" s="1"/>
  <c r="U665" i="1"/>
  <c r="AH665" i="1" s="1"/>
  <c r="M665" i="1"/>
  <c r="Z665" i="1" s="1"/>
  <c r="T665" i="1"/>
  <c r="AG665" i="1" s="1"/>
  <c r="L665" i="1"/>
  <c r="Y665" i="1" s="1"/>
  <c r="S665" i="1"/>
  <c r="AF665" i="1" s="1"/>
  <c r="K665" i="1"/>
  <c r="X665" i="1" s="1"/>
  <c r="R665" i="1"/>
  <c r="AE665" i="1" s="1"/>
  <c r="P665" i="1"/>
  <c r="AC665" i="1" s="1"/>
  <c r="Q665" i="1"/>
  <c r="AD665" i="1" s="1"/>
  <c r="O533" i="1"/>
  <c r="AB533" i="1" s="1"/>
  <c r="U533" i="1"/>
  <c r="AH533" i="1" s="1"/>
  <c r="M533" i="1"/>
  <c r="Z533" i="1" s="1"/>
  <c r="S533" i="1"/>
  <c r="AF533" i="1" s="1"/>
  <c r="K533" i="1"/>
  <c r="X533" i="1" s="1"/>
  <c r="R533" i="1"/>
  <c r="AE533" i="1" s="1"/>
  <c r="P533" i="1"/>
  <c r="AC533" i="1" s="1"/>
  <c r="V533" i="1"/>
  <c r="AI533" i="1" s="1"/>
  <c r="T533" i="1"/>
  <c r="AG533" i="1" s="1"/>
  <c r="Q533" i="1"/>
  <c r="AD533" i="1" s="1"/>
  <c r="L533" i="1"/>
  <c r="Y533" i="1" s="1"/>
  <c r="N533" i="1"/>
  <c r="AA533" i="1" s="1"/>
  <c r="O593" i="1"/>
  <c r="AB593" i="1" s="1"/>
  <c r="V593" i="1"/>
  <c r="AI593" i="1" s="1"/>
  <c r="N593" i="1"/>
  <c r="AA593" i="1" s="1"/>
  <c r="U593" i="1"/>
  <c r="AH593" i="1" s="1"/>
  <c r="M593" i="1"/>
  <c r="Z593" i="1" s="1"/>
  <c r="T593" i="1"/>
  <c r="AG593" i="1" s="1"/>
  <c r="L593" i="1"/>
  <c r="Y593" i="1" s="1"/>
  <c r="S593" i="1"/>
  <c r="AF593" i="1" s="1"/>
  <c r="K593" i="1"/>
  <c r="X593" i="1" s="1"/>
  <c r="R593" i="1"/>
  <c r="AE593" i="1" s="1"/>
  <c r="P593" i="1"/>
  <c r="AC593" i="1" s="1"/>
  <c r="Q593" i="1"/>
  <c r="AD593" i="1" s="1"/>
  <c r="V426" i="1"/>
  <c r="AI426" i="1" s="1"/>
  <c r="N426" i="1"/>
  <c r="AA426" i="1" s="1"/>
  <c r="T426" i="1"/>
  <c r="AG426" i="1" s="1"/>
  <c r="L426" i="1"/>
  <c r="Y426" i="1" s="1"/>
  <c r="S426" i="1"/>
  <c r="AF426" i="1" s="1"/>
  <c r="K426" i="1"/>
  <c r="X426" i="1" s="1"/>
  <c r="R426" i="1"/>
  <c r="AE426" i="1" s="1"/>
  <c r="Q426" i="1"/>
  <c r="AD426" i="1" s="1"/>
  <c r="O426" i="1"/>
  <c r="AB426" i="1" s="1"/>
  <c r="U426" i="1"/>
  <c r="AH426" i="1" s="1"/>
  <c r="P426" i="1"/>
  <c r="AC426" i="1" s="1"/>
  <c r="M426" i="1"/>
  <c r="Z426" i="1" s="1"/>
  <c r="O583" i="1"/>
  <c r="AB583" i="1" s="1"/>
  <c r="V583" i="1"/>
  <c r="AI583" i="1" s="1"/>
  <c r="N583" i="1"/>
  <c r="AA583" i="1" s="1"/>
  <c r="U583" i="1"/>
  <c r="AH583" i="1" s="1"/>
  <c r="M583" i="1"/>
  <c r="Z583" i="1" s="1"/>
  <c r="T583" i="1"/>
  <c r="AG583" i="1" s="1"/>
  <c r="L583" i="1"/>
  <c r="Y583" i="1" s="1"/>
  <c r="S583" i="1"/>
  <c r="AF583" i="1" s="1"/>
  <c r="K583" i="1"/>
  <c r="X583" i="1" s="1"/>
  <c r="R583" i="1"/>
  <c r="AE583" i="1" s="1"/>
  <c r="P583" i="1"/>
  <c r="AC583" i="1" s="1"/>
  <c r="Q583" i="1"/>
  <c r="AD583" i="1" s="1"/>
  <c r="V332" i="1"/>
  <c r="AI332" i="1" s="1"/>
  <c r="N332" i="1"/>
  <c r="AA332" i="1" s="1"/>
  <c r="T332" i="1"/>
  <c r="AG332" i="1" s="1"/>
  <c r="L332" i="1"/>
  <c r="Y332" i="1" s="1"/>
  <c r="R332" i="1"/>
  <c r="AE332" i="1" s="1"/>
  <c r="Q332" i="1"/>
  <c r="AD332" i="1" s="1"/>
  <c r="O332" i="1"/>
  <c r="AB332" i="1" s="1"/>
  <c r="M332" i="1"/>
  <c r="Z332" i="1" s="1"/>
  <c r="K332" i="1"/>
  <c r="X332" i="1" s="1"/>
  <c r="U332" i="1"/>
  <c r="AH332" i="1" s="1"/>
  <c r="P332" i="1"/>
  <c r="AC332" i="1" s="1"/>
  <c r="S332" i="1"/>
  <c r="AF332" i="1" s="1"/>
  <c r="R276" i="1"/>
  <c r="AE276" i="1" s="1"/>
  <c r="Q276" i="1"/>
  <c r="AD276" i="1" s="1"/>
  <c r="P276" i="1"/>
  <c r="AC276" i="1" s="1"/>
  <c r="O276" i="1"/>
  <c r="AB276" i="1" s="1"/>
  <c r="V276" i="1"/>
  <c r="AI276" i="1" s="1"/>
  <c r="N276" i="1"/>
  <c r="AA276" i="1" s="1"/>
  <c r="U276" i="1"/>
  <c r="AH276" i="1" s="1"/>
  <c r="M276" i="1"/>
  <c r="Z276" i="1" s="1"/>
  <c r="S276" i="1"/>
  <c r="AF276" i="1" s="1"/>
  <c r="K276" i="1"/>
  <c r="X276" i="1" s="1"/>
  <c r="L276" i="1"/>
  <c r="Y276" i="1" s="1"/>
  <c r="T276" i="1"/>
  <c r="AG276" i="1" s="1"/>
  <c r="O176" i="1"/>
  <c r="AB176" i="1" s="1"/>
  <c r="U176" i="1"/>
  <c r="AH176" i="1" s="1"/>
  <c r="M176" i="1"/>
  <c r="Z176" i="1" s="1"/>
  <c r="V176" i="1"/>
  <c r="AI176" i="1" s="1"/>
  <c r="K176" i="1"/>
  <c r="X176" i="1" s="1"/>
  <c r="T176" i="1"/>
  <c r="AG176" i="1" s="1"/>
  <c r="S176" i="1"/>
  <c r="AF176" i="1" s="1"/>
  <c r="R176" i="1"/>
  <c r="AE176" i="1" s="1"/>
  <c r="Q176" i="1"/>
  <c r="AD176" i="1" s="1"/>
  <c r="P176" i="1"/>
  <c r="AC176" i="1" s="1"/>
  <c r="L176" i="1"/>
  <c r="Y176" i="1" s="1"/>
  <c r="N176" i="1"/>
  <c r="AA176" i="1" s="1"/>
  <c r="V54" i="1"/>
  <c r="AI54" i="1" s="1"/>
  <c r="N54" i="1"/>
  <c r="AA54" i="1" s="1"/>
  <c r="U54" i="1"/>
  <c r="AH54" i="1" s="1"/>
  <c r="M54" i="1"/>
  <c r="Z54" i="1" s="1"/>
  <c r="T54" i="1"/>
  <c r="AG54" i="1" s="1"/>
  <c r="L54" i="1"/>
  <c r="Y54" i="1" s="1"/>
  <c r="S54" i="1"/>
  <c r="AF54" i="1" s="1"/>
  <c r="K54" i="1"/>
  <c r="X54" i="1" s="1"/>
  <c r="R54" i="1"/>
  <c r="AE54" i="1" s="1"/>
  <c r="Q54" i="1"/>
  <c r="AD54" i="1" s="1"/>
  <c r="O54" i="1"/>
  <c r="AB54" i="1" s="1"/>
  <c r="P54" i="1"/>
  <c r="AC54" i="1" s="1"/>
  <c r="Q773" i="1"/>
  <c r="AD773" i="1" s="1"/>
  <c r="P773" i="1"/>
  <c r="AC773" i="1" s="1"/>
  <c r="O773" i="1"/>
  <c r="AB773" i="1" s="1"/>
  <c r="V773" i="1"/>
  <c r="AI773" i="1" s="1"/>
  <c r="N773" i="1"/>
  <c r="AA773" i="1" s="1"/>
  <c r="U773" i="1"/>
  <c r="AH773" i="1" s="1"/>
  <c r="M773" i="1"/>
  <c r="Z773" i="1" s="1"/>
  <c r="T773" i="1"/>
  <c r="AG773" i="1" s="1"/>
  <c r="L773" i="1"/>
  <c r="Y773" i="1" s="1"/>
  <c r="R773" i="1"/>
  <c r="AE773" i="1" s="1"/>
  <c r="S773" i="1"/>
  <c r="AF773" i="1" s="1"/>
  <c r="K773" i="1"/>
  <c r="X773" i="1" s="1"/>
  <c r="O651" i="1"/>
  <c r="AB651" i="1" s="1"/>
  <c r="V651" i="1"/>
  <c r="AI651" i="1" s="1"/>
  <c r="N651" i="1"/>
  <c r="AA651" i="1" s="1"/>
  <c r="U651" i="1"/>
  <c r="AH651" i="1" s="1"/>
  <c r="M651" i="1"/>
  <c r="Z651" i="1" s="1"/>
  <c r="T651" i="1"/>
  <c r="AG651" i="1" s="1"/>
  <c r="L651" i="1"/>
  <c r="Y651" i="1" s="1"/>
  <c r="S651" i="1"/>
  <c r="AF651" i="1" s="1"/>
  <c r="K651" i="1"/>
  <c r="X651" i="1" s="1"/>
  <c r="R651" i="1"/>
  <c r="AE651" i="1" s="1"/>
  <c r="P651" i="1"/>
  <c r="AC651" i="1" s="1"/>
  <c r="Q651" i="1"/>
  <c r="AD651" i="1" s="1"/>
  <c r="O617" i="1"/>
  <c r="AB617" i="1" s="1"/>
  <c r="V617" i="1"/>
  <c r="AI617" i="1" s="1"/>
  <c r="N617" i="1"/>
  <c r="AA617" i="1" s="1"/>
  <c r="U617" i="1"/>
  <c r="AH617" i="1" s="1"/>
  <c r="M617" i="1"/>
  <c r="Z617" i="1" s="1"/>
  <c r="T617" i="1"/>
  <c r="AG617" i="1" s="1"/>
  <c r="L617" i="1"/>
  <c r="Y617" i="1" s="1"/>
  <c r="S617" i="1"/>
  <c r="AF617" i="1" s="1"/>
  <c r="K617" i="1"/>
  <c r="X617" i="1" s="1"/>
  <c r="R617" i="1"/>
  <c r="AE617" i="1" s="1"/>
  <c r="P617" i="1"/>
  <c r="AC617" i="1" s="1"/>
  <c r="Q617" i="1"/>
  <c r="AD617" i="1" s="1"/>
  <c r="R73" i="1"/>
  <c r="AE73" i="1" s="1"/>
  <c r="Q73" i="1"/>
  <c r="AD73" i="1" s="1"/>
  <c r="P73" i="1"/>
  <c r="AC73" i="1" s="1"/>
  <c r="O73" i="1"/>
  <c r="AB73" i="1" s="1"/>
  <c r="V73" i="1"/>
  <c r="AI73" i="1" s="1"/>
  <c r="N73" i="1"/>
  <c r="AA73" i="1" s="1"/>
  <c r="U73" i="1"/>
  <c r="AH73" i="1" s="1"/>
  <c r="M73" i="1"/>
  <c r="Z73" i="1" s="1"/>
  <c r="S73" i="1"/>
  <c r="AF73" i="1" s="1"/>
  <c r="K73" i="1"/>
  <c r="X73" i="1" s="1"/>
  <c r="T73" i="1"/>
  <c r="AG73" i="1" s="1"/>
  <c r="L73" i="1"/>
  <c r="Y73" i="1" s="1"/>
  <c r="P1104" i="1"/>
  <c r="AC1104" i="1" s="1"/>
  <c r="O1104" i="1"/>
  <c r="AB1104" i="1" s="1"/>
  <c r="V1104" i="1"/>
  <c r="AI1104" i="1" s="1"/>
  <c r="N1104" i="1"/>
  <c r="AA1104" i="1" s="1"/>
  <c r="U1104" i="1"/>
  <c r="AH1104" i="1" s="1"/>
  <c r="M1104" i="1"/>
  <c r="Z1104" i="1" s="1"/>
  <c r="T1104" i="1"/>
  <c r="AG1104" i="1" s="1"/>
  <c r="L1104" i="1"/>
  <c r="Y1104" i="1" s="1"/>
  <c r="S1104" i="1"/>
  <c r="AF1104" i="1" s="1"/>
  <c r="K1104" i="1"/>
  <c r="X1104" i="1" s="1"/>
  <c r="R1104" i="1"/>
  <c r="AE1104" i="1" s="1"/>
  <c r="Q1104" i="1"/>
  <c r="AD1104" i="1" s="1"/>
  <c r="P1100" i="1"/>
  <c r="AC1100" i="1" s="1"/>
  <c r="O1100" i="1"/>
  <c r="AB1100" i="1" s="1"/>
  <c r="V1100" i="1"/>
  <c r="AI1100" i="1" s="1"/>
  <c r="N1100" i="1"/>
  <c r="AA1100" i="1" s="1"/>
  <c r="U1100" i="1"/>
  <c r="AH1100" i="1" s="1"/>
  <c r="M1100" i="1"/>
  <c r="Z1100" i="1" s="1"/>
  <c r="T1100" i="1"/>
  <c r="AG1100" i="1" s="1"/>
  <c r="L1100" i="1"/>
  <c r="Y1100" i="1" s="1"/>
  <c r="S1100" i="1"/>
  <c r="AF1100" i="1" s="1"/>
  <c r="K1100" i="1"/>
  <c r="X1100" i="1" s="1"/>
  <c r="R1100" i="1"/>
  <c r="AE1100" i="1" s="1"/>
  <c r="Q1100" i="1"/>
  <c r="AD1100" i="1" s="1"/>
  <c r="U921" i="1"/>
  <c r="AH921" i="1" s="1"/>
  <c r="M921" i="1"/>
  <c r="Z921" i="1" s="1"/>
  <c r="R921" i="1"/>
  <c r="AE921" i="1" s="1"/>
  <c r="P921" i="1"/>
  <c r="AC921" i="1" s="1"/>
  <c r="S921" i="1"/>
  <c r="AF921" i="1" s="1"/>
  <c r="Q921" i="1"/>
  <c r="AD921" i="1" s="1"/>
  <c r="O921" i="1"/>
  <c r="AB921" i="1" s="1"/>
  <c r="N921" i="1"/>
  <c r="AA921" i="1" s="1"/>
  <c r="L921" i="1"/>
  <c r="Y921" i="1" s="1"/>
  <c r="K921" i="1"/>
  <c r="X921" i="1" s="1"/>
  <c r="T921" i="1"/>
  <c r="AG921" i="1" s="1"/>
  <c r="V921" i="1"/>
  <c r="AI921" i="1" s="1"/>
  <c r="S676" i="1"/>
  <c r="AF676" i="1" s="1"/>
  <c r="K676" i="1"/>
  <c r="X676" i="1" s="1"/>
  <c r="R676" i="1"/>
  <c r="AE676" i="1" s="1"/>
  <c r="Q676" i="1"/>
  <c r="AD676" i="1" s="1"/>
  <c r="P676" i="1"/>
  <c r="AC676" i="1" s="1"/>
  <c r="O676" i="1"/>
  <c r="AB676" i="1" s="1"/>
  <c r="V676" i="1"/>
  <c r="AI676" i="1" s="1"/>
  <c r="N676" i="1"/>
  <c r="AA676" i="1" s="1"/>
  <c r="T676" i="1"/>
  <c r="AG676" i="1" s="1"/>
  <c r="L676" i="1"/>
  <c r="Y676" i="1" s="1"/>
  <c r="U676" i="1"/>
  <c r="AH676" i="1" s="1"/>
  <c r="M676" i="1"/>
  <c r="Z676" i="1" s="1"/>
  <c r="R441" i="1"/>
  <c r="AE441" i="1" s="1"/>
  <c r="P441" i="1"/>
  <c r="AC441" i="1" s="1"/>
  <c r="O441" i="1"/>
  <c r="AB441" i="1" s="1"/>
  <c r="V441" i="1"/>
  <c r="AI441" i="1" s="1"/>
  <c r="N441" i="1"/>
  <c r="AA441" i="1" s="1"/>
  <c r="U441" i="1"/>
  <c r="AH441" i="1" s="1"/>
  <c r="M441" i="1"/>
  <c r="Z441" i="1" s="1"/>
  <c r="S441" i="1"/>
  <c r="AF441" i="1" s="1"/>
  <c r="K441" i="1"/>
  <c r="X441" i="1" s="1"/>
  <c r="Q441" i="1"/>
  <c r="AD441" i="1" s="1"/>
  <c r="L441" i="1"/>
  <c r="Y441" i="1" s="1"/>
  <c r="T441" i="1"/>
  <c r="AG441" i="1" s="1"/>
  <c r="O589" i="1"/>
  <c r="AB589" i="1" s="1"/>
  <c r="V589" i="1"/>
  <c r="AI589" i="1" s="1"/>
  <c r="N589" i="1"/>
  <c r="AA589" i="1" s="1"/>
  <c r="U589" i="1"/>
  <c r="AH589" i="1" s="1"/>
  <c r="M589" i="1"/>
  <c r="Z589" i="1" s="1"/>
  <c r="T589" i="1"/>
  <c r="AG589" i="1" s="1"/>
  <c r="L589" i="1"/>
  <c r="Y589" i="1" s="1"/>
  <c r="S589" i="1"/>
  <c r="AF589" i="1" s="1"/>
  <c r="K589" i="1"/>
  <c r="X589" i="1" s="1"/>
  <c r="R589" i="1"/>
  <c r="AE589" i="1" s="1"/>
  <c r="P589" i="1"/>
  <c r="AC589" i="1" s="1"/>
  <c r="Q589" i="1"/>
  <c r="AD589" i="1" s="1"/>
  <c r="S626" i="1"/>
  <c r="AF626" i="1" s="1"/>
  <c r="K626" i="1"/>
  <c r="X626" i="1" s="1"/>
  <c r="R626" i="1"/>
  <c r="AE626" i="1" s="1"/>
  <c r="Q626" i="1"/>
  <c r="AD626" i="1" s="1"/>
  <c r="P626" i="1"/>
  <c r="AC626" i="1" s="1"/>
  <c r="O626" i="1"/>
  <c r="AB626" i="1" s="1"/>
  <c r="V626" i="1"/>
  <c r="AI626" i="1" s="1"/>
  <c r="N626" i="1"/>
  <c r="AA626" i="1" s="1"/>
  <c r="T626" i="1"/>
  <c r="AG626" i="1" s="1"/>
  <c r="L626" i="1"/>
  <c r="Y626" i="1" s="1"/>
  <c r="U626" i="1"/>
  <c r="AH626" i="1" s="1"/>
  <c r="M626" i="1"/>
  <c r="Z626" i="1" s="1"/>
  <c r="V388" i="1"/>
  <c r="AI388" i="1" s="1"/>
  <c r="N388" i="1"/>
  <c r="AA388" i="1" s="1"/>
  <c r="T388" i="1"/>
  <c r="AG388" i="1" s="1"/>
  <c r="L388" i="1"/>
  <c r="Y388" i="1" s="1"/>
  <c r="R388" i="1"/>
  <c r="AE388" i="1" s="1"/>
  <c r="Q388" i="1"/>
  <c r="AD388" i="1" s="1"/>
  <c r="O388" i="1"/>
  <c r="AB388" i="1" s="1"/>
  <c r="U388" i="1"/>
  <c r="AH388" i="1" s="1"/>
  <c r="S388" i="1"/>
  <c r="AF388" i="1" s="1"/>
  <c r="P388" i="1"/>
  <c r="AC388" i="1" s="1"/>
  <c r="M388" i="1"/>
  <c r="Z388" i="1" s="1"/>
  <c r="K388" i="1"/>
  <c r="X388" i="1" s="1"/>
  <c r="O579" i="1"/>
  <c r="AB579" i="1" s="1"/>
  <c r="V579" i="1"/>
  <c r="AI579" i="1" s="1"/>
  <c r="N579" i="1"/>
  <c r="AA579" i="1" s="1"/>
  <c r="U579" i="1"/>
  <c r="AH579" i="1" s="1"/>
  <c r="M579" i="1"/>
  <c r="Z579" i="1" s="1"/>
  <c r="T579" i="1"/>
  <c r="AG579" i="1" s="1"/>
  <c r="L579" i="1"/>
  <c r="Y579" i="1" s="1"/>
  <c r="S579" i="1"/>
  <c r="AF579" i="1" s="1"/>
  <c r="K579" i="1"/>
  <c r="X579" i="1" s="1"/>
  <c r="R579" i="1"/>
  <c r="AE579" i="1" s="1"/>
  <c r="P579" i="1"/>
  <c r="AC579" i="1" s="1"/>
  <c r="Q579" i="1"/>
  <c r="AD579" i="1" s="1"/>
  <c r="V239" i="1"/>
  <c r="AI239" i="1" s="1"/>
  <c r="N239" i="1"/>
  <c r="AA239" i="1" s="1"/>
  <c r="U239" i="1"/>
  <c r="AH239" i="1" s="1"/>
  <c r="M239" i="1"/>
  <c r="Z239" i="1" s="1"/>
  <c r="T239" i="1"/>
  <c r="AG239" i="1" s="1"/>
  <c r="L239" i="1"/>
  <c r="Y239" i="1" s="1"/>
  <c r="S239" i="1"/>
  <c r="AF239" i="1" s="1"/>
  <c r="K239" i="1"/>
  <c r="X239" i="1" s="1"/>
  <c r="Q239" i="1"/>
  <c r="AD239" i="1" s="1"/>
  <c r="O239" i="1"/>
  <c r="AB239" i="1" s="1"/>
  <c r="P239" i="1"/>
  <c r="AC239" i="1" s="1"/>
  <c r="R239" i="1"/>
  <c r="AE239" i="1" s="1"/>
  <c r="R320" i="1"/>
  <c r="AE320" i="1" s="1"/>
  <c r="Q320" i="1"/>
  <c r="AD320" i="1" s="1"/>
  <c r="P320" i="1"/>
  <c r="AC320" i="1" s="1"/>
  <c r="O320" i="1"/>
  <c r="AB320" i="1" s="1"/>
  <c r="V320" i="1"/>
  <c r="AI320" i="1" s="1"/>
  <c r="N320" i="1"/>
  <c r="AA320" i="1" s="1"/>
  <c r="U320" i="1"/>
  <c r="AH320" i="1" s="1"/>
  <c r="M320" i="1"/>
  <c r="Z320" i="1" s="1"/>
  <c r="S320" i="1"/>
  <c r="AF320" i="1" s="1"/>
  <c r="K320" i="1"/>
  <c r="X320" i="1" s="1"/>
  <c r="T320" i="1"/>
  <c r="AG320" i="1" s="1"/>
  <c r="L320" i="1"/>
  <c r="Y320" i="1" s="1"/>
  <c r="V261" i="1"/>
  <c r="AI261" i="1" s="1"/>
  <c r="N261" i="1"/>
  <c r="AA261" i="1" s="1"/>
  <c r="U261" i="1"/>
  <c r="AH261" i="1" s="1"/>
  <c r="M261" i="1"/>
  <c r="Z261" i="1" s="1"/>
  <c r="T261" i="1"/>
  <c r="AG261" i="1" s="1"/>
  <c r="L261" i="1"/>
  <c r="Y261" i="1" s="1"/>
  <c r="S261" i="1"/>
  <c r="AF261" i="1" s="1"/>
  <c r="K261" i="1"/>
  <c r="X261" i="1" s="1"/>
  <c r="R261" i="1"/>
  <c r="AE261" i="1" s="1"/>
  <c r="Q261" i="1"/>
  <c r="AD261" i="1" s="1"/>
  <c r="O261" i="1"/>
  <c r="AB261" i="1" s="1"/>
  <c r="P261" i="1"/>
  <c r="AC261" i="1" s="1"/>
  <c r="R113" i="1"/>
  <c r="AE113" i="1" s="1"/>
  <c r="Q113" i="1"/>
  <c r="AD113" i="1" s="1"/>
  <c r="P113" i="1"/>
  <c r="AC113" i="1" s="1"/>
  <c r="O113" i="1"/>
  <c r="AB113" i="1" s="1"/>
  <c r="V113" i="1"/>
  <c r="AI113" i="1" s="1"/>
  <c r="N113" i="1"/>
  <c r="AA113" i="1" s="1"/>
  <c r="U113" i="1"/>
  <c r="AH113" i="1" s="1"/>
  <c r="M113" i="1"/>
  <c r="Z113" i="1" s="1"/>
  <c r="S113" i="1"/>
  <c r="AF113" i="1" s="1"/>
  <c r="K113" i="1"/>
  <c r="X113" i="1" s="1"/>
  <c r="L113" i="1"/>
  <c r="Y113" i="1" s="1"/>
  <c r="T113" i="1"/>
  <c r="AG113" i="1" s="1"/>
  <c r="R51" i="1"/>
  <c r="AE51" i="1" s="1"/>
  <c r="Q51" i="1"/>
  <c r="AD51" i="1" s="1"/>
  <c r="P51" i="1"/>
  <c r="AC51" i="1" s="1"/>
  <c r="O51" i="1"/>
  <c r="AB51" i="1" s="1"/>
  <c r="V51" i="1"/>
  <c r="AI51" i="1" s="1"/>
  <c r="N51" i="1"/>
  <c r="AA51" i="1" s="1"/>
  <c r="U51" i="1"/>
  <c r="AH51" i="1" s="1"/>
  <c r="M51" i="1"/>
  <c r="Z51" i="1" s="1"/>
  <c r="S51" i="1"/>
  <c r="AF51" i="1" s="1"/>
  <c r="K51" i="1"/>
  <c r="X51" i="1" s="1"/>
  <c r="T51" i="1"/>
  <c r="AG51" i="1" s="1"/>
  <c r="L51" i="1"/>
  <c r="Y51" i="1" s="1"/>
  <c r="V259" i="1"/>
  <c r="AI259" i="1" s="1"/>
  <c r="N259" i="1"/>
  <c r="AA259" i="1" s="1"/>
  <c r="U259" i="1"/>
  <c r="AH259" i="1" s="1"/>
  <c r="M259" i="1"/>
  <c r="Z259" i="1" s="1"/>
  <c r="T259" i="1"/>
  <c r="AG259" i="1" s="1"/>
  <c r="L259" i="1"/>
  <c r="Y259" i="1" s="1"/>
  <c r="S259" i="1"/>
  <c r="AF259" i="1" s="1"/>
  <c r="K259" i="1"/>
  <c r="X259" i="1" s="1"/>
  <c r="R259" i="1"/>
  <c r="AE259" i="1" s="1"/>
  <c r="Q259" i="1"/>
  <c r="AD259" i="1" s="1"/>
  <c r="O259" i="1"/>
  <c r="AB259" i="1" s="1"/>
  <c r="P259" i="1"/>
  <c r="AC259" i="1" s="1"/>
  <c r="O693" i="1"/>
  <c r="AB693" i="1" s="1"/>
  <c r="V693" i="1"/>
  <c r="AI693" i="1" s="1"/>
  <c r="N693" i="1"/>
  <c r="AA693" i="1" s="1"/>
  <c r="U693" i="1"/>
  <c r="AH693" i="1" s="1"/>
  <c r="M693" i="1"/>
  <c r="Z693" i="1" s="1"/>
  <c r="T693" i="1"/>
  <c r="AG693" i="1" s="1"/>
  <c r="L693" i="1"/>
  <c r="Y693" i="1" s="1"/>
  <c r="S693" i="1"/>
  <c r="AF693" i="1" s="1"/>
  <c r="K693" i="1"/>
  <c r="X693" i="1" s="1"/>
  <c r="R693" i="1"/>
  <c r="AE693" i="1" s="1"/>
  <c r="P693" i="1"/>
  <c r="AC693" i="1" s="1"/>
  <c r="Q693" i="1"/>
  <c r="AD693" i="1" s="1"/>
  <c r="V263" i="1"/>
  <c r="AI263" i="1" s="1"/>
  <c r="N263" i="1"/>
  <c r="AA263" i="1" s="1"/>
  <c r="U263" i="1"/>
  <c r="AH263" i="1" s="1"/>
  <c r="M263" i="1"/>
  <c r="Z263" i="1" s="1"/>
  <c r="T263" i="1"/>
  <c r="AG263" i="1" s="1"/>
  <c r="L263" i="1"/>
  <c r="Y263" i="1" s="1"/>
  <c r="S263" i="1"/>
  <c r="AF263" i="1" s="1"/>
  <c r="K263" i="1"/>
  <c r="X263" i="1" s="1"/>
  <c r="R263" i="1"/>
  <c r="AE263" i="1" s="1"/>
  <c r="Q263" i="1"/>
  <c r="AD263" i="1" s="1"/>
  <c r="O263" i="1"/>
  <c r="AB263" i="1" s="1"/>
  <c r="P263" i="1"/>
  <c r="AC263" i="1" s="1"/>
  <c r="V1713" i="1"/>
  <c r="AI1713" i="1" s="1"/>
  <c r="N1713" i="1"/>
  <c r="AA1713" i="1" s="1"/>
  <c r="U1713" i="1"/>
  <c r="AH1713" i="1" s="1"/>
  <c r="M1713" i="1"/>
  <c r="Z1713" i="1" s="1"/>
  <c r="T1713" i="1"/>
  <c r="AG1713" i="1" s="1"/>
  <c r="L1713" i="1"/>
  <c r="Y1713" i="1" s="1"/>
  <c r="S1713" i="1"/>
  <c r="AF1713" i="1" s="1"/>
  <c r="K1713" i="1"/>
  <c r="X1713" i="1" s="1"/>
  <c r="R1713" i="1"/>
  <c r="AE1713" i="1" s="1"/>
  <c r="Q1713" i="1"/>
  <c r="AD1713" i="1" s="1"/>
  <c r="P1713" i="1"/>
  <c r="AC1713" i="1" s="1"/>
  <c r="O1713" i="1"/>
  <c r="AB1713" i="1" s="1"/>
  <c r="U1585" i="1"/>
  <c r="AH1585" i="1" s="1"/>
  <c r="M1585" i="1"/>
  <c r="Z1585" i="1" s="1"/>
  <c r="T1585" i="1"/>
  <c r="AG1585" i="1" s="1"/>
  <c r="L1585" i="1"/>
  <c r="Y1585" i="1" s="1"/>
  <c r="S1585" i="1"/>
  <c r="AF1585" i="1" s="1"/>
  <c r="K1585" i="1"/>
  <c r="X1585" i="1" s="1"/>
  <c r="R1585" i="1"/>
  <c r="AE1585" i="1" s="1"/>
  <c r="Q1585" i="1"/>
  <c r="AD1585" i="1" s="1"/>
  <c r="P1585" i="1"/>
  <c r="AC1585" i="1" s="1"/>
  <c r="V1585" i="1"/>
  <c r="AI1585" i="1" s="1"/>
  <c r="N1585" i="1"/>
  <c r="AA1585" i="1" s="1"/>
  <c r="O1585" i="1"/>
  <c r="AB1585" i="1" s="1"/>
  <c r="T1636" i="1"/>
  <c r="AG1636" i="1" s="1"/>
  <c r="L1636" i="1"/>
  <c r="Y1636" i="1" s="1"/>
  <c r="R1636" i="1"/>
  <c r="AE1636" i="1" s="1"/>
  <c r="Q1636" i="1"/>
  <c r="AD1636" i="1" s="1"/>
  <c r="O1636" i="1"/>
  <c r="AB1636" i="1" s="1"/>
  <c r="U1636" i="1"/>
  <c r="AH1636" i="1" s="1"/>
  <c r="M1636" i="1"/>
  <c r="Z1636" i="1" s="1"/>
  <c r="N1636" i="1"/>
  <c r="AA1636" i="1" s="1"/>
  <c r="K1636" i="1"/>
  <c r="X1636" i="1" s="1"/>
  <c r="V1636" i="1"/>
  <c r="AI1636" i="1" s="1"/>
  <c r="P1636" i="1"/>
  <c r="AC1636" i="1" s="1"/>
  <c r="S1636" i="1"/>
  <c r="AF1636" i="1" s="1"/>
  <c r="V1370" i="1"/>
  <c r="AI1370" i="1" s="1"/>
  <c r="N1370" i="1"/>
  <c r="AA1370" i="1" s="1"/>
  <c r="U1370" i="1"/>
  <c r="AH1370" i="1" s="1"/>
  <c r="M1370" i="1"/>
  <c r="Z1370" i="1" s="1"/>
  <c r="S1370" i="1"/>
  <c r="AF1370" i="1" s="1"/>
  <c r="K1370" i="1"/>
  <c r="X1370" i="1" s="1"/>
  <c r="R1370" i="1"/>
  <c r="AE1370" i="1" s="1"/>
  <c r="Q1370" i="1"/>
  <c r="AD1370" i="1" s="1"/>
  <c r="T1370" i="1"/>
  <c r="AG1370" i="1" s="1"/>
  <c r="P1370" i="1"/>
  <c r="AC1370" i="1" s="1"/>
  <c r="O1370" i="1"/>
  <c r="AB1370" i="1" s="1"/>
  <c r="L1370" i="1"/>
  <c r="Y1370" i="1" s="1"/>
  <c r="O1534" i="1"/>
  <c r="AB1534" i="1" s="1"/>
  <c r="V1534" i="1"/>
  <c r="AI1534" i="1" s="1"/>
  <c r="N1534" i="1"/>
  <c r="AA1534" i="1" s="1"/>
  <c r="U1534" i="1"/>
  <c r="AH1534" i="1" s="1"/>
  <c r="M1534" i="1"/>
  <c r="Z1534" i="1" s="1"/>
  <c r="T1534" i="1"/>
  <c r="AG1534" i="1" s="1"/>
  <c r="L1534" i="1"/>
  <c r="Y1534" i="1" s="1"/>
  <c r="R1534" i="1"/>
  <c r="AE1534" i="1" s="1"/>
  <c r="S1534" i="1"/>
  <c r="AF1534" i="1" s="1"/>
  <c r="Q1534" i="1"/>
  <c r="AD1534" i="1" s="1"/>
  <c r="P1534" i="1"/>
  <c r="AC1534" i="1" s="1"/>
  <c r="K1534" i="1"/>
  <c r="X1534" i="1" s="1"/>
  <c r="O1390" i="1"/>
  <c r="AB1390" i="1" s="1"/>
  <c r="V1390" i="1"/>
  <c r="AI1390" i="1" s="1"/>
  <c r="N1390" i="1"/>
  <c r="AA1390" i="1" s="1"/>
  <c r="U1390" i="1"/>
  <c r="AH1390" i="1" s="1"/>
  <c r="M1390" i="1"/>
  <c r="Z1390" i="1" s="1"/>
  <c r="T1390" i="1"/>
  <c r="AG1390" i="1" s="1"/>
  <c r="L1390" i="1"/>
  <c r="Y1390" i="1" s="1"/>
  <c r="S1390" i="1"/>
  <c r="AF1390" i="1" s="1"/>
  <c r="K1390" i="1"/>
  <c r="X1390" i="1" s="1"/>
  <c r="R1390" i="1"/>
  <c r="AE1390" i="1" s="1"/>
  <c r="Q1390" i="1"/>
  <c r="AD1390" i="1" s="1"/>
  <c r="P1390" i="1"/>
  <c r="AC1390" i="1" s="1"/>
  <c r="T1511" i="1"/>
  <c r="AG1511" i="1" s="1"/>
  <c r="L1511" i="1"/>
  <c r="Y1511" i="1" s="1"/>
  <c r="S1511" i="1"/>
  <c r="AF1511" i="1" s="1"/>
  <c r="K1511" i="1"/>
  <c r="X1511" i="1" s="1"/>
  <c r="R1511" i="1"/>
  <c r="AE1511" i="1" s="1"/>
  <c r="Q1511" i="1"/>
  <c r="AD1511" i="1" s="1"/>
  <c r="P1511" i="1"/>
  <c r="AC1511" i="1" s="1"/>
  <c r="O1511" i="1"/>
  <c r="AB1511" i="1" s="1"/>
  <c r="V1511" i="1"/>
  <c r="AI1511" i="1" s="1"/>
  <c r="N1511" i="1"/>
  <c r="AA1511" i="1" s="1"/>
  <c r="U1511" i="1"/>
  <c r="AH1511" i="1" s="1"/>
  <c r="M1511" i="1"/>
  <c r="Z1511" i="1" s="1"/>
  <c r="S1425" i="1"/>
  <c r="AF1425" i="1" s="1"/>
  <c r="K1425" i="1"/>
  <c r="X1425" i="1" s="1"/>
  <c r="R1425" i="1"/>
  <c r="AE1425" i="1" s="1"/>
  <c r="Q1425" i="1"/>
  <c r="AD1425" i="1" s="1"/>
  <c r="P1425" i="1"/>
  <c r="AC1425" i="1" s="1"/>
  <c r="O1425" i="1"/>
  <c r="AB1425" i="1" s="1"/>
  <c r="V1425" i="1"/>
  <c r="AI1425" i="1" s="1"/>
  <c r="N1425" i="1"/>
  <c r="AA1425" i="1" s="1"/>
  <c r="U1425" i="1"/>
  <c r="AH1425" i="1" s="1"/>
  <c r="M1425" i="1"/>
  <c r="Z1425" i="1" s="1"/>
  <c r="L1425" i="1"/>
  <c r="Y1425" i="1" s="1"/>
  <c r="T1425" i="1"/>
  <c r="AG1425" i="1" s="1"/>
  <c r="S1541" i="1"/>
  <c r="AF1541" i="1" s="1"/>
  <c r="K1541" i="1"/>
  <c r="X1541" i="1" s="1"/>
  <c r="R1541" i="1"/>
  <c r="AE1541" i="1" s="1"/>
  <c r="Q1541" i="1"/>
  <c r="AD1541" i="1" s="1"/>
  <c r="P1541" i="1"/>
  <c r="AC1541" i="1" s="1"/>
  <c r="V1541" i="1"/>
  <c r="AI1541" i="1" s="1"/>
  <c r="N1541" i="1"/>
  <c r="AA1541" i="1" s="1"/>
  <c r="U1541" i="1"/>
  <c r="AH1541" i="1" s="1"/>
  <c r="T1541" i="1"/>
  <c r="AG1541" i="1" s="1"/>
  <c r="O1541" i="1"/>
  <c r="AB1541" i="1" s="1"/>
  <c r="M1541" i="1"/>
  <c r="Z1541" i="1" s="1"/>
  <c r="L1541" i="1"/>
  <c r="Y1541" i="1" s="1"/>
  <c r="P1516" i="1"/>
  <c r="AC1516" i="1" s="1"/>
  <c r="O1516" i="1"/>
  <c r="AB1516" i="1" s="1"/>
  <c r="V1516" i="1"/>
  <c r="AI1516" i="1" s="1"/>
  <c r="N1516" i="1"/>
  <c r="AA1516" i="1" s="1"/>
  <c r="U1516" i="1"/>
  <c r="AH1516" i="1" s="1"/>
  <c r="M1516" i="1"/>
  <c r="Z1516" i="1" s="1"/>
  <c r="T1516" i="1"/>
  <c r="AG1516" i="1" s="1"/>
  <c r="L1516" i="1"/>
  <c r="Y1516" i="1" s="1"/>
  <c r="S1516" i="1"/>
  <c r="AF1516" i="1" s="1"/>
  <c r="K1516" i="1"/>
  <c r="X1516" i="1" s="1"/>
  <c r="R1516" i="1"/>
  <c r="AE1516" i="1" s="1"/>
  <c r="Q1516" i="1"/>
  <c r="AD1516" i="1" s="1"/>
  <c r="P1025" i="1"/>
  <c r="AC1025" i="1" s="1"/>
  <c r="O1025" i="1"/>
  <c r="AB1025" i="1" s="1"/>
  <c r="V1025" i="1"/>
  <c r="AI1025" i="1" s="1"/>
  <c r="N1025" i="1"/>
  <c r="AA1025" i="1" s="1"/>
  <c r="U1025" i="1"/>
  <c r="AH1025" i="1" s="1"/>
  <c r="M1025" i="1"/>
  <c r="Z1025" i="1" s="1"/>
  <c r="T1025" i="1"/>
  <c r="AG1025" i="1" s="1"/>
  <c r="L1025" i="1"/>
  <c r="Y1025" i="1" s="1"/>
  <c r="S1025" i="1"/>
  <c r="AF1025" i="1" s="1"/>
  <c r="K1025" i="1"/>
  <c r="X1025" i="1" s="1"/>
  <c r="R1025" i="1"/>
  <c r="AE1025" i="1" s="1"/>
  <c r="Q1025" i="1"/>
  <c r="AD1025" i="1" s="1"/>
  <c r="T1036" i="1"/>
  <c r="AG1036" i="1" s="1"/>
  <c r="L1036" i="1"/>
  <c r="Y1036" i="1" s="1"/>
  <c r="S1036" i="1"/>
  <c r="AF1036" i="1" s="1"/>
  <c r="K1036" i="1"/>
  <c r="X1036" i="1" s="1"/>
  <c r="R1036" i="1"/>
  <c r="AE1036" i="1" s="1"/>
  <c r="Q1036" i="1"/>
  <c r="AD1036" i="1" s="1"/>
  <c r="P1036" i="1"/>
  <c r="AC1036" i="1" s="1"/>
  <c r="O1036" i="1"/>
  <c r="AB1036" i="1" s="1"/>
  <c r="V1036" i="1"/>
  <c r="AI1036" i="1" s="1"/>
  <c r="U1036" i="1"/>
  <c r="AH1036" i="1" s="1"/>
  <c r="N1036" i="1"/>
  <c r="AA1036" i="1" s="1"/>
  <c r="M1036" i="1"/>
  <c r="Z1036" i="1" s="1"/>
  <c r="U762" i="1"/>
  <c r="AH762" i="1" s="1"/>
  <c r="M762" i="1"/>
  <c r="Z762" i="1" s="1"/>
  <c r="T762" i="1"/>
  <c r="AG762" i="1" s="1"/>
  <c r="L762" i="1"/>
  <c r="Y762" i="1" s="1"/>
  <c r="S762" i="1"/>
  <c r="AF762" i="1" s="1"/>
  <c r="K762" i="1"/>
  <c r="X762" i="1" s="1"/>
  <c r="R762" i="1"/>
  <c r="AE762" i="1" s="1"/>
  <c r="Q762" i="1"/>
  <c r="AD762" i="1" s="1"/>
  <c r="P762" i="1"/>
  <c r="AC762" i="1" s="1"/>
  <c r="V762" i="1"/>
  <c r="AI762" i="1" s="1"/>
  <c r="N762" i="1"/>
  <c r="AA762" i="1" s="1"/>
  <c r="O762" i="1"/>
  <c r="AB762" i="1" s="1"/>
  <c r="S596" i="1"/>
  <c r="AF596" i="1" s="1"/>
  <c r="K596" i="1"/>
  <c r="X596" i="1" s="1"/>
  <c r="R596" i="1"/>
  <c r="AE596" i="1" s="1"/>
  <c r="Q596" i="1"/>
  <c r="AD596" i="1" s="1"/>
  <c r="P596" i="1"/>
  <c r="AC596" i="1" s="1"/>
  <c r="O596" i="1"/>
  <c r="AB596" i="1" s="1"/>
  <c r="V596" i="1"/>
  <c r="AI596" i="1" s="1"/>
  <c r="N596" i="1"/>
  <c r="AA596" i="1" s="1"/>
  <c r="T596" i="1"/>
  <c r="AG596" i="1" s="1"/>
  <c r="L596" i="1"/>
  <c r="Y596" i="1" s="1"/>
  <c r="U596" i="1"/>
  <c r="AH596" i="1" s="1"/>
  <c r="M596" i="1"/>
  <c r="Z596" i="1" s="1"/>
  <c r="R312" i="1"/>
  <c r="AE312" i="1" s="1"/>
  <c r="Q312" i="1"/>
  <c r="AD312" i="1" s="1"/>
  <c r="P312" i="1"/>
  <c r="AC312" i="1" s="1"/>
  <c r="O312" i="1"/>
  <c r="AB312" i="1" s="1"/>
  <c r="V312" i="1"/>
  <c r="AI312" i="1" s="1"/>
  <c r="N312" i="1"/>
  <c r="AA312" i="1" s="1"/>
  <c r="U312" i="1"/>
  <c r="AH312" i="1" s="1"/>
  <c r="M312" i="1"/>
  <c r="Z312" i="1" s="1"/>
  <c r="S312" i="1"/>
  <c r="AF312" i="1" s="1"/>
  <c r="K312" i="1"/>
  <c r="X312" i="1" s="1"/>
  <c r="T312" i="1"/>
  <c r="AG312" i="1" s="1"/>
  <c r="L312" i="1"/>
  <c r="Y312" i="1" s="1"/>
  <c r="V74" i="1"/>
  <c r="AI74" i="1" s="1"/>
  <c r="N74" i="1"/>
  <c r="AA74" i="1" s="1"/>
  <c r="U74" i="1"/>
  <c r="AH74" i="1" s="1"/>
  <c r="M74" i="1"/>
  <c r="Z74" i="1" s="1"/>
  <c r="T74" i="1"/>
  <c r="AG74" i="1" s="1"/>
  <c r="L74" i="1"/>
  <c r="Y74" i="1" s="1"/>
  <c r="S74" i="1"/>
  <c r="AF74" i="1" s="1"/>
  <c r="K74" i="1"/>
  <c r="X74" i="1" s="1"/>
  <c r="R74" i="1"/>
  <c r="AE74" i="1" s="1"/>
  <c r="Q74" i="1"/>
  <c r="AD74" i="1" s="1"/>
  <c r="O74" i="1"/>
  <c r="AB74" i="1" s="1"/>
  <c r="P74" i="1"/>
  <c r="AC74" i="1" s="1"/>
  <c r="S682" i="1"/>
  <c r="AF682" i="1" s="1"/>
  <c r="K682" i="1"/>
  <c r="X682" i="1" s="1"/>
  <c r="R682" i="1"/>
  <c r="AE682" i="1" s="1"/>
  <c r="Q682" i="1"/>
  <c r="AD682" i="1" s="1"/>
  <c r="P682" i="1"/>
  <c r="AC682" i="1" s="1"/>
  <c r="O682" i="1"/>
  <c r="AB682" i="1" s="1"/>
  <c r="V682" i="1"/>
  <c r="AI682" i="1" s="1"/>
  <c r="N682" i="1"/>
  <c r="AA682" i="1" s="1"/>
  <c r="T682" i="1"/>
  <c r="AG682" i="1" s="1"/>
  <c r="L682" i="1"/>
  <c r="Y682" i="1" s="1"/>
  <c r="M682" i="1"/>
  <c r="Z682" i="1" s="1"/>
  <c r="U682" i="1"/>
  <c r="AH682" i="1" s="1"/>
  <c r="R322" i="1"/>
  <c r="AE322" i="1" s="1"/>
  <c r="Q322" i="1"/>
  <c r="AD322" i="1" s="1"/>
  <c r="P322" i="1"/>
  <c r="AC322" i="1" s="1"/>
  <c r="O322" i="1"/>
  <c r="AB322" i="1" s="1"/>
  <c r="V322" i="1"/>
  <c r="AI322" i="1" s="1"/>
  <c r="N322" i="1"/>
  <c r="AA322" i="1" s="1"/>
  <c r="U322" i="1"/>
  <c r="AH322" i="1" s="1"/>
  <c r="M322" i="1"/>
  <c r="Z322" i="1" s="1"/>
  <c r="S322" i="1"/>
  <c r="AF322" i="1" s="1"/>
  <c r="K322" i="1"/>
  <c r="X322" i="1" s="1"/>
  <c r="T322" i="1"/>
  <c r="AG322" i="1" s="1"/>
  <c r="L322" i="1"/>
  <c r="Y322" i="1" s="1"/>
  <c r="R1268" i="1"/>
  <c r="AE1268" i="1" s="1"/>
  <c r="Q1268" i="1"/>
  <c r="AD1268" i="1" s="1"/>
  <c r="O1268" i="1"/>
  <c r="AB1268" i="1" s="1"/>
  <c r="V1268" i="1"/>
  <c r="AI1268" i="1" s="1"/>
  <c r="N1268" i="1"/>
  <c r="AA1268" i="1" s="1"/>
  <c r="U1268" i="1"/>
  <c r="AH1268" i="1" s="1"/>
  <c r="M1268" i="1"/>
  <c r="Z1268" i="1" s="1"/>
  <c r="S1268" i="1"/>
  <c r="AF1268" i="1" s="1"/>
  <c r="P1268" i="1"/>
  <c r="AC1268" i="1" s="1"/>
  <c r="L1268" i="1"/>
  <c r="Y1268" i="1" s="1"/>
  <c r="K1268" i="1"/>
  <c r="X1268" i="1" s="1"/>
  <c r="T1268" i="1"/>
  <c r="AG1268" i="1" s="1"/>
  <c r="S1565" i="1"/>
  <c r="AF1565" i="1" s="1"/>
  <c r="K1565" i="1"/>
  <c r="X1565" i="1" s="1"/>
  <c r="R1565" i="1"/>
  <c r="AE1565" i="1" s="1"/>
  <c r="Q1565" i="1"/>
  <c r="AD1565" i="1" s="1"/>
  <c r="P1565" i="1"/>
  <c r="AC1565" i="1" s="1"/>
  <c r="V1565" i="1"/>
  <c r="AI1565" i="1" s="1"/>
  <c r="N1565" i="1"/>
  <c r="AA1565" i="1" s="1"/>
  <c r="L1565" i="1"/>
  <c r="Y1565" i="1" s="1"/>
  <c r="U1565" i="1"/>
  <c r="AH1565" i="1" s="1"/>
  <c r="T1565" i="1"/>
  <c r="AG1565" i="1" s="1"/>
  <c r="O1565" i="1"/>
  <c r="AB1565" i="1" s="1"/>
  <c r="M1565" i="1"/>
  <c r="Z1565" i="1" s="1"/>
  <c r="O959" i="1"/>
  <c r="AB959" i="1" s="1"/>
  <c r="V959" i="1"/>
  <c r="AI959" i="1" s="1"/>
  <c r="N959" i="1"/>
  <c r="AA959" i="1" s="1"/>
  <c r="U959" i="1"/>
  <c r="AH959" i="1" s="1"/>
  <c r="M959" i="1"/>
  <c r="Z959" i="1" s="1"/>
  <c r="T959" i="1"/>
  <c r="AG959" i="1" s="1"/>
  <c r="L959" i="1"/>
  <c r="Y959" i="1" s="1"/>
  <c r="S959" i="1"/>
  <c r="AF959" i="1" s="1"/>
  <c r="K959" i="1"/>
  <c r="X959" i="1" s="1"/>
  <c r="R959" i="1"/>
  <c r="AE959" i="1" s="1"/>
  <c r="P959" i="1"/>
  <c r="AC959" i="1" s="1"/>
  <c r="Q959" i="1"/>
  <c r="AD959" i="1" s="1"/>
  <c r="U905" i="1"/>
  <c r="AH905" i="1" s="1"/>
  <c r="M905" i="1"/>
  <c r="Z905" i="1" s="1"/>
  <c r="R905" i="1"/>
  <c r="AE905" i="1" s="1"/>
  <c r="P905" i="1"/>
  <c r="AC905" i="1" s="1"/>
  <c r="S905" i="1"/>
  <c r="AF905" i="1" s="1"/>
  <c r="Q905" i="1"/>
  <c r="AD905" i="1" s="1"/>
  <c r="O905" i="1"/>
  <c r="AB905" i="1" s="1"/>
  <c r="N905" i="1"/>
  <c r="AA905" i="1" s="1"/>
  <c r="L905" i="1"/>
  <c r="Y905" i="1" s="1"/>
  <c r="K905" i="1"/>
  <c r="X905" i="1" s="1"/>
  <c r="T905" i="1"/>
  <c r="AG905" i="1" s="1"/>
  <c r="V905" i="1"/>
  <c r="AI905" i="1" s="1"/>
  <c r="S662" i="1"/>
  <c r="AF662" i="1" s="1"/>
  <c r="K662" i="1"/>
  <c r="X662" i="1" s="1"/>
  <c r="R662" i="1"/>
  <c r="AE662" i="1" s="1"/>
  <c r="Q662" i="1"/>
  <c r="AD662" i="1" s="1"/>
  <c r="P662" i="1"/>
  <c r="AC662" i="1" s="1"/>
  <c r="O662" i="1"/>
  <c r="AB662" i="1" s="1"/>
  <c r="V662" i="1"/>
  <c r="AI662" i="1" s="1"/>
  <c r="N662" i="1"/>
  <c r="AA662" i="1" s="1"/>
  <c r="T662" i="1"/>
  <c r="AG662" i="1" s="1"/>
  <c r="L662" i="1"/>
  <c r="Y662" i="1" s="1"/>
  <c r="U662" i="1"/>
  <c r="AH662" i="1" s="1"/>
  <c r="M662" i="1"/>
  <c r="Z662" i="1" s="1"/>
  <c r="R425" i="1"/>
  <c r="AE425" i="1" s="1"/>
  <c r="P425" i="1"/>
  <c r="AC425" i="1" s="1"/>
  <c r="O425" i="1"/>
  <c r="AB425" i="1" s="1"/>
  <c r="V425" i="1"/>
  <c r="AI425" i="1" s="1"/>
  <c r="N425" i="1"/>
  <c r="AA425" i="1" s="1"/>
  <c r="U425" i="1"/>
  <c r="AH425" i="1" s="1"/>
  <c r="M425" i="1"/>
  <c r="Z425" i="1" s="1"/>
  <c r="S425" i="1"/>
  <c r="AF425" i="1" s="1"/>
  <c r="K425" i="1"/>
  <c r="X425" i="1" s="1"/>
  <c r="Q425" i="1"/>
  <c r="AD425" i="1" s="1"/>
  <c r="L425" i="1"/>
  <c r="Y425" i="1" s="1"/>
  <c r="T425" i="1"/>
  <c r="AG425" i="1" s="1"/>
  <c r="O565" i="1"/>
  <c r="AB565" i="1" s="1"/>
  <c r="V565" i="1"/>
  <c r="AI565" i="1" s="1"/>
  <c r="N565" i="1"/>
  <c r="AA565" i="1" s="1"/>
  <c r="U565" i="1"/>
  <c r="AH565" i="1" s="1"/>
  <c r="M565" i="1"/>
  <c r="Z565" i="1" s="1"/>
  <c r="T565" i="1"/>
  <c r="AG565" i="1" s="1"/>
  <c r="L565" i="1"/>
  <c r="Y565" i="1" s="1"/>
  <c r="S565" i="1"/>
  <c r="AF565" i="1" s="1"/>
  <c r="K565" i="1"/>
  <c r="X565" i="1" s="1"/>
  <c r="R565" i="1"/>
  <c r="AE565" i="1" s="1"/>
  <c r="P565" i="1"/>
  <c r="AC565" i="1" s="1"/>
  <c r="Q565" i="1"/>
  <c r="AD565" i="1" s="1"/>
  <c r="S570" i="1"/>
  <c r="AF570" i="1" s="1"/>
  <c r="K570" i="1"/>
  <c r="X570" i="1" s="1"/>
  <c r="R570" i="1"/>
  <c r="AE570" i="1" s="1"/>
  <c r="Q570" i="1"/>
  <c r="AD570" i="1" s="1"/>
  <c r="P570" i="1"/>
  <c r="AC570" i="1" s="1"/>
  <c r="O570" i="1"/>
  <c r="AB570" i="1" s="1"/>
  <c r="V570" i="1"/>
  <c r="AI570" i="1" s="1"/>
  <c r="N570" i="1"/>
  <c r="AA570" i="1" s="1"/>
  <c r="T570" i="1"/>
  <c r="AG570" i="1" s="1"/>
  <c r="L570" i="1"/>
  <c r="Y570" i="1" s="1"/>
  <c r="M570" i="1"/>
  <c r="Z570" i="1" s="1"/>
  <c r="U570" i="1"/>
  <c r="AH570" i="1" s="1"/>
  <c r="R447" i="1"/>
  <c r="AE447" i="1" s="1"/>
  <c r="P447" i="1"/>
  <c r="AC447" i="1" s="1"/>
  <c r="O447" i="1"/>
  <c r="AB447" i="1" s="1"/>
  <c r="V447" i="1"/>
  <c r="AI447" i="1" s="1"/>
  <c r="N447" i="1"/>
  <c r="AA447" i="1" s="1"/>
  <c r="U447" i="1"/>
  <c r="AH447" i="1" s="1"/>
  <c r="M447" i="1"/>
  <c r="Z447" i="1" s="1"/>
  <c r="S447" i="1"/>
  <c r="AF447" i="1" s="1"/>
  <c r="K447" i="1"/>
  <c r="X447" i="1" s="1"/>
  <c r="T447" i="1"/>
  <c r="AG447" i="1" s="1"/>
  <c r="L447" i="1"/>
  <c r="Y447" i="1" s="1"/>
  <c r="Q447" i="1"/>
  <c r="AD447" i="1" s="1"/>
  <c r="O525" i="1"/>
  <c r="AB525" i="1" s="1"/>
  <c r="U525" i="1"/>
  <c r="AH525" i="1" s="1"/>
  <c r="M525" i="1"/>
  <c r="Z525" i="1" s="1"/>
  <c r="S525" i="1"/>
  <c r="AF525" i="1" s="1"/>
  <c r="K525" i="1"/>
  <c r="X525" i="1" s="1"/>
  <c r="R525" i="1"/>
  <c r="AE525" i="1" s="1"/>
  <c r="P525" i="1"/>
  <c r="AC525" i="1" s="1"/>
  <c r="T525" i="1"/>
  <c r="AG525" i="1" s="1"/>
  <c r="Q525" i="1"/>
  <c r="AD525" i="1" s="1"/>
  <c r="N525" i="1"/>
  <c r="AA525" i="1" s="1"/>
  <c r="L525" i="1"/>
  <c r="Y525" i="1" s="1"/>
  <c r="V525" i="1"/>
  <c r="AI525" i="1" s="1"/>
  <c r="V313" i="1"/>
  <c r="AI313" i="1" s="1"/>
  <c r="N313" i="1"/>
  <c r="AA313" i="1" s="1"/>
  <c r="U313" i="1"/>
  <c r="AH313" i="1" s="1"/>
  <c r="M313" i="1"/>
  <c r="Z313" i="1" s="1"/>
  <c r="T313" i="1"/>
  <c r="AG313" i="1" s="1"/>
  <c r="L313" i="1"/>
  <c r="Y313" i="1" s="1"/>
  <c r="S313" i="1"/>
  <c r="AF313" i="1" s="1"/>
  <c r="K313" i="1"/>
  <c r="X313" i="1" s="1"/>
  <c r="R313" i="1"/>
  <c r="AE313" i="1" s="1"/>
  <c r="Q313" i="1"/>
  <c r="AD313" i="1" s="1"/>
  <c r="O313" i="1"/>
  <c r="AB313" i="1" s="1"/>
  <c r="P313" i="1"/>
  <c r="AC313" i="1" s="1"/>
  <c r="R270" i="1"/>
  <c r="AE270" i="1" s="1"/>
  <c r="Q270" i="1"/>
  <c r="AD270" i="1" s="1"/>
  <c r="P270" i="1"/>
  <c r="AC270" i="1" s="1"/>
  <c r="O270" i="1"/>
  <c r="AB270" i="1" s="1"/>
  <c r="V270" i="1"/>
  <c r="AI270" i="1" s="1"/>
  <c r="N270" i="1"/>
  <c r="AA270" i="1" s="1"/>
  <c r="U270" i="1"/>
  <c r="AH270" i="1" s="1"/>
  <c r="M270" i="1"/>
  <c r="Z270" i="1" s="1"/>
  <c r="S270" i="1"/>
  <c r="AF270" i="1" s="1"/>
  <c r="K270" i="1"/>
  <c r="X270" i="1" s="1"/>
  <c r="T270" i="1"/>
  <c r="AG270" i="1" s="1"/>
  <c r="L270" i="1"/>
  <c r="Y270" i="1" s="1"/>
  <c r="O186" i="1"/>
  <c r="AB186" i="1" s="1"/>
  <c r="U186" i="1"/>
  <c r="AH186" i="1" s="1"/>
  <c r="M186" i="1"/>
  <c r="Z186" i="1" s="1"/>
  <c r="S186" i="1"/>
  <c r="AF186" i="1" s="1"/>
  <c r="K186" i="1"/>
  <c r="X186" i="1" s="1"/>
  <c r="P186" i="1"/>
  <c r="AC186" i="1" s="1"/>
  <c r="N186" i="1"/>
  <c r="AA186" i="1" s="1"/>
  <c r="L186" i="1"/>
  <c r="Y186" i="1" s="1"/>
  <c r="V186" i="1"/>
  <c r="AI186" i="1" s="1"/>
  <c r="T186" i="1"/>
  <c r="AG186" i="1" s="1"/>
  <c r="Q186" i="1"/>
  <c r="AD186" i="1" s="1"/>
  <c r="R186" i="1"/>
  <c r="AE186" i="1" s="1"/>
  <c r="R35" i="1"/>
  <c r="AE35" i="1" s="1"/>
  <c r="Q35" i="1"/>
  <c r="AD35" i="1" s="1"/>
  <c r="P35" i="1"/>
  <c r="AC35" i="1" s="1"/>
  <c r="O35" i="1"/>
  <c r="AB35" i="1" s="1"/>
  <c r="V35" i="1"/>
  <c r="AI35" i="1" s="1"/>
  <c r="N35" i="1"/>
  <c r="AA35" i="1" s="1"/>
  <c r="U35" i="1"/>
  <c r="AH35" i="1" s="1"/>
  <c r="M35" i="1"/>
  <c r="Z35" i="1" s="1"/>
  <c r="S35" i="1"/>
  <c r="AF35" i="1" s="1"/>
  <c r="K35" i="1"/>
  <c r="X35" i="1" s="1"/>
  <c r="T35" i="1"/>
  <c r="AG35" i="1" s="1"/>
  <c r="L35" i="1"/>
  <c r="Y35" i="1" s="1"/>
  <c r="O679" i="1"/>
  <c r="AB679" i="1" s="1"/>
  <c r="V679" i="1"/>
  <c r="AI679" i="1" s="1"/>
  <c r="N679" i="1"/>
  <c r="AA679" i="1" s="1"/>
  <c r="U679" i="1"/>
  <c r="AH679" i="1" s="1"/>
  <c r="M679" i="1"/>
  <c r="Z679" i="1" s="1"/>
  <c r="T679" i="1"/>
  <c r="AG679" i="1" s="1"/>
  <c r="L679" i="1"/>
  <c r="Y679" i="1" s="1"/>
  <c r="S679" i="1"/>
  <c r="AF679" i="1" s="1"/>
  <c r="K679" i="1"/>
  <c r="X679" i="1" s="1"/>
  <c r="R679" i="1"/>
  <c r="AE679" i="1" s="1"/>
  <c r="P679" i="1"/>
  <c r="AC679" i="1" s="1"/>
  <c r="Q679" i="1"/>
  <c r="AD679" i="1" s="1"/>
  <c r="V38" i="1"/>
  <c r="AI38" i="1" s="1"/>
  <c r="N38" i="1"/>
  <c r="AA38" i="1" s="1"/>
  <c r="U38" i="1"/>
  <c r="AH38" i="1" s="1"/>
  <c r="M38" i="1"/>
  <c r="Z38" i="1" s="1"/>
  <c r="T38" i="1"/>
  <c r="AG38" i="1" s="1"/>
  <c r="L38" i="1"/>
  <c r="Y38" i="1" s="1"/>
  <c r="S38" i="1"/>
  <c r="AF38" i="1" s="1"/>
  <c r="K38" i="1"/>
  <c r="X38" i="1" s="1"/>
  <c r="R38" i="1"/>
  <c r="AE38" i="1" s="1"/>
  <c r="Q38" i="1"/>
  <c r="AD38" i="1" s="1"/>
  <c r="O38" i="1"/>
  <c r="AB38" i="1" s="1"/>
  <c r="P38" i="1"/>
  <c r="AC38" i="1" s="1"/>
  <c r="R1710" i="1"/>
  <c r="AE1710" i="1" s="1"/>
  <c r="Q1710" i="1"/>
  <c r="AD1710" i="1" s="1"/>
  <c r="P1710" i="1"/>
  <c r="AC1710" i="1" s="1"/>
  <c r="O1710" i="1"/>
  <c r="AB1710" i="1" s="1"/>
  <c r="V1710" i="1"/>
  <c r="AI1710" i="1" s="1"/>
  <c r="N1710" i="1"/>
  <c r="AA1710" i="1" s="1"/>
  <c r="U1710" i="1"/>
  <c r="AH1710" i="1" s="1"/>
  <c r="M1710" i="1"/>
  <c r="Z1710" i="1" s="1"/>
  <c r="T1710" i="1"/>
  <c r="AG1710" i="1" s="1"/>
  <c r="L1710" i="1"/>
  <c r="Y1710" i="1" s="1"/>
  <c r="S1710" i="1"/>
  <c r="AF1710" i="1" s="1"/>
  <c r="K1710" i="1"/>
  <c r="X1710" i="1" s="1"/>
  <c r="U1673" i="1"/>
  <c r="AH1673" i="1" s="1"/>
  <c r="M1673" i="1"/>
  <c r="Z1673" i="1" s="1"/>
  <c r="T1673" i="1"/>
  <c r="AG1673" i="1" s="1"/>
  <c r="L1673" i="1"/>
  <c r="Y1673" i="1" s="1"/>
  <c r="S1673" i="1"/>
  <c r="AF1673" i="1" s="1"/>
  <c r="K1673" i="1"/>
  <c r="X1673" i="1" s="1"/>
  <c r="R1673" i="1"/>
  <c r="AE1673" i="1" s="1"/>
  <c r="Q1673" i="1"/>
  <c r="AD1673" i="1" s="1"/>
  <c r="P1673" i="1"/>
  <c r="AC1673" i="1" s="1"/>
  <c r="V1673" i="1"/>
  <c r="AI1673" i="1" s="1"/>
  <c r="O1673" i="1"/>
  <c r="AB1673" i="1" s="1"/>
  <c r="N1673" i="1"/>
  <c r="AA1673" i="1" s="1"/>
  <c r="Q1598" i="1"/>
  <c r="AD1598" i="1" s="1"/>
  <c r="O1598" i="1"/>
  <c r="AB1598" i="1" s="1"/>
  <c r="S1598" i="1"/>
  <c r="AF1598" i="1" s="1"/>
  <c r="R1598" i="1"/>
  <c r="AE1598" i="1" s="1"/>
  <c r="P1598" i="1"/>
  <c r="AC1598" i="1" s="1"/>
  <c r="N1598" i="1"/>
  <c r="AA1598" i="1" s="1"/>
  <c r="M1598" i="1"/>
  <c r="Z1598" i="1" s="1"/>
  <c r="V1598" i="1"/>
  <c r="AI1598" i="1" s="1"/>
  <c r="L1598" i="1"/>
  <c r="Y1598" i="1" s="1"/>
  <c r="T1598" i="1"/>
  <c r="AG1598" i="1" s="1"/>
  <c r="K1598" i="1"/>
  <c r="X1598" i="1" s="1"/>
  <c r="U1598" i="1"/>
  <c r="AH1598" i="1" s="1"/>
  <c r="Q1596" i="1"/>
  <c r="AD1596" i="1" s="1"/>
  <c r="O1596" i="1"/>
  <c r="AB1596" i="1" s="1"/>
  <c r="U1596" i="1"/>
  <c r="AH1596" i="1" s="1"/>
  <c r="K1596" i="1"/>
  <c r="X1596" i="1" s="1"/>
  <c r="T1596" i="1"/>
  <c r="AG1596" i="1" s="1"/>
  <c r="S1596" i="1"/>
  <c r="AF1596" i="1" s="1"/>
  <c r="R1596" i="1"/>
  <c r="AE1596" i="1" s="1"/>
  <c r="P1596" i="1"/>
  <c r="AC1596" i="1" s="1"/>
  <c r="N1596" i="1"/>
  <c r="AA1596" i="1" s="1"/>
  <c r="V1596" i="1"/>
  <c r="AI1596" i="1" s="1"/>
  <c r="L1596" i="1"/>
  <c r="Y1596" i="1" s="1"/>
  <c r="M1596" i="1"/>
  <c r="Z1596" i="1" s="1"/>
  <c r="P1639" i="1"/>
  <c r="AC1639" i="1" s="1"/>
  <c r="V1639" i="1"/>
  <c r="AI1639" i="1" s="1"/>
  <c r="N1639" i="1"/>
  <c r="AA1639" i="1" s="1"/>
  <c r="U1639" i="1"/>
  <c r="AH1639" i="1" s="1"/>
  <c r="M1639" i="1"/>
  <c r="Z1639" i="1" s="1"/>
  <c r="S1639" i="1"/>
  <c r="AF1639" i="1" s="1"/>
  <c r="K1639" i="1"/>
  <c r="X1639" i="1" s="1"/>
  <c r="Q1639" i="1"/>
  <c r="AD1639" i="1" s="1"/>
  <c r="T1639" i="1"/>
  <c r="AG1639" i="1" s="1"/>
  <c r="R1639" i="1"/>
  <c r="AE1639" i="1" s="1"/>
  <c r="O1639" i="1"/>
  <c r="AB1639" i="1" s="1"/>
  <c r="L1639" i="1"/>
  <c r="Y1639" i="1" s="1"/>
  <c r="S1523" i="1"/>
  <c r="AF1523" i="1" s="1"/>
  <c r="K1523" i="1"/>
  <c r="X1523" i="1" s="1"/>
  <c r="R1523" i="1"/>
  <c r="AE1523" i="1" s="1"/>
  <c r="P1523" i="1"/>
  <c r="AC1523" i="1" s="1"/>
  <c r="V1523" i="1"/>
  <c r="AI1523" i="1" s="1"/>
  <c r="N1523" i="1"/>
  <c r="AA1523" i="1" s="1"/>
  <c r="U1523" i="1"/>
  <c r="AH1523" i="1" s="1"/>
  <c r="T1523" i="1"/>
  <c r="AG1523" i="1" s="1"/>
  <c r="Q1523" i="1"/>
  <c r="AD1523" i="1" s="1"/>
  <c r="O1523" i="1"/>
  <c r="AB1523" i="1" s="1"/>
  <c r="M1523" i="1"/>
  <c r="Z1523" i="1" s="1"/>
  <c r="L1523" i="1"/>
  <c r="Y1523" i="1" s="1"/>
  <c r="S1431" i="1"/>
  <c r="AF1431" i="1" s="1"/>
  <c r="K1431" i="1"/>
  <c r="X1431" i="1" s="1"/>
  <c r="R1431" i="1"/>
  <c r="AE1431" i="1" s="1"/>
  <c r="Q1431" i="1"/>
  <c r="AD1431" i="1" s="1"/>
  <c r="P1431" i="1"/>
  <c r="AC1431" i="1" s="1"/>
  <c r="O1431" i="1"/>
  <c r="AB1431" i="1" s="1"/>
  <c r="V1431" i="1"/>
  <c r="AI1431" i="1" s="1"/>
  <c r="N1431" i="1"/>
  <c r="AA1431" i="1" s="1"/>
  <c r="U1431" i="1"/>
  <c r="AH1431" i="1" s="1"/>
  <c r="M1431" i="1"/>
  <c r="Z1431" i="1" s="1"/>
  <c r="T1431" i="1"/>
  <c r="AG1431" i="1" s="1"/>
  <c r="L1431" i="1"/>
  <c r="Y1431" i="1" s="1"/>
  <c r="R1241" i="1"/>
  <c r="AE1241" i="1" s="1"/>
  <c r="Q1241" i="1"/>
  <c r="AD1241" i="1" s="1"/>
  <c r="P1241" i="1"/>
  <c r="AC1241" i="1" s="1"/>
  <c r="O1241" i="1"/>
  <c r="AB1241" i="1" s="1"/>
  <c r="V1241" i="1"/>
  <c r="AI1241" i="1" s="1"/>
  <c r="N1241" i="1"/>
  <c r="AA1241" i="1" s="1"/>
  <c r="U1241" i="1"/>
  <c r="AH1241" i="1" s="1"/>
  <c r="M1241" i="1"/>
  <c r="Z1241" i="1" s="1"/>
  <c r="T1241" i="1"/>
  <c r="AG1241" i="1" s="1"/>
  <c r="L1241" i="1"/>
  <c r="Y1241" i="1" s="1"/>
  <c r="S1241" i="1"/>
  <c r="AF1241" i="1" s="1"/>
  <c r="K1241" i="1"/>
  <c r="X1241" i="1" s="1"/>
  <c r="O1528" i="1"/>
  <c r="AB1528" i="1" s="1"/>
  <c r="V1528" i="1"/>
  <c r="AI1528" i="1" s="1"/>
  <c r="N1528" i="1"/>
  <c r="AA1528" i="1" s="1"/>
  <c r="U1528" i="1"/>
  <c r="AH1528" i="1" s="1"/>
  <c r="T1528" i="1"/>
  <c r="AG1528" i="1" s="1"/>
  <c r="L1528" i="1"/>
  <c r="Y1528" i="1" s="1"/>
  <c r="R1528" i="1"/>
  <c r="AE1528" i="1" s="1"/>
  <c r="S1528" i="1"/>
  <c r="AF1528" i="1" s="1"/>
  <c r="Q1528" i="1"/>
  <c r="AD1528" i="1" s="1"/>
  <c r="P1528" i="1"/>
  <c r="AC1528" i="1" s="1"/>
  <c r="M1528" i="1"/>
  <c r="Z1528" i="1" s="1"/>
  <c r="K1528" i="1"/>
  <c r="X1528" i="1" s="1"/>
  <c r="T1022" i="1"/>
  <c r="AG1022" i="1" s="1"/>
  <c r="L1022" i="1"/>
  <c r="Y1022" i="1" s="1"/>
  <c r="S1022" i="1"/>
  <c r="AF1022" i="1" s="1"/>
  <c r="K1022" i="1"/>
  <c r="X1022" i="1" s="1"/>
  <c r="R1022" i="1"/>
  <c r="AE1022" i="1" s="1"/>
  <c r="Q1022" i="1"/>
  <c r="AD1022" i="1" s="1"/>
  <c r="P1022" i="1"/>
  <c r="AC1022" i="1" s="1"/>
  <c r="O1022" i="1"/>
  <c r="AB1022" i="1" s="1"/>
  <c r="M1022" i="1"/>
  <c r="Z1022" i="1" s="1"/>
  <c r="V1022" i="1"/>
  <c r="AI1022" i="1" s="1"/>
  <c r="N1022" i="1"/>
  <c r="AA1022" i="1" s="1"/>
  <c r="U1022" i="1"/>
  <c r="AH1022" i="1" s="1"/>
  <c r="S604" i="1"/>
  <c r="AF604" i="1" s="1"/>
  <c r="K604" i="1"/>
  <c r="X604" i="1" s="1"/>
  <c r="R604" i="1"/>
  <c r="AE604" i="1" s="1"/>
  <c r="Q604" i="1"/>
  <c r="AD604" i="1" s="1"/>
  <c r="P604" i="1"/>
  <c r="AC604" i="1" s="1"/>
  <c r="O604" i="1"/>
  <c r="AB604" i="1" s="1"/>
  <c r="V604" i="1"/>
  <c r="AI604" i="1" s="1"/>
  <c r="N604" i="1"/>
  <c r="AA604" i="1" s="1"/>
  <c r="T604" i="1"/>
  <c r="AG604" i="1" s="1"/>
  <c r="L604" i="1"/>
  <c r="Y604" i="1" s="1"/>
  <c r="U604" i="1"/>
  <c r="AH604" i="1" s="1"/>
  <c r="M604" i="1"/>
  <c r="Z604" i="1" s="1"/>
  <c r="O1428" i="1"/>
  <c r="AB1428" i="1" s="1"/>
  <c r="V1428" i="1"/>
  <c r="AI1428" i="1" s="1"/>
  <c r="N1428" i="1"/>
  <c r="AA1428" i="1" s="1"/>
  <c r="U1428" i="1"/>
  <c r="AH1428" i="1" s="1"/>
  <c r="M1428" i="1"/>
  <c r="Z1428" i="1" s="1"/>
  <c r="T1428" i="1"/>
  <c r="AG1428" i="1" s="1"/>
  <c r="L1428" i="1"/>
  <c r="Y1428" i="1" s="1"/>
  <c r="S1428" i="1"/>
  <c r="AF1428" i="1" s="1"/>
  <c r="K1428" i="1"/>
  <c r="X1428" i="1" s="1"/>
  <c r="R1428" i="1"/>
  <c r="AE1428" i="1" s="1"/>
  <c r="Q1428" i="1"/>
  <c r="AD1428" i="1" s="1"/>
  <c r="P1428" i="1"/>
  <c r="AC1428" i="1" s="1"/>
  <c r="P1035" i="1"/>
  <c r="AC1035" i="1" s="1"/>
  <c r="O1035" i="1"/>
  <c r="AB1035" i="1" s="1"/>
  <c r="V1035" i="1"/>
  <c r="AI1035" i="1" s="1"/>
  <c r="N1035" i="1"/>
  <c r="AA1035" i="1" s="1"/>
  <c r="U1035" i="1"/>
  <c r="AH1035" i="1" s="1"/>
  <c r="M1035" i="1"/>
  <c r="Z1035" i="1" s="1"/>
  <c r="T1035" i="1"/>
  <c r="AG1035" i="1" s="1"/>
  <c r="L1035" i="1"/>
  <c r="Y1035" i="1" s="1"/>
  <c r="S1035" i="1"/>
  <c r="AF1035" i="1" s="1"/>
  <c r="K1035" i="1"/>
  <c r="X1035" i="1" s="1"/>
  <c r="Q1035" i="1"/>
  <c r="AD1035" i="1" s="1"/>
  <c r="R1035" i="1"/>
  <c r="AE1035" i="1" s="1"/>
  <c r="Q906" i="1"/>
  <c r="AD906" i="1" s="1"/>
  <c r="V906" i="1"/>
  <c r="AI906" i="1" s="1"/>
  <c r="N906" i="1"/>
  <c r="AA906" i="1" s="1"/>
  <c r="T906" i="1"/>
  <c r="AG906" i="1" s="1"/>
  <c r="L906" i="1"/>
  <c r="Y906" i="1" s="1"/>
  <c r="S906" i="1"/>
  <c r="AF906" i="1" s="1"/>
  <c r="R906" i="1"/>
  <c r="AE906" i="1" s="1"/>
  <c r="P906" i="1"/>
  <c r="AC906" i="1" s="1"/>
  <c r="O906" i="1"/>
  <c r="AB906" i="1" s="1"/>
  <c r="M906" i="1"/>
  <c r="Z906" i="1" s="1"/>
  <c r="K906" i="1"/>
  <c r="X906" i="1" s="1"/>
  <c r="U906" i="1"/>
  <c r="AH906" i="1" s="1"/>
  <c r="R314" i="1"/>
  <c r="AE314" i="1" s="1"/>
  <c r="Q314" i="1"/>
  <c r="AD314" i="1" s="1"/>
  <c r="P314" i="1"/>
  <c r="AC314" i="1" s="1"/>
  <c r="O314" i="1"/>
  <c r="AB314" i="1" s="1"/>
  <c r="V314" i="1"/>
  <c r="AI314" i="1" s="1"/>
  <c r="N314" i="1"/>
  <c r="AA314" i="1" s="1"/>
  <c r="U314" i="1"/>
  <c r="AH314" i="1" s="1"/>
  <c r="M314" i="1"/>
  <c r="Z314" i="1" s="1"/>
  <c r="S314" i="1"/>
  <c r="AF314" i="1" s="1"/>
  <c r="K314" i="1"/>
  <c r="X314" i="1" s="1"/>
  <c r="L314" i="1"/>
  <c r="Y314" i="1" s="1"/>
  <c r="T314" i="1"/>
  <c r="AG314" i="1" s="1"/>
  <c r="R1219" i="1"/>
  <c r="AE1219" i="1" s="1"/>
  <c r="Q1219" i="1"/>
  <c r="AD1219" i="1" s="1"/>
  <c r="P1219" i="1"/>
  <c r="AC1219" i="1" s="1"/>
  <c r="O1219" i="1"/>
  <c r="AB1219" i="1" s="1"/>
  <c r="V1219" i="1"/>
  <c r="AI1219" i="1" s="1"/>
  <c r="N1219" i="1"/>
  <c r="AA1219" i="1" s="1"/>
  <c r="U1219" i="1"/>
  <c r="AH1219" i="1" s="1"/>
  <c r="M1219" i="1"/>
  <c r="Z1219" i="1" s="1"/>
  <c r="T1219" i="1"/>
  <c r="AG1219" i="1" s="1"/>
  <c r="L1219" i="1"/>
  <c r="Y1219" i="1" s="1"/>
  <c r="S1219" i="1"/>
  <c r="AF1219" i="1" s="1"/>
  <c r="K1219" i="1"/>
  <c r="X1219" i="1" s="1"/>
  <c r="O1426" i="1"/>
  <c r="AB1426" i="1" s="1"/>
  <c r="V1426" i="1"/>
  <c r="AI1426" i="1" s="1"/>
  <c r="N1426" i="1"/>
  <c r="AA1426" i="1" s="1"/>
  <c r="U1426" i="1"/>
  <c r="AH1426" i="1" s="1"/>
  <c r="M1426" i="1"/>
  <c r="Z1426" i="1" s="1"/>
  <c r="T1426" i="1"/>
  <c r="AG1426" i="1" s="1"/>
  <c r="L1426" i="1"/>
  <c r="Y1426" i="1" s="1"/>
  <c r="S1426" i="1"/>
  <c r="AF1426" i="1" s="1"/>
  <c r="K1426" i="1"/>
  <c r="X1426" i="1" s="1"/>
  <c r="R1426" i="1"/>
  <c r="AE1426" i="1" s="1"/>
  <c r="Q1426" i="1"/>
  <c r="AD1426" i="1" s="1"/>
  <c r="P1426" i="1"/>
  <c r="AC1426" i="1" s="1"/>
  <c r="U710" i="1"/>
  <c r="AH710" i="1" s="1"/>
  <c r="M710" i="1"/>
  <c r="Z710" i="1" s="1"/>
  <c r="S710" i="1"/>
  <c r="AF710" i="1" s="1"/>
  <c r="K710" i="1"/>
  <c r="X710" i="1" s="1"/>
  <c r="Q710" i="1"/>
  <c r="AD710" i="1" s="1"/>
  <c r="P710" i="1"/>
  <c r="AC710" i="1" s="1"/>
  <c r="V710" i="1"/>
  <c r="AI710" i="1" s="1"/>
  <c r="N710" i="1"/>
  <c r="AA710" i="1" s="1"/>
  <c r="R710" i="1"/>
  <c r="AE710" i="1" s="1"/>
  <c r="O710" i="1"/>
  <c r="AB710" i="1" s="1"/>
  <c r="L710" i="1"/>
  <c r="Y710" i="1" s="1"/>
  <c r="T710" i="1"/>
  <c r="AG710" i="1" s="1"/>
  <c r="V338" i="1"/>
  <c r="AI338" i="1" s="1"/>
  <c r="N338" i="1"/>
  <c r="AA338" i="1" s="1"/>
  <c r="T338" i="1"/>
  <c r="AG338" i="1" s="1"/>
  <c r="L338" i="1"/>
  <c r="Y338" i="1" s="1"/>
  <c r="R338" i="1"/>
  <c r="AE338" i="1" s="1"/>
  <c r="Q338" i="1"/>
  <c r="AD338" i="1" s="1"/>
  <c r="O338" i="1"/>
  <c r="AB338" i="1" s="1"/>
  <c r="U338" i="1"/>
  <c r="AH338" i="1" s="1"/>
  <c r="S338" i="1"/>
  <c r="AF338" i="1" s="1"/>
  <c r="P338" i="1"/>
  <c r="AC338" i="1" s="1"/>
  <c r="M338" i="1"/>
  <c r="Z338" i="1" s="1"/>
  <c r="K338" i="1"/>
  <c r="X338" i="1" s="1"/>
  <c r="V96" i="1"/>
  <c r="AI96" i="1" s="1"/>
  <c r="N96" i="1"/>
  <c r="AA96" i="1" s="1"/>
  <c r="U96" i="1"/>
  <c r="AH96" i="1" s="1"/>
  <c r="M96" i="1"/>
  <c r="Z96" i="1" s="1"/>
  <c r="T96" i="1"/>
  <c r="AG96" i="1" s="1"/>
  <c r="L96" i="1"/>
  <c r="Y96" i="1" s="1"/>
  <c r="S96" i="1"/>
  <c r="AF96" i="1" s="1"/>
  <c r="K96" i="1"/>
  <c r="X96" i="1" s="1"/>
  <c r="R96" i="1"/>
  <c r="AE96" i="1" s="1"/>
  <c r="Q96" i="1"/>
  <c r="AD96" i="1" s="1"/>
  <c r="O96" i="1"/>
  <c r="AB96" i="1" s="1"/>
  <c r="P96" i="1"/>
  <c r="AC96" i="1" s="1"/>
  <c r="O1402" i="1"/>
  <c r="AB1402" i="1" s="1"/>
  <c r="V1402" i="1"/>
  <c r="AI1402" i="1" s="1"/>
  <c r="N1402" i="1"/>
  <c r="AA1402" i="1" s="1"/>
  <c r="U1402" i="1"/>
  <c r="AH1402" i="1" s="1"/>
  <c r="M1402" i="1"/>
  <c r="Z1402" i="1" s="1"/>
  <c r="T1402" i="1"/>
  <c r="AG1402" i="1" s="1"/>
  <c r="L1402" i="1"/>
  <c r="Y1402" i="1" s="1"/>
  <c r="S1402" i="1"/>
  <c r="AF1402" i="1" s="1"/>
  <c r="K1402" i="1"/>
  <c r="X1402" i="1" s="1"/>
  <c r="R1402" i="1"/>
  <c r="AE1402" i="1" s="1"/>
  <c r="Q1402" i="1"/>
  <c r="AD1402" i="1" s="1"/>
  <c r="P1402" i="1"/>
  <c r="AC1402" i="1" s="1"/>
  <c r="P1108" i="1"/>
  <c r="AC1108" i="1" s="1"/>
  <c r="O1108" i="1"/>
  <c r="AB1108" i="1" s="1"/>
  <c r="V1108" i="1"/>
  <c r="AI1108" i="1" s="1"/>
  <c r="N1108" i="1"/>
  <c r="AA1108" i="1" s="1"/>
  <c r="U1108" i="1"/>
  <c r="AH1108" i="1" s="1"/>
  <c r="M1108" i="1"/>
  <c r="Z1108" i="1" s="1"/>
  <c r="T1108" i="1"/>
  <c r="AG1108" i="1" s="1"/>
  <c r="L1108" i="1"/>
  <c r="Y1108" i="1" s="1"/>
  <c r="S1108" i="1"/>
  <c r="AF1108" i="1" s="1"/>
  <c r="K1108" i="1"/>
  <c r="X1108" i="1" s="1"/>
  <c r="R1108" i="1"/>
  <c r="AE1108" i="1" s="1"/>
  <c r="Q1108" i="1"/>
  <c r="AD1108" i="1" s="1"/>
  <c r="U925" i="1"/>
  <c r="AH925" i="1" s="1"/>
  <c r="M925" i="1"/>
  <c r="Z925" i="1" s="1"/>
  <c r="R925" i="1"/>
  <c r="AE925" i="1" s="1"/>
  <c r="P925" i="1"/>
  <c r="AC925" i="1" s="1"/>
  <c r="V925" i="1"/>
  <c r="AI925" i="1" s="1"/>
  <c r="T925" i="1"/>
  <c r="AG925" i="1" s="1"/>
  <c r="S925" i="1"/>
  <c r="AF925" i="1" s="1"/>
  <c r="Q925" i="1"/>
  <c r="AD925" i="1" s="1"/>
  <c r="O925" i="1"/>
  <c r="AB925" i="1" s="1"/>
  <c r="N925" i="1"/>
  <c r="AA925" i="1" s="1"/>
  <c r="K925" i="1"/>
  <c r="X925" i="1" s="1"/>
  <c r="L925" i="1"/>
  <c r="Y925" i="1" s="1"/>
  <c r="V484" i="1"/>
  <c r="AI484" i="1" s="1"/>
  <c r="N484" i="1"/>
  <c r="AA484" i="1" s="1"/>
  <c r="T484" i="1"/>
  <c r="AG484" i="1" s="1"/>
  <c r="L484" i="1"/>
  <c r="Y484" i="1" s="1"/>
  <c r="S484" i="1"/>
  <c r="AF484" i="1" s="1"/>
  <c r="K484" i="1"/>
  <c r="X484" i="1" s="1"/>
  <c r="R484" i="1"/>
  <c r="AE484" i="1" s="1"/>
  <c r="Q484" i="1"/>
  <c r="AD484" i="1" s="1"/>
  <c r="O484" i="1"/>
  <c r="AB484" i="1" s="1"/>
  <c r="M484" i="1"/>
  <c r="Z484" i="1" s="1"/>
  <c r="P484" i="1"/>
  <c r="AC484" i="1" s="1"/>
  <c r="U484" i="1"/>
  <c r="AH484" i="1" s="1"/>
  <c r="R302" i="1"/>
  <c r="AE302" i="1" s="1"/>
  <c r="Q302" i="1"/>
  <c r="AD302" i="1" s="1"/>
  <c r="P302" i="1"/>
  <c r="AC302" i="1" s="1"/>
  <c r="O302" i="1"/>
  <c r="AB302" i="1" s="1"/>
  <c r="V302" i="1"/>
  <c r="AI302" i="1" s="1"/>
  <c r="N302" i="1"/>
  <c r="AA302" i="1" s="1"/>
  <c r="U302" i="1"/>
  <c r="AH302" i="1" s="1"/>
  <c r="M302" i="1"/>
  <c r="Z302" i="1" s="1"/>
  <c r="S302" i="1"/>
  <c r="AF302" i="1" s="1"/>
  <c r="K302" i="1"/>
  <c r="X302" i="1" s="1"/>
  <c r="T302" i="1"/>
  <c r="AG302" i="1" s="1"/>
  <c r="L302" i="1"/>
  <c r="Y302" i="1" s="1"/>
  <c r="T1077" i="1"/>
  <c r="AG1077" i="1" s="1"/>
  <c r="L1077" i="1"/>
  <c r="Y1077" i="1" s="1"/>
  <c r="S1077" i="1"/>
  <c r="AF1077" i="1" s="1"/>
  <c r="K1077" i="1"/>
  <c r="X1077" i="1" s="1"/>
  <c r="R1077" i="1"/>
  <c r="AE1077" i="1" s="1"/>
  <c r="Q1077" i="1"/>
  <c r="AD1077" i="1" s="1"/>
  <c r="P1077" i="1"/>
  <c r="AC1077" i="1" s="1"/>
  <c r="O1077" i="1"/>
  <c r="AB1077" i="1" s="1"/>
  <c r="V1077" i="1"/>
  <c r="AI1077" i="1" s="1"/>
  <c r="N1077" i="1"/>
  <c r="AA1077" i="1" s="1"/>
  <c r="U1077" i="1"/>
  <c r="AH1077" i="1" s="1"/>
  <c r="M1077" i="1"/>
  <c r="Z1077" i="1" s="1"/>
  <c r="R1300" i="1"/>
  <c r="AE1300" i="1" s="1"/>
  <c r="Q1300" i="1"/>
  <c r="AD1300" i="1" s="1"/>
  <c r="O1300" i="1"/>
  <c r="AB1300" i="1" s="1"/>
  <c r="V1300" i="1"/>
  <c r="AI1300" i="1" s="1"/>
  <c r="N1300" i="1"/>
  <c r="AA1300" i="1" s="1"/>
  <c r="U1300" i="1"/>
  <c r="AH1300" i="1" s="1"/>
  <c r="M1300" i="1"/>
  <c r="Z1300" i="1" s="1"/>
  <c r="S1300" i="1"/>
  <c r="AF1300" i="1" s="1"/>
  <c r="P1300" i="1"/>
  <c r="AC1300" i="1" s="1"/>
  <c r="L1300" i="1"/>
  <c r="Y1300" i="1" s="1"/>
  <c r="K1300" i="1"/>
  <c r="X1300" i="1" s="1"/>
  <c r="T1300" i="1"/>
  <c r="AG1300" i="1" s="1"/>
  <c r="P1045" i="1"/>
  <c r="AC1045" i="1" s="1"/>
  <c r="O1045" i="1"/>
  <c r="AB1045" i="1" s="1"/>
  <c r="V1045" i="1"/>
  <c r="AI1045" i="1" s="1"/>
  <c r="N1045" i="1"/>
  <c r="AA1045" i="1" s="1"/>
  <c r="U1045" i="1"/>
  <c r="AH1045" i="1" s="1"/>
  <c r="M1045" i="1"/>
  <c r="Z1045" i="1" s="1"/>
  <c r="T1045" i="1"/>
  <c r="AG1045" i="1" s="1"/>
  <c r="L1045" i="1"/>
  <c r="Y1045" i="1" s="1"/>
  <c r="S1045" i="1"/>
  <c r="AF1045" i="1" s="1"/>
  <c r="K1045" i="1"/>
  <c r="X1045" i="1" s="1"/>
  <c r="R1045" i="1"/>
  <c r="AE1045" i="1" s="1"/>
  <c r="Q1045" i="1"/>
  <c r="AD1045" i="1" s="1"/>
  <c r="U917" i="1"/>
  <c r="AH917" i="1" s="1"/>
  <c r="M917" i="1"/>
  <c r="Z917" i="1" s="1"/>
  <c r="R917" i="1"/>
  <c r="AE917" i="1" s="1"/>
  <c r="P917" i="1"/>
  <c r="AC917" i="1" s="1"/>
  <c r="O917" i="1"/>
  <c r="AB917" i="1" s="1"/>
  <c r="N917" i="1"/>
  <c r="AA917" i="1" s="1"/>
  <c r="L917" i="1"/>
  <c r="Y917" i="1" s="1"/>
  <c r="K917" i="1"/>
  <c r="X917" i="1" s="1"/>
  <c r="V917" i="1"/>
  <c r="AI917" i="1" s="1"/>
  <c r="T917" i="1"/>
  <c r="AG917" i="1" s="1"/>
  <c r="Q917" i="1"/>
  <c r="AD917" i="1" s="1"/>
  <c r="S917" i="1"/>
  <c r="AF917" i="1" s="1"/>
  <c r="S556" i="1"/>
  <c r="AF556" i="1" s="1"/>
  <c r="K556" i="1"/>
  <c r="X556" i="1" s="1"/>
  <c r="R556" i="1"/>
  <c r="AE556" i="1" s="1"/>
  <c r="Q556" i="1"/>
  <c r="AD556" i="1" s="1"/>
  <c r="P556" i="1"/>
  <c r="AC556" i="1" s="1"/>
  <c r="O556" i="1"/>
  <c r="AB556" i="1" s="1"/>
  <c r="V556" i="1"/>
  <c r="AI556" i="1" s="1"/>
  <c r="N556" i="1"/>
  <c r="AA556" i="1" s="1"/>
  <c r="T556" i="1"/>
  <c r="AG556" i="1" s="1"/>
  <c r="L556" i="1"/>
  <c r="Y556" i="1" s="1"/>
  <c r="U556" i="1"/>
  <c r="AH556" i="1" s="1"/>
  <c r="M556" i="1"/>
  <c r="Z556" i="1" s="1"/>
  <c r="R316" i="1"/>
  <c r="AE316" i="1" s="1"/>
  <c r="Q316" i="1"/>
  <c r="AD316" i="1" s="1"/>
  <c r="P316" i="1"/>
  <c r="AC316" i="1" s="1"/>
  <c r="O316" i="1"/>
  <c r="AB316" i="1" s="1"/>
  <c r="V316" i="1"/>
  <c r="AI316" i="1" s="1"/>
  <c r="N316" i="1"/>
  <c r="AA316" i="1" s="1"/>
  <c r="U316" i="1"/>
  <c r="AH316" i="1" s="1"/>
  <c r="M316" i="1"/>
  <c r="Z316" i="1" s="1"/>
  <c r="S316" i="1"/>
  <c r="AF316" i="1" s="1"/>
  <c r="K316" i="1"/>
  <c r="X316" i="1" s="1"/>
  <c r="T316" i="1"/>
  <c r="AG316" i="1" s="1"/>
  <c r="L316" i="1"/>
  <c r="Y316" i="1" s="1"/>
  <c r="Q25" i="1"/>
  <c r="AD25" i="1" s="1"/>
  <c r="P25" i="1"/>
  <c r="AC25" i="1" s="1"/>
  <c r="O25" i="1"/>
  <c r="AB25" i="1" s="1"/>
  <c r="U25" i="1"/>
  <c r="AH25" i="1" s="1"/>
  <c r="M25" i="1"/>
  <c r="Z25" i="1" s="1"/>
  <c r="S25" i="1"/>
  <c r="AF25" i="1" s="1"/>
  <c r="K25" i="1"/>
  <c r="X25" i="1" s="1"/>
  <c r="N25" i="1"/>
  <c r="AA25" i="1" s="1"/>
  <c r="L25" i="1"/>
  <c r="Y25" i="1" s="1"/>
  <c r="T25" i="1"/>
  <c r="AG25" i="1" s="1"/>
  <c r="V25" i="1"/>
  <c r="AI25" i="1" s="1"/>
  <c r="R25" i="1"/>
  <c r="AE25" i="1" s="1"/>
  <c r="O232" i="1"/>
  <c r="AB232" i="1" s="1"/>
  <c r="U232" i="1"/>
  <c r="AH232" i="1" s="1"/>
  <c r="M232" i="1"/>
  <c r="Z232" i="1" s="1"/>
  <c r="S232" i="1"/>
  <c r="AF232" i="1" s="1"/>
  <c r="K232" i="1"/>
  <c r="X232" i="1" s="1"/>
  <c r="N232" i="1"/>
  <c r="AA232" i="1" s="1"/>
  <c r="L232" i="1"/>
  <c r="Y232" i="1" s="1"/>
  <c r="V232" i="1"/>
  <c r="AI232" i="1" s="1"/>
  <c r="T232" i="1"/>
  <c r="AG232" i="1" s="1"/>
  <c r="R232" i="1"/>
  <c r="AE232" i="1" s="1"/>
  <c r="P232" i="1"/>
  <c r="AC232" i="1" s="1"/>
  <c r="Q232" i="1"/>
  <c r="AD232" i="1" s="1"/>
  <c r="S235" i="1"/>
  <c r="AF235" i="1" s="1"/>
  <c r="K235" i="1"/>
  <c r="X235" i="1" s="1"/>
  <c r="Q235" i="1"/>
  <c r="AD235" i="1" s="1"/>
  <c r="O235" i="1"/>
  <c r="AB235" i="1" s="1"/>
  <c r="P235" i="1"/>
  <c r="AC235" i="1" s="1"/>
  <c r="N235" i="1"/>
  <c r="AA235" i="1" s="1"/>
  <c r="M235" i="1"/>
  <c r="Z235" i="1" s="1"/>
  <c r="L235" i="1"/>
  <c r="Y235" i="1" s="1"/>
  <c r="V235" i="1"/>
  <c r="AI235" i="1" s="1"/>
  <c r="U235" i="1"/>
  <c r="AH235" i="1" s="1"/>
  <c r="R235" i="1"/>
  <c r="AE235" i="1" s="1"/>
  <c r="T235" i="1"/>
  <c r="AG235" i="1" s="1"/>
  <c r="K1179" i="1"/>
  <c r="X1179" i="1" s="1"/>
  <c r="O1119" i="1"/>
  <c r="AB1119" i="1" s="1"/>
  <c r="L852" i="1"/>
  <c r="Y852" i="1" s="1"/>
  <c r="L1246" i="1"/>
  <c r="Y1246" i="1" s="1"/>
  <c r="Q1183" i="1"/>
  <c r="AD1183" i="1" s="1"/>
  <c r="K1216" i="1"/>
  <c r="X1216" i="1" s="1"/>
  <c r="M1184" i="1"/>
  <c r="Z1184" i="1" s="1"/>
  <c r="N1258" i="1"/>
  <c r="AA1258" i="1" s="1"/>
  <c r="L857" i="1"/>
  <c r="Y857" i="1" s="1"/>
  <c r="L892" i="1"/>
  <c r="Y892" i="1" s="1"/>
  <c r="M963" i="1"/>
  <c r="Z963" i="1" s="1"/>
  <c r="L932" i="1"/>
  <c r="Y932" i="1" s="1"/>
  <c r="L516" i="1"/>
  <c r="Y516" i="1" s="1"/>
  <c r="Q360" i="1"/>
  <c r="AD360" i="1" s="1"/>
  <c r="L114" i="1"/>
  <c r="Y114" i="1" s="1"/>
  <c r="R870" i="1"/>
  <c r="AE870" i="1" s="1"/>
  <c r="M807" i="1"/>
  <c r="Z807" i="1" s="1"/>
  <c r="O722" i="1"/>
  <c r="AB722" i="1" s="1"/>
  <c r="O378" i="1"/>
  <c r="AB378" i="1" s="1"/>
  <c r="K356" i="1"/>
  <c r="X356" i="1" s="1"/>
  <c r="L356" i="1"/>
  <c r="Y356" i="1" s="1"/>
  <c r="K293" i="1"/>
  <c r="X293" i="1" s="1"/>
  <c r="V285" i="1"/>
  <c r="AI285" i="1" s="1"/>
  <c r="N285" i="1"/>
  <c r="AA285" i="1" s="1"/>
  <c r="U285" i="1"/>
  <c r="AH285" i="1" s="1"/>
  <c r="M285" i="1"/>
  <c r="Z285" i="1" s="1"/>
  <c r="T285" i="1"/>
  <c r="AG285" i="1" s="1"/>
  <c r="L285" i="1"/>
  <c r="Y285" i="1" s="1"/>
  <c r="S285" i="1"/>
  <c r="AF285" i="1" s="1"/>
  <c r="K285" i="1"/>
  <c r="X285" i="1" s="1"/>
  <c r="R285" i="1"/>
  <c r="AE285" i="1" s="1"/>
  <c r="Q285" i="1"/>
  <c r="AD285" i="1" s="1"/>
  <c r="O285" i="1"/>
  <c r="AB285" i="1" s="1"/>
  <c r="P285" i="1"/>
  <c r="AC285" i="1" s="1"/>
  <c r="T1624" i="1"/>
  <c r="AG1624" i="1" s="1"/>
  <c r="L1624" i="1"/>
  <c r="Y1624" i="1" s="1"/>
  <c r="R1624" i="1"/>
  <c r="AE1624" i="1" s="1"/>
  <c r="Q1624" i="1"/>
  <c r="AD1624" i="1" s="1"/>
  <c r="O1624" i="1"/>
  <c r="AB1624" i="1" s="1"/>
  <c r="U1624" i="1"/>
  <c r="AH1624" i="1" s="1"/>
  <c r="M1624" i="1"/>
  <c r="Z1624" i="1" s="1"/>
  <c r="V1624" i="1"/>
  <c r="AI1624" i="1" s="1"/>
  <c r="S1624" i="1"/>
  <c r="AF1624" i="1" s="1"/>
  <c r="P1624" i="1"/>
  <c r="AC1624" i="1" s="1"/>
  <c r="K1624" i="1"/>
  <c r="X1624" i="1" s="1"/>
  <c r="N1624" i="1"/>
  <c r="AA1624" i="1" s="1"/>
  <c r="O1562" i="1"/>
  <c r="AB1562" i="1" s="1"/>
  <c r="V1562" i="1"/>
  <c r="AI1562" i="1" s="1"/>
  <c r="N1562" i="1"/>
  <c r="AA1562" i="1" s="1"/>
  <c r="U1562" i="1"/>
  <c r="AH1562" i="1" s="1"/>
  <c r="M1562" i="1"/>
  <c r="Z1562" i="1" s="1"/>
  <c r="T1562" i="1"/>
  <c r="AG1562" i="1" s="1"/>
  <c r="L1562" i="1"/>
  <c r="Y1562" i="1" s="1"/>
  <c r="R1562" i="1"/>
  <c r="AE1562" i="1" s="1"/>
  <c r="S1562" i="1"/>
  <c r="AF1562" i="1" s="1"/>
  <c r="Q1562" i="1"/>
  <c r="AD1562" i="1" s="1"/>
  <c r="P1562" i="1"/>
  <c r="AC1562" i="1" s="1"/>
  <c r="K1562" i="1"/>
  <c r="X1562" i="1" s="1"/>
  <c r="K1207" i="1"/>
  <c r="X1207" i="1" s="1"/>
  <c r="P1207" i="1"/>
  <c r="AC1207" i="1" s="1"/>
  <c r="L1317" i="1"/>
  <c r="Y1317" i="1" s="1"/>
  <c r="P1243" i="1"/>
  <c r="AC1243" i="1" s="1"/>
  <c r="Q971" i="1"/>
  <c r="AD971" i="1" s="1"/>
  <c r="L961" i="1"/>
  <c r="Y961" i="1" s="1"/>
  <c r="K803" i="1"/>
  <c r="X803" i="1" s="1"/>
  <c r="N716" i="1"/>
  <c r="AA716" i="1" s="1"/>
  <c r="Q168" i="1"/>
  <c r="AD168" i="1" s="1"/>
  <c r="O168" i="1"/>
  <c r="AB168" i="1" s="1"/>
  <c r="P208" i="1"/>
  <c r="AC208" i="1" s="1"/>
  <c r="O208" i="1"/>
  <c r="AB208" i="1" s="1"/>
  <c r="R170" i="1"/>
  <c r="AE170" i="1" s="1"/>
  <c r="T1131" i="1"/>
  <c r="AG1131" i="1" s="1"/>
  <c r="K1371" i="1"/>
  <c r="X1371" i="1" s="1"/>
  <c r="L767" i="1"/>
  <c r="Y767" i="1" s="1"/>
  <c r="Q767" i="1"/>
  <c r="AD767" i="1" s="1"/>
  <c r="M1117" i="1"/>
  <c r="Z1117" i="1" s="1"/>
  <c r="K1117" i="1"/>
  <c r="X1117" i="1" s="1"/>
  <c r="M117" i="1"/>
  <c r="Z117" i="1" s="1"/>
  <c r="O880" i="1"/>
  <c r="AB880" i="1" s="1"/>
  <c r="K845" i="1"/>
  <c r="X845" i="1" s="1"/>
  <c r="U352" i="1"/>
  <c r="AH352" i="1" s="1"/>
  <c r="P138" i="1"/>
  <c r="AC138" i="1" s="1"/>
  <c r="M138" i="1"/>
  <c r="Z138" i="1" s="1"/>
  <c r="Q868" i="1"/>
  <c r="AD868" i="1" s="1"/>
  <c r="M148" i="1"/>
  <c r="Z148" i="1" s="1"/>
  <c r="T1377" i="1"/>
  <c r="AG1377" i="1" s="1"/>
  <c r="L1053" i="1"/>
  <c r="Y1053" i="1" s="1"/>
  <c r="K765" i="1"/>
  <c r="X765" i="1" s="1"/>
  <c r="P144" i="1"/>
  <c r="AC144" i="1" s="1"/>
  <c r="M144" i="1"/>
  <c r="Z144" i="1" s="1"/>
  <c r="L1088" i="1"/>
  <c r="Y1088" i="1" s="1"/>
  <c r="M1231" i="1"/>
  <c r="Z1231" i="1" s="1"/>
  <c r="O740" i="1"/>
  <c r="AB740" i="1" s="1"/>
  <c r="L740" i="1"/>
  <c r="Y740" i="1" s="1"/>
  <c r="L115" i="1"/>
  <c r="Y115" i="1" s="1"/>
  <c r="O115" i="1"/>
  <c r="AB115" i="1" s="1"/>
  <c r="K403" i="1"/>
  <c r="X403" i="1" s="1"/>
  <c r="L1070" i="1"/>
  <c r="Y1070" i="1" s="1"/>
  <c r="L1318" i="1"/>
  <c r="Y1318" i="1" s="1"/>
  <c r="M1714" i="1"/>
  <c r="Z1714" i="1" s="1"/>
  <c r="Q1650" i="1"/>
  <c r="AD1650" i="1" s="1"/>
  <c r="M1709" i="1"/>
  <c r="Z1709" i="1" s="1"/>
  <c r="K1693" i="1"/>
  <c r="X1693" i="1" s="1"/>
  <c r="N1677" i="1"/>
  <c r="AA1677" i="1" s="1"/>
  <c r="L1677" i="1"/>
  <c r="Y1677" i="1" s="1"/>
  <c r="N1661" i="1"/>
  <c r="AA1661" i="1" s="1"/>
  <c r="L1613" i="1"/>
  <c r="Y1613" i="1" s="1"/>
  <c r="K1613" i="1"/>
  <c r="X1613" i="1" s="1"/>
  <c r="P1597" i="1"/>
  <c r="AC1597" i="1" s="1"/>
  <c r="O1581" i="1"/>
  <c r="AB1581" i="1" s="1"/>
  <c r="L1581" i="1"/>
  <c r="Y1581" i="1" s="1"/>
  <c r="P1610" i="1"/>
  <c r="AC1610" i="1" s="1"/>
  <c r="M1712" i="1"/>
  <c r="Z1712" i="1" s="1"/>
  <c r="S1664" i="1"/>
  <c r="AF1664" i="1" s="1"/>
  <c r="S1600" i="1"/>
  <c r="AF1600" i="1" s="1"/>
  <c r="N1600" i="1"/>
  <c r="AA1600" i="1" s="1"/>
  <c r="K1674" i="1"/>
  <c r="X1674" i="1" s="1"/>
  <c r="K1691" i="1"/>
  <c r="X1691" i="1" s="1"/>
  <c r="L1675" i="1"/>
  <c r="Y1675" i="1" s="1"/>
  <c r="O1611" i="1"/>
  <c r="AB1611" i="1" s="1"/>
  <c r="K1611" i="1"/>
  <c r="X1611" i="1" s="1"/>
  <c r="L1579" i="1"/>
  <c r="Y1579" i="1" s="1"/>
  <c r="T1261" i="1"/>
  <c r="AG1261" i="1" s="1"/>
  <c r="M1261" i="1"/>
  <c r="Z1261" i="1" s="1"/>
  <c r="Q1444" i="1"/>
  <c r="AD1444" i="1" s="1"/>
  <c r="N1444" i="1"/>
  <c r="AA1444" i="1" s="1"/>
  <c r="S1392" i="1"/>
  <c r="AF1392" i="1" s="1"/>
  <c r="K1217" i="1"/>
  <c r="X1217" i="1" s="1"/>
  <c r="O1217" i="1"/>
  <c r="AB1217" i="1" s="1"/>
  <c r="R1570" i="1"/>
  <c r="AE1570" i="1" s="1"/>
  <c r="S1522" i="1"/>
  <c r="AF1522" i="1" s="1"/>
  <c r="T1522" i="1"/>
  <c r="AG1522" i="1" s="1"/>
  <c r="L1506" i="1"/>
  <c r="Y1506" i="1" s="1"/>
  <c r="N1490" i="1"/>
  <c r="AA1490" i="1" s="1"/>
  <c r="L1474" i="1"/>
  <c r="Y1474" i="1" s="1"/>
  <c r="K1230" i="1"/>
  <c r="X1230" i="1" s="1"/>
  <c r="K1181" i="1"/>
  <c r="X1181" i="1" s="1"/>
  <c r="O1181" i="1"/>
  <c r="AB1181" i="1" s="1"/>
  <c r="L1096" i="1"/>
  <c r="Y1096" i="1" s="1"/>
  <c r="M1129" i="1"/>
  <c r="Z1129" i="1" s="1"/>
  <c r="K1129" i="1"/>
  <c r="X1129" i="1" s="1"/>
  <c r="U897" i="1"/>
  <c r="AH897" i="1" s="1"/>
  <c r="M897" i="1"/>
  <c r="Z897" i="1" s="1"/>
  <c r="R897" i="1"/>
  <c r="AE897" i="1" s="1"/>
  <c r="P897" i="1"/>
  <c r="AC897" i="1" s="1"/>
  <c r="L897" i="1"/>
  <c r="Y897" i="1" s="1"/>
  <c r="K897" i="1"/>
  <c r="X897" i="1" s="1"/>
  <c r="V897" i="1"/>
  <c r="AI897" i="1" s="1"/>
  <c r="T897" i="1"/>
  <c r="AG897" i="1" s="1"/>
  <c r="S897" i="1"/>
  <c r="AF897" i="1" s="1"/>
  <c r="Q897" i="1"/>
  <c r="AD897" i="1" s="1"/>
  <c r="N897" i="1"/>
  <c r="AA897" i="1" s="1"/>
  <c r="O897" i="1"/>
  <c r="AB897" i="1" s="1"/>
  <c r="L898" i="1"/>
  <c r="Y898" i="1" s="1"/>
  <c r="K953" i="1"/>
  <c r="X953" i="1" s="1"/>
  <c r="L937" i="1"/>
  <c r="Y937" i="1" s="1"/>
  <c r="L825" i="1"/>
  <c r="Y825" i="1" s="1"/>
  <c r="N931" i="1"/>
  <c r="AA931" i="1" s="1"/>
  <c r="L839" i="1"/>
  <c r="Y839" i="1" s="1"/>
  <c r="K474" i="1"/>
  <c r="X474" i="1" s="1"/>
  <c r="K159" i="1"/>
  <c r="X159" i="1" s="1"/>
  <c r="M165" i="1"/>
  <c r="Z165" i="1" s="1"/>
  <c r="R183" i="1"/>
  <c r="AE183" i="1" s="1"/>
  <c r="K183" i="1"/>
  <c r="X183" i="1" s="1"/>
  <c r="Q66" i="1"/>
  <c r="AD66" i="1" s="1"/>
  <c r="N66" i="1"/>
  <c r="AA66" i="1" s="1"/>
  <c r="L150" i="1"/>
  <c r="Y150" i="1" s="1"/>
  <c r="N422" i="1"/>
  <c r="AA422" i="1" s="1"/>
  <c r="V498" i="1"/>
  <c r="AI498" i="1" s="1"/>
  <c r="N498" i="1"/>
  <c r="AA498" i="1" s="1"/>
  <c r="T498" i="1"/>
  <c r="AG498" i="1" s="1"/>
  <c r="L498" i="1"/>
  <c r="Y498" i="1" s="1"/>
  <c r="S498" i="1"/>
  <c r="AF498" i="1" s="1"/>
  <c r="K498" i="1"/>
  <c r="X498" i="1" s="1"/>
  <c r="R498" i="1"/>
  <c r="AE498" i="1" s="1"/>
  <c r="Q498" i="1"/>
  <c r="AD498" i="1" s="1"/>
  <c r="O498" i="1"/>
  <c r="AB498" i="1" s="1"/>
  <c r="U498" i="1"/>
  <c r="AH498" i="1" s="1"/>
  <c r="P498" i="1"/>
  <c r="AC498" i="1" s="1"/>
  <c r="M498" i="1"/>
  <c r="Z498" i="1" s="1"/>
  <c r="S416" i="1"/>
  <c r="AF416" i="1" s="1"/>
  <c r="S24" i="1"/>
  <c r="AF24" i="1" s="1"/>
  <c r="P1334" i="1"/>
  <c r="AC1334" i="1" s="1"/>
  <c r="M1313" i="1"/>
  <c r="Z1313" i="1" s="1"/>
  <c r="N1373" i="1"/>
  <c r="AA1373" i="1" s="1"/>
  <c r="N7" i="1"/>
  <c r="AA7" i="1" s="1"/>
  <c r="M369" i="1"/>
  <c r="Z369" i="1" s="1"/>
  <c r="P1285" i="1"/>
  <c r="AC1285" i="1" s="1"/>
  <c r="N1285" i="1"/>
  <c r="AA1285" i="1" s="1"/>
  <c r="N532" i="1"/>
  <c r="AA532" i="1" s="1"/>
  <c r="P1084" i="1"/>
  <c r="AC1084" i="1" s="1"/>
  <c r="O1084" i="1"/>
  <c r="AB1084" i="1" s="1"/>
  <c r="V1084" i="1"/>
  <c r="AI1084" i="1" s="1"/>
  <c r="N1084" i="1"/>
  <c r="AA1084" i="1" s="1"/>
  <c r="U1084" i="1"/>
  <c r="AH1084" i="1" s="1"/>
  <c r="M1084" i="1"/>
  <c r="Z1084" i="1" s="1"/>
  <c r="T1084" i="1"/>
  <c r="AG1084" i="1" s="1"/>
  <c r="L1084" i="1"/>
  <c r="Y1084" i="1" s="1"/>
  <c r="S1084" i="1"/>
  <c r="AF1084" i="1" s="1"/>
  <c r="K1084" i="1"/>
  <c r="X1084" i="1" s="1"/>
  <c r="R1084" i="1"/>
  <c r="AE1084" i="1" s="1"/>
  <c r="Q1084" i="1"/>
  <c r="AD1084" i="1" s="1"/>
  <c r="L1240" i="1"/>
  <c r="Y1240" i="1" s="1"/>
  <c r="Q401" i="1"/>
  <c r="AD401" i="1" s="1"/>
  <c r="R401" i="1"/>
  <c r="AE401" i="1" s="1"/>
  <c r="N1353" i="1"/>
  <c r="AA1353" i="1" s="1"/>
  <c r="L1254" i="1"/>
  <c r="Y1254" i="1" s="1"/>
  <c r="S1273" i="1"/>
  <c r="AF1273" i="1" s="1"/>
  <c r="R71" i="1"/>
  <c r="AE71" i="1" s="1"/>
  <c r="Q71" i="1"/>
  <c r="AD71" i="1" s="1"/>
  <c r="P71" i="1"/>
  <c r="AC71" i="1" s="1"/>
  <c r="O71" i="1"/>
  <c r="AB71" i="1" s="1"/>
  <c r="V71" i="1"/>
  <c r="AI71" i="1" s="1"/>
  <c r="N71" i="1"/>
  <c r="AA71" i="1" s="1"/>
  <c r="U71" i="1"/>
  <c r="AH71" i="1" s="1"/>
  <c r="M71" i="1"/>
  <c r="Z71" i="1" s="1"/>
  <c r="S71" i="1"/>
  <c r="AF71" i="1" s="1"/>
  <c r="K71" i="1"/>
  <c r="X71" i="1" s="1"/>
  <c r="T71" i="1"/>
  <c r="AG71" i="1" s="1"/>
  <c r="L71" i="1"/>
  <c r="Y71" i="1" s="1"/>
  <c r="L1350" i="1"/>
  <c r="Y1350" i="1" s="1"/>
  <c r="M1350" i="1"/>
  <c r="Z1350" i="1" s="1"/>
  <c r="M1054" i="1"/>
  <c r="Z1054" i="1" s="1"/>
  <c r="L827" i="1"/>
  <c r="Y827" i="1" s="1"/>
  <c r="P804" i="1"/>
  <c r="AC804" i="1" s="1"/>
  <c r="N703" i="1"/>
  <c r="AA703" i="1" s="1"/>
  <c r="Q703" i="1"/>
  <c r="AD703" i="1" s="1"/>
  <c r="K701" i="1"/>
  <c r="X701" i="1" s="1"/>
  <c r="O701" i="1"/>
  <c r="AB701" i="1" s="1"/>
  <c r="P520" i="1"/>
  <c r="AC520" i="1" s="1"/>
  <c r="Q520" i="1"/>
  <c r="AD520" i="1" s="1"/>
  <c r="M202" i="1"/>
  <c r="Z202" i="1" s="1"/>
  <c r="R27" i="1"/>
  <c r="AE27" i="1" s="1"/>
  <c r="O27" i="1"/>
  <c r="AB27" i="1" s="1"/>
  <c r="M831" i="1"/>
  <c r="Z831" i="1" s="1"/>
  <c r="R648" i="1"/>
  <c r="AE648" i="1" s="1"/>
  <c r="N695" i="1"/>
  <c r="AA695" i="1" s="1"/>
  <c r="R478" i="1"/>
  <c r="AE478" i="1" s="1"/>
  <c r="M244" i="1"/>
  <c r="Z244" i="1" s="1"/>
  <c r="O269" i="1"/>
  <c r="AB269" i="1" s="1"/>
  <c r="P155" i="1"/>
  <c r="AC155" i="1" s="1"/>
  <c r="M181" i="1"/>
  <c r="Z181" i="1" s="1"/>
  <c r="Q181" i="1"/>
  <c r="AD181" i="1" s="1"/>
  <c r="L337" i="1"/>
  <c r="Y337" i="1" s="1"/>
  <c r="R1704" i="1"/>
  <c r="AE1704" i="1" s="1"/>
  <c r="Q1704" i="1"/>
  <c r="AD1704" i="1" s="1"/>
  <c r="P1704" i="1"/>
  <c r="AC1704" i="1" s="1"/>
  <c r="O1704" i="1"/>
  <c r="AB1704" i="1" s="1"/>
  <c r="V1704" i="1"/>
  <c r="AI1704" i="1" s="1"/>
  <c r="N1704" i="1"/>
  <c r="AA1704" i="1" s="1"/>
  <c r="U1704" i="1"/>
  <c r="AH1704" i="1" s="1"/>
  <c r="M1704" i="1"/>
  <c r="Z1704" i="1" s="1"/>
  <c r="T1704" i="1"/>
  <c r="AG1704" i="1" s="1"/>
  <c r="L1704" i="1"/>
  <c r="Y1704" i="1" s="1"/>
  <c r="S1704" i="1"/>
  <c r="AF1704" i="1" s="1"/>
  <c r="K1704" i="1"/>
  <c r="X1704" i="1" s="1"/>
  <c r="P1308" i="1"/>
  <c r="AC1308" i="1" s="1"/>
  <c r="T1451" i="1"/>
  <c r="AG1451" i="1" s="1"/>
  <c r="L1451" i="1"/>
  <c r="Y1451" i="1" s="1"/>
  <c r="S1451" i="1"/>
  <c r="AF1451" i="1" s="1"/>
  <c r="K1451" i="1"/>
  <c r="X1451" i="1" s="1"/>
  <c r="R1451" i="1"/>
  <c r="AE1451" i="1" s="1"/>
  <c r="Q1451" i="1"/>
  <c r="AD1451" i="1" s="1"/>
  <c r="P1451" i="1"/>
  <c r="AC1451" i="1" s="1"/>
  <c r="O1451" i="1"/>
  <c r="AB1451" i="1" s="1"/>
  <c r="V1451" i="1"/>
  <c r="AI1451" i="1" s="1"/>
  <c r="U1451" i="1"/>
  <c r="AH1451" i="1" s="1"/>
  <c r="N1451" i="1"/>
  <c r="AA1451" i="1" s="1"/>
  <c r="M1451" i="1"/>
  <c r="Z1451" i="1" s="1"/>
  <c r="T950" i="1"/>
  <c r="AG950" i="1" s="1"/>
  <c r="N1072" i="1"/>
  <c r="AA1072" i="1" s="1"/>
  <c r="R738" i="1"/>
  <c r="AE738" i="1" s="1"/>
  <c r="L395" i="1"/>
  <c r="Y395" i="1" s="1"/>
  <c r="K110" i="1"/>
  <c r="X110" i="1" s="1"/>
  <c r="K1220" i="1"/>
  <c r="X1220" i="1" s="1"/>
  <c r="M1223" i="1"/>
  <c r="Z1223" i="1" s="1"/>
  <c r="K1095" i="1"/>
  <c r="X1095" i="1" s="1"/>
  <c r="K707" i="1"/>
  <c r="X707" i="1" s="1"/>
  <c r="K1199" i="1"/>
  <c r="X1199" i="1" s="1"/>
  <c r="K1196" i="1"/>
  <c r="X1196" i="1" s="1"/>
  <c r="S895" i="1"/>
  <c r="AF895" i="1" s="1"/>
  <c r="K761" i="1"/>
  <c r="X761" i="1" s="1"/>
  <c r="N708" i="1"/>
  <c r="AA708" i="1" s="1"/>
  <c r="L347" i="1"/>
  <c r="Y347" i="1" s="1"/>
  <c r="N347" i="1"/>
  <c r="AA347" i="1" s="1"/>
  <c r="K104" i="1"/>
  <c r="X104" i="1" s="1"/>
  <c r="T1107" i="1"/>
  <c r="AG1107" i="1" s="1"/>
  <c r="L1107" i="1"/>
  <c r="Y1107" i="1" s="1"/>
  <c r="S1107" i="1"/>
  <c r="AF1107" i="1" s="1"/>
  <c r="K1107" i="1"/>
  <c r="X1107" i="1" s="1"/>
  <c r="R1107" i="1"/>
  <c r="AE1107" i="1" s="1"/>
  <c r="Q1107" i="1"/>
  <c r="AD1107" i="1" s="1"/>
  <c r="P1107" i="1"/>
  <c r="AC1107" i="1" s="1"/>
  <c r="O1107" i="1"/>
  <c r="AB1107" i="1" s="1"/>
  <c r="V1107" i="1"/>
  <c r="AI1107" i="1" s="1"/>
  <c r="N1107" i="1"/>
  <c r="AA1107" i="1" s="1"/>
  <c r="M1107" i="1"/>
  <c r="Z1107" i="1" s="1"/>
  <c r="U1107" i="1"/>
  <c r="AH1107" i="1" s="1"/>
  <c r="L1325" i="1"/>
  <c r="Y1325" i="1" s="1"/>
  <c r="T1312" i="1"/>
  <c r="AG1312" i="1" s="1"/>
  <c r="R1312" i="1"/>
  <c r="AE1312" i="1" s="1"/>
  <c r="K890" i="1"/>
  <c r="X890" i="1" s="1"/>
  <c r="N890" i="1"/>
  <c r="AA890" i="1" s="1"/>
  <c r="T222" i="1"/>
  <c r="AG222" i="1" s="1"/>
  <c r="M222" i="1"/>
  <c r="Z222" i="1" s="1"/>
  <c r="P1297" i="1"/>
  <c r="AC1297" i="1" s="1"/>
  <c r="M374" i="1"/>
  <c r="Z374" i="1" s="1"/>
  <c r="T1326" i="1"/>
  <c r="AG1326" i="1" s="1"/>
  <c r="R1326" i="1"/>
  <c r="AE1326" i="1" s="1"/>
  <c r="N1321" i="1"/>
  <c r="AA1321" i="1" s="1"/>
  <c r="N1567" i="1"/>
  <c r="AA1567" i="1" s="1"/>
  <c r="N1535" i="1"/>
  <c r="AA1535" i="1" s="1"/>
  <c r="N1519" i="1"/>
  <c r="AA1519" i="1" s="1"/>
  <c r="P1503" i="1"/>
  <c r="AC1503" i="1" s="1"/>
  <c r="P1453" i="1"/>
  <c r="AC1453" i="1" s="1"/>
  <c r="O1437" i="1"/>
  <c r="AB1437" i="1" s="1"/>
  <c r="T1429" i="1"/>
  <c r="AG1429" i="1" s="1"/>
  <c r="R1429" i="1"/>
  <c r="AE1429" i="1" s="1"/>
  <c r="L1307" i="1"/>
  <c r="Y1307" i="1" s="1"/>
  <c r="L1323" i="1"/>
  <c r="Y1323" i="1" s="1"/>
  <c r="O1283" i="1"/>
  <c r="AB1283" i="1" s="1"/>
  <c r="R1118" i="1"/>
  <c r="AE1118" i="1" s="1"/>
  <c r="M865" i="1"/>
  <c r="Z865" i="1" s="1"/>
  <c r="R1080" i="1"/>
  <c r="AE1080" i="1" s="1"/>
  <c r="N929" i="1"/>
  <c r="AA929" i="1" s="1"/>
  <c r="L212" i="1"/>
  <c r="Y212" i="1" s="1"/>
  <c r="N240" i="1"/>
  <c r="AA240" i="1" s="1"/>
  <c r="O283" i="1"/>
  <c r="AB283" i="1" s="1"/>
  <c r="N189" i="1"/>
  <c r="AA189" i="1" s="1"/>
  <c r="Q26" i="1"/>
  <c r="AD26" i="1" s="1"/>
  <c r="P10" i="1"/>
  <c r="AC10" i="1" s="1"/>
  <c r="Q1586" i="1"/>
  <c r="AD1586" i="1" s="1"/>
  <c r="P1586" i="1"/>
  <c r="AC1586" i="1" s="1"/>
  <c r="O1586" i="1"/>
  <c r="AB1586" i="1" s="1"/>
  <c r="V1586" i="1"/>
  <c r="AI1586" i="1" s="1"/>
  <c r="N1586" i="1"/>
  <c r="AA1586" i="1" s="1"/>
  <c r="U1586" i="1"/>
  <c r="AH1586" i="1" s="1"/>
  <c r="M1586" i="1"/>
  <c r="Z1586" i="1" s="1"/>
  <c r="T1586" i="1"/>
  <c r="AG1586" i="1" s="1"/>
  <c r="L1586" i="1"/>
  <c r="Y1586" i="1" s="1"/>
  <c r="R1586" i="1"/>
  <c r="AE1586" i="1" s="1"/>
  <c r="S1586" i="1"/>
  <c r="AF1586" i="1" s="1"/>
  <c r="K1586" i="1"/>
  <c r="X1586" i="1" s="1"/>
  <c r="K1092" i="1"/>
  <c r="X1092" i="1" s="1"/>
  <c r="R936" i="1"/>
  <c r="AE936" i="1" s="1"/>
  <c r="L1364" i="1"/>
  <c r="Y1364" i="1" s="1"/>
  <c r="L942" i="1"/>
  <c r="Y942" i="1" s="1"/>
  <c r="K514" i="1"/>
  <c r="X514" i="1" s="1"/>
  <c r="N469" i="1"/>
  <c r="AA469" i="1" s="1"/>
  <c r="K467" i="1"/>
  <c r="X467" i="1" s="1"/>
  <c r="R467" i="1"/>
  <c r="AE467" i="1" s="1"/>
  <c r="R349" i="1"/>
  <c r="AE349" i="1" s="1"/>
  <c r="O339" i="1"/>
  <c r="AB339" i="1" s="1"/>
  <c r="R339" i="1"/>
  <c r="AE339" i="1" s="1"/>
  <c r="K1345" i="1"/>
  <c r="X1345" i="1" s="1"/>
  <c r="V140" i="1"/>
  <c r="AI140" i="1" s="1"/>
  <c r="N140" i="1"/>
  <c r="AA140" i="1" s="1"/>
  <c r="U140" i="1"/>
  <c r="AH140" i="1" s="1"/>
  <c r="M140" i="1"/>
  <c r="Z140" i="1" s="1"/>
  <c r="T140" i="1"/>
  <c r="AG140" i="1" s="1"/>
  <c r="L140" i="1"/>
  <c r="Y140" i="1" s="1"/>
  <c r="S140" i="1"/>
  <c r="AF140" i="1" s="1"/>
  <c r="K140" i="1"/>
  <c r="X140" i="1" s="1"/>
  <c r="R140" i="1"/>
  <c r="AE140" i="1" s="1"/>
  <c r="Q140" i="1"/>
  <c r="AD140" i="1" s="1"/>
  <c r="O140" i="1"/>
  <c r="AB140" i="1" s="1"/>
  <c r="P140" i="1"/>
  <c r="AC140" i="1" s="1"/>
  <c r="N1280" i="1"/>
  <c r="AA1280" i="1" s="1"/>
  <c r="M1111" i="1"/>
  <c r="Z1111" i="1" s="1"/>
  <c r="K1111" i="1"/>
  <c r="X1111" i="1" s="1"/>
  <c r="O736" i="1"/>
  <c r="AB736" i="1" s="1"/>
  <c r="L736" i="1"/>
  <c r="Y736" i="1" s="1"/>
  <c r="L528" i="1"/>
  <c r="Y528" i="1" s="1"/>
  <c r="K136" i="1"/>
  <c r="X136" i="1" s="1"/>
  <c r="L413" i="1"/>
  <c r="Y413" i="1" s="1"/>
  <c r="K397" i="1"/>
  <c r="X397" i="1" s="1"/>
  <c r="Q1366" i="1"/>
  <c r="AD1366" i="1" s="1"/>
  <c r="V1206" i="1"/>
  <c r="AI1206" i="1" s="1"/>
  <c r="N1206" i="1"/>
  <c r="AA1206" i="1" s="1"/>
  <c r="U1206" i="1"/>
  <c r="AH1206" i="1" s="1"/>
  <c r="M1206" i="1"/>
  <c r="Z1206" i="1" s="1"/>
  <c r="T1206" i="1"/>
  <c r="AG1206" i="1" s="1"/>
  <c r="L1206" i="1"/>
  <c r="Y1206" i="1" s="1"/>
  <c r="S1206" i="1"/>
  <c r="AF1206" i="1" s="1"/>
  <c r="K1206" i="1"/>
  <c r="X1206" i="1" s="1"/>
  <c r="R1206" i="1"/>
  <c r="AE1206" i="1" s="1"/>
  <c r="Q1206" i="1"/>
  <c r="AD1206" i="1" s="1"/>
  <c r="P1206" i="1"/>
  <c r="AC1206" i="1" s="1"/>
  <c r="O1206" i="1"/>
  <c r="AB1206" i="1" s="1"/>
  <c r="K1293" i="1"/>
  <c r="X1293" i="1" s="1"/>
  <c r="Q1222" i="1"/>
  <c r="AD1222" i="1" s="1"/>
  <c r="N1222" i="1"/>
  <c r="AA1222" i="1" s="1"/>
  <c r="N1242" i="1"/>
  <c r="AA1242" i="1" s="1"/>
  <c r="K1360" i="1"/>
  <c r="X1360" i="1" s="1"/>
  <c r="L1215" i="1"/>
  <c r="Y1215" i="1" s="1"/>
  <c r="O1536" i="1"/>
  <c r="AB1536" i="1" s="1"/>
  <c r="V1536" i="1"/>
  <c r="AI1536" i="1" s="1"/>
  <c r="N1536" i="1"/>
  <c r="AA1536" i="1" s="1"/>
  <c r="U1536" i="1"/>
  <c r="AH1536" i="1" s="1"/>
  <c r="M1536" i="1"/>
  <c r="Z1536" i="1" s="1"/>
  <c r="T1536" i="1"/>
  <c r="AG1536" i="1" s="1"/>
  <c r="L1536" i="1"/>
  <c r="Y1536" i="1" s="1"/>
  <c r="R1536" i="1"/>
  <c r="AE1536" i="1" s="1"/>
  <c r="Q1536" i="1"/>
  <c r="AD1536" i="1" s="1"/>
  <c r="P1536" i="1"/>
  <c r="AC1536" i="1" s="1"/>
  <c r="K1536" i="1"/>
  <c r="X1536" i="1" s="1"/>
  <c r="S1536" i="1"/>
  <c r="AF1536" i="1" s="1"/>
  <c r="L958" i="1"/>
  <c r="Y958" i="1" s="1"/>
  <c r="K958" i="1"/>
  <c r="X958" i="1" s="1"/>
  <c r="K944" i="1"/>
  <c r="X944" i="1" s="1"/>
  <c r="K849" i="1"/>
  <c r="X849" i="1" s="1"/>
  <c r="K882" i="1"/>
  <c r="X882" i="1" s="1"/>
  <c r="M1048" i="1"/>
  <c r="Z1048" i="1" s="1"/>
  <c r="R975" i="1"/>
  <c r="AE975" i="1" s="1"/>
  <c r="N826" i="1"/>
  <c r="AA826" i="1" s="1"/>
  <c r="N724" i="1"/>
  <c r="AA724" i="1" s="1"/>
  <c r="M737" i="1"/>
  <c r="Z737" i="1" s="1"/>
  <c r="M698" i="1"/>
  <c r="Z698" i="1" s="1"/>
  <c r="O475" i="1"/>
  <c r="AB475" i="1" s="1"/>
  <c r="L463" i="1"/>
  <c r="Y463" i="1" s="1"/>
  <c r="O463" i="1"/>
  <c r="AB463" i="1" s="1"/>
  <c r="L272" i="1"/>
  <c r="Y272" i="1" s="1"/>
  <c r="O272" i="1"/>
  <c r="AB272" i="1" s="1"/>
  <c r="O1244" i="1"/>
  <c r="AB1244" i="1" s="1"/>
  <c r="M1244" i="1"/>
  <c r="Z1244" i="1" s="1"/>
  <c r="N650" i="1"/>
  <c r="AA650" i="1" s="1"/>
  <c r="M1073" i="1"/>
  <c r="Z1073" i="1" s="1"/>
  <c r="K1073" i="1"/>
  <c r="X1073" i="1" s="1"/>
  <c r="S1336" i="1"/>
  <c r="AF1336" i="1" s="1"/>
  <c r="K1336" i="1"/>
  <c r="X1336" i="1" s="1"/>
  <c r="R1336" i="1"/>
  <c r="AE1336" i="1" s="1"/>
  <c r="Q1336" i="1"/>
  <c r="AD1336" i="1" s="1"/>
  <c r="P1336" i="1"/>
  <c r="AC1336" i="1" s="1"/>
  <c r="O1336" i="1"/>
  <c r="AB1336" i="1" s="1"/>
  <c r="V1336" i="1"/>
  <c r="AI1336" i="1" s="1"/>
  <c r="N1336" i="1"/>
  <c r="AA1336" i="1" s="1"/>
  <c r="U1336" i="1"/>
  <c r="AH1336" i="1" s="1"/>
  <c r="M1336" i="1"/>
  <c r="Z1336" i="1" s="1"/>
  <c r="L1336" i="1"/>
  <c r="Y1336" i="1" s="1"/>
  <c r="T1336" i="1"/>
  <c r="AG1336" i="1" s="1"/>
  <c r="S1301" i="1"/>
  <c r="AF1301" i="1" s="1"/>
  <c r="Q1210" i="1"/>
  <c r="AD1210" i="1" s="1"/>
  <c r="N1210" i="1"/>
  <c r="AA1210" i="1" s="1"/>
  <c r="N1235" i="1"/>
  <c r="AA1235" i="1" s="1"/>
  <c r="N1099" i="1"/>
  <c r="AA1099" i="1" s="1"/>
  <c r="L1099" i="1"/>
  <c r="Y1099" i="1" s="1"/>
  <c r="M832" i="1"/>
  <c r="Z832" i="1" s="1"/>
  <c r="L1194" i="1"/>
  <c r="Y1194" i="1" s="1"/>
  <c r="N1113" i="1"/>
  <c r="AA1113" i="1" s="1"/>
  <c r="L1113" i="1"/>
  <c r="Y1113" i="1" s="1"/>
  <c r="Q1614" i="1"/>
  <c r="AD1614" i="1" s="1"/>
  <c r="O1614" i="1"/>
  <c r="AB1614" i="1" s="1"/>
  <c r="U1614" i="1"/>
  <c r="AH1614" i="1" s="1"/>
  <c r="S1614" i="1"/>
  <c r="AF1614" i="1" s="1"/>
  <c r="R1614" i="1"/>
  <c r="AE1614" i="1" s="1"/>
  <c r="P1614" i="1"/>
  <c r="AC1614" i="1" s="1"/>
  <c r="N1614" i="1"/>
  <c r="AA1614" i="1" s="1"/>
  <c r="M1614" i="1"/>
  <c r="Z1614" i="1" s="1"/>
  <c r="L1614" i="1"/>
  <c r="Y1614" i="1" s="1"/>
  <c r="T1614" i="1"/>
  <c r="AG1614" i="1" s="1"/>
  <c r="V1614" i="1"/>
  <c r="AI1614" i="1" s="1"/>
  <c r="K1614" i="1"/>
  <c r="X1614" i="1" s="1"/>
  <c r="S1545" i="1"/>
  <c r="AF1545" i="1" s="1"/>
  <c r="K1545" i="1"/>
  <c r="X1545" i="1" s="1"/>
  <c r="R1545" i="1"/>
  <c r="AE1545" i="1" s="1"/>
  <c r="Q1545" i="1"/>
  <c r="AD1545" i="1" s="1"/>
  <c r="P1545" i="1"/>
  <c r="AC1545" i="1" s="1"/>
  <c r="V1545" i="1"/>
  <c r="AI1545" i="1" s="1"/>
  <c r="N1545" i="1"/>
  <c r="AA1545" i="1" s="1"/>
  <c r="O1545" i="1"/>
  <c r="AB1545" i="1" s="1"/>
  <c r="M1545" i="1"/>
  <c r="Z1545" i="1" s="1"/>
  <c r="L1545" i="1"/>
  <c r="Y1545" i="1" s="1"/>
  <c r="U1545" i="1"/>
  <c r="AH1545" i="1" s="1"/>
  <c r="T1545" i="1"/>
  <c r="AG1545" i="1" s="1"/>
  <c r="S1403" i="1"/>
  <c r="AF1403" i="1" s="1"/>
  <c r="K1403" i="1"/>
  <c r="X1403" i="1" s="1"/>
  <c r="R1403" i="1"/>
  <c r="AE1403" i="1" s="1"/>
  <c r="Q1403" i="1"/>
  <c r="AD1403" i="1" s="1"/>
  <c r="P1403" i="1"/>
  <c r="AC1403" i="1" s="1"/>
  <c r="O1403" i="1"/>
  <c r="AB1403" i="1" s="1"/>
  <c r="V1403" i="1"/>
  <c r="AI1403" i="1" s="1"/>
  <c r="N1403" i="1"/>
  <c r="AA1403" i="1" s="1"/>
  <c r="U1403" i="1"/>
  <c r="AH1403" i="1" s="1"/>
  <c r="M1403" i="1"/>
  <c r="Z1403" i="1" s="1"/>
  <c r="T1403" i="1"/>
  <c r="AG1403" i="1" s="1"/>
  <c r="L1403" i="1"/>
  <c r="Y1403" i="1" s="1"/>
  <c r="L945" i="1"/>
  <c r="Y945" i="1" s="1"/>
  <c r="M1151" i="1"/>
  <c r="Z1151" i="1" s="1"/>
  <c r="K1151" i="1"/>
  <c r="X1151" i="1" s="1"/>
  <c r="R894" i="1"/>
  <c r="AE894" i="1" s="1"/>
  <c r="K729" i="1"/>
  <c r="X729" i="1" s="1"/>
  <c r="S481" i="1"/>
  <c r="AF481" i="1" s="1"/>
  <c r="P90" i="1"/>
  <c r="AC90" i="1" s="1"/>
  <c r="M90" i="1"/>
  <c r="Z90" i="1" s="1"/>
  <c r="L1058" i="1"/>
  <c r="Y1058" i="1" s="1"/>
  <c r="Q1105" i="1"/>
  <c r="AD1105" i="1" s="1"/>
  <c r="P1296" i="1"/>
  <c r="AC1296" i="1" s="1"/>
  <c r="Q1296" i="1"/>
  <c r="AD1296" i="1" s="1"/>
  <c r="N885" i="1"/>
  <c r="AA885" i="1" s="1"/>
  <c r="K888" i="1"/>
  <c r="X888" i="1" s="1"/>
  <c r="Q1218" i="1"/>
  <c r="AD1218" i="1" s="1"/>
  <c r="N1218" i="1"/>
  <c r="AA1218" i="1" s="1"/>
  <c r="N1234" i="1"/>
  <c r="AA1234" i="1" s="1"/>
  <c r="K1255" i="1"/>
  <c r="X1255" i="1" s="1"/>
  <c r="K1158" i="1"/>
  <c r="X1158" i="1" s="1"/>
  <c r="O1158" i="1"/>
  <c r="AB1158" i="1" s="1"/>
  <c r="Q387" i="1"/>
  <c r="AD387" i="1" s="1"/>
  <c r="M1365" i="1"/>
  <c r="Z1365" i="1" s="1"/>
  <c r="O1299" i="1"/>
  <c r="AB1299" i="1" s="1"/>
  <c r="R1130" i="1"/>
  <c r="AE1130" i="1" s="1"/>
  <c r="N1533" i="1"/>
  <c r="AA1533" i="1" s="1"/>
  <c r="L1404" i="1"/>
  <c r="Y1404" i="1" s="1"/>
  <c r="M1574" i="1"/>
  <c r="Z1574" i="1" s="1"/>
  <c r="P1558" i="1"/>
  <c r="AC1558" i="1" s="1"/>
  <c r="N1558" i="1"/>
  <c r="AA1558" i="1" s="1"/>
  <c r="L1542" i="1"/>
  <c r="Y1542" i="1" s="1"/>
  <c r="R1494" i="1"/>
  <c r="AE1494" i="1" s="1"/>
  <c r="T1339" i="1"/>
  <c r="AG1339" i="1" s="1"/>
  <c r="L1309" i="1"/>
  <c r="Y1309" i="1" s="1"/>
  <c r="L1294" i="1"/>
  <c r="Y1294" i="1" s="1"/>
  <c r="O1294" i="1"/>
  <c r="AB1294" i="1" s="1"/>
  <c r="L1361" i="1"/>
  <c r="Y1361" i="1" s="1"/>
  <c r="O1361" i="1"/>
  <c r="AB1361" i="1" s="1"/>
  <c r="S1157" i="1"/>
  <c r="AF1157" i="1" s="1"/>
  <c r="O934" i="1"/>
  <c r="AB934" i="1" s="1"/>
  <c r="M1145" i="1"/>
  <c r="Z1145" i="1" s="1"/>
  <c r="K1145" i="1"/>
  <c r="X1145" i="1" s="1"/>
  <c r="L954" i="1"/>
  <c r="Y954" i="1" s="1"/>
  <c r="O866" i="1"/>
  <c r="AB866" i="1" s="1"/>
  <c r="L866" i="1"/>
  <c r="Y866" i="1" s="1"/>
  <c r="L844" i="1"/>
  <c r="Y844" i="1" s="1"/>
  <c r="S1064" i="1"/>
  <c r="AF1064" i="1" s="1"/>
  <c r="K1040" i="1"/>
  <c r="X1040" i="1" s="1"/>
  <c r="K1024" i="1"/>
  <c r="X1024" i="1" s="1"/>
  <c r="K1008" i="1"/>
  <c r="X1008" i="1" s="1"/>
  <c r="O1000" i="1"/>
  <c r="AB1000" i="1" s="1"/>
  <c r="K992" i="1"/>
  <c r="X992" i="1" s="1"/>
  <c r="Q754" i="1"/>
  <c r="AD754" i="1" s="1"/>
  <c r="K933" i="1"/>
  <c r="X933" i="1" s="1"/>
  <c r="Q828" i="1"/>
  <c r="AD828" i="1" s="1"/>
  <c r="K815" i="1"/>
  <c r="X815" i="1" s="1"/>
  <c r="U624" i="1"/>
  <c r="AH624" i="1" s="1"/>
  <c r="Q624" i="1"/>
  <c r="AD624" i="1" s="1"/>
  <c r="N608" i="1"/>
  <c r="AA608" i="1" s="1"/>
  <c r="M700" i="1"/>
  <c r="Z700" i="1" s="1"/>
  <c r="Q700" i="1"/>
  <c r="AD700" i="1" s="1"/>
  <c r="K749" i="1"/>
  <c r="X749" i="1" s="1"/>
  <c r="Q456" i="1"/>
  <c r="AD456" i="1" s="1"/>
  <c r="L461" i="1"/>
  <c r="Y461" i="1" s="1"/>
  <c r="K473" i="1"/>
  <c r="X473" i="1" s="1"/>
  <c r="N370" i="1"/>
  <c r="AA370" i="1" s="1"/>
  <c r="M345" i="1"/>
  <c r="Z345" i="1" s="1"/>
  <c r="K260" i="1"/>
  <c r="X260" i="1" s="1"/>
  <c r="Q260" i="1"/>
  <c r="AD260" i="1" s="1"/>
  <c r="M233" i="1"/>
  <c r="Z233" i="1" s="1"/>
  <c r="K246" i="1"/>
  <c r="X246" i="1" s="1"/>
  <c r="Q246" i="1"/>
  <c r="AD246" i="1" s="1"/>
  <c r="L277" i="1"/>
  <c r="Y277" i="1" s="1"/>
  <c r="K256" i="1"/>
  <c r="X256" i="1" s="1"/>
  <c r="Q256" i="1"/>
  <c r="AD256" i="1" s="1"/>
  <c r="S287" i="1"/>
  <c r="AF287" i="1" s="1"/>
  <c r="Q205" i="1"/>
  <c r="AD205" i="1" s="1"/>
  <c r="Q206" i="1"/>
  <c r="AD206" i="1" s="1"/>
  <c r="Q166" i="1"/>
  <c r="AD166" i="1" s="1"/>
  <c r="N166" i="1"/>
  <c r="AA166" i="1" s="1"/>
  <c r="K118" i="1"/>
  <c r="X118" i="1" s="1"/>
  <c r="R91" i="1"/>
  <c r="AE91" i="1" s="1"/>
  <c r="Q91" i="1"/>
  <c r="AD91" i="1" s="1"/>
  <c r="P91" i="1"/>
  <c r="AC91" i="1" s="1"/>
  <c r="O91" i="1"/>
  <c r="AB91" i="1" s="1"/>
  <c r="V91" i="1"/>
  <c r="AI91" i="1" s="1"/>
  <c r="N91" i="1"/>
  <c r="AA91" i="1" s="1"/>
  <c r="U91" i="1"/>
  <c r="AH91" i="1" s="1"/>
  <c r="M91" i="1"/>
  <c r="Z91" i="1" s="1"/>
  <c r="S91" i="1"/>
  <c r="AF91" i="1" s="1"/>
  <c r="K91" i="1"/>
  <c r="X91" i="1" s="1"/>
  <c r="T91" i="1"/>
  <c r="AG91" i="1" s="1"/>
  <c r="L91" i="1"/>
  <c r="Y91" i="1" s="1"/>
  <c r="L30" i="1"/>
  <c r="Y30" i="1" s="1"/>
  <c r="M22" i="1"/>
  <c r="Z22" i="1" s="1"/>
  <c r="M6" i="1"/>
  <c r="Z6" i="1" s="1"/>
  <c r="P477" i="1"/>
  <c r="AC477" i="1" s="1"/>
  <c r="N32" i="1"/>
  <c r="AA32" i="1" s="1"/>
  <c r="S884" i="1"/>
  <c r="AF884" i="1" s="1"/>
  <c r="L1239" i="1"/>
  <c r="Y1239" i="1" s="1"/>
  <c r="K410" i="1"/>
  <c r="X410" i="1" s="1"/>
  <c r="L1062" i="1"/>
  <c r="Y1062" i="1" s="1"/>
  <c r="M1086" i="1"/>
  <c r="Z1086" i="1" s="1"/>
  <c r="N1192" i="1"/>
  <c r="AA1192" i="1" s="1"/>
  <c r="M1128" i="1"/>
  <c r="Z1128" i="1" s="1"/>
  <c r="L962" i="1"/>
  <c r="Y962" i="1" s="1"/>
  <c r="K962" i="1"/>
  <c r="X962" i="1" s="1"/>
  <c r="K848" i="1"/>
  <c r="X848" i="1" s="1"/>
  <c r="M806" i="1"/>
  <c r="Z806" i="1" s="1"/>
  <c r="M385" i="1"/>
  <c r="Z385" i="1" s="1"/>
  <c r="Q361" i="1"/>
  <c r="AD361" i="1" s="1"/>
  <c r="P361" i="1"/>
  <c r="AC361" i="1" s="1"/>
  <c r="N103" i="1"/>
  <c r="AA103" i="1" s="1"/>
  <c r="L23" i="1"/>
  <c r="Y23" i="1" s="1"/>
  <c r="P23" i="1"/>
  <c r="AC23" i="1" s="1"/>
  <c r="K1166" i="1"/>
  <c r="X1166" i="1" s="1"/>
  <c r="O872" i="1"/>
  <c r="AB872" i="1" s="1"/>
  <c r="L872" i="1"/>
  <c r="Y872" i="1" s="1"/>
  <c r="L1256" i="1"/>
  <c r="Y1256" i="1" s="1"/>
  <c r="L381" i="1"/>
  <c r="Y381" i="1" s="1"/>
  <c r="O466" i="1"/>
  <c r="AB466" i="1" s="1"/>
  <c r="P518" i="1"/>
  <c r="AC518" i="1" s="1"/>
  <c r="Q518" i="1"/>
  <c r="AD518" i="1" s="1"/>
  <c r="Q1127" i="1"/>
  <c r="AD1127" i="1" s="1"/>
  <c r="L1175" i="1"/>
  <c r="Y1175" i="1" s="1"/>
  <c r="L1191" i="1"/>
  <c r="Y1191" i="1" s="1"/>
  <c r="M391" i="1"/>
  <c r="Z391" i="1" s="1"/>
  <c r="L1311" i="1"/>
  <c r="Y1311" i="1" s="1"/>
  <c r="O398" i="1"/>
  <c r="AB398" i="1" s="1"/>
  <c r="R219" i="1"/>
  <c r="AE219" i="1" s="1"/>
  <c r="Q219" i="1"/>
  <c r="AD219" i="1" s="1"/>
  <c r="M1363" i="1"/>
  <c r="Z1363" i="1" s="1"/>
  <c r="R1076" i="1"/>
  <c r="AE1076" i="1" s="1"/>
  <c r="K893" i="1"/>
  <c r="X893" i="1" s="1"/>
  <c r="M1167" i="1"/>
  <c r="Z1167" i="1" s="1"/>
  <c r="K755" i="1"/>
  <c r="X755" i="1" s="1"/>
  <c r="M414" i="1"/>
  <c r="Z414" i="1" s="1"/>
  <c r="L414" i="1"/>
  <c r="Y414" i="1" s="1"/>
  <c r="M1060" i="1"/>
  <c r="Z1060" i="1" s="1"/>
  <c r="K1060" i="1"/>
  <c r="X1060" i="1" s="1"/>
  <c r="Q1271" i="1"/>
  <c r="AD1271" i="1" s="1"/>
  <c r="L1142" i="1"/>
  <c r="Y1142" i="1" s="1"/>
  <c r="P209" i="1"/>
  <c r="AC209" i="1" s="1"/>
  <c r="O856" i="1"/>
  <c r="AB856" i="1" s="1"/>
  <c r="L856" i="1"/>
  <c r="Y856" i="1" s="1"/>
  <c r="L1288" i="1"/>
  <c r="Y1288" i="1" s="1"/>
  <c r="O167" i="1"/>
  <c r="AB167" i="1" s="1"/>
  <c r="M167" i="1"/>
  <c r="Z167" i="1" s="1"/>
  <c r="K1203" i="1"/>
  <c r="X1203" i="1" s="1"/>
  <c r="I3" i="1" l="1"/>
  <c r="J3" i="1" s="1"/>
  <c r="P3" i="1" l="1"/>
  <c r="AC3" i="1" s="1"/>
  <c r="U3" i="1"/>
  <c r="AH3" i="1" s="1"/>
  <c r="S3" i="1"/>
  <c r="AF3" i="1" s="1"/>
  <c r="R3" i="1"/>
  <c r="AE3" i="1" s="1"/>
  <c r="Q3" i="1"/>
  <c r="AD3" i="1" s="1"/>
  <c r="O3" i="1"/>
  <c r="AB3" i="1" s="1"/>
  <c r="V3" i="1"/>
  <c r="AI3" i="1" s="1"/>
  <c r="N3" i="1"/>
  <c r="AA3" i="1" s="1"/>
  <c r="M3" i="1"/>
  <c r="Z3" i="1" s="1"/>
  <c r="K3" i="1"/>
  <c r="X3" i="1" s="1"/>
  <c r="L3" i="1"/>
  <c r="Y3" i="1" s="1"/>
  <c r="T3" i="1"/>
  <c r="AG3" i="1" s="1"/>
  <c r="K8" i="1"/>
  <c r="X8" i="1" s="1"/>
  <c r="K14" i="1"/>
  <c r="X14" i="1" s="1"/>
  <c r="K11" i="1"/>
  <c r="X11" i="1" s="1"/>
  <c r="K10" i="1"/>
  <c r="X10" i="1" s="1"/>
  <c r="K5" i="1"/>
  <c r="X5" i="1" s="1"/>
  <c r="K6" i="1"/>
  <c r="X6" i="1" s="1"/>
  <c r="K7" i="1"/>
  <c r="X7" i="1" s="1"/>
  <c r="K4" i="1"/>
  <c r="X4" i="1" s="1"/>
  <c r="K9" i="1"/>
  <c r="X9" i="1" s="1"/>
  <c r="K12" i="1"/>
  <c r="X12" i="1" s="1"/>
  <c r="K13" i="1"/>
  <c r="X13" i="1" s="1"/>
</calcChain>
</file>

<file path=xl/sharedStrings.xml><?xml version="1.0" encoding="utf-8"?>
<sst xmlns="http://schemas.openxmlformats.org/spreadsheetml/2006/main" count="36" uniqueCount="36">
  <si>
    <t>Lags</t>
  </si>
  <si>
    <t>DtRef</t>
  </si>
  <si>
    <t>InicioVig</t>
  </si>
  <si>
    <t>IniMes</t>
  </si>
  <si>
    <t>FimMes</t>
  </si>
  <si>
    <t>FimVig</t>
  </si>
  <si>
    <t>DiasTotais</t>
  </si>
  <si>
    <t>DiasDecorrer</t>
  </si>
  <si>
    <t>Exp0</t>
  </si>
  <si>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</si>
  <si>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</si>
  <si>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</si>
  <si>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</si>
  <si>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</si>
  <si>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</si>
  <si>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</si>
  <si>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</si>
  <si>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</si>
  <si>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</si>
  <si>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Exp11</t>
  </si>
  <si>
    <t>Exp12</t>
  </si>
  <si>
    <t>LagDtEmis</t>
  </si>
  <si>
    <t>ExpI0</t>
  </si>
  <si>
    <t>ExpI1</t>
  </si>
  <si>
    <t>ExpI2</t>
  </si>
  <si>
    <t>ExpI3</t>
  </si>
  <si>
    <t>ExpI4</t>
  </si>
  <si>
    <t>ExpI5</t>
  </si>
  <si>
    <t>ExpI6</t>
  </si>
  <si>
    <t>ExpI7</t>
  </si>
  <si>
    <t>ExpI8</t>
  </si>
  <si>
    <t>ExpI9</t>
  </si>
  <si>
    <t>ExpI10</t>
  </si>
  <si>
    <t>ExpI11</t>
  </si>
  <si>
    <t>ExpI12</t>
  </si>
  <si>
    <t>DtEmissao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</si>
</sst>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17"/>
  <sheetViews>
    <sheetView tabSelected="1" workbookViewId="0">
      <selection activeCell="B2" sqref="B2"/>
    </sheetView>
  </sheetViews>
  <sheetFormatPr defaultRowHeight="15" x14ac:dyDescent="0.25"/>
  <cols>
    <col min="2" max="7" width="10.7109375" bestFit="1" customWidth="1"/>
    <col min="8" max="8" width="10" bestFit="1" customWidth="1"/>
    <col min="9" max="9" width="12.42578125" bestFit="1" customWidth="1"/>
    <col min="10" max="10" width="7" bestFit="1" customWidth="1"/>
    <col min="11" max="11" width="8.5703125" bestFit="1" customWidth="1"/>
    <col min="12" max="12" width="9.5703125" bestFit="1" customWidth="1"/>
    <col min="13" max="22" width="7" bestFit="1" customWidth="1"/>
    <col min="23" max="35" width="7" customWidth="1"/>
  </cols>
  <sheetData>
    <row r="1" spans="1:36" x14ac:dyDescent="0.25">
      <c r="A1" t="s">
        <v>0</v>
      </c>
      <c r="B1" t="s">
        <v>35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21</v>
      </c>
    </row>
    <row r="2" spans="1:36" x14ac:dyDescent="0.25">
      <c r="A2">
        <v>0</v>
      </c>
      <c r="B2" s="1">
        <v>43831</v>
      </c>
      <c r="C2" s="1">
        <f>EDATE(B2,A2)</f>
        <v>43831</v>
      </c>
      <c r="D2" s="1">
        <f>B2+14</f>
        <v>43845</v>
      </c>
      <c r="E2" s="1">
        <f>IF($A2=0,C2+14,C2)</f>
        <v>43845</v>
      </c>
      <c r="F2" s="1">
        <f>IF(EDATE(C2,1)&gt;G2,G2,EDATE(C2,1))</f>
        <v>43862</v>
      </c>
      <c r="G2" s="1">
        <f t="shared" ref="G2" si="0">EDATE(D2,12)</f>
        <v>44211</v>
      </c>
      <c r="H2">
        <f t="shared" ref="H2" si="1">G2-D2</f>
        <v>366</v>
      </c>
      <c r="I2">
        <f t="shared" ref="I2" si="2">F2-E2</f>
        <v>17</v>
      </c>
      <c r="J2">
        <f t="shared" ref="J2" si="3">I2/H2</f>
        <v>4.6448087431693992E-2</v>
      </c>
      <c r="K2">
        <f>IFERROR($J2/IF($A2&lt;COUNTIFS($K$1:K$1,"&lt;&gt;"),0,SUMIFS($J:$J,$B:$B,$B2,$A:$A,"&gt;="&amp;COUNTIFS($K$1:K$1,"&lt;&gt;"))),0)</f>
        <v>0</v>
      </c>
      <c r="L2">
        <f>IFERROR($J2/IF($A2&lt;COUNTIFS($K$1:L$1,"&lt;&gt;"),0,SUMIFS($J:$J,$B:$B,$B2,$A:$A,"&gt;="&amp;COUNTIFS($K$1:L$1,"&lt;&gt;"))),0)</f>
        <v>0</v>
      </c>
      <c r="M2">
        <f>IFERROR($J2/IF($A2&lt;COUNTIFS($K$1:M$1,"&lt;&gt;"),0,SUMIFS($J:$J,$B:$B,$B2,$A:$A,"&gt;="&amp;COUNTIFS($K$1:M$1,"&lt;&gt;"))),0)</f>
        <v>0</v>
      </c>
      <c r="N2">
        <f>IFERROR($J2/IF($A2&lt;COUNTIFS($K$1:N$1,"&lt;&gt;"),0,SUMIFS($J:$J,$B:$B,$B2,$A:$A,"&gt;="&amp;COUNTIFS($K$1:N$1,"&lt;&gt;"))),0)</f>
        <v>0</v>
      </c>
      <c r="O2">
        <f>IFERROR($J2/IF($A2&lt;COUNTIFS($K$1:O$1,"&lt;&gt;"),0,SUMIFS($J:$J,$B:$B,$B2,$A:$A,"&gt;="&amp;COUNTIFS($K$1:O$1,"&lt;&gt;"))),0)</f>
        <v>0</v>
      </c>
      <c r="P2">
        <f>IFERROR($J2/IF($A2&lt;COUNTIFS($K$1:P$1,"&lt;&gt;"),0,SUMIFS($J:$J,$B:$B,$B2,$A:$A,"&gt;="&amp;COUNTIFS($K$1:P$1,"&lt;&gt;"))),0)</f>
        <v>0</v>
      </c>
      <c r="Q2">
        <f>IFERROR($J2/IF($A2&lt;COUNTIFS($K$1:Q$1,"&lt;&gt;"),0,SUMIFS($J:$J,$B:$B,$B2,$A:$A,"&gt;="&amp;COUNTIFS($K$1:Q$1,"&lt;&gt;"))),0)</f>
        <v>0</v>
      </c>
      <c r="R2">
        <f>IFERROR($J2/IF($A2&lt;COUNTIFS($K$1:R$1,"&lt;&gt;"),0,SUMIFS($J:$J,$B:$B,$B2,$A:$A,"&gt;="&amp;COUNTIFS($K$1:R$1,"&lt;&gt;"))),0)</f>
        <v>0</v>
      </c>
      <c r="S2">
        <f>IFERROR($J2/IF($A2&lt;COUNTIFS($K$1:S$1,"&lt;&gt;"),0,SUMIFS($J:$J,$B:$B,$B2,$A:$A,"&gt;="&amp;COUNTIFS($K$1:S$1,"&lt;&gt;"))),0)</f>
        <v>0</v>
      </c>
      <c r="T2">
        <f>IFERROR($J2/IF($A2&lt;COUNTIFS($K$1:T$1,"&lt;&gt;"),0,SUMIFS($J:$J,$B:$B,$B2,$A:$A,"&gt;="&amp;COUNTIFS($K$1:T$1,"&lt;&gt;"))),0)</f>
        <v>0</v>
      </c>
      <c r="U2">
        <f>IFERROR($J2/IF($A2&lt;COUNTIFS($K$1:U$1,"&lt;&gt;"),0,SUMIFS($J:$J,$B:$B,$B2,$A:$A,"&gt;="&amp;COUNTIFS($K$1:U$1,"&lt;&gt;"))),0)</f>
        <v>0</v>
      </c>
      <c r="V2">
        <f>IFERROR($J2/IF($A2&lt;COUNTIFS($K$1:V$1,"&lt;&gt;"),0,SUMIFS($J:$J,$B:$B,$B2,$A:$A,"&gt;="&amp;COUNTIFS($K$1:V$1,"&lt;&gt;"))),0)</f>
        <v>0</v>
      </c>
      <c r="W2">
        <f>IF(J2=0,0,$J2)</f>
        <v>4.6448087431693992E-2</v>
      </c>
      <c r="X2">
        <f t="shared" ref="X2:X65" si="4">IF(K2=0,0,$J2)</f>
        <v>0</v>
      </c>
      <c r="Y2">
        <f t="shared" ref="Y2:Y65" si="5">IF(L2=0,0,$J2)</f>
        <v>0</v>
      </c>
      <c r="Z2">
        <f t="shared" ref="Z2:Z65" si="6">IF(M2=0,0,$J2)</f>
        <v>0</v>
      </c>
      <c r="AA2">
        <f t="shared" ref="AA2:AA65" si="7">IF(N2=0,0,$J2)</f>
        <v>0</v>
      </c>
      <c r="AB2">
        <f t="shared" ref="AB2:AB65" si="8">IF(O2=0,0,$J2)</f>
        <v>0</v>
      </c>
      <c r="AC2">
        <f t="shared" ref="AC2:AC65" si="9">IF(P2=0,0,$J2)</f>
        <v>0</v>
      </c>
      <c r="AD2">
        <f t="shared" ref="AD2:AD65" si="10">IF(Q2=0,0,$J2)</f>
        <v>0</v>
      </c>
      <c r="AE2">
        <f t="shared" ref="AE2:AE65" si="11">IF(R2=0,0,$J2)</f>
        <v>0</v>
      </c>
      <c r="AF2">
        <f t="shared" ref="AF2:AF65" si="12">IF(S2=0,0,$J2)</f>
        <v>0</v>
      </c>
      <c r="AG2">
        <f t="shared" ref="AG2:AG65" si="13">IF(T2=0,0,$J2)</f>
        <v>0</v>
      </c>
      <c r="AH2">
        <f t="shared" ref="AH2:AH65" si="14">IF(U2=0,0,$J2)</f>
        <v>0</v>
      </c>
      <c r="AI2">
        <f t="shared" ref="AI2:AI65" si="15">IF(V2=0,0,$J2)</f>
        <v>0</v>
      </c>
      <c r="AJ2" s="2" t="str">
        <f>A2&amp;B2</f>
        <v>043831</v>
      </c>
    </row>
    <row r="3" spans="1:36" x14ac:dyDescent="0.25">
      <c r="A3">
        <v>1</v>
      </c>
      <c r="B3" s="1">
        <v>43831</v>
      </c>
      <c r="C3" s="1">
        <f t="shared" ref="C3:C66" si="16">EDATE(B3,A3)</f>
        <v>43862</v>
      </c>
      <c r="D3" s="1">
        <f t="shared" ref="D3:D66" si="17">B3+14</f>
        <v>43845</v>
      </c>
      <c r="E3" s="1">
        <f t="shared" ref="E3:E66" si="18">IF($A3=0,C3+14,C3)</f>
        <v>43862</v>
      </c>
      <c r="F3" s="1">
        <f t="shared" ref="F3:F66" si="19">IF(EDATE(C3,1)&gt;G3,G3,EDATE(C3,1))</f>
        <v>43891</v>
      </c>
      <c r="G3" s="1">
        <f t="shared" ref="G3:G66" si="20">EDATE(D3,12)</f>
        <v>44211</v>
      </c>
      <c r="H3">
        <f t="shared" ref="H3:H66" si="21">G3-D3</f>
        <v>366</v>
      </c>
      <c r="I3">
        <f t="shared" ref="I3:I66" si="22">F3-E3</f>
        <v>29</v>
      </c>
      <c r="J3">
        <f t="shared" ref="J3:J66" si="23">I3/H3</f>
        <v>7.9234972677595633E-2</v>
      </c>
      <c r="K3">
        <f>IFERROR($J3/IF($A3&lt;COUNTIFS($K$1:K$1,"&lt;&gt;"),0,SUMIFS($J:$J,$B:$B,$B3,$A:$A,"&gt;="&amp;COUNTIFS($K$1:K$1,"&lt;&gt;"))),0)</f>
        <v>8.3094555873925516E-2</v>
      </c>
      <c r="L3">
        <f>IFERROR($J3/IF($A3&lt;COUNTIFS($K$1:L$1,"&lt;&gt;"),0,SUMIFS($J:$J,$B:$B,$B3,$A:$A,"&gt;="&amp;COUNTIFS($K$1:L$1,"&lt;&gt;"))),0)</f>
        <v>0</v>
      </c>
      <c r="M3">
        <f>IFERROR($J3/IF($A3&lt;COUNTIFS($K$1:M$1,"&lt;&gt;"),0,SUMIFS($J:$J,$B:$B,$B3,$A:$A,"&gt;="&amp;COUNTIFS($K$1:M$1,"&lt;&gt;"))),0)</f>
        <v>0</v>
      </c>
      <c r="N3">
        <f>IFERROR($J3/IF($A3&lt;COUNTIFS($K$1:N$1,"&lt;&gt;"),0,SUMIFS($J:$J,$B:$B,$B3,$A:$A,"&gt;="&amp;COUNTIFS($K$1:N$1,"&lt;&gt;"))),0)</f>
        <v>0</v>
      </c>
      <c r="O3">
        <f>IFERROR($J3/IF($A3&lt;COUNTIFS($K$1:O$1,"&lt;&gt;"),0,SUMIFS($J:$J,$B:$B,$B3,$A:$A,"&gt;="&amp;COUNTIFS($K$1:O$1,"&lt;&gt;"))),0)</f>
        <v>0</v>
      </c>
      <c r="P3">
        <f>IFERROR($J3/IF($A3&lt;COUNTIFS($K$1:P$1,"&lt;&gt;"),0,SUMIFS($J:$J,$B:$B,$B3,$A:$A,"&gt;="&amp;COUNTIFS($K$1:P$1,"&lt;&gt;"))),0)</f>
        <v>0</v>
      </c>
      <c r="Q3">
        <f>IFERROR($J3/IF($A3&lt;COUNTIFS($K$1:Q$1,"&lt;&gt;"),0,SUMIFS($J:$J,$B:$B,$B3,$A:$A,"&gt;="&amp;COUNTIFS($K$1:Q$1,"&lt;&gt;"))),0)</f>
        <v>0</v>
      </c>
      <c r="R3">
        <f>IFERROR($J3/IF($A3&lt;COUNTIFS($K$1:R$1,"&lt;&gt;"),0,SUMIFS($J:$J,$B:$B,$B3,$A:$A,"&gt;="&amp;COUNTIFS($K$1:R$1,"&lt;&gt;"))),0)</f>
        <v>0</v>
      </c>
      <c r="S3">
        <f>IFERROR($J3/IF($A3&lt;COUNTIFS($K$1:S$1,"&lt;&gt;"),0,SUMIFS($J:$J,$B:$B,$B3,$A:$A,"&gt;="&amp;COUNTIFS($K$1:S$1,"&lt;&gt;"))),0)</f>
        <v>0</v>
      </c>
      <c r="T3">
        <f>IFERROR($J3/IF($A3&lt;COUNTIFS($K$1:T$1,"&lt;&gt;"),0,SUMIFS($J:$J,$B:$B,$B3,$A:$A,"&gt;="&amp;COUNTIFS($K$1:T$1,"&lt;&gt;"))),0)</f>
        <v>0</v>
      </c>
      <c r="U3">
        <f>IFERROR($J3/IF($A3&lt;COUNTIFS($K$1:U$1,"&lt;&gt;"),0,SUMIFS($J:$J,$B:$B,$B3,$A:$A,"&gt;="&amp;COUNTIFS($K$1:U$1,"&lt;&gt;"))),0)</f>
        <v>0</v>
      </c>
      <c r="V3">
        <f>IFERROR($J3/IF($A3&lt;COUNTIFS($K$1:V$1,"&lt;&gt;"),0,SUMIFS($J:$J,$B:$B,$B3,$A:$A,"&gt;="&amp;COUNTIFS($K$1:V$1,"&lt;&gt;"))),0)</f>
        <v>0</v>
      </c>
      <c r="W3">
        <f t="shared" ref="W3:W66" si="24">IF(J3=0,0,$J3)</f>
        <v>7.9234972677595633E-2</v>
      </c>
      <c r="X3">
        <f t="shared" si="4"/>
        <v>7.9234972677595633E-2</v>
      </c>
      <c r="Y3">
        <f t="shared" si="5"/>
        <v>0</v>
      </c>
      <c r="Z3">
        <f t="shared" si="6"/>
        <v>0</v>
      </c>
      <c r="AA3">
        <f t="shared" si="7"/>
        <v>0</v>
      </c>
      <c r="AB3">
        <f t="shared" si="8"/>
        <v>0</v>
      </c>
      <c r="AC3">
        <f t="shared" si="9"/>
        <v>0</v>
      </c>
      <c r="AD3">
        <f t="shared" si="10"/>
        <v>0</v>
      </c>
      <c r="AE3">
        <f t="shared" si="11"/>
        <v>0</v>
      </c>
      <c r="AF3">
        <f t="shared" si="12"/>
        <v>0</v>
      </c>
      <c r="AG3">
        <f t="shared" si="13"/>
        <v>0</v>
      </c>
      <c r="AH3">
        <f t="shared" si="14"/>
        <v>0</v>
      </c>
      <c r="AI3">
        <f t="shared" si="15"/>
        <v>0</v>
      </c>
      <c r="AJ3" s="2" t="str">
        <f t="shared" ref="AJ3:AJ66" si="25">A3&amp;B3</f>
        <v>143831</v>
      </c>
    </row>
    <row r="4" spans="1:36" x14ac:dyDescent="0.25">
      <c r="A4">
        <v>2</v>
      </c>
      <c r="B4" s="1">
        <v>43831</v>
      </c>
      <c r="C4" s="1">
        <f t="shared" si="16"/>
        <v>43891</v>
      </c>
      <c r="D4" s="1">
        <f t="shared" si="17"/>
        <v>43845</v>
      </c>
      <c r="E4" s="1">
        <f t="shared" si="18"/>
        <v>43891</v>
      </c>
      <c r="F4" s="1">
        <f t="shared" si="19"/>
        <v>43922</v>
      </c>
      <c r="G4" s="1">
        <f t="shared" si="20"/>
        <v>44211</v>
      </c>
      <c r="H4">
        <f t="shared" si="21"/>
        <v>366</v>
      </c>
      <c r="I4">
        <f t="shared" si="22"/>
        <v>31</v>
      </c>
      <c r="J4">
        <f t="shared" si="23"/>
        <v>8.4699453551912565E-2</v>
      </c>
      <c r="K4">
        <f>IFERROR($J4/IF($A4&lt;COUNTIFS($K$1:K$1,"&lt;&gt;"),0,SUMIFS($J:$J,$B:$B,$B4,$A:$A,"&gt;="&amp;COUNTIFS($K$1:K$1,"&lt;&gt;"))),0)</f>
        <v>8.882521489971347E-2</v>
      </c>
      <c r="L4">
        <f>IFERROR($J4/IF($A4&lt;COUNTIFS($K$1:L$1,"&lt;&gt;"),0,SUMIFS($J:$J,$B:$B,$B4,$A:$A,"&gt;="&amp;COUNTIFS($K$1:L$1,"&lt;&gt;"))),0)</f>
        <v>9.6875000000000003E-2</v>
      </c>
      <c r="M4">
        <f>IFERROR($J4/IF($A4&lt;COUNTIFS($K$1:M$1,"&lt;&gt;"),0,SUMIFS($J:$J,$B:$B,$B4,$A:$A,"&gt;="&amp;COUNTIFS($K$1:M$1,"&lt;&gt;"))),0)</f>
        <v>0</v>
      </c>
      <c r="N4">
        <f>IFERROR($J4/IF($A4&lt;COUNTIFS($K$1:N$1,"&lt;&gt;"),0,SUMIFS($J:$J,$B:$B,$B4,$A:$A,"&gt;="&amp;COUNTIFS($K$1:N$1,"&lt;&gt;"))),0)</f>
        <v>0</v>
      </c>
      <c r="O4">
        <f>IFERROR($J4/IF($A4&lt;COUNTIFS($K$1:O$1,"&lt;&gt;"),0,SUMIFS($J:$J,$B:$B,$B4,$A:$A,"&gt;="&amp;COUNTIFS($K$1:O$1,"&lt;&gt;"))),0)</f>
        <v>0</v>
      </c>
      <c r="P4">
        <f>IFERROR($J4/IF($A4&lt;COUNTIFS($K$1:P$1,"&lt;&gt;"),0,SUMIFS($J:$J,$B:$B,$B4,$A:$A,"&gt;="&amp;COUNTIFS($K$1:P$1,"&lt;&gt;"))),0)</f>
        <v>0</v>
      </c>
      <c r="Q4">
        <f>IFERROR($J4/IF($A4&lt;COUNTIFS($K$1:Q$1,"&lt;&gt;"),0,SUMIFS($J:$J,$B:$B,$B4,$A:$A,"&gt;="&amp;COUNTIFS($K$1:Q$1,"&lt;&gt;"))),0)</f>
        <v>0</v>
      </c>
      <c r="R4">
        <f>IFERROR($J4/IF($A4&lt;COUNTIFS($K$1:R$1,"&lt;&gt;"),0,SUMIFS($J:$J,$B:$B,$B4,$A:$A,"&gt;="&amp;COUNTIFS($K$1:R$1,"&lt;&gt;"))),0)</f>
        <v>0</v>
      </c>
      <c r="S4">
        <f>IFERROR($J4/IF($A4&lt;COUNTIFS($K$1:S$1,"&lt;&gt;"),0,SUMIFS($J:$J,$B:$B,$B4,$A:$A,"&gt;="&amp;COUNTIFS($K$1:S$1,"&lt;&gt;"))),0)</f>
        <v>0</v>
      </c>
      <c r="T4">
        <f>IFERROR($J4/IF($A4&lt;COUNTIFS($K$1:T$1,"&lt;&gt;"),0,SUMIFS($J:$J,$B:$B,$B4,$A:$A,"&gt;="&amp;COUNTIFS($K$1:T$1,"&lt;&gt;"))),0)</f>
        <v>0</v>
      </c>
      <c r="U4">
        <f>IFERROR($J4/IF($A4&lt;COUNTIFS($K$1:U$1,"&lt;&gt;"),0,SUMIFS($J:$J,$B:$B,$B4,$A:$A,"&gt;="&amp;COUNTIFS($K$1:U$1,"&lt;&gt;"))),0)</f>
        <v>0</v>
      </c>
      <c r="V4">
        <f>IFERROR($J4/IF($A4&lt;COUNTIFS($K$1:V$1,"&lt;&gt;"),0,SUMIFS($J:$J,$B:$B,$B4,$A:$A,"&gt;="&amp;COUNTIFS($K$1:V$1,"&lt;&gt;"))),0)</f>
        <v>0</v>
      </c>
      <c r="W4">
        <f t="shared" si="24"/>
        <v>8.4699453551912565E-2</v>
      </c>
      <c r="X4">
        <f t="shared" si="4"/>
        <v>8.4699453551912565E-2</v>
      </c>
      <c r="Y4">
        <f t="shared" si="5"/>
        <v>8.4699453551912565E-2</v>
      </c>
      <c r="Z4">
        <f t="shared" si="6"/>
        <v>0</v>
      </c>
      <c r="AA4">
        <f t="shared" si="7"/>
        <v>0</v>
      </c>
      <c r="AB4">
        <f t="shared" si="8"/>
        <v>0</v>
      </c>
      <c r="AC4">
        <f t="shared" si="9"/>
        <v>0</v>
      </c>
      <c r="AD4">
        <f t="shared" si="10"/>
        <v>0</v>
      </c>
      <c r="AE4">
        <f t="shared" si="11"/>
        <v>0</v>
      </c>
      <c r="AF4">
        <f t="shared" si="12"/>
        <v>0</v>
      </c>
      <c r="AG4">
        <f t="shared" si="13"/>
        <v>0</v>
      </c>
      <c r="AH4">
        <f t="shared" si="14"/>
        <v>0</v>
      </c>
      <c r="AI4">
        <f t="shared" si="15"/>
        <v>0</v>
      </c>
      <c r="AJ4" s="2" t="str">
        <f t="shared" si="25"/>
        <v>243831</v>
      </c>
    </row>
    <row r="5" spans="1:36" x14ac:dyDescent="0.25">
      <c r="A5">
        <v>3</v>
      </c>
      <c r="B5" s="1">
        <v>43831</v>
      </c>
      <c r="C5" s="1">
        <f t="shared" si="16"/>
        <v>43922</v>
      </c>
      <c r="D5" s="1">
        <f t="shared" si="17"/>
        <v>43845</v>
      </c>
      <c r="E5" s="1">
        <f t="shared" si="18"/>
        <v>43922</v>
      </c>
      <c r="F5" s="1">
        <f t="shared" si="19"/>
        <v>43952</v>
      </c>
      <c r="G5" s="1">
        <f t="shared" si="20"/>
        <v>44211</v>
      </c>
      <c r="H5">
        <f t="shared" si="21"/>
        <v>366</v>
      </c>
      <c r="I5">
        <f t="shared" si="22"/>
        <v>30</v>
      </c>
      <c r="J5">
        <f t="shared" si="23"/>
        <v>8.1967213114754092E-2</v>
      </c>
      <c r="K5">
        <f>IFERROR($J5/IF($A5&lt;COUNTIFS($K$1:K$1,"&lt;&gt;"),0,SUMIFS($J:$J,$B:$B,$B5,$A:$A,"&gt;="&amp;COUNTIFS($K$1:K$1,"&lt;&gt;"))),0)</f>
        <v>8.5959885386819479E-2</v>
      </c>
      <c r="L5">
        <f>IFERROR($J5/IF($A5&lt;COUNTIFS($K$1:L$1,"&lt;&gt;"),0,SUMIFS($J:$J,$B:$B,$B5,$A:$A,"&gt;="&amp;COUNTIFS($K$1:L$1,"&lt;&gt;"))),0)</f>
        <v>9.375E-2</v>
      </c>
      <c r="M5">
        <f>IFERROR($J5/IF($A5&lt;COUNTIFS($K$1:M$1,"&lt;&gt;"),0,SUMIFS($J:$J,$B:$B,$B5,$A:$A,"&gt;="&amp;COUNTIFS($K$1:M$1,"&lt;&gt;"))),0)</f>
        <v>0.10380622837370242</v>
      </c>
      <c r="N5">
        <f>IFERROR($J5/IF($A5&lt;COUNTIFS($K$1:N$1,"&lt;&gt;"),0,SUMIFS($J:$J,$B:$B,$B5,$A:$A,"&gt;="&amp;COUNTIFS($K$1:N$1,"&lt;&gt;"))),0)</f>
        <v>0</v>
      </c>
      <c r="O5">
        <f>IFERROR($J5/IF($A5&lt;COUNTIFS($K$1:O$1,"&lt;&gt;"),0,SUMIFS($J:$J,$B:$B,$B5,$A:$A,"&gt;="&amp;COUNTIFS($K$1:O$1,"&lt;&gt;"))),0)</f>
        <v>0</v>
      </c>
      <c r="P5">
        <f>IFERROR($J5/IF($A5&lt;COUNTIFS($K$1:P$1,"&lt;&gt;"),0,SUMIFS($J:$J,$B:$B,$B5,$A:$A,"&gt;="&amp;COUNTIFS($K$1:P$1,"&lt;&gt;"))),0)</f>
        <v>0</v>
      </c>
      <c r="Q5">
        <f>IFERROR($J5/IF($A5&lt;COUNTIFS($K$1:Q$1,"&lt;&gt;"),0,SUMIFS($J:$J,$B:$B,$B5,$A:$A,"&gt;="&amp;COUNTIFS($K$1:Q$1,"&lt;&gt;"))),0)</f>
        <v>0</v>
      </c>
      <c r="R5">
        <f>IFERROR($J5/IF($A5&lt;COUNTIFS($K$1:R$1,"&lt;&gt;"),0,SUMIFS($J:$J,$B:$B,$B5,$A:$A,"&gt;="&amp;COUNTIFS($K$1:R$1,"&lt;&gt;"))),0)</f>
        <v>0</v>
      </c>
      <c r="S5">
        <f>IFERROR($J5/IF($A5&lt;COUNTIFS($K$1:S$1,"&lt;&gt;"),0,SUMIFS($J:$J,$B:$B,$B5,$A:$A,"&gt;="&amp;COUNTIFS($K$1:S$1,"&lt;&gt;"))),0)</f>
        <v>0</v>
      </c>
      <c r="T5">
        <f>IFERROR($J5/IF($A5&lt;COUNTIFS($K$1:T$1,"&lt;&gt;"),0,SUMIFS($J:$J,$B:$B,$B5,$A:$A,"&gt;="&amp;COUNTIFS($K$1:T$1,"&lt;&gt;"))),0)</f>
        <v>0</v>
      </c>
      <c r="U5">
        <f>IFERROR($J5/IF($A5&lt;COUNTIFS($K$1:U$1,"&lt;&gt;"),0,SUMIFS($J:$J,$B:$B,$B5,$A:$A,"&gt;="&amp;COUNTIFS($K$1:U$1,"&lt;&gt;"))),0)</f>
        <v>0</v>
      </c>
      <c r="V5">
        <f>IFERROR($J5/IF($A5&lt;COUNTIFS($K$1:V$1,"&lt;&gt;"),0,SUMIFS($J:$J,$B:$B,$B5,$A:$A,"&gt;="&amp;COUNTIFS($K$1:V$1,"&lt;&gt;"))),0)</f>
        <v>0</v>
      </c>
      <c r="W5">
        <f t="shared" si="24"/>
        <v>8.1967213114754092E-2</v>
      </c>
      <c r="X5">
        <f t="shared" si="4"/>
        <v>8.1967213114754092E-2</v>
      </c>
      <c r="Y5">
        <f t="shared" si="5"/>
        <v>8.1967213114754092E-2</v>
      </c>
      <c r="Z5">
        <f t="shared" si="6"/>
        <v>8.1967213114754092E-2</v>
      </c>
      <c r="AA5">
        <f t="shared" si="7"/>
        <v>0</v>
      </c>
      <c r="AB5">
        <f t="shared" si="8"/>
        <v>0</v>
      </c>
      <c r="AC5">
        <f t="shared" si="9"/>
        <v>0</v>
      </c>
      <c r="AD5">
        <f t="shared" si="10"/>
        <v>0</v>
      </c>
      <c r="AE5">
        <f t="shared" si="11"/>
        <v>0</v>
      </c>
      <c r="AF5">
        <f t="shared" si="12"/>
        <v>0</v>
      </c>
      <c r="AG5">
        <f t="shared" si="13"/>
        <v>0</v>
      </c>
      <c r="AH5">
        <f t="shared" si="14"/>
        <v>0</v>
      </c>
      <c r="AI5">
        <f t="shared" si="15"/>
        <v>0</v>
      </c>
      <c r="AJ5" s="2" t="str">
        <f t="shared" si="25"/>
        <v>343831</v>
      </c>
    </row>
    <row r="6" spans="1:36" x14ac:dyDescent="0.25">
      <c r="A6">
        <v>4</v>
      </c>
      <c r="B6" s="1">
        <v>43831</v>
      </c>
      <c r="C6" s="1">
        <f t="shared" si="16"/>
        <v>43952</v>
      </c>
      <c r="D6" s="1">
        <f t="shared" si="17"/>
        <v>43845</v>
      </c>
      <c r="E6" s="1">
        <f t="shared" si="18"/>
        <v>43952</v>
      </c>
      <c r="F6" s="1">
        <f t="shared" si="19"/>
        <v>43983</v>
      </c>
      <c r="G6" s="1">
        <f t="shared" si="20"/>
        <v>44211</v>
      </c>
      <c r="H6">
        <f t="shared" si="21"/>
        <v>366</v>
      </c>
      <c r="I6">
        <f t="shared" si="22"/>
        <v>31</v>
      </c>
      <c r="J6">
        <f t="shared" si="23"/>
        <v>8.4699453551912565E-2</v>
      </c>
      <c r="K6">
        <f>IFERROR($J6/IF($A6&lt;COUNTIFS($K$1:K$1,"&lt;&gt;"),0,SUMIFS($J:$J,$B:$B,$B6,$A:$A,"&gt;="&amp;COUNTIFS($K$1:K$1,"&lt;&gt;"))),0)</f>
        <v>8.882521489971347E-2</v>
      </c>
      <c r="L6">
        <f>IFERROR($J6/IF($A6&lt;COUNTIFS($K$1:L$1,"&lt;&gt;"),0,SUMIFS($J:$J,$B:$B,$B6,$A:$A,"&gt;="&amp;COUNTIFS($K$1:L$1,"&lt;&gt;"))),0)</f>
        <v>9.6875000000000003E-2</v>
      </c>
      <c r="M6">
        <f>IFERROR($J6/IF($A6&lt;COUNTIFS($K$1:M$1,"&lt;&gt;"),0,SUMIFS($J:$J,$B:$B,$B6,$A:$A,"&gt;="&amp;COUNTIFS($K$1:M$1,"&lt;&gt;"))),0)</f>
        <v>0.10726643598615916</v>
      </c>
      <c r="N6">
        <f>IFERROR($J6/IF($A6&lt;COUNTIFS($K$1:N$1,"&lt;&gt;"),0,SUMIFS($J:$J,$B:$B,$B6,$A:$A,"&gt;="&amp;COUNTIFS($K$1:N$1,"&lt;&gt;"))),0)</f>
        <v>0.11969111969111969</v>
      </c>
      <c r="O6">
        <f>IFERROR($J6/IF($A6&lt;COUNTIFS($K$1:O$1,"&lt;&gt;"),0,SUMIFS($J:$J,$B:$B,$B6,$A:$A,"&gt;="&amp;COUNTIFS($K$1:O$1,"&lt;&gt;"))),0)</f>
        <v>0</v>
      </c>
      <c r="P6">
        <f>IFERROR($J6/IF($A6&lt;COUNTIFS($K$1:P$1,"&lt;&gt;"),0,SUMIFS($J:$J,$B:$B,$B6,$A:$A,"&gt;="&amp;COUNTIFS($K$1:P$1,"&lt;&gt;"))),0)</f>
        <v>0</v>
      </c>
      <c r="Q6">
        <f>IFERROR($J6/IF($A6&lt;COUNTIFS($K$1:Q$1,"&lt;&gt;"),0,SUMIFS($J:$J,$B:$B,$B6,$A:$A,"&gt;="&amp;COUNTIFS($K$1:Q$1,"&lt;&gt;"))),0)</f>
        <v>0</v>
      </c>
      <c r="R6">
        <f>IFERROR($J6/IF($A6&lt;COUNTIFS($K$1:R$1,"&lt;&gt;"),0,SUMIFS($J:$J,$B:$B,$B6,$A:$A,"&gt;="&amp;COUNTIFS($K$1:R$1,"&lt;&gt;"))),0)</f>
        <v>0</v>
      </c>
      <c r="S6">
        <f>IFERROR($J6/IF($A6&lt;COUNTIFS($K$1:S$1,"&lt;&gt;"),0,SUMIFS($J:$J,$B:$B,$B6,$A:$A,"&gt;="&amp;COUNTIFS($K$1:S$1,"&lt;&gt;"))),0)</f>
        <v>0</v>
      </c>
      <c r="T6">
        <f>IFERROR($J6/IF($A6&lt;COUNTIFS($K$1:T$1,"&lt;&gt;"),0,SUMIFS($J:$J,$B:$B,$B6,$A:$A,"&gt;="&amp;COUNTIFS($K$1:T$1,"&lt;&gt;"))),0)</f>
        <v>0</v>
      </c>
      <c r="U6">
        <f>IFERROR($J6/IF($A6&lt;COUNTIFS($K$1:U$1,"&lt;&gt;"),0,SUMIFS($J:$J,$B:$B,$B6,$A:$A,"&gt;="&amp;COUNTIFS($K$1:U$1,"&lt;&gt;"))),0)</f>
        <v>0</v>
      </c>
      <c r="V6">
        <f>IFERROR($J6/IF($A6&lt;COUNTIFS($K$1:V$1,"&lt;&gt;"),0,SUMIFS($J:$J,$B:$B,$B6,$A:$A,"&gt;="&amp;COUNTIFS($K$1:V$1,"&lt;&gt;"))),0)</f>
        <v>0</v>
      </c>
      <c r="W6">
        <f t="shared" si="24"/>
        <v>8.4699453551912565E-2</v>
      </c>
      <c r="X6">
        <f t="shared" si="4"/>
        <v>8.4699453551912565E-2</v>
      </c>
      <c r="Y6">
        <f t="shared" si="5"/>
        <v>8.4699453551912565E-2</v>
      </c>
      <c r="Z6">
        <f t="shared" si="6"/>
        <v>8.4699453551912565E-2</v>
      </c>
      <c r="AA6">
        <f t="shared" si="7"/>
        <v>8.4699453551912565E-2</v>
      </c>
      <c r="AB6">
        <f t="shared" si="8"/>
        <v>0</v>
      </c>
      <c r="AC6">
        <f t="shared" si="9"/>
        <v>0</v>
      </c>
      <c r="AD6">
        <f t="shared" si="10"/>
        <v>0</v>
      </c>
      <c r="AE6">
        <f t="shared" si="11"/>
        <v>0</v>
      </c>
      <c r="AF6">
        <f t="shared" si="12"/>
        <v>0</v>
      </c>
      <c r="AG6">
        <f t="shared" si="13"/>
        <v>0</v>
      </c>
      <c r="AH6">
        <f t="shared" si="14"/>
        <v>0</v>
      </c>
      <c r="AI6">
        <f t="shared" si="15"/>
        <v>0</v>
      </c>
      <c r="AJ6" s="2" t="str">
        <f t="shared" si="25"/>
        <v>443831</v>
      </c>
    </row>
    <row r="7" spans="1:36" x14ac:dyDescent="0.25">
      <c r="A7">
        <v>5</v>
      </c>
      <c r="B7" s="1">
        <v>43831</v>
      </c>
      <c r="C7" s="1">
        <f t="shared" si="16"/>
        <v>43983</v>
      </c>
      <c r="D7" s="1">
        <f t="shared" si="17"/>
        <v>43845</v>
      </c>
      <c r="E7" s="1">
        <f t="shared" si="18"/>
        <v>43983</v>
      </c>
      <c r="F7" s="1">
        <f t="shared" si="19"/>
        <v>44013</v>
      </c>
      <c r="G7" s="1">
        <f t="shared" si="20"/>
        <v>44211</v>
      </c>
      <c r="H7">
        <f t="shared" si="21"/>
        <v>366</v>
      </c>
      <c r="I7">
        <f t="shared" si="22"/>
        <v>30</v>
      </c>
      <c r="J7">
        <f t="shared" si="23"/>
        <v>8.1967213114754092E-2</v>
      </c>
      <c r="K7">
        <f>IFERROR($J7/IF($A7&lt;COUNTIFS($K$1:K$1,"&lt;&gt;"),0,SUMIFS($J:$J,$B:$B,$B7,$A:$A,"&gt;="&amp;COUNTIFS($K$1:K$1,"&lt;&gt;"))),0)</f>
        <v>8.5959885386819479E-2</v>
      </c>
      <c r="L7">
        <f>IFERROR($J7/IF($A7&lt;COUNTIFS($K$1:L$1,"&lt;&gt;"),0,SUMIFS($J:$J,$B:$B,$B7,$A:$A,"&gt;="&amp;COUNTIFS($K$1:L$1,"&lt;&gt;"))),0)</f>
        <v>9.375E-2</v>
      </c>
      <c r="M7">
        <f>IFERROR($J7/IF($A7&lt;COUNTIFS($K$1:M$1,"&lt;&gt;"),0,SUMIFS($J:$J,$B:$B,$B7,$A:$A,"&gt;="&amp;COUNTIFS($K$1:M$1,"&lt;&gt;"))),0)</f>
        <v>0.10380622837370242</v>
      </c>
      <c r="N7">
        <f>IFERROR($J7/IF($A7&lt;COUNTIFS($K$1:N$1,"&lt;&gt;"),0,SUMIFS($J:$J,$B:$B,$B7,$A:$A,"&gt;="&amp;COUNTIFS($K$1:N$1,"&lt;&gt;"))),0)</f>
        <v>0.11583011583011582</v>
      </c>
      <c r="O7">
        <f>IFERROR($J7/IF($A7&lt;COUNTIFS($K$1:O$1,"&lt;&gt;"),0,SUMIFS($J:$J,$B:$B,$B7,$A:$A,"&gt;="&amp;COUNTIFS($K$1:O$1,"&lt;&gt;"))),0)</f>
        <v>0.13157894736842105</v>
      </c>
      <c r="P7">
        <f>IFERROR($J7/IF($A7&lt;COUNTIFS($K$1:P$1,"&lt;&gt;"),0,SUMIFS($J:$J,$B:$B,$B7,$A:$A,"&gt;="&amp;COUNTIFS($K$1:P$1,"&lt;&gt;"))),0)</f>
        <v>0</v>
      </c>
      <c r="Q7">
        <f>IFERROR($J7/IF($A7&lt;COUNTIFS($K$1:Q$1,"&lt;&gt;"),0,SUMIFS($J:$J,$B:$B,$B7,$A:$A,"&gt;="&amp;COUNTIFS($K$1:Q$1,"&lt;&gt;"))),0)</f>
        <v>0</v>
      </c>
      <c r="R7">
        <f>IFERROR($J7/IF($A7&lt;COUNTIFS($K$1:R$1,"&lt;&gt;"),0,SUMIFS($J:$J,$B:$B,$B7,$A:$A,"&gt;="&amp;COUNTIFS($K$1:R$1,"&lt;&gt;"))),0)</f>
        <v>0</v>
      </c>
      <c r="S7">
        <f>IFERROR($J7/IF($A7&lt;COUNTIFS($K$1:S$1,"&lt;&gt;"),0,SUMIFS($J:$J,$B:$B,$B7,$A:$A,"&gt;="&amp;COUNTIFS($K$1:S$1,"&lt;&gt;"))),0)</f>
        <v>0</v>
      </c>
      <c r="T7">
        <f>IFERROR($J7/IF($A7&lt;COUNTIFS($K$1:T$1,"&lt;&gt;"),0,SUMIFS($J:$J,$B:$B,$B7,$A:$A,"&gt;="&amp;COUNTIFS($K$1:T$1,"&lt;&gt;"))),0)</f>
        <v>0</v>
      </c>
      <c r="U7">
        <f>IFERROR($J7/IF($A7&lt;COUNTIFS($K$1:U$1,"&lt;&gt;"),0,SUMIFS($J:$J,$B:$B,$B7,$A:$A,"&gt;="&amp;COUNTIFS($K$1:U$1,"&lt;&gt;"))),0)</f>
        <v>0</v>
      </c>
      <c r="V7">
        <f>IFERROR($J7/IF($A7&lt;COUNTIFS($K$1:V$1,"&lt;&gt;"),0,SUMIFS($J:$J,$B:$B,$B7,$A:$A,"&gt;="&amp;COUNTIFS($K$1:V$1,"&lt;&gt;"))),0)</f>
        <v>0</v>
      </c>
      <c r="W7">
        <f t="shared" si="24"/>
        <v>8.1967213114754092E-2</v>
      </c>
      <c r="X7">
        <f t="shared" si="4"/>
        <v>8.1967213114754092E-2</v>
      </c>
      <c r="Y7">
        <f t="shared" si="5"/>
        <v>8.1967213114754092E-2</v>
      </c>
      <c r="Z7">
        <f t="shared" si="6"/>
        <v>8.1967213114754092E-2</v>
      </c>
      <c r="AA7">
        <f t="shared" si="7"/>
        <v>8.1967213114754092E-2</v>
      </c>
      <c r="AB7">
        <f t="shared" si="8"/>
        <v>8.1967213114754092E-2</v>
      </c>
      <c r="AC7">
        <f t="shared" si="9"/>
        <v>0</v>
      </c>
      <c r="AD7">
        <f t="shared" si="10"/>
        <v>0</v>
      </c>
      <c r="AE7">
        <f t="shared" si="11"/>
        <v>0</v>
      </c>
      <c r="AF7">
        <f t="shared" si="12"/>
        <v>0</v>
      </c>
      <c r="AG7">
        <f t="shared" si="13"/>
        <v>0</v>
      </c>
      <c r="AH7">
        <f t="shared" si="14"/>
        <v>0</v>
      </c>
      <c r="AI7">
        <f t="shared" si="15"/>
        <v>0</v>
      </c>
      <c r="AJ7" s="2" t="str">
        <f t="shared" si="25"/>
        <v>543831</v>
      </c>
    </row>
    <row r="8" spans="1:36" x14ac:dyDescent="0.25">
      <c r="A8">
        <v>6</v>
      </c>
      <c r="B8" s="1">
        <v>43831</v>
      </c>
      <c r="C8" s="1">
        <f t="shared" si="16"/>
        <v>44013</v>
      </c>
      <c r="D8" s="1">
        <f t="shared" si="17"/>
        <v>43845</v>
      </c>
      <c r="E8" s="1">
        <f t="shared" si="18"/>
        <v>44013</v>
      </c>
      <c r="F8" s="1">
        <f t="shared" si="19"/>
        <v>44044</v>
      </c>
      <c r="G8" s="1">
        <f t="shared" si="20"/>
        <v>44211</v>
      </c>
      <c r="H8">
        <f t="shared" si="21"/>
        <v>366</v>
      </c>
      <c r="I8">
        <f t="shared" si="22"/>
        <v>31</v>
      </c>
      <c r="J8">
        <f t="shared" si="23"/>
        <v>8.4699453551912565E-2</v>
      </c>
      <c r="K8">
        <f>IFERROR($J8/IF($A8&lt;COUNTIFS($K$1:K$1,"&lt;&gt;"),0,SUMIFS($J:$J,$B:$B,$B8,$A:$A,"&gt;="&amp;COUNTIFS($K$1:K$1,"&lt;&gt;"))),0)</f>
        <v>8.882521489971347E-2</v>
      </c>
      <c r="L8">
        <f>IFERROR($J8/IF($A8&lt;COUNTIFS($K$1:L$1,"&lt;&gt;"),0,SUMIFS($J:$J,$B:$B,$B8,$A:$A,"&gt;="&amp;COUNTIFS($K$1:L$1,"&lt;&gt;"))),0)</f>
        <v>9.6875000000000003E-2</v>
      </c>
      <c r="M8">
        <f>IFERROR($J8/IF($A8&lt;COUNTIFS($K$1:M$1,"&lt;&gt;"),0,SUMIFS($J:$J,$B:$B,$B8,$A:$A,"&gt;="&amp;COUNTIFS($K$1:M$1,"&lt;&gt;"))),0)</f>
        <v>0.10726643598615916</v>
      </c>
      <c r="N8">
        <f>IFERROR($J8/IF($A8&lt;COUNTIFS($K$1:N$1,"&lt;&gt;"),0,SUMIFS($J:$J,$B:$B,$B8,$A:$A,"&gt;="&amp;COUNTIFS($K$1:N$1,"&lt;&gt;"))),0)</f>
        <v>0.11969111969111969</v>
      </c>
      <c r="O8">
        <f>IFERROR($J8/IF($A8&lt;COUNTIFS($K$1:O$1,"&lt;&gt;"),0,SUMIFS($J:$J,$B:$B,$B8,$A:$A,"&gt;="&amp;COUNTIFS($K$1:O$1,"&lt;&gt;"))),0)</f>
        <v>0.13596491228070173</v>
      </c>
      <c r="P8">
        <f>IFERROR($J8/IF($A8&lt;COUNTIFS($K$1:P$1,"&lt;&gt;"),0,SUMIFS($J:$J,$B:$B,$B8,$A:$A,"&gt;="&amp;COUNTIFS($K$1:P$1,"&lt;&gt;"))),0)</f>
        <v>0.15656565656565655</v>
      </c>
      <c r="Q8">
        <f>IFERROR($J8/IF($A8&lt;COUNTIFS($K$1:Q$1,"&lt;&gt;"),0,SUMIFS($J:$J,$B:$B,$B8,$A:$A,"&gt;="&amp;COUNTIFS($K$1:Q$1,"&lt;&gt;"))),0)</f>
        <v>0</v>
      </c>
      <c r="R8">
        <f>IFERROR($J8/IF($A8&lt;COUNTIFS($K$1:R$1,"&lt;&gt;"),0,SUMIFS($J:$J,$B:$B,$B8,$A:$A,"&gt;="&amp;COUNTIFS($K$1:R$1,"&lt;&gt;"))),0)</f>
        <v>0</v>
      </c>
      <c r="S8">
        <f>IFERROR($J8/IF($A8&lt;COUNTIFS($K$1:S$1,"&lt;&gt;"),0,SUMIFS($J:$J,$B:$B,$B8,$A:$A,"&gt;="&amp;COUNTIFS($K$1:S$1,"&lt;&gt;"))),0)</f>
        <v>0</v>
      </c>
      <c r="T8">
        <f>IFERROR($J8/IF($A8&lt;COUNTIFS($K$1:T$1,"&lt;&gt;"),0,SUMIFS($J:$J,$B:$B,$B8,$A:$A,"&gt;="&amp;COUNTIFS($K$1:T$1,"&lt;&gt;"))),0)</f>
        <v>0</v>
      </c>
      <c r="U8">
        <f>IFERROR($J8/IF($A8&lt;COUNTIFS($K$1:U$1,"&lt;&gt;"),0,SUMIFS($J:$J,$B:$B,$B8,$A:$A,"&gt;="&amp;COUNTIFS($K$1:U$1,"&lt;&gt;"))),0)</f>
        <v>0</v>
      </c>
      <c r="V8">
        <f>IFERROR($J8/IF($A8&lt;COUNTIFS($K$1:V$1,"&lt;&gt;"),0,SUMIFS($J:$J,$B:$B,$B8,$A:$A,"&gt;="&amp;COUNTIFS($K$1:V$1,"&lt;&gt;"))),0)</f>
        <v>0</v>
      </c>
      <c r="W8">
        <f t="shared" si="24"/>
        <v>8.4699453551912565E-2</v>
      </c>
      <c r="X8">
        <f t="shared" si="4"/>
        <v>8.4699453551912565E-2</v>
      </c>
      <c r="Y8">
        <f t="shared" si="5"/>
        <v>8.4699453551912565E-2</v>
      </c>
      <c r="Z8">
        <f t="shared" si="6"/>
        <v>8.4699453551912565E-2</v>
      </c>
      <c r="AA8">
        <f t="shared" si="7"/>
        <v>8.4699453551912565E-2</v>
      </c>
      <c r="AB8">
        <f t="shared" si="8"/>
        <v>8.4699453551912565E-2</v>
      </c>
      <c r="AC8">
        <f t="shared" si="9"/>
        <v>8.4699453551912565E-2</v>
      </c>
      <c r="AD8">
        <f t="shared" si="10"/>
        <v>0</v>
      </c>
      <c r="AE8">
        <f t="shared" si="11"/>
        <v>0</v>
      </c>
      <c r="AF8">
        <f t="shared" si="12"/>
        <v>0</v>
      </c>
      <c r="AG8">
        <f t="shared" si="13"/>
        <v>0</v>
      </c>
      <c r="AH8">
        <f t="shared" si="14"/>
        <v>0</v>
      </c>
      <c r="AI8">
        <f t="shared" si="15"/>
        <v>0</v>
      </c>
      <c r="AJ8" s="2" t="str">
        <f t="shared" si="25"/>
        <v>643831</v>
      </c>
    </row>
    <row r="9" spans="1:36" x14ac:dyDescent="0.25">
      <c r="A9">
        <v>7</v>
      </c>
      <c r="B9" s="1">
        <v>43831</v>
      </c>
      <c r="C9" s="1">
        <f t="shared" si="16"/>
        <v>44044</v>
      </c>
      <c r="D9" s="1">
        <f t="shared" si="17"/>
        <v>43845</v>
      </c>
      <c r="E9" s="1">
        <f t="shared" si="18"/>
        <v>44044</v>
      </c>
      <c r="F9" s="1">
        <f t="shared" si="19"/>
        <v>44075</v>
      </c>
      <c r="G9" s="1">
        <f t="shared" si="20"/>
        <v>44211</v>
      </c>
      <c r="H9">
        <f t="shared" si="21"/>
        <v>366</v>
      </c>
      <c r="I9">
        <f t="shared" si="22"/>
        <v>31</v>
      </c>
      <c r="J9">
        <f t="shared" si="23"/>
        <v>8.4699453551912565E-2</v>
      </c>
      <c r="K9">
        <f>IFERROR($J9/IF($A9&lt;COUNTIFS($K$1:K$1,"&lt;&gt;"),0,SUMIFS($J:$J,$B:$B,$B9,$A:$A,"&gt;="&amp;COUNTIFS($K$1:K$1,"&lt;&gt;"))),0)</f>
        <v>8.882521489971347E-2</v>
      </c>
      <c r="L9">
        <f>IFERROR($J9/IF($A9&lt;COUNTIFS($K$1:L$1,"&lt;&gt;"),0,SUMIFS($J:$J,$B:$B,$B9,$A:$A,"&gt;="&amp;COUNTIFS($K$1:L$1,"&lt;&gt;"))),0)</f>
        <v>9.6875000000000003E-2</v>
      </c>
      <c r="M9">
        <f>IFERROR($J9/IF($A9&lt;COUNTIFS($K$1:M$1,"&lt;&gt;"),0,SUMIFS($J:$J,$B:$B,$B9,$A:$A,"&gt;="&amp;COUNTIFS($K$1:M$1,"&lt;&gt;"))),0)</f>
        <v>0.10726643598615916</v>
      </c>
      <c r="N9">
        <f>IFERROR($J9/IF($A9&lt;COUNTIFS($K$1:N$1,"&lt;&gt;"),0,SUMIFS($J:$J,$B:$B,$B9,$A:$A,"&gt;="&amp;COUNTIFS($K$1:N$1,"&lt;&gt;"))),0)</f>
        <v>0.11969111969111969</v>
      </c>
      <c r="O9">
        <f>IFERROR($J9/IF($A9&lt;COUNTIFS($K$1:O$1,"&lt;&gt;"),0,SUMIFS($J:$J,$B:$B,$B9,$A:$A,"&gt;="&amp;COUNTIFS($K$1:O$1,"&lt;&gt;"))),0)</f>
        <v>0.13596491228070173</v>
      </c>
      <c r="P9">
        <f>IFERROR($J9/IF($A9&lt;COUNTIFS($K$1:P$1,"&lt;&gt;"),0,SUMIFS($J:$J,$B:$B,$B9,$A:$A,"&gt;="&amp;COUNTIFS($K$1:P$1,"&lt;&gt;"))),0)</f>
        <v>0.15656565656565655</v>
      </c>
      <c r="Q9">
        <f>IFERROR($J9/IF($A9&lt;COUNTIFS($K$1:Q$1,"&lt;&gt;"),0,SUMIFS($J:$J,$B:$B,$B9,$A:$A,"&gt;="&amp;COUNTIFS($K$1:Q$1,"&lt;&gt;"))),0)</f>
        <v>0.18562874251497008</v>
      </c>
      <c r="R9">
        <f>IFERROR($J9/IF($A9&lt;COUNTIFS($K$1:R$1,"&lt;&gt;"),0,SUMIFS($J:$J,$B:$B,$B9,$A:$A,"&gt;="&amp;COUNTIFS($K$1:R$1,"&lt;&gt;"))),0)</f>
        <v>0</v>
      </c>
      <c r="S9">
        <f>IFERROR($J9/IF($A9&lt;COUNTIFS($K$1:S$1,"&lt;&gt;"),0,SUMIFS($J:$J,$B:$B,$B9,$A:$A,"&gt;="&amp;COUNTIFS($K$1:S$1,"&lt;&gt;"))),0)</f>
        <v>0</v>
      </c>
      <c r="T9">
        <f>IFERROR($J9/IF($A9&lt;COUNTIFS($K$1:T$1,"&lt;&gt;"),0,SUMIFS($J:$J,$B:$B,$B9,$A:$A,"&gt;="&amp;COUNTIFS($K$1:T$1,"&lt;&gt;"))),0)</f>
        <v>0</v>
      </c>
      <c r="U9">
        <f>IFERROR($J9/IF($A9&lt;COUNTIFS($K$1:U$1,"&lt;&gt;"),0,SUMIFS($J:$J,$B:$B,$B9,$A:$A,"&gt;="&amp;COUNTIFS($K$1:U$1,"&lt;&gt;"))),0)</f>
        <v>0</v>
      </c>
      <c r="V9">
        <f>IFERROR($J9/IF($A9&lt;COUNTIFS($K$1:V$1,"&lt;&gt;"),0,SUMIFS($J:$J,$B:$B,$B9,$A:$A,"&gt;="&amp;COUNTIFS($K$1:V$1,"&lt;&gt;"))),0)</f>
        <v>0</v>
      </c>
      <c r="W9">
        <f t="shared" si="24"/>
        <v>8.4699453551912565E-2</v>
      </c>
      <c r="X9">
        <f t="shared" si="4"/>
        <v>8.4699453551912565E-2</v>
      </c>
      <c r="Y9">
        <f t="shared" si="5"/>
        <v>8.4699453551912565E-2</v>
      </c>
      <c r="Z9">
        <f t="shared" si="6"/>
        <v>8.4699453551912565E-2</v>
      </c>
      <c r="AA9">
        <f t="shared" si="7"/>
        <v>8.4699453551912565E-2</v>
      </c>
      <c r="AB9">
        <f t="shared" si="8"/>
        <v>8.4699453551912565E-2</v>
      </c>
      <c r="AC9">
        <f t="shared" si="9"/>
        <v>8.4699453551912565E-2</v>
      </c>
      <c r="AD9">
        <f t="shared" si="10"/>
        <v>8.4699453551912565E-2</v>
      </c>
      <c r="AE9">
        <f t="shared" si="11"/>
        <v>0</v>
      </c>
      <c r="AF9">
        <f t="shared" si="12"/>
        <v>0</v>
      </c>
      <c r="AG9">
        <f t="shared" si="13"/>
        <v>0</v>
      </c>
      <c r="AH9">
        <f t="shared" si="14"/>
        <v>0</v>
      </c>
      <c r="AI9">
        <f t="shared" si="15"/>
        <v>0</v>
      </c>
      <c r="AJ9" s="2" t="str">
        <f t="shared" si="25"/>
        <v>743831</v>
      </c>
    </row>
    <row r="10" spans="1:36" x14ac:dyDescent="0.25">
      <c r="A10">
        <v>8</v>
      </c>
      <c r="B10" s="1">
        <v>43831</v>
      </c>
      <c r="C10" s="1">
        <f t="shared" si="16"/>
        <v>44075</v>
      </c>
      <c r="D10" s="1">
        <f t="shared" si="17"/>
        <v>43845</v>
      </c>
      <c r="E10" s="1">
        <f t="shared" si="18"/>
        <v>44075</v>
      </c>
      <c r="F10" s="1">
        <f t="shared" si="19"/>
        <v>44105</v>
      </c>
      <c r="G10" s="1">
        <f t="shared" si="20"/>
        <v>44211</v>
      </c>
      <c r="H10">
        <f t="shared" si="21"/>
        <v>366</v>
      </c>
      <c r="I10">
        <f t="shared" si="22"/>
        <v>30</v>
      </c>
      <c r="J10">
        <f t="shared" si="23"/>
        <v>8.1967213114754092E-2</v>
      </c>
      <c r="K10">
        <f>IFERROR($J10/IF($A10&lt;COUNTIFS($K$1:K$1,"&lt;&gt;"),0,SUMIFS($J:$J,$B:$B,$B10,$A:$A,"&gt;="&amp;COUNTIFS($K$1:K$1,"&lt;&gt;"))),0)</f>
        <v>8.5959885386819479E-2</v>
      </c>
      <c r="L10">
        <f>IFERROR($J10/IF($A10&lt;COUNTIFS($K$1:L$1,"&lt;&gt;"),0,SUMIFS($J:$J,$B:$B,$B10,$A:$A,"&gt;="&amp;COUNTIFS($K$1:L$1,"&lt;&gt;"))),0)</f>
        <v>9.375E-2</v>
      </c>
      <c r="M10">
        <f>IFERROR($J10/IF($A10&lt;COUNTIFS($K$1:M$1,"&lt;&gt;"),0,SUMIFS($J:$J,$B:$B,$B10,$A:$A,"&gt;="&amp;COUNTIFS($K$1:M$1,"&lt;&gt;"))),0)</f>
        <v>0.10380622837370242</v>
      </c>
      <c r="N10">
        <f>IFERROR($J10/IF($A10&lt;COUNTIFS($K$1:N$1,"&lt;&gt;"),0,SUMIFS($J:$J,$B:$B,$B10,$A:$A,"&gt;="&amp;COUNTIFS($K$1:N$1,"&lt;&gt;"))),0)</f>
        <v>0.11583011583011582</v>
      </c>
      <c r="O10">
        <f>IFERROR($J10/IF($A10&lt;COUNTIFS($K$1:O$1,"&lt;&gt;"),0,SUMIFS($J:$J,$B:$B,$B10,$A:$A,"&gt;="&amp;COUNTIFS($K$1:O$1,"&lt;&gt;"))),0)</f>
        <v>0.13157894736842105</v>
      </c>
      <c r="P10">
        <f>IFERROR($J10/IF($A10&lt;COUNTIFS($K$1:P$1,"&lt;&gt;"),0,SUMIFS($J:$J,$B:$B,$B10,$A:$A,"&gt;="&amp;COUNTIFS($K$1:P$1,"&lt;&gt;"))),0)</f>
        <v>0.15151515151515149</v>
      </c>
      <c r="Q10">
        <f>IFERROR($J10/IF($A10&lt;COUNTIFS($K$1:Q$1,"&lt;&gt;"),0,SUMIFS($J:$J,$B:$B,$B10,$A:$A,"&gt;="&amp;COUNTIFS($K$1:Q$1,"&lt;&gt;"))),0)</f>
        <v>0.17964071856287425</v>
      </c>
      <c r="R10">
        <f>IFERROR($J10/IF($A10&lt;COUNTIFS($K$1:R$1,"&lt;&gt;"),0,SUMIFS($J:$J,$B:$B,$B10,$A:$A,"&gt;="&amp;COUNTIFS($K$1:R$1,"&lt;&gt;"))),0)</f>
        <v>0.22058823529411764</v>
      </c>
      <c r="S10">
        <f>IFERROR($J10/IF($A10&lt;COUNTIFS($K$1:S$1,"&lt;&gt;"),0,SUMIFS($J:$J,$B:$B,$B10,$A:$A,"&gt;="&amp;COUNTIFS($K$1:S$1,"&lt;&gt;"))),0)</f>
        <v>0</v>
      </c>
      <c r="T10">
        <f>IFERROR($J10/IF($A10&lt;COUNTIFS($K$1:T$1,"&lt;&gt;"),0,SUMIFS($J:$J,$B:$B,$B10,$A:$A,"&gt;="&amp;COUNTIFS($K$1:T$1,"&lt;&gt;"))),0)</f>
        <v>0</v>
      </c>
      <c r="U10">
        <f>IFERROR($J10/IF($A10&lt;COUNTIFS($K$1:U$1,"&lt;&gt;"),0,SUMIFS($J:$J,$B:$B,$B10,$A:$A,"&gt;="&amp;COUNTIFS($K$1:U$1,"&lt;&gt;"))),0)</f>
        <v>0</v>
      </c>
      <c r="V10">
        <f>IFERROR($J10/IF($A10&lt;COUNTIFS($K$1:V$1,"&lt;&gt;"),0,SUMIFS($J:$J,$B:$B,$B10,$A:$A,"&gt;="&amp;COUNTIFS($K$1:V$1,"&lt;&gt;"))),0)</f>
        <v>0</v>
      </c>
      <c r="W10">
        <f t="shared" si="24"/>
        <v>8.1967213114754092E-2</v>
      </c>
      <c r="X10">
        <f t="shared" si="4"/>
        <v>8.1967213114754092E-2</v>
      </c>
      <c r="Y10">
        <f t="shared" si="5"/>
        <v>8.1967213114754092E-2</v>
      </c>
      <c r="Z10">
        <f t="shared" si="6"/>
        <v>8.1967213114754092E-2</v>
      </c>
      <c r="AA10">
        <f t="shared" si="7"/>
        <v>8.1967213114754092E-2</v>
      </c>
      <c r="AB10">
        <f t="shared" si="8"/>
        <v>8.1967213114754092E-2</v>
      </c>
      <c r="AC10">
        <f t="shared" si="9"/>
        <v>8.1967213114754092E-2</v>
      </c>
      <c r="AD10">
        <f t="shared" si="10"/>
        <v>8.1967213114754092E-2</v>
      </c>
      <c r="AE10">
        <f t="shared" si="11"/>
        <v>8.1967213114754092E-2</v>
      </c>
      <c r="AF10">
        <f t="shared" si="12"/>
        <v>0</v>
      </c>
      <c r="AG10">
        <f t="shared" si="13"/>
        <v>0</v>
      </c>
      <c r="AH10">
        <f t="shared" si="14"/>
        <v>0</v>
      </c>
      <c r="AI10">
        <f t="shared" si="15"/>
        <v>0</v>
      </c>
      <c r="AJ10" s="2" t="str">
        <f t="shared" si="25"/>
        <v>843831</v>
      </c>
    </row>
    <row r="11" spans="1:36" x14ac:dyDescent="0.25">
      <c r="A11">
        <v>9</v>
      </c>
      <c r="B11" s="1">
        <v>43831</v>
      </c>
      <c r="C11" s="1">
        <f t="shared" si="16"/>
        <v>44105</v>
      </c>
      <c r="D11" s="1">
        <f t="shared" si="17"/>
        <v>43845</v>
      </c>
      <c r="E11" s="1">
        <f t="shared" si="18"/>
        <v>44105</v>
      </c>
      <c r="F11" s="1">
        <f t="shared" si="19"/>
        <v>44136</v>
      </c>
      <c r="G11" s="1">
        <f t="shared" si="20"/>
        <v>44211</v>
      </c>
      <c r="H11">
        <f t="shared" si="21"/>
        <v>366</v>
      </c>
      <c r="I11">
        <f t="shared" si="22"/>
        <v>31</v>
      </c>
      <c r="J11">
        <f t="shared" si="23"/>
        <v>8.4699453551912565E-2</v>
      </c>
      <c r="K11">
        <f>IFERROR($J11/IF($A11&lt;COUNTIFS($K$1:K$1,"&lt;&gt;"),0,SUMIFS($J:$J,$B:$B,$B11,$A:$A,"&gt;="&amp;COUNTIFS($K$1:K$1,"&lt;&gt;"))),0)</f>
        <v>8.882521489971347E-2</v>
      </c>
      <c r="L11">
        <f>IFERROR($J11/IF($A11&lt;COUNTIFS($K$1:L$1,"&lt;&gt;"),0,SUMIFS($J:$J,$B:$B,$B11,$A:$A,"&gt;="&amp;COUNTIFS($K$1:L$1,"&lt;&gt;"))),0)</f>
        <v>9.6875000000000003E-2</v>
      </c>
      <c r="M11">
        <f>IFERROR($J11/IF($A11&lt;COUNTIFS($K$1:M$1,"&lt;&gt;"),0,SUMIFS($J:$J,$B:$B,$B11,$A:$A,"&gt;="&amp;COUNTIFS($K$1:M$1,"&lt;&gt;"))),0)</f>
        <v>0.10726643598615916</v>
      </c>
      <c r="N11">
        <f>IFERROR($J11/IF($A11&lt;COUNTIFS($K$1:N$1,"&lt;&gt;"),0,SUMIFS($J:$J,$B:$B,$B11,$A:$A,"&gt;="&amp;COUNTIFS($K$1:N$1,"&lt;&gt;"))),0)</f>
        <v>0.11969111969111969</v>
      </c>
      <c r="O11">
        <f>IFERROR($J11/IF($A11&lt;COUNTIFS($K$1:O$1,"&lt;&gt;"),0,SUMIFS($J:$J,$B:$B,$B11,$A:$A,"&gt;="&amp;COUNTIFS($K$1:O$1,"&lt;&gt;"))),0)</f>
        <v>0.13596491228070173</v>
      </c>
      <c r="P11">
        <f>IFERROR($J11/IF($A11&lt;COUNTIFS($K$1:P$1,"&lt;&gt;"),0,SUMIFS($J:$J,$B:$B,$B11,$A:$A,"&gt;="&amp;COUNTIFS($K$1:P$1,"&lt;&gt;"))),0)</f>
        <v>0.15656565656565655</v>
      </c>
      <c r="Q11">
        <f>IFERROR($J11/IF($A11&lt;COUNTIFS($K$1:Q$1,"&lt;&gt;"),0,SUMIFS($J:$J,$B:$B,$B11,$A:$A,"&gt;="&amp;COUNTIFS($K$1:Q$1,"&lt;&gt;"))),0)</f>
        <v>0.18562874251497008</v>
      </c>
      <c r="R11">
        <f>IFERROR($J11/IF($A11&lt;COUNTIFS($K$1:R$1,"&lt;&gt;"),0,SUMIFS($J:$J,$B:$B,$B11,$A:$A,"&gt;="&amp;COUNTIFS($K$1:R$1,"&lt;&gt;"))),0)</f>
        <v>0.22794117647058826</v>
      </c>
      <c r="S11">
        <f>IFERROR($J11/IF($A11&lt;COUNTIFS($K$1:S$1,"&lt;&gt;"),0,SUMIFS($J:$J,$B:$B,$B11,$A:$A,"&gt;="&amp;COUNTIFS($K$1:S$1,"&lt;&gt;"))),0)</f>
        <v>0.29245283018867924</v>
      </c>
      <c r="T11">
        <f>IFERROR($J11/IF($A11&lt;COUNTIFS($K$1:T$1,"&lt;&gt;"),0,SUMIFS($J:$J,$B:$B,$B11,$A:$A,"&gt;="&amp;COUNTIFS($K$1:T$1,"&lt;&gt;"))),0)</f>
        <v>0</v>
      </c>
      <c r="U11">
        <f>IFERROR($J11/IF($A11&lt;COUNTIFS($K$1:U$1,"&lt;&gt;"),0,SUMIFS($J:$J,$B:$B,$B11,$A:$A,"&gt;="&amp;COUNTIFS($K$1:U$1,"&lt;&gt;"))),0)</f>
        <v>0</v>
      </c>
      <c r="V11">
        <f>IFERROR($J11/IF($A11&lt;COUNTIFS($K$1:V$1,"&lt;&gt;"),0,SUMIFS($J:$J,$B:$B,$B11,$A:$A,"&gt;="&amp;COUNTIFS($K$1:V$1,"&lt;&gt;"))),0)</f>
        <v>0</v>
      </c>
      <c r="W11">
        <f t="shared" si="24"/>
        <v>8.4699453551912565E-2</v>
      </c>
      <c r="X11">
        <f t="shared" si="4"/>
        <v>8.4699453551912565E-2</v>
      </c>
      <c r="Y11">
        <f t="shared" si="5"/>
        <v>8.4699453551912565E-2</v>
      </c>
      <c r="Z11">
        <f t="shared" si="6"/>
        <v>8.4699453551912565E-2</v>
      </c>
      <c r="AA11">
        <f t="shared" si="7"/>
        <v>8.4699453551912565E-2</v>
      </c>
      <c r="AB11">
        <f t="shared" si="8"/>
        <v>8.4699453551912565E-2</v>
      </c>
      <c r="AC11">
        <f t="shared" si="9"/>
        <v>8.4699453551912565E-2</v>
      </c>
      <c r="AD11">
        <f t="shared" si="10"/>
        <v>8.4699453551912565E-2</v>
      </c>
      <c r="AE11">
        <f t="shared" si="11"/>
        <v>8.4699453551912565E-2</v>
      </c>
      <c r="AF11">
        <f t="shared" si="12"/>
        <v>8.4699453551912565E-2</v>
      </c>
      <c r="AG11">
        <f t="shared" si="13"/>
        <v>0</v>
      </c>
      <c r="AH11">
        <f t="shared" si="14"/>
        <v>0</v>
      </c>
      <c r="AI11">
        <f t="shared" si="15"/>
        <v>0</v>
      </c>
      <c r="AJ11" s="2" t="str">
        <f t="shared" si="25"/>
        <v>943831</v>
      </c>
    </row>
    <row r="12" spans="1:36" x14ac:dyDescent="0.25">
      <c r="A12">
        <v>10</v>
      </c>
      <c r="B12" s="1">
        <v>43831</v>
      </c>
      <c r="C12" s="1">
        <f t="shared" si="16"/>
        <v>44136</v>
      </c>
      <c r="D12" s="1">
        <f t="shared" si="17"/>
        <v>43845</v>
      </c>
      <c r="E12" s="1">
        <f t="shared" si="18"/>
        <v>44136</v>
      </c>
      <c r="F12" s="1">
        <f t="shared" si="19"/>
        <v>44166</v>
      </c>
      <c r="G12" s="1">
        <f t="shared" si="20"/>
        <v>44211</v>
      </c>
      <c r="H12">
        <f t="shared" si="21"/>
        <v>366</v>
      </c>
      <c r="I12">
        <f t="shared" si="22"/>
        <v>30</v>
      </c>
      <c r="J12">
        <f t="shared" si="23"/>
        <v>8.1967213114754092E-2</v>
      </c>
      <c r="K12">
        <f>IFERROR($J12/IF($A12&lt;COUNTIFS($K$1:K$1,"&lt;&gt;"),0,SUMIFS($J:$J,$B:$B,$B12,$A:$A,"&gt;="&amp;COUNTIFS($K$1:K$1,"&lt;&gt;"))),0)</f>
        <v>8.5959885386819479E-2</v>
      </c>
      <c r="L12">
        <f>IFERROR($J12/IF($A12&lt;COUNTIFS($K$1:L$1,"&lt;&gt;"),0,SUMIFS($J:$J,$B:$B,$B12,$A:$A,"&gt;="&amp;COUNTIFS($K$1:L$1,"&lt;&gt;"))),0)</f>
        <v>9.375E-2</v>
      </c>
      <c r="M12">
        <f>IFERROR($J12/IF($A12&lt;COUNTIFS($K$1:M$1,"&lt;&gt;"),0,SUMIFS($J:$J,$B:$B,$B12,$A:$A,"&gt;="&amp;COUNTIFS($K$1:M$1,"&lt;&gt;"))),0)</f>
        <v>0.10380622837370242</v>
      </c>
      <c r="N12">
        <f>IFERROR($J12/IF($A12&lt;COUNTIFS($K$1:N$1,"&lt;&gt;"),0,SUMIFS($J:$J,$B:$B,$B12,$A:$A,"&gt;="&amp;COUNTIFS($K$1:N$1,"&lt;&gt;"))),0)</f>
        <v>0.11583011583011582</v>
      </c>
      <c r="O12">
        <f>IFERROR($J12/IF($A12&lt;COUNTIFS($K$1:O$1,"&lt;&gt;"),0,SUMIFS($J:$J,$B:$B,$B12,$A:$A,"&gt;="&amp;COUNTIFS($K$1:O$1,"&lt;&gt;"))),0)</f>
        <v>0.13157894736842105</v>
      </c>
      <c r="P12">
        <f>IFERROR($J12/IF($A12&lt;COUNTIFS($K$1:P$1,"&lt;&gt;"),0,SUMIFS($J:$J,$B:$B,$B12,$A:$A,"&gt;="&amp;COUNTIFS($K$1:P$1,"&lt;&gt;"))),0)</f>
        <v>0.15151515151515149</v>
      </c>
      <c r="Q12">
        <f>IFERROR($J12/IF($A12&lt;COUNTIFS($K$1:Q$1,"&lt;&gt;"),0,SUMIFS($J:$J,$B:$B,$B12,$A:$A,"&gt;="&amp;COUNTIFS($K$1:Q$1,"&lt;&gt;"))),0)</f>
        <v>0.17964071856287425</v>
      </c>
      <c r="R12">
        <f>IFERROR($J12/IF($A12&lt;COUNTIFS($K$1:R$1,"&lt;&gt;"),0,SUMIFS($J:$J,$B:$B,$B12,$A:$A,"&gt;="&amp;COUNTIFS($K$1:R$1,"&lt;&gt;"))),0)</f>
        <v>0.22058823529411764</v>
      </c>
      <c r="S12">
        <f>IFERROR($J12/IF($A12&lt;COUNTIFS($K$1:S$1,"&lt;&gt;"),0,SUMIFS($J:$J,$B:$B,$B12,$A:$A,"&gt;="&amp;COUNTIFS($K$1:S$1,"&lt;&gt;"))),0)</f>
        <v>0.28301886792452829</v>
      </c>
      <c r="T12">
        <f>IFERROR($J12/IF($A12&lt;COUNTIFS($K$1:T$1,"&lt;&gt;"),0,SUMIFS($J:$J,$B:$B,$B12,$A:$A,"&gt;="&amp;COUNTIFS($K$1:T$1,"&lt;&gt;"))),0)</f>
        <v>0.39999999999999997</v>
      </c>
      <c r="U12">
        <f>IFERROR($J12/IF($A12&lt;COUNTIFS($K$1:U$1,"&lt;&gt;"),0,SUMIFS($J:$J,$B:$B,$B12,$A:$A,"&gt;="&amp;COUNTIFS($K$1:U$1,"&lt;&gt;"))),0)</f>
        <v>0</v>
      </c>
      <c r="V12">
        <f>IFERROR($J12/IF($A12&lt;COUNTIFS($K$1:V$1,"&lt;&gt;"),0,SUMIFS($J:$J,$B:$B,$B12,$A:$A,"&gt;="&amp;COUNTIFS($K$1:V$1,"&lt;&gt;"))),0)</f>
        <v>0</v>
      </c>
      <c r="W12">
        <f t="shared" si="24"/>
        <v>8.1967213114754092E-2</v>
      </c>
      <c r="X12">
        <f t="shared" si="4"/>
        <v>8.1967213114754092E-2</v>
      </c>
      <c r="Y12">
        <f t="shared" si="5"/>
        <v>8.1967213114754092E-2</v>
      </c>
      <c r="Z12">
        <f t="shared" si="6"/>
        <v>8.1967213114754092E-2</v>
      </c>
      <c r="AA12">
        <f t="shared" si="7"/>
        <v>8.1967213114754092E-2</v>
      </c>
      <c r="AB12">
        <f t="shared" si="8"/>
        <v>8.1967213114754092E-2</v>
      </c>
      <c r="AC12">
        <f t="shared" si="9"/>
        <v>8.1967213114754092E-2</v>
      </c>
      <c r="AD12">
        <f t="shared" si="10"/>
        <v>8.1967213114754092E-2</v>
      </c>
      <c r="AE12">
        <f t="shared" si="11"/>
        <v>8.1967213114754092E-2</v>
      </c>
      <c r="AF12">
        <f t="shared" si="12"/>
        <v>8.1967213114754092E-2</v>
      </c>
      <c r="AG12">
        <f t="shared" si="13"/>
        <v>8.1967213114754092E-2</v>
      </c>
      <c r="AH12">
        <f t="shared" si="14"/>
        <v>0</v>
      </c>
      <c r="AI12">
        <f t="shared" si="15"/>
        <v>0</v>
      </c>
      <c r="AJ12" s="2" t="str">
        <f t="shared" si="25"/>
        <v>1043831</v>
      </c>
    </row>
    <row r="13" spans="1:36" x14ac:dyDescent="0.25">
      <c r="A13">
        <v>11</v>
      </c>
      <c r="B13" s="1">
        <v>43831</v>
      </c>
      <c r="C13" s="1">
        <f t="shared" si="16"/>
        <v>44166</v>
      </c>
      <c r="D13" s="1">
        <f t="shared" si="17"/>
        <v>43845</v>
      </c>
      <c r="E13" s="1">
        <f t="shared" si="18"/>
        <v>44166</v>
      </c>
      <c r="F13" s="1">
        <f t="shared" si="19"/>
        <v>44197</v>
      </c>
      <c r="G13" s="1">
        <f t="shared" si="20"/>
        <v>44211</v>
      </c>
      <c r="H13">
        <f t="shared" si="21"/>
        <v>366</v>
      </c>
      <c r="I13">
        <f t="shared" si="22"/>
        <v>31</v>
      </c>
      <c r="J13">
        <f t="shared" si="23"/>
        <v>8.4699453551912565E-2</v>
      </c>
      <c r="K13">
        <f>IFERROR($J13/IF($A13&lt;COUNTIFS($K$1:K$1,"&lt;&gt;"),0,SUMIFS($J:$J,$B:$B,$B13,$A:$A,"&gt;="&amp;COUNTIFS($K$1:K$1,"&lt;&gt;"))),0)</f>
        <v>8.882521489971347E-2</v>
      </c>
      <c r="L13">
        <f>IFERROR($J13/IF($A13&lt;COUNTIFS($K$1:L$1,"&lt;&gt;"),0,SUMIFS($J:$J,$B:$B,$B13,$A:$A,"&gt;="&amp;COUNTIFS($K$1:L$1,"&lt;&gt;"))),0)</f>
        <v>9.6875000000000003E-2</v>
      </c>
      <c r="M13">
        <f>IFERROR($J13/IF($A13&lt;COUNTIFS($K$1:M$1,"&lt;&gt;"),0,SUMIFS($J:$J,$B:$B,$B13,$A:$A,"&gt;="&amp;COUNTIFS($K$1:M$1,"&lt;&gt;"))),0)</f>
        <v>0.10726643598615916</v>
      </c>
      <c r="N13">
        <f>IFERROR($J13/IF($A13&lt;COUNTIFS($K$1:N$1,"&lt;&gt;"),0,SUMIFS($J:$J,$B:$B,$B13,$A:$A,"&gt;="&amp;COUNTIFS($K$1:N$1,"&lt;&gt;"))),0)</f>
        <v>0.11969111969111969</v>
      </c>
      <c r="O13">
        <f>IFERROR($J13/IF($A13&lt;COUNTIFS($K$1:O$1,"&lt;&gt;"),0,SUMIFS($J:$J,$B:$B,$B13,$A:$A,"&gt;="&amp;COUNTIFS($K$1:O$1,"&lt;&gt;"))),0)</f>
        <v>0.13596491228070173</v>
      </c>
      <c r="P13">
        <f>IFERROR($J13/IF($A13&lt;COUNTIFS($K$1:P$1,"&lt;&gt;"),0,SUMIFS($J:$J,$B:$B,$B13,$A:$A,"&gt;="&amp;COUNTIFS($K$1:P$1,"&lt;&gt;"))),0)</f>
        <v>0.15656565656565655</v>
      </c>
      <c r="Q13">
        <f>IFERROR($J13/IF($A13&lt;COUNTIFS($K$1:Q$1,"&lt;&gt;"),0,SUMIFS($J:$J,$B:$B,$B13,$A:$A,"&gt;="&amp;COUNTIFS($K$1:Q$1,"&lt;&gt;"))),0)</f>
        <v>0.18562874251497008</v>
      </c>
      <c r="R13">
        <f>IFERROR($J13/IF($A13&lt;COUNTIFS($K$1:R$1,"&lt;&gt;"),0,SUMIFS($J:$J,$B:$B,$B13,$A:$A,"&gt;="&amp;COUNTIFS($K$1:R$1,"&lt;&gt;"))),0)</f>
        <v>0.22794117647058826</v>
      </c>
      <c r="S13">
        <f>IFERROR($J13/IF($A13&lt;COUNTIFS($K$1:S$1,"&lt;&gt;"),0,SUMIFS($J:$J,$B:$B,$B13,$A:$A,"&gt;="&amp;COUNTIFS($K$1:S$1,"&lt;&gt;"))),0)</f>
        <v>0.29245283018867924</v>
      </c>
      <c r="T13">
        <f>IFERROR($J13/IF($A13&lt;COUNTIFS($K$1:T$1,"&lt;&gt;"),0,SUMIFS($J:$J,$B:$B,$B13,$A:$A,"&gt;="&amp;COUNTIFS($K$1:T$1,"&lt;&gt;"))),0)</f>
        <v>0.41333333333333333</v>
      </c>
      <c r="U13">
        <f>IFERROR($J13/IF($A13&lt;COUNTIFS($K$1:U$1,"&lt;&gt;"),0,SUMIFS($J:$J,$B:$B,$B13,$A:$A,"&gt;="&amp;COUNTIFS($K$1:U$1,"&lt;&gt;"))),0)</f>
        <v>0.68888888888888888</v>
      </c>
      <c r="V13">
        <f>IFERROR($J13/IF($A13&lt;COUNTIFS($K$1:V$1,"&lt;&gt;"),0,SUMIFS($J:$J,$B:$B,$B13,$A:$A,"&gt;="&amp;COUNTIFS($K$1:V$1,"&lt;&gt;"))),0)</f>
        <v>0</v>
      </c>
      <c r="W13">
        <f t="shared" si="24"/>
        <v>8.4699453551912565E-2</v>
      </c>
      <c r="X13">
        <f t="shared" si="4"/>
        <v>8.4699453551912565E-2</v>
      </c>
      <c r="Y13">
        <f t="shared" si="5"/>
        <v>8.4699453551912565E-2</v>
      </c>
      <c r="Z13">
        <f t="shared" si="6"/>
        <v>8.4699453551912565E-2</v>
      </c>
      <c r="AA13">
        <f t="shared" si="7"/>
        <v>8.4699453551912565E-2</v>
      </c>
      <c r="AB13">
        <f t="shared" si="8"/>
        <v>8.4699453551912565E-2</v>
      </c>
      <c r="AC13">
        <f t="shared" si="9"/>
        <v>8.4699453551912565E-2</v>
      </c>
      <c r="AD13">
        <f t="shared" si="10"/>
        <v>8.4699453551912565E-2</v>
      </c>
      <c r="AE13">
        <f t="shared" si="11"/>
        <v>8.4699453551912565E-2</v>
      </c>
      <c r="AF13">
        <f t="shared" si="12"/>
        <v>8.4699453551912565E-2</v>
      </c>
      <c r="AG13">
        <f t="shared" si="13"/>
        <v>8.4699453551912565E-2</v>
      </c>
      <c r="AH13">
        <f t="shared" si="14"/>
        <v>8.4699453551912565E-2</v>
      </c>
      <c r="AI13">
        <f t="shared" si="15"/>
        <v>0</v>
      </c>
      <c r="AJ13" s="2" t="str">
        <f t="shared" si="25"/>
        <v>1143831</v>
      </c>
    </row>
    <row r="14" spans="1:36" x14ac:dyDescent="0.25">
      <c r="A14">
        <v>12</v>
      </c>
      <c r="B14" s="1">
        <v>43831</v>
      </c>
      <c r="C14" s="1">
        <f t="shared" si="16"/>
        <v>44197</v>
      </c>
      <c r="D14" s="1">
        <f t="shared" si="17"/>
        <v>43845</v>
      </c>
      <c r="E14" s="1">
        <f t="shared" si="18"/>
        <v>44197</v>
      </c>
      <c r="F14" s="1">
        <f t="shared" si="19"/>
        <v>44211</v>
      </c>
      <c r="G14" s="1">
        <f t="shared" si="20"/>
        <v>44211</v>
      </c>
      <c r="H14">
        <f t="shared" si="21"/>
        <v>366</v>
      </c>
      <c r="I14">
        <f t="shared" si="22"/>
        <v>14</v>
      </c>
      <c r="J14">
        <f t="shared" si="23"/>
        <v>3.825136612021858E-2</v>
      </c>
      <c r="K14">
        <f>IFERROR($J14/IF($A14&lt;COUNTIFS($K$1:K$1,"&lt;&gt;"),0,SUMIFS($J:$J,$B:$B,$B14,$A:$A,"&gt;="&amp;COUNTIFS($K$1:K$1,"&lt;&gt;"))),0)</f>
        <v>4.0114613180515762E-2</v>
      </c>
      <c r="L14">
        <f>IFERROR($J14/IF($A14&lt;COUNTIFS($K$1:L$1,"&lt;&gt;"),0,SUMIFS($J:$J,$B:$B,$B14,$A:$A,"&gt;="&amp;COUNTIFS($K$1:L$1,"&lt;&gt;"))),0)</f>
        <v>4.3750000000000004E-2</v>
      </c>
      <c r="M14">
        <f>IFERROR($J14/IF($A14&lt;COUNTIFS($K$1:M$1,"&lt;&gt;"),0,SUMIFS($J:$J,$B:$B,$B14,$A:$A,"&gt;="&amp;COUNTIFS($K$1:M$1,"&lt;&gt;"))),0)</f>
        <v>4.8442906574394463E-2</v>
      </c>
      <c r="N14">
        <f>IFERROR($J14/IF($A14&lt;COUNTIFS($K$1:N$1,"&lt;&gt;"),0,SUMIFS($J:$J,$B:$B,$B14,$A:$A,"&gt;="&amp;COUNTIFS($K$1:N$1,"&lt;&gt;"))),0)</f>
        <v>5.4054054054054057E-2</v>
      </c>
      <c r="O14">
        <f>IFERROR($J14/IF($A14&lt;COUNTIFS($K$1:O$1,"&lt;&gt;"),0,SUMIFS($J:$J,$B:$B,$B14,$A:$A,"&gt;="&amp;COUNTIFS($K$1:O$1,"&lt;&gt;"))),0)</f>
        <v>6.1403508771929821E-2</v>
      </c>
      <c r="P14">
        <f>IFERROR($J14/IF($A14&lt;COUNTIFS($K$1:P$1,"&lt;&gt;"),0,SUMIFS($J:$J,$B:$B,$B14,$A:$A,"&gt;="&amp;COUNTIFS($K$1:P$1,"&lt;&gt;"))),0)</f>
        <v>7.0707070707070704E-2</v>
      </c>
      <c r="Q14">
        <f>IFERROR($J14/IF($A14&lt;COUNTIFS($K$1:Q$1,"&lt;&gt;"),0,SUMIFS($J:$J,$B:$B,$B14,$A:$A,"&gt;="&amp;COUNTIFS($K$1:Q$1,"&lt;&gt;"))),0)</f>
        <v>8.3832335329341326E-2</v>
      </c>
      <c r="R14">
        <f>IFERROR($J14/IF($A14&lt;COUNTIFS($K$1:R$1,"&lt;&gt;"),0,SUMIFS($J:$J,$B:$B,$B14,$A:$A,"&gt;="&amp;COUNTIFS($K$1:R$1,"&lt;&gt;"))),0)</f>
        <v>0.10294117647058824</v>
      </c>
      <c r="S14">
        <f>IFERROR($J14/IF($A14&lt;COUNTIFS($K$1:S$1,"&lt;&gt;"),0,SUMIFS($J:$J,$B:$B,$B14,$A:$A,"&gt;="&amp;COUNTIFS($K$1:S$1,"&lt;&gt;"))),0)</f>
        <v>0.13207547169811321</v>
      </c>
      <c r="T14">
        <f>IFERROR($J14/IF($A14&lt;COUNTIFS($K$1:T$1,"&lt;&gt;"),0,SUMIFS($J:$J,$B:$B,$B14,$A:$A,"&gt;="&amp;COUNTIFS($K$1:T$1,"&lt;&gt;"))),0)</f>
        <v>0.18666666666666668</v>
      </c>
      <c r="U14">
        <f>IFERROR($J14/IF($A14&lt;COUNTIFS($K$1:U$1,"&lt;&gt;"),0,SUMIFS($J:$J,$B:$B,$B14,$A:$A,"&gt;="&amp;COUNTIFS($K$1:U$1,"&lt;&gt;"))),0)</f>
        <v>0.31111111111111112</v>
      </c>
      <c r="V14">
        <f>IFERROR($J14/IF($A14&lt;COUNTIFS($K$1:V$1,"&lt;&gt;"),0,SUMIFS($J:$J,$B:$B,$B14,$A:$A,"&gt;="&amp;COUNTIFS($K$1:V$1,"&lt;&gt;"))),0)</f>
        <v>1</v>
      </c>
      <c r="W14">
        <f t="shared" si="24"/>
        <v>3.825136612021858E-2</v>
      </c>
      <c r="X14">
        <f t="shared" si="4"/>
        <v>3.825136612021858E-2</v>
      </c>
      <c r="Y14">
        <f t="shared" si="5"/>
        <v>3.825136612021858E-2</v>
      </c>
      <c r="Z14">
        <f t="shared" si="6"/>
        <v>3.825136612021858E-2</v>
      </c>
      <c r="AA14">
        <f t="shared" si="7"/>
        <v>3.825136612021858E-2</v>
      </c>
      <c r="AB14">
        <f t="shared" si="8"/>
        <v>3.825136612021858E-2</v>
      </c>
      <c r="AC14">
        <f t="shared" si="9"/>
        <v>3.825136612021858E-2</v>
      </c>
      <c r="AD14">
        <f t="shared" si="10"/>
        <v>3.825136612021858E-2</v>
      </c>
      <c r="AE14">
        <f t="shared" si="11"/>
        <v>3.825136612021858E-2</v>
      </c>
      <c r="AF14">
        <f t="shared" si="12"/>
        <v>3.825136612021858E-2</v>
      </c>
      <c r="AG14">
        <f t="shared" si="13"/>
        <v>3.825136612021858E-2</v>
      </c>
      <c r="AH14">
        <f t="shared" si="14"/>
        <v>3.825136612021858E-2</v>
      </c>
      <c r="AI14">
        <f t="shared" si="15"/>
        <v>3.825136612021858E-2</v>
      </c>
      <c r="AJ14" s="2" t="str">
        <f t="shared" si="25"/>
        <v>1243831</v>
      </c>
    </row>
    <row r="15" spans="1:36" x14ac:dyDescent="0.25">
      <c r="A15">
        <v>0</v>
      </c>
      <c r="B15" s="1">
        <v>43862</v>
      </c>
      <c r="C15" s="1">
        <f t="shared" si="16"/>
        <v>43862</v>
      </c>
      <c r="D15" s="1">
        <f t="shared" si="17"/>
        <v>43876</v>
      </c>
      <c r="E15" s="1">
        <f t="shared" si="18"/>
        <v>43876</v>
      </c>
      <c r="F15" s="1">
        <f t="shared" si="19"/>
        <v>43891</v>
      </c>
      <c r="G15" s="1">
        <f t="shared" si="20"/>
        <v>44242</v>
      </c>
      <c r="H15">
        <f t="shared" si="21"/>
        <v>366</v>
      </c>
      <c r="I15">
        <f t="shared" si="22"/>
        <v>15</v>
      </c>
      <c r="J15">
        <f t="shared" si="23"/>
        <v>4.0983606557377046E-2</v>
      </c>
      <c r="K15">
        <f>IFERROR($J15/IF($A15&lt;COUNTIFS($K$1:K$1,"&lt;&gt;"),0,SUMIFS($J:$J,$B:$B,$B15,$A:$A,"&gt;="&amp;COUNTIFS($K$1:K$1,"&lt;&gt;"))),0)</f>
        <v>0</v>
      </c>
      <c r="L15">
        <f>IFERROR($J15/IF($A15&lt;COUNTIFS($K$1:L$1,"&lt;&gt;"),0,SUMIFS($J:$J,$B:$B,$B15,$A:$A,"&gt;="&amp;COUNTIFS($K$1:L$1,"&lt;&gt;"))),0)</f>
        <v>0</v>
      </c>
      <c r="M15">
        <f>IFERROR($J15/IF($A15&lt;COUNTIFS($K$1:M$1,"&lt;&gt;"),0,SUMIFS($J:$J,$B:$B,$B15,$A:$A,"&gt;="&amp;COUNTIFS($K$1:M$1,"&lt;&gt;"))),0)</f>
        <v>0</v>
      </c>
      <c r="N15">
        <f>IFERROR($J15/IF($A15&lt;COUNTIFS($K$1:N$1,"&lt;&gt;"),0,SUMIFS($J:$J,$B:$B,$B15,$A:$A,"&gt;="&amp;COUNTIFS($K$1:N$1,"&lt;&gt;"))),0)</f>
        <v>0</v>
      </c>
      <c r="O15">
        <f>IFERROR($J15/IF($A15&lt;COUNTIFS($K$1:O$1,"&lt;&gt;"),0,SUMIFS($J:$J,$B:$B,$B15,$A:$A,"&gt;="&amp;COUNTIFS($K$1:O$1,"&lt;&gt;"))),0)</f>
        <v>0</v>
      </c>
      <c r="P15">
        <f>IFERROR($J15/IF($A15&lt;COUNTIFS($K$1:P$1,"&lt;&gt;"),0,SUMIFS($J:$J,$B:$B,$B15,$A:$A,"&gt;="&amp;COUNTIFS($K$1:P$1,"&lt;&gt;"))),0)</f>
        <v>0</v>
      </c>
      <c r="Q15">
        <f>IFERROR($J15/IF($A15&lt;COUNTIFS($K$1:Q$1,"&lt;&gt;"),0,SUMIFS($J:$J,$B:$B,$B15,$A:$A,"&gt;="&amp;COUNTIFS($K$1:Q$1,"&lt;&gt;"))),0)</f>
        <v>0</v>
      </c>
      <c r="R15">
        <f>IFERROR($J15/IF($A15&lt;COUNTIFS($K$1:R$1,"&lt;&gt;"),0,SUMIFS($J:$J,$B:$B,$B15,$A:$A,"&gt;="&amp;COUNTIFS($K$1:R$1,"&lt;&gt;"))),0)</f>
        <v>0</v>
      </c>
      <c r="S15">
        <f>IFERROR($J15/IF($A15&lt;COUNTIFS($K$1:S$1,"&lt;&gt;"),0,SUMIFS($J:$J,$B:$B,$B15,$A:$A,"&gt;="&amp;COUNTIFS($K$1:S$1,"&lt;&gt;"))),0)</f>
        <v>0</v>
      </c>
      <c r="T15">
        <f>IFERROR($J15/IF($A15&lt;COUNTIFS($K$1:T$1,"&lt;&gt;"),0,SUMIFS($J:$J,$B:$B,$B15,$A:$A,"&gt;="&amp;COUNTIFS($K$1:T$1,"&lt;&gt;"))),0)</f>
        <v>0</v>
      </c>
      <c r="U15">
        <f>IFERROR($J15/IF($A15&lt;COUNTIFS($K$1:U$1,"&lt;&gt;"),0,SUMIFS($J:$J,$B:$B,$B15,$A:$A,"&gt;="&amp;COUNTIFS($K$1:U$1,"&lt;&gt;"))),0)</f>
        <v>0</v>
      </c>
      <c r="V15">
        <f>IFERROR($J15/IF($A15&lt;COUNTIFS($K$1:V$1,"&lt;&gt;"),0,SUMIFS($J:$J,$B:$B,$B15,$A:$A,"&gt;="&amp;COUNTIFS($K$1:V$1,"&lt;&gt;"))),0)</f>
        <v>0</v>
      </c>
      <c r="W15">
        <f t="shared" si="24"/>
        <v>4.0983606557377046E-2</v>
      </c>
      <c r="X15">
        <f t="shared" si="4"/>
        <v>0</v>
      </c>
      <c r="Y15">
        <f t="shared" si="5"/>
        <v>0</v>
      </c>
      <c r="Z15">
        <f t="shared" si="6"/>
        <v>0</v>
      </c>
      <c r="AA15">
        <f t="shared" si="7"/>
        <v>0</v>
      </c>
      <c r="AB15">
        <f t="shared" si="8"/>
        <v>0</v>
      </c>
      <c r="AC15">
        <f t="shared" si="9"/>
        <v>0</v>
      </c>
      <c r="AD15">
        <f t="shared" si="10"/>
        <v>0</v>
      </c>
      <c r="AE15">
        <f t="shared" si="11"/>
        <v>0</v>
      </c>
      <c r="AF15">
        <f t="shared" si="12"/>
        <v>0</v>
      </c>
      <c r="AG15">
        <f t="shared" si="13"/>
        <v>0</v>
      </c>
      <c r="AH15">
        <f t="shared" si="14"/>
        <v>0</v>
      </c>
      <c r="AI15">
        <f t="shared" si="15"/>
        <v>0</v>
      </c>
      <c r="AJ15" s="2" t="str">
        <f t="shared" si="25"/>
        <v>043862</v>
      </c>
    </row>
    <row r="16" spans="1:36" x14ac:dyDescent="0.25">
      <c r="A16">
        <v>1</v>
      </c>
      <c r="B16" s="1">
        <v>43862</v>
      </c>
      <c r="C16" s="1">
        <f t="shared" si="16"/>
        <v>43891</v>
      </c>
      <c r="D16" s="1">
        <f t="shared" si="17"/>
        <v>43876</v>
      </c>
      <c r="E16" s="1">
        <f t="shared" si="18"/>
        <v>43891</v>
      </c>
      <c r="F16" s="1">
        <f t="shared" si="19"/>
        <v>43922</v>
      </c>
      <c r="G16" s="1">
        <f t="shared" si="20"/>
        <v>44242</v>
      </c>
      <c r="H16">
        <f t="shared" si="21"/>
        <v>366</v>
      </c>
      <c r="I16">
        <f t="shared" si="22"/>
        <v>31</v>
      </c>
      <c r="J16">
        <f t="shared" si="23"/>
        <v>8.4699453551912565E-2</v>
      </c>
      <c r="K16">
        <f>IFERROR($J16/IF($A16&lt;COUNTIFS($K$1:K$1,"&lt;&gt;"),0,SUMIFS($J:$J,$B:$B,$B16,$A:$A,"&gt;="&amp;COUNTIFS($K$1:K$1,"&lt;&gt;"))),0)</f>
        <v>8.8319088319088315E-2</v>
      </c>
      <c r="L16">
        <f>IFERROR($J16/IF($A16&lt;COUNTIFS($K$1:L$1,"&lt;&gt;"),0,SUMIFS($J:$J,$B:$B,$B16,$A:$A,"&gt;="&amp;COUNTIFS($K$1:L$1,"&lt;&gt;"))),0)</f>
        <v>0</v>
      </c>
      <c r="M16">
        <f>IFERROR($J16/IF($A16&lt;COUNTIFS($K$1:M$1,"&lt;&gt;"),0,SUMIFS($J:$J,$B:$B,$B16,$A:$A,"&gt;="&amp;COUNTIFS($K$1:M$1,"&lt;&gt;"))),0)</f>
        <v>0</v>
      </c>
      <c r="N16">
        <f>IFERROR($J16/IF($A16&lt;COUNTIFS($K$1:N$1,"&lt;&gt;"),0,SUMIFS($J:$J,$B:$B,$B16,$A:$A,"&gt;="&amp;COUNTIFS($K$1:N$1,"&lt;&gt;"))),0)</f>
        <v>0</v>
      </c>
      <c r="O16">
        <f>IFERROR($J16/IF($A16&lt;COUNTIFS($K$1:O$1,"&lt;&gt;"),0,SUMIFS($J:$J,$B:$B,$B16,$A:$A,"&gt;="&amp;COUNTIFS($K$1:O$1,"&lt;&gt;"))),0)</f>
        <v>0</v>
      </c>
      <c r="P16">
        <f>IFERROR($J16/IF($A16&lt;COUNTIFS($K$1:P$1,"&lt;&gt;"),0,SUMIFS($J:$J,$B:$B,$B16,$A:$A,"&gt;="&amp;COUNTIFS($K$1:P$1,"&lt;&gt;"))),0)</f>
        <v>0</v>
      </c>
      <c r="Q16">
        <f>IFERROR($J16/IF($A16&lt;COUNTIFS($K$1:Q$1,"&lt;&gt;"),0,SUMIFS($J:$J,$B:$B,$B16,$A:$A,"&gt;="&amp;COUNTIFS($K$1:Q$1,"&lt;&gt;"))),0)</f>
        <v>0</v>
      </c>
      <c r="R16">
        <f>IFERROR($J16/IF($A16&lt;COUNTIFS($K$1:R$1,"&lt;&gt;"),0,SUMIFS($J:$J,$B:$B,$B16,$A:$A,"&gt;="&amp;COUNTIFS($K$1:R$1,"&lt;&gt;"))),0)</f>
        <v>0</v>
      </c>
      <c r="S16">
        <f>IFERROR($J16/IF($A16&lt;COUNTIFS($K$1:S$1,"&lt;&gt;"),0,SUMIFS($J:$J,$B:$B,$B16,$A:$A,"&gt;="&amp;COUNTIFS($K$1:S$1,"&lt;&gt;"))),0)</f>
        <v>0</v>
      </c>
      <c r="T16">
        <f>IFERROR($J16/IF($A16&lt;COUNTIFS($K$1:T$1,"&lt;&gt;"),0,SUMIFS($J:$J,$B:$B,$B16,$A:$A,"&gt;="&amp;COUNTIFS($K$1:T$1,"&lt;&gt;"))),0)</f>
        <v>0</v>
      </c>
      <c r="U16">
        <f>IFERROR($J16/IF($A16&lt;COUNTIFS($K$1:U$1,"&lt;&gt;"),0,SUMIFS($J:$J,$B:$B,$B16,$A:$A,"&gt;="&amp;COUNTIFS($K$1:U$1,"&lt;&gt;"))),0)</f>
        <v>0</v>
      </c>
      <c r="V16">
        <f>IFERROR($J16/IF($A16&lt;COUNTIFS($K$1:V$1,"&lt;&gt;"),0,SUMIFS($J:$J,$B:$B,$B16,$A:$A,"&gt;="&amp;COUNTIFS($K$1:V$1,"&lt;&gt;"))),0)</f>
        <v>0</v>
      </c>
      <c r="W16">
        <f t="shared" si="24"/>
        <v>8.4699453551912565E-2</v>
      </c>
      <c r="X16">
        <f t="shared" si="4"/>
        <v>8.4699453551912565E-2</v>
      </c>
      <c r="Y16">
        <f t="shared" si="5"/>
        <v>0</v>
      </c>
      <c r="Z16">
        <f t="shared" si="6"/>
        <v>0</v>
      </c>
      <c r="AA16">
        <f t="shared" si="7"/>
        <v>0</v>
      </c>
      <c r="AB16">
        <f t="shared" si="8"/>
        <v>0</v>
      </c>
      <c r="AC16">
        <f t="shared" si="9"/>
        <v>0</v>
      </c>
      <c r="AD16">
        <f t="shared" si="10"/>
        <v>0</v>
      </c>
      <c r="AE16">
        <f t="shared" si="11"/>
        <v>0</v>
      </c>
      <c r="AF16">
        <f t="shared" si="12"/>
        <v>0</v>
      </c>
      <c r="AG16">
        <f t="shared" si="13"/>
        <v>0</v>
      </c>
      <c r="AH16">
        <f t="shared" si="14"/>
        <v>0</v>
      </c>
      <c r="AI16">
        <f t="shared" si="15"/>
        <v>0</v>
      </c>
      <c r="AJ16" s="2" t="str">
        <f t="shared" si="25"/>
        <v>143862</v>
      </c>
    </row>
    <row r="17" spans="1:36" x14ac:dyDescent="0.25">
      <c r="A17">
        <v>2</v>
      </c>
      <c r="B17" s="1">
        <v>43862</v>
      </c>
      <c r="C17" s="1">
        <f t="shared" si="16"/>
        <v>43922</v>
      </c>
      <c r="D17" s="1">
        <f t="shared" si="17"/>
        <v>43876</v>
      </c>
      <c r="E17" s="1">
        <f t="shared" si="18"/>
        <v>43922</v>
      </c>
      <c r="F17" s="1">
        <f t="shared" si="19"/>
        <v>43952</v>
      </c>
      <c r="G17" s="1">
        <f t="shared" si="20"/>
        <v>44242</v>
      </c>
      <c r="H17">
        <f t="shared" si="21"/>
        <v>366</v>
      </c>
      <c r="I17">
        <f t="shared" si="22"/>
        <v>30</v>
      </c>
      <c r="J17">
        <f t="shared" si="23"/>
        <v>8.1967213114754092E-2</v>
      </c>
      <c r="K17">
        <f>IFERROR($J17/IF($A17&lt;COUNTIFS($K$1:K$1,"&lt;&gt;"),0,SUMIFS($J:$J,$B:$B,$B17,$A:$A,"&gt;="&amp;COUNTIFS($K$1:K$1,"&lt;&gt;"))),0)</f>
        <v>8.5470085470085472E-2</v>
      </c>
      <c r="L17">
        <f>IFERROR($J17/IF($A17&lt;COUNTIFS($K$1:L$1,"&lt;&gt;"),0,SUMIFS($J:$J,$B:$B,$B17,$A:$A,"&gt;="&amp;COUNTIFS($K$1:L$1,"&lt;&gt;"))),0)</f>
        <v>9.375E-2</v>
      </c>
      <c r="M17">
        <f>IFERROR($J17/IF($A17&lt;COUNTIFS($K$1:M$1,"&lt;&gt;"),0,SUMIFS($J:$J,$B:$B,$B17,$A:$A,"&gt;="&amp;COUNTIFS($K$1:M$1,"&lt;&gt;"))),0)</f>
        <v>0</v>
      </c>
      <c r="N17">
        <f>IFERROR($J17/IF($A17&lt;COUNTIFS($K$1:N$1,"&lt;&gt;"),0,SUMIFS($J:$J,$B:$B,$B17,$A:$A,"&gt;="&amp;COUNTIFS($K$1:N$1,"&lt;&gt;"))),0)</f>
        <v>0</v>
      </c>
      <c r="O17">
        <f>IFERROR($J17/IF($A17&lt;COUNTIFS($K$1:O$1,"&lt;&gt;"),0,SUMIFS($J:$J,$B:$B,$B17,$A:$A,"&gt;="&amp;COUNTIFS($K$1:O$1,"&lt;&gt;"))),0)</f>
        <v>0</v>
      </c>
      <c r="P17">
        <f>IFERROR($J17/IF($A17&lt;COUNTIFS($K$1:P$1,"&lt;&gt;"),0,SUMIFS($J:$J,$B:$B,$B17,$A:$A,"&gt;="&amp;COUNTIFS($K$1:P$1,"&lt;&gt;"))),0)</f>
        <v>0</v>
      </c>
      <c r="Q17">
        <f>IFERROR($J17/IF($A17&lt;COUNTIFS($K$1:Q$1,"&lt;&gt;"),0,SUMIFS($J:$J,$B:$B,$B17,$A:$A,"&gt;="&amp;COUNTIFS($K$1:Q$1,"&lt;&gt;"))),0)</f>
        <v>0</v>
      </c>
      <c r="R17">
        <f>IFERROR($J17/IF($A17&lt;COUNTIFS($K$1:R$1,"&lt;&gt;"),0,SUMIFS($J:$J,$B:$B,$B17,$A:$A,"&gt;="&amp;COUNTIFS($K$1:R$1,"&lt;&gt;"))),0)</f>
        <v>0</v>
      </c>
      <c r="S17">
        <f>IFERROR($J17/IF($A17&lt;COUNTIFS($K$1:S$1,"&lt;&gt;"),0,SUMIFS($J:$J,$B:$B,$B17,$A:$A,"&gt;="&amp;COUNTIFS($K$1:S$1,"&lt;&gt;"))),0)</f>
        <v>0</v>
      </c>
      <c r="T17">
        <f>IFERROR($J17/IF($A17&lt;COUNTIFS($K$1:T$1,"&lt;&gt;"),0,SUMIFS($J:$J,$B:$B,$B17,$A:$A,"&gt;="&amp;COUNTIFS($K$1:T$1,"&lt;&gt;"))),0)</f>
        <v>0</v>
      </c>
      <c r="U17">
        <f>IFERROR($J17/IF($A17&lt;COUNTIFS($K$1:U$1,"&lt;&gt;"),0,SUMIFS($J:$J,$B:$B,$B17,$A:$A,"&gt;="&amp;COUNTIFS($K$1:U$1,"&lt;&gt;"))),0)</f>
        <v>0</v>
      </c>
      <c r="V17">
        <f>IFERROR($J17/IF($A17&lt;COUNTIFS($K$1:V$1,"&lt;&gt;"),0,SUMIFS($J:$J,$B:$B,$B17,$A:$A,"&gt;="&amp;COUNTIFS($K$1:V$1,"&lt;&gt;"))),0)</f>
        <v>0</v>
      </c>
      <c r="W17">
        <f t="shared" si="24"/>
        <v>8.1967213114754092E-2</v>
      </c>
      <c r="X17">
        <f t="shared" si="4"/>
        <v>8.1967213114754092E-2</v>
      </c>
      <c r="Y17">
        <f t="shared" si="5"/>
        <v>8.1967213114754092E-2</v>
      </c>
      <c r="Z17">
        <f t="shared" si="6"/>
        <v>0</v>
      </c>
      <c r="AA17">
        <f t="shared" si="7"/>
        <v>0</v>
      </c>
      <c r="AB17">
        <f t="shared" si="8"/>
        <v>0</v>
      </c>
      <c r="AC17">
        <f t="shared" si="9"/>
        <v>0</v>
      </c>
      <c r="AD17">
        <f t="shared" si="10"/>
        <v>0</v>
      </c>
      <c r="AE17">
        <f t="shared" si="11"/>
        <v>0</v>
      </c>
      <c r="AF17">
        <f t="shared" si="12"/>
        <v>0</v>
      </c>
      <c r="AG17">
        <f t="shared" si="13"/>
        <v>0</v>
      </c>
      <c r="AH17">
        <f t="shared" si="14"/>
        <v>0</v>
      </c>
      <c r="AI17">
        <f t="shared" si="15"/>
        <v>0</v>
      </c>
      <c r="AJ17" s="2" t="str">
        <f t="shared" si="25"/>
        <v>243862</v>
      </c>
    </row>
    <row r="18" spans="1:36" x14ac:dyDescent="0.25">
      <c r="A18">
        <v>3</v>
      </c>
      <c r="B18" s="1">
        <v>43862</v>
      </c>
      <c r="C18" s="1">
        <f t="shared" si="16"/>
        <v>43952</v>
      </c>
      <c r="D18" s="1">
        <f t="shared" si="17"/>
        <v>43876</v>
      </c>
      <c r="E18" s="1">
        <f t="shared" si="18"/>
        <v>43952</v>
      </c>
      <c r="F18" s="1">
        <f t="shared" si="19"/>
        <v>43983</v>
      </c>
      <c r="G18" s="1">
        <f t="shared" si="20"/>
        <v>44242</v>
      </c>
      <c r="H18">
        <f t="shared" si="21"/>
        <v>366</v>
      </c>
      <c r="I18">
        <f t="shared" si="22"/>
        <v>31</v>
      </c>
      <c r="J18">
        <f t="shared" si="23"/>
        <v>8.4699453551912565E-2</v>
      </c>
      <c r="K18">
        <f>IFERROR($J18/IF($A18&lt;COUNTIFS($K$1:K$1,"&lt;&gt;"),0,SUMIFS($J:$J,$B:$B,$B18,$A:$A,"&gt;="&amp;COUNTIFS($K$1:K$1,"&lt;&gt;"))),0)</f>
        <v>8.8319088319088315E-2</v>
      </c>
      <c r="L18">
        <f>IFERROR($J18/IF($A18&lt;COUNTIFS($K$1:L$1,"&lt;&gt;"),0,SUMIFS($J:$J,$B:$B,$B18,$A:$A,"&gt;="&amp;COUNTIFS($K$1:L$1,"&lt;&gt;"))),0)</f>
        <v>9.6875000000000003E-2</v>
      </c>
      <c r="M18">
        <f>IFERROR($J18/IF($A18&lt;COUNTIFS($K$1:M$1,"&lt;&gt;"),0,SUMIFS($J:$J,$B:$B,$B18,$A:$A,"&gt;="&amp;COUNTIFS($K$1:M$1,"&lt;&gt;"))),0)</f>
        <v>0.10689655172413792</v>
      </c>
      <c r="N18">
        <f>IFERROR($J18/IF($A18&lt;COUNTIFS($K$1:N$1,"&lt;&gt;"),0,SUMIFS($J:$J,$B:$B,$B18,$A:$A,"&gt;="&amp;COUNTIFS($K$1:N$1,"&lt;&gt;"))),0)</f>
        <v>0</v>
      </c>
      <c r="O18">
        <f>IFERROR($J18/IF($A18&lt;COUNTIFS($K$1:O$1,"&lt;&gt;"),0,SUMIFS($J:$J,$B:$B,$B18,$A:$A,"&gt;="&amp;COUNTIFS($K$1:O$1,"&lt;&gt;"))),0)</f>
        <v>0</v>
      </c>
      <c r="P18">
        <f>IFERROR($J18/IF($A18&lt;COUNTIFS($K$1:P$1,"&lt;&gt;"),0,SUMIFS($J:$J,$B:$B,$B18,$A:$A,"&gt;="&amp;COUNTIFS($K$1:P$1,"&lt;&gt;"))),0)</f>
        <v>0</v>
      </c>
      <c r="Q18">
        <f>IFERROR($J18/IF($A18&lt;COUNTIFS($K$1:Q$1,"&lt;&gt;"),0,SUMIFS($J:$J,$B:$B,$B18,$A:$A,"&gt;="&amp;COUNTIFS($K$1:Q$1,"&lt;&gt;"))),0)</f>
        <v>0</v>
      </c>
      <c r="R18">
        <f>IFERROR($J18/IF($A18&lt;COUNTIFS($K$1:R$1,"&lt;&gt;"),0,SUMIFS($J:$J,$B:$B,$B18,$A:$A,"&gt;="&amp;COUNTIFS($K$1:R$1,"&lt;&gt;"))),0)</f>
        <v>0</v>
      </c>
      <c r="S18">
        <f>IFERROR($J18/IF($A18&lt;COUNTIFS($K$1:S$1,"&lt;&gt;"),0,SUMIFS($J:$J,$B:$B,$B18,$A:$A,"&gt;="&amp;COUNTIFS($K$1:S$1,"&lt;&gt;"))),0)</f>
        <v>0</v>
      </c>
      <c r="T18">
        <f>IFERROR($J18/IF($A18&lt;COUNTIFS($K$1:T$1,"&lt;&gt;"),0,SUMIFS($J:$J,$B:$B,$B18,$A:$A,"&gt;="&amp;COUNTIFS($K$1:T$1,"&lt;&gt;"))),0)</f>
        <v>0</v>
      </c>
      <c r="U18">
        <f>IFERROR($J18/IF($A18&lt;COUNTIFS($K$1:U$1,"&lt;&gt;"),0,SUMIFS($J:$J,$B:$B,$B18,$A:$A,"&gt;="&amp;COUNTIFS($K$1:U$1,"&lt;&gt;"))),0)</f>
        <v>0</v>
      </c>
      <c r="V18">
        <f>IFERROR($J18/IF($A18&lt;COUNTIFS($K$1:V$1,"&lt;&gt;"),0,SUMIFS($J:$J,$B:$B,$B18,$A:$A,"&gt;="&amp;COUNTIFS($K$1:V$1,"&lt;&gt;"))),0)</f>
        <v>0</v>
      </c>
      <c r="W18">
        <f t="shared" si="24"/>
        <v>8.4699453551912565E-2</v>
      </c>
      <c r="X18">
        <f t="shared" si="4"/>
        <v>8.4699453551912565E-2</v>
      </c>
      <c r="Y18">
        <f t="shared" si="5"/>
        <v>8.4699453551912565E-2</v>
      </c>
      <c r="Z18">
        <f t="shared" si="6"/>
        <v>8.4699453551912565E-2</v>
      </c>
      <c r="AA18">
        <f t="shared" si="7"/>
        <v>0</v>
      </c>
      <c r="AB18">
        <f t="shared" si="8"/>
        <v>0</v>
      </c>
      <c r="AC18">
        <f t="shared" si="9"/>
        <v>0</v>
      </c>
      <c r="AD18">
        <f t="shared" si="10"/>
        <v>0</v>
      </c>
      <c r="AE18">
        <f t="shared" si="11"/>
        <v>0</v>
      </c>
      <c r="AF18">
        <f t="shared" si="12"/>
        <v>0</v>
      </c>
      <c r="AG18">
        <f t="shared" si="13"/>
        <v>0</v>
      </c>
      <c r="AH18">
        <f t="shared" si="14"/>
        <v>0</v>
      </c>
      <c r="AI18">
        <f t="shared" si="15"/>
        <v>0</v>
      </c>
      <c r="AJ18" s="2" t="str">
        <f t="shared" si="25"/>
        <v>343862</v>
      </c>
    </row>
    <row r="19" spans="1:36" x14ac:dyDescent="0.25">
      <c r="A19">
        <v>4</v>
      </c>
      <c r="B19" s="1">
        <v>43862</v>
      </c>
      <c r="C19" s="1">
        <f t="shared" si="16"/>
        <v>43983</v>
      </c>
      <c r="D19" s="1">
        <f t="shared" si="17"/>
        <v>43876</v>
      </c>
      <c r="E19" s="1">
        <f t="shared" si="18"/>
        <v>43983</v>
      </c>
      <c r="F19" s="1">
        <f t="shared" si="19"/>
        <v>44013</v>
      </c>
      <c r="G19" s="1">
        <f t="shared" si="20"/>
        <v>44242</v>
      </c>
      <c r="H19">
        <f t="shared" si="21"/>
        <v>366</v>
      </c>
      <c r="I19">
        <f t="shared" si="22"/>
        <v>30</v>
      </c>
      <c r="J19">
        <f t="shared" si="23"/>
        <v>8.1967213114754092E-2</v>
      </c>
      <c r="K19">
        <f>IFERROR($J19/IF($A19&lt;COUNTIFS($K$1:K$1,"&lt;&gt;"),0,SUMIFS($J:$J,$B:$B,$B19,$A:$A,"&gt;="&amp;COUNTIFS($K$1:K$1,"&lt;&gt;"))),0)</f>
        <v>8.5470085470085472E-2</v>
      </c>
      <c r="L19">
        <f>IFERROR($J19/IF($A19&lt;COUNTIFS($K$1:L$1,"&lt;&gt;"),0,SUMIFS($J:$J,$B:$B,$B19,$A:$A,"&gt;="&amp;COUNTIFS($K$1:L$1,"&lt;&gt;"))),0)</f>
        <v>9.375E-2</v>
      </c>
      <c r="M19">
        <f>IFERROR($J19/IF($A19&lt;COUNTIFS($K$1:M$1,"&lt;&gt;"),0,SUMIFS($J:$J,$B:$B,$B19,$A:$A,"&gt;="&amp;COUNTIFS($K$1:M$1,"&lt;&gt;"))),0)</f>
        <v>0.10344827586206896</v>
      </c>
      <c r="N19">
        <f>IFERROR($J19/IF($A19&lt;COUNTIFS($K$1:N$1,"&lt;&gt;"),0,SUMIFS($J:$J,$B:$B,$B19,$A:$A,"&gt;="&amp;COUNTIFS($K$1:N$1,"&lt;&gt;"))),0)</f>
        <v>0.11583011583011582</v>
      </c>
      <c r="O19">
        <f>IFERROR($J19/IF($A19&lt;COUNTIFS($K$1:O$1,"&lt;&gt;"),0,SUMIFS($J:$J,$B:$B,$B19,$A:$A,"&gt;="&amp;COUNTIFS($K$1:O$1,"&lt;&gt;"))),0)</f>
        <v>0</v>
      </c>
      <c r="P19">
        <f>IFERROR($J19/IF($A19&lt;COUNTIFS($K$1:P$1,"&lt;&gt;"),0,SUMIFS($J:$J,$B:$B,$B19,$A:$A,"&gt;="&amp;COUNTIFS($K$1:P$1,"&lt;&gt;"))),0)</f>
        <v>0</v>
      </c>
      <c r="Q19">
        <f>IFERROR($J19/IF($A19&lt;COUNTIFS($K$1:Q$1,"&lt;&gt;"),0,SUMIFS($J:$J,$B:$B,$B19,$A:$A,"&gt;="&amp;COUNTIFS($K$1:Q$1,"&lt;&gt;"))),0)</f>
        <v>0</v>
      </c>
      <c r="R19">
        <f>IFERROR($J19/IF($A19&lt;COUNTIFS($K$1:R$1,"&lt;&gt;"),0,SUMIFS($J:$J,$B:$B,$B19,$A:$A,"&gt;="&amp;COUNTIFS($K$1:R$1,"&lt;&gt;"))),0)</f>
        <v>0</v>
      </c>
      <c r="S19">
        <f>IFERROR($J19/IF($A19&lt;COUNTIFS($K$1:S$1,"&lt;&gt;"),0,SUMIFS($J:$J,$B:$B,$B19,$A:$A,"&gt;="&amp;COUNTIFS($K$1:S$1,"&lt;&gt;"))),0)</f>
        <v>0</v>
      </c>
      <c r="T19">
        <f>IFERROR($J19/IF($A19&lt;COUNTIFS($K$1:T$1,"&lt;&gt;"),0,SUMIFS($J:$J,$B:$B,$B19,$A:$A,"&gt;="&amp;COUNTIFS($K$1:T$1,"&lt;&gt;"))),0)</f>
        <v>0</v>
      </c>
      <c r="U19">
        <f>IFERROR($J19/IF($A19&lt;COUNTIFS($K$1:U$1,"&lt;&gt;"),0,SUMIFS($J:$J,$B:$B,$B19,$A:$A,"&gt;="&amp;COUNTIFS($K$1:U$1,"&lt;&gt;"))),0)</f>
        <v>0</v>
      </c>
      <c r="V19">
        <f>IFERROR($J19/IF($A19&lt;COUNTIFS($K$1:V$1,"&lt;&gt;"),0,SUMIFS($J:$J,$B:$B,$B19,$A:$A,"&gt;="&amp;COUNTIFS($K$1:V$1,"&lt;&gt;"))),0)</f>
        <v>0</v>
      </c>
      <c r="W19">
        <f t="shared" si="24"/>
        <v>8.1967213114754092E-2</v>
      </c>
      <c r="X19">
        <f t="shared" si="4"/>
        <v>8.1967213114754092E-2</v>
      </c>
      <c r="Y19">
        <f t="shared" si="5"/>
        <v>8.1967213114754092E-2</v>
      </c>
      <c r="Z19">
        <f t="shared" si="6"/>
        <v>8.1967213114754092E-2</v>
      </c>
      <c r="AA19">
        <f t="shared" si="7"/>
        <v>8.1967213114754092E-2</v>
      </c>
      <c r="AB19">
        <f t="shared" si="8"/>
        <v>0</v>
      </c>
      <c r="AC19">
        <f t="shared" si="9"/>
        <v>0</v>
      </c>
      <c r="AD19">
        <f t="shared" si="10"/>
        <v>0</v>
      </c>
      <c r="AE19">
        <f t="shared" si="11"/>
        <v>0</v>
      </c>
      <c r="AF19">
        <f t="shared" si="12"/>
        <v>0</v>
      </c>
      <c r="AG19">
        <f t="shared" si="13"/>
        <v>0</v>
      </c>
      <c r="AH19">
        <f t="shared" si="14"/>
        <v>0</v>
      </c>
      <c r="AI19">
        <f t="shared" si="15"/>
        <v>0</v>
      </c>
      <c r="AJ19" s="2" t="str">
        <f t="shared" si="25"/>
        <v>443862</v>
      </c>
    </row>
    <row r="20" spans="1:36" x14ac:dyDescent="0.25">
      <c r="A20">
        <v>5</v>
      </c>
      <c r="B20" s="1">
        <v>43862</v>
      </c>
      <c r="C20" s="1">
        <f t="shared" si="16"/>
        <v>44013</v>
      </c>
      <c r="D20" s="1">
        <f t="shared" si="17"/>
        <v>43876</v>
      </c>
      <c r="E20" s="1">
        <f t="shared" si="18"/>
        <v>44013</v>
      </c>
      <c r="F20" s="1">
        <f t="shared" si="19"/>
        <v>44044</v>
      </c>
      <c r="G20" s="1">
        <f t="shared" si="20"/>
        <v>44242</v>
      </c>
      <c r="H20">
        <f t="shared" si="21"/>
        <v>366</v>
      </c>
      <c r="I20">
        <f t="shared" si="22"/>
        <v>31</v>
      </c>
      <c r="J20">
        <f t="shared" si="23"/>
        <v>8.4699453551912565E-2</v>
      </c>
      <c r="K20">
        <f>IFERROR($J20/IF($A20&lt;COUNTIFS($K$1:K$1,"&lt;&gt;"),0,SUMIFS($J:$J,$B:$B,$B20,$A:$A,"&gt;="&amp;COUNTIFS($K$1:K$1,"&lt;&gt;"))),0)</f>
        <v>8.8319088319088315E-2</v>
      </c>
      <c r="L20">
        <f>IFERROR($J20/IF($A20&lt;COUNTIFS($K$1:L$1,"&lt;&gt;"),0,SUMIFS($J:$J,$B:$B,$B20,$A:$A,"&gt;="&amp;COUNTIFS($K$1:L$1,"&lt;&gt;"))),0)</f>
        <v>9.6875000000000003E-2</v>
      </c>
      <c r="M20">
        <f>IFERROR($J20/IF($A20&lt;COUNTIFS($K$1:M$1,"&lt;&gt;"),0,SUMIFS($J:$J,$B:$B,$B20,$A:$A,"&gt;="&amp;COUNTIFS($K$1:M$1,"&lt;&gt;"))),0)</f>
        <v>0.10689655172413792</v>
      </c>
      <c r="N20">
        <f>IFERROR($J20/IF($A20&lt;COUNTIFS($K$1:N$1,"&lt;&gt;"),0,SUMIFS($J:$J,$B:$B,$B20,$A:$A,"&gt;="&amp;COUNTIFS($K$1:N$1,"&lt;&gt;"))),0)</f>
        <v>0.11969111969111969</v>
      </c>
      <c r="O20">
        <f>IFERROR($J20/IF($A20&lt;COUNTIFS($K$1:O$1,"&lt;&gt;"),0,SUMIFS($J:$J,$B:$B,$B20,$A:$A,"&gt;="&amp;COUNTIFS($K$1:O$1,"&lt;&gt;"))),0)</f>
        <v>0.13537117903930129</v>
      </c>
      <c r="P20">
        <f>IFERROR($J20/IF($A20&lt;COUNTIFS($K$1:P$1,"&lt;&gt;"),0,SUMIFS($J:$J,$B:$B,$B20,$A:$A,"&gt;="&amp;COUNTIFS($K$1:P$1,"&lt;&gt;"))),0)</f>
        <v>0</v>
      </c>
      <c r="Q20">
        <f>IFERROR($J20/IF($A20&lt;COUNTIFS($K$1:Q$1,"&lt;&gt;"),0,SUMIFS($J:$J,$B:$B,$B20,$A:$A,"&gt;="&amp;COUNTIFS($K$1:Q$1,"&lt;&gt;"))),0)</f>
        <v>0</v>
      </c>
      <c r="R20">
        <f>IFERROR($J20/IF($A20&lt;COUNTIFS($K$1:R$1,"&lt;&gt;"),0,SUMIFS($J:$J,$B:$B,$B20,$A:$A,"&gt;="&amp;COUNTIFS($K$1:R$1,"&lt;&gt;"))),0)</f>
        <v>0</v>
      </c>
      <c r="S20">
        <f>IFERROR($J20/IF($A20&lt;COUNTIFS($K$1:S$1,"&lt;&gt;"),0,SUMIFS($J:$J,$B:$B,$B20,$A:$A,"&gt;="&amp;COUNTIFS($K$1:S$1,"&lt;&gt;"))),0)</f>
        <v>0</v>
      </c>
      <c r="T20">
        <f>IFERROR($J20/IF($A20&lt;COUNTIFS($K$1:T$1,"&lt;&gt;"),0,SUMIFS($J:$J,$B:$B,$B20,$A:$A,"&gt;="&amp;COUNTIFS($K$1:T$1,"&lt;&gt;"))),0)</f>
        <v>0</v>
      </c>
      <c r="U20">
        <f>IFERROR($J20/IF($A20&lt;COUNTIFS($K$1:U$1,"&lt;&gt;"),0,SUMIFS($J:$J,$B:$B,$B20,$A:$A,"&gt;="&amp;COUNTIFS($K$1:U$1,"&lt;&gt;"))),0)</f>
        <v>0</v>
      </c>
      <c r="V20">
        <f>IFERROR($J20/IF($A20&lt;COUNTIFS($K$1:V$1,"&lt;&gt;"),0,SUMIFS($J:$J,$B:$B,$B20,$A:$A,"&gt;="&amp;COUNTIFS($K$1:V$1,"&lt;&gt;"))),0)</f>
        <v>0</v>
      </c>
      <c r="W20">
        <f t="shared" si="24"/>
        <v>8.4699453551912565E-2</v>
      </c>
      <c r="X20">
        <f t="shared" si="4"/>
        <v>8.4699453551912565E-2</v>
      </c>
      <c r="Y20">
        <f t="shared" si="5"/>
        <v>8.4699453551912565E-2</v>
      </c>
      <c r="Z20">
        <f t="shared" si="6"/>
        <v>8.4699453551912565E-2</v>
      </c>
      <c r="AA20">
        <f t="shared" si="7"/>
        <v>8.4699453551912565E-2</v>
      </c>
      <c r="AB20">
        <f t="shared" si="8"/>
        <v>8.4699453551912565E-2</v>
      </c>
      <c r="AC20">
        <f t="shared" si="9"/>
        <v>0</v>
      </c>
      <c r="AD20">
        <f t="shared" si="10"/>
        <v>0</v>
      </c>
      <c r="AE20">
        <f t="shared" si="11"/>
        <v>0</v>
      </c>
      <c r="AF20">
        <f t="shared" si="12"/>
        <v>0</v>
      </c>
      <c r="AG20">
        <f t="shared" si="13"/>
        <v>0</v>
      </c>
      <c r="AH20">
        <f t="shared" si="14"/>
        <v>0</v>
      </c>
      <c r="AI20">
        <f t="shared" si="15"/>
        <v>0</v>
      </c>
      <c r="AJ20" s="2" t="str">
        <f t="shared" si="25"/>
        <v>543862</v>
      </c>
    </row>
    <row r="21" spans="1:36" x14ac:dyDescent="0.25">
      <c r="A21">
        <v>6</v>
      </c>
      <c r="B21" s="1">
        <v>43862</v>
      </c>
      <c r="C21" s="1">
        <f t="shared" si="16"/>
        <v>44044</v>
      </c>
      <c r="D21" s="1">
        <f t="shared" si="17"/>
        <v>43876</v>
      </c>
      <c r="E21" s="1">
        <f t="shared" si="18"/>
        <v>44044</v>
      </c>
      <c r="F21" s="1">
        <f t="shared" si="19"/>
        <v>44075</v>
      </c>
      <c r="G21" s="1">
        <f t="shared" si="20"/>
        <v>44242</v>
      </c>
      <c r="H21">
        <f t="shared" si="21"/>
        <v>366</v>
      </c>
      <c r="I21">
        <f t="shared" si="22"/>
        <v>31</v>
      </c>
      <c r="J21">
        <f t="shared" si="23"/>
        <v>8.4699453551912565E-2</v>
      </c>
      <c r="K21">
        <f>IFERROR($J21/IF($A21&lt;COUNTIFS($K$1:K$1,"&lt;&gt;"),0,SUMIFS($J:$J,$B:$B,$B21,$A:$A,"&gt;="&amp;COUNTIFS($K$1:K$1,"&lt;&gt;"))),0)</f>
        <v>8.8319088319088315E-2</v>
      </c>
      <c r="L21">
        <f>IFERROR($J21/IF($A21&lt;COUNTIFS($K$1:L$1,"&lt;&gt;"),0,SUMIFS($J:$J,$B:$B,$B21,$A:$A,"&gt;="&amp;COUNTIFS($K$1:L$1,"&lt;&gt;"))),0)</f>
        <v>9.6875000000000003E-2</v>
      </c>
      <c r="M21">
        <f>IFERROR($J21/IF($A21&lt;COUNTIFS($K$1:M$1,"&lt;&gt;"),0,SUMIFS($J:$J,$B:$B,$B21,$A:$A,"&gt;="&amp;COUNTIFS($K$1:M$1,"&lt;&gt;"))),0)</f>
        <v>0.10689655172413792</v>
      </c>
      <c r="N21">
        <f>IFERROR($J21/IF($A21&lt;COUNTIFS($K$1:N$1,"&lt;&gt;"),0,SUMIFS($J:$J,$B:$B,$B21,$A:$A,"&gt;="&amp;COUNTIFS($K$1:N$1,"&lt;&gt;"))),0)</f>
        <v>0.11969111969111969</v>
      </c>
      <c r="O21">
        <f>IFERROR($J21/IF($A21&lt;COUNTIFS($K$1:O$1,"&lt;&gt;"),0,SUMIFS($J:$J,$B:$B,$B21,$A:$A,"&gt;="&amp;COUNTIFS($K$1:O$1,"&lt;&gt;"))),0)</f>
        <v>0.13537117903930129</v>
      </c>
      <c r="P21">
        <f>IFERROR($J21/IF($A21&lt;COUNTIFS($K$1:P$1,"&lt;&gt;"),0,SUMIFS($J:$J,$B:$B,$B21,$A:$A,"&gt;="&amp;COUNTIFS($K$1:P$1,"&lt;&gt;"))),0)</f>
        <v>0.15656565656565655</v>
      </c>
      <c r="Q21">
        <f>IFERROR($J21/IF($A21&lt;COUNTIFS($K$1:Q$1,"&lt;&gt;"),0,SUMIFS($J:$J,$B:$B,$B21,$A:$A,"&gt;="&amp;COUNTIFS($K$1:Q$1,"&lt;&gt;"))),0)</f>
        <v>0</v>
      </c>
      <c r="R21">
        <f>IFERROR($J21/IF($A21&lt;COUNTIFS($K$1:R$1,"&lt;&gt;"),0,SUMIFS($J:$J,$B:$B,$B21,$A:$A,"&gt;="&amp;COUNTIFS($K$1:R$1,"&lt;&gt;"))),0)</f>
        <v>0</v>
      </c>
      <c r="S21">
        <f>IFERROR($J21/IF($A21&lt;COUNTIFS($K$1:S$1,"&lt;&gt;"),0,SUMIFS($J:$J,$B:$B,$B21,$A:$A,"&gt;="&amp;COUNTIFS($K$1:S$1,"&lt;&gt;"))),0)</f>
        <v>0</v>
      </c>
      <c r="T21">
        <f>IFERROR($J21/IF($A21&lt;COUNTIFS($K$1:T$1,"&lt;&gt;"),0,SUMIFS($J:$J,$B:$B,$B21,$A:$A,"&gt;="&amp;COUNTIFS($K$1:T$1,"&lt;&gt;"))),0)</f>
        <v>0</v>
      </c>
      <c r="U21">
        <f>IFERROR($J21/IF($A21&lt;COUNTIFS($K$1:U$1,"&lt;&gt;"),0,SUMIFS($J:$J,$B:$B,$B21,$A:$A,"&gt;="&amp;COUNTIFS($K$1:U$1,"&lt;&gt;"))),0)</f>
        <v>0</v>
      </c>
      <c r="V21">
        <f>IFERROR($J21/IF($A21&lt;COUNTIFS($K$1:V$1,"&lt;&gt;"),0,SUMIFS($J:$J,$B:$B,$B21,$A:$A,"&gt;="&amp;COUNTIFS($K$1:V$1,"&lt;&gt;"))),0)</f>
        <v>0</v>
      </c>
      <c r="W21">
        <f t="shared" si="24"/>
        <v>8.4699453551912565E-2</v>
      </c>
      <c r="X21">
        <f t="shared" si="4"/>
        <v>8.4699453551912565E-2</v>
      </c>
      <c r="Y21">
        <f t="shared" si="5"/>
        <v>8.4699453551912565E-2</v>
      </c>
      <c r="Z21">
        <f t="shared" si="6"/>
        <v>8.4699453551912565E-2</v>
      </c>
      <c r="AA21">
        <f t="shared" si="7"/>
        <v>8.4699453551912565E-2</v>
      </c>
      <c r="AB21">
        <f t="shared" si="8"/>
        <v>8.4699453551912565E-2</v>
      </c>
      <c r="AC21">
        <f t="shared" si="9"/>
        <v>8.4699453551912565E-2</v>
      </c>
      <c r="AD21">
        <f t="shared" si="10"/>
        <v>0</v>
      </c>
      <c r="AE21">
        <f t="shared" si="11"/>
        <v>0</v>
      </c>
      <c r="AF21">
        <f t="shared" si="12"/>
        <v>0</v>
      </c>
      <c r="AG21">
        <f t="shared" si="13"/>
        <v>0</v>
      </c>
      <c r="AH21">
        <f t="shared" si="14"/>
        <v>0</v>
      </c>
      <c r="AI21">
        <f t="shared" si="15"/>
        <v>0</v>
      </c>
      <c r="AJ21" s="2" t="str">
        <f t="shared" si="25"/>
        <v>643862</v>
      </c>
    </row>
    <row r="22" spans="1:36" x14ac:dyDescent="0.25">
      <c r="A22">
        <v>7</v>
      </c>
      <c r="B22" s="1">
        <v>43862</v>
      </c>
      <c r="C22" s="1">
        <f t="shared" si="16"/>
        <v>44075</v>
      </c>
      <c r="D22" s="1">
        <f t="shared" si="17"/>
        <v>43876</v>
      </c>
      <c r="E22" s="1">
        <f t="shared" si="18"/>
        <v>44075</v>
      </c>
      <c r="F22" s="1">
        <f t="shared" si="19"/>
        <v>44105</v>
      </c>
      <c r="G22" s="1">
        <f t="shared" si="20"/>
        <v>44242</v>
      </c>
      <c r="H22">
        <f t="shared" si="21"/>
        <v>366</v>
      </c>
      <c r="I22">
        <f t="shared" si="22"/>
        <v>30</v>
      </c>
      <c r="J22">
        <f t="shared" si="23"/>
        <v>8.1967213114754092E-2</v>
      </c>
      <c r="K22">
        <f>IFERROR($J22/IF($A22&lt;COUNTIFS($K$1:K$1,"&lt;&gt;"),0,SUMIFS($J:$J,$B:$B,$B22,$A:$A,"&gt;="&amp;COUNTIFS($K$1:K$1,"&lt;&gt;"))),0)</f>
        <v>8.5470085470085472E-2</v>
      </c>
      <c r="L22">
        <f>IFERROR($J22/IF($A22&lt;COUNTIFS($K$1:L$1,"&lt;&gt;"),0,SUMIFS($J:$J,$B:$B,$B22,$A:$A,"&gt;="&amp;COUNTIFS($K$1:L$1,"&lt;&gt;"))),0)</f>
        <v>9.375E-2</v>
      </c>
      <c r="M22">
        <f>IFERROR($J22/IF($A22&lt;COUNTIFS($K$1:M$1,"&lt;&gt;"),0,SUMIFS($J:$J,$B:$B,$B22,$A:$A,"&gt;="&amp;COUNTIFS($K$1:M$1,"&lt;&gt;"))),0)</f>
        <v>0.10344827586206896</v>
      </c>
      <c r="N22">
        <f>IFERROR($J22/IF($A22&lt;COUNTIFS($K$1:N$1,"&lt;&gt;"),0,SUMIFS($J:$J,$B:$B,$B22,$A:$A,"&gt;="&amp;COUNTIFS($K$1:N$1,"&lt;&gt;"))),0)</f>
        <v>0.11583011583011582</v>
      </c>
      <c r="O22">
        <f>IFERROR($J22/IF($A22&lt;COUNTIFS($K$1:O$1,"&lt;&gt;"),0,SUMIFS($J:$J,$B:$B,$B22,$A:$A,"&gt;="&amp;COUNTIFS($K$1:O$1,"&lt;&gt;"))),0)</f>
        <v>0.13100436681222705</v>
      </c>
      <c r="P22">
        <f>IFERROR($J22/IF($A22&lt;COUNTIFS($K$1:P$1,"&lt;&gt;"),0,SUMIFS($J:$J,$B:$B,$B22,$A:$A,"&gt;="&amp;COUNTIFS($K$1:P$1,"&lt;&gt;"))),0)</f>
        <v>0.15151515151515149</v>
      </c>
      <c r="Q22">
        <f>IFERROR($J22/IF($A22&lt;COUNTIFS($K$1:Q$1,"&lt;&gt;"),0,SUMIFS($J:$J,$B:$B,$B22,$A:$A,"&gt;="&amp;COUNTIFS($K$1:Q$1,"&lt;&gt;"))),0)</f>
        <v>0.17964071856287425</v>
      </c>
      <c r="R22">
        <f>IFERROR($J22/IF($A22&lt;COUNTIFS($K$1:R$1,"&lt;&gt;"),0,SUMIFS($J:$J,$B:$B,$B22,$A:$A,"&gt;="&amp;COUNTIFS($K$1:R$1,"&lt;&gt;"))),0)</f>
        <v>0</v>
      </c>
      <c r="S22">
        <f>IFERROR($J22/IF($A22&lt;COUNTIFS($K$1:S$1,"&lt;&gt;"),0,SUMIFS($J:$J,$B:$B,$B22,$A:$A,"&gt;="&amp;COUNTIFS($K$1:S$1,"&lt;&gt;"))),0)</f>
        <v>0</v>
      </c>
      <c r="T22">
        <f>IFERROR($J22/IF($A22&lt;COUNTIFS($K$1:T$1,"&lt;&gt;"),0,SUMIFS($J:$J,$B:$B,$B22,$A:$A,"&gt;="&amp;COUNTIFS($K$1:T$1,"&lt;&gt;"))),0)</f>
        <v>0</v>
      </c>
      <c r="U22">
        <f>IFERROR($J22/IF($A22&lt;COUNTIFS($K$1:U$1,"&lt;&gt;"),0,SUMIFS($J:$J,$B:$B,$B22,$A:$A,"&gt;="&amp;COUNTIFS($K$1:U$1,"&lt;&gt;"))),0)</f>
        <v>0</v>
      </c>
      <c r="V22">
        <f>IFERROR($J22/IF($A22&lt;COUNTIFS($K$1:V$1,"&lt;&gt;"),0,SUMIFS($J:$J,$B:$B,$B22,$A:$A,"&gt;="&amp;COUNTIFS($K$1:V$1,"&lt;&gt;"))),0)</f>
        <v>0</v>
      </c>
      <c r="W22">
        <f t="shared" si="24"/>
        <v>8.1967213114754092E-2</v>
      </c>
      <c r="X22">
        <f t="shared" si="4"/>
        <v>8.1967213114754092E-2</v>
      </c>
      <c r="Y22">
        <f t="shared" si="5"/>
        <v>8.1967213114754092E-2</v>
      </c>
      <c r="Z22">
        <f t="shared" si="6"/>
        <v>8.1967213114754092E-2</v>
      </c>
      <c r="AA22">
        <f t="shared" si="7"/>
        <v>8.1967213114754092E-2</v>
      </c>
      <c r="AB22">
        <f t="shared" si="8"/>
        <v>8.1967213114754092E-2</v>
      </c>
      <c r="AC22">
        <f t="shared" si="9"/>
        <v>8.1967213114754092E-2</v>
      </c>
      <c r="AD22">
        <f t="shared" si="10"/>
        <v>8.1967213114754092E-2</v>
      </c>
      <c r="AE22">
        <f t="shared" si="11"/>
        <v>0</v>
      </c>
      <c r="AF22">
        <f t="shared" si="12"/>
        <v>0</v>
      </c>
      <c r="AG22">
        <f t="shared" si="13"/>
        <v>0</v>
      </c>
      <c r="AH22">
        <f t="shared" si="14"/>
        <v>0</v>
      </c>
      <c r="AI22">
        <f t="shared" si="15"/>
        <v>0</v>
      </c>
      <c r="AJ22" s="2" t="str">
        <f t="shared" si="25"/>
        <v>743862</v>
      </c>
    </row>
    <row r="23" spans="1:36" x14ac:dyDescent="0.25">
      <c r="A23">
        <v>8</v>
      </c>
      <c r="B23" s="1">
        <v>43862</v>
      </c>
      <c r="C23" s="1">
        <f t="shared" si="16"/>
        <v>44105</v>
      </c>
      <c r="D23" s="1">
        <f t="shared" si="17"/>
        <v>43876</v>
      </c>
      <c r="E23" s="1">
        <f t="shared" si="18"/>
        <v>44105</v>
      </c>
      <c r="F23" s="1">
        <f t="shared" si="19"/>
        <v>44136</v>
      </c>
      <c r="G23" s="1">
        <f t="shared" si="20"/>
        <v>44242</v>
      </c>
      <c r="H23">
        <f t="shared" si="21"/>
        <v>366</v>
      </c>
      <c r="I23">
        <f t="shared" si="22"/>
        <v>31</v>
      </c>
      <c r="J23">
        <f t="shared" si="23"/>
        <v>8.4699453551912565E-2</v>
      </c>
      <c r="K23">
        <f>IFERROR($J23/IF($A23&lt;COUNTIFS($K$1:K$1,"&lt;&gt;"),0,SUMIFS($J:$J,$B:$B,$B23,$A:$A,"&gt;="&amp;COUNTIFS($K$1:K$1,"&lt;&gt;"))),0)</f>
        <v>8.8319088319088315E-2</v>
      </c>
      <c r="L23">
        <f>IFERROR($J23/IF($A23&lt;COUNTIFS($K$1:L$1,"&lt;&gt;"),0,SUMIFS($J:$J,$B:$B,$B23,$A:$A,"&gt;="&amp;COUNTIFS($K$1:L$1,"&lt;&gt;"))),0)</f>
        <v>9.6875000000000003E-2</v>
      </c>
      <c r="M23">
        <f>IFERROR($J23/IF($A23&lt;COUNTIFS($K$1:M$1,"&lt;&gt;"),0,SUMIFS($J:$J,$B:$B,$B23,$A:$A,"&gt;="&amp;COUNTIFS($K$1:M$1,"&lt;&gt;"))),0)</f>
        <v>0.10689655172413792</v>
      </c>
      <c r="N23">
        <f>IFERROR($J23/IF($A23&lt;COUNTIFS($K$1:N$1,"&lt;&gt;"),0,SUMIFS($J:$J,$B:$B,$B23,$A:$A,"&gt;="&amp;COUNTIFS($K$1:N$1,"&lt;&gt;"))),0)</f>
        <v>0.11969111969111969</v>
      </c>
      <c r="O23">
        <f>IFERROR($J23/IF($A23&lt;COUNTIFS($K$1:O$1,"&lt;&gt;"),0,SUMIFS($J:$J,$B:$B,$B23,$A:$A,"&gt;="&amp;COUNTIFS($K$1:O$1,"&lt;&gt;"))),0)</f>
        <v>0.13537117903930129</v>
      </c>
      <c r="P23">
        <f>IFERROR($J23/IF($A23&lt;COUNTIFS($K$1:P$1,"&lt;&gt;"),0,SUMIFS($J:$J,$B:$B,$B23,$A:$A,"&gt;="&amp;COUNTIFS($K$1:P$1,"&lt;&gt;"))),0)</f>
        <v>0.15656565656565655</v>
      </c>
      <c r="Q23">
        <f>IFERROR($J23/IF($A23&lt;COUNTIFS($K$1:Q$1,"&lt;&gt;"),0,SUMIFS($J:$J,$B:$B,$B23,$A:$A,"&gt;="&amp;COUNTIFS($K$1:Q$1,"&lt;&gt;"))),0)</f>
        <v>0.18562874251497008</v>
      </c>
      <c r="R23">
        <f>IFERROR($J23/IF($A23&lt;COUNTIFS($K$1:R$1,"&lt;&gt;"),0,SUMIFS($J:$J,$B:$B,$B23,$A:$A,"&gt;="&amp;COUNTIFS($K$1:R$1,"&lt;&gt;"))),0)</f>
        <v>0.22627737226277372</v>
      </c>
      <c r="S23">
        <f>IFERROR($J23/IF($A23&lt;COUNTIFS($K$1:S$1,"&lt;&gt;"),0,SUMIFS($J:$J,$B:$B,$B23,$A:$A,"&gt;="&amp;COUNTIFS($K$1:S$1,"&lt;&gt;"))),0)</f>
        <v>0</v>
      </c>
      <c r="T23">
        <f>IFERROR($J23/IF($A23&lt;COUNTIFS($K$1:T$1,"&lt;&gt;"),0,SUMIFS($J:$J,$B:$B,$B23,$A:$A,"&gt;="&amp;COUNTIFS($K$1:T$1,"&lt;&gt;"))),0)</f>
        <v>0</v>
      </c>
      <c r="U23">
        <f>IFERROR($J23/IF($A23&lt;COUNTIFS($K$1:U$1,"&lt;&gt;"),0,SUMIFS($J:$J,$B:$B,$B23,$A:$A,"&gt;="&amp;COUNTIFS($K$1:U$1,"&lt;&gt;"))),0)</f>
        <v>0</v>
      </c>
      <c r="V23">
        <f>IFERROR($J23/IF($A23&lt;COUNTIFS($K$1:V$1,"&lt;&gt;"),0,SUMIFS($J:$J,$B:$B,$B23,$A:$A,"&gt;="&amp;COUNTIFS($K$1:V$1,"&lt;&gt;"))),0)</f>
        <v>0</v>
      </c>
      <c r="W23">
        <f t="shared" si="24"/>
        <v>8.4699453551912565E-2</v>
      </c>
      <c r="X23">
        <f t="shared" si="4"/>
        <v>8.4699453551912565E-2</v>
      </c>
      <c r="Y23">
        <f t="shared" si="5"/>
        <v>8.4699453551912565E-2</v>
      </c>
      <c r="Z23">
        <f t="shared" si="6"/>
        <v>8.4699453551912565E-2</v>
      </c>
      <c r="AA23">
        <f t="shared" si="7"/>
        <v>8.4699453551912565E-2</v>
      </c>
      <c r="AB23">
        <f t="shared" si="8"/>
        <v>8.4699453551912565E-2</v>
      </c>
      <c r="AC23">
        <f t="shared" si="9"/>
        <v>8.4699453551912565E-2</v>
      </c>
      <c r="AD23">
        <f t="shared" si="10"/>
        <v>8.4699453551912565E-2</v>
      </c>
      <c r="AE23">
        <f t="shared" si="11"/>
        <v>8.4699453551912565E-2</v>
      </c>
      <c r="AF23">
        <f t="shared" si="12"/>
        <v>0</v>
      </c>
      <c r="AG23">
        <f t="shared" si="13"/>
        <v>0</v>
      </c>
      <c r="AH23">
        <f t="shared" si="14"/>
        <v>0</v>
      </c>
      <c r="AI23">
        <f t="shared" si="15"/>
        <v>0</v>
      </c>
      <c r="AJ23" s="2" t="str">
        <f t="shared" si="25"/>
        <v>843862</v>
      </c>
    </row>
    <row r="24" spans="1:36" x14ac:dyDescent="0.25">
      <c r="A24">
        <v>9</v>
      </c>
      <c r="B24" s="1">
        <v>43862</v>
      </c>
      <c r="C24" s="1">
        <f t="shared" si="16"/>
        <v>44136</v>
      </c>
      <c r="D24" s="1">
        <f t="shared" si="17"/>
        <v>43876</v>
      </c>
      <c r="E24" s="1">
        <f t="shared" si="18"/>
        <v>44136</v>
      </c>
      <c r="F24" s="1">
        <f t="shared" si="19"/>
        <v>44166</v>
      </c>
      <c r="G24" s="1">
        <f t="shared" si="20"/>
        <v>44242</v>
      </c>
      <c r="H24">
        <f t="shared" si="21"/>
        <v>366</v>
      </c>
      <c r="I24">
        <f t="shared" si="22"/>
        <v>30</v>
      </c>
      <c r="J24">
        <f t="shared" si="23"/>
        <v>8.1967213114754092E-2</v>
      </c>
      <c r="K24">
        <f>IFERROR($J24/IF($A24&lt;COUNTIFS($K$1:K$1,"&lt;&gt;"),0,SUMIFS($J:$J,$B:$B,$B24,$A:$A,"&gt;="&amp;COUNTIFS($K$1:K$1,"&lt;&gt;"))),0)</f>
        <v>8.5470085470085472E-2</v>
      </c>
      <c r="L24">
        <f>IFERROR($J24/IF($A24&lt;COUNTIFS($K$1:L$1,"&lt;&gt;"),0,SUMIFS($J:$J,$B:$B,$B24,$A:$A,"&gt;="&amp;COUNTIFS($K$1:L$1,"&lt;&gt;"))),0)</f>
        <v>9.375E-2</v>
      </c>
      <c r="M24">
        <f>IFERROR($J24/IF($A24&lt;COUNTIFS($K$1:M$1,"&lt;&gt;"),0,SUMIFS($J:$J,$B:$B,$B24,$A:$A,"&gt;="&amp;COUNTIFS($K$1:M$1,"&lt;&gt;"))),0)</f>
        <v>0.10344827586206896</v>
      </c>
      <c r="N24">
        <f>IFERROR($J24/IF($A24&lt;COUNTIFS($K$1:N$1,"&lt;&gt;"),0,SUMIFS($J:$J,$B:$B,$B24,$A:$A,"&gt;="&amp;COUNTIFS($K$1:N$1,"&lt;&gt;"))),0)</f>
        <v>0.11583011583011582</v>
      </c>
      <c r="O24">
        <f>IFERROR($J24/IF($A24&lt;COUNTIFS($K$1:O$1,"&lt;&gt;"),0,SUMIFS($J:$J,$B:$B,$B24,$A:$A,"&gt;="&amp;COUNTIFS($K$1:O$1,"&lt;&gt;"))),0)</f>
        <v>0.13100436681222705</v>
      </c>
      <c r="P24">
        <f>IFERROR($J24/IF($A24&lt;COUNTIFS($K$1:P$1,"&lt;&gt;"),0,SUMIFS($J:$J,$B:$B,$B24,$A:$A,"&gt;="&amp;COUNTIFS($K$1:P$1,"&lt;&gt;"))),0)</f>
        <v>0.15151515151515149</v>
      </c>
      <c r="Q24">
        <f>IFERROR($J24/IF($A24&lt;COUNTIFS($K$1:Q$1,"&lt;&gt;"),0,SUMIFS($J:$J,$B:$B,$B24,$A:$A,"&gt;="&amp;COUNTIFS($K$1:Q$1,"&lt;&gt;"))),0)</f>
        <v>0.17964071856287425</v>
      </c>
      <c r="R24">
        <f>IFERROR($J24/IF($A24&lt;COUNTIFS($K$1:R$1,"&lt;&gt;"),0,SUMIFS($J:$J,$B:$B,$B24,$A:$A,"&gt;="&amp;COUNTIFS($K$1:R$1,"&lt;&gt;"))),0)</f>
        <v>0.21897810218978103</v>
      </c>
      <c r="S24">
        <f>IFERROR($J24/IF($A24&lt;COUNTIFS($K$1:S$1,"&lt;&gt;"),0,SUMIFS($J:$J,$B:$B,$B24,$A:$A,"&gt;="&amp;COUNTIFS($K$1:S$1,"&lt;&gt;"))),0)</f>
        <v>0.28301886792452829</v>
      </c>
      <c r="T24">
        <f>IFERROR($J24/IF($A24&lt;COUNTIFS($K$1:T$1,"&lt;&gt;"),0,SUMIFS($J:$J,$B:$B,$B24,$A:$A,"&gt;="&amp;COUNTIFS($K$1:T$1,"&lt;&gt;"))),0)</f>
        <v>0</v>
      </c>
      <c r="U24">
        <f>IFERROR($J24/IF($A24&lt;COUNTIFS($K$1:U$1,"&lt;&gt;"),0,SUMIFS($J:$J,$B:$B,$B24,$A:$A,"&gt;="&amp;COUNTIFS($K$1:U$1,"&lt;&gt;"))),0)</f>
        <v>0</v>
      </c>
      <c r="V24">
        <f>IFERROR($J24/IF($A24&lt;COUNTIFS($K$1:V$1,"&lt;&gt;"),0,SUMIFS($J:$J,$B:$B,$B24,$A:$A,"&gt;="&amp;COUNTIFS($K$1:V$1,"&lt;&gt;"))),0)</f>
        <v>0</v>
      </c>
      <c r="W24">
        <f t="shared" si="24"/>
        <v>8.1967213114754092E-2</v>
      </c>
      <c r="X24">
        <f t="shared" si="4"/>
        <v>8.1967213114754092E-2</v>
      </c>
      <c r="Y24">
        <f t="shared" si="5"/>
        <v>8.1967213114754092E-2</v>
      </c>
      <c r="Z24">
        <f t="shared" si="6"/>
        <v>8.1967213114754092E-2</v>
      </c>
      <c r="AA24">
        <f t="shared" si="7"/>
        <v>8.1967213114754092E-2</v>
      </c>
      <c r="AB24">
        <f t="shared" si="8"/>
        <v>8.1967213114754092E-2</v>
      </c>
      <c r="AC24">
        <f t="shared" si="9"/>
        <v>8.1967213114754092E-2</v>
      </c>
      <c r="AD24">
        <f t="shared" si="10"/>
        <v>8.1967213114754092E-2</v>
      </c>
      <c r="AE24">
        <f t="shared" si="11"/>
        <v>8.1967213114754092E-2</v>
      </c>
      <c r="AF24">
        <f t="shared" si="12"/>
        <v>8.1967213114754092E-2</v>
      </c>
      <c r="AG24">
        <f t="shared" si="13"/>
        <v>0</v>
      </c>
      <c r="AH24">
        <f t="shared" si="14"/>
        <v>0</v>
      </c>
      <c r="AI24">
        <f t="shared" si="15"/>
        <v>0</v>
      </c>
      <c r="AJ24" s="2" t="str">
        <f t="shared" si="25"/>
        <v>943862</v>
      </c>
    </row>
    <row r="25" spans="1:36" x14ac:dyDescent="0.25">
      <c r="A25">
        <v>10</v>
      </c>
      <c r="B25" s="1">
        <v>43862</v>
      </c>
      <c r="C25" s="1">
        <f t="shared" si="16"/>
        <v>44166</v>
      </c>
      <c r="D25" s="1">
        <f t="shared" si="17"/>
        <v>43876</v>
      </c>
      <c r="E25" s="1">
        <f t="shared" si="18"/>
        <v>44166</v>
      </c>
      <c r="F25" s="1">
        <f t="shared" si="19"/>
        <v>44197</v>
      </c>
      <c r="G25" s="1">
        <f t="shared" si="20"/>
        <v>44242</v>
      </c>
      <c r="H25">
        <f t="shared" si="21"/>
        <v>366</v>
      </c>
      <c r="I25">
        <f t="shared" si="22"/>
        <v>31</v>
      </c>
      <c r="J25">
        <f t="shared" si="23"/>
        <v>8.4699453551912565E-2</v>
      </c>
      <c r="K25">
        <f>IFERROR($J25/IF($A25&lt;COUNTIFS($K$1:K$1,"&lt;&gt;"),0,SUMIFS($J:$J,$B:$B,$B25,$A:$A,"&gt;="&amp;COUNTIFS($K$1:K$1,"&lt;&gt;"))),0)</f>
        <v>8.8319088319088315E-2</v>
      </c>
      <c r="L25">
        <f>IFERROR($J25/IF($A25&lt;COUNTIFS($K$1:L$1,"&lt;&gt;"),0,SUMIFS($J:$J,$B:$B,$B25,$A:$A,"&gt;="&amp;COUNTIFS($K$1:L$1,"&lt;&gt;"))),0)</f>
        <v>9.6875000000000003E-2</v>
      </c>
      <c r="M25">
        <f>IFERROR($J25/IF($A25&lt;COUNTIFS($K$1:M$1,"&lt;&gt;"),0,SUMIFS($J:$J,$B:$B,$B25,$A:$A,"&gt;="&amp;COUNTIFS($K$1:M$1,"&lt;&gt;"))),0)</f>
        <v>0.10689655172413792</v>
      </c>
      <c r="N25">
        <f>IFERROR($J25/IF($A25&lt;COUNTIFS($K$1:N$1,"&lt;&gt;"),0,SUMIFS($J:$J,$B:$B,$B25,$A:$A,"&gt;="&amp;COUNTIFS($K$1:N$1,"&lt;&gt;"))),0)</f>
        <v>0.11969111969111969</v>
      </c>
      <c r="O25">
        <f>IFERROR($J25/IF($A25&lt;COUNTIFS($K$1:O$1,"&lt;&gt;"),0,SUMIFS($J:$J,$B:$B,$B25,$A:$A,"&gt;="&amp;COUNTIFS($K$1:O$1,"&lt;&gt;"))),0)</f>
        <v>0.13537117903930129</v>
      </c>
      <c r="P25">
        <f>IFERROR($J25/IF($A25&lt;COUNTIFS($K$1:P$1,"&lt;&gt;"),0,SUMIFS($J:$J,$B:$B,$B25,$A:$A,"&gt;="&amp;COUNTIFS($K$1:P$1,"&lt;&gt;"))),0)</f>
        <v>0.15656565656565655</v>
      </c>
      <c r="Q25">
        <f>IFERROR($J25/IF($A25&lt;COUNTIFS($K$1:Q$1,"&lt;&gt;"),0,SUMIFS($J:$J,$B:$B,$B25,$A:$A,"&gt;="&amp;COUNTIFS($K$1:Q$1,"&lt;&gt;"))),0)</f>
        <v>0.18562874251497008</v>
      </c>
      <c r="R25">
        <f>IFERROR($J25/IF($A25&lt;COUNTIFS($K$1:R$1,"&lt;&gt;"),0,SUMIFS($J:$J,$B:$B,$B25,$A:$A,"&gt;="&amp;COUNTIFS($K$1:R$1,"&lt;&gt;"))),0)</f>
        <v>0.22627737226277372</v>
      </c>
      <c r="S25">
        <f>IFERROR($J25/IF($A25&lt;COUNTIFS($K$1:S$1,"&lt;&gt;"),0,SUMIFS($J:$J,$B:$B,$B25,$A:$A,"&gt;="&amp;COUNTIFS($K$1:S$1,"&lt;&gt;"))),0)</f>
        <v>0.29245283018867924</v>
      </c>
      <c r="T25">
        <f>IFERROR($J25/IF($A25&lt;COUNTIFS($K$1:T$1,"&lt;&gt;"),0,SUMIFS($J:$J,$B:$B,$B25,$A:$A,"&gt;="&amp;COUNTIFS($K$1:T$1,"&lt;&gt;"))),0)</f>
        <v>0.40789473684210525</v>
      </c>
      <c r="U25">
        <f>IFERROR($J25/IF($A25&lt;COUNTIFS($K$1:U$1,"&lt;&gt;"),0,SUMIFS($J:$J,$B:$B,$B25,$A:$A,"&gt;="&amp;COUNTIFS($K$1:U$1,"&lt;&gt;"))),0)</f>
        <v>0</v>
      </c>
      <c r="V25">
        <f>IFERROR($J25/IF($A25&lt;COUNTIFS($K$1:V$1,"&lt;&gt;"),0,SUMIFS($J:$J,$B:$B,$B25,$A:$A,"&gt;="&amp;COUNTIFS($K$1:V$1,"&lt;&gt;"))),0)</f>
        <v>0</v>
      </c>
      <c r="W25">
        <f t="shared" si="24"/>
        <v>8.4699453551912565E-2</v>
      </c>
      <c r="X25">
        <f t="shared" si="4"/>
        <v>8.4699453551912565E-2</v>
      </c>
      <c r="Y25">
        <f t="shared" si="5"/>
        <v>8.4699453551912565E-2</v>
      </c>
      <c r="Z25">
        <f t="shared" si="6"/>
        <v>8.4699453551912565E-2</v>
      </c>
      <c r="AA25">
        <f t="shared" si="7"/>
        <v>8.4699453551912565E-2</v>
      </c>
      <c r="AB25">
        <f t="shared" si="8"/>
        <v>8.4699453551912565E-2</v>
      </c>
      <c r="AC25">
        <f t="shared" si="9"/>
        <v>8.4699453551912565E-2</v>
      </c>
      <c r="AD25">
        <f t="shared" si="10"/>
        <v>8.4699453551912565E-2</v>
      </c>
      <c r="AE25">
        <f t="shared" si="11"/>
        <v>8.4699453551912565E-2</v>
      </c>
      <c r="AF25">
        <f t="shared" si="12"/>
        <v>8.4699453551912565E-2</v>
      </c>
      <c r="AG25">
        <f t="shared" si="13"/>
        <v>8.4699453551912565E-2</v>
      </c>
      <c r="AH25">
        <f t="shared" si="14"/>
        <v>0</v>
      </c>
      <c r="AI25">
        <f t="shared" si="15"/>
        <v>0</v>
      </c>
      <c r="AJ25" s="2" t="str">
        <f t="shared" si="25"/>
        <v>1043862</v>
      </c>
    </row>
    <row r="26" spans="1:36" x14ac:dyDescent="0.25">
      <c r="A26">
        <v>11</v>
      </c>
      <c r="B26" s="1">
        <v>43862</v>
      </c>
      <c r="C26" s="1">
        <f t="shared" si="16"/>
        <v>44197</v>
      </c>
      <c r="D26" s="1">
        <f t="shared" si="17"/>
        <v>43876</v>
      </c>
      <c r="E26" s="1">
        <f t="shared" si="18"/>
        <v>44197</v>
      </c>
      <c r="F26" s="1">
        <f t="shared" si="19"/>
        <v>44228</v>
      </c>
      <c r="G26" s="1">
        <f t="shared" si="20"/>
        <v>44242</v>
      </c>
      <c r="H26">
        <f t="shared" si="21"/>
        <v>366</v>
      </c>
      <c r="I26">
        <f t="shared" si="22"/>
        <v>31</v>
      </c>
      <c r="J26">
        <f t="shared" si="23"/>
        <v>8.4699453551912565E-2</v>
      </c>
      <c r="K26">
        <f>IFERROR($J26/IF($A26&lt;COUNTIFS($K$1:K$1,"&lt;&gt;"),0,SUMIFS($J:$J,$B:$B,$B26,$A:$A,"&gt;="&amp;COUNTIFS($K$1:K$1,"&lt;&gt;"))),0)</f>
        <v>8.8319088319088315E-2</v>
      </c>
      <c r="L26">
        <f>IFERROR($J26/IF($A26&lt;COUNTIFS($K$1:L$1,"&lt;&gt;"),0,SUMIFS($J:$J,$B:$B,$B26,$A:$A,"&gt;="&amp;COUNTIFS($K$1:L$1,"&lt;&gt;"))),0)</f>
        <v>9.6875000000000003E-2</v>
      </c>
      <c r="M26">
        <f>IFERROR($J26/IF($A26&lt;COUNTIFS($K$1:M$1,"&lt;&gt;"),0,SUMIFS($J:$J,$B:$B,$B26,$A:$A,"&gt;="&amp;COUNTIFS($K$1:M$1,"&lt;&gt;"))),0)</f>
        <v>0.10689655172413792</v>
      </c>
      <c r="N26">
        <f>IFERROR($J26/IF($A26&lt;COUNTIFS($K$1:N$1,"&lt;&gt;"),0,SUMIFS($J:$J,$B:$B,$B26,$A:$A,"&gt;="&amp;COUNTIFS($K$1:N$1,"&lt;&gt;"))),0)</f>
        <v>0.11969111969111969</v>
      </c>
      <c r="O26">
        <f>IFERROR($J26/IF($A26&lt;COUNTIFS($K$1:O$1,"&lt;&gt;"),0,SUMIFS($J:$J,$B:$B,$B26,$A:$A,"&gt;="&amp;COUNTIFS($K$1:O$1,"&lt;&gt;"))),0)</f>
        <v>0.13537117903930129</v>
      </c>
      <c r="P26">
        <f>IFERROR($J26/IF($A26&lt;COUNTIFS($K$1:P$1,"&lt;&gt;"),0,SUMIFS($J:$J,$B:$B,$B26,$A:$A,"&gt;="&amp;COUNTIFS($K$1:P$1,"&lt;&gt;"))),0)</f>
        <v>0.15656565656565655</v>
      </c>
      <c r="Q26">
        <f>IFERROR($J26/IF($A26&lt;COUNTIFS($K$1:Q$1,"&lt;&gt;"),0,SUMIFS($J:$J,$B:$B,$B26,$A:$A,"&gt;="&amp;COUNTIFS($K$1:Q$1,"&lt;&gt;"))),0)</f>
        <v>0.18562874251497008</v>
      </c>
      <c r="R26">
        <f>IFERROR($J26/IF($A26&lt;COUNTIFS($K$1:R$1,"&lt;&gt;"),0,SUMIFS($J:$J,$B:$B,$B26,$A:$A,"&gt;="&amp;COUNTIFS($K$1:R$1,"&lt;&gt;"))),0)</f>
        <v>0.22627737226277372</v>
      </c>
      <c r="S26">
        <f>IFERROR($J26/IF($A26&lt;COUNTIFS($K$1:S$1,"&lt;&gt;"),0,SUMIFS($J:$J,$B:$B,$B26,$A:$A,"&gt;="&amp;COUNTIFS($K$1:S$1,"&lt;&gt;"))),0)</f>
        <v>0.29245283018867924</v>
      </c>
      <c r="T26">
        <f>IFERROR($J26/IF($A26&lt;COUNTIFS($K$1:T$1,"&lt;&gt;"),0,SUMIFS($J:$J,$B:$B,$B26,$A:$A,"&gt;="&amp;COUNTIFS($K$1:T$1,"&lt;&gt;"))),0)</f>
        <v>0.40789473684210525</v>
      </c>
      <c r="U26">
        <f>IFERROR($J26/IF($A26&lt;COUNTIFS($K$1:U$1,"&lt;&gt;"),0,SUMIFS($J:$J,$B:$B,$B26,$A:$A,"&gt;="&amp;COUNTIFS($K$1:U$1,"&lt;&gt;"))),0)</f>
        <v>0.68888888888888888</v>
      </c>
      <c r="V26">
        <f>IFERROR($J26/IF($A26&lt;COUNTIFS($K$1:V$1,"&lt;&gt;"),0,SUMIFS($J:$J,$B:$B,$B26,$A:$A,"&gt;="&amp;COUNTIFS($K$1:V$1,"&lt;&gt;"))),0)</f>
        <v>0</v>
      </c>
      <c r="W26">
        <f t="shared" si="24"/>
        <v>8.4699453551912565E-2</v>
      </c>
      <c r="X26">
        <f t="shared" si="4"/>
        <v>8.4699453551912565E-2</v>
      </c>
      <c r="Y26">
        <f t="shared" si="5"/>
        <v>8.4699453551912565E-2</v>
      </c>
      <c r="Z26">
        <f t="shared" si="6"/>
        <v>8.4699453551912565E-2</v>
      </c>
      <c r="AA26">
        <f t="shared" si="7"/>
        <v>8.4699453551912565E-2</v>
      </c>
      <c r="AB26">
        <f t="shared" si="8"/>
        <v>8.4699453551912565E-2</v>
      </c>
      <c r="AC26">
        <f t="shared" si="9"/>
        <v>8.4699453551912565E-2</v>
      </c>
      <c r="AD26">
        <f t="shared" si="10"/>
        <v>8.4699453551912565E-2</v>
      </c>
      <c r="AE26">
        <f t="shared" si="11"/>
        <v>8.4699453551912565E-2</v>
      </c>
      <c r="AF26">
        <f t="shared" si="12"/>
        <v>8.4699453551912565E-2</v>
      </c>
      <c r="AG26">
        <f t="shared" si="13"/>
        <v>8.4699453551912565E-2</v>
      </c>
      <c r="AH26">
        <f t="shared" si="14"/>
        <v>8.4699453551912565E-2</v>
      </c>
      <c r="AI26">
        <f t="shared" si="15"/>
        <v>0</v>
      </c>
      <c r="AJ26" s="2" t="str">
        <f t="shared" si="25"/>
        <v>1143862</v>
      </c>
    </row>
    <row r="27" spans="1:36" x14ac:dyDescent="0.25">
      <c r="A27">
        <v>12</v>
      </c>
      <c r="B27" s="1">
        <v>43862</v>
      </c>
      <c r="C27" s="1">
        <f t="shared" si="16"/>
        <v>44228</v>
      </c>
      <c r="D27" s="1">
        <f t="shared" si="17"/>
        <v>43876</v>
      </c>
      <c r="E27" s="1">
        <f t="shared" si="18"/>
        <v>44228</v>
      </c>
      <c r="F27" s="1">
        <f t="shared" si="19"/>
        <v>44242</v>
      </c>
      <c r="G27" s="1">
        <f t="shared" si="20"/>
        <v>44242</v>
      </c>
      <c r="H27">
        <f t="shared" si="21"/>
        <v>366</v>
      </c>
      <c r="I27">
        <f t="shared" si="22"/>
        <v>14</v>
      </c>
      <c r="J27">
        <f t="shared" si="23"/>
        <v>3.825136612021858E-2</v>
      </c>
      <c r="K27">
        <f>IFERROR($J27/IF($A27&lt;COUNTIFS($K$1:K$1,"&lt;&gt;"),0,SUMIFS($J:$J,$B:$B,$B27,$A:$A,"&gt;="&amp;COUNTIFS($K$1:K$1,"&lt;&gt;"))),0)</f>
        <v>3.9886039886039885E-2</v>
      </c>
      <c r="L27">
        <f>IFERROR($J27/IF($A27&lt;COUNTIFS($K$1:L$1,"&lt;&gt;"),0,SUMIFS($J:$J,$B:$B,$B27,$A:$A,"&gt;="&amp;COUNTIFS($K$1:L$1,"&lt;&gt;"))),0)</f>
        <v>4.3750000000000004E-2</v>
      </c>
      <c r="M27">
        <f>IFERROR($J27/IF($A27&lt;COUNTIFS($K$1:M$1,"&lt;&gt;"),0,SUMIFS($J:$J,$B:$B,$B27,$A:$A,"&gt;="&amp;COUNTIFS($K$1:M$1,"&lt;&gt;"))),0)</f>
        <v>4.8275862068965517E-2</v>
      </c>
      <c r="N27">
        <f>IFERROR($J27/IF($A27&lt;COUNTIFS($K$1:N$1,"&lt;&gt;"),0,SUMIFS($J:$J,$B:$B,$B27,$A:$A,"&gt;="&amp;COUNTIFS($K$1:N$1,"&lt;&gt;"))),0)</f>
        <v>5.4054054054054057E-2</v>
      </c>
      <c r="O27">
        <f>IFERROR($J27/IF($A27&lt;COUNTIFS($K$1:O$1,"&lt;&gt;"),0,SUMIFS($J:$J,$B:$B,$B27,$A:$A,"&gt;="&amp;COUNTIFS($K$1:O$1,"&lt;&gt;"))),0)</f>
        <v>6.1135371179039298E-2</v>
      </c>
      <c r="P27">
        <f>IFERROR($J27/IF($A27&lt;COUNTIFS($K$1:P$1,"&lt;&gt;"),0,SUMIFS($J:$J,$B:$B,$B27,$A:$A,"&gt;="&amp;COUNTIFS($K$1:P$1,"&lt;&gt;"))),0)</f>
        <v>7.0707070707070704E-2</v>
      </c>
      <c r="Q27">
        <f>IFERROR($J27/IF($A27&lt;COUNTIFS($K$1:Q$1,"&lt;&gt;"),0,SUMIFS($J:$J,$B:$B,$B27,$A:$A,"&gt;="&amp;COUNTIFS($K$1:Q$1,"&lt;&gt;"))),0)</f>
        <v>8.3832335329341326E-2</v>
      </c>
      <c r="R27">
        <f>IFERROR($J27/IF($A27&lt;COUNTIFS($K$1:R$1,"&lt;&gt;"),0,SUMIFS($J:$J,$B:$B,$B27,$A:$A,"&gt;="&amp;COUNTIFS($K$1:R$1,"&lt;&gt;"))),0)</f>
        <v>0.10218978102189782</v>
      </c>
      <c r="S27">
        <f>IFERROR($J27/IF($A27&lt;COUNTIFS($K$1:S$1,"&lt;&gt;"),0,SUMIFS($J:$J,$B:$B,$B27,$A:$A,"&gt;="&amp;COUNTIFS($K$1:S$1,"&lt;&gt;"))),0)</f>
        <v>0.13207547169811321</v>
      </c>
      <c r="T27">
        <f>IFERROR($J27/IF($A27&lt;COUNTIFS($K$1:T$1,"&lt;&gt;"),0,SUMIFS($J:$J,$B:$B,$B27,$A:$A,"&gt;="&amp;COUNTIFS($K$1:T$1,"&lt;&gt;"))),0)</f>
        <v>0.18421052631578946</v>
      </c>
      <c r="U27">
        <f>IFERROR($J27/IF($A27&lt;COUNTIFS($K$1:U$1,"&lt;&gt;"),0,SUMIFS($J:$J,$B:$B,$B27,$A:$A,"&gt;="&amp;COUNTIFS($K$1:U$1,"&lt;&gt;"))),0)</f>
        <v>0.31111111111111112</v>
      </c>
      <c r="V27">
        <f>IFERROR($J27/IF($A27&lt;COUNTIFS($K$1:V$1,"&lt;&gt;"),0,SUMIFS($J:$J,$B:$B,$B27,$A:$A,"&gt;="&amp;COUNTIFS($K$1:V$1,"&lt;&gt;"))),0)</f>
        <v>1</v>
      </c>
      <c r="W27">
        <f t="shared" si="24"/>
        <v>3.825136612021858E-2</v>
      </c>
      <c r="X27">
        <f t="shared" si="4"/>
        <v>3.825136612021858E-2</v>
      </c>
      <c r="Y27">
        <f t="shared" si="5"/>
        <v>3.825136612021858E-2</v>
      </c>
      <c r="Z27">
        <f t="shared" si="6"/>
        <v>3.825136612021858E-2</v>
      </c>
      <c r="AA27">
        <f t="shared" si="7"/>
        <v>3.825136612021858E-2</v>
      </c>
      <c r="AB27">
        <f t="shared" si="8"/>
        <v>3.825136612021858E-2</v>
      </c>
      <c r="AC27">
        <f t="shared" si="9"/>
        <v>3.825136612021858E-2</v>
      </c>
      <c r="AD27">
        <f t="shared" si="10"/>
        <v>3.825136612021858E-2</v>
      </c>
      <c r="AE27">
        <f t="shared" si="11"/>
        <v>3.825136612021858E-2</v>
      </c>
      <c r="AF27">
        <f t="shared" si="12"/>
        <v>3.825136612021858E-2</v>
      </c>
      <c r="AG27">
        <f t="shared" si="13"/>
        <v>3.825136612021858E-2</v>
      </c>
      <c r="AH27">
        <f t="shared" si="14"/>
        <v>3.825136612021858E-2</v>
      </c>
      <c r="AI27">
        <f t="shared" si="15"/>
        <v>3.825136612021858E-2</v>
      </c>
      <c r="AJ27" s="2" t="str">
        <f t="shared" si="25"/>
        <v>1243862</v>
      </c>
    </row>
    <row r="28" spans="1:36" x14ac:dyDescent="0.25">
      <c r="A28">
        <v>0</v>
      </c>
      <c r="B28" s="1">
        <v>43891</v>
      </c>
      <c r="C28" s="1">
        <f t="shared" si="16"/>
        <v>43891</v>
      </c>
      <c r="D28" s="1">
        <f t="shared" si="17"/>
        <v>43905</v>
      </c>
      <c r="E28" s="1">
        <f t="shared" si="18"/>
        <v>43905</v>
      </c>
      <c r="F28" s="1">
        <f t="shared" si="19"/>
        <v>43922</v>
      </c>
      <c r="G28" s="1">
        <f t="shared" si="20"/>
        <v>44270</v>
      </c>
      <c r="H28">
        <f t="shared" si="21"/>
        <v>365</v>
      </c>
      <c r="I28">
        <f t="shared" si="22"/>
        <v>17</v>
      </c>
      <c r="J28">
        <f t="shared" si="23"/>
        <v>4.6575342465753428E-2</v>
      </c>
      <c r="K28">
        <f>IFERROR($J28/IF($A28&lt;COUNTIFS($K$1:K$1,"&lt;&gt;"),0,SUMIFS($J:$J,$B:$B,$B28,$A:$A,"&gt;="&amp;COUNTIFS($K$1:K$1,"&lt;&gt;"))),0)</f>
        <v>0</v>
      </c>
      <c r="L28">
        <f>IFERROR($J28/IF($A28&lt;COUNTIFS($K$1:L$1,"&lt;&gt;"),0,SUMIFS($J:$J,$B:$B,$B28,$A:$A,"&gt;="&amp;COUNTIFS($K$1:L$1,"&lt;&gt;"))),0)</f>
        <v>0</v>
      </c>
      <c r="M28">
        <f>IFERROR($J28/IF($A28&lt;COUNTIFS($K$1:M$1,"&lt;&gt;"),0,SUMIFS($J:$J,$B:$B,$B28,$A:$A,"&gt;="&amp;COUNTIFS($K$1:M$1,"&lt;&gt;"))),0)</f>
        <v>0</v>
      </c>
      <c r="N28">
        <f>IFERROR($J28/IF($A28&lt;COUNTIFS($K$1:N$1,"&lt;&gt;"),0,SUMIFS($J:$J,$B:$B,$B28,$A:$A,"&gt;="&amp;COUNTIFS($K$1:N$1,"&lt;&gt;"))),0)</f>
        <v>0</v>
      </c>
      <c r="O28">
        <f>IFERROR($J28/IF($A28&lt;COUNTIFS($K$1:O$1,"&lt;&gt;"),0,SUMIFS($J:$J,$B:$B,$B28,$A:$A,"&gt;="&amp;COUNTIFS($K$1:O$1,"&lt;&gt;"))),0)</f>
        <v>0</v>
      </c>
      <c r="P28">
        <f>IFERROR($J28/IF($A28&lt;COUNTIFS($K$1:P$1,"&lt;&gt;"),0,SUMIFS($J:$J,$B:$B,$B28,$A:$A,"&gt;="&amp;COUNTIFS($K$1:P$1,"&lt;&gt;"))),0)</f>
        <v>0</v>
      </c>
      <c r="Q28">
        <f>IFERROR($J28/IF($A28&lt;COUNTIFS($K$1:Q$1,"&lt;&gt;"),0,SUMIFS($J:$J,$B:$B,$B28,$A:$A,"&gt;="&amp;COUNTIFS($K$1:Q$1,"&lt;&gt;"))),0)</f>
        <v>0</v>
      </c>
      <c r="R28">
        <f>IFERROR($J28/IF($A28&lt;COUNTIFS($K$1:R$1,"&lt;&gt;"),0,SUMIFS($J:$J,$B:$B,$B28,$A:$A,"&gt;="&amp;COUNTIFS($K$1:R$1,"&lt;&gt;"))),0)</f>
        <v>0</v>
      </c>
      <c r="S28">
        <f>IFERROR($J28/IF($A28&lt;COUNTIFS($K$1:S$1,"&lt;&gt;"),0,SUMIFS($J:$J,$B:$B,$B28,$A:$A,"&gt;="&amp;COUNTIFS($K$1:S$1,"&lt;&gt;"))),0)</f>
        <v>0</v>
      </c>
      <c r="T28">
        <f>IFERROR($J28/IF($A28&lt;COUNTIFS($K$1:T$1,"&lt;&gt;"),0,SUMIFS($J:$J,$B:$B,$B28,$A:$A,"&gt;="&amp;COUNTIFS($K$1:T$1,"&lt;&gt;"))),0)</f>
        <v>0</v>
      </c>
      <c r="U28">
        <f>IFERROR($J28/IF($A28&lt;COUNTIFS($K$1:U$1,"&lt;&gt;"),0,SUMIFS($J:$J,$B:$B,$B28,$A:$A,"&gt;="&amp;COUNTIFS($K$1:U$1,"&lt;&gt;"))),0)</f>
        <v>0</v>
      </c>
      <c r="V28">
        <f>IFERROR($J28/IF($A28&lt;COUNTIFS($K$1:V$1,"&lt;&gt;"),0,SUMIFS($J:$J,$B:$B,$B28,$A:$A,"&gt;="&amp;COUNTIFS($K$1:V$1,"&lt;&gt;"))),0)</f>
        <v>0</v>
      </c>
      <c r="W28">
        <f t="shared" si="24"/>
        <v>4.6575342465753428E-2</v>
      </c>
      <c r="X28">
        <f t="shared" si="4"/>
        <v>0</v>
      </c>
      <c r="Y28">
        <f t="shared" si="5"/>
        <v>0</v>
      </c>
      <c r="Z28">
        <f t="shared" si="6"/>
        <v>0</v>
      </c>
      <c r="AA28">
        <f t="shared" si="7"/>
        <v>0</v>
      </c>
      <c r="AB28">
        <f t="shared" si="8"/>
        <v>0</v>
      </c>
      <c r="AC28">
        <f t="shared" si="9"/>
        <v>0</v>
      </c>
      <c r="AD28">
        <f t="shared" si="10"/>
        <v>0</v>
      </c>
      <c r="AE28">
        <f t="shared" si="11"/>
        <v>0</v>
      </c>
      <c r="AF28">
        <f t="shared" si="12"/>
        <v>0</v>
      </c>
      <c r="AG28">
        <f t="shared" si="13"/>
        <v>0</v>
      </c>
      <c r="AH28">
        <f t="shared" si="14"/>
        <v>0</v>
      </c>
      <c r="AI28">
        <f t="shared" si="15"/>
        <v>0</v>
      </c>
      <c r="AJ28" s="2" t="str">
        <f t="shared" si="25"/>
        <v>043891</v>
      </c>
    </row>
    <row r="29" spans="1:36" x14ac:dyDescent="0.25">
      <c r="A29">
        <v>1</v>
      </c>
      <c r="B29" s="1">
        <v>43891</v>
      </c>
      <c r="C29" s="1">
        <f t="shared" si="16"/>
        <v>43922</v>
      </c>
      <c r="D29" s="1">
        <f t="shared" si="17"/>
        <v>43905</v>
      </c>
      <c r="E29" s="1">
        <f t="shared" si="18"/>
        <v>43922</v>
      </c>
      <c r="F29" s="1">
        <f t="shared" si="19"/>
        <v>43952</v>
      </c>
      <c r="G29" s="1">
        <f t="shared" si="20"/>
        <v>44270</v>
      </c>
      <c r="H29">
        <f t="shared" si="21"/>
        <v>365</v>
      </c>
      <c r="I29">
        <f t="shared" si="22"/>
        <v>30</v>
      </c>
      <c r="J29">
        <f t="shared" si="23"/>
        <v>8.2191780821917804E-2</v>
      </c>
      <c r="K29">
        <f>IFERROR($J29/IF($A29&lt;COUNTIFS($K$1:K$1,"&lt;&gt;"),0,SUMIFS($J:$J,$B:$B,$B29,$A:$A,"&gt;="&amp;COUNTIFS($K$1:K$1,"&lt;&gt;"))),0)</f>
        <v>8.6206896551724144E-2</v>
      </c>
      <c r="L29">
        <f>IFERROR($J29/IF($A29&lt;COUNTIFS($K$1:L$1,"&lt;&gt;"),0,SUMIFS($J:$J,$B:$B,$B29,$A:$A,"&gt;="&amp;COUNTIFS($K$1:L$1,"&lt;&gt;"))),0)</f>
        <v>0</v>
      </c>
      <c r="M29">
        <f>IFERROR($J29/IF($A29&lt;COUNTIFS($K$1:M$1,"&lt;&gt;"),0,SUMIFS($J:$J,$B:$B,$B29,$A:$A,"&gt;="&amp;COUNTIFS($K$1:M$1,"&lt;&gt;"))),0)</f>
        <v>0</v>
      </c>
      <c r="N29">
        <f>IFERROR($J29/IF($A29&lt;COUNTIFS($K$1:N$1,"&lt;&gt;"),0,SUMIFS($J:$J,$B:$B,$B29,$A:$A,"&gt;="&amp;COUNTIFS($K$1:N$1,"&lt;&gt;"))),0)</f>
        <v>0</v>
      </c>
      <c r="O29">
        <f>IFERROR($J29/IF($A29&lt;COUNTIFS($K$1:O$1,"&lt;&gt;"),0,SUMIFS($J:$J,$B:$B,$B29,$A:$A,"&gt;="&amp;COUNTIFS($K$1:O$1,"&lt;&gt;"))),0)</f>
        <v>0</v>
      </c>
      <c r="P29">
        <f>IFERROR($J29/IF($A29&lt;COUNTIFS($K$1:P$1,"&lt;&gt;"),0,SUMIFS($J:$J,$B:$B,$B29,$A:$A,"&gt;="&amp;COUNTIFS($K$1:P$1,"&lt;&gt;"))),0)</f>
        <v>0</v>
      </c>
      <c r="Q29">
        <f>IFERROR($J29/IF($A29&lt;COUNTIFS($K$1:Q$1,"&lt;&gt;"),0,SUMIFS($J:$J,$B:$B,$B29,$A:$A,"&gt;="&amp;COUNTIFS($K$1:Q$1,"&lt;&gt;"))),0)</f>
        <v>0</v>
      </c>
      <c r="R29">
        <f>IFERROR($J29/IF($A29&lt;COUNTIFS($K$1:R$1,"&lt;&gt;"),0,SUMIFS($J:$J,$B:$B,$B29,$A:$A,"&gt;="&amp;COUNTIFS($K$1:R$1,"&lt;&gt;"))),0)</f>
        <v>0</v>
      </c>
      <c r="S29">
        <f>IFERROR($J29/IF($A29&lt;COUNTIFS($K$1:S$1,"&lt;&gt;"),0,SUMIFS($J:$J,$B:$B,$B29,$A:$A,"&gt;="&amp;COUNTIFS($K$1:S$1,"&lt;&gt;"))),0)</f>
        <v>0</v>
      </c>
      <c r="T29">
        <f>IFERROR($J29/IF($A29&lt;COUNTIFS($K$1:T$1,"&lt;&gt;"),0,SUMIFS($J:$J,$B:$B,$B29,$A:$A,"&gt;="&amp;COUNTIFS($K$1:T$1,"&lt;&gt;"))),0)</f>
        <v>0</v>
      </c>
      <c r="U29">
        <f>IFERROR($J29/IF($A29&lt;COUNTIFS($K$1:U$1,"&lt;&gt;"),0,SUMIFS($J:$J,$B:$B,$B29,$A:$A,"&gt;="&amp;COUNTIFS($K$1:U$1,"&lt;&gt;"))),0)</f>
        <v>0</v>
      </c>
      <c r="V29">
        <f>IFERROR($J29/IF($A29&lt;COUNTIFS($K$1:V$1,"&lt;&gt;"),0,SUMIFS($J:$J,$B:$B,$B29,$A:$A,"&gt;="&amp;COUNTIFS($K$1:V$1,"&lt;&gt;"))),0)</f>
        <v>0</v>
      </c>
      <c r="W29">
        <f t="shared" si="24"/>
        <v>8.2191780821917804E-2</v>
      </c>
      <c r="X29">
        <f t="shared" si="4"/>
        <v>8.2191780821917804E-2</v>
      </c>
      <c r="Y29">
        <f t="shared" si="5"/>
        <v>0</v>
      </c>
      <c r="Z29">
        <f t="shared" si="6"/>
        <v>0</v>
      </c>
      <c r="AA29">
        <f t="shared" si="7"/>
        <v>0</v>
      </c>
      <c r="AB29">
        <f t="shared" si="8"/>
        <v>0</v>
      </c>
      <c r="AC29">
        <f t="shared" si="9"/>
        <v>0</v>
      </c>
      <c r="AD29">
        <f t="shared" si="10"/>
        <v>0</v>
      </c>
      <c r="AE29">
        <f t="shared" si="11"/>
        <v>0</v>
      </c>
      <c r="AF29">
        <f t="shared" si="12"/>
        <v>0</v>
      </c>
      <c r="AG29">
        <f t="shared" si="13"/>
        <v>0</v>
      </c>
      <c r="AH29">
        <f t="shared" si="14"/>
        <v>0</v>
      </c>
      <c r="AI29">
        <f t="shared" si="15"/>
        <v>0</v>
      </c>
      <c r="AJ29" s="2" t="str">
        <f t="shared" si="25"/>
        <v>143891</v>
      </c>
    </row>
    <row r="30" spans="1:36" x14ac:dyDescent="0.25">
      <c r="A30">
        <v>2</v>
      </c>
      <c r="B30" s="1">
        <v>43891</v>
      </c>
      <c r="C30" s="1">
        <f t="shared" si="16"/>
        <v>43952</v>
      </c>
      <c r="D30" s="1">
        <f t="shared" si="17"/>
        <v>43905</v>
      </c>
      <c r="E30" s="1">
        <f t="shared" si="18"/>
        <v>43952</v>
      </c>
      <c r="F30" s="1">
        <f t="shared" si="19"/>
        <v>43983</v>
      </c>
      <c r="G30" s="1">
        <f t="shared" si="20"/>
        <v>44270</v>
      </c>
      <c r="H30">
        <f t="shared" si="21"/>
        <v>365</v>
      </c>
      <c r="I30">
        <f t="shared" si="22"/>
        <v>31</v>
      </c>
      <c r="J30">
        <f t="shared" si="23"/>
        <v>8.4931506849315067E-2</v>
      </c>
      <c r="K30">
        <f>IFERROR($J30/IF($A30&lt;COUNTIFS($K$1:K$1,"&lt;&gt;"),0,SUMIFS($J:$J,$B:$B,$B30,$A:$A,"&gt;="&amp;COUNTIFS($K$1:K$1,"&lt;&gt;"))),0)</f>
        <v>8.9080459770114959E-2</v>
      </c>
      <c r="L30">
        <f>IFERROR($J30/IF($A30&lt;COUNTIFS($K$1:L$1,"&lt;&gt;"),0,SUMIFS($J:$J,$B:$B,$B30,$A:$A,"&gt;="&amp;COUNTIFS($K$1:L$1,"&lt;&gt;"))),0)</f>
        <v>9.7484276729559768E-2</v>
      </c>
      <c r="M30">
        <f>IFERROR($J30/IF($A30&lt;COUNTIFS($K$1:M$1,"&lt;&gt;"),0,SUMIFS($J:$J,$B:$B,$B30,$A:$A,"&gt;="&amp;COUNTIFS($K$1:M$1,"&lt;&gt;"))),0)</f>
        <v>0</v>
      </c>
      <c r="N30">
        <f>IFERROR($J30/IF($A30&lt;COUNTIFS($K$1:N$1,"&lt;&gt;"),0,SUMIFS($J:$J,$B:$B,$B30,$A:$A,"&gt;="&amp;COUNTIFS($K$1:N$1,"&lt;&gt;"))),0)</f>
        <v>0</v>
      </c>
      <c r="O30">
        <f>IFERROR($J30/IF($A30&lt;COUNTIFS($K$1:O$1,"&lt;&gt;"),0,SUMIFS($J:$J,$B:$B,$B30,$A:$A,"&gt;="&amp;COUNTIFS($K$1:O$1,"&lt;&gt;"))),0)</f>
        <v>0</v>
      </c>
      <c r="P30">
        <f>IFERROR($J30/IF($A30&lt;COUNTIFS($K$1:P$1,"&lt;&gt;"),0,SUMIFS($J:$J,$B:$B,$B30,$A:$A,"&gt;="&amp;COUNTIFS($K$1:P$1,"&lt;&gt;"))),0)</f>
        <v>0</v>
      </c>
      <c r="Q30">
        <f>IFERROR($J30/IF($A30&lt;COUNTIFS($K$1:Q$1,"&lt;&gt;"),0,SUMIFS($J:$J,$B:$B,$B30,$A:$A,"&gt;="&amp;COUNTIFS($K$1:Q$1,"&lt;&gt;"))),0)</f>
        <v>0</v>
      </c>
      <c r="R30">
        <f>IFERROR($J30/IF($A30&lt;COUNTIFS($K$1:R$1,"&lt;&gt;"),0,SUMIFS($J:$J,$B:$B,$B30,$A:$A,"&gt;="&amp;COUNTIFS($K$1:R$1,"&lt;&gt;"))),0)</f>
        <v>0</v>
      </c>
      <c r="S30">
        <f>IFERROR($J30/IF($A30&lt;COUNTIFS($K$1:S$1,"&lt;&gt;"),0,SUMIFS($J:$J,$B:$B,$B30,$A:$A,"&gt;="&amp;COUNTIFS($K$1:S$1,"&lt;&gt;"))),0)</f>
        <v>0</v>
      </c>
      <c r="T30">
        <f>IFERROR($J30/IF($A30&lt;COUNTIFS($K$1:T$1,"&lt;&gt;"),0,SUMIFS($J:$J,$B:$B,$B30,$A:$A,"&gt;="&amp;COUNTIFS($K$1:T$1,"&lt;&gt;"))),0)</f>
        <v>0</v>
      </c>
      <c r="U30">
        <f>IFERROR($J30/IF($A30&lt;COUNTIFS($K$1:U$1,"&lt;&gt;"),0,SUMIFS($J:$J,$B:$B,$B30,$A:$A,"&gt;="&amp;COUNTIFS($K$1:U$1,"&lt;&gt;"))),0)</f>
        <v>0</v>
      </c>
      <c r="V30">
        <f>IFERROR($J30/IF($A30&lt;COUNTIFS($K$1:V$1,"&lt;&gt;"),0,SUMIFS($J:$J,$B:$B,$B30,$A:$A,"&gt;="&amp;COUNTIFS($K$1:V$1,"&lt;&gt;"))),0)</f>
        <v>0</v>
      </c>
      <c r="W30">
        <f t="shared" si="24"/>
        <v>8.4931506849315067E-2</v>
      </c>
      <c r="X30">
        <f t="shared" si="4"/>
        <v>8.4931506849315067E-2</v>
      </c>
      <c r="Y30">
        <f t="shared" si="5"/>
        <v>8.4931506849315067E-2</v>
      </c>
      <c r="Z30">
        <f t="shared" si="6"/>
        <v>0</v>
      </c>
      <c r="AA30">
        <f t="shared" si="7"/>
        <v>0</v>
      </c>
      <c r="AB30">
        <f t="shared" si="8"/>
        <v>0</v>
      </c>
      <c r="AC30">
        <f t="shared" si="9"/>
        <v>0</v>
      </c>
      <c r="AD30">
        <f t="shared" si="10"/>
        <v>0</v>
      </c>
      <c r="AE30">
        <f t="shared" si="11"/>
        <v>0</v>
      </c>
      <c r="AF30">
        <f t="shared" si="12"/>
        <v>0</v>
      </c>
      <c r="AG30">
        <f t="shared" si="13"/>
        <v>0</v>
      </c>
      <c r="AH30">
        <f t="shared" si="14"/>
        <v>0</v>
      </c>
      <c r="AI30">
        <f t="shared" si="15"/>
        <v>0</v>
      </c>
      <c r="AJ30" s="2" t="str">
        <f t="shared" si="25"/>
        <v>243891</v>
      </c>
    </row>
    <row r="31" spans="1:36" x14ac:dyDescent="0.25">
      <c r="A31">
        <v>3</v>
      </c>
      <c r="B31" s="1">
        <v>43891</v>
      </c>
      <c r="C31" s="1">
        <f t="shared" si="16"/>
        <v>43983</v>
      </c>
      <c r="D31" s="1">
        <f t="shared" si="17"/>
        <v>43905</v>
      </c>
      <c r="E31" s="1">
        <f t="shared" si="18"/>
        <v>43983</v>
      </c>
      <c r="F31" s="1">
        <f t="shared" si="19"/>
        <v>44013</v>
      </c>
      <c r="G31" s="1">
        <f t="shared" si="20"/>
        <v>44270</v>
      </c>
      <c r="H31">
        <f t="shared" si="21"/>
        <v>365</v>
      </c>
      <c r="I31">
        <f t="shared" si="22"/>
        <v>30</v>
      </c>
      <c r="J31">
        <f t="shared" si="23"/>
        <v>8.2191780821917804E-2</v>
      </c>
      <c r="K31">
        <f>IFERROR($J31/IF($A31&lt;COUNTIFS($K$1:K$1,"&lt;&gt;"),0,SUMIFS($J:$J,$B:$B,$B31,$A:$A,"&gt;="&amp;COUNTIFS($K$1:K$1,"&lt;&gt;"))),0)</f>
        <v>8.6206896551724144E-2</v>
      </c>
      <c r="L31">
        <f>IFERROR($J31/IF($A31&lt;COUNTIFS($K$1:L$1,"&lt;&gt;"),0,SUMIFS($J:$J,$B:$B,$B31,$A:$A,"&gt;="&amp;COUNTIFS($K$1:L$1,"&lt;&gt;"))),0)</f>
        <v>9.4339622641509441E-2</v>
      </c>
      <c r="M31">
        <f>IFERROR($J31/IF($A31&lt;COUNTIFS($K$1:M$1,"&lt;&gt;"),0,SUMIFS($J:$J,$B:$B,$B31,$A:$A,"&gt;="&amp;COUNTIFS($K$1:M$1,"&lt;&gt;"))),0)</f>
        <v>0.10452961672473869</v>
      </c>
      <c r="N31">
        <f>IFERROR($J31/IF($A31&lt;COUNTIFS($K$1:N$1,"&lt;&gt;"),0,SUMIFS($J:$J,$B:$B,$B31,$A:$A,"&gt;="&amp;COUNTIFS($K$1:N$1,"&lt;&gt;"))),0)</f>
        <v>0</v>
      </c>
      <c r="O31">
        <f>IFERROR($J31/IF($A31&lt;COUNTIFS($K$1:O$1,"&lt;&gt;"),0,SUMIFS($J:$J,$B:$B,$B31,$A:$A,"&gt;="&amp;COUNTIFS($K$1:O$1,"&lt;&gt;"))),0)</f>
        <v>0</v>
      </c>
      <c r="P31">
        <f>IFERROR($J31/IF($A31&lt;COUNTIFS($K$1:P$1,"&lt;&gt;"),0,SUMIFS($J:$J,$B:$B,$B31,$A:$A,"&gt;="&amp;COUNTIFS($K$1:P$1,"&lt;&gt;"))),0)</f>
        <v>0</v>
      </c>
      <c r="Q31">
        <f>IFERROR($J31/IF($A31&lt;COUNTIFS($K$1:Q$1,"&lt;&gt;"),0,SUMIFS($J:$J,$B:$B,$B31,$A:$A,"&gt;="&amp;COUNTIFS($K$1:Q$1,"&lt;&gt;"))),0)</f>
        <v>0</v>
      </c>
      <c r="R31">
        <f>IFERROR($J31/IF($A31&lt;COUNTIFS($K$1:R$1,"&lt;&gt;"),0,SUMIFS($J:$J,$B:$B,$B31,$A:$A,"&gt;="&amp;COUNTIFS($K$1:R$1,"&lt;&gt;"))),0)</f>
        <v>0</v>
      </c>
      <c r="S31">
        <f>IFERROR($J31/IF($A31&lt;COUNTIFS($K$1:S$1,"&lt;&gt;"),0,SUMIFS($J:$J,$B:$B,$B31,$A:$A,"&gt;="&amp;COUNTIFS($K$1:S$1,"&lt;&gt;"))),0)</f>
        <v>0</v>
      </c>
      <c r="T31">
        <f>IFERROR($J31/IF($A31&lt;COUNTIFS($K$1:T$1,"&lt;&gt;"),0,SUMIFS($J:$J,$B:$B,$B31,$A:$A,"&gt;="&amp;COUNTIFS($K$1:T$1,"&lt;&gt;"))),0)</f>
        <v>0</v>
      </c>
      <c r="U31">
        <f>IFERROR($J31/IF($A31&lt;COUNTIFS($K$1:U$1,"&lt;&gt;"),0,SUMIFS($J:$J,$B:$B,$B31,$A:$A,"&gt;="&amp;COUNTIFS($K$1:U$1,"&lt;&gt;"))),0)</f>
        <v>0</v>
      </c>
      <c r="V31">
        <f>IFERROR($J31/IF($A31&lt;COUNTIFS($K$1:V$1,"&lt;&gt;"),0,SUMIFS($J:$J,$B:$B,$B31,$A:$A,"&gt;="&amp;COUNTIFS($K$1:V$1,"&lt;&gt;"))),0)</f>
        <v>0</v>
      </c>
      <c r="W31">
        <f t="shared" si="24"/>
        <v>8.2191780821917804E-2</v>
      </c>
      <c r="X31">
        <f t="shared" si="4"/>
        <v>8.2191780821917804E-2</v>
      </c>
      <c r="Y31">
        <f t="shared" si="5"/>
        <v>8.2191780821917804E-2</v>
      </c>
      <c r="Z31">
        <f t="shared" si="6"/>
        <v>8.2191780821917804E-2</v>
      </c>
      <c r="AA31">
        <f t="shared" si="7"/>
        <v>0</v>
      </c>
      <c r="AB31">
        <f t="shared" si="8"/>
        <v>0</v>
      </c>
      <c r="AC31">
        <f t="shared" si="9"/>
        <v>0</v>
      </c>
      <c r="AD31">
        <f t="shared" si="10"/>
        <v>0</v>
      </c>
      <c r="AE31">
        <f t="shared" si="11"/>
        <v>0</v>
      </c>
      <c r="AF31">
        <f t="shared" si="12"/>
        <v>0</v>
      </c>
      <c r="AG31">
        <f t="shared" si="13"/>
        <v>0</v>
      </c>
      <c r="AH31">
        <f t="shared" si="14"/>
        <v>0</v>
      </c>
      <c r="AI31">
        <f t="shared" si="15"/>
        <v>0</v>
      </c>
      <c r="AJ31" s="2" t="str">
        <f t="shared" si="25"/>
        <v>343891</v>
      </c>
    </row>
    <row r="32" spans="1:36" x14ac:dyDescent="0.25">
      <c r="A32">
        <v>4</v>
      </c>
      <c r="B32" s="1">
        <v>43891</v>
      </c>
      <c r="C32" s="1">
        <f t="shared" si="16"/>
        <v>44013</v>
      </c>
      <c r="D32" s="1">
        <f t="shared" si="17"/>
        <v>43905</v>
      </c>
      <c r="E32" s="1">
        <f t="shared" si="18"/>
        <v>44013</v>
      </c>
      <c r="F32" s="1">
        <f t="shared" si="19"/>
        <v>44044</v>
      </c>
      <c r="G32" s="1">
        <f t="shared" si="20"/>
        <v>44270</v>
      </c>
      <c r="H32">
        <f t="shared" si="21"/>
        <v>365</v>
      </c>
      <c r="I32">
        <f t="shared" si="22"/>
        <v>31</v>
      </c>
      <c r="J32">
        <f t="shared" si="23"/>
        <v>8.4931506849315067E-2</v>
      </c>
      <c r="K32">
        <f>IFERROR($J32/IF($A32&lt;COUNTIFS($K$1:K$1,"&lt;&gt;"),0,SUMIFS($J:$J,$B:$B,$B32,$A:$A,"&gt;="&amp;COUNTIFS($K$1:K$1,"&lt;&gt;"))),0)</f>
        <v>8.9080459770114959E-2</v>
      </c>
      <c r="L32">
        <f>IFERROR($J32/IF($A32&lt;COUNTIFS($K$1:L$1,"&lt;&gt;"),0,SUMIFS($J:$J,$B:$B,$B32,$A:$A,"&gt;="&amp;COUNTIFS($K$1:L$1,"&lt;&gt;"))),0)</f>
        <v>9.7484276729559768E-2</v>
      </c>
      <c r="M32">
        <f>IFERROR($J32/IF($A32&lt;COUNTIFS($K$1:M$1,"&lt;&gt;"),0,SUMIFS($J:$J,$B:$B,$B32,$A:$A,"&gt;="&amp;COUNTIFS($K$1:M$1,"&lt;&gt;"))),0)</f>
        <v>0.10801393728222998</v>
      </c>
      <c r="N32">
        <f>IFERROR($J32/IF($A32&lt;COUNTIFS($K$1:N$1,"&lt;&gt;"),0,SUMIFS($J:$J,$B:$B,$B32,$A:$A,"&gt;="&amp;COUNTIFS($K$1:N$1,"&lt;&gt;"))),0)</f>
        <v>0.12062256809338523</v>
      </c>
      <c r="O32">
        <f>IFERROR($J32/IF($A32&lt;COUNTIFS($K$1:O$1,"&lt;&gt;"),0,SUMIFS($J:$J,$B:$B,$B32,$A:$A,"&gt;="&amp;COUNTIFS($K$1:O$1,"&lt;&gt;"))),0)</f>
        <v>0</v>
      </c>
      <c r="P32">
        <f>IFERROR($J32/IF($A32&lt;COUNTIFS($K$1:P$1,"&lt;&gt;"),0,SUMIFS($J:$J,$B:$B,$B32,$A:$A,"&gt;="&amp;COUNTIFS($K$1:P$1,"&lt;&gt;"))),0)</f>
        <v>0</v>
      </c>
      <c r="Q32">
        <f>IFERROR($J32/IF($A32&lt;COUNTIFS($K$1:Q$1,"&lt;&gt;"),0,SUMIFS($J:$J,$B:$B,$B32,$A:$A,"&gt;="&amp;COUNTIFS($K$1:Q$1,"&lt;&gt;"))),0)</f>
        <v>0</v>
      </c>
      <c r="R32">
        <f>IFERROR($J32/IF($A32&lt;COUNTIFS($K$1:R$1,"&lt;&gt;"),0,SUMIFS($J:$J,$B:$B,$B32,$A:$A,"&gt;="&amp;COUNTIFS($K$1:R$1,"&lt;&gt;"))),0)</f>
        <v>0</v>
      </c>
      <c r="S32">
        <f>IFERROR($J32/IF($A32&lt;COUNTIFS($K$1:S$1,"&lt;&gt;"),0,SUMIFS($J:$J,$B:$B,$B32,$A:$A,"&gt;="&amp;COUNTIFS($K$1:S$1,"&lt;&gt;"))),0)</f>
        <v>0</v>
      </c>
      <c r="T32">
        <f>IFERROR($J32/IF($A32&lt;COUNTIFS($K$1:T$1,"&lt;&gt;"),0,SUMIFS($J:$J,$B:$B,$B32,$A:$A,"&gt;="&amp;COUNTIFS($K$1:T$1,"&lt;&gt;"))),0)</f>
        <v>0</v>
      </c>
      <c r="U32">
        <f>IFERROR($J32/IF($A32&lt;COUNTIFS($K$1:U$1,"&lt;&gt;"),0,SUMIFS($J:$J,$B:$B,$B32,$A:$A,"&gt;="&amp;COUNTIFS($K$1:U$1,"&lt;&gt;"))),0)</f>
        <v>0</v>
      </c>
      <c r="V32">
        <f>IFERROR($J32/IF($A32&lt;COUNTIFS($K$1:V$1,"&lt;&gt;"),0,SUMIFS($J:$J,$B:$B,$B32,$A:$A,"&gt;="&amp;COUNTIFS($K$1:V$1,"&lt;&gt;"))),0)</f>
        <v>0</v>
      </c>
      <c r="W32">
        <f t="shared" si="24"/>
        <v>8.4931506849315067E-2</v>
      </c>
      <c r="X32">
        <f t="shared" si="4"/>
        <v>8.4931506849315067E-2</v>
      </c>
      <c r="Y32">
        <f t="shared" si="5"/>
        <v>8.4931506849315067E-2</v>
      </c>
      <c r="Z32">
        <f t="shared" si="6"/>
        <v>8.4931506849315067E-2</v>
      </c>
      <c r="AA32">
        <f t="shared" si="7"/>
        <v>8.4931506849315067E-2</v>
      </c>
      <c r="AB32">
        <f t="shared" si="8"/>
        <v>0</v>
      </c>
      <c r="AC32">
        <f t="shared" si="9"/>
        <v>0</v>
      </c>
      <c r="AD32">
        <f t="shared" si="10"/>
        <v>0</v>
      </c>
      <c r="AE32">
        <f t="shared" si="11"/>
        <v>0</v>
      </c>
      <c r="AF32">
        <f t="shared" si="12"/>
        <v>0</v>
      </c>
      <c r="AG32">
        <f t="shared" si="13"/>
        <v>0</v>
      </c>
      <c r="AH32">
        <f t="shared" si="14"/>
        <v>0</v>
      </c>
      <c r="AI32">
        <f t="shared" si="15"/>
        <v>0</v>
      </c>
      <c r="AJ32" s="2" t="str">
        <f t="shared" si="25"/>
        <v>443891</v>
      </c>
    </row>
    <row r="33" spans="1:36" x14ac:dyDescent="0.25">
      <c r="A33">
        <v>5</v>
      </c>
      <c r="B33" s="1">
        <v>43891</v>
      </c>
      <c r="C33" s="1">
        <f t="shared" si="16"/>
        <v>44044</v>
      </c>
      <c r="D33" s="1">
        <f t="shared" si="17"/>
        <v>43905</v>
      </c>
      <c r="E33" s="1">
        <f t="shared" si="18"/>
        <v>44044</v>
      </c>
      <c r="F33" s="1">
        <f t="shared" si="19"/>
        <v>44075</v>
      </c>
      <c r="G33" s="1">
        <f t="shared" si="20"/>
        <v>44270</v>
      </c>
      <c r="H33">
        <f t="shared" si="21"/>
        <v>365</v>
      </c>
      <c r="I33">
        <f t="shared" si="22"/>
        <v>31</v>
      </c>
      <c r="J33">
        <f t="shared" si="23"/>
        <v>8.4931506849315067E-2</v>
      </c>
      <c r="K33">
        <f>IFERROR($J33/IF($A33&lt;COUNTIFS($K$1:K$1,"&lt;&gt;"),0,SUMIFS($J:$J,$B:$B,$B33,$A:$A,"&gt;="&amp;COUNTIFS($K$1:K$1,"&lt;&gt;"))),0)</f>
        <v>8.9080459770114959E-2</v>
      </c>
      <c r="L33">
        <f>IFERROR($J33/IF($A33&lt;COUNTIFS($K$1:L$1,"&lt;&gt;"),0,SUMIFS($J:$J,$B:$B,$B33,$A:$A,"&gt;="&amp;COUNTIFS($K$1:L$1,"&lt;&gt;"))),0)</f>
        <v>9.7484276729559768E-2</v>
      </c>
      <c r="M33">
        <f>IFERROR($J33/IF($A33&lt;COUNTIFS($K$1:M$1,"&lt;&gt;"),0,SUMIFS($J:$J,$B:$B,$B33,$A:$A,"&gt;="&amp;COUNTIFS($K$1:M$1,"&lt;&gt;"))),0)</f>
        <v>0.10801393728222998</v>
      </c>
      <c r="N33">
        <f>IFERROR($J33/IF($A33&lt;COUNTIFS($K$1:N$1,"&lt;&gt;"),0,SUMIFS($J:$J,$B:$B,$B33,$A:$A,"&gt;="&amp;COUNTIFS($K$1:N$1,"&lt;&gt;"))),0)</f>
        <v>0.12062256809338523</v>
      </c>
      <c r="O33">
        <f>IFERROR($J33/IF($A33&lt;COUNTIFS($K$1:O$1,"&lt;&gt;"),0,SUMIFS($J:$J,$B:$B,$B33,$A:$A,"&gt;="&amp;COUNTIFS($K$1:O$1,"&lt;&gt;"))),0)</f>
        <v>0.13716814159292037</v>
      </c>
      <c r="P33">
        <f>IFERROR($J33/IF($A33&lt;COUNTIFS($K$1:P$1,"&lt;&gt;"),0,SUMIFS($J:$J,$B:$B,$B33,$A:$A,"&gt;="&amp;COUNTIFS($K$1:P$1,"&lt;&gt;"))),0)</f>
        <v>0</v>
      </c>
      <c r="Q33">
        <f>IFERROR($J33/IF($A33&lt;COUNTIFS($K$1:Q$1,"&lt;&gt;"),0,SUMIFS($J:$J,$B:$B,$B33,$A:$A,"&gt;="&amp;COUNTIFS($K$1:Q$1,"&lt;&gt;"))),0)</f>
        <v>0</v>
      </c>
      <c r="R33">
        <f>IFERROR($J33/IF($A33&lt;COUNTIFS($K$1:R$1,"&lt;&gt;"),0,SUMIFS($J:$J,$B:$B,$B33,$A:$A,"&gt;="&amp;COUNTIFS($K$1:R$1,"&lt;&gt;"))),0)</f>
        <v>0</v>
      </c>
      <c r="S33">
        <f>IFERROR($J33/IF($A33&lt;COUNTIFS($K$1:S$1,"&lt;&gt;"),0,SUMIFS($J:$J,$B:$B,$B33,$A:$A,"&gt;="&amp;COUNTIFS($K$1:S$1,"&lt;&gt;"))),0)</f>
        <v>0</v>
      </c>
      <c r="T33">
        <f>IFERROR($J33/IF($A33&lt;COUNTIFS($K$1:T$1,"&lt;&gt;"),0,SUMIFS($J:$J,$B:$B,$B33,$A:$A,"&gt;="&amp;COUNTIFS($K$1:T$1,"&lt;&gt;"))),0)</f>
        <v>0</v>
      </c>
      <c r="U33">
        <f>IFERROR($J33/IF($A33&lt;COUNTIFS($K$1:U$1,"&lt;&gt;"),0,SUMIFS($J:$J,$B:$B,$B33,$A:$A,"&gt;="&amp;COUNTIFS($K$1:U$1,"&lt;&gt;"))),0)</f>
        <v>0</v>
      </c>
      <c r="V33">
        <f>IFERROR($J33/IF($A33&lt;COUNTIFS($K$1:V$1,"&lt;&gt;"),0,SUMIFS($J:$J,$B:$B,$B33,$A:$A,"&gt;="&amp;COUNTIFS($K$1:V$1,"&lt;&gt;"))),0)</f>
        <v>0</v>
      </c>
      <c r="W33">
        <f t="shared" si="24"/>
        <v>8.4931506849315067E-2</v>
      </c>
      <c r="X33">
        <f t="shared" si="4"/>
        <v>8.4931506849315067E-2</v>
      </c>
      <c r="Y33">
        <f t="shared" si="5"/>
        <v>8.4931506849315067E-2</v>
      </c>
      <c r="Z33">
        <f t="shared" si="6"/>
        <v>8.4931506849315067E-2</v>
      </c>
      <c r="AA33">
        <f t="shared" si="7"/>
        <v>8.4931506849315067E-2</v>
      </c>
      <c r="AB33">
        <f t="shared" si="8"/>
        <v>8.4931506849315067E-2</v>
      </c>
      <c r="AC33">
        <f t="shared" si="9"/>
        <v>0</v>
      </c>
      <c r="AD33">
        <f t="shared" si="10"/>
        <v>0</v>
      </c>
      <c r="AE33">
        <f t="shared" si="11"/>
        <v>0</v>
      </c>
      <c r="AF33">
        <f t="shared" si="12"/>
        <v>0</v>
      </c>
      <c r="AG33">
        <f t="shared" si="13"/>
        <v>0</v>
      </c>
      <c r="AH33">
        <f t="shared" si="14"/>
        <v>0</v>
      </c>
      <c r="AI33">
        <f t="shared" si="15"/>
        <v>0</v>
      </c>
      <c r="AJ33" s="2" t="str">
        <f t="shared" si="25"/>
        <v>543891</v>
      </c>
    </row>
    <row r="34" spans="1:36" x14ac:dyDescent="0.25">
      <c r="A34">
        <v>6</v>
      </c>
      <c r="B34" s="1">
        <v>43891</v>
      </c>
      <c r="C34" s="1">
        <f t="shared" si="16"/>
        <v>44075</v>
      </c>
      <c r="D34" s="1">
        <f t="shared" si="17"/>
        <v>43905</v>
      </c>
      <c r="E34" s="1">
        <f t="shared" si="18"/>
        <v>44075</v>
      </c>
      <c r="F34" s="1">
        <f t="shared" si="19"/>
        <v>44105</v>
      </c>
      <c r="G34" s="1">
        <f t="shared" si="20"/>
        <v>44270</v>
      </c>
      <c r="H34">
        <f t="shared" si="21"/>
        <v>365</v>
      </c>
      <c r="I34">
        <f t="shared" si="22"/>
        <v>30</v>
      </c>
      <c r="J34">
        <f t="shared" si="23"/>
        <v>8.2191780821917804E-2</v>
      </c>
      <c r="K34">
        <f>IFERROR($J34/IF($A34&lt;COUNTIFS($K$1:K$1,"&lt;&gt;"),0,SUMIFS($J:$J,$B:$B,$B34,$A:$A,"&gt;="&amp;COUNTIFS($K$1:K$1,"&lt;&gt;"))),0)</f>
        <v>8.6206896551724144E-2</v>
      </c>
      <c r="L34">
        <f>IFERROR($J34/IF($A34&lt;COUNTIFS($K$1:L$1,"&lt;&gt;"),0,SUMIFS($J:$J,$B:$B,$B34,$A:$A,"&gt;="&amp;COUNTIFS($K$1:L$1,"&lt;&gt;"))),0)</f>
        <v>9.4339622641509441E-2</v>
      </c>
      <c r="M34">
        <f>IFERROR($J34/IF($A34&lt;COUNTIFS($K$1:M$1,"&lt;&gt;"),0,SUMIFS($J:$J,$B:$B,$B34,$A:$A,"&gt;="&amp;COUNTIFS($K$1:M$1,"&lt;&gt;"))),0)</f>
        <v>0.10452961672473869</v>
      </c>
      <c r="N34">
        <f>IFERROR($J34/IF($A34&lt;COUNTIFS($K$1:N$1,"&lt;&gt;"),0,SUMIFS($J:$J,$B:$B,$B34,$A:$A,"&gt;="&amp;COUNTIFS($K$1:N$1,"&lt;&gt;"))),0)</f>
        <v>0.11673151750972764</v>
      </c>
      <c r="O34">
        <f>IFERROR($J34/IF($A34&lt;COUNTIFS($K$1:O$1,"&lt;&gt;"),0,SUMIFS($J:$J,$B:$B,$B34,$A:$A,"&gt;="&amp;COUNTIFS($K$1:O$1,"&lt;&gt;"))),0)</f>
        <v>0.13274336283185842</v>
      </c>
      <c r="P34">
        <f>IFERROR($J34/IF($A34&lt;COUNTIFS($K$1:P$1,"&lt;&gt;"),0,SUMIFS($J:$J,$B:$B,$B34,$A:$A,"&gt;="&amp;COUNTIFS($K$1:P$1,"&lt;&gt;"))),0)</f>
        <v>0.15384615384615385</v>
      </c>
      <c r="Q34">
        <f>IFERROR($J34/IF($A34&lt;COUNTIFS($K$1:Q$1,"&lt;&gt;"),0,SUMIFS($J:$J,$B:$B,$B34,$A:$A,"&gt;="&amp;COUNTIFS($K$1:Q$1,"&lt;&gt;"))),0)</f>
        <v>0</v>
      </c>
      <c r="R34">
        <f>IFERROR($J34/IF($A34&lt;COUNTIFS($K$1:R$1,"&lt;&gt;"),0,SUMIFS($J:$J,$B:$B,$B34,$A:$A,"&gt;="&amp;COUNTIFS($K$1:R$1,"&lt;&gt;"))),0)</f>
        <v>0</v>
      </c>
      <c r="S34">
        <f>IFERROR($J34/IF($A34&lt;COUNTIFS($K$1:S$1,"&lt;&gt;"),0,SUMIFS($J:$J,$B:$B,$B34,$A:$A,"&gt;="&amp;COUNTIFS($K$1:S$1,"&lt;&gt;"))),0)</f>
        <v>0</v>
      </c>
      <c r="T34">
        <f>IFERROR($J34/IF($A34&lt;COUNTIFS($K$1:T$1,"&lt;&gt;"),0,SUMIFS($J:$J,$B:$B,$B34,$A:$A,"&gt;="&amp;COUNTIFS($K$1:T$1,"&lt;&gt;"))),0)</f>
        <v>0</v>
      </c>
      <c r="U34">
        <f>IFERROR($J34/IF($A34&lt;COUNTIFS($K$1:U$1,"&lt;&gt;"),0,SUMIFS($J:$J,$B:$B,$B34,$A:$A,"&gt;="&amp;COUNTIFS($K$1:U$1,"&lt;&gt;"))),0)</f>
        <v>0</v>
      </c>
      <c r="V34">
        <f>IFERROR($J34/IF($A34&lt;COUNTIFS($K$1:V$1,"&lt;&gt;"),0,SUMIFS($J:$J,$B:$B,$B34,$A:$A,"&gt;="&amp;COUNTIFS($K$1:V$1,"&lt;&gt;"))),0)</f>
        <v>0</v>
      </c>
      <c r="W34">
        <f t="shared" si="24"/>
        <v>8.2191780821917804E-2</v>
      </c>
      <c r="X34">
        <f t="shared" si="4"/>
        <v>8.2191780821917804E-2</v>
      </c>
      <c r="Y34">
        <f t="shared" si="5"/>
        <v>8.2191780821917804E-2</v>
      </c>
      <c r="Z34">
        <f t="shared" si="6"/>
        <v>8.2191780821917804E-2</v>
      </c>
      <c r="AA34">
        <f t="shared" si="7"/>
        <v>8.2191780821917804E-2</v>
      </c>
      <c r="AB34">
        <f t="shared" si="8"/>
        <v>8.2191780821917804E-2</v>
      </c>
      <c r="AC34">
        <f t="shared" si="9"/>
        <v>8.2191780821917804E-2</v>
      </c>
      <c r="AD34">
        <f t="shared" si="10"/>
        <v>0</v>
      </c>
      <c r="AE34">
        <f t="shared" si="11"/>
        <v>0</v>
      </c>
      <c r="AF34">
        <f t="shared" si="12"/>
        <v>0</v>
      </c>
      <c r="AG34">
        <f t="shared" si="13"/>
        <v>0</v>
      </c>
      <c r="AH34">
        <f t="shared" si="14"/>
        <v>0</v>
      </c>
      <c r="AI34">
        <f t="shared" si="15"/>
        <v>0</v>
      </c>
      <c r="AJ34" s="2" t="str">
        <f t="shared" si="25"/>
        <v>643891</v>
      </c>
    </row>
    <row r="35" spans="1:36" x14ac:dyDescent="0.25">
      <c r="A35">
        <v>7</v>
      </c>
      <c r="B35" s="1">
        <v>43891</v>
      </c>
      <c r="C35" s="1">
        <f t="shared" si="16"/>
        <v>44105</v>
      </c>
      <c r="D35" s="1">
        <f t="shared" si="17"/>
        <v>43905</v>
      </c>
      <c r="E35" s="1">
        <f t="shared" si="18"/>
        <v>44105</v>
      </c>
      <c r="F35" s="1">
        <f t="shared" si="19"/>
        <v>44136</v>
      </c>
      <c r="G35" s="1">
        <f t="shared" si="20"/>
        <v>44270</v>
      </c>
      <c r="H35">
        <f t="shared" si="21"/>
        <v>365</v>
      </c>
      <c r="I35">
        <f t="shared" si="22"/>
        <v>31</v>
      </c>
      <c r="J35">
        <f t="shared" si="23"/>
        <v>8.4931506849315067E-2</v>
      </c>
      <c r="K35">
        <f>IFERROR($J35/IF($A35&lt;COUNTIFS($K$1:K$1,"&lt;&gt;"),0,SUMIFS($J:$J,$B:$B,$B35,$A:$A,"&gt;="&amp;COUNTIFS($K$1:K$1,"&lt;&gt;"))),0)</f>
        <v>8.9080459770114959E-2</v>
      </c>
      <c r="L35">
        <f>IFERROR($J35/IF($A35&lt;COUNTIFS($K$1:L$1,"&lt;&gt;"),0,SUMIFS($J:$J,$B:$B,$B35,$A:$A,"&gt;="&amp;COUNTIFS($K$1:L$1,"&lt;&gt;"))),0)</f>
        <v>9.7484276729559768E-2</v>
      </c>
      <c r="M35">
        <f>IFERROR($J35/IF($A35&lt;COUNTIFS($K$1:M$1,"&lt;&gt;"),0,SUMIFS($J:$J,$B:$B,$B35,$A:$A,"&gt;="&amp;COUNTIFS($K$1:M$1,"&lt;&gt;"))),0)</f>
        <v>0.10801393728222998</v>
      </c>
      <c r="N35">
        <f>IFERROR($J35/IF($A35&lt;COUNTIFS($K$1:N$1,"&lt;&gt;"),0,SUMIFS($J:$J,$B:$B,$B35,$A:$A,"&gt;="&amp;COUNTIFS($K$1:N$1,"&lt;&gt;"))),0)</f>
        <v>0.12062256809338523</v>
      </c>
      <c r="O35">
        <f>IFERROR($J35/IF($A35&lt;COUNTIFS($K$1:O$1,"&lt;&gt;"),0,SUMIFS($J:$J,$B:$B,$B35,$A:$A,"&gt;="&amp;COUNTIFS($K$1:O$1,"&lt;&gt;"))),0)</f>
        <v>0.13716814159292037</v>
      </c>
      <c r="P35">
        <f>IFERROR($J35/IF($A35&lt;COUNTIFS($K$1:P$1,"&lt;&gt;"),0,SUMIFS($J:$J,$B:$B,$B35,$A:$A,"&gt;="&amp;COUNTIFS($K$1:P$1,"&lt;&gt;"))),0)</f>
        <v>0.15897435897435899</v>
      </c>
      <c r="Q35">
        <f>IFERROR($J35/IF($A35&lt;COUNTIFS($K$1:Q$1,"&lt;&gt;"),0,SUMIFS($J:$J,$B:$B,$B35,$A:$A,"&gt;="&amp;COUNTIFS($K$1:Q$1,"&lt;&gt;"))),0)</f>
        <v>0.1878787878787879</v>
      </c>
      <c r="R35">
        <f>IFERROR($J35/IF($A35&lt;COUNTIFS($K$1:R$1,"&lt;&gt;"),0,SUMIFS($J:$J,$B:$B,$B35,$A:$A,"&gt;="&amp;COUNTIFS($K$1:R$1,"&lt;&gt;"))),0)</f>
        <v>0</v>
      </c>
      <c r="S35">
        <f>IFERROR($J35/IF($A35&lt;COUNTIFS($K$1:S$1,"&lt;&gt;"),0,SUMIFS($J:$J,$B:$B,$B35,$A:$A,"&gt;="&amp;COUNTIFS($K$1:S$1,"&lt;&gt;"))),0)</f>
        <v>0</v>
      </c>
      <c r="T35">
        <f>IFERROR($J35/IF($A35&lt;COUNTIFS($K$1:T$1,"&lt;&gt;"),0,SUMIFS($J:$J,$B:$B,$B35,$A:$A,"&gt;="&amp;COUNTIFS($K$1:T$1,"&lt;&gt;"))),0)</f>
        <v>0</v>
      </c>
      <c r="U35">
        <f>IFERROR($J35/IF($A35&lt;COUNTIFS($K$1:U$1,"&lt;&gt;"),0,SUMIFS($J:$J,$B:$B,$B35,$A:$A,"&gt;="&amp;COUNTIFS($K$1:U$1,"&lt;&gt;"))),0)</f>
        <v>0</v>
      </c>
      <c r="V35">
        <f>IFERROR($J35/IF($A35&lt;COUNTIFS($K$1:V$1,"&lt;&gt;"),0,SUMIFS($J:$J,$B:$B,$B35,$A:$A,"&gt;="&amp;COUNTIFS($K$1:V$1,"&lt;&gt;"))),0)</f>
        <v>0</v>
      </c>
      <c r="W35">
        <f t="shared" si="24"/>
        <v>8.4931506849315067E-2</v>
      </c>
      <c r="X35">
        <f t="shared" si="4"/>
        <v>8.4931506849315067E-2</v>
      </c>
      <c r="Y35">
        <f t="shared" si="5"/>
        <v>8.4931506849315067E-2</v>
      </c>
      <c r="Z35">
        <f t="shared" si="6"/>
        <v>8.4931506849315067E-2</v>
      </c>
      <c r="AA35">
        <f t="shared" si="7"/>
        <v>8.4931506849315067E-2</v>
      </c>
      <c r="AB35">
        <f t="shared" si="8"/>
        <v>8.4931506849315067E-2</v>
      </c>
      <c r="AC35">
        <f t="shared" si="9"/>
        <v>8.4931506849315067E-2</v>
      </c>
      <c r="AD35">
        <f t="shared" si="10"/>
        <v>8.4931506849315067E-2</v>
      </c>
      <c r="AE35">
        <f t="shared" si="11"/>
        <v>0</v>
      </c>
      <c r="AF35">
        <f t="shared" si="12"/>
        <v>0</v>
      </c>
      <c r="AG35">
        <f t="shared" si="13"/>
        <v>0</v>
      </c>
      <c r="AH35">
        <f t="shared" si="14"/>
        <v>0</v>
      </c>
      <c r="AI35">
        <f t="shared" si="15"/>
        <v>0</v>
      </c>
      <c r="AJ35" s="2" t="str">
        <f t="shared" si="25"/>
        <v>743891</v>
      </c>
    </row>
    <row r="36" spans="1:36" x14ac:dyDescent="0.25">
      <c r="A36">
        <v>8</v>
      </c>
      <c r="B36" s="1">
        <v>43891</v>
      </c>
      <c r="C36" s="1">
        <f t="shared" si="16"/>
        <v>44136</v>
      </c>
      <c r="D36" s="1">
        <f t="shared" si="17"/>
        <v>43905</v>
      </c>
      <c r="E36" s="1">
        <f t="shared" si="18"/>
        <v>44136</v>
      </c>
      <c r="F36" s="1">
        <f t="shared" si="19"/>
        <v>44166</v>
      </c>
      <c r="G36" s="1">
        <f t="shared" si="20"/>
        <v>44270</v>
      </c>
      <c r="H36">
        <f t="shared" si="21"/>
        <v>365</v>
      </c>
      <c r="I36">
        <f t="shared" si="22"/>
        <v>30</v>
      </c>
      <c r="J36">
        <f t="shared" si="23"/>
        <v>8.2191780821917804E-2</v>
      </c>
      <c r="K36">
        <f>IFERROR($J36/IF($A36&lt;COUNTIFS($K$1:K$1,"&lt;&gt;"),0,SUMIFS($J:$J,$B:$B,$B36,$A:$A,"&gt;="&amp;COUNTIFS($K$1:K$1,"&lt;&gt;"))),0)</f>
        <v>8.6206896551724144E-2</v>
      </c>
      <c r="L36">
        <f>IFERROR($J36/IF($A36&lt;COUNTIFS($K$1:L$1,"&lt;&gt;"),0,SUMIFS($J:$J,$B:$B,$B36,$A:$A,"&gt;="&amp;COUNTIFS($K$1:L$1,"&lt;&gt;"))),0)</f>
        <v>9.4339622641509441E-2</v>
      </c>
      <c r="M36">
        <f>IFERROR($J36/IF($A36&lt;COUNTIFS($K$1:M$1,"&lt;&gt;"),0,SUMIFS($J:$J,$B:$B,$B36,$A:$A,"&gt;="&amp;COUNTIFS($K$1:M$1,"&lt;&gt;"))),0)</f>
        <v>0.10452961672473869</v>
      </c>
      <c r="N36">
        <f>IFERROR($J36/IF($A36&lt;COUNTIFS($K$1:N$1,"&lt;&gt;"),0,SUMIFS($J:$J,$B:$B,$B36,$A:$A,"&gt;="&amp;COUNTIFS($K$1:N$1,"&lt;&gt;"))),0)</f>
        <v>0.11673151750972764</v>
      </c>
      <c r="O36">
        <f>IFERROR($J36/IF($A36&lt;COUNTIFS($K$1:O$1,"&lt;&gt;"),0,SUMIFS($J:$J,$B:$B,$B36,$A:$A,"&gt;="&amp;COUNTIFS($K$1:O$1,"&lt;&gt;"))),0)</f>
        <v>0.13274336283185842</v>
      </c>
      <c r="P36">
        <f>IFERROR($J36/IF($A36&lt;COUNTIFS($K$1:P$1,"&lt;&gt;"),0,SUMIFS($J:$J,$B:$B,$B36,$A:$A,"&gt;="&amp;COUNTIFS($K$1:P$1,"&lt;&gt;"))),0)</f>
        <v>0.15384615384615385</v>
      </c>
      <c r="Q36">
        <f>IFERROR($J36/IF($A36&lt;COUNTIFS($K$1:Q$1,"&lt;&gt;"),0,SUMIFS($J:$J,$B:$B,$B36,$A:$A,"&gt;="&amp;COUNTIFS($K$1:Q$1,"&lt;&gt;"))),0)</f>
        <v>0.18181818181818182</v>
      </c>
      <c r="R36">
        <f>IFERROR($J36/IF($A36&lt;COUNTIFS($K$1:R$1,"&lt;&gt;"),0,SUMIFS($J:$J,$B:$B,$B36,$A:$A,"&gt;="&amp;COUNTIFS($K$1:R$1,"&lt;&gt;"))),0)</f>
        <v>0.22388059701492535</v>
      </c>
      <c r="S36">
        <f>IFERROR($J36/IF($A36&lt;COUNTIFS($K$1:S$1,"&lt;&gt;"),0,SUMIFS($J:$J,$B:$B,$B36,$A:$A,"&gt;="&amp;COUNTIFS($K$1:S$1,"&lt;&gt;"))),0)</f>
        <v>0</v>
      </c>
      <c r="T36">
        <f>IFERROR($J36/IF($A36&lt;COUNTIFS($K$1:T$1,"&lt;&gt;"),0,SUMIFS($J:$J,$B:$B,$B36,$A:$A,"&gt;="&amp;COUNTIFS($K$1:T$1,"&lt;&gt;"))),0)</f>
        <v>0</v>
      </c>
      <c r="U36">
        <f>IFERROR($J36/IF($A36&lt;COUNTIFS($K$1:U$1,"&lt;&gt;"),0,SUMIFS($J:$J,$B:$B,$B36,$A:$A,"&gt;="&amp;COUNTIFS($K$1:U$1,"&lt;&gt;"))),0)</f>
        <v>0</v>
      </c>
      <c r="V36">
        <f>IFERROR($J36/IF($A36&lt;COUNTIFS($K$1:V$1,"&lt;&gt;"),0,SUMIFS($J:$J,$B:$B,$B36,$A:$A,"&gt;="&amp;COUNTIFS($K$1:V$1,"&lt;&gt;"))),0)</f>
        <v>0</v>
      </c>
      <c r="W36">
        <f t="shared" si="24"/>
        <v>8.2191780821917804E-2</v>
      </c>
      <c r="X36">
        <f t="shared" si="4"/>
        <v>8.2191780821917804E-2</v>
      </c>
      <c r="Y36">
        <f t="shared" si="5"/>
        <v>8.2191780821917804E-2</v>
      </c>
      <c r="Z36">
        <f t="shared" si="6"/>
        <v>8.2191780821917804E-2</v>
      </c>
      <c r="AA36">
        <f t="shared" si="7"/>
        <v>8.2191780821917804E-2</v>
      </c>
      <c r="AB36">
        <f t="shared" si="8"/>
        <v>8.2191780821917804E-2</v>
      </c>
      <c r="AC36">
        <f t="shared" si="9"/>
        <v>8.2191780821917804E-2</v>
      </c>
      <c r="AD36">
        <f t="shared" si="10"/>
        <v>8.2191780821917804E-2</v>
      </c>
      <c r="AE36">
        <f t="shared" si="11"/>
        <v>8.2191780821917804E-2</v>
      </c>
      <c r="AF36">
        <f t="shared" si="12"/>
        <v>0</v>
      </c>
      <c r="AG36">
        <f t="shared" si="13"/>
        <v>0</v>
      </c>
      <c r="AH36">
        <f t="shared" si="14"/>
        <v>0</v>
      </c>
      <c r="AI36">
        <f t="shared" si="15"/>
        <v>0</v>
      </c>
      <c r="AJ36" s="2" t="str">
        <f t="shared" si="25"/>
        <v>843891</v>
      </c>
    </row>
    <row r="37" spans="1:36" x14ac:dyDescent="0.25">
      <c r="A37">
        <v>9</v>
      </c>
      <c r="B37" s="1">
        <v>43891</v>
      </c>
      <c r="C37" s="1">
        <f t="shared" si="16"/>
        <v>44166</v>
      </c>
      <c r="D37" s="1">
        <f t="shared" si="17"/>
        <v>43905</v>
      </c>
      <c r="E37" s="1">
        <f t="shared" si="18"/>
        <v>44166</v>
      </c>
      <c r="F37" s="1">
        <f t="shared" si="19"/>
        <v>44197</v>
      </c>
      <c r="G37" s="1">
        <f t="shared" si="20"/>
        <v>44270</v>
      </c>
      <c r="H37">
        <f t="shared" si="21"/>
        <v>365</v>
      </c>
      <c r="I37">
        <f t="shared" si="22"/>
        <v>31</v>
      </c>
      <c r="J37">
        <f t="shared" si="23"/>
        <v>8.4931506849315067E-2</v>
      </c>
      <c r="K37">
        <f>IFERROR($J37/IF($A37&lt;COUNTIFS($K$1:K$1,"&lt;&gt;"),0,SUMIFS($J:$J,$B:$B,$B37,$A:$A,"&gt;="&amp;COUNTIFS($K$1:K$1,"&lt;&gt;"))),0)</f>
        <v>8.9080459770114959E-2</v>
      </c>
      <c r="L37">
        <f>IFERROR($J37/IF($A37&lt;COUNTIFS($K$1:L$1,"&lt;&gt;"),0,SUMIFS($J:$J,$B:$B,$B37,$A:$A,"&gt;="&amp;COUNTIFS($K$1:L$1,"&lt;&gt;"))),0)</f>
        <v>9.7484276729559768E-2</v>
      </c>
      <c r="M37">
        <f>IFERROR($J37/IF($A37&lt;COUNTIFS($K$1:M$1,"&lt;&gt;"),0,SUMIFS($J:$J,$B:$B,$B37,$A:$A,"&gt;="&amp;COUNTIFS($K$1:M$1,"&lt;&gt;"))),0)</f>
        <v>0.10801393728222998</v>
      </c>
      <c r="N37">
        <f>IFERROR($J37/IF($A37&lt;COUNTIFS($K$1:N$1,"&lt;&gt;"),0,SUMIFS($J:$J,$B:$B,$B37,$A:$A,"&gt;="&amp;COUNTIFS($K$1:N$1,"&lt;&gt;"))),0)</f>
        <v>0.12062256809338523</v>
      </c>
      <c r="O37">
        <f>IFERROR($J37/IF($A37&lt;COUNTIFS($K$1:O$1,"&lt;&gt;"),0,SUMIFS($J:$J,$B:$B,$B37,$A:$A,"&gt;="&amp;COUNTIFS($K$1:O$1,"&lt;&gt;"))),0)</f>
        <v>0.13716814159292037</v>
      </c>
      <c r="P37">
        <f>IFERROR($J37/IF($A37&lt;COUNTIFS($K$1:P$1,"&lt;&gt;"),0,SUMIFS($J:$J,$B:$B,$B37,$A:$A,"&gt;="&amp;COUNTIFS($K$1:P$1,"&lt;&gt;"))),0)</f>
        <v>0.15897435897435899</v>
      </c>
      <c r="Q37">
        <f>IFERROR($J37/IF($A37&lt;COUNTIFS($K$1:Q$1,"&lt;&gt;"),0,SUMIFS($J:$J,$B:$B,$B37,$A:$A,"&gt;="&amp;COUNTIFS($K$1:Q$1,"&lt;&gt;"))),0)</f>
        <v>0.1878787878787879</v>
      </c>
      <c r="R37">
        <f>IFERROR($J37/IF($A37&lt;COUNTIFS($K$1:R$1,"&lt;&gt;"),0,SUMIFS($J:$J,$B:$B,$B37,$A:$A,"&gt;="&amp;COUNTIFS($K$1:R$1,"&lt;&gt;"))),0)</f>
        <v>0.23134328358208955</v>
      </c>
      <c r="S37">
        <f>IFERROR($J37/IF($A37&lt;COUNTIFS($K$1:S$1,"&lt;&gt;"),0,SUMIFS($J:$J,$B:$B,$B37,$A:$A,"&gt;="&amp;COUNTIFS($K$1:S$1,"&lt;&gt;"))),0)</f>
        <v>0.29807692307692307</v>
      </c>
      <c r="T37">
        <f>IFERROR($J37/IF($A37&lt;COUNTIFS($K$1:T$1,"&lt;&gt;"),0,SUMIFS($J:$J,$B:$B,$B37,$A:$A,"&gt;="&amp;COUNTIFS($K$1:T$1,"&lt;&gt;"))),0)</f>
        <v>0</v>
      </c>
      <c r="U37">
        <f>IFERROR($J37/IF($A37&lt;COUNTIFS($K$1:U$1,"&lt;&gt;"),0,SUMIFS($J:$J,$B:$B,$B37,$A:$A,"&gt;="&amp;COUNTIFS($K$1:U$1,"&lt;&gt;"))),0)</f>
        <v>0</v>
      </c>
      <c r="V37">
        <f>IFERROR($J37/IF($A37&lt;COUNTIFS($K$1:V$1,"&lt;&gt;"),0,SUMIFS($J:$J,$B:$B,$B37,$A:$A,"&gt;="&amp;COUNTIFS($K$1:V$1,"&lt;&gt;"))),0)</f>
        <v>0</v>
      </c>
      <c r="W37">
        <f t="shared" si="24"/>
        <v>8.4931506849315067E-2</v>
      </c>
      <c r="X37">
        <f t="shared" si="4"/>
        <v>8.4931506849315067E-2</v>
      </c>
      <c r="Y37">
        <f t="shared" si="5"/>
        <v>8.4931506849315067E-2</v>
      </c>
      <c r="Z37">
        <f t="shared" si="6"/>
        <v>8.4931506849315067E-2</v>
      </c>
      <c r="AA37">
        <f t="shared" si="7"/>
        <v>8.4931506849315067E-2</v>
      </c>
      <c r="AB37">
        <f t="shared" si="8"/>
        <v>8.4931506849315067E-2</v>
      </c>
      <c r="AC37">
        <f t="shared" si="9"/>
        <v>8.4931506849315067E-2</v>
      </c>
      <c r="AD37">
        <f t="shared" si="10"/>
        <v>8.4931506849315067E-2</v>
      </c>
      <c r="AE37">
        <f t="shared" si="11"/>
        <v>8.4931506849315067E-2</v>
      </c>
      <c r="AF37">
        <f t="shared" si="12"/>
        <v>8.4931506849315067E-2</v>
      </c>
      <c r="AG37">
        <f t="shared" si="13"/>
        <v>0</v>
      </c>
      <c r="AH37">
        <f t="shared" si="14"/>
        <v>0</v>
      </c>
      <c r="AI37">
        <f t="shared" si="15"/>
        <v>0</v>
      </c>
      <c r="AJ37" s="2" t="str">
        <f t="shared" si="25"/>
        <v>943891</v>
      </c>
    </row>
    <row r="38" spans="1:36" x14ac:dyDescent="0.25">
      <c r="A38">
        <v>10</v>
      </c>
      <c r="B38" s="1">
        <v>43891</v>
      </c>
      <c r="C38" s="1">
        <f t="shared" si="16"/>
        <v>44197</v>
      </c>
      <c r="D38" s="1">
        <f t="shared" si="17"/>
        <v>43905</v>
      </c>
      <c r="E38" s="1">
        <f t="shared" si="18"/>
        <v>44197</v>
      </c>
      <c r="F38" s="1">
        <f t="shared" si="19"/>
        <v>44228</v>
      </c>
      <c r="G38" s="1">
        <f t="shared" si="20"/>
        <v>44270</v>
      </c>
      <c r="H38">
        <f t="shared" si="21"/>
        <v>365</v>
      </c>
      <c r="I38">
        <f t="shared" si="22"/>
        <v>31</v>
      </c>
      <c r="J38">
        <f t="shared" si="23"/>
        <v>8.4931506849315067E-2</v>
      </c>
      <c r="K38">
        <f>IFERROR($J38/IF($A38&lt;COUNTIFS($K$1:K$1,"&lt;&gt;"),0,SUMIFS($J:$J,$B:$B,$B38,$A:$A,"&gt;="&amp;COUNTIFS($K$1:K$1,"&lt;&gt;"))),0)</f>
        <v>8.9080459770114959E-2</v>
      </c>
      <c r="L38">
        <f>IFERROR($J38/IF($A38&lt;COUNTIFS($K$1:L$1,"&lt;&gt;"),0,SUMIFS($J:$J,$B:$B,$B38,$A:$A,"&gt;="&amp;COUNTIFS($K$1:L$1,"&lt;&gt;"))),0)</f>
        <v>9.7484276729559768E-2</v>
      </c>
      <c r="M38">
        <f>IFERROR($J38/IF($A38&lt;COUNTIFS($K$1:M$1,"&lt;&gt;"),0,SUMIFS($J:$J,$B:$B,$B38,$A:$A,"&gt;="&amp;COUNTIFS($K$1:M$1,"&lt;&gt;"))),0)</f>
        <v>0.10801393728222998</v>
      </c>
      <c r="N38">
        <f>IFERROR($J38/IF($A38&lt;COUNTIFS($K$1:N$1,"&lt;&gt;"),0,SUMIFS($J:$J,$B:$B,$B38,$A:$A,"&gt;="&amp;COUNTIFS($K$1:N$1,"&lt;&gt;"))),0)</f>
        <v>0.12062256809338523</v>
      </c>
      <c r="O38">
        <f>IFERROR($J38/IF($A38&lt;COUNTIFS($K$1:O$1,"&lt;&gt;"),0,SUMIFS($J:$J,$B:$B,$B38,$A:$A,"&gt;="&amp;COUNTIFS($K$1:O$1,"&lt;&gt;"))),0)</f>
        <v>0.13716814159292037</v>
      </c>
      <c r="P38">
        <f>IFERROR($J38/IF($A38&lt;COUNTIFS($K$1:P$1,"&lt;&gt;"),0,SUMIFS($J:$J,$B:$B,$B38,$A:$A,"&gt;="&amp;COUNTIFS($K$1:P$1,"&lt;&gt;"))),0)</f>
        <v>0.15897435897435899</v>
      </c>
      <c r="Q38">
        <f>IFERROR($J38/IF($A38&lt;COUNTIFS($K$1:Q$1,"&lt;&gt;"),0,SUMIFS($J:$J,$B:$B,$B38,$A:$A,"&gt;="&amp;COUNTIFS($K$1:Q$1,"&lt;&gt;"))),0)</f>
        <v>0.1878787878787879</v>
      </c>
      <c r="R38">
        <f>IFERROR($J38/IF($A38&lt;COUNTIFS($K$1:R$1,"&lt;&gt;"),0,SUMIFS($J:$J,$B:$B,$B38,$A:$A,"&gt;="&amp;COUNTIFS($K$1:R$1,"&lt;&gt;"))),0)</f>
        <v>0.23134328358208955</v>
      </c>
      <c r="S38">
        <f>IFERROR($J38/IF($A38&lt;COUNTIFS($K$1:S$1,"&lt;&gt;"),0,SUMIFS($J:$J,$B:$B,$B38,$A:$A,"&gt;="&amp;COUNTIFS($K$1:S$1,"&lt;&gt;"))),0)</f>
        <v>0.29807692307692307</v>
      </c>
      <c r="T38">
        <f>IFERROR($J38/IF($A38&lt;COUNTIFS($K$1:T$1,"&lt;&gt;"),0,SUMIFS($J:$J,$B:$B,$B38,$A:$A,"&gt;="&amp;COUNTIFS($K$1:T$1,"&lt;&gt;"))),0)</f>
        <v>0.42465753424657532</v>
      </c>
      <c r="U38">
        <f>IFERROR($J38/IF($A38&lt;COUNTIFS($K$1:U$1,"&lt;&gt;"),0,SUMIFS($J:$J,$B:$B,$B38,$A:$A,"&gt;="&amp;COUNTIFS($K$1:U$1,"&lt;&gt;"))),0)</f>
        <v>0</v>
      </c>
      <c r="V38">
        <f>IFERROR($J38/IF($A38&lt;COUNTIFS($K$1:V$1,"&lt;&gt;"),0,SUMIFS($J:$J,$B:$B,$B38,$A:$A,"&gt;="&amp;COUNTIFS($K$1:V$1,"&lt;&gt;"))),0)</f>
        <v>0</v>
      </c>
      <c r="W38">
        <f t="shared" si="24"/>
        <v>8.4931506849315067E-2</v>
      </c>
      <c r="X38">
        <f t="shared" si="4"/>
        <v>8.4931506849315067E-2</v>
      </c>
      <c r="Y38">
        <f t="shared" si="5"/>
        <v>8.4931506849315067E-2</v>
      </c>
      <c r="Z38">
        <f t="shared" si="6"/>
        <v>8.4931506849315067E-2</v>
      </c>
      <c r="AA38">
        <f t="shared" si="7"/>
        <v>8.4931506849315067E-2</v>
      </c>
      <c r="AB38">
        <f t="shared" si="8"/>
        <v>8.4931506849315067E-2</v>
      </c>
      <c r="AC38">
        <f t="shared" si="9"/>
        <v>8.4931506849315067E-2</v>
      </c>
      <c r="AD38">
        <f t="shared" si="10"/>
        <v>8.4931506849315067E-2</v>
      </c>
      <c r="AE38">
        <f t="shared" si="11"/>
        <v>8.4931506849315067E-2</v>
      </c>
      <c r="AF38">
        <f t="shared" si="12"/>
        <v>8.4931506849315067E-2</v>
      </c>
      <c r="AG38">
        <f t="shared" si="13"/>
        <v>8.4931506849315067E-2</v>
      </c>
      <c r="AH38">
        <f t="shared" si="14"/>
        <v>0</v>
      </c>
      <c r="AI38">
        <f t="shared" si="15"/>
        <v>0</v>
      </c>
      <c r="AJ38" s="2" t="str">
        <f t="shared" si="25"/>
        <v>1043891</v>
      </c>
    </row>
    <row r="39" spans="1:36" x14ac:dyDescent="0.25">
      <c r="A39">
        <v>11</v>
      </c>
      <c r="B39" s="1">
        <v>43891</v>
      </c>
      <c r="C39" s="1">
        <f t="shared" si="16"/>
        <v>44228</v>
      </c>
      <c r="D39" s="1">
        <f t="shared" si="17"/>
        <v>43905</v>
      </c>
      <c r="E39" s="1">
        <f t="shared" si="18"/>
        <v>44228</v>
      </c>
      <c r="F39" s="1">
        <f t="shared" si="19"/>
        <v>44256</v>
      </c>
      <c r="G39" s="1">
        <f t="shared" si="20"/>
        <v>44270</v>
      </c>
      <c r="H39">
        <f t="shared" si="21"/>
        <v>365</v>
      </c>
      <c r="I39">
        <f t="shared" si="22"/>
        <v>28</v>
      </c>
      <c r="J39">
        <f t="shared" si="23"/>
        <v>7.6712328767123292E-2</v>
      </c>
      <c r="K39">
        <f>IFERROR($J39/IF($A39&lt;COUNTIFS($K$1:K$1,"&lt;&gt;"),0,SUMIFS($J:$J,$B:$B,$B39,$A:$A,"&gt;="&amp;COUNTIFS($K$1:K$1,"&lt;&gt;"))),0)</f>
        <v>8.0459770114942541E-2</v>
      </c>
      <c r="L39">
        <f>IFERROR($J39/IF($A39&lt;COUNTIFS($K$1:L$1,"&lt;&gt;"),0,SUMIFS($J:$J,$B:$B,$B39,$A:$A,"&gt;="&amp;COUNTIFS($K$1:L$1,"&lt;&gt;"))),0)</f>
        <v>8.8050314465408827E-2</v>
      </c>
      <c r="M39">
        <f>IFERROR($J39/IF($A39&lt;COUNTIFS($K$1:M$1,"&lt;&gt;"),0,SUMIFS($J:$J,$B:$B,$B39,$A:$A,"&gt;="&amp;COUNTIFS($K$1:M$1,"&lt;&gt;"))),0)</f>
        <v>9.7560975609756115E-2</v>
      </c>
      <c r="N39">
        <f>IFERROR($J39/IF($A39&lt;COUNTIFS($K$1:N$1,"&lt;&gt;"),0,SUMIFS($J:$J,$B:$B,$B39,$A:$A,"&gt;="&amp;COUNTIFS($K$1:N$1,"&lt;&gt;"))),0)</f>
        <v>0.10894941634241248</v>
      </c>
      <c r="O39">
        <f>IFERROR($J39/IF($A39&lt;COUNTIFS($K$1:O$1,"&lt;&gt;"),0,SUMIFS($J:$J,$B:$B,$B39,$A:$A,"&gt;="&amp;COUNTIFS($K$1:O$1,"&lt;&gt;"))),0)</f>
        <v>0.12389380530973454</v>
      </c>
      <c r="P39">
        <f>IFERROR($J39/IF($A39&lt;COUNTIFS($K$1:P$1,"&lt;&gt;"),0,SUMIFS($J:$J,$B:$B,$B39,$A:$A,"&gt;="&amp;COUNTIFS($K$1:P$1,"&lt;&gt;"))),0)</f>
        <v>0.14358974358974361</v>
      </c>
      <c r="Q39">
        <f>IFERROR($J39/IF($A39&lt;COUNTIFS($K$1:Q$1,"&lt;&gt;"),0,SUMIFS($J:$J,$B:$B,$B39,$A:$A,"&gt;="&amp;COUNTIFS($K$1:Q$1,"&lt;&gt;"))),0)</f>
        <v>0.16969696969696971</v>
      </c>
      <c r="R39">
        <f>IFERROR($J39/IF($A39&lt;COUNTIFS($K$1:R$1,"&lt;&gt;"),0,SUMIFS($J:$J,$B:$B,$B39,$A:$A,"&gt;="&amp;COUNTIFS($K$1:R$1,"&lt;&gt;"))),0)</f>
        <v>0.20895522388059704</v>
      </c>
      <c r="S39">
        <f>IFERROR($J39/IF($A39&lt;COUNTIFS($K$1:S$1,"&lt;&gt;"),0,SUMIFS($J:$J,$B:$B,$B39,$A:$A,"&gt;="&amp;COUNTIFS($K$1:S$1,"&lt;&gt;"))),0)</f>
        <v>0.26923076923076927</v>
      </c>
      <c r="T39">
        <f>IFERROR($J39/IF($A39&lt;COUNTIFS($K$1:T$1,"&lt;&gt;"),0,SUMIFS($J:$J,$B:$B,$B39,$A:$A,"&gt;="&amp;COUNTIFS($K$1:T$1,"&lt;&gt;"))),0)</f>
        <v>0.38356164383561642</v>
      </c>
      <c r="U39">
        <f>IFERROR($J39/IF($A39&lt;COUNTIFS($K$1:U$1,"&lt;&gt;"),0,SUMIFS($J:$J,$B:$B,$B39,$A:$A,"&gt;="&amp;COUNTIFS($K$1:U$1,"&lt;&gt;"))),0)</f>
        <v>0.66666666666666674</v>
      </c>
      <c r="V39">
        <f>IFERROR($J39/IF($A39&lt;COUNTIFS($K$1:V$1,"&lt;&gt;"),0,SUMIFS($J:$J,$B:$B,$B39,$A:$A,"&gt;="&amp;COUNTIFS($K$1:V$1,"&lt;&gt;"))),0)</f>
        <v>0</v>
      </c>
      <c r="W39">
        <f t="shared" si="24"/>
        <v>7.6712328767123292E-2</v>
      </c>
      <c r="X39">
        <f t="shared" si="4"/>
        <v>7.6712328767123292E-2</v>
      </c>
      <c r="Y39">
        <f t="shared" si="5"/>
        <v>7.6712328767123292E-2</v>
      </c>
      <c r="Z39">
        <f t="shared" si="6"/>
        <v>7.6712328767123292E-2</v>
      </c>
      <c r="AA39">
        <f t="shared" si="7"/>
        <v>7.6712328767123292E-2</v>
      </c>
      <c r="AB39">
        <f t="shared" si="8"/>
        <v>7.6712328767123292E-2</v>
      </c>
      <c r="AC39">
        <f t="shared" si="9"/>
        <v>7.6712328767123292E-2</v>
      </c>
      <c r="AD39">
        <f t="shared" si="10"/>
        <v>7.6712328767123292E-2</v>
      </c>
      <c r="AE39">
        <f t="shared" si="11"/>
        <v>7.6712328767123292E-2</v>
      </c>
      <c r="AF39">
        <f t="shared" si="12"/>
        <v>7.6712328767123292E-2</v>
      </c>
      <c r="AG39">
        <f t="shared" si="13"/>
        <v>7.6712328767123292E-2</v>
      </c>
      <c r="AH39">
        <f t="shared" si="14"/>
        <v>7.6712328767123292E-2</v>
      </c>
      <c r="AI39">
        <f t="shared" si="15"/>
        <v>0</v>
      </c>
      <c r="AJ39" s="2" t="str">
        <f t="shared" si="25"/>
        <v>1143891</v>
      </c>
    </row>
    <row r="40" spans="1:36" x14ac:dyDescent="0.25">
      <c r="A40">
        <v>12</v>
      </c>
      <c r="B40" s="1">
        <v>43891</v>
      </c>
      <c r="C40" s="1">
        <f t="shared" si="16"/>
        <v>44256</v>
      </c>
      <c r="D40" s="1">
        <f t="shared" si="17"/>
        <v>43905</v>
      </c>
      <c r="E40" s="1">
        <f t="shared" si="18"/>
        <v>44256</v>
      </c>
      <c r="F40" s="1">
        <f t="shared" si="19"/>
        <v>44270</v>
      </c>
      <c r="G40" s="1">
        <f t="shared" si="20"/>
        <v>44270</v>
      </c>
      <c r="H40">
        <f t="shared" si="21"/>
        <v>365</v>
      </c>
      <c r="I40">
        <f t="shared" si="22"/>
        <v>14</v>
      </c>
      <c r="J40">
        <f t="shared" si="23"/>
        <v>3.8356164383561646E-2</v>
      </c>
      <c r="K40">
        <f>IFERROR($J40/IF($A40&lt;COUNTIFS($K$1:K$1,"&lt;&gt;"),0,SUMIFS($J:$J,$B:$B,$B40,$A:$A,"&gt;="&amp;COUNTIFS($K$1:K$1,"&lt;&gt;"))),0)</f>
        <v>4.0229885057471271E-2</v>
      </c>
      <c r="L40">
        <f>IFERROR($J40/IF($A40&lt;COUNTIFS($K$1:L$1,"&lt;&gt;"),0,SUMIFS($J:$J,$B:$B,$B40,$A:$A,"&gt;="&amp;COUNTIFS($K$1:L$1,"&lt;&gt;"))),0)</f>
        <v>4.4025157232704414E-2</v>
      </c>
      <c r="M40">
        <f>IFERROR($J40/IF($A40&lt;COUNTIFS($K$1:M$1,"&lt;&gt;"),0,SUMIFS($J:$J,$B:$B,$B40,$A:$A,"&gt;="&amp;COUNTIFS($K$1:M$1,"&lt;&gt;"))),0)</f>
        <v>4.8780487804878057E-2</v>
      </c>
      <c r="N40">
        <f>IFERROR($J40/IF($A40&lt;COUNTIFS($K$1:N$1,"&lt;&gt;"),0,SUMIFS($J:$J,$B:$B,$B40,$A:$A,"&gt;="&amp;COUNTIFS($K$1:N$1,"&lt;&gt;"))),0)</f>
        <v>5.447470817120624E-2</v>
      </c>
      <c r="O40">
        <f>IFERROR($J40/IF($A40&lt;COUNTIFS($K$1:O$1,"&lt;&gt;"),0,SUMIFS($J:$J,$B:$B,$B40,$A:$A,"&gt;="&amp;COUNTIFS($K$1:O$1,"&lt;&gt;"))),0)</f>
        <v>6.194690265486727E-2</v>
      </c>
      <c r="P40">
        <f>IFERROR($J40/IF($A40&lt;COUNTIFS($K$1:P$1,"&lt;&gt;"),0,SUMIFS($J:$J,$B:$B,$B40,$A:$A,"&gt;="&amp;COUNTIFS($K$1:P$1,"&lt;&gt;"))),0)</f>
        <v>7.1794871794871803E-2</v>
      </c>
      <c r="Q40">
        <f>IFERROR($J40/IF($A40&lt;COUNTIFS($K$1:Q$1,"&lt;&gt;"),0,SUMIFS($J:$J,$B:$B,$B40,$A:$A,"&gt;="&amp;COUNTIFS($K$1:Q$1,"&lt;&gt;"))),0)</f>
        <v>8.4848484848484854E-2</v>
      </c>
      <c r="R40">
        <f>IFERROR($J40/IF($A40&lt;COUNTIFS($K$1:R$1,"&lt;&gt;"),0,SUMIFS($J:$J,$B:$B,$B40,$A:$A,"&gt;="&amp;COUNTIFS($K$1:R$1,"&lt;&gt;"))),0)</f>
        <v>0.10447761194029852</v>
      </c>
      <c r="S40">
        <f>IFERROR($J40/IF($A40&lt;COUNTIFS($K$1:S$1,"&lt;&gt;"),0,SUMIFS($J:$J,$B:$B,$B40,$A:$A,"&gt;="&amp;COUNTIFS($K$1:S$1,"&lt;&gt;"))),0)</f>
        <v>0.13461538461538464</v>
      </c>
      <c r="T40">
        <f>IFERROR($J40/IF($A40&lt;COUNTIFS($K$1:T$1,"&lt;&gt;"),0,SUMIFS($J:$J,$B:$B,$B40,$A:$A,"&gt;="&amp;COUNTIFS($K$1:T$1,"&lt;&gt;"))),0)</f>
        <v>0.19178082191780821</v>
      </c>
      <c r="U40">
        <f>IFERROR($J40/IF($A40&lt;COUNTIFS($K$1:U$1,"&lt;&gt;"),0,SUMIFS($J:$J,$B:$B,$B40,$A:$A,"&gt;="&amp;COUNTIFS($K$1:U$1,"&lt;&gt;"))),0)</f>
        <v>0.33333333333333337</v>
      </c>
      <c r="V40">
        <f>IFERROR($J40/IF($A40&lt;COUNTIFS($K$1:V$1,"&lt;&gt;"),0,SUMIFS($J:$J,$B:$B,$B40,$A:$A,"&gt;="&amp;COUNTIFS($K$1:V$1,"&lt;&gt;"))),0)</f>
        <v>1</v>
      </c>
      <c r="W40">
        <f t="shared" si="24"/>
        <v>3.8356164383561646E-2</v>
      </c>
      <c r="X40">
        <f t="shared" si="4"/>
        <v>3.8356164383561646E-2</v>
      </c>
      <c r="Y40">
        <f t="shared" si="5"/>
        <v>3.8356164383561646E-2</v>
      </c>
      <c r="Z40">
        <f t="shared" si="6"/>
        <v>3.8356164383561646E-2</v>
      </c>
      <c r="AA40">
        <f t="shared" si="7"/>
        <v>3.8356164383561646E-2</v>
      </c>
      <c r="AB40">
        <f t="shared" si="8"/>
        <v>3.8356164383561646E-2</v>
      </c>
      <c r="AC40">
        <f t="shared" si="9"/>
        <v>3.8356164383561646E-2</v>
      </c>
      <c r="AD40">
        <f t="shared" si="10"/>
        <v>3.8356164383561646E-2</v>
      </c>
      <c r="AE40">
        <f t="shared" si="11"/>
        <v>3.8356164383561646E-2</v>
      </c>
      <c r="AF40">
        <f t="shared" si="12"/>
        <v>3.8356164383561646E-2</v>
      </c>
      <c r="AG40">
        <f t="shared" si="13"/>
        <v>3.8356164383561646E-2</v>
      </c>
      <c r="AH40">
        <f t="shared" si="14"/>
        <v>3.8356164383561646E-2</v>
      </c>
      <c r="AI40">
        <f t="shared" si="15"/>
        <v>3.8356164383561646E-2</v>
      </c>
      <c r="AJ40" s="2" t="str">
        <f t="shared" si="25"/>
        <v>1243891</v>
      </c>
    </row>
    <row r="41" spans="1:36" x14ac:dyDescent="0.25">
      <c r="A41">
        <v>0</v>
      </c>
      <c r="B41" s="1">
        <v>43922</v>
      </c>
      <c r="C41" s="1">
        <f t="shared" si="16"/>
        <v>43922</v>
      </c>
      <c r="D41" s="1">
        <f t="shared" si="17"/>
        <v>43936</v>
      </c>
      <c r="E41" s="1">
        <f t="shared" si="18"/>
        <v>43936</v>
      </c>
      <c r="F41" s="1">
        <f t="shared" si="19"/>
        <v>43952</v>
      </c>
      <c r="G41" s="1">
        <f t="shared" si="20"/>
        <v>44301</v>
      </c>
      <c r="H41">
        <f t="shared" si="21"/>
        <v>365</v>
      </c>
      <c r="I41">
        <f t="shared" si="22"/>
        <v>16</v>
      </c>
      <c r="J41">
        <f t="shared" si="23"/>
        <v>4.3835616438356165E-2</v>
      </c>
      <c r="K41">
        <f>IFERROR($J41/IF($A41&lt;COUNTIFS($K$1:K$1,"&lt;&gt;"),0,SUMIFS($J:$J,$B:$B,$B41,$A:$A,"&gt;="&amp;COUNTIFS($K$1:K$1,"&lt;&gt;"))),0)</f>
        <v>0</v>
      </c>
      <c r="L41">
        <f>IFERROR($J41/IF($A41&lt;COUNTIFS($K$1:L$1,"&lt;&gt;"),0,SUMIFS($J:$J,$B:$B,$B41,$A:$A,"&gt;="&amp;COUNTIFS($K$1:L$1,"&lt;&gt;"))),0)</f>
        <v>0</v>
      </c>
      <c r="M41">
        <f>IFERROR($J41/IF($A41&lt;COUNTIFS($K$1:M$1,"&lt;&gt;"),0,SUMIFS($J:$J,$B:$B,$B41,$A:$A,"&gt;="&amp;COUNTIFS($K$1:M$1,"&lt;&gt;"))),0)</f>
        <v>0</v>
      </c>
      <c r="N41">
        <f>IFERROR($J41/IF($A41&lt;COUNTIFS($K$1:N$1,"&lt;&gt;"),0,SUMIFS($J:$J,$B:$B,$B41,$A:$A,"&gt;="&amp;COUNTIFS($K$1:N$1,"&lt;&gt;"))),0)</f>
        <v>0</v>
      </c>
      <c r="O41">
        <f>IFERROR($J41/IF($A41&lt;COUNTIFS($K$1:O$1,"&lt;&gt;"),0,SUMIFS($J:$J,$B:$B,$B41,$A:$A,"&gt;="&amp;COUNTIFS($K$1:O$1,"&lt;&gt;"))),0)</f>
        <v>0</v>
      </c>
      <c r="P41">
        <f>IFERROR($J41/IF($A41&lt;COUNTIFS($K$1:P$1,"&lt;&gt;"),0,SUMIFS($J:$J,$B:$B,$B41,$A:$A,"&gt;="&amp;COUNTIFS($K$1:P$1,"&lt;&gt;"))),0)</f>
        <v>0</v>
      </c>
      <c r="Q41">
        <f>IFERROR($J41/IF($A41&lt;COUNTIFS($K$1:Q$1,"&lt;&gt;"),0,SUMIFS($J:$J,$B:$B,$B41,$A:$A,"&gt;="&amp;COUNTIFS($K$1:Q$1,"&lt;&gt;"))),0)</f>
        <v>0</v>
      </c>
      <c r="R41">
        <f>IFERROR($J41/IF($A41&lt;COUNTIFS($K$1:R$1,"&lt;&gt;"),0,SUMIFS($J:$J,$B:$B,$B41,$A:$A,"&gt;="&amp;COUNTIFS($K$1:R$1,"&lt;&gt;"))),0)</f>
        <v>0</v>
      </c>
      <c r="S41">
        <f>IFERROR($J41/IF($A41&lt;COUNTIFS($K$1:S$1,"&lt;&gt;"),0,SUMIFS($J:$J,$B:$B,$B41,$A:$A,"&gt;="&amp;COUNTIFS($K$1:S$1,"&lt;&gt;"))),0)</f>
        <v>0</v>
      </c>
      <c r="T41">
        <f>IFERROR($J41/IF($A41&lt;COUNTIFS($K$1:T$1,"&lt;&gt;"),0,SUMIFS($J:$J,$B:$B,$B41,$A:$A,"&gt;="&amp;COUNTIFS($K$1:T$1,"&lt;&gt;"))),0)</f>
        <v>0</v>
      </c>
      <c r="U41">
        <f>IFERROR($J41/IF($A41&lt;COUNTIFS($K$1:U$1,"&lt;&gt;"),0,SUMIFS($J:$J,$B:$B,$B41,$A:$A,"&gt;="&amp;COUNTIFS($K$1:U$1,"&lt;&gt;"))),0)</f>
        <v>0</v>
      </c>
      <c r="V41">
        <f>IFERROR($J41/IF($A41&lt;COUNTIFS($K$1:V$1,"&lt;&gt;"),0,SUMIFS($J:$J,$B:$B,$B41,$A:$A,"&gt;="&amp;COUNTIFS($K$1:V$1,"&lt;&gt;"))),0)</f>
        <v>0</v>
      </c>
      <c r="W41">
        <f t="shared" si="24"/>
        <v>4.3835616438356165E-2</v>
      </c>
      <c r="X41">
        <f t="shared" si="4"/>
        <v>0</v>
      </c>
      <c r="Y41">
        <f t="shared" si="5"/>
        <v>0</v>
      </c>
      <c r="Z41">
        <f t="shared" si="6"/>
        <v>0</v>
      </c>
      <c r="AA41">
        <f t="shared" si="7"/>
        <v>0</v>
      </c>
      <c r="AB41">
        <f t="shared" si="8"/>
        <v>0</v>
      </c>
      <c r="AC41">
        <f t="shared" si="9"/>
        <v>0</v>
      </c>
      <c r="AD41">
        <f t="shared" si="10"/>
        <v>0</v>
      </c>
      <c r="AE41">
        <f t="shared" si="11"/>
        <v>0</v>
      </c>
      <c r="AF41">
        <f t="shared" si="12"/>
        <v>0</v>
      </c>
      <c r="AG41">
        <f t="shared" si="13"/>
        <v>0</v>
      </c>
      <c r="AH41">
        <f t="shared" si="14"/>
        <v>0</v>
      </c>
      <c r="AI41">
        <f t="shared" si="15"/>
        <v>0</v>
      </c>
      <c r="AJ41" s="2" t="str">
        <f t="shared" si="25"/>
        <v>043922</v>
      </c>
    </row>
    <row r="42" spans="1:36" x14ac:dyDescent="0.25">
      <c r="A42">
        <v>1</v>
      </c>
      <c r="B42" s="1">
        <v>43922</v>
      </c>
      <c r="C42" s="1">
        <f t="shared" si="16"/>
        <v>43952</v>
      </c>
      <c r="D42" s="1">
        <f t="shared" si="17"/>
        <v>43936</v>
      </c>
      <c r="E42" s="1">
        <f t="shared" si="18"/>
        <v>43952</v>
      </c>
      <c r="F42" s="1">
        <f t="shared" si="19"/>
        <v>43983</v>
      </c>
      <c r="G42" s="1">
        <f t="shared" si="20"/>
        <v>44301</v>
      </c>
      <c r="H42">
        <f t="shared" si="21"/>
        <v>365</v>
      </c>
      <c r="I42">
        <f t="shared" si="22"/>
        <v>31</v>
      </c>
      <c r="J42">
        <f t="shared" si="23"/>
        <v>8.4931506849315067E-2</v>
      </c>
      <c r="K42">
        <f>IFERROR($J42/IF($A42&lt;COUNTIFS($K$1:K$1,"&lt;&gt;"),0,SUMIFS($J:$J,$B:$B,$B42,$A:$A,"&gt;="&amp;COUNTIFS($K$1:K$1,"&lt;&gt;"))),0)</f>
        <v>8.8825214899713484E-2</v>
      </c>
      <c r="L42">
        <f>IFERROR($J42/IF($A42&lt;COUNTIFS($K$1:L$1,"&lt;&gt;"),0,SUMIFS($J:$J,$B:$B,$B42,$A:$A,"&gt;="&amp;COUNTIFS($K$1:L$1,"&lt;&gt;"))),0)</f>
        <v>0</v>
      </c>
      <c r="M42">
        <f>IFERROR($J42/IF($A42&lt;COUNTIFS($K$1:M$1,"&lt;&gt;"),0,SUMIFS($J:$J,$B:$B,$B42,$A:$A,"&gt;="&amp;COUNTIFS($K$1:M$1,"&lt;&gt;"))),0)</f>
        <v>0</v>
      </c>
      <c r="N42">
        <f>IFERROR($J42/IF($A42&lt;COUNTIFS($K$1:N$1,"&lt;&gt;"),0,SUMIFS($J:$J,$B:$B,$B42,$A:$A,"&gt;="&amp;COUNTIFS($K$1:N$1,"&lt;&gt;"))),0)</f>
        <v>0</v>
      </c>
      <c r="O42">
        <f>IFERROR($J42/IF($A42&lt;COUNTIFS($K$1:O$1,"&lt;&gt;"),0,SUMIFS($J:$J,$B:$B,$B42,$A:$A,"&gt;="&amp;COUNTIFS($K$1:O$1,"&lt;&gt;"))),0)</f>
        <v>0</v>
      </c>
      <c r="P42">
        <f>IFERROR($J42/IF($A42&lt;COUNTIFS($K$1:P$1,"&lt;&gt;"),0,SUMIFS($J:$J,$B:$B,$B42,$A:$A,"&gt;="&amp;COUNTIFS($K$1:P$1,"&lt;&gt;"))),0)</f>
        <v>0</v>
      </c>
      <c r="Q42">
        <f>IFERROR($J42/IF($A42&lt;COUNTIFS($K$1:Q$1,"&lt;&gt;"),0,SUMIFS($J:$J,$B:$B,$B42,$A:$A,"&gt;="&amp;COUNTIFS($K$1:Q$1,"&lt;&gt;"))),0)</f>
        <v>0</v>
      </c>
      <c r="R42">
        <f>IFERROR($J42/IF($A42&lt;COUNTIFS($K$1:R$1,"&lt;&gt;"),0,SUMIFS($J:$J,$B:$B,$B42,$A:$A,"&gt;="&amp;COUNTIFS($K$1:R$1,"&lt;&gt;"))),0)</f>
        <v>0</v>
      </c>
      <c r="S42">
        <f>IFERROR($J42/IF($A42&lt;COUNTIFS($K$1:S$1,"&lt;&gt;"),0,SUMIFS($J:$J,$B:$B,$B42,$A:$A,"&gt;="&amp;COUNTIFS($K$1:S$1,"&lt;&gt;"))),0)</f>
        <v>0</v>
      </c>
      <c r="T42">
        <f>IFERROR($J42/IF($A42&lt;COUNTIFS($K$1:T$1,"&lt;&gt;"),0,SUMIFS($J:$J,$B:$B,$B42,$A:$A,"&gt;="&amp;COUNTIFS($K$1:T$1,"&lt;&gt;"))),0)</f>
        <v>0</v>
      </c>
      <c r="U42">
        <f>IFERROR($J42/IF($A42&lt;COUNTIFS($K$1:U$1,"&lt;&gt;"),0,SUMIFS($J:$J,$B:$B,$B42,$A:$A,"&gt;="&amp;COUNTIFS($K$1:U$1,"&lt;&gt;"))),0)</f>
        <v>0</v>
      </c>
      <c r="V42">
        <f>IFERROR($J42/IF($A42&lt;COUNTIFS($K$1:V$1,"&lt;&gt;"),0,SUMIFS($J:$J,$B:$B,$B42,$A:$A,"&gt;="&amp;COUNTIFS($K$1:V$1,"&lt;&gt;"))),0)</f>
        <v>0</v>
      </c>
      <c r="W42">
        <f t="shared" si="24"/>
        <v>8.4931506849315067E-2</v>
      </c>
      <c r="X42">
        <f t="shared" si="4"/>
        <v>8.4931506849315067E-2</v>
      </c>
      <c r="Y42">
        <f t="shared" si="5"/>
        <v>0</v>
      </c>
      <c r="Z42">
        <f t="shared" si="6"/>
        <v>0</v>
      </c>
      <c r="AA42">
        <f t="shared" si="7"/>
        <v>0</v>
      </c>
      <c r="AB42">
        <f t="shared" si="8"/>
        <v>0</v>
      </c>
      <c r="AC42">
        <f t="shared" si="9"/>
        <v>0</v>
      </c>
      <c r="AD42">
        <f t="shared" si="10"/>
        <v>0</v>
      </c>
      <c r="AE42">
        <f t="shared" si="11"/>
        <v>0</v>
      </c>
      <c r="AF42">
        <f t="shared" si="12"/>
        <v>0</v>
      </c>
      <c r="AG42">
        <f t="shared" si="13"/>
        <v>0</v>
      </c>
      <c r="AH42">
        <f t="shared" si="14"/>
        <v>0</v>
      </c>
      <c r="AI42">
        <f t="shared" si="15"/>
        <v>0</v>
      </c>
      <c r="AJ42" s="2" t="str">
        <f t="shared" si="25"/>
        <v>143922</v>
      </c>
    </row>
    <row r="43" spans="1:36" x14ac:dyDescent="0.25">
      <c r="A43">
        <v>2</v>
      </c>
      <c r="B43" s="1">
        <v>43922</v>
      </c>
      <c r="C43" s="1">
        <f t="shared" si="16"/>
        <v>43983</v>
      </c>
      <c r="D43" s="1">
        <f t="shared" si="17"/>
        <v>43936</v>
      </c>
      <c r="E43" s="1">
        <f t="shared" si="18"/>
        <v>43983</v>
      </c>
      <c r="F43" s="1">
        <f t="shared" si="19"/>
        <v>44013</v>
      </c>
      <c r="G43" s="1">
        <f t="shared" si="20"/>
        <v>44301</v>
      </c>
      <c r="H43">
        <f t="shared" si="21"/>
        <v>365</v>
      </c>
      <c r="I43">
        <f t="shared" si="22"/>
        <v>30</v>
      </c>
      <c r="J43">
        <f t="shared" si="23"/>
        <v>8.2191780821917804E-2</v>
      </c>
      <c r="K43">
        <f>IFERROR($J43/IF($A43&lt;COUNTIFS($K$1:K$1,"&lt;&gt;"),0,SUMIFS($J:$J,$B:$B,$B43,$A:$A,"&gt;="&amp;COUNTIFS($K$1:K$1,"&lt;&gt;"))),0)</f>
        <v>8.5959885386819493E-2</v>
      </c>
      <c r="L43">
        <f>IFERROR($J43/IF($A43&lt;COUNTIFS($K$1:L$1,"&lt;&gt;"),0,SUMIFS($J:$J,$B:$B,$B43,$A:$A,"&gt;="&amp;COUNTIFS($K$1:L$1,"&lt;&gt;"))),0)</f>
        <v>9.4339622641509441E-2</v>
      </c>
      <c r="M43">
        <f>IFERROR($J43/IF($A43&lt;COUNTIFS($K$1:M$1,"&lt;&gt;"),0,SUMIFS($J:$J,$B:$B,$B43,$A:$A,"&gt;="&amp;COUNTIFS($K$1:M$1,"&lt;&gt;"))),0)</f>
        <v>0</v>
      </c>
      <c r="N43">
        <f>IFERROR($J43/IF($A43&lt;COUNTIFS($K$1:N$1,"&lt;&gt;"),0,SUMIFS($J:$J,$B:$B,$B43,$A:$A,"&gt;="&amp;COUNTIFS($K$1:N$1,"&lt;&gt;"))),0)</f>
        <v>0</v>
      </c>
      <c r="O43">
        <f>IFERROR($J43/IF($A43&lt;COUNTIFS($K$1:O$1,"&lt;&gt;"),0,SUMIFS($J:$J,$B:$B,$B43,$A:$A,"&gt;="&amp;COUNTIFS($K$1:O$1,"&lt;&gt;"))),0)</f>
        <v>0</v>
      </c>
      <c r="P43">
        <f>IFERROR($J43/IF($A43&lt;COUNTIFS($K$1:P$1,"&lt;&gt;"),0,SUMIFS($J:$J,$B:$B,$B43,$A:$A,"&gt;="&amp;COUNTIFS($K$1:P$1,"&lt;&gt;"))),0)</f>
        <v>0</v>
      </c>
      <c r="Q43">
        <f>IFERROR($J43/IF($A43&lt;COUNTIFS($K$1:Q$1,"&lt;&gt;"),0,SUMIFS($J:$J,$B:$B,$B43,$A:$A,"&gt;="&amp;COUNTIFS($K$1:Q$1,"&lt;&gt;"))),0)</f>
        <v>0</v>
      </c>
      <c r="R43">
        <f>IFERROR($J43/IF($A43&lt;COUNTIFS($K$1:R$1,"&lt;&gt;"),0,SUMIFS($J:$J,$B:$B,$B43,$A:$A,"&gt;="&amp;COUNTIFS($K$1:R$1,"&lt;&gt;"))),0)</f>
        <v>0</v>
      </c>
      <c r="S43">
        <f>IFERROR($J43/IF($A43&lt;COUNTIFS($K$1:S$1,"&lt;&gt;"),0,SUMIFS($J:$J,$B:$B,$B43,$A:$A,"&gt;="&amp;COUNTIFS($K$1:S$1,"&lt;&gt;"))),0)</f>
        <v>0</v>
      </c>
      <c r="T43">
        <f>IFERROR($J43/IF($A43&lt;COUNTIFS($K$1:T$1,"&lt;&gt;"),0,SUMIFS($J:$J,$B:$B,$B43,$A:$A,"&gt;="&amp;COUNTIFS($K$1:T$1,"&lt;&gt;"))),0)</f>
        <v>0</v>
      </c>
      <c r="U43">
        <f>IFERROR($J43/IF($A43&lt;COUNTIFS($K$1:U$1,"&lt;&gt;"),0,SUMIFS($J:$J,$B:$B,$B43,$A:$A,"&gt;="&amp;COUNTIFS($K$1:U$1,"&lt;&gt;"))),0)</f>
        <v>0</v>
      </c>
      <c r="V43">
        <f>IFERROR($J43/IF($A43&lt;COUNTIFS($K$1:V$1,"&lt;&gt;"),0,SUMIFS($J:$J,$B:$B,$B43,$A:$A,"&gt;="&amp;COUNTIFS($K$1:V$1,"&lt;&gt;"))),0)</f>
        <v>0</v>
      </c>
      <c r="W43">
        <f t="shared" si="24"/>
        <v>8.2191780821917804E-2</v>
      </c>
      <c r="X43">
        <f t="shared" si="4"/>
        <v>8.2191780821917804E-2</v>
      </c>
      <c r="Y43">
        <f t="shared" si="5"/>
        <v>8.2191780821917804E-2</v>
      </c>
      <c r="Z43">
        <f t="shared" si="6"/>
        <v>0</v>
      </c>
      <c r="AA43">
        <f t="shared" si="7"/>
        <v>0</v>
      </c>
      <c r="AB43">
        <f t="shared" si="8"/>
        <v>0</v>
      </c>
      <c r="AC43">
        <f t="shared" si="9"/>
        <v>0</v>
      </c>
      <c r="AD43">
        <f t="shared" si="10"/>
        <v>0</v>
      </c>
      <c r="AE43">
        <f t="shared" si="11"/>
        <v>0</v>
      </c>
      <c r="AF43">
        <f t="shared" si="12"/>
        <v>0</v>
      </c>
      <c r="AG43">
        <f t="shared" si="13"/>
        <v>0</v>
      </c>
      <c r="AH43">
        <f t="shared" si="14"/>
        <v>0</v>
      </c>
      <c r="AI43">
        <f t="shared" si="15"/>
        <v>0</v>
      </c>
      <c r="AJ43" s="2" t="str">
        <f t="shared" si="25"/>
        <v>243922</v>
      </c>
    </row>
    <row r="44" spans="1:36" x14ac:dyDescent="0.25">
      <c r="A44">
        <v>3</v>
      </c>
      <c r="B44" s="1">
        <v>43922</v>
      </c>
      <c r="C44" s="1">
        <f t="shared" si="16"/>
        <v>44013</v>
      </c>
      <c r="D44" s="1">
        <f t="shared" si="17"/>
        <v>43936</v>
      </c>
      <c r="E44" s="1">
        <f t="shared" si="18"/>
        <v>44013</v>
      </c>
      <c r="F44" s="1">
        <f t="shared" si="19"/>
        <v>44044</v>
      </c>
      <c r="G44" s="1">
        <f t="shared" si="20"/>
        <v>44301</v>
      </c>
      <c r="H44">
        <f t="shared" si="21"/>
        <v>365</v>
      </c>
      <c r="I44">
        <f t="shared" si="22"/>
        <v>31</v>
      </c>
      <c r="J44">
        <f t="shared" si="23"/>
        <v>8.4931506849315067E-2</v>
      </c>
      <c r="K44">
        <f>IFERROR($J44/IF($A44&lt;COUNTIFS($K$1:K$1,"&lt;&gt;"),0,SUMIFS($J:$J,$B:$B,$B44,$A:$A,"&gt;="&amp;COUNTIFS($K$1:K$1,"&lt;&gt;"))),0)</f>
        <v>8.8825214899713484E-2</v>
      </c>
      <c r="L44">
        <f>IFERROR($J44/IF($A44&lt;COUNTIFS($K$1:L$1,"&lt;&gt;"),0,SUMIFS($J:$J,$B:$B,$B44,$A:$A,"&gt;="&amp;COUNTIFS($K$1:L$1,"&lt;&gt;"))),0)</f>
        <v>9.7484276729559768E-2</v>
      </c>
      <c r="M44">
        <f>IFERROR($J44/IF($A44&lt;COUNTIFS($K$1:M$1,"&lt;&gt;"),0,SUMIFS($J:$J,$B:$B,$B44,$A:$A,"&gt;="&amp;COUNTIFS($K$1:M$1,"&lt;&gt;"))),0)</f>
        <v>0.10763888888888891</v>
      </c>
      <c r="N44">
        <f>IFERROR($J44/IF($A44&lt;COUNTIFS($K$1:N$1,"&lt;&gt;"),0,SUMIFS($J:$J,$B:$B,$B44,$A:$A,"&gt;="&amp;COUNTIFS($K$1:N$1,"&lt;&gt;"))),0)</f>
        <v>0</v>
      </c>
      <c r="O44">
        <f>IFERROR($J44/IF($A44&lt;COUNTIFS($K$1:O$1,"&lt;&gt;"),0,SUMIFS($J:$J,$B:$B,$B44,$A:$A,"&gt;="&amp;COUNTIFS($K$1:O$1,"&lt;&gt;"))),0)</f>
        <v>0</v>
      </c>
      <c r="P44">
        <f>IFERROR($J44/IF($A44&lt;COUNTIFS($K$1:P$1,"&lt;&gt;"),0,SUMIFS($J:$J,$B:$B,$B44,$A:$A,"&gt;="&amp;COUNTIFS($K$1:P$1,"&lt;&gt;"))),0)</f>
        <v>0</v>
      </c>
      <c r="Q44">
        <f>IFERROR($J44/IF($A44&lt;COUNTIFS($K$1:Q$1,"&lt;&gt;"),0,SUMIFS($J:$J,$B:$B,$B44,$A:$A,"&gt;="&amp;COUNTIFS($K$1:Q$1,"&lt;&gt;"))),0)</f>
        <v>0</v>
      </c>
      <c r="R44">
        <f>IFERROR($J44/IF($A44&lt;COUNTIFS($K$1:R$1,"&lt;&gt;"),0,SUMIFS($J:$J,$B:$B,$B44,$A:$A,"&gt;="&amp;COUNTIFS($K$1:R$1,"&lt;&gt;"))),0)</f>
        <v>0</v>
      </c>
      <c r="S44">
        <f>IFERROR($J44/IF($A44&lt;COUNTIFS($K$1:S$1,"&lt;&gt;"),0,SUMIFS($J:$J,$B:$B,$B44,$A:$A,"&gt;="&amp;COUNTIFS($K$1:S$1,"&lt;&gt;"))),0)</f>
        <v>0</v>
      </c>
      <c r="T44">
        <f>IFERROR($J44/IF($A44&lt;COUNTIFS($K$1:T$1,"&lt;&gt;"),0,SUMIFS($J:$J,$B:$B,$B44,$A:$A,"&gt;="&amp;COUNTIFS($K$1:T$1,"&lt;&gt;"))),0)</f>
        <v>0</v>
      </c>
      <c r="U44">
        <f>IFERROR($J44/IF($A44&lt;COUNTIFS($K$1:U$1,"&lt;&gt;"),0,SUMIFS($J:$J,$B:$B,$B44,$A:$A,"&gt;="&amp;COUNTIFS($K$1:U$1,"&lt;&gt;"))),0)</f>
        <v>0</v>
      </c>
      <c r="V44">
        <f>IFERROR($J44/IF($A44&lt;COUNTIFS($K$1:V$1,"&lt;&gt;"),0,SUMIFS($J:$J,$B:$B,$B44,$A:$A,"&gt;="&amp;COUNTIFS($K$1:V$1,"&lt;&gt;"))),0)</f>
        <v>0</v>
      </c>
      <c r="W44">
        <f t="shared" si="24"/>
        <v>8.4931506849315067E-2</v>
      </c>
      <c r="X44">
        <f t="shared" si="4"/>
        <v>8.4931506849315067E-2</v>
      </c>
      <c r="Y44">
        <f t="shared" si="5"/>
        <v>8.4931506849315067E-2</v>
      </c>
      <c r="Z44">
        <f t="shared" si="6"/>
        <v>8.4931506849315067E-2</v>
      </c>
      <c r="AA44">
        <f t="shared" si="7"/>
        <v>0</v>
      </c>
      <c r="AB44">
        <f t="shared" si="8"/>
        <v>0</v>
      </c>
      <c r="AC44">
        <f t="shared" si="9"/>
        <v>0</v>
      </c>
      <c r="AD44">
        <f t="shared" si="10"/>
        <v>0</v>
      </c>
      <c r="AE44">
        <f t="shared" si="11"/>
        <v>0</v>
      </c>
      <c r="AF44">
        <f t="shared" si="12"/>
        <v>0</v>
      </c>
      <c r="AG44">
        <f t="shared" si="13"/>
        <v>0</v>
      </c>
      <c r="AH44">
        <f t="shared" si="14"/>
        <v>0</v>
      </c>
      <c r="AI44">
        <f t="shared" si="15"/>
        <v>0</v>
      </c>
      <c r="AJ44" s="2" t="str">
        <f t="shared" si="25"/>
        <v>343922</v>
      </c>
    </row>
    <row r="45" spans="1:36" x14ac:dyDescent="0.25">
      <c r="A45">
        <v>4</v>
      </c>
      <c r="B45" s="1">
        <v>43922</v>
      </c>
      <c r="C45" s="1">
        <f t="shared" si="16"/>
        <v>44044</v>
      </c>
      <c r="D45" s="1">
        <f t="shared" si="17"/>
        <v>43936</v>
      </c>
      <c r="E45" s="1">
        <f t="shared" si="18"/>
        <v>44044</v>
      </c>
      <c r="F45" s="1">
        <f t="shared" si="19"/>
        <v>44075</v>
      </c>
      <c r="G45" s="1">
        <f t="shared" si="20"/>
        <v>44301</v>
      </c>
      <c r="H45">
        <f t="shared" si="21"/>
        <v>365</v>
      </c>
      <c r="I45">
        <f t="shared" si="22"/>
        <v>31</v>
      </c>
      <c r="J45">
        <f t="shared" si="23"/>
        <v>8.4931506849315067E-2</v>
      </c>
      <c r="K45">
        <f>IFERROR($J45/IF($A45&lt;COUNTIFS($K$1:K$1,"&lt;&gt;"),0,SUMIFS($J:$J,$B:$B,$B45,$A:$A,"&gt;="&amp;COUNTIFS($K$1:K$1,"&lt;&gt;"))),0)</f>
        <v>8.8825214899713484E-2</v>
      </c>
      <c r="L45">
        <f>IFERROR($J45/IF($A45&lt;COUNTIFS($K$1:L$1,"&lt;&gt;"),0,SUMIFS($J:$J,$B:$B,$B45,$A:$A,"&gt;="&amp;COUNTIFS($K$1:L$1,"&lt;&gt;"))),0)</f>
        <v>9.7484276729559768E-2</v>
      </c>
      <c r="M45">
        <f>IFERROR($J45/IF($A45&lt;COUNTIFS($K$1:M$1,"&lt;&gt;"),0,SUMIFS($J:$J,$B:$B,$B45,$A:$A,"&gt;="&amp;COUNTIFS($K$1:M$1,"&lt;&gt;"))),0)</f>
        <v>0.10763888888888891</v>
      </c>
      <c r="N45">
        <f>IFERROR($J45/IF($A45&lt;COUNTIFS($K$1:N$1,"&lt;&gt;"),0,SUMIFS($J:$J,$B:$B,$B45,$A:$A,"&gt;="&amp;COUNTIFS($K$1:N$1,"&lt;&gt;"))),0)</f>
        <v>0.12062256809338523</v>
      </c>
      <c r="O45">
        <f>IFERROR($J45/IF($A45&lt;COUNTIFS($K$1:O$1,"&lt;&gt;"),0,SUMIFS($J:$J,$B:$B,$B45,$A:$A,"&gt;="&amp;COUNTIFS($K$1:O$1,"&lt;&gt;"))),0)</f>
        <v>0</v>
      </c>
      <c r="P45">
        <f>IFERROR($J45/IF($A45&lt;COUNTIFS($K$1:P$1,"&lt;&gt;"),0,SUMIFS($J:$J,$B:$B,$B45,$A:$A,"&gt;="&amp;COUNTIFS($K$1:P$1,"&lt;&gt;"))),0)</f>
        <v>0</v>
      </c>
      <c r="Q45">
        <f>IFERROR($J45/IF($A45&lt;COUNTIFS($K$1:Q$1,"&lt;&gt;"),0,SUMIFS($J:$J,$B:$B,$B45,$A:$A,"&gt;="&amp;COUNTIFS($K$1:Q$1,"&lt;&gt;"))),0)</f>
        <v>0</v>
      </c>
      <c r="R45">
        <f>IFERROR($J45/IF($A45&lt;COUNTIFS($K$1:R$1,"&lt;&gt;"),0,SUMIFS($J:$J,$B:$B,$B45,$A:$A,"&gt;="&amp;COUNTIFS($K$1:R$1,"&lt;&gt;"))),0)</f>
        <v>0</v>
      </c>
      <c r="S45">
        <f>IFERROR($J45/IF($A45&lt;COUNTIFS($K$1:S$1,"&lt;&gt;"),0,SUMIFS($J:$J,$B:$B,$B45,$A:$A,"&gt;="&amp;COUNTIFS($K$1:S$1,"&lt;&gt;"))),0)</f>
        <v>0</v>
      </c>
      <c r="T45">
        <f>IFERROR($J45/IF($A45&lt;COUNTIFS($K$1:T$1,"&lt;&gt;"),0,SUMIFS($J:$J,$B:$B,$B45,$A:$A,"&gt;="&amp;COUNTIFS($K$1:T$1,"&lt;&gt;"))),0)</f>
        <v>0</v>
      </c>
      <c r="U45">
        <f>IFERROR($J45/IF($A45&lt;COUNTIFS($K$1:U$1,"&lt;&gt;"),0,SUMIFS($J:$J,$B:$B,$B45,$A:$A,"&gt;="&amp;COUNTIFS($K$1:U$1,"&lt;&gt;"))),0)</f>
        <v>0</v>
      </c>
      <c r="V45">
        <f>IFERROR($J45/IF($A45&lt;COUNTIFS($K$1:V$1,"&lt;&gt;"),0,SUMIFS($J:$J,$B:$B,$B45,$A:$A,"&gt;="&amp;COUNTIFS($K$1:V$1,"&lt;&gt;"))),0)</f>
        <v>0</v>
      </c>
      <c r="W45">
        <f t="shared" si="24"/>
        <v>8.4931506849315067E-2</v>
      </c>
      <c r="X45">
        <f t="shared" si="4"/>
        <v>8.4931506849315067E-2</v>
      </c>
      <c r="Y45">
        <f t="shared" si="5"/>
        <v>8.4931506849315067E-2</v>
      </c>
      <c r="Z45">
        <f t="shared" si="6"/>
        <v>8.4931506849315067E-2</v>
      </c>
      <c r="AA45">
        <f t="shared" si="7"/>
        <v>8.4931506849315067E-2</v>
      </c>
      <c r="AB45">
        <f t="shared" si="8"/>
        <v>0</v>
      </c>
      <c r="AC45">
        <f t="shared" si="9"/>
        <v>0</v>
      </c>
      <c r="AD45">
        <f t="shared" si="10"/>
        <v>0</v>
      </c>
      <c r="AE45">
        <f t="shared" si="11"/>
        <v>0</v>
      </c>
      <c r="AF45">
        <f t="shared" si="12"/>
        <v>0</v>
      </c>
      <c r="AG45">
        <f t="shared" si="13"/>
        <v>0</v>
      </c>
      <c r="AH45">
        <f t="shared" si="14"/>
        <v>0</v>
      </c>
      <c r="AI45">
        <f t="shared" si="15"/>
        <v>0</v>
      </c>
      <c r="AJ45" s="2" t="str">
        <f t="shared" si="25"/>
        <v>443922</v>
      </c>
    </row>
    <row r="46" spans="1:36" x14ac:dyDescent="0.25">
      <c r="A46">
        <v>5</v>
      </c>
      <c r="B46" s="1">
        <v>43922</v>
      </c>
      <c r="C46" s="1">
        <f t="shared" si="16"/>
        <v>44075</v>
      </c>
      <c r="D46" s="1">
        <f t="shared" si="17"/>
        <v>43936</v>
      </c>
      <c r="E46" s="1">
        <f t="shared" si="18"/>
        <v>44075</v>
      </c>
      <c r="F46" s="1">
        <f t="shared" si="19"/>
        <v>44105</v>
      </c>
      <c r="G46" s="1">
        <f t="shared" si="20"/>
        <v>44301</v>
      </c>
      <c r="H46">
        <f t="shared" si="21"/>
        <v>365</v>
      </c>
      <c r="I46">
        <f t="shared" si="22"/>
        <v>30</v>
      </c>
      <c r="J46">
        <f t="shared" si="23"/>
        <v>8.2191780821917804E-2</v>
      </c>
      <c r="K46">
        <f>IFERROR($J46/IF($A46&lt;COUNTIFS($K$1:K$1,"&lt;&gt;"),0,SUMIFS($J:$J,$B:$B,$B46,$A:$A,"&gt;="&amp;COUNTIFS($K$1:K$1,"&lt;&gt;"))),0)</f>
        <v>8.5959885386819493E-2</v>
      </c>
      <c r="L46">
        <f>IFERROR($J46/IF($A46&lt;COUNTIFS($K$1:L$1,"&lt;&gt;"),0,SUMIFS($J:$J,$B:$B,$B46,$A:$A,"&gt;="&amp;COUNTIFS($K$1:L$1,"&lt;&gt;"))),0)</f>
        <v>9.4339622641509441E-2</v>
      </c>
      <c r="M46">
        <f>IFERROR($J46/IF($A46&lt;COUNTIFS($K$1:M$1,"&lt;&gt;"),0,SUMIFS($J:$J,$B:$B,$B46,$A:$A,"&gt;="&amp;COUNTIFS($K$1:M$1,"&lt;&gt;"))),0)</f>
        <v>0.10416666666666669</v>
      </c>
      <c r="N46">
        <f>IFERROR($J46/IF($A46&lt;COUNTIFS($K$1:N$1,"&lt;&gt;"),0,SUMIFS($J:$J,$B:$B,$B46,$A:$A,"&gt;="&amp;COUNTIFS($K$1:N$1,"&lt;&gt;"))),0)</f>
        <v>0.11673151750972764</v>
      </c>
      <c r="O46">
        <f>IFERROR($J46/IF($A46&lt;COUNTIFS($K$1:O$1,"&lt;&gt;"),0,SUMIFS($J:$J,$B:$B,$B46,$A:$A,"&gt;="&amp;COUNTIFS($K$1:O$1,"&lt;&gt;"))),0)</f>
        <v>0.13274336283185842</v>
      </c>
      <c r="P46">
        <f>IFERROR($J46/IF($A46&lt;COUNTIFS($K$1:P$1,"&lt;&gt;"),0,SUMIFS($J:$J,$B:$B,$B46,$A:$A,"&gt;="&amp;COUNTIFS($K$1:P$1,"&lt;&gt;"))),0)</f>
        <v>0</v>
      </c>
      <c r="Q46">
        <f>IFERROR($J46/IF($A46&lt;COUNTIFS($K$1:Q$1,"&lt;&gt;"),0,SUMIFS($J:$J,$B:$B,$B46,$A:$A,"&gt;="&amp;COUNTIFS($K$1:Q$1,"&lt;&gt;"))),0)</f>
        <v>0</v>
      </c>
      <c r="R46">
        <f>IFERROR($J46/IF($A46&lt;COUNTIFS($K$1:R$1,"&lt;&gt;"),0,SUMIFS($J:$J,$B:$B,$B46,$A:$A,"&gt;="&amp;COUNTIFS($K$1:R$1,"&lt;&gt;"))),0)</f>
        <v>0</v>
      </c>
      <c r="S46">
        <f>IFERROR($J46/IF($A46&lt;COUNTIFS($K$1:S$1,"&lt;&gt;"),0,SUMIFS($J:$J,$B:$B,$B46,$A:$A,"&gt;="&amp;COUNTIFS($K$1:S$1,"&lt;&gt;"))),0)</f>
        <v>0</v>
      </c>
      <c r="T46">
        <f>IFERROR($J46/IF($A46&lt;COUNTIFS($K$1:T$1,"&lt;&gt;"),0,SUMIFS($J:$J,$B:$B,$B46,$A:$A,"&gt;="&amp;COUNTIFS($K$1:T$1,"&lt;&gt;"))),0)</f>
        <v>0</v>
      </c>
      <c r="U46">
        <f>IFERROR($J46/IF($A46&lt;COUNTIFS($K$1:U$1,"&lt;&gt;"),0,SUMIFS($J:$J,$B:$B,$B46,$A:$A,"&gt;="&amp;COUNTIFS($K$1:U$1,"&lt;&gt;"))),0)</f>
        <v>0</v>
      </c>
      <c r="V46">
        <f>IFERROR($J46/IF($A46&lt;COUNTIFS($K$1:V$1,"&lt;&gt;"),0,SUMIFS($J:$J,$B:$B,$B46,$A:$A,"&gt;="&amp;COUNTIFS($K$1:V$1,"&lt;&gt;"))),0)</f>
        <v>0</v>
      </c>
      <c r="W46">
        <f t="shared" si="24"/>
        <v>8.2191780821917804E-2</v>
      </c>
      <c r="X46">
        <f t="shared" si="4"/>
        <v>8.2191780821917804E-2</v>
      </c>
      <c r="Y46">
        <f t="shared" si="5"/>
        <v>8.2191780821917804E-2</v>
      </c>
      <c r="Z46">
        <f t="shared" si="6"/>
        <v>8.2191780821917804E-2</v>
      </c>
      <c r="AA46">
        <f t="shared" si="7"/>
        <v>8.2191780821917804E-2</v>
      </c>
      <c r="AB46">
        <f t="shared" si="8"/>
        <v>8.2191780821917804E-2</v>
      </c>
      <c r="AC46">
        <f t="shared" si="9"/>
        <v>0</v>
      </c>
      <c r="AD46">
        <f t="shared" si="10"/>
        <v>0</v>
      </c>
      <c r="AE46">
        <f t="shared" si="11"/>
        <v>0</v>
      </c>
      <c r="AF46">
        <f t="shared" si="12"/>
        <v>0</v>
      </c>
      <c r="AG46">
        <f t="shared" si="13"/>
        <v>0</v>
      </c>
      <c r="AH46">
        <f t="shared" si="14"/>
        <v>0</v>
      </c>
      <c r="AI46">
        <f t="shared" si="15"/>
        <v>0</v>
      </c>
      <c r="AJ46" s="2" t="str">
        <f t="shared" si="25"/>
        <v>543922</v>
      </c>
    </row>
    <row r="47" spans="1:36" x14ac:dyDescent="0.25">
      <c r="A47">
        <v>6</v>
      </c>
      <c r="B47" s="1">
        <v>43922</v>
      </c>
      <c r="C47" s="1">
        <f t="shared" si="16"/>
        <v>44105</v>
      </c>
      <c r="D47" s="1">
        <f t="shared" si="17"/>
        <v>43936</v>
      </c>
      <c r="E47" s="1">
        <f t="shared" si="18"/>
        <v>44105</v>
      </c>
      <c r="F47" s="1">
        <f t="shared" si="19"/>
        <v>44136</v>
      </c>
      <c r="G47" s="1">
        <f t="shared" si="20"/>
        <v>44301</v>
      </c>
      <c r="H47">
        <f t="shared" si="21"/>
        <v>365</v>
      </c>
      <c r="I47">
        <f t="shared" si="22"/>
        <v>31</v>
      </c>
      <c r="J47">
        <f t="shared" si="23"/>
        <v>8.4931506849315067E-2</v>
      </c>
      <c r="K47">
        <f>IFERROR($J47/IF($A47&lt;COUNTIFS($K$1:K$1,"&lt;&gt;"),0,SUMIFS($J:$J,$B:$B,$B47,$A:$A,"&gt;="&amp;COUNTIFS($K$1:K$1,"&lt;&gt;"))),0)</f>
        <v>8.8825214899713484E-2</v>
      </c>
      <c r="L47">
        <f>IFERROR($J47/IF($A47&lt;COUNTIFS($K$1:L$1,"&lt;&gt;"),0,SUMIFS($J:$J,$B:$B,$B47,$A:$A,"&gt;="&amp;COUNTIFS($K$1:L$1,"&lt;&gt;"))),0)</f>
        <v>9.7484276729559768E-2</v>
      </c>
      <c r="M47">
        <f>IFERROR($J47/IF($A47&lt;COUNTIFS($K$1:M$1,"&lt;&gt;"),0,SUMIFS($J:$J,$B:$B,$B47,$A:$A,"&gt;="&amp;COUNTIFS($K$1:M$1,"&lt;&gt;"))),0)</f>
        <v>0.10763888888888891</v>
      </c>
      <c r="N47">
        <f>IFERROR($J47/IF($A47&lt;COUNTIFS($K$1:N$1,"&lt;&gt;"),0,SUMIFS($J:$J,$B:$B,$B47,$A:$A,"&gt;="&amp;COUNTIFS($K$1:N$1,"&lt;&gt;"))),0)</f>
        <v>0.12062256809338523</v>
      </c>
      <c r="O47">
        <f>IFERROR($J47/IF($A47&lt;COUNTIFS($K$1:O$1,"&lt;&gt;"),0,SUMIFS($J:$J,$B:$B,$B47,$A:$A,"&gt;="&amp;COUNTIFS($K$1:O$1,"&lt;&gt;"))),0)</f>
        <v>0.13716814159292037</v>
      </c>
      <c r="P47">
        <f>IFERROR($J47/IF($A47&lt;COUNTIFS($K$1:P$1,"&lt;&gt;"),0,SUMIFS($J:$J,$B:$B,$B47,$A:$A,"&gt;="&amp;COUNTIFS($K$1:P$1,"&lt;&gt;"))),0)</f>
        <v>0.15816326530612249</v>
      </c>
      <c r="Q47">
        <f>IFERROR($J47/IF($A47&lt;COUNTIFS($K$1:Q$1,"&lt;&gt;"),0,SUMIFS($J:$J,$B:$B,$B47,$A:$A,"&gt;="&amp;COUNTIFS($K$1:Q$1,"&lt;&gt;"))),0)</f>
        <v>0</v>
      </c>
      <c r="R47">
        <f>IFERROR($J47/IF($A47&lt;COUNTIFS($K$1:R$1,"&lt;&gt;"),0,SUMIFS($J:$J,$B:$B,$B47,$A:$A,"&gt;="&amp;COUNTIFS($K$1:R$1,"&lt;&gt;"))),0)</f>
        <v>0</v>
      </c>
      <c r="S47">
        <f>IFERROR($J47/IF($A47&lt;COUNTIFS($K$1:S$1,"&lt;&gt;"),0,SUMIFS($J:$J,$B:$B,$B47,$A:$A,"&gt;="&amp;COUNTIFS($K$1:S$1,"&lt;&gt;"))),0)</f>
        <v>0</v>
      </c>
      <c r="T47">
        <f>IFERROR($J47/IF($A47&lt;COUNTIFS($K$1:T$1,"&lt;&gt;"),0,SUMIFS($J:$J,$B:$B,$B47,$A:$A,"&gt;="&amp;COUNTIFS($K$1:T$1,"&lt;&gt;"))),0)</f>
        <v>0</v>
      </c>
      <c r="U47">
        <f>IFERROR($J47/IF($A47&lt;COUNTIFS($K$1:U$1,"&lt;&gt;"),0,SUMIFS($J:$J,$B:$B,$B47,$A:$A,"&gt;="&amp;COUNTIFS($K$1:U$1,"&lt;&gt;"))),0)</f>
        <v>0</v>
      </c>
      <c r="V47">
        <f>IFERROR($J47/IF($A47&lt;COUNTIFS($K$1:V$1,"&lt;&gt;"),0,SUMIFS($J:$J,$B:$B,$B47,$A:$A,"&gt;="&amp;COUNTIFS($K$1:V$1,"&lt;&gt;"))),0)</f>
        <v>0</v>
      </c>
      <c r="W47">
        <f t="shared" si="24"/>
        <v>8.4931506849315067E-2</v>
      </c>
      <c r="X47">
        <f t="shared" si="4"/>
        <v>8.4931506849315067E-2</v>
      </c>
      <c r="Y47">
        <f t="shared" si="5"/>
        <v>8.4931506849315067E-2</v>
      </c>
      <c r="Z47">
        <f t="shared" si="6"/>
        <v>8.4931506849315067E-2</v>
      </c>
      <c r="AA47">
        <f t="shared" si="7"/>
        <v>8.4931506849315067E-2</v>
      </c>
      <c r="AB47">
        <f t="shared" si="8"/>
        <v>8.4931506849315067E-2</v>
      </c>
      <c r="AC47">
        <f t="shared" si="9"/>
        <v>8.4931506849315067E-2</v>
      </c>
      <c r="AD47">
        <f t="shared" si="10"/>
        <v>0</v>
      </c>
      <c r="AE47">
        <f t="shared" si="11"/>
        <v>0</v>
      </c>
      <c r="AF47">
        <f t="shared" si="12"/>
        <v>0</v>
      </c>
      <c r="AG47">
        <f t="shared" si="13"/>
        <v>0</v>
      </c>
      <c r="AH47">
        <f t="shared" si="14"/>
        <v>0</v>
      </c>
      <c r="AI47">
        <f t="shared" si="15"/>
        <v>0</v>
      </c>
      <c r="AJ47" s="2" t="str">
        <f t="shared" si="25"/>
        <v>643922</v>
      </c>
    </row>
    <row r="48" spans="1:36" x14ac:dyDescent="0.25">
      <c r="A48">
        <v>7</v>
      </c>
      <c r="B48" s="1">
        <v>43922</v>
      </c>
      <c r="C48" s="1">
        <f t="shared" si="16"/>
        <v>44136</v>
      </c>
      <c r="D48" s="1">
        <f t="shared" si="17"/>
        <v>43936</v>
      </c>
      <c r="E48" s="1">
        <f t="shared" si="18"/>
        <v>44136</v>
      </c>
      <c r="F48" s="1">
        <f t="shared" si="19"/>
        <v>44166</v>
      </c>
      <c r="G48" s="1">
        <f t="shared" si="20"/>
        <v>44301</v>
      </c>
      <c r="H48">
        <f t="shared" si="21"/>
        <v>365</v>
      </c>
      <c r="I48">
        <f t="shared" si="22"/>
        <v>30</v>
      </c>
      <c r="J48">
        <f t="shared" si="23"/>
        <v>8.2191780821917804E-2</v>
      </c>
      <c r="K48">
        <f>IFERROR($J48/IF($A48&lt;COUNTIFS($K$1:K$1,"&lt;&gt;"),0,SUMIFS($J:$J,$B:$B,$B48,$A:$A,"&gt;="&amp;COUNTIFS($K$1:K$1,"&lt;&gt;"))),0)</f>
        <v>8.5959885386819493E-2</v>
      </c>
      <c r="L48">
        <f>IFERROR($J48/IF($A48&lt;COUNTIFS($K$1:L$1,"&lt;&gt;"),0,SUMIFS($J:$J,$B:$B,$B48,$A:$A,"&gt;="&amp;COUNTIFS($K$1:L$1,"&lt;&gt;"))),0)</f>
        <v>9.4339622641509441E-2</v>
      </c>
      <c r="M48">
        <f>IFERROR($J48/IF($A48&lt;COUNTIFS($K$1:M$1,"&lt;&gt;"),0,SUMIFS($J:$J,$B:$B,$B48,$A:$A,"&gt;="&amp;COUNTIFS($K$1:M$1,"&lt;&gt;"))),0)</f>
        <v>0.10416666666666669</v>
      </c>
      <c r="N48">
        <f>IFERROR($J48/IF($A48&lt;COUNTIFS($K$1:N$1,"&lt;&gt;"),0,SUMIFS($J:$J,$B:$B,$B48,$A:$A,"&gt;="&amp;COUNTIFS($K$1:N$1,"&lt;&gt;"))),0)</f>
        <v>0.11673151750972764</v>
      </c>
      <c r="O48">
        <f>IFERROR($J48/IF($A48&lt;COUNTIFS($K$1:O$1,"&lt;&gt;"),0,SUMIFS($J:$J,$B:$B,$B48,$A:$A,"&gt;="&amp;COUNTIFS($K$1:O$1,"&lt;&gt;"))),0)</f>
        <v>0.13274336283185842</v>
      </c>
      <c r="P48">
        <f>IFERROR($J48/IF($A48&lt;COUNTIFS($K$1:P$1,"&lt;&gt;"),0,SUMIFS($J:$J,$B:$B,$B48,$A:$A,"&gt;="&amp;COUNTIFS($K$1:P$1,"&lt;&gt;"))),0)</f>
        <v>0.15306122448979595</v>
      </c>
      <c r="Q48">
        <f>IFERROR($J48/IF($A48&lt;COUNTIFS($K$1:Q$1,"&lt;&gt;"),0,SUMIFS($J:$J,$B:$B,$B48,$A:$A,"&gt;="&amp;COUNTIFS($K$1:Q$1,"&lt;&gt;"))),0)</f>
        <v>0.18181818181818182</v>
      </c>
      <c r="R48">
        <f>IFERROR($J48/IF($A48&lt;COUNTIFS($K$1:R$1,"&lt;&gt;"),0,SUMIFS($J:$J,$B:$B,$B48,$A:$A,"&gt;="&amp;COUNTIFS($K$1:R$1,"&lt;&gt;"))),0)</f>
        <v>0</v>
      </c>
      <c r="S48">
        <f>IFERROR($J48/IF($A48&lt;COUNTIFS($K$1:S$1,"&lt;&gt;"),0,SUMIFS($J:$J,$B:$B,$B48,$A:$A,"&gt;="&amp;COUNTIFS($K$1:S$1,"&lt;&gt;"))),0)</f>
        <v>0</v>
      </c>
      <c r="T48">
        <f>IFERROR($J48/IF($A48&lt;COUNTIFS($K$1:T$1,"&lt;&gt;"),0,SUMIFS($J:$J,$B:$B,$B48,$A:$A,"&gt;="&amp;COUNTIFS($K$1:T$1,"&lt;&gt;"))),0)</f>
        <v>0</v>
      </c>
      <c r="U48">
        <f>IFERROR($J48/IF($A48&lt;COUNTIFS($K$1:U$1,"&lt;&gt;"),0,SUMIFS($J:$J,$B:$B,$B48,$A:$A,"&gt;="&amp;COUNTIFS($K$1:U$1,"&lt;&gt;"))),0)</f>
        <v>0</v>
      </c>
      <c r="V48">
        <f>IFERROR($J48/IF($A48&lt;COUNTIFS($K$1:V$1,"&lt;&gt;"),0,SUMIFS($J:$J,$B:$B,$B48,$A:$A,"&gt;="&amp;COUNTIFS($K$1:V$1,"&lt;&gt;"))),0)</f>
        <v>0</v>
      </c>
      <c r="W48">
        <f t="shared" si="24"/>
        <v>8.2191780821917804E-2</v>
      </c>
      <c r="X48">
        <f t="shared" si="4"/>
        <v>8.2191780821917804E-2</v>
      </c>
      <c r="Y48">
        <f t="shared" si="5"/>
        <v>8.2191780821917804E-2</v>
      </c>
      <c r="Z48">
        <f t="shared" si="6"/>
        <v>8.2191780821917804E-2</v>
      </c>
      <c r="AA48">
        <f t="shared" si="7"/>
        <v>8.2191780821917804E-2</v>
      </c>
      <c r="AB48">
        <f t="shared" si="8"/>
        <v>8.2191780821917804E-2</v>
      </c>
      <c r="AC48">
        <f t="shared" si="9"/>
        <v>8.2191780821917804E-2</v>
      </c>
      <c r="AD48">
        <f t="shared" si="10"/>
        <v>8.2191780821917804E-2</v>
      </c>
      <c r="AE48">
        <f t="shared" si="11"/>
        <v>0</v>
      </c>
      <c r="AF48">
        <f t="shared" si="12"/>
        <v>0</v>
      </c>
      <c r="AG48">
        <f t="shared" si="13"/>
        <v>0</v>
      </c>
      <c r="AH48">
        <f t="shared" si="14"/>
        <v>0</v>
      </c>
      <c r="AI48">
        <f t="shared" si="15"/>
        <v>0</v>
      </c>
      <c r="AJ48" s="2" t="str">
        <f t="shared" si="25"/>
        <v>743922</v>
      </c>
    </row>
    <row r="49" spans="1:36" x14ac:dyDescent="0.25">
      <c r="A49">
        <v>8</v>
      </c>
      <c r="B49" s="1">
        <v>43922</v>
      </c>
      <c r="C49" s="1">
        <f t="shared" si="16"/>
        <v>44166</v>
      </c>
      <c r="D49" s="1">
        <f t="shared" si="17"/>
        <v>43936</v>
      </c>
      <c r="E49" s="1">
        <f t="shared" si="18"/>
        <v>44166</v>
      </c>
      <c r="F49" s="1">
        <f t="shared" si="19"/>
        <v>44197</v>
      </c>
      <c r="G49" s="1">
        <f t="shared" si="20"/>
        <v>44301</v>
      </c>
      <c r="H49">
        <f t="shared" si="21"/>
        <v>365</v>
      </c>
      <c r="I49">
        <f t="shared" si="22"/>
        <v>31</v>
      </c>
      <c r="J49">
        <f t="shared" si="23"/>
        <v>8.4931506849315067E-2</v>
      </c>
      <c r="K49">
        <f>IFERROR($J49/IF($A49&lt;COUNTIFS($K$1:K$1,"&lt;&gt;"),0,SUMIFS($J:$J,$B:$B,$B49,$A:$A,"&gt;="&amp;COUNTIFS($K$1:K$1,"&lt;&gt;"))),0)</f>
        <v>8.8825214899713484E-2</v>
      </c>
      <c r="L49">
        <f>IFERROR($J49/IF($A49&lt;COUNTIFS($K$1:L$1,"&lt;&gt;"),0,SUMIFS($J:$J,$B:$B,$B49,$A:$A,"&gt;="&amp;COUNTIFS($K$1:L$1,"&lt;&gt;"))),0)</f>
        <v>9.7484276729559768E-2</v>
      </c>
      <c r="M49">
        <f>IFERROR($J49/IF($A49&lt;COUNTIFS($K$1:M$1,"&lt;&gt;"),0,SUMIFS($J:$J,$B:$B,$B49,$A:$A,"&gt;="&amp;COUNTIFS($K$1:M$1,"&lt;&gt;"))),0)</f>
        <v>0.10763888888888891</v>
      </c>
      <c r="N49">
        <f>IFERROR($J49/IF($A49&lt;COUNTIFS($K$1:N$1,"&lt;&gt;"),0,SUMIFS($J:$J,$B:$B,$B49,$A:$A,"&gt;="&amp;COUNTIFS($K$1:N$1,"&lt;&gt;"))),0)</f>
        <v>0.12062256809338523</v>
      </c>
      <c r="O49">
        <f>IFERROR($J49/IF($A49&lt;COUNTIFS($K$1:O$1,"&lt;&gt;"),0,SUMIFS($J:$J,$B:$B,$B49,$A:$A,"&gt;="&amp;COUNTIFS($K$1:O$1,"&lt;&gt;"))),0)</f>
        <v>0.13716814159292037</v>
      </c>
      <c r="P49">
        <f>IFERROR($J49/IF($A49&lt;COUNTIFS($K$1:P$1,"&lt;&gt;"),0,SUMIFS($J:$J,$B:$B,$B49,$A:$A,"&gt;="&amp;COUNTIFS($K$1:P$1,"&lt;&gt;"))),0)</f>
        <v>0.15816326530612249</v>
      </c>
      <c r="Q49">
        <f>IFERROR($J49/IF($A49&lt;COUNTIFS($K$1:Q$1,"&lt;&gt;"),0,SUMIFS($J:$J,$B:$B,$B49,$A:$A,"&gt;="&amp;COUNTIFS($K$1:Q$1,"&lt;&gt;"))),0)</f>
        <v>0.1878787878787879</v>
      </c>
      <c r="R49">
        <f>IFERROR($J49/IF($A49&lt;COUNTIFS($K$1:R$1,"&lt;&gt;"),0,SUMIFS($J:$J,$B:$B,$B49,$A:$A,"&gt;="&amp;COUNTIFS($K$1:R$1,"&lt;&gt;"))),0)</f>
        <v>0.22962962962962963</v>
      </c>
      <c r="S49">
        <f>IFERROR($J49/IF($A49&lt;COUNTIFS($K$1:S$1,"&lt;&gt;"),0,SUMIFS($J:$J,$B:$B,$B49,$A:$A,"&gt;="&amp;COUNTIFS($K$1:S$1,"&lt;&gt;"))),0)</f>
        <v>0</v>
      </c>
      <c r="T49">
        <f>IFERROR($J49/IF($A49&lt;COUNTIFS($K$1:T$1,"&lt;&gt;"),0,SUMIFS($J:$J,$B:$B,$B49,$A:$A,"&gt;="&amp;COUNTIFS($K$1:T$1,"&lt;&gt;"))),0)</f>
        <v>0</v>
      </c>
      <c r="U49">
        <f>IFERROR($J49/IF($A49&lt;COUNTIFS($K$1:U$1,"&lt;&gt;"),0,SUMIFS($J:$J,$B:$B,$B49,$A:$A,"&gt;="&amp;COUNTIFS($K$1:U$1,"&lt;&gt;"))),0)</f>
        <v>0</v>
      </c>
      <c r="V49">
        <f>IFERROR($J49/IF($A49&lt;COUNTIFS($K$1:V$1,"&lt;&gt;"),0,SUMIFS($J:$J,$B:$B,$B49,$A:$A,"&gt;="&amp;COUNTIFS($K$1:V$1,"&lt;&gt;"))),0)</f>
        <v>0</v>
      </c>
      <c r="W49">
        <f t="shared" si="24"/>
        <v>8.4931506849315067E-2</v>
      </c>
      <c r="X49">
        <f t="shared" si="4"/>
        <v>8.4931506849315067E-2</v>
      </c>
      <c r="Y49">
        <f t="shared" si="5"/>
        <v>8.4931506849315067E-2</v>
      </c>
      <c r="Z49">
        <f t="shared" si="6"/>
        <v>8.4931506849315067E-2</v>
      </c>
      <c r="AA49">
        <f t="shared" si="7"/>
        <v>8.4931506849315067E-2</v>
      </c>
      <c r="AB49">
        <f t="shared" si="8"/>
        <v>8.4931506849315067E-2</v>
      </c>
      <c r="AC49">
        <f t="shared" si="9"/>
        <v>8.4931506849315067E-2</v>
      </c>
      <c r="AD49">
        <f t="shared" si="10"/>
        <v>8.4931506849315067E-2</v>
      </c>
      <c r="AE49">
        <f t="shared" si="11"/>
        <v>8.4931506849315067E-2</v>
      </c>
      <c r="AF49">
        <f t="shared" si="12"/>
        <v>0</v>
      </c>
      <c r="AG49">
        <f t="shared" si="13"/>
        <v>0</v>
      </c>
      <c r="AH49">
        <f t="shared" si="14"/>
        <v>0</v>
      </c>
      <c r="AI49">
        <f t="shared" si="15"/>
        <v>0</v>
      </c>
      <c r="AJ49" s="2" t="str">
        <f t="shared" si="25"/>
        <v>843922</v>
      </c>
    </row>
    <row r="50" spans="1:36" x14ac:dyDescent="0.25">
      <c r="A50">
        <v>9</v>
      </c>
      <c r="B50" s="1">
        <v>43922</v>
      </c>
      <c r="C50" s="1">
        <f t="shared" si="16"/>
        <v>44197</v>
      </c>
      <c r="D50" s="1">
        <f t="shared" si="17"/>
        <v>43936</v>
      </c>
      <c r="E50" s="1">
        <f t="shared" si="18"/>
        <v>44197</v>
      </c>
      <c r="F50" s="1">
        <f t="shared" si="19"/>
        <v>44228</v>
      </c>
      <c r="G50" s="1">
        <f t="shared" si="20"/>
        <v>44301</v>
      </c>
      <c r="H50">
        <f t="shared" si="21"/>
        <v>365</v>
      </c>
      <c r="I50">
        <f t="shared" si="22"/>
        <v>31</v>
      </c>
      <c r="J50">
        <f t="shared" si="23"/>
        <v>8.4931506849315067E-2</v>
      </c>
      <c r="K50">
        <f>IFERROR($J50/IF($A50&lt;COUNTIFS($K$1:K$1,"&lt;&gt;"),0,SUMIFS($J:$J,$B:$B,$B50,$A:$A,"&gt;="&amp;COUNTIFS($K$1:K$1,"&lt;&gt;"))),0)</f>
        <v>8.8825214899713484E-2</v>
      </c>
      <c r="L50">
        <f>IFERROR($J50/IF($A50&lt;COUNTIFS($K$1:L$1,"&lt;&gt;"),0,SUMIFS($J:$J,$B:$B,$B50,$A:$A,"&gt;="&amp;COUNTIFS($K$1:L$1,"&lt;&gt;"))),0)</f>
        <v>9.7484276729559768E-2</v>
      </c>
      <c r="M50">
        <f>IFERROR($J50/IF($A50&lt;COUNTIFS($K$1:M$1,"&lt;&gt;"),0,SUMIFS($J:$J,$B:$B,$B50,$A:$A,"&gt;="&amp;COUNTIFS($K$1:M$1,"&lt;&gt;"))),0)</f>
        <v>0.10763888888888891</v>
      </c>
      <c r="N50">
        <f>IFERROR($J50/IF($A50&lt;COUNTIFS($K$1:N$1,"&lt;&gt;"),0,SUMIFS($J:$J,$B:$B,$B50,$A:$A,"&gt;="&amp;COUNTIFS($K$1:N$1,"&lt;&gt;"))),0)</f>
        <v>0.12062256809338523</v>
      </c>
      <c r="O50">
        <f>IFERROR($J50/IF($A50&lt;COUNTIFS($K$1:O$1,"&lt;&gt;"),0,SUMIFS($J:$J,$B:$B,$B50,$A:$A,"&gt;="&amp;COUNTIFS($K$1:O$1,"&lt;&gt;"))),0)</f>
        <v>0.13716814159292037</v>
      </c>
      <c r="P50">
        <f>IFERROR($J50/IF($A50&lt;COUNTIFS($K$1:P$1,"&lt;&gt;"),0,SUMIFS($J:$J,$B:$B,$B50,$A:$A,"&gt;="&amp;COUNTIFS($K$1:P$1,"&lt;&gt;"))),0)</f>
        <v>0.15816326530612249</v>
      </c>
      <c r="Q50">
        <f>IFERROR($J50/IF($A50&lt;COUNTIFS($K$1:Q$1,"&lt;&gt;"),0,SUMIFS($J:$J,$B:$B,$B50,$A:$A,"&gt;="&amp;COUNTIFS($K$1:Q$1,"&lt;&gt;"))),0)</f>
        <v>0.1878787878787879</v>
      </c>
      <c r="R50">
        <f>IFERROR($J50/IF($A50&lt;COUNTIFS($K$1:R$1,"&lt;&gt;"),0,SUMIFS($J:$J,$B:$B,$B50,$A:$A,"&gt;="&amp;COUNTIFS($K$1:R$1,"&lt;&gt;"))),0)</f>
        <v>0.22962962962962963</v>
      </c>
      <c r="S50">
        <f>IFERROR($J50/IF($A50&lt;COUNTIFS($K$1:S$1,"&lt;&gt;"),0,SUMIFS($J:$J,$B:$B,$B50,$A:$A,"&gt;="&amp;COUNTIFS($K$1:S$1,"&lt;&gt;"))),0)</f>
        <v>0.29807692307692307</v>
      </c>
      <c r="T50">
        <f>IFERROR($J50/IF($A50&lt;COUNTIFS($K$1:T$1,"&lt;&gt;"),0,SUMIFS($J:$J,$B:$B,$B50,$A:$A,"&gt;="&amp;COUNTIFS($K$1:T$1,"&lt;&gt;"))),0)</f>
        <v>0</v>
      </c>
      <c r="U50">
        <f>IFERROR($J50/IF($A50&lt;COUNTIFS($K$1:U$1,"&lt;&gt;"),0,SUMIFS($J:$J,$B:$B,$B50,$A:$A,"&gt;="&amp;COUNTIFS($K$1:U$1,"&lt;&gt;"))),0)</f>
        <v>0</v>
      </c>
      <c r="V50">
        <f>IFERROR($J50/IF($A50&lt;COUNTIFS($K$1:V$1,"&lt;&gt;"),0,SUMIFS($J:$J,$B:$B,$B50,$A:$A,"&gt;="&amp;COUNTIFS($K$1:V$1,"&lt;&gt;"))),0)</f>
        <v>0</v>
      </c>
      <c r="W50">
        <f t="shared" si="24"/>
        <v>8.4931506849315067E-2</v>
      </c>
      <c r="X50">
        <f t="shared" si="4"/>
        <v>8.4931506849315067E-2</v>
      </c>
      <c r="Y50">
        <f t="shared" si="5"/>
        <v>8.4931506849315067E-2</v>
      </c>
      <c r="Z50">
        <f t="shared" si="6"/>
        <v>8.4931506849315067E-2</v>
      </c>
      <c r="AA50">
        <f t="shared" si="7"/>
        <v>8.4931506849315067E-2</v>
      </c>
      <c r="AB50">
        <f t="shared" si="8"/>
        <v>8.4931506849315067E-2</v>
      </c>
      <c r="AC50">
        <f t="shared" si="9"/>
        <v>8.4931506849315067E-2</v>
      </c>
      <c r="AD50">
        <f t="shared" si="10"/>
        <v>8.4931506849315067E-2</v>
      </c>
      <c r="AE50">
        <f t="shared" si="11"/>
        <v>8.4931506849315067E-2</v>
      </c>
      <c r="AF50">
        <f t="shared" si="12"/>
        <v>8.4931506849315067E-2</v>
      </c>
      <c r="AG50">
        <f t="shared" si="13"/>
        <v>0</v>
      </c>
      <c r="AH50">
        <f t="shared" si="14"/>
        <v>0</v>
      </c>
      <c r="AI50">
        <f t="shared" si="15"/>
        <v>0</v>
      </c>
      <c r="AJ50" s="2" t="str">
        <f t="shared" si="25"/>
        <v>943922</v>
      </c>
    </row>
    <row r="51" spans="1:36" x14ac:dyDescent="0.25">
      <c r="A51">
        <v>10</v>
      </c>
      <c r="B51" s="1">
        <v>43922</v>
      </c>
      <c r="C51" s="1">
        <f t="shared" si="16"/>
        <v>44228</v>
      </c>
      <c r="D51" s="1">
        <f t="shared" si="17"/>
        <v>43936</v>
      </c>
      <c r="E51" s="1">
        <f t="shared" si="18"/>
        <v>44228</v>
      </c>
      <c r="F51" s="1">
        <f t="shared" si="19"/>
        <v>44256</v>
      </c>
      <c r="G51" s="1">
        <f t="shared" si="20"/>
        <v>44301</v>
      </c>
      <c r="H51">
        <f t="shared" si="21"/>
        <v>365</v>
      </c>
      <c r="I51">
        <f t="shared" si="22"/>
        <v>28</v>
      </c>
      <c r="J51">
        <f t="shared" si="23"/>
        <v>7.6712328767123292E-2</v>
      </c>
      <c r="K51">
        <f>IFERROR($J51/IF($A51&lt;COUNTIFS($K$1:K$1,"&lt;&gt;"),0,SUMIFS($J:$J,$B:$B,$B51,$A:$A,"&gt;="&amp;COUNTIFS($K$1:K$1,"&lt;&gt;"))),0)</f>
        <v>8.0229226361031539E-2</v>
      </c>
      <c r="L51">
        <f>IFERROR($J51/IF($A51&lt;COUNTIFS($K$1:L$1,"&lt;&gt;"),0,SUMIFS($J:$J,$B:$B,$B51,$A:$A,"&gt;="&amp;COUNTIFS($K$1:L$1,"&lt;&gt;"))),0)</f>
        <v>8.8050314465408827E-2</v>
      </c>
      <c r="M51">
        <f>IFERROR($J51/IF($A51&lt;COUNTIFS($K$1:M$1,"&lt;&gt;"),0,SUMIFS($J:$J,$B:$B,$B51,$A:$A,"&gt;="&amp;COUNTIFS($K$1:M$1,"&lt;&gt;"))),0)</f>
        <v>9.7222222222222238E-2</v>
      </c>
      <c r="N51">
        <f>IFERROR($J51/IF($A51&lt;COUNTIFS($K$1:N$1,"&lt;&gt;"),0,SUMIFS($J:$J,$B:$B,$B51,$A:$A,"&gt;="&amp;COUNTIFS($K$1:N$1,"&lt;&gt;"))),0)</f>
        <v>0.10894941634241248</v>
      </c>
      <c r="O51">
        <f>IFERROR($J51/IF($A51&lt;COUNTIFS($K$1:O$1,"&lt;&gt;"),0,SUMIFS($J:$J,$B:$B,$B51,$A:$A,"&gt;="&amp;COUNTIFS($K$1:O$1,"&lt;&gt;"))),0)</f>
        <v>0.12389380530973454</v>
      </c>
      <c r="P51">
        <f>IFERROR($J51/IF($A51&lt;COUNTIFS($K$1:P$1,"&lt;&gt;"),0,SUMIFS($J:$J,$B:$B,$B51,$A:$A,"&gt;="&amp;COUNTIFS($K$1:P$1,"&lt;&gt;"))),0)</f>
        <v>0.14285714285714288</v>
      </c>
      <c r="Q51">
        <f>IFERROR($J51/IF($A51&lt;COUNTIFS($K$1:Q$1,"&lt;&gt;"),0,SUMIFS($J:$J,$B:$B,$B51,$A:$A,"&gt;="&amp;COUNTIFS($K$1:Q$1,"&lt;&gt;"))),0)</f>
        <v>0.16969696969696971</v>
      </c>
      <c r="R51">
        <f>IFERROR($J51/IF($A51&lt;COUNTIFS($K$1:R$1,"&lt;&gt;"),0,SUMIFS($J:$J,$B:$B,$B51,$A:$A,"&gt;="&amp;COUNTIFS($K$1:R$1,"&lt;&gt;"))),0)</f>
        <v>0.20740740740740743</v>
      </c>
      <c r="S51">
        <f>IFERROR($J51/IF($A51&lt;COUNTIFS($K$1:S$1,"&lt;&gt;"),0,SUMIFS($J:$J,$B:$B,$B51,$A:$A,"&gt;="&amp;COUNTIFS($K$1:S$1,"&lt;&gt;"))),0)</f>
        <v>0.26923076923076927</v>
      </c>
      <c r="T51">
        <f>IFERROR($J51/IF($A51&lt;COUNTIFS($K$1:T$1,"&lt;&gt;"),0,SUMIFS($J:$J,$B:$B,$B51,$A:$A,"&gt;="&amp;COUNTIFS($K$1:T$1,"&lt;&gt;"))),0)</f>
        <v>0.38356164383561642</v>
      </c>
      <c r="U51">
        <f>IFERROR($J51/IF($A51&lt;COUNTIFS($K$1:U$1,"&lt;&gt;"),0,SUMIFS($J:$J,$B:$B,$B51,$A:$A,"&gt;="&amp;COUNTIFS($K$1:U$1,"&lt;&gt;"))),0)</f>
        <v>0</v>
      </c>
      <c r="V51">
        <f>IFERROR($J51/IF($A51&lt;COUNTIFS($K$1:V$1,"&lt;&gt;"),0,SUMIFS($J:$J,$B:$B,$B51,$A:$A,"&gt;="&amp;COUNTIFS($K$1:V$1,"&lt;&gt;"))),0)</f>
        <v>0</v>
      </c>
      <c r="W51">
        <f t="shared" si="24"/>
        <v>7.6712328767123292E-2</v>
      </c>
      <c r="X51">
        <f t="shared" si="4"/>
        <v>7.6712328767123292E-2</v>
      </c>
      <c r="Y51">
        <f t="shared" si="5"/>
        <v>7.6712328767123292E-2</v>
      </c>
      <c r="Z51">
        <f t="shared" si="6"/>
        <v>7.6712328767123292E-2</v>
      </c>
      <c r="AA51">
        <f t="shared" si="7"/>
        <v>7.6712328767123292E-2</v>
      </c>
      <c r="AB51">
        <f t="shared" si="8"/>
        <v>7.6712328767123292E-2</v>
      </c>
      <c r="AC51">
        <f t="shared" si="9"/>
        <v>7.6712328767123292E-2</v>
      </c>
      <c r="AD51">
        <f t="shared" si="10"/>
        <v>7.6712328767123292E-2</v>
      </c>
      <c r="AE51">
        <f t="shared" si="11"/>
        <v>7.6712328767123292E-2</v>
      </c>
      <c r="AF51">
        <f t="shared" si="12"/>
        <v>7.6712328767123292E-2</v>
      </c>
      <c r="AG51">
        <f t="shared" si="13"/>
        <v>7.6712328767123292E-2</v>
      </c>
      <c r="AH51">
        <f t="shared" si="14"/>
        <v>0</v>
      </c>
      <c r="AI51">
        <f t="shared" si="15"/>
        <v>0</v>
      </c>
      <c r="AJ51" s="2" t="str">
        <f t="shared" si="25"/>
        <v>1043922</v>
      </c>
    </row>
    <row r="52" spans="1:36" x14ac:dyDescent="0.25">
      <c r="A52">
        <v>11</v>
      </c>
      <c r="B52" s="1">
        <v>43922</v>
      </c>
      <c r="C52" s="1">
        <f t="shared" si="16"/>
        <v>44256</v>
      </c>
      <c r="D52" s="1">
        <f t="shared" si="17"/>
        <v>43936</v>
      </c>
      <c r="E52" s="1">
        <f t="shared" si="18"/>
        <v>44256</v>
      </c>
      <c r="F52" s="1">
        <f t="shared" si="19"/>
        <v>44287</v>
      </c>
      <c r="G52" s="1">
        <f t="shared" si="20"/>
        <v>44301</v>
      </c>
      <c r="H52">
        <f t="shared" si="21"/>
        <v>365</v>
      </c>
      <c r="I52">
        <f t="shared" si="22"/>
        <v>31</v>
      </c>
      <c r="J52">
        <f t="shared" si="23"/>
        <v>8.4931506849315067E-2</v>
      </c>
      <c r="K52">
        <f>IFERROR($J52/IF($A52&lt;COUNTIFS($K$1:K$1,"&lt;&gt;"),0,SUMIFS($J:$J,$B:$B,$B52,$A:$A,"&gt;="&amp;COUNTIFS($K$1:K$1,"&lt;&gt;"))),0)</f>
        <v>8.8825214899713484E-2</v>
      </c>
      <c r="L52">
        <f>IFERROR($J52/IF($A52&lt;COUNTIFS($K$1:L$1,"&lt;&gt;"),0,SUMIFS($J:$J,$B:$B,$B52,$A:$A,"&gt;="&amp;COUNTIFS($K$1:L$1,"&lt;&gt;"))),0)</f>
        <v>9.7484276729559768E-2</v>
      </c>
      <c r="M52">
        <f>IFERROR($J52/IF($A52&lt;COUNTIFS($K$1:M$1,"&lt;&gt;"),0,SUMIFS($J:$J,$B:$B,$B52,$A:$A,"&gt;="&amp;COUNTIFS($K$1:M$1,"&lt;&gt;"))),0)</f>
        <v>0.10763888888888891</v>
      </c>
      <c r="N52">
        <f>IFERROR($J52/IF($A52&lt;COUNTIFS($K$1:N$1,"&lt;&gt;"),0,SUMIFS($J:$J,$B:$B,$B52,$A:$A,"&gt;="&amp;COUNTIFS($K$1:N$1,"&lt;&gt;"))),0)</f>
        <v>0.12062256809338523</v>
      </c>
      <c r="O52">
        <f>IFERROR($J52/IF($A52&lt;COUNTIFS($K$1:O$1,"&lt;&gt;"),0,SUMIFS($J:$J,$B:$B,$B52,$A:$A,"&gt;="&amp;COUNTIFS($K$1:O$1,"&lt;&gt;"))),0)</f>
        <v>0.13716814159292037</v>
      </c>
      <c r="P52">
        <f>IFERROR($J52/IF($A52&lt;COUNTIFS($K$1:P$1,"&lt;&gt;"),0,SUMIFS($J:$J,$B:$B,$B52,$A:$A,"&gt;="&amp;COUNTIFS($K$1:P$1,"&lt;&gt;"))),0)</f>
        <v>0.15816326530612249</v>
      </c>
      <c r="Q52">
        <f>IFERROR($J52/IF($A52&lt;COUNTIFS($K$1:Q$1,"&lt;&gt;"),0,SUMIFS($J:$J,$B:$B,$B52,$A:$A,"&gt;="&amp;COUNTIFS($K$1:Q$1,"&lt;&gt;"))),0)</f>
        <v>0.1878787878787879</v>
      </c>
      <c r="R52">
        <f>IFERROR($J52/IF($A52&lt;COUNTIFS($K$1:R$1,"&lt;&gt;"),0,SUMIFS($J:$J,$B:$B,$B52,$A:$A,"&gt;="&amp;COUNTIFS($K$1:R$1,"&lt;&gt;"))),0)</f>
        <v>0.22962962962962963</v>
      </c>
      <c r="S52">
        <f>IFERROR($J52/IF($A52&lt;COUNTIFS($K$1:S$1,"&lt;&gt;"),0,SUMIFS($J:$J,$B:$B,$B52,$A:$A,"&gt;="&amp;COUNTIFS($K$1:S$1,"&lt;&gt;"))),0)</f>
        <v>0.29807692307692307</v>
      </c>
      <c r="T52">
        <f>IFERROR($J52/IF($A52&lt;COUNTIFS($K$1:T$1,"&lt;&gt;"),0,SUMIFS($J:$J,$B:$B,$B52,$A:$A,"&gt;="&amp;COUNTIFS($K$1:T$1,"&lt;&gt;"))),0)</f>
        <v>0.42465753424657532</v>
      </c>
      <c r="U52">
        <f>IFERROR($J52/IF($A52&lt;COUNTIFS($K$1:U$1,"&lt;&gt;"),0,SUMIFS($J:$J,$B:$B,$B52,$A:$A,"&gt;="&amp;COUNTIFS($K$1:U$1,"&lt;&gt;"))),0)</f>
        <v>0.68888888888888888</v>
      </c>
      <c r="V52">
        <f>IFERROR($J52/IF($A52&lt;COUNTIFS($K$1:V$1,"&lt;&gt;"),0,SUMIFS($J:$J,$B:$B,$B52,$A:$A,"&gt;="&amp;COUNTIFS($K$1:V$1,"&lt;&gt;"))),0)</f>
        <v>0</v>
      </c>
      <c r="W52">
        <f t="shared" si="24"/>
        <v>8.4931506849315067E-2</v>
      </c>
      <c r="X52">
        <f t="shared" si="4"/>
        <v>8.4931506849315067E-2</v>
      </c>
      <c r="Y52">
        <f t="shared" si="5"/>
        <v>8.4931506849315067E-2</v>
      </c>
      <c r="Z52">
        <f t="shared" si="6"/>
        <v>8.4931506849315067E-2</v>
      </c>
      <c r="AA52">
        <f t="shared" si="7"/>
        <v>8.4931506849315067E-2</v>
      </c>
      <c r="AB52">
        <f t="shared" si="8"/>
        <v>8.4931506849315067E-2</v>
      </c>
      <c r="AC52">
        <f t="shared" si="9"/>
        <v>8.4931506849315067E-2</v>
      </c>
      <c r="AD52">
        <f t="shared" si="10"/>
        <v>8.4931506849315067E-2</v>
      </c>
      <c r="AE52">
        <f t="shared" si="11"/>
        <v>8.4931506849315067E-2</v>
      </c>
      <c r="AF52">
        <f t="shared" si="12"/>
        <v>8.4931506849315067E-2</v>
      </c>
      <c r="AG52">
        <f t="shared" si="13"/>
        <v>8.4931506849315067E-2</v>
      </c>
      <c r="AH52">
        <f t="shared" si="14"/>
        <v>8.4931506849315067E-2</v>
      </c>
      <c r="AI52">
        <f t="shared" si="15"/>
        <v>0</v>
      </c>
      <c r="AJ52" s="2" t="str">
        <f t="shared" si="25"/>
        <v>1143922</v>
      </c>
    </row>
    <row r="53" spans="1:36" x14ac:dyDescent="0.25">
      <c r="A53">
        <v>12</v>
      </c>
      <c r="B53" s="1">
        <v>43922</v>
      </c>
      <c r="C53" s="1">
        <f t="shared" si="16"/>
        <v>44287</v>
      </c>
      <c r="D53" s="1">
        <f t="shared" si="17"/>
        <v>43936</v>
      </c>
      <c r="E53" s="1">
        <f t="shared" si="18"/>
        <v>44287</v>
      </c>
      <c r="F53" s="1">
        <f t="shared" si="19"/>
        <v>44301</v>
      </c>
      <c r="G53" s="1">
        <f t="shared" si="20"/>
        <v>44301</v>
      </c>
      <c r="H53">
        <f t="shared" si="21"/>
        <v>365</v>
      </c>
      <c r="I53">
        <f t="shared" si="22"/>
        <v>14</v>
      </c>
      <c r="J53">
        <f t="shared" si="23"/>
        <v>3.8356164383561646E-2</v>
      </c>
      <c r="K53">
        <f>IFERROR($J53/IF($A53&lt;COUNTIFS($K$1:K$1,"&lt;&gt;"),0,SUMIFS($J:$J,$B:$B,$B53,$A:$A,"&gt;="&amp;COUNTIFS($K$1:K$1,"&lt;&gt;"))),0)</f>
        <v>4.0114613180515769E-2</v>
      </c>
      <c r="L53">
        <f>IFERROR($J53/IF($A53&lt;COUNTIFS($K$1:L$1,"&lt;&gt;"),0,SUMIFS($J:$J,$B:$B,$B53,$A:$A,"&gt;="&amp;COUNTIFS($K$1:L$1,"&lt;&gt;"))),0)</f>
        <v>4.4025157232704414E-2</v>
      </c>
      <c r="M53">
        <f>IFERROR($J53/IF($A53&lt;COUNTIFS($K$1:M$1,"&lt;&gt;"),0,SUMIFS($J:$J,$B:$B,$B53,$A:$A,"&gt;="&amp;COUNTIFS($K$1:M$1,"&lt;&gt;"))),0)</f>
        <v>4.8611111111111119E-2</v>
      </c>
      <c r="N53">
        <f>IFERROR($J53/IF($A53&lt;COUNTIFS($K$1:N$1,"&lt;&gt;"),0,SUMIFS($J:$J,$B:$B,$B53,$A:$A,"&gt;="&amp;COUNTIFS($K$1:N$1,"&lt;&gt;"))),0)</f>
        <v>5.447470817120624E-2</v>
      </c>
      <c r="O53">
        <f>IFERROR($J53/IF($A53&lt;COUNTIFS($K$1:O$1,"&lt;&gt;"),0,SUMIFS($J:$J,$B:$B,$B53,$A:$A,"&gt;="&amp;COUNTIFS($K$1:O$1,"&lt;&gt;"))),0)</f>
        <v>6.194690265486727E-2</v>
      </c>
      <c r="P53">
        <f>IFERROR($J53/IF($A53&lt;COUNTIFS($K$1:P$1,"&lt;&gt;"),0,SUMIFS($J:$J,$B:$B,$B53,$A:$A,"&gt;="&amp;COUNTIFS($K$1:P$1,"&lt;&gt;"))),0)</f>
        <v>7.1428571428571438E-2</v>
      </c>
      <c r="Q53">
        <f>IFERROR($J53/IF($A53&lt;COUNTIFS($K$1:Q$1,"&lt;&gt;"),0,SUMIFS($J:$J,$B:$B,$B53,$A:$A,"&gt;="&amp;COUNTIFS($K$1:Q$1,"&lt;&gt;"))),0)</f>
        <v>8.4848484848484854E-2</v>
      </c>
      <c r="R53">
        <f>IFERROR($J53/IF($A53&lt;COUNTIFS($K$1:R$1,"&lt;&gt;"),0,SUMIFS($J:$J,$B:$B,$B53,$A:$A,"&gt;="&amp;COUNTIFS($K$1:R$1,"&lt;&gt;"))),0)</f>
        <v>0.10370370370370371</v>
      </c>
      <c r="S53">
        <f>IFERROR($J53/IF($A53&lt;COUNTIFS($K$1:S$1,"&lt;&gt;"),0,SUMIFS($J:$J,$B:$B,$B53,$A:$A,"&gt;="&amp;COUNTIFS($K$1:S$1,"&lt;&gt;"))),0)</f>
        <v>0.13461538461538464</v>
      </c>
      <c r="T53">
        <f>IFERROR($J53/IF($A53&lt;COUNTIFS($K$1:T$1,"&lt;&gt;"),0,SUMIFS($J:$J,$B:$B,$B53,$A:$A,"&gt;="&amp;COUNTIFS($K$1:T$1,"&lt;&gt;"))),0)</f>
        <v>0.19178082191780821</v>
      </c>
      <c r="U53">
        <f>IFERROR($J53/IF($A53&lt;COUNTIFS($K$1:U$1,"&lt;&gt;"),0,SUMIFS($J:$J,$B:$B,$B53,$A:$A,"&gt;="&amp;COUNTIFS($K$1:U$1,"&lt;&gt;"))),0)</f>
        <v>0.31111111111111117</v>
      </c>
      <c r="V53">
        <f>IFERROR($J53/IF($A53&lt;COUNTIFS($K$1:V$1,"&lt;&gt;"),0,SUMIFS($J:$J,$B:$B,$B53,$A:$A,"&gt;="&amp;COUNTIFS($K$1:V$1,"&lt;&gt;"))),0)</f>
        <v>1</v>
      </c>
      <c r="W53">
        <f t="shared" si="24"/>
        <v>3.8356164383561646E-2</v>
      </c>
      <c r="X53">
        <f t="shared" si="4"/>
        <v>3.8356164383561646E-2</v>
      </c>
      <c r="Y53">
        <f t="shared" si="5"/>
        <v>3.8356164383561646E-2</v>
      </c>
      <c r="Z53">
        <f t="shared" si="6"/>
        <v>3.8356164383561646E-2</v>
      </c>
      <c r="AA53">
        <f t="shared" si="7"/>
        <v>3.8356164383561646E-2</v>
      </c>
      <c r="AB53">
        <f t="shared" si="8"/>
        <v>3.8356164383561646E-2</v>
      </c>
      <c r="AC53">
        <f t="shared" si="9"/>
        <v>3.8356164383561646E-2</v>
      </c>
      <c r="AD53">
        <f t="shared" si="10"/>
        <v>3.8356164383561646E-2</v>
      </c>
      <c r="AE53">
        <f t="shared" si="11"/>
        <v>3.8356164383561646E-2</v>
      </c>
      <c r="AF53">
        <f t="shared" si="12"/>
        <v>3.8356164383561646E-2</v>
      </c>
      <c r="AG53">
        <f t="shared" si="13"/>
        <v>3.8356164383561646E-2</v>
      </c>
      <c r="AH53">
        <f t="shared" si="14"/>
        <v>3.8356164383561646E-2</v>
      </c>
      <c r="AI53">
        <f t="shared" si="15"/>
        <v>3.8356164383561646E-2</v>
      </c>
      <c r="AJ53" s="2" t="str">
        <f t="shared" si="25"/>
        <v>1243922</v>
      </c>
    </row>
    <row r="54" spans="1:36" x14ac:dyDescent="0.25">
      <c r="A54">
        <v>0</v>
      </c>
      <c r="B54" s="1">
        <v>43952</v>
      </c>
      <c r="C54" s="1">
        <f t="shared" si="16"/>
        <v>43952</v>
      </c>
      <c r="D54" s="1">
        <f t="shared" si="17"/>
        <v>43966</v>
      </c>
      <c r="E54" s="1">
        <f t="shared" si="18"/>
        <v>43966</v>
      </c>
      <c r="F54" s="1">
        <f t="shared" si="19"/>
        <v>43983</v>
      </c>
      <c r="G54" s="1">
        <f t="shared" si="20"/>
        <v>44331</v>
      </c>
      <c r="H54">
        <f t="shared" si="21"/>
        <v>365</v>
      </c>
      <c r="I54">
        <f t="shared" si="22"/>
        <v>17</v>
      </c>
      <c r="J54">
        <f t="shared" si="23"/>
        <v>4.6575342465753428E-2</v>
      </c>
      <c r="K54">
        <f>IFERROR($J54/IF($A54&lt;COUNTIFS($K$1:K$1,"&lt;&gt;"),0,SUMIFS($J:$J,$B:$B,$B54,$A:$A,"&gt;="&amp;COUNTIFS($K$1:K$1,"&lt;&gt;"))),0)</f>
        <v>0</v>
      </c>
      <c r="L54">
        <f>IFERROR($J54/IF($A54&lt;COUNTIFS($K$1:L$1,"&lt;&gt;"),0,SUMIFS($J:$J,$B:$B,$B54,$A:$A,"&gt;="&amp;COUNTIFS($K$1:L$1,"&lt;&gt;"))),0)</f>
        <v>0</v>
      </c>
      <c r="M54">
        <f>IFERROR($J54/IF($A54&lt;COUNTIFS($K$1:M$1,"&lt;&gt;"),0,SUMIFS($J:$J,$B:$B,$B54,$A:$A,"&gt;="&amp;COUNTIFS($K$1:M$1,"&lt;&gt;"))),0)</f>
        <v>0</v>
      </c>
      <c r="N54">
        <f>IFERROR($J54/IF($A54&lt;COUNTIFS($K$1:N$1,"&lt;&gt;"),0,SUMIFS($J:$J,$B:$B,$B54,$A:$A,"&gt;="&amp;COUNTIFS($K$1:N$1,"&lt;&gt;"))),0)</f>
        <v>0</v>
      </c>
      <c r="O54">
        <f>IFERROR($J54/IF($A54&lt;COUNTIFS($K$1:O$1,"&lt;&gt;"),0,SUMIFS($J:$J,$B:$B,$B54,$A:$A,"&gt;="&amp;COUNTIFS($K$1:O$1,"&lt;&gt;"))),0)</f>
        <v>0</v>
      </c>
      <c r="P54">
        <f>IFERROR($J54/IF($A54&lt;COUNTIFS($K$1:P$1,"&lt;&gt;"),0,SUMIFS($J:$J,$B:$B,$B54,$A:$A,"&gt;="&amp;COUNTIFS($K$1:P$1,"&lt;&gt;"))),0)</f>
        <v>0</v>
      </c>
      <c r="Q54">
        <f>IFERROR($J54/IF($A54&lt;COUNTIFS($K$1:Q$1,"&lt;&gt;"),0,SUMIFS($J:$J,$B:$B,$B54,$A:$A,"&gt;="&amp;COUNTIFS($K$1:Q$1,"&lt;&gt;"))),0)</f>
        <v>0</v>
      </c>
      <c r="R54">
        <f>IFERROR($J54/IF($A54&lt;COUNTIFS($K$1:R$1,"&lt;&gt;"),0,SUMIFS($J:$J,$B:$B,$B54,$A:$A,"&gt;="&amp;COUNTIFS($K$1:R$1,"&lt;&gt;"))),0)</f>
        <v>0</v>
      </c>
      <c r="S54">
        <f>IFERROR($J54/IF($A54&lt;COUNTIFS($K$1:S$1,"&lt;&gt;"),0,SUMIFS($J:$J,$B:$B,$B54,$A:$A,"&gt;="&amp;COUNTIFS($K$1:S$1,"&lt;&gt;"))),0)</f>
        <v>0</v>
      </c>
      <c r="T54">
        <f>IFERROR($J54/IF($A54&lt;COUNTIFS($K$1:T$1,"&lt;&gt;"),0,SUMIFS($J:$J,$B:$B,$B54,$A:$A,"&gt;="&amp;COUNTIFS($K$1:T$1,"&lt;&gt;"))),0)</f>
        <v>0</v>
      </c>
      <c r="U54">
        <f>IFERROR($J54/IF($A54&lt;COUNTIFS($K$1:U$1,"&lt;&gt;"),0,SUMIFS($J:$J,$B:$B,$B54,$A:$A,"&gt;="&amp;COUNTIFS($K$1:U$1,"&lt;&gt;"))),0)</f>
        <v>0</v>
      </c>
      <c r="V54">
        <f>IFERROR($J54/IF($A54&lt;COUNTIFS($K$1:V$1,"&lt;&gt;"),0,SUMIFS($J:$J,$B:$B,$B54,$A:$A,"&gt;="&amp;COUNTIFS($K$1:V$1,"&lt;&gt;"))),0)</f>
        <v>0</v>
      </c>
      <c r="W54">
        <f t="shared" si="24"/>
        <v>4.6575342465753428E-2</v>
      </c>
      <c r="X54">
        <f t="shared" si="4"/>
        <v>0</v>
      </c>
      <c r="Y54">
        <f t="shared" si="5"/>
        <v>0</v>
      </c>
      <c r="Z54">
        <f t="shared" si="6"/>
        <v>0</v>
      </c>
      <c r="AA54">
        <f t="shared" si="7"/>
        <v>0</v>
      </c>
      <c r="AB54">
        <f t="shared" si="8"/>
        <v>0</v>
      </c>
      <c r="AC54">
        <f t="shared" si="9"/>
        <v>0</v>
      </c>
      <c r="AD54">
        <f t="shared" si="10"/>
        <v>0</v>
      </c>
      <c r="AE54">
        <f t="shared" si="11"/>
        <v>0</v>
      </c>
      <c r="AF54">
        <f t="shared" si="12"/>
        <v>0</v>
      </c>
      <c r="AG54">
        <f t="shared" si="13"/>
        <v>0</v>
      </c>
      <c r="AH54">
        <f t="shared" si="14"/>
        <v>0</v>
      </c>
      <c r="AI54">
        <f t="shared" si="15"/>
        <v>0</v>
      </c>
      <c r="AJ54" s="2" t="str">
        <f t="shared" si="25"/>
        <v>043952</v>
      </c>
    </row>
    <row r="55" spans="1:36" x14ac:dyDescent="0.25">
      <c r="A55">
        <v>1</v>
      </c>
      <c r="B55" s="1">
        <v>43952</v>
      </c>
      <c r="C55" s="1">
        <f t="shared" si="16"/>
        <v>43983</v>
      </c>
      <c r="D55" s="1">
        <f t="shared" si="17"/>
        <v>43966</v>
      </c>
      <c r="E55" s="1">
        <f t="shared" si="18"/>
        <v>43983</v>
      </c>
      <c r="F55" s="1">
        <f t="shared" si="19"/>
        <v>44013</v>
      </c>
      <c r="G55" s="1">
        <f t="shared" si="20"/>
        <v>44331</v>
      </c>
      <c r="H55">
        <f t="shared" si="21"/>
        <v>365</v>
      </c>
      <c r="I55">
        <f t="shared" si="22"/>
        <v>30</v>
      </c>
      <c r="J55">
        <f t="shared" si="23"/>
        <v>8.2191780821917804E-2</v>
      </c>
      <c r="K55">
        <f>IFERROR($J55/IF($A55&lt;COUNTIFS($K$1:K$1,"&lt;&gt;"),0,SUMIFS($J:$J,$B:$B,$B55,$A:$A,"&gt;="&amp;COUNTIFS($K$1:K$1,"&lt;&gt;"))),0)</f>
        <v>8.6206896551724144E-2</v>
      </c>
      <c r="L55">
        <f>IFERROR($J55/IF($A55&lt;COUNTIFS($K$1:L$1,"&lt;&gt;"),0,SUMIFS($J:$J,$B:$B,$B55,$A:$A,"&gt;="&amp;COUNTIFS($K$1:L$1,"&lt;&gt;"))),0)</f>
        <v>0</v>
      </c>
      <c r="M55">
        <f>IFERROR($J55/IF($A55&lt;COUNTIFS($K$1:M$1,"&lt;&gt;"),0,SUMIFS($J:$J,$B:$B,$B55,$A:$A,"&gt;="&amp;COUNTIFS($K$1:M$1,"&lt;&gt;"))),0)</f>
        <v>0</v>
      </c>
      <c r="N55">
        <f>IFERROR($J55/IF($A55&lt;COUNTIFS($K$1:N$1,"&lt;&gt;"),0,SUMIFS($J:$J,$B:$B,$B55,$A:$A,"&gt;="&amp;COUNTIFS($K$1:N$1,"&lt;&gt;"))),0)</f>
        <v>0</v>
      </c>
      <c r="O55">
        <f>IFERROR($J55/IF($A55&lt;COUNTIFS($K$1:O$1,"&lt;&gt;"),0,SUMIFS($J:$J,$B:$B,$B55,$A:$A,"&gt;="&amp;COUNTIFS($K$1:O$1,"&lt;&gt;"))),0)</f>
        <v>0</v>
      </c>
      <c r="P55">
        <f>IFERROR($J55/IF($A55&lt;COUNTIFS($K$1:P$1,"&lt;&gt;"),0,SUMIFS($J:$J,$B:$B,$B55,$A:$A,"&gt;="&amp;COUNTIFS($K$1:P$1,"&lt;&gt;"))),0)</f>
        <v>0</v>
      </c>
      <c r="Q55">
        <f>IFERROR($J55/IF($A55&lt;COUNTIFS($K$1:Q$1,"&lt;&gt;"),0,SUMIFS($J:$J,$B:$B,$B55,$A:$A,"&gt;="&amp;COUNTIFS($K$1:Q$1,"&lt;&gt;"))),0)</f>
        <v>0</v>
      </c>
      <c r="R55">
        <f>IFERROR($J55/IF($A55&lt;COUNTIFS($K$1:R$1,"&lt;&gt;"),0,SUMIFS($J:$J,$B:$B,$B55,$A:$A,"&gt;="&amp;COUNTIFS($K$1:R$1,"&lt;&gt;"))),0)</f>
        <v>0</v>
      </c>
      <c r="S55">
        <f>IFERROR($J55/IF($A55&lt;COUNTIFS($K$1:S$1,"&lt;&gt;"),0,SUMIFS($J:$J,$B:$B,$B55,$A:$A,"&gt;="&amp;COUNTIFS($K$1:S$1,"&lt;&gt;"))),0)</f>
        <v>0</v>
      </c>
      <c r="T55">
        <f>IFERROR($J55/IF($A55&lt;COUNTIFS($K$1:T$1,"&lt;&gt;"),0,SUMIFS($J:$J,$B:$B,$B55,$A:$A,"&gt;="&amp;COUNTIFS($K$1:T$1,"&lt;&gt;"))),0)</f>
        <v>0</v>
      </c>
      <c r="U55">
        <f>IFERROR($J55/IF($A55&lt;COUNTIFS($K$1:U$1,"&lt;&gt;"),0,SUMIFS($J:$J,$B:$B,$B55,$A:$A,"&gt;="&amp;COUNTIFS($K$1:U$1,"&lt;&gt;"))),0)</f>
        <v>0</v>
      </c>
      <c r="V55">
        <f>IFERROR($J55/IF($A55&lt;COUNTIFS($K$1:V$1,"&lt;&gt;"),0,SUMIFS($J:$J,$B:$B,$B55,$A:$A,"&gt;="&amp;COUNTIFS($K$1:V$1,"&lt;&gt;"))),0)</f>
        <v>0</v>
      </c>
      <c r="W55">
        <f t="shared" si="24"/>
        <v>8.2191780821917804E-2</v>
      </c>
      <c r="X55">
        <f t="shared" si="4"/>
        <v>8.2191780821917804E-2</v>
      </c>
      <c r="Y55">
        <f t="shared" si="5"/>
        <v>0</v>
      </c>
      <c r="Z55">
        <f t="shared" si="6"/>
        <v>0</v>
      </c>
      <c r="AA55">
        <f t="shared" si="7"/>
        <v>0</v>
      </c>
      <c r="AB55">
        <f t="shared" si="8"/>
        <v>0</v>
      </c>
      <c r="AC55">
        <f t="shared" si="9"/>
        <v>0</v>
      </c>
      <c r="AD55">
        <f t="shared" si="10"/>
        <v>0</v>
      </c>
      <c r="AE55">
        <f t="shared" si="11"/>
        <v>0</v>
      </c>
      <c r="AF55">
        <f t="shared" si="12"/>
        <v>0</v>
      </c>
      <c r="AG55">
        <f t="shared" si="13"/>
        <v>0</v>
      </c>
      <c r="AH55">
        <f t="shared" si="14"/>
        <v>0</v>
      </c>
      <c r="AI55">
        <f t="shared" si="15"/>
        <v>0</v>
      </c>
      <c r="AJ55" s="2" t="str">
        <f t="shared" si="25"/>
        <v>143952</v>
      </c>
    </row>
    <row r="56" spans="1:36" x14ac:dyDescent="0.25">
      <c r="A56">
        <v>2</v>
      </c>
      <c r="B56" s="1">
        <v>43952</v>
      </c>
      <c r="C56" s="1">
        <f t="shared" si="16"/>
        <v>44013</v>
      </c>
      <c r="D56" s="1">
        <f t="shared" si="17"/>
        <v>43966</v>
      </c>
      <c r="E56" s="1">
        <f t="shared" si="18"/>
        <v>44013</v>
      </c>
      <c r="F56" s="1">
        <f t="shared" si="19"/>
        <v>44044</v>
      </c>
      <c r="G56" s="1">
        <f t="shared" si="20"/>
        <v>44331</v>
      </c>
      <c r="H56">
        <f t="shared" si="21"/>
        <v>365</v>
      </c>
      <c r="I56">
        <f t="shared" si="22"/>
        <v>31</v>
      </c>
      <c r="J56">
        <f t="shared" si="23"/>
        <v>8.4931506849315067E-2</v>
      </c>
      <c r="K56">
        <f>IFERROR($J56/IF($A56&lt;COUNTIFS($K$1:K$1,"&lt;&gt;"),0,SUMIFS($J:$J,$B:$B,$B56,$A:$A,"&gt;="&amp;COUNTIFS($K$1:K$1,"&lt;&gt;"))),0)</f>
        <v>8.9080459770114959E-2</v>
      </c>
      <c r="L56">
        <f>IFERROR($J56/IF($A56&lt;COUNTIFS($K$1:L$1,"&lt;&gt;"),0,SUMIFS($J:$J,$B:$B,$B56,$A:$A,"&gt;="&amp;COUNTIFS($K$1:L$1,"&lt;&gt;"))),0)</f>
        <v>9.7484276729559768E-2</v>
      </c>
      <c r="M56">
        <f>IFERROR($J56/IF($A56&lt;COUNTIFS($K$1:M$1,"&lt;&gt;"),0,SUMIFS($J:$J,$B:$B,$B56,$A:$A,"&gt;="&amp;COUNTIFS($K$1:M$1,"&lt;&gt;"))),0)</f>
        <v>0</v>
      </c>
      <c r="N56">
        <f>IFERROR($J56/IF($A56&lt;COUNTIFS($K$1:N$1,"&lt;&gt;"),0,SUMIFS($J:$J,$B:$B,$B56,$A:$A,"&gt;="&amp;COUNTIFS($K$1:N$1,"&lt;&gt;"))),0)</f>
        <v>0</v>
      </c>
      <c r="O56">
        <f>IFERROR($J56/IF($A56&lt;COUNTIFS($K$1:O$1,"&lt;&gt;"),0,SUMIFS($J:$J,$B:$B,$B56,$A:$A,"&gt;="&amp;COUNTIFS($K$1:O$1,"&lt;&gt;"))),0)</f>
        <v>0</v>
      </c>
      <c r="P56">
        <f>IFERROR($J56/IF($A56&lt;COUNTIFS($K$1:P$1,"&lt;&gt;"),0,SUMIFS($J:$J,$B:$B,$B56,$A:$A,"&gt;="&amp;COUNTIFS($K$1:P$1,"&lt;&gt;"))),0)</f>
        <v>0</v>
      </c>
      <c r="Q56">
        <f>IFERROR($J56/IF($A56&lt;COUNTIFS($K$1:Q$1,"&lt;&gt;"),0,SUMIFS($J:$J,$B:$B,$B56,$A:$A,"&gt;="&amp;COUNTIFS($K$1:Q$1,"&lt;&gt;"))),0)</f>
        <v>0</v>
      </c>
      <c r="R56">
        <f>IFERROR($J56/IF($A56&lt;COUNTIFS($K$1:R$1,"&lt;&gt;"),0,SUMIFS($J:$J,$B:$B,$B56,$A:$A,"&gt;="&amp;COUNTIFS($K$1:R$1,"&lt;&gt;"))),0)</f>
        <v>0</v>
      </c>
      <c r="S56">
        <f>IFERROR($J56/IF($A56&lt;COUNTIFS($K$1:S$1,"&lt;&gt;"),0,SUMIFS($J:$J,$B:$B,$B56,$A:$A,"&gt;="&amp;COUNTIFS($K$1:S$1,"&lt;&gt;"))),0)</f>
        <v>0</v>
      </c>
      <c r="T56">
        <f>IFERROR($J56/IF($A56&lt;COUNTIFS($K$1:T$1,"&lt;&gt;"),0,SUMIFS($J:$J,$B:$B,$B56,$A:$A,"&gt;="&amp;COUNTIFS($K$1:T$1,"&lt;&gt;"))),0)</f>
        <v>0</v>
      </c>
      <c r="U56">
        <f>IFERROR($J56/IF($A56&lt;COUNTIFS($K$1:U$1,"&lt;&gt;"),0,SUMIFS($J:$J,$B:$B,$B56,$A:$A,"&gt;="&amp;COUNTIFS($K$1:U$1,"&lt;&gt;"))),0)</f>
        <v>0</v>
      </c>
      <c r="V56">
        <f>IFERROR($J56/IF($A56&lt;COUNTIFS($K$1:V$1,"&lt;&gt;"),0,SUMIFS($J:$J,$B:$B,$B56,$A:$A,"&gt;="&amp;COUNTIFS($K$1:V$1,"&lt;&gt;"))),0)</f>
        <v>0</v>
      </c>
      <c r="W56">
        <f t="shared" si="24"/>
        <v>8.4931506849315067E-2</v>
      </c>
      <c r="X56">
        <f t="shared" si="4"/>
        <v>8.4931506849315067E-2</v>
      </c>
      <c r="Y56">
        <f t="shared" si="5"/>
        <v>8.4931506849315067E-2</v>
      </c>
      <c r="Z56">
        <f t="shared" si="6"/>
        <v>0</v>
      </c>
      <c r="AA56">
        <f t="shared" si="7"/>
        <v>0</v>
      </c>
      <c r="AB56">
        <f t="shared" si="8"/>
        <v>0</v>
      </c>
      <c r="AC56">
        <f t="shared" si="9"/>
        <v>0</v>
      </c>
      <c r="AD56">
        <f t="shared" si="10"/>
        <v>0</v>
      </c>
      <c r="AE56">
        <f t="shared" si="11"/>
        <v>0</v>
      </c>
      <c r="AF56">
        <f t="shared" si="12"/>
        <v>0</v>
      </c>
      <c r="AG56">
        <f t="shared" si="13"/>
        <v>0</v>
      </c>
      <c r="AH56">
        <f t="shared" si="14"/>
        <v>0</v>
      </c>
      <c r="AI56">
        <f t="shared" si="15"/>
        <v>0</v>
      </c>
      <c r="AJ56" s="2" t="str">
        <f t="shared" si="25"/>
        <v>243952</v>
      </c>
    </row>
    <row r="57" spans="1:36" x14ac:dyDescent="0.25">
      <c r="A57">
        <v>3</v>
      </c>
      <c r="B57" s="1">
        <v>43952</v>
      </c>
      <c r="C57" s="1">
        <f t="shared" si="16"/>
        <v>44044</v>
      </c>
      <c r="D57" s="1">
        <f t="shared" si="17"/>
        <v>43966</v>
      </c>
      <c r="E57" s="1">
        <f t="shared" si="18"/>
        <v>44044</v>
      </c>
      <c r="F57" s="1">
        <f t="shared" si="19"/>
        <v>44075</v>
      </c>
      <c r="G57" s="1">
        <f t="shared" si="20"/>
        <v>44331</v>
      </c>
      <c r="H57">
        <f t="shared" si="21"/>
        <v>365</v>
      </c>
      <c r="I57">
        <f t="shared" si="22"/>
        <v>31</v>
      </c>
      <c r="J57">
        <f t="shared" si="23"/>
        <v>8.4931506849315067E-2</v>
      </c>
      <c r="K57">
        <f>IFERROR($J57/IF($A57&lt;COUNTIFS($K$1:K$1,"&lt;&gt;"),0,SUMIFS($J:$J,$B:$B,$B57,$A:$A,"&gt;="&amp;COUNTIFS($K$1:K$1,"&lt;&gt;"))),0)</f>
        <v>8.9080459770114959E-2</v>
      </c>
      <c r="L57">
        <f>IFERROR($J57/IF($A57&lt;COUNTIFS($K$1:L$1,"&lt;&gt;"),0,SUMIFS($J:$J,$B:$B,$B57,$A:$A,"&gt;="&amp;COUNTIFS($K$1:L$1,"&lt;&gt;"))),0)</f>
        <v>9.7484276729559768E-2</v>
      </c>
      <c r="M57">
        <f>IFERROR($J57/IF($A57&lt;COUNTIFS($K$1:M$1,"&lt;&gt;"),0,SUMIFS($J:$J,$B:$B,$B57,$A:$A,"&gt;="&amp;COUNTIFS($K$1:M$1,"&lt;&gt;"))),0)</f>
        <v>0.10801393728222998</v>
      </c>
      <c r="N57">
        <f>IFERROR($J57/IF($A57&lt;COUNTIFS($K$1:N$1,"&lt;&gt;"),0,SUMIFS($J:$J,$B:$B,$B57,$A:$A,"&gt;="&amp;COUNTIFS($K$1:N$1,"&lt;&gt;"))),0)</f>
        <v>0</v>
      </c>
      <c r="O57">
        <f>IFERROR($J57/IF($A57&lt;COUNTIFS($K$1:O$1,"&lt;&gt;"),0,SUMIFS($J:$J,$B:$B,$B57,$A:$A,"&gt;="&amp;COUNTIFS($K$1:O$1,"&lt;&gt;"))),0)</f>
        <v>0</v>
      </c>
      <c r="P57">
        <f>IFERROR($J57/IF($A57&lt;COUNTIFS($K$1:P$1,"&lt;&gt;"),0,SUMIFS($J:$J,$B:$B,$B57,$A:$A,"&gt;="&amp;COUNTIFS($K$1:P$1,"&lt;&gt;"))),0)</f>
        <v>0</v>
      </c>
      <c r="Q57">
        <f>IFERROR($J57/IF($A57&lt;COUNTIFS($K$1:Q$1,"&lt;&gt;"),0,SUMIFS($J:$J,$B:$B,$B57,$A:$A,"&gt;="&amp;COUNTIFS($K$1:Q$1,"&lt;&gt;"))),0)</f>
        <v>0</v>
      </c>
      <c r="R57">
        <f>IFERROR($J57/IF($A57&lt;COUNTIFS($K$1:R$1,"&lt;&gt;"),0,SUMIFS($J:$J,$B:$B,$B57,$A:$A,"&gt;="&amp;COUNTIFS($K$1:R$1,"&lt;&gt;"))),0)</f>
        <v>0</v>
      </c>
      <c r="S57">
        <f>IFERROR($J57/IF($A57&lt;COUNTIFS($K$1:S$1,"&lt;&gt;"),0,SUMIFS($J:$J,$B:$B,$B57,$A:$A,"&gt;="&amp;COUNTIFS($K$1:S$1,"&lt;&gt;"))),0)</f>
        <v>0</v>
      </c>
      <c r="T57">
        <f>IFERROR($J57/IF($A57&lt;COUNTIFS($K$1:T$1,"&lt;&gt;"),0,SUMIFS($J:$J,$B:$B,$B57,$A:$A,"&gt;="&amp;COUNTIFS($K$1:T$1,"&lt;&gt;"))),0)</f>
        <v>0</v>
      </c>
      <c r="U57">
        <f>IFERROR($J57/IF($A57&lt;COUNTIFS($K$1:U$1,"&lt;&gt;"),0,SUMIFS($J:$J,$B:$B,$B57,$A:$A,"&gt;="&amp;COUNTIFS($K$1:U$1,"&lt;&gt;"))),0)</f>
        <v>0</v>
      </c>
      <c r="V57">
        <f>IFERROR($J57/IF($A57&lt;COUNTIFS($K$1:V$1,"&lt;&gt;"),0,SUMIFS($J:$J,$B:$B,$B57,$A:$A,"&gt;="&amp;COUNTIFS($K$1:V$1,"&lt;&gt;"))),0)</f>
        <v>0</v>
      </c>
      <c r="W57">
        <f t="shared" si="24"/>
        <v>8.4931506849315067E-2</v>
      </c>
      <c r="X57">
        <f t="shared" si="4"/>
        <v>8.4931506849315067E-2</v>
      </c>
      <c r="Y57">
        <f t="shared" si="5"/>
        <v>8.4931506849315067E-2</v>
      </c>
      <c r="Z57">
        <f t="shared" si="6"/>
        <v>8.4931506849315067E-2</v>
      </c>
      <c r="AA57">
        <f t="shared" si="7"/>
        <v>0</v>
      </c>
      <c r="AB57">
        <f t="shared" si="8"/>
        <v>0</v>
      </c>
      <c r="AC57">
        <f t="shared" si="9"/>
        <v>0</v>
      </c>
      <c r="AD57">
        <f t="shared" si="10"/>
        <v>0</v>
      </c>
      <c r="AE57">
        <f t="shared" si="11"/>
        <v>0</v>
      </c>
      <c r="AF57">
        <f t="shared" si="12"/>
        <v>0</v>
      </c>
      <c r="AG57">
        <f t="shared" si="13"/>
        <v>0</v>
      </c>
      <c r="AH57">
        <f t="shared" si="14"/>
        <v>0</v>
      </c>
      <c r="AI57">
        <f t="shared" si="15"/>
        <v>0</v>
      </c>
      <c r="AJ57" s="2" t="str">
        <f t="shared" si="25"/>
        <v>343952</v>
      </c>
    </row>
    <row r="58" spans="1:36" x14ac:dyDescent="0.25">
      <c r="A58">
        <v>4</v>
      </c>
      <c r="B58" s="1">
        <v>43952</v>
      </c>
      <c r="C58" s="1">
        <f t="shared" si="16"/>
        <v>44075</v>
      </c>
      <c r="D58" s="1">
        <f t="shared" si="17"/>
        <v>43966</v>
      </c>
      <c r="E58" s="1">
        <f t="shared" si="18"/>
        <v>44075</v>
      </c>
      <c r="F58" s="1">
        <f t="shared" si="19"/>
        <v>44105</v>
      </c>
      <c r="G58" s="1">
        <f t="shared" si="20"/>
        <v>44331</v>
      </c>
      <c r="H58">
        <f t="shared" si="21"/>
        <v>365</v>
      </c>
      <c r="I58">
        <f t="shared" si="22"/>
        <v>30</v>
      </c>
      <c r="J58">
        <f t="shared" si="23"/>
        <v>8.2191780821917804E-2</v>
      </c>
      <c r="K58">
        <f>IFERROR($J58/IF($A58&lt;COUNTIFS($K$1:K$1,"&lt;&gt;"),0,SUMIFS($J:$J,$B:$B,$B58,$A:$A,"&gt;="&amp;COUNTIFS($K$1:K$1,"&lt;&gt;"))),0)</f>
        <v>8.6206896551724144E-2</v>
      </c>
      <c r="L58">
        <f>IFERROR($J58/IF($A58&lt;COUNTIFS($K$1:L$1,"&lt;&gt;"),0,SUMIFS($J:$J,$B:$B,$B58,$A:$A,"&gt;="&amp;COUNTIFS($K$1:L$1,"&lt;&gt;"))),0)</f>
        <v>9.4339622641509441E-2</v>
      </c>
      <c r="M58">
        <f>IFERROR($J58/IF($A58&lt;COUNTIFS($K$1:M$1,"&lt;&gt;"),0,SUMIFS($J:$J,$B:$B,$B58,$A:$A,"&gt;="&amp;COUNTIFS($K$1:M$1,"&lt;&gt;"))),0)</f>
        <v>0.10452961672473869</v>
      </c>
      <c r="N58">
        <f>IFERROR($J58/IF($A58&lt;COUNTIFS($K$1:N$1,"&lt;&gt;"),0,SUMIFS($J:$J,$B:$B,$B58,$A:$A,"&gt;="&amp;COUNTIFS($K$1:N$1,"&lt;&gt;"))),0)</f>
        <v>0.11718750000000001</v>
      </c>
      <c r="O58">
        <f>IFERROR($J58/IF($A58&lt;COUNTIFS($K$1:O$1,"&lt;&gt;"),0,SUMIFS($J:$J,$B:$B,$B58,$A:$A,"&gt;="&amp;COUNTIFS($K$1:O$1,"&lt;&gt;"))),0)</f>
        <v>0</v>
      </c>
      <c r="P58">
        <f>IFERROR($J58/IF($A58&lt;COUNTIFS($K$1:P$1,"&lt;&gt;"),0,SUMIFS($J:$J,$B:$B,$B58,$A:$A,"&gt;="&amp;COUNTIFS($K$1:P$1,"&lt;&gt;"))),0)</f>
        <v>0</v>
      </c>
      <c r="Q58">
        <f>IFERROR($J58/IF($A58&lt;COUNTIFS($K$1:Q$1,"&lt;&gt;"),0,SUMIFS($J:$J,$B:$B,$B58,$A:$A,"&gt;="&amp;COUNTIFS($K$1:Q$1,"&lt;&gt;"))),0)</f>
        <v>0</v>
      </c>
      <c r="R58">
        <f>IFERROR($J58/IF($A58&lt;COUNTIFS($K$1:R$1,"&lt;&gt;"),0,SUMIFS($J:$J,$B:$B,$B58,$A:$A,"&gt;="&amp;COUNTIFS($K$1:R$1,"&lt;&gt;"))),0)</f>
        <v>0</v>
      </c>
      <c r="S58">
        <f>IFERROR($J58/IF($A58&lt;COUNTIFS($K$1:S$1,"&lt;&gt;"),0,SUMIFS($J:$J,$B:$B,$B58,$A:$A,"&gt;="&amp;COUNTIFS($K$1:S$1,"&lt;&gt;"))),0)</f>
        <v>0</v>
      </c>
      <c r="T58">
        <f>IFERROR($J58/IF($A58&lt;COUNTIFS($K$1:T$1,"&lt;&gt;"),0,SUMIFS($J:$J,$B:$B,$B58,$A:$A,"&gt;="&amp;COUNTIFS($K$1:T$1,"&lt;&gt;"))),0)</f>
        <v>0</v>
      </c>
      <c r="U58">
        <f>IFERROR($J58/IF($A58&lt;COUNTIFS($K$1:U$1,"&lt;&gt;"),0,SUMIFS($J:$J,$B:$B,$B58,$A:$A,"&gt;="&amp;COUNTIFS($K$1:U$1,"&lt;&gt;"))),0)</f>
        <v>0</v>
      </c>
      <c r="V58">
        <f>IFERROR($J58/IF($A58&lt;COUNTIFS($K$1:V$1,"&lt;&gt;"),0,SUMIFS($J:$J,$B:$B,$B58,$A:$A,"&gt;="&amp;COUNTIFS($K$1:V$1,"&lt;&gt;"))),0)</f>
        <v>0</v>
      </c>
      <c r="W58">
        <f t="shared" si="24"/>
        <v>8.2191780821917804E-2</v>
      </c>
      <c r="X58">
        <f t="shared" si="4"/>
        <v>8.2191780821917804E-2</v>
      </c>
      <c r="Y58">
        <f t="shared" si="5"/>
        <v>8.2191780821917804E-2</v>
      </c>
      <c r="Z58">
        <f t="shared" si="6"/>
        <v>8.2191780821917804E-2</v>
      </c>
      <c r="AA58">
        <f t="shared" si="7"/>
        <v>8.2191780821917804E-2</v>
      </c>
      <c r="AB58">
        <f t="shared" si="8"/>
        <v>0</v>
      </c>
      <c r="AC58">
        <f t="shared" si="9"/>
        <v>0</v>
      </c>
      <c r="AD58">
        <f t="shared" si="10"/>
        <v>0</v>
      </c>
      <c r="AE58">
        <f t="shared" si="11"/>
        <v>0</v>
      </c>
      <c r="AF58">
        <f t="shared" si="12"/>
        <v>0</v>
      </c>
      <c r="AG58">
        <f t="shared" si="13"/>
        <v>0</v>
      </c>
      <c r="AH58">
        <f t="shared" si="14"/>
        <v>0</v>
      </c>
      <c r="AI58">
        <f t="shared" si="15"/>
        <v>0</v>
      </c>
      <c r="AJ58" s="2" t="str">
        <f t="shared" si="25"/>
        <v>443952</v>
      </c>
    </row>
    <row r="59" spans="1:36" x14ac:dyDescent="0.25">
      <c r="A59">
        <v>5</v>
      </c>
      <c r="B59" s="1">
        <v>43952</v>
      </c>
      <c r="C59" s="1">
        <f t="shared" si="16"/>
        <v>44105</v>
      </c>
      <c r="D59" s="1">
        <f t="shared" si="17"/>
        <v>43966</v>
      </c>
      <c r="E59" s="1">
        <f t="shared" si="18"/>
        <v>44105</v>
      </c>
      <c r="F59" s="1">
        <f t="shared" si="19"/>
        <v>44136</v>
      </c>
      <c r="G59" s="1">
        <f t="shared" si="20"/>
        <v>44331</v>
      </c>
      <c r="H59">
        <f t="shared" si="21"/>
        <v>365</v>
      </c>
      <c r="I59">
        <f t="shared" si="22"/>
        <v>31</v>
      </c>
      <c r="J59">
        <f t="shared" si="23"/>
        <v>8.4931506849315067E-2</v>
      </c>
      <c r="K59">
        <f>IFERROR($J59/IF($A59&lt;COUNTIFS($K$1:K$1,"&lt;&gt;"),0,SUMIFS($J:$J,$B:$B,$B59,$A:$A,"&gt;="&amp;COUNTIFS($K$1:K$1,"&lt;&gt;"))),0)</f>
        <v>8.9080459770114959E-2</v>
      </c>
      <c r="L59">
        <f>IFERROR($J59/IF($A59&lt;COUNTIFS($K$1:L$1,"&lt;&gt;"),0,SUMIFS($J:$J,$B:$B,$B59,$A:$A,"&gt;="&amp;COUNTIFS($K$1:L$1,"&lt;&gt;"))),0)</f>
        <v>9.7484276729559768E-2</v>
      </c>
      <c r="M59">
        <f>IFERROR($J59/IF($A59&lt;COUNTIFS($K$1:M$1,"&lt;&gt;"),0,SUMIFS($J:$J,$B:$B,$B59,$A:$A,"&gt;="&amp;COUNTIFS($K$1:M$1,"&lt;&gt;"))),0)</f>
        <v>0.10801393728222998</v>
      </c>
      <c r="N59">
        <f>IFERROR($J59/IF($A59&lt;COUNTIFS($K$1:N$1,"&lt;&gt;"),0,SUMIFS($J:$J,$B:$B,$B59,$A:$A,"&gt;="&amp;COUNTIFS($K$1:N$1,"&lt;&gt;"))),0)</f>
        <v>0.12109375000000001</v>
      </c>
      <c r="O59">
        <f>IFERROR($J59/IF($A59&lt;COUNTIFS($K$1:O$1,"&lt;&gt;"),0,SUMIFS($J:$J,$B:$B,$B59,$A:$A,"&gt;="&amp;COUNTIFS($K$1:O$1,"&lt;&gt;"))),0)</f>
        <v>0.13716814159292037</v>
      </c>
      <c r="P59">
        <f>IFERROR($J59/IF($A59&lt;COUNTIFS($K$1:P$1,"&lt;&gt;"),0,SUMIFS($J:$J,$B:$B,$B59,$A:$A,"&gt;="&amp;COUNTIFS($K$1:P$1,"&lt;&gt;"))),0)</f>
        <v>0</v>
      </c>
      <c r="Q59">
        <f>IFERROR($J59/IF($A59&lt;COUNTIFS($K$1:Q$1,"&lt;&gt;"),0,SUMIFS($J:$J,$B:$B,$B59,$A:$A,"&gt;="&amp;COUNTIFS($K$1:Q$1,"&lt;&gt;"))),0)</f>
        <v>0</v>
      </c>
      <c r="R59">
        <f>IFERROR($J59/IF($A59&lt;COUNTIFS($K$1:R$1,"&lt;&gt;"),0,SUMIFS($J:$J,$B:$B,$B59,$A:$A,"&gt;="&amp;COUNTIFS($K$1:R$1,"&lt;&gt;"))),0)</f>
        <v>0</v>
      </c>
      <c r="S59">
        <f>IFERROR($J59/IF($A59&lt;COUNTIFS($K$1:S$1,"&lt;&gt;"),0,SUMIFS($J:$J,$B:$B,$B59,$A:$A,"&gt;="&amp;COUNTIFS($K$1:S$1,"&lt;&gt;"))),0)</f>
        <v>0</v>
      </c>
      <c r="T59">
        <f>IFERROR($J59/IF($A59&lt;COUNTIFS($K$1:T$1,"&lt;&gt;"),0,SUMIFS($J:$J,$B:$B,$B59,$A:$A,"&gt;="&amp;COUNTIFS($K$1:T$1,"&lt;&gt;"))),0)</f>
        <v>0</v>
      </c>
      <c r="U59">
        <f>IFERROR($J59/IF($A59&lt;COUNTIFS($K$1:U$1,"&lt;&gt;"),0,SUMIFS($J:$J,$B:$B,$B59,$A:$A,"&gt;="&amp;COUNTIFS($K$1:U$1,"&lt;&gt;"))),0)</f>
        <v>0</v>
      </c>
      <c r="V59">
        <f>IFERROR($J59/IF($A59&lt;COUNTIFS($K$1:V$1,"&lt;&gt;"),0,SUMIFS($J:$J,$B:$B,$B59,$A:$A,"&gt;="&amp;COUNTIFS($K$1:V$1,"&lt;&gt;"))),0)</f>
        <v>0</v>
      </c>
      <c r="W59">
        <f t="shared" si="24"/>
        <v>8.4931506849315067E-2</v>
      </c>
      <c r="X59">
        <f t="shared" si="4"/>
        <v>8.4931506849315067E-2</v>
      </c>
      <c r="Y59">
        <f t="shared" si="5"/>
        <v>8.4931506849315067E-2</v>
      </c>
      <c r="Z59">
        <f t="shared" si="6"/>
        <v>8.4931506849315067E-2</v>
      </c>
      <c r="AA59">
        <f t="shared" si="7"/>
        <v>8.4931506849315067E-2</v>
      </c>
      <c r="AB59">
        <f t="shared" si="8"/>
        <v>8.4931506849315067E-2</v>
      </c>
      <c r="AC59">
        <f t="shared" si="9"/>
        <v>0</v>
      </c>
      <c r="AD59">
        <f t="shared" si="10"/>
        <v>0</v>
      </c>
      <c r="AE59">
        <f t="shared" si="11"/>
        <v>0</v>
      </c>
      <c r="AF59">
        <f t="shared" si="12"/>
        <v>0</v>
      </c>
      <c r="AG59">
        <f t="shared" si="13"/>
        <v>0</v>
      </c>
      <c r="AH59">
        <f t="shared" si="14"/>
        <v>0</v>
      </c>
      <c r="AI59">
        <f t="shared" si="15"/>
        <v>0</v>
      </c>
      <c r="AJ59" s="2" t="str">
        <f t="shared" si="25"/>
        <v>543952</v>
      </c>
    </row>
    <row r="60" spans="1:36" x14ac:dyDescent="0.25">
      <c r="A60">
        <v>6</v>
      </c>
      <c r="B60" s="1">
        <v>43952</v>
      </c>
      <c r="C60" s="1">
        <f t="shared" si="16"/>
        <v>44136</v>
      </c>
      <c r="D60" s="1">
        <f t="shared" si="17"/>
        <v>43966</v>
      </c>
      <c r="E60" s="1">
        <f t="shared" si="18"/>
        <v>44136</v>
      </c>
      <c r="F60" s="1">
        <f t="shared" si="19"/>
        <v>44166</v>
      </c>
      <c r="G60" s="1">
        <f t="shared" si="20"/>
        <v>44331</v>
      </c>
      <c r="H60">
        <f t="shared" si="21"/>
        <v>365</v>
      </c>
      <c r="I60">
        <f t="shared" si="22"/>
        <v>30</v>
      </c>
      <c r="J60">
        <f t="shared" si="23"/>
        <v>8.2191780821917804E-2</v>
      </c>
      <c r="K60">
        <f>IFERROR($J60/IF($A60&lt;COUNTIFS($K$1:K$1,"&lt;&gt;"),0,SUMIFS($J:$J,$B:$B,$B60,$A:$A,"&gt;="&amp;COUNTIFS($K$1:K$1,"&lt;&gt;"))),0)</f>
        <v>8.6206896551724144E-2</v>
      </c>
      <c r="L60">
        <f>IFERROR($J60/IF($A60&lt;COUNTIFS($K$1:L$1,"&lt;&gt;"),0,SUMIFS($J:$J,$B:$B,$B60,$A:$A,"&gt;="&amp;COUNTIFS($K$1:L$1,"&lt;&gt;"))),0)</f>
        <v>9.4339622641509441E-2</v>
      </c>
      <c r="M60">
        <f>IFERROR($J60/IF($A60&lt;COUNTIFS($K$1:M$1,"&lt;&gt;"),0,SUMIFS($J:$J,$B:$B,$B60,$A:$A,"&gt;="&amp;COUNTIFS($K$1:M$1,"&lt;&gt;"))),0)</f>
        <v>0.10452961672473869</v>
      </c>
      <c r="N60">
        <f>IFERROR($J60/IF($A60&lt;COUNTIFS($K$1:N$1,"&lt;&gt;"),0,SUMIFS($J:$J,$B:$B,$B60,$A:$A,"&gt;="&amp;COUNTIFS($K$1:N$1,"&lt;&gt;"))),0)</f>
        <v>0.11718750000000001</v>
      </c>
      <c r="O60">
        <f>IFERROR($J60/IF($A60&lt;COUNTIFS($K$1:O$1,"&lt;&gt;"),0,SUMIFS($J:$J,$B:$B,$B60,$A:$A,"&gt;="&amp;COUNTIFS($K$1:O$1,"&lt;&gt;"))),0)</f>
        <v>0.13274336283185842</v>
      </c>
      <c r="P60">
        <f>IFERROR($J60/IF($A60&lt;COUNTIFS($K$1:P$1,"&lt;&gt;"),0,SUMIFS($J:$J,$B:$B,$B60,$A:$A,"&gt;="&amp;COUNTIFS($K$1:P$1,"&lt;&gt;"))),0)</f>
        <v>0.15384615384615385</v>
      </c>
      <c r="Q60">
        <f>IFERROR($J60/IF($A60&lt;COUNTIFS($K$1:Q$1,"&lt;&gt;"),0,SUMIFS($J:$J,$B:$B,$B60,$A:$A,"&gt;="&amp;COUNTIFS($K$1:Q$1,"&lt;&gt;"))),0)</f>
        <v>0</v>
      </c>
      <c r="R60">
        <f>IFERROR($J60/IF($A60&lt;COUNTIFS($K$1:R$1,"&lt;&gt;"),0,SUMIFS($J:$J,$B:$B,$B60,$A:$A,"&gt;="&amp;COUNTIFS($K$1:R$1,"&lt;&gt;"))),0)</f>
        <v>0</v>
      </c>
      <c r="S60">
        <f>IFERROR($J60/IF($A60&lt;COUNTIFS($K$1:S$1,"&lt;&gt;"),0,SUMIFS($J:$J,$B:$B,$B60,$A:$A,"&gt;="&amp;COUNTIFS($K$1:S$1,"&lt;&gt;"))),0)</f>
        <v>0</v>
      </c>
      <c r="T60">
        <f>IFERROR($J60/IF($A60&lt;COUNTIFS($K$1:T$1,"&lt;&gt;"),0,SUMIFS($J:$J,$B:$B,$B60,$A:$A,"&gt;="&amp;COUNTIFS($K$1:T$1,"&lt;&gt;"))),0)</f>
        <v>0</v>
      </c>
      <c r="U60">
        <f>IFERROR($J60/IF($A60&lt;COUNTIFS($K$1:U$1,"&lt;&gt;"),0,SUMIFS($J:$J,$B:$B,$B60,$A:$A,"&gt;="&amp;COUNTIFS($K$1:U$1,"&lt;&gt;"))),0)</f>
        <v>0</v>
      </c>
      <c r="V60">
        <f>IFERROR($J60/IF($A60&lt;COUNTIFS($K$1:V$1,"&lt;&gt;"),0,SUMIFS($J:$J,$B:$B,$B60,$A:$A,"&gt;="&amp;COUNTIFS($K$1:V$1,"&lt;&gt;"))),0)</f>
        <v>0</v>
      </c>
      <c r="W60">
        <f t="shared" si="24"/>
        <v>8.2191780821917804E-2</v>
      </c>
      <c r="X60">
        <f t="shared" si="4"/>
        <v>8.2191780821917804E-2</v>
      </c>
      <c r="Y60">
        <f t="shared" si="5"/>
        <v>8.2191780821917804E-2</v>
      </c>
      <c r="Z60">
        <f t="shared" si="6"/>
        <v>8.2191780821917804E-2</v>
      </c>
      <c r="AA60">
        <f t="shared" si="7"/>
        <v>8.2191780821917804E-2</v>
      </c>
      <c r="AB60">
        <f t="shared" si="8"/>
        <v>8.2191780821917804E-2</v>
      </c>
      <c r="AC60">
        <f t="shared" si="9"/>
        <v>8.2191780821917804E-2</v>
      </c>
      <c r="AD60">
        <f t="shared" si="10"/>
        <v>0</v>
      </c>
      <c r="AE60">
        <f t="shared" si="11"/>
        <v>0</v>
      </c>
      <c r="AF60">
        <f t="shared" si="12"/>
        <v>0</v>
      </c>
      <c r="AG60">
        <f t="shared" si="13"/>
        <v>0</v>
      </c>
      <c r="AH60">
        <f t="shared" si="14"/>
        <v>0</v>
      </c>
      <c r="AI60">
        <f t="shared" si="15"/>
        <v>0</v>
      </c>
      <c r="AJ60" s="2" t="str">
        <f t="shared" si="25"/>
        <v>643952</v>
      </c>
    </row>
    <row r="61" spans="1:36" x14ac:dyDescent="0.25">
      <c r="A61">
        <v>7</v>
      </c>
      <c r="B61" s="1">
        <v>43952</v>
      </c>
      <c r="C61" s="1">
        <f t="shared" si="16"/>
        <v>44166</v>
      </c>
      <c r="D61" s="1">
        <f t="shared" si="17"/>
        <v>43966</v>
      </c>
      <c r="E61" s="1">
        <f t="shared" si="18"/>
        <v>44166</v>
      </c>
      <c r="F61" s="1">
        <f t="shared" si="19"/>
        <v>44197</v>
      </c>
      <c r="G61" s="1">
        <f t="shared" si="20"/>
        <v>44331</v>
      </c>
      <c r="H61">
        <f t="shared" si="21"/>
        <v>365</v>
      </c>
      <c r="I61">
        <f t="shared" si="22"/>
        <v>31</v>
      </c>
      <c r="J61">
        <f t="shared" si="23"/>
        <v>8.4931506849315067E-2</v>
      </c>
      <c r="K61">
        <f>IFERROR($J61/IF($A61&lt;COUNTIFS($K$1:K$1,"&lt;&gt;"),0,SUMIFS($J:$J,$B:$B,$B61,$A:$A,"&gt;="&amp;COUNTIFS($K$1:K$1,"&lt;&gt;"))),0)</f>
        <v>8.9080459770114959E-2</v>
      </c>
      <c r="L61">
        <f>IFERROR($J61/IF($A61&lt;COUNTIFS($K$1:L$1,"&lt;&gt;"),0,SUMIFS($J:$J,$B:$B,$B61,$A:$A,"&gt;="&amp;COUNTIFS($K$1:L$1,"&lt;&gt;"))),0)</f>
        <v>9.7484276729559768E-2</v>
      </c>
      <c r="M61">
        <f>IFERROR($J61/IF($A61&lt;COUNTIFS($K$1:M$1,"&lt;&gt;"),0,SUMIFS($J:$J,$B:$B,$B61,$A:$A,"&gt;="&amp;COUNTIFS($K$1:M$1,"&lt;&gt;"))),0)</f>
        <v>0.10801393728222998</v>
      </c>
      <c r="N61">
        <f>IFERROR($J61/IF($A61&lt;COUNTIFS($K$1:N$1,"&lt;&gt;"),0,SUMIFS($J:$J,$B:$B,$B61,$A:$A,"&gt;="&amp;COUNTIFS($K$1:N$1,"&lt;&gt;"))),0)</f>
        <v>0.12109375000000001</v>
      </c>
      <c r="O61">
        <f>IFERROR($J61/IF($A61&lt;COUNTIFS($K$1:O$1,"&lt;&gt;"),0,SUMIFS($J:$J,$B:$B,$B61,$A:$A,"&gt;="&amp;COUNTIFS($K$1:O$1,"&lt;&gt;"))),0)</f>
        <v>0.13716814159292037</v>
      </c>
      <c r="P61">
        <f>IFERROR($J61/IF($A61&lt;COUNTIFS($K$1:P$1,"&lt;&gt;"),0,SUMIFS($J:$J,$B:$B,$B61,$A:$A,"&gt;="&amp;COUNTIFS($K$1:P$1,"&lt;&gt;"))),0)</f>
        <v>0.15897435897435899</v>
      </c>
      <c r="Q61">
        <f>IFERROR($J61/IF($A61&lt;COUNTIFS($K$1:Q$1,"&lt;&gt;"),0,SUMIFS($J:$J,$B:$B,$B61,$A:$A,"&gt;="&amp;COUNTIFS($K$1:Q$1,"&lt;&gt;"))),0)</f>
        <v>0.1878787878787879</v>
      </c>
      <c r="R61">
        <f>IFERROR($J61/IF($A61&lt;COUNTIFS($K$1:R$1,"&lt;&gt;"),0,SUMIFS($J:$J,$B:$B,$B61,$A:$A,"&gt;="&amp;COUNTIFS($K$1:R$1,"&lt;&gt;"))),0)</f>
        <v>0</v>
      </c>
      <c r="S61">
        <f>IFERROR($J61/IF($A61&lt;COUNTIFS($K$1:S$1,"&lt;&gt;"),0,SUMIFS($J:$J,$B:$B,$B61,$A:$A,"&gt;="&amp;COUNTIFS($K$1:S$1,"&lt;&gt;"))),0)</f>
        <v>0</v>
      </c>
      <c r="T61">
        <f>IFERROR($J61/IF($A61&lt;COUNTIFS($K$1:T$1,"&lt;&gt;"),0,SUMIFS($J:$J,$B:$B,$B61,$A:$A,"&gt;="&amp;COUNTIFS($K$1:T$1,"&lt;&gt;"))),0)</f>
        <v>0</v>
      </c>
      <c r="U61">
        <f>IFERROR($J61/IF($A61&lt;COUNTIFS($K$1:U$1,"&lt;&gt;"),0,SUMIFS($J:$J,$B:$B,$B61,$A:$A,"&gt;="&amp;COUNTIFS($K$1:U$1,"&lt;&gt;"))),0)</f>
        <v>0</v>
      </c>
      <c r="V61">
        <f>IFERROR($J61/IF($A61&lt;COUNTIFS($K$1:V$1,"&lt;&gt;"),0,SUMIFS($J:$J,$B:$B,$B61,$A:$A,"&gt;="&amp;COUNTIFS($K$1:V$1,"&lt;&gt;"))),0)</f>
        <v>0</v>
      </c>
      <c r="W61">
        <f t="shared" si="24"/>
        <v>8.4931506849315067E-2</v>
      </c>
      <c r="X61">
        <f t="shared" si="4"/>
        <v>8.4931506849315067E-2</v>
      </c>
      <c r="Y61">
        <f t="shared" si="5"/>
        <v>8.4931506849315067E-2</v>
      </c>
      <c r="Z61">
        <f t="shared" si="6"/>
        <v>8.4931506849315067E-2</v>
      </c>
      <c r="AA61">
        <f t="shared" si="7"/>
        <v>8.4931506849315067E-2</v>
      </c>
      <c r="AB61">
        <f t="shared" si="8"/>
        <v>8.4931506849315067E-2</v>
      </c>
      <c r="AC61">
        <f t="shared" si="9"/>
        <v>8.4931506849315067E-2</v>
      </c>
      <c r="AD61">
        <f t="shared" si="10"/>
        <v>8.4931506849315067E-2</v>
      </c>
      <c r="AE61">
        <f t="shared" si="11"/>
        <v>0</v>
      </c>
      <c r="AF61">
        <f t="shared" si="12"/>
        <v>0</v>
      </c>
      <c r="AG61">
        <f t="shared" si="13"/>
        <v>0</v>
      </c>
      <c r="AH61">
        <f t="shared" si="14"/>
        <v>0</v>
      </c>
      <c r="AI61">
        <f t="shared" si="15"/>
        <v>0</v>
      </c>
      <c r="AJ61" s="2" t="str">
        <f t="shared" si="25"/>
        <v>743952</v>
      </c>
    </row>
    <row r="62" spans="1:36" x14ac:dyDescent="0.25">
      <c r="A62">
        <v>8</v>
      </c>
      <c r="B62" s="1">
        <v>43952</v>
      </c>
      <c r="C62" s="1">
        <f t="shared" si="16"/>
        <v>44197</v>
      </c>
      <c r="D62" s="1">
        <f t="shared" si="17"/>
        <v>43966</v>
      </c>
      <c r="E62" s="1">
        <f t="shared" si="18"/>
        <v>44197</v>
      </c>
      <c r="F62" s="1">
        <f t="shared" si="19"/>
        <v>44228</v>
      </c>
      <c r="G62" s="1">
        <f t="shared" si="20"/>
        <v>44331</v>
      </c>
      <c r="H62">
        <f t="shared" si="21"/>
        <v>365</v>
      </c>
      <c r="I62">
        <f t="shared" si="22"/>
        <v>31</v>
      </c>
      <c r="J62">
        <f t="shared" si="23"/>
        <v>8.4931506849315067E-2</v>
      </c>
      <c r="K62">
        <f>IFERROR($J62/IF($A62&lt;COUNTIFS($K$1:K$1,"&lt;&gt;"),0,SUMIFS($J:$J,$B:$B,$B62,$A:$A,"&gt;="&amp;COUNTIFS($K$1:K$1,"&lt;&gt;"))),0)</f>
        <v>8.9080459770114959E-2</v>
      </c>
      <c r="L62">
        <f>IFERROR($J62/IF($A62&lt;COUNTIFS($K$1:L$1,"&lt;&gt;"),0,SUMIFS($J:$J,$B:$B,$B62,$A:$A,"&gt;="&amp;COUNTIFS($K$1:L$1,"&lt;&gt;"))),0)</f>
        <v>9.7484276729559768E-2</v>
      </c>
      <c r="M62">
        <f>IFERROR($J62/IF($A62&lt;COUNTIFS($K$1:M$1,"&lt;&gt;"),0,SUMIFS($J:$J,$B:$B,$B62,$A:$A,"&gt;="&amp;COUNTIFS($K$1:M$1,"&lt;&gt;"))),0)</f>
        <v>0.10801393728222998</v>
      </c>
      <c r="N62">
        <f>IFERROR($J62/IF($A62&lt;COUNTIFS($K$1:N$1,"&lt;&gt;"),0,SUMIFS($J:$J,$B:$B,$B62,$A:$A,"&gt;="&amp;COUNTIFS($K$1:N$1,"&lt;&gt;"))),0)</f>
        <v>0.12109375000000001</v>
      </c>
      <c r="O62">
        <f>IFERROR($J62/IF($A62&lt;COUNTIFS($K$1:O$1,"&lt;&gt;"),0,SUMIFS($J:$J,$B:$B,$B62,$A:$A,"&gt;="&amp;COUNTIFS($K$1:O$1,"&lt;&gt;"))),0)</f>
        <v>0.13716814159292037</v>
      </c>
      <c r="P62">
        <f>IFERROR($J62/IF($A62&lt;COUNTIFS($K$1:P$1,"&lt;&gt;"),0,SUMIFS($J:$J,$B:$B,$B62,$A:$A,"&gt;="&amp;COUNTIFS($K$1:P$1,"&lt;&gt;"))),0)</f>
        <v>0.15897435897435899</v>
      </c>
      <c r="Q62">
        <f>IFERROR($J62/IF($A62&lt;COUNTIFS($K$1:Q$1,"&lt;&gt;"),0,SUMIFS($J:$J,$B:$B,$B62,$A:$A,"&gt;="&amp;COUNTIFS($K$1:Q$1,"&lt;&gt;"))),0)</f>
        <v>0.1878787878787879</v>
      </c>
      <c r="R62">
        <f>IFERROR($J62/IF($A62&lt;COUNTIFS($K$1:R$1,"&lt;&gt;"),0,SUMIFS($J:$J,$B:$B,$B62,$A:$A,"&gt;="&amp;COUNTIFS($K$1:R$1,"&lt;&gt;"))),0)</f>
        <v>0.23134328358208955</v>
      </c>
      <c r="S62">
        <f>IFERROR($J62/IF($A62&lt;COUNTIFS($K$1:S$1,"&lt;&gt;"),0,SUMIFS($J:$J,$B:$B,$B62,$A:$A,"&gt;="&amp;COUNTIFS($K$1:S$1,"&lt;&gt;"))),0)</f>
        <v>0</v>
      </c>
      <c r="T62">
        <f>IFERROR($J62/IF($A62&lt;COUNTIFS($K$1:T$1,"&lt;&gt;"),0,SUMIFS($J:$J,$B:$B,$B62,$A:$A,"&gt;="&amp;COUNTIFS($K$1:T$1,"&lt;&gt;"))),0)</f>
        <v>0</v>
      </c>
      <c r="U62">
        <f>IFERROR($J62/IF($A62&lt;COUNTIFS($K$1:U$1,"&lt;&gt;"),0,SUMIFS($J:$J,$B:$B,$B62,$A:$A,"&gt;="&amp;COUNTIFS($K$1:U$1,"&lt;&gt;"))),0)</f>
        <v>0</v>
      </c>
      <c r="V62">
        <f>IFERROR($J62/IF($A62&lt;COUNTIFS($K$1:V$1,"&lt;&gt;"),0,SUMIFS($J:$J,$B:$B,$B62,$A:$A,"&gt;="&amp;COUNTIFS($K$1:V$1,"&lt;&gt;"))),0)</f>
        <v>0</v>
      </c>
      <c r="W62">
        <f t="shared" si="24"/>
        <v>8.4931506849315067E-2</v>
      </c>
      <c r="X62">
        <f t="shared" si="4"/>
        <v>8.4931506849315067E-2</v>
      </c>
      <c r="Y62">
        <f t="shared" si="5"/>
        <v>8.4931506849315067E-2</v>
      </c>
      <c r="Z62">
        <f t="shared" si="6"/>
        <v>8.4931506849315067E-2</v>
      </c>
      <c r="AA62">
        <f t="shared" si="7"/>
        <v>8.4931506849315067E-2</v>
      </c>
      <c r="AB62">
        <f t="shared" si="8"/>
        <v>8.4931506849315067E-2</v>
      </c>
      <c r="AC62">
        <f t="shared" si="9"/>
        <v>8.4931506849315067E-2</v>
      </c>
      <c r="AD62">
        <f t="shared" si="10"/>
        <v>8.4931506849315067E-2</v>
      </c>
      <c r="AE62">
        <f t="shared" si="11"/>
        <v>8.4931506849315067E-2</v>
      </c>
      <c r="AF62">
        <f t="shared" si="12"/>
        <v>0</v>
      </c>
      <c r="AG62">
        <f t="shared" si="13"/>
        <v>0</v>
      </c>
      <c r="AH62">
        <f t="shared" si="14"/>
        <v>0</v>
      </c>
      <c r="AI62">
        <f t="shared" si="15"/>
        <v>0</v>
      </c>
      <c r="AJ62" s="2" t="str">
        <f t="shared" si="25"/>
        <v>843952</v>
      </c>
    </row>
    <row r="63" spans="1:36" x14ac:dyDescent="0.25">
      <c r="A63">
        <v>9</v>
      </c>
      <c r="B63" s="1">
        <v>43952</v>
      </c>
      <c r="C63" s="1">
        <f t="shared" si="16"/>
        <v>44228</v>
      </c>
      <c r="D63" s="1">
        <f t="shared" si="17"/>
        <v>43966</v>
      </c>
      <c r="E63" s="1">
        <f t="shared" si="18"/>
        <v>44228</v>
      </c>
      <c r="F63" s="1">
        <f t="shared" si="19"/>
        <v>44256</v>
      </c>
      <c r="G63" s="1">
        <f t="shared" si="20"/>
        <v>44331</v>
      </c>
      <c r="H63">
        <f t="shared" si="21"/>
        <v>365</v>
      </c>
      <c r="I63">
        <f t="shared" si="22"/>
        <v>28</v>
      </c>
      <c r="J63">
        <f t="shared" si="23"/>
        <v>7.6712328767123292E-2</v>
      </c>
      <c r="K63">
        <f>IFERROR($J63/IF($A63&lt;COUNTIFS($K$1:K$1,"&lt;&gt;"),0,SUMIFS($J:$J,$B:$B,$B63,$A:$A,"&gt;="&amp;COUNTIFS($K$1:K$1,"&lt;&gt;"))),0)</f>
        <v>8.0459770114942541E-2</v>
      </c>
      <c r="L63">
        <f>IFERROR($J63/IF($A63&lt;COUNTIFS($K$1:L$1,"&lt;&gt;"),0,SUMIFS($J:$J,$B:$B,$B63,$A:$A,"&gt;="&amp;COUNTIFS($K$1:L$1,"&lt;&gt;"))),0)</f>
        <v>8.8050314465408827E-2</v>
      </c>
      <c r="M63">
        <f>IFERROR($J63/IF($A63&lt;COUNTIFS($K$1:M$1,"&lt;&gt;"),0,SUMIFS($J:$J,$B:$B,$B63,$A:$A,"&gt;="&amp;COUNTIFS($K$1:M$1,"&lt;&gt;"))),0)</f>
        <v>9.7560975609756115E-2</v>
      </c>
      <c r="N63">
        <f>IFERROR($J63/IF($A63&lt;COUNTIFS($K$1:N$1,"&lt;&gt;"),0,SUMIFS($J:$J,$B:$B,$B63,$A:$A,"&gt;="&amp;COUNTIFS($K$1:N$1,"&lt;&gt;"))),0)</f>
        <v>0.10937500000000003</v>
      </c>
      <c r="O63">
        <f>IFERROR($J63/IF($A63&lt;COUNTIFS($K$1:O$1,"&lt;&gt;"),0,SUMIFS($J:$J,$B:$B,$B63,$A:$A,"&gt;="&amp;COUNTIFS($K$1:O$1,"&lt;&gt;"))),0)</f>
        <v>0.12389380530973454</v>
      </c>
      <c r="P63">
        <f>IFERROR($J63/IF($A63&lt;COUNTIFS($K$1:P$1,"&lt;&gt;"),0,SUMIFS($J:$J,$B:$B,$B63,$A:$A,"&gt;="&amp;COUNTIFS($K$1:P$1,"&lt;&gt;"))),0)</f>
        <v>0.14358974358974361</v>
      </c>
      <c r="Q63">
        <f>IFERROR($J63/IF($A63&lt;COUNTIFS($K$1:Q$1,"&lt;&gt;"),0,SUMIFS($J:$J,$B:$B,$B63,$A:$A,"&gt;="&amp;COUNTIFS($K$1:Q$1,"&lt;&gt;"))),0)</f>
        <v>0.16969696969696971</v>
      </c>
      <c r="R63">
        <f>IFERROR($J63/IF($A63&lt;COUNTIFS($K$1:R$1,"&lt;&gt;"),0,SUMIFS($J:$J,$B:$B,$B63,$A:$A,"&gt;="&amp;COUNTIFS($K$1:R$1,"&lt;&gt;"))),0)</f>
        <v>0.20895522388059704</v>
      </c>
      <c r="S63">
        <f>IFERROR($J63/IF($A63&lt;COUNTIFS($K$1:S$1,"&lt;&gt;"),0,SUMIFS($J:$J,$B:$B,$B63,$A:$A,"&gt;="&amp;COUNTIFS($K$1:S$1,"&lt;&gt;"))),0)</f>
        <v>0.27184466019417475</v>
      </c>
      <c r="T63">
        <f>IFERROR($J63/IF($A63&lt;COUNTIFS($K$1:T$1,"&lt;&gt;"),0,SUMIFS($J:$J,$B:$B,$B63,$A:$A,"&gt;="&amp;COUNTIFS($K$1:T$1,"&lt;&gt;"))),0)</f>
        <v>0</v>
      </c>
      <c r="U63">
        <f>IFERROR($J63/IF($A63&lt;COUNTIFS($K$1:U$1,"&lt;&gt;"),0,SUMIFS($J:$J,$B:$B,$B63,$A:$A,"&gt;="&amp;COUNTIFS($K$1:U$1,"&lt;&gt;"))),0)</f>
        <v>0</v>
      </c>
      <c r="V63">
        <f>IFERROR($J63/IF($A63&lt;COUNTIFS($K$1:V$1,"&lt;&gt;"),0,SUMIFS($J:$J,$B:$B,$B63,$A:$A,"&gt;="&amp;COUNTIFS($K$1:V$1,"&lt;&gt;"))),0)</f>
        <v>0</v>
      </c>
      <c r="W63">
        <f t="shared" si="24"/>
        <v>7.6712328767123292E-2</v>
      </c>
      <c r="X63">
        <f t="shared" si="4"/>
        <v>7.6712328767123292E-2</v>
      </c>
      <c r="Y63">
        <f t="shared" si="5"/>
        <v>7.6712328767123292E-2</v>
      </c>
      <c r="Z63">
        <f t="shared" si="6"/>
        <v>7.6712328767123292E-2</v>
      </c>
      <c r="AA63">
        <f t="shared" si="7"/>
        <v>7.6712328767123292E-2</v>
      </c>
      <c r="AB63">
        <f t="shared" si="8"/>
        <v>7.6712328767123292E-2</v>
      </c>
      <c r="AC63">
        <f t="shared" si="9"/>
        <v>7.6712328767123292E-2</v>
      </c>
      <c r="AD63">
        <f t="shared" si="10"/>
        <v>7.6712328767123292E-2</v>
      </c>
      <c r="AE63">
        <f t="shared" si="11"/>
        <v>7.6712328767123292E-2</v>
      </c>
      <c r="AF63">
        <f t="shared" si="12"/>
        <v>7.6712328767123292E-2</v>
      </c>
      <c r="AG63">
        <f t="shared" si="13"/>
        <v>0</v>
      </c>
      <c r="AH63">
        <f t="shared" si="14"/>
        <v>0</v>
      </c>
      <c r="AI63">
        <f t="shared" si="15"/>
        <v>0</v>
      </c>
      <c r="AJ63" s="2" t="str">
        <f t="shared" si="25"/>
        <v>943952</v>
      </c>
    </row>
    <row r="64" spans="1:36" x14ac:dyDescent="0.25">
      <c r="A64">
        <v>10</v>
      </c>
      <c r="B64" s="1">
        <v>43952</v>
      </c>
      <c r="C64" s="1">
        <f t="shared" si="16"/>
        <v>44256</v>
      </c>
      <c r="D64" s="1">
        <f t="shared" si="17"/>
        <v>43966</v>
      </c>
      <c r="E64" s="1">
        <f t="shared" si="18"/>
        <v>44256</v>
      </c>
      <c r="F64" s="1">
        <f t="shared" si="19"/>
        <v>44287</v>
      </c>
      <c r="G64" s="1">
        <f t="shared" si="20"/>
        <v>44331</v>
      </c>
      <c r="H64">
        <f t="shared" si="21"/>
        <v>365</v>
      </c>
      <c r="I64">
        <f t="shared" si="22"/>
        <v>31</v>
      </c>
      <c r="J64">
        <f t="shared" si="23"/>
        <v>8.4931506849315067E-2</v>
      </c>
      <c r="K64">
        <f>IFERROR($J64/IF($A64&lt;COUNTIFS($K$1:K$1,"&lt;&gt;"),0,SUMIFS($J:$J,$B:$B,$B64,$A:$A,"&gt;="&amp;COUNTIFS($K$1:K$1,"&lt;&gt;"))),0)</f>
        <v>8.9080459770114959E-2</v>
      </c>
      <c r="L64">
        <f>IFERROR($J64/IF($A64&lt;COUNTIFS($K$1:L$1,"&lt;&gt;"),0,SUMIFS($J:$J,$B:$B,$B64,$A:$A,"&gt;="&amp;COUNTIFS($K$1:L$1,"&lt;&gt;"))),0)</f>
        <v>9.7484276729559768E-2</v>
      </c>
      <c r="M64">
        <f>IFERROR($J64/IF($A64&lt;COUNTIFS($K$1:M$1,"&lt;&gt;"),0,SUMIFS($J:$J,$B:$B,$B64,$A:$A,"&gt;="&amp;COUNTIFS($K$1:M$1,"&lt;&gt;"))),0)</f>
        <v>0.10801393728222998</v>
      </c>
      <c r="N64">
        <f>IFERROR($J64/IF($A64&lt;COUNTIFS($K$1:N$1,"&lt;&gt;"),0,SUMIFS($J:$J,$B:$B,$B64,$A:$A,"&gt;="&amp;COUNTIFS($K$1:N$1,"&lt;&gt;"))),0)</f>
        <v>0.12109375000000001</v>
      </c>
      <c r="O64">
        <f>IFERROR($J64/IF($A64&lt;COUNTIFS($K$1:O$1,"&lt;&gt;"),0,SUMIFS($J:$J,$B:$B,$B64,$A:$A,"&gt;="&amp;COUNTIFS($K$1:O$1,"&lt;&gt;"))),0)</f>
        <v>0.13716814159292037</v>
      </c>
      <c r="P64">
        <f>IFERROR($J64/IF($A64&lt;COUNTIFS($K$1:P$1,"&lt;&gt;"),0,SUMIFS($J:$J,$B:$B,$B64,$A:$A,"&gt;="&amp;COUNTIFS($K$1:P$1,"&lt;&gt;"))),0)</f>
        <v>0.15897435897435899</v>
      </c>
      <c r="Q64">
        <f>IFERROR($J64/IF($A64&lt;COUNTIFS($K$1:Q$1,"&lt;&gt;"),0,SUMIFS($J:$J,$B:$B,$B64,$A:$A,"&gt;="&amp;COUNTIFS($K$1:Q$1,"&lt;&gt;"))),0)</f>
        <v>0.1878787878787879</v>
      </c>
      <c r="R64">
        <f>IFERROR($J64/IF($A64&lt;COUNTIFS($K$1:R$1,"&lt;&gt;"),0,SUMIFS($J:$J,$B:$B,$B64,$A:$A,"&gt;="&amp;COUNTIFS($K$1:R$1,"&lt;&gt;"))),0)</f>
        <v>0.23134328358208955</v>
      </c>
      <c r="S64">
        <f>IFERROR($J64/IF($A64&lt;COUNTIFS($K$1:S$1,"&lt;&gt;"),0,SUMIFS($J:$J,$B:$B,$B64,$A:$A,"&gt;="&amp;COUNTIFS($K$1:S$1,"&lt;&gt;"))),0)</f>
        <v>0.30097087378640774</v>
      </c>
      <c r="T64">
        <f>IFERROR($J64/IF($A64&lt;COUNTIFS($K$1:T$1,"&lt;&gt;"),0,SUMIFS($J:$J,$B:$B,$B64,$A:$A,"&gt;="&amp;COUNTIFS($K$1:T$1,"&lt;&gt;"))),0)</f>
        <v>0.41333333333333333</v>
      </c>
      <c r="U64">
        <f>IFERROR($J64/IF($A64&lt;COUNTIFS($K$1:U$1,"&lt;&gt;"),0,SUMIFS($J:$J,$B:$B,$B64,$A:$A,"&gt;="&amp;COUNTIFS($K$1:U$1,"&lt;&gt;"))),0)</f>
        <v>0</v>
      </c>
      <c r="V64">
        <f>IFERROR($J64/IF($A64&lt;COUNTIFS($K$1:V$1,"&lt;&gt;"),0,SUMIFS($J:$J,$B:$B,$B64,$A:$A,"&gt;="&amp;COUNTIFS($K$1:V$1,"&lt;&gt;"))),0)</f>
        <v>0</v>
      </c>
      <c r="W64">
        <f t="shared" si="24"/>
        <v>8.4931506849315067E-2</v>
      </c>
      <c r="X64">
        <f t="shared" si="4"/>
        <v>8.4931506849315067E-2</v>
      </c>
      <c r="Y64">
        <f t="shared" si="5"/>
        <v>8.4931506849315067E-2</v>
      </c>
      <c r="Z64">
        <f t="shared" si="6"/>
        <v>8.4931506849315067E-2</v>
      </c>
      <c r="AA64">
        <f t="shared" si="7"/>
        <v>8.4931506849315067E-2</v>
      </c>
      <c r="AB64">
        <f t="shared" si="8"/>
        <v>8.4931506849315067E-2</v>
      </c>
      <c r="AC64">
        <f t="shared" si="9"/>
        <v>8.4931506849315067E-2</v>
      </c>
      <c r="AD64">
        <f t="shared" si="10"/>
        <v>8.4931506849315067E-2</v>
      </c>
      <c r="AE64">
        <f t="shared" si="11"/>
        <v>8.4931506849315067E-2</v>
      </c>
      <c r="AF64">
        <f t="shared" si="12"/>
        <v>8.4931506849315067E-2</v>
      </c>
      <c r="AG64">
        <f t="shared" si="13"/>
        <v>8.4931506849315067E-2</v>
      </c>
      <c r="AH64">
        <f t="shared" si="14"/>
        <v>0</v>
      </c>
      <c r="AI64">
        <f t="shared" si="15"/>
        <v>0</v>
      </c>
      <c r="AJ64" s="2" t="str">
        <f t="shared" si="25"/>
        <v>1043952</v>
      </c>
    </row>
    <row r="65" spans="1:36" x14ac:dyDescent="0.25">
      <c r="A65">
        <v>11</v>
      </c>
      <c r="B65" s="1">
        <v>43952</v>
      </c>
      <c r="C65" s="1">
        <f t="shared" si="16"/>
        <v>44287</v>
      </c>
      <c r="D65" s="1">
        <f t="shared" si="17"/>
        <v>43966</v>
      </c>
      <c r="E65" s="1">
        <f t="shared" si="18"/>
        <v>44287</v>
      </c>
      <c r="F65" s="1">
        <f t="shared" si="19"/>
        <v>44317</v>
      </c>
      <c r="G65" s="1">
        <f t="shared" si="20"/>
        <v>44331</v>
      </c>
      <c r="H65">
        <f t="shared" si="21"/>
        <v>365</v>
      </c>
      <c r="I65">
        <f t="shared" si="22"/>
        <v>30</v>
      </c>
      <c r="J65">
        <f t="shared" si="23"/>
        <v>8.2191780821917804E-2</v>
      </c>
      <c r="K65">
        <f>IFERROR($J65/IF($A65&lt;COUNTIFS($K$1:K$1,"&lt;&gt;"),0,SUMIFS($J:$J,$B:$B,$B65,$A:$A,"&gt;="&amp;COUNTIFS($K$1:K$1,"&lt;&gt;"))),0)</f>
        <v>8.6206896551724144E-2</v>
      </c>
      <c r="L65">
        <f>IFERROR($J65/IF($A65&lt;COUNTIFS($K$1:L$1,"&lt;&gt;"),0,SUMIFS($J:$J,$B:$B,$B65,$A:$A,"&gt;="&amp;COUNTIFS($K$1:L$1,"&lt;&gt;"))),0)</f>
        <v>9.4339622641509441E-2</v>
      </c>
      <c r="M65">
        <f>IFERROR($J65/IF($A65&lt;COUNTIFS($K$1:M$1,"&lt;&gt;"),0,SUMIFS($J:$J,$B:$B,$B65,$A:$A,"&gt;="&amp;COUNTIFS($K$1:M$1,"&lt;&gt;"))),0)</f>
        <v>0.10452961672473869</v>
      </c>
      <c r="N65">
        <f>IFERROR($J65/IF($A65&lt;COUNTIFS($K$1:N$1,"&lt;&gt;"),0,SUMIFS($J:$J,$B:$B,$B65,$A:$A,"&gt;="&amp;COUNTIFS($K$1:N$1,"&lt;&gt;"))),0)</f>
        <v>0.11718750000000001</v>
      </c>
      <c r="O65">
        <f>IFERROR($J65/IF($A65&lt;COUNTIFS($K$1:O$1,"&lt;&gt;"),0,SUMIFS($J:$J,$B:$B,$B65,$A:$A,"&gt;="&amp;COUNTIFS($K$1:O$1,"&lt;&gt;"))),0)</f>
        <v>0.13274336283185842</v>
      </c>
      <c r="P65">
        <f>IFERROR($J65/IF($A65&lt;COUNTIFS($K$1:P$1,"&lt;&gt;"),0,SUMIFS($J:$J,$B:$B,$B65,$A:$A,"&gt;="&amp;COUNTIFS($K$1:P$1,"&lt;&gt;"))),0)</f>
        <v>0.15384615384615385</v>
      </c>
      <c r="Q65">
        <f>IFERROR($J65/IF($A65&lt;COUNTIFS($K$1:Q$1,"&lt;&gt;"),0,SUMIFS($J:$J,$B:$B,$B65,$A:$A,"&gt;="&amp;COUNTIFS($K$1:Q$1,"&lt;&gt;"))),0)</f>
        <v>0.18181818181818182</v>
      </c>
      <c r="R65">
        <f>IFERROR($J65/IF($A65&lt;COUNTIFS($K$1:R$1,"&lt;&gt;"),0,SUMIFS($J:$J,$B:$B,$B65,$A:$A,"&gt;="&amp;COUNTIFS($K$1:R$1,"&lt;&gt;"))),0)</f>
        <v>0.22388059701492535</v>
      </c>
      <c r="S65">
        <f>IFERROR($J65/IF($A65&lt;COUNTIFS($K$1:S$1,"&lt;&gt;"),0,SUMIFS($J:$J,$B:$B,$B65,$A:$A,"&gt;="&amp;COUNTIFS($K$1:S$1,"&lt;&gt;"))),0)</f>
        <v>0.29126213592233008</v>
      </c>
      <c r="T65">
        <f>IFERROR($J65/IF($A65&lt;COUNTIFS($K$1:T$1,"&lt;&gt;"),0,SUMIFS($J:$J,$B:$B,$B65,$A:$A,"&gt;="&amp;COUNTIFS($K$1:T$1,"&lt;&gt;"))),0)</f>
        <v>0.4</v>
      </c>
      <c r="U65">
        <f>IFERROR($J65/IF($A65&lt;COUNTIFS($K$1:U$1,"&lt;&gt;"),0,SUMIFS($J:$J,$B:$B,$B65,$A:$A,"&gt;="&amp;COUNTIFS($K$1:U$1,"&lt;&gt;"))),0)</f>
        <v>0.68181818181818177</v>
      </c>
      <c r="V65">
        <f>IFERROR($J65/IF($A65&lt;COUNTIFS($K$1:V$1,"&lt;&gt;"),0,SUMIFS($J:$J,$B:$B,$B65,$A:$A,"&gt;="&amp;COUNTIFS($K$1:V$1,"&lt;&gt;"))),0)</f>
        <v>0</v>
      </c>
      <c r="W65">
        <f t="shared" si="24"/>
        <v>8.2191780821917804E-2</v>
      </c>
      <c r="X65">
        <f t="shared" si="4"/>
        <v>8.2191780821917804E-2</v>
      </c>
      <c r="Y65">
        <f t="shared" si="5"/>
        <v>8.2191780821917804E-2</v>
      </c>
      <c r="Z65">
        <f t="shared" si="6"/>
        <v>8.2191780821917804E-2</v>
      </c>
      <c r="AA65">
        <f t="shared" si="7"/>
        <v>8.2191780821917804E-2</v>
      </c>
      <c r="AB65">
        <f t="shared" si="8"/>
        <v>8.2191780821917804E-2</v>
      </c>
      <c r="AC65">
        <f t="shared" si="9"/>
        <v>8.2191780821917804E-2</v>
      </c>
      <c r="AD65">
        <f t="shared" si="10"/>
        <v>8.2191780821917804E-2</v>
      </c>
      <c r="AE65">
        <f t="shared" si="11"/>
        <v>8.2191780821917804E-2</v>
      </c>
      <c r="AF65">
        <f t="shared" si="12"/>
        <v>8.2191780821917804E-2</v>
      </c>
      <c r="AG65">
        <f t="shared" si="13"/>
        <v>8.2191780821917804E-2</v>
      </c>
      <c r="AH65">
        <f t="shared" si="14"/>
        <v>8.2191780821917804E-2</v>
      </c>
      <c r="AI65">
        <f t="shared" si="15"/>
        <v>0</v>
      </c>
      <c r="AJ65" s="2" t="str">
        <f t="shared" si="25"/>
        <v>1143952</v>
      </c>
    </row>
    <row r="66" spans="1:36" x14ac:dyDescent="0.25">
      <c r="A66">
        <v>12</v>
      </c>
      <c r="B66" s="1">
        <v>43952</v>
      </c>
      <c r="C66" s="1">
        <f t="shared" si="16"/>
        <v>44317</v>
      </c>
      <c r="D66" s="1">
        <f t="shared" si="17"/>
        <v>43966</v>
      </c>
      <c r="E66" s="1">
        <f t="shared" si="18"/>
        <v>44317</v>
      </c>
      <c r="F66" s="1">
        <f t="shared" si="19"/>
        <v>44331</v>
      </c>
      <c r="G66" s="1">
        <f t="shared" si="20"/>
        <v>44331</v>
      </c>
      <c r="H66">
        <f t="shared" si="21"/>
        <v>365</v>
      </c>
      <c r="I66">
        <f t="shared" si="22"/>
        <v>14</v>
      </c>
      <c r="J66">
        <f t="shared" si="23"/>
        <v>3.8356164383561646E-2</v>
      </c>
      <c r="K66">
        <f>IFERROR($J66/IF($A66&lt;COUNTIFS($K$1:K$1,"&lt;&gt;"),0,SUMIFS($J:$J,$B:$B,$B66,$A:$A,"&gt;="&amp;COUNTIFS($K$1:K$1,"&lt;&gt;"))),0)</f>
        <v>4.0229885057471271E-2</v>
      </c>
      <c r="L66">
        <f>IFERROR($J66/IF($A66&lt;COUNTIFS($K$1:L$1,"&lt;&gt;"),0,SUMIFS($J:$J,$B:$B,$B66,$A:$A,"&gt;="&amp;COUNTIFS($K$1:L$1,"&lt;&gt;"))),0)</f>
        <v>4.4025157232704414E-2</v>
      </c>
      <c r="M66">
        <f>IFERROR($J66/IF($A66&lt;COUNTIFS($K$1:M$1,"&lt;&gt;"),0,SUMIFS($J:$J,$B:$B,$B66,$A:$A,"&gt;="&amp;COUNTIFS($K$1:M$1,"&lt;&gt;"))),0)</f>
        <v>4.8780487804878057E-2</v>
      </c>
      <c r="N66">
        <f>IFERROR($J66/IF($A66&lt;COUNTIFS($K$1:N$1,"&lt;&gt;"),0,SUMIFS($J:$J,$B:$B,$B66,$A:$A,"&gt;="&amp;COUNTIFS($K$1:N$1,"&lt;&gt;"))),0)</f>
        <v>5.4687500000000014E-2</v>
      </c>
      <c r="O66">
        <f>IFERROR($J66/IF($A66&lt;COUNTIFS($K$1:O$1,"&lt;&gt;"),0,SUMIFS($J:$J,$B:$B,$B66,$A:$A,"&gt;="&amp;COUNTIFS($K$1:O$1,"&lt;&gt;"))),0)</f>
        <v>6.194690265486727E-2</v>
      </c>
      <c r="P66">
        <f>IFERROR($J66/IF($A66&lt;COUNTIFS($K$1:P$1,"&lt;&gt;"),0,SUMIFS($J:$J,$B:$B,$B66,$A:$A,"&gt;="&amp;COUNTIFS($K$1:P$1,"&lt;&gt;"))),0)</f>
        <v>7.1794871794871803E-2</v>
      </c>
      <c r="Q66">
        <f>IFERROR($J66/IF($A66&lt;COUNTIFS($K$1:Q$1,"&lt;&gt;"),0,SUMIFS($J:$J,$B:$B,$B66,$A:$A,"&gt;="&amp;COUNTIFS($K$1:Q$1,"&lt;&gt;"))),0)</f>
        <v>8.4848484848484854E-2</v>
      </c>
      <c r="R66">
        <f>IFERROR($J66/IF($A66&lt;COUNTIFS($K$1:R$1,"&lt;&gt;"),0,SUMIFS($J:$J,$B:$B,$B66,$A:$A,"&gt;="&amp;COUNTIFS($K$1:R$1,"&lt;&gt;"))),0)</f>
        <v>0.10447761194029852</v>
      </c>
      <c r="S66">
        <f>IFERROR($J66/IF($A66&lt;COUNTIFS($K$1:S$1,"&lt;&gt;"),0,SUMIFS($J:$J,$B:$B,$B66,$A:$A,"&gt;="&amp;COUNTIFS($K$1:S$1,"&lt;&gt;"))),0)</f>
        <v>0.13592233009708737</v>
      </c>
      <c r="T66">
        <f>IFERROR($J66/IF($A66&lt;COUNTIFS($K$1:T$1,"&lt;&gt;"),0,SUMIFS($J:$J,$B:$B,$B66,$A:$A,"&gt;="&amp;COUNTIFS($K$1:T$1,"&lt;&gt;"))),0)</f>
        <v>0.18666666666666668</v>
      </c>
      <c r="U66">
        <f>IFERROR($J66/IF($A66&lt;COUNTIFS($K$1:U$1,"&lt;&gt;"),0,SUMIFS($J:$J,$B:$B,$B66,$A:$A,"&gt;="&amp;COUNTIFS($K$1:U$1,"&lt;&gt;"))),0)</f>
        <v>0.31818181818181818</v>
      </c>
      <c r="V66">
        <f>IFERROR($J66/IF($A66&lt;COUNTIFS($K$1:V$1,"&lt;&gt;"),0,SUMIFS($J:$J,$B:$B,$B66,$A:$A,"&gt;="&amp;COUNTIFS($K$1:V$1,"&lt;&gt;"))),0)</f>
        <v>1</v>
      </c>
      <c r="W66">
        <f t="shared" si="24"/>
        <v>3.8356164383561646E-2</v>
      </c>
      <c r="X66">
        <f t="shared" ref="X66:X129" si="26">IF(K66=0,0,$J66)</f>
        <v>3.8356164383561646E-2</v>
      </c>
      <c r="Y66">
        <f t="shared" ref="Y66:Y129" si="27">IF(L66=0,0,$J66)</f>
        <v>3.8356164383561646E-2</v>
      </c>
      <c r="Z66">
        <f t="shared" ref="Z66:Z129" si="28">IF(M66=0,0,$J66)</f>
        <v>3.8356164383561646E-2</v>
      </c>
      <c r="AA66">
        <f t="shared" ref="AA66:AA129" si="29">IF(N66=0,0,$J66)</f>
        <v>3.8356164383561646E-2</v>
      </c>
      <c r="AB66">
        <f t="shared" ref="AB66:AB129" si="30">IF(O66=0,0,$J66)</f>
        <v>3.8356164383561646E-2</v>
      </c>
      <c r="AC66">
        <f t="shared" ref="AC66:AC129" si="31">IF(P66=0,0,$J66)</f>
        <v>3.8356164383561646E-2</v>
      </c>
      <c r="AD66">
        <f t="shared" ref="AD66:AD129" si="32">IF(Q66=0,0,$J66)</f>
        <v>3.8356164383561646E-2</v>
      </c>
      <c r="AE66">
        <f t="shared" ref="AE66:AE129" si="33">IF(R66=0,0,$J66)</f>
        <v>3.8356164383561646E-2</v>
      </c>
      <c r="AF66">
        <f t="shared" ref="AF66:AF129" si="34">IF(S66=0,0,$J66)</f>
        <v>3.8356164383561646E-2</v>
      </c>
      <c r="AG66">
        <f t="shared" ref="AG66:AG129" si="35">IF(T66=0,0,$J66)</f>
        <v>3.8356164383561646E-2</v>
      </c>
      <c r="AH66">
        <f t="shared" ref="AH66:AH129" si="36">IF(U66=0,0,$J66)</f>
        <v>3.8356164383561646E-2</v>
      </c>
      <c r="AI66">
        <f t="shared" ref="AI66:AI129" si="37">IF(V66=0,0,$J66)</f>
        <v>3.8356164383561646E-2</v>
      </c>
      <c r="AJ66" s="2" t="str">
        <f t="shared" si="25"/>
        <v>1243952</v>
      </c>
    </row>
    <row r="67" spans="1:36" x14ac:dyDescent="0.25">
      <c r="A67">
        <v>0</v>
      </c>
      <c r="B67" s="1">
        <v>43983</v>
      </c>
      <c r="C67" s="1">
        <f t="shared" ref="C67:C130" si="38">EDATE(B67,A67)</f>
        <v>43983</v>
      </c>
      <c r="D67" s="1">
        <f t="shared" ref="D67:D130" si="39">B67+14</f>
        <v>43997</v>
      </c>
      <c r="E67" s="1">
        <f t="shared" ref="E67:E130" si="40">IF($A67=0,C67+14,C67)</f>
        <v>43997</v>
      </c>
      <c r="F67" s="1">
        <f t="shared" ref="F67:F130" si="41">IF(EDATE(C67,1)&gt;G67,G67,EDATE(C67,1))</f>
        <v>44013</v>
      </c>
      <c r="G67" s="1">
        <f t="shared" ref="G67:G130" si="42">EDATE(D67,12)</f>
        <v>44362</v>
      </c>
      <c r="H67">
        <f t="shared" ref="H67:H130" si="43">G67-D67</f>
        <v>365</v>
      </c>
      <c r="I67">
        <f t="shared" ref="I67:I130" si="44">F67-E67</f>
        <v>16</v>
      </c>
      <c r="J67">
        <f t="shared" ref="J67:J130" si="45">I67/H67</f>
        <v>4.3835616438356165E-2</v>
      </c>
      <c r="K67">
        <f>IFERROR($J67/IF($A67&lt;COUNTIFS($K$1:K$1,"&lt;&gt;"),0,SUMIFS($J:$J,$B:$B,$B67,$A:$A,"&gt;="&amp;COUNTIFS($K$1:K$1,"&lt;&gt;"))),0)</f>
        <v>0</v>
      </c>
      <c r="L67">
        <f>IFERROR($J67/IF($A67&lt;COUNTIFS($K$1:L$1,"&lt;&gt;"),0,SUMIFS($J:$J,$B:$B,$B67,$A:$A,"&gt;="&amp;COUNTIFS($K$1:L$1,"&lt;&gt;"))),0)</f>
        <v>0</v>
      </c>
      <c r="M67">
        <f>IFERROR($J67/IF($A67&lt;COUNTIFS($K$1:M$1,"&lt;&gt;"),0,SUMIFS($J:$J,$B:$B,$B67,$A:$A,"&gt;="&amp;COUNTIFS($K$1:M$1,"&lt;&gt;"))),0)</f>
        <v>0</v>
      </c>
      <c r="N67">
        <f>IFERROR($J67/IF($A67&lt;COUNTIFS($K$1:N$1,"&lt;&gt;"),0,SUMIFS($J:$J,$B:$B,$B67,$A:$A,"&gt;="&amp;COUNTIFS($K$1:N$1,"&lt;&gt;"))),0)</f>
        <v>0</v>
      </c>
      <c r="O67">
        <f>IFERROR($J67/IF($A67&lt;COUNTIFS($K$1:O$1,"&lt;&gt;"),0,SUMIFS($J:$J,$B:$B,$B67,$A:$A,"&gt;="&amp;COUNTIFS($K$1:O$1,"&lt;&gt;"))),0)</f>
        <v>0</v>
      </c>
      <c r="P67">
        <f>IFERROR($J67/IF($A67&lt;COUNTIFS($K$1:P$1,"&lt;&gt;"),0,SUMIFS($J:$J,$B:$B,$B67,$A:$A,"&gt;="&amp;COUNTIFS($K$1:P$1,"&lt;&gt;"))),0)</f>
        <v>0</v>
      </c>
      <c r="Q67">
        <f>IFERROR($J67/IF($A67&lt;COUNTIFS($K$1:Q$1,"&lt;&gt;"),0,SUMIFS($J:$J,$B:$B,$B67,$A:$A,"&gt;="&amp;COUNTIFS($K$1:Q$1,"&lt;&gt;"))),0)</f>
        <v>0</v>
      </c>
      <c r="R67">
        <f>IFERROR($J67/IF($A67&lt;COUNTIFS($K$1:R$1,"&lt;&gt;"),0,SUMIFS($J:$J,$B:$B,$B67,$A:$A,"&gt;="&amp;COUNTIFS($K$1:R$1,"&lt;&gt;"))),0)</f>
        <v>0</v>
      </c>
      <c r="S67">
        <f>IFERROR($J67/IF($A67&lt;COUNTIFS($K$1:S$1,"&lt;&gt;"),0,SUMIFS($J:$J,$B:$B,$B67,$A:$A,"&gt;="&amp;COUNTIFS($K$1:S$1,"&lt;&gt;"))),0)</f>
        <v>0</v>
      </c>
      <c r="T67">
        <f>IFERROR($J67/IF($A67&lt;COUNTIFS($K$1:T$1,"&lt;&gt;"),0,SUMIFS($J:$J,$B:$B,$B67,$A:$A,"&gt;="&amp;COUNTIFS($K$1:T$1,"&lt;&gt;"))),0)</f>
        <v>0</v>
      </c>
      <c r="U67">
        <f>IFERROR($J67/IF($A67&lt;COUNTIFS($K$1:U$1,"&lt;&gt;"),0,SUMIFS($J:$J,$B:$B,$B67,$A:$A,"&gt;="&amp;COUNTIFS($K$1:U$1,"&lt;&gt;"))),0)</f>
        <v>0</v>
      </c>
      <c r="V67">
        <f>IFERROR($J67/IF($A67&lt;COUNTIFS($K$1:V$1,"&lt;&gt;"),0,SUMIFS($J:$J,$B:$B,$B67,$A:$A,"&gt;="&amp;COUNTIFS($K$1:V$1,"&lt;&gt;"))),0)</f>
        <v>0</v>
      </c>
      <c r="W67">
        <f t="shared" ref="W67:W130" si="46">IF(J67=0,0,$J67)</f>
        <v>4.3835616438356165E-2</v>
      </c>
      <c r="X67">
        <f t="shared" si="26"/>
        <v>0</v>
      </c>
      <c r="Y67">
        <f t="shared" si="27"/>
        <v>0</v>
      </c>
      <c r="Z67">
        <f t="shared" si="28"/>
        <v>0</v>
      </c>
      <c r="AA67">
        <f t="shared" si="29"/>
        <v>0</v>
      </c>
      <c r="AB67">
        <f t="shared" si="30"/>
        <v>0</v>
      </c>
      <c r="AC67">
        <f t="shared" si="31"/>
        <v>0</v>
      </c>
      <c r="AD67">
        <f t="shared" si="32"/>
        <v>0</v>
      </c>
      <c r="AE67">
        <f t="shared" si="33"/>
        <v>0</v>
      </c>
      <c r="AF67">
        <f t="shared" si="34"/>
        <v>0</v>
      </c>
      <c r="AG67">
        <f t="shared" si="35"/>
        <v>0</v>
      </c>
      <c r="AH67">
        <f t="shared" si="36"/>
        <v>0</v>
      </c>
      <c r="AI67">
        <f t="shared" si="37"/>
        <v>0</v>
      </c>
      <c r="AJ67" s="2" t="str">
        <f t="shared" ref="AJ67:AJ130" si="47">A67&amp;B67</f>
        <v>043983</v>
      </c>
    </row>
    <row r="68" spans="1:36" x14ac:dyDescent="0.25">
      <c r="A68">
        <v>1</v>
      </c>
      <c r="B68" s="1">
        <v>43983</v>
      </c>
      <c r="C68" s="1">
        <f t="shared" si="38"/>
        <v>44013</v>
      </c>
      <c r="D68" s="1">
        <f t="shared" si="39"/>
        <v>43997</v>
      </c>
      <c r="E68" s="1">
        <f t="shared" si="40"/>
        <v>44013</v>
      </c>
      <c r="F68" s="1">
        <f t="shared" si="41"/>
        <v>44044</v>
      </c>
      <c r="G68" s="1">
        <f t="shared" si="42"/>
        <v>44362</v>
      </c>
      <c r="H68">
        <f t="shared" si="43"/>
        <v>365</v>
      </c>
      <c r="I68">
        <f t="shared" si="44"/>
        <v>31</v>
      </c>
      <c r="J68">
        <f t="shared" si="45"/>
        <v>8.4931506849315067E-2</v>
      </c>
      <c r="K68">
        <f>IFERROR($J68/IF($A68&lt;COUNTIFS($K$1:K$1,"&lt;&gt;"),0,SUMIFS($J:$J,$B:$B,$B68,$A:$A,"&gt;="&amp;COUNTIFS($K$1:K$1,"&lt;&gt;"))),0)</f>
        <v>8.8825214899713484E-2</v>
      </c>
      <c r="L68">
        <f>IFERROR($J68/IF($A68&lt;COUNTIFS($K$1:L$1,"&lt;&gt;"),0,SUMIFS($J:$J,$B:$B,$B68,$A:$A,"&gt;="&amp;COUNTIFS($K$1:L$1,"&lt;&gt;"))),0)</f>
        <v>0</v>
      </c>
      <c r="M68">
        <f>IFERROR($J68/IF($A68&lt;COUNTIFS($K$1:M$1,"&lt;&gt;"),0,SUMIFS($J:$J,$B:$B,$B68,$A:$A,"&gt;="&amp;COUNTIFS($K$1:M$1,"&lt;&gt;"))),0)</f>
        <v>0</v>
      </c>
      <c r="N68">
        <f>IFERROR($J68/IF($A68&lt;COUNTIFS($K$1:N$1,"&lt;&gt;"),0,SUMIFS($J:$J,$B:$B,$B68,$A:$A,"&gt;="&amp;COUNTIFS($K$1:N$1,"&lt;&gt;"))),0)</f>
        <v>0</v>
      </c>
      <c r="O68">
        <f>IFERROR($J68/IF($A68&lt;COUNTIFS($K$1:O$1,"&lt;&gt;"),0,SUMIFS($J:$J,$B:$B,$B68,$A:$A,"&gt;="&amp;COUNTIFS($K$1:O$1,"&lt;&gt;"))),0)</f>
        <v>0</v>
      </c>
      <c r="P68">
        <f>IFERROR($J68/IF($A68&lt;COUNTIFS($K$1:P$1,"&lt;&gt;"),0,SUMIFS($J:$J,$B:$B,$B68,$A:$A,"&gt;="&amp;COUNTIFS($K$1:P$1,"&lt;&gt;"))),0)</f>
        <v>0</v>
      </c>
      <c r="Q68">
        <f>IFERROR($J68/IF($A68&lt;COUNTIFS($K$1:Q$1,"&lt;&gt;"),0,SUMIFS($J:$J,$B:$B,$B68,$A:$A,"&gt;="&amp;COUNTIFS($K$1:Q$1,"&lt;&gt;"))),0)</f>
        <v>0</v>
      </c>
      <c r="R68">
        <f>IFERROR($J68/IF($A68&lt;COUNTIFS($K$1:R$1,"&lt;&gt;"),0,SUMIFS($J:$J,$B:$B,$B68,$A:$A,"&gt;="&amp;COUNTIFS($K$1:R$1,"&lt;&gt;"))),0)</f>
        <v>0</v>
      </c>
      <c r="S68">
        <f>IFERROR($J68/IF($A68&lt;COUNTIFS($K$1:S$1,"&lt;&gt;"),0,SUMIFS($J:$J,$B:$B,$B68,$A:$A,"&gt;="&amp;COUNTIFS($K$1:S$1,"&lt;&gt;"))),0)</f>
        <v>0</v>
      </c>
      <c r="T68">
        <f>IFERROR($J68/IF($A68&lt;COUNTIFS($K$1:T$1,"&lt;&gt;"),0,SUMIFS($J:$J,$B:$B,$B68,$A:$A,"&gt;="&amp;COUNTIFS($K$1:T$1,"&lt;&gt;"))),0)</f>
        <v>0</v>
      </c>
      <c r="U68">
        <f>IFERROR($J68/IF($A68&lt;COUNTIFS($K$1:U$1,"&lt;&gt;"),0,SUMIFS($J:$J,$B:$B,$B68,$A:$A,"&gt;="&amp;COUNTIFS($K$1:U$1,"&lt;&gt;"))),0)</f>
        <v>0</v>
      </c>
      <c r="V68">
        <f>IFERROR($J68/IF($A68&lt;COUNTIFS($K$1:V$1,"&lt;&gt;"),0,SUMIFS($J:$J,$B:$B,$B68,$A:$A,"&gt;="&amp;COUNTIFS($K$1:V$1,"&lt;&gt;"))),0)</f>
        <v>0</v>
      </c>
      <c r="W68">
        <f t="shared" si="46"/>
        <v>8.4931506849315067E-2</v>
      </c>
      <c r="X68">
        <f t="shared" si="26"/>
        <v>8.4931506849315067E-2</v>
      </c>
      <c r="Y68">
        <f t="shared" si="27"/>
        <v>0</v>
      </c>
      <c r="Z68">
        <f t="shared" si="28"/>
        <v>0</v>
      </c>
      <c r="AA68">
        <f t="shared" si="29"/>
        <v>0</v>
      </c>
      <c r="AB68">
        <f t="shared" si="30"/>
        <v>0</v>
      </c>
      <c r="AC68">
        <f t="shared" si="31"/>
        <v>0</v>
      </c>
      <c r="AD68">
        <f t="shared" si="32"/>
        <v>0</v>
      </c>
      <c r="AE68">
        <f t="shared" si="33"/>
        <v>0</v>
      </c>
      <c r="AF68">
        <f t="shared" si="34"/>
        <v>0</v>
      </c>
      <c r="AG68">
        <f t="shared" si="35"/>
        <v>0</v>
      </c>
      <c r="AH68">
        <f t="shared" si="36"/>
        <v>0</v>
      </c>
      <c r="AI68">
        <f t="shared" si="37"/>
        <v>0</v>
      </c>
      <c r="AJ68" s="2" t="str">
        <f t="shared" si="47"/>
        <v>143983</v>
      </c>
    </row>
    <row r="69" spans="1:36" x14ac:dyDescent="0.25">
      <c r="A69">
        <v>2</v>
      </c>
      <c r="B69" s="1">
        <v>43983</v>
      </c>
      <c r="C69" s="1">
        <f t="shared" si="38"/>
        <v>44044</v>
      </c>
      <c r="D69" s="1">
        <f t="shared" si="39"/>
        <v>43997</v>
      </c>
      <c r="E69" s="1">
        <f t="shared" si="40"/>
        <v>44044</v>
      </c>
      <c r="F69" s="1">
        <f t="shared" si="41"/>
        <v>44075</v>
      </c>
      <c r="G69" s="1">
        <f t="shared" si="42"/>
        <v>44362</v>
      </c>
      <c r="H69">
        <f t="shared" si="43"/>
        <v>365</v>
      </c>
      <c r="I69">
        <f t="shared" si="44"/>
        <v>31</v>
      </c>
      <c r="J69">
        <f t="shared" si="45"/>
        <v>8.4931506849315067E-2</v>
      </c>
      <c r="K69">
        <f>IFERROR($J69/IF($A69&lt;COUNTIFS($K$1:K$1,"&lt;&gt;"),0,SUMIFS($J:$J,$B:$B,$B69,$A:$A,"&gt;="&amp;COUNTIFS($K$1:K$1,"&lt;&gt;"))),0)</f>
        <v>8.8825214899713484E-2</v>
      </c>
      <c r="L69">
        <f>IFERROR($J69/IF($A69&lt;COUNTIFS($K$1:L$1,"&lt;&gt;"),0,SUMIFS($J:$J,$B:$B,$B69,$A:$A,"&gt;="&amp;COUNTIFS($K$1:L$1,"&lt;&gt;"))),0)</f>
        <v>9.7484276729559768E-2</v>
      </c>
      <c r="M69">
        <f>IFERROR($J69/IF($A69&lt;COUNTIFS($K$1:M$1,"&lt;&gt;"),0,SUMIFS($J:$J,$B:$B,$B69,$A:$A,"&gt;="&amp;COUNTIFS($K$1:M$1,"&lt;&gt;"))),0)</f>
        <v>0</v>
      </c>
      <c r="N69">
        <f>IFERROR($J69/IF($A69&lt;COUNTIFS($K$1:N$1,"&lt;&gt;"),0,SUMIFS($J:$J,$B:$B,$B69,$A:$A,"&gt;="&amp;COUNTIFS($K$1:N$1,"&lt;&gt;"))),0)</f>
        <v>0</v>
      </c>
      <c r="O69">
        <f>IFERROR($J69/IF($A69&lt;COUNTIFS($K$1:O$1,"&lt;&gt;"),0,SUMIFS($J:$J,$B:$B,$B69,$A:$A,"&gt;="&amp;COUNTIFS($K$1:O$1,"&lt;&gt;"))),0)</f>
        <v>0</v>
      </c>
      <c r="P69">
        <f>IFERROR($J69/IF($A69&lt;COUNTIFS($K$1:P$1,"&lt;&gt;"),0,SUMIFS($J:$J,$B:$B,$B69,$A:$A,"&gt;="&amp;COUNTIFS($K$1:P$1,"&lt;&gt;"))),0)</f>
        <v>0</v>
      </c>
      <c r="Q69">
        <f>IFERROR($J69/IF($A69&lt;COUNTIFS($K$1:Q$1,"&lt;&gt;"),0,SUMIFS($J:$J,$B:$B,$B69,$A:$A,"&gt;="&amp;COUNTIFS($K$1:Q$1,"&lt;&gt;"))),0)</f>
        <v>0</v>
      </c>
      <c r="R69">
        <f>IFERROR($J69/IF($A69&lt;COUNTIFS($K$1:R$1,"&lt;&gt;"),0,SUMIFS($J:$J,$B:$B,$B69,$A:$A,"&gt;="&amp;COUNTIFS($K$1:R$1,"&lt;&gt;"))),0)</f>
        <v>0</v>
      </c>
      <c r="S69">
        <f>IFERROR($J69/IF($A69&lt;COUNTIFS($K$1:S$1,"&lt;&gt;"),0,SUMIFS($J:$J,$B:$B,$B69,$A:$A,"&gt;="&amp;COUNTIFS($K$1:S$1,"&lt;&gt;"))),0)</f>
        <v>0</v>
      </c>
      <c r="T69">
        <f>IFERROR($J69/IF($A69&lt;COUNTIFS($K$1:T$1,"&lt;&gt;"),0,SUMIFS($J:$J,$B:$B,$B69,$A:$A,"&gt;="&amp;COUNTIFS($K$1:T$1,"&lt;&gt;"))),0)</f>
        <v>0</v>
      </c>
      <c r="U69">
        <f>IFERROR($J69/IF($A69&lt;COUNTIFS($K$1:U$1,"&lt;&gt;"),0,SUMIFS($J:$J,$B:$B,$B69,$A:$A,"&gt;="&amp;COUNTIFS($K$1:U$1,"&lt;&gt;"))),0)</f>
        <v>0</v>
      </c>
      <c r="V69">
        <f>IFERROR($J69/IF($A69&lt;COUNTIFS($K$1:V$1,"&lt;&gt;"),0,SUMIFS($J:$J,$B:$B,$B69,$A:$A,"&gt;="&amp;COUNTIFS($K$1:V$1,"&lt;&gt;"))),0)</f>
        <v>0</v>
      </c>
      <c r="W69">
        <f t="shared" si="46"/>
        <v>8.4931506849315067E-2</v>
      </c>
      <c r="X69">
        <f t="shared" si="26"/>
        <v>8.4931506849315067E-2</v>
      </c>
      <c r="Y69">
        <f t="shared" si="27"/>
        <v>8.4931506849315067E-2</v>
      </c>
      <c r="Z69">
        <f t="shared" si="28"/>
        <v>0</v>
      </c>
      <c r="AA69">
        <f t="shared" si="29"/>
        <v>0</v>
      </c>
      <c r="AB69">
        <f t="shared" si="30"/>
        <v>0</v>
      </c>
      <c r="AC69">
        <f t="shared" si="31"/>
        <v>0</v>
      </c>
      <c r="AD69">
        <f t="shared" si="32"/>
        <v>0</v>
      </c>
      <c r="AE69">
        <f t="shared" si="33"/>
        <v>0</v>
      </c>
      <c r="AF69">
        <f t="shared" si="34"/>
        <v>0</v>
      </c>
      <c r="AG69">
        <f t="shared" si="35"/>
        <v>0</v>
      </c>
      <c r="AH69">
        <f t="shared" si="36"/>
        <v>0</v>
      </c>
      <c r="AI69">
        <f t="shared" si="37"/>
        <v>0</v>
      </c>
      <c r="AJ69" s="2" t="str">
        <f t="shared" si="47"/>
        <v>243983</v>
      </c>
    </row>
    <row r="70" spans="1:36" x14ac:dyDescent="0.25">
      <c r="A70">
        <v>3</v>
      </c>
      <c r="B70" s="1">
        <v>43983</v>
      </c>
      <c r="C70" s="1">
        <f t="shared" si="38"/>
        <v>44075</v>
      </c>
      <c r="D70" s="1">
        <f t="shared" si="39"/>
        <v>43997</v>
      </c>
      <c r="E70" s="1">
        <f t="shared" si="40"/>
        <v>44075</v>
      </c>
      <c r="F70" s="1">
        <f t="shared" si="41"/>
        <v>44105</v>
      </c>
      <c r="G70" s="1">
        <f t="shared" si="42"/>
        <v>44362</v>
      </c>
      <c r="H70">
        <f t="shared" si="43"/>
        <v>365</v>
      </c>
      <c r="I70">
        <f t="shared" si="44"/>
        <v>30</v>
      </c>
      <c r="J70">
        <f t="shared" si="45"/>
        <v>8.2191780821917804E-2</v>
      </c>
      <c r="K70">
        <f>IFERROR($J70/IF($A70&lt;COUNTIFS($K$1:K$1,"&lt;&gt;"),0,SUMIFS($J:$J,$B:$B,$B70,$A:$A,"&gt;="&amp;COUNTIFS($K$1:K$1,"&lt;&gt;"))),0)</f>
        <v>8.5959885386819493E-2</v>
      </c>
      <c r="L70">
        <f>IFERROR($J70/IF($A70&lt;COUNTIFS($K$1:L$1,"&lt;&gt;"),0,SUMIFS($J:$J,$B:$B,$B70,$A:$A,"&gt;="&amp;COUNTIFS($K$1:L$1,"&lt;&gt;"))),0)</f>
        <v>9.4339622641509441E-2</v>
      </c>
      <c r="M70">
        <f>IFERROR($J70/IF($A70&lt;COUNTIFS($K$1:M$1,"&lt;&gt;"),0,SUMIFS($J:$J,$B:$B,$B70,$A:$A,"&gt;="&amp;COUNTIFS($K$1:M$1,"&lt;&gt;"))),0)</f>
        <v>0.10452961672473869</v>
      </c>
      <c r="N70">
        <f>IFERROR($J70/IF($A70&lt;COUNTIFS($K$1:N$1,"&lt;&gt;"),0,SUMIFS($J:$J,$B:$B,$B70,$A:$A,"&gt;="&amp;COUNTIFS($K$1:N$1,"&lt;&gt;"))),0)</f>
        <v>0</v>
      </c>
      <c r="O70">
        <f>IFERROR($J70/IF($A70&lt;COUNTIFS($K$1:O$1,"&lt;&gt;"),0,SUMIFS($J:$J,$B:$B,$B70,$A:$A,"&gt;="&amp;COUNTIFS($K$1:O$1,"&lt;&gt;"))),0)</f>
        <v>0</v>
      </c>
      <c r="P70">
        <f>IFERROR($J70/IF($A70&lt;COUNTIFS($K$1:P$1,"&lt;&gt;"),0,SUMIFS($J:$J,$B:$B,$B70,$A:$A,"&gt;="&amp;COUNTIFS($K$1:P$1,"&lt;&gt;"))),0)</f>
        <v>0</v>
      </c>
      <c r="Q70">
        <f>IFERROR($J70/IF($A70&lt;COUNTIFS($K$1:Q$1,"&lt;&gt;"),0,SUMIFS($J:$J,$B:$B,$B70,$A:$A,"&gt;="&amp;COUNTIFS($K$1:Q$1,"&lt;&gt;"))),0)</f>
        <v>0</v>
      </c>
      <c r="R70">
        <f>IFERROR($J70/IF($A70&lt;COUNTIFS($K$1:R$1,"&lt;&gt;"),0,SUMIFS($J:$J,$B:$B,$B70,$A:$A,"&gt;="&amp;COUNTIFS($K$1:R$1,"&lt;&gt;"))),0)</f>
        <v>0</v>
      </c>
      <c r="S70">
        <f>IFERROR($J70/IF($A70&lt;COUNTIFS($K$1:S$1,"&lt;&gt;"),0,SUMIFS($J:$J,$B:$B,$B70,$A:$A,"&gt;="&amp;COUNTIFS($K$1:S$1,"&lt;&gt;"))),0)</f>
        <v>0</v>
      </c>
      <c r="T70">
        <f>IFERROR($J70/IF($A70&lt;COUNTIFS($K$1:T$1,"&lt;&gt;"),0,SUMIFS($J:$J,$B:$B,$B70,$A:$A,"&gt;="&amp;COUNTIFS($K$1:T$1,"&lt;&gt;"))),0)</f>
        <v>0</v>
      </c>
      <c r="U70">
        <f>IFERROR($J70/IF($A70&lt;COUNTIFS($K$1:U$1,"&lt;&gt;"),0,SUMIFS($J:$J,$B:$B,$B70,$A:$A,"&gt;="&amp;COUNTIFS($K$1:U$1,"&lt;&gt;"))),0)</f>
        <v>0</v>
      </c>
      <c r="V70">
        <f>IFERROR($J70/IF($A70&lt;COUNTIFS($K$1:V$1,"&lt;&gt;"),0,SUMIFS($J:$J,$B:$B,$B70,$A:$A,"&gt;="&amp;COUNTIFS($K$1:V$1,"&lt;&gt;"))),0)</f>
        <v>0</v>
      </c>
      <c r="W70">
        <f t="shared" si="46"/>
        <v>8.2191780821917804E-2</v>
      </c>
      <c r="X70">
        <f t="shared" si="26"/>
        <v>8.2191780821917804E-2</v>
      </c>
      <c r="Y70">
        <f t="shared" si="27"/>
        <v>8.2191780821917804E-2</v>
      </c>
      <c r="Z70">
        <f t="shared" si="28"/>
        <v>8.2191780821917804E-2</v>
      </c>
      <c r="AA70">
        <f t="shared" si="29"/>
        <v>0</v>
      </c>
      <c r="AB70">
        <f t="shared" si="30"/>
        <v>0</v>
      </c>
      <c r="AC70">
        <f t="shared" si="31"/>
        <v>0</v>
      </c>
      <c r="AD70">
        <f t="shared" si="32"/>
        <v>0</v>
      </c>
      <c r="AE70">
        <f t="shared" si="33"/>
        <v>0</v>
      </c>
      <c r="AF70">
        <f t="shared" si="34"/>
        <v>0</v>
      </c>
      <c r="AG70">
        <f t="shared" si="35"/>
        <v>0</v>
      </c>
      <c r="AH70">
        <f t="shared" si="36"/>
        <v>0</v>
      </c>
      <c r="AI70">
        <f t="shared" si="37"/>
        <v>0</v>
      </c>
      <c r="AJ70" s="2" t="str">
        <f t="shared" si="47"/>
        <v>343983</v>
      </c>
    </row>
    <row r="71" spans="1:36" x14ac:dyDescent="0.25">
      <c r="A71">
        <v>4</v>
      </c>
      <c r="B71" s="1">
        <v>43983</v>
      </c>
      <c r="C71" s="1">
        <f t="shared" si="38"/>
        <v>44105</v>
      </c>
      <c r="D71" s="1">
        <f t="shared" si="39"/>
        <v>43997</v>
      </c>
      <c r="E71" s="1">
        <f t="shared" si="40"/>
        <v>44105</v>
      </c>
      <c r="F71" s="1">
        <f t="shared" si="41"/>
        <v>44136</v>
      </c>
      <c r="G71" s="1">
        <f t="shared" si="42"/>
        <v>44362</v>
      </c>
      <c r="H71">
        <f t="shared" si="43"/>
        <v>365</v>
      </c>
      <c r="I71">
        <f t="shared" si="44"/>
        <v>31</v>
      </c>
      <c r="J71">
        <f t="shared" si="45"/>
        <v>8.4931506849315067E-2</v>
      </c>
      <c r="K71">
        <f>IFERROR($J71/IF($A71&lt;COUNTIFS($K$1:K$1,"&lt;&gt;"),0,SUMIFS($J:$J,$B:$B,$B71,$A:$A,"&gt;="&amp;COUNTIFS($K$1:K$1,"&lt;&gt;"))),0)</f>
        <v>8.8825214899713484E-2</v>
      </c>
      <c r="L71">
        <f>IFERROR($J71/IF($A71&lt;COUNTIFS($K$1:L$1,"&lt;&gt;"),0,SUMIFS($J:$J,$B:$B,$B71,$A:$A,"&gt;="&amp;COUNTIFS($K$1:L$1,"&lt;&gt;"))),0)</f>
        <v>9.7484276729559768E-2</v>
      </c>
      <c r="M71">
        <f>IFERROR($J71/IF($A71&lt;COUNTIFS($K$1:M$1,"&lt;&gt;"),0,SUMIFS($J:$J,$B:$B,$B71,$A:$A,"&gt;="&amp;COUNTIFS($K$1:M$1,"&lt;&gt;"))),0)</f>
        <v>0.10801393728222998</v>
      </c>
      <c r="N71">
        <f>IFERROR($J71/IF($A71&lt;COUNTIFS($K$1:N$1,"&lt;&gt;"),0,SUMIFS($J:$J,$B:$B,$B71,$A:$A,"&gt;="&amp;COUNTIFS($K$1:N$1,"&lt;&gt;"))),0)</f>
        <v>0.12062256809338523</v>
      </c>
      <c r="O71">
        <f>IFERROR($J71/IF($A71&lt;COUNTIFS($K$1:O$1,"&lt;&gt;"),0,SUMIFS($J:$J,$B:$B,$B71,$A:$A,"&gt;="&amp;COUNTIFS($K$1:O$1,"&lt;&gt;"))),0)</f>
        <v>0</v>
      </c>
      <c r="P71">
        <f>IFERROR($J71/IF($A71&lt;COUNTIFS($K$1:P$1,"&lt;&gt;"),0,SUMIFS($J:$J,$B:$B,$B71,$A:$A,"&gt;="&amp;COUNTIFS($K$1:P$1,"&lt;&gt;"))),0)</f>
        <v>0</v>
      </c>
      <c r="Q71">
        <f>IFERROR($J71/IF($A71&lt;COUNTIFS($K$1:Q$1,"&lt;&gt;"),0,SUMIFS($J:$J,$B:$B,$B71,$A:$A,"&gt;="&amp;COUNTIFS($K$1:Q$1,"&lt;&gt;"))),0)</f>
        <v>0</v>
      </c>
      <c r="R71">
        <f>IFERROR($J71/IF($A71&lt;COUNTIFS($K$1:R$1,"&lt;&gt;"),0,SUMIFS($J:$J,$B:$B,$B71,$A:$A,"&gt;="&amp;COUNTIFS($K$1:R$1,"&lt;&gt;"))),0)</f>
        <v>0</v>
      </c>
      <c r="S71">
        <f>IFERROR($J71/IF($A71&lt;COUNTIFS($K$1:S$1,"&lt;&gt;"),0,SUMIFS($J:$J,$B:$B,$B71,$A:$A,"&gt;="&amp;COUNTIFS($K$1:S$1,"&lt;&gt;"))),0)</f>
        <v>0</v>
      </c>
      <c r="T71">
        <f>IFERROR($J71/IF($A71&lt;COUNTIFS($K$1:T$1,"&lt;&gt;"),0,SUMIFS($J:$J,$B:$B,$B71,$A:$A,"&gt;="&amp;COUNTIFS($K$1:T$1,"&lt;&gt;"))),0)</f>
        <v>0</v>
      </c>
      <c r="U71">
        <f>IFERROR($J71/IF($A71&lt;COUNTIFS($K$1:U$1,"&lt;&gt;"),0,SUMIFS($J:$J,$B:$B,$B71,$A:$A,"&gt;="&amp;COUNTIFS($K$1:U$1,"&lt;&gt;"))),0)</f>
        <v>0</v>
      </c>
      <c r="V71">
        <f>IFERROR($J71/IF($A71&lt;COUNTIFS($K$1:V$1,"&lt;&gt;"),0,SUMIFS($J:$J,$B:$B,$B71,$A:$A,"&gt;="&amp;COUNTIFS($K$1:V$1,"&lt;&gt;"))),0)</f>
        <v>0</v>
      </c>
      <c r="W71">
        <f t="shared" si="46"/>
        <v>8.4931506849315067E-2</v>
      </c>
      <c r="X71">
        <f t="shared" si="26"/>
        <v>8.4931506849315067E-2</v>
      </c>
      <c r="Y71">
        <f t="shared" si="27"/>
        <v>8.4931506849315067E-2</v>
      </c>
      <c r="Z71">
        <f t="shared" si="28"/>
        <v>8.4931506849315067E-2</v>
      </c>
      <c r="AA71">
        <f t="shared" si="29"/>
        <v>8.4931506849315067E-2</v>
      </c>
      <c r="AB71">
        <f t="shared" si="30"/>
        <v>0</v>
      </c>
      <c r="AC71">
        <f t="shared" si="31"/>
        <v>0</v>
      </c>
      <c r="AD71">
        <f t="shared" si="32"/>
        <v>0</v>
      </c>
      <c r="AE71">
        <f t="shared" si="33"/>
        <v>0</v>
      </c>
      <c r="AF71">
        <f t="shared" si="34"/>
        <v>0</v>
      </c>
      <c r="AG71">
        <f t="shared" si="35"/>
        <v>0</v>
      </c>
      <c r="AH71">
        <f t="shared" si="36"/>
        <v>0</v>
      </c>
      <c r="AI71">
        <f t="shared" si="37"/>
        <v>0</v>
      </c>
      <c r="AJ71" s="2" t="str">
        <f t="shared" si="47"/>
        <v>443983</v>
      </c>
    </row>
    <row r="72" spans="1:36" x14ac:dyDescent="0.25">
      <c r="A72">
        <v>5</v>
      </c>
      <c r="B72" s="1">
        <v>43983</v>
      </c>
      <c r="C72" s="1">
        <f t="shared" si="38"/>
        <v>44136</v>
      </c>
      <c r="D72" s="1">
        <f t="shared" si="39"/>
        <v>43997</v>
      </c>
      <c r="E72" s="1">
        <f t="shared" si="40"/>
        <v>44136</v>
      </c>
      <c r="F72" s="1">
        <f t="shared" si="41"/>
        <v>44166</v>
      </c>
      <c r="G72" s="1">
        <f t="shared" si="42"/>
        <v>44362</v>
      </c>
      <c r="H72">
        <f t="shared" si="43"/>
        <v>365</v>
      </c>
      <c r="I72">
        <f t="shared" si="44"/>
        <v>30</v>
      </c>
      <c r="J72">
        <f t="shared" si="45"/>
        <v>8.2191780821917804E-2</v>
      </c>
      <c r="K72">
        <f>IFERROR($J72/IF($A72&lt;COUNTIFS($K$1:K$1,"&lt;&gt;"),0,SUMIFS($J:$J,$B:$B,$B72,$A:$A,"&gt;="&amp;COUNTIFS($K$1:K$1,"&lt;&gt;"))),0)</f>
        <v>8.5959885386819493E-2</v>
      </c>
      <c r="L72">
        <f>IFERROR($J72/IF($A72&lt;COUNTIFS($K$1:L$1,"&lt;&gt;"),0,SUMIFS($J:$J,$B:$B,$B72,$A:$A,"&gt;="&amp;COUNTIFS($K$1:L$1,"&lt;&gt;"))),0)</f>
        <v>9.4339622641509441E-2</v>
      </c>
      <c r="M72">
        <f>IFERROR($J72/IF($A72&lt;COUNTIFS($K$1:M$1,"&lt;&gt;"),0,SUMIFS($J:$J,$B:$B,$B72,$A:$A,"&gt;="&amp;COUNTIFS($K$1:M$1,"&lt;&gt;"))),0)</f>
        <v>0.10452961672473869</v>
      </c>
      <c r="N72">
        <f>IFERROR($J72/IF($A72&lt;COUNTIFS($K$1:N$1,"&lt;&gt;"),0,SUMIFS($J:$J,$B:$B,$B72,$A:$A,"&gt;="&amp;COUNTIFS($K$1:N$1,"&lt;&gt;"))),0)</f>
        <v>0.11673151750972764</v>
      </c>
      <c r="O72">
        <f>IFERROR($J72/IF($A72&lt;COUNTIFS($K$1:O$1,"&lt;&gt;"),0,SUMIFS($J:$J,$B:$B,$B72,$A:$A,"&gt;="&amp;COUNTIFS($K$1:O$1,"&lt;&gt;"))),0)</f>
        <v>0.13274336283185842</v>
      </c>
      <c r="P72">
        <f>IFERROR($J72/IF($A72&lt;COUNTIFS($K$1:P$1,"&lt;&gt;"),0,SUMIFS($J:$J,$B:$B,$B72,$A:$A,"&gt;="&amp;COUNTIFS($K$1:P$1,"&lt;&gt;"))),0)</f>
        <v>0</v>
      </c>
      <c r="Q72">
        <f>IFERROR($J72/IF($A72&lt;COUNTIFS($K$1:Q$1,"&lt;&gt;"),0,SUMIFS($J:$J,$B:$B,$B72,$A:$A,"&gt;="&amp;COUNTIFS($K$1:Q$1,"&lt;&gt;"))),0)</f>
        <v>0</v>
      </c>
      <c r="R72">
        <f>IFERROR($J72/IF($A72&lt;COUNTIFS($K$1:R$1,"&lt;&gt;"),0,SUMIFS($J:$J,$B:$B,$B72,$A:$A,"&gt;="&amp;COUNTIFS($K$1:R$1,"&lt;&gt;"))),0)</f>
        <v>0</v>
      </c>
      <c r="S72">
        <f>IFERROR($J72/IF($A72&lt;COUNTIFS($K$1:S$1,"&lt;&gt;"),0,SUMIFS($J:$J,$B:$B,$B72,$A:$A,"&gt;="&amp;COUNTIFS($K$1:S$1,"&lt;&gt;"))),0)</f>
        <v>0</v>
      </c>
      <c r="T72">
        <f>IFERROR($J72/IF($A72&lt;COUNTIFS($K$1:T$1,"&lt;&gt;"),0,SUMIFS($J:$J,$B:$B,$B72,$A:$A,"&gt;="&amp;COUNTIFS($K$1:T$1,"&lt;&gt;"))),0)</f>
        <v>0</v>
      </c>
      <c r="U72">
        <f>IFERROR($J72/IF($A72&lt;COUNTIFS($K$1:U$1,"&lt;&gt;"),0,SUMIFS($J:$J,$B:$B,$B72,$A:$A,"&gt;="&amp;COUNTIFS($K$1:U$1,"&lt;&gt;"))),0)</f>
        <v>0</v>
      </c>
      <c r="V72">
        <f>IFERROR($J72/IF($A72&lt;COUNTIFS($K$1:V$1,"&lt;&gt;"),0,SUMIFS($J:$J,$B:$B,$B72,$A:$A,"&gt;="&amp;COUNTIFS($K$1:V$1,"&lt;&gt;"))),0)</f>
        <v>0</v>
      </c>
      <c r="W72">
        <f t="shared" si="46"/>
        <v>8.2191780821917804E-2</v>
      </c>
      <c r="X72">
        <f t="shared" si="26"/>
        <v>8.2191780821917804E-2</v>
      </c>
      <c r="Y72">
        <f t="shared" si="27"/>
        <v>8.2191780821917804E-2</v>
      </c>
      <c r="Z72">
        <f t="shared" si="28"/>
        <v>8.2191780821917804E-2</v>
      </c>
      <c r="AA72">
        <f t="shared" si="29"/>
        <v>8.2191780821917804E-2</v>
      </c>
      <c r="AB72">
        <f t="shared" si="30"/>
        <v>8.2191780821917804E-2</v>
      </c>
      <c r="AC72">
        <f t="shared" si="31"/>
        <v>0</v>
      </c>
      <c r="AD72">
        <f t="shared" si="32"/>
        <v>0</v>
      </c>
      <c r="AE72">
        <f t="shared" si="33"/>
        <v>0</v>
      </c>
      <c r="AF72">
        <f t="shared" si="34"/>
        <v>0</v>
      </c>
      <c r="AG72">
        <f t="shared" si="35"/>
        <v>0</v>
      </c>
      <c r="AH72">
        <f t="shared" si="36"/>
        <v>0</v>
      </c>
      <c r="AI72">
        <f t="shared" si="37"/>
        <v>0</v>
      </c>
      <c r="AJ72" s="2" t="str">
        <f t="shared" si="47"/>
        <v>543983</v>
      </c>
    </row>
    <row r="73" spans="1:36" x14ac:dyDescent="0.25">
      <c r="A73">
        <v>6</v>
      </c>
      <c r="B73" s="1">
        <v>43983</v>
      </c>
      <c r="C73" s="1">
        <f t="shared" si="38"/>
        <v>44166</v>
      </c>
      <c r="D73" s="1">
        <f t="shared" si="39"/>
        <v>43997</v>
      </c>
      <c r="E73" s="1">
        <f t="shared" si="40"/>
        <v>44166</v>
      </c>
      <c r="F73" s="1">
        <f t="shared" si="41"/>
        <v>44197</v>
      </c>
      <c r="G73" s="1">
        <f t="shared" si="42"/>
        <v>44362</v>
      </c>
      <c r="H73">
        <f t="shared" si="43"/>
        <v>365</v>
      </c>
      <c r="I73">
        <f t="shared" si="44"/>
        <v>31</v>
      </c>
      <c r="J73">
        <f t="shared" si="45"/>
        <v>8.4931506849315067E-2</v>
      </c>
      <c r="K73">
        <f>IFERROR($J73/IF($A73&lt;COUNTIFS($K$1:K$1,"&lt;&gt;"),0,SUMIFS($J:$J,$B:$B,$B73,$A:$A,"&gt;="&amp;COUNTIFS($K$1:K$1,"&lt;&gt;"))),0)</f>
        <v>8.8825214899713484E-2</v>
      </c>
      <c r="L73">
        <f>IFERROR($J73/IF($A73&lt;COUNTIFS($K$1:L$1,"&lt;&gt;"),0,SUMIFS($J:$J,$B:$B,$B73,$A:$A,"&gt;="&amp;COUNTIFS($K$1:L$1,"&lt;&gt;"))),0)</f>
        <v>9.7484276729559768E-2</v>
      </c>
      <c r="M73">
        <f>IFERROR($J73/IF($A73&lt;COUNTIFS($K$1:M$1,"&lt;&gt;"),0,SUMIFS($J:$J,$B:$B,$B73,$A:$A,"&gt;="&amp;COUNTIFS($K$1:M$1,"&lt;&gt;"))),0)</f>
        <v>0.10801393728222998</v>
      </c>
      <c r="N73">
        <f>IFERROR($J73/IF($A73&lt;COUNTIFS($K$1:N$1,"&lt;&gt;"),0,SUMIFS($J:$J,$B:$B,$B73,$A:$A,"&gt;="&amp;COUNTIFS($K$1:N$1,"&lt;&gt;"))),0)</f>
        <v>0.12062256809338523</v>
      </c>
      <c r="O73">
        <f>IFERROR($J73/IF($A73&lt;COUNTIFS($K$1:O$1,"&lt;&gt;"),0,SUMIFS($J:$J,$B:$B,$B73,$A:$A,"&gt;="&amp;COUNTIFS($K$1:O$1,"&lt;&gt;"))),0)</f>
        <v>0.13716814159292037</v>
      </c>
      <c r="P73">
        <f>IFERROR($J73/IF($A73&lt;COUNTIFS($K$1:P$1,"&lt;&gt;"),0,SUMIFS($J:$J,$B:$B,$B73,$A:$A,"&gt;="&amp;COUNTIFS($K$1:P$1,"&lt;&gt;"))),0)</f>
        <v>0.15816326530612249</v>
      </c>
      <c r="Q73">
        <f>IFERROR($J73/IF($A73&lt;COUNTIFS($K$1:Q$1,"&lt;&gt;"),0,SUMIFS($J:$J,$B:$B,$B73,$A:$A,"&gt;="&amp;COUNTIFS($K$1:Q$1,"&lt;&gt;"))),0)</f>
        <v>0</v>
      </c>
      <c r="R73">
        <f>IFERROR($J73/IF($A73&lt;COUNTIFS($K$1:R$1,"&lt;&gt;"),0,SUMIFS($J:$J,$B:$B,$B73,$A:$A,"&gt;="&amp;COUNTIFS($K$1:R$1,"&lt;&gt;"))),0)</f>
        <v>0</v>
      </c>
      <c r="S73">
        <f>IFERROR($J73/IF($A73&lt;COUNTIFS($K$1:S$1,"&lt;&gt;"),0,SUMIFS($J:$J,$B:$B,$B73,$A:$A,"&gt;="&amp;COUNTIFS($K$1:S$1,"&lt;&gt;"))),0)</f>
        <v>0</v>
      </c>
      <c r="T73">
        <f>IFERROR($J73/IF($A73&lt;COUNTIFS($K$1:T$1,"&lt;&gt;"),0,SUMIFS($J:$J,$B:$B,$B73,$A:$A,"&gt;="&amp;COUNTIFS($K$1:T$1,"&lt;&gt;"))),0)</f>
        <v>0</v>
      </c>
      <c r="U73">
        <f>IFERROR($J73/IF($A73&lt;COUNTIFS($K$1:U$1,"&lt;&gt;"),0,SUMIFS($J:$J,$B:$B,$B73,$A:$A,"&gt;="&amp;COUNTIFS($K$1:U$1,"&lt;&gt;"))),0)</f>
        <v>0</v>
      </c>
      <c r="V73">
        <f>IFERROR($J73/IF($A73&lt;COUNTIFS($K$1:V$1,"&lt;&gt;"),0,SUMIFS($J:$J,$B:$B,$B73,$A:$A,"&gt;="&amp;COUNTIFS($K$1:V$1,"&lt;&gt;"))),0)</f>
        <v>0</v>
      </c>
      <c r="W73">
        <f t="shared" si="46"/>
        <v>8.4931506849315067E-2</v>
      </c>
      <c r="X73">
        <f t="shared" si="26"/>
        <v>8.4931506849315067E-2</v>
      </c>
      <c r="Y73">
        <f t="shared" si="27"/>
        <v>8.4931506849315067E-2</v>
      </c>
      <c r="Z73">
        <f t="shared" si="28"/>
        <v>8.4931506849315067E-2</v>
      </c>
      <c r="AA73">
        <f t="shared" si="29"/>
        <v>8.4931506849315067E-2</v>
      </c>
      <c r="AB73">
        <f t="shared" si="30"/>
        <v>8.4931506849315067E-2</v>
      </c>
      <c r="AC73">
        <f t="shared" si="31"/>
        <v>8.4931506849315067E-2</v>
      </c>
      <c r="AD73">
        <f t="shared" si="32"/>
        <v>0</v>
      </c>
      <c r="AE73">
        <f t="shared" si="33"/>
        <v>0</v>
      </c>
      <c r="AF73">
        <f t="shared" si="34"/>
        <v>0</v>
      </c>
      <c r="AG73">
        <f t="shared" si="35"/>
        <v>0</v>
      </c>
      <c r="AH73">
        <f t="shared" si="36"/>
        <v>0</v>
      </c>
      <c r="AI73">
        <f t="shared" si="37"/>
        <v>0</v>
      </c>
      <c r="AJ73" s="2" t="str">
        <f t="shared" si="47"/>
        <v>643983</v>
      </c>
    </row>
    <row r="74" spans="1:36" x14ac:dyDescent="0.25">
      <c r="A74">
        <v>7</v>
      </c>
      <c r="B74" s="1">
        <v>43983</v>
      </c>
      <c r="C74" s="1">
        <f t="shared" si="38"/>
        <v>44197</v>
      </c>
      <c r="D74" s="1">
        <f t="shared" si="39"/>
        <v>43997</v>
      </c>
      <c r="E74" s="1">
        <f t="shared" si="40"/>
        <v>44197</v>
      </c>
      <c r="F74" s="1">
        <f t="shared" si="41"/>
        <v>44228</v>
      </c>
      <c r="G74" s="1">
        <f t="shared" si="42"/>
        <v>44362</v>
      </c>
      <c r="H74">
        <f t="shared" si="43"/>
        <v>365</v>
      </c>
      <c r="I74">
        <f t="shared" si="44"/>
        <v>31</v>
      </c>
      <c r="J74">
        <f t="shared" si="45"/>
        <v>8.4931506849315067E-2</v>
      </c>
      <c r="K74">
        <f>IFERROR($J74/IF($A74&lt;COUNTIFS($K$1:K$1,"&lt;&gt;"),0,SUMIFS($J:$J,$B:$B,$B74,$A:$A,"&gt;="&amp;COUNTIFS($K$1:K$1,"&lt;&gt;"))),0)</f>
        <v>8.8825214899713484E-2</v>
      </c>
      <c r="L74">
        <f>IFERROR($J74/IF($A74&lt;COUNTIFS($K$1:L$1,"&lt;&gt;"),0,SUMIFS($J:$J,$B:$B,$B74,$A:$A,"&gt;="&amp;COUNTIFS($K$1:L$1,"&lt;&gt;"))),0)</f>
        <v>9.7484276729559768E-2</v>
      </c>
      <c r="M74">
        <f>IFERROR($J74/IF($A74&lt;COUNTIFS($K$1:M$1,"&lt;&gt;"),0,SUMIFS($J:$J,$B:$B,$B74,$A:$A,"&gt;="&amp;COUNTIFS($K$1:M$1,"&lt;&gt;"))),0)</f>
        <v>0.10801393728222998</v>
      </c>
      <c r="N74">
        <f>IFERROR($J74/IF($A74&lt;COUNTIFS($K$1:N$1,"&lt;&gt;"),0,SUMIFS($J:$J,$B:$B,$B74,$A:$A,"&gt;="&amp;COUNTIFS($K$1:N$1,"&lt;&gt;"))),0)</f>
        <v>0.12062256809338523</v>
      </c>
      <c r="O74">
        <f>IFERROR($J74/IF($A74&lt;COUNTIFS($K$1:O$1,"&lt;&gt;"),0,SUMIFS($J:$J,$B:$B,$B74,$A:$A,"&gt;="&amp;COUNTIFS($K$1:O$1,"&lt;&gt;"))),0)</f>
        <v>0.13716814159292037</v>
      </c>
      <c r="P74">
        <f>IFERROR($J74/IF($A74&lt;COUNTIFS($K$1:P$1,"&lt;&gt;"),0,SUMIFS($J:$J,$B:$B,$B74,$A:$A,"&gt;="&amp;COUNTIFS($K$1:P$1,"&lt;&gt;"))),0)</f>
        <v>0.15816326530612249</v>
      </c>
      <c r="Q74">
        <f>IFERROR($J74/IF($A74&lt;COUNTIFS($K$1:Q$1,"&lt;&gt;"),0,SUMIFS($J:$J,$B:$B,$B74,$A:$A,"&gt;="&amp;COUNTIFS($K$1:Q$1,"&lt;&gt;"))),0)</f>
        <v>0.1878787878787879</v>
      </c>
      <c r="R74">
        <f>IFERROR($J74/IF($A74&lt;COUNTIFS($K$1:R$1,"&lt;&gt;"),0,SUMIFS($J:$J,$B:$B,$B74,$A:$A,"&gt;="&amp;COUNTIFS($K$1:R$1,"&lt;&gt;"))),0)</f>
        <v>0</v>
      </c>
      <c r="S74">
        <f>IFERROR($J74/IF($A74&lt;COUNTIFS($K$1:S$1,"&lt;&gt;"),0,SUMIFS($J:$J,$B:$B,$B74,$A:$A,"&gt;="&amp;COUNTIFS($K$1:S$1,"&lt;&gt;"))),0)</f>
        <v>0</v>
      </c>
      <c r="T74">
        <f>IFERROR($J74/IF($A74&lt;COUNTIFS($K$1:T$1,"&lt;&gt;"),0,SUMIFS($J:$J,$B:$B,$B74,$A:$A,"&gt;="&amp;COUNTIFS($K$1:T$1,"&lt;&gt;"))),0)</f>
        <v>0</v>
      </c>
      <c r="U74">
        <f>IFERROR($J74/IF($A74&lt;COUNTIFS($K$1:U$1,"&lt;&gt;"),0,SUMIFS($J:$J,$B:$B,$B74,$A:$A,"&gt;="&amp;COUNTIFS($K$1:U$1,"&lt;&gt;"))),0)</f>
        <v>0</v>
      </c>
      <c r="V74">
        <f>IFERROR($J74/IF($A74&lt;COUNTIFS($K$1:V$1,"&lt;&gt;"),0,SUMIFS($J:$J,$B:$B,$B74,$A:$A,"&gt;="&amp;COUNTIFS($K$1:V$1,"&lt;&gt;"))),0)</f>
        <v>0</v>
      </c>
      <c r="W74">
        <f t="shared" si="46"/>
        <v>8.4931506849315067E-2</v>
      </c>
      <c r="X74">
        <f t="shared" si="26"/>
        <v>8.4931506849315067E-2</v>
      </c>
      <c r="Y74">
        <f t="shared" si="27"/>
        <v>8.4931506849315067E-2</v>
      </c>
      <c r="Z74">
        <f t="shared" si="28"/>
        <v>8.4931506849315067E-2</v>
      </c>
      <c r="AA74">
        <f t="shared" si="29"/>
        <v>8.4931506849315067E-2</v>
      </c>
      <c r="AB74">
        <f t="shared" si="30"/>
        <v>8.4931506849315067E-2</v>
      </c>
      <c r="AC74">
        <f t="shared" si="31"/>
        <v>8.4931506849315067E-2</v>
      </c>
      <c r="AD74">
        <f t="shared" si="32"/>
        <v>8.4931506849315067E-2</v>
      </c>
      <c r="AE74">
        <f t="shared" si="33"/>
        <v>0</v>
      </c>
      <c r="AF74">
        <f t="shared" si="34"/>
        <v>0</v>
      </c>
      <c r="AG74">
        <f t="shared" si="35"/>
        <v>0</v>
      </c>
      <c r="AH74">
        <f t="shared" si="36"/>
        <v>0</v>
      </c>
      <c r="AI74">
        <f t="shared" si="37"/>
        <v>0</v>
      </c>
      <c r="AJ74" s="2" t="str">
        <f t="shared" si="47"/>
        <v>743983</v>
      </c>
    </row>
    <row r="75" spans="1:36" x14ac:dyDescent="0.25">
      <c r="A75">
        <v>8</v>
      </c>
      <c r="B75" s="1">
        <v>43983</v>
      </c>
      <c r="C75" s="1">
        <f t="shared" si="38"/>
        <v>44228</v>
      </c>
      <c r="D75" s="1">
        <f t="shared" si="39"/>
        <v>43997</v>
      </c>
      <c r="E75" s="1">
        <f t="shared" si="40"/>
        <v>44228</v>
      </c>
      <c r="F75" s="1">
        <f t="shared" si="41"/>
        <v>44256</v>
      </c>
      <c r="G75" s="1">
        <f t="shared" si="42"/>
        <v>44362</v>
      </c>
      <c r="H75">
        <f t="shared" si="43"/>
        <v>365</v>
      </c>
      <c r="I75">
        <f t="shared" si="44"/>
        <v>28</v>
      </c>
      <c r="J75">
        <f t="shared" si="45"/>
        <v>7.6712328767123292E-2</v>
      </c>
      <c r="K75">
        <f>IFERROR($J75/IF($A75&lt;COUNTIFS($K$1:K$1,"&lt;&gt;"),0,SUMIFS($J:$J,$B:$B,$B75,$A:$A,"&gt;="&amp;COUNTIFS($K$1:K$1,"&lt;&gt;"))),0)</f>
        <v>8.0229226361031539E-2</v>
      </c>
      <c r="L75">
        <f>IFERROR($J75/IF($A75&lt;COUNTIFS($K$1:L$1,"&lt;&gt;"),0,SUMIFS($J:$J,$B:$B,$B75,$A:$A,"&gt;="&amp;COUNTIFS($K$1:L$1,"&lt;&gt;"))),0)</f>
        <v>8.8050314465408827E-2</v>
      </c>
      <c r="M75">
        <f>IFERROR($J75/IF($A75&lt;COUNTIFS($K$1:M$1,"&lt;&gt;"),0,SUMIFS($J:$J,$B:$B,$B75,$A:$A,"&gt;="&amp;COUNTIFS($K$1:M$1,"&lt;&gt;"))),0)</f>
        <v>9.7560975609756115E-2</v>
      </c>
      <c r="N75">
        <f>IFERROR($J75/IF($A75&lt;COUNTIFS($K$1:N$1,"&lt;&gt;"),0,SUMIFS($J:$J,$B:$B,$B75,$A:$A,"&gt;="&amp;COUNTIFS($K$1:N$1,"&lt;&gt;"))),0)</f>
        <v>0.10894941634241248</v>
      </c>
      <c r="O75">
        <f>IFERROR($J75/IF($A75&lt;COUNTIFS($K$1:O$1,"&lt;&gt;"),0,SUMIFS($J:$J,$B:$B,$B75,$A:$A,"&gt;="&amp;COUNTIFS($K$1:O$1,"&lt;&gt;"))),0)</f>
        <v>0.12389380530973454</v>
      </c>
      <c r="P75">
        <f>IFERROR($J75/IF($A75&lt;COUNTIFS($K$1:P$1,"&lt;&gt;"),0,SUMIFS($J:$J,$B:$B,$B75,$A:$A,"&gt;="&amp;COUNTIFS($K$1:P$1,"&lt;&gt;"))),0)</f>
        <v>0.14285714285714288</v>
      </c>
      <c r="Q75">
        <f>IFERROR($J75/IF($A75&lt;COUNTIFS($K$1:Q$1,"&lt;&gt;"),0,SUMIFS($J:$J,$B:$B,$B75,$A:$A,"&gt;="&amp;COUNTIFS($K$1:Q$1,"&lt;&gt;"))),0)</f>
        <v>0.16969696969696971</v>
      </c>
      <c r="R75">
        <f>IFERROR($J75/IF($A75&lt;COUNTIFS($K$1:R$1,"&lt;&gt;"),0,SUMIFS($J:$J,$B:$B,$B75,$A:$A,"&gt;="&amp;COUNTIFS($K$1:R$1,"&lt;&gt;"))),0)</f>
        <v>0.20895522388059704</v>
      </c>
      <c r="S75">
        <f>IFERROR($J75/IF($A75&lt;COUNTIFS($K$1:S$1,"&lt;&gt;"),0,SUMIFS($J:$J,$B:$B,$B75,$A:$A,"&gt;="&amp;COUNTIFS($K$1:S$1,"&lt;&gt;"))),0)</f>
        <v>0</v>
      </c>
      <c r="T75">
        <f>IFERROR($J75/IF($A75&lt;COUNTIFS($K$1:T$1,"&lt;&gt;"),0,SUMIFS($J:$J,$B:$B,$B75,$A:$A,"&gt;="&amp;COUNTIFS($K$1:T$1,"&lt;&gt;"))),0)</f>
        <v>0</v>
      </c>
      <c r="U75">
        <f>IFERROR($J75/IF($A75&lt;COUNTIFS($K$1:U$1,"&lt;&gt;"),0,SUMIFS($J:$J,$B:$B,$B75,$A:$A,"&gt;="&amp;COUNTIFS($K$1:U$1,"&lt;&gt;"))),0)</f>
        <v>0</v>
      </c>
      <c r="V75">
        <f>IFERROR($J75/IF($A75&lt;COUNTIFS($K$1:V$1,"&lt;&gt;"),0,SUMIFS($J:$J,$B:$B,$B75,$A:$A,"&gt;="&amp;COUNTIFS($K$1:V$1,"&lt;&gt;"))),0)</f>
        <v>0</v>
      </c>
      <c r="W75">
        <f t="shared" si="46"/>
        <v>7.6712328767123292E-2</v>
      </c>
      <c r="X75">
        <f t="shared" si="26"/>
        <v>7.6712328767123292E-2</v>
      </c>
      <c r="Y75">
        <f t="shared" si="27"/>
        <v>7.6712328767123292E-2</v>
      </c>
      <c r="Z75">
        <f t="shared" si="28"/>
        <v>7.6712328767123292E-2</v>
      </c>
      <c r="AA75">
        <f t="shared" si="29"/>
        <v>7.6712328767123292E-2</v>
      </c>
      <c r="AB75">
        <f t="shared" si="30"/>
        <v>7.6712328767123292E-2</v>
      </c>
      <c r="AC75">
        <f t="shared" si="31"/>
        <v>7.6712328767123292E-2</v>
      </c>
      <c r="AD75">
        <f t="shared" si="32"/>
        <v>7.6712328767123292E-2</v>
      </c>
      <c r="AE75">
        <f t="shared" si="33"/>
        <v>7.6712328767123292E-2</v>
      </c>
      <c r="AF75">
        <f t="shared" si="34"/>
        <v>0</v>
      </c>
      <c r="AG75">
        <f t="shared" si="35"/>
        <v>0</v>
      </c>
      <c r="AH75">
        <f t="shared" si="36"/>
        <v>0</v>
      </c>
      <c r="AI75">
        <f t="shared" si="37"/>
        <v>0</v>
      </c>
      <c r="AJ75" s="2" t="str">
        <f t="shared" si="47"/>
        <v>843983</v>
      </c>
    </row>
    <row r="76" spans="1:36" x14ac:dyDescent="0.25">
      <c r="A76">
        <v>9</v>
      </c>
      <c r="B76" s="1">
        <v>43983</v>
      </c>
      <c r="C76" s="1">
        <f t="shared" si="38"/>
        <v>44256</v>
      </c>
      <c r="D76" s="1">
        <f t="shared" si="39"/>
        <v>43997</v>
      </c>
      <c r="E76" s="1">
        <f t="shared" si="40"/>
        <v>44256</v>
      </c>
      <c r="F76" s="1">
        <f t="shared" si="41"/>
        <v>44287</v>
      </c>
      <c r="G76" s="1">
        <f t="shared" si="42"/>
        <v>44362</v>
      </c>
      <c r="H76">
        <f t="shared" si="43"/>
        <v>365</v>
      </c>
      <c r="I76">
        <f t="shared" si="44"/>
        <v>31</v>
      </c>
      <c r="J76">
        <f t="shared" si="45"/>
        <v>8.4931506849315067E-2</v>
      </c>
      <c r="K76">
        <f>IFERROR($J76/IF($A76&lt;COUNTIFS($K$1:K$1,"&lt;&gt;"),0,SUMIFS($J:$J,$B:$B,$B76,$A:$A,"&gt;="&amp;COUNTIFS($K$1:K$1,"&lt;&gt;"))),0)</f>
        <v>8.8825214899713484E-2</v>
      </c>
      <c r="L76">
        <f>IFERROR($J76/IF($A76&lt;COUNTIFS($K$1:L$1,"&lt;&gt;"),0,SUMIFS($J:$J,$B:$B,$B76,$A:$A,"&gt;="&amp;COUNTIFS($K$1:L$1,"&lt;&gt;"))),0)</f>
        <v>9.7484276729559768E-2</v>
      </c>
      <c r="M76">
        <f>IFERROR($J76/IF($A76&lt;COUNTIFS($K$1:M$1,"&lt;&gt;"),0,SUMIFS($J:$J,$B:$B,$B76,$A:$A,"&gt;="&amp;COUNTIFS($K$1:M$1,"&lt;&gt;"))),0)</f>
        <v>0.10801393728222998</v>
      </c>
      <c r="N76">
        <f>IFERROR($J76/IF($A76&lt;COUNTIFS($K$1:N$1,"&lt;&gt;"),0,SUMIFS($J:$J,$B:$B,$B76,$A:$A,"&gt;="&amp;COUNTIFS($K$1:N$1,"&lt;&gt;"))),0)</f>
        <v>0.12062256809338523</v>
      </c>
      <c r="O76">
        <f>IFERROR($J76/IF($A76&lt;COUNTIFS($K$1:O$1,"&lt;&gt;"),0,SUMIFS($J:$J,$B:$B,$B76,$A:$A,"&gt;="&amp;COUNTIFS($K$1:O$1,"&lt;&gt;"))),0)</f>
        <v>0.13716814159292037</v>
      </c>
      <c r="P76">
        <f>IFERROR($J76/IF($A76&lt;COUNTIFS($K$1:P$1,"&lt;&gt;"),0,SUMIFS($J:$J,$B:$B,$B76,$A:$A,"&gt;="&amp;COUNTIFS($K$1:P$1,"&lt;&gt;"))),0)</f>
        <v>0.15816326530612249</v>
      </c>
      <c r="Q76">
        <f>IFERROR($J76/IF($A76&lt;COUNTIFS($K$1:Q$1,"&lt;&gt;"),0,SUMIFS($J:$J,$B:$B,$B76,$A:$A,"&gt;="&amp;COUNTIFS($K$1:Q$1,"&lt;&gt;"))),0)</f>
        <v>0.1878787878787879</v>
      </c>
      <c r="R76">
        <f>IFERROR($J76/IF($A76&lt;COUNTIFS($K$1:R$1,"&lt;&gt;"),0,SUMIFS($J:$J,$B:$B,$B76,$A:$A,"&gt;="&amp;COUNTIFS($K$1:R$1,"&lt;&gt;"))),0)</f>
        <v>0.23134328358208955</v>
      </c>
      <c r="S76">
        <f>IFERROR($J76/IF($A76&lt;COUNTIFS($K$1:S$1,"&lt;&gt;"),0,SUMIFS($J:$J,$B:$B,$B76,$A:$A,"&gt;="&amp;COUNTIFS($K$1:S$1,"&lt;&gt;"))),0)</f>
        <v>0.29245283018867929</v>
      </c>
      <c r="T76">
        <f>IFERROR($J76/IF($A76&lt;COUNTIFS($K$1:T$1,"&lt;&gt;"),0,SUMIFS($J:$J,$B:$B,$B76,$A:$A,"&gt;="&amp;COUNTIFS($K$1:T$1,"&lt;&gt;"))),0)</f>
        <v>0</v>
      </c>
      <c r="U76">
        <f>IFERROR($J76/IF($A76&lt;COUNTIFS($K$1:U$1,"&lt;&gt;"),0,SUMIFS($J:$J,$B:$B,$B76,$A:$A,"&gt;="&amp;COUNTIFS($K$1:U$1,"&lt;&gt;"))),0)</f>
        <v>0</v>
      </c>
      <c r="V76">
        <f>IFERROR($J76/IF($A76&lt;COUNTIFS($K$1:V$1,"&lt;&gt;"),0,SUMIFS($J:$J,$B:$B,$B76,$A:$A,"&gt;="&amp;COUNTIFS($K$1:V$1,"&lt;&gt;"))),0)</f>
        <v>0</v>
      </c>
      <c r="W76">
        <f t="shared" si="46"/>
        <v>8.4931506849315067E-2</v>
      </c>
      <c r="X76">
        <f t="shared" si="26"/>
        <v>8.4931506849315067E-2</v>
      </c>
      <c r="Y76">
        <f t="shared" si="27"/>
        <v>8.4931506849315067E-2</v>
      </c>
      <c r="Z76">
        <f t="shared" si="28"/>
        <v>8.4931506849315067E-2</v>
      </c>
      <c r="AA76">
        <f t="shared" si="29"/>
        <v>8.4931506849315067E-2</v>
      </c>
      <c r="AB76">
        <f t="shared" si="30"/>
        <v>8.4931506849315067E-2</v>
      </c>
      <c r="AC76">
        <f t="shared" si="31"/>
        <v>8.4931506849315067E-2</v>
      </c>
      <c r="AD76">
        <f t="shared" si="32"/>
        <v>8.4931506849315067E-2</v>
      </c>
      <c r="AE76">
        <f t="shared" si="33"/>
        <v>8.4931506849315067E-2</v>
      </c>
      <c r="AF76">
        <f t="shared" si="34"/>
        <v>8.4931506849315067E-2</v>
      </c>
      <c r="AG76">
        <f t="shared" si="35"/>
        <v>0</v>
      </c>
      <c r="AH76">
        <f t="shared" si="36"/>
        <v>0</v>
      </c>
      <c r="AI76">
        <f t="shared" si="37"/>
        <v>0</v>
      </c>
      <c r="AJ76" s="2" t="str">
        <f t="shared" si="47"/>
        <v>943983</v>
      </c>
    </row>
    <row r="77" spans="1:36" x14ac:dyDescent="0.25">
      <c r="A77">
        <v>10</v>
      </c>
      <c r="B77" s="1">
        <v>43983</v>
      </c>
      <c r="C77" s="1">
        <f t="shared" si="38"/>
        <v>44287</v>
      </c>
      <c r="D77" s="1">
        <f t="shared" si="39"/>
        <v>43997</v>
      </c>
      <c r="E77" s="1">
        <f t="shared" si="40"/>
        <v>44287</v>
      </c>
      <c r="F77" s="1">
        <f t="shared" si="41"/>
        <v>44317</v>
      </c>
      <c r="G77" s="1">
        <f t="shared" si="42"/>
        <v>44362</v>
      </c>
      <c r="H77">
        <f t="shared" si="43"/>
        <v>365</v>
      </c>
      <c r="I77">
        <f t="shared" si="44"/>
        <v>30</v>
      </c>
      <c r="J77">
        <f t="shared" si="45"/>
        <v>8.2191780821917804E-2</v>
      </c>
      <c r="K77">
        <f>IFERROR($J77/IF($A77&lt;COUNTIFS($K$1:K$1,"&lt;&gt;"),0,SUMIFS($J:$J,$B:$B,$B77,$A:$A,"&gt;="&amp;COUNTIFS($K$1:K$1,"&lt;&gt;"))),0)</f>
        <v>8.5959885386819493E-2</v>
      </c>
      <c r="L77">
        <f>IFERROR($J77/IF($A77&lt;COUNTIFS($K$1:L$1,"&lt;&gt;"),0,SUMIFS($J:$J,$B:$B,$B77,$A:$A,"&gt;="&amp;COUNTIFS($K$1:L$1,"&lt;&gt;"))),0)</f>
        <v>9.4339622641509441E-2</v>
      </c>
      <c r="M77">
        <f>IFERROR($J77/IF($A77&lt;COUNTIFS($K$1:M$1,"&lt;&gt;"),0,SUMIFS($J:$J,$B:$B,$B77,$A:$A,"&gt;="&amp;COUNTIFS($K$1:M$1,"&lt;&gt;"))),0)</f>
        <v>0.10452961672473869</v>
      </c>
      <c r="N77">
        <f>IFERROR($J77/IF($A77&lt;COUNTIFS($K$1:N$1,"&lt;&gt;"),0,SUMIFS($J:$J,$B:$B,$B77,$A:$A,"&gt;="&amp;COUNTIFS($K$1:N$1,"&lt;&gt;"))),0)</f>
        <v>0.11673151750972764</v>
      </c>
      <c r="O77">
        <f>IFERROR($J77/IF($A77&lt;COUNTIFS($K$1:O$1,"&lt;&gt;"),0,SUMIFS($J:$J,$B:$B,$B77,$A:$A,"&gt;="&amp;COUNTIFS($K$1:O$1,"&lt;&gt;"))),0)</f>
        <v>0.13274336283185842</v>
      </c>
      <c r="P77">
        <f>IFERROR($J77/IF($A77&lt;COUNTIFS($K$1:P$1,"&lt;&gt;"),0,SUMIFS($J:$J,$B:$B,$B77,$A:$A,"&gt;="&amp;COUNTIFS($K$1:P$1,"&lt;&gt;"))),0)</f>
        <v>0.15306122448979595</v>
      </c>
      <c r="Q77">
        <f>IFERROR($J77/IF($A77&lt;COUNTIFS($K$1:Q$1,"&lt;&gt;"),0,SUMIFS($J:$J,$B:$B,$B77,$A:$A,"&gt;="&amp;COUNTIFS($K$1:Q$1,"&lt;&gt;"))),0)</f>
        <v>0.18181818181818182</v>
      </c>
      <c r="R77">
        <f>IFERROR($J77/IF($A77&lt;COUNTIFS($K$1:R$1,"&lt;&gt;"),0,SUMIFS($J:$J,$B:$B,$B77,$A:$A,"&gt;="&amp;COUNTIFS($K$1:R$1,"&lt;&gt;"))),0)</f>
        <v>0.22388059701492535</v>
      </c>
      <c r="S77">
        <f>IFERROR($J77/IF($A77&lt;COUNTIFS($K$1:S$1,"&lt;&gt;"),0,SUMIFS($J:$J,$B:$B,$B77,$A:$A,"&gt;="&amp;COUNTIFS($K$1:S$1,"&lt;&gt;"))),0)</f>
        <v>0.28301886792452829</v>
      </c>
      <c r="T77">
        <f>IFERROR($J77/IF($A77&lt;COUNTIFS($K$1:T$1,"&lt;&gt;"),0,SUMIFS($J:$J,$B:$B,$B77,$A:$A,"&gt;="&amp;COUNTIFS($K$1:T$1,"&lt;&gt;"))),0)</f>
        <v>0.4</v>
      </c>
      <c r="U77">
        <f>IFERROR($J77/IF($A77&lt;COUNTIFS($K$1:U$1,"&lt;&gt;"),0,SUMIFS($J:$J,$B:$B,$B77,$A:$A,"&gt;="&amp;COUNTIFS($K$1:U$1,"&lt;&gt;"))),0)</f>
        <v>0</v>
      </c>
      <c r="V77">
        <f>IFERROR($J77/IF($A77&lt;COUNTIFS($K$1:V$1,"&lt;&gt;"),0,SUMIFS($J:$J,$B:$B,$B77,$A:$A,"&gt;="&amp;COUNTIFS($K$1:V$1,"&lt;&gt;"))),0)</f>
        <v>0</v>
      </c>
      <c r="W77">
        <f t="shared" si="46"/>
        <v>8.2191780821917804E-2</v>
      </c>
      <c r="X77">
        <f t="shared" si="26"/>
        <v>8.2191780821917804E-2</v>
      </c>
      <c r="Y77">
        <f t="shared" si="27"/>
        <v>8.2191780821917804E-2</v>
      </c>
      <c r="Z77">
        <f t="shared" si="28"/>
        <v>8.2191780821917804E-2</v>
      </c>
      <c r="AA77">
        <f t="shared" si="29"/>
        <v>8.2191780821917804E-2</v>
      </c>
      <c r="AB77">
        <f t="shared" si="30"/>
        <v>8.2191780821917804E-2</v>
      </c>
      <c r="AC77">
        <f t="shared" si="31"/>
        <v>8.2191780821917804E-2</v>
      </c>
      <c r="AD77">
        <f t="shared" si="32"/>
        <v>8.2191780821917804E-2</v>
      </c>
      <c r="AE77">
        <f t="shared" si="33"/>
        <v>8.2191780821917804E-2</v>
      </c>
      <c r="AF77">
        <f t="shared" si="34"/>
        <v>8.2191780821917804E-2</v>
      </c>
      <c r="AG77">
        <f t="shared" si="35"/>
        <v>8.2191780821917804E-2</v>
      </c>
      <c r="AH77">
        <f t="shared" si="36"/>
        <v>0</v>
      </c>
      <c r="AI77">
        <f t="shared" si="37"/>
        <v>0</v>
      </c>
      <c r="AJ77" s="2" t="str">
        <f t="shared" si="47"/>
        <v>1043983</v>
      </c>
    </row>
    <row r="78" spans="1:36" x14ac:dyDescent="0.25">
      <c r="A78">
        <v>11</v>
      </c>
      <c r="B78" s="1">
        <v>43983</v>
      </c>
      <c r="C78" s="1">
        <f t="shared" si="38"/>
        <v>44317</v>
      </c>
      <c r="D78" s="1">
        <f t="shared" si="39"/>
        <v>43997</v>
      </c>
      <c r="E78" s="1">
        <f t="shared" si="40"/>
        <v>44317</v>
      </c>
      <c r="F78" s="1">
        <f t="shared" si="41"/>
        <v>44348</v>
      </c>
      <c r="G78" s="1">
        <f t="shared" si="42"/>
        <v>44362</v>
      </c>
      <c r="H78">
        <f t="shared" si="43"/>
        <v>365</v>
      </c>
      <c r="I78">
        <f t="shared" si="44"/>
        <v>31</v>
      </c>
      <c r="J78">
        <f t="shared" si="45"/>
        <v>8.4931506849315067E-2</v>
      </c>
      <c r="K78">
        <f>IFERROR($J78/IF($A78&lt;COUNTIFS($K$1:K$1,"&lt;&gt;"),0,SUMIFS($J:$J,$B:$B,$B78,$A:$A,"&gt;="&amp;COUNTIFS($K$1:K$1,"&lt;&gt;"))),0)</f>
        <v>8.8825214899713484E-2</v>
      </c>
      <c r="L78">
        <f>IFERROR($J78/IF($A78&lt;COUNTIFS($K$1:L$1,"&lt;&gt;"),0,SUMIFS($J:$J,$B:$B,$B78,$A:$A,"&gt;="&amp;COUNTIFS($K$1:L$1,"&lt;&gt;"))),0)</f>
        <v>9.7484276729559768E-2</v>
      </c>
      <c r="M78">
        <f>IFERROR($J78/IF($A78&lt;COUNTIFS($K$1:M$1,"&lt;&gt;"),0,SUMIFS($J:$J,$B:$B,$B78,$A:$A,"&gt;="&amp;COUNTIFS($K$1:M$1,"&lt;&gt;"))),0)</f>
        <v>0.10801393728222998</v>
      </c>
      <c r="N78">
        <f>IFERROR($J78/IF($A78&lt;COUNTIFS($K$1:N$1,"&lt;&gt;"),0,SUMIFS($J:$J,$B:$B,$B78,$A:$A,"&gt;="&amp;COUNTIFS($K$1:N$1,"&lt;&gt;"))),0)</f>
        <v>0.12062256809338523</v>
      </c>
      <c r="O78">
        <f>IFERROR($J78/IF($A78&lt;COUNTIFS($K$1:O$1,"&lt;&gt;"),0,SUMIFS($J:$J,$B:$B,$B78,$A:$A,"&gt;="&amp;COUNTIFS($K$1:O$1,"&lt;&gt;"))),0)</f>
        <v>0.13716814159292037</v>
      </c>
      <c r="P78">
        <f>IFERROR($J78/IF($A78&lt;COUNTIFS($K$1:P$1,"&lt;&gt;"),0,SUMIFS($J:$J,$B:$B,$B78,$A:$A,"&gt;="&amp;COUNTIFS($K$1:P$1,"&lt;&gt;"))),0)</f>
        <v>0.15816326530612249</v>
      </c>
      <c r="Q78">
        <f>IFERROR($J78/IF($A78&lt;COUNTIFS($K$1:Q$1,"&lt;&gt;"),0,SUMIFS($J:$J,$B:$B,$B78,$A:$A,"&gt;="&amp;COUNTIFS($K$1:Q$1,"&lt;&gt;"))),0)</f>
        <v>0.1878787878787879</v>
      </c>
      <c r="R78">
        <f>IFERROR($J78/IF($A78&lt;COUNTIFS($K$1:R$1,"&lt;&gt;"),0,SUMIFS($J:$J,$B:$B,$B78,$A:$A,"&gt;="&amp;COUNTIFS($K$1:R$1,"&lt;&gt;"))),0)</f>
        <v>0.23134328358208955</v>
      </c>
      <c r="S78">
        <f>IFERROR($J78/IF($A78&lt;COUNTIFS($K$1:S$1,"&lt;&gt;"),0,SUMIFS($J:$J,$B:$B,$B78,$A:$A,"&gt;="&amp;COUNTIFS($K$1:S$1,"&lt;&gt;"))),0)</f>
        <v>0.29245283018867929</v>
      </c>
      <c r="T78">
        <f>IFERROR($J78/IF($A78&lt;COUNTIFS($K$1:T$1,"&lt;&gt;"),0,SUMIFS($J:$J,$B:$B,$B78,$A:$A,"&gt;="&amp;COUNTIFS($K$1:T$1,"&lt;&gt;"))),0)</f>
        <v>0.41333333333333333</v>
      </c>
      <c r="U78">
        <f>IFERROR($J78/IF($A78&lt;COUNTIFS($K$1:U$1,"&lt;&gt;"),0,SUMIFS($J:$J,$B:$B,$B78,$A:$A,"&gt;="&amp;COUNTIFS($K$1:U$1,"&lt;&gt;"))),0)</f>
        <v>0.68888888888888888</v>
      </c>
      <c r="V78">
        <f>IFERROR($J78/IF($A78&lt;COUNTIFS($K$1:V$1,"&lt;&gt;"),0,SUMIFS($J:$J,$B:$B,$B78,$A:$A,"&gt;="&amp;COUNTIFS($K$1:V$1,"&lt;&gt;"))),0)</f>
        <v>0</v>
      </c>
      <c r="W78">
        <f t="shared" si="46"/>
        <v>8.4931506849315067E-2</v>
      </c>
      <c r="X78">
        <f t="shared" si="26"/>
        <v>8.4931506849315067E-2</v>
      </c>
      <c r="Y78">
        <f t="shared" si="27"/>
        <v>8.4931506849315067E-2</v>
      </c>
      <c r="Z78">
        <f t="shared" si="28"/>
        <v>8.4931506849315067E-2</v>
      </c>
      <c r="AA78">
        <f t="shared" si="29"/>
        <v>8.4931506849315067E-2</v>
      </c>
      <c r="AB78">
        <f t="shared" si="30"/>
        <v>8.4931506849315067E-2</v>
      </c>
      <c r="AC78">
        <f t="shared" si="31"/>
        <v>8.4931506849315067E-2</v>
      </c>
      <c r="AD78">
        <f t="shared" si="32"/>
        <v>8.4931506849315067E-2</v>
      </c>
      <c r="AE78">
        <f t="shared" si="33"/>
        <v>8.4931506849315067E-2</v>
      </c>
      <c r="AF78">
        <f t="shared" si="34"/>
        <v>8.4931506849315067E-2</v>
      </c>
      <c r="AG78">
        <f t="shared" si="35"/>
        <v>8.4931506849315067E-2</v>
      </c>
      <c r="AH78">
        <f t="shared" si="36"/>
        <v>8.4931506849315067E-2</v>
      </c>
      <c r="AI78">
        <f t="shared" si="37"/>
        <v>0</v>
      </c>
      <c r="AJ78" s="2" t="str">
        <f t="shared" si="47"/>
        <v>1143983</v>
      </c>
    </row>
    <row r="79" spans="1:36" x14ac:dyDescent="0.25">
      <c r="A79">
        <v>12</v>
      </c>
      <c r="B79" s="1">
        <v>43983</v>
      </c>
      <c r="C79" s="1">
        <f t="shared" si="38"/>
        <v>44348</v>
      </c>
      <c r="D79" s="1">
        <f t="shared" si="39"/>
        <v>43997</v>
      </c>
      <c r="E79" s="1">
        <f t="shared" si="40"/>
        <v>44348</v>
      </c>
      <c r="F79" s="1">
        <f t="shared" si="41"/>
        <v>44362</v>
      </c>
      <c r="G79" s="1">
        <f t="shared" si="42"/>
        <v>44362</v>
      </c>
      <c r="H79">
        <f t="shared" si="43"/>
        <v>365</v>
      </c>
      <c r="I79">
        <f t="shared" si="44"/>
        <v>14</v>
      </c>
      <c r="J79">
        <f t="shared" si="45"/>
        <v>3.8356164383561646E-2</v>
      </c>
      <c r="K79">
        <f>IFERROR($J79/IF($A79&lt;COUNTIFS($K$1:K$1,"&lt;&gt;"),0,SUMIFS($J:$J,$B:$B,$B79,$A:$A,"&gt;="&amp;COUNTIFS($K$1:K$1,"&lt;&gt;"))),0)</f>
        <v>4.0114613180515769E-2</v>
      </c>
      <c r="L79">
        <f>IFERROR($J79/IF($A79&lt;COUNTIFS($K$1:L$1,"&lt;&gt;"),0,SUMIFS($J:$J,$B:$B,$B79,$A:$A,"&gt;="&amp;COUNTIFS($K$1:L$1,"&lt;&gt;"))),0)</f>
        <v>4.4025157232704414E-2</v>
      </c>
      <c r="M79">
        <f>IFERROR($J79/IF($A79&lt;COUNTIFS($K$1:M$1,"&lt;&gt;"),0,SUMIFS($J:$J,$B:$B,$B79,$A:$A,"&gt;="&amp;COUNTIFS($K$1:M$1,"&lt;&gt;"))),0)</f>
        <v>4.8780487804878057E-2</v>
      </c>
      <c r="N79">
        <f>IFERROR($J79/IF($A79&lt;COUNTIFS($K$1:N$1,"&lt;&gt;"),0,SUMIFS($J:$J,$B:$B,$B79,$A:$A,"&gt;="&amp;COUNTIFS($K$1:N$1,"&lt;&gt;"))),0)</f>
        <v>5.447470817120624E-2</v>
      </c>
      <c r="O79">
        <f>IFERROR($J79/IF($A79&lt;COUNTIFS($K$1:O$1,"&lt;&gt;"),0,SUMIFS($J:$J,$B:$B,$B79,$A:$A,"&gt;="&amp;COUNTIFS($K$1:O$1,"&lt;&gt;"))),0)</f>
        <v>6.194690265486727E-2</v>
      </c>
      <c r="P79">
        <f>IFERROR($J79/IF($A79&lt;COUNTIFS($K$1:P$1,"&lt;&gt;"),0,SUMIFS($J:$J,$B:$B,$B79,$A:$A,"&gt;="&amp;COUNTIFS($K$1:P$1,"&lt;&gt;"))),0)</f>
        <v>7.1428571428571438E-2</v>
      </c>
      <c r="Q79">
        <f>IFERROR($J79/IF($A79&lt;COUNTIFS($K$1:Q$1,"&lt;&gt;"),0,SUMIFS($J:$J,$B:$B,$B79,$A:$A,"&gt;="&amp;COUNTIFS($K$1:Q$1,"&lt;&gt;"))),0)</f>
        <v>8.4848484848484854E-2</v>
      </c>
      <c r="R79">
        <f>IFERROR($J79/IF($A79&lt;COUNTIFS($K$1:R$1,"&lt;&gt;"),0,SUMIFS($J:$J,$B:$B,$B79,$A:$A,"&gt;="&amp;COUNTIFS($K$1:R$1,"&lt;&gt;"))),0)</f>
        <v>0.10447761194029852</v>
      </c>
      <c r="S79">
        <f>IFERROR($J79/IF($A79&lt;COUNTIFS($K$1:S$1,"&lt;&gt;"),0,SUMIFS($J:$J,$B:$B,$B79,$A:$A,"&gt;="&amp;COUNTIFS($K$1:S$1,"&lt;&gt;"))),0)</f>
        <v>0.13207547169811323</v>
      </c>
      <c r="T79">
        <f>IFERROR($J79/IF($A79&lt;COUNTIFS($K$1:T$1,"&lt;&gt;"),0,SUMIFS($J:$J,$B:$B,$B79,$A:$A,"&gt;="&amp;COUNTIFS($K$1:T$1,"&lt;&gt;"))),0)</f>
        <v>0.18666666666666668</v>
      </c>
      <c r="U79">
        <f>IFERROR($J79/IF($A79&lt;COUNTIFS($K$1:U$1,"&lt;&gt;"),0,SUMIFS($J:$J,$B:$B,$B79,$A:$A,"&gt;="&amp;COUNTIFS($K$1:U$1,"&lt;&gt;"))),0)</f>
        <v>0.31111111111111117</v>
      </c>
      <c r="V79">
        <f>IFERROR($J79/IF($A79&lt;COUNTIFS($K$1:V$1,"&lt;&gt;"),0,SUMIFS($J:$J,$B:$B,$B79,$A:$A,"&gt;="&amp;COUNTIFS($K$1:V$1,"&lt;&gt;"))),0)</f>
        <v>1</v>
      </c>
      <c r="W79">
        <f t="shared" si="46"/>
        <v>3.8356164383561646E-2</v>
      </c>
      <c r="X79">
        <f t="shared" si="26"/>
        <v>3.8356164383561646E-2</v>
      </c>
      <c r="Y79">
        <f t="shared" si="27"/>
        <v>3.8356164383561646E-2</v>
      </c>
      <c r="Z79">
        <f t="shared" si="28"/>
        <v>3.8356164383561646E-2</v>
      </c>
      <c r="AA79">
        <f t="shared" si="29"/>
        <v>3.8356164383561646E-2</v>
      </c>
      <c r="AB79">
        <f t="shared" si="30"/>
        <v>3.8356164383561646E-2</v>
      </c>
      <c r="AC79">
        <f t="shared" si="31"/>
        <v>3.8356164383561646E-2</v>
      </c>
      <c r="AD79">
        <f t="shared" si="32"/>
        <v>3.8356164383561646E-2</v>
      </c>
      <c r="AE79">
        <f t="shared" si="33"/>
        <v>3.8356164383561646E-2</v>
      </c>
      <c r="AF79">
        <f t="shared" si="34"/>
        <v>3.8356164383561646E-2</v>
      </c>
      <c r="AG79">
        <f t="shared" si="35"/>
        <v>3.8356164383561646E-2</v>
      </c>
      <c r="AH79">
        <f t="shared" si="36"/>
        <v>3.8356164383561646E-2</v>
      </c>
      <c r="AI79">
        <f t="shared" si="37"/>
        <v>3.8356164383561646E-2</v>
      </c>
      <c r="AJ79" s="2" t="str">
        <f t="shared" si="47"/>
        <v>1243983</v>
      </c>
    </row>
    <row r="80" spans="1:36" x14ac:dyDescent="0.25">
      <c r="A80">
        <v>0</v>
      </c>
      <c r="B80" s="1">
        <v>44013</v>
      </c>
      <c r="C80" s="1">
        <f t="shared" si="38"/>
        <v>44013</v>
      </c>
      <c r="D80" s="1">
        <f t="shared" si="39"/>
        <v>44027</v>
      </c>
      <c r="E80" s="1">
        <f t="shared" si="40"/>
        <v>44027</v>
      </c>
      <c r="F80" s="1">
        <f t="shared" si="41"/>
        <v>44044</v>
      </c>
      <c r="G80" s="1">
        <f t="shared" si="42"/>
        <v>44392</v>
      </c>
      <c r="H80">
        <f t="shared" si="43"/>
        <v>365</v>
      </c>
      <c r="I80">
        <f t="shared" si="44"/>
        <v>17</v>
      </c>
      <c r="J80">
        <f t="shared" si="45"/>
        <v>4.6575342465753428E-2</v>
      </c>
      <c r="K80">
        <f>IFERROR($J80/IF($A80&lt;COUNTIFS($K$1:K$1,"&lt;&gt;"),0,SUMIFS($J:$J,$B:$B,$B80,$A:$A,"&gt;="&amp;COUNTIFS($K$1:K$1,"&lt;&gt;"))),0)</f>
        <v>0</v>
      </c>
      <c r="L80">
        <f>IFERROR($J80/IF($A80&lt;COUNTIFS($K$1:L$1,"&lt;&gt;"),0,SUMIFS($J:$J,$B:$B,$B80,$A:$A,"&gt;="&amp;COUNTIFS($K$1:L$1,"&lt;&gt;"))),0)</f>
        <v>0</v>
      </c>
      <c r="M80">
        <f>IFERROR($J80/IF($A80&lt;COUNTIFS($K$1:M$1,"&lt;&gt;"),0,SUMIFS($J:$J,$B:$B,$B80,$A:$A,"&gt;="&amp;COUNTIFS($K$1:M$1,"&lt;&gt;"))),0)</f>
        <v>0</v>
      </c>
      <c r="N80">
        <f>IFERROR($J80/IF($A80&lt;COUNTIFS($K$1:N$1,"&lt;&gt;"),0,SUMIFS($J:$J,$B:$B,$B80,$A:$A,"&gt;="&amp;COUNTIFS($K$1:N$1,"&lt;&gt;"))),0)</f>
        <v>0</v>
      </c>
      <c r="O80">
        <f>IFERROR($J80/IF($A80&lt;COUNTIFS($K$1:O$1,"&lt;&gt;"),0,SUMIFS($J:$J,$B:$B,$B80,$A:$A,"&gt;="&amp;COUNTIFS($K$1:O$1,"&lt;&gt;"))),0)</f>
        <v>0</v>
      </c>
      <c r="P80">
        <f>IFERROR($J80/IF($A80&lt;COUNTIFS($K$1:P$1,"&lt;&gt;"),0,SUMIFS($J:$J,$B:$B,$B80,$A:$A,"&gt;="&amp;COUNTIFS($K$1:P$1,"&lt;&gt;"))),0)</f>
        <v>0</v>
      </c>
      <c r="Q80">
        <f>IFERROR($J80/IF($A80&lt;COUNTIFS($K$1:Q$1,"&lt;&gt;"),0,SUMIFS($J:$J,$B:$B,$B80,$A:$A,"&gt;="&amp;COUNTIFS($K$1:Q$1,"&lt;&gt;"))),0)</f>
        <v>0</v>
      </c>
      <c r="R80">
        <f>IFERROR($J80/IF($A80&lt;COUNTIFS($K$1:R$1,"&lt;&gt;"),0,SUMIFS($J:$J,$B:$B,$B80,$A:$A,"&gt;="&amp;COUNTIFS($K$1:R$1,"&lt;&gt;"))),0)</f>
        <v>0</v>
      </c>
      <c r="S80">
        <f>IFERROR($J80/IF($A80&lt;COUNTIFS($K$1:S$1,"&lt;&gt;"),0,SUMIFS($J:$J,$B:$B,$B80,$A:$A,"&gt;="&amp;COUNTIFS($K$1:S$1,"&lt;&gt;"))),0)</f>
        <v>0</v>
      </c>
      <c r="T80">
        <f>IFERROR($J80/IF($A80&lt;COUNTIFS($K$1:T$1,"&lt;&gt;"),0,SUMIFS($J:$J,$B:$B,$B80,$A:$A,"&gt;="&amp;COUNTIFS($K$1:T$1,"&lt;&gt;"))),0)</f>
        <v>0</v>
      </c>
      <c r="U80">
        <f>IFERROR($J80/IF($A80&lt;COUNTIFS($K$1:U$1,"&lt;&gt;"),0,SUMIFS($J:$J,$B:$B,$B80,$A:$A,"&gt;="&amp;COUNTIFS($K$1:U$1,"&lt;&gt;"))),0)</f>
        <v>0</v>
      </c>
      <c r="V80">
        <f>IFERROR($J80/IF($A80&lt;COUNTIFS($K$1:V$1,"&lt;&gt;"),0,SUMIFS($J:$J,$B:$B,$B80,$A:$A,"&gt;="&amp;COUNTIFS($K$1:V$1,"&lt;&gt;"))),0)</f>
        <v>0</v>
      </c>
      <c r="W80">
        <f t="shared" si="46"/>
        <v>4.6575342465753428E-2</v>
      </c>
      <c r="X80">
        <f t="shared" si="26"/>
        <v>0</v>
      </c>
      <c r="Y80">
        <f t="shared" si="27"/>
        <v>0</v>
      </c>
      <c r="Z80">
        <f t="shared" si="28"/>
        <v>0</v>
      </c>
      <c r="AA80">
        <f t="shared" si="29"/>
        <v>0</v>
      </c>
      <c r="AB80">
        <f t="shared" si="30"/>
        <v>0</v>
      </c>
      <c r="AC80">
        <f t="shared" si="31"/>
        <v>0</v>
      </c>
      <c r="AD80">
        <f t="shared" si="32"/>
        <v>0</v>
      </c>
      <c r="AE80">
        <f t="shared" si="33"/>
        <v>0</v>
      </c>
      <c r="AF80">
        <f t="shared" si="34"/>
        <v>0</v>
      </c>
      <c r="AG80">
        <f t="shared" si="35"/>
        <v>0</v>
      </c>
      <c r="AH80">
        <f t="shared" si="36"/>
        <v>0</v>
      </c>
      <c r="AI80">
        <f t="shared" si="37"/>
        <v>0</v>
      </c>
      <c r="AJ80" s="2" t="str">
        <f t="shared" si="47"/>
        <v>044013</v>
      </c>
    </row>
    <row r="81" spans="1:36" x14ac:dyDescent="0.25">
      <c r="A81">
        <v>1</v>
      </c>
      <c r="B81" s="1">
        <v>44013</v>
      </c>
      <c r="C81" s="1">
        <f t="shared" si="38"/>
        <v>44044</v>
      </c>
      <c r="D81" s="1">
        <f t="shared" si="39"/>
        <v>44027</v>
      </c>
      <c r="E81" s="1">
        <f t="shared" si="40"/>
        <v>44044</v>
      </c>
      <c r="F81" s="1">
        <f t="shared" si="41"/>
        <v>44075</v>
      </c>
      <c r="G81" s="1">
        <f t="shared" si="42"/>
        <v>44392</v>
      </c>
      <c r="H81">
        <f t="shared" si="43"/>
        <v>365</v>
      </c>
      <c r="I81">
        <f t="shared" si="44"/>
        <v>31</v>
      </c>
      <c r="J81">
        <f t="shared" si="45"/>
        <v>8.4931506849315067E-2</v>
      </c>
      <c r="K81">
        <f>IFERROR($J81/IF($A81&lt;COUNTIFS($K$1:K$1,"&lt;&gt;"),0,SUMIFS($J:$J,$B:$B,$B81,$A:$A,"&gt;="&amp;COUNTIFS($K$1:K$1,"&lt;&gt;"))),0)</f>
        <v>8.9080459770114959E-2</v>
      </c>
      <c r="L81">
        <f>IFERROR($J81/IF($A81&lt;COUNTIFS($K$1:L$1,"&lt;&gt;"),0,SUMIFS($J:$J,$B:$B,$B81,$A:$A,"&gt;="&amp;COUNTIFS($K$1:L$1,"&lt;&gt;"))),0)</f>
        <v>0</v>
      </c>
      <c r="M81">
        <f>IFERROR($J81/IF($A81&lt;COUNTIFS($K$1:M$1,"&lt;&gt;"),0,SUMIFS($J:$J,$B:$B,$B81,$A:$A,"&gt;="&amp;COUNTIFS($K$1:M$1,"&lt;&gt;"))),0)</f>
        <v>0</v>
      </c>
      <c r="N81">
        <f>IFERROR($J81/IF($A81&lt;COUNTIFS($K$1:N$1,"&lt;&gt;"),0,SUMIFS($J:$J,$B:$B,$B81,$A:$A,"&gt;="&amp;COUNTIFS($K$1:N$1,"&lt;&gt;"))),0)</f>
        <v>0</v>
      </c>
      <c r="O81">
        <f>IFERROR($J81/IF($A81&lt;COUNTIFS($K$1:O$1,"&lt;&gt;"),0,SUMIFS($J:$J,$B:$B,$B81,$A:$A,"&gt;="&amp;COUNTIFS($K$1:O$1,"&lt;&gt;"))),0)</f>
        <v>0</v>
      </c>
      <c r="P81">
        <f>IFERROR($J81/IF($A81&lt;COUNTIFS($K$1:P$1,"&lt;&gt;"),0,SUMIFS($J:$J,$B:$B,$B81,$A:$A,"&gt;="&amp;COUNTIFS($K$1:P$1,"&lt;&gt;"))),0)</f>
        <v>0</v>
      </c>
      <c r="Q81">
        <f>IFERROR($J81/IF($A81&lt;COUNTIFS($K$1:Q$1,"&lt;&gt;"),0,SUMIFS($J:$J,$B:$B,$B81,$A:$A,"&gt;="&amp;COUNTIFS($K$1:Q$1,"&lt;&gt;"))),0)</f>
        <v>0</v>
      </c>
      <c r="R81">
        <f>IFERROR($J81/IF($A81&lt;COUNTIFS($K$1:R$1,"&lt;&gt;"),0,SUMIFS($J:$J,$B:$B,$B81,$A:$A,"&gt;="&amp;COUNTIFS($K$1:R$1,"&lt;&gt;"))),0)</f>
        <v>0</v>
      </c>
      <c r="S81">
        <f>IFERROR($J81/IF($A81&lt;COUNTIFS($K$1:S$1,"&lt;&gt;"),0,SUMIFS($J:$J,$B:$B,$B81,$A:$A,"&gt;="&amp;COUNTIFS($K$1:S$1,"&lt;&gt;"))),0)</f>
        <v>0</v>
      </c>
      <c r="T81">
        <f>IFERROR($J81/IF($A81&lt;COUNTIFS($K$1:T$1,"&lt;&gt;"),0,SUMIFS($J:$J,$B:$B,$B81,$A:$A,"&gt;="&amp;COUNTIFS($K$1:T$1,"&lt;&gt;"))),0)</f>
        <v>0</v>
      </c>
      <c r="U81">
        <f>IFERROR($J81/IF($A81&lt;COUNTIFS($K$1:U$1,"&lt;&gt;"),0,SUMIFS($J:$J,$B:$B,$B81,$A:$A,"&gt;="&amp;COUNTIFS($K$1:U$1,"&lt;&gt;"))),0)</f>
        <v>0</v>
      </c>
      <c r="V81">
        <f>IFERROR($J81/IF($A81&lt;COUNTIFS($K$1:V$1,"&lt;&gt;"),0,SUMIFS($J:$J,$B:$B,$B81,$A:$A,"&gt;="&amp;COUNTIFS($K$1:V$1,"&lt;&gt;"))),0)</f>
        <v>0</v>
      </c>
      <c r="W81">
        <f t="shared" si="46"/>
        <v>8.4931506849315067E-2</v>
      </c>
      <c r="X81">
        <f t="shared" si="26"/>
        <v>8.4931506849315067E-2</v>
      </c>
      <c r="Y81">
        <f t="shared" si="27"/>
        <v>0</v>
      </c>
      <c r="Z81">
        <f t="shared" si="28"/>
        <v>0</v>
      </c>
      <c r="AA81">
        <f t="shared" si="29"/>
        <v>0</v>
      </c>
      <c r="AB81">
        <f t="shared" si="30"/>
        <v>0</v>
      </c>
      <c r="AC81">
        <f t="shared" si="31"/>
        <v>0</v>
      </c>
      <c r="AD81">
        <f t="shared" si="32"/>
        <v>0</v>
      </c>
      <c r="AE81">
        <f t="shared" si="33"/>
        <v>0</v>
      </c>
      <c r="AF81">
        <f t="shared" si="34"/>
        <v>0</v>
      </c>
      <c r="AG81">
        <f t="shared" si="35"/>
        <v>0</v>
      </c>
      <c r="AH81">
        <f t="shared" si="36"/>
        <v>0</v>
      </c>
      <c r="AI81">
        <f t="shared" si="37"/>
        <v>0</v>
      </c>
      <c r="AJ81" s="2" t="str">
        <f t="shared" si="47"/>
        <v>144013</v>
      </c>
    </row>
    <row r="82" spans="1:36" x14ac:dyDescent="0.25">
      <c r="A82">
        <v>2</v>
      </c>
      <c r="B82" s="1">
        <v>44013</v>
      </c>
      <c r="C82" s="1">
        <f t="shared" si="38"/>
        <v>44075</v>
      </c>
      <c r="D82" s="1">
        <f t="shared" si="39"/>
        <v>44027</v>
      </c>
      <c r="E82" s="1">
        <f t="shared" si="40"/>
        <v>44075</v>
      </c>
      <c r="F82" s="1">
        <f t="shared" si="41"/>
        <v>44105</v>
      </c>
      <c r="G82" s="1">
        <f t="shared" si="42"/>
        <v>44392</v>
      </c>
      <c r="H82">
        <f t="shared" si="43"/>
        <v>365</v>
      </c>
      <c r="I82">
        <f t="shared" si="44"/>
        <v>30</v>
      </c>
      <c r="J82">
        <f t="shared" si="45"/>
        <v>8.2191780821917804E-2</v>
      </c>
      <c r="K82">
        <f>IFERROR($J82/IF($A82&lt;COUNTIFS($K$1:K$1,"&lt;&gt;"),0,SUMIFS($J:$J,$B:$B,$B82,$A:$A,"&gt;="&amp;COUNTIFS($K$1:K$1,"&lt;&gt;"))),0)</f>
        <v>8.6206896551724144E-2</v>
      </c>
      <c r="L82">
        <f>IFERROR($J82/IF($A82&lt;COUNTIFS($K$1:L$1,"&lt;&gt;"),0,SUMIFS($J:$J,$B:$B,$B82,$A:$A,"&gt;="&amp;COUNTIFS($K$1:L$1,"&lt;&gt;"))),0)</f>
        <v>9.4637223974763415E-2</v>
      </c>
      <c r="M82">
        <f>IFERROR($J82/IF($A82&lt;COUNTIFS($K$1:M$1,"&lt;&gt;"),0,SUMIFS($J:$J,$B:$B,$B82,$A:$A,"&gt;="&amp;COUNTIFS($K$1:M$1,"&lt;&gt;"))),0)</f>
        <v>0</v>
      </c>
      <c r="N82">
        <f>IFERROR($J82/IF($A82&lt;COUNTIFS($K$1:N$1,"&lt;&gt;"),0,SUMIFS($J:$J,$B:$B,$B82,$A:$A,"&gt;="&amp;COUNTIFS($K$1:N$1,"&lt;&gt;"))),0)</f>
        <v>0</v>
      </c>
      <c r="O82">
        <f>IFERROR($J82/IF($A82&lt;COUNTIFS($K$1:O$1,"&lt;&gt;"),0,SUMIFS($J:$J,$B:$B,$B82,$A:$A,"&gt;="&amp;COUNTIFS($K$1:O$1,"&lt;&gt;"))),0)</f>
        <v>0</v>
      </c>
      <c r="P82">
        <f>IFERROR($J82/IF($A82&lt;COUNTIFS($K$1:P$1,"&lt;&gt;"),0,SUMIFS($J:$J,$B:$B,$B82,$A:$A,"&gt;="&amp;COUNTIFS($K$1:P$1,"&lt;&gt;"))),0)</f>
        <v>0</v>
      </c>
      <c r="Q82">
        <f>IFERROR($J82/IF($A82&lt;COUNTIFS($K$1:Q$1,"&lt;&gt;"),0,SUMIFS($J:$J,$B:$B,$B82,$A:$A,"&gt;="&amp;COUNTIFS($K$1:Q$1,"&lt;&gt;"))),0)</f>
        <v>0</v>
      </c>
      <c r="R82">
        <f>IFERROR($J82/IF($A82&lt;COUNTIFS($K$1:R$1,"&lt;&gt;"),0,SUMIFS($J:$J,$B:$B,$B82,$A:$A,"&gt;="&amp;COUNTIFS($K$1:R$1,"&lt;&gt;"))),0)</f>
        <v>0</v>
      </c>
      <c r="S82">
        <f>IFERROR($J82/IF($A82&lt;COUNTIFS($K$1:S$1,"&lt;&gt;"),0,SUMIFS($J:$J,$B:$B,$B82,$A:$A,"&gt;="&amp;COUNTIFS($K$1:S$1,"&lt;&gt;"))),0)</f>
        <v>0</v>
      </c>
      <c r="T82">
        <f>IFERROR($J82/IF($A82&lt;COUNTIFS($K$1:T$1,"&lt;&gt;"),0,SUMIFS($J:$J,$B:$B,$B82,$A:$A,"&gt;="&amp;COUNTIFS($K$1:T$1,"&lt;&gt;"))),0)</f>
        <v>0</v>
      </c>
      <c r="U82">
        <f>IFERROR($J82/IF($A82&lt;COUNTIFS($K$1:U$1,"&lt;&gt;"),0,SUMIFS($J:$J,$B:$B,$B82,$A:$A,"&gt;="&amp;COUNTIFS($K$1:U$1,"&lt;&gt;"))),0)</f>
        <v>0</v>
      </c>
      <c r="V82">
        <f>IFERROR($J82/IF($A82&lt;COUNTIFS($K$1:V$1,"&lt;&gt;"),0,SUMIFS($J:$J,$B:$B,$B82,$A:$A,"&gt;="&amp;COUNTIFS($K$1:V$1,"&lt;&gt;"))),0)</f>
        <v>0</v>
      </c>
      <c r="W82">
        <f t="shared" si="46"/>
        <v>8.2191780821917804E-2</v>
      </c>
      <c r="X82">
        <f t="shared" si="26"/>
        <v>8.2191780821917804E-2</v>
      </c>
      <c r="Y82">
        <f t="shared" si="27"/>
        <v>8.2191780821917804E-2</v>
      </c>
      <c r="Z82">
        <f t="shared" si="28"/>
        <v>0</v>
      </c>
      <c r="AA82">
        <f t="shared" si="29"/>
        <v>0</v>
      </c>
      <c r="AB82">
        <f t="shared" si="30"/>
        <v>0</v>
      </c>
      <c r="AC82">
        <f t="shared" si="31"/>
        <v>0</v>
      </c>
      <c r="AD82">
        <f t="shared" si="32"/>
        <v>0</v>
      </c>
      <c r="AE82">
        <f t="shared" si="33"/>
        <v>0</v>
      </c>
      <c r="AF82">
        <f t="shared" si="34"/>
        <v>0</v>
      </c>
      <c r="AG82">
        <f t="shared" si="35"/>
        <v>0</v>
      </c>
      <c r="AH82">
        <f t="shared" si="36"/>
        <v>0</v>
      </c>
      <c r="AI82">
        <f t="shared" si="37"/>
        <v>0</v>
      </c>
      <c r="AJ82" s="2" t="str">
        <f t="shared" si="47"/>
        <v>244013</v>
      </c>
    </row>
    <row r="83" spans="1:36" x14ac:dyDescent="0.25">
      <c r="A83">
        <v>3</v>
      </c>
      <c r="B83" s="1">
        <v>44013</v>
      </c>
      <c r="C83" s="1">
        <f t="shared" si="38"/>
        <v>44105</v>
      </c>
      <c r="D83" s="1">
        <f t="shared" si="39"/>
        <v>44027</v>
      </c>
      <c r="E83" s="1">
        <f t="shared" si="40"/>
        <v>44105</v>
      </c>
      <c r="F83" s="1">
        <f t="shared" si="41"/>
        <v>44136</v>
      </c>
      <c r="G83" s="1">
        <f t="shared" si="42"/>
        <v>44392</v>
      </c>
      <c r="H83">
        <f t="shared" si="43"/>
        <v>365</v>
      </c>
      <c r="I83">
        <f t="shared" si="44"/>
        <v>31</v>
      </c>
      <c r="J83">
        <f t="shared" si="45"/>
        <v>8.4931506849315067E-2</v>
      </c>
      <c r="K83">
        <f>IFERROR($J83/IF($A83&lt;COUNTIFS($K$1:K$1,"&lt;&gt;"),0,SUMIFS($J:$J,$B:$B,$B83,$A:$A,"&gt;="&amp;COUNTIFS($K$1:K$1,"&lt;&gt;"))),0)</f>
        <v>8.9080459770114959E-2</v>
      </c>
      <c r="L83">
        <f>IFERROR($J83/IF($A83&lt;COUNTIFS($K$1:L$1,"&lt;&gt;"),0,SUMIFS($J:$J,$B:$B,$B83,$A:$A,"&gt;="&amp;COUNTIFS($K$1:L$1,"&lt;&gt;"))),0)</f>
        <v>9.7791798107255537E-2</v>
      </c>
      <c r="M83">
        <f>IFERROR($J83/IF($A83&lt;COUNTIFS($K$1:M$1,"&lt;&gt;"),0,SUMIFS($J:$J,$B:$B,$B83,$A:$A,"&gt;="&amp;COUNTIFS($K$1:M$1,"&lt;&gt;"))),0)</f>
        <v>0.10801393728222998</v>
      </c>
      <c r="N83">
        <f>IFERROR($J83/IF($A83&lt;COUNTIFS($K$1:N$1,"&lt;&gt;"),0,SUMIFS($J:$J,$B:$B,$B83,$A:$A,"&gt;="&amp;COUNTIFS($K$1:N$1,"&lt;&gt;"))),0)</f>
        <v>0</v>
      </c>
      <c r="O83">
        <f>IFERROR($J83/IF($A83&lt;COUNTIFS($K$1:O$1,"&lt;&gt;"),0,SUMIFS($J:$J,$B:$B,$B83,$A:$A,"&gt;="&amp;COUNTIFS($K$1:O$1,"&lt;&gt;"))),0)</f>
        <v>0</v>
      </c>
      <c r="P83">
        <f>IFERROR($J83/IF($A83&lt;COUNTIFS($K$1:P$1,"&lt;&gt;"),0,SUMIFS($J:$J,$B:$B,$B83,$A:$A,"&gt;="&amp;COUNTIFS($K$1:P$1,"&lt;&gt;"))),0)</f>
        <v>0</v>
      </c>
      <c r="Q83">
        <f>IFERROR($J83/IF($A83&lt;COUNTIFS($K$1:Q$1,"&lt;&gt;"),0,SUMIFS($J:$J,$B:$B,$B83,$A:$A,"&gt;="&amp;COUNTIFS($K$1:Q$1,"&lt;&gt;"))),0)</f>
        <v>0</v>
      </c>
      <c r="R83">
        <f>IFERROR($J83/IF($A83&lt;COUNTIFS($K$1:R$1,"&lt;&gt;"),0,SUMIFS($J:$J,$B:$B,$B83,$A:$A,"&gt;="&amp;COUNTIFS($K$1:R$1,"&lt;&gt;"))),0)</f>
        <v>0</v>
      </c>
      <c r="S83">
        <f>IFERROR($J83/IF($A83&lt;COUNTIFS($K$1:S$1,"&lt;&gt;"),0,SUMIFS($J:$J,$B:$B,$B83,$A:$A,"&gt;="&amp;COUNTIFS($K$1:S$1,"&lt;&gt;"))),0)</f>
        <v>0</v>
      </c>
      <c r="T83">
        <f>IFERROR($J83/IF($A83&lt;COUNTIFS($K$1:T$1,"&lt;&gt;"),0,SUMIFS($J:$J,$B:$B,$B83,$A:$A,"&gt;="&amp;COUNTIFS($K$1:T$1,"&lt;&gt;"))),0)</f>
        <v>0</v>
      </c>
      <c r="U83">
        <f>IFERROR($J83/IF($A83&lt;COUNTIFS($K$1:U$1,"&lt;&gt;"),0,SUMIFS($J:$J,$B:$B,$B83,$A:$A,"&gt;="&amp;COUNTIFS($K$1:U$1,"&lt;&gt;"))),0)</f>
        <v>0</v>
      </c>
      <c r="V83">
        <f>IFERROR($J83/IF($A83&lt;COUNTIFS($K$1:V$1,"&lt;&gt;"),0,SUMIFS($J:$J,$B:$B,$B83,$A:$A,"&gt;="&amp;COUNTIFS($K$1:V$1,"&lt;&gt;"))),0)</f>
        <v>0</v>
      </c>
      <c r="W83">
        <f t="shared" si="46"/>
        <v>8.4931506849315067E-2</v>
      </c>
      <c r="X83">
        <f t="shared" si="26"/>
        <v>8.4931506849315067E-2</v>
      </c>
      <c r="Y83">
        <f t="shared" si="27"/>
        <v>8.4931506849315067E-2</v>
      </c>
      <c r="Z83">
        <f t="shared" si="28"/>
        <v>8.4931506849315067E-2</v>
      </c>
      <c r="AA83">
        <f t="shared" si="29"/>
        <v>0</v>
      </c>
      <c r="AB83">
        <f t="shared" si="30"/>
        <v>0</v>
      </c>
      <c r="AC83">
        <f t="shared" si="31"/>
        <v>0</v>
      </c>
      <c r="AD83">
        <f t="shared" si="32"/>
        <v>0</v>
      </c>
      <c r="AE83">
        <f t="shared" si="33"/>
        <v>0</v>
      </c>
      <c r="AF83">
        <f t="shared" si="34"/>
        <v>0</v>
      </c>
      <c r="AG83">
        <f t="shared" si="35"/>
        <v>0</v>
      </c>
      <c r="AH83">
        <f t="shared" si="36"/>
        <v>0</v>
      </c>
      <c r="AI83">
        <f t="shared" si="37"/>
        <v>0</v>
      </c>
      <c r="AJ83" s="2" t="str">
        <f t="shared" si="47"/>
        <v>344013</v>
      </c>
    </row>
    <row r="84" spans="1:36" x14ac:dyDescent="0.25">
      <c r="A84">
        <v>4</v>
      </c>
      <c r="B84" s="1">
        <v>44013</v>
      </c>
      <c r="C84" s="1">
        <f t="shared" si="38"/>
        <v>44136</v>
      </c>
      <c r="D84" s="1">
        <f t="shared" si="39"/>
        <v>44027</v>
      </c>
      <c r="E84" s="1">
        <f t="shared" si="40"/>
        <v>44136</v>
      </c>
      <c r="F84" s="1">
        <f t="shared" si="41"/>
        <v>44166</v>
      </c>
      <c r="G84" s="1">
        <f t="shared" si="42"/>
        <v>44392</v>
      </c>
      <c r="H84">
        <f t="shared" si="43"/>
        <v>365</v>
      </c>
      <c r="I84">
        <f t="shared" si="44"/>
        <v>30</v>
      </c>
      <c r="J84">
        <f t="shared" si="45"/>
        <v>8.2191780821917804E-2</v>
      </c>
      <c r="K84">
        <f>IFERROR($J84/IF($A84&lt;COUNTIFS($K$1:K$1,"&lt;&gt;"),0,SUMIFS($J:$J,$B:$B,$B84,$A:$A,"&gt;="&amp;COUNTIFS($K$1:K$1,"&lt;&gt;"))),0)</f>
        <v>8.6206896551724144E-2</v>
      </c>
      <c r="L84">
        <f>IFERROR($J84/IF($A84&lt;COUNTIFS($K$1:L$1,"&lt;&gt;"),0,SUMIFS($J:$J,$B:$B,$B84,$A:$A,"&gt;="&amp;COUNTIFS($K$1:L$1,"&lt;&gt;"))),0)</f>
        <v>9.4637223974763415E-2</v>
      </c>
      <c r="M84">
        <f>IFERROR($J84/IF($A84&lt;COUNTIFS($K$1:M$1,"&lt;&gt;"),0,SUMIFS($J:$J,$B:$B,$B84,$A:$A,"&gt;="&amp;COUNTIFS($K$1:M$1,"&lt;&gt;"))),0)</f>
        <v>0.10452961672473869</v>
      </c>
      <c r="N84">
        <f>IFERROR($J84/IF($A84&lt;COUNTIFS($K$1:N$1,"&lt;&gt;"),0,SUMIFS($J:$J,$B:$B,$B84,$A:$A,"&gt;="&amp;COUNTIFS($K$1:N$1,"&lt;&gt;"))),0)</f>
        <v>0.11718750000000001</v>
      </c>
      <c r="O84">
        <f>IFERROR($J84/IF($A84&lt;COUNTIFS($K$1:O$1,"&lt;&gt;"),0,SUMIFS($J:$J,$B:$B,$B84,$A:$A,"&gt;="&amp;COUNTIFS($K$1:O$1,"&lt;&gt;"))),0)</f>
        <v>0</v>
      </c>
      <c r="P84">
        <f>IFERROR($J84/IF($A84&lt;COUNTIFS($K$1:P$1,"&lt;&gt;"),0,SUMIFS($J:$J,$B:$B,$B84,$A:$A,"&gt;="&amp;COUNTIFS($K$1:P$1,"&lt;&gt;"))),0)</f>
        <v>0</v>
      </c>
      <c r="Q84">
        <f>IFERROR($J84/IF($A84&lt;COUNTIFS($K$1:Q$1,"&lt;&gt;"),0,SUMIFS($J:$J,$B:$B,$B84,$A:$A,"&gt;="&amp;COUNTIFS($K$1:Q$1,"&lt;&gt;"))),0)</f>
        <v>0</v>
      </c>
      <c r="R84">
        <f>IFERROR($J84/IF($A84&lt;COUNTIFS($K$1:R$1,"&lt;&gt;"),0,SUMIFS($J:$J,$B:$B,$B84,$A:$A,"&gt;="&amp;COUNTIFS($K$1:R$1,"&lt;&gt;"))),0)</f>
        <v>0</v>
      </c>
      <c r="S84">
        <f>IFERROR($J84/IF($A84&lt;COUNTIFS($K$1:S$1,"&lt;&gt;"),0,SUMIFS($J:$J,$B:$B,$B84,$A:$A,"&gt;="&amp;COUNTIFS($K$1:S$1,"&lt;&gt;"))),0)</f>
        <v>0</v>
      </c>
      <c r="T84">
        <f>IFERROR($J84/IF($A84&lt;COUNTIFS($K$1:T$1,"&lt;&gt;"),0,SUMIFS($J:$J,$B:$B,$B84,$A:$A,"&gt;="&amp;COUNTIFS($K$1:T$1,"&lt;&gt;"))),0)</f>
        <v>0</v>
      </c>
      <c r="U84">
        <f>IFERROR($J84/IF($A84&lt;COUNTIFS($K$1:U$1,"&lt;&gt;"),0,SUMIFS($J:$J,$B:$B,$B84,$A:$A,"&gt;="&amp;COUNTIFS($K$1:U$1,"&lt;&gt;"))),0)</f>
        <v>0</v>
      </c>
      <c r="V84">
        <f>IFERROR($J84/IF($A84&lt;COUNTIFS($K$1:V$1,"&lt;&gt;"),0,SUMIFS($J:$J,$B:$B,$B84,$A:$A,"&gt;="&amp;COUNTIFS($K$1:V$1,"&lt;&gt;"))),0)</f>
        <v>0</v>
      </c>
      <c r="W84">
        <f t="shared" si="46"/>
        <v>8.2191780821917804E-2</v>
      </c>
      <c r="X84">
        <f t="shared" si="26"/>
        <v>8.2191780821917804E-2</v>
      </c>
      <c r="Y84">
        <f t="shared" si="27"/>
        <v>8.2191780821917804E-2</v>
      </c>
      <c r="Z84">
        <f t="shared" si="28"/>
        <v>8.2191780821917804E-2</v>
      </c>
      <c r="AA84">
        <f t="shared" si="29"/>
        <v>8.2191780821917804E-2</v>
      </c>
      <c r="AB84">
        <f t="shared" si="30"/>
        <v>0</v>
      </c>
      <c r="AC84">
        <f t="shared" si="31"/>
        <v>0</v>
      </c>
      <c r="AD84">
        <f t="shared" si="32"/>
        <v>0</v>
      </c>
      <c r="AE84">
        <f t="shared" si="33"/>
        <v>0</v>
      </c>
      <c r="AF84">
        <f t="shared" si="34"/>
        <v>0</v>
      </c>
      <c r="AG84">
        <f t="shared" si="35"/>
        <v>0</v>
      </c>
      <c r="AH84">
        <f t="shared" si="36"/>
        <v>0</v>
      </c>
      <c r="AI84">
        <f t="shared" si="37"/>
        <v>0</v>
      </c>
      <c r="AJ84" s="2" t="str">
        <f t="shared" si="47"/>
        <v>444013</v>
      </c>
    </row>
    <row r="85" spans="1:36" x14ac:dyDescent="0.25">
      <c r="A85">
        <v>5</v>
      </c>
      <c r="B85" s="1">
        <v>44013</v>
      </c>
      <c r="C85" s="1">
        <f t="shared" si="38"/>
        <v>44166</v>
      </c>
      <c r="D85" s="1">
        <f t="shared" si="39"/>
        <v>44027</v>
      </c>
      <c r="E85" s="1">
        <f t="shared" si="40"/>
        <v>44166</v>
      </c>
      <c r="F85" s="1">
        <f t="shared" si="41"/>
        <v>44197</v>
      </c>
      <c r="G85" s="1">
        <f t="shared" si="42"/>
        <v>44392</v>
      </c>
      <c r="H85">
        <f t="shared" si="43"/>
        <v>365</v>
      </c>
      <c r="I85">
        <f t="shared" si="44"/>
        <v>31</v>
      </c>
      <c r="J85">
        <f t="shared" si="45"/>
        <v>8.4931506849315067E-2</v>
      </c>
      <c r="K85">
        <f>IFERROR($J85/IF($A85&lt;COUNTIFS($K$1:K$1,"&lt;&gt;"),0,SUMIFS($J:$J,$B:$B,$B85,$A:$A,"&gt;="&amp;COUNTIFS($K$1:K$1,"&lt;&gt;"))),0)</f>
        <v>8.9080459770114959E-2</v>
      </c>
      <c r="L85">
        <f>IFERROR($J85/IF($A85&lt;COUNTIFS($K$1:L$1,"&lt;&gt;"),0,SUMIFS($J:$J,$B:$B,$B85,$A:$A,"&gt;="&amp;COUNTIFS($K$1:L$1,"&lt;&gt;"))),0)</f>
        <v>9.7791798107255537E-2</v>
      </c>
      <c r="M85">
        <f>IFERROR($J85/IF($A85&lt;COUNTIFS($K$1:M$1,"&lt;&gt;"),0,SUMIFS($J:$J,$B:$B,$B85,$A:$A,"&gt;="&amp;COUNTIFS($K$1:M$1,"&lt;&gt;"))),0)</f>
        <v>0.10801393728222998</v>
      </c>
      <c r="N85">
        <f>IFERROR($J85/IF($A85&lt;COUNTIFS($K$1:N$1,"&lt;&gt;"),0,SUMIFS($J:$J,$B:$B,$B85,$A:$A,"&gt;="&amp;COUNTIFS($K$1:N$1,"&lt;&gt;"))),0)</f>
        <v>0.12109375000000001</v>
      </c>
      <c r="O85">
        <f>IFERROR($J85/IF($A85&lt;COUNTIFS($K$1:O$1,"&lt;&gt;"),0,SUMIFS($J:$J,$B:$B,$B85,$A:$A,"&gt;="&amp;COUNTIFS($K$1:O$1,"&lt;&gt;"))),0)</f>
        <v>0.13716814159292037</v>
      </c>
      <c r="P85">
        <f>IFERROR($J85/IF($A85&lt;COUNTIFS($K$1:P$1,"&lt;&gt;"),0,SUMIFS($J:$J,$B:$B,$B85,$A:$A,"&gt;="&amp;COUNTIFS($K$1:P$1,"&lt;&gt;"))),0)</f>
        <v>0</v>
      </c>
      <c r="Q85">
        <f>IFERROR($J85/IF($A85&lt;COUNTIFS($K$1:Q$1,"&lt;&gt;"),0,SUMIFS($J:$J,$B:$B,$B85,$A:$A,"&gt;="&amp;COUNTIFS($K$1:Q$1,"&lt;&gt;"))),0)</f>
        <v>0</v>
      </c>
      <c r="R85">
        <f>IFERROR($J85/IF($A85&lt;COUNTIFS($K$1:R$1,"&lt;&gt;"),0,SUMIFS($J:$J,$B:$B,$B85,$A:$A,"&gt;="&amp;COUNTIFS($K$1:R$1,"&lt;&gt;"))),0)</f>
        <v>0</v>
      </c>
      <c r="S85">
        <f>IFERROR($J85/IF($A85&lt;COUNTIFS($K$1:S$1,"&lt;&gt;"),0,SUMIFS($J:$J,$B:$B,$B85,$A:$A,"&gt;="&amp;COUNTIFS($K$1:S$1,"&lt;&gt;"))),0)</f>
        <v>0</v>
      </c>
      <c r="T85">
        <f>IFERROR($J85/IF($A85&lt;COUNTIFS($K$1:T$1,"&lt;&gt;"),0,SUMIFS($J:$J,$B:$B,$B85,$A:$A,"&gt;="&amp;COUNTIFS($K$1:T$1,"&lt;&gt;"))),0)</f>
        <v>0</v>
      </c>
      <c r="U85">
        <f>IFERROR($J85/IF($A85&lt;COUNTIFS($K$1:U$1,"&lt;&gt;"),0,SUMIFS($J:$J,$B:$B,$B85,$A:$A,"&gt;="&amp;COUNTIFS($K$1:U$1,"&lt;&gt;"))),0)</f>
        <v>0</v>
      </c>
      <c r="V85">
        <f>IFERROR($J85/IF($A85&lt;COUNTIFS($K$1:V$1,"&lt;&gt;"),0,SUMIFS($J:$J,$B:$B,$B85,$A:$A,"&gt;="&amp;COUNTIFS($K$1:V$1,"&lt;&gt;"))),0)</f>
        <v>0</v>
      </c>
      <c r="W85">
        <f t="shared" si="46"/>
        <v>8.4931506849315067E-2</v>
      </c>
      <c r="X85">
        <f t="shared" si="26"/>
        <v>8.4931506849315067E-2</v>
      </c>
      <c r="Y85">
        <f t="shared" si="27"/>
        <v>8.4931506849315067E-2</v>
      </c>
      <c r="Z85">
        <f t="shared" si="28"/>
        <v>8.4931506849315067E-2</v>
      </c>
      <c r="AA85">
        <f t="shared" si="29"/>
        <v>8.4931506849315067E-2</v>
      </c>
      <c r="AB85">
        <f t="shared" si="30"/>
        <v>8.4931506849315067E-2</v>
      </c>
      <c r="AC85">
        <f t="shared" si="31"/>
        <v>0</v>
      </c>
      <c r="AD85">
        <f t="shared" si="32"/>
        <v>0</v>
      </c>
      <c r="AE85">
        <f t="shared" si="33"/>
        <v>0</v>
      </c>
      <c r="AF85">
        <f t="shared" si="34"/>
        <v>0</v>
      </c>
      <c r="AG85">
        <f t="shared" si="35"/>
        <v>0</v>
      </c>
      <c r="AH85">
        <f t="shared" si="36"/>
        <v>0</v>
      </c>
      <c r="AI85">
        <f t="shared" si="37"/>
        <v>0</v>
      </c>
      <c r="AJ85" s="2" t="str">
        <f t="shared" si="47"/>
        <v>544013</v>
      </c>
    </row>
    <row r="86" spans="1:36" x14ac:dyDescent="0.25">
      <c r="A86">
        <v>6</v>
      </c>
      <c r="B86" s="1">
        <v>44013</v>
      </c>
      <c r="C86" s="1">
        <f t="shared" si="38"/>
        <v>44197</v>
      </c>
      <c r="D86" s="1">
        <f t="shared" si="39"/>
        <v>44027</v>
      </c>
      <c r="E86" s="1">
        <f t="shared" si="40"/>
        <v>44197</v>
      </c>
      <c r="F86" s="1">
        <f t="shared" si="41"/>
        <v>44228</v>
      </c>
      <c r="G86" s="1">
        <f t="shared" si="42"/>
        <v>44392</v>
      </c>
      <c r="H86">
        <f t="shared" si="43"/>
        <v>365</v>
      </c>
      <c r="I86">
        <f t="shared" si="44"/>
        <v>31</v>
      </c>
      <c r="J86">
        <f t="shared" si="45"/>
        <v>8.4931506849315067E-2</v>
      </c>
      <c r="K86">
        <f>IFERROR($J86/IF($A86&lt;COUNTIFS($K$1:K$1,"&lt;&gt;"),0,SUMIFS($J:$J,$B:$B,$B86,$A:$A,"&gt;="&amp;COUNTIFS($K$1:K$1,"&lt;&gt;"))),0)</f>
        <v>8.9080459770114959E-2</v>
      </c>
      <c r="L86">
        <f>IFERROR($J86/IF($A86&lt;COUNTIFS($K$1:L$1,"&lt;&gt;"),0,SUMIFS($J:$J,$B:$B,$B86,$A:$A,"&gt;="&amp;COUNTIFS($K$1:L$1,"&lt;&gt;"))),0)</f>
        <v>9.7791798107255537E-2</v>
      </c>
      <c r="M86">
        <f>IFERROR($J86/IF($A86&lt;COUNTIFS($K$1:M$1,"&lt;&gt;"),0,SUMIFS($J:$J,$B:$B,$B86,$A:$A,"&gt;="&amp;COUNTIFS($K$1:M$1,"&lt;&gt;"))),0)</f>
        <v>0.10801393728222998</v>
      </c>
      <c r="N86">
        <f>IFERROR($J86/IF($A86&lt;COUNTIFS($K$1:N$1,"&lt;&gt;"),0,SUMIFS($J:$J,$B:$B,$B86,$A:$A,"&gt;="&amp;COUNTIFS($K$1:N$1,"&lt;&gt;"))),0)</f>
        <v>0.12109375000000001</v>
      </c>
      <c r="O86">
        <f>IFERROR($J86/IF($A86&lt;COUNTIFS($K$1:O$1,"&lt;&gt;"),0,SUMIFS($J:$J,$B:$B,$B86,$A:$A,"&gt;="&amp;COUNTIFS($K$1:O$1,"&lt;&gt;"))),0)</f>
        <v>0.13716814159292037</v>
      </c>
      <c r="P86">
        <f>IFERROR($J86/IF($A86&lt;COUNTIFS($K$1:P$1,"&lt;&gt;"),0,SUMIFS($J:$J,$B:$B,$B86,$A:$A,"&gt;="&amp;COUNTIFS($K$1:P$1,"&lt;&gt;"))),0)</f>
        <v>0.15897435897435899</v>
      </c>
      <c r="Q86">
        <f>IFERROR($J86/IF($A86&lt;COUNTIFS($K$1:Q$1,"&lt;&gt;"),0,SUMIFS($J:$J,$B:$B,$B86,$A:$A,"&gt;="&amp;COUNTIFS($K$1:Q$1,"&lt;&gt;"))),0)</f>
        <v>0</v>
      </c>
      <c r="R86">
        <f>IFERROR($J86/IF($A86&lt;COUNTIFS($K$1:R$1,"&lt;&gt;"),0,SUMIFS($J:$J,$B:$B,$B86,$A:$A,"&gt;="&amp;COUNTIFS($K$1:R$1,"&lt;&gt;"))),0)</f>
        <v>0</v>
      </c>
      <c r="S86">
        <f>IFERROR($J86/IF($A86&lt;COUNTIFS($K$1:S$1,"&lt;&gt;"),0,SUMIFS($J:$J,$B:$B,$B86,$A:$A,"&gt;="&amp;COUNTIFS($K$1:S$1,"&lt;&gt;"))),0)</f>
        <v>0</v>
      </c>
      <c r="T86">
        <f>IFERROR($J86/IF($A86&lt;COUNTIFS($K$1:T$1,"&lt;&gt;"),0,SUMIFS($J:$J,$B:$B,$B86,$A:$A,"&gt;="&amp;COUNTIFS($K$1:T$1,"&lt;&gt;"))),0)</f>
        <v>0</v>
      </c>
      <c r="U86">
        <f>IFERROR($J86/IF($A86&lt;COUNTIFS($K$1:U$1,"&lt;&gt;"),0,SUMIFS($J:$J,$B:$B,$B86,$A:$A,"&gt;="&amp;COUNTIFS($K$1:U$1,"&lt;&gt;"))),0)</f>
        <v>0</v>
      </c>
      <c r="V86">
        <f>IFERROR($J86/IF($A86&lt;COUNTIFS($K$1:V$1,"&lt;&gt;"),0,SUMIFS($J:$J,$B:$B,$B86,$A:$A,"&gt;="&amp;COUNTIFS($K$1:V$1,"&lt;&gt;"))),0)</f>
        <v>0</v>
      </c>
      <c r="W86">
        <f t="shared" si="46"/>
        <v>8.4931506849315067E-2</v>
      </c>
      <c r="X86">
        <f t="shared" si="26"/>
        <v>8.4931506849315067E-2</v>
      </c>
      <c r="Y86">
        <f t="shared" si="27"/>
        <v>8.4931506849315067E-2</v>
      </c>
      <c r="Z86">
        <f t="shared" si="28"/>
        <v>8.4931506849315067E-2</v>
      </c>
      <c r="AA86">
        <f t="shared" si="29"/>
        <v>8.4931506849315067E-2</v>
      </c>
      <c r="AB86">
        <f t="shared" si="30"/>
        <v>8.4931506849315067E-2</v>
      </c>
      <c r="AC86">
        <f t="shared" si="31"/>
        <v>8.4931506849315067E-2</v>
      </c>
      <c r="AD86">
        <f t="shared" si="32"/>
        <v>0</v>
      </c>
      <c r="AE86">
        <f t="shared" si="33"/>
        <v>0</v>
      </c>
      <c r="AF86">
        <f t="shared" si="34"/>
        <v>0</v>
      </c>
      <c r="AG86">
        <f t="shared" si="35"/>
        <v>0</v>
      </c>
      <c r="AH86">
        <f t="shared" si="36"/>
        <v>0</v>
      </c>
      <c r="AI86">
        <f t="shared" si="37"/>
        <v>0</v>
      </c>
      <c r="AJ86" s="2" t="str">
        <f t="shared" si="47"/>
        <v>644013</v>
      </c>
    </row>
    <row r="87" spans="1:36" x14ac:dyDescent="0.25">
      <c r="A87">
        <v>7</v>
      </c>
      <c r="B87" s="1">
        <v>44013</v>
      </c>
      <c r="C87" s="1">
        <f t="shared" si="38"/>
        <v>44228</v>
      </c>
      <c r="D87" s="1">
        <f t="shared" si="39"/>
        <v>44027</v>
      </c>
      <c r="E87" s="1">
        <f t="shared" si="40"/>
        <v>44228</v>
      </c>
      <c r="F87" s="1">
        <f t="shared" si="41"/>
        <v>44256</v>
      </c>
      <c r="G87" s="1">
        <f t="shared" si="42"/>
        <v>44392</v>
      </c>
      <c r="H87">
        <f t="shared" si="43"/>
        <v>365</v>
      </c>
      <c r="I87">
        <f t="shared" si="44"/>
        <v>28</v>
      </c>
      <c r="J87">
        <f t="shared" si="45"/>
        <v>7.6712328767123292E-2</v>
      </c>
      <c r="K87">
        <f>IFERROR($J87/IF($A87&lt;COUNTIFS($K$1:K$1,"&lt;&gt;"),0,SUMIFS($J:$J,$B:$B,$B87,$A:$A,"&gt;="&amp;COUNTIFS($K$1:K$1,"&lt;&gt;"))),0)</f>
        <v>8.0459770114942541E-2</v>
      </c>
      <c r="L87">
        <f>IFERROR($J87/IF($A87&lt;COUNTIFS($K$1:L$1,"&lt;&gt;"),0,SUMIFS($J:$J,$B:$B,$B87,$A:$A,"&gt;="&amp;COUNTIFS($K$1:L$1,"&lt;&gt;"))),0)</f>
        <v>8.83280757097792E-2</v>
      </c>
      <c r="M87">
        <f>IFERROR($J87/IF($A87&lt;COUNTIFS($K$1:M$1,"&lt;&gt;"),0,SUMIFS($J:$J,$B:$B,$B87,$A:$A,"&gt;="&amp;COUNTIFS($K$1:M$1,"&lt;&gt;"))),0)</f>
        <v>9.7560975609756115E-2</v>
      </c>
      <c r="N87">
        <f>IFERROR($J87/IF($A87&lt;COUNTIFS($K$1:N$1,"&lt;&gt;"),0,SUMIFS($J:$J,$B:$B,$B87,$A:$A,"&gt;="&amp;COUNTIFS($K$1:N$1,"&lt;&gt;"))),0)</f>
        <v>0.10937500000000003</v>
      </c>
      <c r="O87">
        <f>IFERROR($J87/IF($A87&lt;COUNTIFS($K$1:O$1,"&lt;&gt;"),0,SUMIFS($J:$J,$B:$B,$B87,$A:$A,"&gt;="&amp;COUNTIFS($K$1:O$1,"&lt;&gt;"))),0)</f>
        <v>0.12389380530973454</v>
      </c>
      <c r="P87">
        <f>IFERROR($J87/IF($A87&lt;COUNTIFS($K$1:P$1,"&lt;&gt;"),0,SUMIFS($J:$J,$B:$B,$B87,$A:$A,"&gt;="&amp;COUNTIFS($K$1:P$1,"&lt;&gt;"))),0)</f>
        <v>0.14358974358974361</v>
      </c>
      <c r="Q87">
        <f>IFERROR($J87/IF($A87&lt;COUNTIFS($K$1:Q$1,"&lt;&gt;"),0,SUMIFS($J:$J,$B:$B,$B87,$A:$A,"&gt;="&amp;COUNTIFS($K$1:Q$1,"&lt;&gt;"))),0)</f>
        <v>0.17073170731707318</v>
      </c>
      <c r="R87">
        <f>IFERROR($J87/IF($A87&lt;COUNTIFS($K$1:R$1,"&lt;&gt;"),0,SUMIFS($J:$J,$B:$B,$B87,$A:$A,"&gt;="&amp;COUNTIFS($K$1:R$1,"&lt;&gt;"))),0)</f>
        <v>0</v>
      </c>
      <c r="S87">
        <f>IFERROR($J87/IF($A87&lt;COUNTIFS($K$1:S$1,"&lt;&gt;"),0,SUMIFS($J:$J,$B:$B,$B87,$A:$A,"&gt;="&amp;COUNTIFS($K$1:S$1,"&lt;&gt;"))),0)</f>
        <v>0</v>
      </c>
      <c r="T87">
        <f>IFERROR($J87/IF($A87&lt;COUNTIFS($K$1:T$1,"&lt;&gt;"),0,SUMIFS($J:$J,$B:$B,$B87,$A:$A,"&gt;="&amp;COUNTIFS($K$1:T$1,"&lt;&gt;"))),0)</f>
        <v>0</v>
      </c>
      <c r="U87">
        <f>IFERROR($J87/IF($A87&lt;COUNTIFS($K$1:U$1,"&lt;&gt;"),0,SUMIFS($J:$J,$B:$B,$B87,$A:$A,"&gt;="&amp;COUNTIFS($K$1:U$1,"&lt;&gt;"))),0)</f>
        <v>0</v>
      </c>
      <c r="V87">
        <f>IFERROR($J87/IF($A87&lt;COUNTIFS($K$1:V$1,"&lt;&gt;"),0,SUMIFS($J:$J,$B:$B,$B87,$A:$A,"&gt;="&amp;COUNTIFS($K$1:V$1,"&lt;&gt;"))),0)</f>
        <v>0</v>
      </c>
      <c r="W87">
        <f t="shared" si="46"/>
        <v>7.6712328767123292E-2</v>
      </c>
      <c r="X87">
        <f t="shared" si="26"/>
        <v>7.6712328767123292E-2</v>
      </c>
      <c r="Y87">
        <f t="shared" si="27"/>
        <v>7.6712328767123292E-2</v>
      </c>
      <c r="Z87">
        <f t="shared" si="28"/>
        <v>7.6712328767123292E-2</v>
      </c>
      <c r="AA87">
        <f t="shared" si="29"/>
        <v>7.6712328767123292E-2</v>
      </c>
      <c r="AB87">
        <f t="shared" si="30"/>
        <v>7.6712328767123292E-2</v>
      </c>
      <c r="AC87">
        <f t="shared" si="31"/>
        <v>7.6712328767123292E-2</v>
      </c>
      <c r="AD87">
        <f t="shared" si="32"/>
        <v>7.6712328767123292E-2</v>
      </c>
      <c r="AE87">
        <f t="shared" si="33"/>
        <v>0</v>
      </c>
      <c r="AF87">
        <f t="shared" si="34"/>
        <v>0</v>
      </c>
      <c r="AG87">
        <f t="shared" si="35"/>
        <v>0</v>
      </c>
      <c r="AH87">
        <f t="shared" si="36"/>
        <v>0</v>
      </c>
      <c r="AI87">
        <f t="shared" si="37"/>
        <v>0</v>
      </c>
      <c r="AJ87" s="2" t="str">
        <f t="shared" si="47"/>
        <v>744013</v>
      </c>
    </row>
    <row r="88" spans="1:36" x14ac:dyDescent="0.25">
      <c r="A88">
        <v>8</v>
      </c>
      <c r="B88" s="1">
        <v>44013</v>
      </c>
      <c r="C88" s="1">
        <f t="shared" si="38"/>
        <v>44256</v>
      </c>
      <c r="D88" s="1">
        <f t="shared" si="39"/>
        <v>44027</v>
      </c>
      <c r="E88" s="1">
        <f t="shared" si="40"/>
        <v>44256</v>
      </c>
      <c r="F88" s="1">
        <f t="shared" si="41"/>
        <v>44287</v>
      </c>
      <c r="G88" s="1">
        <f t="shared" si="42"/>
        <v>44392</v>
      </c>
      <c r="H88">
        <f t="shared" si="43"/>
        <v>365</v>
      </c>
      <c r="I88">
        <f t="shared" si="44"/>
        <v>31</v>
      </c>
      <c r="J88">
        <f t="shared" si="45"/>
        <v>8.4931506849315067E-2</v>
      </c>
      <c r="K88">
        <f>IFERROR($J88/IF($A88&lt;COUNTIFS($K$1:K$1,"&lt;&gt;"),0,SUMIFS($J:$J,$B:$B,$B88,$A:$A,"&gt;="&amp;COUNTIFS($K$1:K$1,"&lt;&gt;"))),0)</f>
        <v>8.9080459770114959E-2</v>
      </c>
      <c r="L88">
        <f>IFERROR($J88/IF($A88&lt;COUNTIFS($K$1:L$1,"&lt;&gt;"),0,SUMIFS($J:$J,$B:$B,$B88,$A:$A,"&gt;="&amp;COUNTIFS($K$1:L$1,"&lt;&gt;"))),0)</f>
        <v>9.7791798107255537E-2</v>
      </c>
      <c r="M88">
        <f>IFERROR($J88/IF($A88&lt;COUNTIFS($K$1:M$1,"&lt;&gt;"),0,SUMIFS($J:$J,$B:$B,$B88,$A:$A,"&gt;="&amp;COUNTIFS($K$1:M$1,"&lt;&gt;"))),0)</f>
        <v>0.10801393728222998</v>
      </c>
      <c r="N88">
        <f>IFERROR($J88/IF($A88&lt;COUNTIFS($K$1:N$1,"&lt;&gt;"),0,SUMIFS($J:$J,$B:$B,$B88,$A:$A,"&gt;="&amp;COUNTIFS($K$1:N$1,"&lt;&gt;"))),0)</f>
        <v>0.12109375000000001</v>
      </c>
      <c r="O88">
        <f>IFERROR($J88/IF($A88&lt;COUNTIFS($K$1:O$1,"&lt;&gt;"),0,SUMIFS($J:$J,$B:$B,$B88,$A:$A,"&gt;="&amp;COUNTIFS($K$1:O$1,"&lt;&gt;"))),0)</f>
        <v>0.13716814159292037</v>
      </c>
      <c r="P88">
        <f>IFERROR($J88/IF($A88&lt;COUNTIFS($K$1:P$1,"&lt;&gt;"),0,SUMIFS($J:$J,$B:$B,$B88,$A:$A,"&gt;="&amp;COUNTIFS($K$1:P$1,"&lt;&gt;"))),0)</f>
        <v>0.15897435897435899</v>
      </c>
      <c r="Q88">
        <f>IFERROR($J88/IF($A88&lt;COUNTIFS($K$1:Q$1,"&lt;&gt;"),0,SUMIFS($J:$J,$B:$B,$B88,$A:$A,"&gt;="&amp;COUNTIFS($K$1:Q$1,"&lt;&gt;"))),0)</f>
        <v>0.18902439024390244</v>
      </c>
      <c r="R88">
        <f>IFERROR($J88/IF($A88&lt;COUNTIFS($K$1:R$1,"&lt;&gt;"),0,SUMIFS($J:$J,$B:$B,$B88,$A:$A,"&gt;="&amp;COUNTIFS($K$1:R$1,"&lt;&gt;"))),0)</f>
        <v>0.22794117647058826</v>
      </c>
      <c r="S88">
        <f>IFERROR($J88/IF($A88&lt;COUNTIFS($K$1:S$1,"&lt;&gt;"),0,SUMIFS($J:$J,$B:$B,$B88,$A:$A,"&gt;="&amp;COUNTIFS($K$1:S$1,"&lt;&gt;"))),0)</f>
        <v>0</v>
      </c>
      <c r="T88">
        <f>IFERROR($J88/IF($A88&lt;COUNTIFS($K$1:T$1,"&lt;&gt;"),0,SUMIFS($J:$J,$B:$B,$B88,$A:$A,"&gt;="&amp;COUNTIFS($K$1:T$1,"&lt;&gt;"))),0)</f>
        <v>0</v>
      </c>
      <c r="U88">
        <f>IFERROR($J88/IF($A88&lt;COUNTIFS($K$1:U$1,"&lt;&gt;"),0,SUMIFS($J:$J,$B:$B,$B88,$A:$A,"&gt;="&amp;COUNTIFS($K$1:U$1,"&lt;&gt;"))),0)</f>
        <v>0</v>
      </c>
      <c r="V88">
        <f>IFERROR($J88/IF($A88&lt;COUNTIFS($K$1:V$1,"&lt;&gt;"),0,SUMIFS($J:$J,$B:$B,$B88,$A:$A,"&gt;="&amp;COUNTIFS($K$1:V$1,"&lt;&gt;"))),0)</f>
        <v>0</v>
      </c>
      <c r="W88">
        <f t="shared" si="46"/>
        <v>8.4931506849315067E-2</v>
      </c>
      <c r="X88">
        <f t="shared" si="26"/>
        <v>8.4931506849315067E-2</v>
      </c>
      <c r="Y88">
        <f t="shared" si="27"/>
        <v>8.4931506849315067E-2</v>
      </c>
      <c r="Z88">
        <f t="shared" si="28"/>
        <v>8.4931506849315067E-2</v>
      </c>
      <c r="AA88">
        <f t="shared" si="29"/>
        <v>8.4931506849315067E-2</v>
      </c>
      <c r="AB88">
        <f t="shared" si="30"/>
        <v>8.4931506849315067E-2</v>
      </c>
      <c r="AC88">
        <f t="shared" si="31"/>
        <v>8.4931506849315067E-2</v>
      </c>
      <c r="AD88">
        <f t="shared" si="32"/>
        <v>8.4931506849315067E-2</v>
      </c>
      <c r="AE88">
        <f t="shared" si="33"/>
        <v>8.4931506849315067E-2</v>
      </c>
      <c r="AF88">
        <f t="shared" si="34"/>
        <v>0</v>
      </c>
      <c r="AG88">
        <f t="shared" si="35"/>
        <v>0</v>
      </c>
      <c r="AH88">
        <f t="shared" si="36"/>
        <v>0</v>
      </c>
      <c r="AI88">
        <f t="shared" si="37"/>
        <v>0</v>
      </c>
      <c r="AJ88" s="2" t="str">
        <f t="shared" si="47"/>
        <v>844013</v>
      </c>
    </row>
    <row r="89" spans="1:36" x14ac:dyDescent="0.25">
      <c r="A89">
        <v>9</v>
      </c>
      <c r="B89" s="1">
        <v>44013</v>
      </c>
      <c r="C89" s="1">
        <f t="shared" si="38"/>
        <v>44287</v>
      </c>
      <c r="D89" s="1">
        <f t="shared" si="39"/>
        <v>44027</v>
      </c>
      <c r="E89" s="1">
        <f t="shared" si="40"/>
        <v>44287</v>
      </c>
      <c r="F89" s="1">
        <f t="shared" si="41"/>
        <v>44317</v>
      </c>
      <c r="G89" s="1">
        <f t="shared" si="42"/>
        <v>44392</v>
      </c>
      <c r="H89">
        <f t="shared" si="43"/>
        <v>365</v>
      </c>
      <c r="I89">
        <f t="shared" si="44"/>
        <v>30</v>
      </c>
      <c r="J89">
        <f t="shared" si="45"/>
        <v>8.2191780821917804E-2</v>
      </c>
      <c r="K89">
        <f>IFERROR($J89/IF($A89&lt;COUNTIFS($K$1:K$1,"&lt;&gt;"),0,SUMIFS($J:$J,$B:$B,$B89,$A:$A,"&gt;="&amp;COUNTIFS($K$1:K$1,"&lt;&gt;"))),0)</f>
        <v>8.6206896551724144E-2</v>
      </c>
      <c r="L89">
        <f>IFERROR($J89/IF($A89&lt;COUNTIFS($K$1:L$1,"&lt;&gt;"),0,SUMIFS($J:$J,$B:$B,$B89,$A:$A,"&gt;="&amp;COUNTIFS($K$1:L$1,"&lt;&gt;"))),0)</f>
        <v>9.4637223974763415E-2</v>
      </c>
      <c r="M89">
        <f>IFERROR($J89/IF($A89&lt;COUNTIFS($K$1:M$1,"&lt;&gt;"),0,SUMIFS($J:$J,$B:$B,$B89,$A:$A,"&gt;="&amp;COUNTIFS($K$1:M$1,"&lt;&gt;"))),0)</f>
        <v>0.10452961672473869</v>
      </c>
      <c r="N89">
        <f>IFERROR($J89/IF($A89&lt;COUNTIFS($K$1:N$1,"&lt;&gt;"),0,SUMIFS($J:$J,$B:$B,$B89,$A:$A,"&gt;="&amp;COUNTIFS($K$1:N$1,"&lt;&gt;"))),0)</f>
        <v>0.11718750000000001</v>
      </c>
      <c r="O89">
        <f>IFERROR($J89/IF($A89&lt;COUNTIFS($K$1:O$1,"&lt;&gt;"),0,SUMIFS($J:$J,$B:$B,$B89,$A:$A,"&gt;="&amp;COUNTIFS($K$1:O$1,"&lt;&gt;"))),0)</f>
        <v>0.13274336283185842</v>
      </c>
      <c r="P89">
        <f>IFERROR($J89/IF($A89&lt;COUNTIFS($K$1:P$1,"&lt;&gt;"),0,SUMIFS($J:$J,$B:$B,$B89,$A:$A,"&gt;="&amp;COUNTIFS($K$1:P$1,"&lt;&gt;"))),0)</f>
        <v>0.15384615384615385</v>
      </c>
      <c r="Q89">
        <f>IFERROR($J89/IF($A89&lt;COUNTIFS($K$1:Q$1,"&lt;&gt;"),0,SUMIFS($J:$J,$B:$B,$B89,$A:$A,"&gt;="&amp;COUNTIFS($K$1:Q$1,"&lt;&gt;"))),0)</f>
        <v>0.18292682926829268</v>
      </c>
      <c r="R89">
        <f>IFERROR($J89/IF($A89&lt;COUNTIFS($K$1:R$1,"&lt;&gt;"),0,SUMIFS($J:$J,$B:$B,$B89,$A:$A,"&gt;="&amp;COUNTIFS($K$1:R$1,"&lt;&gt;"))),0)</f>
        <v>0.22058823529411764</v>
      </c>
      <c r="S89">
        <f>IFERROR($J89/IF($A89&lt;COUNTIFS($K$1:S$1,"&lt;&gt;"),0,SUMIFS($J:$J,$B:$B,$B89,$A:$A,"&gt;="&amp;COUNTIFS($K$1:S$1,"&lt;&gt;"))),0)</f>
        <v>0.2857142857142857</v>
      </c>
      <c r="T89">
        <f>IFERROR($J89/IF($A89&lt;COUNTIFS($K$1:T$1,"&lt;&gt;"),0,SUMIFS($J:$J,$B:$B,$B89,$A:$A,"&gt;="&amp;COUNTIFS($K$1:T$1,"&lt;&gt;"))),0)</f>
        <v>0</v>
      </c>
      <c r="U89">
        <f>IFERROR($J89/IF($A89&lt;COUNTIFS($K$1:U$1,"&lt;&gt;"),0,SUMIFS($J:$J,$B:$B,$B89,$A:$A,"&gt;="&amp;COUNTIFS($K$1:U$1,"&lt;&gt;"))),0)</f>
        <v>0</v>
      </c>
      <c r="V89">
        <f>IFERROR($J89/IF($A89&lt;COUNTIFS($K$1:V$1,"&lt;&gt;"),0,SUMIFS($J:$J,$B:$B,$B89,$A:$A,"&gt;="&amp;COUNTIFS($K$1:V$1,"&lt;&gt;"))),0)</f>
        <v>0</v>
      </c>
      <c r="W89">
        <f t="shared" si="46"/>
        <v>8.2191780821917804E-2</v>
      </c>
      <c r="X89">
        <f t="shared" si="26"/>
        <v>8.2191780821917804E-2</v>
      </c>
      <c r="Y89">
        <f t="shared" si="27"/>
        <v>8.2191780821917804E-2</v>
      </c>
      <c r="Z89">
        <f t="shared" si="28"/>
        <v>8.2191780821917804E-2</v>
      </c>
      <c r="AA89">
        <f t="shared" si="29"/>
        <v>8.2191780821917804E-2</v>
      </c>
      <c r="AB89">
        <f t="shared" si="30"/>
        <v>8.2191780821917804E-2</v>
      </c>
      <c r="AC89">
        <f t="shared" si="31"/>
        <v>8.2191780821917804E-2</v>
      </c>
      <c r="AD89">
        <f t="shared" si="32"/>
        <v>8.2191780821917804E-2</v>
      </c>
      <c r="AE89">
        <f t="shared" si="33"/>
        <v>8.2191780821917804E-2</v>
      </c>
      <c r="AF89">
        <f t="shared" si="34"/>
        <v>8.2191780821917804E-2</v>
      </c>
      <c r="AG89">
        <f t="shared" si="35"/>
        <v>0</v>
      </c>
      <c r="AH89">
        <f t="shared" si="36"/>
        <v>0</v>
      </c>
      <c r="AI89">
        <f t="shared" si="37"/>
        <v>0</v>
      </c>
      <c r="AJ89" s="2" t="str">
        <f t="shared" si="47"/>
        <v>944013</v>
      </c>
    </row>
    <row r="90" spans="1:36" x14ac:dyDescent="0.25">
      <c r="A90">
        <v>10</v>
      </c>
      <c r="B90" s="1">
        <v>44013</v>
      </c>
      <c r="C90" s="1">
        <f t="shared" si="38"/>
        <v>44317</v>
      </c>
      <c r="D90" s="1">
        <f t="shared" si="39"/>
        <v>44027</v>
      </c>
      <c r="E90" s="1">
        <f t="shared" si="40"/>
        <v>44317</v>
      </c>
      <c r="F90" s="1">
        <f t="shared" si="41"/>
        <v>44348</v>
      </c>
      <c r="G90" s="1">
        <f t="shared" si="42"/>
        <v>44392</v>
      </c>
      <c r="H90">
        <f t="shared" si="43"/>
        <v>365</v>
      </c>
      <c r="I90">
        <f t="shared" si="44"/>
        <v>31</v>
      </c>
      <c r="J90">
        <f t="shared" si="45"/>
        <v>8.4931506849315067E-2</v>
      </c>
      <c r="K90">
        <f>IFERROR($J90/IF($A90&lt;COUNTIFS($K$1:K$1,"&lt;&gt;"),0,SUMIFS($J:$J,$B:$B,$B90,$A:$A,"&gt;="&amp;COUNTIFS($K$1:K$1,"&lt;&gt;"))),0)</f>
        <v>8.9080459770114959E-2</v>
      </c>
      <c r="L90">
        <f>IFERROR($J90/IF($A90&lt;COUNTIFS($K$1:L$1,"&lt;&gt;"),0,SUMIFS($J:$J,$B:$B,$B90,$A:$A,"&gt;="&amp;COUNTIFS($K$1:L$1,"&lt;&gt;"))),0)</f>
        <v>9.7791798107255537E-2</v>
      </c>
      <c r="M90">
        <f>IFERROR($J90/IF($A90&lt;COUNTIFS($K$1:M$1,"&lt;&gt;"),0,SUMIFS($J:$J,$B:$B,$B90,$A:$A,"&gt;="&amp;COUNTIFS($K$1:M$1,"&lt;&gt;"))),0)</f>
        <v>0.10801393728222998</v>
      </c>
      <c r="N90">
        <f>IFERROR($J90/IF($A90&lt;COUNTIFS($K$1:N$1,"&lt;&gt;"),0,SUMIFS($J:$J,$B:$B,$B90,$A:$A,"&gt;="&amp;COUNTIFS($K$1:N$1,"&lt;&gt;"))),0)</f>
        <v>0.12109375000000001</v>
      </c>
      <c r="O90">
        <f>IFERROR($J90/IF($A90&lt;COUNTIFS($K$1:O$1,"&lt;&gt;"),0,SUMIFS($J:$J,$B:$B,$B90,$A:$A,"&gt;="&amp;COUNTIFS($K$1:O$1,"&lt;&gt;"))),0)</f>
        <v>0.13716814159292037</v>
      </c>
      <c r="P90">
        <f>IFERROR($J90/IF($A90&lt;COUNTIFS($K$1:P$1,"&lt;&gt;"),0,SUMIFS($J:$J,$B:$B,$B90,$A:$A,"&gt;="&amp;COUNTIFS($K$1:P$1,"&lt;&gt;"))),0)</f>
        <v>0.15897435897435899</v>
      </c>
      <c r="Q90">
        <f>IFERROR($J90/IF($A90&lt;COUNTIFS($K$1:Q$1,"&lt;&gt;"),0,SUMIFS($J:$J,$B:$B,$B90,$A:$A,"&gt;="&amp;COUNTIFS($K$1:Q$1,"&lt;&gt;"))),0)</f>
        <v>0.18902439024390244</v>
      </c>
      <c r="R90">
        <f>IFERROR($J90/IF($A90&lt;COUNTIFS($K$1:R$1,"&lt;&gt;"),0,SUMIFS($J:$J,$B:$B,$B90,$A:$A,"&gt;="&amp;COUNTIFS($K$1:R$1,"&lt;&gt;"))),0)</f>
        <v>0.22794117647058826</v>
      </c>
      <c r="S90">
        <f>IFERROR($J90/IF($A90&lt;COUNTIFS($K$1:S$1,"&lt;&gt;"),0,SUMIFS($J:$J,$B:$B,$B90,$A:$A,"&gt;="&amp;COUNTIFS($K$1:S$1,"&lt;&gt;"))),0)</f>
        <v>0.29523809523809524</v>
      </c>
      <c r="T90">
        <f>IFERROR($J90/IF($A90&lt;COUNTIFS($K$1:T$1,"&lt;&gt;"),0,SUMIFS($J:$J,$B:$B,$B90,$A:$A,"&gt;="&amp;COUNTIFS($K$1:T$1,"&lt;&gt;"))),0)</f>
        <v>0.41333333333333333</v>
      </c>
      <c r="U90">
        <f>IFERROR($J90/IF($A90&lt;COUNTIFS($K$1:U$1,"&lt;&gt;"),0,SUMIFS($J:$J,$B:$B,$B90,$A:$A,"&gt;="&amp;COUNTIFS($K$1:U$1,"&lt;&gt;"))),0)</f>
        <v>0</v>
      </c>
      <c r="V90">
        <f>IFERROR($J90/IF($A90&lt;COUNTIFS($K$1:V$1,"&lt;&gt;"),0,SUMIFS($J:$J,$B:$B,$B90,$A:$A,"&gt;="&amp;COUNTIFS($K$1:V$1,"&lt;&gt;"))),0)</f>
        <v>0</v>
      </c>
      <c r="W90">
        <f t="shared" si="46"/>
        <v>8.4931506849315067E-2</v>
      </c>
      <c r="X90">
        <f t="shared" si="26"/>
        <v>8.4931506849315067E-2</v>
      </c>
      <c r="Y90">
        <f t="shared" si="27"/>
        <v>8.4931506849315067E-2</v>
      </c>
      <c r="Z90">
        <f t="shared" si="28"/>
        <v>8.4931506849315067E-2</v>
      </c>
      <c r="AA90">
        <f t="shared" si="29"/>
        <v>8.4931506849315067E-2</v>
      </c>
      <c r="AB90">
        <f t="shared" si="30"/>
        <v>8.4931506849315067E-2</v>
      </c>
      <c r="AC90">
        <f t="shared" si="31"/>
        <v>8.4931506849315067E-2</v>
      </c>
      <c r="AD90">
        <f t="shared" si="32"/>
        <v>8.4931506849315067E-2</v>
      </c>
      <c r="AE90">
        <f t="shared" si="33"/>
        <v>8.4931506849315067E-2</v>
      </c>
      <c r="AF90">
        <f t="shared" si="34"/>
        <v>8.4931506849315067E-2</v>
      </c>
      <c r="AG90">
        <f t="shared" si="35"/>
        <v>8.4931506849315067E-2</v>
      </c>
      <c r="AH90">
        <f t="shared" si="36"/>
        <v>0</v>
      </c>
      <c r="AI90">
        <f t="shared" si="37"/>
        <v>0</v>
      </c>
      <c r="AJ90" s="2" t="str">
        <f t="shared" si="47"/>
        <v>1044013</v>
      </c>
    </row>
    <row r="91" spans="1:36" x14ac:dyDescent="0.25">
      <c r="A91">
        <v>11</v>
      </c>
      <c r="B91" s="1">
        <v>44013</v>
      </c>
      <c r="C91" s="1">
        <f t="shared" si="38"/>
        <v>44348</v>
      </c>
      <c r="D91" s="1">
        <f t="shared" si="39"/>
        <v>44027</v>
      </c>
      <c r="E91" s="1">
        <f t="shared" si="40"/>
        <v>44348</v>
      </c>
      <c r="F91" s="1">
        <f t="shared" si="41"/>
        <v>44378</v>
      </c>
      <c r="G91" s="1">
        <f t="shared" si="42"/>
        <v>44392</v>
      </c>
      <c r="H91">
        <f t="shared" si="43"/>
        <v>365</v>
      </c>
      <c r="I91">
        <f t="shared" si="44"/>
        <v>30</v>
      </c>
      <c r="J91">
        <f t="shared" si="45"/>
        <v>8.2191780821917804E-2</v>
      </c>
      <c r="K91">
        <f>IFERROR($J91/IF($A91&lt;COUNTIFS($K$1:K$1,"&lt;&gt;"),0,SUMIFS($J:$J,$B:$B,$B91,$A:$A,"&gt;="&amp;COUNTIFS($K$1:K$1,"&lt;&gt;"))),0)</f>
        <v>8.6206896551724144E-2</v>
      </c>
      <c r="L91">
        <f>IFERROR($J91/IF($A91&lt;COUNTIFS($K$1:L$1,"&lt;&gt;"),0,SUMIFS($J:$J,$B:$B,$B91,$A:$A,"&gt;="&amp;COUNTIFS($K$1:L$1,"&lt;&gt;"))),0)</f>
        <v>9.4637223974763415E-2</v>
      </c>
      <c r="M91">
        <f>IFERROR($J91/IF($A91&lt;COUNTIFS($K$1:M$1,"&lt;&gt;"),0,SUMIFS($J:$J,$B:$B,$B91,$A:$A,"&gt;="&amp;COUNTIFS($K$1:M$1,"&lt;&gt;"))),0)</f>
        <v>0.10452961672473869</v>
      </c>
      <c r="N91">
        <f>IFERROR($J91/IF($A91&lt;COUNTIFS($K$1:N$1,"&lt;&gt;"),0,SUMIFS($J:$J,$B:$B,$B91,$A:$A,"&gt;="&amp;COUNTIFS($K$1:N$1,"&lt;&gt;"))),0)</f>
        <v>0.11718750000000001</v>
      </c>
      <c r="O91">
        <f>IFERROR($J91/IF($A91&lt;COUNTIFS($K$1:O$1,"&lt;&gt;"),0,SUMIFS($J:$J,$B:$B,$B91,$A:$A,"&gt;="&amp;COUNTIFS($K$1:O$1,"&lt;&gt;"))),0)</f>
        <v>0.13274336283185842</v>
      </c>
      <c r="P91">
        <f>IFERROR($J91/IF($A91&lt;COUNTIFS($K$1:P$1,"&lt;&gt;"),0,SUMIFS($J:$J,$B:$B,$B91,$A:$A,"&gt;="&amp;COUNTIFS($K$1:P$1,"&lt;&gt;"))),0)</f>
        <v>0.15384615384615385</v>
      </c>
      <c r="Q91">
        <f>IFERROR($J91/IF($A91&lt;COUNTIFS($K$1:Q$1,"&lt;&gt;"),0,SUMIFS($J:$J,$B:$B,$B91,$A:$A,"&gt;="&amp;COUNTIFS($K$1:Q$1,"&lt;&gt;"))),0)</f>
        <v>0.18292682926829268</v>
      </c>
      <c r="R91">
        <f>IFERROR($J91/IF($A91&lt;COUNTIFS($K$1:R$1,"&lt;&gt;"),0,SUMIFS($J:$J,$B:$B,$B91,$A:$A,"&gt;="&amp;COUNTIFS($K$1:R$1,"&lt;&gt;"))),0)</f>
        <v>0.22058823529411764</v>
      </c>
      <c r="S91">
        <f>IFERROR($J91/IF($A91&lt;COUNTIFS($K$1:S$1,"&lt;&gt;"),0,SUMIFS($J:$J,$B:$B,$B91,$A:$A,"&gt;="&amp;COUNTIFS($K$1:S$1,"&lt;&gt;"))),0)</f>
        <v>0.2857142857142857</v>
      </c>
      <c r="T91">
        <f>IFERROR($J91/IF($A91&lt;COUNTIFS($K$1:T$1,"&lt;&gt;"),0,SUMIFS($J:$J,$B:$B,$B91,$A:$A,"&gt;="&amp;COUNTIFS($K$1:T$1,"&lt;&gt;"))),0)</f>
        <v>0.4</v>
      </c>
      <c r="U91">
        <f>IFERROR($J91/IF($A91&lt;COUNTIFS($K$1:U$1,"&lt;&gt;"),0,SUMIFS($J:$J,$B:$B,$B91,$A:$A,"&gt;="&amp;COUNTIFS($K$1:U$1,"&lt;&gt;"))),0)</f>
        <v>0.68181818181818177</v>
      </c>
      <c r="V91">
        <f>IFERROR($J91/IF($A91&lt;COUNTIFS($K$1:V$1,"&lt;&gt;"),0,SUMIFS($J:$J,$B:$B,$B91,$A:$A,"&gt;="&amp;COUNTIFS($K$1:V$1,"&lt;&gt;"))),0)</f>
        <v>0</v>
      </c>
      <c r="W91">
        <f t="shared" si="46"/>
        <v>8.2191780821917804E-2</v>
      </c>
      <c r="X91">
        <f t="shared" si="26"/>
        <v>8.2191780821917804E-2</v>
      </c>
      <c r="Y91">
        <f t="shared" si="27"/>
        <v>8.2191780821917804E-2</v>
      </c>
      <c r="Z91">
        <f t="shared" si="28"/>
        <v>8.2191780821917804E-2</v>
      </c>
      <c r="AA91">
        <f t="shared" si="29"/>
        <v>8.2191780821917804E-2</v>
      </c>
      <c r="AB91">
        <f t="shared" si="30"/>
        <v>8.2191780821917804E-2</v>
      </c>
      <c r="AC91">
        <f t="shared" si="31"/>
        <v>8.2191780821917804E-2</v>
      </c>
      <c r="AD91">
        <f t="shared" si="32"/>
        <v>8.2191780821917804E-2</v>
      </c>
      <c r="AE91">
        <f t="shared" si="33"/>
        <v>8.2191780821917804E-2</v>
      </c>
      <c r="AF91">
        <f t="shared" si="34"/>
        <v>8.2191780821917804E-2</v>
      </c>
      <c r="AG91">
        <f t="shared" si="35"/>
        <v>8.2191780821917804E-2</v>
      </c>
      <c r="AH91">
        <f t="shared" si="36"/>
        <v>8.2191780821917804E-2</v>
      </c>
      <c r="AI91">
        <f t="shared" si="37"/>
        <v>0</v>
      </c>
      <c r="AJ91" s="2" t="str">
        <f t="shared" si="47"/>
        <v>1144013</v>
      </c>
    </row>
    <row r="92" spans="1:36" x14ac:dyDescent="0.25">
      <c r="A92">
        <v>12</v>
      </c>
      <c r="B92" s="1">
        <v>44013</v>
      </c>
      <c r="C92" s="1">
        <f t="shared" si="38"/>
        <v>44378</v>
      </c>
      <c r="D92" s="1">
        <f t="shared" si="39"/>
        <v>44027</v>
      </c>
      <c r="E92" s="1">
        <f t="shared" si="40"/>
        <v>44378</v>
      </c>
      <c r="F92" s="1">
        <f t="shared" si="41"/>
        <v>44392</v>
      </c>
      <c r="G92" s="1">
        <f t="shared" si="42"/>
        <v>44392</v>
      </c>
      <c r="H92">
        <f t="shared" si="43"/>
        <v>365</v>
      </c>
      <c r="I92">
        <f t="shared" si="44"/>
        <v>14</v>
      </c>
      <c r="J92">
        <f t="shared" si="45"/>
        <v>3.8356164383561646E-2</v>
      </c>
      <c r="K92">
        <f>IFERROR($J92/IF($A92&lt;COUNTIFS($K$1:K$1,"&lt;&gt;"),0,SUMIFS($J:$J,$B:$B,$B92,$A:$A,"&gt;="&amp;COUNTIFS($K$1:K$1,"&lt;&gt;"))),0)</f>
        <v>4.0229885057471271E-2</v>
      </c>
      <c r="L92">
        <f>IFERROR($J92/IF($A92&lt;COUNTIFS($K$1:L$1,"&lt;&gt;"),0,SUMIFS($J:$J,$B:$B,$B92,$A:$A,"&gt;="&amp;COUNTIFS($K$1:L$1,"&lt;&gt;"))),0)</f>
        <v>4.41640378548896E-2</v>
      </c>
      <c r="M92">
        <f>IFERROR($J92/IF($A92&lt;COUNTIFS($K$1:M$1,"&lt;&gt;"),0,SUMIFS($J:$J,$B:$B,$B92,$A:$A,"&gt;="&amp;COUNTIFS($K$1:M$1,"&lt;&gt;"))),0)</f>
        <v>4.8780487804878057E-2</v>
      </c>
      <c r="N92">
        <f>IFERROR($J92/IF($A92&lt;COUNTIFS($K$1:N$1,"&lt;&gt;"),0,SUMIFS($J:$J,$B:$B,$B92,$A:$A,"&gt;="&amp;COUNTIFS($K$1:N$1,"&lt;&gt;"))),0)</f>
        <v>5.4687500000000014E-2</v>
      </c>
      <c r="O92">
        <f>IFERROR($J92/IF($A92&lt;COUNTIFS($K$1:O$1,"&lt;&gt;"),0,SUMIFS($J:$J,$B:$B,$B92,$A:$A,"&gt;="&amp;COUNTIFS($K$1:O$1,"&lt;&gt;"))),0)</f>
        <v>6.194690265486727E-2</v>
      </c>
      <c r="P92">
        <f>IFERROR($J92/IF($A92&lt;COUNTIFS($K$1:P$1,"&lt;&gt;"),0,SUMIFS($J:$J,$B:$B,$B92,$A:$A,"&gt;="&amp;COUNTIFS($K$1:P$1,"&lt;&gt;"))),0)</f>
        <v>7.1794871794871803E-2</v>
      </c>
      <c r="Q92">
        <f>IFERROR($J92/IF($A92&lt;COUNTIFS($K$1:Q$1,"&lt;&gt;"),0,SUMIFS($J:$J,$B:$B,$B92,$A:$A,"&gt;="&amp;COUNTIFS($K$1:Q$1,"&lt;&gt;"))),0)</f>
        <v>8.5365853658536592E-2</v>
      </c>
      <c r="R92">
        <f>IFERROR($J92/IF($A92&lt;COUNTIFS($K$1:R$1,"&lt;&gt;"),0,SUMIFS($J:$J,$B:$B,$B92,$A:$A,"&gt;="&amp;COUNTIFS($K$1:R$1,"&lt;&gt;"))),0)</f>
        <v>0.10294117647058824</v>
      </c>
      <c r="S92">
        <f>IFERROR($J92/IF($A92&lt;COUNTIFS($K$1:S$1,"&lt;&gt;"),0,SUMIFS($J:$J,$B:$B,$B92,$A:$A,"&gt;="&amp;COUNTIFS($K$1:S$1,"&lt;&gt;"))),0)</f>
        <v>0.13333333333333336</v>
      </c>
      <c r="T92">
        <f>IFERROR($J92/IF($A92&lt;COUNTIFS($K$1:T$1,"&lt;&gt;"),0,SUMIFS($J:$J,$B:$B,$B92,$A:$A,"&gt;="&amp;COUNTIFS($K$1:T$1,"&lt;&gt;"))),0)</f>
        <v>0.18666666666666668</v>
      </c>
      <c r="U92">
        <f>IFERROR($J92/IF($A92&lt;COUNTIFS($K$1:U$1,"&lt;&gt;"),0,SUMIFS($J:$J,$B:$B,$B92,$A:$A,"&gt;="&amp;COUNTIFS($K$1:U$1,"&lt;&gt;"))),0)</f>
        <v>0.31818181818181818</v>
      </c>
      <c r="V92">
        <f>IFERROR($J92/IF($A92&lt;COUNTIFS($K$1:V$1,"&lt;&gt;"),0,SUMIFS($J:$J,$B:$B,$B92,$A:$A,"&gt;="&amp;COUNTIFS($K$1:V$1,"&lt;&gt;"))),0)</f>
        <v>1</v>
      </c>
      <c r="W92">
        <f t="shared" si="46"/>
        <v>3.8356164383561646E-2</v>
      </c>
      <c r="X92">
        <f t="shared" si="26"/>
        <v>3.8356164383561646E-2</v>
      </c>
      <c r="Y92">
        <f t="shared" si="27"/>
        <v>3.8356164383561646E-2</v>
      </c>
      <c r="Z92">
        <f t="shared" si="28"/>
        <v>3.8356164383561646E-2</v>
      </c>
      <c r="AA92">
        <f t="shared" si="29"/>
        <v>3.8356164383561646E-2</v>
      </c>
      <c r="AB92">
        <f t="shared" si="30"/>
        <v>3.8356164383561646E-2</v>
      </c>
      <c r="AC92">
        <f t="shared" si="31"/>
        <v>3.8356164383561646E-2</v>
      </c>
      <c r="AD92">
        <f t="shared" si="32"/>
        <v>3.8356164383561646E-2</v>
      </c>
      <c r="AE92">
        <f t="shared" si="33"/>
        <v>3.8356164383561646E-2</v>
      </c>
      <c r="AF92">
        <f t="shared" si="34"/>
        <v>3.8356164383561646E-2</v>
      </c>
      <c r="AG92">
        <f t="shared" si="35"/>
        <v>3.8356164383561646E-2</v>
      </c>
      <c r="AH92">
        <f t="shared" si="36"/>
        <v>3.8356164383561646E-2</v>
      </c>
      <c r="AI92">
        <f t="shared" si="37"/>
        <v>3.8356164383561646E-2</v>
      </c>
      <c r="AJ92" s="2" t="str">
        <f t="shared" si="47"/>
        <v>1244013</v>
      </c>
    </row>
    <row r="93" spans="1:36" x14ac:dyDescent="0.25">
      <c r="A93">
        <v>0</v>
      </c>
      <c r="B93" s="1">
        <v>44044</v>
      </c>
      <c r="C93" s="1">
        <f t="shared" si="38"/>
        <v>44044</v>
      </c>
      <c r="D93" s="1">
        <f t="shared" si="39"/>
        <v>44058</v>
      </c>
      <c r="E93" s="1">
        <f t="shared" si="40"/>
        <v>44058</v>
      </c>
      <c r="F93" s="1">
        <f t="shared" si="41"/>
        <v>44075</v>
      </c>
      <c r="G93" s="1">
        <f t="shared" si="42"/>
        <v>44423</v>
      </c>
      <c r="H93">
        <f t="shared" si="43"/>
        <v>365</v>
      </c>
      <c r="I93">
        <f t="shared" si="44"/>
        <v>17</v>
      </c>
      <c r="J93">
        <f t="shared" si="45"/>
        <v>4.6575342465753428E-2</v>
      </c>
      <c r="K93">
        <f>IFERROR($J93/IF($A93&lt;COUNTIFS($K$1:K$1,"&lt;&gt;"),0,SUMIFS($J:$J,$B:$B,$B93,$A:$A,"&gt;="&amp;COUNTIFS($K$1:K$1,"&lt;&gt;"))),0)</f>
        <v>0</v>
      </c>
      <c r="L93">
        <f>IFERROR($J93/IF($A93&lt;COUNTIFS($K$1:L$1,"&lt;&gt;"),0,SUMIFS($J:$J,$B:$B,$B93,$A:$A,"&gt;="&amp;COUNTIFS($K$1:L$1,"&lt;&gt;"))),0)</f>
        <v>0</v>
      </c>
      <c r="M93">
        <f>IFERROR($J93/IF($A93&lt;COUNTIFS($K$1:M$1,"&lt;&gt;"),0,SUMIFS($J:$J,$B:$B,$B93,$A:$A,"&gt;="&amp;COUNTIFS($K$1:M$1,"&lt;&gt;"))),0)</f>
        <v>0</v>
      </c>
      <c r="N93">
        <f>IFERROR($J93/IF($A93&lt;COUNTIFS($K$1:N$1,"&lt;&gt;"),0,SUMIFS($J:$J,$B:$B,$B93,$A:$A,"&gt;="&amp;COUNTIFS($K$1:N$1,"&lt;&gt;"))),0)</f>
        <v>0</v>
      </c>
      <c r="O93">
        <f>IFERROR($J93/IF($A93&lt;COUNTIFS($K$1:O$1,"&lt;&gt;"),0,SUMIFS($J:$J,$B:$B,$B93,$A:$A,"&gt;="&amp;COUNTIFS($K$1:O$1,"&lt;&gt;"))),0)</f>
        <v>0</v>
      </c>
      <c r="P93">
        <f>IFERROR($J93/IF($A93&lt;COUNTIFS($K$1:P$1,"&lt;&gt;"),0,SUMIFS($J:$J,$B:$B,$B93,$A:$A,"&gt;="&amp;COUNTIFS($K$1:P$1,"&lt;&gt;"))),0)</f>
        <v>0</v>
      </c>
      <c r="Q93">
        <f>IFERROR($J93/IF($A93&lt;COUNTIFS($K$1:Q$1,"&lt;&gt;"),0,SUMIFS($J:$J,$B:$B,$B93,$A:$A,"&gt;="&amp;COUNTIFS($K$1:Q$1,"&lt;&gt;"))),0)</f>
        <v>0</v>
      </c>
      <c r="R93">
        <f>IFERROR($J93/IF($A93&lt;COUNTIFS($K$1:R$1,"&lt;&gt;"),0,SUMIFS($J:$J,$B:$B,$B93,$A:$A,"&gt;="&amp;COUNTIFS($K$1:R$1,"&lt;&gt;"))),0)</f>
        <v>0</v>
      </c>
      <c r="S93">
        <f>IFERROR($J93/IF($A93&lt;COUNTIFS($K$1:S$1,"&lt;&gt;"),0,SUMIFS($J:$J,$B:$B,$B93,$A:$A,"&gt;="&amp;COUNTIFS($K$1:S$1,"&lt;&gt;"))),0)</f>
        <v>0</v>
      </c>
      <c r="T93">
        <f>IFERROR($J93/IF($A93&lt;COUNTIFS($K$1:T$1,"&lt;&gt;"),0,SUMIFS($J:$J,$B:$B,$B93,$A:$A,"&gt;="&amp;COUNTIFS($K$1:T$1,"&lt;&gt;"))),0)</f>
        <v>0</v>
      </c>
      <c r="U93">
        <f>IFERROR($J93/IF($A93&lt;COUNTIFS($K$1:U$1,"&lt;&gt;"),0,SUMIFS($J:$J,$B:$B,$B93,$A:$A,"&gt;="&amp;COUNTIFS($K$1:U$1,"&lt;&gt;"))),0)</f>
        <v>0</v>
      </c>
      <c r="V93">
        <f>IFERROR($J93/IF($A93&lt;COUNTIFS($K$1:V$1,"&lt;&gt;"),0,SUMIFS($J:$J,$B:$B,$B93,$A:$A,"&gt;="&amp;COUNTIFS($K$1:V$1,"&lt;&gt;"))),0)</f>
        <v>0</v>
      </c>
      <c r="W93">
        <f t="shared" si="46"/>
        <v>4.6575342465753428E-2</v>
      </c>
      <c r="X93">
        <f t="shared" si="26"/>
        <v>0</v>
      </c>
      <c r="Y93">
        <f t="shared" si="27"/>
        <v>0</v>
      </c>
      <c r="Z93">
        <f t="shared" si="28"/>
        <v>0</v>
      </c>
      <c r="AA93">
        <f t="shared" si="29"/>
        <v>0</v>
      </c>
      <c r="AB93">
        <f t="shared" si="30"/>
        <v>0</v>
      </c>
      <c r="AC93">
        <f t="shared" si="31"/>
        <v>0</v>
      </c>
      <c r="AD93">
        <f t="shared" si="32"/>
        <v>0</v>
      </c>
      <c r="AE93">
        <f t="shared" si="33"/>
        <v>0</v>
      </c>
      <c r="AF93">
        <f t="shared" si="34"/>
        <v>0</v>
      </c>
      <c r="AG93">
        <f t="shared" si="35"/>
        <v>0</v>
      </c>
      <c r="AH93">
        <f t="shared" si="36"/>
        <v>0</v>
      </c>
      <c r="AI93">
        <f t="shared" si="37"/>
        <v>0</v>
      </c>
      <c r="AJ93" s="2" t="str">
        <f t="shared" si="47"/>
        <v>044044</v>
      </c>
    </row>
    <row r="94" spans="1:36" x14ac:dyDescent="0.25">
      <c r="A94">
        <v>1</v>
      </c>
      <c r="B94" s="1">
        <v>44044</v>
      </c>
      <c r="C94" s="1">
        <f t="shared" si="38"/>
        <v>44075</v>
      </c>
      <c r="D94" s="1">
        <f t="shared" si="39"/>
        <v>44058</v>
      </c>
      <c r="E94" s="1">
        <f t="shared" si="40"/>
        <v>44075</v>
      </c>
      <c r="F94" s="1">
        <f t="shared" si="41"/>
        <v>44105</v>
      </c>
      <c r="G94" s="1">
        <f t="shared" si="42"/>
        <v>44423</v>
      </c>
      <c r="H94">
        <f t="shared" si="43"/>
        <v>365</v>
      </c>
      <c r="I94">
        <f t="shared" si="44"/>
        <v>30</v>
      </c>
      <c r="J94">
        <f t="shared" si="45"/>
        <v>8.2191780821917804E-2</v>
      </c>
      <c r="K94">
        <f>IFERROR($J94/IF($A94&lt;COUNTIFS($K$1:K$1,"&lt;&gt;"),0,SUMIFS($J:$J,$B:$B,$B94,$A:$A,"&gt;="&amp;COUNTIFS($K$1:K$1,"&lt;&gt;"))),0)</f>
        <v>8.6206896551724144E-2</v>
      </c>
      <c r="L94">
        <f>IFERROR($J94/IF($A94&lt;COUNTIFS($K$1:L$1,"&lt;&gt;"),0,SUMIFS($J:$J,$B:$B,$B94,$A:$A,"&gt;="&amp;COUNTIFS($K$1:L$1,"&lt;&gt;"))),0)</f>
        <v>0</v>
      </c>
      <c r="M94">
        <f>IFERROR($J94/IF($A94&lt;COUNTIFS($K$1:M$1,"&lt;&gt;"),0,SUMIFS($J:$J,$B:$B,$B94,$A:$A,"&gt;="&amp;COUNTIFS($K$1:M$1,"&lt;&gt;"))),0)</f>
        <v>0</v>
      </c>
      <c r="N94">
        <f>IFERROR($J94/IF($A94&lt;COUNTIFS($K$1:N$1,"&lt;&gt;"),0,SUMIFS($J:$J,$B:$B,$B94,$A:$A,"&gt;="&amp;COUNTIFS($K$1:N$1,"&lt;&gt;"))),0)</f>
        <v>0</v>
      </c>
      <c r="O94">
        <f>IFERROR($J94/IF($A94&lt;COUNTIFS($K$1:O$1,"&lt;&gt;"),0,SUMIFS($J:$J,$B:$B,$B94,$A:$A,"&gt;="&amp;COUNTIFS($K$1:O$1,"&lt;&gt;"))),0)</f>
        <v>0</v>
      </c>
      <c r="P94">
        <f>IFERROR($J94/IF($A94&lt;COUNTIFS($K$1:P$1,"&lt;&gt;"),0,SUMIFS($J:$J,$B:$B,$B94,$A:$A,"&gt;="&amp;COUNTIFS($K$1:P$1,"&lt;&gt;"))),0)</f>
        <v>0</v>
      </c>
      <c r="Q94">
        <f>IFERROR($J94/IF($A94&lt;COUNTIFS($K$1:Q$1,"&lt;&gt;"),0,SUMIFS($J:$J,$B:$B,$B94,$A:$A,"&gt;="&amp;COUNTIFS($K$1:Q$1,"&lt;&gt;"))),0)</f>
        <v>0</v>
      </c>
      <c r="R94">
        <f>IFERROR($J94/IF($A94&lt;COUNTIFS($K$1:R$1,"&lt;&gt;"),0,SUMIFS($J:$J,$B:$B,$B94,$A:$A,"&gt;="&amp;COUNTIFS($K$1:R$1,"&lt;&gt;"))),0)</f>
        <v>0</v>
      </c>
      <c r="S94">
        <f>IFERROR($J94/IF($A94&lt;COUNTIFS($K$1:S$1,"&lt;&gt;"),0,SUMIFS($J:$J,$B:$B,$B94,$A:$A,"&gt;="&amp;COUNTIFS($K$1:S$1,"&lt;&gt;"))),0)</f>
        <v>0</v>
      </c>
      <c r="T94">
        <f>IFERROR($J94/IF($A94&lt;COUNTIFS($K$1:T$1,"&lt;&gt;"),0,SUMIFS($J:$J,$B:$B,$B94,$A:$A,"&gt;="&amp;COUNTIFS($K$1:T$1,"&lt;&gt;"))),0)</f>
        <v>0</v>
      </c>
      <c r="U94">
        <f>IFERROR($J94/IF($A94&lt;COUNTIFS($K$1:U$1,"&lt;&gt;"),0,SUMIFS($J:$J,$B:$B,$B94,$A:$A,"&gt;="&amp;COUNTIFS($K$1:U$1,"&lt;&gt;"))),0)</f>
        <v>0</v>
      </c>
      <c r="V94">
        <f>IFERROR($J94/IF($A94&lt;COUNTIFS($K$1:V$1,"&lt;&gt;"),0,SUMIFS($J:$J,$B:$B,$B94,$A:$A,"&gt;="&amp;COUNTIFS($K$1:V$1,"&lt;&gt;"))),0)</f>
        <v>0</v>
      </c>
      <c r="W94">
        <f t="shared" si="46"/>
        <v>8.2191780821917804E-2</v>
      </c>
      <c r="X94">
        <f t="shared" si="26"/>
        <v>8.2191780821917804E-2</v>
      </c>
      <c r="Y94">
        <f t="shared" si="27"/>
        <v>0</v>
      </c>
      <c r="Z94">
        <f t="shared" si="28"/>
        <v>0</v>
      </c>
      <c r="AA94">
        <f t="shared" si="29"/>
        <v>0</v>
      </c>
      <c r="AB94">
        <f t="shared" si="30"/>
        <v>0</v>
      </c>
      <c r="AC94">
        <f t="shared" si="31"/>
        <v>0</v>
      </c>
      <c r="AD94">
        <f t="shared" si="32"/>
        <v>0</v>
      </c>
      <c r="AE94">
        <f t="shared" si="33"/>
        <v>0</v>
      </c>
      <c r="AF94">
        <f t="shared" si="34"/>
        <v>0</v>
      </c>
      <c r="AG94">
        <f t="shared" si="35"/>
        <v>0</v>
      </c>
      <c r="AH94">
        <f t="shared" si="36"/>
        <v>0</v>
      </c>
      <c r="AI94">
        <f t="shared" si="37"/>
        <v>0</v>
      </c>
      <c r="AJ94" s="2" t="str">
        <f t="shared" si="47"/>
        <v>144044</v>
      </c>
    </row>
    <row r="95" spans="1:36" x14ac:dyDescent="0.25">
      <c r="A95">
        <v>2</v>
      </c>
      <c r="B95" s="1">
        <v>44044</v>
      </c>
      <c r="C95" s="1">
        <f t="shared" si="38"/>
        <v>44105</v>
      </c>
      <c r="D95" s="1">
        <f t="shared" si="39"/>
        <v>44058</v>
      </c>
      <c r="E95" s="1">
        <f t="shared" si="40"/>
        <v>44105</v>
      </c>
      <c r="F95" s="1">
        <f t="shared" si="41"/>
        <v>44136</v>
      </c>
      <c r="G95" s="1">
        <f t="shared" si="42"/>
        <v>44423</v>
      </c>
      <c r="H95">
        <f t="shared" si="43"/>
        <v>365</v>
      </c>
      <c r="I95">
        <f t="shared" si="44"/>
        <v>31</v>
      </c>
      <c r="J95">
        <f t="shared" si="45"/>
        <v>8.4931506849315067E-2</v>
      </c>
      <c r="K95">
        <f>IFERROR($J95/IF($A95&lt;COUNTIFS($K$1:K$1,"&lt;&gt;"),0,SUMIFS($J:$J,$B:$B,$B95,$A:$A,"&gt;="&amp;COUNTIFS($K$1:K$1,"&lt;&gt;"))),0)</f>
        <v>8.9080459770114959E-2</v>
      </c>
      <c r="L95">
        <f>IFERROR($J95/IF($A95&lt;COUNTIFS($K$1:L$1,"&lt;&gt;"),0,SUMIFS($J:$J,$B:$B,$B95,$A:$A,"&gt;="&amp;COUNTIFS($K$1:L$1,"&lt;&gt;"))),0)</f>
        <v>9.7484276729559768E-2</v>
      </c>
      <c r="M95">
        <f>IFERROR($J95/IF($A95&lt;COUNTIFS($K$1:M$1,"&lt;&gt;"),0,SUMIFS($J:$J,$B:$B,$B95,$A:$A,"&gt;="&amp;COUNTIFS($K$1:M$1,"&lt;&gt;"))),0)</f>
        <v>0</v>
      </c>
      <c r="N95">
        <f>IFERROR($J95/IF($A95&lt;COUNTIFS($K$1:N$1,"&lt;&gt;"),0,SUMIFS($J:$J,$B:$B,$B95,$A:$A,"&gt;="&amp;COUNTIFS($K$1:N$1,"&lt;&gt;"))),0)</f>
        <v>0</v>
      </c>
      <c r="O95">
        <f>IFERROR($J95/IF($A95&lt;COUNTIFS($K$1:O$1,"&lt;&gt;"),0,SUMIFS($J:$J,$B:$B,$B95,$A:$A,"&gt;="&amp;COUNTIFS($K$1:O$1,"&lt;&gt;"))),0)</f>
        <v>0</v>
      </c>
      <c r="P95">
        <f>IFERROR($J95/IF($A95&lt;COUNTIFS($K$1:P$1,"&lt;&gt;"),0,SUMIFS($J:$J,$B:$B,$B95,$A:$A,"&gt;="&amp;COUNTIFS($K$1:P$1,"&lt;&gt;"))),0)</f>
        <v>0</v>
      </c>
      <c r="Q95">
        <f>IFERROR($J95/IF($A95&lt;COUNTIFS($K$1:Q$1,"&lt;&gt;"),0,SUMIFS($J:$J,$B:$B,$B95,$A:$A,"&gt;="&amp;COUNTIFS($K$1:Q$1,"&lt;&gt;"))),0)</f>
        <v>0</v>
      </c>
      <c r="R95">
        <f>IFERROR($J95/IF($A95&lt;COUNTIFS($K$1:R$1,"&lt;&gt;"),0,SUMIFS($J:$J,$B:$B,$B95,$A:$A,"&gt;="&amp;COUNTIFS($K$1:R$1,"&lt;&gt;"))),0)</f>
        <v>0</v>
      </c>
      <c r="S95">
        <f>IFERROR($J95/IF($A95&lt;COUNTIFS($K$1:S$1,"&lt;&gt;"),0,SUMIFS($J:$J,$B:$B,$B95,$A:$A,"&gt;="&amp;COUNTIFS($K$1:S$1,"&lt;&gt;"))),0)</f>
        <v>0</v>
      </c>
      <c r="T95">
        <f>IFERROR($J95/IF($A95&lt;COUNTIFS($K$1:T$1,"&lt;&gt;"),0,SUMIFS($J:$J,$B:$B,$B95,$A:$A,"&gt;="&amp;COUNTIFS($K$1:T$1,"&lt;&gt;"))),0)</f>
        <v>0</v>
      </c>
      <c r="U95">
        <f>IFERROR($J95/IF($A95&lt;COUNTIFS($K$1:U$1,"&lt;&gt;"),0,SUMIFS($J:$J,$B:$B,$B95,$A:$A,"&gt;="&amp;COUNTIFS($K$1:U$1,"&lt;&gt;"))),0)</f>
        <v>0</v>
      </c>
      <c r="V95">
        <f>IFERROR($J95/IF($A95&lt;COUNTIFS($K$1:V$1,"&lt;&gt;"),0,SUMIFS($J:$J,$B:$B,$B95,$A:$A,"&gt;="&amp;COUNTIFS($K$1:V$1,"&lt;&gt;"))),0)</f>
        <v>0</v>
      </c>
      <c r="W95">
        <f t="shared" si="46"/>
        <v>8.4931506849315067E-2</v>
      </c>
      <c r="X95">
        <f t="shared" si="26"/>
        <v>8.4931506849315067E-2</v>
      </c>
      <c r="Y95">
        <f t="shared" si="27"/>
        <v>8.4931506849315067E-2</v>
      </c>
      <c r="Z95">
        <f t="shared" si="28"/>
        <v>0</v>
      </c>
      <c r="AA95">
        <f t="shared" si="29"/>
        <v>0</v>
      </c>
      <c r="AB95">
        <f t="shared" si="30"/>
        <v>0</v>
      </c>
      <c r="AC95">
        <f t="shared" si="31"/>
        <v>0</v>
      </c>
      <c r="AD95">
        <f t="shared" si="32"/>
        <v>0</v>
      </c>
      <c r="AE95">
        <f t="shared" si="33"/>
        <v>0</v>
      </c>
      <c r="AF95">
        <f t="shared" si="34"/>
        <v>0</v>
      </c>
      <c r="AG95">
        <f t="shared" si="35"/>
        <v>0</v>
      </c>
      <c r="AH95">
        <f t="shared" si="36"/>
        <v>0</v>
      </c>
      <c r="AI95">
        <f t="shared" si="37"/>
        <v>0</v>
      </c>
      <c r="AJ95" s="2" t="str">
        <f t="shared" si="47"/>
        <v>244044</v>
      </c>
    </row>
    <row r="96" spans="1:36" x14ac:dyDescent="0.25">
      <c r="A96">
        <v>3</v>
      </c>
      <c r="B96" s="1">
        <v>44044</v>
      </c>
      <c r="C96" s="1">
        <f t="shared" si="38"/>
        <v>44136</v>
      </c>
      <c r="D96" s="1">
        <f t="shared" si="39"/>
        <v>44058</v>
      </c>
      <c r="E96" s="1">
        <f t="shared" si="40"/>
        <v>44136</v>
      </c>
      <c r="F96" s="1">
        <f t="shared" si="41"/>
        <v>44166</v>
      </c>
      <c r="G96" s="1">
        <f t="shared" si="42"/>
        <v>44423</v>
      </c>
      <c r="H96">
        <f t="shared" si="43"/>
        <v>365</v>
      </c>
      <c r="I96">
        <f t="shared" si="44"/>
        <v>30</v>
      </c>
      <c r="J96">
        <f t="shared" si="45"/>
        <v>8.2191780821917804E-2</v>
      </c>
      <c r="K96">
        <f>IFERROR($J96/IF($A96&lt;COUNTIFS($K$1:K$1,"&lt;&gt;"),0,SUMIFS($J:$J,$B:$B,$B96,$A:$A,"&gt;="&amp;COUNTIFS($K$1:K$1,"&lt;&gt;"))),0)</f>
        <v>8.6206896551724144E-2</v>
      </c>
      <c r="L96">
        <f>IFERROR($J96/IF($A96&lt;COUNTIFS($K$1:L$1,"&lt;&gt;"),0,SUMIFS($J:$J,$B:$B,$B96,$A:$A,"&gt;="&amp;COUNTIFS($K$1:L$1,"&lt;&gt;"))),0)</f>
        <v>9.4339622641509441E-2</v>
      </c>
      <c r="M96">
        <f>IFERROR($J96/IF($A96&lt;COUNTIFS($K$1:M$1,"&lt;&gt;"),0,SUMIFS($J:$J,$B:$B,$B96,$A:$A,"&gt;="&amp;COUNTIFS($K$1:M$1,"&lt;&gt;"))),0)</f>
        <v>0.10452961672473869</v>
      </c>
      <c r="N96">
        <f>IFERROR($J96/IF($A96&lt;COUNTIFS($K$1:N$1,"&lt;&gt;"),0,SUMIFS($J:$J,$B:$B,$B96,$A:$A,"&gt;="&amp;COUNTIFS($K$1:N$1,"&lt;&gt;"))),0)</f>
        <v>0</v>
      </c>
      <c r="O96">
        <f>IFERROR($J96/IF($A96&lt;COUNTIFS($K$1:O$1,"&lt;&gt;"),0,SUMIFS($J:$J,$B:$B,$B96,$A:$A,"&gt;="&amp;COUNTIFS($K$1:O$1,"&lt;&gt;"))),0)</f>
        <v>0</v>
      </c>
      <c r="P96">
        <f>IFERROR($J96/IF($A96&lt;COUNTIFS($K$1:P$1,"&lt;&gt;"),0,SUMIFS($J:$J,$B:$B,$B96,$A:$A,"&gt;="&amp;COUNTIFS($K$1:P$1,"&lt;&gt;"))),0)</f>
        <v>0</v>
      </c>
      <c r="Q96">
        <f>IFERROR($J96/IF($A96&lt;COUNTIFS($K$1:Q$1,"&lt;&gt;"),0,SUMIFS($J:$J,$B:$B,$B96,$A:$A,"&gt;="&amp;COUNTIFS($K$1:Q$1,"&lt;&gt;"))),0)</f>
        <v>0</v>
      </c>
      <c r="R96">
        <f>IFERROR($J96/IF($A96&lt;COUNTIFS($K$1:R$1,"&lt;&gt;"),0,SUMIFS($J:$J,$B:$B,$B96,$A:$A,"&gt;="&amp;COUNTIFS($K$1:R$1,"&lt;&gt;"))),0)</f>
        <v>0</v>
      </c>
      <c r="S96">
        <f>IFERROR($J96/IF($A96&lt;COUNTIFS($K$1:S$1,"&lt;&gt;"),0,SUMIFS($J:$J,$B:$B,$B96,$A:$A,"&gt;="&amp;COUNTIFS($K$1:S$1,"&lt;&gt;"))),0)</f>
        <v>0</v>
      </c>
      <c r="T96">
        <f>IFERROR($J96/IF($A96&lt;COUNTIFS($K$1:T$1,"&lt;&gt;"),0,SUMIFS($J:$J,$B:$B,$B96,$A:$A,"&gt;="&amp;COUNTIFS($K$1:T$1,"&lt;&gt;"))),0)</f>
        <v>0</v>
      </c>
      <c r="U96">
        <f>IFERROR($J96/IF($A96&lt;COUNTIFS($K$1:U$1,"&lt;&gt;"),0,SUMIFS($J:$J,$B:$B,$B96,$A:$A,"&gt;="&amp;COUNTIFS($K$1:U$1,"&lt;&gt;"))),0)</f>
        <v>0</v>
      </c>
      <c r="V96">
        <f>IFERROR($J96/IF($A96&lt;COUNTIFS($K$1:V$1,"&lt;&gt;"),0,SUMIFS($J:$J,$B:$B,$B96,$A:$A,"&gt;="&amp;COUNTIFS($K$1:V$1,"&lt;&gt;"))),0)</f>
        <v>0</v>
      </c>
      <c r="W96">
        <f t="shared" si="46"/>
        <v>8.2191780821917804E-2</v>
      </c>
      <c r="X96">
        <f t="shared" si="26"/>
        <v>8.2191780821917804E-2</v>
      </c>
      <c r="Y96">
        <f t="shared" si="27"/>
        <v>8.2191780821917804E-2</v>
      </c>
      <c r="Z96">
        <f t="shared" si="28"/>
        <v>8.2191780821917804E-2</v>
      </c>
      <c r="AA96">
        <f t="shared" si="29"/>
        <v>0</v>
      </c>
      <c r="AB96">
        <f t="shared" si="30"/>
        <v>0</v>
      </c>
      <c r="AC96">
        <f t="shared" si="31"/>
        <v>0</v>
      </c>
      <c r="AD96">
        <f t="shared" si="32"/>
        <v>0</v>
      </c>
      <c r="AE96">
        <f t="shared" si="33"/>
        <v>0</v>
      </c>
      <c r="AF96">
        <f t="shared" si="34"/>
        <v>0</v>
      </c>
      <c r="AG96">
        <f t="shared" si="35"/>
        <v>0</v>
      </c>
      <c r="AH96">
        <f t="shared" si="36"/>
        <v>0</v>
      </c>
      <c r="AI96">
        <f t="shared" si="37"/>
        <v>0</v>
      </c>
      <c r="AJ96" s="2" t="str">
        <f t="shared" si="47"/>
        <v>344044</v>
      </c>
    </row>
    <row r="97" spans="1:36" x14ac:dyDescent="0.25">
      <c r="A97">
        <v>4</v>
      </c>
      <c r="B97" s="1">
        <v>44044</v>
      </c>
      <c r="C97" s="1">
        <f t="shared" si="38"/>
        <v>44166</v>
      </c>
      <c r="D97" s="1">
        <f t="shared" si="39"/>
        <v>44058</v>
      </c>
      <c r="E97" s="1">
        <f t="shared" si="40"/>
        <v>44166</v>
      </c>
      <c r="F97" s="1">
        <f t="shared" si="41"/>
        <v>44197</v>
      </c>
      <c r="G97" s="1">
        <f t="shared" si="42"/>
        <v>44423</v>
      </c>
      <c r="H97">
        <f t="shared" si="43"/>
        <v>365</v>
      </c>
      <c r="I97">
        <f t="shared" si="44"/>
        <v>31</v>
      </c>
      <c r="J97">
        <f t="shared" si="45"/>
        <v>8.4931506849315067E-2</v>
      </c>
      <c r="K97">
        <f>IFERROR($J97/IF($A97&lt;COUNTIFS($K$1:K$1,"&lt;&gt;"),0,SUMIFS($J:$J,$B:$B,$B97,$A:$A,"&gt;="&amp;COUNTIFS($K$1:K$1,"&lt;&gt;"))),0)</f>
        <v>8.9080459770114959E-2</v>
      </c>
      <c r="L97">
        <f>IFERROR($J97/IF($A97&lt;COUNTIFS($K$1:L$1,"&lt;&gt;"),0,SUMIFS($J:$J,$B:$B,$B97,$A:$A,"&gt;="&amp;COUNTIFS($K$1:L$1,"&lt;&gt;"))),0)</f>
        <v>9.7484276729559768E-2</v>
      </c>
      <c r="M97">
        <f>IFERROR($J97/IF($A97&lt;COUNTIFS($K$1:M$1,"&lt;&gt;"),0,SUMIFS($J:$J,$B:$B,$B97,$A:$A,"&gt;="&amp;COUNTIFS($K$1:M$1,"&lt;&gt;"))),0)</f>
        <v>0.10801393728222998</v>
      </c>
      <c r="N97">
        <f>IFERROR($J97/IF($A97&lt;COUNTIFS($K$1:N$1,"&lt;&gt;"),0,SUMIFS($J:$J,$B:$B,$B97,$A:$A,"&gt;="&amp;COUNTIFS($K$1:N$1,"&lt;&gt;"))),0)</f>
        <v>0.12062256809338523</v>
      </c>
      <c r="O97">
        <f>IFERROR($J97/IF($A97&lt;COUNTIFS($K$1:O$1,"&lt;&gt;"),0,SUMIFS($J:$J,$B:$B,$B97,$A:$A,"&gt;="&amp;COUNTIFS($K$1:O$1,"&lt;&gt;"))),0)</f>
        <v>0</v>
      </c>
      <c r="P97">
        <f>IFERROR($J97/IF($A97&lt;COUNTIFS($K$1:P$1,"&lt;&gt;"),0,SUMIFS($J:$J,$B:$B,$B97,$A:$A,"&gt;="&amp;COUNTIFS($K$1:P$1,"&lt;&gt;"))),0)</f>
        <v>0</v>
      </c>
      <c r="Q97">
        <f>IFERROR($J97/IF($A97&lt;COUNTIFS($K$1:Q$1,"&lt;&gt;"),0,SUMIFS($J:$J,$B:$B,$B97,$A:$A,"&gt;="&amp;COUNTIFS($K$1:Q$1,"&lt;&gt;"))),0)</f>
        <v>0</v>
      </c>
      <c r="R97">
        <f>IFERROR($J97/IF($A97&lt;COUNTIFS($K$1:R$1,"&lt;&gt;"),0,SUMIFS($J:$J,$B:$B,$B97,$A:$A,"&gt;="&amp;COUNTIFS($K$1:R$1,"&lt;&gt;"))),0)</f>
        <v>0</v>
      </c>
      <c r="S97">
        <f>IFERROR($J97/IF($A97&lt;COUNTIFS($K$1:S$1,"&lt;&gt;"),0,SUMIFS($J:$J,$B:$B,$B97,$A:$A,"&gt;="&amp;COUNTIFS($K$1:S$1,"&lt;&gt;"))),0)</f>
        <v>0</v>
      </c>
      <c r="T97">
        <f>IFERROR($J97/IF($A97&lt;COUNTIFS($K$1:T$1,"&lt;&gt;"),0,SUMIFS($J:$J,$B:$B,$B97,$A:$A,"&gt;="&amp;COUNTIFS($K$1:T$1,"&lt;&gt;"))),0)</f>
        <v>0</v>
      </c>
      <c r="U97">
        <f>IFERROR($J97/IF($A97&lt;COUNTIFS($K$1:U$1,"&lt;&gt;"),0,SUMIFS($J:$J,$B:$B,$B97,$A:$A,"&gt;="&amp;COUNTIFS($K$1:U$1,"&lt;&gt;"))),0)</f>
        <v>0</v>
      </c>
      <c r="V97">
        <f>IFERROR($J97/IF($A97&lt;COUNTIFS($K$1:V$1,"&lt;&gt;"),0,SUMIFS($J:$J,$B:$B,$B97,$A:$A,"&gt;="&amp;COUNTIFS($K$1:V$1,"&lt;&gt;"))),0)</f>
        <v>0</v>
      </c>
      <c r="W97">
        <f t="shared" si="46"/>
        <v>8.4931506849315067E-2</v>
      </c>
      <c r="X97">
        <f t="shared" si="26"/>
        <v>8.4931506849315067E-2</v>
      </c>
      <c r="Y97">
        <f t="shared" si="27"/>
        <v>8.4931506849315067E-2</v>
      </c>
      <c r="Z97">
        <f t="shared" si="28"/>
        <v>8.4931506849315067E-2</v>
      </c>
      <c r="AA97">
        <f t="shared" si="29"/>
        <v>8.4931506849315067E-2</v>
      </c>
      <c r="AB97">
        <f t="shared" si="30"/>
        <v>0</v>
      </c>
      <c r="AC97">
        <f t="shared" si="31"/>
        <v>0</v>
      </c>
      <c r="AD97">
        <f t="shared" si="32"/>
        <v>0</v>
      </c>
      <c r="AE97">
        <f t="shared" si="33"/>
        <v>0</v>
      </c>
      <c r="AF97">
        <f t="shared" si="34"/>
        <v>0</v>
      </c>
      <c r="AG97">
        <f t="shared" si="35"/>
        <v>0</v>
      </c>
      <c r="AH97">
        <f t="shared" si="36"/>
        <v>0</v>
      </c>
      <c r="AI97">
        <f t="shared" si="37"/>
        <v>0</v>
      </c>
      <c r="AJ97" s="2" t="str">
        <f t="shared" si="47"/>
        <v>444044</v>
      </c>
    </row>
    <row r="98" spans="1:36" x14ac:dyDescent="0.25">
      <c r="A98">
        <v>5</v>
      </c>
      <c r="B98" s="1">
        <v>44044</v>
      </c>
      <c r="C98" s="1">
        <f t="shared" si="38"/>
        <v>44197</v>
      </c>
      <c r="D98" s="1">
        <f t="shared" si="39"/>
        <v>44058</v>
      </c>
      <c r="E98" s="1">
        <f t="shared" si="40"/>
        <v>44197</v>
      </c>
      <c r="F98" s="1">
        <f t="shared" si="41"/>
        <v>44228</v>
      </c>
      <c r="G98" s="1">
        <f t="shared" si="42"/>
        <v>44423</v>
      </c>
      <c r="H98">
        <f t="shared" si="43"/>
        <v>365</v>
      </c>
      <c r="I98">
        <f t="shared" si="44"/>
        <v>31</v>
      </c>
      <c r="J98">
        <f t="shared" si="45"/>
        <v>8.4931506849315067E-2</v>
      </c>
      <c r="K98">
        <f>IFERROR($J98/IF($A98&lt;COUNTIFS($K$1:K$1,"&lt;&gt;"),0,SUMIFS($J:$J,$B:$B,$B98,$A:$A,"&gt;="&amp;COUNTIFS($K$1:K$1,"&lt;&gt;"))),0)</f>
        <v>8.9080459770114959E-2</v>
      </c>
      <c r="L98">
        <f>IFERROR($J98/IF($A98&lt;COUNTIFS($K$1:L$1,"&lt;&gt;"),0,SUMIFS($J:$J,$B:$B,$B98,$A:$A,"&gt;="&amp;COUNTIFS($K$1:L$1,"&lt;&gt;"))),0)</f>
        <v>9.7484276729559768E-2</v>
      </c>
      <c r="M98">
        <f>IFERROR($J98/IF($A98&lt;COUNTIFS($K$1:M$1,"&lt;&gt;"),0,SUMIFS($J:$J,$B:$B,$B98,$A:$A,"&gt;="&amp;COUNTIFS($K$1:M$1,"&lt;&gt;"))),0)</f>
        <v>0.10801393728222998</v>
      </c>
      <c r="N98">
        <f>IFERROR($J98/IF($A98&lt;COUNTIFS($K$1:N$1,"&lt;&gt;"),0,SUMIFS($J:$J,$B:$B,$B98,$A:$A,"&gt;="&amp;COUNTIFS($K$1:N$1,"&lt;&gt;"))),0)</f>
        <v>0.12062256809338523</v>
      </c>
      <c r="O98">
        <f>IFERROR($J98/IF($A98&lt;COUNTIFS($K$1:O$1,"&lt;&gt;"),0,SUMIFS($J:$J,$B:$B,$B98,$A:$A,"&gt;="&amp;COUNTIFS($K$1:O$1,"&lt;&gt;"))),0)</f>
        <v>0.13716814159292037</v>
      </c>
      <c r="P98">
        <f>IFERROR($J98/IF($A98&lt;COUNTIFS($K$1:P$1,"&lt;&gt;"),0,SUMIFS($J:$J,$B:$B,$B98,$A:$A,"&gt;="&amp;COUNTIFS($K$1:P$1,"&lt;&gt;"))),0)</f>
        <v>0</v>
      </c>
      <c r="Q98">
        <f>IFERROR($J98/IF($A98&lt;COUNTIFS($K$1:Q$1,"&lt;&gt;"),0,SUMIFS($J:$J,$B:$B,$B98,$A:$A,"&gt;="&amp;COUNTIFS($K$1:Q$1,"&lt;&gt;"))),0)</f>
        <v>0</v>
      </c>
      <c r="R98">
        <f>IFERROR($J98/IF($A98&lt;COUNTIFS($K$1:R$1,"&lt;&gt;"),0,SUMIFS($J:$J,$B:$B,$B98,$A:$A,"&gt;="&amp;COUNTIFS($K$1:R$1,"&lt;&gt;"))),0)</f>
        <v>0</v>
      </c>
      <c r="S98">
        <f>IFERROR($J98/IF($A98&lt;COUNTIFS($K$1:S$1,"&lt;&gt;"),0,SUMIFS($J:$J,$B:$B,$B98,$A:$A,"&gt;="&amp;COUNTIFS($K$1:S$1,"&lt;&gt;"))),0)</f>
        <v>0</v>
      </c>
      <c r="T98">
        <f>IFERROR($J98/IF($A98&lt;COUNTIFS($K$1:T$1,"&lt;&gt;"),0,SUMIFS($J:$J,$B:$B,$B98,$A:$A,"&gt;="&amp;COUNTIFS($K$1:T$1,"&lt;&gt;"))),0)</f>
        <v>0</v>
      </c>
      <c r="U98">
        <f>IFERROR($J98/IF($A98&lt;COUNTIFS($K$1:U$1,"&lt;&gt;"),0,SUMIFS($J:$J,$B:$B,$B98,$A:$A,"&gt;="&amp;COUNTIFS($K$1:U$1,"&lt;&gt;"))),0)</f>
        <v>0</v>
      </c>
      <c r="V98">
        <f>IFERROR($J98/IF($A98&lt;COUNTIFS($K$1:V$1,"&lt;&gt;"),0,SUMIFS($J:$J,$B:$B,$B98,$A:$A,"&gt;="&amp;COUNTIFS($K$1:V$1,"&lt;&gt;"))),0)</f>
        <v>0</v>
      </c>
      <c r="W98">
        <f t="shared" si="46"/>
        <v>8.4931506849315067E-2</v>
      </c>
      <c r="X98">
        <f t="shared" si="26"/>
        <v>8.4931506849315067E-2</v>
      </c>
      <c r="Y98">
        <f t="shared" si="27"/>
        <v>8.4931506849315067E-2</v>
      </c>
      <c r="Z98">
        <f t="shared" si="28"/>
        <v>8.4931506849315067E-2</v>
      </c>
      <c r="AA98">
        <f t="shared" si="29"/>
        <v>8.4931506849315067E-2</v>
      </c>
      <c r="AB98">
        <f t="shared" si="30"/>
        <v>8.4931506849315067E-2</v>
      </c>
      <c r="AC98">
        <f t="shared" si="31"/>
        <v>0</v>
      </c>
      <c r="AD98">
        <f t="shared" si="32"/>
        <v>0</v>
      </c>
      <c r="AE98">
        <f t="shared" si="33"/>
        <v>0</v>
      </c>
      <c r="AF98">
        <f t="shared" si="34"/>
        <v>0</v>
      </c>
      <c r="AG98">
        <f t="shared" si="35"/>
        <v>0</v>
      </c>
      <c r="AH98">
        <f t="shared" si="36"/>
        <v>0</v>
      </c>
      <c r="AI98">
        <f t="shared" si="37"/>
        <v>0</v>
      </c>
      <c r="AJ98" s="2" t="str">
        <f t="shared" si="47"/>
        <v>544044</v>
      </c>
    </row>
    <row r="99" spans="1:36" x14ac:dyDescent="0.25">
      <c r="A99">
        <v>6</v>
      </c>
      <c r="B99" s="1">
        <v>44044</v>
      </c>
      <c r="C99" s="1">
        <f t="shared" si="38"/>
        <v>44228</v>
      </c>
      <c r="D99" s="1">
        <f t="shared" si="39"/>
        <v>44058</v>
      </c>
      <c r="E99" s="1">
        <f t="shared" si="40"/>
        <v>44228</v>
      </c>
      <c r="F99" s="1">
        <f t="shared" si="41"/>
        <v>44256</v>
      </c>
      <c r="G99" s="1">
        <f t="shared" si="42"/>
        <v>44423</v>
      </c>
      <c r="H99">
        <f t="shared" si="43"/>
        <v>365</v>
      </c>
      <c r="I99">
        <f t="shared" si="44"/>
        <v>28</v>
      </c>
      <c r="J99">
        <f t="shared" si="45"/>
        <v>7.6712328767123292E-2</v>
      </c>
      <c r="K99">
        <f>IFERROR($J99/IF($A99&lt;COUNTIFS($K$1:K$1,"&lt;&gt;"),0,SUMIFS($J:$J,$B:$B,$B99,$A:$A,"&gt;="&amp;COUNTIFS($K$1:K$1,"&lt;&gt;"))),0)</f>
        <v>8.0459770114942541E-2</v>
      </c>
      <c r="L99">
        <f>IFERROR($J99/IF($A99&lt;COUNTIFS($K$1:L$1,"&lt;&gt;"),0,SUMIFS($J:$J,$B:$B,$B99,$A:$A,"&gt;="&amp;COUNTIFS($K$1:L$1,"&lt;&gt;"))),0)</f>
        <v>8.8050314465408827E-2</v>
      </c>
      <c r="M99">
        <f>IFERROR($J99/IF($A99&lt;COUNTIFS($K$1:M$1,"&lt;&gt;"),0,SUMIFS($J:$J,$B:$B,$B99,$A:$A,"&gt;="&amp;COUNTIFS($K$1:M$1,"&lt;&gt;"))),0)</f>
        <v>9.7560975609756115E-2</v>
      </c>
      <c r="N99">
        <f>IFERROR($J99/IF($A99&lt;COUNTIFS($K$1:N$1,"&lt;&gt;"),0,SUMIFS($J:$J,$B:$B,$B99,$A:$A,"&gt;="&amp;COUNTIFS($K$1:N$1,"&lt;&gt;"))),0)</f>
        <v>0.10894941634241248</v>
      </c>
      <c r="O99">
        <f>IFERROR($J99/IF($A99&lt;COUNTIFS($K$1:O$1,"&lt;&gt;"),0,SUMIFS($J:$J,$B:$B,$B99,$A:$A,"&gt;="&amp;COUNTIFS($K$1:O$1,"&lt;&gt;"))),0)</f>
        <v>0.12389380530973454</v>
      </c>
      <c r="P99">
        <f>IFERROR($J99/IF($A99&lt;COUNTIFS($K$1:P$1,"&lt;&gt;"),0,SUMIFS($J:$J,$B:$B,$B99,$A:$A,"&gt;="&amp;COUNTIFS($K$1:P$1,"&lt;&gt;"))),0)</f>
        <v>0.14358974358974361</v>
      </c>
      <c r="Q99">
        <f>IFERROR($J99/IF($A99&lt;COUNTIFS($K$1:Q$1,"&lt;&gt;"),0,SUMIFS($J:$J,$B:$B,$B99,$A:$A,"&gt;="&amp;COUNTIFS($K$1:Q$1,"&lt;&gt;"))),0)</f>
        <v>0</v>
      </c>
      <c r="R99">
        <f>IFERROR($J99/IF($A99&lt;COUNTIFS($K$1:R$1,"&lt;&gt;"),0,SUMIFS($J:$J,$B:$B,$B99,$A:$A,"&gt;="&amp;COUNTIFS($K$1:R$1,"&lt;&gt;"))),0)</f>
        <v>0</v>
      </c>
      <c r="S99">
        <f>IFERROR($J99/IF($A99&lt;COUNTIFS($K$1:S$1,"&lt;&gt;"),0,SUMIFS($J:$J,$B:$B,$B99,$A:$A,"&gt;="&amp;COUNTIFS($K$1:S$1,"&lt;&gt;"))),0)</f>
        <v>0</v>
      </c>
      <c r="T99">
        <f>IFERROR($J99/IF($A99&lt;COUNTIFS($K$1:T$1,"&lt;&gt;"),0,SUMIFS($J:$J,$B:$B,$B99,$A:$A,"&gt;="&amp;COUNTIFS($K$1:T$1,"&lt;&gt;"))),0)</f>
        <v>0</v>
      </c>
      <c r="U99">
        <f>IFERROR($J99/IF($A99&lt;COUNTIFS($K$1:U$1,"&lt;&gt;"),0,SUMIFS($J:$J,$B:$B,$B99,$A:$A,"&gt;="&amp;COUNTIFS($K$1:U$1,"&lt;&gt;"))),0)</f>
        <v>0</v>
      </c>
      <c r="V99">
        <f>IFERROR($J99/IF($A99&lt;COUNTIFS($K$1:V$1,"&lt;&gt;"),0,SUMIFS($J:$J,$B:$B,$B99,$A:$A,"&gt;="&amp;COUNTIFS($K$1:V$1,"&lt;&gt;"))),0)</f>
        <v>0</v>
      </c>
      <c r="W99">
        <f t="shared" si="46"/>
        <v>7.6712328767123292E-2</v>
      </c>
      <c r="X99">
        <f t="shared" si="26"/>
        <v>7.6712328767123292E-2</v>
      </c>
      <c r="Y99">
        <f t="shared" si="27"/>
        <v>7.6712328767123292E-2</v>
      </c>
      <c r="Z99">
        <f t="shared" si="28"/>
        <v>7.6712328767123292E-2</v>
      </c>
      <c r="AA99">
        <f t="shared" si="29"/>
        <v>7.6712328767123292E-2</v>
      </c>
      <c r="AB99">
        <f t="shared" si="30"/>
        <v>7.6712328767123292E-2</v>
      </c>
      <c r="AC99">
        <f t="shared" si="31"/>
        <v>7.6712328767123292E-2</v>
      </c>
      <c r="AD99">
        <f t="shared" si="32"/>
        <v>0</v>
      </c>
      <c r="AE99">
        <f t="shared" si="33"/>
        <v>0</v>
      </c>
      <c r="AF99">
        <f t="shared" si="34"/>
        <v>0</v>
      </c>
      <c r="AG99">
        <f t="shared" si="35"/>
        <v>0</v>
      </c>
      <c r="AH99">
        <f t="shared" si="36"/>
        <v>0</v>
      </c>
      <c r="AI99">
        <f t="shared" si="37"/>
        <v>0</v>
      </c>
      <c r="AJ99" s="2" t="str">
        <f t="shared" si="47"/>
        <v>644044</v>
      </c>
    </row>
    <row r="100" spans="1:36" x14ac:dyDescent="0.25">
      <c r="A100">
        <v>7</v>
      </c>
      <c r="B100" s="1">
        <v>44044</v>
      </c>
      <c r="C100" s="1">
        <f t="shared" si="38"/>
        <v>44256</v>
      </c>
      <c r="D100" s="1">
        <f t="shared" si="39"/>
        <v>44058</v>
      </c>
      <c r="E100" s="1">
        <f t="shared" si="40"/>
        <v>44256</v>
      </c>
      <c r="F100" s="1">
        <f t="shared" si="41"/>
        <v>44287</v>
      </c>
      <c r="G100" s="1">
        <f t="shared" si="42"/>
        <v>44423</v>
      </c>
      <c r="H100">
        <f t="shared" si="43"/>
        <v>365</v>
      </c>
      <c r="I100">
        <f t="shared" si="44"/>
        <v>31</v>
      </c>
      <c r="J100">
        <f t="shared" si="45"/>
        <v>8.4931506849315067E-2</v>
      </c>
      <c r="K100">
        <f>IFERROR($J100/IF($A100&lt;COUNTIFS($K$1:K$1,"&lt;&gt;"),0,SUMIFS($J:$J,$B:$B,$B100,$A:$A,"&gt;="&amp;COUNTIFS($K$1:K$1,"&lt;&gt;"))),0)</f>
        <v>8.9080459770114959E-2</v>
      </c>
      <c r="L100">
        <f>IFERROR($J100/IF($A100&lt;COUNTIFS($K$1:L$1,"&lt;&gt;"),0,SUMIFS($J:$J,$B:$B,$B100,$A:$A,"&gt;="&amp;COUNTIFS($K$1:L$1,"&lt;&gt;"))),0)</f>
        <v>9.7484276729559768E-2</v>
      </c>
      <c r="M100">
        <f>IFERROR($J100/IF($A100&lt;COUNTIFS($K$1:M$1,"&lt;&gt;"),0,SUMIFS($J:$J,$B:$B,$B100,$A:$A,"&gt;="&amp;COUNTIFS($K$1:M$1,"&lt;&gt;"))),0)</f>
        <v>0.10801393728222998</v>
      </c>
      <c r="N100">
        <f>IFERROR($J100/IF($A100&lt;COUNTIFS($K$1:N$1,"&lt;&gt;"),0,SUMIFS($J:$J,$B:$B,$B100,$A:$A,"&gt;="&amp;COUNTIFS($K$1:N$1,"&lt;&gt;"))),0)</f>
        <v>0.12062256809338523</v>
      </c>
      <c r="O100">
        <f>IFERROR($J100/IF($A100&lt;COUNTIFS($K$1:O$1,"&lt;&gt;"),0,SUMIFS($J:$J,$B:$B,$B100,$A:$A,"&gt;="&amp;COUNTIFS($K$1:O$1,"&lt;&gt;"))),0)</f>
        <v>0.13716814159292037</v>
      </c>
      <c r="P100">
        <f>IFERROR($J100/IF($A100&lt;COUNTIFS($K$1:P$1,"&lt;&gt;"),0,SUMIFS($J:$J,$B:$B,$B100,$A:$A,"&gt;="&amp;COUNTIFS($K$1:P$1,"&lt;&gt;"))),0)</f>
        <v>0.15897435897435899</v>
      </c>
      <c r="Q100">
        <f>IFERROR($J100/IF($A100&lt;COUNTIFS($K$1:Q$1,"&lt;&gt;"),0,SUMIFS($J:$J,$B:$B,$B100,$A:$A,"&gt;="&amp;COUNTIFS($K$1:Q$1,"&lt;&gt;"))),0)</f>
        <v>0.18562874251497008</v>
      </c>
      <c r="R100">
        <f>IFERROR($J100/IF($A100&lt;COUNTIFS($K$1:R$1,"&lt;&gt;"),0,SUMIFS($J:$J,$B:$B,$B100,$A:$A,"&gt;="&amp;COUNTIFS($K$1:R$1,"&lt;&gt;"))),0)</f>
        <v>0</v>
      </c>
      <c r="S100">
        <f>IFERROR($J100/IF($A100&lt;COUNTIFS($K$1:S$1,"&lt;&gt;"),0,SUMIFS($J:$J,$B:$B,$B100,$A:$A,"&gt;="&amp;COUNTIFS($K$1:S$1,"&lt;&gt;"))),0)</f>
        <v>0</v>
      </c>
      <c r="T100">
        <f>IFERROR($J100/IF($A100&lt;COUNTIFS($K$1:T$1,"&lt;&gt;"),0,SUMIFS($J:$J,$B:$B,$B100,$A:$A,"&gt;="&amp;COUNTIFS($K$1:T$1,"&lt;&gt;"))),0)</f>
        <v>0</v>
      </c>
      <c r="U100">
        <f>IFERROR($J100/IF($A100&lt;COUNTIFS($K$1:U$1,"&lt;&gt;"),0,SUMIFS($J:$J,$B:$B,$B100,$A:$A,"&gt;="&amp;COUNTIFS($K$1:U$1,"&lt;&gt;"))),0)</f>
        <v>0</v>
      </c>
      <c r="V100">
        <f>IFERROR($J100/IF($A100&lt;COUNTIFS($K$1:V$1,"&lt;&gt;"),0,SUMIFS($J:$J,$B:$B,$B100,$A:$A,"&gt;="&amp;COUNTIFS($K$1:V$1,"&lt;&gt;"))),0)</f>
        <v>0</v>
      </c>
      <c r="W100">
        <f t="shared" si="46"/>
        <v>8.4931506849315067E-2</v>
      </c>
      <c r="X100">
        <f t="shared" si="26"/>
        <v>8.4931506849315067E-2</v>
      </c>
      <c r="Y100">
        <f t="shared" si="27"/>
        <v>8.4931506849315067E-2</v>
      </c>
      <c r="Z100">
        <f t="shared" si="28"/>
        <v>8.4931506849315067E-2</v>
      </c>
      <c r="AA100">
        <f t="shared" si="29"/>
        <v>8.4931506849315067E-2</v>
      </c>
      <c r="AB100">
        <f t="shared" si="30"/>
        <v>8.4931506849315067E-2</v>
      </c>
      <c r="AC100">
        <f t="shared" si="31"/>
        <v>8.4931506849315067E-2</v>
      </c>
      <c r="AD100">
        <f t="shared" si="32"/>
        <v>8.4931506849315067E-2</v>
      </c>
      <c r="AE100">
        <f t="shared" si="33"/>
        <v>0</v>
      </c>
      <c r="AF100">
        <f t="shared" si="34"/>
        <v>0</v>
      </c>
      <c r="AG100">
        <f t="shared" si="35"/>
        <v>0</v>
      </c>
      <c r="AH100">
        <f t="shared" si="36"/>
        <v>0</v>
      </c>
      <c r="AI100">
        <f t="shared" si="37"/>
        <v>0</v>
      </c>
      <c r="AJ100" s="2" t="str">
        <f t="shared" si="47"/>
        <v>744044</v>
      </c>
    </row>
    <row r="101" spans="1:36" x14ac:dyDescent="0.25">
      <c r="A101">
        <v>8</v>
      </c>
      <c r="B101" s="1">
        <v>44044</v>
      </c>
      <c r="C101" s="1">
        <f t="shared" si="38"/>
        <v>44287</v>
      </c>
      <c r="D101" s="1">
        <f t="shared" si="39"/>
        <v>44058</v>
      </c>
      <c r="E101" s="1">
        <f t="shared" si="40"/>
        <v>44287</v>
      </c>
      <c r="F101" s="1">
        <f t="shared" si="41"/>
        <v>44317</v>
      </c>
      <c r="G101" s="1">
        <f t="shared" si="42"/>
        <v>44423</v>
      </c>
      <c r="H101">
        <f t="shared" si="43"/>
        <v>365</v>
      </c>
      <c r="I101">
        <f t="shared" si="44"/>
        <v>30</v>
      </c>
      <c r="J101">
        <f t="shared" si="45"/>
        <v>8.2191780821917804E-2</v>
      </c>
      <c r="K101">
        <f>IFERROR($J101/IF($A101&lt;COUNTIFS($K$1:K$1,"&lt;&gt;"),0,SUMIFS($J:$J,$B:$B,$B101,$A:$A,"&gt;="&amp;COUNTIFS($K$1:K$1,"&lt;&gt;"))),0)</f>
        <v>8.6206896551724144E-2</v>
      </c>
      <c r="L101">
        <f>IFERROR($J101/IF($A101&lt;COUNTIFS($K$1:L$1,"&lt;&gt;"),0,SUMIFS($J:$J,$B:$B,$B101,$A:$A,"&gt;="&amp;COUNTIFS($K$1:L$1,"&lt;&gt;"))),0)</f>
        <v>9.4339622641509441E-2</v>
      </c>
      <c r="M101">
        <f>IFERROR($J101/IF($A101&lt;COUNTIFS($K$1:M$1,"&lt;&gt;"),0,SUMIFS($J:$J,$B:$B,$B101,$A:$A,"&gt;="&amp;COUNTIFS($K$1:M$1,"&lt;&gt;"))),0)</f>
        <v>0.10452961672473869</v>
      </c>
      <c r="N101">
        <f>IFERROR($J101/IF($A101&lt;COUNTIFS($K$1:N$1,"&lt;&gt;"),0,SUMIFS($J:$J,$B:$B,$B101,$A:$A,"&gt;="&amp;COUNTIFS($K$1:N$1,"&lt;&gt;"))),0)</f>
        <v>0.11673151750972764</v>
      </c>
      <c r="O101">
        <f>IFERROR($J101/IF($A101&lt;COUNTIFS($K$1:O$1,"&lt;&gt;"),0,SUMIFS($J:$J,$B:$B,$B101,$A:$A,"&gt;="&amp;COUNTIFS($K$1:O$1,"&lt;&gt;"))),0)</f>
        <v>0.13274336283185842</v>
      </c>
      <c r="P101">
        <f>IFERROR($J101/IF($A101&lt;COUNTIFS($K$1:P$1,"&lt;&gt;"),0,SUMIFS($J:$J,$B:$B,$B101,$A:$A,"&gt;="&amp;COUNTIFS($K$1:P$1,"&lt;&gt;"))),0)</f>
        <v>0.15384615384615385</v>
      </c>
      <c r="Q101">
        <f>IFERROR($J101/IF($A101&lt;COUNTIFS($K$1:Q$1,"&lt;&gt;"),0,SUMIFS($J:$J,$B:$B,$B101,$A:$A,"&gt;="&amp;COUNTIFS($K$1:Q$1,"&lt;&gt;"))),0)</f>
        <v>0.17964071856287425</v>
      </c>
      <c r="R101">
        <f>IFERROR($J101/IF($A101&lt;COUNTIFS($K$1:R$1,"&lt;&gt;"),0,SUMIFS($J:$J,$B:$B,$B101,$A:$A,"&gt;="&amp;COUNTIFS($K$1:R$1,"&lt;&gt;"))),0)</f>
        <v>0.22058823529411764</v>
      </c>
      <c r="S101">
        <f>IFERROR($J101/IF($A101&lt;COUNTIFS($K$1:S$1,"&lt;&gt;"),0,SUMIFS($J:$J,$B:$B,$B101,$A:$A,"&gt;="&amp;COUNTIFS($K$1:S$1,"&lt;&gt;"))),0)</f>
        <v>0</v>
      </c>
      <c r="T101">
        <f>IFERROR($J101/IF($A101&lt;COUNTIFS($K$1:T$1,"&lt;&gt;"),0,SUMIFS($J:$J,$B:$B,$B101,$A:$A,"&gt;="&amp;COUNTIFS($K$1:T$1,"&lt;&gt;"))),0)</f>
        <v>0</v>
      </c>
      <c r="U101">
        <f>IFERROR($J101/IF($A101&lt;COUNTIFS($K$1:U$1,"&lt;&gt;"),0,SUMIFS($J:$J,$B:$B,$B101,$A:$A,"&gt;="&amp;COUNTIFS($K$1:U$1,"&lt;&gt;"))),0)</f>
        <v>0</v>
      </c>
      <c r="V101">
        <f>IFERROR($J101/IF($A101&lt;COUNTIFS($K$1:V$1,"&lt;&gt;"),0,SUMIFS($J:$J,$B:$B,$B101,$A:$A,"&gt;="&amp;COUNTIFS($K$1:V$1,"&lt;&gt;"))),0)</f>
        <v>0</v>
      </c>
      <c r="W101">
        <f t="shared" si="46"/>
        <v>8.2191780821917804E-2</v>
      </c>
      <c r="X101">
        <f t="shared" si="26"/>
        <v>8.2191780821917804E-2</v>
      </c>
      <c r="Y101">
        <f t="shared" si="27"/>
        <v>8.2191780821917804E-2</v>
      </c>
      <c r="Z101">
        <f t="shared" si="28"/>
        <v>8.2191780821917804E-2</v>
      </c>
      <c r="AA101">
        <f t="shared" si="29"/>
        <v>8.2191780821917804E-2</v>
      </c>
      <c r="AB101">
        <f t="shared" si="30"/>
        <v>8.2191780821917804E-2</v>
      </c>
      <c r="AC101">
        <f t="shared" si="31"/>
        <v>8.2191780821917804E-2</v>
      </c>
      <c r="AD101">
        <f t="shared" si="32"/>
        <v>8.2191780821917804E-2</v>
      </c>
      <c r="AE101">
        <f t="shared" si="33"/>
        <v>8.2191780821917804E-2</v>
      </c>
      <c r="AF101">
        <f t="shared" si="34"/>
        <v>0</v>
      </c>
      <c r="AG101">
        <f t="shared" si="35"/>
        <v>0</v>
      </c>
      <c r="AH101">
        <f t="shared" si="36"/>
        <v>0</v>
      </c>
      <c r="AI101">
        <f t="shared" si="37"/>
        <v>0</v>
      </c>
      <c r="AJ101" s="2" t="str">
        <f t="shared" si="47"/>
        <v>844044</v>
      </c>
    </row>
    <row r="102" spans="1:36" x14ac:dyDescent="0.25">
      <c r="A102">
        <v>9</v>
      </c>
      <c r="B102" s="1">
        <v>44044</v>
      </c>
      <c r="C102" s="1">
        <f t="shared" si="38"/>
        <v>44317</v>
      </c>
      <c r="D102" s="1">
        <f t="shared" si="39"/>
        <v>44058</v>
      </c>
      <c r="E102" s="1">
        <f t="shared" si="40"/>
        <v>44317</v>
      </c>
      <c r="F102" s="1">
        <f t="shared" si="41"/>
        <v>44348</v>
      </c>
      <c r="G102" s="1">
        <f t="shared" si="42"/>
        <v>44423</v>
      </c>
      <c r="H102">
        <f t="shared" si="43"/>
        <v>365</v>
      </c>
      <c r="I102">
        <f t="shared" si="44"/>
        <v>31</v>
      </c>
      <c r="J102">
        <f t="shared" si="45"/>
        <v>8.4931506849315067E-2</v>
      </c>
      <c r="K102">
        <f>IFERROR($J102/IF($A102&lt;COUNTIFS($K$1:K$1,"&lt;&gt;"),0,SUMIFS($J:$J,$B:$B,$B102,$A:$A,"&gt;="&amp;COUNTIFS($K$1:K$1,"&lt;&gt;"))),0)</f>
        <v>8.9080459770114959E-2</v>
      </c>
      <c r="L102">
        <f>IFERROR($J102/IF($A102&lt;COUNTIFS($K$1:L$1,"&lt;&gt;"),0,SUMIFS($J:$J,$B:$B,$B102,$A:$A,"&gt;="&amp;COUNTIFS($K$1:L$1,"&lt;&gt;"))),0)</f>
        <v>9.7484276729559768E-2</v>
      </c>
      <c r="M102">
        <f>IFERROR($J102/IF($A102&lt;COUNTIFS($K$1:M$1,"&lt;&gt;"),0,SUMIFS($J:$J,$B:$B,$B102,$A:$A,"&gt;="&amp;COUNTIFS($K$1:M$1,"&lt;&gt;"))),0)</f>
        <v>0.10801393728222998</v>
      </c>
      <c r="N102">
        <f>IFERROR($J102/IF($A102&lt;COUNTIFS($K$1:N$1,"&lt;&gt;"),0,SUMIFS($J:$J,$B:$B,$B102,$A:$A,"&gt;="&amp;COUNTIFS($K$1:N$1,"&lt;&gt;"))),0)</f>
        <v>0.12062256809338523</v>
      </c>
      <c r="O102">
        <f>IFERROR($J102/IF($A102&lt;COUNTIFS($K$1:O$1,"&lt;&gt;"),0,SUMIFS($J:$J,$B:$B,$B102,$A:$A,"&gt;="&amp;COUNTIFS($K$1:O$1,"&lt;&gt;"))),0)</f>
        <v>0.13716814159292037</v>
      </c>
      <c r="P102">
        <f>IFERROR($J102/IF($A102&lt;COUNTIFS($K$1:P$1,"&lt;&gt;"),0,SUMIFS($J:$J,$B:$B,$B102,$A:$A,"&gt;="&amp;COUNTIFS($K$1:P$1,"&lt;&gt;"))),0)</f>
        <v>0.15897435897435899</v>
      </c>
      <c r="Q102">
        <f>IFERROR($J102/IF($A102&lt;COUNTIFS($K$1:Q$1,"&lt;&gt;"),0,SUMIFS($J:$J,$B:$B,$B102,$A:$A,"&gt;="&amp;COUNTIFS($K$1:Q$1,"&lt;&gt;"))),0)</f>
        <v>0.18562874251497008</v>
      </c>
      <c r="R102">
        <f>IFERROR($J102/IF($A102&lt;COUNTIFS($K$1:R$1,"&lt;&gt;"),0,SUMIFS($J:$J,$B:$B,$B102,$A:$A,"&gt;="&amp;COUNTIFS($K$1:R$1,"&lt;&gt;"))),0)</f>
        <v>0.22794117647058826</v>
      </c>
      <c r="S102">
        <f>IFERROR($J102/IF($A102&lt;COUNTIFS($K$1:S$1,"&lt;&gt;"),0,SUMIFS($J:$J,$B:$B,$B102,$A:$A,"&gt;="&amp;COUNTIFS($K$1:S$1,"&lt;&gt;"))),0)</f>
        <v>0.29245283018867929</v>
      </c>
      <c r="T102">
        <f>IFERROR($J102/IF($A102&lt;COUNTIFS($K$1:T$1,"&lt;&gt;"),0,SUMIFS($J:$J,$B:$B,$B102,$A:$A,"&gt;="&amp;COUNTIFS($K$1:T$1,"&lt;&gt;"))),0)</f>
        <v>0</v>
      </c>
      <c r="U102">
        <f>IFERROR($J102/IF($A102&lt;COUNTIFS($K$1:U$1,"&lt;&gt;"),0,SUMIFS($J:$J,$B:$B,$B102,$A:$A,"&gt;="&amp;COUNTIFS($K$1:U$1,"&lt;&gt;"))),0)</f>
        <v>0</v>
      </c>
      <c r="V102">
        <f>IFERROR($J102/IF($A102&lt;COUNTIFS($K$1:V$1,"&lt;&gt;"),0,SUMIFS($J:$J,$B:$B,$B102,$A:$A,"&gt;="&amp;COUNTIFS($K$1:V$1,"&lt;&gt;"))),0)</f>
        <v>0</v>
      </c>
      <c r="W102">
        <f t="shared" si="46"/>
        <v>8.4931506849315067E-2</v>
      </c>
      <c r="X102">
        <f t="shared" si="26"/>
        <v>8.4931506849315067E-2</v>
      </c>
      <c r="Y102">
        <f t="shared" si="27"/>
        <v>8.4931506849315067E-2</v>
      </c>
      <c r="Z102">
        <f t="shared" si="28"/>
        <v>8.4931506849315067E-2</v>
      </c>
      <c r="AA102">
        <f t="shared" si="29"/>
        <v>8.4931506849315067E-2</v>
      </c>
      <c r="AB102">
        <f t="shared" si="30"/>
        <v>8.4931506849315067E-2</v>
      </c>
      <c r="AC102">
        <f t="shared" si="31"/>
        <v>8.4931506849315067E-2</v>
      </c>
      <c r="AD102">
        <f t="shared" si="32"/>
        <v>8.4931506849315067E-2</v>
      </c>
      <c r="AE102">
        <f t="shared" si="33"/>
        <v>8.4931506849315067E-2</v>
      </c>
      <c r="AF102">
        <f t="shared" si="34"/>
        <v>8.4931506849315067E-2</v>
      </c>
      <c r="AG102">
        <f t="shared" si="35"/>
        <v>0</v>
      </c>
      <c r="AH102">
        <f t="shared" si="36"/>
        <v>0</v>
      </c>
      <c r="AI102">
        <f t="shared" si="37"/>
        <v>0</v>
      </c>
      <c r="AJ102" s="2" t="str">
        <f t="shared" si="47"/>
        <v>944044</v>
      </c>
    </row>
    <row r="103" spans="1:36" x14ac:dyDescent="0.25">
      <c r="A103">
        <v>10</v>
      </c>
      <c r="B103" s="1">
        <v>44044</v>
      </c>
      <c r="C103" s="1">
        <f t="shared" si="38"/>
        <v>44348</v>
      </c>
      <c r="D103" s="1">
        <f t="shared" si="39"/>
        <v>44058</v>
      </c>
      <c r="E103" s="1">
        <f t="shared" si="40"/>
        <v>44348</v>
      </c>
      <c r="F103" s="1">
        <f t="shared" si="41"/>
        <v>44378</v>
      </c>
      <c r="G103" s="1">
        <f t="shared" si="42"/>
        <v>44423</v>
      </c>
      <c r="H103">
        <f t="shared" si="43"/>
        <v>365</v>
      </c>
      <c r="I103">
        <f t="shared" si="44"/>
        <v>30</v>
      </c>
      <c r="J103">
        <f t="shared" si="45"/>
        <v>8.2191780821917804E-2</v>
      </c>
      <c r="K103">
        <f>IFERROR($J103/IF($A103&lt;COUNTIFS($K$1:K$1,"&lt;&gt;"),0,SUMIFS($J:$J,$B:$B,$B103,$A:$A,"&gt;="&amp;COUNTIFS($K$1:K$1,"&lt;&gt;"))),0)</f>
        <v>8.6206896551724144E-2</v>
      </c>
      <c r="L103">
        <f>IFERROR($J103/IF($A103&lt;COUNTIFS($K$1:L$1,"&lt;&gt;"),0,SUMIFS($J:$J,$B:$B,$B103,$A:$A,"&gt;="&amp;COUNTIFS($K$1:L$1,"&lt;&gt;"))),0)</f>
        <v>9.4339622641509441E-2</v>
      </c>
      <c r="M103">
        <f>IFERROR($J103/IF($A103&lt;COUNTIFS($K$1:M$1,"&lt;&gt;"),0,SUMIFS($J:$J,$B:$B,$B103,$A:$A,"&gt;="&amp;COUNTIFS($K$1:M$1,"&lt;&gt;"))),0)</f>
        <v>0.10452961672473869</v>
      </c>
      <c r="N103">
        <f>IFERROR($J103/IF($A103&lt;COUNTIFS($K$1:N$1,"&lt;&gt;"),0,SUMIFS($J:$J,$B:$B,$B103,$A:$A,"&gt;="&amp;COUNTIFS($K$1:N$1,"&lt;&gt;"))),0)</f>
        <v>0.11673151750972764</v>
      </c>
      <c r="O103">
        <f>IFERROR($J103/IF($A103&lt;COUNTIFS($K$1:O$1,"&lt;&gt;"),0,SUMIFS($J:$J,$B:$B,$B103,$A:$A,"&gt;="&amp;COUNTIFS($K$1:O$1,"&lt;&gt;"))),0)</f>
        <v>0.13274336283185842</v>
      </c>
      <c r="P103">
        <f>IFERROR($J103/IF($A103&lt;COUNTIFS($K$1:P$1,"&lt;&gt;"),0,SUMIFS($J:$J,$B:$B,$B103,$A:$A,"&gt;="&amp;COUNTIFS($K$1:P$1,"&lt;&gt;"))),0)</f>
        <v>0.15384615384615385</v>
      </c>
      <c r="Q103">
        <f>IFERROR($J103/IF($A103&lt;COUNTIFS($K$1:Q$1,"&lt;&gt;"),0,SUMIFS($J:$J,$B:$B,$B103,$A:$A,"&gt;="&amp;COUNTIFS($K$1:Q$1,"&lt;&gt;"))),0)</f>
        <v>0.17964071856287425</v>
      </c>
      <c r="R103">
        <f>IFERROR($J103/IF($A103&lt;COUNTIFS($K$1:R$1,"&lt;&gt;"),0,SUMIFS($J:$J,$B:$B,$B103,$A:$A,"&gt;="&amp;COUNTIFS($K$1:R$1,"&lt;&gt;"))),0)</f>
        <v>0.22058823529411764</v>
      </c>
      <c r="S103">
        <f>IFERROR($J103/IF($A103&lt;COUNTIFS($K$1:S$1,"&lt;&gt;"),0,SUMIFS($J:$J,$B:$B,$B103,$A:$A,"&gt;="&amp;COUNTIFS($K$1:S$1,"&lt;&gt;"))),0)</f>
        <v>0.28301886792452829</v>
      </c>
      <c r="T103">
        <f>IFERROR($J103/IF($A103&lt;COUNTIFS($K$1:T$1,"&lt;&gt;"),0,SUMIFS($J:$J,$B:$B,$B103,$A:$A,"&gt;="&amp;COUNTIFS($K$1:T$1,"&lt;&gt;"))),0)</f>
        <v>0.4</v>
      </c>
      <c r="U103">
        <f>IFERROR($J103/IF($A103&lt;COUNTIFS($K$1:U$1,"&lt;&gt;"),0,SUMIFS($J:$J,$B:$B,$B103,$A:$A,"&gt;="&amp;COUNTIFS($K$1:U$1,"&lt;&gt;"))),0)</f>
        <v>0</v>
      </c>
      <c r="V103">
        <f>IFERROR($J103/IF($A103&lt;COUNTIFS($K$1:V$1,"&lt;&gt;"),0,SUMIFS($J:$J,$B:$B,$B103,$A:$A,"&gt;="&amp;COUNTIFS($K$1:V$1,"&lt;&gt;"))),0)</f>
        <v>0</v>
      </c>
      <c r="W103">
        <f t="shared" si="46"/>
        <v>8.2191780821917804E-2</v>
      </c>
      <c r="X103">
        <f t="shared" si="26"/>
        <v>8.2191780821917804E-2</v>
      </c>
      <c r="Y103">
        <f t="shared" si="27"/>
        <v>8.2191780821917804E-2</v>
      </c>
      <c r="Z103">
        <f t="shared" si="28"/>
        <v>8.2191780821917804E-2</v>
      </c>
      <c r="AA103">
        <f t="shared" si="29"/>
        <v>8.2191780821917804E-2</v>
      </c>
      <c r="AB103">
        <f t="shared" si="30"/>
        <v>8.2191780821917804E-2</v>
      </c>
      <c r="AC103">
        <f t="shared" si="31"/>
        <v>8.2191780821917804E-2</v>
      </c>
      <c r="AD103">
        <f t="shared" si="32"/>
        <v>8.2191780821917804E-2</v>
      </c>
      <c r="AE103">
        <f t="shared" si="33"/>
        <v>8.2191780821917804E-2</v>
      </c>
      <c r="AF103">
        <f t="shared" si="34"/>
        <v>8.2191780821917804E-2</v>
      </c>
      <c r="AG103">
        <f t="shared" si="35"/>
        <v>8.2191780821917804E-2</v>
      </c>
      <c r="AH103">
        <f t="shared" si="36"/>
        <v>0</v>
      </c>
      <c r="AI103">
        <f t="shared" si="37"/>
        <v>0</v>
      </c>
      <c r="AJ103" s="2" t="str">
        <f t="shared" si="47"/>
        <v>1044044</v>
      </c>
    </row>
    <row r="104" spans="1:36" x14ac:dyDescent="0.25">
      <c r="A104">
        <v>11</v>
      </c>
      <c r="B104" s="1">
        <v>44044</v>
      </c>
      <c r="C104" s="1">
        <f t="shared" si="38"/>
        <v>44378</v>
      </c>
      <c r="D104" s="1">
        <f t="shared" si="39"/>
        <v>44058</v>
      </c>
      <c r="E104" s="1">
        <f t="shared" si="40"/>
        <v>44378</v>
      </c>
      <c r="F104" s="1">
        <f t="shared" si="41"/>
        <v>44409</v>
      </c>
      <c r="G104" s="1">
        <f t="shared" si="42"/>
        <v>44423</v>
      </c>
      <c r="H104">
        <f t="shared" si="43"/>
        <v>365</v>
      </c>
      <c r="I104">
        <f t="shared" si="44"/>
        <v>31</v>
      </c>
      <c r="J104">
        <f t="shared" si="45"/>
        <v>8.4931506849315067E-2</v>
      </c>
      <c r="K104">
        <f>IFERROR($J104/IF($A104&lt;COUNTIFS($K$1:K$1,"&lt;&gt;"),0,SUMIFS($J:$J,$B:$B,$B104,$A:$A,"&gt;="&amp;COUNTIFS($K$1:K$1,"&lt;&gt;"))),0)</f>
        <v>8.9080459770114959E-2</v>
      </c>
      <c r="L104">
        <f>IFERROR($J104/IF($A104&lt;COUNTIFS($K$1:L$1,"&lt;&gt;"),0,SUMIFS($J:$J,$B:$B,$B104,$A:$A,"&gt;="&amp;COUNTIFS($K$1:L$1,"&lt;&gt;"))),0)</f>
        <v>9.7484276729559768E-2</v>
      </c>
      <c r="M104">
        <f>IFERROR($J104/IF($A104&lt;COUNTIFS($K$1:M$1,"&lt;&gt;"),0,SUMIFS($J:$J,$B:$B,$B104,$A:$A,"&gt;="&amp;COUNTIFS($K$1:M$1,"&lt;&gt;"))),0)</f>
        <v>0.10801393728222998</v>
      </c>
      <c r="N104">
        <f>IFERROR($J104/IF($A104&lt;COUNTIFS($K$1:N$1,"&lt;&gt;"),0,SUMIFS($J:$J,$B:$B,$B104,$A:$A,"&gt;="&amp;COUNTIFS($K$1:N$1,"&lt;&gt;"))),0)</f>
        <v>0.12062256809338523</v>
      </c>
      <c r="O104">
        <f>IFERROR($J104/IF($A104&lt;COUNTIFS($K$1:O$1,"&lt;&gt;"),0,SUMIFS($J:$J,$B:$B,$B104,$A:$A,"&gt;="&amp;COUNTIFS($K$1:O$1,"&lt;&gt;"))),0)</f>
        <v>0.13716814159292037</v>
      </c>
      <c r="P104">
        <f>IFERROR($J104/IF($A104&lt;COUNTIFS($K$1:P$1,"&lt;&gt;"),0,SUMIFS($J:$J,$B:$B,$B104,$A:$A,"&gt;="&amp;COUNTIFS($K$1:P$1,"&lt;&gt;"))),0)</f>
        <v>0.15897435897435899</v>
      </c>
      <c r="Q104">
        <f>IFERROR($J104/IF($A104&lt;COUNTIFS($K$1:Q$1,"&lt;&gt;"),0,SUMIFS($J:$J,$B:$B,$B104,$A:$A,"&gt;="&amp;COUNTIFS($K$1:Q$1,"&lt;&gt;"))),0)</f>
        <v>0.18562874251497008</v>
      </c>
      <c r="R104">
        <f>IFERROR($J104/IF($A104&lt;COUNTIFS($K$1:R$1,"&lt;&gt;"),0,SUMIFS($J:$J,$B:$B,$B104,$A:$A,"&gt;="&amp;COUNTIFS($K$1:R$1,"&lt;&gt;"))),0)</f>
        <v>0.22794117647058826</v>
      </c>
      <c r="S104">
        <f>IFERROR($J104/IF($A104&lt;COUNTIFS($K$1:S$1,"&lt;&gt;"),0,SUMIFS($J:$J,$B:$B,$B104,$A:$A,"&gt;="&amp;COUNTIFS($K$1:S$1,"&lt;&gt;"))),0)</f>
        <v>0.29245283018867929</v>
      </c>
      <c r="T104">
        <f>IFERROR($J104/IF($A104&lt;COUNTIFS($K$1:T$1,"&lt;&gt;"),0,SUMIFS($J:$J,$B:$B,$B104,$A:$A,"&gt;="&amp;COUNTIFS($K$1:T$1,"&lt;&gt;"))),0)</f>
        <v>0.41333333333333333</v>
      </c>
      <c r="U104">
        <f>IFERROR($J104/IF($A104&lt;COUNTIFS($K$1:U$1,"&lt;&gt;"),0,SUMIFS($J:$J,$B:$B,$B104,$A:$A,"&gt;="&amp;COUNTIFS($K$1:U$1,"&lt;&gt;"))),0)</f>
        <v>0.68888888888888888</v>
      </c>
      <c r="V104">
        <f>IFERROR($J104/IF($A104&lt;COUNTIFS($K$1:V$1,"&lt;&gt;"),0,SUMIFS($J:$J,$B:$B,$B104,$A:$A,"&gt;="&amp;COUNTIFS($K$1:V$1,"&lt;&gt;"))),0)</f>
        <v>0</v>
      </c>
      <c r="W104">
        <f t="shared" si="46"/>
        <v>8.4931506849315067E-2</v>
      </c>
      <c r="X104">
        <f t="shared" si="26"/>
        <v>8.4931506849315067E-2</v>
      </c>
      <c r="Y104">
        <f t="shared" si="27"/>
        <v>8.4931506849315067E-2</v>
      </c>
      <c r="Z104">
        <f t="shared" si="28"/>
        <v>8.4931506849315067E-2</v>
      </c>
      <c r="AA104">
        <f t="shared" si="29"/>
        <v>8.4931506849315067E-2</v>
      </c>
      <c r="AB104">
        <f t="shared" si="30"/>
        <v>8.4931506849315067E-2</v>
      </c>
      <c r="AC104">
        <f t="shared" si="31"/>
        <v>8.4931506849315067E-2</v>
      </c>
      <c r="AD104">
        <f t="shared" si="32"/>
        <v>8.4931506849315067E-2</v>
      </c>
      <c r="AE104">
        <f t="shared" si="33"/>
        <v>8.4931506849315067E-2</v>
      </c>
      <c r="AF104">
        <f t="shared" si="34"/>
        <v>8.4931506849315067E-2</v>
      </c>
      <c r="AG104">
        <f t="shared" si="35"/>
        <v>8.4931506849315067E-2</v>
      </c>
      <c r="AH104">
        <f t="shared" si="36"/>
        <v>8.4931506849315067E-2</v>
      </c>
      <c r="AI104">
        <f t="shared" si="37"/>
        <v>0</v>
      </c>
      <c r="AJ104" s="2" t="str">
        <f t="shared" si="47"/>
        <v>1144044</v>
      </c>
    </row>
    <row r="105" spans="1:36" x14ac:dyDescent="0.25">
      <c r="A105">
        <v>12</v>
      </c>
      <c r="B105" s="1">
        <v>44044</v>
      </c>
      <c r="C105" s="1">
        <f t="shared" si="38"/>
        <v>44409</v>
      </c>
      <c r="D105" s="1">
        <f t="shared" si="39"/>
        <v>44058</v>
      </c>
      <c r="E105" s="1">
        <f t="shared" si="40"/>
        <v>44409</v>
      </c>
      <c r="F105" s="1">
        <f t="shared" si="41"/>
        <v>44423</v>
      </c>
      <c r="G105" s="1">
        <f t="shared" si="42"/>
        <v>44423</v>
      </c>
      <c r="H105">
        <f t="shared" si="43"/>
        <v>365</v>
      </c>
      <c r="I105">
        <f t="shared" si="44"/>
        <v>14</v>
      </c>
      <c r="J105">
        <f t="shared" si="45"/>
        <v>3.8356164383561646E-2</v>
      </c>
      <c r="K105">
        <f>IFERROR($J105/IF($A105&lt;COUNTIFS($K$1:K$1,"&lt;&gt;"),0,SUMIFS($J:$J,$B:$B,$B105,$A:$A,"&gt;="&amp;COUNTIFS($K$1:K$1,"&lt;&gt;"))),0)</f>
        <v>4.0229885057471271E-2</v>
      </c>
      <c r="L105">
        <f>IFERROR($J105/IF($A105&lt;COUNTIFS($K$1:L$1,"&lt;&gt;"),0,SUMIFS($J:$J,$B:$B,$B105,$A:$A,"&gt;="&amp;COUNTIFS($K$1:L$1,"&lt;&gt;"))),0)</f>
        <v>4.4025157232704414E-2</v>
      </c>
      <c r="M105">
        <f>IFERROR($J105/IF($A105&lt;COUNTIFS($K$1:M$1,"&lt;&gt;"),0,SUMIFS($J:$J,$B:$B,$B105,$A:$A,"&gt;="&amp;COUNTIFS($K$1:M$1,"&lt;&gt;"))),0)</f>
        <v>4.8780487804878057E-2</v>
      </c>
      <c r="N105">
        <f>IFERROR($J105/IF($A105&lt;COUNTIFS($K$1:N$1,"&lt;&gt;"),0,SUMIFS($J:$J,$B:$B,$B105,$A:$A,"&gt;="&amp;COUNTIFS($K$1:N$1,"&lt;&gt;"))),0)</f>
        <v>5.447470817120624E-2</v>
      </c>
      <c r="O105">
        <f>IFERROR($J105/IF($A105&lt;COUNTIFS($K$1:O$1,"&lt;&gt;"),0,SUMIFS($J:$J,$B:$B,$B105,$A:$A,"&gt;="&amp;COUNTIFS($K$1:O$1,"&lt;&gt;"))),0)</f>
        <v>6.194690265486727E-2</v>
      </c>
      <c r="P105">
        <f>IFERROR($J105/IF($A105&lt;COUNTIFS($K$1:P$1,"&lt;&gt;"),0,SUMIFS($J:$J,$B:$B,$B105,$A:$A,"&gt;="&amp;COUNTIFS($K$1:P$1,"&lt;&gt;"))),0)</f>
        <v>7.1794871794871803E-2</v>
      </c>
      <c r="Q105">
        <f>IFERROR($J105/IF($A105&lt;COUNTIFS($K$1:Q$1,"&lt;&gt;"),0,SUMIFS($J:$J,$B:$B,$B105,$A:$A,"&gt;="&amp;COUNTIFS($K$1:Q$1,"&lt;&gt;"))),0)</f>
        <v>8.3832335329341326E-2</v>
      </c>
      <c r="R105">
        <f>IFERROR($J105/IF($A105&lt;COUNTIFS($K$1:R$1,"&lt;&gt;"),0,SUMIFS($J:$J,$B:$B,$B105,$A:$A,"&gt;="&amp;COUNTIFS($K$1:R$1,"&lt;&gt;"))),0)</f>
        <v>0.10294117647058824</v>
      </c>
      <c r="S105">
        <f>IFERROR($J105/IF($A105&lt;COUNTIFS($K$1:S$1,"&lt;&gt;"),0,SUMIFS($J:$J,$B:$B,$B105,$A:$A,"&gt;="&amp;COUNTIFS($K$1:S$1,"&lt;&gt;"))),0)</f>
        <v>0.13207547169811323</v>
      </c>
      <c r="T105">
        <f>IFERROR($J105/IF($A105&lt;COUNTIFS($K$1:T$1,"&lt;&gt;"),0,SUMIFS($J:$J,$B:$B,$B105,$A:$A,"&gt;="&amp;COUNTIFS($K$1:T$1,"&lt;&gt;"))),0)</f>
        <v>0.18666666666666668</v>
      </c>
      <c r="U105">
        <f>IFERROR($J105/IF($A105&lt;COUNTIFS($K$1:U$1,"&lt;&gt;"),0,SUMIFS($J:$J,$B:$B,$B105,$A:$A,"&gt;="&amp;COUNTIFS($K$1:U$1,"&lt;&gt;"))),0)</f>
        <v>0.31111111111111117</v>
      </c>
      <c r="V105">
        <f>IFERROR($J105/IF($A105&lt;COUNTIFS($K$1:V$1,"&lt;&gt;"),0,SUMIFS($J:$J,$B:$B,$B105,$A:$A,"&gt;="&amp;COUNTIFS($K$1:V$1,"&lt;&gt;"))),0)</f>
        <v>1</v>
      </c>
      <c r="W105">
        <f t="shared" si="46"/>
        <v>3.8356164383561646E-2</v>
      </c>
      <c r="X105">
        <f t="shared" si="26"/>
        <v>3.8356164383561646E-2</v>
      </c>
      <c r="Y105">
        <f t="shared" si="27"/>
        <v>3.8356164383561646E-2</v>
      </c>
      <c r="Z105">
        <f t="shared" si="28"/>
        <v>3.8356164383561646E-2</v>
      </c>
      <c r="AA105">
        <f t="shared" si="29"/>
        <v>3.8356164383561646E-2</v>
      </c>
      <c r="AB105">
        <f t="shared" si="30"/>
        <v>3.8356164383561646E-2</v>
      </c>
      <c r="AC105">
        <f t="shared" si="31"/>
        <v>3.8356164383561646E-2</v>
      </c>
      <c r="AD105">
        <f t="shared" si="32"/>
        <v>3.8356164383561646E-2</v>
      </c>
      <c r="AE105">
        <f t="shared" si="33"/>
        <v>3.8356164383561646E-2</v>
      </c>
      <c r="AF105">
        <f t="shared" si="34"/>
        <v>3.8356164383561646E-2</v>
      </c>
      <c r="AG105">
        <f t="shared" si="35"/>
        <v>3.8356164383561646E-2</v>
      </c>
      <c r="AH105">
        <f t="shared" si="36"/>
        <v>3.8356164383561646E-2</v>
      </c>
      <c r="AI105">
        <f t="shared" si="37"/>
        <v>3.8356164383561646E-2</v>
      </c>
      <c r="AJ105" s="2" t="str">
        <f t="shared" si="47"/>
        <v>1244044</v>
      </c>
    </row>
    <row r="106" spans="1:36" x14ac:dyDescent="0.25">
      <c r="A106">
        <v>0</v>
      </c>
      <c r="B106" s="1">
        <v>44075</v>
      </c>
      <c r="C106" s="1">
        <f t="shared" si="38"/>
        <v>44075</v>
      </c>
      <c r="D106" s="1">
        <f t="shared" si="39"/>
        <v>44089</v>
      </c>
      <c r="E106" s="1">
        <f t="shared" si="40"/>
        <v>44089</v>
      </c>
      <c r="F106" s="1">
        <f t="shared" si="41"/>
        <v>44105</v>
      </c>
      <c r="G106" s="1">
        <f t="shared" si="42"/>
        <v>44454</v>
      </c>
      <c r="H106">
        <f t="shared" si="43"/>
        <v>365</v>
      </c>
      <c r="I106">
        <f t="shared" si="44"/>
        <v>16</v>
      </c>
      <c r="J106">
        <f t="shared" si="45"/>
        <v>4.3835616438356165E-2</v>
      </c>
      <c r="K106">
        <f>IFERROR($J106/IF($A106&lt;COUNTIFS($K$1:K$1,"&lt;&gt;"),0,SUMIFS($J:$J,$B:$B,$B106,$A:$A,"&gt;="&amp;COUNTIFS($K$1:K$1,"&lt;&gt;"))),0)</f>
        <v>0</v>
      </c>
      <c r="L106">
        <f>IFERROR($J106/IF($A106&lt;COUNTIFS($K$1:L$1,"&lt;&gt;"),0,SUMIFS($J:$J,$B:$B,$B106,$A:$A,"&gt;="&amp;COUNTIFS($K$1:L$1,"&lt;&gt;"))),0)</f>
        <v>0</v>
      </c>
      <c r="M106">
        <f>IFERROR($J106/IF($A106&lt;COUNTIFS($K$1:M$1,"&lt;&gt;"),0,SUMIFS($J:$J,$B:$B,$B106,$A:$A,"&gt;="&amp;COUNTIFS($K$1:M$1,"&lt;&gt;"))),0)</f>
        <v>0</v>
      </c>
      <c r="N106">
        <f>IFERROR($J106/IF($A106&lt;COUNTIFS($K$1:N$1,"&lt;&gt;"),0,SUMIFS($J:$J,$B:$B,$B106,$A:$A,"&gt;="&amp;COUNTIFS($K$1:N$1,"&lt;&gt;"))),0)</f>
        <v>0</v>
      </c>
      <c r="O106">
        <f>IFERROR($J106/IF($A106&lt;COUNTIFS($K$1:O$1,"&lt;&gt;"),0,SUMIFS($J:$J,$B:$B,$B106,$A:$A,"&gt;="&amp;COUNTIFS($K$1:O$1,"&lt;&gt;"))),0)</f>
        <v>0</v>
      </c>
      <c r="P106">
        <f>IFERROR($J106/IF($A106&lt;COUNTIFS($K$1:P$1,"&lt;&gt;"),0,SUMIFS($J:$J,$B:$B,$B106,$A:$A,"&gt;="&amp;COUNTIFS($K$1:P$1,"&lt;&gt;"))),0)</f>
        <v>0</v>
      </c>
      <c r="Q106">
        <f>IFERROR($J106/IF($A106&lt;COUNTIFS($K$1:Q$1,"&lt;&gt;"),0,SUMIFS($J:$J,$B:$B,$B106,$A:$A,"&gt;="&amp;COUNTIFS($K$1:Q$1,"&lt;&gt;"))),0)</f>
        <v>0</v>
      </c>
      <c r="R106">
        <f>IFERROR($J106/IF($A106&lt;COUNTIFS($K$1:R$1,"&lt;&gt;"),0,SUMIFS($J:$J,$B:$B,$B106,$A:$A,"&gt;="&amp;COUNTIFS($K$1:R$1,"&lt;&gt;"))),0)</f>
        <v>0</v>
      </c>
      <c r="S106">
        <f>IFERROR($J106/IF($A106&lt;COUNTIFS($K$1:S$1,"&lt;&gt;"),0,SUMIFS($J:$J,$B:$B,$B106,$A:$A,"&gt;="&amp;COUNTIFS($K$1:S$1,"&lt;&gt;"))),0)</f>
        <v>0</v>
      </c>
      <c r="T106">
        <f>IFERROR($J106/IF($A106&lt;COUNTIFS($K$1:T$1,"&lt;&gt;"),0,SUMIFS($J:$J,$B:$B,$B106,$A:$A,"&gt;="&amp;COUNTIFS($K$1:T$1,"&lt;&gt;"))),0)</f>
        <v>0</v>
      </c>
      <c r="U106">
        <f>IFERROR($J106/IF($A106&lt;COUNTIFS($K$1:U$1,"&lt;&gt;"),0,SUMIFS($J:$J,$B:$B,$B106,$A:$A,"&gt;="&amp;COUNTIFS($K$1:U$1,"&lt;&gt;"))),0)</f>
        <v>0</v>
      </c>
      <c r="V106">
        <f>IFERROR($J106/IF($A106&lt;COUNTIFS($K$1:V$1,"&lt;&gt;"),0,SUMIFS($J:$J,$B:$B,$B106,$A:$A,"&gt;="&amp;COUNTIFS($K$1:V$1,"&lt;&gt;"))),0)</f>
        <v>0</v>
      </c>
      <c r="W106">
        <f t="shared" si="46"/>
        <v>4.3835616438356165E-2</v>
      </c>
      <c r="X106">
        <f t="shared" si="26"/>
        <v>0</v>
      </c>
      <c r="Y106">
        <f t="shared" si="27"/>
        <v>0</v>
      </c>
      <c r="Z106">
        <f t="shared" si="28"/>
        <v>0</v>
      </c>
      <c r="AA106">
        <f t="shared" si="29"/>
        <v>0</v>
      </c>
      <c r="AB106">
        <f t="shared" si="30"/>
        <v>0</v>
      </c>
      <c r="AC106">
        <f t="shared" si="31"/>
        <v>0</v>
      </c>
      <c r="AD106">
        <f t="shared" si="32"/>
        <v>0</v>
      </c>
      <c r="AE106">
        <f t="shared" si="33"/>
        <v>0</v>
      </c>
      <c r="AF106">
        <f t="shared" si="34"/>
        <v>0</v>
      </c>
      <c r="AG106">
        <f t="shared" si="35"/>
        <v>0</v>
      </c>
      <c r="AH106">
        <f t="shared" si="36"/>
        <v>0</v>
      </c>
      <c r="AI106">
        <f t="shared" si="37"/>
        <v>0</v>
      </c>
      <c r="AJ106" s="2" t="str">
        <f t="shared" si="47"/>
        <v>044075</v>
      </c>
    </row>
    <row r="107" spans="1:36" x14ac:dyDescent="0.25">
      <c r="A107">
        <v>1</v>
      </c>
      <c r="B107" s="1">
        <v>44075</v>
      </c>
      <c r="C107" s="1">
        <f t="shared" si="38"/>
        <v>44105</v>
      </c>
      <c r="D107" s="1">
        <f t="shared" si="39"/>
        <v>44089</v>
      </c>
      <c r="E107" s="1">
        <f t="shared" si="40"/>
        <v>44105</v>
      </c>
      <c r="F107" s="1">
        <f t="shared" si="41"/>
        <v>44136</v>
      </c>
      <c r="G107" s="1">
        <f t="shared" si="42"/>
        <v>44454</v>
      </c>
      <c r="H107">
        <f t="shared" si="43"/>
        <v>365</v>
      </c>
      <c r="I107">
        <f t="shared" si="44"/>
        <v>31</v>
      </c>
      <c r="J107">
        <f t="shared" si="45"/>
        <v>8.4931506849315067E-2</v>
      </c>
      <c r="K107">
        <f>IFERROR($J107/IF($A107&lt;COUNTIFS($K$1:K$1,"&lt;&gt;"),0,SUMIFS($J:$J,$B:$B,$B107,$A:$A,"&gt;="&amp;COUNTIFS($K$1:K$1,"&lt;&gt;"))),0)</f>
        <v>8.8825214899713484E-2</v>
      </c>
      <c r="L107">
        <f>IFERROR($J107/IF($A107&lt;COUNTIFS($K$1:L$1,"&lt;&gt;"),0,SUMIFS($J:$J,$B:$B,$B107,$A:$A,"&gt;="&amp;COUNTIFS($K$1:L$1,"&lt;&gt;"))),0)</f>
        <v>0</v>
      </c>
      <c r="M107">
        <f>IFERROR($J107/IF($A107&lt;COUNTIFS($K$1:M$1,"&lt;&gt;"),0,SUMIFS($J:$J,$B:$B,$B107,$A:$A,"&gt;="&amp;COUNTIFS($K$1:M$1,"&lt;&gt;"))),0)</f>
        <v>0</v>
      </c>
      <c r="N107">
        <f>IFERROR($J107/IF($A107&lt;COUNTIFS($K$1:N$1,"&lt;&gt;"),0,SUMIFS($J:$J,$B:$B,$B107,$A:$A,"&gt;="&amp;COUNTIFS($K$1:N$1,"&lt;&gt;"))),0)</f>
        <v>0</v>
      </c>
      <c r="O107">
        <f>IFERROR($J107/IF($A107&lt;COUNTIFS($K$1:O$1,"&lt;&gt;"),0,SUMIFS($J:$J,$B:$B,$B107,$A:$A,"&gt;="&amp;COUNTIFS($K$1:O$1,"&lt;&gt;"))),0)</f>
        <v>0</v>
      </c>
      <c r="P107">
        <f>IFERROR($J107/IF($A107&lt;COUNTIFS($K$1:P$1,"&lt;&gt;"),0,SUMIFS($J:$J,$B:$B,$B107,$A:$A,"&gt;="&amp;COUNTIFS($K$1:P$1,"&lt;&gt;"))),0)</f>
        <v>0</v>
      </c>
      <c r="Q107">
        <f>IFERROR($J107/IF($A107&lt;COUNTIFS($K$1:Q$1,"&lt;&gt;"),0,SUMIFS($J:$J,$B:$B,$B107,$A:$A,"&gt;="&amp;COUNTIFS($K$1:Q$1,"&lt;&gt;"))),0)</f>
        <v>0</v>
      </c>
      <c r="R107">
        <f>IFERROR($J107/IF($A107&lt;COUNTIFS($K$1:R$1,"&lt;&gt;"),0,SUMIFS($J:$J,$B:$B,$B107,$A:$A,"&gt;="&amp;COUNTIFS($K$1:R$1,"&lt;&gt;"))),0)</f>
        <v>0</v>
      </c>
      <c r="S107">
        <f>IFERROR($J107/IF($A107&lt;COUNTIFS($K$1:S$1,"&lt;&gt;"),0,SUMIFS($J:$J,$B:$B,$B107,$A:$A,"&gt;="&amp;COUNTIFS($K$1:S$1,"&lt;&gt;"))),0)</f>
        <v>0</v>
      </c>
      <c r="T107">
        <f>IFERROR($J107/IF($A107&lt;COUNTIFS($K$1:T$1,"&lt;&gt;"),0,SUMIFS($J:$J,$B:$B,$B107,$A:$A,"&gt;="&amp;COUNTIFS($K$1:T$1,"&lt;&gt;"))),0)</f>
        <v>0</v>
      </c>
      <c r="U107">
        <f>IFERROR($J107/IF($A107&lt;COUNTIFS($K$1:U$1,"&lt;&gt;"),0,SUMIFS($J:$J,$B:$B,$B107,$A:$A,"&gt;="&amp;COUNTIFS($K$1:U$1,"&lt;&gt;"))),0)</f>
        <v>0</v>
      </c>
      <c r="V107">
        <f>IFERROR($J107/IF($A107&lt;COUNTIFS($K$1:V$1,"&lt;&gt;"),0,SUMIFS($J:$J,$B:$B,$B107,$A:$A,"&gt;="&amp;COUNTIFS($K$1:V$1,"&lt;&gt;"))),0)</f>
        <v>0</v>
      </c>
      <c r="W107">
        <f t="shared" si="46"/>
        <v>8.4931506849315067E-2</v>
      </c>
      <c r="X107">
        <f t="shared" si="26"/>
        <v>8.4931506849315067E-2</v>
      </c>
      <c r="Y107">
        <f t="shared" si="27"/>
        <v>0</v>
      </c>
      <c r="Z107">
        <f t="shared" si="28"/>
        <v>0</v>
      </c>
      <c r="AA107">
        <f t="shared" si="29"/>
        <v>0</v>
      </c>
      <c r="AB107">
        <f t="shared" si="30"/>
        <v>0</v>
      </c>
      <c r="AC107">
        <f t="shared" si="31"/>
        <v>0</v>
      </c>
      <c r="AD107">
        <f t="shared" si="32"/>
        <v>0</v>
      </c>
      <c r="AE107">
        <f t="shared" si="33"/>
        <v>0</v>
      </c>
      <c r="AF107">
        <f t="shared" si="34"/>
        <v>0</v>
      </c>
      <c r="AG107">
        <f t="shared" si="35"/>
        <v>0</v>
      </c>
      <c r="AH107">
        <f t="shared" si="36"/>
        <v>0</v>
      </c>
      <c r="AI107">
        <f t="shared" si="37"/>
        <v>0</v>
      </c>
      <c r="AJ107" s="2" t="str">
        <f t="shared" si="47"/>
        <v>144075</v>
      </c>
    </row>
    <row r="108" spans="1:36" x14ac:dyDescent="0.25">
      <c r="A108">
        <v>2</v>
      </c>
      <c r="B108" s="1">
        <v>44075</v>
      </c>
      <c r="C108" s="1">
        <f t="shared" si="38"/>
        <v>44136</v>
      </c>
      <c r="D108" s="1">
        <f t="shared" si="39"/>
        <v>44089</v>
      </c>
      <c r="E108" s="1">
        <f t="shared" si="40"/>
        <v>44136</v>
      </c>
      <c r="F108" s="1">
        <f t="shared" si="41"/>
        <v>44166</v>
      </c>
      <c r="G108" s="1">
        <f t="shared" si="42"/>
        <v>44454</v>
      </c>
      <c r="H108">
        <f t="shared" si="43"/>
        <v>365</v>
      </c>
      <c r="I108">
        <f t="shared" si="44"/>
        <v>30</v>
      </c>
      <c r="J108">
        <f t="shared" si="45"/>
        <v>8.2191780821917804E-2</v>
      </c>
      <c r="K108">
        <f>IFERROR($J108/IF($A108&lt;COUNTIFS($K$1:K$1,"&lt;&gt;"),0,SUMIFS($J:$J,$B:$B,$B108,$A:$A,"&gt;="&amp;COUNTIFS($K$1:K$1,"&lt;&gt;"))),0)</f>
        <v>8.5959885386819493E-2</v>
      </c>
      <c r="L108">
        <f>IFERROR($J108/IF($A108&lt;COUNTIFS($K$1:L$1,"&lt;&gt;"),0,SUMIFS($J:$J,$B:$B,$B108,$A:$A,"&gt;="&amp;COUNTIFS($K$1:L$1,"&lt;&gt;"))),0)</f>
        <v>9.4339622641509441E-2</v>
      </c>
      <c r="M108">
        <f>IFERROR($J108/IF($A108&lt;COUNTIFS($K$1:M$1,"&lt;&gt;"),0,SUMIFS($J:$J,$B:$B,$B108,$A:$A,"&gt;="&amp;COUNTIFS($K$1:M$1,"&lt;&gt;"))),0)</f>
        <v>0</v>
      </c>
      <c r="N108">
        <f>IFERROR($J108/IF($A108&lt;COUNTIFS($K$1:N$1,"&lt;&gt;"),0,SUMIFS($J:$J,$B:$B,$B108,$A:$A,"&gt;="&amp;COUNTIFS($K$1:N$1,"&lt;&gt;"))),0)</f>
        <v>0</v>
      </c>
      <c r="O108">
        <f>IFERROR($J108/IF($A108&lt;COUNTIFS($K$1:O$1,"&lt;&gt;"),0,SUMIFS($J:$J,$B:$B,$B108,$A:$A,"&gt;="&amp;COUNTIFS($K$1:O$1,"&lt;&gt;"))),0)</f>
        <v>0</v>
      </c>
      <c r="P108">
        <f>IFERROR($J108/IF($A108&lt;COUNTIFS($K$1:P$1,"&lt;&gt;"),0,SUMIFS($J:$J,$B:$B,$B108,$A:$A,"&gt;="&amp;COUNTIFS($K$1:P$1,"&lt;&gt;"))),0)</f>
        <v>0</v>
      </c>
      <c r="Q108">
        <f>IFERROR($J108/IF($A108&lt;COUNTIFS($K$1:Q$1,"&lt;&gt;"),0,SUMIFS($J:$J,$B:$B,$B108,$A:$A,"&gt;="&amp;COUNTIFS($K$1:Q$1,"&lt;&gt;"))),0)</f>
        <v>0</v>
      </c>
      <c r="R108">
        <f>IFERROR($J108/IF($A108&lt;COUNTIFS($K$1:R$1,"&lt;&gt;"),0,SUMIFS($J:$J,$B:$B,$B108,$A:$A,"&gt;="&amp;COUNTIFS($K$1:R$1,"&lt;&gt;"))),0)</f>
        <v>0</v>
      </c>
      <c r="S108">
        <f>IFERROR($J108/IF($A108&lt;COUNTIFS($K$1:S$1,"&lt;&gt;"),0,SUMIFS($J:$J,$B:$B,$B108,$A:$A,"&gt;="&amp;COUNTIFS($K$1:S$1,"&lt;&gt;"))),0)</f>
        <v>0</v>
      </c>
      <c r="T108">
        <f>IFERROR($J108/IF($A108&lt;COUNTIFS($K$1:T$1,"&lt;&gt;"),0,SUMIFS($J:$J,$B:$B,$B108,$A:$A,"&gt;="&amp;COUNTIFS($K$1:T$1,"&lt;&gt;"))),0)</f>
        <v>0</v>
      </c>
      <c r="U108">
        <f>IFERROR($J108/IF($A108&lt;COUNTIFS($K$1:U$1,"&lt;&gt;"),0,SUMIFS($J:$J,$B:$B,$B108,$A:$A,"&gt;="&amp;COUNTIFS($K$1:U$1,"&lt;&gt;"))),0)</f>
        <v>0</v>
      </c>
      <c r="V108">
        <f>IFERROR($J108/IF($A108&lt;COUNTIFS($K$1:V$1,"&lt;&gt;"),0,SUMIFS($J:$J,$B:$B,$B108,$A:$A,"&gt;="&amp;COUNTIFS($K$1:V$1,"&lt;&gt;"))),0)</f>
        <v>0</v>
      </c>
      <c r="W108">
        <f t="shared" si="46"/>
        <v>8.2191780821917804E-2</v>
      </c>
      <c r="X108">
        <f t="shared" si="26"/>
        <v>8.2191780821917804E-2</v>
      </c>
      <c r="Y108">
        <f t="shared" si="27"/>
        <v>8.2191780821917804E-2</v>
      </c>
      <c r="Z108">
        <f t="shared" si="28"/>
        <v>0</v>
      </c>
      <c r="AA108">
        <f t="shared" si="29"/>
        <v>0</v>
      </c>
      <c r="AB108">
        <f t="shared" si="30"/>
        <v>0</v>
      </c>
      <c r="AC108">
        <f t="shared" si="31"/>
        <v>0</v>
      </c>
      <c r="AD108">
        <f t="shared" si="32"/>
        <v>0</v>
      </c>
      <c r="AE108">
        <f t="shared" si="33"/>
        <v>0</v>
      </c>
      <c r="AF108">
        <f t="shared" si="34"/>
        <v>0</v>
      </c>
      <c r="AG108">
        <f t="shared" si="35"/>
        <v>0</v>
      </c>
      <c r="AH108">
        <f t="shared" si="36"/>
        <v>0</v>
      </c>
      <c r="AI108">
        <f t="shared" si="37"/>
        <v>0</v>
      </c>
      <c r="AJ108" s="2" t="str">
        <f t="shared" si="47"/>
        <v>244075</v>
      </c>
    </row>
    <row r="109" spans="1:36" x14ac:dyDescent="0.25">
      <c r="A109">
        <v>3</v>
      </c>
      <c r="B109" s="1">
        <v>44075</v>
      </c>
      <c r="C109" s="1">
        <f t="shared" si="38"/>
        <v>44166</v>
      </c>
      <c r="D109" s="1">
        <f t="shared" si="39"/>
        <v>44089</v>
      </c>
      <c r="E109" s="1">
        <f t="shared" si="40"/>
        <v>44166</v>
      </c>
      <c r="F109" s="1">
        <f t="shared" si="41"/>
        <v>44197</v>
      </c>
      <c r="G109" s="1">
        <f t="shared" si="42"/>
        <v>44454</v>
      </c>
      <c r="H109">
        <f t="shared" si="43"/>
        <v>365</v>
      </c>
      <c r="I109">
        <f t="shared" si="44"/>
        <v>31</v>
      </c>
      <c r="J109">
        <f t="shared" si="45"/>
        <v>8.4931506849315067E-2</v>
      </c>
      <c r="K109">
        <f>IFERROR($J109/IF($A109&lt;COUNTIFS($K$1:K$1,"&lt;&gt;"),0,SUMIFS($J:$J,$B:$B,$B109,$A:$A,"&gt;="&amp;COUNTIFS($K$1:K$1,"&lt;&gt;"))),0)</f>
        <v>8.8825214899713484E-2</v>
      </c>
      <c r="L109">
        <f>IFERROR($J109/IF($A109&lt;COUNTIFS($K$1:L$1,"&lt;&gt;"),0,SUMIFS($J:$J,$B:$B,$B109,$A:$A,"&gt;="&amp;COUNTIFS($K$1:L$1,"&lt;&gt;"))),0)</f>
        <v>9.7484276729559768E-2</v>
      </c>
      <c r="M109">
        <f>IFERROR($J109/IF($A109&lt;COUNTIFS($K$1:M$1,"&lt;&gt;"),0,SUMIFS($J:$J,$B:$B,$B109,$A:$A,"&gt;="&amp;COUNTIFS($K$1:M$1,"&lt;&gt;"))),0)</f>
        <v>0.10763888888888891</v>
      </c>
      <c r="N109">
        <f>IFERROR($J109/IF($A109&lt;COUNTIFS($K$1:N$1,"&lt;&gt;"),0,SUMIFS($J:$J,$B:$B,$B109,$A:$A,"&gt;="&amp;COUNTIFS($K$1:N$1,"&lt;&gt;"))),0)</f>
        <v>0</v>
      </c>
      <c r="O109">
        <f>IFERROR($J109/IF($A109&lt;COUNTIFS($K$1:O$1,"&lt;&gt;"),0,SUMIFS($J:$J,$B:$B,$B109,$A:$A,"&gt;="&amp;COUNTIFS($K$1:O$1,"&lt;&gt;"))),0)</f>
        <v>0</v>
      </c>
      <c r="P109">
        <f>IFERROR($J109/IF($A109&lt;COUNTIFS($K$1:P$1,"&lt;&gt;"),0,SUMIFS($J:$J,$B:$B,$B109,$A:$A,"&gt;="&amp;COUNTIFS($K$1:P$1,"&lt;&gt;"))),0)</f>
        <v>0</v>
      </c>
      <c r="Q109">
        <f>IFERROR($J109/IF($A109&lt;COUNTIFS($K$1:Q$1,"&lt;&gt;"),0,SUMIFS($J:$J,$B:$B,$B109,$A:$A,"&gt;="&amp;COUNTIFS($K$1:Q$1,"&lt;&gt;"))),0)</f>
        <v>0</v>
      </c>
      <c r="R109">
        <f>IFERROR($J109/IF($A109&lt;COUNTIFS($K$1:R$1,"&lt;&gt;"),0,SUMIFS($J:$J,$B:$B,$B109,$A:$A,"&gt;="&amp;COUNTIFS($K$1:R$1,"&lt;&gt;"))),0)</f>
        <v>0</v>
      </c>
      <c r="S109">
        <f>IFERROR($J109/IF($A109&lt;COUNTIFS($K$1:S$1,"&lt;&gt;"),0,SUMIFS($J:$J,$B:$B,$B109,$A:$A,"&gt;="&amp;COUNTIFS($K$1:S$1,"&lt;&gt;"))),0)</f>
        <v>0</v>
      </c>
      <c r="T109">
        <f>IFERROR($J109/IF($A109&lt;COUNTIFS($K$1:T$1,"&lt;&gt;"),0,SUMIFS($J:$J,$B:$B,$B109,$A:$A,"&gt;="&amp;COUNTIFS($K$1:T$1,"&lt;&gt;"))),0)</f>
        <v>0</v>
      </c>
      <c r="U109">
        <f>IFERROR($J109/IF($A109&lt;COUNTIFS($K$1:U$1,"&lt;&gt;"),0,SUMIFS($J:$J,$B:$B,$B109,$A:$A,"&gt;="&amp;COUNTIFS($K$1:U$1,"&lt;&gt;"))),0)</f>
        <v>0</v>
      </c>
      <c r="V109">
        <f>IFERROR($J109/IF($A109&lt;COUNTIFS($K$1:V$1,"&lt;&gt;"),0,SUMIFS($J:$J,$B:$B,$B109,$A:$A,"&gt;="&amp;COUNTIFS($K$1:V$1,"&lt;&gt;"))),0)</f>
        <v>0</v>
      </c>
      <c r="W109">
        <f t="shared" si="46"/>
        <v>8.4931506849315067E-2</v>
      </c>
      <c r="X109">
        <f t="shared" si="26"/>
        <v>8.4931506849315067E-2</v>
      </c>
      <c r="Y109">
        <f t="shared" si="27"/>
        <v>8.4931506849315067E-2</v>
      </c>
      <c r="Z109">
        <f t="shared" si="28"/>
        <v>8.4931506849315067E-2</v>
      </c>
      <c r="AA109">
        <f t="shared" si="29"/>
        <v>0</v>
      </c>
      <c r="AB109">
        <f t="shared" si="30"/>
        <v>0</v>
      </c>
      <c r="AC109">
        <f t="shared" si="31"/>
        <v>0</v>
      </c>
      <c r="AD109">
        <f t="shared" si="32"/>
        <v>0</v>
      </c>
      <c r="AE109">
        <f t="shared" si="33"/>
        <v>0</v>
      </c>
      <c r="AF109">
        <f t="shared" si="34"/>
        <v>0</v>
      </c>
      <c r="AG109">
        <f t="shared" si="35"/>
        <v>0</v>
      </c>
      <c r="AH109">
        <f t="shared" si="36"/>
        <v>0</v>
      </c>
      <c r="AI109">
        <f t="shared" si="37"/>
        <v>0</v>
      </c>
      <c r="AJ109" s="2" t="str">
        <f t="shared" si="47"/>
        <v>344075</v>
      </c>
    </row>
    <row r="110" spans="1:36" x14ac:dyDescent="0.25">
      <c r="A110">
        <v>4</v>
      </c>
      <c r="B110" s="1">
        <v>44075</v>
      </c>
      <c r="C110" s="1">
        <f t="shared" si="38"/>
        <v>44197</v>
      </c>
      <c r="D110" s="1">
        <f t="shared" si="39"/>
        <v>44089</v>
      </c>
      <c r="E110" s="1">
        <f t="shared" si="40"/>
        <v>44197</v>
      </c>
      <c r="F110" s="1">
        <f t="shared" si="41"/>
        <v>44228</v>
      </c>
      <c r="G110" s="1">
        <f t="shared" si="42"/>
        <v>44454</v>
      </c>
      <c r="H110">
        <f t="shared" si="43"/>
        <v>365</v>
      </c>
      <c r="I110">
        <f t="shared" si="44"/>
        <v>31</v>
      </c>
      <c r="J110">
        <f t="shared" si="45"/>
        <v>8.4931506849315067E-2</v>
      </c>
      <c r="K110">
        <f>IFERROR($J110/IF($A110&lt;COUNTIFS($K$1:K$1,"&lt;&gt;"),0,SUMIFS($J:$J,$B:$B,$B110,$A:$A,"&gt;="&amp;COUNTIFS($K$1:K$1,"&lt;&gt;"))),0)</f>
        <v>8.8825214899713484E-2</v>
      </c>
      <c r="L110">
        <f>IFERROR($J110/IF($A110&lt;COUNTIFS($K$1:L$1,"&lt;&gt;"),0,SUMIFS($J:$J,$B:$B,$B110,$A:$A,"&gt;="&amp;COUNTIFS($K$1:L$1,"&lt;&gt;"))),0)</f>
        <v>9.7484276729559768E-2</v>
      </c>
      <c r="M110">
        <f>IFERROR($J110/IF($A110&lt;COUNTIFS($K$1:M$1,"&lt;&gt;"),0,SUMIFS($J:$J,$B:$B,$B110,$A:$A,"&gt;="&amp;COUNTIFS($K$1:M$1,"&lt;&gt;"))),0)</f>
        <v>0.10763888888888891</v>
      </c>
      <c r="N110">
        <f>IFERROR($J110/IF($A110&lt;COUNTIFS($K$1:N$1,"&lt;&gt;"),0,SUMIFS($J:$J,$B:$B,$B110,$A:$A,"&gt;="&amp;COUNTIFS($K$1:N$1,"&lt;&gt;"))),0)</f>
        <v>0.12062256809338523</v>
      </c>
      <c r="O110">
        <f>IFERROR($J110/IF($A110&lt;COUNTIFS($K$1:O$1,"&lt;&gt;"),0,SUMIFS($J:$J,$B:$B,$B110,$A:$A,"&gt;="&amp;COUNTIFS($K$1:O$1,"&lt;&gt;"))),0)</f>
        <v>0</v>
      </c>
      <c r="P110">
        <f>IFERROR($J110/IF($A110&lt;COUNTIFS($K$1:P$1,"&lt;&gt;"),0,SUMIFS($J:$J,$B:$B,$B110,$A:$A,"&gt;="&amp;COUNTIFS($K$1:P$1,"&lt;&gt;"))),0)</f>
        <v>0</v>
      </c>
      <c r="Q110">
        <f>IFERROR($J110/IF($A110&lt;COUNTIFS($K$1:Q$1,"&lt;&gt;"),0,SUMIFS($J:$J,$B:$B,$B110,$A:$A,"&gt;="&amp;COUNTIFS($K$1:Q$1,"&lt;&gt;"))),0)</f>
        <v>0</v>
      </c>
      <c r="R110">
        <f>IFERROR($J110/IF($A110&lt;COUNTIFS($K$1:R$1,"&lt;&gt;"),0,SUMIFS($J:$J,$B:$B,$B110,$A:$A,"&gt;="&amp;COUNTIFS($K$1:R$1,"&lt;&gt;"))),0)</f>
        <v>0</v>
      </c>
      <c r="S110">
        <f>IFERROR($J110/IF($A110&lt;COUNTIFS($K$1:S$1,"&lt;&gt;"),0,SUMIFS($J:$J,$B:$B,$B110,$A:$A,"&gt;="&amp;COUNTIFS($K$1:S$1,"&lt;&gt;"))),0)</f>
        <v>0</v>
      </c>
      <c r="T110">
        <f>IFERROR($J110/IF($A110&lt;COUNTIFS($K$1:T$1,"&lt;&gt;"),0,SUMIFS($J:$J,$B:$B,$B110,$A:$A,"&gt;="&amp;COUNTIFS($K$1:T$1,"&lt;&gt;"))),0)</f>
        <v>0</v>
      </c>
      <c r="U110">
        <f>IFERROR($J110/IF($A110&lt;COUNTIFS($K$1:U$1,"&lt;&gt;"),0,SUMIFS($J:$J,$B:$B,$B110,$A:$A,"&gt;="&amp;COUNTIFS($K$1:U$1,"&lt;&gt;"))),0)</f>
        <v>0</v>
      </c>
      <c r="V110">
        <f>IFERROR($J110/IF($A110&lt;COUNTIFS($K$1:V$1,"&lt;&gt;"),0,SUMIFS($J:$J,$B:$B,$B110,$A:$A,"&gt;="&amp;COUNTIFS($K$1:V$1,"&lt;&gt;"))),0)</f>
        <v>0</v>
      </c>
      <c r="W110">
        <f t="shared" si="46"/>
        <v>8.4931506849315067E-2</v>
      </c>
      <c r="X110">
        <f t="shared" si="26"/>
        <v>8.4931506849315067E-2</v>
      </c>
      <c r="Y110">
        <f t="shared" si="27"/>
        <v>8.4931506849315067E-2</v>
      </c>
      <c r="Z110">
        <f t="shared" si="28"/>
        <v>8.4931506849315067E-2</v>
      </c>
      <c r="AA110">
        <f t="shared" si="29"/>
        <v>8.4931506849315067E-2</v>
      </c>
      <c r="AB110">
        <f t="shared" si="30"/>
        <v>0</v>
      </c>
      <c r="AC110">
        <f t="shared" si="31"/>
        <v>0</v>
      </c>
      <c r="AD110">
        <f t="shared" si="32"/>
        <v>0</v>
      </c>
      <c r="AE110">
        <f t="shared" si="33"/>
        <v>0</v>
      </c>
      <c r="AF110">
        <f t="shared" si="34"/>
        <v>0</v>
      </c>
      <c r="AG110">
        <f t="shared" si="35"/>
        <v>0</v>
      </c>
      <c r="AH110">
        <f t="shared" si="36"/>
        <v>0</v>
      </c>
      <c r="AI110">
        <f t="shared" si="37"/>
        <v>0</v>
      </c>
      <c r="AJ110" s="2" t="str">
        <f t="shared" si="47"/>
        <v>444075</v>
      </c>
    </row>
    <row r="111" spans="1:36" x14ac:dyDescent="0.25">
      <c r="A111">
        <v>5</v>
      </c>
      <c r="B111" s="1">
        <v>44075</v>
      </c>
      <c r="C111" s="1">
        <f t="shared" si="38"/>
        <v>44228</v>
      </c>
      <c r="D111" s="1">
        <f t="shared" si="39"/>
        <v>44089</v>
      </c>
      <c r="E111" s="1">
        <f t="shared" si="40"/>
        <v>44228</v>
      </c>
      <c r="F111" s="1">
        <f t="shared" si="41"/>
        <v>44256</v>
      </c>
      <c r="G111" s="1">
        <f t="shared" si="42"/>
        <v>44454</v>
      </c>
      <c r="H111">
        <f t="shared" si="43"/>
        <v>365</v>
      </c>
      <c r="I111">
        <f t="shared" si="44"/>
        <v>28</v>
      </c>
      <c r="J111">
        <f t="shared" si="45"/>
        <v>7.6712328767123292E-2</v>
      </c>
      <c r="K111">
        <f>IFERROR($J111/IF($A111&lt;COUNTIFS($K$1:K$1,"&lt;&gt;"),0,SUMIFS($J:$J,$B:$B,$B111,$A:$A,"&gt;="&amp;COUNTIFS($K$1:K$1,"&lt;&gt;"))),0)</f>
        <v>8.0229226361031539E-2</v>
      </c>
      <c r="L111">
        <f>IFERROR($J111/IF($A111&lt;COUNTIFS($K$1:L$1,"&lt;&gt;"),0,SUMIFS($J:$J,$B:$B,$B111,$A:$A,"&gt;="&amp;COUNTIFS($K$1:L$1,"&lt;&gt;"))),0)</f>
        <v>8.8050314465408827E-2</v>
      </c>
      <c r="M111">
        <f>IFERROR($J111/IF($A111&lt;COUNTIFS($K$1:M$1,"&lt;&gt;"),0,SUMIFS($J:$J,$B:$B,$B111,$A:$A,"&gt;="&amp;COUNTIFS($K$1:M$1,"&lt;&gt;"))),0)</f>
        <v>9.7222222222222238E-2</v>
      </c>
      <c r="N111">
        <f>IFERROR($J111/IF($A111&lt;COUNTIFS($K$1:N$1,"&lt;&gt;"),0,SUMIFS($J:$J,$B:$B,$B111,$A:$A,"&gt;="&amp;COUNTIFS($K$1:N$1,"&lt;&gt;"))),0)</f>
        <v>0.10894941634241248</v>
      </c>
      <c r="O111">
        <f>IFERROR($J111/IF($A111&lt;COUNTIFS($K$1:O$1,"&lt;&gt;"),0,SUMIFS($J:$J,$B:$B,$B111,$A:$A,"&gt;="&amp;COUNTIFS($K$1:O$1,"&lt;&gt;"))),0)</f>
        <v>0.12389380530973454</v>
      </c>
      <c r="P111">
        <f>IFERROR($J111/IF($A111&lt;COUNTIFS($K$1:P$1,"&lt;&gt;"),0,SUMIFS($J:$J,$B:$B,$B111,$A:$A,"&gt;="&amp;COUNTIFS($K$1:P$1,"&lt;&gt;"))),0)</f>
        <v>0</v>
      </c>
      <c r="Q111">
        <f>IFERROR($J111/IF($A111&lt;COUNTIFS($K$1:Q$1,"&lt;&gt;"),0,SUMIFS($J:$J,$B:$B,$B111,$A:$A,"&gt;="&amp;COUNTIFS($K$1:Q$1,"&lt;&gt;"))),0)</f>
        <v>0</v>
      </c>
      <c r="R111">
        <f>IFERROR($J111/IF($A111&lt;COUNTIFS($K$1:R$1,"&lt;&gt;"),0,SUMIFS($J:$J,$B:$B,$B111,$A:$A,"&gt;="&amp;COUNTIFS($K$1:R$1,"&lt;&gt;"))),0)</f>
        <v>0</v>
      </c>
      <c r="S111">
        <f>IFERROR($J111/IF($A111&lt;COUNTIFS($K$1:S$1,"&lt;&gt;"),0,SUMIFS($J:$J,$B:$B,$B111,$A:$A,"&gt;="&amp;COUNTIFS($K$1:S$1,"&lt;&gt;"))),0)</f>
        <v>0</v>
      </c>
      <c r="T111">
        <f>IFERROR($J111/IF($A111&lt;COUNTIFS($K$1:T$1,"&lt;&gt;"),0,SUMIFS($J:$J,$B:$B,$B111,$A:$A,"&gt;="&amp;COUNTIFS($K$1:T$1,"&lt;&gt;"))),0)</f>
        <v>0</v>
      </c>
      <c r="U111">
        <f>IFERROR($J111/IF($A111&lt;COUNTIFS($K$1:U$1,"&lt;&gt;"),0,SUMIFS($J:$J,$B:$B,$B111,$A:$A,"&gt;="&amp;COUNTIFS($K$1:U$1,"&lt;&gt;"))),0)</f>
        <v>0</v>
      </c>
      <c r="V111">
        <f>IFERROR($J111/IF($A111&lt;COUNTIFS($K$1:V$1,"&lt;&gt;"),0,SUMIFS($J:$J,$B:$B,$B111,$A:$A,"&gt;="&amp;COUNTIFS($K$1:V$1,"&lt;&gt;"))),0)</f>
        <v>0</v>
      </c>
      <c r="W111">
        <f t="shared" si="46"/>
        <v>7.6712328767123292E-2</v>
      </c>
      <c r="X111">
        <f t="shared" si="26"/>
        <v>7.6712328767123292E-2</v>
      </c>
      <c r="Y111">
        <f t="shared" si="27"/>
        <v>7.6712328767123292E-2</v>
      </c>
      <c r="Z111">
        <f t="shared" si="28"/>
        <v>7.6712328767123292E-2</v>
      </c>
      <c r="AA111">
        <f t="shared" si="29"/>
        <v>7.6712328767123292E-2</v>
      </c>
      <c r="AB111">
        <f t="shared" si="30"/>
        <v>7.6712328767123292E-2</v>
      </c>
      <c r="AC111">
        <f t="shared" si="31"/>
        <v>0</v>
      </c>
      <c r="AD111">
        <f t="shared" si="32"/>
        <v>0</v>
      </c>
      <c r="AE111">
        <f t="shared" si="33"/>
        <v>0</v>
      </c>
      <c r="AF111">
        <f t="shared" si="34"/>
        <v>0</v>
      </c>
      <c r="AG111">
        <f t="shared" si="35"/>
        <v>0</v>
      </c>
      <c r="AH111">
        <f t="shared" si="36"/>
        <v>0</v>
      </c>
      <c r="AI111">
        <f t="shared" si="37"/>
        <v>0</v>
      </c>
      <c r="AJ111" s="2" t="str">
        <f t="shared" si="47"/>
        <v>544075</v>
      </c>
    </row>
    <row r="112" spans="1:36" x14ac:dyDescent="0.25">
      <c r="A112">
        <v>6</v>
      </c>
      <c r="B112" s="1">
        <v>44075</v>
      </c>
      <c r="C112" s="1">
        <f t="shared" si="38"/>
        <v>44256</v>
      </c>
      <c r="D112" s="1">
        <f t="shared" si="39"/>
        <v>44089</v>
      </c>
      <c r="E112" s="1">
        <f t="shared" si="40"/>
        <v>44256</v>
      </c>
      <c r="F112" s="1">
        <f t="shared" si="41"/>
        <v>44287</v>
      </c>
      <c r="G112" s="1">
        <f t="shared" si="42"/>
        <v>44454</v>
      </c>
      <c r="H112">
        <f t="shared" si="43"/>
        <v>365</v>
      </c>
      <c r="I112">
        <f t="shared" si="44"/>
        <v>31</v>
      </c>
      <c r="J112">
        <f t="shared" si="45"/>
        <v>8.4931506849315067E-2</v>
      </c>
      <c r="K112">
        <f>IFERROR($J112/IF($A112&lt;COUNTIFS($K$1:K$1,"&lt;&gt;"),0,SUMIFS($J:$J,$B:$B,$B112,$A:$A,"&gt;="&amp;COUNTIFS($K$1:K$1,"&lt;&gt;"))),0)</f>
        <v>8.8825214899713484E-2</v>
      </c>
      <c r="L112">
        <f>IFERROR($J112/IF($A112&lt;COUNTIFS($K$1:L$1,"&lt;&gt;"),0,SUMIFS($J:$J,$B:$B,$B112,$A:$A,"&gt;="&amp;COUNTIFS($K$1:L$1,"&lt;&gt;"))),0)</f>
        <v>9.7484276729559768E-2</v>
      </c>
      <c r="M112">
        <f>IFERROR($J112/IF($A112&lt;COUNTIFS($K$1:M$1,"&lt;&gt;"),0,SUMIFS($J:$J,$B:$B,$B112,$A:$A,"&gt;="&amp;COUNTIFS($K$1:M$1,"&lt;&gt;"))),0)</f>
        <v>0.10763888888888891</v>
      </c>
      <c r="N112">
        <f>IFERROR($J112/IF($A112&lt;COUNTIFS($K$1:N$1,"&lt;&gt;"),0,SUMIFS($J:$J,$B:$B,$B112,$A:$A,"&gt;="&amp;COUNTIFS($K$1:N$1,"&lt;&gt;"))),0)</f>
        <v>0.12062256809338523</v>
      </c>
      <c r="O112">
        <f>IFERROR($J112/IF($A112&lt;COUNTIFS($K$1:O$1,"&lt;&gt;"),0,SUMIFS($J:$J,$B:$B,$B112,$A:$A,"&gt;="&amp;COUNTIFS($K$1:O$1,"&lt;&gt;"))),0)</f>
        <v>0.13716814159292037</v>
      </c>
      <c r="P112">
        <f>IFERROR($J112/IF($A112&lt;COUNTIFS($K$1:P$1,"&lt;&gt;"),0,SUMIFS($J:$J,$B:$B,$B112,$A:$A,"&gt;="&amp;COUNTIFS($K$1:P$1,"&lt;&gt;"))),0)</f>
        <v>0.1565656565656566</v>
      </c>
      <c r="Q112">
        <f>IFERROR($J112/IF($A112&lt;COUNTIFS($K$1:Q$1,"&lt;&gt;"),0,SUMIFS($J:$J,$B:$B,$B112,$A:$A,"&gt;="&amp;COUNTIFS($K$1:Q$1,"&lt;&gt;"))),0)</f>
        <v>0</v>
      </c>
      <c r="R112">
        <f>IFERROR($J112/IF($A112&lt;COUNTIFS($K$1:R$1,"&lt;&gt;"),0,SUMIFS($J:$J,$B:$B,$B112,$A:$A,"&gt;="&amp;COUNTIFS($K$1:R$1,"&lt;&gt;"))),0)</f>
        <v>0</v>
      </c>
      <c r="S112">
        <f>IFERROR($J112/IF($A112&lt;COUNTIFS($K$1:S$1,"&lt;&gt;"),0,SUMIFS($J:$J,$B:$B,$B112,$A:$A,"&gt;="&amp;COUNTIFS($K$1:S$1,"&lt;&gt;"))),0)</f>
        <v>0</v>
      </c>
      <c r="T112">
        <f>IFERROR($J112/IF($A112&lt;COUNTIFS($K$1:T$1,"&lt;&gt;"),0,SUMIFS($J:$J,$B:$B,$B112,$A:$A,"&gt;="&amp;COUNTIFS($K$1:T$1,"&lt;&gt;"))),0)</f>
        <v>0</v>
      </c>
      <c r="U112">
        <f>IFERROR($J112/IF($A112&lt;COUNTIFS($K$1:U$1,"&lt;&gt;"),0,SUMIFS($J:$J,$B:$B,$B112,$A:$A,"&gt;="&amp;COUNTIFS($K$1:U$1,"&lt;&gt;"))),0)</f>
        <v>0</v>
      </c>
      <c r="V112">
        <f>IFERROR($J112/IF($A112&lt;COUNTIFS($K$1:V$1,"&lt;&gt;"),0,SUMIFS($J:$J,$B:$B,$B112,$A:$A,"&gt;="&amp;COUNTIFS($K$1:V$1,"&lt;&gt;"))),0)</f>
        <v>0</v>
      </c>
      <c r="W112">
        <f t="shared" si="46"/>
        <v>8.4931506849315067E-2</v>
      </c>
      <c r="X112">
        <f t="shared" si="26"/>
        <v>8.4931506849315067E-2</v>
      </c>
      <c r="Y112">
        <f t="shared" si="27"/>
        <v>8.4931506849315067E-2</v>
      </c>
      <c r="Z112">
        <f t="shared" si="28"/>
        <v>8.4931506849315067E-2</v>
      </c>
      <c r="AA112">
        <f t="shared" si="29"/>
        <v>8.4931506849315067E-2</v>
      </c>
      <c r="AB112">
        <f t="shared" si="30"/>
        <v>8.4931506849315067E-2</v>
      </c>
      <c r="AC112">
        <f t="shared" si="31"/>
        <v>8.4931506849315067E-2</v>
      </c>
      <c r="AD112">
        <f t="shared" si="32"/>
        <v>0</v>
      </c>
      <c r="AE112">
        <f t="shared" si="33"/>
        <v>0</v>
      </c>
      <c r="AF112">
        <f t="shared" si="34"/>
        <v>0</v>
      </c>
      <c r="AG112">
        <f t="shared" si="35"/>
        <v>0</v>
      </c>
      <c r="AH112">
        <f t="shared" si="36"/>
        <v>0</v>
      </c>
      <c r="AI112">
        <f t="shared" si="37"/>
        <v>0</v>
      </c>
      <c r="AJ112" s="2" t="str">
        <f t="shared" si="47"/>
        <v>644075</v>
      </c>
    </row>
    <row r="113" spans="1:36" x14ac:dyDescent="0.25">
      <c r="A113">
        <v>7</v>
      </c>
      <c r="B113" s="1">
        <v>44075</v>
      </c>
      <c r="C113" s="1">
        <f t="shared" si="38"/>
        <v>44287</v>
      </c>
      <c r="D113" s="1">
        <f t="shared" si="39"/>
        <v>44089</v>
      </c>
      <c r="E113" s="1">
        <f t="shared" si="40"/>
        <v>44287</v>
      </c>
      <c r="F113" s="1">
        <f t="shared" si="41"/>
        <v>44317</v>
      </c>
      <c r="G113" s="1">
        <f t="shared" si="42"/>
        <v>44454</v>
      </c>
      <c r="H113">
        <f t="shared" si="43"/>
        <v>365</v>
      </c>
      <c r="I113">
        <f t="shared" si="44"/>
        <v>30</v>
      </c>
      <c r="J113">
        <f t="shared" si="45"/>
        <v>8.2191780821917804E-2</v>
      </c>
      <c r="K113">
        <f>IFERROR($J113/IF($A113&lt;COUNTIFS($K$1:K$1,"&lt;&gt;"),0,SUMIFS($J:$J,$B:$B,$B113,$A:$A,"&gt;="&amp;COUNTIFS($K$1:K$1,"&lt;&gt;"))),0)</f>
        <v>8.5959885386819493E-2</v>
      </c>
      <c r="L113">
        <f>IFERROR($J113/IF($A113&lt;COUNTIFS($K$1:L$1,"&lt;&gt;"),0,SUMIFS($J:$J,$B:$B,$B113,$A:$A,"&gt;="&amp;COUNTIFS($K$1:L$1,"&lt;&gt;"))),0)</f>
        <v>9.4339622641509441E-2</v>
      </c>
      <c r="M113">
        <f>IFERROR($J113/IF($A113&lt;COUNTIFS($K$1:M$1,"&lt;&gt;"),0,SUMIFS($J:$J,$B:$B,$B113,$A:$A,"&gt;="&amp;COUNTIFS($K$1:M$1,"&lt;&gt;"))),0)</f>
        <v>0.10416666666666669</v>
      </c>
      <c r="N113">
        <f>IFERROR($J113/IF($A113&lt;COUNTIFS($K$1:N$1,"&lt;&gt;"),0,SUMIFS($J:$J,$B:$B,$B113,$A:$A,"&gt;="&amp;COUNTIFS($K$1:N$1,"&lt;&gt;"))),0)</f>
        <v>0.11673151750972764</v>
      </c>
      <c r="O113">
        <f>IFERROR($J113/IF($A113&lt;COUNTIFS($K$1:O$1,"&lt;&gt;"),0,SUMIFS($J:$J,$B:$B,$B113,$A:$A,"&gt;="&amp;COUNTIFS($K$1:O$1,"&lt;&gt;"))),0)</f>
        <v>0.13274336283185842</v>
      </c>
      <c r="P113">
        <f>IFERROR($J113/IF($A113&lt;COUNTIFS($K$1:P$1,"&lt;&gt;"),0,SUMIFS($J:$J,$B:$B,$B113,$A:$A,"&gt;="&amp;COUNTIFS($K$1:P$1,"&lt;&gt;"))),0)</f>
        <v>0.15151515151515155</v>
      </c>
      <c r="Q113">
        <f>IFERROR($J113/IF($A113&lt;COUNTIFS($K$1:Q$1,"&lt;&gt;"),0,SUMIFS($J:$J,$B:$B,$B113,$A:$A,"&gt;="&amp;COUNTIFS($K$1:Q$1,"&lt;&gt;"))),0)</f>
        <v>0.17964071856287425</v>
      </c>
      <c r="R113">
        <f>IFERROR($J113/IF($A113&lt;COUNTIFS($K$1:R$1,"&lt;&gt;"),0,SUMIFS($J:$J,$B:$B,$B113,$A:$A,"&gt;="&amp;COUNTIFS($K$1:R$1,"&lt;&gt;"))),0)</f>
        <v>0</v>
      </c>
      <c r="S113">
        <f>IFERROR($J113/IF($A113&lt;COUNTIFS($K$1:S$1,"&lt;&gt;"),0,SUMIFS($J:$J,$B:$B,$B113,$A:$A,"&gt;="&amp;COUNTIFS($K$1:S$1,"&lt;&gt;"))),0)</f>
        <v>0</v>
      </c>
      <c r="T113">
        <f>IFERROR($J113/IF($A113&lt;COUNTIFS($K$1:T$1,"&lt;&gt;"),0,SUMIFS($J:$J,$B:$B,$B113,$A:$A,"&gt;="&amp;COUNTIFS($K$1:T$1,"&lt;&gt;"))),0)</f>
        <v>0</v>
      </c>
      <c r="U113">
        <f>IFERROR($J113/IF($A113&lt;COUNTIFS($K$1:U$1,"&lt;&gt;"),0,SUMIFS($J:$J,$B:$B,$B113,$A:$A,"&gt;="&amp;COUNTIFS($K$1:U$1,"&lt;&gt;"))),0)</f>
        <v>0</v>
      </c>
      <c r="V113">
        <f>IFERROR($J113/IF($A113&lt;COUNTIFS($K$1:V$1,"&lt;&gt;"),0,SUMIFS($J:$J,$B:$B,$B113,$A:$A,"&gt;="&amp;COUNTIFS($K$1:V$1,"&lt;&gt;"))),0)</f>
        <v>0</v>
      </c>
      <c r="W113">
        <f t="shared" si="46"/>
        <v>8.2191780821917804E-2</v>
      </c>
      <c r="X113">
        <f t="shared" si="26"/>
        <v>8.2191780821917804E-2</v>
      </c>
      <c r="Y113">
        <f t="shared" si="27"/>
        <v>8.2191780821917804E-2</v>
      </c>
      <c r="Z113">
        <f t="shared" si="28"/>
        <v>8.2191780821917804E-2</v>
      </c>
      <c r="AA113">
        <f t="shared" si="29"/>
        <v>8.2191780821917804E-2</v>
      </c>
      <c r="AB113">
        <f t="shared" si="30"/>
        <v>8.2191780821917804E-2</v>
      </c>
      <c r="AC113">
        <f t="shared" si="31"/>
        <v>8.2191780821917804E-2</v>
      </c>
      <c r="AD113">
        <f t="shared" si="32"/>
        <v>8.2191780821917804E-2</v>
      </c>
      <c r="AE113">
        <f t="shared" si="33"/>
        <v>0</v>
      </c>
      <c r="AF113">
        <f t="shared" si="34"/>
        <v>0</v>
      </c>
      <c r="AG113">
        <f t="shared" si="35"/>
        <v>0</v>
      </c>
      <c r="AH113">
        <f t="shared" si="36"/>
        <v>0</v>
      </c>
      <c r="AI113">
        <f t="shared" si="37"/>
        <v>0</v>
      </c>
      <c r="AJ113" s="2" t="str">
        <f t="shared" si="47"/>
        <v>744075</v>
      </c>
    </row>
    <row r="114" spans="1:36" x14ac:dyDescent="0.25">
      <c r="A114">
        <v>8</v>
      </c>
      <c r="B114" s="1">
        <v>44075</v>
      </c>
      <c r="C114" s="1">
        <f t="shared" si="38"/>
        <v>44317</v>
      </c>
      <c r="D114" s="1">
        <f t="shared" si="39"/>
        <v>44089</v>
      </c>
      <c r="E114" s="1">
        <f t="shared" si="40"/>
        <v>44317</v>
      </c>
      <c r="F114" s="1">
        <f t="shared" si="41"/>
        <v>44348</v>
      </c>
      <c r="G114" s="1">
        <f t="shared" si="42"/>
        <v>44454</v>
      </c>
      <c r="H114">
        <f t="shared" si="43"/>
        <v>365</v>
      </c>
      <c r="I114">
        <f t="shared" si="44"/>
        <v>31</v>
      </c>
      <c r="J114">
        <f t="shared" si="45"/>
        <v>8.4931506849315067E-2</v>
      </c>
      <c r="K114">
        <f>IFERROR($J114/IF($A114&lt;COUNTIFS($K$1:K$1,"&lt;&gt;"),0,SUMIFS($J:$J,$B:$B,$B114,$A:$A,"&gt;="&amp;COUNTIFS($K$1:K$1,"&lt;&gt;"))),0)</f>
        <v>8.8825214899713484E-2</v>
      </c>
      <c r="L114">
        <f>IFERROR($J114/IF($A114&lt;COUNTIFS($K$1:L$1,"&lt;&gt;"),0,SUMIFS($J:$J,$B:$B,$B114,$A:$A,"&gt;="&amp;COUNTIFS($K$1:L$1,"&lt;&gt;"))),0)</f>
        <v>9.7484276729559768E-2</v>
      </c>
      <c r="M114">
        <f>IFERROR($J114/IF($A114&lt;COUNTIFS($K$1:M$1,"&lt;&gt;"),0,SUMIFS($J:$J,$B:$B,$B114,$A:$A,"&gt;="&amp;COUNTIFS($K$1:M$1,"&lt;&gt;"))),0)</f>
        <v>0.10763888888888891</v>
      </c>
      <c r="N114">
        <f>IFERROR($J114/IF($A114&lt;COUNTIFS($K$1:N$1,"&lt;&gt;"),0,SUMIFS($J:$J,$B:$B,$B114,$A:$A,"&gt;="&amp;COUNTIFS($K$1:N$1,"&lt;&gt;"))),0)</f>
        <v>0.12062256809338523</v>
      </c>
      <c r="O114">
        <f>IFERROR($J114/IF($A114&lt;COUNTIFS($K$1:O$1,"&lt;&gt;"),0,SUMIFS($J:$J,$B:$B,$B114,$A:$A,"&gt;="&amp;COUNTIFS($K$1:O$1,"&lt;&gt;"))),0)</f>
        <v>0.13716814159292037</v>
      </c>
      <c r="P114">
        <f>IFERROR($J114/IF($A114&lt;COUNTIFS($K$1:P$1,"&lt;&gt;"),0,SUMIFS($J:$J,$B:$B,$B114,$A:$A,"&gt;="&amp;COUNTIFS($K$1:P$1,"&lt;&gt;"))),0)</f>
        <v>0.1565656565656566</v>
      </c>
      <c r="Q114">
        <f>IFERROR($J114/IF($A114&lt;COUNTIFS($K$1:Q$1,"&lt;&gt;"),0,SUMIFS($J:$J,$B:$B,$B114,$A:$A,"&gt;="&amp;COUNTIFS($K$1:Q$1,"&lt;&gt;"))),0)</f>
        <v>0.18562874251497008</v>
      </c>
      <c r="R114">
        <f>IFERROR($J114/IF($A114&lt;COUNTIFS($K$1:R$1,"&lt;&gt;"),0,SUMIFS($J:$J,$B:$B,$B114,$A:$A,"&gt;="&amp;COUNTIFS($K$1:R$1,"&lt;&gt;"))),0)</f>
        <v>0.22627737226277375</v>
      </c>
      <c r="S114">
        <f>IFERROR($J114/IF($A114&lt;COUNTIFS($K$1:S$1,"&lt;&gt;"),0,SUMIFS($J:$J,$B:$B,$B114,$A:$A,"&gt;="&amp;COUNTIFS($K$1:S$1,"&lt;&gt;"))),0)</f>
        <v>0</v>
      </c>
      <c r="T114">
        <f>IFERROR($J114/IF($A114&lt;COUNTIFS($K$1:T$1,"&lt;&gt;"),0,SUMIFS($J:$J,$B:$B,$B114,$A:$A,"&gt;="&amp;COUNTIFS($K$1:T$1,"&lt;&gt;"))),0)</f>
        <v>0</v>
      </c>
      <c r="U114">
        <f>IFERROR($J114/IF($A114&lt;COUNTIFS($K$1:U$1,"&lt;&gt;"),0,SUMIFS($J:$J,$B:$B,$B114,$A:$A,"&gt;="&amp;COUNTIFS($K$1:U$1,"&lt;&gt;"))),0)</f>
        <v>0</v>
      </c>
      <c r="V114">
        <f>IFERROR($J114/IF($A114&lt;COUNTIFS($K$1:V$1,"&lt;&gt;"),0,SUMIFS($J:$J,$B:$B,$B114,$A:$A,"&gt;="&amp;COUNTIFS($K$1:V$1,"&lt;&gt;"))),0)</f>
        <v>0</v>
      </c>
      <c r="W114">
        <f t="shared" si="46"/>
        <v>8.4931506849315067E-2</v>
      </c>
      <c r="X114">
        <f t="shared" si="26"/>
        <v>8.4931506849315067E-2</v>
      </c>
      <c r="Y114">
        <f t="shared" si="27"/>
        <v>8.4931506849315067E-2</v>
      </c>
      <c r="Z114">
        <f t="shared" si="28"/>
        <v>8.4931506849315067E-2</v>
      </c>
      <c r="AA114">
        <f t="shared" si="29"/>
        <v>8.4931506849315067E-2</v>
      </c>
      <c r="AB114">
        <f t="shared" si="30"/>
        <v>8.4931506849315067E-2</v>
      </c>
      <c r="AC114">
        <f t="shared" si="31"/>
        <v>8.4931506849315067E-2</v>
      </c>
      <c r="AD114">
        <f t="shared" si="32"/>
        <v>8.4931506849315067E-2</v>
      </c>
      <c r="AE114">
        <f t="shared" si="33"/>
        <v>8.4931506849315067E-2</v>
      </c>
      <c r="AF114">
        <f t="shared" si="34"/>
        <v>0</v>
      </c>
      <c r="AG114">
        <f t="shared" si="35"/>
        <v>0</v>
      </c>
      <c r="AH114">
        <f t="shared" si="36"/>
        <v>0</v>
      </c>
      <c r="AI114">
        <f t="shared" si="37"/>
        <v>0</v>
      </c>
      <c r="AJ114" s="2" t="str">
        <f t="shared" si="47"/>
        <v>844075</v>
      </c>
    </row>
    <row r="115" spans="1:36" x14ac:dyDescent="0.25">
      <c r="A115">
        <v>9</v>
      </c>
      <c r="B115" s="1">
        <v>44075</v>
      </c>
      <c r="C115" s="1">
        <f t="shared" si="38"/>
        <v>44348</v>
      </c>
      <c r="D115" s="1">
        <f t="shared" si="39"/>
        <v>44089</v>
      </c>
      <c r="E115" s="1">
        <f t="shared" si="40"/>
        <v>44348</v>
      </c>
      <c r="F115" s="1">
        <f t="shared" si="41"/>
        <v>44378</v>
      </c>
      <c r="G115" s="1">
        <f t="shared" si="42"/>
        <v>44454</v>
      </c>
      <c r="H115">
        <f t="shared" si="43"/>
        <v>365</v>
      </c>
      <c r="I115">
        <f t="shared" si="44"/>
        <v>30</v>
      </c>
      <c r="J115">
        <f t="shared" si="45"/>
        <v>8.2191780821917804E-2</v>
      </c>
      <c r="K115">
        <f>IFERROR($J115/IF($A115&lt;COUNTIFS($K$1:K$1,"&lt;&gt;"),0,SUMIFS($J:$J,$B:$B,$B115,$A:$A,"&gt;="&amp;COUNTIFS($K$1:K$1,"&lt;&gt;"))),0)</f>
        <v>8.5959885386819493E-2</v>
      </c>
      <c r="L115">
        <f>IFERROR($J115/IF($A115&lt;COUNTIFS($K$1:L$1,"&lt;&gt;"),0,SUMIFS($J:$J,$B:$B,$B115,$A:$A,"&gt;="&amp;COUNTIFS($K$1:L$1,"&lt;&gt;"))),0)</f>
        <v>9.4339622641509441E-2</v>
      </c>
      <c r="M115">
        <f>IFERROR($J115/IF($A115&lt;COUNTIFS($K$1:M$1,"&lt;&gt;"),0,SUMIFS($J:$J,$B:$B,$B115,$A:$A,"&gt;="&amp;COUNTIFS($K$1:M$1,"&lt;&gt;"))),0)</f>
        <v>0.10416666666666669</v>
      </c>
      <c r="N115">
        <f>IFERROR($J115/IF($A115&lt;COUNTIFS($K$1:N$1,"&lt;&gt;"),0,SUMIFS($J:$J,$B:$B,$B115,$A:$A,"&gt;="&amp;COUNTIFS($K$1:N$1,"&lt;&gt;"))),0)</f>
        <v>0.11673151750972764</v>
      </c>
      <c r="O115">
        <f>IFERROR($J115/IF($A115&lt;COUNTIFS($K$1:O$1,"&lt;&gt;"),0,SUMIFS($J:$J,$B:$B,$B115,$A:$A,"&gt;="&amp;COUNTIFS($K$1:O$1,"&lt;&gt;"))),0)</f>
        <v>0.13274336283185842</v>
      </c>
      <c r="P115">
        <f>IFERROR($J115/IF($A115&lt;COUNTIFS($K$1:P$1,"&lt;&gt;"),0,SUMIFS($J:$J,$B:$B,$B115,$A:$A,"&gt;="&amp;COUNTIFS($K$1:P$1,"&lt;&gt;"))),0)</f>
        <v>0.15151515151515155</v>
      </c>
      <c r="Q115">
        <f>IFERROR($J115/IF($A115&lt;COUNTIFS($K$1:Q$1,"&lt;&gt;"),0,SUMIFS($J:$J,$B:$B,$B115,$A:$A,"&gt;="&amp;COUNTIFS($K$1:Q$1,"&lt;&gt;"))),0)</f>
        <v>0.17964071856287425</v>
      </c>
      <c r="R115">
        <f>IFERROR($J115/IF($A115&lt;COUNTIFS($K$1:R$1,"&lt;&gt;"),0,SUMIFS($J:$J,$B:$B,$B115,$A:$A,"&gt;="&amp;COUNTIFS($K$1:R$1,"&lt;&gt;"))),0)</f>
        <v>0.21897810218978103</v>
      </c>
      <c r="S115">
        <f>IFERROR($J115/IF($A115&lt;COUNTIFS($K$1:S$1,"&lt;&gt;"),0,SUMIFS($J:$J,$B:$B,$B115,$A:$A,"&gt;="&amp;COUNTIFS($K$1:S$1,"&lt;&gt;"))),0)</f>
        <v>0.28301886792452829</v>
      </c>
      <c r="T115">
        <f>IFERROR($J115/IF($A115&lt;COUNTIFS($K$1:T$1,"&lt;&gt;"),0,SUMIFS($J:$J,$B:$B,$B115,$A:$A,"&gt;="&amp;COUNTIFS($K$1:T$1,"&lt;&gt;"))),0)</f>
        <v>0</v>
      </c>
      <c r="U115">
        <f>IFERROR($J115/IF($A115&lt;COUNTIFS($K$1:U$1,"&lt;&gt;"),0,SUMIFS($J:$J,$B:$B,$B115,$A:$A,"&gt;="&amp;COUNTIFS($K$1:U$1,"&lt;&gt;"))),0)</f>
        <v>0</v>
      </c>
      <c r="V115">
        <f>IFERROR($J115/IF($A115&lt;COUNTIFS($K$1:V$1,"&lt;&gt;"),0,SUMIFS($J:$J,$B:$B,$B115,$A:$A,"&gt;="&amp;COUNTIFS($K$1:V$1,"&lt;&gt;"))),0)</f>
        <v>0</v>
      </c>
      <c r="W115">
        <f t="shared" si="46"/>
        <v>8.2191780821917804E-2</v>
      </c>
      <c r="X115">
        <f t="shared" si="26"/>
        <v>8.2191780821917804E-2</v>
      </c>
      <c r="Y115">
        <f t="shared" si="27"/>
        <v>8.2191780821917804E-2</v>
      </c>
      <c r="Z115">
        <f t="shared" si="28"/>
        <v>8.2191780821917804E-2</v>
      </c>
      <c r="AA115">
        <f t="shared" si="29"/>
        <v>8.2191780821917804E-2</v>
      </c>
      <c r="AB115">
        <f t="shared" si="30"/>
        <v>8.2191780821917804E-2</v>
      </c>
      <c r="AC115">
        <f t="shared" si="31"/>
        <v>8.2191780821917804E-2</v>
      </c>
      <c r="AD115">
        <f t="shared" si="32"/>
        <v>8.2191780821917804E-2</v>
      </c>
      <c r="AE115">
        <f t="shared" si="33"/>
        <v>8.2191780821917804E-2</v>
      </c>
      <c r="AF115">
        <f t="shared" si="34"/>
        <v>8.2191780821917804E-2</v>
      </c>
      <c r="AG115">
        <f t="shared" si="35"/>
        <v>0</v>
      </c>
      <c r="AH115">
        <f t="shared" si="36"/>
        <v>0</v>
      </c>
      <c r="AI115">
        <f t="shared" si="37"/>
        <v>0</v>
      </c>
      <c r="AJ115" s="2" t="str">
        <f t="shared" si="47"/>
        <v>944075</v>
      </c>
    </row>
    <row r="116" spans="1:36" x14ac:dyDescent="0.25">
      <c r="A116">
        <v>10</v>
      </c>
      <c r="B116" s="1">
        <v>44075</v>
      </c>
      <c r="C116" s="1">
        <f t="shared" si="38"/>
        <v>44378</v>
      </c>
      <c r="D116" s="1">
        <f t="shared" si="39"/>
        <v>44089</v>
      </c>
      <c r="E116" s="1">
        <f t="shared" si="40"/>
        <v>44378</v>
      </c>
      <c r="F116" s="1">
        <f t="shared" si="41"/>
        <v>44409</v>
      </c>
      <c r="G116" s="1">
        <f t="shared" si="42"/>
        <v>44454</v>
      </c>
      <c r="H116">
        <f t="shared" si="43"/>
        <v>365</v>
      </c>
      <c r="I116">
        <f t="shared" si="44"/>
        <v>31</v>
      </c>
      <c r="J116">
        <f t="shared" si="45"/>
        <v>8.4931506849315067E-2</v>
      </c>
      <c r="K116">
        <f>IFERROR($J116/IF($A116&lt;COUNTIFS($K$1:K$1,"&lt;&gt;"),0,SUMIFS($J:$J,$B:$B,$B116,$A:$A,"&gt;="&amp;COUNTIFS($K$1:K$1,"&lt;&gt;"))),0)</f>
        <v>8.8825214899713484E-2</v>
      </c>
      <c r="L116">
        <f>IFERROR($J116/IF($A116&lt;COUNTIFS($K$1:L$1,"&lt;&gt;"),0,SUMIFS($J:$J,$B:$B,$B116,$A:$A,"&gt;="&amp;COUNTIFS($K$1:L$1,"&lt;&gt;"))),0)</f>
        <v>9.7484276729559768E-2</v>
      </c>
      <c r="M116">
        <f>IFERROR($J116/IF($A116&lt;COUNTIFS($K$1:M$1,"&lt;&gt;"),0,SUMIFS($J:$J,$B:$B,$B116,$A:$A,"&gt;="&amp;COUNTIFS($K$1:M$1,"&lt;&gt;"))),0)</f>
        <v>0.10763888888888891</v>
      </c>
      <c r="N116">
        <f>IFERROR($J116/IF($A116&lt;COUNTIFS($K$1:N$1,"&lt;&gt;"),0,SUMIFS($J:$J,$B:$B,$B116,$A:$A,"&gt;="&amp;COUNTIFS($K$1:N$1,"&lt;&gt;"))),0)</f>
        <v>0.12062256809338523</v>
      </c>
      <c r="O116">
        <f>IFERROR($J116/IF($A116&lt;COUNTIFS($K$1:O$1,"&lt;&gt;"),0,SUMIFS($J:$J,$B:$B,$B116,$A:$A,"&gt;="&amp;COUNTIFS($K$1:O$1,"&lt;&gt;"))),0)</f>
        <v>0.13716814159292037</v>
      </c>
      <c r="P116">
        <f>IFERROR($J116/IF($A116&lt;COUNTIFS($K$1:P$1,"&lt;&gt;"),0,SUMIFS($J:$J,$B:$B,$B116,$A:$A,"&gt;="&amp;COUNTIFS($K$1:P$1,"&lt;&gt;"))),0)</f>
        <v>0.1565656565656566</v>
      </c>
      <c r="Q116">
        <f>IFERROR($J116/IF($A116&lt;COUNTIFS($K$1:Q$1,"&lt;&gt;"),0,SUMIFS($J:$J,$B:$B,$B116,$A:$A,"&gt;="&amp;COUNTIFS($K$1:Q$1,"&lt;&gt;"))),0)</f>
        <v>0.18562874251497008</v>
      </c>
      <c r="R116">
        <f>IFERROR($J116/IF($A116&lt;COUNTIFS($K$1:R$1,"&lt;&gt;"),0,SUMIFS($J:$J,$B:$B,$B116,$A:$A,"&gt;="&amp;COUNTIFS($K$1:R$1,"&lt;&gt;"))),0)</f>
        <v>0.22627737226277375</v>
      </c>
      <c r="S116">
        <f>IFERROR($J116/IF($A116&lt;COUNTIFS($K$1:S$1,"&lt;&gt;"),0,SUMIFS($J:$J,$B:$B,$B116,$A:$A,"&gt;="&amp;COUNTIFS($K$1:S$1,"&lt;&gt;"))),0)</f>
        <v>0.29245283018867929</v>
      </c>
      <c r="T116">
        <f>IFERROR($J116/IF($A116&lt;COUNTIFS($K$1:T$1,"&lt;&gt;"),0,SUMIFS($J:$J,$B:$B,$B116,$A:$A,"&gt;="&amp;COUNTIFS($K$1:T$1,"&lt;&gt;"))),0)</f>
        <v>0.40789473684210525</v>
      </c>
      <c r="U116">
        <f>IFERROR($J116/IF($A116&lt;COUNTIFS($K$1:U$1,"&lt;&gt;"),0,SUMIFS($J:$J,$B:$B,$B116,$A:$A,"&gt;="&amp;COUNTIFS($K$1:U$1,"&lt;&gt;"))),0)</f>
        <v>0</v>
      </c>
      <c r="V116">
        <f>IFERROR($J116/IF($A116&lt;COUNTIFS($K$1:V$1,"&lt;&gt;"),0,SUMIFS($J:$J,$B:$B,$B116,$A:$A,"&gt;="&amp;COUNTIFS($K$1:V$1,"&lt;&gt;"))),0)</f>
        <v>0</v>
      </c>
      <c r="W116">
        <f t="shared" si="46"/>
        <v>8.4931506849315067E-2</v>
      </c>
      <c r="X116">
        <f t="shared" si="26"/>
        <v>8.4931506849315067E-2</v>
      </c>
      <c r="Y116">
        <f t="shared" si="27"/>
        <v>8.4931506849315067E-2</v>
      </c>
      <c r="Z116">
        <f t="shared" si="28"/>
        <v>8.4931506849315067E-2</v>
      </c>
      <c r="AA116">
        <f t="shared" si="29"/>
        <v>8.4931506849315067E-2</v>
      </c>
      <c r="AB116">
        <f t="shared" si="30"/>
        <v>8.4931506849315067E-2</v>
      </c>
      <c r="AC116">
        <f t="shared" si="31"/>
        <v>8.4931506849315067E-2</v>
      </c>
      <c r="AD116">
        <f t="shared" si="32"/>
        <v>8.4931506849315067E-2</v>
      </c>
      <c r="AE116">
        <f t="shared" si="33"/>
        <v>8.4931506849315067E-2</v>
      </c>
      <c r="AF116">
        <f t="shared" si="34"/>
        <v>8.4931506849315067E-2</v>
      </c>
      <c r="AG116">
        <f t="shared" si="35"/>
        <v>8.4931506849315067E-2</v>
      </c>
      <c r="AH116">
        <f t="shared" si="36"/>
        <v>0</v>
      </c>
      <c r="AI116">
        <f t="shared" si="37"/>
        <v>0</v>
      </c>
      <c r="AJ116" s="2" t="str">
        <f t="shared" si="47"/>
        <v>1044075</v>
      </c>
    </row>
    <row r="117" spans="1:36" x14ac:dyDescent="0.25">
      <c r="A117">
        <v>11</v>
      </c>
      <c r="B117" s="1">
        <v>44075</v>
      </c>
      <c r="C117" s="1">
        <f t="shared" si="38"/>
        <v>44409</v>
      </c>
      <c r="D117" s="1">
        <f t="shared" si="39"/>
        <v>44089</v>
      </c>
      <c r="E117" s="1">
        <f t="shared" si="40"/>
        <v>44409</v>
      </c>
      <c r="F117" s="1">
        <f t="shared" si="41"/>
        <v>44440</v>
      </c>
      <c r="G117" s="1">
        <f t="shared" si="42"/>
        <v>44454</v>
      </c>
      <c r="H117">
        <f t="shared" si="43"/>
        <v>365</v>
      </c>
      <c r="I117">
        <f t="shared" si="44"/>
        <v>31</v>
      </c>
      <c r="J117">
        <f t="shared" si="45"/>
        <v>8.4931506849315067E-2</v>
      </c>
      <c r="K117">
        <f>IFERROR($J117/IF($A117&lt;COUNTIFS($K$1:K$1,"&lt;&gt;"),0,SUMIFS($J:$J,$B:$B,$B117,$A:$A,"&gt;="&amp;COUNTIFS($K$1:K$1,"&lt;&gt;"))),0)</f>
        <v>8.8825214899713484E-2</v>
      </c>
      <c r="L117">
        <f>IFERROR($J117/IF($A117&lt;COUNTIFS($K$1:L$1,"&lt;&gt;"),0,SUMIFS($J:$J,$B:$B,$B117,$A:$A,"&gt;="&amp;COUNTIFS($K$1:L$1,"&lt;&gt;"))),0)</f>
        <v>9.7484276729559768E-2</v>
      </c>
      <c r="M117">
        <f>IFERROR($J117/IF($A117&lt;COUNTIFS($K$1:M$1,"&lt;&gt;"),0,SUMIFS($J:$J,$B:$B,$B117,$A:$A,"&gt;="&amp;COUNTIFS($K$1:M$1,"&lt;&gt;"))),0)</f>
        <v>0.10763888888888891</v>
      </c>
      <c r="N117">
        <f>IFERROR($J117/IF($A117&lt;COUNTIFS($K$1:N$1,"&lt;&gt;"),0,SUMIFS($J:$J,$B:$B,$B117,$A:$A,"&gt;="&amp;COUNTIFS($K$1:N$1,"&lt;&gt;"))),0)</f>
        <v>0.12062256809338523</v>
      </c>
      <c r="O117">
        <f>IFERROR($J117/IF($A117&lt;COUNTIFS($K$1:O$1,"&lt;&gt;"),0,SUMIFS($J:$J,$B:$B,$B117,$A:$A,"&gt;="&amp;COUNTIFS($K$1:O$1,"&lt;&gt;"))),0)</f>
        <v>0.13716814159292037</v>
      </c>
      <c r="P117">
        <f>IFERROR($J117/IF($A117&lt;COUNTIFS($K$1:P$1,"&lt;&gt;"),0,SUMIFS($J:$J,$B:$B,$B117,$A:$A,"&gt;="&amp;COUNTIFS($K$1:P$1,"&lt;&gt;"))),0)</f>
        <v>0.1565656565656566</v>
      </c>
      <c r="Q117">
        <f>IFERROR($J117/IF($A117&lt;COUNTIFS($K$1:Q$1,"&lt;&gt;"),0,SUMIFS($J:$J,$B:$B,$B117,$A:$A,"&gt;="&amp;COUNTIFS($K$1:Q$1,"&lt;&gt;"))),0)</f>
        <v>0.18562874251497008</v>
      </c>
      <c r="R117">
        <f>IFERROR($J117/IF($A117&lt;COUNTIFS($K$1:R$1,"&lt;&gt;"),0,SUMIFS($J:$J,$B:$B,$B117,$A:$A,"&gt;="&amp;COUNTIFS($K$1:R$1,"&lt;&gt;"))),0)</f>
        <v>0.22627737226277375</v>
      </c>
      <c r="S117">
        <f>IFERROR($J117/IF($A117&lt;COUNTIFS($K$1:S$1,"&lt;&gt;"),0,SUMIFS($J:$J,$B:$B,$B117,$A:$A,"&gt;="&amp;COUNTIFS($K$1:S$1,"&lt;&gt;"))),0)</f>
        <v>0.29245283018867929</v>
      </c>
      <c r="T117">
        <f>IFERROR($J117/IF($A117&lt;COUNTIFS($K$1:T$1,"&lt;&gt;"),0,SUMIFS($J:$J,$B:$B,$B117,$A:$A,"&gt;="&amp;COUNTIFS($K$1:T$1,"&lt;&gt;"))),0)</f>
        <v>0.40789473684210525</v>
      </c>
      <c r="U117">
        <f>IFERROR($J117/IF($A117&lt;COUNTIFS($K$1:U$1,"&lt;&gt;"),0,SUMIFS($J:$J,$B:$B,$B117,$A:$A,"&gt;="&amp;COUNTIFS($K$1:U$1,"&lt;&gt;"))),0)</f>
        <v>0.68888888888888888</v>
      </c>
      <c r="V117">
        <f>IFERROR($J117/IF($A117&lt;COUNTIFS($K$1:V$1,"&lt;&gt;"),0,SUMIFS($J:$J,$B:$B,$B117,$A:$A,"&gt;="&amp;COUNTIFS($K$1:V$1,"&lt;&gt;"))),0)</f>
        <v>0</v>
      </c>
      <c r="W117">
        <f t="shared" si="46"/>
        <v>8.4931506849315067E-2</v>
      </c>
      <c r="X117">
        <f t="shared" si="26"/>
        <v>8.4931506849315067E-2</v>
      </c>
      <c r="Y117">
        <f t="shared" si="27"/>
        <v>8.4931506849315067E-2</v>
      </c>
      <c r="Z117">
        <f t="shared" si="28"/>
        <v>8.4931506849315067E-2</v>
      </c>
      <c r="AA117">
        <f t="shared" si="29"/>
        <v>8.4931506849315067E-2</v>
      </c>
      <c r="AB117">
        <f t="shared" si="30"/>
        <v>8.4931506849315067E-2</v>
      </c>
      <c r="AC117">
        <f t="shared" si="31"/>
        <v>8.4931506849315067E-2</v>
      </c>
      <c r="AD117">
        <f t="shared" si="32"/>
        <v>8.4931506849315067E-2</v>
      </c>
      <c r="AE117">
        <f t="shared" si="33"/>
        <v>8.4931506849315067E-2</v>
      </c>
      <c r="AF117">
        <f t="shared" si="34"/>
        <v>8.4931506849315067E-2</v>
      </c>
      <c r="AG117">
        <f t="shared" si="35"/>
        <v>8.4931506849315067E-2</v>
      </c>
      <c r="AH117">
        <f t="shared" si="36"/>
        <v>8.4931506849315067E-2</v>
      </c>
      <c r="AI117">
        <f t="shared" si="37"/>
        <v>0</v>
      </c>
      <c r="AJ117" s="2" t="str">
        <f t="shared" si="47"/>
        <v>1144075</v>
      </c>
    </row>
    <row r="118" spans="1:36" x14ac:dyDescent="0.25">
      <c r="A118">
        <v>12</v>
      </c>
      <c r="B118" s="1">
        <v>44075</v>
      </c>
      <c r="C118" s="1">
        <f t="shared" si="38"/>
        <v>44440</v>
      </c>
      <c r="D118" s="1">
        <f t="shared" si="39"/>
        <v>44089</v>
      </c>
      <c r="E118" s="1">
        <f t="shared" si="40"/>
        <v>44440</v>
      </c>
      <c r="F118" s="1">
        <f t="shared" si="41"/>
        <v>44454</v>
      </c>
      <c r="G118" s="1">
        <f t="shared" si="42"/>
        <v>44454</v>
      </c>
      <c r="H118">
        <f t="shared" si="43"/>
        <v>365</v>
      </c>
      <c r="I118">
        <f t="shared" si="44"/>
        <v>14</v>
      </c>
      <c r="J118">
        <f t="shared" si="45"/>
        <v>3.8356164383561646E-2</v>
      </c>
      <c r="K118">
        <f>IFERROR($J118/IF($A118&lt;COUNTIFS($K$1:K$1,"&lt;&gt;"),0,SUMIFS($J:$J,$B:$B,$B118,$A:$A,"&gt;="&amp;COUNTIFS($K$1:K$1,"&lt;&gt;"))),0)</f>
        <v>4.0114613180515769E-2</v>
      </c>
      <c r="L118">
        <f>IFERROR($J118/IF($A118&lt;COUNTIFS($K$1:L$1,"&lt;&gt;"),0,SUMIFS($J:$J,$B:$B,$B118,$A:$A,"&gt;="&amp;COUNTIFS($K$1:L$1,"&lt;&gt;"))),0)</f>
        <v>4.4025157232704414E-2</v>
      </c>
      <c r="M118">
        <f>IFERROR($J118/IF($A118&lt;COUNTIFS($K$1:M$1,"&lt;&gt;"),0,SUMIFS($J:$J,$B:$B,$B118,$A:$A,"&gt;="&amp;COUNTIFS($K$1:M$1,"&lt;&gt;"))),0)</f>
        <v>4.8611111111111119E-2</v>
      </c>
      <c r="N118">
        <f>IFERROR($J118/IF($A118&lt;COUNTIFS($K$1:N$1,"&lt;&gt;"),0,SUMIFS($J:$J,$B:$B,$B118,$A:$A,"&gt;="&amp;COUNTIFS($K$1:N$1,"&lt;&gt;"))),0)</f>
        <v>5.447470817120624E-2</v>
      </c>
      <c r="O118">
        <f>IFERROR($J118/IF($A118&lt;COUNTIFS($K$1:O$1,"&lt;&gt;"),0,SUMIFS($J:$J,$B:$B,$B118,$A:$A,"&gt;="&amp;COUNTIFS($K$1:O$1,"&lt;&gt;"))),0)</f>
        <v>6.194690265486727E-2</v>
      </c>
      <c r="P118">
        <f>IFERROR($J118/IF($A118&lt;COUNTIFS($K$1:P$1,"&lt;&gt;"),0,SUMIFS($J:$J,$B:$B,$B118,$A:$A,"&gt;="&amp;COUNTIFS($K$1:P$1,"&lt;&gt;"))),0)</f>
        <v>7.0707070707070732E-2</v>
      </c>
      <c r="Q118">
        <f>IFERROR($J118/IF($A118&lt;COUNTIFS($K$1:Q$1,"&lt;&gt;"),0,SUMIFS($J:$J,$B:$B,$B118,$A:$A,"&gt;="&amp;COUNTIFS($K$1:Q$1,"&lt;&gt;"))),0)</f>
        <v>8.3832335329341326E-2</v>
      </c>
      <c r="R118">
        <f>IFERROR($J118/IF($A118&lt;COUNTIFS($K$1:R$1,"&lt;&gt;"),0,SUMIFS($J:$J,$B:$B,$B118,$A:$A,"&gt;="&amp;COUNTIFS($K$1:R$1,"&lt;&gt;"))),0)</f>
        <v>0.10218978102189782</v>
      </c>
      <c r="S118">
        <f>IFERROR($J118/IF($A118&lt;COUNTIFS($K$1:S$1,"&lt;&gt;"),0,SUMIFS($J:$J,$B:$B,$B118,$A:$A,"&gt;="&amp;COUNTIFS($K$1:S$1,"&lt;&gt;"))),0)</f>
        <v>0.13207547169811323</v>
      </c>
      <c r="T118">
        <f>IFERROR($J118/IF($A118&lt;COUNTIFS($K$1:T$1,"&lt;&gt;"),0,SUMIFS($J:$J,$B:$B,$B118,$A:$A,"&gt;="&amp;COUNTIFS($K$1:T$1,"&lt;&gt;"))),0)</f>
        <v>0.18421052631578949</v>
      </c>
      <c r="U118">
        <f>IFERROR($J118/IF($A118&lt;COUNTIFS($K$1:U$1,"&lt;&gt;"),0,SUMIFS($J:$J,$B:$B,$B118,$A:$A,"&gt;="&amp;COUNTIFS($K$1:U$1,"&lt;&gt;"))),0)</f>
        <v>0.31111111111111117</v>
      </c>
      <c r="V118">
        <f>IFERROR($J118/IF($A118&lt;COUNTIFS($K$1:V$1,"&lt;&gt;"),0,SUMIFS($J:$J,$B:$B,$B118,$A:$A,"&gt;="&amp;COUNTIFS($K$1:V$1,"&lt;&gt;"))),0)</f>
        <v>1</v>
      </c>
      <c r="W118">
        <f t="shared" si="46"/>
        <v>3.8356164383561646E-2</v>
      </c>
      <c r="X118">
        <f t="shared" si="26"/>
        <v>3.8356164383561646E-2</v>
      </c>
      <c r="Y118">
        <f t="shared" si="27"/>
        <v>3.8356164383561646E-2</v>
      </c>
      <c r="Z118">
        <f t="shared" si="28"/>
        <v>3.8356164383561646E-2</v>
      </c>
      <c r="AA118">
        <f t="shared" si="29"/>
        <v>3.8356164383561646E-2</v>
      </c>
      <c r="AB118">
        <f t="shared" si="30"/>
        <v>3.8356164383561646E-2</v>
      </c>
      <c r="AC118">
        <f t="shared" si="31"/>
        <v>3.8356164383561646E-2</v>
      </c>
      <c r="AD118">
        <f t="shared" si="32"/>
        <v>3.8356164383561646E-2</v>
      </c>
      <c r="AE118">
        <f t="shared" si="33"/>
        <v>3.8356164383561646E-2</v>
      </c>
      <c r="AF118">
        <f t="shared" si="34"/>
        <v>3.8356164383561646E-2</v>
      </c>
      <c r="AG118">
        <f t="shared" si="35"/>
        <v>3.8356164383561646E-2</v>
      </c>
      <c r="AH118">
        <f t="shared" si="36"/>
        <v>3.8356164383561646E-2</v>
      </c>
      <c r="AI118">
        <f t="shared" si="37"/>
        <v>3.8356164383561646E-2</v>
      </c>
      <c r="AJ118" s="2" t="str">
        <f t="shared" si="47"/>
        <v>1244075</v>
      </c>
    </row>
    <row r="119" spans="1:36" x14ac:dyDescent="0.25">
      <c r="A119">
        <v>0</v>
      </c>
      <c r="B119" s="1">
        <v>44105</v>
      </c>
      <c r="C119" s="1">
        <f t="shared" si="38"/>
        <v>44105</v>
      </c>
      <c r="D119" s="1">
        <f t="shared" si="39"/>
        <v>44119</v>
      </c>
      <c r="E119" s="1">
        <f t="shared" si="40"/>
        <v>44119</v>
      </c>
      <c r="F119" s="1">
        <f t="shared" si="41"/>
        <v>44136</v>
      </c>
      <c r="G119" s="1">
        <f t="shared" si="42"/>
        <v>44484</v>
      </c>
      <c r="H119">
        <f t="shared" si="43"/>
        <v>365</v>
      </c>
      <c r="I119">
        <f t="shared" si="44"/>
        <v>17</v>
      </c>
      <c r="J119">
        <f t="shared" si="45"/>
        <v>4.6575342465753428E-2</v>
      </c>
      <c r="K119">
        <f>IFERROR($J119/IF($A119&lt;COUNTIFS($K$1:K$1,"&lt;&gt;"),0,SUMIFS($J:$J,$B:$B,$B119,$A:$A,"&gt;="&amp;COUNTIFS($K$1:K$1,"&lt;&gt;"))),0)</f>
        <v>0</v>
      </c>
      <c r="L119">
        <f>IFERROR($J119/IF($A119&lt;COUNTIFS($K$1:L$1,"&lt;&gt;"),0,SUMIFS($J:$J,$B:$B,$B119,$A:$A,"&gt;="&amp;COUNTIFS($K$1:L$1,"&lt;&gt;"))),0)</f>
        <v>0</v>
      </c>
      <c r="M119">
        <f>IFERROR($J119/IF($A119&lt;COUNTIFS($K$1:M$1,"&lt;&gt;"),0,SUMIFS($J:$J,$B:$B,$B119,$A:$A,"&gt;="&amp;COUNTIFS($K$1:M$1,"&lt;&gt;"))),0)</f>
        <v>0</v>
      </c>
      <c r="N119">
        <f>IFERROR($J119/IF($A119&lt;COUNTIFS($K$1:N$1,"&lt;&gt;"),0,SUMIFS($J:$J,$B:$B,$B119,$A:$A,"&gt;="&amp;COUNTIFS($K$1:N$1,"&lt;&gt;"))),0)</f>
        <v>0</v>
      </c>
      <c r="O119">
        <f>IFERROR($J119/IF($A119&lt;COUNTIFS($K$1:O$1,"&lt;&gt;"),0,SUMIFS($J:$J,$B:$B,$B119,$A:$A,"&gt;="&amp;COUNTIFS($K$1:O$1,"&lt;&gt;"))),0)</f>
        <v>0</v>
      </c>
      <c r="P119">
        <f>IFERROR($J119/IF($A119&lt;COUNTIFS($K$1:P$1,"&lt;&gt;"),0,SUMIFS($J:$J,$B:$B,$B119,$A:$A,"&gt;="&amp;COUNTIFS($K$1:P$1,"&lt;&gt;"))),0)</f>
        <v>0</v>
      </c>
      <c r="Q119">
        <f>IFERROR($J119/IF($A119&lt;COUNTIFS($K$1:Q$1,"&lt;&gt;"),0,SUMIFS($J:$J,$B:$B,$B119,$A:$A,"&gt;="&amp;COUNTIFS($K$1:Q$1,"&lt;&gt;"))),0)</f>
        <v>0</v>
      </c>
      <c r="R119">
        <f>IFERROR($J119/IF($A119&lt;COUNTIFS($K$1:R$1,"&lt;&gt;"),0,SUMIFS($J:$J,$B:$B,$B119,$A:$A,"&gt;="&amp;COUNTIFS($K$1:R$1,"&lt;&gt;"))),0)</f>
        <v>0</v>
      </c>
      <c r="S119">
        <f>IFERROR($J119/IF($A119&lt;COUNTIFS($K$1:S$1,"&lt;&gt;"),0,SUMIFS($J:$J,$B:$B,$B119,$A:$A,"&gt;="&amp;COUNTIFS($K$1:S$1,"&lt;&gt;"))),0)</f>
        <v>0</v>
      </c>
      <c r="T119">
        <f>IFERROR($J119/IF($A119&lt;COUNTIFS($K$1:T$1,"&lt;&gt;"),0,SUMIFS($J:$J,$B:$B,$B119,$A:$A,"&gt;="&amp;COUNTIFS($K$1:T$1,"&lt;&gt;"))),0)</f>
        <v>0</v>
      </c>
      <c r="U119">
        <f>IFERROR($J119/IF($A119&lt;COUNTIFS($K$1:U$1,"&lt;&gt;"),0,SUMIFS($J:$J,$B:$B,$B119,$A:$A,"&gt;="&amp;COUNTIFS($K$1:U$1,"&lt;&gt;"))),0)</f>
        <v>0</v>
      </c>
      <c r="V119">
        <f>IFERROR($J119/IF($A119&lt;COUNTIFS($K$1:V$1,"&lt;&gt;"),0,SUMIFS($J:$J,$B:$B,$B119,$A:$A,"&gt;="&amp;COUNTIFS($K$1:V$1,"&lt;&gt;"))),0)</f>
        <v>0</v>
      </c>
      <c r="W119">
        <f t="shared" si="46"/>
        <v>4.6575342465753428E-2</v>
      </c>
      <c r="X119">
        <f t="shared" si="26"/>
        <v>0</v>
      </c>
      <c r="Y119">
        <f t="shared" si="27"/>
        <v>0</v>
      </c>
      <c r="Z119">
        <f t="shared" si="28"/>
        <v>0</v>
      </c>
      <c r="AA119">
        <f t="shared" si="29"/>
        <v>0</v>
      </c>
      <c r="AB119">
        <f t="shared" si="30"/>
        <v>0</v>
      </c>
      <c r="AC119">
        <f t="shared" si="31"/>
        <v>0</v>
      </c>
      <c r="AD119">
        <f t="shared" si="32"/>
        <v>0</v>
      </c>
      <c r="AE119">
        <f t="shared" si="33"/>
        <v>0</v>
      </c>
      <c r="AF119">
        <f t="shared" si="34"/>
        <v>0</v>
      </c>
      <c r="AG119">
        <f t="shared" si="35"/>
        <v>0</v>
      </c>
      <c r="AH119">
        <f t="shared" si="36"/>
        <v>0</v>
      </c>
      <c r="AI119">
        <f t="shared" si="37"/>
        <v>0</v>
      </c>
      <c r="AJ119" s="2" t="str">
        <f t="shared" si="47"/>
        <v>044105</v>
      </c>
    </row>
    <row r="120" spans="1:36" x14ac:dyDescent="0.25">
      <c r="A120">
        <v>1</v>
      </c>
      <c r="B120" s="1">
        <v>44105</v>
      </c>
      <c r="C120" s="1">
        <f t="shared" si="38"/>
        <v>44136</v>
      </c>
      <c r="D120" s="1">
        <f t="shared" si="39"/>
        <v>44119</v>
      </c>
      <c r="E120" s="1">
        <f t="shared" si="40"/>
        <v>44136</v>
      </c>
      <c r="F120" s="1">
        <f t="shared" si="41"/>
        <v>44166</v>
      </c>
      <c r="G120" s="1">
        <f t="shared" si="42"/>
        <v>44484</v>
      </c>
      <c r="H120">
        <f t="shared" si="43"/>
        <v>365</v>
      </c>
      <c r="I120">
        <f t="shared" si="44"/>
        <v>30</v>
      </c>
      <c r="J120">
        <f t="shared" si="45"/>
        <v>8.2191780821917804E-2</v>
      </c>
      <c r="K120">
        <f>IFERROR($J120/IF($A120&lt;COUNTIFS($K$1:K$1,"&lt;&gt;"),0,SUMIFS($J:$J,$B:$B,$B120,$A:$A,"&gt;="&amp;COUNTIFS($K$1:K$1,"&lt;&gt;"))),0)</f>
        <v>8.6206896551724144E-2</v>
      </c>
      <c r="L120">
        <f>IFERROR($J120/IF($A120&lt;COUNTIFS($K$1:L$1,"&lt;&gt;"),0,SUMIFS($J:$J,$B:$B,$B120,$A:$A,"&gt;="&amp;COUNTIFS($K$1:L$1,"&lt;&gt;"))),0)</f>
        <v>0</v>
      </c>
      <c r="M120">
        <f>IFERROR($J120/IF($A120&lt;COUNTIFS($K$1:M$1,"&lt;&gt;"),0,SUMIFS($J:$J,$B:$B,$B120,$A:$A,"&gt;="&amp;COUNTIFS($K$1:M$1,"&lt;&gt;"))),0)</f>
        <v>0</v>
      </c>
      <c r="N120">
        <f>IFERROR($J120/IF($A120&lt;COUNTIFS($K$1:N$1,"&lt;&gt;"),0,SUMIFS($J:$J,$B:$B,$B120,$A:$A,"&gt;="&amp;COUNTIFS($K$1:N$1,"&lt;&gt;"))),0)</f>
        <v>0</v>
      </c>
      <c r="O120">
        <f>IFERROR($J120/IF($A120&lt;COUNTIFS($K$1:O$1,"&lt;&gt;"),0,SUMIFS($J:$J,$B:$B,$B120,$A:$A,"&gt;="&amp;COUNTIFS($K$1:O$1,"&lt;&gt;"))),0)</f>
        <v>0</v>
      </c>
      <c r="P120">
        <f>IFERROR($J120/IF($A120&lt;COUNTIFS($K$1:P$1,"&lt;&gt;"),0,SUMIFS($J:$J,$B:$B,$B120,$A:$A,"&gt;="&amp;COUNTIFS($K$1:P$1,"&lt;&gt;"))),0)</f>
        <v>0</v>
      </c>
      <c r="Q120">
        <f>IFERROR($J120/IF($A120&lt;COUNTIFS($K$1:Q$1,"&lt;&gt;"),0,SUMIFS($J:$J,$B:$B,$B120,$A:$A,"&gt;="&amp;COUNTIFS($K$1:Q$1,"&lt;&gt;"))),0)</f>
        <v>0</v>
      </c>
      <c r="R120">
        <f>IFERROR($J120/IF($A120&lt;COUNTIFS($K$1:R$1,"&lt;&gt;"),0,SUMIFS($J:$J,$B:$B,$B120,$A:$A,"&gt;="&amp;COUNTIFS($K$1:R$1,"&lt;&gt;"))),0)</f>
        <v>0</v>
      </c>
      <c r="S120">
        <f>IFERROR($J120/IF($A120&lt;COUNTIFS($K$1:S$1,"&lt;&gt;"),0,SUMIFS($J:$J,$B:$B,$B120,$A:$A,"&gt;="&amp;COUNTIFS($K$1:S$1,"&lt;&gt;"))),0)</f>
        <v>0</v>
      </c>
      <c r="T120">
        <f>IFERROR($J120/IF($A120&lt;COUNTIFS($K$1:T$1,"&lt;&gt;"),0,SUMIFS($J:$J,$B:$B,$B120,$A:$A,"&gt;="&amp;COUNTIFS($K$1:T$1,"&lt;&gt;"))),0)</f>
        <v>0</v>
      </c>
      <c r="U120">
        <f>IFERROR($J120/IF($A120&lt;COUNTIFS($K$1:U$1,"&lt;&gt;"),0,SUMIFS($J:$J,$B:$B,$B120,$A:$A,"&gt;="&amp;COUNTIFS($K$1:U$1,"&lt;&gt;"))),0)</f>
        <v>0</v>
      </c>
      <c r="V120">
        <f>IFERROR($J120/IF($A120&lt;COUNTIFS($K$1:V$1,"&lt;&gt;"),0,SUMIFS($J:$J,$B:$B,$B120,$A:$A,"&gt;="&amp;COUNTIFS($K$1:V$1,"&lt;&gt;"))),0)</f>
        <v>0</v>
      </c>
      <c r="W120">
        <f t="shared" si="46"/>
        <v>8.2191780821917804E-2</v>
      </c>
      <c r="X120">
        <f t="shared" si="26"/>
        <v>8.2191780821917804E-2</v>
      </c>
      <c r="Y120">
        <f t="shared" si="27"/>
        <v>0</v>
      </c>
      <c r="Z120">
        <f t="shared" si="28"/>
        <v>0</v>
      </c>
      <c r="AA120">
        <f t="shared" si="29"/>
        <v>0</v>
      </c>
      <c r="AB120">
        <f t="shared" si="30"/>
        <v>0</v>
      </c>
      <c r="AC120">
        <f t="shared" si="31"/>
        <v>0</v>
      </c>
      <c r="AD120">
        <f t="shared" si="32"/>
        <v>0</v>
      </c>
      <c r="AE120">
        <f t="shared" si="33"/>
        <v>0</v>
      </c>
      <c r="AF120">
        <f t="shared" si="34"/>
        <v>0</v>
      </c>
      <c r="AG120">
        <f t="shared" si="35"/>
        <v>0</v>
      </c>
      <c r="AH120">
        <f t="shared" si="36"/>
        <v>0</v>
      </c>
      <c r="AI120">
        <f t="shared" si="37"/>
        <v>0</v>
      </c>
      <c r="AJ120" s="2" t="str">
        <f t="shared" si="47"/>
        <v>144105</v>
      </c>
    </row>
    <row r="121" spans="1:36" x14ac:dyDescent="0.25">
      <c r="A121">
        <v>2</v>
      </c>
      <c r="B121" s="1">
        <v>44105</v>
      </c>
      <c r="C121" s="1">
        <f t="shared" si="38"/>
        <v>44166</v>
      </c>
      <c r="D121" s="1">
        <f t="shared" si="39"/>
        <v>44119</v>
      </c>
      <c r="E121" s="1">
        <f t="shared" si="40"/>
        <v>44166</v>
      </c>
      <c r="F121" s="1">
        <f t="shared" si="41"/>
        <v>44197</v>
      </c>
      <c r="G121" s="1">
        <f t="shared" si="42"/>
        <v>44484</v>
      </c>
      <c r="H121">
        <f t="shared" si="43"/>
        <v>365</v>
      </c>
      <c r="I121">
        <f t="shared" si="44"/>
        <v>31</v>
      </c>
      <c r="J121">
        <f t="shared" si="45"/>
        <v>8.4931506849315067E-2</v>
      </c>
      <c r="K121">
        <f>IFERROR($J121/IF($A121&lt;COUNTIFS($K$1:K$1,"&lt;&gt;"),0,SUMIFS($J:$J,$B:$B,$B121,$A:$A,"&gt;="&amp;COUNTIFS($K$1:K$1,"&lt;&gt;"))),0)</f>
        <v>8.9080459770114959E-2</v>
      </c>
      <c r="L121">
        <f>IFERROR($J121/IF($A121&lt;COUNTIFS($K$1:L$1,"&lt;&gt;"),0,SUMIFS($J:$J,$B:$B,$B121,$A:$A,"&gt;="&amp;COUNTIFS($K$1:L$1,"&lt;&gt;"))),0)</f>
        <v>9.7484276729559768E-2</v>
      </c>
      <c r="M121">
        <f>IFERROR($J121/IF($A121&lt;COUNTIFS($K$1:M$1,"&lt;&gt;"),0,SUMIFS($J:$J,$B:$B,$B121,$A:$A,"&gt;="&amp;COUNTIFS($K$1:M$1,"&lt;&gt;"))),0)</f>
        <v>0</v>
      </c>
      <c r="N121">
        <f>IFERROR($J121/IF($A121&lt;COUNTIFS($K$1:N$1,"&lt;&gt;"),0,SUMIFS($J:$J,$B:$B,$B121,$A:$A,"&gt;="&amp;COUNTIFS($K$1:N$1,"&lt;&gt;"))),0)</f>
        <v>0</v>
      </c>
      <c r="O121">
        <f>IFERROR($J121/IF($A121&lt;COUNTIFS($K$1:O$1,"&lt;&gt;"),0,SUMIFS($J:$J,$B:$B,$B121,$A:$A,"&gt;="&amp;COUNTIFS($K$1:O$1,"&lt;&gt;"))),0)</f>
        <v>0</v>
      </c>
      <c r="P121">
        <f>IFERROR($J121/IF($A121&lt;COUNTIFS($K$1:P$1,"&lt;&gt;"),0,SUMIFS($J:$J,$B:$B,$B121,$A:$A,"&gt;="&amp;COUNTIFS($K$1:P$1,"&lt;&gt;"))),0)</f>
        <v>0</v>
      </c>
      <c r="Q121">
        <f>IFERROR($J121/IF($A121&lt;COUNTIFS($K$1:Q$1,"&lt;&gt;"),0,SUMIFS($J:$J,$B:$B,$B121,$A:$A,"&gt;="&amp;COUNTIFS($K$1:Q$1,"&lt;&gt;"))),0)</f>
        <v>0</v>
      </c>
      <c r="R121">
        <f>IFERROR($J121/IF($A121&lt;COUNTIFS($K$1:R$1,"&lt;&gt;"),0,SUMIFS($J:$J,$B:$B,$B121,$A:$A,"&gt;="&amp;COUNTIFS($K$1:R$1,"&lt;&gt;"))),0)</f>
        <v>0</v>
      </c>
      <c r="S121">
        <f>IFERROR($J121/IF($A121&lt;COUNTIFS($K$1:S$1,"&lt;&gt;"),0,SUMIFS($J:$J,$B:$B,$B121,$A:$A,"&gt;="&amp;COUNTIFS($K$1:S$1,"&lt;&gt;"))),0)</f>
        <v>0</v>
      </c>
      <c r="T121">
        <f>IFERROR($J121/IF($A121&lt;COUNTIFS($K$1:T$1,"&lt;&gt;"),0,SUMIFS($J:$J,$B:$B,$B121,$A:$A,"&gt;="&amp;COUNTIFS($K$1:T$1,"&lt;&gt;"))),0)</f>
        <v>0</v>
      </c>
      <c r="U121">
        <f>IFERROR($J121/IF($A121&lt;COUNTIFS($K$1:U$1,"&lt;&gt;"),0,SUMIFS($J:$J,$B:$B,$B121,$A:$A,"&gt;="&amp;COUNTIFS($K$1:U$1,"&lt;&gt;"))),0)</f>
        <v>0</v>
      </c>
      <c r="V121">
        <f>IFERROR($J121/IF($A121&lt;COUNTIFS($K$1:V$1,"&lt;&gt;"),0,SUMIFS($J:$J,$B:$B,$B121,$A:$A,"&gt;="&amp;COUNTIFS($K$1:V$1,"&lt;&gt;"))),0)</f>
        <v>0</v>
      </c>
      <c r="W121">
        <f t="shared" si="46"/>
        <v>8.4931506849315067E-2</v>
      </c>
      <c r="X121">
        <f t="shared" si="26"/>
        <v>8.4931506849315067E-2</v>
      </c>
      <c r="Y121">
        <f t="shared" si="27"/>
        <v>8.4931506849315067E-2</v>
      </c>
      <c r="Z121">
        <f t="shared" si="28"/>
        <v>0</v>
      </c>
      <c r="AA121">
        <f t="shared" si="29"/>
        <v>0</v>
      </c>
      <c r="AB121">
        <f t="shared" si="30"/>
        <v>0</v>
      </c>
      <c r="AC121">
        <f t="shared" si="31"/>
        <v>0</v>
      </c>
      <c r="AD121">
        <f t="shared" si="32"/>
        <v>0</v>
      </c>
      <c r="AE121">
        <f t="shared" si="33"/>
        <v>0</v>
      </c>
      <c r="AF121">
        <f t="shared" si="34"/>
        <v>0</v>
      </c>
      <c r="AG121">
        <f t="shared" si="35"/>
        <v>0</v>
      </c>
      <c r="AH121">
        <f t="shared" si="36"/>
        <v>0</v>
      </c>
      <c r="AI121">
        <f t="shared" si="37"/>
        <v>0</v>
      </c>
      <c r="AJ121" s="2" t="str">
        <f t="shared" si="47"/>
        <v>244105</v>
      </c>
    </row>
    <row r="122" spans="1:36" x14ac:dyDescent="0.25">
      <c r="A122">
        <v>3</v>
      </c>
      <c r="B122" s="1">
        <v>44105</v>
      </c>
      <c r="C122" s="1">
        <f t="shared" si="38"/>
        <v>44197</v>
      </c>
      <c r="D122" s="1">
        <f t="shared" si="39"/>
        <v>44119</v>
      </c>
      <c r="E122" s="1">
        <f t="shared" si="40"/>
        <v>44197</v>
      </c>
      <c r="F122" s="1">
        <f t="shared" si="41"/>
        <v>44228</v>
      </c>
      <c r="G122" s="1">
        <f t="shared" si="42"/>
        <v>44484</v>
      </c>
      <c r="H122">
        <f t="shared" si="43"/>
        <v>365</v>
      </c>
      <c r="I122">
        <f t="shared" si="44"/>
        <v>31</v>
      </c>
      <c r="J122">
        <f t="shared" si="45"/>
        <v>8.4931506849315067E-2</v>
      </c>
      <c r="K122">
        <f>IFERROR($J122/IF($A122&lt;COUNTIFS($K$1:K$1,"&lt;&gt;"),0,SUMIFS($J:$J,$B:$B,$B122,$A:$A,"&gt;="&amp;COUNTIFS($K$1:K$1,"&lt;&gt;"))),0)</f>
        <v>8.9080459770114959E-2</v>
      </c>
      <c r="L122">
        <f>IFERROR($J122/IF($A122&lt;COUNTIFS($K$1:L$1,"&lt;&gt;"),0,SUMIFS($J:$J,$B:$B,$B122,$A:$A,"&gt;="&amp;COUNTIFS($K$1:L$1,"&lt;&gt;"))),0)</f>
        <v>9.7484276729559768E-2</v>
      </c>
      <c r="M122">
        <f>IFERROR($J122/IF($A122&lt;COUNTIFS($K$1:M$1,"&lt;&gt;"),0,SUMIFS($J:$J,$B:$B,$B122,$A:$A,"&gt;="&amp;COUNTIFS($K$1:M$1,"&lt;&gt;"))),0)</f>
        <v>0.10801393728222998</v>
      </c>
      <c r="N122">
        <f>IFERROR($J122/IF($A122&lt;COUNTIFS($K$1:N$1,"&lt;&gt;"),0,SUMIFS($J:$J,$B:$B,$B122,$A:$A,"&gt;="&amp;COUNTIFS($K$1:N$1,"&lt;&gt;"))),0)</f>
        <v>0</v>
      </c>
      <c r="O122">
        <f>IFERROR($J122/IF($A122&lt;COUNTIFS($K$1:O$1,"&lt;&gt;"),0,SUMIFS($J:$J,$B:$B,$B122,$A:$A,"&gt;="&amp;COUNTIFS($K$1:O$1,"&lt;&gt;"))),0)</f>
        <v>0</v>
      </c>
      <c r="P122">
        <f>IFERROR($J122/IF($A122&lt;COUNTIFS($K$1:P$1,"&lt;&gt;"),0,SUMIFS($J:$J,$B:$B,$B122,$A:$A,"&gt;="&amp;COUNTIFS($K$1:P$1,"&lt;&gt;"))),0)</f>
        <v>0</v>
      </c>
      <c r="Q122">
        <f>IFERROR($J122/IF($A122&lt;COUNTIFS($K$1:Q$1,"&lt;&gt;"),0,SUMIFS($J:$J,$B:$B,$B122,$A:$A,"&gt;="&amp;COUNTIFS($K$1:Q$1,"&lt;&gt;"))),0)</f>
        <v>0</v>
      </c>
      <c r="R122">
        <f>IFERROR($J122/IF($A122&lt;COUNTIFS($K$1:R$1,"&lt;&gt;"),0,SUMIFS($J:$J,$B:$B,$B122,$A:$A,"&gt;="&amp;COUNTIFS($K$1:R$1,"&lt;&gt;"))),0)</f>
        <v>0</v>
      </c>
      <c r="S122">
        <f>IFERROR($J122/IF($A122&lt;COUNTIFS($K$1:S$1,"&lt;&gt;"),0,SUMIFS($J:$J,$B:$B,$B122,$A:$A,"&gt;="&amp;COUNTIFS($K$1:S$1,"&lt;&gt;"))),0)</f>
        <v>0</v>
      </c>
      <c r="T122">
        <f>IFERROR($J122/IF($A122&lt;COUNTIFS($K$1:T$1,"&lt;&gt;"),0,SUMIFS($J:$J,$B:$B,$B122,$A:$A,"&gt;="&amp;COUNTIFS($K$1:T$1,"&lt;&gt;"))),0)</f>
        <v>0</v>
      </c>
      <c r="U122">
        <f>IFERROR($J122/IF($A122&lt;COUNTIFS($K$1:U$1,"&lt;&gt;"),0,SUMIFS($J:$J,$B:$B,$B122,$A:$A,"&gt;="&amp;COUNTIFS($K$1:U$1,"&lt;&gt;"))),0)</f>
        <v>0</v>
      </c>
      <c r="V122">
        <f>IFERROR($J122/IF($A122&lt;COUNTIFS($K$1:V$1,"&lt;&gt;"),0,SUMIFS($J:$J,$B:$B,$B122,$A:$A,"&gt;="&amp;COUNTIFS($K$1:V$1,"&lt;&gt;"))),0)</f>
        <v>0</v>
      </c>
      <c r="W122">
        <f t="shared" si="46"/>
        <v>8.4931506849315067E-2</v>
      </c>
      <c r="X122">
        <f t="shared" si="26"/>
        <v>8.4931506849315067E-2</v>
      </c>
      <c r="Y122">
        <f t="shared" si="27"/>
        <v>8.4931506849315067E-2</v>
      </c>
      <c r="Z122">
        <f t="shared" si="28"/>
        <v>8.4931506849315067E-2</v>
      </c>
      <c r="AA122">
        <f t="shared" si="29"/>
        <v>0</v>
      </c>
      <c r="AB122">
        <f t="shared" si="30"/>
        <v>0</v>
      </c>
      <c r="AC122">
        <f t="shared" si="31"/>
        <v>0</v>
      </c>
      <c r="AD122">
        <f t="shared" si="32"/>
        <v>0</v>
      </c>
      <c r="AE122">
        <f t="shared" si="33"/>
        <v>0</v>
      </c>
      <c r="AF122">
        <f t="shared" si="34"/>
        <v>0</v>
      </c>
      <c r="AG122">
        <f t="shared" si="35"/>
        <v>0</v>
      </c>
      <c r="AH122">
        <f t="shared" si="36"/>
        <v>0</v>
      </c>
      <c r="AI122">
        <f t="shared" si="37"/>
        <v>0</v>
      </c>
      <c r="AJ122" s="2" t="str">
        <f t="shared" si="47"/>
        <v>344105</v>
      </c>
    </row>
    <row r="123" spans="1:36" x14ac:dyDescent="0.25">
      <c r="A123">
        <v>4</v>
      </c>
      <c r="B123" s="1">
        <v>44105</v>
      </c>
      <c r="C123" s="1">
        <f t="shared" si="38"/>
        <v>44228</v>
      </c>
      <c r="D123" s="1">
        <f t="shared" si="39"/>
        <v>44119</v>
      </c>
      <c r="E123" s="1">
        <f t="shared" si="40"/>
        <v>44228</v>
      </c>
      <c r="F123" s="1">
        <f t="shared" si="41"/>
        <v>44256</v>
      </c>
      <c r="G123" s="1">
        <f t="shared" si="42"/>
        <v>44484</v>
      </c>
      <c r="H123">
        <f t="shared" si="43"/>
        <v>365</v>
      </c>
      <c r="I123">
        <f t="shared" si="44"/>
        <v>28</v>
      </c>
      <c r="J123">
        <f t="shared" si="45"/>
        <v>7.6712328767123292E-2</v>
      </c>
      <c r="K123">
        <f>IFERROR($J123/IF($A123&lt;COUNTIFS($K$1:K$1,"&lt;&gt;"),0,SUMIFS($J:$J,$B:$B,$B123,$A:$A,"&gt;="&amp;COUNTIFS($K$1:K$1,"&lt;&gt;"))),0)</f>
        <v>8.0459770114942541E-2</v>
      </c>
      <c r="L123">
        <f>IFERROR($J123/IF($A123&lt;COUNTIFS($K$1:L$1,"&lt;&gt;"),0,SUMIFS($J:$J,$B:$B,$B123,$A:$A,"&gt;="&amp;COUNTIFS($K$1:L$1,"&lt;&gt;"))),0)</f>
        <v>8.8050314465408827E-2</v>
      </c>
      <c r="M123">
        <f>IFERROR($J123/IF($A123&lt;COUNTIFS($K$1:M$1,"&lt;&gt;"),0,SUMIFS($J:$J,$B:$B,$B123,$A:$A,"&gt;="&amp;COUNTIFS($K$1:M$1,"&lt;&gt;"))),0)</f>
        <v>9.7560975609756115E-2</v>
      </c>
      <c r="N123">
        <f>IFERROR($J123/IF($A123&lt;COUNTIFS($K$1:N$1,"&lt;&gt;"),0,SUMIFS($J:$J,$B:$B,$B123,$A:$A,"&gt;="&amp;COUNTIFS($K$1:N$1,"&lt;&gt;"))),0)</f>
        <v>0.10937500000000003</v>
      </c>
      <c r="O123">
        <f>IFERROR($J123/IF($A123&lt;COUNTIFS($K$1:O$1,"&lt;&gt;"),0,SUMIFS($J:$J,$B:$B,$B123,$A:$A,"&gt;="&amp;COUNTIFS($K$1:O$1,"&lt;&gt;"))),0)</f>
        <v>0</v>
      </c>
      <c r="P123">
        <f>IFERROR($J123/IF($A123&lt;COUNTIFS($K$1:P$1,"&lt;&gt;"),0,SUMIFS($J:$J,$B:$B,$B123,$A:$A,"&gt;="&amp;COUNTIFS($K$1:P$1,"&lt;&gt;"))),0)</f>
        <v>0</v>
      </c>
      <c r="Q123">
        <f>IFERROR($J123/IF($A123&lt;COUNTIFS($K$1:Q$1,"&lt;&gt;"),0,SUMIFS($J:$J,$B:$B,$B123,$A:$A,"&gt;="&amp;COUNTIFS($K$1:Q$1,"&lt;&gt;"))),0)</f>
        <v>0</v>
      </c>
      <c r="R123">
        <f>IFERROR($J123/IF($A123&lt;COUNTIFS($K$1:R$1,"&lt;&gt;"),0,SUMIFS($J:$J,$B:$B,$B123,$A:$A,"&gt;="&amp;COUNTIFS($K$1:R$1,"&lt;&gt;"))),0)</f>
        <v>0</v>
      </c>
      <c r="S123">
        <f>IFERROR($J123/IF($A123&lt;COUNTIFS($K$1:S$1,"&lt;&gt;"),0,SUMIFS($J:$J,$B:$B,$B123,$A:$A,"&gt;="&amp;COUNTIFS($K$1:S$1,"&lt;&gt;"))),0)</f>
        <v>0</v>
      </c>
      <c r="T123">
        <f>IFERROR($J123/IF($A123&lt;COUNTIFS($K$1:T$1,"&lt;&gt;"),0,SUMIFS($J:$J,$B:$B,$B123,$A:$A,"&gt;="&amp;COUNTIFS($K$1:T$1,"&lt;&gt;"))),0)</f>
        <v>0</v>
      </c>
      <c r="U123">
        <f>IFERROR($J123/IF($A123&lt;COUNTIFS($K$1:U$1,"&lt;&gt;"),0,SUMIFS($J:$J,$B:$B,$B123,$A:$A,"&gt;="&amp;COUNTIFS($K$1:U$1,"&lt;&gt;"))),0)</f>
        <v>0</v>
      </c>
      <c r="V123">
        <f>IFERROR($J123/IF($A123&lt;COUNTIFS($K$1:V$1,"&lt;&gt;"),0,SUMIFS($J:$J,$B:$B,$B123,$A:$A,"&gt;="&amp;COUNTIFS($K$1:V$1,"&lt;&gt;"))),0)</f>
        <v>0</v>
      </c>
      <c r="W123">
        <f t="shared" si="46"/>
        <v>7.6712328767123292E-2</v>
      </c>
      <c r="X123">
        <f t="shared" si="26"/>
        <v>7.6712328767123292E-2</v>
      </c>
      <c r="Y123">
        <f t="shared" si="27"/>
        <v>7.6712328767123292E-2</v>
      </c>
      <c r="Z123">
        <f t="shared" si="28"/>
        <v>7.6712328767123292E-2</v>
      </c>
      <c r="AA123">
        <f t="shared" si="29"/>
        <v>7.6712328767123292E-2</v>
      </c>
      <c r="AB123">
        <f t="shared" si="30"/>
        <v>0</v>
      </c>
      <c r="AC123">
        <f t="shared" si="31"/>
        <v>0</v>
      </c>
      <c r="AD123">
        <f t="shared" si="32"/>
        <v>0</v>
      </c>
      <c r="AE123">
        <f t="shared" si="33"/>
        <v>0</v>
      </c>
      <c r="AF123">
        <f t="shared" si="34"/>
        <v>0</v>
      </c>
      <c r="AG123">
        <f t="shared" si="35"/>
        <v>0</v>
      </c>
      <c r="AH123">
        <f t="shared" si="36"/>
        <v>0</v>
      </c>
      <c r="AI123">
        <f t="shared" si="37"/>
        <v>0</v>
      </c>
      <c r="AJ123" s="2" t="str">
        <f t="shared" si="47"/>
        <v>444105</v>
      </c>
    </row>
    <row r="124" spans="1:36" x14ac:dyDescent="0.25">
      <c r="A124">
        <v>5</v>
      </c>
      <c r="B124" s="1">
        <v>44105</v>
      </c>
      <c r="C124" s="1">
        <f t="shared" si="38"/>
        <v>44256</v>
      </c>
      <c r="D124" s="1">
        <f t="shared" si="39"/>
        <v>44119</v>
      </c>
      <c r="E124" s="1">
        <f t="shared" si="40"/>
        <v>44256</v>
      </c>
      <c r="F124" s="1">
        <f t="shared" si="41"/>
        <v>44287</v>
      </c>
      <c r="G124" s="1">
        <f t="shared" si="42"/>
        <v>44484</v>
      </c>
      <c r="H124">
        <f t="shared" si="43"/>
        <v>365</v>
      </c>
      <c r="I124">
        <f t="shared" si="44"/>
        <v>31</v>
      </c>
      <c r="J124">
        <f t="shared" si="45"/>
        <v>8.4931506849315067E-2</v>
      </c>
      <c r="K124">
        <f>IFERROR($J124/IF($A124&lt;COUNTIFS($K$1:K$1,"&lt;&gt;"),0,SUMIFS($J:$J,$B:$B,$B124,$A:$A,"&gt;="&amp;COUNTIFS($K$1:K$1,"&lt;&gt;"))),0)</f>
        <v>8.9080459770114959E-2</v>
      </c>
      <c r="L124">
        <f>IFERROR($J124/IF($A124&lt;COUNTIFS($K$1:L$1,"&lt;&gt;"),0,SUMIFS($J:$J,$B:$B,$B124,$A:$A,"&gt;="&amp;COUNTIFS($K$1:L$1,"&lt;&gt;"))),0)</f>
        <v>9.7484276729559768E-2</v>
      </c>
      <c r="M124">
        <f>IFERROR($J124/IF($A124&lt;COUNTIFS($K$1:M$1,"&lt;&gt;"),0,SUMIFS($J:$J,$B:$B,$B124,$A:$A,"&gt;="&amp;COUNTIFS($K$1:M$1,"&lt;&gt;"))),0)</f>
        <v>0.10801393728222998</v>
      </c>
      <c r="N124">
        <f>IFERROR($J124/IF($A124&lt;COUNTIFS($K$1:N$1,"&lt;&gt;"),0,SUMIFS($J:$J,$B:$B,$B124,$A:$A,"&gt;="&amp;COUNTIFS($K$1:N$1,"&lt;&gt;"))),0)</f>
        <v>0.12109375000000001</v>
      </c>
      <c r="O124">
        <f>IFERROR($J124/IF($A124&lt;COUNTIFS($K$1:O$1,"&lt;&gt;"),0,SUMIFS($J:$J,$B:$B,$B124,$A:$A,"&gt;="&amp;COUNTIFS($K$1:O$1,"&lt;&gt;"))),0)</f>
        <v>0.13596491228070179</v>
      </c>
      <c r="P124">
        <f>IFERROR($J124/IF($A124&lt;COUNTIFS($K$1:P$1,"&lt;&gt;"),0,SUMIFS($J:$J,$B:$B,$B124,$A:$A,"&gt;="&amp;COUNTIFS($K$1:P$1,"&lt;&gt;"))),0)</f>
        <v>0</v>
      </c>
      <c r="Q124">
        <f>IFERROR($J124/IF($A124&lt;COUNTIFS($K$1:Q$1,"&lt;&gt;"),0,SUMIFS($J:$J,$B:$B,$B124,$A:$A,"&gt;="&amp;COUNTIFS($K$1:Q$1,"&lt;&gt;"))),0)</f>
        <v>0</v>
      </c>
      <c r="R124">
        <f>IFERROR($J124/IF($A124&lt;COUNTIFS($K$1:R$1,"&lt;&gt;"),0,SUMIFS($J:$J,$B:$B,$B124,$A:$A,"&gt;="&amp;COUNTIFS($K$1:R$1,"&lt;&gt;"))),0)</f>
        <v>0</v>
      </c>
      <c r="S124">
        <f>IFERROR($J124/IF($A124&lt;COUNTIFS($K$1:S$1,"&lt;&gt;"),0,SUMIFS($J:$J,$B:$B,$B124,$A:$A,"&gt;="&amp;COUNTIFS($K$1:S$1,"&lt;&gt;"))),0)</f>
        <v>0</v>
      </c>
      <c r="T124">
        <f>IFERROR($J124/IF($A124&lt;COUNTIFS($K$1:T$1,"&lt;&gt;"),0,SUMIFS($J:$J,$B:$B,$B124,$A:$A,"&gt;="&amp;COUNTIFS($K$1:T$1,"&lt;&gt;"))),0)</f>
        <v>0</v>
      </c>
      <c r="U124">
        <f>IFERROR($J124/IF($A124&lt;COUNTIFS($K$1:U$1,"&lt;&gt;"),0,SUMIFS($J:$J,$B:$B,$B124,$A:$A,"&gt;="&amp;COUNTIFS($K$1:U$1,"&lt;&gt;"))),0)</f>
        <v>0</v>
      </c>
      <c r="V124">
        <f>IFERROR($J124/IF($A124&lt;COUNTIFS($K$1:V$1,"&lt;&gt;"),0,SUMIFS($J:$J,$B:$B,$B124,$A:$A,"&gt;="&amp;COUNTIFS($K$1:V$1,"&lt;&gt;"))),0)</f>
        <v>0</v>
      </c>
      <c r="W124">
        <f t="shared" si="46"/>
        <v>8.4931506849315067E-2</v>
      </c>
      <c r="X124">
        <f t="shared" si="26"/>
        <v>8.4931506849315067E-2</v>
      </c>
      <c r="Y124">
        <f t="shared" si="27"/>
        <v>8.4931506849315067E-2</v>
      </c>
      <c r="Z124">
        <f t="shared" si="28"/>
        <v>8.4931506849315067E-2</v>
      </c>
      <c r="AA124">
        <f t="shared" si="29"/>
        <v>8.4931506849315067E-2</v>
      </c>
      <c r="AB124">
        <f t="shared" si="30"/>
        <v>8.4931506849315067E-2</v>
      </c>
      <c r="AC124">
        <f t="shared" si="31"/>
        <v>0</v>
      </c>
      <c r="AD124">
        <f t="shared" si="32"/>
        <v>0</v>
      </c>
      <c r="AE124">
        <f t="shared" si="33"/>
        <v>0</v>
      </c>
      <c r="AF124">
        <f t="shared" si="34"/>
        <v>0</v>
      </c>
      <c r="AG124">
        <f t="shared" si="35"/>
        <v>0</v>
      </c>
      <c r="AH124">
        <f t="shared" si="36"/>
        <v>0</v>
      </c>
      <c r="AI124">
        <f t="shared" si="37"/>
        <v>0</v>
      </c>
      <c r="AJ124" s="2" t="str">
        <f t="shared" si="47"/>
        <v>544105</v>
      </c>
    </row>
    <row r="125" spans="1:36" x14ac:dyDescent="0.25">
      <c r="A125">
        <v>6</v>
      </c>
      <c r="B125" s="1">
        <v>44105</v>
      </c>
      <c r="C125" s="1">
        <f t="shared" si="38"/>
        <v>44287</v>
      </c>
      <c r="D125" s="1">
        <f t="shared" si="39"/>
        <v>44119</v>
      </c>
      <c r="E125" s="1">
        <f t="shared" si="40"/>
        <v>44287</v>
      </c>
      <c r="F125" s="1">
        <f t="shared" si="41"/>
        <v>44317</v>
      </c>
      <c r="G125" s="1">
        <f t="shared" si="42"/>
        <v>44484</v>
      </c>
      <c r="H125">
        <f t="shared" si="43"/>
        <v>365</v>
      </c>
      <c r="I125">
        <f t="shared" si="44"/>
        <v>30</v>
      </c>
      <c r="J125">
        <f t="shared" si="45"/>
        <v>8.2191780821917804E-2</v>
      </c>
      <c r="K125">
        <f>IFERROR($J125/IF($A125&lt;COUNTIFS($K$1:K$1,"&lt;&gt;"),0,SUMIFS($J:$J,$B:$B,$B125,$A:$A,"&gt;="&amp;COUNTIFS($K$1:K$1,"&lt;&gt;"))),0)</f>
        <v>8.6206896551724144E-2</v>
      </c>
      <c r="L125">
        <f>IFERROR($J125/IF($A125&lt;COUNTIFS($K$1:L$1,"&lt;&gt;"),0,SUMIFS($J:$J,$B:$B,$B125,$A:$A,"&gt;="&amp;COUNTIFS($K$1:L$1,"&lt;&gt;"))),0)</f>
        <v>9.4339622641509441E-2</v>
      </c>
      <c r="M125">
        <f>IFERROR($J125/IF($A125&lt;COUNTIFS($K$1:M$1,"&lt;&gt;"),0,SUMIFS($J:$J,$B:$B,$B125,$A:$A,"&gt;="&amp;COUNTIFS($K$1:M$1,"&lt;&gt;"))),0)</f>
        <v>0.10452961672473869</v>
      </c>
      <c r="N125">
        <f>IFERROR($J125/IF($A125&lt;COUNTIFS($K$1:N$1,"&lt;&gt;"),0,SUMIFS($J:$J,$B:$B,$B125,$A:$A,"&gt;="&amp;COUNTIFS($K$1:N$1,"&lt;&gt;"))),0)</f>
        <v>0.11718750000000001</v>
      </c>
      <c r="O125">
        <f>IFERROR($J125/IF($A125&lt;COUNTIFS($K$1:O$1,"&lt;&gt;"),0,SUMIFS($J:$J,$B:$B,$B125,$A:$A,"&gt;="&amp;COUNTIFS($K$1:O$1,"&lt;&gt;"))),0)</f>
        <v>0.13157894736842107</v>
      </c>
      <c r="P125">
        <f>IFERROR($J125/IF($A125&lt;COUNTIFS($K$1:P$1,"&lt;&gt;"),0,SUMIFS($J:$J,$B:$B,$B125,$A:$A,"&gt;="&amp;COUNTIFS($K$1:P$1,"&lt;&gt;"))),0)</f>
        <v>0.15228426395939088</v>
      </c>
      <c r="Q125">
        <f>IFERROR($J125/IF($A125&lt;COUNTIFS($K$1:Q$1,"&lt;&gt;"),0,SUMIFS($J:$J,$B:$B,$B125,$A:$A,"&gt;="&amp;COUNTIFS($K$1:Q$1,"&lt;&gt;"))),0)</f>
        <v>0</v>
      </c>
      <c r="R125">
        <f>IFERROR($J125/IF($A125&lt;COUNTIFS($K$1:R$1,"&lt;&gt;"),0,SUMIFS($J:$J,$B:$B,$B125,$A:$A,"&gt;="&amp;COUNTIFS($K$1:R$1,"&lt;&gt;"))),0)</f>
        <v>0</v>
      </c>
      <c r="S125">
        <f>IFERROR($J125/IF($A125&lt;COUNTIFS($K$1:S$1,"&lt;&gt;"),0,SUMIFS($J:$J,$B:$B,$B125,$A:$A,"&gt;="&amp;COUNTIFS($K$1:S$1,"&lt;&gt;"))),0)</f>
        <v>0</v>
      </c>
      <c r="T125">
        <f>IFERROR($J125/IF($A125&lt;COUNTIFS($K$1:T$1,"&lt;&gt;"),0,SUMIFS($J:$J,$B:$B,$B125,$A:$A,"&gt;="&amp;COUNTIFS($K$1:T$1,"&lt;&gt;"))),0)</f>
        <v>0</v>
      </c>
      <c r="U125">
        <f>IFERROR($J125/IF($A125&lt;COUNTIFS($K$1:U$1,"&lt;&gt;"),0,SUMIFS($J:$J,$B:$B,$B125,$A:$A,"&gt;="&amp;COUNTIFS($K$1:U$1,"&lt;&gt;"))),0)</f>
        <v>0</v>
      </c>
      <c r="V125">
        <f>IFERROR($J125/IF($A125&lt;COUNTIFS($K$1:V$1,"&lt;&gt;"),0,SUMIFS($J:$J,$B:$B,$B125,$A:$A,"&gt;="&amp;COUNTIFS($K$1:V$1,"&lt;&gt;"))),0)</f>
        <v>0</v>
      </c>
      <c r="W125">
        <f t="shared" si="46"/>
        <v>8.2191780821917804E-2</v>
      </c>
      <c r="X125">
        <f t="shared" si="26"/>
        <v>8.2191780821917804E-2</v>
      </c>
      <c r="Y125">
        <f t="shared" si="27"/>
        <v>8.2191780821917804E-2</v>
      </c>
      <c r="Z125">
        <f t="shared" si="28"/>
        <v>8.2191780821917804E-2</v>
      </c>
      <c r="AA125">
        <f t="shared" si="29"/>
        <v>8.2191780821917804E-2</v>
      </c>
      <c r="AB125">
        <f t="shared" si="30"/>
        <v>8.2191780821917804E-2</v>
      </c>
      <c r="AC125">
        <f t="shared" si="31"/>
        <v>8.2191780821917804E-2</v>
      </c>
      <c r="AD125">
        <f t="shared" si="32"/>
        <v>0</v>
      </c>
      <c r="AE125">
        <f t="shared" si="33"/>
        <v>0</v>
      </c>
      <c r="AF125">
        <f t="shared" si="34"/>
        <v>0</v>
      </c>
      <c r="AG125">
        <f t="shared" si="35"/>
        <v>0</v>
      </c>
      <c r="AH125">
        <f t="shared" si="36"/>
        <v>0</v>
      </c>
      <c r="AI125">
        <f t="shared" si="37"/>
        <v>0</v>
      </c>
      <c r="AJ125" s="2" t="str">
        <f t="shared" si="47"/>
        <v>644105</v>
      </c>
    </row>
    <row r="126" spans="1:36" x14ac:dyDescent="0.25">
      <c r="A126">
        <v>7</v>
      </c>
      <c r="B126" s="1">
        <v>44105</v>
      </c>
      <c r="C126" s="1">
        <f t="shared" si="38"/>
        <v>44317</v>
      </c>
      <c r="D126" s="1">
        <f t="shared" si="39"/>
        <v>44119</v>
      </c>
      <c r="E126" s="1">
        <f t="shared" si="40"/>
        <v>44317</v>
      </c>
      <c r="F126" s="1">
        <f t="shared" si="41"/>
        <v>44348</v>
      </c>
      <c r="G126" s="1">
        <f t="shared" si="42"/>
        <v>44484</v>
      </c>
      <c r="H126">
        <f t="shared" si="43"/>
        <v>365</v>
      </c>
      <c r="I126">
        <f t="shared" si="44"/>
        <v>31</v>
      </c>
      <c r="J126">
        <f t="shared" si="45"/>
        <v>8.4931506849315067E-2</v>
      </c>
      <c r="K126">
        <f>IFERROR($J126/IF($A126&lt;COUNTIFS($K$1:K$1,"&lt;&gt;"),0,SUMIFS($J:$J,$B:$B,$B126,$A:$A,"&gt;="&amp;COUNTIFS($K$1:K$1,"&lt;&gt;"))),0)</f>
        <v>8.9080459770114959E-2</v>
      </c>
      <c r="L126">
        <f>IFERROR($J126/IF($A126&lt;COUNTIFS($K$1:L$1,"&lt;&gt;"),0,SUMIFS($J:$J,$B:$B,$B126,$A:$A,"&gt;="&amp;COUNTIFS($K$1:L$1,"&lt;&gt;"))),0)</f>
        <v>9.7484276729559768E-2</v>
      </c>
      <c r="M126">
        <f>IFERROR($J126/IF($A126&lt;COUNTIFS($K$1:M$1,"&lt;&gt;"),0,SUMIFS($J:$J,$B:$B,$B126,$A:$A,"&gt;="&amp;COUNTIFS($K$1:M$1,"&lt;&gt;"))),0)</f>
        <v>0.10801393728222998</v>
      </c>
      <c r="N126">
        <f>IFERROR($J126/IF($A126&lt;COUNTIFS($K$1:N$1,"&lt;&gt;"),0,SUMIFS($J:$J,$B:$B,$B126,$A:$A,"&gt;="&amp;COUNTIFS($K$1:N$1,"&lt;&gt;"))),0)</f>
        <v>0.12109375000000001</v>
      </c>
      <c r="O126">
        <f>IFERROR($J126/IF($A126&lt;COUNTIFS($K$1:O$1,"&lt;&gt;"),0,SUMIFS($J:$J,$B:$B,$B126,$A:$A,"&gt;="&amp;COUNTIFS($K$1:O$1,"&lt;&gt;"))),0)</f>
        <v>0.13596491228070179</v>
      </c>
      <c r="P126">
        <f>IFERROR($J126/IF($A126&lt;COUNTIFS($K$1:P$1,"&lt;&gt;"),0,SUMIFS($J:$J,$B:$B,$B126,$A:$A,"&gt;="&amp;COUNTIFS($K$1:P$1,"&lt;&gt;"))),0)</f>
        <v>0.15736040609137059</v>
      </c>
      <c r="Q126">
        <f>IFERROR($J126/IF($A126&lt;COUNTIFS($K$1:Q$1,"&lt;&gt;"),0,SUMIFS($J:$J,$B:$B,$B126,$A:$A,"&gt;="&amp;COUNTIFS($K$1:Q$1,"&lt;&gt;"))),0)</f>
        <v>0.18562874251497008</v>
      </c>
      <c r="R126">
        <f>IFERROR($J126/IF($A126&lt;COUNTIFS($K$1:R$1,"&lt;&gt;"),0,SUMIFS($J:$J,$B:$B,$B126,$A:$A,"&gt;="&amp;COUNTIFS($K$1:R$1,"&lt;&gt;"))),0)</f>
        <v>0</v>
      </c>
      <c r="S126">
        <f>IFERROR($J126/IF($A126&lt;COUNTIFS($K$1:S$1,"&lt;&gt;"),0,SUMIFS($J:$J,$B:$B,$B126,$A:$A,"&gt;="&amp;COUNTIFS($K$1:S$1,"&lt;&gt;"))),0)</f>
        <v>0</v>
      </c>
      <c r="T126">
        <f>IFERROR($J126/IF($A126&lt;COUNTIFS($K$1:T$1,"&lt;&gt;"),0,SUMIFS($J:$J,$B:$B,$B126,$A:$A,"&gt;="&amp;COUNTIFS($K$1:T$1,"&lt;&gt;"))),0)</f>
        <v>0</v>
      </c>
      <c r="U126">
        <f>IFERROR($J126/IF($A126&lt;COUNTIFS($K$1:U$1,"&lt;&gt;"),0,SUMIFS($J:$J,$B:$B,$B126,$A:$A,"&gt;="&amp;COUNTIFS($K$1:U$1,"&lt;&gt;"))),0)</f>
        <v>0</v>
      </c>
      <c r="V126">
        <f>IFERROR($J126/IF($A126&lt;COUNTIFS($K$1:V$1,"&lt;&gt;"),0,SUMIFS($J:$J,$B:$B,$B126,$A:$A,"&gt;="&amp;COUNTIFS($K$1:V$1,"&lt;&gt;"))),0)</f>
        <v>0</v>
      </c>
      <c r="W126">
        <f t="shared" si="46"/>
        <v>8.4931506849315067E-2</v>
      </c>
      <c r="X126">
        <f t="shared" si="26"/>
        <v>8.4931506849315067E-2</v>
      </c>
      <c r="Y126">
        <f t="shared" si="27"/>
        <v>8.4931506849315067E-2</v>
      </c>
      <c r="Z126">
        <f t="shared" si="28"/>
        <v>8.4931506849315067E-2</v>
      </c>
      <c r="AA126">
        <f t="shared" si="29"/>
        <v>8.4931506849315067E-2</v>
      </c>
      <c r="AB126">
        <f t="shared" si="30"/>
        <v>8.4931506849315067E-2</v>
      </c>
      <c r="AC126">
        <f t="shared" si="31"/>
        <v>8.4931506849315067E-2</v>
      </c>
      <c r="AD126">
        <f t="shared" si="32"/>
        <v>8.4931506849315067E-2</v>
      </c>
      <c r="AE126">
        <f t="shared" si="33"/>
        <v>0</v>
      </c>
      <c r="AF126">
        <f t="shared" si="34"/>
        <v>0</v>
      </c>
      <c r="AG126">
        <f t="shared" si="35"/>
        <v>0</v>
      </c>
      <c r="AH126">
        <f t="shared" si="36"/>
        <v>0</v>
      </c>
      <c r="AI126">
        <f t="shared" si="37"/>
        <v>0</v>
      </c>
      <c r="AJ126" s="2" t="str">
        <f t="shared" si="47"/>
        <v>744105</v>
      </c>
    </row>
    <row r="127" spans="1:36" x14ac:dyDescent="0.25">
      <c r="A127">
        <v>8</v>
      </c>
      <c r="B127" s="1">
        <v>44105</v>
      </c>
      <c r="C127" s="1">
        <f t="shared" si="38"/>
        <v>44348</v>
      </c>
      <c r="D127" s="1">
        <f t="shared" si="39"/>
        <v>44119</v>
      </c>
      <c r="E127" s="1">
        <f t="shared" si="40"/>
        <v>44348</v>
      </c>
      <c r="F127" s="1">
        <f t="shared" si="41"/>
        <v>44378</v>
      </c>
      <c r="G127" s="1">
        <f t="shared" si="42"/>
        <v>44484</v>
      </c>
      <c r="H127">
        <f t="shared" si="43"/>
        <v>365</v>
      </c>
      <c r="I127">
        <f t="shared" si="44"/>
        <v>30</v>
      </c>
      <c r="J127">
        <f t="shared" si="45"/>
        <v>8.2191780821917804E-2</v>
      </c>
      <c r="K127">
        <f>IFERROR($J127/IF($A127&lt;COUNTIFS($K$1:K$1,"&lt;&gt;"),0,SUMIFS($J:$J,$B:$B,$B127,$A:$A,"&gt;="&amp;COUNTIFS($K$1:K$1,"&lt;&gt;"))),0)</f>
        <v>8.6206896551724144E-2</v>
      </c>
      <c r="L127">
        <f>IFERROR($J127/IF($A127&lt;COUNTIFS($K$1:L$1,"&lt;&gt;"),0,SUMIFS($J:$J,$B:$B,$B127,$A:$A,"&gt;="&amp;COUNTIFS($K$1:L$1,"&lt;&gt;"))),0)</f>
        <v>9.4339622641509441E-2</v>
      </c>
      <c r="M127">
        <f>IFERROR($J127/IF($A127&lt;COUNTIFS($K$1:M$1,"&lt;&gt;"),0,SUMIFS($J:$J,$B:$B,$B127,$A:$A,"&gt;="&amp;COUNTIFS($K$1:M$1,"&lt;&gt;"))),0)</f>
        <v>0.10452961672473869</v>
      </c>
      <c r="N127">
        <f>IFERROR($J127/IF($A127&lt;COUNTIFS($K$1:N$1,"&lt;&gt;"),0,SUMIFS($J:$J,$B:$B,$B127,$A:$A,"&gt;="&amp;COUNTIFS($K$1:N$1,"&lt;&gt;"))),0)</f>
        <v>0.11718750000000001</v>
      </c>
      <c r="O127">
        <f>IFERROR($J127/IF($A127&lt;COUNTIFS($K$1:O$1,"&lt;&gt;"),0,SUMIFS($J:$J,$B:$B,$B127,$A:$A,"&gt;="&amp;COUNTIFS($K$1:O$1,"&lt;&gt;"))),0)</f>
        <v>0.13157894736842107</v>
      </c>
      <c r="P127">
        <f>IFERROR($J127/IF($A127&lt;COUNTIFS($K$1:P$1,"&lt;&gt;"),0,SUMIFS($J:$J,$B:$B,$B127,$A:$A,"&gt;="&amp;COUNTIFS($K$1:P$1,"&lt;&gt;"))),0)</f>
        <v>0.15228426395939088</v>
      </c>
      <c r="Q127">
        <f>IFERROR($J127/IF($A127&lt;COUNTIFS($K$1:Q$1,"&lt;&gt;"),0,SUMIFS($J:$J,$B:$B,$B127,$A:$A,"&gt;="&amp;COUNTIFS($K$1:Q$1,"&lt;&gt;"))),0)</f>
        <v>0.17964071856287425</v>
      </c>
      <c r="R127">
        <f>IFERROR($J127/IF($A127&lt;COUNTIFS($K$1:R$1,"&lt;&gt;"),0,SUMIFS($J:$J,$B:$B,$B127,$A:$A,"&gt;="&amp;COUNTIFS($K$1:R$1,"&lt;&gt;"))),0)</f>
        <v>0.22058823529411764</v>
      </c>
      <c r="S127">
        <f>IFERROR($J127/IF($A127&lt;COUNTIFS($K$1:S$1,"&lt;&gt;"),0,SUMIFS($J:$J,$B:$B,$B127,$A:$A,"&gt;="&amp;COUNTIFS($K$1:S$1,"&lt;&gt;"))),0)</f>
        <v>0</v>
      </c>
      <c r="T127">
        <f>IFERROR($J127/IF($A127&lt;COUNTIFS($K$1:T$1,"&lt;&gt;"),0,SUMIFS($J:$J,$B:$B,$B127,$A:$A,"&gt;="&amp;COUNTIFS($K$1:T$1,"&lt;&gt;"))),0)</f>
        <v>0</v>
      </c>
      <c r="U127">
        <f>IFERROR($J127/IF($A127&lt;COUNTIFS($K$1:U$1,"&lt;&gt;"),0,SUMIFS($J:$J,$B:$B,$B127,$A:$A,"&gt;="&amp;COUNTIFS($K$1:U$1,"&lt;&gt;"))),0)</f>
        <v>0</v>
      </c>
      <c r="V127">
        <f>IFERROR($J127/IF($A127&lt;COUNTIFS($K$1:V$1,"&lt;&gt;"),0,SUMIFS($J:$J,$B:$B,$B127,$A:$A,"&gt;="&amp;COUNTIFS($K$1:V$1,"&lt;&gt;"))),0)</f>
        <v>0</v>
      </c>
      <c r="W127">
        <f t="shared" si="46"/>
        <v>8.2191780821917804E-2</v>
      </c>
      <c r="X127">
        <f t="shared" si="26"/>
        <v>8.2191780821917804E-2</v>
      </c>
      <c r="Y127">
        <f t="shared" si="27"/>
        <v>8.2191780821917804E-2</v>
      </c>
      <c r="Z127">
        <f t="shared" si="28"/>
        <v>8.2191780821917804E-2</v>
      </c>
      <c r="AA127">
        <f t="shared" si="29"/>
        <v>8.2191780821917804E-2</v>
      </c>
      <c r="AB127">
        <f t="shared" si="30"/>
        <v>8.2191780821917804E-2</v>
      </c>
      <c r="AC127">
        <f t="shared" si="31"/>
        <v>8.2191780821917804E-2</v>
      </c>
      <c r="AD127">
        <f t="shared" si="32"/>
        <v>8.2191780821917804E-2</v>
      </c>
      <c r="AE127">
        <f t="shared" si="33"/>
        <v>8.2191780821917804E-2</v>
      </c>
      <c r="AF127">
        <f t="shared" si="34"/>
        <v>0</v>
      </c>
      <c r="AG127">
        <f t="shared" si="35"/>
        <v>0</v>
      </c>
      <c r="AH127">
        <f t="shared" si="36"/>
        <v>0</v>
      </c>
      <c r="AI127">
        <f t="shared" si="37"/>
        <v>0</v>
      </c>
      <c r="AJ127" s="2" t="str">
        <f t="shared" si="47"/>
        <v>844105</v>
      </c>
    </row>
    <row r="128" spans="1:36" x14ac:dyDescent="0.25">
      <c r="A128">
        <v>9</v>
      </c>
      <c r="B128" s="1">
        <v>44105</v>
      </c>
      <c r="C128" s="1">
        <f t="shared" si="38"/>
        <v>44378</v>
      </c>
      <c r="D128" s="1">
        <f t="shared" si="39"/>
        <v>44119</v>
      </c>
      <c r="E128" s="1">
        <f t="shared" si="40"/>
        <v>44378</v>
      </c>
      <c r="F128" s="1">
        <f t="shared" si="41"/>
        <v>44409</v>
      </c>
      <c r="G128" s="1">
        <f t="shared" si="42"/>
        <v>44484</v>
      </c>
      <c r="H128">
        <f t="shared" si="43"/>
        <v>365</v>
      </c>
      <c r="I128">
        <f t="shared" si="44"/>
        <v>31</v>
      </c>
      <c r="J128">
        <f t="shared" si="45"/>
        <v>8.4931506849315067E-2</v>
      </c>
      <c r="K128">
        <f>IFERROR($J128/IF($A128&lt;COUNTIFS($K$1:K$1,"&lt;&gt;"),0,SUMIFS($J:$J,$B:$B,$B128,$A:$A,"&gt;="&amp;COUNTIFS($K$1:K$1,"&lt;&gt;"))),0)</f>
        <v>8.9080459770114959E-2</v>
      </c>
      <c r="L128">
        <f>IFERROR($J128/IF($A128&lt;COUNTIFS($K$1:L$1,"&lt;&gt;"),0,SUMIFS($J:$J,$B:$B,$B128,$A:$A,"&gt;="&amp;COUNTIFS($K$1:L$1,"&lt;&gt;"))),0)</f>
        <v>9.7484276729559768E-2</v>
      </c>
      <c r="M128">
        <f>IFERROR($J128/IF($A128&lt;COUNTIFS($K$1:M$1,"&lt;&gt;"),0,SUMIFS($J:$J,$B:$B,$B128,$A:$A,"&gt;="&amp;COUNTIFS($K$1:M$1,"&lt;&gt;"))),0)</f>
        <v>0.10801393728222998</v>
      </c>
      <c r="N128">
        <f>IFERROR($J128/IF($A128&lt;COUNTIFS($K$1:N$1,"&lt;&gt;"),0,SUMIFS($J:$J,$B:$B,$B128,$A:$A,"&gt;="&amp;COUNTIFS($K$1:N$1,"&lt;&gt;"))),0)</f>
        <v>0.12109375000000001</v>
      </c>
      <c r="O128">
        <f>IFERROR($J128/IF($A128&lt;COUNTIFS($K$1:O$1,"&lt;&gt;"),0,SUMIFS($J:$J,$B:$B,$B128,$A:$A,"&gt;="&amp;COUNTIFS($K$1:O$1,"&lt;&gt;"))),0)</f>
        <v>0.13596491228070179</v>
      </c>
      <c r="P128">
        <f>IFERROR($J128/IF($A128&lt;COUNTIFS($K$1:P$1,"&lt;&gt;"),0,SUMIFS($J:$J,$B:$B,$B128,$A:$A,"&gt;="&amp;COUNTIFS($K$1:P$1,"&lt;&gt;"))),0)</f>
        <v>0.15736040609137059</v>
      </c>
      <c r="Q128">
        <f>IFERROR($J128/IF($A128&lt;COUNTIFS($K$1:Q$1,"&lt;&gt;"),0,SUMIFS($J:$J,$B:$B,$B128,$A:$A,"&gt;="&amp;COUNTIFS($K$1:Q$1,"&lt;&gt;"))),0)</f>
        <v>0.18562874251497008</v>
      </c>
      <c r="R128">
        <f>IFERROR($J128/IF($A128&lt;COUNTIFS($K$1:R$1,"&lt;&gt;"),0,SUMIFS($J:$J,$B:$B,$B128,$A:$A,"&gt;="&amp;COUNTIFS($K$1:R$1,"&lt;&gt;"))),0)</f>
        <v>0.22794117647058826</v>
      </c>
      <c r="S128">
        <f>IFERROR($J128/IF($A128&lt;COUNTIFS($K$1:S$1,"&lt;&gt;"),0,SUMIFS($J:$J,$B:$B,$B128,$A:$A,"&gt;="&amp;COUNTIFS($K$1:S$1,"&lt;&gt;"))),0)</f>
        <v>0.29245283018867929</v>
      </c>
      <c r="T128">
        <f>IFERROR($J128/IF($A128&lt;COUNTIFS($K$1:T$1,"&lt;&gt;"),0,SUMIFS($J:$J,$B:$B,$B128,$A:$A,"&gt;="&amp;COUNTIFS($K$1:T$1,"&lt;&gt;"))),0)</f>
        <v>0</v>
      </c>
      <c r="U128">
        <f>IFERROR($J128/IF($A128&lt;COUNTIFS($K$1:U$1,"&lt;&gt;"),0,SUMIFS($J:$J,$B:$B,$B128,$A:$A,"&gt;="&amp;COUNTIFS($K$1:U$1,"&lt;&gt;"))),0)</f>
        <v>0</v>
      </c>
      <c r="V128">
        <f>IFERROR($J128/IF($A128&lt;COUNTIFS($K$1:V$1,"&lt;&gt;"),0,SUMIFS($J:$J,$B:$B,$B128,$A:$A,"&gt;="&amp;COUNTIFS($K$1:V$1,"&lt;&gt;"))),0)</f>
        <v>0</v>
      </c>
      <c r="W128">
        <f t="shared" si="46"/>
        <v>8.4931506849315067E-2</v>
      </c>
      <c r="X128">
        <f t="shared" si="26"/>
        <v>8.4931506849315067E-2</v>
      </c>
      <c r="Y128">
        <f t="shared" si="27"/>
        <v>8.4931506849315067E-2</v>
      </c>
      <c r="Z128">
        <f t="shared" si="28"/>
        <v>8.4931506849315067E-2</v>
      </c>
      <c r="AA128">
        <f t="shared" si="29"/>
        <v>8.4931506849315067E-2</v>
      </c>
      <c r="AB128">
        <f t="shared" si="30"/>
        <v>8.4931506849315067E-2</v>
      </c>
      <c r="AC128">
        <f t="shared" si="31"/>
        <v>8.4931506849315067E-2</v>
      </c>
      <c r="AD128">
        <f t="shared" si="32"/>
        <v>8.4931506849315067E-2</v>
      </c>
      <c r="AE128">
        <f t="shared" si="33"/>
        <v>8.4931506849315067E-2</v>
      </c>
      <c r="AF128">
        <f t="shared" si="34"/>
        <v>8.4931506849315067E-2</v>
      </c>
      <c r="AG128">
        <f t="shared" si="35"/>
        <v>0</v>
      </c>
      <c r="AH128">
        <f t="shared" si="36"/>
        <v>0</v>
      </c>
      <c r="AI128">
        <f t="shared" si="37"/>
        <v>0</v>
      </c>
      <c r="AJ128" s="2" t="str">
        <f t="shared" si="47"/>
        <v>944105</v>
      </c>
    </row>
    <row r="129" spans="1:36" x14ac:dyDescent="0.25">
      <c r="A129">
        <v>10</v>
      </c>
      <c r="B129" s="1">
        <v>44105</v>
      </c>
      <c r="C129" s="1">
        <f t="shared" si="38"/>
        <v>44409</v>
      </c>
      <c r="D129" s="1">
        <f t="shared" si="39"/>
        <v>44119</v>
      </c>
      <c r="E129" s="1">
        <f t="shared" si="40"/>
        <v>44409</v>
      </c>
      <c r="F129" s="1">
        <f t="shared" si="41"/>
        <v>44440</v>
      </c>
      <c r="G129" s="1">
        <f t="shared" si="42"/>
        <v>44484</v>
      </c>
      <c r="H129">
        <f t="shared" si="43"/>
        <v>365</v>
      </c>
      <c r="I129">
        <f t="shared" si="44"/>
        <v>31</v>
      </c>
      <c r="J129">
        <f t="shared" si="45"/>
        <v>8.4931506849315067E-2</v>
      </c>
      <c r="K129">
        <f>IFERROR($J129/IF($A129&lt;COUNTIFS($K$1:K$1,"&lt;&gt;"),0,SUMIFS($J:$J,$B:$B,$B129,$A:$A,"&gt;="&amp;COUNTIFS($K$1:K$1,"&lt;&gt;"))),0)</f>
        <v>8.9080459770114959E-2</v>
      </c>
      <c r="L129">
        <f>IFERROR($J129/IF($A129&lt;COUNTIFS($K$1:L$1,"&lt;&gt;"),0,SUMIFS($J:$J,$B:$B,$B129,$A:$A,"&gt;="&amp;COUNTIFS($K$1:L$1,"&lt;&gt;"))),0)</f>
        <v>9.7484276729559768E-2</v>
      </c>
      <c r="M129">
        <f>IFERROR($J129/IF($A129&lt;COUNTIFS($K$1:M$1,"&lt;&gt;"),0,SUMIFS($J:$J,$B:$B,$B129,$A:$A,"&gt;="&amp;COUNTIFS($K$1:M$1,"&lt;&gt;"))),0)</f>
        <v>0.10801393728222998</v>
      </c>
      <c r="N129">
        <f>IFERROR($J129/IF($A129&lt;COUNTIFS($K$1:N$1,"&lt;&gt;"),0,SUMIFS($J:$J,$B:$B,$B129,$A:$A,"&gt;="&amp;COUNTIFS($K$1:N$1,"&lt;&gt;"))),0)</f>
        <v>0.12109375000000001</v>
      </c>
      <c r="O129">
        <f>IFERROR($J129/IF($A129&lt;COUNTIFS($K$1:O$1,"&lt;&gt;"),0,SUMIFS($J:$J,$B:$B,$B129,$A:$A,"&gt;="&amp;COUNTIFS($K$1:O$1,"&lt;&gt;"))),0)</f>
        <v>0.13596491228070179</v>
      </c>
      <c r="P129">
        <f>IFERROR($J129/IF($A129&lt;COUNTIFS($K$1:P$1,"&lt;&gt;"),0,SUMIFS($J:$J,$B:$B,$B129,$A:$A,"&gt;="&amp;COUNTIFS($K$1:P$1,"&lt;&gt;"))),0)</f>
        <v>0.15736040609137059</v>
      </c>
      <c r="Q129">
        <f>IFERROR($J129/IF($A129&lt;COUNTIFS($K$1:Q$1,"&lt;&gt;"),0,SUMIFS($J:$J,$B:$B,$B129,$A:$A,"&gt;="&amp;COUNTIFS($K$1:Q$1,"&lt;&gt;"))),0)</f>
        <v>0.18562874251497008</v>
      </c>
      <c r="R129">
        <f>IFERROR($J129/IF($A129&lt;COUNTIFS($K$1:R$1,"&lt;&gt;"),0,SUMIFS($J:$J,$B:$B,$B129,$A:$A,"&gt;="&amp;COUNTIFS($K$1:R$1,"&lt;&gt;"))),0)</f>
        <v>0.22794117647058826</v>
      </c>
      <c r="S129">
        <f>IFERROR($J129/IF($A129&lt;COUNTIFS($K$1:S$1,"&lt;&gt;"),0,SUMIFS($J:$J,$B:$B,$B129,$A:$A,"&gt;="&amp;COUNTIFS($K$1:S$1,"&lt;&gt;"))),0)</f>
        <v>0.29245283018867929</v>
      </c>
      <c r="T129">
        <f>IFERROR($J129/IF($A129&lt;COUNTIFS($K$1:T$1,"&lt;&gt;"),0,SUMIFS($J:$J,$B:$B,$B129,$A:$A,"&gt;="&amp;COUNTIFS($K$1:T$1,"&lt;&gt;"))),0)</f>
        <v>0.41333333333333333</v>
      </c>
      <c r="U129">
        <f>IFERROR($J129/IF($A129&lt;COUNTIFS($K$1:U$1,"&lt;&gt;"),0,SUMIFS($J:$J,$B:$B,$B129,$A:$A,"&gt;="&amp;COUNTIFS($K$1:U$1,"&lt;&gt;"))),0)</f>
        <v>0</v>
      </c>
      <c r="V129">
        <f>IFERROR($J129/IF($A129&lt;COUNTIFS($K$1:V$1,"&lt;&gt;"),0,SUMIFS($J:$J,$B:$B,$B129,$A:$A,"&gt;="&amp;COUNTIFS($K$1:V$1,"&lt;&gt;"))),0)</f>
        <v>0</v>
      </c>
      <c r="W129">
        <f t="shared" si="46"/>
        <v>8.4931506849315067E-2</v>
      </c>
      <c r="X129">
        <f t="shared" si="26"/>
        <v>8.4931506849315067E-2</v>
      </c>
      <c r="Y129">
        <f t="shared" si="27"/>
        <v>8.4931506849315067E-2</v>
      </c>
      <c r="Z129">
        <f t="shared" si="28"/>
        <v>8.4931506849315067E-2</v>
      </c>
      <c r="AA129">
        <f t="shared" si="29"/>
        <v>8.4931506849315067E-2</v>
      </c>
      <c r="AB129">
        <f t="shared" si="30"/>
        <v>8.4931506849315067E-2</v>
      </c>
      <c r="AC129">
        <f t="shared" si="31"/>
        <v>8.4931506849315067E-2</v>
      </c>
      <c r="AD129">
        <f t="shared" si="32"/>
        <v>8.4931506849315067E-2</v>
      </c>
      <c r="AE129">
        <f t="shared" si="33"/>
        <v>8.4931506849315067E-2</v>
      </c>
      <c r="AF129">
        <f t="shared" si="34"/>
        <v>8.4931506849315067E-2</v>
      </c>
      <c r="AG129">
        <f t="shared" si="35"/>
        <v>8.4931506849315067E-2</v>
      </c>
      <c r="AH129">
        <f t="shared" si="36"/>
        <v>0</v>
      </c>
      <c r="AI129">
        <f t="shared" si="37"/>
        <v>0</v>
      </c>
      <c r="AJ129" s="2" t="str">
        <f t="shared" si="47"/>
        <v>1044105</v>
      </c>
    </row>
    <row r="130" spans="1:36" x14ac:dyDescent="0.25">
      <c r="A130">
        <v>11</v>
      </c>
      <c r="B130" s="1">
        <v>44105</v>
      </c>
      <c r="C130" s="1">
        <f t="shared" si="38"/>
        <v>44440</v>
      </c>
      <c r="D130" s="1">
        <f t="shared" si="39"/>
        <v>44119</v>
      </c>
      <c r="E130" s="1">
        <f t="shared" si="40"/>
        <v>44440</v>
      </c>
      <c r="F130" s="1">
        <f t="shared" si="41"/>
        <v>44470</v>
      </c>
      <c r="G130" s="1">
        <f t="shared" si="42"/>
        <v>44484</v>
      </c>
      <c r="H130">
        <f t="shared" si="43"/>
        <v>365</v>
      </c>
      <c r="I130">
        <f t="shared" si="44"/>
        <v>30</v>
      </c>
      <c r="J130">
        <f t="shared" si="45"/>
        <v>8.2191780821917804E-2</v>
      </c>
      <c r="K130">
        <f>IFERROR($J130/IF($A130&lt;COUNTIFS($K$1:K$1,"&lt;&gt;"),0,SUMIFS($J:$J,$B:$B,$B130,$A:$A,"&gt;="&amp;COUNTIFS($K$1:K$1,"&lt;&gt;"))),0)</f>
        <v>8.6206896551724144E-2</v>
      </c>
      <c r="L130">
        <f>IFERROR($J130/IF($A130&lt;COUNTIFS($K$1:L$1,"&lt;&gt;"),0,SUMIFS($J:$J,$B:$B,$B130,$A:$A,"&gt;="&amp;COUNTIFS($K$1:L$1,"&lt;&gt;"))),0)</f>
        <v>9.4339622641509441E-2</v>
      </c>
      <c r="M130">
        <f>IFERROR($J130/IF($A130&lt;COUNTIFS($K$1:M$1,"&lt;&gt;"),0,SUMIFS($J:$J,$B:$B,$B130,$A:$A,"&gt;="&amp;COUNTIFS($K$1:M$1,"&lt;&gt;"))),0)</f>
        <v>0.10452961672473869</v>
      </c>
      <c r="N130">
        <f>IFERROR($J130/IF($A130&lt;COUNTIFS($K$1:N$1,"&lt;&gt;"),0,SUMIFS($J:$J,$B:$B,$B130,$A:$A,"&gt;="&amp;COUNTIFS($K$1:N$1,"&lt;&gt;"))),0)</f>
        <v>0.11718750000000001</v>
      </c>
      <c r="O130">
        <f>IFERROR($J130/IF($A130&lt;COUNTIFS($K$1:O$1,"&lt;&gt;"),0,SUMIFS($J:$J,$B:$B,$B130,$A:$A,"&gt;="&amp;COUNTIFS($K$1:O$1,"&lt;&gt;"))),0)</f>
        <v>0.13157894736842107</v>
      </c>
      <c r="P130">
        <f>IFERROR($J130/IF($A130&lt;COUNTIFS($K$1:P$1,"&lt;&gt;"),0,SUMIFS($J:$J,$B:$B,$B130,$A:$A,"&gt;="&amp;COUNTIFS($K$1:P$1,"&lt;&gt;"))),0)</f>
        <v>0.15228426395939088</v>
      </c>
      <c r="Q130">
        <f>IFERROR($J130/IF($A130&lt;COUNTIFS($K$1:Q$1,"&lt;&gt;"),0,SUMIFS($J:$J,$B:$B,$B130,$A:$A,"&gt;="&amp;COUNTIFS($K$1:Q$1,"&lt;&gt;"))),0)</f>
        <v>0.17964071856287425</v>
      </c>
      <c r="R130">
        <f>IFERROR($J130/IF($A130&lt;COUNTIFS($K$1:R$1,"&lt;&gt;"),0,SUMIFS($J:$J,$B:$B,$B130,$A:$A,"&gt;="&amp;COUNTIFS($K$1:R$1,"&lt;&gt;"))),0)</f>
        <v>0.22058823529411764</v>
      </c>
      <c r="S130">
        <f>IFERROR($J130/IF($A130&lt;COUNTIFS($K$1:S$1,"&lt;&gt;"),0,SUMIFS($J:$J,$B:$B,$B130,$A:$A,"&gt;="&amp;COUNTIFS($K$1:S$1,"&lt;&gt;"))),0)</f>
        <v>0.28301886792452829</v>
      </c>
      <c r="T130">
        <f>IFERROR($J130/IF($A130&lt;COUNTIFS($K$1:T$1,"&lt;&gt;"),0,SUMIFS($J:$J,$B:$B,$B130,$A:$A,"&gt;="&amp;COUNTIFS($K$1:T$1,"&lt;&gt;"))),0)</f>
        <v>0.4</v>
      </c>
      <c r="U130">
        <f>IFERROR($J130/IF($A130&lt;COUNTIFS($K$1:U$1,"&lt;&gt;"),0,SUMIFS($J:$J,$B:$B,$B130,$A:$A,"&gt;="&amp;COUNTIFS($K$1:U$1,"&lt;&gt;"))),0)</f>
        <v>0.68181818181818177</v>
      </c>
      <c r="V130">
        <f>IFERROR($J130/IF($A130&lt;COUNTIFS($K$1:V$1,"&lt;&gt;"),0,SUMIFS($J:$J,$B:$B,$B130,$A:$A,"&gt;="&amp;COUNTIFS($K$1:V$1,"&lt;&gt;"))),0)</f>
        <v>0</v>
      </c>
      <c r="W130">
        <f t="shared" si="46"/>
        <v>8.2191780821917804E-2</v>
      </c>
      <c r="X130">
        <f t="shared" ref="X130:X193" si="48">IF(K130=0,0,$J130)</f>
        <v>8.2191780821917804E-2</v>
      </c>
      <c r="Y130">
        <f t="shared" ref="Y130:Y193" si="49">IF(L130=0,0,$J130)</f>
        <v>8.2191780821917804E-2</v>
      </c>
      <c r="Z130">
        <f t="shared" ref="Z130:Z193" si="50">IF(M130=0,0,$J130)</f>
        <v>8.2191780821917804E-2</v>
      </c>
      <c r="AA130">
        <f t="shared" ref="AA130:AA193" si="51">IF(N130=0,0,$J130)</f>
        <v>8.2191780821917804E-2</v>
      </c>
      <c r="AB130">
        <f t="shared" ref="AB130:AB193" si="52">IF(O130=0,0,$J130)</f>
        <v>8.2191780821917804E-2</v>
      </c>
      <c r="AC130">
        <f t="shared" ref="AC130:AC193" si="53">IF(P130=0,0,$J130)</f>
        <v>8.2191780821917804E-2</v>
      </c>
      <c r="AD130">
        <f t="shared" ref="AD130:AD193" si="54">IF(Q130=0,0,$J130)</f>
        <v>8.2191780821917804E-2</v>
      </c>
      <c r="AE130">
        <f t="shared" ref="AE130:AE193" si="55">IF(R130=0,0,$J130)</f>
        <v>8.2191780821917804E-2</v>
      </c>
      <c r="AF130">
        <f t="shared" ref="AF130:AF193" si="56">IF(S130=0,0,$J130)</f>
        <v>8.2191780821917804E-2</v>
      </c>
      <c r="AG130">
        <f t="shared" ref="AG130:AG193" si="57">IF(T130=0,0,$J130)</f>
        <v>8.2191780821917804E-2</v>
      </c>
      <c r="AH130">
        <f t="shared" ref="AH130:AH193" si="58">IF(U130=0,0,$J130)</f>
        <v>8.2191780821917804E-2</v>
      </c>
      <c r="AI130">
        <f t="shared" ref="AI130:AI193" si="59">IF(V130=0,0,$J130)</f>
        <v>0</v>
      </c>
      <c r="AJ130" s="2" t="str">
        <f t="shared" si="47"/>
        <v>1144105</v>
      </c>
    </row>
    <row r="131" spans="1:36" x14ac:dyDescent="0.25">
      <c r="A131">
        <v>12</v>
      </c>
      <c r="B131" s="1">
        <v>44105</v>
      </c>
      <c r="C131" s="1">
        <f t="shared" ref="C131:C194" si="60">EDATE(B131,A131)</f>
        <v>44470</v>
      </c>
      <c r="D131" s="1">
        <f t="shared" ref="D131:D194" si="61">B131+14</f>
        <v>44119</v>
      </c>
      <c r="E131" s="1">
        <f t="shared" ref="E131:E194" si="62">IF($A131=0,C131+14,C131)</f>
        <v>44470</v>
      </c>
      <c r="F131" s="1">
        <f t="shared" ref="F131:F194" si="63">IF(EDATE(C131,1)&gt;G131,G131,EDATE(C131,1))</f>
        <v>44484</v>
      </c>
      <c r="G131" s="1">
        <f t="shared" ref="G131:G194" si="64">EDATE(D131,12)</f>
        <v>44484</v>
      </c>
      <c r="H131">
        <f t="shared" ref="H131:H194" si="65">G131-D131</f>
        <v>365</v>
      </c>
      <c r="I131">
        <f t="shared" ref="I131:I194" si="66">F131-E131</f>
        <v>14</v>
      </c>
      <c r="J131">
        <f t="shared" ref="J131:J194" si="67">I131/H131</f>
        <v>3.8356164383561646E-2</v>
      </c>
      <c r="K131">
        <f>IFERROR($J131/IF($A131&lt;COUNTIFS($K$1:K$1,"&lt;&gt;"),0,SUMIFS($J:$J,$B:$B,$B131,$A:$A,"&gt;="&amp;COUNTIFS($K$1:K$1,"&lt;&gt;"))),0)</f>
        <v>4.0229885057471271E-2</v>
      </c>
      <c r="L131">
        <f>IFERROR($J131/IF($A131&lt;COUNTIFS($K$1:L$1,"&lt;&gt;"),0,SUMIFS($J:$J,$B:$B,$B131,$A:$A,"&gt;="&amp;COUNTIFS($K$1:L$1,"&lt;&gt;"))),0)</f>
        <v>4.4025157232704414E-2</v>
      </c>
      <c r="M131">
        <f>IFERROR($J131/IF($A131&lt;COUNTIFS($K$1:M$1,"&lt;&gt;"),0,SUMIFS($J:$J,$B:$B,$B131,$A:$A,"&gt;="&amp;COUNTIFS($K$1:M$1,"&lt;&gt;"))),0)</f>
        <v>4.8780487804878057E-2</v>
      </c>
      <c r="N131">
        <f>IFERROR($J131/IF($A131&lt;COUNTIFS($K$1:N$1,"&lt;&gt;"),0,SUMIFS($J:$J,$B:$B,$B131,$A:$A,"&gt;="&amp;COUNTIFS($K$1:N$1,"&lt;&gt;"))),0)</f>
        <v>5.4687500000000014E-2</v>
      </c>
      <c r="O131">
        <f>IFERROR($J131/IF($A131&lt;COUNTIFS($K$1:O$1,"&lt;&gt;"),0,SUMIFS($J:$J,$B:$B,$B131,$A:$A,"&gt;="&amp;COUNTIFS($K$1:O$1,"&lt;&gt;"))),0)</f>
        <v>6.1403508771929842E-2</v>
      </c>
      <c r="P131">
        <f>IFERROR($J131/IF($A131&lt;COUNTIFS($K$1:P$1,"&lt;&gt;"),0,SUMIFS($J:$J,$B:$B,$B131,$A:$A,"&gt;="&amp;COUNTIFS($K$1:P$1,"&lt;&gt;"))),0)</f>
        <v>7.1065989847715755E-2</v>
      </c>
      <c r="Q131">
        <f>IFERROR($J131/IF($A131&lt;COUNTIFS($K$1:Q$1,"&lt;&gt;"),0,SUMIFS($J:$J,$B:$B,$B131,$A:$A,"&gt;="&amp;COUNTIFS($K$1:Q$1,"&lt;&gt;"))),0)</f>
        <v>8.3832335329341326E-2</v>
      </c>
      <c r="R131">
        <f>IFERROR($J131/IF($A131&lt;COUNTIFS($K$1:R$1,"&lt;&gt;"),0,SUMIFS($J:$J,$B:$B,$B131,$A:$A,"&gt;="&amp;COUNTIFS($K$1:R$1,"&lt;&gt;"))),0)</f>
        <v>0.10294117647058824</v>
      </c>
      <c r="S131">
        <f>IFERROR($J131/IF($A131&lt;COUNTIFS($K$1:S$1,"&lt;&gt;"),0,SUMIFS($J:$J,$B:$B,$B131,$A:$A,"&gt;="&amp;COUNTIFS($K$1:S$1,"&lt;&gt;"))),0)</f>
        <v>0.13207547169811323</v>
      </c>
      <c r="T131">
        <f>IFERROR($J131/IF($A131&lt;COUNTIFS($K$1:T$1,"&lt;&gt;"),0,SUMIFS($J:$J,$B:$B,$B131,$A:$A,"&gt;="&amp;COUNTIFS($K$1:T$1,"&lt;&gt;"))),0)</f>
        <v>0.18666666666666668</v>
      </c>
      <c r="U131">
        <f>IFERROR($J131/IF($A131&lt;COUNTIFS($K$1:U$1,"&lt;&gt;"),0,SUMIFS($J:$J,$B:$B,$B131,$A:$A,"&gt;="&amp;COUNTIFS($K$1:U$1,"&lt;&gt;"))),0)</f>
        <v>0.31818181818181818</v>
      </c>
      <c r="V131">
        <f>IFERROR($J131/IF($A131&lt;COUNTIFS($K$1:V$1,"&lt;&gt;"),0,SUMIFS($J:$J,$B:$B,$B131,$A:$A,"&gt;="&amp;COUNTIFS($K$1:V$1,"&lt;&gt;"))),0)</f>
        <v>1</v>
      </c>
      <c r="W131">
        <f t="shared" ref="W131:W194" si="68">IF(J131=0,0,$J131)</f>
        <v>3.8356164383561646E-2</v>
      </c>
      <c r="X131">
        <f t="shared" si="48"/>
        <v>3.8356164383561646E-2</v>
      </c>
      <c r="Y131">
        <f t="shared" si="49"/>
        <v>3.8356164383561646E-2</v>
      </c>
      <c r="Z131">
        <f t="shared" si="50"/>
        <v>3.8356164383561646E-2</v>
      </c>
      <c r="AA131">
        <f t="shared" si="51"/>
        <v>3.8356164383561646E-2</v>
      </c>
      <c r="AB131">
        <f t="shared" si="52"/>
        <v>3.8356164383561646E-2</v>
      </c>
      <c r="AC131">
        <f t="shared" si="53"/>
        <v>3.8356164383561646E-2</v>
      </c>
      <c r="AD131">
        <f t="shared" si="54"/>
        <v>3.8356164383561646E-2</v>
      </c>
      <c r="AE131">
        <f t="shared" si="55"/>
        <v>3.8356164383561646E-2</v>
      </c>
      <c r="AF131">
        <f t="shared" si="56"/>
        <v>3.8356164383561646E-2</v>
      </c>
      <c r="AG131">
        <f t="shared" si="57"/>
        <v>3.8356164383561646E-2</v>
      </c>
      <c r="AH131">
        <f t="shared" si="58"/>
        <v>3.8356164383561646E-2</v>
      </c>
      <c r="AI131">
        <f t="shared" si="59"/>
        <v>3.8356164383561646E-2</v>
      </c>
      <c r="AJ131" s="2" t="str">
        <f t="shared" ref="AJ131:AJ194" si="69">A131&amp;B131</f>
        <v>1244105</v>
      </c>
    </row>
    <row r="132" spans="1:36" x14ac:dyDescent="0.25">
      <c r="A132">
        <v>0</v>
      </c>
      <c r="B132" s="1">
        <v>44136</v>
      </c>
      <c r="C132" s="1">
        <f t="shared" si="60"/>
        <v>44136</v>
      </c>
      <c r="D132" s="1">
        <f t="shared" si="61"/>
        <v>44150</v>
      </c>
      <c r="E132" s="1">
        <f t="shared" si="62"/>
        <v>44150</v>
      </c>
      <c r="F132" s="1">
        <f t="shared" si="63"/>
        <v>44166</v>
      </c>
      <c r="G132" s="1">
        <f t="shared" si="64"/>
        <v>44515</v>
      </c>
      <c r="H132">
        <f t="shared" si="65"/>
        <v>365</v>
      </c>
      <c r="I132">
        <f t="shared" si="66"/>
        <v>16</v>
      </c>
      <c r="J132">
        <f t="shared" si="67"/>
        <v>4.3835616438356165E-2</v>
      </c>
      <c r="K132">
        <f>IFERROR($J132/IF($A132&lt;COUNTIFS($K$1:K$1,"&lt;&gt;"),0,SUMIFS($J:$J,$B:$B,$B132,$A:$A,"&gt;="&amp;COUNTIFS($K$1:K$1,"&lt;&gt;"))),0)</f>
        <v>0</v>
      </c>
      <c r="L132">
        <f>IFERROR($J132/IF($A132&lt;COUNTIFS($K$1:L$1,"&lt;&gt;"),0,SUMIFS($J:$J,$B:$B,$B132,$A:$A,"&gt;="&amp;COUNTIFS($K$1:L$1,"&lt;&gt;"))),0)</f>
        <v>0</v>
      </c>
      <c r="M132">
        <f>IFERROR($J132/IF($A132&lt;COUNTIFS($K$1:M$1,"&lt;&gt;"),0,SUMIFS($J:$J,$B:$B,$B132,$A:$A,"&gt;="&amp;COUNTIFS($K$1:M$1,"&lt;&gt;"))),0)</f>
        <v>0</v>
      </c>
      <c r="N132">
        <f>IFERROR($J132/IF($A132&lt;COUNTIFS($K$1:N$1,"&lt;&gt;"),0,SUMIFS($J:$J,$B:$B,$B132,$A:$A,"&gt;="&amp;COUNTIFS($K$1:N$1,"&lt;&gt;"))),0)</f>
        <v>0</v>
      </c>
      <c r="O132">
        <f>IFERROR($J132/IF($A132&lt;COUNTIFS($K$1:O$1,"&lt;&gt;"),0,SUMIFS($J:$J,$B:$B,$B132,$A:$A,"&gt;="&amp;COUNTIFS($K$1:O$1,"&lt;&gt;"))),0)</f>
        <v>0</v>
      </c>
      <c r="P132">
        <f>IFERROR($J132/IF($A132&lt;COUNTIFS($K$1:P$1,"&lt;&gt;"),0,SUMIFS($J:$J,$B:$B,$B132,$A:$A,"&gt;="&amp;COUNTIFS($K$1:P$1,"&lt;&gt;"))),0)</f>
        <v>0</v>
      </c>
      <c r="Q132">
        <f>IFERROR($J132/IF($A132&lt;COUNTIFS($K$1:Q$1,"&lt;&gt;"),0,SUMIFS($J:$J,$B:$B,$B132,$A:$A,"&gt;="&amp;COUNTIFS($K$1:Q$1,"&lt;&gt;"))),0)</f>
        <v>0</v>
      </c>
      <c r="R132">
        <f>IFERROR($J132/IF($A132&lt;COUNTIFS($K$1:R$1,"&lt;&gt;"),0,SUMIFS($J:$J,$B:$B,$B132,$A:$A,"&gt;="&amp;COUNTIFS($K$1:R$1,"&lt;&gt;"))),0)</f>
        <v>0</v>
      </c>
      <c r="S132">
        <f>IFERROR($J132/IF($A132&lt;COUNTIFS($K$1:S$1,"&lt;&gt;"),0,SUMIFS($J:$J,$B:$B,$B132,$A:$A,"&gt;="&amp;COUNTIFS($K$1:S$1,"&lt;&gt;"))),0)</f>
        <v>0</v>
      </c>
      <c r="T132">
        <f>IFERROR($J132/IF($A132&lt;COUNTIFS($K$1:T$1,"&lt;&gt;"),0,SUMIFS($J:$J,$B:$B,$B132,$A:$A,"&gt;="&amp;COUNTIFS($K$1:T$1,"&lt;&gt;"))),0)</f>
        <v>0</v>
      </c>
      <c r="U132">
        <f>IFERROR($J132/IF($A132&lt;COUNTIFS($K$1:U$1,"&lt;&gt;"),0,SUMIFS($J:$J,$B:$B,$B132,$A:$A,"&gt;="&amp;COUNTIFS($K$1:U$1,"&lt;&gt;"))),0)</f>
        <v>0</v>
      </c>
      <c r="V132">
        <f>IFERROR($J132/IF($A132&lt;COUNTIFS($K$1:V$1,"&lt;&gt;"),0,SUMIFS($J:$J,$B:$B,$B132,$A:$A,"&gt;="&amp;COUNTIFS($K$1:V$1,"&lt;&gt;"))),0)</f>
        <v>0</v>
      </c>
      <c r="W132">
        <f t="shared" si="68"/>
        <v>4.3835616438356165E-2</v>
      </c>
      <c r="X132">
        <f t="shared" si="48"/>
        <v>0</v>
      </c>
      <c r="Y132">
        <f t="shared" si="49"/>
        <v>0</v>
      </c>
      <c r="Z132">
        <f t="shared" si="50"/>
        <v>0</v>
      </c>
      <c r="AA132">
        <f t="shared" si="51"/>
        <v>0</v>
      </c>
      <c r="AB132">
        <f t="shared" si="52"/>
        <v>0</v>
      </c>
      <c r="AC132">
        <f t="shared" si="53"/>
        <v>0</v>
      </c>
      <c r="AD132">
        <f t="shared" si="54"/>
        <v>0</v>
      </c>
      <c r="AE132">
        <f t="shared" si="55"/>
        <v>0</v>
      </c>
      <c r="AF132">
        <f t="shared" si="56"/>
        <v>0</v>
      </c>
      <c r="AG132">
        <f t="shared" si="57"/>
        <v>0</v>
      </c>
      <c r="AH132">
        <f t="shared" si="58"/>
        <v>0</v>
      </c>
      <c r="AI132">
        <f t="shared" si="59"/>
        <v>0</v>
      </c>
      <c r="AJ132" s="2" t="str">
        <f t="shared" si="69"/>
        <v>044136</v>
      </c>
    </row>
    <row r="133" spans="1:36" x14ac:dyDescent="0.25">
      <c r="A133">
        <v>1</v>
      </c>
      <c r="B133" s="1">
        <v>44136</v>
      </c>
      <c r="C133" s="1">
        <f t="shared" si="60"/>
        <v>44166</v>
      </c>
      <c r="D133" s="1">
        <f t="shared" si="61"/>
        <v>44150</v>
      </c>
      <c r="E133" s="1">
        <f t="shared" si="62"/>
        <v>44166</v>
      </c>
      <c r="F133" s="1">
        <f t="shared" si="63"/>
        <v>44197</v>
      </c>
      <c r="G133" s="1">
        <f t="shared" si="64"/>
        <v>44515</v>
      </c>
      <c r="H133">
        <f t="shared" si="65"/>
        <v>365</v>
      </c>
      <c r="I133">
        <f t="shared" si="66"/>
        <v>31</v>
      </c>
      <c r="J133">
        <f t="shared" si="67"/>
        <v>8.4931506849315067E-2</v>
      </c>
      <c r="K133">
        <f>IFERROR($J133/IF($A133&lt;COUNTIFS($K$1:K$1,"&lt;&gt;"),0,SUMIFS($J:$J,$B:$B,$B133,$A:$A,"&gt;="&amp;COUNTIFS($K$1:K$1,"&lt;&gt;"))),0)</f>
        <v>8.8825214899713484E-2</v>
      </c>
      <c r="L133">
        <f>IFERROR($J133/IF($A133&lt;COUNTIFS($K$1:L$1,"&lt;&gt;"),0,SUMIFS($J:$J,$B:$B,$B133,$A:$A,"&gt;="&amp;COUNTIFS($K$1:L$1,"&lt;&gt;"))),0)</f>
        <v>0</v>
      </c>
      <c r="M133">
        <f>IFERROR($J133/IF($A133&lt;COUNTIFS($K$1:M$1,"&lt;&gt;"),0,SUMIFS($J:$J,$B:$B,$B133,$A:$A,"&gt;="&amp;COUNTIFS($K$1:M$1,"&lt;&gt;"))),0)</f>
        <v>0</v>
      </c>
      <c r="N133">
        <f>IFERROR($J133/IF($A133&lt;COUNTIFS($K$1:N$1,"&lt;&gt;"),0,SUMIFS($J:$J,$B:$B,$B133,$A:$A,"&gt;="&amp;COUNTIFS($K$1:N$1,"&lt;&gt;"))),0)</f>
        <v>0</v>
      </c>
      <c r="O133">
        <f>IFERROR($J133/IF($A133&lt;COUNTIFS($K$1:O$1,"&lt;&gt;"),0,SUMIFS($J:$J,$B:$B,$B133,$A:$A,"&gt;="&amp;COUNTIFS($K$1:O$1,"&lt;&gt;"))),0)</f>
        <v>0</v>
      </c>
      <c r="P133">
        <f>IFERROR($J133/IF($A133&lt;COUNTIFS($K$1:P$1,"&lt;&gt;"),0,SUMIFS($J:$J,$B:$B,$B133,$A:$A,"&gt;="&amp;COUNTIFS($K$1:P$1,"&lt;&gt;"))),0)</f>
        <v>0</v>
      </c>
      <c r="Q133">
        <f>IFERROR($J133/IF($A133&lt;COUNTIFS($K$1:Q$1,"&lt;&gt;"),0,SUMIFS($J:$J,$B:$B,$B133,$A:$A,"&gt;="&amp;COUNTIFS($K$1:Q$1,"&lt;&gt;"))),0)</f>
        <v>0</v>
      </c>
      <c r="R133">
        <f>IFERROR($J133/IF($A133&lt;COUNTIFS($K$1:R$1,"&lt;&gt;"),0,SUMIFS($J:$J,$B:$B,$B133,$A:$A,"&gt;="&amp;COUNTIFS($K$1:R$1,"&lt;&gt;"))),0)</f>
        <v>0</v>
      </c>
      <c r="S133">
        <f>IFERROR($J133/IF($A133&lt;COUNTIFS($K$1:S$1,"&lt;&gt;"),0,SUMIFS($J:$J,$B:$B,$B133,$A:$A,"&gt;="&amp;COUNTIFS($K$1:S$1,"&lt;&gt;"))),0)</f>
        <v>0</v>
      </c>
      <c r="T133">
        <f>IFERROR($J133/IF($A133&lt;COUNTIFS($K$1:T$1,"&lt;&gt;"),0,SUMIFS($J:$J,$B:$B,$B133,$A:$A,"&gt;="&amp;COUNTIFS($K$1:T$1,"&lt;&gt;"))),0)</f>
        <v>0</v>
      </c>
      <c r="U133">
        <f>IFERROR($J133/IF($A133&lt;COUNTIFS($K$1:U$1,"&lt;&gt;"),0,SUMIFS($J:$J,$B:$B,$B133,$A:$A,"&gt;="&amp;COUNTIFS($K$1:U$1,"&lt;&gt;"))),0)</f>
        <v>0</v>
      </c>
      <c r="V133">
        <f>IFERROR($J133/IF($A133&lt;COUNTIFS($K$1:V$1,"&lt;&gt;"),0,SUMIFS($J:$J,$B:$B,$B133,$A:$A,"&gt;="&amp;COUNTIFS($K$1:V$1,"&lt;&gt;"))),0)</f>
        <v>0</v>
      </c>
      <c r="W133">
        <f t="shared" si="68"/>
        <v>8.4931506849315067E-2</v>
      </c>
      <c r="X133">
        <f t="shared" si="48"/>
        <v>8.4931506849315067E-2</v>
      </c>
      <c r="Y133">
        <f t="shared" si="49"/>
        <v>0</v>
      </c>
      <c r="Z133">
        <f t="shared" si="50"/>
        <v>0</v>
      </c>
      <c r="AA133">
        <f t="shared" si="51"/>
        <v>0</v>
      </c>
      <c r="AB133">
        <f t="shared" si="52"/>
        <v>0</v>
      </c>
      <c r="AC133">
        <f t="shared" si="53"/>
        <v>0</v>
      </c>
      <c r="AD133">
        <f t="shared" si="54"/>
        <v>0</v>
      </c>
      <c r="AE133">
        <f t="shared" si="55"/>
        <v>0</v>
      </c>
      <c r="AF133">
        <f t="shared" si="56"/>
        <v>0</v>
      </c>
      <c r="AG133">
        <f t="shared" si="57"/>
        <v>0</v>
      </c>
      <c r="AH133">
        <f t="shared" si="58"/>
        <v>0</v>
      </c>
      <c r="AI133">
        <f t="shared" si="59"/>
        <v>0</v>
      </c>
      <c r="AJ133" s="2" t="str">
        <f t="shared" si="69"/>
        <v>144136</v>
      </c>
    </row>
    <row r="134" spans="1:36" x14ac:dyDescent="0.25">
      <c r="A134">
        <v>2</v>
      </c>
      <c r="B134" s="1">
        <v>44136</v>
      </c>
      <c r="C134" s="1">
        <f t="shared" si="60"/>
        <v>44197</v>
      </c>
      <c r="D134" s="1">
        <f t="shared" si="61"/>
        <v>44150</v>
      </c>
      <c r="E134" s="1">
        <f t="shared" si="62"/>
        <v>44197</v>
      </c>
      <c r="F134" s="1">
        <f t="shared" si="63"/>
        <v>44228</v>
      </c>
      <c r="G134" s="1">
        <f t="shared" si="64"/>
        <v>44515</v>
      </c>
      <c r="H134">
        <f t="shared" si="65"/>
        <v>365</v>
      </c>
      <c r="I134">
        <f t="shared" si="66"/>
        <v>31</v>
      </c>
      <c r="J134">
        <f t="shared" si="67"/>
        <v>8.4931506849315067E-2</v>
      </c>
      <c r="K134">
        <f>IFERROR($J134/IF($A134&lt;COUNTIFS($K$1:K$1,"&lt;&gt;"),0,SUMIFS($J:$J,$B:$B,$B134,$A:$A,"&gt;="&amp;COUNTIFS($K$1:K$1,"&lt;&gt;"))),0)</f>
        <v>8.8825214899713484E-2</v>
      </c>
      <c r="L134">
        <f>IFERROR($J134/IF($A134&lt;COUNTIFS($K$1:L$1,"&lt;&gt;"),0,SUMIFS($J:$J,$B:$B,$B134,$A:$A,"&gt;="&amp;COUNTIFS($K$1:L$1,"&lt;&gt;"))),0)</f>
        <v>9.7484276729559768E-2</v>
      </c>
      <c r="M134">
        <f>IFERROR($J134/IF($A134&lt;COUNTIFS($K$1:M$1,"&lt;&gt;"),0,SUMIFS($J:$J,$B:$B,$B134,$A:$A,"&gt;="&amp;COUNTIFS($K$1:M$1,"&lt;&gt;"))),0)</f>
        <v>0</v>
      </c>
      <c r="N134">
        <f>IFERROR($J134/IF($A134&lt;COUNTIFS($K$1:N$1,"&lt;&gt;"),0,SUMIFS($J:$J,$B:$B,$B134,$A:$A,"&gt;="&amp;COUNTIFS($K$1:N$1,"&lt;&gt;"))),0)</f>
        <v>0</v>
      </c>
      <c r="O134">
        <f>IFERROR($J134/IF($A134&lt;COUNTIFS($K$1:O$1,"&lt;&gt;"),0,SUMIFS($J:$J,$B:$B,$B134,$A:$A,"&gt;="&amp;COUNTIFS($K$1:O$1,"&lt;&gt;"))),0)</f>
        <v>0</v>
      </c>
      <c r="P134">
        <f>IFERROR($J134/IF($A134&lt;COUNTIFS($K$1:P$1,"&lt;&gt;"),0,SUMIFS($J:$J,$B:$B,$B134,$A:$A,"&gt;="&amp;COUNTIFS($K$1:P$1,"&lt;&gt;"))),0)</f>
        <v>0</v>
      </c>
      <c r="Q134">
        <f>IFERROR($J134/IF($A134&lt;COUNTIFS($K$1:Q$1,"&lt;&gt;"),0,SUMIFS($J:$J,$B:$B,$B134,$A:$A,"&gt;="&amp;COUNTIFS($K$1:Q$1,"&lt;&gt;"))),0)</f>
        <v>0</v>
      </c>
      <c r="R134">
        <f>IFERROR($J134/IF($A134&lt;COUNTIFS($K$1:R$1,"&lt;&gt;"),0,SUMIFS($J:$J,$B:$B,$B134,$A:$A,"&gt;="&amp;COUNTIFS($K$1:R$1,"&lt;&gt;"))),0)</f>
        <v>0</v>
      </c>
      <c r="S134">
        <f>IFERROR($J134/IF($A134&lt;COUNTIFS($K$1:S$1,"&lt;&gt;"),0,SUMIFS($J:$J,$B:$B,$B134,$A:$A,"&gt;="&amp;COUNTIFS($K$1:S$1,"&lt;&gt;"))),0)</f>
        <v>0</v>
      </c>
      <c r="T134">
        <f>IFERROR($J134/IF($A134&lt;COUNTIFS($K$1:T$1,"&lt;&gt;"),0,SUMIFS($J:$J,$B:$B,$B134,$A:$A,"&gt;="&amp;COUNTIFS($K$1:T$1,"&lt;&gt;"))),0)</f>
        <v>0</v>
      </c>
      <c r="U134">
        <f>IFERROR($J134/IF($A134&lt;COUNTIFS($K$1:U$1,"&lt;&gt;"),0,SUMIFS($J:$J,$B:$B,$B134,$A:$A,"&gt;="&amp;COUNTIFS($K$1:U$1,"&lt;&gt;"))),0)</f>
        <v>0</v>
      </c>
      <c r="V134">
        <f>IFERROR($J134/IF($A134&lt;COUNTIFS($K$1:V$1,"&lt;&gt;"),0,SUMIFS($J:$J,$B:$B,$B134,$A:$A,"&gt;="&amp;COUNTIFS($K$1:V$1,"&lt;&gt;"))),0)</f>
        <v>0</v>
      </c>
      <c r="W134">
        <f t="shared" si="68"/>
        <v>8.4931506849315067E-2</v>
      </c>
      <c r="X134">
        <f t="shared" si="48"/>
        <v>8.4931506849315067E-2</v>
      </c>
      <c r="Y134">
        <f t="shared" si="49"/>
        <v>8.4931506849315067E-2</v>
      </c>
      <c r="Z134">
        <f t="shared" si="50"/>
        <v>0</v>
      </c>
      <c r="AA134">
        <f t="shared" si="51"/>
        <v>0</v>
      </c>
      <c r="AB134">
        <f t="shared" si="52"/>
        <v>0</v>
      </c>
      <c r="AC134">
        <f t="shared" si="53"/>
        <v>0</v>
      </c>
      <c r="AD134">
        <f t="shared" si="54"/>
        <v>0</v>
      </c>
      <c r="AE134">
        <f t="shared" si="55"/>
        <v>0</v>
      </c>
      <c r="AF134">
        <f t="shared" si="56"/>
        <v>0</v>
      </c>
      <c r="AG134">
        <f t="shared" si="57"/>
        <v>0</v>
      </c>
      <c r="AH134">
        <f t="shared" si="58"/>
        <v>0</v>
      </c>
      <c r="AI134">
        <f t="shared" si="59"/>
        <v>0</v>
      </c>
      <c r="AJ134" s="2" t="str">
        <f t="shared" si="69"/>
        <v>244136</v>
      </c>
    </row>
    <row r="135" spans="1:36" x14ac:dyDescent="0.25">
      <c r="A135">
        <v>3</v>
      </c>
      <c r="B135" s="1">
        <v>44136</v>
      </c>
      <c r="C135" s="1">
        <f t="shared" si="60"/>
        <v>44228</v>
      </c>
      <c r="D135" s="1">
        <f t="shared" si="61"/>
        <v>44150</v>
      </c>
      <c r="E135" s="1">
        <f t="shared" si="62"/>
        <v>44228</v>
      </c>
      <c r="F135" s="1">
        <f t="shared" si="63"/>
        <v>44256</v>
      </c>
      <c r="G135" s="1">
        <f t="shared" si="64"/>
        <v>44515</v>
      </c>
      <c r="H135">
        <f t="shared" si="65"/>
        <v>365</v>
      </c>
      <c r="I135">
        <f t="shared" si="66"/>
        <v>28</v>
      </c>
      <c r="J135">
        <f t="shared" si="67"/>
        <v>7.6712328767123292E-2</v>
      </c>
      <c r="K135">
        <f>IFERROR($J135/IF($A135&lt;COUNTIFS($K$1:K$1,"&lt;&gt;"),0,SUMIFS($J:$J,$B:$B,$B135,$A:$A,"&gt;="&amp;COUNTIFS($K$1:K$1,"&lt;&gt;"))),0)</f>
        <v>8.0229226361031539E-2</v>
      </c>
      <c r="L135">
        <f>IFERROR($J135/IF($A135&lt;COUNTIFS($K$1:L$1,"&lt;&gt;"),0,SUMIFS($J:$J,$B:$B,$B135,$A:$A,"&gt;="&amp;COUNTIFS($K$1:L$1,"&lt;&gt;"))),0)</f>
        <v>8.8050314465408827E-2</v>
      </c>
      <c r="M135">
        <f>IFERROR($J135/IF($A135&lt;COUNTIFS($K$1:M$1,"&lt;&gt;"),0,SUMIFS($J:$J,$B:$B,$B135,$A:$A,"&gt;="&amp;COUNTIFS($K$1:M$1,"&lt;&gt;"))),0)</f>
        <v>9.7560975609756115E-2</v>
      </c>
      <c r="N135">
        <f>IFERROR($J135/IF($A135&lt;COUNTIFS($K$1:N$1,"&lt;&gt;"),0,SUMIFS($J:$J,$B:$B,$B135,$A:$A,"&gt;="&amp;COUNTIFS($K$1:N$1,"&lt;&gt;"))),0)</f>
        <v>0</v>
      </c>
      <c r="O135">
        <f>IFERROR($J135/IF($A135&lt;COUNTIFS($K$1:O$1,"&lt;&gt;"),0,SUMIFS($J:$J,$B:$B,$B135,$A:$A,"&gt;="&amp;COUNTIFS($K$1:O$1,"&lt;&gt;"))),0)</f>
        <v>0</v>
      </c>
      <c r="P135">
        <f>IFERROR($J135/IF($A135&lt;COUNTIFS($K$1:P$1,"&lt;&gt;"),0,SUMIFS($J:$J,$B:$B,$B135,$A:$A,"&gt;="&amp;COUNTIFS($K$1:P$1,"&lt;&gt;"))),0)</f>
        <v>0</v>
      </c>
      <c r="Q135">
        <f>IFERROR($J135/IF($A135&lt;COUNTIFS($K$1:Q$1,"&lt;&gt;"),0,SUMIFS($J:$J,$B:$B,$B135,$A:$A,"&gt;="&amp;COUNTIFS($K$1:Q$1,"&lt;&gt;"))),0)</f>
        <v>0</v>
      </c>
      <c r="R135">
        <f>IFERROR($J135/IF($A135&lt;COUNTIFS($K$1:R$1,"&lt;&gt;"),0,SUMIFS($J:$J,$B:$B,$B135,$A:$A,"&gt;="&amp;COUNTIFS($K$1:R$1,"&lt;&gt;"))),0)</f>
        <v>0</v>
      </c>
      <c r="S135">
        <f>IFERROR($J135/IF($A135&lt;COUNTIFS($K$1:S$1,"&lt;&gt;"),0,SUMIFS($J:$J,$B:$B,$B135,$A:$A,"&gt;="&amp;COUNTIFS($K$1:S$1,"&lt;&gt;"))),0)</f>
        <v>0</v>
      </c>
      <c r="T135">
        <f>IFERROR($J135/IF($A135&lt;COUNTIFS($K$1:T$1,"&lt;&gt;"),0,SUMIFS($J:$J,$B:$B,$B135,$A:$A,"&gt;="&amp;COUNTIFS($K$1:T$1,"&lt;&gt;"))),0)</f>
        <v>0</v>
      </c>
      <c r="U135">
        <f>IFERROR($J135/IF($A135&lt;COUNTIFS($K$1:U$1,"&lt;&gt;"),0,SUMIFS($J:$J,$B:$B,$B135,$A:$A,"&gt;="&amp;COUNTIFS($K$1:U$1,"&lt;&gt;"))),0)</f>
        <v>0</v>
      </c>
      <c r="V135">
        <f>IFERROR($J135/IF($A135&lt;COUNTIFS($K$1:V$1,"&lt;&gt;"),0,SUMIFS($J:$J,$B:$B,$B135,$A:$A,"&gt;="&amp;COUNTIFS($K$1:V$1,"&lt;&gt;"))),0)</f>
        <v>0</v>
      </c>
      <c r="W135">
        <f t="shared" si="68"/>
        <v>7.6712328767123292E-2</v>
      </c>
      <c r="X135">
        <f t="shared" si="48"/>
        <v>7.6712328767123292E-2</v>
      </c>
      <c r="Y135">
        <f t="shared" si="49"/>
        <v>7.6712328767123292E-2</v>
      </c>
      <c r="Z135">
        <f t="shared" si="50"/>
        <v>7.6712328767123292E-2</v>
      </c>
      <c r="AA135">
        <f t="shared" si="51"/>
        <v>0</v>
      </c>
      <c r="AB135">
        <f t="shared" si="52"/>
        <v>0</v>
      </c>
      <c r="AC135">
        <f t="shared" si="53"/>
        <v>0</v>
      </c>
      <c r="AD135">
        <f t="shared" si="54"/>
        <v>0</v>
      </c>
      <c r="AE135">
        <f t="shared" si="55"/>
        <v>0</v>
      </c>
      <c r="AF135">
        <f t="shared" si="56"/>
        <v>0</v>
      </c>
      <c r="AG135">
        <f t="shared" si="57"/>
        <v>0</v>
      </c>
      <c r="AH135">
        <f t="shared" si="58"/>
        <v>0</v>
      </c>
      <c r="AI135">
        <f t="shared" si="59"/>
        <v>0</v>
      </c>
      <c r="AJ135" s="2" t="str">
        <f t="shared" si="69"/>
        <v>344136</v>
      </c>
    </row>
    <row r="136" spans="1:36" x14ac:dyDescent="0.25">
      <c r="A136">
        <v>4</v>
      </c>
      <c r="B136" s="1">
        <v>44136</v>
      </c>
      <c r="C136" s="1">
        <f t="shared" si="60"/>
        <v>44256</v>
      </c>
      <c r="D136" s="1">
        <f t="shared" si="61"/>
        <v>44150</v>
      </c>
      <c r="E136" s="1">
        <f t="shared" si="62"/>
        <v>44256</v>
      </c>
      <c r="F136" s="1">
        <f t="shared" si="63"/>
        <v>44287</v>
      </c>
      <c r="G136" s="1">
        <f t="shared" si="64"/>
        <v>44515</v>
      </c>
      <c r="H136">
        <f t="shared" si="65"/>
        <v>365</v>
      </c>
      <c r="I136">
        <f t="shared" si="66"/>
        <v>31</v>
      </c>
      <c r="J136">
        <f t="shared" si="67"/>
        <v>8.4931506849315067E-2</v>
      </c>
      <c r="K136">
        <f>IFERROR($J136/IF($A136&lt;COUNTIFS($K$1:K$1,"&lt;&gt;"),0,SUMIFS($J:$J,$B:$B,$B136,$A:$A,"&gt;="&amp;COUNTIFS($K$1:K$1,"&lt;&gt;"))),0)</f>
        <v>8.8825214899713484E-2</v>
      </c>
      <c r="L136">
        <f>IFERROR($J136/IF($A136&lt;COUNTIFS($K$1:L$1,"&lt;&gt;"),0,SUMIFS($J:$J,$B:$B,$B136,$A:$A,"&gt;="&amp;COUNTIFS($K$1:L$1,"&lt;&gt;"))),0)</f>
        <v>9.7484276729559768E-2</v>
      </c>
      <c r="M136">
        <f>IFERROR($J136/IF($A136&lt;COUNTIFS($K$1:M$1,"&lt;&gt;"),0,SUMIFS($J:$J,$B:$B,$B136,$A:$A,"&gt;="&amp;COUNTIFS($K$1:M$1,"&lt;&gt;"))),0)</f>
        <v>0.10801393728222998</v>
      </c>
      <c r="N136">
        <f>IFERROR($J136/IF($A136&lt;COUNTIFS($K$1:N$1,"&lt;&gt;"),0,SUMIFS($J:$J,$B:$B,$B136,$A:$A,"&gt;="&amp;COUNTIFS($K$1:N$1,"&lt;&gt;"))),0)</f>
        <v>0.11969111969111972</v>
      </c>
      <c r="O136">
        <f>IFERROR($J136/IF($A136&lt;COUNTIFS($K$1:O$1,"&lt;&gt;"),0,SUMIFS($J:$J,$B:$B,$B136,$A:$A,"&gt;="&amp;COUNTIFS($K$1:O$1,"&lt;&gt;"))),0)</f>
        <v>0</v>
      </c>
      <c r="P136">
        <f>IFERROR($J136/IF($A136&lt;COUNTIFS($K$1:P$1,"&lt;&gt;"),0,SUMIFS($J:$J,$B:$B,$B136,$A:$A,"&gt;="&amp;COUNTIFS($K$1:P$1,"&lt;&gt;"))),0)</f>
        <v>0</v>
      </c>
      <c r="Q136">
        <f>IFERROR($J136/IF($A136&lt;COUNTIFS($K$1:Q$1,"&lt;&gt;"),0,SUMIFS($J:$J,$B:$B,$B136,$A:$A,"&gt;="&amp;COUNTIFS($K$1:Q$1,"&lt;&gt;"))),0)</f>
        <v>0</v>
      </c>
      <c r="R136">
        <f>IFERROR($J136/IF($A136&lt;COUNTIFS($K$1:R$1,"&lt;&gt;"),0,SUMIFS($J:$J,$B:$B,$B136,$A:$A,"&gt;="&amp;COUNTIFS($K$1:R$1,"&lt;&gt;"))),0)</f>
        <v>0</v>
      </c>
      <c r="S136">
        <f>IFERROR($J136/IF($A136&lt;COUNTIFS($K$1:S$1,"&lt;&gt;"),0,SUMIFS($J:$J,$B:$B,$B136,$A:$A,"&gt;="&amp;COUNTIFS($K$1:S$1,"&lt;&gt;"))),0)</f>
        <v>0</v>
      </c>
      <c r="T136">
        <f>IFERROR($J136/IF($A136&lt;COUNTIFS($K$1:T$1,"&lt;&gt;"),0,SUMIFS($J:$J,$B:$B,$B136,$A:$A,"&gt;="&amp;COUNTIFS($K$1:T$1,"&lt;&gt;"))),0)</f>
        <v>0</v>
      </c>
      <c r="U136">
        <f>IFERROR($J136/IF($A136&lt;COUNTIFS($K$1:U$1,"&lt;&gt;"),0,SUMIFS($J:$J,$B:$B,$B136,$A:$A,"&gt;="&amp;COUNTIFS($K$1:U$1,"&lt;&gt;"))),0)</f>
        <v>0</v>
      </c>
      <c r="V136">
        <f>IFERROR($J136/IF($A136&lt;COUNTIFS($K$1:V$1,"&lt;&gt;"),0,SUMIFS($J:$J,$B:$B,$B136,$A:$A,"&gt;="&amp;COUNTIFS($K$1:V$1,"&lt;&gt;"))),0)</f>
        <v>0</v>
      </c>
      <c r="W136">
        <f t="shared" si="68"/>
        <v>8.4931506849315067E-2</v>
      </c>
      <c r="X136">
        <f t="shared" si="48"/>
        <v>8.4931506849315067E-2</v>
      </c>
      <c r="Y136">
        <f t="shared" si="49"/>
        <v>8.4931506849315067E-2</v>
      </c>
      <c r="Z136">
        <f t="shared" si="50"/>
        <v>8.4931506849315067E-2</v>
      </c>
      <c r="AA136">
        <f t="shared" si="51"/>
        <v>8.4931506849315067E-2</v>
      </c>
      <c r="AB136">
        <f t="shared" si="52"/>
        <v>0</v>
      </c>
      <c r="AC136">
        <f t="shared" si="53"/>
        <v>0</v>
      </c>
      <c r="AD136">
        <f t="shared" si="54"/>
        <v>0</v>
      </c>
      <c r="AE136">
        <f t="shared" si="55"/>
        <v>0</v>
      </c>
      <c r="AF136">
        <f t="shared" si="56"/>
        <v>0</v>
      </c>
      <c r="AG136">
        <f t="shared" si="57"/>
        <v>0</v>
      </c>
      <c r="AH136">
        <f t="shared" si="58"/>
        <v>0</v>
      </c>
      <c r="AI136">
        <f t="shared" si="59"/>
        <v>0</v>
      </c>
      <c r="AJ136" s="2" t="str">
        <f t="shared" si="69"/>
        <v>444136</v>
      </c>
    </row>
    <row r="137" spans="1:36" x14ac:dyDescent="0.25">
      <c r="A137">
        <v>5</v>
      </c>
      <c r="B137" s="1">
        <v>44136</v>
      </c>
      <c r="C137" s="1">
        <f t="shared" si="60"/>
        <v>44287</v>
      </c>
      <c r="D137" s="1">
        <f t="shared" si="61"/>
        <v>44150</v>
      </c>
      <c r="E137" s="1">
        <f t="shared" si="62"/>
        <v>44287</v>
      </c>
      <c r="F137" s="1">
        <f t="shared" si="63"/>
        <v>44317</v>
      </c>
      <c r="G137" s="1">
        <f t="shared" si="64"/>
        <v>44515</v>
      </c>
      <c r="H137">
        <f t="shared" si="65"/>
        <v>365</v>
      </c>
      <c r="I137">
        <f t="shared" si="66"/>
        <v>30</v>
      </c>
      <c r="J137">
        <f t="shared" si="67"/>
        <v>8.2191780821917804E-2</v>
      </c>
      <c r="K137">
        <f>IFERROR($J137/IF($A137&lt;COUNTIFS($K$1:K$1,"&lt;&gt;"),0,SUMIFS($J:$J,$B:$B,$B137,$A:$A,"&gt;="&amp;COUNTIFS($K$1:K$1,"&lt;&gt;"))),0)</f>
        <v>8.5959885386819493E-2</v>
      </c>
      <c r="L137">
        <f>IFERROR($J137/IF($A137&lt;COUNTIFS($K$1:L$1,"&lt;&gt;"),0,SUMIFS($J:$J,$B:$B,$B137,$A:$A,"&gt;="&amp;COUNTIFS($K$1:L$1,"&lt;&gt;"))),0)</f>
        <v>9.4339622641509441E-2</v>
      </c>
      <c r="M137">
        <f>IFERROR($J137/IF($A137&lt;COUNTIFS($K$1:M$1,"&lt;&gt;"),0,SUMIFS($J:$J,$B:$B,$B137,$A:$A,"&gt;="&amp;COUNTIFS($K$1:M$1,"&lt;&gt;"))),0)</f>
        <v>0.10452961672473869</v>
      </c>
      <c r="N137">
        <f>IFERROR($J137/IF($A137&lt;COUNTIFS($K$1:N$1,"&lt;&gt;"),0,SUMIFS($J:$J,$B:$B,$B137,$A:$A,"&gt;="&amp;COUNTIFS($K$1:N$1,"&lt;&gt;"))),0)</f>
        <v>0.11583011583011585</v>
      </c>
      <c r="O137">
        <f>IFERROR($J137/IF($A137&lt;COUNTIFS($K$1:O$1,"&lt;&gt;"),0,SUMIFS($J:$J,$B:$B,$B137,$A:$A,"&gt;="&amp;COUNTIFS($K$1:O$1,"&lt;&gt;"))),0)</f>
        <v>0.13157894736842107</v>
      </c>
      <c r="P137">
        <f>IFERROR($J137/IF($A137&lt;COUNTIFS($K$1:P$1,"&lt;&gt;"),0,SUMIFS($J:$J,$B:$B,$B137,$A:$A,"&gt;="&amp;COUNTIFS($K$1:P$1,"&lt;&gt;"))),0)</f>
        <v>0</v>
      </c>
      <c r="Q137">
        <f>IFERROR($J137/IF($A137&lt;COUNTIFS($K$1:Q$1,"&lt;&gt;"),0,SUMIFS($J:$J,$B:$B,$B137,$A:$A,"&gt;="&amp;COUNTIFS($K$1:Q$1,"&lt;&gt;"))),0)</f>
        <v>0</v>
      </c>
      <c r="R137">
        <f>IFERROR($J137/IF($A137&lt;COUNTIFS($K$1:R$1,"&lt;&gt;"),0,SUMIFS($J:$J,$B:$B,$B137,$A:$A,"&gt;="&amp;COUNTIFS($K$1:R$1,"&lt;&gt;"))),0)</f>
        <v>0</v>
      </c>
      <c r="S137">
        <f>IFERROR($J137/IF($A137&lt;COUNTIFS($K$1:S$1,"&lt;&gt;"),0,SUMIFS($J:$J,$B:$B,$B137,$A:$A,"&gt;="&amp;COUNTIFS($K$1:S$1,"&lt;&gt;"))),0)</f>
        <v>0</v>
      </c>
      <c r="T137">
        <f>IFERROR($J137/IF($A137&lt;COUNTIFS($K$1:T$1,"&lt;&gt;"),0,SUMIFS($J:$J,$B:$B,$B137,$A:$A,"&gt;="&amp;COUNTIFS($K$1:T$1,"&lt;&gt;"))),0)</f>
        <v>0</v>
      </c>
      <c r="U137">
        <f>IFERROR($J137/IF($A137&lt;COUNTIFS($K$1:U$1,"&lt;&gt;"),0,SUMIFS($J:$J,$B:$B,$B137,$A:$A,"&gt;="&amp;COUNTIFS($K$1:U$1,"&lt;&gt;"))),0)</f>
        <v>0</v>
      </c>
      <c r="V137">
        <f>IFERROR($J137/IF($A137&lt;COUNTIFS($K$1:V$1,"&lt;&gt;"),0,SUMIFS($J:$J,$B:$B,$B137,$A:$A,"&gt;="&amp;COUNTIFS($K$1:V$1,"&lt;&gt;"))),0)</f>
        <v>0</v>
      </c>
      <c r="W137">
        <f t="shared" si="68"/>
        <v>8.2191780821917804E-2</v>
      </c>
      <c r="X137">
        <f t="shared" si="48"/>
        <v>8.2191780821917804E-2</v>
      </c>
      <c r="Y137">
        <f t="shared" si="49"/>
        <v>8.2191780821917804E-2</v>
      </c>
      <c r="Z137">
        <f t="shared" si="50"/>
        <v>8.2191780821917804E-2</v>
      </c>
      <c r="AA137">
        <f t="shared" si="51"/>
        <v>8.2191780821917804E-2</v>
      </c>
      <c r="AB137">
        <f t="shared" si="52"/>
        <v>8.2191780821917804E-2</v>
      </c>
      <c r="AC137">
        <f t="shared" si="53"/>
        <v>0</v>
      </c>
      <c r="AD137">
        <f t="shared" si="54"/>
        <v>0</v>
      </c>
      <c r="AE137">
        <f t="shared" si="55"/>
        <v>0</v>
      </c>
      <c r="AF137">
        <f t="shared" si="56"/>
        <v>0</v>
      </c>
      <c r="AG137">
        <f t="shared" si="57"/>
        <v>0</v>
      </c>
      <c r="AH137">
        <f t="shared" si="58"/>
        <v>0</v>
      </c>
      <c r="AI137">
        <f t="shared" si="59"/>
        <v>0</v>
      </c>
      <c r="AJ137" s="2" t="str">
        <f t="shared" si="69"/>
        <v>544136</v>
      </c>
    </row>
    <row r="138" spans="1:36" x14ac:dyDescent="0.25">
      <c r="A138">
        <v>6</v>
      </c>
      <c r="B138" s="1">
        <v>44136</v>
      </c>
      <c r="C138" s="1">
        <f t="shared" si="60"/>
        <v>44317</v>
      </c>
      <c r="D138" s="1">
        <f t="shared" si="61"/>
        <v>44150</v>
      </c>
      <c r="E138" s="1">
        <f t="shared" si="62"/>
        <v>44317</v>
      </c>
      <c r="F138" s="1">
        <f t="shared" si="63"/>
        <v>44348</v>
      </c>
      <c r="G138" s="1">
        <f t="shared" si="64"/>
        <v>44515</v>
      </c>
      <c r="H138">
        <f t="shared" si="65"/>
        <v>365</v>
      </c>
      <c r="I138">
        <f t="shared" si="66"/>
        <v>31</v>
      </c>
      <c r="J138">
        <f t="shared" si="67"/>
        <v>8.4931506849315067E-2</v>
      </c>
      <c r="K138">
        <f>IFERROR($J138/IF($A138&lt;COUNTIFS($K$1:K$1,"&lt;&gt;"),0,SUMIFS($J:$J,$B:$B,$B138,$A:$A,"&gt;="&amp;COUNTIFS($K$1:K$1,"&lt;&gt;"))),0)</f>
        <v>8.8825214899713484E-2</v>
      </c>
      <c r="L138">
        <f>IFERROR($J138/IF($A138&lt;COUNTIFS($K$1:L$1,"&lt;&gt;"),0,SUMIFS($J:$J,$B:$B,$B138,$A:$A,"&gt;="&amp;COUNTIFS($K$1:L$1,"&lt;&gt;"))),0)</f>
        <v>9.7484276729559768E-2</v>
      </c>
      <c r="M138">
        <f>IFERROR($J138/IF($A138&lt;COUNTIFS($K$1:M$1,"&lt;&gt;"),0,SUMIFS($J:$J,$B:$B,$B138,$A:$A,"&gt;="&amp;COUNTIFS($K$1:M$1,"&lt;&gt;"))),0)</f>
        <v>0.10801393728222998</v>
      </c>
      <c r="N138">
        <f>IFERROR($J138/IF($A138&lt;COUNTIFS($K$1:N$1,"&lt;&gt;"),0,SUMIFS($J:$J,$B:$B,$B138,$A:$A,"&gt;="&amp;COUNTIFS($K$1:N$1,"&lt;&gt;"))),0)</f>
        <v>0.11969111969111972</v>
      </c>
      <c r="O138">
        <f>IFERROR($J138/IF($A138&lt;COUNTIFS($K$1:O$1,"&lt;&gt;"),0,SUMIFS($J:$J,$B:$B,$B138,$A:$A,"&gt;="&amp;COUNTIFS($K$1:O$1,"&lt;&gt;"))),0)</f>
        <v>0.13596491228070179</v>
      </c>
      <c r="P138">
        <f>IFERROR($J138/IF($A138&lt;COUNTIFS($K$1:P$1,"&lt;&gt;"),0,SUMIFS($J:$J,$B:$B,$B138,$A:$A,"&gt;="&amp;COUNTIFS($K$1:P$1,"&lt;&gt;"))),0)</f>
        <v>0.1565656565656566</v>
      </c>
      <c r="Q138">
        <f>IFERROR($J138/IF($A138&lt;COUNTIFS($K$1:Q$1,"&lt;&gt;"),0,SUMIFS($J:$J,$B:$B,$B138,$A:$A,"&gt;="&amp;COUNTIFS($K$1:Q$1,"&lt;&gt;"))),0)</f>
        <v>0</v>
      </c>
      <c r="R138">
        <f>IFERROR($J138/IF($A138&lt;COUNTIFS($K$1:R$1,"&lt;&gt;"),0,SUMIFS($J:$J,$B:$B,$B138,$A:$A,"&gt;="&amp;COUNTIFS($K$1:R$1,"&lt;&gt;"))),0)</f>
        <v>0</v>
      </c>
      <c r="S138">
        <f>IFERROR($J138/IF($A138&lt;COUNTIFS($K$1:S$1,"&lt;&gt;"),0,SUMIFS($J:$J,$B:$B,$B138,$A:$A,"&gt;="&amp;COUNTIFS($K$1:S$1,"&lt;&gt;"))),0)</f>
        <v>0</v>
      </c>
      <c r="T138">
        <f>IFERROR($J138/IF($A138&lt;COUNTIFS($K$1:T$1,"&lt;&gt;"),0,SUMIFS($J:$J,$B:$B,$B138,$A:$A,"&gt;="&amp;COUNTIFS($K$1:T$1,"&lt;&gt;"))),0)</f>
        <v>0</v>
      </c>
      <c r="U138">
        <f>IFERROR($J138/IF($A138&lt;COUNTIFS($K$1:U$1,"&lt;&gt;"),0,SUMIFS($J:$J,$B:$B,$B138,$A:$A,"&gt;="&amp;COUNTIFS($K$1:U$1,"&lt;&gt;"))),0)</f>
        <v>0</v>
      </c>
      <c r="V138">
        <f>IFERROR($J138/IF($A138&lt;COUNTIFS($K$1:V$1,"&lt;&gt;"),0,SUMIFS($J:$J,$B:$B,$B138,$A:$A,"&gt;="&amp;COUNTIFS($K$1:V$1,"&lt;&gt;"))),0)</f>
        <v>0</v>
      </c>
      <c r="W138">
        <f t="shared" si="68"/>
        <v>8.4931506849315067E-2</v>
      </c>
      <c r="X138">
        <f t="shared" si="48"/>
        <v>8.4931506849315067E-2</v>
      </c>
      <c r="Y138">
        <f t="shared" si="49"/>
        <v>8.4931506849315067E-2</v>
      </c>
      <c r="Z138">
        <f t="shared" si="50"/>
        <v>8.4931506849315067E-2</v>
      </c>
      <c r="AA138">
        <f t="shared" si="51"/>
        <v>8.4931506849315067E-2</v>
      </c>
      <c r="AB138">
        <f t="shared" si="52"/>
        <v>8.4931506849315067E-2</v>
      </c>
      <c r="AC138">
        <f t="shared" si="53"/>
        <v>8.4931506849315067E-2</v>
      </c>
      <c r="AD138">
        <f t="shared" si="54"/>
        <v>0</v>
      </c>
      <c r="AE138">
        <f t="shared" si="55"/>
        <v>0</v>
      </c>
      <c r="AF138">
        <f t="shared" si="56"/>
        <v>0</v>
      </c>
      <c r="AG138">
        <f t="shared" si="57"/>
        <v>0</v>
      </c>
      <c r="AH138">
        <f t="shared" si="58"/>
        <v>0</v>
      </c>
      <c r="AI138">
        <f t="shared" si="59"/>
        <v>0</v>
      </c>
      <c r="AJ138" s="2" t="str">
        <f t="shared" si="69"/>
        <v>644136</v>
      </c>
    </row>
    <row r="139" spans="1:36" x14ac:dyDescent="0.25">
      <c r="A139">
        <v>7</v>
      </c>
      <c r="B139" s="1">
        <v>44136</v>
      </c>
      <c r="C139" s="1">
        <f t="shared" si="60"/>
        <v>44348</v>
      </c>
      <c r="D139" s="1">
        <f t="shared" si="61"/>
        <v>44150</v>
      </c>
      <c r="E139" s="1">
        <f t="shared" si="62"/>
        <v>44348</v>
      </c>
      <c r="F139" s="1">
        <f t="shared" si="63"/>
        <v>44378</v>
      </c>
      <c r="G139" s="1">
        <f t="shared" si="64"/>
        <v>44515</v>
      </c>
      <c r="H139">
        <f t="shared" si="65"/>
        <v>365</v>
      </c>
      <c r="I139">
        <f t="shared" si="66"/>
        <v>30</v>
      </c>
      <c r="J139">
        <f t="shared" si="67"/>
        <v>8.2191780821917804E-2</v>
      </c>
      <c r="K139">
        <f>IFERROR($J139/IF($A139&lt;COUNTIFS($K$1:K$1,"&lt;&gt;"),0,SUMIFS($J:$J,$B:$B,$B139,$A:$A,"&gt;="&amp;COUNTIFS($K$1:K$1,"&lt;&gt;"))),0)</f>
        <v>8.5959885386819493E-2</v>
      </c>
      <c r="L139">
        <f>IFERROR($J139/IF($A139&lt;COUNTIFS($K$1:L$1,"&lt;&gt;"),0,SUMIFS($J:$J,$B:$B,$B139,$A:$A,"&gt;="&amp;COUNTIFS($K$1:L$1,"&lt;&gt;"))),0)</f>
        <v>9.4339622641509441E-2</v>
      </c>
      <c r="M139">
        <f>IFERROR($J139/IF($A139&lt;COUNTIFS($K$1:M$1,"&lt;&gt;"),0,SUMIFS($J:$J,$B:$B,$B139,$A:$A,"&gt;="&amp;COUNTIFS($K$1:M$1,"&lt;&gt;"))),0)</f>
        <v>0.10452961672473869</v>
      </c>
      <c r="N139">
        <f>IFERROR($J139/IF($A139&lt;COUNTIFS($K$1:N$1,"&lt;&gt;"),0,SUMIFS($J:$J,$B:$B,$B139,$A:$A,"&gt;="&amp;COUNTIFS($K$1:N$1,"&lt;&gt;"))),0)</f>
        <v>0.11583011583011585</v>
      </c>
      <c r="O139">
        <f>IFERROR($J139/IF($A139&lt;COUNTIFS($K$1:O$1,"&lt;&gt;"),0,SUMIFS($J:$J,$B:$B,$B139,$A:$A,"&gt;="&amp;COUNTIFS($K$1:O$1,"&lt;&gt;"))),0)</f>
        <v>0.13157894736842107</v>
      </c>
      <c r="P139">
        <f>IFERROR($J139/IF($A139&lt;COUNTIFS($K$1:P$1,"&lt;&gt;"),0,SUMIFS($J:$J,$B:$B,$B139,$A:$A,"&gt;="&amp;COUNTIFS($K$1:P$1,"&lt;&gt;"))),0)</f>
        <v>0.15151515151515155</v>
      </c>
      <c r="Q139">
        <f>IFERROR($J139/IF($A139&lt;COUNTIFS($K$1:Q$1,"&lt;&gt;"),0,SUMIFS($J:$J,$B:$B,$B139,$A:$A,"&gt;="&amp;COUNTIFS($K$1:Q$1,"&lt;&gt;"))),0)</f>
        <v>0.17964071856287425</v>
      </c>
      <c r="R139">
        <f>IFERROR($J139/IF($A139&lt;COUNTIFS($K$1:R$1,"&lt;&gt;"),0,SUMIFS($J:$J,$B:$B,$B139,$A:$A,"&gt;="&amp;COUNTIFS($K$1:R$1,"&lt;&gt;"))),0)</f>
        <v>0</v>
      </c>
      <c r="S139">
        <f>IFERROR($J139/IF($A139&lt;COUNTIFS($K$1:S$1,"&lt;&gt;"),0,SUMIFS($J:$J,$B:$B,$B139,$A:$A,"&gt;="&amp;COUNTIFS($K$1:S$1,"&lt;&gt;"))),0)</f>
        <v>0</v>
      </c>
      <c r="T139">
        <f>IFERROR($J139/IF($A139&lt;COUNTIFS($K$1:T$1,"&lt;&gt;"),0,SUMIFS($J:$J,$B:$B,$B139,$A:$A,"&gt;="&amp;COUNTIFS($K$1:T$1,"&lt;&gt;"))),0)</f>
        <v>0</v>
      </c>
      <c r="U139">
        <f>IFERROR($J139/IF($A139&lt;COUNTIFS($K$1:U$1,"&lt;&gt;"),0,SUMIFS($J:$J,$B:$B,$B139,$A:$A,"&gt;="&amp;COUNTIFS($K$1:U$1,"&lt;&gt;"))),0)</f>
        <v>0</v>
      </c>
      <c r="V139">
        <f>IFERROR($J139/IF($A139&lt;COUNTIFS($K$1:V$1,"&lt;&gt;"),0,SUMIFS($J:$J,$B:$B,$B139,$A:$A,"&gt;="&amp;COUNTIFS($K$1:V$1,"&lt;&gt;"))),0)</f>
        <v>0</v>
      </c>
      <c r="W139">
        <f t="shared" si="68"/>
        <v>8.2191780821917804E-2</v>
      </c>
      <c r="X139">
        <f t="shared" si="48"/>
        <v>8.2191780821917804E-2</v>
      </c>
      <c r="Y139">
        <f t="shared" si="49"/>
        <v>8.2191780821917804E-2</v>
      </c>
      <c r="Z139">
        <f t="shared" si="50"/>
        <v>8.2191780821917804E-2</v>
      </c>
      <c r="AA139">
        <f t="shared" si="51"/>
        <v>8.2191780821917804E-2</v>
      </c>
      <c r="AB139">
        <f t="shared" si="52"/>
        <v>8.2191780821917804E-2</v>
      </c>
      <c r="AC139">
        <f t="shared" si="53"/>
        <v>8.2191780821917804E-2</v>
      </c>
      <c r="AD139">
        <f t="shared" si="54"/>
        <v>8.2191780821917804E-2</v>
      </c>
      <c r="AE139">
        <f t="shared" si="55"/>
        <v>0</v>
      </c>
      <c r="AF139">
        <f t="shared" si="56"/>
        <v>0</v>
      </c>
      <c r="AG139">
        <f t="shared" si="57"/>
        <v>0</v>
      </c>
      <c r="AH139">
        <f t="shared" si="58"/>
        <v>0</v>
      </c>
      <c r="AI139">
        <f t="shared" si="59"/>
        <v>0</v>
      </c>
      <c r="AJ139" s="2" t="str">
        <f t="shared" si="69"/>
        <v>744136</v>
      </c>
    </row>
    <row r="140" spans="1:36" x14ac:dyDescent="0.25">
      <c r="A140">
        <v>8</v>
      </c>
      <c r="B140" s="1">
        <v>44136</v>
      </c>
      <c r="C140" s="1">
        <f t="shared" si="60"/>
        <v>44378</v>
      </c>
      <c r="D140" s="1">
        <f t="shared" si="61"/>
        <v>44150</v>
      </c>
      <c r="E140" s="1">
        <f t="shared" si="62"/>
        <v>44378</v>
      </c>
      <c r="F140" s="1">
        <f t="shared" si="63"/>
        <v>44409</v>
      </c>
      <c r="G140" s="1">
        <f t="shared" si="64"/>
        <v>44515</v>
      </c>
      <c r="H140">
        <f t="shared" si="65"/>
        <v>365</v>
      </c>
      <c r="I140">
        <f t="shared" si="66"/>
        <v>31</v>
      </c>
      <c r="J140">
        <f t="shared" si="67"/>
        <v>8.4931506849315067E-2</v>
      </c>
      <c r="K140">
        <f>IFERROR($J140/IF($A140&lt;COUNTIFS($K$1:K$1,"&lt;&gt;"),0,SUMIFS($J:$J,$B:$B,$B140,$A:$A,"&gt;="&amp;COUNTIFS($K$1:K$1,"&lt;&gt;"))),0)</f>
        <v>8.8825214899713484E-2</v>
      </c>
      <c r="L140">
        <f>IFERROR($J140/IF($A140&lt;COUNTIFS($K$1:L$1,"&lt;&gt;"),0,SUMIFS($J:$J,$B:$B,$B140,$A:$A,"&gt;="&amp;COUNTIFS($K$1:L$1,"&lt;&gt;"))),0)</f>
        <v>9.7484276729559768E-2</v>
      </c>
      <c r="M140">
        <f>IFERROR($J140/IF($A140&lt;COUNTIFS($K$1:M$1,"&lt;&gt;"),0,SUMIFS($J:$J,$B:$B,$B140,$A:$A,"&gt;="&amp;COUNTIFS($K$1:M$1,"&lt;&gt;"))),0)</f>
        <v>0.10801393728222998</v>
      </c>
      <c r="N140">
        <f>IFERROR($J140/IF($A140&lt;COUNTIFS($K$1:N$1,"&lt;&gt;"),0,SUMIFS($J:$J,$B:$B,$B140,$A:$A,"&gt;="&amp;COUNTIFS($K$1:N$1,"&lt;&gt;"))),0)</f>
        <v>0.11969111969111972</v>
      </c>
      <c r="O140">
        <f>IFERROR($J140/IF($A140&lt;COUNTIFS($K$1:O$1,"&lt;&gt;"),0,SUMIFS($J:$J,$B:$B,$B140,$A:$A,"&gt;="&amp;COUNTIFS($K$1:O$1,"&lt;&gt;"))),0)</f>
        <v>0.13596491228070179</v>
      </c>
      <c r="P140">
        <f>IFERROR($J140/IF($A140&lt;COUNTIFS($K$1:P$1,"&lt;&gt;"),0,SUMIFS($J:$J,$B:$B,$B140,$A:$A,"&gt;="&amp;COUNTIFS($K$1:P$1,"&lt;&gt;"))),0)</f>
        <v>0.1565656565656566</v>
      </c>
      <c r="Q140">
        <f>IFERROR($J140/IF($A140&lt;COUNTIFS($K$1:Q$1,"&lt;&gt;"),0,SUMIFS($J:$J,$B:$B,$B140,$A:$A,"&gt;="&amp;COUNTIFS($K$1:Q$1,"&lt;&gt;"))),0)</f>
        <v>0.18562874251497008</v>
      </c>
      <c r="R140">
        <f>IFERROR($J140/IF($A140&lt;COUNTIFS($K$1:R$1,"&lt;&gt;"),0,SUMIFS($J:$J,$B:$B,$B140,$A:$A,"&gt;="&amp;COUNTIFS($K$1:R$1,"&lt;&gt;"))),0)</f>
        <v>0.22627737226277375</v>
      </c>
      <c r="S140">
        <f>IFERROR($J140/IF($A140&lt;COUNTIFS($K$1:S$1,"&lt;&gt;"),0,SUMIFS($J:$J,$B:$B,$B140,$A:$A,"&gt;="&amp;COUNTIFS($K$1:S$1,"&lt;&gt;"))),0)</f>
        <v>0</v>
      </c>
      <c r="T140">
        <f>IFERROR($J140/IF($A140&lt;COUNTIFS($K$1:T$1,"&lt;&gt;"),0,SUMIFS($J:$J,$B:$B,$B140,$A:$A,"&gt;="&amp;COUNTIFS($K$1:T$1,"&lt;&gt;"))),0)</f>
        <v>0</v>
      </c>
      <c r="U140">
        <f>IFERROR($J140/IF($A140&lt;COUNTIFS($K$1:U$1,"&lt;&gt;"),0,SUMIFS($J:$J,$B:$B,$B140,$A:$A,"&gt;="&amp;COUNTIFS($K$1:U$1,"&lt;&gt;"))),0)</f>
        <v>0</v>
      </c>
      <c r="V140">
        <f>IFERROR($J140/IF($A140&lt;COUNTIFS($K$1:V$1,"&lt;&gt;"),0,SUMIFS($J:$J,$B:$B,$B140,$A:$A,"&gt;="&amp;COUNTIFS($K$1:V$1,"&lt;&gt;"))),0)</f>
        <v>0</v>
      </c>
      <c r="W140">
        <f t="shared" si="68"/>
        <v>8.4931506849315067E-2</v>
      </c>
      <c r="X140">
        <f t="shared" si="48"/>
        <v>8.4931506849315067E-2</v>
      </c>
      <c r="Y140">
        <f t="shared" si="49"/>
        <v>8.4931506849315067E-2</v>
      </c>
      <c r="Z140">
        <f t="shared" si="50"/>
        <v>8.4931506849315067E-2</v>
      </c>
      <c r="AA140">
        <f t="shared" si="51"/>
        <v>8.4931506849315067E-2</v>
      </c>
      <c r="AB140">
        <f t="shared" si="52"/>
        <v>8.4931506849315067E-2</v>
      </c>
      <c r="AC140">
        <f t="shared" si="53"/>
        <v>8.4931506849315067E-2</v>
      </c>
      <c r="AD140">
        <f t="shared" si="54"/>
        <v>8.4931506849315067E-2</v>
      </c>
      <c r="AE140">
        <f t="shared" si="55"/>
        <v>8.4931506849315067E-2</v>
      </c>
      <c r="AF140">
        <f t="shared" si="56"/>
        <v>0</v>
      </c>
      <c r="AG140">
        <f t="shared" si="57"/>
        <v>0</v>
      </c>
      <c r="AH140">
        <f t="shared" si="58"/>
        <v>0</v>
      </c>
      <c r="AI140">
        <f t="shared" si="59"/>
        <v>0</v>
      </c>
      <c r="AJ140" s="2" t="str">
        <f t="shared" si="69"/>
        <v>844136</v>
      </c>
    </row>
    <row r="141" spans="1:36" x14ac:dyDescent="0.25">
      <c r="A141">
        <v>9</v>
      </c>
      <c r="B141" s="1">
        <v>44136</v>
      </c>
      <c r="C141" s="1">
        <f t="shared" si="60"/>
        <v>44409</v>
      </c>
      <c r="D141" s="1">
        <f t="shared" si="61"/>
        <v>44150</v>
      </c>
      <c r="E141" s="1">
        <f t="shared" si="62"/>
        <v>44409</v>
      </c>
      <c r="F141" s="1">
        <f t="shared" si="63"/>
        <v>44440</v>
      </c>
      <c r="G141" s="1">
        <f t="shared" si="64"/>
        <v>44515</v>
      </c>
      <c r="H141">
        <f t="shared" si="65"/>
        <v>365</v>
      </c>
      <c r="I141">
        <f t="shared" si="66"/>
        <v>31</v>
      </c>
      <c r="J141">
        <f t="shared" si="67"/>
        <v>8.4931506849315067E-2</v>
      </c>
      <c r="K141">
        <f>IFERROR($J141/IF($A141&lt;COUNTIFS($K$1:K$1,"&lt;&gt;"),0,SUMIFS($J:$J,$B:$B,$B141,$A:$A,"&gt;="&amp;COUNTIFS($K$1:K$1,"&lt;&gt;"))),0)</f>
        <v>8.8825214899713484E-2</v>
      </c>
      <c r="L141">
        <f>IFERROR($J141/IF($A141&lt;COUNTIFS($K$1:L$1,"&lt;&gt;"),0,SUMIFS($J:$J,$B:$B,$B141,$A:$A,"&gt;="&amp;COUNTIFS($K$1:L$1,"&lt;&gt;"))),0)</f>
        <v>9.7484276729559768E-2</v>
      </c>
      <c r="M141">
        <f>IFERROR($J141/IF($A141&lt;COUNTIFS($K$1:M$1,"&lt;&gt;"),0,SUMIFS($J:$J,$B:$B,$B141,$A:$A,"&gt;="&amp;COUNTIFS($K$1:M$1,"&lt;&gt;"))),0)</f>
        <v>0.10801393728222998</v>
      </c>
      <c r="N141">
        <f>IFERROR($J141/IF($A141&lt;COUNTIFS($K$1:N$1,"&lt;&gt;"),0,SUMIFS($J:$J,$B:$B,$B141,$A:$A,"&gt;="&amp;COUNTIFS($K$1:N$1,"&lt;&gt;"))),0)</f>
        <v>0.11969111969111972</v>
      </c>
      <c r="O141">
        <f>IFERROR($J141/IF($A141&lt;COUNTIFS($K$1:O$1,"&lt;&gt;"),0,SUMIFS($J:$J,$B:$B,$B141,$A:$A,"&gt;="&amp;COUNTIFS($K$1:O$1,"&lt;&gt;"))),0)</f>
        <v>0.13596491228070179</v>
      </c>
      <c r="P141">
        <f>IFERROR($J141/IF($A141&lt;COUNTIFS($K$1:P$1,"&lt;&gt;"),0,SUMIFS($J:$J,$B:$B,$B141,$A:$A,"&gt;="&amp;COUNTIFS($K$1:P$1,"&lt;&gt;"))),0)</f>
        <v>0.1565656565656566</v>
      </c>
      <c r="Q141">
        <f>IFERROR($J141/IF($A141&lt;COUNTIFS($K$1:Q$1,"&lt;&gt;"),0,SUMIFS($J:$J,$B:$B,$B141,$A:$A,"&gt;="&amp;COUNTIFS($K$1:Q$1,"&lt;&gt;"))),0)</f>
        <v>0.18562874251497008</v>
      </c>
      <c r="R141">
        <f>IFERROR($J141/IF($A141&lt;COUNTIFS($K$1:R$1,"&lt;&gt;"),0,SUMIFS($J:$J,$B:$B,$B141,$A:$A,"&gt;="&amp;COUNTIFS($K$1:R$1,"&lt;&gt;"))),0)</f>
        <v>0.22627737226277375</v>
      </c>
      <c r="S141">
        <f>IFERROR($J141/IF($A141&lt;COUNTIFS($K$1:S$1,"&lt;&gt;"),0,SUMIFS($J:$J,$B:$B,$B141,$A:$A,"&gt;="&amp;COUNTIFS($K$1:S$1,"&lt;&gt;"))),0)</f>
        <v>0.29245283018867929</v>
      </c>
      <c r="T141">
        <f>IFERROR($J141/IF($A141&lt;COUNTIFS($K$1:T$1,"&lt;&gt;"),0,SUMIFS($J:$J,$B:$B,$B141,$A:$A,"&gt;="&amp;COUNTIFS($K$1:T$1,"&lt;&gt;"))),0)</f>
        <v>0</v>
      </c>
      <c r="U141">
        <f>IFERROR($J141/IF($A141&lt;COUNTIFS($K$1:U$1,"&lt;&gt;"),0,SUMIFS($J:$J,$B:$B,$B141,$A:$A,"&gt;="&amp;COUNTIFS($K$1:U$1,"&lt;&gt;"))),0)</f>
        <v>0</v>
      </c>
      <c r="V141">
        <f>IFERROR($J141/IF($A141&lt;COUNTIFS($K$1:V$1,"&lt;&gt;"),0,SUMIFS($J:$J,$B:$B,$B141,$A:$A,"&gt;="&amp;COUNTIFS($K$1:V$1,"&lt;&gt;"))),0)</f>
        <v>0</v>
      </c>
      <c r="W141">
        <f t="shared" si="68"/>
        <v>8.4931506849315067E-2</v>
      </c>
      <c r="X141">
        <f t="shared" si="48"/>
        <v>8.4931506849315067E-2</v>
      </c>
      <c r="Y141">
        <f t="shared" si="49"/>
        <v>8.4931506849315067E-2</v>
      </c>
      <c r="Z141">
        <f t="shared" si="50"/>
        <v>8.4931506849315067E-2</v>
      </c>
      <c r="AA141">
        <f t="shared" si="51"/>
        <v>8.4931506849315067E-2</v>
      </c>
      <c r="AB141">
        <f t="shared" si="52"/>
        <v>8.4931506849315067E-2</v>
      </c>
      <c r="AC141">
        <f t="shared" si="53"/>
        <v>8.4931506849315067E-2</v>
      </c>
      <c r="AD141">
        <f t="shared" si="54"/>
        <v>8.4931506849315067E-2</v>
      </c>
      <c r="AE141">
        <f t="shared" si="55"/>
        <v>8.4931506849315067E-2</v>
      </c>
      <c r="AF141">
        <f t="shared" si="56"/>
        <v>8.4931506849315067E-2</v>
      </c>
      <c r="AG141">
        <f t="shared" si="57"/>
        <v>0</v>
      </c>
      <c r="AH141">
        <f t="shared" si="58"/>
        <v>0</v>
      </c>
      <c r="AI141">
        <f t="shared" si="59"/>
        <v>0</v>
      </c>
      <c r="AJ141" s="2" t="str">
        <f t="shared" si="69"/>
        <v>944136</v>
      </c>
    </row>
    <row r="142" spans="1:36" x14ac:dyDescent="0.25">
      <c r="A142">
        <v>10</v>
      </c>
      <c r="B142" s="1">
        <v>44136</v>
      </c>
      <c r="C142" s="1">
        <f t="shared" si="60"/>
        <v>44440</v>
      </c>
      <c r="D142" s="1">
        <f t="shared" si="61"/>
        <v>44150</v>
      </c>
      <c r="E142" s="1">
        <f t="shared" si="62"/>
        <v>44440</v>
      </c>
      <c r="F142" s="1">
        <f t="shared" si="63"/>
        <v>44470</v>
      </c>
      <c r="G142" s="1">
        <f t="shared" si="64"/>
        <v>44515</v>
      </c>
      <c r="H142">
        <f t="shared" si="65"/>
        <v>365</v>
      </c>
      <c r="I142">
        <f t="shared" si="66"/>
        <v>30</v>
      </c>
      <c r="J142">
        <f t="shared" si="67"/>
        <v>8.2191780821917804E-2</v>
      </c>
      <c r="K142">
        <f>IFERROR($J142/IF($A142&lt;COUNTIFS($K$1:K$1,"&lt;&gt;"),0,SUMIFS($J:$J,$B:$B,$B142,$A:$A,"&gt;="&amp;COUNTIFS($K$1:K$1,"&lt;&gt;"))),0)</f>
        <v>8.5959885386819493E-2</v>
      </c>
      <c r="L142">
        <f>IFERROR($J142/IF($A142&lt;COUNTIFS($K$1:L$1,"&lt;&gt;"),0,SUMIFS($J:$J,$B:$B,$B142,$A:$A,"&gt;="&amp;COUNTIFS($K$1:L$1,"&lt;&gt;"))),0)</f>
        <v>9.4339622641509441E-2</v>
      </c>
      <c r="M142">
        <f>IFERROR($J142/IF($A142&lt;COUNTIFS($K$1:M$1,"&lt;&gt;"),0,SUMIFS($J:$J,$B:$B,$B142,$A:$A,"&gt;="&amp;COUNTIFS($K$1:M$1,"&lt;&gt;"))),0)</f>
        <v>0.10452961672473869</v>
      </c>
      <c r="N142">
        <f>IFERROR($J142/IF($A142&lt;COUNTIFS($K$1:N$1,"&lt;&gt;"),0,SUMIFS($J:$J,$B:$B,$B142,$A:$A,"&gt;="&amp;COUNTIFS($K$1:N$1,"&lt;&gt;"))),0)</f>
        <v>0.11583011583011585</v>
      </c>
      <c r="O142">
        <f>IFERROR($J142/IF($A142&lt;COUNTIFS($K$1:O$1,"&lt;&gt;"),0,SUMIFS($J:$J,$B:$B,$B142,$A:$A,"&gt;="&amp;COUNTIFS($K$1:O$1,"&lt;&gt;"))),0)</f>
        <v>0.13157894736842107</v>
      </c>
      <c r="P142">
        <f>IFERROR($J142/IF($A142&lt;COUNTIFS($K$1:P$1,"&lt;&gt;"),0,SUMIFS($J:$J,$B:$B,$B142,$A:$A,"&gt;="&amp;COUNTIFS($K$1:P$1,"&lt;&gt;"))),0)</f>
        <v>0.15151515151515155</v>
      </c>
      <c r="Q142">
        <f>IFERROR($J142/IF($A142&lt;COUNTIFS($K$1:Q$1,"&lt;&gt;"),0,SUMIFS($J:$J,$B:$B,$B142,$A:$A,"&gt;="&amp;COUNTIFS($K$1:Q$1,"&lt;&gt;"))),0)</f>
        <v>0.17964071856287425</v>
      </c>
      <c r="R142">
        <f>IFERROR($J142/IF($A142&lt;COUNTIFS($K$1:R$1,"&lt;&gt;"),0,SUMIFS($J:$J,$B:$B,$B142,$A:$A,"&gt;="&amp;COUNTIFS($K$1:R$1,"&lt;&gt;"))),0)</f>
        <v>0.21897810218978103</v>
      </c>
      <c r="S142">
        <f>IFERROR($J142/IF($A142&lt;COUNTIFS($K$1:S$1,"&lt;&gt;"),0,SUMIFS($J:$J,$B:$B,$B142,$A:$A,"&gt;="&amp;COUNTIFS($K$1:S$1,"&lt;&gt;"))),0)</f>
        <v>0.28301886792452829</v>
      </c>
      <c r="T142">
        <f>IFERROR($J142/IF($A142&lt;COUNTIFS($K$1:T$1,"&lt;&gt;"),0,SUMIFS($J:$J,$B:$B,$B142,$A:$A,"&gt;="&amp;COUNTIFS($K$1:T$1,"&lt;&gt;"))),0)</f>
        <v>0.4</v>
      </c>
      <c r="U142">
        <f>IFERROR($J142/IF($A142&lt;COUNTIFS($K$1:U$1,"&lt;&gt;"),0,SUMIFS($J:$J,$B:$B,$B142,$A:$A,"&gt;="&amp;COUNTIFS($K$1:U$1,"&lt;&gt;"))),0)</f>
        <v>0</v>
      </c>
      <c r="V142">
        <f>IFERROR($J142/IF($A142&lt;COUNTIFS($K$1:V$1,"&lt;&gt;"),0,SUMIFS($J:$J,$B:$B,$B142,$A:$A,"&gt;="&amp;COUNTIFS($K$1:V$1,"&lt;&gt;"))),0)</f>
        <v>0</v>
      </c>
      <c r="W142">
        <f t="shared" si="68"/>
        <v>8.2191780821917804E-2</v>
      </c>
      <c r="X142">
        <f t="shared" si="48"/>
        <v>8.2191780821917804E-2</v>
      </c>
      <c r="Y142">
        <f t="shared" si="49"/>
        <v>8.2191780821917804E-2</v>
      </c>
      <c r="Z142">
        <f t="shared" si="50"/>
        <v>8.2191780821917804E-2</v>
      </c>
      <c r="AA142">
        <f t="shared" si="51"/>
        <v>8.2191780821917804E-2</v>
      </c>
      <c r="AB142">
        <f t="shared" si="52"/>
        <v>8.2191780821917804E-2</v>
      </c>
      <c r="AC142">
        <f t="shared" si="53"/>
        <v>8.2191780821917804E-2</v>
      </c>
      <c r="AD142">
        <f t="shared" si="54"/>
        <v>8.2191780821917804E-2</v>
      </c>
      <c r="AE142">
        <f t="shared" si="55"/>
        <v>8.2191780821917804E-2</v>
      </c>
      <c r="AF142">
        <f t="shared" si="56"/>
        <v>8.2191780821917804E-2</v>
      </c>
      <c r="AG142">
        <f t="shared" si="57"/>
        <v>8.2191780821917804E-2</v>
      </c>
      <c r="AH142">
        <f t="shared" si="58"/>
        <v>0</v>
      </c>
      <c r="AI142">
        <f t="shared" si="59"/>
        <v>0</v>
      </c>
      <c r="AJ142" s="2" t="str">
        <f t="shared" si="69"/>
        <v>1044136</v>
      </c>
    </row>
    <row r="143" spans="1:36" x14ac:dyDescent="0.25">
      <c r="A143">
        <v>11</v>
      </c>
      <c r="B143" s="1">
        <v>44136</v>
      </c>
      <c r="C143" s="1">
        <f t="shared" si="60"/>
        <v>44470</v>
      </c>
      <c r="D143" s="1">
        <f t="shared" si="61"/>
        <v>44150</v>
      </c>
      <c r="E143" s="1">
        <f t="shared" si="62"/>
        <v>44470</v>
      </c>
      <c r="F143" s="1">
        <f t="shared" si="63"/>
        <v>44501</v>
      </c>
      <c r="G143" s="1">
        <f t="shared" si="64"/>
        <v>44515</v>
      </c>
      <c r="H143">
        <f t="shared" si="65"/>
        <v>365</v>
      </c>
      <c r="I143">
        <f t="shared" si="66"/>
        <v>31</v>
      </c>
      <c r="J143">
        <f t="shared" si="67"/>
        <v>8.4931506849315067E-2</v>
      </c>
      <c r="K143">
        <f>IFERROR($J143/IF($A143&lt;COUNTIFS($K$1:K$1,"&lt;&gt;"),0,SUMIFS($J:$J,$B:$B,$B143,$A:$A,"&gt;="&amp;COUNTIFS($K$1:K$1,"&lt;&gt;"))),0)</f>
        <v>8.8825214899713484E-2</v>
      </c>
      <c r="L143">
        <f>IFERROR($J143/IF($A143&lt;COUNTIFS($K$1:L$1,"&lt;&gt;"),0,SUMIFS($J:$J,$B:$B,$B143,$A:$A,"&gt;="&amp;COUNTIFS($K$1:L$1,"&lt;&gt;"))),0)</f>
        <v>9.7484276729559768E-2</v>
      </c>
      <c r="M143">
        <f>IFERROR($J143/IF($A143&lt;COUNTIFS($K$1:M$1,"&lt;&gt;"),0,SUMIFS($J:$J,$B:$B,$B143,$A:$A,"&gt;="&amp;COUNTIFS($K$1:M$1,"&lt;&gt;"))),0)</f>
        <v>0.10801393728222998</v>
      </c>
      <c r="N143">
        <f>IFERROR($J143/IF($A143&lt;COUNTIFS($K$1:N$1,"&lt;&gt;"),0,SUMIFS($J:$J,$B:$B,$B143,$A:$A,"&gt;="&amp;COUNTIFS($K$1:N$1,"&lt;&gt;"))),0)</f>
        <v>0.11969111969111972</v>
      </c>
      <c r="O143">
        <f>IFERROR($J143/IF($A143&lt;COUNTIFS($K$1:O$1,"&lt;&gt;"),0,SUMIFS($J:$J,$B:$B,$B143,$A:$A,"&gt;="&amp;COUNTIFS($K$1:O$1,"&lt;&gt;"))),0)</f>
        <v>0.13596491228070179</v>
      </c>
      <c r="P143">
        <f>IFERROR($J143/IF($A143&lt;COUNTIFS($K$1:P$1,"&lt;&gt;"),0,SUMIFS($J:$J,$B:$B,$B143,$A:$A,"&gt;="&amp;COUNTIFS($K$1:P$1,"&lt;&gt;"))),0)</f>
        <v>0.1565656565656566</v>
      </c>
      <c r="Q143">
        <f>IFERROR($J143/IF($A143&lt;COUNTIFS($K$1:Q$1,"&lt;&gt;"),0,SUMIFS($J:$J,$B:$B,$B143,$A:$A,"&gt;="&amp;COUNTIFS($K$1:Q$1,"&lt;&gt;"))),0)</f>
        <v>0.18562874251497008</v>
      </c>
      <c r="R143">
        <f>IFERROR($J143/IF($A143&lt;COUNTIFS($K$1:R$1,"&lt;&gt;"),0,SUMIFS($J:$J,$B:$B,$B143,$A:$A,"&gt;="&amp;COUNTIFS($K$1:R$1,"&lt;&gt;"))),0)</f>
        <v>0.22627737226277375</v>
      </c>
      <c r="S143">
        <f>IFERROR($J143/IF($A143&lt;COUNTIFS($K$1:S$1,"&lt;&gt;"),0,SUMIFS($J:$J,$B:$B,$B143,$A:$A,"&gt;="&amp;COUNTIFS($K$1:S$1,"&lt;&gt;"))),0)</f>
        <v>0.29245283018867929</v>
      </c>
      <c r="T143">
        <f>IFERROR($J143/IF($A143&lt;COUNTIFS($K$1:T$1,"&lt;&gt;"),0,SUMIFS($J:$J,$B:$B,$B143,$A:$A,"&gt;="&amp;COUNTIFS($K$1:T$1,"&lt;&gt;"))),0)</f>
        <v>0.41333333333333333</v>
      </c>
      <c r="U143">
        <f>IFERROR($J143/IF($A143&lt;COUNTIFS($K$1:U$1,"&lt;&gt;"),0,SUMIFS($J:$J,$B:$B,$B143,$A:$A,"&gt;="&amp;COUNTIFS($K$1:U$1,"&lt;&gt;"))),0)</f>
        <v>0.68888888888888888</v>
      </c>
      <c r="V143">
        <f>IFERROR($J143/IF($A143&lt;COUNTIFS($K$1:V$1,"&lt;&gt;"),0,SUMIFS($J:$J,$B:$B,$B143,$A:$A,"&gt;="&amp;COUNTIFS($K$1:V$1,"&lt;&gt;"))),0)</f>
        <v>0</v>
      </c>
      <c r="W143">
        <f t="shared" si="68"/>
        <v>8.4931506849315067E-2</v>
      </c>
      <c r="X143">
        <f t="shared" si="48"/>
        <v>8.4931506849315067E-2</v>
      </c>
      <c r="Y143">
        <f t="shared" si="49"/>
        <v>8.4931506849315067E-2</v>
      </c>
      <c r="Z143">
        <f t="shared" si="50"/>
        <v>8.4931506849315067E-2</v>
      </c>
      <c r="AA143">
        <f t="shared" si="51"/>
        <v>8.4931506849315067E-2</v>
      </c>
      <c r="AB143">
        <f t="shared" si="52"/>
        <v>8.4931506849315067E-2</v>
      </c>
      <c r="AC143">
        <f t="shared" si="53"/>
        <v>8.4931506849315067E-2</v>
      </c>
      <c r="AD143">
        <f t="shared" si="54"/>
        <v>8.4931506849315067E-2</v>
      </c>
      <c r="AE143">
        <f t="shared" si="55"/>
        <v>8.4931506849315067E-2</v>
      </c>
      <c r="AF143">
        <f t="shared" si="56"/>
        <v>8.4931506849315067E-2</v>
      </c>
      <c r="AG143">
        <f t="shared" si="57"/>
        <v>8.4931506849315067E-2</v>
      </c>
      <c r="AH143">
        <f t="shared" si="58"/>
        <v>8.4931506849315067E-2</v>
      </c>
      <c r="AI143">
        <f t="shared" si="59"/>
        <v>0</v>
      </c>
      <c r="AJ143" s="2" t="str">
        <f t="shared" si="69"/>
        <v>1144136</v>
      </c>
    </row>
    <row r="144" spans="1:36" x14ac:dyDescent="0.25">
      <c r="A144">
        <v>12</v>
      </c>
      <c r="B144" s="1">
        <v>44136</v>
      </c>
      <c r="C144" s="1">
        <f t="shared" si="60"/>
        <v>44501</v>
      </c>
      <c r="D144" s="1">
        <f t="shared" si="61"/>
        <v>44150</v>
      </c>
      <c r="E144" s="1">
        <f t="shared" si="62"/>
        <v>44501</v>
      </c>
      <c r="F144" s="1">
        <f t="shared" si="63"/>
        <v>44515</v>
      </c>
      <c r="G144" s="1">
        <f t="shared" si="64"/>
        <v>44515</v>
      </c>
      <c r="H144">
        <f t="shared" si="65"/>
        <v>365</v>
      </c>
      <c r="I144">
        <f t="shared" si="66"/>
        <v>14</v>
      </c>
      <c r="J144">
        <f t="shared" si="67"/>
        <v>3.8356164383561646E-2</v>
      </c>
      <c r="K144">
        <f>IFERROR($J144/IF($A144&lt;COUNTIFS($K$1:K$1,"&lt;&gt;"),0,SUMIFS($J:$J,$B:$B,$B144,$A:$A,"&gt;="&amp;COUNTIFS($K$1:K$1,"&lt;&gt;"))),0)</f>
        <v>4.0114613180515769E-2</v>
      </c>
      <c r="L144">
        <f>IFERROR($J144/IF($A144&lt;COUNTIFS($K$1:L$1,"&lt;&gt;"),0,SUMIFS($J:$J,$B:$B,$B144,$A:$A,"&gt;="&amp;COUNTIFS($K$1:L$1,"&lt;&gt;"))),0)</f>
        <v>4.4025157232704414E-2</v>
      </c>
      <c r="M144">
        <f>IFERROR($J144/IF($A144&lt;COUNTIFS($K$1:M$1,"&lt;&gt;"),0,SUMIFS($J:$J,$B:$B,$B144,$A:$A,"&gt;="&amp;COUNTIFS($K$1:M$1,"&lt;&gt;"))),0)</f>
        <v>4.8780487804878057E-2</v>
      </c>
      <c r="N144">
        <f>IFERROR($J144/IF($A144&lt;COUNTIFS($K$1:N$1,"&lt;&gt;"),0,SUMIFS($J:$J,$B:$B,$B144,$A:$A,"&gt;="&amp;COUNTIFS($K$1:N$1,"&lt;&gt;"))),0)</f>
        <v>5.4054054054054071E-2</v>
      </c>
      <c r="O144">
        <f>IFERROR($J144/IF($A144&lt;COUNTIFS($K$1:O$1,"&lt;&gt;"),0,SUMIFS($J:$J,$B:$B,$B144,$A:$A,"&gt;="&amp;COUNTIFS($K$1:O$1,"&lt;&gt;"))),0)</f>
        <v>6.1403508771929842E-2</v>
      </c>
      <c r="P144">
        <f>IFERROR($J144/IF($A144&lt;COUNTIFS($K$1:P$1,"&lt;&gt;"),0,SUMIFS($J:$J,$B:$B,$B144,$A:$A,"&gt;="&amp;COUNTIFS($K$1:P$1,"&lt;&gt;"))),0)</f>
        <v>7.0707070707070732E-2</v>
      </c>
      <c r="Q144">
        <f>IFERROR($J144/IF($A144&lt;COUNTIFS($K$1:Q$1,"&lt;&gt;"),0,SUMIFS($J:$J,$B:$B,$B144,$A:$A,"&gt;="&amp;COUNTIFS($K$1:Q$1,"&lt;&gt;"))),0)</f>
        <v>8.3832335329341326E-2</v>
      </c>
      <c r="R144">
        <f>IFERROR($J144/IF($A144&lt;COUNTIFS($K$1:R$1,"&lt;&gt;"),0,SUMIFS($J:$J,$B:$B,$B144,$A:$A,"&gt;="&amp;COUNTIFS($K$1:R$1,"&lt;&gt;"))),0)</f>
        <v>0.10218978102189782</v>
      </c>
      <c r="S144">
        <f>IFERROR($J144/IF($A144&lt;COUNTIFS($K$1:S$1,"&lt;&gt;"),0,SUMIFS($J:$J,$B:$B,$B144,$A:$A,"&gt;="&amp;COUNTIFS($K$1:S$1,"&lt;&gt;"))),0)</f>
        <v>0.13207547169811323</v>
      </c>
      <c r="T144">
        <f>IFERROR($J144/IF($A144&lt;COUNTIFS($K$1:T$1,"&lt;&gt;"),0,SUMIFS($J:$J,$B:$B,$B144,$A:$A,"&gt;="&amp;COUNTIFS($K$1:T$1,"&lt;&gt;"))),0)</f>
        <v>0.18666666666666668</v>
      </c>
      <c r="U144">
        <f>IFERROR($J144/IF($A144&lt;COUNTIFS($K$1:U$1,"&lt;&gt;"),0,SUMIFS($J:$J,$B:$B,$B144,$A:$A,"&gt;="&amp;COUNTIFS($K$1:U$1,"&lt;&gt;"))),0)</f>
        <v>0.31111111111111117</v>
      </c>
      <c r="V144">
        <f>IFERROR($J144/IF($A144&lt;COUNTIFS($K$1:V$1,"&lt;&gt;"),0,SUMIFS($J:$J,$B:$B,$B144,$A:$A,"&gt;="&amp;COUNTIFS($K$1:V$1,"&lt;&gt;"))),0)</f>
        <v>1</v>
      </c>
      <c r="W144">
        <f t="shared" si="68"/>
        <v>3.8356164383561646E-2</v>
      </c>
      <c r="X144">
        <f t="shared" si="48"/>
        <v>3.8356164383561646E-2</v>
      </c>
      <c r="Y144">
        <f t="shared" si="49"/>
        <v>3.8356164383561646E-2</v>
      </c>
      <c r="Z144">
        <f t="shared" si="50"/>
        <v>3.8356164383561646E-2</v>
      </c>
      <c r="AA144">
        <f t="shared" si="51"/>
        <v>3.8356164383561646E-2</v>
      </c>
      <c r="AB144">
        <f t="shared" si="52"/>
        <v>3.8356164383561646E-2</v>
      </c>
      <c r="AC144">
        <f t="shared" si="53"/>
        <v>3.8356164383561646E-2</v>
      </c>
      <c r="AD144">
        <f t="shared" si="54"/>
        <v>3.8356164383561646E-2</v>
      </c>
      <c r="AE144">
        <f t="shared" si="55"/>
        <v>3.8356164383561646E-2</v>
      </c>
      <c r="AF144">
        <f t="shared" si="56"/>
        <v>3.8356164383561646E-2</v>
      </c>
      <c r="AG144">
        <f t="shared" si="57"/>
        <v>3.8356164383561646E-2</v>
      </c>
      <c r="AH144">
        <f t="shared" si="58"/>
        <v>3.8356164383561646E-2</v>
      </c>
      <c r="AI144">
        <f t="shared" si="59"/>
        <v>3.8356164383561646E-2</v>
      </c>
      <c r="AJ144" s="2" t="str">
        <f t="shared" si="69"/>
        <v>1244136</v>
      </c>
    </row>
    <row r="145" spans="1:36" x14ac:dyDescent="0.25">
      <c r="A145">
        <v>0</v>
      </c>
      <c r="B145" s="1">
        <v>44166</v>
      </c>
      <c r="C145" s="1">
        <f t="shared" si="60"/>
        <v>44166</v>
      </c>
      <c r="D145" s="1">
        <f t="shared" si="61"/>
        <v>44180</v>
      </c>
      <c r="E145" s="1">
        <f t="shared" si="62"/>
        <v>44180</v>
      </c>
      <c r="F145" s="1">
        <f t="shared" si="63"/>
        <v>44197</v>
      </c>
      <c r="G145" s="1">
        <f t="shared" si="64"/>
        <v>44545</v>
      </c>
      <c r="H145">
        <f t="shared" si="65"/>
        <v>365</v>
      </c>
      <c r="I145">
        <f t="shared" si="66"/>
        <v>17</v>
      </c>
      <c r="J145">
        <f t="shared" si="67"/>
        <v>4.6575342465753428E-2</v>
      </c>
      <c r="K145">
        <f>IFERROR($J145/IF($A145&lt;COUNTIFS($K$1:K$1,"&lt;&gt;"),0,SUMIFS($J:$J,$B:$B,$B145,$A:$A,"&gt;="&amp;COUNTIFS($K$1:K$1,"&lt;&gt;"))),0)</f>
        <v>0</v>
      </c>
      <c r="L145">
        <f>IFERROR($J145/IF($A145&lt;COUNTIFS($K$1:L$1,"&lt;&gt;"),0,SUMIFS($J:$J,$B:$B,$B145,$A:$A,"&gt;="&amp;COUNTIFS($K$1:L$1,"&lt;&gt;"))),0)</f>
        <v>0</v>
      </c>
      <c r="M145">
        <f>IFERROR($J145/IF($A145&lt;COUNTIFS($K$1:M$1,"&lt;&gt;"),0,SUMIFS($J:$J,$B:$B,$B145,$A:$A,"&gt;="&amp;COUNTIFS($K$1:M$1,"&lt;&gt;"))),0)</f>
        <v>0</v>
      </c>
      <c r="N145">
        <f>IFERROR($J145/IF($A145&lt;COUNTIFS($K$1:N$1,"&lt;&gt;"),0,SUMIFS($J:$J,$B:$B,$B145,$A:$A,"&gt;="&amp;COUNTIFS($K$1:N$1,"&lt;&gt;"))),0)</f>
        <v>0</v>
      </c>
      <c r="O145">
        <f>IFERROR($J145/IF($A145&lt;COUNTIFS($K$1:O$1,"&lt;&gt;"),0,SUMIFS($J:$J,$B:$B,$B145,$A:$A,"&gt;="&amp;COUNTIFS($K$1:O$1,"&lt;&gt;"))),0)</f>
        <v>0</v>
      </c>
      <c r="P145">
        <f>IFERROR($J145/IF($A145&lt;COUNTIFS($K$1:P$1,"&lt;&gt;"),0,SUMIFS($J:$J,$B:$B,$B145,$A:$A,"&gt;="&amp;COUNTIFS($K$1:P$1,"&lt;&gt;"))),0)</f>
        <v>0</v>
      </c>
      <c r="Q145">
        <f>IFERROR($J145/IF($A145&lt;COUNTIFS($K$1:Q$1,"&lt;&gt;"),0,SUMIFS($J:$J,$B:$B,$B145,$A:$A,"&gt;="&amp;COUNTIFS($K$1:Q$1,"&lt;&gt;"))),0)</f>
        <v>0</v>
      </c>
      <c r="R145">
        <f>IFERROR($J145/IF($A145&lt;COUNTIFS($K$1:R$1,"&lt;&gt;"),0,SUMIFS($J:$J,$B:$B,$B145,$A:$A,"&gt;="&amp;COUNTIFS($K$1:R$1,"&lt;&gt;"))),0)</f>
        <v>0</v>
      </c>
      <c r="S145">
        <f>IFERROR($J145/IF($A145&lt;COUNTIFS($K$1:S$1,"&lt;&gt;"),0,SUMIFS($J:$J,$B:$B,$B145,$A:$A,"&gt;="&amp;COUNTIFS($K$1:S$1,"&lt;&gt;"))),0)</f>
        <v>0</v>
      </c>
      <c r="T145">
        <f>IFERROR($J145/IF($A145&lt;COUNTIFS($K$1:T$1,"&lt;&gt;"),0,SUMIFS($J:$J,$B:$B,$B145,$A:$A,"&gt;="&amp;COUNTIFS($K$1:T$1,"&lt;&gt;"))),0)</f>
        <v>0</v>
      </c>
      <c r="U145">
        <f>IFERROR($J145/IF($A145&lt;COUNTIFS($K$1:U$1,"&lt;&gt;"),0,SUMIFS($J:$J,$B:$B,$B145,$A:$A,"&gt;="&amp;COUNTIFS($K$1:U$1,"&lt;&gt;"))),0)</f>
        <v>0</v>
      </c>
      <c r="V145">
        <f>IFERROR($J145/IF($A145&lt;COUNTIFS($K$1:V$1,"&lt;&gt;"),0,SUMIFS($J:$J,$B:$B,$B145,$A:$A,"&gt;="&amp;COUNTIFS($K$1:V$1,"&lt;&gt;"))),0)</f>
        <v>0</v>
      </c>
      <c r="W145">
        <f t="shared" si="68"/>
        <v>4.6575342465753428E-2</v>
      </c>
      <c r="X145">
        <f t="shared" si="48"/>
        <v>0</v>
      </c>
      <c r="Y145">
        <f t="shared" si="49"/>
        <v>0</v>
      </c>
      <c r="Z145">
        <f t="shared" si="50"/>
        <v>0</v>
      </c>
      <c r="AA145">
        <f t="shared" si="51"/>
        <v>0</v>
      </c>
      <c r="AB145">
        <f t="shared" si="52"/>
        <v>0</v>
      </c>
      <c r="AC145">
        <f t="shared" si="53"/>
        <v>0</v>
      </c>
      <c r="AD145">
        <f t="shared" si="54"/>
        <v>0</v>
      </c>
      <c r="AE145">
        <f t="shared" si="55"/>
        <v>0</v>
      </c>
      <c r="AF145">
        <f t="shared" si="56"/>
        <v>0</v>
      </c>
      <c r="AG145">
        <f t="shared" si="57"/>
        <v>0</v>
      </c>
      <c r="AH145">
        <f t="shared" si="58"/>
        <v>0</v>
      </c>
      <c r="AI145">
        <f t="shared" si="59"/>
        <v>0</v>
      </c>
      <c r="AJ145" s="2" t="str">
        <f t="shared" si="69"/>
        <v>044166</v>
      </c>
    </row>
    <row r="146" spans="1:36" x14ac:dyDescent="0.25">
      <c r="A146">
        <v>1</v>
      </c>
      <c r="B146" s="1">
        <v>44166</v>
      </c>
      <c r="C146" s="1">
        <f t="shared" si="60"/>
        <v>44197</v>
      </c>
      <c r="D146" s="1">
        <f t="shared" si="61"/>
        <v>44180</v>
      </c>
      <c r="E146" s="1">
        <f t="shared" si="62"/>
        <v>44197</v>
      </c>
      <c r="F146" s="1">
        <f t="shared" si="63"/>
        <v>44228</v>
      </c>
      <c r="G146" s="1">
        <f t="shared" si="64"/>
        <v>44545</v>
      </c>
      <c r="H146">
        <f t="shared" si="65"/>
        <v>365</v>
      </c>
      <c r="I146">
        <f t="shared" si="66"/>
        <v>31</v>
      </c>
      <c r="J146">
        <f t="shared" si="67"/>
        <v>8.4931506849315067E-2</v>
      </c>
      <c r="K146">
        <f>IFERROR($J146/IF($A146&lt;COUNTIFS($K$1:K$1,"&lt;&gt;"),0,SUMIFS($J:$J,$B:$B,$B146,$A:$A,"&gt;="&amp;COUNTIFS($K$1:K$1,"&lt;&gt;"))),0)</f>
        <v>8.9080459770114959E-2</v>
      </c>
      <c r="L146">
        <f>IFERROR($J146/IF($A146&lt;COUNTIFS($K$1:L$1,"&lt;&gt;"),0,SUMIFS($J:$J,$B:$B,$B146,$A:$A,"&gt;="&amp;COUNTIFS($K$1:L$1,"&lt;&gt;"))),0)</f>
        <v>0</v>
      </c>
      <c r="M146">
        <f>IFERROR($J146/IF($A146&lt;COUNTIFS($K$1:M$1,"&lt;&gt;"),0,SUMIFS($J:$J,$B:$B,$B146,$A:$A,"&gt;="&amp;COUNTIFS($K$1:M$1,"&lt;&gt;"))),0)</f>
        <v>0</v>
      </c>
      <c r="N146">
        <f>IFERROR($J146/IF($A146&lt;COUNTIFS($K$1:N$1,"&lt;&gt;"),0,SUMIFS($J:$J,$B:$B,$B146,$A:$A,"&gt;="&amp;COUNTIFS($K$1:N$1,"&lt;&gt;"))),0)</f>
        <v>0</v>
      </c>
      <c r="O146">
        <f>IFERROR($J146/IF($A146&lt;COUNTIFS($K$1:O$1,"&lt;&gt;"),0,SUMIFS($J:$J,$B:$B,$B146,$A:$A,"&gt;="&amp;COUNTIFS($K$1:O$1,"&lt;&gt;"))),0)</f>
        <v>0</v>
      </c>
      <c r="P146">
        <f>IFERROR($J146/IF($A146&lt;COUNTIFS($K$1:P$1,"&lt;&gt;"),0,SUMIFS($J:$J,$B:$B,$B146,$A:$A,"&gt;="&amp;COUNTIFS($K$1:P$1,"&lt;&gt;"))),0)</f>
        <v>0</v>
      </c>
      <c r="Q146">
        <f>IFERROR($J146/IF($A146&lt;COUNTIFS($K$1:Q$1,"&lt;&gt;"),0,SUMIFS($J:$J,$B:$B,$B146,$A:$A,"&gt;="&amp;COUNTIFS($K$1:Q$1,"&lt;&gt;"))),0)</f>
        <v>0</v>
      </c>
      <c r="R146">
        <f>IFERROR($J146/IF($A146&lt;COUNTIFS($K$1:R$1,"&lt;&gt;"),0,SUMIFS($J:$J,$B:$B,$B146,$A:$A,"&gt;="&amp;COUNTIFS($K$1:R$1,"&lt;&gt;"))),0)</f>
        <v>0</v>
      </c>
      <c r="S146">
        <f>IFERROR($J146/IF($A146&lt;COUNTIFS($K$1:S$1,"&lt;&gt;"),0,SUMIFS($J:$J,$B:$B,$B146,$A:$A,"&gt;="&amp;COUNTIFS($K$1:S$1,"&lt;&gt;"))),0)</f>
        <v>0</v>
      </c>
      <c r="T146">
        <f>IFERROR($J146/IF($A146&lt;COUNTIFS($K$1:T$1,"&lt;&gt;"),0,SUMIFS($J:$J,$B:$B,$B146,$A:$A,"&gt;="&amp;COUNTIFS($K$1:T$1,"&lt;&gt;"))),0)</f>
        <v>0</v>
      </c>
      <c r="U146">
        <f>IFERROR($J146/IF($A146&lt;COUNTIFS($K$1:U$1,"&lt;&gt;"),0,SUMIFS($J:$J,$B:$B,$B146,$A:$A,"&gt;="&amp;COUNTIFS($K$1:U$1,"&lt;&gt;"))),0)</f>
        <v>0</v>
      </c>
      <c r="V146">
        <f>IFERROR($J146/IF($A146&lt;COUNTIFS($K$1:V$1,"&lt;&gt;"),0,SUMIFS($J:$J,$B:$B,$B146,$A:$A,"&gt;="&amp;COUNTIFS($K$1:V$1,"&lt;&gt;"))),0)</f>
        <v>0</v>
      </c>
      <c r="W146">
        <f t="shared" si="68"/>
        <v>8.4931506849315067E-2</v>
      </c>
      <c r="X146">
        <f t="shared" si="48"/>
        <v>8.4931506849315067E-2</v>
      </c>
      <c r="Y146">
        <f t="shared" si="49"/>
        <v>0</v>
      </c>
      <c r="Z146">
        <f t="shared" si="50"/>
        <v>0</v>
      </c>
      <c r="AA146">
        <f t="shared" si="51"/>
        <v>0</v>
      </c>
      <c r="AB146">
        <f t="shared" si="52"/>
        <v>0</v>
      </c>
      <c r="AC146">
        <f t="shared" si="53"/>
        <v>0</v>
      </c>
      <c r="AD146">
        <f t="shared" si="54"/>
        <v>0</v>
      </c>
      <c r="AE146">
        <f t="shared" si="55"/>
        <v>0</v>
      </c>
      <c r="AF146">
        <f t="shared" si="56"/>
        <v>0</v>
      </c>
      <c r="AG146">
        <f t="shared" si="57"/>
        <v>0</v>
      </c>
      <c r="AH146">
        <f t="shared" si="58"/>
        <v>0</v>
      </c>
      <c r="AI146">
        <f t="shared" si="59"/>
        <v>0</v>
      </c>
      <c r="AJ146" s="2" t="str">
        <f t="shared" si="69"/>
        <v>144166</v>
      </c>
    </row>
    <row r="147" spans="1:36" x14ac:dyDescent="0.25">
      <c r="A147">
        <v>2</v>
      </c>
      <c r="B147" s="1">
        <v>44166</v>
      </c>
      <c r="C147" s="1">
        <f t="shared" si="60"/>
        <v>44228</v>
      </c>
      <c r="D147" s="1">
        <f t="shared" si="61"/>
        <v>44180</v>
      </c>
      <c r="E147" s="1">
        <f t="shared" si="62"/>
        <v>44228</v>
      </c>
      <c r="F147" s="1">
        <f t="shared" si="63"/>
        <v>44256</v>
      </c>
      <c r="G147" s="1">
        <f t="shared" si="64"/>
        <v>44545</v>
      </c>
      <c r="H147">
        <f t="shared" si="65"/>
        <v>365</v>
      </c>
      <c r="I147">
        <f t="shared" si="66"/>
        <v>28</v>
      </c>
      <c r="J147">
        <f t="shared" si="67"/>
        <v>7.6712328767123292E-2</v>
      </c>
      <c r="K147">
        <f>IFERROR($J147/IF($A147&lt;COUNTIFS($K$1:K$1,"&lt;&gt;"),0,SUMIFS($J:$J,$B:$B,$B147,$A:$A,"&gt;="&amp;COUNTIFS($K$1:K$1,"&lt;&gt;"))),0)</f>
        <v>8.0459770114942541E-2</v>
      </c>
      <c r="L147">
        <f>IFERROR($J147/IF($A147&lt;COUNTIFS($K$1:L$1,"&lt;&gt;"),0,SUMIFS($J:$J,$B:$B,$B147,$A:$A,"&gt;="&amp;COUNTIFS($K$1:L$1,"&lt;&gt;"))),0)</f>
        <v>8.83280757097792E-2</v>
      </c>
      <c r="M147">
        <f>IFERROR($J147/IF($A147&lt;COUNTIFS($K$1:M$1,"&lt;&gt;"),0,SUMIFS($J:$J,$B:$B,$B147,$A:$A,"&gt;="&amp;COUNTIFS($K$1:M$1,"&lt;&gt;"))),0)</f>
        <v>0</v>
      </c>
      <c r="N147">
        <f>IFERROR($J147/IF($A147&lt;COUNTIFS($K$1:N$1,"&lt;&gt;"),0,SUMIFS($J:$J,$B:$B,$B147,$A:$A,"&gt;="&amp;COUNTIFS($K$1:N$1,"&lt;&gt;"))),0)</f>
        <v>0</v>
      </c>
      <c r="O147">
        <f>IFERROR($J147/IF($A147&lt;COUNTIFS($K$1:O$1,"&lt;&gt;"),0,SUMIFS($J:$J,$B:$B,$B147,$A:$A,"&gt;="&amp;COUNTIFS($K$1:O$1,"&lt;&gt;"))),0)</f>
        <v>0</v>
      </c>
      <c r="P147">
        <f>IFERROR($J147/IF($A147&lt;COUNTIFS($K$1:P$1,"&lt;&gt;"),0,SUMIFS($J:$J,$B:$B,$B147,$A:$A,"&gt;="&amp;COUNTIFS($K$1:P$1,"&lt;&gt;"))),0)</f>
        <v>0</v>
      </c>
      <c r="Q147">
        <f>IFERROR($J147/IF($A147&lt;COUNTIFS($K$1:Q$1,"&lt;&gt;"),0,SUMIFS($J:$J,$B:$B,$B147,$A:$A,"&gt;="&amp;COUNTIFS($K$1:Q$1,"&lt;&gt;"))),0)</f>
        <v>0</v>
      </c>
      <c r="R147">
        <f>IFERROR($J147/IF($A147&lt;COUNTIFS($K$1:R$1,"&lt;&gt;"),0,SUMIFS($J:$J,$B:$B,$B147,$A:$A,"&gt;="&amp;COUNTIFS($K$1:R$1,"&lt;&gt;"))),0)</f>
        <v>0</v>
      </c>
      <c r="S147">
        <f>IFERROR($J147/IF($A147&lt;COUNTIFS($K$1:S$1,"&lt;&gt;"),0,SUMIFS($J:$J,$B:$B,$B147,$A:$A,"&gt;="&amp;COUNTIFS($K$1:S$1,"&lt;&gt;"))),0)</f>
        <v>0</v>
      </c>
      <c r="T147">
        <f>IFERROR($J147/IF($A147&lt;COUNTIFS($K$1:T$1,"&lt;&gt;"),0,SUMIFS($J:$J,$B:$B,$B147,$A:$A,"&gt;="&amp;COUNTIFS($K$1:T$1,"&lt;&gt;"))),0)</f>
        <v>0</v>
      </c>
      <c r="U147">
        <f>IFERROR($J147/IF($A147&lt;COUNTIFS($K$1:U$1,"&lt;&gt;"),0,SUMIFS($J:$J,$B:$B,$B147,$A:$A,"&gt;="&amp;COUNTIFS($K$1:U$1,"&lt;&gt;"))),0)</f>
        <v>0</v>
      </c>
      <c r="V147">
        <f>IFERROR($J147/IF($A147&lt;COUNTIFS($K$1:V$1,"&lt;&gt;"),0,SUMIFS($J:$J,$B:$B,$B147,$A:$A,"&gt;="&amp;COUNTIFS($K$1:V$1,"&lt;&gt;"))),0)</f>
        <v>0</v>
      </c>
      <c r="W147">
        <f t="shared" si="68"/>
        <v>7.6712328767123292E-2</v>
      </c>
      <c r="X147">
        <f t="shared" si="48"/>
        <v>7.6712328767123292E-2</v>
      </c>
      <c r="Y147">
        <f t="shared" si="49"/>
        <v>7.6712328767123292E-2</v>
      </c>
      <c r="Z147">
        <f t="shared" si="50"/>
        <v>0</v>
      </c>
      <c r="AA147">
        <f t="shared" si="51"/>
        <v>0</v>
      </c>
      <c r="AB147">
        <f t="shared" si="52"/>
        <v>0</v>
      </c>
      <c r="AC147">
        <f t="shared" si="53"/>
        <v>0</v>
      </c>
      <c r="AD147">
        <f t="shared" si="54"/>
        <v>0</v>
      </c>
      <c r="AE147">
        <f t="shared" si="55"/>
        <v>0</v>
      </c>
      <c r="AF147">
        <f t="shared" si="56"/>
        <v>0</v>
      </c>
      <c r="AG147">
        <f t="shared" si="57"/>
        <v>0</v>
      </c>
      <c r="AH147">
        <f t="shared" si="58"/>
        <v>0</v>
      </c>
      <c r="AI147">
        <f t="shared" si="59"/>
        <v>0</v>
      </c>
      <c r="AJ147" s="2" t="str">
        <f t="shared" si="69"/>
        <v>244166</v>
      </c>
    </row>
    <row r="148" spans="1:36" x14ac:dyDescent="0.25">
      <c r="A148">
        <v>3</v>
      </c>
      <c r="B148" s="1">
        <v>44166</v>
      </c>
      <c r="C148" s="1">
        <f t="shared" si="60"/>
        <v>44256</v>
      </c>
      <c r="D148" s="1">
        <f t="shared" si="61"/>
        <v>44180</v>
      </c>
      <c r="E148" s="1">
        <f t="shared" si="62"/>
        <v>44256</v>
      </c>
      <c r="F148" s="1">
        <f t="shared" si="63"/>
        <v>44287</v>
      </c>
      <c r="G148" s="1">
        <f t="shared" si="64"/>
        <v>44545</v>
      </c>
      <c r="H148">
        <f t="shared" si="65"/>
        <v>365</v>
      </c>
      <c r="I148">
        <f t="shared" si="66"/>
        <v>31</v>
      </c>
      <c r="J148">
        <f t="shared" si="67"/>
        <v>8.4931506849315067E-2</v>
      </c>
      <c r="K148">
        <f>IFERROR($J148/IF($A148&lt;COUNTIFS($K$1:K$1,"&lt;&gt;"),0,SUMIFS($J:$J,$B:$B,$B148,$A:$A,"&gt;="&amp;COUNTIFS($K$1:K$1,"&lt;&gt;"))),0)</f>
        <v>8.9080459770114959E-2</v>
      </c>
      <c r="L148">
        <f>IFERROR($J148/IF($A148&lt;COUNTIFS($K$1:L$1,"&lt;&gt;"),0,SUMIFS($J:$J,$B:$B,$B148,$A:$A,"&gt;="&amp;COUNTIFS($K$1:L$1,"&lt;&gt;"))),0)</f>
        <v>9.7791798107255537E-2</v>
      </c>
      <c r="M148">
        <f>IFERROR($J148/IF($A148&lt;COUNTIFS($K$1:M$1,"&lt;&gt;"),0,SUMIFS($J:$J,$B:$B,$B148,$A:$A,"&gt;="&amp;COUNTIFS($K$1:M$1,"&lt;&gt;"))),0)</f>
        <v>0.10726643598615919</v>
      </c>
      <c r="N148">
        <f>IFERROR($J148/IF($A148&lt;COUNTIFS($K$1:N$1,"&lt;&gt;"),0,SUMIFS($J:$J,$B:$B,$B148,$A:$A,"&gt;="&amp;COUNTIFS($K$1:N$1,"&lt;&gt;"))),0)</f>
        <v>0</v>
      </c>
      <c r="O148">
        <f>IFERROR($J148/IF($A148&lt;COUNTIFS($K$1:O$1,"&lt;&gt;"),0,SUMIFS($J:$J,$B:$B,$B148,$A:$A,"&gt;="&amp;COUNTIFS($K$1:O$1,"&lt;&gt;"))),0)</f>
        <v>0</v>
      </c>
      <c r="P148">
        <f>IFERROR($J148/IF($A148&lt;COUNTIFS($K$1:P$1,"&lt;&gt;"),0,SUMIFS($J:$J,$B:$B,$B148,$A:$A,"&gt;="&amp;COUNTIFS($K$1:P$1,"&lt;&gt;"))),0)</f>
        <v>0</v>
      </c>
      <c r="Q148">
        <f>IFERROR($J148/IF($A148&lt;COUNTIFS($K$1:Q$1,"&lt;&gt;"),0,SUMIFS($J:$J,$B:$B,$B148,$A:$A,"&gt;="&amp;COUNTIFS($K$1:Q$1,"&lt;&gt;"))),0)</f>
        <v>0</v>
      </c>
      <c r="R148">
        <f>IFERROR($J148/IF($A148&lt;COUNTIFS($K$1:R$1,"&lt;&gt;"),0,SUMIFS($J:$J,$B:$B,$B148,$A:$A,"&gt;="&amp;COUNTIFS($K$1:R$1,"&lt;&gt;"))),0)</f>
        <v>0</v>
      </c>
      <c r="S148">
        <f>IFERROR($J148/IF($A148&lt;COUNTIFS($K$1:S$1,"&lt;&gt;"),0,SUMIFS($J:$J,$B:$B,$B148,$A:$A,"&gt;="&amp;COUNTIFS($K$1:S$1,"&lt;&gt;"))),0)</f>
        <v>0</v>
      </c>
      <c r="T148">
        <f>IFERROR($J148/IF($A148&lt;COUNTIFS($K$1:T$1,"&lt;&gt;"),0,SUMIFS($J:$J,$B:$B,$B148,$A:$A,"&gt;="&amp;COUNTIFS($K$1:T$1,"&lt;&gt;"))),0)</f>
        <v>0</v>
      </c>
      <c r="U148">
        <f>IFERROR($J148/IF($A148&lt;COUNTIFS($K$1:U$1,"&lt;&gt;"),0,SUMIFS($J:$J,$B:$B,$B148,$A:$A,"&gt;="&amp;COUNTIFS($K$1:U$1,"&lt;&gt;"))),0)</f>
        <v>0</v>
      </c>
      <c r="V148">
        <f>IFERROR($J148/IF($A148&lt;COUNTIFS($K$1:V$1,"&lt;&gt;"),0,SUMIFS($J:$J,$B:$B,$B148,$A:$A,"&gt;="&amp;COUNTIFS($K$1:V$1,"&lt;&gt;"))),0)</f>
        <v>0</v>
      </c>
      <c r="W148">
        <f t="shared" si="68"/>
        <v>8.4931506849315067E-2</v>
      </c>
      <c r="X148">
        <f t="shared" si="48"/>
        <v>8.4931506849315067E-2</v>
      </c>
      <c r="Y148">
        <f t="shared" si="49"/>
        <v>8.4931506849315067E-2</v>
      </c>
      <c r="Z148">
        <f t="shared" si="50"/>
        <v>8.4931506849315067E-2</v>
      </c>
      <c r="AA148">
        <f t="shared" si="51"/>
        <v>0</v>
      </c>
      <c r="AB148">
        <f t="shared" si="52"/>
        <v>0</v>
      </c>
      <c r="AC148">
        <f t="shared" si="53"/>
        <v>0</v>
      </c>
      <c r="AD148">
        <f t="shared" si="54"/>
        <v>0</v>
      </c>
      <c r="AE148">
        <f t="shared" si="55"/>
        <v>0</v>
      </c>
      <c r="AF148">
        <f t="shared" si="56"/>
        <v>0</v>
      </c>
      <c r="AG148">
        <f t="shared" si="57"/>
        <v>0</v>
      </c>
      <c r="AH148">
        <f t="shared" si="58"/>
        <v>0</v>
      </c>
      <c r="AI148">
        <f t="shared" si="59"/>
        <v>0</v>
      </c>
      <c r="AJ148" s="2" t="str">
        <f t="shared" si="69"/>
        <v>344166</v>
      </c>
    </row>
    <row r="149" spans="1:36" x14ac:dyDescent="0.25">
      <c r="A149">
        <v>4</v>
      </c>
      <c r="B149" s="1">
        <v>44166</v>
      </c>
      <c r="C149" s="1">
        <f t="shared" si="60"/>
        <v>44287</v>
      </c>
      <c r="D149" s="1">
        <f t="shared" si="61"/>
        <v>44180</v>
      </c>
      <c r="E149" s="1">
        <f t="shared" si="62"/>
        <v>44287</v>
      </c>
      <c r="F149" s="1">
        <f t="shared" si="63"/>
        <v>44317</v>
      </c>
      <c r="G149" s="1">
        <f t="shared" si="64"/>
        <v>44545</v>
      </c>
      <c r="H149">
        <f t="shared" si="65"/>
        <v>365</v>
      </c>
      <c r="I149">
        <f t="shared" si="66"/>
        <v>30</v>
      </c>
      <c r="J149">
        <f t="shared" si="67"/>
        <v>8.2191780821917804E-2</v>
      </c>
      <c r="K149">
        <f>IFERROR($J149/IF($A149&lt;COUNTIFS($K$1:K$1,"&lt;&gt;"),0,SUMIFS($J:$J,$B:$B,$B149,$A:$A,"&gt;="&amp;COUNTIFS($K$1:K$1,"&lt;&gt;"))),0)</f>
        <v>8.6206896551724144E-2</v>
      </c>
      <c r="L149">
        <f>IFERROR($J149/IF($A149&lt;COUNTIFS($K$1:L$1,"&lt;&gt;"),0,SUMIFS($J:$J,$B:$B,$B149,$A:$A,"&gt;="&amp;COUNTIFS($K$1:L$1,"&lt;&gt;"))),0)</f>
        <v>9.4637223974763415E-2</v>
      </c>
      <c r="M149">
        <f>IFERROR($J149/IF($A149&lt;COUNTIFS($K$1:M$1,"&lt;&gt;"),0,SUMIFS($J:$J,$B:$B,$B149,$A:$A,"&gt;="&amp;COUNTIFS($K$1:M$1,"&lt;&gt;"))),0)</f>
        <v>0.10380622837370243</v>
      </c>
      <c r="N149">
        <f>IFERROR($J149/IF($A149&lt;COUNTIFS($K$1:N$1,"&lt;&gt;"),0,SUMIFS($J:$J,$B:$B,$B149,$A:$A,"&gt;="&amp;COUNTIFS($K$1:N$1,"&lt;&gt;"))),0)</f>
        <v>0.11627906976744187</v>
      </c>
      <c r="O149">
        <f>IFERROR($J149/IF($A149&lt;COUNTIFS($K$1:O$1,"&lt;&gt;"),0,SUMIFS($J:$J,$B:$B,$B149,$A:$A,"&gt;="&amp;COUNTIFS($K$1:O$1,"&lt;&gt;"))),0)</f>
        <v>0</v>
      </c>
      <c r="P149">
        <f>IFERROR($J149/IF($A149&lt;COUNTIFS($K$1:P$1,"&lt;&gt;"),0,SUMIFS($J:$J,$B:$B,$B149,$A:$A,"&gt;="&amp;COUNTIFS($K$1:P$1,"&lt;&gt;"))),0)</f>
        <v>0</v>
      </c>
      <c r="Q149">
        <f>IFERROR($J149/IF($A149&lt;COUNTIFS($K$1:Q$1,"&lt;&gt;"),0,SUMIFS($J:$J,$B:$B,$B149,$A:$A,"&gt;="&amp;COUNTIFS($K$1:Q$1,"&lt;&gt;"))),0)</f>
        <v>0</v>
      </c>
      <c r="R149">
        <f>IFERROR($J149/IF($A149&lt;COUNTIFS($K$1:R$1,"&lt;&gt;"),0,SUMIFS($J:$J,$B:$B,$B149,$A:$A,"&gt;="&amp;COUNTIFS($K$1:R$1,"&lt;&gt;"))),0)</f>
        <v>0</v>
      </c>
      <c r="S149">
        <f>IFERROR($J149/IF($A149&lt;COUNTIFS($K$1:S$1,"&lt;&gt;"),0,SUMIFS($J:$J,$B:$B,$B149,$A:$A,"&gt;="&amp;COUNTIFS($K$1:S$1,"&lt;&gt;"))),0)</f>
        <v>0</v>
      </c>
      <c r="T149">
        <f>IFERROR($J149/IF($A149&lt;COUNTIFS($K$1:T$1,"&lt;&gt;"),0,SUMIFS($J:$J,$B:$B,$B149,$A:$A,"&gt;="&amp;COUNTIFS($K$1:T$1,"&lt;&gt;"))),0)</f>
        <v>0</v>
      </c>
      <c r="U149">
        <f>IFERROR($J149/IF($A149&lt;COUNTIFS($K$1:U$1,"&lt;&gt;"),0,SUMIFS($J:$J,$B:$B,$B149,$A:$A,"&gt;="&amp;COUNTIFS($K$1:U$1,"&lt;&gt;"))),0)</f>
        <v>0</v>
      </c>
      <c r="V149">
        <f>IFERROR($J149/IF($A149&lt;COUNTIFS($K$1:V$1,"&lt;&gt;"),0,SUMIFS($J:$J,$B:$B,$B149,$A:$A,"&gt;="&amp;COUNTIFS($K$1:V$1,"&lt;&gt;"))),0)</f>
        <v>0</v>
      </c>
      <c r="W149">
        <f t="shared" si="68"/>
        <v>8.2191780821917804E-2</v>
      </c>
      <c r="X149">
        <f t="shared" si="48"/>
        <v>8.2191780821917804E-2</v>
      </c>
      <c r="Y149">
        <f t="shared" si="49"/>
        <v>8.2191780821917804E-2</v>
      </c>
      <c r="Z149">
        <f t="shared" si="50"/>
        <v>8.2191780821917804E-2</v>
      </c>
      <c r="AA149">
        <f t="shared" si="51"/>
        <v>8.2191780821917804E-2</v>
      </c>
      <c r="AB149">
        <f t="shared" si="52"/>
        <v>0</v>
      </c>
      <c r="AC149">
        <f t="shared" si="53"/>
        <v>0</v>
      </c>
      <c r="AD149">
        <f t="shared" si="54"/>
        <v>0</v>
      </c>
      <c r="AE149">
        <f t="shared" si="55"/>
        <v>0</v>
      </c>
      <c r="AF149">
        <f t="shared" si="56"/>
        <v>0</v>
      </c>
      <c r="AG149">
        <f t="shared" si="57"/>
        <v>0</v>
      </c>
      <c r="AH149">
        <f t="shared" si="58"/>
        <v>0</v>
      </c>
      <c r="AI149">
        <f t="shared" si="59"/>
        <v>0</v>
      </c>
      <c r="AJ149" s="2" t="str">
        <f t="shared" si="69"/>
        <v>444166</v>
      </c>
    </row>
    <row r="150" spans="1:36" x14ac:dyDescent="0.25">
      <c r="A150">
        <v>5</v>
      </c>
      <c r="B150" s="1">
        <v>44166</v>
      </c>
      <c r="C150" s="1">
        <f t="shared" si="60"/>
        <v>44317</v>
      </c>
      <c r="D150" s="1">
        <f t="shared" si="61"/>
        <v>44180</v>
      </c>
      <c r="E150" s="1">
        <f t="shared" si="62"/>
        <v>44317</v>
      </c>
      <c r="F150" s="1">
        <f t="shared" si="63"/>
        <v>44348</v>
      </c>
      <c r="G150" s="1">
        <f t="shared" si="64"/>
        <v>44545</v>
      </c>
      <c r="H150">
        <f t="shared" si="65"/>
        <v>365</v>
      </c>
      <c r="I150">
        <f t="shared" si="66"/>
        <v>31</v>
      </c>
      <c r="J150">
        <f t="shared" si="67"/>
        <v>8.4931506849315067E-2</v>
      </c>
      <c r="K150">
        <f>IFERROR($J150/IF($A150&lt;COUNTIFS($K$1:K$1,"&lt;&gt;"),0,SUMIFS($J:$J,$B:$B,$B150,$A:$A,"&gt;="&amp;COUNTIFS($K$1:K$1,"&lt;&gt;"))),0)</f>
        <v>8.9080459770114959E-2</v>
      </c>
      <c r="L150">
        <f>IFERROR($J150/IF($A150&lt;COUNTIFS($K$1:L$1,"&lt;&gt;"),0,SUMIFS($J:$J,$B:$B,$B150,$A:$A,"&gt;="&amp;COUNTIFS($K$1:L$1,"&lt;&gt;"))),0)</f>
        <v>9.7791798107255537E-2</v>
      </c>
      <c r="M150">
        <f>IFERROR($J150/IF($A150&lt;COUNTIFS($K$1:M$1,"&lt;&gt;"),0,SUMIFS($J:$J,$B:$B,$B150,$A:$A,"&gt;="&amp;COUNTIFS($K$1:M$1,"&lt;&gt;"))),0)</f>
        <v>0.10726643598615919</v>
      </c>
      <c r="N150">
        <f>IFERROR($J150/IF($A150&lt;COUNTIFS($K$1:N$1,"&lt;&gt;"),0,SUMIFS($J:$J,$B:$B,$B150,$A:$A,"&gt;="&amp;COUNTIFS($K$1:N$1,"&lt;&gt;"))),0)</f>
        <v>0.12015503875968994</v>
      </c>
      <c r="O150">
        <f>IFERROR($J150/IF($A150&lt;COUNTIFS($K$1:O$1,"&lt;&gt;"),0,SUMIFS($J:$J,$B:$B,$B150,$A:$A,"&gt;="&amp;COUNTIFS($K$1:O$1,"&lt;&gt;"))),0)</f>
        <v>0.13596491228070179</v>
      </c>
      <c r="P150">
        <f>IFERROR($J150/IF($A150&lt;COUNTIFS($K$1:P$1,"&lt;&gt;"),0,SUMIFS($J:$J,$B:$B,$B150,$A:$A,"&gt;="&amp;COUNTIFS($K$1:P$1,"&lt;&gt;"))),0)</f>
        <v>0</v>
      </c>
      <c r="Q150">
        <f>IFERROR($J150/IF($A150&lt;COUNTIFS($K$1:Q$1,"&lt;&gt;"),0,SUMIFS($J:$J,$B:$B,$B150,$A:$A,"&gt;="&amp;COUNTIFS($K$1:Q$1,"&lt;&gt;"))),0)</f>
        <v>0</v>
      </c>
      <c r="R150">
        <f>IFERROR($J150/IF($A150&lt;COUNTIFS($K$1:R$1,"&lt;&gt;"),0,SUMIFS($J:$J,$B:$B,$B150,$A:$A,"&gt;="&amp;COUNTIFS($K$1:R$1,"&lt;&gt;"))),0)</f>
        <v>0</v>
      </c>
      <c r="S150">
        <f>IFERROR($J150/IF($A150&lt;COUNTIFS($K$1:S$1,"&lt;&gt;"),0,SUMIFS($J:$J,$B:$B,$B150,$A:$A,"&gt;="&amp;COUNTIFS($K$1:S$1,"&lt;&gt;"))),0)</f>
        <v>0</v>
      </c>
      <c r="T150">
        <f>IFERROR($J150/IF($A150&lt;COUNTIFS($K$1:T$1,"&lt;&gt;"),0,SUMIFS($J:$J,$B:$B,$B150,$A:$A,"&gt;="&amp;COUNTIFS($K$1:T$1,"&lt;&gt;"))),0)</f>
        <v>0</v>
      </c>
      <c r="U150">
        <f>IFERROR($J150/IF($A150&lt;COUNTIFS($K$1:U$1,"&lt;&gt;"),0,SUMIFS($J:$J,$B:$B,$B150,$A:$A,"&gt;="&amp;COUNTIFS($K$1:U$1,"&lt;&gt;"))),0)</f>
        <v>0</v>
      </c>
      <c r="V150">
        <f>IFERROR($J150/IF($A150&lt;COUNTIFS($K$1:V$1,"&lt;&gt;"),0,SUMIFS($J:$J,$B:$B,$B150,$A:$A,"&gt;="&amp;COUNTIFS($K$1:V$1,"&lt;&gt;"))),0)</f>
        <v>0</v>
      </c>
      <c r="W150">
        <f t="shared" si="68"/>
        <v>8.4931506849315067E-2</v>
      </c>
      <c r="X150">
        <f t="shared" si="48"/>
        <v>8.4931506849315067E-2</v>
      </c>
      <c r="Y150">
        <f t="shared" si="49"/>
        <v>8.4931506849315067E-2</v>
      </c>
      <c r="Z150">
        <f t="shared" si="50"/>
        <v>8.4931506849315067E-2</v>
      </c>
      <c r="AA150">
        <f t="shared" si="51"/>
        <v>8.4931506849315067E-2</v>
      </c>
      <c r="AB150">
        <f t="shared" si="52"/>
        <v>8.4931506849315067E-2</v>
      </c>
      <c r="AC150">
        <f t="shared" si="53"/>
        <v>0</v>
      </c>
      <c r="AD150">
        <f t="shared" si="54"/>
        <v>0</v>
      </c>
      <c r="AE150">
        <f t="shared" si="55"/>
        <v>0</v>
      </c>
      <c r="AF150">
        <f t="shared" si="56"/>
        <v>0</v>
      </c>
      <c r="AG150">
        <f t="shared" si="57"/>
        <v>0</v>
      </c>
      <c r="AH150">
        <f t="shared" si="58"/>
        <v>0</v>
      </c>
      <c r="AI150">
        <f t="shared" si="59"/>
        <v>0</v>
      </c>
      <c r="AJ150" s="2" t="str">
        <f t="shared" si="69"/>
        <v>544166</v>
      </c>
    </row>
    <row r="151" spans="1:36" x14ac:dyDescent="0.25">
      <c r="A151">
        <v>6</v>
      </c>
      <c r="B151" s="1">
        <v>44166</v>
      </c>
      <c r="C151" s="1">
        <f t="shared" si="60"/>
        <v>44348</v>
      </c>
      <c r="D151" s="1">
        <f t="shared" si="61"/>
        <v>44180</v>
      </c>
      <c r="E151" s="1">
        <f t="shared" si="62"/>
        <v>44348</v>
      </c>
      <c r="F151" s="1">
        <f t="shared" si="63"/>
        <v>44378</v>
      </c>
      <c r="G151" s="1">
        <f t="shared" si="64"/>
        <v>44545</v>
      </c>
      <c r="H151">
        <f t="shared" si="65"/>
        <v>365</v>
      </c>
      <c r="I151">
        <f t="shared" si="66"/>
        <v>30</v>
      </c>
      <c r="J151">
        <f t="shared" si="67"/>
        <v>8.2191780821917804E-2</v>
      </c>
      <c r="K151">
        <f>IFERROR($J151/IF($A151&lt;COUNTIFS($K$1:K$1,"&lt;&gt;"),0,SUMIFS($J:$J,$B:$B,$B151,$A:$A,"&gt;="&amp;COUNTIFS($K$1:K$1,"&lt;&gt;"))),0)</f>
        <v>8.6206896551724144E-2</v>
      </c>
      <c r="L151">
        <f>IFERROR($J151/IF($A151&lt;COUNTIFS($K$1:L$1,"&lt;&gt;"),0,SUMIFS($J:$J,$B:$B,$B151,$A:$A,"&gt;="&amp;COUNTIFS($K$1:L$1,"&lt;&gt;"))),0)</f>
        <v>9.4637223974763415E-2</v>
      </c>
      <c r="M151">
        <f>IFERROR($J151/IF($A151&lt;COUNTIFS($K$1:M$1,"&lt;&gt;"),0,SUMIFS($J:$J,$B:$B,$B151,$A:$A,"&gt;="&amp;COUNTIFS($K$1:M$1,"&lt;&gt;"))),0)</f>
        <v>0.10380622837370243</v>
      </c>
      <c r="N151">
        <f>IFERROR($J151/IF($A151&lt;COUNTIFS($K$1:N$1,"&lt;&gt;"),0,SUMIFS($J:$J,$B:$B,$B151,$A:$A,"&gt;="&amp;COUNTIFS($K$1:N$1,"&lt;&gt;"))),0)</f>
        <v>0.11627906976744187</v>
      </c>
      <c r="O151">
        <f>IFERROR($J151/IF($A151&lt;COUNTIFS($K$1:O$1,"&lt;&gt;"),0,SUMIFS($J:$J,$B:$B,$B151,$A:$A,"&gt;="&amp;COUNTIFS($K$1:O$1,"&lt;&gt;"))),0)</f>
        <v>0.13157894736842107</v>
      </c>
      <c r="P151">
        <f>IFERROR($J151/IF($A151&lt;COUNTIFS($K$1:P$1,"&lt;&gt;"),0,SUMIFS($J:$J,$B:$B,$B151,$A:$A,"&gt;="&amp;COUNTIFS($K$1:P$1,"&lt;&gt;"))),0)</f>
        <v>0.15228426395939088</v>
      </c>
      <c r="Q151">
        <f>IFERROR($J151/IF($A151&lt;COUNTIFS($K$1:Q$1,"&lt;&gt;"),0,SUMIFS($J:$J,$B:$B,$B151,$A:$A,"&gt;="&amp;COUNTIFS($K$1:Q$1,"&lt;&gt;"))),0)</f>
        <v>0</v>
      </c>
      <c r="R151">
        <f>IFERROR($J151/IF($A151&lt;COUNTIFS($K$1:R$1,"&lt;&gt;"),0,SUMIFS($J:$J,$B:$B,$B151,$A:$A,"&gt;="&amp;COUNTIFS($K$1:R$1,"&lt;&gt;"))),0)</f>
        <v>0</v>
      </c>
      <c r="S151">
        <f>IFERROR($J151/IF($A151&lt;COUNTIFS($K$1:S$1,"&lt;&gt;"),0,SUMIFS($J:$J,$B:$B,$B151,$A:$A,"&gt;="&amp;COUNTIFS($K$1:S$1,"&lt;&gt;"))),0)</f>
        <v>0</v>
      </c>
      <c r="T151">
        <f>IFERROR($J151/IF($A151&lt;COUNTIFS($K$1:T$1,"&lt;&gt;"),0,SUMIFS($J:$J,$B:$B,$B151,$A:$A,"&gt;="&amp;COUNTIFS($K$1:T$1,"&lt;&gt;"))),0)</f>
        <v>0</v>
      </c>
      <c r="U151">
        <f>IFERROR($J151/IF($A151&lt;COUNTIFS($K$1:U$1,"&lt;&gt;"),0,SUMIFS($J:$J,$B:$B,$B151,$A:$A,"&gt;="&amp;COUNTIFS($K$1:U$1,"&lt;&gt;"))),0)</f>
        <v>0</v>
      </c>
      <c r="V151">
        <f>IFERROR($J151/IF($A151&lt;COUNTIFS($K$1:V$1,"&lt;&gt;"),0,SUMIFS($J:$J,$B:$B,$B151,$A:$A,"&gt;="&amp;COUNTIFS($K$1:V$1,"&lt;&gt;"))),0)</f>
        <v>0</v>
      </c>
      <c r="W151">
        <f t="shared" si="68"/>
        <v>8.2191780821917804E-2</v>
      </c>
      <c r="X151">
        <f t="shared" si="48"/>
        <v>8.2191780821917804E-2</v>
      </c>
      <c r="Y151">
        <f t="shared" si="49"/>
        <v>8.2191780821917804E-2</v>
      </c>
      <c r="Z151">
        <f t="shared" si="50"/>
        <v>8.2191780821917804E-2</v>
      </c>
      <c r="AA151">
        <f t="shared" si="51"/>
        <v>8.2191780821917804E-2</v>
      </c>
      <c r="AB151">
        <f t="shared" si="52"/>
        <v>8.2191780821917804E-2</v>
      </c>
      <c r="AC151">
        <f t="shared" si="53"/>
        <v>8.2191780821917804E-2</v>
      </c>
      <c r="AD151">
        <f t="shared" si="54"/>
        <v>0</v>
      </c>
      <c r="AE151">
        <f t="shared" si="55"/>
        <v>0</v>
      </c>
      <c r="AF151">
        <f t="shared" si="56"/>
        <v>0</v>
      </c>
      <c r="AG151">
        <f t="shared" si="57"/>
        <v>0</v>
      </c>
      <c r="AH151">
        <f t="shared" si="58"/>
        <v>0</v>
      </c>
      <c r="AI151">
        <f t="shared" si="59"/>
        <v>0</v>
      </c>
      <c r="AJ151" s="2" t="str">
        <f t="shared" si="69"/>
        <v>644166</v>
      </c>
    </row>
    <row r="152" spans="1:36" x14ac:dyDescent="0.25">
      <c r="A152">
        <v>7</v>
      </c>
      <c r="B152" s="1">
        <v>44166</v>
      </c>
      <c r="C152" s="1">
        <f t="shared" si="60"/>
        <v>44378</v>
      </c>
      <c r="D152" s="1">
        <f t="shared" si="61"/>
        <v>44180</v>
      </c>
      <c r="E152" s="1">
        <f t="shared" si="62"/>
        <v>44378</v>
      </c>
      <c r="F152" s="1">
        <f t="shared" si="63"/>
        <v>44409</v>
      </c>
      <c r="G152" s="1">
        <f t="shared" si="64"/>
        <v>44545</v>
      </c>
      <c r="H152">
        <f t="shared" si="65"/>
        <v>365</v>
      </c>
      <c r="I152">
        <f t="shared" si="66"/>
        <v>31</v>
      </c>
      <c r="J152">
        <f t="shared" si="67"/>
        <v>8.4931506849315067E-2</v>
      </c>
      <c r="K152">
        <f>IFERROR($J152/IF($A152&lt;COUNTIFS($K$1:K$1,"&lt;&gt;"),0,SUMIFS($J:$J,$B:$B,$B152,$A:$A,"&gt;="&amp;COUNTIFS($K$1:K$1,"&lt;&gt;"))),0)</f>
        <v>8.9080459770114959E-2</v>
      </c>
      <c r="L152">
        <f>IFERROR($J152/IF($A152&lt;COUNTIFS($K$1:L$1,"&lt;&gt;"),0,SUMIFS($J:$J,$B:$B,$B152,$A:$A,"&gt;="&amp;COUNTIFS($K$1:L$1,"&lt;&gt;"))),0)</f>
        <v>9.7791798107255537E-2</v>
      </c>
      <c r="M152">
        <f>IFERROR($J152/IF($A152&lt;COUNTIFS($K$1:M$1,"&lt;&gt;"),0,SUMIFS($J:$J,$B:$B,$B152,$A:$A,"&gt;="&amp;COUNTIFS($K$1:M$1,"&lt;&gt;"))),0)</f>
        <v>0.10726643598615919</v>
      </c>
      <c r="N152">
        <f>IFERROR($J152/IF($A152&lt;COUNTIFS($K$1:N$1,"&lt;&gt;"),0,SUMIFS($J:$J,$B:$B,$B152,$A:$A,"&gt;="&amp;COUNTIFS($K$1:N$1,"&lt;&gt;"))),0)</f>
        <v>0.12015503875968994</v>
      </c>
      <c r="O152">
        <f>IFERROR($J152/IF($A152&lt;COUNTIFS($K$1:O$1,"&lt;&gt;"),0,SUMIFS($J:$J,$B:$B,$B152,$A:$A,"&gt;="&amp;COUNTIFS($K$1:O$1,"&lt;&gt;"))),0)</f>
        <v>0.13596491228070179</v>
      </c>
      <c r="P152">
        <f>IFERROR($J152/IF($A152&lt;COUNTIFS($K$1:P$1,"&lt;&gt;"),0,SUMIFS($J:$J,$B:$B,$B152,$A:$A,"&gt;="&amp;COUNTIFS($K$1:P$1,"&lt;&gt;"))),0)</f>
        <v>0.15736040609137059</v>
      </c>
      <c r="Q152">
        <f>IFERROR($J152/IF($A152&lt;COUNTIFS($K$1:Q$1,"&lt;&gt;"),0,SUMIFS($J:$J,$B:$B,$B152,$A:$A,"&gt;="&amp;COUNTIFS($K$1:Q$1,"&lt;&gt;"))),0)</f>
        <v>0.18562874251497008</v>
      </c>
      <c r="R152">
        <f>IFERROR($J152/IF($A152&lt;COUNTIFS($K$1:R$1,"&lt;&gt;"),0,SUMIFS($J:$J,$B:$B,$B152,$A:$A,"&gt;="&amp;COUNTIFS($K$1:R$1,"&lt;&gt;"))),0)</f>
        <v>0</v>
      </c>
      <c r="S152">
        <f>IFERROR($J152/IF($A152&lt;COUNTIFS($K$1:S$1,"&lt;&gt;"),0,SUMIFS($J:$J,$B:$B,$B152,$A:$A,"&gt;="&amp;COUNTIFS($K$1:S$1,"&lt;&gt;"))),0)</f>
        <v>0</v>
      </c>
      <c r="T152">
        <f>IFERROR($J152/IF($A152&lt;COUNTIFS($K$1:T$1,"&lt;&gt;"),0,SUMIFS($J:$J,$B:$B,$B152,$A:$A,"&gt;="&amp;COUNTIFS($K$1:T$1,"&lt;&gt;"))),0)</f>
        <v>0</v>
      </c>
      <c r="U152">
        <f>IFERROR($J152/IF($A152&lt;COUNTIFS($K$1:U$1,"&lt;&gt;"),0,SUMIFS($J:$J,$B:$B,$B152,$A:$A,"&gt;="&amp;COUNTIFS($K$1:U$1,"&lt;&gt;"))),0)</f>
        <v>0</v>
      </c>
      <c r="V152">
        <f>IFERROR($J152/IF($A152&lt;COUNTIFS($K$1:V$1,"&lt;&gt;"),0,SUMIFS($J:$J,$B:$B,$B152,$A:$A,"&gt;="&amp;COUNTIFS($K$1:V$1,"&lt;&gt;"))),0)</f>
        <v>0</v>
      </c>
      <c r="W152">
        <f t="shared" si="68"/>
        <v>8.4931506849315067E-2</v>
      </c>
      <c r="X152">
        <f t="shared" si="48"/>
        <v>8.4931506849315067E-2</v>
      </c>
      <c r="Y152">
        <f t="shared" si="49"/>
        <v>8.4931506849315067E-2</v>
      </c>
      <c r="Z152">
        <f t="shared" si="50"/>
        <v>8.4931506849315067E-2</v>
      </c>
      <c r="AA152">
        <f t="shared" si="51"/>
        <v>8.4931506849315067E-2</v>
      </c>
      <c r="AB152">
        <f t="shared" si="52"/>
        <v>8.4931506849315067E-2</v>
      </c>
      <c r="AC152">
        <f t="shared" si="53"/>
        <v>8.4931506849315067E-2</v>
      </c>
      <c r="AD152">
        <f t="shared" si="54"/>
        <v>8.4931506849315067E-2</v>
      </c>
      <c r="AE152">
        <f t="shared" si="55"/>
        <v>0</v>
      </c>
      <c r="AF152">
        <f t="shared" si="56"/>
        <v>0</v>
      </c>
      <c r="AG152">
        <f t="shared" si="57"/>
        <v>0</v>
      </c>
      <c r="AH152">
        <f t="shared" si="58"/>
        <v>0</v>
      </c>
      <c r="AI152">
        <f t="shared" si="59"/>
        <v>0</v>
      </c>
      <c r="AJ152" s="2" t="str">
        <f t="shared" si="69"/>
        <v>744166</v>
      </c>
    </row>
    <row r="153" spans="1:36" x14ac:dyDescent="0.25">
      <c r="A153">
        <v>8</v>
      </c>
      <c r="B153" s="1">
        <v>44166</v>
      </c>
      <c r="C153" s="1">
        <f t="shared" si="60"/>
        <v>44409</v>
      </c>
      <c r="D153" s="1">
        <f t="shared" si="61"/>
        <v>44180</v>
      </c>
      <c r="E153" s="1">
        <f t="shared" si="62"/>
        <v>44409</v>
      </c>
      <c r="F153" s="1">
        <f t="shared" si="63"/>
        <v>44440</v>
      </c>
      <c r="G153" s="1">
        <f t="shared" si="64"/>
        <v>44545</v>
      </c>
      <c r="H153">
        <f t="shared" si="65"/>
        <v>365</v>
      </c>
      <c r="I153">
        <f t="shared" si="66"/>
        <v>31</v>
      </c>
      <c r="J153">
        <f t="shared" si="67"/>
        <v>8.4931506849315067E-2</v>
      </c>
      <c r="K153">
        <f>IFERROR($J153/IF($A153&lt;COUNTIFS($K$1:K$1,"&lt;&gt;"),0,SUMIFS($J:$J,$B:$B,$B153,$A:$A,"&gt;="&amp;COUNTIFS($K$1:K$1,"&lt;&gt;"))),0)</f>
        <v>8.9080459770114959E-2</v>
      </c>
      <c r="L153">
        <f>IFERROR($J153/IF($A153&lt;COUNTIFS($K$1:L$1,"&lt;&gt;"),0,SUMIFS($J:$J,$B:$B,$B153,$A:$A,"&gt;="&amp;COUNTIFS($K$1:L$1,"&lt;&gt;"))),0)</f>
        <v>9.7791798107255537E-2</v>
      </c>
      <c r="M153">
        <f>IFERROR($J153/IF($A153&lt;COUNTIFS($K$1:M$1,"&lt;&gt;"),0,SUMIFS($J:$J,$B:$B,$B153,$A:$A,"&gt;="&amp;COUNTIFS($K$1:M$1,"&lt;&gt;"))),0)</f>
        <v>0.10726643598615919</v>
      </c>
      <c r="N153">
        <f>IFERROR($J153/IF($A153&lt;COUNTIFS($K$1:N$1,"&lt;&gt;"),0,SUMIFS($J:$J,$B:$B,$B153,$A:$A,"&gt;="&amp;COUNTIFS($K$1:N$1,"&lt;&gt;"))),0)</f>
        <v>0.12015503875968994</v>
      </c>
      <c r="O153">
        <f>IFERROR($J153/IF($A153&lt;COUNTIFS($K$1:O$1,"&lt;&gt;"),0,SUMIFS($J:$J,$B:$B,$B153,$A:$A,"&gt;="&amp;COUNTIFS($K$1:O$1,"&lt;&gt;"))),0)</f>
        <v>0.13596491228070179</v>
      </c>
      <c r="P153">
        <f>IFERROR($J153/IF($A153&lt;COUNTIFS($K$1:P$1,"&lt;&gt;"),0,SUMIFS($J:$J,$B:$B,$B153,$A:$A,"&gt;="&amp;COUNTIFS($K$1:P$1,"&lt;&gt;"))),0)</f>
        <v>0.15736040609137059</v>
      </c>
      <c r="Q153">
        <f>IFERROR($J153/IF($A153&lt;COUNTIFS($K$1:Q$1,"&lt;&gt;"),0,SUMIFS($J:$J,$B:$B,$B153,$A:$A,"&gt;="&amp;COUNTIFS($K$1:Q$1,"&lt;&gt;"))),0)</f>
        <v>0.18562874251497008</v>
      </c>
      <c r="R153">
        <f>IFERROR($J153/IF($A153&lt;COUNTIFS($K$1:R$1,"&lt;&gt;"),0,SUMIFS($J:$J,$B:$B,$B153,$A:$A,"&gt;="&amp;COUNTIFS($K$1:R$1,"&lt;&gt;"))),0)</f>
        <v>0.22794117647058826</v>
      </c>
      <c r="S153">
        <f>IFERROR($J153/IF($A153&lt;COUNTIFS($K$1:S$1,"&lt;&gt;"),0,SUMIFS($J:$J,$B:$B,$B153,$A:$A,"&gt;="&amp;COUNTIFS($K$1:S$1,"&lt;&gt;"))),0)</f>
        <v>0</v>
      </c>
      <c r="T153">
        <f>IFERROR($J153/IF($A153&lt;COUNTIFS($K$1:T$1,"&lt;&gt;"),0,SUMIFS($J:$J,$B:$B,$B153,$A:$A,"&gt;="&amp;COUNTIFS($K$1:T$1,"&lt;&gt;"))),0)</f>
        <v>0</v>
      </c>
      <c r="U153">
        <f>IFERROR($J153/IF($A153&lt;COUNTIFS($K$1:U$1,"&lt;&gt;"),0,SUMIFS($J:$J,$B:$B,$B153,$A:$A,"&gt;="&amp;COUNTIFS($K$1:U$1,"&lt;&gt;"))),0)</f>
        <v>0</v>
      </c>
      <c r="V153">
        <f>IFERROR($J153/IF($A153&lt;COUNTIFS($K$1:V$1,"&lt;&gt;"),0,SUMIFS($J:$J,$B:$B,$B153,$A:$A,"&gt;="&amp;COUNTIFS($K$1:V$1,"&lt;&gt;"))),0)</f>
        <v>0</v>
      </c>
      <c r="W153">
        <f t="shared" si="68"/>
        <v>8.4931506849315067E-2</v>
      </c>
      <c r="X153">
        <f t="shared" si="48"/>
        <v>8.4931506849315067E-2</v>
      </c>
      <c r="Y153">
        <f t="shared" si="49"/>
        <v>8.4931506849315067E-2</v>
      </c>
      <c r="Z153">
        <f t="shared" si="50"/>
        <v>8.4931506849315067E-2</v>
      </c>
      <c r="AA153">
        <f t="shared" si="51"/>
        <v>8.4931506849315067E-2</v>
      </c>
      <c r="AB153">
        <f t="shared" si="52"/>
        <v>8.4931506849315067E-2</v>
      </c>
      <c r="AC153">
        <f t="shared" si="53"/>
        <v>8.4931506849315067E-2</v>
      </c>
      <c r="AD153">
        <f t="shared" si="54"/>
        <v>8.4931506849315067E-2</v>
      </c>
      <c r="AE153">
        <f t="shared" si="55"/>
        <v>8.4931506849315067E-2</v>
      </c>
      <c r="AF153">
        <f t="shared" si="56"/>
        <v>0</v>
      </c>
      <c r="AG153">
        <f t="shared" si="57"/>
        <v>0</v>
      </c>
      <c r="AH153">
        <f t="shared" si="58"/>
        <v>0</v>
      </c>
      <c r="AI153">
        <f t="shared" si="59"/>
        <v>0</v>
      </c>
      <c r="AJ153" s="2" t="str">
        <f t="shared" si="69"/>
        <v>844166</v>
      </c>
    </row>
    <row r="154" spans="1:36" x14ac:dyDescent="0.25">
      <c r="A154">
        <v>9</v>
      </c>
      <c r="B154" s="1">
        <v>44166</v>
      </c>
      <c r="C154" s="1">
        <f t="shared" si="60"/>
        <v>44440</v>
      </c>
      <c r="D154" s="1">
        <f t="shared" si="61"/>
        <v>44180</v>
      </c>
      <c r="E154" s="1">
        <f t="shared" si="62"/>
        <v>44440</v>
      </c>
      <c r="F154" s="1">
        <f t="shared" si="63"/>
        <v>44470</v>
      </c>
      <c r="G154" s="1">
        <f t="shared" si="64"/>
        <v>44545</v>
      </c>
      <c r="H154">
        <f t="shared" si="65"/>
        <v>365</v>
      </c>
      <c r="I154">
        <f t="shared" si="66"/>
        <v>30</v>
      </c>
      <c r="J154">
        <f t="shared" si="67"/>
        <v>8.2191780821917804E-2</v>
      </c>
      <c r="K154">
        <f>IFERROR($J154/IF($A154&lt;COUNTIFS($K$1:K$1,"&lt;&gt;"),0,SUMIFS($J:$J,$B:$B,$B154,$A:$A,"&gt;="&amp;COUNTIFS($K$1:K$1,"&lt;&gt;"))),0)</f>
        <v>8.6206896551724144E-2</v>
      </c>
      <c r="L154">
        <f>IFERROR($J154/IF($A154&lt;COUNTIFS($K$1:L$1,"&lt;&gt;"),0,SUMIFS($J:$J,$B:$B,$B154,$A:$A,"&gt;="&amp;COUNTIFS($K$1:L$1,"&lt;&gt;"))),0)</f>
        <v>9.4637223974763415E-2</v>
      </c>
      <c r="M154">
        <f>IFERROR($J154/IF($A154&lt;COUNTIFS($K$1:M$1,"&lt;&gt;"),0,SUMIFS($J:$J,$B:$B,$B154,$A:$A,"&gt;="&amp;COUNTIFS($K$1:M$1,"&lt;&gt;"))),0)</f>
        <v>0.10380622837370243</v>
      </c>
      <c r="N154">
        <f>IFERROR($J154/IF($A154&lt;COUNTIFS($K$1:N$1,"&lt;&gt;"),0,SUMIFS($J:$J,$B:$B,$B154,$A:$A,"&gt;="&amp;COUNTIFS($K$1:N$1,"&lt;&gt;"))),0)</f>
        <v>0.11627906976744187</v>
      </c>
      <c r="O154">
        <f>IFERROR($J154/IF($A154&lt;COUNTIFS($K$1:O$1,"&lt;&gt;"),0,SUMIFS($J:$J,$B:$B,$B154,$A:$A,"&gt;="&amp;COUNTIFS($K$1:O$1,"&lt;&gt;"))),0)</f>
        <v>0.13157894736842107</v>
      </c>
      <c r="P154">
        <f>IFERROR($J154/IF($A154&lt;COUNTIFS($K$1:P$1,"&lt;&gt;"),0,SUMIFS($J:$J,$B:$B,$B154,$A:$A,"&gt;="&amp;COUNTIFS($K$1:P$1,"&lt;&gt;"))),0)</f>
        <v>0.15228426395939088</v>
      </c>
      <c r="Q154">
        <f>IFERROR($J154/IF($A154&lt;COUNTIFS($K$1:Q$1,"&lt;&gt;"),0,SUMIFS($J:$J,$B:$B,$B154,$A:$A,"&gt;="&amp;COUNTIFS($K$1:Q$1,"&lt;&gt;"))),0)</f>
        <v>0.17964071856287425</v>
      </c>
      <c r="R154">
        <f>IFERROR($J154/IF($A154&lt;COUNTIFS($K$1:R$1,"&lt;&gt;"),0,SUMIFS($J:$J,$B:$B,$B154,$A:$A,"&gt;="&amp;COUNTIFS($K$1:R$1,"&lt;&gt;"))),0)</f>
        <v>0.22058823529411764</v>
      </c>
      <c r="S154">
        <f>IFERROR($J154/IF($A154&lt;COUNTIFS($K$1:S$1,"&lt;&gt;"),0,SUMIFS($J:$J,$B:$B,$B154,$A:$A,"&gt;="&amp;COUNTIFS($K$1:S$1,"&lt;&gt;"))),0)</f>
        <v>0.2857142857142857</v>
      </c>
      <c r="T154">
        <f>IFERROR($J154/IF($A154&lt;COUNTIFS($K$1:T$1,"&lt;&gt;"),0,SUMIFS($J:$J,$B:$B,$B154,$A:$A,"&gt;="&amp;COUNTIFS($K$1:T$1,"&lt;&gt;"))),0)</f>
        <v>0</v>
      </c>
      <c r="U154">
        <f>IFERROR($J154/IF($A154&lt;COUNTIFS($K$1:U$1,"&lt;&gt;"),0,SUMIFS($J:$J,$B:$B,$B154,$A:$A,"&gt;="&amp;COUNTIFS($K$1:U$1,"&lt;&gt;"))),0)</f>
        <v>0</v>
      </c>
      <c r="V154">
        <f>IFERROR($J154/IF($A154&lt;COUNTIFS($K$1:V$1,"&lt;&gt;"),0,SUMIFS($J:$J,$B:$B,$B154,$A:$A,"&gt;="&amp;COUNTIFS($K$1:V$1,"&lt;&gt;"))),0)</f>
        <v>0</v>
      </c>
      <c r="W154">
        <f t="shared" si="68"/>
        <v>8.2191780821917804E-2</v>
      </c>
      <c r="X154">
        <f t="shared" si="48"/>
        <v>8.2191780821917804E-2</v>
      </c>
      <c r="Y154">
        <f t="shared" si="49"/>
        <v>8.2191780821917804E-2</v>
      </c>
      <c r="Z154">
        <f t="shared" si="50"/>
        <v>8.2191780821917804E-2</v>
      </c>
      <c r="AA154">
        <f t="shared" si="51"/>
        <v>8.2191780821917804E-2</v>
      </c>
      <c r="AB154">
        <f t="shared" si="52"/>
        <v>8.2191780821917804E-2</v>
      </c>
      <c r="AC154">
        <f t="shared" si="53"/>
        <v>8.2191780821917804E-2</v>
      </c>
      <c r="AD154">
        <f t="shared" si="54"/>
        <v>8.2191780821917804E-2</v>
      </c>
      <c r="AE154">
        <f t="shared" si="55"/>
        <v>8.2191780821917804E-2</v>
      </c>
      <c r="AF154">
        <f t="shared" si="56"/>
        <v>8.2191780821917804E-2</v>
      </c>
      <c r="AG154">
        <f t="shared" si="57"/>
        <v>0</v>
      </c>
      <c r="AH154">
        <f t="shared" si="58"/>
        <v>0</v>
      </c>
      <c r="AI154">
        <f t="shared" si="59"/>
        <v>0</v>
      </c>
      <c r="AJ154" s="2" t="str">
        <f t="shared" si="69"/>
        <v>944166</v>
      </c>
    </row>
    <row r="155" spans="1:36" x14ac:dyDescent="0.25">
      <c r="A155">
        <v>10</v>
      </c>
      <c r="B155" s="1">
        <v>44166</v>
      </c>
      <c r="C155" s="1">
        <f t="shared" si="60"/>
        <v>44470</v>
      </c>
      <c r="D155" s="1">
        <f t="shared" si="61"/>
        <v>44180</v>
      </c>
      <c r="E155" s="1">
        <f t="shared" si="62"/>
        <v>44470</v>
      </c>
      <c r="F155" s="1">
        <f t="shared" si="63"/>
        <v>44501</v>
      </c>
      <c r="G155" s="1">
        <f t="shared" si="64"/>
        <v>44545</v>
      </c>
      <c r="H155">
        <f t="shared" si="65"/>
        <v>365</v>
      </c>
      <c r="I155">
        <f t="shared" si="66"/>
        <v>31</v>
      </c>
      <c r="J155">
        <f t="shared" si="67"/>
        <v>8.4931506849315067E-2</v>
      </c>
      <c r="K155">
        <f>IFERROR($J155/IF($A155&lt;COUNTIFS($K$1:K$1,"&lt;&gt;"),0,SUMIFS($J:$J,$B:$B,$B155,$A:$A,"&gt;="&amp;COUNTIFS($K$1:K$1,"&lt;&gt;"))),0)</f>
        <v>8.9080459770114959E-2</v>
      </c>
      <c r="L155">
        <f>IFERROR($J155/IF($A155&lt;COUNTIFS($K$1:L$1,"&lt;&gt;"),0,SUMIFS($J:$J,$B:$B,$B155,$A:$A,"&gt;="&amp;COUNTIFS($K$1:L$1,"&lt;&gt;"))),0)</f>
        <v>9.7791798107255537E-2</v>
      </c>
      <c r="M155">
        <f>IFERROR($J155/IF($A155&lt;COUNTIFS($K$1:M$1,"&lt;&gt;"),0,SUMIFS($J:$J,$B:$B,$B155,$A:$A,"&gt;="&amp;COUNTIFS($K$1:M$1,"&lt;&gt;"))),0)</f>
        <v>0.10726643598615919</v>
      </c>
      <c r="N155">
        <f>IFERROR($J155/IF($A155&lt;COUNTIFS($K$1:N$1,"&lt;&gt;"),0,SUMIFS($J:$J,$B:$B,$B155,$A:$A,"&gt;="&amp;COUNTIFS($K$1:N$1,"&lt;&gt;"))),0)</f>
        <v>0.12015503875968994</v>
      </c>
      <c r="O155">
        <f>IFERROR($J155/IF($A155&lt;COUNTIFS($K$1:O$1,"&lt;&gt;"),0,SUMIFS($J:$J,$B:$B,$B155,$A:$A,"&gt;="&amp;COUNTIFS($K$1:O$1,"&lt;&gt;"))),0)</f>
        <v>0.13596491228070179</v>
      </c>
      <c r="P155">
        <f>IFERROR($J155/IF($A155&lt;COUNTIFS($K$1:P$1,"&lt;&gt;"),0,SUMIFS($J:$J,$B:$B,$B155,$A:$A,"&gt;="&amp;COUNTIFS($K$1:P$1,"&lt;&gt;"))),0)</f>
        <v>0.15736040609137059</v>
      </c>
      <c r="Q155">
        <f>IFERROR($J155/IF($A155&lt;COUNTIFS($K$1:Q$1,"&lt;&gt;"),0,SUMIFS($J:$J,$B:$B,$B155,$A:$A,"&gt;="&amp;COUNTIFS($K$1:Q$1,"&lt;&gt;"))),0)</f>
        <v>0.18562874251497008</v>
      </c>
      <c r="R155">
        <f>IFERROR($J155/IF($A155&lt;COUNTIFS($K$1:R$1,"&lt;&gt;"),0,SUMIFS($J:$J,$B:$B,$B155,$A:$A,"&gt;="&amp;COUNTIFS($K$1:R$1,"&lt;&gt;"))),0)</f>
        <v>0.22794117647058826</v>
      </c>
      <c r="S155">
        <f>IFERROR($J155/IF($A155&lt;COUNTIFS($K$1:S$1,"&lt;&gt;"),0,SUMIFS($J:$J,$B:$B,$B155,$A:$A,"&gt;="&amp;COUNTIFS($K$1:S$1,"&lt;&gt;"))),0)</f>
        <v>0.29523809523809524</v>
      </c>
      <c r="T155">
        <f>IFERROR($J155/IF($A155&lt;COUNTIFS($K$1:T$1,"&lt;&gt;"),0,SUMIFS($J:$J,$B:$B,$B155,$A:$A,"&gt;="&amp;COUNTIFS($K$1:T$1,"&lt;&gt;"))),0)</f>
        <v>0.41333333333333333</v>
      </c>
      <c r="U155">
        <f>IFERROR($J155/IF($A155&lt;COUNTIFS($K$1:U$1,"&lt;&gt;"),0,SUMIFS($J:$J,$B:$B,$B155,$A:$A,"&gt;="&amp;COUNTIFS($K$1:U$1,"&lt;&gt;"))),0)</f>
        <v>0</v>
      </c>
      <c r="V155">
        <f>IFERROR($J155/IF($A155&lt;COUNTIFS($K$1:V$1,"&lt;&gt;"),0,SUMIFS($J:$J,$B:$B,$B155,$A:$A,"&gt;="&amp;COUNTIFS($K$1:V$1,"&lt;&gt;"))),0)</f>
        <v>0</v>
      </c>
      <c r="W155">
        <f t="shared" si="68"/>
        <v>8.4931506849315067E-2</v>
      </c>
      <c r="X155">
        <f t="shared" si="48"/>
        <v>8.4931506849315067E-2</v>
      </c>
      <c r="Y155">
        <f t="shared" si="49"/>
        <v>8.4931506849315067E-2</v>
      </c>
      <c r="Z155">
        <f t="shared" si="50"/>
        <v>8.4931506849315067E-2</v>
      </c>
      <c r="AA155">
        <f t="shared" si="51"/>
        <v>8.4931506849315067E-2</v>
      </c>
      <c r="AB155">
        <f t="shared" si="52"/>
        <v>8.4931506849315067E-2</v>
      </c>
      <c r="AC155">
        <f t="shared" si="53"/>
        <v>8.4931506849315067E-2</v>
      </c>
      <c r="AD155">
        <f t="shared" si="54"/>
        <v>8.4931506849315067E-2</v>
      </c>
      <c r="AE155">
        <f t="shared" si="55"/>
        <v>8.4931506849315067E-2</v>
      </c>
      <c r="AF155">
        <f t="shared" si="56"/>
        <v>8.4931506849315067E-2</v>
      </c>
      <c r="AG155">
        <f t="shared" si="57"/>
        <v>8.4931506849315067E-2</v>
      </c>
      <c r="AH155">
        <f t="shared" si="58"/>
        <v>0</v>
      </c>
      <c r="AI155">
        <f t="shared" si="59"/>
        <v>0</v>
      </c>
      <c r="AJ155" s="2" t="str">
        <f t="shared" si="69"/>
        <v>1044166</v>
      </c>
    </row>
    <row r="156" spans="1:36" x14ac:dyDescent="0.25">
      <c r="A156">
        <v>11</v>
      </c>
      <c r="B156" s="1">
        <v>44166</v>
      </c>
      <c r="C156" s="1">
        <f t="shared" si="60"/>
        <v>44501</v>
      </c>
      <c r="D156" s="1">
        <f t="shared" si="61"/>
        <v>44180</v>
      </c>
      <c r="E156" s="1">
        <f t="shared" si="62"/>
        <v>44501</v>
      </c>
      <c r="F156" s="1">
        <f t="shared" si="63"/>
        <v>44531</v>
      </c>
      <c r="G156" s="1">
        <f t="shared" si="64"/>
        <v>44545</v>
      </c>
      <c r="H156">
        <f t="shared" si="65"/>
        <v>365</v>
      </c>
      <c r="I156">
        <f t="shared" si="66"/>
        <v>30</v>
      </c>
      <c r="J156">
        <f t="shared" si="67"/>
        <v>8.2191780821917804E-2</v>
      </c>
      <c r="K156">
        <f>IFERROR($J156/IF($A156&lt;COUNTIFS($K$1:K$1,"&lt;&gt;"),0,SUMIFS($J:$J,$B:$B,$B156,$A:$A,"&gt;="&amp;COUNTIFS($K$1:K$1,"&lt;&gt;"))),0)</f>
        <v>8.6206896551724144E-2</v>
      </c>
      <c r="L156">
        <f>IFERROR($J156/IF($A156&lt;COUNTIFS($K$1:L$1,"&lt;&gt;"),0,SUMIFS($J:$J,$B:$B,$B156,$A:$A,"&gt;="&amp;COUNTIFS($K$1:L$1,"&lt;&gt;"))),0)</f>
        <v>9.4637223974763415E-2</v>
      </c>
      <c r="M156">
        <f>IFERROR($J156/IF($A156&lt;COUNTIFS($K$1:M$1,"&lt;&gt;"),0,SUMIFS($J:$J,$B:$B,$B156,$A:$A,"&gt;="&amp;COUNTIFS($K$1:M$1,"&lt;&gt;"))),0)</f>
        <v>0.10380622837370243</v>
      </c>
      <c r="N156">
        <f>IFERROR($J156/IF($A156&lt;COUNTIFS($K$1:N$1,"&lt;&gt;"),0,SUMIFS($J:$J,$B:$B,$B156,$A:$A,"&gt;="&amp;COUNTIFS($K$1:N$1,"&lt;&gt;"))),0)</f>
        <v>0.11627906976744187</v>
      </c>
      <c r="O156">
        <f>IFERROR($J156/IF($A156&lt;COUNTIFS($K$1:O$1,"&lt;&gt;"),0,SUMIFS($J:$J,$B:$B,$B156,$A:$A,"&gt;="&amp;COUNTIFS($K$1:O$1,"&lt;&gt;"))),0)</f>
        <v>0.13157894736842107</v>
      </c>
      <c r="P156">
        <f>IFERROR($J156/IF($A156&lt;COUNTIFS($K$1:P$1,"&lt;&gt;"),0,SUMIFS($J:$J,$B:$B,$B156,$A:$A,"&gt;="&amp;COUNTIFS($K$1:P$1,"&lt;&gt;"))),0)</f>
        <v>0.15228426395939088</v>
      </c>
      <c r="Q156">
        <f>IFERROR($J156/IF($A156&lt;COUNTIFS($K$1:Q$1,"&lt;&gt;"),0,SUMIFS($J:$J,$B:$B,$B156,$A:$A,"&gt;="&amp;COUNTIFS($K$1:Q$1,"&lt;&gt;"))),0)</f>
        <v>0.17964071856287425</v>
      </c>
      <c r="R156">
        <f>IFERROR($J156/IF($A156&lt;COUNTIFS($K$1:R$1,"&lt;&gt;"),0,SUMIFS($J:$J,$B:$B,$B156,$A:$A,"&gt;="&amp;COUNTIFS($K$1:R$1,"&lt;&gt;"))),0)</f>
        <v>0.22058823529411764</v>
      </c>
      <c r="S156">
        <f>IFERROR($J156/IF($A156&lt;COUNTIFS($K$1:S$1,"&lt;&gt;"),0,SUMIFS($J:$J,$B:$B,$B156,$A:$A,"&gt;="&amp;COUNTIFS($K$1:S$1,"&lt;&gt;"))),0)</f>
        <v>0.2857142857142857</v>
      </c>
      <c r="T156">
        <f>IFERROR($J156/IF($A156&lt;COUNTIFS($K$1:T$1,"&lt;&gt;"),0,SUMIFS($J:$J,$B:$B,$B156,$A:$A,"&gt;="&amp;COUNTIFS($K$1:T$1,"&lt;&gt;"))),0)</f>
        <v>0.4</v>
      </c>
      <c r="U156">
        <f>IFERROR($J156/IF($A156&lt;COUNTIFS($K$1:U$1,"&lt;&gt;"),0,SUMIFS($J:$J,$B:$B,$B156,$A:$A,"&gt;="&amp;COUNTIFS($K$1:U$1,"&lt;&gt;"))),0)</f>
        <v>0.68181818181818177</v>
      </c>
      <c r="V156">
        <f>IFERROR($J156/IF($A156&lt;COUNTIFS($K$1:V$1,"&lt;&gt;"),0,SUMIFS($J:$J,$B:$B,$B156,$A:$A,"&gt;="&amp;COUNTIFS($K$1:V$1,"&lt;&gt;"))),0)</f>
        <v>0</v>
      </c>
      <c r="W156">
        <f t="shared" si="68"/>
        <v>8.2191780821917804E-2</v>
      </c>
      <c r="X156">
        <f t="shared" si="48"/>
        <v>8.2191780821917804E-2</v>
      </c>
      <c r="Y156">
        <f t="shared" si="49"/>
        <v>8.2191780821917804E-2</v>
      </c>
      <c r="Z156">
        <f t="shared" si="50"/>
        <v>8.2191780821917804E-2</v>
      </c>
      <c r="AA156">
        <f t="shared" si="51"/>
        <v>8.2191780821917804E-2</v>
      </c>
      <c r="AB156">
        <f t="shared" si="52"/>
        <v>8.2191780821917804E-2</v>
      </c>
      <c r="AC156">
        <f t="shared" si="53"/>
        <v>8.2191780821917804E-2</v>
      </c>
      <c r="AD156">
        <f t="shared" si="54"/>
        <v>8.2191780821917804E-2</v>
      </c>
      <c r="AE156">
        <f t="shared" si="55"/>
        <v>8.2191780821917804E-2</v>
      </c>
      <c r="AF156">
        <f t="shared" si="56"/>
        <v>8.2191780821917804E-2</v>
      </c>
      <c r="AG156">
        <f t="shared" si="57"/>
        <v>8.2191780821917804E-2</v>
      </c>
      <c r="AH156">
        <f t="shared" si="58"/>
        <v>8.2191780821917804E-2</v>
      </c>
      <c r="AI156">
        <f t="shared" si="59"/>
        <v>0</v>
      </c>
      <c r="AJ156" s="2" t="str">
        <f t="shared" si="69"/>
        <v>1144166</v>
      </c>
    </row>
    <row r="157" spans="1:36" x14ac:dyDescent="0.25">
      <c r="A157">
        <v>12</v>
      </c>
      <c r="B157" s="1">
        <v>44166</v>
      </c>
      <c r="C157" s="1">
        <f t="shared" si="60"/>
        <v>44531</v>
      </c>
      <c r="D157" s="1">
        <f t="shared" si="61"/>
        <v>44180</v>
      </c>
      <c r="E157" s="1">
        <f t="shared" si="62"/>
        <v>44531</v>
      </c>
      <c r="F157" s="1">
        <f t="shared" si="63"/>
        <v>44545</v>
      </c>
      <c r="G157" s="1">
        <f t="shared" si="64"/>
        <v>44545</v>
      </c>
      <c r="H157">
        <f t="shared" si="65"/>
        <v>365</v>
      </c>
      <c r="I157">
        <f t="shared" si="66"/>
        <v>14</v>
      </c>
      <c r="J157">
        <f t="shared" si="67"/>
        <v>3.8356164383561646E-2</v>
      </c>
      <c r="K157">
        <f>IFERROR($J157/IF($A157&lt;COUNTIFS($K$1:K$1,"&lt;&gt;"),0,SUMIFS($J:$J,$B:$B,$B157,$A:$A,"&gt;="&amp;COUNTIFS($K$1:K$1,"&lt;&gt;"))),0)</f>
        <v>4.0229885057471271E-2</v>
      </c>
      <c r="L157">
        <f>IFERROR($J157/IF($A157&lt;COUNTIFS($K$1:L$1,"&lt;&gt;"),0,SUMIFS($J:$J,$B:$B,$B157,$A:$A,"&gt;="&amp;COUNTIFS($K$1:L$1,"&lt;&gt;"))),0)</f>
        <v>4.41640378548896E-2</v>
      </c>
      <c r="M157">
        <f>IFERROR($J157/IF($A157&lt;COUNTIFS($K$1:M$1,"&lt;&gt;"),0,SUMIFS($J:$J,$B:$B,$B157,$A:$A,"&gt;="&amp;COUNTIFS($K$1:M$1,"&lt;&gt;"))),0)</f>
        <v>4.8442906574394477E-2</v>
      </c>
      <c r="N157">
        <f>IFERROR($J157/IF($A157&lt;COUNTIFS($K$1:N$1,"&lt;&gt;"),0,SUMIFS($J:$J,$B:$B,$B157,$A:$A,"&gt;="&amp;COUNTIFS($K$1:N$1,"&lt;&gt;"))),0)</f>
        <v>5.4263565891472881E-2</v>
      </c>
      <c r="O157">
        <f>IFERROR($J157/IF($A157&lt;COUNTIFS($K$1:O$1,"&lt;&gt;"),0,SUMIFS($J:$J,$B:$B,$B157,$A:$A,"&gt;="&amp;COUNTIFS($K$1:O$1,"&lt;&gt;"))),0)</f>
        <v>6.1403508771929842E-2</v>
      </c>
      <c r="P157">
        <f>IFERROR($J157/IF($A157&lt;COUNTIFS($K$1:P$1,"&lt;&gt;"),0,SUMIFS($J:$J,$B:$B,$B157,$A:$A,"&gt;="&amp;COUNTIFS($K$1:P$1,"&lt;&gt;"))),0)</f>
        <v>7.1065989847715755E-2</v>
      </c>
      <c r="Q157">
        <f>IFERROR($J157/IF($A157&lt;COUNTIFS($K$1:Q$1,"&lt;&gt;"),0,SUMIFS($J:$J,$B:$B,$B157,$A:$A,"&gt;="&amp;COUNTIFS($K$1:Q$1,"&lt;&gt;"))),0)</f>
        <v>8.3832335329341326E-2</v>
      </c>
      <c r="R157">
        <f>IFERROR($J157/IF($A157&lt;COUNTIFS($K$1:R$1,"&lt;&gt;"),0,SUMIFS($J:$J,$B:$B,$B157,$A:$A,"&gt;="&amp;COUNTIFS($K$1:R$1,"&lt;&gt;"))),0)</f>
        <v>0.10294117647058824</v>
      </c>
      <c r="S157">
        <f>IFERROR($J157/IF($A157&lt;COUNTIFS($K$1:S$1,"&lt;&gt;"),0,SUMIFS($J:$J,$B:$B,$B157,$A:$A,"&gt;="&amp;COUNTIFS($K$1:S$1,"&lt;&gt;"))),0)</f>
        <v>0.13333333333333336</v>
      </c>
      <c r="T157">
        <f>IFERROR($J157/IF($A157&lt;COUNTIFS($K$1:T$1,"&lt;&gt;"),0,SUMIFS($J:$J,$B:$B,$B157,$A:$A,"&gt;="&amp;COUNTIFS($K$1:T$1,"&lt;&gt;"))),0)</f>
        <v>0.18666666666666668</v>
      </c>
      <c r="U157">
        <f>IFERROR($J157/IF($A157&lt;COUNTIFS($K$1:U$1,"&lt;&gt;"),0,SUMIFS($J:$J,$B:$B,$B157,$A:$A,"&gt;="&amp;COUNTIFS($K$1:U$1,"&lt;&gt;"))),0)</f>
        <v>0.31818181818181818</v>
      </c>
      <c r="V157">
        <f>IFERROR($J157/IF($A157&lt;COUNTIFS($K$1:V$1,"&lt;&gt;"),0,SUMIFS($J:$J,$B:$B,$B157,$A:$A,"&gt;="&amp;COUNTIFS($K$1:V$1,"&lt;&gt;"))),0)</f>
        <v>1</v>
      </c>
      <c r="W157">
        <f t="shared" si="68"/>
        <v>3.8356164383561646E-2</v>
      </c>
      <c r="X157">
        <f t="shared" si="48"/>
        <v>3.8356164383561646E-2</v>
      </c>
      <c r="Y157">
        <f t="shared" si="49"/>
        <v>3.8356164383561646E-2</v>
      </c>
      <c r="Z157">
        <f t="shared" si="50"/>
        <v>3.8356164383561646E-2</v>
      </c>
      <c r="AA157">
        <f t="shared" si="51"/>
        <v>3.8356164383561646E-2</v>
      </c>
      <c r="AB157">
        <f t="shared" si="52"/>
        <v>3.8356164383561646E-2</v>
      </c>
      <c r="AC157">
        <f t="shared" si="53"/>
        <v>3.8356164383561646E-2</v>
      </c>
      <c r="AD157">
        <f t="shared" si="54"/>
        <v>3.8356164383561646E-2</v>
      </c>
      <c r="AE157">
        <f t="shared" si="55"/>
        <v>3.8356164383561646E-2</v>
      </c>
      <c r="AF157">
        <f t="shared" si="56"/>
        <v>3.8356164383561646E-2</v>
      </c>
      <c r="AG157">
        <f t="shared" si="57"/>
        <v>3.8356164383561646E-2</v>
      </c>
      <c r="AH157">
        <f t="shared" si="58"/>
        <v>3.8356164383561646E-2</v>
      </c>
      <c r="AI157">
        <f t="shared" si="59"/>
        <v>3.8356164383561646E-2</v>
      </c>
      <c r="AJ157" s="2" t="str">
        <f t="shared" si="69"/>
        <v>1244166</v>
      </c>
    </row>
    <row r="158" spans="1:36" x14ac:dyDescent="0.25">
      <c r="A158">
        <v>0</v>
      </c>
      <c r="B158" s="1">
        <v>44197</v>
      </c>
      <c r="C158" s="1">
        <f t="shared" si="60"/>
        <v>44197</v>
      </c>
      <c r="D158" s="1">
        <f t="shared" si="61"/>
        <v>44211</v>
      </c>
      <c r="E158" s="1">
        <f t="shared" si="62"/>
        <v>44211</v>
      </c>
      <c r="F158" s="1">
        <f t="shared" si="63"/>
        <v>44228</v>
      </c>
      <c r="G158" s="1">
        <f t="shared" si="64"/>
        <v>44576</v>
      </c>
      <c r="H158">
        <f t="shared" si="65"/>
        <v>365</v>
      </c>
      <c r="I158">
        <f t="shared" si="66"/>
        <v>17</v>
      </c>
      <c r="J158">
        <f t="shared" si="67"/>
        <v>4.6575342465753428E-2</v>
      </c>
      <c r="K158">
        <f>IFERROR($J158/IF($A158&lt;COUNTIFS($K$1:K$1,"&lt;&gt;"),0,SUMIFS($J:$J,$B:$B,$B158,$A:$A,"&gt;="&amp;COUNTIFS($K$1:K$1,"&lt;&gt;"))),0)</f>
        <v>0</v>
      </c>
      <c r="L158">
        <f>IFERROR($J158/IF($A158&lt;COUNTIFS($K$1:L$1,"&lt;&gt;"),0,SUMIFS($J:$J,$B:$B,$B158,$A:$A,"&gt;="&amp;COUNTIFS($K$1:L$1,"&lt;&gt;"))),0)</f>
        <v>0</v>
      </c>
      <c r="M158">
        <f>IFERROR($J158/IF($A158&lt;COUNTIFS($K$1:M$1,"&lt;&gt;"),0,SUMIFS($J:$J,$B:$B,$B158,$A:$A,"&gt;="&amp;COUNTIFS($K$1:M$1,"&lt;&gt;"))),0)</f>
        <v>0</v>
      </c>
      <c r="N158">
        <f>IFERROR($J158/IF($A158&lt;COUNTIFS($K$1:N$1,"&lt;&gt;"),0,SUMIFS($J:$J,$B:$B,$B158,$A:$A,"&gt;="&amp;COUNTIFS($K$1:N$1,"&lt;&gt;"))),0)</f>
        <v>0</v>
      </c>
      <c r="O158">
        <f>IFERROR($J158/IF($A158&lt;COUNTIFS($K$1:O$1,"&lt;&gt;"),0,SUMIFS($J:$J,$B:$B,$B158,$A:$A,"&gt;="&amp;COUNTIFS($K$1:O$1,"&lt;&gt;"))),0)</f>
        <v>0</v>
      </c>
      <c r="P158">
        <f>IFERROR($J158/IF($A158&lt;COUNTIFS($K$1:P$1,"&lt;&gt;"),0,SUMIFS($J:$J,$B:$B,$B158,$A:$A,"&gt;="&amp;COUNTIFS($K$1:P$1,"&lt;&gt;"))),0)</f>
        <v>0</v>
      </c>
      <c r="Q158">
        <f>IFERROR($J158/IF($A158&lt;COUNTIFS($K$1:Q$1,"&lt;&gt;"),0,SUMIFS($J:$J,$B:$B,$B158,$A:$A,"&gt;="&amp;COUNTIFS($K$1:Q$1,"&lt;&gt;"))),0)</f>
        <v>0</v>
      </c>
      <c r="R158">
        <f>IFERROR($J158/IF($A158&lt;COUNTIFS($K$1:R$1,"&lt;&gt;"),0,SUMIFS($J:$J,$B:$B,$B158,$A:$A,"&gt;="&amp;COUNTIFS($K$1:R$1,"&lt;&gt;"))),0)</f>
        <v>0</v>
      </c>
      <c r="S158">
        <f>IFERROR($J158/IF($A158&lt;COUNTIFS($K$1:S$1,"&lt;&gt;"),0,SUMIFS($J:$J,$B:$B,$B158,$A:$A,"&gt;="&amp;COUNTIFS($K$1:S$1,"&lt;&gt;"))),0)</f>
        <v>0</v>
      </c>
      <c r="T158">
        <f>IFERROR($J158/IF($A158&lt;COUNTIFS($K$1:T$1,"&lt;&gt;"),0,SUMIFS($J:$J,$B:$B,$B158,$A:$A,"&gt;="&amp;COUNTIFS($K$1:T$1,"&lt;&gt;"))),0)</f>
        <v>0</v>
      </c>
      <c r="U158">
        <f>IFERROR($J158/IF($A158&lt;COUNTIFS($K$1:U$1,"&lt;&gt;"),0,SUMIFS($J:$J,$B:$B,$B158,$A:$A,"&gt;="&amp;COUNTIFS($K$1:U$1,"&lt;&gt;"))),0)</f>
        <v>0</v>
      </c>
      <c r="V158">
        <f>IFERROR($J158/IF($A158&lt;COUNTIFS($K$1:V$1,"&lt;&gt;"),0,SUMIFS($J:$J,$B:$B,$B158,$A:$A,"&gt;="&amp;COUNTIFS($K$1:V$1,"&lt;&gt;"))),0)</f>
        <v>0</v>
      </c>
      <c r="W158">
        <f t="shared" si="68"/>
        <v>4.6575342465753428E-2</v>
      </c>
      <c r="X158">
        <f t="shared" si="48"/>
        <v>0</v>
      </c>
      <c r="Y158">
        <f t="shared" si="49"/>
        <v>0</v>
      </c>
      <c r="Z158">
        <f t="shared" si="50"/>
        <v>0</v>
      </c>
      <c r="AA158">
        <f t="shared" si="51"/>
        <v>0</v>
      </c>
      <c r="AB158">
        <f t="shared" si="52"/>
        <v>0</v>
      </c>
      <c r="AC158">
        <f t="shared" si="53"/>
        <v>0</v>
      </c>
      <c r="AD158">
        <f t="shared" si="54"/>
        <v>0</v>
      </c>
      <c r="AE158">
        <f t="shared" si="55"/>
        <v>0</v>
      </c>
      <c r="AF158">
        <f t="shared" si="56"/>
        <v>0</v>
      </c>
      <c r="AG158">
        <f t="shared" si="57"/>
        <v>0</v>
      </c>
      <c r="AH158">
        <f t="shared" si="58"/>
        <v>0</v>
      </c>
      <c r="AI158">
        <f t="shared" si="59"/>
        <v>0</v>
      </c>
      <c r="AJ158" s="2" t="str">
        <f t="shared" si="69"/>
        <v>044197</v>
      </c>
    </row>
    <row r="159" spans="1:36" x14ac:dyDescent="0.25">
      <c r="A159">
        <v>1</v>
      </c>
      <c r="B159" s="1">
        <v>44197</v>
      </c>
      <c r="C159" s="1">
        <f t="shared" si="60"/>
        <v>44228</v>
      </c>
      <c r="D159" s="1">
        <f t="shared" si="61"/>
        <v>44211</v>
      </c>
      <c r="E159" s="1">
        <f t="shared" si="62"/>
        <v>44228</v>
      </c>
      <c r="F159" s="1">
        <f t="shared" si="63"/>
        <v>44256</v>
      </c>
      <c r="G159" s="1">
        <f t="shared" si="64"/>
        <v>44576</v>
      </c>
      <c r="H159">
        <f t="shared" si="65"/>
        <v>365</v>
      </c>
      <c r="I159">
        <f t="shared" si="66"/>
        <v>28</v>
      </c>
      <c r="J159">
        <f t="shared" si="67"/>
        <v>7.6712328767123292E-2</v>
      </c>
      <c r="K159">
        <f>IFERROR($J159/IF($A159&lt;COUNTIFS($K$1:K$1,"&lt;&gt;"),0,SUMIFS($J:$J,$B:$B,$B159,$A:$A,"&gt;="&amp;COUNTIFS($K$1:K$1,"&lt;&gt;"))),0)</f>
        <v>8.0459770114942541E-2</v>
      </c>
      <c r="L159">
        <f>IFERROR($J159/IF($A159&lt;COUNTIFS($K$1:L$1,"&lt;&gt;"),0,SUMIFS($J:$J,$B:$B,$B159,$A:$A,"&gt;="&amp;COUNTIFS($K$1:L$1,"&lt;&gt;"))),0)</f>
        <v>0</v>
      </c>
      <c r="M159">
        <f>IFERROR($J159/IF($A159&lt;COUNTIFS($K$1:M$1,"&lt;&gt;"),0,SUMIFS($J:$J,$B:$B,$B159,$A:$A,"&gt;="&amp;COUNTIFS($K$1:M$1,"&lt;&gt;"))),0)</f>
        <v>0</v>
      </c>
      <c r="N159">
        <f>IFERROR($J159/IF($A159&lt;COUNTIFS($K$1:N$1,"&lt;&gt;"),0,SUMIFS($J:$J,$B:$B,$B159,$A:$A,"&gt;="&amp;COUNTIFS($K$1:N$1,"&lt;&gt;"))),0)</f>
        <v>0</v>
      </c>
      <c r="O159">
        <f>IFERROR($J159/IF($A159&lt;COUNTIFS($K$1:O$1,"&lt;&gt;"),0,SUMIFS($J:$J,$B:$B,$B159,$A:$A,"&gt;="&amp;COUNTIFS($K$1:O$1,"&lt;&gt;"))),0)</f>
        <v>0</v>
      </c>
      <c r="P159">
        <f>IFERROR($J159/IF($A159&lt;COUNTIFS($K$1:P$1,"&lt;&gt;"),0,SUMIFS($J:$J,$B:$B,$B159,$A:$A,"&gt;="&amp;COUNTIFS($K$1:P$1,"&lt;&gt;"))),0)</f>
        <v>0</v>
      </c>
      <c r="Q159">
        <f>IFERROR($J159/IF($A159&lt;COUNTIFS($K$1:Q$1,"&lt;&gt;"),0,SUMIFS($J:$J,$B:$B,$B159,$A:$A,"&gt;="&amp;COUNTIFS($K$1:Q$1,"&lt;&gt;"))),0)</f>
        <v>0</v>
      </c>
      <c r="R159">
        <f>IFERROR($J159/IF($A159&lt;COUNTIFS($K$1:R$1,"&lt;&gt;"),0,SUMIFS($J:$J,$B:$B,$B159,$A:$A,"&gt;="&amp;COUNTIFS($K$1:R$1,"&lt;&gt;"))),0)</f>
        <v>0</v>
      </c>
      <c r="S159">
        <f>IFERROR($J159/IF($A159&lt;COUNTIFS($K$1:S$1,"&lt;&gt;"),0,SUMIFS($J:$J,$B:$B,$B159,$A:$A,"&gt;="&amp;COUNTIFS($K$1:S$1,"&lt;&gt;"))),0)</f>
        <v>0</v>
      </c>
      <c r="T159">
        <f>IFERROR($J159/IF($A159&lt;COUNTIFS($K$1:T$1,"&lt;&gt;"),0,SUMIFS($J:$J,$B:$B,$B159,$A:$A,"&gt;="&amp;COUNTIFS($K$1:T$1,"&lt;&gt;"))),0)</f>
        <v>0</v>
      </c>
      <c r="U159">
        <f>IFERROR($J159/IF($A159&lt;COUNTIFS($K$1:U$1,"&lt;&gt;"),0,SUMIFS($J:$J,$B:$B,$B159,$A:$A,"&gt;="&amp;COUNTIFS($K$1:U$1,"&lt;&gt;"))),0)</f>
        <v>0</v>
      </c>
      <c r="V159">
        <f>IFERROR($J159/IF($A159&lt;COUNTIFS($K$1:V$1,"&lt;&gt;"),0,SUMIFS($J:$J,$B:$B,$B159,$A:$A,"&gt;="&amp;COUNTIFS($K$1:V$1,"&lt;&gt;"))),0)</f>
        <v>0</v>
      </c>
      <c r="W159">
        <f t="shared" si="68"/>
        <v>7.6712328767123292E-2</v>
      </c>
      <c r="X159">
        <f t="shared" si="48"/>
        <v>7.6712328767123292E-2</v>
      </c>
      <c r="Y159">
        <f t="shared" si="49"/>
        <v>0</v>
      </c>
      <c r="Z159">
        <f t="shared" si="50"/>
        <v>0</v>
      </c>
      <c r="AA159">
        <f t="shared" si="51"/>
        <v>0</v>
      </c>
      <c r="AB159">
        <f t="shared" si="52"/>
        <v>0</v>
      </c>
      <c r="AC159">
        <f t="shared" si="53"/>
        <v>0</v>
      </c>
      <c r="AD159">
        <f t="shared" si="54"/>
        <v>0</v>
      </c>
      <c r="AE159">
        <f t="shared" si="55"/>
        <v>0</v>
      </c>
      <c r="AF159">
        <f t="shared" si="56"/>
        <v>0</v>
      </c>
      <c r="AG159">
        <f t="shared" si="57"/>
        <v>0</v>
      </c>
      <c r="AH159">
        <f t="shared" si="58"/>
        <v>0</v>
      </c>
      <c r="AI159">
        <f t="shared" si="59"/>
        <v>0</v>
      </c>
      <c r="AJ159" s="2" t="str">
        <f t="shared" si="69"/>
        <v>144197</v>
      </c>
    </row>
    <row r="160" spans="1:36" x14ac:dyDescent="0.25">
      <c r="A160">
        <v>2</v>
      </c>
      <c r="B160" s="1">
        <v>44197</v>
      </c>
      <c r="C160" s="1">
        <f t="shared" si="60"/>
        <v>44256</v>
      </c>
      <c r="D160" s="1">
        <f t="shared" si="61"/>
        <v>44211</v>
      </c>
      <c r="E160" s="1">
        <f t="shared" si="62"/>
        <v>44256</v>
      </c>
      <c r="F160" s="1">
        <f t="shared" si="63"/>
        <v>44287</v>
      </c>
      <c r="G160" s="1">
        <f t="shared" si="64"/>
        <v>44576</v>
      </c>
      <c r="H160">
        <f t="shared" si="65"/>
        <v>365</v>
      </c>
      <c r="I160">
        <f t="shared" si="66"/>
        <v>31</v>
      </c>
      <c r="J160">
        <f t="shared" si="67"/>
        <v>8.4931506849315067E-2</v>
      </c>
      <c r="K160">
        <f>IFERROR($J160/IF($A160&lt;COUNTIFS($K$1:K$1,"&lt;&gt;"),0,SUMIFS($J:$J,$B:$B,$B160,$A:$A,"&gt;="&amp;COUNTIFS($K$1:K$1,"&lt;&gt;"))),0)</f>
        <v>8.9080459770114959E-2</v>
      </c>
      <c r="L160">
        <f>IFERROR($J160/IF($A160&lt;COUNTIFS($K$1:L$1,"&lt;&gt;"),0,SUMIFS($J:$J,$B:$B,$B160,$A:$A,"&gt;="&amp;COUNTIFS($K$1:L$1,"&lt;&gt;"))),0)</f>
        <v>9.6875000000000017E-2</v>
      </c>
      <c r="M160">
        <f>IFERROR($J160/IF($A160&lt;COUNTIFS($K$1:M$1,"&lt;&gt;"),0,SUMIFS($J:$J,$B:$B,$B160,$A:$A,"&gt;="&amp;COUNTIFS($K$1:M$1,"&lt;&gt;"))),0)</f>
        <v>0</v>
      </c>
      <c r="N160">
        <f>IFERROR($J160/IF($A160&lt;COUNTIFS($K$1:N$1,"&lt;&gt;"),0,SUMIFS($J:$J,$B:$B,$B160,$A:$A,"&gt;="&amp;COUNTIFS($K$1:N$1,"&lt;&gt;"))),0)</f>
        <v>0</v>
      </c>
      <c r="O160">
        <f>IFERROR($J160/IF($A160&lt;COUNTIFS($K$1:O$1,"&lt;&gt;"),0,SUMIFS($J:$J,$B:$B,$B160,$A:$A,"&gt;="&amp;COUNTIFS($K$1:O$1,"&lt;&gt;"))),0)</f>
        <v>0</v>
      </c>
      <c r="P160">
        <f>IFERROR($J160/IF($A160&lt;COUNTIFS($K$1:P$1,"&lt;&gt;"),0,SUMIFS($J:$J,$B:$B,$B160,$A:$A,"&gt;="&amp;COUNTIFS($K$1:P$1,"&lt;&gt;"))),0)</f>
        <v>0</v>
      </c>
      <c r="Q160">
        <f>IFERROR($J160/IF($A160&lt;COUNTIFS($K$1:Q$1,"&lt;&gt;"),0,SUMIFS($J:$J,$B:$B,$B160,$A:$A,"&gt;="&amp;COUNTIFS($K$1:Q$1,"&lt;&gt;"))),0)</f>
        <v>0</v>
      </c>
      <c r="R160">
        <f>IFERROR($J160/IF($A160&lt;COUNTIFS($K$1:R$1,"&lt;&gt;"),0,SUMIFS($J:$J,$B:$B,$B160,$A:$A,"&gt;="&amp;COUNTIFS($K$1:R$1,"&lt;&gt;"))),0)</f>
        <v>0</v>
      </c>
      <c r="S160">
        <f>IFERROR($J160/IF($A160&lt;COUNTIFS($K$1:S$1,"&lt;&gt;"),0,SUMIFS($J:$J,$B:$B,$B160,$A:$A,"&gt;="&amp;COUNTIFS($K$1:S$1,"&lt;&gt;"))),0)</f>
        <v>0</v>
      </c>
      <c r="T160">
        <f>IFERROR($J160/IF($A160&lt;COUNTIFS($K$1:T$1,"&lt;&gt;"),0,SUMIFS($J:$J,$B:$B,$B160,$A:$A,"&gt;="&amp;COUNTIFS($K$1:T$1,"&lt;&gt;"))),0)</f>
        <v>0</v>
      </c>
      <c r="U160">
        <f>IFERROR($J160/IF($A160&lt;COUNTIFS($K$1:U$1,"&lt;&gt;"),0,SUMIFS($J:$J,$B:$B,$B160,$A:$A,"&gt;="&amp;COUNTIFS($K$1:U$1,"&lt;&gt;"))),0)</f>
        <v>0</v>
      </c>
      <c r="V160">
        <f>IFERROR($J160/IF($A160&lt;COUNTIFS($K$1:V$1,"&lt;&gt;"),0,SUMIFS($J:$J,$B:$B,$B160,$A:$A,"&gt;="&amp;COUNTIFS($K$1:V$1,"&lt;&gt;"))),0)</f>
        <v>0</v>
      </c>
      <c r="W160">
        <f t="shared" si="68"/>
        <v>8.4931506849315067E-2</v>
      </c>
      <c r="X160">
        <f t="shared" si="48"/>
        <v>8.4931506849315067E-2</v>
      </c>
      <c r="Y160">
        <f t="shared" si="49"/>
        <v>8.4931506849315067E-2</v>
      </c>
      <c r="Z160">
        <f t="shared" si="50"/>
        <v>0</v>
      </c>
      <c r="AA160">
        <f t="shared" si="51"/>
        <v>0</v>
      </c>
      <c r="AB160">
        <f t="shared" si="52"/>
        <v>0</v>
      </c>
      <c r="AC160">
        <f t="shared" si="53"/>
        <v>0</v>
      </c>
      <c r="AD160">
        <f t="shared" si="54"/>
        <v>0</v>
      </c>
      <c r="AE160">
        <f t="shared" si="55"/>
        <v>0</v>
      </c>
      <c r="AF160">
        <f t="shared" si="56"/>
        <v>0</v>
      </c>
      <c r="AG160">
        <f t="shared" si="57"/>
        <v>0</v>
      </c>
      <c r="AH160">
        <f t="shared" si="58"/>
        <v>0</v>
      </c>
      <c r="AI160">
        <f t="shared" si="59"/>
        <v>0</v>
      </c>
      <c r="AJ160" s="2" t="str">
        <f t="shared" si="69"/>
        <v>244197</v>
      </c>
    </row>
    <row r="161" spans="1:36" x14ac:dyDescent="0.25">
      <c r="A161">
        <v>3</v>
      </c>
      <c r="B161" s="1">
        <v>44197</v>
      </c>
      <c r="C161" s="1">
        <f t="shared" si="60"/>
        <v>44287</v>
      </c>
      <c r="D161" s="1">
        <f t="shared" si="61"/>
        <v>44211</v>
      </c>
      <c r="E161" s="1">
        <f t="shared" si="62"/>
        <v>44287</v>
      </c>
      <c r="F161" s="1">
        <f t="shared" si="63"/>
        <v>44317</v>
      </c>
      <c r="G161" s="1">
        <f t="shared" si="64"/>
        <v>44576</v>
      </c>
      <c r="H161">
        <f t="shared" si="65"/>
        <v>365</v>
      </c>
      <c r="I161">
        <f t="shared" si="66"/>
        <v>30</v>
      </c>
      <c r="J161">
        <f t="shared" si="67"/>
        <v>8.2191780821917804E-2</v>
      </c>
      <c r="K161">
        <f>IFERROR($J161/IF($A161&lt;COUNTIFS($K$1:K$1,"&lt;&gt;"),0,SUMIFS($J:$J,$B:$B,$B161,$A:$A,"&gt;="&amp;COUNTIFS($K$1:K$1,"&lt;&gt;"))),0)</f>
        <v>8.6206896551724144E-2</v>
      </c>
      <c r="L161">
        <f>IFERROR($J161/IF($A161&lt;COUNTIFS($K$1:L$1,"&lt;&gt;"),0,SUMIFS($J:$J,$B:$B,$B161,$A:$A,"&gt;="&amp;COUNTIFS($K$1:L$1,"&lt;&gt;"))),0)</f>
        <v>9.3750000000000014E-2</v>
      </c>
      <c r="M161">
        <f>IFERROR($J161/IF($A161&lt;COUNTIFS($K$1:M$1,"&lt;&gt;"),0,SUMIFS($J:$J,$B:$B,$B161,$A:$A,"&gt;="&amp;COUNTIFS($K$1:M$1,"&lt;&gt;"))),0)</f>
        <v>0.10380622837370243</v>
      </c>
      <c r="N161">
        <f>IFERROR($J161/IF($A161&lt;COUNTIFS($K$1:N$1,"&lt;&gt;"),0,SUMIFS($J:$J,$B:$B,$B161,$A:$A,"&gt;="&amp;COUNTIFS($K$1:N$1,"&lt;&gt;"))),0)</f>
        <v>0</v>
      </c>
      <c r="O161">
        <f>IFERROR($J161/IF($A161&lt;COUNTIFS($K$1:O$1,"&lt;&gt;"),0,SUMIFS($J:$J,$B:$B,$B161,$A:$A,"&gt;="&amp;COUNTIFS($K$1:O$1,"&lt;&gt;"))),0)</f>
        <v>0</v>
      </c>
      <c r="P161">
        <f>IFERROR($J161/IF($A161&lt;COUNTIFS($K$1:P$1,"&lt;&gt;"),0,SUMIFS($J:$J,$B:$B,$B161,$A:$A,"&gt;="&amp;COUNTIFS($K$1:P$1,"&lt;&gt;"))),0)</f>
        <v>0</v>
      </c>
      <c r="Q161">
        <f>IFERROR($J161/IF($A161&lt;COUNTIFS($K$1:Q$1,"&lt;&gt;"),0,SUMIFS($J:$J,$B:$B,$B161,$A:$A,"&gt;="&amp;COUNTIFS($K$1:Q$1,"&lt;&gt;"))),0)</f>
        <v>0</v>
      </c>
      <c r="R161">
        <f>IFERROR($J161/IF($A161&lt;COUNTIFS($K$1:R$1,"&lt;&gt;"),0,SUMIFS($J:$J,$B:$B,$B161,$A:$A,"&gt;="&amp;COUNTIFS($K$1:R$1,"&lt;&gt;"))),0)</f>
        <v>0</v>
      </c>
      <c r="S161">
        <f>IFERROR($J161/IF($A161&lt;COUNTIFS($K$1:S$1,"&lt;&gt;"),0,SUMIFS($J:$J,$B:$B,$B161,$A:$A,"&gt;="&amp;COUNTIFS($K$1:S$1,"&lt;&gt;"))),0)</f>
        <v>0</v>
      </c>
      <c r="T161">
        <f>IFERROR($J161/IF($A161&lt;COUNTIFS($K$1:T$1,"&lt;&gt;"),0,SUMIFS($J:$J,$B:$B,$B161,$A:$A,"&gt;="&amp;COUNTIFS($K$1:T$1,"&lt;&gt;"))),0)</f>
        <v>0</v>
      </c>
      <c r="U161">
        <f>IFERROR($J161/IF($A161&lt;COUNTIFS($K$1:U$1,"&lt;&gt;"),0,SUMIFS($J:$J,$B:$B,$B161,$A:$A,"&gt;="&amp;COUNTIFS($K$1:U$1,"&lt;&gt;"))),0)</f>
        <v>0</v>
      </c>
      <c r="V161">
        <f>IFERROR($J161/IF($A161&lt;COUNTIFS($K$1:V$1,"&lt;&gt;"),0,SUMIFS($J:$J,$B:$B,$B161,$A:$A,"&gt;="&amp;COUNTIFS($K$1:V$1,"&lt;&gt;"))),0)</f>
        <v>0</v>
      </c>
      <c r="W161">
        <f t="shared" si="68"/>
        <v>8.2191780821917804E-2</v>
      </c>
      <c r="X161">
        <f t="shared" si="48"/>
        <v>8.2191780821917804E-2</v>
      </c>
      <c r="Y161">
        <f t="shared" si="49"/>
        <v>8.2191780821917804E-2</v>
      </c>
      <c r="Z161">
        <f t="shared" si="50"/>
        <v>8.2191780821917804E-2</v>
      </c>
      <c r="AA161">
        <f t="shared" si="51"/>
        <v>0</v>
      </c>
      <c r="AB161">
        <f t="shared" si="52"/>
        <v>0</v>
      </c>
      <c r="AC161">
        <f t="shared" si="53"/>
        <v>0</v>
      </c>
      <c r="AD161">
        <f t="shared" si="54"/>
        <v>0</v>
      </c>
      <c r="AE161">
        <f t="shared" si="55"/>
        <v>0</v>
      </c>
      <c r="AF161">
        <f t="shared" si="56"/>
        <v>0</v>
      </c>
      <c r="AG161">
        <f t="shared" si="57"/>
        <v>0</v>
      </c>
      <c r="AH161">
        <f t="shared" si="58"/>
        <v>0</v>
      </c>
      <c r="AI161">
        <f t="shared" si="59"/>
        <v>0</v>
      </c>
      <c r="AJ161" s="2" t="str">
        <f t="shared" si="69"/>
        <v>344197</v>
      </c>
    </row>
    <row r="162" spans="1:36" x14ac:dyDescent="0.25">
      <c r="A162">
        <v>4</v>
      </c>
      <c r="B162" s="1">
        <v>44197</v>
      </c>
      <c r="C162" s="1">
        <f t="shared" si="60"/>
        <v>44317</v>
      </c>
      <c r="D162" s="1">
        <f t="shared" si="61"/>
        <v>44211</v>
      </c>
      <c r="E162" s="1">
        <f t="shared" si="62"/>
        <v>44317</v>
      </c>
      <c r="F162" s="1">
        <f t="shared" si="63"/>
        <v>44348</v>
      </c>
      <c r="G162" s="1">
        <f t="shared" si="64"/>
        <v>44576</v>
      </c>
      <c r="H162">
        <f t="shared" si="65"/>
        <v>365</v>
      </c>
      <c r="I162">
        <f t="shared" si="66"/>
        <v>31</v>
      </c>
      <c r="J162">
        <f t="shared" si="67"/>
        <v>8.4931506849315067E-2</v>
      </c>
      <c r="K162">
        <f>IFERROR($J162/IF($A162&lt;COUNTIFS($K$1:K$1,"&lt;&gt;"),0,SUMIFS($J:$J,$B:$B,$B162,$A:$A,"&gt;="&amp;COUNTIFS($K$1:K$1,"&lt;&gt;"))),0)</f>
        <v>8.9080459770114959E-2</v>
      </c>
      <c r="L162">
        <f>IFERROR($J162/IF($A162&lt;COUNTIFS($K$1:L$1,"&lt;&gt;"),0,SUMIFS($J:$J,$B:$B,$B162,$A:$A,"&gt;="&amp;COUNTIFS($K$1:L$1,"&lt;&gt;"))),0)</f>
        <v>9.6875000000000017E-2</v>
      </c>
      <c r="M162">
        <f>IFERROR($J162/IF($A162&lt;COUNTIFS($K$1:M$1,"&lt;&gt;"),0,SUMIFS($J:$J,$B:$B,$B162,$A:$A,"&gt;="&amp;COUNTIFS($K$1:M$1,"&lt;&gt;"))),0)</f>
        <v>0.10726643598615919</v>
      </c>
      <c r="N162">
        <f>IFERROR($J162/IF($A162&lt;COUNTIFS($K$1:N$1,"&lt;&gt;"),0,SUMIFS($J:$J,$B:$B,$B162,$A:$A,"&gt;="&amp;COUNTIFS($K$1:N$1,"&lt;&gt;"))),0)</f>
        <v>0.11969111969111972</v>
      </c>
      <c r="O162">
        <f>IFERROR($J162/IF($A162&lt;COUNTIFS($K$1:O$1,"&lt;&gt;"),0,SUMIFS($J:$J,$B:$B,$B162,$A:$A,"&gt;="&amp;COUNTIFS($K$1:O$1,"&lt;&gt;"))),0)</f>
        <v>0</v>
      </c>
      <c r="P162">
        <f>IFERROR($J162/IF($A162&lt;COUNTIFS($K$1:P$1,"&lt;&gt;"),0,SUMIFS($J:$J,$B:$B,$B162,$A:$A,"&gt;="&amp;COUNTIFS($K$1:P$1,"&lt;&gt;"))),0)</f>
        <v>0</v>
      </c>
      <c r="Q162">
        <f>IFERROR($J162/IF($A162&lt;COUNTIFS($K$1:Q$1,"&lt;&gt;"),0,SUMIFS($J:$J,$B:$B,$B162,$A:$A,"&gt;="&amp;COUNTIFS($K$1:Q$1,"&lt;&gt;"))),0)</f>
        <v>0</v>
      </c>
      <c r="R162">
        <f>IFERROR($J162/IF($A162&lt;COUNTIFS($K$1:R$1,"&lt;&gt;"),0,SUMIFS($J:$J,$B:$B,$B162,$A:$A,"&gt;="&amp;COUNTIFS($K$1:R$1,"&lt;&gt;"))),0)</f>
        <v>0</v>
      </c>
      <c r="S162">
        <f>IFERROR($J162/IF($A162&lt;COUNTIFS($K$1:S$1,"&lt;&gt;"),0,SUMIFS($J:$J,$B:$B,$B162,$A:$A,"&gt;="&amp;COUNTIFS($K$1:S$1,"&lt;&gt;"))),0)</f>
        <v>0</v>
      </c>
      <c r="T162">
        <f>IFERROR($J162/IF($A162&lt;COUNTIFS($K$1:T$1,"&lt;&gt;"),0,SUMIFS($J:$J,$B:$B,$B162,$A:$A,"&gt;="&amp;COUNTIFS($K$1:T$1,"&lt;&gt;"))),0)</f>
        <v>0</v>
      </c>
      <c r="U162">
        <f>IFERROR($J162/IF($A162&lt;COUNTIFS($K$1:U$1,"&lt;&gt;"),0,SUMIFS($J:$J,$B:$B,$B162,$A:$A,"&gt;="&amp;COUNTIFS($K$1:U$1,"&lt;&gt;"))),0)</f>
        <v>0</v>
      </c>
      <c r="V162">
        <f>IFERROR($J162/IF($A162&lt;COUNTIFS($K$1:V$1,"&lt;&gt;"),0,SUMIFS($J:$J,$B:$B,$B162,$A:$A,"&gt;="&amp;COUNTIFS($K$1:V$1,"&lt;&gt;"))),0)</f>
        <v>0</v>
      </c>
      <c r="W162">
        <f t="shared" si="68"/>
        <v>8.4931506849315067E-2</v>
      </c>
      <c r="X162">
        <f t="shared" si="48"/>
        <v>8.4931506849315067E-2</v>
      </c>
      <c r="Y162">
        <f t="shared" si="49"/>
        <v>8.4931506849315067E-2</v>
      </c>
      <c r="Z162">
        <f t="shared" si="50"/>
        <v>8.4931506849315067E-2</v>
      </c>
      <c r="AA162">
        <f t="shared" si="51"/>
        <v>8.4931506849315067E-2</v>
      </c>
      <c r="AB162">
        <f t="shared" si="52"/>
        <v>0</v>
      </c>
      <c r="AC162">
        <f t="shared" si="53"/>
        <v>0</v>
      </c>
      <c r="AD162">
        <f t="shared" si="54"/>
        <v>0</v>
      </c>
      <c r="AE162">
        <f t="shared" si="55"/>
        <v>0</v>
      </c>
      <c r="AF162">
        <f t="shared" si="56"/>
        <v>0</v>
      </c>
      <c r="AG162">
        <f t="shared" si="57"/>
        <v>0</v>
      </c>
      <c r="AH162">
        <f t="shared" si="58"/>
        <v>0</v>
      </c>
      <c r="AI162">
        <f t="shared" si="59"/>
        <v>0</v>
      </c>
      <c r="AJ162" s="2" t="str">
        <f t="shared" si="69"/>
        <v>444197</v>
      </c>
    </row>
    <row r="163" spans="1:36" x14ac:dyDescent="0.25">
      <c r="A163">
        <v>5</v>
      </c>
      <c r="B163" s="1">
        <v>44197</v>
      </c>
      <c r="C163" s="1">
        <f t="shared" si="60"/>
        <v>44348</v>
      </c>
      <c r="D163" s="1">
        <f t="shared" si="61"/>
        <v>44211</v>
      </c>
      <c r="E163" s="1">
        <f t="shared" si="62"/>
        <v>44348</v>
      </c>
      <c r="F163" s="1">
        <f t="shared" si="63"/>
        <v>44378</v>
      </c>
      <c r="G163" s="1">
        <f t="shared" si="64"/>
        <v>44576</v>
      </c>
      <c r="H163">
        <f t="shared" si="65"/>
        <v>365</v>
      </c>
      <c r="I163">
        <f t="shared" si="66"/>
        <v>30</v>
      </c>
      <c r="J163">
        <f t="shared" si="67"/>
        <v>8.2191780821917804E-2</v>
      </c>
      <c r="K163">
        <f>IFERROR($J163/IF($A163&lt;COUNTIFS($K$1:K$1,"&lt;&gt;"),0,SUMIFS($J:$J,$B:$B,$B163,$A:$A,"&gt;="&amp;COUNTIFS($K$1:K$1,"&lt;&gt;"))),0)</f>
        <v>8.6206896551724144E-2</v>
      </c>
      <c r="L163">
        <f>IFERROR($J163/IF($A163&lt;COUNTIFS($K$1:L$1,"&lt;&gt;"),0,SUMIFS($J:$J,$B:$B,$B163,$A:$A,"&gt;="&amp;COUNTIFS($K$1:L$1,"&lt;&gt;"))),0)</f>
        <v>9.3750000000000014E-2</v>
      </c>
      <c r="M163">
        <f>IFERROR($J163/IF($A163&lt;COUNTIFS($K$1:M$1,"&lt;&gt;"),0,SUMIFS($J:$J,$B:$B,$B163,$A:$A,"&gt;="&amp;COUNTIFS($K$1:M$1,"&lt;&gt;"))),0)</f>
        <v>0.10380622837370243</v>
      </c>
      <c r="N163">
        <f>IFERROR($J163/IF($A163&lt;COUNTIFS($K$1:N$1,"&lt;&gt;"),0,SUMIFS($J:$J,$B:$B,$B163,$A:$A,"&gt;="&amp;COUNTIFS($K$1:N$1,"&lt;&gt;"))),0)</f>
        <v>0.11583011583011585</v>
      </c>
      <c r="O163">
        <f>IFERROR($J163/IF($A163&lt;COUNTIFS($K$1:O$1,"&lt;&gt;"),0,SUMIFS($J:$J,$B:$B,$B163,$A:$A,"&gt;="&amp;COUNTIFS($K$1:O$1,"&lt;&gt;"))),0)</f>
        <v>0.13157894736842107</v>
      </c>
      <c r="P163">
        <f>IFERROR($J163/IF($A163&lt;COUNTIFS($K$1:P$1,"&lt;&gt;"),0,SUMIFS($J:$J,$B:$B,$B163,$A:$A,"&gt;="&amp;COUNTIFS($K$1:P$1,"&lt;&gt;"))),0)</f>
        <v>0</v>
      </c>
      <c r="Q163">
        <f>IFERROR($J163/IF($A163&lt;COUNTIFS($K$1:Q$1,"&lt;&gt;"),0,SUMIFS($J:$J,$B:$B,$B163,$A:$A,"&gt;="&amp;COUNTIFS($K$1:Q$1,"&lt;&gt;"))),0)</f>
        <v>0</v>
      </c>
      <c r="R163">
        <f>IFERROR($J163/IF($A163&lt;COUNTIFS($K$1:R$1,"&lt;&gt;"),0,SUMIFS($J:$J,$B:$B,$B163,$A:$A,"&gt;="&amp;COUNTIFS($K$1:R$1,"&lt;&gt;"))),0)</f>
        <v>0</v>
      </c>
      <c r="S163">
        <f>IFERROR($J163/IF($A163&lt;COUNTIFS($K$1:S$1,"&lt;&gt;"),0,SUMIFS($J:$J,$B:$B,$B163,$A:$A,"&gt;="&amp;COUNTIFS($K$1:S$1,"&lt;&gt;"))),0)</f>
        <v>0</v>
      </c>
      <c r="T163">
        <f>IFERROR($J163/IF($A163&lt;COUNTIFS($K$1:T$1,"&lt;&gt;"),0,SUMIFS($J:$J,$B:$B,$B163,$A:$A,"&gt;="&amp;COUNTIFS($K$1:T$1,"&lt;&gt;"))),0)</f>
        <v>0</v>
      </c>
      <c r="U163">
        <f>IFERROR($J163/IF($A163&lt;COUNTIFS($K$1:U$1,"&lt;&gt;"),0,SUMIFS($J:$J,$B:$B,$B163,$A:$A,"&gt;="&amp;COUNTIFS($K$1:U$1,"&lt;&gt;"))),0)</f>
        <v>0</v>
      </c>
      <c r="V163">
        <f>IFERROR($J163/IF($A163&lt;COUNTIFS($K$1:V$1,"&lt;&gt;"),0,SUMIFS($J:$J,$B:$B,$B163,$A:$A,"&gt;="&amp;COUNTIFS($K$1:V$1,"&lt;&gt;"))),0)</f>
        <v>0</v>
      </c>
      <c r="W163">
        <f t="shared" si="68"/>
        <v>8.2191780821917804E-2</v>
      </c>
      <c r="X163">
        <f t="shared" si="48"/>
        <v>8.2191780821917804E-2</v>
      </c>
      <c r="Y163">
        <f t="shared" si="49"/>
        <v>8.2191780821917804E-2</v>
      </c>
      <c r="Z163">
        <f t="shared" si="50"/>
        <v>8.2191780821917804E-2</v>
      </c>
      <c r="AA163">
        <f t="shared" si="51"/>
        <v>8.2191780821917804E-2</v>
      </c>
      <c r="AB163">
        <f t="shared" si="52"/>
        <v>8.2191780821917804E-2</v>
      </c>
      <c r="AC163">
        <f t="shared" si="53"/>
        <v>0</v>
      </c>
      <c r="AD163">
        <f t="shared" si="54"/>
        <v>0</v>
      </c>
      <c r="AE163">
        <f t="shared" si="55"/>
        <v>0</v>
      </c>
      <c r="AF163">
        <f t="shared" si="56"/>
        <v>0</v>
      </c>
      <c r="AG163">
        <f t="shared" si="57"/>
        <v>0</v>
      </c>
      <c r="AH163">
        <f t="shared" si="58"/>
        <v>0</v>
      </c>
      <c r="AI163">
        <f t="shared" si="59"/>
        <v>0</v>
      </c>
      <c r="AJ163" s="2" t="str">
        <f t="shared" si="69"/>
        <v>544197</v>
      </c>
    </row>
    <row r="164" spans="1:36" x14ac:dyDescent="0.25">
      <c r="A164">
        <v>6</v>
      </c>
      <c r="B164" s="1">
        <v>44197</v>
      </c>
      <c r="C164" s="1">
        <f t="shared" si="60"/>
        <v>44378</v>
      </c>
      <c r="D164" s="1">
        <f t="shared" si="61"/>
        <v>44211</v>
      </c>
      <c r="E164" s="1">
        <f t="shared" si="62"/>
        <v>44378</v>
      </c>
      <c r="F164" s="1">
        <f t="shared" si="63"/>
        <v>44409</v>
      </c>
      <c r="G164" s="1">
        <f t="shared" si="64"/>
        <v>44576</v>
      </c>
      <c r="H164">
        <f t="shared" si="65"/>
        <v>365</v>
      </c>
      <c r="I164">
        <f t="shared" si="66"/>
        <v>31</v>
      </c>
      <c r="J164">
        <f t="shared" si="67"/>
        <v>8.4931506849315067E-2</v>
      </c>
      <c r="K164">
        <f>IFERROR($J164/IF($A164&lt;COUNTIFS($K$1:K$1,"&lt;&gt;"),0,SUMIFS($J:$J,$B:$B,$B164,$A:$A,"&gt;="&amp;COUNTIFS($K$1:K$1,"&lt;&gt;"))),0)</f>
        <v>8.9080459770114959E-2</v>
      </c>
      <c r="L164">
        <f>IFERROR($J164/IF($A164&lt;COUNTIFS($K$1:L$1,"&lt;&gt;"),0,SUMIFS($J:$J,$B:$B,$B164,$A:$A,"&gt;="&amp;COUNTIFS($K$1:L$1,"&lt;&gt;"))),0)</f>
        <v>9.6875000000000017E-2</v>
      </c>
      <c r="M164">
        <f>IFERROR($J164/IF($A164&lt;COUNTIFS($K$1:M$1,"&lt;&gt;"),0,SUMIFS($J:$J,$B:$B,$B164,$A:$A,"&gt;="&amp;COUNTIFS($K$1:M$1,"&lt;&gt;"))),0)</f>
        <v>0.10726643598615919</v>
      </c>
      <c r="N164">
        <f>IFERROR($J164/IF($A164&lt;COUNTIFS($K$1:N$1,"&lt;&gt;"),0,SUMIFS($J:$J,$B:$B,$B164,$A:$A,"&gt;="&amp;COUNTIFS($K$1:N$1,"&lt;&gt;"))),0)</f>
        <v>0.11969111969111972</v>
      </c>
      <c r="O164">
        <f>IFERROR($J164/IF($A164&lt;COUNTIFS($K$1:O$1,"&lt;&gt;"),0,SUMIFS($J:$J,$B:$B,$B164,$A:$A,"&gt;="&amp;COUNTIFS($K$1:O$1,"&lt;&gt;"))),0)</f>
        <v>0.13596491228070179</v>
      </c>
      <c r="P164">
        <f>IFERROR($J164/IF($A164&lt;COUNTIFS($K$1:P$1,"&lt;&gt;"),0,SUMIFS($J:$J,$B:$B,$B164,$A:$A,"&gt;="&amp;COUNTIFS($K$1:P$1,"&lt;&gt;"))),0)</f>
        <v>0.1565656565656566</v>
      </c>
      <c r="Q164">
        <f>IFERROR($J164/IF($A164&lt;COUNTIFS($K$1:Q$1,"&lt;&gt;"),0,SUMIFS($J:$J,$B:$B,$B164,$A:$A,"&gt;="&amp;COUNTIFS($K$1:Q$1,"&lt;&gt;"))),0)</f>
        <v>0</v>
      </c>
      <c r="R164">
        <f>IFERROR($J164/IF($A164&lt;COUNTIFS($K$1:R$1,"&lt;&gt;"),0,SUMIFS($J:$J,$B:$B,$B164,$A:$A,"&gt;="&amp;COUNTIFS($K$1:R$1,"&lt;&gt;"))),0)</f>
        <v>0</v>
      </c>
      <c r="S164">
        <f>IFERROR($J164/IF($A164&lt;COUNTIFS($K$1:S$1,"&lt;&gt;"),0,SUMIFS($J:$J,$B:$B,$B164,$A:$A,"&gt;="&amp;COUNTIFS($K$1:S$1,"&lt;&gt;"))),0)</f>
        <v>0</v>
      </c>
      <c r="T164">
        <f>IFERROR($J164/IF($A164&lt;COUNTIFS($K$1:T$1,"&lt;&gt;"),0,SUMIFS($J:$J,$B:$B,$B164,$A:$A,"&gt;="&amp;COUNTIFS($K$1:T$1,"&lt;&gt;"))),0)</f>
        <v>0</v>
      </c>
      <c r="U164">
        <f>IFERROR($J164/IF($A164&lt;COUNTIFS($K$1:U$1,"&lt;&gt;"),0,SUMIFS($J:$J,$B:$B,$B164,$A:$A,"&gt;="&amp;COUNTIFS($K$1:U$1,"&lt;&gt;"))),0)</f>
        <v>0</v>
      </c>
      <c r="V164">
        <f>IFERROR($J164/IF($A164&lt;COUNTIFS($K$1:V$1,"&lt;&gt;"),0,SUMIFS($J:$J,$B:$B,$B164,$A:$A,"&gt;="&amp;COUNTIFS($K$1:V$1,"&lt;&gt;"))),0)</f>
        <v>0</v>
      </c>
      <c r="W164">
        <f t="shared" si="68"/>
        <v>8.4931506849315067E-2</v>
      </c>
      <c r="X164">
        <f t="shared" si="48"/>
        <v>8.4931506849315067E-2</v>
      </c>
      <c r="Y164">
        <f t="shared" si="49"/>
        <v>8.4931506849315067E-2</v>
      </c>
      <c r="Z164">
        <f t="shared" si="50"/>
        <v>8.4931506849315067E-2</v>
      </c>
      <c r="AA164">
        <f t="shared" si="51"/>
        <v>8.4931506849315067E-2</v>
      </c>
      <c r="AB164">
        <f t="shared" si="52"/>
        <v>8.4931506849315067E-2</v>
      </c>
      <c r="AC164">
        <f t="shared" si="53"/>
        <v>8.4931506849315067E-2</v>
      </c>
      <c r="AD164">
        <f t="shared" si="54"/>
        <v>0</v>
      </c>
      <c r="AE164">
        <f t="shared" si="55"/>
        <v>0</v>
      </c>
      <c r="AF164">
        <f t="shared" si="56"/>
        <v>0</v>
      </c>
      <c r="AG164">
        <f t="shared" si="57"/>
        <v>0</v>
      </c>
      <c r="AH164">
        <f t="shared" si="58"/>
        <v>0</v>
      </c>
      <c r="AI164">
        <f t="shared" si="59"/>
        <v>0</v>
      </c>
      <c r="AJ164" s="2" t="str">
        <f t="shared" si="69"/>
        <v>644197</v>
      </c>
    </row>
    <row r="165" spans="1:36" x14ac:dyDescent="0.25">
      <c r="A165">
        <v>7</v>
      </c>
      <c r="B165" s="1">
        <v>44197</v>
      </c>
      <c r="C165" s="1">
        <f t="shared" si="60"/>
        <v>44409</v>
      </c>
      <c r="D165" s="1">
        <f t="shared" si="61"/>
        <v>44211</v>
      </c>
      <c r="E165" s="1">
        <f t="shared" si="62"/>
        <v>44409</v>
      </c>
      <c r="F165" s="1">
        <f t="shared" si="63"/>
        <v>44440</v>
      </c>
      <c r="G165" s="1">
        <f t="shared" si="64"/>
        <v>44576</v>
      </c>
      <c r="H165">
        <f t="shared" si="65"/>
        <v>365</v>
      </c>
      <c r="I165">
        <f t="shared" si="66"/>
        <v>31</v>
      </c>
      <c r="J165">
        <f t="shared" si="67"/>
        <v>8.4931506849315067E-2</v>
      </c>
      <c r="K165">
        <f>IFERROR($J165/IF($A165&lt;COUNTIFS($K$1:K$1,"&lt;&gt;"),0,SUMIFS($J:$J,$B:$B,$B165,$A:$A,"&gt;="&amp;COUNTIFS($K$1:K$1,"&lt;&gt;"))),0)</f>
        <v>8.9080459770114959E-2</v>
      </c>
      <c r="L165">
        <f>IFERROR($J165/IF($A165&lt;COUNTIFS($K$1:L$1,"&lt;&gt;"),0,SUMIFS($J:$J,$B:$B,$B165,$A:$A,"&gt;="&amp;COUNTIFS($K$1:L$1,"&lt;&gt;"))),0)</f>
        <v>9.6875000000000017E-2</v>
      </c>
      <c r="M165">
        <f>IFERROR($J165/IF($A165&lt;COUNTIFS($K$1:M$1,"&lt;&gt;"),0,SUMIFS($J:$J,$B:$B,$B165,$A:$A,"&gt;="&amp;COUNTIFS($K$1:M$1,"&lt;&gt;"))),0)</f>
        <v>0.10726643598615919</v>
      </c>
      <c r="N165">
        <f>IFERROR($J165/IF($A165&lt;COUNTIFS($K$1:N$1,"&lt;&gt;"),0,SUMIFS($J:$J,$B:$B,$B165,$A:$A,"&gt;="&amp;COUNTIFS($K$1:N$1,"&lt;&gt;"))),0)</f>
        <v>0.11969111969111972</v>
      </c>
      <c r="O165">
        <f>IFERROR($J165/IF($A165&lt;COUNTIFS($K$1:O$1,"&lt;&gt;"),0,SUMIFS($J:$J,$B:$B,$B165,$A:$A,"&gt;="&amp;COUNTIFS($K$1:O$1,"&lt;&gt;"))),0)</f>
        <v>0.13596491228070179</v>
      </c>
      <c r="P165">
        <f>IFERROR($J165/IF($A165&lt;COUNTIFS($K$1:P$1,"&lt;&gt;"),0,SUMIFS($J:$J,$B:$B,$B165,$A:$A,"&gt;="&amp;COUNTIFS($K$1:P$1,"&lt;&gt;"))),0)</f>
        <v>0.1565656565656566</v>
      </c>
      <c r="Q165">
        <f>IFERROR($J165/IF($A165&lt;COUNTIFS($K$1:Q$1,"&lt;&gt;"),0,SUMIFS($J:$J,$B:$B,$B165,$A:$A,"&gt;="&amp;COUNTIFS($K$1:Q$1,"&lt;&gt;"))),0)</f>
        <v>0.18562874251497008</v>
      </c>
      <c r="R165">
        <f>IFERROR($J165/IF($A165&lt;COUNTIFS($K$1:R$1,"&lt;&gt;"),0,SUMIFS($J:$J,$B:$B,$B165,$A:$A,"&gt;="&amp;COUNTIFS($K$1:R$1,"&lt;&gt;"))),0)</f>
        <v>0</v>
      </c>
      <c r="S165">
        <f>IFERROR($J165/IF($A165&lt;COUNTIFS($K$1:S$1,"&lt;&gt;"),0,SUMIFS($J:$J,$B:$B,$B165,$A:$A,"&gt;="&amp;COUNTIFS($K$1:S$1,"&lt;&gt;"))),0)</f>
        <v>0</v>
      </c>
      <c r="T165">
        <f>IFERROR($J165/IF($A165&lt;COUNTIFS($K$1:T$1,"&lt;&gt;"),0,SUMIFS($J:$J,$B:$B,$B165,$A:$A,"&gt;="&amp;COUNTIFS($K$1:T$1,"&lt;&gt;"))),0)</f>
        <v>0</v>
      </c>
      <c r="U165">
        <f>IFERROR($J165/IF($A165&lt;COUNTIFS($K$1:U$1,"&lt;&gt;"),0,SUMIFS($J:$J,$B:$B,$B165,$A:$A,"&gt;="&amp;COUNTIFS($K$1:U$1,"&lt;&gt;"))),0)</f>
        <v>0</v>
      </c>
      <c r="V165">
        <f>IFERROR($J165/IF($A165&lt;COUNTIFS($K$1:V$1,"&lt;&gt;"),0,SUMIFS($J:$J,$B:$B,$B165,$A:$A,"&gt;="&amp;COUNTIFS($K$1:V$1,"&lt;&gt;"))),0)</f>
        <v>0</v>
      </c>
      <c r="W165">
        <f t="shared" si="68"/>
        <v>8.4931506849315067E-2</v>
      </c>
      <c r="X165">
        <f t="shared" si="48"/>
        <v>8.4931506849315067E-2</v>
      </c>
      <c r="Y165">
        <f t="shared" si="49"/>
        <v>8.4931506849315067E-2</v>
      </c>
      <c r="Z165">
        <f t="shared" si="50"/>
        <v>8.4931506849315067E-2</v>
      </c>
      <c r="AA165">
        <f t="shared" si="51"/>
        <v>8.4931506849315067E-2</v>
      </c>
      <c r="AB165">
        <f t="shared" si="52"/>
        <v>8.4931506849315067E-2</v>
      </c>
      <c r="AC165">
        <f t="shared" si="53"/>
        <v>8.4931506849315067E-2</v>
      </c>
      <c r="AD165">
        <f t="shared" si="54"/>
        <v>8.4931506849315067E-2</v>
      </c>
      <c r="AE165">
        <f t="shared" si="55"/>
        <v>0</v>
      </c>
      <c r="AF165">
        <f t="shared" si="56"/>
        <v>0</v>
      </c>
      <c r="AG165">
        <f t="shared" si="57"/>
        <v>0</v>
      </c>
      <c r="AH165">
        <f t="shared" si="58"/>
        <v>0</v>
      </c>
      <c r="AI165">
        <f t="shared" si="59"/>
        <v>0</v>
      </c>
      <c r="AJ165" s="2" t="str">
        <f t="shared" si="69"/>
        <v>744197</v>
      </c>
    </row>
    <row r="166" spans="1:36" x14ac:dyDescent="0.25">
      <c r="A166">
        <v>8</v>
      </c>
      <c r="B166" s="1">
        <v>44197</v>
      </c>
      <c r="C166" s="1">
        <f t="shared" si="60"/>
        <v>44440</v>
      </c>
      <c r="D166" s="1">
        <f t="shared" si="61"/>
        <v>44211</v>
      </c>
      <c r="E166" s="1">
        <f t="shared" si="62"/>
        <v>44440</v>
      </c>
      <c r="F166" s="1">
        <f t="shared" si="63"/>
        <v>44470</v>
      </c>
      <c r="G166" s="1">
        <f t="shared" si="64"/>
        <v>44576</v>
      </c>
      <c r="H166">
        <f t="shared" si="65"/>
        <v>365</v>
      </c>
      <c r="I166">
        <f t="shared" si="66"/>
        <v>30</v>
      </c>
      <c r="J166">
        <f t="shared" si="67"/>
        <v>8.2191780821917804E-2</v>
      </c>
      <c r="K166">
        <f>IFERROR($J166/IF($A166&lt;COUNTIFS($K$1:K$1,"&lt;&gt;"),0,SUMIFS($J:$J,$B:$B,$B166,$A:$A,"&gt;="&amp;COUNTIFS($K$1:K$1,"&lt;&gt;"))),0)</f>
        <v>8.6206896551724144E-2</v>
      </c>
      <c r="L166">
        <f>IFERROR($J166/IF($A166&lt;COUNTIFS($K$1:L$1,"&lt;&gt;"),0,SUMIFS($J:$J,$B:$B,$B166,$A:$A,"&gt;="&amp;COUNTIFS($K$1:L$1,"&lt;&gt;"))),0)</f>
        <v>9.3750000000000014E-2</v>
      </c>
      <c r="M166">
        <f>IFERROR($J166/IF($A166&lt;COUNTIFS($K$1:M$1,"&lt;&gt;"),0,SUMIFS($J:$J,$B:$B,$B166,$A:$A,"&gt;="&amp;COUNTIFS($K$1:M$1,"&lt;&gt;"))),0)</f>
        <v>0.10380622837370243</v>
      </c>
      <c r="N166">
        <f>IFERROR($J166/IF($A166&lt;COUNTIFS($K$1:N$1,"&lt;&gt;"),0,SUMIFS($J:$J,$B:$B,$B166,$A:$A,"&gt;="&amp;COUNTIFS($K$1:N$1,"&lt;&gt;"))),0)</f>
        <v>0.11583011583011585</v>
      </c>
      <c r="O166">
        <f>IFERROR($J166/IF($A166&lt;COUNTIFS($K$1:O$1,"&lt;&gt;"),0,SUMIFS($J:$J,$B:$B,$B166,$A:$A,"&gt;="&amp;COUNTIFS($K$1:O$1,"&lt;&gt;"))),0)</f>
        <v>0.13157894736842107</v>
      </c>
      <c r="P166">
        <f>IFERROR($J166/IF($A166&lt;COUNTIFS($K$1:P$1,"&lt;&gt;"),0,SUMIFS($J:$J,$B:$B,$B166,$A:$A,"&gt;="&amp;COUNTIFS($K$1:P$1,"&lt;&gt;"))),0)</f>
        <v>0.15151515151515155</v>
      </c>
      <c r="Q166">
        <f>IFERROR($J166/IF($A166&lt;COUNTIFS($K$1:Q$1,"&lt;&gt;"),0,SUMIFS($J:$J,$B:$B,$B166,$A:$A,"&gt;="&amp;COUNTIFS($K$1:Q$1,"&lt;&gt;"))),0)</f>
        <v>0.17964071856287425</v>
      </c>
      <c r="R166">
        <f>IFERROR($J166/IF($A166&lt;COUNTIFS($K$1:R$1,"&lt;&gt;"),0,SUMIFS($J:$J,$B:$B,$B166,$A:$A,"&gt;="&amp;COUNTIFS($K$1:R$1,"&lt;&gt;"))),0)</f>
        <v>0.22058823529411764</v>
      </c>
      <c r="S166">
        <f>IFERROR($J166/IF($A166&lt;COUNTIFS($K$1:S$1,"&lt;&gt;"),0,SUMIFS($J:$J,$B:$B,$B166,$A:$A,"&gt;="&amp;COUNTIFS($K$1:S$1,"&lt;&gt;"))),0)</f>
        <v>0</v>
      </c>
      <c r="T166">
        <f>IFERROR($J166/IF($A166&lt;COUNTIFS($K$1:T$1,"&lt;&gt;"),0,SUMIFS($J:$J,$B:$B,$B166,$A:$A,"&gt;="&amp;COUNTIFS($K$1:T$1,"&lt;&gt;"))),0)</f>
        <v>0</v>
      </c>
      <c r="U166">
        <f>IFERROR($J166/IF($A166&lt;COUNTIFS($K$1:U$1,"&lt;&gt;"),0,SUMIFS($J:$J,$B:$B,$B166,$A:$A,"&gt;="&amp;COUNTIFS($K$1:U$1,"&lt;&gt;"))),0)</f>
        <v>0</v>
      </c>
      <c r="V166">
        <f>IFERROR($J166/IF($A166&lt;COUNTIFS($K$1:V$1,"&lt;&gt;"),0,SUMIFS($J:$J,$B:$B,$B166,$A:$A,"&gt;="&amp;COUNTIFS($K$1:V$1,"&lt;&gt;"))),0)</f>
        <v>0</v>
      </c>
      <c r="W166">
        <f t="shared" si="68"/>
        <v>8.2191780821917804E-2</v>
      </c>
      <c r="X166">
        <f t="shared" si="48"/>
        <v>8.2191780821917804E-2</v>
      </c>
      <c r="Y166">
        <f t="shared" si="49"/>
        <v>8.2191780821917804E-2</v>
      </c>
      <c r="Z166">
        <f t="shared" si="50"/>
        <v>8.2191780821917804E-2</v>
      </c>
      <c r="AA166">
        <f t="shared" si="51"/>
        <v>8.2191780821917804E-2</v>
      </c>
      <c r="AB166">
        <f t="shared" si="52"/>
        <v>8.2191780821917804E-2</v>
      </c>
      <c r="AC166">
        <f t="shared" si="53"/>
        <v>8.2191780821917804E-2</v>
      </c>
      <c r="AD166">
        <f t="shared" si="54"/>
        <v>8.2191780821917804E-2</v>
      </c>
      <c r="AE166">
        <f t="shared" si="55"/>
        <v>8.2191780821917804E-2</v>
      </c>
      <c r="AF166">
        <f t="shared" si="56"/>
        <v>0</v>
      </c>
      <c r="AG166">
        <f t="shared" si="57"/>
        <v>0</v>
      </c>
      <c r="AH166">
        <f t="shared" si="58"/>
        <v>0</v>
      </c>
      <c r="AI166">
        <f t="shared" si="59"/>
        <v>0</v>
      </c>
      <c r="AJ166" s="2" t="str">
        <f t="shared" si="69"/>
        <v>844197</v>
      </c>
    </row>
    <row r="167" spans="1:36" x14ac:dyDescent="0.25">
      <c r="A167">
        <v>9</v>
      </c>
      <c r="B167" s="1">
        <v>44197</v>
      </c>
      <c r="C167" s="1">
        <f t="shared" si="60"/>
        <v>44470</v>
      </c>
      <c r="D167" s="1">
        <f t="shared" si="61"/>
        <v>44211</v>
      </c>
      <c r="E167" s="1">
        <f t="shared" si="62"/>
        <v>44470</v>
      </c>
      <c r="F167" s="1">
        <f t="shared" si="63"/>
        <v>44501</v>
      </c>
      <c r="G167" s="1">
        <f t="shared" si="64"/>
        <v>44576</v>
      </c>
      <c r="H167">
        <f t="shared" si="65"/>
        <v>365</v>
      </c>
      <c r="I167">
        <f t="shared" si="66"/>
        <v>31</v>
      </c>
      <c r="J167">
        <f t="shared" si="67"/>
        <v>8.4931506849315067E-2</v>
      </c>
      <c r="K167">
        <f>IFERROR($J167/IF($A167&lt;COUNTIFS($K$1:K$1,"&lt;&gt;"),0,SUMIFS($J:$J,$B:$B,$B167,$A:$A,"&gt;="&amp;COUNTIFS($K$1:K$1,"&lt;&gt;"))),0)</f>
        <v>8.9080459770114959E-2</v>
      </c>
      <c r="L167">
        <f>IFERROR($J167/IF($A167&lt;COUNTIFS($K$1:L$1,"&lt;&gt;"),0,SUMIFS($J:$J,$B:$B,$B167,$A:$A,"&gt;="&amp;COUNTIFS($K$1:L$1,"&lt;&gt;"))),0)</f>
        <v>9.6875000000000017E-2</v>
      </c>
      <c r="M167">
        <f>IFERROR($J167/IF($A167&lt;COUNTIFS($K$1:M$1,"&lt;&gt;"),0,SUMIFS($J:$J,$B:$B,$B167,$A:$A,"&gt;="&amp;COUNTIFS($K$1:M$1,"&lt;&gt;"))),0)</f>
        <v>0.10726643598615919</v>
      </c>
      <c r="N167">
        <f>IFERROR($J167/IF($A167&lt;COUNTIFS($K$1:N$1,"&lt;&gt;"),0,SUMIFS($J:$J,$B:$B,$B167,$A:$A,"&gt;="&amp;COUNTIFS($K$1:N$1,"&lt;&gt;"))),0)</f>
        <v>0.11969111969111972</v>
      </c>
      <c r="O167">
        <f>IFERROR($J167/IF($A167&lt;COUNTIFS($K$1:O$1,"&lt;&gt;"),0,SUMIFS($J:$J,$B:$B,$B167,$A:$A,"&gt;="&amp;COUNTIFS($K$1:O$1,"&lt;&gt;"))),0)</f>
        <v>0.13596491228070179</v>
      </c>
      <c r="P167">
        <f>IFERROR($J167/IF($A167&lt;COUNTIFS($K$1:P$1,"&lt;&gt;"),0,SUMIFS($J:$J,$B:$B,$B167,$A:$A,"&gt;="&amp;COUNTIFS($K$1:P$1,"&lt;&gt;"))),0)</f>
        <v>0.1565656565656566</v>
      </c>
      <c r="Q167">
        <f>IFERROR($J167/IF($A167&lt;COUNTIFS($K$1:Q$1,"&lt;&gt;"),0,SUMIFS($J:$J,$B:$B,$B167,$A:$A,"&gt;="&amp;COUNTIFS($K$1:Q$1,"&lt;&gt;"))),0)</f>
        <v>0.18562874251497008</v>
      </c>
      <c r="R167">
        <f>IFERROR($J167/IF($A167&lt;COUNTIFS($K$1:R$1,"&lt;&gt;"),0,SUMIFS($J:$J,$B:$B,$B167,$A:$A,"&gt;="&amp;COUNTIFS($K$1:R$1,"&lt;&gt;"))),0)</f>
        <v>0.22794117647058826</v>
      </c>
      <c r="S167">
        <f>IFERROR($J167/IF($A167&lt;COUNTIFS($K$1:S$1,"&lt;&gt;"),0,SUMIFS($J:$J,$B:$B,$B167,$A:$A,"&gt;="&amp;COUNTIFS($K$1:S$1,"&lt;&gt;"))),0)</f>
        <v>0.29245283018867929</v>
      </c>
      <c r="T167">
        <f>IFERROR($J167/IF($A167&lt;COUNTIFS($K$1:T$1,"&lt;&gt;"),0,SUMIFS($J:$J,$B:$B,$B167,$A:$A,"&gt;="&amp;COUNTIFS($K$1:T$1,"&lt;&gt;"))),0)</f>
        <v>0</v>
      </c>
      <c r="U167">
        <f>IFERROR($J167/IF($A167&lt;COUNTIFS($K$1:U$1,"&lt;&gt;"),0,SUMIFS($J:$J,$B:$B,$B167,$A:$A,"&gt;="&amp;COUNTIFS($K$1:U$1,"&lt;&gt;"))),0)</f>
        <v>0</v>
      </c>
      <c r="V167">
        <f>IFERROR($J167/IF($A167&lt;COUNTIFS($K$1:V$1,"&lt;&gt;"),0,SUMIFS($J:$J,$B:$B,$B167,$A:$A,"&gt;="&amp;COUNTIFS($K$1:V$1,"&lt;&gt;"))),0)</f>
        <v>0</v>
      </c>
      <c r="W167">
        <f t="shared" si="68"/>
        <v>8.4931506849315067E-2</v>
      </c>
      <c r="X167">
        <f t="shared" si="48"/>
        <v>8.4931506849315067E-2</v>
      </c>
      <c r="Y167">
        <f t="shared" si="49"/>
        <v>8.4931506849315067E-2</v>
      </c>
      <c r="Z167">
        <f t="shared" si="50"/>
        <v>8.4931506849315067E-2</v>
      </c>
      <c r="AA167">
        <f t="shared" si="51"/>
        <v>8.4931506849315067E-2</v>
      </c>
      <c r="AB167">
        <f t="shared" si="52"/>
        <v>8.4931506849315067E-2</v>
      </c>
      <c r="AC167">
        <f t="shared" si="53"/>
        <v>8.4931506849315067E-2</v>
      </c>
      <c r="AD167">
        <f t="shared" si="54"/>
        <v>8.4931506849315067E-2</v>
      </c>
      <c r="AE167">
        <f t="shared" si="55"/>
        <v>8.4931506849315067E-2</v>
      </c>
      <c r="AF167">
        <f t="shared" si="56"/>
        <v>8.4931506849315067E-2</v>
      </c>
      <c r="AG167">
        <f t="shared" si="57"/>
        <v>0</v>
      </c>
      <c r="AH167">
        <f t="shared" si="58"/>
        <v>0</v>
      </c>
      <c r="AI167">
        <f t="shared" si="59"/>
        <v>0</v>
      </c>
      <c r="AJ167" s="2" t="str">
        <f t="shared" si="69"/>
        <v>944197</v>
      </c>
    </row>
    <row r="168" spans="1:36" x14ac:dyDescent="0.25">
      <c r="A168">
        <v>10</v>
      </c>
      <c r="B168" s="1">
        <v>44197</v>
      </c>
      <c r="C168" s="1">
        <f t="shared" si="60"/>
        <v>44501</v>
      </c>
      <c r="D168" s="1">
        <f t="shared" si="61"/>
        <v>44211</v>
      </c>
      <c r="E168" s="1">
        <f t="shared" si="62"/>
        <v>44501</v>
      </c>
      <c r="F168" s="1">
        <f t="shared" si="63"/>
        <v>44531</v>
      </c>
      <c r="G168" s="1">
        <f t="shared" si="64"/>
        <v>44576</v>
      </c>
      <c r="H168">
        <f t="shared" si="65"/>
        <v>365</v>
      </c>
      <c r="I168">
        <f t="shared" si="66"/>
        <v>30</v>
      </c>
      <c r="J168">
        <f t="shared" si="67"/>
        <v>8.2191780821917804E-2</v>
      </c>
      <c r="K168">
        <f>IFERROR($J168/IF($A168&lt;COUNTIFS($K$1:K$1,"&lt;&gt;"),0,SUMIFS($J:$J,$B:$B,$B168,$A:$A,"&gt;="&amp;COUNTIFS($K$1:K$1,"&lt;&gt;"))),0)</f>
        <v>8.6206896551724144E-2</v>
      </c>
      <c r="L168">
        <f>IFERROR($J168/IF($A168&lt;COUNTIFS($K$1:L$1,"&lt;&gt;"),0,SUMIFS($J:$J,$B:$B,$B168,$A:$A,"&gt;="&amp;COUNTIFS($K$1:L$1,"&lt;&gt;"))),0)</f>
        <v>9.3750000000000014E-2</v>
      </c>
      <c r="M168">
        <f>IFERROR($J168/IF($A168&lt;COUNTIFS($K$1:M$1,"&lt;&gt;"),0,SUMIFS($J:$J,$B:$B,$B168,$A:$A,"&gt;="&amp;COUNTIFS($K$1:M$1,"&lt;&gt;"))),0)</f>
        <v>0.10380622837370243</v>
      </c>
      <c r="N168">
        <f>IFERROR($J168/IF($A168&lt;COUNTIFS($K$1:N$1,"&lt;&gt;"),0,SUMIFS($J:$J,$B:$B,$B168,$A:$A,"&gt;="&amp;COUNTIFS($K$1:N$1,"&lt;&gt;"))),0)</f>
        <v>0.11583011583011585</v>
      </c>
      <c r="O168">
        <f>IFERROR($J168/IF($A168&lt;COUNTIFS($K$1:O$1,"&lt;&gt;"),0,SUMIFS($J:$J,$B:$B,$B168,$A:$A,"&gt;="&amp;COUNTIFS($K$1:O$1,"&lt;&gt;"))),0)</f>
        <v>0.13157894736842107</v>
      </c>
      <c r="P168">
        <f>IFERROR($J168/IF($A168&lt;COUNTIFS($K$1:P$1,"&lt;&gt;"),0,SUMIFS($J:$J,$B:$B,$B168,$A:$A,"&gt;="&amp;COUNTIFS($K$1:P$1,"&lt;&gt;"))),0)</f>
        <v>0.15151515151515155</v>
      </c>
      <c r="Q168">
        <f>IFERROR($J168/IF($A168&lt;COUNTIFS($K$1:Q$1,"&lt;&gt;"),0,SUMIFS($J:$J,$B:$B,$B168,$A:$A,"&gt;="&amp;COUNTIFS($K$1:Q$1,"&lt;&gt;"))),0)</f>
        <v>0.17964071856287425</v>
      </c>
      <c r="R168">
        <f>IFERROR($J168/IF($A168&lt;COUNTIFS($K$1:R$1,"&lt;&gt;"),0,SUMIFS($J:$J,$B:$B,$B168,$A:$A,"&gt;="&amp;COUNTIFS($K$1:R$1,"&lt;&gt;"))),0)</f>
        <v>0.22058823529411764</v>
      </c>
      <c r="S168">
        <f>IFERROR($J168/IF($A168&lt;COUNTIFS($K$1:S$1,"&lt;&gt;"),0,SUMIFS($J:$J,$B:$B,$B168,$A:$A,"&gt;="&amp;COUNTIFS($K$1:S$1,"&lt;&gt;"))),0)</f>
        <v>0.28301886792452829</v>
      </c>
      <c r="T168">
        <f>IFERROR($J168/IF($A168&lt;COUNTIFS($K$1:T$1,"&lt;&gt;"),0,SUMIFS($J:$J,$B:$B,$B168,$A:$A,"&gt;="&amp;COUNTIFS($K$1:T$1,"&lt;&gt;"))),0)</f>
        <v>0.4</v>
      </c>
      <c r="U168">
        <f>IFERROR($J168/IF($A168&lt;COUNTIFS($K$1:U$1,"&lt;&gt;"),0,SUMIFS($J:$J,$B:$B,$B168,$A:$A,"&gt;="&amp;COUNTIFS($K$1:U$1,"&lt;&gt;"))),0)</f>
        <v>0</v>
      </c>
      <c r="V168">
        <f>IFERROR($J168/IF($A168&lt;COUNTIFS($K$1:V$1,"&lt;&gt;"),0,SUMIFS($J:$J,$B:$B,$B168,$A:$A,"&gt;="&amp;COUNTIFS($K$1:V$1,"&lt;&gt;"))),0)</f>
        <v>0</v>
      </c>
      <c r="W168">
        <f t="shared" si="68"/>
        <v>8.2191780821917804E-2</v>
      </c>
      <c r="X168">
        <f t="shared" si="48"/>
        <v>8.2191780821917804E-2</v>
      </c>
      <c r="Y168">
        <f t="shared" si="49"/>
        <v>8.2191780821917804E-2</v>
      </c>
      <c r="Z168">
        <f t="shared" si="50"/>
        <v>8.2191780821917804E-2</v>
      </c>
      <c r="AA168">
        <f t="shared" si="51"/>
        <v>8.2191780821917804E-2</v>
      </c>
      <c r="AB168">
        <f t="shared" si="52"/>
        <v>8.2191780821917804E-2</v>
      </c>
      <c r="AC168">
        <f t="shared" si="53"/>
        <v>8.2191780821917804E-2</v>
      </c>
      <c r="AD168">
        <f t="shared" si="54"/>
        <v>8.2191780821917804E-2</v>
      </c>
      <c r="AE168">
        <f t="shared" si="55"/>
        <v>8.2191780821917804E-2</v>
      </c>
      <c r="AF168">
        <f t="shared" si="56"/>
        <v>8.2191780821917804E-2</v>
      </c>
      <c r="AG168">
        <f t="shared" si="57"/>
        <v>8.2191780821917804E-2</v>
      </c>
      <c r="AH168">
        <f t="shared" si="58"/>
        <v>0</v>
      </c>
      <c r="AI168">
        <f t="shared" si="59"/>
        <v>0</v>
      </c>
      <c r="AJ168" s="2" t="str">
        <f t="shared" si="69"/>
        <v>1044197</v>
      </c>
    </row>
    <row r="169" spans="1:36" x14ac:dyDescent="0.25">
      <c r="A169">
        <v>11</v>
      </c>
      <c r="B169" s="1">
        <v>44197</v>
      </c>
      <c r="C169" s="1">
        <f t="shared" si="60"/>
        <v>44531</v>
      </c>
      <c r="D169" s="1">
        <f t="shared" si="61"/>
        <v>44211</v>
      </c>
      <c r="E169" s="1">
        <f t="shared" si="62"/>
        <v>44531</v>
      </c>
      <c r="F169" s="1">
        <f t="shared" si="63"/>
        <v>44562</v>
      </c>
      <c r="G169" s="1">
        <f t="shared" si="64"/>
        <v>44576</v>
      </c>
      <c r="H169">
        <f t="shared" si="65"/>
        <v>365</v>
      </c>
      <c r="I169">
        <f t="shared" si="66"/>
        <v>31</v>
      </c>
      <c r="J169">
        <f t="shared" si="67"/>
        <v>8.4931506849315067E-2</v>
      </c>
      <c r="K169">
        <f>IFERROR($J169/IF($A169&lt;COUNTIFS($K$1:K$1,"&lt;&gt;"),0,SUMIFS($J:$J,$B:$B,$B169,$A:$A,"&gt;="&amp;COUNTIFS($K$1:K$1,"&lt;&gt;"))),0)</f>
        <v>8.9080459770114959E-2</v>
      </c>
      <c r="L169">
        <f>IFERROR($J169/IF($A169&lt;COUNTIFS($K$1:L$1,"&lt;&gt;"),0,SUMIFS($J:$J,$B:$B,$B169,$A:$A,"&gt;="&amp;COUNTIFS($K$1:L$1,"&lt;&gt;"))),0)</f>
        <v>9.6875000000000017E-2</v>
      </c>
      <c r="M169">
        <f>IFERROR($J169/IF($A169&lt;COUNTIFS($K$1:M$1,"&lt;&gt;"),0,SUMIFS($J:$J,$B:$B,$B169,$A:$A,"&gt;="&amp;COUNTIFS($K$1:M$1,"&lt;&gt;"))),0)</f>
        <v>0.10726643598615919</v>
      </c>
      <c r="N169">
        <f>IFERROR($J169/IF($A169&lt;COUNTIFS($K$1:N$1,"&lt;&gt;"),0,SUMIFS($J:$J,$B:$B,$B169,$A:$A,"&gt;="&amp;COUNTIFS($K$1:N$1,"&lt;&gt;"))),0)</f>
        <v>0.11969111969111972</v>
      </c>
      <c r="O169">
        <f>IFERROR($J169/IF($A169&lt;COUNTIFS($K$1:O$1,"&lt;&gt;"),0,SUMIFS($J:$J,$B:$B,$B169,$A:$A,"&gt;="&amp;COUNTIFS($K$1:O$1,"&lt;&gt;"))),0)</f>
        <v>0.13596491228070179</v>
      </c>
      <c r="P169">
        <f>IFERROR($J169/IF($A169&lt;COUNTIFS($K$1:P$1,"&lt;&gt;"),0,SUMIFS($J:$J,$B:$B,$B169,$A:$A,"&gt;="&amp;COUNTIFS($K$1:P$1,"&lt;&gt;"))),0)</f>
        <v>0.1565656565656566</v>
      </c>
      <c r="Q169">
        <f>IFERROR($J169/IF($A169&lt;COUNTIFS($K$1:Q$1,"&lt;&gt;"),0,SUMIFS($J:$J,$B:$B,$B169,$A:$A,"&gt;="&amp;COUNTIFS($K$1:Q$1,"&lt;&gt;"))),0)</f>
        <v>0.18562874251497008</v>
      </c>
      <c r="R169">
        <f>IFERROR($J169/IF($A169&lt;COUNTIFS($K$1:R$1,"&lt;&gt;"),0,SUMIFS($J:$J,$B:$B,$B169,$A:$A,"&gt;="&amp;COUNTIFS($K$1:R$1,"&lt;&gt;"))),0)</f>
        <v>0.22794117647058826</v>
      </c>
      <c r="S169">
        <f>IFERROR($J169/IF($A169&lt;COUNTIFS($K$1:S$1,"&lt;&gt;"),0,SUMIFS($J:$J,$B:$B,$B169,$A:$A,"&gt;="&amp;COUNTIFS($K$1:S$1,"&lt;&gt;"))),0)</f>
        <v>0.29245283018867929</v>
      </c>
      <c r="T169">
        <f>IFERROR($J169/IF($A169&lt;COUNTIFS($K$1:T$1,"&lt;&gt;"),0,SUMIFS($J:$J,$B:$B,$B169,$A:$A,"&gt;="&amp;COUNTIFS($K$1:T$1,"&lt;&gt;"))),0)</f>
        <v>0.41333333333333333</v>
      </c>
      <c r="U169">
        <f>IFERROR($J169/IF($A169&lt;COUNTIFS($K$1:U$1,"&lt;&gt;"),0,SUMIFS($J:$J,$B:$B,$B169,$A:$A,"&gt;="&amp;COUNTIFS($K$1:U$1,"&lt;&gt;"))),0)</f>
        <v>0.68888888888888888</v>
      </c>
      <c r="V169">
        <f>IFERROR($J169/IF($A169&lt;COUNTIFS($K$1:V$1,"&lt;&gt;"),0,SUMIFS($J:$J,$B:$B,$B169,$A:$A,"&gt;="&amp;COUNTIFS($K$1:V$1,"&lt;&gt;"))),0)</f>
        <v>0</v>
      </c>
      <c r="W169">
        <f t="shared" si="68"/>
        <v>8.4931506849315067E-2</v>
      </c>
      <c r="X169">
        <f t="shared" si="48"/>
        <v>8.4931506849315067E-2</v>
      </c>
      <c r="Y169">
        <f t="shared" si="49"/>
        <v>8.4931506849315067E-2</v>
      </c>
      <c r="Z169">
        <f t="shared" si="50"/>
        <v>8.4931506849315067E-2</v>
      </c>
      <c r="AA169">
        <f t="shared" si="51"/>
        <v>8.4931506849315067E-2</v>
      </c>
      <c r="AB169">
        <f t="shared" si="52"/>
        <v>8.4931506849315067E-2</v>
      </c>
      <c r="AC169">
        <f t="shared" si="53"/>
        <v>8.4931506849315067E-2</v>
      </c>
      <c r="AD169">
        <f t="shared" si="54"/>
        <v>8.4931506849315067E-2</v>
      </c>
      <c r="AE169">
        <f t="shared" si="55"/>
        <v>8.4931506849315067E-2</v>
      </c>
      <c r="AF169">
        <f t="shared" si="56"/>
        <v>8.4931506849315067E-2</v>
      </c>
      <c r="AG169">
        <f t="shared" si="57"/>
        <v>8.4931506849315067E-2</v>
      </c>
      <c r="AH169">
        <f t="shared" si="58"/>
        <v>8.4931506849315067E-2</v>
      </c>
      <c r="AI169">
        <f t="shared" si="59"/>
        <v>0</v>
      </c>
      <c r="AJ169" s="2" t="str">
        <f t="shared" si="69"/>
        <v>1144197</v>
      </c>
    </row>
    <row r="170" spans="1:36" x14ac:dyDescent="0.25">
      <c r="A170">
        <v>12</v>
      </c>
      <c r="B170" s="1">
        <v>44197</v>
      </c>
      <c r="C170" s="1">
        <f t="shared" si="60"/>
        <v>44562</v>
      </c>
      <c r="D170" s="1">
        <f t="shared" si="61"/>
        <v>44211</v>
      </c>
      <c r="E170" s="1">
        <f t="shared" si="62"/>
        <v>44562</v>
      </c>
      <c r="F170" s="1">
        <f t="shared" si="63"/>
        <v>44576</v>
      </c>
      <c r="G170" s="1">
        <f t="shared" si="64"/>
        <v>44576</v>
      </c>
      <c r="H170">
        <f t="shared" si="65"/>
        <v>365</v>
      </c>
      <c r="I170">
        <f t="shared" si="66"/>
        <v>14</v>
      </c>
      <c r="J170">
        <f t="shared" si="67"/>
        <v>3.8356164383561646E-2</v>
      </c>
      <c r="K170">
        <f>IFERROR($J170/IF($A170&lt;COUNTIFS($K$1:K$1,"&lt;&gt;"),0,SUMIFS($J:$J,$B:$B,$B170,$A:$A,"&gt;="&amp;COUNTIFS($K$1:K$1,"&lt;&gt;"))),0)</f>
        <v>4.0229885057471271E-2</v>
      </c>
      <c r="L170">
        <f>IFERROR($J170/IF($A170&lt;COUNTIFS($K$1:L$1,"&lt;&gt;"),0,SUMIFS($J:$J,$B:$B,$B170,$A:$A,"&gt;="&amp;COUNTIFS($K$1:L$1,"&lt;&gt;"))),0)</f>
        <v>4.3750000000000011E-2</v>
      </c>
      <c r="M170">
        <f>IFERROR($J170/IF($A170&lt;COUNTIFS($K$1:M$1,"&lt;&gt;"),0,SUMIFS($J:$J,$B:$B,$B170,$A:$A,"&gt;="&amp;COUNTIFS($K$1:M$1,"&lt;&gt;"))),0)</f>
        <v>4.8442906574394477E-2</v>
      </c>
      <c r="N170">
        <f>IFERROR($J170/IF($A170&lt;COUNTIFS($K$1:N$1,"&lt;&gt;"),0,SUMIFS($J:$J,$B:$B,$B170,$A:$A,"&gt;="&amp;COUNTIFS($K$1:N$1,"&lt;&gt;"))),0)</f>
        <v>5.4054054054054071E-2</v>
      </c>
      <c r="O170">
        <f>IFERROR($J170/IF($A170&lt;COUNTIFS($K$1:O$1,"&lt;&gt;"),0,SUMIFS($J:$J,$B:$B,$B170,$A:$A,"&gt;="&amp;COUNTIFS($K$1:O$1,"&lt;&gt;"))),0)</f>
        <v>6.1403508771929842E-2</v>
      </c>
      <c r="P170">
        <f>IFERROR($J170/IF($A170&lt;COUNTIFS($K$1:P$1,"&lt;&gt;"),0,SUMIFS($J:$J,$B:$B,$B170,$A:$A,"&gt;="&amp;COUNTIFS($K$1:P$1,"&lt;&gt;"))),0)</f>
        <v>7.0707070707070732E-2</v>
      </c>
      <c r="Q170">
        <f>IFERROR($J170/IF($A170&lt;COUNTIFS($K$1:Q$1,"&lt;&gt;"),0,SUMIFS($J:$J,$B:$B,$B170,$A:$A,"&gt;="&amp;COUNTIFS($K$1:Q$1,"&lt;&gt;"))),0)</f>
        <v>8.3832335329341326E-2</v>
      </c>
      <c r="R170">
        <f>IFERROR($J170/IF($A170&lt;COUNTIFS($K$1:R$1,"&lt;&gt;"),0,SUMIFS($J:$J,$B:$B,$B170,$A:$A,"&gt;="&amp;COUNTIFS($K$1:R$1,"&lt;&gt;"))),0)</f>
        <v>0.10294117647058824</v>
      </c>
      <c r="S170">
        <f>IFERROR($J170/IF($A170&lt;COUNTIFS($K$1:S$1,"&lt;&gt;"),0,SUMIFS($J:$J,$B:$B,$B170,$A:$A,"&gt;="&amp;COUNTIFS($K$1:S$1,"&lt;&gt;"))),0)</f>
        <v>0.13207547169811323</v>
      </c>
      <c r="T170">
        <f>IFERROR($J170/IF($A170&lt;COUNTIFS($K$1:T$1,"&lt;&gt;"),0,SUMIFS($J:$J,$B:$B,$B170,$A:$A,"&gt;="&amp;COUNTIFS($K$1:T$1,"&lt;&gt;"))),0)</f>
        <v>0.18666666666666668</v>
      </c>
      <c r="U170">
        <f>IFERROR($J170/IF($A170&lt;COUNTIFS($K$1:U$1,"&lt;&gt;"),0,SUMIFS($J:$J,$B:$B,$B170,$A:$A,"&gt;="&amp;COUNTIFS($K$1:U$1,"&lt;&gt;"))),0)</f>
        <v>0.31111111111111117</v>
      </c>
      <c r="V170">
        <f>IFERROR($J170/IF($A170&lt;COUNTIFS($K$1:V$1,"&lt;&gt;"),0,SUMIFS($J:$J,$B:$B,$B170,$A:$A,"&gt;="&amp;COUNTIFS($K$1:V$1,"&lt;&gt;"))),0)</f>
        <v>1</v>
      </c>
      <c r="W170">
        <f t="shared" si="68"/>
        <v>3.8356164383561646E-2</v>
      </c>
      <c r="X170">
        <f t="shared" si="48"/>
        <v>3.8356164383561646E-2</v>
      </c>
      <c r="Y170">
        <f t="shared" si="49"/>
        <v>3.8356164383561646E-2</v>
      </c>
      <c r="Z170">
        <f t="shared" si="50"/>
        <v>3.8356164383561646E-2</v>
      </c>
      <c r="AA170">
        <f t="shared" si="51"/>
        <v>3.8356164383561646E-2</v>
      </c>
      <c r="AB170">
        <f t="shared" si="52"/>
        <v>3.8356164383561646E-2</v>
      </c>
      <c r="AC170">
        <f t="shared" si="53"/>
        <v>3.8356164383561646E-2</v>
      </c>
      <c r="AD170">
        <f t="shared" si="54"/>
        <v>3.8356164383561646E-2</v>
      </c>
      <c r="AE170">
        <f t="shared" si="55"/>
        <v>3.8356164383561646E-2</v>
      </c>
      <c r="AF170">
        <f t="shared" si="56"/>
        <v>3.8356164383561646E-2</v>
      </c>
      <c r="AG170">
        <f t="shared" si="57"/>
        <v>3.8356164383561646E-2</v>
      </c>
      <c r="AH170">
        <f t="shared" si="58"/>
        <v>3.8356164383561646E-2</v>
      </c>
      <c r="AI170">
        <f t="shared" si="59"/>
        <v>3.8356164383561646E-2</v>
      </c>
      <c r="AJ170" s="2" t="str">
        <f t="shared" si="69"/>
        <v>1244197</v>
      </c>
    </row>
    <row r="171" spans="1:36" x14ac:dyDescent="0.25">
      <c r="A171">
        <v>0</v>
      </c>
      <c r="B171" s="1">
        <v>44228</v>
      </c>
      <c r="C171" s="1">
        <f t="shared" si="60"/>
        <v>44228</v>
      </c>
      <c r="D171" s="1">
        <f t="shared" si="61"/>
        <v>44242</v>
      </c>
      <c r="E171" s="1">
        <f t="shared" si="62"/>
        <v>44242</v>
      </c>
      <c r="F171" s="1">
        <f t="shared" si="63"/>
        <v>44256</v>
      </c>
      <c r="G171" s="1">
        <f t="shared" si="64"/>
        <v>44607</v>
      </c>
      <c r="H171">
        <f t="shared" si="65"/>
        <v>365</v>
      </c>
      <c r="I171">
        <f t="shared" si="66"/>
        <v>14</v>
      </c>
      <c r="J171">
        <f t="shared" si="67"/>
        <v>3.8356164383561646E-2</v>
      </c>
      <c r="K171">
        <f>IFERROR($J171/IF($A171&lt;COUNTIFS($K$1:K$1,"&lt;&gt;"),0,SUMIFS($J:$J,$B:$B,$B171,$A:$A,"&gt;="&amp;COUNTIFS($K$1:K$1,"&lt;&gt;"))),0)</f>
        <v>0</v>
      </c>
      <c r="L171">
        <f>IFERROR($J171/IF($A171&lt;COUNTIFS($K$1:L$1,"&lt;&gt;"),0,SUMIFS($J:$J,$B:$B,$B171,$A:$A,"&gt;="&amp;COUNTIFS($K$1:L$1,"&lt;&gt;"))),0)</f>
        <v>0</v>
      </c>
      <c r="M171">
        <f>IFERROR($J171/IF($A171&lt;COUNTIFS($K$1:M$1,"&lt;&gt;"),0,SUMIFS($J:$J,$B:$B,$B171,$A:$A,"&gt;="&amp;COUNTIFS($K$1:M$1,"&lt;&gt;"))),0)</f>
        <v>0</v>
      </c>
      <c r="N171">
        <f>IFERROR($J171/IF($A171&lt;COUNTIFS($K$1:N$1,"&lt;&gt;"),0,SUMIFS($J:$J,$B:$B,$B171,$A:$A,"&gt;="&amp;COUNTIFS($K$1:N$1,"&lt;&gt;"))),0)</f>
        <v>0</v>
      </c>
      <c r="O171">
        <f>IFERROR($J171/IF($A171&lt;COUNTIFS($K$1:O$1,"&lt;&gt;"),0,SUMIFS($J:$J,$B:$B,$B171,$A:$A,"&gt;="&amp;COUNTIFS($K$1:O$1,"&lt;&gt;"))),0)</f>
        <v>0</v>
      </c>
      <c r="P171">
        <f>IFERROR($J171/IF($A171&lt;COUNTIFS($K$1:P$1,"&lt;&gt;"),0,SUMIFS($J:$J,$B:$B,$B171,$A:$A,"&gt;="&amp;COUNTIFS($K$1:P$1,"&lt;&gt;"))),0)</f>
        <v>0</v>
      </c>
      <c r="Q171">
        <f>IFERROR($J171/IF($A171&lt;COUNTIFS($K$1:Q$1,"&lt;&gt;"),0,SUMIFS($J:$J,$B:$B,$B171,$A:$A,"&gt;="&amp;COUNTIFS($K$1:Q$1,"&lt;&gt;"))),0)</f>
        <v>0</v>
      </c>
      <c r="R171">
        <f>IFERROR($J171/IF($A171&lt;COUNTIFS($K$1:R$1,"&lt;&gt;"),0,SUMIFS($J:$J,$B:$B,$B171,$A:$A,"&gt;="&amp;COUNTIFS($K$1:R$1,"&lt;&gt;"))),0)</f>
        <v>0</v>
      </c>
      <c r="S171">
        <f>IFERROR($J171/IF($A171&lt;COUNTIFS($K$1:S$1,"&lt;&gt;"),0,SUMIFS($J:$J,$B:$B,$B171,$A:$A,"&gt;="&amp;COUNTIFS($K$1:S$1,"&lt;&gt;"))),0)</f>
        <v>0</v>
      </c>
      <c r="T171">
        <f>IFERROR($J171/IF($A171&lt;COUNTIFS($K$1:T$1,"&lt;&gt;"),0,SUMIFS($J:$J,$B:$B,$B171,$A:$A,"&gt;="&amp;COUNTIFS($K$1:T$1,"&lt;&gt;"))),0)</f>
        <v>0</v>
      </c>
      <c r="U171">
        <f>IFERROR($J171/IF($A171&lt;COUNTIFS($K$1:U$1,"&lt;&gt;"),0,SUMIFS($J:$J,$B:$B,$B171,$A:$A,"&gt;="&amp;COUNTIFS($K$1:U$1,"&lt;&gt;"))),0)</f>
        <v>0</v>
      </c>
      <c r="V171">
        <f>IFERROR($J171/IF($A171&lt;COUNTIFS($K$1:V$1,"&lt;&gt;"),0,SUMIFS($J:$J,$B:$B,$B171,$A:$A,"&gt;="&amp;COUNTIFS($K$1:V$1,"&lt;&gt;"))),0)</f>
        <v>0</v>
      </c>
      <c r="W171">
        <f t="shared" si="68"/>
        <v>3.8356164383561646E-2</v>
      </c>
      <c r="X171">
        <f t="shared" si="48"/>
        <v>0</v>
      </c>
      <c r="Y171">
        <f t="shared" si="49"/>
        <v>0</v>
      </c>
      <c r="Z171">
        <f t="shared" si="50"/>
        <v>0</v>
      </c>
      <c r="AA171">
        <f t="shared" si="51"/>
        <v>0</v>
      </c>
      <c r="AB171">
        <f t="shared" si="52"/>
        <v>0</v>
      </c>
      <c r="AC171">
        <f t="shared" si="53"/>
        <v>0</v>
      </c>
      <c r="AD171">
        <f t="shared" si="54"/>
        <v>0</v>
      </c>
      <c r="AE171">
        <f t="shared" si="55"/>
        <v>0</v>
      </c>
      <c r="AF171">
        <f t="shared" si="56"/>
        <v>0</v>
      </c>
      <c r="AG171">
        <f t="shared" si="57"/>
        <v>0</v>
      </c>
      <c r="AH171">
        <f t="shared" si="58"/>
        <v>0</v>
      </c>
      <c r="AI171">
        <f t="shared" si="59"/>
        <v>0</v>
      </c>
      <c r="AJ171" s="2" t="str">
        <f t="shared" si="69"/>
        <v>044228</v>
      </c>
    </row>
    <row r="172" spans="1:36" x14ac:dyDescent="0.25">
      <c r="A172">
        <v>1</v>
      </c>
      <c r="B172" s="1">
        <v>44228</v>
      </c>
      <c r="C172" s="1">
        <f t="shared" si="60"/>
        <v>44256</v>
      </c>
      <c r="D172" s="1">
        <f t="shared" si="61"/>
        <v>44242</v>
      </c>
      <c r="E172" s="1">
        <f t="shared" si="62"/>
        <v>44256</v>
      </c>
      <c r="F172" s="1">
        <f t="shared" si="63"/>
        <v>44287</v>
      </c>
      <c r="G172" s="1">
        <f t="shared" si="64"/>
        <v>44607</v>
      </c>
      <c r="H172">
        <f t="shared" si="65"/>
        <v>365</v>
      </c>
      <c r="I172">
        <f t="shared" si="66"/>
        <v>31</v>
      </c>
      <c r="J172">
        <f t="shared" si="67"/>
        <v>8.4931506849315067E-2</v>
      </c>
      <c r="K172">
        <f>IFERROR($J172/IF($A172&lt;COUNTIFS($K$1:K$1,"&lt;&gt;"),0,SUMIFS($J:$J,$B:$B,$B172,$A:$A,"&gt;="&amp;COUNTIFS($K$1:K$1,"&lt;&gt;"))),0)</f>
        <v>8.8319088319088329E-2</v>
      </c>
      <c r="L172">
        <f>IFERROR($J172/IF($A172&lt;COUNTIFS($K$1:L$1,"&lt;&gt;"),0,SUMIFS($J:$J,$B:$B,$B172,$A:$A,"&gt;="&amp;COUNTIFS($K$1:L$1,"&lt;&gt;"))),0)</f>
        <v>0</v>
      </c>
      <c r="M172">
        <f>IFERROR($J172/IF($A172&lt;COUNTIFS($K$1:M$1,"&lt;&gt;"),0,SUMIFS($J:$J,$B:$B,$B172,$A:$A,"&gt;="&amp;COUNTIFS($K$1:M$1,"&lt;&gt;"))),0)</f>
        <v>0</v>
      </c>
      <c r="N172">
        <f>IFERROR($J172/IF($A172&lt;COUNTIFS($K$1:N$1,"&lt;&gt;"),0,SUMIFS($J:$J,$B:$B,$B172,$A:$A,"&gt;="&amp;COUNTIFS($K$1:N$1,"&lt;&gt;"))),0)</f>
        <v>0</v>
      </c>
      <c r="O172">
        <f>IFERROR($J172/IF($A172&lt;COUNTIFS($K$1:O$1,"&lt;&gt;"),0,SUMIFS($J:$J,$B:$B,$B172,$A:$A,"&gt;="&amp;COUNTIFS($K$1:O$1,"&lt;&gt;"))),0)</f>
        <v>0</v>
      </c>
      <c r="P172">
        <f>IFERROR($J172/IF($A172&lt;COUNTIFS($K$1:P$1,"&lt;&gt;"),0,SUMIFS($J:$J,$B:$B,$B172,$A:$A,"&gt;="&amp;COUNTIFS($K$1:P$1,"&lt;&gt;"))),0)</f>
        <v>0</v>
      </c>
      <c r="Q172">
        <f>IFERROR($J172/IF($A172&lt;COUNTIFS($K$1:Q$1,"&lt;&gt;"),0,SUMIFS($J:$J,$B:$B,$B172,$A:$A,"&gt;="&amp;COUNTIFS($K$1:Q$1,"&lt;&gt;"))),0)</f>
        <v>0</v>
      </c>
      <c r="R172">
        <f>IFERROR($J172/IF($A172&lt;COUNTIFS($K$1:R$1,"&lt;&gt;"),0,SUMIFS($J:$J,$B:$B,$B172,$A:$A,"&gt;="&amp;COUNTIFS($K$1:R$1,"&lt;&gt;"))),0)</f>
        <v>0</v>
      </c>
      <c r="S172">
        <f>IFERROR($J172/IF($A172&lt;COUNTIFS($K$1:S$1,"&lt;&gt;"),0,SUMIFS($J:$J,$B:$B,$B172,$A:$A,"&gt;="&amp;COUNTIFS($K$1:S$1,"&lt;&gt;"))),0)</f>
        <v>0</v>
      </c>
      <c r="T172">
        <f>IFERROR($J172/IF($A172&lt;COUNTIFS($K$1:T$1,"&lt;&gt;"),0,SUMIFS($J:$J,$B:$B,$B172,$A:$A,"&gt;="&amp;COUNTIFS($K$1:T$1,"&lt;&gt;"))),0)</f>
        <v>0</v>
      </c>
      <c r="U172">
        <f>IFERROR($J172/IF($A172&lt;COUNTIFS($K$1:U$1,"&lt;&gt;"),0,SUMIFS($J:$J,$B:$B,$B172,$A:$A,"&gt;="&amp;COUNTIFS($K$1:U$1,"&lt;&gt;"))),0)</f>
        <v>0</v>
      </c>
      <c r="V172">
        <f>IFERROR($J172/IF($A172&lt;COUNTIFS($K$1:V$1,"&lt;&gt;"),0,SUMIFS($J:$J,$B:$B,$B172,$A:$A,"&gt;="&amp;COUNTIFS($K$1:V$1,"&lt;&gt;"))),0)</f>
        <v>0</v>
      </c>
      <c r="W172">
        <f t="shared" si="68"/>
        <v>8.4931506849315067E-2</v>
      </c>
      <c r="X172">
        <f t="shared" si="48"/>
        <v>8.4931506849315067E-2</v>
      </c>
      <c r="Y172">
        <f t="shared" si="49"/>
        <v>0</v>
      </c>
      <c r="Z172">
        <f t="shared" si="50"/>
        <v>0</v>
      </c>
      <c r="AA172">
        <f t="shared" si="51"/>
        <v>0</v>
      </c>
      <c r="AB172">
        <f t="shared" si="52"/>
        <v>0</v>
      </c>
      <c r="AC172">
        <f t="shared" si="53"/>
        <v>0</v>
      </c>
      <c r="AD172">
        <f t="shared" si="54"/>
        <v>0</v>
      </c>
      <c r="AE172">
        <f t="shared" si="55"/>
        <v>0</v>
      </c>
      <c r="AF172">
        <f t="shared" si="56"/>
        <v>0</v>
      </c>
      <c r="AG172">
        <f t="shared" si="57"/>
        <v>0</v>
      </c>
      <c r="AH172">
        <f t="shared" si="58"/>
        <v>0</v>
      </c>
      <c r="AI172">
        <f t="shared" si="59"/>
        <v>0</v>
      </c>
      <c r="AJ172" s="2" t="str">
        <f t="shared" si="69"/>
        <v>144228</v>
      </c>
    </row>
    <row r="173" spans="1:36" x14ac:dyDescent="0.25">
      <c r="A173">
        <v>2</v>
      </c>
      <c r="B173" s="1">
        <v>44228</v>
      </c>
      <c r="C173" s="1">
        <f t="shared" si="60"/>
        <v>44287</v>
      </c>
      <c r="D173" s="1">
        <f t="shared" si="61"/>
        <v>44242</v>
      </c>
      <c r="E173" s="1">
        <f t="shared" si="62"/>
        <v>44287</v>
      </c>
      <c r="F173" s="1">
        <f t="shared" si="63"/>
        <v>44317</v>
      </c>
      <c r="G173" s="1">
        <f t="shared" si="64"/>
        <v>44607</v>
      </c>
      <c r="H173">
        <f t="shared" si="65"/>
        <v>365</v>
      </c>
      <c r="I173">
        <f t="shared" si="66"/>
        <v>30</v>
      </c>
      <c r="J173">
        <f t="shared" si="67"/>
        <v>8.2191780821917804E-2</v>
      </c>
      <c r="K173">
        <f>IFERROR($J173/IF($A173&lt;COUNTIFS($K$1:K$1,"&lt;&gt;"),0,SUMIFS($J:$J,$B:$B,$B173,$A:$A,"&gt;="&amp;COUNTIFS($K$1:K$1,"&lt;&gt;"))),0)</f>
        <v>8.5470085470085486E-2</v>
      </c>
      <c r="L173">
        <f>IFERROR($J173/IF($A173&lt;COUNTIFS($K$1:L$1,"&lt;&gt;"),0,SUMIFS($J:$J,$B:$B,$B173,$A:$A,"&gt;="&amp;COUNTIFS($K$1:L$1,"&lt;&gt;"))),0)</f>
        <v>9.3750000000000014E-2</v>
      </c>
      <c r="M173">
        <f>IFERROR($J173/IF($A173&lt;COUNTIFS($K$1:M$1,"&lt;&gt;"),0,SUMIFS($J:$J,$B:$B,$B173,$A:$A,"&gt;="&amp;COUNTIFS($K$1:M$1,"&lt;&gt;"))),0)</f>
        <v>0</v>
      </c>
      <c r="N173">
        <f>IFERROR($J173/IF($A173&lt;COUNTIFS($K$1:N$1,"&lt;&gt;"),0,SUMIFS($J:$J,$B:$B,$B173,$A:$A,"&gt;="&amp;COUNTIFS($K$1:N$1,"&lt;&gt;"))),0)</f>
        <v>0</v>
      </c>
      <c r="O173">
        <f>IFERROR($J173/IF($A173&lt;COUNTIFS($K$1:O$1,"&lt;&gt;"),0,SUMIFS($J:$J,$B:$B,$B173,$A:$A,"&gt;="&amp;COUNTIFS($K$1:O$1,"&lt;&gt;"))),0)</f>
        <v>0</v>
      </c>
      <c r="P173">
        <f>IFERROR($J173/IF($A173&lt;COUNTIFS($K$1:P$1,"&lt;&gt;"),0,SUMIFS($J:$J,$B:$B,$B173,$A:$A,"&gt;="&amp;COUNTIFS($K$1:P$1,"&lt;&gt;"))),0)</f>
        <v>0</v>
      </c>
      <c r="Q173">
        <f>IFERROR($J173/IF($A173&lt;COUNTIFS($K$1:Q$1,"&lt;&gt;"),0,SUMIFS($J:$J,$B:$B,$B173,$A:$A,"&gt;="&amp;COUNTIFS($K$1:Q$1,"&lt;&gt;"))),0)</f>
        <v>0</v>
      </c>
      <c r="R173">
        <f>IFERROR($J173/IF($A173&lt;COUNTIFS($K$1:R$1,"&lt;&gt;"),0,SUMIFS($J:$J,$B:$B,$B173,$A:$A,"&gt;="&amp;COUNTIFS($K$1:R$1,"&lt;&gt;"))),0)</f>
        <v>0</v>
      </c>
      <c r="S173">
        <f>IFERROR($J173/IF($A173&lt;COUNTIFS($K$1:S$1,"&lt;&gt;"),0,SUMIFS($J:$J,$B:$B,$B173,$A:$A,"&gt;="&amp;COUNTIFS($K$1:S$1,"&lt;&gt;"))),0)</f>
        <v>0</v>
      </c>
      <c r="T173">
        <f>IFERROR($J173/IF($A173&lt;COUNTIFS($K$1:T$1,"&lt;&gt;"),0,SUMIFS($J:$J,$B:$B,$B173,$A:$A,"&gt;="&amp;COUNTIFS($K$1:T$1,"&lt;&gt;"))),0)</f>
        <v>0</v>
      </c>
      <c r="U173">
        <f>IFERROR($J173/IF($A173&lt;COUNTIFS($K$1:U$1,"&lt;&gt;"),0,SUMIFS($J:$J,$B:$B,$B173,$A:$A,"&gt;="&amp;COUNTIFS($K$1:U$1,"&lt;&gt;"))),0)</f>
        <v>0</v>
      </c>
      <c r="V173">
        <f>IFERROR($J173/IF($A173&lt;COUNTIFS($K$1:V$1,"&lt;&gt;"),0,SUMIFS($J:$J,$B:$B,$B173,$A:$A,"&gt;="&amp;COUNTIFS($K$1:V$1,"&lt;&gt;"))),0)</f>
        <v>0</v>
      </c>
      <c r="W173">
        <f t="shared" si="68"/>
        <v>8.2191780821917804E-2</v>
      </c>
      <c r="X173">
        <f t="shared" si="48"/>
        <v>8.2191780821917804E-2</v>
      </c>
      <c r="Y173">
        <f t="shared" si="49"/>
        <v>8.2191780821917804E-2</v>
      </c>
      <c r="Z173">
        <f t="shared" si="50"/>
        <v>0</v>
      </c>
      <c r="AA173">
        <f t="shared" si="51"/>
        <v>0</v>
      </c>
      <c r="AB173">
        <f t="shared" si="52"/>
        <v>0</v>
      </c>
      <c r="AC173">
        <f t="shared" si="53"/>
        <v>0</v>
      </c>
      <c r="AD173">
        <f t="shared" si="54"/>
        <v>0</v>
      </c>
      <c r="AE173">
        <f t="shared" si="55"/>
        <v>0</v>
      </c>
      <c r="AF173">
        <f t="shared" si="56"/>
        <v>0</v>
      </c>
      <c r="AG173">
        <f t="shared" si="57"/>
        <v>0</v>
      </c>
      <c r="AH173">
        <f t="shared" si="58"/>
        <v>0</v>
      </c>
      <c r="AI173">
        <f t="shared" si="59"/>
        <v>0</v>
      </c>
      <c r="AJ173" s="2" t="str">
        <f t="shared" si="69"/>
        <v>244228</v>
      </c>
    </row>
    <row r="174" spans="1:36" x14ac:dyDescent="0.25">
      <c r="A174">
        <v>3</v>
      </c>
      <c r="B174" s="1">
        <v>44228</v>
      </c>
      <c r="C174" s="1">
        <f t="shared" si="60"/>
        <v>44317</v>
      </c>
      <c r="D174" s="1">
        <f t="shared" si="61"/>
        <v>44242</v>
      </c>
      <c r="E174" s="1">
        <f t="shared" si="62"/>
        <v>44317</v>
      </c>
      <c r="F174" s="1">
        <f t="shared" si="63"/>
        <v>44348</v>
      </c>
      <c r="G174" s="1">
        <f t="shared" si="64"/>
        <v>44607</v>
      </c>
      <c r="H174">
        <f t="shared" si="65"/>
        <v>365</v>
      </c>
      <c r="I174">
        <f t="shared" si="66"/>
        <v>31</v>
      </c>
      <c r="J174">
        <f t="shared" si="67"/>
        <v>8.4931506849315067E-2</v>
      </c>
      <c r="K174">
        <f>IFERROR($J174/IF($A174&lt;COUNTIFS($K$1:K$1,"&lt;&gt;"),0,SUMIFS($J:$J,$B:$B,$B174,$A:$A,"&gt;="&amp;COUNTIFS($K$1:K$1,"&lt;&gt;"))),0)</f>
        <v>8.8319088319088329E-2</v>
      </c>
      <c r="L174">
        <f>IFERROR($J174/IF($A174&lt;COUNTIFS($K$1:L$1,"&lt;&gt;"),0,SUMIFS($J:$J,$B:$B,$B174,$A:$A,"&gt;="&amp;COUNTIFS($K$1:L$1,"&lt;&gt;"))),0)</f>
        <v>9.6875000000000017E-2</v>
      </c>
      <c r="M174">
        <f>IFERROR($J174/IF($A174&lt;COUNTIFS($K$1:M$1,"&lt;&gt;"),0,SUMIFS($J:$J,$B:$B,$B174,$A:$A,"&gt;="&amp;COUNTIFS($K$1:M$1,"&lt;&gt;"))),0)</f>
        <v>0.10689655172413795</v>
      </c>
      <c r="N174">
        <f>IFERROR($J174/IF($A174&lt;COUNTIFS($K$1:N$1,"&lt;&gt;"),0,SUMIFS($J:$J,$B:$B,$B174,$A:$A,"&gt;="&amp;COUNTIFS($K$1:N$1,"&lt;&gt;"))),0)</f>
        <v>0</v>
      </c>
      <c r="O174">
        <f>IFERROR($J174/IF($A174&lt;COUNTIFS($K$1:O$1,"&lt;&gt;"),0,SUMIFS($J:$J,$B:$B,$B174,$A:$A,"&gt;="&amp;COUNTIFS($K$1:O$1,"&lt;&gt;"))),0)</f>
        <v>0</v>
      </c>
      <c r="P174">
        <f>IFERROR($J174/IF($A174&lt;COUNTIFS($K$1:P$1,"&lt;&gt;"),0,SUMIFS($J:$J,$B:$B,$B174,$A:$A,"&gt;="&amp;COUNTIFS($K$1:P$1,"&lt;&gt;"))),0)</f>
        <v>0</v>
      </c>
      <c r="Q174">
        <f>IFERROR($J174/IF($A174&lt;COUNTIFS($K$1:Q$1,"&lt;&gt;"),0,SUMIFS($J:$J,$B:$B,$B174,$A:$A,"&gt;="&amp;COUNTIFS($K$1:Q$1,"&lt;&gt;"))),0)</f>
        <v>0</v>
      </c>
      <c r="R174">
        <f>IFERROR($J174/IF($A174&lt;COUNTIFS($K$1:R$1,"&lt;&gt;"),0,SUMIFS($J:$J,$B:$B,$B174,$A:$A,"&gt;="&amp;COUNTIFS($K$1:R$1,"&lt;&gt;"))),0)</f>
        <v>0</v>
      </c>
      <c r="S174">
        <f>IFERROR($J174/IF($A174&lt;COUNTIFS($K$1:S$1,"&lt;&gt;"),0,SUMIFS($J:$J,$B:$B,$B174,$A:$A,"&gt;="&amp;COUNTIFS($K$1:S$1,"&lt;&gt;"))),0)</f>
        <v>0</v>
      </c>
      <c r="T174">
        <f>IFERROR($J174/IF($A174&lt;COUNTIFS($K$1:T$1,"&lt;&gt;"),0,SUMIFS($J:$J,$B:$B,$B174,$A:$A,"&gt;="&amp;COUNTIFS($K$1:T$1,"&lt;&gt;"))),0)</f>
        <v>0</v>
      </c>
      <c r="U174">
        <f>IFERROR($J174/IF($A174&lt;COUNTIFS($K$1:U$1,"&lt;&gt;"),0,SUMIFS($J:$J,$B:$B,$B174,$A:$A,"&gt;="&amp;COUNTIFS($K$1:U$1,"&lt;&gt;"))),0)</f>
        <v>0</v>
      </c>
      <c r="V174">
        <f>IFERROR($J174/IF($A174&lt;COUNTIFS($K$1:V$1,"&lt;&gt;"),0,SUMIFS($J:$J,$B:$B,$B174,$A:$A,"&gt;="&amp;COUNTIFS($K$1:V$1,"&lt;&gt;"))),0)</f>
        <v>0</v>
      </c>
      <c r="W174">
        <f t="shared" si="68"/>
        <v>8.4931506849315067E-2</v>
      </c>
      <c r="X174">
        <f t="shared" si="48"/>
        <v>8.4931506849315067E-2</v>
      </c>
      <c r="Y174">
        <f t="shared" si="49"/>
        <v>8.4931506849315067E-2</v>
      </c>
      <c r="Z174">
        <f t="shared" si="50"/>
        <v>8.4931506849315067E-2</v>
      </c>
      <c r="AA174">
        <f t="shared" si="51"/>
        <v>0</v>
      </c>
      <c r="AB174">
        <f t="shared" si="52"/>
        <v>0</v>
      </c>
      <c r="AC174">
        <f t="shared" si="53"/>
        <v>0</v>
      </c>
      <c r="AD174">
        <f t="shared" si="54"/>
        <v>0</v>
      </c>
      <c r="AE174">
        <f t="shared" si="55"/>
        <v>0</v>
      </c>
      <c r="AF174">
        <f t="shared" si="56"/>
        <v>0</v>
      </c>
      <c r="AG174">
        <f t="shared" si="57"/>
        <v>0</v>
      </c>
      <c r="AH174">
        <f t="shared" si="58"/>
        <v>0</v>
      </c>
      <c r="AI174">
        <f t="shared" si="59"/>
        <v>0</v>
      </c>
      <c r="AJ174" s="2" t="str">
        <f t="shared" si="69"/>
        <v>344228</v>
      </c>
    </row>
    <row r="175" spans="1:36" x14ac:dyDescent="0.25">
      <c r="A175">
        <v>4</v>
      </c>
      <c r="B175" s="1">
        <v>44228</v>
      </c>
      <c r="C175" s="1">
        <f t="shared" si="60"/>
        <v>44348</v>
      </c>
      <c r="D175" s="1">
        <f t="shared" si="61"/>
        <v>44242</v>
      </c>
      <c r="E175" s="1">
        <f t="shared" si="62"/>
        <v>44348</v>
      </c>
      <c r="F175" s="1">
        <f t="shared" si="63"/>
        <v>44378</v>
      </c>
      <c r="G175" s="1">
        <f t="shared" si="64"/>
        <v>44607</v>
      </c>
      <c r="H175">
        <f t="shared" si="65"/>
        <v>365</v>
      </c>
      <c r="I175">
        <f t="shared" si="66"/>
        <v>30</v>
      </c>
      <c r="J175">
        <f t="shared" si="67"/>
        <v>8.2191780821917804E-2</v>
      </c>
      <c r="K175">
        <f>IFERROR($J175/IF($A175&lt;COUNTIFS($K$1:K$1,"&lt;&gt;"),0,SUMIFS($J:$J,$B:$B,$B175,$A:$A,"&gt;="&amp;COUNTIFS($K$1:K$1,"&lt;&gt;"))),0)</f>
        <v>8.5470085470085486E-2</v>
      </c>
      <c r="L175">
        <f>IFERROR($J175/IF($A175&lt;COUNTIFS($K$1:L$1,"&lt;&gt;"),0,SUMIFS($J:$J,$B:$B,$B175,$A:$A,"&gt;="&amp;COUNTIFS($K$1:L$1,"&lt;&gt;"))),0)</f>
        <v>9.3750000000000014E-2</v>
      </c>
      <c r="M175">
        <f>IFERROR($J175/IF($A175&lt;COUNTIFS($K$1:M$1,"&lt;&gt;"),0,SUMIFS($J:$J,$B:$B,$B175,$A:$A,"&gt;="&amp;COUNTIFS($K$1:M$1,"&lt;&gt;"))),0)</f>
        <v>0.10344827586206898</v>
      </c>
      <c r="N175">
        <f>IFERROR($J175/IF($A175&lt;COUNTIFS($K$1:N$1,"&lt;&gt;"),0,SUMIFS($J:$J,$B:$B,$B175,$A:$A,"&gt;="&amp;COUNTIFS($K$1:N$1,"&lt;&gt;"))),0)</f>
        <v>0.11583011583011585</v>
      </c>
      <c r="O175">
        <f>IFERROR($J175/IF($A175&lt;COUNTIFS($K$1:O$1,"&lt;&gt;"),0,SUMIFS($J:$J,$B:$B,$B175,$A:$A,"&gt;="&amp;COUNTIFS($K$1:O$1,"&lt;&gt;"))),0)</f>
        <v>0</v>
      </c>
      <c r="P175">
        <f>IFERROR($J175/IF($A175&lt;COUNTIFS($K$1:P$1,"&lt;&gt;"),0,SUMIFS($J:$J,$B:$B,$B175,$A:$A,"&gt;="&amp;COUNTIFS($K$1:P$1,"&lt;&gt;"))),0)</f>
        <v>0</v>
      </c>
      <c r="Q175">
        <f>IFERROR($J175/IF($A175&lt;COUNTIFS($K$1:Q$1,"&lt;&gt;"),0,SUMIFS($J:$J,$B:$B,$B175,$A:$A,"&gt;="&amp;COUNTIFS($K$1:Q$1,"&lt;&gt;"))),0)</f>
        <v>0</v>
      </c>
      <c r="R175">
        <f>IFERROR($J175/IF($A175&lt;COUNTIFS($K$1:R$1,"&lt;&gt;"),0,SUMIFS($J:$J,$B:$B,$B175,$A:$A,"&gt;="&amp;COUNTIFS($K$1:R$1,"&lt;&gt;"))),0)</f>
        <v>0</v>
      </c>
      <c r="S175">
        <f>IFERROR($J175/IF($A175&lt;COUNTIFS($K$1:S$1,"&lt;&gt;"),0,SUMIFS($J:$J,$B:$B,$B175,$A:$A,"&gt;="&amp;COUNTIFS($K$1:S$1,"&lt;&gt;"))),0)</f>
        <v>0</v>
      </c>
      <c r="T175">
        <f>IFERROR($J175/IF($A175&lt;COUNTIFS($K$1:T$1,"&lt;&gt;"),0,SUMIFS($J:$J,$B:$B,$B175,$A:$A,"&gt;="&amp;COUNTIFS($K$1:T$1,"&lt;&gt;"))),0)</f>
        <v>0</v>
      </c>
      <c r="U175">
        <f>IFERROR($J175/IF($A175&lt;COUNTIFS($K$1:U$1,"&lt;&gt;"),0,SUMIFS($J:$J,$B:$B,$B175,$A:$A,"&gt;="&amp;COUNTIFS($K$1:U$1,"&lt;&gt;"))),0)</f>
        <v>0</v>
      </c>
      <c r="V175">
        <f>IFERROR($J175/IF($A175&lt;COUNTIFS($K$1:V$1,"&lt;&gt;"),0,SUMIFS($J:$J,$B:$B,$B175,$A:$A,"&gt;="&amp;COUNTIFS($K$1:V$1,"&lt;&gt;"))),0)</f>
        <v>0</v>
      </c>
      <c r="W175">
        <f t="shared" si="68"/>
        <v>8.2191780821917804E-2</v>
      </c>
      <c r="X175">
        <f t="shared" si="48"/>
        <v>8.2191780821917804E-2</v>
      </c>
      <c r="Y175">
        <f t="shared" si="49"/>
        <v>8.2191780821917804E-2</v>
      </c>
      <c r="Z175">
        <f t="shared" si="50"/>
        <v>8.2191780821917804E-2</v>
      </c>
      <c r="AA175">
        <f t="shared" si="51"/>
        <v>8.2191780821917804E-2</v>
      </c>
      <c r="AB175">
        <f t="shared" si="52"/>
        <v>0</v>
      </c>
      <c r="AC175">
        <f t="shared" si="53"/>
        <v>0</v>
      </c>
      <c r="AD175">
        <f t="shared" si="54"/>
        <v>0</v>
      </c>
      <c r="AE175">
        <f t="shared" si="55"/>
        <v>0</v>
      </c>
      <c r="AF175">
        <f t="shared" si="56"/>
        <v>0</v>
      </c>
      <c r="AG175">
        <f t="shared" si="57"/>
        <v>0</v>
      </c>
      <c r="AH175">
        <f t="shared" si="58"/>
        <v>0</v>
      </c>
      <c r="AI175">
        <f t="shared" si="59"/>
        <v>0</v>
      </c>
      <c r="AJ175" s="2" t="str">
        <f t="shared" si="69"/>
        <v>444228</v>
      </c>
    </row>
    <row r="176" spans="1:36" x14ac:dyDescent="0.25">
      <c r="A176">
        <v>5</v>
      </c>
      <c r="B176" s="1">
        <v>44228</v>
      </c>
      <c r="C176" s="1">
        <f t="shared" si="60"/>
        <v>44378</v>
      </c>
      <c r="D176" s="1">
        <f t="shared" si="61"/>
        <v>44242</v>
      </c>
      <c r="E176" s="1">
        <f t="shared" si="62"/>
        <v>44378</v>
      </c>
      <c r="F176" s="1">
        <f t="shared" si="63"/>
        <v>44409</v>
      </c>
      <c r="G176" s="1">
        <f t="shared" si="64"/>
        <v>44607</v>
      </c>
      <c r="H176">
        <f t="shared" si="65"/>
        <v>365</v>
      </c>
      <c r="I176">
        <f t="shared" si="66"/>
        <v>31</v>
      </c>
      <c r="J176">
        <f t="shared" si="67"/>
        <v>8.4931506849315067E-2</v>
      </c>
      <c r="K176">
        <f>IFERROR($J176/IF($A176&lt;COUNTIFS($K$1:K$1,"&lt;&gt;"),0,SUMIFS($J:$J,$B:$B,$B176,$A:$A,"&gt;="&amp;COUNTIFS($K$1:K$1,"&lt;&gt;"))),0)</f>
        <v>8.8319088319088329E-2</v>
      </c>
      <c r="L176">
        <f>IFERROR($J176/IF($A176&lt;COUNTIFS($K$1:L$1,"&lt;&gt;"),0,SUMIFS($J:$J,$B:$B,$B176,$A:$A,"&gt;="&amp;COUNTIFS($K$1:L$1,"&lt;&gt;"))),0)</f>
        <v>9.6875000000000017E-2</v>
      </c>
      <c r="M176">
        <f>IFERROR($J176/IF($A176&lt;COUNTIFS($K$1:M$1,"&lt;&gt;"),0,SUMIFS($J:$J,$B:$B,$B176,$A:$A,"&gt;="&amp;COUNTIFS($K$1:M$1,"&lt;&gt;"))),0)</f>
        <v>0.10689655172413795</v>
      </c>
      <c r="N176">
        <f>IFERROR($J176/IF($A176&lt;COUNTIFS($K$1:N$1,"&lt;&gt;"),0,SUMIFS($J:$J,$B:$B,$B176,$A:$A,"&gt;="&amp;COUNTIFS($K$1:N$1,"&lt;&gt;"))),0)</f>
        <v>0.11969111969111972</v>
      </c>
      <c r="O176">
        <f>IFERROR($J176/IF($A176&lt;COUNTIFS($K$1:O$1,"&lt;&gt;"),0,SUMIFS($J:$J,$B:$B,$B176,$A:$A,"&gt;="&amp;COUNTIFS($K$1:O$1,"&lt;&gt;"))),0)</f>
        <v>0.13537117903930135</v>
      </c>
      <c r="P176">
        <f>IFERROR($J176/IF($A176&lt;COUNTIFS($K$1:P$1,"&lt;&gt;"),0,SUMIFS($J:$J,$B:$B,$B176,$A:$A,"&gt;="&amp;COUNTIFS($K$1:P$1,"&lt;&gt;"))),0)</f>
        <v>0</v>
      </c>
      <c r="Q176">
        <f>IFERROR($J176/IF($A176&lt;COUNTIFS($K$1:Q$1,"&lt;&gt;"),0,SUMIFS($J:$J,$B:$B,$B176,$A:$A,"&gt;="&amp;COUNTIFS($K$1:Q$1,"&lt;&gt;"))),0)</f>
        <v>0</v>
      </c>
      <c r="R176">
        <f>IFERROR($J176/IF($A176&lt;COUNTIFS($K$1:R$1,"&lt;&gt;"),0,SUMIFS($J:$J,$B:$B,$B176,$A:$A,"&gt;="&amp;COUNTIFS($K$1:R$1,"&lt;&gt;"))),0)</f>
        <v>0</v>
      </c>
      <c r="S176">
        <f>IFERROR($J176/IF($A176&lt;COUNTIFS($K$1:S$1,"&lt;&gt;"),0,SUMIFS($J:$J,$B:$B,$B176,$A:$A,"&gt;="&amp;COUNTIFS($K$1:S$1,"&lt;&gt;"))),0)</f>
        <v>0</v>
      </c>
      <c r="T176">
        <f>IFERROR($J176/IF($A176&lt;COUNTIFS($K$1:T$1,"&lt;&gt;"),0,SUMIFS($J:$J,$B:$B,$B176,$A:$A,"&gt;="&amp;COUNTIFS($K$1:T$1,"&lt;&gt;"))),0)</f>
        <v>0</v>
      </c>
      <c r="U176">
        <f>IFERROR($J176/IF($A176&lt;COUNTIFS($K$1:U$1,"&lt;&gt;"),0,SUMIFS($J:$J,$B:$B,$B176,$A:$A,"&gt;="&amp;COUNTIFS($K$1:U$1,"&lt;&gt;"))),0)</f>
        <v>0</v>
      </c>
      <c r="V176">
        <f>IFERROR($J176/IF($A176&lt;COUNTIFS($K$1:V$1,"&lt;&gt;"),0,SUMIFS($J:$J,$B:$B,$B176,$A:$A,"&gt;="&amp;COUNTIFS($K$1:V$1,"&lt;&gt;"))),0)</f>
        <v>0</v>
      </c>
      <c r="W176">
        <f t="shared" si="68"/>
        <v>8.4931506849315067E-2</v>
      </c>
      <c r="X176">
        <f t="shared" si="48"/>
        <v>8.4931506849315067E-2</v>
      </c>
      <c r="Y176">
        <f t="shared" si="49"/>
        <v>8.4931506849315067E-2</v>
      </c>
      <c r="Z176">
        <f t="shared" si="50"/>
        <v>8.4931506849315067E-2</v>
      </c>
      <c r="AA176">
        <f t="shared" si="51"/>
        <v>8.4931506849315067E-2</v>
      </c>
      <c r="AB176">
        <f t="shared" si="52"/>
        <v>8.4931506849315067E-2</v>
      </c>
      <c r="AC176">
        <f t="shared" si="53"/>
        <v>0</v>
      </c>
      <c r="AD176">
        <f t="shared" si="54"/>
        <v>0</v>
      </c>
      <c r="AE176">
        <f t="shared" si="55"/>
        <v>0</v>
      </c>
      <c r="AF176">
        <f t="shared" si="56"/>
        <v>0</v>
      </c>
      <c r="AG176">
        <f t="shared" si="57"/>
        <v>0</v>
      </c>
      <c r="AH176">
        <f t="shared" si="58"/>
        <v>0</v>
      </c>
      <c r="AI176">
        <f t="shared" si="59"/>
        <v>0</v>
      </c>
      <c r="AJ176" s="2" t="str">
        <f t="shared" si="69"/>
        <v>544228</v>
      </c>
    </row>
    <row r="177" spans="1:36" x14ac:dyDescent="0.25">
      <c r="A177">
        <v>6</v>
      </c>
      <c r="B177" s="1">
        <v>44228</v>
      </c>
      <c r="C177" s="1">
        <f t="shared" si="60"/>
        <v>44409</v>
      </c>
      <c r="D177" s="1">
        <f t="shared" si="61"/>
        <v>44242</v>
      </c>
      <c r="E177" s="1">
        <f t="shared" si="62"/>
        <v>44409</v>
      </c>
      <c r="F177" s="1">
        <f t="shared" si="63"/>
        <v>44440</v>
      </c>
      <c r="G177" s="1">
        <f t="shared" si="64"/>
        <v>44607</v>
      </c>
      <c r="H177">
        <f t="shared" si="65"/>
        <v>365</v>
      </c>
      <c r="I177">
        <f t="shared" si="66"/>
        <v>31</v>
      </c>
      <c r="J177">
        <f t="shared" si="67"/>
        <v>8.4931506849315067E-2</v>
      </c>
      <c r="K177">
        <f>IFERROR($J177/IF($A177&lt;COUNTIFS($K$1:K$1,"&lt;&gt;"),0,SUMIFS($J:$J,$B:$B,$B177,$A:$A,"&gt;="&amp;COUNTIFS($K$1:K$1,"&lt;&gt;"))),0)</f>
        <v>8.8319088319088329E-2</v>
      </c>
      <c r="L177">
        <f>IFERROR($J177/IF($A177&lt;COUNTIFS($K$1:L$1,"&lt;&gt;"),0,SUMIFS($J:$J,$B:$B,$B177,$A:$A,"&gt;="&amp;COUNTIFS($K$1:L$1,"&lt;&gt;"))),0)</f>
        <v>9.6875000000000017E-2</v>
      </c>
      <c r="M177">
        <f>IFERROR($J177/IF($A177&lt;COUNTIFS($K$1:M$1,"&lt;&gt;"),0,SUMIFS($J:$J,$B:$B,$B177,$A:$A,"&gt;="&amp;COUNTIFS($K$1:M$1,"&lt;&gt;"))),0)</f>
        <v>0.10689655172413795</v>
      </c>
      <c r="N177">
        <f>IFERROR($J177/IF($A177&lt;COUNTIFS($K$1:N$1,"&lt;&gt;"),0,SUMIFS($J:$J,$B:$B,$B177,$A:$A,"&gt;="&amp;COUNTIFS($K$1:N$1,"&lt;&gt;"))),0)</f>
        <v>0.11969111969111972</v>
      </c>
      <c r="O177">
        <f>IFERROR($J177/IF($A177&lt;COUNTIFS($K$1:O$1,"&lt;&gt;"),0,SUMIFS($J:$J,$B:$B,$B177,$A:$A,"&gt;="&amp;COUNTIFS($K$1:O$1,"&lt;&gt;"))),0)</f>
        <v>0.13537117903930135</v>
      </c>
      <c r="P177">
        <f>IFERROR($J177/IF($A177&lt;COUNTIFS($K$1:P$1,"&lt;&gt;"),0,SUMIFS($J:$J,$B:$B,$B177,$A:$A,"&gt;="&amp;COUNTIFS($K$1:P$1,"&lt;&gt;"))),0)</f>
        <v>0.1565656565656566</v>
      </c>
      <c r="Q177">
        <f>IFERROR($J177/IF($A177&lt;COUNTIFS($K$1:Q$1,"&lt;&gt;"),0,SUMIFS($J:$J,$B:$B,$B177,$A:$A,"&gt;="&amp;COUNTIFS($K$1:Q$1,"&lt;&gt;"))),0)</f>
        <v>0</v>
      </c>
      <c r="R177">
        <f>IFERROR($J177/IF($A177&lt;COUNTIFS($K$1:R$1,"&lt;&gt;"),0,SUMIFS($J:$J,$B:$B,$B177,$A:$A,"&gt;="&amp;COUNTIFS($K$1:R$1,"&lt;&gt;"))),0)</f>
        <v>0</v>
      </c>
      <c r="S177">
        <f>IFERROR($J177/IF($A177&lt;COUNTIFS($K$1:S$1,"&lt;&gt;"),0,SUMIFS($J:$J,$B:$B,$B177,$A:$A,"&gt;="&amp;COUNTIFS($K$1:S$1,"&lt;&gt;"))),0)</f>
        <v>0</v>
      </c>
      <c r="T177">
        <f>IFERROR($J177/IF($A177&lt;COUNTIFS($K$1:T$1,"&lt;&gt;"),0,SUMIFS($J:$J,$B:$B,$B177,$A:$A,"&gt;="&amp;COUNTIFS($K$1:T$1,"&lt;&gt;"))),0)</f>
        <v>0</v>
      </c>
      <c r="U177">
        <f>IFERROR($J177/IF($A177&lt;COUNTIFS($K$1:U$1,"&lt;&gt;"),0,SUMIFS($J:$J,$B:$B,$B177,$A:$A,"&gt;="&amp;COUNTIFS($K$1:U$1,"&lt;&gt;"))),0)</f>
        <v>0</v>
      </c>
      <c r="V177">
        <f>IFERROR($J177/IF($A177&lt;COUNTIFS($K$1:V$1,"&lt;&gt;"),0,SUMIFS($J:$J,$B:$B,$B177,$A:$A,"&gt;="&amp;COUNTIFS($K$1:V$1,"&lt;&gt;"))),0)</f>
        <v>0</v>
      </c>
      <c r="W177">
        <f t="shared" si="68"/>
        <v>8.4931506849315067E-2</v>
      </c>
      <c r="X177">
        <f t="shared" si="48"/>
        <v>8.4931506849315067E-2</v>
      </c>
      <c r="Y177">
        <f t="shared" si="49"/>
        <v>8.4931506849315067E-2</v>
      </c>
      <c r="Z177">
        <f t="shared" si="50"/>
        <v>8.4931506849315067E-2</v>
      </c>
      <c r="AA177">
        <f t="shared" si="51"/>
        <v>8.4931506849315067E-2</v>
      </c>
      <c r="AB177">
        <f t="shared" si="52"/>
        <v>8.4931506849315067E-2</v>
      </c>
      <c r="AC177">
        <f t="shared" si="53"/>
        <v>8.4931506849315067E-2</v>
      </c>
      <c r="AD177">
        <f t="shared" si="54"/>
        <v>0</v>
      </c>
      <c r="AE177">
        <f t="shared" si="55"/>
        <v>0</v>
      </c>
      <c r="AF177">
        <f t="shared" si="56"/>
        <v>0</v>
      </c>
      <c r="AG177">
        <f t="shared" si="57"/>
        <v>0</v>
      </c>
      <c r="AH177">
        <f t="shared" si="58"/>
        <v>0</v>
      </c>
      <c r="AI177">
        <f t="shared" si="59"/>
        <v>0</v>
      </c>
      <c r="AJ177" s="2" t="str">
        <f t="shared" si="69"/>
        <v>644228</v>
      </c>
    </row>
    <row r="178" spans="1:36" x14ac:dyDescent="0.25">
      <c r="A178">
        <v>7</v>
      </c>
      <c r="B178" s="1">
        <v>44228</v>
      </c>
      <c r="C178" s="1">
        <f t="shared" si="60"/>
        <v>44440</v>
      </c>
      <c r="D178" s="1">
        <f t="shared" si="61"/>
        <v>44242</v>
      </c>
      <c r="E178" s="1">
        <f t="shared" si="62"/>
        <v>44440</v>
      </c>
      <c r="F178" s="1">
        <f t="shared" si="63"/>
        <v>44470</v>
      </c>
      <c r="G178" s="1">
        <f t="shared" si="64"/>
        <v>44607</v>
      </c>
      <c r="H178">
        <f t="shared" si="65"/>
        <v>365</v>
      </c>
      <c r="I178">
        <f t="shared" si="66"/>
        <v>30</v>
      </c>
      <c r="J178">
        <f t="shared" si="67"/>
        <v>8.2191780821917804E-2</v>
      </c>
      <c r="K178">
        <f>IFERROR($J178/IF($A178&lt;COUNTIFS($K$1:K$1,"&lt;&gt;"),0,SUMIFS($J:$J,$B:$B,$B178,$A:$A,"&gt;="&amp;COUNTIFS($K$1:K$1,"&lt;&gt;"))),0)</f>
        <v>8.5470085470085486E-2</v>
      </c>
      <c r="L178">
        <f>IFERROR($J178/IF($A178&lt;COUNTIFS($K$1:L$1,"&lt;&gt;"),0,SUMIFS($J:$J,$B:$B,$B178,$A:$A,"&gt;="&amp;COUNTIFS($K$1:L$1,"&lt;&gt;"))),0)</f>
        <v>9.3750000000000014E-2</v>
      </c>
      <c r="M178">
        <f>IFERROR($J178/IF($A178&lt;COUNTIFS($K$1:M$1,"&lt;&gt;"),0,SUMIFS($J:$J,$B:$B,$B178,$A:$A,"&gt;="&amp;COUNTIFS($K$1:M$1,"&lt;&gt;"))),0)</f>
        <v>0.10344827586206898</v>
      </c>
      <c r="N178">
        <f>IFERROR($J178/IF($A178&lt;COUNTIFS($K$1:N$1,"&lt;&gt;"),0,SUMIFS($J:$J,$B:$B,$B178,$A:$A,"&gt;="&amp;COUNTIFS($K$1:N$1,"&lt;&gt;"))),0)</f>
        <v>0.11583011583011585</v>
      </c>
      <c r="O178">
        <f>IFERROR($J178/IF($A178&lt;COUNTIFS($K$1:O$1,"&lt;&gt;"),0,SUMIFS($J:$J,$B:$B,$B178,$A:$A,"&gt;="&amp;COUNTIFS($K$1:O$1,"&lt;&gt;"))),0)</f>
        <v>0.1310043668122271</v>
      </c>
      <c r="P178">
        <f>IFERROR($J178/IF($A178&lt;COUNTIFS($K$1:P$1,"&lt;&gt;"),0,SUMIFS($J:$J,$B:$B,$B178,$A:$A,"&gt;="&amp;COUNTIFS($K$1:P$1,"&lt;&gt;"))),0)</f>
        <v>0.15151515151515155</v>
      </c>
      <c r="Q178">
        <f>IFERROR($J178/IF($A178&lt;COUNTIFS($K$1:Q$1,"&lt;&gt;"),0,SUMIFS($J:$J,$B:$B,$B178,$A:$A,"&gt;="&amp;COUNTIFS($K$1:Q$1,"&lt;&gt;"))),0)</f>
        <v>0.17964071856287425</v>
      </c>
      <c r="R178">
        <f>IFERROR($J178/IF($A178&lt;COUNTIFS($K$1:R$1,"&lt;&gt;"),0,SUMIFS($J:$J,$B:$B,$B178,$A:$A,"&gt;="&amp;COUNTIFS($K$1:R$1,"&lt;&gt;"))),0)</f>
        <v>0</v>
      </c>
      <c r="S178">
        <f>IFERROR($J178/IF($A178&lt;COUNTIFS($K$1:S$1,"&lt;&gt;"),0,SUMIFS($J:$J,$B:$B,$B178,$A:$A,"&gt;="&amp;COUNTIFS($K$1:S$1,"&lt;&gt;"))),0)</f>
        <v>0</v>
      </c>
      <c r="T178">
        <f>IFERROR($J178/IF($A178&lt;COUNTIFS($K$1:T$1,"&lt;&gt;"),0,SUMIFS($J:$J,$B:$B,$B178,$A:$A,"&gt;="&amp;COUNTIFS($K$1:T$1,"&lt;&gt;"))),0)</f>
        <v>0</v>
      </c>
      <c r="U178">
        <f>IFERROR($J178/IF($A178&lt;COUNTIFS($K$1:U$1,"&lt;&gt;"),0,SUMIFS($J:$J,$B:$B,$B178,$A:$A,"&gt;="&amp;COUNTIFS($K$1:U$1,"&lt;&gt;"))),0)</f>
        <v>0</v>
      </c>
      <c r="V178">
        <f>IFERROR($J178/IF($A178&lt;COUNTIFS($K$1:V$1,"&lt;&gt;"),0,SUMIFS($J:$J,$B:$B,$B178,$A:$A,"&gt;="&amp;COUNTIFS($K$1:V$1,"&lt;&gt;"))),0)</f>
        <v>0</v>
      </c>
      <c r="W178">
        <f t="shared" si="68"/>
        <v>8.2191780821917804E-2</v>
      </c>
      <c r="X178">
        <f t="shared" si="48"/>
        <v>8.2191780821917804E-2</v>
      </c>
      <c r="Y178">
        <f t="shared" si="49"/>
        <v>8.2191780821917804E-2</v>
      </c>
      <c r="Z178">
        <f t="shared" si="50"/>
        <v>8.2191780821917804E-2</v>
      </c>
      <c r="AA178">
        <f t="shared" si="51"/>
        <v>8.2191780821917804E-2</v>
      </c>
      <c r="AB178">
        <f t="shared" si="52"/>
        <v>8.2191780821917804E-2</v>
      </c>
      <c r="AC178">
        <f t="shared" si="53"/>
        <v>8.2191780821917804E-2</v>
      </c>
      <c r="AD178">
        <f t="shared" si="54"/>
        <v>8.2191780821917804E-2</v>
      </c>
      <c r="AE178">
        <f t="shared" si="55"/>
        <v>0</v>
      </c>
      <c r="AF178">
        <f t="shared" si="56"/>
        <v>0</v>
      </c>
      <c r="AG178">
        <f t="shared" si="57"/>
        <v>0</v>
      </c>
      <c r="AH178">
        <f t="shared" si="58"/>
        <v>0</v>
      </c>
      <c r="AI178">
        <f t="shared" si="59"/>
        <v>0</v>
      </c>
      <c r="AJ178" s="2" t="str">
        <f t="shared" si="69"/>
        <v>744228</v>
      </c>
    </row>
    <row r="179" spans="1:36" x14ac:dyDescent="0.25">
      <c r="A179">
        <v>8</v>
      </c>
      <c r="B179" s="1">
        <v>44228</v>
      </c>
      <c r="C179" s="1">
        <f t="shared" si="60"/>
        <v>44470</v>
      </c>
      <c r="D179" s="1">
        <f t="shared" si="61"/>
        <v>44242</v>
      </c>
      <c r="E179" s="1">
        <f t="shared" si="62"/>
        <v>44470</v>
      </c>
      <c r="F179" s="1">
        <f t="shared" si="63"/>
        <v>44501</v>
      </c>
      <c r="G179" s="1">
        <f t="shared" si="64"/>
        <v>44607</v>
      </c>
      <c r="H179">
        <f t="shared" si="65"/>
        <v>365</v>
      </c>
      <c r="I179">
        <f t="shared" si="66"/>
        <v>31</v>
      </c>
      <c r="J179">
        <f t="shared" si="67"/>
        <v>8.4931506849315067E-2</v>
      </c>
      <c r="K179">
        <f>IFERROR($J179/IF($A179&lt;COUNTIFS($K$1:K$1,"&lt;&gt;"),0,SUMIFS($J:$J,$B:$B,$B179,$A:$A,"&gt;="&amp;COUNTIFS($K$1:K$1,"&lt;&gt;"))),0)</f>
        <v>8.8319088319088329E-2</v>
      </c>
      <c r="L179">
        <f>IFERROR($J179/IF($A179&lt;COUNTIFS($K$1:L$1,"&lt;&gt;"),0,SUMIFS($J:$J,$B:$B,$B179,$A:$A,"&gt;="&amp;COUNTIFS($K$1:L$1,"&lt;&gt;"))),0)</f>
        <v>9.6875000000000017E-2</v>
      </c>
      <c r="M179">
        <f>IFERROR($J179/IF($A179&lt;COUNTIFS($K$1:M$1,"&lt;&gt;"),0,SUMIFS($J:$J,$B:$B,$B179,$A:$A,"&gt;="&amp;COUNTIFS($K$1:M$1,"&lt;&gt;"))),0)</f>
        <v>0.10689655172413795</v>
      </c>
      <c r="N179">
        <f>IFERROR($J179/IF($A179&lt;COUNTIFS($K$1:N$1,"&lt;&gt;"),0,SUMIFS($J:$J,$B:$B,$B179,$A:$A,"&gt;="&amp;COUNTIFS($K$1:N$1,"&lt;&gt;"))),0)</f>
        <v>0.11969111969111972</v>
      </c>
      <c r="O179">
        <f>IFERROR($J179/IF($A179&lt;COUNTIFS($K$1:O$1,"&lt;&gt;"),0,SUMIFS($J:$J,$B:$B,$B179,$A:$A,"&gt;="&amp;COUNTIFS($K$1:O$1,"&lt;&gt;"))),0)</f>
        <v>0.13537117903930135</v>
      </c>
      <c r="P179">
        <f>IFERROR($J179/IF($A179&lt;COUNTIFS($K$1:P$1,"&lt;&gt;"),0,SUMIFS($J:$J,$B:$B,$B179,$A:$A,"&gt;="&amp;COUNTIFS($K$1:P$1,"&lt;&gt;"))),0)</f>
        <v>0.1565656565656566</v>
      </c>
      <c r="Q179">
        <f>IFERROR($J179/IF($A179&lt;COUNTIFS($K$1:Q$1,"&lt;&gt;"),0,SUMIFS($J:$J,$B:$B,$B179,$A:$A,"&gt;="&amp;COUNTIFS($K$1:Q$1,"&lt;&gt;"))),0)</f>
        <v>0.18562874251497008</v>
      </c>
      <c r="R179">
        <f>IFERROR($J179/IF($A179&lt;COUNTIFS($K$1:R$1,"&lt;&gt;"),0,SUMIFS($J:$J,$B:$B,$B179,$A:$A,"&gt;="&amp;COUNTIFS($K$1:R$1,"&lt;&gt;"))),0)</f>
        <v>0.22627737226277375</v>
      </c>
      <c r="S179">
        <f>IFERROR($J179/IF($A179&lt;COUNTIFS($K$1:S$1,"&lt;&gt;"),0,SUMIFS($J:$J,$B:$B,$B179,$A:$A,"&gt;="&amp;COUNTIFS($K$1:S$1,"&lt;&gt;"))),0)</f>
        <v>0</v>
      </c>
      <c r="T179">
        <f>IFERROR($J179/IF($A179&lt;COUNTIFS($K$1:T$1,"&lt;&gt;"),0,SUMIFS($J:$J,$B:$B,$B179,$A:$A,"&gt;="&amp;COUNTIFS($K$1:T$1,"&lt;&gt;"))),0)</f>
        <v>0</v>
      </c>
      <c r="U179">
        <f>IFERROR($J179/IF($A179&lt;COUNTIFS($K$1:U$1,"&lt;&gt;"),0,SUMIFS($J:$J,$B:$B,$B179,$A:$A,"&gt;="&amp;COUNTIFS($K$1:U$1,"&lt;&gt;"))),0)</f>
        <v>0</v>
      </c>
      <c r="V179">
        <f>IFERROR($J179/IF($A179&lt;COUNTIFS($K$1:V$1,"&lt;&gt;"),0,SUMIFS($J:$J,$B:$B,$B179,$A:$A,"&gt;="&amp;COUNTIFS($K$1:V$1,"&lt;&gt;"))),0)</f>
        <v>0</v>
      </c>
      <c r="W179">
        <f t="shared" si="68"/>
        <v>8.4931506849315067E-2</v>
      </c>
      <c r="X179">
        <f t="shared" si="48"/>
        <v>8.4931506849315067E-2</v>
      </c>
      <c r="Y179">
        <f t="shared" si="49"/>
        <v>8.4931506849315067E-2</v>
      </c>
      <c r="Z179">
        <f t="shared" si="50"/>
        <v>8.4931506849315067E-2</v>
      </c>
      <c r="AA179">
        <f t="shared" si="51"/>
        <v>8.4931506849315067E-2</v>
      </c>
      <c r="AB179">
        <f t="shared" si="52"/>
        <v>8.4931506849315067E-2</v>
      </c>
      <c r="AC179">
        <f t="shared" si="53"/>
        <v>8.4931506849315067E-2</v>
      </c>
      <c r="AD179">
        <f t="shared" si="54"/>
        <v>8.4931506849315067E-2</v>
      </c>
      <c r="AE179">
        <f t="shared" si="55"/>
        <v>8.4931506849315067E-2</v>
      </c>
      <c r="AF179">
        <f t="shared" si="56"/>
        <v>0</v>
      </c>
      <c r="AG179">
        <f t="shared" si="57"/>
        <v>0</v>
      </c>
      <c r="AH179">
        <f t="shared" si="58"/>
        <v>0</v>
      </c>
      <c r="AI179">
        <f t="shared" si="59"/>
        <v>0</v>
      </c>
      <c r="AJ179" s="2" t="str">
        <f t="shared" si="69"/>
        <v>844228</v>
      </c>
    </row>
    <row r="180" spans="1:36" x14ac:dyDescent="0.25">
      <c r="A180">
        <v>9</v>
      </c>
      <c r="B180" s="1">
        <v>44228</v>
      </c>
      <c r="C180" s="1">
        <f t="shared" si="60"/>
        <v>44501</v>
      </c>
      <c r="D180" s="1">
        <f t="shared" si="61"/>
        <v>44242</v>
      </c>
      <c r="E180" s="1">
        <f t="shared" si="62"/>
        <v>44501</v>
      </c>
      <c r="F180" s="1">
        <f t="shared" si="63"/>
        <v>44531</v>
      </c>
      <c r="G180" s="1">
        <f t="shared" si="64"/>
        <v>44607</v>
      </c>
      <c r="H180">
        <f t="shared" si="65"/>
        <v>365</v>
      </c>
      <c r="I180">
        <f t="shared" si="66"/>
        <v>30</v>
      </c>
      <c r="J180">
        <f t="shared" si="67"/>
        <v>8.2191780821917804E-2</v>
      </c>
      <c r="K180">
        <f>IFERROR($J180/IF($A180&lt;COUNTIFS($K$1:K$1,"&lt;&gt;"),0,SUMIFS($J:$J,$B:$B,$B180,$A:$A,"&gt;="&amp;COUNTIFS($K$1:K$1,"&lt;&gt;"))),0)</f>
        <v>8.5470085470085486E-2</v>
      </c>
      <c r="L180">
        <f>IFERROR($J180/IF($A180&lt;COUNTIFS($K$1:L$1,"&lt;&gt;"),0,SUMIFS($J:$J,$B:$B,$B180,$A:$A,"&gt;="&amp;COUNTIFS($K$1:L$1,"&lt;&gt;"))),0)</f>
        <v>9.3750000000000014E-2</v>
      </c>
      <c r="M180">
        <f>IFERROR($J180/IF($A180&lt;COUNTIFS($K$1:M$1,"&lt;&gt;"),0,SUMIFS($J:$J,$B:$B,$B180,$A:$A,"&gt;="&amp;COUNTIFS($K$1:M$1,"&lt;&gt;"))),0)</f>
        <v>0.10344827586206898</v>
      </c>
      <c r="N180">
        <f>IFERROR($J180/IF($A180&lt;COUNTIFS($K$1:N$1,"&lt;&gt;"),0,SUMIFS($J:$J,$B:$B,$B180,$A:$A,"&gt;="&amp;COUNTIFS($K$1:N$1,"&lt;&gt;"))),0)</f>
        <v>0.11583011583011585</v>
      </c>
      <c r="O180">
        <f>IFERROR($J180/IF($A180&lt;COUNTIFS($K$1:O$1,"&lt;&gt;"),0,SUMIFS($J:$J,$B:$B,$B180,$A:$A,"&gt;="&amp;COUNTIFS($K$1:O$1,"&lt;&gt;"))),0)</f>
        <v>0.1310043668122271</v>
      </c>
      <c r="P180">
        <f>IFERROR($J180/IF($A180&lt;COUNTIFS($K$1:P$1,"&lt;&gt;"),0,SUMIFS($J:$J,$B:$B,$B180,$A:$A,"&gt;="&amp;COUNTIFS($K$1:P$1,"&lt;&gt;"))),0)</f>
        <v>0.15151515151515155</v>
      </c>
      <c r="Q180">
        <f>IFERROR($J180/IF($A180&lt;COUNTIFS($K$1:Q$1,"&lt;&gt;"),0,SUMIFS($J:$J,$B:$B,$B180,$A:$A,"&gt;="&amp;COUNTIFS($K$1:Q$1,"&lt;&gt;"))),0)</f>
        <v>0.17964071856287425</v>
      </c>
      <c r="R180">
        <f>IFERROR($J180/IF($A180&lt;COUNTIFS($K$1:R$1,"&lt;&gt;"),0,SUMIFS($J:$J,$B:$B,$B180,$A:$A,"&gt;="&amp;COUNTIFS($K$1:R$1,"&lt;&gt;"))),0)</f>
        <v>0.21897810218978103</v>
      </c>
      <c r="S180">
        <f>IFERROR($J180/IF($A180&lt;COUNTIFS($K$1:S$1,"&lt;&gt;"),0,SUMIFS($J:$J,$B:$B,$B180,$A:$A,"&gt;="&amp;COUNTIFS($K$1:S$1,"&lt;&gt;"))),0)</f>
        <v>0.28301886792452829</v>
      </c>
      <c r="T180">
        <f>IFERROR($J180/IF($A180&lt;COUNTIFS($K$1:T$1,"&lt;&gt;"),0,SUMIFS($J:$J,$B:$B,$B180,$A:$A,"&gt;="&amp;COUNTIFS($K$1:T$1,"&lt;&gt;"))),0)</f>
        <v>0</v>
      </c>
      <c r="U180">
        <f>IFERROR($J180/IF($A180&lt;COUNTIFS($K$1:U$1,"&lt;&gt;"),0,SUMIFS($J:$J,$B:$B,$B180,$A:$A,"&gt;="&amp;COUNTIFS($K$1:U$1,"&lt;&gt;"))),0)</f>
        <v>0</v>
      </c>
      <c r="V180">
        <f>IFERROR($J180/IF($A180&lt;COUNTIFS($K$1:V$1,"&lt;&gt;"),0,SUMIFS($J:$J,$B:$B,$B180,$A:$A,"&gt;="&amp;COUNTIFS($K$1:V$1,"&lt;&gt;"))),0)</f>
        <v>0</v>
      </c>
      <c r="W180">
        <f t="shared" si="68"/>
        <v>8.2191780821917804E-2</v>
      </c>
      <c r="X180">
        <f t="shared" si="48"/>
        <v>8.2191780821917804E-2</v>
      </c>
      <c r="Y180">
        <f t="shared" si="49"/>
        <v>8.2191780821917804E-2</v>
      </c>
      <c r="Z180">
        <f t="shared" si="50"/>
        <v>8.2191780821917804E-2</v>
      </c>
      <c r="AA180">
        <f t="shared" si="51"/>
        <v>8.2191780821917804E-2</v>
      </c>
      <c r="AB180">
        <f t="shared" si="52"/>
        <v>8.2191780821917804E-2</v>
      </c>
      <c r="AC180">
        <f t="shared" si="53"/>
        <v>8.2191780821917804E-2</v>
      </c>
      <c r="AD180">
        <f t="shared" si="54"/>
        <v>8.2191780821917804E-2</v>
      </c>
      <c r="AE180">
        <f t="shared" si="55"/>
        <v>8.2191780821917804E-2</v>
      </c>
      <c r="AF180">
        <f t="shared" si="56"/>
        <v>8.2191780821917804E-2</v>
      </c>
      <c r="AG180">
        <f t="shared" si="57"/>
        <v>0</v>
      </c>
      <c r="AH180">
        <f t="shared" si="58"/>
        <v>0</v>
      </c>
      <c r="AI180">
        <f t="shared" si="59"/>
        <v>0</v>
      </c>
      <c r="AJ180" s="2" t="str">
        <f t="shared" si="69"/>
        <v>944228</v>
      </c>
    </row>
    <row r="181" spans="1:36" x14ac:dyDescent="0.25">
      <c r="A181">
        <v>10</v>
      </c>
      <c r="B181" s="1">
        <v>44228</v>
      </c>
      <c r="C181" s="1">
        <f t="shared" si="60"/>
        <v>44531</v>
      </c>
      <c r="D181" s="1">
        <f t="shared" si="61"/>
        <v>44242</v>
      </c>
      <c r="E181" s="1">
        <f t="shared" si="62"/>
        <v>44531</v>
      </c>
      <c r="F181" s="1">
        <f t="shared" si="63"/>
        <v>44562</v>
      </c>
      <c r="G181" s="1">
        <f t="shared" si="64"/>
        <v>44607</v>
      </c>
      <c r="H181">
        <f t="shared" si="65"/>
        <v>365</v>
      </c>
      <c r="I181">
        <f t="shared" si="66"/>
        <v>31</v>
      </c>
      <c r="J181">
        <f t="shared" si="67"/>
        <v>8.4931506849315067E-2</v>
      </c>
      <c r="K181">
        <f>IFERROR($J181/IF($A181&lt;COUNTIFS($K$1:K$1,"&lt;&gt;"),0,SUMIFS($J:$J,$B:$B,$B181,$A:$A,"&gt;="&amp;COUNTIFS($K$1:K$1,"&lt;&gt;"))),0)</f>
        <v>8.8319088319088329E-2</v>
      </c>
      <c r="L181">
        <f>IFERROR($J181/IF($A181&lt;COUNTIFS($K$1:L$1,"&lt;&gt;"),0,SUMIFS($J:$J,$B:$B,$B181,$A:$A,"&gt;="&amp;COUNTIFS($K$1:L$1,"&lt;&gt;"))),0)</f>
        <v>9.6875000000000017E-2</v>
      </c>
      <c r="M181">
        <f>IFERROR($J181/IF($A181&lt;COUNTIFS($K$1:M$1,"&lt;&gt;"),0,SUMIFS($J:$J,$B:$B,$B181,$A:$A,"&gt;="&amp;COUNTIFS($K$1:M$1,"&lt;&gt;"))),0)</f>
        <v>0.10689655172413795</v>
      </c>
      <c r="N181">
        <f>IFERROR($J181/IF($A181&lt;COUNTIFS($K$1:N$1,"&lt;&gt;"),0,SUMIFS($J:$J,$B:$B,$B181,$A:$A,"&gt;="&amp;COUNTIFS($K$1:N$1,"&lt;&gt;"))),0)</f>
        <v>0.11969111969111972</v>
      </c>
      <c r="O181">
        <f>IFERROR($J181/IF($A181&lt;COUNTIFS($K$1:O$1,"&lt;&gt;"),0,SUMIFS($J:$J,$B:$B,$B181,$A:$A,"&gt;="&amp;COUNTIFS($K$1:O$1,"&lt;&gt;"))),0)</f>
        <v>0.13537117903930135</v>
      </c>
      <c r="P181">
        <f>IFERROR($J181/IF($A181&lt;COUNTIFS($K$1:P$1,"&lt;&gt;"),0,SUMIFS($J:$J,$B:$B,$B181,$A:$A,"&gt;="&amp;COUNTIFS($K$1:P$1,"&lt;&gt;"))),0)</f>
        <v>0.1565656565656566</v>
      </c>
      <c r="Q181">
        <f>IFERROR($J181/IF($A181&lt;COUNTIFS($K$1:Q$1,"&lt;&gt;"),0,SUMIFS($J:$J,$B:$B,$B181,$A:$A,"&gt;="&amp;COUNTIFS($K$1:Q$1,"&lt;&gt;"))),0)</f>
        <v>0.18562874251497008</v>
      </c>
      <c r="R181">
        <f>IFERROR($J181/IF($A181&lt;COUNTIFS($K$1:R$1,"&lt;&gt;"),0,SUMIFS($J:$J,$B:$B,$B181,$A:$A,"&gt;="&amp;COUNTIFS($K$1:R$1,"&lt;&gt;"))),0)</f>
        <v>0.22627737226277375</v>
      </c>
      <c r="S181">
        <f>IFERROR($J181/IF($A181&lt;COUNTIFS($K$1:S$1,"&lt;&gt;"),0,SUMIFS($J:$J,$B:$B,$B181,$A:$A,"&gt;="&amp;COUNTIFS($K$1:S$1,"&lt;&gt;"))),0)</f>
        <v>0.29245283018867929</v>
      </c>
      <c r="T181">
        <f>IFERROR($J181/IF($A181&lt;COUNTIFS($K$1:T$1,"&lt;&gt;"),0,SUMIFS($J:$J,$B:$B,$B181,$A:$A,"&gt;="&amp;COUNTIFS($K$1:T$1,"&lt;&gt;"))),0)</f>
        <v>0.40789473684210525</v>
      </c>
      <c r="U181">
        <f>IFERROR($J181/IF($A181&lt;COUNTIFS($K$1:U$1,"&lt;&gt;"),0,SUMIFS($J:$J,$B:$B,$B181,$A:$A,"&gt;="&amp;COUNTIFS($K$1:U$1,"&lt;&gt;"))),0)</f>
        <v>0</v>
      </c>
      <c r="V181">
        <f>IFERROR($J181/IF($A181&lt;COUNTIFS($K$1:V$1,"&lt;&gt;"),0,SUMIFS($J:$J,$B:$B,$B181,$A:$A,"&gt;="&amp;COUNTIFS($K$1:V$1,"&lt;&gt;"))),0)</f>
        <v>0</v>
      </c>
      <c r="W181">
        <f t="shared" si="68"/>
        <v>8.4931506849315067E-2</v>
      </c>
      <c r="X181">
        <f t="shared" si="48"/>
        <v>8.4931506849315067E-2</v>
      </c>
      <c r="Y181">
        <f t="shared" si="49"/>
        <v>8.4931506849315067E-2</v>
      </c>
      <c r="Z181">
        <f t="shared" si="50"/>
        <v>8.4931506849315067E-2</v>
      </c>
      <c r="AA181">
        <f t="shared" si="51"/>
        <v>8.4931506849315067E-2</v>
      </c>
      <c r="AB181">
        <f t="shared" si="52"/>
        <v>8.4931506849315067E-2</v>
      </c>
      <c r="AC181">
        <f t="shared" si="53"/>
        <v>8.4931506849315067E-2</v>
      </c>
      <c r="AD181">
        <f t="shared" si="54"/>
        <v>8.4931506849315067E-2</v>
      </c>
      <c r="AE181">
        <f t="shared" si="55"/>
        <v>8.4931506849315067E-2</v>
      </c>
      <c r="AF181">
        <f t="shared" si="56"/>
        <v>8.4931506849315067E-2</v>
      </c>
      <c r="AG181">
        <f t="shared" si="57"/>
        <v>8.4931506849315067E-2</v>
      </c>
      <c r="AH181">
        <f t="shared" si="58"/>
        <v>0</v>
      </c>
      <c r="AI181">
        <f t="shared" si="59"/>
        <v>0</v>
      </c>
      <c r="AJ181" s="2" t="str">
        <f t="shared" si="69"/>
        <v>1044228</v>
      </c>
    </row>
    <row r="182" spans="1:36" x14ac:dyDescent="0.25">
      <c r="A182">
        <v>11</v>
      </c>
      <c r="B182" s="1">
        <v>44228</v>
      </c>
      <c r="C182" s="1">
        <f t="shared" si="60"/>
        <v>44562</v>
      </c>
      <c r="D182" s="1">
        <f t="shared" si="61"/>
        <v>44242</v>
      </c>
      <c r="E182" s="1">
        <f t="shared" si="62"/>
        <v>44562</v>
      </c>
      <c r="F182" s="1">
        <f t="shared" si="63"/>
        <v>44593</v>
      </c>
      <c r="G182" s="1">
        <f t="shared" si="64"/>
        <v>44607</v>
      </c>
      <c r="H182">
        <f t="shared" si="65"/>
        <v>365</v>
      </c>
      <c r="I182">
        <f t="shared" si="66"/>
        <v>31</v>
      </c>
      <c r="J182">
        <f t="shared" si="67"/>
        <v>8.4931506849315067E-2</v>
      </c>
      <c r="K182">
        <f>IFERROR($J182/IF($A182&lt;COUNTIFS($K$1:K$1,"&lt;&gt;"),0,SUMIFS($J:$J,$B:$B,$B182,$A:$A,"&gt;="&amp;COUNTIFS($K$1:K$1,"&lt;&gt;"))),0)</f>
        <v>8.8319088319088329E-2</v>
      </c>
      <c r="L182">
        <f>IFERROR($J182/IF($A182&lt;COUNTIFS($K$1:L$1,"&lt;&gt;"),0,SUMIFS($J:$J,$B:$B,$B182,$A:$A,"&gt;="&amp;COUNTIFS($K$1:L$1,"&lt;&gt;"))),0)</f>
        <v>9.6875000000000017E-2</v>
      </c>
      <c r="M182">
        <f>IFERROR($J182/IF($A182&lt;COUNTIFS($K$1:M$1,"&lt;&gt;"),0,SUMIFS($J:$J,$B:$B,$B182,$A:$A,"&gt;="&amp;COUNTIFS($K$1:M$1,"&lt;&gt;"))),0)</f>
        <v>0.10689655172413795</v>
      </c>
      <c r="N182">
        <f>IFERROR($J182/IF($A182&lt;COUNTIFS($K$1:N$1,"&lt;&gt;"),0,SUMIFS($J:$J,$B:$B,$B182,$A:$A,"&gt;="&amp;COUNTIFS($K$1:N$1,"&lt;&gt;"))),0)</f>
        <v>0.11969111969111972</v>
      </c>
      <c r="O182">
        <f>IFERROR($J182/IF($A182&lt;COUNTIFS($K$1:O$1,"&lt;&gt;"),0,SUMIFS($J:$J,$B:$B,$B182,$A:$A,"&gt;="&amp;COUNTIFS($K$1:O$1,"&lt;&gt;"))),0)</f>
        <v>0.13537117903930135</v>
      </c>
      <c r="P182">
        <f>IFERROR($J182/IF($A182&lt;COUNTIFS($K$1:P$1,"&lt;&gt;"),0,SUMIFS($J:$J,$B:$B,$B182,$A:$A,"&gt;="&amp;COUNTIFS($K$1:P$1,"&lt;&gt;"))),0)</f>
        <v>0.1565656565656566</v>
      </c>
      <c r="Q182">
        <f>IFERROR($J182/IF($A182&lt;COUNTIFS($K$1:Q$1,"&lt;&gt;"),0,SUMIFS($J:$J,$B:$B,$B182,$A:$A,"&gt;="&amp;COUNTIFS($K$1:Q$1,"&lt;&gt;"))),0)</f>
        <v>0.18562874251497008</v>
      </c>
      <c r="R182">
        <f>IFERROR($J182/IF($A182&lt;COUNTIFS($K$1:R$1,"&lt;&gt;"),0,SUMIFS($J:$J,$B:$B,$B182,$A:$A,"&gt;="&amp;COUNTIFS($K$1:R$1,"&lt;&gt;"))),0)</f>
        <v>0.22627737226277375</v>
      </c>
      <c r="S182">
        <f>IFERROR($J182/IF($A182&lt;COUNTIFS($K$1:S$1,"&lt;&gt;"),0,SUMIFS($J:$J,$B:$B,$B182,$A:$A,"&gt;="&amp;COUNTIFS($K$1:S$1,"&lt;&gt;"))),0)</f>
        <v>0.29245283018867929</v>
      </c>
      <c r="T182">
        <f>IFERROR($J182/IF($A182&lt;COUNTIFS($K$1:T$1,"&lt;&gt;"),0,SUMIFS($J:$J,$B:$B,$B182,$A:$A,"&gt;="&amp;COUNTIFS($K$1:T$1,"&lt;&gt;"))),0)</f>
        <v>0.40789473684210525</v>
      </c>
      <c r="U182">
        <f>IFERROR($J182/IF($A182&lt;COUNTIFS($K$1:U$1,"&lt;&gt;"),0,SUMIFS($J:$J,$B:$B,$B182,$A:$A,"&gt;="&amp;COUNTIFS($K$1:U$1,"&lt;&gt;"))),0)</f>
        <v>0.68888888888888888</v>
      </c>
      <c r="V182">
        <f>IFERROR($J182/IF($A182&lt;COUNTIFS($K$1:V$1,"&lt;&gt;"),0,SUMIFS($J:$J,$B:$B,$B182,$A:$A,"&gt;="&amp;COUNTIFS($K$1:V$1,"&lt;&gt;"))),0)</f>
        <v>0</v>
      </c>
      <c r="W182">
        <f t="shared" si="68"/>
        <v>8.4931506849315067E-2</v>
      </c>
      <c r="X182">
        <f t="shared" si="48"/>
        <v>8.4931506849315067E-2</v>
      </c>
      <c r="Y182">
        <f t="shared" si="49"/>
        <v>8.4931506849315067E-2</v>
      </c>
      <c r="Z182">
        <f t="shared" si="50"/>
        <v>8.4931506849315067E-2</v>
      </c>
      <c r="AA182">
        <f t="shared" si="51"/>
        <v>8.4931506849315067E-2</v>
      </c>
      <c r="AB182">
        <f t="shared" si="52"/>
        <v>8.4931506849315067E-2</v>
      </c>
      <c r="AC182">
        <f t="shared" si="53"/>
        <v>8.4931506849315067E-2</v>
      </c>
      <c r="AD182">
        <f t="shared" si="54"/>
        <v>8.4931506849315067E-2</v>
      </c>
      <c r="AE182">
        <f t="shared" si="55"/>
        <v>8.4931506849315067E-2</v>
      </c>
      <c r="AF182">
        <f t="shared" si="56"/>
        <v>8.4931506849315067E-2</v>
      </c>
      <c r="AG182">
        <f t="shared" si="57"/>
        <v>8.4931506849315067E-2</v>
      </c>
      <c r="AH182">
        <f t="shared" si="58"/>
        <v>8.4931506849315067E-2</v>
      </c>
      <c r="AI182">
        <f t="shared" si="59"/>
        <v>0</v>
      </c>
      <c r="AJ182" s="2" t="str">
        <f t="shared" si="69"/>
        <v>1144228</v>
      </c>
    </row>
    <row r="183" spans="1:36" x14ac:dyDescent="0.25">
      <c r="A183">
        <v>12</v>
      </c>
      <c r="B183" s="1">
        <v>44228</v>
      </c>
      <c r="C183" s="1">
        <f t="shared" si="60"/>
        <v>44593</v>
      </c>
      <c r="D183" s="1">
        <f t="shared" si="61"/>
        <v>44242</v>
      </c>
      <c r="E183" s="1">
        <f t="shared" si="62"/>
        <v>44593</v>
      </c>
      <c r="F183" s="1">
        <f t="shared" si="63"/>
        <v>44607</v>
      </c>
      <c r="G183" s="1">
        <f t="shared" si="64"/>
        <v>44607</v>
      </c>
      <c r="H183">
        <f t="shared" si="65"/>
        <v>365</v>
      </c>
      <c r="I183">
        <f t="shared" si="66"/>
        <v>14</v>
      </c>
      <c r="J183">
        <f t="shared" si="67"/>
        <v>3.8356164383561646E-2</v>
      </c>
      <c r="K183">
        <f>IFERROR($J183/IF($A183&lt;COUNTIFS($K$1:K$1,"&lt;&gt;"),0,SUMIFS($J:$J,$B:$B,$B183,$A:$A,"&gt;="&amp;COUNTIFS($K$1:K$1,"&lt;&gt;"))),0)</f>
        <v>3.9886039886039892E-2</v>
      </c>
      <c r="L183">
        <f>IFERROR($J183/IF($A183&lt;COUNTIFS($K$1:L$1,"&lt;&gt;"),0,SUMIFS($J:$J,$B:$B,$B183,$A:$A,"&gt;="&amp;COUNTIFS($K$1:L$1,"&lt;&gt;"))),0)</f>
        <v>4.3750000000000011E-2</v>
      </c>
      <c r="M183">
        <f>IFERROR($J183/IF($A183&lt;COUNTIFS($K$1:M$1,"&lt;&gt;"),0,SUMIFS($J:$J,$B:$B,$B183,$A:$A,"&gt;="&amp;COUNTIFS($K$1:M$1,"&lt;&gt;"))),0)</f>
        <v>4.827586206896553E-2</v>
      </c>
      <c r="N183">
        <f>IFERROR($J183/IF($A183&lt;COUNTIFS($K$1:N$1,"&lt;&gt;"),0,SUMIFS($J:$J,$B:$B,$B183,$A:$A,"&gt;="&amp;COUNTIFS($K$1:N$1,"&lt;&gt;"))),0)</f>
        <v>5.4054054054054071E-2</v>
      </c>
      <c r="O183">
        <f>IFERROR($J183/IF($A183&lt;COUNTIFS($K$1:O$1,"&lt;&gt;"),0,SUMIFS($J:$J,$B:$B,$B183,$A:$A,"&gt;="&amp;COUNTIFS($K$1:O$1,"&lt;&gt;"))),0)</f>
        <v>6.1135371179039319E-2</v>
      </c>
      <c r="P183">
        <f>IFERROR($J183/IF($A183&lt;COUNTIFS($K$1:P$1,"&lt;&gt;"),0,SUMIFS($J:$J,$B:$B,$B183,$A:$A,"&gt;="&amp;COUNTIFS($K$1:P$1,"&lt;&gt;"))),0)</f>
        <v>7.0707070707070732E-2</v>
      </c>
      <c r="Q183">
        <f>IFERROR($J183/IF($A183&lt;COUNTIFS($K$1:Q$1,"&lt;&gt;"),0,SUMIFS($J:$J,$B:$B,$B183,$A:$A,"&gt;="&amp;COUNTIFS($K$1:Q$1,"&lt;&gt;"))),0)</f>
        <v>8.3832335329341326E-2</v>
      </c>
      <c r="R183">
        <f>IFERROR($J183/IF($A183&lt;COUNTIFS($K$1:R$1,"&lt;&gt;"),0,SUMIFS($J:$J,$B:$B,$B183,$A:$A,"&gt;="&amp;COUNTIFS($K$1:R$1,"&lt;&gt;"))),0)</f>
        <v>0.10218978102189782</v>
      </c>
      <c r="S183">
        <f>IFERROR($J183/IF($A183&lt;COUNTIFS($K$1:S$1,"&lt;&gt;"),0,SUMIFS($J:$J,$B:$B,$B183,$A:$A,"&gt;="&amp;COUNTIFS($K$1:S$1,"&lt;&gt;"))),0)</f>
        <v>0.13207547169811323</v>
      </c>
      <c r="T183">
        <f>IFERROR($J183/IF($A183&lt;COUNTIFS($K$1:T$1,"&lt;&gt;"),0,SUMIFS($J:$J,$B:$B,$B183,$A:$A,"&gt;="&amp;COUNTIFS($K$1:T$1,"&lt;&gt;"))),0)</f>
        <v>0.18421052631578949</v>
      </c>
      <c r="U183">
        <f>IFERROR($J183/IF($A183&lt;COUNTIFS($K$1:U$1,"&lt;&gt;"),0,SUMIFS($J:$J,$B:$B,$B183,$A:$A,"&gt;="&amp;COUNTIFS($K$1:U$1,"&lt;&gt;"))),0)</f>
        <v>0.31111111111111117</v>
      </c>
      <c r="V183">
        <f>IFERROR($J183/IF($A183&lt;COUNTIFS($K$1:V$1,"&lt;&gt;"),0,SUMIFS($J:$J,$B:$B,$B183,$A:$A,"&gt;="&amp;COUNTIFS($K$1:V$1,"&lt;&gt;"))),0)</f>
        <v>1</v>
      </c>
      <c r="W183">
        <f t="shared" si="68"/>
        <v>3.8356164383561646E-2</v>
      </c>
      <c r="X183">
        <f t="shared" si="48"/>
        <v>3.8356164383561646E-2</v>
      </c>
      <c r="Y183">
        <f t="shared" si="49"/>
        <v>3.8356164383561646E-2</v>
      </c>
      <c r="Z183">
        <f t="shared" si="50"/>
        <v>3.8356164383561646E-2</v>
      </c>
      <c r="AA183">
        <f t="shared" si="51"/>
        <v>3.8356164383561646E-2</v>
      </c>
      <c r="AB183">
        <f t="shared" si="52"/>
        <v>3.8356164383561646E-2</v>
      </c>
      <c r="AC183">
        <f t="shared" si="53"/>
        <v>3.8356164383561646E-2</v>
      </c>
      <c r="AD183">
        <f t="shared" si="54"/>
        <v>3.8356164383561646E-2</v>
      </c>
      <c r="AE183">
        <f t="shared" si="55"/>
        <v>3.8356164383561646E-2</v>
      </c>
      <c r="AF183">
        <f t="shared" si="56"/>
        <v>3.8356164383561646E-2</v>
      </c>
      <c r="AG183">
        <f t="shared" si="57"/>
        <v>3.8356164383561646E-2</v>
      </c>
      <c r="AH183">
        <f t="shared" si="58"/>
        <v>3.8356164383561646E-2</v>
      </c>
      <c r="AI183">
        <f t="shared" si="59"/>
        <v>3.8356164383561646E-2</v>
      </c>
      <c r="AJ183" s="2" t="str">
        <f t="shared" si="69"/>
        <v>1244228</v>
      </c>
    </row>
    <row r="184" spans="1:36" x14ac:dyDescent="0.25">
      <c r="A184">
        <v>0</v>
      </c>
      <c r="B184" s="1">
        <v>44256</v>
      </c>
      <c r="C184" s="1">
        <f t="shared" si="60"/>
        <v>44256</v>
      </c>
      <c r="D184" s="1">
        <f t="shared" si="61"/>
        <v>44270</v>
      </c>
      <c r="E184" s="1">
        <f t="shared" si="62"/>
        <v>44270</v>
      </c>
      <c r="F184" s="1">
        <f t="shared" si="63"/>
        <v>44287</v>
      </c>
      <c r="G184" s="1">
        <f t="shared" si="64"/>
        <v>44635</v>
      </c>
      <c r="H184">
        <f t="shared" si="65"/>
        <v>365</v>
      </c>
      <c r="I184">
        <f t="shared" si="66"/>
        <v>17</v>
      </c>
      <c r="J184">
        <f t="shared" si="67"/>
        <v>4.6575342465753428E-2</v>
      </c>
      <c r="K184">
        <f>IFERROR($J184/IF($A184&lt;COUNTIFS($K$1:K$1,"&lt;&gt;"),0,SUMIFS($J:$J,$B:$B,$B184,$A:$A,"&gt;="&amp;COUNTIFS($K$1:K$1,"&lt;&gt;"))),0)</f>
        <v>0</v>
      </c>
      <c r="L184">
        <f>IFERROR($J184/IF($A184&lt;COUNTIFS($K$1:L$1,"&lt;&gt;"),0,SUMIFS($J:$J,$B:$B,$B184,$A:$A,"&gt;="&amp;COUNTIFS($K$1:L$1,"&lt;&gt;"))),0)</f>
        <v>0</v>
      </c>
      <c r="M184">
        <f>IFERROR($J184/IF($A184&lt;COUNTIFS($K$1:M$1,"&lt;&gt;"),0,SUMIFS($J:$J,$B:$B,$B184,$A:$A,"&gt;="&amp;COUNTIFS($K$1:M$1,"&lt;&gt;"))),0)</f>
        <v>0</v>
      </c>
      <c r="N184">
        <f>IFERROR($J184/IF($A184&lt;COUNTIFS($K$1:N$1,"&lt;&gt;"),0,SUMIFS($J:$J,$B:$B,$B184,$A:$A,"&gt;="&amp;COUNTIFS($K$1:N$1,"&lt;&gt;"))),0)</f>
        <v>0</v>
      </c>
      <c r="O184">
        <f>IFERROR($J184/IF($A184&lt;COUNTIFS($K$1:O$1,"&lt;&gt;"),0,SUMIFS($J:$J,$B:$B,$B184,$A:$A,"&gt;="&amp;COUNTIFS($K$1:O$1,"&lt;&gt;"))),0)</f>
        <v>0</v>
      </c>
      <c r="P184">
        <f>IFERROR($J184/IF($A184&lt;COUNTIFS($K$1:P$1,"&lt;&gt;"),0,SUMIFS($J:$J,$B:$B,$B184,$A:$A,"&gt;="&amp;COUNTIFS($K$1:P$1,"&lt;&gt;"))),0)</f>
        <v>0</v>
      </c>
      <c r="Q184">
        <f>IFERROR($J184/IF($A184&lt;COUNTIFS($K$1:Q$1,"&lt;&gt;"),0,SUMIFS($J:$J,$B:$B,$B184,$A:$A,"&gt;="&amp;COUNTIFS($K$1:Q$1,"&lt;&gt;"))),0)</f>
        <v>0</v>
      </c>
      <c r="R184">
        <f>IFERROR($J184/IF($A184&lt;COUNTIFS($K$1:R$1,"&lt;&gt;"),0,SUMIFS($J:$J,$B:$B,$B184,$A:$A,"&gt;="&amp;COUNTIFS($K$1:R$1,"&lt;&gt;"))),0)</f>
        <v>0</v>
      </c>
      <c r="S184">
        <f>IFERROR($J184/IF($A184&lt;COUNTIFS($K$1:S$1,"&lt;&gt;"),0,SUMIFS($J:$J,$B:$B,$B184,$A:$A,"&gt;="&amp;COUNTIFS($K$1:S$1,"&lt;&gt;"))),0)</f>
        <v>0</v>
      </c>
      <c r="T184">
        <f>IFERROR($J184/IF($A184&lt;COUNTIFS($K$1:T$1,"&lt;&gt;"),0,SUMIFS($J:$J,$B:$B,$B184,$A:$A,"&gt;="&amp;COUNTIFS($K$1:T$1,"&lt;&gt;"))),0)</f>
        <v>0</v>
      </c>
      <c r="U184">
        <f>IFERROR($J184/IF($A184&lt;COUNTIFS($K$1:U$1,"&lt;&gt;"),0,SUMIFS($J:$J,$B:$B,$B184,$A:$A,"&gt;="&amp;COUNTIFS($K$1:U$1,"&lt;&gt;"))),0)</f>
        <v>0</v>
      </c>
      <c r="V184">
        <f>IFERROR($J184/IF($A184&lt;COUNTIFS($K$1:V$1,"&lt;&gt;"),0,SUMIFS($J:$J,$B:$B,$B184,$A:$A,"&gt;="&amp;COUNTIFS($K$1:V$1,"&lt;&gt;"))),0)</f>
        <v>0</v>
      </c>
      <c r="W184">
        <f t="shared" si="68"/>
        <v>4.6575342465753428E-2</v>
      </c>
      <c r="X184">
        <f t="shared" si="48"/>
        <v>0</v>
      </c>
      <c r="Y184">
        <f t="shared" si="49"/>
        <v>0</v>
      </c>
      <c r="Z184">
        <f t="shared" si="50"/>
        <v>0</v>
      </c>
      <c r="AA184">
        <f t="shared" si="51"/>
        <v>0</v>
      </c>
      <c r="AB184">
        <f t="shared" si="52"/>
        <v>0</v>
      </c>
      <c r="AC184">
        <f t="shared" si="53"/>
        <v>0</v>
      </c>
      <c r="AD184">
        <f t="shared" si="54"/>
        <v>0</v>
      </c>
      <c r="AE184">
        <f t="shared" si="55"/>
        <v>0</v>
      </c>
      <c r="AF184">
        <f t="shared" si="56"/>
        <v>0</v>
      </c>
      <c r="AG184">
        <f t="shared" si="57"/>
        <v>0</v>
      </c>
      <c r="AH184">
        <f t="shared" si="58"/>
        <v>0</v>
      </c>
      <c r="AI184">
        <f t="shared" si="59"/>
        <v>0</v>
      </c>
      <c r="AJ184" s="2" t="str">
        <f t="shared" si="69"/>
        <v>044256</v>
      </c>
    </row>
    <row r="185" spans="1:36" x14ac:dyDescent="0.25">
      <c r="A185">
        <v>1</v>
      </c>
      <c r="B185" s="1">
        <v>44256</v>
      </c>
      <c r="C185" s="1">
        <f t="shared" si="60"/>
        <v>44287</v>
      </c>
      <c r="D185" s="1">
        <f t="shared" si="61"/>
        <v>44270</v>
      </c>
      <c r="E185" s="1">
        <f t="shared" si="62"/>
        <v>44287</v>
      </c>
      <c r="F185" s="1">
        <f t="shared" si="63"/>
        <v>44317</v>
      </c>
      <c r="G185" s="1">
        <f t="shared" si="64"/>
        <v>44635</v>
      </c>
      <c r="H185">
        <f t="shared" si="65"/>
        <v>365</v>
      </c>
      <c r="I185">
        <f t="shared" si="66"/>
        <v>30</v>
      </c>
      <c r="J185">
        <f t="shared" si="67"/>
        <v>8.2191780821917804E-2</v>
      </c>
      <c r="K185">
        <f>IFERROR($J185/IF($A185&lt;COUNTIFS($K$1:K$1,"&lt;&gt;"),0,SUMIFS($J:$J,$B:$B,$B185,$A:$A,"&gt;="&amp;COUNTIFS($K$1:K$1,"&lt;&gt;"))),0)</f>
        <v>8.6206896551724144E-2</v>
      </c>
      <c r="L185">
        <f>IFERROR($J185/IF($A185&lt;COUNTIFS($K$1:L$1,"&lt;&gt;"),0,SUMIFS($J:$J,$B:$B,$B185,$A:$A,"&gt;="&amp;COUNTIFS($K$1:L$1,"&lt;&gt;"))),0)</f>
        <v>0</v>
      </c>
      <c r="M185">
        <f>IFERROR($J185/IF($A185&lt;COUNTIFS($K$1:M$1,"&lt;&gt;"),0,SUMIFS($J:$J,$B:$B,$B185,$A:$A,"&gt;="&amp;COUNTIFS($K$1:M$1,"&lt;&gt;"))),0)</f>
        <v>0</v>
      </c>
      <c r="N185">
        <f>IFERROR($J185/IF($A185&lt;COUNTIFS($K$1:N$1,"&lt;&gt;"),0,SUMIFS($J:$J,$B:$B,$B185,$A:$A,"&gt;="&amp;COUNTIFS($K$1:N$1,"&lt;&gt;"))),0)</f>
        <v>0</v>
      </c>
      <c r="O185">
        <f>IFERROR($J185/IF($A185&lt;COUNTIFS($K$1:O$1,"&lt;&gt;"),0,SUMIFS($J:$J,$B:$B,$B185,$A:$A,"&gt;="&amp;COUNTIFS($K$1:O$1,"&lt;&gt;"))),0)</f>
        <v>0</v>
      </c>
      <c r="P185">
        <f>IFERROR($J185/IF($A185&lt;COUNTIFS($K$1:P$1,"&lt;&gt;"),0,SUMIFS($J:$J,$B:$B,$B185,$A:$A,"&gt;="&amp;COUNTIFS($K$1:P$1,"&lt;&gt;"))),0)</f>
        <v>0</v>
      </c>
      <c r="Q185">
        <f>IFERROR($J185/IF($A185&lt;COUNTIFS($K$1:Q$1,"&lt;&gt;"),0,SUMIFS($J:$J,$B:$B,$B185,$A:$A,"&gt;="&amp;COUNTIFS($K$1:Q$1,"&lt;&gt;"))),0)</f>
        <v>0</v>
      </c>
      <c r="R185">
        <f>IFERROR($J185/IF($A185&lt;COUNTIFS($K$1:R$1,"&lt;&gt;"),0,SUMIFS($J:$J,$B:$B,$B185,$A:$A,"&gt;="&amp;COUNTIFS($K$1:R$1,"&lt;&gt;"))),0)</f>
        <v>0</v>
      </c>
      <c r="S185">
        <f>IFERROR($J185/IF($A185&lt;COUNTIFS($K$1:S$1,"&lt;&gt;"),0,SUMIFS($J:$J,$B:$B,$B185,$A:$A,"&gt;="&amp;COUNTIFS($K$1:S$1,"&lt;&gt;"))),0)</f>
        <v>0</v>
      </c>
      <c r="T185">
        <f>IFERROR($J185/IF($A185&lt;COUNTIFS($K$1:T$1,"&lt;&gt;"),0,SUMIFS($J:$J,$B:$B,$B185,$A:$A,"&gt;="&amp;COUNTIFS($K$1:T$1,"&lt;&gt;"))),0)</f>
        <v>0</v>
      </c>
      <c r="U185">
        <f>IFERROR($J185/IF($A185&lt;COUNTIFS($K$1:U$1,"&lt;&gt;"),0,SUMIFS($J:$J,$B:$B,$B185,$A:$A,"&gt;="&amp;COUNTIFS($K$1:U$1,"&lt;&gt;"))),0)</f>
        <v>0</v>
      </c>
      <c r="V185">
        <f>IFERROR($J185/IF($A185&lt;COUNTIFS($K$1:V$1,"&lt;&gt;"),0,SUMIFS($J:$J,$B:$B,$B185,$A:$A,"&gt;="&amp;COUNTIFS($K$1:V$1,"&lt;&gt;"))),0)</f>
        <v>0</v>
      </c>
      <c r="W185">
        <f t="shared" si="68"/>
        <v>8.2191780821917804E-2</v>
      </c>
      <c r="X185">
        <f t="shared" si="48"/>
        <v>8.2191780821917804E-2</v>
      </c>
      <c r="Y185">
        <f t="shared" si="49"/>
        <v>0</v>
      </c>
      <c r="Z185">
        <f t="shared" si="50"/>
        <v>0</v>
      </c>
      <c r="AA185">
        <f t="shared" si="51"/>
        <v>0</v>
      </c>
      <c r="AB185">
        <f t="shared" si="52"/>
        <v>0</v>
      </c>
      <c r="AC185">
        <f t="shared" si="53"/>
        <v>0</v>
      </c>
      <c r="AD185">
        <f t="shared" si="54"/>
        <v>0</v>
      </c>
      <c r="AE185">
        <f t="shared" si="55"/>
        <v>0</v>
      </c>
      <c r="AF185">
        <f t="shared" si="56"/>
        <v>0</v>
      </c>
      <c r="AG185">
        <f t="shared" si="57"/>
        <v>0</v>
      </c>
      <c r="AH185">
        <f t="shared" si="58"/>
        <v>0</v>
      </c>
      <c r="AI185">
        <f t="shared" si="59"/>
        <v>0</v>
      </c>
      <c r="AJ185" s="2" t="str">
        <f t="shared" si="69"/>
        <v>144256</v>
      </c>
    </row>
    <row r="186" spans="1:36" x14ac:dyDescent="0.25">
      <c r="A186">
        <v>2</v>
      </c>
      <c r="B186" s="1">
        <v>44256</v>
      </c>
      <c r="C186" s="1">
        <f t="shared" si="60"/>
        <v>44317</v>
      </c>
      <c r="D186" s="1">
        <f t="shared" si="61"/>
        <v>44270</v>
      </c>
      <c r="E186" s="1">
        <f t="shared" si="62"/>
        <v>44317</v>
      </c>
      <c r="F186" s="1">
        <f t="shared" si="63"/>
        <v>44348</v>
      </c>
      <c r="G186" s="1">
        <f t="shared" si="64"/>
        <v>44635</v>
      </c>
      <c r="H186">
        <f t="shared" si="65"/>
        <v>365</v>
      </c>
      <c r="I186">
        <f t="shared" si="66"/>
        <v>31</v>
      </c>
      <c r="J186">
        <f t="shared" si="67"/>
        <v>8.4931506849315067E-2</v>
      </c>
      <c r="K186">
        <f>IFERROR($J186/IF($A186&lt;COUNTIFS($K$1:K$1,"&lt;&gt;"),0,SUMIFS($J:$J,$B:$B,$B186,$A:$A,"&gt;="&amp;COUNTIFS($K$1:K$1,"&lt;&gt;"))),0)</f>
        <v>8.9080459770114959E-2</v>
      </c>
      <c r="L186">
        <f>IFERROR($J186/IF($A186&lt;COUNTIFS($K$1:L$1,"&lt;&gt;"),0,SUMIFS($J:$J,$B:$B,$B186,$A:$A,"&gt;="&amp;COUNTIFS($K$1:L$1,"&lt;&gt;"))),0)</f>
        <v>9.7484276729559768E-2</v>
      </c>
      <c r="M186">
        <f>IFERROR($J186/IF($A186&lt;COUNTIFS($K$1:M$1,"&lt;&gt;"),0,SUMIFS($J:$J,$B:$B,$B186,$A:$A,"&gt;="&amp;COUNTIFS($K$1:M$1,"&lt;&gt;"))),0)</f>
        <v>0</v>
      </c>
      <c r="N186">
        <f>IFERROR($J186/IF($A186&lt;COUNTIFS($K$1:N$1,"&lt;&gt;"),0,SUMIFS($J:$J,$B:$B,$B186,$A:$A,"&gt;="&amp;COUNTIFS($K$1:N$1,"&lt;&gt;"))),0)</f>
        <v>0</v>
      </c>
      <c r="O186">
        <f>IFERROR($J186/IF($A186&lt;COUNTIFS($K$1:O$1,"&lt;&gt;"),0,SUMIFS($J:$J,$B:$B,$B186,$A:$A,"&gt;="&amp;COUNTIFS($K$1:O$1,"&lt;&gt;"))),0)</f>
        <v>0</v>
      </c>
      <c r="P186">
        <f>IFERROR($J186/IF($A186&lt;COUNTIFS($K$1:P$1,"&lt;&gt;"),0,SUMIFS($J:$J,$B:$B,$B186,$A:$A,"&gt;="&amp;COUNTIFS($K$1:P$1,"&lt;&gt;"))),0)</f>
        <v>0</v>
      </c>
      <c r="Q186">
        <f>IFERROR($J186/IF($A186&lt;COUNTIFS($K$1:Q$1,"&lt;&gt;"),0,SUMIFS($J:$J,$B:$B,$B186,$A:$A,"&gt;="&amp;COUNTIFS($K$1:Q$1,"&lt;&gt;"))),0)</f>
        <v>0</v>
      </c>
      <c r="R186">
        <f>IFERROR($J186/IF($A186&lt;COUNTIFS($K$1:R$1,"&lt;&gt;"),0,SUMIFS($J:$J,$B:$B,$B186,$A:$A,"&gt;="&amp;COUNTIFS($K$1:R$1,"&lt;&gt;"))),0)</f>
        <v>0</v>
      </c>
      <c r="S186">
        <f>IFERROR($J186/IF($A186&lt;COUNTIFS($K$1:S$1,"&lt;&gt;"),0,SUMIFS($J:$J,$B:$B,$B186,$A:$A,"&gt;="&amp;COUNTIFS($K$1:S$1,"&lt;&gt;"))),0)</f>
        <v>0</v>
      </c>
      <c r="T186">
        <f>IFERROR($J186/IF($A186&lt;COUNTIFS($K$1:T$1,"&lt;&gt;"),0,SUMIFS($J:$J,$B:$B,$B186,$A:$A,"&gt;="&amp;COUNTIFS($K$1:T$1,"&lt;&gt;"))),0)</f>
        <v>0</v>
      </c>
      <c r="U186">
        <f>IFERROR($J186/IF($A186&lt;COUNTIFS($K$1:U$1,"&lt;&gt;"),0,SUMIFS($J:$J,$B:$B,$B186,$A:$A,"&gt;="&amp;COUNTIFS($K$1:U$1,"&lt;&gt;"))),0)</f>
        <v>0</v>
      </c>
      <c r="V186">
        <f>IFERROR($J186/IF($A186&lt;COUNTIFS($K$1:V$1,"&lt;&gt;"),0,SUMIFS($J:$J,$B:$B,$B186,$A:$A,"&gt;="&amp;COUNTIFS($K$1:V$1,"&lt;&gt;"))),0)</f>
        <v>0</v>
      </c>
      <c r="W186">
        <f t="shared" si="68"/>
        <v>8.4931506849315067E-2</v>
      </c>
      <c r="X186">
        <f t="shared" si="48"/>
        <v>8.4931506849315067E-2</v>
      </c>
      <c r="Y186">
        <f t="shared" si="49"/>
        <v>8.4931506849315067E-2</v>
      </c>
      <c r="Z186">
        <f t="shared" si="50"/>
        <v>0</v>
      </c>
      <c r="AA186">
        <f t="shared" si="51"/>
        <v>0</v>
      </c>
      <c r="AB186">
        <f t="shared" si="52"/>
        <v>0</v>
      </c>
      <c r="AC186">
        <f t="shared" si="53"/>
        <v>0</v>
      </c>
      <c r="AD186">
        <f t="shared" si="54"/>
        <v>0</v>
      </c>
      <c r="AE186">
        <f t="shared" si="55"/>
        <v>0</v>
      </c>
      <c r="AF186">
        <f t="shared" si="56"/>
        <v>0</v>
      </c>
      <c r="AG186">
        <f t="shared" si="57"/>
        <v>0</v>
      </c>
      <c r="AH186">
        <f t="shared" si="58"/>
        <v>0</v>
      </c>
      <c r="AI186">
        <f t="shared" si="59"/>
        <v>0</v>
      </c>
      <c r="AJ186" s="2" t="str">
        <f t="shared" si="69"/>
        <v>244256</v>
      </c>
    </row>
    <row r="187" spans="1:36" x14ac:dyDescent="0.25">
      <c r="A187">
        <v>3</v>
      </c>
      <c r="B187" s="1">
        <v>44256</v>
      </c>
      <c r="C187" s="1">
        <f t="shared" si="60"/>
        <v>44348</v>
      </c>
      <c r="D187" s="1">
        <f t="shared" si="61"/>
        <v>44270</v>
      </c>
      <c r="E187" s="1">
        <f t="shared" si="62"/>
        <v>44348</v>
      </c>
      <c r="F187" s="1">
        <f t="shared" si="63"/>
        <v>44378</v>
      </c>
      <c r="G187" s="1">
        <f t="shared" si="64"/>
        <v>44635</v>
      </c>
      <c r="H187">
        <f t="shared" si="65"/>
        <v>365</v>
      </c>
      <c r="I187">
        <f t="shared" si="66"/>
        <v>30</v>
      </c>
      <c r="J187">
        <f t="shared" si="67"/>
        <v>8.2191780821917804E-2</v>
      </c>
      <c r="K187">
        <f>IFERROR($J187/IF($A187&lt;COUNTIFS($K$1:K$1,"&lt;&gt;"),0,SUMIFS($J:$J,$B:$B,$B187,$A:$A,"&gt;="&amp;COUNTIFS($K$1:K$1,"&lt;&gt;"))),0)</f>
        <v>8.6206896551724144E-2</v>
      </c>
      <c r="L187">
        <f>IFERROR($J187/IF($A187&lt;COUNTIFS($K$1:L$1,"&lt;&gt;"),0,SUMIFS($J:$J,$B:$B,$B187,$A:$A,"&gt;="&amp;COUNTIFS($K$1:L$1,"&lt;&gt;"))),0)</f>
        <v>9.4339622641509441E-2</v>
      </c>
      <c r="M187">
        <f>IFERROR($J187/IF($A187&lt;COUNTIFS($K$1:M$1,"&lt;&gt;"),0,SUMIFS($J:$J,$B:$B,$B187,$A:$A,"&gt;="&amp;COUNTIFS($K$1:M$1,"&lt;&gt;"))),0)</f>
        <v>0.10452961672473869</v>
      </c>
      <c r="N187">
        <f>IFERROR($J187/IF($A187&lt;COUNTIFS($K$1:N$1,"&lt;&gt;"),0,SUMIFS($J:$J,$B:$B,$B187,$A:$A,"&gt;="&amp;COUNTIFS($K$1:N$1,"&lt;&gt;"))),0)</f>
        <v>0</v>
      </c>
      <c r="O187">
        <f>IFERROR($J187/IF($A187&lt;COUNTIFS($K$1:O$1,"&lt;&gt;"),0,SUMIFS($J:$J,$B:$B,$B187,$A:$A,"&gt;="&amp;COUNTIFS($K$1:O$1,"&lt;&gt;"))),0)</f>
        <v>0</v>
      </c>
      <c r="P187">
        <f>IFERROR($J187/IF($A187&lt;COUNTIFS($K$1:P$1,"&lt;&gt;"),0,SUMIFS($J:$J,$B:$B,$B187,$A:$A,"&gt;="&amp;COUNTIFS($K$1:P$1,"&lt;&gt;"))),0)</f>
        <v>0</v>
      </c>
      <c r="Q187">
        <f>IFERROR($J187/IF($A187&lt;COUNTIFS($K$1:Q$1,"&lt;&gt;"),0,SUMIFS($J:$J,$B:$B,$B187,$A:$A,"&gt;="&amp;COUNTIFS($K$1:Q$1,"&lt;&gt;"))),0)</f>
        <v>0</v>
      </c>
      <c r="R187">
        <f>IFERROR($J187/IF($A187&lt;COUNTIFS($K$1:R$1,"&lt;&gt;"),0,SUMIFS($J:$J,$B:$B,$B187,$A:$A,"&gt;="&amp;COUNTIFS($K$1:R$1,"&lt;&gt;"))),0)</f>
        <v>0</v>
      </c>
      <c r="S187">
        <f>IFERROR($J187/IF($A187&lt;COUNTIFS($K$1:S$1,"&lt;&gt;"),0,SUMIFS($J:$J,$B:$B,$B187,$A:$A,"&gt;="&amp;COUNTIFS($K$1:S$1,"&lt;&gt;"))),0)</f>
        <v>0</v>
      </c>
      <c r="T187">
        <f>IFERROR($J187/IF($A187&lt;COUNTIFS($K$1:T$1,"&lt;&gt;"),0,SUMIFS($J:$J,$B:$B,$B187,$A:$A,"&gt;="&amp;COUNTIFS($K$1:T$1,"&lt;&gt;"))),0)</f>
        <v>0</v>
      </c>
      <c r="U187">
        <f>IFERROR($J187/IF($A187&lt;COUNTIFS($K$1:U$1,"&lt;&gt;"),0,SUMIFS($J:$J,$B:$B,$B187,$A:$A,"&gt;="&amp;COUNTIFS($K$1:U$1,"&lt;&gt;"))),0)</f>
        <v>0</v>
      </c>
      <c r="V187">
        <f>IFERROR($J187/IF($A187&lt;COUNTIFS($K$1:V$1,"&lt;&gt;"),0,SUMIFS($J:$J,$B:$B,$B187,$A:$A,"&gt;="&amp;COUNTIFS($K$1:V$1,"&lt;&gt;"))),0)</f>
        <v>0</v>
      </c>
      <c r="W187">
        <f t="shared" si="68"/>
        <v>8.2191780821917804E-2</v>
      </c>
      <c r="X187">
        <f t="shared" si="48"/>
        <v>8.2191780821917804E-2</v>
      </c>
      <c r="Y187">
        <f t="shared" si="49"/>
        <v>8.2191780821917804E-2</v>
      </c>
      <c r="Z187">
        <f t="shared" si="50"/>
        <v>8.2191780821917804E-2</v>
      </c>
      <c r="AA187">
        <f t="shared" si="51"/>
        <v>0</v>
      </c>
      <c r="AB187">
        <f t="shared" si="52"/>
        <v>0</v>
      </c>
      <c r="AC187">
        <f t="shared" si="53"/>
        <v>0</v>
      </c>
      <c r="AD187">
        <f t="shared" si="54"/>
        <v>0</v>
      </c>
      <c r="AE187">
        <f t="shared" si="55"/>
        <v>0</v>
      </c>
      <c r="AF187">
        <f t="shared" si="56"/>
        <v>0</v>
      </c>
      <c r="AG187">
        <f t="shared" si="57"/>
        <v>0</v>
      </c>
      <c r="AH187">
        <f t="shared" si="58"/>
        <v>0</v>
      </c>
      <c r="AI187">
        <f t="shared" si="59"/>
        <v>0</v>
      </c>
      <c r="AJ187" s="2" t="str">
        <f t="shared" si="69"/>
        <v>344256</v>
      </c>
    </row>
    <row r="188" spans="1:36" x14ac:dyDescent="0.25">
      <c r="A188">
        <v>4</v>
      </c>
      <c r="B188" s="1">
        <v>44256</v>
      </c>
      <c r="C188" s="1">
        <f t="shared" si="60"/>
        <v>44378</v>
      </c>
      <c r="D188" s="1">
        <f t="shared" si="61"/>
        <v>44270</v>
      </c>
      <c r="E188" s="1">
        <f t="shared" si="62"/>
        <v>44378</v>
      </c>
      <c r="F188" s="1">
        <f t="shared" si="63"/>
        <v>44409</v>
      </c>
      <c r="G188" s="1">
        <f t="shared" si="64"/>
        <v>44635</v>
      </c>
      <c r="H188">
        <f t="shared" si="65"/>
        <v>365</v>
      </c>
      <c r="I188">
        <f t="shared" si="66"/>
        <v>31</v>
      </c>
      <c r="J188">
        <f t="shared" si="67"/>
        <v>8.4931506849315067E-2</v>
      </c>
      <c r="K188">
        <f>IFERROR($J188/IF($A188&lt;COUNTIFS($K$1:K$1,"&lt;&gt;"),0,SUMIFS($J:$J,$B:$B,$B188,$A:$A,"&gt;="&amp;COUNTIFS($K$1:K$1,"&lt;&gt;"))),0)</f>
        <v>8.9080459770114959E-2</v>
      </c>
      <c r="L188">
        <f>IFERROR($J188/IF($A188&lt;COUNTIFS($K$1:L$1,"&lt;&gt;"),0,SUMIFS($J:$J,$B:$B,$B188,$A:$A,"&gt;="&amp;COUNTIFS($K$1:L$1,"&lt;&gt;"))),0)</f>
        <v>9.7484276729559768E-2</v>
      </c>
      <c r="M188">
        <f>IFERROR($J188/IF($A188&lt;COUNTIFS($K$1:M$1,"&lt;&gt;"),0,SUMIFS($J:$J,$B:$B,$B188,$A:$A,"&gt;="&amp;COUNTIFS($K$1:M$1,"&lt;&gt;"))),0)</f>
        <v>0.10801393728222998</v>
      </c>
      <c r="N188">
        <f>IFERROR($J188/IF($A188&lt;COUNTIFS($K$1:N$1,"&lt;&gt;"),0,SUMIFS($J:$J,$B:$B,$B188,$A:$A,"&gt;="&amp;COUNTIFS($K$1:N$1,"&lt;&gt;"))),0)</f>
        <v>0.12062256809338523</v>
      </c>
      <c r="O188">
        <f>IFERROR($J188/IF($A188&lt;COUNTIFS($K$1:O$1,"&lt;&gt;"),0,SUMIFS($J:$J,$B:$B,$B188,$A:$A,"&gt;="&amp;COUNTIFS($K$1:O$1,"&lt;&gt;"))),0)</f>
        <v>0</v>
      </c>
      <c r="P188">
        <f>IFERROR($J188/IF($A188&lt;COUNTIFS($K$1:P$1,"&lt;&gt;"),0,SUMIFS($J:$J,$B:$B,$B188,$A:$A,"&gt;="&amp;COUNTIFS($K$1:P$1,"&lt;&gt;"))),0)</f>
        <v>0</v>
      </c>
      <c r="Q188">
        <f>IFERROR($J188/IF($A188&lt;COUNTIFS($K$1:Q$1,"&lt;&gt;"),0,SUMIFS($J:$J,$B:$B,$B188,$A:$A,"&gt;="&amp;COUNTIFS($K$1:Q$1,"&lt;&gt;"))),0)</f>
        <v>0</v>
      </c>
      <c r="R188">
        <f>IFERROR($J188/IF($A188&lt;COUNTIFS($K$1:R$1,"&lt;&gt;"),0,SUMIFS($J:$J,$B:$B,$B188,$A:$A,"&gt;="&amp;COUNTIFS($K$1:R$1,"&lt;&gt;"))),0)</f>
        <v>0</v>
      </c>
      <c r="S188">
        <f>IFERROR($J188/IF($A188&lt;COUNTIFS($K$1:S$1,"&lt;&gt;"),0,SUMIFS($J:$J,$B:$B,$B188,$A:$A,"&gt;="&amp;COUNTIFS($K$1:S$1,"&lt;&gt;"))),0)</f>
        <v>0</v>
      </c>
      <c r="T188">
        <f>IFERROR($J188/IF($A188&lt;COUNTIFS($K$1:T$1,"&lt;&gt;"),0,SUMIFS($J:$J,$B:$B,$B188,$A:$A,"&gt;="&amp;COUNTIFS($K$1:T$1,"&lt;&gt;"))),0)</f>
        <v>0</v>
      </c>
      <c r="U188">
        <f>IFERROR($J188/IF($A188&lt;COUNTIFS($K$1:U$1,"&lt;&gt;"),0,SUMIFS($J:$J,$B:$B,$B188,$A:$A,"&gt;="&amp;COUNTIFS($K$1:U$1,"&lt;&gt;"))),0)</f>
        <v>0</v>
      </c>
      <c r="V188">
        <f>IFERROR($J188/IF($A188&lt;COUNTIFS($K$1:V$1,"&lt;&gt;"),0,SUMIFS($J:$J,$B:$B,$B188,$A:$A,"&gt;="&amp;COUNTIFS($K$1:V$1,"&lt;&gt;"))),0)</f>
        <v>0</v>
      </c>
      <c r="W188">
        <f t="shared" si="68"/>
        <v>8.4931506849315067E-2</v>
      </c>
      <c r="X188">
        <f t="shared" si="48"/>
        <v>8.4931506849315067E-2</v>
      </c>
      <c r="Y188">
        <f t="shared" si="49"/>
        <v>8.4931506849315067E-2</v>
      </c>
      <c r="Z188">
        <f t="shared" si="50"/>
        <v>8.4931506849315067E-2</v>
      </c>
      <c r="AA188">
        <f t="shared" si="51"/>
        <v>8.4931506849315067E-2</v>
      </c>
      <c r="AB188">
        <f t="shared" si="52"/>
        <v>0</v>
      </c>
      <c r="AC188">
        <f t="shared" si="53"/>
        <v>0</v>
      </c>
      <c r="AD188">
        <f t="shared" si="54"/>
        <v>0</v>
      </c>
      <c r="AE188">
        <f t="shared" si="55"/>
        <v>0</v>
      </c>
      <c r="AF188">
        <f t="shared" si="56"/>
        <v>0</v>
      </c>
      <c r="AG188">
        <f t="shared" si="57"/>
        <v>0</v>
      </c>
      <c r="AH188">
        <f t="shared" si="58"/>
        <v>0</v>
      </c>
      <c r="AI188">
        <f t="shared" si="59"/>
        <v>0</v>
      </c>
      <c r="AJ188" s="2" t="str">
        <f t="shared" si="69"/>
        <v>444256</v>
      </c>
    </row>
    <row r="189" spans="1:36" x14ac:dyDescent="0.25">
      <c r="A189">
        <v>5</v>
      </c>
      <c r="B189" s="1">
        <v>44256</v>
      </c>
      <c r="C189" s="1">
        <f t="shared" si="60"/>
        <v>44409</v>
      </c>
      <c r="D189" s="1">
        <f t="shared" si="61"/>
        <v>44270</v>
      </c>
      <c r="E189" s="1">
        <f t="shared" si="62"/>
        <v>44409</v>
      </c>
      <c r="F189" s="1">
        <f t="shared" si="63"/>
        <v>44440</v>
      </c>
      <c r="G189" s="1">
        <f t="shared" si="64"/>
        <v>44635</v>
      </c>
      <c r="H189">
        <f t="shared" si="65"/>
        <v>365</v>
      </c>
      <c r="I189">
        <f t="shared" si="66"/>
        <v>31</v>
      </c>
      <c r="J189">
        <f t="shared" si="67"/>
        <v>8.4931506849315067E-2</v>
      </c>
      <c r="K189">
        <f>IFERROR($J189/IF($A189&lt;COUNTIFS($K$1:K$1,"&lt;&gt;"),0,SUMIFS($J:$J,$B:$B,$B189,$A:$A,"&gt;="&amp;COUNTIFS($K$1:K$1,"&lt;&gt;"))),0)</f>
        <v>8.9080459770114959E-2</v>
      </c>
      <c r="L189">
        <f>IFERROR($J189/IF($A189&lt;COUNTIFS($K$1:L$1,"&lt;&gt;"),0,SUMIFS($J:$J,$B:$B,$B189,$A:$A,"&gt;="&amp;COUNTIFS($K$1:L$1,"&lt;&gt;"))),0)</f>
        <v>9.7484276729559768E-2</v>
      </c>
      <c r="M189">
        <f>IFERROR($J189/IF($A189&lt;COUNTIFS($K$1:M$1,"&lt;&gt;"),0,SUMIFS($J:$J,$B:$B,$B189,$A:$A,"&gt;="&amp;COUNTIFS($K$1:M$1,"&lt;&gt;"))),0)</f>
        <v>0.10801393728222998</v>
      </c>
      <c r="N189">
        <f>IFERROR($J189/IF($A189&lt;COUNTIFS($K$1:N$1,"&lt;&gt;"),0,SUMIFS($J:$J,$B:$B,$B189,$A:$A,"&gt;="&amp;COUNTIFS($K$1:N$1,"&lt;&gt;"))),0)</f>
        <v>0.12062256809338523</v>
      </c>
      <c r="O189">
        <f>IFERROR($J189/IF($A189&lt;COUNTIFS($K$1:O$1,"&lt;&gt;"),0,SUMIFS($J:$J,$B:$B,$B189,$A:$A,"&gt;="&amp;COUNTIFS($K$1:O$1,"&lt;&gt;"))),0)</f>
        <v>0.13716814159292037</v>
      </c>
      <c r="P189">
        <f>IFERROR($J189/IF($A189&lt;COUNTIFS($K$1:P$1,"&lt;&gt;"),0,SUMIFS($J:$J,$B:$B,$B189,$A:$A,"&gt;="&amp;COUNTIFS($K$1:P$1,"&lt;&gt;"))),0)</f>
        <v>0</v>
      </c>
      <c r="Q189">
        <f>IFERROR($J189/IF($A189&lt;COUNTIFS($K$1:Q$1,"&lt;&gt;"),0,SUMIFS($J:$J,$B:$B,$B189,$A:$A,"&gt;="&amp;COUNTIFS($K$1:Q$1,"&lt;&gt;"))),0)</f>
        <v>0</v>
      </c>
      <c r="R189">
        <f>IFERROR($J189/IF($A189&lt;COUNTIFS($K$1:R$1,"&lt;&gt;"),0,SUMIFS($J:$J,$B:$B,$B189,$A:$A,"&gt;="&amp;COUNTIFS($K$1:R$1,"&lt;&gt;"))),0)</f>
        <v>0</v>
      </c>
      <c r="S189">
        <f>IFERROR($J189/IF($A189&lt;COUNTIFS($K$1:S$1,"&lt;&gt;"),0,SUMIFS($J:$J,$B:$B,$B189,$A:$A,"&gt;="&amp;COUNTIFS($K$1:S$1,"&lt;&gt;"))),0)</f>
        <v>0</v>
      </c>
      <c r="T189">
        <f>IFERROR($J189/IF($A189&lt;COUNTIFS($K$1:T$1,"&lt;&gt;"),0,SUMIFS($J:$J,$B:$B,$B189,$A:$A,"&gt;="&amp;COUNTIFS($K$1:T$1,"&lt;&gt;"))),0)</f>
        <v>0</v>
      </c>
      <c r="U189">
        <f>IFERROR($J189/IF($A189&lt;COUNTIFS($K$1:U$1,"&lt;&gt;"),0,SUMIFS($J:$J,$B:$B,$B189,$A:$A,"&gt;="&amp;COUNTIFS($K$1:U$1,"&lt;&gt;"))),0)</f>
        <v>0</v>
      </c>
      <c r="V189">
        <f>IFERROR($J189/IF($A189&lt;COUNTIFS($K$1:V$1,"&lt;&gt;"),0,SUMIFS($J:$J,$B:$B,$B189,$A:$A,"&gt;="&amp;COUNTIFS($K$1:V$1,"&lt;&gt;"))),0)</f>
        <v>0</v>
      </c>
      <c r="W189">
        <f t="shared" si="68"/>
        <v>8.4931506849315067E-2</v>
      </c>
      <c r="X189">
        <f t="shared" si="48"/>
        <v>8.4931506849315067E-2</v>
      </c>
      <c r="Y189">
        <f t="shared" si="49"/>
        <v>8.4931506849315067E-2</v>
      </c>
      <c r="Z189">
        <f t="shared" si="50"/>
        <v>8.4931506849315067E-2</v>
      </c>
      <c r="AA189">
        <f t="shared" si="51"/>
        <v>8.4931506849315067E-2</v>
      </c>
      <c r="AB189">
        <f t="shared" si="52"/>
        <v>8.4931506849315067E-2</v>
      </c>
      <c r="AC189">
        <f t="shared" si="53"/>
        <v>0</v>
      </c>
      <c r="AD189">
        <f t="shared" si="54"/>
        <v>0</v>
      </c>
      <c r="AE189">
        <f t="shared" si="55"/>
        <v>0</v>
      </c>
      <c r="AF189">
        <f t="shared" si="56"/>
        <v>0</v>
      </c>
      <c r="AG189">
        <f t="shared" si="57"/>
        <v>0</v>
      </c>
      <c r="AH189">
        <f t="shared" si="58"/>
        <v>0</v>
      </c>
      <c r="AI189">
        <f t="shared" si="59"/>
        <v>0</v>
      </c>
      <c r="AJ189" s="2" t="str">
        <f t="shared" si="69"/>
        <v>544256</v>
      </c>
    </row>
    <row r="190" spans="1:36" x14ac:dyDescent="0.25">
      <c r="A190">
        <v>6</v>
      </c>
      <c r="B190" s="1">
        <v>44256</v>
      </c>
      <c r="C190" s="1">
        <f t="shared" si="60"/>
        <v>44440</v>
      </c>
      <c r="D190" s="1">
        <f t="shared" si="61"/>
        <v>44270</v>
      </c>
      <c r="E190" s="1">
        <f t="shared" si="62"/>
        <v>44440</v>
      </c>
      <c r="F190" s="1">
        <f t="shared" si="63"/>
        <v>44470</v>
      </c>
      <c r="G190" s="1">
        <f t="shared" si="64"/>
        <v>44635</v>
      </c>
      <c r="H190">
        <f t="shared" si="65"/>
        <v>365</v>
      </c>
      <c r="I190">
        <f t="shared" si="66"/>
        <v>30</v>
      </c>
      <c r="J190">
        <f t="shared" si="67"/>
        <v>8.2191780821917804E-2</v>
      </c>
      <c r="K190">
        <f>IFERROR($J190/IF($A190&lt;COUNTIFS($K$1:K$1,"&lt;&gt;"),0,SUMIFS($J:$J,$B:$B,$B190,$A:$A,"&gt;="&amp;COUNTIFS($K$1:K$1,"&lt;&gt;"))),0)</f>
        <v>8.6206896551724144E-2</v>
      </c>
      <c r="L190">
        <f>IFERROR($J190/IF($A190&lt;COUNTIFS($K$1:L$1,"&lt;&gt;"),0,SUMIFS($J:$J,$B:$B,$B190,$A:$A,"&gt;="&amp;COUNTIFS($K$1:L$1,"&lt;&gt;"))),0)</f>
        <v>9.4339622641509441E-2</v>
      </c>
      <c r="M190">
        <f>IFERROR($J190/IF($A190&lt;COUNTIFS($K$1:M$1,"&lt;&gt;"),0,SUMIFS($J:$J,$B:$B,$B190,$A:$A,"&gt;="&amp;COUNTIFS($K$1:M$1,"&lt;&gt;"))),0)</f>
        <v>0.10452961672473869</v>
      </c>
      <c r="N190">
        <f>IFERROR($J190/IF($A190&lt;COUNTIFS($K$1:N$1,"&lt;&gt;"),0,SUMIFS($J:$J,$B:$B,$B190,$A:$A,"&gt;="&amp;COUNTIFS($K$1:N$1,"&lt;&gt;"))),0)</f>
        <v>0.11673151750972764</v>
      </c>
      <c r="O190">
        <f>IFERROR($J190/IF($A190&lt;COUNTIFS($K$1:O$1,"&lt;&gt;"),0,SUMIFS($J:$J,$B:$B,$B190,$A:$A,"&gt;="&amp;COUNTIFS($K$1:O$1,"&lt;&gt;"))),0)</f>
        <v>0.13274336283185842</v>
      </c>
      <c r="P190">
        <f>IFERROR($J190/IF($A190&lt;COUNTIFS($K$1:P$1,"&lt;&gt;"),0,SUMIFS($J:$J,$B:$B,$B190,$A:$A,"&gt;="&amp;COUNTIFS($K$1:P$1,"&lt;&gt;"))),0)</f>
        <v>0.15384615384615385</v>
      </c>
      <c r="Q190">
        <f>IFERROR($J190/IF($A190&lt;COUNTIFS($K$1:Q$1,"&lt;&gt;"),0,SUMIFS($J:$J,$B:$B,$B190,$A:$A,"&gt;="&amp;COUNTIFS($K$1:Q$1,"&lt;&gt;"))),0)</f>
        <v>0</v>
      </c>
      <c r="R190">
        <f>IFERROR($J190/IF($A190&lt;COUNTIFS($K$1:R$1,"&lt;&gt;"),0,SUMIFS($J:$J,$B:$B,$B190,$A:$A,"&gt;="&amp;COUNTIFS($K$1:R$1,"&lt;&gt;"))),0)</f>
        <v>0</v>
      </c>
      <c r="S190">
        <f>IFERROR($J190/IF($A190&lt;COUNTIFS($K$1:S$1,"&lt;&gt;"),0,SUMIFS($J:$J,$B:$B,$B190,$A:$A,"&gt;="&amp;COUNTIFS($K$1:S$1,"&lt;&gt;"))),0)</f>
        <v>0</v>
      </c>
      <c r="T190">
        <f>IFERROR($J190/IF($A190&lt;COUNTIFS($K$1:T$1,"&lt;&gt;"),0,SUMIFS($J:$J,$B:$B,$B190,$A:$A,"&gt;="&amp;COUNTIFS($K$1:T$1,"&lt;&gt;"))),0)</f>
        <v>0</v>
      </c>
      <c r="U190">
        <f>IFERROR($J190/IF($A190&lt;COUNTIFS($K$1:U$1,"&lt;&gt;"),0,SUMIFS($J:$J,$B:$B,$B190,$A:$A,"&gt;="&amp;COUNTIFS($K$1:U$1,"&lt;&gt;"))),0)</f>
        <v>0</v>
      </c>
      <c r="V190">
        <f>IFERROR($J190/IF($A190&lt;COUNTIFS($K$1:V$1,"&lt;&gt;"),0,SUMIFS($J:$J,$B:$B,$B190,$A:$A,"&gt;="&amp;COUNTIFS($K$1:V$1,"&lt;&gt;"))),0)</f>
        <v>0</v>
      </c>
      <c r="W190">
        <f t="shared" si="68"/>
        <v>8.2191780821917804E-2</v>
      </c>
      <c r="X190">
        <f t="shared" si="48"/>
        <v>8.2191780821917804E-2</v>
      </c>
      <c r="Y190">
        <f t="shared" si="49"/>
        <v>8.2191780821917804E-2</v>
      </c>
      <c r="Z190">
        <f t="shared" si="50"/>
        <v>8.2191780821917804E-2</v>
      </c>
      <c r="AA190">
        <f t="shared" si="51"/>
        <v>8.2191780821917804E-2</v>
      </c>
      <c r="AB190">
        <f t="shared" si="52"/>
        <v>8.2191780821917804E-2</v>
      </c>
      <c r="AC190">
        <f t="shared" si="53"/>
        <v>8.2191780821917804E-2</v>
      </c>
      <c r="AD190">
        <f t="shared" si="54"/>
        <v>0</v>
      </c>
      <c r="AE190">
        <f t="shared" si="55"/>
        <v>0</v>
      </c>
      <c r="AF190">
        <f t="shared" si="56"/>
        <v>0</v>
      </c>
      <c r="AG190">
        <f t="shared" si="57"/>
        <v>0</v>
      </c>
      <c r="AH190">
        <f t="shared" si="58"/>
        <v>0</v>
      </c>
      <c r="AI190">
        <f t="shared" si="59"/>
        <v>0</v>
      </c>
      <c r="AJ190" s="2" t="str">
        <f t="shared" si="69"/>
        <v>644256</v>
      </c>
    </row>
    <row r="191" spans="1:36" x14ac:dyDescent="0.25">
      <c r="A191">
        <v>7</v>
      </c>
      <c r="B191" s="1">
        <v>44256</v>
      </c>
      <c r="C191" s="1">
        <f t="shared" si="60"/>
        <v>44470</v>
      </c>
      <c r="D191" s="1">
        <f t="shared" si="61"/>
        <v>44270</v>
      </c>
      <c r="E191" s="1">
        <f t="shared" si="62"/>
        <v>44470</v>
      </c>
      <c r="F191" s="1">
        <f t="shared" si="63"/>
        <v>44501</v>
      </c>
      <c r="G191" s="1">
        <f t="shared" si="64"/>
        <v>44635</v>
      </c>
      <c r="H191">
        <f t="shared" si="65"/>
        <v>365</v>
      </c>
      <c r="I191">
        <f t="shared" si="66"/>
        <v>31</v>
      </c>
      <c r="J191">
        <f t="shared" si="67"/>
        <v>8.4931506849315067E-2</v>
      </c>
      <c r="K191">
        <f>IFERROR($J191/IF($A191&lt;COUNTIFS($K$1:K$1,"&lt;&gt;"),0,SUMIFS($J:$J,$B:$B,$B191,$A:$A,"&gt;="&amp;COUNTIFS($K$1:K$1,"&lt;&gt;"))),0)</f>
        <v>8.9080459770114959E-2</v>
      </c>
      <c r="L191">
        <f>IFERROR($J191/IF($A191&lt;COUNTIFS($K$1:L$1,"&lt;&gt;"),0,SUMIFS($J:$J,$B:$B,$B191,$A:$A,"&gt;="&amp;COUNTIFS($K$1:L$1,"&lt;&gt;"))),0)</f>
        <v>9.7484276729559768E-2</v>
      </c>
      <c r="M191">
        <f>IFERROR($J191/IF($A191&lt;COUNTIFS($K$1:M$1,"&lt;&gt;"),0,SUMIFS($J:$J,$B:$B,$B191,$A:$A,"&gt;="&amp;COUNTIFS($K$1:M$1,"&lt;&gt;"))),0)</f>
        <v>0.10801393728222998</v>
      </c>
      <c r="N191">
        <f>IFERROR($J191/IF($A191&lt;COUNTIFS($K$1:N$1,"&lt;&gt;"),0,SUMIFS($J:$J,$B:$B,$B191,$A:$A,"&gt;="&amp;COUNTIFS($K$1:N$1,"&lt;&gt;"))),0)</f>
        <v>0.12062256809338523</v>
      </c>
      <c r="O191">
        <f>IFERROR($J191/IF($A191&lt;COUNTIFS($K$1:O$1,"&lt;&gt;"),0,SUMIFS($J:$J,$B:$B,$B191,$A:$A,"&gt;="&amp;COUNTIFS($K$1:O$1,"&lt;&gt;"))),0)</f>
        <v>0.13716814159292037</v>
      </c>
      <c r="P191">
        <f>IFERROR($J191/IF($A191&lt;COUNTIFS($K$1:P$1,"&lt;&gt;"),0,SUMIFS($J:$J,$B:$B,$B191,$A:$A,"&gt;="&amp;COUNTIFS($K$1:P$1,"&lt;&gt;"))),0)</f>
        <v>0.15897435897435899</v>
      </c>
      <c r="Q191">
        <f>IFERROR($J191/IF($A191&lt;COUNTIFS($K$1:Q$1,"&lt;&gt;"),0,SUMIFS($J:$J,$B:$B,$B191,$A:$A,"&gt;="&amp;COUNTIFS($K$1:Q$1,"&lt;&gt;"))),0)</f>
        <v>0.1878787878787879</v>
      </c>
      <c r="R191">
        <f>IFERROR($J191/IF($A191&lt;COUNTIFS($K$1:R$1,"&lt;&gt;"),0,SUMIFS($J:$J,$B:$B,$B191,$A:$A,"&gt;="&amp;COUNTIFS($K$1:R$1,"&lt;&gt;"))),0)</f>
        <v>0</v>
      </c>
      <c r="S191">
        <f>IFERROR($J191/IF($A191&lt;COUNTIFS($K$1:S$1,"&lt;&gt;"),0,SUMIFS($J:$J,$B:$B,$B191,$A:$A,"&gt;="&amp;COUNTIFS($K$1:S$1,"&lt;&gt;"))),0)</f>
        <v>0</v>
      </c>
      <c r="T191">
        <f>IFERROR($J191/IF($A191&lt;COUNTIFS($K$1:T$1,"&lt;&gt;"),0,SUMIFS($J:$J,$B:$B,$B191,$A:$A,"&gt;="&amp;COUNTIFS($K$1:T$1,"&lt;&gt;"))),0)</f>
        <v>0</v>
      </c>
      <c r="U191">
        <f>IFERROR($J191/IF($A191&lt;COUNTIFS($K$1:U$1,"&lt;&gt;"),0,SUMIFS($J:$J,$B:$B,$B191,$A:$A,"&gt;="&amp;COUNTIFS($K$1:U$1,"&lt;&gt;"))),0)</f>
        <v>0</v>
      </c>
      <c r="V191">
        <f>IFERROR($J191/IF($A191&lt;COUNTIFS($K$1:V$1,"&lt;&gt;"),0,SUMIFS($J:$J,$B:$B,$B191,$A:$A,"&gt;="&amp;COUNTIFS($K$1:V$1,"&lt;&gt;"))),0)</f>
        <v>0</v>
      </c>
      <c r="W191">
        <f t="shared" si="68"/>
        <v>8.4931506849315067E-2</v>
      </c>
      <c r="X191">
        <f t="shared" si="48"/>
        <v>8.4931506849315067E-2</v>
      </c>
      <c r="Y191">
        <f t="shared" si="49"/>
        <v>8.4931506849315067E-2</v>
      </c>
      <c r="Z191">
        <f t="shared" si="50"/>
        <v>8.4931506849315067E-2</v>
      </c>
      <c r="AA191">
        <f t="shared" si="51"/>
        <v>8.4931506849315067E-2</v>
      </c>
      <c r="AB191">
        <f t="shared" si="52"/>
        <v>8.4931506849315067E-2</v>
      </c>
      <c r="AC191">
        <f t="shared" si="53"/>
        <v>8.4931506849315067E-2</v>
      </c>
      <c r="AD191">
        <f t="shared" si="54"/>
        <v>8.4931506849315067E-2</v>
      </c>
      <c r="AE191">
        <f t="shared" si="55"/>
        <v>0</v>
      </c>
      <c r="AF191">
        <f t="shared" si="56"/>
        <v>0</v>
      </c>
      <c r="AG191">
        <f t="shared" si="57"/>
        <v>0</v>
      </c>
      <c r="AH191">
        <f t="shared" si="58"/>
        <v>0</v>
      </c>
      <c r="AI191">
        <f t="shared" si="59"/>
        <v>0</v>
      </c>
      <c r="AJ191" s="2" t="str">
        <f t="shared" si="69"/>
        <v>744256</v>
      </c>
    </row>
    <row r="192" spans="1:36" x14ac:dyDescent="0.25">
      <c r="A192">
        <v>8</v>
      </c>
      <c r="B192" s="1">
        <v>44256</v>
      </c>
      <c r="C192" s="1">
        <f t="shared" si="60"/>
        <v>44501</v>
      </c>
      <c r="D192" s="1">
        <f t="shared" si="61"/>
        <v>44270</v>
      </c>
      <c r="E192" s="1">
        <f t="shared" si="62"/>
        <v>44501</v>
      </c>
      <c r="F192" s="1">
        <f t="shared" si="63"/>
        <v>44531</v>
      </c>
      <c r="G192" s="1">
        <f t="shared" si="64"/>
        <v>44635</v>
      </c>
      <c r="H192">
        <f t="shared" si="65"/>
        <v>365</v>
      </c>
      <c r="I192">
        <f t="shared" si="66"/>
        <v>30</v>
      </c>
      <c r="J192">
        <f t="shared" si="67"/>
        <v>8.2191780821917804E-2</v>
      </c>
      <c r="K192">
        <f>IFERROR($J192/IF($A192&lt;COUNTIFS($K$1:K$1,"&lt;&gt;"),0,SUMIFS($J:$J,$B:$B,$B192,$A:$A,"&gt;="&amp;COUNTIFS($K$1:K$1,"&lt;&gt;"))),0)</f>
        <v>8.6206896551724144E-2</v>
      </c>
      <c r="L192">
        <f>IFERROR($J192/IF($A192&lt;COUNTIFS($K$1:L$1,"&lt;&gt;"),0,SUMIFS($J:$J,$B:$B,$B192,$A:$A,"&gt;="&amp;COUNTIFS($K$1:L$1,"&lt;&gt;"))),0)</f>
        <v>9.4339622641509441E-2</v>
      </c>
      <c r="M192">
        <f>IFERROR($J192/IF($A192&lt;COUNTIFS($K$1:M$1,"&lt;&gt;"),0,SUMIFS($J:$J,$B:$B,$B192,$A:$A,"&gt;="&amp;COUNTIFS($K$1:M$1,"&lt;&gt;"))),0)</f>
        <v>0.10452961672473869</v>
      </c>
      <c r="N192">
        <f>IFERROR($J192/IF($A192&lt;COUNTIFS($K$1:N$1,"&lt;&gt;"),0,SUMIFS($J:$J,$B:$B,$B192,$A:$A,"&gt;="&amp;COUNTIFS($K$1:N$1,"&lt;&gt;"))),0)</f>
        <v>0.11673151750972764</v>
      </c>
      <c r="O192">
        <f>IFERROR($J192/IF($A192&lt;COUNTIFS($K$1:O$1,"&lt;&gt;"),0,SUMIFS($J:$J,$B:$B,$B192,$A:$A,"&gt;="&amp;COUNTIFS($K$1:O$1,"&lt;&gt;"))),0)</f>
        <v>0.13274336283185842</v>
      </c>
      <c r="P192">
        <f>IFERROR($J192/IF($A192&lt;COUNTIFS($K$1:P$1,"&lt;&gt;"),0,SUMIFS($J:$J,$B:$B,$B192,$A:$A,"&gt;="&amp;COUNTIFS($K$1:P$1,"&lt;&gt;"))),0)</f>
        <v>0.15384615384615385</v>
      </c>
      <c r="Q192">
        <f>IFERROR($J192/IF($A192&lt;COUNTIFS($K$1:Q$1,"&lt;&gt;"),0,SUMIFS($J:$J,$B:$B,$B192,$A:$A,"&gt;="&amp;COUNTIFS($K$1:Q$1,"&lt;&gt;"))),0)</f>
        <v>0.18181818181818182</v>
      </c>
      <c r="R192">
        <f>IFERROR($J192/IF($A192&lt;COUNTIFS($K$1:R$1,"&lt;&gt;"),0,SUMIFS($J:$J,$B:$B,$B192,$A:$A,"&gt;="&amp;COUNTIFS($K$1:R$1,"&lt;&gt;"))),0)</f>
        <v>0.22388059701492535</v>
      </c>
      <c r="S192">
        <f>IFERROR($J192/IF($A192&lt;COUNTIFS($K$1:S$1,"&lt;&gt;"),0,SUMIFS($J:$J,$B:$B,$B192,$A:$A,"&gt;="&amp;COUNTIFS($K$1:S$1,"&lt;&gt;"))),0)</f>
        <v>0</v>
      </c>
      <c r="T192">
        <f>IFERROR($J192/IF($A192&lt;COUNTIFS($K$1:T$1,"&lt;&gt;"),0,SUMIFS($J:$J,$B:$B,$B192,$A:$A,"&gt;="&amp;COUNTIFS($K$1:T$1,"&lt;&gt;"))),0)</f>
        <v>0</v>
      </c>
      <c r="U192">
        <f>IFERROR($J192/IF($A192&lt;COUNTIFS($K$1:U$1,"&lt;&gt;"),0,SUMIFS($J:$J,$B:$B,$B192,$A:$A,"&gt;="&amp;COUNTIFS($K$1:U$1,"&lt;&gt;"))),0)</f>
        <v>0</v>
      </c>
      <c r="V192">
        <f>IFERROR($J192/IF($A192&lt;COUNTIFS($K$1:V$1,"&lt;&gt;"),0,SUMIFS($J:$J,$B:$B,$B192,$A:$A,"&gt;="&amp;COUNTIFS($K$1:V$1,"&lt;&gt;"))),0)</f>
        <v>0</v>
      </c>
      <c r="W192">
        <f t="shared" si="68"/>
        <v>8.2191780821917804E-2</v>
      </c>
      <c r="X192">
        <f t="shared" si="48"/>
        <v>8.2191780821917804E-2</v>
      </c>
      <c r="Y192">
        <f t="shared" si="49"/>
        <v>8.2191780821917804E-2</v>
      </c>
      <c r="Z192">
        <f t="shared" si="50"/>
        <v>8.2191780821917804E-2</v>
      </c>
      <c r="AA192">
        <f t="shared" si="51"/>
        <v>8.2191780821917804E-2</v>
      </c>
      <c r="AB192">
        <f t="shared" si="52"/>
        <v>8.2191780821917804E-2</v>
      </c>
      <c r="AC192">
        <f t="shared" si="53"/>
        <v>8.2191780821917804E-2</v>
      </c>
      <c r="AD192">
        <f t="shared" si="54"/>
        <v>8.2191780821917804E-2</v>
      </c>
      <c r="AE192">
        <f t="shared" si="55"/>
        <v>8.2191780821917804E-2</v>
      </c>
      <c r="AF192">
        <f t="shared" si="56"/>
        <v>0</v>
      </c>
      <c r="AG192">
        <f t="shared" si="57"/>
        <v>0</v>
      </c>
      <c r="AH192">
        <f t="shared" si="58"/>
        <v>0</v>
      </c>
      <c r="AI192">
        <f t="shared" si="59"/>
        <v>0</v>
      </c>
      <c r="AJ192" s="2" t="str">
        <f t="shared" si="69"/>
        <v>844256</v>
      </c>
    </row>
    <row r="193" spans="1:36" x14ac:dyDescent="0.25">
      <c r="A193">
        <v>9</v>
      </c>
      <c r="B193" s="1">
        <v>44256</v>
      </c>
      <c r="C193" s="1">
        <f t="shared" si="60"/>
        <v>44531</v>
      </c>
      <c r="D193" s="1">
        <f t="shared" si="61"/>
        <v>44270</v>
      </c>
      <c r="E193" s="1">
        <f t="shared" si="62"/>
        <v>44531</v>
      </c>
      <c r="F193" s="1">
        <f t="shared" si="63"/>
        <v>44562</v>
      </c>
      <c r="G193" s="1">
        <f t="shared" si="64"/>
        <v>44635</v>
      </c>
      <c r="H193">
        <f t="shared" si="65"/>
        <v>365</v>
      </c>
      <c r="I193">
        <f t="shared" si="66"/>
        <v>31</v>
      </c>
      <c r="J193">
        <f t="shared" si="67"/>
        <v>8.4931506849315067E-2</v>
      </c>
      <c r="K193">
        <f>IFERROR($J193/IF($A193&lt;COUNTIFS($K$1:K$1,"&lt;&gt;"),0,SUMIFS($J:$J,$B:$B,$B193,$A:$A,"&gt;="&amp;COUNTIFS($K$1:K$1,"&lt;&gt;"))),0)</f>
        <v>8.9080459770114959E-2</v>
      </c>
      <c r="L193">
        <f>IFERROR($J193/IF($A193&lt;COUNTIFS($K$1:L$1,"&lt;&gt;"),0,SUMIFS($J:$J,$B:$B,$B193,$A:$A,"&gt;="&amp;COUNTIFS($K$1:L$1,"&lt;&gt;"))),0)</f>
        <v>9.7484276729559768E-2</v>
      </c>
      <c r="M193">
        <f>IFERROR($J193/IF($A193&lt;COUNTIFS($K$1:M$1,"&lt;&gt;"),0,SUMIFS($J:$J,$B:$B,$B193,$A:$A,"&gt;="&amp;COUNTIFS($K$1:M$1,"&lt;&gt;"))),0)</f>
        <v>0.10801393728222998</v>
      </c>
      <c r="N193">
        <f>IFERROR($J193/IF($A193&lt;COUNTIFS($K$1:N$1,"&lt;&gt;"),0,SUMIFS($J:$J,$B:$B,$B193,$A:$A,"&gt;="&amp;COUNTIFS($K$1:N$1,"&lt;&gt;"))),0)</f>
        <v>0.12062256809338523</v>
      </c>
      <c r="O193">
        <f>IFERROR($J193/IF($A193&lt;COUNTIFS($K$1:O$1,"&lt;&gt;"),0,SUMIFS($J:$J,$B:$B,$B193,$A:$A,"&gt;="&amp;COUNTIFS($K$1:O$1,"&lt;&gt;"))),0)</f>
        <v>0.13716814159292037</v>
      </c>
      <c r="P193">
        <f>IFERROR($J193/IF($A193&lt;COUNTIFS($K$1:P$1,"&lt;&gt;"),0,SUMIFS($J:$J,$B:$B,$B193,$A:$A,"&gt;="&amp;COUNTIFS($K$1:P$1,"&lt;&gt;"))),0)</f>
        <v>0.15897435897435899</v>
      </c>
      <c r="Q193">
        <f>IFERROR($J193/IF($A193&lt;COUNTIFS($K$1:Q$1,"&lt;&gt;"),0,SUMIFS($J:$J,$B:$B,$B193,$A:$A,"&gt;="&amp;COUNTIFS($K$1:Q$1,"&lt;&gt;"))),0)</f>
        <v>0.1878787878787879</v>
      </c>
      <c r="R193">
        <f>IFERROR($J193/IF($A193&lt;COUNTIFS($K$1:R$1,"&lt;&gt;"),0,SUMIFS($J:$J,$B:$B,$B193,$A:$A,"&gt;="&amp;COUNTIFS($K$1:R$1,"&lt;&gt;"))),0)</f>
        <v>0.23134328358208955</v>
      </c>
      <c r="S193">
        <f>IFERROR($J193/IF($A193&lt;COUNTIFS($K$1:S$1,"&lt;&gt;"),0,SUMIFS($J:$J,$B:$B,$B193,$A:$A,"&gt;="&amp;COUNTIFS($K$1:S$1,"&lt;&gt;"))),0)</f>
        <v>0.29807692307692307</v>
      </c>
      <c r="T193">
        <f>IFERROR($J193/IF($A193&lt;COUNTIFS($K$1:T$1,"&lt;&gt;"),0,SUMIFS($J:$J,$B:$B,$B193,$A:$A,"&gt;="&amp;COUNTIFS($K$1:T$1,"&lt;&gt;"))),0)</f>
        <v>0</v>
      </c>
      <c r="U193">
        <f>IFERROR($J193/IF($A193&lt;COUNTIFS($K$1:U$1,"&lt;&gt;"),0,SUMIFS($J:$J,$B:$B,$B193,$A:$A,"&gt;="&amp;COUNTIFS($K$1:U$1,"&lt;&gt;"))),0)</f>
        <v>0</v>
      </c>
      <c r="V193">
        <f>IFERROR($J193/IF($A193&lt;COUNTIFS($K$1:V$1,"&lt;&gt;"),0,SUMIFS($J:$J,$B:$B,$B193,$A:$A,"&gt;="&amp;COUNTIFS($K$1:V$1,"&lt;&gt;"))),0)</f>
        <v>0</v>
      </c>
      <c r="W193">
        <f t="shared" si="68"/>
        <v>8.4931506849315067E-2</v>
      </c>
      <c r="X193">
        <f t="shared" si="48"/>
        <v>8.4931506849315067E-2</v>
      </c>
      <c r="Y193">
        <f t="shared" si="49"/>
        <v>8.4931506849315067E-2</v>
      </c>
      <c r="Z193">
        <f t="shared" si="50"/>
        <v>8.4931506849315067E-2</v>
      </c>
      <c r="AA193">
        <f t="shared" si="51"/>
        <v>8.4931506849315067E-2</v>
      </c>
      <c r="AB193">
        <f t="shared" si="52"/>
        <v>8.4931506849315067E-2</v>
      </c>
      <c r="AC193">
        <f t="shared" si="53"/>
        <v>8.4931506849315067E-2</v>
      </c>
      <c r="AD193">
        <f t="shared" si="54"/>
        <v>8.4931506849315067E-2</v>
      </c>
      <c r="AE193">
        <f t="shared" si="55"/>
        <v>8.4931506849315067E-2</v>
      </c>
      <c r="AF193">
        <f t="shared" si="56"/>
        <v>8.4931506849315067E-2</v>
      </c>
      <c r="AG193">
        <f t="shared" si="57"/>
        <v>0</v>
      </c>
      <c r="AH193">
        <f t="shared" si="58"/>
        <v>0</v>
      </c>
      <c r="AI193">
        <f t="shared" si="59"/>
        <v>0</v>
      </c>
      <c r="AJ193" s="2" t="str">
        <f t="shared" si="69"/>
        <v>944256</v>
      </c>
    </row>
    <row r="194" spans="1:36" x14ac:dyDescent="0.25">
      <c r="A194">
        <v>10</v>
      </c>
      <c r="B194" s="1">
        <v>44256</v>
      </c>
      <c r="C194" s="1">
        <f t="shared" si="60"/>
        <v>44562</v>
      </c>
      <c r="D194" s="1">
        <f t="shared" si="61"/>
        <v>44270</v>
      </c>
      <c r="E194" s="1">
        <f t="shared" si="62"/>
        <v>44562</v>
      </c>
      <c r="F194" s="1">
        <f t="shared" si="63"/>
        <v>44593</v>
      </c>
      <c r="G194" s="1">
        <f t="shared" si="64"/>
        <v>44635</v>
      </c>
      <c r="H194">
        <f t="shared" si="65"/>
        <v>365</v>
      </c>
      <c r="I194">
        <f t="shared" si="66"/>
        <v>31</v>
      </c>
      <c r="J194">
        <f t="shared" si="67"/>
        <v>8.4931506849315067E-2</v>
      </c>
      <c r="K194">
        <f>IFERROR($J194/IF($A194&lt;COUNTIFS($K$1:K$1,"&lt;&gt;"),0,SUMIFS($J:$J,$B:$B,$B194,$A:$A,"&gt;="&amp;COUNTIFS($K$1:K$1,"&lt;&gt;"))),0)</f>
        <v>8.9080459770114959E-2</v>
      </c>
      <c r="L194">
        <f>IFERROR($J194/IF($A194&lt;COUNTIFS($K$1:L$1,"&lt;&gt;"),0,SUMIFS($J:$J,$B:$B,$B194,$A:$A,"&gt;="&amp;COUNTIFS($K$1:L$1,"&lt;&gt;"))),0)</f>
        <v>9.7484276729559768E-2</v>
      </c>
      <c r="M194">
        <f>IFERROR($J194/IF($A194&lt;COUNTIFS($K$1:M$1,"&lt;&gt;"),0,SUMIFS($J:$J,$B:$B,$B194,$A:$A,"&gt;="&amp;COUNTIFS($K$1:M$1,"&lt;&gt;"))),0)</f>
        <v>0.10801393728222998</v>
      </c>
      <c r="N194">
        <f>IFERROR($J194/IF($A194&lt;COUNTIFS($K$1:N$1,"&lt;&gt;"),0,SUMIFS($J:$J,$B:$B,$B194,$A:$A,"&gt;="&amp;COUNTIFS($K$1:N$1,"&lt;&gt;"))),0)</f>
        <v>0.12062256809338523</v>
      </c>
      <c r="O194">
        <f>IFERROR($J194/IF($A194&lt;COUNTIFS($K$1:O$1,"&lt;&gt;"),0,SUMIFS($J:$J,$B:$B,$B194,$A:$A,"&gt;="&amp;COUNTIFS($K$1:O$1,"&lt;&gt;"))),0)</f>
        <v>0.13716814159292037</v>
      </c>
      <c r="P194">
        <f>IFERROR($J194/IF($A194&lt;COUNTIFS($K$1:P$1,"&lt;&gt;"),0,SUMIFS($J:$J,$B:$B,$B194,$A:$A,"&gt;="&amp;COUNTIFS($K$1:P$1,"&lt;&gt;"))),0)</f>
        <v>0.15897435897435899</v>
      </c>
      <c r="Q194">
        <f>IFERROR($J194/IF($A194&lt;COUNTIFS($K$1:Q$1,"&lt;&gt;"),0,SUMIFS($J:$J,$B:$B,$B194,$A:$A,"&gt;="&amp;COUNTIFS($K$1:Q$1,"&lt;&gt;"))),0)</f>
        <v>0.1878787878787879</v>
      </c>
      <c r="R194">
        <f>IFERROR($J194/IF($A194&lt;COUNTIFS($K$1:R$1,"&lt;&gt;"),0,SUMIFS($J:$J,$B:$B,$B194,$A:$A,"&gt;="&amp;COUNTIFS($K$1:R$1,"&lt;&gt;"))),0)</f>
        <v>0.23134328358208955</v>
      </c>
      <c r="S194">
        <f>IFERROR($J194/IF($A194&lt;COUNTIFS($K$1:S$1,"&lt;&gt;"),0,SUMIFS($J:$J,$B:$B,$B194,$A:$A,"&gt;="&amp;COUNTIFS($K$1:S$1,"&lt;&gt;"))),0)</f>
        <v>0.29807692307692307</v>
      </c>
      <c r="T194">
        <f>IFERROR($J194/IF($A194&lt;COUNTIFS($K$1:T$1,"&lt;&gt;"),0,SUMIFS($J:$J,$B:$B,$B194,$A:$A,"&gt;="&amp;COUNTIFS($K$1:T$1,"&lt;&gt;"))),0)</f>
        <v>0.42465753424657532</v>
      </c>
      <c r="U194">
        <f>IFERROR($J194/IF($A194&lt;COUNTIFS($K$1:U$1,"&lt;&gt;"),0,SUMIFS($J:$J,$B:$B,$B194,$A:$A,"&gt;="&amp;COUNTIFS($K$1:U$1,"&lt;&gt;"))),0)</f>
        <v>0</v>
      </c>
      <c r="V194">
        <f>IFERROR($J194/IF($A194&lt;COUNTIFS($K$1:V$1,"&lt;&gt;"),0,SUMIFS($J:$J,$B:$B,$B194,$A:$A,"&gt;="&amp;COUNTIFS($K$1:V$1,"&lt;&gt;"))),0)</f>
        <v>0</v>
      </c>
      <c r="W194">
        <f t="shared" si="68"/>
        <v>8.4931506849315067E-2</v>
      </c>
      <c r="X194">
        <f t="shared" ref="X194:X257" si="70">IF(K194=0,0,$J194)</f>
        <v>8.4931506849315067E-2</v>
      </c>
      <c r="Y194">
        <f t="shared" ref="Y194:Y257" si="71">IF(L194=0,0,$J194)</f>
        <v>8.4931506849315067E-2</v>
      </c>
      <c r="Z194">
        <f t="shared" ref="Z194:Z257" si="72">IF(M194=0,0,$J194)</f>
        <v>8.4931506849315067E-2</v>
      </c>
      <c r="AA194">
        <f t="shared" ref="AA194:AA257" si="73">IF(N194=0,0,$J194)</f>
        <v>8.4931506849315067E-2</v>
      </c>
      <c r="AB194">
        <f t="shared" ref="AB194:AB257" si="74">IF(O194=0,0,$J194)</f>
        <v>8.4931506849315067E-2</v>
      </c>
      <c r="AC194">
        <f t="shared" ref="AC194:AC257" si="75">IF(P194=0,0,$J194)</f>
        <v>8.4931506849315067E-2</v>
      </c>
      <c r="AD194">
        <f t="shared" ref="AD194:AD257" si="76">IF(Q194=0,0,$J194)</f>
        <v>8.4931506849315067E-2</v>
      </c>
      <c r="AE194">
        <f t="shared" ref="AE194:AE257" si="77">IF(R194=0,0,$J194)</f>
        <v>8.4931506849315067E-2</v>
      </c>
      <c r="AF194">
        <f t="shared" ref="AF194:AF257" si="78">IF(S194=0,0,$J194)</f>
        <v>8.4931506849315067E-2</v>
      </c>
      <c r="AG194">
        <f t="shared" ref="AG194:AG257" si="79">IF(T194=0,0,$J194)</f>
        <v>8.4931506849315067E-2</v>
      </c>
      <c r="AH194">
        <f t="shared" ref="AH194:AH257" si="80">IF(U194=0,0,$J194)</f>
        <v>0</v>
      </c>
      <c r="AI194">
        <f t="shared" ref="AI194:AI257" si="81">IF(V194=0,0,$J194)</f>
        <v>0</v>
      </c>
      <c r="AJ194" s="2" t="str">
        <f t="shared" si="69"/>
        <v>1044256</v>
      </c>
    </row>
    <row r="195" spans="1:36" x14ac:dyDescent="0.25">
      <c r="A195">
        <v>11</v>
      </c>
      <c r="B195" s="1">
        <v>44256</v>
      </c>
      <c r="C195" s="1">
        <f t="shared" ref="C195:C258" si="82">EDATE(B195,A195)</f>
        <v>44593</v>
      </c>
      <c r="D195" s="1">
        <f t="shared" ref="D195:D258" si="83">B195+14</f>
        <v>44270</v>
      </c>
      <c r="E195" s="1">
        <f t="shared" ref="E195:E258" si="84">IF($A195=0,C195+14,C195)</f>
        <v>44593</v>
      </c>
      <c r="F195" s="1">
        <f t="shared" ref="F195:F258" si="85">IF(EDATE(C195,1)&gt;G195,G195,EDATE(C195,1))</f>
        <v>44621</v>
      </c>
      <c r="G195" s="1">
        <f t="shared" ref="G195:G258" si="86">EDATE(D195,12)</f>
        <v>44635</v>
      </c>
      <c r="H195">
        <f t="shared" ref="H195:H258" si="87">G195-D195</f>
        <v>365</v>
      </c>
      <c r="I195">
        <f t="shared" ref="I195:I258" si="88">F195-E195</f>
        <v>28</v>
      </c>
      <c r="J195">
        <f t="shared" ref="J195:J258" si="89">I195/H195</f>
        <v>7.6712328767123292E-2</v>
      </c>
      <c r="K195">
        <f>IFERROR($J195/IF($A195&lt;COUNTIFS($K$1:K$1,"&lt;&gt;"),0,SUMIFS($J:$J,$B:$B,$B195,$A:$A,"&gt;="&amp;COUNTIFS($K$1:K$1,"&lt;&gt;"))),0)</f>
        <v>8.0459770114942541E-2</v>
      </c>
      <c r="L195">
        <f>IFERROR($J195/IF($A195&lt;COUNTIFS($K$1:L$1,"&lt;&gt;"),0,SUMIFS($J:$J,$B:$B,$B195,$A:$A,"&gt;="&amp;COUNTIFS($K$1:L$1,"&lt;&gt;"))),0)</f>
        <v>8.8050314465408827E-2</v>
      </c>
      <c r="M195">
        <f>IFERROR($J195/IF($A195&lt;COUNTIFS($K$1:M$1,"&lt;&gt;"),0,SUMIFS($J:$J,$B:$B,$B195,$A:$A,"&gt;="&amp;COUNTIFS($K$1:M$1,"&lt;&gt;"))),0)</f>
        <v>9.7560975609756115E-2</v>
      </c>
      <c r="N195">
        <f>IFERROR($J195/IF($A195&lt;COUNTIFS($K$1:N$1,"&lt;&gt;"),0,SUMIFS($J:$J,$B:$B,$B195,$A:$A,"&gt;="&amp;COUNTIFS($K$1:N$1,"&lt;&gt;"))),0)</f>
        <v>0.10894941634241248</v>
      </c>
      <c r="O195">
        <f>IFERROR($J195/IF($A195&lt;COUNTIFS($K$1:O$1,"&lt;&gt;"),0,SUMIFS($J:$J,$B:$B,$B195,$A:$A,"&gt;="&amp;COUNTIFS($K$1:O$1,"&lt;&gt;"))),0)</f>
        <v>0.12389380530973454</v>
      </c>
      <c r="P195">
        <f>IFERROR($J195/IF($A195&lt;COUNTIFS($K$1:P$1,"&lt;&gt;"),0,SUMIFS($J:$J,$B:$B,$B195,$A:$A,"&gt;="&amp;COUNTIFS($K$1:P$1,"&lt;&gt;"))),0)</f>
        <v>0.14358974358974361</v>
      </c>
      <c r="Q195">
        <f>IFERROR($J195/IF($A195&lt;COUNTIFS($K$1:Q$1,"&lt;&gt;"),0,SUMIFS($J:$J,$B:$B,$B195,$A:$A,"&gt;="&amp;COUNTIFS($K$1:Q$1,"&lt;&gt;"))),0)</f>
        <v>0.16969696969696971</v>
      </c>
      <c r="R195">
        <f>IFERROR($J195/IF($A195&lt;COUNTIFS($K$1:R$1,"&lt;&gt;"),0,SUMIFS($J:$J,$B:$B,$B195,$A:$A,"&gt;="&amp;COUNTIFS($K$1:R$1,"&lt;&gt;"))),0)</f>
        <v>0.20895522388059704</v>
      </c>
      <c r="S195">
        <f>IFERROR($J195/IF($A195&lt;COUNTIFS($K$1:S$1,"&lt;&gt;"),0,SUMIFS($J:$J,$B:$B,$B195,$A:$A,"&gt;="&amp;COUNTIFS($K$1:S$1,"&lt;&gt;"))),0)</f>
        <v>0.26923076923076927</v>
      </c>
      <c r="T195">
        <f>IFERROR($J195/IF($A195&lt;COUNTIFS($K$1:T$1,"&lt;&gt;"),0,SUMIFS($J:$J,$B:$B,$B195,$A:$A,"&gt;="&amp;COUNTIFS($K$1:T$1,"&lt;&gt;"))),0)</f>
        <v>0.38356164383561642</v>
      </c>
      <c r="U195">
        <f>IFERROR($J195/IF($A195&lt;COUNTIFS($K$1:U$1,"&lt;&gt;"),0,SUMIFS($J:$J,$B:$B,$B195,$A:$A,"&gt;="&amp;COUNTIFS($K$1:U$1,"&lt;&gt;"))),0)</f>
        <v>0.66666666666666674</v>
      </c>
      <c r="V195">
        <f>IFERROR($J195/IF($A195&lt;COUNTIFS($K$1:V$1,"&lt;&gt;"),0,SUMIFS($J:$J,$B:$B,$B195,$A:$A,"&gt;="&amp;COUNTIFS($K$1:V$1,"&lt;&gt;"))),0)</f>
        <v>0</v>
      </c>
      <c r="W195">
        <f t="shared" ref="W195:W258" si="90">IF(J195=0,0,$J195)</f>
        <v>7.6712328767123292E-2</v>
      </c>
      <c r="X195">
        <f t="shared" si="70"/>
        <v>7.6712328767123292E-2</v>
      </c>
      <c r="Y195">
        <f t="shared" si="71"/>
        <v>7.6712328767123292E-2</v>
      </c>
      <c r="Z195">
        <f t="shared" si="72"/>
        <v>7.6712328767123292E-2</v>
      </c>
      <c r="AA195">
        <f t="shared" si="73"/>
        <v>7.6712328767123292E-2</v>
      </c>
      <c r="AB195">
        <f t="shared" si="74"/>
        <v>7.6712328767123292E-2</v>
      </c>
      <c r="AC195">
        <f t="shared" si="75"/>
        <v>7.6712328767123292E-2</v>
      </c>
      <c r="AD195">
        <f t="shared" si="76"/>
        <v>7.6712328767123292E-2</v>
      </c>
      <c r="AE195">
        <f t="shared" si="77"/>
        <v>7.6712328767123292E-2</v>
      </c>
      <c r="AF195">
        <f t="shared" si="78"/>
        <v>7.6712328767123292E-2</v>
      </c>
      <c r="AG195">
        <f t="shared" si="79"/>
        <v>7.6712328767123292E-2</v>
      </c>
      <c r="AH195">
        <f t="shared" si="80"/>
        <v>7.6712328767123292E-2</v>
      </c>
      <c r="AI195">
        <f t="shared" si="81"/>
        <v>0</v>
      </c>
      <c r="AJ195" s="2" t="str">
        <f t="shared" ref="AJ195:AJ258" si="91">A195&amp;B195</f>
        <v>1144256</v>
      </c>
    </row>
    <row r="196" spans="1:36" x14ac:dyDescent="0.25">
      <c r="A196">
        <v>12</v>
      </c>
      <c r="B196" s="1">
        <v>44256</v>
      </c>
      <c r="C196" s="1">
        <f t="shared" si="82"/>
        <v>44621</v>
      </c>
      <c r="D196" s="1">
        <f t="shared" si="83"/>
        <v>44270</v>
      </c>
      <c r="E196" s="1">
        <f t="shared" si="84"/>
        <v>44621</v>
      </c>
      <c r="F196" s="1">
        <f t="shared" si="85"/>
        <v>44635</v>
      </c>
      <c r="G196" s="1">
        <f t="shared" si="86"/>
        <v>44635</v>
      </c>
      <c r="H196">
        <f t="shared" si="87"/>
        <v>365</v>
      </c>
      <c r="I196">
        <f t="shared" si="88"/>
        <v>14</v>
      </c>
      <c r="J196">
        <f t="shared" si="89"/>
        <v>3.8356164383561646E-2</v>
      </c>
      <c r="K196">
        <f>IFERROR($J196/IF($A196&lt;COUNTIFS($K$1:K$1,"&lt;&gt;"),0,SUMIFS($J:$J,$B:$B,$B196,$A:$A,"&gt;="&amp;COUNTIFS($K$1:K$1,"&lt;&gt;"))),0)</f>
        <v>4.0229885057471271E-2</v>
      </c>
      <c r="L196">
        <f>IFERROR($J196/IF($A196&lt;COUNTIFS($K$1:L$1,"&lt;&gt;"),0,SUMIFS($J:$J,$B:$B,$B196,$A:$A,"&gt;="&amp;COUNTIFS($K$1:L$1,"&lt;&gt;"))),0)</f>
        <v>4.4025157232704414E-2</v>
      </c>
      <c r="M196">
        <f>IFERROR($J196/IF($A196&lt;COUNTIFS($K$1:M$1,"&lt;&gt;"),0,SUMIFS($J:$J,$B:$B,$B196,$A:$A,"&gt;="&amp;COUNTIFS($K$1:M$1,"&lt;&gt;"))),0)</f>
        <v>4.8780487804878057E-2</v>
      </c>
      <c r="N196">
        <f>IFERROR($J196/IF($A196&lt;COUNTIFS($K$1:N$1,"&lt;&gt;"),0,SUMIFS($J:$J,$B:$B,$B196,$A:$A,"&gt;="&amp;COUNTIFS($K$1:N$1,"&lt;&gt;"))),0)</f>
        <v>5.447470817120624E-2</v>
      </c>
      <c r="O196">
        <f>IFERROR($J196/IF($A196&lt;COUNTIFS($K$1:O$1,"&lt;&gt;"),0,SUMIFS($J:$J,$B:$B,$B196,$A:$A,"&gt;="&amp;COUNTIFS($K$1:O$1,"&lt;&gt;"))),0)</f>
        <v>6.194690265486727E-2</v>
      </c>
      <c r="P196">
        <f>IFERROR($J196/IF($A196&lt;COUNTIFS($K$1:P$1,"&lt;&gt;"),0,SUMIFS($J:$J,$B:$B,$B196,$A:$A,"&gt;="&amp;COUNTIFS($K$1:P$1,"&lt;&gt;"))),0)</f>
        <v>7.1794871794871803E-2</v>
      </c>
      <c r="Q196">
        <f>IFERROR($J196/IF($A196&lt;COUNTIFS($K$1:Q$1,"&lt;&gt;"),0,SUMIFS($J:$J,$B:$B,$B196,$A:$A,"&gt;="&amp;COUNTIFS($K$1:Q$1,"&lt;&gt;"))),0)</f>
        <v>8.4848484848484854E-2</v>
      </c>
      <c r="R196">
        <f>IFERROR($J196/IF($A196&lt;COUNTIFS($K$1:R$1,"&lt;&gt;"),0,SUMIFS($J:$J,$B:$B,$B196,$A:$A,"&gt;="&amp;COUNTIFS($K$1:R$1,"&lt;&gt;"))),0)</f>
        <v>0.10447761194029852</v>
      </c>
      <c r="S196">
        <f>IFERROR($J196/IF($A196&lt;COUNTIFS($K$1:S$1,"&lt;&gt;"),0,SUMIFS($J:$J,$B:$B,$B196,$A:$A,"&gt;="&amp;COUNTIFS($K$1:S$1,"&lt;&gt;"))),0)</f>
        <v>0.13461538461538464</v>
      </c>
      <c r="T196">
        <f>IFERROR($J196/IF($A196&lt;COUNTIFS($K$1:T$1,"&lt;&gt;"),0,SUMIFS($J:$J,$B:$B,$B196,$A:$A,"&gt;="&amp;COUNTIFS($K$1:T$1,"&lt;&gt;"))),0)</f>
        <v>0.19178082191780821</v>
      </c>
      <c r="U196">
        <f>IFERROR($J196/IF($A196&lt;COUNTIFS($K$1:U$1,"&lt;&gt;"),0,SUMIFS($J:$J,$B:$B,$B196,$A:$A,"&gt;="&amp;COUNTIFS($K$1:U$1,"&lt;&gt;"))),0)</f>
        <v>0.33333333333333337</v>
      </c>
      <c r="V196">
        <f>IFERROR($J196/IF($A196&lt;COUNTIFS($K$1:V$1,"&lt;&gt;"),0,SUMIFS($J:$J,$B:$B,$B196,$A:$A,"&gt;="&amp;COUNTIFS($K$1:V$1,"&lt;&gt;"))),0)</f>
        <v>1</v>
      </c>
      <c r="W196">
        <f t="shared" si="90"/>
        <v>3.8356164383561646E-2</v>
      </c>
      <c r="X196">
        <f t="shared" si="70"/>
        <v>3.8356164383561646E-2</v>
      </c>
      <c r="Y196">
        <f t="shared" si="71"/>
        <v>3.8356164383561646E-2</v>
      </c>
      <c r="Z196">
        <f t="shared" si="72"/>
        <v>3.8356164383561646E-2</v>
      </c>
      <c r="AA196">
        <f t="shared" si="73"/>
        <v>3.8356164383561646E-2</v>
      </c>
      <c r="AB196">
        <f t="shared" si="74"/>
        <v>3.8356164383561646E-2</v>
      </c>
      <c r="AC196">
        <f t="shared" si="75"/>
        <v>3.8356164383561646E-2</v>
      </c>
      <c r="AD196">
        <f t="shared" si="76"/>
        <v>3.8356164383561646E-2</v>
      </c>
      <c r="AE196">
        <f t="shared" si="77"/>
        <v>3.8356164383561646E-2</v>
      </c>
      <c r="AF196">
        <f t="shared" si="78"/>
        <v>3.8356164383561646E-2</v>
      </c>
      <c r="AG196">
        <f t="shared" si="79"/>
        <v>3.8356164383561646E-2</v>
      </c>
      <c r="AH196">
        <f t="shared" si="80"/>
        <v>3.8356164383561646E-2</v>
      </c>
      <c r="AI196">
        <f t="shared" si="81"/>
        <v>3.8356164383561646E-2</v>
      </c>
      <c r="AJ196" s="2" t="str">
        <f t="shared" si="91"/>
        <v>1244256</v>
      </c>
    </row>
    <row r="197" spans="1:36" x14ac:dyDescent="0.25">
      <c r="A197">
        <v>0</v>
      </c>
      <c r="B197" s="1">
        <v>44287</v>
      </c>
      <c r="C197" s="1">
        <f t="shared" si="82"/>
        <v>44287</v>
      </c>
      <c r="D197" s="1">
        <f t="shared" si="83"/>
        <v>44301</v>
      </c>
      <c r="E197" s="1">
        <f t="shared" si="84"/>
        <v>44301</v>
      </c>
      <c r="F197" s="1">
        <f t="shared" si="85"/>
        <v>44317</v>
      </c>
      <c r="G197" s="1">
        <f t="shared" si="86"/>
        <v>44666</v>
      </c>
      <c r="H197">
        <f t="shared" si="87"/>
        <v>365</v>
      </c>
      <c r="I197">
        <f t="shared" si="88"/>
        <v>16</v>
      </c>
      <c r="J197">
        <f t="shared" si="89"/>
        <v>4.3835616438356165E-2</v>
      </c>
      <c r="K197">
        <f>IFERROR($J197/IF($A197&lt;COUNTIFS($K$1:K$1,"&lt;&gt;"),0,SUMIFS($J:$J,$B:$B,$B197,$A:$A,"&gt;="&amp;COUNTIFS($K$1:K$1,"&lt;&gt;"))),0)</f>
        <v>0</v>
      </c>
      <c r="L197">
        <f>IFERROR($J197/IF($A197&lt;COUNTIFS($K$1:L$1,"&lt;&gt;"),0,SUMIFS($J:$J,$B:$B,$B197,$A:$A,"&gt;="&amp;COUNTIFS($K$1:L$1,"&lt;&gt;"))),0)</f>
        <v>0</v>
      </c>
      <c r="M197">
        <f>IFERROR($J197/IF($A197&lt;COUNTIFS($K$1:M$1,"&lt;&gt;"),0,SUMIFS($J:$J,$B:$B,$B197,$A:$A,"&gt;="&amp;COUNTIFS($K$1:M$1,"&lt;&gt;"))),0)</f>
        <v>0</v>
      </c>
      <c r="N197">
        <f>IFERROR($J197/IF($A197&lt;COUNTIFS($K$1:N$1,"&lt;&gt;"),0,SUMIFS($J:$J,$B:$B,$B197,$A:$A,"&gt;="&amp;COUNTIFS($K$1:N$1,"&lt;&gt;"))),0)</f>
        <v>0</v>
      </c>
      <c r="O197">
        <f>IFERROR($J197/IF($A197&lt;COUNTIFS($K$1:O$1,"&lt;&gt;"),0,SUMIFS($J:$J,$B:$B,$B197,$A:$A,"&gt;="&amp;COUNTIFS($K$1:O$1,"&lt;&gt;"))),0)</f>
        <v>0</v>
      </c>
      <c r="P197">
        <f>IFERROR($J197/IF($A197&lt;COUNTIFS($K$1:P$1,"&lt;&gt;"),0,SUMIFS($J:$J,$B:$B,$B197,$A:$A,"&gt;="&amp;COUNTIFS($K$1:P$1,"&lt;&gt;"))),0)</f>
        <v>0</v>
      </c>
      <c r="Q197">
        <f>IFERROR($J197/IF($A197&lt;COUNTIFS($K$1:Q$1,"&lt;&gt;"),0,SUMIFS($J:$J,$B:$B,$B197,$A:$A,"&gt;="&amp;COUNTIFS($K$1:Q$1,"&lt;&gt;"))),0)</f>
        <v>0</v>
      </c>
      <c r="R197">
        <f>IFERROR($J197/IF($A197&lt;COUNTIFS($K$1:R$1,"&lt;&gt;"),0,SUMIFS($J:$J,$B:$B,$B197,$A:$A,"&gt;="&amp;COUNTIFS($K$1:R$1,"&lt;&gt;"))),0)</f>
        <v>0</v>
      </c>
      <c r="S197">
        <f>IFERROR($J197/IF($A197&lt;COUNTIFS($K$1:S$1,"&lt;&gt;"),0,SUMIFS($J:$J,$B:$B,$B197,$A:$A,"&gt;="&amp;COUNTIFS($K$1:S$1,"&lt;&gt;"))),0)</f>
        <v>0</v>
      </c>
      <c r="T197">
        <f>IFERROR($J197/IF($A197&lt;COUNTIFS($K$1:T$1,"&lt;&gt;"),0,SUMIFS($J:$J,$B:$B,$B197,$A:$A,"&gt;="&amp;COUNTIFS($K$1:T$1,"&lt;&gt;"))),0)</f>
        <v>0</v>
      </c>
      <c r="U197">
        <f>IFERROR($J197/IF($A197&lt;COUNTIFS($K$1:U$1,"&lt;&gt;"),0,SUMIFS($J:$J,$B:$B,$B197,$A:$A,"&gt;="&amp;COUNTIFS($K$1:U$1,"&lt;&gt;"))),0)</f>
        <v>0</v>
      </c>
      <c r="V197">
        <f>IFERROR($J197/IF($A197&lt;COUNTIFS($K$1:V$1,"&lt;&gt;"),0,SUMIFS($J:$J,$B:$B,$B197,$A:$A,"&gt;="&amp;COUNTIFS($K$1:V$1,"&lt;&gt;"))),0)</f>
        <v>0</v>
      </c>
      <c r="W197">
        <f t="shared" si="90"/>
        <v>4.3835616438356165E-2</v>
      </c>
      <c r="X197">
        <f t="shared" si="70"/>
        <v>0</v>
      </c>
      <c r="Y197">
        <f t="shared" si="71"/>
        <v>0</v>
      </c>
      <c r="Z197">
        <f t="shared" si="72"/>
        <v>0</v>
      </c>
      <c r="AA197">
        <f t="shared" si="73"/>
        <v>0</v>
      </c>
      <c r="AB197">
        <f t="shared" si="74"/>
        <v>0</v>
      </c>
      <c r="AC197">
        <f t="shared" si="75"/>
        <v>0</v>
      </c>
      <c r="AD197">
        <f t="shared" si="76"/>
        <v>0</v>
      </c>
      <c r="AE197">
        <f t="shared" si="77"/>
        <v>0</v>
      </c>
      <c r="AF197">
        <f t="shared" si="78"/>
        <v>0</v>
      </c>
      <c r="AG197">
        <f t="shared" si="79"/>
        <v>0</v>
      </c>
      <c r="AH197">
        <f t="shared" si="80"/>
        <v>0</v>
      </c>
      <c r="AI197">
        <f t="shared" si="81"/>
        <v>0</v>
      </c>
      <c r="AJ197" s="2" t="str">
        <f t="shared" si="91"/>
        <v>044287</v>
      </c>
    </row>
    <row r="198" spans="1:36" x14ac:dyDescent="0.25">
      <c r="A198">
        <v>1</v>
      </c>
      <c r="B198" s="1">
        <v>44287</v>
      </c>
      <c r="C198" s="1">
        <f t="shared" si="82"/>
        <v>44317</v>
      </c>
      <c r="D198" s="1">
        <f t="shared" si="83"/>
        <v>44301</v>
      </c>
      <c r="E198" s="1">
        <f t="shared" si="84"/>
        <v>44317</v>
      </c>
      <c r="F198" s="1">
        <f t="shared" si="85"/>
        <v>44348</v>
      </c>
      <c r="G198" s="1">
        <f t="shared" si="86"/>
        <v>44666</v>
      </c>
      <c r="H198">
        <f t="shared" si="87"/>
        <v>365</v>
      </c>
      <c r="I198">
        <f t="shared" si="88"/>
        <v>31</v>
      </c>
      <c r="J198">
        <f t="shared" si="89"/>
        <v>8.4931506849315067E-2</v>
      </c>
      <c r="K198">
        <f>IFERROR($J198/IF($A198&lt;COUNTIFS($K$1:K$1,"&lt;&gt;"),0,SUMIFS($J:$J,$B:$B,$B198,$A:$A,"&gt;="&amp;COUNTIFS($K$1:K$1,"&lt;&gt;"))),0)</f>
        <v>8.8825214899713484E-2</v>
      </c>
      <c r="L198">
        <f>IFERROR($J198/IF($A198&lt;COUNTIFS($K$1:L$1,"&lt;&gt;"),0,SUMIFS($J:$J,$B:$B,$B198,$A:$A,"&gt;="&amp;COUNTIFS($K$1:L$1,"&lt;&gt;"))),0)</f>
        <v>0</v>
      </c>
      <c r="M198">
        <f>IFERROR($J198/IF($A198&lt;COUNTIFS($K$1:M$1,"&lt;&gt;"),0,SUMIFS($J:$J,$B:$B,$B198,$A:$A,"&gt;="&amp;COUNTIFS($K$1:M$1,"&lt;&gt;"))),0)</f>
        <v>0</v>
      </c>
      <c r="N198">
        <f>IFERROR($J198/IF($A198&lt;COUNTIFS($K$1:N$1,"&lt;&gt;"),0,SUMIFS($J:$J,$B:$B,$B198,$A:$A,"&gt;="&amp;COUNTIFS($K$1:N$1,"&lt;&gt;"))),0)</f>
        <v>0</v>
      </c>
      <c r="O198">
        <f>IFERROR($J198/IF($A198&lt;COUNTIFS($K$1:O$1,"&lt;&gt;"),0,SUMIFS($J:$J,$B:$B,$B198,$A:$A,"&gt;="&amp;COUNTIFS($K$1:O$1,"&lt;&gt;"))),0)</f>
        <v>0</v>
      </c>
      <c r="P198">
        <f>IFERROR($J198/IF($A198&lt;COUNTIFS($K$1:P$1,"&lt;&gt;"),0,SUMIFS($J:$J,$B:$B,$B198,$A:$A,"&gt;="&amp;COUNTIFS($K$1:P$1,"&lt;&gt;"))),0)</f>
        <v>0</v>
      </c>
      <c r="Q198">
        <f>IFERROR($J198/IF($A198&lt;COUNTIFS($K$1:Q$1,"&lt;&gt;"),0,SUMIFS($J:$J,$B:$B,$B198,$A:$A,"&gt;="&amp;COUNTIFS($K$1:Q$1,"&lt;&gt;"))),0)</f>
        <v>0</v>
      </c>
      <c r="R198">
        <f>IFERROR($J198/IF($A198&lt;COUNTIFS($K$1:R$1,"&lt;&gt;"),0,SUMIFS($J:$J,$B:$B,$B198,$A:$A,"&gt;="&amp;COUNTIFS($K$1:R$1,"&lt;&gt;"))),0)</f>
        <v>0</v>
      </c>
      <c r="S198">
        <f>IFERROR($J198/IF($A198&lt;COUNTIFS($K$1:S$1,"&lt;&gt;"),0,SUMIFS($J:$J,$B:$B,$B198,$A:$A,"&gt;="&amp;COUNTIFS($K$1:S$1,"&lt;&gt;"))),0)</f>
        <v>0</v>
      </c>
      <c r="T198">
        <f>IFERROR($J198/IF($A198&lt;COUNTIFS($K$1:T$1,"&lt;&gt;"),0,SUMIFS($J:$J,$B:$B,$B198,$A:$A,"&gt;="&amp;COUNTIFS($K$1:T$1,"&lt;&gt;"))),0)</f>
        <v>0</v>
      </c>
      <c r="U198">
        <f>IFERROR($J198/IF($A198&lt;COUNTIFS($K$1:U$1,"&lt;&gt;"),0,SUMIFS($J:$J,$B:$B,$B198,$A:$A,"&gt;="&amp;COUNTIFS($K$1:U$1,"&lt;&gt;"))),0)</f>
        <v>0</v>
      </c>
      <c r="V198">
        <f>IFERROR($J198/IF($A198&lt;COUNTIFS($K$1:V$1,"&lt;&gt;"),0,SUMIFS($J:$J,$B:$B,$B198,$A:$A,"&gt;="&amp;COUNTIFS($K$1:V$1,"&lt;&gt;"))),0)</f>
        <v>0</v>
      </c>
      <c r="W198">
        <f t="shared" si="90"/>
        <v>8.4931506849315067E-2</v>
      </c>
      <c r="X198">
        <f t="shared" si="70"/>
        <v>8.4931506849315067E-2</v>
      </c>
      <c r="Y198">
        <f t="shared" si="71"/>
        <v>0</v>
      </c>
      <c r="Z198">
        <f t="shared" si="72"/>
        <v>0</v>
      </c>
      <c r="AA198">
        <f t="shared" si="73"/>
        <v>0</v>
      </c>
      <c r="AB198">
        <f t="shared" si="74"/>
        <v>0</v>
      </c>
      <c r="AC198">
        <f t="shared" si="75"/>
        <v>0</v>
      </c>
      <c r="AD198">
        <f t="shared" si="76"/>
        <v>0</v>
      </c>
      <c r="AE198">
        <f t="shared" si="77"/>
        <v>0</v>
      </c>
      <c r="AF198">
        <f t="shared" si="78"/>
        <v>0</v>
      </c>
      <c r="AG198">
        <f t="shared" si="79"/>
        <v>0</v>
      </c>
      <c r="AH198">
        <f t="shared" si="80"/>
        <v>0</v>
      </c>
      <c r="AI198">
        <f t="shared" si="81"/>
        <v>0</v>
      </c>
      <c r="AJ198" s="2" t="str">
        <f t="shared" si="91"/>
        <v>144287</v>
      </c>
    </row>
    <row r="199" spans="1:36" x14ac:dyDescent="0.25">
      <c r="A199">
        <v>2</v>
      </c>
      <c r="B199" s="1">
        <v>44287</v>
      </c>
      <c r="C199" s="1">
        <f t="shared" si="82"/>
        <v>44348</v>
      </c>
      <c r="D199" s="1">
        <f t="shared" si="83"/>
        <v>44301</v>
      </c>
      <c r="E199" s="1">
        <f t="shared" si="84"/>
        <v>44348</v>
      </c>
      <c r="F199" s="1">
        <f t="shared" si="85"/>
        <v>44378</v>
      </c>
      <c r="G199" s="1">
        <f t="shared" si="86"/>
        <v>44666</v>
      </c>
      <c r="H199">
        <f t="shared" si="87"/>
        <v>365</v>
      </c>
      <c r="I199">
        <f t="shared" si="88"/>
        <v>30</v>
      </c>
      <c r="J199">
        <f t="shared" si="89"/>
        <v>8.2191780821917804E-2</v>
      </c>
      <c r="K199">
        <f>IFERROR($J199/IF($A199&lt;COUNTIFS($K$1:K$1,"&lt;&gt;"),0,SUMIFS($J:$J,$B:$B,$B199,$A:$A,"&gt;="&amp;COUNTIFS($K$1:K$1,"&lt;&gt;"))),0)</f>
        <v>8.5959885386819493E-2</v>
      </c>
      <c r="L199">
        <f>IFERROR($J199/IF($A199&lt;COUNTIFS($K$1:L$1,"&lt;&gt;"),0,SUMIFS($J:$J,$B:$B,$B199,$A:$A,"&gt;="&amp;COUNTIFS($K$1:L$1,"&lt;&gt;"))),0)</f>
        <v>9.4339622641509441E-2</v>
      </c>
      <c r="M199">
        <f>IFERROR($J199/IF($A199&lt;COUNTIFS($K$1:M$1,"&lt;&gt;"),0,SUMIFS($J:$J,$B:$B,$B199,$A:$A,"&gt;="&amp;COUNTIFS($K$1:M$1,"&lt;&gt;"))),0)</f>
        <v>0</v>
      </c>
      <c r="N199">
        <f>IFERROR($J199/IF($A199&lt;COUNTIFS($K$1:N$1,"&lt;&gt;"),0,SUMIFS($J:$J,$B:$B,$B199,$A:$A,"&gt;="&amp;COUNTIFS($K$1:N$1,"&lt;&gt;"))),0)</f>
        <v>0</v>
      </c>
      <c r="O199">
        <f>IFERROR($J199/IF($A199&lt;COUNTIFS($K$1:O$1,"&lt;&gt;"),0,SUMIFS($J:$J,$B:$B,$B199,$A:$A,"&gt;="&amp;COUNTIFS($K$1:O$1,"&lt;&gt;"))),0)</f>
        <v>0</v>
      </c>
      <c r="P199">
        <f>IFERROR($J199/IF($A199&lt;COUNTIFS($K$1:P$1,"&lt;&gt;"),0,SUMIFS($J:$J,$B:$B,$B199,$A:$A,"&gt;="&amp;COUNTIFS($K$1:P$1,"&lt;&gt;"))),0)</f>
        <v>0</v>
      </c>
      <c r="Q199">
        <f>IFERROR($J199/IF($A199&lt;COUNTIFS($K$1:Q$1,"&lt;&gt;"),0,SUMIFS($J:$J,$B:$B,$B199,$A:$A,"&gt;="&amp;COUNTIFS($K$1:Q$1,"&lt;&gt;"))),0)</f>
        <v>0</v>
      </c>
      <c r="R199">
        <f>IFERROR($J199/IF($A199&lt;COUNTIFS($K$1:R$1,"&lt;&gt;"),0,SUMIFS($J:$J,$B:$B,$B199,$A:$A,"&gt;="&amp;COUNTIFS($K$1:R$1,"&lt;&gt;"))),0)</f>
        <v>0</v>
      </c>
      <c r="S199">
        <f>IFERROR($J199/IF($A199&lt;COUNTIFS($K$1:S$1,"&lt;&gt;"),0,SUMIFS($J:$J,$B:$B,$B199,$A:$A,"&gt;="&amp;COUNTIFS($K$1:S$1,"&lt;&gt;"))),0)</f>
        <v>0</v>
      </c>
      <c r="T199">
        <f>IFERROR($J199/IF($A199&lt;COUNTIFS($K$1:T$1,"&lt;&gt;"),0,SUMIFS($J:$J,$B:$B,$B199,$A:$A,"&gt;="&amp;COUNTIFS($K$1:T$1,"&lt;&gt;"))),0)</f>
        <v>0</v>
      </c>
      <c r="U199">
        <f>IFERROR($J199/IF($A199&lt;COUNTIFS($K$1:U$1,"&lt;&gt;"),0,SUMIFS($J:$J,$B:$B,$B199,$A:$A,"&gt;="&amp;COUNTIFS($K$1:U$1,"&lt;&gt;"))),0)</f>
        <v>0</v>
      </c>
      <c r="V199">
        <f>IFERROR($J199/IF($A199&lt;COUNTIFS($K$1:V$1,"&lt;&gt;"),0,SUMIFS($J:$J,$B:$B,$B199,$A:$A,"&gt;="&amp;COUNTIFS($K$1:V$1,"&lt;&gt;"))),0)</f>
        <v>0</v>
      </c>
      <c r="W199">
        <f t="shared" si="90"/>
        <v>8.2191780821917804E-2</v>
      </c>
      <c r="X199">
        <f t="shared" si="70"/>
        <v>8.2191780821917804E-2</v>
      </c>
      <c r="Y199">
        <f t="shared" si="71"/>
        <v>8.2191780821917804E-2</v>
      </c>
      <c r="Z199">
        <f t="shared" si="72"/>
        <v>0</v>
      </c>
      <c r="AA199">
        <f t="shared" si="73"/>
        <v>0</v>
      </c>
      <c r="AB199">
        <f t="shared" si="74"/>
        <v>0</v>
      </c>
      <c r="AC199">
        <f t="shared" si="75"/>
        <v>0</v>
      </c>
      <c r="AD199">
        <f t="shared" si="76"/>
        <v>0</v>
      </c>
      <c r="AE199">
        <f t="shared" si="77"/>
        <v>0</v>
      </c>
      <c r="AF199">
        <f t="shared" si="78"/>
        <v>0</v>
      </c>
      <c r="AG199">
        <f t="shared" si="79"/>
        <v>0</v>
      </c>
      <c r="AH199">
        <f t="shared" si="80"/>
        <v>0</v>
      </c>
      <c r="AI199">
        <f t="shared" si="81"/>
        <v>0</v>
      </c>
      <c r="AJ199" s="2" t="str">
        <f t="shared" si="91"/>
        <v>244287</v>
      </c>
    </row>
    <row r="200" spans="1:36" x14ac:dyDescent="0.25">
      <c r="A200">
        <v>3</v>
      </c>
      <c r="B200" s="1">
        <v>44287</v>
      </c>
      <c r="C200" s="1">
        <f t="shared" si="82"/>
        <v>44378</v>
      </c>
      <c r="D200" s="1">
        <f t="shared" si="83"/>
        <v>44301</v>
      </c>
      <c r="E200" s="1">
        <f t="shared" si="84"/>
        <v>44378</v>
      </c>
      <c r="F200" s="1">
        <f t="shared" si="85"/>
        <v>44409</v>
      </c>
      <c r="G200" s="1">
        <f t="shared" si="86"/>
        <v>44666</v>
      </c>
      <c r="H200">
        <f t="shared" si="87"/>
        <v>365</v>
      </c>
      <c r="I200">
        <f t="shared" si="88"/>
        <v>31</v>
      </c>
      <c r="J200">
        <f t="shared" si="89"/>
        <v>8.4931506849315067E-2</v>
      </c>
      <c r="K200">
        <f>IFERROR($J200/IF($A200&lt;COUNTIFS($K$1:K$1,"&lt;&gt;"),0,SUMIFS($J:$J,$B:$B,$B200,$A:$A,"&gt;="&amp;COUNTIFS($K$1:K$1,"&lt;&gt;"))),0)</f>
        <v>8.8825214899713484E-2</v>
      </c>
      <c r="L200">
        <f>IFERROR($J200/IF($A200&lt;COUNTIFS($K$1:L$1,"&lt;&gt;"),0,SUMIFS($J:$J,$B:$B,$B200,$A:$A,"&gt;="&amp;COUNTIFS($K$1:L$1,"&lt;&gt;"))),0)</f>
        <v>9.7484276729559768E-2</v>
      </c>
      <c r="M200">
        <f>IFERROR($J200/IF($A200&lt;COUNTIFS($K$1:M$1,"&lt;&gt;"),0,SUMIFS($J:$J,$B:$B,$B200,$A:$A,"&gt;="&amp;COUNTIFS($K$1:M$1,"&lt;&gt;"))),0)</f>
        <v>0.10763888888888891</v>
      </c>
      <c r="N200">
        <f>IFERROR($J200/IF($A200&lt;COUNTIFS($K$1:N$1,"&lt;&gt;"),0,SUMIFS($J:$J,$B:$B,$B200,$A:$A,"&gt;="&amp;COUNTIFS($K$1:N$1,"&lt;&gt;"))),0)</f>
        <v>0</v>
      </c>
      <c r="O200">
        <f>IFERROR($J200/IF($A200&lt;COUNTIFS($K$1:O$1,"&lt;&gt;"),0,SUMIFS($J:$J,$B:$B,$B200,$A:$A,"&gt;="&amp;COUNTIFS($K$1:O$1,"&lt;&gt;"))),0)</f>
        <v>0</v>
      </c>
      <c r="P200">
        <f>IFERROR($J200/IF($A200&lt;COUNTIFS($K$1:P$1,"&lt;&gt;"),0,SUMIFS($J:$J,$B:$B,$B200,$A:$A,"&gt;="&amp;COUNTIFS($K$1:P$1,"&lt;&gt;"))),0)</f>
        <v>0</v>
      </c>
      <c r="Q200">
        <f>IFERROR($J200/IF($A200&lt;COUNTIFS($K$1:Q$1,"&lt;&gt;"),0,SUMIFS($J:$J,$B:$B,$B200,$A:$A,"&gt;="&amp;COUNTIFS($K$1:Q$1,"&lt;&gt;"))),0)</f>
        <v>0</v>
      </c>
      <c r="R200">
        <f>IFERROR($J200/IF($A200&lt;COUNTIFS($K$1:R$1,"&lt;&gt;"),0,SUMIFS($J:$J,$B:$B,$B200,$A:$A,"&gt;="&amp;COUNTIFS($K$1:R$1,"&lt;&gt;"))),0)</f>
        <v>0</v>
      </c>
      <c r="S200">
        <f>IFERROR($J200/IF($A200&lt;COUNTIFS($K$1:S$1,"&lt;&gt;"),0,SUMIFS($J:$J,$B:$B,$B200,$A:$A,"&gt;="&amp;COUNTIFS($K$1:S$1,"&lt;&gt;"))),0)</f>
        <v>0</v>
      </c>
      <c r="T200">
        <f>IFERROR($J200/IF($A200&lt;COUNTIFS($K$1:T$1,"&lt;&gt;"),0,SUMIFS($J:$J,$B:$B,$B200,$A:$A,"&gt;="&amp;COUNTIFS($K$1:T$1,"&lt;&gt;"))),0)</f>
        <v>0</v>
      </c>
      <c r="U200">
        <f>IFERROR($J200/IF($A200&lt;COUNTIFS($K$1:U$1,"&lt;&gt;"),0,SUMIFS($J:$J,$B:$B,$B200,$A:$A,"&gt;="&amp;COUNTIFS($K$1:U$1,"&lt;&gt;"))),0)</f>
        <v>0</v>
      </c>
      <c r="V200">
        <f>IFERROR($J200/IF($A200&lt;COUNTIFS($K$1:V$1,"&lt;&gt;"),0,SUMIFS($J:$J,$B:$B,$B200,$A:$A,"&gt;="&amp;COUNTIFS($K$1:V$1,"&lt;&gt;"))),0)</f>
        <v>0</v>
      </c>
      <c r="W200">
        <f t="shared" si="90"/>
        <v>8.4931506849315067E-2</v>
      </c>
      <c r="X200">
        <f t="shared" si="70"/>
        <v>8.4931506849315067E-2</v>
      </c>
      <c r="Y200">
        <f t="shared" si="71"/>
        <v>8.4931506849315067E-2</v>
      </c>
      <c r="Z200">
        <f t="shared" si="72"/>
        <v>8.4931506849315067E-2</v>
      </c>
      <c r="AA200">
        <f t="shared" si="73"/>
        <v>0</v>
      </c>
      <c r="AB200">
        <f t="shared" si="74"/>
        <v>0</v>
      </c>
      <c r="AC200">
        <f t="shared" si="75"/>
        <v>0</v>
      </c>
      <c r="AD200">
        <f t="shared" si="76"/>
        <v>0</v>
      </c>
      <c r="AE200">
        <f t="shared" si="77"/>
        <v>0</v>
      </c>
      <c r="AF200">
        <f t="shared" si="78"/>
        <v>0</v>
      </c>
      <c r="AG200">
        <f t="shared" si="79"/>
        <v>0</v>
      </c>
      <c r="AH200">
        <f t="shared" si="80"/>
        <v>0</v>
      </c>
      <c r="AI200">
        <f t="shared" si="81"/>
        <v>0</v>
      </c>
      <c r="AJ200" s="2" t="str">
        <f t="shared" si="91"/>
        <v>344287</v>
      </c>
    </row>
    <row r="201" spans="1:36" x14ac:dyDescent="0.25">
      <c r="A201">
        <v>4</v>
      </c>
      <c r="B201" s="1">
        <v>44287</v>
      </c>
      <c r="C201" s="1">
        <f t="shared" si="82"/>
        <v>44409</v>
      </c>
      <c r="D201" s="1">
        <f t="shared" si="83"/>
        <v>44301</v>
      </c>
      <c r="E201" s="1">
        <f t="shared" si="84"/>
        <v>44409</v>
      </c>
      <c r="F201" s="1">
        <f t="shared" si="85"/>
        <v>44440</v>
      </c>
      <c r="G201" s="1">
        <f t="shared" si="86"/>
        <v>44666</v>
      </c>
      <c r="H201">
        <f t="shared" si="87"/>
        <v>365</v>
      </c>
      <c r="I201">
        <f t="shared" si="88"/>
        <v>31</v>
      </c>
      <c r="J201">
        <f t="shared" si="89"/>
        <v>8.4931506849315067E-2</v>
      </c>
      <c r="K201">
        <f>IFERROR($J201/IF($A201&lt;COUNTIFS($K$1:K$1,"&lt;&gt;"),0,SUMIFS($J:$J,$B:$B,$B201,$A:$A,"&gt;="&amp;COUNTIFS($K$1:K$1,"&lt;&gt;"))),0)</f>
        <v>8.8825214899713484E-2</v>
      </c>
      <c r="L201">
        <f>IFERROR($J201/IF($A201&lt;COUNTIFS($K$1:L$1,"&lt;&gt;"),0,SUMIFS($J:$J,$B:$B,$B201,$A:$A,"&gt;="&amp;COUNTIFS($K$1:L$1,"&lt;&gt;"))),0)</f>
        <v>9.7484276729559768E-2</v>
      </c>
      <c r="M201">
        <f>IFERROR($J201/IF($A201&lt;COUNTIFS($K$1:M$1,"&lt;&gt;"),0,SUMIFS($J:$J,$B:$B,$B201,$A:$A,"&gt;="&amp;COUNTIFS($K$1:M$1,"&lt;&gt;"))),0)</f>
        <v>0.10763888888888891</v>
      </c>
      <c r="N201">
        <f>IFERROR($J201/IF($A201&lt;COUNTIFS($K$1:N$1,"&lt;&gt;"),0,SUMIFS($J:$J,$B:$B,$B201,$A:$A,"&gt;="&amp;COUNTIFS($K$1:N$1,"&lt;&gt;"))),0)</f>
        <v>0.12062256809338523</v>
      </c>
      <c r="O201">
        <f>IFERROR($J201/IF($A201&lt;COUNTIFS($K$1:O$1,"&lt;&gt;"),0,SUMIFS($J:$J,$B:$B,$B201,$A:$A,"&gt;="&amp;COUNTIFS($K$1:O$1,"&lt;&gt;"))),0)</f>
        <v>0</v>
      </c>
      <c r="P201">
        <f>IFERROR($J201/IF($A201&lt;COUNTIFS($K$1:P$1,"&lt;&gt;"),0,SUMIFS($J:$J,$B:$B,$B201,$A:$A,"&gt;="&amp;COUNTIFS($K$1:P$1,"&lt;&gt;"))),0)</f>
        <v>0</v>
      </c>
      <c r="Q201">
        <f>IFERROR($J201/IF($A201&lt;COUNTIFS($K$1:Q$1,"&lt;&gt;"),0,SUMIFS($J:$J,$B:$B,$B201,$A:$A,"&gt;="&amp;COUNTIFS($K$1:Q$1,"&lt;&gt;"))),0)</f>
        <v>0</v>
      </c>
      <c r="R201">
        <f>IFERROR($J201/IF($A201&lt;COUNTIFS($K$1:R$1,"&lt;&gt;"),0,SUMIFS($J:$J,$B:$B,$B201,$A:$A,"&gt;="&amp;COUNTIFS($K$1:R$1,"&lt;&gt;"))),0)</f>
        <v>0</v>
      </c>
      <c r="S201">
        <f>IFERROR($J201/IF($A201&lt;COUNTIFS($K$1:S$1,"&lt;&gt;"),0,SUMIFS($J:$J,$B:$B,$B201,$A:$A,"&gt;="&amp;COUNTIFS($K$1:S$1,"&lt;&gt;"))),0)</f>
        <v>0</v>
      </c>
      <c r="T201">
        <f>IFERROR($J201/IF($A201&lt;COUNTIFS($K$1:T$1,"&lt;&gt;"),0,SUMIFS($J:$J,$B:$B,$B201,$A:$A,"&gt;="&amp;COUNTIFS($K$1:T$1,"&lt;&gt;"))),0)</f>
        <v>0</v>
      </c>
      <c r="U201">
        <f>IFERROR($J201/IF($A201&lt;COUNTIFS($K$1:U$1,"&lt;&gt;"),0,SUMIFS($J:$J,$B:$B,$B201,$A:$A,"&gt;="&amp;COUNTIFS($K$1:U$1,"&lt;&gt;"))),0)</f>
        <v>0</v>
      </c>
      <c r="V201">
        <f>IFERROR($J201/IF($A201&lt;COUNTIFS($K$1:V$1,"&lt;&gt;"),0,SUMIFS($J:$J,$B:$B,$B201,$A:$A,"&gt;="&amp;COUNTIFS($K$1:V$1,"&lt;&gt;"))),0)</f>
        <v>0</v>
      </c>
      <c r="W201">
        <f t="shared" si="90"/>
        <v>8.4931506849315067E-2</v>
      </c>
      <c r="X201">
        <f t="shared" si="70"/>
        <v>8.4931506849315067E-2</v>
      </c>
      <c r="Y201">
        <f t="shared" si="71"/>
        <v>8.4931506849315067E-2</v>
      </c>
      <c r="Z201">
        <f t="shared" si="72"/>
        <v>8.4931506849315067E-2</v>
      </c>
      <c r="AA201">
        <f t="shared" si="73"/>
        <v>8.4931506849315067E-2</v>
      </c>
      <c r="AB201">
        <f t="shared" si="74"/>
        <v>0</v>
      </c>
      <c r="AC201">
        <f t="shared" si="75"/>
        <v>0</v>
      </c>
      <c r="AD201">
        <f t="shared" si="76"/>
        <v>0</v>
      </c>
      <c r="AE201">
        <f t="shared" si="77"/>
        <v>0</v>
      </c>
      <c r="AF201">
        <f t="shared" si="78"/>
        <v>0</v>
      </c>
      <c r="AG201">
        <f t="shared" si="79"/>
        <v>0</v>
      </c>
      <c r="AH201">
        <f t="shared" si="80"/>
        <v>0</v>
      </c>
      <c r="AI201">
        <f t="shared" si="81"/>
        <v>0</v>
      </c>
      <c r="AJ201" s="2" t="str">
        <f t="shared" si="91"/>
        <v>444287</v>
      </c>
    </row>
    <row r="202" spans="1:36" x14ac:dyDescent="0.25">
      <c r="A202">
        <v>5</v>
      </c>
      <c r="B202" s="1">
        <v>44287</v>
      </c>
      <c r="C202" s="1">
        <f t="shared" si="82"/>
        <v>44440</v>
      </c>
      <c r="D202" s="1">
        <f t="shared" si="83"/>
        <v>44301</v>
      </c>
      <c r="E202" s="1">
        <f t="shared" si="84"/>
        <v>44440</v>
      </c>
      <c r="F202" s="1">
        <f t="shared" si="85"/>
        <v>44470</v>
      </c>
      <c r="G202" s="1">
        <f t="shared" si="86"/>
        <v>44666</v>
      </c>
      <c r="H202">
        <f t="shared" si="87"/>
        <v>365</v>
      </c>
      <c r="I202">
        <f t="shared" si="88"/>
        <v>30</v>
      </c>
      <c r="J202">
        <f t="shared" si="89"/>
        <v>8.2191780821917804E-2</v>
      </c>
      <c r="K202">
        <f>IFERROR($J202/IF($A202&lt;COUNTIFS($K$1:K$1,"&lt;&gt;"),0,SUMIFS($J:$J,$B:$B,$B202,$A:$A,"&gt;="&amp;COUNTIFS($K$1:K$1,"&lt;&gt;"))),0)</f>
        <v>8.5959885386819493E-2</v>
      </c>
      <c r="L202">
        <f>IFERROR($J202/IF($A202&lt;COUNTIFS($K$1:L$1,"&lt;&gt;"),0,SUMIFS($J:$J,$B:$B,$B202,$A:$A,"&gt;="&amp;COUNTIFS($K$1:L$1,"&lt;&gt;"))),0)</f>
        <v>9.4339622641509441E-2</v>
      </c>
      <c r="M202">
        <f>IFERROR($J202/IF($A202&lt;COUNTIFS($K$1:M$1,"&lt;&gt;"),0,SUMIFS($J:$J,$B:$B,$B202,$A:$A,"&gt;="&amp;COUNTIFS($K$1:M$1,"&lt;&gt;"))),0)</f>
        <v>0.10416666666666669</v>
      </c>
      <c r="N202">
        <f>IFERROR($J202/IF($A202&lt;COUNTIFS($K$1:N$1,"&lt;&gt;"),0,SUMIFS($J:$J,$B:$B,$B202,$A:$A,"&gt;="&amp;COUNTIFS($K$1:N$1,"&lt;&gt;"))),0)</f>
        <v>0.11673151750972764</v>
      </c>
      <c r="O202">
        <f>IFERROR($J202/IF($A202&lt;COUNTIFS($K$1:O$1,"&lt;&gt;"),0,SUMIFS($J:$J,$B:$B,$B202,$A:$A,"&gt;="&amp;COUNTIFS($K$1:O$1,"&lt;&gt;"))),0)</f>
        <v>0.13274336283185842</v>
      </c>
      <c r="P202">
        <f>IFERROR($J202/IF($A202&lt;COUNTIFS($K$1:P$1,"&lt;&gt;"),0,SUMIFS($J:$J,$B:$B,$B202,$A:$A,"&gt;="&amp;COUNTIFS($K$1:P$1,"&lt;&gt;"))),0)</f>
        <v>0</v>
      </c>
      <c r="Q202">
        <f>IFERROR($J202/IF($A202&lt;COUNTIFS($K$1:Q$1,"&lt;&gt;"),0,SUMIFS($J:$J,$B:$B,$B202,$A:$A,"&gt;="&amp;COUNTIFS($K$1:Q$1,"&lt;&gt;"))),0)</f>
        <v>0</v>
      </c>
      <c r="R202">
        <f>IFERROR($J202/IF($A202&lt;COUNTIFS($K$1:R$1,"&lt;&gt;"),0,SUMIFS($J:$J,$B:$B,$B202,$A:$A,"&gt;="&amp;COUNTIFS($K$1:R$1,"&lt;&gt;"))),0)</f>
        <v>0</v>
      </c>
      <c r="S202">
        <f>IFERROR($J202/IF($A202&lt;COUNTIFS($K$1:S$1,"&lt;&gt;"),0,SUMIFS($J:$J,$B:$B,$B202,$A:$A,"&gt;="&amp;COUNTIFS($K$1:S$1,"&lt;&gt;"))),0)</f>
        <v>0</v>
      </c>
      <c r="T202">
        <f>IFERROR($J202/IF($A202&lt;COUNTIFS($K$1:T$1,"&lt;&gt;"),0,SUMIFS($J:$J,$B:$B,$B202,$A:$A,"&gt;="&amp;COUNTIFS($K$1:T$1,"&lt;&gt;"))),0)</f>
        <v>0</v>
      </c>
      <c r="U202">
        <f>IFERROR($J202/IF($A202&lt;COUNTIFS($K$1:U$1,"&lt;&gt;"),0,SUMIFS($J:$J,$B:$B,$B202,$A:$A,"&gt;="&amp;COUNTIFS($K$1:U$1,"&lt;&gt;"))),0)</f>
        <v>0</v>
      </c>
      <c r="V202">
        <f>IFERROR($J202/IF($A202&lt;COUNTIFS($K$1:V$1,"&lt;&gt;"),0,SUMIFS($J:$J,$B:$B,$B202,$A:$A,"&gt;="&amp;COUNTIFS($K$1:V$1,"&lt;&gt;"))),0)</f>
        <v>0</v>
      </c>
      <c r="W202">
        <f t="shared" si="90"/>
        <v>8.2191780821917804E-2</v>
      </c>
      <c r="X202">
        <f t="shared" si="70"/>
        <v>8.2191780821917804E-2</v>
      </c>
      <c r="Y202">
        <f t="shared" si="71"/>
        <v>8.2191780821917804E-2</v>
      </c>
      <c r="Z202">
        <f t="shared" si="72"/>
        <v>8.2191780821917804E-2</v>
      </c>
      <c r="AA202">
        <f t="shared" si="73"/>
        <v>8.2191780821917804E-2</v>
      </c>
      <c r="AB202">
        <f t="shared" si="74"/>
        <v>8.2191780821917804E-2</v>
      </c>
      <c r="AC202">
        <f t="shared" si="75"/>
        <v>0</v>
      </c>
      <c r="AD202">
        <f t="shared" si="76"/>
        <v>0</v>
      </c>
      <c r="AE202">
        <f t="shared" si="77"/>
        <v>0</v>
      </c>
      <c r="AF202">
        <f t="shared" si="78"/>
        <v>0</v>
      </c>
      <c r="AG202">
        <f t="shared" si="79"/>
        <v>0</v>
      </c>
      <c r="AH202">
        <f t="shared" si="80"/>
        <v>0</v>
      </c>
      <c r="AI202">
        <f t="shared" si="81"/>
        <v>0</v>
      </c>
      <c r="AJ202" s="2" t="str">
        <f t="shared" si="91"/>
        <v>544287</v>
      </c>
    </row>
    <row r="203" spans="1:36" x14ac:dyDescent="0.25">
      <c r="A203">
        <v>6</v>
      </c>
      <c r="B203" s="1">
        <v>44287</v>
      </c>
      <c r="C203" s="1">
        <f t="shared" si="82"/>
        <v>44470</v>
      </c>
      <c r="D203" s="1">
        <f t="shared" si="83"/>
        <v>44301</v>
      </c>
      <c r="E203" s="1">
        <f t="shared" si="84"/>
        <v>44470</v>
      </c>
      <c r="F203" s="1">
        <f t="shared" si="85"/>
        <v>44501</v>
      </c>
      <c r="G203" s="1">
        <f t="shared" si="86"/>
        <v>44666</v>
      </c>
      <c r="H203">
        <f t="shared" si="87"/>
        <v>365</v>
      </c>
      <c r="I203">
        <f t="shared" si="88"/>
        <v>31</v>
      </c>
      <c r="J203">
        <f t="shared" si="89"/>
        <v>8.4931506849315067E-2</v>
      </c>
      <c r="K203">
        <f>IFERROR($J203/IF($A203&lt;COUNTIFS($K$1:K$1,"&lt;&gt;"),0,SUMIFS($J:$J,$B:$B,$B203,$A:$A,"&gt;="&amp;COUNTIFS($K$1:K$1,"&lt;&gt;"))),0)</f>
        <v>8.8825214899713484E-2</v>
      </c>
      <c r="L203">
        <f>IFERROR($J203/IF($A203&lt;COUNTIFS($K$1:L$1,"&lt;&gt;"),0,SUMIFS($J:$J,$B:$B,$B203,$A:$A,"&gt;="&amp;COUNTIFS($K$1:L$1,"&lt;&gt;"))),0)</f>
        <v>9.7484276729559768E-2</v>
      </c>
      <c r="M203">
        <f>IFERROR($J203/IF($A203&lt;COUNTIFS($K$1:M$1,"&lt;&gt;"),0,SUMIFS($J:$J,$B:$B,$B203,$A:$A,"&gt;="&amp;COUNTIFS($K$1:M$1,"&lt;&gt;"))),0)</f>
        <v>0.10763888888888891</v>
      </c>
      <c r="N203">
        <f>IFERROR($J203/IF($A203&lt;COUNTIFS($K$1:N$1,"&lt;&gt;"),0,SUMIFS($J:$J,$B:$B,$B203,$A:$A,"&gt;="&amp;COUNTIFS($K$1:N$1,"&lt;&gt;"))),0)</f>
        <v>0.12062256809338523</v>
      </c>
      <c r="O203">
        <f>IFERROR($J203/IF($A203&lt;COUNTIFS($K$1:O$1,"&lt;&gt;"),0,SUMIFS($J:$J,$B:$B,$B203,$A:$A,"&gt;="&amp;COUNTIFS($K$1:O$1,"&lt;&gt;"))),0)</f>
        <v>0.13716814159292037</v>
      </c>
      <c r="P203">
        <f>IFERROR($J203/IF($A203&lt;COUNTIFS($K$1:P$1,"&lt;&gt;"),0,SUMIFS($J:$J,$B:$B,$B203,$A:$A,"&gt;="&amp;COUNTIFS($K$1:P$1,"&lt;&gt;"))),0)</f>
        <v>0.15816326530612249</v>
      </c>
      <c r="Q203">
        <f>IFERROR($J203/IF($A203&lt;COUNTIFS($K$1:Q$1,"&lt;&gt;"),0,SUMIFS($J:$J,$B:$B,$B203,$A:$A,"&gt;="&amp;COUNTIFS($K$1:Q$1,"&lt;&gt;"))),0)</f>
        <v>0</v>
      </c>
      <c r="R203">
        <f>IFERROR($J203/IF($A203&lt;COUNTIFS($K$1:R$1,"&lt;&gt;"),0,SUMIFS($J:$J,$B:$B,$B203,$A:$A,"&gt;="&amp;COUNTIFS($K$1:R$1,"&lt;&gt;"))),0)</f>
        <v>0</v>
      </c>
      <c r="S203">
        <f>IFERROR($J203/IF($A203&lt;COUNTIFS($K$1:S$1,"&lt;&gt;"),0,SUMIFS($J:$J,$B:$B,$B203,$A:$A,"&gt;="&amp;COUNTIFS($K$1:S$1,"&lt;&gt;"))),0)</f>
        <v>0</v>
      </c>
      <c r="T203">
        <f>IFERROR($J203/IF($A203&lt;COUNTIFS($K$1:T$1,"&lt;&gt;"),0,SUMIFS($J:$J,$B:$B,$B203,$A:$A,"&gt;="&amp;COUNTIFS($K$1:T$1,"&lt;&gt;"))),0)</f>
        <v>0</v>
      </c>
      <c r="U203">
        <f>IFERROR($J203/IF($A203&lt;COUNTIFS($K$1:U$1,"&lt;&gt;"),0,SUMIFS($J:$J,$B:$B,$B203,$A:$A,"&gt;="&amp;COUNTIFS($K$1:U$1,"&lt;&gt;"))),0)</f>
        <v>0</v>
      </c>
      <c r="V203">
        <f>IFERROR($J203/IF($A203&lt;COUNTIFS($K$1:V$1,"&lt;&gt;"),0,SUMIFS($J:$J,$B:$B,$B203,$A:$A,"&gt;="&amp;COUNTIFS($K$1:V$1,"&lt;&gt;"))),0)</f>
        <v>0</v>
      </c>
      <c r="W203">
        <f t="shared" si="90"/>
        <v>8.4931506849315067E-2</v>
      </c>
      <c r="X203">
        <f t="shared" si="70"/>
        <v>8.4931506849315067E-2</v>
      </c>
      <c r="Y203">
        <f t="shared" si="71"/>
        <v>8.4931506849315067E-2</v>
      </c>
      <c r="Z203">
        <f t="shared" si="72"/>
        <v>8.4931506849315067E-2</v>
      </c>
      <c r="AA203">
        <f t="shared" si="73"/>
        <v>8.4931506849315067E-2</v>
      </c>
      <c r="AB203">
        <f t="shared" si="74"/>
        <v>8.4931506849315067E-2</v>
      </c>
      <c r="AC203">
        <f t="shared" si="75"/>
        <v>8.4931506849315067E-2</v>
      </c>
      <c r="AD203">
        <f t="shared" si="76"/>
        <v>0</v>
      </c>
      <c r="AE203">
        <f t="shared" si="77"/>
        <v>0</v>
      </c>
      <c r="AF203">
        <f t="shared" si="78"/>
        <v>0</v>
      </c>
      <c r="AG203">
        <f t="shared" si="79"/>
        <v>0</v>
      </c>
      <c r="AH203">
        <f t="shared" si="80"/>
        <v>0</v>
      </c>
      <c r="AI203">
        <f t="shared" si="81"/>
        <v>0</v>
      </c>
      <c r="AJ203" s="2" t="str">
        <f t="shared" si="91"/>
        <v>644287</v>
      </c>
    </row>
    <row r="204" spans="1:36" x14ac:dyDescent="0.25">
      <c r="A204">
        <v>7</v>
      </c>
      <c r="B204" s="1">
        <v>44287</v>
      </c>
      <c r="C204" s="1">
        <f t="shared" si="82"/>
        <v>44501</v>
      </c>
      <c r="D204" s="1">
        <f t="shared" si="83"/>
        <v>44301</v>
      </c>
      <c r="E204" s="1">
        <f t="shared" si="84"/>
        <v>44501</v>
      </c>
      <c r="F204" s="1">
        <f t="shared" si="85"/>
        <v>44531</v>
      </c>
      <c r="G204" s="1">
        <f t="shared" si="86"/>
        <v>44666</v>
      </c>
      <c r="H204">
        <f t="shared" si="87"/>
        <v>365</v>
      </c>
      <c r="I204">
        <f t="shared" si="88"/>
        <v>30</v>
      </c>
      <c r="J204">
        <f t="shared" si="89"/>
        <v>8.2191780821917804E-2</v>
      </c>
      <c r="K204">
        <f>IFERROR($J204/IF($A204&lt;COUNTIFS($K$1:K$1,"&lt;&gt;"),0,SUMIFS($J:$J,$B:$B,$B204,$A:$A,"&gt;="&amp;COUNTIFS($K$1:K$1,"&lt;&gt;"))),0)</f>
        <v>8.5959885386819493E-2</v>
      </c>
      <c r="L204">
        <f>IFERROR($J204/IF($A204&lt;COUNTIFS($K$1:L$1,"&lt;&gt;"),0,SUMIFS($J:$J,$B:$B,$B204,$A:$A,"&gt;="&amp;COUNTIFS($K$1:L$1,"&lt;&gt;"))),0)</f>
        <v>9.4339622641509441E-2</v>
      </c>
      <c r="M204">
        <f>IFERROR($J204/IF($A204&lt;COUNTIFS($K$1:M$1,"&lt;&gt;"),0,SUMIFS($J:$J,$B:$B,$B204,$A:$A,"&gt;="&amp;COUNTIFS($K$1:M$1,"&lt;&gt;"))),0)</f>
        <v>0.10416666666666669</v>
      </c>
      <c r="N204">
        <f>IFERROR($J204/IF($A204&lt;COUNTIFS($K$1:N$1,"&lt;&gt;"),0,SUMIFS($J:$J,$B:$B,$B204,$A:$A,"&gt;="&amp;COUNTIFS($K$1:N$1,"&lt;&gt;"))),0)</f>
        <v>0.11673151750972764</v>
      </c>
      <c r="O204">
        <f>IFERROR($J204/IF($A204&lt;COUNTIFS($K$1:O$1,"&lt;&gt;"),0,SUMIFS($J:$J,$B:$B,$B204,$A:$A,"&gt;="&amp;COUNTIFS($K$1:O$1,"&lt;&gt;"))),0)</f>
        <v>0.13274336283185842</v>
      </c>
      <c r="P204">
        <f>IFERROR($J204/IF($A204&lt;COUNTIFS($K$1:P$1,"&lt;&gt;"),0,SUMIFS($J:$J,$B:$B,$B204,$A:$A,"&gt;="&amp;COUNTIFS($K$1:P$1,"&lt;&gt;"))),0)</f>
        <v>0.15306122448979595</v>
      </c>
      <c r="Q204">
        <f>IFERROR($J204/IF($A204&lt;COUNTIFS($K$1:Q$1,"&lt;&gt;"),0,SUMIFS($J:$J,$B:$B,$B204,$A:$A,"&gt;="&amp;COUNTIFS($K$1:Q$1,"&lt;&gt;"))),0)</f>
        <v>0.18181818181818182</v>
      </c>
      <c r="R204">
        <f>IFERROR($J204/IF($A204&lt;COUNTIFS($K$1:R$1,"&lt;&gt;"),0,SUMIFS($J:$J,$B:$B,$B204,$A:$A,"&gt;="&amp;COUNTIFS($K$1:R$1,"&lt;&gt;"))),0)</f>
        <v>0</v>
      </c>
      <c r="S204">
        <f>IFERROR($J204/IF($A204&lt;COUNTIFS($K$1:S$1,"&lt;&gt;"),0,SUMIFS($J:$J,$B:$B,$B204,$A:$A,"&gt;="&amp;COUNTIFS($K$1:S$1,"&lt;&gt;"))),0)</f>
        <v>0</v>
      </c>
      <c r="T204">
        <f>IFERROR($J204/IF($A204&lt;COUNTIFS($K$1:T$1,"&lt;&gt;"),0,SUMIFS($J:$J,$B:$B,$B204,$A:$A,"&gt;="&amp;COUNTIFS($K$1:T$1,"&lt;&gt;"))),0)</f>
        <v>0</v>
      </c>
      <c r="U204">
        <f>IFERROR($J204/IF($A204&lt;COUNTIFS($K$1:U$1,"&lt;&gt;"),0,SUMIFS($J:$J,$B:$B,$B204,$A:$A,"&gt;="&amp;COUNTIFS($K$1:U$1,"&lt;&gt;"))),0)</f>
        <v>0</v>
      </c>
      <c r="V204">
        <f>IFERROR($J204/IF($A204&lt;COUNTIFS($K$1:V$1,"&lt;&gt;"),0,SUMIFS($J:$J,$B:$B,$B204,$A:$A,"&gt;="&amp;COUNTIFS($K$1:V$1,"&lt;&gt;"))),0)</f>
        <v>0</v>
      </c>
      <c r="W204">
        <f t="shared" si="90"/>
        <v>8.2191780821917804E-2</v>
      </c>
      <c r="X204">
        <f t="shared" si="70"/>
        <v>8.2191780821917804E-2</v>
      </c>
      <c r="Y204">
        <f t="shared" si="71"/>
        <v>8.2191780821917804E-2</v>
      </c>
      <c r="Z204">
        <f t="shared" si="72"/>
        <v>8.2191780821917804E-2</v>
      </c>
      <c r="AA204">
        <f t="shared" si="73"/>
        <v>8.2191780821917804E-2</v>
      </c>
      <c r="AB204">
        <f t="shared" si="74"/>
        <v>8.2191780821917804E-2</v>
      </c>
      <c r="AC204">
        <f t="shared" si="75"/>
        <v>8.2191780821917804E-2</v>
      </c>
      <c r="AD204">
        <f t="shared" si="76"/>
        <v>8.2191780821917804E-2</v>
      </c>
      <c r="AE204">
        <f t="shared" si="77"/>
        <v>0</v>
      </c>
      <c r="AF204">
        <f t="shared" si="78"/>
        <v>0</v>
      </c>
      <c r="AG204">
        <f t="shared" si="79"/>
        <v>0</v>
      </c>
      <c r="AH204">
        <f t="shared" si="80"/>
        <v>0</v>
      </c>
      <c r="AI204">
        <f t="shared" si="81"/>
        <v>0</v>
      </c>
      <c r="AJ204" s="2" t="str">
        <f t="shared" si="91"/>
        <v>744287</v>
      </c>
    </row>
    <row r="205" spans="1:36" x14ac:dyDescent="0.25">
      <c r="A205">
        <v>8</v>
      </c>
      <c r="B205" s="1">
        <v>44287</v>
      </c>
      <c r="C205" s="1">
        <f t="shared" si="82"/>
        <v>44531</v>
      </c>
      <c r="D205" s="1">
        <f t="shared" si="83"/>
        <v>44301</v>
      </c>
      <c r="E205" s="1">
        <f t="shared" si="84"/>
        <v>44531</v>
      </c>
      <c r="F205" s="1">
        <f t="shared" si="85"/>
        <v>44562</v>
      </c>
      <c r="G205" s="1">
        <f t="shared" si="86"/>
        <v>44666</v>
      </c>
      <c r="H205">
        <f t="shared" si="87"/>
        <v>365</v>
      </c>
      <c r="I205">
        <f t="shared" si="88"/>
        <v>31</v>
      </c>
      <c r="J205">
        <f t="shared" si="89"/>
        <v>8.4931506849315067E-2</v>
      </c>
      <c r="K205">
        <f>IFERROR($J205/IF($A205&lt;COUNTIFS($K$1:K$1,"&lt;&gt;"),0,SUMIFS($J:$J,$B:$B,$B205,$A:$A,"&gt;="&amp;COUNTIFS($K$1:K$1,"&lt;&gt;"))),0)</f>
        <v>8.8825214899713484E-2</v>
      </c>
      <c r="L205">
        <f>IFERROR($J205/IF($A205&lt;COUNTIFS($K$1:L$1,"&lt;&gt;"),0,SUMIFS($J:$J,$B:$B,$B205,$A:$A,"&gt;="&amp;COUNTIFS($K$1:L$1,"&lt;&gt;"))),0)</f>
        <v>9.7484276729559768E-2</v>
      </c>
      <c r="M205">
        <f>IFERROR($J205/IF($A205&lt;COUNTIFS($K$1:M$1,"&lt;&gt;"),0,SUMIFS($J:$J,$B:$B,$B205,$A:$A,"&gt;="&amp;COUNTIFS($K$1:M$1,"&lt;&gt;"))),0)</f>
        <v>0.10763888888888891</v>
      </c>
      <c r="N205">
        <f>IFERROR($J205/IF($A205&lt;COUNTIFS($K$1:N$1,"&lt;&gt;"),0,SUMIFS($J:$J,$B:$B,$B205,$A:$A,"&gt;="&amp;COUNTIFS($K$1:N$1,"&lt;&gt;"))),0)</f>
        <v>0.12062256809338523</v>
      </c>
      <c r="O205">
        <f>IFERROR($J205/IF($A205&lt;COUNTIFS($K$1:O$1,"&lt;&gt;"),0,SUMIFS($J:$J,$B:$B,$B205,$A:$A,"&gt;="&amp;COUNTIFS($K$1:O$1,"&lt;&gt;"))),0)</f>
        <v>0.13716814159292037</v>
      </c>
      <c r="P205">
        <f>IFERROR($J205/IF($A205&lt;COUNTIFS($K$1:P$1,"&lt;&gt;"),0,SUMIFS($J:$J,$B:$B,$B205,$A:$A,"&gt;="&amp;COUNTIFS($K$1:P$1,"&lt;&gt;"))),0)</f>
        <v>0.15816326530612249</v>
      </c>
      <c r="Q205">
        <f>IFERROR($J205/IF($A205&lt;COUNTIFS($K$1:Q$1,"&lt;&gt;"),0,SUMIFS($J:$J,$B:$B,$B205,$A:$A,"&gt;="&amp;COUNTIFS($K$1:Q$1,"&lt;&gt;"))),0)</f>
        <v>0.1878787878787879</v>
      </c>
      <c r="R205">
        <f>IFERROR($J205/IF($A205&lt;COUNTIFS($K$1:R$1,"&lt;&gt;"),0,SUMIFS($J:$J,$B:$B,$B205,$A:$A,"&gt;="&amp;COUNTIFS($K$1:R$1,"&lt;&gt;"))),0)</f>
        <v>0.22962962962962963</v>
      </c>
      <c r="S205">
        <f>IFERROR($J205/IF($A205&lt;COUNTIFS($K$1:S$1,"&lt;&gt;"),0,SUMIFS($J:$J,$B:$B,$B205,$A:$A,"&gt;="&amp;COUNTIFS($K$1:S$1,"&lt;&gt;"))),0)</f>
        <v>0</v>
      </c>
      <c r="T205">
        <f>IFERROR($J205/IF($A205&lt;COUNTIFS($K$1:T$1,"&lt;&gt;"),0,SUMIFS($J:$J,$B:$B,$B205,$A:$A,"&gt;="&amp;COUNTIFS($K$1:T$1,"&lt;&gt;"))),0)</f>
        <v>0</v>
      </c>
      <c r="U205">
        <f>IFERROR($J205/IF($A205&lt;COUNTIFS($K$1:U$1,"&lt;&gt;"),0,SUMIFS($J:$J,$B:$B,$B205,$A:$A,"&gt;="&amp;COUNTIFS($K$1:U$1,"&lt;&gt;"))),0)</f>
        <v>0</v>
      </c>
      <c r="V205">
        <f>IFERROR($J205/IF($A205&lt;COUNTIFS($K$1:V$1,"&lt;&gt;"),0,SUMIFS($J:$J,$B:$B,$B205,$A:$A,"&gt;="&amp;COUNTIFS($K$1:V$1,"&lt;&gt;"))),0)</f>
        <v>0</v>
      </c>
      <c r="W205">
        <f t="shared" si="90"/>
        <v>8.4931506849315067E-2</v>
      </c>
      <c r="X205">
        <f t="shared" si="70"/>
        <v>8.4931506849315067E-2</v>
      </c>
      <c r="Y205">
        <f t="shared" si="71"/>
        <v>8.4931506849315067E-2</v>
      </c>
      <c r="Z205">
        <f t="shared" si="72"/>
        <v>8.4931506849315067E-2</v>
      </c>
      <c r="AA205">
        <f t="shared" si="73"/>
        <v>8.4931506849315067E-2</v>
      </c>
      <c r="AB205">
        <f t="shared" si="74"/>
        <v>8.4931506849315067E-2</v>
      </c>
      <c r="AC205">
        <f t="shared" si="75"/>
        <v>8.4931506849315067E-2</v>
      </c>
      <c r="AD205">
        <f t="shared" si="76"/>
        <v>8.4931506849315067E-2</v>
      </c>
      <c r="AE205">
        <f t="shared" si="77"/>
        <v>8.4931506849315067E-2</v>
      </c>
      <c r="AF205">
        <f t="shared" si="78"/>
        <v>0</v>
      </c>
      <c r="AG205">
        <f t="shared" si="79"/>
        <v>0</v>
      </c>
      <c r="AH205">
        <f t="shared" si="80"/>
        <v>0</v>
      </c>
      <c r="AI205">
        <f t="shared" si="81"/>
        <v>0</v>
      </c>
      <c r="AJ205" s="2" t="str">
        <f t="shared" si="91"/>
        <v>844287</v>
      </c>
    </row>
    <row r="206" spans="1:36" x14ac:dyDescent="0.25">
      <c r="A206">
        <v>9</v>
      </c>
      <c r="B206" s="1">
        <v>44287</v>
      </c>
      <c r="C206" s="1">
        <f t="shared" si="82"/>
        <v>44562</v>
      </c>
      <c r="D206" s="1">
        <f t="shared" si="83"/>
        <v>44301</v>
      </c>
      <c r="E206" s="1">
        <f t="shared" si="84"/>
        <v>44562</v>
      </c>
      <c r="F206" s="1">
        <f t="shared" si="85"/>
        <v>44593</v>
      </c>
      <c r="G206" s="1">
        <f t="shared" si="86"/>
        <v>44666</v>
      </c>
      <c r="H206">
        <f t="shared" si="87"/>
        <v>365</v>
      </c>
      <c r="I206">
        <f t="shared" si="88"/>
        <v>31</v>
      </c>
      <c r="J206">
        <f t="shared" si="89"/>
        <v>8.4931506849315067E-2</v>
      </c>
      <c r="K206">
        <f>IFERROR($J206/IF($A206&lt;COUNTIFS($K$1:K$1,"&lt;&gt;"),0,SUMIFS($J:$J,$B:$B,$B206,$A:$A,"&gt;="&amp;COUNTIFS($K$1:K$1,"&lt;&gt;"))),0)</f>
        <v>8.8825214899713484E-2</v>
      </c>
      <c r="L206">
        <f>IFERROR($J206/IF($A206&lt;COUNTIFS($K$1:L$1,"&lt;&gt;"),0,SUMIFS($J:$J,$B:$B,$B206,$A:$A,"&gt;="&amp;COUNTIFS($K$1:L$1,"&lt;&gt;"))),0)</f>
        <v>9.7484276729559768E-2</v>
      </c>
      <c r="M206">
        <f>IFERROR($J206/IF($A206&lt;COUNTIFS($K$1:M$1,"&lt;&gt;"),0,SUMIFS($J:$J,$B:$B,$B206,$A:$A,"&gt;="&amp;COUNTIFS($K$1:M$1,"&lt;&gt;"))),0)</f>
        <v>0.10763888888888891</v>
      </c>
      <c r="N206">
        <f>IFERROR($J206/IF($A206&lt;COUNTIFS($K$1:N$1,"&lt;&gt;"),0,SUMIFS($J:$J,$B:$B,$B206,$A:$A,"&gt;="&amp;COUNTIFS($K$1:N$1,"&lt;&gt;"))),0)</f>
        <v>0.12062256809338523</v>
      </c>
      <c r="O206">
        <f>IFERROR($J206/IF($A206&lt;COUNTIFS($K$1:O$1,"&lt;&gt;"),0,SUMIFS($J:$J,$B:$B,$B206,$A:$A,"&gt;="&amp;COUNTIFS($K$1:O$1,"&lt;&gt;"))),0)</f>
        <v>0.13716814159292037</v>
      </c>
      <c r="P206">
        <f>IFERROR($J206/IF($A206&lt;COUNTIFS($K$1:P$1,"&lt;&gt;"),0,SUMIFS($J:$J,$B:$B,$B206,$A:$A,"&gt;="&amp;COUNTIFS($K$1:P$1,"&lt;&gt;"))),0)</f>
        <v>0.15816326530612249</v>
      </c>
      <c r="Q206">
        <f>IFERROR($J206/IF($A206&lt;COUNTIFS($K$1:Q$1,"&lt;&gt;"),0,SUMIFS($J:$J,$B:$B,$B206,$A:$A,"&gt;="&amp;COUNTIFS($K$1:Q$1,"&lt;&gt;"))),0)</f>
        <v>0.1878787878787879</v>
      </c>
      <c r="R206">
        <f>IFERROR($J206/IF($A206&lt;COUNTIFS($K$1:R$1,"&lt;&gt;"),0,SUMIFS($J:$J,$B:$B,$B206,$A:$A,"&gt;="&amp;COUNTIFS($K$1:R$1,"&lt;&gt;"))),0)</f>
        <v>0.22962962962962963</v>
      </c>
      <c r="S206">
        <f>IFERROR($J206/IF($A206&lt;COUNTIFS($K$1:S$1,"&lt;&gt;"),0,SUMIFS($J:$J,$B:$B,$B206,$A:$A,"&gt;="&amp;COUNTIFS($K$1:S$1,"&lt;&gt;"))),0)</f>
        <v>0.29807692307692307</v>
      </c>
      <c r="T206">
        <f>IFERROR($J206/IF($A206&lt;COUNTIFS($K$1:T$1,"&lt;&gt;"),0,SUMIFS($J:$J,$B:$B,$B206,$A:$A,"&gt;="&amp;COUNTIFS($K$1:T$1,"&lt;&gt;"))),0)</f>
        <v>0</v>
      </c>
      <c r="U206">
        <f>IFERROR($J206/IF($A206&lt;COUNTIFS($K$1:U$1,"&lt;&gt;"),0,SUMIFS($J:$J,$B:$B,$B206,$A:$A,"&gt;="&amp;COUNTIFS($K$1:U$1,"&lt;&gt;"))),0)</f>
        <v>0</v>
      </c>
      <c r="V206">
        <f>IFERROR($J206/IF($A206&lt;COUNTIFS($K$1:V$1,"&lt;&gt;"),0,SUMIFS($J:$J,$B:$B,$B206,$A:$A,"&gt;="&amp;COUNTIFS($K$1:V$1,"&lt;&gt;"))),0)</f>
        <v>0</v>
      </c>
      <c r="W206">
        <f t="shared" si="90"/>
        <v>8.4931506849315067E-2</v>
      </c>
      <c r="X206">
        <f t="shared" si="70"/>
        <v>8.4931506849315067E-2</v>
      </c>
      <c r="Y206">
        <f t="shared" si="71"/>
        <v>8.4931506849315067E-2</v>
      </c>
      <c r="Z206">
        <f t="shared" si="72"/>
        <v>8.4931506849315067E-2</v>
      </c>
      <c r="AA206">
        <f t="shared" si="73"/>
        <v>8.4931506849315067E-2</v>
      </c>
      <c r="AB206">
        <f t="shared" si="74"/>
        <v>8.4931506849315067E-2</v>
      </c>
      <c r="AC206">
        <f t="shared" si="75"/>
        <v>8.4931506849315067E-2</v>
      </c>
      <c r="AD206">
        <f t="shared" si="76"/>
        <v>8.4931506849315067E-2</v>
      </c>
      <c r="AE206">
        <f t="shared" si="77"/>
        <v>8.4931506849315067E-2</v>
      </c>
      <c r="AF206">
        <f t="shared" si="78"/>
        <v>8.4931506849315067E-2</v>
      </c>
      <c r="AG206">
        <f t="shared" si="79"/>
        <v>0</v>
      </c>
      <c r="AH206">
        <f t="shared" si="80"/>
        <v>0</v>
      </c>
      <c r="AI206">
        <f t="shared" si="81"/>
        <v>0</v>
      </c>
      <c r="AJ206" s="2" t="str">
        <f t="shared" si="91"/>
        <v>944287</v>
      </c>
    </row>
    <row r="207" spans="1:36" x14ac:dyDescent="0.25">
      <c r="A207">
        <v>10</v>
      </c>
      <c r="B207" s="1">
        <v>44287</v>
      </c>
      <c r="C207" s="1">
        <f t="shared" si="82"/>
        <v>44593</v>
      </c>
      <c r="D207" s="1">
        <f t="shared" si="83"/>
        <v>44301</v>
      </c>
      <c r="E207" s="1">
        <f t="shared" si="84"/>
        <v>44593</v>
      </c>
      <c r="F207" s="1">
        <f t="shared" si="85"/>
        <v>44621</v>
      </c>
      <c r="G207" s="1">
        <f t="shared" si="86"/>
        <v>44666</v>
      </c>
      <c r="H207">
        <f t="shared" si="87"/>
        <v>365</v>
      </c>
      <c r="I207">
        <f t="shared" si="88"/>
        <v>28</v>
      </c>
      <c r="J207">
        <f t="shared" si="89"/>
        <v>7.6712328767123292E-2</v>
      </c>
      <c r="K207">
        <f>IFERROR($J207/IF($A207&lt;COUNTIFS($K$1:K$1,"&lt;&gt;"),0,SUMIFS($J:$J,$B:$B,$B207,$A:$A,"&gt;="&amp;COUNTIFS($K$1:K$1,"&lt;&gt;"))),0)</f>
        <v>8.0229226361031539E-2</v>
      </c>
      <c r="L207">
        <f>IFERROR($J207/IF($A207&lt;COUNTIFS($K$1:L$1,"&lt;&gt;"),0,SUMIFS($J:$J,$B:$B,$B207,$A:$A,"&gt;="&amp;COUNTIFS($K$1:L$1,"&lt;&gt;"))),0)</f>
        <v>8.8050314465408827E-2</v>
      </c>
      <c r="M207">
        <f>IFERROR($J207/IF($A207&lt;COUNTIFS($K$1:M$1,"&lt;&gt;"),0,SUMIFS($J:$J,$B:$B,$B207,$A:$A,"&gt;="&amp;COUNTIFS($K$1:M$1,"&lt;&gt;"))),0)</f>
        <v>9.7222222222222238E-2</v>
      </c>
      <c r="N207">
        <f>IFERROR($J207/IF($A207&lt;COUNTIFS($K$1:N$1,"&lt;&gt;"),0,SUMIFS($J:$J,$B:$B,$B207,$A:$A,"&gt;="&amp;COUNTIFS($K$1:N$1,"&lt;&gt;"))),0)</f>
        <v>0.10894941634241248</v>
      </c>
      <c r="O207">
        <f>IFERROR($J207/IF($A207&lt;COUNTIFS($K$1:O$1,"&lt;&gt;"),0,SUMIFS($J:$J,$B:$B,$B207,$A:$A,"&gt;="&amp;COUNTIFS($K$1:O$1,"&lt;&gt;"))),0)</f>
        <v>0.12389380530973454</v>
      </c>
      <c r="P207">
        <f>IFERROR($J207/IF($A207&lt;COUNTIFS($K$1:P$1,"&lt;&gt;"),0,SUMIFS($J:$J,$B:$B,$B207,$A:$A,"&gt;="&amp;COUNTIFS($K$1:P$1,"&lt;&gt;"))),0)</f>
        <v>0.14285714285714288</v>
      </c>
      <c r="Q207">
        <f>IFERROR($J207/IF($A207&lt;COUNTIFS($K$1:Q$1,"&lt;&gt;"),0,SUMIFS($J:$J,$B:$B,$B207,$A:$A,"&gt;="&amp;COUNTIFS($K$1:Q$1,"&lt;&gt;"))),0)</f>
        <v>0.16969696969696971</v>
      </c>
      <c r="R207">
        <f>IFERROR($J207/IF($A207&lt;COUNTIFS($K$1:R$1,"&lt;&gt;"),0,SUMIFS($J:$J,$B:$B,$B207,$A:$A,"&gt;="&amp;COUNTIFS($K$1:R$1,"&lt;&gt;"))),0)</f>
        <v>0.20740740740740743</v>
      </c>
      <c r="S207">
        <f>IFERROR($J207/IF($A207&lt;COUNTIFS($K$1:S$1,"&lt;&gt;"),0,SUMIFS($J:$J,$B:$B,$B207,$A:$A,"&gt;="&amp;COUNTIFS($K$1:S$1,"&lt;&gt;"))),0)</f>
        <v>0.26923076923076927</v>
      </c>
      <c r="T207">
        <f>IFERROR($J207/IF($A207&lt;COUNTIFS($K$1:T$1,"&lt;&gt;"),0,SUMIFS($J:$J,$B:$B,$B207,$A:$A,"&gt;="&amp;COUNTIFS($K$1:T$1,"&lt;&gt;"))),0)</f>
        <v>0.38356164383561642</v>
      </c>
      <c r="U207">
        <f>IFERROR($J207/IF($A207&lt;COUNTIFS($K$1:U$1,"&lt;&gt;"),0,SUMIFS($J:$J,$B:$B,$B207,$A:$A,"&gt;="&amp;COUNTIFS($K$1:U$1,"&lt;&gt;"))),0)</f>
        <v>0</v>
      </c>
      <c r="V207">
        <f>IFERROR($J207/IF($A207&lt;COUNTIFS($K$1:V$1,"&lt;&gt;"),0,SUMIFS($J:$J,$B:$B,$B207,$A:$A,"&gt;="&amp;COUNTIFS($K$1:V$1,"&lt;&gt;"))),0)</f>
        <v>0</v>
      </c>
      <c r="W207">
        <f t="shared" si="90"/>
        <v>7.6712328767123292E-2</v>
      </c>
      <c r="X207">
        <f t="shared" si="70"/>
        <v>7.6712328767123292E-2</v>
      </c>
      <c r="Y207">
        <f t="shared" si="71"/>
        <v>7.6712328767123292E-2</v>
      </c>
      <c r="Z207">
        <f t="shared" si="72"/>
        <v>7.6712328767123292E-2</v>
      </c>
      <c r="AA207">
        <f t="shared" si="73"/>
        <v>7.6712328767123292E-2</v>
      </c>
      <c r="AB207">
        <f t="shared" si="74"/>
        <v>7.6712328767123292E-2</v>
      </c>
      <c r="AC207">
        <f t="shared" si="75"/>
        <v>7.6712328767123292E-2</v>
      </c>
      <c r="AD207">
        <f t="shared" si="76"/>
        <v>7.6712328767123292E-2</v>
      </c>
      <c r="AE207">
        <f t="shared" si="77"/>
        <v>7.6712328767123292E-2</v>
      </c>
      <c r="AF207">
        <f t="shared" si="78"/>
        <v>7.6712328767123292E-2</v>
      </c>
      <c r="AG207">
        <f t="shared" si="79"/>
        <v>7.6712328767123292E-2</v>
      </c>
      <c r="AH207">
        <f t="shared" si="80"/>
        <v>0</v>
      </c>
      <c r="AI207">
        <f t="shared" si="81"/>
        <v>0</v>
      </c>
      <c r="AJ207" s="2" t="str">
        <f t="shared" si="91"/>
        <v>1044287</v>
      </c>
    </row>
    <row r="208" spans="1:36" x14ac:dyDescent="0.25">
      <c r="A208">
        <v>11</v>
      </c>
      <c r="B208" s="1">
        <v>44287</v>
      </c>
      <c r="C208" s="1">
        <f t="shared" si="82"/>
        <v>44621</v>
      </c>
      <c r="D208" s="1">
        <f t="shared" si="83"/>
        <v>44301</v>
      </c>
      <c r="E208" s="1">
        <f t="shared" si="84"/>
        <v>44621</v>
      </c>
      <c r="F208" s="1">
        <f t="shared" si="85"/>
        <v>44652</v>
      </c>
      <c r="G208" s="1">
        <f t="shared" si="86"/>
        <v>44666</v>
      </c>
      <c r="H208">
        <f t="shared" si="87"/>
        <v>365</v>
      </c>
      <c r="I208">
        <f t="shared" si="88"/>
        <v>31</v>
      </c>
      <c r="J208">
        <f t="shared" si="89"/>
        <v>8.4931506849315067E-2</v>
      </c>
      <c r="K208">
        <f>IFERROR($J208/IF($A208&lt;COUNTIFS($K$1:K$1,"&lt;&gt;"),0,SUMIFS($J:$J,$B:$B,$B208,$A:$A,"&gt;="&amp;COUNTIFS($K$1:K$1,"&lt;&gt;"))),0)</f>
        <v>8.8825214899713484E-2</v>
      </c>
      <c r="L208">
        <f>IFERROR($J208/IF($A208&lt;COUNTIFS($K$1:L$1,"&lt;&gt;"),0,SUMIFS($J:$J,$B:$B,$B208,$A:$A,"&gt;="&amp;COUNTIFS($K$1:L$1,"&lt;&gt;"))),0)</f>
        <v>9.7484276729559768E-2</v>
      </c>
      <c r="M208">
        <f>IFERROR($J208/IF($A208&lt;COUNTIFS($K$1:M$1,"&lt;&gt;"),0,SUMIFS($J:$J,$B:$B,$B208,$A:$A,"&gt;="&amp;COUNTIFS($K$1:M$1,"&lt;&gt;"))),0)</f>
        <v>0.10763888888888891</v>
      </c>
      <c r="N208">
        <f>IFERROR($J208/IF($A208&lt;COUNTIFS($K$1:N$1,"&lt;&gt;"),0,SUMIFS($J:$J,$B:$B,$B208,$A:$A,"&gt;="&amp;COUNTIFS($K$1:N$1,"&lt;&gt;"))),0)</f>
        <v>0.12062256809338523</v>
      </c>
      <c r="O208">
        <f>IFERROR($J208/IF($A208&lt;COUNTIFS($K$1:O$1,"&lt;&gt;"),0,SUMIFS($J:$J,$B:$B,$B208,$A:$A,"&gt;="&amp;COUNTIFS($K$1:O$1,"&lt;&gt;"))),0)</f>
        <v>0.13716814159292037</v>
      </c>
      <c r="P208">
        <f>IFERROR($J208/IF($A208&lt;COUNTIFS($K$1:P$1,"&lt;&gt;"),0,SUMIFS($J:$J,$B:$B,$B208,$A:$A,"&gt;="&amp;COUNTIFS($K$1:P$1,"&lt;&gt;"))),0)</f>
        <v>0.15816326530612249</v>
      </c>
      <c r="Q208">
        <f>IFERROR($J208/IF($A208&lt;COUNTIFS($K$1:Q$1,"&lt;&gt;"),0,SUMIFS($J:$J,$B:$B,$B208,$A:$A,"&gt;="&amp;COUNTIFS($K$1:Q$1,"&lt;&gt;"))),0)</f>
        <v>0.1878787878787879</v>
      </c>
      <c r="R208">
        <f>IFERROR($J208/IF($A208&lt;COUNTIFS($K$1:R$1,"&lt;&gt;"),0,SUMIFS($J:$J,$B:$B,$B208,$A:$A,"&gt;="&amp;COUNTIFS($K$1:R$1,"&lt;&gt;"))),0)</f>
        <v>0.22962962962962963</v>
      </c>
      <c r="S208">
        <f>IFERROR($J208/IF($A208&lt;COUNTIFS($K$1:S$1,"&lt;&gt;"),0,SUMIFS($J:$J,$B:$B,$B208,$A:$A,"&gt;="&amp;COUNTIFS($K$1:S$1,"&lt;&gt;"))),0)</f>
        <v>0.29807692307692307</v>
      </c>
      <c r="T208">
        <f>IFERROR($J208/IF($A208&lt;COUNTIFS($K$1:T$1,"&lt;&gt;"),0,SUMIFS($J:$J,$B:$B,$B208,$A:$A,"&gt;="&amp;COUNTIFS($K$1:T$1,"&lt;&gt;"))),0)</f>
        <v>0.42465753424657532</v>
      </c>
      <c r="U208">
        <f>IFERROR($J208/IF($A208&lt;COUNTIFS($K$1:U$1,"&lt;&gt;"),0,SUMIFS($J:$J,$B:$B,$B208,$A:$A,"&gt;="&amp;COUNTIFS($K$1:U$1,"&lt;&gt;"))),0)</f>
        <v>0.68888888888888888</v>
      </c>
      <c r="V208">
        <f>IFERROR($J208/IF($A208&lt;COUNTIFS($K$1:V$1,"&lt;&gt;"),0,SUMIFS($J:$J,$B:$B,$B208,$A:$A,"&gt;="&amp;COUNTIFS($K$1:V$1,"&lt;&gt;"))),0)</f>
        <v>0</v>
      </c>
      <c r="W208">
        <f t="shared" si="90"/>
        <v>8.4931506849315067E-2</v>
      </c>
      <c r="X208">
        <f t="shared" si="70"/>
        <v>8.4931506849315067E-2</v>
      </c>
      <c r="Y208">
        <f t="shared" si="71"/>
        <v>8.4931506849315067E-2</v>
      </c>
      <c r="Z208">
        <f t="shared" si="72"/>
        <v>8.4931506849315067E-2</v>
      </c>
      <c r="AA208">
        <f t="shared" si="73"/>
        <v>8.4931506849315067E-2</v>
      </c>
      <c r="AB208">
        <f t="shared" si="74"/>
        <v>8.4931506849315067E-2</v>
      </c>
      <c r="AC208">
        <f t="shared" si="75"/>
        <v>8.4931506849315067E-2</v>
      </c>
      <c r="AD208">
        <f t="shared" si="76"/>
        <v>8.4931506849315067E-2</v>
      </c>
      <c r="AE208">
        <f t="shared" si="77"/>
        <v>8.4931506849315067E-2</v>
      </c>
      <c r="AF208">
        <f t="shared" si="78"/>
        <v>8.4931506849315067E-2</v>
      </c>
      <c r="AG208">
        <f t="shared" si="79"/>
        <v>8.4931506849315067E-2</v>
      </c>
      <c r="AH208">
        <f t="shared" si="80"/>
        <v>8.4931506849315067E-2</v>
      </c>
      <c r="AI208">
        <f t="shared" si="81"/>
        <v>0</v>
      </c>
      <c r="AJ208" s="2" t="str">
        <f t="shared" si="91"/>
        <v>1144287</v>
      </c>
    </row>
    <row r="209" spans="1:36" x14ac:dyDescent="0.25">
      <c r="A209">
        <v>12</v>
      </c>
      <c r="B209" s="1">
        <v>44287</v>
      </c>
      <c r="C209" s="1">
        <f t="shared" si="82"/>
        <v>44652</v>
      </c>
      <c r="D209" s="1">
        <f t="shared" si="83"/>
        <v>44301</v>
      </c>
      <c r="E209" s="1">
        <f t="shared" si="84"/>
        <v>44652</v>
      </c>
      <c r="F209" s="1">
        <f t="shared" si="85"/>
        <v>44666</v>
      </c>
      <c r="G209" s="1">
        <f t="shared" si="86"/>
        <v>44666</v>
      </c>
      <c r="H209">
        <f t="shared" si="87"/>
        <v>365</v>
      </c>
      <c r="I209">
        <f t="shared" si="88"/>
        <v>14</v>
      </c>
      <c r="J209">
        <f t="shared" si="89"/>
        <v>3.8356164383561646E-2</v>
      </c>
      <c r="K209">
        <f>IFERROR($J209/IF($A209&lt;COUNTIFS($K$1:K$1,"&lt;&gt;"),0,SUMIFS($J:$J,$B:$B,$B209,$A:$A,"&gt;="&amp;COUNTIFS($K$1:K$1,"&lt;&gt;"))),0)</f>
        <v>4.0114613180515769E-2</v>
      </c>
      <c r="L209">
        <f>IFERROR($J209/IF($A209&lt;COUNTIFS($K$1:L$1,"&lt;&gt;"),0,SUMIFS($J:$J,$B:$B,$B209,$A:$A,"&gt;="&amp;COUNTIFS($K$1:L$1,"&lt;&gt;"))),0)</f>
        <v>4.4025157232704414E-2</v>
      </c>
      <c r="M209">
        <f>IFERROR($J209/IF($A209&lt;COUNTIFS($K$1:M$1,"&lt;&gt;"),0,SUMIFS($J:$J,$B:$B,$B209,$A:$A,"&gt;="&amp;COUNTIFS($K$1:M$1,"&lt;&gt;"))),0)</f>
        <v>4.8611111111111119E-2</v>
      </c>
      <c r="N209">
        <f>IFERROR($J209/IF($A209&lt;COUNTIFS($K$1:N$1,"&lt;&gt;"),0,SUMIFS($J:$J,$B:$B,$B209,$A:$A,"&gt;="&amp;COUNTIFS($K$1:N$1,"&lt;&gt;"))),0)</f>
        <v>5.447470817120624E-2</v>
      </c>
      <c r="O209">
        <f>IFERROR($J209/IF($A209&lt;COUNTIFS($K$1:O$1,"&lt;&gt;"),0,SUMIFS($J:$J,$B:$B,$B209,$A:$A,"&gt;="&amp;COUNTIFS($K$1:O$1,"&lt;&gt;"))),0)</f>
        <v>6.194690265486727E-2</v>
      </c>
      <c r="P209">
        <f>IFERROR($J209/IF($A209&lt;COUNTIFS($K$1:P$1,"&lt;&gt;"),0,SUMIFS($J:$J,$B:$B,$B209,$A:$A,"&gt;="&amp;COUNTIFS($K$1:P$1,"&lt;&gt;"))),0)</f>
        <v>7.1428571428571438E-2</v>
      </c>
      <c r="Q209">
        <f>IFERROR($J209/IF($A209&lt;COUNTIFS($K$1:Q$1,"&lt;&gt;"),0,SUMIFS($J:$J,$B:$B,$B209,$A:$A,"&gt;="&amp;COUNTIFS($K$1:Q$1,"&lt;&gt;"))),0)</f>
        <v>8.4848484848484854E-2</v>
      </c>
      <c r="R209">
        <f>IFERROR($J209/IF($A209&lt;COUNTIFS($K$1:R$1,"&lt;&gt;"),0,SUMIFS($J:$J,$B:$B,$B209,$A:$A,"&gt;="&amp;COUNTIFS($K$1:R$1,"&lt;&gt;"))),0)</f>
        <v>0.10370370370370371</v>
      </c>
      <c r="S209">
        <f>IFERROR($J209/IF($A209&lt;COUNTIFS($K$1:S$1,"&lt;&gt;"),0,SUMIFS($J:$J,$B:$B,$B209,$A:$A,"&gt;="&amp;COUNTIFS($K$1:S$1,"&lt;&gt;"))),0)</f>
        <v>0.13461538461538464</v>
      </c>
      <c r="T209">
        <f>IFERROR($J209/IF($A209&lt;COUNTIFS($K$1:T$1,"&lt;&gt;"),0,SUMIFS($J:$J,$B:$B,$B209,$A:$A,"&gt;="&amp;COUNTIFS($K$1:T$1,"&lt;&gt;"))),0)</f>
        <v>0.19178082191780821</v>
      </c>
      <c r="U209">
        <f>IFERROR($J209/IF($A209&lt;COUNTIFS($K$1:U$1,"&lt;&gt;"),0,SUMIFS($J:$J,$B:$B,$B209,$A:$A,"&gt;="&amp;COUNTIFS($K$1:U$1,"&lt;&gt;"))),0)</f>
        <v>0.31111111111111117</v>
      </c>
      <c r="V209">
        <f>IFERROR($J209/IF($A209&lt;COUNTIFS($K$1:V$1,"&lt;&gt;"),0,SUMIFS($J:$J,$B:$B,$B209,$A:$A,"&gt;="&amp;COUNTIFS($K$1:V$1,"&lt;&gt;"))),0)</f>
        <v>1</v>
      </c>
      <c r="W209">
        <f t="shared" si="90"/>
        <v>3.8356164383561646E-2</v>
      </c>
      <c r="X209">
        <f t="shared" si="70"/>
        <v>3.8356164383561646E-2</v>
      </c>
      <c r="Y209">
        <f t="shared" si="71"/>
        <v>3.8356164383561646E-2</v>
      </c>
      <c r="Z209">
        <f t="shared" si="72"/>
        <v>3.8356164383561646E-2</v>
      </c>
      <c r="AA209">
        <f t="shared" si="73"/>
        <v>3.8356164383561646E-2</v>
      </c>
      <c r="AB209">
        <f t="shared" si="74"/>
        <v>3.8356164383561646E-2</v>
      </c>
      <c r="AC209">
        <f t="shared" si="75"/>
        <v>3.8356164383561646E-2</v>
      </c>
      <c r="AD209">
        <f t="shared" si="76"/>
        <v>3.8356164383561646E-2</v>
      </c>
      <c r="AE209">
        <f t="shared" si="77"/>
        <v>3.8356164383561646E-2</v>
      </c>
      <c r="AF209">
        <f t="shared" si="78"/>
        <v>3.8356164383561646E-2</v>
      </c>
      <c r="AG209">
        <f t="shared" si="79"/>
        <v>3.8356164383561646E-2</v>
      </c>
      <c r="AH209">
        <f t="shared" si="80"/>
        <v>3.8356164383561646E-2</v>
      </c>
      <c r="AI209">
        <f t="shared" si="81"/>
        <v>3.8356164383561646E-2</v>
      </c>
      <c r="AJ209" s="2" t="str">
        <f t="shared" si="91"/>
        <v>1244287</v>
      </c>
    </row>
    <row r="210" spans="1:36" x14ac:dyDescent="0.25">
      <c r="A210">
        <v>0</v>
      </c>
      <c r="B210" s="1">
        <v>44317</v>
      </c>
      <c r="C210" s="1">
        <f t="shared" si="82"/>
        <v>44317</v>
      </c>
      <c r="D210" s="1">
        <f t="shared" si="83"/>
        <v>44331</v>
      </c>
      <c r="E210" s="1">
        <f t="shared" si="84"/>
        <v>44331</v>
      </c>
      <c r="F210" s="1">
        <f t="shared" si="85"/>
        <v>44348</v>
      </c>
      <c r="G210" s="1">
        <f t="shared" si="86"/>
        <v>44696</v>
      </c>
      <c r="H210">
        <f t="shared" si="87"/>
        <v>365</v>
      </c>
      <c r="I210">
        <f t="shared" si="88"/>
        <v>17</v>
      </c>
      <c r="J210">
        <f t="shared" si="89"/>
        <v>4.6575342465753428E-2</v>
      </c>
      <c r="K210">
        <f>IFERROR($J210/IF($A210&lt;COUNTIFS($K$1:K$1,"&lt;&gt;"),0,SUMIFS($J:$J,$B:$B,$B210,$A:$A,"&gt;="&amp;COUNTIFS($K$1:K$1,"&lt;&gt;"))),0)</f>
        <v>0</v>
      </c>
      <c r="L210">
        <f>IFERROR($J210/IF($A210&lt;COUNTIFS($K$1:L$1,"&lt;&gt;"),0,SUMIFS($J:$J,$B:$B,$B210,$A:$A,"&gt;="&amp;COUNTIFS($K$1:L$1,"&lt;&gt;"))),0)</f>
        <v>0</v>
      </c>
      <c r="M210">
        <f>IFERROR($J210/IF($A210&lt;COUNTIFS($K$1:M$1,"&lt;&gt;"),0,SUMIFS($J:$J,$B:$B,$B210,$A:$A,"&gt;="&amp;COUNTIFS($K$1:M$1,"&lt;&gt;"))),0)</f>
        <v>0</v>
      </c>
      <c r="N210">
        <f>IFERROR($J210/IF($A210&lt;COUNTIFS($K$1:N$1,"&lt;&gt;"),0,SUMIFS($J:$J,$B:$B,$B210,$A:$A,"&gt;="&amp;COUNTIFS($K$1:N$1,"&lt;&gt;"))),0)</f>
        <v>0</v>
      </c>
      <c r="O210">
        <f>IFERROR($J210/IF($A210&lt;COUNTIFS($K$1:O$1,"&lt;&gt;"),0,SUMIFS($J:$J,$B:$B,$B210,$A:$A,"&gt;="&amp;COUNTIFS($K$1:O$1,"&lt;&gt;"))),0)</f>
        <v>0</v>
      </c>
      <c r="P210">
        <f>IFERROR($J210/IF($A210&lt;COUNTIFS($K$1:P$1,"&lt;&gt;"),0,SUMIFS($J:$J,$B:$B,$B210,$A:$A,"&gt;="&amp;COUNTIFS($K$1:P$1,"&lt;&gt;"))),0)</f>
        <v>0</v>
      </c>
      <c r="Q210">
        <f>IFERROR($J210/IF($A210&lt;COUNTIFS($K$1:Q$1,"&lt;&gt;"),0,SUMIFS($J:$J,$B:$B,$B210,$A:$A,"&gt;="&amp;COUNTIFS($K$1:Q$1,"&lt;&gt;"))),0)</f>
        <v>0</v>
      </c>
      <c r="R210">
        <f>IFERROR($J210/IF($A210&lt;COUNTIFS($K$1:R$1,"&lt;&gt;"),0,SUMIFS($J:$J,$B:$B,$B210,$A:$A,"&gt;="&amp;COUNTIFS($K$1:R$1,"&lt;&gt;"))),0)</f>
        <v>0</v>
      </c>
      <c r="S210">
        <f>IFERROR($J210/IF($A210&lt;COUNTIFS($K$1:S$1,"&lt;&gt;"),0,SUMIFS($J:$J,$B:$B,$B210,$A:$A,"&gt;="&amp;COUNTIFS($K$1:S$1,"&lt;&gt;"))),0)</f>
        <v>0</v>
      </c>
      <c r="T210">
        <f>IFERROR($J210/IF($A210&lt;COUNTIFS($K$1:T$1,"&lt;&gt;"),0,SUMIFS($J:$J,$B:$B,$B210,$A:$A,"&gt;="&amp;COUNTIFS($K$1:T$1,"&lt;&gt;"))),0)</f>
        <v>0</v>
      </c>
      <c r="U210">
        <f>IFERROR($J210/IF($A210&lt;COUNTIFS($K$1:U$1,"&lt;&gt;"),0,SUMIFS($J:$J,$B:$B,$B210,$A:$A,"&gt;="&amp;COUNTIFS($K$1:U$1,"&lt;&gt;"))),0)</f>
        <v>0</v>
      </c>
      <c r="V210">
        <f>IFERROR($J210/IF($A210&lt;COUNTIFS($K$1:V$1,"&lt;&gt;"),0,SUMIFS($J:$J,$B:$B,$B210,$A:$A,"&gt;="&amp;COUNTIFS($K$1:V$1,"&lt;&gt;"))),0)</f>
        <v>0</v>
      </c>
      <c r="W210">
        <f t="shared" si="90"/>
        <v>4.6575342465753428E-2</v>
      </c>
      <c r="X210">
        <f t="shared" si="70"/>
        <v>0</v>
      </c>
      <c r="Y210">
        <f t="shared" si="71"/>
        <v>0</v>
      </c>
      <c r="Z210">
        <f t="shared" si="72"/>
        <v>0</v>
      </c>
      <c r="AA210">
        <f t="shared" si="73"/>
        <v>0</v>
      </c>
      <c r="AB210">
        <f t="shared" si="74"/>
        <v>0</v>
      </c>
      <c r="AC210">
        <f t="shared" si="75"/>
        <v>0</v>
      </c>
      <c r="AD210">
        <f t="shared" si="76"/>
        <v>0</v>
      </c>
      <c r="AE210">
        <f t="shared" si="77"/>
        <v>0</v>
      </c>
      <c r="AF210">
        <f t="shared" si="78"/>
        <v>0</v>
      </c>
      <c r="AG210">
        <f t="shared" si="79"/>
        <v>0</v>
      </c>
      <c r="AH210">
        <f t="shared" si="80"/>
        <v>0</v>
      </c>
      <c r="AI210">
        <f t="shared" si="81"/>
        <v>0</v>
      </c>
      <c r="AJ210" s="2" t="str">
        <f t="shared" si="91"/>
        <v>044317</v>
      </c>
    </row>
    <row r="211" spans="1:36" x14ac:dyDescent="0.25">
      <c r="A211">
        <v>1</v>
      </c>
      <c r="B211" s="1">
        <v>44317</v>
      </c>
      <c r="C211" s="1">
        <f t="shared" si="82"/>
        <v>44348</v>
      </c>
      <c r="D211" s="1">
        <f t="shared" si="83"/>
        <v>44331</v>
      </c>
      <c r="E211" s="1">
        <f t="shared" si="84"/>
        <v>44348</v>
      </c>
      <c r="F211" s="1">
        <f t="shared" si="85"/>
        <v>44378</v>
      </c>
      <c r="G211" s="1">
        <f t="shared" si="86"/>
        <v>44696</v>
      </c>
      <c r="H211">
        <f t="shared" si="87"/>
        <v>365</v>
      </c>
      <c r="I211">
        <f t="shared" si="88"/>
        <v>30</v>
      </c>
      <c r="J211">
        <f t="shared" si="89"/>
        <v>8.2191780821917804E-2</v>
      </c>
      <c r="K211">
        <f>IFERROR($J211/IF($A211&lt;COUNTIFS($K$1:K$1,"&lt;&gt;"),0,SUMIFS($J:$J,$B:$B,$B211,$A:$A,"&gt;="&amp;COUNTIFS($K$1:K$1,"&lt;&gt;"))),0)</f>
        <v>8.6206896551724144E-2</v>
      </c>
      <c r="L211">
        <f>IFERROR($J211/IF($A211&lt;COUNTIFS($K$1:L$1,"&lt;&gt;"),0,SUMIFS($J:$J,$B:$B,$B211,$A:$A,"&gt;="&amp;COUNTIFS($K$1:L$1,"&lt;&gt;"))),0)</f>
        <v>0</v>
      </c>
      <c r="M211">
        <f>IFERROR($J211/IF($A211&lt;COUNTIFS($K$1:M$1,"&lt;&gt;"),0,SUMIFS($J:$J,$B:$B,$B211,$A:$A,"&gt;="&amp;COUNTIFS($K$1:M$1,"&lt;&gt;"))),0)</f>
        <v>0</v>
      </c>
      <c r="N211">
        <f>IFERROR($J211/IF($A211&lt;COUNTIFS($K$1:N$1,"&lt;&gt;"),0,SUMIFS($J:$J,$B:$B,$B211,$A:$A,"&gt;="&amp;COUNTIFS($K$1:N$1,"&lt;&gt;"))),0)</f>
        <v>0</v>
      </c>
      <c r="O211">
        <f>IFERROR($J211/IF($A211&lt;COUNTIFS($K$1:O$1,"&lt;&gt;"),0,SUMIFS($J:$J,$B:$B,$B211,$A:$A,"&gt;="&amp;COUNTIFS($K$1:O$1,"&lt;&gt;"))),0)</f>
        <v>0</v>
      </c>
      <c r="P211">
        <f>IFERROR($J211/IF($A211&lt;COUNTIFS($K$1:P$1,"&lt;&gt;"),0,SUMIFS($J:$J,$B:$B,$B211,$A:$A,"&gt;="&amp;COUNTIFS($K$1:P$1,"&lt;&gt;"))),0)</f>
        <v>0</v>
      </c>
      <c r="Q211">
        <f>IFERROR($J211/IF($A211&lt;COUNTIFS($K$1:Q$1,"&lt;&gt;"),0,SUMIFS($J:$J,$B:$B,$B211,$A:$A,"&gt;="&amp;COUNTIFS($K$1:Q$1,"&lt;&gt;"))),0)</f>
        <v>0</v>
      </c>
      <c r="R211">
        <f>IFERROR($J211/IF($A211&lt;COUNTIFS($K$1:R$1,"&lt;&gt;"),0,SUMIFS($J:$J,$B:$B,$B211,$A:$A,"&gt;="&amp;COUNTIFS($K$1:R$1,"&lt;&gt;"))),0)</f>
        <v>0</v>
      </c>
      <c r="S211">
        <f>IFERROR($J211/IF($A211&lt;COUNTIFS($K$1:S$1,"&lt;&gt;"),0,SUMIFS($J:$J,$B:$B,$B211,$A:$A,"&gt;="&amp;COUNTIFS($K$1:S$1,"&lt;&gt;"))),0)</f>
        <v>0</v>
      </c>
      <c r="T211">
        <f>IFERROR($J211/IF($A211&lt;COUNTIFS($K$1:T$1,"&lt;&gt;"),0,SUMIFS($J:$J,$B:$B,$B211,$A:$A,"&gt;="&amp;COUNTIFS($K$1:T$1,"&lt;&gt;"))),0)</f>
        <v>0</v>
      </c>
      <c r="U211">
        <f>IFERROR($J211/IF($A211&lt;COUNTIFS($K$1:U$1,"&lt;&gt;"),0,SUMIFS($J:$J,$B:$B,$B211,$A:$A,"&gt;="&amp;COUNTIFS($K$1:U$1,"&lt;&gt;"))),0)</f>
        <v>0</v>
      </c>
      <c r="V211">
        <f>IFERROR($J211/IF($A211&lt;COUNTIFS($K$1:V$1,"&lt;&gt;"),0,SUMIFS($J:$J,$B:$B,$B211,$A:$A,"&gt;="&amp;COUNTIFS($K$1:V$1,"&lt;&gt;"))),0)</f>
        <v>0</v>
      </c>
      <c r="W211">
        <f t="shared" si="90"/>
        <v>8.2191780821917804E-2</v>
      </c>
      <c r="X211">
        <f t="shared" si="70"/>
        <v>8.2191780821917804E-2</v>
      </c>
      <c r="Y211">
        <f t="shared" si="71"/>
        <v>0</v>
      </c>
      <c r="Z211">
        <f t="shared" si="72"/>
        <v>0</v>
      </c>
      <c r="AA211">
        <f t="shared" si="73"/>
        <v>0</v>
      </c>
      <c r="AB211">
        <f t="shared" si="74"/>
        <v>0</v>
      </c>
      <c r="AC211">
        <f t="shared" si="75"/>
        <v>0</v>
      </c>
      <c r="AD211">
        <f t="shared" si="76"/>
        <v>0</v>
      </c>
      <c r="AE211">
        <f t="shared" si="77"/>
        <v>0</v>
      </c>
      <c r="AF211">
        <f t="shared" si="78"/>
        <v>0</v>
      </c>
      <c r="AG211">
        <f t="shared" si="79"/>
        <v>0</v>
      </c>
      <c r="AH211">
        <f t="shared" si="80"/>
        <v>0</v>
      </c>
      <c r="AI211">
        <f t="shared" si="81"/>
        <v>0</v>
      </c>
      <c r="AJ211" s="2" t="str">
        <f t="shared" si="91"/>
        <v>144317</v>
      </c>
    </row>
    <row r="212" spans="1:36" x14ac:dyDescent="0.25">
      <c r="A212">
        <v>2</v>
      </c>
      <c r="B212" s="1">
        <v>44317</v>
      </c>
      <c r="C212" s="1">
        <f t="shared" si="82"/>
        <v>44378</v>
      </c>
      <c r="D212" s="1">
        <f t="shared" si="83"/>
        <v>44331</v>
      </c>
      <c r="E212" s="1">
        <f t="shared" si="84"/>
        <v>44378</v>
      </c>
      <c r="F212" s="1">
        <f t="shared" si="85"/>
        <v>44409</v>
      </c>
      <c r="G212" s="1">
        <f t="shared" si="86"/>
        <v>44696</v>
      </c>
      <c r="H212">
        <f t="shared" si="87"/>
        <v>365</v>
      </c>
      <c r="I212">
        <f t="shared" si="88"/>
        <v>31</v>
      </c>
      <c r="J212">
        <f t="shared" si="89"/>
        <v>8.4931506849315067E-2</v>
      </c>
      <c r="K212">
        <f>IFERROR($J212/IF($A212&lt;COUNTIFS($K$1:K$1,"&lt;&gt;"),0,SUMIFS($J:$J,$B:$B,$B212,$A:$A,"&gt;="&amp;COUNTIFS($K$1:K$1,"&lt;&gt;"))),0)</f>
        <v>8.9080459770114959E-2</v>
      </c>
      <c r="L212">
        <f>IFERROR($J212/IF($A212&lt;COUNTIFS($K$1:L$1,"&lt;&gt;"),0,SUMIFS($J:$J,$B:$B,$B212,$A:$A,"&gt;="&amp;COUNTIFS($K$1:L$1,"&lt;&gt;"))),0)</f>
        <v>9.7484276729559768E-2</v>
      </c>
      <c r="M212">
        <f>IFERROR($J212/IF($A212&lt;COUNTIFS($K$1:M$1,"&lt;&gt;"),0,SUMIFS($J:$J,$B:$B,$B212,$A:$A,"&gt;="&amp;COUNTIFS($K$1:M$1,"&lt;&gt;"))),0)</f>
        <v>0</v>
      </c>
      <c r="N212">
        <f>IFERROR($J212/IF($A212&lt;COUNTIFS($K$1:N$1,"&lt;&gt;"),0,SUMIFS($J:$J,$B:$B,$B212,$A:$A,"&gt;="&amp;COUNTIFS($K$1:N$1,"&lt;&gt;"))),0)</f>
        <v>0</v>
      </c>
      <c r="O212">
        <f>IFERROR($J212/IF($A212&lt;COUNTIFS($K$1:O$1,"&lt;&gt;"),0,SUMIFS($J:$J,$B:$B,$B212,$A:$A,"&gt;="&amp;COUNTIFS($K$1:O$1,"&lt;&gt;"))),0)</f>
        <v>0</v>
      </c>
      <c r="P212">
        <f>IFERROR($J212/IF($A212&lt;COUNTIFS($K$1:P$1,"&lt;&gt;"),0,SUMIFS($J:$J,$B:$B,$B212,$A:$A,"&gt;="&amp;COUNTIFS($K$1:P$1,"&lt;&gt;"))),0)</f>
        <v>0</v>
      </c>
      <c r="Q212">
        <f>IFERROR($J212/IF($A212&lt;COUNTIFS($K$1:Q$1,"&lt;&gt;"),0,SUMIFS($J:$J,$B:$B,$B212,$A:$A,"&gt;="&amp;COUNTIFS($K$1:Q$1,"&lt;&gt;"))),0)</f>
        <v>0</v>
      </c>
      <c r="R212">
        <f>IFERROR($J212/IF($A212&lt;COUNTIFS($K$1:R$1,"&lt;&gt;"),0,SUMIFS($J:$J,$B:$B,$B212,$A:$A,"&gt;="&amp;COUNTIFS($K$1:R$1,"&lt;&gt;"))),0)</f>
        <v>0</v>
      </c>
      <c r="S212">
        <f>IFERROR($J212/IF($A212&lt;COUNTIFS($K$1:S$1,"&lt;&gt;"),0,SUMIFS($J:$J,$B:$B,$B212,$A:$A,"&gt;="&amp;COUNTIFS($K$1:S$1,"&lt;&gt;"))),0)</f>
        <v>0</v>
      </c>
      <c r="T212">
        <f>IFERROR($J212/IF($A212&lt;COUNTIFS($K$1:T$1,"&lt;&gt;"),0,SUMIFS($J:$J,$B:$B,$B212,$A:$A,"&gt;="&amp;COUNTIFS($K$1:T$1,"&lt;&gt;"))),0)</f>
        <v>0</v>
      </c>
      <c r="U212">
        <f>IFERROR($J212/IF($A212&lt;COUNTIFS($K$1:U$1,"&lt;&gt;"),0,SUMIFS($J:$J,$B:$B,$B212,$A:$A,"&gt;="&amp;COUNTIFS($K$1:U$1,"&lt;&gt;"))),0)</f>
        <v>0</v>
      </c>
      <c r="V212">
        <f>IFERROR($J212/IF($A212&lt;COUNTIFS($K$1:V$1,"&lt;&gt;"),0,SUMIFS($J:$J,$B:$B,$B212,$A:$A,"&gt;="&amp;COUNTIFS($K$1:V$1,"&lt;&gt;"))),0)</f>
        <v>0</v>
      </c>
      <c r="W212">
        <f t="shared" si="90"/>
        <v>8.4931506849315067E-2</v>
      </c>
      <c r="X212">
        <f t="shared" si="70"/>
        <v>8.4931506849315067E-2</v>
      </c>
      <c r="Y212">
        <f t="shared" si="71"/>
        <v>8.4931506849315067E-2</v>
      </c>
      <c r="Z212">
        <f t="shared" si="72"/>
        <v>0</v>
      </c>
      <c r="AA212">
        <f t="shared" si="73"/>
        <v>0</v>
      </c>
      <c r="AB212">
        <f t="shared" si="74"/>
        <v>0</v>
      </c>
      <c r="AC212">
        <f t="shared" si="75"/>
        <v>0</v>
      </c>
      <c r="AD212">
        <f t="shared" si="76"/>
        <v>0</v>
      </c>
      <c r="AE212">
        <f t="shared" si="77"/>
        <v>0</v>
      </c>
      <c r="AF212">
        <f t="shared" si="78"/>
        <v>0</v>
      </c>
      <c r="AG212">
        <f t="shared" si="79"/>
        <v>0</v>
      </c>
      <c r="AH212">
        <f t="shared" si="80"/>
        <v>0</v>
      </c>
      <c r="AI212">
        <f t="shared" si="81"/>
        <v>0</v>
      </c>
      <c r="AJ212" s="2" t="str">
        <f t="shared" si="91"/>
        <v>244317</v>
      </c>
    </row>
    <row r="213" spans="1:36" x14ac:dyDescent="0.25">
      <c r="A213">
        <v>3</v>
      </c>
      <c r="B213" s="1">
        <v>44317</v>
      </c>
      <c r="C213" s="1">
        <f t="shared" si="82"/>
        <v>44409</v>
      </c>
      <c r="D213" s="1">
        <f t="shared" si="83"/>
        <v>44331</v>
      </c>
      <c r="E213" s="1">
        <f t="shared" si="84"/>
        <v>44409</v>
      </c>
      <c r="F213" s="1">
        <f t="shared" si="85"/>
        <v>44440</v>
      </c>
      <c r="G213" s="1">
        <f t="shared" si="86"/>
        <v>44696</v>
      </c>
      <c r="H213">
        <f t="shared" si="87"/>
        <v>365</v>
      </c>
      <c r="I213">
        <f t="shared" si="88"/>
        <v>31</v>
      </c>
      <c r="J213">
        <f t="shared" si="89"/>
        <v>8.4931506849315067E-2</v>
      </c>
      <c r="K213">
        <f>IFERROR($J213/IF($A213&lt;COUNTIFS($K$1:K$1,"&lt;&gt;"),0,SUMIFS($J:$J,$B:$B,$B213,$A:$A,"&gt;="&amp;COUNTIFS($K$1:K$1,"&lt;&gt;"))),0)</f>
        <v>8.9080459770114959E-2</v>
      </c>
      <c r="L213">
        <f>IFERROR($J213/IF($A213&lt;COUNTIFS($K$1:L$1,"&lt;&gt;"),0,SUMIFS($J:$J,$B:$B,$B213,$A:$A,"&gt;="&amp;COUNTIFS($K$1:L$1,"&lt;&gt;"))),0)</f>
        <v>9.7484276729559768E-2</v>
      </c>
      <c r="M213">
        <f>IFERROR($J213/IF($A213&lt;COUNTIFS($K$1:M$1,"&lt;&gt;"),0,SUMIFS($J:$J,$B:$B,$B213,$A:$A,"&gt;="&amp;COUNTIFS($K$1:M$1,"&lt;&gt;"))),0)</f>
        <v>0.10801393728222998</v>
      </c>
      <c r="N213">
        <f>IFERROR($J213/IF($A213&lt;COUNTIFS($K$1:N$1,"&lt;&gt;"),0,SUMIFS($J:$J,$B:$B,$B213,$A:$A,"&gt;="&amp;COUNTIFS($K$1:N$1,"&lt;&gt;"))),0)</f>
        <v>0</v>
      </c>
      <c r="O213">
        <f>IFERROR($J213/IF($A213&lt;COUNTIFS($K$1:O$1,"&lt;&gt;"),0,SUMIFS($J:$J,$B:$B,$B213,$A:$A,"&gt;="&amp;COUNTIFS($K$1:O$1,"&lt;&gt;"))),0)</f>
        <v>0</v>
      </c>
      <c r="P213">
        <f>IFERROR($J213/IF($A213&lt;COUNTIFS($K$1:P$1,"&lt;&gt;"),0,SUMIFS($J:$J,$B:$B,$B213,$A:$A,"&gt;="&amp;COUNTIFS($K$1:P$1,"&lt;&gt;"))),0)</f>
        <v>0</v>
      </c>
      <c r="Q213">
        <f>IFERROR($J213/IF($A213&lt;COUNTIFS($K$1:Q$1,"&lt;&gt;"),0,SUMIFS($J:$J,$B:$B,$B213,$A:$A,"&gt;="&amp;COUNTIFS($K$1:Q$1,"&lt;&gt;"))),0)</f>
        <v>0</v>
      </c>
      <c r="R213">
        <f>IFERROR($J213/IF($A213&lt;COUNTIFS($K$1:R$1,"&lt;&gt;"),0,SUMIFS($J:$J,$B:$B,$B213,$A:$A,"&gt;="&amp;COUNTIFS($K$1:R$1,"&lt;&gt;"))),0)</f>
        <v>0</v>
      </c>
      <c r="S213">
        <f>IFERROR($J213/IF($A213&lt;COUNTIFS($K$1:S$1,"&lt;&gt;"),0,SUMIFS($J:$J,$B:$B,$B213,$A:$A,"&gt;="&amp;COUNTIFS($K$1:S$1,"&lt;&gt;"))),0)</f>
        <v>0</v>
      </c>
      <c r="T213">
        <f>IFERROR($J213/IF($A213&lt;COUNTIFS($K$1:T$1,"&lt;&gt;"),0,SUMIFS($J:$J,$B:$B,$B213,$A:$A,"&gt;="&amp;COUNTIFS($K$1:T$1,"&lt;&gt;"))),0)</f>
        <v>0</v>
      </c>
      <c r="U213">
        <f>IFERROR($J213/IF($A213&lt;COUNTIFS($K$1:U$1,"&lt;&gt;"),0,SUMIFS($J:$J,$B:$B,$B213,$A:$A,"&gt;="&amp;COUNTIFS($K$1:U$1,"&lt;&gt;"))),0)</f>
        <v>0</v>
      </c>
      <c r="V213">
        <f>IFERROR($J213/IF($A213&lt;COUNTIFS($K$1:V$1,"&lt;&gt;"),0,SUMIFS($J:$J,$B:$B,$B213,$A:$A,"&gt;="&amp;COUNTIFS($K$1:V$1,"&lt;&gt;"))),0)</f>
        <v>0</v>
      </c>
      <c r="W213">
        <f t="shared" si="90"/>
        <v>8.4931506849315067E-2</v>
      </c>
      <c r="X213">
        <f t="shared" si="70"/>
        <v>8.4931506849315067E-2</v>
      </c>
      <c r="Y213">
        <f t="shared" si="71"/>
        <v>8.4931506849315067E-2</v>
      </c>
      <c r="Z213">
        <f t="shared" si="72"/>
        <v>8.4931506849315067E-2</v>
      </c>
      <c r="AA213">
        <f t="shared" si="73"/>
        <v>0</v>
      </c>
      <c r="AB213">
        <f t="shared" si="74"/>
        <v>0</v>
      </c>
      <c r="AC213">
        <f t="shared" si="75"/>
        <v>0</v>
      </c>
      <c r="AD213">
        <f t="shared" si="76"/>
        <v>0</v>
      </c>
      <c r="AE213">
        <f t="shared" si="77"/>
        <v>0</v>
      </c>
      <c r="AF213">
        <f t="shared" si="78"/>
        <v>0</v>
      </c>
      <c r="AG213">
        <f t="shared" si="79"/>
        <v>0</v>
      </c>
      <c r="AH213">
        <f t="shared" si="80"/>
        <v>0</v>
      </c>
      <c r="AI213">
        <f t="shared" si="81"/>
        <v>0</v>
      </c>
      <c r="AJ213" s="2" t="str">
        <f t="shared" si="91"/>
        <v>344317</v>
      </c>
    </row>
    <row r="214" spans="1:36" x14ac:dyDescent="0.25">
      <c r="A214">
        <v>4</v>
      </c>
      <c r="B214" s="1">
        <v>44317</v>
      </c>
      <c r="C214" s="1">
        <f t="shared" si="82"/>
        <v>44440</v>
      </c>
      <c r="D214" s="1">
        <f t="shared" si="83"/>
        <v>44331</v>
      </c>
      <c r="E214" s="1">
        <f t="shared" si="84"/>
        <v>44440</v>
      </c>
      <c r="F214" s="1">
        <f t="shared" si="85"/>
        <v>44470</v>
      </c>
      <c r="G214" s="1">
        <f t="shared" si="86"/>
        <v>44696</v>
      </c>
      <c r="H214">
        <f t="shared" si="87"/>
        <v>365</v>
      </c>
      <c r="I214">
        <f t="shared" si="88"/>
        <v>30</v>
      </c>
      <c r="J214">
        <f t="shared" si="89"/>
        <v>8.2191780821917804E-2</v>
      </c>
      <c r="K214">
        <f>IFERROR($J214/IF($A214&lt;COUNTIFS($K$1:K$1,"&lt;&gt;"),0,SUMIFS($J:$J,$B:$B,$B214,$A:$A,"&gt;="&amp;COUNTIFS($K$1:K$1,"&lt;&gt;"))),0)</f>
        <v>8.6206896551724144E-2</v>
      </c>
      <c r="L214">
        <f>IFERROR($J214/IF($A214&lt;COUNTIFS($K$1:L$1,"&lt;&gt;"),0,SUMIFS($J:$J,$B:$B,$B214,$A:$A,"&gt;="&amp;COUNTIFS($K$1:L$1,"&lt;&gt;"))),0)</f>
        <v>9.4339622641509441E-2</v>
      </c>
      <c r="M214">
        <f>IFERROR($J214/IF($A214&lt;COUNTIFS($K$1:M$1,"&lt;&gt;"),0,SUMIFS($J:$J,$B:$B,$B214,$A:$A,"&gt;="&amp;COUNTIFS($K$1:M$1,"&lt;&gt;"))),0)</f>
        <v>0.10452961672473869</v>
      </c>
      <c r="N214">
        <f>IFERROR($J214/IF($A214&lt;COUNTIFS($K$1:N$1,"&lt;&gt;"),0,SUMIFS($J:$J,$B:$B,$B214,$A:$A,"&gt;="&amp;COUNTIFS($K$1:N$1,"&lt;&gt;"))),0)</f>
        <v>0.11718750000000001</v>
      </c>
      <c r="O214">
        <f>IFERROR($J214/IF($A214&lt;COUNTIFS($K$1:O$1,"&lt;&gt;"),0,SUMIFS($J:$J,$B:$B,$B214,$A:$A,"&gt;="&amp;COUNTIFS($K$1:O$1,"&lt;&gt;"))),0)</f>
        <v>0</v>
      </c>
      <c r="P214">
        <f>IFERROR($J214/IF($A214&lt;COUNTIFS($K$1:P$1,"&lt;&gt;"),0,SUMIFS($J:$J,$B:$B,$B214,$A:$A,"&gt;="&amp;COUNTIFS($K$1:P$1,"&lt;&gt;"))),0)</f>
        <v>0</v>
      </c>
      <c r="Q214">
        <f>IFERROR($J214/IF($A214&lt;COUNTIFS($K$1:Q$1,"&lt;&gt;"),0,SUMIFS($J:$J,$B:$B,$B214,$A:$A,"&gt;="&amp;COUNTIFS($K$1:Q$1,"&lt;&gt;"))),0)</f>
        <v>0</v>
      </c>
      <c r="R214">
        <f>IFERROR($J214/IF($A214&lt;COUNTIFS($K$1:R$1,"&lt;&gt;"),0,SUMIFS($J:$J,$B:$B,$B214,$A:$A,"&gt;="&amp;COUNTIFS($K$1:R$1,"&lt;&gt;"))),0)</f>
        <v>0</v>
      </c>
      <c r="S214">
        <f>IFERROR($J214/IF($A214&lt;COUNTIFS($K$1:S$1,"&lt;&gt;"),0,SUMIFS($J:$J,$B:$B,$B214,$A:$A,"&gt;="&amp;COUNTIFS($K$1:S$1,"&lt;&gt;"))),0)</f>
        <v>0</v>
      </c>
      <c r="T214">
        <f>IFERROR($J214/IF($A214&lt;COUNTIFS($K$1:T$1,"&lt;&gt;"),0,SUMIFS($J:$J,$B:$B,$B214,$A:$A,"&gt;="&amp;COUNTIFS($K$1:T$1,"&lt;&gt;"))),0)</f>
        <v>0</v>
      </c>
      <c r="U214">
        <f>IFERROR($J214/IF($A214&lt;COUNTIFS($K$1:U$1,"&lt;&gt;"),0,SUMIFS($J:$J,$B:$B,$B214,$A:$A,"&gt;="&amp;COUNTIFS($K$1:U$1,"&lt;&gt;"))),0)</f>
        <v>0</v>
      </c>
      <c r="V214">
        <f>IFERROR($J214/IF($A214&lt;COUNTIFS($K$1:V$1,"&lt;&gt;"),0,SUMIFS($J:$J,$B:$B,$B214,$A:$A,"&gt;="&amp;COUNTIFS($K$1:V$1,"&lt;&gt;"))),0)</f>
        <v>0</v>
      </c>
      <c r="W214">
        <f t="shared" si="90"/>
        <v>8.2191780821917804E-2</v>
      </c>
      <c r="X214">
        <f t="shared" si="70"/>
        <v>8.2191780821917804E-2</v>
      </c>
      <c r="Y214">
        <f t="shared" si="71"/>
        <v>8.2191780821917804E-2</v>
      </c>
      <c r="Z214">
        <f t="shared" si="72"/>
        <v>8.2191780821917804E-2</v>
      </c>
      <c r="AA214">
        <f t="shared" si="73"/>
        <v>8.2191780821917804E-2</v>
      </c>
      <c r="AB214">
        <f t="shared" si="74"/>
        <v>0</v>
      </c>
      <c r="AC214">
        <f t="shared" si="75"/>
        <v>0</v>
      </c>
      <c r="AD214">
        <f t="shared" si="76"/>
        <v>0</v>
      </c>
      <c r="AE214">
        <f t="shared" si="77"/>
        <v>0</v>
      </c>
      <c r="AF214">
        <f t="shared" si="78"/>
        <v>0</v>
      </c>
      <c r="AG214">
        <f t="shared" si="79"/>
        <v>0</v>
      </c>
      <c r="AH214">
        <f t="shared" si="80"/>
        <v>0</v>
      </c>
      <c r="AI214">
        <f t="shared" si="81"/>
        <v>0</v>
      </c>
      <c r="AJ214" s="2" t="str">
        <f t="shared" si="91"/>
        <v>444317</v>
      </c>
    </row>
    <row r="215" spans="1:36" x14ac:dyDescent="0.25">
      <c r="A215">
        <v>5</v>
      </c>
      <c r="B215" s="1">
        <v>44317</v>
      </c>
      <c r="C215" s="1">
        <f t="shared" si="82"/>
        <v>44470</v>
      </c>
      <c r="D215" s="1">
        <f t="shared" si="83"/>
        <v>44331</v>
      </c>
      <c r="E215" s="1">
        <f t="shared" si="84"/>
        <v>44470</v>
      </c>
      <c r="F215" s="1">
        <f t="shared" si="85"/>
        <v>44501</v>
      </c>
      <c r="G215" s="1">
        <f t="shared" si="86"/>
        <v>44696</v>
      </c>
      <c r="H215">
        <f t="shared" si="87"/>
        <v>365</v>
      </c>
      <c r="I215">
        <f t="shared" si="88"/>
        <v>31</v>
      </c>
      <c r="J215">
        <f t="shared" si="89"/>
        <v>8.4931506849315067E-2</v>
      </c>
      <c r="K215">
        <f>IFERROR($J215/IF($A215&lt;COUNTIFS($K$1:K$1,"&lt;&gt;"),0,SUMIFS($J:$J,$B:$B,$B215,$A:$A,"&gt;="&amp;COUNTIFS($K$1:K$1,"&lt;&gt;"))),0)</f>
        <v>8.9080459770114959E-2</v>
      </c>
      <c r="L215">
        <f>IFERROR($J215/IF($A215&lt;COUNTIFS($K$1:L$1,"&lt;&gt;"),0,SUMIFS($J:$J,$B:$B,$B215,$A:$A,"&gt;="&amp;COUNTIFS($K$1:L$1,"&lt;&gt;"))),0)</f>
        <v>9.7484276729559768E-2</v>
      </c>
      <c r="M215">
        <f>IFERROR($J215/IF($A215&lt;COUNTIFS($K$1:M$1,"&lt;&gt;"),0,SUMIFS($J:$J,$B:$B,$B215,$A:$A,"&gt;="&amp;COUNTIFS($K$1:M$1,"&lt;&gt;"))),0)</f>
        <v>0.10801393728222998</v>
      </c>
      <c r="N215">
        <f>IFERROR($J215/IF($A215&lt;COUNTIFS($K$1:N$1,"&lt;&gt;"),0,SUMIFS($J:$J,$B:$B,$B215,$A:$A,"&gt;="&amp;COUNTIFS($K$1:N$1,"&lt;&gt;"))),0)</f>
        <v>0.12109375000000001</v>
      </c>
      <c r="O215">
        <f>IFERROR($J215/IF($A215&lt;COUNTIFS($K$1:O$1,"&lt;&gt;"),0,SUMIFS($J:$J,$B:$B,$B215,$A:$A,"&gt;="&amp;COUNTIFS($K$1:O$1,"&lt;&gt;"))),0)</f>
        <v>0.13716814159292037</v>
      </c>
      <c r="P215">
        <f>IFERROR($J215/IF($A215&lt;COUNTIFS($K$1:P$1,"&lt;&gt;"),0,SUMIFS($J:$J,$B:$B,$B215,$A:$A,"&gt;="&amp;COUNTIFS($K$1:P$1,"&lt;&gt;"))),0)</f>
        <v>0</v>
      </c>
      <c r="Q215">
        <f>IFERROR($J215/IF($A215&lt;COUNTIFS($K$1:Q$1,"&lt;&gt;"),0,SUMIFS($J:$J,$B:$B,$B215,$A:$A,"&gt;="&amp;COUNTIFS($K$1:Q$1,"&lt;&gt;"))),0)</f>
        <v>0</v>
      </c>
      <c r="R215">
        <f>IFERROR($J215/IF($A215&lt;COUNTIFS($K$1:R$1,"&lt;&gt;"),0,SUMIFS($J:$J,$B:$B,$B215,$A:$A,"&gt;="&amp;COUNTIFS($K$1:R$1,"&lt;&gt;"))),0)</f>
        <v>0</v>
      </c>
      <c r="S215">
        <f>IFERROR($J215/IF($A215&lt;COUNTIFS($K$1:S$1,"&lt;&gt;"),0,SUMIFS($J:$J,$B:$B,$B215,$A:$A,"&gt;="&amp;COUNTIFS($K$1:S$1,"&lt;&gt;"))),0)</f>
        <v>0</v>
      </c>
      <c r="T215">
        <f>IFERROR($J215/IF($A215&lt;COUNTIFS($K$1:T$1,"&lt;&gt;"),0,SUMIFS($J:$J,$B:$B,$B215,$A:$A,"&gt;="&amp;COUNTIFS($K$1:T$1,"&lt;&gt;"))),0)</f>
        <v>0</v>
      </c>
      <c r="U215">
        <f>IFERROR($J215/IF($A215&lt;COUNTIFS($K$1:U$1,"&lt;&gt;"),0,SUMIFS($J:$J,$B:$B,$B215,$A:$A,"&gt;="&amp;COUNTIFS($K$1:U$1,"&lt;&gt;"))),0)</f>
        <v>0</v>
      </c>
      <c r="V215">
        <f>IFERROR($J215/IF($A215&lt;COUNTIFS($K$1:V$1,"&lt;&gt;"),0,SUMIFS($J:$J,$B:$B,$B215,$A:$A,"&gt;="&amp;COUNTIFS($K$1:V$1,"&lt;&gt;"))),0)</f>
        <v>0</v>
      </c>
      <c r="W215">
        <f t="shared" si="90"/>
        <v>8.4931506849315067E-2</v>
      </c>
      <c r="X215">
        <f t="shared" si="70"/>
        <v>8.4931506849315067E-2</v>
      </c>
      <c r="Y215">
        <f t="shared" si="71"/>
        <v>8.4931506849315067E-2</v>
      </c>
      <c r="Z215">
        <f t="shared" si="72"/>
        <v>8.4931506849315067E-2</v>
      </c>
      <c r="AA215">
        <f t="shared" si="73"/>
        <v>8.4931506849315067E-2</v>
      </c>
      <c r="AB215">
        <f t="shared" si="74"/>
        <v>8.4931506849315067E-2</v>
      </c>
      <c r="AC215">
        <f t="shared" si="75"/>
        <v>0</v>
      </c>
      <c r="AD215">
        <f t="shared" si="76"/>
        <v>0</v>
      </c>
      <c r="AE215">
        <f t="shared" si="77"/>
        <v>0</v>
      </c>
      <c r="AF215">
        <f t="shared" si="78"/>
        <v>0</v>
      </c>
      <c r="AG215">
        <f t="shared" si="79"/>
        <v>0</v>
      </c>
      <c r="AH215">
        <f t="shared" si="80"/>
        <v>0</v>
      </c>
      <c r="AI215">
        <f t="shared" si="81"/>
        <v>0</v>
      </c>
      <c r="AJ215" s="2" t="str">
        <f t="shared" si="91"/>
        <v>544317</v>
      </c>
    </row>
    <row r="216" spans="1:36" x14ac:dyDescent="0.25">
      <c r="A216">
        <v>6</v>
      </c>
      <c r="B216" s="1">
        <v>44317</v>
      </c>
      <c r="C216" s="1">
        <f t="shared" si="82"/>
        <v>44501</v>
      </c>
      <c r="D216" s="1">
        <f t="shared" si="83"/>
        <v>44331</v>
      </c>
      <c r="E216" s="1">
        <f t="shared" si="84"/>
        <v>44501</v>
      </c>
      <c r="F216" s="1">
        <f t="shared" si="85"/>
        <v>44531</v>
      </c>
      <c r="G216" s="1">
        <f t="shared" si="86"/>
        <v>44696</v>
      </c>
      <c r="H216">
        <f t="shared" si="87"/>
        <v>365</v>
      </c>
      <c r="I216">
        <f t="shared" si="88"/>
        <v>30</v>
      </c>
      <c r="J216">
        <f t="shared" si="89"/>
        <v>8.2191780821917804E-2</v>
      </c>
      <c r="K216">
        <f>IFERROR($J216/IF($A216&lt;COUNTIFS($K$1:K$1,"&lt;&gt;"),0,SUMIFS($J:$J,$B:$B,$B216,$A:$A,"&gt;="&amp;COUNTIFS($K$1:K$1,"&lt;&gt;"))),0)</f>
        <v>8.6206896551724144E-2</v>
      </c>
      <c r="L216">
        <f>IFERROR($J216/IF($A216&lt;COUNTIFS($K$1:L$1,"&lt;&gt;"),0,SUMIFS($J:$J,$B:$B,$B216,$A:$A,"&gt;="&amp;COUNTIFS($K$1:L$1,"&lt;&gt;"))),0)</f>
        <v>9.4339622641509441E-2</v>
      </c>
      <c r="M216">
        <f>IFERROR($J216/IF($A216&lt;COUNTIFS($K$1:M$1,"&lt;&gt;"),0,SUMIFS($J:$J,$B:$B,$B216,$A:$A,"&gt;="&amp;COUNTIFS($K$1:M$1,"&lt;&gt;"))),0)</f>
        <v>0.10452961672473869</v>
      </c>
      <c r="N216">
        <f>IFERROR($J216/IF($A216&lt;COUNTIFS($K$1:N$1,"&lt;&gt;"),0,SUMIFS($J:$J,$B:$B,$B216,$A:$A,"&gt;="&amp;COUNTIFS($K$1:N$1,"&lt;&gt;"))),0)</f>
        <v>0.11718750000000001</v>
      </c>
      <c r="O216">
        <f>IFERROR($J216/IF($A216&lt;COUNTIFS($K$1:O$1,"&lt;&gt;"),0,SUMIFS($J:$J,$B:$B,$B216,$A:$A,"&gt;="&amp;COUNTIFS($K$1:O$1,"&lt;&gt;"))),0)</f>
        <v>0.13274336283185842</v>
      </c>
      <c r="P216">
        <f>IFERROR($J216/IF($A216&lt;COUNTIFS($K$1:P$1,"&lt;&gt;"),0,SUMIFS($J:$J,$B:$B,$B216,$A:$A,"&gt;="&amp;COUNTIFS($K$1:P$1,"&lt;&gt;"))),0)</f>
        <v>0.15384615384615385</v>
      </c>
      <c r="Q216">
        <f>IFERROR($J216/IF($A216&lt;COUNTIFS($K$1:Q$1,"&lt;&gt;"),0,SUMIFS($J:$J,$B:$B,$B216,$A:$A,"&gt;="&amp;COUNTIFS($K$1:Q$1,"&lt;&gt;"))),0)</f>
        <v>0</v>
      </c>
      <c r="R216">
        <f>IFERROR($J216/IF($A216&lt;COUNTIFS($K$1:R$1,"&lt;&gt;"),0,SUMIFS($J:$J,$B:$B,$B216,$A:$A,"&gt;="&amp;COUNTIFS($K$1:R$1,"&lt;&gt;"))),0)</f>
        <v>0</v>
      </c>
      <c r="S216">
        <f>IFERROR($J216/IF($A216&lt;COUNTIFS($K$1:S$1,"&lt;&gt;"),0,SUMIFS($J:$J,$B:$B,$B216,$A:$A,"&gt;="&amp;COUNTIFS($K$1:S$1,"&lt;&gt;"))),0)</f>
        <v>0</v>
      </c>
      <c r="T216">
        <f>IFERROR($J216/IF($A216&lt;COUNTIFS($K$1:T$1,"&lt;&gt;"),0,SUMIFS($J:$J,$B:$B,$B216,$A:$A,"&gt;="&amp;COUNTIFS($K$1:T$1,"&lt;&gt;"))),0)</f>
        <v>0</v>
      </c>
      <c r="U216">
        <f>IFERROR($J216/IF($A216&lt;COUNTIFS($K$1:U$1,"&lt;&gt;"),0,SUMIFS($J:$J,$B:$B,$B216,$A:$A,"&gt;="&amp;COUNTIFS($K$1:U$1,"&lt;&gt;"))),0)</f>
        <v>0</v>
      </c>
      <c r="V216">
        <f>IFERROR($J216/IF($A216&lt;COUNTIFS($K$1:V$1,"&lt;&gt;"),0,SUMIFS($J:$J,$B:$B,$B216,$A:$A,"&gt;="&amp;COUNTIFS($K$1:V$1,"&lt;&gt;"))),0)</f>
        <v>0</v>
      </c>
      <c r="W216">
        <f t="shared" si="90"/>
        <v>8.2191780821917804E-2</v>
      </c>
      <c r="X216">
        <f t="shared" si="70"/>
        <v>8.2191780821917804E-2</v>
      </c>
      <c r="Y216">
        <f t="shared" si="71"/>
        <v>8.2191780821917804E-2</v>
      </c>
      <c r="Z216">
        <f t="shared" si="72"/>
        <v>8.2191780821917804E-2</v>
      </c>
      <c r="AA216">
        <f t="shared" si="73"/>
        <v>8.2191780821917804E-2</v>
      </c>
      <c r="AB216">
        <f t="shared" si="74"/>
        <v>8.2191780821917804E-2</v>
      </c>
      <c r="AC216">
        <f t="shared" si="75"/>
        <v>8.2191780821917804E-2</v>
      </c>
      <c r="AD216">
        <f t="shared" si="76"/>
        <v>0</v>
      </c>
      <c r="AE216">
        <f t="shared" si="77"/>
        <v>0</v>
      </c>
      <c r="AF216">
        <f t="shared" si="78"/>
        <v>0</v>
      </c>
      <c r="AG216">
        <f t="shared" si="79"/>
        <v>0</v>
      </c>
      <c r="AH216">
        <f t="shared" si="80"/>
        <v>0</v>
      </c>
      <c r="AI216">
        <f t="shared" si="81"/>
        <v>0</v>
      </c>
      <c r="AJ216" s="2" t="str">
        <f t="shared" si="91"/>
        <v>644317</v>
      </c>
    </row>
    <row r="217" spans="1:36" x14ac:dyDescent="0.25">
      <c r="A217">
        <v>7</v>
      </c>
      <c r="B217" s="1">
        <v>44317</v>
      </c>
      <c r="C217" s="1">
        <f t="shared" si="82"/>
        <v>44531</v>
      </c>
      <c r="D217" s="1">
        <f t="shared" si="83"/>
        <v>44331</v>
      </c>
      <c r="E217" s="1">
        <f t="shared" si="84"/>
        <v>44531</v>
      </c>
      <c r="F217" s="1">
        <f t="shared" si="85"/>
        <v>44562</v>
      </c>
      <c r="G217" s="1">
        <f t="shared" si="86"/>
        <v>44696</v>
      </c>
      <c r="H217">
        <f t="shared" si="87"/>
        <v>365</v>
      </c>
      <c r="I217">
        <f t="shared" si="88"/>
        <v>31</v>
      </c>
      <c r="J217">
        <f t="shared" si="89"/>
        <v>8.4931506849315067E-2</v>
      </c>
      <c r="K217">
        <f>IFERROR($J217/IF($A217&lt;COUNTIFS($K$1:K$1,"&lt;&gt;"),0,SUMIFS($J:$J,$B:$B,$B217,$A:$A,"&gt;="&amp;COUNTIFS($K$1:K$1,"&lt;&gt;"))),0)</f>
        <v>8.9080459770114959E-2</v>
      </c>
      <c r="L217">
        <f>IFERROR($J217/IF($A217&lt;COUNTIFS($K$1:L$1,"&lt;&gt;"),0,SUMIFS($J:$J,$B:$B,$B217,$A:$A,"&gt;="&amp;COUNTIFS($K$1:L$1,"&lt;&gt;"))),0)</f>
        <v>9.7484276729559768E-2</v>
      </c>
      <c r="M217">
        <f>IFERROR($J217/IF($A217&lt;COUNTIFS($K$1:M$1,"&lt;&gt;"),0,SUMIFS($J:$J,$B:$B,$B217,$A:$A,"&gt;="&amp;COUNTIFS($K$1:M$1,"&lt;&gt;"))),0)</f>
        <v>0.10801393728222998</v>
      </c>
      <c r="N217">
        <f>IFERROR($J217/IF($A217&lt;COUNTIFS($K$1:N$1,"&lt;&gt;"),0,SUMIFS($J:$J,$B:$B,$B217,$A:$A,"&gt;="&amp;COUNTIFS($K$1:N$1,"&lt;&gt;"))),0)</f>
        <v>0.12109375000000001</v>
      </c>
      <c r="O217">
        <f>IFERROR($J217/IF($A217&lt;COUNTIFS($K$1:O$1,"&lt;&gt;"),0,SUMIFS($J:$J,$B:$B,$B217,$A:$A,"&gt;="&amp;COUNTIFS($K$1:O$1,"&lt;&gt;"))),0)</f>
        <v>0.13716814159292037</v>
      </c>
      <c r="P217">
        <f>IFERROR($J217/IF($A217&lt;COUNTIFS($K$1:P$1,"&lt;&gt;"),0,SUMIFS($J:$J,$B:$B,$B217,$A:$A,"&gt;="&amp;COUNTIFS($K$1:P$1,"&lt;&gt;"))),0)</f>
        <v>0.15897435897435899</v>
      </c>
      <c r="Q217">
        <f>IFERROR($J217/IF($A217&lt;COUNTIFS($K$1:Q$1,"&lt;&gt;"),0,SUMIFS($J:$J,$B:$B,$B217,$A:$A,"&gt;="&amp;COUNTIFS($K$1:Q$1,"&lt;&gt;"))),0)</f>
        <v>0.1878787878787879</v>
      </c>
      <c r="R217">
        <f>IFERROR($J217/IF($A217&lt;COUNTIFS($K$1:R$1,"&lt;&gt;"),0,SUMIFS($J:$J,$B:$B,$B217,$A:$A,"&gt;="&amp;COUNTIFS($K$1:R$1,"&lt;&gt;"))),0)</f>
        <v>0</v>
      </c>
      <c r="S217">
        <f>IFERROR($J217/IF($A217&lt;COUNTIFS($K$1:S$1,"&lt;&gt;"),0,SUMIFS($J:$J,$B:$B,$B217,$A:$A,"&gt;="&amp;COUNTIFS($K$1:S$1,"&lt;&gt;"))),0)</f>
        <v>0</v>
      </c>
      <c r="T217">
        <f>IFERROR($J217/IF($A217&lt;COUNTIFS($K$1:T$1,"&lt;&gt;"),0,SUMIFS($J:$J,$B:$B,$B217,$A:$A,"&gt;="&amp;COUNTIFS($K$1:T$1,"&lt;&gt;"))),0)</f>
        <v>0</v>
      </c>
      <c r="U217">
        <f>IFERROR($J217/IF($A217&lt;COUNTIFS($K$1:U$1,"&lt;&gt;"),0,SUMIFS($J:$J,$B:$B,$B217,$A:$A,"&gt;="&amp;COUNTIFS($K$1:U$1,"&lt;&gt;"))),0)</f>
        <v>0</v>
      </c>
      <c r="V217">
        <f>IFERROR($J217/IF($A217&lt;COUNTIFS($K$1:V$1,"&lt;&gt;"),0,SUMIFS($J:$J,$B:$B,$B217,$A:$A,"&gt;="&amp;COUNTIFS($K$1:V$1,"&lt;&gt;"))),0)</f>
        <v>0</v>
      </c>
      <c r="W217">
        <f t="shared" si="90"/>
        <v>8.4931506849315067E-2</v>
      </c>
      <c r="X217">
        <f t="shared" si="70"/>
        <v>8.4931506849315067E-2</v>
      </c>
      <c r="Y217">
        <f t="shared" si="71"/>
        <v>8.4931506849315067E-2</v>
      </c>
      <c r="Z217">
        <f t="shared" si="72"/>
        <v>8.4931506849315067E-2</v>
      </c>
      <c r="AA217">
        <f t="shared" si="73"/>
        <v>8.4931506849315067E-2</v>
      </c>
      <c r="AB217">
        <f t="shared" si="74"/>
        <v>8.4931506849315067E-2</v>
      </c>
      <c r="AC217">
        <f t="shared" si="75"/>
        <v>8.4931506849315067E-2</v>
      </c>
      <c r="AD217">
        <f t="shared" si="76"/>
        <v>8.4931506849315067E-2</v>
      </c>
      <c r="AE217">
        <f t="shared" si="77"/>
        <v>0</v>
      </c>
      <c r="AF217">
        <f t="shared" si="78"/>
        <v>0</v>
      </c>
      <c r="AG217">
        <f t="shared" si="79"/>
        <v>0</v>
      </c>
      <c r="AH217">
        <f t="shared" si="80"/>
        <v>0</v>
      </c>
      <c r="AI217">
        <f t="shared" si="81"/>
        <v>0</v>
      </c>
      <c r="AJ217" s="2" t="str">
        <f t="shared" si="91"/>
        <v>744317</v>
      </c>
    </row>
    <row r="218" spans="1:36" x14ac:dyDescent="0.25">
      <c r="A218">
        <v>8</v>
      </c>
      <c r="B218" s="1">
        <v>44317</v>
      </c>
      <c r="C218" s="1">
        <f t="shared" si="82"/>
        <v>44562</v>
      </c>
      <c r="D218" s="1">
        <f t="shared" si="83"/>
        <v>44331</v>
      </c>
      <c r="E218" s="1">
        <f t="shared" si="84"/>
        <v>44562</v>
      </c>
      <c r="F218" s="1">
        <f t="shared" si="85"/>
        <v>44593</v>
      </c>
      <c r="G218" s="1">
        <f t="shared" si="86"/>
        <v>44696</v>
      </c>
      <c r="H218">
        <f t="shared" si="87"/>
        <v>365</v>
      </c>
      <c r="I218">
        <f t="shared" si="88"/>
        <v>31</v>
      </c>
      <c r="J218">
        <f t="shared" si="89"/>
        <v>8.4931506849315067E-2</v>
      </c>
      <c r="K218">
        <f>IFERROR($J218/IF($A218&lt;COUNTIFS($K$1:K$1,"&lt;&gt;"),0,SUMIFS($J:$J,$B:$B,$B218,$A:$A,"&gt;="&amp;COUNTIFS($K$1:K$1,"&lt;&gt;"))),0)</f>
        <v>8.9080459770114959E-2</v>
      </c>
      <c r="L218">
        <f>IFERROR($J218/IF($A218&lt;COUNTIFS($K$1:L$1,"&lt;&gt;"),0,SUMIFS($J:$J,$B:$B,$B218,$A:$A,"&gt;="&amp;COUNTIFS($K$1:L$1,"&lt;&gt;"))),0)</f>
        <v>9.7484276729559768E-2</v>
      </c>
      <c r="M218">
        <f>IFERROR($J218/IF($A218&lt;COUNTIFS($K$1:M$1,"&lt;&gt;"),0,SUMIFS($J:$J,$B:$B,$B218,$A:$A,"&gt;="&amp;COUNTIFS($K$1:M$1,"&lt;&gt;"))),0)</f>
        <v>0.10801393728222998</v>
      </c>
      <c r="N218">
        <f>IFERROR($J218/IF($A218&lt;COUNTIFS($K$1:N$1,"&lt;&gt;"),0,SUMIFS($J:$J,$B:$B,$B218,$A:$A,"&gt;="&amp;COUNTIFS($K$1:N$1,"&lt;&gt;"))),0)</f>
        <v>0.12109375000000001</v>
      </c>
      <c r="O218">
        <f>IFERROR($J218/IF($A218&lt;COUNTIFS($K$1:O$1,"&lt;&gt;"),0,SUMIFS($J:$J,$B:$B,$B218,$A:$A,"&gt;="&amp;COUNTIFS($K$1:O$1,"&lt;&gt;"))),0)</f>
        <v>0.13716814159292037</v>
      </c>
      <c r="P218">
        <f>IFERROR($J218/IF($A218&lt;COUNTIFS($K$1:P$1,"&lt;&gt;"),0,SUMIFS($J:$J,$B:$B,$B218,$A:$A,"&gt;="&amp;COUNTIFS($K$1:P$1,"&lt;&gt;"))),0)</f>
        <v>0.15897435897435899</v>
      </c>
      <c r="Q218">
        <f>IFERROR($J218/IF($A218&lt;COUNTIFS($K$1:Q$1,"&lt;&gt;"),0,SUMIFS($J:$J,$B:$B,$B218,$A:$A,"&gt;="&amp;COUNTIFS($K$1:Q$1,"&lt;&gt;"))),0)</f>
        <v>0.1878787878787879</v>
      </c>
      <c r="R218">
        <f>IFERROR($J218/IF($A218&lt;COUNTIFS($K$1:R$1,"&lt;&gt;"),0,SUMIFS($J:$J,$B:$B,$B218,$A:$A,"&gt;="&amp;COUNTIFS($K$1:R$1,"&lt;&gt;"))),0)</f>
        <v>0.23134328358208955</v>
      </c>
      <c r="S218">
        <f>IFERROR($J218/IF($A218&lt;COUNTIFS($K$1:S$1,"&lt;&gt;"),0,SUMIFS($J:$J,$B:$B,$B218,$A:$A,"&gt;="&amp;COUNTIFS($K$1:S$1,"&lt;&gt;"))),0)</f>
        <v>0</v>
      </c>
      <c r="T218">
        <f>IFERROR($J218/IF($A218&lt;COUNTIFS($K$1:T$1,"&lt;&gt;"),0,SUMIFS($J:$J,$B:$B,$B218,$A:$A,"&gt;="&amp;COUNTIFS($K$1:T$1,"&lt;&gt;"))),0)</f>
        <v>0</v>
      </c>
      <c r="U218">
        <f>IFERROR($J218/IF($A218&lt;COUNTIFS($K$1:U$1,"&lt;&gt;"),0,SUMIFS($J:$J,$B:$B,$B218,$A:$A,"&gt;="&amp;COUNTIFS($K$1:U$1,"&lt;&gt;"))),0)</f>
        <v>0</v>
      </c>
      <c r="V218">
        <f>IFERROR($J218/IF($A218&lt;COUNTIFS($K$1:V$1,"&lt;&gt;"),0,SUMIFS($J:$J,$B:$B,$B218,$A:$A,"&gt;="&amp;COUNTIFS($K$1:V$1,"&lt;&gt;"))),0)</f>
        <v>0</v>
      </c>
      <c r="W218">
        <f t="shared" si="90"/>
        <v>8.4931506849315067E-2</v>
      </c>
      <c r="X218">
        <f t="shared" si="70"/>
        <v>8.4931506849315067E-2</v>
      </c>
      <c r="Y218">
        <f t="shared" si="71"/>
        <v>8.4931506849315067E-2</v>
      </c>
      <c r="Z218">
        <f t="shared" si="72"/>
        <v>8.4931506849315067E-2</v>
      </c>
      <c r="AA218">
        <f t="shared" si="73"/>
        <v>8.4931506849315067E-2</v>
      </c>
      <c r="AB218">
        <f t="shared" si="74"/>
        <v>8.4931506849315067E-2</v>
      </c>
      <c r="AC218">
        <f t="shared" si="75"/>
        <v>8.4931506849315067E-2</v>
      </c>
      <c r="AD218">
        <f t="shared" si="76"/>
        <v>8.4931506849315067E-2</v>
      </c>
      <c r="AE218">
        <f t="shared" si="77"/>
        <v>8.4931506849315067E-2</v>
      </c>
      <c r="AF218">
        <f t="shared" si="78"/>
        <v>0</v>
      </c>
      <c r="AG218">
        <f t="shared" si="79"/>
        <v>0</v>
      </c>
      <c r="AH218">
        <f t="shared" si="80"/>
        <v>0</v>
      </c>
      <c r="AI218">
        <f t="shared" si="81"/>
        <v>0</v>
      </c>
      <c r="AJ218" s="2" t="str">
        <f t="shared" si="91"/>
        <v>844317</v>
      </c>
    </row>
    <row r="219" spans="1:36" x14ac:dyDescent="0.25">
      <c r="A219">
        <v>9</v>
      </c>
      <c r="B219" s="1">
        <v>44317</v>
      </c>
      <c r="C219" s="1">
        <f t="shared" si="82"/>
        <v>44593</v>
      </c>
      <c r="D219" s="1">
        <f t="shared" si="83"/>
        <v>44331</v>
      </c>
      <c r="E219" s="1">
        <f t="shared" si="84"/>
        <v>44593</v>
      </c>
      <c r="F219" s="1">
        <f t="shared" si="85"/>
        <v>44621</v>
      </c>
      <c r="G219" s="1">
        <f t="shared" si="86"/>
        <v>44696</v>
      </c>
      <c r="H219">
        <f t="shared" si="87"/>
        <v>365</v>
      </c>
      <c r="I219">
        <f t="shared" si="88"/>
        <v>28</v>
      </c>
      <c r="J219">
        <f t="shared" si="89"/>
        <v>7.6712328767123292E-2</v>
      </c>
      <c r="K219">
        <f>IFERROR($J219/IF($A219&lt;COUNTIFS($K$1:K$1,"&lt;&gt;"),0,SUMIFS($J:$J,$B:$B,$B219,$A:$A,"&gt;="&amp;COUNTIFS($K$1:K$1,"&lt;&gt;"))),0)</f>
        <v>8.0459770114942541E-2</v>
      </c>
      <c r="L219">
        <f>IFERROR($J219/IF($A219&lt;COUNTIFS($K$1:L$1,"&lt;&gt;"),0,SUMIFS($J:$J,$B:$B,$B219,$A:$A,"&gt;="&amp;COUNTIFS($K$1:L$1,"&lt;&gt;"))),0)</f>
        <v>8.8050314465408827E-2</v>
      </c>
      <c r="M219">
        <f>IFERROR($J219/IF($A219&lt;COUNTIFS($K$1:M$1,"&lt;&gt;"),0,SUMIFS($J:$J,$B:$B,$B219,$A:$A,"&gt;="&amp;COUNTIFS($K$1:M$1,"&lt;&gt;"))),0)</f>
        <v>9.7560975609756115E-2</v>
      </c>
      <c r="N219">
        <f>IFERROR($J219/IF($A219&lt;COUNTIFS($K$1:N$1,"&lt;&gt;"),0,SUMIFS($J:$J,$B:$B,$B219,$A:$A,"&gt;="&amp;COUNTIFS($K$1:N$1,"&lt;&gt;"))),0)</f>
        <v>0.10937500000000003</v>
      </c>
      <c r="O219">
        <f>IFERROR($J219/IF($A219&lt;COUNTIFS($K$1:O$1,"&lt;&gt;"),0,SUMIFS($J:$J,$B:$B,$B219,$A:$A,"&gt;="&amp;COUNTIFS($K$1:O$1,"&lt;&gt;"))),0)</f>
        <v>0.12389380530973454</v>
      </c>
      <c r="P219">
        <f>IFERROR($J219/IF($A219&lt;COUNTIFS($K$1:P$1,"&lt;&gt;"),0,SUMIFS($J:$J,$B:$B,$B219,$A:$A,"&gt;="&amp;COUNTIFS($K$1:P$1,"&lt;&gt;"))),0)</f>
        <v>0.14358974358974361</v>
      </c>
      <c r="Q219">
        <f>IFERROR($J219/IF($A219&lt;COUNTIFS($K$1:Q$1,"&lt;&gt;"),0,SUMIFS($J:$J,$B:$B,$B219,$A:$A,"&gt;="&amp;COUNTIFS($K$1:Q$1,"&lt;&gt;"))),0)</f>
        <v>0.16969696969696971</v>
      </c>
      <c r="R219">
        <f>IFERROR($J219/IF($A219&lt;COUNTIFS($K$1:R$1,"&lt;&gt;"),0,SUMIFS($J:$J,$B:$B,$B219,$A:$A,"&gt;="&amp;COUNTIFS($K$1:R$1,"&lt;&gt;"))),0)</f>
        <v>0.20895522388059704</v>
      </c>
      <c r="S219">
        <f>IFERROR($J219/IF($A219&lt;COUNTIFS($K$1:S$1,"&lt;&gt;"),0,SUMIFS($J:$J,$B:$B,$B219,$A:$A,"&gt;="&amp;COUNTIFS($K$1:S$1,"&lt;&gt;"))),0)</f>
        <v>0.27184466019417475</v>
      </c>
      <c r="T219">
        <f>IFERROR($J219/IF($A219&lt;COUNTIFS($K$1:T$1,"&lt;&gt;"),0,SUMIFS($J:$J,$B:$B,$B219,$A:$A,"&gt;="&amp;COUNTIFS($K$1:T$1,"&lt;&gt;"))),0)</f>
        <v>0</v>
      </c>
      <c r="U219">
        <f>IFERROR($J219/IF($A219&lt;COUNTIFS($K$1:U$1,"&lt;&gt;"),0,SUMIFS($J:$J,$B:$B,$B219,$A:$A,"&gt;="&amp;COUNTIFS($K$1:U$1,"&lt;&gt;"))),0)</f>
        <v>0</v>
      </c>
      <c r="V219">
        <f>IFERROR($J219/IF($A219&lt;COUNTIFS($K$1:V$1,"&lt;&gt;"),0,SUMIFS($J:$J,$B:$B,$B219,$A:$A,"&gt;="&amp;COUNTIFS($K$1:V$1,"&lt;&gt;"))),0)</f>
        <v>0</v>
      </c>
      <c r="W219">
        <f t="shared" si="90"/>
        <v>7.6712328767123292E-2</v>
      </c>
      <c r="X219">
        <f t="shared" si="70"/>
        <v>7.6712328767123292E-2</v>
      </c>
      <c r="Y219">
        <f t="shared" si="71"/>
        <v>7.6712328767123292E-2</v>
      </c>
      <c r="Z219">
        <f t="shared" si="72"/>
        <v>7.6712328767123292E-2</v>
      </c>
      <c r="AA219">
        <f t="shared" si="73"/>
        <v>7.6712328767123292E-2</v>
      </c>
      <c r="AB219">
        <f t="shared" si="74"/>
        <v>7.6712328767123292E-2</v>
      </c>
      <c r="AC219">
        <f t="shared" si="75"/>
        <v>7.6712328767123292E-2</v>
      </c>
      <c r="AD219">
        <f t="shared" si="76"/>
        <v>7.6712328767123292E-2</v>
      </c>
      <c r="AE219">
        <f t="shared" si="77"/>
        <v>7.6712328767123292E-2</v>
      </c>
      <c r="AF219">
        <f t="shared" si="78"/>
        <v>7.6712328767123292E-2</v>
      </c>
      <c r="AG219">
        <f t="shared" si="79"/>
        <v>0</v>
      </c>
      <c r="AH219">
        <f t="shared" si="80"/>
        <v>0</v>
      </c>
      <c r="AI219">
        <f t="shared" si="81"/>
        <v>0</v>
      </c>
      <c r="AJ219" s="2" t="str">
        <f t="shared" si="91"/>
        <v>944317</v>
      </c>
    </row>
    <row r="220" spans="1:36" x14ac:dyDescent="0.25">
      <c r="A220">
        <v>10</v>
      </c>
      <c r="B220" s="1">
        <v>44317</v>
      </c>
      <c r="C220" s="1">
        <f t="shared" si="82"/>
        <v>44621</v>
      </c>
      <c r="D220" s="1">
        <f t="shared" si="83"/>
        <v>44331</v>
      </c>
      <c r="E220" s="1">
        <f t="shared" si="84"/>
        <v>44621</v>
      </c>
      <c r="F220" s="1">
        <f t="shared" si="85"/>
        <v>44652</v>
      </c>
      <c r="G220" s="1">
        <f t="shared" si="86"/>
        <v>44696</v>
      </c>
      <c r="H220">
        <f t="shared" si="87"/>
        <v>365</v>
      </c>
      <c r="I220">
        <f t="shared" si="88"/>
        <v>31</v>
      </c>
      <c r="J220">
        <f t="shared" si="89"/>
        <v>8.4931506849315067E-2</v>
      </c>
      <c r="K220">
        <f>IFERROR($J220/IF($A220&lt;COUNTIFS($K$1:K$1,"&lt;&gt;"),0,SUMIFS($J:$J,$B:$B,$B220,$A:$A,"&gt;="&amp;COUNTIFS($K$1:K$1,"&lt;&gt;"))),0)</f>
        <v>8.9080459770114959E-2</v>
      </c>
      <c r="L220">
        <f>IFERROR($J220/IF($A220&lt;COUNTIFS($K$1:L$1,"&lt;&gt;"),0,SUMIFS($J:$J,$B:$B,$B220,$A:$A,"&gt;="&amp;COUNTIFS($K$1:L$1,"&lt;&gt;"))),0)</f>
        <v>9.7484276729559768E-2</v>
      </c>
      <c r="M220">
        <f>IFERROR($J220/IF($A220&lt;COUNTIFS($K$1:M$1,"&lt;&gt;"),0,SUMIFS($J:$J,$B:$B,$B220,$A:$A,"&gt;="&amp;COUNTIFS($K$1:M$1,"&lt;&gt;"))),0)</f>
        <v>0.10801393728222998</v>
      </c>
      <c r="N220">
        <f>IFERROR($J220/IF($A220&lt;COUNTIFS($K$1:N$1,"&lt;&gt;"),0,SUMIFS($J:$J,$B:$B,$B220,$A:$A,"&gt;="&amp;COUNTIFS($K$1:N$1,"&lt;&gt;"))),0)</f>
        <v>0.12109375000000001</v>
      </c>
      <c r="O220">
        <f>IFERROR($J220/IF($A220&lt;COUNTIFS($K$1:O$1,"&lt;&gt;"),0,SUMIFS($J:$J,$B:$B,$B220,$A:$A,"&gt;="&amp;COUNTIFS($K$1:O$1,"&lt;&gt;"))),0)</f>
        <v>0.13716814159292037</v>
      </c>
      <c r="P220">
        <f>IFERROR($J220/IF($A220&lt;COUNTIFS($K$1:P$1,"&lt;&gt;"),0,SUMIFS($J:$J,$B:$B,$B220,$A:$A,"&gt;="&amp;COUNTIFS($K$1:P$1,"&lt;&gt;"))),0)</f>
        <v>0.15897435897435899</v>
      </c>
      <c r="Q220">
        <f>IFERROR($J220/IF($A220&lt;COUNTIFS($K$1:Q$1,"&lt;&gt;"),0,SUMIFS($J:$J,$B:$B,$B220,$A:$A,"&gt;="&amp;COUNTIFS($K$1:Q$1,"&lt;&gt;"))),0)</f>
        <v>0.1878787878787879</v>
      </c>
      <c r="R220">
        <f>IFERROR($J220/IF($A220&lt;COUNTIFS($K$1:R$1,"&lt;&gt;"),0,SUMIFS($J:$J,$B:$B,$B220,$A:$A,"&gt;="&amp;COUNTIFS($K$1:R$1,"&lt;&gt;"))),0)</f>
        <v>0.23134328358208955</v>
      </c>
      <c r="S220">
        <f>IFERROR($J220/IF($A220&lt;COUNTIFS($K$1:S$1,"&lt;&gt;"),0,SUMIFS($J:$J,$B:$B,$B220,$A:$A,"&gt;="&amp;COUNTIFS($K$1:S$1,"&lt;&gt;"))),0)</f>
        <v>0.30097087378640774</v>
      </c>
      <c r="T220">
        <f>IFERROR($J220/IF($A220&lt;COUNTIFS($K$1:T$1,"&lt;&gt;"),0,SUMIFS($J:$J,$B:$B,$B220,$A:$A,"&gt;="&amp;COUNTIFS($K$1:T$1,"&lt;&gt;"))),0)</f>
        <v>0.41333333333333333</v>
      </c>
      <c r="U220">
        <f>IFERROR($J220/IF($A220&lt;COUNTIFS($K$1:U$1,"&lt;&gt;"),0,SUMIFS($J:$J,$B:$B,$B220,$A:$A,"&gt;="&amp;COUNTIFS($K$1:U$1,"&lt;&gt;"))),0)</f>
        <v>0</v>
      </c>
      <c r="V220">
        <f>IFERROR($J220/IF($A220&lt;COUNTIFS($K$1:V$1,"&lt;&gt;"),0,SUMIFS($J:$J,$B:$B,$B220,$A:$A,"&gt;="&amp;COUNTIFS($K$1:V$1,"&lt;&gt;"))),0)</f>
        <v>0</v>
      </c>
      <c r="W220">
        <f t="shared" si="90"/>
        <v>8.4931506849315067E-2</v>
      </c>
      <c r="X220">
        <f t="shared" si="70"/>
        <v>8.4931506849315067E-2</v>
      </c>
      <c r="Y220">
        <f t="shared" si="71"/>
        <v>8.4931506849315067E-2</v>
      </c>
      <c r="Z220">
        <f t="shared" si="72"/>
        <v>8.4931506849315067E-2</v>
      </c>
      <c r="AA220">
        <f t="shared" si="73"/>
        <v>8.4931506849315067E-2</v>
      </c>
      <c r="AB220">
        <f t="shared" si="74"/>
        <v>8.4931506849315067E-2</v>
      </c>
      <c r="AC220">
        <f t="shared" si="75"/>
        <v>8.4931506849315067E-2</v>
      </c>
      <c r="AD220">
        <f t="shared" si="76"/>
        <v>8.4931506849315067E-2</v>
      </c>
      <c r="AE220">
        <f t="shared" si="77"/>
        <v>8.4931506849315067E-2</v>
      </c>
      <c r="AF220">
        <f t="shared" si="78"/>
        <v>8.4931506849315067E-2</v>
      </c>
      <c r="AG220">
        <f t="shared" si="79"/>
        <v>8.4931506849315067E-2</v>
      </c>
      <c r="AH220">
        <f t="shared" si="80"/>
        <v>0</v>
      </c>
      <c r="AI220">
        <f t="shared" si="81"/>
        <v>0</v>
      </c>
      <c r="AJ220" s="2" t="str">
        <f t="shared" si="91"/>
        <v>1044317</v>
      </c>
    </row>
    <row r="221" spans="1:36" x14ac:dyDescent="0.25">
      <c r="A221">
        <v>11</v>
      </c>
      <c r="B221" s="1">
        <v>44317</v>
      </c>
      <c r="C221" s="1">
        <f t="shared" si="82"/>
        <v>44652</v>
      </c>
      <c r="D221" s="1">
        <f t="shared" si="83"/>
        <v>44331</v>
      </c>
      <c r="E221" s="1">
        <f t="shared" si="84"/>
        <v>44652</v>
      </c>
      <c r="F221" s="1">
        <f t="shared" si="85"/>
        <v>44682</v>
      </c>
      <c r="G221" s="1">
        <f t="shared" si="86"/>
        <v>44696</v>
      </c>
      <c r="H221">
        <f t="shared" si="87"/>
        <v>365</v>
      </c>
      <c r="I221">
        <f t="shared" si="88"/>
        <v>30</v>
      </c>
      <c r="J221">
        <f t="shared" si="89"/>
        <v>8.2191780821917804E-2</v>
      </c>
      <c r="K221">
        <f>IFERROR($J221/IF($A221&lt;COUNTIFS($K$1:K$1,"&lt;&gt;"),0,SUMIFS($J:$J,$B:$B,$B221,$A:$A,"&gt;="&amp;COUNTIFS($K$1:K$1,"&lt;&gt;"))),0)</f>
        <v>8.6206896551724144E-2</v>
      </c>
      <c r="L221">
        <f>IFERROR($J221/IF($A221&lt;COUNTIFS($K$1:L$1,"&lt;&gt;"),0,SUMIFS($J:$J,$B:$B,$B221,$A:$A,"&gt;="&amp;COUNTIFS($K$1:L$1,"&lt;&gt;"))),0)</f>
        <v>9.4339622641509441E-2</v>
      </c>
      <c r="M221">
        <f>IFERROR($J221/IF($A221&lt;COUNTIFS($K$1:M$1,"&lt;&gt;"),0,SUMIFS($J:$J,$B:$B,$B221,$A:$A,"&gt;="&amp;COUNTIFS($K$1:M$1,"&lt;&gt;"))),0)</f>
        <v>0.10452961672473869</v>
      </c>
      <c r="N221">
        <f>IFERROR($J221/IF($A221&lt;COUNTIFS($K$1:N$1,"&lt;&gt;"),0,SUMIFS($J:$J,$B:$B,$B221,$A:$A,"&gt;="&amp;COUNTIFS($K$1:N$1,"&lt;&gt;"))),0)</f>
        <v>0.11718750000000001</v>
      </c>
      <c r="O221">
        <f>IFERROR($J221/IF($A221&lt;COUNTIFS($K$1:O$1,"&lt;&gt;"),0,SUMIFS($J:$J,$B:$B,$B221,$A:$A,"&gt;="&amp;COUNTIFS($K$1:O$1,"&lt;&gt;"))),0)</f>
        <v>0.13274336283185842</v>
      </c>
      <c r="P221">
        <f>IFERROR($J221/IF($A221&lt;COUNTIFS($K$1:P$1,"&lt;&gt;"),0,SUMIFS($J:$J,$B:$B,$B221,$A:$A,"&gt;="&amp;COUNTIFS($K$1:P$1,"&lt;&gt;"))),0)</f>
        <v>0.15384615384615385</v>
      </c>
      <c r="Q221">
        <f>IFERROR($J221/IF($A221&lt;COUNTIFS($K$1:Q$1,"&lt;&gt;"),0,SUMIFS($J:$J,$B:$B,$B221,$A:$A,"&gt;="&amp;COUNTIFS($K$1:Q$1,"&lt;&gt;"))),0)</f>
        <v>0.18181818181818182</v>
      </c>
      <c r="R221">
        <f>IFERROR($J221/IF($A221&lt;COUNTIFS($K$1:R$1,"&lt;&gt;"),0,SUMIFS($J:$J,$B:$B,$B221,$A:$A,"&gt;="&amp;COUNTIFS($K$1:R$1,"&lt;&gt;"))),0)</f>
        <v>0.22388059701492535</v>
      </c>
      <c r="S221">
        <f>IFERROR($J221/IF($A221&lt;COUNTIFS($K$1:S$1,"&lt;&gt;"),0,SUMIFS($J:$J,$B:$B,$B221,$A:$A,"&gt;="&amp;COUNTIFS($K$1:S$1,"&lt;&gt;"))),0)</f>
        <v>0.29126213592233008</v>
      </c>
      <c r="T221">
        <f>IFERROR($J221/IF($A221&lt;COUNTIFS($K$1:T$1,"&lt;&gt;"),0,SUMIFS($J:$J,$B:$B,$B221,$A:$A,"&gt;="&amp;COUNTIFS($K$1:T$1,"&lt;&gt;"))),0)</f>
        <v>0.4</v>
      </c>
      <c r="U221">
        <f>IFERROR($J221/IF($A221&lt;COUNTIFS($K$1:U$1,"&lt;&gt;"),0,SUMIFS($J:$J,$B:$B,$B221,$A:$A,"&gt;="&amp;COUNTIFS($K$1:U$1,"&lt;&gt;"))),0)</f>
        <v>0.68181818181818177</v>
      </c>
      <c r="V221">
        <f>IFERROR($J221/IF($A221&lt;COUNTIFS($K$1:V$1,"&lt;&gt;"),0,SUMIFS($J:$J,$B:$B,$B221,$A:$A,"&gt;="&amp;COUNTIFS($K$1:V$1,"&lt;&gt;"))),0)</f>
        <v>0</v>
      </c>
      <c r="W221">
        <f t="shared" si="90"/>
        <v>8.2191780821917804E-2</v>
      </c>
      <c r="X221">
        <f t="shared" si="70"/>
        <v>8.2191780821917804E-2</v>
      </c>
      <c r="Y221">
        <f t="shared" si="71"/>
        <v>8.2191780821917804E-2</v>
      </c>
      <c r="Z221">
        <f t="shared" si="72"/>
        <v>8.2191780821917804E-2</v>
      </c>
      <c r="AA221">
        <f t="shared" si="73"/>
        <v>8.2191780821917804E-2</v>
      </c>
      <c r="AB221">
        <f t="shared" si="74"/>
        <v>8.2191780821917804E-2</v>
      </c>
      <c r="AC221">
        <f t="shared" si="75"/>
        <v>8.2191780821917804E-2</v>
      </c>
      <c r="AD221">
        <f t="shared" si="76"/>
        <v>8.2191780821917804E-2</v>
      </c>
      <c r="AE221">
        <f t="shared" si="77"/>
        <v>8.2191780821917804E-2</v>
      </c>
      <c r="AF221">
        <f t="shared" si="78"/>
        <v>8.2191780821917804E-2</v>
      </c>
      <c r="AG221">
        <f t="shared" si="79"/>
        <v>8.2191780821917804E-2</v>
      </c>
      <c r="AH221">
        <f t="shared" si="80"/>
        <v>8.2191780821917804E-2</v>
      </c>
      <c r="AI221">
        <f t="shared" si="81"/>
        <v>0</v>
      </c>
      <c r="AJ221" s="2" t="str">
        <f t="shared" si="91"/>
        <v>1144317</v>
      </c>
    </row>
    <row r="222" spans="1:36" x14ac:dyDescent="0.25">
      <c r="A222">
        <v>12</v>
      </c>
      <c r="B222" s="1">
        <v>44317</v>
      </c>
      <c r="C222" s="1">
        <f t="shared" si="82"/>
        <v>44682</v>
      </c>
      <c r="D222" s="1">
        <f t="shared" si="83"/>
        <v>44331</v>
      </c>
      <c r="E222" s="1">
        <f t="shared" si="84"/>
        <v>44682</v>
      </c>
      <c r="F222" s="1">
        <f t="shared" si="85"/>
        <v>44696</v>
      </c>
      <c r="G222" s="1">
        <f t="shared" si="86"/>
        <v>44696</v>
      </c>
      <c r="H222">
        <f t="shared" si="87"/>
        <v>365</v>
      </c>
      <c r="I222">
        <f t="shared" si="88"/>
        <v>14</v>
      </c>
      <c r="J222">
        <f t="shared" si="89"/>
        <v>3.8356164383561646E-2</v>
      </c>
      <c r="K222">
        <f>IFERROR($J222/IF($A222&lt;COUNTIFS($K$1:K$1,"&lt;&gt;"),0,SUMIFS($J:$J,$B:$B,$B222,$A:$A,"&gt;="&amp;COUNTIFS($K$1:K$1,"&lt;&gt;"))),0)</f>
        <v>4.0229885057471271E-2</v>
      </c>
      <c r="L222">
        <f>IFERROR($J222/IF($A222&lt;COUNTIFS($K$1:L$1,"&lt;&gt;"),0,SUMIFS($J:$J,$B:$B,$B222,$A:$A,"&gt;="&amp;COUNTIFS($K$1:L$1,"&lt;&gt;"))),0)</f>
        <v>4.4025157232704414E-2</v>
      </c>
      <c r="M222">
        <f>IFERROR($J222/IF($A222&lt;COUNTIFS($K$1:M$1,"&lt;&gt;"),0,SUMIFS($J:$J,$B:$B,$B222,$A:$A,"&gt;="&amp;COUNTIFS($K$1:M$1,"&lt;&gt;"))),0)</f>
        <v>4.8780487804878057E-2</v>
      </c>
      <c r="N222">
        <f>IFERROR($J222/IF($A222&lt;COUNTIFS($K$1:N$1,"&lt;&gt;"),0,SUMIFS($J:$J,$B:$B,$B222,$A:$A,"&gt;="&amp;COUNTIFS($K$1:N$1,"&lt;&gt;"))),0)</f>
        <v>5.4687500000000014E-2</v>
      </c>
      <c r="O222">
        <f>IFERROR($J222/IF($A222&lt;COUNTIFS($K$1:O$1,"&lt;&gt;"),0,SUMIFS($J:$J,$B:$B,$B222,$A:$A,"&gt;="&amp;COUNTIFS($K$1:O$1,"&lt;&gt;"))),0)</f>
        <v>6.194690265486727E-2</v>
      </c>
      <c r="P222">
        <f>IFERROR($J222/IF($A222&lt;COUNTIFS($K$1:P$1,"&lt;&gt;"),0,SUMIFS($J:$J,$B:$B,$B222,$A:$A,"&gt;="&amp;COUNTIFS($K$1:P$1,"&lt;&gt;"))),0)</f>
        <v>7.1794871794871803E-2</v>
      </c>
      <c r="Q222">
        <f>IFERROR($J222/IF($A222&lt;COUNTIFS($K$1:Q$1,"&lt;&gt;"),0,SUMIFS($J:$J,$B:$B,$B222,$A:$A,"&gt;="&amp;COUNTIFS($K$1:Q$1,"&lt;&gt;"))),0)</f>
        <v>8.4848484848484854E-2</v>
      </c>
      <c r="R222">
        <f>IFERROR($J222/IF($A222&lt;COUNTIFS($K$1:R$1,"&lt;&gt;"),0,SUMIFS($J:$J,$B:$B,$B222,$A:$A,"&gt;="&amp;COUNTIFS($K$1:R$1,"&lt;&gt;"))),0)</f>
        <v>0.10447761194029852</v>
      </c>
      <c r="S222">
        <f>IFERROR($J222/IF($A222&lt;COUNTIFS($K$1:S$1,"&lt;&gt;"),0,SUMIFS($J:$J,$B:$B,$B222,$A:$A,"&gt;="&amp;COUNTIFS($K$1:S$1,"&lt;&gt;"))),0)</f>
        <v>0.13592233009708737</v>
      </c>
      <c r="T222">
        <f>IFERROR($J222/IF($A222&lt;COUNTIFS($K$1:T$1,"&lt;&gt;"),0,SUMIFS($J:$J,$B:$B,$B222,$A:$A,"&gt;="&amp;COUNTIFS($K$1:T$1,"&lt;&gt;"))),0)</f>
        <v>0.18666666666666668</v>
      </c>
      <c r="U222">
        <f>IFERROR($J222/IF($A222&lt;COUNTIFS($K$1:U$1,"&lt;&gt;"),0,SUMIFS($J:$J,$B:$B,$B222,$A:$A,"&gt;="&amp;COUNTIFS($K$1:U$1,"&lt;&gt;"))),0)</f>
        <v>0.31818181818181818</v>
      </c>
      <c r="V222">
        <f>IFERROR($J222/IF($A222&lt;COUNTIFS($K$1:V$1,"&lt;&gt;"),0,SUMIFS($J:$J,$B:$B,$B222,$A:$A,"&gt;="&amp;COUNTIFS($K$1:V$1,"&lt;&gt;"))),0)</f>
        <v>1</v>
      </c>
      <c r="W222">
        <f t="shared" si="90"/>
        <v>3.8356164383561646E-2</v>
      </c>
      <c r="X222">
        <f t="shared" si="70"/>
        <v>3.8356164383561646E-2</v>
      </c>
      <c r="Y222">
        <f t="shared" si="71"/>
        <v>3.8356164383561646E-2</v>
      </c>
      <c r="Z222">
        <f t="shared" si="72"/>
        <v>3.8356164383561646E-2</v>
      </c>
      <c r="AA222">
        <f t="shared" si="73"/>
        <v>3.8356164383561646E-2</v>
      </c>
      <c r="AB222">
        <f t="shared" si="74"/>
        <v>3.8356164383561646E-2</v>
      </c>
      <c r="AC222">
        <f t="shared" si="75"/>
        <v>3.8356164383561646E-2</v>
      </c>
      <c r="AD222">
        <f t="shared" si="76"/>
        <v>3.8356164383561646E-2</v>
      </c>
      <c r="AE222">
        <f t="shared" si="77"/>
        <v>3.8356164383561646E-2</v>
      </c>
      <c r="AF222">
        <f t="shared" si="78"/>
        <v>3.8356164383561646E-2</v>
      </c>
      <c r="AG222">
        <f t="shared" si="79"/>
        <v>3.8356164383561646E-2</v>
      </c>
      <c r="AH222">
        <f t="shared" si="80"/>
        <v>3.8356164383561646E-2</v>
      </c>
      <c r="AI222">
        <f t="shared" si="81"/>
        <v>3.8356164383561646E-2</v>
      </c>
      <c r="AJ222" s="2" t="str">
        <f t="shared" si="91"/>
        <v>1244317</v>
      </c>
    </row>
    <row r="223" spans="1:36" x14ac:dyDescent="0.25">
      <c r="A223">
        <v>0</v>
      </c>
      <c r="B223" s="1">
        <v>44348</v>
      </c>
      <c r="C223" s="1">
        <f t="shared" si="82"/>
        <v>44348</v>
      </c>
      <c r="D223" s="1">
        <f t="shared" si="83"/>
        <v>44362</v>
      </c>
      <c r="E223" s="1">
        <f t="shared" si="84"/>
        <v>44362</v>
      </c>
      <c r="F223" s="1">
        <f t="shared" si="85"/>
        <v>44378</v>
      </c>
      <c r="G223" s="1">
        <f t="shared" si="86"/>
        <v>44727</v>
      </c>
      <c r="H223">
        <f t="shared" si="87"/>
        <v>365</v>
      </c>
      <c r="I223">
        <f t="shared" si="88"/>
        <v>16</v>
      </c>
      <c r="J223">
        <f t="shared" si="89"/>
        <v>4.3835616438356165E-2</v>
      </c>
      <c r="K223">
        <f>IFERROR($J223/IF($A223&lt;COUNTIFS($K$1:K$1,"&lt;&gt;"),0,SUMIFS($J:$J,$B:$B,$B223,$A:$A,"&gt;="&amp;COUNTIFS($K$1:K$1,"&lt;&gt;"))),0)</f>
        <v>0</v>
      </c>
      <c r="L223">
        <f>IFERROR($J223/IF($A223&lt;COUNTIFS($K$1:L$1,"&lt;&gt;"),0,SUMIFS($J:$J,$B:$B,$B223,$A:$A,"&gt;="&amp;COUNTIFS($K$1:L$1,"&lt;&gt;"))),0)</f>
        <v>0</v>
      </c>
      <c r="M223">
        <f>IFERROR($J223/IF($A223&lt;COUNTIFS($K$1:M$1,"&lt;&gt;"),0,SUMIFS($J:$J,$B:$B,$B223,$A:$A,"&gt;="&amp;COUNTIFS($K$1:M$1,"&lt;&gt;"))),0)</f>
        <v>0</v>
      </c>
      <c r="N223">
        <f>IFERROR($J223/IF($A223&lt;COUNTIFS($K$1:N$1,"&lt;&gt;"),0,SUMIFS($J:$J,$B:$B,$B223,$A:$A,"&gt;="&amp;COUNTIFS($K$1:N$1,"&lt;&gt;"))),0)</f>
        <v>0</v>
      </c>
      <c r="O223">
        <f>IFERROR($J223/IF($A223&lt;COUNTIFS($K$1:O$1,"&lt;&gt;"),0,SUMIFS($J:$J,$B:$B,$B223,$A:$A,"&gt;="&amp;COUNTIFS($K$1:O$1,"&lt;&gt;"))),0)</f>
        <v>0</v>
      </c>
      <c r="P223">
        <f>IFERROR($J223/IF($A223&lt;COUNTIFS($K$1:P$1,"&lt;&gt;"),0,SUMIFS($J:$J,$B:$B,$B223,$A:$A,"&gt;="&amp;COUNTIFS($K$1:P$1,"&lt;&gt;"))),0)</f>
        <v>0</v>
      </c>
      <c r="Q223">
        <f>IFERROR($J223/IF($A223&lt;COUNTIFS($K$1:Q$1,"&lt;&gt;"),0,SUMIFS($J:$J,$B:$B,$B223,$A:$A,"&gt;="&amp;COUNTIFS($K$1:Q$1,"&lt;&gt;"))),0)</f>
        <v>0</v>
      </c>
      <c r="R223">
        <f>IFERROR($J223/IF($A223&lt;COUNTIFS($K$1:R$1,"&lt;&gt;"),0,SUMIFS($J:$J,$B:$B,$B223,$A:$A,"&gt;="&amp;COUNTIFS($K$1:R$1,"&lt;&gt;"))),0)</f>
        <v>0</v>
      </c>
      <c r="S223">
        <f>IFERROR($J223/IF($A223&lt;COUNTIFS($K$1:S$1,"&lt;&gt;"),0,SUMIFS($J:$J,$B:$B,$B223,$A:$A,"&gt;="&amp;COUNTIFS($K$1:S$1,"&lt;&gt;"))),0)</f>
        <v>0</v>
      </c>
      <c r="T223">
        <f>IFERROR($J223/IF($A223&lt;COUNTIFS($K$1:T$1,"&lt;&gt;"),0,SUMIFS($J:$J,$B:$B,$B223,$A:$A,"&gt;="&amp;COUNTIFS($K$1:T$1,"&lt;&gt;"))),0)</f>
        <v>0</v>
      </c>
      <c r="U223">
        <f>IFERROR($J223/IF($A223&lt;COUNTIFS($K$1:U$1,"&lt;&gt;"),0,SUMIFS($J:$J,$B:$B,$B223,$A:$A,"&gt;="&amp;COUNTIFS($K$1:U$1,"&lt;&gt;"))),0)</f>
        <v>0</v>
      </c>
      <c r="V223">
        <f>IFERROR($J223/IF($A223&lt;COUNTIFS($K$1:V$1,"&lt;&gt;"),0,SUMIFS($J:$J,$B:$B,$B223,$A:$A,"&gt;="&amp;COUNTIFS($K$1:V$1,"&lt;&gt;"))),0)</f>
        <v>0</v>
      </c>
      <c r="W223">
        <f t="shared" si="90"/>
        <v>4.3835616438356165E-2</v>
      </c>
      <c r="X223">
        <f t="shared" si="70"/>
        <v>0</v>
      </c>
      <c r="Y223">
        <f t="shared" si="71"/>
        <v>0</v>
      </c>
      <c r="Z223">
        <f t="shared" si="72"/>
        <v>0</v>
      </c>
      <c r="AA223">
        <f t="shared" si="73"/>
        <v>0</v>
      </c>
      <c r="AB223">
        <f t="shared" si="74"/>
        <v>0</v>
      </c>
      <c r="AC223">
        <f t="shared" si="75"/>
        <v>0</v>
      </c>
      <c r="AD223">
        <f t="shared" si="76"/>
        <v>0</v>
      </c>
      <c r="AE223">
        <f t="shared" si="77"/>
        <v>0</v>
      </c>
      <c r="AF223">
        <f t="shared" si="78"/>
        <v>0</v>
      </c>
      <c r="AG223">
        <f t="shared" si="79"/>
        <v>0</v>
      </c>
      <c r="AH223">
        <f t="shared" si="80"/>
        <v>0</v>
      </c>
      <c r="AI223">
        <f t="shared" si="81"/>
        <v>0</v>
      </c>
      <c r="AJ223" s="2" t="str">
        <f t="shared" si="91"/>
        <v>044348</v>
      </c>
    </row>
    <row r="224" spans="1:36" x14ac:dyDescent="0.25">
      <c r="A224">
        <v>1</v>
      </c>
      <c r="B224" s="1">
        <v>44348</v>
      </c>
      <c r="C224" s="1">
        <f t="shared" si="82"/>
        <v>44378</v>
      </c>
      <c r="D224" s="1">
        <f t="shared" si="83"/>
        <v>44362</v>
      </c>
      <c r="E224" s="1">
        <f t="shared" si="84"/>
        <v>44378</v>
      </c>
      <c r="F224" s="1">
        <f t="shared" si="85"/>
        <v>44409</v>
      </c>
      <c r="G224" s="1">
        <f t="shared" si="86"/>
        <v>44727</v>
      </c>
      <c r="H224">
        <f t="shared" si="87"/>
        <v>365</v>
      </c>
      <c r="I224">
        <f t="shared" si="88"/>
        <v>31</v>
      </c>
      <c r="J224">
        <f t="shared" si="89"/>
        <v>8.4931506849315067E-2</v>
      </c>
      <c r="K224">
        <f>IFERROR($J224/IF($A224&lt;COUNTIFS($K$1:K$1,"&lt;&gt;"),0,SUMIFS($J:$J,$B:$B,$B224,$A:$A,"&gt;="&amp;COUNTIFS($K$1:K$1,"&lt;&gt;"))),0)</f>
        <v>8.8825214899713484E-2</v>
      </c>
      <c r="L224">
        <f>IFERROR($J224/IF($A224&lt;COUNTIFS($K$1:L$1,"&lt;&gt;"),0,SUMIFS($J:$J,$B:$B,$B224,$A:$A,"&gt;="&amp;COUNTIFS($K$1:L$1,"&lt;&gt;"))),0)</f>
        <v>0</v>
      </c>
      <c r="M224">
        <f>IFERROR($J224/IF($A224&lt;COUNTIFS($K$1:M$1,"&lt;&gt;"),0,SUMIFS($J:$J,$B:$B,$B224,$A:$A,"&gt;="&amp;COUNTIFS($K$1:M$1,"&lt;&gt;"))),0)</f>
        <v>0</v>
      </c>
      <c r="N224">
        <f>IFERROR($J224/IF($A224&lt;COUNTIFS($K$1:N$1,"&lt;&gt;"),0,SUMIFS($J:$J,$B:$B,$B224,$A:$A,"&gt;="&amp;COUNTIFS($K$1:N$1,"&lt;&gt;"))),0)</f>
        <v>0</v>
      </c>
      <c r="O224">
        <f>IFERROR($J224/IF($A224&lt;COUNTIFS($K$1:O$1,"&lt;&gt;"),0,SUMIFS($J:$J,$B:$B,$B224,$A:$A,"&gt;="&amp;COUNTIFS($K$1:O$1,"&lt;&gt;"))),0)</f>
        <v>0</v>
      </c>
      <c r="P224">
        <f>IFERROR($J224/IF($A224&lt;COUNTIFS($K$1:P$1,"&lt;&gt;"),0,SUMIFS($J:$J,$B:$B,$B224,$A:$A,"&gt;="&amp;COUNTIFS($K$1:P$1,"&lt;&gt;"))),0)</f>
        <v>0</v>
      </c>
      <c r="Q224">
        <f>IFERROR($J224/IF($A224&lt;COUNTIFS($K$1:Q$1,"&lt;&gt;"),0,SUMIFS($J:$J,$B:$B,$B224,$A:$A,"&gt;="&amp;COUNTIFS($K$1:Q$1,"&lt;&gt;"))),0)</f>
        <v>0</v>
      </c>
      <c r="R224">
        <f>IFERROR($J224/IF($A224&lt;COUNTIFS($K$1:R$1,"&lt;&gt;"),0,SUMIFS($J:$J,$B:$B,$B224,$A:$A,"&gt;="&amp;COUNTIFS($K$1:R$1,"&lt;&gt;"))),0)</f>
        <v>0</v>
      </c>
      <c r="S224">
        <f>IFERROR($J224/IF($A224&lt;COUNTIFS($K$1:S$1,"&lt;&gt;"),0,SUMIFS($J:$J,$B:$B,$B224,$A:$A,"&gt;="&amp;COUNTIFS($K$1:S$1,"&lt;&gt;"))),0)</f>
        <v>0</v>
      </c>
      <c r="T224">
        <f>IFERROR($J224/IF($A224&lt;COUNTIFS($K$1:T$1,"&lt;&gt;"),0,SUMIFS($J:$J,$B:$B,$B224,$A:$A,"&gt;="&amp;COUNTIFS($K$1:T$1,"&lt;&gt;"))),0)</f>
        <v>0</v>
      </c>
      <c r="U224">
        <f>IFERROR($J224/IF($A224&lt;COUNTIFS($K$1:U$1,"&lt;&gt;"),0,SUMIFS($J:$J,$B:$B,$B224,$A:$A,"&gt;="&amp;COUNTIFS($K$1:U$1,"&lt;&gt;"))),0)</f>
        <v>0</v>
      </c>
      <c r="V224">
        <f>IFERROR($J224/IF($A224&lt;COUNTIFS($K$1:V$1,"&lt;&gt;"),0,SUMIFS($J:$J,$B:$B,$B224,$A:$A,"&gt;="&amp;COUNTIFS($K$1:V$1,"&lt;&gt;"))),0)</f>
        <v>0</v>
      </c>
      <c r="W224">
        <f t="shared" si="90"/>
        <v>8.4931506849315067E-2</v>
      </c>
      <c r="X224">
        <f t="shared" si="70"/>
        <v>8.4931506849315067E-2</v>
      </c>
      <c r="Y224">
        <f t="shared" si="71"/>
        <v>0</v>
      </c>
      <c r="Z224">
        <f t="shared" si="72"/>
        <v>0</v>
      </c>
      <c r="AA224">
        <f t="shared" si="73"/>
        <v>0</v>
      </c>
      <c r="AB224">
        <f t="shared" si="74"/>
        <v>0</v>
      </c>
      <c r="AC224">
        <f t="shared" si="75"/>
        <v>0</v>
      </c>
      <c r="AD224">
        <f t="shared" si="76"/>
        <v>0</v>
      </c>
      <c r="AE224">
        <f t="shared" si="77"/>
        <v>0</v>
      </c>
      <c r="AF224">
        <f t="shared" si="78"/>
        <v>0</v>
      </c>
      <c r="AG224">
        <f t="shared" si="79"/>
        <v>0</v>
      </c>
      <c r="AH224">
        <f t="shared" si="80"/>
        <v>0</v>
      </c>
      <c r="AI224">
        <f t="shared" si="81"/>
        <v>0</v>
      </c>
      <c r="AJ224" s="2" t="str">
        <f t="shared" si="91"/>
        <v>144348</v>
      </c>
    </row>
    <row r="225" spans="1:36" x14ac:dyDescent="0.25">
      <c r="A225">
        <v>2</v>
      </c>
      <c r="B225" s="1">
        <v>44348</v>
      </c>
      <c r="C225" s="1">
        <f t="shared" si="82"/>
        <v>44409</v>
      </c>
      <c r="D225" s="1">
        <f t="shared" si="83"/>
        <v>44362</v>
      </c>
      <c r="E225" s="1">
        <f t="shared" si="84"/>
        <v>44409</v>
      </c>
      <c r="F225" s="1">
        <f t="shared" si="85"/>
        <v>44440</v>
      </c>
      <c r="G225" s="1">
        <f t="shared" si="86"/>
        <v>44727</v>
      </c>
      <c r="H225">
        <f t="shared" si="87"/>
        <v>365</v>
      </c>
      <c r="I225">
        <f t="shared" si="88"/>
        <v>31</v>
      </c>
      <c r="J225">
        <f t="shared" si="89"/>
        <v>8.4931506849315067E-2</v>
      </c>
      <c r="K225">
        <f>IFERROR($J225/IF($A225&lt;COUNTIFS($K$1:K$1,"&lt;&gt;"),0,SUMIFS($J:$J,$B:$B,$B225,$A:$A,"&gt;="&amp;COUNTIFS($K$1:K$1,"&lt;&gt;"))),0)</f>
        <v>8.8825214899713484E-2</v>
      </c>
      <c r="L225">
        <f>IFERROR($J225/IF($A225&lt;COUNTIFS($K$1:L$1,"&lt;&gt;"),0,SUMIFS($J:$J,$B:$B,$B225,$A:$A,"&gt;="&amp;COUNTIFS($K$1:L$1,"&lt;&gt;"))),0)</f>
        <v>9.7484276729559768E-2</v>
      </c>
      <c r="M225">
        <f>IFERROR($J225/IF($A225&lt;COUNTIFS($K$1:M$1,"&lt;&gt;"),0,SUMIFS($J:$J,$B:$B,$B225,$A:$A,"&gt;="&amp;COUNTIFS($K$1:M$1,"&lt;&gt;"))),0)</f>
        <v>0</v>
      </c>
      <c r="N225">
        <f>IFERROR($J225/IF($A225&lt;COUNTIFS($K$1:N$1,"&lt;&gt;"),0,SUMIFS($J:$J,$B:$B,$B225,$A:$A,"&gt;="&amp;COUNTIFS($K$1:N$1,"&lt;&gt;"))),0)</f>
        <v>0</v>
      </c>
      <c r="O225">
        <f>IFERROR($J225/IF($A225&lt;COUNTIFS($K$1:O$1,"&lt;&gt;"),0,SUMIFS($J:$J,$B:$B,$B225,$A:$A,"&gt;="&amp;COUNTIFS($K$1:O$1,"&lt;&gt;"))),0)</f>
        <v>0</v>
      </c>
      <c r="P225">
        <f>IFERROR($J225/IF($A225&lt;COUNTIFS($K$1:P$1,"&lt;&gt;"),0,SUMIFS($J:$J,$B:$B,$B225,$A:$A,"&gt;="&amp;COUNTIFS($K$1:P$1,"&lt;&gt;"))),0)</f>
        <v>0</v>
      </c>
      <c r="Q225">
        <f>IFERROR($J225/IF($A225&lt;COUNTIFS($K$1:Q$1,"&lt;&gt;"),0,SUMIFS($J:$J,$B:$B,$B225,$A:$A,"&gt;="&amp;COUNTIFS($K$1:Q$1,"&lt;&gt;"))),0)</f>
        <v>0</v>
      </c>
      <c r="R225">
        <f>IFERROR($J225/IF($A225&lt;COUNTIFS($K$1:R$1,"&lt;&gt;"),0,SUMIFS($J:$J,$B:$B,$B225,$A:$A,"&gt;="&amp;COUNTIFS($K$1:R$1,"&lt;&gt;"))),0)</f>
        <v>0</v>
      </c>
      <c r="S225">
        <f>IFERROR($J225/IF($A225&lt;COUNTIFS($K$1:S$1,"&lt;&gt;"),0,SUMIFS($J:$J,$B:$B,$B225,$A:$A,"&gt;="&amp;COUNTIFS($K$1:S$1,"&lt;&gt;"))),0)</f>
        <v>0</v>
      </c>
      <c r="T225">
        <f>IFERROR($J225/IF($A225&lt;COUNTIFS($K$1:T$1,"&lt;&gt;"),0,SUMIFS($J:$J,$B:$B,$B225,$A:$A,"&gt;="&amp;COUNTIFS($K$1:T$1,"&lt;&gt;"))),0)</f>
        <v>0</v>
      </c>
      <c r="U225">
        <f>IFERROR($J225/IF($A225&lt;COUNTIFS($K$1:U$1,"&lt;&gt;"),0,SUMIFS($J:$J,$B:$B,$B225,$A:$A,"&gt;="&amp;COUNTIFS($K$1:U$1,"&lt;&gt;"))),0)</f>
        <v>0</v>
      </c>
      <c r="V225">
        <f>IFERROR($J225/IF($A225&lt;COUNTIFS($K$1:V$1,"&lt;&gt;"),0,SUMIFS($J:$J,$B:$B,$B225,$A:$A,"&gt;="&amp;COUNTIFS($K$1:V$1,"&lt;&gt;"))),0)</f>
        <v>0</v>
      </c>
      <c r="W225">
        <f t="shared" si="90"/>
        <v>8.4931506849315067E-2</v>
      </c>
      <c r="X225">
        <f t="shared" si="70"/>
        <v>8.4931506849315067E-2</v>
      </c>
      <c r="Y225">
        <f t="shared" si="71"/>
        <v>8.4931506849315067E-2</v>
      </c>
      <c r="Z225">
        <f t="shared" si="72"/>
        <v>0</v>
      </c>
      <c r="AA225">
        <f t="shared" si="73"/>
        <v>0</v>
      </c>
      <c r="AB225">
        <f t="shared" si="74"/>
        <v>0</v>
      </c>
      <c r="AC225">
        <f t="shared" si="75"/>
        <v>0</v>
      </c>
      <c r="AD225">
        <f t="shared" si="76"/>
        <v>0</v>
      </c>
      <c r="AE225">
        <f t="shared" si="77"/>
        <v>0</v>
      </c>
      <c r="AF225">
        <f t="shared" si="78"/>
        <v>0</v>
      </c>
      <c r="AG225">
        <f t="shared" si="79"/>
        <v>0</v>
      </c>
      <c r="AH225">
        <f t="shared" si="80"/>
        <v>0</v>
      </c>
      <c r="AI225">
        <f t="shared" si="81"/>
        <v>0</v>
      </c>
      <c r="AJ225" s="2" t="str">
        <f t="shared" si="91"/>
        <v>244348</v>
      </c>
    </row>
    <row r="226" spans="1:36" x14ac:dyDescent="0.25">
      <c r="A226">
        <v>3</v>
      </c>
      <c r="B226" s="1">
        <v>44348</v>
      </c>
      <c r="C226" s="1">
        <f t="shared" si="82"/>
        <v>44440</v>
      </c>
      <c r="D226" s="1">
        <f t="shared" si="83"/>
        <v>44362</v>
      </c>
      <c r="E226" s="1">
        <f t="shared" si="84"/>
        <v>44440</v>
      </c>
      <c r="F226" s="1">
        <f t="shared" si="85"/>
        <v>44470</v>
      </c>
      <c r="G226" s="1">
        <f t="shared" si="86"/>
        <v>44727</v>
      </c>
      <c r="H226">
        <f t="shared" si="87"/>
        <v>365</v>
      </c>
      <c r="I226">
        <f t="shared" si="88"/>
        <v>30</v>
      </c>
      <c r="J226">
        <f t="shared" si="89"/>
        <v>8.2191780821917804E-2</v>
      </c>
      <c r="K226">
        <f>IFERROR($J226/IF($A226&lt;COUNTIFS($K$1:K$1,"&lt;&gt;"),0,SUMIFS($J:$J,$B:$B,$B226,$A:$A,"&gt;="&amp;COUNTIFS($K$1:K$1,"&lt;&gt;"))),0)</f>
        <v>8.5959885386819493E-2</v>
      </c>
      <c r="L226">
        <f>IFERROR($J226/IF($A226&lt;COUNTIFS($K$1:L$1,"&lt;&gt;"),0,SUMIFS($J:$J,$B:$B,$B226,$A:$A,"&gt;="&amp;COUNTIFS($K$1:L$1,"&lt;&gt;"))),0)</f>
        <v>9.4339622641509441E-2</v>
      </c>
      <c r="M226">
        <f>IFERROR($J226/IF($A226&lt;COUNTIFS($K$1:M$1,"&lt;&gt;"),0,SUMIFS($J:$J,$B:$B,$B226,$A:$A,"&gt;="&amp;COUNTIFS($K$1:M$1,"&lt;&gt;"))),0)</f>
        <v>0.10452961672473869</v>
      </c>
      <c r="N226">
        <f>IFERROR($J226/IF($A226&lt;COUNTIFS($K$1:N$1,"&lt;&gt;"),0,SUMIFS($J:$J,$B:$B,$B226,$A:$A,"&gt;="&amp;COUNTIFS($K$1:N$1,"&lt;&gt;"))),0)</f>
        <v>0</v>
      </c>
      <c r="O226">
        <f>IFERROR($J226/IF($A226&lt;COUNTIFS($K$1:O$1,"&lt;&gt;"),0,SUMIFS($J:$J,$B:$B,$B226,$A:$A,"&gt;="&amp;COUNTIFS($K$1:O$1,"&lt;&gt;"))),0)</f>
        <v>0</v>
      </c>
      <c r="P226">
        <f>IFERROR($J226/IF($A226&lt;COUNTIFS($K$1:P$1,"&lt;&gt;"),0,SUMIFS($J:$J,$B:$B,$B226,$A:$A,"&gt;="&amp;COUNTIFS($K$1:P$1,"&lt;&gt;"))),0)</f>
        <v>0</v>
      </c>
      <c r="Q226">
        <f>IFERROR($J226/IF($A226&lt;COUNTIFS($K$1:Q$1,"&lt;&gt;"),0,SUMIFS($J:$J,$B:$B,$B226,$A:$A,"&gt;="&amp;COUNTIFS($K$1:Q$1,"&lt;&gt;"))),0)</f>
        <v>0</v>
      </c>
      <c r="R226">
        <f>IFERROR($J226/IF($A226&lt;COUNTIFS($K$1:R$1,"&lt;&gt;"),0,SUMIFS($J:$J,$B:$B,$B226,$A:$A,"&gt;="&amp;COUNTIFS($K$1:R$1,"&lt;&gt;"))),0)</f>
        <v>0</v>
      </c>
      <c r="S226">
        <f>IFERROR($J226/IF($A226&lt;COUNTIFS($K$1:S$1,"&lt;&gt;"),0,SUMIFS($J:$J,$B:$B,$B226,$A:$A,"&gt;="&amp;COUNTIFS($K$1:S$1,"&lt;&gt;"))),0)</f>
        <v>0</v>
      </c>
      <c r="T226">
        <f>IFERROR($J226/IF($A226&lt;COUNTIFS($K$1:T$1,"&lt;&gt;"),0,SUMIFS($J:$J,$B:$B,$B226,$A:$A,"&gt;="&amp;COUNTIFS($K$1:T$1,"&lt;&gt;"))),0)</f>
        <v>0</v>
      </c>
      <c r="U226">
        <f>IFERROR($J226/IF($A226&lt;COUNTIFS($K$1:U$1,"&lt;&gt;"),0,SUMIFS($J:$J,$B:$B,$B226,$A:$A,"&gt;="&amp;COUNTIFS($K$1:U$1,"&lt;&gt;"))),0)</f>
        <v>0</v>
      </c>
      <c r="V226">
        <f>IFERROR($J226/IF($A226&lt;COUNTIFS($K$1:V$1,"&lt;&gt;"),0,SUMIFS($J:$J,$B:$B,$B226,$A:$A,"&gt;="&amp;COUNTIFS($K$1:V$1,"&lt;&gt;"))),0)</f>
        <v>0</v>
      </c>
      <c r="W226">
        <f t="shared" si="90"/>
        <v>8.2191780821917804E-2</v>
      </c>
      <c r="X226">
        <f t="shared" si="70"/>
        <v>8.2191780821917804E-2</v>
      </c>
      <c r="Y226">
        <f t="shared" si="71"/>
        <v>8.2191780821917804E-2</v>
      </c>
      <c r="Z226">
        <f t="shared" si="72"/>
        <v>8.2191780821917804E-2</v>
      </c>
      <c r="AA226">
        <f t="shared" si="73"/>
        <v>0</v>
      </c>
      <c r="AB226">
        <f t="shared" si="74"/>
        <v>0</v>
      </c>
      <c r="AC226">
        <f t="shared" si="75"/>
        <v>0</v>
      </c>
      <c r="AD226">
        <f t="shared" si="76"/>
        <v>0</v>
      </c>
      <c r="AE226">
        <f t="shared" si="77"/>
        <v>0</v>
      </c>
      <c r="AF226">
        <f t="shared" si="78"/>
        <v>0</v>
      </c>
      <c r="AG226">
        <f t="shared" si="79"/>
        <v>0</v>
      </c>
      <c r="AH226">
        <f t="shared" si="80"/>
        <v>0</v>
      </c>
      <c r="AI226">
        <f t="shared" si="81"/>
        <v>0</v>
      </c>
      <c r="AJ226" s="2" t="str">
        <f t="shared" si="91"/>
        <v>344348</v>
      </c>
    </row>
    <row r="227" spans="1:36" x14ac:dyDescent="0.25">
      <c r="A227">
        <v>4</v>
      </c>
      <c r="B227" s="1">
        <v>44348</v>
      </c>
      <c r="C227" s="1">
        <f t="shared" si="82"/>
        <v>44470</v>
      </c>
      <c r="D227" s="1">
        <f t="shared" si="83"/>
        <v>44362</v>
      </c>
      <c r="E227" s="1">
        <f t="shared" si="84"/>
        <v>44470</v>
      </c>
      <c r="F227" s="1">
        <f t="shared" si="85"/>
        <v>44501</v>
      </c>
      <c r="G227" s="1">
        <f t="shared" si="86"/>
        <v>44727</v>
      </c>
      <c r="H227">
        <f t="shared" si="87"/>
        <v>365</v>
      </c>
      <c r="I227">
        <f t="shared" si="88"/>
        <v>31</v>
      </c>
      <c r="J227">
        <f t="shared" si="89"/>
        <v>8.4931506849315067E-2</v>
      </c>
      <c r="K227">
        <f>IFERROR($J227/IF($A227&lt;COUNTIFS($K$1:K$1,"&lt;&gt;"),0,SUMIFS($J:$J,$B:$B,$B227,$A:$A,"&gt;="&amp;COUNTIFS($K$1:K$1,"&lt;&gt;"))),0)</f>
        <v>8.8825214899713484E-2</v>
      </c>
      <c r="L227">
        <f>IFERROR($J227/IF($A227&lt;COUNTIFS($K$1:L$1,"&lt;&gt;"),0,SUMIFS($J:$J,$B:$B,$B227,$A:$A,"&gt;="&amp;COUNTIFS($K$1:L$1,"&lt;&gt;"))),0)</f>
        <v>9.7484276729559768E-2</v>
      </c>
      <c r="M227">
        <f>IFERROR($J227/IF($A227&lt;COUNTIFS($K$1:M$1,"&lt;&gt;"),0,SUMIFS($J:$J,$B:$B,$B227,$A:$A,"&gt;="&amp;COUNTIFS($K$1:M$1,"&lt;&gt;"))),0)</f>
        <v>0.10801393728222998</v>
      </c>
      <c r="N227">
        <f>IFERROR($J227/IF($A227&lt;COUNTIFS($K$1:N$1,"&lt;&gt;"),0,SUMIFS($J:$J,$B:$B,$B227,$A:$A,"&gt;="&amp;COUNTIFS($K$1:N$1,"&lt;&gt;"))),0)</f>
        <v>0.12062256809338523</v>
      </c>
      <c r="O227">
        <f>IFERROR($J227/IF($A227&lt;COUNTIFS($K$1:O$1,"&lt;&gt;"),0,SUMIFS($J:$J,$B:$B,$B227,$A:$A,"&gt;="&amp;COUNTIFS($K$1:O$1,"&lt;&gt;"))),0)</f>
        <v>0</v>
      </c>
      <c r="P227">
        <f>IFERROR($J227/IF($A227&lt;COUNTIFS($K$1:P$1,"&lt;&gt;"),0,SUMIFS($J:$J,$B:$B,$B227,$A:$A,"&gt;="&amp;COUNTIFS($K$1:P$1,"&lt;&gt;"))),0)</f>
        <v>0</v>
      </c>
      <c r="Q227">
        <f>IFERROR($J227/IF($A227&lt;COUNTIFS($K$1:Q$1,"&lt;&gt;"),0,SUMIFS($J:$J,$B:$B,$B227,$A:$A,"&gt;="&amp;COUNTIFS($K$1:Q$1,"&lt;&gt;"))),0)</f>
        <v>0</v>
      </c>
      <c r="R227">
        <f>IFERROR($J227/IF($A227&lt;COUNTIFS($K$1:R$1,"&lt;&gt;"),0,SUMIFS($J:$J,$B:$B,$B227,$A:$A,"&gt;="&amp;COUNTIFS($K$1:R$1,"&lt;&gt;"))),0)</f>
        <v>0</v>
      </c>
      <c r="S227">
        <f>IFERROR($J227/IF($A227&lt;COUNTIFS($K$1:S$1,"&lt;&gt;"),0,SUMIFS($J:$J,$B:$B,$B227,$A:$A,"&gt;="&amp;COUNTIFS($K$1:S$1,"&lt;&gt;"))),0)</f>
        <v>0</v>
      </c>
      <c r="T227">
        <f>IFERROR($J227/IF($A227&lt;COUNTIFS($K$1:T$1,"&lt;&gt;"),0,SUMIFS($J:$J,$B:$B,$B227,$A:$A,"&gt;="&amp;COUNTIFS($K$1:T$1,"&lt;&gt;"))),0)</f>
        <v>0</v>
      </c>
      <c r="U227">
        <f>IFERROR($J227/IF($A227&lt;COUNTIFS($K$1:U$1,"&lt;&gt;"),0,SUMIFS($J:$J,$B:$B,$B227,$A:$A,"&gt;="&amp;COUNTIFS($K$1:U$1,"&lt;&gt;"))),0)</f>
        <v>0</v>
      </c>
      <c r="V227">
        <f>IFERROR($J227/IF($A227&lt;COUNTIFS($K$1:V$1,"&lt;&gt;"),0,SUMIFS($J:$J,$B:$B,$B227,$A:$A,"&gt;="&amp;COUNTIFS($K$1:V$1,"&lt;&gt;"))),0)</f>
        <v>0</v>
      </c>
      <c r="W227">
        <f t="shared" si="90"/>
        <v>8.4931506849315067E-2</v>
      </c>
      <c r="X227">
        <f t="shared" si="70"/>
        <v>8.4931506849315067E-2</v>
      </c>
      <c r="Y227">
        <f t="shared" si="71"/>
        <v>8.4931506849315067E-2</v>
      </c>
      <c r="Z227">
        <f t="shared" si="72"/>
        <v>8.4931506849315067E-2</v>
      </c>
      <c r="AA227">
        <f t="shared" si="73"/>
        <v>8.4931506849315067E-2</v>
      </c>
      <c r="AB227">
        <f t="shared" si="74"/>
        <v>0</v>
      </c>
      <c r="AC227">
        <f t="shared" si="75"/>
        <v>0</v>
      </c>
      <c r="AD227">
        <f t="shared" si="76"/>
        <v>0</v>
      </c>
      <c r="AE227">
        <f t="shared" si="77"/>
        <v>0</v>
      </c>
      <c r="AF227">
        <f t="shared" si="78"/>
        <v>0</v>
      </c>
      <c r="AG227">
        <f t="shared" si="79"/>
        <v>0</v>
      </c>
      <c r="AH227">
        <f t="shared" si="80"/>
        <v>0</v>
      </c>
      <c r="AI227">
        <f t="shared" si="81"/>
        <v>0</v>
      </c>
      <c r="AJ227" s="2" t="str">
        <f t="shared" si="91"/>
        <v>444348</v>
      </c>
    </row>
    <row r="228" spans="1:36" x14ac:dyDescent="0.25">
      <c r="A228">
        <v>5</v>
      </c>
      <c r="B228" s="1">
        <v>44348</v>
      </c>
      <c r="C228" s="1">
        <f t="shared" si="82"/>
        <v>44501</v>
      </c>
      <c r="D228" s="1">
        <f t="shared" si="83"/>
        <v>44362</v>
      </c>
      <c r="E228" s="1">
        <f t="shared" si="84"/>
        <v>44501</v>
      </c>
      <c r="F228" s="1">
        <f t="shared" si="85"/>
        <v>44531</v>
      </c>
      <c r="G228" s="1">
        <f t="shared" si="86"/>
        <v>44727</v>
      </c>
      <c r="H228">
        <f t="shared" si="87"/>
        <v>365</v>
      </c>
      <c r="I228">
        <f t="shared" si="88"/>
        <v>30</v>
      </c>
      <c r="J228">
        <f t="shared" si="89"/>
        <v>8.2191780821917804E-2</v>
      </c>
      <c r="K228">
        <f>IFERROR($J228/IF($A228&lt;COUNTIFS($K$1:K$1,"&lt;&gt;"),0,SUMIFS($J:$J,$B:$B,$B228,$A:$A,"&gt;="&amp;COUNTIFS($K$1:K$1,"&lt;&gt;"))),0)</f>
        <v>8.5959885386819493E-2</v>
      </c>
      <c r="L228">
        <f>IFERROR($J228/IF($A228&lt;COUNTIFS($K$1:L$1,"&lt;&gt;"),0,SUMIFS($J:$J,$B:$B,$B228,$A:$A,"&gt;="&amp;COUNTIFS($K$1:L$1,"&lt;&gt;"))),0)</f>
        <v>9.4339622641509441E-2</v>
      </c>
      <c r="M228">
        <f>IFERROR($J228/IF($A228&lt;COUNTIFS($K$1:M$1,"&lt;&gt;"),0,SUMIFS($J:$J,$B:$B,$B228,$A:$A,"&gt;="&amp;COUNTIFS($K$1:M$1,"&lt;&gt;"))),0)</f>
        <v>0.10452961672473869</v>
      </c>
      <c r="N228">
        <f>IFERROR($J228/IF($A228&lt;COUNTIFS($K$1:N$1,"&lt;&gt;"),0,SUMIFS($J:$J,$B:$B,$B228,$A:$A,"&gt;="&amp;COUNTIFS($K$1:N$1,"&lt;&gt;"))),0)</f>
        <v>0.11673151750972764</v>
      </c>
      <c r="O228">
        <f>IFERROR($J228/IF($A228&lt;COUNTIFS($K$1:O$1,"&lt;&gt;"),0,SUMIFS($J:$J,$B:$B,$B228,$A:$A,"&gt;="&amp;COUNTIFS($K$1:O$1,"&lt;&gt;"))),0)</f>
        <v>0.13274336283185842</v>
      </c>
      <c r="P228">
        <f>IFERROR($J228/IF($A228&lt;COUNTIFS($K$1:P$1,"&lt;&gt;"),0,SUMIFS($J:$J,$B:$B,$B228,$A:$A,"&gt;="&amp;COUNTIFS($K$1:P$1,"&lt;&gt;"))),0)</f>
        <v>0</v>
      </c>
      <c r="Q228">
        <f>IFERROR($J228/IF($A228&lt;COUNTIFS($K$1:Q$1,"&lt;&gt;"),0,SUMIFS($J:$J,$B:$B,$B228,$A:$A,"&gt;="&amp;COUNTIFS($K$1:Q$1,"&lt;&gt;"))),0)</f>
        <v>0</v>
      </c>
      <c r="R228">
        <f>IFERROR($J228/IF($A228&lt;COUNTIFS($K$1:R$1,"&lt;&gt;"),0,SUMIFS($J:$J,$B:$B,$B228,$A:$A,"&gt;="&amp;COUNTIFS($K$1:R$1,"&lt;&gt;"))),0)</f>
        <v>0</v>
      </c>
      <c r="S228">
        <f>IFERROR($J228/IF($A228&lt;COUNTIFS($K$1:S$1,"&lt;&gt;"),0,SUMIFS($J:$J,$B:$B,$B228,$A:$A,"&gt;="&amp;COUNTIFS($K$1:S$1,"&lt;&gt;"))),0)</f>
        <v>0</v>
      </c>
      <c r="T228">
        <f>IFERROR($J228/IF($A228&lt;COUNTIFS($K$1:T$1,"&lt;&gt;"),0,SUMIFS($J:$J,$B:$B,$B228,$A:$A,"&gt;="&amp;COUNTIFS($K$1:T$1,"&lt;&gt;"))),0)</f>
        <v>0</v>
      </c>
      <c r="U228">
        <f>IFERROR($J228/IF($A228&lt;COUNTIFS($K$1:U$1,"&lt;&gt;"),0,SUMIFS($J:$J,$B:$B,$B228,$A:$A,"&gt;="&amp;COUNTIFS($K$1:U$1,"&lt;&gt;"))),0)</f>
        <v>0</v>
      </c>
      <c r="V228">
        <f>IFERROR($J228/IF($A228&lt;COUNTIFS($K$1:V$1,"&lt;&gt;"),0,SUMIFS($J:$J,$B:$B,$B228,$A:$A,"&gt;="&amp;COUNTIFS($K$1:V$1,"&lt;&gt;"))),0)</f>
        <v>0</v>
      </c>
      <c r="W228">
        <f t="shared" si="90"/>
        <v>8.2191780821917804E-2</v>
      </c>
      <c r="X228">
        <f t="shared" si="70"/>
        <v>8.2191780821917804E-2</v>
      </c>
      <c r="Y228">
        <f t="shared" si="71"/>
        <v>8.2191780821917804E-2</v>
      </c>
      <c r="Z228">
        <f t="shared" si="72"/>
        <v>8.2191780821917804E-2</v>
      </c>
      <c r="AA228">
        <f t="shared" si="73"/>
        <v>8.2191780821917804E-2</v>
      </c>
      <c r="AB228">
        <f t="shared" si="74"/>
        <v>8.2191780821917804E-2</v>
      </c>
      <c r="AC228">
        <f t="shared" si="75"/>
        <v>0</v>
      </c>
      <c r="AD228">
        <f t="shared" si="76"/>
        <v>0</v>
      </c>
      <c r="AE228">
        <f t="shared" si="77"/>
        <v>0</v>
      </c>
      <c r="AF228">
        <f t="shared" si="78"/>
        <v>0</v>
      </c>
      <c r="AG228">
        <f t="shared" si="79"/>
        <v>0</v>
      </c>
      <c r="AH228">
        <f t="shared" si="80"/>
        <v>0</v>
      </c>
      <c r="AI228">
        <f t="shared" si="81"/>
        <v>0</v>
      </c>
      <c r="AJ228" s="2" t="str">
        <f t="shared" si="91"/>
        <v>544348</v>
      </c>
    </row>
    <row r="229" spans="1:36" x14ac:dyDescent="0.25">
      <c r="A229">
        <v>6</v>
      </c>
      <c r="B229" s="1">
        <v>44348</v>
      </c>
      <c r="C229" s="1">
        <f t="shared" si="82"/>
        <v>44531</v>
      </c>
      <c r="D229" s="1">
        <f t="shared" si="83"/>
        <v>44362</v>
      </c>
      <c r="E229" s="1">
        <f t="shared" si="84"/>
        <v>44531</v>
      </c>
      <c r="F229" s="1">
        <f t="shared" si="85"/>
        <v>44562</v>
      </c>
      <c r="G229" s="1">
        <f t="shared" si="86"/>
        <v>44727</v>
      </c>
      <c r="H229">
        <f t="shared" si="87"/>
        <v>365</v>
      </c>
      <c r="I229">
        <f t="shared" si="88"/>
        <v>31</v>
      </c>
      <c r="J229">
        <f t="shared" si="89"/>
        <v>8.4931506849315067E-2</v>
      </c>
      <c r="K229">
        <f>IFERROR($J229/IF($A229&lt;COUNTIFS($K$1:K$1,"&lt;&gt;"),0,SUMIFS($J:$J,$B:$B,$B229,$A:$A,"&gt;="&amp;COUNTIFS($K$1:K$1,"&lt;&gt;"))),0)</f>
        <v>8.8825214899713484E-2</v>
      </c>
      <c r="L229">
        <f>IFERROR($J229/IF($A229&lt;COUNTIFS($K$1:L$1,"&lt;&gt;"),0,SUMIFS($J:$J,$B:$B,$B229,$A:$A,"&gt;="&amp;COUNTIFS($K$1:L$1,"&lt;&gt;"))),0)</f>
        <v>9.7484276729559768E-2</v>
      </c>
      <c r="M229">
        <f>IFERROR($J229/IF($A229&lt;COUNTIFS($K$1:M$1,"&lt;&gt;"),0,SUMIFS($J:$J,$B:$B,$B229,$A:$A,"&gt;="&amp;COUNTIFS($K$1:M$1,"&lt;&gt;"))),0)</f>
        <v>0.10801393728222998</v>
      </c>
      <c r="N229">
        <f>IFERROR($J229/IF($A229&lt;COUNTIFS($K$1:N$1,"&lt;&gt;"),0,SUMIFS($J:$J,$B:$B,$B229,$A:$A,"&gt;="&amp;COUNTIFS($K$1:N$1,"&lt;&gt;"))),0)</f>
        <v>0.12062256809338523</v>
      </c>
      <c r="O229">
        <f>IFERROR($J229/IF($A229&lt;COUNTIFS($K$1:O$1,"&lt;&gt;"),0,SUMIFS($J:$J,$B:$B,$B229,$A:$A,"&gt;="&amp;COUNTIFS($K$1:O$1,"&lt;&gt;"))),0)</f>
        <v>0.13716814159292037</v>
      </c>
      <c r="P229">
        <f>IFERROR($J229/IF($A229&lt;COUNTIFS($K$1:P$1,"&lt;&gt;"),0,SUMIFS($J:$J,$B:$B,$B229,$A:$A,"&gt;="&amp;COUNTIFS($K$1:P$1,"&lt;&gt;"))),0)</f>
        <v>0.15816326530612249</v>
      </c>
      <c r="Q229">
        <f>IFERROR($J229/IF($A229&lt;COUNTIFS($K$1:Q$1,"&lt;&gt;"),0,SUMIFS($J:$J,$B:$B,$B229,$A:$A,"&gt;="&amp;COUNTIFS($K$1:Q$1,"&lt;&gt;"))),0)</f>
        <v>0</v>
      </c>
      <c r="R229">
        <f>IFERROR($J229/IF($A229&lt;COUNTIFS($K$1:R$1,"&lt;&gt;"),0,SUMIFS($J:$J,$B:$B,$B229,$A:$A,"&gt;="&amp;COUNTIFS($K$1:R$1,"&lt;&gt;"))),0)</f>
        <v>0</v>
      </c>
      <c r="S229">
        <f>IFERROR($J229/IF($A229&lt;COUNTIFS($K$1:S$1,"&lt;&gt;"),0,SUMIFS($J:$J,$B:$B,$B229,$A:$A,"&gt;="&amp;COUNTIFS($K$1:S$1,"&lt;&gt;"))),0)</f>
        <v>0</v>
      </c>
      <c r="T229">
        <f>IFERROR($J229/IF($A229&lt;COUNTIFS($K$1:T$1,"&lt;&gt;"),0,SUMIFS($J:$J,$B:$B,$B229,$A:$A,"&gt;="&amp;COUNTIFS($K$1:T$1,"&lt;&gt;"))),0)</f>
        <v>0</v>
      </c>
      <c r="U229">
        <f>IFERROR($J229/IF($A229&lt;COUNTIFS($K$1:U$1,"&lt;&gt;"),0,SUMIFS($J:$J,$B:$B,$B229,$A:$A,"&gt;="&amp;COUNTIFS($K$1:U$1,"&lt;&gt;"))),0)</f>
        <v>0</v>
      </c>
      <c r="V229">
        <f>IFERROR($J229/IF($A229&lt;COUNTIFS($K$1:V$1,"&lt;&gt;"),0,SUMIFS($J:$J,$B:$B,$B229,$A:$A,"&gt;="&amp;COUNTIFS($K$1:V$1,"&lt;&gt;"))),0)</f>
        <v>0</v>
      </c>
      <c r="W229">
        <f t="shared" si="90"/>
        <v>8.4931506849315067E-2</v>
      </c>
      <c r="X229">
        <f t="shared" si="70"/>
        <v>8.4931506849315067E-2</v>
      </c>
      <c r="Y229">
        <f t="shared" si="71"/>
        <v>8.4931506849315067E-2</v>
      </c>
      <c r="Z229">
        <f t="shared" si="72"/>
        <v>8.4931506849315067E-2</v>
      </c>
      <c r="AA229">
        <f t="shared" si="73"/>
        <v>8.4931506849315067E-2</v>
      </c>
      <c r="AB229">
        <f t="shared" si="74"/>
        <v>8.4931506849315067E-2</v>
      </c>
      <c r="AC229">
        <f t="shared" si="75"/>
        <v>8.4931506849315067E-2</v>
      </c>
      <c r="AD229">
        <f t="shared" si="76"/>
        <v>0</v>
      </c>
      <c r="AE229">
        <f t="shared" si="77"/>
        <v>0</v>
      </c>
      <c r="AF229">
        <f t="shared" si="78"/>
        <v>0</v>
      </c>
      <c r="AG229">
        <f t="shared" si="79"/>
        <v>0</v>
      </c>
      <c r="AH229">
        <f t="shared" si="80"/>
        <v>0</v>
      </c>
      <c r="AI229">
        <f t="shared" si="81"/>
        <v>0</v>
      </c>
      <c r="AJ229" s="2" t="str">
        <f t="shared" si="91"/>
        <v>644348</v>
      </c>
    </row>
    <row r="230" spans="1:36" x14ac:dyDescent="0.25">
      <c r="A230">
        <v>7</v>
      </c>
      <c r="B230" s="1">
        <v>44348</v>
      </c>
      <c r="C230" s="1">
        <f t="shared" si="82"/>
        <v>44562</v>
      </c>
      <c r="D230" s="1">
        <f t="shared" si="83"/>
        <v>44362</v>
      </c>
      <c r="E230" s="1">
        <f t="shared" si="84"/>
        <v>44562</v>
      </c>
      <c r="F230" s="1">
        <f t="shared" si="85"/>
        <v>44593</v>
      </c>
      <c r="G230" s="1">
        <f t="shared" si="86"/>
        <v>44727</v>
      </c>
      <c r="H230">
        <f t="shared" si="87"/>
        <v>365</v>
      </c>
      <c r="I230">
        <f t="shared" si="88"/>
        <v>31</v>
      </c>
      <c r="J230">
        <f t="shared" si="89"/>
        <v>8.4931506849315067E-2</v>
      </c>
      <c r="K230">
        <f>IFERROR($J230/IF($A230&lt;COUNTIFS($K$1:K$1,"&lt;&gt;"),0,SUMIFS($J:$J,$B:$B,$B230,$A:$A,"&gt;="&amp;COUNTIFS($K$1:K$1,"&lt;&gt;"))),0)</f>
        <v>8.8825214899713484E-2</v>
      </c>
      <c r="L230">
        <f>IFERROR($J230/IF($A230&lt;COUNTIFS($K$1:L$1,"&lt;&gt;"),0,SUMIFS($J:$J,$B:$B,$B230,$A:$A,"&gt;="&amp;COUNTIFS($K$1:L$1,"&lt;&gt;"))),0)</f>
        <v>9.7484276729559768E-2</v>
      </c>
      <c r="M230">
        <f>IFERROR($J230/IF($A230&lt;COUNTIFS($K$1:M$1,"&lt;&gt;"),0,SUMIFS($J:$J,$B:$B,$B230,$A:$A,"&gt;="&amp;COUNTIFS($K$1:M$1,"&lt;&gt;"))),0)</f>
        <v>0.10801393728222998</v>
      </c>
      <c r="N230">
        <f>IFERROR($J230/IF($A230&lt;COUNTIFS($K$1:N$1,"&lt;&gt;"),0,SUMIFS($J:$J,$B:$B,$B230,$A:$A,"&gt;="&amp;COUNTIFS($K$1:N$1,"&lt;&gt;"))),0)</f>
        <v>0.12062256809338523</v>
      </c>
      <c r="O230">
        <f>IFERROR($J230/IF($A230&lt;COUNTIFS($K$1:O$1,"&lt;&gt;"),0,SUMIFS($J:$J,$B:$B,$B230,$A:$A,"&gt;="&amp;COUNTIFS($K$1:O$1,"&lt;&gt;"))),0)</f>
        <v>0.13716814159292037</v>
      </c>
      <c r="P230">
        <f>IFERROR($J230/IF($A230&lt;COUNTIFS($K$1:P$1,"&lt;&gt;"),0,SUMIFS($J:$J,$B:$B,$B230,$A:$A,"&gt;="&amp;COUNTIFS($K$1:P$1,"&lt;&gt;"))),0)</f>
        <v>0.15816326530612249</v>
      </c>
      <c r="Q230">
        <f>IFERROR($J230/IF($A230&lt;COUNTIFS($K$1:Q$1,"&lt;&gt;"),0,SUMIFS($J:$J,$B:$B,$B230,$A:$A,"&gt;="&amp;COUNTIFS($K$1:Q$1,"&lt;&gt;"))),0)</f>
        <v>0.1878787878787879</v>
      </c>
      <c r="R230">
        <f>IFERROR($J230/IF($A230&lt;COUNTIFS($K$1:R$1,"&lt;&gt;"),0,SUMIFS($J:$J,$B:$B,$B230,$A:$A,"&gt;="&amp;COUNTIFS($K$1:R$1,"&lt;&gt;"))),0)</f>
        <v>0</v>
      </c>
      <c r="S230">
        <f>IFERROR($J230/IF($A230&lt;COUNTIFS($K$1:S$1,"&lt;&gt;"),0,SUMIFS($J:$J,$B:$B,$B230,$A:$A,"&gt;="&amp;COUNTIFS($K$1:S$1,"&lt;&gt;"))),0)</f>
        <v>0</v>
      </c>
      <c r="T230">
        <f>IFERROR($J230/IF($A230&lt;COUNTIFS($K$1:T$1,"&lt;&gt;"),0,SUMIFS($J:$J,$B:$B,$B230,$A:$A,"&gt;="&amp;COUNTIFS($K$1:T$1,"&lt;&gt;"))),0)</f>
        <v>0</v>
      </c>
      <c r="U230">
        <f>IFERROR($J230/IF($A230&lt;COUNTIFS($K$1:U$1,"&lt;&gt;"),0,SUMIFS($J:$J,$B:$B,$B230,$A:$A,"&gt;="&amp;COUNTIFS($K$1:U$1,"&lt;&gt;"))),0)</f>
        <v>0</v>
      </c>
      <c r="V230">
        <f>IFERROR($J230/IF($A230&lt;COUNTIFS($K$1:V$1,"&lt;&gt;"),0,SUMIFS($J:$J,$B:$B,$B230,$A:$A,"&gt;="&amp;COUNTIFS($K$1:V$1,"&lt;&gt;"))),0)</f>
        <v>0</v>
      </c>
      <c r="W230">
        <f t="shared" si="90"/>
        <v>8.4931506849315067E-2</v>
      </c>
      <c r="X230">
        <f t="shared" si="70"/>
        <v>8.4931506849315067E-2</v>
      </c>
      <c r="Y230">
        <f t="shared" si="71"/>
        <v>8.4931506849315067E-2</v>
      </c>
      <c r="Z230">
        <f t="shared" si="72"/>
        <v>8.4931506849315067E-2</v>
      </c>
      <c r="AA230">
        <f t="shared" si="73"/>
        <v>8.4931506849315067E-2</v>
      </c>
      <c r="AB230">
        <f t="shared" si="74"/>
        <v>8.4931506849315067E-2</v>
      </c>
      <c r="AC230">
        <f t="shared" si="75"/>
        <v>8.4931506849315067E-2</v>
      </c>
      <c r="AD230">
        <f t="shared" si="76"/>
        <v>8.4931506849315067E-2</v>
      </c>
      <c r="AE230">
        <f t="shared" si="77"/>
        <v>0</v>
      </c>
      <c r="AF230">
        <f t="shared" si="78"/>
        <v>0</v>
      </c>
      <c r="AG230">
        <f t="shared" si="79"/>
        <v>0</v>
      </c>
      <c r="AH230">
        <f t="shared" si="80"/>
        <v>0</v>
      </c>
      <c r="AI230">
        <f t="shared" si="81"/>
        <v>0</v>
      </c>
      <c r="AJ230" s="2" t="str">
        <f t="shared" si="91"/>
        <v>744348</v>
      </c>
    </row>
    <row r="231" spans="1:36" x14ac:dyDescent="0.25">
      <c r="A231">
        <v>8</v>
      </c>
      <c r="B231" s="1">
        <v>44348</v>
      </c>
      <c r="C231" s="1">
        <f t="shared" si="82"/>
        <v>44593</v>
      </c>
      <c r="D231" s="1">
        <f t="shared" si="83"/>
        <v>44362</v>
      </c>
      <c r="E231" s="1">
        <f t="shared" si="84"/>
        <v>44593</v>
      </c>
      <c r="F231" s="1">
        <f t="shared" si="85"/>
        <v>44621</v>
      </c>
      <c r="G231" s="1">
        <f t="shared" si="86"/>
        <v>44727</v>
      </c>
      <c r="H231">
        <f t="shared" si="87"/>
        <v>365</v>
      </c>
      <c r="I231">
        <f t="shared" si="88"/>
        <v>28</v>
      </c>
      <c r="J231">
        <f t="shared" si="89"/>
        <v>7.6712328767123292E-2</v>
      </c>
      <c r="K231">
        <f>IFERROR($J231/IF($A231&lt;COUNTIFS($K$1:K$1,"&lt;&gt;"),0,SUMIFS($J:$J,$B:$B,$B231,$A:$A,"&gt;="&amp;COUNTIFS($K$1:K$1,"&lt;&gt;"))),0)</f>
        <v>8.0229226361031539E-2</v>
      </c>
      <c r="L231">
        <f>IFERROR($J231/IF($A231&lt;COUNTIFS($K$1:L$1,"&lt;&gt;"),0,SUMIFS($J:$J,$B:$B,$B231,$A:$A,"&gt;="&amp;COUNTIFS($K$1:L$1,"&lt;&gt;"))),0)</f>
        <v>8.8050314465408827E-2</v>
      </c>
      <c r="M231">
        <f>IFERROR($J231/IF($A231&lt;COUNTIFS($K$1:M$1,"&lt;&gt;"),0,SUMIFS($J:$J,$B:$B,$B231,$A:$A,"&gt;="&amp;COUNTIFS($K$1:M$1,"&lt;&gt;"))),0)</f>
        <v>9.7560975609756115E-2</v>
      </c>
      <c r="N231">
        <f>IFERROR($J231/IF($A231&lt;COUNTIFS($K$1:N$1,"&lt;&gt;"),0,SUMIFS($J:$J,$B:$B,$B231,$A:$A,"&gt;="&amp;COUNTIFS($K$1:N$1,"&lt;&gt;"))),0)</f>
        <v>0.10894941634241248</v>
      </c>
      <c r="O231">
        <f>IFERROR($J231/IF($A231&lt;COUNTIFS($K$1:O$1,"&lt;&gt;"),0,SUMIFS($J:$J,$B:$B,$B231,$A:$A,"&gt;="&amp;COUNTIFS($K$1:O$1,"&lt;&gt;"))),0)</f>
        <v>0.12389380530973454</v>
      </c>
      <c r="P231">
        <f>IFERROR($J231/IF($A231&lt;COUNTIFS($K$1:P$1,"&lt;&gt;"),0,SUMIFS($J:$J,$B:$B,$B231,$A:$A,"&gt;="&amp;COUNTIFS($K$1:P$1,"&lt;&gt;"))),0)</f>
        <v>0.14285714285714288</v>
      </c>
      <c r="Q231">
        <f>IFERROR($J231/IF($A231&lt;COUNTIFS($K$1:Q$1,"&lt;&gt;"),0,SUMIFS($J:$J,$B:$B,$B231,$A:$A,"&gt;="&amp;COUNTIFS($K$1:Q$1,"&lt;&gt;"))),0)</f>
        <v>0.16969696969696971</v>
      </c>
      <c r="R231">
        <f>IFERROR($J231/IF($A231&lt;COUNTIFS($K$1:R$1,"&lt;&gt;"),0,SUMIFS($J:$J,$B:$B,$B231,$A:$A,"&gt;="&amp;COUNTIFS($K$1:R$1,"&lt;&gt;"))),0)</f>
        <v>0.20895522388059704</v>
      </c>
      <c r="S231">
        <f>IFERROR($J231/IF($A231&lt;COUNTIFS($K$1:S$1,"&lt;&gt;"),0,SUMIFS($J:$J,$B:$B,$B231,$A:$A,"&gt;="&amp;COUNTIFS($K$1:S$1,"&lt;&gt;"))),0)</f>
        <v>0</v>
      </c>
      <c r="T231">
        <f>IFERROR($J231/IF($A231&lt;COUNTIFS($K$1:T$1,"&lt;&gt;"),0,SUMIFS($J:$J,$B:$B,$B231,$A:$A,"&gt;="&amp;COUNTIFS($K$1:T$1,"&lt;&gt;"))),0)</f>
        <v>0</v>
      </c>
      <c r="U231">
        <f>IFERROR($J231/IF($A231&lt;COUNTIFS($K$1:U$1,"&lt;&gt;"),0,SUMIFS($J:$J,$B:$B,$B231,$A:$A,"&gt;="&amp;COUNTIFS($K$1:U$1,"&lt;&gt;"))),0)</f>
        <v>0</v>
      </c>
      <c r="V231">
        <f>IFERROR($J231/IF($A231&lt;COUNTIFS($K$1:V$1,"&lt;&gt;"),0,SUMIFS($J:$J,$B:$B,$B231,$A:$A,"&gt;="&amp;COUNTIFS($K$1:V$1,"&lt;&gt;"))),0)</f>
        <v>0</v>
      </c>
      <c r="W231">
        <f t="shared" si="90"/>
        <v>7.6712328767123292E-2</v>
      </c>
      <c r="X231">
        <f t="shared" si="70"/>
        <v>7.6712328767123292E-2</v>
      </c>
      <c r="Y231">
        <f t="shared" si="71"/>
        <v>7.6712328767123292E-2</v>
      </c>
      <c r="Z231">
        <f t="shared" si="72"/>
        <v>7.6712328767123292E-2</v>
      </c>
      <c r="AA231">
        <f t="shared" si="73"/>
        <v>7.6712328767123292E-2</v>
      </c>
      <c r="AB231">
        <f t="shared" si="74"/>
        <v>7.6712328767123292E-2</v>
      </c>
      <c r="AC231">
        <f t="shared" si="75"/>
        <v>7.6712328767123292E-2</v>
      </c>
      <c r="AD231">
        <f t="shared" si="76"/>
        <v>7.6712328767123292E-2</v>
      </c>
      <c r="AE231">
        <f t="shared" si="77"/>
        <v>7.6712328767123292E-2</v>
      </c>
      <c r="AF231">
        <f t="shared" si="78"/>
        <v>0</v>
      </c>
      <c r="AG231">
        <f t="shared" si="79"/>
        <v>0</v>
      </c>
      <c r="AH231">
        <f t="shared" si="80"/>
        <v>0</v>
      </c>
      <c r="AI231">
        <f t="shared" si="81"/>
        <v>0</v>
      </c>
      <c r="AJ231" s="2" t="str">
        <f t="shared" si="91"/>
        <v>844348</v>
      </c>
    </row>
    <row r="232" spans="1:36" x14ac:dyDescent="0.25">
      <c r="A232">
        <v>9</v>
      </c>
      <c r="B232" s="1">
        <v>44348</v>
      </c>
      <c r="C232" s="1">
        <f t="shared" si="82"/>
        <v>44621</v>
      </c>
      <c r="D232" s="1">
        <f t="shared" si="83"/>
        <v>44362</v>
      </c>
      <c r="E232" s="1">
        <f t="shared" si="84"/>
        <v>44621</v>
      </c>
      <c r="F232" s="1">
        <f t="shared" si="85"/>
        <v>44652</v>
      </c>
      <c r="G232" s="1">
        <f t="shared" si="86"/>
        <v>44727</v>
      </c>
      <c r="H232">
        <f t="shared" si="87"/>
        <v>365</v>
      </c>
      <c r="I232">
        <f t="shared" si="88"/>
        <v>31</v>
      </c>
      <c r="J232">
        <f t="shared" si="89"/>
        <v>8.4931506849315067E-2</v>
      </c>
      <c r="K232">
        <f>IFERROR($J232/IF($A232&lt;COUNTIFS($K$1:K$1,"&lt;&gt;"),0,SUMIFS($J:$J,$B:$B,$B232,$A:$A,"&gt;="&amp;COUNTIFS($K$1:K$1,"&lt;&gt;"))),0)</f>
        <v>8.8825214899713484E-2</v>
      </c>
      <c r="L232">
        <f>IFERROR($J232/IF($A232&lt;COUNTIFS($K$1:L$1,"&lt;&gt;"),0,SUMIFS($J:$J,$B:$B,$B232,$A:$A,"&gt;="&amp;COUNTIFS($K$1:L$1,"&lt;&gt;"))),0)</f>
        <v>9.7484276729559768E-2</v>
      </c>
      <c r="M232">
        <f>IFERROR($J232/IF($A232&lt;COUNTIFS($K$1:M$1,"&lt;&gt;"),0,SUMIFS($J:$J,$B:$B,$B232,$A:$A,"&gt;="&amp;COUNTIFS($K$1:M$1,"&lt;&gt;"))),0)</f>
        <v>0.10801393728222998</v>
      </c>
      <c r="N232">
        <f>IFERROR($J232/IF($A232&lt;COUNTIFS($K$1:N$1,"&lt;&gt;"),0,SUMIFS($J:$J,$B:$B,$B232,$A:$A,"&gt;="&amp;COUNTIFS($K$1:N$1,"&lt;&gt;"))),0)</f>
        <v>0.12062256809338523</v>
      </c>
      <c r="O232">
        <f>IFERROR($J232/IF($A232&lt;COUNTIFS($K$1:O$1,"&lt;&gt;"),0,SUMIFS($J:$J,$B:$B,$B232,$A:$A,"&gt;="&amp;COUNTIFS($K$1:O$1,"&lt;&gt;"))),0)</f>
        <v>0.13716814159292037</v>
      </c>
      <c r="P232">
        <f>IFERROR($J232/IF($A232&lt;COUNTIFS($K$1:P$1,"&lt;&gt;"),0,SUMIFS($J:$J,$B:$B,$B232,$A:$A,"&gt;="&amp;COUNTIFS($K$1:P$1,"&lt;&gt;"))),0)</f>
        <v>0.15816326530612249</v>
      </c>
      <c r="Q232">
        <f>IFERROR($J232/IF($A232&lt;COUNTIFS($K$1:Q$1,"&lt;&gt;"),0,SUMIFS($J:$J,$B:$B,$B232,$A:$A,"&gt;="&amp;COUNTIFS($K$1:Q$1,"&lt;&gt;"))),0)</f>
        <v>0.1878787878787879</v>
      </c>
      <c r="R232">
        <f>IFERROR($J232/IF($A232&lt;COUNTIFS($K$1:R$1,"&lt;&gt;"),0,SUMIFS($J:$J,$B:$B,$B232,$A:$A,"&gt;="&amp;COUNTIFS($K$1:R$1,"&lt;&gt;"))),0)</f>
        <v>0.23134328358208955</v>
      </c>
      <c r="S232">
        <f>IFERROR($J232/IF($A232&lt;COUNTIFS($K$1:S$1,"&lt;&gt;"),0,SUMIFS($J:$J,$B:$B,$B232,$A:$A,"&gt;="&amp;COUNTIFS($K$1:S$1,"&lt;&gt;"))),0)</f>
        <v>0.29245283018867929</v>
      </c>
      <c r="T232">
        <f>IFERROR($J232/IF($A232&lt;COUNTIFS($K$1:T$1,"&lt;&gt;"),0,SUMIFS($J:$J,$B:$B,$B232,$A:$A,"&gt;="&amp;COUNTIFS($K$1:T$1,"&lt;&gt;"))),0)</f>
        <v>0</v>
      </c>
      <c r="U232">
        <f>IFERROR($J232/IF($A232&lt;COUNTIFS($K$1:U$1,"&lt;&gt;"),0,SUMIFS($J:$J,$B:$B,$B232,$A:$A,"&gt;="&amp;COUNTIFS($K$1:U$1,"&lt;&gt;"))),0)</f>
        <v>0</v>
      </c>
      <c r="V232">
        <f>IFERROR($J232/IF($A232&lt;COUNTIFS($K$1:V$1,"&lt;&gt;"),0,SUMIFS($J:$J,$B:$B,$B232,$A:$A,"&gt;="&amp;COUNTIFS($K$1:V$1,"&lt;&gt;"))),0)</f>
        <v>0</v>
      </c>
      <c r="W232">
        <f t="shared" si="90"/>
        <v>8.4931506849315067E-2</v>
      </c>
      <c r="X232">
        <f t="shared" si="70"/>
        <v>8.4931506849315067E-2</v>
      </c>
      <c r="Y232">
        <f t="shared" si="71"/>
        <v>8.4931506849315067E-2</v>
      </c>
      <c r="Z232">
        <f t="shared" si="72"/>
        <v>8.4931506849315067E-2</v>
      </c>
      <c r="AA232">
        <f t="shared" si="73"/>
        <v>8.4931506849315067E-2</v>
      </c>
      <c r="AB232">
        <f t="shared" si="74"/>
        <v>8.4931506849315067E-2</v>
      </c>
      <c r="AC232">
        <f t="shared" si="75"/>
        <v>8.4931506849315067E-2</v>
      </c>
      <c r="AD232">
        <f t="shared" si="76"/>
        <v>8.4931506849315067E-2</v>
      </c>
      <c r="AE232">
        <f t="shared" si="77"/>
        <v>8.4931506849315067E-2</v>
      </c>
      <c r="AF232">
        <f t="shared" si="78"/>
        <v>8.4931506849315067E-2</v>
      </c>
      <c r="AG232">
        <f t="shared" si="79"/>
        <v>0</v>
      </c>
      <c r="AH232">
        <f t="shared" si="80"/>
        <v>0</v>
      </c>
      <c r="AI232">
        <f t="shared" si="81"/>
        <v>0</v>
      </c>
      <c r="AJ232" s="2" t="str">
        <f t="shared" si="91"/>
        <v>944348</v>
      </c>
    </row>
    <row r="233" spans="1:36" x14ac:dyDescent="0.25">
      <c r="A233">
        <v>10</v>
      </c>
      <c r="B233" s="1">
        <v>44348</v>
      </c>
      <c r="C233" s="1">
        <f t="shared" si="82"/>
        <v>44652</v>
      </c>
      <c r="D233" s="1">
        <f t="shared" si="83"/>
        <v>44362</v>
      </c>
      <c r="E233" s="1">
        <f t="shared" si="84"/>
        <v>44652</v>
      </c>
      <c r="F233" s="1">
        <f t="shared" si="85"/>
        <v>44682</v>
      </c>
      <c r="G233" s="1">
        <f t="shared" si="86"/>
        <v>44727</v>
      </c>
      <c r="H233">
        <f t="shared" si="87"/>
        <v>365</v>
      </c>
      <c r="I233">
        <f t="shared" si="88"/>
        <v>30</v>
      </c>
      <c r="J233">
        <f t="shared" si="89"/>
        <v>8.2191780821917804E-2</v>
      </c>
      <c r="K233">
        <f>IFERROR($J233/IF($A233&lt;COUNTIFS($K$1:K$1,"&lt;&gt;"),0,SUMIFS($J:$J,$B:$B,$B233,$A:$A,"&gt;="&amp;COUNTIFS($K$1:K$1,"&lt;&gt;"))),0)</f>
        <v>8.5959885386819493E-2</v>
      </c>
      <c r="L233">
        <f>IFERROR($J233/IF($A233&lt;COUNTIFS($K$1:L$1,"&lt;&gt;"),0,SUMIFS($J:$J,$B:$B,$B233,$A:$A,"&gt;="&amp;COUNTIFS($K$1:L$1,"&lt;&gt;"))),0)</f>
        <v>9.4339622641509441E-2</v>
      </c>
      <c r="M233">
        <f>IFERROR($J233/IF($A233&lt;COUNTIFS($K$1:M$1,"&lt;&gt;"),0,SUMIFS($J:$J,$B:$B,$B233,$A:$A,"&gt;="&amp;COUNTIFS($K$1:M$1,"&lt;&gt;"))),0)</f>
        <v>0.10452961672473869</v>
      </c>
      <c r="N233">
        <f>IFERROR($J233/IF($A233&lt;COUNTIFS($K$1:N$1,"&lt;&gt;"),0,SUMIFS($J:$J,$B:$B,$B233,$A:$A,"&gt;="&amp;COUNTIFS($K$1:N$1,"&lt;&gt;"))),0)</f>
        <v>0.11673151750972764</v>
      </c>
      <c r="O233">
        <f>IFERROR($J233/IF($A233&lt;COUNTIFS($K$1:O$1,"&lt;&gt;"),0,SUMIFS($J:$J,$B:$B,$B233,$A:$A,"&gt;="&amp;COUNTIFS($K$1:O$1,"&lt;&gt;"))),0)</f>
        <v>0.13274336283185842</v>
      </c>
      <c r="P233">
        <f>IFERROR($J233/IF($A233&lt;COUNTIFS($K$1:P$1,"&lt;&gt;"),0,SUMIFS($J:$J,$B:$B,$B233,$A:$A,"&gt;="&amp;COUNTIFS($K$1:P$1,"&lt;&gt;"))),0)</f>
        <v>0.15306122448979595</v>
      </c>
      <c r="Q233">
        <f>IFERROR($J233/IF($A233&lt;COUNTIFS($K$1:Q$1,"&lt;&gt;"),0,SUMIFS($J:$J,$B:$B,$B233,$A:$A,"&gt;="&amp;COUNTIFS($K$1:Q$1,"&lt;&gt;"))),0)</f>
        <v>0.18181818181818182</v>
      </c>
      <c r="R233">
        <f>IFERROR($J233/IF($A233&lt;COUNTIFS($K$1:R$1,"&lt;&gt;"),0,SUMIFS($J:$J,$B:$B,$B233,$A:$A,"&gt;="&amp;COUNTIFS($K$1:R$1,"&lt;&gt;"))),0)</f>
        <v>0.22388059701492535</v>
      </c>
      <c r="S233">
        <f>IFERROR($J233/IF($A233&lt;COUNTIFS($K$1:S$1,"&lt;&gt;"),0,SUMIFS($J:$J,$B:$B,$B233,$A:$A,"&gt;="&amp;COUNTIFS($K$1:S$1,"&lt;&gt;"))),0)</f>
        <v>0.28301886792452829</v>
      </c>
      <c r="T233">
        <f>IFERROR($J233/IF($A233&lt;COUNTIFS($K$1:T$1,"&lt;&gt;"),0,SUMIFS($J:$J,$B:$B,$B233,$A:$A,"&gt;="&amp;COUNTIFS($K$1:T$1,"&lt;&gt;"))),0)</f>
        <v>0.4</v>
      </c>
      <c r="U233">
        <f>IFERROR($J233/IF($A233&lt;COUNTIFS($K$1:U$1,"&lt;&gt;"),0,SUMIFS($J:$J,$B:$B,$B233,$A:$A,"&gt;="&amp;COUNTIFS($K$1:U$1,"&lt;&gt;"))),0)</f>
        <v>0</v>
      </c>
      <c r="V233">
        <f>IFERROR($J233/IF($A233&lt;COUNTIFS($K$1:V$1,"&lt;&gt;"),0,SUMIFS($J:$J,$B:$B,$B233,$A:$A,"&gt;="&amp;COUNTIFS($K$1:V$1,"&lt;&gt;"))),0)</f>
        <v>0</v>
      </c>
      <c r="W233">
        <f t="shared" si="90"/>
        <v>8.2191780821917804E-2</v>
      </c>
      <c r="X233">
        <f t="shared" si="70"/>
        <v>8.2191780821917804E-2</v>
      </c>
      <c r="Y233">
        <f t="shared" si="71"/>
        <v>8.2191780821917804E-2</v>
      </c>
      <c r="Z233">
        <f t="shared" si="72"/>
        <v>8.2191780821917804E-2</v>
      </c>
      <c r="AA233">
        <f t="shared" si="73"/>
        <v>8.2191780821917804E-2</v>
      </c>
      <c r="AB233">
        <f t="shared" si="74"/>
        <v>8.2191780821917804E-2</v>
      </c>
      <c r="AC233">
        <f t="shared" si="75"/>
        <v>8.2191780821917804E-2</v>
      </c>
      <c r="AD233">
        <f t="shared" si="76"/>
        <v>8.2191780821917804E-2</v>
      </c>
      <c r="AE233">
        <f t="shared" si="77"/>
        <v>8.2191780821917804E-2</v>
      </c>
      <c r="AF233">
        <f t="shared" si="78"/>
        <v>8.2191780821917804E-2</v>
      </c>
      <c r="AG233">
        <f t="shared" si="79"/>
        <v>8.2191780821917804E-2</v>
      </c>
      <c r="AH233">
        <f t="shared" si="80"/>
        <v>0</v>
      </c>
      <c r="AI233">
        <f t="shared" si="81"/>
        <v>0</v>
      </c>
      <c r="AJ233" s="2" t="str">
        <f t="shared" si="91"/>
        <v>1044348</v>
      </c>
    </row>
    <row r="234" spans="1:36" x14ac:dyDescent="0.25">
      <c r="A234">
        <v>11</v>
      </c>
      <c r="B234" s="1">
        <v>44348</v>
      </c>
      <c r="C234" s="1">
        <f t="shared" si="82"/>
        <v>44682</v>
      </c>
      <c r="D234" s="1">
        <f t="shared" si="83"/>
        <v>44362</v>
      </c>
      <c r="E234" s="1">
        <f t="shared" si="84"/>
        <v>44682</v>
      </c>
      <c r="F234" s="1">
        <f t="shared" si="85"/>
        <v>44713</v>
      </c>
      <c r="G234" s="1">
        <f t="shared" si="86"/>
        <v>44727</v>
      </c>
      <c r="H234">
        <f t="shared" si="87"/>
        <v>365</v>
      </c>
      <c r="I234">
        <f t="shared" si="88"/>
        <v>31</v>
      </c>
      <c r="J234">
        <f t="shared" si="89"/>
        <v>8.4931506849315067E-2</v>
      </c>
      <c r="K234">
        <f>IFERROR($J234/IF($A234&lt;COUNTIFS($K$1:K$1,"&lt;&gt;"),0,SUMIFS($J:$J,$B:$B,$B234,$A:$A,"&gt;="&amp;COUNTIFS($K$1:K$1,"&lt;&gt;"))),0)</f>
        <v>8.8825214899713484E-2</v>
      </c>
      <c r="L234">
        <f>IFERROR($J234/IF($A234&lt;COUNTIFS($K$1:L$1,"&lt;&gt;"),0,SUMIFS($J:$J,$B:$B,$B234,$A:$A,"&gt;="&amp;COUNTIFS($K$1:L$1,"&lt;&gt;"))),0)</f>
        <v>9.7484276729559768E-2</v>
      </c>
      <c r="M234">
        <f>IFERROR($J234/IF($A234&lt;COUNTIFS($K$1:M$1,"&lt;&gt;"),0,SUMIFS($J:$J,$B:$B,$B234,$A:$A,"&gt;="&amp;COUNTIFS($K$1:M$1,"&lt;&gt;"))),0)</f>
        <v>0.10801393728222998</v>
      </c>
      <c r="N234">
        <f>IFERROR($J234/IF($A234&lt;COUNTIFS($K$1:N$1,"&lt;&gt;"),0,SUMIFS($J:$J,$B:$B,$B234,$A:$A,"&gt;="&amp;COUNTIFS($K$1:N$1,"&lt;&gt;"))),0)</f>
        <v>0.12062256809338523</v>
      </c>
      <c r="O234">
        <f>IFERROR($J234/IF($A234&lt;COUNTIFS($K$1:O$1,"&lt;&gt;"),0,SUMIFS($J:$J,$B:$B,$B234,$A:$A,"&gt;="&amp;COUNTIFS($K$1:O$1,"&lt;&gt;"))),0)</f>
        <v>0.13716814159292037</v>
      </c>
      <c r="P234">
        <f>IFERROR($J234/IF($A234&lt;COUNTIFS($K$1:P$1,"&lt;&gt;"),0,SUMIFS($J:$J,$B:$B,$B234,$A:$A,"&gt;="&amp;COUNTIFS($K$1:P$1,"&lt;&gt;"))),0)</f>
        <v>0.15816326530612249</v>
      </c>
      <c r="Q234">
        <f>IFERROR($J234/IF($A234&lt;COUNTIFS($K$1:Q$1,"&lt;&gt;"),0,SUMIFS($J:$J,$B:$B,$B234,$A:$A,"&gt;="&amp;COUNTIFS($K$1:Q$1,"&lt;&gt;"))),0)</f>
        <v>0.1878787878787879</v>
      </c>
      <c r="R234">
        <f>IFERROR($J234/IF($A234&lt;COUNTIFS($K$1:R$1,"&lt;&gt;"),0,SUMIFS($J:$J,$B:$B,$B234,$A:$A,"&gt;="&amp;COUNTIFS($K$1:R$1,"&lt;&gt;"))),0)</f>
        <v>0.23134328358208955</v>
      </c>
      <c r="S234">
        <f>IFERROR($J234/IF($A234&lt;COUNTIFS($K$1:S$1,"&lt;&gt;"),0,SUMIFS($J:$J,$B:$B,$B234,$A:$A,"&gt;="&amp;COUNTIFS($K$1:S$1,"&lt;&gt;"))),0)</f>
        <v>0.29245283018867929</v>
      </c>
      <c r="T234">
        <f>IFERROR($J234/IF($A234&lt;COUNTIFS($K$1:T$1,"&lt;&gt;"),0,SUMIFS($J:$J,$B:$B,$B234,$A:$A,"&gt;="&amp;COUNTIFS($K$1:T$1,"&lt;&gt;"))),0)</f>
        <v>0.41333333333333333</v>
      </c>
      <c r="U234">
        <f>IFERROR($J234/IF($A234&lt;COUNTIFS($K$1:U$1,"&lt;&gt;"),0,SUMIFS($J:$J,$B:$B,$B234,$A:$A,"&gt;="&amp;COUNTIFS($K$1:U$1,"&lt;&gt;"))),0)</f>
        <v>0.68888888888888888</v>
      </c>
      <c r="V234">
        <f>IFERROR($J234/IF($A234&lt;COUNTIFS($K$1:V$1,"&lt;&gt;"),0,SUMIFS($J:$J,$B:$B,$B234,$A:$A,"&gt;="&amp;COUNTIFS($K$1:V$1,"&lt;&gt;"))),0)</f>
        <v>0</v>
      </c>
      <c r="W234">
        <f t="shared" si="90"/>
        <v>8.4931506849315067E-2</v>
      </c>
      <c r="X234">
        <f t="shared" si="70"/>
        <v>8.4931506849315067E-2</v>
      </c>
      <c r="Y234">
        <f t="shared" si="71"/>
        <v>8.4931506849315067E-2</v>
      </c>
      <c r="Z234">
        <f t="shared" si="72"/>
        <v>8.4931506849315067E-2</v>
      </c>
      <c r="AA234">
        <f t="shared" si="73"/>
        <v>8.4931506849315067E-2</v>
      </c>
      <c r="AB234">
        <f t="shared" si="74"/>
        <v>8.4931506849315067E-2</v>
      </c>
      <c r="AC234">
        <f t="shared" si="75"/>
        <v>8.4931506849315067E-2</v>
      </c>
      <c r="AD234">
        <f t="shared" si="76"/>
        <v>8.4931506849315067E-2</v>
      </c>
      <c r="AE234">
        <f t="shared" si="77"/>
        <v>8.4931506849315067E-2</v>
      </c>
      <c r="AF234">
        <f t="shared" si="78"/>
        <v>8.4931506849315067E-2</v>
      </c>
      <c r="AG234">
        <f t="shared" si="79"/>
        <v>8.4931506849315067E-2</v>
      </c>
      <c r="AH234">
        <f t="shared" si="80"/>
        <v>8.4931506849315067E-2</v>
      </c>
      <c r="AI234">
        <f t="shared" si="81"/>
        <v>0</v>
      </c>
      <c r="AJ234" s="2" t="str">
        <f t="shared" si="91"/>
        <v>1144348</v>
      </c>
    </row>
    <row r="235" spans="1:36" x14ac:dyDescent="0.25">
      <c r="A235">
        <v>12</v>
      </c>
      <c r="B235" s="1">
        <v>44348</v>
      </c>
      <c r="C235" s="1">
        <f t="shared" si="82"/>
        <v>44713</v>
      </c>
      <c r="D235" s="1">
        <f t="shared" si="83"/>
        <v>44362</v>
      </c>
      <c r="E235" s="1">
        <f t="shared" si="84"/>
        <v>44713</v>
      </c>
      <c r="F235" s="1">
        <f t="shared" si="85"/>
        <v>44727</v>
      </c>
      <c r="G235" s="1">
        <f t="shared" si="86"/>
        <v>44727</v>
      </c>
      <c r="H235">
        <f t="shared" si="87"/>
        <v>365</v>
      </c>
      <c r="I235">
        <f t="shared" si="88"/>
        <v>14</v>
      </c>
      <c r="J235">
        <f t="shared" si="89"/>
        <v>3.8356164383561646E-2</v>
      </c>
      <c r="K235">
        <f>IFERROR($J235/IF($A235&lt;COUNTIFS($K$1:K$1,"&lt;&gt;"),0,SUMIFS($J:$J,$B:$B,$B235,$A:$A,"&gt;="&amp;COUNTIFS($K$1:K$1,"&lt;&gt;"))),0)</f>
        <v>4.0114613180515769E-2</v>
      </c>
      <c r="L235">
        <f>IFERROR($J235/IF($A235&lt;COUNTIFS($K$1:L$1,"&lt;&gt;"),0,SUMIFS($J:$J,$B:$B,$B235,$A:$A,"&gt;="&amp;COUNTIFS($K$1:L$1,"&lt;&gt;"))),0)</f>
        <v>4.4025157232704414E-2</v>
      </c>
      <c r="M235">
        <f>IFERROR($J235/IF($A235&lt;COUNTIFS($K$1:M$1,"&lt;&gt;"),0,SUMIFS($J:$J,$B:$B,$B235,$A:$A,"&gt;="&amp;COUNTIFS($K$1:M$1,"&lt;&gt;"))),0)</f>
        <v>4.8780487804878057E-2</v>
      </c>
      <c r="N235">
        <f>IFERROR($J235/IF($A235&lt;COUNTIFS($K$1:N$1,"&lt;&gt;"),0,SUMIFS($J:$J,$B:$B,$B235,$A:$A,"&gt;="&amp;COUNTIFS($K$1:N$1,"&lt;&gt;"))),0)</f>
        <v>5.447470817120624E-2</v>
      </c>
      <c r="O235">
        <f>IFERROR($J235/IF($A235&lt;COUNTIFS($K$1:O$1,"&lt;&gt;"),0,SUMIFS($J:$J,$B:$B,$B235,$A:$A,"&gt;="&amp;COUNTIFS($K$1:O$1,"&lt;&gt;"))),0)</f>
        <v>6.194690265486727E-2</v>
      </c>
      <c r="P235">
        <f>IFERROR($J235/IF($A235&lt;COUNTIFS($K$1:P$1,"&lt;&gt;"),0,SUMIFS($J:$J,$B:$B,$B235,$A:$A,"&gt;="&amp;COUNTIFS($K$1:P$1,"&lt;&gt;"))),0)</f>
        <v>7.1428571428571438E-2</v>
      </c>
      <c r="Q235">
        <f>IFERROR($J235/IF($A235&lt;COUNTIFS($K$1:Q$1,"&lt;&gt;"),0,SUMIFS($J:$J,$B:$B,$B235,$A:$A,"&gt;="&amp;COUNTIFS($K$1:Q$1,"&lt;&gt;"))),0)</f>
        <v>8.4848484848484854E-2</v>
      </c>
      <c r="R235">
        <f>IFERROR($J235/IF($A235&lt;COUNTIFS($K$1:R$1,"&lt;&gt;"),0,SUMIFS($J:$J,$B:$B,$B235,$A:$A,"&gt;="&amp;COUNTIFS($K$1:R$1,"&lt;&gt;"))),0)</f>
        <v>0.10447761194029852</v>
      </c>
      <c r="S235">
        <f>IFERROR($J235/IF($A235&lt;COUNTIFS($K$1:S$1,"&lt;&gt;"),0,SUMIFS($J:$J,$B:$B,$B235,$A:$A,"&gt;="&amp;COUNTIFS($K$1:S$1,"&lt;&gt;"))),0)</f>
        <v>0.13207547169811323</v>
      </c>
      <c r="T235">
        <f>IFERROR($J235/IF($A235&lt;COUNTIFS($K$1:T$1,"&lt;&gt;"),0,SUMIFS($J:$J,$B:$B,$B235,$A:$A,"&gt;="&amp;COUNTIFS($K$1:T$1,"&lt;&gt;"))),0)</f>
        <v>0.18666666666666668</v>
      </c>
      <c r="U235">
        <f>IFERROR($J235/IF($A235&lt;COUNTIFS($K$1:U$1,"&lt;&gt;"),0,SUMIFS($J:$J,$B:$B,$B235,$A:$A,"&gt;="&amp;COUNTIFS($K$1:U$1,"&lt;&gt;"))),0)</f>
        <v>0.31111111111111117</v>
      </c>
      <c r="V235">
        <f>IFERROR($J235/IF($A235&lt;COUNTIFS($K$1:V$1,"&lt;&gt;"),0,SUMIFS($J:$J,$B:$B,$B235,$A:$A,"&gt;="&amp;COUNTIFS($K$1:V$1,"&lt;&gt;"))),0)</f>
        <v>1</v>
      </c>
      <c r="W235">
        <f t="shared" si="90"/>
        <v>3.8356164383561646E-2</v>
      </c>
      <c r="X235">
        <f t="shared" si="70"/>
        <v>3.8356164383561646E-2</v>
      </c>
      <c r="Y235">
        <f t="shared" si="71"/>
        <v>3.8356164383561646E-2</v>
      </c>
      <c r="Z235">
        <f t="shared" si="72"/>
        <v>3.8356164383561646E-2</v>
      </c>
      <c r="AA235">
        <f t="shared" si="73"/>
        <v>3.8356164383561646E-2</v>
      </c>
      <c r="AB235">
        <f t="shared" si="74"/>
        <v>3.8356164383561646E-2</v>
      </c>
      <c r="AC235">
        <f t="shared" si="75"/>
        <v>3.8356164383561646E-2</v>
      </c>
      <c r="AD235">
        <f t="shared" si="76"/>
        <v>3.8356164383561646E-2</v>
      </c>
      <c r="AE235">
        <f t="shared" si="77"/>
        <v>3.8356164383561646E-2</v>
      </c>
      <c r="AF235">
        <f t="shared" si="78"/>
        <v>3.8356164383561646E-2</v>
      </c>
      <c r="AG235">
        <f t="shared" si="79"/>
        <v>3.8356164383561646E-2</v>
      </c>
      <c r="AH235">
        <f t="shared" si="80"/>
        <v>3.8356164383561646E-2</v>
      </c>
      <c r="AI235">
        <f t="shared" si="81"/>
        <v>3.8356164383561646E-2</v>
      </c>
      <c r="AJ235" s="2" t="str">
        <f t="shared" si="91"/>
        <v>1244348</v>
      </c>
    </row>
    <row r="236" spans="1:36" x14ac:dyDescent="0.25">
      <c r="A236">
        <v>0</v>
      </c>
      <c r="B236" s="1">
        <v>44378</v>
      </c>
      <c r="C236" s="1">
        <f t="shared" si="82"/>
        <v>44378</v>
      </c>
      <c r="D236" s="1">
        <f t="shared" si="83"/>
        <v>44392</v>
      </c>
      <c r="E236" s="1">
        <f t="shared" si="84"/>
        <v>44392</v>
      </c>
      <c r="F236" s="1">
        <f t="shared" si="85"/>
        <v>44409</v>
      </c>
      <c r="G236" s="1">
        <f t="shared" si="86"/>
        <v>44757</v>
      </c>
      <c r="H236">
        <f t="shared" si="87"/>
        <v>365</v>
      </c>
      <c r="I236">
        <f t="shared" si="88"/>
        <v>17</v>
      </c>
      <c r="J236">
        <f t="shared" si="89"/>
        <v>4.6575342465753428E-2</v>
      </c>
      <c r="K236">
        <f>IFERROR($J236/IF($A236&lt;COUNTIFS($K$1:K$1,"&lt;&gt;"),0,SUMIFS($J:$J,$B:$B,$B236,$A:$A,"&gt;="&amp;COUNTIFS($K$1:K$1,"&lt;&gt;"))),0)</f>
        <v>0</v>
      </c>
      <c r="L236">
        <f>IFERROR($J236/IF($A236&lt;COUNTIFS($K$1:L$1,"&lt;&gt;"),0,SUMIFS($J:$J,$B:$B,$B236,$A:$A,"&gt;="&amp;COUNTIFS($K$1:L$1,"&lt;&gt;"))),0)</f>
        <v>0</v>
      </c>
      <c r="M236">
        <f>IFERROR($J236/IF($A236&lt;COUNTIFS($K$1:M$1,"&lt;&gt;"),0,SUMIFS($J:$J,$B:$B,$B236,$A:$A,"&gt;="&amp;COUNTIFS($K$1:M$1,"&lt;&gt;"))),0)</f>
        <v>0</v>
      </c>
      <c r="N236">
        <f>IFERROR($J236/IF($A236&lt;COUNTIFS($K$1:N$1,"&lt;&gt;"),0,SUMIFS($J:$J,$B:$B,$B236,$A:$A,"&gt;="&amp;COUNTIFS($K$1:N$1,"&lt;&gt;"))),0)</f>
        <v>0</v>
      </c>
      <c r="O236">
        <f>IFERROR($J236/IF($A236&lt;COUNTIFS($K$1:O$1,"&lt;&gt;"),0,SUMIFS($J:$J,$B:$B,$B236,$A:$A,"&gt;="&amp;COUNTIFS($K$1:O$1,"&lt;&gt;"))),0)</f>
        <v>0</v>
      </c>
      <c r="P236">
        <f>IFERROR($J236/IF($A236&lt;COUNTIFS($K$1:P$1,"&lt;&gt;"),0,SUMIFS($J:$J,$B:$B,$B236,$A:$A,"&gt;="&amp;COUNTIFS($K$1:P$1,"&lt;&gt;"))),0)</f>
        <v>0</v>
      </c>
      <c r="Q236">
        <f>IFERROR($J236/IF($A236&lt;COUNTIFS($K$1:Q$1,"&lt;&gt;"),0,SUMIFS($J:$J,$B:$B,$B236,$A:$A,"&gt;="&amp;COUNTIFS($K$1:Q$1,"&lt;&gt;"))),0)</f>
        <v>0</v>
      </c>
      <c r="R236">
        <f>IFERROR($J236/IF($A236&lt;COUNTIFS($K$1:R$1,"&lt;&gt;"),0,SUMIFS($J:$J,$B:$B,$B236,$A:$A,"&gt;="&amp;COUNTIFS($K$1:R$1,"&lt;&gt;"))),0)</f>
        <v>0</v>
      </c>
      <c r="S236">
        <f>IFERROR($J236/IF($A236&lt;COUNTIFS($K$1:S$1,"&lt;&gt;"),0,SUMIFS($J:$J,$B:$B,$B236,$A:$A,"&gt;="&amp;COUNTIFS($K$1:S$1,"&lt;&gt;"))),0)</f>
        <v>0</v>
      </c>
      <c r="T236">
        <f>IFERROR($J236/IF($A236&lt;COUNTIFS($K$1:T$1,"&lt;&gt;"),0,SUMIFS($J:$J,$B:$B,$B236,$A:$A,"&gt;="&amp;COUNTIFS($K$1:T$1,"&lt;&gt;"))),0)</f>
        <v>0</v>
      </c>
      <c r="U236">
        <f>IFERROR($J236/IF($A236&lt;COUNTIFS($K$1:U$1,"&lt;&gt;"),0,SUMIFS($J:$J,$B:$B,$B236,$A:$A,"&gt;="&amp;COUNTIFS($K$1:U$1,"&lt;&gt;"))),0)</f>
        <v>0</v>
      </c>
      <c r="V236">
        <f>IFERROR($J236/IF($A236&lt;COUNTIFS($K$1:V$1,"&lt;&gt;"),0,SUMIFS($J:$J,$B:$B,$B236,$A:$A,"&gt;="&amp;COUNTIFS($K$1:V$1,"&lt;&gt;"))),0)</f>
        <v>0</v>
      </c>
      <c r="W236">
        <f t="shared" si="90"/>
        <v>4.6575342465753428E-2</v>
      </c>
      <c r="X236">
        <f t="shared" si="70"/>
        <v>0</v>
      </c>
      <c r="Y236">
        <f t="shared" si="71"/>
        <v>0</v>
      </c>
      <c r="Z236">
        <f t="shared" si="72"/>
        <v>0</v>
      </c>
      <c r="AA236">
        <f t="shared" si="73"/>
        <v>0</v>
      </c>
      <c r="AB236">
        <f t="shared" si="74"/>
        <v>0</v>
      </c>
      <c r="AC236">
        <f t="shared" si="75"/>
        <v>0</v>
      </c>
      <c r="AD236">
        <f t="shared" si="76"/>
        <v>0</v>
      </c>
      <c r="AE236">
        <f t="shared" si="77"/>
        <v>0</v>
      </c>
      <c r="AF236">
        <f t="shared" si="78"/>
        <v>0</v>
      </c>
      <c r="AG236">
        <f t="shared" si="79"/>
        <v>0</v>
      </c>
      <c r="AH236">
        <f t="shared" si="80"/>
        <v>0</v>
      </c>
      <c r="AI236">
        <f t="shared" si="81"/>
        <v>0</v>
      </c>
      <c r="AJ236" s="2" t="str">
        <f t="shared" si="91"/>
        <v>044378</v>
      </c>
    </row>
    <row r="237" spans="1:36" x14ac:dyDescent="0.25">
      <c r="A237">
        <v>1</v>
      </c>
      <c r="B237" s="1">
        <v>44378</v>
      </c>
      <c r="C237" s="1">
        <f t="shared" si="82"/>
        <v>44409</v>
      </c>
      <c r="D237" s="1">
        <f t="shared" si="83"/>
        <v>44392</v>
      </c>
      <c r="E237" s="1">
        <f t="shared" si="84"/>
        <v>44409</v>
      </c>
      <c r="F237" s="1">
        <f t="shared" si="85"/>
        <v>44440</v>
      </c>
      <c r="G237" s="1">
        <f t="shared" si="86"/>
        <v>44757</v>
      </c>
      <c r="H237">
        <f t="shared" si="87"/>
        <v>365</v>
      </c>
      <c r="I237">
        <f t="shared" si="88"/>
        <v>31</v>
      </c>
      <c r="J237">
        <f t="shared" si="89"/>
        <v>8.4931506849315067E-2</v>
      </c>
      <c r="K237">
        <f>IFERROR($J237/IF($A237&lt;COUNTIFS($K$1:K$1,"&lt;&gt;"),0,SUMIFS($J:$J,$B:$B,$B237,$A:$A,"&gt;="&amp;COUNTIFS($K$1:K$1,"&lt;&gt;"))),0)</f>
        <v>8.9080459770114959E-2</v>
      </c>
      <c r="L237">
        <f>IFERROR($J237/IF($A237&lt;COUNTIFS($K$1:L$1,"&lt;&gt;"),0,SUMIFS($J:$J,$B:$B,$B237,$A:$A,"&gt;="&amp;COUNTIFS($K$1:L$1,"&lt;&gt;"))),0)</f>
        <v>0</v>
      </c>
      <c r="M237">
        <f>IFERROR($J237/IF($A237&lt;COUNTIFS($K$1:M$1,"&lt;&gt;"),0,SUMIFS($J:$J,$B:$B,$B237,$A:$A,"&gt;="&amp;COUNTIFS($K$1:M$1,"&lt;&gt;"))),0)</f>
        <v>0</v>
      </c>
      <c r="N237">
        <f>IFERROR($J237/IF($A237&lt;COUNTIFS($K$1:N$1,"&lt;&gt;"),0,SUMIFS($J:$J,$B:$B,$B237,$A:$A,"&gt;="&amp;COUNTIFS($K$1:N$1,"&lt;&gt;"))),0)</f>
        <v>0</v>
      </c>
      <c r="O237">
        <f>IFERROR($J237/IF($A237&lt;COUNTIFS($K$1:O$1,"&lt;&gt;"),0,SUMIFS($J:$J,$B:$B,$B237,$A:$A,"&gt;="&amp;COUNTIFS($K$1:O$1,"&lt;&gt;"))),0)</f>
        <v>0</v>
      </c>
      <c r="P237">
        <f>IFERROR($J237/IF($A237&lt;COUNTIFS($K$1:P$1,"&lt;&gt;"),0,SUMIFS($J:$J,$B:$B,$B237,$A:$A,"&gt;="&amp;COUNTIFS($K$1:P$1,"&lt;&gt;"))),0)</f>
        <v>0</v>
      </c>
      <c r="Q237">
        <f>IFERROR($J237/IF($A237&lt;COUNTIFS($K$1:Q$1,"&lt;&gt;"),0,SUMIFS($J:$J,$B:$B,$B237,$A:$A,"&gt;="&amp;COUNTIFS($K$1:Q$1,"&lt;&gt;"))),0)</f>
        <v>0</v>
      </c>
      <c r="R237">
        <f>IFERROR($J237/IF($A237&lt;COUNTIFS($K$1:R$1,"&lt;&gt;"),0,SUMIFS($J:$J,$B:$B,$B237,$A:$A,"&gt;="&amp;COUNTIFS($K$1:R$1,"&lt;&gt;"))),0)</f>
        <v>0</v>
      </c>
      <c r="S237">
        <f>IFERROR($J237/IF($A237&lt;COUNTIFS($K$1:S$1,"&lt;&gt;"),0,SUMIFS($J:$J,$B:$B,$B237,$A:$A,"&gt;="&amp;COUNTIFS($K$1:S$1,"&lt;&gt;"))),0)</f>
        <v>0</v>
      </c>
      <c r="T237">
        <f>IFERROR($J237/IF($A237&lt;COUNTIFS($K$1:T$1,"&lt;&gt;"),0,SUMIFS($J:$J,$B:$B,$B237,$A:$A,"&gt;="&amp;COUNTIFS($K$1:T$1,"&lt;&gt;"))),0)</f>
        <v>0</v>
      </c>
      <c r="U237">
        <f>IFERROR($J237/IF($A237&lt;COUNTIFS($K$1:U$1,"&lt;&gt;"),0,SUMIFS($J:$J,$B:$B,$B237,$A:$A,"&gt;="&amp;COUNTIFS($K$1:U$1,"&lt;&gt;"))),0)</f>
        <v>0</v>
      </c>
      <c r="V237">
        <f>IFERROR($J237/IF($A237&lt;COUNTIFS($K$1:V$1,"&lt;&gt;"),0,SUMIFS($J:$J,$B:$B,$B237,$A:$A,"&gt;="&amp;COUNTIFS($K$1:V$1,"&lt;&gt;"))),0)</f>
        <v>0</v>
      </c>
      <c r="W237">
        <f t="shared" si="90"/>
        <v>8.4931506849315067E-2</v>
      </c>
      <c r="X237">
        <f t="shared" si="70"/>
        <v>8.4931506849315067E-2</v>
      </c>
      <c r="Y237">
        <f t="shared" si="71"/>
        <v>0</v>
      </c>
      <c r="Z237">
        <f t="shared" si="72"/>
        <v>0</v>
      </c>
      <c r="AA237">
        <f t="shared" si="73"/>
        <v>0</v>
      </c>
      <c r="AB237">
        <f t="shared" si="74"/>
        <v>0</v>
      </c>
      <c r="AC237">
        <f t="shared" si="75"/>
        <v>0</v>
      </c>
      <c r="AD237">
        <f t="shared" si="76"/>
        <v>0</v>
      </c>
      <c r="AE237">
        <f t="shared" si="77"/>
        <v>0</v>
      </c>
      <c r="AF237">
        <f t="shared" si="78"/>
        <v>0</v>
      </c>
      <c r="AG237">
        <f t="shared" si="79"/>
        <v>0</v>
      </c>
      <c r="AH237">
        <f t="shared" si="80"/>
        <v>0</v>
      </c>
      <c r="AI237">
        <f t="shared" si="81"/>
        <v>0</v>
      </c>
      <c r="AJ237" s="2" t="str">
        <f t="shared" si="91"/>
        <v>144378</v>
      </c>
    </row>
    <row r="238" spans="1:36" x14ac:dyDescent="0.25">
      <c r="A238">
        <v>2</v>
      </c>
      <c r="B238" s="1">
        <v>44378</v>
      </c>
      <c r="C238" s="1">
        <f t="shared" si="82"/>
        <v>44440</v>
      </c>
      <c r="D238" s="1">
        <f t="shared" si="83"/>
        <v>44392</v>
      </c>
      <c r="E238" s="1">
        <f t="shared" si="84"/>
        <v>44440</v>
      </c>
      <c r="F238" s="1">
        <f t="shared" si="85"/>
        <v>44470</v>
      </c>
      <c r="G238" s="1">
        <f t="shared" si="86"/>
        <v>44757</v>
      </c>
      <c r="H238">
        <f t="shared" si="87"/>
        <v>365</v>
      </c>
      <c r="I238">
        <f t="shared" si="88"/>
        <v>30</v>
      </c>
      <c r="J238">
        <f t="shared" si="89"/>
        <v>8.2191780821917804E-2</v>
      </c>
      <c r="K238">
        <f>IFERROR($J238/IF($A238&lt;COUNTIFS($K$1:K$1,"&lt;&gt;"),0,SUMIFS($J:$J,$B:$B,$B238,$A:$A,"&gt;="&amp;COUNTIFS($K$1:K$1,"&lt;&gt;"))),0)</f>
        <v>8.6206896551724144E-2</v>
      </c>
      <c r="L238">
        <f>IFERROR($J238/IF($A238&lt;COUNTIFS($K$1:L$1,"&lt;&gt;"),0,SUMIFS($J:$J,$B:$B,$B238,$A:$A,"&gt;="&amp;COUNTIFS($K$1:L$1,"&lt;&gt;"))),0)</f>
        <v>9.4637223974763415E-2</v>
      </c>
      <c r="M238">
        <f>IFERROR($J238/IF($A238&lt;COUNTIFS($K$1:M$1,"&lt;&gt;"),0,SUMIFS($J:$J,$B:$B,$B238,$A:$A,"&gt;="&amp;COUNTIFS($K$1:M$1,"&lt;&gt;"))),0)</f>
        <v>0</v>
      </c>
      <c r="N238">
        <f>IFERROR($J238/IF($A238&lt;COUNTIFS($K$1:N$1,"&lt;&gt;"),0,SUMIFS($J:$J,$B:$B,$B238,$A:$A,"&gt;="&amp;COUNTIFS($K$1:N$1,"&lt;&gt;"))),0)</f>
        <v>0</v>
      </c>
      <c r="O238">
        <f>IFERROR($J238/IF($A238&lt;COUNTIFS($K$1:O$1,"&lt;&gt;"),0,SUMIFS($J:$J,$B:$B,$B238,$A:$A,"&gt;="&amp;COUNTIFS($K$1:O$1,"&lt;&gt;"))),0)</f>
        <v>0</v>
      </c>
      <c r="P238">
        <f>IFERROR($J238/IF($A238&lt;COUNTIFS($K$1:P$1,"&lt;&gt;"),0,SUMIFS($J:$J,$B:$B,$B238,$A:$A,"&gt;="&amp;COUNTIFS($K$1:P$1,"&lt;&gt;"))),0)</f>
        <v>0</v>
      </c>
      <c r="Q238">
        <f>IFERROR($J238/IF($A238&lt;COUNTIFS($K$1:Q$1,"&lt;&gt;"),0,SUMIFS($J:$J,$B:$B,$B238,$A:$A,"&gt;="&amp;COUNTIFS($K$1:Q$1,"&lt;&gt;"))),0)</f>
        <v>0</v>
      </c>
      <c r="R238">
        <f>IFERROR($J238/IF($A238&lt;COUNTIFS($K$1:R$1,"&lt;&gt;"),0,SUMIFS($J:$J,$B:$B,$B238,$A:$A,"&gt;="&amp;COUNTIFS($K$1:R$1,"&lt;&gt;"))),0)</f>
        <v>0</v>
      </c>
      <c r="S238">
        <f>IFERROR($J238/IF($A238&lt;COUNTIFS($K$1:S$1,"&lt;&gt;"),0,SUMIFS($J:$J,$B:$B,$B238,$A:$A,"&gt;="&amp;COUNTIFS($K$1:S$1,"&lt;&gt;"))),0)</f>
        <v>0</v>
      </c>
      <c r="T238">
        <f>IFERROR($J238/IF($A238&lt;COUNTIFS($K$1:T$1,"&lt;&gt;"),0,SUMIFS($J:$J,$B:$B,$B238,$A:$A,"&gt;="&amp;COUNTIFS($K$1:T$1,"&lt;&gt;"))),0)</f>
        <v>0</v>
      </c>
      <c r="U238">
        <f>IFERROR($J238/IF($A238&lt;COUNTIFS($K$1:U$1,"&lt;&gt;"),0,SUMIFS($J:$J,$B:$B,$B238,$A:$A,"&gt;="&amp;COUNTIFS($K$1:U$1,"&lt;&gt;"))),0)</f>
        <v>0</v>
      </c>
      <c r="V238">
        <f>IFERROR($J238/IF($A238&lt;COUNTIFS($K$1:V$1,"&lt;&gt;"),0,SUMIFS($J:$J,$B:$B,$B238,$A:$A,"&gt;="&amp;COUNTIFS($K$1:V$1,"&lt;&gt;"))),0)</f>
        <v>0</v>
      </c>
      <c r="W238">
        <f t="shared" si="90"/>
        <v>8.2191780821917804E-2</v>
      </c>
      <c r="X238">
        <f t="shared" si="70"/>
        <v>8.2191780821917804E-2</v>
      </c>
      <c r="Y238">
        <f t="shared" si="71"/>
        <v>8.2191780821917804E-2</v>
      </c>
      <c r="Z238">
        <f t="shared" si="72"/>
        <v>0</v>
      </c>
      <c r="AA238">
        <f t="shared" si="73"/>
        <v>0</v>
      </c>
      <c r="AB238">
        <f t="shared" si="74"/>
        <v>0</v>
      </c>
      <c r="AC238">
        <f t="shared" si="75"/>
        <v>0</v>
      </c>
      <c r="AD238">
        <f t="shared" si="76"/>
        <v>0</v>
      </c>
      <c r="AE238">
        <f t="shared" si="77"/>
        <v>0</v>
      </c>
      <c r="AF238">
        <f t="shared" si="78"/>
        <v>0</v>
      </c>
      <c r="AG238">
        <f t="shared" si="79"/>
        <v>0</v>
      </c>
      <c r="AH238">
        <f t="shared" si="80"/>
        <v>0</v>
      </c>
      <c r="AI238">
        <f t="shared" si="81"/>
        <v>0</v>
      </c>
      <c r="AJ238" s="2" t="str">
        <f t="shared" si="91"/>
        <v>244378</v>
      </c>
    </row>
    <row r="239" spans="1:36" x14ac:dyDescent="0.25">
      <c r="A239">
        <v>3</v>
      </c>
      <c r="B239" s="1">
        <v>44378</v>
      </c>
      <c r="C239" s="1">
        <f t="shared" si="82"/>
        <v>44470</v>
      </c>
      <c r="D239" s="1">
        <f t="shared" si="83"/>
        <v>44392</v>
      </c>
      <c r="E239" s="1">
        <f t="shared" si="84"/>
        <v>44470</v>
      </c>
      <c r="F239" s="1">
        <f t="shared" si="85"/>
        <v>44501</v>
      </c>
      <c r="G239" s="1">
        <f t="shared" si="86"/>
        <v>44757</v>
      </c>
      <c r="H239">
        <f t="shared" si="87"/>
        <v>365</v>
      </c>
      <c r="I239">
        <f t="shared" si="88"/>
        <v>31</v>
      </c>
      <c r="J239">
        <f t="shared" si="89"/>
        <v>8.4931506849315067E-2</v>
      </c>
      <c r="K239">
        <f>IFERROR($J239/IF($A239&lt;COUNTIFS($K$1:K$1,"&lt;&gt;"),0,SUMIFS($J:$J,$B:$B,$B239,$A:$A,"&gt;="&amp;COUNTIFS($K$1:K$1,"&lt;&gt;"))),0)</f>
        <v>8.9080459770114959E-2</v>
      </c>
      <c r="L239">
        <f>IFERROR($J239/IF($A239&lt;COUNTIFS($K$1:L$1,"&lt;&gt;"),0,SUMIFS($J:$J,$B:$B,$B239,$A:$A,"&gt;="&amp;COUNTIFS($K$1:L$1,"&lt;&gt;"))),0)</f>
        <v>9.7791798107255537E-2</v>
      </c>
      <c r="M239">
        <f>IFERROR($J239/IF($A239&lt;COUNTIFS($K$1:M$1,"&lt;&gt;"),0,SUMIFS($J:$J,$B:$B,$B239,$A:$A,"&gt;="&amp;COUNTIFS($K$1:M$1,"&lt;&gt;"))),0)</f>
        <v>0.10801393728222998</v>
      </c>
      <c r="N239">
        <f>IFERROR($J239/IF($A239&lt;COUNTIFS($K$1:N$1,"&lt;&gt;"),0,SUMIFS($J:$J,$B:$B,$B239,$A:$A,"&gt;="&amp;COUNTIFS($K$1:N$1,"&lt;&gt;"))),0)</f>
        <v>0</v>
      </c>
      <c r="O239">
        <f>IFERROR($J239/IF($A239&lt;COUNTIFS($K$1:O$1,"&lt;&gt;"),0,SUMIFS($J:$J,$B:$B,$B239,$A:$A,"&gt;="&amp;COUNTIFS($K$1:O$1,"&lt;&gt;"))),0)</f>
        <v>0</v>
      </c>
      <c r="P239">
        <f>IFERROR($J239/IF($A239&lt;COUNTIFS($K$1:P$1,"&lt;&gt;"),0,SUMIFS($J:$J,$B:$B,$B239,$A:$A,"&gt;="&amp;COUNTIFS($K$1:P$1,"&lt;&gt;"))),0)</f>
        <v>0</v>
      </c>
      <c r="Q239">
        <f>IFERROR($J239/IF($A239&lt;COUNTIFS($K$1:Q$1,"&lt;&gt;"),0,SUMIFS($J:$J,$B:$B,$B239,$A:$A,"&gt;="&amp;COUNTIFS($K$1:Q$1,"&lt;&gt;"))),0)</f>
        <v>0</v>
      </c>
      <c r="R239">
        <f>IFERROR($J239/IF($A239&lt;COUNTIFS($K$1:R$1,"&lt;&gt;"),0,SUMIFS($J:$J,$B:$B,$B239,$A:$A,"&gt;="&amp;COUNTIFS($K$1:R$1,"&lt;&gt;"))),0)</f>
        <v>0</v>
      </c>
      <c r="S239">
        <f>IFERROR($J239/IF($A239&lt;COUNTIFS($K$1:S$1,"&lt;&gt;"),0,SUMIFS($J:$J,$B:$B,$B239,$A:$A,"&gt;="&amp;COUNTIFS($K$1:S$1,"&lt;&gt;"))),0)</f>
        <v>0</v>
      </c>
      <c r="T239">
        <f>IFERROR($J239/IF($A239&lt;COUNTIFS($K$1:T$1,"&lt;&gt;"),0,SUMIFS($J:$J,$B:$B,$B239,$A:$A,"&gt;="&amp;COUNTIFS($K$1:T$1,"&lt;&gt;"))),0)</f>
        <v>0</v>
      </c>
      <c r="U239">
        <f>IFERROR($J239/IF($A239&lt;COUNTIFS($K$1:U$1,"&lt;&gt;"),0,SUMIFS($J:$J,$B:$B,$B239,$A:$A,"&gt;="&amp;COUNTIFS($K$1:U$1,"&lt;&gt;"))),0)</f>
        <v>0</v>
      </c>
      <c r="V239">
        <f>IFERROR($J239/IF($A239&lt;COUNTIFS($K$1:V$1,"&lt;&gt;"),0,SUMIFS($J:$J,$B:$B,$B239,$A:$A,"&gt;="&amp;COUNTIFS($K$1:V$1,"&lt;&gt;"))),0)</f>
        <v>0</v>
      </c>
      <c r="W239">
        <f t="shared" si="90"/>
        <v>8.4931506849315067E-2</v>
      </c>
      <c r="X239">
        <f t="shared" si="70"/>
        <v>8.4931506849315067E-2</v>
      </c>
      <c r="Y239">
        <f t="shared" si="71"/>
        <v>8.4931506849315067E-2</v>
      </c>
      <c r="Z239">
        <f t="shared" si="72"/>
        <v>8.4931506849315067E-2</v>
      </c>
      <c r="AA239">
        <f t="shared" si="73"/>
        <v>0</v>
      </c>
      <c r="AB239">
        <f t="shared" si="74"/>
        <v>0</v>
      </c>
      <c r="AC239">
        <f t="shared" si="75"/>
        <v>0</v>
      </c>
      <c r="AD239">
        <f t="shared" si="76"/>
        <v>0</v>
      </c>
      <c r="AE239">
        <f t="shared" si="77"/>
        <v>0</v>
      </c>
      <c r="AF239">
        <f t="shared" si="78"/>
        <v>0</v>
      </c>
      <c r="AG239">
        <f t="shared" si="79"/>
        <v>0</v>
      </c>
      <c r="AH239">
        <f t="shared" si="80"/>
        <v>0</v>
      </c>
      <c r="AI239">
        <f t="shared" si="81"/>
        <v>0</v>
      </c>
      <c r="AJ239" s="2" t="str">
        <f t="shared" si="91"/>
        <v>344378</v>
      </c>
    </row>
    <row r="240" spans="1:36" x14ac:dyDescent="0.25">
      <c r="A240">
        <v>4</v>
      </c>
      <c r="B240" s="1">
        <v>44378</v>
      </c>
      <c r="C240" s="1">
        <f t="shared" si="82"/>
        <v>44501</v>
      </c>
      <c r="D240" s="1">
        <f t="shared" si="83"/>
        <v>44392</v>
      </c>
      <c r="E240" s="1">
        <f t="shared" si="84"/>
        <v>44501</v>
      </c>
      <c r="F240" s="1">
        <f t="shared" si="85"/>
        <v>44531</v>
      </c>
      <c r="G240" s="1">
        <f t="shared" si="86"/>
        <v>44757</v>
      </c>
      <c r="H240">
        <f t="shared" si="87"/>
        <v>365</v>
      </c>
      <c r="I240">
        <f t="shared" si="88"/>
        <v>30</v>
      </c>
      <c r="J240">
        <f t="shared" si="89"/>
        <v>8.2191780821917804E-2</v>
      </c>
      <c r="K240">
        <f>IFERROR($J240/IF($A240&lt;COUNTIFS($K$1:K$1,"&lt;&gt;"),0,SUMIFS($J:$J,$B:$B,$B240,$A:$A,"&gt;="&amp;COUNTIFS($K$1:K$1,"&lt;&gt;"))),0)</f>
        <v>8.6206896551724144E-2</v>
      </c>
      <c r="L240">
        <f>IFERROR($J240/IF($A240&lt;COUNTIFS($K$1:L$1,"&lt;&gt;"),0,SUMIFS($J:$J,$B:$B,$B240,$A:$A,"&gt;="&amp;COUNTIFS($K$1:L$1,"&lt;&gt;"))),0)</f>
        <v>9.4637223974763415E-2</v>
      </c>
      <c r="M240">
        <f>IFERROR($J240/IF($A240&lt;COUNTIFS($K$1:M$1,"&lt;&gt;"),0,SUMIFS($J:$J,$B:$B,$B240,$A:$A,"&gt;="&amp;COUNTIFS($K$1:M$1,"&lt;&gt;"))),0)</f>
        <v>0.10452961672473869</v>
      </c>
      <c r="N240">
        <f>IFERROR($J240/IF($A240&lt;COUNTIFS($K$1:N$1,"&lt;&gt;"),0,SUMIFS($J:$J,$B:$B,$B240,$A:$A,"&gt;="&amp;COUNTIFS($K$1:N$1,"&lt;&gt;"))),0)</f>
        <v>0.11718750000000001</v>
      </c>
      <c r="O240">
        <f>IFERROR($J240/IF($A240&lt;COUNTIFS($K$1:O$1,"&lt;&gt;"),0,SUMIFS($J:$J,$B:$B,$B240,$A:$A,"&gt;="&amp;COUNTIFS($K$1:O$1,"&lt;&gt;"))),0)</f>
        <v>0</v>
      </c>
      <c r="P240">
        <f>IFERROR($J240/IF($A240&lt;COUNTIFS($K$1:P$1,"&lt;&gt;"),0,SUMIFS($J:$J,$B:$B,$B240,$A:$A,"&gt;="&amp;COUNTIFS($K$1:P$1,"&lt;&gt;"))),0)</f>
        <v>0</v>
      </c>
      <c r="Q240">
        <f>IFERROR($J240/IF($A240&lt;COUNTIFS($K$1:Q$1,"&lt;&gt;"),0,SUMIFS($J:$J,$B:$B,$B240,$A:$A,"&gt;="&amp;COUNTIFS($K$1:Q$1,"&lt;&gt;"))),0)</f>
        <v>0</v>
      </c>
      <c r="R240">
        <f>IFERROR($J240/IF($A240&lt;COUNTIFS($K$1:R$1,"&lt;&gt;"),0,SUMIFS($J:$J,$B:$B,$B240,$A:$A,"&gt;="&amp;COUNTIFS($K$1:R$1,"&lt;&gt;"))),0)</f>
        <v>0</v>
      </c>
      <c r="S240">
        <f>IFERROR($J240/IF($A240&lt;COUNTIFS($K$1:S$1,"&lt;&gt;"),0,SUMIFS($J:$J,$B:$B,$B240,$A:$A,"&gt;="&amp;COUNTIFS($K$1:S$1,"&lt;&gt;"))),0)</f>
        <v>0</v>
      </c>
      <c r="T240">
        <f>IFERROR($J240/IF($A240&lt;COUNTIFS($K$1:T$1,"&lt;&gt;"),0,SUMIFS($J:$J,$B:$B,$B240,$A:$A,"&gt;="&amp;COUNTIFS($K$1:T$1,"&lt;&gt;"))),0)</f>
        <v>0</v>
      </c>
      <c r="U240">
        <f>IFERROR($J240/IF($A240&lt;COUNTIFS($K$1:U$1,"&lt;&gt;"),0,SUMIFS($J:$J,$B:$B,$B240,$A:$A,"&gt;="&amp;COUNTIFS($K$1:U$1,"&lt;&gt;"))),0)</f>
        <v>0</v>
      </c>
      <c r="V240">
        <f>IFERROR($J240/IF($A240&lt;COUNTIFS($K$1:V$1,"&lt;&gt;"),0,SUMIFS($J:$J,$B:$B,$B240,$A:$A,"&gt;="&amp;COUNTIFS($K$1:V$1,"&lt;&gt;"))),0)</f>
        <v>0</v>
      </c>
      <c r="W240">
        <f t="shared" si="90"/>
        <v>8.2191780821917804E-2</v>
      </c>
      <c r="X240">
        <f t="shared" si="70"/>
        <v>8.2191780821917804E-2</v>
      </c>
      <c r="Y240">
        <f t="shared" si="71"/>
        <v>8.2191780821917804E-2</v>
      </c>
      <c r="Z240">
        <f t="shared" si="72"/>
        <v>8.2191780821917804E-2</v>
      </c>
      <c r="AA240">
        <f t="shared" si="73"/>
        <v>8.2191780821917804E-2</v>
      </c>
      <c r="AB240">
        <f t="shared" si="74"/>
        <v>0</v>
      </c>
      <c r="AC240">
        <f t="shared" si="75"/>
        <v>0</v>
      </c>
      <c r="AD240">
        <f t="shared" si="76"/>
        <v>0</v>
      </c>
      <c r="AE240">
        <f t="shared" si="77"/>
        <v>0</v>
      </c>
      <c r="AF240">
        <f t="shared" si="78"/>
        <v>0</v>
      </c>
      <c r="AG240">
        <f t="shared" si="79"/>
        <v>0</v>
      </c>
      <c r="AH240">
        <f t="shared" si="80"/>
        <v>0</v>
      </c>
      <c r="AI240">
        <f t="shared" si="81"/>
        <v>0</v>
      </c>
      <c r="AJ240" s="2" t="str">
        <f t="shared" si="91"/>
        <v>444378</v>
      </c>
    </row>
    <row r="241" spans="1:36" x14ac:dyDescent="0.25">
      <c r="A241">
        <v>5</v>
      </c>
      <c r="B241" s="1">
        <v>44378</v>
      </c>
      <c r="C241" s="1">
        <f t="shared" si="82"/>
        <v>44531</v>
      </c>
      <c r="D241" s="1">
        <f t="shared" si="83"/>
        <v>44392</v>
      </c>
      <c r="E241" s="1">
        <f t="shared" si="84"/>
        <v>44531</v>
      </c>
      <c r="F241" s="1">
        <f t="shared" si="85"/>
        <v>44562</v>
      </c>
      <c r="G241" s="1">
        <f t="shared" si="86"/>
        <v>44757</v>
      </c>
      <c r="H241">
        <f t="shared" si="87"/>
        <v>365</v>
      </c>
      <c r="I241">
        <f t="shared" si="88"/>
        <v>31</v>
      </c>
      <c r="J241">
        <f t="shared" si="89"/>
        <v>8.4931506849315067E-2</v>
      </c>
      <c r="K241">
        <f>IFERROR($J241/IF($A241&lt;COUNTIFS($K$1:K$1,"&lt;&gt;"),0,SUMIFS($J:$J,$B:$B,$B241,$A:$A,"&gt;="&amp;COUNTIFS($K$1:K$1,"&lt;&gt;"))),0)</f>
        <v>8.9080459770114959E-2</v>
      </c>
      <c r="L241">
        <f>IFERROR($J241/IF($A241&lt;COUNTIFS($K$1:L$1,"&lt;&gt;"),0,SUMIFS($J:$J,$B:$B,$B241,$A:$A,"&gt;="&amp;COUNTIFS($K$1:L$1,"&lt;&gt;"))),0)</f>
        <v>9.7791798107255537E-2</v>
      </c>
      <c r="M241">
        <f>IFERROR($J241/IF($A241&lt;COUNTIFS($K$1:M$1,"&lt;&gt;"),0,SUMIFS($J:$J,$B:$B,$B241,$A:$A,"&gt;="&amp;COUNTIFS($K$1:M$1,"&lt;&gt;"))),0)</f>
        <v>0.10801393728222998</v>
      </c>
      <c r="N241">
        <f>IFERROR($J241/IF($A241&lt;COUNTIFS($K$1:N$1,"&lt;&gt;"),0,SUMIFS($J:$J,$B:$B,$B241,$A:$A,"&gt;="&amp;COUNTIFS($K$1:N$1,"&lt;&gt;"))),0)</f>
        <v>0.12109375000000001</v>
      </c>
      <c r="O241">
        <f>IFERROR($J241/IF($A241&lt;COUNTIFS($K$1:O$1,"&lt;&gt;"),0,SUMIFS($J:$J,$B:$B,$B241,$A:$A,"&gt;="&amp;COUNTIFS($K$1:O$1,"&lt;&gt;"))),0)</f>
        <v>0.13716814159292037</v>
      </c>
      <c r="P241">
        <f>IFERROR($J241/IF($A241&lt;COUNTIFS($K$1:P$1,"&lt;&gt;"),0,SUMIFS($J:$J,$B:$B,$B241,$A:$A,"&gt;="&amp;COUNTIFS($K$1:P$1,"&lt;&gt;"))),0)</f>
        <v>0</v>
      </c>
      <c r="Q241">
        <f>IFERROR($J241/IF($A241&lt;COUNTIFS($K$1:Q$1,"&lt;&gt;"),0,SUMIFS($J:$J,$B:$B,$B241,$A:$A,"&gt;="&amp;COUNTIFS($K$1:Q$1,"&lt;&gt;"))),0)</f>
        <v>0</v>
      </c>
      <c r="R241">
        <f>IFERROR($J241/IF($A241&lt;COUNTIFS($K$1:R$1,"&lt;&gt;"),0,SUMIFS($J:$J,$B:$B,$B241,$A:$A,"&gt;="&amp;COUNTIFS($K$1:R$1,"&lt;&gt;"))),0)</f>
        <v>0</v>
      </c>
      <c r="S241">
        <f>IFERROR($J241/IF($A241&lt;COUNTIFS($K$1:S$1,"&lt;&gt;"),0,SUMIFS($J:$J,$B:$B,$B241,$A:$A,"&gt;="&amp;COUNTIFS($K$1:S$1,"&lt;&gt;"))),0)</f>
        <v>0</v>
      </c>
      <c r="T241">
        <f>IFERROR($J241/IF($A241&lt;COUNTIFS($K$1:T$1,"&lt;&gt;"),0,SUMIFS($J:$J,$B:$B,$B241,$A:$A,"&gt;="&amp;COUNTIFS($K$1:T$1,"&lt;&gt;"))),0)</f>
        <v>0</v>
      </c>
      <c r="U241">
        <f>IFERROR($J241/IF($A241&lt;COUNTIFS($K$1:U$1,"&lt;&gt;"),0,SUMIFS($J:$J,$B:$B,$B241,$A:$A,"&gt;="&amp;COUNTIFS($K$1:U$1,"&lt;&gt;"))),0)</f>
        <v>0</v>
      </c>
      <c r="V241">
        <f>IFERROR($J241/IF($A241&lt;COUNTIFS($K$1:V$1,"&lt;&gt;"),0,SUMIFS($J:$J,$B:$B,$B241,$A:$A,"&gt;="&amp;COUNTIFS($K$1:V$1,"&lt;&gt;"))),0)</f>
        <v>0</v>
      </c>
      <c r="W241">
        <f t="shared" si="90"/>
        <v>8.4931506849315067E-2</v>
      </c>
      <c r="X241">
        <f t="shared" si="70"/>
        <v>8.4931506849315067E-2</v>
      </c>
      <c r="Y241">
        <f t="shared" si="71"/>
        <v>8.4931506849315067E-2</v>
      </c>
      <c r="Z241">
        <f t="shared" si="72"/>
        <v>8.4931506849315067E-2</v>
      </c>
      <c r="AA241">
        <f t="shared" si="73"/>
        <v>8.4931506849315067E-2</v>
      </c>
      <c r="AB241">
        <f t="shared" si="74"/>
        <v>8.4931506849315067E-2</v>
      </c>
      <c r="AC241">
        <f t="shared" si="75"/>
        <v>0</v>
      </c>
      <c r="AD241">
        <f t="shared" si="76"/>
        <v>0</v>
      </c>
      <c r="AE241">
        <f t="shared" si="77"/>
        <v>0</v>
      </c>
      <c r="AF241">
        <f t="shared" si="78"/>
        <v>0</v>
      </c>
      <c r="AG241">
        <f t="shared" si="79"/>
        <v>0</v>
      </c>
      <c r="AH241">
        <f t="shared" si="80"/>
        <v>0</v>
      </c>
      <c r="AI241">
        <f t="shared" si="81"/>
        <v>0</v>
      </c>
      <c r="AJ241" s="2" t="str">
        <f t="shared" si="91"/>
        <v>544378</v>
      </c>
    </row>
    <row r="242" spans="1:36" x14ac:dyDescent="0.25">
      <c r="A242">
        <v>6</v>
      </c>
      <c r="B242" s="1">
        <v>44378</v>
      </c>
      <c r="C242" s="1">
        <f t="shared" si="82"/>
        <v>44562</v>
      </c>
      <c r="D242" s="1">
        <f t="shared" si="83"/>
        <v>44392</v>
      </c>
      <c r="E242" s="1">
        <f t="shared" si="84"/>
        <v>44562</v>
      </c>
      <c r="F242" s="1">
        <f t="shared" si="85"/>
        <v>44593</v>
      </c>
      <c r="G242" s="1">
        <f t="shared" si="86"/>
        <v>44757</v>
      </c>
      <c r="H242">
        <f t="shared" si="87"/>
        <v>365</v>
      </c>
      <c r="I242">
        <f t="shared" si="88"/>
        <v>31</v>
      </c>
      <c r="J242">
        <f t="shared" si="89"/>
        <v>8.4931506849315067E-2</v>
      </c>
      <c r="K242">
        <f>IFERROR($J242/IF($A242&lt;COUNTIFS($K$1:K$1,"&lt;&gt;"),0,SUMIFS($J:$J,$B:$B,$B242,$A:$A,"&gt;="&amp;COUNTIFS($K$1:K$1,"&lt;&gt;"))),0)</f>
        <v>8.9080459770114959E-2</v>
      </c>
      <c r="L242">
        <f>IFERROR($J242/IF($A242&lt;COUNTIFS($K$1:L$1,"&lt;&gt;"),0,SUMIFS($J:$J,$B:$B,$B242,$A:$A,"&gt;="&amp;COUNTIFS($K$1:L$1,"&lt;&gt;"))),0)</f>
        <v>9.7791798107255537E-2</v>
      </c>
      <c r="M242">
        <f>IFERROR($J242/IF($A242&lt;COUNTIFS($K$1:M$1,"&lt;&gt;"),0,SUMIFS($J:$J,$B:$B,$B242,$A:$A,"&gt;="&amp;COUNTIFS($K$1:M$1,"&lt;&gt;"))),0)</f>
        <v>0.10801393728222998</v>
      </c>
      <c r="N242">
        <f>IFERROR($J242/IF($A242&lt;COUNTIFS($K$1:N$1,"&lt;&gt;"),0,SUMIFS($J:$J,$B:$B,$B242,$A:$A,"&gt;="&amp;COUNTIFS($K$1:N$1,"&lt;&gt;"))),0)</f>
        <v>0.12109375000000001</v>
      </c>
      <c r="O242">
        <f>IFERROR($J242/IF($A242&lt;COUNTIFS($K$1:O$1,"&lt;&gt;"),0,SUMIFS($J:$J,$B:$B,$B242,$A:$A,"&gt;="&amp;COUNTIFS($K$1:O$1,"&lt;&gt;"))),0)</f>
        <v>0.13716814159292037</v>
      </c>
      <c r="P242">
        <f>IFERROR($J242/IF($A242&lt;COUNTIFS($K$1:P$1,"&lt;&gt;"),0,SUMIFS($J:$J,$B:$B,$B242,$A:$A,"&gt;="&amp;COUNTIFS($K$1:P$1,"&lt;&gt;"))),0)</f>
        <v>0.15897435897435899</v>
      </c>
      <c r="Q242">
        <f>IFERROR($J242/IF($A242&lt;COUNTIFS($K$1:Q$1,"&lt;&gt;"),0,SUMIFS($J:$J,$B:$B,$B242,$A:$A,"&gt;="&amp;COUNTIFS($K$1:Q$1,"&lt;&gt;"))),0)</f>
        <v>0</v>
      </c>
      <c r="R242">
        <f>IFERROR($J242/IF($A242&lt;COUNTIFS($K$1:R$1,"&lt;&gt;"),0,SUMIFS($J:$J,$B:$B,$B242,$A:$A,"&gt;="&amp;COUNTIFS($K$1:R$1,"&lt;&gt;"))),0)</f>
        <v>0</v>
      </c>
      <c r="S242">
        <f>IFERROR($J242/IF($A242&lt;COUNTIFS($K$1:S$1,"&lt;&gt;"),0,SUMIFS($J:$J,$B:$B,$B242,$A:$A,"&gt;="&amp;COUNTIFS($K$1:S$1,"&lt;&gt;"))),0)</f>
        <v>0</v>
      </c>
      <c r="T242">
        <f>IFERROR($J242/IF($A242&lt;COUNTIFS($K$1:T$1,"&lt;&gt;"),0,SUMIFS($J:$J,$B:$B,$B242,$A:$A,"&gt;="&amp;COUNTIFS($K$1:T$1,"&lt;&gt;"))),0)</f>
        <v>0</v>
      </c>
      <c r="U242">
        <f>IFERROR($J242/IF($A242&lt;COUNTIFS($K$1:U$1,"&lt;&gt;"),0,SUMIFS($J:$J,$B:$B,$B242,$A:$A,"&gt;="&amp;COUNTIFS($K$1:U$1,"&lt;&gt;"))),0)</f>
        <v>0</v>
      </c>
      <c r="V242">
        <f>IFERROR($J242/IF($A242&lt;COUNTIFS($K$1:V$1,"&lt;&gt;"),0,SUMIFS($J:$J,$B:$B,$B242,$A:$A,"&gt;="&amp;COUNTIFS($K$1:V$1,"&lt;&gt;"))),0)</f>
        <v>0</v>
      </c>
      <c r="W242">
        <f t="shared" si="90"/>
        <v>8.4931506849315067E-2</v>
      </c>
      <c r="X242">
        <f t="shared" si="70"/>
        <v>8.4931506849315067E-2</v>
      </c>
      <c r="Y242">
        <f t="shared" si="71"/>
        <v>8.4931506849315067E-2</v>
      </c>
      <c r="Z242">
        <f t="shared" si="72"/>
        <v>8.4931506849315067E-2</v>
      </c>
      <c r="AA242">
        <f t="shared" si="73"/>
        <v>8.4931506849315067E-2</v>
      </c>
      <c r="AB242">
        <f t="shared" si="74"/>
        <v>8.4931506849315067E-2</v>
      </c>
      <c r="AC242">
        <f t="shared" si="75"/>
        <v>8.4931506849315067E-2</v>
      </c>
      <c r="AD242">
        <f t="shared" si="76"/>
        <v>0</v>
      </c>
      <c r="AE242">
        <f t="shared" si="77"/>
        <v>0</v>
      </c>
      <c r="AF242">
        <f t="shared" si="78"/>
        <v>0</v>
      </c>
      <c r="AG242">
        <f t="shared" si="79"/>
        <v>0</v>
      </c>
      <c r="AH242">
        <f t="shared" si="80"/>
        <v>0</v>
      </c>
      <c r="AI242">
        <f t="shared" si="81"/>
        <v>0</v>
      </c>
      <c r="AJ242" s="2" t="str">
        <f t="shared" si="91"/>
        <v>644378</v>
      </c>
    </row>
    <row r="243" spans="1:36" x14ac:dyDescent="0.25">
      <c r="A243">
        <v>7</v>
      </c>
      <c r="B243" s="1">
        <v>44378</v>
      </c>
      <c r="C243" s="1">
        <f t="shared" si="82"/>
        <v>44593</v>
      </c>
      <c r="D243" s="1">
        <f t="shared" si="83"/>
        <v>44392</v>
      </c>
      <c r="E243" s="1">
        <f t="shared" si="84"/>
        <v>44593</v>
      </c>
      <c r="F243" s="1">
        <f t="shared" si="85"/>
        <v>44621</v>
      </c>
      <c r="G243" s="1">
        <f t="shared" si="86"/>
        <v>44757</v>
      </c>
      <c r="H243">
        <f t="shared" si="87"/>
        <v>365</v>
      </c>
      <c r="I243">
        <f t="shared" si="88"/>
        <v>28</v>
      </c>
      <c r="J243">
        <f t="shared" si="89"/>
        <v>7.6712328767123292E-2</v>
      </c>
      <c r="K243">
        <f>IFERROR($J243/IF($A243&lt;COUNTIFS($K$1:K$1,"&lt;&gt;"),0,SUMIFS($J:$J,$B:$B,$B243,$A:$A,"&gt;="&amp;COUNTIFS($K$1:K$1,"&lt;&gt;"))),0)</f>
        <v>8.0459770114942541E-2</v>
      </c>
      <c r="L243">
        <f>IFERROR($J243/IF($A243&lt;COUNTIFS($K$1:L$1,"&lt;&gt;"),0,SUMIFS($J:$J,$B:$B,$B243,$A:$A,"&gt;="&amp;COUNTIFS($K$1:L$1,"&lt;&gt;"))),0)</f>
        <v>8.83280757097792E-2</v>
      </c>
      <c r="M243">
        <f>IFERROR($J243/IF($A243&lt;COUNTIFS($K$1:M$1,"&lt;&gt;"),0,SUMIFS($J:$J,$B:$B,$B243,$A:$A,"&gt;="&amp;COUNTIFS($K$1:M$1,"&lt;&gt;"))),0)</f>
        <v>9.7560975609756115E-2</v>
      </c>
      <c r="N243">
        <f>IFERROR($J243/IF($A243&lt;COUNTIFS($K$1:N$1,"&lt;&gt;"),0,SUMIFS($J:$J,$B:$B,$B243,$A:$A,"&gt;="&amp;COUNTIFS($K$1:N$1,"&lt;&gt;"))),0)</f>
        <v>0.10937500000000003</v>
      </c>
      <c r="O243">
        <f>IFERROR($J243/IF($A243&lt;COUNTIFS($K$1:O$1,"&lt;&gt;"),0,SUMIFS($J:$J,$B:$B,$B243,$A:$A,"&gt;="&amp;COUNTIFS($K$1:O$1,"&lt;&gt;"))),0)</f>
        <v>0.12389380530973454</v>
      </c>
      <c r="P243">
        <f>IFERROR($J243/IF($A243&lt;COUNTIFS($K$1:P$1,"&lt;&gt;"),0,SUMIFS($J:$J,$B:$B,$B243,$A:$A,"&gt;="&amp;COUNTIFS($K$1:P$1,"&lt;&gt;"))),0)</f>
        <v>0.14358974358974361</v>
      </c>
      <c r="Q243">
        <f>IFERROR($J243/IF($A243&lt;COUNTIFS($K$1:Q$1,"&lt;&gt;"),0,SUMIFS($J:$J,$B:$B,$B243,$A:$A,"&gt;="&amp;COUNTIFS($K$1:Q$1,"&lt;&gt;"))),0)</f>
        <v>0.17073170731707318</v>
      </c>
      <c r="R243">
        <f>IFERROR($J243/IF($A243&lt;COUNTIFS($K$1:R$1,"&lt;&gt;"),0,SUMIFS($J:$J,$B:$B,$B243,$A:$A,"&gt;="&amp;COUNTIFS($K$1:R$1,"&lt;&gt;"))),0)</f>
        <v>0</v>
      </c>
      <c r="S243">
        <f>IFERROR($J243/IF($A243&lt;COUNTIFS($K$1:S$1,"&lt;&gt;"),0,SUMIFS($J:$J,$B:$B,$B243,$A:$A,"&gt;="&amp;COUNTIFS($K$1:S$1,"&lt;&gt;"))),0)</f>
        <v>0</v>
      </c>
      <c r="T243">
        <f>IFERROR($J243/IF($A243&lt;COUNTIFS($K$1:T$1,"&lt;&gt;"),0,SUMIFS($J:$J,$B:$B,$B243,$A:$A,"&gt;="&amp;COUNTIFS($K$1:T$1,"&lt;&gt;"))),0)</f>
        <v>0</v>
      </c>
      <c r="U243">
        <f>IFERROR($J243/IF($A243&lt;COUNTIFS($K$1:U$1,"&lt;&gt;"),0,SUMIFS($J:$J,$B:$B,$B243,$A:$A,"&gt;="&amp;COUNTIFS($K$1:U$1,"&lt;&gt;"))),0)</f>
        <v>0</v>
      </c>
      <c r="V243">
        <f>IFERROR($J243/IF($A243&lt;COUNTIFS($K$1:V$1,"&lt;&gt;"),0,SUMIFS($J:$J,$B:$B,$B243,$A:$A,"&gt;="&amp;COUNTIFS($K$1:V$1,"&lt;&gt;"))),0)</f>
        <v>0</v>
      </c>
      <c r="W243">
        <f t="shared" si="90"/>
        <v>7.6712328767123292E-2</v>
      </c>
      <c r="X243">
        <f t="shared" si="70"/>
        <v>7.6712328767123292E-2</v>
      </c>
      <c r="Y243">
        <f t="shared" si="71"/>
        <v>7.6712328767123292E-2</v>
      </c>
      <c r="Z243">
        <f t="shared" si="72"/>
        <v>7.6712328767123292E-2</v>
      </c>
      <c r="AA243">
        <f t="shared" si="73"/>
        <v>7.6712328767123292E-2</v>
      </c>
      <c r="AB243">
        <f t="shared" si="74"/>
        <v>7.6712328767123292E-2</v>
      </c>
      <c r="AC243">
        <f t="shared" si="75"/>
        <v>7.6712328767123292E-2</v>
      </c>
      <c r="AD243">
        <f t="shared" si="76"/>
        <v>7.6712328767123292E-2</v>
      </c>
      <c r="AE243">
        <f t="shared" si="77"/>
        <v>0</v>
      </c>
      <c r="AF243">
        <f t="shared" si="78"/>
        <v>0</v>
      </c>
      <c r="AG243">
        <f t="shared" si="79"/>
        <v>0</v>
      </c>
      <c r="AH243">
        <f t="shared" si="80"/>
        <v>0</v>
      </c>
      <c r="AI243">
        <f t="shared" si="81"/>
        <v>0</v>
      </c>
      <c r="AJ243" s="2" t="str">
        <f t="shared" si="91"/>
        <v>744378</v>
      </c>
    </row>
    <row r="244" spans="1:36" x14ac:dyDescent="0.25">
      <c r="A244">
        <v>8</v>
      </c>
      <c r="B244" s="1">
        <v>44378</v>
      </c>
      <c r="C244" s="1">
        <f t="shared" si="82"/>
        <v>44621</v>
      </c>
      <c r="D244" s="1">
        <f t="shared" si="83"/>
        <v>44392</v>
      </c>
      <c r="E244" s="1">
        <f t="shared" si="84"/>
        <v>44621</v>
      </c>
      <c r="F244" s="1">
        <f t="shared" si="85"/>
        <v>44652</v>
      </c>
      <c r="G244" s="1">
        <f t="shared" si="86"/>
        <v>44757</v>
      </c>
      <c r="H244">
        <f t="shared" si="87"/>
        <v>365</v>
      </c>
      <c r="I244">
        <f t="shared" si="88"/>
        <v>31</v>
      </c>
      <c r="J244">
        <f t="shared" si="89"/>
        <v>8.4931506849315067E-2</v>
      </c>
      <c r="K244">
        <f>IFERROR($J244/IF($A244&lt;COUNTIFS($K$1:K$1,"&lt;&gt;"),0,SUMIFS($J:$J,$B:$B,$B244,$A:$A,"&gt;="&amp;COUNTIFS($K$1:K$1,"&lt;&gt;"))),0)</f>
        <v>8.9080459770114959E-2</v>
      </c>
      <c r="L244">
        <f>IFERROR($J244/IF($A244&lt;COUNTIFS($K$1:L$1,"&lt;&gt;"),0,SUMIFS($J:$J,$B:$B,$B244,$A:$A,"&gt;="&amp;COUNTIFS($K$1:L$1,"&lt;&gt;"))),0)</f>
        <v>9.7791798107255537E-2</v>
      </c>
      <c r="M244">
        <f>IFERROR($J244/IF($A244&lt;COUNTIFS($K$1:M$1,"&lt;&gt;"),0,SUMIFS($J:$J,$B:$B,$B244,$A:$A,"&gt;="&amp;COUNTIFS($K$1:M$1,"&lt;&gt;"))),0)</f>
        <v>0.10801393728222998</v>
      </c>
      <c r="N244">
        <f>IFERROR($J244/IF($A244&lt;COUNTIFS($K$1:N$1,"&lt;&gt;"),0,SUMIFS($J:$J,$B:$B,$B244,$A:$A,"&gt;="&amp;COUNTIFS($K$1:N$1,"&lt;&gt;"))),0)</f>
        <v>0.12109375000000001</v>
      </c>
      <c r="O244">
        <f>IFERROR($J244/IF($A244&lt;COUNTIFS($K$1:O$1,"&lt;&gt;"),0,SUMIFS($J:$J,$B:$B,$B244,$A:$A,"&gt;="&amp;COUNTIFS($K$1:O$1,"&lt;&gt;"))),0)</f>
        <v>0.13716814159292037</v>
      </c>
      <c r="P244">
        <f>IFERROR($J244/IF($A244&lt;COUNTIFS($K$1:P$1,"&lt;&gt;"),0,SUMIFS($J:$J,$B:$B,$B244,$A:$A,"&gt;="&amp;COUNTIFS($K$1:P$1,"&lt;&gt;"))),0)</f>
        <v>0.15897435897435899</v>
      </c>
      <c r="Q244">
        <f>IFERROR($J244/IF($A244&lt;COUNTIFS($K$1:Q$1,"&lt;&gt;"),0,SUMIFS($J:$J,$B:$B,$B244,$A:$A,"&gt;="&amp;COUNTIFS($K$1:Q$1,"&lt;&gt;"))),0)</f>
        <v>0.18902439024390244</v>
      </c>
      <c r="R244">
        <f>IFERROR($J244/IF($A244&lt;COUNTIFS($K$1:R$1,"&lt;&gt;"),0,SUMIFS($J:$J,$B:$B,$B244,$A:$A,"&gt;="&amp;COUNTIFS($K$1:R$1,"&lt;&gt;"))),0)</f>
        <v>0.22794117647058826</v>
      </c>
      <c r="S244">
        <f>IFERROR($J244/IF($A244&lt;COUNTIFS($K$1:S$1,"&lt;&gt;"),0,SUMIFS($J:$J,$B:$B,$B244,$A:$A,"&gt;="&amp;COUNTIFS($K$1:S$1,"&lt;&gt;"))),0)</f>
        <v>0</v>
      </c>
      <c r="T244">
        <f>IFERROR($J244/IF($A244&lt;COUNTIFS($K$1:T$1,"&lt;&gt;"),0,SUMIFS($J:$J,$B:$B,$B244,$A:$A,"&gt;="&amp;COUNTIFS($K$1:T$1,"&lt;&gt;"))),0)</f>
        <v>0</v>
      </c>
      <c r="U244">
        <f>IFERROR($J244/IF($A244&lt;COUNTIFS($K$1:U$1,"&lt;&gt;"),0,SUMIFS($J:$J,$B:$B,$B244,$A:$A,"&gt;="&amp;COUNTIFS($K$1:U$1,"&lt;&gt;"))),0)</f>
        <v>0</v>
      </c>
      <c r="V244">
        <f>IFERROR($J244/IF($A244&lt;COUNTIFS($K$1:V$1,"&lt;&gt;"),0,SUMIFS($J:$J,$B:$B,$B244,$A:$A,"&gt;="&amp;COUNTIFS($K$1:V$1,"&lt;&gt;"))),0)</f>
        <v>0</v>
      </c>
      <c r="W244">
        <f t="shared" si="90"/>
        <v>8.4931506849315067E-2</v>
      </c>
      <c r="X244">
        <f t="shared" si="70"/>
        <v>8.4931506849315067E-2</v>
      </c>
      <c r="Y244">
        <f t="shared" si="71"/>
        <v>8.4931506849315067E-2</v>
      </c>
      <c r="Z244">
        <f t="shared" si="72"/>
        <v>8.4931506849315067E-2</v>
      </c>
      <c r="AA244">
        <f t="shared" si="73"/>
        <v>8.4931506849315067E-2</v>
      </c>
      <c r="AB244">
        <f t="shared" si="74"/>
        <v>8.4931506849315067E-2</v>
      </c>
      <c r="AC244">
        <f t="shared" si="75"/>
        <v>8.4931506849315067E-2</v>
      </c>
      <c r="AD244">
        <f t="shared" si="76"/>
        <v>8.4931506849315067E-2</v>
      </c>
      <c r="AE244">
        <f t="shared" si="77"/>
        <v>8.4931506849315067E-2</v>
      </c>
      <c r="AF244">
        <f t="shared" si="78"/>
        <v>0</v>
      </c>
      <c r="AG244">
        <f t="shared" si="79"/>
        <v>0</v>
      </c>
      <c r="AH244">
        <f t="shared" si="80"/>
        <v>0</v>
      </c>
      <c r="AI244">
        <f t="shared" si="81"/>
        <v>0</v>
      </c>
      <c r="AJ244" s="2" t="str">
        <f t="shared" si="91"/>
        <v>844378</v>
      </c>
    </row>
    <row r="245" spans="1:36" x14ac:dyDescent="0.25">
      <c r="A245">
        <v>9</v>
      </c>
      <c r="B245" s="1">
        <v>44378</v>
      </c>
      <c r="C245" s="1">
        <f t="shared" si="82"/>
        <v>44652</v>
      </c>
      <c r="D245" s="1">
        <f t="shared" si="83"/>
        <v>44392</v>
      </c>
      <c r="E245" s="1">
        <f t="shared" si="84"/>
        <v>44652</v>
      </c>
      <c r="F245" s="1">
        <f t="shared" si="85"/>
        <v>44682</v>
      </c>
      <c r="G245" s="1">
        <f t="shared" si="86"/>
        <v>44757</v>
      </c>
      <c r="H245">
        <f t="shared" si="87"/>
        <v>365</v>
      </c>
      <c r="I245">
        <f t="shared" si="88"/>
        <v>30</v>
      </c>
      <c r="J245">
        <f t="shared" si="89"/>
        <v>8.2191780821917804E-2</v>
      </c>
      <c r="K245">
        <f>IFERROR($J245/IF($A245&lt;COUNTIFS($K$1:K$1,"&lt;&gt;"),0,SUMIFS($J:$J,$B:$B,$B245,$A:$A,"&gt;="&amp;COUNTIFS($K$1:K$1,"&lt;&gt;"))),0)</f>
        <v>8.6206896551724144E-2</v>
      </c>
      <c r="L245">
        <f>IFERROR($J245/IF($A245&lt;COUNTIFS($K$1:L$1,"&lt;&gt;"),0,SUMIFS($J:$J,$B:$B,$B245,$A:$A,"&gt;="&amp;COUNTIFS($K$1:L$1,"&lt;&gt;"))),0)</f>
        <v>9.4637223974763415E-2</v>
      </c>
      <c r="M245">
        <f>IFERROR($J245/IF($A245&lt;COUNTIFS($K$1:M$1,"&lt;&gt;"),0,SUMIFS($J:$J,$B:$B,$B245,$A:$A,"&gt;="&amp;COUNTIFS($K$1:M$1,"&lt;&gt;"))),0)</f>
        <v>0.10452961672473869</v>
      </c>
      <c r="N245">
        <f>IFERROR($J245/IF($A245&lt;COUNTIFS($K$1:N$1,"&lt;&gt;"),0,SUMIFS($J:$J,$B:$B,$B245,$A:$A,"&gt;="&amp;COUNTIFS($K$1:N$1,"&lt;&gt;"))),0)</f>
        <v>0.11718750000000001</v>
      </c>
      <c r="O245">
        <f>IFERROR($J245/IF($A245&lt;COUNTIFS($K$1:O$1,"&lt;&gt;"),0,SUMIFS($J:$J,$B:$B,$B245,$A:$A,"&gt;="&amp;COUNTIFS($K$1:O$1,"&lt;&gt;"))),0)</f>
        <v>0.13274336283185842</v>
      </c>
      <c r="P245">
        <f>IFERROR($J245/IF($A245&lt;COUNTIFS($K$1:P$1,"&lt;&gt;"),0,SUMIFS($J:$J,$B:$B,$B245,$A:$A,"&gt;="&amp;COUNTIFS($K$1:P$1,"&lt;&gt;"))),0)</f>
        <v>0.15384615384615385</v>
      </c>
      <c r="Q245">
        <f>IFERROR($J245/IF($A245&lt;COUNTIFS($K$1:Q$1,"&lt;&gt;"),0,SUMIFS($J:$J,$B:$B,$B245,$A:$A,"&gt;="&amp;COUNTIFS($K$1:Q$1,"&lt;&gt;"))),0)</f>
        <v>0.18292682926829268</v>
      </c>
      <c r="R245">
        <f>IFERROR($J245/IF($A245&lt;COUNTIFS($K$1:R$1,"&lt;&gt;"),0,SUMIFS($J:$J,$B:$B,$B245,$A:$A,"&gt;="&amp;COUNTIFS($K$1:R$1,"&lt;&gt;"))),0)</f>
        <v>0.22058823529411764</v>
      </c>
      <c r="S245">
        <f>IFERROR($J245/IF($A245&lt;COUNTIFS($K$1:S$1,"&lt;&gt;"),0,SUMIFS($J:$J,$B:$B,$B245,$A:$A,"&gt;="&amp;COUNTIFS($K$1:S$1,"&lt;&gt;"))),0)</f>
        <v>0.2857142857142857</v>
      </c>
      <c r="T245">
        <f>IFERROR($J245/IF($A245&lt;COUNTIFS($K$1:T$1,"&lt;&gt;"),0,SUMIFS($J:$J,$B:$B,$B245,$A:$A,"&gt;="&amp;COUNTIFS($K$1:T$1,"&lt;&gt;"))),0)</f>
        <v>0</v>
      </c>
      <c r="U245">
        <f>IFERROR($J245/IF($A245&lt;COUNTIFS($K$1:U$1,"&lt;&gt;"),0,SUMIFS($J:$J,$B:$B,$B245,$A:$A,"&gt;="&amp;COUNTIFS($K$1:U$1,"&lt;&gt;"))),0)</f>
        <v>0</v>
      </c>
      <c r="V245">
        <f>IFERROR($J245/IF($A245&lt;COUNTIFS($K$1:V$1,"&lt;&gt;"),0,SUMIFS($J:$J,$B:$B,$B245,$A:$A,"&gt;="&amp;COUNTIFS($K$1:V$1,"&lt;&gt;"))),0)</f>
        <v>0</v>
      </c>
      <c r="W245">
        <f t="shared" si="90"/>
        <v>8.2191780821917804E-2</v>
      </c>
      <c r="X245">
        <f t="shared" si="70"/>
        <v>8.2191780821917804E-2</v>
      </c>
      <c r="Y245">
        <f t="shared" si="71"/>
        <v>8.2191780821917804E-2</v>
      </c>
      <c r="Z245">
        <f t="shared" si="72"/>
        <v>8.2191780821917804E-2</v>
      </c>
      <c r="AA245">
        <f t="shared" si="73"/>
        <v>8.2191780821917804E-2</v>
      </c>
      <c r="AB245">
        <f t="shared" si="74"/>
        <v>8.2191780821917804E-2</v>
      </c>
      <c r="AC245">
        <f t="shared" si="75"/>
        <v>8.2191780821917804E-2</v>
      </c>
      <c r="AD245">
        <f t="shared" si="76"/>
        <v>8.2191780821917804E-2</v>
      </c>
      <c r="AE245">
        <f t="shared" si="77"/>
        <v>8.2191780821917804E-2</v>
      </c>
      <c r="AF245">
        <f t="shared" si="78"/>
        <v>8.2191780821917804E-2</v>
      </c>
      <c r="AG245">
        <f t="shared" si="79"/>
        <v>0</v>
      </c>
      <c r="AH245">
        <f t="shared" si="80"/>
        <v>0</v>
      </c>
      <c r="AI245">
        <f t="shared" si="81"/>
        <v>0</v>
      </c>
      <c r="AJ245" s="2" t="str">
        <f t="shared" si="91"/>
        <v>944378</v>
      </c>
    </row>
    <row r="246" spans="1:36" x14ac:dyDescent="0.25">
      <c r="A246">
        <v>10</v>
      </c>
      <c r="B246" s="1">
        <v>44378</v>
      </c>
      <c r="C246" s="1">
        <f t="shared" si="82"/>
        <v>44682</v>
      </c>
      <c r="D246" s="1">
        <f t="shared" si="83"/>
        <v>44392</v>
      </c>
      <c r="E246" s="1">
        <f t="shared" si="84"/>
        <v>44682</v>
      </c>
      <c r="F246" s="1">
        <f t="shared" si="85"/>
        <v>44713</v>
      </c>
      <c r="G246" s="1">
        <f t="shared" si="86"/>
        <v>44757</v>
      </c>
      <c r="H246">
        <f t="shared" si="87"/>
        <v>365</v>
      </c>
      <c r="I246">
        <f t="shared" si="88"/>
        <v>31</v>
      </c>
      <c r="J246">
        <f t="shared" si="89"/>
        <v>8.4931506849315067E-2</v>
      </c>
      <c r="K246">
        <f>IFERROR($J246/IF($A246&lt;COUNTIFS($K$1:K$1,"&lt;&gt;"),0,SUMIFS($J:$J,$B:$B,$B246,$A:$A,"&gt;="&amp;COUNTIFS($K$1:K$1,"&lt;&gt;"))),0)</f>
        <v>8.9080459770114959E-2</v>
      </c>
      <c r="L246">
        <f>IFERROR($J246/IF($A246&lt;COUNTIFS($K$1:L$1,"&lt;&gt;"),0,SUMIFS($J:$J,$B:$B,$B246,$A:$A,"&gt;="&amp;COUNTIFS($K$1:L$1,"&lt;&gt;"))),0)</f>
        <v>9.7791798107255537E-2</v>
      </c>
      <c r="M246">
        <f>IFERROR($J246/IF($A246&lt;COUNTIFS($K$1:M$1,"&lt;&gt;"),0,SUMIFS($J:$J,$B:$B,$B246,$A:$A,"&gt;="&amp;COUNTIFS($K$1:M$1,"&lt;&gt;"))),0)</f>
        <v>0.10801393728222998</v>
      </c>
      <c r="N246">
        <f>IFERROR($J246/IF($A246&lt;COUNTIFS($K$1:N$1,"&lt;&gt;"),0,SUMIFS($J:$J,$B:$B,$B246,$A:$A,"&gt;="&amp;COUNTIFS($K$1:N$1,"&lt;&gt;"))),0)</f>
        <v>0.12109375000000001</v>
      </c>
      <c r="O246">
        <f>IFERROR($J246/IF($A246&lt;COUNTIFS($K$1:O$1,"&lt;&gt;"),0,SUMIFS($J:$J,$B:$B,$B246,$A:$A,"&gt;="&amp;COUNTIFS($K$1:O$1,"&lt;&gt;"))),0)</f>
        <v>0.13716814159292037</v>
      </c>
      <c r="P246">
        <f>IFERROR($J246/IF($A246&lt;COUNTIFS($K$1:P$1,"&lt;&gt;"),0,SUMIFS($J:$J,$B:$B,$B246,$A:$A,"&gt;="&amp;COUNTIFS($K$1:P$1,"&lt;&gt;"))),0)</f>
        <v>0.15897435897435899</v>
      </c>
      <c r="Q246">
        <f>IFERROR($J246/IF($A246&lt;COUNTIFS($K$1:Q$1,"&lt;&gt;"),0,SUMIFS($J:$J,$B:$B,$B246,$A:$A,"&gt;="&amp;COUNTIFS($K$1:Q$1,"&lt;&gt;"))),0)</f>
        <v>0.18902439024390244</v>
      </c>
      <c r="R246">
        <f>IFERROR($J246/IF($A246&lt;COUNTIFS($K$1:R$1,"&lt;&gt;"),0,SUMIFS($J:$J,$B:$B,$B246,$A:$A,"&gt;="&amp;COUNTIFS($K$1:R$1,"&lt;&gt;"))),0)</f>
        <v>0.22794117647058826</v>
      </c>
      <c r="S246">
        <f>IFERROR($J246/IF($A246&lt;COUNTIFS($K$1:S$1,"&lt;&gt;"),0,SUMIFS($J:$J,$B:$B,$B246,$A:$A,"&gt;="&amp;COUNTIFS($K$1:S$1,"&lt;&gt;"))),0)</f>
        <v>0.29523809523809524</v>
      </c>
      <c r="T246">
        <f>IFERROR($J246/IF($A246&lt;COUNTIFS($K$1:T$1,"&lt;&gt;"),0,SUMIFS($J:$J,$B:$B,$B246,$A:$A,"&gt;="&amp;COUNTIFS($K$1:T$1,"&lt;&gt;"))),0)</f>
        <v>0.41333333333333333</v>
      </c>
      <c r="U246">
        <f>IFERROR($J246/IF($A246&lt;COUNTIFS($K$1:U$1,"&lt;&gt;"),0,SUMIFS($J:$J,$B:$B,$B246,$A:$A,"&gt;="&amp;COUNTIFS($K$1:U$1,"&lt;&gt;"))),0)</f>
        <v>0</v>
      </c>
      <c r="V246">
        <f>IFERROR($J246/IF($A246&lt;COUNTIFS($K$1:V$1,"&lt;&gt;"),0,SUMIFS($J:$J,$B:$B,$B246,$A:$A,"&gt;="&amp;COUNTIFS($K$1:V$1,"&lt;&gt;"))),0)</f>
        <v>0</v>
      </c>
      <c r="W246">
        <f t="shared" si="90"/>
        <v>8.4931506849315067E-2</v>
      </c>
      <c r="X246">
        <f t="shared" si="70"/>
        <v>8.4931506849315067E-2</v>
      </c>
      <c r="Y246">
        <f t="shared" si="71"/>
        <v>8.4931506849315067E-2</v>
      </c>
      <c r="Z246">
        <f t="shared" si="72"/>
        <v>8.4931506849315067E-2</v>
      </c>
      <c r="AA246">
        <f t="shared" si="73"/>
        <v>8.4931506849315067E-2</v>
      </c>
      <c r="AB246">
        <f t="shared" si="74"/>
        <v>8.4931506849315067E-2</v>
      </c>
      <c r="AC246">
        <f t="shared" si="75"/>
        <v>8.4931506849315067E-2</v>
      </c>
      <c r="AD246">
        <f t="shared" si="76"/>
        <v>8.4931506849315067E-2</v>
      </c>
      <c r="AE246">
        <f t="shared" si="77"/>
        <v>8.4931506849315067E-2</v>
      </c>
      <c r="AF246">
        <f t="shared" si="78"/>
        <v>8.4931506849315067E-2</v>
      </c>
      <c r="AG246">
        <f t="shared" si="79"/>
        <v>8.4931506849315067E-2</v>
      </c>
      <c r="AH246">
        <f t="shared" si="80"/>
        <v>0</v>
      </c>
      <c r="AI246">
        <f t="shared" si="81"/>
        <v>0</v>
      </c>
      <c r="AJ246" s="2" t="str">
        <f t="shared" si="91"/>
        <v>1044378</v>
      </c>
    </row>
    <row r="247" spans="1:36" x14ac:dyDescent="0.25">
      <c r="A247">
        <v>11</v>
      </c>
      <c r="B247" s="1">
        <v>44378</v>
      </c>
      <c r="C247" s="1">
        <f t="shared" si="82"/>
        <v>44713</v>
      </c>
      <c r="D247" s="1">
        <f t="shared" si="83"/>
        <v>44392</v>
      </c>
      <c r="E247" s="1">
        <f t="shared" si="84"/>
        <v>44713</v>
      </c>
      <c r="F247" s="1">
        <f t="shared" si="85"/>
        <v>44743</v>
      </c>
      <c r="G247" s="1">
        <f t="shared" si="86"/>
        <v>44757</v>
      </c>
      <c r="H247">
        <f t="shared" si="87"/>
        <v>365</v>
      </c>
      <c r="I247">
        <f t="shared" si="88"/>
        <v>30</v>
      </c>
      <c r="J247">
        <f t="shared" si="89"/>
        <v>8.2191780821917804E-2</v>
      </c>
      <c r="K247">
        <f>IFERROR($J247/IF($A247&lt;COUNTIFS($K$1:K$1,"&lt;&gt;"),0,SUMIFS($J:$J,$B:$B,$B247,$A:$A,"&gt;="&amp;COUNTIFS($K$1:K$1,"&lt;&gt;"))),0)</f>
        <v>8.6206896551724144E-2</v>
      </c>
      <c r="L247">
        <f>IFERROR($J247/IF($A247&lt;COUNTIFS($K$1:L$1,"&lt;&gt;"),0,SUMIFS($J:$J,$B:$B,$B247,$A:$A,"&gt;="&amp;COUNTIFS($K$1:L$1,"&lt;&gt;"))),0)</f>
        <v>9.4637223974763415E-2</v>
      </c>
      <c r="M247">
        <f>IFERROR($J247/IF($A247&lt;COUNTIFS($K$1:M$1,"&lt;&gt;"),0,SUMIFS($J:$J,$B:$B,$B247,$A:$A,"&gt;="&amp;COUNTIFS($K$1:M$1,"&lt;&gt;"))),0)</f>
        <v>0.10452961672473869</v>
      </c>
      <c r="N247">
        <f>IFERROR($J247/IF($A247&lt;COUNTIFS($K$1:N$1,"&lt;&gt;"),0,SUMIFS($J:$J,$B:$B,$B247,$A:$A,"&gt;="&amp;COUNTIFS($K$1:N$1,"&lt;&gt;"))),0)</f>
        <v>0.11718750000000001</v>
      </c>
      <c r="O247">
        <f>IFERROR($J247/IF($A247&lt;COUNTIFS($K$1:O$1,"&lt;&gt;"),0,SUMIFS($J:$J,$B:$B,$B247,$A:$A,"&gt;="&amp;COUNTIFS($K$1:O$1,"&lt;&gt;"))),0)</f>
        <v>0.13274336283185842</v>
      </c>
      <c r="P247">
        <f>IFERROR($J247/IF($A247&lt;COUNTIFS($K$1:P$1,"&lt;&gt;"),0,SUMIFS($J:$J,$B:$B,$B247,$A:$A,"&gt;="&amp;COUNTIFS($K$1:P$1,"&lt;&gt;"))),0)</f>
        <v>0.15384615384615385</v>
      </c>
      <c r="Q247">
        <f>IFERROR($J247/IF($A247&lt;COUNTIFS($K$1:Q$1,"&lt;&gt;"),0,SUMIFS($J:$J,$B:$B,$B247,$A:$A,"&gt;="&amp;COUNTIFS($K$1:Q$1,"&lt;&gt;"))),0)</f>
        <v>0.18292682926829268</v>
      </c>
      <c r="R247">
        <f>IFERROR($J247/IF($A247&lt;COUNTIFS($K$1:R$1,"&lt;&gt;"),0,SUMIFS($J:$J,$B:$B,$B247,$A:$A,"&gt;="&amp;COUNTIFS($K$1:R$1,"&lt;&gt;"))),0)</f>
        <v>0.22058823529411764</v>
      </c>
      <c r="S247">
        <f>IFERROR($J247/IF($A247&lt;COUNTIFS($K$1:S$1,"&lt;&gt;"),0,SUMIFS($J:$J,$B:$B,$B247,$A:$A,"&gt;="&amp;COUNTIFS($K$1:S$1,"&lt;&gt;"))),0)</f>
        <v>0.2857142857142857</v>
      </c>
      <c r="T247">
        <f>IFERROR($J247/IF($A247&lt;COUNTIFS($K$1:T$1,"&lt;&gt;"),0,SUMIFS($J:$J,$B:$B,$B247,$A:$A,"&gt;="&amp;COUNTIFS($K$1:T$1,"&lt;&gt;"))),0)</f>
        <v>0.4</v>
      </c>
      <c r="U247">
        <f>IFERROR($J247/IF($A247&lt;COUNTIFS($K$1:U$1,"&lt;&gt;"),0,SUMIFS($J:$J,$B:$B,$B247,$A:$A,"&gt;="&amp;COUNTIFS($K$1:U$1,"&lt;&gt;"))),0)</f>
        <v>0.68181818181818177</v>
      </c>
      <c r="V247">
        <f>IFERROR($J247/IF($A247&lt;COUNTIFS($K$1:V$1,"&lt;&gt;"),0,SUMIFS($J:$J,$B:$B,$B247,$A:$A,"&gt;="&amp;COUNTIFS($K$1:V$1,"&lt;&gt;"))),0)</f>
        <v>0</v>
      </c>
      <c r="W247">
        <f t="shared" si="90"/>
        <v>8.2191780821917804E-2</v>
      </c>
      <c r="X247">
        <f t="shared" si="70"/>
        <v>8.2191780821917804E-2</v>
      </c>
      <c r="Y247">
        <f t="shared" si="71"/>
        <v>8.2191780821917804E-2</v>
      </c>
      <c r="Z247">
        <f t="shared" si="72"/>
        <v>8.2191780821917804E-2</v>
      </c>
      <c r="AA247">
        <f t="shared" si="73"/>
        <v>8.2191780821917804E-2</v>
      </c>
      <c r="AB247">
        <f t="shared" si="74"/>
        <v>8.2191780821917804E-2</v>
      </c>
      <c r="AC247">
        <f t="shared" si="75"/>
        <v>8.2191780821917804E-2</v>
      </c>
      <c r="AD247">
        <f t="shared" si="76"/>
        <v>8.2191780821917804E-2</v>
      </c>
      <c r="AE247">
        <f t="shared" si="77"/>
        <v>8.2191780821917804E-2</v>
      </c>
      <c r="AF247">
        <f t="shared" si="78"/>
        <v>8.2191780821917804E-2</v>
      </c>
      <c r="AG247">
        <f t="shared" si="79"/>
        <v>8.2191780821917804E-2</v>
      </c>
      <c r="AH247">
        <f t="shared" si="80"/>
        <v>8.2191780821917804E-2</v>
      </c>
      <c r="AI247">
        <f t="shared" si="81"/>
        <v>0</v>
      </c>
      <c r="AJ247" s="2" t="str">
        <f t="shared" si="91"/>
        <v>1144378</v>
      </c>
    </row>
    <row r="248" spans="1:36" x14ac:dyDescent="0.25">
      <c r="A248">
        <v>12</v>
      </c>
      <c r="B248" s="1">
        <v>44378</v>
      </c>
      <c r="C248" s="1">
        <f t="shared" si="82"/>
        <v>44743</v>
      </c>
      <c r="D248" s="1">
        <f t="shared" si="83"/>
        <v>44392</v>
      </c>
      <c r="E248" s="1">
        <f t="shared" si="84"/>
        <v>44743</v>
      </c>
      <c r="F248" s="1">
        <f t="shared" si="85"/>
        <v>44757</v>
      </c>
      <c r="G248" s="1">
        <f t="shared" si="86"/>
        <v>44757</v>
      </c>
      <c r="H248">
        <f t="shared" si="87"/>
        <v>365</v>
      </c>
      <c r="I248">
        <f t="shared" si="88"/>
        <v>14</v>
      </c>
      <c r="J248">
        <f t="shared" si="89"/>
        <v>3.8356164383561646E-2</v>
      </c>
      <c r="K248">
        <f>IFERROR($J248/IF($A248&lt;COUNTIFS($K$1:K$1,"&lt;&gt;"),0,SUMIFS($J:$J,$B:$B,$B248,$A:$A,"&gt;="&amp;COUNTIFS($K$1:K$1,"&lt;&gt;"))),0)</f>
        <v>4.0229885057471271E-2</v>
      </c>
      <c r="L248">
        <f>IFERROR($J248/IF($A248&lt;COUNTIFS($K$1:L$1,"&lt;&gt;"),0,SUMIFS($J:$J,$B:$B,$B248,$A:$A,"&gt;="&amp;COUNTIFS($K$1:L$1,"&lt;&gt;"))),0)</f>
        <v>4.41640378548896E-2</v>
      </c>
      <c r="M248">
        <f>IFERROR($J248/IF($A248&lt;COUNTIFS($K$1:M$1,"&lt;&gt;"),0,SUMIFS($J:$J,$B:$B,$B248,$A:$A,"&gt;="&amp;COUNTIFS($K$1:M$1,"&lt;&gt;"))),0)</f>
        <v>4.8780487804878057E-2</v>
      </c>
      <c r="N248">
        <f>IFERROR($J248/IF($A248&lt;COUNTIFS($K$1:N$1,"&lt;&gt;"),0,SUMIFS($J:$J,$B:$B,$B248,$A:$A,"&gt;="&amp;COUNTIFS($K$1:N$1,"&lt;&gt;"))),0)</f>
        <v>5.4687500000000014E-2</v>
      </c>
      <c r="O248">
        <f>IFERROR($J248/IF($A248&lt;COUNTIFS($K$1:O$1,"&lt;&gt;"),0,SUMIFS($J:$J,$B:$B,$B248,$A:$A,"&gt;="&amp;COUNTIFS($K$1:O$1,"&lt;&gt;"))),0)</f>
        <v>6.194690265486727E-2</v>
      </c>
      <c r="P248">
        <f>IFERROR($J248/IF($A248&lt;COUNTIFS($K$1:P$1,"&lt;&gt;"),0,SUMIFS($J:$J,$B:$B,$B248,$A:$A,"&gt;="&amp;COUNTIFS($K$1:P$1,"&lt;&gt;"))),0)</f>
        <v>7.1794871794871803E-2</v>
      </c>
      <c r="Q248">
        <f>IFERROR($J248/IF($A248&lt;COUNTIFS($K$1:Q$1,"&lt;&gt;"),0,SUMIFS($J:$J,$B:$B,$B248,$A:$A,"&gt;="&amp;COUNTIFS($K$1:Q$1,"&lt;&gt;"))),0)</f>
        <v>8.5365853658536592E-2</v>
      </c>
      <c r="R248">
        <f>IFERROR($J248/IF($A248&lt;COUNTIFS($K$1:R$1,"&lt;&gt;"),0,SUMIFS($J:$J,$B:$B,$B248,$A:$A,"&gt;="&amp;COUNTIFS($K$1:R$1,"&lt;&gt;"))),0)</f>
        <v>0.10294117647058824</v>
      </c>
      <c r="S248">
        <f>IFERROR($J248/IF($A248&lt;COUNTIFS($K$1:S$1,"&lt;&gt;"),0,SUMIFS($J:$J,$B:$B,$B248,$A:$A,"&gt;="&amp;COUNTIFS($K$1:S$1,"&lt;&gt;"))),0)</f>
        <v>0.13333333333333336</v>
      </c>
      <c r="T248">
        <f>IFERROR($J248/IF($A248&lt;COUNTIFS($K$1:T$1,"&lt;&gt;"),0,SUMIFS($J:$J,$B:$B,$B248,$A:$A,"&gt;="&amp;COUNTIFS($K$1:T$1,"&lt;&gt;"))),0)</f>
        <v>0.18666666666666668</v>
      </c>
      <c r="U248">
        <f>IFERROR($J248/IF($A248&lt;COUNTIFS($K$1:U$1,"&lt;&gt;"),0,SUMIFS($J:$J,$B:$B,$B248,$A:$A,"&gt;="&amp;COUNTIFS($K$1:U$1,"&lt;&gt;"))),0)</f>
        <v>0.31818181818181818</v>
      </c>
      <c r="V248">
        <f>IFERROR($J248/IF($A248&lt;COUNTIFS($K$1:V$1,"&lt;&gt;"),0,SUMIFS($J:$J,$B:$B,$B248,$A:$A,"&gt;="&amp;COUNTIFS($K$1:V$1,"&lt;&gt;"))),0)</f>
        <v>1</v>
      </c>
      <c r="W248">
        <f t="shared" si="90"/>
        <v>3.8356164383561646E-2</v>
      </c>
      <c r="X248">
        <f t="shared" si="70"/>
        <v>3.8356164383561646E-2</v>
      </c>
      <c r="Y248">
        <f t="shared" si="71"/>
        <v>3.8356164383561646E-2</v>
      </c>
      <c r="Z248">
        <f t="shared" si="72"/>
        <v>3.8356164383561646E-2</v>
      </c>
      <c r="AA248">
        <f t="shared" si="73"/>
        <v>3.8356164383561646E-2</v>
      </c>
      <c r="AB248">
        <f t="shared" si="74"/>
        <v>3.8356164383561646E-2</v>
      </c>
      <c r="AC248">
        <f t="shared" si="75"/>
        <v>3.8356164383561646E-2</v>
      </c>
      <c r="AD248">
        <f t="shared" si="76"/>
        <v>3.8356164383561646E-2</v>
      </c>
      <c r="AE248">
        <f t="shared" si="77"/>
        <v>3.8356164383561646E-2</v>
      </c>
      <c r="AF248">
        <f t="shared" si="78"/>
        <v>3.8356164383561646E-2</v>
      </c>
      <c r="AG248">
        <f t="shared" si="79"/>
        <v>3.8356164383561646E-2</v>
      </c>
      <c r="AH248">
        <f t="shared" si="80"/>
        <v>3.8356164383561646E-2</v>
      </c>
      <c r="AI248">
        <f t="shared" si="81"/>
        <v>3.8356164383561646E-2</v>
      </c>
      <c r="AJ248" s="2" t="str">
        <f t="shared" si="91"/>
        <v>1244378</v>
      </c>
    </row>
    <row r="249" spans="1:36" x14ac:dyDescent="0.25">
      <c r="A249">
        <v>0</v>
      </c>
      <c r="B249" s="1">
        <v>44409</v>
      </c>
      <c r="C249" s="1">
        <f t="shared" si="82"/>
        <v>44409</v>
      </c>
      <c r="D249" s="1">
        <f t="shared" si="83"/>
        <v>44423</v>
      </c>
      <c r="E249" s="1">
        <f t="shared" si="84"/>
        <v>44423</v>
      </c>
      <c r="F249" s="1">
        <f t="shared" si="85"/>
        <v>44440</v>
      </c>
      <c r="G249" s="1">
        <f t="shared" si="86"/>
        <v>44788</v>
      </c>
      <c r="H249">
        <f t="shared" si="87"/>
        <v>365</v>
      </c>
      <c r="I249">
        <f t="shared" si="88"/>
        <v>17</v>
      </c>
      <c r="J249">
        <f t="shared" si="89"/>
        <v>4.6575342465753428E-2</v>
      </c>
      <c r="K249">
        <f>IFERROR($J249/IF($A249&lt;COUNTIFS($K$1:K$1,"&lt;&gt;"),0,SUMIFS($J:$J,$B:$B,$B249,$A:$A,"&gt;="&amp;COUNTIFS($K$1:K$1,"&lt;&gt;"))),0)</f>
        <v>0</v>
      </c>
      <c r="L249">
        <f>IFERROR($J249/IF($A249&lt;COUNTIFS($K$1:L$1,"&lt;&gt;"),0,SUMIFS($J:$J,$B:$B,$B249,$A:$A,"&gt;="&amp;COUNTIFS($K$1:L$1,"&lt;&gt;"))),0)</f>
        <v>0</v>
      </c>
      <c r="M249">
        <f>IFERROR($J249/IF($A249&lt;COUNTIFS($K$1:M$1,"&lt;&gt;"),0,SUMIFS($J:$J,$B:$B,$B249,$A:$A,"&gt;="&amp;COUNTIFS($K$1:M$1,"&lt;&gt;"))),0)</f>
        <v>0</v>
      </c>
      <c r="N249">
        <f>IFERROR($J249/IF($A249&lt;COUNTIFS($K$1:N$1,"&lt;&gt;"),0,SUMIFS($J:$J,$B:$B,$B249,$A:$A,"&gt;="&amp;COUNTIFS($K$1:N$1,"&lt;&gt;"))),0)</f>
        <v>0</v>
      </c>
      <c r="O249">
        <f>IFERROR($J249/IF($A249&lt;COUNTIFS($K$1:O$1,"&lt;&gt;"),0,SUMIFS($J:$J,$B:$B,$B249,$A:$A,"&gt;="&amp;COUNTIFS($K$1:O$1,"&lt;&gt;"))),0)</f>
        <v>0</v>
      </c>
      <c r="P249">
        <f>IFERROR($J249/IF($A249&lt;COUNTIFS($K$1:P$1,"&lt;&gt;"),0,SUMIFS($J:$J,$B:$B,$B249,$A:$A,"&gt;="&amp;COUNTIFS($K$1:P$1,"&lt;&gt;"))),0)</f>
        <v>0</v>
      </c>
      <c r="Q249">
        <f>IFERROR($J249/IF($A249&lt;COUNTIFS($K$1:Q$1,"&lt;&gt;"),0,SUMIFS($J:$J,$B:$B,$B249,$A:$A,"&gt;="&amp;COUNTIFS($K$1:Q$1,"&lt;&gt;"))),0)</f>
        <v>0</v>
      </c>
      <c r="R249">
        <f>IFERROR($J249/IF($A249&lt;COUNTIFS($K$1:R$1,"&lt;&gt;"),0,SUMIFS($J:$J,$B:$B,$B249,$A:$A,"&gt;="&amp;COUNTIFS($K$1:R$1,"&lt;&gt;"))),0)</f>
        <v>0</v>
      </c>
      <c r="S249">
        <f>IFERROR($J249/IF($A249&lt;COUNTIFS($K$1:S$1,"&lt;&gt;"),0,SUMIFS($J:$J,$B:$B,$B249,$A:$A,"&gt;="&amp;COUNTIFS($K$1:S$1,"&lt;&gt;"))),0)</f>
        <v>0</v>
      </c>
      <c r="T249">
        <f>IFERROR($J249/IF($A249&lt;COUNTIFS($K$1:T$1,"&lt;&gt;"),0,SUMIFS($J:$J,$B:$B,$B249,$A:$A,"&gt;="&amp;COUNTIFS($K$1:T$1,"&lt;&gt;"))),0)</f>
        <v>0</v>
      </c>
      <c r="U249">
        <f>IFERROR($J249/IF($A249&lt;COUNTIFS($K$1:U$1,"&lt;&gt;"),0,SUMIFS($J:$J,$B:$B,$B249,$A:$A,"&gt;="&amp;COUNTIFS($K$1:U$1,"&lt;&gt;"))),0)</f>
        <v>0</v>
      </c>
      <c r="V249">
        <f>IFERROR($J249/IF($A249&lt;COUNTIFS($K$1:V$1,"&lt;&gt;"),0,SUMIFS($J:$J,$B:$B,$B249,$A:$A,"&gt;="&amp;COUNTIFS($K$1:V$1,"&lt;&gt;"))),0)</f>
        <v>0</v>
      </c>
      <c r="W249">
        <f t="shared" si="90"/>
        <v>4.6575342465753428E-2</v>
      </c>
      <c r="X249">
        <f t="shared" si="70"/>
        <v>0</v>
      </c>
      <c r="Y249">
        <f t="shared" si="71"/>
        <v>0</v>
      </c>
      <c r="Z249">
        <f t="shared" si="72"/>
        <v>0</v>
      </c>
      <c r="AA249">
        <f t="shared" si="73"/>
        <v>0</v>
      </c>
      <c r="AB249">
        <f t="shared" si="74"/>
        <v>0</v>
      </c>
      <c r="AC249">
        <f t="shared" si="75"/>
        <v>0</v>
      </c>
      <c r="AD249">
        <f t="shared" si="76"/>
        <v>0</v>
      </c>
      <c r="AE249">
        <f t="shared" si="77"/>
        <v>0</v>
      </c>
      <c r="AF249">
        <f t="shared" si="78"/>
        <v>0</v>
      </c>
      <c r="AG249">
        <f t="shared" si="79"/>
        <v>0</v>
      </c>
      <c r="AH249">
        <f t="shared" si="80"/>
        <v>0</v>
      </c>
      <c r="AI249">
        <f t="shared" si="81"/>
        <v>0</v>
      </c>
      <c r="AJ249" s="2" t="str">
        <f t="shared" si="91"/>
        <v>044409</v>
      </c>
    </row>
    <row r="250" spans="1:36" x14ac:dyDescent="0.25">
      <c r="A250">
        <v>1</v>
      </c>
      <c r="B250" s="1">
        <v>44409</v>
      </c>
      <c r="C250" s="1">
        <f t="shared" si="82"/>
        <v>44440</v>
      </c>
      <c r="D250" s="1">
        <f t="shared" si="83"/>
        <v>44423</v>
      </c>
      <c r="E250" s="1">
        <f t="shared" si="84"/>
        <v>44440</v>
      </c>
      <c r="F250" s="1">
        <f t="shared" si="85"/>
        <v>44470</v>
      </c>
      <c r="G250" s="1">
        <f t="shared" si="86"/>
        <v>44788</v>
      </c>
      <c r="H250">
        <f t="shared" si="87"/>
        <v>365</v>
      </c>
      <c r="I250">
        <f t="shared" si="88"/>
        <v>30</v>
      </c>
      <c r="J250">
        <f t="shared" si="89"/>
        <v>8.2191780821917804E-2</v>
      </c>
      <c r="K250">
        <f>IFERROR($J250/IF($A250&lt;COUNTIFS($K$1:K$1,"&lt;&gt;"),0,SUMIFS($J:$J,$B:$B,$B250,$A:$A,"&gt;="&amp;COUNTIFS($K$1:K$1,"&lt;&gt;"))),0)</f>
        <v>8.6206896551724144E-2</v>
      </c>
      <c r="L250">
        <f>IFERROR($J250/IF($A250&lt;COUNTIFS($K$1:L$1,"&lt;&gt;"),0,SUMIFS($J:$J,$B:$B,$B250,$A:$A,"&gt;="&amp;COUNTIFS($K$1:L$1,"&lt;&gt;"))),0)</f>
        <v>0</v>
      </c>
      <c r="M250">
        <f>IFERROR($J250/IF($A250&lt;COUNTIFS($K$1:M$1,"&lt;&gt;"),0,SUMIFS($J:$J,$B:$B,$B250,$A:$A,"&gt;="&amp;COUNTIFS($K$1:M$1,"&lt;&gt;"))),0)</f>
        <v>0</v>
      </c>
      <c r="N250">
        <f>IFERROR($J250/IF($A250&lt;COUNTIFS($K$1:N$1,"&lt;&gt;"),0,SUMIFS($J:$J,$B:$B,$B250,$A:$A,"&gt;="&amp;COUNTIFS($K$1:N$1,"&lt;&gt;"))),0)</f>
        <v>0</v>
      </c>
      <c r="O250">
        <f>IFERROR($J250/IF($A250&lt;COUNTIFS($K$1:O$1,"&lt;&gt;"),0,SUMIFS($J:$J,$B:$B,$B250,$A:$A,"&gt;="&amp;COUNTIFS($K$1:O$1,"&lt;&gt;"))),0)</f>
        <v>0</v>
      </c>
      <c r="P250">
        <f>IFERROR($J250/IF($A250&lt;COUNTIFS($K$1:P$1,"&lt;&gt;"),0,SUMIFS($J:$J,$B:$B,$B250,$A:$A,"&gt;="&amp;COUNTIFS($K$1:P$1,"&lt;&gt;"))),0)</f>
        <v>0</v>
      </c>
      <c r="Q250">
        <f>IFERROR($J250/IF($A250&lt;COUNTIFS($K$1:Q$1,"&lt;&gt;"),0,SUMIFS($J:$J,$B:$B,$B250,$A:$A,"&gt;="&amp;COUNTIFS($K$1:Q$1,"&lt;&gt;"))),0)</f>
        <v>0</v>
      </c>
      <c r="R250">
        <f>IFERROR($J250/IF($A250&lt;COUNTIFS($K$1:R$1,"&lt;&gt;"),0,SUMIFS($J:$J,$B:$B,$B250,$A:$A,"&gt;="&amp;COUNTIFS($K$1:R$1,"&lt;&gt;"))),0)</f>
        <v>0</v>
      </c>
      <c r="S250">
        <f>IFERROR($J250/IF($A250&lt;COUNTIFS($K$1:S$1,"&lt;&gt;"),0,SUMIFS($J:$J,$B:$B,$B250,$A:$A,"&gt;="&amp;COUNTIFS($K$1:S$1,"&lt;&gt;"))),0)</f>
        <v>0</v>
      </c>
      <c r="T250">
        <f>IFERROR($J250/IF($A250&lt;COUNTIFS($K$1:T$1,"&lt;&gt;"),0,SUMIFS($J:$J,$B:$B,$B250,$A:$A,"&gt;="&amp;COUNTIFS($K$1:T$1,"&lt;&gt;"))),0)</f>
        <v>0</v>
      </c>
      <c r="U250">
        <f>IFERROR($J250/IF($A250&lt;COUNTIFS($K$1:U$1,"&lt;&gt;"),0,SUMIFS($J:$J,$B:$B,$B250,$A:$A,"&gt;="&amp;COUNTIFS($K$1:U$1,"&lt;&gt;"))),0)</f>
        <v>0</v>
      </c>
      <c r="V250">
        <f>IFERROR($J250/IF($A250&lt;COUNTIFS($K$1:V$1,"&lt;&gt;"),0,SUMIFS($J:$J,$B:$B,$B250,$A:$A,"&gt;="&amp;COUNTIFS($K$1:V$1,"&lt;&gt;"))),0)</f>
        <v>0</v>
      </c>
      <c r="W250">
        <f t="shared" si="90"/>
        <v>8.2191780821917804E-2</v>
      </c>
      <c r="X250">
        <f t="shared" si="70"/>
        <v>8.2191780821917804E-2</v>
      </c>
      <c r="Y250">
        <f t="shared" si="71"/>
        <v>0</v>
      </c>
      <c r="Z250">
        <f t="shared" si="72"/>
        <v>0</v>
      </c>
      <c r="AA250">
        <f t="shared" si="73"/>
        <v>0</v>
      </c>
      <c r="AB250">
        <f t="shared" si="74"/>
        <v>0</v>
      </c>
      <c r="AC250">
        <f t="shared" si="75"/>
        <v>0</v>
      </c>
      <c r="AD250">
        <f t="shared" si="76"/>
        <v>0</v>
      </c>
      <c r="AE250">
        <f t="shared" si="77"/>
        <v>0</v>
      </c>
      <c r="AF250">
        <f t="shared" si="78"/>
        <v>0</v>
      </c>
      <c r="AG250">
        <f t="shared" si="79"/>
        <v>0</v>
      </c>
      <c r="AH250">
        <f t="shared" si="80"/>
        <v>0</v>
      </c>
      <c r="AI250">
        <f t="shared" si="81"/>
        <v>0</v>
      </c>
      <c r="AJ250" s="2" t="str">
        <f t="shared" si="91"/>
        <v>144409</v>
      </c>
    </row>
    <row r="251" spans="1:36" x14ac:dyDescent="0.25">
      <c r="A251">
        <v>2</v>
      </c>
      <c r="B251" s="1">
        <v>44409</v>
      </c>
      <c r="C251" s="1">
        <f t="shared" si="82"/>
        <v>44470</v>
      </c>
      <c r="D251" s="1">
        <f t="shared" si="83"/>
        <v>44423</v>
      </c>
      <c r="E251" s="1">
        <f t="shared" si="84"/>
        <v>44470</v>
      </c>
      <c r="F251" s="1">
        <f t="shared" si="85"/>
        <v>44501</v>
      </c>
      <c r="G251" s="1">
        <f t="shared" si="86"/>
        <v>44788</v>
      </c>
      <c r="H251">
        <f t="shared" si="87"/>
        <v>365</v>
      </c>
      <c r="I251">
        <f t="shared" si="88"/>
        <v>31</v>
      </c>
      <c r="J251">
        <f t="shared" si="89"/>
        <v>8.4931506849315067E-2</v>
      </c>
      <c r="K251">
        <f>IFERROR($J251/IF($A251&lt;COUNTIFS($K$1:K$1,"&lt;&gt;"),0,SUMIFS($J:$J,$B:$B,$B251,$A:$A,"&gt;="&amp;COUNTIFS($K$1:K$1,"&lt;&gt;"))),0)</f>
        <v>8.9080459770114959E-2</v>
      </c>
      <c r="L251">
        <f>IFERROR($J251/IF($A251&lt;COUNTIFS($K$1:L$1,"&lt;&gt;"),0,SUMIFS($J:$J,$B:$B,$B251,$A:$A,"&gt;="&amp;COUNTIFS($K$1:L$1,"&lt;&gt;"))),0)</f>
        <v>9.7484276729559768E-2</v>
      </c>
      <c r="M251">
        <f>IFERROR($J251/IF($A251&lt;COUNTIFS($K$1:M$1,"&lt;&gt;"),0,SUMIFS($J:$J,$B:$B,$B251,$A:$A,"&gt;="&amp;COUNTIFS($K$1:M$1,"&lt;&gt;"))),0)</f>
        <v>0</v>
      </c>
      <c r="N251">
        <f>IFERROR($J251/IF($A251&lt;COUNTIFS($K$1:N$1,"&lt;&gt;"),0,SUMIFS($J:$J,$B:$B,$B251,$A:$A,"&gt;="&amp;COUNTIFS($K$1:N$1,"&lt;&gt;"))),0)</f>
        <v>0</v>
      </c>
      <c r="O251">
        <f>IFERROR($J251/IF($A251&lt;COUNTIFS($K$1:O$1,"&lt;&gt;"),0,SUMIFS($J:$J,$B:$B,$B251,$A:$A,"&gt;="&amp;COUNTIFS($K$1:O$1,"&lt;&gt;"))),0)</f>
        <v>0</v>
      </c>
      <c r="P251">
        <f>IFERROR($J251/IF($A251&lt;COUNTIFS($K$1:P$1,"&lt;&gt;"),0,SUMIFS($J:$J,$B:$B,$B251,$A:$A,"&gt;="&amp;COUNTIFS($K$1:P$1,"&lt;&gt;"))),0)</f>
        <v>0</v>
      </c>
      <c r="Q251">
        <f>IFERROR($J251/IF($A251&lt;COUNTIFS($K$1:Q$1,"&lt;&gt;"),0,SUMIFS($J:$J,$B:$B,$B251,$A:$A,"&gt;="&amp;COUNTIFS($K$1:Q$1,"&lt;&gt;"))),0)</f>
        <v>0</v>
      </c>
      <c r="R251">
        <f>IFERROR($J251/IF($A251&lt;COUNTIFS($K$1:R$1,"&lt;&gt;"),0,SUMIFS($J:$J,$B:$B,$B251,$A:$A,"&gt;="&amp;COUNTIFS($K$1:R$1,"&lt;&gt;"))),0)</f>
        <v>0</v>
      </c>
      <c r="S251">
        <f>IFERROR($J251/IF($A251&lt;COUNTIFS($K$1:S$1,"&lt;&gt;"),0,SUMIFS($J:$J,$B:$B,$B251,$A:$A,"&gt;="&amp;COUNTIFS($K$1:S$1,"&lt;&gt;"))),0)</f>
        <v>0</v>
      </c>
      <c r="T251">
        <f>IFERROR($J251/IF($A251&lt;COUNTIFS($K$1:T$1,"&lt;&gt;"),0,SUMIFS($J:$J,$B:$B,$B251,$A:$A,"&gt;="&amp;COUNTIFS($K$1:T$1,"&lt;&gt;"))),0)</f>
        <v>0</v>
      </c>
      <c r="U251">
        <f>IFERROR($J251/IF($A251&lt;COUNTIFS($K$1:U$1,"&lt;&gt;"),0,SUMIFS($J:$J,$B:$B,$B251,$A:$A,"&gt;="&amp;COUNTIFS($K$1:U$1,"&lt;&gt;"))),0)</f>
        <v>0</v>
      </c>
      <c r="V251">
        <f>IFERROR($J251/IF($A251&lt;COUNTIFS($K$1:V$1,"&lt;&gt;"),0,SUMIFS($J:$J,$B:$B,$B251,$A:$A,"&gt;="&amp;COUNTIFS($K$1:V$1,"&lt;&gt;"))),0)</f>
        <v>0</v>
      </c>
      <c r="W251">
        <f t="shared" si="90"/>
        <v>8.4931506849315067E-2</v>
      </c>
      <c r="X251">
        <f t="shared" si="70"/>
        <v>8.4931506849315067E-2</v>
      </c>
      <c r="Y251">
        <f t="shared" si="71"/>
        <v>8.4931506849315067E-2</v>
      </c>
      <c r="Z251">
        <f t="shared" si="72"/>
        <v>0</v>
      </c>
      <c r="AA251">
        <f t="shared" si="73"/>
        <v>0</v>
      </c>
      <c r="AB251">
        <f t="shared" si="74"/>
        <v>0</v>
      </c>
      <c r="AC251">
        <f t="shared" si="75"/>
        <v>0</v>
      </c>
      <c r="AD251">
        <f t="shared" si="76"/>
        <v>0</v>
      </c>
      <c r="AE251">
        <f t="shared" si="77"/>
        <v>0</v>
      </c>
      <c r="AF251">
        <f t="shared" si="78"/>
        <v>0</v>
      </c>
      <c r="AG251">
        <f t="shared" si="79"/>
        <v>0</v>
      </c>
      <c r="AH251">
        <f t="shared" si="80"/>
        <v>0</v>
      </c>
      <c r="AI251">
        <f t="shared" si="81"/>
        <v>0</v>
      </c>
      <c r="AJ251" s="2" t="str">
        <f t="shared" si="91"/>
        <v>244409</v>
      </c>
    </row>
    <row r="252" spans="1:36" x14ac:dyDescent="0.25">
      <c r="A252">
        <v>3</v>
      </c>
      <c r="B252" s="1">
        <v>44409</v>
      </c>
      <c r="C252" s="1">
        <f t="shared" si="82"/>
        <v>44501</v>
      </c>
      <c r="D252" s="1">
        <f t="shared" si="83"/>
        <v>44423</v>
      </c>
      <c r="E252" s="1">
        <f t="shared" si="84"/>
        <v>44501</v>
      </c>
      <c r="F252" s="1">
        <f t="shared" si="85"/>
        <v>44531</v>
      </c>
      <c r="G252" s="1">
        <f t="shared" si="86"/>
        <v>44788</v>
      </c>
      <c r="H252">
        <f t="shared" si="87"/>
        <v>365</v>
      </c>
      <c r="I252">
        <f t="shared" si="88"/>
        <v>30</v>
      </c>
      <c r="J252">
        <f t="shared" si="89"/>
        <v>8.2191780821917804E-2</v>
      </c>
      <c r="K252">
        <f>IFERROR($J252/IF($A252&lt;COUNTIFS($K$1:K$1,"&lt;&gt;"),0,SUMIFS($J:$J,$B:$B,$B252,$A:$A,"&gt;="&amp;COUNTIFS($K$1:K$1,"&lt;&gt;"))),0)</f>
        <v>8.6206896551724144E-2</v>
      </c>
      <c r="L252">
        <f>IFERROR($J252/IF($A252&lt;COUNTIFS($K$1:L$1,"&lt;&gt;"),0,SUMIFS($J:$J,$B:$B,$B252,$A:$A,"&gt;="&amp;COUNTIFS($K$1:L$1,"&lt;&gt;"))),0)</f>
        <v>9.4339622641509441E-2</v>
      </c>
      <c r="M252">
        <f>IFERROR($J252/IF($A252&lt;COUNTIFS($K$1:M$1,"&lt;&gt;"),0,SUMIFS($J:$J,$B:$B,$B252,$A:$A,"&gt;="&amp;COUNTIFS($K$1:M$1,"&lt;&gt;"))),0)</f>
        <v>0.10452961672473869</v>
      </c>
      <c r="N252">
        <f>IFERROR($J252/IF($A252&lt;COUNTIFS($K$1:N$1,"&lt;&gt;"),0,SUMIFS($J:$J,$B:$B,$B252,$A:$A,"&gt;="&amp;COUNTIFS($K$1:N$1,"&lt;&gt;"))),0)</f>
        <v>0</v>
      </c>
      <c r="O252">
        <f>IFERROR($J252/IF($A252&lt;COUNTIFS($K$1:O$1,"&lt;&gt;"),0,SUMIFS($J:$J,$B:$B,$B252,$A:$A,"&gt;="&amp;COUNTIFS($K$1:O$1,"&lt;&gt;"))),0)</f>
        <v>0</v>
      </c>
      <c r="P252">
        <f>IFERROR($J252/IF($A252&lt;COUNTIFS($K$1:P$1,"&lt;&gt;"),0,SUMIFS($J:$J,$B:$B,$B252,$A:$A,"&gt;="&amp;COUNTIFS($K$1:P$1,"&lt;&gt;"))),0)</f>
        <v>0</v>
      </c>
      <c r="Q252">
        <f>IFERROR($J252/IF($A252&lt;COUNTIFS($K$1:Q$1,"&lt;&gt;"),0,SUMIFS($J:$J,$B:$B,$B252,$A:$A,"&gt;="&amp;COUNTIFS($K$1:Q$1,"&lt;&gt;"))),0)</f>
        <v>0</v>
      </c>
      <c r="R252">
        <f>IFERROR($J252/IF($A252&lt;COUNTIFS($K$1:R$1,"&lt;&gt;"),0,SUMIFS($J:$J,$B:$B,$B252,$A:$A,"&gt;="&amp;COUNTIFS($K$1:R$1,"&lt;&gt;"))),0)</f>
        <v>0</v>
      </c>
      <c r="S252">
        <f>IFERROR($J252/IF($A252&lt;COUNTIFS($K$1:S$1,"&lt;&gt;"),0,SUMIFS($J:$J,$B:$B,$B252,$A:$A,"&gt;="&amp;COUNTIFS($K$1:S$1,"&lt;&gt;"))),0)</f>
        <v>0</v>
      </c>
      <c r="T252">
        <f>IFERROR($J252/IF($A252&lt;COUNTIFS($K$1:T$1,"&lt;&gt;"),0,SUMIFS($J:$J,$B:$B,$B252,$A:$A,"&gt;="&amp;COUNTIFS($K$1:T$1,"&lt;&gt;"))),0)</f>
        <v>0</v>
      </c>
      <c r="U252">
        <f>IFERROR($J252/IF($A252&lt;COUNTIFS($K$1:U$1,"&lt;&gt;"),0,SUMIFS($J:$J,$B:$B,$B252,$A:$A,"&gt;="&amp;COUNTIFS($K$1:U$1,"&lt;&gt;"))),0)</f>
        <v>0</v>
      </c>
      <c r="V252">
        <f>IFERROR($J252/IF($A252&lt;COUNTIFS($K$1:V$1,"&lt;&gt;"),0,SUMIFS($J:$J,$B:$B,$B252,$A:$A,"&gt;="&amp;COUNTIFS($K$1:V$1,"&lt;&gt;"))),0)</f>
        <v>0</v>
      </c>
      <c r="W252">
        <f t="shared" si="90"/>
        <v>8.2191780821917804E-2</v>
      </c>
      <c r="X252">
        <f t="shared" si="70"/>
        <v>8.2191780821917804E-2</v>
      </c>
      <c r="Y252">
        <f t="shared" si="71"/>
        <v>8.2191780821917804E-2</v>
      </c>
      <c r="Z252">
        <f t="shared" si="72"/>
        <v>8.2191780821917804E-2</v>
      </c>
      <c r="AA252">
        <f t="shared" si="73"/>
        <v>0</v>
      </c>
      <c r="AB252">
        <f t="shared" si="74"/>
        <v>0</v>
      </c>
      <c r="AC252">
        <f t="shared" si="75"/>
        <v>0</v>
      </c>
      <c r="AD252">
        <f t="shared" si="76"/>
        <v>0</v>
      </c>
      <c r="AE252">
        <f t="shared" si="77"/>
        <v>0</v>
      </c>
      <c r="AF252">
        <f t="shared" si="78"/>
        <v>0</v>
      </c>
      <c r="AG252">
        <f t="shared" si="79"/>
        <v>0</v>
      </c>
      <c r="AH252">
        <f t="shared" si="80"/>
        <v>0</v>
      </c>
      <c r="AI252">
        <f t="shared" si="81"/>
        <v>0</v>
      </c>
      <c r="AJ252" s="2" t="str">
        <f t="shared" si="91"/>
        <v>344409</v>
      </c>
    </row>
    <row r="253" spans="1:36" x14ac:dyDescent="0.25">
      <c r="A253">
        <v>4</v>
      </c>
      <c r="B253" s="1">
        <v>44409</v>
      </c>
      <c r="C253" s="1">
        <f t="shared" si="82"/>
        <v>44531</v>
      </c>
      <c r="D253" s="1">
        <f t="shared" si="83"/>
        <v>44423</v>
      </c>
      <c r="E253" s="1">
        <f t="shared" si="84"/>
        <v>44531</v>
      </c>
      <c r="F253" s="1">
        <f t="shared" si="85"/>
        <v>44562</v>
      </c>
      <c r="G253" s="1">
        <f t="shared" si="86"/>
        <v>44788</v>
      </c>
      <c r="H253">
        <f t="shared" si="87"/>
        <v>365</v>
      </c>
      <c r="I253">
        <f t="shared" si="88"/>
        <v>31</v>
      </c>
      <c r="J253">
        <f t="shared" si="89"/>
        <v>8.4931506849315067E-2</v>
      </c>
      <c r="K253">
        <f>IFERROR($J253/IF($A253&lt;COUNTIFS($K$1:K$1,"&lt;&gt;"),0,SUMIFS($J:$J,$B:$B,$B253,$A:$A,"&gt;="&amp;COUNTIFS($K$1:K$1,"&lt;&gt;"))),0)</f>
        <v>8.9080459770114959E-2</v>
      </c>
      <c r="L253">
        <f>IFERROR($J253/IF($A253&lt;COUNTIFS($K$1:L$1,"&lt;&gt;"),0,SUMIFS($J:$J,$B:$B,$B253,$A:$A,"&gt;="&amp;COUNTIFS($K$1:L$1,"&lt;&gt;"))),0)</f>
        <v>9.7484276729559768E-2</v>
      </c>
      <c r="M253">
        <f>IFERROR($J253/IF($A253&lt;COUNTIFS($K$1:M$1,"&lt;&gt;"),0,SUMIFS($J:$J,$B:$B,$B253,$A:$A,"&gt;="&amp;COUNTIFS($K$1:M$1,"&lt;&gt;"))),0)</f>
        <v>0.10801393728222998</v>
      </c>
      <c r="N253">
        <f>IFERROR($J253/IF($A253&lt;COUNTIFS($K$1:N$1,"&lt;&gt;"),0,SUMIFS($J:$J,$B:$B,$B253,$A:$A,"&gt;="&amp;COUNTIFS($K$1:N$1,"&lt;&gt;"))),0)</f>
        <v>0.12062256809338523</v>
      </c>
      <c r="O253">
        <f>IFERROR($J253/IF($A253&lt;COUNTIFS($K$1:O$1,"&lt;&gt;"),0,SUMIFS($J:$J,$B:$B,$B253,$A:$A,"&gt;="&amp;COUNTIFS($K$1:O$1,"&lt;&gt;"))),0)</f>
        <v>0</v>
      </c>
      <c r="P253">
        <f>IFERROR($J253/IF($A253&lt;COUNTIFS($K$1:P$1,"&lt;&gt;"),0,SUMIFS($J:$J,$B:$B,$B253,$A:$A,"&gt;="&amp;COUNTIFS($K$1:P$1,"&lt;&gt;"))),0)</f>
        <v>0</v>
      </c>
      <c r="Q253">
        <f>IFERROR($J253/IF($A253&lt;COUNTIFS($K$1:Q$1,"&lt;&gt;"),0,SUMIFS($J:$J,$B:$B,$B253,$A:$A,"&gt;="&amp;COUNTIFS($K$1:Q$1,"&lt;&gt;"))),0)</f>
        <v>0</v>
      </c>
      <c r="R253">
        <f>IFERROR($J253/IF($A253&lt;COUNTIFS($K$1:R$1,"&lt;&gt;"),0,SUMIFS($J:$J,$B:$B,$B253,$A:$A,"&gt;="&amp;COUNTIFS($K$1:R$1,"&lt;&gt;"))),0)</f>
        <v>0</v>
      </c>
      <c r="S253">
        <f>IFERROR($J253/IF($A253&lt;COUNTIFS($K$1:S$1,"&lt;&gt;"),0,SUMIFS($J:$J,$B:$B,$B253,$A:$A,"&gt;="&amp;COUNTIFS($K$1:S$1,"&lt;&gt;"))),0)</f>
        <v>0</v>
      </c>
      <c r="T253">
        <f>IFERROR($J253/IF($A253&lt;COUNTIFS($K$1:T$1,"&lt;&gt;"),0,SUMIFS($J:$J,$B:$B,$B253,$A:$A,"&gt;="&amp;COUNTIFS($K$1:T$1,"&lt;&gt;"))),0)</f>
        <v>0</v>
      </c>
      <c r="U253">
        <f>IFERROR($J253/IF($A253&lt;COUNTIFS($K$1:U$1,"&lt;&gt;"),0,SUMIFS($J:$J,$B:$B,$B253,$A:$A,"&gt;="&amp;COUNTIFS($K$1:U$1,"&lt;&gt;"))),0)</f>
        <v>0</v>
      </c>
      <c r="V253">
        <f>IFERROR($J253/IF($A253&lt;COUNTIFS($K$1:V$1,"&lt;&gt;"),0,SUMIFS($J:$J,$B:$B,$B253,$A:$A,"&gt;="&amp;COUNTIFS($K$1:V$1,"&lt;&gt;"))),0)</f>
        <v>0</v>
      </c>
      <c r="W253">
        <f t="shared" si="90"/>
        <v>8.4931506849315067E-2</v>
      </c>
      <c r="X253">
        <f t="shared" si="70"/>
        <v>8.4931506849315067E-2</v>
      </c>
      <c r="Y253">
        <f t="shared" si="71"/>
        <v>8.4931506849315067E-2</v>
      </c>
      <c r="Z253">
        <f t="shared" si="72"/>
        <v>8.4931506849315067E-2</v>
      </c>
      <c r="AA253">
        <f t="shared" si="73"/>
        <v>8.4931506849315067E-2</v>
      </c>
      <c r="AB253">
        <f t="shared" si="74"/>
        <v>0</v>
      </c>
      <c r="AC253">
        <f t="shared" si="75"/>
        <v>0</v>
      </c>
      <c r="AD253">
        <f t="shared" si="76"/>
        <v>0</v>
      </c>
      <c r="AE253">
        <f t="shared" si="77"/>
        <v>0</v>
      </c>
      <c r="AF253">
        <f t="shared" si="78"/>
        <v>0</v>
      </c>
      <c r="AG253">
        <f t="shared" si="79"/>
        <v>0</v>
      </c>
      <c r="AH253">
        <f t="shared" si="80"/>
        <v>0</v>
      </c>
      <c r="AI253">
        <f t="shared" si="81"/>
        <v>0</v>
      </c>
      <c r="AJ253" s="2" t="str">
        <f t="shared" si="91"/>
        <v>444409</v>
      </c>
    </row>
    <row r="254" spans="1:36" x14ac:dyDescent="0.25">
      <c r="A254">
        <v>5</v>
      </c>
      <c r="B254" s="1">
        <v>44409</v>
      </c>
      <c r="C254" s="1">
        <f t="shared" si="82"/>
        <v>44562</v>
      </c>
      <c r="D254" s="1">
        <f t="shared" si="83"/>
        <v>44423</v>
      </c>
      <c r="E254" s="1">
        <f t="shared" si="84"/>
        <v>44562</v>
      </c>
      <c r="F254" s="1">
        <f t="shared" si="85"/>
        <v>44593</v>
      </c>
      <c r="G254" s="1">
        <f t="shared" si="86"/>
        <v>44788</v>
      </c>
      <c r="H254">
        <f t="shared" si="87"/>
        <v>365</v>
      </c>
      <c r="I254">
        <f t="shared" si="88"/>
        <v>31</v>
      </c>
      <c r="J254">
        <f t="shared" si="89"/>
        <v>8.4931506849315067E-2</v>
      </c>
      <c r="K254">
        <f>IFERROR($J254/IF($A254&lt;COUNTIFS($K$1:K$1,"&lt;&gt;"),0,SUMIFS($J:$J,$B:$B,$B254,$A:$A,"&gt;="&amp;COUNTIFS($K$1:K$1,"&lt;&gt;"))),0)</f>
        <v>8.9080459770114959E-2</v>
      </c>
      <c r="L254">
        <f>IFERROR($J254/IF($A254&lt;COUNTIFS($K$1:L$1,"&lt;&gt;"),0,SUMIFS($J:$J,$B:$B,$B254,$A:$A,"&gt;="&amp;COUNTIFS($K$1:L$1,"&lt;&gt;"))),0)</f>
        <v>9.7484276729559768E-2</v>
      </c>
      <c r="M254">
        <f>IFERROR($J254/IF($A254&lt;COUNTIFS($K$1:M$1,"&lt;&gt;"),0,SUMIFS($J:$J,$B:$B,$B254,$A:$A,"&gt;="&amp;COUNTIFS($K$1:M$1,"&lt;&gt;"))),0)</f>
        <v>0.10801393728222998</v>
      </c>
      <c r="N254">
        <f>IFERROR($J254/IF($A254&lt;COUNTIFS($K$1:N$1,"&lt;&gt;"),0,SUMIFS($J:$J,$B:$B,$B254,$A:$A,"&gt;="&amp;COUNTIFS($K$1:N$1,"&lt;&gt;"))),0)</f>
        <v>0.12062256809338523</v>
      </c>
      <c r="O254">
        <f>IFERROR($J254/IF($A254&lt;COUNTIFS($K$1:O$1,"&lt;&gt;"),0,SUMIFS($J:$J,$B:$B,$B254,$A:$A,"&gt;="&amp;COUNTIFS($K$1:O$1,"&lt;&gt;"))),0)</f>
        <v>0.13716814159292037</v>
      </c>
      <c r="P254">
        <f>IFERROR($J254/IF($A254&lt;COUNTIFS($K$1:P$1,"&lt;&gt;"),0,SUMIFS($J:$J,$B:$B,$B254,$A:$A,"&gt;="&amp;COUNTIFS($K$1:P$1,"&lt;&gt;"))),0)</f>
        <v>0</v>
      </c>
      <c r="Q254">
        <f>IFERROR($J254/IF($A254&lt;COUNTIFS($K$1:Q$1,"&lt;&gt;"),0,SUMIFS($J:$J,$B:$B,$B254,$A:$A,"&gt;="&amp;COUNTIFS($K$1:Q$1,"&lt;&gt;"))),0)</f>
        <v>0</v>
      </c>
      <c r="R254">
        <f>IFERROR($J254/IF($A254&lt;COUNTIFS($K$1:R$1,"&lt;&gt;"),0,SUMIFS($J:$J,$B:$B,$B254,$A:$A,"&gt;="&amp;COUNTIFS($K$1:R$1,"&lt;&gt;"))),0)</f>
        <v>0</v>
      </c>
      <c r="S254">
        <f>IFERROR($J254/IF($A254&lt;COUNTIFS($K$1:S$1,"&lt;&gt;"),0,SUMIFS($J:$J,$B:$B,$B254,$A:$A,"&gt;="&amp;COUNTIFS($K$1:S$1,"&lt;&gt;"))),0)</f>
        <v>0</v>
      </c>
      <c r="T254">
        <f>IFERROR($J254/IF($A254&lt;COUNTIFS($K$1:T$1,"&lt;&gt;"),0,SUMIFS($J:$J,$B:$B,$B254,$A:$A,"&gt;="&amp;COUNTIFS($K$1:T$1,"&lt;&gt;"))),0)</f>
        <v>0</v>
      </c>
      <c r="U254">
        <f>IFERROR($J254/IF($A254&lt;COUNTIFS($K$1:U$1,"&lt;&gt;"),0,SUMIFS($J:$J,$B:$B,$B254,$A:$A,"&gt;="&amp;COUNTIFS($K$1:U$1,"&lt;&gt;"))),0)</f>
        <v>0</v>
      </c>
      <c r="V254">
        <f>IFERROR($J254/IF($A254&lt;COUNTIFS($K$1:V$1,"&lt;&gt;"),0,SUMIFS($J:$J,$B:$B,$B254,$A:$A,"&gt;="&amp;COUNTIFS($K$1:V$1,"&lt;&gt;"))),0)</f>
        <v>0</v>
      </c>
      <c r="W254">
        <f t="shared" si="90"/>
        <v>8.4931506849315067E-2</v>
      </c>
      <c r="X254">
        <f t="shared" si="70"/>
        <v>8.4931506849315067E-2</v>
      </c>
      <c r="Y254">
        <f t="shared" si="71"/>
        <v>8.4931506849315067E-2</v>
      </c>
      <c r="Z254">
        <f t="shared" si="72"/>
        <v>8.4931506849315067E-2</v>
      </c>
      <c r="AA254">
        <f t="shared" si="73"/>
        <v>8.4931506849315067E-2</v>
      </c>
      <c r="AB254">
        <f t="shared" si="74"/>
        <v>8.4931506849315067E-2</v>
      </c>
      <c r="AC254">
        <f t="shared" si="75"/>
        <v>0</v>
      </c>
      <c r="AD254">
        <f t="shared" si="76"/>
        <v>0</v>
      </c>
      <c r="AE254">
        <f t="shared" si="77"/>
        <v>0</v>
      </c>
      <c r="AF254">
        <f t="shared" si="78"/>
        <v>0</v>
      </c>
      <c r="AG254">
        <f t="shared" si="79"/>
        <v>0</v>
      </c>
      <c r="AH254">
        <f t="shared" si="80"/>
        <v>0</v>
      </c>
      <c r="AI254">
        <f t="shared" si="81"/>
        <v>0</v>
      </c>
      <c r="AJ254" s="2" t="str">
        <f t="shared" si="91"/>
        <v>544409</v>
      </c>
    </row>
    <row r="255" spans="1:36" x14ac:dyDescent="0.25">
      <c r="A255">
        <v>6</v>
      </c>
      <c r="B255" s="1">
        <v>44409</v>
      </c>
      <c r="C255" s="1">
        <f t="shared" si="82"/>
        <v>44593</v>
      </c>
      <c r="D255" s="1">
        <f t="shared" si="83"/>
        <v>44423</v>
      </c>
      <c r="E255" s="1">
        <f t="shared" si="84"/>
        <v>44593</v>
      </c>
      <c r="F255" s="1">
        <f t="shared" si="85"/>
        <v>44621</v>
      </c>
      <c r="G255" s="1">
        <f t="shared" si="86"/>
        <v>44788</v>
      </c>
      <c r="H255">
        <f t="shared" si="87"/>
        <v>365</v>
      </c>
      <c r="I255">
        <f t="shared" si="88"/>
        <v>28</v>
      </c>
      <c r="J255">
        <f t="shared" si="89"/>
        <v>7.6712328767123292E-2</v>
      </c>
      <c r="K255">
        <f>IFERROR($J255/IF($A255&lt;COUNTIFS($K$1:K$1,"&lt;&gt;"),0,SUMIFS($J:$J,$B:$B,$B255,$A:$A,"&gt;="&amp;COUNTIFS($K$1:K$1,"&lt;&gt;"))),0)</f>
        <v>8.0459770114942541E-2</v>
      </c>
      <c r="L255">
        <f>IFERROR($J255/IF($A255&lt;COUNTIFS($K$1:L$1,"&lt;&gt;"),0,SUMIFS($J:$J,$B:$B,$B255,$A:$A,"&gt;="&amp;COUNTIFS($K$1:L$1,"&lt;&gt;"))),0)</f>
        <v>8.8050314465408827E-2</v>
      </c>
      <c r="M255">
        <f>IFERROR($J255/IF($A255&lt;COUNTIFS($K$1:M$1,"&lt;&gt;"),0,SUMIFS($J:$J,$B:$B,$B255,$A:$A,"&gt;="&amp;COUNTIFS($K$1:M$1,"&lt;&gt;"))),0)</f>
        <v>9.7560975609756115E-2</v>
      </c>
      <c r="N255">
        <f>IFERROR($J255/IF($A255&lt;COUNTIFS($K$1:N$1,"&lt;&gt;"),0,SUMIFS($J:$J,$B:$B,$B255,$A:$A,"&gt;="&amp;COUNTIFS($K$1:N$1,"&lt;&gt;"))),0)</f>
        <v>0.10894941634241248</v>
      </c>
      <c r="O255">
        <f>IFERROR($J255/IF($A255&lt;COUNTIFS($K$1:O$1,"&lt;&gt;"),0,SUMIFS($J:$J,$B:$B,$B255,$A:$A,"&gt;="&amp;COUNTIFS($K$1:O$1,"&lt;&gt;"))),0)</f>
        <v>0.12389380530973454</v>
      </c>
      <c r="P255">
        <f>IFERROR($J255/IF($A255&lt;COUNTIFS($K$1:P$1,"&lt;&gt;"),0,SUMIFS($J:$J,$B:$B,$B255,$A:$A,"&gt;="&amp;COUNTIFS($K$1:P$1,"&lt;&gt;"))),0)</f>
        <v>0.14358974358974361</v>
      </c>
      <c r="Q255">
        <f>IFERROR($J255/IF($A255&lt;COUNTIFS($K$1:Q$1,"&lt;&gt;"),0,SUMIFS($J:$J,$B:$B,$B255,$A:$A,"&gt;="&amp;COUNTIFS($K$1:Q$1,"&lt;&gt;"))),0)</f>
        <v>0</v>
      </c>
      <c r="R255">
        <f>IFERROR($J255/IF($A255&lt;COUNTIFS($K$1:R$1,"&lt;&gt;"),0,SUMIFS($J:$J,$B:$B,$B255,$A:$A,"&gt;="&amp;COUNTIFS($K$1:R$1,"&lt;&gt;"))),0)</f>
        <v>0</v>
      </c>
      <c r="S255">
        <f>IFERROR($J255/IF($A255&lt;COUNTIFS($K$1:S$1,"&lt;&gt;"),0,SUMIFS($J:$J,$B:$B,$B255,$A:$A,"&gt;="&amp;COUNTIFS($K$1:S$1,"&lt;&gt;"))),0)</f>
        <v>0</v>
      </c>
      <c r="T255">
        <f>IFERROR($J255/IF($A255&lt;COUNTIFS($K$1:T$1,"&lt;&gt;"),0,SUMIFS($J:$J,$B:$B,$B255,$A:$A,"&gt;="&amp;COUNTIFS($K$1:T$1,"&lt;&gt;"))),0)</f>
        <v>0</v>
      </c>
      <c r="U255">
        <f>IFERROR($J255/IF($A255&lt;COUNTIFS($K$1:U$1,"&lt;&gt;"),0,SUMIFS($J:$J,$B:$B,$B255,$A:$A,"&gt;="&amp;COUNTIFS($K$1:U$1,"&lt;&gt;"))),0)</f>
        <v>0</v>
      </c>
      <c r="V255">
        <f>IFERROR($J255/IF($A255&lt;COUNTIFS($K$1:V$1,"&lt;&gt;"),0,SUMIFS($J:$J,$B:$B,$B255,$A:$A,"&gt;="&amp;COUNTIFS($K$1:V$1,"&lt;&gt;"))),0)</f>
        <v>0</v>
      </c>
      <c r="W255">
        <f t="shared" si="90"/>
        <v>7.6712328767123292E-2</v>
      </c>
      <c r="X255">
        <f t="shared" si="70"/>
        <v>7.6712328767123292E-2</v>
      </c>
      <c r="Y255">
        <f t="shared" si="71"/>
        <v>7.6712328767123292E-2</v>
      </c>
      <c r="Z255">
        <f t="shared" si="72"/>
        <v>7.6712328767123292E-2</v>
      </c>
      <c r="AA255">
        <f t="shared" si="73"/>
        <v>7.6712328767123292E-2</v>
      </c>
      <c r="AB255">
        <f t="shared" si="74"/>
        <v>7.6712328767123292E-2</v>
      </c>
      <c r="AC255">
        <f t="shared" si="75"/>
        <v>7.6712328767123292E-2</v>
      </c>
      <c r="AD255">
        <f t="shared" si="76"/>
        <v>0</v>
      </c>
      <c r="AE255">
        <f t="shared" si="77"/>
        <v>0</v>
      </c>
      <c r="AF255">
        <f t="shared" si="78"/>
        <v>0</v>
      </c>
      <c r="AG255">
        <f t="shared" si="79"/>
        <v>0</v>
      </c>
      <c r="AH255">
        <f t="shared" si="80"/>
        <v>0</v>
      </c>
      <c r="AI255">
        <f t="shared" si="81"/>
        <v>0</v>
      </c>
      <c r="AJ255" s="2" t="str">
        <f t="shared" si="91"/>
        <v>644409</v>
      </c>
    </row>
    <row r="256" spans="1:36" x14ac:dyDescent="0.25">
      <c r="A256">
        <v>7</v>
      </c>
      <c r="B256" s="1">
        <v>44409</v>
      </c>
      <c r="C256" s="1">
        <f t="shared" si="82"/>
        <v>44621</v>
      </c>
      <c r="D256" s="1">
        <f t="shared" si="83"/>
        <v>44423</v>
      </c>
      <c r="E256" s="1">
        <f t="shared" si="84"/>
        <v>44621</v>
      </c>
      <c r="F256" s="1">
        <f t="shared" si="85"/>
        <v>44652</v>
      </c>
      <c r="G256" s="1">
        <f t="shared" si="86"/>
        <v>44788</v>
      </c>
      <c r="H256">
        <f t="shared" si="87"/>
        <v>365</v>
      </c>
      <c r="I256">
        <f t="shared" si="88"/>
        <v>31</v>
      </c>
      <c r="J256">
        <f t="shared" si="89"/>
        <v>8.4931506849315067E-2</v>
      </c>
      <c r="K256">
        <f>IFERROR($J256/IF($A256&lt;COUNTIFS($K$1:K$1,"&lt;&gt;"),0,SUMIFS($J:$J,$B:$B,$B256,$A:$A,"&gt;="&amp;COUNTIFS($K$1:K$1,"&lt;&gt;"))),0)</f>
        <v>8.9080459770114959E-2</v>
      </c>
      <c r="L256">
        <f>IFERROR($J256/IF($A256&lt;COUNTIFS($K$1:L$1,"&lt;&gt;"),0,SUMIFS($J:$J,$B:$B,$B256,$A:$A,"&gt;="&amp;COUNTIFS($K$1:L$1,"&lt;&gt;"))),0)</f>
        <v>9.7484276729559768E-2</v>
      </c>
      <c r="M256">
        <f>IFERROR($J256/IF($A256&lt;COUNTIFS($K$1:M$1,"&lt;&gt;"),0,SUMIFS($J:$J,$B:$B,$B256,$A:$A,"&gt;="&amp;COUNTIFS($K$1:M$1,"&lt;&gt;"))),0)</f>
        <v>0.10801393728222998</v>
      </c>
      <c r="N256">
        <f>IFERROR($J256/IF($A256&lt;COUNTIFS($K$1:N$1,"&lt;&gt;"),0,SUMIFS($J:$J,$B:$B,$B256,$A:$A,"&gt;="&amp;COUNTIFS($K$1:N$1,"&lt;&gt;"))),0)</f>
        <v>0.12062256809338523</v>
      </c>
      <c r="O256">
        <f>IFERROR($J256/IF($A256&lt;COUNTIFS($K$1:O$1,"&lt;&gt;"),0,SUMIFS($J:$J,$B:$B,$B256,$A:$A,"&gt;="&amp;COUNTIFS($K$1:O$1,"&lt;&gt;"))),0)</f>
        <v>0.13716814159292037</v>
      </c>
      <c r="P256">
        <f>IFERROR($J256/IF($A256&lt;COUNTIFS($K$1:P$1,"&lt;&gt;"),0,SUMIFS($J:$J,$B:$B,$B256,$A:$A,"&gt;="&amp;COUNTIFS($K$1:P$1,"&lt;&gt;"))),0)</f>
        <v>0.15897435897435899</v>
      </c>
      <c r="Q256">
        <f>IFERROR($J256/IF($A256&lt;COUNTIFS($K$1:Q$1,"&lt;&gt;"),0,SUMIFS($J:$J,$B:$B,$B256,$A:$A,"&gt;="&amp;COUNTIFS($K$1:Q$1,"&lt;&gt;"))),0)</f>
        <v>0.18562874251497008</v>
      </c>
      <c r="R256">
        <f>IFERROR($J256/IF($A256&lt;COUNTIFS($K$1:R$1,"&lt;&gt;"),0,SUMIFS($J:$J,$B:$B,$B256,$A:$A,"&gt;="&amp;COUNTIFS($K$1:R$1,"&lt;&gt;"))),0)</f>
        <v>0</v>
      </c>
      <c r="S256">
        <f>IFERROR($J256/IF($A256&lt;COUNTIFS($K$1:S$1,"&lt;&gt;"),0,SUMIFS($J:$J,$B:$B,$B256,$A:$A,"&gt;="&amp;COUNTIFS($K$1:S$1,"&lt;&gt;"))),0)</f>
        <v>0</v>
      </c>
      <c r="T256">
        <f>IFERROR($J256/IF($A256&lt;COUNTIFS($K$1:T$1,"&lt;&gt;"),0,SUMIFS($J:$J,$B:$B,$B256,$A:$A,"&gt;="&amp;COUNTIFS($K$1:T$1,"&lt;&gt;"))),0)</f>
        <v>0</v>
      </c>
      <c r="U256">
        <f>IFERROR($J256/IF($A256&lt;COUNTIFS($K$1:U$1,"&lt;&gt;"),0,SUMIFS($J:$J,$B:$B,$B256,$A:$A,"&gt;="&amp;COUNTIFS($K$1:U$1,"&lt;&gt;"))),0)</f>
        <v>0</v>
      </c>
      <c r="V256">
        <f>IFERROR($J256/IF($A256&lt;COUNTIFS($K$1:V$1,"&lt;&gt;"),0,SUMIFS($J:$J,$B:$B,$B256,$A:$A,"&gt;="&amp;COUNTIFS($K$1:V$1,"&lt;&gt;"))),0)</f>
        <v>0</v>
      </c>
      <c r="W256">
        <f t="shared" si="90"/>
        <v>8.4931506849315067E-2</v>
      </c>
      <c r="X256">
        <f t="shared" si="70"/>
        <v>8.4931506849315067E-2</v>
      </c>
      <c r="Y256">
        <f t="shared" si="71"/>
        <v>8.4931506849315067E-2</v>
      </c>
      <c r="Z256">
        <f t="shared" si="72"/>
        <v>8.4931506849315067E-2</v>
      </c>
      <c r="AA256">
        <f t="shared" si="73"/>
        <v>8.4931506849315067E-2</v>
      </c>
      <c r="AB256">
        <f t="shared" si="74"/>
        <v>8.4931506849315067E-2</v>
      </c>
      <c r="AC256">
        <f t="shared" si="75"/>
        <v>8.4931506849315067E-2</v>
      </c>
      <c r="AD256">
        <f t="shared" si="76"/>
        <v>8.4931506849315067E-2</v>
      </c>
      <c r="AE256">
        <f t="shared" si="77"/>
        <v>0</v>
      </c>
      <c r="AF256">
        <f t="shared" si="78"/>
        <v>0</v>
      </c>
      <c r="AG256">
        <f t="shared" si="79"/>
        <v>0</v>
      </c>
      <c r="AH256">
        <f t="shared" si="80"/>
        <v>0</v>
      </c>
      <c r="AI256">
        <f t="shared" si="81"/>
        <v>0</v>
      </c>
      <c r="AJ256" s="2" t="str">
        <f t="shared" si="91"/>
        <v>744409</v>
      </c>
    </row>
    <row r="257" spans="1:36" x14ac:dyDescent="0.25">
      <c r="A257">
        <v>8</v>
      </c>
      <c r="B257" s="1">
        <v>44409</v>
      </c>
      <c r="C257" s="1">
        <f t="shared" si="82"/>
        <v>44652</v>
      </c>
      <c r="D257" s="1">
        <f t="shared" si="83"/>
        <v>44423</v>
      </c>
      <c r="E257" s="1">
        <f t="shared" si="84"/>
        <v>44652</v>
      </c>
      <c r="F257" s="1">
        <f t="shared" si="85"/>
        <v>44682</v>
      </c>
      <c r="G257" s="1">
        <f t="shared" si="86"/>
        <v>44788</v>
      </c>
      <c r="H257">
        <f t="shared" si="87"/>
        <v>365</v>
      </c>
      <c r="I257">
        <f t="shared" si="88"/>
        <v>30</v>
      </c>
      <c r="J257">
        <f t="shared" si="89"/>
        <v>8.2191780821917804E-2</v>
      </c>
      <c r="K257">
        <f>IFERROR($J257/IF($A257&lt;COUNTIFS($K$1:K$1,"&lt;&gt;"),0,SUMIFS($J:$J,$B:$B,$B257,$A:$A,"&gt;="&amp;COUNTIFS($K$1:K$1,"&lt;&gt;"))),0)</f>
        <v>8.6206896551724144E-2</v>
      </c>
      <c r="L257">
        <f>IFERROR($J257/IF($A257&lt;COUNTIFS($K$1:L$1,"&lt;&gt;"),0,SUMIFS($J:$J,$B:$B,$B257,$A:$A,"&gt;="&amp;COUNTIFS($K$1:L$1,"&lt;&gt;"))),0)</f>
        <v>9.4339622641509441E-2</v>
      </c>
      <c r="M257">
        <f>IFERROR($J257/IF($A257&lt;COUNTIFS($K$1:M$1,"&lt;&gt;"),0,SUMIFS($J:$J,$B:$B,$B257,$A:$A,"&gt;="&amp;COUNTIFS($K$1:M$1,"&lt;&gt;"))),0)</f>
        <v>0.10452961672473869</v>
      </c>
      <c r="N257">
        <f>IFERROR($J257/IF($A257&lt;COUNTIFS($K$1:N$1,"&lt;&gt;"),0,SUMIFS($J:$J,$B:$B,$B257,$A:$A,"&gt;="&amp;COUNTIFS($K$1:N$1,"&lt;&gt;"))),0)</f>
        <v>0.11673151750972764</v>
      </c>
      <c r="O257">
        <f>IFERROR($J257/IF($A257&lt;COUNTIFS($K$1:O$1,"&lt;&gt;"),0,SUMIFS($J:$J,$B:$B,$B257,$A:$A,"&gt;="&amp;COUNTIFS($K$1:O$1,"&lt;&gt;"))),0)</f>
        <v>0.13274336283185842</v>
      </c>
      <c r="P257">
        <f>IFERROR($J257/IF($A257&lt;COUNTIFS($K$1:P$1,"&lt;&gt;"),0,SUMIFS($J:$J,$B:$B,$B257,$A:$A,"&gt;="&amp;COUNTIFS($K$1:P$1,"&lt;&gt;"))),0)</f>
        <v>0.15384615384615385</v>
      </c>
      <c r="Q257">
        <f>IFERROR($J257/IF($A257&lt;COUNTIFS($K$1:Q$1,"&lt;&gt;"),0,SUMIFS($J:$J,$B:$B,$B257,$A:$A,"&gt;="&amp;COUNTIFS($K$1:Q$1,"&lt;&gt;"))),0)</f>
        <v>0.17964071856287425</v>
      </c>
      <c r="R257">
        <f>IFERROR($J257/IF($A257&lt;COUNTIFS($K$1:R$1,"&lt;&gt;"),0,SUMIFS($J:$J,$B:$B,$B257,$A:$A,"&gt;="&amp;COUNTIFS($K$1:R$1,"&lt;&gt;"))),0)</f>
        <v>0.22058823529411764</v>
      </c>
      <c r="S257">
        <f>IFERROR($J257/IF($A257&lt;COUNTIFS($K$1:S$1,"&lt;&gt;"),0,SUMIFS($J:$J,$B:$B,$B257,$A:$A,"&gt;="&amp;COUNTIFS($K$1:S$1,"&lt;&gt;"))),0)</f>
        <v>0</v>
      </c>
      <c r="T257">
        <f>IFERROR($J257/IF($A257&lt;COUNTIFS($K$1:T$1,"&lt;&gt;"),0,SUMIFS($J:$J,$B:$B,$B257,$A:$A,"&gt;="&amp;COUNTIFS($K$1:T$1,"&lt;&gt;"))),0)</f>
        <v>0</v>
      </c>
      <c r="U257">
        <f>IFERROR($J257/IF($A257&lt;COUNTIFS($K$1:U$1,"&lt;&gt;"),0,SUMIFS($J:$J,$B:$B,$B257,$A:$A,"&gt;="&amp;COUNTIFS($K$1:U$1,"&lt;&gt;"))),0)</f>
        <v>0</v>
      </c>
      <c r="V257">
        <f>IFERROR($J257/IF($A257&lt;COUNTIFS($K$1:V$1,"&lt;&gt;"),0,SUMIFS($J:$J,$B:$B,$B257,$A:$A,"&gt;="&amp;COUNTIFS($K$1:V$1,"&lt;&gt;"))),0)</f>
        <v>0</v>
      </c>
      <c r="W257">
        <f t="shared" si="90"/>
        <v>8.2191780821917804E-2</v>
      </c>
      <c r="X257">
        <f t="shared" si="70"/>
        <v>8.2191780821917804E-2</v>
      </c>
      <c r="Y257">
        <f t="shared" si="71"/>
        <v>8.2191780821917804E-2</v>
      </c>
      <c r="Z257">
        <f t="shared" si="72"/>
        <v>8.2191780821917804E-2</v>
      </c>
      <c r="AA257">
        <f t="shared" si="73"/>
        <v>8.2191780821917804E-2</v>
      </c>
      <c r="AB257">
        <f t="shared" si="74"/>
        <v>8.2191780821917804E-2</v>
      </c>
      <c r="AC257">
        <f t="shared" si="75"/>
        <v>8.2191780821917804E-2</v>
      </c>
      <c r="AD257">
        <f t="shared" si="76"/>
        <v>8.2191780821917804E-2</v>
      </c>
      <c r="AE257">
        <f t="shared" si="77"/>
        <v>8.2191780821917804E-2</v>
      </c>
      <c r="AF257">
        <f t="shared" si="78"/>
        <v>0</v>
      </c>
      <c r="AG257">
        <f t="shared" si="79"/>
        <v>0</v>
      </c>
      <c r="AH257">
        <f t="shared" si="80"/>
        <v>0</v>
      </c>
      <c r="AI257">
        <f t="shared" si="81"/>
        <v>0</v>
      </c>
      <c r="AJ257" s="2" t="str">
        <f t="shared" si="91"/>
        <v>844409</v>
      </c>
    </row>
    <row r="258" spans="1:36" x14ac:dyDescent="0.25">
      <c r="A258">
        <v>9</v>
      </c>
      <c r="B258" s="1">
        <v>44409</v>
      </c>
      <c r="C258" s="1">
        <f t="shared" si="82"/>
        <v>44682</v>
      </c>
      <c r="D258" s="1">
        <f t="shared" si="83"/>
        <v>44423</v>
      </c>
      <c r="E258" s="1">
        <f t="shared" si="84"/>
        <v>44682</v>
      </c>
      <c r="F258" s="1">
        <f t="shared" si="85"/>
        <v>44713</v>
      </c>
      <c r="G258" s="1">
        <f t="shared" si="86"/>
        <v>44788</v>
      </c>
      <c r="H258">
        <f t="shared" si="87"/>
        <v>365</v>
      </c>
      <c r="I258">
        <f t="shared" si="88"/>
        <v>31</v>
      </c>
      <c r="J258">
        <f t="shared" si="89"/>
        <v>8.4931506849315067E-2</v>
      </c>
      <c r="K258">
        <f>IFERROR($J258/IF($A258&lt;COUNTIFS($K$1:K$1,"&lt;&gt;"),0,SUMIFS($J:$J,$B:$B,$B258,$A:$A,"&gt;="&amp;COUNTIFS($K$1:K$1,"&lt;&gt;"))),0)</f>
        <v>8.9080459770114959E-2</v>
      </c>
      <c r="L258">
        <f>IFERROR($J258/IF($A258&lt;COUNTIFS($K$1:L$1,"&lt;&gt;"),0,SUMIFS($J:$J,$B:$B,$B258,$A:$A,"&gt;="&amp;COUNTIFS($K$1:L$1,"&lt;&gt;"))),0)</f>
        <v>9.7484276729559768E-2</v>
      </c>
      <c r="M258">
        <f>IFERROR($J258/IF($A258&lt;COUNTIFS($K$1:M$1,"&lt;&gt;"),0,SUMIFS($J:$J,$B:$B,$B258,$A:$A,"&gt;="&amp;COUNTIFS($K$1:M$1,"&lt;&gt;"))),0)</f>
        <v>0.10801393728222998</v>
      </c>
      <c r="N258">
        <f>IFERROR($J258/IF($A258&lt;COUNTIFS($K$1:N$1,"&lt;&gt;"),0,SUMIFS($J:$J,$B:$B,$B258,$A:$A,"&gt;="&amp;COUNTIFS($K$1:N$1,"&lt;&gt;"))),0)</f>
        <v>0.12062256809338523</v>
      </c>
      <c r="O258">
        <f>IFERROR($J258/IF($A258&lt;COUNTIFS($K$1:O$1,"&lt;&gt;"),0,SUMIFS($J:$J,$B:$B,$B258,$A:$A,"&gt;="&amp;COUNTIFS($K$1:O$1,"&lt;&gt;"))),0)</f>
        <v>0.13716814159292037</v>
      </c>
      <c r="P258">
        <f>IFERROR($J258/IF($A258&lt;COUNTIFS($K$1:P$1,"&lt;&gt;"),0,SUMIFS($J:$J,$B:$B,$B258,$A:$A,"&gt;="&amp;COUNTIFS($K$1:P$1,"&lt;&gt;"))),0)</f>
        <v>0.15897435897435899</v>
      </c>
      <c r="Q258">
        <f>IFERROR($J258/IF($A258&lt;COUNTIFS($K$1:Q$1,"&lt;&gt;"),0,SUMIFS($J:$J,$B:$B,$B258,$A:$A,"&gt;="&amp;COUNTIFS($K$1:Q$1,"&lt;&gt;"))),0)</f>
        <v>0.18562874251497008</v>
      </c>
      <c r="R258">
        <f>IFERROR($J258/IF($A258&lt;COUNTIFS($K$1:R$1,"&lt;&gt;"),0,SUMIFS($J:$J,$B:$B,$B258,$A:$A,"&gt;="&amp;COUNTIFS($K$1:R$1,"&lt;&gt;"))),0)</f>
        <v>0.22794117647058826</v>
      </c>
      <c r="S258">
        <f>IFERROR($J258/IF($A258&lt;COUNTIFS($K$1:S$1,"&lt;&gt;"),0,SUMIFS($J:$J,$B:$B,$B258,$A:$A,"&gt;="&amp;COUNTIFS($K$1:S$1,"&lt;&gt;"))),0)</f>
        <v>0.29245283018867929</v>
      </c>
      <c r="T258">
        <f>IFERROR($J258/IF($A258&lt;COUNTIFS($K$1:T$1,"&lt;&gt;"),0,SUMIFS($J:$J,$B:$B,$B258,$A:$A,"&gt;="&amp;COUNTIFS($K$1:T$1,"&lt;&gt;"))),0)</f>
        <v>0</v>
      </c>
      <c r="U258">
        <f>IFERROR($J258/IF($A258&lt;COUNTIFS($K$1:U$1,"&lt;&gt;"),0,SUMIFS($J:$J,$B:$B,$B258,$A:$A,"&gt;="&amp;COUNTIFS($K$1:U$1,"&lt;&gt;"))),0)</f>
        <v>0</v>
      </c>
      <c r="V258">
        <f>IFERROR($J258/IF($A258&lt;COUNTIFS($K$1:V$1,"&lt;&gt;"),0,SUMIFS($J:$J,$B:$B,$B258,$A:$A,"&gt;="&amp;COUNTIFS($K$1:V$1,"&lt;&gt;"))),0)</f>
        <v>0</v>
      </c>
      <c r="W258">
        <f t="shared" si="90"/>
        <v>8.4931506849315067E-2</v>
      </c>
      <c r="X258">
        <f t="shared" ref="X258:X321" si="92">IF(K258=0,0,$J258)</f>
        <v>8.4931506849315067E-2</v>
      </c>
      <c r="Y258">
        <f t="shared" ref="Y258:Y321" si="93">IF(L258=0,0,$J258)</f>
        <v>8.4931506849315067E-2</v>
      </c>
      <c r="Z258">
        <f t="shared" ref="Z258:Z321" si="94">IF(M258=0,0,$J258)</f>
        <v>8.4931506849315067E-2</v>
      </c>
      <c r="AA258">
        <f t="shared" ref="AA258:AA321" si="95">IF(N258=0,0,$J258)</f>
        <v>8.4931506849315067E-2</v>
      </c>
      <c r="AB258">
        <f t="shared" ref="AB258:AB321" si="96">IF(O258=0,0,$J258)</f>
        <v>8.4931506849315067E-2</v>
      </c>
      <c r="AC258">
        <f t="shared" ref="AC258:AC321" si="97">IF(P258=0,0,$J258)</f>
        <v>8.4931506849315067E-2</v>
      </c>
      <c r="AD258">
        <f t="shared" ref="AD258:AD321" si="98">IF(Q258=0,0,$J258)</f>
        <v>8.4931506849315067E-2</v>
      </c>
      <c r="AE258">
        <f t="shared" ref="AE258:AE321" si="99">IF(R258=0,0,$J258)</f>
        <v>8.4931506849315067E-2</v>
      </c>
      <c r="AF258">
        <f t="shared" ref="AF258:AF321" si="100">IF(S258=0,0,$J258)</f>
        <v>8.4931506849315067E-2</v>
      </c>
      <c r="AG258">
        <f t="shared" ref="AG258:AG321" si="101">IF(T258=0,0,$J258)</f>
        <v>0</v>
      </c>
      <c r="AH258">
        <f t="shared" ref="AH258:AH321" si="102">IF(U258=0,0,$J258)</f>
        <v>0</v>
      </c>
      <c r="AI258">
        <f t="shared" ref="AI258:AI321" si="103">IF(V258=0,0,$J258)</f>
        <v>0</v>
      </c>
      <c r="AJ258" s="2" t="str">
        <f t="shared" si="91"/>
        <v>944409</v>
      </c>
    </row>
    <row r="259" spans="1:36" x14ac:dyDescent="0.25">
      <c r="A259">
        <v>10</v>
      </c>
      <c r="B259" s="1">
        <v>44409</v>
      </c>
      <c r="C259" s="1">
        <f t="shared" ref="C259:C322" si="104">EDATE(B259,A259)</f>
        <v>44713</v>
      </c>
      <c r="D259" s="1">
        <f t="shared" ref="D259:D322" si="105">B259+14</f>
        <v>44423</v>
      </c>
      <c r="E259" s="1">
        <f t="shared" ref="E259:E322" si="106">IF($A259=0,C259+14,C259)</f>
        <v>44713</v>
      </c>
      <c r="F259" s="1">
        <f t="shared" ref="F259:F322" si="107">IF(EDATE(C259,1)&gt;G259,G259,EDATE(C259,1))</f>
        <v>44743</v>
      </c>
      <c r="G259" s="1">
        <f t="shared" ref="G259:G322" si="108">EDATE(D259,12)</f>
        <v>44788</v>
      </c>
      <c r="H259">
        <f t="shared" ref="H259:H322" si="109">G259-D259</f>
        <v>365</v>
      </c>
      <c r="I259">
        <f t="shared" ref="I259:I322" si="110">F259-E259</f>
        <v>30</v>
      </c>
      <c r="J259">
        <f t="shared" ref="J259:J322" si="111">I259/H259</f>
        <v>8.2191780821917804E-2</v>
      </c>
      <c r="K259">
        <f>IFERROR($J259/IF($A259&lt;COUNTIFS($K$1:K$1,"&lt;&gt;"),0,SUMIFS($J:$J,$B:$B,$B259,$A:$A,"&gt;="&amp;COUNTIFS($K$1:K$1,"&lt;&gt;"))),0)</f>
        <v>8.6206896551724144E-2</v>
      </c>
      <c r="L259">
        <f>IFERROR($J259/IF($A259&lt;COUNTIFS($K$1:L$1,"&lt;&gt;"),0,SUMIFS($J:$J,$B:$B,$B259,$A:$A,"&gt;="&amp;COUNTIFS($K$1:L$1,"&lt;&gt;"))),0)</f>
        <v>9.4339622641509441E-2</v>
      </c>
      <c r="M259">
        <f>IFERROR($J259/IF($A259&lt;COUNTIFS($K$1:M$1,"&lt;&gt;"),0,SUMIFS($J:$J,$B:$B,$B259,$A:$A,"&gt;="&amp;COUNTIFS($K$1:M$1,"&lt;&gt;"))),0)</f>
        <v>0.10452961672473869</v>
      </c>
      <c r="N259">
        <f>IFERROR($J259/IF($A259&lt;COUNTIFS($K$1:N$1,"&lt;&gt;"),0,SUMIFS($J:$J,$B:$B,$B259,$A:$A,"&gt;="&amp;COUNTIFS($K$1:N$1,"&lt;&gt;"))),0)</f>
        <v>0.11673151750972764</v>
      </c>
      <c r="O259">
        <f>IFERROR($J259/IF($A259&lt;COUNTIFS($K$1:O$1,"&lt;&gt;"),0,SUMIFS($J:$J,$B:$B,$B259,$A:$A,"&gt;="&amp;COUNTIFS($K$1:O$1,"&lt;&gt;"))),0)</f>
        <v>0.13274336283185842</v>
      </c>
      <c r="P259">
        <f>IFERROR($J259/IF($A259&lt;COUNTIFS($K$1:P$1,"&lt;&gt;"),0,SUMIFS($J:$J,$B:$B,$B259,$A:$A,"&gt;="&amp;COUNTIFS($K$1:P$1,"&lt;&gt;"))),0)</f>
        <v>0.15384615384615385</v>
      </c>
      <c r="Q259">
        <f>IFERROR($J259/IF($A259&lt;COUNTIFS($K$1:Q$1,"&lt;&gt;"),0,SUMIFS($J:$J,$B:$B,$B259,$A:$A,"&gt;="&amp;COUNTIFS($K$1:Q$1,"&lt;&gt;"))),0)</f>
        <v>0.17964071856287425</v>
      </c>
      <c r="R259">
        <f>IFERROR($J259/IF($A259&lt;COUNTIFS($K$1:R$1,"&lt;&gt;"),0,SUMIFS($J:$J,$B:$B,$B259,$A:$A,"&gt;="&amp;COUNTIFS($K$1:R$1,"&lt;&gt;"))),0)</f>
        <v>0.22058823529411764</v>
      </c>
      <c r="S259">
        <f>IFERROR($J259/IF($A259&lt;COUNTIFS($K$1:S$1,"&lt;&gt;"),0,SUMIFS($J:$J,$B:$B,$B259,$A:$A,"&gt;="&amp;COUNTIFS($K$1:S$1,"&lt;&gt;"))),0)</f>
        <v>0.28301886792452829</v>
      </c>
      <c r="T259">
        <f>IFERROR($J259/IF($A259&lt;COUNTIFS($K$1:T$1,"&lt;&gt;"),0,SUMIFS($J:$J,$B:$B,$B259,$A:$A,"&gt;="&amp;COUNTIFS($K$1:T$1,"&lt;&gt;"))),0)</f>
        <v>0.4</v>
      </c>
      <c r="U259">
        <f>IFERROR($J259/IF($A259&lt;COUNTIFS($K$1:U$1,"&lt;&gt;"),0,SUMIFS($J:$J,$B:$B,$B259,$A:$A,"&gt;="&amp;COUNTIFS($K$1:U$1,"&lt;&gt;"))),0)</f>
        <v>0</v>
      </c>
      <c r="V259">
        <f>IFERROR($J259/IF($A259&lt;COUNTIFS($K$1:V$1,"&lt;&gt;"),0,SUMIFS($J:$J,$B:$B,$B259,$A:$A,"&gt;="&amp;COUNTIFS($K$1:V$1,"&lt;&gt;"))),0)</f>
        <v>0</v>
      </c>
      <c r="W259">
        <f t="shared" ref="W259:W322" si="112">IF(J259=0,0,$J259)</f>
        <v>8.2191780821917804E-2</v>
      </c>
      <c r="X259">
        <f t="shared" si="92"/>
        <v>8.2191780821917804E-2</v>
      </c>
      <c r="Y259">
        <f t="shared" si="93"/>
        <v>8.2191780821917804E-2</v>
      </c>
      <c r="Z259">
        <f t="shared" si="94"/>
        <v>8.2191780821917804E-2</v>
      </c>
      <c r="AA259">
        <f t="shared" si="95"/>
        <v>8.2191780821917804E-2</v>
      </c>
      <c r="AB259">
        <f t="shared" si="96"/>
        <v>8.2191780821917804E-2</v>
      </c>
      <c r="AC259">
        <f t="shared" si="97"/>
        <v>8.2191780821917804E-2</v>
      </c>
      <c r="AD259">
        <f t="shared" si="98"/>
        <v>8.2191780821917804E-2</v>
      </c>
      <c r="AE259">
        <f t="shared" si="99"/>
        <v>8.2191780821917804E-2</v>
      </c>
      <c r="AF259">
        <f t="shared" si="100"/>
        <v>8.2191780821917804E-2</v>
      </c>
      <c r="AG259">
        <f t="shared" si="101"/>
        <v>8.2191780821917804E-2</v>
      </c>
      <c r="AH259">
        <f t="shared" si="102"/>
        <v>0</v>
      </c>
      <c r="AI259">
        <f t="shared" si="103"/>
        <v>0</v>
      </c>
      <c r="AJ259" s="2" t="str">
        <f t="shared" ref="AJ259:AJ322" si="113">A259&amp;B259</f>
        <v>1044409</v>
      </c>
    </row>
    <row r="260" spans="1:36" x14ac:dyDescent="0.25">
      <c r="A260">
        <v>11</v>
      </c>
      <c r="B260" s="1">
        <v>44409</v>
      </c>
      <c r="C260" s="1">
        <f t="shared" si="104"/>
        <v>44743</v>
      </c>
      <c r="D260" s="1">
        <f t="shared" si="105"/>
        <v>44423</v>
      </c>
      <c r="E260" s="1">
        <f t="shared" si="106"/>
        <v>44743</v>
      </c>
      <c r="F260" s="1">
        <f t="shared" si="107"/>
        <v>44774</v>
      </c>
      <c r="G260" s="1">
        <f t="shared" si="108"/>
        <v>44788</v>
      </c>
      <c r="H260">
        <f t="shared" si="109"/>
        <v>365</v>
      </c>
      <c r="I260">
        <f t="shared" si="110"/>
        <v>31</v>
      </c>
      <c r="J260">
        <f t="shared" si="111"/>
        <v>8.4931506849315067E-2</v>
      </c>
      <c r="K260">
        <f>IFERROR($J260/IF($A260&lt;COUNTIFS($K$1:K$1,"&lt;&gt;"),0,SUMIFS($J:$J,$B:$B,$B260,$A:$A,"&gt;="&amp;COUNTIFS($K$1:K$1,"&lt;&gt;"))),0)</f>
        <v>8.9080459770114959E-2</v>
      </c>
      <c r="L260">
        <f>IFERROR($J260/IF($A260&lt;COUNTIFS($K$1:L$1,"&lt;&gt;"),0,SUMIFS($J:$J,$B:$B,$B260,$A:$A,"&gt;="&amp;COUNTIFS($K$1:L$1,"&lt;&gt;"))),0)</f>
        <v>9.7484276729559768E-2</v>
      </c>
      <c r="M260">
        <f>IFERROR($J260/IF($A260&lt;COUNTIFS($K$1:M$1,"&lt;&gt;"),0,SUMIFS($J:$J,$B:$B,$B260,$A:$A,"&gt;="&amp;COUNTIFS($K$1:M$1,"&lt;&gt;"))),0)</f>
        <v>0.10801393728222998</v>
      </c>
      <c r="N260">
        <f>IFERROR($J260/IF($A260&lt;COUNTIFS($K$1:N$1,"&lt;&gt;"),0,SUMIFS($J:$J,$B:$B,$B260,$A:$A,"&gt;="&amp;COUNTIFS($K$1:N$1,"&lt;&gt;"))),0)</f>
        <v>0.12062256809338523</v>
      </c>
      <c r="O260">
        <f>IFERROR($J260/IF($A260&lt;COUNTIFS($K$1:O$1,"&lt;&gt;"),0,SUMIFS($J:$J,$B:$B,$B260,$A:$A,"&gt;="&amp;COUNTIFS($K$1:O$1,"&lt;&gt;"))),0)</f>
        <v>0.13716814159292037</v>
      </c>
      <c r="P260">
        <f>IFERROR($J260/IF($A260&lt;COUNTIFS($K$1:P$1,"&lt;&gt;"),0,SUMIFS($J:$J,$B:$B,$B260,$A:$A,"&gt;="&amp;COUNTIFS($K$1:P$1,"&lt;&gt;"))),0)</f>
        <v>0.15897435897435899</v>
      </c>
      <c r="Q260">
        <f>IFERROR($J260/IF($A260&lt;COUNTIFS($K$1:Q$1,"&lt;&gt;"),0,SUMIFS($J:$J,$B:$B,$B260,$A:$A,"&gt;="&amp;COUNTIFS($K$1:Q$1,"&lt;&gt;"))),0)</f>
        <v>0.18562874251497008</v>
      </c>
      <c r="R260">
        <f>IFERROR($J260/IF($A260&lt;COUNTIFS($K$1:R$1,"&lt;&gt;"),0,SUMIFS($J:$J,$B:$B,$B260,$A:$A,"&gt;="&amp;COUNTIFS($K$1:R$1,"&lt;&gt;"))),0)</f>
        <v>0.22794117647058826</v>
      </c>
      <c r="S260">
        <f>IFERROR($J260/IF($A260&lt;COUNTIFS($K$1:S$1,"&lt;&gt;"),0,SUMIFS($J:$J,$B:$B,$B260,$A:$A,"&gt;="&amp;COUNTIFS($K$1:S$1,"&lt;&gt;"))),0)</f>
        <v>0.29245283018867929</v>
      </c>
      <c r="T260">
        <f>IFERROR($J260/IF($A260&lt;COUNTIFS($K$1:T$1,"&lt;&gt;"),0,SUMIFS($J:$J,$B:$B,$B260,$A:$A,"&gt;="&amp;COUNTIFS($K$1:T$1,"&lt;&gt;"))),0)</f>
        <v>0.41333333333333333</v>
      </c>
      <c r="U260">
        <f>IFERROR($J260/IF($A260&lt;COUNTIFS($K$1:U$1,"&lt;&gt;"),0,SUMIFS($J:$J,$B:$B,$B260,$A:$A,"&gt;="&amp;COUNTIFS($K$1:U$1,"&lt;&gt;"))),0)</f>
        <v>0.68888888888888888</v>
      </c>
      <c r="V260">
        <f>IFERROR($J260/IF($A260&lt;COUNTIFS($K$1:V$1,"&lt;&gt;"),0,SUMIFS($J:$J,$B:$B,$B260,$A:$A,"&gt;="&amp;COUNTIFS($K$1:V$1,"&lt;&gt;"))),0)</f>
        <v>0</v>
      </c>
      <c r="W260">
        <f t="shared" si="112"/>
        <v>8.4931506849315067E-2</v>
      </c>
      <c r="X260">
        <f t="shared" si="92"/>
        <v>8.4931506849315067E-2</v>
      </c>
      <c r="Y260">
        <f t="shared" si="93"/>
        <v>8.4931506849315067E-2</v>
      </c>
      <c r="Z260">
        <f t="shared" si="94"/>
        <v>8.4931506849315067E-2</v>
      </c>
      <c r="AA260">
        <f t="shared" si="95"/>
        <v>8.4931506849315067E-2</v>
      </c>
      <c r="AB260">
        <f t="shared" si="96"/>
        <v>8.4931506849315067E-2</v>
      </c>
      <c r="AC260">
        <f t="shared" si="97"/>
        <v>8.4931506849315067E-2</v>
      </c>
      <c r="AD260">
        <f t="shared" si="98"/>
        <v>8.4931506849315067E-2</v>
      </c>
      <c r="AE260">
        <f t="shared" si="99"/>
        <v>8.4931506849315067E-2</v>
      </c>
      <c r="AF260">
        <f t="shared" si="100"/>
        <v>8.4931506849315067E-2</v>
      </c>
      <c r="AG260">
        <f t="shared" si="101"/>
        <v>8.4931506849315067E-2</v>
      </c>
      <c r="AH260">
        <f t="shared" si="102"/>
        <v>8.4931506849315067E-2</v>
      </c>
      <c r="AI260">
        <f t="shared" si="103"/>
        <v>0</v>
      </c>
      <c r="AJ260" s="2" t="str">
        <f t="shared" si="113"/>
        <v>1144409</v>
      </c>
    </row>
    <row r="261" spans="1:36" x14ac:dyDescent="0.25">
      <c r="A261">
        <v>12</v>
      </c>
      <c r="B261" s="1">
        <v>44409</v>
      </c>
      <c r="C261" s="1">
        <f t="shared" si="104"/>
        <v>44774</v>
      </c>
      <c r="D261" s="1">
        <f t="shared" si="105"/>
        <v>44423</v>
      </c>
      <c r="E261" s="1">
        <f t="shared" si="106"/>
        <v>44774</v>
      </c>
      <c r="F261" s="1">
        <f t="shared" si="107"/>
        <v>44788</v>
      </c>
      <c r="G261" s="1">
        <f t="shared" si="108"/>
        <v>44788</v>
      </c>
      <c r="H261">
        <f t="shared" si="109"/>
        <v>365</v>
      </c>
      <c r="I261">
        <f t="shared" si="110"/>
        <v>14</v>
      </c>
      <c r="J261">
        <f t="shared" si="111"/>
        <v>3.8356164383561646E-2</v>
      </c>
      <c r="K261">
        <f>IFERROR($J261/IF($A261&lt;COUNTIFS($K$1:K$1,"&lt;&gt;"),0,SUMIFS($J:$J,$B:$B,$B261,$A:$A,"&gt;="&amp;COUNTIFS($K$1:K$1,"&lt;&gt;"))),0)</f>
        <v>4.0229885057471271E-2</v>
      </c>
      <c r="L261">
        <f>IFERROR($J261/IF($A261&lt;COUNTIFS($K$1:L$1,"&lt;&gt;"),0,SUMIFS($J:$J,$B:$B,$B261,$A:$A,"&gt;="&amp;COUNTIFS($K$1:L$1,"&lt;&gt;"))),0)</f>
        <v>4.4025157232704414E-2</v>
      </c>
      <c r="M261">
        <f>IFERROR($J261/IF($A261&lt;COUNTIFS($K$1:M$1,"&lt;&gt;"),0,SUMIFS($J:$J,$B:$B,$B261,$A:$A,"&gt;="&amp;COUNTIFS($K$1:M$1,"&lt;&gt;"))),0)</f>
        <v>4.8780487804878057E-2</v>
      </c>
      <c r="N261">
        <f>IFERROR($J261/IF($A261&lt;COUNTIFS($K$1:N$1,"&lt;&gt;"),0,SUMIFS($J:$J,$B:$B,$B261,$A:$A,"&gt;="&amp;COUNTIFS($K$1:N$1,"&lt;&gt;"))),0)</f>
        <v>5.447470817120624E-2</v>
      </c>
      <c r="O261">
        <f>IFERROR($J261/IF($A261&lt;COUNTIFS($K$1:O$1,"&lt;&gt;"),0,SUMIFS($J:$J,$B:$B,$B261,$A:$A,"&gt;="&amp;COUNTIFS($K$1:O$1,"&lt;&gt;"))),0)</f>
        <v>6.194690265486727E-2</v>
      </c>
      <c r="P261">
        <f>IFERROR($J261/IF($A261&lt;COUNTIFS($K$1:P$1,"&lt;&gt;"),0,SUMIFS($J:$J,$B:$B,$B261,$A:$A,"&gt;="&amp;COUNTIFS($K$1:P$1,"&lt;&gt;"))),0)</f>
        <v>7.1794871794871803E-2</v>
      </c>
      <c r="Q261">
        <f>IFERROR($J261/IF($A261&lt;COUNTIFS($K$1:Q$1,"&lt;&gt;"),0,SUMIFS($J:$J,$B:$B,$B261,$A:$A,"&gt;="&amp;COUNTIFS($K$1:Q$1,"&lt;&gt;"))),0)</f>
        <v>8.3832335329341326E-2</v>
      </c>
      <c r="R261">
        <f>IFERROR($J261/IF($A261&lt;COUNTIFS($K$1:R$1,"&lt;&gt;"),0,SUMIFS($J:$J,$B:$B,$B261,$A:$A,"&gt;="&amp;COUNTIFS($K$1:R$1,"&lt;&gt;"))),0)</f>
        <v>0.10294117647058824</v>
      </c>
      <c r="S261">
        <f>IFERROR($J261/IF($A261&lt;COUNTIFS($K$1:S$1,"&lt;&gt;"),0,SUMIFS($J:$J,$B:$B,$B261,$A:$A,"&gt;="&amp;COUNTIFS($K$1:S$1,"&lt;&gt;"))),0)</f>
        <v>0.13207547169811323</v>
      </c>
      <c r="T261">
        <f>IFERROR($J261/IF($A261&lt;COUNTIFS($K$1:T$1,"&lt;&gt;"),0,SUMIFS($J:$J,$B:$B,$B261,$A:$A,"&gt;="&amp;COUNTIFS($K$1:T$1,"&lt;&gt;"))),0)</f>
        <v>0.18666666666666668</v>
      </c>
      <c r="U261">
        <f>IFERROR($J261/IF($A261&lt;COUNTIFS($K$1:U$1,"&lt;&gt;"),0,SUMIFS($J:$J,$B:$B,$B261,$A:$A,"&gt;="&amp;COUNTIFS($K$1:U$1,"&lt;&gt;"))),0)</f>
        <v>0.31111111111111117</v>
      </c>
      <c r="V261">
        <f>IFERROR($J261/IF($A261&lt;COUNTIFS($K$1:V$1,"&lt;&gt;"),0,SUMIFS($J:$J,$B:$B,$B261,$A:$A,"&gt;="&amp;COUNTIFS($K$1:V$1,"&lt;&gt;"))),0)</f>
        <v>1</v>
      </c>
      <c r="W261">
        <f t="shared" si="112"/>
        <v>3.8356164383561646E-2</v>
      </c>
      <c r="X261">
        <f t="shared" si="92"/>
        <v>3.8356164383561646E-2</v>
      </c>
      <c r="Y261">
        <f t="shared" si="93"/>
        <v>3.8356164383561646E-2</v>
      </c>
      <c r="Z261">
        <f t="shared" si="94"/>
        <v>3.8356164383561646E-2</v>
      </c>
      <c r="AA261">
        <f t="shared" si="95"/>
        <v>3.8356164383561646E-2</v>
      </c>
      <c r="AB261">
        <f t="shared" si="96"/>
        <v>3.8356164383561646E-2</v>
      </c>
      <c r="AC261">
        <f t="shared" si="97"/>
        <v>3.8356164383561646E-2</v>
      </c>
      <c r="AD261">
        <f t="shared" si="98"/>
        <v>3.8356164383561646E-2</v>
      </c>
      <c r="AE261">
        <f t="shared" si="99"/>
        <v>3.8356164383561646E-2</v>
      </c>
      <c r="AF261">
        <f t="shared" si="100"/>
        <v>3.8356164383561646E-2</v>
      </c>
      <c r="AG261">
        <f t="shared" si="101"/>
        <v>3.8356164383561646E-2</v>
      </c>
      <c r="AH261">
        <f t="shared" si="102"/>
        <v>3.8356164383561646E-2</v>
      </c>
      <c r="AI261">
        <f t="shared" si="103"/>
        <v>3.8356164383561646E-2</v>
      </c>
      <c r="AJ261" s="2" t="str">
        <f t="shared" si="113"/>
        <v>1244409</v>
      </c>
    </row>
    <row r="262" spans="1:36" x14ac:dyDescent="0.25">
      <c r="A262">
        <v>0</v>
      </c>
      <c r="B262" s="1">
        <v>44440</v>
      </c>
      <c r="C262" s="1">
        <f t="shared" si="104"/>
        <v>44440</v>
      </c>
      <c r="D262" s="1">
        <f t="shared" si="105"/>
        <v>44454</v>
      </c>
      <c r="E262" s="1">
        <f t="shared" si="106"/>
        <v>44454</v>
      </c>
      <c r="F262" s="1">
        <f t="shared" si="107"/>
        <v>44470</v>
      </c>
      <c r="G262" s="1">
        <f t="shared" si="108"/>
        <v>44819</v>
      </c>
      <c r="H262">
        <f t="shared" si="109"/>
        <v>365</v>
      </c>
      <c r="I262">
        <f t="shared" si="110"/>
        <v>16</v>
      </c>
      <c r="J262">
        <f t="shared" si="111"/>
        <v>4.3835616438356165E-2</v>
      </c>
      <c r="K262">
        <f>IFERROR($J262/IF($A262&lt;COUNTIFS($K$1:K$1,"&lt;&gt;"),0,SUMIFS($J:$J,$B:$B,$B262,$A:$A,"&gt;="&amp;COUNTIFS($K$1:K$1,"&lt;&gt;"))),0)</f>
        <v>0</v>
      </c>
      <c r="L262">
        <f>IFERROR($J262/IF($A262&lt;COUNTIFS($K$1:L$1,"&lt;&gt;"),0,SUMIFS($J:$J,$B:$B,$B262,$A:$A,"&gt;="&amp;COUNTIFS($K$1:L$1,"&lt;&gt;"))),0)</f>
        <v>0</v>
      </c>
      <c r="M262">
        <f>IFERROR($J262/IF($A262&lt;COUNTIFS($K$1:M$1,"&lt;&gt;"),0,SUMIFS($J:$J,$B:$B,$B262,$A:$A,"&gt;="&amp;COUNTIFS($K$1:M$1,"&lt;&gt;"))),0)</f>
        <v>0</v>
      </c>
      <c r="N262">
        <f>IFERROR($J262/IF($A262&lt;COUNTIFS($K$1:N$1,"&lt;&gt;"),0,SUMIFS($J:$J,$B:$B,$B262,$A:$A,"&gt;="&amp;COUNTIFS($K$1:N$1,"&lt;&gt;"))),0)</f>
        <v>0</v>
      </c>
      <c r="O262">
        <f>IFERROR($J262/IF($A262&lt;COUNTIFS($K$1:O$1,"&lt;&gt;"),0,SUMIFS($J:$J,$B:$B,$B262,$A:$A,"&gt;="&amp;COUNTIFS($K$1:O$1,"&lt;&gt;"))),0)</f>
        <v>0</v>
      </c>
      <c r="P262">
        <f>IFERROR($J262/IF($A262&lt;COUNTIFS($K$1:P$1,"&lt;&gt;"),0,SUMIFS($J:$J,$B:$B,$B262,$A:$A,"&gt;="&amp;COUNTIFS($K$1:P$1,"&lt;&gt;"))),0)</f>
        <v>0</v>
      </c>
      <c r="Q262">
        <f>IFERROR($J262/IF($A262&lt;COUNTIFS($K$1:Q$1,"&lt;&gt;"),0,SUMIFS($J:$J,$B:$B,$B262,$A:$A,"&gt;="&amp;COUNTIFS($K$1:Q$1,"&lt;&gt;"))),0)</f>
        <v>0</v>
      </c>
      <c r="R262">
        <f>IFERROR($J262/IF($A262&lt;COUNTIFS($K$1:R$1,"&lt;&gt;"),0,SUMIFS($J:$J,$B:$B,$B262,$A:$A,"&gt;="&amp;COUNTIFS($K$1:R$1,"&lt;&gt;"))),0)</f>
        <v>0</v>
      </c>
      <c r="S262">
        <f>IFERROR($J262/IF($A262&lt;COUNTIFS($K$1:S$1,"&lt;&gt;"),0,SUMIFS($J:$J,$B:$B,$B262,$A:$A,"&gt;="&amp;COUNTIFS($K$1:S$1,"&lt;&gt;"))),0)</f>
        <v>0</v>
      </c>
      <c r="T262">
        <f>IFERROR($J262/IF($A262&lt;COUNTIFS($K$1:T$1,"&lt;&gt;"),0,SUMIFS($J:$J,$B:$B,$B262,$A:$A,"&gt;="&amp;COUNTIFS($K$1:T$1,"&lt;&gt;"))),0)</f>
        <v>0</v>
      </c>
      <c r="U262">
        <f>IFERROR($J262/IF($A262&lt;COUNTIFS($K$1:U$1,"&lt;&gt;"),0,SUMIFS($J:$J,$B:$B,$B262,$A:$A,"&gt;="&amp;COUNTIFS($K$1:U$1,"&lt;&gt;"))),0)</f>
        <v>0</v>
      </c>
      <c r="V262">
        <f>IFERROR($J262/IF($A262&lt;COUNTIFS($K$1:V$1,"&lt;&gt;"),0,SUMIFS($J:$J,$B:$B,$B262,$A:$A,"&gt;="&amp;COUNTIFS($K$1:V$1,"&lt;&gt;"))),0)</f>
        <v>0</v>
      </c>
      <c r="W262">
        <f t="shared" si="112"/>
        <v>4.3835616438356165E-2</v>
      </c>
      <c r="X262">
        <f t="shared" si="92"/>
        <v>0</v>
      </c>
      <c r="Y262">
        <f t="shared" si="93"/>
        <v>0</v>
      </c>
      <c r="Z262">
        <f t="shared" si="94"/>
        <v>0</v>
      </c>
      <c r="AA262">
        <f t="shared" si="95"/>
        <v>0</v>
      </c>
      <c r="AB262">
        <f t="shared" si="96"/>
        <v>0</v>
      </c>
      <c r="AC262">
        <f t="shared" si="97"/>
        <v>0</v>
      </c>
      <c r="AD262">
        <f t="shared" si="98"/>
        <v>0</v>
      </c>
      <c r="AE262">
        <f t="shared" si="99"/>
        <v>0</v>
      </c>
      <c r="AF262">
        <f t="shared" si="100"/>
        <v>0</v>
      </c>
      <c r="AG262">
        <f t="shared" si="101"/>
        <v>0</v>
      </c>
      <c r="AH262">
        <f t="shared" si="102"/>
        <v>0</v>
      </c>
      <c r="AI262">
        <f t="shared" si="103"/>
        <v>0</v>
      </c>
      <c r="AJ262" s="2" t="str">
        <f t="shared" si="113"/>
        <v>044440</v>
      </c>
    </row>
    <row r="263" spans="1:36" x14ac:dyDescent="0.25">
      <c r="A263">
        <v>1</v>
      </c>
      <c r="B263" s="1">
        <v>44440</v>
      </c>
      <c r="C263" s="1">
        <f t="shared" si="104"/>
        <v>44470</v>
      </c>
      <c r="D263" s="1">
        <f t="shared" si="105"/>
        <v>44454</v>
      </c>
      <c r="E263" s="1">
        <f t="shared" si="106"/>
        <v>44470</v>
      </c>
      <c r="F263" s="1">
        <f t="shared" si="107"/>
        <v>44501</v>
      </c>
      <c r="G263" s="1">
        <f t="shared" si="108"/>
        <v>44819</v>
      </c>
      <c r="H263">
        <f t="shared" si="109"/>
        <v>365</v>
      </c>
      <c r="I263">
        <f t="shared" si="110"/>
        <v>31</v>
      </c>
      <c r="J263">
        <f t="shared" si="111"/>
        <v>8.4931506849315067E-2</v>
      </c>
      <c r="K263">
        <f>IFERROR($J263/IF($A263&lt;COUNTIFS($K$1:K$1,"&lt;&gt;"),0,SUMIFS($J:$J,$B:$B,$B263,$A:$A,"&gt;="&amp;COUNTIFS($K$1:K$1,"&lt;&gt;"))),0)</f>
        <v>8.8825214899713484E-2</v>
      </c>
      <c r="L263">
        <f>IFERROR($J263/IF($A263&lt;COUNTIFS($K$1:L$1,"&lt;&gt;"),0,SUMIFS($J:$J,$B:$B,$B263,$A:$A,"&gt;="&amp;COUNTIFS($K$1:L$1,"&lt;&gt;"))),0)</f>
        <v>0</v>
      </c>
      <c r="M263">
        <f>IFERROR($J263/IF($A263&lt;COUNTIFS($K$1:M$1,"&lt;&gt;"),0,SUMIFS($J:$J,$B:$B,$B263,$A:$A,"&gt;="&amp;COUNTIFS($K$1:M$1,"&lt;&gt;"))),0)</f>
        <v>0</v>
      </c>
      <c r="N263">
        <f>IFERROR($J263/IF($A263&lt;COUNTIFS($K$1:N$1,"&lt;&gt;"),0,SUMIFS($J:$J,$B:$B,$B263,$A:$A,"&gt;="&amp;COUNTIFS($K$1:N$1,"&lt;&gt;"))),0)</f>
        <v>0</v>
      </c>
      <c r="O263">
        <f>IFERROR($J263/IF($A263&lt;COUNTIFS($K$1:O$1,"&lt;&gt;"),0,SUMIFS($J:$J,$B:$B,$B263,$A:$A,"&gt;="&amp;COUNTIFS($K$1:O$1,"&lt;&gt;"))),0)</f>
        <v>0</v>
      </c>
      <c r="P263">
        <f>IFERROR($J263/IF($A263&lt;COUNTIFS($K$1:P$1,"&lt;&gt;"),0,SUMIFS($J:$J,$B:$B,$B263,$A:$A,"&gt;="&amp;COUNTIFS($K$1:P$1,"&lt;&gt;"))),0)</f>
        <v>0</v>
      </c>
      <c r="Q263">
        <f>IFERROR($J263/IF($A263&lt;COUNTIFS($K$1:Q$1,"&lt;&gt;"),0,SUMIFS($J:$J,$B:$B,$B263,$A:$A,"&gt;="&amp;COUNTIFS($K$1:Q$1,"&lt;&gt;"))),0)</f>
        <v>0</v>
      </c>
      <c r="R263">
        <f>IFERROR($J263/IF($A263&lt;COUNTIFS($K$1:R$1,"&lt;&gt;"),0,SUMIFS($J:$J,$B:$B,$B263,$A:$A,"&gt;="&amp;COUNTIFS($K$1:R$1,"&lt;&gt;"))),0)</f>
        <v>0</v>
      </c>
      <c r="S263">
        <f>IFERROR($J263/IF($A263&lt;COUNTIFS($K$1:S$1,"&lt;&gt;"),0,SUMIFS($J:$J,$B:$B,$B263,$A:$A,"&gt;="&amp;COUNTIFS($K$1:S$1,"&lt;&gt;"))),0)</f>
        <v>0</v>
      </c>
      <c r="T263">
        <f>IFERROR($J263/IF($A263&lt;COUNTIFS($K$1:T$1,"&lt;&gt;"),0,SUMIFS($J:$J,$B:$B,$B263,$A:$A,"&gt;="&amp;COUNTIFS($K$1:T$1,"&lt;&gt;"))),0)</f>
        <v>0</v>
      </c>
      <c r="U263">
        <f>IFERROR($J263/IF($A263&lt;COUNTIFS($K$1:U$1,"&lt;&gt;"),0,SUMIFS($J:$J,$B:$B,$B263,$A:$A,"&gt;="&amp;COUNTIFS($K$1:U$1,"&lt;&gt;"))),0)</f>
        <v>0</v>
      </c>
      <c r="V263">
        <f>IFERROR($J263/IF($A263&lt;COUNTIFS($K$1:V$1,"&lt;&gt;"),0,SUMIFS($J:$J,$B:$B,$B263,$A:$A,"&gt;="&amp;COUNTIFS($K$1:V$1,"&lt;&gt;"))),0)</f>
        <v>0</v>
      </c>
      <c r="W263">
        <f t="shared" si="112"/>
        <v>8.4931506849315067E-2</v>
      </c>
      <c r="X263">
        <f t="shared" si="92"/>
        <v>8.4931506849315067E-2</v>
      </c>
      <c r="Y263">
        <f t="shared" si="93"/>
        <v>0</v>
      </c>
      <c r="Z263">
        <f t="shared" si="94"/>
        <v>0</v>
      </c>
      <c r="AA263">
        <f t="shared" si="95"/>
        <v>0</v>
      </c>
      <c r="AB263">
        <f t="shared" si="96"/>
        <v>0</v>
      </c>
      <c r="AC263">
        <f t="shared" si="97"/>
        <v>0</v>
      </c>
      <c r="AD263">
        <f t="shared" si="98"/>
        <v>0</v>
      </c>
      <c r="AE263">
        <f t="shared" si="99"/>
        <v>0</v>
      </c>
      <c r="AF263">
        <f t="shared" si="100"/>
        <v>0</v>
      </c>
      <c r="AG263">
        <f t="shared" si="101"/>
        <v>0</v>
      </c>
      <c r="AH263">
        <f t="shared" si="102"/>
        <v>0</v>
      </c>
      <c r="AI263">
        <f t="shared" si="103"/>
        <v>0</v>
      </c>
      <c r="AJ263" s="2" t="str">
        <f t="shared" si="113"/>
        <v>144440</v>
      </c>
    </row>
    <row r="264" spans="1:36" x14ac:dyDescent="0.25">
      <c r="A264">
        <v>2</v>
      </c>
      <c r="B264" s="1">
        <v>44440</v>
      </c>
      <c r="C264" s="1">
        <f t="shared" si="104"/>
        <v>44501</v>
      </c>
      <c r="D264" s="1">
        <f t="shared" si="105"/>
        <v>44454</v>
      </c>
      <c r="E264" s="1">
        <f t="shared" si="106"/>
        <v>44501</v>
      </c>
      <c r="F264" s="1">
        <f t="shared" si="107"/>
        <v>44531</v>
      </c>
      <c r="G264" s="1">
        <f t="shared" si="108"/>
        <v>44819</v>
      </c>
      <c r="H264">
        <f t="shared" si="109"/>
        <v>365</v>
      </c>
      <c r="I264">
        <f t="shared" si="110"/>
        <v>30</v>
      </c>
      <c r="J264">
        <f t="shared" si="111"/>
        <v>8.2191780821917804E-2</v>
      </c>
      <c r="K264">
        <f>IFERROR($J264/IF($A264&lt;COUNTIFS($K$1:K$1,"&lt;&gt;"),0,SUMIFS($J:$J,$B:$B,$B264,$A:$A,"&gt;="&amp;COUNTIFS($K$1:K$1,"&lt;&gt;"))),0)</f>
        <v>8.5959885386819493E-2</v>
      </c>
      <c r="L264">
        <f>IFERROR($J264/IF($A264&lt;COUNTIFS($K$1:L$1,"&lt;&gt;"),0,SUMIFS($J:$J,$B:$B,$B264,$A:$A,"&gt;="&amp;COUNTIFS($K$1:L$1,"&lt;&gt;"))),0)</f>
        <v>9.4339622641509441E-2</v>
      </c>
      <c r="M264">
        <f>IFERROR($J264/IF($A264&lt;COUNTIFS($K$1:M$1,"&lt;&gt;"),0,SUMIFS($J:$J,$B:$B,$B264,$A:$A,"&gt;="&amp;COUNTIFS($K$1:M$1,"&lt;&gt;"))),0)</f>
        <v>0</v>
      </c>
      <c r="N264">
        <f>IFERROR($J264/IF($A264&lt;COUNTIFS($K$1:N$1,"&lt;&gt;"),0,SUMIFS($J:$J,$B:$B,$B264,$A:$A,"&gt;="&amp;COUNTIFS($K$1:N$1,"&lt;&gt;"))),0)</f>
        <v>0</v>
      </c>
      <c r="O264">
        <f>IFERROR($J264/IF($A264&lt;COUNTIFS($K$1:O$1,"&lt;&gt;"),0,SUMIFS($J:$J,$B:$B,$B264,$A:$A,"&gt;="&amp;COUNTIFS($K$1:O$1,"&lt;&gt;"))),0)</f>
        <v>0</v>
      </c>
      <c r="P264">
        <f>IFERROR($J264/IF($A264&lt;COUNTIFS($K$1:P$1,"&lt;&gt;"),0,SUMIFS($J:$J,$B:$B,$B264,$A:$A,"&gt;="&amp;COUNTIFS($K$1:P$1,"&lt;&gt;"))),0)</f>
        <v>0</v>
      </c>
      <c r="Q264">
        <f>IFERROR($J264/IF($A264&lt;COUNTIFS($K$1:Q$1,"&lt;&gt;"),0,SUMIFS($J:$J,$B:$B,$B264,$A:$A,"&gt;="&amp;COUNTIFS($K$1:Q$1,"&lt;&gt;"))),0)</f>
        <v>0</v>
      </c>
      <c r="R264">
        <f>IFERROR($J264/IF($A264&lt;COUNTIFS($K$1:R$1,"&lt;&gt;"),0,SUMIFS($J:$J,$B:$B,$B264,$A:$A,"&gt;="&amp;COUNTIFS($K$1:R$1,"&lt;&gt;"))),0)</f>
        <v>0</v>
      </c>
      <c r="S264">
        <f>IFERROR($J264/IF($A264&lt;COUNTIFS($K$1:S$1,"&lt;&gt;"),0,SUMIFS($J:$J,$B:$B,$B264,$A:$A,"&gt;="&amp;COUNTIFS($K$1:S$1,"&lt;&gt;"))),0)</f>
        <v>0</v>
      </c>
      <c r="T264">
        <f>IFERROR($J264/IF($A264&lt;COUNTIFS($K$1:T$1,"&lt;&gt;"),0,SUMIFS($J:$J,$B:$B,$B264,$A:$A,"&gt;="&amp;COUNTIFS($K$1:T$1,"&lt;&gt;"))),0)</f>
        <v>0</v>
      </c>
      <c r="U264">
        <f>IFERROR($J264/IF($A264&lt;COUNTIFS($K$1:U$1,"&lt;&gt;"),0,SUMIFS($J:$J,$B:$B,$B264,$A:$A,"&gt;="&amp;COUNTIFS($K$1:U$1,"&lt;&gt;"))),0)</f>
        <v>0</v>
      </c>
      <c r="V264">
        <f>IFERROR($J264/IF($A264&lt;COUNTIFS($K$1:V$1,"&lt;&gt;"),0,SUMIFS($J:$J,$B:$B,$B264,$A:$A,"&gt;="&amp;COUNTIFS($K$1:V$1,"&lt;&gt;"))),0)</f>
        <v>0</v>
      </c>
      <c r="W264">
        <f t="shared" si="112"/>
        <v>8.2191780821917804E-2</v>
      </c>
      <c r="X264">
        <f t="shared" si="92"/>
        <v>8.2191780821917804E-2</v>
      </c>
      <c r="Y264">
        <f t="shared" si="93"/>
        <v>8.2191780821917804E-2</v>
      </c>
      <c r="Z264">
        <f t="shared" si="94"/>
        <v>0</v>
      </c>
      <c r="AA264">
        <f t="shared" si="95"/>
        <v>0</v>
      </c>
      <c r="AB264">
        <f t="shared" si="96"/>
        <v>0</v>
      </c>
      <c r="AC264">
        <f t="shared" si="97"/>
        <v>0</v>
      </c>
      <c r="AD264">
        <f t="shared" si="98"/>
        <v>0</v>
      </c>
      <c r="AE264">
        <f t="shared" si="99"/>
        <v>0</v>
      </c>
      <c r="AF264">
        <f t="shared" si="100"/>
        <v>0</v>
      </c>
      <c r="AG264">
        <f t="shared" si="101"/>
        <v>0</v>
      </c>
      <c r="AH264">
        <f t="shared" si="102"/>
        <v>0</v>
      </c>
      <c r="AI264">
        <f t="shared" si="103"/>
        <v>0</v>
      </c>
      <c r="AJ264" s="2" t="str">
        <f t="shared" si="113"/>
        <v>244440</v>
      </c>
    </row>
    <row r="265" spans="1:36" x14ac:dyDescent="0.25">
      <c r="A265">
        <v>3</v>
      </c>
      <c r="B265" s="1">
        <v>44440</v>
      </c>
      <c r="C265" s="1">
        <f t="shared" si="104"/>
        <v>44531</v>
      </c>
      <c r="D265" s="1">
        <f t="shared" si="105"/>
        <v>44454</v>
      </c>
      <c r="E265" s="1">
        <f t="shared" si="106"/>
        <v>44531</v>
      </c>
      <c r="F265" s="1">
        <f t="shared" si="107"/>
        <v>44562</v>
      </c>
      <c r="G265" s="1">
        <f t="shared" si="108"/>
        <v>44819</v>
      </c>
      <c r="H265">
        <f t="shared" si="109"/>
        <v>365</v>
      </c>
      <c r="I265">
        <f t="shared" si="110"/>
        <v>31</v>
      </c>
      <c r="J265">
        <f t="shared" si="111"/>
        <v>8.4931506849315067E-2</v>
      </c>
      <c r="K265">
        <f>IFERROR($J265/IF($A265&lt;COUNTIFS($K$1:K$1,"&lt;&gt;"),0,SUMIFS($J:$J,$B:$B,$B265,$A:$A,"&gt;="&amp;COUNTIFS($K$1:K$1,"&lt;&gt;"))),0)</f>
        <v>8.8825214899713484E-2</v>
      </c>
      <c r="L265">
        <f>IFERROR($J265/IF($A265&lt;COUNTIFS($K$1:L$1,"&lt;&gt;"),0,SUMIFS($J:$J,$B:$B,$B265,$A:$A,"&gt;="&amp;COUNTIFS($K$1:L$1,"&lt;&gt;"))),0)</f>
        <v>9.7484276729559768E-2</v>
      </c>
      <c r="M265">
        <f>IFERROR($J265/IF($A265&lt;COUNTIFS($K$1:M$1,"&lt;&gt;"),0,SUMIFS($J:$J,$B:$B,$B265,$A:$A,"&gt;="&amp;COUNTIFS($K$1:M$1,"&lt;&gt;"))),0)</f>
        <v>0.10763888888888891</v>
      </c>
      <c r="N265">
        <f>IFERROR($J265/IF($A265&lt;COUNTIFS($K$1:N$1,"&lt;&gt;"),0,SUMIFS($J:$J,$B:$B,$B265,$A:$A,"&gt;="&amp;COUNTIFS($K$1:N$1,"&lt;&gt;"))),0)</f>
        <v>0</v>
      </c>
      <c r="O265">
        <f>IFERROR($J265/IF($A265&lt;COUNTIFS($K$1:O$1,"&lt;&gt;"),0,SUMIFS($J:$J,$B:$B,$B265,$A:$A,"&gt;="&amp;COUNTIFS($K$1:O$1,"&lt;&gt;"))),0)</f>
        <v>0</v>
      </c>
      <c r="P265">
        <f>IFERROR($J265/IF($A265&lt;COUNTIFS($K$1:P$1,"&lt;&gt;"),0,SUMIFS($J:$J,$B:$B,$B265,$A:$A,"&gt;="&amp;COUNTIFS($K$1:P$1,"&lt;&gt;"))),0)</f>
        <v>0</v>
      </c>
      <c r="Q265">
        <f>IFERROR($J265/IF($A265&lt;COUNTIFS($K$1:Q$1,"&lt;&gt;"),0,SUMIFS($J:$J,$B:$B,$B265,$A:$A,"&gt;="&amp;COUNTIFS($K$1:Q$1,"&lt;&gt;"))),0)</f>
        <v>0</v>
      </c>
      <c r="R265">
        <f>IFERROR($J265/IF($A265&lt;COUNTIFS($K$1:R$1,"&lt;&gt;"),0,SUMIFS($J:$J,$B:$B,$B265,$A:$A,"&gt;="&amp;COUNTIFS($K$1:R$1,"&lt;&gt;"))),0)</f>
        <v>0</v>
      </c>
      <c r="S265">
        <f>IFERROR($J265/IF($A265&lt;COUNTIFS($K$1:S$1,"&lt;&gt;"),0,SUMIFS($J:$J,$B:$B,$B265,$A:$A,"&gt;="&amp;COUNTIFS($K$1:S$1,"&lt;&gt;"))),0)</f>
        <v>0</v>
      </c>
      <c r="T265">
        <f>IFERROR($J265/IF($A265&lt;COUNTIFS($K$1:T$1,"&lt;&gt;"),0,SUMIFS($J:$J,$B:$B,$B265,$A:$A,"&gt;="&amp;COUNTIFS($K$1:T$1,"&lt;&gt;"))),0)</f>
        <v>0</v>
      </c>
      <c r="U265">
        <f>IFERROR($J265/IF($A265&lt;COUNTIFS($K$1:U$1,"&lt;&gt;"),0,SUMIFS($J:$J,$B:$B,$B265,$A:$A,"&gt;="&amp;COUNTIFS($K$1:U$1,"&lt;&gt;"))),0)</f>
        <v>0</v>
      </c>
      <c r="V265">
        <f>IFERROR($J265/IF($A265&lt;COUNTIFS($K$1:V$1,"&lt;&gt;"),0,SUMIFS($J:$J,$B:$B,$B265,$A:$A,"&gt;="&amp;COUNTIFS($K$1:V$1,"&lt;&gt;"))),0)</f>
        <v>0</v>
      </c>
      <c r="W265">
        <f t="shared" si="112"/>
        <v>8.4931506849315067E-2</v>
      </c>
      <c r="X265">
        <f t="shared" si="92"/>
        <v>8.4931506849315067E-2</v>
      </c>
      <c r="Y265">
        <f t="shared" si="93"/>
        <v>8.4931506849315067E-2</v>
      </c>
      <c r="Z265">
        <f t="shared" si="94"/>
        <v>8.4931506849315067E-2</v>
      </c>
      <c r="AA265">
        <f t="shared" si="95"/>
        <v>0</v>
      </c>
      <c r="AB265">
        <f t="shared" si="96"/>
        <v>0</v>
      </c>
      <c r="AC265">
        <f t="shared" si="97"/>
        <v>0</v>
      </c>
      <c r="AD265">
        <f t="shared" si="98"/>
        <v>0</v>
      </c>
      <c r="AE265">
        <f t="shared" si="99"/>
        <v>0</v>
      </c>
      <c r="AF265">
        <f t="shared" si="100"/>
        <v>0</v>
      </c>
      <c r="AG265">
        <f t="shared" si="101"/>
        <v>0</v>
      </c>
      <c r="AH265">
        <f t="shared" si="102"/>
        <v>0</v>
      </c>
      <c r="AI265">
        <f t="shared" si="103"/>
        <v>0</v>
      </c>
      <c r="AJ265" s="2" t="str">
        <f t="shared" si="113"/>
        <v>344440</v>
      </c>
    </row>
    <row r="266" spans="1:36" x14ac:dyDescent="0.25">
      <c r="A266">
        <v>4</v>
      </c>
      <c r="B266" s="1">
        <v>44440</v>
      </c>
      <c r="C266" s="1">
        <f t="shared" si="104"/>
        <v>44562</v>
      </c>
      <c r="D266" s="1">
        <f t="shared" si="105"/>
        <v>44454</v>
      </c>
      <c r="E266" s="1">
        <f t="shared" si="106"/>
        <v>44562</v>
      </c>
      <c r="F266" s="1">
        <f t="shared" si="107"/>
        <v>44593</v>
      </c>
      <c r="G266" s="1">
        <f t="shared" si="108"/>
        <v>44819</v>
      </c>
      <c r="H266">
        <f t="shared" si="109"/>
        <v>365</v>
      </c>
      <c r="I266">
        <f t="shared" si="110"/>
        <v>31</v>
      </c>
      <c r="J266">
        <f t="shared" si="111"/>
        <v>8.4931506849315067E-2</v>
      </c>
      <c r="K266">
        <f>IFERROR($J266/IF($A266&lt;COUNTIFS($K$1:K$1,"&lt;&gt;"),0,SUMIFS($J:$J,$B:$B,$B266,$A:$A,"&gt;="&amp;COUNTIFS($K$1:K$1,"&lt;&gt;"))),0)</f>
        <v>8.8825214899713484E-2</v>
      </c>
      <c r="L266">
        <f>IFERROR($J266/IF($A266&lt;COUNTIFS($K$1:L$1,"&lt;&gt;"),0,SUMIFS($J:$J,$B:$B,$B266,$A:$A,"&gt;="&amp;COUNTIFS($K$1:L$1,"&lt;&gt;"))),0)</f>
        <v>9.7484276729559768E-2</v>
      </c>
      <c r="M266">
        <f>IFERROR($J266/IF($A266&lt;COUNTIFS($K$1:M$1,"&lt;&gt;"),0,SUMIFS($J:$J,$B:$B,$B266,$A:$A,"&gt;="&amp;COUNTIFS($K$1:M$1,"&lt;&gt;"))),0)</f>
        <v>0.10763888888888891</v>
      </c>
      <c r="N266">
        <f>IFERROR($J266/IF($A266&lt;COUNTIFS($K$1:N$1,"&lt;&gt;"),0,SUMIFS($J:$J,$B:$B,$B266,$A:$A,"&gt;="&amp;COUNTIFS($K$1:N$1,"&lt;&gt;"))),0)</f>
        <v>0.12062256809338523</v>
      </c>
      <c r="O266">
        <f>IFERROR($J266/IF($A266&lt;COUNTIFS($K$1:O$1,"&lt;&gt;"),0,SUMIFS($J:$J,$B:$B,$B266,$A:$A,"&gt;="&amp;COUNTIFS($K$1:O$1,"&lt;&gt;"))),0)</f>
        <v>0</v>
      </c>
      <c r="P266">
        <f>IFERROR($J266/IF($A266&lt;COUNTIFS($K$1:P$1,"&lt;&gt;"),0,SUMIFS($J:$J,$B:$B,$B266,$A:$A,"&gt;="&amp;COUNTIFS($K$1:P$1,"&lt;&gt;"))),0)</f>
        <v>0</v>
      </c>
      <c r="Q266">
        <f>IFERROR($J266/IF($A266&lt;COUNTIFS($K$1:Q$1,"&lt;&gt;"),0,SUMIFS($J:$J,$B:$B,$B266,$A:$A,"&gt;="&amp;COUNTIFS($K$1:Q$1,"&lt;&gt;"))),0)</f>
        <v>0</v>
      </c>
      <c r="R266">
        <f>IFERROR($J266/IF($A266&lt;COUNTIFS($K$1:R$1,"&lt;&gt;"),0,SUMIFS($J:$J,$B:$B,$B266,$A:$A,"&gt;="&amp;COUNTIFS($K$1:R$1,"&lt;&gt;"))),0)</f>
        <v>0</v>
      </c>
      <c r="S266">
        <f>IFERROR($J266/IF($A266&lt;COUNTIFS($K$1:S$1,"&lt;&gt;"),0,SUMIFS($J:$J,$B:$B,$B266,$A:$A,"&gt;="&amp;COUNTIFS($K$1:S$1,"&lt;&gt;"))),0)</f>
        <v>0</v>
      </c>
      <c r="T266">
        <f>IFERROR($J266/IF($A266&lt;COUNTIFS($K$1:T$1,"&lt;&gt;"),0,SUMIFS($J:$J,$B:$B,$B266,$A:$A,"&gt;="&amp;COUNTIFS($K$1:T$1,"&lt;&gt;"))),0)</f>
        <v>0</v>
      </c>
      <c r="U266">
        <f>IFERROR($J266/IF($A266&lt;COUNTIFS($K$1:U$1,"&lt;&gt;"),0,SUMIFS($J:$J,$B:$B,$B266,$A:$A,"&gt;="&amp;COUNTIFS($K$1:U$1,"&lt;&gt;"))),0)</f>
        <v>0</v>
      </c>
      <c r="V266">
        <f>IFERROR($J266/IF($A266&lt;COUNTIFS($K$1:V$1,"&lt;&gt;"),0,SUMIFS($J:$J,$B:$B,$B266,$A:$A,"&gt;="&amp;COUNTIFS($K$1:V$1,"&lt;&gt;"))),0)</f>
        <v>0</v>
      </c>
      <c r="W266">
        <f t="shared" si="112"/>
        <v>8.4931506849315067E-2</v>
      </c>
      <c r="X266">
        <f t="shared" si="92"/>
        <v>8.4931506849315067E-2</v>
      </c>
      <c r="Y266">
        <f t="shared" si="93"/>
        <v>8.4931506849315067E-2</v>
      </c>
      <c r="Z266">
        <f t="shared" si="94"/>
        <v>8.4931506849315067E-2</v>
      </c>
      <c r="AA266">
        <f t="shared" si="95"/>
        <v>8.4931506849315067E-2</v>
      </c>
      <c r="AB266">
        <f t="shared" si="96"/>
        <v>0</v>
      </c>
      <c r="AC266">
        <f t="shared" si="97"/>
        <v>0</v>
      </c>
      <c r="AD266">
        <f t="shared" si="98"/>
        <v>0</v>
      </c>
      <c r="AE266">
        <f t="shared" si="99"/>
        <v>0</v>
      </c>
      <c r="AF266">
        <f t="shared" si="100"/>
        <v>0</v>
      </c>
      <c r="AG266">
        <f t="shared" si="101"/>
        <v>0</v>
      </c>
      <c r="AH266">
        <f t="shared" si="102"/>
        <v>0</v>
      </c>
      <c r="AI266">
        <f t="shared" si="103"/>
        <v>0</v>
      </c>
      <c r="AJ266" s="2" t="str">
        <f t="shared" si="113"/>
        <v>444440</v>
      </c>
    </row>
    <row r="267" spans="1:36" x14ac:dyDescent="0.25">
      <c r="A267">
        <v>5</v>
      </c>
      <c r="B267" s="1">
        <v>44440</v>
      </c>
      <c r="C267" s="1">
        <f t="shared" si="104"/>
        <v>44593</v>
      </c>
      <c r="D267" s="1">
        <f t="shared" si="105"/>
        <v>44454</v>
      </c>
      <c r="E267" s="1">
        <f t="shared" si="106"/>
        <v>44593</v>
      </c>
      <c r="F267" s="1">
        <f t="shared" si="107"/>
        <v>44621</v>
      </c>
      <c r="G267" s="1">
        <f t="shared" si="108"/>
        <v>44819</v>
      </c>
      <c r="H267">
        <f t="shared" si="109"/>
        <v>365</v>
      </c>
      <c r="I267">
        <f t="shared" si="110"/>
        <v>28</v>
      </c>
      <c r="J267">
        <f t="shared" si="111"/>
        <v>7.6712328767123292E-2</v>
      </c>
      <c r="K267">
        <f>IFERROR($J267/IF($A267&lt;COUNTIFS($K$1:K$1,"&lt;&gt;"),0,SUMIFS($J:$J,$B:$B,$B267,$A:$A,"&gt;="&amp;COUNTIFS($K$1:K$1,"&lt;&gt;"))),0)</f>
        <v>8.0229226361031539E-2</v>
      </c>
      <c r="L267">
        <f>IFERROR($J267/IF($A267&lt;COUNTIFS($K$1:L$1,"&lt;&gt;"),0,SUMIFS($J:$J,$B:$B,$B267,$A:$A,"&gt;="&amp;COUNTIFS($K$1:L$1,"&lt;&gt;"))),0)</f>
        <v>8.8050314465408827E-2</v>
      </c>
      <c r="M267">
        <f>IFERROR($J267/IF($A267&lt;COUNTIFS($K$1:M$1,"&lt;&gt;"),0,SUMIFS($J:$J,$B:$B,$B267,$A:$A,"&gt;="&amp;COUNTIFS($K$1:M$1,"&lt;&gt;"))),0)</f>
        <v>9.7222222222222238E-2</v>
      </c>
      <c r="N267">
        <f>IFERROR($J267/IF($A267&lt;COUNTIFS($K$1:N$1,"&lt;&gt;"),0,SUMIFS($J:$J,$B:$B,$B267,$A:$A,"&gt;="&amp;COUNTIFS($K$1:N$1,"&lt;&gt;"))),0)</f>
        <v>0.10894941634241248</v>
      </c>
      <c r="O267">
        <f>IFERROR($J267/IF($A267&lt;COUNTIFS($K$1:O$1,"&lt;&gt;"),0,SUMIFS($J:$J,$B:$B,$B267,$A:$A,"&gt;="&amp;COUNTIFS($K$1:O$1,"&lt;&gt;"))),0)</f>
        <v>0.12389380530973454</v>
      </c>
      <c r="P267">
        <f>IFERROR($J267/IF($A267&lt;COUNTIFS($K$1:P$1,"&lt;&gt;"),0,SUMIFS($J:$J,$B:$B,$B267,$A:$A,"&gt;="&amp;COUNTIFS($K$1:P$1,"&lt;&gt;"))),0)</f>
        <v>0</v>
      </c>
      <c r="Q267">
        <f>IFERROR($J267/IF($A267&lt;COUNTIFS($K$1:Q$1,"&lt;&gt;"),0,SUMIFS($J:$J,$B:$B,$B267,$A:$A,"&gt;="&amp;COUNTIFS($K$1:Q$1,"&lt;&gt;"))),0)</f>
        <v>0</v>
      </c>
      <c r="R267">
        <f>IFERROR($J267/IF($A267&lt;COUNTIFS($K$1:R$1,"&lt;&gt;"),0,SUMIFS($J:$J,$B:$B,$B267,$A:$A,"&gt;="&amp;COUNTIFS($K$1:R$1,"&lt;&gt;"))),0)</f>
        <v>0</v>
      </c>
      <c r="S267">
        <f>IFERROR($J267/IF($A267&lt;COUNTIFS($K$1:S$1,"&lt;&gt;"),0,SUMIFS($J:$J,$B:$B,$B267,$A:$A,"&gt;="&amp;COUNTIFS($K$1:S$1,"&lt;&gt;"))),0)</f>
        <v>0</v>
      </c>
      <c r="T267">
        <f>IFERROR($J267/IF($A267&lt;COUNTIFS($K$1:T$1,"&lt;&gt;"),0,SUMIFS($J:$J,$B:$B,$B267,$A:$A,"&gt;="&amp;COUNTIFS($K$1:T$1,"&lt;&gt;"))),0)</f>
        <v>0</v>
      </c>
      <c r="U267">
        <f>IFERROR($J267/IF($A267&lt;COUNTIFS($K$1:U$1,"&lt;&gt;"),0,SUMIFS($J:$J,$B:$B,$B267,$A:$A,"&gt;="&amp;COUNTIFS($K$1:U$1,"&lt;&gt;"))),0)</f>
        <v>0</v>
      </c>
      <c r="V267">
        <f>IFERROR($J267/IF($A267&lt;COUNTIFS($K$1:V$1,"&lt;&gt;"),0,SUMIFS($J:$J,$B:$B,$B267,$A:$A,"&gt;="&amp;COUNTIFS($K$1:V$1,"&lt;&gt;"))),0)</f>
        <v>0</v>
      </c>
      <c r="W267">
        <f t="shared" si="112"/>
        <v>7.6712328767123292E-2</v>
      </c>
      <c r="X267">
        <f t="shared" si="92"/>
        <v>7.6712328767123292E-2</v>
      </c>
      <c r="Y267">
        <f t="shared" si="93"/>
        <v>7.6712328767123292E-2</v>
      </c>
      <c r="Z267">
        <f t="shared" si="94"/>
        <v>7.6712328767123292E-2</v>
      </c>
      <c r="AA267">
        <f t="shared" si="95"/>
        <v>7.6712328767123292E-2</v>
      </c>
      <c r="AB267">
        <f t="shared" si="96"/>
        <v>7.6712328767123292E-2</v>
      </c>
      <c r="AC267">
        <f t="shared" si="97"/>
        <v>0</v>
      </c>
      <c r="AD267">
        <f t="shared" si="98"/>
        <v>0</v>
      </c>
      <c r="AE267">
        <f t="shared" si="99"/>
        <v>0</v>
      </c>
      <c r="AF267">
        <f t="shared" si="100"/>
        <v>0</v>
      </c>
      <c r="AG267">
        <f t="shared" si="101"/>
        <v>0</v>
      </c>
      <c r="AH267">
        <f t="shared" si="102"/>
        <v>0</v>
      </c>
      <c r="AI267">
        <f t="shared" si="103"/>
        <v>0</v>
      </c>
      <c r="AJ267" s="2" t="str">
        <f t="shared" si="113"/>
        <v>544440</v>
      </c>
    </row>
    <row r="268" spans="1:36" x14ac:dyDescent="0.25">
      <c r="A268">
        <v>6</v>
      </c>
      <c r="B268" s="1">
        <v>44440</v>
      </c>
      <c r="C268" s="1">
        <f t="shared" si="104"/>
        <v>44621</v>
      </c>
      <c r="D268" s="1">
        <f t="shared" si="105"/>
        <v>44454</v>
      </c>
      <c r="E268" s="1">
        <f t="shared" si="106"/>
        <v>44621</v>
      </c>
      <c r="F268" s="1">
        <f t="shared" si="107"/>
        <v>44652</v>
      </c>
      <c r="G268" s="1">
        <f t="shared" si="108"/>
        <v>44819</v>
      </c>
      <c r="H268">
        <f t="shared" si="109"/>
        <v>365</v>
      </c>
      <c r="I268">
        <f t="shared" si="110"/>
        <v>31</v>
      </c>
      <c r="J268">
        <f t="shared" si="111"/>
        <v>8.4931506849315067E-2</v>
      </c>
      <c r="K268">
        <f>IFERROR($J268/IF($A268&lt;COUNTIFS($K$1:K$1,"&lt;&gt;"),0,SUMIFS($J:$J,$B:$B,$B268,$A:$A,"&gt;="&amp;COUNTIFS($K$1:K$1,"&lt;&gt;"))),0)</f>
        <v>8.8825214899713484E-2</v>
      </c>
      <c r="L268">
        <f>IFERROR($J268/IF($A268&lt;COUNTIFS($K$1:L$1,"&lt;&gt;"),0,SUMIFS($J:$J,$B:$B,$B268,$A:$A,"&gt;="&amp;COUNTIFS($K$1:L$1,"&lt;&gt;"))),0)</f>
        <v>9.7484276729559768E-2</v>
      </c>
      <c r="M268">
        <f>IFERROR($J268/IF($A268&lt;COUNTIFS($K$1:M$1,"&lt;&gt;"),0,SUMIFS($J:$J,$B:$B,$B268,$A:$A,"&gt;="&amp;COUNTIFS($K$1:M$1,"&lt;&gt;"))),0)</f>
        <v>0.10763888888888891</v>
      </c>
      <c r="N268">
        <f>IFERROR($J268/IF($A268&lt;COUNTIFS($K$1:N$1,"&lt;&gt;"),0,SUMIFS($J:$J,$B:$B,$B268,$A:$A,"&gt;="&amp;COUNTIFS($K$1:N$1,"&lt;&gt;"))),0)</f>
        <v>0.12062256809338523</v>
      </c>
      <c r="O268">
        <f>IFERROR($J268/IF($A268&lt;COUNTIFS($K$1:O$1,"&lt;&gt;"),0,SUMIFS($J:$J,$B:$B,$B268,$A:$A,"&gt;="&amp;COUNTIFS($K$1:O$1,"&lt;&gt;"))),0)</f>
        <v>0.13716814159292037</v>
      </c>
      <c r="P268">
        <f>IFERROR($J268/IF($A268&lt;COUNTIFS($K$1:P$1,"&lt;&gt;"),0,SUMIFS($J:$J,$B:$B,$B268,$A:$A,"&gt;="&amp;COUNTIFS($K$1:P$1,"&lt;&gt;"))),0)</f>
        <v>0.1565656565656566</v>
      </c>
      <c r="Q268">
        <f>IFERROR($J268/IF($A268&lt;COUNTIFS($K$1:Q$1,"&lt;&gt;"),0,SUMIFS($J:$J,$B:$B,$B268,$A:$A,"&gt;="&amp;COUNTIFS($K$1:Q$1,"&lt;&gt;"))),0)</f>
        <v>0</v>
      </c>
      <c r="R268">
        <f>IFERROR($J268/IF($A268&lt;COUNTIFS($K$1:R$1,"&lt;&gt;"),0,SUMIFS($J:$J,$B:$B,$B268,$A:$A,"&gt;="&amp;COUNTIFS($K$1:R$1,"&lt;&gt;"))),0)</f>
        <v>0</v>
      </c>
      <c r="S268">
        <f>IFERROR($J268/IF($A268&lt;COUNTIFS($K$1:S$1,"&lt;&gt;"),0,SUMIFS($J:$J,$B:$B,$B268,$A:$A,"&gt;="&amp;COUNTIFS($K$1:S$1,"&lt;&gt;"))),0)</f>
        <v>0</v>
      </c>
      <c r="T268">
        <f>IFERROR($J268/IF($A268&lt;COUNTIFS($K$1:T$1,"&lt;&gt;"),0,SUMIFS($J:$J,$B:$B,$B268,$A:$A,"&gt;="&amp;COUNTIFS($K$1:T$1,"&lt;&gt;"))),0)</f>
        <v>0</v>
      </c>
      <c r="U268">
        <f>IFERROR($J268/IF($A268&lt;COUNTIFS($K$1:U$1,"&lt;&gt;"),0,SUMIFS($J:$J,$B:$B,$B268,$A:$A,"&gt;="&amp;COUNTIFS($K$1:U$1,"&lt;&gt;"))),0)</f>
        <v>0</v>
      </c>
      <c r="V268">
        <f>IFERROR($J268/IF($A268&lt;COUNTIFS($K$1:V$1,"&lt;&gt;"),0,SUMIFS($J:$J,$B:$B,$B268,$A:$A,"&gt;="&amp;COUNTIFS($K$1:V$1,"&lt;&gt;"))),0)</f>
        <v>0</v>
      </c>
      <c r="W268">
        <f t="shared" si="112"/>
        <v>8.4931506849315067E-2</v>
      </c>
      <c r="X268">
        <f t="shared" si="92"/>
        <v>8.4931506849315067E-2</v>
      </c>
      <c r="Y268">
        <f t="shared" si="93"/>
        <v>8.4931506849315067E-2</v>
      </c>
      <c r="Z268">
        <f t="shared" si="94"/>
        <v>8.4931506849315067E-2</v>
      </c>
      <c r="AA268">
        <f t="shared" si="95"/>
        <v>8.4931506849315067E-2</v>
      </c>
      <c r="AB268">
        <f t="shared" si="96"/>
        <v>8.4931506849315067E-2</v>
      </c>
      <c r="AC268">
        <f t="shared" si="97"/>
        <v>8.4931506849315067E-2</v>
      </c>
      <c r="AD268">
        <f t="shared" si="98"/>
        <v>0</v>
      </c>
      <c r="AE268">
        <f t="shared" si="99"/>
        <v>0</v>
      </c>
      <c r="AF268">
        <f t="shared" si="100"/>
        <v>0</v>
      </c>
      <c r="AG268">
        <f t="shared" si="101"/>
        <v>0</v>
      </c>
      <c r="AH268">
        <f t="shared" si="102"/>
        <v>0</v>
      </c>
      <c r="AI268">
        <f t="shared" si="103"/>
        <v>0</v>
      </c>
      <c r="AJ268" s="2" t="str">
        <f t="shared" si="113"/>
        <v>644440</v>
      </c>
    </row>
    <row r="269" spans="1:36" x14ac:dyDescent="0.25">
      <c r="A269">
        <v>7</v>
      </c>
      <c r="B269" s="1">
        <v>44440</v>
      </c>
      <c r="C269" s="1">
        <f t="shared" si="104"/>
        <v>44652</v>
      </c>
      <c r="D269" s="1">
        <f t="shared" si="105"/>
        <v>44454</v>
      </c>
      <c r="E269" s="1">
        <f t="shared" si="106"/>
        <v>44652</v>
      </c>
      <c r="F269" s="1">
        <f t="shared" si="107"/>
        <v>44682</v>
      </c>
      <c r="G269" s="1">
        <f t="shared" si="108"/>
        <v>44819</v>
      </c>
      <c r="H269">
        <f t="shared" si="109"/>
        <v>365</v>
      </c>
      <c r="I269">
        <f t="shared" si="110"/>
        <v>30</v>
      </c>
      <c r="J269">
        <f t="shared" si="111"/>
        <v>8.2191780821917804E-2</v>
      </c>
      <c r="K269">
        <f>IFERROR($J269/IF($A269&lt;COUNTIFS($K$1:K$1,"&lt;&gt;"),0,SUMIFS($J:$J,$B:$B,$B269,$A:$A,"&gt;="&amp;COUNTIFS($K$1:K$1,"&lt;&gt;"))),0)</f>
        <v>8.5959885386819493E-2</v>
      </c>
      <c r="L269">
        <f>IFERROR($J269/IF($A269&lt;COUNTIFS($K$1:L$1,"&lt;&gt;"),0,SUMIFS($J:$J,$B:$B,$B269,$A:$A,"&gt;="&amp;COUNTIFS($K$1:L$1,"&lt;&gt;"))),0)</f>
        <v>9.4339622641509441E-2</v>
      </c>
      <c r="M269">
        <f>IFERROR($J269/IF($A269&lt;COUNTIFS($K$1:M$1,"&lt;&gt;"),0,SUMIFS($J:$J,$B:$B,$B269,$A:$A,"&gt;="&amp;COUNTIFS($K$1:M$1,"&lt;&gt;"))),0)</f>
        <v>0.10416666666666669</v>
      </c>
      <c r="N269">
        <f>IFERROR($J269/IF($A269&lt;COUNTIFS($K$1:N$1,"&lt;&gt;"),0,SUMIFS($J:$J,$B:$B,$B269,$A:$A,"&gt;="&amp;COUNTIFS($K$1:N$1,"&lt;&gt;"))),0)</f>
        <v>0.11673151750972764</v>
      </c>
      <c r="O269">
        <f>IFERROR($J269/IF($A269&lt;COUNTIFS($K$1:O$1,"&lt;&gt;"),0,SUMIFS($J:$J,$B:$B,$B269,$A:$A,"&gt;="&amp;COUNTIFS($K$1:O$1,"&lt;&gt;"))),0)</f>
        <v>0.13274336283185842</v>
      </c>
      <c r="P269">
        <f>IFERROR($J269/IF($A269&lt;COUNTIFS($K$1:P$1,"&lt;&gt;"),0,SUMIFS($J:$J,$B:$B,$B269,$A:$A,"&gt;="&amp;COUNTIFS($K$1:P$1,"&lt;&gt;"))),0)</f>
        <v>0.15151515151515155</v>
      </c>
      <c r="Q269">
        <f>IFERROR($J269/IF($A269&lt;COUNTIFS($K$1:Q$1,"&lt;&gt;"),0,SUMIFS($J:$J,$B:$B,$B269,$A:$A,"&gt;="&amp;COUNTIFS($K$1:Q$1,"&lt;&gt;"))),0)</f>
        <v>0.17964071856287425</v>
      </c>
      <c r="R269">
        <f>IFERROR($J269/IF($A269&lt;COUNTIFS($K$1:R$1,"&lt;&gt;"),0,SUMIFS($J:$J,$B:$B,$B269,$A:$A,"&gt;="&amp;COUNTIFS($K$1:R$1,"&lt;&gt;"))),0)</f>
        <v>0</v>
      </c>
      <c r="S269">
        <f>IFERROR($J269/IF($A269&lt;COUNTIFS($K$1:S$1,"&lt;&gt;"),0,SUMIFS($J:$J,$B:$B,$B269,$A:$A,"&gt;="&amp;COUNTIFS($K$1:S$1,"&lt;&gt;"))),0)</f>
        <v>0</v>
      </c>
      <c r="T269">
        <f>IFERROR($J269/IF($A269&lt;COUNTIFS($K$1:T$1,"&lt;&gt;"),0,SUMIFS($J:$J,$B:$B,$B269,$A:$A,"&gt;="&amp;COUNTIFS($K$1:T$1,"&lt;&gt;"))),0)</f>
        <v>0</v>
      </c>
      <c r="U269">
        <f>IFERROR($J269/IF($A269&lt;COUNTIFS($K$1:U$1,"&lt;&gt;"),0,SUMIFS($J:$J,$B:$B,$B269,$A:$A,"&gt;="&amp;COUNTIFS($K$1:U$1,"&lt;&gt;"))),0)</f>
        <v>0</v>
      </c>
      <c r="V269">
        <f>IFERROR($J269/IF($A269&lt;COUNTIFS($K$1:V$1,"&lt;&gt;"),0,SUMIFS($J:$J,$B:$B,$B269,$A:$A,"&gt;="&amp;COUNTIFS($K$1:V$1,"&lt;&gt;"))),0)</f>
        <v>0</v>
      </c>
      <c r="W269">
        <f t="shared" si="112"/>
        <v>8.2191780821917804E-2</v>
      </c>
      <c r="X269">
        <f t="shared" si="92"/>
        <v>8.2191780821917804E-2</v>
      </c>
      <c r="Y269">
        <f t="shared" si="93"/>
        <v>8.2191780821917804E-2</v>
      </c>
      <c r="Z269">
        <f t="shared" si="94"/>
        <v>8.2191780821917804E-2</v>
      </c>
      <c r="AA269">
        <f t="shared" si="95"/>
        <v>8.2191780821917804E-2</v>
      </c>
      <c r="AB269">
        <f t="shared" si="96"/>
        <v>8.2191780821917804E-2</v>
      </c>
      <c r="AC269">
        <f t="shared" si="97"/>
        <v>8.2191780821917804E-2</v>
      </c>
      <c r="AD269">
        <f t="shared" si="98"/>
        <v>8.2191780821917804E-2</v>
      </c>
      <c r="AE269">
        <f t="shared" si="99"/>
        <v>0</v>
      </c>
      <c r="AF269">
        <f t="shared" si="100"/>
        <v>0</v>
      </c>
      <c r="AG269">
        <f t="shared" si="101"/>
        <v>0</v>
      </c>
      <c r="AH269">
        <f t="shared" si="102"/>
        <v>0</v>
      </c>
      <c r="AI269">
        <f t="shared" si="103"/>
        <v>0</v>
      </c>
      <c r="AJ269" s="2" t="str">
        <f t="shared" si="113"/>
        <v>744440</v>
      </c>
    </row>
    <row r="270" spans="1:36" x14ac:dyDescent="0.25">
      <c r="A270">
        <v>8</v>
      </c>
      <c r="B270" s="1">
        <v>44440</v>
      </c>
      <c r="C270" s="1">
        <f t="shared" si="104"/>
        <v>44682</v>
      </c>
      <c r="D270" s="1">
        <f t="shared" si="105"/>
        <v>44454</v>
      </c>
      <c r="E270" s="1">
        <f t="shared" si="106"/>
        <v>44682</v>
      </c>
      <c r="F270" s="1">
        <f t="shared" si="107"/>
        <v>44713</v>
      </c>
      <c r="G270" s="1">
        <f t="shared" si="108"/>
        <v>44819</v>
      </c>
      <c r="H270">
        <f t="shared" si="109"/>
        <v>365</v>
      </c>
      <c r="I270">
        <f t="shared" si="110"/>
        <v>31</v>
      </c>
      <c r="J270">
        <f t="shared" si="111"/>
        <v>8.4931506849315067E-2</v>
      </c>
      <c r="K270">
        <f>IFERROR($J270/IF($A270&lt;COUNTIFS($K$1:K$1,"&lt;&gt;"),0,SUMIFS($J:$J,$B:$B,$B270,$A:$A,"&gt;="&amp;COUNTIFS($K$1:K$1,"&lt;&gt;"))),0)</f>
        <v>8.8825214899713484E-2</v>
      </c>
      <c r="L270">
        <f>IFERROR($J270/IF($A270&lt;COUNTIFS($K$1:L$1,"&lt;&gt;"),0,SUMIFS($J:$J,$B:$B,$B270,$A:$A,"&gt;="&amp;COUNTIFS($K$1:L$1,"&lt;&gt;"))),0)</f>
        <v>9.7484276729559768E-2</v>
      </c>
      <c r="M270">
        <f>IFERROR($J270/IF($A270&lt;COUNTIFS($K$1:M$1,"&lt;&gt;"),0,SUMIFS($J:$J,$B:$B,$B270,$A:$A,"&gt;="&amp;COUNTIFS($K$1:M$1,"&lt;&gt;"))),0)</f>
        <v>0.10763888888888891</v>
      </c>
      <c r="N270">
        <f>IFERROR($J270/IF($A270&lt;COUNTIFS($K$1:N$1,"&lt;&gt;"),0,SUMIFS($J:$J,$B:$B,$B270,$A:$A,"&gt;="&amp;COUNTIFS($K$1:N$1,"&lt;&gt;"))),0)</f>
        <v>0.12062256809338523</v>
      </c>
      <c r="O270">
        <f>IFERROR($J270/IF($A270&lt;COUNTIFS($K$1:O$1,"&lt;&gt;"),0,SUMIFS($J:$J,$B:$B,$B270,$A:$A,"&gt;="&amp;COUNTIFS($K$1:O$1,"&lt;&gt;"))),0)</f>
        <v>0.13716814159292037</v>
      </c>
      <c r="P270">
        <f>IFERROR($J270/IF($A270&lt;COUNTIFS($K$1:P$1,"&lt;&gt;"),0,SUMIFS($J:$J,$B:$B,$B270,$A:$A,"&gt;="&amp;COUNTIFS($K$1:P$1,"&lt;&gt;"))),0)</f>
        <v>0.1565656565656566</v>
      </c>
      <c r="Q270">
        <f>IFERROR($J270/IF($A270&lt;COUNTIFS($K$1:Q$1,"&lt;&gt;"),0,SUMIFS($J:$J,$B:$B,$B270,$A:$A,"&gt;="&amp;COUNTIFS($K$1:Q$1,"&lt;&gt;"))),0)</f>
        <v>0.18562874251497008</v>
      </c>
      <c r="R270">
        <f>IFERROR($J270/IF($A270&lt;COUNTIFS($K$1:R$1,"&lt;&gt;"),0,SUMIFS($J:$J,$B:$B,$B270,$A:$A,"&gt;="&amp;COUNTIFS($K$1:R$1,"&lt;&gt;"))),0)</f>
        <v>0.22627737226277375</v>
      </c>
      <c r="S270">
        <f>IFERROR($J270/IF($A270&lt;COUNTIFS($K$1:S$1,"&lt;&gt;"),0,SUMIFS($J:$J,$B:$B,$B270,$A:$A,"&gt;="&amp;COUNTIFS($K$1:S$1,"&lt;&gt;"))),0)</f>
        <v>0</v>
      </c>
      <c r="T270">
        <f>IFERROR($J270/IF($A270&lt;COUNTIFS($K$1:T$1,"&lt;&gt;"),0,SUMIFS($J:$J,$B:$B,$B270,$A:$A,"&gt;="&amp;COUNTIFS($K$1:T$1,"&lt;&gt;"))),0)</f>
        <v>0</v>
      </c>
      <c r="U270">
        <f>IFERROR($J270/IF($A270&lt;COUNTIFS($K$1:U$1,"&lt;&gt;"),0,SUMIFS($J:$J,$B:$B,$B270,$A:$A,"&gt;="&amp;COUNTIFS($K$1:U$1,"&lt;&gt;"))),0)</f>
        <v>0</v>
      </c>
      <c r="V270">
        <f>IFERROR($J270/IF($A270&lt;COUNTIFS($K$1:V$1,"&lt;&gt;"),0,SUMIFS($J:$J,$B:$B,$B270,$A:$A,"&gt;="&amp;COUNTIFS($K$1:V$1,"&lt;&gt;"))),0)</f>
        <v>0</v>
      </c>
      <c r="W270">
        <f t="shared" si="112"/>
        <v>8.4931506849315067E-2</v>
      </c>
      <c r="X270">
        <f t="shared" si="92"/>
        <v>8.4931506849315067E-2</v>
      </c>
      <c r="Y270">
        <f t="shared" si="93"/>
        <v>8.4931506849315067E-2</v>
      </c>
      <c r="Z270">
        <f t="shared" si="94"/>
        <v>8.4931506849315067E-2</v>
      </c>
      <c r="AA270">
        <f t="shared" si="95"/>
        <v>8.4931506849315067E-2</v>
      </c>
      <c r="AB270">
        <f t="shared" si="96"/>
        <v>8.4931506849315067E-2</v>
      </c>
      <c r="AC270">
        <f t="shared" si="97"/>
        <v>8.4931506849315067E-2</v>
      </c>
      <c r="AD270">
        <f t="shared" si="98"/>
        <v>8.4931506849315067E-2</v>
      </c>
      <c r="AE270">
        <f t="shared" si="99"/>
        <v>8.4931506849315067E-2</v>
      </c>
      <c r="AF270">
        <f t="shared" si="100"/>
        <v>0</v>
      </c>
      <c r="AG270">
        <f t="shared" si="101"/>
        <v>0</v>
      </c>
      <c r="AH270">
        <f t="shared" si="102"/>
        <v>0</v>
      </c>
      <c r="AI270">
        <f t="shared" si="103"/>
        <v>0</v>
      </c>
      <c r="AJ270" s="2" t="str">
        <f t="shared" si="113"/>
        <v>844440</v>
      </c>
    </row>
    <row r="271" spans="1:36" x14ac:dyDescent="0.25">
      <c r="A271">
        <v>9</v>
      </c>
      <c r="B271" s="1">
        <v>44440</v>
      </c>
      <c r="C271" s="1">
        <f t="shared" si="104"/>
        <v>44713</v>
      </c>
      <c r="D271" s="1">
        <f t="shared" si="105"/>
        <v>44454</v>
      </c>
      <c r="E271" s="1">
        <f t="shared" si="106"/>
        <v>44713</v>
      </c>
      <c r="F271" s="1">
        <f t="shared" si="107"/>
        <v>44743</v>
      </c>
      <c r="G271" s="1">
        <f t="shared" si="108"/>
        <v>44819</v>
      </c>
      <c r="H271">
        <f t="shared" si="109"/>
        <v>365</v>
      </c>
      <c r="I271">
        <f t="shared" si="110"/>
        <v>30</v>
      </c>
      <c r="J271">
        <f t="shared" si="111"/>
        <v>8.2191780821917804E-2</v>
      </c>
      <c r="K271">
        <f>IFERROR($J271/IF($A271&lt;COUNTIFS($K$1:K$1,"&lt;&gt;"),0,SUMIFS($J:$J,$B:$B,$B271,$A:$A,"&gt;="&amp;COUNTIFS($K$1:K$1,"&lt;&gt;"))),0)</f>
        <v>8.5959885386819493E-2</v>
      </c>
      <c r="L271">
        <f>IFERROR($J271/IF($A271&lt;COUNTIFS($K$1:L$1,"&lt;&gt;"),0,SUMIFS($J:$J,$B:$B,$B271,$A:$A,"&gt;="&amp;COUNTIFS($K$1:L$1,"&lt;&gt;"))),0)</f>
        <v>9.4339622641509441E-2</v>
      </c>
      <c r="M271">
        <f>IFERROR($J271/IF($A271&lt;COUNTIFS($K$1:M$1,"&lt;&gt;"),0,SUMIFS($J:$J,$B:$B,$B271,$A:$A,"&gt;="&amp;COUNTIFS($K$1:M$1,"&lt;&gt;"))),0)</f>
        <v>0.10416666666666669</v>
      </c>
      <c r="N271">
        <f>IFERROR($J271/IF($A271&lt;COUNTIFS($K$1:N$1,"&lt;&gt;"),0,SUMIFS($J:$J,$B:$B,$B271,$A:$A,"&gt;="&amp;COUNTIFS($K$1:N$1,"&lt;&gt;"))),0)</f>
        <v>0.11673151750972764</v>
      </c>
      <c r="O271">
        <f>IFERROR($J271/IF($A271&lt;COUNTIFS($K$1:O$1,"&lt;&gt;"),0,SUMIFS($J:$J,$B:$B,$B271,$A:$A,"&gt;="&amp;COUNTIFS($K$1:O$1,"&lt;&gt;"))),0)</f>
        <v>0.13274336283185842</v>
      </c>
      <c r="P271">
        <f>IFERROR($J271/IF($A271&lt;COUNTIFS($K$1:P$1,"&lt;&gt;"),0,SUMIFS($J:$J,$B:$B,$B271,$A:$A,"&gt;="&amp;COUNTIFS($K$1:P$1,"&lt;&gt;"))),0)</f>
        <v>0.15151515151515155</v>
      </c>
      <c r="Q271">
        <f>IFERROR($J271/IF($A271&lt;COUNTIFS($K$1:Q$1,"&lt;&gt;"),0,SUMIFS($J:$J,$B:$B,$B271,$A:$A,"&gt;="&amp;COUNTIFS($K$1:Q$1,"&lt;&gt;"))),0)</f>
        <v>0.17964071856287425</v>
      </c>
      <c r="R271">
        <f>IFERROR($J271/IF($A271&lt;COUNTIFS($K$1:R$1,"&lt;&gt;"),0,SUMIFS($J:$J,$B:$B,$B271,$A:$A,"&gt;="&amp;COUNTIFS($K$1:R$1,"&lt;&gt;"))),0)</f>
        <v>0.21897810218978103</v>
      </c>
      <c r="S271">
        <f>IFERROR($J271/IF($A271&lt;COUNTIFS($K$1:S$1,"&lt;&gt;"),0,SUMIFS($J:$J,$B:$B,$B271,$A:$A,"&gt;="&amp;COUNTIFS($K$1:S$1,"&lt;&gt;"))),0)</f>
        <v>0.28301886792452829</v>
      </c>
      <c r="T271">
        <f>IFERROR($J271/IF($A271&lt;COUNTIFS($K$1:T$1,"&lt;&gt;"),0,SUMIFS($J:$J,$B:$B,$B271,$A:$A,"&gt;="&amp;COUNTIFS($K$1:T$1,"&lt;&gt;"))),0)</f>
        <v>0</v>
      </c>
      <c r="U271">
        <f>IFERROR($J271/IF($A271&lt;COUNTIFS($K$1:U$1,"&lt;&gt;"),0,SUMIFS($J:$J,$B:$B,$B271,$A:$A,"&gt;="&amp;COUNTIFS($K$1:U$1,"&lt;&gt;"))),0)</f>
        <v>0</v>
      </c>
      <c r="V271">
        <f>IFERROR($J271/IF($A271&lt;COUNTIFS($K$1:V$1,"&lt;&gt;"),0,SUMIFS($J:$J,$B:$B,$B271,$A:$A,"&gt;="&amp;COUNTIFS($K$1:V$1,"&lt;&gt;"))),0)</f>
        <v>0</v>
      </c>
      <c r="W271">
        <f t="shared" si="112"/>
        <v>8.2191780821917804E-2</v>
      </c>
      <c r="X271">
        <f t="shared" si="92"/>
        <v>8.2191780821917804E-2</v>
      </c>
      <c r="Y271">
        <f t="shared" si="93"/>
        <v>8.2191780821917804E-2</v>
      </c>
      <c r="Z271">
        <f t="shared" si="94"/>
        <v>8.2191780821917804E-2</v>
      </c>
      <c r="AA271">
        <f t="shared" si="95"/>
        <v>8.2191780821917804E-2</v>
      </c>
      <c r="AB271">
        <f t="shared" si="96"/>
        <v>8.2191780821917804E-2</v>
      </c>
      <c r="AC271">
        <f t="shared" si="97"/>
        <v>8.2191780821917804E-2</v>
      </c>
      <c r="AD271">
        <f t="shared" si="98"/>
        <v>8.2191780821917804E-2</v>
      </c>
      <c r="AE271">
        <f t="shared" si="99"/>
        <v>8.2191780821917804E-2</v>
      </c>
      <c r="AF271">
        <f t="shared" si="100"/>
        <v>8.2191780821917804E-2</v>
      </c>
      <c r="AG271">
        <f t="shared" si="101"/>
        <v>0</v>
      </c>
      <c r="AH271">
        <f t="shared" si="102"/>
        <v>0</v>
      </c>
      <c r="AI271">
        <f t="shared" si="103"/>
        <v>0</v>
      </c>
      <c r="AJ271" s="2" t="str">
        <f t="shared" si="113"/>
        <v>944440</v>
      </c>
    </row>
    <row r="272" spans="1:36" x14ac:dyDescent="0.25">
      <c r="A272">
        <v>10</v>
      </c>
      <c r="B272" s="1">
        <v>44440</v>
      </c>
      <c r="C272" s="1">
        <f t="shared" si="104"/>
        <v>44743</v>
      </c>
      <c r="D272" s="1">
        <f t="shared" si="105"/>
        <v>44454</v>
      </c>
      <c r="E272" s="1">
        <f t="shared" si="106"/>
        <v>44743</v>
      </c>
      <c r="F272" s="1">
        <f t="shared" si="107"/>
        <v>44774</v>
      </c>
      <c r="G272" s="1">
        <f t="shared" si="108"/>
        <v>44819</v>
      </c>
      <c r="H272">
        <f t="shared" si="109"/>
        <v>365</v>
      </c>
      <c r="I272">
        <f t="shared" si="110"/>
        <v>31</v>
      </c>
      <c r="J272">
        <f t="shared" si="111"/>
        <v>8.4931506849315067E-2</v>
      </c>
      <c r="K272">
        <f>IFERROR($J272/IF($A272&lt;COUNTIFS($K$1:K$1,"&lt;&gt;"),0,SUMIFS($J:$J,$B:$B,$B272,$A:$A,"&gt;="&amp;COUNTIFS($K$1:K$1,"&lt;&gt;"))),0)</f>
        <v>8.8825214899713484E-2</v>
      </c>
      <c r="L272">
        <f>IFERROR($J272/IF($A272&lt;COUNTIFS($K$1:L$1,"&lt;&gt;"),0,SUMIFS($J:$J,$B:$B,$B272,$A:$A,"&gt;="&amp;COUNTIFS($K$1:L$1,"&lt;&gt;"))),0)</f>
        <v>9.7484276729559768E-2</v>
      </c>
      <c r="M272">
        <f>IFERROR($J272/IF($A272&lt;COUNTIFS($K$1:M$1,"&lt;&gt;"),0,SUMIFS($J:$J,$B:$B,$B272,$A:$A,"&gt;="&amp;COUNTIFS($K$1:M$1,"&lt;&gt;"))),0)</f>
        <v>0.10763888888888891</v>
      </c>
      <c r="N272">
        <f>IFERROR($J272/IF($A272&lt;COUNTIFS($K$1:N$1,"&lt;&gt;"),0,SUMIFS($J:$J,$B:$B,$B272,$A:$A,"&gt;="&amp;COUNTIFS($K$1:N$1,"&lt;&gt;"))),0)</f>
        <v>0.12062256809338523</v>
      </c>
      <c r="O272">
        <f>IFERROR($J272/IF($A272&lt;COUNTIFS($K$1:O$1,"&lt;&gt;"),0,SUMIFS($J:$J,$B:$B,$B272,$A:$A,"&gt;="&amp;COUNTIFS($K$1:O$1,"&lt;&gt;"))),0)</f>
        <v>0.13716814159292037</v>
      </c>
      <c r="P272">
        <f>IFERROR($J272/IF($A272&lt;COUNTIFS($K$1:P$1,"&lt;&gt;"),0,SUMIFS($J:$J,$B:$B,$B272,$A:$A,"&gt;="&amp;COUNTIFS($K$1:P$1,"&lt;&gt;"))),0)</f>
        <v>0.1565656565656566</v>
      </c>
      <c r="Q272">
        <f>IFERROR($J272/IF($A272&lt;COUNTIFS($K$1:Q$1,"&lt;&gt;"),0,SUMIFS($J:$J,$B:$B,$B272,$A:$A,"&gt;="&amp;COUNTIFS($K$1:Q$1,"&lt;&gt;"))),0)</f>
        <v>0.18562874251497008</v>
      </c>
      <c r="R272">
        <f>IFERROR($J272/IF($A272&lt;COUNTIFS($K$1:R$1,"&lt;&gt;"),0,SUMIFS($J:$J,$B:$B,$B272,$A:$A,"&gt;="&amp;COUNTIFS($K$1:R$1,"&lt;&gt;"))),0)</f>
        <v>0.22627737226277375</v>
      </c>
      <c r="S272">
        <f>IFERROR($J272/IF($A272&lt;COUNTIFS($K$1:S$1,"&lt;&gt;"),0,SUMIFS($J:$J,$B:$B,$B272,$A:$A,"&gt;="&amp;COUNTIFS($K$1:S$1,"&lt;&gt;"))),0)</f>
        <v>0.29245283018867929</v>
      </c>
      <c r="T272">
        <f>IFERROR($J272/IF($A272&lt;COUNTIFS($K$1:T$1,"&lt;&gt;"),0,SUMIFS($J:$J,$B:$B,$B272,$A:$A,"&gt;="&amp;COUNTIFS($K$1:T$1,"&lt;&gt;"))),0)</f>
        <v>0.40789473684210525</v>
      </c>
      <c r="U272">
        <f>IFERROR($J272/IF($A272&lt;COUNTIFS($K$1:U$1,"&lt;&gt;"),0,SUMIFS($J:$J,$B:$B,$B272,$A:$A,"&gt;="&amp;COUNTIFS($K$1:U$1,"&lt;&gt;"))),0)</f>
        <v>0</v>
      </c>
      <c r="V272">
        <f>IFERROR($J272/IF($A272&lt;COUNTIFS($K$1:V$1,"&lt;&gt;"),0,SUMIFS($J:$J,$B:$B,$B272,$A:$A,"&gt;="&amp;COUNTIFS($K$1:V$1,"&lt;&gt;"))),0)</f>
        <v>0</v>
      </c>
      <c r="W272">
        <f t="shared" si="112"/>
        <v>8.4931506849315067E-2</v>
      </c>
      <c r="X272">
        <f t="shared" si="92"/>
        <v>8.4931506849315067E-2</v>
      </c>
      <c r="Y272">
        <f t="shared" si="93"/>
        <v>8.4931506849315067E-2</v>
      </c>
      <c r="Z272">
        <f t="shared" si="94"/>
        <v>8.4931506849315067E-2</v>
      </c>
      <c r="AA272">
        <f t="shared" si="95"/>
        <v>8.4931506849315067E-2</v>
      </c>
      <c r="AB272">
        <f t="shared" si="96"/>
        <v>8.4931506849315067E-2</v>
      </c>
      <c r="AC272">
        <f t="shared" si="97"/>
        <v>8.4931506849315067E-2</v>
      </c>
      <c r="AD272">
        <f t="shared" si="98"/>
        <v>8.4931506849315067E-2</v>
      </c>
      <c r="AE272">
        <f t="shared" si="99"/>
        <v>8.4931506849315067E-2</v>
      </c>
      <c r="AF272">
        <f t="shared" si="100"/>
        <v>8.4931506849315067E-2</v>
      </c>
      <c r="AG272">
        <f t="shared" si="101"/>
        <v>8.4931506849315067E-2</v>
      </c>
      <c r="AH272">
        <f t="shared" si="102"/>
        <v>0</v>
      </c>
      <c r="AI272">
        <f t="shared" si="103"/>
        <v>0</v>
      </c>
      <c r="AJ272" s="2" t="str">
        <f t="shared" si="113"/>
        <v>1044440</v>
      </c>
    </row>
    <row r="273" spans="1:36" x14ac:dyDescent="0.25">
      <c r="A273">
        <v>11</v>
      </c>
      <c r="B273" s="1">
        <v>44440</v>
      </c>
      <c r="C273" s="1">
        <f t="shared" si="104"/>
        <v>44774</v>
      </c>
      <c r="D273" s="1">
        <f t="shared" si="105"/>
        <v>44454</v>
      </c>
      <c r="E273" s="1">
        <f t="shared" si="106"/>
        <v>44774</v>
      </c>
      <c r="F273" s="1">
        <f t="shared" si="107"/>
        <v>44805</v>
      </c>
      <c r="G273" s="1">
        <f t="shared" si="108"/>
        <v>44819</v>
      </c>
      <c r="H273">
        <f t="shared" si="109"/>
        <v>365</v>
      </c>
      <c r="I273">
        <f t="shared" si="110"/>
        <v>31</v>
      </c>
      <c r="J273">
        <f t="shared" si="111"/>
        <v>8.4931506849315067E-2</v>
      </c>
      <c r="K273">
        <f>IFERROR($J273/IF($A273&lt;COUNTIFS($K$1:K$1,"&lt;&gt;"),0,SUMIFS($J:$J,$B:$B,$B273,$A:$A,"&gt;="&amp;COUNTIFS($K$1:K$1,"&lt;&gt;"))),0)</f>
        <v>8.8825214899713484E-2</v>
      </c>
      <c r="L273">
        <f>IFERROR($J273/IF($A273&lt;COUNTIFS($K$1:L$1,"&lt;&gt;"),0,SUMIFS($J:$J,$B:$B,$B273,$A:$A,"&gt;="&amp;COUNTIFS($K$1:L$1,"&lt;&gt;"))),0)</f>
        <v>9.7484276729559768E-2</v>
      </c>
      <c r="M273">
        <f>IFERROR($J273/IF($A273&lt;COUNTIFS($K$1:M$1,"&lt;&gt;"),0,SUMIFS($J:$J,$B:$B,$B273,$A:$A,"&gt;="&amp;COUNTIFS($K$1:M$1,"&lt;&gt;"))),0)</f>
        <v>0.10763888888888891</v>
      </c>
      <c r="N273">
        <f>IFERROR($J273/IF($A273&lt;COUNTIFS($K$1:N$1,"&lt;&gt;"),0,SUMIFS($J:$J,$B:$B,$B273,$A:$A,"&gt;="&amp;COUNTIFS($K$1:N$1,"&lt;&gt;"))),0)</f>
        <v>0.12062256809338523</v>
      </c>
      <c r="O273">
        <f>IFERROR($J273/IF($A273&lt;COUNTIFS($K$1:O$1,"&lt;&gt;"),0,SUMIFS($J:$J,$B:$B,$B273,$A:$A,"&gt;="&amp;COUNTIFS($K$1:O$1,"&lt;&gt;"))),0)</f>
        <v>0.13716814159292037</v>
      </c>
      <c r="P273">
        <f>IFERROR($J273/IF($A273&lt;COUNTIFS($K$1:P$1,"&lt;&gt;"),0,SUMIFS($J:$J,$B:$B,$B273,$A:$A,"&gt;="&amp;COUNTIFS($K$1:P$1,"&lt;&gt;"))),0)</f>
        <v>0.1565656565656566</v>
      </c>
      <c r="Q273">
        <f>IFERROR($J273/IF($A273&lt;COUNTIFS($K$1:Q$1,"&lt;&gt;"),0,SUMIFS($J:$J,$B:$B,$B273,$A:$A,"&gt;="&amp;COUNTIFS($K$1:Q$1,"&lt;&gt;"))),0)</f>
        <v>0.18562874251497008</v>
      </c>
      <c r="R273">
        <f>IFERROR($J273/IF($A273&lt;COUNTIFS($K$1:R$1,"&lt;&gt;"),0,SUMIFS($J:$J,$B:$B,$B273,$A:$A,"&gt;="&amp;COUNTIFS($K$1:R$1,"&lt;&gt;"))),0)</f>
        <v>0.22627737226277375</v>
      </c>
      <c r="S273">
        <f>IFERROR($J273/IF($A273&lt;COUNTIFS($K$1:S$1,"&lt;&gt;"),0,SUMIFS($J:$J,$B:$B,$B273,$A:$A,"&gt;="&amp;COUNTIFS($K$1:S$1,"&lt;&gt;"))),0)</f>
        <v>0.29245283018867929</v>
      </c>
      <c r="T273">
        <f>IFERROR($J273/IF($A273&lt;COUNTIFS($K$1:T$1,"&lt;&gt;"),0,SUMIFS($J:$J,$B:$B,$B273,$A:$A,"&gt;="&amp;COUNTIFS($K$1:T$1,"&lt;&gt;"))),0)</f>
        <v>0.40789473684210525</v>
      </c>
      <c r="U273">
        <f>IFERROR($J273/IF($A273&lt;COUNTIFS($K$1:U$1,"&lt;&gt;"),0,SUMIFS($J:$J,$B:$B,$B273,$A:$A,"&gt;="&amp;COUNTIFS($K$1:U$1,"&lt;&gt;"))),0)</f>
        <v>0.68888888888888888</v>
      </c>
      <c r="V273">
        <f>IFERROR($J273/IF($A273&lt;COUNTIFS($K$1:V$1,"&lt;&gt;"),0,SUMIFS($J:$J,$B:$B,$B273,$A:$A,"&gt;="&amp;COUNTIFS($K$1:V$1,"&lt;&gt;"))),0)</f>
        <v>0</v>
      </c>
      <c r="W273">
        <f t="shared" si="112"/>
        <v>8.4931506849315067E-2</v>
      </c>
      <c r="X273">
        <f t="shared" si="92"/>
        <v>8.4931506849315067E-2</v>
      </c>
      <c r="Y273">
        <f t="shared" si="93"/>
        <v>8.4931506849315067E-2</v>
      </c>
      <c r="Z273">
        <f t="shared" si="94"/>
        <v>8.4931506849315067E-2</v>
      </c>
      <c r="AA273">
        <f t="shared" si="95"/>
        <v>8.4931506849315067E-2</v>
      </c>
      <c r="AB273">
        <f t="shared" si="96"/>
        <v>8.4931506849315067E-2</v>
      </c>
      <c r="AC273">
        <f t="shared" si="97"/>
        <v>8.4931506849315067E-2</v>
      </c>
      <c r="AD273">
        <f t="shared" si="98"/>
        <v>8.4931506849315067E-2</v>
      </c>
      <c r="AE273">
        <f t="shared" si="99"/>
        <v>8.4931506849315067E-2</v>
      </c>
      <c r="AF273">
        <f t="shared" si="100"/>
        <v>8.4931506849315067E-2</v>
      </c>
      <c r="AG273">
        <f t="shared" si="101"/>
        <v>8.4931506849315067E-2</v>
      </c>
      <c r="AH273">
        <f t="shared" si="102"/>
        <v>8.4931506849315067E-2</v>
      </c>
      <c r="AI273">
        <f t="shared" si="103"/>
        <v>0</v>
      </c>
      <c r="AJ273" s="2" t="str">
        <f t="shared" si="113"/>
        <v>1144440</v>
      </c>
    </row>
    <row r="274" spans="1:36" x14ac:dyDescent="0.25">
      <c r="A274">
        <v>12</v>
      </c>
      <c r="B274" s="1">
        <v>44440</v>
      </c>
      <c r="C274" s="1">
        <f t="shared" si="104"/>
        <v>44805</v>
      </c>
      <c r="D274" s="1">
        <f t="shared" si="105"/>
        <v>44454</v>
      </c>
      <c r="E274" s="1">
        <f t="shared" si="106"/>
        <v>44805</v>
      </c>
      <c r="F274" s="1">
        <f t="shared" si="107"/>
        <v>44819</v>
      </c>
      <c r="G274" s="1">
        <f t="shared" si="108"/>
        <v>44819</v>
      </c>
      <c r="H274">
        <f t="shared" si="109"/>
        <v>365</v>
      </c>
      <c r="I274">
        <f t="shared" si="110"/>
        <v>14</v>
      </c>
      <c r="J274">
        <f t="shared" si="111"/>
        <v>3.8356164383561646E-2</v>
      </c>
      <c r="K274">
        <f>IFERROR($J274/IF($A274&lt;COUNTIFS($K$1:K$1,"&lt;&gt;"),0,SUMIFS($J:$J,$B:$B,$B274,$A:$A,"&gt;="&amp;COUNTIFS($K$1:K$1,"&lt;&gt;"))),0)</f>
        <v>4.0114613180515769E-2</v>
      </c>
      <c r="L274">
        <f>IFERROR($J274/IF($A274&lt;COUNTIFS($K$1:L$1,"&lt;&gt;"),0,SUMIFS($J:$J,$B:$B,$B274,$A:$A,"&gt;="&amp;COUNTIFS($K$1:L$1,"&lt;&gt;"))),0)</f>
        <v>4.4025157232704414E-2</v>
      </c>
      <c r="M274">
        <f>IFERROR($J274/IF($A274&lt;COUNTIFS($K$1:M$1,"&lt;&gt;"),0,SUMIFS($J:$J,$B:$B,$B274,$A:$A,"&gt;="&amp;COUNTIFS($K$1:M$1,"&lt;&gt;"))),0)</f>
        <v>4.8611111111111119E-2</v>
      </c>
      <c r="N274">
        <f>IFERROR($J274/IF($A274&lt;COUNTIFS($K$1:N$1,"&lt;&gt;"),0,SUMIFS($J:$J,$B:$B,$B274,$A:$A,"&gt;="&amp;COUNTIFS($K$1:N$1,"&lt;&gt;"))),0)</f>
        <v>5.447470817120624E-2</v>
      </c>
      <c r="O274">
        <f>IFERROR($J274/IF($A274&lt;COUNTIFS($K$1:O$1,"&lt;&gt;"),0,SUMIFS($J:$J,$B:$B,$B274,$A:$A,"&gt;="&amp;COUNTIFS($K$1:O$1,"&lt;&gt;"))),0)</f>
        <v>6.194690265486727E-2</v>
      </c>
      <c r="P274">
        <f>IFERROR($J274/IF($A274&lt;COUNTIFS($K$1:P$1,"&lt;&gt;"),0,SUMIFS($J:$J,$B:$B,$B274,$A:$A,"&gt;="&amp;COUNTIFS($K$1:P$1,"&lt;&gt;"))),0)</f>
        <v>7.0707070707070732E-2</v>
      </c>
      <c r="Q274">
        <f>IFERROR($J274/IF($A274&lt;COUNTIFS($K$1:Q$1,"&lt;&gt;"),0,SUMIFS($J:$J,$B:$B,$B274,$A:$A,"&gt;="&amp;COUNTIFS($K$1:Q$1,"&lt;&gt;"))),0)</f>
        <v>8.3832335329341326E-2</v>
      </c>
      <c r="R274">
        <f>IFERROR($J274/IF($A274&lt;COUNTIFS($K$1:R$1,"&lt;&gt;"),0,SUMIFS($J:$J,$B:$B,$B274,$A:$A,"&gt;="&amp;COUNTIFS($K$1:R$1,"&lt;&gt;"))),0)</f>
        <v>0.10218978102189782</v>
      </c>
      <c r="S274">
        <f>IFERROR($J274/IF($A274&lt;COUNTIFS($K$1:S$1,"&lt;&gt;"),0,SUMIFS($J:$J,$B:$B,$B274,$A:$A,"&gt;="&amp;COUNTIFS($K$1:S$1,"&lt;&gt;"))),0)</f>
        <v>0.13207547169811323</v>
      </c>
      <c r="T274">
        <f>IFERROR($J274/IF($A274&lt;COUNTIFS($K$1:T$1,"&lt;&gt;"),0,SUMIFS($J:$J,$B:$B,$B274,$A:$A,"&gt;="&amp;COUNTIFS($K$1:T$1,"&lt;&gt;"))),0)</f>
        <v>0.18421052631578949</v>
      </c>
      <c r="U274">
        <f>IFERROR($J274/IF($A274&lt;COUNTIFS($K$1:U$1,"&lt;&gt;"),0,SUMIFS($J:$J,$B:$B,$B274,$A:$A,"&gt;="&amp;COUNTIFS($K$1:U$1,"&lt;&gt;"))),0)</f>
        <v>0.31111111111111117</v>
      </c>
      <c r="V274">
        <f>IFERROR($J274/IF($A274&lt;COUNTIFS($K$1:V$1,"&lt;&gt;"),0,SUMIFS($J:$J,$B:$B,$B274,$A:$A,"&gt;="&amp;COUNTIFS($K$1:V$1,"&lt;&gt;"))),0)</f>
        <v>1</v>
      </c>
      <c r="W274">
        <f t="shared" si="112"/>
        <v>3.8356164383561646E-2</v>
      </c>
      <c r="X274">
        <f t="shared" si="92"/>
        <v>3.8356164383561646E-2</v>
      </c>
      <c r="Y274">
        <f t="shared" si="93"/>
        <v>3.8356164383561646E-2</v>
      </c>
      <c r="Z274">
        <f t="shared" si="94"/>
        <v>3.8356164383561646E-2</v>
      </c>
      <c r="AA274">
        <f t="shared" si="95"/>
        <v>3.8356164383561646E-2</v>
      </c>
      <c r="AB274">
        <f t="shared" si="96"/>
        <v>3.8356164383561646E-2</v>
      </c>
      <c r="AC274">
        <f t="shared" si="97"/>
        <v>3.8356164383561646E-2</v>
      </c>
      <c r="AD274">
        <f t="shared" si="98"/>
        <v>3.8356164383561646E-2</v>
      </c>
      <c r="AE274">
        <f t="shared" si="99"/>
        <v>3.8356164383561646E-2</v>
      </c>
      <c r="AF274">
        <f t="shared" si="100"/>
        <v>3.8356164383561646E-2</v>
      </c>
      <c r="AG274">
        <f t="shared" si="101"/>
        <v>3.8356164383561646E-2</v>
      </c>
      <c r="AH274">
        <f t="shared" si="102"/>
        <v>3.8356164383561646E-2</v>
      </c>
      <c r="AI274">
        <f t="shared" si="103"/>
        <v>3.8356164383561646E-2</v>
      </c>
      <c r="AJ274" s="2" t="str">
        <f t="shared" si="113"/>
        <v>1244440</v>
      </c>
    </row>
    <row r="275" spans="1:36" x14ac:dyDescent="0.25">
      <c r="A275">
        <v>0</v>
      </c>
      <c r="B275" s="1">
        <v>44470</v>
      </c>
      <c r="C275" s="1">
        <f t="shared" si="104"/>
        <v>44470</v>
      </c>
      <c r="D275" s="1">
        <f t="shared" si="105"/>
        <v>44484</v>
      </c>
      <c r="E275" s="1">
        <f t="shared" si="106"/>
        <v>44484</v>
      </c>
      <c r="F275" s="1">
        <f t="shared" si="107"/>
        <v>44501</v>
      </c>
      <c r="G275" s="1">
        <f t="shared" si="108"/>
        <v>44849</v>
      </c>
      <c r="H275">
        <f t="shared" si="109"/>
        <v>365</v>
      </c>
      <c r="I275">
        <f t="shared" si="110"/>
        <v>17</v>
      </c>
      <c r="J275">
        <f t="shared" si="111"/>
        <v>4.6575342465753428E-2</v>
      </c>
      <c r="K275">
        <f>IFERROR($J275/IF($A275&lt;COUNTIFS($K$1:K$1,"&lt;&gt;"),0,SUMIFS($J:$J,$B:$B,$B275,$A:$A,"&gt;="&amp;COUNTIFS($K$1:K$1,"&lt;&gt;"))),0)</f>
        <v>0</v>
      </c>
      <c r="L275">
        <f>IFERROR($J275/IF($A275&lt;COUNTIFS($K$1:L$1,"&lt;&gt;"),0,SUMIFS($J:$J,$B:$B,$B275,$A:$A,"&gt;="&amp;COUNTIFS($K$1:L$1,"&lt;&gt;"))),0)</f>
        <v>0</v>
      </c>
      <c r="M275">
        <f>IFERROR($J275/IF($A275&lt;COUNTIFS($K$1:M$1,"&lt;&gt;"),0,SUMIFS($J:$J,$B:$B,$B275,$A:$A,"&gt;="&amp;COUNTIFS($K$1:M$1,"&lt;&gt;"))),0)</f>
        <v>0</v>
      </c>
      <c r="N275">
        <f>IFERROR($J275/IF($A275&lt;COUNTIFS($K$1:N$1,"&lt;&gt;"),0,SUMIFS($J:$J,$B:$B,$B275,$A:$A,"&gt;="&amp;COUNTIFS($K$1:N$1,"&lt;&gt;"))),0)</f>
        <v>0</v>
      </c>
      <c r="O275">
        <f>IFERROR($J275/IF($A275&lt;COUNTIFS($K$1:O$1,"&lt;&gt;"),0,SUMIFS($J:$J,$B:$B,$B275,$A:$A,"&gt;="&amp;COUNTIFS($K$1:O$1,"&lt;&gt;"))),0)</f>
        <v>0</v>
      </c>
      <c r="P275">
        <f>IFERROR($J275/IF($A275&lt;COUNTIFS($K$1:P$1,"&lt;&gt;"),0,SUMIFS($J:$J,$B:$B,$B275,$A:$A,"&gt;="&amp;COUNTIFS($K$1:P$1,"&lt;&gt;"))),0)</f>
        <v>0</v>
      </c>
      <c r="Q275">
        <f>IFERROR($J275/IF($A275&lt;COUNTIFS($K$1:Q$1,"&lt;&gt;"),0,SUMIFS($J:$J,$B:$B,$B275,$A:$A,"&gt;="&amp;COUNTIFS($K$1:Q$1,"&lt;&gt;"))),0)</f>
        <v>0</v>
      </c>
      <c r="R275">
        <f>IFERROR($J275/IF($A275&lt;COUNTIFS($K$1:R$1,"&lt;&gt;"),0,SUMIFS($J:$J,$B:$B,$B275,$A:$A,"&gt;="&amp;COUNTIFS($K$1:R$1,"&lt;&gt;"))),0)</f>
        <v>0</v>
      </c>
      <c r="S275">
        <f>IFERROR($J275/IF($A275&lt;COUNTIFS($K$1:S$1,"&lt;&gt;"),0,SUMIFS($J:$J,$B:$B,$B275,$A:$A,"&gt;="&amp;COUNTIFS($K$1:S$1,"&lt;&gt;"))),0)</f>
        <v>0</v>
      </c>
      <c r="T275">
        <f>IFERROR($J275/IF($A275&lt;COUNTIFS($K$1:T$1,"&lt;&gt;"),0,SUMIFS($J:$J,$B:$B,$B275,$A:$A,"&gt;="&amp;COUNTIFS($K$1:T$1,"&lt;&gt;"))),0)</f>
        <v>0</v>
      </c>
      <c r="U275">
        <f>IFERROR($J275/IF($A275&lt;COUNTIFS($K$1:U$1,"&lt;&gt;"),0,SUMIFS($J:$J,$B:$B,$B275,$A:$A,"&gt;="&amp;COUNTIFS($K$1:U$1,"&lt;&gt;"))),0)</f>
        <v>0</v>
      </c>
      <c r="V275">
        <f>IFERROR($J275/IF($A275&lt;COUNTIFS($K$1:V$1,"&lt;&gt;"),0,SUMIFS($J:$J,$B:$B,$B275,$A:$A,"&gt;="&amp;COUNTIFS($K$1:V$1,"&lt;&gt;"))),0)</f>
        <v>0</v>
      </c>
      <c r="W275">
        <f t="shared" si="112"/>
        <v>4.6575342465753428E-2</v>
      </c>
      <c r="X275">
        <f t="shared" si="92"/>
        <v>0</v>
      </c>
      <c r="Y275">
        <f t="shared" si="93"/>
        <v>0</v>
      </c>
      <c r="Z275">
        <f t="shared" si="94"/>
        <v>0</v>
      </c>
      <c r="AA275">
        <f t="shared" si="95"/>
        <v>0</v>
      </c>
      <c r="AB275">
        <f t="shared" si="96"/>
        <v>0</v>
      </c>
      <c r="AC275">
        <f t="shared" si="97"/>
        <v>0</v>
      </c>
      <c r="AD275">
        <f t="shared" si="98"/>
        <v>0</v>
      </c>
      <c r="AE275">
        <f t="shared" si="99"/>
        <v>0</v>
      </c>
      <c r="AF275">
        <f t="shared" si="100"/>
        <v>0</v>
      </c>
      <c r="AG275">
        <f t="shared" si="101"/>
        <v>0</v>
      </c>
      <c r="AH275">
        <f t="shared" si="102"/>
        <v>0</v>
      </c>
      <c r="AI275">
        <f t="shared" si="103"/>
        <v>0</v>
      </c>
      <c r="AJ275" s="2" t="str">
        <f t="shared" si="113"/>
        <v>044470</v>
      </c>
    </row>
    <row r="276" spans="1:36" x14ac:dyDescent="0.25">
      <c r="A276">
        <v>1</v>
      </c>
      <c r="B276" s="1">
        <v>44470</v>
      </c>
      <c r="C276" s="1">
        <f t="shared" si="104"/>
        <v>44501</v>
      </c>
      <c r="D276" s="1">
        <f t="shared" si="105"/>
        <v>44484</v>
      </c>
      <c r="E276" s="1">
        <f t="shared" si="106"/>
        <v>44501</v>
      </c>
      <c r="F276" s="1">
        <f t="shared" si="107"/>
        <v>44531</v>
      </c>
      <c r="G276" s="1">
        <f t="shared" si="108"/>
        <v>44849</v>
      </c>
      <c r="H276">
        <f t="shared" si="109"/>
        <v>365</v>
      </c>
      <c r="I276">
        <f t="shared" si="110"/>
        <v>30</v>
      </c>
      <c r="J276">
        <f t="shared" si="111"/>
        <v>8.2191780821917804E-2</v>
      </c>
      <c r="K276">
        <f>IFERROR($J276/IF($A276&lt;COUNTIFS($K$1:K$1,"&lt;&gt;"),0,SUMIFS($J:$J,$B:$B,$B276,$A:$A,"&gt;="&amp;COUNTIFS($K$1:K$1,"&lt;&gt;"))),0)</f>
        <v>8.6206896551724144E-2</v>
      </c>
      <c r="L276">
        <f>IFERROR($J276/IF($A276&lt;COUNTIFS($K$1:L$1,"&lt;&gt;"),0,SUMIFS($J:$J,$B:$B,$B276,$A:$A,"&gt;="&amp;COUNTIFS($K$1:L$1,"&lt;&gt;"))),0)</f>
        <v>0</v>
      </c>
      <c r="M276">
        <f>IFERROR($J276/IF($A276&lt;COUNTIFS($K$1:M$1,"&lt;&gt;"),0,SUMIFS($J:$J,$B:$B,$B276,$A:$A,"&gt;="&amp;COUNTIFS($K$1:M$1,"&lt;&gt;"))),0)</f>
        <v>0</v>
      </c>
      <c r="N276">
        <f>IFERROR($J276/IF($A276&lt;COUNTIFS($K$1:N$1,"&lt;&gt;"),0,SUMIFS($J:$J,$B:$B,$B276,$A:$A,"&gt;="&amp;COUNTIFS($K$1:N$1,"&lt;&gt;"))),0)</f>
        <v>0</v>
      </c>
      <c r="O276">
        <f>IFERROR($J276/IF($A276&lt;COUNTIFS($K$1:O$1,"&lt;&gt;"),0,SUMIFS($J:$J,$B:$B,$B276,$A:$A,"&gt;="&amp;COUNTIFS($K$1:O$1,"&lt;&gt;"))),0)</f>
        <v>0</v>
      </c>
      <c r="P276">
        <f>IFERROR($J276/IF($A276&lt;COUNTIFS($K$1:P$1,"&lt;&gt;"),0,SUMIFS($J:$J,$B:$B,$B276,$A:$A,"&gt;="&amp;COUNTIFS($K$1:P$1,"&lt;&gt;"))),0)</f>
        <v>0</v>
      </c>
      <c r="Q276">
        <f>IFERROR($J276/IF($A276&lt;COUNTIFS($K$1:Q$1,"&lt;&gt;"),0,SUMIFS($J:$J,$B:$B,$B276,$A:$A,"&gt;="&amp;COUNTIFS($K$1:Q$1,"&lt;&gt;"))),0)</f>
        <v>0</v>
      </c>
      <c r="R276">
        <f>IFERROR($J276/IF($A276&lt;COUNTIFS($K$1:R$1,"&lt;&gt;"),0,SUMIFS($J:$J,$B:$B,$B276,$A:$A,"&gt;="&amp;COUNTIFS($K$1:R$1,"&lt;&gt;"))),0)</f>
        <v>0</v>
      </c>
      <c r="S276">
        <f>IFERROR($J276/IF($A276&lt;COUNTIFS($K$1:S$1,"&lt;&gt;"),0,SUMIFS($J:$J,$B:$B,$B276,$A:$A,"&gt;="&amp;COUNTIFS($K$1:S$1,"&lt;&gt;"))),0)</f>
        <v>0</v>
      </c>
      <c r="T276">
        <f>IFERROR($J276/IF($A276&lt;COUNTIFS($K$1:T$1,"&lt;&gt;"),0,SUMIFS($J:$J,$B:$B,$B276,$A:$A,"&gt;="&amp;COUNTIFS($K$1:T$1,"&lt;&gt;"))),0)</f>
        <v>0</v>
      </c>
      <c r="U276">
        <f>IFERROR($J276/IF($A276&lt;COUNTIFS($K$1:U$1,"&lt;&gt;"),0,SUMIFS($J:$J,$B:$B,$B276,$A:$A,"&gt;="&amp;COUNTIFS($K$1:U$1,"&lt;&gt;"))),0)</f>
        <v>0</v>
      </c>
      <c r="V276">
        <f>IFERROR($J276/IF($A276&lt;COUNTIFS($K$1:V$1,"&lt;&gt;"),0,SUMIFS($J:$J,$B:$B,$B276,$A:$A,"&gt;="&amp;COUNTIFS($K$1:V$1,"&lt;&gt;"))),0)</f>
        <v>0</v>
      </c>
      <c r="W276">
        <f t="shared" si="112"/>
        <v>8.2191780821917804E-2</v>
      </c>
      <c r="X276">
        <f t="shared" si="92"/>
        <v>8.2191780821917804E-2</v>
      </c>
      <c r="Y276">
        <f t="shared" si="93"/>
        <v>0</v>
      </c>
      <c r="Z276">
        <f t="shared" si="94"/>
        <v>0</v>
      </c>
      <c r="AA276">
        <f t="shared" si="95"/>
        <v>0</v>
      </c>
      <c r="AB276">
        <f t="shared" si="96"/>
        <v>0</v>
      </c>
      <c r="AC276">
        <f t="shared" si="97"/>
        <v>0</v>
      </c>
      <c r="AD276">
        <f t="shared" si="98"/>
        <v>0</v>
      </c>
      <c r="AE276">
        <f t="shared" si="99"/>
        <v>0</v>
      </c>
      <c r="AF276">
        <f t="shared" si="100"/>
        <v>0</v>
      </c>
      <c r="AG276">
        <f t="shared" si="101"/>
        <v>0</v>
      </c>
      <c r="AH276">
        <f t="shared" si="102"/>
        <v>0</v>
      </c>
      <c r="AI276">
        <f t="shared" si="103"/>
        <v>0</v>
      </c>
      <c r="AJ276" s="2" t="str">
        <f t="shared" si="113"/>
        <v>144470</v>
      </c>
    </row>
    <row r="277" spans="1:36" x14ac:dyDescent="0.25">
      <c r="A277">
        <v>2</v>
      </c>
      <c r="B277" s="1">
        <v>44470</v>
      </c>
      <c r="C277" s="1">
        <f t="shared" si="104"/>
        <v>44531</v>
      </c>
      <c r="D277" s="1">
        <f t="shared" si="105"/>
        <v>44484</v>
      </c>
      <c r="E277" s="1">
        <f t="shared" si="106"/>
        <v>44531</v>
      </c>
      <c r="F277" s="1">
        <f t="shared" si="107"/>
        <v>44562</v>
      </c>
      <c r="G277" s="1">
        <f t="shared" si="108"/>
        <v>44849</v>
      </c>
      <c r="H277">
        <f t="shared" si="109"/>
        <v>365</v>
      </c>
      <c r="I277">
        <f t="shared" si="110"/>
        <v>31</v>
      </c>
      <c r="J277">
        <f t="shared" si="111"/>
        <v>8.4931506849315067E-2</v>
      </c>
      <c r="K277">
        <f>IFERROR($J277/IF($A277&lt;COUNTIFS($K$1:K$1,"&lt;&gt;"),0,SUMIFS($J:$J,$B:$B,$B277,$A:$A,"&gt;="&amp;COUNTIFS($K$1:K$1,"&lt;&gt;"))),0)</f>
        <v>8.9080459770114959E-2</v>
      </c>
      <c r="L277">
        <f>IFERROR($J277/IF($A277&lt;COUNTIFS($K$1:L$1,"&lt;&gt;"),0,SUMIFS($J:$J,$B:$B,$B277,$A:$A,"&gt;="&amp;COUNTIFS($K$1:L$1,"&lt;&gt;"))),0)</f>
        <v>9.7484276729559768E-2</v>
      </c>
      <c r="M277">
        <f>IFERROR($J277/IF($A277&lt;COUNTIFS($K$1:M$1,"&lt;&gt;"),0,SUMIFS($J:$J,$B:$B,$B277,$A:$A,"&gt;="&amp;COUNTIFS($K$1:M$1,"&lt;&gt;"))),0)</f>
        <v>0</v>
      </c>
      <c r="N277">
        <f>IFERROR($J277/IF($A277&lt;COUNTIFS($K$1:N$1,"&lt;&gt;"),0,SUMIFS($J:$J,$B:$B,$B277,$A:$A,"&gt;="&amp;COUNTIFS($K$1:N$1,"&lt;&gt;"))),0)</f>
        <v>0</v>
      </c>
      <c r="O277">
        <f>IFERROR($J277/IF($A277&lt;COUNTIFS($K$1:O$1,"&lt;&gt;"),0,SUMIFS($J:$J,$B:$B,$B277,$A:$A,"&gt;="&amp;COUNTIFS($K$1:O$1,"&lt;&gt;"))),0)</f>
        <v>0</v>
      </c>
      <c r="P277">
        <f>IFERROR($J277/IF($A277&lt;COUNTIFS($K$1:P$1,"&lt;&gt;"),0,SUMIFS($J:$J,$B:$B,$B277,$A:$A,"&gt;="&amp;COUNTIFS($K$1:P$1,"&lt;&gt;"))),0)</f>
        <v>0</v>
      </c>
      <c r="Q277">
        <f>IFERROR($J277/IF($A277&lt;COUNTIFS($K$1:Q$1,"&lt;&gt;"),0,SUMIFS($J:$J,$B:$B,$B277,$A:$A,"&gt;="&amp;COUNTIFS($K$1:Q$1,"&lt;&gt;"))),0)</f>
        <v>0</v>
      </c>
      <c r="R277">
        <f>IFERROR($J277/IF($A277&lt;COUNTIFS($K$1:R$1,"&lt;&gt;"),0,SUMIFS($J:$J,$B:$B,$B277,$A:$A,"&gt;="&amp;COUNTIFS($K$1:R$1,"&lt;&gt;"))),0)</f>
        <v>0</v>
      </c>
      <c r="S277">
        <f>IFERROR($J277/IF($A277&lt;COUNTIFS($K$1:S$1,"&lt;&gt;"),0,SUMIFS($J:$J,$B:$B,$B277,$A:$A,"&gt;="&amp;COUNTIFS($K$1:S$1,"&lt;&gt;"))),0)</f>
        <v>0</v>
      </c>
      <c r="T277">
        <f>IFERROR($J277/IF($A277&lt;COUNTIFS($K$1:T$1,"&lt;&gt;"),0,SUMIFS($J:$J,$B:$B,$B277,$A:$A,"&gt;="&amp;COUNTIFS($K$1:T$1,"&lt;&gt;"))),0)</f>
        <v>0</v>
      </c>
      <c r="U277">
        <f>IFERROR($J277/IF($A277&lt;COUNTIFS($K$1:U$1,"&lt;&gt;"),0,SUMIFS($J:$J,$B:$B,$B277,$A:$A,"&gt;="&amp;COUNTIFS($K$1:U$1,"&lt;&gt;"))),0)</f>
        <v>0</v>
      </c>
      <c r="V277">
        <f>IFERROR($J277/IF($A277&lt;COUNTIFS($K$1:V$1,"&lt;&gt;"),0,SUMIFS($J:$J,$B:$B,$B277,$A:$A,"&gt;="&amp;COUNTIFS($K$1:V$1,"&lt;&gt;"))),0)</f>
        <v>0</v>
      </c>
      <c r="W277">
        <f t="shared" si="112"/>
        <v>8.4931506849315067E-2</v>
      </c>
      <c r="X277">
        <f t="shared" si="92"/>
        <v>8.4931506849315067E-2</v>
      </c>
      <c r="Y277">
        <f t="shared" si="93"/>
        <v>8.4931506849315067E-2</v>
      </c>
      <c r="Z277">
        <f t="shared" si="94"/>
        <v>0</v>
      </c>
      <c r="AA277">
        <f t="shared" si="95"/>
        <v>0</v>
      </c>
      <c r="AB277">
        <f t="shared" si="96"/>
        <v>0</v>
      </c>
      <c r="AC277">
        <f t="shared" si="97"/>
        <v>0</v>
      </c>
      <c r="AD277">
        <f t="shared" si="98"/>
        <v>0</v>
      </c>
      <c r="AE277">
        <f t="shared" si="99"/>
        <v>0</v>
      </c>
      <c r="AF277">
        <f t="shared" si="100"/>
        <v>0</v>
      </c>
      <c r="AG277">
        <f t="shared" si="101"/>
        <v>0</v>
      </c>
      <c r="AH277">
        <f t="shared" si="102"/>
        <v>0</v>
      </c>
      <c r="AI277">
        <f t="shared" si="103"/>
        <v>0</v>
      </c>
      <c r="AJ277" s="2" t="str">
        <f t="shared" si="113"/>
        <v>244470</v>
      </c>
    </row>
    <row r="278" spans="1:36" x14ac:dyDescent="0.25">
      <c r="A278">
        <v>3</v>
      </c>
      <c r="B278" s="1">
        <v>44470</v>
      </c>
      <c r="C278" s="1">
        <f t="shared" si="104"/>
        <v>44562</v>
      </c>
      <c r="D278" s="1">
        <f t="shared" si="105"/>
        <v>44484</v>
      </c>
      <c r="E278" s="1">
        <f t="shared" si="106"/>
        <v>44562</v>
      </c>
      <c r="F278" s="1">
        <f t="shared" si="107"/>
        <v>44593</v>
      </c>
      <c r="G278" s="1">
        <f t="shared" si="108"/>
        <v>44849</v>
      </c>
      <c r="H278">
        <f t="shared" si="109"/>
        <v>365</v>
      </c>
      <c r="I278">
        <f t="shared" si="110"/>
        <v>31</v>
      </c>
      <c r="J278">
        <f t="shared" si="111"/>
        <v>8.4931506849315067E-2</v>
      </c>
      <c r="K278">
        <f>IFERROR($J278/IF($A278&lt;COUNTIFS($K$1:K$1,"&lt;&gt;"),0,SUMIFS($J:$J,$B:$B,$B278,$A:$A,"&gt;="&amp;COUNTIFS($K$1:K$1,"&lt;&gt;"))),0)</f>
        <v>8.9080459770114959E-2</v>
      </c>
      <c r="L278">
        <f>IFERROR($J278/IF($A278&lt;COUNTIFS($K$1:L$1,"&lt;&gt;"),0,SUMIFS($J:$J,$B:$B,$B278,$A:$A,"&gt;="&amp;COUNTIFS($K$1:L$1,"&lt;&gt;"))),0)</f>
        <v>9.7484276729559768E-2</v>
      </c>
      <c r="M278">
        <f>IFERROR($J278/IF($A278&lt;COUNTIFS($K$1:M$1,"&lt;&gt;"),0,SUMIFS($J:$J,$B:$B,$B278,$A:$A,"&gt;="&amp;COUNTIFS($K$1:M$1,"&lt;&gt;"))),0)</f>
        <v>0.10801393728222998</v>
      </c>
      <c r="N278">
        <f>IFERROR($J278/IF($A278&lt;COUNTIFS($K$1:N$1,"&lt;&gt;"),0,SUMIFS($J:$J,$B:$B,$B278,$A:$A,"&gt;="&amp;COUNTIFS($K$1:N$1,"&lt;&gt;"))),0)</f>
        <v>0</v>
      </c>
      <c r="O278">
        <f>IFERROR($J278/IF($A278&lt;COUNTIFS($K$1:O$1,"&lt;&gt;"),0,SUMIFS($J:$J,$B:$B,$B278,$A:$A,"&gt;="&amp;COUNTIFS($K$1:O$1,"&lt;&gt;"))),0)</f>
        <v>0</v>
      </c>
      <c r="P278">
        <f>IFERROR($J278/IF($A278&lt;COUNTIFS($K$1:P$1,"&lt;&gt;"),0,SUMIFS($J:$J,$B:$B,$B278,$A:$A,"&gt;="&amp;COUNTIFS($K$1:P$1,"&lt;&gt;"))),0)</f>
        <v>0</v>
      </c>
      <c r="Q278">
        <f>IFERROR($J278/IF($A278&lt;COUNTIFS($K$1:Q$1,"&lt;&gt;"),0,SUMIFS($J:$J,$B:$B,$B278,$A:$A,"&gt;="&amp;COUNTIFS($K$1:Q$1,"&lt;&gt;"))),0)</f>
        <v>0</v>
      </c>
      <c r="R278">
        <f>IFERROR($J278/IF($A278&lt;COUNTIFS($K$1:R$1,"&lt;&gt;"),0,SUMIFS($J:$J,$B:$B,$B278,$A:$A,"&gt;="&amp;COUNTIFS($K$1:R$1,"&lt;&gt;"))),0)</f>
        <v>0</v>
      </c>
      <c r="S278">
        <f>IFERROR($J278/IF($A278&lt;COUNTIFS($K$1:S$1,"&lt;&gt;"),0,SUMIFS($J:$J,$B:$B,$B278,$A:$A,"&gt;="&amp;COUNTIFS($K$1:S$1,"&lt;&gt;"))),0)</f>
        <v>0</v>
      </c>
      <c r="T278">
        <f>IFERROR($J278/IF($A278&lt;COUNTIFS($K$1:T$1,"&lt;&gt;"),0,SUMIFS($J:$J,$B:$B,$B278,$A:$A,"&gt;="&amp;COUNTIFS($K$1:T$1,"&lt;&gt;"))),0)</f>
        <v>0</v>
      </c>
      <c r="U278">
        <f>IFERROR($J278/IF($A278&lt;COUNTIFS($K$1:U$1,"&lt;&gt;"),0,SUMIFS($J:$J,$B:$B,$B278,$A:$A,"&gt;="&amp;COUNTIFS($K$1:U$1,"&lt;&gt;"))),0)</f>
        <v>0</v>
      </c>
      <c r="V278">
        <f>IFERROR($J278/IF($A278&lt;COUNTIFS($K$1:V$1,"&lt;&gt;"),0,SUMIFS($J:$J,$B:$B,$B278,$A:$A,"&gt;="&amp;COUNTIFS($K$1:V$1,"&lt;&gt;"))),0)</f>
        <v>0</v>
      </c>
      <c r="W278">
        <f t="shared" si="112"/>
        <v>8.4931506849315067E-2</v>
      </c>
      <c r="X278">
        <f t="shared" si="92"/>
        <v>8.4931506849315067E-2</v>
      </c>
      <c r="Y278">
        <f t="shared" si="93"/>
        <v>8.4931506849315067E-2</v>
      </c>
      <c r="Z278">
        <f t="shared" si="94"/>
        <v>8.4931506849315067E-2</v>
      </c>
      <c r="AA278">
        <f t="shared" si="95"/>
        <v>0</v>
      </c>
      <c r="AB278">
        <f t="shared" si="96"/>
        <v>0</v>
      </c>
      <c r="AC278">
        <f t="shared" si="97"/>
        <v>0</v>
      </c>
      <c r="AD278">
        <f t="shared" si="98"/>
        <v>0</v>
      </c>
      <c r="AE278">
        <f t="shared" si="99"/>
        <v>0</v>
      </c>
      <c r="AF278">
        <f t="shared" si="100"/>
        <v>0</v>
      </c>
      <c r="AG278">
        <f t="shared" si="101"/>
        <v>0</v>
      </c>
      <c r="AH278">
        <f t="shared" si="102"/>
        <v>0</v>
      </c>
      <c r="AI278">
        <f t="shared" si="103"/>
        <v>0</v>
      </c>
      <c r="AJ278" s="2" t="str">
        <f t="shared" si="113"/>
        <v>344470</v>
      </c>
    </row>
    <row r="279" spans="1:36" x14ac:dyDescent="0.25">
      <c r="A279">
        <v>4</v>
      </c>
      <c r="B279" s="1">
        <v>44470</v>
      </c>
      <c r="C279" s="1">
        <f t="shared" si="104"/>
        <v>44593</v>
      </c>
      <c r="D279" s="1">
        <f t="shared" si="105"/>
        <v>44484</v>
      </c>
      <c r="E279" s="1">
        <f t="shared" si="106"/>
        <v>44593</v>
      </c>
      <c r="F279" s="1">
        <f t="shared" si="107"/>
        <v>44621</v>
      </c>
      <c r="G279" s="1">
        <f t="shared" si="108"/>
        <v>44849</v>
      </c>
      <c r="H279">
        <f t="shared" si="109"/>
        <v>365</v>
      </c>
      <c r="I279">
        <f t="shared" si="110"/>
        <v>28</v>
      </c>
      <c r="J279">
        <f t="shared" si="111"/>
        <v>7.6712328767123292E-2</v>
      </c>
      <c r="K279">
        <f>IFERROR($J279/IF($A279&lt;COUNTIFS($K$1:K$1,"&lt;&gt;"),0,SUMIFS($J:$J,$B:$B,$B279,$A:$A,"&gt;="&amp;COUNTIFS($K$1:K$1,"&lt;&gt;"))),0)</f>
        <v>8.0459770114942541E-2</v>
      </c>
      <c r="L279">
        <f>IFERROR($J279/IF($A279&lt;COUNTIFS($K$1:L$1,"&lt;&gt;"),0,SUMIFS($J:$J,$B:$B,$B279,$A:$A,"&gt;="&amp;COUNTIFS($K$1:L$1,"&lt;&gt;"))),0)</f>
        <v>8.8050314465408827E-2</v>
      </c>
      <c r="M279">
        <f>IFERROR($J279/IF($A279&lt;COUNTIFS($K$1:M$1,"&lt;&gt;"),0,SUMIFS($J:$J,$B:$B,$B279,$A:$A,"&gt;="&amp;COUNTIFS($K$1:M$1,"&lt;&gt;"))),0)</f>
        <v>9.7560975609756115E-2</v>
      </c>
      <c r="N279">
        <f>IFERROR($J279/IF($A279&lt;COUNTIFS($K$1:N$1,"&lt;&gt;"),0,SUMIFS($J:$J,$B:$B,$B279,$A:$A,"&gt;="&amp;COUNTIFS($K$1:N$1,"&lt;&gt;"))),0)</f>
        <v>0.10937500000000003</v>
      </c>
      <c r="O279">
        <f>IFERROR($J279/IF($A279&lt;COUNTIFS($K$1:O$1,"&lt;&gt;"),0,SUMIFS($J:$J,$B:$B,$B279,$A:$A,"&gt;="&amp;COUNTIFS($K$1:O$1,"&lt;&gt;"))),0)</f>
        <v>0</v>
      </c>
      <c r="P279">
        <f>IFERROR($J279/IF($A279&lt;COUNTIFS($K$1:P$1,"&lt;&gt;"),0,SUMIFS($J:$J,$B:$B,$B279,$A:$A,"&gt;="&amp;COUNTIFS($K$1:P$1,"&lt;&gt;"))),0)</f>
        <v>0</v>
      </c>
      <c r="Q279">
        <f>IFERROR($J279/IF($A279&lt;COUNTIFS($K$1:Q$1,"&lt;&gt;"),0,SUMIFS($J:$J,$B:$B,$B279,$A:$A,"&gt;="&amp;COUNTIFS($K$1:Q$1,"&lt;&gt;"))),0)</f>
        <v>0</v>
      </c>
      <c r="R279">
        <f>IFERROR($J279/IF($A279&lt;COUNTIFS($K$1:R$1,"&lt;&gt;"),0,SUMIFS($J:$J,$B:$B,$B279,$A:$A,"&gt;="&amp;COUNTIFS($K$1:R$1,"&lt;&gt;"))),0)</f>
        <v>0</v>
      </c>
      <c r="S279">
        <f>IFERROR($J279/IF($A279&lt;COUNTIFS($K$1:S$1,"&lt;&gt;"),0,SUMIFS($J:$J,$B:$B,$B279,$A:$A,"&gt;="&amp;COUNTIFS($K$1:S$1,"&lt;&gt;"))),0)</f>
        <v>0</v>
      </c>
      <c r="T279">
        <f>IFERROR($J279/IF($A279&lt;COUNTIFS($K$1:T$1,"&lt;&gt;"),0,SUMIFS($J:$J,$B:$B,$B279,$A:$A,"&gt;="&amp;COUNTIFS($K$1:T$1,"&lt;&gt;"))),0)</f>
        <v>0</v>
      </c>
      <c r="U279">
        <f>IFERROR($J279/IF($A279&lt;COUNTIFS($K$1:U$1,"&lt;&gt;"),0,SUMIFS($J:$J,$B:$B,$B279,$A:$A,"&gt;="&amp;COUNTIFS($K$1:U$1,"&lt;&gt;"))),0)</f>
        <v>0</v>
      </c>
      <c r="V279">
        <f>IFERROR($J279/IF($A279&lt;COUNTIFS($K$1:V$1,"&lt;&gt;"),0,SUMIFS($J:$J,$B:$B,$B279,$A:$A,"&gt;="&amp;COUNTIFS($K$1:V$1,"&lt;&gt;"))),0)</f>
        <v>0</v>
      </c>
      <c r="W279">
        <f t="shared" si="112"/>
        <v>7.6712328767123292E-2</v>
      </c>
      <c r="X279">
        <f t="shared" si="92"/>
        <v>7.6712328767123292E-2</v>
      </c>
      <c r="Y279">
        <f t="shared" si="93"/>
        <v>7.6712328767123292E-2</v>
      </c>
      <c r="Z279">
        <f t="shared" si="94"/>
        <v>7.6712328767123292E-2</v>
      </c>
      <c r="AA279">
        <f t="shared" si="95"/>
        <v>7.6712328767123292E-2</v>
      </c>
      <c r="AB279">
        <f t="shared" si="96"/>
        <v>0</v>
      </c>
      <c r="AC279">
        <f t="shared" si="97"/>
        <v>0</v>
      </c>
      <c r="AD279">
        <f t="shared" si="98"/>
        <v>0</v>
      </c>
      <c r="AE279">
        <f t="shared" si="99"/>
        <v>0</v>
      </c>
      <c r="AF279">
        <f t="shared" si="100"/>
        <v>0</v>
      </c>
      <c r="AG279">
        <f t="shared" si="101"/>
        <v>0</v>
      </c>
      <c r="AH279">
        <f t="shared" si="102"/>
        <v>0</v>
      </c>
      <c r="AI279">
        <f t="shared" si="103"/>
        <v>0</v>
      </c>
      <c r="AJ279" s="2" t="str">
        <f t="shared" si="113"/>
        <v>444470</v>
      </c>
    </row>
    <row r="280" spans="1:36" x14ac:dyDescent="0.25">
      <c r="A280">
        <v>5</v>
      </c>
      <c r="B280" s="1">
        <v>44470</v>
      </c>
      <c r="C280" s="1">
        <f t="shared" si="104"/>
        <v>44621</v>
      </c>
      <c r="D280" s="1">
        <f t="shared" si="105"/>
        <v>44484</v>
      </c>
      <c r="E280" s="1">
        <f t="shared" si="106"/>
        <v>44621</v>
      </c>
      <c r="F280" s="1">
        <f t="shared" si="107"/>
        <v>44652</v>
      </c>
      <c r="G280" s="1">
        <f t="shared" si="108"/>
        <v>44849</v>
      </c>
      <c r="H280">
        <f t="shared" si="109"/>
        <v>365</v>
      </c>
      <c r="I280">
        <f t="shared" si="110"/>
        <v>31</v>
      </c>
      <c r="J280">
        <f t="shared" si="111"/>
        <v>8.4931506849315067E-2</v>
      </c>
      <c r="K280">
        <f>IFERROR($J280/IF($A280&lt;COUNTIFS($K$1:K$1,"&lt;&gt;"),0,SUMIFS($J:$J,$B:$B,$B280,$A:$A,"&gt;="&amp;COUNTIFS($K$1:K$1,"&lt;&gt;"))),0)</f>
        <v>8.9080459770114959E-2</v>
      </c>
      <c r="L280">
        <f>IFERROR($J280/IF($A280&lt;COUNTIFS($K$1:L$1,"&lt;&gt;"),0,SUMIFS($J:$J,$B:$B,$B280,$A:$A,"&gt;="&amp;COUNTIFS($K$1:L$1,"&lt;&gt;"))),0)</f>
        <v>9.7484276729559768E-2</v>
      </c>
      <c r="M280">
        <f>IFERROR($J280/IF($A280&lt;COUNTIFS($K$1:M$1,"&lt;&gt;"),0,SUMIFS($J:$J,$B:$B,$B280,$A:$A,"&gt;="&amp;COUNTIFS($K$1:M$1,"&lt;&gt;"))),0)</f>
        <v>0.10801393728222998</v>
      </c>
      <c r="N280">
        <f>IFERROR($J280/IF($A280&lt;COUNTIFS($K$1:N$1,"&lt;&gt;"),0,SUMIFS($J:$J,$B:$B,$B280,$A:$A,"&gt;="&amp;COUNTIFS($K$1:N$1,"&lt;&gt;"))),0)</f>
        <v>0.12109375000000001</v>
      </c>
      <c r="O280">
        <f>IFERROR($J280/IF($A280&lt;COUNTIFS($K$1:O$1,"&lt;&gt;"),0,SUMIFS($J:$J,$B:$B,$B280,$A:$A,"&gt;="&amp;COUNTIFS($K$1:O$1,"&lt;&gt;"))),0)</f>
        <v>0.13596491228070179</v>
      </c>
      <c r="P280">
        <f>IFERROR($J280/IF($A280&lt;COUNTIFS($K$1:P$1,"&lt;&gt;"),0,SUMIFS($J:$J,$B:$B,$B280,$A:$A,"&gt;="&amp;COUNTIFS($K$1:P$1,"&lt;&gt;"))),0)</f>
        <v>0</v>
      </c>
      <c r="Q280">
        <f>IFERROR($J280/IF($A280&lt;COUNTIFS($K$1:Q$1,"&lt;&gt;"),0,SUMIFS($J:$J,$B:$B,$B280,$A:$A,"&gt;="&amp;COUNTIFS($K$1:Q$1,"&lt;&gt;"))),0)</f>
        <v>0</v>
      </c>
      <c r="R280">
        <f>IFERROR($J280/IF($A280&lt;COUNTIFS($K$1:R$1,"&lt;&gt;"),0,SUMIFS($J:$J,$B:$B,$B280,$A:$A,"&gt;="&amp;COUNTIFS($K$1:R$1,"&lt;&gt;"))),0)</f>
        <v>0</v>
      </c>
      <c r="S280">
        <f>IFERROR($J280/IF($A280&lt;COUNTIFS($K$1:S$1,"&lt;&gt;"),0,SUMIFS($J:$J,$B:$B,$B280,$A:$A,"&gt;="&amp;COUNTIFS($K$1:S$1,"&lt;&gt;"))),0)</f>
        <v>0</v>
      </c>
      <c r="T280">
        <f>IFERROR($J280/IF($A280&lt;COUNTIFS($K$1:T$1,"&lt;&gt;"),0,SUMIFS($J:$J,$B:$B,$B280,$A:$A,"&gt;="&amp;COUNTIFS($K$1:T$1,"&lt;&gt;"))),0)</f>
        <v>0</v>
      </c>
      <c r="U280">
        <f>IFERROR($J280/IF($A280&lt;COUNTIFS($K$1:U$1,"&lt;&gt;"),0,SUMIFS($J:$J,$B:$B,$B280,$A:$A,"&gt;="&amp;COUNTIFS($K$1:U$1,"&lt;&gt;"))),0)</f>
        <v>0</v>
      </c>
      <c r="V280">
        <f>IFERROR($J280/IF($A280&lt;COUNTIFS($K$1:V$1,"&lt;&gt;"),0,SUMIFS($J:$J,$B:$B,$B280,$A:$A,"&gt;="&amp;COUNTIFS($K$1:V$1,"&lt;&gt;"))),0)</f>
        <v>0</v>
      </c>
      <c r="W280">
        <f t="shared" si="112"/>
        <v>8.4931506849315067E-2</v>
      </c>
      <c r="X280">
        <f t="shared" si="92"/>
        <v>8.4931506849315067E-2</v>
      </c>
      <c r="Y280">
        <f t="shared" si="93"/>
        <v>8.4931506849315067E-2</v>
      </c>
      <c r="Z280">
        <f t="shared" si="94"/>
        <v>8.4931506849315067E-2</v>
      </c>
      <c r="AA280">
        <f t="shared" si="95"/>
        <v>8.4931506849315067E-2</v>
      </c>
      <c r="AB280">
        <f t="shared" si="96"/>
        <v>8.4931506849315067E-2</v>
      </c>
      <c r="AC280">
        <f t="shared" si="97"/>
        <v>0</v>
      </c>
      <c r="AD280">
        <f t="shared" si="98"/>
        <v>0</v>
      </c>
      <c r="AE280">
        <f t="shared" si="99"/>
        <v>0</v>
      </c>
      <c r="AF280">
        <f t="shared" si="100"/>
        <v>0</v>
      </c>
      <c r="AG280">
        <f t="shared" si="101"/>
        <v>0</v>
      </c>
      <c r="AH280">
        <f t="shared" si="102"/>
        <v>0</v>
      </c>
      <c r="AI280">
        <f t="shared" si="103"/>
        <v>0</v>
      </c>
      <c r="AJ280" s="2" t="str">
        <f t="shared" si="113"/>
        <v>544470</v>
      </c>
    </row>
    <row r="281" spans="1:36" x14ac:dyDescent="0.25">
      <c r="A281">
        <v>6</v>
      </c>
      <c r="B281" s="1">
        <v>44470</v>
      </c>
      <c r="C281" s="1">
        <f t="shared" si="104"/>
        <v>44652</v>
      </c>
      <c r="D281" s="1">
        <f t="shared" si="105"/>
        <v>44484</v>
      </c>
      <c r="E281" s="1">
        <f t="shared" si="106"/>
        <v>44652</v>
      </c>
      <c r="F281" s="1">
        <f t="shared" si="107"/>
        <v>44682</v>
      </c>
      <c r="G281" s="1">
        <f t="shared" si="108"/>
        <v>44849</v>
      </c>
      <c r="H281">
        <f t="shared" si="109"/>
        <v>365</v>
      </c>
      <c r="I281">
        <f t="shared" si="110"/>
        <v>30</v>
      </c>
      <c r="J281">
        <f t="shared" si="111"/>
        <v>8.2191780821917804E-2</v>
      </c>
      <c r="K281">
        <f>IFERROR($J281/IF($A281&lt;COUNTIFS($K$1:K$1,"&lt;&gt;"),0,SUMIFS($J:$J,$B:$B,$B281,$A:$A,"&gt;="&amp;COUNTIFS($K$1:K$1,"&lt;&gt;"))),0)</f>
        <v>8.6206896551724144E-2</v>
      </c>
      <c r="L281">
        <f>IFERROR($J281/IF($A281&lt;COUNTIFS($K$1:L$1,"&lt;&gt;"),0,SUMIFS($J:$J,$B:$B,$B281,$A:$A,"&gt;="&amp;COUNTIFS($K$1:L$1,"&lt;&gt;"))),0)</f>
        <v>9.4339622641509441E-2</v>
      </c>
      <c r="M281">
        <f>IFERROR($J281/IF($A281&lt;COUNTIFS($K$1:M$1,"&lt;&gt;"),0,SUMIFS($J:$J,$B:$B,$B281,$A:$A,"&gt;="&amp;COUNTIFS($K$1:M$1,"&lt;&gt;"))),0)</f>
        <v>0.10452961672473869</v>
      </c>
      <c r="N281">
        <f>IFERROR($J281/IF($A281&lt;COUNTIFS($K$1:N$1,"&lt;&gt;"),0,SUMIFS($J:$J,$B:$B,$B281,$A:$A,"&gt;="&amp;COUNTIFS($K$1:N$1,"&lt;&gt;"))),0)</f>
        <v>0.11718750000000001</v>
      </c>
      <c r="O281">
        <f>IFERROR($J281/IF($A281&lt;COUNTIFS($K$1:O$1,"&lt;&gt;"),0,SUMIFS($J:$J,$B:$B,$B281,$A:$A,"&gt;="&amp;COUNTIFS($K$1:O$1,"&lt;&gt;"))),0)</f>
        <v>0.13157894736842107</v>
      </c>
      <c r="P281">
        <f>IFERROR($J281/IF($A281&lt;COUNTIFS($K$1:P$1,"&lt;&gt;"),0,SUMIFS($J:$J,$B:$B,$B281,$A:$A,"&gt;="&amp;COUNTIFS($K$1:P$1,"&lt;&gt;"))),0)</f>
        <v>0.15228426395939088</v>
      </c>
      <c r="Q281">
        <f>IFERROR($J281/IF($A281&lt;COUNTIFS($K$1:Q$1,"&lt;&gt;"),0,SUMIFS($J:$J,$B:$B,$B281,$A:$A,"&gt;="&amp;COUNTIFS($K$1:Q$1,"&lt;&gt;"))),0)</f>
        <v>0</v>
      </c>
      <c r="R281">
        <f>IFERROR($J281/IF($A281&lt;COUNTIFS($K$1:R$1,"&lt;&gt;"),0,SUMIFS($J:$J,$B:$B,$B281,$A:$A,"&gt;="&amp;COUNTIFS($K$1:R$1,"&lt;&gt;"))),0)</f>
        <v>0</v>
      </c>
      <c r="S281">
        <f>IFERROR($J281/IF($A281&lt;COUNTIFS($K$1:S$1,"&lt;&gt;"),0,SUMIFS($J:$J,$B:$B,$B281,$A:$A,"&gt;="&amp;COUNTIFS($K$1:S$1,"&lt;&gt;"))),0)</f>
        <v>0</v>
      </c>
      <c r="T281">
        <f>IFERROR($J281/IF($A281&lt;COUNTIFS($K$1:T$1,"&lt;&gt;"),0,SUMIFS($J:$J,$B:$B,$B281,$A:$A,"&gt;="&amp;COUNTIFS($K$1:T$1,"&lt;&gt;"))),0)</f>
        <v>0</v>
      </c>
      <c r="U281">
        <f>IFERROR($J281/IF($A281&lt;COUNTIFS($K$1:U$1,"&lt;&gt;"),0,SUMIFS($J:$J,$B:$B,$B281,$A:$A,"&gt;="&amp;COUNTIFS($K$1:U$1,"&lt;&gt;"))),0)</f>
        <v>0</v>
      </c>
      <c r="V281">
        <f>IFERROR($J281/IF($A281&lt;COUNTIFS($K$1:V$1,"&lt;&gt;"),0,SUMIFS($J:$J,$B:$B,$B281,$A:$A,"&gt;="&amp;COUNTIFS($K$1:V$1,"&lt;&gt;"))),0)</f>
        <v>0</v>
      </c>
      <c r="W281">
        <f t="shared" si="112"/>
        <v>8.2191780821917804E-2</v>
      </c>
      <c r="X281">
        <f t="shared" si="92"/>
        <v>8.2191780821917804E-2</v>
      </c>
      <c r="Y281">
        <f t="shared" si="93"/>
        <v>8.2191780821917804E-2</v>
      </c>
      <c r="Z281">
        <f t="shared" si="94"/>
        <v>8.2191780821917804E-2</v>
      </c>
      <c r="AA281">
        <f t="shared" si="95"/>
        <v>8.2191780821917804E-2</v>
      </c>
      <c r="AB281">
        <f t="shared" si="96"/>
        <v>8.2191780821917804E-2</v>
      </c>
      <c r="AC281">
        <f t="shared" si="97"/>
        <v>8.2191780821917804E-2</v>
      </c>
      <c r="AD281">
        <f t="shared" si="98"/>
        <v>0</v>
      </c>
      <c r="AE281">
        <f t="shared" si="99"/>
        <v>0</v>
      </c>
      <c r="AF281">
        <f t="shared" si="100"/>
        <v>0</v>
      </c>
      <c r="AG281">
        <f t="shared" si="101"/>
        <v>0</v>
      </c>
      <c r="AH281">
        <f t="shared" si="102"/>
        <v>0</v>
      </c>
      <c r="AI281">
        <f t="shared" si="103"/>
        <v>0</v>
      </c>
      <c r="AJ281" s="2" t="str">
        <f t="shared" si="113"/>
        <v>644470</v>
      </c>
    </row>
    <row r="282" spans="1:36" x14ac:dyDescent="0.25">
      <c r="A282">
        <v>7</v>
      </c>
      <c r="B282" s="1">
        <v>44470</v>
      </c>
      <c r="C282" s="1">
        <f t="shared" si="104"/>
        <v>44682</v>
      </c>
      <c r="D282" s="1">
        <f t="shared" si="105"/>
        <v>44484</v>
      </c>
      <c r="E282" s="1">
        <f t="shared" si="106"/>
        <v>44682</v>
      </c>
      <c r="F282" s="1">
        <f t="shared" si="107"/>
        <v>44713</v>
      </c>
      <c r="G282" s="1">
        <f t="shared" si="108"/>
        <v>44849</v>
      </c>
      <c r="H282">
        <f t="shared" si="109"/>
        <v>365</v>
      </c>
      <c r="I282">
        <f t="shared" si="110"/>
        <v>31</v>
      </c>
      <c r="J282">
        <f t="shared" si="111"/>
        <v>8.4931506849315067E-2</v>
      </c>
      <c r="K282">
        <f>IFERROR($J282/IF($A282&lt;COUNTIFS($K$1:K$1,"&lt;&gt;"),0,SUMIFS($J:$J,$B:$B,$B282,$A:$A,"&gt;="&amp;COUNTIFS($K$1:K$1,"&lt;&gt;"))),0)</f>
        <v>8.9080459770114959E-2</v>
      </c>
      <c r="L282">
        <f>IFERROR($J282/IF($A282&lt;COUNTIFS($K$1:L$1,"&lt;&gt;"),0,SUMIFS($J:$J,$B:$B,$B282,$A:$A,"&gt;="&amp;COUNTIFS($K$1:L$1,"&lt;&gt;"))),0)</f>
        <v>9.7484276729559768E-2</v>
      </c>
      <c r="M282">
        <f>IFERROR($J282/IF($A282&lt;COUNTIFS($K$1:M$1,"&lt;&gt;"),0,SUMIFS($J:$J,$B:$B,$B282,$A:$A,"&gt;="&amp;COUNTIFS($K$1:M$1,"&lt;&gt;"))),0)</f>
        <v>0.10801393728222998</v>
      </c>
      <c r="N282">
        <f>IFERROR($J282/IF($A282&lt;COUNTIFS($K$1:N$1,"&lt;&gt;"),0,SUMIFS($J:$J,$B:$B,$B282,$A:$A,"&gt;="&amp;COUNTIFS($K$1:N$1,"&lt;&gt;"))),0)</f>
        <v>0.12109375000000001</v>
      </c>
      <c r="O282">
        <f>IFERROR($J282/IF($A282&lt;COUNTIFS($K$1:O$1,"&lt;&gt;"),0,SUMIFS($J:$J,$B:$B,$B282,$A:$A,"&gt;="&amp;COUNTIFS($K$1:O$1,"&lt;&gt;"))),0)</f>
        <v>0.13596491228070179</v>
      </c>
      <c r="P282">
        <f>IFERROR($J282/IF($A282&lt;COUNTIFS($K$1:P$1,"&lt;&gt;"),0,SUMIFS($J:$J,$B:$B,$B282,$A:$A,"&gt;="&amp;COUNTIFS($K$1:P$1,"&lt;&gt;"))),0)</f>
        <v>0.15736040609137059</v>
      </c>
      <c r="Q282">
        <f>IFERROR($J282/IF($A282&lt;COUNTIFS($K$1:Q$1,"&lt;&gt;"),0,SUMIFS($J:$J,$B:$B,$B282,$A:$A,"&gt;="&amp;COUNTIFS($K$1:Q$1,"&lt;&gt;"))),0)</f>
        <v>0.18562874251497008</v>
      </c>
      <c r="R282">
        <f>IFERROR($J282/IF($A282&lt;COUNTIFS($K$1:R$1,"&lt;&gt;"),0,SUMIFS($J:$J,$B:$B,$B282,$A:$A,"&gt;="&amp;COUNTIFS($K$1:R$1,"&lt;&gt;"))),0)</f>
        <v>0</v>
      </c>
      <c r="S282">
        <f>IFERROR($J282/IF($A282&lt;COUNTIFS($K$1:S$1,"&lt;&gt;"),0,SUMIFS($J:$J,$B:$B,$B282,$A:$A,"&gt;="&amp;COUNTIFS($K$1:S$1,"&lt;&gt;"))),0)</f>
        <v>0</v>
      </c>
      <c r="T282">
        <f>IFERROR($J282/IF($A282&lt;COUNTIFS($K$1:T$1,"&lt;&gt;"),0,SUMIFS($J:$J,$B:$B,$B282,$A:$A,"&gt;="&amp;COUNTIFS($K$1:T$1,"&lt;&gt;"))),0)</f>
        <v>0</v>
      </c>
      <c r="U282">
        <f>IFERROR($J282/IF($A282&lt;COUNTIFS($K$1:U$1,"&lt;&gt;"),0,SUMIFS($J:$J,$B:$B,$B282,$A:$A,"&gt;="&amp;COUNTIFS($K$1:U$1,"&lt;&gt;"))),0)</f>
        <v>0</v>
      </c>
      <c r="V282">
        <f>IFERROR($J282/IF($A282&lt;COUNTIFS($K$1:V$1,"&lt;&gt;"),0,SUMIFS($J:$J,$B:$B,$B282,$A:$A,"&gt;="&amp;COUNTIFS($K$1:V$1,"&lt;&gt;"))),0)</f>
        <v>0</v>
      </c>
      <c r="W282">
        <f t="shared" si="112"/>
        <v>8.4931506849315067E-2</v>
      </c>
      <c r="X282">
        <f t="shared" si="92"/>
        <v>8.4931506849315067E-2</v>
      </c>
      <c r="Y282">
        <f t="shared" si="93"/>
        <v>8.4931506849315067E-2</v>
      </c>
      <c r="Z282">
        <f t="shared" si="94"/>
        <v>8.4931506849315067E-2</v>
      </c>
      <c r="AA282">
        <f t="shared" si="95"/>
        <v>8.4931506849315067E-2</v>
      </c>
      <c r="AB282">
        <f t="shared" si="96"/>
        <v>8.4931506849315067E-2</v>
      </c>
      <c r="AC282">
        <f t="shared" si="97"/>
        <v>8.4931506849315067E-2</v>
      </c>
      <c r="AD282">
        <f t="shared" si="98"/>
        <v>8.4931506849315067E-2</v>
      </c>
      <c r="AE282">
        <f t="shared" si="99"/>
        <v>0</v>
      </c>
      <c r="AF282">
        <f t="shared" si="100"/>
        <v>0</v>
      </c>
      <c r="AG282">
        <f t="shared" si="101"/>
        <v>0</v>
      </c>
      <c r="AH282">
        <f t="shared" si="102"/>
        <v>0</v>
      </c>
      <c r="AI282">
        <f t="shared" si="103"/>
        <v>0</v>
      </c>
      <c r="AJ282" s="2" t="str">
        <f t="shared" si="113"/>
        <v>744470</v>
      </c>
    </row>
    <row r="283" spans="1:36" x14ac:dyDescent="0.25">
      <c r="A283">
        <v>8</v>
      </c>
      <c r="B283" s="1">
        <v>44470</v>
      </c>
      <c r="C283" s="1">
        <f t="shared" si="104"/>
        <v>44713</v>
      </c>
      <c r="D283" s="1">
        <f t="shared" si="105"/>
        <v>44484</v>
      </c>
      <c r="E283" s="1">
        <f t="shared" si="106"/>
        <v>44713</v>
      </c>
      <c r="F283" s="1">
        <f t="shared" si="107"/>
        <v>44743</v>
      </c>
      <c r="G283" s="1">
        <f t="shared" si="108"/>
        <v>44849</v>
      </c>
      <c r="H283">
        <f t="shared" si="109"/>
        <v>365</v>
      </c>
      <c r="I283">
        <f t="shared" si="110"/>
        <v>30</v>
      </c>
      <c r="J283">
        <f t="shared" si="111"/>
        <v>8.2191780821917804E-2</v>
      </c>
      <c r="K283">
        <f>IFERROR($J283/IF($A283&lt;COUNTIFS($K$1:K$1,"&lt;&gt;"),0,SUMIFS($J:$J,$B:$B,$B283,$A:$A,"&gt;="&amp;COUNTIFS($K$1:K$1,"&lt;&gt;"))),0)</f>
        <v>8.6206896551724144E-2</v>
      </c>
      <c r="L283">
        <f>IFERROR($J283/IF($A283&lt;COUNTIFS($K$1:L$1,"&lt;&gt;"),0,SUMIFS($J:$J,$B:$B,$B283,$A:$A,"&gt;="&amp;COUNTIFS($K$1:L$1,"&lt;&gt;"))),0)</f>
        <v>9.4339622641509441E-2</v>
      </c>
      <c r="M283">
        <f>IFERROR($J283/IF($A283&lt;COUNTIFS($K$1:M$1,"&lt;&gt;"),0,SUMIFS($J:$J,$B:$B,$B283,$A:$A,"&gt;="&amp;COUNTIFS($K$1:M$1,"&lt;&gt;"))),0)</f>
        <v>0.10452961672473869</v>
      </c>
      <c r="N283">
        <f>IFERROR($J283/IF($A283&lt;COUNTIFS($K$1:N$1,"&lt;&gt;"),0,SUMIFS($J:$J,$B:$B,$B283,$A:$A,"&gt;="&amp;COUNTIFS($K$1:N$1,"&lt;&gt;"))),0)</f>
        <v>0.11718750000000001</v>
      </c>
      <c r="O283">
        <f>IFERROR($J283/IF($A283&lt;COUNTIFS($K$1:O$1,"&lt;&gt;"),0,SUMIFS($J:$J,$B:$B,$B283,$A:$A,"&gt;="&amp;COUNTIFS($K$1:O$1,"&lt;&gt;"))),0)</f>
        <v>0.13157894736842107</v>
      </c>
      <c r="P283">
        <f>IFERROR($J283/IF($A283&lt;COUNTIFS($K$1:P$1,"&lt;&gt;"),0,SUMIFS($J:$J,$B:$B,$B283,$A:$A,"&gt;="&amp;COUNTIFS($K$1:P$1,"&lt;&gt;"))),0)</f>
        <v>0.15228426395939088</v>
      </c>
      <c r="Q283">
        <f>IFERROR($J283/IF($A283&lt;COUNTIFS($K$1:Q$1,"&lt;&gt;"),0,SUMIFS($J:$J,$B:$B,$B283,$A:$A,"&gt;="&amp;COUNTIFS($K$1:Q$1,"&lt;&gt;"))),0)</f>
        <v>0.17964071856287425</v>
      </c>
      <c r="R283">
        <f>IFERROR($J283/IF($A283&lt;COUNTIFS($K$1:R$1,"&lt;&gt;"),0,SUMIFS($J:$J,$B:$B,$B283,$A:$A,"&gt;="&amp;COUNTIFS($K$1:R$1,"&lt;&gt;"))),0)</f>
        <v>0.22058823529411764</v>
      </c>
      <c r="S283">
        <f>IFERROR($J283/IF($A283&lt;COUNTIFS($K$1:S$1,"&lt;&gt;"),0,SUMIFS($J:$J,$B:$B,$B283,$A:$A,"&gt;="&amp;COUNTIFS($K$1:S$1,"&lt;&gt;"))),0)</f>
        <v>0</v>
      </c>
      <c r="T283">
        <f>IFERROR($J283/IF($A283&lt;COUNTIFS($K$1:T$1,"&lt;&gt;"),0,SUMIFS($J:$J,$B:$B,$B283,$A:$A,"&gt;="&amp;COUNTIFS($K$1:T$1,"&lt;&gt;"))),0)</f>
        <v>0</v>
      </c>
      <c r="U283">
        <f>IFERROR($J283/IF($A283&lt;COUNTIFS($K$1:U$1,"&lt;&gt;"),0,SUMIFS($J:$J,$B:$B,$B283,$A:$A,"&gt;="&amp;COUNTIFS($K$1:U$1,"&lt;&gt;"))),0)</f>
        <v>0</v>
      </c>
      <c r="V283">
        <f>IFERROR($J283/IF($A283&lt;COUNTIFS($K$1:V$1,"&lt;&gt;"),0,SUMIFS($J:$J,$B:$B,$B283,$A:$A,"&gt;="&amp;COUNTIFS($K$1:V$1,"&lt;&gt;"))),0)</f>
        <v>0</v>
      </c>
      <c r="W283">
        <f t="shared" si="112"/>
        <v>8.2191780821917804E-2</v>
      </c>
      <c r="X283">
        <f t="shared" si="92"/>
        <v>8.2191780821917804E-2</v>
      </c>
      <c r="Y283">
        <f t="shared" si="93"/>
        <v>8.2191780821917804E-2</v>
      </c>
      <c r="Z283">
        <f t="shared" si="94"/>
        <v>8.2191780821917804E-2</v>
      </c>
      <c r="AA283">
        <f t="shared" si="95"/>
        <v>8.2191780821917804E-2</v>
      </c>
      <c r="AB283">
        <f t="shared" si="96"/>
        <v>8.2191780821917804E-2</v>
      </c>
      <c r="AC283">
        <f t="shared" si="97"/>
        <v>8.2191780821917804E-2</v>
      </c>
      <c r="AD283">
        <f t="shared" si="98"/>
        <v>8.2191780821917804E-2</v>
      </c>
      <c r="AE283">
        <f t="shared" si="99"/>
        <v>8.2191780821917804E-2</v>
      </c>
      <c r="AF283">
        <f t="shared" si="100"/>
        <v>0</v>
      </c>
      <c r="AG283">
        <f t="shared" si="101"/>
        <v>0</v>
      </c>
      <c r="AH283">
        <f t="shared" si="102"/>
        <v>0</v>
      </c>
      <c r="AI283">
        <f t="shared" si="103"/>
        <v>0</v>
      </c>
      <c r="AJ283" s="2" t="str">
        <f t="shared" si="113"/>
        <v>844470</v>
      </c>
    </row>
    <row r="284" spans="1:36" x14ac:dyDescent="0.25">
      <c r="A284">
        <v>9</v>
      </c>
      <c r="B284" s="1">
        <v>44470</v>
      </c>
      <c r="C284" s="1">
        <f t="shared" si="104"/>
        <v>44743</v>
      </c>
      <c r="D284" s="1">
        <f t="shared" si="105"/>
        <v>44484</v>
      </c>
      <c r="E284" s="1">
        <f t="shared" si="106"/>
        <v>44743</v>
      </c>
      <c r="F284" s="1">
        <f t="shared" si="107"/>
        <v>44774</v>
      </c>
      <c r="G284" s="1">
        <f t="shared" si="108"/>
        <v>44849</v>
      </c>
      <c r="H284">
        <f t="shared" si="109"/>
        <v>365</v>
      </c>
      <c r="I284">
        <f t="shared" si="110"/>
        <v>31</v>
      </c>
      <c r="J284">
        <f t="shared" si="111"/>
        <v>8.4931506849315067E-2</v>
      </c>
      <c r="K284">
        <f>IFERROR($J284/IF($A284&lt;COUNTIFS($K$1:K$1,"&lt;&gt;"),0,SUMIFS($J:$J,$B:$B,$B284,$A:$A,"&gt;="&amp;COUNTIFS($K$1:K$1,"&lt;&gt;"))),0)</f>
        <v>8.9080459770114959E-2</v>
      </c>
      <c r="L284">
        <f>IFERROR($J284/IF($A284&lt;COUNTIFS($K$1:L$1,"&lt;&gt;"),0,SUMIFS($J:$J,$B:$B,$B284,$A:$A,"&gt;="&amp;COUNTIFS($K$1:L$1,"&lt;&gt;"))),0)</f>
        <v>9.7484276729559768E-2</v>
      </c>
      <c r="M284">
        <f>IFERROR($J284/IF($A284&lt;COUNTIFS($K$1:M$1,"&lt;&gt;"),0,SUMIFS($J:$J,$B:$B,$B284,$A:$A,"&gt;="&amp;COUNTIFS($K$1:M$1,"&lt;&gt;"))),0)</f>
        <v>0.10801393728222998</v>
      </c>
      <c r="N284">
        <f>IFERROR($J284/IF($A284&lt;COUNTIFS($K$1:N$1,"&lt;&gt;"),0,SUMIFS($J:$J,$B:$B,$B284,$A:$A,"&gt;="&amp;COUNTIFS($K$1:N$1,"&lt;&gt;"))),0)</f>
        <v>0.12109375000000001</v>
      </c>
      <c r="O284">
        <f>IFERROR($J284/IF($A284&lt;COUNTIFS($K$1:O$1,"&lt;&gt;"),0,SUMIFS($J:$J,$B:$B,$B284,$A:$A,"&gt;="&amp;COUNTIFS($K$1:O$1,"&lt;&gt;"))),0)</f>
        <v>0.13596491228070179</v>
      </c>
      <c r="P284">
        <f>IFERROR($J284/IF($A284&lt;COUNTIFS($K$1:P$1,"&lt;&gt;"),0,SUMIFS($J:$J,$B:$B,$B284,$A:$A,"&gt;="&amp;COUNTIFS($K$1:P$1,"&lt;&gt;"))),0)</f>
        <v>0.15736040609137059</v>
      </c>
      <c r="Q284">
        <f>IFERROR($J284/IF($A284&lt;COUNTIFS($K$1:Q$1,"&lt;&gt;"),0,SUMIFS($J:$J,$B:$B,$B284,$A:$A,"&gt;="&amp;COUNTIFS($K$1:Q$1,"&lt;&gt;"))),0)</f>
        <v>0.18562874251497008</v>
      </c>
      <c r="R284">
        <f>IFERROR($J284/IF($A284&lt;COUNTIFS($K$1:R$1,"&lt;&gt;"),0,SUMIFS($J:$J,$B:$B,$B284,$A:$A,"&gt;="&amp;COUNTIFS($K$1:R$1,"&lt;&gt;"))),0)</f>
        <v>0.22794117647058826</v>
      </c>
      <c r="S284">
        <f>IFERROR($J284/IF($A284&lt;COUNTIFS($K$1:S$1,"&lt;&gt;"),0,SUMIFS($J:$J,$B:$B,$B284,$A:$A,"&gt;="&amp;COUNTIFS($K$1:S$1,"&lt;&gt;"))),0)</f>
        <v>0.29245283018867929</v>
      </c>
      <c r="T284">
        <f>IFERROR($J284/IF($A284&lt;COUNTIFS($K$1:T$1,"&lt;&gt;"),0,SUMIFS($J:$J,$B:$B,$B284,$A:$A,"&gt;="&amp;COUNTIFS($K$1:T$1,"&lt;&gt;"))),0)</f>
        <v>0</v>
      </c>
      <c r="U284">
        <f>IFERROR($J284/IF($A284&lt;COUNTIFS($K$1:U$1,"&lt;&gt;"),0,SUMIFS($J:$J,$B:$B,$B284,$A:$A,"&gt;="&amp;COUNTIFS($K$1:U$1,"&lt;&gt;"))),0)</f>
        <v>0</v>
      </c>
      <c r="V284">
        <f>IFERROR($J284/IF($A284&lt;COUNTIFS($K$1:V$1,"&lt;&gt;"),0,SUMIFS($J:$J,$B:$B,$B284,$A:$A,"&gt;="&amp;COUNTIFS($K$1:V$1,"&lt;&gt;"))),0)</f>
        <v>0</v>
      </c>
      <c r="W284">
        <f t="shared" si="112"/>
        <v>8.4931506849315067E-2</v>
      </c>
      <c r="X284">
        <f t="shared" si="92"/>
        <v>8.4931506849315067E-2</v>
      </c>
      <c r="Y284">
        <f t="shared" si="93"/>
        <v>8.4931506849315067E-2</v>
      </c>
      <c r="Z284">
        <f t="shared" si="94"/>
        <v>8.4931506849315067E-2</v>
      </c>
      <c r="AA284">
        <f t="shared" si="95"/>
        <v>8.4931506849315067E-2</v>
      </c>
      <c r="AB284">
        <f t="shared" si="96"/>
        <v>8.4931506849315067E-2</v>
      </c>
      <c r="AC284">
        <f t="shared" si="97"/>
        <v>8.4931506849315067E-2</v>
      </c>
      <c r="AD284">
        <f t="shared" si="98"/>
        <v>8.4931506849315067E-2</v>
      </c>
      <c r="AE284">
        <f t="shared" si="99"/>
        <v>8.4931506849315067E-2</v>
      </c>
      <c r="AF284">
        <f t="shared" si="100"/>
        <v>8.4931506849315067E-2</v>
      </c>
      <c r="AG284">
        <f t="shared" si="101"/>
        <v>0</v>
      </c>
      <c r="AH284">
        <f t="shared" si="102"/>
        <v>0</v>
      </c>
      <c r="AI284">
        <f t="shared" si="103"/>
        <v>0</v>
      </c>
      <c r="AJ284" s="2" t="str">
        <f t="shared" si="113"/>
        <v>944470</v>
      </c>
    </row>
    <row r="285" spans="1:36" x14ac:dyDescent="0.25">
      <c r="A285">
        <v>10</v>
      </c>
      <c r="B285" s="1">
        <v>44470</v>
      </c>
      <c r="C285" s="1">
        <f t="shared" si="104"/>
        <v>44774</v>
      </c>
      <c r="D285" s="1">
        <f t="shared" si="105"/>
        <v>44484</v>
      </c>
      <c r="E285" s="1">
        <f t="shared" si="106"/>
        <v>44774</v>
      </c>
      <c r="F285" s="1">
        <f t="shared" si="107"/>
        <v>44805</v>
      </c>
      <c r="G285" s="1">
        <f t="shared" si="108"/>
        <v>44849</v>
      </c>
      <c r="H285">
        <f t="shared" si="109"/>
        <v>365</v>
      </c>
      <c r="I285">
        <f t="shared" si="110"/>
        <v>31</v>
      </c>
      <c r="J285">
        <f t="shared" si="111"/>
        <v>8.4931506849315067E-2</v>
      </c>
      <c r="K285">
        <f>IFERROR($J285/IF($A285&lt;COUNTIFS($K$1:K$1,"&lt;&gt;"),0,SUMIFS($J:$J,$B:$B,$B285,$A:$A,"&gt;="&amp;COUNTIFS($K$1:K$1,"&lt;&gt;"))),0)</f>
        <v>8.9080459770114959E-2</v>
      </c>
      <c r="L285">
        <f>IFERROR($J285/IF($A285&lt;COUNTIFS($K$1:L$1,"&lt;&gt;"),0,SUMIFS($J:$J,$B:$B,$B285,$A:$A,"&gt;="&amp;COUNTIFS($K$1:L$1,"&lt;&gt;"))),0)</f>
        <v>9.7484276729559768E-2</v>
      </c>
      <c r="M285">
        <f>IFERROR($J285/IF($A285&lt;COUNTIFS($K$1:M$1,"&lt;&gt;"),0,SUMIFS($J:$J,$B:$B,$B285,$A:$A,"&gt;="&amp;COUNTIFS($K$1:M$1,"&lt;&gt;"))),0)</f>
        <v>0.10801393728222998</v>
      </c>
      <c r="N285">
        <f>IFERROR($J285/IF($A285&lt;COUNTIFS($K$1:N$1,"&lt;&gt;"),0,SUMIFS($J:$J,$B:$B,$B285,$A:$A,"&gt;="&amp;COUNTIFS($K$1:N$1,"&lt;&gt;"))),0)</f>
        <v>0.12109375000000001</v>
      </c>
      <c r="O285">
        <f>IFERROR($J285/IF($A285&lt;COUNTIFS($K$1:O$1,"&lt;&gt;"),0,SUMIFS($J:$J,$B:$B,$B285,$A:$A,"&gt;="&amp;COUNTIFS($K$1:O$1,"&lt;&gt;"))),0)</f>
        <v>0.13596491228070179</v>
      </c>
      <c r="P285">
        <f>IFERROR($J285/IF($A285&lt;COUNTIFS($K$1:P$1,"&lt;&gt;"),0,SUMIFS($J:$J,$B:$B,$B285,$A:$A,"&gt;="&amp;COUNTIFS($K$1:P$1,"&lt;&gt;"))),0)</f>
        <v>0.15736040609137059</v>
      </c>
      <c r="Q285">
        <f>IFERROR($J285/IF($A285&lt;COUNTIFS($K$1:Q$1,"&lt;&gt;"),0,SUMIFS($J:$J,$B:$B,$B285,$A:$A,"&gt;="&amp;COUNTIFS($K$1:Q$1,"&lt;&gt;"))),0)</f>
        <v>0.18562874251497008</v>
      </c>
      <c r="R285">
        <f>IFERROR($J285/IF($A285&lt;COUNTIFS($K$1:R$1,"&lt;&gt;"),0,SUMIFS($J:$J,$B:$B,$B285,$A:$A,"&gt;="&amp;COUNTIFS($K$1:R$1,"&lt;&gt;"))),0)</f>
        <v>0.22794117647058826</v>
      </c>
      <c r="S285">
        <f>IFERROR($J285/IF($A285&lt;COUNTIFS($K$1:S$1,"&lt;&gt;"),0,SUMIFS($J:$J,$B:$B,$B285,$A:$A,"&gt;="&amp;COUNTIFS($K$1:S$1,"&lt;&gt;"))),0)</f>
        <v>0.29245283018867929</v>
      </c>
      <c r="T285">
        <f>IFERROR($J285/IF($A285&lt;COUNTIFS($K$1:T$1,"&lt;&gt;"),0,SUMIFS($J:$J,$B:$B,$B285,$A:$A,"&gt;="&amp;COUNTIFS($K$1:T$1,"&lt;&gt;"))),0)</f>
        <v>0.41333333333333333</v>
      </c>
      <c r="U285">
        <f>IFERROR($J285/IF($A285&lt;COUNTIFS($K$1:U$1,"&lt;&gt;"),0,SUMIFS($J:$J,$B:$B,$B285,$A:$A,"&gt;="&amp;COUNTIFS($K$1:U$1,"&lt;&gt;"))),0)</f>
        <v>0</v>
      </c>
      <c r="V285">
        <f>IFERROR($J285/IF($A285&lt;COUNTIFS($K$1:V$1,"&lt;&gt;"),0,SUMIFS($J:$J,$B:$B,$B285,$A:$A,"&gt;="&amp;COUNTIFS($K$1:V$1,"&lt;&gt;"))),0)</f>
        <v>0</v>
      </c>
      <c r="W285">
        <f t="shared" si="112"/>
        <v>8.4931506849315067E-2</v>
      </c>
      <c r="X285">
        <f t="shared" si="92"/>
        <v>8.4931506849315067E-2</v>
      </c>
      <c r="Y285">
        <f t="shared" si="93"/>
        <v>8.4931506849315067E-2</v>
      </c>
      <c r="Z285">
        <f t="shared" si="94"/>
        <v>8.4931506849315067E-2</v>
      </c>
      <c r="AA285">
        <f t="shared" si="95"/>
        <v>8.4931506849315067E-2</v>
      </c>
      <c r="AB285">
        <f t="shared" si="96"/>
        <v>8.4931506849315067E-2</v>
      </c>
      <c r="AC285">
        <f t="shared" si="97"/>
        <v>8.4931506849315067E-2</v>
      </c>
      <c r="AD285">
        <f t="shared" si="98"/>
        <v>8.4931506849315067E-2</v>
      </c>
      <c r="AE285">
        <f t="shared" si="99"/>
        <v>8.4931506849315067E-2</v>
      </c>
      <c r="AF285">
        <f t="shared" si="100"/>
        <v>8.4931506849315067E-2</v>
      </c>
      <c r="AG285">
        <f t="shared" si="101"/>
        <v>8.4931506849315067E-2</v>
      </c>
      <c r="AH285">
        <f t="shared" si="102"/>
        <v>0</v>
      </c>
      <c r="AI285">
        <f t="shared" si="103"/>
        <v>0</v>
      </c>
      <c r="AJ285" s="2" t="str">
        <f t="shared" si="113"/>
        <v>1044470</v>
      </c>
    </row>
    <row r="286" spans="1:36" x14ac:dyDescent="0.25">
      <c r="A286">
        <v>11</v>
      </c>
      <c r="B286" s="1">
        <v>44470</v>
      </c>
      <c r="C286" s="1">
        <f t="shared" si="104"/>
        <v>44805</v>
      </c>
      <c r="D286" s="1">
        <f t="shared" si="105"/>
        <v>44484</v>
      </c>
      <c r="E286" s="1">
        <f t="shared" si="106"/>
        <v>44805</v>
      </c>
      <c r="F286" s="1">
        <f t="shared" si="107"/>
        <v>44835</v>
      </c>
      <c r="G286" s="1">
        <f t="shared" si="108"/>
        <v>44849</v>
      </c>
      <c r="H286">
        <f t="shared" si="109"/>
        <v>365</v>
      </c>
      <c r="I286">
        <f t="shared" si="110"/>
        <v>30</v>
      </c>
      <c r="J286">
        <f t="shared" si="111"/>
        <v>8.2191780821917804E-2</v>
      </c>
      <c r="K286">
        <f>IFERROR($J286/IF($A286&lt;COUNTIFS($K$1:K$1,"&lt;&gt;"),0,SUMIFS($J:$J,$B:$B,$B286,$A:$A,"&gt;="&amp;COUNTIFS($K$1:K$1,"&lt;&gt;"))),0)</f>
        <v>8.6206896551724144E-2</v>
      </c>
      <c r="L286">
        <f>IFERROR($J286/IF($A286&lt;COUNTIFS($K$1:L$1,"&lt;&gt;"),0,SUMIFS($J:$J,$B:$B,$B286,$A:$A,"&gt;="&amp;COUNTIFS($K$1:L$1,"&lt;&gt;"))),0)</f>
        <v>9.4339622641509441E-2</v>
      </c>
      <c r="M286">
        <f>IFERROR($J286/IF($A286&lt;COUNTIFS($K$1:M$1,"&lt;&gt;"),0,SUMIFS($J:$J,$B:$B,$B286,$A:$A,"&gt;="&amp;COUNTIFS($K$1:M$1,"&lt;&gt;"))),0)</f>
        <v>0.10452961672473869</v>
      </c>
      <c r="N286">
        <f>IFERROR($J286/IF($A286&lt;COUNTIFS($K$1:N$1,"&lt;&gt;"),0,SUMIFS($J:$J,$B:$B,$B286,$A:$A,"&gt;="&amp;COUNTIFS($K$1:N$1,"&lt;&gt;"))),0)</f>
        <v>0.11718750000000001</v>
      </c>
      <c r="O286">
        <f>IFERROR($J286/IF($A286&lt;COUNTIFS($K$1:O$1,"&lt;&gt;"),0,SUMIFS($J:$J,$B:$B,$B286,$A:$A,"&gt;="&amp;COUNTIFS($K$1:O$1,"&lt;&gt;"))),0)</f>
        <v>0.13157894736842107</v>
      </c>
      <c r="P286">
        <f>IFERROR($J286/IF($A286&lt;COUNTIFS($K$1:P$1,"&lt;&gt;"),0,SUMIFS($J:$J,$B:$B,$B286,$A:$A,"&gt;="&amp;COUNTIFS($K$1:P$1,"&lt;&gt;"))),0)</f>
        <v>0.15228426395939088</v>
      </c>
      <c r="Q286">
        <f>IFERROR($J286/IF($A286&lt;COUNTIFS($K$1:Q$1,"&lt;&gt;"),0,SUMIFS($J:$J,$B:$B,$B286,$A:$A,"&gt;="&amp;COUNTIFS($K$1:Q$1,"&lt;&gt;"))),0)</f>
        <v>0.17964071856287425</v>
      </c>
      <c r="R286">
        <f>IFERROR($J286/IF($A286&lt;COUNTIFS($K$1:R$1,"&lt;&gt;"),0,SUMIFS($J:$J,$B:$B,$B286,$A:$A,"&gt;="&amp;COUNTIFS($K$1:R$1,"&lt;&gt;"))),0)</f>
        <v>0.22058823529411764</v>
      </c>
      <c r="S286">
        <f>IFERROR($J286/IF($A286&lt;COUNTIFS($K$1:S$1,"&lt;&gt;"),0,SUMIFS($J:$J,$B:$B,$B286,$A:$A,"&gt;="&amp;COUNTIFS($K$1:S$1,"&lt;&gt;"))),0)</f>
        <v>0.28301886792452829</v>
      </c>
      <c r="T286">
        <f>IFERROR($J286/IF($A286&lt;COUNTIFS($K$1:T$1,"&lt;&gt;"),0,SUMIFS($J:$J,$B:$B,$B286,$A:$A,"&gt;="&amp;COUNTIFS($K$1:T$1,"&lt;&gt;"))),0)</f>
        <v>0.4</v>
      </c>
      <c r="U286">
        <f>IFERROR($J286/IF($A286&lt;COUNTIFS($K$1:U$1,"&lt;&gt;"),0,SUMIFS($J:$J,$B:$B,$B286,$A:$A,"&gt;="&amp;COUNTIFS($K$1:U$1,"&lt;&gt;"))),0)</f>
        <v>0.68181818181818177</v>
      </c>
      <c r="V286">
        <f>IFERROR($J286/IF($A286&lt;COUNTIFS($K$1:V$1,"&lt;&gt;"),0,SUMIFS($J:$J,$B:$B,$B286,$A:$A,"&gt;="&amp;COUNTIFS($K$1:V$1,"&lt;&gt;"))),0)</f>
        <v>0</v>
      </c>
      <c r="W286">
        <f t="shared" si="112"/>
        <v>8.2191780821917804E-2</v>
      </c>
      <c r="X286">
        <f t="shared" si="92"/>
        <v>8.2191780821917804E-2</v>
      </c>
      <c r="Y286">
        <f t="shared" si="93"/>
        <v>8.2191780821917804E-2</v>
      </c>
      <c r="Z286">
        <f t="shared" si="94"/>
        <v>8.2191780821917804E-2</v>
      </c>
      <c r="AA286">
        <f t="shared" si="95"/>
        <v>8.2191780821917804E-2</v>
      </c>
      <c r="AB286">
        <f t="shared" si="96"/>
        <v>8.2191780821917804E-2</v>
      </c>
      <c r="AC286">
        <f t="shared" si="97"/>
        <v>8.2191780821917804E-2</v>
      </c>
      <c r="AD286">
        <f t="shared" si="98"/>
        <v>8.2191780821917804E-2</v>
      </c>
      <c r="AE286">
        <f t="shared" si="99"/>
        <v>8.2191780821917804E-2</v>
      </c>
      <c r="AF286">
        <f t="shared" si="100"/>
        <v>8.2191780821917804E-2</v>
      </c>
      <c r="AG286">
        <f t="shared" si="101"/>
        <v>8.2191780821917804E-2</v>
      </c>
      <c r="AH286">
        <f t="shared" si="102"/>
        <v>8.2191780821917804E-2</v>
      </c>
      <c r="AI286">
        <f t="shared" si="103"/>
        <v>0</v>
      </c>
      <c r="AJ286" s="2" t="str">
        <f t="shared" si="113"/>
        <v>1144470</v>
      </c>
    </row>
    <row r="287" spans="1:36" x14ac:dyDescent="0.25">
      <c r="A287">
        <v>12</v>
      </c>
      <c r="B287" s="1">
        <v>44470</v>
      </c>
      <c r="C287" s="1">
        <f t="shared" si="104"/>
        <v>44835</v>
      </c>
      <c r="D287" s="1">
        <f t="shared" si="105"/>
        <v>44484</v>
      </c>
      <c r="E287" s="1">
        <f t="shared" si="106"/>
        <v>44835</v>
      </c>
      <c r="F287" s="1">
        <f t="shared" si="107"/>
        <v>44849</v>
      </c>
      <c r="G287" s="1">
        <f t="shared" si="108"/>
        <v>44849</v>
      </c>
      <c r="H287">
        <f t="shared" si="109"/>
        <v>365</v>
      </c>
      <c r="I287">
        <f t="shared" si="110"/>
        <v>14</v>
      </c>
      <c r="J287">
        <f t="shared" si="111"/>
        <v>3.8356164383561646E-2</v>
      </c>
      <c r="K287">
        <f>IFERROR($J287/IF($A287&lt;COUNTIFS($K$1:K$1,"&lt;&gt;"),0,SUMIFS($J:$J,$B:$B,$B287,$A:$A,"&gt;="&amp;COUNTIFS($K$1:K$1,"&lt;&gt;"))),0)</f>
        <v>4.0229885057471271E-2</v>
      </c>
      <c r="L287">
        <f>IFERROR($J287/IF($A287&lt;COUNTIFS($K$1:L$1,"&lt;&gt;"),0,SUMIFS($J:$J,$B:$B,$B287,$A:$A,"&gt;="&amp;COUNTIFS($K$1:L$1,"&lt;&gt;"))),0)</f>
        <v>4.4025157232704414E-2</v>
      </c>
      <c r="M287">
        <f>IFERROR($J287/IF($A287&lt;COUNTIFS($K$1:M$1,"&lt;&gt;"),0,SUMIFS($J:$J,$B:$B,$B287,$A:$A,"&gt;="&amp;COUNTIFS($K$1:M$1,"&lt;&gt;"))),0)</f>
        <v>4.8780487804878057E-2</v>
      </c>
      <c r="N287">
        <f>IFERROR($J287/IF($A287&lt;COUNTIFS($K$1:N$1,"&lt;&gt;"),0,SUMIFS($J:$J,$B:$B,$B287,$A:$A,"&gt;="&amp;COUNTIFS($K$1:N$1,"&lt;&gt;"))),0)</f>
        <v>5.4687500000000014E-2</v>
      </c>
      <c r="O287">
        <f>IFERROR($J287/IF($A287&lt;COUNTIFS($K$1:O$1,"&lt;&gt;"),0,SUMIFS($J:$J,$B:$B,$B287,$A:$A,"&gt;="&amp;COUNTIFS($K$1:O$1,"&lt;&gt;"))),0)</f>
        <v>6.1403508771929842E-2</v>
      </c>
      <c r="P287">
        <f>IFERROR($J287/IF($A287&lt;COUNTIFS($K$1:P$1,"&lt;&gt;"),0,SUMIFS($J:$J,$B:$B,$B287,$A:$A,"&gt;="&amp;COUNTIFS($K$1:P$1,"&lt;&gt;"))),0)</f>
        <v>7.1065989847715755E-2</v>
      </c>
      <c r="Q287">
        <f>IFERROR($J287/IF($A287&lt;COUNTIFS($K$1:Q$1,"&lt;&gt;"),0,SUMIFS($J:$J,$B:$B,$B287,$A:$A,"&gt;="&amp;COUNTIFS($K$1:Q$1,"&lt;&gt;"))),0)</f>
        <v>8.3832335329341326E-2</v>
      </c>
      <c r="R287">
        <f>IFERROR($J287/IF($A287&lt;COUNTIFS($K$1:R$1,"&lt;&gt;"),0,SUMIFS($J:$J,$B:$B,$B287,$A:$A,"&gt;="&amp;COUNTIFS($K$1:R$1,"&lt;&gt;"))),0)</f>
        <v>0.10294117647058824</v>
      </c>
      <c r="S287">
        <f>IFERROR($J287/IF($A287&lt;COUNTIFS($K$1:S$1,"&lt;&gt;"),0,SUMIFS($J:$J,$B:$B,$B287,$A:$A,"&gt;="&amp;COUNTIFS($K$1:S$1,"&lt;&gt;"))),0)</f>
        <v>0.13207547169811323</v>
      </c>
      <c r="T287">
        <f>IFERROR($J287/IF($A287&lt;COUNTIFS($K$1:T$1,"&lt;&gt;"),0,SUMIFS($J:$J,$B:$B,$B287,$A:$A,"&gt;="&amp;COUNTIFS($K$1:T$1,"&lt;&gt;"))),0)</f>
        <v>0.18666666666666668</v>
      </c>
      <c r="U287">
        <f>IFERROR($J287/IF($A287&lt;COUNTIFS($K$1:U$1,"&lt;&gt;"),0,SUMIFS($J:$J,$B:$B,$B287,$A:$A,"&gt;="&amp;COUNTIFS($K$1:U$1,"&lt;&gt;"))),0)</f>
        <v>0.31818181818181818</v>
      </c>
      <c r="V287">
        <f>IFERROR($J287/IF($A287&lt;COUNTIFS($K$1:V$1,"&lt;&gt;"),0,SUMIFS($J:$J,$B:$B,$B287,$A:$A,"&gt;="&amp;COUNTIFS($K$1:V$1,"&lt;&gt;"))),0)</f>
        <v>1</v>
      </c>
      <c r="W287">
        <f t="shared" si="112"/>
        <v>3.8356164383561646E-2</v>
      </c>
      <c r="X287">
        <f t="shared" si="92"/>
        <v>3.8356164383561646E-2</v>
      </c>
      <c r="Y287">
        <f t="shared" si="93"/>
        <v>3.8356164383561646E-2</v>
      </c>
      <c r="Z287">
        <f t="shared" si="94"/>
        <v>3.8356164383561646E-2</v>
      </c>
      <c r="AA287">
        <f t="shared" si="95"/>
        <v>3.8356164383561646E-2</v>
      </c>
      <c r="AB287">
        <f t="shared" si="96"/>
        <v>3.8356164383561646E-2</v>
      </c>
      <c r="AC287">
        <f t="shared" si="97"/>
        <v>3.8356164383561646E-2</v>
      </c>
      <c r="AD287">
        <f t="shared" si="98"/>
        <v>3.8356164383561646E-2</v>
      </c>
      <c r="AE287">
        <f t="shared" si="99"/>
        <v>3.8356164383561646E-2</v>
      </c>
      <c r="AF287">
        <f t="shared" si="100"/>
        <v>3.8356164383561646E-2</v>
      </c>
      <c r="AG287">
        <f t="shared" si="101"/>
        <v>3.8356164383561646E-2</v>
      </c>
      <c r="AH287">
        <f t="shared" si="102"/>
        <v>3.8356164383561646E-2</v>
      </c>
      <c r="AI287">
        <f t="shared" si="103"/>
        <v>3.8356164383561646E-2</v>
      </c>
      <c r="AJ287" s="2" t="str">
        <f t="shared" si="113"/>
        <v>1244470</v>
      </c>
    </row>
    <row r="288" spans="1:36" x14ac:dyDescent="0.25">
      <c r="A288">
        <v>0</v>
      </c>
      <c r="B288" s="1">
        <v>44501</v>
      </c>
      <c r="C288" s="1">
        <f t="shared" si="104"/>
        <v>44501</v>
      </c>
      <c r="D288" s="1">
        <f t="shared" si="105"/>
        <v>44515</v>
      </c>
      <c r="E288" s="1">
        <f t="shared" si="106"/>
        <v>44515</v>
      </c>
      <c r="F288" s="1">
        <f t="shared" si="107"/>
        <v>44531</v>
      </c>
      <c r="G288" s="1">
        <f t="shared" si="108"/>
        <v>44880</v>
      </c>
      <c r="H288">
        <f t="shared" si="109"/>
        <v>365</v>
      </c>
      <c r="I288">
        <f t="shared" si="110"/>
        <v>16</v>
      </c>
      <c r="J288">
        <f t="shared" si="111"/>
        <v>4.3835616438356165E-2</v>
      </c>
      <c r="K288">
        <f>IFERROR($J288/IF($A288&lt;COUNTIFS($K$1:K$1,"&lt;&gt;"),0,SUMIFS($J:$J,$B:$B,$B288,$A:$A,"&gt;="&amp;COUNTIFS($K$1:K$1,"&lt;&gt;"))),0)</f>
        <v>0</v>
      </c>
      <c r="L288">
        <f>IFERROR($J288/IF($A288&lt;COUNTIFS($K$1:L$1,"&lt;&gt;"),0,SUMIFS($J:$J,$B:$B,$B288,$A:$A,"&gt;="&amp;COUNTIFS($K$1:L$1,"&lt;&gt;"))),0)</f>
        <v>0</v>
      </c>
      <c r="M288">
        <f>IFERROR($J288/IF($A288&lt;COUNTIFS($K$1:M$1,"&lt;&gt;"),0,SUMIFS($J:$J,$B:$B,$B288,$A:$A,"&gt;="&amp;COUNTIFS($K$1:M$1,"&lt;&gt;"))),0)</f>
        <v>0</v>
      </c>
      <c r="N288">
        <f>IFERROR($J288/IF($A288&lt;COUNTIFS($K$1:N$1,"&lt;&gt;"),0,SUMIFS($J:$J,$B:$B,$B288,$A:$A,"&gt;="&amp;COUNTIFS($K$1:N$1,"&lt;&gt;"))),0)</f>
        <v>0</v>
      </c>
      <c r="O288">
        <f>IFERROR($J288/IF($A288&lt;COUNTIFS($K$1:O$1,"&lt;&gt;"),0,SUMIFS($J:$J,$B:$B,$B288,$A:$A,"&gt;="&amp;COUNTIFS($K$1:O$1,"&lt;&gt;"))),0)</f>
        <v>0</v>
      </c>
      <c r="P288">
        <f>IFERROR($J288/IF($A288&lt;COUNTIFS($K$1:P$1,"&lt;&gt;"),0,SUMIFS($J:$J,$B:$B,$B288,$A:$A,"&gt;="&amp;COUNTIFS($K$1:P$1,"&lt;&gt;"))),0)</f>
        <v>0</v>
      </c>
      <c r="Q288">
        <f>IFERROR($J288/IF($A288&lt;COUNTIFS($K$1:Q$1,"&lt;&gt;"),0,SUMIFS($J:$J,$B:$B,$B288,$A:$A,"&gt;="&amp;COUNTIFS($K$1:Q$1,"&lt;&gt;"))),0)</f>
        <v>0</v>
      </c>
      <c r="R288">
        <f>IFERROR($J288/IF($A288&lt;COUNTIFS($K$1:R$1,"&lt;&gt;"),0,SUMIFS($J:$J,$B:$B,$B288,$A:$A,"&gt;="&amp;COUNTIFS($K$1:R$1,"&lt;&gt;"))),0)</f>
        <v>0</v>
      </c>
      <c r="S288">
        <f>IFERROR($J288/IF($A288&lt;COUNTIFS($K$1:S$1,"&lt;&gt;"),0,SUMIFS($J:$J,$B:$B,$B288,$A:$A,"&gt;="&amp;COUNTIFS($K$1:S$1,"&lt;&gt;"))),0)</f>
        <v>0</v>
      </c>
      <c r="T288">
        <f>IFERROR($J288/IF($A288&lt;COUNTIFS($K$1:T$1,"&lt;&gt;"),0,SUMIFS($J:$J,$B:$B,$B288,$A:$A,"&gt;="&amp;COUNTIFS($K$1:T$1,"&lt;&gt;"))),0)</f>
        <v>0</v>
      </c>
      <c r="U288">
        <f>IFERROR($J288/IF($A288&lt;COUNTIFS($K$1:U$1,"&lt;&gt;"),0,SUMIFS($J:$J,$B:$B,$B288,$A:$A,"&gt;="&amp;COUNTIFS($K$1:U$1,"&lt;&gt;"))),0)</f>
        <v>0</v>
      </c>
      <c r="V288">
        <f>IFERROR($J288/IF($A288&lt;COUNTIFS($K$1:V$1,"&lt;&gt;"),0,SUMIFS($J:$J,$B:$B,$B288,$A:$A,"&gt;="&amp;COUNTIFS($K$1:V$1,"&lt;&gt;"))),0)</f>
        <v>0</v>
      </c>
      <c r="W288">
        <f t="shared" si="112"/>
        <v>4.3835616438356165E-2</v>
      </c>
      <c r="X288">
        <f t="shared" si="92"/>
        <v>0</v>
      </c>
      <c r="Y288">
        <f t="shared" si="93"/>
        <v>0</v>
      </c>
      <c r="Z288">
        <f t="shared" si="94"/>
        <v>0</v>
      </c>
      <c r="AA288">
        <f t="shared" si="95"/>
        <v>0</v>
      </c>
      <c r="AB288">
        <f t="shared" si="96"/>
        <v>0</v>
      </c>
      <c r="AC288">
        <f t="shared" si="97"/>
        <v>0</v>
      </c>
      <c r="AD288">
        <f t="shared" si="98"/>
        <v>0</v>
      </c>
      <c r="AE288">
        <f t="shared" si="99"/>
        <v>0</v>
      </c>
      <c r="AF288">
        <f t="shared" si="100"/>
        <v>0</v>
      </c>
      <c r="AG288">
        <f t="shared" si="101"/>
        <v>0</v>
      </c>
      <c r="AH288">
        <f t="shared" si="102"/>
        <v>0</v>
      </c>
      <c r="AI288">
        <f t="shared" si="103"/>
        <v>0</v>
      </c>
      <c r="AJ288" s="2" t="str">
        <f t="shared" si="113"/>
        <v>044501</v>
      </c>
    </row>
    <row r="289" spans="1:36" x14ac:dyDescent="0.25">
      <c r="A289">
        <v>1</v>
      </c>
      <c r="B289" s="1">
        <v>44501</v>
      </c>
      <c r="C289" s="1">
        <f t="shared" si="104"/>
        <v>44531</v>
      </c>
      <c r="D289" s="1">
        <f t="shared" si="105"/>
        <v>44515</v>
      </c>
      <c r="E289" s="1">
        <f t="shared" si="106"/>
        <v>44531</v>
      </c>
      <c r="F289" s="1">
        <f t="shared" si="107"/>
        <v>44562</v>
      </c>
      <c r="G289" s="1">
        <f t="shared" si="108"/>
        <v>44880</v>
      </c>
      <c r="H289">
        <f t="shared" si="109"/>
        <v>365</v>
      </c>
      <c r="I289">
        <f t="shared" si="110"/>
        <v>31</v>
      </c>
      <c r="J289">
        <f t="shared" si="111"/>
        <v>8.4931506849315067E-2</v>
      </c>
      <c r="K289">
        <f>IFERROR($J289/IF($A289&lt;COUNTIFS($K$1:K$1,"&lt;&gt;"),0,SUMIFS($J:$J,$B:$B,$B289,$A:$A,"&gt;="&amp;COUNTIFS($K$1:K$1,"&lt;&gt;"))),0)</f>
        <v>8.8825214899713484E-2</v>
      </c>
      <c r="L289">
        <f>IFERROR($J289/IF($A289&lt;COUNTIFS($K$1:L$1,"&lt;&gt;"),0,SUMIFS($J:$J,$B:$B,$B289,$A:$A,"&gt;="&amp;COUNTIFS($K$1:L$1,"&lt;&gt;"))),0)</f>
        <v>0</v>
      </c>
      <c r="M289">
        <f>IFERROR($J289/IF($A289&lt;COUNTIFS($K$1:M$1,"&lt;&gt;"),0,SUMIFS($J:$J,$B:$B,$B289,$A:$A,"&gt;="&amp;COUNTIFS($K$1:M$1,"&lt;&gt;"))),0)</f>
        <v>0</v>
      </c>
      <c r="N289">
        <f>IFERROR($J289/IF($A289&lt;COUNTIFS($K$1:N$1,"&lt;&gt;"),0,SUMIFS($J:$J,$B:$B,$B289,$A:$A,"&gt;="&amp;COUNTIFS($K$1:N$1,"&lt;&gt;"))),0)</f>
        <v>0</v>
      </c>
      <c r="O289">
        <f>IFERROR($J289/IF($A289&lt;COUNTIFS($K$1:O$1,"&lt;&gt;"),0,SUMIFS($J:$J,$B:$B,$B289,$A:$A,"&gt;="&amp;COUNTIFS($K$1:O$1,"&lt;&gt;"))),0)</f>
        <v>0</v>
      </c>
      <c r="P289">
        <f>IFERROR($J289/IF($A289&lt;COUNTIFS($K$1:P$1,"&lt;&gt;"),0,SUMIFS($J:$J,$B:$B,$B289,$A:$A,"&gt;="&amp;COUNTIFS($K$1:P$1,"&lt;&gt;"))),0)</f>
        <v>0</v>
      </c>
      <c r="Q289">
        <f>IFERROR($J289/IF($A289&lt;COUNTIFS($K$1:Q$1,"&lt;&gt;"),0,SUMIFS($J:$J,$B:$B,$B289,$A:$A,"&gt;="&amp;COUNTIFS($K$1:Q$1,"&lt;&gt;"))),0)</f>
        <v>0</v>
      </c>
      <c r="R289">
        <f>IFERROR($J289/IF($A289&lt;COUNTIFS($K$1:R$1,"&lt;&gt;"),0,SUMIFS($J:$J,$B:$B,$B289,$A:$A,"&gt;="&amp;COUNTIFS($K$1:R$1,"&lt;&gt;"))),0)</f>
        <v>0</v>
      </c>
      <c r="S289">
        <f>IFERROR($J289/IF($A289&lt;COUNTIFS($K$1:S$1,"&lt;&gt;"),0,SUMIFS($J:$J,$B:$B,$B289,$A:$A,"&gt;="&amp;COUNTIFS($K$1:S$1,"&lt;&gt;"))),0)</f>
        <v>0</v>
      </c>
      <c r="T289">
        <f>IFERROR($J289/IF($A289&lt;COUNTIFS($K$1:T$1,"&lt;&gt;"),0,SUMIFS($J:$J,$B:$B,$B289,$A:$A,"&gt;="&amp;COUNTIFS($K$1:T$1,"&lt;&gt;"))),0)</f>
        <v>0</v>
      </c>
      <c r="U289">
        <f>IFERROR($J289/IF($A289&lt;COUNTIFS($K$1:U$1,"&lt;&gt;"),0,SUMIFS($J:$J,$B:$B,$B289,$A:$A,"&gt;="&amp;COUNTIFS($K$1:U$1,"&lt;&gt;"))),0)</f>
        <v>0</v>
      </c>
      <c r="V289">
        <f>IFERROR($J289/IF($A289&lt;COUNTIFS($K$1:V$1,"&lt;&gt;"),0,SUMIFS($J:$J,$B:$B,$B289,$A:$A,"&gt;="&amp;COUNTIFS($K$1:V$1,"&lt;&gt;"))),0)</f>
        <v>0</v>
      </c>
      <c r="W289">
        <f t="shared" si="112"/>
        <v>8.4931506849315067E-2</v>
      </c>
      <c r="X289">
        <f t="shared" si="92"/>
        <v>8.4931506849315067E-2</v>
      </c>
      <c r="Y289">
        <f t="shared" si="93"/>
        <v>0</v>
      </c>
      <c r="Z289">
        <f t="shared" si="94"/>
        <v>0</v>
      </c>
      <c r="AA289">
        <f t="shared" si="95"/>
        <v>0</v>
      </c>
      <c r="AB289">
        <f t="shared" si="96"/>
        <v>0</v>
      </c>
      <c r="AC289">
        <f t="shared" si="97"/>
        <v>0</v>
      </c>
      <c r="AD289">
        <f t="shared" si="98"/>
        <v>0</v>
      </c>
      <c r="AE289">
        <f t="shared" si="99"/>
        <v>0</v>
      </c>
      <c r="AF289">
        <f t="shared" si="100"/>
        <v>0</v>
      </c>
      <c r="AG289">
        <f t="shared" si="101"/>
        <v>0</v>
      </c>
      <c r="AH289">
        <f t="shared" si="102"/>
        <v>0</v>
      </c>
      <c r="AI289">
        <f t="shared" si="103"/>
        <v>0</v>
      </c>
      <c r="AJ289" s="2" t="str">
        <f t="shared" si="113"/>
        <v>144501</v>
      </c>
    </row>
    <row r="290" spans="1:36" x14ac:dyDescent="0.25">
      <c r="A290">
        <v>2</v>
      </c>
      <c r="B290" s="1">
        <v>44501</v>
      </c>
      <c r="C290" s="1">
        <f t="shared" si="104"/>
        <v>44562</v>
      </c>
      <c r="D290" s="1">
        <f t="shared" si="105"/>
        <v>44515</v>
      </c>
      <c r="E290" s="1">
        <f t="shared" si="106"/>
        <v>44562</v>
      </c>
      <c r="F290" s="1">
        <f t="shared" si="107"/>
        <v>44593</v>
      </c>
      <c r="G290" s="1">
        <f t="shared" si="108"/>
        <v>44880</v>
      </c>
      <c r="H290">
        <f t="shared" si="109"/>
        <v>365</v>
      </c>
      <c r="I290">
        <f t="shared" si="110"/>
        <v>31</v>
      </c>
      <c r="J290">
        <f t="shared" si="111"/>
        <v>8.4931506849315067E-2</v>
      </c>
      <c r="K290">
        <f>IFERROR($J290/IF($A290&lt;COUNTIFS($K$1:K$1,"&lt;&gt;"),0,SUMIFS($J:$J,$B:$B,$B290,$A:$A,"&gt;="&amp;COUNTIFS($K$1:K$1,"&lt;&gt;"))),0)</f>
        <v>8.8825214899713484E-2</v>
      </c>
      <c r="L290">
        <f>IFERROR($J290/IF($A290&lt;COUNTIFS($K$1:L$1,"&lt;&gt;"),0,SUMIFS($J:$J,$B:$B,$B290,$A:$A,"&gt;="&amp;COUNTIFS($K$1:L$1,"&lt;&gt;"))),0)</f>
        <v>9.7484276729559768E-2</v>
      </c>
      <c r="M290">
        <f>IFERROR($J290/IF($A290&lt;COUNTIFS($K$1:M$1,"&lt;&gt;"),0,SUMIFS($J:$J,$B:$B,$B290,$A:$A,"&gt;="&amp;COUNTIFS($K$1:M$1,"&lt;&gt;"))),0)</f>
        <v>0</v>
      </c>
      <c r="N290">
        <f>IFERROR($J290/IF($A290&lt;COUNTIFS($K$1:N$1,"&lt;&gt;"),0,SUMIFS($J:$J,$B:$B,$B290,$A:$A,"&gt;="&amp;COUNTIFS($K$1:N$1,"&lt;&gt;"))),0)</f>
        <v>0</v>
      </c>
      <c r="O290">
        <f>IFERROR($J290/IF($A290&lt;COUNTIFS($K$1:O$1,"&lt;&gt;"),0,SUMIFS($J:$J,$B:$B,$B290,$A:$A,"&gt;="&amp;COUNTIFS($K$1:O$1,"&lt;&gt;"))),0)</f>
        <v>0</v>
      </c>
      <c r="P290">
        <f>IFERROR($J290/IF($A290&lt;COUNTIFS($K$1:P$1,"&lt;&gt;"),0,SUMIFS($J:$J,$B:$B,$B290,$A:$A,"&gt;="&amp;COUNTIFS($K$1:P$1,"&lt;&gt;"))),0)</f>
        <v>0</v>
      </c>
      <c r="Q290">
        <f>IFERROR($J290/IF($A290&lt;COUNTIFS($K$1:Q$1,"&lt;&gt;"),0,SUMIFS($J:$J,$B:$B,$B290,$A:$A,"&gt;="&amp;COUNTIFS($K$1:Q$1,"&lt;&gt;"))),0)</f>
        <v>0</v>
      </c>
      <c r="R290">
        <f>IFERROR($J290/IF($A290&lt;COUNTIFS($K$1:R$1,"&lt;&gt;"),0,SUMIFS($J:$J,$B:$B,$B290,$A:$A,"&gt;="&amp;COUNTIFS($K$1:R$1,"&lt;&gt;"))),0)</f>
        <v>0</v>
      </c>
      <c r="S290">
        <f>IFERROR($J290/IF($A290&lt;COUNTIFS($K$1:S$1,"&lt;&gt;"),0,SUMIFS($J:$J,$B:$B,$B290,$A:$A,"&gt;="&amp;COUNTIFS($K$1:S$1,"&lt;&gt;"))),0)</f>
        <v>0</v>
      </c>
      <c r="T290">
        <f>IFERROR($J290/IF($A290&lt;COUNTIFS($K$1:T$1,"&lt;&gt;"),0,SUMIFS($J:$J,$B:$B,$B290,$A:$A,"&gt;="&amp;COUNTIFS($K$1:T$1,"&lt;&gt;"))),0)</f>
        <v>0</v>
      </c>
      <c r="U290">
        <f>IFERROR($J290/IF($A290&lt;COUNTIFS($K$1:U$1,"&lt;&gt;"),0,SUMIFS($J:$J,$B:$B,$B290,$A:$A,"&gt;="&amp;COUNTIFS($K$1:U$1,"&lt;&gt;"))),0)</f>
        <v>0</v>
      </c>
      <c r="V290">
        <f>IFERROR($J290/IF($A290&lt;COUNTIFS($K$1:V$1,"&lt;&gt;"),0,SUMIFS($J:$J,$B:$B,$B290,$A:$A,"&gt;="&amp;COUNTIFS($K$1:V$1,"&lt;&gt;"))),0)</f>
        <v>0</v>
      </c>
      <c r="W290">
        <f t="shared" si="112"/>
        <v>8.4931506849315067E-2</v>
      </c>
      <c r="X290">
        <f t="shared" si="92"/>
        <v>8.4931506849315067E-2</v>
      </c>
      <c r="Y290">
        <f t="shared" si="93"/>
        <v>8.4931506849315067E-2</v>
      </c>
      <c r="Z290">
        <f t="shared" si="94"/>
        <v>0</v>
      </c>
      <c r="AA290">
        <f t="shared" si="95"/>
        <v>0</v>
      </c>
      <c r="AB290">
        <f t="shared" si="96"/>
        <v>0</v>
      </c>
      <c r="AC290">
        <f t="shared" si="97"/>
        <v>0</v>
      </c>
      <c r="AD290">
        <f t="shared" si="98"/>
        <v>0</v>
      </c>
      <c r="AE290">
        <f t="shared" si="99"/>
        <v>0</v>
      </c>
      <c r="AF290">
        <f t="shared" si="100"/>
        <v>0</v>
      </c>
      <c r="AG290">
        <f t="shared" si="101"/>
        <v>0</v>
      </c>
      <c r="AH290">
        <f t="shared" si="102"/>
        <v>0</v>
      </c>
      <c r="AI290">
        <f t="shared" si="103"/>
        <v>0</v>
      </c>
      <c r="AJ290" s="2" t="str">
        <f t="shared" si="113"/>
        <v>244501</v>
      </c>
    </row>
    <row r="291" spans="1:36" x14ac:dyDescent="0.25">
      <c r="A291">
        <v>3</v>
      </c>
      <c r="B291" s="1">
        <v>44501</v>
      </c>
      <c r="C291" s="1">
        <f t="shared" si="104"/>
        <v>44593</v>
      </c>
      <c r="D291" s="1">
        <f t="shared" si="105"/>
        <v>44515</v>
      </c>
      <c r="E291" s="1">
        <f t="shared" si="106"/>
        <v>44593</v>
      </c>
      <c r="F291" s="1">
        <f t="shared" si="107"/>
        <v>44621</v>
      </c>
      <c r="G291" s="1">
        <f t="shared" si="108"/>
        <v>44880</v>
      </c>
      <c r="H291">
        <f t="shared" si="109"/>
        <v>365</v>
      </c>
      <c r="I291">
        <f t="shared" si="110"/>
        <v>28</v>
      </c>
      <c r="J291">
        <f t="shared" si="111"/>
        <v>7.6712328767123292E-2</v>
      </c>
      <c r="K291">
        <f>IFERROR($J291/IF($A291&lt;COUNTIFS($K$1:K$1,"&lt;&gt;"),0,SUMIFS($J:$J,$B:$B,$B291,$A:$A,"&gt;="&amp;COUNTIFS($K$1:K$1,"&lt;&gt;"))),0)</f>
        <v>8.0229226361031539E-2</v>
      </c>
      <c r="L291">
        <f>IFERROR($J291/IF($A291&lt;COUNTIFS($K$1:L$1,"&lt;&gt;"),0,SUMIFS($J:$J,$B:$B,$B291,$A:$A,"&gt;="&amp;COUNTIFS($K$1:L$1,"&lt;&gt;"))),0)</f>
        <v>8.8050314465408827E-2</v>
      </c>
      <c r="M291">
        <f>IFERROR($J291/IF($A291&lt;COUNTIFS($K$1:M$1,"&lt;&gt;"),0,SUMIFS($J:$J,$B:$B,$B291,$A:$A,"&gt;="&amp;COUNTIFS($K$1:M$1,"&lt;&gt;"))),0)</f>
        <v>9.7560975609756115E-2</v>
      </c>
      <c r="N291">
        <f>IFERROR($J291/IF($A291&lt;COUNTIFS($K$1:N$1,"&lt;&gt;"),0,SUMIFS($J:$J,$B:$B,$B291,$A:$A,"&gt;="&amp;COUNTIFS($K$1:N$1,"&lt;&gt;"))),0)</f>
        <v>0</v>
      </c>
      <c r="O291">
        <f>IFERROR($J291/IF($A291&lt;COUNTIFS($K$1:O$1,"&lt;&gt;"),0,SUMIFS($J:$J,$B:$B,$B291,$A:$A,"&gt;="&amp;COUNTIFS($K$1:O$1,"&lt;&gt;"))),0)</f>
        <v>0</v>
      </c>
      <c r="P291">
        <f>IFERROR($J291/IF($A291&lt;COUNTIFS($K$1:P$1,"&lt;&gt;"),0,SUMIFS($J:$J,$B:$B,$B291,$A:$A,"&gt;="&amp;COUNTIFS($K$1:P$1,"&lt;&gt;"))),0)</f>
        <v>0</v>
      </c>
      <c r="Q291">
        <f>IFERROR($J291/IF($A291&lt;COUNTIFS($K$1:Q$1,"&lt;&gt;"),0,SUMIFS($J:$J,$B:$B,$B291,$A:$A,"&gt;="&amp;COUNTIFS($K$1:Q$1,"&lt;&gt;"))),0)</f>
        <v>0</v>
      </c>
      <c r="R291">
        <f>IFERROR($J291/IF($A291&lt;COUNTIFS($K$1:R$1,"&lt;&gt;"),0,SUMIFS($J:$J,$B:$B,$B291,$A:$A,"&gt;="&amp;COUNTIFS($K$1:R$1,"&lt;&gt;"))),0)</f>
        <v>0</v>
      </c>
      <c r="S291">
        <f>IFERROR($J291/IF($A291&lt;COUNTIFS($K$1:S$1,"&lt;&gt;"),0,SUMIFS($J:$J,$B:$B,$B291,$A:$A,"&gt;="&amp;COUNTIFS($K$1:S$1,"&lt;&gt;"))),0)</f>
        <v>0</v>
      </c>
      <c r="T291">
        <f>IFERROR($J291/IF($A291&lt;COUNTIFS($K$1:T$1,"&lt;&gt;"),0,SUMIFS($J:$J,$B:$B,$B291,$A:$A,"&gt;="&amp;COUNTIFS($K$1:T$1,"&lt;&gt;"))),0)</f>
        <v>0</v>
      </c>
      <c r="U291">
        <f>IFERROR($J291/IF($A291&lt;COUNTIFS($K$1:U$1,"&lt;&gt;"),0,SUMIFS($J:$J,$B:$B,$B291,$A:$A,"&gt;="&amp;COUNTIFS($K$1:U$1,"&lt;&gt;"))),0)</f>
        <v>0</v>
      </c>
      <c r="V291">
        <f>IFERROR($J291/IF($A291&lt;COUNTIFS($K$1:V$1,"&lt;&gt;"),0,SUMIFS($J:$J,$B:$B,$B291,$A:$A,"&gt;="&amp;COUNTIFS($K$1:V$1,"&lt;&gt;"))),0)</f>
        <v>0</v>
      </c>
      <c r="W291">
        <f t="shared" si="112"/>
        <v>7.6712328767123292E-2</v>
      </c>
      <c r="X291">
        <f t="shared" si="92"/>
        <v>7.6712328767123292E-2</v>
      </c>
      <c r="Y291">
        <f t="shared" si="93"/>
        <v>7.6712328767123292E-2</v>
      </c>
      <c r="Z291">
        <f t="shared" si="94"/>
        <v>7.6712328767123292E-2</v>
      </c>
      <c r="AA291">
        <f t="shared" si="95"/>
        <v>0</v>
      </c>
      <c r="AB291">
        <f t="shared" si="96"/>
        <v>0</v>
      </c>
      <c r="AC291">
        <f t="shared" si="97"/>
        <v>0</v>
      </c>
      <c r="AD291">
        <f t="shared" si="98"/>
        <v>0</v>
      </c>
      <c r="AE291">
        <f t="shared" si="99"/>
        <v>0</v>
      </c>
      <c r="AF291">
        <f t="shared" si="100"/>
        <v>0</v>
      </c>
      <c r="AG291">
        <f t="shared" si="101"/>
        <v>0</v>
      </c>
      <c r="AH291">
        <f t="shared" si="102"/>
        <v>0</v>
      </c>
      <c r="AI291">
        <f t="shared" si="103"/>
        <v>0</v>
      </c>
      <c r="AJ291" s="2" t="str">
        <f t="shared" si="113"/>
        <v>344501</v>
      </c>
    </row>
    <row r="292" spans="1:36" x14ac:dyDescent="0.25">
      <c r="A292">
        <v>4</v>
      </c>
      <c r="B292" s="1">
        <v>44501</v>
      </c>
      <c r="C292" s="1">
        <f t="shared" si="104"/>
        <v>44621</v>
      </c>
      <c r="D292" s="1">
        <f t="shared" si="105"/>
        <v>44515</v>
      </c>
      <c r="E292" s="1">
        <f t="shared" si="106"/>
        <v>44621</v>
      </c>
      <c r="F292" s="1">
        <f t="shared" si="107"/>
        <v>44652</v>
      </c>
      <c r="G292" s="1">
        <f t="shared" si="108"/>
        <v>44880</v>
      </c>
      <c r="H292">
        <f t="shared" si="109"/>
        <v>365</v>
      </c>
      <c r="I292">
        <f t="shared" si="110"/>
        <v>31</v>
      </c>
      <c r="J292">
        <f t="shared" si="111"/>
        <v>8.4931506849315067E-2</v>
      </c>
      <c r="K292">
        <f>IFERROR($J292/IF($A292&lt;COUNTIFS($K$1:K$1,"&lt;&gt;"),0,SUMIFS($J:$J,$B:$B,$B292,$A:$A,"&gt;="&amp;COUNTIFS($K$1:K$1,"&lt;&gt;"))),0)</f>
        <v>8.8825214899713484E-2</v>
      </c>
      <c r="L292">
        <f>IFERROR($J292/IF($A292&lt;COUNTIFS($K$1:L$1,"&lt;&gt;"),0,SUMIFS($J:$J,$B:$B,$B292,$A:$A,"&gt;="&amp;COUNTIFS($K$1:L$1,"&lt;&gt;"))),0)</f>
        <v>9.7484276729559768E-2</v>
      </c>
      <c r="M292">
        <f>IFERROR($J292/IF($A292&lt;COUNTIFS($K$1:M$1,"&lt;&gt;"),0,SUMIFS($J:$J,$B:$B,$B292,$A:$A,"&gt;="&amp;COUNTIFS($K$1:M$1,"&lt;&gt;"))),0)</f>
        <v>0.10801393728222998</v>
      </c>
      <c r="N292">
        <f>IFERROR($J292/IF($A292&lt;COUNTIFS($K$1:N$1,"&lt;&gt;"),0,SUMIFS($J:$J,$B:$B,$B292,$A:$A,"&gt;="&amp;COUNTIFS($K$1:N$1,"&lt;&gt;"))),0)</f>
        <v>0.11969111969111972</v>
      </c>
      <c r="O292">
        <f>IFERROR($J292/IF($A292&lt;COUNTIFS($K$1:O$1,"&lt;&gt;"),0,SUMIFS($J:$J,$B:$B,$B292,$A:$A,"&gt;="&amp;COUNTIFS($K$1:O$1,"&lt;&gt;"))),0)</f>
        <v>0</v>
      </c>
      <c r="P292">
        <f>IFERROR($J292/IF($A292&lt;COUNTIFS($K$1:P$1,"&lt;&gt;"),0,SUMIFS($J:$J,$B:$B,$B292,$A:$A,"&gt;="&amp;COUNTIFS($K$1:P$1,"&lt;&gt;"))),0)</f>
        <v>0</v>
      </c>
      <c r="Q292">
        <f>IFERROR($J292/IF($A292&lt;COUNTIFS($K$1:Q$1,"&lt;&gt;"),0,SUMIFS($J:$J,$B:$B,$B292,$A:$A,"&gt;="&amp;COUNTIFS($K$1:Q$1,"&lt;&gt;"))),0)</f>
        <v>0</v>
      </c>
      <c r="R292">
        <f>IFERROR($J292/IF($A292&lt;COUNTIFS($K$1:R$1,"&lt;&gt;"),0,SUMIFS($J:$J,$B:$B,$B292,$A:$A,"&gt;="&amp;COUNTIFS($K$1:R$1,"&lt;&gt;"))),0)</f>
        <v>0</v>
      </c>
      <c r="S292">
        <f>IFERROR($J292/IF($A292&lt;COUNTIFS($K$1:S$1,"&lt;&gt;"),0,SUMIFS($J:$J,$B:$B,$B292,$A:$A,"&gt;="&amp;COUNTIFS($K$1:S$1,"&lt;&gt;"))),0)</f>
        <v>0</v>
      </c>
      <c r="T292">
        <f>IFERROR($J292/IF($A292&lt;COUNTIFS($K$1:T$1,"&lt;&gt;"),0,SUMIFS($J:$J,$B:$B,$B292,$A:$A,"&gt;="&amp;COUNTIFS($K$1:T$1,"&lt;&gt;"))),0)</f>
        <v>0</v>
      </c>
      <c r="U292">
        <f>IFERROR($J292/IF($A292&lt;COUNTIFS($K$1:U$1,"&lt;&gt;"),0,SUMIFS($J:$J,$B:$B,$B292,$A:$A,"&gt;="&amp;COUNTIFS($K$1:U$1,"&lt;&gt;"))),0)</f>
        <v>0</v>
      </c>
      <c r="V292">
        <f>IFERROR($J292/IF($A292&lt;COUNTIFS($K$1:V$1,"&lt;&gt;"),0,SUMIFS($J:$J,$B:$B,$B292,$A:$A,"&gt;="&amp;COUNTIFS($K$1:V$1,"&lt;&gt;"))),0)</f>
        <v>0</v>
      </c>
      <c r="W292">
        <f t="shared" si="112"/>
        <v>8.4931506849315067E-2</v>
      </c>
      <c r="X292">
        <f t="shared" si="92"/>
        <v>8.4931506849315067E-2</v>
      </c>
      <c r="Y292">
        <f t="shared" si="93"/>
        <v>8.4931506849315067E-2</v>
      </c>
      <c r="Z292">
        <f t="shared" si="94"/>
        <v>8.4931506849315067E-2</v>
      </c>
      <c r="AA292">
        <f t="shared" si="95"/>
        <v>8.4931506849315067E-2</v>
      </c>
      <c r="AB292">
        <f t="shared" si="96"/>
        <v>0</v>
      </c>
      <c r="AC292">
        <f t="shared" si="97"/>
        <v>0</v>
      </c>
      <c r="AD292">
        <f t="shared" si="98"/>
        <v>0</v>
      </c>
      <c r="AE292">
        <f t="shared" si="99"/>
        <v>0</v>
      </c>
      <c r="AF292">
        <f t="shared" si="100"/>
        <v>0</v>
      </c>
      <c r="AG292">
        <f t="shared" si="101"/>
        <v>0</v>
      </c>
      <c r="AH292">
        <f t="shared" si="102"/>
        <v>0</v>
      </c>
      <c r="AI292">
        <f t="shared" si="103"/>
        <v>0</v>
      </c>
      <c r="AJ292" s="2" t="str">
        <f t="shared" si="113"/>
        <v>444501</v>
      </c>
    </row>
    <row r="293" spans="1:36" x14ac:dyDescent="0.25">
      <c r="A293">
        <v>5</v>
      </c>
      <c r="B293" s="1">
        <v>44501</v>
      </c>
      <c r="C293" s="1">
        <f t="shared" si="104"/>
        <v>44652</v>
      </c>
      <c r="D293" s="1">
        <f t="shared" si="105"/>
        <v>44515</v>
      </c>
      <c r="E293" s="1">
        <f t="shared" si="106"/>
        <v>44652</v>
      </c>
      <c r="F293" s="1">
        <f t="shared" si="107"/>
        <v>44682</v>
      </c>
      <c r="G293" s="1">
        <f t="shared" si="108"/>
        <v>44880</v>
      </c>
      <c r="H293">
        <f t="shared" si="109"/>
        <v>365</v>
      </c>
      <c r="I293">
        <f t="shared" si="110"/>
        <v>30</v>
      </c>
      <c r="J293">
        <f t="shared" si="111"/>
        <v>8.2191780821917804E-2</v>
      </c>
      <c r="K293">
        <f>IFERROR($J293/IF($A293&lt;COUNTIFS($K$1:K$1,"&lt;&gt;"),0,SUMIFS($J:$J,$B:$B,$B293,$A:$A,"&gt;="&amp;COUNTIFS($K$1:K$1,"&lt;&gt;"))),0)</f>
        <v>8.5959885386819493E-2</v>
      </c>
      <c r="L293">
        <f>IFERROR($J293/IF($A293&lt;COUNTIFS($K$1:L$1,"&lt;&gt;"),0,SUMIFS($J:$J,$B:$B,$B293,$A:$A,"&gt;="&amp;COUNTIFS($K$1:L$1,"&lt;&gt;"))),0)</f>
        <v>9.4339622641509441E-2</v>
      </c>
      <c r="M293">
        <f>IFERROR($J293/IF($A293&lt;COUNTIFS($K$1:M$1,"&lt;&gt;"),0,SUMIFS($J:$J,$B:$B,$B293,$A:$A,"&gt;="&amp;COUNTIFS($K$1:M$1,"&lt;&gt;"))),0)</f>
        <v>0.10452961672473869</v>
      </c>
      <c r="N293">
        <f>IFERROR($J293/IF($A293&lt;COUNTIFS($K$1:N$1,"&lt;&gt;"),0,SUMIFS($J:$J,$B:$B,$B293,$A:$A,"&gt;="&amp;COUNTIFS($K$1:N$1,"&lt;&gt;"))),0)</f>
        <v>0.11583011583011585</v>
      </c>
      <c r="O293">
        <f>IFERROR($J293/IF($A293&lt;COUNTIFS($K$1:O$1,"&lt;&gt;"),0,SUMIFS($J:$J,$B:$B,$B293,$A:$A,"&gt;="&amp;COUNTIFS($K$1:O$1,"&lt;&gt;"))),0)</f>
        <v>0.13157894736842107</v>
      </c>
      <c r="P293">
        <f>IFERROR($J293/IF($A293&lt;COUNTIFS($K$1:P$1,"&lt;&gt;"),0,SUMIFS($J:$J,$B:$B,$B293,$A:$A,"&gt;="&amp;COUNTIFS($K$1:P$1,"&lt;&gt;"))),0)</f>
        <v>0</v>
      </c>
      <c r="Q293">
        <f>IFERROR($J293/IF($A293&lt;COUNTIFS($K$1:Q$1,"&lt;&gt;"),0,SUMIFS($J:$J,$B:$B,$B293,$A:$A,"&gt;="&amp;COUNTIFS($K$1:Q$1,"&lt;&gt;"))),0)</f>
        <v>0</v>
      </c>
      <c r="R293">
        <f>IFERROR($J293/IF($A293&lt;COUNTIFS($K$1:R$1,"&lt;&gt;"),0,SUMIFS($J:$J,$B:$B,$B293,$A:$A,"&gt;="&amp;COUNTIFS($K$1:R$1,"&lt;&gt;"))),0)</f>
        <v>0</v>
      </c>
      <c r="S293">
        <f>IFERROR($J293/IF($A293&lt;COUNTIFS($K$1:S$1,"&lt;&gt;"),0,SUMIFS($J:$J,$B:$B,$B293,$A:$A,"&gt;="&amp;COUNTIFS($K$1:S$1,"&lt;&gt;"))),0)</f>
        <v>0</v>
      </c>
      <c r="T293">
        <f>IFERROR($J293/IF($A293&lt;COUNTIFS($K$1:T$1,"&lt;&gt;"),0,SUMIFS($J:$J,$B:$B,$B293,$A:$A,"&gt;="&amp;COUNTIFS($K$1:T$1,"&lt;&gt;"))),0)</f>
        <v>0</v>
      </c>
      <c r="U293">
        <f>IFERROR($J293/IF($A293&lt;COUNTIFS($K$1:U$1,"&lt;&gt;"),0,SUMIFS($J:$J,$B:$B,$B293,$A:$A,"&gt;="&amp;COUNTIFS($K$1:U$1,"&lt;&gt;"))),0)</f>
        <v>0</v>
      </c>
      <c r="V293">
        <f>IFERROR($J293/IF($A293&lt;COUNTIFS($K$1:V$1,"&lt;&gt;"),0,SUMIFS($J:$J,$B:$B,$B293,$A:$A,"&gt;="&amp;COUNTIFS($K$1:V$1,"&lt;&gt;"))),0)</f>
        <v>0</v>
      </c>
      <c r="W293">
        <f t="shared" si="112"/>
        <v>8.2191780821917804E-2</v>
      </c>
      <c r="X293">
        <f t="shared" si="92"/>
        <v>8.2191780821917804E-2</v>
      </c>
      <c r="Y293">
        <f t="shared" si="93"/>
        <v>8.2191780821917804E-2</v>
      </c>
      <c r="Z293">
        <f t="shared" si="94"/>
        <v>8.2191780821917804E-2</v>
      </c>
      <c r="AA293">
        <f t="shared" si="95"/>
        <v>8.2191780821917804E-2</v>
      </c>
      <c r="AB293">
        <f t="shared" si="96"/>
        <v>8.2191780821917804E-2</v>
      </c>
      <c r="AC293">
        <f t="shared" si="97"/>
        <v>0</v>
      </c>
      <c r="AD293">
        <f t="shared" si="98"/>
        <v>0</v>
      </c>
      <c r="AE293">
        <f t="shared" si="99"/>
        <v>0</v>
      </c>
      <c r="AF293">
        <f t="shared" si="100"/>
        <v>0</v>
      </c>
      <c r="AG293">
        <f t="shared" si="101"/>
        <v>0</v>
      </c>
      <c r="AH293">
        <f t="shared" si="102"/>
        <v>0</v>
      </c>
      <c r="AI293">
        <f t="shared" si="103"/>
        <v>0</v>
      </c>
      <c r="AJ293" s="2" t="str">
        <f t="shared" si="113"/>
        <v>544501</v>
      </c>
    </row>
    <row r="294" spans="1:36" x14ac:dyDescent="0.25">
      <c r="A294">
        <v>6</v>
      </c>
      <c r="B294" s="1">
        <v>44501</v>
      </c>
      <c r="C294" s="1">
        <f t="shared" si="104"/>
        <v>44682</v>
      </c>
      <c r="D294" s="1">
        <f t="shared" si="105"/>
        <v>44515</v>
      </c>
      <c r="E294" s="1">
        <f t="shared" si="106"/>
        <v>44682</v>
      </c>
      <c r="F294" s="1">
        <f t="shared" si="107"/>
        <v>44713</v>
      </c>
      <c r="G294" s="1">
        <f t="shared" si="108"/>
        <v>44880</v>
      </c>
      <c r="H294">
        <f t="shared" si="109"/>
        <v>365</v>
      </c>
      <c r="I294">
        <f t="shared" si="110"/>
        <v>31</v>
      </c>
      <c r="J294">
        <f t="shared" si="111"/>
        <v>8.4931506849315067E-2</v>
      </c>
      <c r="K294">
        <f>IFERROR($J294/IF($A294&lt;COUNTIFS($K$1:K$1,"&lt;&gt;"),0,SUMIFS($J:$J,$B:$B,$B294,$A:$A,"&gt;="&amp;COUNTIFS($K$1:K$1,"&lt;&gt;"))),0)</f>
        <v>8.8825214899713484E-2</v>
      </c>
      <c r="L294">
        <f>IFERROR($J294/IF($A294&lt;COUNTIFS($K$1:L$1,"&lt;&gt;"),0,SUMIFS($J:$J,$B:$B,$B294,$A:$A,"&gt;="&amp;COUNTIFS($K$1:L$1,"&lt;&gt;"))),0)</f>
        <v>9.7484276729559768E-2</v>
      </c>
      <c r="M294">
        <f>IFERROR($J294/IF($A294&lt;COUNTIFS($K$1:M$1,"&lt;&gt;"),0,SUMIFS($J:$J,$B:$B,$B294,$A:$A,"&gt;="&amp;COUNTIFS($K$1:M$1,"&lt;&gt;"))),0)</f>
        <v>0.10801393728222998</v>
      </c>
      <c r="N294">
        <f>IFERROR($J294/IF($A294&lt;COUNTIFS($K$1:N$1,"&lt;&gt;"),0,SUMIFS($J:$J,$B:$B,$B294,$A:$A,"&gt;="&amp;COUNTIFS($K$1:N$1,"&lt;&gt;"))),0)</f>
        <v>0.11969111969111972</v>
      </c>
      <c r="O294">
        <f>IFERROR($J294/IF($A294&lt;COUNTIFS($K$1:O$1,"&lt;&gt;"),0,SUMIFS($J:$J,$B:$B,$B294,$A:$A,"&gt;="&amp;COUNTIFS($K$1:O$1,"&lt;&gt;"))),0)</f>
        <v>0.13596491228070179</v>
      </c>
      <c r="P294">
        <f>IFERROR($J294/IF($A294&lt;COUNTIFS($K$1:P$1,"&lt;&gt;"),0,SUMIFS($J:$J,$B:$B,$B294,$A:$A,"&gt;="&amp;COUNTIFS($K$1:P$1,"&lt;&gt;"))),0)</f>
        <v>0.1565656565656566</v>
      </c>
      <c r="Q294">
        <f>IFERROR($J294/IF($A294&lt;COUNTIFS($K$1:Q$1,"&lt;&gt;"),0,SUMIFS($J:$J,$B:$B,$B294,$A:$A,"&gt;="&amp;COUNTIFS($K$1:Q$1,"&lt;&gt;"))),0)</f>
        <v>0</v>
      </c>
      <c r="R294">
        <f>IFERROR($J294/IF($A294&lt;COUNTIFS($K$1:R$1,"&lt;&gt;"),0,SUMIFS($J:$J,$B:$B,$B294,$A:$A,"&gt;="&amp;COUNTIFS($K$1:R$1,"&lt;&gt;"))),0)</f>
        <v>0</v>
      </c>
      <c r="S294">
        <f>IFERROR($J294/IF($A294&lt;COUNTIFS($K$1:S$1,"&lt;&gt;"),0,SUMIFS($J:$J,$B:$B,$B294,$A:$A,"&gt;="&amp;COUNTIFS($K$1:S$1,"&lt;&gt;"))),0)</f>
        <v>0</v>
      </c>
      <c r="T294">
        <f>IFERROR($J294/IF($A294&lt;COUNTIFS($K$1:T$1,"&lt;&gt;"),0,SUMIFS($J:$J,$B:$B,$B294,$A:$A,"&gt;="&amp;COUNTIFS($K$1:T$1,"&lt;&gt;"))),0)</f>
        <v>0</v>
      </c>
      <c r="U294">
        <f>IFERROR($J294/IF($A294&lt;COUNTIFS($K$1:U$1,"&lt;&gt;"),0,SUMIFS($J:$J,$B:$B,$B294,$A:$A,"&gt;="&amp;COUNTIFS($K$1:U$1,"&lt;&gt;"))),0)</f>
        <v>0</v>
      </c>
      <c r="V294">
        <f>IFERROR($J294/IF($A294&lt;COUNTIFS($K$1:V$1,"&lt;&gt;"),0,SUMIFS($J:$J,$B:$B,$B294,$A:$A,"&gt;="&amp;COUNTIFS($K$1:V$1,"&lt;&gt;"))),0)</f>
        <v>0</v>
      </c>
      <c r="W294">
        <f t="shared" si="112"/>
        <v>8.4931506849315067E-2</v>
      </c>
      <c r="X294">
        <f t="shared" si="92"/>
        <v>8.4931506849315067E-2</v>
      </c>
      <c r="Y294">
        <f t="shared" si="93"/>
        <v>8.4931506849315067E-2</v>
      </c>
      <c r="Z294">
        <f t="shared" si="94"/>
        <v>8.4931506849315067E-2</v>
      </c>
      <c r="AA294">
        <f t="shared" si="95"/>
        <v>8.4931506849315067E-2</v>
      </c>
      <c r="AB294">
        <f t="shared" si="96"/>
        <v>8.4931506849315067E-2</v>
      </c>
      <c r="AC294">
        <f t="shared" si="97"/>
        <v>8.4931506849315067E-2</v>
      </c>
      <c r="AD294">
        <f t="shared" si="98"/>
        <v>0</v>
      </c>
      <c r="AE294">
        <f t="shared" si="99"/>
        <v>0</v>
      </c>
      <c r="AF294">
        <f t="shared" si="100"/>
        <v>0</v>
      </c>
      <c r="AG294">
        <f t="shared" si="101"/>
        <v>0</v>
      </c>
      <c r="AH294">
        <f t="shared" si="102"/>
        <v>0</v>
      </c>
      <c r="AI294">
        <f t="shared" si="103"/>
        <v>0</v>
      </c>
      <c r="AJ294" s="2" t="str">
        <f t="shared" si="113"/>
        <v>644501</v>
      </c>
    </row>
    <row r="295" spans="1:36" x14ac:dyDescent="0.25">
      <c r="A295">
        <v>7</v>
      </c>
      <c r="B295" s="1">
        <v>44501</v>
      </c>
      <c r="C295" s="1">
        <f t="shared" si="104"/>
        <v>44713</v>
      </c>
      <c r="D295" s="1">
        <f t="shared" si="105"/>
        <v>44515</v>
      </c>
      <c r="E295" s="1">
        <f t="shared" si="106"/>
        <v>44713</v>
      </c>
      <c r="F295" s="1">
        <f t="shared" si="107"/>
        <v>44743</v>
      </c>
      <c r="G295" s="1">
        <f t="shared" si="108"/>
        <v>44880</v>
      </c>
      <c r="H295">
        <f t="shared" si="109"/>
        <v>365</v>
      </c>
      <c r="I295">
        <f t="shared" si="110"/>
        <v>30</v>
      </c>
      <c r="J295">
        <f t="shared" si="111"/>
        <v>8.2191780821917804E-2</v>
      </c>
      <c r="K295">
        <f>IFERROR($J295/IF($A295&lt;COUNTIFS($K$1:K$1,"&lt;&gt;"),0,SUMIFS($J:$J,$B:$B,$B295,$A:$A,"&gt;="&amp;COUNTIFS($K$1:K$1,"&lt;&gt;"))),0)</f>
        <v>8.5959885386819493E-2</v>
      </c>
      <c r="L295">
        <f>IFERROR($J295/IF($A295&lt;COUNTIFS($K$1:L$1,"&lt;&gt;"),0,SUMIFS($J:$J,$B:$B,$B295,$A:$A,"&gt;="&amp;COUNTIFS($K$1:L$1,"&lt;&gt;"))),0)</f>
        <v>9.4339622641509441E-2</v>
      </c>
      <c r="M295">
        <f>IFERROR($J295/IF($A295&lt;COUNTIFS($K$1:M$1,"&lt;&gt;"),0,SUMIFS($J:$J,$B:$B,$B295,$A:$A,"&gt;="&amp;COUNTIFS($K$1:M$1,"&lt;&gt;"))),0)</f>
        <v>0.10452961672473869</v>
      </c>
      <c r="N295">
        <f>IFERROR($J295/IF($A295&lt;COUNTIFS($K$1:N$1,"&lt;&gt;"),0,SUMIFS($J:$J,$B:$B,$B295,$A:$A,"&gt;="&amp;COUNTIFS($K$1:N$1,"&lt;&gt;"))),0)</f>
        <v>0.11583011583011585</v>
      </c>
      <c r="O295">
        <f>IFERROR($J295/IF($A295&lt;COUNTIFS($K$1:O$1,"&lt;&gt;"),0,SUMIFS($J:$J,$B:$B,$B295,$A:$A,"&gt;="&amp;COUNTIFS($K$1:O$1,"&lt;&gt;"))),0)</f>
        <v>0.13157894736842107</v>
      </c>
      <c r="P295">
        <f>IFERROR($J295/IF($A295&lt;COUNTIFS($K$1:P$1,"&lt;&gt;"),0,SUMIFS($J:$J,$B:$B,$B295,$A:$A,"&gt;="&amp;COUNTIFS($K$1:P$1,"&lt;&gt;"))),0)</f>
        <v>0.15151515151515155</v>
      </c>
      <c r="Q295">
        <f>IFERROR($J295/IF($A295&lt;COUNTIFS($K$1:Q$1,"&lt;&gt;"),0,SUMIFS($J:$J,$B:$B,$B295,$A:$A,"&gt;="&amp;COUNTIFS($K$1:Q$1,"&lt;&gt;"))),0)</f>
        <v>0.17964071856287425</v>
      </c>
      <c r="R295">
        <f>IFERROR($J295/IF($A295&lt;COUNTIFS($K$1:R$1,"&lt;&gt;"),0,SUMIFS($J:$J,$B:$B,$B295,$A:$A,"&gt;="&amp;COUNTIFS($K$1:R$1,"&lt;&gt;"))),0)</f>
        <v>0</v>
      </c>
      <c r="S295">
        <f>IFERROR($J295/IF($A295&lt;COUNTIFS($K$1:S$1,"&lt;&gt;"),0,SUMIFS($J:$J,$B:$B,$B295,$A:$A,"&gt;="&amp;COUNTIFS($K$1:S$1,"&lt;&gt;"))),0)</f>
        <v>0</v>
      </c>
      <c r="T295">
        <f>IFERROR($J295/IF($A295&lt;COUNTIFS($K$1:T$1,"&lt;&gt;"),0,SUMIFS($J:$J,$B:$B,$B295,$A:$A,"&gt;="&amp;COUNTIFS($K$1:T$1,"&lt;&gt;"))),0)</f>
        <v>0</v>
      </c>
      <c r="U295">
        <f>IFERROR($J295/IF($A295&lt;COUNTIFS($K$1:U$1,"&lt;&gt;"),0,SUMIFS($J:$J,$B:$B,$B295,$A:$A,"&gt;="&amp;COUNTIFS($K$1:U$1,"&lt;&gt;"))),0)</f>
        <v>0</v>
      </c>
      <c r="V295">
        <f>IFERROR($J295/IF($A295&lt;COUNTIFS($K$1:V$1,"&lt;&gt;"),0,SUMIFS($J:$J,$B:$B,$B295,$A:$A,"&gt;="&amp;COUNTIFS($K$1:V$1,"&lt;&gt;"))),0)</f>
        <v>0</v>
      </c>
      <c r="W295">
        <f t="shared" si="112"/>
        <v>8.2191780821917804E-2</v>
      </c>
      <c r="X295">
        <f t="shared" si="92"/>
        <v>8.2191780821917804E-2</v>
      </c>
      <c r="Y295">
        <f t="shared" si="93"/>
        <v>8.2191780821917804E-2</v>
      </c>
      <c r="Z295">
        <f t="shared" si="94"/>
        <v>8.2191780821917804E-2</v>
      </c>
      <c r="AA295">
        <f t="shared" si="95"/>
        <v>8.2191780821917804E-2</v>
      </c>
      <c r="AB295">
        <f t="shared" si="96"/>
        <v>8.2191780821917804E-2</v>
      </c>
      <c r="AC295">
        <f t="shared" si="97"/>
        <v>8.2191780821917804E-2</v>
      </c>
      <c r="AD295">
        <f t="shared" si="98"/>
        <v>8.2191780821917804E-2</v>
      </c>
      <c r="AE295">
        <f t="shared" si="99"/>
        <v>0</v>
      </c>
      <c r="AF295">
        <f t="shared" si="100"/>
        <v>0</v>
      </c>
      <c r="AG295">
        <f t="shared" si="101"/>
        <v>0</v>
      </c>
      <c r="AH295">
        <f t="shared" si="102"/>
        <v>0</v>
      </c>
      <c r="AI295">
        <f t="shared" si="103"/>
        <v>0</v>
      </c>
      <c r="AJ295" s="2" t="str">
        <f t="shared" si="113"/>
        <v>744501</v>
      </c>
    </row>
    <row r="296" spans="1:36" x14ac:dyDescent="0.25">
      <c r="A296">
        <v>8</v>
      </c>
      <c r="B296" s="1">
        <v>44501</v>
      </c>
      <c r="C296" s="1">
        <f t="shared" si="104"/>
        <v>44743</v>
      </c>
      <c r="D296" s="1">
        <f t="shared" si="105"/>
        <v>44515</v>
      </c>
      <c r="E296" s="1">
        <f t="shared" si="106"/>
        <v>44743</v>
      </c>
      <c r="F296" s="1">
        <f t="shared" si="107"/>
        <v>44774</v>
      </c>
      <c r="G296" s="1">
        <f t="shared" si="108"/>
        <v>44880</v>
      </c>
      <c r="H296">
        <f t="shared" si="109"/>
        <v>365</v>
      </c>
      <c r="I296">
        <f t="shared" si="110"/>
        <v>31</v>
      </c>
      <c r="J296">
        <f t="shared" si="111"/>
        <v>8.4931506849315067E-2</v>
      </c>
      <c r="K296">
        <f>IFERROR($J296/IF($A296&lt;COUNTIFS($K$1:K$1,"&lt;&gt;"),0,SUMIFS($J:$J,$B:$B,$B296,$A:$A,"&gt;="&amp;COUNTIFS($K$1:K$1,"&lt;&gt;"))),0)</f>
        <v>8.8825214899713484E-2</v>
      </c>
      <c r="L296">
        <f>IFERROR($J296/IF($A296&lt;COUNTIFS($K$1:L$1,"&lt;&gt;"),0,SUMIFS($J:$J,$B:$B,$B296,$A:$A,"&gt;="&amp;COUNTIFS($K$1:L$1,"&lt;&gt;"))),0)</f>
        <v>9.7484276729559768E-2</v>
      </c>
      <c r="M296">
        <f>IFERROR($J296/IF($A296&lt;COUNTIFS($K$1:M$1,"&lt;&gt;"),0,SUMIFS($J:$J,$B:$B,$B296,$A:$A,"&gt;="&amp;COUNTIFS($K$1:M$1,"&lt;&gt;"))),0)</f>
        <v>0.10801393728222998</v>
      </c>
      <c r="N296">
        <f>IFERROR($J296/IF($A296&lt;COUNTIFS($K$1:N$1,"&lt;&gt;"),0,SUMIFS($J:$J,$B:$B,$B296,$A:$A,"&gt;="&amp;COUNTIFS($K$1:N$1,"&lt;&gt;"))),0)</f>
        <v>0.11969111969111972</v>
      </c>
      <c r="O296">
        <f>IFERROR($J296/IF($A296&lt;COUNTIFS($K$1:O$1,"&lt;&gt;"),0,SUMIFS($J:$J,$B:$B,$B296,$A:$A,"&gt;="&amp;COUNTIFS($K$1:O$1,"&lt;&gt;"))),0)</f>
        <v>0.13596491228070179</v>
      </c>
      <c r="P296">
        <f>IFERROR($J296/IF($A296&lt;COUNTIFS($K$1:P$1,"&lt;&gt;"),0,SUMIFS($J:$J,$B:$B,$B296,$A:$A,"&gt;="&amp;COUNTIFS($K$1:P$1,"&lt;&gt;"))),0)</f>
        <v>0.1565656565656566</v>
      </c>
      <c r="Q296">
        <f>IFERROR($J296/IF($A296&lt;COUNTIFS($K$1:Q$1,"&lt;&gt;"),0,SUMIFS($J:$J,$B:$B,$B296,$A:$A,"&gt;="&amp;COUNTIFS($K$1:Q$1,"&lt;&gt;"))),0)</f>
        <v>0.18562874251497008</v>
      </c>
      <c r="R296">
        <f>IFERROR($J296/IF($A296&lt;COUNTIFS($K$1:R$1,"&lt;&gt;"),0,SUMIFS($J:$J,$B:$B,$B296,$A:$A,"&gt;="&amp;COUNTIFS($K$1:R$1,"&lt;&gt;"))),0)</f>
        <v>0.22627737226277375</v>
      </c>
      <c r="S296">
        <f>IFERROR($J296/IF($A296&lt;COUNTIFS($K$1:S$1,"&lt;&gt;"),0,SUMIFS($J:$J,$B:$B,$B296,$A:$A,"&gt;="&amp;COUNTIFS($K$1:S$1,"&lt;&gt;"))),0)</f>
        <v>0</v>
      </c>
      <c r="T296">
        <f>IFERROR($J296/IF($A296&lt;COUNTIFS($K$1:T$1,"&lt;&gt;"),0,SUMIFS($J:$J,$B:$B,$B296,$A:$A,"&gt;="&amp;COUNTIFS($K$1:T$1,"&lt;&gt;"))),0)</f>
        <v>0</v>
      </c>
      <c r="U296">
        <f>IFERROR($J296/IF($A296&lt;COUNTIFS($K$1:U$1,"&lt;&gt;"),0,SUMIFS($J:$J,$B:$B,$B296,$A:$A,"&gt;="&amp;COUNTIFS($K$1:U$1,"&lt;&gt;"))),0)</f>
        <v>0</v>
      </c>
      <c r="V296">
        <f>IFERROR($J296/IF($A296&lt;COUNTIFS($K$1:V$1,"&lt;&gt;"),0,SUMIFS($J:$J,$B:$B,$B296,$A:$A,"&gt;="&amp;COUNTIFS($K$1:V$1,"&lt;&gt;"))),0)</f>
        <v>0</v>
      </c>
      <c r="W296">
        <f t="shared" si="112"/>
        <v>8.4931506849315067E-2</v>
      </c>
      <c r="X296">
        <f t="shared" si="92"/>
        <v>8.4931506849315067E-2</v>
      </c>
      <c r="Y296">
        <f t="shared" si="93"/>
        <v>8.4931506849315067E-2</v>
      </c>
      <c r="Z296">
        <f t="shared" si="94"/>
        <v>8.4931506849315067E-2</v>
      </c>
      <c r="AA296">
        <f t="shared" si="95"/>
        <v>8.4931506849315067E-2</v>
      </c>
      <c r="AB296">
        <f t="shared" si="96"/>
        <v>8.4931506849315067E-2</v>
      </c>
      <c r="AC296">
        <f t="shared" si="97"/>
        <v>8.4931506849315067E-2</v>
      </c>
      <c r="AD296">
        <f t="shared" si="98"/>
        <v>8.4931506849315067E-2</v>
      </c>
      <c r="AE296">
        <f t="shared" si="99"/>
        <v>8.4931506849315067E-2</v>
      </c>
      <c r="AF296">
        <f t="shared" si="100"/>
        <v>0</v>
      </c>
      <c r="AG296">
        <f t="shared" si="101"/>
        <v>0</v>
      </c>
      <c r="AH296">
        <f t="shared" si="102"/>
        <v>0</v>
      </c>
      <c r="AI296">
        <f t="shared" si="103"/>
        <v>0</v>
      </c>
      <c r="AJ296" s="2" t="str">
        <f t="shared" si="113"/>
        <v>844501</v>
      </c>
    </row>
    <row r="297" spans="1:36" x14ac:dyDescent="0.25">
      <c r="A297">
        <v>9</v>
      </c>
      <c r="B297" s="1">
        <v>44501</v>
      </c>
      <c r="C297" s="1">
        <f t="shared" si="104"/>
        <v>44774</v>
      </c>
      <c r="D297" s="1">
        <f t="shared" si="105"/>
        <v>44515</v>
      </c>
      <c r="E297" s="1">
        <f t="shared" si="106"/>
        <v>44774</v>
      </c>
      <c r="F297" s="1">
        <f t="shared" si="107"/>
        <v>44805</v>
      </c>
      <c r="G297" s="1">
        <f t="shared" si="108"/>
        <v>44880</v>
      </c>
      <c r="H297">
        <f t="shared" si="109"/>
        <v>365</v>
      </c>
      <c r="I297">
        <f t="shared" si="110"/>
        <v>31</v>
      </c>
      <c r="J297">
        <f t="shared" si="111"/>
        <v>8.4931506849315067E-2</v>
      </c>
      <c r="K297">
        <f>IFERROR($J297/IF($A297&lt;COUNTIFS($K$1:K$1,"&lt;&gt;"),0,SUMIFS($J:$J,$B:$B,$B297,$A:$A,"&gt;="&amp;COUNTIFS($K$1:K$1,"&lt;&gt;"))),0)</f>
        <v>8.8825214899713484E-2</v>
      </c>
      <c r="L297">
        <f>IFERROR($J297/IF($A297&lt;COUNTIFS($K$1:L$1,"&lt;&gt;"),0,SUMIFS($J:$J,$B:$B,$B297,$A:$A,"&gt;="&amp;COUNTIFS($K$1:L$1,"&lt;&gt;"))),0)</f>
        <v>9.7484276729559768E-2</v>
      </c>
      <c r="M297">
        <f>IFERROR($J297/IF($A297&lt;COUNTIFS($K$1:M$1,"&lt;&gt;"),0,SUMIFS($J:$J,$B:$B,$B297,$A:$A,"&gt;="&amp;COUNTIFS($K$1:M$1,"&lt;&gt;"))),0)</f>
        <v>0.10801393728222998</v>
      </c>
      <c r="N297">
        <f>IFERROR($J297/IF($A297&lt;COUNTIFS($K$1:N$1,"&lt;&gt;"),0,SUMIFS($J:$J,$B:$B,$B297,$A:$A,"&gt;="&amp;COUNTIFS($K$1:N$1,"&lt;&gt;"))),0)</f>
        <v>0.11969111969111972</v>
      </c>
      <c r="O297">
        <f>IFERROR($J297/IF($A297&lt;COUNTIFS($K$1:O$1,"&lt;&gt;"),0,SUMIFS($J:$J,$B:$B,$B297,$A:$A,"&gt;="&amp;COUNTIFS($K$1:O$1,"&lt;&gt;"))),0)</f>
        <v>0.13596491228070179</v>
      </c>
      <c r="P297">
        <f>IFERROR($J297/IF($A297&lt;COUNTIFS($K$1:P$1,"&lt;&gt;"),0,SUMIFS($J:$J,$B:$B,$B297,$A:$A,"&gt;="&amp;COUNTIFS($K$1:P$1,"&lt;&gt;"))),0)</f>
        <v>0.1565656565656566</v>
      </c>
      <c r="Q297">
        <f>IFERROR($J297/IF($A297&lt;COUNTIFS($K$1:Q$1,"&lt;&gt;"),0,SUMIFS($J:$J,$B:$B,$B297,$A:$A,"&gt;="&amp;COUNTIFS($K$1:Q$1,"&lt;&gt;"))),0)</f>
        <v>0.18562874251497008</v>
      </c>
      <c r="R297">
        <f>IFERROR($J297/IF($A297&lt;COUNTIFS($K$1:R$1,"&lt;&gt;"),0,SUMIFS($J:$J,$B:$B,$B297,$A:$A,"&gt;="&amp;COUNTIFS($K$1:R$1,"&lt;&gt;"))),0)</f>
        <v>0.22627737226277375</v>
      </c>
      <c r="S297">
        <f>IFERROR($J297/IF($A297&lt;COUNTIFS($K$1:S$1,"&lt;&gt;"),0,SUMIFS($J:$J,$B:$B,$B297,$A:$A,"&gt;="&amp;COUNTIFS($K$1:S$1,"&lt;&gt;"))),0)</f>
        <v>0.29245283018867929</v>
      </c>
      <c r="T297">
        <f>IFERROR($J297/IF($A297&lt;COUNTIFS($K$1:T$1,"&lt;&gt;"),0,SUMIFS($J:$J,$B:$B,$B297,$A:$A,"&gt;="&amp;COUNTIFS($K$1:T$1,"&lt;&gt;"))),0)</f>
        <v>0</v>
      </c>
      <c r="U297">
        <f>IFERROR($J297/IF($A297&lt;COUNTIFS($K$1:U$1,"&lt;&gt;"),0,SUMIFS($J:$J,$B:$B,$B297,$A:$A,"&gt;="&amp;COUNTIFS($K$1:U$1,"&lt;&gt;"))),0)</f>
        <v>0</v>
      </c>
      <c r="V297">
        <f>IFERROR($J297/IF($A297&lt;COUNTIFS($K$1:V$1,"&lt;&gt;"),0,SUMIFS($J:$J,$B:$B,$B297,$A:$A,"&gt;="&amp;COUNTIFS($K$1:V$1,"&lt;&gt;"))),0)</f>
        <v>0</v>
      </c>
      <c r="W297">
        <f t="shared" si="112"/>
        <v>8.4931506849315067E-2</v>
      </c>
      <c r="X297">
        <f t="shared" si="92"/>
        <v>8.4931506849315067E-2</v>
      </c>
      <c r="Y297">
        <f t="shared" si="93"/>
        <v>8.4931506849315067E-2</v>
      </c>
      <c r="Z297">
        <f t="shared" si="94"/>
        <v>8.4931506849315067E-2</v>
      </c>
      <c r="AA297">
        <f t="shared" si="95"/>
        <v>8.4931506849315067E-2</v>
      </c>
      <c r="AB297">
        <f t="shared" si="96"/>
        <v>8.4931506849315067E-2</v>
      </c>
      <c r="AC297">
        <f t="shared" si="97"/>
        <v>8.4931506849315067E-2</v>
      </c>
      <c r="AD297">
        <f t="shared" si="98"/>
        <v>8.4931506849315067E-2</v>
      </c>
      <c r="AE297">
        <f t="shared" si="99"/>
        <v>8.4931506849315067E-2</v>
      </c>
      <c r="AF297">
        <f t="shared" si="100"/>
        <v>8.4931506849315067E-2</v>
      </c>
      <c r="AG297">
        <f t="shared" si="101"/>
        <v>0</v>
      </c>
      <c r="AH297">
        <f t="shared" si="102"/>
        <v>0</v>
      </c>
      <c r="AI297">
        <f t="shared" si="103"/>
        <v>0</v>
      </c>
      <c r="AJ297" s="2" t="str">
        <f t="shared" si="113"/>
        <v>944501</v>
      </c>
    </row>
    <row r="298" spans="1:36" x14ac:dyDescent="0.25">
      <c r="A298">
        <v>10</v>
      </c>
      <c r="B298" s="1">
        <v>44501</v>
      </c>
      <c r="C298" s="1">
        <f t="shared" si="104"/>
        <v>44805</v>
      </c>
      <c r="D298" s="1">
        <f t="shared" si="105"/>
        <v>44515</v>
      </c>
      <c r="E298" s="1">
        <f t="shared" si="106"/>
        <v>44805</v>
      </c>
      <c r="F298" s="1">
        <f t="shared" si="107"/>
        <v>44835</v>
      </c>
      <c r="G298" s="1">
        <f t="shared" si="108"/>
        <v>44880</v>
      </c>
      <c r="H298">
        <f t="shared" si="109"/>
        <v>365</v>
      </c>
      <c r="I298">
        <f t="shared" si="110"/>
        <v>30</v>
      </c>
      <c r="J298">
        <f t="shared" si="111"/>
        <v>8.2191780821917804E-2</v>
      </c>
      <c r="K298">
        <f>IFERROR($J298/IF($A298&lt;COUNTIFS($K$1:K$1,"&lt;&gt;"),0,SUMIFS($J:$J,$B:$B,$B298,$A:$A,"&gt;="&amp;COUNTIFS($K$1:K$1,"&lt;&gt;"))),0)</f>
        <v>8.5959885386819493E-2</v>
      </c>
      <c r="L298">
        <f>IFERROR($J298/IF($A298&lt;COUNTIFS($K$1:L$1,"&lt;&gt;"),0,SUMIFS($J:$J,$B:$B,$B298,$A:$A,"&gt;="&amp;COUNTIFS($K$1:L$1,"&lt;&gt;"))),0)</f>
        <v>9.4339622641509441E-2</v>
      </c>
      <c r="M298">
        <f>IFERROR($J298/IF($A298&lt;COUNTIFS($K$1:M$1,"&lt;&gt;"),0,SUMIFS($J:$J,$B:$B,$B298,$A:$A,"&gt;="&amp;COUNTIFS($K$1:M$1,"&lt;&gt;"))),0)</f>
        <v>0.10452961672473869</v>
      </c>
      <c r="N298">
        <f>IFERROR($J298/IF($A298&lt;COUNTIFS($K$1:N$1,"&lt;&gt;"),0,SUMIFS($J:$J,$B:$B,$B298,$A:$A,"&gt;="&amp;COUNTIFS($K$1:N$1,"&lt;&gt;"))),0)</f>
        <v>0.11583011583011585</v>
      </c>
      <c r="O298">
        <f>IFERROR($J298/IF($A298&lt;COUNTIFS($K$1:O$1,"&lt;&gt;"),0,SUMIFS($J:$J,$B:$B,$B298,$A:$A,"&gt;="&amp;COUNTIFS($K$1:O$1,"&lt;&gt;"))),0)</f>
        <v>0.13157894736842107</v>
      </c>
      <c r="P298">
        <f>IFERROR($J298/IF($A298&lt;COUNTIFS($K$1:P$1,"&lt;&gt;"),0,SUMIFS($J:$J,$B:$B,$B298,$A:$A,"&gt;="&amp;COUNTIFS($K$1:P$1,"&lt;&gt;"))),0)</f>
        <v>0.15151515151515155</v>
      </c>
      <c r="Q298">
        <f>IFERROR($J298/IF($A298&lt;COUNTIFS($K$1:Q$1,"&lt;&gt;"),0,SUMIFS($J:$J,$B:$B,$B298,$A:$A,"&gt;="&amp;COUNTIFS($K$1:Q$1,"&lt;&gt;"))),0)</f>
        <v>0.17964071856287425</v>
      </c>
      <c r="R298">
        <f>IFERROR($J298/IF($A298&lt;COUNTIFS($K$1:R$1,"&lt;&gt;"),0,SUMIFS($J:$J,$B:$B,$B298,$A:$A,"&gt;="&amp;COUNTIFS($K$1:R$1,"&lt;&gt;"))),0)</f>
        <v>0.21897810218978103</v>
      </c>
      <c r="S298">
        <f>IFERROR($J298/IF($A298&lt;COUNTIFS($K$1:S$1,"&lt;&gt;"),0,SUMIFS($J:$J,$B:$B,$B298,$A:$A,"&gt;="&amp;COUNTIFS($K$1:S$1,"&lt;&gt;"))),0)</f>
        <v>0.28301886792452829</v>
      </c>
      <c r="T298">
        <f>IFERROR($J298/IF($A298&lt;COUNTIFS($K$1:T$1,"&lt;&gt;"),0,SUMIFS($J:$J,$B:$B,$B298,$A:$A,"&gt;="&amp;COUNTIFS($K$1:T$1,"&lt;&gt;"))),0)</f>
        <v>0.4</v>
      </c>
      <c r="U298">
        <f>IFERROR($J298/IF($A298&lt;COUNTIFS($K$1:U$1,"&lt;&gt;"),0,SUMIFS($J:$J,$B:$B,$B298,$A:$A,"&gt;="&amp;COUNTIFS($K$1:U$1,"&lt;&gt;"))),0)</f>
        <v>0</v>
      </c>
      <c r="V298">
        <f>IFERROR($J298/IF($A298&lt;COUNTIFS($K$1:V$1,"&lt;&gt;"),0,SUMIFS($J:$J,$B:$B,$B298,$A:$A,"&gt;="&amp;COUNTIFS($K$1:V$1,"&lt;&gt;"))),0)</f>
        <v>0</v>
      </c>
      <c r="W298">
        <f t="shared" si="112"/>
        <v>8.2191780821917804E-2</v>
      </c>
      <c r="X298">
        <f t="shared" si="92"/>
        <v>8.2191780821917804E-2</v>
      </c>
      <c r="Y298">
        <f t="shared" si="93"/>
        <v>8.2191780821917804E-2</v>
      </c>
      <c r="Z298">
        <f t="shared" si="94"/>
        <v>8.2191780821917804E-2</v>
      </c>
      <c r="AA298">
        <f t="shared" si="95"/>
        <v>8.2191780821917804E-2</v>
      </c>
      <c r="AB298">
        <f t="shared" si="96"/>
        <v>8.2191780821917804E-2</v>
      </c>
      <c r="AC298">
        <f t="shared" si="97"/>
        <v>8.2191780821917804E-2</v>
      </c>
      <c r="AD298">
        <f t="shared" si="98"/>
        <v>8.2191780821917804E-2</v>
      </c>
      <c r="AE298">
        <f t="shared" si="99"/>
        <v>8.2191780821917804E-2</v>
      </c>
      <c r="AF298">
        <f t="shared" si="100"/>
        <v>8.2191780821917804E-2</v>
      </c>
      <c r="AG298">
        <f t="shared" si="101"/>
        <v>8.2191780821917804E-2</v>
      </c>
      <c r="AH298">
        <f t="shared" si="102"/>
        <v>0</v>
      </c>
      <c r="AI298">
        <f t="shared" si="103"/>
        <v>0</v>
      </c>
      <c r="AJ298" s="2" t="str">
        <f t="shared" si="113"/>
        <v>1044501</v>
      </c>
    </row>
    <row r="299" spans="1:36" x14ac:dyDescent="0.25">
      <c r="A299">
        <v>11</v>
      </c>
      <c r="B299" s="1">
        <v>44501</v>
      </c>
      <c r="C299" s="1">
        <f t="shared" si="104"/>
        <v>44835</v>
      </c>
      <c r="D299" s="1">
        <f t="shared" si="105"/>
        <v>44515</v>
      </c>
      <c r="E299" s="1">
        <f t="shared" si="106"/>
        <v>44835</v>
      </c>
      <c r="F299" s="1">
        <f t="shared" si="107"/>
        <v>44866</v>
      </c>
      <c r="G299" s="1">
        <f t="shared" si="108"/>
        <v>44880</v>
      </c>
      <c r="H299">
        <f t="shared" si="109"/>
        <v>365</v>
      </c>
      <c r="I299">
        <f t="shared" si="110"/>
        <v>31</v>
      </c>
      <c r="J299">
        <f t="shared" si="111"/>
        <v>8.4931506849315067E-2</v>
      </c>
      <c r="K299">
        <f>IFERROR($J299/IF($A299&lt;COUNTIFS($K$1:K$1,"&lt;&gt;"),0,SUMIFS($J:$J,$B:$B,$B299,$A:$A,"&gt;="&amp;COUNTIFS($K$1:K$1,"&lt;&gt;"))),0)</f>
        <v>8.8825214899713484E-2</v>
      </c>
      <c r="L299">
        <f>IFERROR($J299/IF($A299&lt;COUNTIFS($K$1:L$1,"&lt;&gt;"),0,SUMIFS($J:$J,$B:$B,$B299,$A:$A,"&gt;="&amp;COUNTIFS($K$1:L$1,"&lt;&gt;"))),0)</f>
        <v>9.7484276729559768E-2</v>
      </c>
      <c r="M299">
        <f>IFERROR($J299/IF($A299&lt;COUNTIFS($K$1:M$1,"&lt;&gt;"),0,SUMIFS($J:$J,$B:$B,$B299,$A:$A,"&gt;="&amp;COUNTIFS($K$1:M$1,"&lt;&gt;"))),0)</f>
        <v>0.10801393728222998</v>
      </c>
      <c r="N299">
        <f>IFERROR($J299/IF($A299&lt;COUNTIFS($K$1:N$1,"&lt;&gt;"),0,SUMIFS($J:$J,$B:$B,$B299,$A:$A,"&gt;="&amp;COUNTIFS($K$1:N$1,"&lt;&gt;"))),0)</f>
        <v>0.11969111969111972</v>
      </c>
      <c r="O299">
        <f>IFERROR($J299/IF($A299&lt;COUNTIFS($K$1:O$1,"&lt;&gt;"),0,SUMIFS($J:$J,$B:$B,$B299,$A:$A,"&gt;="&amp;COUNTIFS($K$1:O$1,"&lt;&gt;"))),0)</f>
        <v>0.13596491228070179</v>
      </c>
      <c r="P299">
        <f>IFERROR($J299/IF($A299&lt;COUNTIFS($K$1:P$1,"&lt;&gt;"),0,SUMIFS($J:$J,$B:$B,$B299,$A:$A,"&gt;="&amp;COUNTIFS($K$1:P$1,"&lt;&gt;"))),0)</f>
        <v>0.1565656565656566</v>
      </c>
      <c r="Q299">
        <f>IFERROR($J299/IF($A299&lt;COUNTIFS($K$1:Q$1,"&lt;&gt;"),0,SUMIFS($J:$J,$B:$B,$B299,$A:$A,"&gt;="&amp;COUNTIFS($K$1:Q$1,"&lt;&gt;"))),0)</f>
        <v>0.18562874251497008</v>
      </c>
      <c r="R299">
        <f>IFERROR($J299/IF($A299&lt;COUNTIFS($K$1:R$1,"&lt;&gt;"),0,SUMIFS($J:$J,$B:$B,$B299,$A:$A,"&gt;="&amp;COUNTIFS($K$1:R$1,"&lt;&gt;"))),0)</f>
        <v>0.22627737226277375</v>
      </c>
      <c r="S299">
        <f>IFERROR($J299/IF($A299&lt;COUNTIFS($K$1:S$1,"&lt;&gt;"),0,SUMIFS($J:$J,$B:$B,$B299,$A:$A,"&gt;="&amp;COUNTIFS($K$1:S$1,"&lt;&gt;"))),0)</f>
        <v>0.29245283018867929</v>
      </c>
      <c r="T299">
        <f>IFERROR($J299/IF($A299&lt;COUNTIFS($K$1:T$1,"&lt;&gt;"),0,SUMIFS($J:$J,$B:$B,$B299,$A:$A,"&gt;="&amp;COUNTIFS($K$1:T$1,"&lt;&gt;"))),0)</f>
        <v>0.41333333333333333</v>
      </c>
      <c r="U299">
        <f>IFERROR($J299/IF($A299&lt;COUNTIFS($K$1:U$1,"&lt;&gt;"),0,SUMIFS($J:$J,$B:$B,$B299,$A:$A,"&gt;="&amp;COUNTIFS($K$1:U$1,"&lt;&gt;"))),0)</f>
        <v>0.68888888888888888</v>
      </c>
      <c r="V299">
        <f>IFERROR($J299/IF($A299&lt;COUNTIFS($K$1:V$1,"&lt;&gt;"),0,SUMIFS($J:$J,$B:$B,$B299,$A:$A,"&gt;="&amp;COUNTIFS($K$1:V$1,"&lt;&gt;"))),0)</f>
        <v>0</v>
      </c>
      <c r="W299">
        <f t="shared" si="112"/>
        <v>8.4931506849315067E-2</v>
      </c>
      <c r="X299">
        <f t="shared" si="92"/>
        <v>8.4931506849315067E-2</v>
      </c>
      <c r="Y299">
        <f t="shared" si="93"/>
        <v>8.4931506849315067E-2</v>
      </c>
      <c r="Z299">
        <f t="shared" si="94"/>
        <v>8.4931506849315067E-2</v>
      </c>
      <c r="AA299">
        <f t="shared" si="95"/>
        <v>8.4931506849315067E-2</v>
      </c>
      <c r="AB299">
        <f t="shared" si="96"/>
        <v>8.4931506849315067E-2</v>
      </c>
      <c r="AC299">
        <f t="shared" si="97"/>
        <v>8.4931506849315067E-2</v>
      </c>
      <c r="AD299">
        <f t="shared" si="98"/>
        <v>8.4931506849315067E-2</v>
      </c>
      <c r="AE299">
        <f t="shared" si="99"/>
        <v>8.4931506849315067E-2</v>
      </c>
      <c r="AF299">
        <f t="shared" si="100"/>
        <v>8.4931506849315067E-2</v>
      </c>
      <c r="AG299">
        <f t="shared" si="101"/>
        <v>8.4931506849315067E-2</v>
      </c>
      <c r="AH299">
        <f t="shared" si="102"/>
        <v>8.4931506849315067E-2</v>
      </c>
      <c r="AI299">
        <f t="shared" si="103"/>
        <v>0</v>
      </c>
      <c r="AJ299" s="2" t="str">
        <f t="shared" si="113"/>
        <v>1144501</v>
      </c>
    </row>
    <row r="300" spans="1:36" x14ac:dyDescent="0.25">
      <c r="A300">
        <v>12</v>
      </c>
      <c r="B300" s="1">
        <v>44501</v>
      </c>
      <c r="C300" s="1">
        <f t="shared" si="104"/>
        <v>44866</v>
      </c>
      <c r="D300" s="1">
        <f t="shared" si="105"/>
        <v>44515</v>
      </c>
      <c r="E300" s="1">
        <f t="shared" si="106"/>
        <v>44866</v>
      </c>
      <c r="F300" s="1">
        <f t="shared" si="107"/>
        <v>44880</v>
      </c>
      <c r="G300" s="1">
        <f t="shared" si="108"/>
        <v>44880</v>
      </c>
      <c r="H300">
        <f t="shared" si="109"/>
        <v>365</v>
      </c>
      <c r="I300">
        <f t="shared" si="110"/>
        <v>14</v>
      </c>
      <c r="J300">
        <f t="shared" si="111"/>
        <v>3.8356164383561646E-2</v>
      </c>
      <c r="K300">
        <f>IFERROR($J300/IF($A300&lt;COUNTIFS($K$1:K$1,"&lt;&gt;"),0,SUMIFS($J:$J,$B:$B,$B300,$A:$A,"&gt;="&amp;COUNTIFS($K$1:K$1,"&lt;&gt;"))),0)</f>
        <v>4.0114613180515769E-2</v>
      </c>
      <c r="L300">
        <f>IFERROR($J300/IF($A300&lt;COUNTIFS($K$1:L$1,"&lt;&gt;"),0,SUMIFS($J:$J,$B:$B,$B300,$A:$A,"&gt;="&amp;COUNTIFS($K$1:L$1,"&lt;&gt;"))),0)</f>
        <v>4.4025157232704414E-2</v>
      </c>
      <c r="M300">
        <f>IFERROR($J300/IF($A300&lt;COUNTIFS($K$1:M$1,"&lt;&gt;"),0,SUMIFS($J:$J,$B:$B,$B300,$A:$A,"&gt;="&amp;COUNTIFS($K$1:M$1,"&lt;&gt;"))),0)</f>
        <v>4.8780487804878057E-2</v>
      </c>
      <c r="N300">
        <f>IFERROR($J300/IF($A300&lt;COUNTIFS($K$1:N$1,"&lt;&gt;"),0,SUMIFS($J:$J,$B:$B,$B300,$A:$A,"&gt;="&amp;COUNTIFS($K$1:N$1,"&lt;&gt;"))),0)</f>
        <v>5.4054054054054071E-2</v>
      </c>
      <c r="O300">
        <f>IFERROR($J300/IF($A300&lt;COUNTIFS($K$1:O$1,"&lt;&gt;"),0,SUMIFS($J:$J,$B:$B,$B300,$A:$A,"&gt;="&amp;COUNTIFS($K$1:O$1,"&lt;&gt;"))),0)</f>
        <v>6.1403508771929842E-2</v>
      </c>
      <c r="P300">
        <f>IFERROR($J300/IF($A300&lt;COUNTIFS($K$1:P$1,"&lt;&gt;"),0,SUMIFS($J:$J,$B:$B,$B300,$A:$A,"&gt;="&amp;COUNTIFS($K$1:P$1,"&lt;&gt;"))),0)</f>
        <v>7.0707070707070732E-2</v>
      </c>
      <c r="Q300">
        <f>IFERROR($J300/IF($A300&lt;COUNTIFS($K$1:Q$1,"&lt;&gt;"),0,SUMIFS($J:$J,$B:$B,$B300,$A:$A,"&gt;="&amp;COUNTIFS($K$1:Q$1,"&lt;&gt;"))),0)</f>
        <v>8.3832335329341326E-2</v>
      </c>
      <c r="R300">
        <f>IFERROR($J300/IF($A300&lt;COUNTIFS($K$1:R$1,"&lt;&gt;"),0,SUMIFS($J:$J,$B:$B,$B300,$A:$A,"&gt;="&amp;COUNTIFS($K$1:R$1,"&lt;&gt;"))),0)</f>
        <v>0.10218978102189782</v>
      </c>
      <c r="S300">
        <f>IFERROR($J300/IF($A300&lt;COUNTIFS($K$1:S$1,"&lt;&gt;"),0,SUMIFS($J:$J,$B:$B,$B300,$A:$A,"&gt;="&amp;COUNTIFS($K$1:S$1,"&lt;&gt;"))),0)</f>
        <v>0.13207547169811323</v>
      </c>
      <c r="T300">
        <f>IFERROR($J300/IF($A300&lt;COUNTIFS($K$1:T$1,"&lt;&gt;"),0,SUMIFS($J:$J,$B:$B,$B300,$A:$A,"&gt;="&amp;COUNTIFS($K$1:T$1,"&lt;&gt;"))),0)</f>
        <v>0.18666666666666668</v>
      </c>
      <c r="U300">
        <f>IFERROR($J300/IF($A300&lt;COUNTIFS($K$1:U$1,"&lt;&gt;"),0,SUMIFS($J:$J,$B:$B,$B300,$A:$A,"&gt;="&amp;COUNTIFS($K$1:U$1,"&lt;&gt;"))),0)</f>
        <v>0.31111111111111117</v>
      </c>
      <c r="V300">
        <f>IFERROR($J300/IF($A300&lt;COUNTIFS($K$1:V$1,"&lt;&gt;"),0,SUMIFS($J:$J,$B:$B,$B300,$A:$A,"&gt;="&amp;COUNTIFS($K$1:V$1,"&lt;&gt;"))),0)</f>
        <v>1</v>
      </c>
      <c r="W300">
        <f t="shared" si="112"/>
        <v>3.8356164383561646E-2</v>
      </c>
      <c r="X300">
        <f t="shared" si="92"/>
        <v>3.8356164383561646E-2</v>
      </c>
      <c r="Y300">
        <f t="shared" si="93"/>
        <v>3.8356164383561646E-2</v>
      </c>
      <c r="Z300">
        <f t="shared" si="94"/>
        <v>3.8356164383561646E-2</v>
      </c>
      <c r="AA300">
        <f t="shared" si="95"/>
        <v>3.8356164383561646E-2</v>
      </c>
      <c r="AB300">
        <f t="shared" si="96"/>
        <v>3.8356164383561646E-2</v>
      </c>
      <c r="AC300">
        <f t="shared" si="97"/>
        <v>3.8356164383561646E-2</v>
      </c>
      <c r="AD300">
        <f t="shared" si="98"/>
        <v>3.8356164383561646E-2</v>
      </c>
      <c r="AE300">
        <f t="shared" si="99"/>
        <v>3.8356164383561646E-2</v>
      </c>
      <c r="AF300">
        <f t="shared" si="100"/>
        <v>3.8356164383561646E-2</v>
      </c>
      <c r="AG300">
        <f t="shared" si="101"/>
        <v>3.8356164383561646E-2</v>
      </c>
      <c r="AH300">
        <f t="shared" si="102"/>
        <v>3.8356164383561646E-2</v>
      </c>
      <c r="AI300">
        <f t="shared" si="103"/>
        <v>3.8356164383561646E-2</v>
      </c>
      <c r="AJ300" s="2" t="str">
        <f t="shared" si="113"/>
        <v>1244501</v>
      </c>
    </row>
    <row r="301" spans="1:36" x14ac:dyDescent="0.25">
      <c r="A301">
        <v>0</v>
      </c>
      <c r="B301" s="1">
        <v>44531</v>
      </c>
      <c r="C301" s="1">
        <f t="shared" si="104"/>
        <v>44531</v>
      </c>
      <c r="D301" s="1">
        <f t="shared" si="105"/>
        <v>44545</v>
      </c>
      <c r="E301" s="1">
        <f t="shared" si="106"/>
        <v>44545</v>
      </c>
      <c r="F301" s="1">
        <f t="shared" si="107"/>
        <v>44562</v>
      </c>
      <c r="G301" s="1">
        <f t="shared" si="108"/>
        <v>44910</v>
      </c>
      <c r="H301">
        <f t="shared" si="109"/>
        <v>365</v>
      </c>
      <c r="I301">
        <f t="shared" si="110"/>
        <v>17</v>
      </c>
      <c r="J301">
        <f t="shared" si="111"/>
        <v>4.6575342465753428E-2</v>
      </c>
      <c r="K301">
        <f>IFERROR($J301/IF($A301&lt;COUNTIFS($K$1:K$1,"&lt;&gt;"),0,SUMIFS($J:$J,$B:$B,$B301,$A:$A,"&gt;="&amp;COUNTIFS($K$1:K$1,"&lt;&gt;"))),0)</f>
        <v>0</v>
      </c>
      <c r="L301">
        <f>IFERROR($J301/IF($A301&lt;COUNTIFS($K$1:L$1,"&lt;&gt;"),0,SUMIFS($J:$J,$B:$B,$B301,$A:$A,"&gt;="&amp;COUNTIFS($K$1:L$1,"&lt;&gt;"))),0)</f>
        <v>0</v>
      </c>
      <c r="M301">
        <f>IFERROR($J301/IF($A301&lt;COUNTIFS($K$1:M$1,"&lt;&gt;"),0,SUMIFS($J:$J,$B:$B,$B301,$A:$A,"&gt;="&amp;COUNTIFS($K$1:M$1,"&lt;&gt;"))),0)</f>
        <v>0</v>
      </c>
      <c r="N301">
        <f>IFERROR($J301/IF($A301&lt;COUNTIFS($K$1:N$1,"&lt;&gt;"),0,SUMIFS($J:$J,$B:$B,$B301,$A:$A,"&gt;="&amp;COUNTIFS($K$1:N$1,"&lt;&gt;"))),0)</f>
        <v>0</v>
      </c>
      <c r="O301">
        <f>IFERROR($J301/IF($A301&lt;COUNTIFS($K$1:O$1,"&lt;&gt;"),0,SUMIFS($J:$J,$B:$B,$B301,$A:$A,"&gt;="&amp;COUNTIFS($K$1:O$1,"&lt;&gt;"))),0)</f>
        <v>0</v>
      </c>
      <c r="P301">
        <f>IFERROR($J301/IF($A301&lt;COUNTIFS($K$1:P$1,"&lt;&gt;"),0,SUMIFS($J:$J,$B:$B,$B301,$A:$A,"&gt;="&amp;COUNTIFS($K$1:P$1,"&lt;&gt;"))),0)</f>
        <v>0</v>
      </c>
      <c r="Q301">
        <f>IFERROR($J301/IF($A301&lt;COUNTIFS($K$1:Q$1,"&lt;&gt;"),0,SUMIFS($J:$J,$B:$B,$B301,$A:$A,"&gt;="&amp;COUNTIFS($K$1:Q$1,"&lt;&gt;"))),0)</f>
        <v>0</v>
      </c>
      <c r="R301">
        <f>IFERROR($J301/IF($A301&lt;COUNTIFS($K$1:R$1,"&lt;&gt;"),0,SUMIFS($J:$J,$B:$B,$B301,$A:$A,"&gt;="&amp;COUNTIFS($K$1:R$1,"&lt;&gt;"))),0)</f>
        <v>0</v>
      </c>
      <c r="S301">
        <f>IFERROR($J301/IF($A301&lt;COUNTIFS($K$1:S$1,"&lt;&gt;"),0,SUMIFS($J:$J,$B:$B,$B301,$A:$A,"&gt;="&amp;COUNTIFS($K$1:S$1,"&lt;&gt;"))),0)</f>
        <v>0</v>
      </c>
      <c r="T301">
        <f>IFERROR($J301/IF($A301&lt;COUNTIFS($K$1:T$1,"&lt;&gt;"),0,SUMIFS($J:$J,$B:$B,$B301,$A:$A,"&gt;="&amp;COUNTIFS($K$1:T$1,"&lt;&gt;"))),0)</f>
        <v>0</v>
      </c>
      <c r="U301">
        <f>IFERROR($J301/IF($A301&lt;COUNTIFS($K$1:U$1,"&lt;&gt;"),0,SUMIFS($J:$J,$B:$B,$B301,$A:$A,"&gt;="&amp;COUNTIFS($K$1:U$1,"&lt;&gt;"))),0)</f>
        <v>0</v>
      </c>
      <c r="V301">
        <f>IFERROR($J301/IF($A301&lt;COUNTIFS($K$1:V$1,"&lt;&gt;"),0,SUMIFS($J:$J,$B:$B,$B301,$A:$A,"&gt;="&amp;COUNTIFS($K$1:V$1,"&lt;&gt;"))),0)</f>
        <v>0</v>
      </c>
      <c r="W301">
        <f t="shared" si="112"/>
        <v>4.6575342465753428E-2</v>
      </c>
      <c r="X301">
        <f t="shared" si="92"/>
        <v>0</v>
      </c>
      <c r="Y301">
        <f t="shared" si="93"/>
        <v>0</v>
      </c>
      <c r="Z301">
        <f t="shared" si="94"/>
        <v>0</v>
      </c>
      <c r="AA301">
        <f t="shared" si="95"/>
        <v>0</v>
      </c>
      <c r="AB301">
        <f t="shared" si="96"/>
        <v>0</v>
      </c>
      <c r="AC301">
        <f t="shared" si="97"/>
        <v>0</v>
      </c>
      <c r="AD301">
        <f t="shared" si="98"/>
        <v>0</v>
      </c>
      <c r="AE301">
        <f t="shared" si="99"/>
        <v>0</v>
      </c>
      <c r="AF301">
        <f t="shared" si="100"/>
        <v>0</v>
      </c>
      <c r="AG301">
        <f t="shared" si="101"/>
        <v>0</v>
      </c>
      <c r="AH301">
        <f t="shared" si="102"/>
        <v>0</v>
      </c>
      <c r="AI301">
        <f t="shared" si="103"/>
        <v>0</v>
      </c>
      <c r="AJ301" s="2" t="str">
        <f t="shared" si="113"/>
        <v>044531</v>
      </c>
    </row>
    <row r="302" spans="1:36" x14ac:dyDescent="0.25">
      <c r="A302">
        <v>1</v>
      </c>
      <c r="B302" s="1">
        <v>44531</v>
      </c>
      <c r="C302" s="1">
        <f t="shared" si="104"/>
        <v>44562</v>
      </c>
      <c r="D302" s="1">
        <f t="shared" si="105"/>
        <v>44545</v>
      </c>
      <c r="E302" s="1">
        <f t="shared" si="106"/>
        <v>44562</v>
      </c>
      <c r="F302" s="1">
        <f t="shared" si="107"/>
        <v>44593</v>
      </c>
      <c r="G302" s="1">
        <f t="shared" si="108"/>
        <v>44910</v>
      </c>
      <c r="H302">
        <f t="shared" si="109"/>
        <v>365</v>
      </c>
      <c r="I302">
        <f t="shared" si="110"/>
        <v>31</v>
      </c>
      <c r="J302">
        <f t="shared" si="111"/>
        <v>8.4931506849315067E-2</v>
      </c>
      <c r="K302">
        <f>IFERROR($J302/IF($A302&lt;COUNTIFS($K$1:K$1,"&lt;&gt;"),0,SUMIFS($J:$J,$B:$B,$B302,$A:$A,"&gt;="&amp;COUNTIFS($K$1:K$1,"&lt;&gt;"))),0)</f>
        <v>8.9080459770114959E-2</v>
      </c>
      <c r="L302">
        <f>IFERROR($J302/IF($A302&lt;COUNTIFS($K$1:L$1,"&lt;&gt;"),0,SUMIFS($J:$J,$B:$B,$B302,$A:$A,"&gt;="&amp;COUNTIFS($K$1:L$1,"&lt;&gt;"))),0)</f>
        <v>0</v>
      </c>
      <c r="M302">
        <f>IFERROR($J302/IF($A302&lt;COUNTIFS($K$1:M$1,"&lt;&gt;"),0,SUMIFS($J:$J,$B:$B,$B302,$A:$A,"&gt;="&amp;COUNTIFS($K$1:M$1,"&lt;&gt;"))),0)</f>
        <v>0</v>
      </c>
      <c r="N302">
        <f>IFERROR($J302/IF($A302&lt;COUNTIFS($K$1:N$1,"&lt;&gt;"),0,SUMIFS($J:$J,$B:$B,$B302,$A:$A,"&gt;="&amp;COUNTIFS($K$1:N$1,"&lt;&gt;"))),0)</f>
        <v>0</v>
      </c>
      <c r="O302">
        <f>IFERROR($J302/IF($A302&lt;COUNTIFS($K$1:O$1,"&lt;&gt;"),0,SUMIFS($J:$J,$B:$B,$B302,$A:$A,"&gt;="&amp;COUNTIFS($K$1:O$1,"&lt;&gt;"))),0)</f>
        <v>0</v>
      </c>
      <c r="P302">
        <f>IFERROR($J302/IF($A302&lt;COUNTIFS($K$1:P$1,"&lt;&gt;"),0,SUMIFS($J:$J,$B:$B,$B302,$A:$A,"&gt;="&amp;COUNTIFS($K$1:P$1,"&lt;&gt;"))),0)</f>
        <v>0</v>
      </c>
      <c r="Q302">
        <f>IFERROR($J302/IF($A302&lt;COUNTIFS($K$1:Q$1,"&lt;&gt;"),0,SUMIFS($J:$J,$B:$B,$B302,$A:$A,"&gt;="&amp;COUNTIFS($K$1:Q$1,"&lt;&gt;"))),0)</f>
        <v>0</v>
      </c>
      <c r="R302">
        <f>IFERROR($J302/IF($A302&lt;COUNTIFS($K$1:R$1,"&lt;&gt;"),0,SUMIFS($J:$J,$B:$B,$B302,$A:$A,"&gt;="&amp;COUNTIFS($K$1:R$1,"&lt;&gt;"))),0)</f>
        <v>0</v>
      </c>
      <c r="S302">
        <f>IFERROR($J302/IF($A302&lt;COUNTIFS($K$1:S$1,"&lt;&gt;"),0,SUMIFS($J:$J,$B:$B,$B302,$A:$A,"&gt;="&amp;COUNTIFS($K$1:S$1,"&lt;&gt;"))),0)</f>
        <v>0</v>
      </c>
      <c r="T302">
        <f>IFERROR($J302/IF($A302&lt;COUNTIFS($K$1:T$1,"&lt;&gt;"),0,SUMIFS($J:$J,$B:$B,$B302,$A:$A,"&gt;="&amp;COUNTIFS($K$1:T$1,"&lt;&gt;"))),0)</f>
        <v>0</v>
      </c>
      <c r="U302">
        <f>IFERROR($J302/IF($A302&lt;COUNTIFS($K$1:U$1,"&lt;&gt;"),0,SUMIFS($J:$J,$B:$B,$B302,$A:$A,"&gt;="&amp;COUNTIFS($K$1:U$1,"&lt;&gt;"))),0)</f>
        <v>0</v>
      </c>
      <c r="V302">
        <f>IFERROR($J302/IF($A302&lt;COUNTIFS($K$1:V$1,"&lt;&gt;"),0,SUMIFS($J:$J,$B:$B,$B302,$A:$A,"&gt;="&amp;COUNTIFS($K$1:V$1,"&lt;&gt;"))),0)</f>
        <v>0</v>
      </c>
      <c r="W302">
        <f t="shared" si="112"/>
        <v>8.4931506849315067E-2</v>
      </c>
      <c r="X302">
        <f t="shared" si="92"/>
        <v>8.4931506849315067E-2</v>
      </c>
      <c r="Y302">
        <f t="shared" si="93"/>
        <v>0</v>
      </c>
      <c r="Z302">
        <f t="shared" si="94"/>
        <v>0</v>
      </c>
      <c r="AA302">
        <f t="shared" si="95"/>
        <v>0</v>
      </c>
      <c r="AB302">
        <f t="shared" si="96"/>
        <v>0</v>
      </c>
      <c r="AC302">
        <f t="shared" si="97"/>
        <v>0</v>
      </c>
      <c r="AD302">
        <f t="shared" si="98"/>
        <v>0</v>
      </c>
      <c r="AE302">
        <f t="shared" si="99"/>
        <v>0</v>
      </c>
      <c r="AF302">
        <f t="shared" si="100"/>
        <v>0</v>
      </c>
      <c r="AG302">
        <f t="shared" si="101"/>
        <v>0</v>
      </c>
      <c r="AH302">
        <f t="shared" si="102"/>
        <v>0</v>
      </c>
      <c r="AI302">
        <f t="shared" si="103"/>
        <v>0</v>
      </c>
      <c r="AJ302" s="2" t="str">
        <f t="shared" si="113"/>
        <v>144531</v>
      </c>
    </row>
    <row r="303" spans="1:36" x14ac:dyDescent="0.25">
      <c r="A303">
        <v>2</v>
      </c>
      <c r="B303" s="1">
        <v>44531</v>
      </c>
      <c r="C303" s="1">
        <f t="shared" si="104"/>
        <v>44593</v>
      </c>
      <c r="D303" s="1">
        <f t="shared" si="105"/>
        <v>44545</v>
      </c>
      <c r="E303" s="1">
        <f t="shared" si="106"/>
        <v>44593</v>
      </c>
      <c r="F303" s="1">
        <f t="shared" si="107"/>
        <v>44621</v>
      </c>
      <c r="G303" s="1">
        <f t="shared" si="108"/>
        <v>44910</v>
      </c>
      <c r="H303">
        <f t="shared" si="109"/>
        <v>365</v>
      </c>
      <c r="I303">
        <f t="shared" si="110"/>
        <v>28</v>
      </c>
      <c r="J303">
        <f t="shared" si="111"/>
        <v>7.6712328767123292E-2</v>
      </c>
      <c r="K303">
        <f>IFERROR($J303/IF($A303&lt;COUNTIFS($K$1:K$1,"&lt;&gt;"),0,SUMIFS($J:$J,$B:$B,$B303,$A:$A,"&gt;="&amp;COUNTIFS($K$1:K$1,"&lt;&gt;"))),0)</f>
        <v>8.0459770114942541E-2</v>
      </c>
      <c r="L303">
        <f>IFERROR($J303/IF($A303&lt;COUNTIFS($K$1:L$1,"&lt;&gt;"),0,SUMIFS($J:$J,$B:$B,$B303,$A:$A,"&gt;="&amp;COUNTIFS($K$1:L$1,"&lt;&gt;"))),0)</f>
        <v>8.83280757097792E-2</v>
      </c>
      <c r="M303">
        <f>IFERROR($J303/IF($A303&lt;COUNTIFS($K$1:M$1,"&lt;&gt;"),0,SUMIFS($J:$J,$B:$B,$B303,$A:$A,"&gt;="&amp;COUNTIFS($K$1:M$1,"&lt;&gt;"))),0)</f>
        <v>0</v>
      </c>
      <c r="N303">
        <f>IFERROR($J303/IF($A303&lt;COUNTIFS($K$1:N$1,"&lt;&gt;"),0,SUMIFS($J:$J,$B:$B,$B303,$A:$A,"&gt;="&amp;COUNTIFS($K$1:N$1,"&lt;&gt;"))),0)</f>
        <v>0</v>
      </c>
      <c r="O303">
        <f>IFERROR($J303/IF($A303&lt;COUNTIFS($K$1:O$1,"&lt;&gt;"),0,SUMIFS($J:$J,$B:$B,$B303,$A:$A,"&gt;="&amp;COUNTIFS($K$1:O$1,"&lt;&gt;"))),0)</f>
        <v>0</v>
      </c>
      <c r="P303">
        <f>IFERROR($J303/IF($A303&lt;COUNTIFS($K$1:P$1,"&lt;&gt;"),0,SUMIFS($J:$J,$B:$B,$B303,$A:$A,"&gt;="&amp;COUNTIFS($K$1:P$1,"&lt;&gt;"))),0)</f>
        <v>0</v>
      </c>
      <c r="Q303">
        <f>IFERROR($J303/IF($A303&lt;COUNTIFS($K$1:Q$1,"&lt;&gt;"),0,SUMIFS($J:$J,$B:$B,$B303,$A:$A,"&gt;="&amp;COUNTIFS($K$1:Q$1,"&lt;&gt;"))),0)</f>
        <v>0</v>
      </c>
      <c r="R303">
        <f>IFERROR($J303/IF($A303&lt;COUNTIFS($K$1:R$1,"&lt;&gt;"),0,SUMIFS($J:$J,$B:$B,$B303,$A:$A,"&gt;="&amp;COUNTIFS($K$1:R$1,"&lt;&gt;"))),0)</f>
        <v>0</v>
      </c>
      <c r="S303">
        <f>IFERROR($J303/IF($A303&lt;COUNTIFS($K$1:S$1,"&lt;&gt;"),0,SUMIFS($J:$J,$B:$B,$B303,$A:$A,"&gt;="&amp;COUNTIFS($K$1:S$1,"&lt;&gt;"))),0)</f>
        <v>0</v>
      </c>
      <c r="T303">
        <f>IFERROR($J303/IF($A303&lt;COUNTIFS($K$1:T$1,"&lt;&gt;"),0,SUMIFS($J:$J,$B:$B,$B303,$A:$A,"&gt;="&amp;COUNTIFS($K$1:T$1,"&lt;&gt;"))),0)</f>
        <v>0</v>
      </c>
      <c r="U303">
        <f>IFERROR($J303/IF($A303&lt;COUNTIFS($K$1:U$1,"&lt;&gt;"),0,SUMIFS($J:$J,$B:$B,$B303,$A:$A,"&gt;="&amp;COUNTIFS($K$1:U$1,"&lt;&gt;"))),0)</f>
        <v>0</v>
      </c>
      <c r="V303">
        <f>IFERROR($J303/IF($A303&lt;COUNTIFS($K$1:V$1,"&lt;&gt;"),0,SUMIFS($J:$J,$B:$B,$B303,$A:$A,"&gt;="&amp;COUNTIFS($K$1:V$1,"&lt;&gt;"))),0)</f>
        <v>0</v>
      </c>
      <c r="W303">
        <f t="shared" si="112"/>
        <v>7.6712328767123292E-2</v>
      </c>
      <c r="X303">
        <f t="shared" si="92"/>
        <v>7.6712328767123292E-2</v>
      </c>
      <c r="Y303">
        <f t="shared" si="93"/>
        <v>7.6712328767123292E-2</v>
      </c>
      <c r="Z303">
        <f t="shared" si="94"/>
        <v>0</v>
      </c>
      <c r="AA303">
        <f t="shared" si="95"/>
        <v>0</v>
      </c>
      <c r="AB303">
        <f t="shared" si="96"/>
        <v>0</v>
      </c>
      <c r="AC303">
        <f t="shared" si="97"/>
        <v>0</v>
      </c>
      <c r="AD303">
        <f t="shared" si="98"/>
        <v>0</v>
      </c>
      <c r="AE303">
        <f t="shared" si="99"/>
        <v>0</v>
      </c>
      <c r="AF303">
        <f t="shared" si="100"/>
        <v>0</v>
      </c>
      <c r="AG303">
        <f t="shared" si="101"/>
        <v>0</v>
      </c>
      <c r="AH303">
        <f t="shared" si="102"/>
        <v>0</v>
      </c>
      <c r="AI303">
        <f t="shared" si="103"/>
        <v>0</v>
      </c>
      <c r="AJ303" s="2" t="str">
        <f t="shared" si="113"/>
        <v>244531</v>
      </c>
    </row>
    <row r="304" spans="1:36" x14ac:dyDescent="0.25">
      <c r="A304">
        <v>3</v>
      </c>
      <c r="B304" s="1">
        <v>44531</v>
      </c>
      <c r="C304" s="1">
        <f t="shared" si="104"/>
        <v>44621</v>
      </c>
      <c r="D304" s="1">
        <f t="shared" si="105"/>
        <v>44545</v>
      </c>
      <c r="E304" s="1">
        <f t="shared" si="106"/>
        <v>44621</v>
      </c>
      <c r="F304" s="1">
        <f t="shared" si="107"/>
        <v>44652</v>
      </c>
      <c r="G304" s="1">
        <f t="shared" si="108"/>
        <v>44910</v>
      </c>
      <c r="H304">
        <f t="shared" si="109"/>
        <v>365</v>
      </c>
      <c r="I304">
        <f t="shared" si="110"/>
        <v>31</v>
      </c>
      <c r="J304">
        <f t="shared" si="111"/>
        <v>8.4931506849315067E-2</v>
      </c>
      <c r="K304">
        <f>IFERROR($J304/IF($A304&lt;COUNTIFS($K$1:K$1,"&lt;&gt;"),0,SUMIFS($J:$J,$B:$B,$B304,$A:$A,"&gt;="&amp;COUNTIFS($K$1:K$1,"&lt;&gt;"))),0)</f>
        <v>8.9080459770114959E-2</v>
      </c>
      <c r="L304">
        <f>IFERROR($J304/IF($A304&lt;COUNTIFS($K$1:L$1,"&lt;&gt;"),0,SUMIFS($J:$J,$B:$B,$B304,$A:$A,"&gt;="&amp;COUNTIFS($K$1:L$1,"&lt;&gt;"))),0)</f>
        <v>9.7791798107255537E-2</v>
      </c>
      <c r="M304">
        <f>IFERROR($J304/IF($A304&lt;COUNTIFS($K$1:M$1,"&lt;&gt;"),0,SUMIFS($J:$J,$B:$B,$B304,$A:$A,"&gt;="&amp;COUNTIFS($K$1:M$1,"&lt;&gt;"))),0)</f>
        <v>0.10726643598615919</v>
      </c>
      <c r="N304">
        <f>IFERROR($J304/IF($A304&lt;COUNTIFS($K$1:N$1,"&lt;&gt;"),0,SUMIFS($J:$J,$B:$B,$B304,$A:$A,"&gt;="&amp;COUNTIFS($K$1:N$1,"&lt;&gt;"))),0)</f>
        <v>0</v>
      </c>
      <c r="O304">
        <f>IFERROR($J304/IF($A304&lt;COUNTIFS($K$1:O$1,"&lt;&gt;"),0,SUMIFS($J:$J,$B:$B,$B304,$A:$A,"&gt;="&amp;COUNTIFS($K$1:O$1,"&lt;&gt;"))),0)</f>
        <v>0</v>
      </c>
      <c r="P304">
        <f>IFERROR($J304/IF($A304&lt;COUNTIFS($K$1:P$1,"&lt;&gt;"),0,SUMIFS($J:$J,$B:$B,$B304,$A:$A,"&gt;="&amp;COUNTIFS($K$1:P$1,"&lt;&gt;"))),0)</f>
        <v>0</v>
      </c>
      <c r="Q304">
        <f>IFERROR($J304/IF($A304&lt;COUNTIFS($K$1:Q$1,"&lt;&gt;"),0,SUMIFS($J:$J,$B:$B,$B304,$A:$A,"&gt;="&amp;COUNTIFS($K$1:Q$1,"&lt;&gt;"))),0)</f>
        <v>0</v>
      </c>
      <c r="R304">
        <f>IFERROR($J304/IF($A304&lt;COUNTIFS($K$1:R$1,"&lt;&gt;"),0,SUMIFS($J:$J,$B:$B,$B304,$A:$A,"&gt;="&amp;COUNTIFS($K$1:R$1,"&lt;&gt;"))),0)</f>
        <v>0</v>
      </c>
      <c r="S304">
        <f>IFERROR($J304/IF($A304&lt;COUNTIFS($K$1:S$1,"&lt;&gt;"),0,SUMIFS($J:$J,$B:$B,$B304,$A:$A,"&gt;="&amp;COUNTIFS($K$1:S$1,"&lt;&gt;"))),0)</f>
        <v>0</v>
      </c>
      <c r="T304">
        <f>IFERROR($J304/IF($A304&lt;COUNTIFS($K$1:T$1,"&lt;&gt;"),0,SUMIFS($J:$J,$B:$B,$B304,$A:$A,"&gt;="&amp;COUNTIFS($K$1:T$1,"&lt;&gt;"))),0)</f>
        <v>0</v>
      </c>
      <c r="U304">
        <f>IFERROR($J304/IF($A304&lt;COUNTIFS($K$1:U$1,"&lt;&gt;"),0,SUMIFS($J:$J,$B:$B,$B304,$A:$A,"&gt;="&amp;COUNTIFS($K$1:U$1,"&lt;&gt;"))),0)</f>
        <v>0</v>
      </c>
      <c r="V304">
        <f>IFERROR($J304/IF($A304&lt;COUNTIFS($K$1:V$1,"&lt;&gt;"),0,SUMIFS($J:$J,$B:$B,$B304,$A:$A,"&gt;="&amp;COUNTIFS($K$1:V$1,"&lt;&gt;"))),0)</f>
        <v>0</v>
      </c>
      <c r="W304">
        <f t="shared" si="112"/>
        <v>8.4931506849315067E-2</v>
      </c>
      <c r="X304">
        <f t="shared" si="92"/>
        <v>8.4931506849315067E-2</v>
      </c>
      <c r="Y304">
        <f t="shared" si="93"/>
        <v>8.4931506849315067E-2</v>
      </c>
      <c r="Z304">
        <f t="shared" si="94"/>
        <v>8.4931506849315067E-2</v>
      </c>
      <c r="AA304">
        <f t="shared" si="95"/>
        <v>0</v>
      </c>
      <c r="AB304">
        <f t="shared" si="96"/>
        <v>0</v>
      </c>
      <c r="AC304">
        <f t="shared" si="97"/>
        <v>0</v>
      </c>
      <c r="AD304">
        <f t="shared" si="98"/>
        <v>0</v>
      </c>
      <c r="AE304">
        <f t="shared" si="99"/>
        <v>0</v>
      </c>
      <c r="AF304">
        <f t="shared" si="100"/>
        <v>0</v>
      </c>
      <c r="AG304">
        <f t="shared" si="101"/>
        <v>0</v>
      </c>
      <c r="AH304">
        <f t="shared" si="102"/>
        <v>0</v>
      </c>
      <c r="AI304">
        <f t="shared" si="103"/>
        <v>0</v>
      </c>
      <c r="AJ304" s="2" t="str">
        <f t="shared" si="113"/>
        <v>344531</v>
      </c>
    </row>
    <row r="305" spans="1:36" x14ac:dyDescent="0.25">
      <c r="A305">
        <v>4</v>
      </c>
      <c r="B305" s="1">
        <v>44531</v>
      </c>
      <c r="C305" s="1">
        <f t="shared" si="104"/>
        <v>44652</v>
      </c>
      <c r="D305" s="1">
        <f t="shared" si="105"/>
        <v>44545</v>
      </c>
      <c r="E305" s="1">
        <f t="shared" si="106"/>
        <v>44652</v>
      </c>
      <c r="F305" s="1">
        <f t="shared" si="107"/>
        <v>44682</v>
      </c>
      <c r="G305" s="1">
        <f t="shared" si="108"/>
        <v>44910</v>
      </c>
      <c r="H305">
        <f t="shared" si="109"/>
        <v>365</v>
      </c>
      <c r="I305">
        <f t="shared" si="110"/>
        <v>30</v>
      </c>
      <c r="J305">
        <f t="shared" si="111"/>
        <v>8.2191780821917804E-2</v>
      </c>
      <c r="K305">
        <f>IFERROR($J305/IF($A305&lt;COUNTIFS($K$1:K$1,"&lt;&gt;"),0,SUMIFS($J:$J,$B:$B,$B305,$A:$A,"&gt;="&amp;COUNTIFS($K$1:K$1,"&lt;&gt;"))),0)</f>
        <v>8.6206896551724144E-2</v>
      </c>
      <c r="L305">
        <f>IFERROR($J305/IF($A305&lt;COUNTIFS($K$1:L$1,"&lt;&gt;"),0,SUMIFS($J:$J,$B:$B,$B305,$A:$A,"&gt;="&amp;COUNTIFS($K$1:L$1,"&lt;&gt;"))),0)</f>
        <v>9.4637223974763415E-2</v>
      </c>
      <c r="M305">
        <f>IFERROR($J305/IF($A305&lt;COUNTIFS($K$1:M$1,"&lt;&gt;"),0,SUMIFS($J:$J,$B:$B,$B305,$A:$A,"&gt;="&amp;COUNTIFS($K$1:M$1,"&lt;&gt;"))),0)</f>
        <v>0.10380622837370243</v>
      </c>
      <c r="N305">
        <f>IFERROR($J305/IF($A305&lt;COUNTIFS($K$1:N$1,"&lt;&gt;"),0,SUMIFS($J:$J,$B:$B,$B305,$A:$A,"&gt;="&amp;COUNTIFS($K$1:N$1,"&lt;&gt;"))),0)</f>
        <v>0.11627906976744187</v>
      </c>
      <c r="O305">
        <f>IFERROR($J305/IF($A305&lt;COUNTIFS($K$1:O$1,"&lt;&gt;"),0,SUMIFS($J:$J,$B:$B,$B305,$A:$A,"&gt;="&amp;COUNTIFS($K$1:O$1,"&lt;&gt;"))),0)</f>
        <v>0</v>
      </c>
      <c r="P305">
        <f>IFERROR($J305/IF($A305&lt;COUNTIFS($K$1:P$1,"&lt;&gt;"),0,SUMIFS($J:$J,$B:$B,$B305,$A:$A,"&gt;="&amp;COUNTIFS($K$1:P$1,"&lt;&gt;"))),0)</f>
        <v>0</v>
      </c>
      <c r="Q305">
        <f>IFERROR($J305/IF($A305&lt;COUNTIFS($K$1:Q$1,"&lt;&gt;"),0,SUMIFS($J:$J,$B:$B,$B305,$A:$A,"&gt;="&amp;COUNTIFS($K$1:Q$1,"&lt;&gt;"))),0)</f>
        <v>0</v>
      </c>
      <c r="R305">
        <f>IFERROR($J305/IF($A305&lt;COUNTIFS($K$1:R$1,"&lt;&gt;"),0,SUMIFS($J:$J,$B:$B,$B305,$A:$A,"&gt;="&amp;COUNTIFS($K$1:R$1,"&lt;&gt;"))),0)</f>
        <v>0</v>
      </c>
      <c r="S305">
        <f>IFERROR($J305/IF($A305&lt;COUNTIFS($K$1:S$1,"&lt;&gt;"),0,SUMIFS($J:$J,$B:$B,$B305,$A:$A,"&gt;="&amp;COUNTIFS($K$1:S$1,"&lt;&gt;"))),0)</f>
        <v>0</v>
      </c>
      <c r="T305">
        <f>IFERROR($J305/IF($A305&lt;COUNTIFS($K$1:T$1,"&lt;&gt;"),0,SUMIFS($J:$J,$B:$B,$B305,$A:$A,"&gt;="&amp;COUNTIFS($K$1:T$1,"&lt;&gt;"))),0)</f>
        <v>0</v>
      </c>
      <c r="U305">
        <f>IFERROR($J305/IF($A305&lt;COUNTIFS($K$1:U$1,"&lt;&gt;"),0,SUMIFS($J:$J,$B:$B,$B305,$A:$A,"&gt;="&amp;COUNTIFS($K$1:U$1,"&lt;&gt;"))),0)</f>
        <v>0</v>
      </c>
      <c r="V305">
        <f>IFERROR($J305/IF($A305&lt;COUNTIFS($K$1:V$1,"&lt;&gt;"),0,SUMIFS($J:$J,$B:$B,$B305,$A:$A,"&gt;="&amp;COUNTIFS($K$1:V$1,"&lt;&gt;"))),0)</f>
        <v>0</v>
      </c>
      <c r="W305">
        <f t="shared" si="112"/>
        <v>8.2191780821917804E-2</v>
      </c>
      <c r="X305">
        <f t="shared" si="92"/>
        <v>8.2191780821917804E-2</v>
      </c>
      <c r="Y305">
        <f t="shared" si="93"/>
        <v>8.2191780821917804E-2</v>
      </c>
      <c r="Z305">
        <f t="shared" si="94"/>
        <v>8.2191780821917804E-2</v>
      </c>
      <c r="AA305">
        <f t="shared" si="95"/>
        <v>8.2191780821917804E-2</v>
      </c>
      <c r="AB305">
        <f t="shared" si="96"/>
        <v>0</v>
      </c>
      <c r="AC305">
        <f t="shared" si="97"/>
        <v>0</v>
      </c>
      <c r="AD305">
        <f t="shared" si="98"/>
        <v>0</v>
      </c>
      <c r="AE305">
        <f t="shared" si="99"/>
        <v>0</v>
      </c>
      <c r="AF305">
        <f t="shared" si="100"/>
        <v>0</v>
      </c>
      <c r="AG305">
        <f t="shared" si="101"/>
        <v>0</v>
      </c>
      <c r="AH305">
        <f t="shared" si="102"/>
        <v>0</v>
      </c>
      <c r="AI305">
        <f t="shared" si="103"/>
        <v>0</v>
      </c>
      <c r="AJ305" s="2" t="str">
        <f t="shared" si="113"/>
        <v>444531</v>
      </c>
    </row>
    <row r="306" spans="1:36" x14ac:dyDescent="0.25">
      <c r="A306">
        <v>5</v>
      </c>
      <c r="B306" s="1">
        <v>44531</v>
      </c>
      <c r="C306" s="1">
        <f t="shared" si="104"/>
        <v>44682</v>
      </c>
      <c r="D306" s="1">
        <f t="shared" si="105"/>
        <v>44545</v>
      </c>
      <c r="E306" s="1">
        <f t="shared" si="106"/>
        <v>44682</v>
      </c>
      <c r="F306" s="1">
        <f t="shared" si="107"/>
        <v>44713</v>
      </c>
      <c r="G306" s="1">
        <f t="shared" si="108"/>
        <v>44910</v>
      </c>
      <c r="H306">
        <f t="shared" si="109"/>
        <v>365</v>
      </c>
      <c r="I306">
        <f t="shared" si="110"/>
        <v>31</v>
      </c>
      <c r="J306">
        <f t="shared" si="111"/>
        <v>8.4931506849315067E-2</v>
      </c>
      <c r="K306">
        <f>IFERROR($J306/IF($A306&lt;COUNTIFS($K$1:K$1,"&lt;&gt;"),0,SUMIFS($J:$J,$B:$B,$B306,$A:$A,"&gt;="&amp;COUNTIFS($K$1:K$1,"&lt;&gt;"))),0)</f>
        <v>8.9080459770114959E-2</v>
      </c>
      <c r="L306">
        <f>IFERROR($J306/IF($A306&lt;COUNTIFS($K$1:L$1,"&lt;&gt;"),0,SUMIFS($J:$J,$B:$B,$B306,$A:$A,"&gt;="&amp;COUNTIFS($K$1:L$1,"&lt;&gt;"))),0)</f>
        <v>9.7791798107255537E-2</v>
      </c>
      <c r="M306">
        <f>IFERROR($J306/IF($A306&lt;COUNTIFS($K$1:M$1,"&lt;&gt;"),0,SUMIFS($J:$J,$B:$B,$B306,$A:$A,"&gt;="&amp;COUNTIFS($K$1:M$1,"&lt;&gt;"))),0)</f>
        <v>0.10726643598615919</v>
      </c>
      <c r="N306">
        <f>IFERROR($J306/IF($A306&lt;COUNTIFS($K$1:N$1,"&lt;&gt;"),0,SUMIFS($J:$J,$B:$B,$B306,$A:$A,"&gt;="&amp;COUNTIFS($K$1:N$1,"&lt;&gt;"))),0)</f>
        <v>0.12015503875968994</v>
      </c>
      <c r="O306">
        <f>IFERROR($J306/IF($A306&lt;COUNTIFS($K$1:O$1,"&lt;&gt;"),0,SUMIFS($J:$J,$B:$B,$B306,$A:$A,"&gt;="&amp;COUNTIFS($K$1:O$1,"&lt;&gt;"))),0)</f>
        <v>0.13596491228070179</v>
      </c>
      <c r="P306">
        <f>IFERROR($J306/IF($A306&lt;COUNTIFS($K$1:P$1,"&lt;&gt;"),0,SUMIFS($J:$J,$B:$B,$B306,$A:$A,"&gt;="&amp;COUNTIFS($K$1:P$1,"&lt;&gt;"))),0)</f>
        <v>0</v>
      </c>
      <c r="Q306">
        <f>IFERROR($J306/IF($A306&lt;COUNTIFS($K$1:Q$1,"&lt;&gt;"),0,SUMIFS($J:$J,$B:$B,$B306,$A:$A,"&gt;="&amp;COUNTIFS($K$1:Q$1,"&lt;&gt;"))),0)</f>
        <v>0</v>
      </c>
      <c r="R306">
        <f>IFERROR($J306/IF($A306&lt;COUNTIFS($K$1:R$1,"&lt;&gt;"),0,SUMIFS($J:$J,$B:$B,$B306,$A:$A,"&gt;="&amp;COUNTIFS($K$1:R$1,"&lt;&gt;"))),0)</f>
        <v>0</v>
      </c>
      <c r="S306">
        <f>IFERROR($J306/IF($A306&lt;COUNTIFS($K$1:S$1,"&lt;&gt;"),0,SUMIFS($J:$J,$B:$B,$B306,$A:$A,"&gt;="&amp;COUNTIFS($K$1:S$1,"&lt;&gt;"))),0)</f>
        <v>0</v>
      </c>
      <c r="T306">
        <f>IFERROR($J306/IF($A306&lt;COUNTIFS($K$1:T$1,"&lt;&gt;"),0,SUMIFS($J:$J,$B:$B,$B306,$A:$A,"&gt;="&amp;COUNTIFS($K$1:T$1,"&lt;&gt;"))),0)</f>
        <v>0</v>
      </c>
      <c r="U306">
        <f>IFERROR($J306/IF($A306&lt;COUNTIFS($K$1:U$1,"&lt;&gt;"),0,SUMIFS($J:$J,$B:$B,$B306,$A:$A,"&gt;="&amp;COUNTIFS($K$1:U$1,"&lt;&gt;"))),0)</f>
        <v>0</v>
      </c>
      <c r="V306">
        <f>IFERROR($J306/IF($A306&lt;COUNTIFS($K$1:V$1,"&lt;&gt;"),0,SUMIFS($J:$J,$B:$B,$B306,$A:$A,"&gt;="&amp;COUNTIFS($K$1:V$1,"&lt;&gt;"))),0)</f>
        <v>0</v>
      </c>
      <c r="W306">
        <f t="shared" si="112"/>
        <v>8.4931506849315067E-2</v>
      </c>
      <c r="X306">
        <f t="shared" si="92"/>
        <v>8.4931506849315067E-2</v>
      </c>
      <c r="Y306">
        <f t="shared" si="93"/>
        <v>8.4931506849315067E-2</v>
      </c>
      <c r="Z306">
        <f t="shared" si="94"/>
        <v>8.4931506849315067E-2</v>
      </c>
      <c r="AA306">
        <f t="shared" si="95"/>
        <v>8.4931506849315067E-2</v>
      </c>
      <c r="AB306">
        <f t="shared" si="96"/>
        <v>8.4931506849315067E-2</v>
      </c>
      <c r="AC306">
        <f t="shared" si="97"/>
        <v>0</v>
      </c>
      <c r="AD306">
        <f t="shared" si="98"/>
        <v>0</v>
      </c>
      <c r="AE306">
        <f t="shared" si="99"/>
        <v>0</v>
      </c>
      <c r="AF306">
        <f t="shared" si="100"/>
        <v>0</v>
      </c>
      <c r="AG306">
        <f t="shared" si="101"/>
        <v>0</v>
      </c>
      <c r="AH306">
        <f t="shared" si="102"/>
        <v>0</v>
      </c>
      <c r="AI306">
        <f t="shared" si="103"/>
        <v>0</v>
      </c>
      <c r="AJ306" s="2" t="str">
        <f t="shared" si="113"/>
        <v>544531</v>
      </c>
    </row>
    <row r="307" spans="1:36" x14ac:dyDescent="0.25">
      <c r="A307">
        <v>6</v>
      </c>
      <c r="B307" s="1">
        <v>44531</v>
      </c>
      <c r="C307" s="1">
        <f t="shared" si="104"/>
        <v>44713</v>
      </c>
      <c r="D307" s="1">
        <f t="shared" si="105"/>
        <v>44545</v>
      </c>
      <c r="E307" s="1">
        <f t="shared" si="106"/>
        <v>44713</v>
      </c>
      <c r="F307" s="1">
        <f t="shared" si="107"/>
        <v>44743</v>
      </c>
      <c r="G307" s="1">
        <f t="shared" si="108"/>
        <v>44910</v>
      </c>
      <c r="H307">
        <f t="shared" si="109"/>
        <v>365</v>
      </c>
      <c r="I307">
        <f t="shared" si="110"/>
        <v>30</v>
      </c>
      <c r="J307">
        <f t="shared" si="111"/>
        <v>8.2191780821917804E-2</v>
      </c>
      <c r="K307">
        <f>IFERROR($J307/IF($A307&lt;COUNTIFS($K$1:K$1,"&lt;&gt;"),0,SUMIFS($J:$J,$B:$B,$B307,$A:$A,"&gt;="&amp;COUNTIFS($K$1:K$1,"&lt;&gt;"))),0)</f>
        <v>8.6206896551724144E-2</v>
      </c>
      <c r="L307">
        <f>IFERROR($J307/IF($A307&lt;COUNTIFS($K$1:L$1,"&lt;&gt;"),0,SUMIFS($J:$J,$B:$B,$B307,$A:$A,"&gt;="&amp;COUNTIFS($K$1:L$1,"&lt;&gt;"))),0)</f>
        <v>9.4637223974763415E-2</v>
      </c>
      <c r="M307">
        <f>IFERROR($J307/IF($A307&lt;COUNTIFS($K$1:M$1,"&lt;&gt;"),0,SUMIFS($J:$J,$B:$B,$B307,$A:$A,"&gt;="&amp;COUNTIFS($K$1:M$1,"&lt;&gt;"))),0)</f>
        <v>0.10380622837370243</v>
      </c>
      <c r="N307">
        <f>IFERROR($J307/IF($A307&lt;COUNTIFS($K$1:N$1,"&lt;&gt;"),0,SUMIFS($J:$J,$B:$B,$B307,$A:$A,"&gt;="&amp;COUNTIFS($K$1:N$1,"&lt;&gt;"))),0)</f>
        <v>0.11627906976744187</v>
      </c>
      <c r="O307">
        <f>IFERROR($J307/IF($A307&lt;COUNTIFS($K$1:O$1,"&lt;&gt;"),0,SUMIFS($J:$J,$B:$B,$B307,$A:$A,"&gt;="&amp;COUNTIFS($K$1:O$1,"&lt;&gt;"))),0)</f>
        <v>0.13157894736842107</v>
      </c>
      <c r="P307">
        <f>IFERROR($J307/IF($A307&lt;COUNTIFS($K$1:P$1,"&lt;&gt;"),0,SUMIFS($J:$J,$B:$B,$B307,$A:$A,"&gt;="&amp;COUNTIFS($K$1:P$1,"&lt;&gt;"))),0)</f>
        <v>0.15228426395939088</v>
      </c>
      <c r="Q307">
        <f>IFERROR($J307/IF($A307&lt;COUNTIFS($K$1:Q$1,"&lt;&gt;"),0,SUMIFS($J:$J,$B:$B,$B307,$A:$A,"&gt;="&amp;COUNTIFS($K$1:Q$1,"&lt;&gt;"))),0)</f>
        <v>0</v>
      </c>
      <c r="R307">
        <f>IFERROR($J307/IF($A307&lt;COUNTIFS($K$1:R$1,"&lt;&gt;"),0,SUMIFS($J:$J,$B:$B,$B307,$A:$A,"&gt;="&amp;COUNTIFS($K$1:R$1,"&lt;&gt;"))),0)</f>
        <v>0</v>
      </c>
      <c r="S307">
        <f>IFERROR($J307/IF($A307&lt;COUNTIFS($K$1:S$1,"&lt;&gt;"),0,SUMIFS($J:$J,$B:$B,$B307,$A:$A,"&gt;="&amp;COUNTIFS($K$1:S$1,"&lt;&gt;"))),0)</f>
        <v>0</v>
      </c>
      <c r="T307">
        <f>IFERROR($J307/IF($A307&lt;COUNTIFS($K$1:T$1,"&lt;&gt;"),0,SUMIFS($J:$J,$B:$B,$B307,$A:$A,"&gt;="&amp;COUNTIFS($K$1:T$1,"&lt;&gt;"))),0)</f>
        <v>0</v>
      </c>
      <c r="U307">
        <f>IFERROR($J307/IF($A307&lt;COUNTIFS($K$1:U$1,"&lt;&gt;"),0,SUMIFS($J:$J,$B:$B,$B307,$A:$A,"&gt;="&amp;COUNTIFS($K$1:U$1,"&lt;&gt;"))),0)</f>
        <v>0</v>
      </c>
      <c r="V307">
        <f>IFERROR($J307/IF($A307&lt;COUNTIFS($K$1:V$1,"&lt;&gt;"),0,SUMIFS($J:$J,$B:$B,$B307,$A:$A,"&gt;="&amp;COUNTIFS($K$1:V$1,"&lt;&gt;"))),0)</f>
        <v>0</v>
      </c>
      <c r="W307">
        <f t="shared" si="112"/>
        <v>8.2191780821917804E-2</v>
      </c>
      <c r="X307">
        <f t="shared" si="92"/>
        <v>8.2191780821917804E-2</v>
      </c>
      <c r="Y307">
        <f t="shared" si="93"/>
        <v>8.2191780821917804E-2</v>
      </c>
      <c r="Z307">
        <f t="shared" si="94"/>
        <v>8.2191780821917804E-2</v>
      </c>
      <c r="AA307">
        <f t="shared" si="95"/>
        <v>8.2191780821917804E-2</v>
      </c>
      <c r="AB307">
        <f t="shared" si="96"/>
        <v>8.2191780821917804E-2</v>
      </c>
      <c r="AC307">
        <f t="shared" si="97"/>
        <v>8.2191780821917804E-2</v>
      </c>
      <c r="AD307">
        <f t="shared" si="98"/>
        <v>0</v>
      </c>
      <c r="AE307">
        <f t="shared" si="99"/>
        <v>0</v>
      </c>
      <c r="AF307">
        <f t="shared" si="100"/>
        <v>0</v>
      </c>
      <c r="AG307">
        <f t="shared" si="101"/>
        <v>0</v>
      </c>
      <c r="AH307">
        <f t="shared" si="102"/>
        <v>0</v>
      </c>
      <c r="AI307">
        <f t="shared" si="103"/>
        <v>0</v>
      </c>
      <c r="AJ307" s="2" t="str">
        <f t="shared" si="113"/>
        <v>644531</v>
      </c>
    </row>
    <row r="308" spans="1:36" x14ac:dyDescent="0.25">
      <c r="A308">
        <v>7</v>
      </c>
      <c r="B308" s="1">
        <v>44531</v>
      </c>
      <c r="C308" s="1">
        <f t="shared" si="104"/>
        <v>44743</v>
      </c>
      <c r="D308" s="1">
        <f t="shared" si="105"/>
        <v>44545</v>
      </c>
      <c r="E308" s="1">
        <f t="shared" si="106"/>
        <v>44743</v>
      </c>
      <c r="F308" s="1">
        <f t="shared" si="107"/>
        <v>44774</v>
      </c>
      <c r="G308" s="1">
        <f t="shared" si="108"/>
        <v>44910</v>
      </c>
      <c r="H308">
        <f t="shared" si="109"/>
        <v>365</v>
      </c>
      <c r="I308">
        <f t="shared" si="110"/>
        <v>31</v>
      </c>
      <c r="J308">
        <f t="shared" si="111"/>
        <v>8.4931506849315067E-2</v>
      </c>
      <c r="K308">
        <f>IFERROR($J308/IF($A308&lt;COUNTIFS($K$1:K$1,"&lt;&gt;"),0,SUMIFS($J:$J,$B:$B,$B308,$A:$A,"&gt;="&amp;COUNTIFS($K$1:K$1,"&lt;&gt;"))),0)</f>
        <v>8.9080459770114959E-2</v>
      </c>
      <c r="L308">
        <f>IFERROR($J308/IF($A308&lt;COUNTIFS($K$1:L$1,"&lt;&gt;"),0,SUMIFS($J:$J,$B:$B,$B308,$A:$A,"&gt;="&amp;COUNTIFS($K$1:L$1,"&lt;&gt;"))),0)</f>
        <v>9.7791798107255537E-2</v>
      </c>
      <c r="M308">
        <f>IFERROR($J308/IF($A308&lt;COUNTIFS($K$1:M$1,"&lt;&gt;"),0,SUMIFS($J:$J,$B:$B,$B308,$A:$A,"&gt;="&amp;COUNTIFS($K$1:M$1,"&lt;&gt;"))),0)</f>
        <v>0.10726643598615919</v>
      </c>
      <c r="N308">
        <f>IFERROR($J308/IF($A308&lt;COUNTIFS($K$1:N$1,"&lt;&gt;"),0,SUMIFS($J:$J,$B:$B,$B308,$A:$A,"&gt;="&amp;COUNTIFS($K$1:N$1,"&lt;&gt;"))),0)</f>
        <v>0.12015503875968994</v>
      </c>
      <c r="O308">
        <f>IFERROR($J308/IF($A308&lt;COUNTIFS($K$1:O$1,"&lt;&gt;"),0,SUMIFS($J:$J,$B:$B,$B308,$A:$A,"&gt;="&amp;COUNTIFS($K$1:O$1,"&lt;&gt;"))),0)</f>
        <v>0.13596491228070179</v>
      </c>
      <c r="P308">
        <f>IFERROR($J308/IF($A308&lt;COUNTIFS($K$1:P$1,"&lt;&gt;"),0,SUMIFS($J:$J,$B:$B,$B308,$A:$A,"&gt;="&amp;COUNTIFS($K$1:P$1,"&lt;&gt;"))),0)</f>
        <v>0.15736040609137059</v>
      </c>
      <c r="Q308">
        <f>IFERROR($J308/IF($A308&lt;COUNTIFS($K$1:Q$1,"&lt;&gt;"),0,SUMIFS($J:$J,$B:$B,$B308,$A:$A,"&gt;="&amp;COUNTIFS($K$1:Q$1,"&lt;&gt;"))),0)</f>
        <v>0.18562874251497008</v>
      </c>
      <c r="R308">
        <f>IFERROR($J308/IF($A308&lt;COUNTIFS($K$1:R$1,"&lt;&gt;"),0,SUMIFS($J:$J,$B:$B,$B308,$A:$A,"&gt;="&amp;COUNTIFS($K$1:R$1,"&lt;&gt;"))),0)</f>
        <v>0</v>
      </c>
      <c r="S308">
        <f>IFERROR($J308/IF($A308&lt;COUNTIFS($K$1:S$1,"&lt;&gt;"),0,SUMIFS($J:$J,$B:$B,$B308,$A:$A,"&gt;="&amp;COUNTIFS($K$1:S$1,"&lt;&gt;"))),0)</f>
        <v>0</v>
      </c>
      <c r="T308">
        <f>IFERROR($J308/IF($A308&lt;COUNTIFS($K$1:T$1,"&lt;&gt;"),0,SUMIFS($J:$J,$B:$B,$B308,$A:$A,"&gt;="&amp;COUNTIFS($K$1:T$1,"&lt;&gt;"))),0)</f>
        <v>0</v>
      </c>
      <c r="U308">
        <f>IFERROR($J308/IF($A308&lt;COUNTIFS($K$1:U$1,"&lt;&gt;"),0,SUMIFS($J:$J,$B:$B,$B308,$A:$A,"&gt;="&amp;COUNTIFS($K$1:U$1,"&lt;&gt;"))),0)</f>
        <v>0</v>
      </c>
      <c r="V308">
        <f>IFERROR($J308/IF($A308&lt;COUNTIFS($K$1:V$1,"&lt;&gt;"),0,SUMIFS($J:$J,$B:$B,$B308,$A:$A,"&gt;="&amp;COUNTIFS($K$1:V$1,"&lt;&gt;"))),0)</f>
        <v>0</v>
      </c>
      <c r="W308">
        <f t="shared" si="112"/>
        <v>8.4931506849315067E-2</v>
      </c>
      <c r="X308">
        <f t="shared" si="92"/>
        <v>8.4931506849315067E-2</v>
      </c>
      <c r="Y308">
        <f t="shared" si="93"/>
        <v>8.4931506849315067E-2</v>
      </c>
      <c r="Z308">
        <f t="shared" si="94"/>
        <v>8.4931506849315067E-2</v>
      </c>
      <c r="AA308">
        <f t="shared" si="95"/>
        <v>8.4931506849315067E-2</v>
      </c>
      <c r="AB308">
        <f t="shared" si="96"/>
        <v>8.4931506849315067E-2</v>
      </c>
      <c r="AC308">
        <f t="shared" si="97"/>
        <v>8.4931506849315067E-2</v>
      </c>
      <c r="AD308">
        <f t="shared" si="98"/>
        <v>8.4931506849315067E-2</v>
      </c>
      <c r="AE308">
        <f t="shared" si="99"/>
        <v>0</v>
      </c>
      <c r="AF308">
        <f t="shared" si="100"/>
        <v>0</v>
      </c>
      <c r="AG308">
        <f t="shared" si="101"/>
        <v>0</v>
      </c>
      <c r="AH308">
        <f t="shared" si="102"/>
        <v>0</v>
      </c>
      <c r="AI308">
        <f t="shared" si="103"/>
        <v>0</v>
      </c>
      <c r="AJ308" s="2" t="str">
        <f t="shared" si="113"/>
        <v>744531</v>
      </c>
    </row>
    <row r="309" spans="1:36" x14ac:dyDescent="0.25">
      <c r="A309">
        <v>8</v>
      </c>
      <c r="B309" s="1">
        <v>44531</v>
      </c>
      <c r="C309" s="1">
        <f t="shared" si="104"/>
        <v>44774</v>
      </c>
      <c r="D309" s="1">
        <f t="shared" si="105"/>
        <v>44545</v>
      </c>
      <c r="E309" s="1">
        <f t="shared" si="106"/>
        <v>44774</v>
      </c>
      <c r="F309" s="1">
        <f t="shared" si="107"/>
        <v>44805</v>
      </c>
      <c r="G309" s="1">
        <f t="shared" si="108"/>
        <v>44910</v>
      </c>
      <c r="H309">
        <f t="shared" si="109"/>
        <v>365</v>
      </c>
      <c r="I309">
        <f t="shared" si="110"/>
        <v>31</v>
      </c>
      <c r="J309">
        <f t="shared" si="111"/>
        <v>8.4931506849315067E-2</v>
      </c>
      <c r="K309">
        <f>IFERROR($J309/IF($A309&lt;COUNTIFS($K$1:K$1,"&lt;&gt;"),0,SUMIFS($J:$J,$B:$B,$B309,$A:$A,"&gt;="&amp;COUNTIFS($K$1:K$1,"&lt;&gt;"))),0)</f>
        <v>8.9080459770114959E-2</v>
      </c>
      <c r="L309">
        <f>IFERROR($J309/IF($A309&lt;COUNTIFS($K$1:L$1,"&lt;&gt;"),0,SUMIFS($J:$J,$B:$B,$B309,$A:$A,"&gt;="&amp;COUNTIFS($K$1:L$1,"&lt;&gt;"))),0)</f>
        <v>9.7791798107255537E-2</v>
      </c>
      <c r="M309">
        <f>IFERROR($J309/IF($A309&lt;COUNTIFS($K$1:M$1,"&lt;&gt;"),0,SUMIFS($J:$J,$B:$B,$B309,$A:$A,"&gt;="&amp;COUNTIFS($K$1:M$1,"&lt;&gt;"))),0)</f>
        <v>0.10726643598615919</v>
      </c>
      <c r="N309">
        <f>IFERROR($J309/IF($A309&lt;COUNTIFS($K$1:N$1,"&lt;&gt;"),0,SUMIFS($J:$J,$B:$B,$B309,$A:$A,"&gt;="&amp;COUNTIFS($K$1:N$1,"&lt;&gt;"))),0)</f>
        <v>0.12015503875968994</v>
      </c>
      <c r="O309">
        <f>IFERROR($J309/IF($A309&lt;COUNTIFS($K$1:O$1,"&lt;&gt;"),0,SUMIFS($J:$J,$B:$B,$B309,$A:$A,"&gt;="&amp;COUNTIFS($K$1:O$1,"&lt;&gt;"))),0)</f>
        <v>0.13596491228070179</v>
      </c>
      <c r="P309">
        <f>IFERROR($J309/IF($A309&lt;COUNTIFS($K$1:P$1,"&lt;&gt;"),0,SUMIFS($J:$J,$B:$B,$B309,$A:$A,"&gt;="&amp;COUNTIFS($K$1:P$1,"&lt;&gt;"))),0)</f>
        <v>0.15736040609137059</v>
      </c>
      <c r="Q309">
        <f>IFERROR($J309/IF($A309&lt;COUNTIFS($K$1:Q$1,"&lt;&gt;"),0,SUMIFS($J:$J,$B:$B,$B309,$A:$A,"&gt;="&amp;COUNTIFS($K$1:Q$1,"&lt;&gt;"))),0)</f>
        <v>0.18562874251497008</v>
      </c>
      <c r="R309">
        <f>IFERROR($J309/IF($A309&lt;COUNTIFS($K$1:R$1,"&lt;&gt;"),0,SUMIFS($J:$J,$B:$B,$B309,$A:$A,"&gt;="&amp;COUNTIFS($K$1:R$1,"&lt;&gt;"))),0)</f>
        <v>0.22794117647058826</v>
      </c>
      <c r="S309">
        <f>IFERROR($J309/IF($A309&lt;COUNTIFS($K$1:S$1,"&lt;&gt;"),0,SUMIFS($J:$J,$B:$B,$B309,$A:$A,"&gt;="&amp;COUNTIFS($K$1:S$1,"&lt;&gt;"))),0)</f>
        <v>0</v>
      </c>
      <c r="T309">
        <f>IFERROR($J309/IF($A309&lt;COUNTIFS($K$1:T$1,"&lt;&gt;"),0,SUMIFS($J:$J,$B:$B,$B309,$A:$A,"&gt;="&amp;COUNTIFS($K$1:T$1,"&lt;&gt;"))),0)</f>
        <v>0</v>
      </c>
      <c r="U309">
        <f>IFERROR($J309/IF($A309&lt;COUNTIFS($K$1:U$1,"&lt;&gt;"),0,SUMIFS($J:$J,$B:$B,$B309,$A:$A,"&gt;="&amp;COUNTIFS($K$1:U$1,"&lt;&gt;"))),0)</f>
        <v>0</v>
      </c>
      <c r="V309">
        <f>IFERROR($J309/IF($A309&lt;COUNTIFS($K$1:V$1,"&lt;&gt;"),0,SUMIFS($J:$J,$B:$B,$B309,$A:$A,"&gt;="&amp;COUNTIFS($K$1:V$1,"&lt;&gt;"))),0)</f>
        <v>0</v>
      </c>
      <c r="W309">
        <f t="shared" si="112"/>
        <v>8.4931506849315067E-2</v>
      </c>
      <c r="X309">
        <f t="shared" si="92"/>
        <v>8.4931506849315067E-2</v>
      </c>
      <c r="Y309">
        <f t="shared" si="93"/>
        <v>8.4931506849315067E-2</v>
      </c>
      <c r="Z309">
        <f t="shared" si="94"/>
        <v>8.4931506849315067E-2</v>
      </c>
      <c r="AA309">
        <f t="shared" si="95"/>
        <v>8.4931506849315067E-2</v>
      </c>
      <c r="AB309">
        <f t="shared" si="96"/>
        <v>8.4931506849315067E-2</v>
      </c>
      <c r="AC309">
        <f t="shared" si="97"/>
        <v>8.4931506849315067E-2</v>
      </c>
      <c r="AD309">
        <f t="shared" si="98"/>
        <v>8.4931506849315067E-2</v>
      </c>
      <c r="AE309">
        <f t="shared" si="99"/>
        <v>8.4931506849315067E-2</v>
      </c>
      <c r="AF309">
        <f t="shared" si="100"/>
        <v>0</v>
      </c>
      <c r="AG309">
        <f t="shared" si="101"/>
        <v>0</v>
      </c>
      <c r="AH309">
        <f t="shared" si="102"/>
        <v>0</v>
      </c>
      <c r="AI309">
        <f t="shared" si="103"/>
        <v>0</v>
      </c>
      <c r="AJ309" s="2" t="str">
        <f t="shared" si="113"/>
        <v>844531</v>
      </c>
    </row>
    <row r="310" spans="1:36" x14ac:dyDescent="0.25">
      <c r="A310">
        <v>9</v>
      </c>
      <c r="B310" s="1">
        <v>44531</v>
      </c>
      <c r="C310" s="1">
        <f t="shared" si="104"/>
        <v>44805</v>
      </c>
      <c r="D310" s="1">
        <f t="shared" si="105"/>
        <v>44545</v>
      </c>
      <c r="E310" s="1">
        <f t="shared" si="106"/>
        <v>44805</v>
      </c>
      <c r="F310" s="1">
        <f t="shared" si="107"/>
        <v>44835</v>
      </c>
      <c r="G310" s="1">
        <f t="shared" si="108"/>
        <v>44910</v>
      </c>
      <c r="H310">
        <f t="shared" si="109"/>
        <v>365</v>
      </c>
      <c r="I310">
        <f t="shared" si="110"/>
        <v>30</v>
      </c>
      <c r="J310">
        <f t="shared" si="111"/>
        <v>8.2191780821917804E-2</v>
      </c>
      <c r="K310">
        <f>IFERROR($J310/IF($A310&lt;COUNTIFS($K$1:K$1,"&lt;&gt;"),0,SUMIFS($J:$J,$B:$B,$B310,$A:$A,"&gt;="&amp;COUNTIFS($K$1:K$1,"&lt;&gt;"))),0)</f>
        <v>8.6206896551724144E-2</v>
      </c>
      <c r="L310">
        <f>IFERROR($J310/IF($A310&lt;COUNTIFS($K$1:L$1,"&lt;&gt;"),0,SUMIFS($J:$J,$B:$B,$B310,$A:$A,"&gt;="&amp;COUNTIFS($K$1:L$1,"&lt;&gt;"))),0)</f>
        <v>9.4637223974763415E-2</v>
      </c>
      <c r="M310">
        <f>IFERROR($J310/IF($A310&lt;COUNTIFS($K$1:M$1,"&lt;&gt;"),0,SUMIFS($J:$J,$B:$B,$B310,$A:$A,"&gt;="&amp;COUNTIFS($K$1:M$1,"&lt;&gt;"))),0)</f>
        <v>0.10380622837370243</v>
      </c>
      <c r="N310">
        <f>IFERROR($J310/IF($A310&lt;COUNTIFS($K$1:N$1,"&lt;&gt;"),0,SUMIFS($J:$J,$B:$B,$B310,$A:$A,"&gt;="&amp;COUNTIFS($K$1:N$1,"&lt;&gt;"))),0)</f>
        <v>0.11627906976744187</v>
      </c>
      <c r="O310">
        <f>IFERROR($J310/IF($A310&lt;COUNTIFS($K$1:O$1,"&lt;&gt;"),0,SUMIFS($J:$J,$B:$B,$B310,$A:$A,"&gt;="&amp;COUNTIFS($K$1:O$1,"&lt;&gt;"))),0)</f>
        <v>0.13157894736842107</v>
      </c>
      <c r="P310">
        <f>IFERROR($J310/IF($A310&lt;COUNTIFS($K$1:P$1,"&lt;&gt;"),0,SUMIFS($J:$J,$B:$B,$B310,$A:$A,"&gt;="&amp;COUNTIFS($K$1:P$1,"&lt;&gt;"))),0)</f>
        <v>0.15228426395939088</v>
      </c>
      <c r="Q310">
        <f>IFERROR($J310/IF($A310&lt;COUNTIFS($K$1:Q$1,"&lt;&gt;"),0,SUMIFS($J:$J,$B:$B,$B310,$A:$A,"&gt;="&amp;COUNTIFS($K$1:Q$1,"&lt;&gt;"))),0)</f>
        <v>0.17964071856287425</v>
      </c>
      <c r="R310">
        <f>IFERROR($J310/IF($A310&lt;COUNTIFS($K$1:R$1,"&lt;&gt;"),0,SUMIFS($J:$J,$B:$B,$B310,$A:$A,"&gt;="&amp;COUNTIFS($K$1:R$1,"&lt;&gt;"))),0)</f>
        <v>0.22058823529411764</v>
      </c>
      <c r="S310">
        <f>IFERROR($J310/IF($A310&lt;COUNTIFS($K$1:S$1,"&lt;&gt;"),0,SUMIFS($J:$J,$B:$B,$B310,$A:$A,"&gt;="&amp;COUNTIFS($K$1:S$1,"&lt;&gt;"))),0)</f>
        <v>0.2857142857142857</v>
      </c>
      <c r="T310">
        <f>IFERROR($J310/IF($A310&lt;COUNTIFS($K$1:T$1,"&lt;&gt;"),0,SUMIFS($J:$J,$B:$B,$B310,$A:$A,"&gt;="&amp;COUNTIFS($K$1:T$1,"&lt;&gt;"))),0)</f>
        <v>0</v>
      </c>
      <c r="U310">
        <f>IFERROR($J310/IF($A310&lt;COUNTIFS($K$1:U$1,"&lt;&gt;"),0,SUMIFS($J:$J,$B:$B,$B310,$A:$A,"&gt;="&amp;COUNTIFS($K$1:U$1,"&lt;&gt;"))),0)</f>
        <v>0</v>
      </c>
      <c r="V310">
        <f>IFERROR($J310/IF($A310&lt;COUNTIFS($K$1:V$1,"&lt;&gt;"),0,SUMIFS($J:$J,$B:$B,$B310,$A:$A,"&gt;="&amp;COUNTIFS($K$1:V$1,"&lt;&gt;"))),0)</f>
        <v>0</v>
      </c>
      <c r="W310">
        <f t="shared" si="112"/>
        <v>8.2191780821917804E-2</v>
      </c>
      <c r="X310">
        <f t="shared" si="92"/>
        <v>8.2191780821917804E-2</v>
      </c>
      <c r="Y310">
        <f t="shared" si="93"/>
        <v>8.2191780821917804E-2</v>
      </c>
      <c r="Z310">
        <f t="shared" si="94"/>
        <v>8.2191780821917804E-2</v>
      </c>
      <c r="AA310">
        <f t="shared" si="95"/>
        <v>8.2191780821917804E-2</v>
      </c>
      <c r="AB310">
        <f t="shared" si="96"/>
        <v>8.2191780821917804E-2</v>
      </c>
      <c r="AC310">
        <f t="shared" si="97"/>
        <v>8.2191780821917804E-2</v>
      </c>
      <c r="AD310">
        <f t="shared" si="98"/>
        <v>8.2191780821917804E-2</v>
      </c>
      <c r="AE310">
        <f t="shared" si="99"/>
        <v>8.2191780821917804E-2</v>
      </c>
      <c r="AF310">
        <f t="shared" si="100"/>
        <v>8.2191780821917804E-2</v>
      </c>
      <c r="AG310">
        <f t="shared" si="101"/>
        <v>0</v>
      </c>
      <c r="AH310">
        <f t="shared" si="102"/>
        <v>0</v>
      </c>
      <c r="AI310">
        <f t="shared" si="103"/>
        <v>0</v>
      </c>
      <c r="AJ310" s="2" t="str">
        <f t="shared" si="113"/>
        <v>944531</v>
      </c>
    </row>
    <row r="311" spans="1:36" x14ac:dyDescent="0.25">
      <c r="A311">
        <v>10</v>
      </c>
      <c r="B311" s="1">
        <v>44531</v>
      </c>
      <c r="C311" s="1">
        <f t="shared" si="104"/>
        <v>44835</v>
      </c>
      <c r="D311" s="1">
        <f t="shared" si="105"/>
        <v>44545</v>
      </c>
      <c r="E311" s="1">
        <f t="shared" si="106"/>
        <v>44835</v>
      </c>
      <c r="F311" s="1">
        <f t="shared" si="107"/>
        <v>44866</v>
      </c>
      <c r="G311" s="1">
        <f t="shared" si="108"/>
        <v>44910</v>
      </c>
      <c r="H311">
        <f t="shared" si="109"/>
        <v>365</v>
      </c>
      <c r="I311">
        <f t="shared" si="110"/>
        <v>31</v>
      </c>
      <c r="J311">
        <f t="shared" si="111"/>
        <v>8.4931506849315067E-2</v>
      </c>
      <c r="K311">
        <f>IFERROR($J311/IF($A311&lt;COUNTIFS($K$1:K$1,"&lt;&gt;"),0,SUMIFS($J:$J,$B:$B,$B311,$A:$A,"&gt;="&amp;COUNTIFS($K$1:K$1,"&lt;&gt;"))),0)</f>
        <v>8.9080459770114959E-2</v>
      </c>
      <c r="L311">
        <f>IFERROR($J311/IF($A311&lt;COUNTIFS($K$1:L$1,"&lt;&gt;"),0,SUMIFS($J:$J,$B:$B,$B311,$A:$A,"&gt;="&amp;COUNTIFS($K$1:L$1,"&lt;&gt;"))),0)</f>
        <v>9.7791798107255537E-2</v>
      </c>
      <c r="M311">
        <f>IFERROR($J311/IF($A311&lt;COUNTIFS($K$1:M$1,"&lt;&gt;"),0,SUMIFS($J:$J,$B:$B,$B311,$A:$A,"&gt;="&amp;COUNTIFS($K$1:M$1,"&lt;&gt;"))),0)</f>
        <v>0.10726643598615919</v>
      </c>
      <c r="N311">
        <f>IFERROR($J311/IF($A311&lt;COUNTIFS($K$1:N$1,"&lt;&gt;"),0,SUMIFS($J:$J,$B:$B,$B311,$A:$A,"&gt;="&amp;COUNTIFS($K$1:N$1,"&lt;&gt;"))),0)</f>
        <v>0.12015503875968994</v>
      </c>
      <c r="O311">
        <f>IFERROR($J311/IF($A311&lt;COUNTIFS($K$1:O$1,"&lt;&gt;"),0,SUMIFS($J:$J,$B:$B,$B311,$A:$A,"&gt;="&amp;COUNTIFS($K$1:O$1,"&lt;&gt;"))),0)</f>
        <v>0.13596491228070179</v>
      </c>
      <c r="P311">
        <f>IFERROR($J311/IF($A311&lt;COUNTIFS($K$1:P$1,"&lt;&gt;"),0,SUMIFS($J:$J,$B:$B,$B311,$A:$A,"&gt;="&amp;COUNTIFS($K$1:P$1,"&lt;&gt;"))),0)</f>
        <v>0.15736040609137059</v>
      </c>
      <c r="Q311">
        <f>IFERROR($J311/IF($A311&lt;COUNTIFS($K$1:Q$1,"&lt;&gt;"),0,SUMIFS($J:$J,$B:$B,$B311,$A:$A,"&gt;="&amp;COUNTIFS($K$1:Q$1,"&lt;&gt;"))),0)</f>
        <v>0.18562874251497008</v>
      </c>
      <c r="R311">
        <f>IFERROR($J311/IF($A311&lt;COUNTIFS($K$1:R$1,"&lt;&gt;"),0,SUMIFS($J:$J,$B:$B,$B311,$A:$A,"&gt;="&amp;COUNTIFS($K$1:R$1,"&lt;&gt;"))),0)</f>
        <v>0.22794117647058826</v>
      </c>
      <c r="S311">
        <f>IFERROR($J311/IF($A311&lt;COUNTIFS($K$1:S$1,"&lt;&gt;"),0,SUMIFS($J:$J,$B:$B,$B311,$A:$A,"&gt;="&amp;COUNTIFS($K$1:S$1,"&lt;&gt;"))),0)</f>
        <v>0.29523809523809524</v>
      </c>
      <c r="T311">
        <f>IFERROR($J311/IF($A311&lt;COUNTIFS($K$1:T$1,"&lt;&gt;"),0,SUMIFS($J:$J,$B:$B,$B311,$A:$A,"&gt;="&amp;COUNTIFS($K$1:T$1,"&lt;&gt;"))),0)</f>
        <v>0.41333333333333333</v>
      </c>
      <c r="U311">
        <f>IFERROR($J311/IF($A311&lt;COUNTIFS($K$1:U$1,"&lt;&gt;"),0,SUMIFS($J:$J,$B:$B,$B311,$A:$A,"&gt;="&amp;COUNTIFS($K$1:U$1,"&lt;&gt;"))),0)</f>
        <v>0</v>
      </c>
      <c r="V311">
        <f>IFERROR($J311/IF($A311&lt;COUNTIFS($K$1:V$1,"&lt;&gt;"),0,SUMIFS($J:$J,$B:$B,$B311,$A:$A,"&gt;="&amp;COUNTIFS($K$1:V$1,"&lt;&gt;"))),0)</f>
        <v>0</v>
      </c>
      <c r="W311">
        <f t="shared" si="112"/>
        <v>8.4931506849315067E-2</v>
      </c>
      <c r="X311">
        <f t="shared" si="92"/>
        <v>8.4931506849315067E-2</v>
      </c>
      <c r="Y311">
        <f t="shared" si="93"/>
        <v>8.4931506849315067E-2</v>
      </c>
      <c r="Z311">
        <f t="shared" si="94"/>
        <v>8.4931506849315067E-2</v>
      </c>
      <c r="AA311">
        <f t="shared" si="95"/>
        <v>8.4931506849315067E-2</v>
      </c>
      <c r="AB311">
        <f t="shared" si="96"/>
        <v>8.4931506849315067E-2</v>
      </c>
      <c r="AC311">
        <f t="shared" si="97"/>
        <v>8.4931506849315067E-2</v>
      </c>
      <c r="AD311">
        <f t="shared" si="98"/>
        <v>8.4931506849315067E-2</v>
      </c>
      <c r="AE311">
        <f t="shared" si="99"/>
        <v>8.4931506849315067E-2</v>
      </c>
      <c r="AF311">
        <f t="shared" si="100"/>
        <v>8.4931506849315067E-2</v>
      </c>
      <c r="AG311">
        <f t="shared" si="101"/>
        <v>8.4931506849315067E-2</v>
      </c>
      <c r="AH311">
        <f t="shared" si="102"/>
        <v>0</v>
      </c>
      <c r="AI311">
        <f t="shared" si="103"/>
        <v>0</v>
      </c>
      <c r="AJ311" s="2" t="str">
        <f t="shared" si="113"/>
        <v>1044531</v>
      </c>
    </row>
    <row r="312" spans="1:36" x14ac:dyDescent="0.25">
      <c r="A312">
        <v>11</v>
      </c>
      <c r="B312" s="1">
        <v>44531</v>
      </c>
      <c r="C312" s="1">
        <f t="shared" si="104"/>
        <v>44866</v>
      </c>
      <c r="D312" s="1">
        <f t="shared" si="105"/>
        <v>44545</v>
      </c>
      <c r="E312" s="1">
        <f t="shared" si="106"/>
        <v>44866</v>
      </c>
      <c r="F312" s="1">
        <f t="shared" si="107"/>
        <v>44896</v>
      </c>
      <c r="G312" s="1">
        <f t="shared" si="108"/>
        <v>44910</v>
      </c>
      <c r="H312">
        <f t="shared" si="109"/>
        <v>365</v>
      </c>
      <c r="I312">
        <f t="shared" si="110"/>
        <v>30</v>
      </c>
      <c r="J312">
        <f t="shared" si="111"/>
        <v>8.2191780821917804E-2</v>
      </c>
      <c r="K312">
        <f>IFERROR($J312/IF($A312&lt;COUNTIFS($K$1:K$1,"&lt;&gt;"),0,SUMIFS($J:$J,$B:$B,$B312,$A:$A,"&gt;="&amp;COUNTIFS($K$1:K$1,"&lt;&gt;"))),0)</f>
        <v>8.6206896551724144E-2</v>
      </c>
      <c r="L312">
        <f>IFERROR($J312/IF($A312&lt;COUNTIFS($K$1:L$1,"&lt;&gt;"),0,SUMIFS($J:$J,$B:$B,$B312,$A:$A,"&gt;="&amp;COUNTIFS($K$1:L$1,"&lt;&gt;"))),0)</f>
        <v>9.4637223974763415E-2</v>
      </c>
      <c r="M312">
        <f>IFERROR($J312/IF($A312&lt;COUNTIFS($K$1:M$1,"&lt;&gt;"),0,SUMIFS($J:$J,$B:$B,$B312,$A:$A,"&gt;="&amp;COUNTIFS($K$1:M$1,"&lt;&gt;"))),0)</f>
        <v>0.10380622837370243</v>
      </c>
      <c r="N312">
        <f>IFERROR($J312/IF($A312&lt;COUNTIFS($K$1:N$1,"&lt;&gt;"),0,SUMIFS($J:$J,$B:$B,$B312,$A:$A,"&gt;="&amp;COUNTIFS($K$1:N$1,"&lt;&gt;"))),0)</f>
        <v>0.11627906976744187</v>
      </c>
      <c r="O312">
        <f>IFERROR($J312/IF($A312&lt;COUNTIFS($K$1:O$1,"&lt;&gt;"),0,SUMIFS($J:$J,$B:$B,$B312,$A:$A,"&gt;="&amp;COUNTIFS($K$1:O$1,"&lt;&gt;"))),0)</f>
        <v>0.13157894736842107</v>
      </c>
      <c r="P312">
        <f>IFERROR($J312/IF($A312&lt;COUNTIFS($K$1:P$1,"&lt;&gt;"),0,SUMIFS($J:$J,$B:$B,$B312,$A:$A,"&gt;="&amp;COUNTIFS($K$1:P$1,"&lt;&gt;"))),0)</f>
        <v>0.15228426395939088</v>
      </c>
      <c r="Q312">
        <f>IFERROR($J312/IF($A312&lt;COUNTIFS($K$1:Q$1,"&lt;&gt;"),0,SUMIFS($J:$J,$B:$B,$B312,$A:$A,"&gt;="&amp;COUNTIFS($K$1:Q$1,"&lt;&gt;"))),0)</f>
        <v>0.17964071856287425</v>
      </c>
      <c r="R312">
        <f>IFERROR($J312/IF($A312&lt;COUNTIFS($K$1:R$1,"&lt;&gt;"),0,SUMIFS($J:$J,$B:$B,$B312,$A:$A,"&gt;="&amp;COUNTIFS($K$1:R$1,"&lt;&gt;"))),0)</f>
        <v>0.22058823529411764</v>
      </c>
      <c r="S312">
        <f>IFERROR($J312/IF($A312&lt;COUNTIFS($K$1:S$1,"&lt;&gt;"),0,SUMIFS($J:$J,$B:$B,$B312,$A:$A,"&gt;="&amp;COUNTIFS($K$1:S$1,"&lt;&gt;"))),0)</f>
        <v>0.2857142857142857</v>
      </c>
      <c r="T312">
        <f>IFERROR($J312/IF($A312&lt;COUNTIFS($K$1:T$1,"&lt;&gt;"),0,SUMIFS($J:$J,$B:$B,$B312,$A:$A,"&gt;="&amp;COUNTIFS($K$1:T$1,"&lt;&gt;"))),0)</f>
        <v>0.4</v>
      </c>
      <c r="U312">
        <f>IFERROR($J312/IF($A312&lt;COUNTIFS($K$1:U$1,"&lt;&gt;"),0,SUMIFS($J:$J,$B:$B,$B312,$A:$A,"&gt;="&amp;COUNTIFS($K$1:U$1,"&lt;&gt;"))),0)</f>
        <v>0.68181818181818177</v>
      </c>
      <c r="V312">
        <f>IFERROR($J312/IF($A312&lt;COUNTIFS($K$1:V$1,"&lt;&gt;"),0,SUMIFS($J:$J,$B:$B,$B312,$A:$A,"&gt;="&amp;COUNTIFS($K$1:V$1,"&lt;&gt;"))),0)</f>
        <v>0</v>
      </c>
      <c r="W312">
        <f t="shared" si="112"/>
        <v>8.2191780821917804E-2</v>
      </c>
      <c r="X312">
        <f t="shared" si="92"/>
        <v>8.2191780821917804E-2</v>
      </c>
      <c r="Y312">
        <f t="shared" si="93"/>
        <v>8.2191780821917804E-2</v>
      </c>
      <c r="Z312">
        <f t="shared" si="94"/>
        <v>8.2191780821917804E-2</v>
      </c>
      <c r="AA312">
        <f t="shared" si="95"/>
        <v>8.2191780821917804E-2</v>
      </c>
      <c r="AB312">
        <f t="shared" si="96"/>
        <v>8.2191780821917804E-2</v>
      </c>
      <c r="AC312">
        <f t="shared" si="97"/>
        <v>8.2191780821917804E-2</v>
      </c>
      <c r="AD312">
        <f t="shared" si="98"/>
        <v>8.2191780821917804E-2</v>
      </c>
      <c r="AE312">
        <f t="shared" si="99"/>
        <v>8.2191780821917804E-2</v>
      </c>
      <c r="AF312">
        <f t="shared" si="100"/>
        <v>8.2191780821917804E-2</v>
      </c>
      <c r="AG312">
        <f t="shared" si="101"/>
        <v>8.2191780821917804E-2</v>
      </c>
      <c r="AH312">
        <f t="shared" si="102"/>
        <v>8.2191780821917804E-2</v>
      </c>
      <c r="AI312">
        <f t="shared" si="103"/>
        <v>0</v>
      </c>
      <c r="AJ312" s="2" t="str">
        <f t="shared" si="113"/>
        <v>1144531</v>
      </c>
    </row>
    <row r="313" spans="1:36" x14ac:dyDescent="0.25">
      <c r="A313">
        <v>12</v>
      </c>
      <c r="B313" s="1">
        <v>44531</v>
      </c>
      <c r="C313" s="1">
        <f t="shared" si="104"/>
        <v>44896</v>
      </c>
      <c r="D313" s="1">
        <f t="shared" si="105"/>
        <v>44545</v>
      </c>
      <c r="E313" s="1">
        <f t="shared" si="106"/>
        <v>44896</v>
      </c>
      <c r="F313" s="1">
        <f t="shared" si="107"/>
        <v>44910</v>
      </c>
      <c r="G313" s="1">
        <f t="shared" si="108"/>
        <v>44910</v>
      </c>
      <c r="H313">
        <f t="shared" si="109"/>
        <v>365</v>
      </c>
      <c r="I313">
        <f t="shared" si="110"/>
        <v>14</v>
      </c>
      <c r="J313">
        <f t="shared" si="111"/>
        <v>3.8356164383561646E-2</v>
      </c>
      <c r="K313">
        <f>IFERROR($J313/IF($A313&lt;COUNTIFS($K$1:K$1,"&lt;&gt;"),0,SUMIFS($J:$J,$B:$B,$B313,$A:$A,"&gt;="&amp;COUNTIFS($K$1:K$1,"&lt;&gt;"))),0)</f>
        <v>4.0229885057471271E-2</v>
      </c>
      <c r="L313">
        <f>IFERROR($J313/IF($A313&lt;COUNTIFS($K$1:L$1,"&lt;&gt;"),0,SUMIFS($J:$J,$B:$B,$B313,$A:$A,"&gt;="&amp;COUNTIFS($K$1:L$1,"&lt;&gt;"))),0)</f>
        <v>4.41640378548896E-2</v>
      </c>
      <c r="M313">
        <f>IFERROR($J313/IF($A313&lt;COUNTIFS($K$1:M$1,"&lt;&gt;"),0,SUMIFS($J:$J,$B:$B,$B313,$A:$A,"&gt;="&amp;COUNTIFS($K$1:M$1,"&lt;&gt;"))),0)</f>
        <v>4.8442906574394477E-2</v>
      </c>
      <c r="N313">
        <f>IFERROR($J313/IF($A313&lt;COUNTIFS($K$1:N$1,"&lt;&gt;"),0,SUMIFS($J:$J,$B:$B,$B313,$A:$A,"&gt;="&amp;COUNTIFS($K$1:N$1,"&lt;&gt;"))),0)</f>
        <v>5.4263565891472881E-2</v>
      </c>
      <c r="O313">
        <f>IFERROR($J313/IF($A313&lt;COUNTIFS($K$1:O$1,"&lt;&gt;"),0,SUMIFS($J:$J,$B:$B,$B313,$A:$A,"&gt;="&amp;COUNTIFS($K$1:O$1,"&lt;&gt;"))),0)</f>
        <v>6.1403508771929842E-2</v>
      </c>
      <c r="P313">
        <f>IFERROR($J313/IF($A313&lt;COUNTIFS($K$1:P$1,"&lt;&gt;"),0,SUMIFS($J:$J,$B:$B,$B313,$A:$A,"&gt;="&amp;COUNTIFS($K$1:P$1,"&lt;&gt;"))),0)</f>
        <v>7.1065989847715755E-2</v>
      </c>
      <c r="Q313">
        <f>IFERROR($J313/IF($A313&lt;COUNTIFS($K$1:Q$1,"&lt;&gt;"),0,SUMIFS($J:$J,$B:$B,$B313,$A:$A,"&gt;="&amp;COUNTIFS($K$1:Q$1,"&lt;&gt;"))),0)</f>
        <v>8.3832335329341326E-2</v>
      </c>
      <c r="R313">
        <f>IFERROR($J313/IF($A313&lt;COUNTIFS($K$1:R$1,"&lt;&gt;"),0,SUMIFS($J:$J,$B:$B,$B313,$A:$A,"&gt;="&amp;COUNTIFS($K$1:R$1,"&lt;&gt;"))),0)</f>
        <v>0.10294117647058824</v>
      </c>
      <c r="S313">
        <f>IFERROR($J313/IF($A313&lt;COUNTIFS($K$1:S$1,"&lt;&gt;"),0,SUMIFS($J:$J,$B:$B,$B313,$A:$A,"&gt;="&amp;COUNTIFS($K$1:S$1,"&lt;&gt;"))),0)</f>
        <v>0.13333333333333336</v>
      </c>
      <c r="T313">
        <f>IFERROR($J313/IF($A313&lt;COUNTIFS($K$1:T$1,"&lt;&gt;"),0,SUMIFS($J:$J,$B:$B,$B313,$A:$A,"&gt;="&amp;COUNTIFS($K$1:T$1,"&lt;&gt;"))),0)</f>
        <v>0.18666666666666668</v>
      </c>
      <c r="U313">
        <f>IFERROR($J313/IF($A313&lt;COUNTIFS($K$1:U$1,"&lt;&gt;"),0,SUMIFS($J:$J,$B:$B,$B313,$A:$A,"&gt;="&amp;COUNTIFS($K$1:U$1,"&lt;&gt;"))),0)</f>
        <v>0.31818181818181818</v>
      </c>
      <c r="V313">
        <f>IFERROR($J313/IF($A313&lt;COUNTIFS($K$1:V$1,"&lt;&gt;"),0,SUMIFS($J:$J,$B:$B,$B313,$A:$A,"&gt;="&amp;COUNTIFS($K$1:V$1,"&lt;&gt;"))),0)</f>
        <v>1</v>
      </c>
      <c r="W313">
        <f t="shared" si="112"/>
        <v>3.8356164383561646E-2</v>
      </c>
      <c r="X313">
        <f t="shared" si="92"/>
        <v>3.8356164383561646E-2</v>
      </c>
      <c r="Y313">
        <f t="shared" si="93"/>
        <v>3.8356164383561646E-2</v>
      </c>
      <c r="Z313">
        <f t="shared" si="94"/>
        <v>3.8356164383561646E-2</v>
      </c>
      <c r="AA313">
        <f t="shared" si="95"/>
        <v>3.8356164383561646E-2</v>
      </c>
      <c r="AB313">
        <f t="shared" si="96"/>
        <v>3.8356164383561646E-2</v>
      </c>
      <c r="AC313">
        <f t="shared" si="97"/>
        <v>3.8356164383561646E-2</v>
      </c>
      <c r="AD313">
        <f t="shared" si="98"/>
        <v>3.8356164383561646E-2</v>
      </c>
      <c r="AE313">
        <f t="shared" si="99"/>
        <v>3.8356164383561646E-2</v>
      </c>
      <c r="AF313">
        <f t="shared" si="100"/>
        <v>3.8356164383561646E-2</v>
      </c>
      <c r="AG313">
        <f t="shared" si="101"/>
        <v>3.8356164383561646E-2</v>
      </c>
      <c r="AH313">
        <f t="shared" si="102"/>
        <v>3.8356164383561646E-2</v>
      </c>
      <c r="AI313">
        <f t="shared" si="103"/>
        <v>3.8356164383561646E-2</v>
      </c>
      <c r="AJ313" s="2" t="str">
        <f t="shared" si="113"/>
        <v>1244531</v>
      </c>
    </row>
    <row r="314" spans="1:36" x14ac:dyDescent="0.25">
      <c r="A314">
        <v>0</v>
      </c>
      <c r="B314" s="1">
        <v>44562</v>
      </c>
      <c r="C314" s="1">
        <f t="shared" si="104"/>
        <v>44562</v>
      </c>
      <c r="D314" s="1">
        <f t="shared" si="105"/>
        <v>44576</v>
      </c>
      <c r="E314" s="1">
        <f t="shared" si="106"/>
        <v>44576</v>
      </c>
      <c r="F314" s="1">
        <f t="shared" si="107"/>
        <v>44593</v>
      </c>
      <c r="G314" s="1">
        <f t="shared" si="108"/>
        <v>44941</v>
      </c>
      <c r="H314">
        <f t="shared" si="109"/>
        <v>365</v>
      </c>
      <c r="I314">
        <f t="shared" si="110"/>
        <v>17</v>
      </c>
      <c r="J314">
        <f t="shared" si="111"/>
        <v>4.6575342465753428E-2</v>
      </c>
      <c r="K314">
        <f>IFERROR($J314/IF($A314&lt;COUNTIFS($K$1:K$1,"&lt;&gt;"),0,SUMIFS($J:$J,$B:$B,$B314,$A:$A,"&gt;="&amp;COUNTIFS($K$1:K$1,"&lt;&gt;"))),0)</f>
        <v>0</v>
      </c>
      <c r="L314">
        <f>IFERROR($J314/IF($A314&lt;COUNTIFS($K$1:L$1,"&lt;&gt;"),0,SUMIFS($J:$J,$B:$B,$B314,$A:$A,"&gt;="&amp;COUNTIFS($K$1:L$1,"&lt;&gt;"))),0)</f>
        <v>0</v>
      </c>
      <c r="M314">
        <f>IFERROR($J314/IF($A314&lt;COUNTIFS($K$1:M$1,"&lt;&gt;"),0,SUMIFS($J:$J,$B:$B,$B314,$A:$A,"&gt;="&amp;COUNTIFS($K$1:M$1,"&lt;&gt;"))),0)</f>
        <v>0</v>
      </c>
      <c r="N314">
        <f>IFERROR($J314/IF($A314&lt;COUNTIFS($K$1:N$1,"&lt;&gt;"),0,SUMIFS($J:$J,$B:$B,$B314,$A:$A,"&gt;="&amp;COUNTIFS($K$1:N$1,"&lt;&gt;"))),0)</f>
        <v>0</v>
      </c>
      <c r="O314">
        <f>IFERROR($J314/IF($A314&lt;COUNTIFS($K$1:O$1,"&lt;&gt;"),0,SUMIFS($J:$J,$B:$B,$B314,$A:$A,"&gt;="&amp;COUNTIFS($K$1:O$1,"&lt;&gt;"))),0)</f>
        <v>0</v>
      </c>
      <c r="P314">
        <f>IFERROR($J314/IF($A314&lt;COUNTIFS($K$1:P$1,"&lt;&gt;"),0,SUMIFS($J:$J,$B:$B,$B314,$A:$A,"&gt;="&amp;COUNTIFS($K$1:P$1,"&lt;&gt;"))),0)</f>
        <v>0</v>
      </c>
      <c r="Q314">
        <f>IFERROR($J314/IF($A314&lt;COUNTIFS($K$1:Q$1,"&lt;&gt;"),0,SUMIFS($J:$J,$B:$B,$B314,$A:$A,"&gt;="&amp;COUNTIFS($K$1:Q$1,"&lt;&gt;"))),0)</f>
        <v>0</v>
      </c>
      <c r="R314">
        <f>IFERROR($J314/IF($A314&lt;COUNTIFS($K$1:R$1,"&lt;&gt;"),0,SUMIFS($J:$J,$B:$B,$B314,$A:$A,"&gt;="&amp;COUNTIFS($K$1:R$1,"&lt;&gt;"))),0)</f>
        <v>0</v>
      </c>
      <c r="S314">
        <f>IFERROR($J314/IF($A314&lt;COUNTIFS($K$1:S$1,"&lt;&gt;"),0,SUMIFS($J:$J,$B:$B,$B314,$A:$A,"&gt;="&amp;COUNTIFS($K$1:S$1,"&lt;&gt;"))),0)</f>
        <v>0</v>
      </c>
      <c r="T314">
        <f>IFERROR($J314/IF($A314&lt;COUNTIFS($K$1:T$1,"&lt;&gt;"),0,SUMIFS($J:$J,$B:$B,$B314,$A:$A,"&gt;="&amp;COUNTIFS($K$1:T$1,"&lt;&gt;"))),0)</f>
        <v>0</v>
      </c>
      <c r="U314">
        <f>IFERROR($J314/IF($A314&lt;COUNTIFS($K$1:U$1,"&lt;&gt;"),0,SUMIFS($J:$J,$B:$B,$B314,$A:$A,"&gt;="&amp;COUNTIFS($K$1:U$1,"&lt;&gt;"))),0)</f>
        <v>0</v>
      </c>
      <c r="V314">
        <f>IFERROR($J314/IF($A314&lt;COUNTIFS($K$1:V$1,"&lt;&gt;"),0,SUMIFS($J:$J,$B:$B,$B314,$A:$A,"&gt;="&amp;COUNTIFS($K$1:V$1,"&lt;&gt;"))),0)</f>
        <v>0</v>
      </c>
      <c r="W314">
        <f t="shared" si="112"/>
        <v>4.6575342465753428E-2</v>
      </c>
      <c r="X314">
        <f t="shared" si="92"/>
        <v>0</v>
      </c>
      <c r="Y314">
        <f t="shared" si="93"/>
        <v>0</v>
      </c>
      <c r="Z314">
        <f t="shared" si="94"/>
        <v>0</v>
      </c>
      <c r="AA314">
        <f t="shared" si="95"/>
        <v>0</v>
      </c>
      <c r="AB314">
        <f t="shared" si="96"/>
        <v>0</v>
      </c>
      <c r="AC314">
        <f t="shared" si="97"/>
        <v>0</v>
      </c>
      <c r="AD314">
        <f t="shared" si="98"/>
        <v>0</v>
      </c>
      <c r="AE314">
        <f t="shared" si="99"/>
        <v>0</v>
      </c>
      <c r="AF314">
        <f t="shared" si="100"/>
        <v>0</v>
      </c>
      <c r="AG314">
        <f t="shared" si="101"/>
        <v>0</v>
      </c>
      <c r="AH314">
        <f t="shared" si="102"/>
        <v>0</v>
      </c>
      <c r="AI314">
        <f t="shared" si="103"/>
        <v>0</v>
      </c>
      <c r="AJ314" s="2" t="str">
        <f t="shared" si="113"/>
        <v>044562</v>
      </c>
    </row>
    <row r="315" spans="1:36" x14ac:dyDescent="0.25">
      <c r="A315">
        <v>1</v>
      </c>
      <c r="B315" s="1">
        <v>44562</v>
      </c>
      <c r="C315" s="1">
        <f t="shared" si="104"/>
        <v>44593</v>
      </c>
      <c r="D315" s="1">
        <f t="shared" si="105"/>
        <v>44576</v>
      </c>
      <c r="E315" s="1">
        <f t="shared" si="106"/>
        <v>44593</v>
      </c>
      <c r="F315" s="1">
        <f t="shared" si="107"/>
        <v>44621</v>
      </c>
      <c r="G315" s="1">
        <f t="shared" si="108"/>
        <v>44941</v>
      </c>
      <c r="H315">
        <f t="shared" si="109"/>
        <v>365</v>
      </c>
      <c r="I315">
        <f t="shared" si="110"/>
        <v>28</v>
      </c>
      <c r="J315">
        <f t="shared" si="111"/>
        <v>7.6712328767123292E-2</v>
      </c>
      <c r="K315">
        <f>IFERROR($J315/IF($A315&lt;COUNTIFS($K$1:K$1,"&lt;&gt;"),0,SUMIFS($J:$J,$B:$B,$B315,$A:$A,"&gt;="&amp;COUNTIFS($K$1:K$1,"&lt;&gt;"))),0)</f>
        <v>8.0459770114942541E-2</v>
      </c>
      <c r="L315">
        <f>IFERROR($J315/IF($A315&lt;COUNTIFS($K$1:L$1,"&lt;&gt;"),0,SUMIFS($J:$J,$B:$B,$B315,$A:$A,"&gt;="&amp;COUNTIFS($K$1:L$1,"&lt;&gt;"))),0)</f>
        <v>0</v>
      </c>
      <c r="M315">
        <f>IFERROR($J315/IF($A315&lt;COUNTIFS($K$1:M$1,"&lt;&gt;"),0,SUMIFS($J:$J,$B:$B,$B315,$A:$A,"&gt;="&amp;COUNTIFS($K$1:M$1,"&lt;&gt;"))),0)</f>
        <v>0</v>
      </c>
      <c r="N315">
        <f>IFERROR($J315/IF($A315&lt;COUNTIFS($K$1:N$1,"&lt;&gt;"),0,SUMIFS($J:$J,$B:$B,$B315,$A:$A,"&gt;="&amp;COUNTIFS($K$1:N$1,"&lt;&gt;"))),0)</f>
        <v>0</v>
      </c>
      <c r="O315">
        <f>IFERROR($J315/IF($A315&lt;COUNTIFS($K$1:O$1,"&lt;&gt;"),0,SUMIFS($J:$J,$B:$B,$B315,$A:$A,"&gt;="&amp;COUNTIFS($K$1:O$1,"&lt;&gt;"))),0)</f>
        <v>0</v>
      </c>
      <c r="P315">
        <f>IFERROR($J315/IF($A315&lt;COUNTIFS($K$1:P$1,"&lt;&gt;"),0,SUMIFS($J:$J,$B:$B,$B315,$A:$A,"&gt;="&amp;COUNTIFS($K$1:P$1,"&lt;&gt;"))),0)</f>
        <v>0</v>
      </c>
      <c r="Q315">
        <f>IFERROR($J315/IF($A315&lt;COUNTIFS($K$1:Q$1,"&lt;&gt;"),0,SUMIFS($J:$J,$B:$B,$B315,$A:$A,"&gt;="&amp;COUNTIFS($K$1:Q$1,"&lt;&gt;"))),0)</f>
        <v>0</v>
      </c>
      <c r="R315">
        <f>IFERROR($J315/IF($A315&lt;COUNTIFS($K$1:R$1,"&lt;&gt;"),0,SUMIFS($J:$J,$B:$B,$B315,$A:$A,"&gt;="&amp;COUNTIFS($K$1:R$1,"&lt;&gt;"))),0)</f>
        <v>0</v>
      </c>
      <c r="S315">
        <f>IFERROR($J315/IF($A315&lt;COUNTIFS($K$1:S$1,"&lt;&gt;"),0,SUMIFS($J:$J,$B:$B,$B315,$A:$A,"&gt;="&amp;COUNTIFS($K$1:S$1,"&lt;&gt;"))),0)</f>
        <v>0</v>
      </c>
      <c r="T315">
        <f>IFERROR($J315/IF($A315&lt;COUNTIFS($K$1:T$1,"&lt;&gt;"),0,SUMIFS($J:$J,$B:$B,$B315,$A:$A,"&gt;="&amp;COUNTIFS($K$1:T$1,"&lt;&gt;"))),0)</f>
        <v>0</v>
      </c>
      <c r="U315">
        <f>IFERROR($J315/IF($A315&lt;COUNTIFS($K$1:U$1,"&lt;&gt;"),0,SUMIFS($J:$J,$B:$B,$B315,$A:$A,"&gt;="&amp;COUNTIFS($K$1:U$1,"&lt;&gt;"))),0)</f>
        <v>0</v>
      </c>
      <c r="V315">
        <f>IFERROR($J315/IF($A315&lt;COUNTIFS($K$1:V$1,"&lt;&gt;"),0,SUMIFS($J:$J,$B:$B,$B315,$A:$A,"&gt;="&amp;COUNTIFS($K$1:V$1,"&lt;&gt;"))),0)</f>
        <v>0</v>
      </c>
      <c r="W315">
        <f t="shared" si="112"/>
        <v>7.6712328767123292E-2</v>
      </c>
      <c r="X315">
        <f t="shared" si="92"/>
        <v>7.6712328767123292E-2</v>
      </c>
      <c r="Y315">
        <f t="shared" si="93"/>
        <v>0</v>
      </c>
      <c r="Z315">
        <f t="shared" si="94"/>
        <v>0</v>
      </c>
      <c r="AA315">
        <f t="shared" si="95"/>
        <v>0</v>
      </c>
      <c r="AB315">
        <f t="shared" si="96"/>
        <v>0</v>
      </c>
      <c r="AC315">
        <f t="shared" si="97"/>
        <v>0</v>
      </c>
      <c r="AD315">
        <f t="shared" si="98"/>
        <v>0</v>
      </c>
      <c r="AE315">
        <f t="shared" si="99"/>
        <v>0</v>
      </c>
      <c r="AF315">
        <f t="shared" si="100"/>
        <v>0</v>
      </c>
      <c r="AG315">
        <f t="shared" si="101"/>
        <v>0</v>
      </c>
      <c r="AH315">
        <f t="shared" si="102"/>
        <v>0</v>
      </c>
      <c r="AI315">
        <f t="shared" si="103"/>
        <v>0</v>
      </c>
      <c r="AJ315" s="2" t="str">
        <f t="shared" si="113"/>
        <v>144562</v>
      </c>
    </row>
    <row r="316" spans="1:36" x14ac:dyDescent="0.25">
      <c r="A316">
        <v>2</v>
      </c>
      <c r="B316" s="1">
        <v>44562</v>
      </c>
      <c r="C316" s="1">
        <f t="shared" si="104"/>
        <v>44621</v>
      </c>
      <c r="D316" s="1">
        <f t="shared" si="105"/>
        <v>44576</v>
      </c>
      <c r="E316" s="1">
        <f t="shared" si="106"/>
        <v>44621</v>
      </c>
      <c r="F316" s="1">
        <f t="shared" si="107"/>
        <v>44652</v>
      </c>
      <c r="G316" s="1">
        <f t="shared" si="108"/>
        <v>44941</v>
      </c>
      <c r="H316">
        <f t="shared" si="109"/>
        <v>365</v>
      </c>
      <c r="I316">
        <f t="shared" si="110"/>
        <v>31</v>
      </c>
      <c r="J316">
        <f t="shared" si="111"/>
        <v>8.4931506849315067E-2</v>
      </c>
      <c r="K316">
        <f>IFERROR($J316/IF($A316&lt;COUNTIFS($K$1:K$1,"&lt;&gt;"),0,SUMIFS($J:$J,$B:$B,$B316,$A:$A,"&gt;="&amp;COUNTIFS($K$1:K$1,"&lt;&gt;"))),0)</f>
        <v>8.9080459770114959E-2</v>
      </c>
      <c r="L316">
        <f>IFERROR($J316/IF($A316&lt;COUNTIFS($K$1:L$1,"&lt;&gt;"),0,SUMIFS($J:$J,$B:$B,$B316,$A:$A,"&gt;="&amp;COUNTIFS($K$1:L$1,"&lt;&gt;"))),0)</f>
        <v>9.6875000000000017E-2</v>
      </c>
      <c r="M316">
        <f>IFERROR($J316/IF($A316&lt;COUNTIFS($K$1:M$1,"&lt;&gt;"),0,SUMIFS($J:$J,$B:$B,$B316,$A:$A,"&gt;="&amp;COUNTIFS($K$1:M$1,"&lt;&gt;"))),0)</f>
        <v>0</v>
      </c>
      <c r="N316">
        <f>IFERROR($J316/IF($A316&lt;COUNTIFS($K$1:N$1,"&lt;&gt;"),0,SUMIFS($J:$J,$B:$B,$B316,$A:$A,"&gt;="&amp;COUNTIFS($K$1:N$1,"&lt;&gt;"))),0)</f>
        <v>0</v>
      </c>
      <c r="O316">
        <f>IFERROR($J316/IF($A316&lt;COUNTIFS($K$1:O$1,"&lt;&gt;"),0,SUMIFS($J:$J,$B:$B,$B316,$A:$A,"&gt;="&amp;COUNTIFS($K$1:O$1,"&lt;&gt;"))),0)</f>
        <v>0</v>
      </c>
      <c r="P316">
        <f>IFERROR($J316/IF($A316&lt;COUNTIFS($K$1:P$1,"&lt;&gt;"),0,SUMIFS($J:$J,$B:$B,$B316,$A:$A,"&gt;="&amp;COUNTIFS($K$1:P$1,"&lt;&gt;"))),0)</f>
        <v>0</v>
      </c>
      <c r="Q316">
        <f>IFERROR($J316/IF($A316&lt;COUNTIFS($K$1:Q$1,"&lt;&gt;"),0,SUMIFS($J:$J,$B:$B,$B316,$A:$A,"&gt;="&amp;COUNTIFS($K$1:Q$1,"&lt;&gt;"))),0)</f>
        <v>0</v>
      </c>
      <c r="R316">
        <f>IFERROR($J316/IF($A316&lt;COUNTIFS($K$1:R$1,"&lt;&gt;"),0,SUMIFS($J:$J,$B:$B,$B316,$A:$A,"&gt;="&amp;COUNTIFS($K$1:R$1,"&lt;&gt;"))),0)</f>
        <v>0</v>
      </c>
      <c r="S316">
        <f>IFERROR($J316/IF($A316&lt;COUNTIFS($K$1:S$1,"&lt;&gt;"),0,SUMIFS($J:$J,$B:$B,$B316,$A:$A,"&gt;="&amp;COUNTIFS($K$1:S$1,"&lt;&gt;"))),0)</f>
        <v>0</v>
      </c>
      <c r="T316">
        <f>IFERROR($J316/IF($A316&lt;COUNTIFS($K$1:T$1,"&lt;&gt;"),0,SUMIFS($J:$J,$B:$B,$B316,$A:$A,"&gt;="&amp;COUNTIFS($K$1:T$1,"&lt;&gt;"))),0)</f>
        <v>0</v>
      </c>
      <c r="U316">
        <f>IFERROR($J316/IF($A316&lt;COUNTIFS($K$1:U$1,"&lt;&gt;"),0,SUMIFS($J:$J,$B:$B,$B316,$A:$A,"&gt;="&amp;COUNTIFS($K$1:U$1,"&lt;&gt;"))),0)</f>
        <v>0</v>
      </c>
      <c r="V316">
        <f>IFERROR($J316/IF($A316&lt;COUNTIFS($K$1:V$1,"&lt;&gt;"),0,SUMIFS($J:$J,$B:$B,$B316,$A:$A,"&gt;="&amp;COUNTIFS($K$1:V$1,"&lt;&gt;"))),0)</f>
        <v>0</v>
      </c>
      <c r="W316">
        <f t="shared" si="112"/>
        <v>8.4931506849315067E-2</v>
      </c>
      <c r="X316">
        <f t="shared" si="92"/>
        <v>8.4931506849315067E-2</v>
      </c>
      <c r="Y316">
        <f t="shared" si="93"/>
        <v>8.4931506849315067E-2</v>
      </c>
      <c r="Z316">
        <f t="shared" si="94"/>
        <v>0</v>
      </c>
      <c r="AA316">
        <f t="shared" si="95"/>
        <v>0</v>
      </c>
      <c r="AB316">
        <f t="shared" si="96"/>
        <v>0</v>
      </c>
      <c r="AC316">
        <f t="shared" si="97"/>
        <v>0</v>
      </c>
      <c r="AD316">
        <f t="shared" si="98"/>
        <v>0</v>
      </c>
      <c r="AE316">
        <f t="shared" si="99"/>
        <v>0</v>
      </c>
      <c r="AF316">
        <f t="shared" si="100"/>
        <v>0</v>
      </c>
      <c r="AG316">
        <f t="shared" si="101"/>
        <v>0</v>
      </c>
      <c r="AH316">
        <f t="shared" si="102"/>
        <v>0</v>
      </c>
      <c r="AI316">
        <f t="shared" si="103"/>
        <v>0</v>
      </c>
      <c r="AJ316" s="2" t="str">
        <f t="shared" si="113"/>
        <v>244562</v>
      </c>
    </row>
    <row r="317" spans="1:36" x14ac:dyDescent="0.25">
      <c r="A317">
        <v>3</v>
      </c>
      <c r="B317" s="1">
        <v>44562</v>
      </c>
      <c r="C317" s="1">
        <f t="shared" si="104"/>
        <v>44652</v>
      </c>
      <c r="D317" s="1">
        <f t="shared" si="105"/>
        <v>44576</v>
      </c>
      <c r="E317" s="1">
        <f t="shared" si="106"/>
        <v>44652</v>
      </c>
      <c r="F317" s="1">
        <f t="shared" si="107"/>
        <v>44682</v>
      </c>
      <c r="G317" s="1">
        <f t="shared" si="108"/>
        <v>44941</v>
      </c>
      <c r="H317">
        <f t="shared" si="109"/>
        <v>365</v>
      </c>
      <c r="I317">
        <f t="shared" si="110"/>
        <v>30</v>
      </c>
      <c r="J317">
        <f t="shared" si="111"/>
        <v>8.2191780821917804E-2</v>
      </c>
      <c r="K317">
        <f>IFERROR($J317/IF($A317&lt;COUNTIFS($K$1:K$1,"&lt;&gt;"),0,SUMIFS($J:$J,$B:$B,$B317,$A:$A,"&gt;="&amp;COUNTIFS($K$1:K$1,"&lt;&gt;"))),0)</f>
        <v>8.6206896551724144E-2</v>
      </c>
      <c r="L317">
        <f>IFERROR($J317/IF($A317&lt;COUNTIFS($K$1:L$1,"&lt;&gt;"),0,SUMIFS($J:$J,$B:$B,$B317,$A:$A,"&gt;="&amp;COUNTIFS($K$1:L$1,"&lt;&gt;"))),0)</f>
        <v>9.3750000000000014E-2</v>
      </c>
      <c r="M317">
        <f>IFERROR($J317/IF($A317&lt;COUNTIFS($K$1:M$1,"&lt;&gt;"),0,SUMIFS($J:$J,$B:$B,$B317,$A:$A,"&gt;="&amp;COUNTIFS($K$1:M$1,"&lt;&gt;"))),0)</f>
        <v>0.10380622837370243</v>
      </c>
      <c r="N317">
        <f>IFERROR($J317/IF($A317&lt;COUNTIFS($K$1:N$1,"&lt;&gt;"),0,SUMIFS($J:$J,$B:$B,$B317,$A:$A,"&gt;="&amp;COUNTIFS($K$1:N$1,"&lt;&gt;"))),0)</f>
        <v>0</v>
      </c>
      <c r="O317">
        <f>IFERROR($J317/IF($A317&lt;COUNTIFS($K$1:O$1,"&lt;&gt;"),0,SUMIFS($J:$J,$B:$B,$B317,$A:$A,"&gt;="&amp;COUNTIFS($K$1:O$1,"&lt;&gt;"))),0)</f>
        <v>0</v>
      </c>
      <c r="P317">
        <f>IFERROR($J317/IF($A317&lt;COUNTIFS($K$1:P$1,"&lt;&gt;"),0,SUMIFS($J:$J,$B:$B,$B317,$A:$A,"&gt;="&amp;COUNTIFS($K$1:P$1,"&lt;&gt;"))),0)</f>
        <v>0</v>
      </c>
      <c r="Q317">
        <f>IFERROR($J317/IF($A317&lt;COUNTIFS($K$1:Q$1,"&lt;&gt;"),0,SUMIFS($J:$J,$B:$B,$B317,$A:$A,"&gt;="&amp;COUNTIFS($K$1:Q$1,"&lt;&gt;"))),0)</f>
        <v>0</v>
      </c>
      <c r="R317">
        <f>IFERROR($J317/IF($A317&lt;COUNTIFS($K$1:R$1,"&lt;&gt;"),0,SUMIFS($J:$J,$B:$B,$B317,$A:$A,"&gt;="&amp;COUNTIFS($K$1:R$1,"&lt;&gt;"))),0)</f>
        <v>0</v>
      </c>
      <c r="S317">
        <f>IFERROR($J317/IF($A317&lt;COUNTIFS($K$1:S$1,"&lt;&gt;"),0,SUMIFS($J:$J,$B:$B,$B317,$A:$A,"&gt;="&amp;COUNTIFS($K$1:S$1,"&lt;&gt;"))),0)</f>
        <v>0</v>
      </c>
      <c r="T317">
        <f>IFERROR($J317/IF($A317&lt;COUNTIFS($K$1:T$1,"&lt;&gt;"),0,SUMIFS($J:$J,$B:$B,$B317,$A:$A,"&gt;="&amp;COUNTIFS($K$1:T$1,"&lt;&gt;"))),0)</f>
        <v>0</v>
      </c>
      <c r="U317">
        <f>IFERROR($J317/IF($A317&lt;COUNTIFS($K$1:U$1,"&lt;&gt;"),0,SUMIFS($J:$J,$B:$B,$B317,$A:$A,"&gt;="&amp;COUNTIFS($K$1:U$1,"&lt;&gt;"))),0)</f>
        <v>0</v>
      </c>
      <c r="V317">
        <f>IFERROR($J317/IF($A317&lt;COUNTIFS($K$1:V$1,"&lt;&gt;"),0,SUMIFS($J:$J,$B:$B,$B317,$A:$A,"&gt;="&amp;COUNTIFS($K$1:V$1,"&lt;&gt;"))),0)</f>
        <v>0</v>
      </c>
      <c r="W317">
        <f t="shared" si="112"/>
        <v>8.2191780821917804E-2</v>
      </c>
      <c r="X317">
        <f t="shared" si="92"/>
        <v>8.2191780821917804E-2</v>
      </c>
      <c r="Y317">
        <f t="shared" si="93"/>
        <v>8.2191780821917804E-2</v>
      </c>
      <c r="Z317">
        <f t="shared" si="94"/>
        <v>8.2191780821917804E-2</v>
      </c>
      <c r="AA317">
        <f t="shared" si="95"/>
        <v>0</v>
      </c>
      <c r="AB317">
        <f t="shared" si="96"/>
        <v>0</v>
      </c>
      <c r="AC317">
        <f t="shared" si="97"/>
        <v>0</v>
      </c>
      <c r="AD317">
        <f t="shared" si="98"/>
        <v>0</v>
      </c>
      <c r="AE317">
        <f t="shared" si="99"/>
        <v>0</v>
      </c>
      <c r="AF317">
        <f t="shared" si="100"/>
        <v>0</v>
      </c>
      <c r="AG317">
        <f t="shared" si="101"/>
        <v>0</v>
      </c>
      <c r="AH317">
        <f t="shared" si="102"/>
        <v>0</v>
      </c>
      <c r="AI317">
        <f t="shared" si="103"/>
        <v>0</v>
      </c>
      <c r="AJ317" s="2" t="str">
        <f t="shared" si="113"/>
        <v>344562</v>
      </c>
    </row>
    <row r="318" spans="1:36" x14ac:dyDescent="0.25">
      <c r="A318">
        <v>4</v>
      </c>
      <c r="B318" s="1">
        <v>44562</v>
      </c>
      <c r="C318" s="1">
        <f t="shared" si="104"/>
        <v>44682</v>
      </c>
      <c r="D318" s="1">
        <f t="shared" si="105"/>
        <v>44576</v>
      </c>
      <c r="E318" s="1">
        <f t="shared" si="106"/>
        <v>44682</v>
      </c>
      <c r="F318" s="1">
        <f t="shared" si="107"/>
        <v>44713</v>
      </c>
      <c r="G318" s="1">
        <f t="shared" si="108"/>
        <v>44941</v>
      </c>
      <c r="H318">
        <f t="shared" si="109"/>
        <v>365</v>
      </c>
      <c r="I318">
        <f t="shared" si="110"/>
        <v>31</v>
      </c>
      <c r="J318">
        <f t="shared" si="111"/>
        <v>8.4931506849315067E-2</v>
      </c>
      <c r="K318">
        <f>IFERROR($J318/IF($A318&lt;COUNTIFS($K$1:K$1,"&lt;&gt;"),0,SUMIFS($J:$J,$B:$B,$B318,$A:$A,"&gt;="&amp;COUNTIFS($K$1:K$1,"&lt;&gt;"))),0)</f>
        <v>8.9080459770114959E-2</v>
      </c>
      <c r="L318">
        <f>IFERROR($J318/IF($A318&lt;COUNTIFS($K$1:L$1,"&lt;&gt;"),0,SUMIFS($J:$J,$B:$B,$B318,$A:$A,"&gt;="&amp;COUNTIFS($K$1:L$1,"&lt;&gt;"))),0)</f>
        <v>9.6875000000000017E-2</v>
      </c>
      <c r="M318">
        <f>IFERROR($J318/IF($A318&lt;COUNTIFS($K$1:M$1,"&lt;&gt;"),0,SUMIFS($J:$J,$B:$B,$B318,$A:$A,"&gt;="&amp;COUNTIFS($K$1:M$1,"&lt;&gt;"))),0)</f>
        <v>0.10726643598615919</v>
      </c>
      <c r="N318">
        <f>IFERROR($J318/IF($A318&lt;COUNTIFS($K$1:N$1,"&lt;&gt;"),0,SUMIFS($J:$J,$B:$B,$B318,$A:$A,"&gt;="&amp;COUNTIFS($K$1:N$1,"&lt;&gt;"))),0)</f>
        <v>0.11969111969111972</v>
      </c>
      <c r="O318">
        <f>IFERROR($J318/IF($A318&lt;COUNTIFS($K$1:O$1,"&lt;&gt;"),0,SUMIFS($J:$J,$B:$B,$B318,$A:$A,"&gt;="&amp;COUNTIFS($K$1:O$1,"&lt;&gt;"))),0)</f>
        <v>0</v>
      </c>
      <c r="P318">
        <f>IFERROR($J318/IF($A318&lt;COUNTIFS($K$1:P$1,"&lt;&gt;"),0,SUMIFS($J:$J,$B:$B,$B318,$A:$A,"&gt;="&amp;COUNTIFS($K$1:P$1,"&lt;&gt;"))),0)</f>
        <v>0</v>
      </c>
      <c r="Q318">
        <f>IFERROR($J318/IF($A318&lt;COUNTIFS($K$1:Q$1,"&lt;&gt;"),0,SUMIFS($J:$J,$B:$B,$B318,$A:$A,"&gt;="&amp;COUNTIFS($K$1:Q$1,"&lt;&gt;"))),0)</f>
        <v>0</v>
      </c>
      <c r="R318">
        <f>IFERROR($J318/IF($A318&lt;COUNTIFS($K$1:R$1,"&lt;&gt;"),0,SUMIFS($J:$J,$B:$B,$B318,$A:$A,"&gt;="&amp;COUNTIFS($K$1:R$1,"&lt;&gt;"))),0)</f>
        <v>0</v>
      </c>
      <c r="S318">
        <f>IFERROR($J318/IF($A318&lt;COUNTIFS($K$1:S$1,"&lt;&gt;"),0,SUMIFS($J:$J,$B:$B,$B318,$A:$A,"&gt;="&amp;COUNTIFS($K$1:S$1,"&lt;&gt;"))),0)</f>
        <v>0</v>
      </c>
      <c r="T318">
        <f>IFERROR($J318/IF($A318&lt;COUNTIFS($K$1:T$1,"&lt;&gt;"),0,SUMIFS($J:$J,$B:$B,$B318,$A:$A,"&gt;="&amp;COUNTIFS($K$1:T$1,"&lt;&gt;"))),0)</f>
        <v>0</v>
      </c>
      <c r="U318">
        <f>IFERROR($J318/IF($A318&lt;COUNTIFS($K$1:U$1,"&lt;&gt;"),0,SUMIFS($J:$J,$B:$B,$B318,$A:$A,"&gt;="&amp;COUNTIFS($K$1:U$1,"&lt;&gt;"))),0)</f>
        <v>0</v>
      </c>
      <c r="V318">
        <f>IFERROR($J318/IF($A318&lt;COUNTIFS($K$1:V$1,"&lt;&gt;"),0,SUMIFS($J:$J,$B:$B,$B318,$A:$A,"&gt;="&amp;COUNTIFS($K$1:V$1,"&lt;&gt;"))),0)</f>
        <v>0</v>
      </c>
      <c r="W318">
        <f t="shared" si="112"/>
        <v>8.4931506849315067E-2</v>
      </c>
      <c r="X318">
        <f t="shared" si="92"/>
        <v>8.4931506849315067E-2</v>
      </c>
      <c r="Y318">
        <f t="shared" si="93"/>
        <v>8.4931506849315067E-2</v>
      </c>
      <c r="Z318">
        <f t="shared" si="94"/>
        <v>8.4931506849315067E-2</v>
      </c>
      <c r="AA318">
        <f t="shared" si="95"/>
        <v>8.4931506849315067E-2</v>
      </c>
      <c r="AB318">
        <f t="shared" si="96"/>
        <v>0</v>
      </c>
      <c r="AC318">
        <f t="shared" si="97"/>
        <v>0</v>
      </c>
      <c r="AD318">
        <f t="shared" si="98"/>
        <v>0</v>
      </c>
      <c r="AE318">
        <f t="shared" si="99"/>
        <v>0</v>
      </c>
      <c r="AF318">
        <f t="shared" si="100"/>
        <v>0</v>
      </c>
      <c r="AG318">
        <f t="shared" si="101"/>
        <v>0</v>
      </c>
      <c r="AH318">
        <f t="shared" si="102"/>
        <v>0</v>
      </c>
      <c r="AI318">
        <f t="shared" si="103"/>
        <v>0</v>
      </c>
      <c r="AJ318" s="2" t="str">
        <f t="shared" si="113"/>
        <v>444562</v>
      </c>
    </row>
    <row r="319" spans="1:36" x14ac:dyDescent="0.25">
      <c r="A319">
        <v>5</v>
      </c>
      <c r="B319" s="1">
        <v>44562</v>
      </c>
      <c r="C319" s="1">
        <f t="shared" si="104"/>
        <v>44713</v>
      </c>
      <c r="D319" s="1">
        <f t="shared" si="105"/>
        <v>44576</v>
      </c>
      <c r="E319" s="1">
        <f t="shared" si="106"/>
        <v>44713</v>
      </c>
      <c r="F319" s="1">
        <f t="shared" si="107"/>
        <v>44743</v>
      </c>
      <c r="G319" s="1">
        <f t="shared" si="108"/>
        <v>44941</v>
      </c>
      <c r="H319">
        <f t="shared" si="109"/>
        <v>365</v>
      </c>
      <c r="I319">
        <f t="shared" si="110"/>
        <v>30</v>
      </c>
      <c r="J319">
        <f t="shared" si="111"/>
        <v>8.2191780821917804E-2</v>
      </c>
      <c r="K319">
        <f>IFERROR($J319/IF($A319&lt;COUNTIFS($K$1:K$1,"&lt;&gt;"),0,SUMIFS($J:$J,$B:$B,$B319,$A:$A,"&gt;="&amp;COUNTIFS($K$1:K$1,"&lt;&gt;"))),0)</f>
        <v>8.6206896551724144E-2</v>
      </c>
      <c r="L319">
        <f>IFERROR($J319/IF($A319&lt;COUNTIFS($K$1:L$1,"&lt;&gt;"),0,SUMIFS($J:$J,$B:$B,$B319,$A:$A,"&gt;="&amp;COUNTIFS($K$1:L$1,"&lt;&gt;"))),0)</f>
        <v>9.3750000000000014E-2</v>
      </c>
      <c r="M319">
        <f>IFERROR($J319/IF($A319&lt;COUNTIFS($K$1:M$1,"&lt;&gt;"),0,SUMIFS($J:$J,$B:$B,$B319,$A:$A,"&gt;="&amp;COUNTIFS($K$1:M$1,"&lt;&gt;"))),0)</f>
        <v>0.10380622837370243</v>
      </c>
      <c r="N319">
        <f>IFERROR($J319/IF($A319&lt;COUNTIFS($K$1:N$1,"&lt;&gt;"),0,SUMIFS($J:$J,$B:$B,$B319,$A:$A,"&gt;="&amp;COUNTIFS($K$1:N$1,"&lt;&gt;"))),0)</f>
        <v>0.11583011583011585</v>
      </c>
      <c r="O319">
        <f>IFERROR($J319/IF($A319&lt;COUNTIFS($K$1:O$1,"&lt;&gt;"),0,SUMIFS($J:$J,$B:$B,$B319,$A:$A,"&gt;="&amp;COUNTIFS($K$1:O$1,"&lt;&gt;"))),0)</f>
        <v>0.13157894736842107</v>
      </c>
      <c r="P319">
        <f>IFERROR($J319/IF($A319&lt;COUNTIFS($K$1:P$1,"&lt;&gt;"),0,SUMIFS($J:$J,$B:$B,$B319,$A:$A,"&gt;="&amp;COUNTIFS($K$1:P$1,"&lt;&gt;"))),0)</f>
        <v>0</v>
      </c>
      <c r="Q319">
        <f>IFERROR($J319/IF($A319&lt;COUNTIFS($K$1:Q$1,"&lt;&gt;"),0,SUMIFS($J:$J,$B:$B,$B319,$A:$A,"&gt;="&amp;COUNTIFS($K$1:Q$1,"&lt;&gt;"))),0)</f>
        <v>0</v>
      </c>
      <c r="R319">
        <f>IFERROR($J319/IF($A319&lt;COUNTIFS($K$1:R$1,"&lt;&gt;"),0,SUMIFS($J:$J,$B:$B,$B319,$A:$A,"&gt;="&amp;COUNTIFS($K$1:R$1,"&lt;&gt;"))),0)</f>
        <v>0</v>
      </c>
      <c r="S319">
        <f>IFERROR($J319/IF($A319&lt;COUNTIFS($K$1:S$1,"&lt;&gt;"),0,SUMIFS($J:$J,$B:$B,$B319,$A:$A,"&gt;="&amp;COUNTIFS($K$1:S$1,"&lt;&gt;"))),0)</f>
        <v>0</v>
      </c>
      <c r="T319">
        <f>IFERROR($J319/IF($A319&lt;COUNTIFS($K$1:T$1,"&lt;&gt;"),0,SUMIFS($J:$J,$B:$B,$B319,$A:$A,"&gt;="&amp;COUNTIFS($K$1:T$1,"&lt;&gt;"))),0)</f>
        <v>0</v>
      </c>
      <c r="U319">
        <f>IFERROR($J319/IF($A319&lt;COUNTIFS($K$1:U$1,"&lt;&gt;"),0,SUMIFS($J:$J,$B:$B,$B319,$A:$A,"&gt;="&amp;COUNTIFS($K$1:U$1,"&lt;&gt;"))),0)</f>
        <v>0</v>
      </c>
      <c r="V319">
        <f>IFERROR($J319/IF($A319&lt;COUNTIFS($K$1:V$1,"&lt;&gt;"),0,SUMIFS($J:$J,$B:$B,$B319,$A:$A,"&gt;="&amp;COUNTIFS($K$1:V$1,"&lt;&gt;"))),0)</f>
        <v>0</v>
      </c>
      <c r="W319">
        <f t="shared" si="112"/>
        <v>8.2191780821917804E-2</v>
      </c>
      <c r="X319">
        <f t="shared" si="92"/>
        <v>8.2191780821917804E-2</v>
      </c>
      <c r="Y319">
        <f t="shared" si="93"/>
        <v>8.2191780821917804E-2</v>
      </c>
      <c r="Z319">
        <f t="shared" si="94"/>
        <v>8.2191780821917804E-2</v>
      </c>
      <c r="AA319">
        <f t="shared" si="95"/>
        <v>8.2191780821917804E-2</v>
      </c>
      <c r="AB319">
        <f t="shared" si="96"/>
        <v>8.2191780821917804E-2</v>
      </c>
      <c r="AC319">
        <f t="shared" si="97"/>
        <v>0</v>
      </c>
      <c r="AD319">
        <f t="shared" si="98"/>
        <v>0</v>
      </c>
      <c r="AE319">
        <f t="shared" si="99"/>
        <v>0</v>
      </c>
      <c r="AF319">
        <f t="shared" si="100"/>
        <v>0</v>
      </c>
      <c r="AG319">
        <f t="shared" si="101"/>
        <v>0</v>
      </c>
      <c r="AH319">
        <f t="shared" si="102"/>
        <v>0</v>
      </c>
      <c r="AI319">
        <f t="shared" si="103"/>
        <v>0</v>
      </c>
      <c r="AJ319" s="2" t="str">
        <f t="shared" si="113"/>
        <v>544562</v>
      </c>
    </row>
    <row r="320" spans="1:36" x14ac:dyDescent="0.25">
      <c r="A320">
        <v>6</v>
      </c>
      <c r="B320" s="1">
        <v>44562</v>
      </c>
      <c r="C320" s="1">
        <f t="shared" si="104"/>
        <v>44743</v>
      </c>
      <c r="D320" s="1">
        <f t="shared" si="105"/>
        <v>44576</v>
      </c>
      <c r="E320" s="1">
        <f t="shared" si="106"/>
        <v>44743</v>
      </c>
      <c r="F320" s="1">
        <f t="shared" si="107"/>
        <v>44774</v>
      </c>
      <c r="G320" s="1">
        <f t="shared" si="108"/>
        <v>44941</v>
      </c>
      <c r="H320">
        <f t="shared" si="109"/>
        <v>365</v>
      </c>
      <c r="I320">
        <f t="shared" si="110"/>
        <v>31</v>
      </c>
      <c r="J320">
        <f t="shared" si="111"/>
        <v>8.4931506849315067E-2</v>
      </c>
      <c r="K320">
        <f>IFERROR($J320/IF($A320&lt;COUNTIFS($K$1:K$1,"&lt;&gt;"),0,SUMIFS($J:$J,$B:$B,$B320,$A:$A,"&gt;="&amp;COUNTIFS($K$1:K$1,"&lt;&gt;"))),0)</f>
        <v>8.9080459770114959E-2</v>
      </c>
      <c r="L320">
        <f>IFERROR($J320/IF($A320&lt;COUNTIFS($K$1:L$1,"&lt;&gt;"),0,SUMIFS($J:$J,$B:$B,$B320,$A:$A,"&gt;="&amp;COUNTIFS($K$1:L$1,"&lt;&gt;"))),0)</f>
        <v>9.6875000000000017E-2</v>
      </c>
      <c r="M320">
        <f>IFERROR($J320/IF($A320&lt;COUNTIFS($K$1:M$1,"&lt;&gt;"),0,SUMIFS($J:$J,$B:$B,$B320,$A:$A,"&gt;="&amp;COUNTIFS($K$1:M$1,"&lt;&gt;"))),0)</f>
        <v>0.10726643598615919</v>
      </c>
      <c r="N320">
        <f>IFERROR($J320/IF($A320&lt;COUNTIFS($K$1:N$1,"&lt;&gt;"),0,SUMIFS($J:$J,$B:$B,$B320,$A:$A,"&gt;="&amp;COUNTIFS($K$1:N$1,"&lt;&gt;"))),0)</f>
        <v>0.11969111969111972</v>
      </c>
      <c r="O320">
        <f>IFERROR($J320/IF($A320&lt;COUNTIFS($K$1:O$1,"&lt;&gt;"),0,SUMIFS($J:$J,$B:$B,$B320,$A:$A,"&gt;="&amp;COUNTIFS($K$1:O$1,"&lt;&gt;"))),0)</f>
        <v>0.13596491228070179</v>
      </c>
      <c r="P320">
        <f>IFERROR($J320/IF($A320&lt;COUNTIFS($K$1:P$1,"&lt;&gt;"),0,SUMIFS($J:$J,$B:$B,$B320,$A:$A,"&gt;="&amp;COUNTIFS($K$1:P$1,"&lt;&gt;"))),0)</f>
        <v>0.1565656565656566</v>
      </c>
      <c r="Q320">
        <f>IFERROR($J320/IF($A320&lt;COUNTIFS($K$1:Q$1,"&lt;&gt;"),0,SUMIFS($J:$J,$B:$B,$B320,$A:$A,"&gt;="&amp;COUNTIFS($K$1:Q$1,"&lt;&gt;"))),0)</f>
        <v>0</v>
      </c>
      <c r="R320">
        <f>IFERROR($J320/IF($A320&lt;COUNTIFS($K$1:R$1,"&lt;&gt;"),0,SUMIFS($J:$J,$B:$B,$B320,$A:$A,"&gt;="&amp;COUNTIFS($K$1:R$1,"&lt;&gt;"))),0)</f>
        <v>0</v>
      </c>
      <c r="S320">
        <f>IFERROR($J320/IF($A320&lt;COUNTIFS($K$1:S$1,"&lt;&gt;"),0,SUMIFS($J:$J,$B:$B,$B320,$A:$A,"&gt;="&amp;COUNTIFS($K$1:S$1,"&lt;&gt;"))),0)</f>
        <v>0</v>
      </c>
      <c r="T320">
        <f>IFERROR($J320/IF($A320&lt;COUNTIFS($K$1:T$1,"&lt;&gt;"),0,SUMIFS($J:$J,$B:$B,$B320,$A:$A,"&gt;="&amp;COUNTIFS($K$1:T$1,"&lt;&gt;"))),0)</f>
        <v>0</v>
      </c>
      <c r="U320">
        <f>IFERROR($J320/IF($A320&lt;COUNTIFS($K$1:U$1,"&lt;&gt;"),0,SUMIFS($J:$J,$B:$B,$B320,$A:$A,"&gt;="&amp;COUNTIFS($K$1:U$1,"&lt;&gt;"))),0)</f>
        <v>0</v>
      </c>
      <c r="V320">
        <f>IFERROR($J320/IF($A320&lt;COUNTIFS($K$1:V$1,"&lt;&gt;"),0,SUMIFS($J:$J,$B:$B,$B320,$A:$A,"&gt;="&amp;COUNTIFS($K$1:V$1,"&lt;&gt;"))),0)</f>
        <v>0</v>
      </c>
      <c r="W320">
        <f t="shared" si="112"/>
        <v>8.4931506849315067E-2</v>
      </c>
      <c r="X320">
        <f t="shared" si="92"/>
        <v>8.4931506849315067E-2</v>
      </c>
      <c r="Y320">
        <f t="shared" si="93"/>
        <v>8.4931506849315067E-2</v>
      </c>
      <c r="Z320">
        <f t="shared" si="94"/>
        <v>8.4931506849315067E-2</v>
      </c>
      <c r="AA320">
        <f t="shared" si="95"/>
        <v>8.4931506849315067E-2</v>
      </c>
      <c r="AB320">
        <f t="shared" si="96"/>
        <v>8.4931506849315067E-2</v>
      </c>
      <c r="AC320">
        <f t="shared" si="97"/>
        <v>8.4931506849315067E-2</v>
      </c>
      <c r="AD320">
        <f t="shared" si="98"/>
        <v>0</v>
      </c>
      <c r="AE320">
        <f t="shared" si="99"/>
        <v>0</v>
      </c>
      <c r="AF320">
        <f t="shared" si="100"/>
        <v>0</v>
      </c>
      <c r="AG320">
        <f t="shared" si="101"/>
        <v>0</v>
      </c>
      <c r="AH320">
        <f t="shared" si="102"/>
        <v>0</v>
      </c>
      <c r="AI320">
        <f t="shared" si="103"/>
        <v>0</v>
      </c>
      <c r="AJ320" s="2" t="str">
        <f t="shared" si="113"/>
        <v>644562</v>
      </c>
    </row>
    <row r="321" spans="1:36" x14ac:dyDescent="0.25">
      <c r="A321">
        <v>7</v>
      </c>
      <c r="B321" s="1">
        <v>44562</v>
      </c>
      <c r="C321" s="1">
        <f t="shared" si="104"/>
        <v>44774</v>
      </c>
      <c r="D321" s="1">
        <f t="shared" si="105"/>
        <v>44576</v>
      </c>
      <c r="E321" s="1">
        <f t="shared" si="106"/>
        <v>44774</v>
      </c>
      <c r="F321" s="1">
        <f t="shared" si="107"/>
        <v>44805</v>
      </c>
      <c r="G321" s="1">
        <f t="shared" si="108"/>
        <v>44941</v>
      </c>
      <c r="H321">
        <f t="shared" si="109"/>
        <v>365</v>
      </c>
      <c r="I321">
        <f t="shared" si="110"/>
        <v>31</v>
      </c>
      <c r="J321">
        <f t="shared" si="111"/>
        <v>8.4931506849315067E-2</v>
      </c>
      <c r="K321">
        <f>IFERROR($J321/IF($A321&lt;COUNTIFS($K$1:K$1,"&lt;&gt;"),0,SUMIFS($J:$J,$B:$B,$B321,$A:$A,"&gt;="&amp;COUNTIFS($K$1:K$1,"&lt;&gt;"))),0)</f>
        <v>8.9080459770114959E-2</v>
      </c>
      <c r="L321">
        <f>IFERROR($J321/IF($A321&lt;COUNTIFS($K$1:L$1,"&lt;&gt;"),0,SUMIFS($J:$J,$B:$B,$B321,$A:$A,"&gt;="&amp;COUNTIFS($K$1:L$1,"&lt;&gt;"))),0)</f>
        <v>9.6875000000000017E-2</v>
      </c>
      <c r="M321">
        <f>IFERROR($J321/IF($A321&lt;COUNTIFS($K$1:M$1,"&lt;&gt;"),0,SUMIFS($J:$J,$B:$B,$B321,$A:$A,"&gt;="&amp;COUNTIFS($K$1:M$1,"&lt;&gt;"))),0)</f>
        <v>0.10726643598615919</v>
      </c>
      <c r="N321">
        <f>IFERROR($J321/IF($A321&lt;COUNTIFS($K$1:N$1,"&lt;&gt;"),0,SUMIFS($J:$J,$B:$B,$B321,$A:$A,"&gt;="&amp;COUNTIFS($K$1:N$1,"&lt;&gt;"))),0)</f>
        <v>0.11969111969111972</v>
      </c>
      <c r="O321">
        <f>IFERROR($J321/IF($A321&lt;COUNTIFS($K$1:O$1,"&lt;&gt;"),0,SUMIFS($J:$J,$B:$B,$B321,$A:$A,"&gt;="&amp;COUNTIFS($K$1:O$1,"&lt;&gt;"))),0)</f>
        <v>0.13596491228070179</v>
      </c>
      <c r="P321">
        <f>IFERROR($J321/IF($A321&lt;COUNTIFS($K$1:P$1,"&lt;&gt;"),0,SUMIFS($J:$J,$B:$B,$B321,$A:$A,"&gt;="&amp;COUNTIFS($K$1:P$1,"&lt;&gt;"))),0)</f>
        <v>0.1565656565656566</v>
      </c>
      <c r="Q321">
        <f>IFERROR($J321/IF($A321&lt;COUNTIFS($K$1:Q$1,"&lt;&gt;"),0,SUMIFS($J:$J,$B:$B,$B321,$A:$A,"&gt;="&amp;COUNTIFS($K$1:Q$1,"&lt;&gt;"))),0)</f>
        <v>0.18562874251497008</v>
      </c>
      <c r="R321">
        <f>IFERROR($J321/IF($A321&lt;COUNTIFS($K$1:R$1,"&lt;&gt;"),0,SUMIFS($J:$J,$B:$B,$B321,$A:$A,"&gt;="&amp;COUNTIFS($K$1:R$1,"&lt;&gt;"))),0)</f>
        <v>0</v>
      </c>
      <c r="S321">
        <f>IFERROR($J321/IF($A321&lt;COUNTIFS($K$1:S$1,"&lt;&gt;"),0,SUMIFS($J:$J,$B:$B,$B321,$A:$A,"&gt;="&amp;COUNTIFS($K$1:S$1,"&lt;&gt;"))),0)</f>
        <v>0</v>
      </c>
      <c r="T321">
        <f>IFERROR($J321/IF($A321&lt;COUNTIFS($K$1:T$1,"&lt;&gt;"),0,SUMIFS($J:$J,$B:$B,$B321,$A:$A,"&gt;="&amp;COUNTIFS($K$1:T$1,"&lt;&gt;"))),0)</f>
        <v>0</v>
      </c>
      <c r="U321">
        <f>IFERROR($J321/IF($A321&lt;COUNTIFS($K$1:U$1,"&lt;&gt;"),0,SUMIFS($J:$J,$B:$B,$B321,$A:$A,"&gt;="&amp;COUNTIFS($K$1:U$1,"&lt;&gt;"))),0)</f>
        <v>0</v>
      </c>
      <c r="V321">
        <f>IFERROR($J321/IF($A321&lt;COUNTIFS($K$1:V$1,"&lt;&gt;"),0,SUMIFS($J:$J,$B:$B,$B321,$A:$A,"&gt;="&amp;COUNTIFS($K$1:V$1,"&lt;&gt;"))),0)</f>
        <v>0</v>
      </c>
      <c r="W321">
        <f t="shared" si="112"/>
        <v>8.4931506849315067E-2</v>
      </c>
      <c r="X321">
        <f t="shared" si="92"/>
        <v>8.4931506849315067E-2</v>
      </c>
      <c r="Y321">
        <f t="shared" si="93"/>
        <v>8.4931506849315067E-2</v>
      </c>
      <c r="Z321">
        <f t="shared" si="94"/>
        <v>8.4931506849315067E-2</v>
      </c>
      <c r="AA321">
        <f t="shared" si="95"/>
        <v>8.4931506849315067E-2</v>
      </c>
      <c r="AB321">
        <f t="shared" si="96"/>
        <v>8.4931506849315067E-2</v>
      </c>
      <c r="AC321">
        <f t="shared" si="97"/>
        <v>8.4931506849315067E-2</v>
      </c>
      <c r="AD321">
        <f t="shared" si="98"/>
        <v>8.4931506849315067E-2</v>
      </c>
      <c r="AE321">
        <f t="shared" si="99"/>
        <v>0</v>
      </c>
      <c r="AF321">
        <f t="shared" si="100"/>
        <v>0</v>
      </c>
      <c r="AG321">
        <f t="shared" si="101"/>
        <v>0</v>
      </c>
      <c r="AH321">
        <f t="shared" si="102"/>
        <v>0</v>
      </c>
      <c r="AI321">
        <f t="shared" si="103"/>
        <v>0</v>
      </c>
      <c r="AJ321" s="2" t="str">
        <f t="shared" si="113"/>
        <v>744562</v>
      </c>
    </row>
    <row r="322" spans="1:36" x14ac:dyDescent="0.25">
      <c r="A322">
        <v>8</v>
      </c>
      <c r="B322" s="1">
        <v>44562</v>
      </c>
      <c r="C322" s="1">
        <f t="shared" si="104"/>
        <v>44805</v>
      </c>
      <c r="D322" s="1">
        <f t="shared" si="105"/>
        <v>44576</v>
      </c>
      <c r="E322" s="1">
        <f t="shared" si="106"/>
        <v>44805</v>
      </c>
      <c r="F322" s="1">
        <f t="shared" si="107"/>
        <v>44835</v>
      </c>
      <c r="G322" s="1">
        <f t="shared" si="108"/>
        <v>44941</v>
      </c>
      <c r="H322">
        <f t="shared" si="109"/>
        <v>365</v>
      </c>
      <c r="I322">
        <f t="shared" si="110"/>
        <v>30</v>
      </c>
      <c r="J322">
        <f t="shared" si="111"/>
        <v>8.2191780821917804E-2</v>
      </c>
      <c r="K322">
        <f>IFERROR($J322/IF($A322&lt;COUNTIFS($K$1:K$1,"&lt;&gt;"),0,SUMIFS($J:$J,$B:$B,$B322,$A:$A,"&gt;="&amp;COUNTIFS($K$1:K$1,"&lt;&gt;"))),0)</f>
        <v>8.6206896551724144E-2</v>
      </c>
      <c r="L322">
        <f>IFERROR($J322/IF($A322&lt;COUNTIFS($K$1:L$1,"&lt;&gt;"),0,SUMIFS($J:$J,$B:$B,$B322,$A:$A,"&gt;="&amp;COUNTIFS($K$1:L$1,"&lt;&gt;"))),0)</f>
        <v>9.3750000000000014E-2</v>
      </c>
      <c r="M322">
        <f>IFERROR($J322/IF($A322&lt;COUNTIFS($K$1:M$1,"&lt;&gt;"),0,SUMIFS($J:$J,$B:$B,$B322,$A:$A,"&gt;="&amp;COUNTIFS($K$1:M$1,"&lt;&gt;"))),0)</f>
        <v>0.10380622837370243</v>
      </c>
      <c r="N322">
        <f>IFERROR($J322/IF($A322&lt;COUNTIFS($K$1:N$1,"&lt;&gt;"),0,SUMIFS($J:$J,$B:$B,$B322,$A:$A,"&gt;="&amp;COUNTIFS($K$1:N$1,"&lt;&gt;"))),0)</f>
        <v>0.11583011583011585</v>
      </c>
      <c r="O322">
        <f>IFERROR($J322/IF($A322&lt;COUNTIFS($K$1:O$1,"&lt;&gt;"),0,SUMIFS($J:$J,$B:$B,$B322,$A:$A,"&gt;="&amp;COUNTIFS($K$1:O$1,"&lt;&gt;"))),0)</f>
        <v>0.13157894736842107</v>
      </c>
      <c r="P322">
        <f>IFERROR($J322/IF($A322&lt;COUNTIFS($K$1:P$1,"&lt;&gt;"),0,SUMIFS($J:$J,$B:$B,$B322,$A:$A,"&gt;="&amp;COUNTIFS($K$1:P$1,"&lt;&gt;"))),0)</f>
        <v>0.15151515151515155</v>
      </c>
      <c r="Q322">
        <f>IFERROR($J322/IF($A322&lt;COUNTIFS($K$1:Q$1,"&lt;&gt;"),0,SUMIFS($J:$J,$B:$B,$B322,$A:$A,"&gt;="&amp;COUNTIFS($K$1:Q$1,"&lt;&gt;"))),0)</f>
        <v>0.17964071856287425</v>
      </c>
      <c r="R322">
        <f>IFERROR($J322/IF($A322&lt;COUNTIFS($K$1:R$1,"&lt;&gt;"),0,SUMIFS($J:$J,$B:$B,$B322,$A:$A,"&gt;="&amp;COUNTIFS($K$1:R$1,"&lt;&gt;"))),0)</f>
        <v>0.22058823529411764</v>
      </c>
      <c r="S322">
        <f>IFERROR($J322/IF($A322&lt;COUNTIFS($K$1:S$1,"&lt;&gt;"),0,SUMIFS($J:$J,$B:$B,$B322,$A:$A,"&gt;="&amp;COUNTIFS($K$1:S$1,"&lt;&gt;"))),0)</f>
        <v>0</v>
      </c>
      <c r="T322">
        <f>IFERROR($J322/IF($A322&lt;COUNTIFS($K$1:T$1,"&lt;&gt;"),0,SUMIFS($J:$J,$B:$B,$B322,$A:$A,"&gt;="&amp;COUNTIFS($K$1:T$1,"&lt;&gt;"))),0)</f>
        <v>0</v>
      </c>
      <c r="U322">
        <f>IFERROR($J322/IF($A322&lt;COUNTIFS($K$1:U$1,"&lt;&gt;"),0,SUMIFS($J:$J,$B:$B,$B322,$A:$A,"&gt;="&amp;COUNTIFS($K$1:U$1,"&lt;&gt;"))),0)</f>
        <v>0</v>
      </c>
      <c r="V322">
        <f>IFERROR($J322/IF($A322&lt;COUNTIFS($K$1:V$1,"&lt;&gt;"),0,SUMIFS($J:$J,$B:$B,$B322,$A:$A,"&gt;="&amp;COUNTIFS($K$1:V$1,"&lt;&gt;"))),0)</f>
        <v>0</v>
      </c>
      <c r="W322">
        <f t="shared" si="112"/>
        <v>8.2191780821917804E-2</v>
      </c>
      <c r="X322">
        <f t="shared" ref="X322:X385" si="114">IF(K322=0,0,$J322)</f>
        <v>8.2191780821917804E-2</v>
      </c>
      <c r="Y322">
        <f t="shared" ref="Y322:Y385" si="115">IF(L322=0,0,$J322)</f>
        <v>8.2191780821917804E-2</v>
      </c>
      <c r="Z322">
        <f t="shared" ref="Z322:Z385" si="116">IF(M322=0,0,$J322)</f>
        <v>8.2191780821917804E-2</v>
      </c>
      <c r="AA322">
        <f t="shared" ref="AA322:AA385" si="117">IF(N322=0,0,$J322)</f>
        <v>8.2191780821917804E-2</v>
      </c>
      <c r="AB322">
        <f t="shared" ref="AB322:AB385" si="118">IF(O322=0,0,$J322)</f>
        <v>8.2191780821917804E-2</v>
      </c>
      <c r="AC322">
        <f t="shared" ref="AC322:AC385" si="119">IF(P322=0,0,$J322)</f>
        <v>8.2191780821917804E-2</v>
      </c>
      <c r="AD322">
        <f t="shared" ref="AD322:AD385" si="120">IF(Q322=0,0,$J322)</f>
        <v>8.2191780821917804E-2</v>
      </c>
      <c r="AE322">
        <f t="shared" ref="AE322:AE385" si="121">IF(R322=0,0,$J322)</f>
        <v>8.2191780821917804E-2</v>
      </c>
      <c r="AF322">
        <f t="shared" ref="AF322:AF385" si="122">IF(S322=0,0,$J322)</f>
        <v>0</v>
      </c>
      <c r="AG322">
        <f t="shared" ref="AG322:AG385" si="123">IF(T322=0,0,$J322)</f>
        <v>0</v>
      </c>
      <c r="AH322">
        <f t="shared" ref="AH322:AH385" si="124">IF(U322=0,0,$J322)</f>
        <v>0</v>
      </c>
      <c r="AI322">
        <f t="shared" ref="AI322:AI385" si="125">IF(V322=0,0,$J322)</f>
        <v>0</v>
      </c>
      <c r="AJ322" s="2" t="str">
        <f t="shared" si="113"/>
        <v>844562</v>
      </c>
    </row>
    <row r="323" spans="1:36" x14ac:dyDescent="0.25">
      <c r="A323">
        <v>9</v>
      </c>
      <c r="B323" s="1">
        <v>44562</v>
      </c>
      <c r="C323" s="1">
        <f t="shared" ref="C323:C386" si="126">EDATE(B323,A323)</f>
        <v>44835</v>
      </c>
      <c r="D323" s="1">
        <f t="shared" ref="D323:D386" si="127">B323+14</f>
        <v>44576</v>
      </c>
      <c r="E323" s="1">
        <f t="shared" ref="E323:E386" si="128">IF($A323=0,C323+14,C323)</f>
        <v>44835</v>
      </c>
      <c r="F323" s="1">
        <f t="shared" ref="F323:F386" si="129">IF(EDATE(C323,1)&gt;G323,G323,EDATE(C323,1))</f>
        <v>44866</v>
      </c>
      <c r="G323" s="1">
        <f t="shared" ref="G323:G386" si="130">EDATE(D323,12)</f>
        <v>44941</v>
      </c>
      <c r="H323">
        <f t="shared" ref="H323:H386" si="131">G323-D323</f>
        <v>365</v>
      </c>
      <c r="I323">
        <f t="shared" ref="I323:I386" si="132">F323-E323</f>
        <v>31</v>
      </c>
      <c r="J323">
        <f t="shared" ref="J323:J386" si="133">I323/H323</f>
        <v>8.4931506849315067E-2</v>
      </c>
      <c r="K323">
        <f>IFERROR($J323/IF($A323&lt;COUNTIFS($K$1:K$1,"&lt;&gt;"),0,SUMIFS($J:$J,$B:$B,$B323,$A:$A,"&gt;="&amp;COUNTIFS($K$1:K$1,"&lt;&gt;"))),0)</f>
        <v>8.9080459770114959E-2</v>
      </c>
      <c r="L323">
        <f>IFERROR($J323/IF($A323&lt;COUNTIFS($K$1:L$1,"&lt;&gt;"),0,SUMIFS($J:$J,$B:$B,$B323,$A:$A,"&gt;="&amp;COUNTIFS($K$1:L$1,"&lt;&gt;"))),0)</f>
        <v>9.6875000000000017E-2</v>
      </c>
      <c r="M323">
        <f>IFERROR($J323/IF($A323&lt;COUNTIFS($K$1:M$1,"&lt;&gt;"),0,SUMIFS($J:$J,$B:$B,$B323,$A:$A,"&gt;="&amp;COUNTIFS($K$1:M$1,"&lt;&gt;"))),0)</f>
        <v>0.10726643598615919</v>
      </c>
      <c r="N323">
        <f>IFERROR($J323/IF($A323&lt;COUNTIFS($K$1:N$1,"&lt;&gt;"),0,SUMIFS($J:$J,$B:$B,$B323,$A:$A,"&gt;="&amp;COUNTIFS($K$1:N$1,"&lt;&gt;"))),0)</f>
        <v>0.11969111969111972</v>
      </c>
      <c r="O323">
        <f>IFERROR($J323/IF($A323&lt;COUNTIFS($K$1:O$1,"&lt;&gt;"),0,SUMIFS($J:$J,$B:$B,$B323,$A:$A,"&gt;="&amp;COUNTIFS($K$1:O$1,"&lt;&gt;"))),0)</f>
        <v>0.13596491228070179</v>
      </c>
      <c r="P323">
        <f>IFERROR($J323/IF($A323&lt;COUNTIFS($K$1:P$1,"&lt;&gt;"),0,SUMIFS($J:$J,$B:$B,$B323,$A:$A,"&gt;="&amp;COUNTIFS($K$1:P$1,"&lt;&gt;"))),0)</f>
        <v>0.1565656565656566</v>
      </c>
      <c r="Q323">
        <f>IFERROR($J323/IF($A323&lt;COUNTIFS($K$1:Q$1,"&lt;&gt;"),0,SUMIFS($J:$J,$B:$B,$B323,$A:$A,"&gt;="&amp;COUNTIFS($K$1:Q$1,"&lt;&gt;"))),0)</f>
        <v>0.18562874251497008</v>
      </c>
      <c r="R323">
        <f>IFERROR($J323/IF($A323&lt;COUNTIFS($K$1:R$1,"&lt;&gt;"),0,SUMIFS($J:$J,$B:$B,$B323,$A:$A,"&gt;="&amp;COUNTIFS($K$1:R$1,"&lt;&gt;"))),0)</f>
        <v>0.22794117647058826</v>
      </c>
      <c r="S323">
        <f>IFERROR($J323/IF($A323&lt;COUNTIFS($K$1:S$1,"&lt;&gt;"),0,SUMIFS($J:$J,$B:$B,$B323,$A:$A,"&gt;="&amp;COUNTIFS($K$1:S$1,"&lt;&gt;"))),0)</f>
        <v>0.29245283018867929</v>
      </c>
      <c r="T323">
        <f>IFERROR($J323/IF($A323&lt;COUNTIFS($K$1:T$1,"&lt;&gt;"),0,SUMIFS($J:$J,$B:$B,$B323,$A:$A,"&gt;="&amp;COUNTIFS($K$1:T$1,"&lt;&gt;"))),0)</f>
        <v>0</v>
      </c>
      <c r="U323">
        <f>IFERROR($J323/IF($A323&lt;COUNTIFS($K$1:U$1,"&lt;&gt;"),0,SUMIFS($J:$J,$B:$B,$B323,$A:$A,"&gt;="&amp;COUNTIFS($K$1:U$1,"&lt;&gt;"))),0)</f>
        <v>0</v>
      </c>
      <c r="V323">
        <f>IFERROR($J323/IF($A323&lt;COUNTIFS($K$1:V$1,"&lt;&gt;"),0,SUMIFS($J:$J,$B:$B,$B323,$A:$A,"&gt;="&amp;COUNTIFS($K$1:V$1,"&lt;&gt;"))),0)</f>
        <v>0</v>
      </c>
      <c r="W323">
        <f t="shared" ref="W323:W386" si="134">IF(J323=0,0,$J323)</f>
        <v>8.4931506849315067E-2</v>
      </c>
      <c r="X323">
        <f t="shared" si="114"/>
        <v>8.4931506849315067E-2</v>
      </c>
      <c r="Y323">
        <f t="shared" si="115"/>
        <v>8.4931506849315067E-2</v>
      </c>
      <c r="Z323">
        <f t="shared" si="116"/>
        <v>8.4931506849315067E-2</v>
      </c>
      <c r="AA323">
        <f t="shared" si="117"/>
        <v>8.4931506849315067E-2</v>
      </c>
      <c r="AB323">
        <f t="shared" si="118"/>
        <v>8.4931506849315067E-2</v>
      </c>
      <c r="AC323">
        <f t="shared" si="119"/>
        <v>8.4931506849315067E-2</v>
      </c>
      <c r="AD323">
        <f t="shared" si="120"/>
        <v>8.4931506849315067E-2</v>
      </c>
      <c r="AE323">
        <f t="shared" si="121"/>
        <v>8.4931506849315067E-2</v>
      </c>
      <c r="AF323">
        <f t="shared" si="122"/>
        <v>8.4931506849315067E-2</v>
      </c>
      <c r="AG323">
        <f t="shared" si="123"/>
        <v>0</v>
      </c>
      <c r="AH323">
        <f t="shared" si="124"/>
        <v>0</v>
      </c>
      <c r="AI323">
        <f t="shared" si="125"/>
        <v>0</v>
      </c>
      <c r="AJ323" s="2" t="str">
        <f t="shared" ref="AJ323:AJ386" si="135">A323&amp;B323</f>
        <v>944562</v>
      </c>
    </row>
    <row r="324" spans="1:36" x14ac:dyDescent="0.25">
      <c r="A324">
        <v>10</v>
      </c>
      <c r="B324" s="1">
        <v>44562</v>
      </c>
      <c r="C324" s="1">
        <f t="shared" si="126"/>
        <v>44866</v>
      </c>
      <c r="D324" s="1">
        <f t="shared" si="127"/>
        <v>44576</v>
      </c>
      <c r="E324" s="1">
        <f t="shared" si="128"/>
        <v>44866</v>
      </c>
      <c r="F324" s="1">
        <f t="shared" si="129"/>
        <v>44896</v>
      </c>
      <c r="G324" s="1">
        <f t="shared" si="130"/>
        <v>44941</v>
      </c>
      <c r="H324">
        <f t="shared" si="131"/>
        <v>365</v>
      </c>
      <c r="I324">
        <f t="shared" si="132"/>
        <v>30</v>
      </c>
      <c r="J324">
        <f t="shared" si="133"/>
        <v>8.2191780821917804E-2</v>
      </c>
      <c r="K324">
        <f>IFERROR($J324/IF($A324&lt;COUNTIFS($K$1:K$1,"&lt;&gt;"),0,SUMIFS($J:$J,$B:$B,$B324,$A:$A,"&gt;="&amp;COUNTIFS($K$1:K$1,"&lt;&gt;"))),0)</f>
        <v>8.6206896551724144E-2</v>
      </c>
      <c r="L324">
        <f>IFERROR($J324/IF($A324&lt;COUNTIFS($K$1:L$1,"&lt;&gt;"),0,SUMIFS($J:$J,$B:$B,$B324,$A:$A,"&gt;="&amp;COUNTIFS($K$1:L$1,"&lt;&gt;"))),0)</f>
        <v>9.3750000000000014E-2</v>
      </c>
      <c r="M324">
        <f>IFERROR($J324/IF($A324&lt;COUNTIFS($K$1:M$1,"&lt;&gt;"),0,SUMIFS($J:$J,$B:$B,$B324,$A:$A,"&gt;="&amp;COUNTIFS($K$1:M$1,"&lt;&gt;"))),0)</f>
        <v>0.10380622837370243</v>
      </c>
      <c r="N324">
        <f>IFERROR($J324/IF($A324&lt;COUNTIFS($K$1:N$1,"&lt;&gt;"),0,SUMIFS($J:$J,$B:$B,$B324,$A:$A,"&gt;="&amp;COUNTIFS($K$1:N$1,"&lt;&gt;"))),0)</f>
        <v>0.11583011583011585</v>
      </c>
      <c r="O324">
        <f>IFERROR($J324/IF($A324&lt;COUNTIFS($K$1:O$1,"&lt;&gt;"),0,SUMIFS($J:$J,$B:$B,$B324,$A:$A,"&gt;="&amp;COUNTIFS($K$1:O$1,"&lt;&gt;"))),0)</f>
        <v>0.13157894736842107</v>
      </c>
      <c r="P324">
        <f>IFERROR($J324/IF($A324&lt;COUNTIFS($K$1:P$1,"&lt;&gt;"),0,SUMIFS($J:$J,$B:$B,$B324,$A:$A,"&gt;="&amp;COUNTIFS($K$1:P$1,"&lt;&gt;"))),0)</f>
        <v>0.15151515151515155</v>
      </c>
      <c r="Q324">
        <f>IFERROR($J324/IF($A324&lt;COUNTIFS($K$1:Q$1,"&lt;&gt;"),0,SUMIFS($J:$J,$B:$B,$B324,$A:$A,"&gt;="&amp;COUNTIFS($K$1:Q$1,"&lt;&gt;"))),0)</f>
        <v>0.17964071856287425</v>
      </c>
      <c r="R324">
        <f>IFERROR($J324/IF($A324&lt;COUNTIFS($K$1:R$1,"&lt;&gt;"),0,SUMIFS($J:$J,$B:$B,$B324,$A:$A,"&gt;="&amp;COUNTIFS($K$1:R$1,"&lt;&gt;"))),0)</f>
        <v>0.22058823529411764</v>
      </c>
      <c r="S324">
        <f>IFERROR($J324/IF($A324&lt;COUNTIFS($K$1:S$1,"&lt;&gt;"),0,SUMIFS($J:$J,$B:$B,$B324,$A:$A,"&gt;="&amp;COUNTIFS($K$1:S$1,"&lt;&gt;"))),0)</f>
        <v>0.28301886792452829</v>
      </c>
      <c r="T324">
        <f>IFERROR($J324/IF($A324&lt;COUNTIFS($K$1:T$1,"&lt;&gt;"),0,SUMIFS($J:$J,$B:$B,$B324,$A:$A,"&gt;="&amp;COUNTIFS($K$1:T$1,"&lt;&gt;"))),0)</f>
        <v>0.4</v>
      </c>
      <c r="U324">
        <f>IFERROR($J324/IF($A324&lt;COUNTIFS($K$1:U$1,"&lt;&gt;"),0,SUMIFS($J:$J,$B:$B,$B324,$A:$A,"&gt;="&amp;COUNTIFS($K$1:U$1,"&lt;&gt;"))),0)</f>
        <v>0</v>
      </c>
      <c r="V324">
        <f>IFERROR($J324/IF($A324&lt;COUNTIFS($K$1:V$1,"&lt;&gt;"),0,SUMIFS($J:$J,$B:$B,$B324,$A:$A,"&gt;="&amp;COUNTIFS($K$1:V$1,"&lt;&gt;"))),0)</f>
        <v>0</v>
      </c>
      <c r="W324">
        <f t="shared" si="134"/>
        <v>8.2191780821917804E-2</v>
      </c>
      <c r="X324">
        <f t="shared" si="114"/>
        <v>8.2191780821917804E-2</v>
      </c>
      <c r="Y324">
        <f t="shared" si="115"/>
        <v>8.2191780821917804E-2</v>
      </c>
      <c r="Z324">
        <f t="shared" si="116"/>
        <v>8.2191780821917804E-2</v>
      </c>
      <c r="AA324">
        <f t="shared" si="117"/>
        <v>8.2191780821917804E-2</v>
      </c>
      <c r="AB324">
        <f t="shared" si="118"/>
        <v>8.2191780821917804E-2</v>
      </c>
      <c r="AC324">
        <f t="shared" si="119"/>
        <v>8.2191780821917804E-2</v>
      </c>
      <c r="AD324">
        <f t="shared" si="120"/>
        <v>8.2191780821917804E-2</v>
      </c>
      <c r="AE324">
        <f t="shared" si="121"/>
        <v>8.2191780821917804E-2</v>
      </c>
      <c r="AF324">
        <f t="shared" si="122"/>
        <v>8.2191780821917804E-2</v>
      </c>
      <c r="AG324">
        <f t="shared" si="123"/>
        <v>8.2191780821917804E-2</v>
      </c>
      <c r="AH324">
        <f t="shared" si="124"/>
        <v>0</v>
      </c>
      <c r="AI324">
        <f t="shared" si="125"/>
        <v>0</v>
      </c>
      <c r="AJ324" s="2" t="str">
        <f t="shared" si="135"/>
        <v>1044562</v>
      </c>
    </row>
    <row r="325" spans="1:36" x14ac:dyDescent="0.25">
      <c r="A325">
        <v>11</v>
      </c>
      <c r="B325" s="1">
        <v>44562</v>
      </c>
      <c r="C325" s="1">
        <f t="shared" si="126"/>
        <v>44896</v>
      </c>
      <c r="D325" s="1">
        <f t="shared" si="127"/>
        <v>44576</v>
      </c>
      <c r="E325" s="1">
        <f t="shared" si="128"/>
        <v>44896</v>
      </c>
      <c r="F325" s="1">
        <f t="shared" si="129"/>
        <v>44927</v>
      </c>
      <c r="G325" s="1">
        <f t="shared" si="130"/>
        <v>44941</v>
      </c>
      <c r="H325">
        <f t="shared" si="131"/>
        <v>365</v>
      </c>
      <c r="I325">
        <f t="shared" si="132"/>
        <v>31</v>
      </c>
      <c r="J325">
        <f t="shared" si="133"/>
        <v>8.4931506849315067E-2</v>
      </c>
      <c r="K325">
        <f>IFERROR($J325/IF($A325&lt;COUNTIFS($K$1:K$1,"&lt;&gt;"),0,SUMIFS($J:$J,$B:$B,$B325,$A:$A,"&gt;="&amp;COUNTIFS($K$1:K$1,"&lt;&gt;"))),0)</f>
        <v>8.9080459770114959E-2</v>
      </c>
      <c r="L325">
        <f>IFERROR($J325/IF($A325&lt;COUNTIFS($K$1:L$1,"&lt;&gt;"),0,SUMIFS($J:$J,$B:$B,$B325,$A:$A,"&gt;="&amp;COUNTIFS($K$1:L$1,"&lt;&gt;"))),0)</f>
        <v>9.6875000000000017E-2</v>
      </c>
      <c r="M325">
        <f>IFERROR($J325/IF($A325&lt;COUNTIFS($K$1:M$1,"&lt;&gt;"),0,SUMIFS($J:$J,$B:$B,$B325,$A:$A,"&gt;="&amp;COUNTIFS($K$1:M$1,"&lt;&gt;"))),0)</f>
        <v>0.10726643598615919</v>
      </c>
      <c r="N325">
        <f>IFERROR($J325/IF($A325&lt;COUNTIFS($K$1:N$1,"&lt;&gt;"),0,SUMIFS($J:$J,$B:$B,$B325,$A:$A,"&gt;="&amp;COUNTIFS($K$1:N$1,"&lt;&gt;"))),0)</f>
        <v>0.11969111969111972</v>
      </c>
      <c r="O325">
        <f>IFERROR($J325/IF($A325&lt;COUNTIFS($K$1:O$1,"&lt;&gt;"),0,SUMIFS($J:$J,$B:$B,$B325,$A:$A,"&gt;="&amp;COUNTIFS($K$1:O$1,"&lt;&gt;"))),0)</f>
        <v>0.13596491228070179</v>
      </c>
      <c r="P325">
        <f>IFERROR($J325/IF($A325&lt;COUNTIFS($K$1:P$1,"&lt;&gt;"),0,SUMIFS($J:$J,$B:$B,$B325,$A:$A,"&gt;="&amp;COUNTIFS($K$1:P$1,"&lt;&gt;"))),0)</f>
        <v>0.1565656565656566</v>
      </c>
      <c r="Q325">
        <f>IFERROR($J325/IF($A325&lt;COUNTIFS($K$1:Q$1,"&lt;&gt;"),0,SUMIFS($J:$J,$B:$B,$B325,$A:$A,"&gt;="&amp;COUNTIFS($K$1:Q$1,"&lt;&gt;"))),0)</f>
        <v>0.18562874251497008</v>
      </c>
      <c r="R325">
        <f>IFERROR($J325/IF($A325&lt;COUNTIFS($K$1:R$1,"&lt;&gt;"),0,SUMIFS($J:$J,$B:$B,$B325,$A:$A,"&gt;="&amp;COUNTIFS($K$1:R$1,"&lt;&gt;"))),0)</f>
        <v>0.22794117647058826</v>
      </c>
      <c r="S325">
        <f>IFERROR($J325/IF($A325&lt;COUNTIFS($K$1:S$1,"&lt;&gt;"),0,SUMIFS($J:$J,$B:$B,$B325,$A:$A,"&gt;="&amp;COUNTIFS($K$1:S$1,"&lt;&gt;"))),0)</f>
        <v>0.29245283018867929</v>
      </c>
      <c r="T325">
        <f>IFERROR($J325/IF($A325&lt;COUNTIFS($K$1:T$1,"&lt;&gt;"),0,SUMIFS($J:$J,$B:$B,$B325,$A:$A,"&gt;="&amp;COUNTIFS($K$1:T$1,"&lt;&gt;"))),0)</f>
        <v>0.41333333333333333</v>
      </c>
      <c r="U325">
        <f>IFERROR($J325/IF($A325&lt;COUNTIFS($K$1:U$1,"&lt;&gt;"),0,SUMIFS($J:$J,$B:$B,$B325,$A:$A,"&gt;="&amp;COUNTIFS($K$1:U$1,"&lt;&gt;"))),0)</f>
        <v>0.68888888888888888</v>
      </c>
      <c r="V325">
        <f>IFERROR($J325/IF($A325&lt;COUNTIFS($K$1:V$1,"&lt;&gt;"),0,SUMIFS($J:$J,$B:$B,$B325,$A:$A,"&gt;="&amp;COUNTIFS($K$1:V$1,"&lt;&gt;"))),0)</f>
        <v>0</v>
      </c>
      <c r="W325">
        <f t="shared" si="134"/>
        <v>8.4931506849315067E-2</v>
      </c>
      <c r="X325">
        <f t="shared" si="114"/>
        <v>8.4931506849315067E-2</v>
      </c>
      <c r="Y325">
        <f t="shared" si="115"/>
        <v>8.4931506849315067E-2</v>
      </c>
      <c r="Z325">
        <f t="shared" si="116"/>
        <v>8.4931506849315067E-2</v>
      </c>
      <c r="AA325">
        <f t="shared" si="117"/>
        <v>8.4931506849315067E-2</v>
      </c>
      <c r="AB325">
        <f t="shared" si="118"/>
        <v>8.4931506849315067E-2</v>
      </c>
      <c r="AC325">
        <f t="shared" si="119"/>
        <v>8.4931506849315067E-2</v>
      </c>
      <c r="AD325">
        <f t="shared" si="120"/>
        <v>8.4931506849315067E-2</v>
      </c>
      <c r="AE325">
        <f t="shared" si="121"/>
        <v>8.4931506849315067E-2</v>
      </c>
      <c r="AF325">
        <f t="shared" si="122"/>
        <v>8.4931506849315067E-2</v>
      </c>
      <c r="AG325">
        <f t="shared" si="123"/>
        <v>8.4931506849315067E-2</v>
      </c>
      <c r="AH325">
        <f t="shared" si="124"/>
        <v>8.4931506849315067E-2</v>
      </c>
      <c r="AI325">
        <f t="shared" si="125"/>
        <v>0</v>
      </c>
      <c r="AJ325" s="2" t="str">
        <f t="shared" si="135"/>
        <v>1144562</v>
      </c>
    </row>
    <row r="326" spans="1:36" x14ac:dyDescent="0.25">
      <c r="A326">
        <v>12</v>
      </c>
      <c r="B326" s="1">
        <v>44562</v>
      </c>
      <c r="C326" s="1">
        <f t="shared" si="126"/>
        <v>44927</v>
      </c>
      <c r="D326" s="1">
        <f t="shared" si="127"/>
        <v>44576</v>
      </c>
      <c r="E326" s="1">
        <f t="shared" si="128"/>
        <v>44927</v>
      </c>
      <c r="F326" s="1">
        <f t="shared" si="129"/>
        <v>44941</v>
      </c>
      <c r="G326" s="1">
        <f t="shared" si="130"/>
        <v>44941</v>
      </c>
      <c r="H326">
        <f t="shared" si="131"/>
        <v>365</v>
      </c>
      <c r="I326">
        <f t="shared" si="132"/>
        <v>14</v>
      </c>
      <c r="J326">
        <f t="shared" si="133"/>
        <v>3.8356164383561646E-2</v>
      </c>
      <c r="K326">
        <f>IFERROR($J326/IF($A326&lt;COUNTIFS($K$1:K$1,"&lt;&gt;"),0,SUMIFS($J:$J,$B:$B,$B326,$A:$A,"&gt;="&amp;COUNTIFS($K$1:K$1,"&lt;&gt;"))),0)</f>
        <v>4.0229885057471271E-2</v>
      </c>
      <c r="L326">
        <f>IFERROR($J326/IF($A326&lt;COUNTIFS($K$1:L$1,"&lt;&gt;"),0,SUMIFS($J:$J,$B:$B,$B326,$A:$A,"&gt;="&amp;COUNTIFS($K$1:L$1,"&lt;&gt;"))),0)</f>
        <v>4.3750000000000011E-2</v>
      </c>
      <c r="M326">
        <f>IFERROR($J326/IF($A326&lt;COUNTIFS($K$1:M$1,"&lt;&gt;"),0,SUMIFS($J:$J,$B:$B,$B326,$A:$A,"&gt;="&amp;COUNTIFS($K$1:M$1,"&lt;&gt;"))),0)</f>
        <v>4.8442906574394477E-2</v>
      </c>
      <c r="N326">
        <f>IFERROR($J326/IF($A326&lt;COUNTIFS($K$1:N$1,"&lt;&gt;"),0,SUMIFS($J:$J,$B:$B,$B326,$A:$A,"&gt;="&amp;COUNTIFS($K$1:N$1,"&lt;&gt;"))),0)</f>
        <v>5.4054054054054071E-2</v>
      </c>
      <c r="O326">
        <f>IFERROR($J326/IF($A326&lt;COUNTIFS($K$1:O$1,"&lt;&gt;"),0,SUMIFS($J:$J,$B:$B,$B326,$A:$A,"&gt;="&amp;COUNTIFS($K$1:O$1,"&lt;&gt;"))),0)</f>
        <v>6.1403508771929842E-2</v>
      </c>
      <c r="P326">
        <f>IFERROR($J326/IF($A326&lt;COUNTIFS($K$1:P$1,"&lt;&gt;"),0,SUMIFS($J:$J,$B:$B,$B326,$A:$A,"&gt;="&amp;COUNTIFS($K$1:P$1,"&lt;&gt;"))),0)</f>
        <v>7.0707070707070732E-2</v>
      </c>
      <c r="Q326">
        <f>IFERROR($J326/IF($A326&lt;COUNTIFS($K$1:Q$1,"&lt;&gt;"),0,SUMIFS($J:$J,$B:$B,$B326,$A:$A,"&gt;="&amp;COUNTIFS($K$1:Q$1,"&lt;&gt;"))),0)</f>
        <v>8.3832335329341326E-2</v>
      </c>
      <c r="R326">
        <f>IFERROR($J326/IF($A326&lt;COUNTIFS($K$1:R$1,"&lt;&gt;"),0,SUMIFS($J:$J,$B:$B,$B326,$A:$A,"&gt;="&amp;COUNTIFS($K$1:R$1,"&lt;&gt;"))),0)</f>
        <v>0.10294117647058824</v>
      </c>
      <c r="S326">
        <f>IFERROR($J326/IF($A326&lt;COUNTIFS($K$1:S$1,"&lt;&gt;"),0,SUMIFS($J:$J,$B:$B,$B326,$A:$A,"&gt;="&amp;COUNTIFS($K$1:S$1,"&lt;&gt;"))),0)</f>
        <v>0.13207547169811323</v>
      </c>
      <c r="T326">
        <f>IFERROR($J326/IF($A326&lt;COUNTIFS($K$1:T$1,"&lt;&gt;"),0,SUMIFS($J:$J,$B:$B,$B326,$A:$A,"&gt;="&amp;COUNTIFS($K$1:T$1,"&lt;&gt;"))),0)</f>
        <v>0.18666666666666668</v>
      </c>
      <c r="U326">
        <f>IFERROR($J326/IF($A326&lt;COUNTIFS($K$1:U$1,"&lt;&gt;"),0,SUMIFS($J:$J,$B:$B,$B326,$A:$A,"&gt;="&amp;COUNTIFS($K$1:U$1,"&lt;&gt;"))),0)</f>
        <v>0.31111111111111117</v>
      </c>
      <c r="V326">
        <f>IFERROR($J326/IF($A326&lt;COUNTIFS($K$1:V$1,"&lt;&gt;"),0,SUMIFS($J:$J,$B:$B,$B326,$A:$A,"&gt;="&amp;COUNTIFS($K$1:V$1,"&lt;&gt;"))),0)</f>
        <v>1</v>
      </c>
      <c r="W326">
        <f t="shared" si="134"/>
        <v>3.8356164383561646E-2</v>
      </c>
      <c r="X326">
        <f t="shared" si="114"/>
        <v>3.8356164383561646E-2</v>
      </c>
      <c r="Y326">
        <f t="shared" si="115"/>
        <v>3.8356164383561646E-2</v>
      </c>
      <c r="Z326">
        <f t="shared" si="116"/>
        <v>3.8356164383561646E-2</v>
      </c>
      <c r="AA326">
        <f t="shared" si="117"/>
        <v>3.8356164383561646E-2</v>
      </c>
      <c r="AB326">
        <f t="shared" si="118"/>
        <v>3.8356164383561646E-2</v>
      </c>
      <c r="AC326">
        <f t="shared" si="119"/>
        <v>3.8356164383561646E-2</v>
      </c>
      <c r="AD326">
        <f t="shared" si="120"/>
        <v>3.8356164383561646E-2</v>
      </c>
      <c r="AE326">
        <f t="shared" si="121"/>
        <v>3.8356164383561646E-2</v>
      </c>
      <c r="AF326">
        <f t="shared" si="122"/>
        <v>3.8356164383561646E-2</v>
      </c>
      <c r="AG326">
        <f t="shared" si="123"/>
        <v>3.8356164383561646E-2</v>
      </c>
      <c r="AH326">
        <f t="shared" si="124"/>
        <v>3.8356164383561646E-2</v>
      </c>
      <c r="AI326">
        <f t="shared" si="125"/>
        <v>3.8356164383561646E-2</v>
      </c>
      <c r="AJ326" s="2" t="str">
        <f t="shared" si="135"/>
        <v>1244562</v>
      </c>
    </row>
    <row r="327" spans="1:36" x14ac:dyDescent="0.25">
      <c r="A327">
        <v>0</v>
      </c>
      <c r="B327" s="1">
        <v>44593</v>
      </c>
      <c r="C327" s="1">
        <f t="shared" si="126"/>
        <v>44593</v>
      </c>
      <c r="D327" s="1">
        <f t="shared" si="127"/>
        <v>44607</v>
      </c>
      <c r="E327" s="1">
        <f t="shared" si="128"/>
        <v>44607</v>
      </c>
      <c r="F327" s="1">
        <f t="shared" si="129"/>
        <v>44621</v>
      </c>
      <c r="G327" s="1">
        <f t="shared" si="130"/>
        <v>44972</v>
      </c>
      <c r="H327">
        <f t="shared" si="131"/>
        <v>365</v>
      </c>
      <c r="I327">
        <f t="shared" si="132"/>
        <v>14</v>
      </c>
      <c r="J327">
        <f t="shared" si="133"/>
        <v>3.8356164383561646E-2</v>
      </c>
      <c r="K327">
        <f>IFERROR($J327/IF($A327&lt;COUNTIFS($K$1:K$1,"&lt;&gt;"),0,SUMIFS($J:$J,$B:$B,$B327,$A:$A,"&gt;="&amp;COUNTIFS($K$1:K$1,"&lt;&gt;"))),0)</f>
        <v>0</v>
      </c>
      <c r="L327">
        <f>IFERROR($J327/IF($A327&lt;COUNTIFS($K$1:L$1,"&lt;&gt;"),0,SUMIFS($J:$J,$B:$B,$B327,$A:$A,"&gt;="&amp;COUNTIFS($K$1:L$1,"&lt;&gt;"))),0)</f>
        <v>0</v>
      </c>
      <c r="M327">
        <f>IFERROR($J327/IF($A327&lt;COUNTIFS($K$1:M$1,"&lt;&gt;"),0,SUMIFS($J:$J,$B:$B,$B327,$A:$A,"&gt;="&amp;COUNTIFS($K$1:M$1,"&lt;&gt;"))),0)</f>
        <v>0</v>
      </c>
      <c r="N327">
        <f>IFERROR($J327/IF($A327&lt;COUNTIFS($K$1:N$1,"&lt;&gt;"),0,SUMIFS($J:$J,$B:$B,$B327,$A:$A,"&gt;="&amp;COUNTIFS($K$1:N$1,"&lt;&gt;"))),0)</f>
        <v>0</v>
      </c>
      <c r="O327">
        <f>IFERROR($J327/IF($A327&lt;COUNTIFS($K$1:O$1,"&lt;&gt;"),0,SUMIFS($J:$J,$B:$B,$B327,$A:$A,"&gt;="&amp;COUNTIFS($K$1:O$1,"&lt;&gt;"))),0)</f>
        <v>0</v>
      </c>
      <c r="P327">
        <f>IFERROR($J327/IF($A327&lt;COUNTIFS($K$1:P$1,"&lt;&gt;"),0,SUMIFS($J:$J,$B:$B,$B327,$A:$A,"&gt;="&amp;COUNTIFS($K$1:P$1,"&lt;&gt;"))),0)</f>
        <v>0</v>
      </c>
      <c r="Q327">
        <f>IFERROR($J327/IF($A327&lt;COUNTIFS($K$1:Q$1,"&lt;&gt;"),0,SUMIFS($J:$J,$B:$B,$B327,$A:$A,"&gt;="&amp;COUNTIFS($K$1:Q$1,"&lt;&gt;"))),0)</f>
        <v>0</v>
      </c>
      <c r="R327">
        <f>IFERROR($J327/IF($A327&lt;COUNTIFS($K$1:R$1,"&lt;&gt;"),0,SUMIFS($J:$J,$B:$B,$B327,$A:$A,"&gt;="&amp;COUNTIFS($K$1:R$1,"&lt;&gt;"))),0)</f>
        <v>0</v>
      </c>
      <c r="S327">
        <f>IFERROR($J327/IF($A327&lt;COUNTIFS($K$1:S$1,"&lt;&gt;"),0,SUMIFS($J:$J,$B:$B,$B327,$A:$A,"&gt;="&amp;COUNTIFS($K$1:S$1,"&lt;&gt;"))),0)</f>
        <v>0</v>
      </c>
      <c r="T327">
        <f>IFERROR($J327/IF($A327&lt;COUNTIFS($K$1:T$1,"&lt;&gt;"),0,SUMIFS($J:$J,$B:$B,$B327,$A:$A,"&gt;="&amp;COUNTIFS($K$1:T$1,"&lt;&gt;"))),0)</f>
        <v>0</v>
      </c>
      <c r="U327">
        <f>IFERROR($J327/IF($A327&lt;COUNTIFS($K$1:U$1,"&lt;&gt;"),0,SUMIFS($J:$J,$B:$B,$B327,$A:$A,"&gt;="&amp;COUNTIFS($K$1:U$1,"&lt;&gt;"))),0)</f>
        <v>0</v>
      </c>
      <c r="V327">
        <f>IFERROR($J327/IF($A327&lt;COUNTIFS($K$1:V$1,"&lt;&gt;"),0,SUMIFS($J:$J,$B:$B,$B327,$A:$A,"&gt;="&amp;COUNTIFS($K$1:V$1,"&lt;&gt;"))),0)</f>
        <v>0</v>
      </c>
      <c r="W327">
        <f t="shared" si="134"/>
        <v>3.8356164383561646E-2</v>
      </c>
      <c r="X327">
        <f t="shared" si="114"/>
        <v>0</v>
      </c>
      <c r="Y327">
        <f t="shared" si="115"/>
        <v>0</v>
      </c>
      <c r="Z327">
        <f t="shared" si="116"/>
        <v>0</v>
      </c>
      <c r="AA327">
        <f t="shared" si="117"/>
        <v>0</v>
      </c>
      <c r="AB327">
        <f t="shared" si="118"/>
        <v>0</v>
      </c>
      <c r="AC327">
        <f t="shared" si="119"/>
        <v>0</v>
      </c>
      <c r="AD327">
        <f t="shared" si="120"/>
        <v>0</v>
      </c>
      <c r="AE327">
        <f t="shared" si="121"/>
        <v>0</v>
      </c>
      <c r="AF327">
        <f t="shared" si="122"/>
        <v>0</v>
      </c>
      <c r="AG327">
        <f t="shared" si="123"/>
        <v>0</v>
      </c>
      <c r="AH327">
        <f t="shared" si="124"/>
        <v>0</v>
      </c>
      <c r="AI327">
        <f t="shared" si="125"/>
        <v>0</v>
      </c>
      <c r="AJ327" s="2" t="str">
        <f t="shared" si="135"/>
        <v>044593</v>
      </c>
    </row>
    <row r="328" spans="1:36" x14ac:dyDescent="0.25">
      <c r="A328">
        <v>1</v>
      </c>
      <c r="B328" s="1">
        <v>44593</v>
      </c>
      <c r="C328" s="1">
        <f t="shared" si="126"/>
        <v>44621</v>
      </c>
      <c r="D328" s="1">
        <f t="shared" si="127"/>
        <v>44607</v>
      </c>
      <c r="E328" s="1">
        <f t="shared" si="128"/>
        <v>44621</v>
      </c>
      <c r="F328" s="1">
        <f t="shared" si="129"/>
        <v>44652</v>
      </c>
      <c r="G328" s="1">
        <f t="shared" si="130"/>
        <v>44972</v>
      </c>
      <c r="H328">
        <f t="shared" si="131"/>
        <v>365</v>
      </c>
      <c r="I328">
        <f t="shared" si="132"/>
        <v>31</v>
      </c>
      <c r="J328">
        <f t="shared" si="133"/>
        <v>8.4931506849315067E-2</v>
      </c>
      <c r="K328">
        <f>IFERROR($J328/IF($A328&lt;COUNTIFS($K$1:K$1,"&lt;&gt;"),0,SUMIFS($J:$J,$B:$B,$B328,$A:$A,"&gt;="&amp;COUNTIFS($K$1:K$1,"&lt;&gt;"))),0)</f>
        <v>8.8319088319088329E-2</v>
      </c>
      <c r="L328">
        <f>IFERROR($J328/IF($A328&lt;COUNTIFS($K$1:L$1,"&lt;&gt;"),0,SUMIFS($J:$J,$B:$B,$B328,$A:$A,"&gt;="&amp;COUNTIFS($K$1:L$1,"&lt;&gt;"))),0)</f>
        <v>0</v>
      </c>
      <c r="M328">
        <f>IFERROR($J328/IF($A328&lt;COUNTIFS($K$1:M$1,"&lt;&gt;"),0,SUMIFS($J:$J,$B:$B,$B328,$A:$A,"&gt;="&amp;COUNTIFS($K$1:M$1,"&lt;&gt;"))),0)</f>
        <v>0</v>
      </c>
      <c r="N328">
        <f>IFERROR($J328/IF($A328&lt;COUNTIFS($K$1:N$1,"&lt;&gt;"),0,SUMIFS($J:$J,$B:$B,$B328,$A:$A,"&gt;="&amp;COUNTIFS($K$1:N$1,"&lt;&gt;"))),0)</f>
        <v>0</v>
      </c>
      <c r="O328">
        <f>IFERROR($J328/IF($A328&lt;COUNTIFS($K$1:O$1,"&lt;&gt;"),0,SUMIFS($J:$J,$B:$B,$B328,$A:$A,"&gt;="&amp;COUNTIFS($K$1:O$1,"&lt;&gt;"))),0)</f>
        <v>0</v>
      </c>
      <c r="P328">
        <f>IFERROR($J328/IF($A328&lt;COUNTIFS($K$1:P$1,"&lt;&gt;"),0,SUMIFS($J:$J,$B:$B,$B328,$A:$A,"&gt;="&amp;COUNTIFS($K$1:P$1,"&lt;&gt;"))),0)</f>
        <v>0</v>
      </c>
      <c r="Q328">
        <f>IFERROR($J328/IF($A328&lt;COUNTIFS($K$1:Q$1,"&lt;&gt;"),0,SUMIFS($J:$J,$B:$B,$B328,$A:$A,"&gt;="&amp;COUNTIFS($K$1:Q$1,"&lt;&gt;"))),0)</f>
        <v>0</v>
      </c>
      <c r="R328">
        <f>IFERROR($J328/IF($A328&lt;COUNTIFS($K$1:R$1,"&lt;&gt;"),0,SUMIFS($J:$J,$B:$B,$B328,$A:$A,"&gt;="&amp;COUNTIFS($K$1:R$1,"&lt;&gt;"))),0)</f>
        <v>0</v>
      </c>
      <c r="S328">
        <f>IFERROR($J328/IF($A328&lt;COUNTIFS($K$1:S$1,"&lt;&gt;"),0,SUMIFS($J:$J,$B:$B,$B328,$A:$A,"&gt;="&amp;COUNTIFS($K$1:S$1,"&lt;&gt;"))),0)</f>
        <v>0</v>
      </c>
      <c r="T328">
        <f>IFERROR($J328/IF($A328&lt;COUNTIFS($K$1:T$1,"&lt;&gt;"),0,SUMIFS($J:$J,$B:$B,$B328,$A:$A,"&gt;="&amp;COUNTIFS($K$1:T$1,"&lt;&gt;"))),0)</f>
        <v>0</v>
      </c>
      <c r="U328">
        <f>IFERROR($J328/IF($A328&lt;COUNTIFS($K$1:U$1,"&lt;&gt;"),0,SUMIFS($J:$J,$B:$B,$B328,$A:$A,"&gt;="&amp;COUNTIFS($K$1:U$1,"&lt;&gt;"))),0)</f>
        <v>0</v>
      </c>
      <c r="V328">
        <f>IFERROR($J328/IF($A328&lt;COUNTIFS($K$1:V$1,"&lt;&gt;"),0,SUMIFS($J:$J,$B:$B,$B328,$A:$A,"&gt;="&amp;COUNTIFS($K$1:V$1,"&lt;&gt;"))),0)</f>
        <v>0</v>
      </c>
      <c r="W328">
        <f t="shared" si="134"/>
        <v>8.4931506849315067E-2</v>
      </c>
      <c r="X328">
        <f t="shared" si="114"/>
        <v>8.4931506849315067E-2</v>
      </c>
      <c r="Y328">
        <f t="shared" si="115"/>
        <v>0</v>
      </c>
      <c r="Z328">
        <f t="shared" si="116"/>
        <v>0</v>
      </c>
      <c r="AA328">
        <f t="shared" si="117"/>
        <v>0</v>
      </c>
      <c r="AB328">
        <f t="shared" si="118"/>
        <v>0</v>
      </c>
      <c r="AC328">
        <f t="shared" si="119"/>
        <v>0</v>
      </c>
      <c r="AD328">
        <f t="shared" si="120"/>
        <v>0</v>
      </c>
      <c r="AE328">
        <f t="shared" si="121"/>
        <v>0</v>
      </c>
      <c r="AF328">
        <f t="shared" si="122"/>
        <v>0</v>
      </c>
      <c r="AG328">
        <f t="shared" si="123"/>
        <v>0</v>
      </c>
      <c r="AH328">
        <f t="shared" si="124"/>
        <v>0</v>
      </c>
      <c r="AI328">
        <f t="shared" si="125"/>
        <v>0</v>
      </c>
      <c r="AJ328" s="2" t="str">
        <f t="shared" si="135"/>
        <v>144593</v>
      </c>
    </row>
    <row r="329" spans="1:36" x14ac:dyDescent="0.25">
      <c r="A329">
        <v>2</v>
      </c>
      <c r="B329" s="1">
        <v>44593</v>
      </c>
      <c r="C329" s="1">
        <f t="shared" si="126"/>
        <v>44652</v>
      </c>
      <c r="D329" s="1">
        <f t="shared" si="127"/>
        <v>44607</v>
      </c>
      <c r="E329" s="1">
        <f t="shared" si="128"/>
        <v>44652</v>
      </c>
      <c r="F329" s="1">
        <f t="shared" si="129"/>
        <v>44682</v>
      </c>
      <c r="G329" s="1">
        <f t="shared" si="130"/>
        <v>44972</v>
      </c>
      <c r="H329">
        <f t="shared" si="131"/>
        <v>365</v>
      </c>
      <c r="I329">
        <f t="shared" si="132"/>
        <v>30</v>
      </c>
      <c r="J329">
        <f t="shared" si="133"/>
        <v>8.2191780821917804E-2</v>
      </c>
      <c r="K329">
        <f>IFERROR($J329/IF($A329&lt;COUNTIFS($K$1:K$1,"&lt;&gt;"),0,SUMIFS($J:$J,$B:$B,$B329,$A:$A,"&gt;="&amp;COUNTIFS($K$1:K$1,"&lt;&gt;"))),0)</f>
        <v>8.5470085470085486E-2</v>
      </c>
      <c r="L329">
        <f>IFERROR($J329/IF($A329&lt;COUNTIFS($K$1:L$1,"&lt;&gt;"),0,SUMIFS($J:$J,$B:$B,$B329,$A:$A,"&gt;="&amp;COUNTIFS($K$1:L$1,"&lt;&gt;"))),0)</f>
        <v>9.3750000000000014E-2</v>
      </c>
      <c r="M329">
        <f>IFERROR($J329/IF($A329&lt;COUNTIFS($K$1:M$1,"&lt;&gt;"),0,SUMIFS($J:$J,$B:$B,$B329,$A:$A,"&gt;="&amp;COUNTIFS($K$1:M$1,"&lt;&gt;"))),0)</f>
        <v>0</v>
      </c>
      <c r="N329">
        <f>IFERROR($J329/IF($A329&lt;COUNTIFS($K$1:N$1,"&lt;&gt;"),0,SUMIFS($J:$J,$B:$B,$B329,$A:$A,"&gt;="&amp;COUNTIFS($K$1:N$1,"&lt;&gt;"))),0)</f>
        <v>0</v>
      </c>
      <c r="O329">
        <f>IFERROR($J329/IF($A329&lt;COUNTIFS($K$1:O$1,"&lt;&gt;"),0,SUMIFS($J:$J,$B:$B,$B329,$A:$A,"&gt;="&amp;COUNTIFS($K$1:O$1,"&lt;&gt;"))),0)</f>
        <v>0</v>
      </c>
      <c r="P329">
        <f>IFERROR($J329/IF($A329&lt;COUNTIFS($K$1:P$1,"&lt;&gt;"),0,SUMIFS($J:$J,$B:$B,$B329,$A:$A,"&gt;="&amp;COUNTIFS($K$1:P$1,"&lt;&gt;"))),0)</f>
        <v>0</v>
      </c>
      <c r="Q329">
        <f>IFERROR($J329/IF($A329&lt;COUNTIFS($K$1:Q$1,"&lt;&gt;"),0,SUMIFS($J:$J,$B:$B,$B329,$A:$A,"&gt;="&amp;COUNTIFS($K$1:Q$1,"&lt;&gt;"))),0)</f>
        <v>0</v>
      </c>
      <c r="R329">
        <f>IFERROR($J329/IF($A329&lt;COUNTIFS($K$1:R$1,"&lt;&gt;"),0,SUMIFS($J:$J,$B:$B,$B329,$A:$A,"&gt;="&amp;COUNTIFS($K$1:R$1,"&lt;&gt;"))),0)</f>
        <v>0</v>
      </c>
      <c r="S329">
        <f>IFERROR($J329/IF($A329&lt;COUNTIFS($K$1:S$1,"&lt;&gt;"),0,SUMIFS($J:$J,$B:$B,$B329,$A:$A,"&gt;="&amp;COUNTIFS($K$1:S$1,"&lt;&gt;"))),0)</f>
        <v>0</v>
      </c>
      <c r="T329">
        <f>IFERROR($J329/IF($A329&lt;COUNTIFS($K$1:T$1,"&lt;&gt;"),0,SUMIFS($J:$J,$B:$B,$B329,$A:$A,"&gt;="&amp;COUNTIFS($K$1:T$1,"&lt;&gt;"))),0)</f>
        <v>0</v>
      </c>
      <c r="U329">
        <f>IFERROR($J329/IF($A329&lt;COUNTIFS($K$1:U$1,"&lt;&gt;"),0,SUMIFS($J:$J,$B:$B,$B329,$A:$A,"&gt;="&amp;COUNTIFS($K$1:U$1,"&lt;&gt;"))),0)</f>
        <v>0</v>
      </c>
      <c r="V329">
        <f>IFERROR($J329/IF($A329&lt;COUNTIFS($K$1:V$1,"&lt;&gt;"),0,SUMIFS($J:$J,$B:$B,$B329,$A:$A,"&gt;="&amp;COUNTIFS($K$1:V$1,"&lt;&gt;"))),0)</f>
        <v>0</v>
      </c>
      <c r="W329">
        <f t="shared" si="134"/>
        <v>8.2191780821917804E-2</v>
      </c>
      <c r="X329">
        <f t="shared" si="114"/>
        <v>8.2191780821917804E-2</v>
      </c>
      <c r="Y329">
        <f t="shared" si="115"/>
        <v>8.2191780821917804E-2</v>
      </c>
      <c r="Z329">
        <f t="shared" si="116"/>
        <v>0</v>
      </c>
      <c r="AA329">
        <f t="shared" si="117"/>
        <v>0</v>
      </c>
      <c r="AB329">
        <f t="shared" si="118"/>
        <v>0</v>
      </c>
      <c r="AC329">
        <f t="shared" si="119"/>
        <v>0</v>
      </c>
      <c r="AD329">
        <f t="shared" si="120"/>
        <v>0</v>
      </c>
      <c r="AE329">
        <f t="shared" si="121"/>
        <v>0</v>
      </c>
      <c r="AF329">
        <f t="shared" si="122"/>
        <v>0</v>
      </c>
      <c r="AG329">
        <f t="shared" si="123"/>
        <v>0</v>
      </c>
      <c r="AH329">
        <f t="shared" si="124"/>
        <v>0</v>
      </c>
      <c r="AI329">
        <f t="shared" si="125"/>
        <v>0</v>
      </c>
      <c r="AJ329" s="2" t="str">
        <f t="shared" si="135"/>
        <v>244593</v>
      </c>
    </row>
    <row r="330" spans="1:36" x14ac:dyDescent="0.25">
      <c r="A330">
        <v>3</v>
      </c>
      <c r="B330" s="1">
        <v>44593</v>
      </c>
      <c r="C330" s="1">
        <f t="shared" si="126"/>
        <v>44682</v>
      </c>
      <c r="D330" s="1">
        <f t="shared" si="127"/>
        <v>44607</v>
      </c>
      <c r="E330" s="1">
        <f t="shared" si="128"/>
        <v>44682</v>
      </c>
      <c r="F330" s="1">
        <f t="shared" si="129"/>
        <v>44713</v>
      </c>
      <c r="G330" s="1">
        <f t="shared" si="130"/>
        <v>44972</v>
      </c>
      <c r="H330">
        <f t="shared" si="131"/>
        <v>365</v>
      </c>
      <c r="I330">
        <f t="shared" si="132"/>
        <v>31</v>
      </c>
      <c r="J330">
        <f t="shared" si="133"/>
        <v>8.4931506849315067E-2</v>
      </c>
      <c r="K330">
        <f>IFERROR($J330/IF($A330&lt;COUNTIFS($K$1:K$1,"&lt;&gt;"),0,SUMIFS($J:$J,$B:$B,$B330,$A:$A,"&gt;="&amp;COUNTIFS($K$1:K$1,"&lt;&gt;"))),0)</f>
        <v>8.8319088319088329E-2</v>
      </c>
      <c r="L330">
        <f>IFERROR($J330/IF($A330&lt;COUNTIFS($K$1:L$1,"&lt;&gt;"),0,SUMIFS($J:$J,$B:$B,$B330,$A:$A,"&gt;="&amp;COUNTIFS($K$1:L$1,"&lt;&gt;"))),0)</f>
        <v>9.6875000000000017E-2</v>
      </c>
      <c r="M330">
        <f>IFERROR($J330/IF($A330&lt;COUNTIFS($K$1:M$1,"&lt;&gt;"),0,SUMIFS($J:$J,$B:$B,$B330,$A:$A,"&gt;="&amp;COUNTIFS($K$1:M$1,"&lt;&gt;"))),0)</f>
        <v>0.10689655172413795</v>
      </c>
      <c r="N330">
        <f>IFERROR($J330/IF($A330&lt;COUNTIFS($K$1:N$1,"&lt;&gt;"),0,SUMIFS($J:$J,$B:$B,$B330,$A:$A,"&gt;="&amp;COUNTIFS($K$1:N$1,"&lt;&gt;"))),0)</f>
        <v>0</v>
      </c>
      <c r="O330">
        <f>IFERROR($J330/IF($A330&lt;COUNTIFS($K$1:O$1,"&lt;&gt;"),0,SUMIFS($J:$J,$B:$B,$B330,$A:$A,"&gt;="&amp;COUNTIFS($K$1:O$1,"&lt;&gt;"))),0)</f>
        <v>0</v>
      </c>
      <c r="P330">
        <f>IFERROR($J330/IF($A330&lt;COUNTIFS($K$1:P$1,"&lt;&gt;"),0,SUMIFS($J:$J,$B:$B,$B330,$A:$A,"&gt;="&amp;COUNTIFS($K$1:P$1,"&lt;&gt;"))),0)</f>
        <v>0</v>
      </c>
      <c r="Q330">
        <f>IFERROR($J330/IF($A330&lt;COUNTIFS($K$1:Q$1,"&lt;&gt;"),0,SUMIFS($J:$J,$B:$B,$B330,$A:$A,"&gt;="&amp;COUNTIFS($K$1:Q$1,"&lt;&gt;"))),0)</f>
        <v>0</v>
      </c>
      <c r="R330">
        <f>IFERROR($J330/IF($A330&lt;COUNTIFS($K$1:R$1,"&lt;&gt;"),0,SUMIFS($J:$J,$B:$B,$B330,$A:$A,"&gt;="&amp;COUNTIFS($K$1:R$1,"&lt;&gt;"))),0)</f>
        <v>0</v>
      </c>
      <c r="S330">
        <f>IFERROR($J330/IF($A330&lt;COUNTIFS($K$1:S$1,"&lt;&gt;"),0,SUMIFS($J:$J,$B:$B,$B330,$A:$A,"&gt;="&amp;COUNTIFS($K$1:S$1,"&lt;&gt;"))),0)</f>
        <v>0</v>
      </c>
      <c r="T330">
        <f>IFERROR($J330/IF($A330&lt;COUNTIFS($K$1:T$1,"&lt;&gt;"),0,SUMIFS($J:$J,$B:$B,$B330,$A:$A,"&gt;="&amp;COUNTIFS($K$1:T$1,"&lt;&gt;"))),0)</f>
        <v>0</v>
      </c>
      <c r="U330">
        <f>IFERROR($J330/IF($A330&lt;COUNTIFS($K$1:U$1,"&lt;&gt;"),0,SUMIFS($J:$J,$B:$B,$B330,$A:$A,"&gt;="&amp;COUNTIFS($K$1:U$1,"&lt;&gt;"))),0)</f>
        <v>0</v>
      </c>
      <c r="V330">
        <f>IFERROR($J330/IF($A330&lt;COUNTIFS($K$1:V$1,"&lt;&gt;"),0,SUMIFS($J:$J,$B:$B,$B330,$A:$A,"&gt;="&amp;COUNTIFS($K$1:V$1,"&lt;&gt;"))),0)</f>
        <v>0</v>
      </c>
      <c r="W330">
        <f t="shared" si="134"/>
        <v>8.4931506849315067E-2</v>
      </c>
      <c r="X330">
        <f t="shared" si="114"/>
        <v>8.4931506849315067E-2</v>
      </c>
      <c r="Y330">
        <f t="shared" si="115"/>
        <v>8.4931506849315067E-2</v>
      </c>
      <c r="Z330">
        <f t="shared" si="116"/>
        <v>8.4931506849315067E-2</v>
      </c>
      <c r="AA330">
        <f t="shared" si="117"/>
        <v>0</v>
      </c>
      <c r="AB330">
        <f t="shared" si="118"/>
        <v>0</v>
      </c>
      <c r="AC330">
        <f t="shared" si="119"/>
        <v>0</v>
      </c>
      <c r="AD330">
        <f t="shared" si="120"/>
        <v>0</v>
      </c>
      <c r="AE330">
        <f t="shared" si="121"/>
        <v>0</v>
      </c>
      <c r="AF330">
        <f t="shared" si="122"/>
        <v>0</v>
      </c>
      <c r="AG330">
        <f t="shared" si="123"/>
        <v>0</v>
      </c>
      <c r="AH330">
        <f t="shared" si="124"/>
        <v>0</v>
      </c>
      <c r="AI330">
        <f t="shared" si="125"/>
        <v>0</v>
      </c>
      <c r="AJ330" s="2" t="str">
        <f t="shared" si="135"/>
        <v>344593</v>
      </c>
    </row>
    <row r="331" spans="1:36" x14ac:dyDescent="0.25">
      <c r="A331">
        <v>4</v>
      </c>
      <c r="B331" s="1">
        <v>44593</v>
      </c>
      <c r="C331" s="1">
        <f t="shared" si="126"/>
        <v>44713</v>
      </c>
      <c r="D331" s="1">
        <f t="shared" si="127"/>
        <v>44607</v>
      </c>
      <c r="E331" s="1">
        <f t="shared" si="128"/>
        <v>44713</v>
      </c>
      <c r="F331" s="1">
        <f t="shared" si="129"/>
        <v>44743</v>
      </c>
      <c r="G331" s="1">
        <f t="shared" si="130"/>
        <v>44972</v>
      </c>
      <c r="H331">
        <f t="shared" si="131"/>
        <v>365</v>
      </c>
      <c r="I331">
        <f t="shared" si="132"/>
        <v>30</v>
      </c>
      <c r="J331">
        <f t="shared" si="133"/>
        <v>8.2191780821917804E-2</v>
      </c>
      <c r="K331">
        <f>IFERROR($J331/IF($A331&lt;COUNTIFS($K$1:K$1,"&lt;&gt;"),0,SUMIFS($J:$J,$B:$B,$B331,$A:$A,"&gt;="&amp;COUNTIFS($K$1:K$1,"&lt;&gt;"))),0)</f>
        <v>8.5470085470085486E-2</v>
      </c>
      <c r="L331">
        <f>IFERROR($J331/IF($A331&lt;COUNTIFS($K$1:L$1,"&lt;&gt;"),0,SUMIFS($J:$J,$B:$B,$B331,$A:$A,"&gt;="&amp;COUNTIFS($K$1:L$1,"&lt;&gt;"))),0)</f>
        <v>9.3750000000000014E-2</v>
      </c>
      <c r="M331">
        <f>IFERROR($J331/IF($A331&lt;COUNTIFS($K$1:M$1,"&lt;&gt;"),0,SUMIFS($J:$J,$B:$B,$B331,$A:$A,"&gt;="&amp;COUNTIFS($K$1:M$1,"&lt;&gt;"))),0)</f>
        <v>0.10344827586206898</v>
      </c>
      <c r="N331">
        <f>IFERROR($J331/IF($A331&lt;COUNTIFS($K$1:N$1,"&lt;&gt;"),0,SUMIFS($J:$J,$B:$B,$B331,$A:$A,"&gt;="&amp;COUNTIFS($K$1:N$1,"&lt;&gt;"))),0)</f>
        <v>0.11583011583011585</v>
      </c>
      <c r="O331">
        <f>IFERROR($J331/IF($A331&lt;COUNTIFS($K$1:O$1,"&lt;&gt;"),0,SUMIFS($J:$J,$B:$B,$B331,$A:$A,"&gt;="&amp;COUNTIFS($K$1:O$1,"&lt;&gt;"))),0)</f>
        <v>0</v>
      </c>
      <c r="P331">
        <f>IFERROR($J331/IF($A331&lt;COUNTIFS($K$1:P$1,"&lt;&gt;"),0,SUMIFS($J:$J,$B:$B,$B331,$A:$A,"&gt;="&amp;COUNTIFS($K$1:P$1,"&lt;&gt;"))),0)</f>
        <v>0</v>
      </c>
      <c r="Q331">
        <f>IFERROR($J331/IF($A331&lt;COUNTIFS($K$1:Q$1,"&lt;&gt;"),0,SUMIFS($J:$J,$B:$B,$B331,$A:$A,"&gt;="&amp;COUNTIFS($K$1:Q$1,"&lt;&gt;"))),0)</f>
        <v>0</v>
      </c>
      <c r="R331">
        <f>IFERROR($J331/IF($A331&lt;COUNTIFS($K$1:R$1,"&lt;&gt;"),0,SUMIFS($J:$J,$B:$B,$B331,$A:$A,"&gt;="&amp;COUNTIFS($K$1:R$1,"&lt;&gt;"))),0)</f>
        <v>0</v>
      </c>
      <c r="S331">
        <f>IFERROR($J331/IF($A331&lt;COUNTIFS($K$1:S$1,"&lt;&gt;"),0,SUMIFS($J:$J,$B:$B,$B331,$A:$A,"&gt;="&amp;COUNTIFS($K$1:S$1,"&lt;&gt;"))),0)</f>
        <v>0</v>
      </c>
      <c r="T331">
        <f>IFERROR($J331/IF($A331&lt;COUNTIFS($K$1:T$1,"&lt;&gt;"),0,SUMIFS($J:$J,$B:$B,$B331,$A:$A,"&gt;="&amp;COUNTIFS($K$1:T$1,"&lt;&gt;"))),0)</f>
        <v>0</v>
      </c>
      <c r="U331">
        <f>IFERROR($J331/IF($A331&lt;COUNTIFS($K$1:U$1,"&lt;&gt;"),0,SUMIFS($J:$J,$B:$B,$B331,$A:$A,"&gt;="&amp;COUNTIFS($K$1:U$1,"&lt;&gt;"))),0)</f>
        <v>0</v>
      </c>
      <c r="V331">
        <f>IFERROR($J331/IF($A331&lt;COUNTIFS($K$1:V$1,"&lt;&gt;"),0,SUMIFS($J:$J,$B:$B,$B331,$A:$A,"&gt;="&amp;COUNTIFS($K$1:V$1,"&lt;&gt;"))),0)</f>
        <v>0</v>
      </c>
      <c r="W331">
        <f t="shared" si="134"/>
        <v>8.2191780821917804E-2</v>
      </c>
      <c r="X331">
        <f t="shared" si="114"/>
        <v>8.2191780821917804E-2</v>
      </c>
      <c r="Y331">
        <f t="shared" si="115"/>
        <v>8.2191780821917804E-2</v>
      </c>
      <c r="Z331">
        <f t="shared" si="116"/>
        <v>8.2191780821917804E-2</v>
      </c>
      <c r="AA331">
        <f t="shared" si="117"/>
        <v>8.2191780821917804E-2</v>
      </c>
      <c r="AB331">
        <f t="shared" si="118"/>
        <v>0</v>
      </c>
      <c r="AC331">
        <f t="shared" si="119"/>
        <v>0</v>
      </c>
      <c r="AD331">
        <f t="shared" si="120"/>
        <v>0</v>
      </c>
      <c r="AE331">
        <f t="shared" si="121"/>
        <v>0</v>
      </c>
      <c r="AF331">
        <f t="shared" si="122"/>
        <v>0</v>
      </c>
      <c r="AG331">
        <f t="shared" si="123"/>
        <v>0</v>
      </c>
      <c r="AH331">
        <f t="shared" si="124"/>
        <v>0</v>
      </c>
      <c r="AI331">
        <f t="shared" si="125"/>
        <v>0</v>
      </c>
      <c r="AJ331" s="2" t="str">
        <f t="shared" si="135"/>
        <v>444593</v>
      </c>
    </row>
    <row r="332" spans="1:36" x14ac:dyDescent="0.25">
      <c r="A332">
        <v>5</v>
      </c>
      <c r="B332" s="1">
        <v>44593</v>
      </c>
      <c r="C332" s="1">
        <f t="shared" si="126"/>
        <v>44743</v>
      </c>
      <c r="D332" s="1">
        <f t="shared" si="127"/>
        <v>44607</v>
      </c>
      <c r="E332" s="1">
        <f t="shared" si="128"/>
        <v>44743</v>
      </c>
      <c r="F332" s="1">
        <f t="shared" si="129"/>
        <v>44774</v>
      </c>
      <c r="G332" s="1">
        <f t="shared" si="130"/>
        <v>44972</v>
      </c>
      <c r="H332">
        <f t="shared" si="131"/>
        <v>365</v>
      </c>
      <c r="I332">
        <f t="shared" si="132"/>
        <v>31</v>
      </c>
      <c r="J332">
        <f t="shared" si="133"/>
        <v>8.4931506849315067E-2</v>
      </c>
      <c r="K332">
        <f>IFERROR($J332/IF($A332&lt;COUNTIFS($K$1:K$1,"&lt;&gt;"),0,SUMIFS($J:$J,$B:$B,$B332,$A:$A,"&gt;="&amp;COUNTIFS($K$1:K$1,"&lt;&gt;"))),0)</f>
        <v>8.8319088319088329E-2</v>
      </c>
      <c r="L332">
        <f>IFERROR($J332/IF($A332&lt;COUNTIFS($K$1:L$1,"&lt;&gt;"),0,SUMIFS($J:$J,$B:$B,$B332,$A:$A,"&gt;="&amp;COUNTIFS($K$1:L$1,"&lt;&gt;"))),0)</f>
        <v>9.6875000000000017E-2</v>
      </c>
      <c r="M332">
        <f>IFERROR($J332/IF($A332&lt;COUNTIFS($K$1:M$1,"&lt;&gt;"),0,SUMIFS($J:$J,$B:$B,$B332,$A:$A,"&gt;="&amp;COUNTIFS($K$1:M$1,"&lt;&gt;"))),0)</f>
        <v>0.10689655172413795</v>
      </c>
      <c r="N332">
        <f>IFERROR($J332/IF($A332&lt;COUNTIFS($K$1:N$1,"&lt;&gt;"),0,SUMIFS($J:$J,$B:$B,$B332,$A:$A,"&gt;="&amp;COUNTIFS($K$1:N$1,"&lt;&gt;"))),0)</f>
        <v>0.11969111969111972</v>
      </c>
      <c r="O332">
        <f>IFERROR($J332/IF($A332&lt;COUNTIFS($K$1:O$1,"&lt;&gt;"),0,SUMIFS($J:$J,$B:$B,$B332,$A:$A,"&gt;="&amp;COUNTIFS($K$1:O$1,"&lt;&gt;"))),0)</f>
        <v>0.13537117903930135</v>
      </c>
      <c r="P332">
        <f>IFERROR($J332/IF($A332&lt;COUNTIFS($K$1:P$1,"&lt;&gt;"),0,SUMIFS($J:$J,$B:$B,$B332,$A:$A,"&gt;="&amp;COUNTIFS($K$1:P$1,"&lt;&gt;"))),0)</f>
        <v>0</v>
      </c>
      <c r="Q332">
        <f>IFERROR($J332/IF($A332&lt;COUNTIFS($K$1:Q$1,"&lt;&gt;"),0,SUMIFS($J:$J,$B:$B,$B332,$A:$A,"&gt;="&amp;COUNTIFS($K$1:Q$1,"&lt;&gt;"))),0)</f>
        <v>0</v>
      </c>
      <c r="R332">
        <f>IFERROR($J332/IF($A332&lt;COUNTIFS($K$1:R$1,"&lt;&gt;"),0,SUMIFS($J:$J,$B:$B,$B332,$A:$A,"&gt;="&amp;COUNTIFS($K$1:R$1,"&lt;&gt;"))),0)</f>
        <v>0</v>
      </c>
      <c r="S332">
        <f>IFERROR($J332/IF($A332&lt;COUNTIFS($K$1:S$1,"&lt;&gt;"),0,SUMIFS($J:$J,$B:$B,$B332,$A:$A,"&gt;="&amp;COUNTIFS($K$1:S$1,"&lt;&gt;"))),0)</f>
        <v>0</v>
      </c>
      <c r="T332">
        <f>IFERROR($J332/IF($A332&lt;COUNTIFS($K$1:T$1,"&lt;&gt;"),0,SUMIFS($J:$J,$B:$B,$B332,$A:$A,"&gt;="&amp;COUNTIFS($K$1:T$1,"&lt;&gt;"))),0)</f>
        <v>0</v>
      </c>
      <c r="U332">
        <f>IFERROR($J332/IF($A332&lt;COUNTIFS($K$1:U$1,"&lt;&gt;"),0,SUMIFS($J:$J,$B:$B,$B332,$A:$A,"&gt;="&amp;COUNTIFS($K$1:U$1,"&lt;&gt;"))),0)</f>
        <v>0</v>
      </c>
      <c r="V332">
        <f>IFERROR($J332/IF($A332&lt;COUNTIFS($K$1:V$1,"&lt;&gt;"),0,SUMIFS($J:$J,$B:$B,$B332,$A:$A,"&gt;="&amp;COUNTIFS($K$1:V$1,"&lt;&gt;"))),0)</f>
        <v>0</v>
      </c>
      <c r="W332">
        <f t="shared" si="134"/>
        <v>8.4931506849315067E-2</v>
      </c>
      <c r="X332">
        <f t="shared" si="114"/>
        <v>8.4931506849315067E-2</v>
      </c>
      <c r="Y332">
        <f t="shared" si="115"/>
        <v>8.4931506849315067E-2</v>
      </c>
      <c r="Z332">
        <f t="shared" si="116"/>
        <v>8.4931506849315067E-2</v>
      </c>
      <c r="AA332">
        <f t="shared" si="117"/>
        <v>8.4931506849315067E-2</v>
      </c>
      <c r="AB332">
        <f t="shared" si="118"/>
        <v>8.4931506849315067E-2</v>
      </c>
      <c r="AC332">
        <f t="shared" si="119"/>
        <v>0</v>
      </c>
      <c r="AD332">
        <f t="shared" si="120"/>
        <v>0</v>
      </c>
      <c r="AE332">
        <f t="shared" si="121"/>
        <v>0</v>
      </c>
      <c r="AF332">
        <f t="shared" si="122"/>
        <v>0</v>
      </c>
      <c r="AG332">
        <f t="shared" si="123"/>
        <v>0</v>
      </c>
      <c r="AH332">
        <f t="shared" si="124"/>
        <v>0</v>
      </c>
      <c r="AI332">
        <f t="shared" si="125"/>
        <v>0</v>
      </c>
      <c r="AJ332" s="2" t="str">
        <f t="shared" si="135"/>
        <v>544593</v>
      </c>
    </row>
    <row r="333" spans="1:36" x14ac:dyDescent="0.25">
      <c r="A333">
        <v>6</v>
      </c>
      <c r="B333" s="1">
        <v>44593</v>
      </c>
      <c r="C333" s="1">
        <f t="shared" si="126"/>
        <v>44774</v>
      </c>
      <c r="D333" s="1">
        <f t="shared" si="127"/>
        <v>44607</v>
      </c>
      <c r="E333" s="1">
        <f t="shared" si="128"/>
        <v>44774</v>
      </c>
      <c r="F333" s="1">
        <f t="shared" si="129"/>
        <v>44805</v>
      </c>
      <c r="G333" s="1">
        <f t="shared" si="130"/>
        <v>44972</v>
      </c>
      <c r="H333">
        <f t="shared" si="131"/>
        <v>365</v>
      </c>
      <c r="I333">
        <f t="shared" si="132"/>
        <v>31</v>
      </c>
      <c r="J333">
        <f t="shared" si="133"/>
        <v>8.4931506849315067E-2</v>
      </c>
      <c r="K333">
        <f>IFERROR($J333/IF($A333&lt;COUNTIFS($K$1:K$1,"&lt;&gt;"),0,SUMIFS($J:$J,$B:$B,$B333,$A:$A,"&gt;="&amp;COUNTIFS($K$1:K$1,"&lt;&gt;"))),0)</f>
        <v>8.8319088319088329E-2</v>
      </c>
      <c r="L333">
        <f>IFERROR($J333/IF($A333&lt;COUNTIFS($K$1:L$1,"&lt;&gt;"),0,SUMIFS($J:$J,$B:$B,$B333,$A:$A,"&gt;="&amp;COUNTIFS($K$1:L$1,"&lt;&gt;"))),0)</f>
        <v>9.6875000000000017E-2</v>
      </c>
      <c r="M333">
        <f>IFERROR($J333/IF($A333&lt;COUNTIFS($K$1:M$1,"&lt;&gt;"),0,SUMIFS($J:$J,$B:$B,$B333,$A:$A,"&gt;="&amp;COUNTIFS($K$1:M$1,"&lt;&gt;"))),0)</f>
        <v>0.10689655172413795</v>
      </c>
      <c r="N333">
        <f>IFERROR($J333/IF($A333&lt;COUNTIFS($K$1:N$1,"&lt;&gt;"),0,SUMIFS($J:$J,$B:$B,$B333,$A:$A,"&gt;="&amp;COUNTIFS($K$1:N$1,"&lt;&gt;"))),0)</f>
        <v>0.11969111969111972</v>
      </c>
      <c r="O333">
        <f>IFERROR($J333/IF($A333&lt;COUNTIFS($K$1:O$1,"&lt;&gt;"),0,SUMIFS($J:$J,$B:$B,$B333,$A:$A,"&gt;="&amp;COUNTIFS($K$1:O$1,"&lt;&gt;"))),0)</f>
        <v>0.13537117903930135</v>
      </c>
      <c r="P333">
        <f>IFERROR($J333/IF($A333&lt;COUNTIFS($K$1:P$1,"&lt;&gt;"),0,SUMIFS($J:$J,$B:$B,$B333,$A:$A,"&gt;="&amp;COUNTIFS($K$1:P$1,"&lt;&gt;"))),0)</f>
        <v>0.1565656565656566</v>
      </c>
      <c r="Q333">
        <f>IFERROR($J333/IF($A333&lt;COUNTIFS($K$1:Q$1,"&lt;&gt;"),0,SUMIFS($J:$J,$B:$B,$B333,$A:$A,"&gt;="&amp;COUNTIFS($K$1:Q$1,"&lt;&gt;"))),0)</f>
        <v>0</v>
      </c>
      <c r="R333">
        <f>IFERROR($J333/IF($A333&lt;COUNTIFS($K$1:R$1,"&lt;&gt;"),0,SUMIFS($J:$J,$B:$B,$B333,$A:$A,"&gt;="&amp;COUNTIFS($K$1:R$1,"&lt;&gt;"))),0)</f>
        <v>0</v>
      </c>
      <c r="S333">
        <f>IFERROR($J333/IF($A333&lt;COUNTIFS($K$1:S$1,"&lt;&gt;"),0,SUMIFS($J:$J,$B:$B,$B333,$A:$A,"&gt;="&amp;COUNTIFS($K$1:S$1,"&lt;&gt;"))),0)</f>
        <v>0</v>
      </c>
      <c r="T333">
        <f>IFERROR($J333/IF($A333&lt;COUNTIFS($K$1:T$1,"&lt;&gt;"),0,SUMIFS($J:$J,$B:$B,$B333,$A:$A,"&gt;="&amp;COUNTIFS($K$1:T$1,"&lt;&gt;"))),0)</f>
        <v>0</v>
      </c>
      <c r="U333">
        <f>IFERROR($J333/IF($A333&lt;COUNTIFS($K$1:U$1,"&lt;&gt;"),0,SUMIFS($J:$J,$B:$B,$B333,$A:$A,"&gt;="&amp;COUNTIFS($K$1:U$1,"&lt;&gt;"))),0)</f>
        <v>0</v>
      </c>
      <c r="V333">
        <f>IFERROR($J333/IF($A333&lt;COUNTIFS($K$1:V$1,"&lt;&gt;"),0,SUMIFS($J:$J,$B:$B,$B333,$A:$A,"&gt;="&amp;COUNTIFS($K$1:V$1,"&lt;&gt;"))),0)</f>
        <v>0</v>
      </c>
      <c r="W333">
        <f t="shared" si="134"/>
        <v>8.4931506849315067E-2</v>
      </c>
      <c r="X333">
        <f t="shared" si="114"/>
        <v>8.4931506849315067E-2</v>
      </c>
      <c r="Y333">
        <f t="shared" si="115"/>
        <v>8.4931506849315067E-2</v>
      </c>
      <c r="Z333">
        <f t="shared" si="116"/>
        <v>8.4931506849315067E-2</v>
      </c>
      <c r="AA333">
        <f t="shared" si="117"/>
        <v>8.4931506849315067E-2</v>
      </c>
      <c r="AB333">
        <f t="shared" si="118"/>
        <v>8.4931506849315067E-2</v>
      </c>
      <c r="AC333">
        <f t="shared" si="119"/>
        <v>8.4931506849315067E-2</v>
      </c>
      <c r="AD333">
        <f t="shared" si="120"/>
        <v>0</v>
      </c>
      <c r="AE333">
        <f t="shared" si="121"/>
        <v>0</v>
      </c>
      <c r="AF333">
        <f t="shared" si="122"/>
        <v>0</v>
      </c>
      <c r="AG333">
        <f t="shared" si="123"/>
        <v>0</v>
      </c>
      <c r="AH333">
        <f t="shared" si="124"/>
        <v>0</v>
      </c>
      <c r="AI333">
        <f t="shared" si="125"/>
        <v>0</v>
      </c>
      <c r="AJ333" s="2" t="str">
        <f t="shared" si="135"/>
        <v>644593</v>
      </c>
    </row>
    <row r="334" spans="1:36" x14ac:dyDescent="0.25">
      <c r="A334">
        <v>7</v>
      </c>
      <c r="B334" s="1">
        <v>44593</v>
      </c>
      <c r="C334" s="1">
        <f t="shared" si="126"/>
        <v>44805</v>
      </c>
      <c r="D334" s="1">
        <f t="shared" si="127"/>
        <v>44607</v>
      </c>
      <c r="E334" s="1">
        <f t="shared" si="128"/>
        <v>44805</v>
      </c>
      <c r="F334" s="1">
        <f t="shared" si="129"/>
        <v>44835</v>
      </c>
      <c r="G334" s="1">
        <f t="shared" si="130"/>
        <v>44972</v>
      </c>
      <c r="H334">
        <f t="shared" si="131"/>
        <v>365</v>
      </c>
      <c r="I334">
        <f t="shared" si="132"/>
        <v>30</v>
      </c>
      <c r="J334">
        <f t="shared" si="133"/>
        <v>8.2191780821917804E-2</v>
      </c>
      <c r="K334">
        <f>IFERROR($J334/IF($A334&lt;COUNTIFS($K$1:K$1,"&lt;&gt;"),0,SUMIFS($J:$J,$B:$B,$B334,$A:$A,"&gt;="&amp;COUNTIFS($K$1:K$1,"&lt;&gt;"))),0)</f>
        <v>8.5470085470085486E-2</v>
      </c>
      <c r="L334">
        <f>IFERROR($J334/IF($A334&lt;COUNTIFS($K$1:L$1,"&lt;&gt;"),0,SUMIFS($J:$J,$B:$B,$B334,$A:$A,"&gt;="&amp;COUNTIFS($K$1:L$1,"&lt;&gt;"))),0)</f>
        <v>9.3750000000000014E-2</v>
      </c>
      <c r="M334">
        <f>IFERROR($J334/IF($A334&lt;COUNTIFS($K$1:M$1,"&lt;&gt;"),0,SUMIFS($J:$J,$B:$B,$B334,$A:$A,"&gt;="&amp;COUNTIFS($K$1:M$1,"&lt;&gt;"))),0)</f>
        <v>0.10344827586206898</v>
      </c>
      <c r="N334">
        <f>IFERROR($J334/IF($A334&lt;COUNTIFS($K$1:N$1,"&lt;&gt;"),0,SUMIFS($J:$J,$B:$B,$B334,$A:$A,"&gt;="&amp;COUNTIFS($K$1:N$1,"&lt;&gt;"))),0)</f>
        <v>0.11583011583011585</v>
      </c>
      <c r="O334">
        <f>IFERROR($J334/IF($A334&lt;COUNTIFS($K$1:O$1,"&lt;&gt;"),0,SUMIFS($J:$J,$B:$B,$B334,$A:$A,"&gt;="&amp;COUNTIFS($K$1:O$1,"&lt;&gt;"))),0)</f>
        <v>0.1310043668122271</v>
      </c>
      <c r="P334">
        <f>IFERROR($J334/IF($A334&lt;COUNTIFS($K$1:P$1,"&lt;&gt;"),0,SUMIFS($J:$J,$B:$B,$B334,$A:$A,"&gt;="&amp;COUNTIFS($K$1:P$1,"&lt;&gt;"))),0)</f>
        <v>0.15151515151515155</v>
      </c>
      <c r="Q334">
        <f>IFERROR($J334/IF($A334&lt;COUNTIFS($K$1:Q$1,"&lt;&gt;"),0,SUMIFS($J:$J,$B:$B,$B334,$A:$A,"&gt;="&amp;COUNTIFS($K$1:Q$1,"&lt;&gt;"))),0)</f>
        <v>0.17964071856287425</v>
      </c>
      <c r="R334">
        <f>IFERROR($J334/IF($A334&lt;COUNTIFS($K$1:R$1,"&lt;&gt;"),0,SUMIFS($J:$J,$B:$B,$B334,$A:$A,"&gt;="&amp;COUNTIFS($K$1:R$1,"&lt;&gt;"))),0)</f>
        <v>0</v>
      </c>
      <c r="S334">
        <f>IFERROR($J334/IF($A334&lt;COUNTIFS($K$1:S$1,"&lt;&gt;"),0,SUMIFS($J:$J,$B:$B,$B334,$A:$A,"&gt;="&amp;COUNTIFS($K$1:S$1,"&lt;&gt;"))),0)</f>
        <v>0</v>
      </c>
      <c r="T334">
        <f>IFERROR($J334/IF($A334&lt;COUNTIFS($K$1:T$1,"&lt;&gt;"),0,SUMIFS($J:$J,$B:$B,$B334,$A:$A,"&gt;="&amp;COUNTIFS($K$1:T$1,"&lt;&gt;"))),0)</f>
        <v>0</v>
      </c>
      <c r="U334">
        <f>IFERROR($J334/IF($A334&lt;COUNTIFS($K$1:U$1,"&lt;&gt;"),0,SUMIFS($J:$J,$B:$B,$B334,$A:$A,"&gt;="&amp;COUNTIFS($K$1:U$1,"&lt;&gt;"))),0)</f>
        <v>0</v>
      </c>
      <c r="V334">
        <f>IFERROR($J334/IF($A334&lt;COUNTIFS($K$1:V$1,"&lt;&gt;"),0,SUMIFS($J:$J,$B:$B,$B334,$A:$A,"&gt;="&amp;COUNTIFS($K$1:V$1,"&lt;&gt;"))),0)</f>
        <v>0</v>
      </c>
      <c r="W334">
        <f t="shared" si="134"/>
        <v>8.2191780821917804E-2</v>
      </c>
      <c r="X334">
        <f t="shared" si="114"/>
        <v>8.2191780821917804E-2</v>
      </c>
      <c r="Y334">
        <f t="shared" si="115"/>
        <v>8.2191780821917804E-2</v>
      </c>
      <c r="Z334">
        <f t="shared" si="116"/>
        <v>8.2191780821917804E-2</v>
      </c>
      <c r="AA334">
        <f t="shared" si="117"/>
        <v>8.2191780821917804E-2</v>
      </c>
      <c r="AB334">
        <f t="shared" si="118"/>
        <v>8.2191780821917804E-2</v>
      </c>
      <c r="AC334">
        <f t="shared" si="119"/>
        <v>8.2191780821917804E-2</v>
      </c>
      <c r="AD334">
        <f t="shared" si="120"/>
        <v>8.2191780821917804E-2</v>
      </c>
      <c r="AE334">
        <f t="shared" si="121"/>
        <v>0</v>
      </c>
      <c r="AF334">
        <f t="shared" si="122"/>
        <v>0</v>
      </c>
      <c r="AG334">
        <f t="shared" si="123"/>
        <v>0</v>
      </c>
      <c r="AH334">
        <f t="shared" si="124"/>
        <v>0</v>
      </c>
      <c r="AI334">
        <f t="shared" si="125"/>
        <v>0</v>
      </c>
      <c r="AJ334" s="2" t="str">
        <f t="shared" si="135"/>
        <v>744593</v>
      </c>
    </row>
    <row r="335" spans="1:36" x14ac:dyDescent="0.25">
      <c r="A335">
        <v>8</v>
      </c>
      <c r="B335" s="1">
        <v>44593</v>
      </c>
      <c r="C335" s="1">
        <f t="shared" si="126"/>
        <v>44835</v>
      </c>
      <c r="D335" s="1">
        <f t="shared" si="127"/>
        <v>44607</v>
      </c>
      <c r="E335" s="1">
        <f t="shared" si="128"/>
        <v>44835</v>
      </c>
      <c r="F335" s="1">
        <f t="shared" si="129"/>
        <v>44866</v>
      </c>
      <c r="G335" s="1">
        <f t="shared" si="130"/>
        <v>44972</v>
      </c>
      <c r="H335">
        <f t="shared" si="131"/>
        <v>365</v>
      </c>
      <c r="I335">
        <f t="shared" si="132"/>
        <v>31</v>
      </c>
      <c r="J335">
        <f t="shared" si="133"/>
        <v>8.4931506849315067E-2</v>
      </c>
      <c r="K335">
        <f>IFERROR($J335/IF($A335&lt;COUNTIFS($K$1:K$1,"&lt;&gt;"),0,SUMIFS($J:$J,$B:$B,$B335,$A:$A,"&gt;="&amp;COUNTIFS($K$1:K$1,"&lt;&gt;"))),0)</f>
        <v>8.8319088319088329E-2</v>
      </c>
      <c r="L335">
        <f>IFERROR($J335/IF($A335&lt;COUNTIFS($K$1:L$1,"&lt;&gt;"),0,SUMIFS($J:$J,$B:$B,$B335,$A:$A,"&gt;="&amp;COUNTIFS($K$1:L$1,"&lt;&gt;"))),0)</f>
        <v>9.6875000000000017E-2</v>
      </c>
      <c r="M335">
        <f>IFERROR($J335/IF($A335&lt;COUNTIFS($K$1:M$1,"&lt;&gt;"),0,SUMIFS($J:$J,$B:$B,$B335,$A:$A,"&gt;="&amp;COUNTIFS($K$1:M$1,"&lt;&gt;"))),0)</f>
        <v>0.10689655172413795</v>
      </c>
      <c r="N335">
        <f>IFERROR($J335/IF($A335&lt;COUNTIFS($K$1:N$1,"&lt;&gt;"),0,SUMIFS($J:$J,$B:$B,$B335,$A:$A,"&gt;="&amp;COUNTIFS($K$1:N$1,"&lt;&gt;"))),0)</f>
        <v>0.11969111969111972</v>
      </c>
      <c r="O335">
        <f>IFERROR($J335/IF($A335&lt;COUNTIFS($K$1:O$1,"&lt;&gt;"),0,SUMIFS($J:$J,$B:$B,$B335,$A:$A,"&gt;="&amp;COUNTIFS($K$1:O$1,"&lt;&gt;"))),0)</f>
        <v>0.13537117903930135</v>
      </c>
      <c r="P335">
        <f>IFERROR($J335/IF($A335&lt;COUNTIFS($K$1:P$1,"&lt;&gt;"),0,SUMIFS($J:$J,$B:$B,$B335,$A:$A,"&gt;="&amp;COUNTIFS($K$1:P$1,"&lt;&gt;"))),0)</f>
        <v>0.1565656565656566</v>
      </c>
      <c r="Q335">
        <f>IFERROR($J335/IF($A335&lt;COUNTIFS($K$1:Q$1,"&lt;&gt;"),0,SUMIFS($J:$J,$B:$B,$B335,$A:$A,"&gt;="&amp;COUNTIFS($K$1:Q$1,"&lt;&gt;"))),0)</f>
        <v>0.18562874251497008</v>
      </c>
      <c r="R335">
        <f>IFERROR($J335/IF($A335&lt;COUNTIFS($K$1:R$1,"&lt;&gt;"),0,SUMIFS($J:$J,$B:$B,$B335,$A:$A,"&gt;="&amp;COUNTIFS($K$1:R$1,"&lt;&gt;"))),0)</f>
        <v>0.22627737226277375</v>
      </c>
      <c r="S335">
        <f>IFERROR($J335/IF($A335&lt;COUNTIFS($K$1:S$1,"&lt;&gt;"),0,SUMIFS($J:$J,$B:$B,$B335,$A:$A,"&gt;="&amp;COUNTIFS($K$1:S$1,"&lt;&gt;"))),0)</f>
        <v>0</v>
      </c>
      <c r="T335">
        <f>IFERROR($J335/IF($A335&lt;COUNTIFS($K$1:T$1,"&lt;&gt;"),0,SUMIFS($J:$J,$B:$B,$B335,$A:$A,"&gt;="&amp;COUNTIFS($K$1:T$1,"&lt;&gt;"))),0)</f>
        <v>0</v>
      </c>
      <c r="U335">
        <f>IFERROR($J335/IF($A335&lt;COUNTIFS($K$1:U$1,"&lt;&gt;"),0,SUMIFS($J:$J,$B:$B,$B335,$A:$A,"&gt;="&amp;COUNTIFS($K$1:U$1,"&lt;&gt;"))),0)</f>
        <v>0</v>
      </c>
      <c r="V335">
        <f>IFERROR($J335/IF($A335&lt;COUNTIFS($K$1:V$1,"&lt;&gt;"),0,SUMIFS($J:$J,$B:$B,$B335,$A:$A,"&gt;="&amp;COUNTIFS($K$1:V$1,"&lt;&gt;"))),0)</f>
        <v>0</v>
      </c>
      <c r="W335">
        <f t="shared" si="134"/>
        <v>8.4931506849315067E-2</v>
      </c>
      <c r="X335">
        <f t="shared" si="114"/>
        <v>8.4931506849315067E-2</v>
      </c>
      <c r="Y335">
        <f t="shared" si="115"/>
        <v>8.4931506849315067E-2</v>
      </c>
      <c r="Z335">
        <f t="shared" si="116"/>
        <v>8.4931506849315067E-2</v>
      </c>
      <c r="AA335">
        <f t="shared" si="117"/>
        <v>8.4931506849315067E-2</v>
      </c>
      <c r="AB335">
        <f t="shared" si="118"/>
        <v>8.4931506849315067E-2</v>
      </c>
      <c r="AC335">
        <f t="shared" si="119"/>
        <v>8.4931506849315067E-2</v>
      </c>
      <c r="AD335">
        <f t="shared" si="120"/>
        <v>8.4931506849315067E-2</v>
      </c>
      <c r="AE335">
        <f t="shared" si="121"/>
        <v>8.4931506849315067E-2</v>
      </c>
      <c r="AF335">
        <f t="shared" si="122"/>
        <v>0</v>
      </c>
      <c r="AG335">
        <f t="shared" si="123"/>
        <v>0</v>
      </c>
      <c r="AH335">
        <f t="shared" si="124"/>
        <v>0</v>
      </c>
      <c r="AI335">
        <f t="shared" si="125"/>
        <v>0</v>
      </c>
      <c r="AJ335" s="2" t="str">
        <f t="shared" si="135"/>
        <v>844593</v>
      </c>
    </row>
    <row r="336" spans="1:36" x14ac:dyDescent="0.25">
      <c r="A336">
        <v>9</v>
      </c>
      <c r="B336" s="1">
        <v>44593</v>
      </c>
      <c r="C336" s="1">
        <f t="shared" si="126"/>
        <v>44866</v>
      </c>
      <c r="D336" s="1">
        <f t="shared" si="127"/>
        <v>44607</v>
      </c>
      <c r="E336" s="1">
        <f t="shared" si="128"/>
        <v>44866</v>
      </c>
      <c r="F336" s="1">
        <f t="shared" si="129"/>
        <v>44896</v>
      </c>
      <c r="G336" s="1">
        <f t="shared" si="130"/>
        <v>44972</v>
      </c>
      <c r="H336">
        <f t="shared" si="131"/>
        <v>365</v>
      </c>
      <c r="I336">
        <f t="shared" si="132"/>
        <v>30</v>
      </c>
      <c r="J336">
        <f t="shared" si="133"/>
        <v>8.2191780821917804E-2</v>
      </c>
      <c r="K336">
        <f>IFERROR($J336/IF($A336&lt;COUNTIFS($K$1:K$1,"&lt;&gt;"),0,SUMIFS($J:$J,$B:$B,$B336,$A:$A,"&gt;="&amp;COUNTIFS($K$1:K$1,"&lt;&gt;"))),0)</f>
        <v>8.5470085470085486E-2</v>
      </c>
      <c r="L336">
        <f>IFERROR($J336/IF($A336&lt;COUNTIFS($K$1:L$1,"&lt;&gt;"),0,SUMIFS($J:$J,$B:$B,$B336,$A:$A,"&gt;="&amp;COUNTIFS($K$1:L$1,"&lt;&gt;"))),0)</f>
        <v>9.3750000000000014E-2</v>
      </c>
      <c r="M336">
        <f>IFERROR($J336/IF($A336&lt;COUNTIFS($K$1:M$1,"&lt;&gt;"),0,SUMIFS($J:$J,$B:$B,$B336,$A:$A,"&gt;="&amp;COUNTIFS($K$1:M$1,"&lt;&gt;"))),0)</f>
        <v>0.10344827586206898</v>
      </c>
      <c r="N336">
        <f>IFERROR($J336/IF($A336&lt;COUNTIFS($K$1:N$1,"&lt;&gt;"),0,SUMIFS($J:$J,$B:$B,$B336,$A:$A,"&gt;="&amp;COUNTIFS($K$1:N$1,"&lt;&gt;"))),0)</f>
        <v>0.11583011583011585</v>
      </c>
      <c r="O336">
        <f>IFERROR($J336/IF($A336&lt;COUNTIFS($K$1:O$1,"&lt;&gt;"),0,SUMIFS($J:$J,$B:$B,$B336,$A:$A,"&gt;="&amp;COUNTIFS($K$1:O$1,"&lt;&gt;"))),0)</f>
        <v>0.1310043668122271</v>
      </c>
      <c r="P336">
        <f>IFERROR($J336/IF($A336&lt;COUNTIFS($K$1:P$1,"&lt;&gt;"),0,SUMIFS($J:$J,$B:$B,$B336,$A:$A,"&gt;="&amp;COUNTIFS($K$1:P$1,"&lt;&gt;"))),0)</f>
        <v>0.15151515151515155</v>
      </c>
      <c r="Q336">
        <f>IFERROR($J336/IF($A336&lt;COUNTIFS($K$1:Q$1,"&lt;&gt;"),0,SUMIFS($J:$J,$B:$B,$B336,$A:$A,"&gt;="&amp;COUNTIFS($K$1:Q$1,"&lt;&gt;"))),0)</f>
        <v>0.17964071856287425</v>
      </c>
      <c r="R336">
        <f>IFERROR($J336/IF($A336&lt;COUNTIFS($K$1:R$1,"&lt;&gt;"),0,SUMIFS($J:$J,$B:$B,$B336,$A:$A,"&gt;="&amp;COUNTIFS($K$1:R$1,"&lt;&gt;"))),0)</f>
        <v>0.21897810218978103</v>
      </c>
      <c r="S336">
        <f>IFERROR($J336/IF($A336&lt;COUNTIFS($K$1:S$1,"&lt;&gt;"),0,SUMIFS($J:$J,$B:$B,$B336,$A:$A,"&gt;="&amp;COUNTIFS($K$1:S$1,"&lt;&gt;"))),0)</f>
        <v>0.28301886792452829</v>
      </c>
      <c r="T336">
        <f>IFERROR($J336/IF($A336&lt;COUNTIFS($K$1:T$1,"&lt;&gt;"),0,SUMIFS($J:$J,$B:$B,$B336,$A:$A,"&gt;="&amp;COUNTIFS($K$1:T$1,"&lt;&gt;"))),0)</f>
        <v>0</v>
      </c>
      <c r="U336">
        <f>IFERROR($J336/IF($A336&lt;COUNTIFS($K$1:U$1,"&lt;&gt;"),0,SUMIFS($J:$J,$B:$B,$B336,$A:$A,"&gt;="&amp;COUNTIFS($K$1:U$1,"&lt;&gt;"))),0)</f>
        <v>0</v>
      </c>
      <c r="V336">
        <f>IFERROR($J336/IF($A336&lt;COUNTIFS($K$1:V$1,"&lt;&gt;"),0,SUMIFS($J:$J,$B:$B,$B336,$A:$A,"&gt;="&amp;COUNTIFS($K$1:V$1,"&lt;&gt;"))),0)</f>
        <v>0</v>
      </c>
      <c r="W336">
        <f t="shared" si="134"/>
        <v>8.2191780821917804E-2</v>
      </c>
      <c r="X336">
        <f t="shared" si="114"/>
        <v>8.2191780821917804E-2</v>
      </c>
      <c r="Y336">
        <f t="shared" si="115"/>
        <v>8.2191780821917804E-2</v>
      </c>
      <c r="Z336">
        <f t="shared" si="116"/>
        <v>8.2191780821917804E-2</v>
      </c>
      <c r="AA336">
        <f t="shared" si="117"/>
        <v>8.2191780821917804E-2</v>
      </c>
      <c r="AB336">
        <f t="shared" si="118"/>
        <v>8.2191780821917804E-2</v>
      </c>
      <c r="AC336">
        <f t="shared" si="119"/>
        <v>8.2191780821917804E-2</v>
      </c>
      <c r="AD336">
        <f t="shared" si="120"/>
        <v>8.2191780821917804E-2</v>
      </c>
      <c r="AE336">
        <f t="shared" si="121"/>
        <v>8.2191780821917804E-2</v>
      </c>
      <c r="AF336">
        <f t="shared" si="122"/>
        <v>8.2191780821917804E-2</v>
      </c>
      <c r="AG336">
        <f t="shared" si="123"/>
        <v>0</v>
      </c>
      <c r="AH336">
        <f t="shared" si="124"/>
        <v>0</v>
      </c>
      <c r="AI336">
        <f t="shared" si="125"/>
        <v>0</v>
      </c>
      <c r="AJ336" s="2" t="str">
        <f t="shared" si="135"/>
        <v>944593</v>
      </c>
    </row>
    <row r="337" spans="1:36" x14ac:dyDescent="0.25">
      <c r="A337">
        <v>10</v>
      </c>
      <c r="B337" s="1">
        <v>44593</v>
      </c>
      <c r="C337" s="1">
        <f t="shared" si="126"/>
        <v>44896</v>
      </c>
      <c r="D337" s="1">
        <f t="shared" si="127"/>
        <v>44607</v>
      </c>
      <c r="E337" s="1">
        <f t="shared" si="128"/>
        <v>44896</v>
      </c>
      <c r="F337" s="1">
        <f t="shared" si="129"/>
        <v>44927</v>
      </c>
      <c r="G337" s="1">
        <f t="shared" si="130"/>
        <v>44972</v>
      </c>
      <c r="H337">
        <f t="shared" si="131"/>
        <v>365</v>
      </c>
      <c r="I337">
        <f t="shared" si="132"/>
        <v>31</v>
      </c>
      <c r="J337">
        <f t="shared" si="133"/>
        <v>8.4931506849315067E-2</v>
      </c>
      <c r="K337">
        <f>IFERROR($J337/IF($A337&lt;COUNTIFS($K$1:K$1,"&lt;&gt;"),0,SUMIFS($J:$J,$B:$B,$B337,$A:$A,"&gt;="&amp;COUNTIFS($K$1:K$1,"&lt;&gt;"))),0)</f>
        <v>8.8319088319088329E-2</v>
      </c>
      <c r="L337">
        <f>IFERROR($J337/IF($A337&lt;COUNTIFS($K$1:L$1,"&lt;&gt;"),0,SUMIFS($J:$J,$B:$B,$B337,$A:$A,"&gt;="&amp;COUNTIFS($K$1:L$1,"&lt;&gt;"))),0)</f>
        <v>9.6875000000000017E-2</v>
      </c>
      <c r="M337">
        <f>IFERROR($J337/IF($A337&lt;COUNTIFS($K$1:M$1,"&lt;&gt;"),0,SUMIFS($J:$J,$B:$B,$B337,$A:$A,"&gt;="&amp;COUNTIFS($K$1:M$1,"&lt;&gt;"))),0)</f>
        <v>0.10689655172413795</v>
      </c>
      <c r="N337">
        <f>IFERROR($J337/IF($A337&lt;COUNTIFS($K$1:N$1,"&lt;&gt;"),0,SUMIFS($J:$J,$B:$B,$B337,$A:$A,"&gt;="&amp;COUNTIFS($K$1:N$1,"&lt;&gt;"))),0)</f>
        <v>0.11969111969111972</v>
      </c>
      <c r="O337">
        <f>IFERROR($J337/IF($A337&lt;COUNTIFS($K$1:O$1,"&lt;&gt;"),0,SUMIFS($J:$J,$B:$B,$B337,$A:$A,"&gt;="&amp;COUNTIFS($K$1:O$1,"&lt;&gt;"))),0)</f>
        <v>0.13537117903930135</v>
      </c>
      <c r="P337">
        <f>IFERROR($J337/IF($A337&lt;COUNTIFS($K$1:P$1,"&lt;&gt;"),0,SUMIFS($J:$J,$B:$B,$B337,$A:$A,"&gt;="&amp;COUNTIFS($K$1:P$1,"&lt;&gt;"))),0)</f>
        <v>0.1565656565656566</v>
      </c>
      <c r="Q337">
        <f>IFERROR($J337/IF($A337&lt;COUNTIFS($K$1:Q$1,"&lt;&gt;"),0,SUMIFS($J:$J,$B:$B,$B337,$A:$A,"&gt;="&amp;COUNTIFS($K$1:Q$1,"&lt;&gt;"))),0)</f>
        <v>0.18562874251497008</v>
      </c>
      <c r="R337">
        <f>IFERROR($J337/IF($A337&lt;COUNTIFS($K$1:R$1,"&lt;&gt;"),0,SUMIFS($J:$J,$B:$B,$B337,$A:$A,"&gt;="&amp;COUNTIFS($K$1:R$1,"&lt;&gt;"))),0)</f>
        <v>0.22627737226277375</v>
      </c>
      <c r="S337">
        <f>IFERROR($J337/IF($A337&lt;COUNTIFS($K$1:S$1,"&lt;&gt;"),0,SUMIFS($J:$J,$B:$B,$B337,$A:$A,"&gt;="&amp;COUNTIFS($K$1:S$1,"&lt;&gt;"))),0)</f>
        <v>0.29245283018867929</v>
      </c>
      <c r="T337">
        <f>IFERROR($J337/IF($A337&lt;COUNTIFS($K$1:T$1,"&lt;&gt;"),0,SUMIFS($J:$J,$B:$B,$B337,$A:$A,"&gt;="&amp;COUNTIFS($K$1:T$1,"&lt;&gt;"))),0)</f>
        <v>0.40789473684210525</v>
      </c>
      <c r="U337">
        <f>IFERROR($J337/IF($A337&lt;COUNTIFS($K$1:U$1,"&lt;&gt;"),0,SUMIFS($J:$J,$B:$B,$B337,$A:$A,"&gt;="&amp;COUNTIFS($K$1:U$1,"&lt;&gt;"))),0)</f>
        <v>0</v>
      </c>
      <c r="V337">
        <f>IFERROR($J337/IF($A337&lt;COUNTIFS($K$1:V$1,"&lt;&gt;"),0,SUMIFS($J:$J,$B:$B,$B337,$A:$A,"&gt;="&amp;COUNTIFS($K$1:V$1,"&lt;&gt;"))),0)</f>
        <v>0</v>
      </c>
      <c r="W337">
        <f t="shared" si="134"/>
        <v>8.4931506849315067E-2</v>
      </c>
      <c r="X337">
        <f t="shared" si="114"/>
        <v>8.4931506849315067E-2</v>
      </c>
      <c r="Y337">
        <f t="shared" si="115"/>
        <v>8.4931506849315067E-2</v>
      </c>
      <c r="Z337">
        <f t="shared" si="116"/>
        <v>8.4931506849315067E-2</v>
      </c>
      <c r="AA337">
        <f t="shared" si="117"/>
        <v>8.4931506849315067E-2</v>
      </c>
      <c r="AB337">
        <f t="shared" si="118"/>
        <v>8.4931506849315067E-2</v>
      </c>
      <c r="AC337">
        <f t="shared" si="119"/>
        <v>8.4931506849315067E-2</v>
      </c>
      <c r="AD337">
        <f t="shared" si="120"/>
        <v>8.4931506849315067E-2</v>
      </c>
      <c r="AE337">
        <f t="shared" si="121"/>
        <v>8.4931506849315067E-2</v>
      </c>
      <c r="AF337">
        <f t="shared" si="122"/>
        <v>8.4931506849315067E-2</v>
      </c>
      <c r="AG337">
        <f t="shared" si="123"/>
        <v>8.4931506849315067E-2</v>
      </c>
      <c r="AH337">
        <f t="shared" si="124"/>
        <v>0</v>
      </c>
      <c r="AI337">
        <f t="shared" si="125"/>
        <v>0</v>
      </c>
      <c r="AJ337" s="2" t="str">
        <f t="shared" si="135"/>
        <v>1044593</v>
      </c>
    </row>
    <row r="338" spans="1:36" x14ac:dyDescent="0.25">
      <c r="A338">
        <v>11</v>
      </c>
      <c r="B338" s="1">
        <v>44593</v>
      </c>
      <c r="C338" s="1">
        <f t="shared" si="126"/>
        <v>44927</v>
      </c>
      <c r="D338" s="1">
        <f t="shared" si="127"/>
        <v>44607</v>
      </c>
      <c r="E338" s="1">
        <f t="shared" si="128"/>
        <v>44927</v>
      </c>
      <c r="F338" s="1">
        <f t="shared" si="129"/>
        <v>44958</v>
      </c>
      <c r="G338" s="1">
        <f t="shared" si="130"/>
        <v>44972</v>
      </c>
      <c r="H338">
        <f t="shared" si="131"/>
        <v>365</v>
      </c>
      <c r="I338">
        <f t="shared" si="132"/>
        <v>31</v>
      </c>
      <c r="J338">
        <f t="shared" si="133"/>
        <v>8.4931506849315067E-2</v>
      </c>
      <c r="K338">
        <f>IFERROR($J338/IF($A338&lt;COUNTIFS($K$1:K$1,"&lt;&gt;"),0,SUMIFS($J:$J,$B:$B,$B338,$A:$A,"&gt;="&amp;COUNTIFS($K$1:K$1,"&lt;&gt;"))),0)</f>
        <v>8.8319088319088329E-2</v>
      </c>
      <c r="L338">
        <f>IFERROR($J338/IF($A338&lt;COUNTIFS($K$1:L$1,"&lt;&gt;"),0,SUMIFS($J:$J,$B:$B,$B338,$A:$A,"&gt;="&amp;COUNTIFS($K$1:L$1,"&lt;&gt;"))),0)</f>
        <v>9.6875000000000017E-2</v>
      </c>
      <c r="M338">
        <f>IFERROR($J338/IF($A338&lt;COUNTIFS($K$1:M$1,"&lt;&gt;"),0,SUMIFS($J:$J,$B:$B,$B338,$A:$A,"&gt;="&amp;COUNTIFS($K$1:M$1,"&lt;&gt;"))),0)</f>
        <v>0.10689655172413795</v>
      </c>
      <c r="N338">
        <f>IFERROR($J338/IF($A338&lt;COUNTIFS($K$1:N$1,"&lt;&gt;"),0,SUMIFS($J:$J,$B:$B,$B338,$A:$A,"&gt;="&amp;COUNTIFS($K$1:N$1,"&lt;&gt;"))),0)</f>
        <v>0.11969111969111972</v>
      </c>
      <c r="O338">
        <f>IFERROR($J338/IF($A338&lt;COUNTIFS($K$1:O$1,"&lt;&gt;"),0,SUMIFS($J:$J,$B:$B,$B338,$A:$A,"&gt;="&amp;COUNTIFS($K$1:O$1,"&lt;&gt;"))),0)</f>
        <v>0.13537117903930135</v>
      </c>
      <c r="P338">
        <f>IFERROR($J338/IF($A338&lt;COUNTIFS($K$1:P$1,"&lt;&gt;"),0,SUMIFS($J:$J,$B:$B,$B338,$A:$A,"&gt;="&amp;COUNTIFS($K$1:P$1,"&lt;&gt;"))),0)</f>
        <v>0.1565656565656566</v>
      </c>
      <c r="Q338">
        <f>IFERROR($J338/IF($A338&lt;COUNTIFS($K$1:Q$1,"&lt;&gt;"),0,SUMIFS($J:$J,$B:$B,$B338,$A:$A,"&gt;="&amp;COUNTIFS($K$1:Q$1,"&lt;&gt;"))),0)</f>
        <v>0.18562874251497008</v>
      </c>
      <c r="R338">
        <f>IFERROR($J338/IF($A338&lt;COUNTIFS($K$1:R$1,"&lt;&gt;"),0,SUMIFS($J:$J,$B:$B,$B338,$A:$A,"&gt;="&amp;COUNTIFS($K$1:R$1,"&lt;&gt;"))),0)</f>
        <v>0.22627737226277375</v>
      </c>
      <c r="S338">
        <f>IFERROR($J338/IF($A338&lt;COUNTIFS($K$1:S$1,"&lt;&gt;"),0,SUMIFS($J:$J,$B:$B,$B338,$A:$A,"&gt;="&amp;COUNTIFS($K$1:S$1,"&lt;&gt;"))),0)</f>
        <v>0.29245283018867929</v>
      </c>
      <c r="T338">
        <f>IFERROR($J338/IF($A338&lt;COUNTIFS($K$1:T$1,"&lt;&gt;"),0,SUMIFS($J:$J,$B:$B,$B338,$A:$A,"&gt;="&amp;COUNTIFS($K$1:T$1,"&lt;&gt;"))),0)</f>
        <v>0.40789473684210525</v>
      </c>
      <c r="U338">
        <f>IFERROR($J338/IF($A338&lt;COUNTIFS($K$1:U$1,"&lt;&gt;"),0,SUMIFS($J:$J,$B:$B,$B338,$A:$A,"&gt;="&amp;COUNTIFS($K$1:U$1,"&lt;&gt;"))),0)</f>
        <v>0.68888888888888888</v>
      </c>
      <c r="V338">
        <f>IFERROR($J338/IF($A338&lt;COUNTIFS($K$1:V$1,"&lt;&gt;"),0,SUMIFS($J:$J,$B:$B,$B338,$A:$A,"&gt;="&amp;COUNTIFS($K$1:V$1,"&lt;&gt;"))),0)</f>
        <v>0</v>
      </c>
      <c r="W338">
        <f t="shared" si="134"/>
        <v>8.4931506849315067E-2</v>
      </c>
      <c r="X338">
        <f t="shared" si="114"/>
        <v>8.4931506849315067E-2</v>
      </c>
      <c r="Y338">
        <f t="shared" si="115"/>
        <v>8.4931506849315067E-2</v>
      </c>
      <c r="Z338">
        <f t="shared" si="116"/>
        <v>8.4931506849315067E-2</v>
      </c>
      <c r="AA338">
        <f t="shared" si="117"/>
        <v>8.4931506849315067E-2</v>
      </c>
      <c r="AB338">
        <f t="shared" si="118"/>
        <v>8.4931506849315067E-2</v>
      </c>
      <c r="AC338">
        <f t="shared" si="119"/>
        <v>8.4931506849315067E-2</v>
      </c>
      <c r="AD338">
        <f t="shared" si="120"/>
        <v>8.4931506849315067E-2</v>
      </c>
      <c r="AE338">
        <f t="shared" si="121"/>
        <v>8.4931506849315067E-2</v>
      </c>
      <c r="AF338">
        <f t="shared" si="122"/>
        <v>8.4931506849315067E-2</v>
      </c>
      <c r="AG338">
        <f t="shared" si="123"/>
        <v>8.4931506849315067E-2</v>
      </c>
      <c r="AH338">
        <f t="shared" si="124"/>
        <v>8.4931506849315067E-2</v>
      </c>
      <c r="AI338">
        <f t="shared" si="125"/>
        <v>0</v>
      </c>
      <c r="AJ338" s="2" t="str">
        <f t="shared" si="135"/>
        <v>1144593</v>
      </c>
    </row>
    <row r="339" spans="1:36" x14ac:dyDescent="0.25">
      <c r="A339">
        <v>12</v>
      </c>
      <c r="B339" s="1">
        <v>44593</v>
      </c>
      <c r="C339" s="1">
        <f t="shared" si="126"/>
        <v>44958</v>
      </c>
      <c r="D339" s="1">
        <f t="shared" si="127"/>
        <v>44607</v>
      </c>
      <c r="E339" s="1">
        <f t="shared" si="128"/>
        <v>44958</v>
      </c>
      <c r="F339" s="1">
        <f t="shared" si="129"/>
        <v>44972</v>
      </c>
      <c r="G339" s="1">
        <f t="shared" si="130"/>
        <v>44972</v>
      </c>
      <c r="H339">
        <f t="shared" si="131"/>
        <v>365</v>
      </c>
      <c r="I339">
        <f t="shared" si="132"/>
        <v>14</v>
      </c>
      <c r="J339">
        <f t="shared" si="133"/>
        <v>3.8356164383561646E-2</v>
      </c>
      <c r="K339">
        <f>IFERROR($J339/IF($A339&lt;COUNTIFS($K$1:K$1,"&lt;&gt;"),0,SUMIFS($J:$J,$B:$B,$B339,$A:$A,"&gt;="&amp;COUNTIFS($K$1:K$1,"&lt;&gt;"))),0)</f>
        <v>3.9886039886039892E-2</v>
      </c>
      <c r="L339">
        <f>IFERROR($J339/IF($A339&lt;COUNTIFS($K$1:L$1,"&lt;&gt;"),0,SUMIFS($J:$J,$B:$B,$B339,$A:$A,"&gt;="&amp;COUNTIFS($K$1:L$1,"&lt;&gt;"))),0)</f>
        <v>4.3750000000000011E-2</v>
      </c>
      <c r="M339">
        <f>IFERROR($J339/IF($A339&lt;COUNTIFS($K$1:M$1,"&lt;&gt;"),0,SUMIFS($J:$J,$B:$B,$B339,$A:$A,"&gt;="&amp;COUNTIFS($K$1:M$1,"&lt;&gt;"))),0)</f>
        <v>4.827586206896553E-2</v>
      </c>
      <c r="N339">
        <f>IFERROR($J339/IF($A339&lt;COUNTIFS($K$1:N$1,"&lt;&gt;"),0,SUMIFS($J:$J,$B:$B,$B339,$A:$A,"&gt;="&amp;COUNTIFS($K$1:N$1,"&lt;&gt;"))),0)</f>
        <v>5.4054054054054071E-2</v>
      </c>
      <c r="O339">
        <f>IFERROR($J339/IF($A339&lt;COUNTIFS($K$1:O$1,"&lt;&gt;"),0,SUMIFS($J:$J,$B:$B,$B339,$A:$A,"&gt;="&amp;COUNTIFS($K$1:O$1,"&lt;&gt;"))),0)</f>
        <v>6.1135371179039319E-2</v>
      </c>
      <c r="P339">
        <f>IFERROR($J339/IF($A339&lt;COUNTIFS($K$1:P$1,"&lt;&gt;"),0,SUMIFS($J:$J,$B:$B,$B339,$A:$A,"&gt;="&amp;COUNTIFS($K$1:P$1,"&lt;&gt;"))),0)</f>
        <v>7.0707070707070732E-2</v>
      </c>
      <c r="Q339">
        <f>IFERROR($J339/IF($A339&lt;COUNTIFS($K$1:Q$1,"&lt;&gt;"),0,SUMIFS($J:$J,$B:$B,$B339,$A:$A,"&gt;="&amp;COUNTIFS($K$1:Q$1,"&lt;&gt;"))),0)</f>
        <v>8.3832335329341326E-2</v>
      </c>
      <c r="R339">
        <f>IFERROR($J339/IF($A339&lt;COUNTIFS($K$1:R$1,"&lt;&gt;"),0,SUMIFS($J:$J,$B:$B,$B339,$A:$A,"&gt;="&amp;COUNTIFS($K$1:R$1,"&lt;&gt;"))),0)</f>
        <v>0.10218978102189782</v>
      </c>
      <c r="S339">
        <f>IFERROR($J339/IF($A339&lt;COUNTIFS($K$1:S$1,"&lt;&gt;"),0,SUMIFS($J:$J,$B:$B,$B339,$A:$A,"&gt;="&amp;COUNTIFS($K$1:S$1,"&lt;&gt;"))),0)</f>
        <v>0.13207547169811323</v>
      </c>
      <c r="T339">
        <f>IFERROR($J339/IF($A339&lt;COUNTIFS($K$1:T$1,"&lt;&gt;"),0,SUMIFS($J:$J,$B:$B,$B339,$A:$A,"&gt;="&amp;COUNTIFS($K$1:T$1,"&lt;&gt;"))),0)</f>
        <v>0.18421052631578949</v>
      </c>
      <c r="U339">
        <f>IFERROR($J339/IF($A339&lt;COUNTIFS($K$1:U$1,"&lt;&gt;"),0,SUMIFS($J:$J,$B:$B,$B339,$A:$A,"&gt;="&amp;COUNTIFS($K$1:U$1,"&lt;&gt;"))),0)</f>
        <v>0.31111111111111117</v>
      </c>
      <c r="V339">
        <f>IFERROR($J339/IF($A339&lt;COUNTIFS($K$1:V$1,"&lt;&gt;"),0,SUMIFS($J:$J,$B:$B,$B339,$A:$A,"&gt;="&amp;COUNTIFS($K$1:V$1,"&lt;&gt;"))),0)</f>
        <v>1</v>
      </c>
      <c r="W339">
        <f t="shared" si="134"/>
        <v>3.8356164383561646E-2</v>
      </c>
      <c r="X339">
        <f t="shared" si="114"/>
        <v>3.8356164383561646E-2</v>
      </c>
      <c r="Y339">
        <f t="shared" si="115"/>
        <v>3.8356164383561646E-2</v>
      </c>
      <c r="Z339">
        <f t="shared" si="116"/>
        <v>3.8356164383561646E-2</v>
      </c>
      <c r="AA339">
        <f t="shared" si="117"/>
        <v>3.8356164383561646E-2</v>
      </c>
      <c r="AB339">
        <f t="shared" si="118"/>
        <v>3.8356164383561646E-2</v>
      </c>
      <c r="AC339">
        <f t="shared" si="119"/>
        <v>3.8356164383561646E-2</v>
      </c>
      <c r="AD339">
        <f t="shared" si="120"/>
        <v>3.8356164383561646E-2</v>
      </c>
      <c r="AE339">
        <f t="shared" si="121"/>
        <v>3.8356164383561646E-2</v>
      </c>
      <c r="AF339">
        <f t="shared" si="122"/>
        <v>3.8356164383561646E-2</v>
      </c>
      <c r="AG339">
        <f t="shared" si="123"/>
        <v>3.8356164383561646E-2</v>
      </c>
      <c r="AH339">
        <f t="shared" si="124"/>
        <v>3.8356164383561646E-2</v>
      </c>
      <c r="AI339">
        <f t="shared" si="125"/>
        <v>3.8356164383561646E-2</v>
      </c>
      <c r="AJ339" s="2" t="str">
        <f t="shared" si="135"/>
        <v>1244593</v>
      </c>
    </row>
    <row r="340" spans="1:36" x14ac:dyDescent="0.25">
      <c r="A340">
        <v>0</v>
      </c>
      <c r="B340" s="1">
        <v>44621</v>
      </c>
      <c r="C340" s="1">
        <f t="shared" si="126"/>
        <v>44621</v>
      </c>
      <c r="D340" s="1">
        <f t="shared" si="127"/>
        <v>44635</v>
      </c>
      <c r="E340" s="1">
        <f t="shared" si="128"/>
        <v>44635</v>
      </c>
      <c r="F340" s="1">
        <f t="shared" si="129"/>
        <v>44652</v>
      </c>
      <c r="G340" s="1">
        <f t="shared" si="130"/>
        <v>45000</v>
      </c>
      <c r="H340">
        <f t="shared" si="131"/>
        <v>365</v>
      </c>
      <c r="I340">
        <f t="shared" si="132"/>
        <v>17</v>
      </c>
      <c r="J340">
        <f t="shared" si="133"/>
        <v>4.6575342465753428E-2</v>
      </c>
      <c r="K340">
        <f>IFERROR($J340/IF($A340&lt;COUNTIFS($K$1:K$1,"&lt;&gt;"),0,SUMIFS($J:$J,$B:$B,$B340,$A:$A,"&gt;="&amp;COUNTIFS($K$1:K$1,"&lt;&gt;"))),0)</f>
        <v>0</v>
      </c>
      <c r="L340">
        <f>IFERROR($J340/IF($A340&lt;COUNTIFS($K$1:L$1,"&lt;&gt;"),0,SUMIFS($J:$J,$B:$B,$B340,$A:$A,"&gt;="&amp;COUNTIFS($K$1:L$1,"&lt;&gt;"))),0)</f>
        <v>0</v>
      </c>
      <c r="M340">
        <f>IFERROR($J340/IF($A340&lt;COUNTIFS($K$1:M$1,"&lt;&gt;"),0,SUMIFS($J:$J,$B:$B,$B340,$A:$A,"&gt;="&amp;COUNTIFS($K$1:M$1,"&lt;&gt;"))),0)</f>
        <v>0</v>
      </c>
      <c r="N340">
        <f>IFERROR($J340/IF($A340&lt;COUNTIFS($K$1:N$1,"&lt;&gt;"),0,SUMIFS($J:$J,$B:$B,$B340,$A:$A,"&gt;="&amp;COUNTIFS($K$1:N$1,"&lt;&gt;"))),0)</f>
        <v>0</v>
      </c>
      <c r="O340">
        <f>IFERROR($J340/IF($A340&lt;COUNTIFS($K$1:O$1,"&lt;&gt;"),0,SUMIFS($J:$J,$B:$B,$B340,$A:$A,"&gt;="&amp;COUNTIFS($K$1:O$1,"&lt;&gt;"))),0)</f>
        <v>0</v>
      </c>
      <c r="P340">
        <f>IFERROR($J340/IF($A340&lt;COUNTIFS($K$1:P$1,"&lt;&gt;"),0,SUMIFS($J:$J,$B:$B,$B340,$A:$A,"&gt;="&amp;COUNTIFS($K$1:P$1,"&lt;&gt;"))),0)</f>
        <v>0</v>
      </c>
      <c r="Q340">
        <f>IFERROR($J340/IF($A340&lt;COUNTIFS($K$1:Q$1,"&lt;&gt;"),0,SUMIFS($J:$J,$B:$B,$B340,$A:$A,"&gt;="&amp;COUNTIFS($K$1:Q$1,"&lt;&gt;"))),0)</f>
        <v>0</v>
      </c>
      <c r="R340">
        <f>IFERROR($J340/IF($A340&lt;COUNTIFS($K$1:R$1,"&lt;&gt;"),0,SUMIFS($J:$J,$B:$B,$B340,$A:$A,"&gt;="&amp;COUNTIFS($K$1:R$1,"&lt;&gt;"))),0)</f>
        <v>0</v>
      </c>
      <c r="S340">
        <f>IFERROR($J340/IF($A340&lt;COUNTIFS($K$1:S$1,"&lt;&gt;"),0,SUMIFS($J:$J,$B:$B,$B340,$A:$A,"&gt;="&amp;COUNTIFS($K$1:S$1,"&lt;&gt;"))),0)</f>
        <v>0</v>
      </c>
      <c r="T340">
        <f>IFERROR($J340/IF($A340&lt;COUNTIFS($K$1:T$1,"&lt;&gt;"),0,SUMIFS($J:$J,$B:$B,$B340,$A:$A,"&gt;="&amp;COUNTIFS($K$1:T$1,"&lt;&gt;"))),0)</f>
        <v>0</v>
      </c>
      <c r="U340">
        <f>IFERROR($J340/IF($A340&lt;COUNTIFS($K$1:U$1,"&lt;&gt;"),0,SUMIFS($J:$J,$B:$B,$B340,$A:$A,"&gt;="&amp;COUNTIFS($K$1:U$1,"&lt;&gt;"))),0)</f>
        <v>0</v>
      </c>
      <c r="V340">
        <f>IFERROR($J340/IF($A340&lt;COUNTIFS($K$1:V$1,"&lt;&gt;"),0,SUMIFS($J:$J,$B:$B,$B340,$A:$A,"&gt;="&amp;COUNTIFS($K$1:V$1,"&lt;&gt;"))),0)</f>
        <v>0</v>
      </c>
      <c r="W340">
        <f t="shared" si="134"/>
        <v>4.6575342465753428E-2</v>
      </c>
      <c r="X340">
        <f t="shared" si="114"/>
        <v>0</v>
      </c>
      <c r="Y340">
        <f t="shared" si="115"/>
        <v>0</v>
      </c>
      <c r="Z340">
        <f t="shared" si="116"/>
        <v>0</v>
      </c>
      <c r="AA340">
        <f t="shared" si="117"/>
        <v>0</v>
      </c>
      <c r="AB340">
        <f t="shared" si="118"/>
        <v>0</v>
      </c>
      <c r="AC340">
        <f t="shared" si="119"/>
        <v>0</v>
      </c>
      <c r="AD340">
        <f t="shared" si="120"/>
        <v>0</v>
      </c>
      <c r="AE340">
        <f t="shared" si="121"/>
        <v>0</v>
      </c>
      <c r="AF340">
        <f t="shared" si="122"/>
        <v>0</v>
      </c>
      <c r="AG340">
        <f t="shared" si="123"/>
        <v>0</v>
      </c>
      <c r="AH340">
        <f t="shared" si="124"/>
        <v>0</v>
      </c>
      <c r="AI340">
        <f t="shared" si="125"/>
        <v>0</v>
      </c>
      <c r="AJ340" s="2" t="str">
        <f t="shared" si="135"/>
        <v>044621</v>
      </c>
    </row>
    <row r="341" spans="1:36" x14ac:dyDescent="0.25">
      <c r="A341">
        <v>1</v>
      </c>
      <c r="B341" s="1">
        <v>44621</v>
      </c>
      <c r="C341" s="1">
        <f t="shared" si="126"/>
        <v>44652</v>
      </c>
      <c r="D341" s="1">
        <f t="shared" si="127"/>
        <v>44635</v>
      </c>
      <c r="E341" s="1">
        <f t="shared" si="128"/>
        <v>44652</v>
      </c>
      <c r="F341" s="1">
        <f t="shared" si="129"/>
        <v>44682</v>
      </c>
      <c r="G341" s="1">
        <f t="shared" si="130"/>
        <v>45000</v>
      </c>
      <c r="H341">
        <f t="shared" si="131"/>
        <v>365</v>
      </c>
      <c r="I341">
        <f t="shared" si="132"/>
        <v>30</v>
      </c>
      <c r="J341">
        <f t="shared" si="133"/>
        <v>8.2191780821917804E-2</v>
      </c>
      <c r="K341">
        <f>IFERROR($J341/IF($A341&lt;COUNTIFS($K$1:K$1,"&lt;&gt;"),0,SUMIFS($J:$J,$B:$B,$B341,$A:$A,"&gt;="&amp;COUNTIFS($K$1:K$1,"&lt;&gt;"))),0)</f>
        <v>8.6206896551724144E-2</v>
      </c>
      <c r="L341">
        <f>IFERROR($J341/IF($A341&lt;COUNTIFS($K$1:L$1,"&lt;&gt;"),0,SUMIFS($J:$J,$B:$B,$B341,$A:$A,"&gt;="&amp;COUNTIFS($K$1:L$1,"&lt;&gt;"))),0)</f>
        <v>0</v>
      </c>
      <c r="M341">
        <f>IFERROR($J341/IF($A341&lt;COUNTIFS($K$1:M$1,"&lt;&gt;"),0,SUMIFS($J:$J,$B:$B,$B341,$A:$A,"&gt;="&amp;COUNTIFS($K$1:M$1,"&lt;&gt;"))),0)</f>
        <v>0</v>
      </c>
      <c r="N341">
        <f>IFERROR($J341/IF($A341&lt;COUNTIFS($K$1:N$1,"&lt;&gt;"),0,SUMIFS($J:$J,$B:$B,$B341,$A:$A,"&gt;="&amp;COUNTIFS($K$1:N$1,"&lt;&gt;"))),0)</f>
        <v>0</v>
      </c>
      <c r="O341">
        <f>IFERROR($J341/IF($A341&lt;COUNTIFS($K$1:O$1,"&lt;&gt;"),0,SUMIFS($J:$J,$B:$B,$B341,$A:$A,"&gt;="&amp;COUNTIFS($K$1:O$1,"&lt;&gt;"))),0)</f>
        <v>0</v>
      </c>
      <c r="P341">
        <f>IFERROR($J341/IF($A341&lt;COUNTIFS($K$1:P$1,"&lt;&gt;"),0,SUMIFS($J:$J,$B:$B,$B341,$A:$A,"&gt;="&amp;COUNTIFS($K$1:P$1,"&lt;&gt;"))),0)</f>
        <v>0</v>
      </c>
      <c r="Q341">
        <f>IFERROR($J341/IF($A341&lt;COUNTIFS($K$1:Q$1,"&lt;&gt;"),0,SUMIFS($J:$J,$B:$B,$B341,$A:$A,"&gt;="&amp;COUNTIFS($K$1:Q$1,"&lt;&gt;"))),0)</f>
        <v>0</v>
      </c>
      <c r="R341">
        <f>IFERROR($J341/IF($A341&lt;COUNTIFS($K$1:R$1,"&lt;&gt;"),0,SUMIFS($J:$J,$B:$B,$B341,$A:$A,"&gt;="&amp;COUNTIFS($K$1:R$1,"&lt;&gt;"))),0)</f>
        <v>0</v>
      </c>
      <c r="S341">
        <f>IFERROR($J341/IF($A341&lt;COUNTIFS($K$1:S$1,"&lt;&gt;"),0,SUMIFS($J:$J,$B:$B,$B341,$A:$A,"&gt;="&amp;COUNTIFS($K$1:S$1,"&lt;&gt;"))),0)</f>
        <v>0</v>
      </c>
      <c r="T341">
        <f>IFERROR($J341/IF($A341&lt;COUNTIFS($K$1:T$1,"&lt;&gt;"),0,SUMIFS($J:$J,$B:$B,$B341,$A:$A,"&gt;="&amp;COUNTIFS($K$1:T$1,"&lt;&gt;"))),0)</f>
        <v>0</v>
      </c>
      <c r="U341">
        <f>IFERROR($J341/IF($A341&lt;COUNTIFS($K$1:U$1,"&lt;&gt;"),0,SUMIFS($J:$J,$B:$B,$B341,$A:$A,"&gt;="&amp;COUNTIFS($K$1:U$1,"&lt;&gt;"))),0)</f>
        <v>0</v>
      </c>
      <c r="V341">
        <f>IFERROR($J341/IF($A341&lt;COUNTIFS($K$1:V$1,"&lt;&gt;"),0,SUMIFS($J:$J,$B:$B,$B341,$A:$A,"&gt;="&amp;COUNTIFS($K$1:V$1,"&lt;&gt;"))),0)</f>
        <v>0</v>
      </c>
      <c r="W341">
        <f t="shared" si="134"/>
        <v>8.2191780821917804E-2</v>
      </c>
      <c r="X341">
        <f t="shared" si="114"/>
        <v>8.2191780821917804E-2</v>
      </c>
      <c r="Y341">
        <f t="shared" si="115"/>
        <v>0</v>
      </c>
      <c r="Z341">
        <f t="shared" si="116"/>
        <v>0</v>
      </c>
      <c r="AA341">
        <f t="shared" si="117"/>
        <v>0</v>
      </c>
      <c r="AB341">
        <f t="shared" si="118"/>
        <v>0</v>
      </c>
      <c r="AC341">
        <f t="shared" si="119"/>
        <v>0</v>
      </c>
      <c r="AD341">
        <f t="shared" si="120"/>
        <v>0</v>
      </c>
      <c r="AE341">
        <f t="shared" si="121"/>
        <v>0</v>
      </c>
      <c r="AF341">
        <f t="shared" si="122"/>
        <v>0</v>
      </c>
      <c r="AG341">
        <f t="shared" si="123"/>
        <v>0</v>
      </c>
      <c r="AH341">
        <f t="shared" si="124"/>
        <v>0</v>
      </c>
      <c r="AI341">
        <f t="shared" si="125"/>
        <v>0</v>
      </c>
      <c r="AJ341" s="2" t="str">
        <f t="shared" si="135"/>
        <v>144621</v>
      </c>
    </row>
    <row r="342" spans="1:36" x14ac:dyDescent="0.25">
      <c r="A342">
        <v>2</v>
      </c>
      <c r="B342" s="1">
        <v>44621</v>
      </c>
      <c r="C342" s="1">
        <f t="shared" si="126"/>
        <v>44682</v>
      </c>
      <c r="D342" s="1">
        <f t="shared" si="127"/>
        <v>44635</v>
      </c>
      <c r="E342" s="1">
        <f t="shared" si="128"/>
        <v>44682</v>
      </c>
      <c r="F342" s="1">
        <f t="shared" si="129"/>
        <v>44713</v>
      </c>
      <c r="G342" s="1">
        <f t="shared" si="130"/>
        <v>45000</v>
      </c>
      <c r="H342">
        <f t="shared" si="131"/>
        <v>365</v>
      </c>
      <c r="I342">
        <f t="shared" si="132"/>
        <v>31</v>
      </c>
      <c r="J342">
        <f t="shared" si="133"/>
        <v>8.4931506849315067E-2</v>
      </c>
      <c r="K342">
        <f>IFERROR($J342/IF($A342&lt;COUNTIFS($K$1:K$1,"&lt;&gt;"),0,SUMIFS($J:$J,$B:$B,$B342,$A:$A,"&gt;="&amp;COUNTIFS($K$1:K$1,"&lt;&gt;"))),0)</f>
        <v>8.9080459770114959E-2</v>
      </c>
      <c r="L342">
        <f>IFERROR($J342/IF($A342&lt;COUNTIFS($K$1:L$1,"&lt;&gt;"),0,SUMIFS($J:$J,$B:$B,$B342,$A:$A,"&gt;="&amp;COUNTIFS($K$1:L$1,"&lt;&gt;"))),0)</f>
        <v>9.7484276729559768E-2</v>
      </c>
      <c r="M342">
        <f>IFERROR($J342/IF($A342&lt;COUNTIFS($K$1:M$1,"&lt;&gt;"),0,SUMIFS($J:$J,$B:$B,$B342,$A:$A,"&gt;="&amp;COUNTIFS($K$1:M$1,"&lt;&gt;"))),0)</f>
        <v>0</v>
      </c>
      <c r="N342">
        <f>IFERROR($J342/IF($A342&lt;COUNTIFS($K$1:N$1,"&lt;&gt;"),0,SUMIFS($J:$J,$B:$B,$B342,$A:$A,"&gt;="&amp;COUNTIFS($K$1:N$1,"&lt;&gt;"))),0)</f>
        <v>0</v>
      </c>
      <c r="O342">
        <f>IFERROR($J342/IF($A342&lt;COUNTIFS($K$1:O$1,"&lt;&gt;"),0,SUMIFS($J:$J,$B:$B,$B342,$A:$A,"&gt;="&amp;COUNTIFS($K$1:O$1,"&lt;&gt;"))),0)</f>
        <v>0</v>
      </c>
      <c r="P342">
        <f>IFERROR($J342/IF($A342&lt;COUNTIFS($K$1:P$1,"&lt;&gt;"),0,SUMIFS($J:$J,$B:$B,$B342,$A:$A,"&gt;="&amp;COUNTIFS($K$1:P$1,"&lt;&gt;"))),0)</f>
        <v>0</v>
      </c>
      <c r="Q342">
        <f>IFERROR($J342/IF($A342&lt;COUNTIFS($K$1:Q$1,"&lt;&gt;"),0,SUMIFS($J:$J,$B:$B,$B342,$A:$A,"&gt;="&amp;COUNTIFS($K$1:Q$1,"&lt;&gt;"))),0)</f>
        <v>0</v>
      </c>
      <c r="R342">
        <f>IFERROR($J342/IF($A342&lt;COUNTIFS($K$1:R$1,"&lt;&gt;"),0,SUMIFS($J:$J,$B:$B,$B342,$A:$A,"&gt;="&amp;COUNTIFS($K$1:R$1,"&lt;&gt;"))),0)</f>
        <v>0</v>
      </c>
      <c r="S342">
        <f>IFERROR($J342/IF($A342&lt;COUNTIFS($K$1:S$1,"&lt;&gt;"),0,SUMIFS($J:$J,$B:$B,$B342,$A:$A,"&gt;="&amp;COUNTIFS($K$1:S$1,"&lt;&gt;"))),0)</f>
        <v>0</v>
      </c>
      <c r="T342">
        <f>IFERROR($J342/IF($A342&lt;COUNTIFS($K$1:T$1,"&lt;&gt;"),0,SUMIFS($J:$J,$B:$B,$B342,$A:$A,"&gt;="&amp;COUNTIFS($K$1:T$1,"&lt;&gt;"))),0)</f>
        <v>0</v>
      </c>
      <c r="U342">
        <f>IFERROR($J342/IF($A342&lt;COUNTIFS($K$1:U$1,"&lt;&gt;"),0,SUMIFS($J:$J,$B:$B,$B342,$A:$A,"&gt;="&amp;COUNTIFS($K$1:U$1,"&lt;&gt;"))),0)</f>
        <v>0</v>
      </c>
      <c r="V342">
        <f>IFERROR($J342/IF($A342&lt;COUNTIFS($K$1:V$1,"&lt;&gt;"),0,SUMIFS($J:$J,$B:$B,$B342,$A:$A,"&gt;="&amp;COUNTIFS($K$1:V$1,"&lt;&gt;"))),0)</f>
        <v>0</v>
      </c>
      <c r="W342">
        <f t="shared" si="134"/>
        <v>8.4931506849315067E-2</v>
      </c>
      <c r="X342">
        <f t="shared" si="114"/>
        <v>8.4931506849315067E-2</v>
      </c>
      <c r="Y342">
        <f t="shared" si="115"/>
        <v>8.4931506849315067E-2</v>
      </c>
      <c r="Z342">
        <f t="shared" si="116"/>
        <v>0</v>
      </c>
      <c r="AA342">
        <f t="shared" si="117"/>
        <v>0</v>
      </c>
      <c r="AB342">
        <f t="shared" si="118"/>
        <v>0</v>
      </c>
      <c r="AC342">
        <f t="shared" si="119"/>
        <v>0</v>
      </c>
      <c r="AD342">
        <f t="shared" si="120"/>
        <v>0</v>
      </c>
      <c r="AE342">
        <f t="shared" si="121"/>
        <v>0</v>
      </c>
      <c r="AF342">
        <f t="shared" si="122"/>
        <v>0</v>
      </c>
      <c r="AG342">
        <f t="shared" si="123"/>
        <v>0</v>
      </c>
      <c r="AH342">
        <f t="shared" si="124"/>
        <v>0</v>
      </c>
      <c r="AI342">
        <f t="shared" si="125"/>
        <v>0</v>
      </c>
      <c r="AJ342" s="2" t="str">
        <f t="shared" si="135"/>
        <v>244621</v>
      </c>
    </row>
    <row r="343" spans="1:36" x14ac:dyDescent="0.25">
      <c r="A343">
        <v>3</v>
      </c>
      <c r="B343" s="1">
        <v>44621</v>
      </c>
      <c r="C343" s="1">
        <f t="shared" si="126"/>
        <v>44713</v>
      </c>
      <c r="D343" s="1">
        <f t="shared" si="127"/>
        <v>44635</v>
      </c>
      <c r="E343" s="1">
        <f t="shared" si="128"/>
        <v>44713</v>
      </c>
      <c r="F343" s="1">
        <f t="shared" si="129"/>
        <v>44743</v>
      </c>
      <c r="G343" s="1">
        <f t="shared" si="130"/>
        <v>45000</v>
      </c>
      <c r="H343">
        <f t="shared" si="131"/>
        <v>365</v>
      </c>
      <c r="I343">
        <f t="shared" si="132"/>
        <v>30</v>
      </c>
      <c r="J343">
        <f t="shared" si="133"/>
        <v>8.2191780821917804E-2</v>
      </c>
      <c r="K343">
        <f>IFERROR($J343/IF($A343&lt;COUNTIFS($K$1:K$1,"&lt;&gt;"),0,SUMIFS($J:$J,$B:$B,$B343,$A:$A,"&gt;="&amp;COUNTIFS($K$1:K$1,"&lt;&gt;"))),0)</f>
        <v>8.6206896551724144E-2</v>
      </c>
      <c r="L343">
        <f>IFERROR($J343/IF($A343&lt;COUNTIFS($K$1:L$1,"&lt;&gt;"),0,SUMIFS($J:$J,$B:$B,$B343,$A:$A,"&gt;="&amp;COUNTIFS($K$1:L$1,"&lt;&gt;"))),0)</f>
        <v>9.4339622641509441E-2</v>
      </c>
      <c r="M343">
        <f>IFERROR($J343/IF($A343&lt;COUNTIFS($K$1:M$1,"&lt;&gt;"),0,SUMIFS($J:$J,$B:$B,$B343,$A:$A,"&gt;="&amp;COUNTIFS($K$1:M$1,"&lt;&gt;"))),0)</f>
        <v>0.10452961672473869</v>
      </c>
      <c r="N343">
        <f>IFERROR($J343/IF($A343&lt;COUNTIFS($K$1:N$1,"&lt;&gt;"),0,SUMIFS($J:$J,$B:$B,$B343,$A:$A,"&gt;="&amp;COUNTIFS($K$1:N$1,"&lt;&gt;"))),0)</f>
        <v>0</v>
      </c>
      <c r="O343">
        <f>IFERROR($J343/IF($A343&lt;COUNTIFS($K$1:O$1,"&lt;&gt;"),0,SUMIFS($J:$J,$B:$B,$B343,$A:$A,"&gt;="&amp;COUNTIFS($K$1:O$1,"&lt;&gt;"))),0)</f>
        <v>0</v>
      </c>
      <c r="P343">
        <f>IFERROR($J343/IF($A343&lt;COUNTIFS($K$1:P$1,"&lt;&gt;"),0,SUMIFS($J:$J,$B:$B,$B343,$A:$A,"&gt;="&amp;COUNTIFS($K$1:P$1,"&lt;&gt;"))),0)</f>
        <v>0</v>
      </c>
      <c r="Q343">
        <f>IFERROR($J343/IF($A343&lt;COUNTIFS($K$1:Q$1,"&lt;&gt;"),0,SUMIFS($J:$J,$B:$B,$B343,$A:$A,"&gt;="&amp;COUNTIFS($K$1:Q$1,"&lt;&gt;"))),0)</f>
        <v>0</v>
      </c>
      <c r="R343">
        <f>IFERROR($J343/IF($A343&lt;COUNTIFS($K$1:R$1,"&lt;&gt;"),0,SUMIFS($J:$J,$B:$B,$B343,$A:$A,"&gt;="&amp;COUNTIFS($K$1:R$1,"&lt;&gt;"))),0)</f>
        <v>0</v>
      </c>
      <c r="S343">
        <f>IFERROR($J343/IF($A343&lt;COUNTIFS($K$1:S$1,"&lt;&gt;"),0,SUMIFS($J:$J,$B:$B,$B343,$A:$A,"&gt;="&amp;COUNTIFS($K$1:S$1,"&lt;&gt;"))),0)</f>
        <v>0</v>
      </c>
      <c r="T343">
        <f>IFERROR($J343/IF($A343&lt;COUNTIFS($K$1:T$1,"&lt;&gt;"),0,SUMIFS($J:$J,$B:$B,$B343,$A:$A,"&gt;="&amp;COUNTIFS($K$1:T$1,"&lt;&gt;"))),0)</f>
        <v>0</v>
      </c>
      <c r="U343">
        <f>IFERROR($J343/IF($A343&lt;COUNTIFS($K$1:U$1,"&lt;&gt;"),0,SUMIFS($J:$J,$B:$B,$B343,$A:$A,"&gt;="&amp;COUNTIFS($K$1:U$1,"&lt;&gt;"))),0)</f>
        <v>0</v>
      </c>
      <c r="V343">
        <f>IFERROR($J343/IF($A343&lt;COUNTIFS($K$1:V$1,"&lt;&gt;"),0,SUMIFS($J:$J,$B:$B,$B343,$A:$A,"&gt;="&amp;COUNTIFS($K$1:V$1,"&lt;&gt;"))),0)</f>
        <v>0</v>
      </c>
      <c r="W343">
        <f t="shared" si="134"/>
        <v>8.2191780821917804E-2</v>
      </c>
      <c r="X343">
        <f t="shared" si="114"/>
        <v>8.2191780821917804E-2</v>
      </c>
      <c r="Y343">
        <f t="shared" si="115"/>
        <v>8.2191780821917804E-2</v>
      </c>
      <c r="Z343">
        <f t="shared" si="116"/>
        <v>8.2191780821917804E-2</v>
      </c>
      <c r="AA343">
        <f t="shared" si="117"/>
        <v>0</v>
      </c>
      <c r="AB343">
        <f t="shared" si="118"/>
        <v>0</v>
      </c>
      <c r="AC343">
        <f t="shared" si="119"/>
        <v>0</v>
      </c>
      <c r="AD343">
        <f t="shared" si="120"/>
        <v>0</v>
      </c>
      <c r="AE343">
        <f t="shared" si="121"/>
        <v>0</v>
      </c>
      <c r="AF343">
        <f t="shared" si="122"/>
        <v>0</v>
      </c>
      <c r="AG343">
        <f t="shared" si="123"/>
        <v>0</v>
      </c>
      <c r="AH343">
        <f t="shared" si="124"/>
        <v>0</v>
      </c>
      <c r="AI343">
        <f t="shared" si="125"/>
        <v>0</v>
      </c>
      <c r="AJ343" s="2" t="str">
        <f t="shared" si="135"/>
        <v>344621</v>
      </c>
    </row>
    <row r="344" spans="1:36" x14ac:dyDescent="0.25">
      <c r="A344">
        <v>4</v>
      </c>
      <c r="B344" s="1">
        <v>44621</v>
      </c>
      <c r="C344" s="1">
        <f t="shared" si="126"/>
        <v>44743</v>
      </c>
      <c r="D344" s="1">
        <f t="shared" si="127"/>
        <v>44635</v>
      </c>
      <c r="E344" s="1">
        <f t="shared" si="128"/>
        <v>44743</v>
      </c>
      <c r="F344" s="1">
        <f t="shared" si="129"/>
        <v>44774</v>
      </c>
      <c r="G344" s="1">
        <f t="shared" si="130"/>
        <v>45000</v>
      </c>
      <c r="H344">
        <f t="shared" si="131"/>
        <v>365</v>
      </c>
      <c r="I344">
        <f t="shared" si="132"/>
        <v>31</v>
      </c>
      <c r="J344">
        <f t="shared" si="133"/>
        <v>8.4931506849315067E-2</v>
      </c>
      <c r="K344">
        <f>IFERROR($J344/IF($A344&lt;COUNTIFS($K$1:K$1,"&lt;&gt;"),0,SUMIFS($J:$J,$B:$B,$B344,$A:$A,"&gt;="&amp;COUNTIFS($K$1:K$1,"&lt;&gt;"))),0)</f>
        <v>8.9080459770114959E-2</v>
      </c>
      <c r="L344">
        <f>IFERROR($J344/IF($A344&lt;COUNTIFS($K$1:L$1,"&lt;&gt;"),0,SUMIFS($J:$J,$B:$B,$B344,$A:$A,"&gt;="&amp;COUNTIFS($K$1:L$1,"&lt;&gt;"))),0)</f>
        <v>9.7484276729559768E-2</v>
      </c>
      <c r="M344">
        <f>IFERROR($J344/IF($A344&lt;COUNTIFS($K$1:M$1,"&lt;&gt;"),0,SUMIFS($J:$J,$B:$B,$B344,$A:$A,"&gt;="&amp;COUNTIFS($K$1:M$1,"&lt;&gt;"))),0)</f>
        <v>0.10801393728222998</v>
      </c>
      <c r="N344">
        <f>IFERROR($J344/IF($A344&lt;COUNTIFS($K$1:N$1,"&lt;&gt;"),0,SUMIFS($J:$J,$B:$B,$B344,$A:$A,"&gt;="&amp;COUNTIFS($K$1:N$1,"&lt;&gt;"))),0)</f>
        <v>0.12062256809338523</v>
      </c>
      <c r="O344">
        <f>IFERROR($J344/IF($A344&lt;COUNTIFS($K$1:O$1,"&lt;&gt;"),0,SUMIFS($J:$J,$B:$B,$B344,$A:$A,"&gt;="&amp;COUNTIFS($K$1:O$1,"&lt;&gt;"))),0)</f>
        <v>0</v>
      </c>
      <c r="P344">
        <f>IFERROR($J344/IF($A344&lt;COUNTIFS($K$1:P$1,"&lt;&gt;"),0,SUMIFS($J:$J,$B:$B,$B344,$A:$A,"&gt;="&amp;COUNTIFS($K$1:P$1,"&lt;&gt;"))),0)</f>
        <v>0</v>
      </c>
      <c r="Q344">
        <f>IFERROR($J344/IF($A344&lt;COUNTIFS($K$1:Q$1,"&lt;&gt;"),0,SUMIFS($J:$J,$B:$B,$B344,$A:$A,"&gt;="&amp;COUNTIFS($K$1:Q$1,"&lt;&gt;"))),0)</f>
        <v>0</v>
      </c>
      <c r="R344">
        <f>IFERROR($J344/IF($A344&lt;COUNTIFS($K$1:R$1,"&lt;&gt;"),0,SUMIFS($J:$J,$B:$B,$B344,$A:$A,"&gt;="&amp;COUNTIFS($K$1:R$1,"&lt;&gt;"))),0)</f>
        <v>0</v>
      </c>
      <c r="S344">
        <f>IFERROR($J344/IF($A344&lt;COUNTIFS($K$1:S$1,"&lt;&gt;"),0,SUMIFS($J:$J,$B:$B,$B344,$A:$A,"&gt;="&amp;COUNTIFS($K$1:S$1,"&lt;&gt;"))),0)</f>
        <v>0</v>
      </c>
      <c r="T344">
        <f>IFERROR($J344/IF($A344&lt;COUNTIFS($K$1:T$1,"&lt;&gt;"),0,SUMIFS($J:$J,$B:$B,$B344,$A:$A,"&gt;="&amp;COUNTIFS($K$1:T$1,"&lt;&gt;"))),0)</f>
        <v>0</v>
      </c>
      <c r="U344">
        <f>IFERROR($J344/IF($A344&lt;COUNTIFS($K$1:U$1,"&lt;&gt;"),0,SUMIFS($J:$J,$B:$B,$B344,$A:$A,"&gt;="&amp;COUNTIFS($K$1:U$1,"&lt;&gt;"))),0)</f>
        <v>0</v>
      </c>
      <c r="V344">
        <f>IFERROR($J344/IF($A344&lt;COUNTIFS($K$1:V$1,"&lt;&gt;"),0,SUMIFS($J:$J,$B:$B,$B344,$A:$A,"&gt;="&amp;COUNTIFS($K$1:V$1,"&lt;&gt;"))),0)</f>
        <v>0</v>
      </c>
      <c r="W344">
        <f t="shared" si="134"/>
        <v>8.4931506849315067E-2</v>
      </c>
      <c r="X344">
        <f t="shared" si="114"/>
        <v>8.4931506849315067E-2</v>
      </c>
      <c r="Y344">
        <f t="shared" si="115"/>
        <v>8.4931506849315067E-2</v>
      </c>
      <c r="Z344">
        <f t="shared" si="116"/>
        <v>8.4931506849315067E-2</v>
      </c>
      <c r="AA344">
        <f t="shared" si="117"/>
        <v>8.4931506849315067E-2</v>
      </c>
      <c r="AB344">
        <f t="shared" si="118"/>
        <v>0</v>
      </c>
      <c r="AC344">
        <f t="shared" si="119"/>
        <v>0</v>
      </c>
      <c r="AD344">
        <f t="shared" si="120"/>
        <v>0</v>
      </c>
      <c r="AE344">
        <f t="shared" si="121"/>
        <v>0</v>
      </c>
      <c r="AF344">
        <f t="shared" si="122"/>
        <v>0</v>
      </c>
      <c r="AG344">
        <f t="shared" si="123"/>
        <v>0</v>
      </c>
      <c r="AH344">
        <f t="shared" si="124"/>
        <v>0</v>
      </c>
      <c r="AI344">
        <f t="shared" si="125"/>
        <v>0</v>
      </c>
      <c r="AJ344" s="2" t="str">
        <f t="shared" si="135"/>
        <v>444621</v>
      </c>
    </row>
    <row r="345" spans="1:36" x14ac:dyDescent="0.25">
      <c r="A345">
        <v>5</v>
      </c>
      <c r="B345" s="1">
        <v>44621</v>
      </c>
      <c r="C345" s="1">
        <f t="shared" si="126"/>
        <v>44774</v>
      </c>
      <c r="D345" s="1">
        <f t="shared" si="127"/>
        <v>44635</v>
      </c>
      <c r="E345" s="1">
        <f t="shared" si="128"/>
        <v>44774</v>
      </c>
      <c r="F345" s="1">
        <f t="shared" si="129"/>
        <v>44805</v>
      </c>
      <c r="G345" s="1">
        <f t="shared" si="130"/>
        <v>45000</v>
      </c>
      <c r="H345">
        <f t="shared" si="131"/>
        <v>365</v>
      </c>
      <c r="I345">
        <f t="shared" si="132"/>
        <v>31</v>
      </c>
      <c r="J345">
        <f t="shared" si="133"/>
        <v>8.4931506849315067E-2</v>
      </c>
      <c r="K345">
        <f>IFERROR($J345/IF($A345&lt;COUNTIFS($K$1:K$1,"&lt;&gt;"),0,SUMIFS($J:$J,$B:$B,$B345,$A:$A,"&gt;="&amp;COUNTIFS($K$1:K$1,"&lt;&gt;"))),0)</f>
        <v>8.9080459770114959E-2</v>
      </c>
      <c r="L345">
        <f>IFERROR($J345/IF($A345&lt;COUNTIFS($K$1:L$1,"&lt;&gt;"),0,SUMIFS($J:$J,$B:$B,$B345,$A:$A,"&gt;="&amp;COUNTIFS($K$1:L$1,"&lt;&gt;"))),0)</f>
        <v>9.7484276729559768E-2</v>
      </c>
      <c r="M345">
        <f>IFERROR($J345/IF($A345&lt;COUNTIFS($K$1:M$1,"&lt;&gt;"),0,SUMIFS($J:$J,$B:$B,$B345,$A:$A,"&gt;="&amp;COUNTIFS($K$1:M$1,"&lt;&gt;"))),0)</f>
        <v>0.10801393728222998</v>
      </c>
      <c r="N345">
        <f>IFERROR($J345/IF($A345&lt;COUNTIFS($K$1:N$1,"&lt;&gt;"),0,SUMIFS($J:$J,$B:$B,$B345,$A:$A,"&gt;="&amp;COUNTIFS($K$1:N$1,"&lt;&gt;"))),0)</f>
        <v>0.12062256809338523</v>
      </c>
      <c r="O345">
        <f>IFERROR($J345/IF($A345&lt;COUNTIFS($K$1:O$1,"&lt;&gt;"),0,SUMIFS($J:$J,$B:$B,$B345,$A:$A,"&gt;="&amp;COUNTIFS($K$1:O$1,"&lt;&gt;"))),0)</f>
        <v>0.13716814159292037</v>
      </c>
      <c r="P345">
        <f>IFERROR($J345/IF($A345&lt;COUNTIFS($K$1:P$1,"&lt;&gt;"),0,SUMIFS($J:$J,$B:$B,$B345,$A:$A,"&gt;="&amp;COUNTIFS($K$1:P$1,"&lt;&gt;"))),0)</f>
        <v>0</v>
      </c>
      <c r="Q345">
        <f>IFERROR($J345/IF($A345&lt;COUNTIFS($K$1:Q$1,"&lt;&gt;"),0,SUMIFS($J:$J,$B:$B,$B345,$A:$A,"&gt;="&amp;COUNTIFS($K$1:Q$1,"&lt;&gt;"))),0)</f>
        <v>0</v>
      </c>
      <c r="R345">
        <f>IFERROR($J345/IF($A345&lt;COUNTIFS($K$1:R$1,"&lt;&gt;"),0,SUMIFS($J:$J,$B:$B,$B345,$A:$A,"&gt;="&amp;COUNTIFS($K$1:R$1,"&lt;&gt;"))),0)</f>
        <v>0</v>
      </c>
      <c r="S345">
        <f>IFERROR($J345/IF($A345&lt;COUNTIFS($K$1:S$1,"&lt;&gt;"),0,SUMIFS($J:$J,$B:$B,$B345,$A:$A,"&gt;="&amp;COUNTIFS($K$1:S$1,"&lt;&gt;"))),0)</f>
        <v>0</v>
      </c>
      <c r="T345">
        <f>IFERROR($J345/IF($A345&lt;COUNTIFS($K$1:T$1,"&lt;&gt;"),0,SUMIFS($J:$J,$B:$B,$B345,$A:$A,"&gt;="&amp;COUNTIFS($K$1:T$1,"&lt;&gt;"))),0)</f>
        <v>0</v>
      </c>
      <c r="U345">
        <f>IFERROR($J345/IF($A345&lt;COUNTIFS($K$1:U$1,"&lt;&gt;"),0,SUMIFS($J:$J,$B:$B,$B345,$A:$A,"&gt;="&amp;COUNTIFS($K$1:U$1,"&lt;&gt;"))),0)</f>
        <v>0</v>
      </c>
      <c r="V345">
        <f>IFERROR($J345/IF($A345&lt;COUNTIFS($K$1:V$1,"&lt;&gt;"),0,SUMIFS($J:$J,$B:$B,$B345,$A:$A,"&gt;="&amp;COUNTIFS($K$1:V$1,"&lt;&gt;"))),0)</f>
        <v>0</v>
      </c>
      <c r="W345">
        <f t="shared" si="134"/>
        <v>8.4931506849315067E-2</v>
      </c>
      <c r="X345">
        <f t="shared" si="114"/>
        <v>8.4931506849315067E-2</v>
      </c>
      <c r="Y345">
        <f t="shared" si="115"/>
        <v>8.4931506849315067E-2</v>
      </c>
      <c r="Z345">
        <f t="shared" si="116"/>
        <v>8.4931506849315067E-2</v>
      </c>
      <c r="AA345">
        <f t="shared" si="117"/>
        <v>8.4931506849315067E-2</v>
      </c>
      <c r="AB345">
        <f t="shared" si="118"/>
        <v>8.4931506849315067E-2</v>
      </c>
      <c r="AC345">
        <f t="shared" si="119"/>
        <v>0</v>
      </c>
      <c r="AD345">
        <f t="shared" si="120"/>
        <v>0</v>
      </c>
      <c r="AE345">
        <f t="shared" si="121"/>
        <v>0</v>
      </c>
      <c r="AF345">
        <f t="shared" si="122"/>
        <v>0</v>
      </c>
      <c r="AG345">
        <f t="shared" si="123"/>
        <v>0</v>
      </c>
      <c r="AH345">
        <f t="shared" si="124"/>
        <v>0</v>
      </c>
      <c r="AI345">
        <f t="shared" si="125"/>
        <v>0</v>
      </c>
      <c r="AJ345" s="2" t="str">
        <f t="shared" si="135"/>
        <v>544621</v>
      </c>
    </row>
    <row r="346" spans="1:36" x14ac:dyDescent="0.25">
      <c r="A346">
        <v>6</v>
      </c>
      <c r="B346" s="1">
        <v>44621</v>
      </c>
      <c r="C346" s="1">
        <f t="shared" si="126"/>
        <v>44805</v>
      </c>
      <c r="D346" s="1">
        <f t="shared" si="127"/>
        <v>44635</v>
      </c>
      <c r="E346" s="1">
        <f t="shared" si="128"/>
        <v>44805</v>
      </c>
      <c r="F346" s="1">
        <f t="shared" si="129"/>
        <v>44835</v>
      </c>
      <c r="G346" s="1">
        <f t="shared" si="130"/>
        <v>45000</v>
      </c>
      <c r="H346">
        <f t="shared" si="131"/>
        <v>365</v>
      </c>
      <c r="I346">
        <f t="shared" si="132"/>
        <v>30</v>
      </c>
      <c r="J346">
        <f t="shared" si="133"/>
        <v>8.2191780821917804E-2</v>
      </c>
      <c r="K346">
        <f>IFERROR($J346/IF($A346&lt;COUNTIFS($K$1:K$1,"&lt;&gt;"),0,SUMIFS($J:$J,$B:$B,$B346,$A:$A,"&gt;="&amp;COUNTIFS($K$1:K$1,"&lt;&gt;"))),0)</f>
        <v>8.6206896551724144E-2</v>
      </c>
      <c r="L346">
        <f>IFERROR($J346/IF($A346&lt;COUNTIFS($K$1:L$1,"&lt;&gt;"),0,SUMIFS($J:$J,$B:$B,$B346,$A:$A,"&gt;="&amp;COUNTIFS($K$1:L$1,"&lt;&gt;"))),0)</f>
        <v>9.4339622641509441E-2</v>
      </c>
      <c r="M346">
        <f>IFERROR($J346/IF($A346&lt;COUNTIFS($K$1:M$1,"&lt;&gt;"),0,SUMIFS($J:$J,$B:$B,$B346,$A:$A,"&gt;="&amp;COUNTIFS($K$1:M$1,"&lt;&gt;"))),0)</f>
        <v>0.10452961672473869</v>
      </c>
      <c r="N346">
        <f>IFERROR($J346/IF($A346&lt;COUNTIFS($K$1:N$1,"&lt;&gt;"),0,SUMIFS($J:$J,$B:$B,$B346,$A:$A,"&gt;="&amp;COUNTIFS($K$1:N$1,"&lt;&gt;"))),0)</f>
        <v>0.11673151750972764</v>
      </c>
      <c r="O346">
        <f>IFERROR($J346/IF($A346&lt;COUNTIFS($K$1:O$1,"&lt;&gt;"),0,SUMIFS($J:$J,$B:$B,$B346,$A:$A,"&gt;="&amp;COUNTIFS($K$1:O$1,"&lt;&gt;"))),0)</f>
        <v>0.13274336283185842</v>
      </c>
      <c r="P346">
        <f>IFERROR($J346/IF($A346&lt;COUNTIFS($K$1:P$1,"&lt;&gt;"),0,SUMIFS($J:$J,$B:$B,$B346,$A:$A,"&gt;="&amp;COUNTIFS($K$1:P$1,"&lt;&gt;"))),0)</f>
        <v>0.15384615384615385</v>
      </c>
      <c r="Q346">
        <f>IFERROR($J346/IF($A346&lt;COUNTIFS($K$1:Q$1,"&lt;&gt;"),0,SUMIFS($J:$J,$B:$B,$B346,$A:$A,"&gt;="&amp;COUNTIFS($K$1:Q$1,"&lt;&gt;"))),0)</f>
        <v>0</v>
      </c>
      <c r="R346">
        <f>IFERROR($J346/IF($A346&lt;COUNTIFS($K$1:R$1,"&lt;&gt;"),0,SUMIFS($J:$J,$B:$B,$B346,$A:$A,"&gt;="&amp;COUNTIFS($K$1:R$1,"&lt;&gt;"))),0)</f>
        <v>0</v>
      </c>
      <c r="S346">
        <f>IFERROR($J346/IF($A346&lt;COUNTIFS($K$1:S$1,"&lt;&gt;"),0,SUMIFS($J:$J,$B:$B,$B346,$A:$A,"&gt;="&amp;COUNTIFS($K$1:S$1,"&lt;&gt;"))),0)</f>
        <v>0</v>
      </c>
      <c r="T346">
        <f>IFERROR($J346/IF($A346&lt;COUNTIFS($K$1:T$1,"&lt;&gt;"),0,SUMIFS($J:$J,$B:$B,$B346,$A:$A,"&gt;="&amp;COUNTIFS($K$1:T$1,"&lt;&gt;"))),0)</f>
        <v>0</v>
      </c>
      <c r="U346">
        <f>IFERROR($J346/IF($A346&lt;COUNTIFS($K$1:U$1,"&lt;&gt;"),0,SUMIFS($J:$J,$B:$B,$B346,$A:$A,"&gt;="&amp;COUNTIFS($K$1:U$1,"&lt;&gt;"))),0)</f>
        <v>0</v>
      </c>
      <c r="V346">
        <f>IFERROR($J346/IF($A346&lt;COUNTIFS($K$1:V$1,"&lt;&gt;"),0,SUMIFS($J:$J,$B:$B,$B346,$A:$A,"&gt;="&amp;COUNTIFS($K$1:V$1,"&lt;&gt;"))),0)</f>
        <v>0</v>
      </c>
      <c r="W346">
        <f t="shared" si="134"/>
        <v>8.2191780821917804E-2</v>
      </c>
      <c r="X346">
        <f t="shared" si="114"/>
        <v>8.2191780821917804E-2</v>
      </c>
      <c r="Y346">
        <f t="shared" si="115"/>
        <v>8.2191780821917804E-2</v>
      </c>
      <c r="Z346">
        <f t="shared" si="116"/>
        <v>8.2191780821917804E-2</v>
      </c>
      <c r="AA346">
        <f t="shared" si="117"/>
        <v>8.2191780821917804E-2</v>
      </c>
      <c r="AB346">
        <f t="shared" si="118"/>
        <v>8.2191780821917804E-2</v>
      </c>
      <c r="AC346">
        <f t="shared" si="119"/>
        <v>8.2191780821917804E-2</v>
      </c>
      <c r="AD346">
        <f t="shared" si="120"/>
        <v>0</v>
      </c>
      <c r="AE346">
        <f t="shared" si="121"/>
        <v>0</v>
      </c>
      <c r="AF346">
        <f t="shared" si="122"/>
        <v>0</v>
      </c>
      <c r="AG346">
        <f t="shared" si="123"/>
        <v>0</v>
      </c>
      <c r="AH346">
        <f t="shared" si="124"/>
        <v>0</v>
      </c>
      <c r="AI346">
        <f t="shared" si="125"/>
        <v>0</v>
      </c>
      <c r="AJ346" s="2" t="str">
        <f t="shared" si="135"/>
        <v>644621</v>
      </c>
    </row>
    <row r="347" spans="1:36" x14ac:dyDescent="0.25">
      <c r="A347">
        <v>7</v>
      </c>
      <c r="B347" s="1">
        <v>44621</v>
      </c>
      <c r="C347" s="1">
        <f t="shared" si="126"/>
        <v>44835</v>
      </c>
      <c r="D347" s="1">
        <f t="shared" si="127"/>
        <v>44635</v>
      </c>
      <c r="E347" s="1">
        <f t="shared" si="128"/>
        <v>44835</v>
      </c>
      <c r="F347" s="1">
        <f t="shared" si="129"/>
        <v>44866</v>
      </c>
      <c r="G347" s="1">
        <f t="shared" si="130"/>
        <v>45000</v>
      </c>
      <c r="H347">
        <f t="shared" si="131"/>
        <v>365</v>
      </c>
      <c r="I347">
        <f t="shared" si="132"/>
        <v>31</v>
      </c>
      <c r="J347">
        <f t="shared" si="133"/>
        <v>8.4931506849315067E-2</v>
      </c>
      <c r="K347">
        <f>IFERROR($J347/IF($A347&lt;COUNTIFS($K$1:K$1,"&lt;&gt;"),0,SUMIFS($J:$J,$B:$B,$B347,$A:$A,"&gt;="&amp;COUNTIFS($K$1:K$1,"&lt;&gt;"))),0)</f>
        <v>8.9080459770114959E-2</v>
      </c>
      <c r="L347">
        <f>IFERROR($J347/IF($A347&lt;COUNTIFS($K$1:L$1,"&lt;&gt;"),0,SUMIFS($J:$J,$B:$B,$B347,$A:$A,"&gt;="&amp;COUNTIFS($K$1:L$1,"&lt;&gt;"))),0)</f>
        <v>9.7484276729559768E-2</v>
      </c>
      <c r="M347">
        <f>IFERROR($J347/IF($A347&lt;COUNTIFS($K$1:M$1,"&lt;&gt;"),0,SUMIFS($J:$J,$B:$B,$B347,$A:$A,"&gt;="&amp;COUNTIFS($K$1:M$1,"&lt;&gt;"))),0)</f>
        <v>0.10801393728222998</v>
      </c>
      <c r="N347">
        <f>IFERROR($J347/IF($A347&lt;COUNTIFS($K$1:N$1,"&lt;&gt;"),0,SUMIFS($J:$J,$B:$B,$B347,$A:$A,"&gt;="&amp;COUNTIFS($K$1:N$1,"&lt;&gt;"))),0)</f>
        <v>0.12062256809338523</v>
      </c>
      <c r="O347">
        <f>IFERROR($J347/IF($A347&lt;COUNTIFS($K$1:O$1,"&lt;&gt;"),0,SUMIFS($J:$J,$B:$B,$B347,$A:$A,"&gt;="&amp;COUNTIFS($K$1:O$1,"&lt;&gt;"))),0)</f>
        <v>0.13716814159292037</v>
      </c>
      <c r="P347">
        <f>IFERROR($J347/IF($A347&lt;COUNTIFS($K$1:P$1,"&lt;&gt;"),0,SUMIFS($J:$J,$B:$B,$B347,$A:$A,"&gt;="&amp;COUNTIFS($K$1:P$1,"&lt;&gt;"))),0)</f>
        <v>0.15897435897435899</v>
      </c>
      <c r="Q347">
        <f>IFERROR($J347/IF($A347&lt;COUNTIFS($K$1:Q$1,"&lt;&gt;"),0,SUMIFS($J:$J,$B:$B,$B347,$A:$A,"&gt;="&amp;COUNTIFS($K$1:Q$1,"&lt;&gt;"))),0)</f>
        <v>0.1878787878787879</v>
      </c>
      <c r="R347">
        <f>IFERROR($J347/IF($A347&lt;COUNTIFS($K$1:R$1,"&lt;&gt;"),0,SUMIFS($J:$J,$B:$B,$B347,$A:$A,"&gt;="&amp;COUNTIFS($K$1:R$1,"&lt;&gt;"))),0)</f>
        <v>0</v>
      </c>
      <c r="S347">
        <f>IFERROR($J347/IF($A347&lt;COUNTIFS($K$1:S$1,"&lt;&gt;"),0,SUMIFS($J:$J,$B:$B,$B347,$A:$A,"&gt;="&amp;COUNTIFS($K$1:S$1,"&lt;&gt;"))),0)</f>
        <v>0</v>
      </c>
      <c r="T347">
        <f>IFERROR($J347/IF($A347&lt;COUNTIFS($K$1:T$1,"&lt;&gt;"),0,SUMIFS($J:$J,$B:$B,$B347,$A:$A,"&gt;="&amp;COUNTIFS($K$1:T$1,"&lt;&gt;"))),0)</f>
        <v>0</v>
      </c>
      <c r="U347">
        <f>IFERROR($J347/IF($A347&lt;COUNTIFS($K$1:U$1,"&lt;&gt;"),0,SUMIFS($J:$J,$B:$B,$B347,$A:$A,"&gt;="&amp;COUNTIFS($K$1:U$1,"&lt;&gt;"))),0)</f>
        <v>0</v>
      </c>
      <c r="V347">
        <f>IFERROR($J347/IF($A347&lt;COUNTIFS($K$1:V$1,"&lt;&gt;"),0,SUMIFS($J:$J,$B:$B,$B347,$A:$A,"&gt;="&amp;COUNTIFS($K$1:V$1,"&lt;&gt;"))),0)</f>
        <v>0</v>
      </c>
      <c r="W347">
        <f t="shared" si="134"/>
        <v>8.4931506849315067E-2</v>
      </c>
      <c r="X347">
        <f t="shared" si="114"/>
        <v>8.4931506849315067E-2</v>
      </c>
      <c r="Y347">
        <f t="shared" si="115"/>
        <v>8.4931506849315067E-2</v>
      </c>
      <c r="Z347">
        <f t="shared" si="116"/>
        <v>8.4931506849315067E-2</v>
      </c>
      <c r="AA347">
        <f t="shared" si="117"/>
        <v>8.4931506849315067E-2</v>
      </c>
      <c r="AB347">
        <f t="shared" si="118"/>
        <v>8.4931506849315067E-2</v>
      </c>
      <c r="AC347">
        <f t="shared" si="119"/>
        <v>8.4931506849315067E-2</v>
      </c>
      <c r="AD347">
        <f t="shared" si="120"/>
        <v>8.4931506849315067E-2</v>
      </c>
      <c r="AE347">
        <f t="shared" si="121"/>
        <v>0</v>
      </c>
      <c r="AF347">
        <f t="shared" si="122"/>
        <v>0</v>
      </c>
      <c r="AG347">
        <f t="shared" si="123"/>
        <v>0</v>
      </c>
      <c r="AH347">
        <f t="shared" si="124"/>
        <v>0</v>
      </c>
      <c r="AI347">
        <f t="shared" si="125"/>
        <v>0</v>
      </c>
      <c r="AJ347" s="2" t="str">
        <f t="shared" si="135"/>
        <v>744621</v>
      </c>
    </row>
    <row r="348" spans="1:36" x14ac:dyDescent="0.25">
      <c r="A348">
        <v>8</v>
      </c>
      <c r="B348" s="1">
        <v>44621</v>
      </c>
      <c r="C348" s="1">
        <f t="shared" si="126"/>
        <v>44866</v>
      </c>
      <c r="D348" s="1">
        <f t="shared" si="127"/>
        <v>44635</v>
      </c>
      <c r="E348" s="1">
        <f t="shared" si="128"/>
        <v>44866</v>
      </c>
      <c r="F348" s="1">
        <f t="shared" si="129"/>
        <v>44896</v>
      </c>
      <c r="G348" s="1">
        <f t="shared" si="130"/>
        <v>45000</v>
      </c>
      <c r="H348">
        <f t="shared" si="131"/>
        <v>365</v>
      </c>
      <c r="I348">
        <f t="shared" si="132"/>
        <v>30</v>
      </c>
      <c r="J348">
        <f t="shared" si="133"/>
        <v>8.2191780821917804E-2</v>
      </c>
      <c r="K348">
        <f>IFERROR($J348/IF($A348&lt;COUNTIFS($K$1:K$1,"&lt;&gt;"),0,SUMIFS($J:$J,$B:$B,$B348,$A:$A,"&gt;="&amp;COUNTIFS($K$1:K$1,"&lt;&gt;"))),0)</f>
        <v>8.6206896551724144E-2</v>
      </c>
      <c r="L348">
        <f>IFERROR($J348/IF($A348&lt;COUNTIFS($K$1:L$1,"&lt;&gt;"),0,SUMIFS($J:$J,$B:$B,$B348,$A:$A,"&gt;="&amp;COUNTIFS($K$1:L$1,"&lt;&gt;"))),0)</f>
        <v>9.4339622641509441E-2</v>
      </c>
      <c r="M348">
        <f>IFERROR($J348/IF($A348&lt;COUNTIFS($K$1:M$1,"&lt;&gt;"),0,SUMIFS($J:$J,$B:$B,$B348,$A:$A,"&gt;="&amp;COUNTIFS($K$1:M$1,"&lt;&gt;"))),0)</f>
        <v>0.10452961672473869</v>
      </c>
      <c r="N348">
        <f>IFERROR($J348/IF($A348&lt;COUNTIFS($K$1:N$1,"&lt;&gt;"),0,SUMIFS($J:$J,$B:$B,$B348,$A:$A,"&gt;="&amp;COUNTIFS($K$1:N$1,"&lt;&gt;"))),0)</f>
        <v>0.11673151750972764</v>
      </c>
      <c r="O348">
        <f>IFERROR($J348/IF($A348&lt;COUNTIFS($K$1:O$1,"&lt;&gt;"),0,SUMIFS($J:$J,$B:$B,$B348,$A:$A,"&gt;="&amp;COUNTIFS($K$1:O$1,"&lt;&gt;"))),0)</f>
        <v>0.13274336283185842</v>
      </c>
      <c r="P348">
        <f>IFERROR($J348/IF($A348&lt;COUNTIFS($K$1:P$1,"&lt;&gt;"),0,SUMIFS($J:$J,$B:$B,$B348,$A:$A,"&gt;="&amp;COUNTIFS($K$1:P$1,"&lt;&gt;"))),0)</f>
        <v>0.15384615384615385</v>
      </c>
      <c r="Q348">
        <f>IFERROR($J348/IF($A348&lt;COUNTIFS($K$1:Q$1,"&lt;&gt;"),0,SUMIFS($J:$J,$B:$B,$B348,$A:$A,"&gt;="&amp;COUNTIFS($K$1:Q$1,"&lt;&gt;"))),0)</f>
        <v>0.18181818181818182</v>
      </c>
      <c r="R348">
        <f>IFERROR($J348/IF($A348&lt;COUNTIFS($K$1:R$1,"&lt;&gt;"),0,SUMIFS($J:$J,$B:$B,$B348,$A:$A,"&gt;="&amp;COUNTIFS($K$1:R$1,"&lt;&gt;"))),0)</f>
        <v>0.22388059701492535</v>
      </c>
      <c r="S348">
        <f>IFERROR($J348/IF($A348&lt;COUNTIFS($K$1:S$1,"&lt;&gt;"),0,SUMIFS($J:$J,$B:$B,$B348,$A:$A,"&gt;="&amp;COUNTIFS($K$1:S$1,"&lt;&gt;"))),0)</f>
        <v>0</v>
      </c>
      <c r="T348">
        <f>IFERROR($J348/IF($A348&lt;COUNTIFS($K$1:T$1,"&lt;&gt;"),0,SUMIFS($J:$J,$B:$B,$B348,$A:$A,"&gt;="&amp;COUNTIFS($K$1:T$1,"&lt;&gt;"))),0)</f>
        <v>0</v>
      </c>
      <c r="U348">
        <f>IFERROR($J348/IF($A348&lt;COUNTIFS($K$1:U$1,"&lt;&gt;"),0,SUMIFS($J:$J,$B:$B,$B348,$A:$A,"&gt;="&amp;COUNTIFS($K$1:U$1,"&lt;&gt;"))),0)</f>
        <v>0</v>
      </c>
      <c r="V348">
        <f>IFERROR($J348/IF($A348&lt;COUNTIFS($K$1:V$1,"&lt;&gt;"),0,SUMIFS($J:$J,$B:$B,$B348,$A:$A,"&gt;="&amp;COUNTIFS($K$1:V$1,"&lt;&gt;"))),0)</f>
        <v>0</v>
      </c>
      <c r="W348">
        <f t="shared" si="134"/>
        <v>8.2191780821917804E-2</v>
      </c>
      <c r="X348">
        <f t="shared" si="114"/>
        <v>8.2191780821917804E-2</v>
      </c>
      <c r="Y348">
        <f t="shared" si="115"/>
        <v>8.2191780821917804E-2</v>
      </c>
      <c r="Z348">
        <f t="shared" si="116"/>
        <v>8.2191780821917804E-2</v>
      </c>
      <c r="AA348">
        <f t="shared" si="117"/>
        <v>8.2191780821917804E-2</v>
      </c>
      <c r="AB348">
        <f t="shared" si="118"/>
        <v>8.2191780821917804E-2</v>
      </c>
      <c r="AC348">
        <f t="shared" si="119"/>
        <v>8.2191780821917804E-2</v>
      </c>
      <c r="AD348">
        <f t="shared" si="120"/>
        <v>8.2191780821917804E-2</v>
      </c>
      <c r="AE348">
        <f t="shared" si="121"/>
        <v>8.2191780821917804E-2</v>
      </c>
      <c r="AF348">
        <f t="shared" si="122"/>
        <v>0</v>
      </c>
      <c r="AG348">
        <f t="shared" si="123"/>
        <v>0</v>
      </c>
      <c r="AH348">
        <f t="shared" si="124"/>
        <v>0</v>
      </c>
      <c r="AI348">
        <f t="shared" si="125"/>
        <v>0</v>
      </c>
      <c r="AJ348" s="2" t="str">
        <f t="shared" si="135"/>
        <v>844621</v>
      </c>
    </row>
    <row r="349" spans="1:36" x14ac:dyDescent="0.25">
      <c r="A349">
        <v>9</v>
      </c>
      <c r="B349" s="1">
        <v>44621</v>
      </c>
      <c r="C349" s="1">
        <f t="shared" si="126"/>
        <v>44896</v>
      </c>
      <c r="D349" s="1">
        <f t="shared" si="127"/>
        <v>44635</v>
      </c>
      <c r="E349" s="1">
        <f t="shared" si="128"/>
        <v>44896</v>
      </c>
      <c r="F349" s="1">
        <f t="shared" si="129"/>
        <v>44927</v>
      </c>
      <c r="G349" s="1">
        <f t="shared" si="130"/>
        <v>45000</v>
      </c>
      <c r="H349">
        <f t="shared" si="131"/>
        <v>365</v>
      </c>
      <c r="I349">
        <f t="shared" si="132"/>
        <v>31</v>
      </c>
      <c r="J349">
        <f t="shared" si="133"/>
        <v>8.4931506849315067E-2</v>
      </c>
      <c r="K349">
        <f>IFERROR($J349/IF($A349&lt;COUNTIFS($K$1:K$1,"&lt;&gt;"),0,SUMIFS($J:$J,$B:$B,$B349,$A:$A,"&gt;="&amp;COUNTIFS($K$1:K$1,"&lt;&gt;"))),0)</f>
        <v>8.9080459770114959E-2</v>
      </c>
      <c r="L349">
        <f>IFERROR($J349/IF($A349&lt;COUNTIFS($K$1:L$1,"&lt;&gt;"),0,SUMIFS($J:$J,$B:$B,$B349,$A:$A,"&gt;="&amp;COUNTIFS($K$1:L$1,"&lt;&gt;"))),0)</f>
        <v>9.7484276729559768E-2</v>
      </c>
      <c r="M349">
        <f>IFERROR($J349/IF($A349&lt;COUNTIFS($K$1:M$1,"&lt;&gt;"),0,SUMIFS($J:$J,$B:$B,$B349,$A:$A,"&gt;="&amp;COUNTIFS($K$1:M$1,"&lt;&gt;"))),0)</f>
        <v>0.10801393728222998</v>
      </c>
      <c r="N349">
        <f>IFERROR($J349/IF($A349&lt;COUNTIFS($K$1:N$1,"&lt;&gt;"),0,SUMIFS($J:$J,$B:$B,$B349,$A:$A,"&gt;="&amp;COUNTIFS($K$1:N$1,"&lt;&gt;"))),0)</f>
        <v>0.12062256809338523</v>
      </c>
      <c r="O349">
        <f>IFERROR($J349/IF($A349&lt;COUNTIFS($K$1:O$1,"&lt;&gt;"),0,SUMIFS($J:$J,$B:$B,$B349,$A:$A,"&gt;="&amp;COUNTIFS($K$1:O$1,"&lt;&gt;"))),0)</f>
        <v>0.13716814159292037</v>
      </c>
      <c r="P349">
        <f>IFERROR($J349/IF($A349&lt;COUNTIFS($K$1:P$1,"&lt;&gt;"),0,SUMIFS($J:$J,$B:$B,$B349,$A:$A,"&gt;="&amp;COUNTIFS($K$1:P$1,"&lt;&gt;"))),0)</f>
        <v>0.15897435897435899</v>
      </c>
      <c r="Q349">
        <f>IFERROR($J349/IF($A349&lt;COUNTIFS($K$1:Q$1,"&lt;&gt;"),0,SUMIFS($J:$J,$B:$B,$B349,$A:$A,"&gt;="&amp;COUNTIFS($K$1:Q$1,"&lt;&gt;"))),0)</f>
        <v>0.1878787878787879</v>
      </c>
      <c r="R349">
        <f>IFERROR($J349/IF($A349&lt;COUNTIFS($K$1:R$1,"&lt;&gt;"),0,SUMIFS($J:$J,$B:$B,$B349,$A:$A,"&gt;="&amp;COUNTIFS($K$1:R$1,"&lt;&gt;"))),0)</f>
        <v>0.23134328358208955</v>
      </c>
      <c r="S349">
        <f>IFERROR($J349/IF($A349&lt;COUNTIFS($K$1:S$1,"&lt;&gt;"),0,SUMIFS($J:$J,$B:$B,$B349,$A:$A,"&gt;="&amp;COUNTIFS($K$1:S$1,"&lt;&gt;"))),0)</f>
        <v>0.29807692307692307</v>
      </c>
      <c r="T349">
        <f>IFERROR($J349/IF($A349&lt;COUNTIFS($K$1:T$1,"&lt;&gt;"),0,SUMIFS($J:$J,$B:$B,$B349,$A:$A,"&gt;="&amp;COUNTIFS($K$1:T$1,"&lt;&gt;"))),0)</f>
        <v>0</v>
      </c>
      <c r="U349">
        <f>IFERROR($J349/IF($A349&lt;COUNTIFS($K$1:U$1,"&lt;&gt;"),0,SUMIFS($J:$J,$B:$B,$B349,$A:$A,"&gt;="&amp;COUNTIFS($K$1:U$1,"&lt;&gt;"))),0)</f>
        <v>0</v>
      </c>
      <c r="V349">
        <f>IFERROR($J349/IF($A349&lt;COUNTIFS($K$1:V$1,"&lt;&gt;"),0,SUMIFS($J:$J,$B:$B,$B349,$A:$A,"&gt;="&amp;COUNTIFS($K$1:V$1,"&lt;&gt;"))),0)</f>
        <v>0</v>
      </c>
      <c r="W349">
        <f t="shared" si="134"/>
        <v>8.4931506849315067E-2</v>
      </c>
      <c r="X349">
        <f t="shared" si="114"/>
        <v>8.4931506849315067E-2</v>
      </c>
      <c r="Y349">
        <f t="shared" si="115"/>
        <v>8.4931506849315067E-2</v>
      </c>
      <c r="Z349">
        <f t="shared" si="116"/>
        <v>8.4931506849315067E-2</v>
      </c>
      <c r="AA349">
        <f t="shared" si="117"/>
        <v>8.4931506849315067E-2</v>
      </c>
      <c r="AB349">
        <f t="shared" si="118"/>
        <v>8.4931506849315067E-2</v>
      </c>
      <c r="AC349">
        <f t="shared" si="119"/>
        <v>8.4931506849315067E-2</v>
      </c>
      <c r="AD349">
        <f t="shared" si="120"/>
        <v>8.4931506849315067E-2</v>
      </c>
      <c r="AE349">
        <f t="shared" si="121"/>
        <v>8.4931506849315067E-2</v>
      </c>
      <c r="AF349">
        <f t="shared" si="122"/>
        <v>8.4931506849315067E-2</v>
      </c>
      <c r="AG349">
        <f t="shared" si="123"/>
        <v>0</v>
      </c>
      <c r="AH349">
        <f t="shared" si="124"/>
        <v>0</v>
      </c>
      <c r="AI349">
        <f t="shared" si="125"/>
        <v>0</v>
      </c>
      <c r="AJ349" s="2" t="str">
        <f t="shared" si="135"/>
        <v>944621</v>
      </c>
    </row>
    <row r="350" spans="1:36" x14ac:dyDescent="0.25">
      <c r="A350">
        <v>10</v>
      </c>
      <c r="B350" s="1">
        <v>44621</v>
      </c>
      <c r="C350" s="1">
        <f t="shared" si="126"/>
        <v>44927</v>
      </c>
      <c r="D350" s="1">
        <f t="shared" si="127"/>
        <v>44635</v>
      </c>
      <c r="E350" s="1">
        <f t="shared" si="128"/>
        <v>44927</v>
      </c>
      <c r="F350" s="1">
        <f t="shared" si="129"/>
        <v>44958</v>
      </c>
      <c r="G350" s="1">
        <f t="shared" si="130"/>
        <v>45000</v>
      </c>
      <c r="H350">
        <f t="shared" si="131"/>
        <v>365</v>
      </c>
      <c r="I350">
        <f t="shared" si="132"/>
        <v>31</v>
      </c>
      <c r="J350">
        <f t="shared" si="133"/>
        <v>8.4931506849315067E-2</v>
      </c>
      <c r="K350">
        <f>IFERROR($J350/IF($A350&lt;COUNTIFS($K$1:K$1,"&lt;&gt;"),0,SUMIFS($J:$J,$B:$B,$B350,$A:$A,"&gt;="&amp;COUNTIFS($K$1:K$1,"&lt;&gt;"))),0)</f>
        <v>8.9080459770114959E-2</v>
      </c>
      <c r="L350">
        <f>IFERROR($J350/IF($A350&lt;COUNTIFS($K$1:L$1,"&lt;&gt;"),0,SUMIFS($J:$J,$B:$B,$B350,$A:$A,"&gt;="&amp;COUNTIFS($K$1:L$1,"&lt;&gt;"))),0)</f>
        <v>9.7484276729559768E-2</v>
      </c>
      <c r="M350">
        <f>IFERROR($J350/IF($A350&lt;COUNTIFS($K$1:M$1,"&lt;&gt;"),0,SUMIFS($J:$J,$B:$B,$B350,$A:$A,"&gt;="&amp;COUNTIFS($K$1:M$1,"&lt;&gt;"))),0)</f>
        <v>0.10801393728222998</v>
      </c>
      <c r="N350">
        <f>IFERROR($J350/IF($A350&lt;COUNTIFS($K$1:N$1,"&lt;&gt;"),0,SUMIFS($J:$J,$B:$B,$B350,$A:$A,"&gt;="&amp;COUNTIFS($K$1:N$1,"&lt;&gt;"))),0)</f>
        <v>0.12062256809338523</v>
      </c>
      <c r="O350">
        <f>IFERROR($J350/IF($A350&lt;COUNTIFS($K$1:O$1,"&lt;&gt;"),0,SUMIFS($J:$J,$B:$B,$B350,$A:$A,"&gt;="&amp;COUNTIFS($K$1:O$1,"&lt;&gt;"))),0)</f>
        <v>0.13716814159292037</v>
      </c>
      <c r="P350">
        <f>IFERROR($J350/IF($A350&lt;COUNTIFS($K$1:P$1,"&lt;&gt;"),0,SUMIFS($J:$J,$B:$B,$B350,$A:$A,"&gt;="&amp;COUNTIFS($K$1:P$1,"&lt;&gt;"))),0)</f>
        <v>0.15897435897435899</v>
      </c>
      <c r="Q350">
        <f>IFERROR($J350/IF($A350&lt;COUNTIFS($K$1:Q$1,"&lt;&gt;"),0,SUMIFS($J:$J,$B:$B,$B350,$A:$A,"&gt;="&amp;COUNTIFS($K$1:Q$1,"&lt;&gt;"))),0)</f>
        <v>0.1878787878787879</v>
      </c>
      <c r="R350">
        <f>IFERROR($J350/IF($A350&lt;COUNTIFS($K$1:R$1,"&lt;&gt;"),0,SUMIFS($J:$J,$B:$B,$B350,$A:$A,"&gt;="&amp;COUNTIFS($K$1:R$1,"&lt;&gt;"))),0)</f>
        <v>0.23134328358208955</v>
      </c>
      <c r="S350">
        <f>IFERROR($J350/IF($A350&lt;COUNTIFS($K$1:S$1,"&lt;&gt;"),0,SUMIFS($J:$J,$B:$B,$B350,$A:$A,"&gt;="&amp;COUNTIFS($K$1:S$1,"&lt;&gt;"))),0)</f>
        <v>0.29807692307692307</v>
      </c>
      <c r="T350">
        <f>IFERROR($J350/IF($A350&lt;COUNTIFS($K$1:T$1,"&lt;&gt;"),0,SUMIFS($J:$J,$B:$B,$B350,$A:$A,"&gt;="&amp;COUNTIFS($K$1:T$1,"&lt;&gt;"))),0)</f>
        <v>0.42465753424657532</v>
      </c>
      <c r="U350">
        <f>IFERROR($J350/IF($A350&lt;COUNTIFS($K$1:U$1,"&lt;&gt;"),0,SUMIFS($J:$J,$B:$B,$B350,$A:$A,"&gt;="&amp;COUNTIFS($K$1:U$1,"&lt;&gt;"))),0)</f>
        <v>0</v>
      </c>
      <c r="V350">
        <f>IFERROR($J350/IF($A350&lt;COUNTIFS($K$1:V$1,"&lt;&gt;"),0,SUMIFS($J:$J,$B:$B,$B350,$A:$A,"&gt;="&amp;COUNTIFS($K$1:V$1,"&lt;&gt;"))),0)</f>
        <v>0</v>
      </c>
      <c r="W350">
        <f t="shared" si="134"/>
        <v>8.4931506849315067E-2</v>
      </c>
      <c r="X350">
        <f t="shared" si="114"/>
        <v>8.4931506849315067E-2</v>
      </c>
      <c r="Y350">
        <f t="shared" si="115"/>
        <v>8.4931506849315067E-2</v>
      </c>
      <c r="Z350">
        <f t="shared" si="116"/>
        <v>8.4931506849315067E-2</v>
      </c>
      <c r="AA350">
        <f t="shared" si="117"/>
        <v>8.4931506849315067E-2</v>
      </c>
      <c r="AB350">
        <f t="shared" si="118"/>
        <v>8.4931506849315067E-2</v>
      </c>
      <c r="AC350">
        <f t="shared" si="119"/>
        <v>8.4931506849315067E-2</v>
      </c>
      <c r="AD350">
        <f t="shared" si="120"/>
        <v>8.4931506849315067E-2</v>
      </c>
      <c r="AE350">
        <f t="shared" si="121"/>
        <v>8.4931506849315067E-2</v>
      </c>
      <c r="AF350">
        <f t="shared" si="122"/>
        <v>8.4931506849315067E-2</v>
      </c>
      <c r="AG350">
        <f t="shared" si="123"/>
        <v>8.4931506849315067E-2</v>
      </c>
      <c r="AH350">
        <f t="shared" si="124"/>
        <v>0</v>
      </c>
      <c r="AI350">
        <f t="shared" si="125"/>
        <v>0</v>
      </c>
      <c r="AJ350" s="2" t="str">
        <f t="shared" si="135"/>
        <v>1044621</v>
      </c>
    </row>
    <row r="351" spans="1:36" x14ac:dyDescent="0.25">
      <c r="A351">
        <v>11</v>
      </c>
      <c r="B351" s="1">
        <v>44621</v>
      </c>
      <c r="C351" s="1">
        <f t="shared" si="126"/>
        <v>44958</v>
      </c>
      <c r="D351" s="1">
        <f t="shared" si="127"/>
        <v>44635</v>
      </c>
      <c r="E351" s="1">
        <f t="shared" si="128"/>
        <v>44958</v>
      </c>
      <c r="F351" s="1">
        <f t="shared" si="129"/>
        <v>44986</v>
      </c>
      <c r="G351" s="1">
        <f t="shared" si="130"/>
        <v>45000</v>
      </c>
      <c r="H351">
        <f t="shared" si="131"/>
        <v>365</v>
      </c>
      <c r="I351">
        <f t="shared" si="132"/>
        <v>28</v>
      </c>
      <c r="J351">
        <f t="shared" si="133"/>
        <v>7.6712328767123292E-2</v>
      </c>
      <c r="K351">
        <f>IFERROR($J351/IF($A351&lt;COUNTIFS($K$1:K$1,"&lt;&gt;"),0,SUMIFS($J:$J,$B:$B,$B351,$A:$A,"&gt;="&amp;COUNTIFS($K$1:K$1,"&lt;&gt;"))),0)</f>
        <v>8.0459770114942541E-2</v>
      </c>
      <c r="L351">
        <f>IFERROR($J351/IF($A351&lt;COUNTIFS($K$1:L$1,"&lt;&gt;"),0,SUMIFS($J:$J,$B:$B,$B351,$A:$A,"&gt;="&amp;COUNTIFS($K$1:L$1,"&lt;&gt;"))),0)</f>
        <v>8.8050314465408827E-2</v>
      </c>
      <c r="M351">
        <f>IFERROR($J351/IF($A351&lt;COUNTIFS($K$1:M$1,"&lt;&gt;"),0,SUMIFS($J:$J,$B:$B,$B351,$A:$A,"&gt;="&amp;COUNTIFS($K$1:M$1,"&lt;&gt;"))),0)</f>
        <v>9.7560975609756115E-2</v>
      </c>
      <c r="N351">
        <f>IFERROR($J351/IF($A351&lt;COUNTIFS($K$1:N$1,"&lt;&gt;"),0,SUMIFS($J:$J,$B:$B,$B351,$A:$A,"&gt;="&amp;COUNTIFS($K$1:N$1,"&lt;&gt;"))),0)</f>
        <v>0.10894941634241248</v>
      </c>
      <c r="O351">
        <f>IFERROR($J351/IF($A351&lt;COUNTIFS($K$1:O$1,"&lt;&gt;"),0,SUMIFS($J:$J,$B:$B,$B351,$A:$A,"&gt;="&amp;COUNTIFS($K$1:O$1,"&lt;&gt;"))),0)</f>
        <v>0.12389380530973454</v>
      </c>
      <c r="P351">
        <f>IFERROR($J351/IF($A351&lt;COUNTIFS($K$1:P$1,"&lt;&gt;"),0,SUMIFS($J:$J,$B:$B,$B351,$A:$A,"&gt;="&amp;COUNTIFS($K$1:P$1,"&lt;&gt;"))),0)</f>
        <v>0.14358974358974361</v>
      </c>
      <c r="Q351">
        <f>IFERROR($J351/IF($A351&lt;COUNTIFS($K$1:Q$1,"&lt;&gt;"),0,SUMIFS($J:$J,$B:$B,$B351,$A:$A,"&gt;="&amp;COUNTIFS($K$1:Q$1,"&lt;&gt;"))),0)</f>
        <v>0.16969696969696971</v>
      </c>
      <c r="R351">
        <f>IFERROR($J351/IF($A351&lt;COUNTIFS($K$1:R$1,"&lt;&gt;"),0,SUMIFS($J:$J,$B:$B,$B351,$A:$A,"&gt;="&amp;COUNTIFS($K$1:R$1,"&lt;&gt;"))),0)</f>
        <v>0.20895522388059704</v>
      </c>
      <c r="S351">
        <f>IFERROR($J351/IF($A351&lt;COUNTIFS($K$1:S$1,"&lt;&gt;"),0,SUMIFS($J:$J,$B:$B,$B351,$A:$A,"&gt;="&amp;COUNTIFS($K$1:S$1,"&lt;&gt;"))),0)</f>
        <v>0.26923076923076927</v>
      </c>
      <c r="T351">
        <f>IFERROR($J351/IF($A351&lt;COUNTIFS($K$1:T$1,"&lt;&gt;"),0,SUMIFS($J:$J,$B:$B,$B351,$A:$A,"&gt;="&amp;COUNTIFS($K$1:T$1,"&lt;&gt;"))),0)</f>
        <v>0.38356164383561642</v>
      </c>
      <c r="U351">
        <f>IFERROR($J351/IF($A351&lt;COUNTIFS($K$1:U$1,"&lt;&gt;"),0,SUMIFS($J:$J,$B:$B,$B351,$A:$A,"&gt;="&amp;COUNTIFS($K$1:U$1,"&lt;&gt;"))),0)</f>
        <v>0.66666666666666674</v>
      </c>
      <c r="V351">
        <f>IFERROR($J351/IF($A351&lt;COUNTIFS($K$1:V$1,"&lt;&gt;"),0,SUMIFS($J:$J,$B:$B,$B351,$A:$A,"&gt;="&amp;COUNTIFS($K$1:V$1,"&lt;&gt;"))),0)</f>
        <v>0</v>
      </c>
      <c r="W351">
        <f t="shared" si="134"/>
        <v>7.6712328767123292E-2</v>
      </c>
      <c r="X351">
        <f t="shared" si="114"/>
        <v>7.6712328767123292E-2</v>
      </c>
      <c r="Y351">
        <f t="shared" si="115"/>
        <v>7.6712328767123292E-2</v>
      </c>
      <c r="Z351">
        <f t="shared" si="116"/>
        <v>7.6712328767123292E-2</v>
      </c>
      <c r="AA351">
        <f t="shared" si="117"/>
        <v>7.6712328767123292E-2</v>
      </c>
      <c r="AB351">
        <f t="shared" si="118"/>
        <v>7.6712328767123292E-2</v>
      </c>
      <c r="AC351">
        <f t="shared" si="119"/>
        <v>7.6712328767123292E-2</v>
      </c>
      <c r="AD351">
        <f t="shared" si="120"/>
        <v>7.6712328767123292E-2</v>
      </c>
      <c r="AE351">
        <f t="shared" si="121"/>
        <v>7.6712328767123292E-2</v>
      </c>
      <c r="AF351">
        <f t="shared" si="122"/>
        <v>7.6712328767123292E-2</v>
      </c>
      <c r="AG351">
        <f t="shared" si="123"/>
        <v>7.6712328767123292E-2</v>
      </c>
      <c r="AH351">
        <f t="shared" si="124"/>
        <v>7.6712328767123292E-2</v>
      </c>
      <c r="AI351">
        <f t="shared" si="125"/>
        <v>0</v>
      </c>
      <c r="AJ351" s="2" t="str">
        <f t="shared" si="135"/>
        <v>1144621</v>
      </c>
    </row>
    <row r="352" spans="1:36" x14ac:dyDescent="0.25">
      <c r="A352">
        <v>12</v>
      </c>
      <c r="B352" s="1">
        <v>44621</v>
      </c>
      <c r="C352" s="1">
        <f t="shared" si="126"/>
        <v>44986</v>
      </c>
      <c r="D352" s="1">
        <f t="shared" si="127"/>
        <v>44635</v>
      </c>
      <c r="E352" s="1">
        <f t="shared" si="128"/>
        <v>44986</v>
      </c>
      <c r="F352" s="1">
        <f t="shared" si="129"/>
        <v>45000</v>
      </c>
      <c r="G352" s="1">
        <f t="shared" si="130"/>
        <v>45000</v>
      </c>
      <c r="H352">
        <f t="shared" si="131"/>
        <v>365</v>
      </c>
      <c r="I352">
        <f t="shared" si="132"/>
        <v>14</v>
      </c>
      <c r="J352">
        <f t="shared" si="133"/>
        <v>3.8356164383561646E-2</v>
      </c>
      <c r="K352">
        <f>IFERROR($J352/IF($A352&lt;COUNTIFS($K$1:K$1,"&lt;&gt;"),0,SUMIFS($J:$J,$B:$B,$B352,$A:$A,"&gt;="&amp;COUNTIFS($K$1:K$1,"&lt;&gt;"))),0)</f>
        <v>4.0229885057471271E-2</v>
      </c>
      <c r="L352">
        <f>IFERROR($J352/IF($A352&lt;COUNTIFS($K$1:L$1,"&lt;&gt;"),0,SUMIFS($J:$J,$B:$B,$B352,$A:$A,"&gt;="&amp;COUNTIFS($K$1:L$1,"&lt;&gt;"))),0)</f>
        <v>4.4025157232704414E-2</v>
      </c>
      <c r="M352">
        <f>IFERROR($J352/IF($A352&lt;COUNTIFS($K$1:M$1,"&lt;&gt;"),0,SUMIFS($J:$J,$B:$B,$B352,$A:$A,"&gt;="&amp;COUNTIFS($K$1:M$1,"&lt;&gt;"))),0)</f>
        <v>4.8780487804878057E-2</v>
      </c>
      <c r="N352">
        <f>IFERROR($J352/IF($A352&lt;COUNTIFS($K$1:N$1,"&lt;&gt;"),0,SUMIFS($J:$J,$B:$B,$B352,$A:$A,"&gt;="&amp;COUNTIFS($K$1:N$1,"&lt;&gt;"))),0)</f>
        <v>5.447470817120624E-2</v>
      </c>
      <c r="O352">
        <f>IFERROR($J352/IF($A352&lt;COUNTIFS($K$1:O$1,"&lt;&gt;"),0,SUMIFS($J:$J,$B:$B,$B352,$A:$A,"&gt;="&amp;COUNTIFS($K$1:O$1,"&lt;&gt;"))),0)</f>
        <v>6.194690265486727E-2</v>
      </c>
      <c r="P352">
        <f>IFERROR($J352/IF($A352&lt;COUNTIFS($K$1:P$1,"&lt;&gt;"),0,SUMIFS($J:$J,$B:$B,$B352,$A:$A,"&gt;="&amp;COUNTIFS($K$1:P$1,"&lt;&gt;"))),0)</f>
        <v>7.1794871794871803E-2</v>
      </c>
      <c r="Q352">
        <f>IFERROR($J352/IF($A352&lt;COUNTIFS($K$1:Q$1,"&lt;&gt;"),0,SUMIFS($J:$J,$B:$B,$B352,$A:$A,"&gt;="&amp;COUNTIFS($K$1:Q$1,"&lt;&gt;"))),0)</f>
        <v>8.4848484848484854E-2</v>
      </c>
      <c r="R352">
        <f>IFERROR($J352/IF($A352&lt;COUNTIFS($K$1:R$1,"&lt;&gt;"),0,SUMIFS($J:$J,$B:$B,$B352,$A:$A,"&gt;="&amp;COUNTIFS($K$1:R$1,"&lt;&gt;"))),0)</f>
        <v>0.10447761194029852</v>
      </c>
      <c r="S352">
        <f>IFERROR($J352/IF($A352&lt;COUNTIFS($K$1:S$1,"&lt;&gt;"),0,SUMIFS($J:$J,$B:$B,$B352,$A:$A,"&gt;="&amp;COUNTIFS($K$1:S$1,"&lt;&gt;"))),0)</f>
        <v>0.13461538461538464</v>
      </c>
      <c r="T352">
        <f>IFERROR($J352/IF($A352&lt;COUNTIFS($K$1:T$1,"&lt;&gt;"),0,SUMIFS($J:$J,$B:$B,$B352,$A:$A,"&gt;="&amp;COUNTIFS($K$1:T$1,"&lt;&gt;"))),0)</f>
        <v>0.19178082191780821</v>
      </c>
      <c r="U352">
        <f>IFERROR($J352/IF($A352&lt;COUNTIFS($K$1:U$1,"&lt;&gt;"),0,SUMIFS($J:$J,$B:$B,$B352,$A:$A,"&gt;="&amp;COUNTIFS($K$1:U$1,"&lt;&gt;"))),0)</f>
        <v>0.33333333333333337</v>
      </c>
      <c r="V352">
        <f>IFERROR($J352/IF($A352&lt;COUNTIFS($K$1:V$1,"&lt;&gt;"),0,SUMIFS($J:$J,$B:$B,$B352,$A:$A,"&gt;="&amp;COUNTIFS($K$1:V$1,"&lt;&gt;"))),0)</f>
        <v>1</v>
      </c>
      <c r="W352">
        <f t="shared" si="134"/>
        <v>3.8356164383561646E-2</v>
      </c>
      <c r="X352">
        <f t="shared" si="114"/>
        <v>3.8356164383561646E-2</v>
      </c>
      <c r="Y352">
        <f t="shared" si="115"/>
        <v>3.8356164383561646E-2</v>
      </c>
      <c r="Z352">
        <f t="shared" si="116"/>
        <v>3.8356164383561646E-2</v>
      </c>
      <c r="AA352">
        <f t="shared" si="117"/>
        <v>3.8356164383561646E-2</v>
      </c>
      <c r="AB352">
        <f t="shared" si="118"/>
        <v>3.8356164383561646E-2</v>
      </c>
      <c r="AC352">
        <f t="shared" si="119"/>
        <v>3.8356164383561646E-2</v>
      </c>
      <c r="AD352">
        <f t="shared" si="120"/>
        <v>3.8356164383561646E-2</v>
      </c>
      <c r="AE352">
        <f t="shared" si="121"/>
        <v>3.8356164383561646E-2</v>
      </c>
      <c r="AF352">
        <f t="shared" si="122"/>
        <v>3.8356164383561646E-2</v>
      </c>
      <c r="AG352">
        <f t="shared" si="123"/>
        <v>3.8356164383561646E-2</v>
      </c>
      <c r="AH352">
        <f t="shared" si="124"/>
        <v>3.8356164383561646E-2</v>
      </c>
      <c r="AI352">
        <f t="shared" si="125"/>
        <v>3.8356164383561646E-2</v>
      </c>
      <c r="AJ352" s="2" t="str">
        <f t="shared" si="135"/>
        <v>1244621</v>
      </c>
    </row>
    <row r="353" spans="1:36" x14ac:dyDescent="0.25">
      <c r="A353">
        <v>0</v>
      </c>
      <c r="B353" s="1">
        <v>44652</v>
      </c>
      <c r="C353" s="1">
        <f t="shared" si="126"/>
        <v>44652</v>
      </c>
      <c r="D353" s="1">
        <f t="shared" si="127"/>
        <v>44666</v>
      </c>
      <c r="E353" s="1">
        <f t="shared" si="128"/>
        <v>44666</v>
      </c>
      <c r="F353" s="1">
        <f t="shared" si="129"/>
        <v>44682</v>
      </c>
      <c r="G353" s="1">
        <f t="shared" si="130"/>
        <v>45031</v>
      </c>
      <c r="H353">
        <f t="shared" si="131"/>
        <v>365</v>
      </c>
      <c r="I353">
        <f t="shared" si="132"/>
        <v>16</v>
      </c>
      <c r="J353">
        <f t="shared" si="133"/>
        <v>4.3835616438356165E-2</v>
      </c>
      <c r="K353">
        <f>IFERROR($J353/IF($A353&lt;COUNTIFS($K$1:K$1,"&lt;&gt;"),0,SUMIFS($J:$J,$B:$B,$B353,$A:$A,"&gt;="&amp;COUNTIFS($K$1:K$1,"&lt;&gt;"))),0)</f>
        <v>0</v>
      </c>
      <c r="L353">
        <f>IFERROR($J353/IF($A353&lt;COUNTIFS($K$1:L$1,"&lt;&gt;"),0,SUMIFS($J:$J,$B:$B,$B353,$A:$A,"&gt;="&amp;COUNTIFS($K$1:L$1,"&lt;&gt;"))),0)</f>
        <v>0</v>
      </c>
      <c r="M353">
        <f>IFERROR($J353/IF($A353&lt;COUNTIFS($K$1:M$1,"&lt;&gt;"),0,SUMIFS($J:$J,$B:$B,$B353,$A:$A,"&gt;="&amp;COUNTIFS($K$1:M$1,"&lt;&gt;"))),0)</f>
        <v>0</v>
      </c>
      <c r="N353">
        <f>IFERROR($J353/IF($A353&lt;COUNTIFS($K$1:N$1,"&lt;&gt;"),0,SUMIFS($J:$J,$B:$B,$B353,$A:$A,"&gt;="&amp;COUNTIFS($K$1:N$1,"&lt;&gt;"))),0)</f>
        <v>0</v>
      </c>
      <c r="O353">
        <f>IFERROR($J353/IF($A353&lt;COUNTIFS($K$1:O$1,"&lt;&gt;"),0,SUMIFS($J:$J,$B:$B,$B353,$A:$A,"&gt;="&amp;COUNTIFS($K$1:O$1,"&lt;&gt;"))),0)</f>
        <v>0</v>
      </c>
      <c r="P353">
        <f>IFERROR($J353/IF($A353&lt;COUNTIFS($K$1:P$1,"&lt;&gt;"),0,SUMIFS($J:$J,$B:$B,$B353,$A:$A,"&gt;="&amp;COUNTIFS($K$1:P$1,"&lt;&gt;"))),0)</f>
        <v>0</v>
      </c>
      <c r="Q353">
        <f>IFERROR($J353/IF($A353&lt;COUNTIFS($K$1:Q$1,"&lt;&gt;"),0,SUMIFS($J:$J,$B:$B,$B353,$A:$A,"&gt;="&amp;COUNTIFS($K$1:Q$1,"&lt;&gt;"))),0)</f>
        <v>0</v>
      </c>
      <c r="R353">
        <f>IFERROR($J353/IF($A353&lt;COUNTIFS($K$1:R$1,"&lt;&gt;"),0,SUMIFS($J:$J,$B:$B,$B353,$A:$A,"&gt;="&amp;COUNTIFS($K$1:R$1,"&lt;&gt;"))),0)</f>
        <v>0</v>
      </c>
      <c r="S353">
        <f>IFERROR($J353/IF($A353&lt;COUNTIFS($K$1:S$1,"&lt;&gt;"),0,SUMIFS($J:$J,$B:$B,$B353,$A:$A,"&gt;="&amp;COUNTIFS($K$1:S$1,"&lt;&gt;"))),0)</f>
        <v>0</v>
      </c>
      <c r="T353">
        <f>IFERROR($J353/IF($A353&lt;COUNTIFS($K$1:T$1,"&lt;&gt;"),0,SUMIFS($J:$J,$B:$B,$B353,$A:$A,"&gt;="&amp;COUNTIFS($K$1:T$1,"&lt;&gt;"))),0)</f>
        <v>0</v>
      </c>
      <c r="U353">
        <f>IFERROR($J353/IF($A353&lt;COUNTIFS($K$1:U$1,"&lt;&gt;"),0,SUMIFS($J:$J,$B:$B,$B353,$A:$A,"&gt;="&amp;COUNTIFS($K$1:U$1,"&lt;&gt;"))),0)</f>
        <v>0</v>
      </c>
      <c r="V353">
        <f>IFERROR($J353/IF($A353&lt;COUNTIFS($K$1:V$1,"&lt;&gt;"),0,SUMIFS($J:$J,$B:$B,$B353,$A:$A,"&gt;="&amp;COUNTIFS($K$1:V$1,"&lt;&gt;"))),0)</f>
        <v>0</v>
      </c>
      <c r="W353">
        <f t="shared" si="134"/>
        <v>4.3835616438356165E-2</v>
      </c>
      <c r="X353">
        <f t="shared" si="114"/>
        <v>0</v>
      </c>
      <c r="Y353">
        <f t="shared" si="115"/>
        <v>0</v>
      </c>
      <c r="Z353">
        <f t="shared" si="116"/>
        <v>0</v>
      </c>
      <c r="AA353">
        <f t="shared" si="117"/>
        <v>0</v>
      </c>
      <c r="AB353">
        <f t="shared" si="118"/>
        <v>0</v>
      </c>
      <c r="AC353">
        <f t="shared" si="119"/>
        <v>0</v>
      </c>
      <c r="AD353">
        <f t="shared" si="120"/>
        <v>0</v>
      </c>
      <c r="AE353">
        <f t="shared" si="121"/>
        <v>0</v>
      </c>
      <c r="AF353">
        <f t="shared" si="122"/>
        <v>0</v>
      </c>
      <c r="AG353">
        <f t="shared" si="123"/>
        <v>0</v>
      </c>
      <c r="AH353">
        <f t="shared" si="124"/>
        <v>0</v>
      </c>
      <c r="AI353">
        <f t="shared" si="125"/>
        <v>0</v>
      </c>
      <c r="AJ353" s="2" t="str">
        <f t="shared" si="135"/>
        <v>044652</v>
      </c>
    </row>
    <row r="354" spans="1:36" x14ac:dyDescent="0.25">
      <c r="A354">
        <v>1</v>
      </c>
      <c r="B354" s="1">
        <v>44652</v>
      </c>
      <c r="C354" s="1">
        <f t="shared" si="126"/>
        <v>44682</v>
      </c>
      <c r="D354" s="1">
        <f t="shared" si="127"/>
        <v>44666</v>
      </c>
      <c r="E354" s="1">
        <f t="shared" si="128"/>
        <v>44682</v>
      </c>
      <c r="F354" s="1">
        <f t="shared" si="129"/>
        <v>44713</v>
      </c>
      <c r="G354" s="1">
        <f t="shared" si="130"/>
        <v>45031</v>
      </c>
      <c r="H354">
        <f t="shared" si="131"/>
        <v>365</v>
      </c>
      <c r="I354">
        <f t="shared" si="132"/>
        <v>31</v>
      </c>
      <c r="J354">
        <f t="shared" si="133"/>
        <v>8.4931506849315067E-2</v>
      </c>
      <c r="K354">
        <f>IFERROR($J354/IF($A354&lt;COUNTIFS($K$1:K$1,"&lt;&gt;"),0,SUMIFS($J:$J,$B:$B,$B354,$A:$A,"&gt;="&amp;COUNTIFS($K$1:K$1,"&lt;&gt;"))),0)</f>
        <v>8.8825214899713484E-2</v>
      </c>
      <c r="L354">
        <f>IFERROR($J354/IF($A354&lt;COUNTIFS($K$1:L$1,"&lt;&gt;"),0,SUMIFS($J:$J,$B:$B,$B354,$A:$A,"&gt;="&amp;COUNTIFS($K$1:L$1,"&lt;&gt;"))),0)</f>
        <v>0</v>
      </c>
      <c r="M354">
        <f>IFERROR($J354/IF($A354&lt;COUNTIFS($K$1:M$1,"&lt;&gt;"),0,SUMIFS($J:$J,$B:$B,$B354,$A:$A,"&gt;="&amp;COUNTIFS($K$1:M$1,"&lt;&gt;"))),0)</f>
        <v>0</v>
      </c>
      <c r="N354">
        <f>IFERROR($J354/IF($A354&lt;COUNTIFS($K$1:N$1,"&lt;&gt;"),0,SUMIFS($J:$J,$B:$B,$B354,$A:$A,"&gt;="&amp;COUNTIFS($K$1:N$1,"&lt;&gt;"))),0)</f>
        <v>0</v>
      </c>
      <c r="O354">
        <f>IFERROR($J354/IF($A354&lt;COUNTIFS($K$1:O$1,"&lt;&gt;"),0,SUMIFS($J:$J,$B:$B,$B354,$A:$A,"&gt;="&amp;COUNTIFS($K$1:O$1,"&lt;&gt;"))),0)</f>
        <v>0</v>
      </c>
      <c r="P354">
        <f>IFERROR($J354/IF($A354&lt;COUNTIFS($K$1:P$1,"&lt;&gt;"),0,SUMIFS($J:$J,$B:$B,$B354,$A:$A,"&gt;="&amp;COUNTIFS($K$1:P$1,"&lt;&gt;"))),0)</f>
        <v>0</v>
      </c>
      <c r="Q354">
        <f>IFERROR($J354/IF($A354&lt;COUNTIFS($K$1:Q$1,"&lt;&gt;"),0,SUMIFS($J:$J,$B:$B,$B354,$A:$A,"&gt;="&amp;COUNTIFS($K$1:Q$1,"&lt;&gt;"))),0)</f>
        <v>0</v>
      </c>
      <c r="R354">
        <f>IFERROR($J354/IF($A354&lt;COUNTIFS($K$1:R$1,"&lt;&gt;"),0,SUMIFS($J:$J,$B:$B,$B354,$A:$A,"&gt;="&amp;COUNTIFS($K$1:R$1,"&lt;&gt;"))),0)</f>
        <v>0</v>
      </c>
      <c r="S354">
        <f>IFERROR($J354/IF($A354&lt;COUNTIFS($K$1:S$1,"&lt;&gt;"),0,SUMIFS($J:$J,$B:$B,$B354,$A:$A,"&gt;="&amp;COUNTIFS($K$1:S$1,"&lt;&gt;"))),0)</f>
        <v>0</v>
      </c>
      <c r="T354">
        <f>IFERROR($J354/IF($A354&lt;COUNTIFS($K$1:T$1,"&lt;&gt;"),0,SUMIFS($J:$J,$B:$B,$B354,$A:$A,"&gt;="&amp;COUNTIFS($K$1:T$1,"&lt;&gt;"))),0)</f>
        <v>0</v>
      </c>
      <c r="U354">
        <f>IFERROR($J354/IF($A354&lt;COUNTIFS($K$1:U$1,"&lt;&gt;"),0,SUMIFS($J:$J,$B:$B,$B354,$A:$A,"&gt;="&amp;COUNTIFS($K$1:U$1,"&lt;&gt;"))),0)</f>
        <v>0</v>
      </c>
      <c r="V354">
        <f>IFERROR($J354/IF($A354&lt;COUNTIFS($K$1:V$1,"&lt;&gt;"),0,SUMIFS($J:$J,$B:$B,$B354,$A:$A,"&gt;="&amp;COUNTIFS($K$1:V$1,"&lt;&gt;"))),0)</f>
        <v>0</v>
      </c>
      <c r="W354">
        <f t="shared" si="134"/>
        <v>8.4931506849315067E-2</v>
      </c>
      <c r="X354">
        <f t="shared" si="114"/>
        <v>8.4931506849315067E-2</v>
      </c>
      <c r="Y354">
        <f t="shared" si="115"/>
        <v>0</v>
      </c>
      <c r="Z354">
        <f t="shared" si="116"/>
        <v>0</v>
      </c>
      <c r="AA354">
        <f t="shared" si="117"/>
        <v>0</v>
      </c>
      <c r="AB354">
        <f t="shared" si="118"/>
        <v>0</v>
      </c>
      <c r="AC354">
        <f t="shared" si="119"/>
        <v>0</v>
      </c>
      <c r="AD354">
        <f t="shared" si="120"/>
        <v>0</v>
      </c>
      <c r="AE354">
        <f t="shared" si="121"/>
        <v>0</v>
      </c>
      <c r="AF354">
        <f t="shared" si="122"/>
        <v>0</v>
      </c>
      <c r="AG354">
        <f t="shared" si="123"/>
        <v>0</v>
      </c>
      <c r="AH354">
        <f t="shared" si="124"/>
        <v>0</v>
      </c>
      <c r="AI354">
        <f t="shared" si="125"/>
        <v>0</v>
      </c>
      <c r="AJ354" s="2" t="str">
        <f t="shared" si="135"/>
        <v>144652</v>
      </c>
    </row>
    <row r="355" spans="1:36" x14ac:dyDescent="0.25">
      <c r="A355">
        <v>2</v>
      </c>
      <c r="B355" s="1">
        <v>44652</v>
      </c>
      <c r="C355" s="1">
        <f t="shared" si="126"/>
        <v>44713</v>
      </c>
      <c r="D355" s="1">
        <f t="shared" si="127"/>
        <v>44666</v>
      </c>
      <c r="E355" s="1">
        <f t="shared" si="128"/>
        <v>44713</v>
      </c>
      <c r="F355" s="1">
        <f t="shared" si="129"/>
        <v>44743</v>
      </c>
      <c r="G355" s="1">
        <f t="shared" si="130"/>
        <v>45031</v>
      </c>
      <c r="H355">
        <f t="shared" si="131"/>
        <v>365</v>
      </c>
      <c r="I355">
        <f t="shared" si="132"/>
        <v>30</v>
      </c>
      <c r="J355">
        <f t="shared" si="133"/>
        <v>8.2191780821917804E-2</v>
      </c>
      <c r="K355">
        <f>IFERROR($J355/IF($A355&lt;COUNTIFS($K$1:K$1,"&lt;&gt;"),0,SUMIFS($J:$J,$B:$B,$B355,$A:$A,"&gt;="&amp;COUNTIFS($K$1:K$1,"&lt;&gt;"))),0)</f>
        <v>8.5959885386819493E-2</v>
      </c>
      <c r="L355">
        <f>IFERROR($J355/IF($A355&lt;COUNTIFS($K$1:L$1,"&lt;&gt;"),0,SUMIFS($J:$J,$B:$B,$B355,$A:$A,"&gt;="&amp;COUNTIFS($K$1:L$1,"&lt;&gt;"))),0)</f>
        <v>9.4339622641509441E-2</v>
      </c>
      <c r="M355">
        <f>IFERROR($J355/IF($A355&lt;COUNTIFS($K$1:M$1,"&lt;&gt;"),0,SUMIFS($J:$J,$B:$B,$B355,$A:$A,"&gt;="&amp;COUNTIFS($K$1:M$1,"&lt;&gt;"))),0)</f>
        <v>0</v>
      </c>
      <c r="N355">
        <f>IFERROR($J355/IF($A355&lt;COUNTIFS($K$1:N$1,"&lt;&gt;"),0,SUMIFS($J:$J,$B:$B,$B355,$A:$A,"&gt;="&amp;COUNTIFS($K$1:N$1,"&lt;&gt;"))),0)</f>
        <v>0</v>
      </c>
      <c r="O355">
        <f>IFERROR($J355/IF($A355&lt;COUNTIFS($K$1:O$1,"&lt;&gt;"),0,SUMIFS($J:$J,$B:$B,$B355,$A:$A,"&gt;="&amp;COUNTIFS($K$1:O$1,"&lt;&gt;"))),0)</f>
        <v>0</v>
      </c>
      <c r="P355">
        <f>IFERROR($J355/IF($A355&lt;COUNTIFS($K$1:P$1,"&lt;&gt;"),0,SUMIFS($J:$J,$B:$B,$B355,$A:$A,"&gt;="&amp;COUNTIFS($K$1:P$1,"&lt;&gt;"))),0)</f>
        <v>0</v>
      </c>
      <c r="Q355">
        <f>IFERROR($J355/IF($A355&lt;COUNTIFS($K$1:Q$1,"&lt;&gt;"),0,SUMIFS($J:$J,$B:$B,$B355,$A:$A,"&gt;="&amp;COUNTIFS($K$1:Q$1,"&lt;&gt;"))),0)</f>
        <v>0</v>
      </c>
      <c r="R355">
        <f>IFERROR($J355/IF($A355&lt;COUNTIFS($K$1:R$1,"&lt;&gt;"),0,SUMIFS($J:$J,$B:$B,$B355,$A:$A,"&gt;="&amp;COUNTIFS($K$1:R$1,"&lt;&gt;"))),0)</f>
        <v>0</v>
      </c>
      <c r="S355">
        <f>IFERROR($J355/IF($A355&lt;COUNTIFS($K$1:S$1,"&lt;&gt;"),0,SUMIFS($J:$J,$B:$B,$B355,$A:$A,"&gt;="&amp;COUNTIFS($K$1:S$1,"&lt;&gt;"))),0)</f>
        <v>0</v>
      </c>
      <c r="T355">
        <f>IFERROR($J355/IF($A355&lt;COUNTIFS($K$1:T$1,"&lt;&gt;"),0,SUMIFS($J:$J,$B:$B,$B355,$A:$A,"&gt;="&amp;COUNTIFS($K$1:T$1,"&lt;&gt;"))),0)</f>
        <v>0</v>
      </c>
      <c r="U355">
        <f>IFERROR($J355/IF($A355&lt;COUNTIFS($K$1:U$1,"&lt;&gt;"),0,SUMIFS($J:$J,$B:$B,$B355,$A:$A,"&gt;="&amp;COUNTIFS($K$1:U$1,"&lt;&gt;"))),0)</f>
        <v>0</v>
      </c>
      <c r="V355">
        <f>IFERROR($J355/IF($A355&lt;COUNTIFS($K$1:V$1,"&lt;&gt;"),0,SUMIFS($J:$J,$B:$B,$B355,$A:$A,"&gt;="&amp;COUNTIFS($K$1:V$1,"&lt;&gt;"))),0)</f>
        <v>0</v>
      </c>
      <c r="W355">
        <f t="shared" si="134"/>
        <v>8.2191780821917804E-2</v>
      </c>
      <c r="X355">
        <f t="shared" si="114"/>
        <v>8.2191780821917804E-2</v>
      </c>
      <c r="Y355">
        <f t="shared" si="115"/>
        <v>8.2191780821917804E-2</v>
      </c>
      <c r="Z355">
        <f t="shared" si="116"/>
        <v>0</v>
      </c>
      <c r="AA355">
        <f t="shared" si="117"/>
        <v>0</v>
      </c>
      <c r="AB355">
        <f t="shared" si="118"/>
        <v>0</v>
      </c>
      <c r="AC355">
        <f t="shared" si="119"/>
        <v>0</v>
      </c>
      <c r="AD355">
        <f t="shared" si="120"/>
        <v>0</v>
      </c>
      <c r="AE355">
        <f t="shared" si="121"/>
        <v>0</v>
      </c>
      <c r="AF355">
        <f t="shared" si="122"/>
        <v>0</v>
      </c>
      <c r="AG355">
        <f t="shared" si="123"/>
        <v>0</v>
      </c>
      <c r="AH355">
        <f t="shared" si="124"/>
        <v>0</v>
      </c>
      <c r="AI355">
        <f t="shared" si="125"/>
        <v>0</v>
      </c>
      <c r="AJ355" s="2" t="str">
        <f t="shared" si="135"/>
        <v>244652</v>
      </c>
    </row>
    <row r="356" spans="1:36" x14ac:dyDescent="0.25">
      <c r="A356">
        <v>3</v>
      </c>
      <c r="B356" s="1">
        <v>44652</v>
      </c>
      <c r="C356" s="1">
        <f t="shared" si="126"/>
        <v>44743</v>
      </c>
      <c r="D356" s="1">
        <f t="shared" si="127"/>
        <v>44666</v>
      </c>
      <c r="E356" s="1">
        <f t="shared" si="128"/>
        <v>44743</v>
      </c>
      <c r="F356" s="1">
        <f t="shared" si="129"/>
        <v>44774</v>
      </c>
      <c r="G356" s="1">
        <f t="shared" si="130"/>
        <v>45031</v>
      </c>
      <c r="H356">
        <f t="shared" si="131"/>
        <v>365</v>
      </c>
      <c r="I356">
        <f t="shared" si="132"/>
        <v>31</v>
      </c>
      <c r="J356">
        <f t="shared" si="133"/>
        <v>8.4931506849315067E-2</v>
      </c>
      <c r="K356">
        <f>IFERROR($J356/IF($A356&lt;COUNTIFS($K$1:K$1,"&lt;&gt;"),0,SUMIFS($J:$J,$B:$B,$B356,$A:$A,"&gt;="&amp;COUNTIFS($K$1:K$1,"&lt;&gt;"))),0)</f>
        <v>8.8825214899713484E-2</v>
      </c>
      <c r="L356">
        <f>IFERROR($J356/IF($A356&lt;COUNTIFS($K$1:L$1,"&lt;&gt;"),0,SUMIFS($J:$J,$B:$B,$B356,$A:$A,"&gt;="&amp;COUNTIFS($K$1:L$1,"&lt;&gt;"))),0)</f>
        <v>9.7484276729559768E-2</v>
      </c>
      <c r="M356">
        <f>IFERROR($J356/IF($A356&lt;COUNTIFS($K$1:M$1,"&lt;&gt;"),0,SUMIFS($J:$J,$B:$B,$B356,$A:$A,"&gt;="&amp;COUNTIFS($K$1:M$1,"&lt;&gt;"))),0)</f>
        <v>0.10763888888888891</v>
      </c>
      <c r="N356">
        <f>IFERROR($J356/IF($A356&lt;COUNTIFS($K$1:N$1,"&lt;&gt;"),0,SUMIFS($J:$J,$B:$B,$B356,$A:$A,"&gt;="&amp;COUNTIFS($K$1:N$1,"&lt;&gt;"))),0)</f>
        <v>0</v>
      </c>
      <c r="O356">
        <f>IFERROR($J356/IF($A356&lt;COUNTIFS($K$1:O$1,"&lt;&gt;"),0,SUMIFS($J:$J,$B:$B,$B356,$A:$A,"&gt;="&amp;COUNTIFS($K$1:O$1,"&lt;&gt;"))),0)</f>
        <v>0</v>
      </c>
      <c r="P356">
        <f>IFERROR($J356/IF($A356&lt;COUNTIFS($K$1:P$1,"&lt;&gt;"),0,SUMIFS($J:$J,$B:$B,$B356,$A:$A,"&gt;="&amp;COUNTIFS($K$1:P$1,"&lt;&gt;"))),0)</f>
        <v>0</v>
      </c>
      <c r="Q356">
        <f>IFERROR($J356/IF($A356&lt;COUNTIFS($K$1:Q$1,"&lt;&gt;"),0,SUMIFS($J:$J,$B:$B,$B356,$A:$A,"&gt;="&amp;COUNTIFS($K$1:Q$1,"&lt;&gt;"))),0)</f>
        <v>0</v>
      </c>
      <c r="R356">
        <f>IFERROR($J356/IF($A356&lt;COUNTIFS($K$1:R$1,"&lt;&gt;"),0,SUMIFS($J:$J,$B:$B,$B356,$A:$A,"&gt;="&amp;COUNTIFS($K$1:R$1,"&lt;&gt;"))),0)</f>
        <v>0</v>
      </c>
      <c r="S356">
        <f>IFERROR($J356/IF($A356&lt;COUNTIFS($K$1:S$1,"&lt;&gt;"),0,SUMIFS($J:$J,$B:$B,$B356,$A:$A,"&gt;="&amp;COUNTIFS($K$1:S$1,"&lt;&gt;"))),0)</f>
        <v>0</v>
      </c>
      <c r="T356">
        <f>IFERROR($J356/IF($A356&lt;COUNTIFS($K$1:T$1,"&lt;&gt;"),0,SUMIFS($J:$J,$B:$B,$B356,$A:$A,"&gt;="&amp;COUNTIFS($K$1:T$1,"&lt;&gt;"))),0)</f>
        <v>0</v>
      </c>
      <c r="U356">
        <f>IFERROR($J356/IF($A356&lt;COUNTIFS($K$1:U$1,"&lt;&gt;"),0,SUMIFS($J:$J,$B:$B,$B356,$A:$A,"&gt;="&amp;COUNTIFS($K$1:U$1,"&lt;&gt;"))),0)</f>
        <v>0</v>
      </c>
      <c r="V356">
        <f>IFERROR($J356/IF($A356&lt;COUNTIFS($K$1:V$1,"&lt;&gt;"),0,SUMIFS($J:$J,$B:$B,$B356,$A:$A,"&gt;="&amp;COUNTIFS($K$1:V$1,"&lt;&gt;"))),0)</f>
        <v>0</v>
      </c>
      <c r="W356">
        <f t="shared" si="134"/>
        <v>8.4931506849315067E-2</v>
      </c>
      <c r="X356">
        <f t="shared" si="114"/>
        <v>8.4931506849315067E-2</v>
      </c>
      <c r="Y356">
        <f t="shared" si="115"/>
        <v>8.4931506849315067E-2</v>
      </c>
      <c r="Z356">
        <f t="shared" si="116"/>
        <v>8.4931506849315067E-2</v>
      </c>
      <c r="AA356">
        <f t="shared" si="117"/>
        <v>0</v>
      </c>
      <c r="AB356">
        <f t="shared" si="118"/>
        <v>0</v>
      </c>
      <c r="AC356">
        <f t="shared" si="119"/>
        <v>0</v>
      </c>
      <c r="AD356">
        <f t="shared" si="120"/>
        <v>0</v>
      </c>
      <c r="AE356">
        <f t="shared" si="121"/>
        <v>0</v>
      </c>
      <c r="AF356">
        <f t="shared" si="122"/>
        <v>0</v>
      </c>
      <c r="AG356">
        <f t="shared" si="123"/>
        <v>0</v>
      </c>
      <c r="AH356">
        <f t="shared" si="124"/>
        <v>0</v>
      </c>
      <c r="AI356">
        <f t="shared" si="125"/>
        <v>0</v>
      </c>
      <c r="AJ356" s="2" t="str">
        <f t="shared" si="135"/>
        <v>344652</v>
      </c>
    </row>
    <row r="357" spans="1:36" x14ac:dyDescent="0.25">
      <c r="A357">
        <v>4</v>
      </c>
      <c r="B357" s="1">
        <v>44652</v>
      </c>
      <c r="C357" s="1">
        <f t="shared" si="126"/>
        <v>44774</v>
      </c>
      <c r="D357" s="1">
        <f t="shared" si="127"/>
        <v>44666</v>
      </c>
      <c r="E357" s="1">
        <f t="shared" si="128"/>
        <v>44774</v>
      </c>
      <c r="F357" s="1">
        <f t="shared" si="129"/>
        <v>44805</v>
      </c>
      <c r="G357" s="1">
        <f t="shared" si="130"/>
        <v>45031</v>
      </c>
      <c r="H357">
        <f t="shared" si="131"/>
        <v>365</v>
      </c>
      <c r="I357">
        <f t="shared" si="132"/>
        <v>31</v>
      </c>
      <c r="J357">
        <f t="shared" si="133"/>
        <v>8.4931506849315067E-2</v>
      </c>
      <c r="K357">
        <f>IFERROR($J357/IF($A357&lt;COUNTIFS($K$1:K$1,"&lt;&gt;"),0,SUMIFS($J:$J,$B:$B,$B357,$A:$A,"&gt;="&amp;COUNTIFS($K$1:K$1,"&lt;&gt;"))),0)</f>
        <v>8.8825214899713484E-2</v>
      </c>
      <c r="L357">
        <f>IFERROR($J357/IF($A357&lt;COUNTIFS($K$1:L$1,"&lt;&gt;"),0,SUMIFS($J:$J,$B:$B,$B357,$A:$A,"&gt;="&amp;COUNTIFS($K$1:L$1,"&lt;&gt;"))),0)</f>
        <v>9.7484276729559768E-2</v>
      </c>
      <c r="M357">
        <f>IFERROR($J357/IF($A357&lt;COUNTIFS($K$1:M$1,"&lt;&gt;"),0,SUMIFS($J:$J,$B:$B,$B357,$A:$A,"&gt;="&amp;COUNTIFS($K$1:M$1,"&lt;&gt;"))),0)</f>
        <v>0.10763888888888891</v>
      </c>
      <c r="N357">
        <f>IFERROR($J357/IF($A357&lt;COUNTIFS($K$1:N$1,"&lt;&gt;"),0,SUMIFS($J:$J,$B:$B,$B357,$A:$A,"&gt;="&amp;COUNTIFS($K$1:N$1,"&lt;&gt;"))),0)</f>
        <v>0.12062256809338523</v>
      </c>
      <c r="O357">
        <f>IFERROR($J357/IF($A357&lt;COUNTIFS($K$1:O$1,"&lt;&gt;"),0,SUMIFS($J:$J,$B:$B,$B357,$A:$A,"&gt;="&amp;COUNTIFS($K$1:O$1,"&lt;&gt;"))),0)</f>
        <v>0</v>
      </c>
      <c r="P357">
        <f>IFERROR($J357/IF($A357&lt;COUNTIFS($K$1:P$1,"&lt;&gt;"),0,SUMIFS($J:$J,$B:$B,$B357,$A:$A,"&gt;="&amp;COUNTIFS($K$1:P$1,"&lt;&gt;"))),0)</f>
        <v>0</v>
      </c>
      <c r="Q357">
        <f>IFERROR($J357/IF($A357&lt;COUNTIFS($K$1:Q$1,"&lt;&gt;"),0,SUMIFS($J:$J,$B:$B,$B357,$A:$A,"&gt;="&amp;COUNTIFS($K$1:Q$1,"&lt;&gt;"))),0)</f>
        <v>0</v>
      </c>
      <c r="R357">
        <f>IFERROR($J357/IF($A357&lt;COUNTIFS($K$1:R$1,"&lt;&gt;"),0,SUMIFS($J:$J,$B:$B,$B357,$A:$A,"&gt;="&amp;COUNTIFS($K$1:R$1,"&lt;&gt;"))),0)</f>
        <v>0</v>
      </c>
      <c r="S357">
        <f>IFERROR($J357/IF($A357&lt;COUNTIFS($K$1:S$1,"&lt;&gt;"),0,SUMIFS($J:$J,$B:$B,$B357,$A:$A,"&gt;="&amp;COUNTIFS($K$1:S$1,"&lt;&gt;"))),0)</f>
        <v>0</v>
      </c>
      <c r="T357">
        <f>IFERROR($J357/IF($A357&lt;COUNTIFS($K$1:T$1,"&lt;&gt;"),0,SUMIFS($J:$J,$B:$B,$B357,$A:$A,"&gt;="&amp;COUNTIFS($K$1:T$1,"&lt;&gt;"))),0)</f>
        <v>0</v>
      </c>
      <c r="U357">
        <f>IFERROR($J357/IF($A357&lt;COUNTIFS($K$1:U$1,"&lt;&gt;"),0,SUMIFS($J:$J,$B:$B,$B357,$A:$A,"&gt;="&amp;COUNTIFS($K$1:U$1,"&lt;&gt;"))),0)</f>
        <v>0</v>
      </c>
      <c r="V357">
        <f>IFERROR($J357/IF($A357&lt;COUNTIFS($K$1:V$1,"&lt;&gt;"),0,SUMIFS($J:$J,$B:$B,$B357,$A:$A,"&gt;="&amp;COUNTIFS($K$1:V$1,"&lt;&gt;"))),0)</f>
        <v>0</v>
      </c>
      <c r="W357">
        <f t="shared" si="134"/>
        <v>8.4931506849315067E-2</v>
      </c>
      <c r="X357">
        <f t="shared" si="114"/>
        <v>8.4931506849315067E-2</v>
      </c>
      <c r="Y357">
        <f t="shared" si="115"/>
        <v>8.4931506849315067E-2</v>
      </c>
      <c r="Z357">
        <f t="shared" si="116"/>
        <v>8.4931506849315067E-2</v>
      </c>
      <c r="AA357">
        <f t="shared" si="117"/>
        <v>8.4931506849315067E-2</v>
      </c>
      <c r="AB357">
        <f t="shared" si="118"/>
        <v>0</v>
      </c>
      <c r="AC357">
        <f t="shared" si="119"/>
        <v>0</v>
      </c>
      <c r="AD357">
        <f t="shared" si="120"/>
        <v>0</v>
      </c>
      <c r="AE357">
        <f t="shared" si="121"/>
        <v>0</v>
      </c>
      <c r="AF357">
        <f t="shared" si="122"/>
        <v>0</v>
      </c>
      <c r="AG357">
        <f t="shared" si="123"/>
        <v>0</v>
      </c>
      <c r="AH357">
        <f t="shared" si="124"/>
        <v>0</v>
      </c>
      <c r="AI357">
        <f t="shared" si="125"/>
        <v>0</v>
      </c>
      <c r="AJ357" s="2" t="str">
        <f t="shared" si="135"/>
        <v>444652</v>
      </c>
    </row>
    <row r="358" spans="1:36" x14ac:dyDescent="0.25">
      <c r="A358">
        <v>5</v>
      </c>
      <c r="B358" s="1">
        <v>44652</v>
      </c>
      <c r="C358" s="1">
        <f t="shared" si="126"/>
        <v>44805</v>
      </c>
      <c r="D358" s="1">
        <f t="shared" si="127"/>
        <v>44666</v>
      </c>
      <c r="E358" s="1">
        <f t="shared" si="128"/>
        <v>44805</v>
      </c>
      <c r="F358" s="1">
        <f t="shared" si="129"/>
        <v>44835</v>
      </c>
      <c r="G358" s="1">
        <f t="shared" si="130"/>
        <v>45031</v>
      </c>
      <c r="H358">
        <f t="shared" si="131"/>
        <v>365</v>
      </c>
      <c r="I358">
        <f t="shared" si="132"/>
        <v>30</v>
      </c>
      <c r="J358">
        <f t="shared" si="133"/>
        <v>8.2191780821917804E-2</v>
      </c>
      <c r="K358">
        <f>IFERROR($J358/IF($A358&lt;COUNTIFS($K$1:K$1,"&lt;&gt;"),0,SUMIFS($J:$J,$B:$B,$B358,$A:$A,"&gt;="&amp;COUNTIFS($K$1:K$1,"&lt;&gt;"))),0)</f>
        <v>8.5959885386819493E-2</v>
      </c>
      <c r="L358">
        <f>IFERROR($J358/IF($A358&lt;COUNTIFS($K$1:L$1,"&lt;&gt;"),0,SUMIFS($J:$J,$B:$B,$B358,$A:$A,"&gt;="&amp;COUNTIFS($K$1:L$1,"&lt;&gt;"))),0)</f>
        <v>9.4339622641509441E-2</v>
      </c>
      <c r="M358">
        <f>IFERROR($J358/IF($A358&lt;COUNTIFS($K$1:M$1,"&lt;&gt;"),0,SUMIFS($J:$J,$B:$B,$B358,$A:$A,"&gt;="&amp;COUNTIFS($K$1:M$1,"&lt;&gt;"))),0)</f>
        <v>0.10416666666666669</v>
      </c>
      <c r="N358">
        <f>IFERROR($J358/IF($A358&lt;COUNTIFS($K$1:N$1,"&lt;&gt;"),0,SUMIFS($J:$J,$B:$B,$B358,$A:$A,"&gt;="&amp;COUNTIFS($K$1:N$1,"&lt;&gt;"))),0)</f>
        <v>0.11673151750972764</v>
      </c>
      <c r="O358">
        <f>IFERROR($J358/IF($A358&lt;COUNTIFS($K$1:O$1,"&lt;&gt;"),0,SUMIFS($J:$J,$B:$B,$B358,$A:$A,"&gt;="&amp;COUNTIFS($K$1:O$1,"&lt;&gt;"))),0)</f>
        <v>0.13274336283185842</v>
      </c>
      <c r="P358">
        <f>IFERROR($J358/IF($A358&lt;COUNTIFS($K$1:P$1,"&lt;&gt;"),0,SUMIFS($J:$J,$B:$B,$B358,$A:$A,"&gt;="&amp;COUNTIFS($K$1:P$1,"&lt;&gt;"))),0)</f>
        <v>0</v>
      </c>
      <c r="Q358">
        <f>IFERROR($J358/IF($A358&lt;COUNTIFS($K$1:Q$1,"&lt;&gt;"),0,SUMIFS($J:$J,$B:$B,$B358,$A:$A,"&gt;="&amp;COUNTIFS($K$1:Q$1,"&lt;&gt;"))),0)</f>
        <v>0</v>
      </c>
      <c r="R358">
        <f>IFERROR($J358/IF($A358&lt;COUNTIFS($K$1:R$1,"&lt;&gt;"),0,SUMIFS($J:$J,$B:$B,$B358,$A:$A,"&gt;="&amp;COUNTIFS($K$1:R$1,"&lt;&gt;"))),0)</f>
        <v>0</v>
      </c>
      <c r="S358">
        <f>IFERROR($J358/IF($A358&lt;COUNTIFS($K$1:S$1,"&lt;&gt;"),0,SUMIFS($J:$J,$B:$B,$B358,$A:$A,"&gt;="&amp;COUNTIFS($K$1:S$1,"&lt;&gt;"))),0)</f>
        <v>0</v>
      </c>
      <c r="T358">
        <f>IFERROR($J358/IF($A358&lt;COUNTIFS($K$1:T$1,"&lt;&gt;"),0,SUMIFS($J:$J,$B:$B,$B358,$A:$A,"&gt;="&amp;COUNTIFS($K$1:T$1,"&lt;&gt;"))),0)</f>
        <v>0</v>
      </c>
      <c r="U358">
        <f>IFERROR($J358/IF($A358&lt;COUNTIFS($K$1:U$1,"&lt;&gt;"),0,SUMIFS($J:$J,$B:$B,$B358,$A:$A,"&gt;="&amp;COUNTIFS($K$1:U$1,"&lt;&gt;"))),0)</f>
        <v>0</v>
      </c>
      <c r="V358">
        <f>IFERROR($J358/IF($A358&lt;COUNTIFS($K$1:V$1,"&lt;&gt;"),0,SUMIFS($J:$J,$B:$B,$B358,$A:$A,"&gt;="&amp;COUNTIFS($K$1:V$1,"&lt;&gt;"))),0)</f>
        <v>0</v>
      </c>
      <c r="W358">
        <f t="shared" si="134"/>
        <v>8.2191780821917804E-2</v>
      </c>
      <c r="X358">
        <f t="shared" si="114"/>
        <v>8.2191780821917804E-2</v>
      </c>
      <c r="Y358">
        <f t="shared" si="115"/>
        <v>8.2191780821917804E-2</v>
      </c>
      <c r="Z358">
        <f t="shared" si="116"/>
        <v>8.2191780821917804E-2</v>
      </c>
      <c r="AA358">
        <f t="shared" si="117"/>
        <v>8.2191780821917804E-2</v>
      </c>
      <c r="AB358">
        <f t="shared" si="118"/>
        <v>8.2191780821917804E-2</v>
      </c>
      <c r="AC358">
        <f t="shared" si="119"/>
        <v>0</v>
      </c>
      <c r="AD358">
        <f t="shared" si="120"/>
        <v>0</v>
      </c>
      <c r="AE358">
        <f t="shared" si="121"/>
        <v>0</v>
      </c>
      <c r="AF358">
        <f t="shared" si="122"/>
        <v>0</v>
      </c>
      <c r="AG358">
        <f t="shared" si="123"/>
        <v>0</v>
      </c>
      <c r="AH358">
        <f t="shared" si="124"/>
        <v>0</v>
      </c>
      <c r="AI358">
        <f t="shared" si="125"/>
        <v>0</v>
      </c>
      <c r="AJ358" s="2" t="str">
        <f t="shared" si="135"/>
        <v>544652</v>
      </c>
    </row>
    <row r="359" spans="1:36" x14ac:dyDescent="0.25">
      <c r="A359">
        <v>6</v>
      </c>
      <c r="B359" s="1">
        <v>44652</v>
      </c>
      <c r="C359" s="1">
        <f t="shared" si="126"/>
        <v>44835</v>
      </c>
      <c r="D359" s="1">
        <f t="shared" si="127"/>
        <v>44666</v>
      </c>
      <c r="E359" s="1">
        <f t="shared" si="128"/>
        <v>44835</v>
      </c>
      <c r="F359" s="1">
        <f t="shared" si="129"/>
        <v>44866</v>
      </c>
      <c r="G359" s="1">
        <f t="shared" si="130"/>
        <v>45031</v>
      </c>
      <c r="H359">
        <f t="shared" si="131"/>
        <v>365</v>
      </c>
      <c r="I359">
        <f t="shared" si="132"/>
        <v>31</v>
      </c>
      <c r="J359">
        <f t="shared" si="133"/>
        <v>8.4931506849315067E-2</v>
      </c>
      <c r="K359">
        <f>IFERROR($J359/IF($A359&lt;COUNTIFS($K$1:K$1,"&lt;&gt;"),0,SUMIFS($J:$J,$B:$B,$B359,$A:$A,"&gt;="&amp;COUNTIFS($K$1:K$1,"&lt;&gt;"))),0)</f>
        <v>8.8825214899713484E-2</v>
      </c>
      <c r="L359">
        <f>IFERROR($J359/IF($A359&lt;COUNTIFS($K$1:L$1,"&lt;&gt;"),0,SUMIFS($J:$J,$B:$B,$B359,$A:$A,"&gt;="&amp;COUNTIFS($K$1:L$1,"&lt;&gt;"))),0)</f>
        <v>9.7484276729559768E-2</v>
      </c>
      <c r="M359">
        <f>IFERROR($J359/IF($A359&lt;COUNTIFS($K$1:M$1,"&lt;&gt;"),0,SUMIFS($J:$J,$B:$B,$B359,$A:$A,"&gt;="&amp;COUNTIFS($K$1:M$1,"&lt;&gt;"))),0)</f>
        <v>0.10763888888888891</v>
      </c>
      <c r="N359">
        <f>IFERROR($J359/IF($A359&lt;COUNTIFS($K$1:N$1,"&lt;&gt;"),0,SUMIFS($J:$J,$B:$B,$B359,$A:$A,"&gt;="&amp;COUNTIFS($K$1:N$1,"&lt;&gt;"))),0)</f>
        <v>0.12062256809338523</v>
      </c>
      <c r="O359">
        <f>IFERROR($J359/IF($A359&lt;COUNTIFS($K$1:O$1,"&lt;&gt;"),0,SUMIFS($J:$J,$B:$B,$B359,$A:$A,"&gt;="&amp;COUNTIFS($K$1:O$1,"&lt;&gt;"))),0)</f>
        <v>0.13716814159292037</v>
      </c>
      <c r="P359">
        <f>IFERROR($J359/IF($A359&lt;COUNTIFS($K$1:P$1,"&lt;&gt;"),0,SUMIFS($J:$J,$B:$B,$B359,$A:$A,"&gt;="&amp;COUNTIFS($K$1:P$1,"&lt;&gt;"))),0)</f>
        <v>0.15816326530612249</v>
      </c>
      <c r="Q359">
        <f>IFERROR($J359/IF($A359&lt;COUNTIFS($K$1:Q$1,"&lt;&gt;"),0,SUMIFS($J:$J,$B:$B,$B359,$A:$A,"&gt;="&amp;COUNTIFS($K$1:Q$1,"&lt;&gt;"))),0)</f>
        <v>0</v>
      </c>
      <c r="R359">
        <f>IFERROR($J359/IF($A359&lt;COUNTIFS($K$1:R$1,"&lt;&gt;"),0,SUMIFS($J:$J,$B:$B,$B359,$A:$A,"&gt;="&amp;COUNTIFS($K$1:R$1,"&lt;&gt;"))),0)</f>
        <v>0</v>
      </c>
      <c r="S359">
        <f>IFERROR($J359/IF($A359&lt;COUNTIFS($K$1:S$1,"&lt;&gt;"),0,SUMIFS($J:$J,$B:$B,$B359,$A:$A,"&gt;="&amp;COUNTIFS($K$1:S$1,"&lt;&gt;"))),0)</f>
        <v>0</v>
      </c>
      <c r="T359">
        <f>IFERROR($J359/IF($A359&lt;COUNTIFS($K$1:T$1,"&lt;&gt;"),0,SUMIFS($J:$J,$B:$B,$B359,$A:$A,"&gt;="&amp;COUNTIFS($K$1:T$1,"&lt;&gt;"))),0)</f>
        <v>0</v>
      </c>
      <c r="U359">
        <f>IFERROR($J359/IF($A359&lt;COUNTIFS($K$1:U$1,"&lt;&gt;"),0,SUMIFS($J:$J,$B:$B,$B359,$A:$A,"&gt;="&amp;COUNTIFS($K$1:U$1,"&lt;&gt;"))),0)</f>
        <v>0</v>
      </c>
      <c r="V359">
        <f>IFERROR($J359/IF($A359&lt;COUNTIFS($K$1:V$1,"&lt;&gt;"),0,SUMIFS($J:$J,$B:$B,$B359,$A:$A,"&gt;="&amp;COUNTIFS($K$1:V$1,"&lt;&gt;"))),0)</f>
        <v>0</v>
      </c>
      <c r="W359">
        <f t="shared" si="134"/>
        <v>8.4931506849315067E-2</v>
      </c>
      <c r="X359">
        <f t="shared" si="114"/>
        <v>8.4931506849315067E-2</v>
      </c>
      <c r="Y359">
        <f t="shared" si="115"/>
        <v>8.4931506849315067E-2</v>
      </c>
      <c r="Z359">
        <f t="shared" si="116"/>
        <v>8.4931506849315067E-2</v>
      </c>
      <c r="AA359">
        <f t="shared" si="117"/>
        <v>8.4931506849315067E-2</v>
      </c>
      <c r="AB359">
        <f t="shared" si="118"/>
        <v>8.4931506849315067E-2</v>
      </c>
      <c r="AC359">
        <f t="shared" si="119"/>
        <v>8.4931506849315067E-2</v>
      </c>
      <c r="AD359">
        <f t="shared" si="120"/>
        <v>0</v>
      </c>
      <c r="AE359">
        <f t="shared" si="121"/>
        <v>0</v>
      </c>
      <c r="AF359">
        <f t="shared" si="122"/>
        <v>0</v>
      </c>
      <c r="AG359">
        <f t="shared" si="123"/>
        <v>0</v>
      </c>
      <c r="AH359">
        <f t="shared" si="124"/>
        <v>0</v>
      </c>
      <c r="AI359">
        <f t="shared" si="125"/>
        <v>0</v>
      </c>
      <c r="AJ359" s="2" t="str">
        <f t="shared" si="135"/>
        <v>644652</v>
      </c>
    </row>
    <row r="360" spans="1:36" x14ac:dyDescent="0.25">
      <c r="A360">
        <v>7</v>
      </c>
      <c r="B360" s="1">
        <v>44652</v>
      </c>
      <c r="C360" s="1">
        <f t="shared" si="126"/>
        <v>44866</v>
      </c>
      <c r="D360" s="1">
        <f t="shared" si="127"/>
        <v>44666</v>
      </c>
      <c r="E360" s="1">
        <f t="shared" si="128"/>
        <v>44866</v>
      </c>
      <c r="F360" s="1">
        <f t="shared" si="129"/>
        <v>44896</v>
      </c>
      <c r="G360" s="1">
        <f t="shared" si="130"/>
        <v>45031</v>
      </c>
      <c r="H360">
        <f t="shared" si="131"/>
        <v>365</v>
      </c>
      <c r="I360">
        <f t="shared" si="132"/>
        <v>30</v>
      </c>
      <c r="J360">
        <f t="shared" si="133"/>
        <v>8.2191780821917804E-2</v>
      </c>
      <c r="K360">
        <f>IFERROR($J360/IF($A360&lt;COUNTIFS($K$1:K$1,"&lt;&gt;"),0,SUMIFS($J:$J,$B:$B,$B360,$A:$A,"&gt;="&amp;COUNTIFS($K$1:K$1,"&lt;&gt;"))),0)</f>
        <v>8.5959885386819493E-2</v>
      </c>
      <c r="L360">
        <f>IFERROR($J360/IF($A360&lt;COUNTIFS($K$1:L$1,"&lt;&gt;"),0,SUMIFS($J:$J,$B:$B,$B360,$A:$A,"&gt;="&amp;COUNTIFS($K$1:L$1,"&lt;&gt;"))),0)</f>
        <v>9.4339622641509441E-2</v>
      </c>
      <c r="M360">
        <f>IFERROR($J360/IF($A360&lt;COUNTIFS($K$1:M$1,"&lt;&gt;"),0,SUMIFS($J:$J,$B:$B,$B360,$A:$A,"&gt;="&amp;COUNTIFS($K$1:M$1,"&lt;&gt;"))),0)</f>
        <v>0.10416666666666669</v>
      </c>
      <c r="N360">
        <f>IFERROR($J360/IF($A360&lt;COUNTIFS($K$1:N$1,"&lt;&gt;"),0,SUMIFS($J:$J,$B:$B,$B360,$A:$A,"&gt;="&amp;COUNTIFS($K$1:N$1,"&lt;&gt;"))),0)</f>
        <v>0.11673151750972764</v>
      </c>
      <c r="O360">
        <f>IFERROR($J360/IF($A360&lt;COUNTIFS($K$1:O$1,"&lt;&gt;"),0,SUMIFS($J:$J,$B:$B,$B360,$A:$A,"&gt;="&amp;COUNTIFS($K$1:O$1,"&lt;&gt;"))),0)</f>
        <v>0.13274336283185842</v>
      </c>
      <c r="P360">
        <f>IFERROR($J360/IF($A360&lt;COUNTIFS($K$1:P$1,"&lt;&gt;"),0,SUMIFS($J:$J,$B:$B,$B360,$A:$A,"&gt;="&amp;COUNTIFS($K$1:P$1,"&lt;&gt;"))),0)</f>
        <v>0.15306122448979595</v>
      </c>
      <c r="Q360">
        <f>IFERROR($J360/IF($A360&lt;COUNTIFS($K$1:Q$1,"&lt;&gt;"),0,SUMIFS($J:$J,$B:$B,$B360,$A:$A,"&gt;="&amp;COUNTIFS($K$1:Q$1,"&lt;&gt;"))),0)</f>
        <v>0.18181818181818182</v>
      </c>
      <c r="R360">
        <f>IFERROR($J360/IF($A360&lt;COUNTIFS($K$1:R$1,"&lt;&gt;"),0,SUMIFS($J:$J,$B:$B,$B360,$A:$A,"&gt;="&amp;COUNTIFS($K$1:R$1,"&lt;&gt;"))),0)</f>
        <v>0</v>
      </c>
      <c r="S360">
        <f>IFERROR($J360/IF($A360&lt;COUNTIFS($K$1:S$1,"&lt;&gt;"),0,SUMIFS($J:$J,$B:$B,$B360,$A:$A,"&gt;="&amp;COUNTIFS($K$1:S$1,"&lt;&gt;"))),0)</f>
        <v>0</v>
      </c>
      <c r="T360">
        <f>IFERROR($J360/IF($A360&lt;COUNTIFS($K$1:T$1,"&lt;&gt;"),0,SUMIFS($J:$J,$B:$B,$B360,$A:$A,"&gt;="&amp;COUNTIFS($K$1:T$1,"&lt;&gt;"))),0)</f>
        <v>0</v>
      </c>
      <c r="U360">
        <f>IFERROR($J360/IF($A360&lt;COUNTIFS($K$1:U$1,"&lt;&gt;"),0,SUMIFS($J:$J,$B:$B,$B360,$A:$A,"&gt;="&amp;COUNTIFS($K$1:U$1,"&lt;&gt;"))),0)</f>
        <v>0</v>
      </c>
      <c r="V360">
        <f>IFERROR($J360/IF($A360&lt;COUNTIFS($K$1:V$1,"&lt;&gt;"),0,SUMIFS($J:$J,$B:$B,$B360,$A:$A,"&gt;="&amp;COUNTIFS($K$1:V$1,"&lt;&gt;"))),0)</f>
        <v>0</v>
      </c>
      <c r="W360">
        <f t="shared" si="134"/>
        <v>8.2191780821917804E-2</v>
      </c>
      <c r="X360">
        <f t="shared" si="114"/>
        <v>8.2191780821917804E-2</v>
      </c>
      <c r="Y360">
        <f t="shared" si="115"/>
        <v>8.2191780821917804E-2</v>
      </c>
      <c r="Z360">
        <f t="shared" si="116"/>
        <v>8.2191780821917804E-2</v>
      </c>
      <c r="AA360">
        <f t="shared" si="117"/>
        <v>8.2191780821917804E-2</v>
      </c>
      <c r="AB360">
        <f t="shared" si="118"/>
        <v>8.2191780821917804E-2</v>
      </c>
      <c r="AC360">
        <f t="shared" si="119"/>
        <v>8.2191780821917804E-2</v>
      </c>
      <c r="AD360">
        <f t="shared" si="120"/>
        <v>8.2191780821917804E-2</v>
      </c>
      <c r="AE360">
        <f t="shared" si="121"/>
        <v>0</v>
      </c>
      <c r="AF360">
        <f t="shared" si="122"/>
        <v>0</v>
      </c>
      <c r="AG360">
        <f t="shared" si="123"/>
        <v>0</v>
      </c>
      <c r="AH360">
        <f t="shared" si="124"/>
        <v>0</v>
      </c>
      <c r="AI360">
        <f t="shared" si="125"/>
        <v>0</v>
      </c>
      <c r="AJ360" s="2" t="str">
        <f t="shared" si="135"/>
        <v>744652</v>
      </c>
    </row>
    <row r="361" spans="1:36" x14ac:dyDescent="0.25">
      <c r="A361">
        <v>8</v>
      </c>
      <c r="B361" s="1">
        <v>44652</v>
      </c>
      <c r="C361" s="1">
        <f t="shared" si="126"/>
        <v>44896</v>
      </c>
      <c r="D361" s="1">
        <f t="shared" si="127"/>
        <v>44666</v>
      </c>
      <c r="E361" s="1">
        <f t="shared" si="128"/>
        <v>44896</v>
      </c>
      <c r="F361" s="1">
        <f t="shared" si="129"/>
        <v>44927</v>
      </c>
      <c r="G361" s="1">
        <f t="shared" si="130"/>
        <v>45031</v>
      </c>
      <c r="H361">
        <f t="shared" si="131"/>
        <v>365</v>
      </c>
      <c r="I361">
        <f t="shared" si="132"/>
        <v>31</v>
      </c>
      <c r="J361">
        <f t="shared" si="133"/>
        <v>8.4931506849315067E-2</v>
      </c>
      <c r="K361">
        <f>IFERROR($J361/IF($A361&lt;COUNTIFS($K$1:K$1,"&lt;&gt;"),0,SUMIFS($J:$J,$B:$B,$B361,$A:$A,"&gt;="&amp;COUNTIFS($K$1:K$1,"&lt;&gt;"))),0)</f>
        <v>8.8825214899713484E-2</v>
      </c>
      <c r="L361">
        <f>IFERROR($J361/IF($A361&lt;COUNTIFS($K$1:L$1,"&lt;&gt;"),0,SUMIFS($J:$J,$B:$B,$B361,$A:$A,"&gt;="&amp;COUNTIFS($K$1:L$1,"&lt;&gt;"))),0)</f>
        <v>9.7484276729559768E-2</v>
      </c>
      <c r="M361">
        <f>IFERROR($J361/IF($A361&lt;COUNTIFS($K$1:M$1,"&lt;&gt;"),0,SUMIFS($J:$J,$B:$B,$B361,$A:$A,"&gt;="&amp;COUNTIFS($K$1:M$1,"&lt;&gt;"))),0)</f>
        <v>0.10763888888888891</v>
      </c>
      <c r="N361">
        <f>IFERROR($J361/IF($A361&lt;COUNTIFS($K$1:N$1,"&lt;&gt;"),0,SUMIFS($J:$J,$B:$B,$B361,$A:$A,"&gt;="&amp;COUNTIFS($K$1:N$1,"&lt;&gt;"))),0)</f>
        <v>0.12062256809338523</v>
      </c>
      <c r="O361">
        <f>IFERROR($J361/IF($A361&lt;COUNTIFS($K$1:O$1,"&lt;&gt;"),0,SUMIFS($J:$J,$B:$B,$B361,$A:$A,"&gt;="&amp;COUNTIFS($K$1:O$1,"&lt;&gt;"))),0)</f>
        <v>0.13716814159292037</v>
      </c>
      <c r="P361">
        <f>IFERROR($J361/IF($A361&lt;COUNTIFS($K$1:P$1,"&lt;&gt;"),0,SUMIFS($J:$J,$B:$B,$B361,$A:$A,"&gt;="&amp;COUNTIFS($K$1:P$1,"&lt;&gt;"))),0)</f>
        <v>0.15816326530612249</v>
      </c>
      <c r="Q361">
        <f>IFERROR($J361/IF($A361&lt;COUNTIFS($K$1:Q$1,"&lt;&gt;"),0,SUMIFS($J:$J,$B:$B,$B361,$A:$A,"&gt;="&amp;COUNTIFS($K$1:Q$1,"&lt;&gt;"))),0)</f>
        <v>0.1878787878787879</v>
      </c>
      <c r="R361">
        <f>IFERROR($J361/IF($A361&lt;COUNTIFS($K$1:R$1,"&lt;&gt;"),0,SUMIFS($J:$J,$B:$B,$B361,$A:$A,"&gt;="&amp;COUNTIFS($K$1:R$1,"&lt;&gt;"))),0)</f>
        <v>0.22962962962962963</v>
      </c>
      <c r="S361">
        <f>IFERROR($J361/IF($A361&lt;COUNTIFS($K$1:S$1,"&lt;&gt;"),0,SUMIFS($J:$J,$B:$B,$B361,$A:$A,"&gt;="&amp;COUNTIFS($K$1:S$1,"&lt;&gt;"))),0)</f>
        <v>0</v>
      </c>
      <c r="T361">
        <f>IFERROR($J361/IF($A361&lt;COUNTIFS($K$1:T$1,"&lt;&gt;"),0,SUMIFS($J:$J,$B:$B,$B361,$A:$A,"&gt;="&amp;COUNTIFS($K$1:T$1,"&lt;&gt;"))),0)</f>
        <v>0</v>
      </c>
      <c r="U361">
        <f>IFERROR($J361/IF($A361&lt;COUNTIFS($K$1:U$1,"&lt;&gt;"),0,SUMIFS($J:$J,$B:$B,$B361,$A:$A,"&gt;="&amp;COUNTIFS($K$1:U$1,"&lt;&gt;"))),0)</f>
        <v>0</v>
      </c>
      <c r="V361">
        <f>IFERROR($J361/IF($A361&lt;COUNTIFS($K$1:V$1,"&lt;&gt;"),0,SUMIFS($J:$J,$B:$B,$B361,$A:$A,"&gt;="&amp;COUNTIFS($K$1:V$1,"&lt;&gt;"))),0)</f>
        <v>0</v>
      </c>
      <c r="W361">
        <f t="shared" si="134"/>
        <v>8.4931506849315067E-2</v>
      </c>
      <c r="X361">
        <f t="shared" si="114"/>
        <v>8.4931506849315067E-2</v>
      </c>
      <c r="Y361">
        <f t="shared" si="115"/>
        <v>8.4931506849315067E-2</v>
      </c>
      <c r="Z361">
        <f t="shared" si="116"/>
        <v>8.4931506849315067E-2</v>
      </c>
      <c r="AA361">
        <f t="shared" si="117"/>
        <v>8.4931506849315067E-2</v>
      </c>
      <c r="AB361">
        <f t="shared" si="118"/>
        <v>8.4931506849315067E-2</v>
      </c>
      <c r="AC361">
        <f t="shared" si="119"/>
        <v>8.4931506849315067E-2</v>
      </c>
      <c r="AD361">
        <f t="shared" si="120"/>
        <v>8.4931506849315067E-2</v>
      </c>
      <c r="AE361">
        <f t="shared" si="121"/>
        <v>8.4931506849315067E-2</v>
      </c>
      <c r="AF361">
        <f t="shared" si="122"/>
        <v>0</v>
      </c>
      <c r="AG361">
        <f t="shared" si="123"/>
        <v>0</v>
      </c>
      <c r="AH361">
        <f t="shared" si="124"/>
        <v>0</v>
      </c>
      <c r="AI361">
        <f t="shared" si="125"/>
        <v>0</v>
      </c>
      <c r="AJ361" s="2" t="str">
        <f t="shared" si="135"/>
        <v>844652</v>
      </c>
    </row>
    <row r="362" spans="1:36" x14ac:dyDescent="0.25">
      <c r="A362">
        <v>9</v>
      </c>
      <c r="B362" s="1">
        <v>44652</v>
      </c>
      <c r="C362" s="1">
        <f t="shared" si="126"/>
        <v>44927</v>
      </c>
      <c r="D362" s="1">
        <f t="shared" si="127"/>
        <v>44666</v>
      </c>
      <c r="E362" s="1">
        <f t="shared" si="128"/>
        <v>44927</v>
      </c>
      <c r="F362" s="1">
        <f t="shared" si="129"/>
        <v>44958</v>
      </c>
      <c r="G362" s="1">
        <f t="shared" si="130"/>
        <v>45031</v>
      </c>
      <c r="H362">
        <f t="shared" si="131"/>
        <v>365</v>
      </c>
      <c r="I362">
        <f t="shared" si="132"/>
        <v>31</v>
      </c>
      <c r="J362">
        <f t="shared" si="133"/>
        <v>8.4931506849315067E-2</v>
      </c>
      <c r="K362">
        <f>IFERROR($J362/IF($A362&lt;COUNTIFS($K$1:K$1,"&lt;&gt;"),0,SUMIFS($J:$J,$B:$B,$B362,$A:$A,"&gt;="&amp;COUNTIFS($K$1:K$1,"&lt;&gt;"))),0)</f>
        <v>8.8825214899713484E-2</v>
      </c>
      <c r="L362">
        <f>IFERROR($J362/IF($A362&lt;COUNTIFS($K$1:L$1,"&lt;&gt;"),0,SUMIFS($J:$J,$B:$B,$B362,$A:$A,"&gt;="&amp;COUNTIFS($K$1:L$1,"&lt;&gt;"))),0)</f>
        <v>9.7484276729559768E-2</v>
      </c>
      <c r="M362">
        <f>IFERROR($J362/IF($A362&lt;COUNTIFS($K$1:M$1,"&lt;&gt;"),0,SUMIFS($J:$J,$B:$B,$B362,$A:$A,"&gt;="&amp;COUNTIFS($K$1:M$1,"&lt;&gt;"))),0)</f>
        <v>0.10763888888888891</v>
      </c>
      <c r="N362">
        <f>IFERROR($J362/IF($A362&lt;COUNTIFS($K$1:N$1,"&lt;&gt;"),0,SUMIFS($J:$J,$B:$B,$B362,$A:$A,"&gt;="&amp;COUNTIFS($K$1:N$1,"&lt;&gt;"))),0)</f>
        <v>0.12062256809338523</v>
      </c>
      <c r="O362">
        <f>IFERROR($J362/IF($A362&lt;COUNTIFS($K$1:O$1,"&lt;&gt;"),0,SUMIFS($J:$J,$B:$B,$B362,$A:$A,"&gt;="&amp;COUNTIFS($K$1:O$1,"&lt;&gt;"))),0)</f>
        <v>0.13716814159292037</v>
      </c>
      <c r="P362">
        <f>IFERROR($J362/IF($A362&lt;COUNTIFS($K$1:P$1,"&lt;&gt;"),0,SUMIFS($J:$J,$B:$B,$B362,$A:$A,"&gt;="&amp;COUNTIFS($K$1:P$1,"&lt;&gt;"))),0)</f>
        <v>0.15816326530612249</v>
      </c>
      <c r="Q362">
        <f>IFERROR($J362/IF($A362&lt;COUNTIFS($K$1:Q$1,"&lt;&gt;"),0,SUMIFS($J:$J,$B:$B,$B362,$A:$A,"&gt;="&amp;COUNTIFS($K$1:Q$1,"&lt;&gt;"))),0)</f>
        <v>0.1878787878787879</v>
      </c>
      <c r="R362">
        <f>IFERROR($J362/IF($A362&lt;COUNTIFS($K$1:R$1,"&lt;&gt;"),0,SUMIFS($J:$J,$B:$B,$B362,$A:$A,"&gt;="&amp;COUNTIFS($K$1:R$1,"&lt;&gt;"))),0)</f>
        <v>0.22962962962962963</v>
      </c>
      <c r="S362">
        <f>IFERROR($J362/IF($A362&lt;COUNTIFS($K$1:S$1,"&lt;&gt;"),0,SUMIFS($J:$J,$B:$B,$B362,$A:$A,"&gt;="&amp;COUNTIFS($K$1:S$1,"&lt;&gt;"))),0)</f>
        <v>0.29807692307692307</v>
      </c>
      <c r="T362">
        <f>IFERROR($J362/IF($A362&lt;COUNTIFS($K$1:T$1,"&lt;&gt;"),0,SUMIFS($J:$J,$B:$B,$B362,$A:$A,"&gt;="&amp;COUNTIFS($K$1:T$1,"&lt;&gt;"))),0)</f>
        <v>0</v>
      </c>
      <c r="U362">
        <f>IFERROR($J362/IF($A362&lt;COUNTIFS($K$1:U$1,"&lt;&gt;"),0,SUMIFS($J:$J,$B:$B,$B362,$A:$A,"&gt;="&amp;COUNTIFS($K$1:U$1,"&lt;&gt;"))),0)</f>
        <v>0</v>
      </c>
      <c r="V362">
        <f>IFERROR($J362/IF($A362&lt;COUNTIFS($K$1:V$1,"&lt;&gt;"),0,SUMIFS($J:$J,$B:$B,$B362,$A:$A,"&gt;="&amp;COUNTIFS($K$1:V$1,"&lt;&gt;"))),0)</f>
        <v>0</v>
      </c>
      <c r="W362">
        <f t="shared" si="134"/>
        <v>8.4931506849315067E-2</v>
      </c>
      <c r="X362">
        <f t="shared" si="114"/>
        <v>8.4931506849315067E-2</v>
      </c>
      <c r="Y362">
        <f t="shared" si="115"/>
        <v>8.4931506849315067E-2</v>
      </c>
      <c r="Z362">
        <f t="shared" si="116"/>
        <v>8.4931506849315067E-2</v>
      </c>
      <c r="AA362">
        <f t="shared" si="117"/>
        <v>8.4931506849315067E-2</v>
      </c>
      <c r="AB362">
        <f t="shared" si="118"/>
        <v>8.4931506849315067E-2</v>
      </c>
      <c r="AC362">
        <f t="shared" si="119"/>
        <v>8.4931506849315067E-2</v>
      </c>
      <c r="AD362">
        <f t="shared" si="120"/>
        <v>8.4931506849315067E-2</v>
      </c>
      <c r="AE362">
        <f t="shared" si="121"/>
        <v>8.4931506849315067E-2</v>
      </c>
      <c r="AF362">
        <f t="shared" si="122"/>
        <v>8.4931506849315067E-2</v>
      </c>
      <c r="AG362">
        <f t="shared" si="123"/>
        <v>0</v>
      </c>
      <c r="AH362">
        <f t="shared" si="124"/>
        <v>0</v>
      </c>
      <c r="AI362">
        <f t="shared" si="125"/>
        <v>0</v>
      </c>
      <c r="AJ362" s="2" t="str">
        <f t="shared" si="135"/>
        <v>944652</v>
      </c>
    </row>
    <row r="363" spans="1:36" x14ac:dyDescent="0.25">
      <c r="A363">
        <v>10</v>
      </c>
      <c r="B363" s="1">
        <v>44652</v>
      </c>
      <c r="C363" s="1">
        <f t="shared" si="126"/>
        <v>44958</v>
      </c>
      <c r="D363" s="1">
        <f t="shared" si="127"/>
        <v>44666</v>
      </c>
      <c r="E363" s="1">
        <f t="shared" si="128"/>
        <v>44958</v>
      </c>
      <c r="F363" s="1">
        <f t="shared" si="129"/>
        <v>44986</v>
      </c>
      <c r="G363" s="1">
        <f t="shared" si="130"/>
        <v>45031</v>
      </c>
      <c r="H363">
        <f t="shared" si="131"/>
        <v>365</v>
      </c>
      <c r="I363">
        <f t="shared" si="132"/>
        <v>28</v>
      </c>
      <c r="J363">
        <f t="shared" si="133"/>
        <v>7.6712328767123292E-2</v>
      </c>
      <c r="K363">
        <f>IFERROR($J363/IF($A363&lt;COUNTIFS($K$1:K$1,"&lt;&gt;"),0,SUMIFS($J:$J,$B:$B,$B363,$A:$A,"&gt;="&amp;COUNTIFS($K$1:K$1,"&lt;&gt;"))),0)</f>
        <v>8.0229226361031539E-2</v>
      </c>
      <c r="L363">
        <f>IFERROR($J363/IF($A363&lt;COUNTIFS($K$1:L$1,"&lt;&gt;"),0,SUMIFS($J:$J,$B:$B,$B363,$A:$A,"&gt;="&amp;COUNTIFS($K$1:L$1,"&lt;&gt;"))),0)</f>
        <v>8.8050314465408827E-2</v>
      </c>
      <c r="M363">
        <f>IFERROR($J363/IF($A363&lt;COUNTIFS($K$1:M$1,"&lt;&gt;"),0,SUMIFS($J:$J,$B:$B,$B363,$A:$A,"&gt;="&amp;COUNTIFS($K$1:M$1,"&lt;&gt;"))),0)</f>
        <v>9.7222222222222238E-2</v>
      </c>
      <c r="N363">
        <f>IFERROR($J363/IF($A363&lt;COUNTIFS($K$1:N$1,"&lt;&gt;"),0,SUMIFS($J:$J,$B:$B,$B363,$A:$A,"&gt;="&amp;COUNTIFS($K$1:N$1,"&lt;&gt;"))),0)</f>
        <v>0.10894941634241248</v>
      </c>
      <c r="O363">
        <f>IFERROR($J363/IF($A363&lt;COUNTIFS($K$1:O$1,"&lt;&gt;"),0,SUMIFS($J:$J,$B:$B,$B363,$A:$A,"&gt;="&amp;COUNTIFS($K$1:O$1,"&lt;&gt;"))),0)</f>
        <v>0.12389380530973454</v>
      </c>
      <c r="P363">
        <f>IFERROR($J363/IF($A363&lt;COUNTIFS($K$1:P$1,"&lt;&gt;"),0,SUMIFS($J:$J,$B:$B,$B363,$A:$A,"&gt;="&amp;COUNTIFS($K$1:P$1,"&lt;&gt;"))),0)</f>
        <v>0.14285714285714288</v>
      </c>
      <c r="Q363">
        <f>IFERROR($J363/IF($A363&lt;COUNTIFS($K$1:Q$1,"&lt;&gt;"),0,SUMIFS($J:$J,$B:$B,$B363,$A:$A,"&gt;="&amp;COUNTIFS($K$1:Q$1,"&lt;&gt;"))),0)</f>
        <v>0.16969696969696971</v>
      </c>
      <c r="R363">
        <f>IFERROR($J363/IF($A363&lt;COUNTIFS($K$1:R$1,"&lt;&gt;"),0,SUMIFS($J:$J,$B:$B,$B363,$A:$A,"&gt;="&amp;COUNTIFS($K$1:R$1,"&lt;&gt;"))),0)</f>
        <v>0.20740740740740743</v>
      </c>
      <c r="S363">
        <f>IFERROR($J363/IF($A363&lt;COUNTIFS($K$1:S$1,"&lt;&gt;"),0,SUMIFS($J:$J,$B:$B,$B363,$A:$A,"&gt;="&amp;COUNTIFS($K$1:S$1,"&lt;&gt;"))),0)</f>
        <v>0.26923076923076927</v>
      </c>
      <c r="T363">
        <f>IFERROR($J363/IF($A363&lt;COUNTIFS($K$1:T$1,"&lt;&gt;"),0,SUMIFS($J:$J,$B:$B,$B363,$A:$A,"&gt;="&amp;COUNTIFS($K$1:T$1,"&lt;&gt;"))),0)</f>
        <v>0.38356164383561642</v>
      </c>
      <c r="U363">
        <f>IFERROR($J363/IF($A363&lt;COUNTIFS($K$1:U$1,"&lt;&gt;"),0,SUMIFS($J:$J,$B:$B,$B363,$A:$A,"&gt;="&amp;COUNTIFS($K$1:U$1,"&lt;&gt;"))),0)</f>
        <v>0</v>
      </c>
      <c r="V363">
        <f>IFERROR($J363/IF($A363&lt;COUNTIFS($K$1:V$1,"&lt;&gt;"),0,SUMIFS($J:$J,$B:$B,$B363,$A:$A,"&gt;="&amp;COUNTIFS($K$1:V$1,"&lt;&gt;"))),0)</f>
        <v>0</v>
      </c>
      <c r="W363">
        <f t="shared" si="134"/>
        <v>7.6712328767123292E-2</v>
      </c>
      <c r="X363">
        <f t="shared" si="114"/>
        <v>7.6712328767123292E-2</v>
      </c>
      <c r="Y363">
        <f t="shared" si="115"/>
        <v>7.6712328767123292E-2</v>
      </c>
      <c r="Z363">
        <f t="shared" si="116"/>
        <v>7.6712328767123292E-2</v>
      </c>
      <c r="AA363">
        <f t="shared" si="117"/>
        <v>7.6712328767123292E-2</v>
      </c>
      <c r="AB363">
        <f t="shared" si="118"/>
        <v>7.6712328767123292E-2</v>
      </c>
      <c r="AC363">
        <f t="shared" si="119"/>
        <v>7.6712328767123292E-2</v>
      </c>
      <c r="AD363">
        <f t="shared" si="120"/>
        <v>7.6712328767123292E-2</v>
      </c>
      <c r="AE363">
        <f t="shared" si="121"/>
        <v>7.6712328767123292E-2</v>
      </c>
      <c r="AF363">
        <f t="shared" si="122"/>
        <v>7.6712328767123292E-2</v>
      </c>
      <c r="AG363">
        <f t="shared" si="123"/>
        <v>7.6712328767123292E-2</v>
      </c>
      <c r="AH363">
        <f t="shared" si="124"/>
        <v>0</v>
      </c>
      <c r="AI363">
        <f t="shared" si="125"/>
        <v>0</v>
      </c>
      <c r="AJ363" s="2" t="str">
        <f t="shared" si="135"/>
        <v>1044652</v>
      </c>
    </row>
    <row r="364" spans="1:36" x14ac:dyDescent="0.25">
      <c r="A364">
        <v>11</v>
      </c>
      <c r="B364" s="1">
        <v>44652</v>
      </c>
      <c r="C364" s="1">
        <f t="shared" si="126"/>
        <v>44986</v>
      </c>
      <c r="D364" s="1">
        <f t="shared" si="127"/>
        <v>44666</v>
      </c>
      <c r="E364" s="1">
        <f t="shared" si="128"/>
        <v>44986</v>
      </c>
      <c r="F364" s="1">
        <f t="shared" si="129"/>
        <v>45017</v>
      </c>
      <c r="G364" s="1">
        <f t="shared" si="130"/>
        <v>45031</v>
      </c>
      <c r="H364">
        <f t="shared" si="131"/>
        <v>365</v>
      </c>
      <c r="I364">
        <f t="shared" si="132"/>
        <v>31</v>
      </c>
      <c r="J364">
        <f t="shared" si="133"/>
        <v>8.4931506849315067E-2</v>
      </c>
      <c r="K364">
        <f>IFERROR($J364/IF($A364&lt;COUNTIFS($K$1:K$1,"&lt;&gt;"),0,SUMIFS($J:$J,$B:$B,$B364,$A:$A,"&gt;="&amp;COUNTIFS($K$1:K$1,"&lt;&gt;"))),0)</f>
        <v>8.8825214899713484E-2</v>
      </c>
      <c r="L364">
        <f>IFERROR($J364/IF($A364&lt;COUNTIFS($K$1:L$1,"&lt;&gt;"),0,SUMIFS($J:$J,$B:$B,$B364,$A:$A,"&gt;="&amp;COUNTIFS($K$1:L$1,"&lt;&gt;"))),0)</f>
        <v>9.7484276729559768E-2</v>
      </c>
      <c r="M364">
        <f>IFERROR($J364/IF($A364&lt;COUNTIFS($K$1:M$1,"&lt;&gt;"),0,SUMIFS($J:$J,$B:$B,$B364,$A:$A,"&gt;="&amp;COUNTIFS($K$1:M$1,"&lt;&gt;"))),0)</f>
        <v>0.10763888888888891</v>
      </c>
      <c r="N364">
        <f>IFERROR($J364/IF($A364&lt;COUNTIFS($K$1:N$1,"&lt;&gt;"),0,SUMIFS($J:$J,$B:$B,$B364,$A:$A,"&gt;="&amp;COUNTIFS($K$1:N$1,"&lt;&gt;"))),0)</f>
        <v>0.12062256809338523</v>
      </c>
      <c r="O364">
        <f>IFERROR($J364/IF($A364&lt;COUNTIFS($K$1:O$1,"&lt;&gt;"),0,SUMIFS($J:$J,$B:$B,$B364,$A:$A,"&gt;="&amp;COUNTIFS($K$1:O$1,"&lt;&gt;"))),0)</f>
        <v>0.13716814159292037</v>
      </c>
      <c r="P364">
        <f>IFERROR($J364/IF($A364&lt;COUNTIFS($K$1:P$1,"&lt;&gt;"),0,SUMIFS($J:$J,$B:$B,$B364,$A:$A,"&gt;="&amp;COUNTIFS($K$1:P$1,"&lt;&gt;"))),0)</f>
        <v>0.15816326530612249</v>
      </c>
      <c r="Q364">
        <f>IFERROR($J364/IF($A364&lt;COUNTIFS($K$1:Q$1,"&lt;&gt;"),0,SUMIFS($J:$J,$B:$B,$B364,$A:$A,"&gt;="&amp;COUNTIFS($K$1:Q$1,"&lt;&gt;"))),0)</f>
        <v>0.1878787878787879</v>
      </c>
      <c r="R364">
        <f>IFERROR($J364/IF($A364&lt;COUNTIFS($K$1:R$1,"&lt;&gt;"),0,SUMIFS($J:$J,$B:$B,$B364,$A:$A,"&gt;="&amp;COUNTIFS($K$1:R$1,"&lt;&gt;"))),0)</f>
        <v>0.22962962962962963</v>
      </c>
      <c r="S364">
        <f>IFERROR($J364/IF($A364&lt;COUNTIFS($K$1:S$1,"&lt;&gt;"),0,SUMIFS($J:$J,$B:$B,$B364,$A:$A,"&gt;="&amp;COUNTIFS($K$1:S$1,"&lt;&gt;"))),0)</f>
        <v>0.29807692307692307</v>
      </c>
      <c r="T364">
        <f>IFERROR($J364/IF($A364&lt;COUNTIFS($K$1:T$1,"&lt;&gt;"),0,SUMIFS($J:$J,$B:$B,$B364,$A:$A,"&gt;="&amp;COUNTIFS($K$1:T$1,"&lt;&gt;"))),0)</f>
        <v>0.42465753424657532</v>
      </c>
      <c r="U364">
        <f>IFERROR($J364/IF($A364&lt;COUNTIFS($K$1:U$1,"&lt;&gt;"),0,SUMIFS($J:$J,$B:$B,$B364,$A:$A,"&gt;="&amp;COUNTIFS($K$1:U$1,"&lt;&gt;"))),0)</f>
        <v>0.68888888888888888</v>
      </c>
      <c r="V364">
        <f>IFERROR($J364/IF($A364&lt;COUNTIFS($K$1:V$1,"&lt;&gt;"),0,SUMIFS($J:$J,$B:$B,$B364,$A:$A,"&gt;="&amp;COUNTIFS($K$1:V$1,"&lt;&gt;"))),0)</f>
        <v>0</v>
      </c>
      <c r="W364">
        <f t="shared" si="134"/>
        <v>8.4931506849315067E-2</v>
      </c>
      <c r="X364">
        <f t="shared" si="114"/>
        <v>8.4931506849315067E-2</v>
      </c>
      <c r="Y364">
        <f t="shared" si="115"/>
        <v>8.4931506849315067E-2</v>
      </c>
      <c r="Z364">
        <f t="shared" si="116"/>
        <v>8.4931506849315067E-2</v>
      </c>
      <c r="AA364">
        <f t="shared" si="117"/>
        <v>8.4931506849315067E-2</v>
      </c>
      <c r="AB364">
        <f t="shared" si="118"/>
        <v>8.4931506849315067E-2</v>
      </c>
      <c r="AC364">
        <f t="shared" si="119"/>
        <v>8.4931506849315067E-2</v>
      </c>
      <c r="AD364">
        <f t="shared" si="120"/>
        <v>8.4931506849315067E-2</v>
      </c>
      <c r="AE364">
        <f t="shared" si="121"/>
        <v>8.4931506849315067E-2</v>
      </c>
      <c r="AF364">
        <f t="shared" si="122"/>
        <v>8.4931506849315067E-2</v>
      </c>
      <c r="AG364">
        <f t="shared" si="123"/>
        <v>8.4931506849315067E-2</v>
      </c>
      <c r="AH364">
        <f t="shared" si="124"/>
        <v>8.4931506849315067E-2</v>
      </c>
      <c r="AI364">
        <f t="shared" si="125"/>
        <v>0</v>
      </c>
      <c r="AJ364" s="2" t="str">
        <f t="shared" si="135"/>
        <v>1144652</v>
      </c>
    </row>
    <row r="365" spans="1:36" x14ac:dyDescent="0.25">
      <c r="A365">
        <v>12</v>
      </c>
      <c r="B365" s="1">
        <v>44652</v>
      </c>
      <c r="C365" s="1">
        <f t="shared" si="126"/>
        <v>45017</v>
      </c>
      <c r="D365" s="1">
        <f t="shared" si="127"/>
        <v>44666</v>
      </c>
      <c r="E365" s="1">
        <f t="shared" si="128"/>
        <v>45017</v>
      </c>
      <c r="F365" s="1">
        <f t="shared" si="129"/>
        <v>45031</v>
      </c>
      <c r="G365" s="1">
        <f t="shared" si="130"/>
        <v>45031</v>
      </c>
      <c r="H365">
        <f t="shared" si="131"/>
        <v>365</v>
      </c>
      <c r="I365">
        <f t="shared" si="132"/>
        <v>14</v>
      </c>
      <c r="J365">
        <f t="shared" si="133"/>
        <v>3.8356164383561646E-2</v>
      </c>
      <c r="K365">
        <f>IFERROR($J365/IF($A365&lt;COUNTIFS($K$1:K$1,"&lt;&gt;"),0,SUMIFS($J:$J,$B:$B,$B365,$A:$A,"&gt;="&amp;COUNTIFS($K$1:K$1,"&lt;&gt;"))),0)</f>
        <v>4.0114613180515769E-2</v>
      </c>
      <c r="L365">
        <f>IFERROR($J365/IF($A365&lt;COUNTIFS($K$1:L$1,"&lt;&gt;"),0,SUMIFS($J:$J,$B:$B,$B365,$A:$A,"&gt;="&amp;COUNTIFS($K$1:L$1,"&lt;&gt;"))),0)</f>
        <v>4.4025157232704414E-2</v>
      </c>
      <c r="M365">
        <f>IFERROR($J365/IF($A365&lt;COUNTIFS($K$1:M$1,"&lt;&gt;"),0,SUMIFS($J:$J,$B:$B,$B365,$A:$A,"&gt;="&amp;COUNTIFS($K$1:M$1,"&lt;&gt;"))),0)</f>
        <v>4.8611111111111119E-2</v>
      </c>
      <c r="N365">
        <f>IFERROR($J365/IF($A365&lt;COUNTIFS($K$1:N$1,"&lt;&gt;"),0,SUMIFS($J:$J,$B:$B,$B365,$A:$A,"&gt;="&amp;COUNTIFS($K$1:N$1,"&lt;&gt;"))),0)</f>
        <v>5.447470817120624E-2</v>
      </c>
      <c r="O365">
        <f>IFERROR($J365/IF($A365&lt;COUNTIFS($K$1:O$1,"&lt;&gt;"),0,SUMIFS($J:$J,$B:$B,$B365,$A:$A,"&gt;="&amp;COUNTIFS($K$1:O$1,"&lt;&gt;"))),0)</f>
        <v>6.194690265486727E-2</v>
      </c>
      <c r="P365">
        <f>IFERROR($J365/IF($A365&lt;COUNTIFS($K$1:P$1,"&lt;&gt;"),0,SUMIFS($J:$J,$B:$B,$B365,$A:$A,"&gt;="&amp;COUNTIFS($K$1:P$1,"&lt;&gt;"))),0)</f>
        <v>7.1428571428571438E-2</v>
      </c>
      <c r="Q365">
        <f>IFERROR($J365/IF($A365&lt;COUNTIFS($K$1:Q$1,"&lt;&gt;"),0,SUMIFS($J:$J,$B:$B,$B365,$A:$A,"&gt;="&amp;COUNTIFS($K$1:Q$1,"&lt;&gt;"))),0)</f>
        <v>8.4848484848484854E-2</v>
      </c>
      <c r="R365">
        <f>IFERROR($J365/IF($A365&lt;COUNTIFS($K$1:R$1,"&lt;&gt;"),0,SUMIFS($J:$J,$B:$B,$B365,$A:$A,"&gt;="&amp;COUNTIFS($K$1:R$1,"&lt;&gt;"))),0)</f>
        <v>0.10370370370370371</v>
      </c>
      <c r="S365">
        <f>IFERROR($J365/IF($A365&lt;COUNTIFS($K$1:S$1,"&lt;&gt;"),0,SUMIFS($J:$J,$B:$B,$B365,$A:$A,"&gt;="&amp;COUNTIFS($K$1:S$1,"&lt;&gt;"))),0)</f>
        <v>0.13461538461538464</v>
      </c>
      <c r="T365">
        <f>IFERROR($J365/IF($A365&lt;COUNTIFS($K$1:T$1,"&lt;&gt;"),0,SUMIFS($J:$J,$B:$B,$B365,$A:$A,"&gt;="&amp;COUNTIFS($K$1:T$1,"&lt;&gt;"))),0)</f>
        <v>0.19178082191780821</v>
      </c>
      <c r="U365">
        <f>IFERROR($J365/IF($A365&lt;COUNTIFS($K$1:U$1,"&lt;&gt;"),0,SUMIFS($J:$J,$B:$B,$B365,$A:$A,"&gt;="&amp;COUNTIFS($K$1:U$1,"&lt;&gt;"))),0)</f>
        <v>0.31111111111111117</v>
      </c>
      <c r="V365">
        <f>IFERROR($J365/IF($A365&lt;COUNTIFS($K$1:V$1,"&lt;&gt;"),0,SUMIFS($J:$J,$B:$B,$B365,$A:$A,"&gt;="&amp;COUNTIFS($K$1:V$1,"&lt;&gt;"))),0)</f>
        <v>1</v>
      </c>
      <c r="W365">
        <f t="shared" si="134"/>
        <v>3.8356164383561646E-2</v>
      </c>
      <c r="X365">
        <f t="shared" si="114"/>
        <v>3.8356164383561646E-2</v>
      </c>
      <c r="Y365">
        <f t="shared" si="115"/>
        <v>3.8356164383561646E-2</v>
      </c>
      <c r="Z365">
        <f t="shared" si="116"/>
        <v>3.8356164383561646E-2</v>
      </c>
      <c r="AA365">
        <f t="shared" si="117"/>
        <v>3.8356164383561646E-2</v>
      </c>
      <c r="AB365">
        <f t="shared" si="118"/>
        <v>3.8356164383561646E-2</v>
      </c>
      <c r="AC365">
        <f t="shared" si="119"/>
        <v>3.8356164383561646E-2</v>
      </c>
      <c r="AD365">
        <f t="shared" si="120"/>
        <v>3.8356164383561646E-2</v>
      </c>
      <c r="AE365">
        <f t="shared" si="121"/>
        <v>3.8356164383561646E-2</v>
      </c>
      <c r="AF365">
        <f t="shared" si="122"/>
        <v>3.8356164383561646E-2</v>
      </c>
      <c r="AG365">
        <f t="shared" si="123"/>
        <v>3.8356164383561646E-2</v>
      </c>
      <c r="AH365">
        <f t="shared" si="124"/>
        <v>3.8356164383561646E-2</v>
      </c>
      <c r="AI365">
        <f t="shared" si="125"/>
        <v>3.8356164383561646E-2</v>
      </c>
      <c r="AJ365" s="2" t="str">
        <f t="shared" si="135"/>
        <v>1244652</v>
      </c>
    </row>
    <row r="366" spans="1:36" x14ac:dyDescent="0.25">
      <c r="A366">
        <v>0</v>
      </c>
      <c r="B366" s="1">
        <v>44682</v>
      </c>
      <c r="C366" s="1">
        <f t="shared" si="126"/>
        <v>44682</v>
      </c>
      <c r="D366" s="1">
        <f t="shared" si="127"/>
        <v>44696</v>
      </c>
      <c r="E366" s="1">
        <f t="shared" si="128"/>
        <v>44696</v>
      </c>
      <c r="F366" s="1">
        <f t="shared" si="129"/>
        <v>44713</v>
      </c>
      <c r="G366" s="1">
        <f t="shared" si="130"/>
        <v>45061</v>
      </c>
      <c r="H366">
        <f t="shared" si="131"/>
        <v>365</v>
      </c>
      <c r="I366">
        <f t="shared" si="132"/>
        <v>17</v>
      </c>
      <c r="J366">
        <f t="shared" si="133"/>
        <v>4.6575342465753428E-2</v>
      </c>
      <c r="K366">
        <f>IFERROR($J366/IF($A366&lt;COUNTIFS($K$1:K$1,"&lt;&gt;"),0,SUMIFS($J:$J,$B:$B,$B366,$A:$A,"&gt;="&amp;COUNTIFS($K$1:K$1,"&lt;&gt;"))),0)</f>
        <v>0</v>
      </c>
      <c r="L366">
        <f>IFERROR($J366/IF($A366&lt;COUNTIFS($K$1:L$1,"&lt;&gt;"),0,SUMIFS($J:$J,$B:$B,$B366,$A:$A,"&gt;="&amp;COUNTIFS($K$1:L$1,"&lt;&gt;"))),0)</f>
        <v>0</v>
      </c>
      <c r="M366">
        <f>IFERROR($J366/IF($A366&lt;COUNTIFS($K$1:M$1,"&lt;&gt;"),0,SUMIFS($J:$J,$B:$B,$B366,$A:$A,"&gt;="&amp;COUNTIFS($K$1:M$1,"&lt;&gt;"))),0)</f>
        <v>0</v>
      </c>
      <c r="N366">
        <f>IFERROR($J366/IF($A366&lt;COUNTIFS($K$1:N$1,"&lt;&gt;"),0,SUMIFS($J:$J,$B:$B,$B366,$A:$A,"&gt;="&amp;COUNTIFS($K$1:N$1,"&lt;&gt;"))),0)</f>
        <v>0</v>
      </c>
      <c r="O366">
        <f>IFERROR($J366/IF($A366&lt;COUNTIFS($K$1:O$1,"&lt;&gt;"),0,SUMIFS($J:$J,$B:$B,$B366,$A:$A,"&gt;="&amp;COUNTIFS($K$1:O$1,"&lt;&gt;"))),0)</f>
        <v>0</v>
      </c>
      <c r="P366">
        <f>IFERROR($J366/IF($A366&lt;COUNTIFS($K$1:P$1,"&lt;&gt;"),0,SUMIFS($J:$J,$B:$B,$B366,$A:$A,"&gt;="&amp;COUNTIFS($K$1:P$1,"&lt;&gt;"))),0)</f>
        <v>0</v>
      </c>
      <c r="Q366">
        <f>IFERROR($J366/IF($A366&lt;COUNTIFS($K$1:Q$1,"&lt;&gt;"),0,SUMIFS($J:$J,$B:$B,$B366,$A:$A,"&gt;="&amp;COUNTIFS($K$1:Q$1,"&lt;&gt;"))),0)</f>
        <v>0</v>
      </c>
      <c r="R366">
        <f>IFERROR($J366/IF($A366&lt;COUNTIFS($K$1:R$1,"&lt;&gt;"),0,SUMIFS($J:$J,$B:$B,$B366,$A:$A,"&gt;="&amp;COUNTIFS($K$1:R$1,"&lt;&gt;"))),0)</f>
        <v>0</v>
      </c>
      <c r="S366">
        <f>IFERROR($J366/IF($A366&lt;COUNTIFS($K$1:S$1,"&lt;&gt;"),0,SUMIFS($J:$J,$B:$B,$B366,$A:$A,"&gt;="&amp;COUNTIFS($K$1:S$1,"&lt;&gt;"))),0)</f>
        <v>0</v>
      </c>
      <c r="T366">
        <f>IFERROR($J366/IF($A366&lt;COUNTIFS($K$1:T$1,"&lt;&gt;"),0,SUMIFS($J:$J,$B:$B,$B366,$A:$A,"&gt;="&amp;COUNTIFS($K$1:T$1,"&lt;&gt;"))),0)</f>
        <v>0</v>
      </c>
      <c r="U366">
        <f>IFERROR($J366/IF($A366&lt;COUNTIFS($K$1:U$1,"&lt;&gt;"),0,SUMIFS($J:$J,$B:$B,$B366,$A:$A,"&gt;="&amp;COUNTIFS($K$1:U$1,"&lt;&gt;"))),0)</f>
        <v>0</v>
      </c>
      <c r="V366">
        <f>IFERROR($J366/IF($A366&lt;COUNTIFS($K$1:V$1,"&lt;&gt;"),0,SUMIFS($J:$J,$B:$B,$B366,$A:$A,"&gt;="&amp;COUNTIFS($K$1:V$1,"&lt;&gt;"))),0)</f>
        <v>0</v>
      </c>
      <c r="W366">
        <f t="shared" si="134"/>
        <v>4.6575342465753428E-2</v>
      </c>
      <c r="X366">
        <f t="shared" si="114"/>
        <v>0</v>
      </c>
      <c r="Y366">
        <f t="shared" si="115"/>
        <v>0</v>
      </c>
      <c r="Z366">
        <f t="shared" si="116"/>
        <v>0</v>
      </c>
      <c r="AA366">
        <f t="shared" si="117"/>
        <v>0</v>
      </c>
      <c r="AB366">
        <f t="shared" si="118"/>
        <v>0</v>
      </c>
      <c r="AC366">
        <f t="shared" si="119"/>
        <v>0</v>
      </c>
      <c r="AD366">
        <f t="shared" si="120"/>
        <v>0</v>
      </c>
      <c r="AE366">
        <f t="shared" si="121"/>
        <v>0</v>
      </c>
      <c r="AF366">
        <f t="shared" si="122"/>
        <v>0</v>
      </c>
      <c r="AG366">
        <f t="shared" si="123"/>
        <v>0</v>
      </c>
      <c r="AH366">
        <f t="shared" si="124"/>
        <v>0</v>
      </c>
      <c r="AI366">
        <f t="shared" si="125"/>
        <v>0</v>
      </c>
      <c r="AJ366" s="2" t="str">
        <f t="shared" si="135"/>
        <v>044682</v>
      </c>
    </row>
    <row r="367" spans="1:36" x14ac:dyDescent="0.25">
      <c r="A367">
        <v>1</v>
      </c>
      <c r="B367" s="1">
        <v>44682</v>
      </c>
      <c r="C367" s="1">
        <f t="shared" si="126"/>
        <v>44713</v>
      </c>
      <c r="D367" s="1">
        <f t="shared" si="127"/>
        <v>44696</v>
      </c>
      <c r="E367" s="1">
        <f t="shared" si="128"/>
        <v>44713</v>
      </c>
      <c r="F367" s="1">
        <f t="shared" si="129"/>
        <v>44743</v>
      </c>
      <c r="G367" s="1">
        <f t="shared" si="130"/>
        <v>45061</v>
      </c>
      <c r="H367">
        <f t="shared" si="131"/>
        <v>365</v>
      </c>
      <c r="I367">
        <f t="shared" si="132"/>
        <v>30</v>
      </c>
      <c r="J367">
        <f t="shared" si="133"/>
        <v>8.2191780821917804E-2</v>
      </c>
      <c r="K367">
        <f>IFERROR($J367/IF($A367&lt;COUNTIFS($K$1:K$1,"&lt;&gt;"),0,SUMIFS($J:$J,$B:$B,$B367,$A:$A,"&gt;="&amp;COUNTIFS($K$1:K$1,"&lt;&gt;"))),0)</f>
        <v>8.6206896551724144E-2</v>
      </c>
      <c r="L367">
        <f>IFERROR($J367/IF($A367&lt;COUNTIFS($K$1:L$1,"&lt;&gt;"),0,SUMIFS($J:$J,$B:$B,$B367,$A:$A,"&gt;="&amp;COUNTIFS($K$1:L$1,"&lt;&gt;"))),0)</f>
        <v>0</v>
      </c>
      <c r="M367">
        <f>IFERROR($J367/IF($A367&lt;COUNTIFS($K$1:M$1,"&lt;&gt;"),0,SUMIFS($J:$J,$B:$B,$B367,$A:$A,"&gt;="&amp;COUNTIFS($K$1:M$1,"&lt;&gt;"))),0)</f>
        <v>0</v>
      </c>
      <c r="N367">
        <f>IFERROR($J367/IF($A367&lt;COUNTIFS($K$1:N$1,"&lt;&gt;"),0,SUMIFS($J:$J,$B:$B,$B367,$A:$A,"&gt;="&amp;COUNTIFS($K$1:N$1,"&lt;&gt;"))),0)</f>
        <v>0</v>
      </c>
      <c r="O367">
        <f>IFERROR($J367/IF($A367&lt;COUNTIFS($K$1:O$1,"&lt;&gt;"),0,SUMIFS($J:$J,$B:$B,$B367,$A:$A,"&gt;="&amp;COUNTIFS($K$1:O$1,"&lt;&gt;"))),0)</f>
        <v>0</v>
      </c>
      <c r="P367">
        <f>IFERROR($J367/IF($A367&lt;COUNTIFS($K$1:P$1,"&lt;&gt;"),0,SUMIFS($J:$J,$B:$B,$B367,$A:$A,"&gt;="&amp;COUNTIFS($K$1:P$1,"&lt;&gt;"))),0)</f>
        <v>0</v>
      </c>
      <c r="Q367">
        <f>IFERROR($J367/IF($A367&lt;COUNTIFS($K$1:Q$1,"&lt;&gt;"),0,SUMIFS($J:$J,$B:$B,$B367,$A:$A,"&gt;="&amp;COUNTIFS($K$1:Q$1,"&lt;&gt;"))),0)</f>
        <v>0</v>
      </c>
      <c r="R367">
        <f>IFERROR($J367/IF($A367&lt;COUNTIFS($K$1:R$1,"&lt;&gt;"),0,SUMIFS($J:$J,$B:$B,$B367,$A:$A,"&gt;="&amp;COUNTIFS($K$1:R$1,"&lt;&gt;"))),0)</f>
        <v>0</v>
      </c>
      <c r="S367">
        <f>IFERROR($J367/IF($A367&lt;COUNTIFS($K$1:S$1,"&lt;&gt;"),0,SUMIFS($J:$J,$B:$B,$B367,$A:$A,"&gt;="&amp;COUNTIFS($K$1:S$1,"&lt;&gt;"))),0)</f>
        <v>0</v>
      </c>
      <c r="T367">
        <f>IFERROR($J367/IF($A367&lt;COUNTIFS($K$1:T$1,"&lt;&gt;"),0,SUMIFS($J:$J,$B:$B,$B367,$A:$A,"&gt;="&amp;COUNTIFS($K$1:T$1,"&lt;&gt;"))),0)</f>
        <v>0</v>
      </c>
      <c r="U367">
        <f>IFERROR($J367/IF($A367&lt;COUNTIFS($K$1:U$1,"&lt;&gt;"),0,SUMIFS($J:$J,$B:$B,$B367,$A:$A,"&gt;="&amp;COUNTIFS($K$1:U$1,"&lt;&gt;"))),0)</f>
        <v>0</v>
      </c>
      <c r="V367">
        <f>IFERROR($J367/IF($A367&lt;COUNTIFS($K$1:V$1,"&lt;&gt;"),0,SUMIFS($J:$J,$B:$B,$B367,$A:$A,"&gt;="&amp;COUNTIFS($K$1:V$1,"&lt;&gt;"))),0)</f>
        <v>0</v>
      </c>
      <c r="W367">
        <f t="shared" si="134"/>
        <v>8.2191780821917804E-2</v>
      </c>
      <c r="X367">
        <f t="shared" si="114"/>
        <v>8.2191780821917804E-2</v>
      </c>
      <c r="Y367">
        <f t="shared" si="115"/>
        <v>0</v>
      </c>
      <c r="Z367">
        <f t="shared" si="116"/>
        <v>0</v>
      </c>
      <c r="AA367">
        <f t="shared" si="117"/>
        <v>0</v>
      </c>
      <c r="AB367">
        <f t="shared" si="118"/>
        <v>0</v>
      </c>
      <c r="AC367">
        <f t="shared" si="119"/>
        <v>0</v>
      </c>
      <c r="AD367">
        <f t="shared" si="120"/>
        <v>0</v>
      </c>
      <c r="AE367">
        <f t="shared" si="121"/>
        <v>0</v>
      </c>
      <c r="AF367">
        <f t="shared" si="122"/>
        <v>0</v>
      </c>
      <c r="AG367">
        <f t="shared" si="123"/>
        <v>0</v>
      </c>
      <c r="AH367">
        <f t="shared" si="124"/>
        <v>0</v>
      </c>
      <c r="AI367">
        <f t="shared" si="125"/>
        <v>0</v>
      </c>
      <c r="AJ367" s="2" t="str">
        <f t="shared" si="135"/>
        <v>144682</v>
      </c>
    </row>
    <row r="368" spans="1:36" x14ac:dyDescent="0.25">
      <c r="A368">
        <v>2</v>
      </c>
      <c r="B368" s="1">
        <v>44682</v>
      </c>
      <c r="C368" s="1">
        <f t="shared" si="126"/>
        <v>44743</v>
      </c>
      <c r="D368" s="1">
        <f t="shared" si="127"/>
        <v>44696</v>
      </c>
      <c r="E368" s="1">
        <f t="shared" si="128"/>
        <v>44743</v>
      </c>
      <c r="F368" s="1">
        <f t="shared" si="129"/>
        <v>44774</v>
      </c>
      <c r="G368" s="1">
        <f t="shared" si="130"/>
        <v>45061</v>
      </c>
      <c r="H368">
        <f t="shared" si="131"/>
        <v>365</v>
      </c>
      <c r="I368">
        <f t="shared" si="132"/>
        <v>31</v>
      </c>
      <c r="J368">
        <f t="shared" si="133"/>
        <v>8.4931506849315067E-2</v>
      </c>
      <c r="K368">
        <f>IFERROR($J368/IF($A368&lt;COUNTIFS($K$1:K$1,"&lt;&gt;"),0,SUMIFS($J:$J,$B:$B,$B368,$A:$A,"&gt;="&amp;COUNTIFS($K$1:K$1,"&lt;&gt;"))),0)</f>
        <v>8.9080459770114959E-2</v>
      </c>
      <c r="L368">
        <f>IFERROR($J368/IF($A368&lt;COUNTIFS($K$1:L$1,"&lt;&gt;"),0,SUMIFS($J:$J,$B:$B,$B368,$A:$A,"&gt;="&amp;COUNTIFS($K$1:L$1,"&lt;&gt;"))),0)</f>
        <v>9.7484276729559768E-2</v>
      </c>
      <c r="M368">
        <f>IFERROR($J368/IF($A368&lt;COUNTIFS($K$1:M$1,"&lt;&gt;"),0,SUMIFS($J:$J,$B:$B,$B368,$A:$A,"&gt;="&amp;COUNTIFS($K$1:M$1,"&lt;&gt;"))),0)</f>
        <v>0</v>
      </c>
      <c r="N368">
        <f>IFERROR($J368/IF($A368&lt;COUNTIFS($K$1:N$1,"&lt;&gt;"),0,SUMIFS($J:$J,$B:$B,$B368,$A:$A,"&gt;="&amp;COUNTIFS($K$1:N$1,"&lt;&gt;"))),0)</f>
        <v>0</v>
      </c>
      <c r="O368">
        <f>IFERROR($J368/IF($A368&lt;COUNTIFS($K$1:O$1,"&lt;&gt;"),0,SUMIFS($J:$J,$B:$B,$B368,$A:$A,"&gt;="&amp;COUNTIFS($K$1:O$1,"&lt;&gt;"))),0)</f>
        <v>0</v>
      </c>
      <c r="P368">
        <f>IFERROR($J368/IF($A368&lt;COUNTIFS($K$1:P$1,"&lt;&gt;"),0,SUMIFS($J:$J,$B:$B,$B368,$A:$A,"&gt;="&amp;COUNTIFS($K$1:P$1,"&lt;&gt;"))),0)</f>
        <v>0</v>
      </c>
      <c r="Q368">
        <f>IFERROR($J368/IF($A368&lt;COUNTIFS($K$1:Q$1,"&lt;&gt;"),0,SUMIFS($J:$J,$B:$B,$B368,$A:$A,"&gt;="&amp;COUNTIFS($K$1:Q$1,"&lt;&gt;"))),0)</f>
        <v>0</v>
      </c>
      <c r="R368">
        <f>IFERROR($J368/IF($A368&lt;COUNTIFS($K$1:R$1,"&lt;&gt;"),0,SUMIFS($J:$J,$B:$B,$B368,$A:$A,"&gt;="&amp;COUNTIFS($K$1:R$1,"&lt;&gt;"))),0)</f>
        <v>0</v>
      </c>
      <c r="S368">
        <f>IFERROR($J368/IF($A368&lt;COUNTIFS($K$1:S$1,"&lt;&gt;"),0,SUMIFS($J:$J,$B:$B,$B368,$A:$A,"&gt;="&amp;COUNTIFS($K$1:S$1,"&lt;&gt;"))),0)</f>
        <v>0</v>
      </c>
      <c r="T368">
        <f>IFERROR($J368/IF($A368&lt;COUNTIFS($K$1:T$1,"&lt;&gt;"),0,SUMIFS($J:$J,$B:$B,$B368,$A:$A,"&gt;="&amp;COUNTIFS($K$1:T$1,"&lt;&gt;"))),0)</f>
        <v>0</v>
      </c>
      <c r="U368">
        <f>IFERROR($J368/IF($A368&lt;COUNTIFS($K$1:U$1,"&lt;&gt;"),0,SUMIFS($J:$J,$B:$B,$B368,$A:$A,"&gt;="&amp;COUNTIFS($K$1:U$1,"&lt;&gt;"))),0)</f>
        <v>0</v>
      </c>
      <c r="V368">
        <f>IFERROR($J368/IF($A368&lt;COUNTIFS($K$1:V$1,"&lt;&gt;"),0,SUMIFS($J:$J,$B:$B,$B368,$A:$A,"&gt;="&amp;COUNTIFS($K$1:V$1,"&lt;&gt;"))),0)</f>
        <v>0</v>
      </c>
      <c r="W368">
        <f t="shared" si="134"/>
        <v>8.4931506849315067E-2</v>
      </c>
      <c r="X368">
        <f t="shared" si="114"/>
        <v>8.4931506849315067E-2</v>
      </c>
      <c r="Y368">
        <f t="shared" si="115"/>
        <v>8.4931506849315067E-2</v>
      </c>
      <c r="Z368">
        <f t="shared" si="116"/>
        <v>0</v>
      </c>
      <c r="AA368">
        <f t="shared" si="117"/>
        <v>0</v>
      </c>
      <c r="AB368">
        <f t="shared" si="118"/>
        <v>0</v>
      </c>
      <c r="AC368">
        <f t="shared" si="119"/>
        <v>0</v>
      </c>
      <c r="AD368">
        <f t="shared" si="120"/>
        <v>0</v>
      </c>
      <c r="AE368">
        <f t="shared" si="121"/>
        <v>0</v>
      </c>
      <c r="AF368">
        <f t="shared" si="122"/>
        <v>0</v>
      </c>
      <c r="AG368">
        <f t="shared" si="123"/>
        <v>0</v>
      </c>
      <c r="AH368">
        <f t="shared" si="124"/>
        <v>0</v>
      </c>
      <c r="AI368">
        <f t="shared" si="125"/>
        <v>0</v>
      </c>
      <c r="AJ368" s="2" t="str">
        <f t="shared" si="135"/>
        <v>244682</v>
      </c>
    </row>
    <row r="369" spans="1:36" x14ac:dyDescent="0.25">
      <c r="A369">
        <v>3</v>
      </c>
      <c r="B369" s="1">
        <v>44682</v>
      </c>
      <c r="C369" s="1">
        <f t="shared" si="126"/>
        <v>44774</v>
      </c>
      <c r="D369" s="1">
        <f t="shared" si="127"/>
        <v>44696</v>
      </c>
      <c r="E369" s="1">
        <f t="shared" si="128"/>
        <v>44774</v>
      </c>
      <c r="F369" s="1">
        <f t="shared" si="129"/>
        <v>44805</v>
      </c>
      <c r="G369" s="1">
        <f t="shared" si="130"/>
        <v>45061</v>
      </c>
      <c r="H369">
        <f t="shared" si="131"/>
        <v>365</v>
      </c>
      <c r="I369">
        <f t="shared" si="132"/>
        <v>31</v>
      </c>
      <c r="J369">
        <f t="shared" si="133"/>
        <v>8.4931506849315067E-2</v>
      </c>
      <c r="K369">
        <f>IFERROR($J369/IF($A369&lt;COUNTIFS($K$1:K$1,"&lt;&gt;"),0,SUMIFS($J:$J,$B:$B,$B369,$A:$A,"&gt;="&amp;COUNTIFS($K$1:K$1,"&lt;&gt;"))),0)</f>
        <v>8.9080459770114959E-2</v>
      </c>
      <c r="L369">
        <f>IFERROR($J369/IF($A369&lt;COUNTIFS($K$1:L$1,"&lt;&gt;"),0,SUMIFS($J:$J,$B:$B,$B369,$A:$A,"&gt;="&amp;COUNTIFS($K$1:L$1,"&lt;&gt;"))),0)</f>
        <v>9.7484276729559768E-2</v>
      </c>
      <c r="M369">
        <f>IFERROR($J369/IF($A369&lt;COUNTIFS($K$1:M$1,"&lt;&gt;"),0,SUMIFS($J:$J,$B:$B,$B369,$A:$A,"&gt;="&amp;COUNTIFS($K$1:M$1,"&lt;&gt;"))),0)</f>
        <v>0.10801393728222998</v>
      </c>
      <c r="N369">
        <f>IFERROR($J369/IF($A369&lt;COUNTIFS($K$1:N$1,"&lt;&gt;"),0,SUMIFS($J:$J,$B:$B,$B369,$A:$A,"&gt;="&amp;COUNTIFS($K$1:N$1,"&lt;&gt;"))),0)</f>
        <v>0</v>
      </c>
      <c r="O369">
        <f>IFERROR($J369/IF($A369&lt;COUNTIFS($K$1:O$1,"&lt;&gt;"),0,SUMIFS($J:$J,$B:$B,$B369,$A:$A,"&gt;="&amp;COUNTIFS($K$1:O$1,"&lt;&gt;"))),0)</f>
        <v>0</v>
      </c>
      <c r="P369">
        <f>IFERROR($J369/IF($A369&lt;COUNTIFS($K$1:P$1,"&lt;&gt;"),0,SUMIFS($J:$J,$B:$B,$B369,$A:$A,"&gt;="&amp;COUNTIFS($K$1:P$1,"&lt;&gt;"))),0)</f>
        <v>0</v>
      </c>
      <c r="Q369">
        <f>IFERROR($J369/IF($A369&lt;COUNTIFS($K$1:Q$1,"&lt;&gt;"),0,SUMIFS($J:$J,$B:$B,$B369,$A:$A,"&gt;="&amp;COUNTIFS($K$1:Q$1,"&lt;&gt;"))),0)</f>
        <v>0</v>
      </c>
      <c r="R369">
        <f>IFERROR($J369/IF($A369&lt;COUNTIFS($K$1:R$1,"&lt;&gt;"),0,SUMIFS($J:$J,$B:$B,$B369,$A:$A,"&gt;="&amp;COUNTIFS($K$1:R$1,"&lt;&gt;"))),0)</f>
        <v>0</v>
      </c>
      <c r="S369">
        <f>IFERROR($J369/IF($A369&lt;COUNTIFS($K$1:S$1,"&lt;&gt;"),0,SUMIFS($J:$J,$B:$B,$B369,$A:$A,"&gt;="&amp;COUNTIFS($K$1:S$1,"&lt;&gt;"))),0)</f>
        <v>0</v>
      </c>
      <c r="T369">
        <f>IFERROR($J369/IF($A369&lt;COUNTIFS($K$1:T$1,"&lt;&gt;"),0,SUMIFS($J:$J,$B:$B,$B369,$A:$A,"&gt;="&amp;COUNTIFS($K$1:T$1,"&lt;&gt;"))),0)</f>
        <v>0</v>
      </c>
      <c r="U369">
        <f>IFERROR($J369/IF($A369&lt;COUNTIFS($K$1:U$1,"&lt;&gt;"),0,SUMIFS($J:$J,$B:$B,$B369,$A:$A,"&gt;="&amp;COUNTIFS($K$1:U$1,"&lt;&gt;"))),0)</f>
        <v>0</v>
      </c>
      <c r="V369">
        <f>IFERROR($J369/IF($A369&lt;COUNTIFS($K$1:V$1,"&lt;&gt;"),0,SUMIFS($J:$J,$B:$B,$B369,$A:$A,"&gt;="&amp;COUNTIFS($K$1:V$1,"&lt;&gt;"))),0)</f>
        <v>0</v>
      </c>
      <c r="W369">
        <f t="shared" si="134"/>
        <v>8.4931506849315067E-2</v>
      </c>
      <c r="X369">
        <f t="shared" si="114"/>
        <v>8.4931506849315067E-2</v>
      </c>
      <c r="Y369">
        <f t="shared" si="115"/>
        <v>8.4931506849315067E-2</v>
      </c>
      <c r="Z369">
        <f t="shared" si="116"/>
        <v>8.4931506849315067E-2</v>
      </c>
      <c r="AA369">
        <f t="shared" si="117"/>
        <v>0</v>
      </c>
      <c r="AB369">
        <f t="shared" si="118"/>
        <v>0</v>
      </c>
      <c r="AC369">
        <f t="shared" si="119"/>
        <v>0</v>
      </c>
      <c r="AD369">
        <f t="shared" si="120"/>
        <v>0</v>
      </c>
      <c r="AE369">
        <f t="shared" si="121"/>
        <v>0</v>
      </c>
      <c r="AF369">
        <f t="shared" si="122"/>
        <v>0</v>
      </c>
      <c r="AG369">
        <f t="shared" si="123"/>
        <v>0</v>
      </c>
      <c r="AH369">
        <f t="shared" si="124"/>
        <v>0</v>
      </c>
      <c r="AI369">
        <f t="shared" si="125"/>
        <v>0</v>
      </c>
      <c r="AJ369" s="2" t="str">
        <f t="shared" si="135"/>
        <v>344682</v>
      </c>
    </row>
    <row r="370" spans="1:36" x14ac:dyDescent="0.25">
      <c r="A370">
        <v>4</v>
      </c>
      <c r="B370" s="1">
        <v>44682</v>
      </c>
      <c r="C370" s="1">
        <f t="shared" si="126"/>
        <v>44805</v>
      </c>
      <c r="D370" s="1">
        <f t="shared" si="127"/>
        <v>44696</v>
      </c>
      <c r="E370" s="1">
        <f t="shared" si="128"/>
        <v>44805</v>
      </c>
      <c r="F370" s="1">
        <f t="shared" si="129"/>
        <v>44835</v>
      </c>
      <c r="G370" s="1">
        <f t="shared" si="130"/>
        <v>45061</v>
      </c>
      <c r="H370">
        <f t="shared" si="131"/>
        <v>365</v>
      </c>
      <c r="I370">
        <f t="shared" si="132"/>
        <v>30</v>
      </c>
      <c r="J370">
        <f t="shared" si="133"/>
        <v>8.2191780821917804E-2</v>
      </c>
      <c r="K370">
        <f>IFERROR($J370/IF($A370&lt;COUNTIFS($K$1:K$1,"&lt;&gt;"),0,SUMIFS($J:$J,$B:$B,$B370,$A:$A,"&gt;="&amp;COUNTIFS($K$1:K$1,"&lt;&gt;"))),0)</f>
        <v>8.6206896551724144E-2</v>
      </c>
      <c r="L370">
        <f>IFERROR($J370/IF($A370&lt;COUNTIFS($K$1:L$1,"&lt;&gt;"),0,SUMIFS($J:$J,$B:$B,$B370,$A:$A,"&gt;="&amp;COUNTIFS($K$1:L$1,"&lt;&gt;"))),0)</f>
        <v>9.4339622641509441E-2</v>
      </c>
      <c r="M370">
        <f>IFERROR($J370/IF($A370&lt;COUNTIFS($K$1:M$1,"&lt;&gt;"),0,SUMIFS($J:$J,$B:$B,$B370,$A:$A,"&gt;="&amp;COUNTIFS($K$1:M$1,"&lt;&gt;"))),0)</f>
        <v>0.10452961672473869</v>
      </c>
      <c r="N370">
        <f>IFERROR($J370/IF($A370&lt;COUNTIFS($K$1:N$1,"&lt;&gt;"),0,SUMIFS($J:$J,$B:$B,$B370,$A:$A,"&gt;="&amp;COUNTIFS($K$1:N$1,"&lt;&gt;"))),0)</f>
        <v>0.11718750000000001</v>
      </c>
      <c r="O370">
        <f>IFERROR($J370/IF($A370&lt;COUNTIFS($K$1:O$1,"&lt;&gt;"),0,SUMIFS($J:$J,$B:$B,$B370,$A:$A,"&gt;="&amp;COUNTIFS($K$1:O$1,"&lt;&gt;"))),0)</f>
        <v>0</v>
      </c>
      <c r="P370">
        <f>IFERROR($J370/IF($A370&lt;COUNTIFS($K$1:P$1,"&lt;&gt;"),0,SUMIFS($J:$J,$B:$B,$B370,$A:$A,"&gt;="&amp;COUNTIFS($K$1:P$1,"&lt;&gt;"))),0)</f>
        <v>0</v>
      </c>
      <c r="Q370">
        <f>IFERROR($J370/IF($A370&lt;COUNTIFS($K$1:Q$1,"&lt;&gt;"),0,SUMIFS($J:$J,$B:$B,$B370,$A:$A,"&gt;="&amp;COUNTIFS($K$1:Q$1,"&lt;&gt;"))),0)</f>
        <v>0</v>
      </c>
      <c r="R370">
        <f>IFERROR($J370/IF($A370&lt;COUNTIFS($K$1:R$1,"&lt;&gt;"),0,SUMIFS($J:$J,$B:$B,$B370,$A:$A,"&gt;="&amp;COUNTIFS($K$1:R$1,"&lt;&gt;"))),0)</f>
        <v>0</v>
      </c>
      <c r="S370">
        <f>IFERROR($J370/IF($A370&lt;COUNTIFS($K$1:S$1,"&lt;&gt;"),0,SUMIFS($J:$J,$B:$B,$B370,$A:$A,"&gt;="&amp;COUNTIFS($K$1:S$1,"&lt;&gt;"))),0)</f>
        <v>0</v>
      </c>
      <c r="T370">
        <f>IFERROR($J370/IF($A370&lt;COUNTIFS($K$1:T$1,"&lt;&gt;"),0,SUMIFS($J:$J,$B:$B,$B370,$A:$A,"&gt;="&amp;COUNTIFS($K$1:T$1,"&lt;&gt;"))),0)</f>
        <v>0</v>
      </c>
      <c r="U370">
        <f>IFERROR($J370/IF($A370&lt;COUNTIFS($K$1:U$1,"&lt;&gt;"),0,SUMIFS($J:$J,$B:$B,$B370,$A:$A,"&gt;="&amp;COUNTIFS($K$1:U$1,"&lt;&gt;"))),0)</f>
        <v>0</v>
      </c>
      <c r="V370">
        <f>IFERROR($J370/IF($A370&lt;COUNTIFS($K$1:V$1,"&lt;&gt;"),0,SUMIFS($J:$J,$B:$B,$B370,$A:$A,"&gt;="&amp;COUNTIFS($K$1:V$1,"&lt;&gt;"))),0)</f>
        <v>0</v>
      </c>
      <c r="W370">
        <f t="shared" si="134"/>
        <v>8.2191780821917804E-2</v>
      </c>
      <c r="X370">
        <f t="shared" si="114"/>
        <v>8.2191780821917804E-2</v>
      </c>
      <c r="Y370">
        <f t="shared" si="115"/>
        <v>8.2191780821917804E-2</v>
      </c>
      <c r="Z370">
        <f t="shared" si="116"/>
        <v>8.2191780821917804E-2</v>
      </c>
      <c r="AA370">
        <f t="shared" si="117"/>
        <v>8.2191780821917804E-2</v>
      </c>
      <c r="AB370">
        <f t="shared" si="118"/>
        <v>0</v>
      </c>
      <c r="AC370">
        <f t="shared" si="119"/>
        <v>0</v>
      </c>
      <c r="AD370">
        <f t="shared" si="120"/>
        <v>0</v>
      </c>
      <c r="AE370">
        <f t="shared" si="121"/>
        <v>0</v>
      </c>
      <c r="AF370">
        <f t="shared" si="122"/>
        <v>0</v>
      </c>
      <c r="AG370">
        <f t="shared" si="123"/>
        <v>0</v>
      </c>
      <c r="AH370">
        <f t="shared" si="124"/>
        <v>0</v>
      </c>
      <c r="AI370">
        <f t="shared" si="125"/>
        <v>0</v>
      </c>
      <c r="AJ370" s="2" t="str">
        <f t="shared" si="135"/>
        <v>444682</v>
      </c>
    </row>
    <row r="371" spans="1:36" x14ac:dyDescent="0.25">
      <c r="A371">
        <v>5</v>
      </c>
      <c r="B371" s="1">
        <v>44682</v>
      </c>
      <c r="C371" s="1">
        <f t="shared" si="126"/>
        <v>44835</v>
      </c>
      <c r="D371" s="1">
        <f t="shared" si="127"/>
        <v>44696</v>
      </c>
      <c r="E371" s="1">
        <f t="shared" si="128"/>
        <v>44835</v>
      </c>
      <c r="F371" s="1">
        <f t="shared" si="129"/>
        <v>44866</v>
      </c>
      <c r="G371" s="1">
        <f t="shared" si="130"/>
        <v>45061</v>
      </c>
      <c r="H371">
        <f t="shared" si="131"/>
        <v>365</v>
      </c>
      <c r="I371">
        <f t="shared" si="132"/>
        <v>31</v>
      </c>
      <c r="J371">
        <f t="shared" si="133"/>
        <v>8.4931506849315067E-2</v>
      </c>
      <c r="K371">
        <f>IFERROR($J371/IF($A371&lt;COUNTIFS($K$1:K$1,"&lt;&gt;"),0,SUMIFS($J:$J,$B:$B,$B371,$A:$A,"&gt;="&amp;COUNTIFS($K$1:K$1,"&lt;&gt;"))),0)</f>
        <v>8.9080459770114959E-2</v>
      </c>
      <c r="L371">
        <f>IFERROR($J371/IF($A371&lt;COUNTIFS($K$1:L$1,"&lt;&gt;"),0,SUMIFS($J:$J,$B:$B,$B371,$A:$A,"&gt;="&amp;COUNTIFS($K$1:L$1,"&lt;&gt;"))),0)</f>
        <v>9.7484276729559768E-2</v>
      </c>
      <c r="M371">
        <f>IFERROR($J371/IF($A371&lt;COUNTIFS($K$1:M$1,"&lt;&gt;"),0,SUMIFS($J:$J,$B:$B,$B371,$A:$A,"&gt;="&amp;COUNTIFS($K$1:M$1,"&lt;&gt;"))),0)</f>
        <v>0.10801393728222998</v>
      </c>
      <c r="N371">
        <f>IFERROR($J371/IF($A371&lt;COUNTIFS($K$1:N$1,"&lt;&gt;"),0,SUMIFS($J:$J,$B:$B,$B371,$A:$A,"&gt;="&amp;COUNTIFS($K$1:N$1,"&lt;&gt;"))),0)</f>
        <v>0.12109375000000001</v>
      </c>
      <c r="O371">
        <f>IFERROR($J371/IF($A371&lt;COUNTIFS($K$1:O$1,"&lt;&gt;"),0,SUMIFS($J:$J,$B:$B,$B371,$A:$A,"&gt;="&amp;COUNTIFS($K$1:O$1,"&lt;&gt;"))),0)</f>
        <v>0.13716814159292037</v>
      </c>
      <c r="P371">
        <f>IFERROR($J371/IF($A371&lt;COUNTIFS($K$1:P$1,"&lt;&gt;"),0,SUMIFS($J:$J,$B:$B,$B371,$A:$A,"&gt;="&amp;COUNTIFS($K$1:P$1,"&lt;&gt;"))),0)</f>
        <v>0</v>
      </c>
      <c r="Q371">
        <f>IFERROR($J371/IF($A371&lt;COUNTIFS($K$1:Q$1,"&lt;&gt;"),0,SUMIFS($J:$J,$B:$B,$B371,$A:$A,"&gt;="&amp;COUNTIFS($K$1:Q$1,"&lt;&gt;"))),0)</f>
        <v>0</v>
      </c>
      <c r="R371">
        <f>IFERROR($J371/IF($A371&lt;COUNTIFS($K$1:R$1,"&lt;&gt;"),0,SUMIFS($J:$J,$B:$B,$B371,$A:$A,"&gt;="&amp;COUNTIFS($K$1:R$1,"&lt;&gt;"))),0)</f>
        <v>0</v>
      </c>
      <c r="S371">
        <f>IFERROR($J371/IF($A371&lt;COUNTIFS($K$1:S$1,"&lt;&gt;"),0,SUMIFS($J:$J,$B:$B,$B371,$A:$A,"&gt;="&amp;COUNTIFS($K$1:S$1,"&lt;&gt;"))),0)</f>
        <v>0</v>
      </c>
      <c r="T371">
        <f>IFERROR($J371/IF($A371&lt;COUNTIFS($K$1:T$1,"&lt;&gt;"),0,SUMIFS($J:$J,$B:$B,$B371,$A:$A,"&gt;="&amp;COUNTIFS($K$1:T$1,"&lt;&gt;"))),0)</f>
        <v>0</v>
      </c>
      <c r="U371">
        <f>IFERROR($J371/IF($A371&lt;COUNTIFS($K$1:U$1,"&lt;&gt;"),0,SUMIFS($J:$J,$B:$B,$B371,$A:$A,"&gt;="&amp;COUNTIFS($K$1:U$1,"&lt;&gt;"))),0)</f>
        <v>0</v>
      </c>
      <c r="V371">
        <f>IFERROR($J371/IF($A371&lt;COUNTIFS($K$1:V$1,"&lt;&gt;"),0,SUMIFS($J:$J,$B:$B,$B371,$A:$A,"&gt;="&amp;COUNTIFS($K$1:V$1,"&lt;&gt;"))),0)</f>
        <v>0</v>
      </c>
      <c r="W371">
        <f t="shared" si="134"/>
        <v>8.4931506849315067E-2</v>
      </c>
      <c r="X371">
        <f t="shared" si="114"/>
        <v>8.4931506849315067E-2</v>
      </c>
      <c r="Y371">
        <f t="shared" si="115"/>
        <v>8.4931506849315067E-2</v>
      </c>
      <c r="Z371">
        <f t="shared" si="116"/>
        <v>8.4931506849315067E-2</v>
      </c>
      <c r="AA371">
        <f t="shared" si="117"/>
        <v>8.4931506849315067E-2</v>
      </c>
      <c r="AB371">
        <f t="shared" si="118"/>
        <v>8.4931506849315067E-2</v>
      </c>
      <c r="AC371">
        <f t="shared" si="119"/>
        <v>0</v>
      </c>
      <c r="AD371">
        <f t="shared" si="120"/>
        <v>0</v>
      </c>
      <c r="AE371">
        <f t="shared" si="121"/>
        <v>0</v>
      </c>
      <c r="AF371">
        <f t="shared" si="122"/>
        <v>0</v>
      </c>
      <c r="AG371">
        <f t="shared" si="123"/>
        <v>0</v>
      </c>
      <c r="AH371">
        <f t="shared" si="124"/>
        <v>0</v>
      </c>
      <c r="AI371">
        <f t="shared" si="125"/>
        <v>0</v>
      </c>
      <c r="AJ371" s="2" t="str">
        <f t="shared" si="135"/>
        <v>544682</v>
      </c>
    </row>
    <row r="372" spans="1:36" x14ac:dyDescent="0.25">
      <c r="A372">
        <v>6</v>
      </c>
      <c r="B372" s="1">
        <v>44682</v>
      </c>
      <c r="C372" s="1">
        <f t="shared" si="126"/>
        <v>44866</v>
      </c>
      <c r="D372" s="1">
        <f t="shared" si="127"/>
        <v>44696</v>
      </c>
      <c r="E372" s="1">
        <f t="shared" si="128"/>
        <v>44866</v>
      </c>
      <c r="F372" s="1">
        <f t="shared" si="129"/>
        <v>44896</v>
      </c>
      <c r="G372" s="1">
        <f t="shared" si="130"/>
        <v>45061</v>
      </c>
      <c r="H372">
        <f t="shared" si="131"/>
        <v>365</v>
      </c>
      <c r="I372">
        <f t="shared" si="132"/>
        <v>30</v>
      </c>
      <c r="J372">
        <f t="shared" si="133"/>
        <v>8.2191780821917804E-2</v>
      </c>
      <c r="K372">
        <f>IFERROR($J372/IF($A372&lt;COUNTIFS($K$1:K$1,"&lt;&gt;"),0,SUMIFS($J:$J,$B:$B,$B372,$A:$A,"&gt;="&amp;COUNTIFS($K$1:K$1,"&lt;&gt;"))),0)</f>
        <v>8.6206896551724144E-2</v>
      </c>
      <c r="L372">
        <f>IFERROR($J372/IF($A372&lt;COUNTIFS($K$1:L$1,"&lt;&gt;"),0,SUMIFS($J:$J,$B:$B,$B372,$A:$A,"&gt;="&amp;COUNTIFS($K$1:L$1,"&lt;&gt;"))),0)</f>
        <v>9.4339622641509441E-2</v>
      </c>
      <c r="M372">
        <f>IFERROR($J372/IF($A372&lt;COUNTIFS($K$1:M$1,"&lt;&gt;"),0,SUMIFS($J:$J,$B:$B,$B372,$A:$A,"&gt;="&amp;COUNTIFS($K$1:M$1,"&lt;&gt;"))),0)</f>
        <v>0.10452961672473869</v>
      </c>
      <c r="N372">
        <f>IFERROR($J372/IF($A372&lt;COUNTIFS($K$1:N$1,"&lt;&gt;"),0,SUMIFS($J:$J,$B:$B,$B372,$A:$A,"&gt;="&amp;COUNTIFS($K$1:N$1,"&lt;&gt;"))),0)</f>
        <v>0.11718750000000001</v>
      </c>
      <c r="O372">
        <f>IFERROR($J372/IF($A372&lt;COUNTIFS($K$1:O$1,"&lt;&gt;"),0,SUMIFS($J:$J,$B:$B,$B372,$A:$A,"&gt;="&amp;COUNTIFS($K$1:O$1,"&lt;&gt;"))),0)</f>
        <v>0.13274336283185842</v>
      </c>
      <c r="P372">
        <f>IFERROR($J372/IF($A372&lt;COUNTIFS($K$1:P$1,"&lt;&gt;"),0,SUMIFS($J:$J,$B:$B,$B372,$A:$A,"&gt;="&amp;COUNTIFS($K$1:P$1,"&lt;&gt;"))),0)</f>
        <v>0.15384615384615385</v>
      </c>
      <c r="Q372">
        <f>IFERROR($J372/IF($A372&lt;COUNTIFS($K$1:Q$1,"&lt;&gt;"),0,SUMIFS($J:$J,$B:$B,$B372,$A:$A,"&gt;="&amp;COUNTIFS($K$1:Q$1,"&lt;&gt;"))),0)</f>
        <v>0</v>
      </c>
      <c r="R372">
        <f>IFERROR($J372/IF($A372&lt;COUNTIFS($K$1:R$1,"&lt;&gt;"),0,SUMIFS($J:$J,$B:$B,$B372,$A:$A,"&gt;="&amp;COUNTIFS($K$1:R$1,"&lt;&gt;"))),0)</f>
        <v>0</v>
      </c>
      <c r="S372">
        <f>IFERROR($J372/IF($A372&lt;COUNTIFS($K$1:S$1,"&lt;&gt;"),0,SUMIFS($J:$J,$B:$B,$B372,$A:$A,"&gt;="&amp;COUNTIFS($K$1:S$1,"&lt;&gt;"))),0)</f>
        <v>0</v>
      </c>
      <c r="T372">
        <f>IFERROR($J372/IF($A372&lt;COUNTIFS($K$1:T$1,"&lt;&gt;"),0,SUMIFS($J:$J,$B:$B,$B372,$A:$A,"&gt;="&amp;COUNTIFS($K$1:T$1,"&lt;&gt;"))),0)</f>
        <v>0</v>
      </c>
      <c r="U372">
        <f>IFERROR($J372/IF($A372&lt;COUNTIFS($K$1:U$1,"&lt;&gt;"),0,SUMIFS($J:$J,$B:$B,$B372,$A:$A,"&gt;="&amp;COUNTIFS($K$1:U$1,"&lt;&gt;"))),0)</f>
        <v>0</v>
      </c>
      <c r="V372">
        <f>IFERROR($J372/IF($A372&lt;COUNTIFS($K$1:V$1,"&lt;&gt;"),0,SUMIFS($J:$J,$B:$B,$B372,$A:$A,"&gt;="&amp;COUNTIFS($K$1:V$1,"&lt;&gt;"))),0)</f>
        <v>0</v>
      </c>
      <c r="W372">
        <f t="shared" si="134"/>
        <v>8.2191780821917804E-2</v>
      </c>
      <c r="X372">
        <f t="shared" si="114"/>
        <v>8.2191780821917804E-2</v>
      </c>
      <c r="Y372">
        <f t="shared" si="115"/>
        <v>8.2191780821917804E-2</v>
      </c>
      <c r="Z372">
        <f t="shared" si="116"/>
        <v>8.2191780821917804E-2</v>
      </c>
      <c r="AA372">
        <f t="shared" si="117"/>
        <v>8.2191780821917804E-2</v>
      </c>
      <c r="AB372">
        <f t="shared" si="118"/>
        <v>8.2191780821917804E-2</v>
      </c>
      <c r="AC372">
        <f t="shared" si="119"/>
        <v>8.2191780821917804E-2</v>
      </c>
      <c r="AD372">
        <f t="shared" si="120"/>
        <v>0</v>
      </c>
      <c r="AE372">
        <f t="shared" si="121"/>
        <v>0</v>
      </c>
      <c r="AF372">
        <f t="shared" si="122"/>
        <v>0</v>
      </c>
      <c r="AG372">
        <f t="shared" si="123"/>
        <v>0</v>
      </c>
      <c r="AH372">
        <f t="shared" si="124"/>
        <v>0</v>
      </c>
      <c r="AI372">
        <f t="shared" si="125"/>
        <v>0</v>
      </c>
      <c r="AJ372" s="2" t="str">
        <f t="shared" si="135"/>
        <v>644682</v>
      </c>
    </row>
    <row r="373" spans="1:36" x14ac:dyDescent="0.25">
      <c r="A373">
        <v>7</v>
      </c>
      <c r="B373" s="1">
        <v>44682</v>
      </c>
      <c r="C373" s="1">
        <f t="shared" si="126"/>
        <v>44896</v>
      </c>
      <c r="D373" s="1">
        <f t="shared" si="127"/>
        <v>44696</v>
      </c>
      <c r="E373" s="1">
        <f t="shared" si="128"/>
        <v>44896</v>
      </c>
      <c r="F373" s="1">
        <f t="shared" si="129"/>
        <v>44927</v>
      </c>
      <c r="G373" s="1">
        <f t="shared" si="130"/>
        <v>45061</v>
      </c>
      <c r="H373">
        <f t="shared" si="131"/>
        <v>365</v>
      </c>
      <c r="I373">
        <f t="shared" si="132"/>
        <v>31</v>
      </c>
      <c r="J373">
        <f t="shared" si="133"/>
        <v>8.4931506849315067E-2</v>
      </c>
      <c r="K373">
        <f>IFERROR($J373/IF($A373&lt;COUNTIFS($K$1:K$1,"&lt;&gt;"),0,SUMIFS($J:$J,$B:$B,$B373,$A:$A,"&gt;="&amp;COUNTIFS($K$1:K$1,"&lt;&gt;"))),0)</f>
        <v>8.9080459770114959E-2</v>
      </c>
      <c r="L373">
        <f>IFERROR($J373/IF($A373&lt;COUNTIFS($K$1:L$1,"&lt;&gt;"),0,SUMIFS($J:$J,$B:$B,$B373,$A:$A,"&gt;="&amp;COUNTIFS($K$1:L$1,"&lt;&gt;"))),0)</f>
        <v>9.7484276729559768E-2</v>
      </c>
      <c r="M373">
        <f>IFERROR($J373/IF($A373&lt;COUNTIFS($K$1:M$1,"&lt;&gt;"),0,SUMIFS($J:$J,$B:$B,$B373,$A:$A,"&gt;="&amp;COUNTIFS($K$1:M$1,"&lt;&gt;"))),0)</f>
        <v>0.10801393728222998</v>
      </c>
      <c r="N373">
        <f>IFERROR($J373/IF($A373&lt;COUNTIFS($K$1:N$1,"&lt;&gt;"),0,SUMIFS($J:$J,$B:$B,$B373,$A:$A,"&gt;="&amp;COUNTIFS($K$1:N$1,"&lt;&gt;"))),0)</f>
        <v>0.12109375000000001</v>
      </c>
      <c r="O373">
        <f>IFERROR($J373/IF($A373&lt;COUNTIFS($K$1:O$1,"&lt;&gt;"),0,SUMIFS($J:$J,$B:$B,$B373,$A:$A,"&gt;="&amp;COUNTIFS($K$1:O$1,"&lt;&gt;"))),0)</f>
        <v>0.13716814159292037</v>
      </c>
      <c r="P373">
        <f>IFERROR($J373/IF($A373&lt;COUNTIFS($K$1:P$1,"&lt;&gt;"),0,SUMIFS($J:$J,$B:$B,$B373,$A:$A,"&gt;="&amp;COUNTIFS($K$1:P$1,"&lt;&gt;"))),0)</f>
        <v>0.15897435897435899</v>
      </c>
      <c r="Q373">
        <f>IFERROR($J373/IF($A373&lt;COUNTIFS($K$1:Q$1,"&lt;&gt;"),0,SUMIFS($J:$J,$B:$B,$B373,$A:$A,"&gt;="&amp;COUNTIFS($K$1:Q$1,"&lt;&gt;"))),0)</f>
        <v>0.1878787878787879</v>
      </c>
      <c r="R373">
        <f>IFERROR($J373/IF($A373&lt;COUNTIFS($K$1:R$1,"&lt;&gt;"),0,SUMIFS($J:$J,$B:$B,$B373,$A:$A,"&gt;="&amp;COUNTIFS($K$1:R$1,"&lt;&gt;"))),0)</f>
        <v>0</v>
      </c>
      <c r="S373">
        <f>IFERROR($J373/IF($A373&lt;COUNTIFS($K$1:S$1,"&lt;&gt;"),0,SUMIFS($J:$J,$B:$B,$B373,$A:$A,"&gt;="&amp;COUNTIFS($K$1:S$1,"&lt;&gt;"))),0)</f>
        <v>0</v>
      </c>
      <c r="T373">
        <f>IFERROR($J373/IF($A373&lt;COUNTIFS($K$1:T$1,"&lt;&gt;"),0,SUMIFS($J:$J,$B:$B,$B373,$A:$A,"&gt;="&amp;COUNTIFS($K$1:T$1,"&lt;&gt;"))),0)</f>
        <v>0</v>
      </c>
      <c r="U373">
        <f>IFERROR($J373/IF($A373&lt;COUNTIFS($K$1:U$1,"&lt;&gt;"),0,SUMIFS($J:$J,$B:$B,$B373,$A:$A,"&gt;="&amp;COUNTIFS($K$1:U$1,"&lt;&gt;"))),0)</f>
        <v>0</v>
      </c>
      <c r="V373">
        <f>IFERROR($J373/IF($A373&lt;COUNTIFS($K$1:V$1,"&lt;&gt;"),0,SUMIFS($J:$J,$B:$B,$B373,$A:$A,"&gt;="&amp;COUNTIFS($K$1:V$1,"&lt;&gt;"))),0)</f>
        <v>0</v>
      </c>
      <c r="W373">
        <f t="shared" si="134"/>
        <v>8.4931506849315067E-2</v>
      </c>
      <c r="X373">
        <f t="shared" si="114"/>
        <v>8.4931506849315067E-2</v>
      </c>
      <c r="Y373">
        <f t="shared" si="115"/>
        <v>8.4931506849315067E-2</v>
      </c>
      <c r="Z373">
        <f t="shared" si="116"/>
        <v>8.4931506849315067E-2</v>
      </c>
      <c r="AA373">
        <f t="shared" si="117"/>
        <v>8.4931506849315067E-2</v>
      </c>
      <c r="AB373">
        <f t="shared" si="118"/>
        <v>8.4931506849315067E-2</v>
      </c>
      <c r="AC373">
        <f t="shared" si="119"/>
        <v>8.4931506849315067E-2</v>
      </c>
      <c r="AD373">
        <f t="shared" si="120"/>
        <v>8.4931506849315067E-2</v>
      </c>
      <c r="AE373">
        <f t="shared" si="121"/>
        <v>0</v>
      </c>
      <c r="AF373">
        <f t="shared" si="122"/>
        <v>0</v>
      </c>
      <c r="AG373">
        <f t="shared" si="123"/>
        <v>0</v>
      </c>
      <c r="AH373">
        <f t="shared" si="124"/>
        <v>0</v>
      </c>
      <c r="AI373">
        <f t="shared" si="125"/>
        <v>0</v>
      </c>
      <c r="AJ373" s="2" t="str">
        <f t="shared" si="135"/>
        <v>744682</v>
      </c>
    </row>
    <row r="374" spans="1:36" x14ac:dyDescent="0.25">
      <c r="A374">
        <v>8</v>
      </c>
      <c r="B374" s="1">
        <v>44682</v>
      </c>
      <c r="C374" s="1">
        <f t="shared" si="126"/>
        <v>44927</v>
      </c>
      <c r="D374" s="1">
        <f t="shared" si="127"/>
        <v>44696</v>
      </c>
      <c r="E374" s="1">
        <f t="shared" si="128"/>
        <v>44927</v>
      </c>
      <c r="F374" s="1">
        <f t="shared" si="129"/>
        <v>44958</v>
      </c>
      <c r="G374" s="1">
        <f t="shared" si="130"/>
        <v>45061</v>
      </c>
      <c r="H374">
        <f t="shared" si="131"/>
        <v>365</v>
      </c>
      <c r="I374">
        <f t="shared" si="132"/>
        <v>31</v>
      </c>
      <c r="J374">
        <f t="shared" si="133"/>
        <v>8.4931506849315067E-2</v>
      </c>
      <c r="K374">
        <f>IFERROR($J374/IF($A374&lt;COUNTIFS($K$1:K$1,"&lt;&gt;"),0,SUMIFS($J:$J,$B:$B,$B374,$A:$A,"&gt;="&amp;COUNTIFS($K$1:K$1,"&lt;&gt;"))),0)</f>
        <v>8.9080459770114959E-2</v>
      </c>
      <c r="L374">
        <f>IFERROR($J374/IF($A374&lt;COUNTIFS($K$1:L$1,"&lt;&gt;"),0,SUMIFS($J:$J,$B:$B,$B374,$A:$A,"&gt;="&amp;COUNTIFS($K$1:L$1,"&lt;&gt;"))),0)</f>
        <v>9.7484276729559768E-2</v>
      </c>
      <c r="M374">
        <f>IFERROR($J374/IF($A374&lt;COUNTIFS($K$1:M$1,"&lt;&gt;"),0,SUMIFS($J:$J,$B:$B,$B374,$A:$A,"&gt;="&amp;COUNTIFS($K$1:M$1,"&lt;&gt;"))),0)</f>
        <v>0.10801393728222998</v>
      </c>
      <c r="N374">
        <f>IFERROR($J374/IF($A374&lt;COUNTIFS($K$1:N$1,"&lt;&gt;"),0,SUMIFS($J:$J,$B:$B,$B374,$A:$A,"&gt;="&amp;COUNTIFS($K$1:N$1,"&lt;&gt;"))),0)</f>
        <v>0.12109375000000001</v>
      </c>
      <c r="O374">
        <f>IFERROR($J374/IF($A374&lt;COUNTIFS($K$1:O$1,"&lt;&gt;"),0,SUMIFS($J:$J,$B:$B,$B374,$A:$A,"&gt;="&amp;COUNTIFS($K$1:O$1,"&lt;&gt;"))),0)</f>
        <v>0.13716814159292037</v>
      </c>
      <c r="P374">
        <f>IFERROR($J374/IF($A374&lt;COUNTIFS($K$1:P$1,"&lt;&gt;"),0,SUMIFS($J:$J,$B:$B,$B374,$A:$A,"&gt;="&amp;COUNTIFS($K$1:P$1,"&lt;&gt;"))),0)</f>
        <v>0.15897435897435899</v>
      </c>
      <c r="Q374">
        <f>IFERROR($J374/IF($A374&lt;COUNTIFS($K$1:Q$1,"&lt;&gt;"),0,SUMIFS($J:$J,$B:$B,$B374,$A:$A,"&gt;="&amp;COUNTIFS($K$1:Q$1,"&lt;&gt;"))),0)</f>
        <v>0.1878787878787879</v>
      </c>
      <c r="R374">
        <f>IFERROR($J374/IF($A374&lt;COUNTIFS($K$1:R$1,"&lt;&gt;"),0,SUMIFS($J:$J,$B:$B,$B374,$A:$A,"&gt;="&amp;COUNTIFS($K$1:R$1,"&lt;&gt;"))),0)</f>
        <v>0.23134328358208955</v>
      </c>
      <c r="S374">
        <f>IFERROR($J374/IF($A374&lt;COUNTIFS($K$1:S$1,"&lt;&gt;"),0,SUMIFS($J:$J,$B:$B,$B374,$A:$A,"&gt;="&amp;COUNTIFS($K$1:S$1,"&lt;&gt;"))),0)</f>
        <v>0</v>
      </c>
      <c r="T374">
        <f>IFERROR($J374/IF($A374&lt;COUNTIFS($K$1:T$1,"&lt;&gt;"),0,SUMIFS($J:$J,$B:$B,$B374,$A:$A,"&gt;="&amp;COUNTIFS($K$1:T$1,"&lt;&gt;"))),0)</f>
        <v>0</v>
      </c>
      <c r="U374">
        <f>IFERROR($J374/IF($A374&lt;COUNTIFS($K$1:U$1,"&lt;&gt;"),0,SUMIFS($J:$J,$B:$B,$B374,$A:$A,"&gt;="&amp;COUNTIFS($K$1:U$1,"&lt;&gt;"))),0)</f>
        <v>0</v>
      </c>
      <c r="V374">
        <f>IFERROR($J374/IF($A374&lt;COUNTIFS($K$1:V$1,"&lt;&gt;"),0,SUMIFS($J:$J,$B:$B,$B374,$A:$A,"&gt;="&amp;COUNTIFS($K$1:V$1,"&lt;&gt;"))),0)</f>
        <v>0</v>
      </c>
      <c r="W374">
        <f t="shared" si="134"/>
        <v>8.4931506849315067E-2</v>
      </c>
      <c r="X374">
        <f t="shared" si="114"/>
        <v>8.4931506849315067E-2</v>
      </c>
      <c r="Y374">
        <f t="shared" si="115"/>
        <v>8.4931506849315067E-2</v>
      </c>
      <c r="Z374">
        <f t="shared" si="116"/>
        <v>8.4931506849315067E-2</v>
      </c>
      <c r="AA374">
        <f t="shared" si="117"/>
        <v>8.4931506849315067E-2</v>
      </c>
      <c r="AB374">
        <f t="shared" si="118"/>
        <v>8.4931506849315067E-2</v>
      </c>
      <c r="AC374">
        <f t="shared" si="119"/>
        <v>8.4931506849315067E-2</v>
      </c>
      <c r="AD374">
        <f t="shared" si="120"/>
        <v>8.4931506849315067E-2</v>
      </c>
      <c r="AE374">
        <f t="shared" si="121"/>
        <v>8.4931506849315067E-2</v>
      </c>
      <c r="AF374">
        <f t="shared" si="122"/>
        <v>0</v>
      </c>
      <c r="AG374">
        <f t="shared" si="123"/>
        <v>0</v>
      </c>
      <c r="AH374">
        <f t="shared" si="124"/>
        <v>0</v>
      </c>
      <c r="AI374">
        <f t="shared" si="125"/>
        <v>0</v>
      </c>
      <c r="AJ374" s="2" t="str">
        <f t="shared" si="135"/>
        <v>844682</v>
      </c>
    </row>
    <row r="375" spans="1:36" x14ac:dyDescent="0.25">
      <c r="A375">
        <v>9</v>
      </c>
      <c r="B375" s="1">
        <v>44682</v>
      </c>
      <c r="C375" s="1">
        <f t="shared" si="126"/>
        <v>44958</v>
      </c>
      <c r="D375" s="1">
        <f t="shared" si="127"/>
        <v>44696</v>
      </c>
      <c r="E375" s="1">
        <f t="shared" si="128"/>
        <v>44958</v>
      </c>
      <c r="F375" s="1">
        <f t="shared" si="129"/>
        <v>44986</v>
      </c>
      <c r="G375" s="1">
        <f t="shared" si="130"/>
        <v>45061</v>
      </c>
      <c r="H375">
        <f t="shared" si="131"/>
        <v>365</v>
      </c>
      <c r="I375">
        <f t="shared" si="132"/>
        <v>28</v>
      </c>
      <c r="J375">
        <f t="shared" si="133"/>
        <v>7.6712328767123292E-2</v>
      </c>
      <c r="K375">
        <f>IFERROR($J375/IF($A375&lt;COUNTIFS($K$1:K$1,"&lt;&gt;"),0,SUMIFS($J:$J,$B:$B,$B375,$A:$A,"&gt;="&amp;COUNTIFS($K$1:K$1,"&lt;&gt;"))),0)</f>
        <v>8.0459770114942541E-2</v>
      </c>
      <c r="L375">
        <f>IFERROR($J375/IF($A375&lt;COUNTIFS($K$1:L$1,"&lt;&gt;"),0,SUMIFS($J:$J,$B:$B,$B375,$A:$A,"&gt;="&amp;COUNTIFS($K$1:L$1,"&lt;&gt;"))),0)</f>
        <v>8.8050314465408827E-2</v>
      </c>
      <c r="M375">
        <f>IFERROR($J375/IF($A375&lt;COUNTIFS($K$1:M$1,"&lt;&gt;"),0,SUMIFS($J:$J,$B:$B,$B375,$A:$A,"&gt;="&amp;COUNTIFS($K$1:M$1,"&lt;&gt;"))),0)</f>
        <v>9.7560975609756115E-2</v>
      </c>
      <c r="N375">
        <f>IFERROR($J375/IF($A375&lt;COUNTIFS($K$1:N$1,"&lt;&gt;"),0,SUMIFS($J:$J,$B:$B,$B375,$A:$A,"&gt;="&amp;COUNTIFS($K$1:N$1,"&lt;&gt;"))),0)</f>
        <v>0.10937500000000003</v>
      </c>
      <c r="O375">
        <f>IFERROR($J375/IF($A375&lt;COUNTIFS($K$1:O$1,"&lt;&gt;"),0,SUMIFS($J:$J,$B:$B,$B375,$A:$A,"&gt;="&amp;COUNTIFS($K$1:O$1,"&lt;&gt;"))),0)</f>
        <v>0.12389380530973454</v>
      </c>
      <c r="P375">
        <f>IFERROR($J375/IF($A375&lt;COUNTIFS($K$1:P$1,"&lt;&gt;"),0,SUMIFS($J:$J,$B:$B,$B375,$A:$A,"&gt;="&amp;COUNTIFS($K$1:P$1,"&lt;&gt;"))),0)</f>
        <v>0.14358974358974361</v>
      </c>
      <c r="Q375">
        <f>IFERROR($J375/IF($A375&lt;COUNTIFS($K$1:Q$1,"&lt;&gt;"),0,SUMIFS($J:$J,$B:$B,$B375,$A:$A,"&gt;="&amp;COUNTIFS($K$1:Q$1,"&lt;&gt;"))),0)</f>
        <v>0.16969696969696971</v>
      </c>
      <c r="R375">
        <f>IFERROR($J375/IF($A375&lt;COUNTIFS($K$1:R$1,"&lt;&gt;"),0,SUMIFS($J:$J,$B:$B,$B375,$A:$A,"&gt;="&amp;COUNTIFS($K$1:R$1,"&lt;&gt;"))),0)</f>
        <v>0.20895522388059704</v>
      </c>
      <c r="S375">
        <f>IFERROR($J375/IF($A375&lt;COUNTIFS($K$1:S$1,"&lt;&gt;"),0,SUMIFS($J:$J,$B:$B,$B375,$A:$A,"&gt;="&amp;COUNTIFS($K$1:S$1,"&lt;&gt;"))),0)</f>
        <v>0.27184466019417475</v>
      </c>
      <c r="T375">
        <f>IFERROR($J375/IF($A375&lt;COUNTIFS($K$1:T$1,"&lt;&gt;"),0,SUMIFS($J:$J,$B:$B,$B375,$A:$A,"&gt;="&amp;COUNTIFS($K$1:T$1,"&lt;&gt;"))),0)</f>
        <v>0</v>
      </c>
      <c r="U375">
        <f>IFERROR($J375/IF($A375&lt;COUNTIFS($K$1:U$1,"&lt;&gt;"),0,SUMIFS($J:$J,$B:$B,$B375,$A:$A,"&gt;="&amp;COUNTIFS($K$1:U$1,"&lt;&gt;"))),0)</f>
        <v>0</v>
      </c>
      <c r="V375">
        <f>IFERROR($J375/IF($A375&lt;COUNTIFS($K$1:V$1,"&lt;&gt;"),0,SUMIFS($J:$J,$B:$B,$B375,$A:$A,"&gt;="&amp;COUNTIFS($K$1:V$1,"&lt;&gt;"))),0)</f>
        <v>0</v>
      </c>
      <c r="W375">
        <f t="shared" si="134"/>
        <v>7.6712328767123292E-2</v>
      </c>
      <c r="X375">
        <f t="shared" si="114"/>
        <v>7.6712328767123292E-2</v>
      </c>
      <c r="Y375">
        <f t="shared" si="115"/>
        <v>7.6712328767123292E-2</v>
      </c>
      <c r="Z375">
        <f t="shared" si="116"/>
        <v>7.6712328767123292E-2</v>
      </c>
      <c r="AA375">
        <f t="shared" si="117"/>
        <v>7.6712328767123292E-2</v>
      </c>
      <c r="AB375">
        <f t="shared" si="118"/>
        <v>7.6712328767123292E-2</v>
      </c>
      <c r="AC375">
        <f t="shared" si="119"/>
        <v>7.6712328767123292E-2</v>
      </c>
      <c r="AD375">
        <f t="shared" si="120"/>
        <v>7.6712328767123292E-2</v>
      </c>
      <c r="AE375">
        <f t="shared" si="121"/>
        <v>7.6712328767123292E-2</v>
      </c>
      <c r="AF375">
        <f t="shared" si="122"/>
        <v>7.6712328767123292E-2</v>
      </c>
      <c r="AG375">
        <f t="shared" si="123"/>
        <v>0</v>
      </c>
      <c r="AH375">
        <f t="shared" si="124"/>
        <v>0</v>
      </c>
      <c r="AI375">
        <f t="shared" si="125"/>
        <v>0</v>
      </c>
      <c r="AJ375" s="2" t="str">
        <f t="shared" si="135"/>
        <v>944682</v>
      </c>
    </row>
    <row r="376" spans="1:36" x14ac:dyDescent="0.25">
      <c r="A376">
        <v>10</v>
      </c>
      <c r="B376" s="1">
        <v>44682</v>
      </c>
      <c r="C376" s="1">
        <f t="shared" si="126"/>
        <v>44986</v>
      </c>
      <c r="D376" s="1">
        <f t="shared" si="127"/>
        <v>44696</v>
      </c>
      <c r="E376" s="1">
        <f t="shared" si="128"/>
        <v>44986</v>
      </c>
      <c r="F376" s="1">
        <f t="shared" si="129"/>
        <v>45017</v>
      </c>
      <c r="G376" s="1">
        <f t="shared" si="130"/>
        <v>45061</v>
      </c>
      <c r="H376">
        <f t="shared" si="131"/>
        <v>365</v>
      </c>
      <c r="I376">
        <f t="shared" si="132"/>
        <v>31</v>
      </c>
      <c r="J376">
        <f t="shared" si="133"/>
        <v>8.4931506849315067E-2</v>
      </c>
      <c r="K376">
        <f>IFERROR($J376/IF($A376&lt;COUNTIFS($K$1:K$1,"&lt;&gt;"),0,SUMIFS($J:$J,$B:$B,$B376,$A:$A,"&gt;="&amp;COUNTIFS($K$1:K$1,"&lt;&gt;"))),0)</f>
        <v>8.9080459770114959E-2</v>
      </c>
      <c r="L376">
        <f>IFERROR($J376/IF($A376&lt;COUNTIFS($K$1:L$1,"&lt;&gt;"),0,SUMIFS($J:$J,$B:$B,$B376,$A:$A,"&gt;="&amp;COUNTIFS($K$1:L$1,"&lt;&gt;"))),0)</f>
        <v>9.7484276729559768E-2</v>
      </c>
      <c r="M376">
        <f>IFERROR($J376/IF($A376&lt;COUNTIFS($K$1:M$1,"&lt;&gt;"),0,SUMIFS($J:$J,$B:$B,$B376,$A:$A,"&gt;="&amp;COUNTIFS($K$1:M$1,"&lt;&gt;"))),0)</f>
        <v>0.10801393728222998</v>
      </c>
      <c r="N376">
        <f>IFERROR($J376/IF($A376&lt;COUNTIFS($K$1:N$1,"&lt;&gt;"),0,SUMIFS($J:$J,$B:$B,$B376,$A:$A,"&gt;="&amp;COUNTIFS($K$1:N$1,"&lt;&gt;"))),0)</f>
        <v>0.12109375000000001</v>
      </c>
      <c r="O376">
        <f>IFERROR($J376/IF($A376&lt;COUNTIFS($K$1:O$1,"&lt;&gt;"),0,SUMIFS($J:$J,$B:$B,$B376,$A:$A,"&gt;="&amp;COUNTIFS($K$1:O$1,"&lt;&gt;"))),0)</f>
        <v>0.13716814159292037</v>
      </c>
      <c r="P376">
        <f>IFERROR($J376/IF($A376&lt;COUNTIFS($K$1:P$1,"&lt;&gt;"),0,SUMIFS($J:$J,$B:$B,$B376,$A:$A,"&gt;="&amp;COUNTIFS($K$1:P$1,"&lt;&gt;"))),0)</f>
        <v>0.15897435897435899</v>
      </c>
      <c r="Q376">
        <f>IFERROR($J376/IF($A376&lt;COUNTIFS($K$1:Q$1,"&lt;&gt;"),0,SUMIFS($J:$J,$B:$B,$B376,$A:$A,"&gt;="&amp;COUNTIFS($K$1:Q$1,"&lt;&gt;"))),0)</f>
        <v>0.1878787878787879</v>
      </c>
      <c r="R376">
        <f>IFERROR($J376/IF($A376&lt;COUNTIFS($K$1:R$1,"&lt;&gt;"),0,SUMIFS($J:$J,$B:$B,$B376,$A:$A,"&gt;="&amp;COUNTIFS($K$1:R$1,"&lt;&gt;"))),0)</f>
        <v>0.23134328358208955</v>
      </c>
      <c r="S376">
        <f>IFERROR($J376/IF($A376&lt;COUNTIFS($K$1:S$1,"&lt;&gt;"),0,SUMIFS($J:$J,$B:$B,$B376,$A:$A,"&gt;="&amp;COUNTIFS($K$1:S$1,"&lt;&gt;"))),0)</f>
        <v>0.30097087378640774</v>
      </c>
      <c r="T376">
        <f>IFERROR($J376/IF($A376&lt;COUNTIFS($K$1:T$1,"&lt;&gt;"),0,SUMIFS($J:$J,$B:$B,$B376,$A:$A,"&gt;="&amp;COUNTIFS($K$1:T$1,"&lt;&gt;"))),0)</f>
        <v>0.41333333333333333</v>
      </c>
      <c r="U376">
        <f>IFERROR($J376/IF($A376&lt;COUNTIFS($K$1:U$1,"&lt;&gt;"),0,SUMIFS($J:$J,$B:$B,$B376,$A:$A,"&gt;="&amp;COUNTIFS($K$1:U$1,"&lt;&gt;"))),0)</f>
        <v>0</v>
      </c>
      <c r="V376">
        <f>IFERROR($J376/IF($A376&lt;COUNTIFS($K$1:V$1,"&lt;&gt;"),0,SUMIFS($J:$J,$B:$B,$B376,$A:$A,"&gt;="&amp;COUNTIFS($K$1:V$1,"&lt;&gt;"))),0)</f>
        <v>0</v>
      </c>
      <c r="W376">
        <f t="shared" si="134"/>
        <v>8.4931506849315067E-2</v>
      </c>
      <c r="X376">
        <f t="shared" si="114"/>
        <v>8.4931506849315067E-2</v>
      </c>
      <c r="Y376">
        <f t="shared" si="115"/>
        <v>8.4931506849315067E-2</v>
      </c>
      <c r="Z376">
        <f t="shared" si="116"/>
        <v>8.4931506849315067E-2</v>
      </c>
      <c r="AA376">
        <f t="shared" si="117"/>
        <v>8.4931506849315067E-2</v>
      </c>
      <c r="AB376">
        <f t="shared" si="118"/>
        <v>8.4931506849315067E-2</v>
      </c>
      <c r="AC376">
        <f t="shared" si="119"/>
        <v>8.4931506849315067E-2</v>
      </c>
      <c r="AD376">
        <f t="shared" si="120"/>
        <v>8.4931506849315067E-2</v>
      </c>
      <c r="AE376">
        <f t="shared" si="121"/>
        <v>8.4931506849315067E-2</v>
      </c>
      <c r="AF376">
        <f t="shared" si="122"/>
        <v>8.4931506849315067E-2</v>
      </c>
      <c r="AG376">
        <f t="shared" si="123"/>
        <v>8.4931506849315067E-2</v>
      </c>
      <c r="AH376">
        <f t="shared" si="124"/>
        <v>0</v>
      </c>
      <c r="AI376">
        <f t="shared" si="125"/>
        <v>0</v>
      </c>
      <c r="AJ376" s="2" t="str">
        <f t="shared" si="135"/>
        <v>1044682</v>
      </c>
    </row>
    <row r="377" spans="1:36" x14ac:dyDescent="0.25">
      <c r="A377">
        <v>11</v>
      </c>
      <c r="B377" s="1">
        <v>44682</v>
      </c>
      <c r="C377" s="1">
        <f t="shared" si="126"/>
        <v>45017</v>
      </c>
      <c r="D377" s="1">
        <f t="shared" si="127"/>
        <v>44696</v>
      </c>
      <c r="E377" s="1">
        <f t="shared" si="128"/>
        <v>45017</v>
      </c>
      <c r="F377" s="1">
        <f t="shared" si="129"/>
        <v>45047</v>
      </c>
      <c r="G377" s="1">
        <f t="shared" si="130"/>
        <v>45061</v>
      </c>
      <c r="H377">
        <f t="shared" si="131"/>
        <v>365</v>
      </c>
      <c r="I377">
        <f t="shared" si="132"/>
        <v>30</v>
      </c>
      <c r="J377">
        <f t="shared" si="133"/>
        <v>8.2191780821917804E-2</v>
      </c>
      <c r="K377">
        <f>IFERROR($J377/IF($A377&lt;COUNTIFS($K$1:K$1,"&lt;&gt;"),0,SUMIFS($J:$J,$B:$B,$B377,$A:$A,"&gt;="&amp;COUNTIFS($K$1:K$1,"&lt;&gt;"))),0)</f>
        <v>8.6206896551724144E-2</v>
      </c>
      <c r="L377">
        <f>IFERROR($J377/IF($A377&lt;COUNTIFS($K$1:L$1,"&lt;&gt;"),0,SUMIFS($J:$J,$B:$B,$B377,$A:$A,"&gt;="&amp;COUNTIFS($K$1:L$1,"&lt;&gt;"))),0)</f>
        <v>9.4339622641509441E-2</v>
      </c>
      <c r="M377">
        <f>IFERROR($J377/IF($A377&lt;COUNTIFS($K$1:M$1,"&lt;&gt;"),0,SUMIFS($J:$J,$B:$B,$B377,$A:$A,"&gt;="&amp;COUNTIFS($K$1:M$1,"&lt;&gt;"))),0)</f>
        <v>0.10452961672473869</v>
      </c>
      <c r="N377">
        <f>IFERROR($J377/IF($A377&lt;COUNTIFS($K$1:N$1,"&lt;&gt;"),0,SUMIFS($J:$J,$B:$B,$B377,$A:$A,"&gt;="&amp;COUNTIFS($K$1:N$1,"&lt;&gt;"))),0)</f>
        <v>0.11718750000000001</v>
      </c>
      <c r="O377">
        <f>IFERROR($J377/IF($A377&lt;COUNTIFS($K$1:O$1,"&lt;&gt;"),0,SUMIFS($J:$J,$B:$B,$B377,$A:$A,"&gt;="&amp;COUNTIFS($K$1:O$1,"&lt;&gt;"))),0)</f>
        <v>0.13274336283185842</v>
      </c>
      <c r="P377">
        <f>IFERROR($J377/IF($A377&lt;COUNTIFS($K$1:P$1,"&lt;&gt;"),0,SUMIFS($J:$J,$B:$B,$B377,$A:$A,"&gt;="&amp;COUNTIFS($K$1:P$1,"&lt;&gt;"))),0)</f>
        <v>0.15384615384615385</v>
      </c>
      <c r="Q377">
        <f>IFERROR($J377/IF($A377&lt;COUNTIFS($K$1:Q$1,"&lt;&gt;"),0,SUMIFS($J:$J,$B:$B,$B377,$A:$A,"&gt;="&amp;COUNTIFS($K$1:Q$1,"&lt;&gt;"))),0)</f>
        <v>0.18181818181818182</v>
      </c>
      <c r="R377">
        <f>IFERROR($J377/IF($A377&lt;COUNTIFS($K$1:R$1,"&lt;&gt;"),0,SUMIFS($J:$J,$B:$B,$B377,$A:$A,"&gt;="&amp;COUNTIFS($K$1:R$1,"&lt;&gt;"))),0)</f>
        <v>0.22388059701492535</v>
      </c>
      <c r="S377">
        <f>IFERROR($J377/IF($A377&lt;COUNTIFS($K$1:S$1,"&lt;&gt;"),0,SUMIFS($J:$J,$B:$B,$B377,$A:$A,"&gt;="&amp;COUNTIFS($K$1:S$1,"&lt;&gt;"))),0)</f>
        <v>0.29126213592233008</v>
      </c>
      <c r="T377">
        <f>IFERROR($J377/IF($A377&lt;COUNTIFS($K$1:T$1,"&lt;&gt;"),0,SUMIFS($J:$J,$B:$B,$B377,$A:$A,"&gt;="&amp;COUNTIFS($K$1:T$1,"&lt;&gt;"))),0)</f>
        <v>0.4</v>
      </c>
      <c r="U377">
        <f>IFERROR($J377/IF($A377&lt;COUNTIFS($K$1:U$1,"&lt;&gt;"),0,SUMIFS($J:$J,$B:$B,$B377,$A:$A,"&gt;="&amp;COUNTIFS($K$1:U$1,"&lt;&gt;"))),0)</f>
        <v>0.68181818181818177</v>
      </c>
      <c r="V377">
        <f>IFERROR($J377/IF($A377&lt;COUNTIFS($K$1:V$1,"&lt;&gt;"),0,SUMIFS($J:$J,$B:$B,$B377,$A:$A,"&gt;="&amp;COUNTIFS($K$1:V$1,"&lt;&gt;"))),0)</f>
        <v>0</v>
      </c>
      <c r="W377">
        <f t="shared" si="134"/>
        <v>8.2191780821917804E-2</v>
      </c>
      <c r="X377">
        <f t="shared" si="114"/>
        <v>8.2191780821917804E-2</v>
      </c>
      <c r="Y377">
        <f t="shared" si="115"/>
        <v>8.2191780821917804E-2</v>
      </c>
      <c r="Z377">
        <f t="shared" si="116"/>
        <v>8.2191780821917804E-2</v>
      </c>
      <c r="AA377">
        <f t="shared" si="117"/>
        <v>8.2191780821917804E-2</v>
      </c>
      <c r="AB377">
        <f t="shared" si="118"/>
        <v>8.2191780821917804E-2</v>
      </c>
      <c r="AC377">
        <f t="shared" si="119"/>
        <v>8.2191780821917804E-2</v>
      </c>
      <c r="AD377">
        <f t="shared" si="120"/>
        <v>8.2191780821917804E-2</v>
      </c>
      <c r="AE377">
        <f t="shared" si="121"/>
        <v>8.2191780821917804E-2</v>
      </c>
      <c r="AF377">
        <f t="shared" si="122"/>
        <v>8.2191780821917804E-2</v>
      </c>
      <c r="AG377">
        <f t="shared" si="123"/>
        <v>8.2191780821917804E-2</v>
      </c>
      <c r="AH377">
        <f t="shared" si="124"/>
        <v>8.2191780821917804E-2</v>
      </c>
      <c r="AI377">
        <f t="shared" si="125"/>
        <v>0</v>
      </c>
      <c r="AJ377" s="2" t="str">
        <f t="shared" si="135"/>
        <v>1144682</v>
      </c>
    </row>
    <row r="378" spans="1:36" x14ac:dyDescent="0.25">
      <c r="A378">
        <v>12</v>
      </c>
      <c r="B378" s="1">
        <v>44682</v>
      </c>
      <c r="C378" s="1">
        <f t="shared" si="126"/>
        <v>45047</v>
      </c>
      <c r="D378" s="1">
        <f t="shared" si="127"/>
        <v>44696</v>
      </c>
      <c r="E378" s="1">
        <f t="shared" si="128"/>
        <v>45047</v>
      </c>
      <c r="F378" s="1">
        <f t="shared" si="129"/>
        <v>45061</v>
      </c>
      <c r="G378" s="1">
        <f t="shared" si="130"/>
        <v>45061</v>
      </c>
      <c r="H378">
        <f t="shared" si="131"/>
        <v>365</v>
      </c>
      <c r="I378">
        <f t="shared" si="132"/>
        <v>14</v>
      </c>
      <c r="J378">
        <f t="shared" si="133"/>
        <v>3.8356164383561646E-2</v>
      </c>
      <c r="K378">
        <f>IFERROR($J378/IF($A378&lt;COUNTIFS($K$1:K$1,"&lt;&gt;"),0,SUMIFS($J:$J,$B:$B,$B378,$A:$A,"&gt;="&amp;COUNTIFS($K$1:K$1,"&lt;&gt;"))),0)</f>
        <v>4.0229885057471271E-2</v>
      </c>
      <c r="L378">
        <f>IFERROR($J378/IF($A378&lt;COUNTIFS($K$1:L$1,"&lt;&gt;"),0,SUMIFS($J:$J,$B:$B,$B378,$A:$A,"&gt;="&amp;COUNTIFS($K$1:L$1,"&lt;&gt;"))),0)</f>
        <v>4.4025157232704414E-2</v>
      </c>
      <c r="M378">
        <f>IFERROR($J378/IF($A378&lt;COUNTIFS($K$1:M$1,"&lt;&gt;"),0,SUMIFS($J:$J,$B:$B,$B378,$A:$A,"&gt;="&amp;COUNTIFS($K$1:M$1,"&lt;&gt;"))),0)</f>
        <v>4.8780487804878057E-2</v>
      </c>
      <c r="N378">
        <f>IFERROR($J378/IF($A378&lt;COUNTIFS($K$1:N$1,"&lt;&gt;"),0,SUMIFS($J:$J,$B:$B,$B378,$A:$A,"&gt;="&amp;COUNTIFS($K$1:N$1,"&lt;&gt;"))),0)</f>
        <v>5.4687500000000014E-2</v>
      </c>
      <c r="O378">
        <f>IFERROR($J378/IF($A378&lt;COUNTIFS($K$1:O$1,"&lt;&gt;"),0,SUMIFS($J:$J,$B:$B,$B378,$A:$A,"&gt;="&amp;COUNTIFS($K$1:O$1,"&lt;&gt;"))),0)</f>
        <v>6.194690265486727E-2</v>
      </c>
      <c r="P378">
        <f>IFERROR($J378/IF($A378&lt;COUNTIFS($K$1:P$1,"&lt;&gt;"),0,SUMIFS($J:$J,$B:$B,$B378,$A:$A,"&gt;="&amp;COUNTIFS($K$1:P$1,"&lt;&gt;"))),0)</f>
        <v>7.1794871794871803E-2</v>
      </c>
      <c r="Q378">
        <f>IFERROR($J378/IF($A378&lt;COUNTIFS($K$1:Q$1,"&lt;&gt;"),0,SUMIFS($J:$J,$B:$B,$B378,$A:$A,"&gt;="&amp;COUNTIFS($K$1:Q$1,"&lt;&gt;"))),0)</f>
        <v>8.4848484848484854E-2</v>
      </c>
      <c r="R378">
        <f>IFERROR($J378/IF($A378&lt;COUNTIFS($K$1:R$1,"&lt;&gt;"),0,SUMIFS($J:$J,$B:$B,$B378,$A:$A,"&gt;="&amp;COUNTIFS($K$1:R$1,"&lt;&gt;"))),0)</f>
        <v>0.10447761194029852</v>
      </c>
      <c r="S378">
        <f>IFERROR($J378/IF($A378&lt;COUNTIFS($K$1:S$1,"&lt;&gt;"),0,SUMIFS($J:$J,$B:$B,$B378,$A:$A,"&gt;="&amp;COUNTIFS($K$1:S$1,"&lt;&gt;"))),0)</f>
        <v>0.13592233009708737</v>
      </c>
      <c r="T378">
        <f>IFERROR($J378/IF($A378&lt;COUNTIFS($K$1:T$1,"&lt;&gt;"),0,SUMIFS($J:$J,$B:$B,$B378,$A:$A,"&gt;="&amp;COUNTIFS($K$1:T$1,"&lt;&gt;"))),0)</f>
        <v>0.18666666666666668</v>
      </c>
      <c r="U378">
        <f>IFERROR($J378/IF($A378&lt;COUNTIFS($K$1:U$1,"&lt;&gt;"),0,SUMIFS($J:$J,$B:$B,$B378,$A:$A,"&gt;="&amp;COUNTIFS($K$1:U$1,"&lt;&gt;"))),0)</f>
        <v>0.31818181818181818</v>
      </c>
      <c r="V378">
        <f>IFERROR($J378/IF($A378&lt;COUNTIFS($K$1:V$1,"&lt;&gt;"),0,SUMIFS($J:$J,$B:$B,$B378,$A:$A,"&gt;="&amp;COUNTIFS($K$1:V$1,"&lt;&gt;"))),0)</f>
        <v>1</v>
      </c>
      <c r="W378">
        <f t="shared" si="134"/>
        <v>3.8356164383561646E-2</v>
      </c>
      <c r="X378">
        <f t="shared" si="114"/>
        <v>3.8356164383561646E-2</v>
      </c>
      <c r="Y378">
        <f t="shared" si="115"/>
        <v>3.8356164383561646E-2</v>
      </c>
      <c r="Z378">
        <f t="shared" si="116"/>
        <v>3.8356164383561646E-2</v>
      </c>
      <c r="AA378">
        <f t="shared" si="117"/>
        <v>3.8356164383561646E-2</v>
      </c>
      <c r="AB378">
        <f t="shared" si="118"/>
        <v>3.8356164383561646E-2</v>
      </c>
      <c r="AC378">
        <f t="shared" si="119"/>
        <v>3.8356164383561646E-2</v>
      </c>
      <c r="AD378">
        <f t="shared" si="120"/>
        <v>3.8356164383561646E-2</v>
      </c>
      <c r="AE378">
        <f t="shared" si="121"/>
        <v>3.8356164383561646E-2</v>
      </c>
      <c r="AF378">
        <f t="shared" si="122"/>
        <v>3.8356164383561646E-2</v>
      </c>
      <c r="AG378">
        <f t="shared" si="123"/>
        <v>3.8356164383561646E-2</v>
      </c>
      <c r="AH378">
        <f t="shared" si="124"/>
        <v>3.8356164383561646E-2</v>
      </c>
      <c r="AI378">
        <f t="shared" si="125"/>
        <v>3.8356164383561646E-2</v>
      </c>
      <c r="AJ378" s="2" t="str">
        <f t="shared" si="135"/>
        <v>1244682</v>
      </c>
    </row>
    <row r="379" spans="1:36" x14ac:dyDescent="0.25">
      <c r="A379">
        <v>0</v>
      </c>
      <c r="B379" s="1">
        <v>44713</v>
      </c>
      <c r="C379" s="1">
        <f t="shared" si="126"/>
        <v>44713</v>
      </c>
      <c r="D379" s="1">
        <f t="shared" si="127"/>
        <v>44727</v>
      </c>
      <c r="E379" s="1">
        <f t="shared" si="128"/>
        <v>44727</v>
      </c>
      <c r="F379" s="1">
        <f t="shared" si="129"/>
        <v>44743</v>
      </c>
      <c r="G379" s="1">
        <f t="shared" si="130"/>
        <v>45092</v>
      </c>
      <c r="H379">
        <f t="shared" si="131"/>
        <v>365</v>
      </c>
      <c r="I379">
        <f t="shared" si="132"/>
        <v>16</v>
      </c>
      <c r="J379">
        <f t="shared" si="133"/>
        <v>4.3835616438356165E-2</v>
      </c>
      <c r="K379">
        <f>IFERROR($J379/IF($A379&lt;COUNTIFS($K$1:K$1,"&lt;&gt;"),0,SUMIFS($J:$J,$B:$B,$B379,$A:$A,"&gt;="&amp;COUNTIFS($K$1:K$1,"&lt;&gt;"))),0)</f>
        <v>0</v>
      </c>
      <c r="L379">
        <f>IFERROR($J379/IF($A379&lt;COUNTIFS($K$1:L$1,"&lt;&gt;"),0,SUMIFS($J:$J,$B:$B,$B379,$A:$A,"&gt;="&amp;COUNTIFS($K$1:L$1,"&lt;&gt;"))),0)</f>
        <v>0</v>
      </c>
      <c r="M379">
        <f>IFERROR($J379/IF($A379&lt;COUNTIFS($K$1:M$1,"&lt;&gt;"),0,SUMIFS($J:$J,$B:$B,$B379,$A:$A,"&gt;="&amp;COUNTIFS($K$1:M$1,"&lt;&gt;"))),0)</f>
        <v>0</v>
      </c>
      <c r="N379">
        <f>IFERROR($J379/IF($A379&lt;COUNTIFS($K$1:N$1,"&lt;&gt;"),0,SUMIFS($J:$J,$B:$B,$B379,$A:$A,"&gt;="&amp;COUNTIFS($K$1:N$1,"&lt;&gt;"))),0)</f>
        <v>0</v>
      </c>
      <c r="O379">
        <f>IFERROR($J379/IF($A379&lt;COUNTIFS($K$1:O$1,"&lt;&gt;"),0,SUMIFS($J:$J,$B:$B,$B379,$A:$A,"&gt;="&amp;COUNTIFS($K$1:O$1,"&lt;&gt;"))),0)</f>
        <v>0</v>
      </c>
      <c r="P379">
        <f>IFERROR($J379/IF($A379&lt;COUNTIFS($K$1:P$1,"&lt;&gt;"),0,SUMIFS($J:$J,$B:$B,$B379,$A:$A,"&gt;="&amp;COUNTIFS($K$1:P$1,"&lt;&gt;"))),0)</f>
        <v>0</v>
      </c>
      <c r="Q379">
        <f>IFERROR($J379/IF($A379&lt;COUNTIFS($K$1:Q$1,"&lt;&gt;"),0,SUMIFS($J:$J,$B:$B,$B379,$A:$A,"&gt;="&amp;COUNTIFS($K$1:Q$1,"&lt;&gt;"))),0)</f>
        <v>0</v>
      </c>
      <c r="R379">
        <f>IFERROR($J379/IF($A379&lt;COUNTIFS($K$1:R$1,"&lt;&gt;"),0,SUMIFS($J:$J,$B:$B,$B379,$A:$A,"&gt;="&amp;COUNTIFS($K$1:R$1,"&lt;&gt;"))),0)</f>
        <v>0</v>
      </c>
      <c r="S379">
        <f>IFERROR($J379/IF($A379&lt;COUNTIFS($K$1:S$1,"&lt;&gt;"),0,SUMIFS($J:$J,$B:$B,$B379,$A:$A,"&gt;="&amp;COUNTIFS($K$1:S$1,"&lt;&gt;"))),0)</f>
        <v>0</v>
      </c>
      <c r="T379">
        <f>IFERROR($J379/IF($A379&lt;COUNTIFS($K$1:T$1,"&lt;&gt;"),0,SUMIFS($J:$J,$B:$B,$B379,$A:$A,"&gt;="&amp;COUNTIFS($K$1:T$1,"&lt;&gt;"))),0)</f>
        <v>0</v>
      </c>
      <c r="U379">
        <f>IFERROR($J379/IF($A379&lt;COUNTIFS($K$1:U$1,"&lt;&gt;"),0,SUMIFS($J:$J,$B:$B,$B379,$A:$A,"&gt;="&amp;COUNTIFS($K$1:U$1,"&lt;&gt;"))),0)</f>
        <v>0</v>
      </c>
      <c r="V379">
        <f>IFERROR($J379/IF($A379&lt;COUNTIFS($K$1:V$1,"&lt;&gt;"),0,SUMIFS($J:$J,$B:$B,$B379,$A:$A,"&gt;="&amp;COUNTIFS($K$1:V$1,"&lt;&gt;"))),0)</f>
        <v>0</v>
      </c>
      <c r="W379">
        <f t="shared" si="134"/>
        <v>4.3835616438356165E-2</v>
      </c>
      <c r="X379">
        <f t="shared" si="114"/>
        <v>0</v>
      </c>
      <c r="Y379">
        <f t="shared" si="115"/>
        <v>0</v>
      </c>
      <c r="Z379">
        <f t="shared" si="116"/>
        <v>0</v>
      </c>
      <c r="AA379">
        <f t="shared" si="117"/>
        <v>0</v>
      </c>
      <c r="AB379">
        <f t="shared" si="118"/>
        <v>0</v>
      </c>
      <c r="AC379">
        <f t="shared" si="119"/>
        <v>0</v>
      </c>
      <c r="AD379">
        <f t="shared" si="120"/>
        <v>0</v>
      </c>
      <c r="AE379">
        <f t="shared" si="121"/>
        <v>0</v>
      </c>
      <c r="AF379">
        <f t="shared" si="122"/>
        <v>0</v>
      </c>
      <c r="AG379">
        <f t="shared" si="123"/>
        <v>0</v>
      </c>
      <c r="AH379">
        <f t="shared" si="124"/>
        <v>0</v>
      </c>
      <c r="AI379">
        <f t="shared" si="125"/>
        <v>0</v>
      </c>
      <c r="AJ379" s="2" t="str">
        <f t="shared" si="135"/>
        <v>044713</v>
      </c>
    </row>
    <row r="380" spans="1:36" x14ac:dyDescent="0.25">
      <c r="A380">
        <v>1</v>
      </c>
      <c r="B380" s="1">
        <v>44713</v>
      </c>
      <c r="C380" s="1">
        <f t="shared" si="126"/>
        <v>44743</v>
      </c>
      <c r="D380" s="1">
        <f t="shared" si="127"/>
        <v>44727</v>
      </c>
      <c r="E380" s="1">
        <f t="shared" si="128"/>
        <v>44743</v>
      </c>
      <c r="F380" s="1">
        <f t="shared" si="129"/>
        <v>44774</v>
      </c>
      <c r="G380" s="1">
        <f t="shared" si="130"/>
        <v>45092</v>
      </c>
      <c r="H380">
        <f t="shared" si="131"/>
        <v>365</v>
      </c>
      <c r="I380">
        <f t="shared" si="132"/>
        <v>31</v>
      </c>
      <c r="J380">
        <f t="shared" si="133"/>
        <v>8.4931506849315067E-2</v>
      </c>
      <c r="K380">
        <f>IFERROR($J380/IF($A380&lt;COUNTIFS($K$1:K$1,"&lt;&gt;"),0,SUMIFS($J:$J,$B:$B,$B380,$A:$A,"&gt;="&amp;COUNTIFS($K$1:K$1,"&lt;&gt;"))),0)</f>
        <v>8.8825214899713484E-2</v>
      </c>
      <c r="L380">
        <f>IFERROR($J380/IF($A380&lt;COUNTIFS($K$1:L$1,"&lt;&gt;"),0,SUMIFS($J:$J,$B:$B,$B380,$A:$A,"&gt;="&amp;COUNTIFS($K$1:L$1,"&lt;&gt;"))),0)</f>
        <v>0</v>
      </c>
      <c r="M380">
        <f>IFERROR($J380/IF($A380&lt;COUNTIFS($K$1:M$1,"&lt;&gt;"),0,SUMIFS($J:$J,$B:$B,$B380,$A:$A,"&gt;="&amp;COUNTIFS($K$1:M$1,"&lt;&gt;"))),0)</f>
        <v>0</v>
      </c>
      <c r="N380">
        <f>IFERROR($J380/IF($A380&lt;COUNTIFS($K$1:N$1,"&lt;&gt;"),0,SUMIFS($J:$J,$B:$B,$B380,$A:$A,"&gt;="&amp;COUNTIFS($K$1:N$1,"&lt;&gt;"))),0)</f>
        <v>0</v>
      </c>
      <c r="O380">
        <f>IFERROR($J380/IF($A380&lt;COUNTIFS($K$1:O$1,"&lt;&gt;"),0,SUMIFS($J:$J,$B:$B,$B380,$A:$A,"&gt;="&amp;COUNTIFS($K$1:O$1,"&lt;&gt;"))),0)</f>
        <v>0</v>
      </c>
      <c r="P380">
        <f>IFERROR($J380/IF($A380&lt;COUNTIFS($K$1:P$1,"&lt;&gt;"),0,SUMIFS($J:$J,$B:$B,$B380,$A:$A,"&gt;="&amp;COUNTIFS($K$1:P$1,"&lt;&gt;"))),0)</f>
        <v>0</v>
      </c>
      <c r="Q380">
        <f>IFERROR($J380/IF($A380&lt;COUNTIFS($K$1:Q$1,"&lt;&gt;"),0,SUMIFS($J:$J,$B:$B,$B380,$A:$A,"&gt;="&amp;COUNTIFS($K$1:Q$1,"&lt;&gt;"))),0)</f>
        <v>0</v>
      </c>
      <c r="R380">
        <f>IFERROR($J380/IF($A380&lt;COUNTIFS($K$1:R$1,"&lt;&gt;"),0,SUMIFS($J:$J,$B:$B,$B380,$A:$A,"&gt;="&amp;COUNTIFS($K$1:R$1,"&lt;&gt;"))),0)</f>
        <v>0</v>
      </c>
      <c r="S380">
        <f>IFERROR($J380/IF($A380&lt;COUNTIFS($K$1:S$1,"&lt;&gt;"),0,SUMIFS($J:$J,$B:$B,$B380,$A:$A,"&gt;="&amp;COUNTIFS($K$1:S$1,"&lt;&gt;"))),0)</f>
        <v>0</v>
      </c>
      <c r="T380">
        <f>IFERROR($J380/IF($A380&lt;COUNTIFS($K$1:T$1,"&lt;&gt;"),0,SUMIFS($J:$J,$B:$B,$B380,$A:$A,"&gt;="&amp;COUNTIFS($K$1:T$1,"&lt;&gt;"))),0)</f>
        <v>0</v>
      </c>
      <c r="U380">
        <f>IFERROR($J380/IF($A380&lt;COUNTIFS($K$1:U$1,"&lt;&gt;"),0,SUMIFS($J:$J,$B:$B,$B380,$A:$A,"&gt;="&amp;COUNTIFS($K$1:U$1,"&lt;&gt;"))),0)</f>
        <v>0</v>
      </c>
      <c r="V380">
        <f>IFERROR($J380/IF($A380&lt;COUNTIFS($K$1:V$1,"&lt;&gt;"),0,SUMIFS($J:$J,$B:$B,$B380,$A:$A,"&gt;="&amp;COUNTIFS($K$1:V$1,"&lt;&gt;"))),0)</f>
        <v>0</v>
      </c>
      <c r="W380">
        <f t="shared" si="134"/>
        <v>8.4931506849315067E-2</v>
      </c>
      <c r="X380">
        <f t="shared" si="114"/>
        <v>8.4931506849315067E-2</v>
      </c>
      <c r="Y380">
        <f t="shared" si="115"/>
        <v>0</v>
      </c>
      <c r="Z380">
        <f t="shared" si="116"/>
        <v>0</v>
      </c>
      <c r="AA380">
        <f t="shared" si="117"/>
        <v>0</v>
      </c>
      <c r="AB380">
        <f t="shared" si="118"/>
        <v>0</v>
      </c>
      <c r="AC380">
        <f t="shared" si="119"/>
        <v>0</v>
      </c>
      <c r="AD380">
        <f t="shared" si="120"/>
        <v>0</v>
      </c>
      <c r="AE380">
        <f t="shared" si="121"/>
        <v>0</v>
      </c>
      <c r="AF380">
        <f t="shared" si="122"/>
        <v>0</v>
      </c>
      <c r="AG380">
        <f t="shared" si="123"/>
        <v>0</v>
      </c>
      <c r="AH380">
        <f t="shared" si="124"/>
        <v>0</v>
      </c>
      <c r="AI380">
        <f t="shared" si="125"/>
        <v>0</v>
      </c>
      <c r="AJ380" s="2" t="str">
        <f t="shared" si="135"/>
        <v>144713</v>
      </c>
    </row>
    <row r="381" spans="1:36" x14ac:dyDescent="0.25">
      <c r="A381">
        <v>2</v>
      </c>
      <c r="B381" s="1">
        <v>44713</v>
      </c>
      <c r="C381" s="1">
        <f t="shared" si="126"/>
        <v>44774</v>
      </c>
      <c r="D381" s="1">
        <f t="shared" si="127"/>
        <v>44727</v>
      </c>
      <c r="E381" s="1">
        <f t="shared" si="128"/>
        <v>44774</v>
      </c>
      <c r="F381" s="1">
        <f t="shared" si="129"/>
        <v>44805</v>
      </c>
      <c r="G381" s="1">
        <f t="shared" si="130"/>
        <v>45092</v>
      </c>
      <c r="H381">
        <f t="shared" si="131"/>
        <v>365</v>
      </c>
      <c r="I381">
        <f t="shared" si="132"/>
        <v>31</v>
      </c>
      <c r="J381">
        <f t="shared" si="133"/>
        <v>8.4931506849315067E-2</v>
      </c>
      <c r="K381">
        <f>IFERROR($J381/IF($A381&lt;COUNTIFS($K$1:K$1,"&lt;&gt;"),0,SUMIFS($J:$J,$B:$B,$B381,$A:$A,"&gt;="&amp;COUNTIFS($K$1:K$1,"&lt;&gt;"))),0)</f>
        <v>8.8825214899713484E-2</v>
      </c>
      <c r="L381">
        <f>IFERROR($J381/IF($A381&lt;COUNTIFS($K$1:L$1,"&lt;&gt;"),0,SUMIFS($J:$J,$B:$B,$B381,$A:$A,"&gt;="&amp;COUNTIFS($K$1:L$1,"&lt;&gt;"))),0)</f>
        <v>9.7484276729559768E-2</v>
      </c>
      <c r="M381">
        <f>IFERROR($J381/IF($A381&lt;COUNTIFS($K$1:M$1,"&lt;&gt;"),0,SUMIFS($J:$J,$B:$B,$B381,$A:$A,"&gt;="&amp;COUNTIFS($K$1:M$1,"&lt;&gt;"))),0)</f>
        <v>0</v>
      </c>
      <c r="N381">
        <f>IFERROR($J381/IF($A381&lt;COUNTIFS($K$1:N$1,"&lt;&gt;"),0,SUMIFS($J:$J,$B:$B,$B381,$A:$A,"&gt;="&amp;COUNTIFS($K$1:N$1,"&lt;&gt;"))),0)</f>
        <v>0</v>
      </c>
      <c r="O381">
        <f>IFERROR($J381/IF($A381&lt;COUNTIFS($K$1:O$1,"&lt;&gt;"),0,SUMIFS($J:$J,$B:$B,$B381,$A:$A,"&gt;="&amp;COUNTIFS($K$1:O$1,"&lt;&gt;"))),0)</f>
        <v>0</v>
      </c>
      <c r="P381">
        <f>IFERROR($J381/IF($A381&lt;COUNTIFS($K$1:P$1,"&lt;&gt;"),0,SUMIFS($J:$J,$B:$B,$B381,$A:$A,"&gt;="&amp;COUNTIFS($K$1:P$1,"&lt;&gt;"))),0)</f>
        <v>0</v>
      </c>
      <c r="Q381">
        <f>IFERROR($J381/IF($A381&lt;COUNTIFS($K$1:Q$1,"&lt;&gt;"),0,SUMIFS($J:$J,$B:$B,$B381,$A:$A,"&gt;="&amp;COUNTIFS($K$1:Q$1,"&lt;&gt;"))),0)</f>
        <v>0</v>
      </c>
      <c r="R381">
        <f>IFERROR($J381/IF($A381&lt;COUNTIFS($K$1:R$1,"&lt;&gt;"),0,SUMIFS($J:$J,$B:$B,$B381,$A:$A,"&gt;="&amp;COUNTIFS($K$1:R$1,"&lt;&gt;"))),0)</f>
        <v>0</v>
      </c>
      <c r="S381">
        <f>IFERROR($J381/IF($A381&lt;COUNTIFS($K$1:S$1,"&lt;&gt;"),0,SUMIFS($J:$J,$B:$B,$B381,$A:$A,"&gt;="&amp;COUNTIFS($K$1:S$1,"&lt;&gt;"))),0)</f>
        <v>0</v>
      </c>
      <c r="T381">
        <f>IFERROR($J381/IF($A381&lt;COUNTIFS($K$1:T$1,"&lt;&gt;"),0,SUMIFS($J:$J,$B:$B,$B381,$A:$A,"&gt;="&amp;COUNTIFS($K$1:T$1,"&lt;&gt;"))),0)</f>
        <v>0</v>
      </c>
      <c r="U381">
        <f>IFERROR($J381/IF($A381&lt;COUNTIFS($K$1:U$1,"&lt;&gt;"),0,SUMIFS($J:$J,$B:$B,$B381,$A:$A,"&gt;="&amp;COUNTIFS($K$1:U$1,"&lt;&gt;"))),0)</f>
        <v>0</v>
      </c>
      <c r="V381">
        <f>IFERROR($J381/IF($A381&lt;COUNTIFS($K$1:V$1,"&lt;&gt;"),0,SUMIFS($J:$J,$B:$B,$B381,$A:$A,"&gt;="&amp;COUNTIFS($K$1:V$1,"&lt;&gt;"))),0)</f>
        <v>0</v>
      </c>
      <c r="W381">
        <f t="shared" si="134"/>
        <v>8.4931506849315067E-2</v>
      </c>
      <c r="X381">
        <f t="shared" si="114"/>
        <v>8.4931506849315067E-2</v>
      </c>
      <c r="Y381">
        <f t="shared" si="115"/>
        <v>8.4931506849315067E-2</v>
      </c>
      <c r="Z381">
        <f t="shared" si="116"/>
        <v>0</v>
      </c>
      <c r="AA381">
        <f t="shared" si="117"/>
        <v>0</v>
      </c>
      <c r="AB381">
        <f t="shared" si="118"/>
        <v>0</v>
      </c>
      <c r="AC381">
        <f t="shared" si="119"/>
        <v>0</v>
      </c>
      <c r="AD381">
        <f t="shared" si="120"/>
        <v>0</v>
      </c>
      <c r="AE381">
        <f t="shared" si="121"/>
        <v>0</v>
      </c>
      <c r="AF381">
        <f t="shared" si="122"/>
        <v>0</v>
      </c>
      <c r="AG381">
        <f t="shared" si="123"/>
        <v>0</v>
      </c>
      <c r="AH381">
        <f t="shared" si="124"/>
        <v>0</v>
      </c>
      <c r="AI381">
        <f t="shared" si="125"/>
        <v>0</v>
      </c>
      <c r="AJ381" s="2" t="str">
        <f t="shared" si="135"/>
        <v>244713</v>
      </c>
    </row>
    <row r="382" spans="1:36" x14ac:dyDescent="0.25">
      <c r="A382">
        <v>3</v>
      </c>
      <c r="B382" s="1">
        <v>44713</v>
      </c>
      <c r="C382" s="1">
        <f t="shared" si="126"/>
        <v>44805</v>
      </c>
      <c r="D382" s="1">
        <f t="shared" si="127"/>
        <v>44727</v>
      </c>
      <c r="E382" s="1">
        <f t="shared" si="128"/>
        <v>44805</v>
      </c>
      <c r="F382" s="1">
        <f t="shared" si="129"/>
        <v>44835</v>
      </c>
      <c r="G382" s="1">
        <f t="shared" si="130"/>
        <v>45092</v>
      </c>
      <c r="H382">
        <f t="shared" si="131"/>
        <v>365</v>
      </c>
      <c r="I382">
        <f t="shared" si="132"/>
        <v>30</v>
      </c>
      <c r="J382">
        <f t="shared" si="133"/>
        <v>8.2191780821917804E-2</v>
      </c>
      <c r="K382">
        <f>IFERROR($J382/IF($A382&lt;COUNTIFS($K$1:K$1,"&lt;&gt;"),0,SUMIFS($J:$J,$B:$B,$B382,$A:$A,"&gt;="&amp;COUNTIFS($K$1:K$1,"&lt;&gt;"))),0)</f>
        <v>8.5959885386819493E-2</v>
      </c>
      <c r="L382">
        <f>IFERROR($J382/IF($A382&lt;COUNTIFS($K$1:L$1,"&lt;&gt;"),0,SUMIFS($J:$J,$B:$B,$B382,$A:$A,"&gt;="&amp;COUNTIFS($K$1:L$1,"&lt;&gt;"))),0)</f>
        <v>9.4339622641509441E-2</v>
      </c>
      <c r="M382">
        <f>IFERROR($J382/IF($A382&lt;COUNTIFS($K$1:M$1,"&lt;&gt;"),0,SUMIFS($J:$J,$B:$B,$B382,$A:$A,"&gt;="&amp;COUNTIFS($K$1:M$1,"&lt;&gt;"))),0)</f>
        <v>0.10452961672473869</v>
      </c>
      <c r="N382">
        <f>IFERROR($J382/IF($A382&lt;COUNTIFS($K$1:N$1,"&lt;&gt;"),0,SUMIFS($J:$J,$B:$B,$B382,$A:$A,"&gt;="&amp;COUNTIFS($K$1:N$1,"&lt;&gt;"))),0)</f>
        <v>0</v>
      </c>
      <c r="O382">
        <f>IFERROR($J382/IF($A382&lt;COUNTIFS($K$1:O$1,"&lt;&gt;"),0,SUMIFS($J:$J,$B:$B,$B382,$A:$A,"&gt;="&amp;COUNTIFS($K$1:O$1,"&lt;&gt;"))),0)</f>
        <v>0</v>
      </c>
      <c r="P382">
        <f>IFERROR($J382/IF($A382&lt;COUNTIFS($K$1:P$1,"&lt;&gt;"),0,SUMIFS($J:$J,$B:$B,$B382,$A:$A,"&gt;="&amp;COUNTIFS($K$1:P$1,"&lt;&gt;"))),0)</f>
        <v>0</v>
      </c>
      <c r="Q382">
        <f>IFERROR($J382/IF($A382&lt;COUNTIFS($K$1:Q$1,"&lt;&gt;"),0,SUMIFS($J:$J,$B:$B,$B382,$A:$A,"&gt;="&amp;COUNTIFS($K$1:Q$1,"&lt;&gt;"))),0)</f>
        <v>0</v>
      </c>
      <c r="R382">
        <f>IFERROR($J382/IF($A382&lt;COUNTIFS($K$1:R$1,"&lt;&gt;"),0,SUMIFS($J:$J,$B:$B,$B382,$A:$A,"&gt;="&amp;COUNTIFS($K$1:R$1,"&lt;&gt;"))),0)</f>
        <v>0</v>
      </c>
      <c r="S382">
        <f>IFERROR($J382/IF($A382&lt;COUNTIFS($K$1:S$1,"&lt;&gt;"),0,SUMIFS($J:$J,$B:$B,$B382,$A:$A,"&gt;="&amp;COUNTIFS($K$1:S$1,"&lt;&gt;"))),0)</f>
        <v>0</v>
      </c>
      <c r="T382">
        <f>IFERROR($J382/IF($A382&lt;COUNTIFS($K$1:T$1,"&lt;&gt;"),0,SUMIFS($J:$J,$B:$B,$B382,$A:$A,"&gt;="&amp;COUNTIFS($K$1:T$1,"&lt;&gt;"))),0)</f>
        <v>0</v>
      </c>
      <c r="U382">
        <f>IFERROR($J382/IF($A382&lt;COUNTIFS($K$1:U$1,"&lt;&gt;"),0,SUMIFS($J:$J,$B:$B,$B382,$A:$A,"&gt;="&amp;COUNTIFS($K$1:U$1,"&lt;&gt;"))),0)</f>
        <v>0</v>
      </c>
      <c r="V382">
        <f>IFERROR($J382/IF($A382&lt;COUNTIFS($K$1:V$1,"&lt;&gt;"),0,SUMIFS($J:$J,$B:$B,$B382,$A:$A,"&gt;="&amp;COUNTIFS($K$1:V$1,"&lt;&gt;"))),0)</f>
        <v>0</v>
      </c>
      <c r="W382">
        <f t="shared" si="134"/>
        <v>8.2191780821917804E-2</v>
      </c>
      <c r="X382">
        <f t="shared" si="114"/>
        <v>8.2191780821917804E-2</v>
      </c>
      <c r="Y382">
        <f t="shared" si="115"/>
        <v>8.2191780821917804E-2</v>
      </c>
      <c r="Z382">
        <f t="shared" si="116"/>
        <v>8.2191780821917804E-2</v>
      </c>
      <c r="AA382">
        <f t="shared" si="117"/>
        <v>0</v>
      </c>
      <c r="AB382">
        <f t="shared" si="118"/>
        <v>0</v>
      </c>
      <c r="AC382">
        <f t="shared" si="119"/>
        <v>0</v>
      </c>
      <c r="AD382">
        <f t="shared" si="120"/>
        <v>0</v>
      </c>
      <c r="AE382">
        <f t="shared" si="121"/>
        <v>0</v>
      </c>
      <c r="AF382">
        <f t="shared" si="122"/>
        <v>0</v>
      </c>
      <c r="AG382">
        <f t="shared" si="123"/>
        <v>0</v>
      </c>
      <c r="AH382">
        <f t="shared" si="124"/>
        <v>0</v>
      </c>
      <c r="AI382">
        <f t="shared" si="125"/>
        <v>0</v>
      </c>
      <c r="AJ382" s="2" t="str">
        <f t="shared" si="135"/>
        <v>344713</v>
      </c>
    </row>
    <row r="383" spans="1:36" x14ac:dyDescent="0.25">
      <c r="A383">
        <v>4</v>
      </c>
      <c r="B383" s="1">
        <v>44713</v>
      </c>
      <c r="C383" s="1">
        <f t="shared" si="126"/>
        <v>44835</v>
      </c>
      <c r="D383" s="1">
        <f t="shared" si="127"/>
        <v>44727</v>
      </c>
      <c r="E383" s="1">
        <f t="shared" si="128"/>
        <v>44835</v>
      </c>
      <c r="F383" s="1">
        <f t="shared" si="129"/>
        <v>44866</v>
      </c>
      <c r="G383" s="1">
        <f t="shared" si="130"/>
        <v>45092</v>
      </c>
      <c r="H383">
        <f t="shared" si="131"/>
        <v>365</v>
      </c>
      <c r="I383">
        <f t="shared" si="132"/>
        <v>31</v>
      </c>
      <c r="J383">
        <f t="shared" si="133"/>
        <v>8.4931506849315067E-2</v>
      </c>
      <c r="K383">
        <f>IFERROR($J383/IF($A383&lt;COUNTIFS($K$1:K$1,"&lt;&gt;"),0,SUMIFS($J:$J,$B:$B,$B383,$A:$A,"&gt;="&amp;COUNTIFS($K$1:K$1,"&lt;&gt;"))),0)</f>
        <v>8.8825214899713484E-2</v>
      </c>
      <c r="L383">
        <f>IFERROR($J383/IF($A383&lt;COUNTIFS($K$1:L$1,"&lt;&gt;"),0,SUMIFS($J:$J,$B:$B,$B383,$A:$A,"&gt;="&amp;COUNTIFS($K$1:L$1,"&lt;&gt;"))),0)</f>
        <v>9.7484276729559768E-2</v>
      </c>
      <c r="M383">
        <f>IFERROR($J383/IF($A383&lt;COUNTIFS($K$1:M$1,"&lt;&gt;"),0,SUMIFS($J:$J,$B:$B,$B383,$A:$A,"&gt;="&amp;COUNTIFS($K$1:M$1,"&lt;&gt;"))),0)</f>
        <v>0.10801393728222998</v>
      </c>
      <c r="N383">
        <f>IFERROR($J383/IF($A383&lt;COUNTIFS($K$1:N$1,"&lt;&gt;"),0,SUMIFS($J:$J,$B:$B,$B383,$A:$A,"&gt;="&amp;COUNTIFS($K$1:N$1,"&lt;&gt;"))),0)</f>
        <v>0.12062256809338523</v>
      </c>
      <c r="O383">
        <f>IFERROR($J383/IF($A383&lt;COUNTIFS($K$1:O$1,"&lt;&gt;"),0,SUMIFS($J:$J,$B:$B,$B383,$A:$A,"&gt;="&amp;COUNTIFS($K$1:O$1,"&lt;&gt;"))),0)</f>
        <v>0</v>
      </c>
      <c r="P383">
        <f>IFERROR($J383/IF($A383&lt;COUNTIFS($K$1:P$1,"&lt;&gt;"),0,SUMIFS($J:$J,$B:$B,$B383,$A:$A,"&gt;="&amp;COUNTIFS($K$1:P$1,"&lt;&gt;"))),0)</f>
        <v>0</v>
      </c>
      <c r="Q383">
        <f>IFERROR($J383/IF($A383&lt;COUNTIFS($K$1:Q$1,"&lt;&gt;"),0,SUMIFS($J:$J,$B:$B,$B383,$A:$A,"&gt;="&amp;COUNTIFS($K$1:Q$1,"&lt;&gt;"))),0)</f>
        <v>0</v>
      </c>
      <c r="R383">
        <f>IFERROR($J383/IF($A383&lt;COUNTIFS($K$1:R$1,"&lt;&gt;"),0,SUMIFS($J:$J,$B:$B,$B383,$A:$A,"&gt;="&amp;COUNTIFS($K$1:R$1,"&lt;&gt;"))),0)</f>
        <v>0</v>
      </c>
      <c r="S383">
        <f>IFERROR($J383/IF($A383&lt;COUNTIFS($K$1:S$1,"&lt;&gt;"),0,SUMIFS($J:$J,$B:$B,$B383,$A:$A,"&gt;="&amp;COUNTIFS($K$1:S$1,"&lt;&gt;"))),0)</f>
        <v>0</v>
      </c>
      <c r="T383">
        <f>IFERROR($J383/IF($A383&lt;COUNTIFS($K$1:T$1,"&lt;&gt;"),0,SUMIFS($J:$J,$B:$B,$B383,$A:$A,"&gt;="&amp;COUNTIFS($K$1:T$1,"&lt;&gt;"))),0)</f>
        <v>0</v>
      </c>
      <c r="U383">
        <f>IFERROR($J383/IF($A383&lt;COUNTIFS($K$1:U$1,"&lt;&gt;"),0,SUMIFS($J:$J,$B:$B,$B383,$A:$A,"&gt;="&amp;COUNTIFS($K$1:U$1,"&lt;&gt;"))),0)</f>
        <v>0</v>
      </c>
      <c r="V383">
        <f>IFERROR($J383/IF($A383&lt;COUNTIFS($K$1:V$1,"&lt;&gt;"),0,SUMIFS($J:$J,$B:$B,$B383,$A:$A,"&gt;="&amp;COUNTIFS($K$1:V$1,"&lt;&gt;"))),0)</f>
        <v>0</v>
      </c>
      <c r="W383">
        <f t="shared" si="134"/>
        <v>8.4931506849315067E-2</v>
      </c>
      <c r="X383">
        <f t="shared" si="114"/>
        <v>8.4931506849315067E-2</v>
      </c>
      <c r="Y383">
        <f t="shared" si="115"/>
        <v>8.4931506849315067E-2</v>
      </c>
      <c r="Z383">
        <f t="shared" si="116"/>
        <v>8.4931506849315067E-2</v>
      </c>
      <c r="AA383">
        <f t="shared" si="117"/>
        <v>8.4931506849315067E-2</v>
      </c>
      <c r="AB383">
        <f t="shared" si="118"/>
        <v>0</v>
      </c>
      <c r="AC383">
        <f t="shared" si="119"/>
        <v>0</v>
      </c>
      <c r="AD383">
        <f t="shared" si="120"/>
        <v>0</v>
      </c>
      <c r="AE383">
        <f t="shared" si="121"/>
        <v>0</v>
      </c>
      <c r="AF383">
        <f t="shared" si="122"/>
        <v>0</v>
      </c>
      <c r="AG383">
        <f t="shared" si="123"/>
        <v>0</v>
      </c>
      <c r="AH383">
        <f t="shared" si="124"/>
        <v>0</v>
      </c>
      <c r="AI383">
        <f t="shared" si="125"/>
        <v>0</v>
      </c>
      <c r="AJ383" s="2" t="str">
        <f t="shared" si="135"/>
        <v>444713</v>
      </c>
    </row>
    <row r="384" spans="1:36" x14ac:dyDescent="0.25">
      <c r="A384">
        <v>5</v>
      </c>
      <c r="B384" s="1">
        <v>44713</v>
      </c>
      <c r="C384" s="1">
        <f t="shared" si="126"/>
        <v>44866</v>
      </c>
      <c r="D384" s="1">
        <f t="shared" si="127"/>
        <v>44727</v>
      </c>
      <c r="E384" s="1">
        <f t="shared" si="128"/>
        <v>44866</v>
      </c>
      <c r="F384" s="1">
        <f t="shared" si="129"/>
        <v>44896</v>
      </c>
      <c r="G384" s="1">
        <f t="shared" si="130"/>
        <v>45092</v>
      </c>
      <c r="H384">
        <f t="shared" si="131"/>
        <v>365</v>
      </c>
      <c r="I384">
        <f t="shared" si="132"/>
        <v>30</v>
      </c>
      <c r="J384">
        <f t="shared" si="133"/>
        <v>8.2191780821917804E-2</v>
      </c>
      <c r="K384">
        <f>IFERROR($J384/IF($A384&lt;COUNTIFS($K$1:K$1,"&lt;&gt;"),0,SUMIFS($J:$J,$B:$B,$B384,$A:$A,"&gt;="&amp;COUNTIFS($K$1:K$1,"&lt;&gt;"))),0)</f>
        <v>8.5959885386819493E-2</v>
      </c>
      <c r="L384">
        <f>IFERROR($J384/IF($A384&lt;COUNTIFS($K$1:L$1,"&lt;&gt;"),0,SUMIFS($J:$J,$B:$B,$B384,$A:$A,"&gt;="&amp;COUNTIFS($K$1:L$1,"&lt;&gt;"))),0)</f>
        <v>9.4339622641509441E-2</v>
      </c>
      <c r="M384">
        <f>IFERROR($J384/IF($A384&lt;COUNTIFS($K$1:M$1,"&lt;&gt;"),0,SUMIFS($J:$J,$B:$B,$B384,$A:$A,"&gt;="&amp;COUNTIFS($K$1:M$1,"&lt;&gt;"))),0)</f>
        <v>0.10452961672473869</v>
      </c>
      <c r="N384">
        <f>IFERROR($J384/IF($A384&lt;COUNTIFS($K$1:N$1,"&lt;&gt;"),0,SUMIFS($J:$J,$B:$B,$B384,$A:$A,"&gt;="&amp;COUNTIFS($K$1:N$1,"&lt;&gt;"))),0)</f>
        <v>0.11673151750972764</v>
      </c>
      <c r="O384">
        <f>IFERROR($J384/IF($A384&lt;COUNTIFS($K$1:O$1,"&lt;&gt;"),0,SUMIFS($J:$J,$B:$B,$B384,$A:$A,"&gt;="&amp;COUNTIFS($K$1:O$1,"&lt;&gt;"))),0)</f>
        <v>0.13274336283185842</v>
      </c>
      <c r="P384">
        <f>IFERROR($J384/IF($A384&lt;COUNTIFS($K$1:P$1,"&lt;&gt;"),0,SUMIFS($J:$J,$B:$B,$B384,$A:$A,"&gt;="&amp;COUNTIFS($K$1:P$1,"&lt;&gt;"))),0)</f>
        <v>0</v>
      </c>
      <c r="Q384">
        <f>IFERROR($J384/IF($A384&lt;COUNTIFS($K$1:Q$1,"&lt;&gt;"),0,SUMIFS($J:$J,$B:$B,$B384,$A:$A,"&gt;="&amp;COUNTIFS($K$1:Q$1,"&lt;&gt;"))),0)</f>
        <v>0</v>
      </c>
      <c r="R384">
        <f>IFERROR($J384/IF($A384&lt;COUNTIFS($K$1:R$1,"&lt;&gt;"),0,SUMIFS($J:$J,$B:$B,$B384,$A:$A,"&gt;="&amp;COUNTIFS($K$1:R$1,"&lt;&gt;"))),0)</f>
        <v>0</v>
      </c>
      <c r="S384">
        <f>IFERROR($J384/IF($A384&lt;COUNTIFS($K$1:S$1,"&lt;&gt;"),0,SUMIFS($J:$J,$B:$B,$B384,$A:$A,"&gt;="&amp;COUNTIFS($K$1:S$1,"&lt;&gt;"))),0)</f>
        <v>0</v>
      </c>
      <c r="T384">
        <f>IFERROR($J384/IF($A384&lt;COUNTIFS($K$1:T$1,"&lt;&gt;"),0,SUMIFS($J:$J,$B:$B,$B384,$A:$A,"&gt;="&amp;COUNTIFS($K$1:T$1,"&lt;&gt;"))),0)</f>
        <v>0</v>
      </c>
      <c r="U384">
        <f>IFERROR($J384/IF($A384&lt;COUNTIFS($K$1:U$1,"&lt;&gt;"),0,SUMIFS($J:$J,$B:$B,$B384,$A:$A,"&gt;="&amp;COUNTIFS($K$1:U$1,"&lt;&gt;"))),0)</f>
        <v>0</v>
      </c>
      <c r="V384">
        <f>IFERROR($J384/IF($A384&lt;COUNTIFS($K$1:V$1,"&lt;&gt;"),0,SUMIFS($J:$J,$B:$B,$B384,$A:$A,"&gt;="&amp;COUNTIFS($K$1:V$1,"&lt;&gt;"))),0)</f>
        <v>0</v>
      </c>
      <c r="W384">
        <f t="shared" si="134"/>
        <v>8.2191780821917804E-2</v>
      </c>
      <c r="X384">
        <f t="shared" si="114"/>
        <v>8.2191780821917804E-2</v>
      </c>
      <c r="Y384">
        <f t="shared" si="115"/>
        <v>8.2191780821917804E-2</v>
      </c>
      <c r="Z384">
        <f t="shared" si="116"/>
        <v>8.2191780821917804E-2</v>
      </c>
      <c r="AA384">
        <f t="shared" si="117"/>
        <v>8.2191780821917804E-2</v>
      </c>
      <c r="AB384">
        <f t="shared" si="118"/>
        <v>8.2191780821917804E-2</v>
      </c>
      <c r="AC384">
        <f t="shared" si="119"/>
        <v>0</v>
      </c>
      <c r="AD384">
        <f t="shared" si="120"/>
        <v>0</v>
      </c>
      <c r="AE384">
        <f t="shared" si="121"/>
        <v>0</v>
      </c>
      <c r="AF384">
        <f t="shared" si="122"/>
        <v>0</v>
      </c>
      <c r="AG384">
        <f t="shared" si="123"/>
        <v>0</v>
      </c>
      <c r="AH384">
        <f t="shared" si="124"/>
        <v>0</v>
      </c>
      <c r="AI384">
        <f t="shared" si="125"/>
        <v>0</v>
      </c>
      <c r="AJ384" s="2" t="str">
        <f t="shared" si="135"/>
        <v>544713</v>
      </c>
    </row>
    <row r="385" spans="1:36" x14ac:dyDescent="0.25">
      <c r="A385">
        <v>6</v>
      </c>
      <c r="B385" s="1">
        <v>44713</v>
      </c>
      <c r="C385" s="1">
        <f t="shared" si="126"/>
        <v>44896</v>
      </c>
      <c r="D385" s="1">
        <f t="shared" si="127"/>
        <v>44727</v>
      </c>
      <c r="E385" s="1">
        <f t="shared" si="128"/>
        <v>44896</v>
      </c>
      <c r="F385" s="1">
        <f t="shared" si="129"/>
        <v>44927</v>
      </c>
      <c r="G385" s="1">
        <f t="shared" si="130"/>
        <v>45092</v>
      </c>
      <c r="H385">
        <f t="shared" si="131"/>
        <v>365</v>
      </c>
      <c r="I385">
        <f t="shared" si="132"/>
        <v>31</v>
      </c>
      <c r="J385">
        <f t="shared" si="133"/>
        <v>8.4931506849315067E-2</v>
      </c>
      <c r="K385">
        <f>IFERROR($J385/IF($A385&lt;COUNTIFS($K$1:K$1,"&lt;&gt;"),0,SUMIFS($J:$J,$B:$B,$B385,$A:$A,"&gt;="&amp;COUNTIFS($K$1:K$1,"&lt;&gt;"))),0)</f>
        <v>8.8825214899713484E-2</v>
      </c>
      <c r="L385">
        <f>IFERROR($J385/IF($A385&lt;COUNTIFS($K$1:L$1,"&lt;&gt;"),0,SUMIFS($J:$J,$B:$B,$B385,$A:$A,"&gt;="&amp;COUNTIFS($K$1:L$1,"&lt;&gt;"))),0)</f>
        <v>9.7484276729559768E-2</v>
      </c>
      <c r="M385">
        <f>IFERROR($J385/IF($A385&lt;COUNTIFS($K$1:M$1,"&lt;&gt;"),0,SUMIFS($J:$J,$B:$B,$B385,$A:$A,"&gt;="&amp;COUNTIFS($K$1:M$1,"&lt;&gt;"))),0)</f>
        <v>0.10801393728222998</v>
      </c>
      <c r="N385">
        <f>IFERROR($J385/IF($A385&lt;COUNTIFS($K$1:N$1,"&lt;&gt;"),0,SUMIFS($J:$J,$B:$B,$B385,$A:$A,"&gt;="&amp;COUNTIFS($K$1:N$1,"&lt;&gt;"))),0)</f>
        <v>0.12062256809338523</v>
      </c>
      <c r="O385">
        <f>IFERROR($J385/IF($A385&lt;COUNTIFS($K$1:O$1,"&lt;&gt;"),0,SUMIFS($J:$J,$B:$B,$B385,$A:$A,"&gt;="&amp;COUNTIFS($K$1:O$1,"&lt;&gt;"))),0)</f>
        <v>0.13716814159292037</v>
      </c>
      <c r="P385">
        <f>IFERROR($J385/IF($A385&lt;COUNTIFS($K$1:P$1,"&lt;&gt;"),0,SUMIFS($J:$J,$B:$B,$B385,$A:$A,"&gt;="&amp;COUNTIFS($K$1:P$1,"&lt;&gt;"))),0)</f>
        <v>0.15816326530612249</v>
      </c>
      <c r="Q385">
        <f>IFERROR($J385/IF($A385&lt;COUNTIFS($K$1:Q$1,"&lt;&gt;"),0,SUMIFS($J:$J,$B:$B,$B385,$A:$A,"&gt;="&amp;COUNTIFS($K$1:Q$1,"&lt;&gt;"))),0)</f>
        <v>0</v>
      </c>
      <c r="R385">
        <f>IFERROR($J385/IF($A385&lt;COUNTIFS($K$1:R$1,"&lt;&gt;"),0,SUMIFS($J:$J,$B:$B,$B385,$A:$A,"&gt;="&amp;COUNTIFS($K$1:R$1,"&lt;&gt;"))),0)</f>
        <v>0</v>
      </c>
      <c r="S385">
        <f>IFERROR($J385/IF($A385&lt;COUNTIFS($K$1:S$1,"&lt;&gt;"),0,SUMIFS($J:$J,$B:$B,$B385,$A:$A,"&gt;="&amp;COUNTIFS($K$1:S$1,"&lt;&gt;"))),0)</f>
        <v>0</v>
      </c>
      <c r="T385">
        <f>IFERROR($J385/IF($A385&lt;COUNTIFS($K$1:T$1,"&lt;&gt;"),0,SUMIFS($J:$J,$B:$B,$B385,$A:$A,"&gt;="&amp;COUNTIFS($K$1:T$1,"&lt;&gt;"))),0)</f>
        <v>0</v>
      </c>
      <c r="U385">
        <f>IFERROR($J385/IF($A385&lt;COUNTIFS($K$1:U$1,"&lt;&gt;"),0,SUMIFS($J:$J,$B:$B,$B385,$A:$A,"&gt;="&amp;COUNTIFS($K$1:U$1,"&lt;&gt;"))),0)</f>
        <v>0</v>
      </c>
      <c r="V385">
        <f>IFERROR($J385/IF($A385&lt;COUNTIFS($K$1:V$1,"&lt;&gt;"),0,SUMIFS($J:$J,$B:$B,$B385,$A:$A,"&gt;="&amp;COUNTIFS($K$1:V$1,"&lt;&gt;"))),0)</f>
        <v>0</v>
      </c>
      <c r="W385">
        <f t="shared" si="134"/>
        <v>8.4931506849315067E-2</v>
      </c>
      <c r="X385">
        <f t="shared" si="114"/>
        <v>8.4931506849315067E-2</v>
      </c>
      <c r="Y385">
        <f t="shared" si="115"/>
        <v>8.4931506849315067E-2</v>
      </c>
      <c r="Z385">
        <f t="shared" si="116"/>
        <v>8.4931506849315067E-2</v>
      </c>
      <c r="AA385">
        <f t="shared" si="117"/>
        <v>8.4931506849315067E-2</v>
      </c>
      <c r="AB385">
        <f t="shared" si="118"/>
        <v>8.4931506849315067E-2</v>
      </c>
      <c r="AC385">
        <f t="shared" si="119"/>
        <v>8.4931506849315067E-2</v>
      </c>
      <c r="AD385">
        <f t="shared" si="120"/>
        <v>0</v>
      </c>
      <c r="AE385">
        <f t="shared" si="121"/>
        <v>0</v>
      </c>
      <c r="AF385">
        <f t="shared" si="122"/>
        <v>0</v>
      </c>
      <c r="AG385">
        <f t="shared" si="123"/>
        <v>0</v>
      </c>
      <c r="AH385">
        <f t="shared" si="124"/>
        <v>0</v>
      </c>
      <c r="AI385">
        <f t="shared" si="125"/>
        <v>0</v>
      </c>
      <c r="AJ385" s="2" t="str">
        <f t="shared" si="135"/>
        <v>644713</v>
      </c>
    </row>
    <row r="386" spans="1:36" x14ac:dyDescent="0.25">
      <c r="A386">
        <v>7</v>
      </c>
      <c r="B386" s="1">
        <v>44713</v>
      </c>
      <c r="C386" s="1">
        <f t="shared" si="126"/>
        <v>44927</v>
      </c>
      <c r="D386" s="1">
        <f t="shared" si="127"/>
        <v>44727</v>
      </c>
      <c r="E386" s="1">
        <f t="shared" si="128"/>
        <v>44927</v>
      </c>
      <c r="F386" s="1">
        <f t="shared" si="129"/>
        <v>44958</v>
      </c>
      <c r="G386" s="1">
        <f t="shared" si="130"/>
        <v>45092</v>
      </c>
      <c r="H386">
        <f t="shared" si="131"/>
        <v>365</v>
      </c>
      <c r="I386">
        <f t="shared" si="132"/>
        <v>31</v>
      </c>
      <c r="J386">
        <f t="shared" si="133"/>
        <v>8.4931506849315067E-2</v>
      </c>
      <c r="K386">
        <f>IFERROR($J386/IF($A386&lt;COUNTIFS($K$1:K$1,"&lt;&gt;"),0,SUMIFS($J:$J,$B:$B,$B386,$A:$A,"&gt;="&amp;COUNTIFS($K$1:K$1,"&lt;&gt;"))),0)</f>
        <v>8.8825214899713484E-2</v>
      </c>
      <c r="L386">
        <f>IFERROR($J386/IF($A386&lt;COUNTIFS($K$1:L$1,"&lt;&gt;"),0,SUMIFS($J:$J,$B:$B,$B386,$A:$A,"&gt;="&amp;COUNTIFS($K$1:L$1,"&lt;&gt;"))),0)</f>
        <v>9.7484276729559768E-2</v>
      </c>
      <c r="M386">
        <f>IFERROR($J386/IF($A386&lt;COUNTIFS($K$1:M$1,"&lt;&gt;"),0,SUMIFS($J:$J,$B:$B,$B386,$A:$A,"&gt;="&amp;COUNTIFS($K$1:M$1,"&lt;&gt;"))),0)</f>
        <v>0.10801393728222998</v>
      </c>
      <c r="N386">
        <f>IFERROR($J386/IF($A386&lt;COUNTIFS($K$1:N$1,"&lt;&gt;"),0,SUMIFS($J:$J,$B:$B,$B386,$A:$A,"&gt;="&amp;COUNTIFS($K$1:N$1,"&lt;&gt;"))),0)</f>
        <v>0.12062256809338523</v>
      </c>
      <c r="O386">
        <f>IFERROR($J386/IF($A386&lt;COUNTIFS($K$1:O$1,"&lt;&gt;"),0,SUMIFS($J:$J,$B:$B,$B386,$A:$A,"&gt;="&amp;COUNTIFS($K$1:O$1,"&lt;&gt;"))),0)</f>
        <v>0.13716814159292037</v>
      </c>
      <c r="P386">
        <f>IFERROR($J386/IF($A386&lt;COUNTIFS($K$1:P$1,"&lt;&gt;"),0,SUMIFS($J:$J,$B:$B,$B386,$A:$A,"&gt;="&amp;COUNTIFS($K$1:P$1,"&lt;&gt;"))),0)</f>
        <v>0.15816326530612249</v>
      </c>
      <c r="Q386">
        <f>IFERROR($J386/IF($A386&lt;COUNTIFS($K$1:Q$1,"&lt;&gt;"),0,SUMIFS($J:$J,$B:$B,$B386,$A:$A,"&gt;="&amp;COUNTIFS($K$1:Q$1,"&lt;&gt;"))),0)</f>
        <v>0.1878787878787879</v>
      </c>
      <c r="R386">
        <f>IFERROR($J386/IF($A386&lt;COUNTIFS($K$1:R$1,"&lt;&gt;"),0,SUMIFS($J:$J,$B:$B,$B386,$A:$A,"&gt;="&amp;COUNTIFS($K$1:R$1,"&lt;&gt;"))),0)</f>
        <v>0</v>
      </c>
      <c r="S386">
        <f>IFERROR($J386/IF($A386&lt;COUNTIFS($K$1:S$1,"&lt;&gt;"),0,SUMIFS($J:$J,$B:$B,$B386,$A:$A,"&gt;="&amp;COUNTIFS($K$1:S$1,"&lt;&gt;"))),0)</f>
        <v>0</v>
      </c>
      <c r="T386">
        <f>IFERROR($J386/IF($A386&lt;COUNTIFS($K$1:T$1,"&lt;&gt;"),0,SUMIFS($J:$J,$B:$B,$B386,$A:$A,"&gt;="&amp;COUNTIFS($K$1:T$1,"&lt;&gt;"))),0)</f>
        <v>0</v>
      </c>
      <c r="U386">
        <f>IFERROR($J386/IF($A386&lt;COUNTIFS($K$1:U$1,"&lt;&gt;"),0,SUMIFS($J:$J,$B:$B,$B386,$A:$A,"&gt;="&amp;COUNTIFS($K$1:U$1,"&lt;&gt;"))),0)</f>
        <v>0</v>
      </c>
      <c r="V386">
        <f>IFERROR($J386/IF($A386&lt;COUNTIFS($K$1:V$1,"&lt;&gt;"),0,SUMIFS($J:$J,$B:$B,$B386,$A:$A,"&gt;="&amp;COUNTIFS($K$1:V$1,"&lt;&gt;"))),0)</f>
        <v>0</v>
      </c>
      <c r="W386">
        <f t="shared" si="134"/>
        <v>8.4931506849315067E-2</v>
      </c>
      <c r="X386">
        <f t="shared" ref="X386:X449" si="136">IF(K386=0,0,$J386)</f>
        <v>8.4931506849315067E-2</v>
      </c>
      <c r="Y386">
        <f t="shared" ref="Y386:Y449" si="137">IF(L386=0,0,$J386)</f>
        <v>8.4931506849315067E-2</v>
      </c>
      <c r="Z386">
        <f t="shared" ref="Z386:Z449" si="138">IF(M386=0,0,$J386)</f>
        <v>8.4931506849315067E-2</v>
      </c>
      <c r="AA386">
        <f t="shared" ref="AA386:AA449" si="139">IF(N386=0,0,$J386)</f>
        <v>8.4931506849315067E-2</v>
      </c>
      <c r="AB386">
        <f t="shared" ref="AB386:AB449" si="140">IF(O386=0,0,$J386)</f>
        <v>8.4931506849315067E-2</v>
      </c>
      <c r="AC386">
        <f t="shared" ref="AC386:AC449" si="141">IF(P386=0,0,$J386)</f>
        <v>8.4931506849315067E-2</v>
      </c>
      <c r="AD386">
        <f t="shared" ref="AD386:AD449" si="142">IF(Q386=0,0,$J386)</f>
        <v>8.4931506849315067E-2</v>
      </c>
      <c r="AE386">
        <f t="shared" ref="AE386:AE449" si="143">IF(R386=0,0,$J386)</f>
        <v>0</v>
      </c>
      <c r="AF386">
        <f t="shared" ref="AF386:AF449" si="144">IF(S386=0,0,$J386)</f>
        <v>0</v>
      </c>
      <c r="AG386">
        <f t="shared" ref="AG386:AG449" si="145">IF(T386=0,0,$J386)</f>
        <v>0</v>
      </c>
      <c r="AH386">
        <f t="shared" ref="AH386:AH449" si="146">IF(U386=0,0,$J386)</f>
        <v>0</v>
      </c>
      <c r="AI386">
        <f t="shared" ref="AI386:AI449" si="147">IF(V386=0,0,$J386)</f>
        <v>0</v>
      </c>
      <c r="AJ386" s="2" t="str">
        <f t="shared" si="135"/>
        <v>744713</v>
      </c>
    </row>
    <row r="387" spans="1:36" x14ac:dyDescent="0.25">
      <c r="A387">
        <v>8</v>
      </c>
      <c r="B387" s="1">
        <v>44713</v>
      </c>
      <c r="C387" s="1">
        <f t="shared" ref="C387:C450" si="148">EDATE(B387,A387)</f>
        <v>44958</v>
      </c>
      <c r="D387" s="1">
        <f t="shared" ref="D387:D450" si="149">B387+14</f>
        <v>44727</v>
      </c>
      <c r="E387" s="1">
        <f t="shared" ref="E387:E450" si="150">IF($A387=0,C387+14,C387)</f>
        <v>44958</v>
      </c>
      <c r="F387" s="1">
        <f t="shared" ref="F387:F450" si="151">IF(EDATE(C387,1)&gt;G387,G387,EDATE(C387,1))</f>
        <v>44986</v>
      </c>
      <c r="G387" s="1">
        <f t="shared" ref="G387:G450" si="152">EDATE(D387,12)</f>
        <v>45092</v>
      </c>
      <c r="H387">
        <f t="shared" ref="H387:H450" si="153">G387-D387</f>
        <v>365</v>
      </c>
      <c r="I387">
        <f t="shared" ref="I387:I450" si="154">F387-E387</f>
        <v>28</v>
      </c>
      <c r="J387">
        <f t="shared" ref="J387:J450" si="155">I387/H387</f>
        <v>7.6712328767123292E-2</v>
      </c>
      <c r="K387">
        <f>IFERROR($J387/IF($A387&lt;COUNTIFS($K$1:K$1,"&lt;&gt;"),0,SUMIFS($J:$J,$B:$B,$B387,$A:$A,"&gt;="&amp;COUNTIFS($K$1:K$1,"&lt;&gt;"))),0)</f>
        <v>8.0229226361031539E-2</v>
      </c>
      <c r="L387">
        <f>IFERROR($J387/IF($A387&lt;COUNTIFS($K$1:L$1,"&lt;&gt;"),0,SUMIFS($J:$J,$B:$B,$B387,$A:$A,"&gt;="&amp;COUNTIFS($K$1:L$1,"&lt;&gt;"))),0)</f>
        <v>8.8050314465408827E-2</v>
      </c>
      <c r="M387">
        <f>IFERROR($J387/IF($A387&lt;COUNTIFS($K$1:M$1,"&lt;&gt;"),0,SUMIFS($J:$J,$B:$B,$B387,$A:$A,"&gt;="&amp;COUNTIFS($K$1:M$1,"&lt;&gt;"))),0)</f>
        <v>9.7560975609756115E-2</v>
      </c>
      <c r="N387">
        <f>IFERROR($J387/IF($A387&lt;COUNTIFS($K$1:N$1,"&lt;&gt;"),0,SUMIFS($J:$J,$B:$B,$B387,$A:$A,"&gt;="&amp;COUNTIFS($K$1:N$1,"&lt;&gt;"))),0)</f>
        <v>0.10894941634241248</v>
      </c>
      <c r="O387">
        <f>IFERROR($J387/IF($A387&lt;COUNTIFS($K$1:O$1,"&lt;&gt;"),0,SUMIFS($J:$J,$B:$B,$B387,$A:$A,"&gt;="&amp;COUNTIFS($K$1:O$1,"&lt;&gt;"))),0)</f>
        <v>0.12389380530973454</v>
      </c>
      <c r="P387">
        <f>IFERROR($J387/IF($A387&lt;COUNTIFS($K$1:P$1,"&lt;&gt;"),0,SUMIFS($J:$J,$B:$B,$B387,$A:$A,"&gt;="&amp;COUNTIFS($K$1:P$1,"&lt;&gt;"))),0)</f>
        <v>0.14285714285714288</v>
      </c>
      <c r="Q387">
        <f>IFERROR($J387/IF($A387&lt;COUNTIFS($K$1:Q$1,"&lt;&gt;"),0,SUMIFS($J:$J,$B:$B,$B387,$A:$A,"&gt;="&amp;COUNTIFS($K$1:Q$1,"&lt;&gt;"))),0)</f>
        <v>0.16969696969696971</v>
      </c>
      <c r="R387">
        <f>IFERROR($J387/IF($A387&lt;COUNTIFS($K$1:R$1,"&lt;&gt;"),0,SUMIFS($J:$J,$B:$B,$B387,$A:$A,"&gt;="&amp;COUNTIFS($K$1:R$1,"&lt;&gt;"))),0)</f>
        <v>0.20895522388059704</v>
      </c>
      <c r="S387">
        <f>IFERROR($J387/IF($A387&lt;COUNTIFS($K$1:S$1,"&lt;&gt;"),0,SUMIFS($J:$J,$B:$B,$B387,$A:$A,"&gt;="&amp;COUNTIFS($K$1:S$1,"&lt;&gt;"))),0)</f>
        <v>0</v>
      </c>
      <c r="T387">
        <f>IFERROR($J387/IF($A387&lt;COUNTIFS($K$1:T$1,"&lt;&gt;"),0,SUMIFS($J:$J,$B:$B,$B387,$A:$A,"&gt;="&amp;COUNTIFS($K$1:T$1,"&lt;&gt;"))),0)</f>
        <v>0</v>
      </c>
      <c r="U387">
        <f>IFERROR($J387/IF($A387&lt;COUNTIFS($K$1:U$1,"&lt;&gt;"),0,SUMIFS($J:$J,$B:$B,$B387,$A:$A,"&gt;="&amp;COUNTIFS($K$1:U$1,"&lt;&gt;"))),0)</f>
        <v>0</v>
      </c>
      <c r="V387">
        <f>IFERROR($J387/IF($A387&lt;COUNTIFS($K$1:V$1,"&lt;&gt;"),0,SUMIFS($J:$J,$B:$B,$B387,$A:$A,"&gt;="&amp;COUNTIFS($K$1:V$1,"&lt;&gt;"))),0)</f>
        <v>0</v>
      </c>
      <c r="W387">
        <f t="shared" ref="W387:W450" si="156">IF(J387=0,0,$J387)</f>
        <v>7.6712328767123292E-2</v>
      </c>
      <c r="X387">
        <f t="shared" si="136"/>
        <v>7.6712328767123292E-2</v>
      </c>
      <c r="Y387">
        <f t="shared" si="137"/>
        <v>7.6712328767123292E-2</v>
      </c>
      <c r="Z387">
        <f t="shared" si="138"/>
        <v>7.6712328767123292E-2</v>
      </c>
      <c r="AA387">
        <f t="shared" si="139"/>
        <v>7.6712328767123292E-2</v>
      </c>
      <c r="AB387">
        <f t="shared" si="140"/>
        <v>7.6712328767123292E-2</v>
      </c>
      <c r="AC387">
        <f t="shared" si="141"/>
        <v>7.6712328767123292E-2</v>
      </c>
      <c r="AD387">
        <f t="shared" si="142"/>
        <v>7.6712328767123292E-2</v>
      </c>
      <c r="AE387">
        <f t="shared" si="143"/>
        <v>7.6712328767123292E-2</v>
      </c>
      <c r="AF387">
        <f t="shared" si="144"/>
        <v>0</v>
      </c>
      <c r="AG387">
        <f t="shared" si="145"/>
        <v>0</v>
      </c>
      <c r="AH387">
        <f t="shared" si="146"/>
        <v>0</v>
      </c>
      <c r="AI387">
        <f t="shared" si="147"/>
        <v>0</v>
      </c>
      <c r="AJ387" s="2" t="str">
        <f t="shared" ref="AJ387:AJ450" si="157">A387&amp;B387</f>
        <v>844713</v>
      </c>
    </row>
    <row r="388" spans="1:36" x14ac:dyDescent="0.25">
      <c r="A388">
        <v>9</v>
      </c>
      <c r="B388" s="1">
        <v>44713</v>
      </c>
      <c r="C388" s="1">
        <f t="shared" si="148"/>
        <v>44986</v>
      </c>
      <c r="D388" s="1">
        <f t="shared" si="149"/>
        <v>44727</v>
      </c>
      <c r="E388" s="1">
        <f t="shared" si="150"/>
        <v>44986</v>
      </c>
      <c r="F388" s="1">
        <f t="shared" si="151"/>
        <v>45017</v>
      </c>
      <c r="G388" s="1">
        <f t="shared" si="152"/>
        <v>45092</v>
      </c>
      <c r="H388">
        <f t="shared" si="153"/>
        <v>365</v>
      </c>
      <c r="I388">
        <f t="shared" si="154"/>
        <v>31</v>
      </c>
      <c r="J388">
        <f t="shared" si="155"/>
        <v>8.4931506849315067E-2</v>
      </c>
      <c r="K388">
        <f>IFERROR($J388/IF($A388&lt;COUNTIFS($K$1:K$1,"&lt;&gt;"),0,SUMIFS($J:$J,$B:$B,$B388,$A:$A,"&gt;="&amp;COUNTIFS($K$1:K$1,"&lt;&gt;"))),0)</f>
        <v>8.8825214899713484E-2</v>
      </c>
      <c r="L388">
        <f>IFERROR($J388/IF($A388&lt;COUNTIFS($K$1:L$1,"&lt;&gt;"),0,SUMIFS($J:$J,$B:$B,$B388,$A:$A,"&gt;="&amp;COUNTIFS($K$1:L$1,"&lt;&gt;"))),0)</f>
        <v>9.7484276729559768E-2</v>
      </c>
      <c r="M388">
        <f>IFERROR($J388/IF($A388&lt;COUNTIFS($K$1:M$1,"&lt;&gt;"),0,SUMIFS($J:$J,$B:$B,$B388,$A:$A,"&gt;="&amp;COUNTIFS($K$1:M$1,"&lt;&gt;"))),0)</f>
        <v>0.10801393728222998</v>
      </c>
      <c r="N388">
        <f>IFERROR($J388/IF($A388&lt;COUNTIFS($K$1:N$1,"&lt;&gt;"),0,SUMIFS($J:$J,$B:$B,$B388,$A:$A,"&gt;="&amp;COUNTIFS($K$1:N$1,"&lt;&gt;"))),0)</f>
        <v>0.12062256809338523</v>
      </c>
      <c r="O388">
        <f>IFERROR($J388/IF($A388&lt;COUNTIFS($K$1:O$1,"&lt;&gt;"),0,SUMIFS($J:$J,$B:$B,$B388,$A:$A,"&gt;="&amp;COUNTIFS($K$1:O$1,"&lt;&gt;"))),0)</f>
        <v>0.13716814159292037</v>
      </c>
      <c r="P388">
        <f>IFERROR($J388/IF($A388&lt;COUNTIFS($K$1:P$1,"&lt;&gt;"),0,SUMIFS($J:$J,$B:$B,$B388,$A:$A,"&gt;="&amp;COUNTIFS($K$1:P$1,"&lt;&gt;"))),0)</f>
        <v>0.15816326530612249</v>
      </c>
      <c r="Q388">
        <f>IFERROR($J388/IF($A388&lt;COUNTIFS($K$1:Q$1,"&lt;&gt;"),0,SUMIFS($J:$J,$B:$B,$B388,$A:$A,"&gt;="&amp;COUNTIFS($K$1:Q$1,"&lt;&gt;"))),0)</f>
        <v>0.1878787878787879</v>
      </c>
      <c r="R388">
        <f>IFERROR($J388/IF($A388&lt;COUNTIFS($K$1:R$1,"&lt;&gt;"),0,SUMIFS($J:$J,$B:$B,$B388,$A:$A,"&gt;="&amp;COUNTIFS($K$1:R$1,"&lt;&gt;"))),0)</f>
        <v>0.23134328358208955</v>
      </c>
      <c r="S388">
        <f>IFERROR($J388/IF($A388&lt;COUNTIFS($K$1:S$1,"&lt;&gt;"),0,SUMIFS($J:$J,$B:$B,$B388,$A:$A,"&gt;="&amp;COUNTIFS($K$1:S$1,"&lt;&gt;"))),0)</f>
        <v>0.29245283018867929</v>
      </c>
      <c r="T388">
        <f>IFERROR($J388/IF($A388&lt;COUNTIFS($K$1:T$1,"&lt;&gt;"),0,SUMIFS($J:$J,$B:$B,$B388,$A:$A,"&gt;="&amp;COUNTIFS($K$1:T$1,"&lt;&gt;"))),0)</f>
        <v>0</v>
      </c>
      <c r="U388">
        <f>IFERROR($J388/IF($A388&lt;COUNTIFS($K$1:U$1,"&lt;&gt;"),0,SUMIFS($J:$J,$B:$B,$B388,$A:$A,"&gt;="&amp;COUNTIFS($K$1:U$1,"&lt;&gt;"))),0)</f>
        <v>0</v>
      </c>
      <c r="V388">
        <f>IFERROR($J388/IF($A388&lt;COUNTIFS($K$1:V$1,"&lt;&gt;"),0,SUMIFS($J:$J,$B:$B,$B388,$A:$A,"&gt;="&amp;COUNTIFS($K$1:V$1,"&lt;&gt;"))),0)</f>
        <v>0</v>
      </c>
      <c r="W388">
        <f t="shared" si="156"/>
        <v>8.4931506849315067E-2</v>
      </c>
      <c r="X388">
        <f t="shared" si="136"/>
        <v>8.4931506849315067E-2</v>
      </c>
      <c r="Y388">
        <f t="shared" si="137"/>
        <v>8.4931506849315067E-2</v>
      </c>
      <c r="Z388">
        <f t="shared" si="138"/>
        <v>8.4931506849315067E-2</v>
      </c>
      <c r="AA388">
        <f t="shared" si="139"/>
        <v>8.4931506849315067E-2</v>
      </c>
      <c r="AB388">
        <f t="shared" si="140"/>
        <v>8.4931506849315067E-2</v>
      </c>
      <c r="AC388">
        <f t="shared" si="141"/>
        <v>8.4931506849315067E-2</v>
      </c>
      <c r="AD388">
        <f t="shared" si="142"/>
        <v>8.4931506849315067E-2</v>
      </c>
      <c r="AE388">
        <f t="shared" si="143"/>
        <v>8.4931506849315067E-2</v>
      </c>
      <c r="AF388">
        <f t="shared" si="144"/>
        <v>8.4931506849315067E-2</v>
      </c>
      <c r="AG388">
        <f t="shared" si="145"/>
        <v>0</v>
      </c>
      <c r="AH388">
        <f t="shared" si="146"/>
        <v>0</v>
      </c>
      <c r="AI388">
        <f t="shared" si="147"/>
        <v>0</v>
      </c>
      <c r="AJ388" s="2" t="str">
        <f t="shared" si="157"/>
        <v>944713</v>
      </c>
    </row>
    <row r="389" spans="1:36" x14ac:dyDescent="0.25">
      <c r="A389">
        <v>10</v>
      </c>
      <c r="B389" s="1">
        <v>44713</v>
      </c>
      <c r="C389" s="1">
        <f t="shared" si="148"/>
        <v>45017</v>
      </c>
      <c r="D389" s="1">
        <f t="shared" si="149"/>
        <v>44727</v>
      </c>
      <c r="E389" s="1">
        <f t="shared" si="150"/>
        <v>45017</v>
      </c>
      <c r="F389" s="1">
        <f t="shared" si="151"/>
        <v>45047</v>
      </c>
      <c r="G389" s="1">
        <f t="shared" si="152"/>
        <v>45092</v>
      </c>
      <c r="H389">
        <f t="shared" si="153"/>
        <v>365</v>
      </c>
      <c r="I389">
        <f t="shared" si="154"/>
        <v>30</v>
      </c>
      <c r="J389">
        <f t="shared" si="155"/>
        <v>8.2191780821917804E-2</v>
      </c>
      <c r="K389">
        <f>IFERROR($J389/IF($A389&lt;COUNTIFS($K$1:K$1,"&lt;&gt;"),0,SUMIFS($J:$J,$B:$B,$B389,$A:$A,"&gt;="&amp;COUNTIFS($K$1:K$1,"&lt;&gt;"))),0)</f>
        <v>8.5959885386819493E-2</v>
      </c>
      <c r="L389">
        <f>IFERROR($J389/IF($A389&lt;COUNTIFS($K$1:L$1,"&lt;&gt;"),0,SUMIFS($J:$J,$B:$B,$B389,$A:$A,"&gt;="&amp;COUNTIFS($K$1:L$1,"&lt;&gt;"))),0)</f>
        <v>9.4339622641509441E-2</v>
      </c>
      <c r="M389">
        <f>IFERROR($J389/IF($A389&lt;COUNTIFS($K$1:M$1,"&lt;&gt;"),0,SUMIFS($J:$J,$B:$B,$B389,$A:$A,"&gt;="&amp;COUNTIFS($K$1:M$1,"&lt;&gt;"))),0)</f>
        <v>0.10452961672473869</v>
      </c>
      <c r="N389">
        <f>IFERROR($J389/IF($A389&lt;COUNTIFS($K$1:N$1,"&lt;&gt;"),0,SUMIFS($J:$J,$B:$B,$B389,$A:$A,"&gt;="&amp;COUNTIFS($K$1:N$1,"&lt;&gt;"))),0)</f>
        <v>0.11673151750972764</v>
      </c>
      <c r="O389">
        <f>IFERROR($J389/IF($A389&lt;COUNTIFS($K$1:O$1,"&lt;&gt;"),0,SUMIFS($J:$J,$B:$B,$B389,$A:$A,"&gt;="&amp;COUNTIFS($K$1:O$1,"&lt;&gt;"))),0)</f>
        <v>0.13274336283185842</v>
      </c>
      <c r="P389">
        <f>IFERROR($J389/IF($A389&lt;COUNTIFS($K$1:P$1,"&lt;&gt;"),0,SUMIFS($J:$J,$B:$B,$B389,$A:$A,"&gt;="&amp;COUNTIFS($K$1:P$1,"&lt;&gt;"))),0)</f>
        <v>0.15306122448979595</v>
      </c>
      <c r="Q389">
        <f>IFERROR($J389/IF($A389&lt;COUNTIFS($K$1:Q$1,"&lt;&gt;"),0,SUMIFS($J:$J,$B:$B,$B389,$A:$A,"&gt;="&amp;COUNTIFS($K$1:Q$1,"&lt;&gt;"))),0)</f>
        <v>0.18181818181818182</v>
      </c>
      <c r="R389">
        <f>IFERROR($J389/IF($A389&lt;COUNTIFS($K$1:R$1,"&lt;&gt;"),0,SUMIFS($J:$J,$B:$B,$B389,$A:$A,"&gt;="&amp;COUNTIFS($K$1:R$1,"&lt;&gt;"))),0)</f>
        <v>0.22388059701492535</v>
      </c>
      <c r="S389">
        <f>IFERROR($J389/IF($A389&lt;COUNTIFS($K$1:S$1,"&lt;&gt;"),0,SUMIFS($J:$J,$B:$B,$B389,$A:$A,"&gt;="&amp;COUNTIFS($K$1:S$1,"&lt;&gt;"))),0)</f>
        <v>0.28301886792452829</v>
      </c>
      <c r="T389">
        <f>IFERROR($J389/IF($A389&lt;COUNTIFS($K$1:T$1,"&lt;&gt;"),0,SUMIFS($J:$J,$B:$B,$B389,$A:$A,"&gt;="&amp;COUNTIFS($K$1:T$1,"&lt;&gt;"))),0)</f>
        <v>0.4</v>
      </c>
      <c r="U389">
        <f>IFERROR($J389/IF($A389&lt;COUNTIFS($K$1:U$1,"&lt;&gt;"),0,SUMIFS($J:$J,$B:$B,$B389,$A:$A,"&gt;="&amp;COUNTIFS($K$1:U$1,"&lt;&gt;"))),0)</f>
        <v>0</v>
      </c>
      <c r="V389">
        <f>IFERROR($J389/IF($A389&lt;COUNTIFS($K$1:V$1,"&lt;&gt;"),0,SUMIFS($J:$J,$B:$B,$B389,$A:$A,"&gt;="&amp;COUNTIFS($K$1:V$1,"&lt;&gt;"))),0)</f>
        <v>0</v>
      </c>
      <c r="W389">
        <f t="shared" si="156"/>
        <v>8.2191780821917804E-2</v>
      </c>
      <c r="X389">
        <f t="shared" si="136"/>
        <v>8.2191780821917804E-2</v>
      </c>
      <c r="Y389">
        <f t="shared" si="137"/>
        <v>8.2191780821917804E-2</v>
      </c>
      <c r="Z389">
        <f t="shared" si="138"/>
        <v>8.2191780821917804E-2</v>
      </c>
      <c r="AA389">
        <f t="shared" si="139"/>
        <v>8.2191780821917804E-2</v>
      </c>
      <c r="AB389">
        <f t="shared" si="140"/>
        <v>8.2191780821917804E-2</v>
      </c>
      <c r="AC389">
        <f t="shared" si="141"/>
        <v>8.2191780821917804E-2</v>
      </c>
      <c r="AD389">
        <f t="shared" si="142"/>
        <v>8.2191780821917804E-2</v>
      </c>
      <c r="AE389">
        <f t="shared" si="143"/>
        <v>8.2191780821917804E-2</v>
      </c>
      <c r="AF389">
        <f t="shared" si="144"/>
        <v>8.2191780821917804E-2</v>
      </c>
      <c r="AG389">
        <f t="shared" si="145"/>
        <v>8.2191780821917804E-2</v>
      </c>
      <c r="AH389">
        <f t="shared" si="146"/>
        <v>0</v>
      </c>
      <c r="AI389">
        <f t="shared" si="147"/>
        <v>0</v>
      </c>
      <c r="AJ389" s="2" t="str">
        <f t="shared" si="157"/>
        <v>1044713</v>
      </c>
    </row>
    <row r="390" spans="1:36" x14ac:dyDescent="0.25">
      <c r="A390">
        <v>11</v>
      </c>
      <c r="B390" s="1">
        <v>44713</v>
      </c>
      <c r="C390" s="1">
        <f t="shared" si="148"/>
        <v>45047</v>
      </c>
      <c r="D390" s="1">
        <f t="shared" si="149"/>
        <v>44727</v>
      </c>
      <c r="E390" s="1">
        <f t="shared" si="150"/>
        <v>45047</v>
      </c>
      <c r="F390" s="1">
        <f t="shared" si="151"/>
        <v>45078</v>
      </c>
      <c r="G390" s="1">
        <f t="shared" si="152"/>
        <v>45092</v>
      </c>
      <c r="H390">
        <f t="shared" si="153"/>
        <v>365</v>
      </c>
      <c r="I390">
        <f t="shared" si="154"/>
        <v>31</v>
      </c>
      <c r="J390">
        <f t="shared" si="155"/>
        <v>8.4931506849315067E-2</v>
      </c>
      <c r="K390">
        <f>IFERROR($J390/IF($A390&lt;COUNTIFS($K$1:K$1,"&lt;&gt;"),0,SUMIFS($J:$J,$B:$B,$B390,$A:$A,"&gt;="&amp;COUNTIFS($K$1:K$1,"&lt;&gt;"))),0)</f>
        <v>8.8825214899713484E-2</v>
      </c>
      <c r="L390">
        <f>IFERROR($J390/IF($A390&lt;COUNTIFS($K$1:L$1,"&lt;&gt;"),0,SUMIFS($J:$J,$B:$B,$B390,$A:$A,"&gt;="&amp;COUNTIFS($K$1:L$1,"&lt;&gt;"))),0)</f>
        <v>9.7484276729559768E-2</v>
      </c>
      <c r="M390">
        <f>IFERROR($J390/IF($A390&lt;COUNTIFS($K$1:M$1,"&lt;&gt;"),0,SUMIFS($J:$J,$B:$B,$B390,$A:$A,"&gt;="&amp;COUNTIFS($K$1:M$1,"&lt;&gt;"))),0)</f>
        <v>0.10801393728222998</v>
      </c>
      <c r="N390">
        <f>IFERROR($J390/IF($A390&lt;COUNTIFS($K$1:N$1,"&lt;&gt;"),0,SUMIFS($J:$J,$B:$B,$B390,$A:$A,"&gt;="&amp;COUNTIFS($K$1:N$1,"&lt;&gt;"))),0)</f>
        <v>0.12062256809338523</v>
      </c>
      <c r="O390">
        <f>IFERROR($J390/IF($A390&lt;COUNTIFS($K$1:O$1,"&lt;&gt;"),0,SUMIFS($J:$J,$B:$B,$B390,$A:$A,"&gt;="&amp;COUNTIFS($K$1:O$1,"&lt;&gt;"))),0)</f>
        <v>0.13716814159292037</v>
      </c>
      <c r="P390">
        <f>IFERROR($J390/IF($A390&lt;COUNTIFS($K$1:P$1,"&lt;&gt;"),0,SUMIFS($J:$J,$B:$B,$B390,$A:$A,"&gt;="&amp;COUNTIFS($K$1:P$1,"&lt;&gt;"))),0)</f>
        <v>0.15816326530612249</v>
      </c>
      <c r="Q390">
        <f>IFERROR($J390/IF($A390&lt;COUNTIFS($K$1:Q$1,"&lt;&gt;"),0,SUMIFS($J:$J,$B:$B,$B390,$A:$A,"&gt;="&amp;COUNTIFS($K$1:Q$1,"&lt;&gt;"))),0)</f>
        <v>0.1878787878787879</v>
      </c>
      <c r="R390">
        <f>IFERROR($J390/IF($A390&lt;COUNTIFS($K$1:R$1,"&lt;&gt;"),0,SUMIFS($J:$J,$B:$B,$B390,$A:$A,"&gt;="&amp;COUNTIFS($K$1:R$1,"&lt;&gt;"))),0)</f>
        <v>0.23134328358208955</v>
      </c>
      <c r="S390">
        <f>IFERROR($J390/IF($A390&lt;COUNTIFS($K$1:S$1,"&lt;&gt;"),0,SUMIFS($J:$J,$B:$B,$B390,$A:$A,"&gt;="&amp;COUNTIFS($K$1:S$1,"&lt;&gt;"))),0)</f>
        <v>0.29245283018867929</v>
      </c>
      <c r="T390">
        <f>IFERROR($J390/IF($A390&lt;COUNTIFS($K$1:T$1,"&lt;&gt;"),0,SUMIFS($J:$J,$B:$B,$B390,$A:$A,"&gt;="&amp;COUNTIFS($K$1:T$1,"&lt;&gt;"))),0)</f>
        <v>0.41333333333333333</v>
      </c>
      <c r="U390">
        <f>IFERROR($J390/IF($A390&lt;COUNTIFS($K$1:U$1,"&lt;&gt;"),0,SUMIFS($J:$J,$B:$B,$B390,$A:$A,"&gt;="&amp;COUNTIFS($K$1:U$1,"&lt;&gt;"))),0)</f>
        <v>0.68888888888888888</v>
      </c>
      <c r="V390">
        <f>IFERROR($J390/IF($A390&lt;COUNTIFS($K$1:V$1,"&lt;&gt;"),0,SUMIFS($J:$J,$B:$B,$B390,$A:$A,"&gt;="&amp;COUNTIFS($K$1:V$1,"&lt;&gt;"))),0)</f>
        <v>0</v>
      </c>
      <c r="W390">
        <f t="shared" si="156"/>
        <v>8.4931506849315067E-2</v>
      </c>
      <c r="X390">
        <f t="shared" si="136"/>
        <v>8.4931506849315067E-2</v>
      </c>
      <c r="Y390">
        <f t="shared" si="137"/>
        <v>8.4931506849315067E-2</v>
      </c>
      <c r="Z390">
        <f t="shared" si="138"/>
        <v>8.4931506849315067E-2</v>
      </c>
      <c r="AA390">
        <f t="shared" si="139"/>
        <v>8.4931506849315067E-2</v>
      </c>
      <c r="AB390">
        <f t="shared" si="140"/>
        <v>8.4931506849315067E-2</v>
      </c>
      <c r="AC390">
        <f t="shared" si="141"/>
        <v>8.4931506849315067E-2</v>
      </c>
      <c r="AD390">
        <f t="shared" si="142"/>
        <v>8.4931506849315067E-2</v>
      </c>
      <c r="AE390">
        <f t="shared" si="143"/>
        <v>8.4931506849315067E-2</v>
      </c>
      <c r="AF390">
        <f t="shared" si="144"/>
        <v>8.4931506849315067E-2</v>
      </c>
      <c r="AG390">
        <f t="shared" si="145"/>
        <v>8.4931506849315067E-2</v>
      </c>
      <c r="AH390">
        <f t="shared" si="146"/>
        <v>8.4931506849315067E-2</v>
      </c>
      <c r="AI390">
        <f t="shared" si="147"/>
        <v>0</v>
      </c>
      <c r="AJ390" s="2" t="str">
        <f t="shared" si="157"/>
        <v>1144713</v>
      </c>
    </row>
    <row r="391" spans="1:36" x14ac:dyDescent="0.25">
      <c r="A391">
        <v>12</v>
      </c>
      <c r="B391" s="1">
        <v>44713</v>
      </c>
      <c r="C391" s="1">
        <f t="shared" si="148"/>
        <v>45078</v>
      </c>
      <c r="D391" s="1">
        <f t="shared" si="149"/>
        <v>44727</v>
      </c>
      <c r="E391" s="1">
        <f t="shared" si="150"/>
        <v>45078</v>
      </c>
      <c r="F391" s="1">
        <f t="shared" si="151"/>
        <v>45092</v>
      </c>
      <c r="G391" s="1">
        <f t="shared" si="152"/>
        <v>45092</v>
      </c>
      <c r="H391">
        <f t="shared" si="153"/>
        <v>365</v>
      </c>
      <c r="I391">
        <f t="shared" si="154"/>
        <v>14</v>
      </c>
      <c r="J391">
        <f t="shared" si="155"/>
        <v>3.8356164383561646E-2</v>
      </c>
      <c r="K391">
        <f>IFERROR($J391/IF($A391&lt;COUNTIFS($K$1:K$1,"&lt;&gt;"),0,SUMIFS($J:$J,$B:$B,$B391,$A:$A,"&gt;="&amp;COUNTIFS($K$1:K$1,"&lt;&gt;"))),0)</f>
        <v>4.0114613180515769E-2</v>
      </c>
      <c r="L391">
        <f>IFERROR($J391/IF($A391&lt;COUNTIFS($K$1:L$1,"&lt;&gt;"),0,SUMIFS($J:$J,$B:$B,$B391,$A:$A,"&gt;="&amp;COUNTIFS($K$1:L$1,"&lt;&gt;"))),0)</f>
        <v>4.4025157232704414E-2</v>
      </c>
      <c r="M391">
        <f>IFERROR($J391/IF($A391&lt;COUNTIFS($K$1:M$1,"&lt;&gt;"),0,SUMIFS($J:$J,$B:$B,$B391,$A:$A,"&gt;="&amp;COUNTIFS($K$1:M$1,"&lt;&gt;"))),0)</f>
        <v>4.8780487804878057E-2</v>
      </c>
      <c r="N391">
        <f>IFERROR($J391/IF($A391&lt;COUNTIFS($K$1:N$1,"&lt;&gt;"),0,SUMIFS($J:$J,$B:$B,$B391,$A:$A,"&gt;="&amp;COUNTIFS($K$1:N$1,"&lt;&gt;"))),0)</f>
        <v>5.447470817120624E-2</v>
      </c>
      <c r="O391">
        <f>IFERROR($J391/IF($A391&lt;COUNTIFS($K$1:O$1,"&lt;&gt;"),0,SUMIFS($J:$J,$B:$B,$B391,$A:$A,"&gt;="&amp;COUNTIFS($K$1:O$1,"&lt;&gt;"))),0)</f>
        <v>6.194690265486727E-2</v>
      </c>
      <c r="P391">
        <f>IFERROR($J391/IF($A391&lt;COUNTIFS($K$1:P$1,"&lt;&gt;"),0,SUMIFS($J:$J,$B:$B,$B391,$A:$A,"&gt;="&amp;COUNTIFS($K$1:P$1,"&lt;&gt;"))),0)</f>
        <v>7.1428571428571438E-2</v>
      </c>
      <c r="Q391">
        <f>IFERROR($J391/IF($A391&lt;COUNTIFS($K$1:Q$1,"&lt;&gt;"),0,SUMIFS($J:$J,$B:$B,$B391,$A:$A,"&gt;="&amp;COUNTIFS($K$1:Q$1,"&lt;&gt;"))),0)</f>
        <v>8.4848484848484854E-2</v>
      </c>
      <c r="R391">
        <f>IFERROR($J391/IF($A391&lt;COUNTIFS($K$1:R$1,"&lt;&gt;"),0,SUMIFS($J:$J,$B:$B,$B391,$A:$A,"&gt;="&amp;COUNTIFS($K$1:R$1,"&lt;&gt;"))),0)</f>
        <v>0.10447761194029852</v>
      </c>
      <c r="S391">
        <f>IFERROR($J391/IF($A391&lt;COUNTIFS($K$1:S$1,"&lt;&gt;"),0,SUMIFS($J:$J,$B:$B,$B391,$A:$A,"&gt;="&amp;COUNTIFS($K$1:S$1,"&lt;&gt;"))),0)</f>
        <v>0.13207547169811323</v>
      </c>
      <c r="T391">
        <f>IFERROR($J391/IF($A391&lt;COUNTIFS($K$1:T$1,"&lt;&gt;"),0,SUMIFS($J:$J,$B:$B,$B391,$A:$A,"&gt;="&amp;COUNTIFS($K$1:T$1,"&lt;&gt;"))),0)</f>
        <v>0.18666666666666668</v>
      </c>
      <c r="U391">
        <f>IFERROR($J391/IF($A391&lt;COUNTIFS($K$1:U$1,"&lt;&gt;"),0,SUMIFS($J:$J,$B:$B,$B391,$A:$A,"&gt;="&amp;COUNTIFS($K$1:U$1,"&lt;&gt;"))),0)</f>
        <v>0.31111111111111117</v>
      </c>
      <c r="V391">
        <f>IFERROR($J391/IF($A391&lt;COUNTIFS($K$1:V$1,"&lt;&gt;"),0,SUMIFS($J:$J,$B:$B,$B391,$A:$A,"&gt;="&amp;COUNTIFS($K$1:V$1,"&lt;&gt;"))),0)</f>
        <v>1</v>
      </c>
      <c r="W391">
        <f t="shared" si="156"/>
        <v>3.8356164383561646E-2</v>
      </c>
      <c r="X391">
        <f t="shared" si="136"/>
        <v>3.8356164383561646E-2</v>
      </c>
      <c r="Y391">
        <f t="shared" si="137"/>
        <v>3.8356164383561646E-2</v>
      </c>
      <c r="Z391">
        <f t="shared" si="138"/>
        <v>3.8356164383561646E-2</v>
      </c>
      <c r="AA391">
        <f t="shared" si="139"/>
        <v>3.8356164383561646E-2</v>
      </c>
      <c r="AB391">
        <f t="shared" si="140"/>
        <v>3.8356164383561646E-2</v>
      </c>
      <c r="AC391">
        <f t="shared" si="141"/>
        <v>3.8356164383561646E-2</v>
      </c>
      <c r="AD391">
        <f t="shared" si="142"/>
        <v>3.8356164383561646E-2</v>
      </c>
      <c r="AE391">
        <f t="shared" si="143"/>
        <v>3.8356164383561646E-2</v>
      </c>
      <c r="AF391">
        <f t="shared" si="144"/>
        <v>3.8356164383561646E-2</v>
      </c>
      <c r="AG391">
        <f t="shared" si="145"/>
        <v>3.8356164383561646E-2</v>
      </c>
      <c r="AH391">
        <f t="shared" si="146"/>
        <v>3.8356164383561646E-2</v>
      </c>
      <c r="AI391">
        <f t="shared" si="147"/>
        <v>3.8356164383561646E-2</v>
      </c>
      <c r="AJ391" s="2" t="str">
        <f t="shared" si="157"/>
        <v>1244713</v>
      </c>
    </row>
    <row r="392" spans="1:36" x14ac:dyDescent="0.25">
      <c r="A392">
        <v>0</v>
      </c>
      <c r="B392" s="1">
        <v>44743</v>
      </c>
      <c r="C392" s="1">
        <f t="shared" si="148"/>
        <v>44743</v>
      </c>
      <c r="D392" s="1">
        <f t="shared" si="149"/>
        <v>44757</v>
      </c>
      <c r="E392" s="1">
        <f t="shared" si="150"/>
        <v>44757</v>
      </c>
      <c r="F392" s="1">
        <f t="shared" si="151"/>
        <v>44774</v>
      </c>
      <c r="G392" s="1">
        <f t="shared" si="152"/>
        <v>45122</v>
      </c>
      <c r="H392">
        <f t="shared" si="153"/>
        <v>365</v>
      </c>
      <c r="I392">
        <f t="shared" si="154"/>
        <v>17</v>
      </c>
      <c r="J392">
        <f t="shared" si="155"/>
        <v>4.6575342465753428E-2</v>
      </c>
      <c r="K392">
        <f>IFERROR($J392/IF($A392&lt;COUNTIFS($K$1:K$1,"&lt;&gt;"),0,SUMIFS($J:$J,$B:$B,$B392,$A:$A,"&gt;="&amp;COUNTIFS($K$1:K$1,"&lt;&gt;"))),0)</f>
        <v>0</v>
      </c>
      <c r="L392">
        <f>IFERROR($J392/IF($A392&lt;COUNTIFS($K$1:L$1,"&lt;&gt;"),0,SUMIFS($J:$J,$B:$B,$B392,$A:$A,"&gt;="&amp;COUNTIFS($K$1:L$1,"&lt;&gt;"))),0)</f>
        <v>0</v>
      </c>
      <c r="M392">
        <f>IFERROR($J392/IF($A392&lt;COUNTIFS($K$1:M$1,"&lt;&gt;"),0,SUMIFS($J:$J,$B:$B,$B392,$A:$A,"&gt;="&amp;COUNTIFS($K$1:M$1,"&lt;&gt;"))),0)</f>
        <v>0</v>
      </c>
      <c r="N392">
        <f>IFERROR($J392/IF($A392&lt;COUNTIFS($K$1:N$1,"&lt;&gt;"),0,SUMIFS($J:$J,$B:$B,$B392,$A:$A,"&gt;="&amp;COUNTIFS($K$1:N$1,"&lt;&gt;"))),0)</f>
        <v>0</v>
      </c>
      <c r="O392">
        <f>IFERROR($J392/IF($A392&lt;COUNTIFS($K$1:O$1,"&lt;&gt;"),0,SUMIFS($J:$J,$B:$B,$B392,$A:$A,"&gt;="&amp;COUNTIFS($K$1:O$1,"&lt;&gt;"))),0)</f>
        <v>0</v>
      </c>
      <c r="P392">
        <f>IFERROR($J392/IF($A392&lt;COUNTIFS($K$1:P$1,"&lt;&gt;"),0,SUMIFS($J:$J,$B:$B,$B392,$A:$A,"&gt;="&amp;COUNTIFS($K$1:P$1,"&lt;&gt;"))),0)</f>
        <v>0</v>
      </c>
      <c r="Q392">
        <f>IFERROR($J392/IF($A392&lt;COUNTIFS($K$1:Q$1,"&lt;&gt;"),0,SUMIFS($J:$J,$B:$B,$B392,$A:$A,"&gt;="&amp;COUNTIFS($K$1:Q$1,"&lt;&gt;"))),0)</f>
        <v>0</v>
      </c>
      <c r="R392">
        <f>IFERROR($J392/IF($A392&lt;COUNTIFS($K$1:R$1,"&lt;&gt;"),0,SUMIFS($J:$J,$B:$B,$B392,$A:$A,"&gt;="&amp;COUNTIFS($K$1:R$1,"&lt;&gt;"))),0)</f>
        <v>0</v>
      </c>
      <c r="S392">
        <f>IFERROR($J392/IF($A392&lt;COUNTIFS($K$1:S$1,"&lt;&gt;"),0,SUMIFS($J:$J,$B:$B,$B392,$A:$A,"&gt;="&amp;COUNTIFS($K$1:S$1,"&lt;&gt;"))),0)</f>
        <v>0</v>
      </c>
      <c r="T392">
        <f>IFERROR($J392/IF($A392&lt;COUNTIFS($K$1:T$1,"&lt;&gt;"),0,SUMIFS($J:$J,$B:$B,$B392,$A:$A,"&gt;="&amp;COUNTIFS($K$1:T$1,"&lt;&gt;"))),0)</f>
        <v>0</v>
      </c>
      <c r="U392">
        <f>IFERROR($J392/IF($A392&lt;COUNTIFS($K$1:U$1,"&lt;&gt;"),0,SUMIFS($J:$J,$B:$B,$B392,$A:$A,"&gt;="&amp;COUNTIFS($K$1:U$1,"&lt;&gt;"))),0)</f>
        <v>0</v>
      </c>
      <c r="V392">
        <f>IFERROR($J392/IF($A392&lt;COUNTIFS($K$1:V$1,"&lt;&gt;"),0,SUMIFS($J:$J,$B:$B,$B392,$A:$A,"&gt;="&amp;COUNTIFS($K$1:V$1,"&lt;&gt;"))),0)</f>
        <v>0</v>
      </c>
      <c r="W392">
        <f t="shared" si="156"/>
        <v>4.6575342465753428E-2</v>
      </c>
      <c r="X392">
        <f t="shared" si="136"/>
        <v>0</v>
      </c>
      <c r="Y392">
        <f t="shared" si="137"/>
        <v>0</v>
      </c>
      <c r="Z392">
        <f t="shared" si="138"/>
        <v>0</v>
      </c>
      <c r="AA392">
        <f t="shared" si="139"/>
        <v>0</v>
      </c>
      <c r="AB392">
        <f t="shared" si="140"/>
        <v>0</v>
      </c>
      <c r="AC392">
        <f t="shared" si="141"/>
        <v>0</v>
      </c>
      <c r="AD392">
        <f t="shared" si="142"/>
        <v>0</v>
      </c>
      <c r="AE392">
        <f t="shared" si="143"/>
        <v>0</v>
      </c>
      <c r="AF392">
        <f t="shared" si="144"/>
        <v>0</v>
      </c>
      <c r="AG392">
        <f t="shared" si="145"/>
        <v>0</v>
      </c>
      <c r="AH392">
        <f t="shared" si="146"/>
        <v>0</v>
      </c>
      <c r="AI392">
        <f t="shared" si="147"/>
        <v>0</v>
      </c>
      <c r="AJ392" s="2" t="str">
        <f t="shared" si="157"/>
        <v>044743</v>
      </c>
    </row>
    <row r="393" spans="1:36" x14ac:dyDescent="0.25">
      <c r="A393">
        <v>1</v>
      </c>
      <c r="B393" s="1">
        <v>44743</v>
      </c>
      <c r="C393" s="1">
        <f t="shared" si="148"/>
        <v>44774</v>
      </c>
      <c r="D393" s="1">
        <f t="shared" si="149"/>
        <v>44757</v>
      </c>
      <c r="E393" s="1">
        <f t="shared" si="150"/>
        <v>44774</v>
      </c>
      <c r="F393" s="1">
        <f t="shared" si="151"/>
        <v>44805</v>
      </c>
      <c r="G393" s="1">
        <f t="shared" si="152"/>
        <v>45122</v>
      </c>
      <c r="H393">
        <f t="shared" si="153"/>
        <v>365</v>
      </c>
      <c r="I393">
        <f t="shared" si="154"/>
        <v>31</v>
      </c>
      <c r="J393">
        <f t="shared" si="155"/>
        <v>8.4931506849315067E-2</v>
      </c>
      <c r="K393">
        <f>IFERROR($J393/IF($A393&lt;COUNTIFS($K$1:K$1,"&lt;&gt;"),0,SUMIFS($J:$J,$B:$B,$B393,$A:$A,"&gt;="&amp;COUNTIFS($K$1:K$1,"&lt;&gt;"))),0)</f>
        <v>8.9080459770114959E-2</v>
      </c>
      <c r="L393">
        <f>IFERROR($J393/IF($A393&lt;COUNTIFS($K$1:L$1,"&lt;&gt;"),0,SUMIFS($J:$J,$B:$B,$B393,$A:$A,"&gt;="&amp;COUNTIFS($K$1:L$1,"&lt;&gt;"))),0)</f>
        <v>0</v>
      </c>
      <c r="M393">
        <f>IFERROR($J393/IF($A393&lt;COUNTIFS($K$1:M$1,"&lt;&gt;"),0,SUMIFS($J:$J,$B:$B,$B393,$A:$A,"&gt;="&amp;COUNTIFS($K$1:M$1,"&lt;&gt;"))),0)</f>
        <v>0</v>
      </c>
      <c r="N393">
        <f>IFERROR($J393/IF($A393&lt;COUNTIFS($K$1:N$1,"&lt;&gt;"),0,SUMIFS($J:$J,$B:$B,$B393,$A:$A,"&gt;="&amp;COUNTIFS($K$1:N$1,"&lt;&gt;"))),0)</f>
        <v>0</v>
      </c>
      <c r="O393">
        <f>IFERROR($J393/IF($A393&lt;COUNTIFS($K$1:O$1,"&lt;&gt;"),0,SUMIFS($J:$J,$B:$B,$B393,$A:$A,"&gt;="&amp;COUNTIFS($K$1:O$1,"&lt;&gt;"))),0)</f>
        <v>0</v>
      </c>
      <c r="P393">
        <f>IFERROR($J393/IF($A393&lt;COUNTIFS($K$1:P$1,"&lt;&gt;"),0,SUMIFS($J:$J,$B:$B,$B393,$A:$A,"&gt;="&amp;COUNTIFS($K$1:P$1,"&lt;&gt;"))),0)</f>
        <v>0</v>
      </c>
      <c r="Q393">
        <f>IFERROR($J393/IF($A393&lt;COUNTIFS($K$1:Q$1,"&lt;&gt;"),0,SUMIFS($J:$J,$B:$B,$B393,$A:$A,"&gt;="&amp;COUNTIFS($K$1:Q$1,"&lt;&gt;"))),0)</f>
        <v>0</v>
      </c>
      <c r="R393">
        <f>IFERROR($J393/IF($A393&lt;COUNTIFS($K$1:R$1,"&lt;&gt;"),0,SUMIFS($J:$J,$B:$B,$B393,$A:$A,"&gt;="&amp;COUNTIFS($K$1:R$1,"&lt;&gt;"))),0)</f>
        <v>0</v>
      </c>
      <c r="S393">
        <f>IFERROR($J393/IF($A393&lt;COUNTIFS($K$1:S$1,"&lt;&gt;"),0,SUMIFS($J:$J,$B:$B,$B393,$A:$A,"&gt;="&amp;COUNTIFS($K$1:S$1,"&lt;&gt;"))),0)</f>
        <v>0</v>
      </c>
      <c r="T393">
        <f>IFERROR($J393/IF($A393&lt;COUNTIFS($K$1:T$1,"&lt;&gt;"),0,SUMIFS($J:$J,$B:$B,$B393,$A:$A,"&gt;="&amp;COUNTIFS($K$1:T$1,"&lt;&gt;"))),0)</f>
        <v>0</v>
      </c>
      <c r="U393">
        <f>IFERROR($J393/IF($A393&lt;COUNTIFS($K$1:U$1,"&lt;&gt;"),0,SUMIFS($J:$J,$B:$B,$B393,$A:$A,"&gt;="&amp;COUNTIFS($K$1:U$1,"&lt;&gt;"))),0)</f>
        <v>0</v>
      </c>
      <c r="V393">
        <f>IFERROR($J393/IF($A393&lt;COUNTIFS($K$1:V$1,"&lt;&gt;"),0,SUMIFS($J:$J,$B:$B,$B393,$A:$A,"&gt;="&amp;COUNTIFS($K$1:V$1,"&lt;&gt;"))),0)</f>
        <v>0</v>
      </c>
      <c r="W393">
        <f t="shared" si="156"/>
        <v>8.4931506849315067E-2</v>
      </c>
      <c r="X393">
        <f t="shared" si="136"/>
        <v>8.4931506849315067E-2</v>
      </c>
      <c r="Y393">
        <f t="shared" si="137"/>
        <v>0</v>
      </c>
      <c r="Z393">
        <f t="shared" si="138"/>
        <v>0</v>
      </c>
      <c r="AA393">
        <f t="shared" si="139"/>
        <v>0</v>
      </c>
      <c r="AB393">
        <f t="shared" si="140"/>
        <v>0</v>
      </c>
      <c r="AC393">
        <f t="shared" si="141"/>
        <v>0</v>
      </c>
      <c r="AD393">
        <f t="shared" si="142"/>
        <v>0</v>
      </c>
      <c r="AE393">
        <f t="shared" si="143"/>
        <v>0</v>
      </c>
      <c r="AF393">
        <f t="shared" si="144"/>
        <v>0</v>
      </c>
      <c r="AG393">
        <f t="shared" si="145"/>
        <v>0</v>
      </c>
      <c r="AH393">
        <f t="shared" si="146"/>
        <v>0</v>
      </c>
      <c r="AI393">
        <f t="shared" si="147"/>
        <v>0</v>
      </c>
      <c r="AJ393" s="2" t="str">
        <f t="shared" si="157"/>
        <v>144743</v>
      </c>
    </row>
    <row r="394" spans="1:36" x14ac:dyDescent="0.25">
      <c r="A394">
        <v>2</v>
      </c>
      <c r="B394" s="1">
        <v>44743</v>
      </c>
      <c r="C394" s="1">
        <f t="shared" si="148"/>
        <v>44805</v>
      </c>
      <c r="D394" s="1">
        <f t="shared" si="149"/>
        <v>44757</v>
      </c>
      <c r="E394" s="1">
        <f t="shared" si="150"/>
        <v>44805</v>
      </c>
      <c r="F394" s="1">
        <f t="shared" si="151"/>
        <v>44835</v>
      </c>
      <c r="G394" s="1">
        <f t="shared" si="152"/>
        <v>45122</v>
      </c>
      <c r="H394">
        <f t="shared" si="153"/>
        <v>365</v>
      </c>
      <c r="I394">
        <f t="shared" si="154"/>
        <v>30</v>
      </c>
      <c r="J394">
        <f t="shared" si="155"/>
        <v>8.2191780821917804E-2</v>
      </c>
      <c r="K394">
        <f>IFERROR($J394/IF($A394&lt;COUNTIFS($K$1:K$1,"&lt;&gt;"),0,SUMIFS($J:$J,$B:$B,$B394,$A:$A,"&gt;="&amp;COUNTIFS($K$1:K$1,"&lt;&gt;"))),0)</f>
        <v>8.6206896551724144E-2</v>
      </c>
      <c r="L394">
        <f>IFERROR($J394/IF($A394&lt;COUNTIFS($K$1:L$1,"&lt;&gt;"),0,SUMIFS($J:$J,$B:$B,$B394,$A:$A,"&gt;="&amp;COUNTIFS($K$1:L$1,"&lt;&gt;"))),0)</f>
        <v>9.4637223974763415E-2</v>
      </c>
      <c r="M394">
        <f>IFERROR($J394/IF($A394&lt;COUNTIFS($K$1:M$1,"&lt;&gt;"),0,SUMIFS($J:$J,$B:$B,$B394,$A:$A,"&gt;="&amp;COUNTIFS($K$1:M$1,"&lt;&gt;"))),0)</f>
        <v>0</v>
      </c>
      <c r="N394">
        <f>IFERROR($J394/IF($A394&lt;COUNTIFS($K$1:N$1,"&lt;&gt;"),0,SUMIFS($J:$J,$B:$B,$B394,$A:$A,"&gt;="&amp;COUNTIFS($K$1:N$1,"&lt;&gt;"))),0)</f>
        <v>0</v>
      </c>
      <c r="O394">
        <f>IFERROR($J394/IF($A394&lt;COUNTIFS($K$1:O$1,"&lt;&gt;"),0,SUMIFS($J:$J,$B:$B,$B394,$A:$A,"&gt;="&amp;COUNTIFS($K$1:O$1,"&lt;&gt;"))),0)</f>
        <v>0</v>
      </c>
      <c r="P394">
        <f>IFERROR($J394/IF($A394&lt;COUNTIFS($K$1:P$1,"&lt;&gt;"),0,SUMIFS($J:$J,$B:$B,$B394,$A:$A,"&gt;="&amp;COUNTIFS($K$1:P$1,"&lt;&gt;"))),0)</f>
        <v>0</v>
      </c>
      <c r="Q394">
        <f>IFERROR($J394/IF($A394&lt;COUNTIFS($K$1:Q$1,"&lt;&gt;"),0,SUMIFS($J:$J,$B:$B,$B394,$A:$A,"&gt;="&amp;COUNTIFS($K$1:Q$1,"&lt;&gt;"))),0)</f>
        <v>0</v>
      </c>
      <c r="R394">
        <f>IFERROR($J394/IF($A394&lt;COUNTIFS($K$1:R$1,"&lt;&gt;"),0,SUMIFS($J:$J,$B:$B,$B394,$A:$A,"&gt;="&amp;COUNTIFS($K$1:R$1,"&lt;&gt;"))),0)</f>
        <v>0</v>
      </c>
      <c r="S394">
        <f>IFERROR($J394/IF($A394&lt;COUNTIFS($K$1:S$1,"&lt;&gt;"),0,SUMIFS($J:$J,$B:$B,$B394,$A:$A,"&gt;="&amp;COUNTIFS($K$1:S$1,"&lt;&gt;"))),0)</f>
        <v>0</v>
      </c>
      <c r="T394">
        <f>IFERROR($J394/IF($A394&lt;COUNTIFS($K$1:T$1,"&lt;&gt;"),0,SUMIFS($J:$J,$B:$B,$B394,$A:$A,"&gt;="&amp;COUNTIFS($K$1:T$1,"&lt;&gt;"))),0)</f>
        <v>0</v>
      </c>
      <c r="U394">
        <f>IFERROR($J394/IF($A394&lt;COUNTIFS($K$1:U$1,"&lt;&gt;"),0,SUMIFS($J:$J,$B:$B,$B394,$A:$A,"&gt;="&amp;COUNTIFS($K$1:U$1,"&lt;&gt;"))),0)</f>
        <v>0</v>
      </c>
      <c r="V394">
        <f>IFERROR($J394/IF($A394&lt;COUNTIFS($K$1:V$1,"&lt;&gt;"),0,SUMIFS($J:$J,$B:$B,$B394,$A:$A,"&gt;="&amp;COUNTIFS($K$1:V$1,"&lt;&gt;"))),0)</f>
        <v>0</v>
      </c>
      <c r="W394">
        <f t="shared" si="156"/>
        <v>8.2191780821917804E-2</v>
      </c>
      <c r="X394">
        <f t="shared" si="136"/>
        <v>8.2191780821917804E-2</v>
      </c>
      <c r="Y394">
        <f t="shared" si="137"/>
        <v>8.2191780821917804E-2</v>
      </c>
      <c r="Z394">
        <f t="shared" si="138"/>
        <v>0</v>
      </c>
      <c r="AA394">
        <f t="shared" si="139"/>
        <v>0</v>
      </c>
      <c r="AB394">
        <f t="shared" si="140"/>
        <v>0</v>
      </c>
      <c r="AC394">
        <f t="shared" si="141"/>
        <v>0</v>
      </c>
      <c r="AD394">
        <f t="shared" si="142"/>
        <v>0</v>
      </c>
      <c r="AE394">
        <f t="shared" si="143"/>
        <v>0</v>
      </c>
      <c r="AF394">
        <f t="shared" si="144"/>
        <v>0</v>
      </c>
      <c r="AG394">
        <f t="shared" si="145"/>
        <v>0</v>
      </c>
      <c r="AH394">
        <f t="shared" si="146"/>
        <v>0</v>
      </c>
      <c r="AI394">
        <f t="shared" si="147"/>
        <v>0</v>
      </c>
      <c r="AJ394" s="2" t="str">
        <f t="shared" si="157"/>
        <v>244743</v>
      </c>
    </row>
    <row r="395" spans="1:36" x14ac:dyDescent="0.25">
      <c r="A395">
        <v>3</v>
      </c>
      <c r="B395" s="1">
        <v>44743</v>
      </c>
      <c r="C395" s="1">
        <f t="shared" si="148"/>
        <v>44835</v>
      </c>
      <c r="D395" s="1">
        <f t="shared" si="149"/>
        <v>44757</v>
      </c>
      <c r="E395" s="1">
        <f t="shared" si="150"/>
        <v>44835</v>
      </c>
      <c r="F395" s="1">
        <f t="shared" si="151"/>
        <v>44866</v>
      </c>
      <c r="G395" s="1">
        <f t="shared" si="152"/>
        <v>45122</v>
      </c>
      <c r="H395">
        <f t="shared" si="153"/>
        <v>365</v>
      </c>
      <c r="I395">
        <f t="shared" si="154"/>
        <v>31</v>
      </c>
      <c r="J395">
        <f t="shared" si="155"/>
        <v>8.4931506849315067E-2</v>
      </c>
      <c r="K395">
        <f>IFERROR($J395/IF($A395&lt;COUNTIFS($K$1:K$1,"&lt;&gt;"),0,SUMIFS($J:$J,$B:$B,$B395,$A:$A,"&gt;="&amp;COUNTIFS($K$1:K$1,"&lt;&gt;"))),0)</f>
        <v>8.9080459770114959E-2</v>
      </c>
      <c r="L395">
        <f>IFERROR($J395/IF($A395&lt;COUNTIFS($K$1:L$1,"&lt;&gt;"),0,SUMIFS($J:$J,$B:$B,$B395,$A:$A,"&gt;="&amp;COUNTIFS($K$1:L$1,"&lt;&gt;"))),0)</f>
        <v>9.7791798107255537E-2</v>
      </c>
      <c r="M395">
        <f>IFERROR($J395/IF($A395&lt;COUNTIFS($K$1:M$1,"&lt;&gt;"),0,SUMIFS($J:$J,$B:$B,$B395,$A:$A,"&gt;="&amp;COUNTIFS($K$1:M$1,"&lt;&gt;"))),0)</f>
        <v>0.10801393728222998</v>
      </c>
      <c r="N395">
        <f>IFERROR($J395/IF($A395&lt;COUNTIFS($K$1:N$1,"&lt;&gt;"),0,SUMIFS($J:$J,$B:$B,$B395,$A:$A,"&gt;="&amp;COUNTIFS($K$1:N$1,"&lt;&gt;"))),0)</f>
        <v>0</v>
      </c>
      <c r="O395">
        <f>IFERROR($J395/IF($A395&lt;COUNTIFS($K$1:O$1,"&lt;&gt;"),0,SUMIFS($J:$J,$B:$B,$B395,$A:$A,"&gt;="&amp;COUNTIFS($K$1:O$1,"&lt;&gt;"))),0)</f>
        <v>0</v>
      </c>
      <c r="P395">
        <f>IFERROR($J395/IF($A395&lt;COUNTIFS($K$1:P$1,"&lt;&gt;"),0,SUMIFS($J:$J,$B:$B,$B395,$A:$A,"&gt;="&amp;COUNTIFS($K$1:P$1,"&lt;&gt;"))),0)</f>
        <v>0</v>
      </c>
      <c r="Q395">
        <f>IFERROR($J395/IF($A395&lt;COUNTIFS($K$1:Q$1,"&lt;&gt;"),0,SUMIFS($J:$J,$B:$B,$B395,$A:$A,"&gt;="&amp;COUNTIFS($K$1:Q$1,"&lt;&gt;"))),0)</f>
        <v>0</v>
      </c>
      <c r="R395">
        <f>IFERROR($J395/IF($A395&lt;COUNTIFS($K$1:R$1,"&lt;&gt;"),0,SUMIFS($J:$J,$B:$B,$B395,$A:$A,"&gt;="&amp;COUNTIFS($K$1:R$1,"&lt;&gt;"))),0)</f>
        <v>0</v>
      </c>
      <c r="S395">
        <f>IFERROR($J395/IF($A395&lt;COUNTIFS($K$1:S$1,"&lt;&gt;"),0,SUMIFS($J:$J,$B:$B,$B395,$A:$A,"&gt;="&amp;COUNTIFS($K$1:S$1,"&lt;&gt;"))),0)</f>
        <v>0</v>
      </c>
      <c r="T395">
        <f>IFERROR($J395/IF($A395&lt;COUNTIFS($K$1:T$1,"&lt;&gt;"),0,SUMIFS($J:$J,$B:$B,$B395,$A:$A,"&gt;="&amp;COUNTIFS($K$1:T$1,"&lt;&gt;"))),0)</f>
        <v>0</v>
      </c>
      <c r="U395">
        <f>IFERROR($J395/IF($A395&lt;COUNTIFS($K$1:U$1,"&lt;&gt;"),0,SUMIFS($J:$J,$B:$B,$B395,$A:$A,"&gt;="&amp;COUNTIFS($K$1:U$1,"&lt;&gt;"))),0)</f>
        <v>0</v>
      </c>
      <c r="V395">
        <f>IFERROR($J395/IF($A395&lt;COUNTIFS($K$1:V$1,"&lt;&gt;"),0,SUMIFS($J:$J,$B:$B,$B395,$A:$A,"&gt;="&amp;COUNTIFS($K$1:V$1,"&lt;&gt;"))),0)</f>
        <v>0</v>
      </c>
      <c r="W395">
        <f t="shared" si="156"/>
        <v>8.4931506849315067E-2</v>
      </c>
      <c r="X395">
        <f t="shared" si="136"/>
        <v>8.4931506849315067E-2</v>
      </c>
      <c r="Y395">
        <f t="shared" si="137"/>
        <v>8.4931506849315067E-2</v>
      </c>
      <c r="Z395">
        <f t="shared" si="138"/>
        <v>8.4931506849315067E-2</v>
      </c>
      <c r="AA395">
        <f t="shared" si="139"/>
        <v>0</v>
      </c>
      <c r="AB395">
        <f t="shared" si="140"/>
        <v>0</v>
      </c>
      <c r="AC395">
        <f t="shared" si="141"/>
        <v>0</v>
      </c>
      <c r="AD395">
        <f t="shared" si="142"/>
        <v>0</v>
      </c>
      <c r="AE395">
        <f t="shared" si="143"/>
        <v>0</v>
      </c>
      <c r="AF395">
        <f t="shared" si="144"/>
        <v>0</v>
      </c>
      <c r="AG395">
        <f t="shared" si="145"/>
        <v>0</v>
      </c>
      <c r="AH395">
        <f t="shared" si="146"/>
        <v>0</v>
      </c>
      <c r="AI395">
        <f t="shared" si="147"/>
        <v>0</v>
      </c>
      <c r="AJ395" s="2" t="str">
        <f t="shared" si="157"/>
        <v>344743</v>
      </c>
    </row>
    <row r="396" spans="1:36" x14ac:dyDescent="0.25">
      <c r="A396">
        <v>4</v>
      </c>
      <c r="B396" s="1">
        <v>44743</v>
      </c>
      <c r="C396" s="1">
        <f t="shared" si="148"/>
        <v>44866</v>
      </c>
      <c r="D396" s="1">
        <f t="shared" si="149"/>
        <v>44757</v>
      </c>
      <c r="E396" s="1">
        <f t="shared" si="150"/>
        <v>44866</v>
      </c>
      <c r="F396" s="1">
        <f t="shared" si="151"/>
        <v>44896</v>
      </c>
      <c r="G396" s="1">
        <f t="shared" si="152"/>
        <v>45122</v>
      </c>
      <c r="H396">
        <f t="shared" si="153"/>
        <v>365</v>
      </c>
      <c r="I396">
        <f t="shared" si="154"/>
        <v>30</v>
      </c>
      <c r="J396">
        <f t="shared" si="155"/>
        <v>8.2191780821917804E-2</v>
      </c>
      <c r="K396">
        <f>IFERROR($J396/IF($A396&lt;COUNTIFS($K$1:K$1,"&lt;&gt;"),0,SUMIFS($J:$J,$B:$B,$B396,$A:$A,"&gt;="&amp;COUNTIFS($K$1:K$1,"&lt;&gt;"))),0)</f>
        <v>8.6206896551724144E-2</v>
      </c>
      <c r="L396">
        <f>IFERROR($J396/IF($A396&lt;COUNTIFS($K$1:L$1,"&lt;&gt;"),0,SUMIFS($J:$J,$B:$B,$B396,$A:$A,"&gt;="&amp;COUNTIFS($K$1:L$1,"&lt;&gt;"))),0)</f>
        <v>9.4637223974763415E-2</v>
      </c>
      <c r="M396">
        <f>IFERROR($J396/IF($A396&lt;COUNTIFS($K$1:M$1,"&lt;&gt;"),0,SUMIFS($J:$J,$B:$B,$B396,$A:$A,"&gt;="&amp;COUNTIFS($K$1:M$1,"&lt;&gt;"))),0)</f>
        <v>0.10452961672473869</v>
      </c>
      <c r="N396">
        <f>IFERROR($J396/IF($A396&lt;COUNTIFS($K$1:N$1,"&lt;&gt;"),0,SUMIFS($J:$J,$B:$B,$B396,$A:$A,"&gt;="&amp;COUNTIFS($K$1:N$1,"&lt;&gt;"))),0)</f>
        <v>0.11718750000000001</v>
      </c>
      <c r="O396">
        <f>IFERROR($J396/IF($A396&lt;COUNTIFS($K$1:O$1,"&lt;&gt;"),0,SUMIFS($J:$J,$B:$B,$B396,$A:$A,"&gt;="&amp;COUNTIFS($K$1:O$1,"&lt;&gt;"))),0)</f>
        <v>0</v>
      </c>
      <c r="P396">
        <f>IFERROR($J396/IF($A396&lt;COUNTIFS($K$1:P$1,"&lt;&gt;"),0,SUMIFS($J:$J,$B:$B,$B396,$A:$A,"&gt;="&amp;COUNTIFS($K$1:P$1,"&lt;&gt;"))),0)</f>
        <v>0</v>
      </c>
      <c r="Q396">
        <f>IFERROR($J396/IF($A396&lt;COUNTIFS($K$1:Q$1,"&lt;&gt;"),0,SUMIFS($J:$J,$B:$B,$B396,$A:$A,"&gt;="&amp;COUNTIFS($K$1:Q$1,"&lt;&gt;"))),0)</f>
        <v>0</v>
      </c>
      <c r="R396">
        <f>IFERROR($J396/IF($A396&lt;COUNTIFS($K$1:R$1,"&lt;&gt;"),0,SUMIFS($J:$J,$B:$B,$B396,$A:$A,"&gt;="&amp;COUNTIFS($K$1:R$1,"&lt;&gt;"))),0)</f>
        <v>0</v>
      </c>
      <c r="S396">
        <f>IFERROR($J396/IF($A396&lt;COUNTIFS($K$1:S$1,"&lt;&gt;"),0,SUMIFS($J:$J,$B:$B,$B396,$A:$A,"&gt;="&amp;COUNTIFS($K$1:S$1,"&lt;&gt;"))),0)</f>
        <v>0</v>
      </c>
      <c r="T396">
        <f>IFERROR($J396/IF($A396&lt;COUNTIFS($K$1:T$1,"&lt;&gt;"),0,SUMIFS($J:$J,$B:$B,$B396,$A:$A,"&gt;="&amp;COUNTIFS($K$1:T$1,"&lt;&gt;"))),0)</f>
        <v>0</v>
      </c>
      <c r="U396">
        <f>IFERROR($J396/IF($A396&lt;COUNTIFS($K$1:U$1,"&lt;&gt;"),0,SUMIFS($J:$J,$B:$B,$B396,$A:$A,"&gt;="&amp;COUNTIFS($K$1:U$1,"&lt;&gt;"))),0)</f>
        <v>0</v>
      </c>
      <c r="V396">
        <f>IFERROR($J396/IF($A396&lt;COUNTIFS($K$1:V$1,"&lt;&gt;"),0,SUMIFS($J:$J,$B:$B,$B396,$A:$A,"&gt;="&amp;COUNTIFS($K$1:V$1,"&lt;&gt;"))),0)</f>
        <v>0</v>
      </c>
      <c r="W396">
        <f t="shared" si="156"/>
        <v>8.2191780821917804E-2</v>
      </c>
      <c r="X396">
        <f t="shared" si="136"/>
        <v>8.2191780821917804E-2</v>
      </c>
      <c r="Y396">
        <f t="shared" si="137"/>
        <v>8.2191780821917804E-2</v>
      </c>
      <c r="Z396">
        <f t="shared" si="138"/>
        <v>8.2191780821917804E-2</v>
      </c>
      <c r="AA396">
        <f t="shared" si="139"/>
        <v>8.2191780821917804E-2</v>
      </c>
      <c r="AB396">
        <f t="shared" si="140"/>
        <v>0</v>
      </c>
      <c r="AC396">
        <f t="shared" si="141"/>
        <v>0</v>
      </c>
      <c r="AD396">
        <f t="shared" si="142"/>
        <v>0</v>
      </c>
      <c r="AE396">
        <f t="shared" si="143"/>
        <v>0</v>
      </c>
      <c r="AF396">
        <f t="shared" si="144"/>
        <v>0</v>
      </c>
      <c r="AG396">
        <f t="shared" si="145"/>
        <v>0</v>
      </c>
      <c r="AH396">
        <f t="shared" si="146"/>
        <v>0</v>
      </c>
      <c r="AI396">
        <f t="shared" si="147"/>
        <v>0</v>
      </c>
      <c r="AJ396" s="2" t="str">
        <f t="shared" si="157"/>
        <v>444743</v>
      </c>
    </row>
    <row r="397" spans="1:36" x14ac:dyDescent="0.25">
      <c r="A397">
        <v>5</v>
      </c>
      <c r="B397" s="1">
        <v>44743</v>
      </c>
      <c r="C397" s="1">
        <f t="shared" si="148"/>
        <v>44896</v>
      </c>
      <c r="D397" s="1">
        <f t="shared" si="149"/>
        <v>44757</v>
      </c>
      <c r="E397" s="1">
        <f t="shared" si="150"/>
        <v>44896</v>
      </c>
      <c r="F397" s="1">
        <f t="shared" si="151"/>
        <v>44927</v>
      </c>
      <c r="G397" s="1">
        <f t="shared" si="152"/>
        <v>45122</v>
      </c>
      <c r="H397">
        <f t="shared" si="153"/>
        <v>365</v>
      </c>
      <c r="I397">
        <f t="shared" si="154"/>
        <v>31</v>
      </c>
      <c r="J397">
        <f t="shared" si="155"/>
        <v>8.4931506849315067E-2</v>
      </c>
      <c r="K397">
        <f>IFERROR($J397/IF($A397&lt;COUNTIFS($K$1:K$1,"&lt;&gt;"),0,SUMIFS($J:$J,$B:$B,$B397,$A:$A,"&gt;="&amp;COUNTIFS($K$1:K$1,"&lt;&gt;"))),0)</f>
        <v>8.9080459770114959E-2</v>
      </c>
      <c r="L397">
        <f>IFERROR($J397/IF($A397&lt;COUNTIFS($K$1:L$1,"&lt;&gt;"),0,SUMIFS($J:$J,$B:$B,$B397,$A:$A,"&gt;="&amp;COUNTIFS($K$1:L$1,"&lt;&gt;"))),0)</f>
        <v>9.7791798107255537E-2</v>
      </c>
      <c r="M397">
        <f>IFERROR($J397/IF($A397&lt;COUNTIFS($K$1:M$1,"&lt;&gt;"),0,SUMIFS($J:$J,$B:$B,$B397,$A:$A,"&gt;="&amp;COUNTIFS($K$1:M$1,"&lt;&gt;"))),0)</f>
        <v>0.10801393728222998</v>
      </c>
      <c r="N397">
        <f>IFERROR($J397/IF($A397&lt;COUNTIFS($K$1:N$1,"&lt;&gt;"),0,SUMIFS($J:$J,$B:$B,$B397,$A:$A,"&gt;="&amp;COUNTIFS($K$1:N$1,"&lt;&gt;"))),0)</f>
        <v>0.12109375000000001</v>
      </c>
      <c r="O397">
        <f>IFERROR($J397/IF($A397&lt;COUNTIFS($K$1:O$1,"&lt;&gt;"),0,SUMIFS($J:$J,$B:$B,$B397,$A:$A,"&gt;="&amp;COUNTIFS($K$1:O$1,"&lt;&gt;"))),0)</f>
        <v>0.13716814159292037</v>
      </c>
      <c r="P397">
        <f>IFERROR($J397/IF($A397&lt;COUNTIFS($K$1:P$1,"&lt;&gt;"),0,SUMIFS($J:$J,$B:$B,$B397,$A:$A,"&gt;="&amp;COUNTIFS($K$1:P$1,"&lt;&gt;"))),0)</f>
        <v>0</v>
      </c>
      <c r="Q397">
        <f>IFERROR($J397/IF($A397&lt;COUNTIFS($K$1:Q$1,"&lt;&gt;"),0,SUMIFS($J:$J,$B:$B,$B397,$A:$A,"&gt;="&amp;COUNTIFS($K$1:Q$1,"&lt;&gt;"))),0)</f>
        <v>0</v>
      </c>
      <c r="R397">
        <f>IFERROR($J397/IF($A397&lt;COUNTIFS($K$1:R$1,"&lt;&gt;"),0,SUMIFS($J:$J,$B:$B,$B397,$A:$A,"&gt;="&amp;COUNTIFS($K$1:R$1,"&lt;&gt;"))),0)</f>
        <v>0</v>
      </c>
      <c r="S397">
        <f>IFERROR($J397/IF($A397&lt;COUNTIFS($K$1:S$1,"&lt;&gt;"),0,SUMIFS($J:$J,$B:$B,$B397,$A:$A,"&gt;="&amp;COUNTIFS($K$1:S$1,"&lt;&gt;"))),0)</f>
        <v>0</v>
      </c>
      <c r="T397">
        <f>IFERROR($J397/IF($A397&lt;COUNTIFS($K$1:T$1,"&lt;&gt;"),0,SUMIFS($J:$J,$B:$B,$B397,$A:$A,"&gt;="&amp;COUNTIFS($K$1:T$1,"&lt;&gt;"))),0)</f>
        <v>0</v>
      </c>
      <c r="U397">
        <f>IFERROR($J397/IF($A397&lt;COUNTIFS($K$1:U$1,"&lt;&gt;"),0,SUMIFS($J:$J,$B:$B,$B397,$A:$A,"&gt;="&amp;COUNTIFS($K$1:U$1,"&lt;&gt;"))),0)</f>
        <v>0</v>
      </c>
      <c r="V397">
        <f>IFERROR($J397/IF($A397&lt;COUNTIFS($K$1:V$1,"&lt;&gt;"),0,SUMIFS($J:$J,$B:$B,$B397,$A:$A,"&gt;="&amp;COUNTIFS($K$1:V$1,"&lt;&gt;"))),0)</f>
        <v>0</v>
      </c>
      <c r="W397">
        <f t="shared" si="156"/>
        <v>8.4931506849315067E-2</v>
      </c>
      <c r="X397">
        <f t="shared" si="136"/>
        <v>8.4931506849315067E-2</v>
      </c>
      <c r="Y397">
        <f t="shared" si="137"/>
        <v>8.4931506849315067E-2</v>
      </c>
      <c r="Z397">
        <f t="shared" si="138"/>
        <v>8.4931506849315067E-2</v>
      </c>
      <c r="AA397">
        <f t="shared" si="139"/>
        <v>8.4931506849315067E-2</v>
      </c>
      <c r="AB397">
        <f t="shared" si="140"/>
        <v>8.4931506849315067E-2</v>
      </c>
      <c r="AC397">
        <f t="shared" si="141"/>
        <v>0</v>
      </c>
      <c r="AD397">
        <f t="shared" si="142"/>
        <v>0</v>
      </c>
      <c r="AE397">
        <f t="shared" si="143"/>
        <v>0</v>
      </c>
      <c r="AF397">
        <f t="shared" si="144"/>
        <v>0</v>
      </c>
      <c r="AG397">
        <f t="shared" si="145"/>
        <v>0</v>
      </c>
      <c r="AH397">
        <f t="shared" si="146"/>
        <v>0</v>
      </c>
      <c r="AI397">
        <f t="shared" si="147"/>
        <v>0</v>
      </c>
      <c r="AJ397" s="2" t="str">
        <f t="shared" si="157"/>
        <v>544743</v>
      </c>
    </row>
    <row r="398" spans="1:36" x14ac:dyDescent="0.25">
      <c r="A398">
        <v>6</v>
      </c>
      <c r="B398" s="1">
        <v>44743</v>
      </c>
      <c r="C398" s="1">
        <f t="shared" si="148"/>
        <v>44927</v>
      </c>
      <c r="D398" s="1">
        <f t="shared" si="149"/>
        <v>44757</v>
      </c>
      <c r="E398" s="1">
        <f t="shared" si="150"/>
        <v>44927</v>
      </c>
      <c r="F398" s="1">
        <f t="shared" si="151"/>
        <v>44958</v>
      </c>
      <c r="G398" s="1">
        <f t="shared" si="152"/>
        <v>45122</v>
      </c>
      <c r="H398">
        <f t="shared" si="153"/>
        <v>365</v>
      </c>
      <c r="I398">
        <f t="shared" si="154"/>
        <v>31</v>
      </c>
      <c r="J398">
        <f t="shared" si="155"/>
        <v>8.4931506849315067E-2</v>
      </c>
      <c r="K398">
        <f>IFERROR($J398/IF($A398&lt;COUNTIFS($K$1:K$1,"&lt;&gt;"),0,SUMIFS($J:$J,$B:$B,$B398,$A:$A,"&gt;="&amp;COUNTIFS($K$1:K$1,"&lt;&gt;"))),0)</f>
        <v>8.9080459770114959E-2</v>
      </c>
      <c r="L398">
        <f>IFERROR($J398/IF($A398&lt;COUNTIFS($K$1:L$1,"&lt;&gt;"),0,SUMIFS($J:$J,$B:$B,$B398,$A:$A,"&gt;="&amp;COUNTIFS($K$1:L$1,"&lt;&gt;"))),0)</f>
        <v>9.7791798107255537E-2</v>
      </c>
      <c r="M398">
        <f>IFERROR($J398/IF($A398&lt;COUNTIFS($K$1:M$1,"&lt;&gt;"),0,SUMIFS($J:$J,$B:$B,$B398,$A:$A,"&gt;="&amp;COUNTIFS($K$1:M$1,"&lt;&gt;"))),0)</f>
        <v>0.10801393728222998</v>
      </c>
      <c r="N398">
        <f>IFERROR($J398/IF($A398&lt;COUNTIFS($K$1:N$1,"&lt;&gt;"),0,SUMIFS($J:$J,$B:$B,$B398,$A:$A,"&gt;="&amp;COUNTIFS($K$1:N$1,"&lt;&gt;"))),0)</f>
        <v>0.12109375000000001</v>
      </c>
      <c r="O398">
        <f>IFERROR($J398/IF($A398&lt;COUNTIFS($K$1:O$1,"&lt;&gt;"),0,SUMIFS($J:$J,$B:$B,$B398,$A:$A,"&gt;="&amp;COUNTIFS($K$1:O$1,"&lt;&gt;"))),0)</f>
        <v>0.13716814159292037</v>
      </c>
      <c r="P398">
        <f>IFERROR($J398/IF($A398&lt;COUNTIFS($K$1:P$1,"&lt;&gt;"),0,SUMIFS($J:$J,$B:$B,$B398,$A:$A,"&gt;="&amp;COUNTIFS($K$1:P$1,"&lt;&gt;"))),0)</f>
        <v>0.15897435897435899</v>
      </c>
      <c r="Q398">
        <f>IFERROR($J398/IF($A398&lt;COUNTIFS($K$1:Q$1,"&lt;&gt;"),0,SUMIFS($J:$J,$B:$B,$B398,$A:$A,"&gt;="&amp;COUNTIFS($K$1:Q$1,"&lt;&gt;"))),0)</f>
        <v>0</v>
      </c>
      <c r="R398">
        <f>IFERROR($J398/IF($A398&lt;COUNTIFS($K$1:R$1,"&lt;&gt;"),0,SUMIFS($J:$J,$B:$B,$B398,$A:$A,"&gt;="&amp;COUNTIFS($K$1:R$1,"&lt;&gt;"))),0)</f>
        <v>0</v>
      </c>
      <c r="S398">
        <f>IFERROR($J398/IF($A398&lt;COUNTIFS($K$1:S$1,"&lt;&gt;"),0,SUMIFS($J:$J,$B:$B,$B398,$A:$A,"&gt;="&amp;COUNTIFS($K$1:S$1,"&lt;&gt;"))),0)</f>
        <v>0</v>
      </c>
      <c r="T398">
        <f>IFERROR($J398/IF($A398&lt;COUNTIFS($K$1:T$1,"&lt;&gt;"),0,SUMIFS($J:$J,$B:$B,$B398,$A:$A,"&gt;="&amp;COUNTIFS($K$1:T$1,"&lt;&gt;"))),0)</f>
        <v>0</v>
      </c>
      <c r="U398">
        <f>IFERROR($J398/IF($A398&lt;COUNTIFS($K$1:U$1,"&lt;&gt;"),0,SUMIFS($J:$J,$B:$B,$B398,$A:$A,"&gt;="&amp;COUNTIFS($K$1:U$1,"&lt;&gt;"))),0)</f>
        <v>0</v>
      </c>
      <c r="V398">
        <f>IFERROR($J398/IF($A398&lt;COUNTIFS($K$1:V$1,"&lt;&gt;"),0,SUMIFS($J:$J,$B:$B,$B398,$A:$A,"&gt;="&amp;COUNTIFS($K$1:V$1,"&lt;&gt;"))),0)</f>
        <v>0</v>
      </c>
      <c r="W398">
        <f t="shared" si="156"/>
        <v>8.4931506849315067E-2</v>
      </c>
      <c r="X398">
        <f t="shared" si="136"/>
        <v>8.4931506849315067E-2</v>
      </c>
      <c r="Y398">
        <f t="shared" si="137"/>
        <v>8.4931506849315067E-2</v>
      </c>
      <c r="Z398">
        <f t="shared" si="138"/>
        <v>8.4931506849315067E-2</v>
      </c>
      <c r="AA398">
        <f t="shared" si="139"/>
        <v>8.4931506849315067E-2</v>
      </c>
      <c r="AB398">
        <f t="shared" si="140"/>
        <v>8.4931506849315067E-2</v>
      </c>
      <c r="AC398">
        <f t="shared" si="141"/>
        <v>8.4931506849315067E-2</v>
      </c>
      <c r="AD398">
        <f t="shared" si="142"/>
        <v>0</v>
      </c>
      <c r="AE398">
        <f t="shared" si="143"/>
        <v>0</v>
      </c>
      <c r="AF398">
        <f t="shared" si="144"/>
        <v>0</v>
      </c>
      <c r="AG398">
        <f t="shared" si="145"/>
        <v>0</v>
      </c>
      <c r="AH398">
        <f t="shared" si="146"/>
        <v>0</v>
      </c>
      <c r="AI398">
        <f t="shared" si="147"/>
        <v>0</v>
      </c>
      <c r="AJ398" s="2" t="str">
        <f t="shared" si="157"/>
        <v>644743</v>
      </c>
    </row>
    <row r="399" spans="1:36" x14ac:dyDescent="0.25">
      <c r="A399">
        <v>7</v>
      </c>
      <c r="B399" s="1">
        <v>44743</v>
      </c>
      <c r="C399" s="1">
        <f t="shared" si="148"/>
        <v>44958</v>
      </c>
      <c r="D399" s="1">
        <f t="shared" si="149"/>
        <v>44757</v>
      </c>
      <c r="E399" s="1">
        <f t="shared" si="150"/>
        <v>44958</v>
      </c>
      <c r="F399" s="1">
        <f t="shared" si="151"/>
        <v>44986</v>
      </c>
      <c r="G399" s="1">
        <f t="shared" si="152"/>
        <v>45122</v>
      </c>
      <c r="H399">
        <f t="shared" si="153"/>
        <v>365</v>
      </c>
      <c r="I399">
        <f t="shared" si="154"/>
        <v>28</v>
      </c>
      <c r="J399">
        <f t="shared" si="155"/>
        <v>7.6712328767123292E-2</v>
      </c>
      <c r="K399">
        <f>IFERROR($J399/IF($A399&lt;COUNTIFS($K$1:K$1,"&lt;&gt;"),0,SUMIFS($J:$J,$B:$B,$B399,$A:$A,"&gt;="&amp;COUNTIFS($K$1:K$1,"&lt;&gt;"))),0)</f>
        <v>8.0459770114942541E-2</v>
      </c>
      <c r="L399">
        <f>IFERROR($J399/IF($A399&lt;COUNTIFS($K$1:L$1,"&lt;&gt;"),0,SUMIFS($J:$J,$B:$B,$B399,$A:$A,"&gt;="&amp;COUNTIFS($K$1:L$1,"&lt;&gt;"))),0)</f>
        <v>8.83280757097792E-2</v>
      </c>
      <c r="M399">
        <f>IFERROR($J399/IF($A399&lt;COUNTIFS($K$1:M$1,"&lt;&gt;"),0,SUMIFS($J:$J,$B:$B,$B399,$A:$A,"&gt;="&amp;COUNTIFS($K$1:M$1,"&lt;&gt;"))),0)</f>
        <v>9.7560975609756115E-2</v>
      </c>
      <c r="N399">
        <f>IFERROR($J399/IF($A399&lt;COUNTIFS($K$1:N$1,"&lt;&gt;"),0,SUMIFS($J:$J,$B:$B,$B399,$A:$A,"&gt;="&amp;COUNTIFS($K$1:N$1,"&lt;&gt;"))),0)</f>
        <v>0.10937500000000003</v>
      </c>
      <c r="O399">
        <f>IFERROR($J399/IF($A399&lt;COUNTIFS($K$1:O$1,"&lt;&gt;"),0,SUMIFS($J:$J,$B:$B,$B399,$A:$A,"&gt;="&amp;COUNTIFS($K$1:O$1,"&lt;&gt;"))),0)</f>
        <v>0.12389380530973454</v>
      </c>
      <c r="P399">
        <f>IFERROR($J399/IF($A399&lt;COUNTIFS($K$1:P$1,"&lt;&gt;"),0,SUMIFS($J:$J,$B:$B,$B399,$A:$A,"&gt;="&amp;COUNTIFS($K$1:P$1,"&lt;&gt;"))),0)</f>
        <v>0.14358974358974361</v>
      </c>
      <c r="Q399">
        <f>IFERROR($J399/IF($A399&lt;COUNTIFS($K$1:Q$1,"&lt;&gt;"),0,SUMIFS($J:$J,$B:$B,$B399,$A:$A,"&gt;="&amp;COUNTIFS($K$1:Q$1,"&lt;&gt;"))),0)</f>
        <v>0.17073170731707318</v>
      </c>
      <c r="R399">
        <f>IFERROR($J399/IF($A399&lt;COUNTIFS($K$1:R$1,"&lt;&gt;"),0,SUMIFS($J:$J,$B:$B,$B399,$A:$A,"&gt;="&amp;COUNTIFS($K$1:R$1,"&lt;&gt;"))),0)</f>
        <v>0</v>
      </c>
      <c r="S399">
        <f>IFERROR($J399/IF($A399&lt;COUNTIFS($K$1:S$1,"&lt;&gt;"),0,SUMIFS($J:$J,$B:$B,$B399,$A:$A,"&gt;="&amp;COUNTIFS($K$1:S$1,"&lt;&gt;"))),0)</f>
        <v>0</v>
      </c>
      <c r="T399">
        <f>IFERROR($J399/IF($A399&lt;COUNTIFS($K$1:T$1,"&lt;&gt;"),0,SUMIFS($J:$J,$B:$B,$B399,$A:$A,"&gt;="&amp;COUNTIFS($K$1:T$1,"&lt;&gt;"))),0)</f>
        <v>0</v>
      </c>
      <c r="U399">
        <f>IFERROR($J399/IF($A399&lt;COUNTIFS($K$1:U$1,"&lt;&gt;"),0,SUMIFS($J:$J,$B:$B,$B399,$A:$A,"&gt;="&amp;COUNTIFS($K$1:U$1,"&lt;&gt;"))),0)</f>
        <v>0</v>
      </c>
      <c r="V399">
        <f>IFERROR($J399/IF($A399&lt;COUNTIFS($K$1:V$1,"&lt;&gt;"),0,SUMIFS($J:$J,$B:$B,$B399,$A:$A,"&gt;="&amp;COUNTIFS($K$1:V$1,"&lt;&gt;"))),0)</f>
        <v>0</v>
      </c>
      <c r="W399">
        <f t="shared" si="156"/>
        <v>7.6712328767123292E-2</v>
      </c>
      <c r="X399">
        <f t="shared" si="136"/>
        <v>7.6712328767123292E-2</v>
      </c>
      <c r="Y399">
        <f t="shared" si="137"/>
        <v>7.6712328767123292E-2</v>
      </c>
      <c r="Z399">
        <f t="shared" si="138"/>
        <v>7.6712328767123292E-2</v>
      </c>
      <c r="AA399">
        <f t="shared" si="139"/>
        <v>7.6712328767123292E-2</v>
      </c>
      <c r="AB399">
        <f t="shared" si="140"/>
        <v>7.6712328767123292E-2</v>
      </c>
      <c r="AC399">
        <f t="shared" si="141"/>
        <v>7.6712328767123292E-2</v>
      </c>
      <c r="AD399">
        <f t="shared" si="142"/>
        <v>7.6712328767123292E-2</v>
      </c>
      <c r="AE399">
        <f t="shared" si="143"/>
        <v>0</v>
      </c>
      <c r="AF399">
        <f t="shared" si="144"/>
        <v>0</v>
      </c>
      <c r="AG399">
        <f t="shared" si="145"/>
        <v>0</v>
      </c>
      <c r="AH399">
        <f t="shared" si="146"/>
        <v>0</v>
      </c>
      <c r="AI399">
        <f t="shared" si="147"/>
        <v>0</v>
      </c>
      <c r="AJ399" s="2" t="str">
        <f t="shared" si="157"/>
        <v>744743</v>
      </c>
    </row>
    <row r="400" spans="1:36" x14ac:dyDescent="0.25">
      <c r="A400">
        <v>8</v>
      </c>
      <c r="B400" s="1">
        <v>44743</v>
      </c>
      <c r="C400" s="1">
        <f t="shared" si="148"/>
        <v>44986</v>
      </c>
      <c r="D400" s="1">
        <f t="shared" si="149"/>
        <v>44757</v>
      </c>
      <c r="E400" s="1">
        <f t="shared" si="150"/>
        <v>44986</v>
      </c>
      <c r="F400" s="1">
        <f t="shared" si="151"/>
        <v>45017</v>
      </c>
      <c r="G400" s="1">
        <f t="shared" si="152"/>
        <v>45122</v>
      </c>
      <c r="H400">
        <f t="shared" si="153"/>
        <v>365</v>
      </c>
      <c r="I400">
        <f t="shared" si="154"/>
        <v>31</v>
      </c>
      <c r="J400">
        <f t="shared" si="155"/>
        <v>8.4931506849315067E-2</v>
      </c>
      <c r="K400">
        <f>IFERROR($J400/IF($A400&lt;COUNTIFS($K$1:K$1,"&lt;&gt;"),0,SUMIFS($J:$J,$B:$B,$B400,$A:$A,"&gt;="&amp;COUNTIFS($K$1:K$1,"&lt;&gt;"))),0)</f>
        <v>8.9080459770114959E-2</v>
      </c>
      <c r="L400">
        <f>IFERROR($J400/IF($A400&lt;COUNTIFS($K$1:L$1,"&lt;&gt;"),0,SUMIFS($J:$J,$B:$B,$B400,$A:$A,"&gt;="&amp;COUNTIFS($K$1:L$1,"&lt;&gt;"))),0)</f>
        <v>9.7791798107255537E-2</v>
      </c>
      <c r="M400">
        <f>IFERROR($J400/IF($A400&lt;COUNTIFS($K$1:M$1,"&lt;&gt;"),0,SUMIFS($J:$J,$B:$B,$B400,$A:$A,"&gt;="&amp;COUNTIFS($K$1:M$1,"&lt;&gt;"))),0)</f>
        <v>0.10801393728222998</v>
      </c>
      <c r="N400">
        <f>IFERROR($J400/IF($A400&lt;COUNTIFS($K$1:N$1,"&lt;&gt;"),0,SUMIFS($J:$J,$B:$B,$B400,$A:$A,"&gt;="&amp;COUNTIFS($K$1:N$1,"&lt;&gt;"))),0)</f>
        <v>0.12109375000000001</v>
      </c>
      <c r="O400">
        <f>IFERROR($J400/IF($A400&lt;COUNTIFS($K$1:O$1,"&lt;&gt;"),0,SUMIFS($J:$J,$B:$B,$B400,$A:$A,"&gt;="&amp;COUNTIFS($K$1:O$1,"&lt;&gt;"))),0)</f>
        <v>0.13716814159292037</v>
      </c>
      <c r="P400">
        <f>IFERROR($J400/IF($A400&lt;COUNTIFS($K$1:P$1,"&lt;&gt;"),0,SUMIFS($J:$J,$B:$B,$B400,$A:$A,"&gt;="&amp;COUNTIFS($K$1:P$1,"&lt;&gt;"))),0)</f>
        <v>0.15897435897435899</v>
      </c>
      <c r="Q400">
        <f>IFERROR($J400/IF($A400&lt;COUNTIFS($K$1:Q$1,"&lt;&gt;"),0,SUMIFS($J:$J,$B:$B,$B400,$A:$A,"&gt;="&amp;COUNTIFS($K$1:Q$1,"&lt;&gt;"))),0)</f>
        <v>0.18902439024390244</v>
      </c>
      <c r="R400">
        <f>IFERROR($J400/IF($A400&lt;COUNTIFS($K$1:R$1,"&lt;&gt;"),0,SUMIFS($J:$J,$B:$B,$B400,$A:$A,"&gt;="&amp;COUNTIFS($K$1:R$1,"&lt;&gt;"))),0)</f>
        <v>0.22794117647058826</v>
      </c>
      <c r="S400">
        <f>IFERROR($J400/IF($A400&lt;COUNTIFS($K$1:S$1,"&lt;&gt;"),0,SUMIFS($J:$J,$B:$B,$B400,$A:$A,"&gt;="&amp;COUNTIFS($K$1:S$1,"&lt;&gt;"))),0)</f>
        <v>0</v>
      </c>
      <c r="T400">
        <f>IFERROR($J400/IF($A400&lt;COUNTIFS($K$1:T$1,"&lt;&gt;"),0,SUMIFS($J:$J,$B:$B,$B400,$A:$A,"&gt;="&amp;COUNTIFS($K$1:T$1,"&lt;&gt;"))),0)</f>
        <v>0</v>
      </c>
      <c r="U400">
        <f>IFERROR($J400/IF($A400&lt;COUNTIFS($K$1:U$1,"&lt;&gt;"),0,SUMIFS($J:$J,$B:$B,$B400,$A:$A,"&gt;="&amp;COUNTIFS($K$1:U$1,"&lt;&gt;"))),0)</f>
        <v>0</v>
      </c>
      <c r="V400">
        <f>IFERROR($J400/IF($A400&lt;COUNTIFS($K$1:V$1,"&lt;&gt;"),0,SUMIFS($J:$J,$B:$B,$B400,$A:$A,"&gt;="&amp;COUNTIFS($K$1:V$1,"&lt;&gt;"))),0)</f>
        <v>0</v>
      </c>
      <c r="W400">
        <f t="shared" si="156"/>
        <v>8.4931506849315067E-2</v>
      </c>
      <c r="X400">
        <f t="shared" si="136"/>
        <v>8.4931506849315067E-2</v>
      </c>
      <c r="Y400">
        <f t="shared" si="137"/>
        <v>8.4931506849315067E-2</v>
      </c>
      <c r="Z400">
        <f t="shared" si="138"/>
        <v>8.4931506849315067E-2</v>
      </c>
      <c r="AA400">
        <f t="shared" si="139"/>
        <v>8.4931506849315067E-2</v>
      </c>
      <c r="AB400">
        <f t="shared" si="140"/>
        <v>8.4931506849315067E-2</v>
      </c>
      <c r="AC400">
        <f t="shared" si="141"/>
        <v>8.4931506849315067E-2</v>
      </c>
      <c r="AD400">
        <f t="shared" si="142"/>
        <v>8.4931506849315067E-2</v>
      </c>
      <c r="AE400">
        <f t="shared" si="143"/>
        <v>8.4931506849315067E-2</v>
      </c>
      <c r="AF400">
        <f t="shared" si="144"/>
        <v>0</v>
      </c>
      <c r="AG400">
        <f t="shared" si="145"/>
        <v>0</v>
      </c>
      <c r="AH400">
        <f t="shared" si="146"/>
        <v>0</v>
      </c>
      <c r="AI400">
        <f t="shared" si="147"/>
        <v>0</v>
      </c>
      <c r="AJ400" s="2" t="str">
        <f t="shared" si="157"/>
        <v>844743</v>
      </c>
    </row>
    <row r="401" spans="1:36" x14ac:dyDescent="0.25">
      <c r="A401">
        <v>9</v>
      </c>
      <c r="B401" s="1">
        <v>44743</v>
      </c>
      <c r="C401" s="1">
        <f t="shared" si="148"/>
        <v>45017</v>
      </c>
      <c r="D401" s="1">
        <f t="shared" si="149"/>
        <v>44757</v>
      </c>
      <c r="E401" s="1">
        <f t="shared" si="150"/>
        <v>45017</v>
      </c>
      <c r="F401" s="1">
        <f t="shared" si="151"/>
        <v>45047</v>
      </c>
      <c r="G401" s="1">
        <f t="shared" si="152"/>
        <v>45122</v>
      </c>
      <c r="H401">
        <f t="shared" si="153"/>
        <v>365</v>
      </c>
      <c r="I401">
        <f t="shared" si="154"/>
        <v>30</v>
      </c>
      <c r="J401">
        <f t="shared" si="155"/>
        <v>8.2191780821917804E-2</v>
      </c>
      <c r="K401">
        <f>IFERROR($J401/IF($A401&lt;COUNTIFS($K$1:K$1,"&lt;&gt;"),0,SUMIFS($J:$J,$B:$B,$B401,$A:$A,"&gt;="&amp;COUNTIFS($K$1:K$1,"&lt;&gt;"))),0)</f>
        <v>8.6206896551724144E-2</v>
      </c>
      <c r="L401">
        <f>IFERROR($J401/IF($A401&lt;COUNTIFS($K$1:L$1,"&lt;&gt;"),0,SUMIFS($J:$J,$B:$B,$B401,$A:$A,"&gt;="&amp;COUNTIFS($K$1:L$1,"&lt;&gt;"))),0)</f>
        <v>9.4637223974763415E-2</v>
      </c>
      <c r="M401">
        <f>IFERROR($J401/IF($A401&lt;COUNTIFS($K$1:M$1,"&lt;&gt;"),0,SUMIFS($J:$J,$B:$B,$B401,$A:$A,"&gt;="&amp;COUNTIFS($K$1:M$1,"&lt;&gt;"))),0)</f>
        <v>0.10452961672473869</v>
      </c>
      <c r="N401">
        <f>IFERROR($J401/IF($A401&lt;COUNTIFS($K$1:N$1,"&lt;&gt;"),0,SUMIFS($J:$J,$B:$B,$B401,$A:$A,"&gt;="&amp;COUNTIFS($K$1:N$1,"&lt;&gt;"))),0)</f>
        <v>0.11718750000000001</v>
      </c>
      <c r="O401">
        <f>IFERROR($J401/IF($A401&lt;COUNTIFS($K$1:O$1,"&lt;&gt;"),0,SUMIFS($J:$J,$B:$B,$B401,$A:$A,"&gt;="&amp;COUNTIFS($K$1:O$1,"&lt;&gt;"))),0)</f>
        <v>0.13274336283185842</v>
      </c>
      <c r="P401">
        <f>IFERROR($J401/IF($A401&lt;COUNTIFS($K$1:P$1,"&lt;&gt;"),0,SUMIFS($J:$J,$B:$B,$B401,$A:$A,"&gt;="&amp;COUNTIFS($K$1:P$1,"&lt;&gt;"))),0)</f>
        <v>0.15384615384615385</v>
      </c>
      <c r="Q401">
        <f>IFERROR($J401/IF($A401&lt;COUNTIFS($K$1:Q$1,"&lt;&gt;"),0,SUMIFS($J:$J,$B:$B,$B401,$A:$A,"&gt;="&amp;COUNTIFS($K$1:Q$1,"&lt;&gt;"))),0)</f>
        <v>0.18292682926829268</v>
      </c>
      <c r="R401">
        <f>IFERROR($J401/IF($A401&lt;COUNTIFS($K$1:R$1,"&lt;&gt;"),0,SUMIFS($J:$J,$B:$B,$B401,$A:$A,"&gt;="&amp;COUNTIFS($K$1:R$1,"&lt;&gt;"))),0)</f>
        <v>0.22058823529411764</v>
      </c>
      <c r="S401">
        <f>IFERROR($J401/IF($A401&lt;COUNTIFS($K$1:S$1,"&lt;&gt;"),0,SUMIFS($J:$J,$B:$B,$B401,$A:$A,"&gt;="&amp;COUNTIFS($K$1:S$1,"&lt;&gt;"))),0)</f>
        <v>0.2857142857142857</v>
      </c>
      <c r="T401">
        <f>IFERROR($J401/IF($A401&lt;COUNTIFS($K$1:T$1,"&lt;&gt;"),0,SUMIFS($J:$J,$B:$B,$B401,$A:$A,"&gt;="&amp;COUNTIFS($K$1:T$1,"&lt;&gt;"))),0)</f>
        <v>0</v>
      </c>
      <c r="U401">
        <f>IFERROR($J401/IF($A401&lt;COUNTIFS($K$1:U$1,"&lt;&gt;"),0,SUMIFS($J:$J,$B:$B,$B401,$A:$A,"&gt;="&amp;COUNTIFS($K$1:U$1,"&lt;&gt;"))),0)</f>
        <v>0</v>
      </c>
      <c r="V401">
        <f>IFERROR($J401/IF($A401&lt;COUNTIFS($K$1:V$1,"&lt;&gt;"),0,SUMIFS($J:$J,$B:$B,$B401,$A:$A,"&gt;="&amp;COUNTIFS($K$1:V$1,"&lt;&gt;"))),0)</f>
        <v>0</v>
      </c>
      <c r="W401">
        <f t="shared" si="156"/>
        <v>8.2191780821917804E-2</v>
      </c>
      <c r="X401">
        <f t="shared" si="136"/>
        <v>8.2191780821917804E-2</v>
      </c>
      <c r="Y401">
        <f t="shared" si="137"/>
        <v>8.2191780821917804E-2</v>
      </c>
      <c r="Z401">
        <f t="shared" si="138"/>
        <v>8.2191780821917804E-2</v>
      </c>
      <c r="AA401">
        <f t="shared" si="139"/>
        <v>8.2191780821917804E-2</v>
      </c>
      <c r="AB401">
        <f t="shared" si="140"/>
        <v>8.2191780821917804E-2</v>
      </c>
      <c r="AC401">
        <f t="shared" si="141"/>
        <v>8.2191780821917804E-2</v>
      </c>
      <c r="AD401">
        <f t="shared" si="142"/>
        <v>8.2191780821917804E-2</v>
      </c>
      <c r="AE401">
        <f t="shared" si="143"/>
        <v>8.2191780821917804E-2</v>
      </c>
      <c r="AF401">
        <f t="shared" si="144"/>
        <v>8.2191780821917804E-2</v>
      </c>
      <c r="AG401">
        <f t="shared" si="145"/>
        <v>0</v>
      </c>
      <c r="AH401">
        <f t="shared" si="146"/>
        <v>0</v>
      </c>
      <c r="AI401">
        <f t="shared" si="147"/>
        <v>0</v>
      </c>
      <c r="AJ401" s="2" t="str">
        <f t="shared" si="157"/>
        <v>944743</v>
      </c>
    </row>
    <row r="402" spans="1:36" x14ac:dyDescent="0.25">
      <c r="A402">
        <v>10</v>
      </c>
      <c r="B402" s="1">
        <v>44743</v>
      </c>
      <c r="C402" s="1">
        <f t="shared" si="148"/>
        <v>45047</v>
      </c>
      <c r="D402" s="1">
        <f t="shared" si="149"/>
        <v>44757</v>
      </c>
      <c r="E402" s="1">
        <f t="shared" si="150"/>
        <v>45047</v>
      </c>
      <c r="F402" s="1">
        <f t="shared" si="151"/>
        <v>45078</v>
      </c>
      <c r="G402" s="1">
        <f t="shared" si="152"/>
        <v>45122</v>
      </c>
      <c r="H402">
        <f t="shared" si="153"/>
        <v>365</v>
      </c>
      <c r="I402">
        <f t="shared" si="154"/>
        <v>31</v>
      </c>
      <c r="J402">
        <f t="shared" si="155"/>
        <v>8.4931506849315067E-2</v>
      </c>
      <c r="K402">
        <f>IFERROR($J402/IF($A402&lt;COUNTIFS($K$1:K$1,"&lt;&gt;"),0,SUMIFS($J:$J,$B:$B,$B402,$A:$A,"&gt;="&amp;COUNTIFS($K$1:K$1,"&lt;&gt;"))),0)</f>
        <v>8.9080459770114959E-2</v>
      </c>
      <c r="L402">
        <f>IFERROR($J402/IF($A402&lt;COUNTIFS($K$1:L$1,"&lt;&gt;"),0,SUMIFS($J:$J,$B:$B,$B402,$A:$A,"&gt;="&amp;COUNTIFS($K$1:L$1,"&lt;&gt;"))),0)</f>
        <v>9.7791798107255537E-2</v>
      </c>
      <c r="M402">
        <f>IFERROR($J402/IF($A402&lt;COUNTIFS($K$1:M$1,"&lt;&gt;"),0,SUMIFS($J:$J,$B:$B,$B402,$A:$A,"&gt;="&amp;COUNTIFS($K$1:M$1,"&lt;&gt;"))),0)</f>
        <v>0.10801393728222998</v>
      </c>
      <c r="N402">
        <f>IFERROR($J402/IF($A402&lt;COUNTIFS($K$1:N$1,"&lt;&gt;"),0,SUMIFS($J:$J,$B:$B,$B402,$A:$A,"&gt;="&amp;COUNTIFS($K$1:N$1,"&lt;&gt;"))),0)</f>
        <v>0.12109375000000001</v>
      </c>
      <c r="O402">
        <f>IFERROR($J402/IF($A402&lt;COUNTIFS($K$1:O$1,"&lt;&gt;"),0,SUMIFS($J:$J,$B:$B,$B402,$A:$A,"&gt;="&amp;COUNTIFS($K$1:O$1,"&lt;&gt;"))),0)</f>
        <v>0.13716814159292037</v>
      </c>
      <c r="P402">
        <f>IFERROR($J402/IF($A402&lt;COUNTIFS($K$1:P$1,"&lt;&gt;"),0,SUMIFS($J:$J,$B:$B,$B402,$A:$A,"&gt;="&amp;COUNTIFS($K$1:P$1,"&lt;&gt;"))),0)</f>
        <v>0.15897435897435899</v>
      </c>
      <c r="Q402">
        <f>IFERROR($J402/IF($A402&lt;COUNTIFS($K$1:Q$1,"&lt;&gt;"),0,SUMIFS($J:$J,$B:$B,$B402,$A:$A,"&gt;="&amp;COUNTIFS($K$1:Q$1,"&lt;&gt;"))),0)</f>
        <v>0.18902439024390244</v>
      </c>
      <c r="R402">
        <f>IFERROR($J402/IF($A402&lt;COUNTIFS($K$1:R$1,"&lt;&gt;"),0,SUMIFS($J:$J,$B:$B,$B402,$A:$A,"&gt;="&amp;COUNTIFS($K$1:R$1,"&lt;&gt;"))),0)</f>
        <v>0.22794117647058826</v>
      </c>
      <c r="S402">
        <f>IFERROR($J402/IF($A402&lt;COUNTIFS($K$1:S$1,"&lt;&gt;"),0,SUMIFS($J:$J,$B:$B,$B402,$A:$A,"&gt;="&amp;COUNTIFS($K$1:S$1,"&lt;&gt;"))),0)</f>
        <v>0.29523809523809524</v>
      </c>
      <c r="T402">
        <f>IFERROR($J402/IF($A402&lt;COUNTIFS($K$1:T$1,"&lt;&gt;"),0,SUMIFS($J:$J,$B:$B,$B402,$A:$A,"&gt;="&amp;COUNTIFS($K$1:T$1,"&lt;&gt;"))),0)</f>
        <v>0.41333333333333333</v>
      </c>
      <c r="U402">
        <f>IFERROR($J402/IF($A402&lt;COUNTIFS($K$1:U$1,"&lt;&gt;"),0,SUMIFS($J:$J,$B:$B,$B402,$A:$A,"&gt;="&amp;COUNTIFS($K$1:U$1,"&lt;&gt;"))),0)</f>
        <v>0</v>
      </c>
      <c r="V402">
        <f>IFERROR($J402/IF($A402&lt;COUNTIFS($K$1:V$1,"&lt;&gt;"),0,SUMIFS($J:$J,$B:$B,$B402,$A:$A,"&gt;="&amp;COUNTIFS($K$1:V$1,"&lt;&gt;"))),0)</f>
        <v>0</v>
      </c>
      <c r="W402">
        <f t="shared" si="156"/>
        <v>8.4931506849315067E-2</v>
      </c>
      <c r="X402">
        <f t="shared" si="136"/>
        <v>8.4931506849315067E-2</v>
      </c>
      <c r="Y402">
        <f t="shared" si="137"/>
        <v>8.4931506849315067E-2</v>
      </c>
      <c r="Z402">
        <f t="shared" si="138"/>
        <v>8.4931506849315067E-2</v>
      </c>
      <c r="AA402">
        <f t="shared" si="139"/>
        <v>8.4931506849315067E-2</v>
      </c>
      <c r="AB402">
        <f t="shared" si="140"/>
        <v>8.4931506849315067E-2</v>
      </c>
      <c r="AC402">
        <f t="shared" si="141"/>
        <v>8.4931506849315067E-2</v>
      </c>
      <c r="AD402">
        <f t="shared" si="142"/>
        <v>8.4931506849315067E-2</v>
      </c>
      <c r="AE402">
        <f t="shared" si="143"/>
        <v>8.4931506849315067E-2</v>
      </c>
      <c r="AF402">
        <f t="shared" si="144"/>
        <v>8.4931506849315067E-2</v>
      </c>
      <c r="AG402">
        <f t="shared" si="145"/>
        <v>8.4931506849315067E-2</v>
      </c>
      <c r="AH402">
        <f t="shared" si="146"/>
        <v>0</v>
      </c>
      <c r="AI402">
        <f t="shared" si="147"/>
        <v>0</v>
      </c>
      <c r="AJ402" s="2" t="str">
        <f t="shared" si="157"/>
        <v>1044743</v>
      </c>
    </row>
    <row r="403" spans="1:36" x14ac:dyDescent="0.25">
      <c r="A403">
        <v>11</v>
      </c>
      <c r="B403" s="1">
        <v>44743</v>
      </c>
      <c r="C403" s="1">
        <f t="shared" si="148"/>
        <v>45078</v>
      </c>
      <c r="D403" s="1">
        <f t="shared" si="149"/>
        <v>44757</v>
      </c>
      <c r="E403" s="1">
        <f t="shared" si="150"/>
        <v>45078</v>
      </c>
      <c r="F403" s="1">
        <f t="shared" si="151"/>
        <v>45108</v>
      </c>
      <c r="G403" s="1">
        <f t="shared" si="152"/>
        <v>45122</v>
      </c>
      <c r="H403">
        <f t="shared" si="153"/>
        <v>365</v>
      </c>
      <c r="I403">
        <f t="shared" si="154"/>
        <v>30</v>
      </c>
      <c r="J403">
        <f t="shared" si="155"/>
        <v>8.2191780821917804E-2</v>
      </c>
      <c r="K403">
        <f>IFERROR($J403/IF($A403&lt;COUNTIFS($K$1:K$1,"&lt;&gt;"),0,SUMIFS($J:$J,$B:$B,$B403,$A:$A,"&gt;="&amp;COUNTIFS($K$1:K$1,"&lt;&gt;"))),0)</f>
        <v>8.6206896551724144E-2</v>
      </c>
      <c r="L403">
        <f>IFERROR($J403/IF($A403&lt;COUNTIFS($K$1:L$1,"&lt;&gt;"),0,SUMIFS($J:$J,$B:$B,$B403,$A:$A,"&gt;="&amp;COUNTIFS($K$1:L$1,"&lt;&gt;"))),0)</f>
        <v>9.4637223974763415E-2</v>
      </c>
      <c r="M403">
        <f>IFERROR($J403/IF($A403&lt;COUNTIFS($K$1:M$1,"&lt;&gt;"),0,SUMIFS($J:$J,$B:$B,$B403,$A:$A,"&gt;="&amp;COUNTIFS($K$1:M$1,"&lt;&gt;"))),0)</f>
        <v>0.10452961672473869</v>
      </c>
      <c r="N403">
        <f>IFERROR($J403/IF($A403&lt;COUNTIFS($K$1:N$1,"&lt;&gt;"),0,SUMIFS($J:$J,$B:$B,$B403,$A:$A,"&gt;="&amp;COUNTIFS($K$1:N$1,"&lt;&gt;"))),0)</f>
        <v>0.11718750000000001</v>
      </c>
      <c r="O403">
        <f>IFERROR($J403/IF($A403&lt;COUNTIFS($K$1:O$1,"&lt;&gt;"),0,SUMIFS($J:$J,$B:$B,$B403,$A:$A,"&gt;="&amp;COUNTIFS($K$1:O$1,"&lt;&gt;"))),0)</f>
        <v>0.13274336283185842</v>
      </c>
      <c r="P403">
        <f>IFERROR($J403/IF($A403&lt;COUNTIFS($K$1:P$1,"&lt;&gt;"),0,SUMIFS($J:$J,$B:$B,$B403,$A:$A,"&gt;="&amp;COUNTIFS($K$1:P$1,"&lt;&gt;"))),0)</f>
        <v>0.15384615384615385</v>
      </c>
      <c r="Q403">
        <f>IFERROR($J403/IF($A403&lt;COUNTIFS($K$1:Q$1,"&lt;&gt;"),0,SUMIFS($J:$J,$B:$B,$B403,$A:$A,"&gt;="&amp;COUNTIFS($K$1:Q$1,"&lt;&gt;"))),0)</f>
        <v>0.18292682926829268</v>
      </c>
      <c r="R403">
        <f>IFERROR($J403/IF($A403&lt;COUNTIFS($K$1:R$1,"&lt;&gt;"),0,SUMIFS($J:$J,$B:$B,$B403,$A:$A,"&gt;="&amp;COUNTIFS($K$1:R$1,"&lt;&gt;"))),0)</f>
        <v>0.22058823529411764</v>
      </c>
      <c r="S403">
        <f>IFERROR($J403/IF($A403&lt;COUNTIFS($K$1:S$1,"&lt;&gt;"),0,SUMIFS($J:$J,$B:$B,$B403,$A:$A,"&gt;="&amp;COUNTIFS($K$1:S$1,"&lt;&gt;"))),0)</f>
        <v>0.2857142857142857</v>
      </c>
      <c r="T403">
        <f>IFERROR($J403/IF($A403&lt;COUNTIFS($K$1:T$1,"&lt;&gt;"),0,SUMIFS($J:$J,$B:$B,$B403,$A:$A,"&gt;="&amp;COUNTIFS($K$1:T$1,"&lt;&gt;"))),0)</f>
        <v>0.4</v>
      </c>
      <c r="U403">
        <f>IFERROR($J403/IF($A403&lt;COUNTIFS($K$1:U$1,"&lt;&gt;"),0,SUMIFS($J:$J,$B:$B,$B403,$A:$A,"&gt;="&amp;COUNTIFS($K$1:U$1,"&lt;&gt;"))),0)</f>
        <v>0.68181818181818177</v>
      </c>
      <c r="V403">
        <f>IFERROR($J403/IF($A403&lt;COUNTIFS($K$1:V$1,"&lt;&gt;"),0,SUMIFS($J:$J,$B:$B,$B403,$A:$A,"&gt;="&amp;COUNTIFS($K$1:V$1,"&lt;&gt;"))),0)</f>
        <v>0</v>
      </c>
      <c r="W403">
        <f t="shared" si="156"/>
        <v>8.2191780821917804E-2</v>
      </c>
      <c r="X403">
        <f t="shared" si="136"/>
        <v>8.2191780821917804E-2</v>
      </c>
      <c r="Y403">
        <f t="shared" si="137"/>
        <v>8.2191780821917804E-2</v>
      </c>
      <c r="Z403">
        <f t="shared" si="138"/>
        <v>8.2191780821917804E-2</v>
      </c>
      <c r="AA403">
        <f t="shared" si="139"/>
        <v>8.2191780821917804E-2</v>
      </c>
      <c r="AB403">
        <f t="shared" si="140"/>
        <v>8.2191780821917804E-2</v>
      </c>
      <c r="AC403">
        <f t="shared" si="141"/>
        <v>8.2191780821917804E-2</v>
      </c>
      <c r="AD403">
        <f t="shared" si="142"/>
        <v>8.2191780821917804E-2</v>
      </c>
      <c r="AE403">
        <f t="shared" si="143"/>
        <v>8.2191780821917804E-2</v>
      </c>
      <c r="AF403">
        <f t="shared" si="144"/>
        <v>8.2191780821917804E-2</v>
      </c>
      <c r="AG403">
        <f t="shared" si="145"/>
        <v>8.2191780821917804E-2</v>
      </c>
      <c r="AH403">
        <f t="shared" si="146"/>
        <v>8.2191780821917804E-2</v>
      </c>
      <c r="AI403">
        <f t="shared" si="147"/>
        <v>0</v>
      </c>
      <c r="AJ403" s="2" t="str">
        <f t="shared" si="157"/>
        <v>1144743</v>
      </c>
    </row>
    <row r="404" spans="1:36" x14ac:dyDescent="0.25">
      <c r="A404">
        <v>12</v>
      </c>
      <c r="B404" s="1">
        <v>44743</v>
      </c>
      <c r="C404" s="1">
        <f t="shared" si="148"/>
        <v>45108</v>
      </c>
      <c r="D404" s="1">
        <f t="shared" si="149"/>
        <v>44757</v>
      </c>
      <c r="E404" s="1">
        <f t="shared" si="150"/>
        <v>45108</v>
      </c>
      <c r="F404" s="1">
        <f t="shared" si="151"/>
        <v>45122</v>
      </c>
      <c r="G404" s="1">
        <f t="shared" si="152"/>
        <v>45122</v>
      </c>
      <c r="H404">
        <f t="shared" si="153"/>
        <v>365</v>
      </c>
      <c r="I404">
        <f t="shared" si="154"/>
        <v>14</v>
      </c>
      <c r="J404">
        <f t="shared" si="155"/>
        <v>3.8356164383561646E-2</v>
      </c>
      <c r="K404">
        <f>IFERROR($J404/IF($A404&lt;COUNTIFS($K$1:K$1,"&lt;&gt;"),0,SUMIFS($J:$J,$B:$B,$B404,$A:$A,"&gt;="&amp;COUNTIFS($K$1:K$1,"&lt;&gt;"))),0)</f>
        <v>4.0229885057471271E-2</v>
      </c>
      <c r="L404">
        <f>IFERROR($J404/IF($A404&lt;COUNTIFS($K$1:L$1,"&lt;&gt;"),0,SUMIFS($J:$J,$B:$B,$B404,$A:$A,"&gt;="&amp;COUNTIFS($K$1:L$1,"&lt;&gt;"))),0)</f>
        <v>4.41640378548896E-2</v>
      </c>
      <c r="M404">
        <f>IFERROR($J404/IF($A404&lt;COUNTIFS($K$1:M$1,"&lt;&gt;"),0,SUMIFS($J:$J,$B:$B,$B404,$A:$A,"&gt;="&amp;COUNTIFS($K$1:M$1,"&lt;&gt;"))),0)</f>
        <v>4.8780487804878057E-2</v>
      </c>
      <c r="N404">
        <f>IFERROR($J404/IF($A404&lt;COUNTIFS($K$1:N$1,"&lt;&gt;"),0,SUMIFS($J:$J,$B:$B,$B404,$A:$A,"&gt;="&amp;COUNTIFS($K$1:N$1,"&lt;&gt;"))),0)</f>
        <v>5.4687500000000014E-2</v>
      </c>
      <c r="O404">
        <f>IFERROR($J404/IF($A404&lt;COUNTIFS($K$1:O$1,"&lt;&gt;"),0,SUMIFS($J:$J,$B:$B,$B404,$A:$A,"&gt;="&amp;COUNTIFS($K$1:O$1,"&lt;&gt;"))),0)</f>
        <v>6.194690265486727E-2</v>
      </c>
      <c r="P404">
        <f>IFERROR($J404/IF($A404&lt;COUNTIFS($K$1:P$1,"&lt;&gt;"),0,SUMIFS($J:$J,$B:$B,$B404,$A:$A,"&gt;="&amp;COUNTIFS($K$1:P$1,"&lt;&gt;"))),0)</f>
        <v>7.1794871794871803E-2</v>
      </c>
      <c r="Q404">
        <f>IFERROR($J404/IF($A404&lt;COUNTIFS($K$1:Q$1,"&lt;&gt;"),0,SUMIFS($J:$J,$B:$B,$B404,$A:$A,"&gt;="&amp;COUNTIFS($K$1:Q$1,"&lt;&gt;"))),0)</f>
        <v>8.5365853658536592E-2</v>
      </c>
      <c r="R404">
        <f>IFERROR($J404/IF($A404&lt;COUNTIFS($K$1:R$1,"&lt;&gt;"),0,SUMIFS($J:$J,$B:$B,$B404,$A:$A,"&gt;="&amp;COUNTIFS($K$1:R$1,"&lt;&gt;"))),0)</f>
        <v>0.10294117647058824</v>
      </c>
      <c r="S404">
        <f>IFERROR($J404/IF($A404&lt;COUNTIFS($K$1:S$1,"&lt;&gt;"),0,SUMIFS($J:$J,$B:$B,$B404,$A:$A,"&gt;="&amp;COUNTIFS($K$1:S$1,"&lt;&gt;"))),0)</f>
        <v>0.13333333333333336</v>
      </c>
      <c r="T404">
        <f>IFERROR($J404/IF($A404&lt;COUNTIFS($K$1:T$1,"&lt;&gt;"),0,SUMIFS($J:$J,$B:$B,$B404,$A:$A,"&gt;="&amp;COUNTIFS($K$1:T$1,"&lt;&gt;"))),0)</f>
        <v>0.18666666666666668</v>
      </c>
      <c r="U404">
        <f>IFERROR($J404/IF($A404&lt;COUNTIFS($K$1:U$1,"&lt;&gt;"),0,SUMIFS($J:$J,$B:$B,$B404,$A:$A,"&gt;="&amp;COUNTIFS($K$1:U$1,"&lt;&gt;"))),0)</f>
        <v>0.31818181818181818</v>
      </c>
      <c r="V404">
        <f>IFERROR($J404/IF($A404&lt;COUNTIFS($K$1:V$1,"&lt;&gt;"),0,SUMIFS($J:$J,$B:$B,$B404,$A:$A,"&gt;="&amp;COUNTIFS($K$1:V$1,"&lt;&gt;"))),0)</f>
        <v>1</v>
      </c>
      <c r="W404">
        <f t="shared" si="156"/>
        <v>3.8356164383561646E-2</v>
      </c>
      <c r="X404">
        <f t="shared" si="136"/>
        <v>3.8356164383561646E-2</v>
      </c>
      <c r="Y404">
        <f t="shared" si="137"/>
        <v>3.8356164383561646E-2</v>
      </c>
      <c r="Z404">
        <f t="shared" si="138"/>
        <v>3.8356164383561646E-2</v>
      </c>
      <c r="AA404">
        <f t="shared" si="139"/>
        <v>3.8356164383561646E-2</v>
      </c>
      <c r="AB404">
        <f t="shared" si="140"/>
        <v>3.8356164383561646E-2</v>
      </c>
      <c r="AC404">
        <f t="shared" si="141"/>
        <v>3.8356164383561646E-2</v>
      </c>
      <c r="AD404">
        <f t="shared" si="142"/>
        <v>3.8356164383561646E-2</v>
      </c>
      <c r="AE404">
        <f t="shared" si="143"/>
        <v>3.8356164383561646E-2</v>
      </c>
      <c r="AF404">
        <f t="shared" si="144"/>
        <v>3.8356164383561646E-2</v>
      </c>
      <c r="AG404">
        <f t="shared" si="145"/>
        <v>3.8356164383561646E-2</v>
      </c>
      <c r="AH404">
        <f t="shared" si="146"/>
        <v>3.8356164383561646E-2</v>
      </c>
      <c r="AI404">
        <f t="shared" si="147"/>
        <v>3.8356164383561646E-2</v>
      </c>
      <c r="AJ404" s="2" t="str">
        <f t="shared" si="157"/>
        <v>1244743</v>
      </c>
    </row>
    <row r="405" spans="1:36" x14ac:dyDescent="0.25">
      <c r="A405">
        <v>0</v>
      </c>
      <c r="B405" s="1">
        <v>44774</v>
      </c>
      <c r="C405" s="1">
        <f t="shared" si="148"/>
        <v>44774</v>
      </c>
      <c r="D405" s="1">
        <f t="shared" si="149"/>
        <v>44788</v>
      </c>
      <c r="E405" s="1">
        <f t="shared" si="150"/>
        <v>44788</v>
      </c>
      <c r="F405" s="1">
        <f t="shared" si="151"/>
        <v>44805</v>
      </c>
      <c r="G405" s="1">
        <f t="shared" si="152"/>
        <v>45153</v>
      </c>
      <c r="H405">
        <f t="shared" si="153"/>
        <v>365</v>
      </c>
      <c r="I405">
        <f t="shared" si="154"/>
        <v>17</v>
      </c>
      <c r="J405">
        <f t="shared" si="155"/>
        <v>4.6575342465753428E-2</v>
      </c>
      <c r="K405">
        <f>IFERROR($J405/IF($A405&lt;COUNTIFS($K$1:K$1,"&lt;&gt;"),0,SUMIFS($J:$J,$B:$B,$B405,$A:$A,"&gt;="&amp;COUNTIFS($K$1:K$1,"&lt;&gt;"))),0)</f>
        <v>0</v>
      </c>
      <c r="L405">
        <f>IFERROR($J405/IF($A405&lt;COUNTIFS($K$1:L$1,"&lt;&gt;"),0,SUMIFS($J:$J,$B:$B,$B405,$A:$A,"&gt;="&amp;COUNTIFS($K$1:L$1,"&lt;&gt;"))),0)</f>
        <v>0</v>
      </c>
      <c r="M405">
        <f>IFERROR($J405/IF($A405&lt;COUNTIFS($K$1:M$1,"&lt;&gt;"),0,SUMIFS($J:$J,$B:$B,$B405,$A:$A,"&gt;="&amp;COUNTIFS($K$1:M$1,"&lt;&gt;"))),0)</f>
        <v>0</v>
      </c>
      <c r="N405">
        <f>IFERROR($J405/IF($A405&lt;COUNTIFS($K$1:N$1,"&lt;&gt;"),0,SUMIFS($J:$J,$B:$B,$B405,$A:$A,"&gt;="&amp;COUNTIFS($K$1:N$1,"&lt;&gt;"))),0)</f>
        <v>0</v>
      </c>
      <c r="O405">
        <f>IFERROR($J405/IF($A405&lt;COUNTIFS($K$1:O$1,"&lt;&gt;"),0,SUMIFS($J:$J,$B:$B,$B405,$A:$A,"&gt;="&amp;COUNTIFS($K$1:O$1,"&lt;&gt;"))),0)</f>
        <v>0</v>
      </c>
      <c r="P405">
        <f>IFERROR($J405/IF($A405&lt;COUNTIFS($K$1:P$1,"&lt;&gt;"),0,SUMIFS($J:$J,$B:$B,$B405,$A:$A,"&gt;="&amp;COUNTIFS($K$1:P$1,"&lt;&gt;"))),0)</f>
        <v>0</v>
      </c>
      <c r="Q405">
        <f>IFERROR($J405/IF($A405&lt;COUNTIFS($K$1:Q$1,"&lt;&gt;"),0,SUMIFS($J:$J,$B:$B,$B405,$A:$A,"&gt;="&amp;COUNTIFS($K$1:Q$1,"&lt;&gt;"))),0)</f>
        <v>0</v>
      </c>
      <c r="R405">
        <f>IFERROR($J405/IF($A405&lt;COUNTIFS($K$1:R$1,"&lt;&gt;"),0,SUMIFS($J:$J,$B:$B,$B405,$A:$A,"&gt;="&amp;COUNTIFS($K$1:R$1,"&lt;&gt;"))),0)</f>
        <v>0</v>
      </c>
      <c r="S405">
        <f>IFERROR($J405/IF($A405&lt;COUNTIFS($K$1:S$1,"&lt;&gt;"),0,SUMIFS($J:$J,$B:$B,$B405,$A:$A,"&gt;="&amp;COUNTIFS($K$1:S$1,"&lt;&gt;"))),0)</f>
        <v>0</v>
      </c>
      <c r="T405">
        <f>IFERROR($J405/IF($A405&lt;COUNTIFS($K$1:T$1,"&lt;&gt;"),0,SUMIFS($J:$J,$B:$B,$B405,$A:$A,"&gt;="&amp;COUNTIFS($K$1:T$1,"&lt;&gt;"))),0)</f>
        <v>0</v>
      </c>
      <c r="U405">
        <f>IFERROR($J405/IF($A405&lt;COUNTIFS($K$1:U$1,"&lt;&gt;"),0,SUMIFS($J:$J,$B:$B,$B405,$A:$A,"&gt;="&amp;COUNTIFS($K$1:U$1,"&lt;&gt;"))),0)</f>
        <v>0</v>
      </c>
      <c r="V405">
        <f>IFERROR($J405/IF($A405&lt;COUNTIFS($K$1:V$1,"&lt;&gt;"),0,SUMIFS($J:$J,$B:$B,$B405,$A:$A,"&gt;="&amp;COUNTIFS($K$1:V$1,"&lt;&gt;"))),0)</f>
        <v>0</v>
      </c>
      <c r="W405">
        <f t="shared" si="156"/>
        <v>4.6575342465753428E-2</v>
      </c>
      <c r="X405">
        <f t="shared" si="136"/>
        <v>0</v>
      </c>
      <c r="Y405">
        <f t="shared" si="137"/>
        <v>0</v>
      </c>
      <c r="Z405">
        <f t="shared" si="138"/>
        <v>0</v>
      </c>
      <c r="AA405">
        <f t="shared" si="139"/>
        <v>0</v>
      </c>
      <c r="AB405">
        <f t="shared" si="140"/>
        <v>0</v>
      </c>
      <c r="AC405">
        <f t="shared" si="141"/>
        <v>0</v>
      </c>
      <c r="AD405">
        <f t="shared" si="142"/>
        <v>0</v>
      </c>
      <c r="AE405">
        <f t="shared" si="143"/>
        <v>0</v>
      </c>
      <c r="AF405">
        <f t="shared" si="144"/>
        <v>0</v>
      </c>
      <c r="AG405">
        <f t="shared" si="145"/>
        <v>0</v>
      </c>
      <c r="AH405">
        <f t="shared" si="146"/>
        <v>0</v>
      </c>
      <c r="AI405">
        <f t="shared" si="147"/>
        <v>0</v>
      </c>
      <c r="AJ405" s="2" t="str">
        <f t="shared" si="157"/>
        <v>044774</v>
      </c>
    </row>
    <row r="406" spans="1:36" x14ac:dyDescent="0.25">
      <c r="A406">
        <v>1</v>
      </c>
      <c r="B406" s="1">
        <v>44774</v>
      </c>
      <c r="C406" s="1">
        <f t="shared" si="148"/>
        <v>44805</v>
      </c>
      <c r="D406" s="1">
        <f t="shared" si="149"/>
        <v>44788</v>
      </c>
      <c r="E406" s="1">
        <f t="shared" si="150"/>
        <v>44805</v>
      </c>
      <c r="F406" s="1">
        <f t="shared" si="151"/>
        <v>44835</v>
      </c>
      <c r="G406" s="1">
        <f t="shared" si="152"/>
        <v>45153</v>
      </c>
      <c r="H406">
        <f t="shared" si="153"/>
        <v>365</v>
      </c>
      <c r="I406">
        <f t="shared" si="154"/>
        <v>30</v>
      </c>
      <c r="J406">
        <f t="shared" si="155"/>
        <v>8.2191780821917804E-2</v>
      </c>
      <c r="K406">
        <f>IFERROR($J406/IF($A406&lt;COUNTIFS($K$1:K$1,"&lt;&gt;"),0,SUMIFS($J:$J,$B:$B,$B406,$A:$A,"&gt;="&amp;COUNTIFS($K$1:K$1,"&lt;&gt;"))),0)</f>
        <v>8.6206896551724144E-2</v>
      </c>
      <c r="L406">
        <f>IFERROR($J406/IF($A406&lt;COUNTIFS($K$1:L$1,"&lt;&gt;"),0,SUMIFS($J:$J,$B:$B,$B406,$A:$A,"&gt;="&amp;COUNTIFS($K$1:L$1,"&lt;&gt;"))),0)</f>
        <v>0</v>
      </c>
      <c r="M406">
        <f>IFERROR($J406/IF($A406&lt;COUNTIFS($K$1:M$1,"&lt;&gt;"),0,SUMIFS($J:$J,$B:$B,$B406,$A:$A,"&gt;="&amp;COUNTIFS($K$1:M$1,"&lt;&gt;"))),0)</f>
        <v>0</v>
      </c>
      <c r="N406">
        <f>IFERROR($J406/IF($A406&lt;COUNTIFS($K$1:N$1,"&lt;&gt;"),0,SUMIFS($J:$J,$B:$B,$B406,$A:$A,"&gt;="&amp;COUNTIFS($K$1:N$1,"&lt;&gt;"))),0)</f>
        <v>0</v>
      </c>
      <c r="O406">
        <f>IFERROR($J406/IF($A406&lt;COUNTIFS($K$1:O$1,"&lt;&gt;"),0,SUMIFS($J:$J,$B:$B,$B406,$A:$A,"&gt;="&amp;COUNTIFS($K$1:O$1,"&lt;&gt;"))),0)</f>
        <v>0</v>
      </c>
      <c r="P406">
        <f>IFERROR($J406/IF($A406&lt;COUNTIFS($K$1:P$1,"&lt;&gt;"),0,SUMIFS($J:$J,$B:$B,$B406,$A:$A,"&gt;="&amp;COUNTIFS($K$1:P$1,"&lt;&gt;"))),0)</f>
        <v>0</v>
      </c>
      <c r="Q406">
        <f>IFERROR($J406/IF($A406&lt;COUNTIFS($K$1:Q$1,"&lt;&gt;"),0,SUMIFS($J:$J,$B:$B,$B406,$A:$A,"&gt;="&amp;COUNTIFS($K$1:Q$1,"&lt;&gt;"))),0)</f>
        <v>0</v>
      </c>
      <c r="R406">
        <f>IFERROR($J406/IF($A406&lt;COUNTIFS($K$1:R$1,"&lt;&gt;"),0,SUMIFS($J:$J,$B:$B,$B406,$A:$A,"&gt;="&amp;COUNTIFS($K$1:R$1,"&lt;&gt;"))),0)</f>
        <v>0</v>
      </c>
      <c r="S406">
        <f>IFERROR($J406/IF($A406&lt;COUNTIFS($K$1:S$1,"&lt;&gt;"),0,SUMIFS($J:$J,$B:$B,$B406,$A:$A,"&gt;="&amp;COUNTIFS($K$1:S$1,"&lt;&gt;"))),0)</f>
        <v>0</v>
      </c>
      <c r="T406">
        <f>IFERROR($J406/IF($A406&lt;COUNTIFS($K$1:T$1,"&lt;&gt;"),0,SUMIFS($J:$J,$B:$B,$B406,$A:$A,"&gt;="&amp;COUNTIFS($K$1:T$1,"&lt;&gt;"))),0)</f>
        <v>0</v>
      </c>
      <c r="U406">
        <f>IFERROR($J406/IF($A406&lt;COUNTIFS($K$1:U$1,"&lt;&gt;"),0,SUMIFS($J:$J,$B:$B,$B406,$A:$A,"&gt;="&amp;COUNTIFS($K$1:U$1,"&lt;&gt;"))),0)</f>
        <v>0</v>
      </c>
      <c r="V406">
        <f>IFERROR($J406/IF($A406&lt;COUNTIFS($K$1:V$1,"&lt;&gt;"),0,SUMIFS($J:$J,$B:$B,$B406,$A:$A,"&gt;="&amp;COUNTIFS($K$1:V$1,"&lt;&gt;"))),0)</f>
        <v>0</v>
      </c>
      <c r="W406">
        <f t="shared" si="156"/>
        <v>8.2191780821917804E-2</v>
      </c>
      <c r="X406">
        <f t="shared" si="136"/>
        <v>8.2191780821917804E-2</v>
      </c>
      <c r="Y406">
        <f t="shared" si="137"/>
        <v>0</v>
      </c>
      <c r="Z406">
        <f t="shared" si="138"/>
        <v>0</v>
      </c>
      <c r="AA406">
        <f t="shared" si="139"/>
        <v>0</v>
      </c>
      <c r="AB406">
        <f t="shared" si="140"/>
        <v>0</v>
      </c>
      <c r="AC406">
        <f t="shared" si="141"/>
        <v>0</v>
      </c>
      <c r="AD406">
        <f t="shared" si="142"/>
        <v>0</v>
      </c>
      <c r="AE406">
        <f t="shared" si="143"/>
        <v>0</v>
      </c>
      <c r="AF406">
        <f t="shared" si="144"/>
        <v>0</v>
      </c>
      <c r="AG406">
        <f t="shared" si="145"/>
        <v>0</v>
      </c>
      <c r="AH406">
        <f t="shared" si="146"/>
        <v>0</v>
      </c>
      <c r="AI406">
        <f t="shared" si="147"/>
        <v>0</v>
      </c>
      <c r="AJ406" s="2" t="str">
        <f t="shared" si="157"/>
        <v>144774</v>
      </c>
    </row>
    <row r="407" spans="1:36" x14ac:dyDescent="0.25">
      <c r="A407">
        <v>2</v>
      </c>
      <c r="B407" s="1">
        <v>44774</v>
      </c>
      <c r="C407" s="1">
        <f t="shared" si="148"/>
        <v>44835</v>
      </c>
      <c r="D407" s="1">
        <f t="shared" si="149"/>
        <v>44788</v>
      </c>
      <c r="E407" s="1">
        <f t="shared" si="150"/>
        <v>44835</v>
      </c>
      <c r="F407" s="1">
        <f t="shared" si="151"/>
        <v>44866</v>
      </c>
      <c r="G407" s="1">
        <f t="shared" si="152"/>
        <v>45153</v>
      </c>
      <c r="H407">
        <f t="shared" si="153"/>
        <v>365</v>
      </c>
      <c r="I407">
        <f t="shared" si="154"/>
        <v>31</v>
      </c>
      <c r="J407">
        <f t="shared" si="155"/>
        <v>8.4931506849315067E-2</v>
      </c>
      <c r="K407">
        <f>IFERROR($J407/IF($A407&lt;COUNTIFS($K$1:K$1,"&lt;&gt;"),0,SUMIFS($J:$J,$B:$B,$B407,$A:$A,"&gt;="&amp;COUNTIFS($K$1:K$1,"&lt;&gt;"))),0)</f>
        <v>8.9080459770114959E-2</v>
      </c>
      <c r="L407">
        <f>IFERROR($J407/IF($A407&lt;COUNTIFS($K$1:L$1,"&lt;&gt;"),0,SUMIFS($J:$J,$B:$B,$B407,$A:$A,"&gt;="&amp;COUNTIFS($K$1:L$1,"&lt;&gt;"))),0)</f>
        <v>9.7484276729559768E-2</v>
      </c>
      <c r="M407">
        <f>IFERROR($J407/IF($A407&lt;COUNTIFS($K$1:M$1,"&lt;&gt;"),0,SUMIFS($J:$J,$B:$B,$B407,$A:$A,"&gt;="&amp;COUNTIFS($K$1:M$1,"&lt;&gt;"))),0)</f>
        <v>0</v>
      </c>
      <c r="N407">
        <f>IFERROR($J407/IF($A407&lt;COUNTIFS($K$1:N$1,"&lt;&gt;"),0,SUMIFS($J:$J,$B:$B,$B407,$A:$A,"&gt;="&amp;COUNTIFS($K$1:N$1,"&lt;&gt;"))),0)</f>
        <v>0</v>
      </c>
      <c r="O407">
        <f>IFERROR($J407/IF($A407&lt;COUNTIFS($K$1:O$1,"&lt;&gt;"),0,SUMIFS($J:$J,$B:$B,$B407,$A:$A,"&gt;="&amp;COUNTIFS($K$1:O$1,"&lt;&gt;"))),0)</f>
        <v>0</v>
      </c>
      <c r="P407">
        <f>IFERROR($J407/IF($A407&lt;COUNTIFS($K$1:P$1,"&lt;&gt;"),0,SUMIFS($J:$J,$B:$B,$B407,$A:$A,"&gt;="&amp;COUNTIFS($K$1:P$1,"&lt;&gt;"))),0)</f>
        <v>0</v>
      </c>
      <c r="Q407">
        <f>IFERROR($J407/IF($A407&lt;COUNTIFS($K$1:Q$1,"&lt;&gt;"),0,SUMIFS($J:$J,$B:$B,$B407,$A:$A,"&gt;="&amp;COUNTIFS($K$1:Q$1,"&lt;&gt;"))),0)</f>
        <v>0</v>
      </c>
      <c r="R407">
        <f>IFERROR($J407/IF($A407&lt;COUNTIFS($K$1:R$1,"&lt;&gt;"),0,SUMIFS($J:$J,$B:$B,$B407,$A:$A,"&gt;="&amp;COUNTIFS($K$1:R$1,"&lt;&gt;"))),0)</f>
        <v>0</v>
      </c>
      <c r="S407">
        <f>IFERROR($J407/IF($A407&lt;COUNTIFS($K$1:S$1,"&lt;&gt;"),0,SUMIFS($J:$J,$B:$B,$B407,$A:$A,"&gt;="&amp;COUNTIFS($K$1:S$1,"&lt;&gt;"))),0)</f>
        <v>0</v>
      </c>
      <c r="T407">
        <f>IFERROR($J407/IF($A407&lt;COUNTIFS($K$1:T$1,"&lt;&gt;"),0,SUMIFS($J:$J,$B:$B,$B407,$A:$A,"&gt;="&amp;COUNTIFS($K$1:T$1,"&lt;&gt;"))),0)</f>
        <v>0</v>
      </c>
      <c r="U407">
        <f>IFERROR($J407/IF($A407&lt;COUNTIFS($K$1:U$1,"&lt;&gt;"),0,SUMIFS($J:$J,$B:$B,$B407,$A:$A,"&gt;="&amp;COUNTIFS($K$1:U$1,"&lt;&gt;"))),0)</f>
        <v>0</v>
      </c>
      <c r="V407">
        <f>IFERROR($J407/IF($A407&lt;COUNTIFS($K$1:V$1,"&lt;&gt;"),0,SUMIFS($J:$J,$B:$B,$B407,$A:$A,"&gt;="&amp;COUNTIFS($K$1:V$1,"&lt;&gt;"))),0)</f>
        <v>0</v>
      </c>
      <c r="W407">
        <f t="shared" si="156"/>
        <v>8.4931506849315067E-2</v>
      </c>
      <c r="X407">
        <f t="shared" si="136"/>
        <v>8.4931506849315067E-2</v>
      </c>
      <c r="Y407">
        <f t="shared" si="137"/>
        <v>8.4931506849315067E-2</v>
      </c>
      <c r="Z407">
        <f t="shared" si="138"/>
        <v>0</v>
      </c>
      <c r="AA407">
        <f t="shared" si="139"/>
        <v>0</v>
      </c>
      <c r="AB407">
        <f t="shared" si="140"/>
        <v>0</v>
      </c>
      <c r="AC407">
        <f t="shared" si="141"/>
        <v>0</v>
      </c>
      <c r="AD407">
        <f t="shared" si="142"/>
        <v>0</v>
      </c>
      <c r="AE407">
        <f t="shared" si="143"/>
        <v>0</v>
      </c>
      <c r="AF407">
        <f t="shared" si="144"/>
        <v>0</v>
      </c>
      <c r="AG407">
        <f t="shared" si="145"/>
        <v>0</v>
      </c>
      <c r="AH407">
        <f t="shared" si="146"/>
        <v>0</v>
      </c>
      <c r="AI407">
        <f t="shared" si="147"/>
        <v>0</v>
      </c>
      <c r="AJ407" s="2" t="str">
        <f t="shared" si="157"/>
        <v>244774</v>
      </c>
    </row>
    <row r="408" spans="1:36" x14ac:dyDescent="0.25">
      <c r="A408">
        <v>3</v>
      </c>
      <c r="B408" s="1">
        <v>44774</v>
      </c>
      <c r="C408" s="1">
        <f t="shared" si="148"/>
        <v>44866</v>
      </c>
      <c r="D408" s="1">
        <f t="shared" si="149"/>
        <v>44788</v>
      </c>
      <c r="E408" s="1">
        <f t="shared" si="150"/>
        <v>44866</v>
      </c>
      <c r="F408" s="1">
        <f t="shared" si="151"/>
        <v>44896</v>
      </c>
      <c r="G408" s="1">
        <f t="shared" si="152"/>
        <v>45153</v>
      </c>
      <c r="H408">
        <f t="shared" si="153"/>
        <v>365</v>
      </c>
      <c r="I408">
        <f t="shared" si="154"/>
        <v>30</v>
      </c>
      <c r="J408">
        <f t="shared" si="155"/>
        <v>8.2191780821917804E-2</v>
      </c>
      <c r="K408">
        <f>IFERROR($J408/IF($A408&lt;COUNTIFS($K$1:K$1,"&lt;&gt;"),0,SUMIFS($J:$J,$B:$B,$B408,$A:$A,"&gt;="&amp;COUNTIFS($K$1:K$1,"&lt;&gt;"))),0)</f>
        <v>8.6206896551724144E-2</v>
      </c>
      <c r="L408">
        <f>IFERROR($J408/IF($A408&lt;COUNTIFS($K$1:L$1,"&lt;&gt;"),0,SUMIFS($J:$J,$B:$B,$B408,$A:$A,"&gt;="&amp;COUNTIFS($K$1:L$1,"&lt;&gt;"))),0)</f>
        <v>9.4339622641509441E-2</v>
      </c>
      <c r="M408">
        <f>IFERROR($J408/IF($A408&lt;COUNTIFS($K$1:M$1,"&lt;&gt;"),0,SUMIFS($J:$J,$B:$B,$B408,$A:$A,"&gt;="&amp;COUNTIFS($K$1:M$1,"&lt;&gt;"))),0)</f>
        <v>0.10452961672473869</v>
      </c>
      <c r="N408">
        <f>IFERROR($J408/IF($A408&lt;COUNTIFS($K$1:N$1,"&lt;&gt;"),0,SUMIFS($J:$J,$B:$B,$B408,$A:$A,"&gt;="&amp;COUNTIFS($K$1:N$1,"&lt;&gt;"))),0)</f>
        <v>0</v>
      </c>
      <c r="O408">
        <f>IFERROR($J408/IF($A408&lt;COUNTIFS($K$1:O$1,"&lt;&gt;"),0,SUMIFS($J:$J,$B:$B,$B408,$A:$A,"&gt;="&amp;COUNTIFS($K$1:O$1,"&lt;&gt;"))),0)</f>
        <v>0</v>
      </c>
      <c r="P408">
        <f>IFERROR($J408/IF($A408&lt;COUNTIFS($K$1:P$1,"&lt;&gt;"),0,SUMIFS($J:$J,$B:$B,$B408,$A:$A,"&gt;="&amp;COUNTIFS($K$1:P$1,"&lt;&gt;"))),0)</f>
        <v>0</v>
      </c>
      <c r="Q408">
        <f>IFERROR($J408/IF($A408&lt;COUNTIFS($K$1:Q$1,"&lt;&gt;"),0,SUMIFS($J:$J,$B:$B,$B408,$A:$A,"&gt;="&amp;COUNTIFS($K$1:Q$1,"&lt;&gt;"))),0)</f>
        <v>0</v>
      </c>
      <c r="R408">
        <f>IFERROR($J408/IF($A408&lt;COUNTIFS($K$1:R$1,"&lt;&gt;"),0,SUMIFS($J:$J,$B:$B,$B408,$A:$A,"&gt;="&amp;COUNTIFS($K$1:R$1,"&lt;&gt;"))),0)</f>
        <v>0</v>
      </c>
      <c r="S408">
        <f>IFERROR($J408/IF($A408&lt;COUNTIFS($K$1:S$1,"&lt;&gt;"),0,SUMIFS($J:$J,$B:$B,$B408,$A:$A,"&gt;="&amp;COUNTIFS($K$1:S$1,"&lt;&gt;"))),0)</f>
        <v>0</v>
      </c>
      <c r="T408">
        <f>IFERROR($J408/IF($A408&lt;COUNTIFS($K$1:T$1,"&lt;&gt;"),0,SUMIFS($J:$J,$B:$B,$B408,$A:$A,"&gt;="&amp;COUNTIFS($K$1:T$1,"&lt;&gt;"))),0)</f>
        <v>0</v>
      </c>
      <c r="U408">
        <f>IFERROR($J408/IF($A408&lt;COUNTIFS($K$1:U$1,"&lt;&gt;"),0,SUMIFS($J:$J,$B:$B,$B408,$A:$A,"&gt;="&amp;COUNTIFS($K$1:U$1,"&lt;&gt;"))),0)</f>
        <v>0</v>
      </c>
      <c r="V408">
        <f>IFERROR($J408/IF($A408&lt;COUNTIFS($K$1:V$1,"&lt;&gt;"),0,SUMIFS($J:$J,$B:$B,$B408,$A:$A,"&gt;="&amp;COUNTIFS($K$1:V$1,"&lt;&gt;"))),0)</f>
        <v>0</v>
      </c>
      <c r="W408">
        <f t="shared" si="156"/>
        <v>8.2191780821917804E-2</v>
      </c>
      <c r="X408">
        <f t="shared" si="136"/>
        <v>8.2191780821917804E-2</v>
      </c>
      <c r="Y408">
        <f t="shared" si="137"/>
        <v>8.2191780821917804E-2</v>
      </c>
      <c r="Z408">
        <f t="shared" si="138"/>
        <v>8.2191780821917804E-2</v>
      </c>
      <c r="AA408">
        <f t="shared" si="139"/>
        <v>0</v>
      </c>
      <c r="AB408">
        <f t="shared" si="140"/>
        <v>0</v>
      </c>
      <c r="AC408">
        <f t="shared" si="141"/>
        <v>0</v>
      </c>
      <c r="AD408">
        <f t="shared" si="142"/>
        <v>0</v>
      </c>
      <c r="AE408">
        <f t="shared" si="143"/>
        <v>0</v>
      </c>
      <c r="AF408">
        <f t="shared" si="144"/>
        <v>0</v>
      </c>
      <c r="AG408">
        <f t="shared" si="145"/>
        <v>0</v>
      </c>
      <c r="AH408">
        <f t="shared" si="146"/>
        <v>0</v>
      </c>
      <c r="AI408">
        <f t="shared" si="147"/>
        <v>0</v>
      </c>
      <c r="AJ408" s="2" t="str">
        <f t="shared" si="157"/>
        <v>344774</v>
      </c>
    </row>
    <row r="409" spans="1:36" x14ac:dyDescent="0.25">
      <c r="A409">
        <v>4</v>
      </c>
      <c r="B409" s="1">
        <v>44774</v>
      </c>
      <c r="C409" s="1">
        <f t="shared" si="148"/>
        <v>44896</v>
      </c>
      <c r="D409" s="1">
        <f t="shared" si="149"/>
        <v>44788</v>
      </c>
      <c r="E409" s="1">
        <f t="shared" si="150"/>
        <v>44896</v>
      </c>
      <c r="F409" s="1">
        <f t="shared" si="151"/>
        <v>44927</v>
      </c>
      <c r="G409" s="1">
        <f t="shared" si="152"/>
        <v>45153</v>
      </c>
      <c r="H409">
        <f t="shared" si="153"/>
        <v>365</v>
      </c>
      <c r="I409">
        <f t="shared" si="154"/>
        <v>31</v>
      </c>
      <c r="J409">
        <f t="shared" si="155"/>
        <v>8.4931506849315067E-2</v>
      </c>
      <c r="K409">
        <f>IFERROR($J409/IF($A409&lt;COUNTIFS($K$1:K$1,"&lt;&gt;"),0,SUMIFS($J:$J,$B:$B,$B409,$A:$A,"&gt;="&amp;COUNTIFS($K$1:K$1,"&lt;&gt;"))),0)</f>
        <v>8.9080459770114959E-2</v>
      </c>
      <c r="L409">
        <f>IFERROR($J409/IF($A409&lt;COUNTIFS($K$1:L$1,"&lt;&gt;"),0,SUMIFS($J:$J,$B:$B,$B409,$A:$A,"&gt;="&amp;COUNTIFS($K$1:L$1,"&lt;&gt;"))),0)</f>
        <v>9.7484276729559768E-2</v>
      </c>
      <c r="M409">
        <f>IFERROR($J409/IF($A409&lt;COUNTIFS($K$1:M$1,"&lt;&gt;"),0,SUMIFS($J:$J,$B:$B,$B409,$A:$A,"&gt;="&amp;COUNTIFS($K$1:M$1,"&lt;&gt;"))),0)</f>
        <v>0.10801393728222998</v>
      </c>
      <c r="N409">
        <f>IFERROR($J409/IF($A409&lt;COUNTIFS($K$1:N$1,"&lt;&gt;"),0,SUMIFS($J:$J,$B:$B,$B409,$A:$A,"&gt;="&amp;COUNTIFS($K$1:N$1,"&lt;&gt;"))),0)</f>
        <v>0.12062256809338523</v>
      </c>
      <c r="O409">
        <f>IFERROR($J409/IF($A409&lt;COUNTIFS($K$1:O$1,"&lt;&gt;"),0,SUMIFS($J:$J,$B:$B,$B409,$A:$A,"&gt;="&amp;COUNTIFS($K$1:O$1,"&lt;&gt;"))),0)</f>
        <v>0</v>
      </c>
      <c r="P409">
        <f>IFERROR($J409/IF($A409&lt;COUNTIFS($K$1:P$1,"&lt;&gt;"),0,SUMIFS($J:$J,$B:$B,$B409,$A:$A,"&gt;="&amp;COUNTIFS($K$1:P$1,"&lt;&gt;"))),0)</f>
        <v>0</v>
      </c>
      <c r="Q409">
        <f>IFERROR($J409/IF($A409&lt;COUNTIFS($K$1:Q$1,"&lt;&gt;"),0,SUMIFS($J:$J,$B:$B,$B409,$A:$A,"&gt;="&amp;COUNTIFS($K$1:Q$1,"&lt;&gt;"))),0)</f>
        <v>0</v>
      </c>
      <c r="R409">
        <f>IFERROR($J409/IF($A409&lt;COUNTIFS($K$1:R$1,"&lt;&gt;"),0,SUMIFS($J:$J,$B:$B,$B409,$A:$A,"&gt;="&amp;COUNTIFS($K$1:R$1,"&lt;&gt;"))),0)</f>
        <v>0</v>
      </c>
      <c r="S409">
        <f>IFERROR($J409/IF($A409&lt;COUNTIFS($K$1:S$1,"&lt;&gt;"),0,SUMIFS($J:$J,$B:$B,$B409,$A:$A,"&gt;="&amp;COUNTIFS($K$1:S$1,"&lt;&gt;"))),0)</f>
        <v>0</v>
      </c>
      <c r="T409">
        <f>IFERROR($J409/IF($A409&lt;COUNTIFS($K$1:T$1,"&lt;&gt;"),0,SUMIFS($J:$J,$B:$B,$B409,$A:$A,"&gt;="&amp;COUNTIFS($K$1:T$1,"&lt;&gt;"))),0)</f>
        <v>0</v>
      </c>
      <c r="U409">
        <f>IFERROR($J409/IF($A409&lt;COUNTIFS($K$1:U$1,"&lt;&gt;"),0,SUMIFS($J:$J,$B:$B,$B409,$A:$A,"&gt;="&amp;COUNTIFS($K$1:U$1,"&lt;&gt;"))),0)</f>
        <v>0</v>
      </c>
      <c r="V409">
        <f>IFERROR($J409/IF($A409&lt;COUNTIFS($K$1:V$1,"&lt;&gt;"),0,SUMIFS($J:$J,$B:$B,$B409,$A:$A,"&gt;="&amp;COUNTIFS($K$1:V$1,"&lt;&gt;"))),0)</f>
        <v>0</v>
      </c>
      <c r="W409">
        <f t="shared" si="156"/>
        <v>8.4931506849315067E-2</v>
      </c>
      <c r="X409">
        <f t="shared" si="136"/>
        <v>8.4931506849315067E-2</v>
      </c>
      <c r="Y409">
        <f t="shared" si="137"/>
        <v>8.4931506849315067E-2</v>
      </c>
      <c r="Z409">
        <f t="shared" si="138"/>
        <v>8.4931506849315067E-2</v>
      </c>
      <c r="AA409">
        <f t="shared" si="139"/>
        <v>8.4931506849315067E-2</v>
      </c>
      <c r="AB409">
        <f t="shared" si="140"/>
        <v>0</v>
      </c>
      <c r="AC409">
        <f t="shared" si="141"/>
        <v>0</v>
      </c>
      <c r="AD409">
        <f t="shared" si="142"/>
        <v>0</v>
      </c>
      <c r="AE409">
        <f t="shared" si="143"/>
        <v>0</v>
      </c>
      <c r="AF409">
        <f t="shared" si="144"/>
        <v>0</v>
      </c>
      <c r="AG409">
        <f t="shared" si="145"/>
        <v>0</v>
      </c>
      <c r="AH409">
        <f t="shared" si="146"/>
        <v>0</v>
      </c>
      <c r="AI409">
        <f t="shared" si="147"/>
        <v>0</v>
      </c>
      <c r="AJ409" s="2" t="str">
        <f t="shared" si="157"/>
        <v>444774</v>
      </c>
    </row>
    <row r="410" spans="1:36" x14ac:dyDescent="0.25">
      <c r="A410">
        <v>5</v>
      </c>
      <c r="B410" s="1">
        <v>44774</v>
      </c>
      <c r="C410" s="1">
        <f t="shared" si="148"/>
        <v>44927</v>
      </c>
      <c r="D410" s="1">
        <f t="shared" si="149"/>
        <v>44788</v>
      </c>
      <c r="E410" s="1">
        <f t="shared" si="150"/>
        <v>44927</v>
      </c>
      <c r="F410" s="1">
        <f t="shared" si="151"/>
        <v>44958</v>
      </c>
      <c r="G410" s="1">
        <f t="shared" si="152"/>
        <v>45153</v>
      </c>
      <c r="H410">
        <f t="shared" si="153"/>
        <v>365</v>
      </c>
      <c r="I410">
        <f t="shared" si="154"/>
        <v>31</v>
      </c>
      <c r="J410">
        <f t="shared" si="155"/>
        <v>8.4931506849315067E-2</v>
      </c>
      <c r="K410">
        <f>IFERROR($J410/IF($A410&lt;COUNTIFS($K$1:K$1,"&lt;&gt;"),0,SUMIFS($J:$J,$B:$B,$B410,$A:$A,"&gt;="&amp;COUNTIFS($K$1:K$1,"&lt;&gt;"))),0)</f>
        <v>8.9080459770114959E-2</v>
      </c>
      <c r="L410">
        <f>IFERROR($J410/IF($A410&lt;COUNTIFS($K$1:L$1,"&lt;&gt;"),0,SUMIFS($J:$J,$B:$B,$B410,$A:$A,"&gt;="&amp;COUNTIFS($K$1:L$1,"&lt;&gt;"))),0)</f>
        <v>9.7484276729559768E-2</v>
      </c>
      <c r="M410">
        <f>IFERROR($J410/IF($A410&lt;COUNTIFS($K$1:M$1,"&lt;&gt;"),0,SUMIFS($J:$J,$B:$B,$B410,$A:$A,"&gt;="&amp;COUNTIFS($K$1:M$1,"&lt;&gt;"))),0)</f>
        <v>0.10801393728222998</v>
      </c>
      <c r="N410">
        <f>IFERROR($J410/IF($A410&lt;COUNTIFS($K$1:N$1,"&lt;&gt;"),0,SUMIFS($J:$J,$B:$B,$B410,$A:$A,"&gt;="&amp;COUNTIFS($K$1:N$1,"&lt;&gt;"))),0)</f>
        <v>0.12062256809338523</v>
      </c>
      <c r="O410">
        <f>IFERROR($J410/IF($A410&lt;COUNTIFS($K$1:O$1,"&lt;&gt;"),0,SUMIFS($J:$J,$B:$B,$B410,$A:$A,"&gt;="&amp;COUNTIFS($K$1:O$1,"&lt;&gt;"))),0)</f>
        <v>0.13716814159292037</v>
      </c>
      <c r="P410">
        <f>IFERROR($J410/IF($A410&lt;COUNTIFS($K$1:P$1,"&lt;&gt;"),0,SUMIFS($J:$J,$B:$B,$B410,$A:$A,"&gt;="&amp;COUNTIFS($K$1:P$1,"&lt;&gt;"))),0)</f>
        <v>0</v>
      </c>
      <c r="Q410">
        <f>IFERROR($J410/IF($A410&lt;COUNTIFS($K$1:Q$1,"&lt;&gt;"),0,SUMIFS($J:$J,$B:$B,$B410,$A:$A,"&gt;="&amp;COUNTIFS($K$1:Q$1,"&lt;&gt;"))),0)</f>
        <v>0</v>
      </c>
      <c r="R410">
        <f>IFERROR($J410/IF($A410&lt;COUNTIFS($K$1:R$1,"&lt;&gt;"),0,SUMIFS($J:$J,$B:$B,$B410,$A:$A,"&gt;="&amp;COUNTIFS($K$1:R$1,"&lt;&gt;"))),0)</f>
        <v>0</v>
      </c>
      <c r="S410">
        <f>IFERROR($J410/IF($A410&lt;COUNTIFS($K$1:S$1,"&lt;&gt;"),0,SUMIFS($J:$J,$B:$B,$B410,$A:$A,"&gt;="&amp;COUNTIFS($K$1:S$1,"&lt;&gt;"))),0)</f>
        <v>0</v>
      </c>
      <c r="T410">
        <f>IFERROR($J410/IF($A410&lt;COUNTIFS($K$1:T$1,"&lt;&gt;"),0,SUMIFS($J:$J,$B:$B,$B410,$A:$A,"&gt;="&amp;COUNTIFS($K$1:T$1,"&lt;&gt;"))),0)</f>
        <v>0</v>
      </c>
      <c r="U410">
        <f>IFERROR($J410/IF($A410&lt;COUNTIFS($K$1:U$1,"&lt;&gt;"),0,SUMIFS($J:$J,$B:$B,$B410,$A:$A,"&gt;="&amp;COUNTIFS($K$1:U$1,"&lt;&gt;"))),0)</f>
        <v>0</v>
      </c>
      <c r="V410">
        <f>IFERROR($J410/IF($A410&lt;COUNTIFS($K$1:V$1,"&lt;&gt;"),0,SUMIFS($J:$J,$B:$B,$B410,$A:$A,"&gt;="&amp;COUNTIFS($K$1:V$1,"&lt;&gt;"))),0)</f>
        <v>0</v>
      </c>
      <c r="W410">
        <f t="shared" si="156"/>
        <v>8.4931506849315067E-2</v>
      </c>
      <c r="X410">
        <f t="shared" si="136"/>
        <v>8.4931506849315067E-2</v>
      </c>
      <c r="Y410">
        <f t="shared" si="137"/>
        <v>8.4931506849315067E-2</v>
      </c>
      <c r="Z410">
        <f t="shared" si="138"/>
        <v>8.4931506849315067E-2</v>
      </c>
      <c r="AA410">
        <f t="shared" si="139"/>
        <v>8.4931506849315067E-2</v>
      </c>
      <c r="AB410">
        <f t="shared" si="140"/>
        <v>8.4931506849315067E-2</v>
      </c>
      <c r="AC410">
        <f t="shared" si="141"/>
        <v>0</v>
      </c>
      <c r="AD410">
        <f t="shared" si="142"/>
        <v>0</v>
      </c>
      <c r="AE410">
        <f t="shared" si="143"/>
        <v>0</v>
      </c>
      <c r="AF410">
        <f t="shared" si="144"/>
        <v>0</v>
      </c>
      <c r="AG410">
        <f t="shared" si="145"/>
        <v>0</v>
      </c>
      <c r="AH410">
        <f t="shared" si="146"/>
        <v>0</v>
      </c>
      <c r="AI410">
        <f t="shared" si="147"/>
        <v>0</v>
      </c>
      <c r="AJ410" s="2" t="str">
        <f t="shared" si="157"/>
        <v>544774</v>
      </c>
    </row>
    <row r="411" spans="1:36" x14ac:dyDescent="0.25">
      <c r="A411">
        <v>6</v>
      </c>
      <c r="B411" s="1">
        <v>44774</v>
      </c>
      <c r="C411" s="1">
        <f t="shared" si="148"/>
        <v>44958</v>
      </c>
      <c r="D411" s="1">
        <f t="shared" si="149"/>
        <v>44788</v>
      </c>
      <c r="E411" s="1">
        <f t="shared" si="150"/>
        <v>44958</v>
      </c>
      <c r="F411" s="1">
        <f t="shared" si="151"/>
        <v>44986</v>
      </c>
      <c r="G411" s="1">
        <f t="shared" si="152"/>
        <v>45153</v>
      </c>
      <c r="H411">
        <f t="shared" si="153"/>
        <v>365</v>
      </c>
      <c r="I411">
        <f t="shared" si="154"/>
        <v>28</v>
      </c>
      <c r="J411">
        <f t="shared" si="155"/>
        <v>7.6712328767123292E-2</v>
      </c>
      <c r="K411">
        <f>IFERROR($J411/IF($A411&lt;COUNTIFS($K$1:K$1,"&lt;&gt;"),0,SUMIFS($J:$J,$B:$B,$B411,$A:$A,"&gt;="&amp;COUNTIFS($K$1:K$1,"&lt;&gt;"))),0)</f>
        <v>8.0459770114942541E-2</v>
      </c>
      <c r="L411">
        <f>IFERROR($J411/IF($A411&lt;COUNTIFS($K$1:L$1,"&lt;&gt;"),0,SUMIFS($J:$J,$B:$B,$B411,$A:$A,"&gt;="&amp;COUNTIFS($K$1:L$1,"&lt;&gt;"))),0)</f>
        <v>8.8050314465408827E-2</v>
      </c>
      <c r="M411">
        <f>IFERROR($J411/IF($A411&lt;COUNTIFS($K$1:M$1,"&lt;&gt;"),0,SUMIFS($J:$J,$B:$B,$B411,$A:$A,"&gt;="&amp;COUNTIFS($K$1:M$1,"&lt;&gt;"))),0)</f>
        <v>9.7560975609756115E-2</v>
      </c>
      <c r="N411">
        <f>IFERROR($J411/IF($A411&lt;COUNTIFS($K$1:N$1,"&lt;&gt;"),0,SUMIFS($J:$J,$B:$B,$B411,$A:$A,"&gt;="&amp;COUNTIFS($K$1:N$1,"&lt;&gt;"))),0)</f>
        <v>0.10894941634241248</v>
      </c>
      <c r="O411">
        <f>IFERROR($J411/IF($A411&lt;COUNTIFS($K$1:O$1,"&lt;&gt;"),0,SUMIFS($J:$J,$B:$B,$B411,$A:$A,"&gt;="&amp;COUNTIFS($K$1:O$1,"&lt;&gt;"))),0)</f>
        <v>0.12389380530973454</v>
      </c>
      <c r="P411">
        <f>IFERROR($J411/IF($A411&lt;COUNTIFS($K$1:P$1,"&lt;&gt;"),0,SUMIFS($J:$J,$B:$B,$B411,$A:$A,"&gt;="&amp;COUNTIFS($K$1:P$1,"&lt;&gt;"))),0)</f>
        <v>0.14358974358974361</v>
      </c>
      <c r="Q411">
        <f>IFERROR($J411/IF($A411&lt;COUNTIFS($K$1:Q$1,"&lt;&gt;"),0,SUMIFS($J:$J,$B:$B,$B411,$A:$A,"&gt;="&amp;COUNTIFS($K$1:Q$1,"&lt;&gt;"))),0)</f>
        <v>0</v>
      </c>
      <c r="R411">
        <f>IFERROR($J411/IF($A411&lt;COUNTIFS($K$1:R$1,"&lt;&gt;"),0,SUMIFS($J:$J,$B:$B,$B411,$A:$A,"&gt;="&amp;COUNTIFS($K$1:R$1,"&lt;&gt;"))),0)</f>
        <v>0</v>
      </c>
      <c r="S411">
        <f>IFERROR($J411/IF($A411&lt;COUNTIFS($K$1:S$1,"&lt;&gt;"),0,SUMIFS($J:$J,$B:$B,$B411,$A:$A,"&gt;="&amp;COUNTIFS($K$1:S$1,"&lt;&gt;"))),0)</f>
        <v>0</v>
      </c>
      <c r="T411">
        <f>IFERROR($J411/IF($A411&lt;COUNTIFS($K$1:T$1,"&lt;&gt;"),0,SUMIFS($J:$J,$B:$B,$B411,$A:$A,"&gt;="&amp;COUNTIFS($K$1:T$1,"&lt;&gt;"))),0)</f>
        <v>0</v>
      </c>
      <c r="U411">
        <f>IFERROR($J411/IF($A411&lt;COUNTIFS($K$1:U$1,"&lt;&gt;"),0,SUMIFS($J:$J,$B:$B,$B411,$A:$A,"&gt;="&amp;COUNTIFS($K$1:U$1,"&lt;&gt;"))),0)</f>
        <v>0</v>
      </c>
      <c r="V411">
        <f>IFERROR($J411/IF($A411&lt;COUNTIFS($K$1:V$1,"&lt;&gt;"),0,SUMIFS($J:$J,$B:$B,$B411,$A:$A,"&gt;="&amp;COUNTIFS($K$1:V$1,"&lt;&gt;"))),0)</f>
        <v>0</v>
      </c>
      <c r="W411">
        <f t="shared" si="156"/>
        <v>7.6712328767123292E-2</v>
      </c>
      <c r="X411">
        <f t="shared" si="136"/>
        <v>7.6712328767123292E-2</v>
      </c>
      <c r="Y411">
        <f t="shared" si="137"/>
        <v>7.6712328767123292E-2</v>
      </c>
      <c r="Z411">
        <f t="shared" si="138"/>
        <v>7.6712328767123292E-2</v>
      </c>
      <c r="AA411">
        <f t="shared" si="139"/>
        <v>7.6712328767123292E-2</v>
      </c>
      <c r="AB411">
        <f t="shared" si="140"/>
        <v>7.6712328767123292E-2</v>
      </c>
      <c r="AC411">
        <f t="shared" si="141"/>
        <v>7.6712328767123292E-2</v>
      </c>
      <c r="AD411">
        <f t="shared" si="142"/>
        <v>0</v>
      </c>
      <c r="AE411">
        <f t="shared" si="143"/>
        <v>0</v>
      </c>
      <c r="AF411">
        <f t="shared" si="144"/>
        <v>0</v>
      </c>
      <c r="AG411">
        <f t="shared" si="145"/>
        <v>0</v>
      </c>
      <c r="AH411">
        <f t="shared" si="146"/>
        <v>0</v>
      </c>
      <c r="AI411">
        <f t="shared" si="147"/>
        <v>0</v>
      </c>
      <c r="AJ411" s="2" t="str">
        <f t="shared" si="157"/>
        <v>644774</v>
      </c>
    </row>
    <row r="412" spans="1:36" x14ac:dyDescent="0.25">
      <c r="A412">
        <v>7</v>
      </c>
      <c r="B412" s="1">
        <v>44774</v>
      </c>
      <c r="C412" s="1">
        <f t="shared" si="148"/>
        <v>44986</v>
      </c>
      <c r="D412" s="1">
        <f t="shared" si="149"/>
        <v>44788</v>
      </c>
      <c r="E412" s="1">
        <f t="shared" si="150"/>
        <v>44986</v>
      </c>
      <c r="F412" s="1">
        <f t="shared" si="151"/>
        <v>45017</v>
      </c>
      <c r="G412" s="1">
        <f t="shared" si="152"/>
        <v>45153</v>
      </c>
      <c r="H412">
        <f t="shared" si="153"/>
        <v>365</v>
      </c>
      <c r="I412">
        <f t="shared" si="154"/>
        <v>31</v>
      </c>
      <c r="J412">
        <f t="shared" si="155"/>
        <v>8.4931506849315067E-2</v>
      </c>
      <c r="K412">
        <f>IFERROR($J412/IF($A412&lt;COUNTIFS($K$1:K$1,"&lt;&gt;"),0,SUMIFS($J:$J,$B:$B,$B412,$A:$A,"&gt;="&amp;COUNTIFS($K$1:K$1,"&lt;&gt;"))),0)</f>
        <v>8.9080459770114959E-2</v>
      </c>
      <c r="L412">
        <f>IFERROR($J412/IF($A412&lt;COUNTIFS($K$1:L$1,"&lt;&gt;"),0,SUMIFS($J:$J,$B:$B,$B412,$A:$A,"&gt;="&amp;COUNTIFS($K$1:L$1,"&lt;&gt;"))),0)</f>
        <v>9.7484276729559768E-2</v>
      </c>
      <c r="M412">
        <f>IFERROR($J412/IF($A412&lt;COUNTIFS($K$1:M$1,"&lt;&gt;"),0,SUMIFS($J:$J,$B:$B,$B412,$A:$A,"&gt;="&amp;COUNTIFS($K$1:M$1,"&lt;&gt;"))),0)</f>
        <v>0.10801393728222998</v>
      </c>
      <c r="N412">
        <f>IFERROR($J412/IF($A412&lt;COUNTIFS($K$1:N$1,"&lt;&gt;"),0,SUMIFS($J:$J,$B:$B,$B412,$A:$A,"&gt;="&amp;COUNTIFS($K$1:N$1,"&lt;&gt;"))),0)</f>
        <v>0.12062256809338523</v>
      </c>
      <c r="O412">
        <f>IFERROR($J412/IF($A412&lt;COUNTIFS($K$1:O$1,"&lt;&gt;"),0,SUMIFS($J:$J,$B:$B,$B412,$A:$A,"&gt;="&amp;COUNTIFS($K$1:O$1,"&lt;&gt;"))),0)</f>
        <v>0.13716814159292037</v>
      </c>
      <c r="P412">
        <f>IFERROR($J412/IF($A412&lt;COUNTIFS($K$1:P$1,"&lt;&gt;"),0,SUMIFS($J:$J,$B:$B,$B412,$A:$A,"&gt;="&amp;COUNTIFS($K$1:P$1,"&lt;&gt;"))),0)</f>
        <v>0.15897435897435899</v>
      </c>
      <c r="Q412">
        <f>IFERROR($J412/IF($A412&lt;COUNTIFS($K$1:Q$1,"&lt;&gt;"),0,SUMIFS($J:$J,$B:$B,$B412,$A:$A,"&gt;="&amp;COUNTIFS($K$1:Q$1,"&lt;&gt;"))),0)</f>
        <v>0.18562874251497008</v>
      </c>
      <c r="R412">
        <f>IFERROR($J412/IF($A412&lt;COUNTIFS($K$1:R$1,"&lt;&gt;"),0,SUMIFS($J:$J,$B:$B,$B412,$A:$A,"&gt;="&amp;COUNTIFS($K$1:R$1,"&lt;&gt;"))),0)</f>
        <v>0</v>
      </c>
      <c r="S412">
        <f>IFERROR($J412/IF($A412&lt;COUNTIFS($K$1:S$1,"&lt;&gt;"),0,SUMIFS($J:$J,$B:$B,$B412,$A:$A,"&gt;="&amp;COUNTIFS($K$1:S$1,"&lt;&gt;"))),0)</f>
        <v>0</v>
      </c>
      <c r="T412">
        <f>IFERROR($J412/IF($A412&lt;COUNTIFS($K$1:T$1,"&lt;&gt;"),0,SUMIFS($J:$J,$B:$B,$B412,$A:$A,"&gt;="&amp;COUNTIFS($K$1:T$1,"&lt;&gt;"))),0)</f>
        <v>0</v>
      </c>
      <c r="U412">
        <f>IFERROR($J412/IF($A412&lt;COUNTIFS($K$1:U$1,"&lt;&gt;"),0,SUMIFS($J:$J,$B:$B,$B412,$A:$A,"&gt;="&amp;COUNTIFS($K$1:U$1,"&lt;&gt;"))),0)</f>
        <v>0</v>
      </c>
      <c r="V412">
        <f>IFERROR($J412/IF($A412&lt;COUNTIFS($K$1:V$1,"&lt;&gt;"),0,SUMIFS($J:$J,$B:$B,$B412,$A:$A,"&gt;="&amp;COUNTIFS($K$1:V$1,"&lt;&gt;"))),0)</f>
        <v>0</v>
      </c>
      <c r="W412">
        <f t="shared" si="156"/>
        <v>8.4931506849315067E-2</v>
      </c>
      <c r="X412">
        <f t="shared" si="136"/>
        <v>8.4931506849315067E-2</v>
      </c>
      <c r="Y412">
        <f t="shared" si="137"/>
        <v>8.4931506849315067E-2</v>
      </c>
      <c r="Z412">
        <f t="shared" si="138"/>
        <v>8.4931506849315067E-2</v>
      </c>
      <c r="AA412">
        <f t="shared" si="139"/>
        <v>8.4931506849315067E-2</v>
      </c>
      <c r="AB412">
        <f t="shared" si="140"/>
        <v>8.4931506849315067E-2</v>
      </c>
      <c r="AC412">
        <f t="shared" si="141"/>
        <v>8.4931506849315067E-2</v>
      </c>
      <c r="AD412">
        <f t="shared" si="142"/>
        <v>8.4931506849315067E-2</v>
      </c>
      <c r="AE412">
        <f t="shared" si="143"/>
        <v>0</v>
      </c>
      <c r="AF412">
        <f t="shared" si="144"/>
        <v>0</v>
      </c>
      <c r="AG412">
        <f t="shared" si="145"/>
        <v>0</v>
      </c>
      <c r="AH412">
        <f t="shared" si="146"/>
        <v>0</v>
      </c>
      <c r="AI412">
        <f t="shared" si="147"/>
        <v>0</v>
      </c>
      <c r="AJ412" s="2" t="str">
        <f t="shared" si="157"/>
        <v>744774</v>
      </c>
    </row>
    <row r="413" spans="1:36" x14ac:dyDescent="0.25">
      <c r="A413">
        <v>8</v>
      </c>
      <c r="B413" s="1">
        <v>44774</v>
      </c>
      <c r="C413" s="1">
        <f t="shared" si="148"/>
        <v>45017</v>
      </c>
      <c r="D413" s="1">
        <f t="shared" si="149"/>
        <v>44788</v>
      </c>
      <c r="E413" s="1">
        <f t="shared" si="150"/>
        <v>45017</v>
      </c>
      <c r="F413" s="1">
        <f t="shared" si="151"/>
        <v>45047</v>
      </c>
      <c r="G413" s="1">
        <f t="shared" si="152"/>
        <v>45153</v>
      </c>
      <c r="H413">
        <f t="shared" si="153"/>
        <v>365</v>
      </c>
      <c r="I413">
        <f t="shared" si="154"/>
        <v>30</v>
      </c>
      <c r="J413">
        <f t="shared" si="155"/>
        <v>8.2191780821917804E-2</v>
      </c>
      <c r="K413">
        <f>IFERROR($J413/IF($A413&lt;COUNTIFS($K$1:K$1,"&lt;&gt;"),0,SUMIFS($J:$J,$B:$B,$B413,$A:$A,"&gt;="&amp;COUNTIFS($K$1:K$1,"&lt;&gt;"))),0)</f>
        <v>8.6206896551724144E-2</v>
      </c>
      <c r="L413">
        <f>IFERROR($J413/IF($A413&lt;COUNTIFS($K$1:L$1,"&lt;&gt;"),0,SUMIFS($J:$J,$B:$B,$B413,$A:$A,"&gt;="&amp;COUNTIFS($K$1:L$1,"&lt;&gt;"))),0)</f>
        <v>9.4339622641509441E-2</v>
      </c>
      <c r="M413">
        <f>IFERROR($J413/IF($A413&lt;COUNTIFS($K$1:M$1,"&lt;&gt;"),0,SUMIFS($J:$J,$B:$B,$B413,$A:$A,"&gt;="&amp;COUNTIFS($K$1:M$1,"&lt;&gt;"))),0)</f>
        <v>0.10452961672473869</v>
      </c>
      <c r="N413">
        <f>IFERROR($J413/IF($A413&lt;COUNTIFS($K$1:N$1,"&lt;&gt;"),0,SUMIFS($J:$J,$B:$B,$B413,$A:$A,"&gt;="&amp;COUNTIFS($K$1:N$1,"&lt;&gt;"))),0)</f>
        <v>0.11673151750972764</v>
      </c>
      <c r="O413">
        <f>IFERROR($J413/IF($A413&lt;COUNTIFS($K$1:O$1,"&lt;&gt;"),0,SUMIFS($J:$J,$B:$B,$B413,$A:$A,"&gt;="&amp;COUNTIFS($K$1:O$1,"&lt;&gt;"))),0)</f>
        <v>0.13274336283185842</v>
      </c>
      <c r="P413">
        <f>IFERROR($J413/IF($A413&lt;COUNTIFS($K$1:P$1,"&lt;&gt;"),0,SUMIFS($J:$J,$B:$B,$B413,$A:$A,"&gt;="&amp;COUNTIFS($K$1:P$1,"&lt;&gt;"))),0)</f>
        <v>0.15384615384615385</v>
      </c>
      <c r="Q413">
        <f>IFERROR($J413/IF($A413&lt;COUNTIFS($K$1:Q$1,"&lt;&gt;"),0,SUMIFS($J:$J,$B:$B,$B413,$A:$A,"&gt;="&amp;COUNTIFS($K$1:Q$1,"&lt;&gt;"))),0)</f>
        <v>0.17964071856287425</v>
      </c>
      <c r="R413">
        <f>IFERROR($J413/IF($A413&lt;COUNTIFS($K$1:R$1,"&lt;&gt;"),0,SUMIFS($J:$J,$B:$B,$B413,$A:$A,"&gt;="&amp;COUNTIFS($K$1:R$1,"&lt;&gt;"))),0)</f>
        <v>0.22058823529411764</v>
      </c>
      <c r="S413">
        <f>IFERROR($J413/IF($A413&lt;COUNTIFS($K$1:S$1,"&lt;&gt;"),0,SUMIFS($J:$J,$B:$B,$B413,$A:$A,"&gt;="&amp;COUNTIFS($K$1:S$1,"&lt;&gt;"))),0)</f>
        <v>0</v>
      </c>
      <c r="T413">
        <f>IFERROR($J413/IF($A413&lt;COUNTIFS($K$1:T$1,"&lt;&gt;"),0,SUMIFS($J:$J,$B:$B,$B413,$A:$A,"&gt;="&amp;COUNTIFS($K$1:T$1,"&lt;&gt;"))),0)</f>
        <v>0</v>
      </c>
      <c r="U413">
        <f>IFERROR($J413/IF($A413&lt;COUNTIFS($K$1:U$1,"&lt;&gt;"),0,SUMIFS($J:$J,$B:$B,$B413,$A:$A,"&gt;="&amp;COUNTIFS($K$1:U$1,"&lt;&gt;"))),0)</f>
        <v>0</v>
      </c>
      <c r="V413">
        <f>IFERROR($J413/IF($A413&lt;COUNTIFS($K$1:V$1,"&lt;&gt;"),0,SUMIFS($J:$J,$B:$B,$B413,$A:$A,"&gt;="&amp;COUNTIFS($K$1:V$1,"&lt;&gt;"))),0)</f>
        <v>0</v>
      </c>
      <c r="W413">
        <f t="shared" si="156"/>
        <v>8.2191780821917804E-2</v>
      </c>
      <c r="X413">
        <f t="shared" si="136"/>
        <v>8.2191780821917804E-2</v>
      </c>
      <c r="Y413">
        <f t="shared" si="137"/>
        <v>8.2191780821917804E-2</v>
      </c>
      <c r="Z413">
        <f t="shared" si="138"/>
        <v>8.2191780821917804E-2</v>
      </c>
      <c r="AA413">
        <f t="shared" si="139"/>
        <v>8.2191780821917804E-2</v>
      </c>
      <c r="AB413">
        <f t="shared" si="140"/>
        <v>8.2191780821917804E-2</v>
      </c>
      <c r="AC413">
        <f t="shared" si="141"/>
        <v>8.2191780821917804E-2</v>
      </c>
      <c r="AD413">
        <f t="shared" si="142"/>
        <v>8.2191780821917804E-2</v>
      </c>
      <c r="AE413">
        <f t="shared" si="143"/>
        <v>8.2191780821917804E-2</v>
      </c>
      <c r="AF413">
        <f t="shared" si="144"/>
        <v>0</v>
      </c>
      <c r="AG413">
        <f t="shared" si="145"/>
        <v>0</v>
      </c>
      <c r="AH413">
        <f t="shared" si="146"/>
        <v>0</v>
      </c>
      <c r="AI413">
        <f t="shared" si="147"/>
        <v>0</v>
      </c>
      <c r="AJ413" s="2" t="str">
        <f t="shared" si="157"/>
        <v>844774</v>
      </c>
    </row>
    <row r="414" spans="1:36" x14ac:dyDescent="0.25">
      <c r="A414">
        <v>9</v>
      </c>
      <c r="B414" s="1">
        <v>44774</v>
      </c>
      <c r="C414" s="1">
        <f t="shared" si="148"/>
        <v>45047</v>
      </c>
      <c r="D414" s="1">
        <f t="shared" si="149"/>
        <v>44788</v>
      </c>
      <c r="E414" s="1">
        <f t="shared" si="150"/>
        <v>45047</v>
      </c>
      <c r="F414" s="1">
        <f t="shared" si="151"/>
        <v>45078</v>
      </c>
      <c r="G414" s="1">
        <f t="shared" si="152"/>
        <v>45153</v>
      </c>
      <c r="H414">
        <f t="shared" si="153"/>
        <v>365</v>
      </c>
      <c r="I414">
        <f t="shared" si="154"/>
        <v>31</v>
      </c>
      <c r="J414">
        <f t="shared" si="155"/>
        <v>8.4931506849315067E-2</v>
      </c>
      <c r="K414">
        <f>IFERROR($J414/IF($A414&lt;COUNTIFS($K$1:K$1,"&lt;&gt;"),0,SUMIFS($J:$J,$B:$B,$B414,$A:$A,"&gt;="&amp;COUNTIFS($K$1:K$1,"&lt;&gt;"))),0)</f>
        <v>8.9080459770114959E-2</v>
      </c>
      <c r="L414">
        <f>IFERROR($J414/IF($A414&lt;COUNTIFS($K$1:L$1,"&lt;&gt;"),0,SUMIFS($J:$J,$B:$B,$B414,$A:$A,"&gt;="&amp;COUNTIFS($K$1:L$1,"&lt;&gt;"))),0)</f>
        <v>9.7484276729559768E-2</v>
      </c>
      <c r="M414">
        <f>IFERROR($J414/IF($A414&lt;COUNTIFS($K$1:M$1,"&lt;&gt;"),0,SUMIFS($J:$J,$B:$B,$B414,$A:$A,"&gt;="&amp;COUNTIFS($K$1:M$1,"&lt;&gt;"))),0)</f>
        <v>0.10801393728222998</v>
      </c>
      <c r="N414">
        <f>IFERROR($J414/IF($A414&lt;COUNTIFS($K$1:N$1,"&lt;&gt;"),0,SUMIFS($J:$J,$B:$B,$B414,$A:$A,"&gt;="&amp;COUNTIFS($K$1:N$1,"&lt;&gt;"))),0)</f>
        <v>0.12062256809338523</v>
      </c>
      <c r="O414">
        <f>IFERROR($J414/IF($A414&lt;COUNTIFS($K$1:O$1,"&lt;&gt;"),0,SUMIFS($J:$J,$B:$B,$B414,$A:$A,"&gt;="&amp;COUNTIFS($K$1:O$1,"&lt;&gt;"))),0)</f>
        <v>0.13716814159292037</v>
      </c>
      <c r="P414">
        <f>IFERROR($J414/IF($A414&lt;COUNTIFS($K$1:P$1,"&lt;&gt;"),0,SUMIFS($J:$J,$B:$B,$B414,$A:$A,"&gt;="&amp;COUNTIFS($K$1:P$1,"&lt;&gt;"))),0)</f>
        <v>0.15897435897435899</v>
      </c>
      <c r="Q414">
        <f>IFERROR($J414/IF($A414&lt;COUNTIFS($K$1:Q$1,"&lt;&gt;"),0,SUMIFS($J:$J,$B:$B,$B414,$A:$A,"&gt;="&amp;COUNTIFS($K$1:Q$1,"&lt;&gt;"))),0)</f>
        <v>0.18562874251497008</v>
      </c>
      <c r="R414">
        <f>IFERROR($J414/IF($A414&lt;COUNTIFS($K$1:R$1,"&lt;&gt;"),0,SUMIFS($J:$J,$B:$B,$B414,$A:$A,"&gt;="&amp;COUNTIFS($K$1:R$1,"&lt;&gt;"))),0)</f>
        <v>0.22794117647058826</v>
      </c>
      <c r="S414">
        <f>IFERROR($J414/IF($A414&lt;COUNTIFS($K$1:S$1,"&lt;&gt;"),0,SUMIFS($J:$J,$B:$B,$B414,$A:$A,"&gt;="&amp;COUNTIFS($K$1:S$1,"&lt;&gt;"))),0)</f>
        <v>0.29245283018867929</v>
      </c>
      <c r="T414">
        <f>IFERROR($J414/IF($A414&lt;COUNTIFS($K$1:T$1,"&lt;&gt;"),0,SUMIFS($J:$J,$B:$B,$B414,$A:$A,"&gt;="&amp;COUNTIFS($K$1:T$1,"&lt;&gt;"))),0)</f>
        <v>0</v>
      </c>
      <c r="U414">
        <f>IFERROR($J414/IF($A414&lt;COUNTIFS($K$1:U$1,"&lt;&gt;"),0,SUMIFS($J:$J,$B:$B,$B414,$A:$A,"&gt;="&amp;COUNTIFS($K$1:U$1,"&lt;&gt;"))),0)</f>
        <v>0</v>
      </c>
      <c r="V414">
        <f>IFERROR($J414/IF($A414&lt;COUNTIFS($K$1:V$1,"&lt;&gt;"),0,SUMIFS($J:$J,$B:$B,$B414,$A:$A,"&gt;="&amp;COUNTIFS($K$1:V$1,"&lt;&gt;"))),0)</f>
        <v>0</v>
      </c>
      <c r="W414">
        <f t="shared" si="156"/>
        <v>8.4931506849315067E-2</v>
      </c>
      <c r="X414">
        <f t="shared" si="136"/>
        <v>8.4931506849315067E-2</v>
      </c>
      <c r="Y414">
        <f t="shared" si="137"/>
        <v>8.4931506849315067E-2</v>
      </c>
      <c r="Z414">
        <f t="shared" si="138"/>
        <v>8.4931506849315067E-2</v>
      </c>
      <c r="AA414">
        <f t="shared" si="139"/>
        <v>8.4931506849315067E-2</v>
      </c>
      <c r="AB414">
        <f t="shared" si="140"/>
        <v>8.4931506849315067E-2</v>
      </c>
      <c r="AC414">
        <f t="shared" si="141"/>
        <v>8.4931506849315067E-2</v>
      </c>
      <c r="AD414">
        <f t="shared" si="142"/>
        <v>8.4931506849315067E-2</v>
      </c>
      <c r="AE414">
        <f t="shared" si="143"/>
        <v>8.4931506849315067E-2</v>
      </c>
      <c r="AF414">
        <f t="shared" si="144"/>
        <v>8.4931506849315067E-2</v>
      </c>
      <c r="AG414">
        <f t="shared" si="145"/>
        <v>0</v>
      </c>
      <c r="AH414">
        <f t="shared" si="146"/>
        <v>0</v>
      </c>
      <c r="AI414">
        <f t="shared" si="147"/>
        <v>0</v>
      </c>
      <c r="AJ414" s="2" t="str">
        <f t="shared" si="157"/>
        <v>944774</v>
      </c>
    </row>
    <row r="415" spans="1:36" x14ac:dyDescent="0.25">
      <c r="A415">
        <v>10</v>
      </c>
      <c r="B415" s="1">
        <v>44774</v>
      </c>
      <c r="C415" s="1">
        <f t="shared" si="148"/>
        <v>45078</v>
      </c>
      <c r="D415" s="1">
        <f t="shared" si="149"/>
        <v>44788</v>
      </c>
      <c r="E415" s="1">
        <f t="shared" si="150"/>
        <v>45078</v>
      </c>
      <c r="F415" s="1">
        <f t="shared" si="151"/>
        <v>45108</v>
      </c>
      <c r="G415" s="1">
        <f t="shared" si="152"/>
        <v>45153</v>
      </c>
      <c r="H415">
        <f t="shared" si="153"/>
        <v>365</v>
      </c>
      <c r="I415">
        <f t="shared" si="154"/>
        <v>30</v>
      </c>
      <c r="J415">
        <f t="shared" si="155"/>
        <v>8.2191780821917804E-2</v>
      </c>
      <c r="K415">
        <f>IFERROR($J415/IF($A415&lt;COUNTIFS($K$1:K$1,"&lt;&gt;"),0,SUMIFS($J:$J,$B:$B,$B415,$A:$A,"&gt;="&amp;COUNTIFS($K$1:K$1,"&lt;&gt;"))),0)</f>
        <v>8.6206896551724144E-2</v>
      </c>
      <c r="L415">
        <f>IFERROR($J415/IF($A415&lt;COUNTIFS($K$1:L$1,"&lt;&gt;"),0,SUMIFS($J:$J,$B:$B,$B415,$A:$A,"&gt;="&amp;COUNTIFS($K$1:L$1,"&lt;&gt;"))),0)</f>
        <v>9.4339622641509441E-2</v>
      </c>
      <c r="M415">
        <f>IFERROR($J415/IF($A415&lt;COUNTIFS($K$1:M$1,"&lt;&gt;"),0,SUMIFS($J:$J,$B:$B,$B415,$A:$A,"&gt;="&amp;COUNTIFS($K$1:M$1,"&lt;&gt;"))),0)</f>
        <v>0.10452961672473869</v>
      </c>
      <c r="N415">
        <f>IFERROR($J415/IF($A415&lt;COUNTIFS($K$1:N$1,"&lt;&gt;"),0,SUMIFS($J:$J,$B:$B,$B415,$A:$A,"&gt;="&amp;COUNTIFS($K$1:N$1,"&lt;&gt;"))),0)</f>
        <v>0.11673151750972764</v>
      </c>
      <c r="O415">
        <f>IFERROR($J415/IF($A415&lt;COUNTIFS($K$1:O$1,"&lt;&gt;"),0,SUMIFS($J:$J,$B:$B,$B415,$A:$A,"&gt;="&amp;COUNTIFS($K$1:O$1,"&lt;&gt;"))),0)</f>
        <v>0.13274336283185842</v>
      </c>
      <c r="P415">
        <f>IFERROR($J415/IF($A415&lt;COUNTIFS($K$1:P$1,"&lt;&gt;"),0,SUMIFS($J:$J,$B:$B,$B415,$A:$A,"&gt;="&amp;COUNTIFS($K$1:P$1,"&lt;&gt;"))),0)</f>
        <v>0.15384615384615385</v>
      </c>
      <c r="Q415">
        <f>IFERROR($J415/IF($A415&lt;COUNTIFS($K$1:Q$1,"&lt;&gt;"),0,SUMIFS($J:$J,$B:$B,$B415,$A:$A,"&gt;="&amp;COUNTIFS($K$1:Q$1,"&lt;&gt;"))),0)</f>
        <v>0.17964071856287425</v>
      </c>
      <c r="R415">
        <f>IFERROR($J415/IF($A415&lt;COUNTIFS($K$1:R$1,"&lt;&gt;"),0,SUMIFS($J:$J,$B:$B,$B415,$A:$A,"&gt;="&amp;COUNTIFS($K$1:R$1,"&lt;&gt;"))),0)</f>
        <v>0.22058823529411764</v>
      </c>
      <c r="S415">
        <f>IFERROR($J415/IF($A415&lt;COUNTIFS($K$1:S$1,"&lt;&gt;"),0,SUMIFS($J:$J,$B:$B,$B415,$A:$A,"&gt;="&amp;COUNTIFS($K$1:S$1,"&lt;&gt;"))),0)</f>
        <v>0.28301886792452829</v>
      </c>
      <c r="T415">
        <f>IFERROR($J415/IF($A415&lt;COUNTIFS($K$1:T$1,"&lt;&gt;"),0,SUMIFS($J:$J,$B:$B,$B415,$A:$A,"&gt;="&amp;COUNTIFS($K$1:T$1,"&lt;&gt;"))),0)</f>
        <v>0.4</v>
      </c>
      <c r="U415">
        <f>IFERROR($J415/IF($A415&lt;COUNTIFS($K$1:U$1,"&lt;&gt;"),0,SUMIFS($J:$J,$B:$B,$B415,$A:$A,"&gt;="&amp;COUNTIFS($K$1:U$1,"&lt;&gt;"))),0)</f>
        <v>0</v>
      </c>
      <c r="V415">
        <f>IFERROR($J415/IF($A415&lt;COUNTIFS($K$1:V$1,"&lt;&gt;"),0,SUMIFS($J:$J,$B:$B,$B415,$A:$A,"&gt;="&amp;COUNTIFS($K$1:V$1,"&lt;&gt;"))),0)</f>
        <v>0</v>
      </c>
      <c r="W415">
        <f t="shared" si="156"/>
        <v>8.2191780821917804E-2</v>
      </c>
      <c r="X415">
        <f t="shared" si="136"/>
        <v>8.2191780821917804E-2</v>
      </c>
      <c r="Y415">
        <f t="shared" si="137"/>
        <v>8.2191780821917804E-2</v>
      </c>
      <c r="Z415">
        <f t="shared" si="138"/>
        <v>8.2191780821917804E-2</v>
      </c>
      <c r="AA415">
        <f t="shared" si="139"/>
        <v>8.2191780821917804E-2</v>
      </c>
      <c r="AB415">
        <f t="shared" si="140"/>
        <v>8.2191780821917804E-2</v>
      </c>
      <c r="AC415">
        <f t="shared" si="141"/>
        <v>8.2191780821917804E-2</v>
      </c>
      <c r="AD415">
        <f t="shared" si="142"/>
        <v>8.2191780821917804E-2</v>
      </c>
      <c r="AE415">
        <f t="shared" si="143"/>
        <v>8.2191780821917804E-2</v>
      </c>
      <c r="AF415">
        <f t="shared" si="144"/>
        <v>8.2191780821917804E-2</v>
      </c>
      <c r="AG415">
        <f t="shared" si="145"/>
        <v>8.2191780821917804E-2</v>
      </c>
      <c r="AH415">
        <f t="shared" si="146"/>
        <v>0</v>
      </c>
      <c r="AI415">
        <f t="shared" si="147"/>
        <v>0</v>
      </c>
      <c r="AJ415" s="2" t="str">
        <f t="shared" si="157"/>
        <v>1044774</v>
      </c>
    </row>
    <row r="416" spans="1:36" x14ac:dyDescent="0.25">
      <c r="A416">
        <v>11</v>
      </c>
      <c r="B416" s="1">
        <v>44774</v>
      </c>
      <c r="C416" s="1">
        <f t="shared" si="148"/>
        <v>45108</v>
      </c>
      <c r="D416" s="1">
        <f t="shared" si="149"/>
        <v>44788</v>
      </c>
      <c r="E416" s="1">
        <f t="shared" si="150"/>
        <v>45108</v>
      </c>
      <c r="F416" s="1">
        <f t="shared" si="151"/>
        <v>45139</v>
      </c>
      <c r="G416" s="1">
        <f t="shared" si="152"/>
        <v>45153</v>
      </c>
      <c r="H416">
        <f t="shared" si="153"/>
        <v>365</v>
      </c>
      <c r="I416">
        <f t="shared" si="154"/>
        <v>31</v>
      </c>
      <c r="J416">
        <f t="shared" si="155"/>
        <v>8.4931506849315067E-2</v>
      </c>
      <c r="K416">
        <f>IFERROR($J416/IF($A416&lt;COUNTIFS($K$1:K$1,"&lt;&gt;"),0,SUMIFS($J:$J,$B:$B,$B416,$A:$A,"&gt;="&amp;COUNTIFS($K$1:K$1,"&lt;&gt;"))),0)</f>
        <v>8.9080459770114959E-2</v>
      </c>
      <c r="L416">
        <f>IFERROR($J416/IF($A416&lt;COUNTIFS($K$1:L$1,"&lt;&gt;"),0,SUMIFS($J:$J,$B:$B,$B416,$A:$A,"&gt;="&amp;COUNTIFS($K$1:L$1,"&lt;&gt;"))),0)</f>
        <v>9.7484276729559768E-2</v>
      </c>
      <c r="M416">
        <f>IFERROR($J416/IF($A416&lt;COUNTIFS($K$1:M$1,"&lt;&gt;"),0,SUMIFS($J:$J,$B:$B,$B416,$A:$A,"&gt;="&amp;COUNTIFS($K$1:M$1,"&lt;&gt;"))),0)</f>
        <v>0.10801393728222998</v>
      </c>
      <c r="N416">
        <f>IFERROR($J416/IF($A416&lt;COUNTIFS($K$1:N$1,"&lt;&gt;"),0,SUMIFS($J:$J,$B:$B,$B416,$A:$A,"&gt;="&amp;COUNTIFS($K$1:N$1,"&lt;&gt;"))),0)</f>
        <v>0.12062256809338523</v>
      </c>
      <c r="O416">
        <f>IFERROR($J416/IF($A416&lt;COUNTIFS($K$1:O$1,"&lt;&gt;"),0,SUMIFS($J:$J,$B:$B,$B416,$A:$A,"&gt;="&amp;COUNTIFS($K$1:O$1,"&lt;&gt;"))),0)</f>
        <v>0.13716814159292037</v>
      </c>
      <c r="P416">
        <f>IFERROR($J416/IF($A416&lt;COUNTIFS($K$1:P$1,"&lt;&gt;"),0,SUMIFS($J:$J,$B:$B,$B416,$A:$A,"&gt;="&amp;COUNTIFS($K$1:P$1,"&lt;&gt;"))),0)</f>
        <v>0.15897435897435899</v>
      </c>
      <c r="Q416">
        <f>IFERROR($J416/IF($A416&lt;COUNTIFS($K$1:Q$1,"&lt;&gt;"),0,SUMIFS($J:$J,$B:$B,$B416,$A:$A,"&gt;="&amp;COUNTIFS($K$1:Q$1,"&lt;&gt;"))),0)</f>
        <v>0.18562874251497008</v>
      </c>
      <c r="R416">
        <f>IFERROR($J416/IF($A416&lt;COUNTIFS($K$1:R$1,"&lt;&gt;"),0,SUMIFS($J:$J,$B:$B,$B416,$A:$A,"&gt;="&amp;COUNTIFS($K$1:R$1,"&lt;&gt;"))),0)</f>
        <v>0.22794117647058826</v>
      </c>
      <c r="S416">
        <f>IFERROR($J416/IF($A416&lt;COUNTIFS($K$1:S$1,"&lt;&gt;"),0,SUMIFS($J:$J,$B:$B,$B416,$A:$A,"&gt;="&amp;COUNTIFS($K$1:S$1,"&lt;&gt;"))),0)</f>
        <v>0.29245283018867929</v>
      </c>
      <c r="T416">
        <f>IFERROR($J416/IF($A416&lt;COUNTIFS($K$1:T$1,"&lt;&gt;"),0,SUMIFS($J:$J,$B:$B,$B416,$A:$A,"&gt;="&amp;COUNTIFS($K$1:T$1,"&lt;&gt;"))),0)</f>
        <v>0.41333333333333333</v>
      </c>
      <c r="U416">
        <f>IFERROR($J416/IF($A416&lt;COUNTIFS($K$1:U$1,"&lt;&gt;"),0,SUMIFS($J:$J,$B:$B,$B416,$A:$A,"&gt;="&amp;COUNTIFS($K$1:U$1,"&lt;&gt;"))),0)</f>
        <v>0.68888888888888888</v>
      </c>
      <c r="V416">
        <f>IFERROR($J416/IF($A416&lt;COUNTIFS($K$1:V$1,"&lt;&gt;"),0,SUMIFS($J:$J,$B:$B,$B416,$A:$A,"&gt;="&amp;COUNTIFS($K$1:V$1,"&lt;&gt;"))),0)</f>
        <v>0</v>
      </c>
      <c r="W416">
        <f t="shared" si="156"/>
        <v>8.4931506849315067E-2</v>
      </c>
      <c r="X416">
        <f t="shared" si="136"/>
        <v>8.4931506849315067E-2</v>
      </c>
      <c r="Y416">
        <f t="shared" si="137"/>
        <v>8.4931506849315067E-2</v>
      </c>
      <c r="Z416">
        <f t="shared" si="138"/>
        <v>8.4931506849315067E-2</v>
      </c>
      <c r="AA416">
        <f t="shared" si="139"/>
        <v>8.4931506849315067E-2</v>
      </c>
      <c r="AB416">
        <f t="shared" si="140"/>
        <v>8.4931506849315067E-2</v>
      </c>
      <c r="AC416">
        <f t="shared" si="141"/>
        <v>8.4931506849315067E-2</v>
      </c>
      <c r="AD416">
        <f t="shared" si="142"/>
        <v>8.4931506849315067E-2</v>
      </c>
      <c r="AE416">
        <f t="shared" si="143"/>
        <v>8.4931506849315067E-2</v>
      </c>
      <c r="AF416">
        <f t="shared" si="144"/>
        <v>8.4931506849315067E-2</v>
      </c>
      <c r="AG416">
        <f t="shared" si="145"/>
        <v>8.4931506849315067E-2</v>
      </c>
      <c r="AH416">
        <f t="shared" si="146"/>
        <v>8.4931506849315067E-2</v>
      </c>
      <c r="AI416">
        <f t="shared" si="147"/>
        <v>0</v>
      </c>
      <c r="AJ416" s="2" t="str">
        <f t="shared" si="157"/>
        <v>1144774</v>
      </c>
    </row>
    <row r="417" spans="1:36" x14ac:dyDescent="0.25">
      <c r="A417">
        <v>12</v>
      </c>
      <c r="B417" s="1">
        <v>44774</v>
      </c>
      <c r="C417" s="1">
        <f t="shared" si="148"/>
        <v>45139</v>
      </c>
      <c r="D417" s="1">
        <f t="shared" si="149"/>
        <v>44788</v>
      </c>
      <c r="E417" s="1">
        <f t="shared" si="150"/>
        <v>45139</v>
      </c>
      <c r="F417" s="1">
        <f t="shared" si="151"/>
        <v>45153</v>
      </c>
      <c r="G417" s="1">
        <f t="shared" si="152"/>
        <v>45153</v>
      </c>
      <c r="H417">
        <f t="shared" si="153"/>
        <v>365</v>
      </c>
      <c r="I417">
        <f t="shared" si="154"/>
        <v>14</v>
      </c>
      <c r="J417">
        <f t="shared" si="155"/>
        <v>3.8356164383561646E-2</v>
      </c>
      <c r="K417">
        <f>IFERROR($J417/IF($A417&lt;COUNTIFS($K$1:K$1,"&lt;&gt;"),0,SUMIFS($J:$J,$B:$B,$B417,$A:$A,"&gt;="&amp;COUNTIFS($K$1:K$1,"&lt;&gt;"))),0)</f>
        <v>4.0229885057471271E-2</v>
      </c>
      <c r="L417">
        <f>IFERROR($J417/IF($A417&lt;COUNTIFS($K$1:L$1,"&lt;&gt;"),0,SUMIFS($J:$J,$B:$B,$B417,$A:$A,"&gt;="&amp;COUNTIFS($K$1:L$1,"&lt;&gt;"))),0)</f>
        <v>4.4025157232704414E-2</v>
      </c>
      <c r="M417">
        <f>IFERROR($J417/IF($A417&lt;COUNTIFS($K$1:M$1,"&lt;&gt;"),0,SUMIFS($J:$J,$B:$B,$B417,$A:$A,"&gt;="&amp;COUNTIFS($K$1:M$1,"&lt;&gt;"))),0)</f>
        <v>4.8780487804878057E-2</v>
      </c>
      <c r="N417">
        <f>IFERROR($J417/IF($A417&lt;COUNTIFS($K$1:N$1,"&lt;&gt;"),0,SUMIFS($J:$J,$B:$B,$B417,$A:$A,"&gt;="&amp;COUNTIFS($K$1:N$1,"&lt;&gt;"))),0)</f>
        <v>5.447470817120624E-2</v>
      </c>
      <c r="O417">
        <f>IFERROR($J417/IF($A417&lt;COUNTIFS($K$1:O$1,"&lt;&gt;"),0,SUMIFS($J:$J,$B:$B,$B417,$A:$A,"&gt;="&amp;COUNTIFS($K$1:O$1,"&lt;&gt;"))),0)</f>
        <v>6.194690265486727E-2</v>
      </c>
      <c r="P417">
        <f>IFERROR($J417/IF($A417&lt;COUNTIFS($K$1:P$1,"&lt;&gt;"),0,SUMIFS($J:$J,$B:$B,$B417,$A:$A,"&gt;="&amp;COUNTIFS($K$1:P$1,"&lt;&gt;"))),0)</f>
        <v>7.1794871794871803E-2</v>
      </c>
      <c r="Q417">
        <f>IFERROR($J417/IF($A417&lt;COUNTIFS($K$1:Q$1,"&lt;&gt;"),0,SUMIFS($J:$J,$B:$B,$B417,$A:$A,"&gt;="&amp;COUNTIFS($K$1:Q$1,"&lt;&gt;"))),0)</f>
        <v>8.3832335329341326E-2</v>
      </c>
      <c r="R417">
        <f>IFERROR($J417/IF($A417&lt;COUNTIFS($K$1:R$1,"&lt;&gt;"),0,SUMIFS($J:$J,$B:$B,$B417,$A:$A,"&gt;="&amp;COUNTIFS($K$1:R$1,"&lt;&gt;"))),0)</f>
        <v>0.10294117647058824</v>
      </c>
      <c r="S417">
        <f>IFERROR($J417/IF($A417&lt;COUNTIFS($K$1:S$1,"&lt;&gt;"),0,SUMIFS($J:$J,$B:$B,$B417,$A:$A,"&gt;="&amp;COUNTIFS($K$1:S$1,"&lt;&gt;"))),0)</f>
        <v>0.13207547169811323</v>
      </c>
      <c r="T417">
        <f>IFERROR($J417/IF($A417&lt;COUNTIFS($K$1:T$1,"&lt;&gt;"),0,SUMIFS($J:$J,$B:$B,$B417,$A:$A,"&gt;="&amp;COUNTIFS($K$1:T$1,"&lt;&gt;"))),0)</f>
        <v>0.18666666666666668</v>
      </c>
      <c r="U417">
        <f>IFERROR($J417/IF($A417&lt;COUNTIFS($K$1:U$1,"&lt;&gt;"),0,SUMIFS($J:$J,$B:$B,$B417,$A:$A,"&gt;="&amp;COUNTIFS($K$1:U$1,"&lt;&gt;"))),0)</f>
        <v>0.31111111111111117</v>
      </c>
      <c r="V417">
        <f>IFERROR($J417/IF($A417&lt;COUNTIFS($K$1:V$1,"&lt;&gt;"),0,SUMIFS($J:$J,$B:$B,$B417,$A:$A,"&gt;="&amp;COUNTIFS($K$1:V$1,"&lt;&gt;"))),0)</f>
        <v>1</v>
      </c>
      <c r="W417">
        <f t="shared" si="156"/>
        <v>3.8356164383561646E-2</v>
      </c>
      <c r="X417">
        <f t="shared" si="136"/>
        <v>3.8356164383561646E-2</v>
      </c>
      <c r="Y417">
        <f t="shared" si="137"/>
        <v>3.8356164383561646E-2</v>
      </c>
      <c r="Z417">
        <f t="shared" si="138"/>
        <v>3.8356164383561646E-2</v>
      </c>
      <c r="AA417">
        <f t="shared" si="139"/>
        <v>3.8356164383561646E-2</v>
      </c>
      <c r="AB417">
        <f t="shared" si="140"/>
        <v>3.8356164383561646E-2</v>
      </c>
      <c r="AC417">
        <f t="shared" si="141"/>
        <v>3.8356164383561646E-2</v>
      </c>
      <c r="AD417">
        <f t="shared" si="142"/>
        <v>3.8356164383561646E-2</v>
      </c>
      <c r="AE417">
        <f t="shared" si="143"/>
        <v>3.8356164383561646E-2</v>
      </c>
      <c r="AF417">
        <f t="shared" si="144"/>
        <v>3.8356164383561646E-2</v>
      </c>
      <c r="AG417">
        <f t="shared" si="145"/>
        <v>3.8356164383561646E-2</v>
      </c>
      <c r="AH417">
        <f t="shared" si="146"/>
        <v>3.8356164383561646E-2</v>
      </c>
      <c r="AI417">
        <f t="shared" si="147"/>
        <v>3.8356164383561646E-2</v>
      </c>
      <c r="AJ417" s="2" t="str">
        <f t="shared" si="157"/>
        <v>1244774</v>
      </c>
    </row>
    <row r="418" spans="1:36" x14ac:dyDescent="0.25">
      <c r="A418">
        <v>0</v>
      </c>
      <c r="B418" s="1">
        <v>44805</v>
      </c>
      <c r="C418" s="1">
        <f t="shared" si="148"/>
        <v>44805</v>
      </c>
      <c r="D418" s="1">
        <f t="shared" si="149"/>
        <v>44819</v>
      </c>
      <c r="E418" s="1">
        <f t="shared" si="150"/>
        <v>44819</v>
      </c>
      <c r="F418" s="1">
        <f t="shared" si="151"/>
        <v>44835</v>
      </c>
      <c r="G418" s="1">
        <f t="shared" si="152"/>
        <v>45184</v>
      </c>
      <c r="H418">
        <f t="shared" si="153"/>
        <v>365</v>
      </c>
      <c r="I418">
        <f t="shared" si="154"/>
        <v>16</v>
      </c>
      <c r="J418">
        <f t="shared" si="155"/>
        <v>4.3835616438356165E-2</v>
      </c>
      <c r="K418">
        <f>IFERROR($J418/IF($A418&lt;COUNTIFS($K$1:K$1,"&lt;&gt;"),0,SUMIFS($J:$J,$B:$B,$B418,$A:$A,"&gt;="&amp;COUNTIFS($K$1:K$1,"&lt;&gt;"))),0)</f>
        <v>0</v>
      </c>
      <c r="L418">
        <f>IFERROR($J418/IF($A418&lt;COUNTIFS($K$1:L$1,"&lt;&gt;"),0,SUMIFS($J:$J,$B:$B,$B418,$A:$A,"&gt;="&amp;COUNTIFS($K$1:L$1,"&lt;&gt;"))),0)</f>
        <v>0</v>
      </c>
      <c r="M418">
        <f>IFERROR($J418/IF($A418&lt;COUNTIFS($K$1:M$1,"&lt;&gt;"),0,SUMIFS($J:$J,$B:$B,$B418,$A:$A,"&gt;="&amp;COUNTIFS($K$1:M$1,"&lt;&gt;"))),0)</f>
        <v>0</v>
      </c>
      <c r="N418">
        <f>IFERROR($J418/IF($A418&lt;COUNTIFS($K$1:N$1,"&lt;&gt;"),0,SUMIFS($J:$J,$B:$B,$B418,$A:$A,"&gt;="&amp;COUNTIFS($K$1:N$1,"&lt;&gt;"))),0)</f>
        <v>0</v>
      </c>
      <c r="O418">
        <f>IFERROR($J418/IF($A418&lt;COUNTIFS($K$1:O$1,"&lt;&gt;"),0,SUMIFS($J:$J,$B:$B,$B418,$A:$A,"&gt;="&amp;COUNTIFS($K$1:O$1,"&lt;&gt;"))),0)</f>
        <v>0</v>
      </c>
      <c r="P418">
        <f>IFERROR($J418/IF($A418&lt;COUNTIFS($K$1:P$1,"&lt;&gt;"),0,SUMIFS($J:$J,$B:$B,$B418,$A:$A,"&gt;="&amp;COUNTIFS($K$1:P$1,"&lt;&gt;"))),0)</f>
        <v>0</v>
      </c>
      <c r="Q418">
        <f>IFERROR($J418/IF($A418&lt;COUNTIFS($K$1:Q$1,"&lt;&gt;"),0,SUMIFS($J:$J,$B:$B,$B418,$A:$A,"&gt;="&amp;COUNTIFS($K$1:Q$1,"&lt;&gt;"))),0)</f>
        <v>0</v>
      </c>
      <c r="R418">
        <f>IFERROR($J418/IF($A418&lt;COUNTIFS($K$1:R$1,"&lt;&gt;"),0,SUMIFS($J:$J,$B:$B,$B418,$A:$A,"&gt;="&amp;COUNTIFS($K$1:R$1,"&lt;&gt;"))),0)</f>
        <v>0</v>
      </c>
      <c r="S418">
        <f>IFERROR($J418/IF($A418&lt;COUNTIFS($K$1:S$1,"&lt;&gt;"),0,SUMIFS($J:$J,$B:$B,$B418,$A:$A,"&gt;="&amp;COUNTIFS($K$1:S$1,"&lt;&gt;"))),0)</f>
        <v>0</v>
      </c>
      <c r="T418">
        <f>IFERROR($J418/IF($A418&lt;COUNTIFS($K$1:T$1,"&lt;&gt;"),0,SUMIFS($J:$J,$B:$B,$B418,$A:$A,"&gt;="&amp;COUNTIFS($K$1:T$1,"&lt;&gt;"))),0)</f>
        <v>0</v>
      </c>
      <c r="U418">
        <f>IFERROR($J418/IF($A418&lt;COUNTIFS($K$1:U$1,"&lt;&gt;"),0,SUMIFS($J:$J,$B:$B,$B418,$A:$A,"&gt;="&amp;COUNTIFS($K$1:U$1,"&lt;&gt;"))),0)</f>
        <v>0</v>
      </c>
      <c r="V418">
        <f>IFERROR($J418/IF($A418&lt;COUNTIFS($K$1:V$1,"&lt;&gt;"),0,SUMIFS($J:$J,$B:$B,$B418,$A:$A,"&gt;="&amp;COUNTIFS($K$1:V$1,"&lt;&gt;"))),0)</f>
        <v>0</v>
      </c>
      <c r="W418">
        <f t="shared" si="156"/>
        <v>4.3835616438356165E-2</v>
      </c>
      <c r="X418">
        <f t="shared" si="136"/>
        <v>0</v>
      </c>
      <c r="Y418">
        <f t="shared" si="137"/>
        <v>0</v>
      </c>
      <c r="Z418">
        <f t="shared" si="138"/>
        <v>0</v>
      </c>
      <c r="AA418">
        <f t="shared" si="139"/>
        <v>0</v>
      </c>
      <c r="AB418">
        <f t="shared" si="140"/>
        <v>0</v>
      </c>
      <c r="AC418">
        <f t="shared" si="141"/>
        <v>0</v>
      </c>
      <c r="AD418">
        <f t="shared" si="142"/>
        <v>0</v>
      </c>
      <c r="AE418">
        <f t="shared" si="143"/>
        <v>0</v>
      </c>
      <c r="AF418">
        <f t="shared" si="144"/>
        <v>0</v>
      </c>
      <c r="AG418">
        <f t="shared" si="145"/>
        <v>0</v>
      </c>
      <c r="AH418">
        <f t="shared" si="146"/>
        <v>0</v>
      </c>
      <c r="AI418">
        <f t="shared" si="147"/>
        <v>0</v>
      </c>
      <c r="AJ418" s="2" t="str">
        <f t="shared" si="157"/>
        <v>044805</v>
      </c>
    </row>
    <row r="419" spans="1:36" x14ac:dyDescent="0.25">
      <c r="A419">
        <v>1</v>
      </c>
      <c r="B419" s="1">
        <v>44805</v>
      </c>
      <c r="C419" s="1">
        <f t="shared" si="148"/>
        <v>44835</v>
      </c>
      <c r="D419" s="1">
        <f t="shared" si="149"/>
        <v>44819</v>
      </c>
      <c r="E419" s="1">
        <f t="shared" si="150"/>
        <v>44835</v>
      </c>
      <c r="F419" s="1">
        <f t="shared" si="151"/>
        <v>44866</v>
      </c>
      <c r="G419" s="1">
        <f t="shared" si="152"/>
        <v>45184</v>
      </c>
      <c r="H419">
        <f t="shared" si="153"/>
        <v>365</v>
      </c>
      <c r="I419">
        <f t="shared" si="154"/>
        <v>31</v>
      </c>
      <c r="J419">
        <f t="shared" si="155"/>
        <v>8.4931506849315067E-2</v>
      </c>
      <c r="K419">
        <f>IFERROR($J419/IF($A419&lt;COUNTIFS($K$1:K$1,"&lt;&gt;"),0,SUMIFS($J:$J,$B:$B,$B419,$A:$A,"&gt;="&amp;COUNTIFS($K$1:K$1,"&lt;&gt;"))),0)</f>
        <v>8.8825214899713484E-2</v>
      </c>
      <c r="L419">
        <f>IFERROR($J419/IF($A419&lt;COUNTIFS($K$1:L$1,"&lt;&gt;"),0,SUMIFS($J:$J,$B:$B,$B419,$A:$A,"&gt;="&amp;COUNTIFS($K$1:L$1,"&lt;&gt;"))),0)</f>
        <v>0</v>
      </c>
      <c r="M419">
        <f>IFERROR($J419/IF($A419&lt;COUNTIFS($K$1:M$1,"&lt;&gt;"),0,SUMIFS($J:$J,$B:$B,$B419,$A:$A,"&gt;="&amp;COUNTIFS($K$1:M$1,"&lt;&gt;"))),0)</f>
        <v>0</v>
      </c>
      <c r="N419">
        <f>IFERROR($J419/IF($A419&lt;COUNTIFS($K$1:N$1,"&lt;&gt;"),0,SUMIFS($J:$J,$B:$B,$B419,$A:$A,"&gt;="&amp;COUNTIFS($K$1:N$1,"&lt;&gt;"))),0)</f>
        <v>0</v>
      </c>
      <c r="O419">
        <f>IFERROR($J419/IF($A419&lt;COUNTIFS($K$1:O$1,"&lt;&gt;"),0,SUMIFS($J:$J,$B:$B,$B419,$A:$A,"&gt;="&amp;COUNTIFS($K$1:O$1,"&lt;&gt;"))),0)</f>
        <v>0</v>
      </c>
      <c r="P419">
        <f>IFERROR($J419/IF($A419&lt;COUNTIFS($K$1:P$1,"&lt;&gt;"),0,SUMIFS($J:$J,$B:$B,$B419,$A:$A,"&gt;="&amp;COUNTIFS($K$1:P$1,"&lt;&gt;"))),0)</f>
        <v>0</v>
      </c>
      <c r="Q419">
        <f>IFERROR($J419/IF($A419&lt;COUNTIFS($K$1:Q$1,"&lt;&gt;"),0,SUMIFS($J:$J,$B:$B,$B419,$A:$A,"&gt;="&amp;COUNTIFS($K$1:Q$1,"&lt;&gt;"))),0)</f>
        <v>0</v>
      </c>
      <c r="R419">
        <f>IFERROR($J419/IF($A419&lt;COUNTIFS($K$1:R$1,"&lt;&gt;"),0,SUMIFS($J:$J,$B:$B,$B419,$A:$A,"&gt;="&amp;COUNTIFS($K$1:R$1,"&lt;&gt;"))),0)</f>
        <v>0</v>
      </c>
      <c r="S419">
        <f>IFERROR($J419/IF($A419&lt;COUNTIFS($K$1:S$1,"&lt;&gt;"),0,SUMIFS($J:$J,$B:$B,$B419,$A:$A,"&gt;="&amp;COUNTIFS($K$1:S$1,"&lt;&gt;"))),0)</f>
        <v>0</v>
      </c>
      <c r="T419">
        <f>IFERROR($J419/IF($A419&lt;COUNTIFS($K$1:T$1,"&lt;&gt;"),0,SUMIFS($J:$J,$B:$B,$B419,$A:$A,"&gt;="&amp;COUNTIFS($K$1:T$1,"&lt;&gt;"))),0)</f>
        <v>0</v>
      </c>
      <c r="U419">
        <f>IFERROR($J419/IF($A419&lt;COUNTIFS($K$1:U$1,"&lt;&gt;"),0,SUMIFS($J:$J,$B:$B,$B419,$A:$A,"&gt;="&amp;COUNTIFS($K$1:U$1,"&lt;&gt;"))),0)</f>
        <v>0</v>
      </c>
      <c r="V419">
        <f>IFERROR($J419/IF($A419&lt;COUNTIFS($K$1:V$1,"&lt;&gt;"),0,SUMIFS($J:$J,$B:$B,$B419,$A:$A,"&gt;="&amp;COUNTIFS($K$1:V$1,"&lt;&gt;"))),0)</f>
        <v>0</v>
      </c>
      <c r="W419">
        <f t="shared" si="156"/>
        <v>8.4931506849315067E-2</v>
      </c>
      <c r="X419">
        <f t="shared" si="136"/>
        <v>8.4931506849315067E-2</v>
      </c>
      <c r="Y419">
        <f t="shared" si="137"/>
        <v>0</v>
      </c>
      <c r="Z419">
        <f t="shared" si="138"/>
        <v>0</v>
      </c>
      <c r="AA419">
        <f t="shared" si="139"/>
        <v>0</v>
      </c>
      <c r="AB419">
        <f t="shared" si="140"/>
        <v>0</v>
      </c>
      <c r="AC419">
        <f t="shared" si="141"/>
        <v>0</v>
      </c>
      <c r="AD419">
        <f t="shared" si="142"/>
        <v>0</v>
      </c>
      <c r="AE419">
        <f t="shared" si="143"/>
        <v>0</v>
      </c>
      <c r="AF419">
        <f t="shared" si="144"/>
        <v>0</v>
      </c>
      <c r="AG419">
        <f t="shared" si="145"/>
        <v>0</v>
      </c>
      <c r="AH419">
        <f t="shared" si="146"/>
        <v>0</v>
      </c>
      <c r="AI419">
        <f t="shared" si="147"/>
        <v>0</v>
      </c>
      <c r="AJ419" s="2" t="str">
        <f t="shared" si="157"/>
        <v>144805</v>
      </c>
    </row>
    <row r="420" spans="1:36" x14ac:dyDescent="0.25">
      <c r="A420">
        <v>2</v>
      </c>
      <c r="B420" s="1">
        <v>44805</v>
      </c>
      <c r="C420" s="1">
        <f t="shared" si="148"/>
        <v>44866</v>
      </c>
      <c r="D420" s="1">
        <f t="shared" si="149"/>
        <v>44819</v>
      </c>
      <c r="E420" s="1">
        <f t="shared" si="150"/>
        <v>44866</v>
      </c>
      <c r="F420" s="1">
        <f t="shared" si="151"/>
        <v>44896</v>
      </c>
      <c r="G420" s="1">
        <f t="shared" si="152"/>
        <v>45184</v>
      </c>
      <c r="H420">
        <f t="shared" si="153"/>
        <v>365</v>
      </c>
      <c r="I420">
        <f t="shared" si="154"/>
        <v>30</v>
      </c>
      <c r="J420">
        <f t="shared" si="155"/>
        <v>8.2191780821917804E-2</v>
      </c>
      <c r="K420">
        <f>IFERROR($J420/IF($A420&lt;COUNTIFS($K$1:K$1,"&lt;&gt;"),0,SUMIFS($J:$J,$B:$B,$B420,$A:$A,"&gt;="&amp;COUNTIFS($K$1:K$1,"&lt;&gt;"))),0)</f>
        <v>8.5959885386819493E-2</v>
      </c>
      <c r="L420">
        <f>IFERROR($J420/IF($A420&lt;COUNTIFS($K$1:L$1,"&lt;&gt;"),0,SUMIFS($J:$J,$B:$B,$B420,$A:$A,"&gt;="&amp;COUNTIFS($K$1:L$1,"&lt;&gt;"))),0)</f>
        <v>9.4339622641509441E-2</v>
      </c>
      <c r="M420">
        <f>IFERROR($J420/IF($A420&lt;COUNTIFS($K$1:M$1,"&lt;&gt;"),0,SUMIFS($J:$J,$B:$B,$B420,$A:$A,"&gt;="&amp;COUNTIFS($K$1:M$1,"&lt;&gt;"))),0)</f>
        <v>0</v>
      </c>
      <c r="N420">
        <f>IFERROR($J420/IF($A420&lt;COUNTIFS($K$1:N$1,"&lt;&gt;"),0,SUMIFS($J:$J,$B:$B,$B420,$A:$A,"&gt;="&amp;COUNTIFS($K$1:N$1,"&lt;&gt;"))),0)</f>
        <v>0</v>
      </c>
      <c r="O420">
        <f>IFERROR($J420/IF($A420&lt;COUNTIFS($K$1:O$1,"&lt;&gt;"),0,SUMIFS($J:$J,$B:$B,$B420,$A:$A,"&gt;="&amp;COUNTIFS($K$1:O$1,"&lt;&gt;"))),0)</f>
        <v>0</v>
      </c>
      <c r="P420">
        <f>IFERROR($J420/IF($A420&lt;COUNTIFS($K$1:P$1,"&lt;&gt;"),0,SUMIFS($J:$J,$B:$B,$B420,$A:$A,"&gt;="&amp;COUNTIFS($K$1:P$1,"&lt;&gt;"))),0)</f>
        <v>0</v>
      </c>
      <c r="Q420">
        <f>IFERROR($J420/IF($A420&lt;COUNTIFS($K$1:Q$1,"&lt;&gt;"),0,SUMIFS($J:$J,$B:$B,$B420,$A:$A,"&gt;="&amp;COUNTIFS($K$1:Q$1,"&lt;&gt;"))),0)</f>
        <v>0</v>
      </c>
      <c r="R420">
        <f>IFERROR($J420/IF($A420&lt;COUNTIFS($K$1:R$1,"&lt;&gt;"),0,SUMIFS($J:$J,$B:$B,$B420,$A:$A,"&gt;="&amp;COUNTIFS($K$1:R$1,"&lt;&gt;"))),0)</f>
        <v>0</v>
      </c>
      <c r="S420">
        <f>IFERROR($J420/IF($A420&lt;COUNTIFS($K$1:S$1,"&lt;&gt;"),0,SUMIFS($J:$J,$B:$B,$B420,$A:$A,"&gt;="&amp;COUNTIFS($K$1:S$1,"&lt;&gt;"))),0)</f>
        <v>0</v>
      </c>
      <c r="T420">
        <f>IFERROR($J420/IF($A420&lt;COUNTIFS($K$1:T$1,"&lt;&gt;"),0,SUMIFS($J:$J,$B:$B,$B420,$A:$A,"&gt;="&amp;COUNTIFS($K$1:T$1,"&lt;&gt;"))),0)</f>
        <v>0</v>
      </c>
      <c r="U420">
        <f>IFERROR($J420/IF($A420&lt;COUNTIFS($K$1:U$1,"&lt;&gt;"),0,SUMIFS($J:$J,$B:$B,$B420,$A:$A,"&gt;="&amp;COUNTIFS($K$1:U$1,"&lt;&gt;"))),0)</f>
        <v>0</v>
      </c>
      <c r="V420">
        <f>IFERROR($J420/IF($A420&lt;COUNTIFS($K$1:V$1,"&lt;&gt;"),0,SUMIFS($J:$J,$B:$B,$B420,$A:$A,"&gt;="&amp;COUNTIFS($K$1:V$1,"&lt;&gt;"))),0)</f>
        <v>0</v>
      </c>
      <c r="W420">
        <f t="shared" si="156"/>
        <v>8.2191780821917804E-2</v>
      </c>
      <c r="X420">
        <f t="shared" si="136"/>
        <v>8.2191780821917804E-2</v>
      </c>
      <c r="Y420">
        <f t="shared" si="137"/>
        <v>8.2191780821917804E-2</v>
      </c>
      <c r="Z420">
        <f t="shared" si="138"/>
        <v>0</v>
      </c>
      <c r="AA420">
        <f t="shared" si="139"/>
        <v>0</v>
      </c>
      <c r="AB420">
        <f t="shared" si="140"/>
        <v>0</v>
      </c>
      <c r="AC420">
        <f t="shared" si="141"/>
        <v>0</v>
      </c>
      <c r="AD420">
        <f t="shared" si="142"/>
        <v>0</v>
      </c>
      <c r="AE420">
        <f t="shared" si="143"/>
        <v>0</v>
      </c>
      <c r="AF420">
        <f t="shared" si="144"/>
        <v>0</v>
      </c>
      <c r="AG420">
        <f t="shared" si="145"/>
        <v>0</v>
      </c>
      <c r="AH420">
        <f t="shared" si="146"/>
        <v>0</v>
      </c>
      <c r="AI420">
        <f t="shared" si="147"/>
        <v>0</v>
      </c>
      <c r="AJ420" s="2" t="str">
        <f t="shared" si="157"/>
        <v>244805</v>
      </c>
    </row>
    <row r="421" spans="1:36" x14ac:dyDescent="0.25">
      <c r="A421">
        <v>3</v>
      </c>
      <c r="B421" s="1">
        <v>44805</v>
      </c>
      <c r="C421" s="1">
        <f t="shared" si="148"/>
        <v>44896</v>
      </c>
      <c r="D421" s="1">
        <f t="shared" si="149"/>
        <v>44819</v>
      </c>
      <c r="E421" s="1">
        <f t="shared" si="150"/>
        <v>44896</v>
      </c>
      <c r="F421" s="1">
        <f t="shared" si="151"/>
        <v>44927</v>
      </c>
      <c r="G421" s="1">
        <f t="shared" si="152"/>
        <v>45184</v>
      </c>
      <c r="H421">
        <f t="shared" si="153"/>
        <v>365</v>
      </c>
      <c r="I421">
        <f t="shared" si="154"/>
        <v>31</v>
      </c>
      <c r="J421">
        <f t="shared" si="155"/>
        <v>8.4931506849315067E-2</v>
      </c>
      <c r="K421">
        <f>IFERROR($J421/IF($A421&lt;COUNTIFS($K$1:K$1,"&lt;&gt;"),0,SUMIFS($J:$J,$B:$B,$B421,$A:$A,"&gt;="&amp;COUNTIFS($K$1:K$1,"&lt;&gt;"))),0)</f>
        <v>8.8825214899713484E-2</v>
      </c>
      <c r="L421">
        <f>IFERROR($J421/IF($A421&lt;COUNTIFS($K$1:L$1,"&lt;&gt;"),0,SUMIFS($J:$J,$B:$B,$B421,$A:$A,"&gt;="&amp;COUNTIFS($K$1:L$1,"&lt;&gt;"))),0)</f>
        <v>9.7484276729559768E-2</v>
      </c>
      <c r="M421">
        <f>IFERROR($J421/IF($A421&lt;COUNTIFS($K$1:M$1,"&lt;&gt;"),0,SUMIFS($J:$J,$B:$B,$B421,$A:$A,"&gt;="&amp;COUNTIFS($K$1:M$1,"&lt;&gt;"))),0)</f>
        <v>0.10763888888888891</v>
      </c>
      <c r="N421">
        <f>IFERROR($J421/IF($A421&lt;COUNTIFS($K$1:N$1,"&lt;&gt;"),0,SUMIFS($J:$J,$B:$B,$B421,$A:$A,"&gt;="&amp;COUNTIFS($K$1:N$1,"&lt;&gt;"))),0)</f>
        <v>0</v>
      </c>
      <c r="O421">
        <f>IFERROR($J421/IF($A421&lt;COUNTIFS($K$1:O$1,"&lt;&gt;"),0,SUMIFS($J:$J,$B:$B,$B421,$A:$A,"&gt;="&amp;COUNTIFS($K$1:O$1,"&lt;&gt;"))),0)</f>
        <v>0</v>
      </c>
      <c r="P421">
        <f>IFERROR($J421/IF($A421&lt;COUNTIFS($K$1:P$1,"&lt;&gt;"),0,SUMIFS($J:$J,$B:$B,$B421,$A:$A,"&gt;="&amp;COUNTIFS($K$1:P$1,"&lt;&gt;"))),0)</f>
        <v>0</v>
      </c>
      <c r="Q421">
        <f>IFERROR($J421/IF($A421&lt;COUNTIFS($K$1:Q$1,"&lt;&gt;"),0,SUMIFS($J:$J,$B:$B,$B421,$A:$A,"&gt;="&amp;COUNTIFS($K$1:Q$1,"&lt;&gt;"))),0)</f>
        <v>0</v>
      </c>
      <c r="R421">
        <f>IFERROR($J421/IF($A421&lt;COUNTIFS($K$1:R$1,"&lt;&gt;"),0,SUMIFS($J:$J,$B:$B,$B421,$A:$A,"&gt;="&amp;COUNTIFS($K$1:R$1,"&lt;&gt;"))),0)</f>
        <v>0</v>
      </c>
      <c r="S421">
        <f>IFERROR($J421/IF($A421&lt;COUNTIFS($K$1:S$1,"&lt;&gt;"),0,SUMIFS($J:$J,$B:$B,$B421,$A:$A,"&gt;="&amp;COUNTIFS($K$1:S$1,"&lt;&gt;"))),0)</f>
        <v>0</v>
      </c>
      <c r="T421">
        <f>IFERROR($J421/IF($A421&lt;COUNTIFS($K$1:T$1,"&lt;&gt;"),0,SUMIFS($J:$J,$B:$B,$B421,$A:$A,"&gt;="&amp;COUNTIFS($K$1:T$1,"&lt;&gt;"))),0)</f>
        <v>0</v>
      </c>
      <c r="U421">
        <f>IFERROR($J421/IF($A421&lt;COUNTIFS($K$1:U$1,"&lt;&gt;"),0,SUMIFS($J:$J,$B:$B,$B421,$A:$A,"&gt;="&amp;COUNTIFS($K$1:U$1,"&lt;&gt;"))),0)</f>
        <v>0</v>
      </c>
      <c r="V421">
        <f>IFERROR($J421/IF($A421&lt;COUNTIFS($K$1:V$1,"&lt;&gt;"),0,SUMIFS($J:$J,$B:$B,$B421,$A:$A,"&gt;="&amp;COUNTIFS($K$1:V$1,"&lt;&gt;"))),0)</f>
        <v>0</v>
      </c>
      <c r="W421">
        <f t="shared" si="156"/>
        <v>8.4931506849315067E-2</v>
      </c>
      <c r="X421">
        <f t="shared" si="136"/>
        <v>8.4931506849315067E-2</v>
      </c>
      <c r="Y421">
        <f t="shared" si="137"/>
        <v>8.4931506849315067E-2</v>
      </c>
      <c r="Z421">
        <f t="shared" si="138"/>
        <v>8.4931506849315067E-2</v>
      </c>
      <c r="AA421">
        <f t="shared" si="139"/>
        <v>0</v>
      </c>
      <c r="AB421">
        <f t="shared" si="140"/>
        <v>0</v>
      </c>
      <c r="AC421">
        <f t="shared" si="141"/>
        <v>0</v>
      </c>
      <c r="AD421">
        <f t="shared" si="142"/>
        <v>0</v>
      </c>
      <c r="AE421">
        <f t="shared" si="143"/>
        <v>0</v>
      </c>
      <c r="AF421">
        <f t="shared" si="144"/>
        <v>0</v>
      </c>
      <c r="AG421">
        <f t="shared" si="145"/>
        <v>0</v>
      </c>
      <c r="AH421">
        <f t="shared" si="146"/>
        <v>0</v>
      </c>
      <c r="AI421">
        <f t="shared" si="147"/>
        <v>0</v>
      </c>
      <c r="AJ421" s="2" t="str">
        <f t="shared" si="157"/>
        <v>344805</v>
      </c>
    </row>
    <row r="422" spans="1:36" x14ac:dyDescent="0.25">
      <c r="A422">
        <v>4</v>
      </c>
      <c r="B422" s="1">
        <v>44805</v>
      </c>
      <c r="C422" s="1">
        <f t="shared" si="148"/>
        <v>44927</v>
      </c>
      <c r="D422" s="1">
        <f t="shared" si="149"/>
        <v>44819</v>
      </c>
      <c r="E422" s="1">
        <f t="shared" si="150"/>
        <v>44927</v>
      </c>
      <c r="F422" s="1">
        <f t="shared" si="151"/>
        <v>44958</v>
      </c>
      <c r="G422" s="1">
        <f t="shared" si="152"/>
        <v>45184</v>
      </c>
      <c r="H422">
        <f t="shared" si="153"/>
        <v>365</v>
      </c>
      <c r="I422">
        <f t="shared" si="154"/>
        <v>31</v>
      </c>
      <c r="J422">
        <f t="shared" si="155"/>
        <v>8.4931506849315067E-2</v>
      </c>
      <c r="K422">
        <f>IFERROR($J422/IF($A422&lt;COUNTIFS($K$1:K$1,"&lt;&gt;"),0,SUMIFS($J:$J,$B:$B,$B422,$A:$A,"&gt;="&amp;COUNTIFS($K$1:K$1,"&lt;&gt;"))),0)</f>
        <v>8.8825214899713484E-2</v>
      </c>
      <c r="L422">
        <f>IFERROR($J422/IF($A422&lt;COUNTIFS($K$1:L$1,"&lt;&gt;"),0,SUMIFS($J:$J,$B:$B,$B422,$A:$A,"&gt;="&amp;COUNTIFS($K$1:L$1,"&lt;&gt;"))),0)</f>
        <v>9.7484276729559768E-2</v>
      </c>
      <c r="M422">
        <f>IFERROR($J422/IF($A422&lt;COUNTIFS($K$1:M$1,"&lt;&gt;"),0,SUMIFS($J:$J,$B:$B,$B422,$A:$A,"&gt;="&amp;COUNTIFS($K$1:M$1,"&lt;&gt;"))),0)</f>
        <v>0.10763888888888891</v>
      </c>
      <c r="N422">
        <f>IFERROR($J422/IF($A422&lt;COUNTIFS($K$1:N$1,"&lt;&gt;"),0,SUMIFS($J:$J,$B:$B,$B422,$A:$A,"&gt;="&amp;COUNTIFS($K$1:N$1,"&lt;&gt;"))),0)</f>
        <v>0.12062256809338523</v>
      </c>
      <c r="O422">
        <f>IFERROR($J422/IF($A422&lt;COUNTIFS($K$1:O$1,"&lt;&gt;"),0,SUMIFS($J:$J,$B:$B,$B422,$A:$A,"&gt;="&amp;COUNTIFS($K$1:O$1,"&lt;&gt;"))),0)</f>
        <v>0</v>
      </c>
      <c r="P422">
        <f>IFERROR($J422/IF($A422&lt;COUNTIFS($K$1:P$1,"&lt;&gt;"),0,SUMIFS($J:$J,$B:$B,$B422,$A:$A,"&gt;="&amp;COUNTIFS($K$1:P$1,"&lt;&gt;"))),0)</f>
        <v>0</v>
      </c>
      <c r="Q422">
        <f>IFERROR($J422/IF($A422&lt;COUNTIFS($K$1:Q$1,"&lt;&gt;"),0,SUMIFS($J:$J,$B:$B,$B422,$A:$A,"&gt;="&amp;COUNTIFS($K$1:Q$1,"&lt;&gt;"))),0)</f>
        <v>0</v>
      </c>
      <c r="R422">
        <f>IFERROR($J422/IF($A422&lt;COUNTIFS($K$1:R$1,"&lt;&gt;"),0,SUMIFS($J:$J,$B:$B,$B422,$A:$A,"&gt;="&amp;COUNTIFS($K$1:R$1,"&lt;&gt;"))),0)</f>
        <v>0</v>
      </c>
      <c r="S422">
        <f>IFERROR($J422/IF($A422&lt;COUNTIFS($K$1:S$1,"&lt;&gt;"),0,SUMIFS($J:$J,$B:$B,$B422,$A:$A,"&gt;="&amp;COUNTIFS($K$1:S$1,"&lt;&gt;"))),0)</f>
        <v>0</v>
      </c>
      <c r="T422">
        <f>IFERROR($J422/IF($A422&lt;COUNTIFS($K$1:T$1,"&lt;&gt;"),0,SUMIFS($J:$J,$B:$B,$B422,$A:$A,"&gt;="&amp;COUNTIFS($K$1:T$1,"&lt;&gt;"))),0)</f>
        <v>0</v>
      </c>
      <c r="U422">
        <f>IFERROR($J422/IF($A422&lt;COUNTIFS($K$1:U$1,"&lt;&gt;"),0,SUMIFS($J:$J,$B:$B,$B422,$A:$A,"&gt;="&amp;COUNTIFS($K$1:U$1,"&lt;&gt;"))),0)</f>
        <v>0</v>
      </c>
      <c r="V422">
        <f>IFERROR($J422/IF($A422&lt;COUNTIFS($K$1:V$1,"&lt;&gt;"),0,SUMIFS($J:$J,$B:$B,$B422,$A:$A,"&gt;="&amp;COUNTIFS($K$1:V$1,"&lt;&gt;"))),0)</f>
        <v>0</v>
      </c>
      <c r="W422">
        <f t="shared" si="156"/>
        <v>8.4931506849315067E-2</v>
      </c>
      <c r="X422">
        <f t="shared" si="136"/>
        <v>8.4931506849315067E-2</v>
      </c>
      <c r="Y422">
        <f t="shared" si="137"/>
        <v>8.4931506849315067E-2</v>
      </c>
      <c r="Z422">
        <f t="shared" si="138"/>
        <v>8.4931506849315067E-2</v>
      </c>
      <c r="AA422">
        <f t="shared" si="139"/>
        <v>8.4931506849315067E-2</v>
      </c>
      <c r="AB422">
        <f t="shared" si="140"/>
        <v>0</v>
      </c>
      <c r="AC422">
        <f t="shared" si="141"/>
        <v>0</v>
      </c>
      <c r="AD422">
        <f t="shared" si="142"/>
        <v>0</v>
      </c>
      <c r="AE422">
        <f t="shared" si="143"/>
        <v>0</v>
      </c>
      <c r="AF422">
        <f t="shared" si="144"/>
        <v>0</v>
      </c>
      <c r="AG422">
        <f t="shared" si="145"/>
        <v>0</v>
      </c>
      <c r="AH422">
        <f t="shared" si="146"/>
        <v>0</v>
      </c>
      <c r="AI422">
        <f t="shared" si="147"/>
        <v>0</v>
      </c>
      <c r="AJ422" s="2" t="str">
        <f t="shared" si="157"/>
        <v>444805</v>
      </c>
    </row>
    <row r="423" spans="1:36" x14ac:dyDescent="0.25">
      <c r="A423">
        <v>5</v>
      </c>
      <c r="B423" s="1">
        <v>44805</v>
      </c>
      <c r="C423" s="1">
        <f t="shared" si="148"/>
        <v>44958</v>
      </c>
      <c r="D423" s="1">
        <f t="shared" si="149"/>
        <v>44819</v>
      </c>
      <c r="E423" s="1">
        <f t="shared" si="150"/>
        <v>44958</v>
      </c>
      <c r="F423" s="1">
        <f t="shared" si="151"/>
        <v>44986</v>
      </c>
      <c r="G423" s="1">
        <f t="shared" si="152"/>
        <v>45184</v>
      </c>
      <c r="H423">
        <f t="shared" si="153"/>
        <v>365</v>
      </c>
      <c r="I423">
        <f t="shared" si="154"/>
        <v>28</v>
      </c>
      <c r="J423">
        <f t="shared" si="155"/>
        <v>7.6712328767123292E-2</v>
      </c>
      <c r="K423">
        <f>IFERROR($J423/IF($A423&lt;COUNTIFS($K$1:K$1,"&lt;&gt;"),0,SUMIFS($J:$J,$B:$B,$B423,$A:$A,"&gt;="&amp;COUNTIFS($K$1:K$1,"&lt;&gt;"))),0)</f>
        <v>8.0229226361031539E-2</v>
      </c>
      <c r="L423">
        <f>IFERROR($J423/IF($A423&lt;COUNTIFS($K$1:L$1,"&lt;&gt;"),0,SUMIFS($J:$J,$B:$B,$B423,$A:$A,"&gt;="&amp;COUNTIFS($K$1:L$1,"&lt;&gt;"))),0)</f>
        <v>8.8050314465408827E-2</v>
      </c>
      <c r="M423">
        <f>IFERROR($J423/IF($A423&lt;COUNTIFS($K$1:M$1,"&lt;&gt;"),0,SUMIFS($J:$J,$B:$B,$B423,$A:$A,"&gt;="&amp;COUNTIFS($K$1:M$1,"&lt;&gt;"))),0)</f>
        <v>9.7222222222222238E-2</v>
      </c>
      <c r="N423">
        <f>IFERROR($J423/IF($A423&lt;COUNTIFS($K$1:N$1,"&lt;&gt;"),0,SUMIFS($J:$J,$B:$B,$B423,$A:$A,"&gt;="&amp;COUNTIFS($K$1:N$1,"&lt;&gt;"))),0)</f>
        <v>0.10894941634241248</v>
      </c>
      <c r="O423">
        <f>IFERROR($J423/IF($A423&lt;COUNTIFS($K$1:O$1,"&lt;&gt;"),0,SUMIFS($J:$J,$B:$B,$B423,$A:$A,"&gt;="&amp;COUNTIFS($K$1:O$1,"&lt;&gt;"))),0)</f>
        <v>0.12389380530973454</v>
      </c>
      <c r="P423">
        <f>IFERROR($J423/IF($A423&lt;COUNTIFS($K$1:P$1,"&lt;&gt;"),0,SUMIFS($J:$J,$B:$B,$B423,$A:$A,"&gt;="&amp;COUNTIFS($K$1:P$1,"&lt;&gt;"))),0)</f>
        <v>0</v>
      </c>
      <c r="Q423">
        <f>IFERROR($J423/IF($A423&lt;COUNTIFS($K$1:Q$1,"&lt;&gt;"),0,SUMIFS($J:$J,$B:$B,$B423,$A:$A,"&gt;="&amp;COUNTIFS($K$1:Q$1,"&lt;&gt;"))),0)</f>
        <v>0</v>
      </c>
      <c r="R423">
        <f>IFERROR($J423/IF($A423&lt;COUNTIFS($K$1:R$1,"&lt;&gt;"),0,SUMIFS($J:$J,$B:$B,$B423,$A:$A,"&gt;="&amp;COUNTIFS($K$1:R$1,"&lt;&gt;"))),0)</f>
        <v>0</v>
      </c>
      <c r="S423">
        <f>IFERROR($J423/IF($A423&lt;COUNTIFS($K$1:S$1,"&lt;&gt;"),0,SUMIFS($J:$J,$B:$B,$B423,$A:$A,"&gt;="&amp;COUNTIFS($K$1:S$1,"&lt;&gt;"))),0)</f>
        <v>0</v>
      </c>
      <c r="T423">
        <f>IFERROR($J423/IF($A423&lt;COUNTIFS($K$1:T$1,"&lt;&gt;"),0,SUMIFS($J:$J,$B:$B,$B423,$A:$A,"&gt;="&amp;COUNTIFS($K$1:T$1,"&lt;&gt;"))),0)</f>
        <v>0</v>
      </c>
      <c r="U423">
        <f>IFERROR($J423/IF($A423&lt;COUNTIFS($K$1:U$1,"&lt;&gt;"),0,SUMIFS($J:$J,$B:$B,$B423,$A:$A,"&gt;="&amp;COUNTIFS($K$1:U$1,"&lt;&gt;"))),0)</f>
        <v>0</v>
      </c>
      <c r="V423">
        <f>IFERROR($J423/IF($A423&lt;COUNTIFS($K$1:V$1,"&lt;&gt;"),0,SUMIFS($J:$J,$B:$B,$B423,$A:$A,"&gt;="&amp;COUNTIFS($K$1:V$1,"&lt;&gt;"))),0)</f>
        <v>0</v>
      </c>
      <c r="W423">
        <f t="shared" si="156"/>
        <v>7.6712328767123292E-2</v>
      </c>
      <c r="X423">
        <f t="shared" si="136"/>
        <v>7.6712328767123292E-2</v>
      </c>
      <c r="Y423">
        <f t="shared" si="137"/>
        <v>7.6712328767123292E-2</v>
      </c>
      <c r="Z423">
        <f t="shared" si="138"/>
        <v>7.6712328767123292E-2</v>
      </c>
      <c r="AA423">
        <f t="shared" si="139"/>
        <v>7.6712328767123292E-2</v>
      </c>
      <c r="AB423">
        <f t="shared" si="140"/>
        <v>7.6712328767123292E-2</v>
      </c>
      <c r="AC423">
        <f t="shared" si="141"/>
        <v>0</v>
      </c>
      <c r="AD423">
        <f t="shared" si="142"/>
        <v>0</v>
      </c>
      <c r="AE423">
        <f t="shared" si="143"/>
        <v>0</v>
      </c>
      <c r="AF423">
        <f t="shared" si="144"/>
        <v>0</v>
      </c>
      <c r="AG423">
        <f t="shared" si="145"/>
        <v>0</v>
      </c>
      <c r="AH423">
        <f t="shared" si="146"/>
        <v>0</v>
      </c>
      <c r="AI423">
        <f t="shared" si="147"/>
        <v>0</v>
      </c>
      <c r="AJ423" s="2" t="str">
        <f t="shared" si="157"/>
        <v>544805</v>
      </c>
    </row>
    <row r="424" spans="1:36" x14ac:dyDescent="0.25">
      <c r="A424">
        <v>6</v>
      </c>
      <c r="B424" s="1">
        <v>44805</v>
      </c>
      <c r="C424" s="1">
        <f t="shared" si="148"/>
        <v>44986</v>
      </c>
      <c r="D424" s="1">
        <f t="shared" si="149"/>
        <v>44819</v>
      </c>
      <c r="E424" s="1">
        <f t="shared" si="150"/>
        <v>44986</v>
      </c>
      <c r="F424" s="1">
        <f t="shared" si="151"/>
        <v>45017</v>
      </c>
      <c r="G424" s="1">
        <f t="shared" si="152"/>
        <v>45184</v>
      </c>
      <c r="H424">
        <f t="shared" si="153"/>
        <v>365</v>
      </c>
      <c r="I424">
        <f t="shared" si="154"/>
        <v>31</v>
      </c>
      <c r="J424">
        <f t="shared" si="155"/>
        <v>8.4931506849315067E-2</v>
      </c>
      <c r="K424">
        <f>IFERROR($J424/IF($A424&lt;COUNTIFS($K$1:K$1,"&lt;&gt;"),0,SUMIFS($J:$J,$B:$B,$B424,$A:$A,"&gt;="&amp;COUNTIFS($K$1:K$1,"&lt;&gt;"))),0)</f>
        <v>8.8825214899713484E-2</v>
      </c>
      <c r="L424">
        <f>IFERROR($J424/IF($A424&lt;COUNTIFS($K$1:L$1,"&lt;&gt;"),0,SUMIFS($J:$J,$B:$B,$B424,$A:$A,"&gt;="&amp;COUNTIFS($K$1:L$1,"&lt;&gt;"))),0)</f>
        <v>9.7484276729559768E-2</v>
      </c>
      <c r="M424">
        <f>IFERROR($J424/IF($A424&lt;COUNTIFS($K$1:M$1,"&lt;&gt;"),0,SUMIFS($J:$J,$B:$B,$B424,$A:$A,"&gt;="&amp;COUNTIFS($K$1:M$1,"&lt;&gt;"))),0)</f>
        <v>0.10763888888888891</v>
      </c>
      <c r="N424">
        <f>IFERROR($J424/IF($A424&lt;COUNTIFS($K$1:N$1,"&lt;&gt;"),0,SUMIFS($J:$J,$B:$B,$B424,$A:$A,"&gt;="&amp;COUNTIFS($K$1:N$1,"&lt;&gt;"))),0)</f>
        <v>0.12062256809338523</v>
      </c>
      <c r="O424">
        <f>IFERROR($J424/IF($A424&lt;COUNTIFS($K$1:O$1,"&lt;&gt;"),0,SUMIFS($J:$J,$B:$B,$B424,$A:$A,"&gt;="&amp;COUNTIFS($K$1:O$1,"&lt;&gt;"))),0)</f>
        <v>0.13716814159292037</v>
      </c>
      <c r="P424">
        <f>IFERROR($J424/IF($A424&lt;COUNTIFS($K$1:P$1,"&lt;&gt;"),0,SUMIFS($J:$J,$B:$B,$B424,$A:$A,"&gt;="&amp;COUNTIFS($K$1:P$1,"&lt;&gt;"))),0)</f>
        <v>0.1565656565656566</v>
      </c>
      <c r="Q424">
        <f>IFERROR($J424/IF($A424&lt;COUNTIFS($K$1:Q$1,"&lt;&gt;"),0,SUMIFS($J:$J,$B:$B,$B424,$A:$A,"&gt;="&amp;COUNTIFS($K$1:Q$1,"&lt;&gt;"))),0)</f>
        <v>0</v>
      </c>
      <c r="R424">
        <f>IFERROR($J424/IF($A424&lt;COUNTIFS($K$1:R$1,"&lt;&gt;"),0,SUMIFS($J:$J,$B:$B,$B424,$A:$A,"&gt;="&amp;COUNTIFS($K$1:R$1,"&lt;&gt;"))),0)</f>
        <v>0</v>
      </c>
      <c r="S424">
        <f>IFERROR($J424/IF($A424&lt;COUNTIFS($K$1:S$1,"&lt;&gt;"),0,SUMIFS($J:$J,$B:$B,$B424,$A:$A,"&gt;="&amp;COUNTIFS($K$1:S$1,"&lt;&gt;"))),0)</f>
        <v>0</v>
      </c>
      <c r="T424">
        <f>IFERROR($J424/IF($A424&lt;COUNTIFS($K$1:T$1,"&lt;&gt;"),0,SUMIFS($J:$J,$B:$B,$B424,$A:$A,"&gt;="&amp;COUNTIFS($K$1:T$1,"&lt;&gt;"))),0)</f>
        <v>0</v>
      </c>
      <c r="U424">
        <f>IFERROR($J424/IF($A424&lt;COUNTIFS($K$1:U$1,"&lt;&gt;"),0,SUMIFS($J:$J,$B:$B,$B424,$A:$A,"&gt;="&amp;COUNTIFS($K$1:U$1,"&lt;&gt;"))),0)</f>
        <v>0</v>
      </c>
      <c r="V424">
        <f>IFERROR($J424/IF($A424&lt;COUNTIFS($K$1:V$1,"&lt;&gt;"),0,SUMIFS($J:$J,$B:$B,$B424,$A:$A,"&gt;="&amp;COUNTIFS($K$1:V$1,"&lt;&gt;"))),0)</f>
        <v>0</v>
      </c>
      <c r="W424">
        <f t="shared" si="156"/>
        <v>8.4931506849315067E-2</v>
      </c>
      <c r="X424">
        <f t="shared" si="136"/>
        <v>8.4931506849315067E-2</v>
      </c>
      <c r="Y424">
        <f t="shared" si="137"/>
        <v>8.4931506849315067E-2</v>
      </c>
      <c r="Z424">
        <f t="shared" si="138"/>
        <v>8.4931506849315067E-2</v>
      </c>
      <c r="AA424">
        <f t="shared" si="139"/>
        <v>8.4931506849315067E-2</v>
      </c>
      <c r="AB424">
        <f t="shared" si="140"/>
        <v>8.4931506849315067E-2</v>
      </c>
      <c r="AC424">
        <f t="shared" si="141"/>
        <v>8.4931506849315067E-2</v>
      </c>
      <c r="AD424">
        <f t="shared" si="142"/>
        <v>0</v>
      </c>
      <c r="AE424">
        <f t="shared" si="143"/>
        <v>0</v>
      </c>
      <c r="AF424">
        <f t="shared" si="144"/>
        <v>0</v>
      </c>
      <c r="AG424">
        <f t="shared" si="145"/>
        <v>0</v>
      </c>
      <c r="AH424">
        <f t="shared" si="146"/>
        <v>0</v>
      </c>
      <c r="AI424">
        <f t="shared" si="147"/>
        <v>0</v>
      </c>
      <c r="AJ424" s="2" t="str">
        <f t="shared" si="157"/>
        <v>644805</v>
      </c>
    </row>
    <row r="425" spans="1:36" x14ac:dyDescent="0.25">
      <c r="A425">
        <v>7</v>
      </c>
      <c r="B425" s="1">
        <v>44805</v>
      </c>
      <c r="C425" s="1">
        <f t="shared" si="148"/>
        <v>45017</v>
      </c>
      <c r="D425" s="1">
        <f t="shared" si="149"/>
        <v>44819</v>
      </c>
      <c r="E425" s="1">
        <f t="shared" si="150"/>
        <v>45017</v>
      </c>
      <c r="F425" s="1">
        <f t="shared" si="151"/>
        <v>45047</v>
      </c>
      <c r="G425" s="1">
        <f t="shared" si="152"/>
        <v>45184</v>
      </c>
      <c r="H425">
        <f t="shared" si="153"/>
        <v>365</v>
      </c>
      <c r="I425">
        <f t="shared" si="154"/>
        <v>30</v>
      </c>
      <c r="J425">
        <f t="shared" si="155"/>
        <v>8.2191780821917804E-2</v>
      </c>
      <c r="K425">
        <f>IFERROR($J425/IF($A425&lt;COUNTIFS($K$1:K$1,"&lt;&gt;"),0,SUMIFS($J:$J,$B:$B,$B425,$A:$A,"&gt;="&amp;COUNTIFS($K$1:K$1,"&lt;&gt;"))),0)</f>
        <v>8.5959885386819493E-2</v>
      </c>
      <c r="L425">
        <f>IFERROR($J425/IF($A425&lt;COUNTIFS($K$1:L$1,"&lt;&gt;"),0,SUMIFS($J:$J,$B:$B,$B425,$A:$A,"&gt;="&amp;COUNTIFS($K$1:L$1,"&lt;&gt;"))),0)</f>
        <v>9.4339622641509441E-2</v>
      </c>
      <c r="M425">
        <f>IFERROR($J425/IF($A425&lt;COUNTIFS($K$1:M$1,"&lt;&gt;"),0,SUMIFS($J:$J,$B:$B,$B425,$A:$A,"&gt;="&amp;COUNTIFS($K$1:M$1,"&lt;&gt;"))),0)</f>
        <v>0.10416666666666669</v>
      </c>
      <c r="N425">
        <f>IFERROR($J425/IF($A425&lt;COUNTIFS($K$1:N$1,"&lt;&gt;"),0,SUMIFS($J:$J,$B:$B,$B425,$A:$A,"&gt;="&amp;COUNTIFS($K$1:N$1,"&lt;&gt;"))),0)</f>
        <v>0.11673151750972764</v>
      </c>
      <c r="O425">
        <f>IFERROR($J425/IF($A425&lt;COUNTIFS($K$1:O$1,"&lt;&gt;"),0,SUMIFS($J:$J,$B:$B,$B425,$A:$A,"&gt;="&amp;COUNTIFS($K$1:O$1,"&lt;&gt;"))),0)</f>
        <v>0.13274336283185842</v>
      </c>
      <c r="P425">
        <f>IFERROR($J425/IF($A425&lt;COUNTIFS($K$1:P$1,"&lt;&gt;"),0,SUMIFS($J:$J,$B:$B,$B425,$A:$A,"&gt;="&amp;COUNTIFS($K$1:P$1,"&lt;&gt;"))),0)</f>
        <v>0.15151515151515155</v>
      </c>
      <c r="Q425">
        <f>IFERROR($J425/IF($A425&lt;COUNTIFS($K$1:Q$1,"&lt;&gt;"),0,SUMIFS($J:$J,$B:$B,$B425,$A:$A,"&gt;="&amp;COUNTIFS($K$1:Q$1,"&lt;&gt;"))),0)</f>
        <v>0.17964071856287425</v>
      </c>
      <c r="R425">
        <f>IFERROR($J425/IF($A425&lt;COUNTIFS($K$1:R$1,"&lt;&gt;"),0,SUMIFS($J:$J,$B:$B,$B425,$A:$A,"&gt;="&amp;COUNTIFS($K$1:R$1,"&lt;&gt;"))),0)</f>
        <v>0</v>
      </c>
      <c r="S425">
        <f>IFERROR($J425/IF($A425&lt;COUNTIFS($K$1:S$1,"&lt;&gt;"),0,SUMIFS($J:$J,$B:$B,$B425,$A:$A,"&gt;="&amp;COUNTIFS($K$1:S$1,"&lt;&gt;"))),0)</f>
        <v>0</v>
      </c>
      <c r="T425">
        <f>IFERROR($J425/IF($A425&lt;COUNTIFS($K$1:T$1,"&lt;&gt;"),0,SUMIFS($J:$J,$B:$B,$B425,$A:$A,"&gt;="&amp;COUNTIFS($K$1:T$1,"&lt;&gt;"))),0)</f>
        <v>0</v>
      </c>
      <c r="U425">
        <f>IFERROR($J425/IF($A425&lt;COUNTIFS($K$1:U$1,"&lt;&gt;"),0,SUMIFS($J:$J,$B:$B,$B425,$A:$A,"&gt;="&amp;COUNTIFS($K$1:U$1,"&lt;&gt;"))),0)</f>
        <v>0</v>
      </c>
      <c r="V425">
        <f>IFERROR($J425/IF($A425&lt;COUNTIFS($K$1:V$1,"&lt;&gt;"),0,SUMIFS($J:$J,$B:$B,$B425,$A:$A,"&gt;="&amp;COUNTIFS($K$1:V$1,"&lt;&gt;"))),0)</f>
        <v>0</v>
      </c>
      <c r="W425">
        <f t="shared" si="156"/>
        <v>8.2191780821917804E-2</v>
      </c>
      <c r="X425">
        <f t="shared" si="136"/>
        <v>8.2191780821917804E-2</v>
      </c>
      <c r="Y425">
        <f t="shared" si="137"/>
        <v>8.2191780821917804E-2</v>
      </c>
      <c r="Z425">
        <f t="shared" si="138"/>
        <v>8.2191780821917804E-2</v>
      </c>
      <c r="AA425">
        <f t="shared" si="139"/>
        <v>8.2191780821917804E-2</v>
      </c>
      <c r="AB425">
        <f t="shared" si="140"/>
        <v>8.2191780821917804E-2</v>
      </c>
      <c r="AC425">
        <f t="shared" si="141"/>
        <v>8.2191780821917804E-2</v>
      </c>
      <c r="AD425">
        <f t="shared" si="142"/>
        <v>8.2191780821917804E-2</v>
      </c>
      <c r="AE425">
        <f t="shared" si="143"/>
        <v>0</v>
      </c>
      <c r="AF425">
        <f t="shared" si="144"/>
        <v>0</v>
      </c>
      <c r="AG425">
        <f t="shared" si="145"/>
        <v>0</v>
      </c>
      <c r="AH425">
        <f t="shared" si="146"/>
        <v>0</v>
      </c>
      <c r="AI425">
        <f t="shared" si="147"/>
        <v>0</v>
      </c>
      <c r="AJ425" s="2" t="str">
        <f t="shared" si="157"/>
        <v>744805</v>
      </c>
    </row>
    <row r="426" spans="1:36" x14ac:dyDescent="0.25">
      <c r="A426">
        <v>8</v>
      </c>
      <c r="B426" s="1">
        <v>44805</v>
      </c>
      <c r="C426" s="1">
        <f t="shared" si="148"/>
        <v>45047</v>
      </c>
      <c r="D426" s="1">
        <f t="shared" si="149"/>
        <v>44819</v>
      </c>
      <c r="E426" s="1">
        <f t="shared" si="150"/>
        <v>45047</v>
      </c>
      <c r="F426" s="1">
        <f t="shared" si="151"/>
        <v>45078</v>
      </c>
      <c r="G426" s="1">
        <f t="shared" si="152"/>
        <v>45184</v>
      </c>
      <c r="H426">
        <f t="shared" si="153"/>
        <v>365</v>
      </c>
      <c r="I426">
        <f t="shared" si="154"/>
        <v>31</v>
      </c>
      <c r="J426">
        <f t="shared" si="155"/>
        <v>8.4931506849315067E-2</v>
      </c>
      <c r="K426">
        <f>IFERROR($J426/IF($A426&lt;COUNTIFS($K$1:K$1,"&lt;&gt;"),0,SUMIFS($J:$J,$B:$B,$B426,$A:$A,"&gt;="&amp;COUNTIFS($K$1:K$1,"&lt;&gt;"))),0)</f>
        <v>8.8825214899713484E-2</v>
      </c>
      <c r="L426">
        <f>IFERROR($J426/IF($A426&lt;COUNTIFS($K$1:L$1,"&lt;&gt;"),0,SUMIFS($J:$J,$B:$B,$B426,$A:$A,"&gt;="&amp;COUNTIFS($K$1:L$1,"&lt;&gt;"))),0)</f>
        <v>9.7484276729559768E-2</v>
      </c>
      <c r="M426">
        <f>IFERROR($J426/IF($A426&lt;COUNTIFS($K$1:M$1,"&lt;&gt;"),0,SUMIFS($J:$J,$B:$B,$B426,$A:$A,"&gt;="&amp;COUNTIFS($K$1:M$1,"&lt;&gt;"))),0)</f>
        <v>0.10763888888888891</v>
      </c>
      <c r="N426">
        <f>IFERROR($J426/IF($A426&lt;COUNTIFS($K$1:N$1,"&lt;&gt;"),0,SUMIFS($J:$J,$B:$B,$B426,$A:$A,"&gt;="&amp;COUNTIFS($K$1:N$1,"&lt;&gt;"))),0)</f>
        <v>0.12062256809338523</v>
      </c>
      <c r="O426">
        <f>IFERROR($J426/IF($A426&lt;COUNTIFS($K$1:O$1,"&lt;&gt;"),0,SUMIFS($J:$J,$B:$B,$B426,$A:$A,"&gt;="&amp;COUNTIFS($K$1:O$1,"&lt;&gt;"))),0)</f>
        <v>0.13716814159292037</v>
      </c>
      <c r="P426">
        <f>IFERROR($J426/IF($A426&lt;COUNTIFS($K$1:P$1,"&lt;&gt;"),0,SUMIFS($J:$J,$B:$B,$B426,$A:$A,"&gt;="&amp;COUNTIFS($K$1:P$1,"&lt;&gt;"))),0)</f>
        <v>0.1565656565656566</v>
      </c>
      <c r="Q426">
        <f>IFERROR($J426/IF($A426&lt;COUNTIFS($K$1:Q$1,"&lt;&gt;"),0,SUMIFS($J:$J,$B:$B,$B426,$A:$A,"&gt;="&amp;COUNTIFS($K$1:Q$1,"&lt;&gt;"))),0)</f>
        <v>0.18562874251497008</v>
      </c>
      <c r="R426">
        <f>IFERROR($J426/IF($A426&lt;COUNTIFS($K$1:R$1,"&lt;&gt;"),0,SUMIFS($J:$J,$B:$B,$B426,$A:$A,"&gt;="&amp;COUNTIFS($K$1:R$1,"&lt;&gt;"))),0)</f>
        <v>0.22627737226277375</v>
      </c>
      <c r="S426">
        <f>IFERROR($J426/IF($A426&lt;COUNTIFS($K$1:S$1,"&lt;&gt;"),0,SUMIFS($J:$J,$B:$B,$B426,$A:$A,"&gt;="&amp;COUNTIFS($K$1:S$1,"&lt;&gt;"))),0)</f>
        <v>0</v>
      </c>
      <c r="T426">
        <f>IFERROR($J426/IF($A426&lt;COUNTIFS($K$1:T$1,"&lt;&gt;"),0,SUMIFS($J:$J,$B:$B,$B426,$A:$A,"&gt;="&amp;COUNTIFS($K$1:T$1,"&lt;&gt;"))),0)</f>
        <v>0</v>
      </c>
      <c r="U426">
        <f>IFERROR($J426/IF($A426&lt;COUNTIFS($K$1:U$1,"&lt;&gt;"),0,SUMIFS($J:$J,$B:$B,$B426,$A:$A,"&gt;="&amp;COUNTIFS($K$1:U$1,"&lt;&gt;"))),0)</f>
        <v>0</v>
      </c>
      <c r="V426">
        <f>IFERROR($J426/IF($A426&lt;COUNTIFS($K$1:V$1,"&lt;&gt;"),0,SUMIFS($J:$J,$B:$B,$B426,$A:$A,"&gt;="&amp;COUNTIFS($K$1:V$1,"&lt;&gt;"))),0)</f>
        <v>0</v>
      </c>
      <c r="W426">
        <f t="shared" si="156"/>
        <v>8.4931506849315067E-2</v>
      </c>
      <c r="X426">
        <f t="shared" si="136"/>
        <v>8.4931506849315067E-2</v>
      </c>
      <c r="Y426">
        <f t="shared" si="137"/>
        <v>8.4931506849315067E-2</v>
      </c>
      <c r="Z426">
        <f t="shared" si="138"/>
        <v>8.4931506849315067E-2</v>
      </c>
      <c r="AA426">
        <f t="shared" si="139"/>
        <v>8.4931506849315067E-2</v>
      </c>
      <c r="AB426">
        <f t="shared" si="140"/>
        <v>8.4931506849315067E-2</v>
      </c>
      <c r="AC426">
        <f t="shared" si="141"/>
        <v>8.4931506849315067E-2</v>
      </c>
      <c r="AD426">
        <f t="shared" si="142"/>
        <v>8.4931506849315067E-2</v>
      </c>
      <c r="AE426">
        <f t="shared" si="143"/>
        <v>8.4931506849315067E-2</v>
      </c>
      <c r="AF426">
        <f t="shared" si="144"/>
        <v>0</v>
      </c>
      <c r="AG426">
        <f t="shared" si="145"/>
        <v>0</v>
      </c>
      <c r="AH426">
        <f t="shared" si="146"/>
        <v>0</v>
      </c>
      <c r="AI426">
        <f t="shared" si="147"/>
        <v>0</v>
      </c>
      <c r="AJ426" s="2" t="str">
        <f t="shared" si="157"/>
        <v>844805</v>
      </c>
    </row>
    <row r="427" spans="1:36" x14ac:dyDescent="0.25">
      <c r="A427">
        <v>9</v>
      </c>
      <c r="B427" s="1">
        <v>44805</v>
      </c>
      <c r="C427" s="1">
        <f t="shared" si="148"/>
        <v>45078</v>
      </c>
      <c r="D427" s="1">
        <f t="shared" si="149"/>
        <v>44819</v>
      </c>
      <c r="E427" s="1">
        <f t="shared" si="150"/>
        <v>45078</v>
      </c>
      <c r="F427" s="1">
        <f t="shared" si="151"/>
        <v>45108</v>
      </c>
      <c r="G427" s="1">
        <f t="shared" si="152"/>
        <v>45184</v>
      </c>
      <c r="H427">
        <f t="shared" si="153"/>
        <v>365</v>
      </c>
      <c r="I427">
        <f t="shared" si="154"/>
        <v>30</v>
      </c>
      <c r="J427">
        <f t="shared" si="155"/>
        <v>8.2191780821917804E-2</v>
      </c>
      <c r="K427">
        <f>IFERROR($J427/IF($A427&lt;COUNTIFS($K$1:K$1,"&lt;&gt;"),0,SUMIFS($J:$J,$B:$B,$B427,$A:$A,"&gt;="&amp;COUNTIFS($K$1:K$1,"&lt;&gt;"))),0)</f>
        <v>8.5959885386819493E-2</v>
      </c>
      <c r="L427">
        <f>IFERROR($J427/IF($A427&lt;COUNTIFS($K$1:L$1,"&lt;&gt;"),0,SUMIFS($J:$J,$B:$B,$B427,$A:$A,"&gt;="&amp;COUNTIFS($K$1:L$1,"&lt;&gt;"))),0)</f>
        <v>9.4339622641509441E-2</v>
      </c>
      <c r="M427">
        <f>IFERROR($J427/IF($A427&lt;COUNTIFS($K$1:M$1,"&lt;&gt;"),0,SUMIFS($J:$J,$B:$B,$B427,$A:$A,"&gt;="&amp;COUNTIFS($K$1:M$1,"&lt;&gt;"))),0)</f>
        <v>0.10416666666666669</v>
      </c>
      <c r="N427">
        <f>IFERROR($J427/IF($A427&lt;COUNTIFS($K$1:N$1,"&lt;&gt;"),0,SUMIFS($J:$J,$B:$B,$B427,$A:$A,"&gt;="&amp;COUNTIFS($K$1:N$1,"&lt;&gt;"))),0)</f>
        <v>0.11673151750972764</v>
      </c>
      <c r="O427">
        <f>IFERROR($J427/IF($A427&lt;COUNTIFS($K$1:O$1,"&lt;&gt;"),0,SUMIFS($J:$J,$B:$B,$B427,$A:$A,"&gt;="&amp;COUNTIFS($K$1:O$1,"&lt;&gt;"))),0)</f>
        <v>0.13274336283185842</v>
      </c>
      <c r="P427">
        <f>IFERROR($J427/IF($A427&lt;COUNTIFS($K$1:P$1,"&lt;&gt;"),0,SUMIFS($J:$J,$B:$B,$B427,$A:$A,"&gt;="&amp;COUNTIFS($K$1:P$1,"&lt;&gt;"))),0)</f>
        <v>0.15151515151515155</v>
      </c>
      <c r="Q427">
        <f>IFERROR($J427/IF($A427&lt;COUNTIFS($K$1:Q$1,"&lt;&gt;"),0,SUMIFS($J:$J,$B:$B,$B427,$A:$A,"&gt;="&amp;COUNTIFS($K$1:Q$1,"&lt;&gt;"))),0)</f>
        <v>0.17964071856287425</v>
      </c>
      <c r="R427">
        <f>IFERROR($J427/IF($A427&lt;COUNTIFS($K$1:R$1,"&lt;&gt;"),0,SUMIFS($J:$J,$B:$B,$B427,$A:$A,"&gt;="&amp;COUNTIFS($K$1:R$1,"&lt;&gt;"))),0)</f>
        <v>0.21897810218978103</v>
      </c>
      <c r="S427">
        <f>IFERROR($J427/IF($A427&lt;COUNTIFS($K$1:S$1,"&lt;&gt;"),0,SUMIFS($J:$J,$B:$B,$B427,$A:$A,"&gt;="&amp;COUNTIFS($K$1:S$1,"&lt;&gt;"))),0)</f>
        <v>0.28301886792452829</v>
      </c>
      <c r="T427">
        <f>IFERROR($J427/IF($A427&lt;COUNTIFS($K$1:T$1,"&lt;&gt;"),0,SUMIFS($J:$J,$B:$B,$B427,$A:$A,"&gt;="&amp;COUNTIFS($K$1:T$1,"&lt;&gt;"))),0)</f>
        <v>0</v>
      </c>
      <c r="U427">
        <f>IFERROR($J427/IF($A427&lt;COUNTIFS($K$1:U$1,"&lt;&gt;"),0,SUMIFS($J:$J,$B:$B,$B427,$A:$A,"&gt;="&amp;COUNTIFS($K$1:U$1,"&lt;&gt;"))),0)</f>
        <v>0</v>
      </c>
      <c r="V427">
        <f>IFERROR($J427/IF($A427&lt;COUNTIFS($K$1:V$1,"&lt;&gt;"),0,SUMIFS($J:$J,$B:$B,$B427,$A:$A,"&gt;="&amp;COUNTIFS($K$1:V$1,"&lt;&gt;"))),0)</f>
        <v>0</v>
      </c>
      <c r="W427">
        <f t="shared" si="156"/>
        <v>8.2191780821917804E-2</v>
      </c>
      <c r="X427">
        <f t="shared" si="136"/>
        <v>8.2191780821917804E-2</v>
      </c>
      <c r="Y427">
        <f t="shared" si="137"/>
        <v>8.2191780821917804E-2</v>
      </c>
      <c r="Z427">
        <f t="shared" si="138"/>
        <v>8.2191780821917804E-2</v>
      </c>
      <c r="AA427">
        <f t="shared" si="139"/>
        <v>8.2191780821917804E-2</v>
      </c>
      <c r="AB427">
        <f t="shared" si="140"/>
        <v>8.2191780821917804E-2</v>
      </c>
      <c r="AC427">
        <f t="shared" si="141"/>
        <v>8.2191780821917804E-2</v>
      </c>
      <c r="AD427">
        <f t="shared" si="142"/>
        <v>8.2191780821917804E-2</v>
      </c>
      <c r="AE427">
        <f t="shared" si="143"/>
        <v>8.2191780821917804E-2</v>
      </c>
      <c r="AF427">
        <f t="shared" si="144"/>
        <v>8.2191780821917804E-2</v>
      </c>
      <c r="AG427">
        <f t="shared" si="145"/>
        <v>0</v>
      </c>
      <c r="AH427">
        <f t="shared" si="146"/>
        <v>0</v>
      </c>
      <c r="AI427">
        <f t="shared" si="147"/>
        <v>0</v>
      </c>
      <c r="AJ427" s="2" t="str">
        <f t="shared" si="157"/>
        <v>944805</v>
      </c>
    </row>
    <row r="428" spans="1:36" x14ac:dyDescent="0.25">
      <c r="A428">
        <v>10</v>
      </c>
      <c r="B428" s="1">
        <v>44805</v>
      </c>
      <c r="C428" s="1">
        <f t="shared" si="148"/>
        <v>45108</v>
      </c>
      <c r="D428" s="1">
        <f t="shared" si="149"/>
        <v>44819</v>
      </c>
      <c r="E428" s="1">
        <f t="shared" si="150"/>
        <v>45108</v>
      </c>
      <c r="F428" s="1">
        <f t="shared" si="151"/>
        <v>45139</v>
      </c>
      <c r="G428" s="1">
        <f t="shared" si="152"/>
        <v>45184</v>
      </c>
      <c r="H428">
        <f t="shared" si="153"/>
        <v>365</v>
      </c>
      <c r="I428">
        <f t="shared" si="154"/>
        <v>31</v>
      </c>
      <c r="J428">
        <f t="shared" si="155"/>
        <v>8.4931506849315067E-2</v>
      </c>
      <c r="K428">
        <f>IFERROR($J428/IF($A428&lt;COUNTIFS($K$1:K$1,"&lt;&gt;"),0,SUMIFS($J:$J,$B:$B,$B428,$A:$A,"&gt;="&amp;COUNTIFS($K$1:K$1,"&lt;&gt;"))),0)</f>
        <v>8.8825214899713484E-2</v>
      </c>
      <c r="L428">
        <f>IFERROR($J428/IF($A428&lt;COUNTIFS($K$1:L$1,"&lt;&gt;"),0,SUMIFS($J:$J,$B:$B,$B428,$A:$A,"&gt;="&amp;COUNTIFS($K$1:L$1,"&lt;&gt;"))),0)</f>
        <v>9.7484276729559768E-2</v>
      </c>
      <c r="M428">
        <f>IFERROR($J428/IF($A428&lt;COUNTIFS($K$1:M$1,"&lt;&gt;"),0,SUMIFS($J:$J,$B:$B,$B428,$A:$A,"&gt;="&amp;COUNTIFS($K$1:M$1,"&lt;&gt;"))),0)</f>
        <v>0.10763888888888891</v>
      </c>
      <c r="N428">
        <f>IFERROR($J428/IF($A428&lt;COUNTIFS($K$1:N$1,"&lt;&gt;"),0,SUMIFS($J:$J,$B:$B,$B428,$A:$A,"&gt;="&amp;COUNTIFS($K$1:N$1,"&lt;&gt;"))),0)</f>
        <v>0.12062256809338523</v>
      </c>
      <c r="O428">
        <f>IFERROR($J428/IF($A428&lt;COUNTIFS($K$1:O$1,"&lt;&gt;"),0,SUMIFS($J:$J,$B:$B,$B428,$A:$A,"&gt;="&amp;COUNTIFS($K$1:O$1,"&lt;&gt;"))),0)</f>
        <v>0.13716814159292037</v>
      </c>
      <c r="P428">
        <f>IFERROR($J428/IF($A428&lt;COUNTIFS($K$1:P$1,"&lt;&gt;"),0,SUMIFS($J:$J,$B:$B,$B428,$A:$A,"&gt;="&amp;COUNTIFS($K$1:P$1,"&lt;&gt;"))),0)</f>
        <v>0.1565656565656566</v>
      </c>
      <c r="Q428">
        <f>IFERROR($J428/IF($A428&lt;COUNTIFS($K$1:Q$1,"&lt;&gt;"),0,SUMIFS($J:$J,$B:$B,$B428,$A:$A,"&gt;="&amp;COUNTIFS($K$1:Q$1,"&lt;&gt;"))),0)</f>
        <v>0.18562874251497008</v>
      </c>
      <c r="R428">
        <f>IFERROR($J428/IF($A428&lt;COUNTIFS($K$1:R$1,"&lt;&gt;"),0,SUMIFS($J:$J,$B:$B,$B428,$A:$A,"&gt;="&amp;COUNTIFS($K$1:R$1,"&lt;&gt;"))),0)</f>
        <v>0.22627737226277375</v>
      </c>
      <c r="S428">
        <f>IFERROR($J428/IF($A428&lt;COUNTIFS($K$1:S$1,"&lt;&gt;"),0,SUMIFS($J:$J,$B:$B,$B428,$A:$A,"&gt;="&amp;COUNTIFS($K$1:S$1,"&lt;&gt;"))),0)</f>
        <v>0.29245283018867929</v>
      </c>
      <c r="T428">
        <f>IFERROR($J428/IF($A428&lt;COUNTIFS($K$1:T$1,"&lt;&gt;"),0,SUMIFS($J:$J,$B:$B,$B428,$A:$A,"&gt;="&amp;COUNTIFS($K$1:T$1,"&lt;&gt;"))),0)</f>
        <v>0.40789473684210525</v>
      </c>
      <c r="U428">
        <f>IFERROR($J428/IF($A428&lt;COUNTIFS($K$1:U$1,"&lt;&gt;"),0,SUMIFS($J:$J,$B:$B,$B428,$A:$A,"&gt;="&amp;COUNTIFS($K$1:U$1,"&lt;&gt;"))),0)</f>
        <v>0</v>
      </c>
      <c r="V428">
        <f>IFERROR($J428/IF($A428&lt;COUNTIFS($K$1:V$1,"&lt;&gt;"),0,SUMIFS($J:$J,$B:$B,$B428,$A:$A,"&gt;="&amp;COUNTIFS($K$1:V$1,"&lt;&gt;"))),0)</f>
        <v>0</v>
      </c>
      <c r="W428">
        <f t="shared" si="156"/>
        <v>8.4931506849315067E-2</v>
      </c>
      <c r="X428">
        <f t="shared" si="136"/>
        <v>8.4931506849315067E-2</v>
      </c>
      <c r="Y428">
        <f t="shared" si="137"/>
        <v>8.4931506849315067E-2</v>
      </c>
      <c r="Z428">
        <f t="shared" si="138"/>
        <v>8.4931506849315067E-2</v>
      </c>
      <c r="AA428">
        <f t="shared" si="139"/>
        <v>8.4931506849315067E-2</v>
      </c>
      <c r="AB428">
        <f t="shared" si="140"/>
        <v>8.4931506849315067E-2</v>
      </c>
      <c r="AC428">
        <f t="shared" si="141"/>
        <v>8.4931506849315067E-2</v>
      </c>
      <c r="AD428">
        <f t="shared" si="142"/>
        <v>8.4931506849315067E-2</v>
      </c>
      <c r="AE428">
        <f t="shared" si="143"/>
        <v>8.4931506849315067E-2</v>
      </c>
      <c r="AF428">
        <f t="shared" si="144"/>
        <v>8.4931506849315067E-2</v>
      </c>
      <c r="AG428">
        <f t="shared" si="145"/>
        <v>8.4931506849315067E-2</v>
      </c>
      <c r="AH428">
        <f t="shared" si="146"/>
        <v>0</v>
      </c>
      <c r="AI428">
        <f t="shared" si="147"/>
        <v>0</v>
      </c>
      <c r="AJ428" s="2" t="str">
        <f t="shared" si="157"/>
        <v>1044805</v>
      </c>
    </row>
    <row r="429" spans="1:36" x14ac:dyDescent="0.25">
      <c r="A429">
        <v>11</v>
      </c>
      <c r="B429" s="1">
        <v>44805</v>
      </c>
      <c r="C429" s="1">
        <f t="shared" si="148"/>
        <v>45139</v>
      </c>
      <c r="D429" s="1">
        <f t="shared" si="149"/>
        <v>44819</v>
      </c>
      <c r="E429" s="1">
        <f t="shared" si="150"/>
        <v>45139</v>
      </c>
      <c r="F429" s="1">
        <f t="shared" si="151"/>
        <v>45170</v>
      </c>
      <c r="G429" s="1">
        <f t="shared" si="152"/>
        <v>45184</v>
      </c>
      <c r="H429">
        <f t="shared" si="153"/>
        <v>365</v>
      </c>
      <c r="I429">
        <f t="shared" si="154"/>
        <v>31</v>
      </c>
      <c r="J429">
        <f t="shared" si="155"/>
        <v>8.4931506849315067E-2</v>
      </c>
      <c r="K429">
        <f>IFERROR($J429/IF($A429&lt;COUNTIFS($K$1:K$1,"&lt;&gt;"),0,SUMIFS($J:$J,$B:$B,$B429,$A:$A,"&gt;="&amp;COUNTIFS($K$1:K$1,"&lt;&gt;"))),0)</f>
        <v>8.8825214899713484E-2</v>
      </c>
      <c r="L429">
        <f>IFERROR($J429/IF($A429&lt;COUNTIFS($K$1:L$1,"&lt;&gt;"),0,SUMIFS($J:$J,$B:$B,$B429,$A:$A,"&gt;="&amp;COUNTIFS($K$1:L$1,"&lt;&gt;"))),0)</f>
        <v>9.7484276729559768E-2</v>
      </c>
      <c r="M429">
        <f>IFERROR($J429/IF($A429&lt;COUNTIFS($K$1:M$1,"&lt;&gt;"),0,SUMIFS($J:$J,$B:$B,$B429,$A:$A,"&gt;="&amp;COUNTIFS($K$1:M$1,"&lt;&gt;"))),0)</f>
        <v>0.10763888888888891</v>
      </c>
      <c r="N429">
        <f>IFERROR($J429/IF($A429&lt;COUNTIFS($K$1:N$1,"&lt;&gt;"),0,SUMIFS($J:$J,$B:$B,$B429,$A:$A,"&gt;="&amp;COUNTIFS($K$1:N$1,"&lt;&gt;"))),0)</f>
        <v>0.12062256809338523</v>
      </c>
      <c r="O429">
        <f>IFERROR($J429/IF($A429&lt;COUNTIFS($K$1:O$1,"&lt;&gt;"),0,SUMIFS($J:$J,$B:$B,$B429,$A:$A,"&gt;="&amp;COUNTIFS($K$1:O$1,"&lt;&gt;"))),0)</f>
        <v>0.13716814159292037</v>
      </c>
      <c r="P429">
        <f>IFERROR($J429/IF($A429&lt;COUNTIFS($K$1:P$1,"&lt;&gt;"),0,SUMIFS($J:$J,$B:$B,$B429,$A:$A,"&gt;="&amp;COUNTIFS($K$1:P$1,"&lt;&gt;"))),0)</f>
        <v>0.1565656565656566</v>
      </c>
      <c r="Q429">
        <f>IFERROR($J429/IF($A429&lt;COUNTIFS($K$1:Q$1,"&lt;&gt;"),0,SUMIFS($J:$J,$B:$B,$B429,$A:$A,"&gt;="&amp;COUNTIFS($K$1:Q$1,"&lt;&gt;"))),0)</f>
        <v>0.18562874251497008</v>
      </c>
      <c r="R429">
        <f>IFERROR($J429/IF($A429&lt;COUNTIFS($K$1:R$1,"&lt;&gt;"),0,SUMIFS($J:$J,$B:$B,$B429,$A:$A,"&gt;="&amp;COUNTIFS($K$1:R$1,"&lt;&gt;"))),0)</f>
        <v>0.22627737226277375</v>
      </c>
      <c r="S429">
        <f>IFERROR($J429/IF($A429&lt;COUNTIFS($K$1:S$1,"&lt;&gt;"),0,SUMIFS($J:$J,$B:$B,$B429,$A:$A,"&gt;="&amp;COUNTIFS($K$1:S$1,"&lt;&gt;"))),0)</f>
        <v>0.29245283018867929</v>
      </c>
      <c r="T429">
        <f>IFERROR($J429/IF($A429&lt;COUNTIFS($K$1:T$1,"&lt;&gt;"),0,SUMIFS($J:$J,$B:$B,$B429,$A:$A,"&gt;="&amp;COUNTIFS($K$1:T$1,"&lt;&gt;"))),0)</f>
        <v>0.40789473684210525</v>
      </c>
      <c r="U429">
        <f>IFERROR($J429/IF($A429&lt;COUNTIFS($K$1:U$1,"&lt;&gt;"),0,SUMIFS($J:$J,$B:$B,$B429,$A:$A,"&gt;="&amp;COUNTIFS($K$1:U$1,"&lt;&gt;"))),0)</f>
        <v>0.68888888888888888</v>
      </c>
      <c r="V429">
        <f>IFERROR($J429/IF($A429&lt;COUNTIFS($K$1:V$1,"&lt;&gt;"),0,SUMIFS($J:$J,$B:$B,$B429,$A:$A,"&gt;="&amp;COUNTIFS($K$1:V$1,"&lt;&gt;"))),0)</f>
        <v>0</v>
      </c>
      <c r="W429">
        <f t="shared" si="156"/>
        <v>8.4931506849315067E-2</v>
      </c>
      <c r="X429">
        <f t="shared" si="136"/>
        <v>8.4931506849315067E-2</v>
      </c>
      <c r="Y429">
        <f t="shared" si="137"/>
        <v>8.4931506849315067E-2</v>
      </c>
      <c r="Z429">
        <f t="shared" si="138"/>
        <v>8.4931506849315067E-2</v>
      </c>
      <c r="AA429">
        <f t="shared" si="139"/>
        <v>8.4931506849315067E-2</v>
      </c>
      <c r="AB429">
        <f t="shared" si="140"/>
        <v>8.4931506849315067E-2</v>
      </c>
      <c r="AC429">
        <f t="shared" si="141"/>
        <v>8.4931506849315067E-2</v>
      </c>
      <c r="AD429">
        <f t="shared" si="142"/>
        <v>8.4931506849315067E-2</v>
      </c>
      <c r="AE429">
        <f t="shared" si="143"/>
        <v>8.4931506849315067E-2</v>
      </c>
      <c r="AF429">
        <f t="shared" si="144"/>
        <v>8.4931506849315067E-2</v>
      </c>
      <c r="AG429">
        <f t="shared" si="145"/>
        <v>8.4931506849315067E-2</v>
      </c>
      <c r="AH429">
        <f t="shared" si="146"/>
        <v>8.4931506849315067E-2</v>
      </c>
      <c r="AI429">
        <f t="shared" si="147"/>
        <v>0</v>
      </c>
      <c r="AJ429" s="2" t="str">
        <f t="shared" si="157"/>
        <v>1144805</v>
      </c>
    </row>
    <row r="430" spans="1:36" x14ac:dyDescent="0.25">
      <c r="A430">
        <v>12</v>
      </c>
      <c r="B430" s="1">
        <v>44805</v>
      </c>
      <c r="C430" s="1">
        <f t="shared" si="148"/>
        <v>45170</v>
      </c>
      <c r="D430" s="1">
        <f t="shared" si="149"/>
        <v>44819</v>
      </c>
      <c r="E430" s="1">
        <f t="shared" si="150"/>
        <v>45170</v>
      </c>
      <c r="F430" s="1">
        <f t="shared" si="151"/>
        <v>45184</v>
      </c>
      <c r="G430" s="1">
        <f t="shared" si="152"/>
        <v>45184</v>
      </c>
      <c r="H430">
        <f t="shared" si="153"/>
        <v>365</v>
      </c>
      <c r="I430">
        <f t="shared" si="154"/>
        <v>14</v>
      </c>
      <c r="J430">
        <f t="shared" si="155"/>
        <v>3.8356164383561646E-2</v>
      </c>
      <c r="K430">
        <f>IFERROR($J430/IF($A430&lt;COUNTIFS($K$1:K$1,"&lt;&gt;"),0,SUMIFS($J:$J,$B:$B,$B430,$A:$A,"&gt;="&amp;COUNTIFS($K$1:K$1,"&lt;&gt;"))),0)</f>
        <v>4.0114613180515769E-2</v>
      </c>
      <c r="L430">
        <f>IFERROR($J430/IF($A430&lt;COUNTIFS($K$1:L$1,"&lt;&gt;"),0,SUMIFS($J:$J,$B:$B,$B430,$A:$A,"&gt;="&amp;COUNTIFS($K$1:L$1,"&lt;&gt;"))),0)</f>
        <v>4.4025157232704414E-2</v>
      </c>
      <c r="M430">
        <f>IFERROR($J430/IF($A430&lt;COUNTIFS($K$1:M$1,"&lt;&gt;"),0,SUMIFS($J:$J,$B:$B,$B430,$A:$A,"&gt;="&amp;COUNTIFS($K$1:M$1,"&lt;&gt;"))),0)</f>
        <v>4.8611111111111119E-2</v>
      </c>
      <c r="N430">
        <f>IFERROR($J430/IF($A430&lt;COUNTIFS($K$1:N$1,"&lt;&gt;"),0,SUMIFS($J:$J,$B:$B,$B430,$A:$A,"&gt;="&amp;COUNTIFS($K$1:N$1,"&lt;&gt;"))),0)</f>
        <v>5.447470817120624E-2</v>
      </c>
      <c r="O430">
        <f>IFERROR($J430/IF($A430&lt;COUNTIFS($K$1:O$1,"&lt;&gt;"),0,SUMIFS($J:$J,$B:$B,$B430,$A:$A,"&gt;="&amp;COUNTIFS($K$1:O$1,"&lt;&gt;"))),0)</f>
        <v>6.194690265486727E-2</v>
      </c>
      <c r="P430">
        <f>IFERROR($J430/IF($A430&lt;COUNTIFS($K$1:P$1,"&lt;&gt;"),0,SUMIFS($J:$J,$B:$B,$B430,$A:$A,"&gt;="&amp;COUNTIFS($K$1:P$1,"&lt;&gt;"))),0)</f>
        <v>7.0707070707070732E-2</v>
      </c>
      <c r="Q430">
        <f>IFERROR($J430/IF($A430&lt;COUNTIFS($K$1:Q$1,"&lt;&gt;"),0,SUMIFS($J:$J,$B:$B,$B430,$A:$A,"&gt;="&amp;COUNTIFS($K$1:Q$1,"&lt;&gt;"))),0)</f>
        <v>8.3832335329341326E-2</v>
      </c>
      <c r="R430">
        <f>IFERROR($J430/IF($A430&lt;COUNTIFS($K$1:R$1,"&lt;&gt;"),0,SUMIFS($J:$J,$B:$B,$B430,$A:$A,"&gt;="&amp;COUNTIFS($K$1:R$1,"&lt;&gt;"))),0)</f>
        <v>0.10218978102189782</v>
      </c>
      <c r="S430">
        <f>IFERROR($J430/IF($A430&lt;COUNTIFS($K$1:S$1,"&lt;&gt;"),0,SUMIFS($J:$J,$B:$B,$B430,$A:$A,"&gt;="&amp;COUNTIFS($K$1:S$1,"&lt;&gt;"))),0)</f>
        <v>0.13207547169811323</v>
      </c>
      <c r="T430">
        <f>IFERROR($J430/IF($A430&lt;COUNTIFS($K$1:T$1,"&lt;&gt;"),0,SUMIFS($J:$J,$B:$B,$B430,$A:$A,"&gt;="&amp;COUNTIFS($K$1:T$1,"&lt;&gt;"))),0)</f>
        <v>0.18421052631578949</v>
      </c>
      <c r="U430">
        <f>IFERROR($J430/IF($A430&lt;COUNTIFS($K$1:U$1,"&lt;&gt;"),0,SUMIFS($J:$J,$B:$B,$B430,$A:$A,"&gt;="&amp;COUNTIFS($K$1:U$1,"&lt;&gt;"))),0)</f>
        <v>0.31111111111111117</v>
      </c>
      <c r="V430">
        <f>IFERROR($J430/IF($A430&lt;COUNTIFS($K$1:V$1,"&lt;&gt;"),0,SUMIFS($J:$J,$B:$B,$B430,$A:$A,"&gt;="&amp;COUNTIFS($K$1:V$1,"&lt;&gt;"))),0)</f>
        <v>1</v>
      </c>
      <c r="W430">
        <f t="shared" si="156"/>
        <v>3.8356164383561646E-2</v>
      </c>
      <c r="X430">
        <f t="shared" si="136"/>
        <v>3.8356164383561646E-2</v>
      </c>
      <c r="Y430">
        <f t="shared" si="137"/>
        <v>3.8356164383561646E-2</v>
      </c>
      <c r="Z430">
        <f t="shared" si="138"/>
        <v>3.8356164383561646E-2</v>
      </c>
      <c r="AA430">
        <f t="shared" si="139"/>
        <v>3.8356164383561646E-2</v>
      </c>
      <c r="AB430">
        <f t="shared" si="140"/>
        <v>3.8356164383561646E-2</v>
      </c>
      <c r="AC430">
        <f t="shared" si="141"/>
        <v>3.8356164383561646E-2</v>
      </c>
      <c r="AD430">
        <f t="shared" si="142"/>
        <v>3.8356164383561646E-2</v>
      </c>
      <c r="AE430">
        <f t="shared" si="143"/>
        <v>3.8356164383561646E-2</v>
      </c>
      <c r="AF430">
        <f t="shared" si="144"/>
        <v>3.8356164383561646E-2</v>
      </c>
      <c r="AG430">
        <f t="shared" si="145"/>
        <v>3.8356164383561646E-2</v>
      </c>
      <c r="AH430">
        <f t="shared" si="146"/>
        <v>3.8356164383561646E-2</v>
      </c>
      <c r="AI430">
        <f t="shared" si="147"/>
        <v>3.8356164383561646E-2</v>
      </c>
      <c r="AJ430" s="2" t="str">
        <f t="shared" si="157"/>
        <v>1244805</v>
      </c>
    </row>
    <row r="431" spans="1:36" x14ac:dyDescent="0.25">
      <c r="A431">
        <v>0</v>
      </c>
      <c r="B431" s="1">
        <v>44835</v>
      </c>
      <c r="C431" s="1">
        <f t="shared" si="148"/>
        <v>44835</v>
      </c>
      <c r="D431" s="1">
        <f t="shared" si="149"/>
        <v>44849</v>
      </c>
      <c r="E431" s="1">
        <f t="shared" si="150"/>
        <v>44849</v>
      </c>
      <c r="F431" s="1">
        <f t="shared" si="151"/>
        <v>44866</v>
      </c>
      <c r="G431" s="1">
        <f t="shared" si="152"/>
        <v>45214</v>
      </c>
      <c r="H431">
        <f t="shared" si="153"/>
        <v>365</v>
      </c>
      <c r="I431">
        <f t="shared" si="154"/>
        <v>17</v>
      </c>
      <c r="J431">
        <f t="shared" si="155"/>
        <v>4.6575342465753428E-2</v>
      </c>
      <c r="K431">
        <f>IFERROR($J431/IF($A431&lt;COUNTIFS($K$1:K$1,"&lt;&gt;"),0,SUMIFS($J:$J,$B:$B,$B431,$A:$A,"&gt;="&amp;COUNTIFS($K$1:K$1,"&lt;&gt;"))),0)</f>
        <v>0</v>
      </c>
      <c r="L431">
        <f>IFERROR($J431/IF($A431&lt;COUNTIFS($K$1:L$1,"&lt;&gt;"),0,SUMIFS($J:$J,$B:$B,$B431,$A:$A,"&gt;="&amp;COUNTIFS($K$1:L$1,"&lt;&gt;"))),0)</f>
        <v>0</v>
      </c>
      <c r="M431">
        <f>IFERROR($J431/IF($A431&lt;COUNTIFS($K$1:M$1,"&lt;&gt;"),0,SUMIFS($J:$J,$B:$B,$B431,$A:$A,"&gt;="&amp;COUNTIFS($K$1:M$1,"&lt;&gt;"))),0)</f>
        <v>0</v>
      </c>
      <c r="N431">
        <f>IFERROR($J431/IF($A431&lt;COUNTIFS($K$1:N$1,"&lt;&gt;"),0,SUMIFS($J:$J,$B:$B,$B431,$A:$A,"&gt;="&amp;COUNTIFS($K$1:N$1,"&lt;&gt;"))),0)</f>
        <v>0</v>
      </c>
      <c r="O431">
        <f>IFERROR($J431/IF($A431&lt;COUNTIFS($K$1:O$1,"&lt;&gt;"),0,SUMIFS($J:$J,$B:$B,$B431,$A:$A,"&gt;="&amp;COUNTIFS($K$1:O$1,"&lt;&gt;"))),0)</f>
        <v>0</v>
      </c>
      <c r="P431">
        <f>IFERROR($J431/IF($A431&lt;COUNTIFS($K$1:P$1,"&lt;&gt;"),0,SUMIFS($J:$J,$B:$B,$B431,$A:$A,"&gt;="&amp;COUNTIFS($K$1:P$1,"&lt;&gt;"))),0)</f>
        <v>0</v>
      </c>
      <c r="Q431">
        <f>IFERROR($J431/IF($A431&lt;COUNTIFS($K$1:Q$1,"&lt;&gt;"),0,SUMIFS($J:$J,$B:$B,$B431,$A:$A,"&gt;="&amp;COUNTIFS($K$1:Q$1,"&lt;&gt;"))),0)</f>
        <v>0</v>
      </c>
      <c r="R431">
        <f>IFERROR($J431/IF($A431&lt;COUNTIFS($K$1:R$1,"&lt;&gt;"),0,SUMIFS($J:$J,$B:$B,$B431,$A:$A,"&gt;="&amp;COUNTIFS($K$1:R$1,"&lt;&gt;"))),0)</f>
        <v>0</v>
      </c>
      <c r="S431">
        <f>IFERROR($J431/IF($A431&lt;COUNTIFS($K$1:S$1,"&lt;&gt;"),0,SUMIFS($J:$J,$B:$B,$B431,$A:$A,"&gt;="&amp;COUNTIFS($K$1:S$1,"&lt;&gt;"))),0)</f>
        <v>0</v>
      </c>
      <c r="T431">
        <f>IFERROR($J431/IF($A431&lt;COUNTIFS($K$1:T$1,"&lt;&gt;"),0,SUMIFS($J:$J,$B:$B,$B431,$A:$A,"&gt;="&amp;COUNTIFS($K$1:T$1,"&lt;&gt;"))),0)</f>
        <v>0</v>
      </c>
      <c r="U431">
        <f>IFERROR($J431/IF($A431&lt;COUNTIFS($K$1:U$1,"&lt;&gt;"),0,SUMIFS($J:$J,$B:$B,$B431,$A:$A,"&gt;="&amp;COUNTIFS($K$1:U$1,"&lt;&gt;"))),0)</f>
        <v>0</v>
      </c>
      <c r="V431">
        <f>IFERROR($J431/IF($A431&lt;COUNTIFS($K$1:V$1,"&lt;&gt;"),0,SUMIFS($J:$J,$B:$B,$B431,$A:$A,"&gt;="&amp;COUNTIFS($K$1:V$1,"&lt;&gt;"))),0)</f>
        <v>0</v>
      </c>
      <c r="W431">
        <f t="shared" si="156"/>
        <v>4.6575342465753428E-2</v>
      </c>
      <c r="X431">
        <f t="shared" si="136"/>
        <v>0</v>
      </c>
      <c r="Y431">
        <f t="shared" si="137"/>
        <v>0</v>
      </c>
      <c r="Z431">
        <f t="shared" si="138"/>
        <v>0</v>
      </c>
      <c r="AA431">
        <f t="shared" si="139"/>
        <v>0</v>
      </c>
      <c r="AB431">
        <f t="shared" si="140"/>
        <v>0</v>
      </c>
      <c r="AC431">
        <f t="shared" si="141"/>
        <v>0</v>
      </c>
      <c r="AD431">
        <f t="shared" si="142"/>
        <v>0</v>
      </c>
      <c r="AE431">
        <f t="shared" si="143"/>
        <v>0</v>
      </c>
      <c r="AF431">
        <f t="shared" si="144"/>
        <v>0</v>
      </c>
      <c r="AG431">
        <f t="shared" si="145"/>
        <v>0</v>
      </c>
      <c r="AH431">
        <f t="shared" si="146"/>
        <v>0</v>
      </c>
      <c r="AI431">
        <f t="shared" si="147"/>
        <v>0</v>
      </c>
      <c r="AJ431" s="2" t="str">
        <f t="shared" si="157"/>
        <v>044835</v>
      </c>
    </row>
    <row r="432" spans="1:36" x14ac:dyDescent="0.25">
      <c r="A432">
        <v>1</v>
      </c>
      <c r="B432" s="1">
        <v>44835</v>
      </c>
      <c r="C432" s="1">
        <f t="shared" si="148"/>
        <v>44866</v>
      </c>
      <c r="D432" s="1">
        <f t="shared" si="149"/>
        <v>44849</v>
      </c>
      <c r="E432" s="1">
        <f t="shared" si="150"/>
        <v>44866</v>
      </c>
      <c r="F432" s="1">
        <f t="shared" si="151"/>
        <v>44896</v>
      </c>
      <c r="G432" s="1">
        <f t="shared" si="152"/>
        <v>45214</v>
      </c>
      <c r="H432">
        <f t="shared" si="153"/>
        <v>365</v>
      </c>
      <c r="I432">
        <f t="shared" si="154"/>
        <v>30</v>
      </c>
      <c r="J432">
        <f t="shared" si="155"/>
        <v>8.2191780821917804E-2</v>
      </c>
      <c r="K432">
        <f>IFERROR($J432/IF($A432&lt;COUNTIFS($K$1:K$1,"&lt;&gt;"),0,SUMIFS($J:$J,$B:$B,$B432,$A:$A,"&gt;="&amp;COUNTIFS($K$1:K$1,"&lt;&gt;"))),0)</f>
        <v>8.6206896551724144E-2</v>
      </c>
      <c r="L432">
        <f>IFERROR($J432/IF($A432&lt;COUNTIFS($K$1:L$1,"&lt;&gt;"),0,SUMIFS($J:$J,$B:$B,$B432,$A:$A,"&gt;="&amp;COUNTIFS($K$1:L$1,"&lt;&gt;"))),0)</f>
        <v>0</v>
      </c>
      <c r="M432">
        <f>IFERROR($J432/IF($A432&lt;COUNTIFS($K$1:M$1,"&lt;&gt;"),0,SUMIFS($J:$J,$B:$B,$B432,$A:$A,"&gt;="&amp;COUNTIFS($K$1:M$1,"&lt;&gt;"))),0)</f>
        <v>0</v>
      </c>
      <c r="N432">
        <f>IFERROR($J432/IF($A432&lt;COUNTIFS($K$1:N$1,"&lt;&gt;"),0,SUMIFS($J:$J,$B:$B,$B432,$A:$A,"&gt;="&amp;COUNTIFS($K$1:N$1,"&lt;&gt;"))),0)</f>
        <v>0</v>
      </c>
      <c r="O432">
        <f>IFERROR($J432/IF($A432&lt;COUNTIFS($K$1:O$1,"&lt;&gt;"),0,SUMIFS($J:$J,$B:$B,$B432,$A:$A,"&gt;="&amp;COUNTIFS($K$1:O$1,"&lt;&gt;"))),0)</f>
        <v>0</v>
      </c>
      <c r="P432">
        <f>IFERROR($J432/IF($A432&lt;COUNTIFS($K$1:P$1,"&lt;&gt;"),0,SUMIFS($J:$J,$B:$B,$B432,$A:$A,"&gt;="&amp;COUNTIFS($K$1:P$1,"&lt;&gt;"))),0)</f>
        <v>0</v>
      </c>
      <c r="Q432">
        <f>IFERROR($J432/IF($A432&lt;COUNTIFS($K$1:Q$1,"&lt;&gt;"),0,SUMIFS($J:$J,$B:$B,$B432,$A:$A,"&gt;="&amp;COUNTIFS($K$1:Q$1,"&lt;&gt;"))),0)</f>
        <v>0</v>
      </c>
      <c r="R432">
        <f>IFERROR($J432/IF($A432&lt;COUNTIFS($K$1:R$1,"&lt;&gt;"),0,SUMIFS($J:$J,$B:$B,$B432,$A:$A,"&gt;="&amp;COUNTIFS($K$1:R$1,"&lt;&gt;"))),0)</f>
        <v>0</v>
      </c>
      <c r="S432">
        <f>IFERROR($J432/IF($A432&lt;COUNTIFS($K$1:S$1,"&lt;&gt;"),0,SUMIFS($J:$J,$B:$B,$B432,$A:$A,"&gt;="&amp;COUNTIFS($K$1:S$1,"&lt;&gt;"))),0)</f>
        <v>0</v>
      </c>
      <c r="T432">
        <f>IFERROR($J432/IF($A432&lt;COUNTIFS($K$1:T$1,"&lt;&gt;"),0,SUMIFS($J:$J,$B:$B,$B432,$A:$A,"&gt;="&amp;COUNTIFS($K$1:T$1,"&lt;&gt;"))),0)</f>
        <v>0</v>
      </c>
      <c r="U432">
        <f>IFERROR($J432/IF($A432&lt;COUNTIFS($K$1:U$1,"&lt;&gt;"),0,SUMIFS($J:$J,$B:$B,$B432,$A:$A,"&gt;="&amp;COUNTIFS($K$1:U$1,"&lt;&gt;"))),0)</f>
        <v>0</v>
      </c>
      <c r="V432">
        <f>IFERROR($J432/IF($A432&lt;COUNTIFS($K$1:V$1,"&lt;&gt;"),0,SUMIFS($J:$J,$B:$B,$B432,$A:$A,"&gt;="&amp;COUNTIFS($K$1:V$1,"&lt;&gt;"))),0)</f>
        <v>0</v>
      </c>
      <c r="W432">
        <f t="shared" si="156"/>
        <v>8.2191780821917804E-2</v>
      </c>
      <c r="X432">
        <f t="shared" si="136"/>
        <v>8.2191780821917804E-2</v>
      </c>
      <c r="Y432">
        <f t="shared" si="137"/>
        <v>0</v>
      </c>
      <c r="Z432">
        <f t="shared" si="138"/>
        <v>0</v>
      </c>
      <c r="AA432">
        <f t="shared" si="139"/>
        <v>0</v>
      </c>
      <c r="AB432">
        <f t="shared" si="140"/>
        <v>0</v>
      </c>
      <c r="AC432">
        <f t="shared" si="141"/>
        <v>0</v>
      </c>
      <c r="AD432">
        <f t="shared" si="142"/>
        <v>0</v>
      </c>
      <c r="AE432">
        <f t="shared" si="143"/>
        <v>0</v>
      </c>
      <c r="AF432">
        <f t="shared" si="144"/>
        <v>0</v>
      </c>
      <c r="AG432">
        <f t="shared" si="145"/>
        <v>0</v>
      </c>
      <c r="AH432">
        <f t="shared" si="146"/>
        <v>0</v>
      </c>
      <c r="AI432">
        <f t="shared" si="147"/>
        <v>0</v>
      </c>
      <c r="AJ432" s="2" t="str">
        <f t="shared" si="157"/>
        <v>144835</v>
      </c>
    </row>
    <row r="433" spans="1:36" x14ac:dyDescent="0.25">
      <c r="A433">
        <v>2</v>
      </c>
      <c r="B433" s="1">
        <v>44835</v>
      </c>
      <c r="C433" s="1">
        <f t="shared" si="148"/>
        <v>44896</v>
      </c>
      <c r="D433" s="1">
        <f t="shared" si="149"/>
        <v>44849</v>
      </c>
      <c r="E433" s="1">
        <f t="shared" si="150"/>
        <v>44896</v>
      </c>
      <c r="F433" s="1">
        <f t="shared" si="151"/>
        <v>44927</v>
      </c>
      <c r="G433" s="1">
        <f t="shared" si="152"/>
        <v>45214</v>
      </c>
      <c r="H433">
        <f t="shared" si="153"/>
        <v>365</v>
      </c>
      <c r="I433">
        <f t="shared" si="154"/>
        <v>31</v>
      </c>
      <c r="J433">
        <f t="shared" si="155"/>
        <v>8.4931506849315067E-2</v>
      </c>
      <c r="K433">
        <f>IFERROR($J433/IF($A433&lt;COUNTIFS($K$1:K$1,"&lt;&gt;"),0,SUMIFS($J:$J,$B:$B,$B433,$A:$A,"&gt;="&amp;COUNTIFS($K$1:K$1,"&lt;&gt;"))),0)</f>
        <v>8.9080459770114959E-2</v>
      </c>
      <c r="L433">
        <f>IFERROR($J433/IF($A433&lt;COUNTIFS($K$1:L$1,"&lt;&gt;"),0,SUMIFS($J:$J,$B:$B,$B433,$A:$A,"&gt;="&amp;COUNTIFS($K$1:L$1,"&lt;&gt;"))),0)</f>
        <v>9.7484276729559768E-2</v>
      </c>
      <c r="M433">
        <f>IFERROR($J433/IF($A433&lt;COUNTIFS($K$1:M$1,"&lt;&gt;"),0,SUMIFS($J:$J,$B:$B,$B433,$A:$A,"&gt;="&amp;COUNTIFS($K$1:M$1,"&lt;&gt;"))),0)</f>
        <v>0</v>
      </c>
      <c r="N433">
        <f>IFERROR($J433/IF($A433&lt;COUNTIFS($K$1:N$1,"&lt;&gt;"),0,SUMIFS($J:$J,$B:$B,$B433,$A:$A,"&gt;="&amp;COUNTIFS($K$1:N$1,"&lt;&gt;"))),0)</f>
        <v>0</v>
      </c>
      <c r="O433">
        <f>IFERROR($J433/IF($A433&lt;COUNTIFS($K$1:O$1,"&lt;&gt;"),0,SUMIFS($J:$J,$B:$B,$B433,$A:$A,"&gt;="&amp;COUNTIFS($K$1:O$1,"&lt;&gt;"))),0)</f>
        <v>0</v>
      </c>
      <c r="P433">
        <f>IFERROR($J433/IF($A433&lt;COUNTIFS($K$1:P$1,"&lt;&gt;"),0,SUMIFS($J:$J,$B:$B,$B433,$A:$A,"&gt;="&amp;COUNTIFS($K$1:P$1,"&lt;&gt;"))),0)</f>
        <v>0</v>
      </c>
      <c r="Q433">
        <f>IFERROR($J433/IF($A433&lt;COUNTIFS($K$1:Q$1,"&lt;&gt;"),0,SUMIFS($J:$J,$B:$B,$B433,$A:$A,"&gt;="&amp;COUNTIFS($K$1:Q$1,"&lt;&gt;"))),0)</f>
        <v>0</v>
      </c>
      <c r="R433">
        <f>IFERROR($J433/IF($A433&lt;COUNTIFS($K$1:R$1,"&lt;&gt;"),0,SUMIFS($J:$J,$B:$B,$B433,$A:$A,"&gt;="&amp;COUNTIFS($K$1:R$1,"&lt;&gt;"))),0)</f>
        <v>0</v>
      </c>
      <c r="S433">
        <f>IFERROR($J433/IF($A433&lt;COUNTIFS($K$1:S$1,"&lt;&gt;"),0,SUMIFS($J:$J,$B:$B,$B433,$A:$A,"&gt;="&amp;COUNTIFS($K$1:S$1,"&lt;&gt;"))),0)</f>
        <v>0</v>
      </c>
      <c r="T433">
        <f>IFERROR($J433/IF($A433&lt;COUNTIFS($K$1:T$1,"&lt;&gt;"),0,SUMIFS($J:$J,$B:$B,$B433,$A:$A,"&gt;="&amp;COUNTIFS($K$1:T$1,"&lt;&gt;"))),0)</f>
        <v>0</v>
      </c>
      <c r="U433">
        <f>IFERROR($J433/IF($A433&lt;COUNTIFS($K$1:U$1,"&lt;&gt;"),0,SUMIFS($J:$J,$B:$B,$B433,$A:$A,"&gt;="&amp;COUNTIFS($K$1:U$1,"&lt;&gt;"))),0)</f>
        <v>0</v>
      </c>
      <c r="V433">
        <f>IFERROR($J433/IF($A433&lt;COUNTIFS($K$1:V$1,"&lt;&gt;"),0,SUMIFS($J:$J,$B:$B,$B433,$A:$A,"&gt;="&amp;COUNTIFS($K$1:V$1,"&lt;&gt;"))),0)</f>
        <v>0</v>
      </c>
      <c r="W433">
        <f t="shared" si="156"/>
        <v>8.4931506849315067E-2</v>
      </c>
      <c r="X433">
        <f t="shared" si="136"/>
        <v>8.4931506849315067E-2</v>
      </c>
      <c r="Y433">
        <f t="shared" si="137"/>
        <v>8.4931506849315067E-2</v>
      </c>
      <c r="Z433">
        <f t="shared" si="138"/>
        <v>0</v>
      </c>
      <c r="AA433">
        <f t="shared" si="139"/>
        <v>0</v>
      </c>
      <c r="AB433">
        <f t="shared" si="140"/>
        <v>0</v>
      </c>
      <c r="AC433">
        <f t="shared" si="141"/>
        <v>0</v>
      </c>
      <c r="AD433">
        <f t="shared" si="142"/>
        <v>0</v>
      </c>
      <c r="AE433">
        <f t="shared" si="143"/>
        <v>0</v>
      </c>
      <c r="AF433">
        <f t="shared" si="144"/>
        <v>0</v>
      </c>
      <c r="AG433">
        <f t="shared" si="145"/>
        <v>0</v>
      </c>
      <c r="AH433">
        <f t="shared" si="146"/>
        <v>0</v>
      </c>
      <c r="AI433">
        <f t="shared" si="147"/>
        <v>0</v>
      </c>
      <c r="AJ433" s="2" t="str">
        <f t="shared" si="157"/>
        <v>244835</v>
      </c>
    </row>
    <row r="434" spans="1:36" x14ac:dyDescent="0.25">
      <c r="A434">
        <v>3</v>
      </c>
      <c r="B434" s="1">
        <v>44835</v>
      </c>
      <c r="C434" s="1">
        <f t="shared" si="148"/>
        <v>44927</v>
      </c>
      <c r="D434" s="1">
        <f t="shared" si="149"/>
        <v>44849</v>
      </c>
      <c r="E434" s="1">
        <f t="shared" si="150"/>
        <v>44927</v>
      </c>
      <c r="F434" s="1">
        <f t="shared" si="151"/>
        <v>44958</v>
      </c>
      <c r="G434" s="1">
        <f t="shared" si="152"/>
        <v>45214</v>
      </c>
      <c r="H434">
        <f t="shared" si="153"/>
        <v>365</v>
      </c>
      <c r="I434">
        <f t="shared" si="154"/>
        <v>31</v>
      </c>
      <c r="J434">
        <f t="shared" si="155"/>
        <v>8.4931506849315067E-2</v>
      </c>
      <c r="K434">
        <f>IFERROR($J434/IF($A434&lt;COUNTIFS($K$1:K$1,"&lt;&gt;"),0,SUMIFS($J:$J,$B:$B,$B434,$A:$A,"&gt;="&amp;COUNTIFS($K$1:K$1,"&lt;&gt;"))),0)</f>
        <v>8.9080459770114959E-2</v>
      </c>
      <c r="L434">
        <f>IFERROR($J434/IF($A434&lt;COUNTIFS($K$1:L$1,"&lt;&gt;"),0,SUMIFS($J:$J,$B:$B,$B434,$A:$A,"&gt;="&amp;COUNTIFS($K$1:L$1,"&lt;&gt;"))),0)</f>
        <v>9.7484276729559768E-2</v>
      </c>
      <c r="M434">
        <f>IFERROR($J434/IF($A434&lt;COUNTIFS($K$1:M$1,"&lt;&gt;"),0,SUMIFS($J:$J,$B:$B,$B434,$A:$A,"&gt;="&amp;COUNTIFS($K$1:M$1,"&lt;&gt;"))),0)</f>
        <v>0.10801393728222998</v>
      </c>
      <c r="N434">
        <f>IFERROR($J434/IF($A434&lt;COUNTIFS($K$1:N$1,"&lt;&gt;"),0,SUMIFS($J:$J,$B:$B,$B434,$A:$A,"&gt;="&amp;COUNTIFS($K$1:N$1,"&lt;&gt;"))),0)</f>
        <v>0</v>
      </c>
      <c r="O434">
        <f>IFERROR($J434/IF($A434&lt;COUNTIFS($K$1:O$1,"&lt;&gt;"),0,SUMIFS($J:$J,$B:$B,$B434,$A:$A,"&gt;="&amp;COUNTIFS($K$1:O$1,"&lt;&gt;"))),0)</f>
        <v>0</v>
      </c>
      <c r="P434">
        <f>IFERROR($J434/IF($A434&lt;COUNTIFS($K$1:P$1,"&lt;&gt;"),0,SUMIFS($J:$J,$B:$B,$B434,$A:$A,"&gt;="&amp;COUNTIFS($K$1:P$1,"&lt;&gt;"))),0)</f>
        <v>0</v>
      </c>
      <c r="Q434">
        <f>IFERROR($J434/IF($A434&lt;COUNTIFS($K$1:Q$1,"&lt;&gt;"),0,SUMIFS($J:$J,$B:$B,$B434,$A:$A,"&gt;="&amp;COUNTIFS($K$1:Q$1,"&lt;&gt;"))),0)</f>
        <v>0</v>
      </c>
      <c r="R434">
        <f>IFERROR($J434/IF($A434&lt;COUNTIFS($K$1:R$1,"&lt;&gt;"),0,SUMIFS($J:$J,$B:$B,$B434,$A:$A,"&gt;="&amp;COUNTIFS($K$1:R$1,"&lt;&gt;"))),0)</f>
        <v>0</v>
      </c>
      <c r="S434">
        <f>IFERROR($J434/IF($A434&lt;COUNTIFS($K$1:S$1,"&lt;&gt;"),0,SUMIFS($J:$J,$B:$B,$B434,$A:$A,"&gt;="&amp;COUNTIFS($K$1:S$1,"&lt;&gt;"))),0)</f>
        <v>0</v>
      </c>
      <c r="T434">
        <f>IFERROR($J434/IF($A434&lt;COUNTIFS($K$1:T$1,"&lt;&gt;"),0,SUMIFS($J:$J,$B:$B,$B434,$A:$A,"&gt;="&amp;COUNTIFS($K$1:T$1,"&lt;&gt;"))),0)</f>
        <v>0</v>
      </c>
      <c r="U434">
        <f>IFERROR($J434/IF($A434&lt;COUNTIFS($K$1:U$1,"&lt;&gt;"),0,SUMIFS($J:$J,$B:$B,$B434,$A:$A,"&gt;="&amp;COUNTIFS($K$1:U$1,"&lt;&gt;"))),0)</f>
        <v>0</v>
      </c>
      <c r="V434">
        <f>IFERROR($J434/IF($A434&lt;COUNTIFS($K$1:V$1,"&lt;&gt;"),0,SUMIFS($J:$J,$B:$B,$B434,$A:$A,"&gt;="&amp;COUNTIFS($K$1:V$1,"&lt;&gt;"))),0)</f>
        <v>0</v>
      </c>
      <c r="W434">
        <f t="shared" si="156"/>
        <v>8.4931506849315067E-2</v>
      </c>
      <c r="X434">
        <f t="shared" si="136"/>
        <v>8.4931506849315067E-2</v>
      </c>
      <c r="Y434">
        <f t="shared" si="137"/>
        <v>8.4931506849315067E-2</v>
      </c>
      <c r="Z434">
        <f t="shared" si="138"/>
        <v>8.4931506849315067E-2</v>
      </c>
      <c r="AA434">
        <f t="shared" si="139"/>
        <v>0</v>
      </c>
      <c r="AB434">
        <f t="shared" si="140"/>
        <v>0</v>
      </c>
      <c r="AC434">
        <f t="shared" si="141"/>
        <v>0</v>
      </c>
      <c r="AD434">
        <f t="shared" si="142"/>
        <v>0</v>
      </c>
      <c r="AE434">
        <f t="shared" si="143"/>
        <v>0</v>
      </c>
      <c r="AF434">
        <f t="shared" si="144"/>
        <v>0</v>
      </c>
      <c r="AG434">
        <f t="shared" si="145"/>
        <v>0</v>
      </c>
      <c r="AH434">
        <f t="shared" si="146"/>
        <v>0</v>
      </c>
      <c r="AI434">
        <f t="shared" si="147"/>
        <v>0</v>
      </c>
      <c r="AJ434" s="2" t="str">
        <f t="shared" si="157"/>
        <v>344835</v>
      </c>
    </row>
    <row r="435" spans="1:36" x14ac:dyDescent="0.25">
      <c r="A435">
        <v>4</v>
      </c>
      <c r="B435" s="1">
        <v>44835</v>
      </c>
      <c r="C435" s="1">
        <f t="shared" si="148"/>
        <v>44958</v>
      </c>
      <c r="D435" s="1">
        <f t="shared" si="149"/>
        <v>44849</v>
      </c>
      <c r="E435" s="1">
        <f t="shared" si="150"/>
        <v>44958</v>
      </c>
      <c r="F435" s="1">
        <f t="shared" si="151"/>
        <v>44986</v>
      </c>
      <c r="G435" s="1">
        <f t="shared" si="152"/>
        <v>45214</v>
      </c>
      <c r="H435">
        <f t="shared" si="153"/>
        <v>365</v>
      </c>
      <c r="I435">
        <f t="shared" si="154"/>
        <v>28</v>
      </c>
      <c r="J435">
        <f t="shared" si="155"/>
        <v>7.6712328767123292E-2</v>
      </c>
      <c r="K435">
        <f>IFERROR($J435/IF($A435&lt;COUNTIFS($K$1:K$1,"&lt;&gt;"),0,SUMIFS($J:$J,$B:$B,$B435,$A:$A,"&gt;="&amp;COUNTIFS($K$1:K$1,"&lt;&gt;"))),0)</f>
        <v>8.0459770114942541E-2</v>
      </c>
      <c r="L435">
        <f>IFERROR($J435/IF($A435&lt;COUNTIFS($K$1:L$1,"&lt;&gt;"),0,SUMIFS($J:$J,$B:$B,$B435,$A:$A,"&gt;="&amp;COUNTIFS($K$1:L$1,"&lt;&gt;"))),0)</f>
        <v>8.8050314465408827E-2</v>
      </c>
      <c r="M435">
        <f>IFERROR($J435/IF($A435&lt;COUNTIFS($K$1:M$1,"&lt;&gt;"),0,SUMIFS($J:$J,$B:$B,$B435,$A:$A,"&gt;="&amp;COUNTIFS($K$1:M$1,"&lt;&gt;"))),0)</f>
        <v>9.7560975609756115E-2</v>
      </c>
      <c r="N435">
        <f>IFERROR($J435/IF($A435&lt;COUNTIFS($K$1:N$1,"&lt;&gt;"),0,SUMIFS($J:$J,$B:$B,$B435,$A:$A,"&gt;="&amp;COUNTIFS($K$1:N$1,"&lt;&gt;"))),0)</f>
        <v>0.10937500000000003</v>
      </c>
      <c r="O435">
        <f>IFERROR($J435/IF($A435&lt;COUNTIFS($K$1:O$1,"&lt;&gt;"),0,SUMIFS($J:$J,$B:$B,$B435,$A:$A,"&gt;="&amp;COUNTIFS($K$1:O$1,"&lt;&gt;"))),0)</f>
        <v>0</v>
      </c>
      <c r="P435">
        <f>IFERROR($J435/IF($A435&lt;COUNTIFS($K$1:P$1,"&lt;&gt;"),0,SUMIFS($J:$J,$B:$B,$B435,$A:$A,"&gt;="&amp;COUNTIFS($K$1:P$1,"&lt;&gt;"))),0)</f>
        <v>0</v>
      </c>
      <c r="Q435">
        <f>IFERROR($J435/IF($A435&lt;COUNTIFS($K$1:Q$1,"&lt;&gt;"),0,SUMIFS($J:$J,$B:$B,$B435,$A:$A,"&gt;="&amp;COUNTIFS($K$1:Q$1,"&lt;&gt;"))),0)</f>
        <v>0</v>
      </c>
      <c r="R435">
        <f>IFERROR($J435/IF($A435&lt;COUNTIFS($K$1:R$1,"&lt;&gt;"),0,SUMIFS($J:$J,$B:$B,$B435,$A:$A,"&gt;="&amp;COUNTIFS($K$1:R$1,"&lt;&gt;"))),0)</f>
        <v>0</v>
      </c>
      <c r="S435">
        <f>IFERROR($J435/IF($A435&lt;COUNTIFS($K$1:S$1,"&lt;&gt;"),0,SUMIFS($J:$J,$B:$B,$B435,$A:$A,"&gt;="&amp;COUNTIFS($K$1:S$1,"&lt;&gt;"))),0)</f>
        <v>0</v>
      </c>
      <c r="T435">
        <f>IFERROR($J435/IF($A435&lt;COUNTIFS($K$1:T$1,"&lt;&gt;"),0,SUMIFS($J:$J,$B:$B,$B435,$A:$A,"&gt;="&amp;COUNTIFS($K$1:T$1,"&lt;&gt;"))),0)</f>
        <v>0</v>
      </c>
      <c r="U435">
        <f>IFERROR($J435/IF($A435&lt;COUNTIFS($K$1:U$1,"&lt;&gt;"),0,SUMIFS($J:$J,$B:$B,$B435,$A:$A,"&gt;="&amp;COUNTIFS($K$1:U$1,"&lt;&gt;"))),0)</f>
        <v>0</v>
      </c>
      <c r="V435">
        <f>IFERROR($J435/IF($A435&lt;COUNTIFS($K$1:V$1,"&lt;&gt;"),0,SUMIFS($J:$J,$B:$B,$B435,$A:$A,"&gt;="&amp;COUNTIFS($K$1:V$1,"&lt;&gt;"))),0)</f>
        <v>0</v>
      </c>
      <c r="W435">
        <f t="shared" si="156"/>
        <v>7.6712328767123292E-2</v>
      </c>
      <c r="X435">
        <f t="shared" si="136"/>
        <v>7.6712328767123292E-2</v>
      </c>
      <c r="Y435">
        <f t="shared" si="137"/>
        <v>7.6712328767123292E-2</v>
      </c>
      <c r="Z435">
        <f t="shared" si="138"/>
        <v>7.6712328767123292E-2</v>
      </c>
      <c r="AA435">
        <f t="shared" si="139"/>
        <v>7.6712328767123292E-2</v>
      </c>
      <c r="AB435">
        <f t="shared" si="140"/>
        <v>0</v>
      </c>
      <c r="AC435">
        <f t="shared" si="141"/>
        <v>0</v>
      </c>
      <c r="AD435">
        <f t="shared" si="142"/>
        <v>0</v>
      </c>
      <c r="AE435">
        <f t="shared" si="143"/>
        <v>0</v>
      </c>
      <c r="AF435">
        <f t="shared" si="144"/>
        <v>0</v>
      </c>
      <c r="AG435">
        <f t="shared" si="145"/>
        <v>0</v>
      </c>
      <c r="AH435">
        <f t="shared" si="146"/>
        <v>0</v>
      </c>
      <c r="AI435">
        <f t="shared" si="147"/>
        <v>0</v>
      </c>
      <c r="AJ435" s="2" t="str">
        <f t="shared" si="157"/>
        <v>444835</v>
      </c>
    </row>
    <row r="436" spans="1:36" x14ac:dyDescent="0.25">
      <c r="A436">
        <v>5</v>
      </c>
      <c r="B436" s="1">
        <v>44835</v>
      </c>
      <c r="C436" s="1">
        <f t="shared" si="148"/>
        <v>44986</v>
      </c>
      <c r="D436" s="1">
        <f t="shared" si="149"/>
        <v>44849</v>
      </c>
      <c r="E436" s="1">
        <f t="shared" si="150"/>
        <v>44986</v>
      </c>
      <c r="F436" s="1">
        <f t="shared" si="151"/>
        <v>45017</v>
      </c>
      <c r="G436" s="1">
        <f t="shared" si="152"/>
        <v>45214</v>
      </c>
      <c r="H436">
        <f t="shared" si="153"/>
        <v>365</v>
      </c>
      <c r="I436">
        <f t="shared" si="154"/>
        <v>31</v>
      </c>
      <c r="J436">
        <f t="shared" si="155"/>
        <v>8.4931506849315067E-2</v>
      </c>
      <c r="K436">
        <f>IFERROR($J436/IF($A436&lt;COUNTIFS($K$1:K$1,"&lt;&gt;"),0,SUMIFS($J:$J,$B:$B,$B436,$A:$A,"&gt;="&amp;COUNTIFS($K$1:K$1,"&lt;&gt;"))),0)</f>
        <v>8.9080459770114959E-2</v>
      </c>
      <c r="L436">
        <f>IFERROR($J436/IF($A436&lt;COUNTIFS($K$1:L$1,"&lt;&gt;"),0,SUMIFS($J:$J,$B:$B,$B436,$A:$A,"&gt;="&amp;COUNTIFS($K$1:L$1,"&lt;&gt;"))),0)</f>
        <v>9.7484276729559768E-2</v>
      </c>
      <c r="M436">
        <f>IFERROR($J436/IF($A436&lt;COUNTIFS($K$1:M$1,"&lt;&gt;"),0,SUMIFS($J:$J,$B:$B,$B436,$A:$A,"&gt;="&amp;COUNTIFS($K$1:M$1,"&lt;&gt;"))),0)</f>
        <v>0.10801393728222998</v>
      </c>
      <c r="N436">
        <f>IFERROR($J436/IF($A436&lt;COUNTIFS($K$1:N$1,"&lt;&gt;"),0,SUMIFS($J:$J,$B:$B,$B436,$A:$A,"&gt;="&amp;COUNTIFS($K$1:N$1,"&lt;&gt;"))),0)</f>
        <v>0.12109375000000001</v>
      </c>
      <c r="O436">
        <f>IFERROR($J436/IF($A436&lt;COUNTIFS($K$1:O$1,"&lt;&gt;"),0,SUMIFS($J:$J,$B:$B,$B436,$A:$A,"&gt;="&amp;COUNTIFS($K$1:O$1,"&lt;&gt;"))),0)</f>
        <v>0.13596491228070179</v>
      </c>
      <c r="P436">
        <f>IFERROR($J436/IF($A436&lt;COUNTIFS($K$1:P$1,"&lt;&gt;"),0,SUMIFS($J:$J,$B:$B,$B436,$A:$A,"&gt;="&amp;COUNTIFS($K$1:P$1,"&lt;&gt;"))),0)</f>
        <v>0</v>
      </c>
      <c r="Q436">
        <f>IFERROR($J436/IF($A436&lt;COUNTIFS($K$1:Q$1,"&lt;&gt;"),0,SUMIFS($J:$J,$B:$B,$B436,$A:$A,"&gt;="&amp;COUNTIFS($K$1:Q$1,"&lt;&gt;"))),0)</f>
        <v>0</v>
      </c>
      <c r="R436">
        <f>IFERROR($J436/IF($A436&lt;COUNTIFS($K$1:R$1,"&lt;&gt;"),0,SUMIFS($J:$J,$B:$B,$B436,$A:$A,"&gt;="&amp;COUNTIFS($K$1:R$1,"&lt;&gt;"))),0)</f>
        <v>0</v>
      </c>
      <c r="S436">
        <f>IFERROR($J436/IF($A436&lt;COUNTIFS($K$1:S$1,"&lt;&gt;"),0,SUMIFS($J:$J,$B:$B,$B436,$A:$A,"&gt;="&amp;COUNTIFS($K$1:S$1,"&lt;&gt;"))),0)</f>
        <v>0</v>
      </c>
      <c r="T436">
        <f>IFERROR($J436/IF($A436&lt;COUNTIFS($K$1:T$1,"&lt;&gt;"),0,SUMIFS($J:$J,$B:$B,$B436,$A:$A,"&gt;="&amp;COUNTIFS($K$1:T$1,"&lt;&gt;"))),0)</f>
        <v>0</v>
      </c>
      <c r="U436">
        <f>IFERROR($J436/IF($A436&lt;COUNTIFS($K$1:U$1,"&lt;&gt;"),0,SUMIFS($J:$J,$B:$B,$B436,$A:$A,"&gt;="&amp;COUNTIFS($K$1:U$1,"&lt;&gt;"))),0)</f>
        <v>0</v>
      </c>
      <c r="V436">
        <f>IFERROR($J436/IF($A436&lt;COUNTIFS($K$1:V$1,"&lt;&gt;"),0,SUMIFS($J:$J,$B:$B,$B436,$A:$A,"&gt;="&amp;COUNTIFS($K$1:V$1,"&lt;&gt;"))),0)</f>
        <v>0</v>
      </c>
      <c r="W436">
        <f t="shared" si="156"/>
        <v>8.4931506849315067E-2</v>
      </c>
      <c r="X436">
        <f t="shared" si="136"/>
        <v>8.4931506849315067E-2</v>
      </c>
      <c r="Y436">
        <f t="shared" si="137"/>
        <v>8.4931506849315067E-2</v>
      </c>
      <c r="Z436">
        <f t="shared" si="138"/>
        <v>8.4931506849315067E-2</v>
      </c>
      <c r="AA436">
        <f t="shared" si="139"/>
        <v>8.4931506849315067E-2</v>
      </c>
      <c r="AB436">
        <f t="shared" si="140"/>
        <v>8.4931506849315067E-2</v>
      </c>
      <c r="AC436">
        <f t="shared" si="141"/>
        <v>0</v>
      </c>
      <c r="AD436">
        <f t="shared" si="142"/>
        <v>0</v>
      </c>
      <c r="AE436">
        <f t="shared" si="143"/>
        <v>0</v>
      </c>
      <c r="AF436">
        <f t="shared" si="144"/>
        <v>0</v>
      </c>
      <c r="AG436">
        <f t="shared" si="145"/>
        <v>0</v>
      </c>
      <c r="AH436">
        <f t="shared" si="146"/>
        <v>0</v>
      </c>
      <c r="AI436">
        <f t="shared" si="147"/>
        <v>0</v>
      </c>
      <c r="AJ436" s="2" t="str">
        <f t="shared" si="157"/>
        <v>544835</v>
      </c>
    </row>
    <row r="437" spans="1:36" x14ac:dyDescent="0.25">
      <c r="A437">
        <v>6</v>
      </c>
      <c r="B437" s="1">
        <v>44835</v>
      </c>
      <c r="C437" s="1">
        <f t="shared" si="148"/>
        <v>45017</v>
      </c>
      <c r="D437" s="1">
        <f t="shared" si="149"/>
        <v>44849</v>
      </c>
      <c r="E437" s="1">
        <f t="shared" si="150"/>
        <v>45017</v>
      </c>
      <c r="F437" s="1">
        <f t="shared" si="151"/>
        <v>45047</v>
      </c>
      <c r="G437" s="1">
        <f t="shared" si="152"/>
        <v>45214</v>
      </c>
      <c r="H437">
        <f t="shared" si="153"/>
        <v>365</v>
      </c>
      <c r="I437">
        <f t="shared" si="154"/>
        <v>30</v>
      </c>
      <c r="J437">
        <f t="shared" si="155"/>
        <v>8.2191780821917804E-2</v>
      </c>
      <c r="K437">
        <f>IFERROR($J437/IF($A437&lt;COUNTIFS($K$1:K$1,"&lt;&gt;"),0,SUMIFS($J:$J,$B:$B,$B437,$A:$A,"&gt;="&amp;COUNTIFS($K$1:K$1,"&lt;&gt;"))),0)</f>
        <v>8.6206896551724144E-2</v>
      </c>
      <c r="L437">
        <f>IFERROR($J437/IF($A437&lt;COUNTIFS($K$1:L$1,"&lt;&gt;"),0,SUMIFS($J:$J,$B:$B,$B437,$A:$A,"&gt;="&amp;COUNTIFS($K$1:L$1,"&lt;&gt;"))),0)</f>
        <v>9.4339622641509441E-2</v>
      </c>
      <c r="M437">
        <f>IFERROR($J437/IF($A437&lt;COUNTIFS($K$1:M$1,"&lt;&gt;"),0,SUMIFS($J:$J,$B:$B,$B437,$A:$A,"&gt;="&amp;COUNTIFS($K$1:M$1,"&lt;&gt;"))),0)</f>
        <v>0.10452961672473869</v>
      </c>
      <c r="N437">
        <f>IFERROR($J437/IF($A437&lt;COUNTIFS($K$1:N$1,"&lt;&gt;"),0,SUMIFS($J:$J,$B:$B,$B437,$A:$A,"&gt;="&amp;COUNTIFS($K$1:N$1,"&lt;&gt;"))),0)</f>
        <v>0.11718750000000001</v>
      </c>
      <c r="O437">
        <f>IFERROR($J437/IF($A437&lt;COUNTIFS($K$1:O$1,"&lt;&gt;"),0,SUMIFS($J:$J,$B:$B,$B437,$A:$A,"&gt;="&amp;COUNTIFS($K$1:O$1,"&lt;&gt;"))),0)</f>
        <v>0.13157894736842107</v>
      </c>
      <c r="P437">
        <f>IFERROR($J437/IF($A437&lt;COUNTIFS($K$1:P$1,"&lt;&gt;"),0,SUMIFS($J:$J,$B:$B,$B437,$A:$A,"&gt;="&amp;COUNTIFS($K$1:P$1,"&lt;&gt;"))),0)</f>
        <v>0.15228426395939088</v>
      </c>
      <c r="Q437">
        <f>IFERROR($J437/IF($A437&lt;COUNTIFS($K$1:Q$1,"&lt;&gt;"),0,SUMIFS($J:$J,$B:$B,$B437,$A:$A,"&gt;="&amp;COUNTIFS($K$1:Q$1,"&lt;&gt;"))),0)</f>
        <v>0</v>
      </c>
      <c r="R437">
        <f>IFERROR($J437/IF($A437&lt;COUNTIFS($K$1:R$1,"&lt;&gt;"),0,SUMIFS($J:$J,$B:$B,$B437,$A:$A,"&gt;="&amp;COUNTIFS($K$1:R$1,"&lt;&gt;"))),0)</f>
        <v>0</v>
      </c>
      <c r="S437">
        <f>IFERROR($J437/IF($A437&lt;COUNTIFS($K$1:S$1,"&lt;&gt;"),0,SUMIFS($J:$J,$B:$B,$B437,$A:$A,"&gt;="&amp;COUNTIFS($K$1:S$1,"&lt;&gt;"))),0)</f>
        <v>0</v>
      </c>
      <c r="T437">
        <f>IFERROR($J437/IF($A437&lt;COUNTIFS($K$1:T$1,"&lt;&gt;"),0,SUMIFS($J:$J,$B:$B,$B437,$A:$A,"&gt;="&amp;COUNTIFS($K$1:T$1,"&lt;&gt;"))),0)</f>
        <v>0</v>
      </c>
      <c r="U437">
        <f>IFERROR($J437/IF($A437&lt;COUNTIFS($K$1:U$1,"&lt;&gt;"),0,SUMIFS($J:$J,$B:$B,$B437,$A:$A,"&gt;="&amp;COUNTIFS($K$1:U$1,"&lt;&gt;"))),0)</f>
        <v>0</v>
      </c>
      <c r="V437">
        <f>IFERROR($J437/IF($A437&lt;COUNTIFS($K$1:V$1,"&lt;&gt;"),0,SUMIFS($J:$J,$B:$B,$B437,$A:$A,"&gt;="&amp;COUNTIFS($K$1:V$1,"&lt;&gt;"))),0)</f>
        <v>0</v>
      </c>
      <c r="W437">
        <f t="shared" si="156"/>
        <v>8.2191780821917804E-2</v>
      </c>
      <c r="X437">
        <f t="shared" si="136"/>
        <v>8.2191780821917804E-2</v>
      </c>
      <c r="Y437">
        <f t="shared" si="137"/>
        <v>8.2191780821917804E-2</v>
      </c>
      <c r="Z437">
        <f t="shared" si="138"/>
        <v>8.2191780821917804E-2</v>
      </c>
      <c r="AA437">
        <f t="shared" si="139"/>
        <v>8.2191780821917804E-2</v>
      </c>
      <c r="AB437">
        <f t="shared" si="140"/>
        <v>8.2191780821917804E-2</v>
      </c>
      <c r="AC437">
        <f t="shared" si="141"/>
        <v>8.2191780821917804E-2</v>
      </c>
      <c r="AD437">
        <f t="shared" si="142"/>
        <v>0</v>
      </c>
      <c r="AE437">
        <f t="shared" si="143"/>
        <v>0</v>
      </c>
      <c r="AF437">
        <f t="shared" si="144"/>
        <v>0</v>
      </c>
      <c r="AG437">
        <f t="shared" si="145"/>
        <v>0</v>
      </c>
      <c r="AH437">
        <f t="shared" si="146"/>
        <v>0</v>
      </c>
      <c r="AI437">
        <f t="shared" si="147"/>
        <v>0</v>
      </c>
      <c r="AJ437" s="2" t="str">
        <f t="shared" si="157"/>
        <v>644835</v>
      </c>
    </row>
    <row r="438" spans="1:36" x14ac:dyDescent="0.25">
      <c r="A438">
        <v>7</v>
      </c>
      <c r="B438" s="1">
        <v>44835</v>
      </c>
      <c r="C438" s="1">
        <f t="shared" si="148"/>
        <v>45047</v>
      </c>
      <c r="D438" s="1">
        <f t="shared" si="149"/>
        <v>44849</v>
      </c>
      <c r="E438" s="1">
        <f t="shared" si="150"/>
        <v>45047</v>
      </c>
      <c r="F438" s="1">
        <f t="shared" si="151"/>
        <v>45078</v>
      </c>
      <c r="G438" s="1">
        <f t="shared" si="152"/>
        <v>45214</v>
      </c>
      <c r="H438">
        <f t="shared" si="153"/>
        <v>365</v>
      </c>
      <c r="I438">
        <f t="shared" si="154"/>
        <v>31</v>
      </c>
      <c r="J438">
        <f t="shared" si="155"/>
        <v>8.4931506849315067E-2</v>
      </c>
      <c r="K438">
        <f>IFERROR($J438/IF($A438&lt;COUNTIFS($K$1:K$1,"&lt;&gt;"),0,SUMIFS($J:$J,$B:$B,$B438,$A:$A,"&gt;="&amp;COUNTIFS($K$1:K$1,"&lt;&gt;"))),0)</f>
        <v>8.9080459770114959E-2</v>
      </c>
      <c r="L438">
        <f>IFERROR($J438/IF($A438&lt;COUNTIFS($K$1:L$1,"&lt;&gt;"),0,SUMIFS($J:$J,$B:$B,$B438,$A:$A,"&gt;="&amp;COUNTIFS($K$1:L$1,"&lt;&gt;"))),0)</f>
        <v>9.7484276729559768E-2</v>
      </c>
      <c r="M438">
        <f>IFERROR($J438/IF($A438&lt;COUNTIFS($K$1:M$1,"&lt;&gt;"),0,SUMIFS($J:$J,$B:$B,$B438,$A:$A,"&gt;="&amp;COUNTIFS($K$1:M$1,"&lt;&gt;"))),0)</f>
        <v>0.10801393728222998</v>
      </c>
      <c r="N438">
        <f>IFERROR($J438/IF($A438&lt;COUNTIFS($K$1:N$1,"&lt;&gt;"),0,SUMIFS($J:$J,$B:$B,$B438,$A:$A,"&gt;="&amp;COUNTIFS($K$1:N$1,"&lt;&gt;"))),0)</f>
        <v>0.12109375000000001</v>
      </c>
      <c r="O438">
        <f>IFERROR($J438/IF($A438&lt;COUNTIFS($K$1:O$1,"&lt;&gt;"),0,SUMIFS($J:$J,$B:$B,$B438,$A:$A,"&gt;="&amp;COUNTIFS($K$1:O$1,"&lt;&gt;"))),0)</f>
        <v>0.13596491228070179</v>
      </c>
      <c r="P438">
        <f>IFERROR($J438/IF($A438&lt;COUNTIFS($K$1:P$1,"&lt;&gt;"),0,SUMIFS($J:$J,$B:$B,$B438,$A:$A,"&gt;="&amp;COUNTIFS($K$1:P$1,"&lt;&gt;"))),0)</f>
        <v>0.15736040609137059</v>
      </c>
      <c r="Q438">
        <f>IFERROR($J438/IF($A438&lt;COUNTIFS($K$1:Q$1,"&lt;&gt;"),0,SUMIFS($J:$J,$B:$B,$B438,$A:$A,"&gt;="&amp;COUNTIFS($K$1:Q$1,"&lt;&gt;"))),0)</f>
        <v>0.18562874251497008</v>
      </c>
      <c r="R438">
        <f>IFERROR($J438/IF($A438&lt;COUNTIFS($K$1:R$1,"&lt;&gt;"),0,SUMIFS($J:$J,$B:$B,$B438,$A:$A,"&gt;="&amp;COUNTIFS($K$1:R$1,"&lt;&gt;"))),0)</f>
        <v>0</v>
      </c>
      <c r="S438">
        <f>IFERROR($J438/IF($A438&lt;COUNTIFS($K$1:S$1,"&lt;&gt;"),0,SUMIFS($J:$J,$B:$B,$B438,$A:$A,"&gt;="&amp;COUNTIFS($K$1:S$1,"&lt;&gt;"))),0)</f>
        <v>0</v>
      </c>
      <c r="T438">
        <f>IFERROR($J438/IF($A438&lt;COUNTIFS($K$1:T$1,"&lt;&gt;"),0,SUMIFS($J:$J,$B:$B,$B438,$A:$A,"&gt;="&amp;COUNTIFS($K$1:T$1,"&lt;&gt;"))),0)</f>
        <v>0</v>
      </c>
      <c r="U438">
        <f>IFERROR($J438/IF($A438&lt;COUNTIFS($K$1:U$1,"&lt;&gt;"),0,SUMIFS($J:$J,$B:$B,$B438,$A:$A,"&gt;="&amp;COUNTIFS($K$1:U$1,"&lt;&gt;"))),0)</f>
        <v>0</v>
      </c>
      <c r="V438">
        <f>IFERROR($J438/IF($A438&lt;COUNTIFS($K$1:V$1,"&lt;&gt;"),0,SUMIFS($J:$J,$B:$B,$B438,$A:$A,"&gt;="&amp;COUNTIFS($K$1:V$1,"&lt;&gt;"))),0)</f>
        <v>0</v>
      </c>
      <c r="W438">
        <f t="shared" si="156"/>
        <v>8.4931506849315067E-2</v>
      </c>
      <c r="X438">
        <f t="shared" si="136"/>
        <v>8.4931506849315067E-2</v>
      </c>
      <c r="Y438">
        <f t="shared" si="137"/>
        <v>8.4931506849315067E-2</v>
      </c>
      <c r="Z438">
        <f t="shared" si="138"/>
        <v>8.4931506849315067E-2</v>
      </c>
      <c r="AA438">
        <f t="shared" si="139"/>
        <v>8.4931506849315067E-2</v>
      </c>
      <c r="AB438">
        <f t="shared" si="140"/>
        <v>8.4931506849315067E-2</v>
      </c>
      <c r="AC438">
        <f t="shared" si="141"/>
        <v>8.4931506849315067E-2</v>
      </c>
      <c r="AD438">
        <f t="shared" si="142"/>
        <v>8.4931506849315067E-2</v>
      </c>
      <c r="AE438">
        <f t="shared" si="143"/>
        <v>0</v>
      </c>
      <c r="AF438">
        <f t="shared" si="144"/>
        <v>0</v>
      </c>
      <c r="AG438">
        <f t="shared" si="145"/>
        <v>0</v>
      </c>
      <c r="AH438">
        <f t="shared" si="146"/>
        <v>0</v>
      </c>
      <c r="AI438">
        <f t="shared" si="147"/>
        <v>0</v>
      </c>
      <c r="AJ438" s="2" t="str">
        <f t="shared" si="157"/>
        <v>744835</v>
      </c>
    </row>
    <row r="439" spans="1:36" x14ac:dyDescent="0.25">
      <c r="A439">
        <v>8</v>
      </c>
      <c r="B439" s="1">
        <v>44835</v>
      </c>
      <c r="C439" s="1">
        <f t="shared" si="148"/>
        <v>45078</v>
      </c>
      <c r="D439" s="1">
        <f t="shared" si="149"/>
        <v>44849</v>
      </c>
      <c r="E439" s="1">
        <f t="shared" si="150"/>
        <v>45078</v>
      </c>
      <c r="F439" s="1">
        <f t="shared" si="151"/>
        <v>45108</v>
      </c>
      <c r="G439" s="1">
        <f t="shared" si="152"/>
        <v>45214</v>
      </c>
      <c r="H439">
        <f t="shared" si="153"/>
        <v>365</v>
      </c>
      <c r="I439">
        <f t="shared" si="154"/>
        <v>30</v>
      </c>
      <c r="J439">
        <f t="shared" si="155"/>
        <v>8.2191780821917804E-2</v>
      </c>
      <c r="K439">
        <f>IFERROR($J439/IF($A439&lt;COUNTIFS($K$1:K$1,"&lt;&gt;"),0,SUMIFS($J:$J,$B:$B,$B439,$A:$A,"&gt;="&amp;COUNTIFS($K$1:K$1,"&lt;&gt;"))),0)</f>
        <v>8.6206896551724144E-2</v>
      </c>
      <c r="L439">
        <f>IFERROR($J439/IF($A439&lt;COUNTIFS($K$1:L$1,"&lt;&gt;"),0,SUMIFS($J:$J,$B:$B,$B439,$A:$A,"&gt;="&amp;COUNTIFS($K$1:L$1,"&lt;&gt;"))),0)</f>
        <v>9.4339622641509441E-2</v>
      </c>
      <c r="M439">
        <f>IFERROR($J439/IF($A439&lt;COUNTIFS($K$1:M$1,"&lt;&gt;"),0,SUMIFS($J:$J,$B:$B,$B439,$A:$A,"&gt;="&amp;COUNTIFS($K$1:M$1,"&lt;&gt;"))),0)</f>
        <v>0.10452961672473869</v>
      </c>
      <c r="N439">
        <f>IFERROR($J439/IF($A439&lt;COUNTIFS($K$1:N$1,"&lt;&gt;"),0,SUMIFS($J:$J,$B:$B,$B439,$A:$A,"&gt;="&amp;COUNTIFS($K$1:N$1,"&lt;&gt;"))),0)</f>
        <v>0.11718750000000001</v>
      </c>
      <c r="O439">
        <f>IFERROR($J439/IF($A439&lt;COUNTIFS($K$1:O$1,"&lt;&gt;"),0,SUMIFS($J:$J,$B:$B,$B439,$A:$A,"&gt;="&amp;COUNTIFS($K$1:O$1,"&lt;&gt;"))),0)</f>
        <v>0.13157894736842107</v>
      </c>
      <c r="P439">
        <f>IFERROR($J439/IF($A439&lt;COUNTIFS($K$1:P$1,"&lt;&gt;"),0,SUMIFS($J:$J,$B:$B,$B439,$A:$A,"&gt;="&amp;COUNTIFS($K$1:P$1,"&lt;&gt;"))),0)</f>
        <v>0.15228426395939088</v>
      </c>
      <c r="Q439">
        <f>IFERROR($J439/IF($A439&lt;COUNTIFS($K$1:Q$1,"&lt;&gt;"),0,SUMIFS($J:$J,$B:$B,$B439,$A:$A,"&gt;="&amp;COUNTIFS($K$1:Q$1,"&lt;&gt;"))),0)</f>
        <v>0.17964071856287425</v>
      </c>
      <c r="R439">
        <f>IFERROR($J439/IF($A439&lt;COUNTIFS($K$1:R$1,"&lt;&gt;"),0,SUMIFS($J:$J,$B:$B,$B439,$A:$A,"&gt;="&amp;COUNTIFS($K$1:R$1,"&lt;&gt;"))),0)</f>
        <v>0.22058823529411764</v>
      </c>
      <c r="S439">
        <f>IFERROR($J439/IF($A439&lt;COUNTIFS($K$1:S$1,"&lt;&gt;"),0,SUMIFS($J:$J,$B:$B,$B439,$A:$A,"&gt;="&amp;COUNTIFS($K$1:S$1,"&lt;&gt;"))),0)</f>
        <v>0</v>
      </c>
      <c r="T439">
        <f>IFERROR($J439/IF($A439&lt;COUNTIFS($K$1:T$1,"&lt;&gt;"),0,SUMIFS($J:$J,$B:$B,$B439,$A:$A,"&gt;="&amp;COUNTIFS($K$1:T$1,"&lt;&gt;"))),0)</f>
        <v>0</v>
      </c>
      <c r="U439">
        <f>IFERROR($J439/IF($A439&lt;COUNTIFS($K$1:U$1,"&lt;&gt;"),0,SUMIFS($J:$J,$B:$B,$B439,$A:$A,"&gt;="&amp;COUNTIFS($K$1:U$1,"&lt;&gt;"))),0)</f>
        <v>0</v>
      </c>
      <c r="V439">
        <f>IFERROR($J439/IF($A439&lt;COUNTIFS($K$1:V$1,"&lt;&gt;"),0,SUMIFS($J:$J,$B:$B,$B439,$A:$A,"&gt;="&amp;COUNTIFS($K$1:V$1,"&lt;&gt;"))),0)</f>
        <v>0</v>
      </c>
      <c r="W439">
        <f t="shared" si="156"/>
        <v>8.2191780821917804E-2</v>
      </c>
      <c r="X439">
        <f t="shared" si="136"/>
        <v>8.2191780821917804E-2</v>
      </c>
      <c r="Y439">
        <f t="shared" si="137"/>
        <v>8.2191780821917804E-2</v>
      </c>
      <c r="Z439">
        <f t="shared" si="138"/>
        <v>8.2191780821917804E-2</v>
      </c>
      <c r="AA439">
        <f t="shared" si="139"/>
        <v>8.2191780821917804E-2</v>
      </c>
      <c r="AB439">
        <f t="shared" si="140"/>
        <v>8.2191780821917804E-2</v>
      </c>
      <c r="AC439">
        <f t="shared" si="141"/>
        <v>8.2191780821917804E-2</v>
      </c>
      <c r="AD439">
        <f t="shared" si="142"/>
        <v>8.2191780821917804E-2</v>
      </c>
      <c r="AE439">
        <f t="shared" si="143"/>
        <v>8.2191780821917804E-2</v>
      </c>
      <c r="AF439">
        <f t="shared" si="144"/>
        <v>0</v>
      </c>
      <c r="AG439">
        <f t="shared" si="145"/>
        <v>0</v>
      </c>
      <c r="AH439">
        <f t="shared" si="146"/>
        <v>0</v>
      </c>
      <c r="AI439">
        <f t="shared" si="147"/>
        <v>0</v>
      </c>
      <c r="AJ439" s="2" t="str">
        <f t="shared" si="157"/>
        <v>844835</v>
      </c>
    </row>
    <row r="440" spans="1:36" x14ac:dyDescent="0.25">
      <c r="A440">
        <v>9</v>
      </c>
      <c r="B440" s="1">
        <v>44835</v>
      </c>
      <c r="C440" s="1">
        <f t="shared" si="148"/>
        <v>45108</v>
      </c>
      <c r="D440" s="1">
        <f t="shared" si="149"/>
        <v>44849</v>
      </c>
      <c r="E440" s="1">
        <f t="shared" si="150"/>
        <v>45108</v>
      </c>
      <c r="F440" s="1">
        <f t="shared" si="151"/>
        <v>45139</v>
      </c>
      <c r="G440" s="1">
        <f t="shared" si="152"/>
        <v>45214</v>
      </c>
      <c r="H440">
        <f t="shared" si="153"/>
        <v>365</v>
      </c>
      <c r="I440">
        <f t="shared" si="154"/>
        <v>31</v>
      </c>
      <c r="J440">
        <f t="shared" si="155"/>
        <v>8.4931506849315067E-2</v>
      </c>
      <c r="K440">
        <f>IFERROR($J440/IF($A440&lt;COUNTIFS($K$1:K$1,"&lt;&gt;"),0,SUMIFS($J:$J,$B:$B,$B440,$A:$A,"&gt;="&amp;COUNTIFS($K$1:K$1,"&lt;&gt;"))),0)</f>
        <v>8.9080459770114959E-2</v>
      </c>
      <c r="L440">
        <f>IFERROR($J440/IF($A440&lt;COUNTIFS($K$1:L$1,"&lt;&gt;"),0,SUMIFS($J:$J,$B:$B,$B440,$A:$A,"&gt;="&amp;COUNTIFS($K$1:L$1,"&lt;&gt;"))),0)</f>
        <v>9.7484276729559768E-2</v>
      </c>
      <c r="M440">
        <f>IFERROR($J440/IF($A440&lt;COUNTIFS($K$1:M$1,"&lt;&gt;"),0,SUMIFS($J:$J,$B:$B,$B440,$A:$A,"&gt;="&amp;COUNTIFS($K$1:M$1,"&lt;&gt;"))),0)</f>
        <v>0.10801393728222998</v>
      </c>
      <c r="N440">
        <f>IFERROR($J440/IF($A440&lt;COUNTIFS($K$1:N$1,"&lt;&gt;"),0,SUMIFS($J:$J,$B:$B,$B440,$A:$A,"&gt;="&amp;COUNTIFS($K$1:N$1,"&lt;&gt;"))),0)</f>
        <v>0.12109375000000001</v>
      </c>
      <c r="O440">
        <f>IFERROR($J440/IF($A440&lt;COUNTIFS($K$1:O$1,"&lt;&gt;"),0,SUMIFS($J:$J,$B:$B,$B440,$A:$A,"&gt;="&amp;COUNTIFS($K$1:O$1,"&lt;&gt;"))),0)</f>
        <v>0.13596491228070179</v>
      </c>
      <c r="P440">
        <f>IFERROR($J440/IF($A440&lt;COUNTIFS($K$1:P$1,"&lt;&gt;"),0,SUMIFS($J:$J,$B:$B,$B440,$A:$A,"&gt;="&amp;COUNTIFS($K$1:P$1,"&lt;&gt;"))),0)</f>
        <v>0.15736040609137059</v>
      </c>
      <c r="Q440">
        <f>IFERROR($J440/IF($A440&lt;COUNTIFS($K$1:Q$1,"&lt;&gt;"),0,SUMIFS($J:$J,$B:$B,$B440,$A:$A,"&gt;="&amp;COUNTIFS($K$1:Q$1,"&lt;&gt;"))),0)</f>
        <v>0.18562874251497008</v>
      </c>
      <c r="R440">
        <f>IFERROR($J440/IF($A440&lt;COUNTIFS($K$1:R$1,"&lt;&gt;"),0,SUMIFS($J:$J,$B:$B,$B440,$A:$A,"&gt;="&amp;COUNTIFS($K$1:R$1,"&lt;&gt;"))),0)</f>
        <v>0.22794117647058826</v>
      </c>
      <c r="S440">
        <f>IFERROR($J440/IF($A440&lt;COUNTIFS($K$1:S$1,"&lt;&gt;"),0,SUMIFS($J:$J,$B:$B,$B440,$A:$A,"&gt;="&amp;COUNTIFS($K$1:S$1,"&lt;&gt;"))),0)</f>
        <v>0.29245283018867929</v>
      </c>
      <c r="T440">
        <f>IFERROR($J440/IF($A440&lt;COUNTIFS($K$1:T$1,"&lt;&gt;"),0,SUMIFS($J:$J,$B:$B,$B440,$A:$A,"&gt;="&amp;COUNTIFS($K$1:T$1,"&lt;&gt;"))),0)</f>
        <v>0</v>
      </c>
      <c r="U440">
        <f>IFERROR($J440/IF($A440&lt;COUNTIFS($K$1:U$1,"&lt;&gt;"),0,SUMIFS($J:$J,$B:$B,$B440,$A:$A,"&gt;="&amp;COUNTIFS($K$1:U$1,"&lt;&gt;"))),0)</f>
        <v>0</v>
      </c>
      <c r="V440">
        <f>IFERROR($J440/IF($A440&lt;COUNTIFS($K$1:V$1,"&lt;&gt;"),0,SUMIFS($J:$J,$B:$B,$B440,$A:$A,"&gt;="&amp;COUNTIFS($K$1:V$1,"&lt;&gt;"))),0)</f>
        <v>0</v>
      </c>
      <c r="W440">
        <f t="shared" si="156"/>
        <v>8.4931506849315067E-2</v>
      </c>
      <c r="X440">
        <f t="shared" si="136"/>
        <v>8.4931506849315067E-2</v>
      </c>
      <c r="Y440">
        <f t="shared" si="137"/>
        <v>8.4931506849315067E-2</v>
      </c>
      <c r="Z440">
        <f t="shared" si="138"/>
        <v>8.4931506849315067E-2</v>
      </c>
      <c r="AA440">
        <f t="shared" si="139"/>
        <v>8.4931506849315067E-2</v>
      </c>
      <c r="AB440">
        <f t="shared" si="140"/>
        <v>8.4931506849315067E-2</v>
      </c>
      <c r="AC440">
        <f t="shared" si="141"/>
        <v>8.4931506849315067E-2</v>
      </c>
      <c r="AD440">
        <f t="shared" si="142"/>
        <v>8.4931506849315067E-2</v>
      </c>
      <c r="AE440">
        <f t="shared" si="143"/>
        <v>8.4931506849315067E-2</v>
      </c>
      <c r="AF440">
        <f t="shared" si="144"/>
        <v>8.4931506849315067E-2</v>
      </c>
      <c r="AG440">
        <f t="shared" si="145"/>
        <v>0</v>
      </c>
      <c r="AH440">
        <f t="shared" si="146"/>
        <v>0</v>
      </c>
      <c r="AI440">
        <f t="shared" si="147"/>
        <v>0</v>
      </c>
      <c r="AJ440" s="2" t="str">
        <f t="shared" si="157"/>
        <v>944835</v>
      </c>
    </row>
    <row r="441" spans="1:36" x14ac:dyDescent="0.25">
      <c r="A441">
        <v>10</v>
      </c>
      <c r="B441" s="1">
        <v>44835</v>
      </c>
      <c r="C441" s="1">
        <f t="shared" si="148"/>
        <v>45139</v>
      </c>
      <c r="D441" s="1">
        <f t="shared" si="149"/>
        <v>44849</v>
      </c>
      <c r="E441" s="1">
        <f t="shared" si="150"/>
        <v>45139</v>
      </c>
      <c r="F441" s="1">
        <f t="shared" si="151"/>
        <v>45170</v>
      </c>
      <c r="G441" s="1">
        <f t="shared" si="152"/>
        <v>45214</v>
      </c>
      <c r="H441">
        <f t="shared" si="153"/>
        <v>365</v>
      </c>
      <c r="I441">
        <f t="shared" si="154"/>
        <v>31</v>
      </c>
      <c r="J441">
        <f t="shared" si="155"/>
        <v>8.4931506849315067E-2</v>
      </c>
      <c r="K441">
        <f>IFERROR($J441/IF($A441&lt;COUNTIFS($K$1:K$1,"&lt;&gt;"),0,SUMIFS($J:$J,$B:$B,$B441,$A:$A,"&gt;="&amp;COUNTIFS($K$1:K$1,"&lt;&gt;"))),0)</f>
        <v>8.9080459770114959E-2</v>
      </c>
      <c r="L441">
        <f>IFERROR($J441/IF($A441&lt;COUNTIFS($K$1:L$1,"&lt;&gt;"),0,SUMIFS($J:$J,$B:$B,$B441,$A:$A,"&gt;="&amp;COUNTIFS($K$1:L$1,"&lt;&gt;"))),0)</f>
        <v>9.7484276729559768E-2</v>
      </c>
      <c r="M441">
        <f>IFERROR($J441/IF($A441&lt;COUNTIFS($K$1:M$1,"&lt;&gt;"),0,SUMIFS($J:$J,$B:$B,$B441,$A:$A,"&gt;="&amp;COUNTIFS($K$1:M$1,"&lt;&gt;"))),0)</f>
        <v>0.10801393728222998</v>
      </c>
      <c r="N441">
        <f>IFERROR($J441/IF($A441&lt;COUNTIFS($K$1:N$1,"&lt;&gt;"),0,SUMIFS($J:$J,$B:$B,$B441,$A:$A,"&gt;="&amp;COUNTIFS($K$1:N$1,"&lt;&gt;"))),0)</f>
        <v>0.12109375000000001</v>
      </c>
      <c r="O441">
        <f>IFERROR($J441/IF($A441&lt;COUNTIFS($K$1:O$1,"&lt;&gt;"),0,SUMIFS($J:$J,$B:$B,$B441,$A:$A,"&gt;="&amp;COUNTIFS($K$1:O$1,"&lt;&gt;"))),0)</f>
        <v>0.13596491228070179</v>
      </c>
      <c r="P441">
        <f>IFERROR($J441/IF($A441&lt;COUNTIFS($K$1:P$1,"&lt;&gt;"),0,SUMIFS($J:$J,$B:$B,$B441,$A:$A,"&gt;="&amp;COUNTIFS($K$1:P$1,"&lt;&gt;"))),0)</f>
        <v>0.15736040609137059</v>
      </c>
      <c r="Q441">
        <f>IFERROR($J441/IF($A441&lt;COUNTIFS($K$1:Q$1,"&lt;&gt;"),0,SUMIFS($J:$J,$B:$B,$B441,$A:$A,"&gt;="&amp;COUNTIFS($K$1:Q$1,"&lt;&gt;"))),0)</f>
        <v>0.18562874251497008</v>
      </c>
      <c r="R441">
        <f>IFERROR($J441/IF($A441&lt;COUNTIFS($K$1:R$1,"&lt;&gt;"),0,SUMIFS($J:$J,$B:$B,$B441,$A:$A,"&gt;="&amp;COUNTIFS($K$1:R$1,"&lt;&gt;"))),0)</f>
        <v>0.22794117647058826</v>
      </c>
      <c r="S441">
        <f>IFERROR($J441/IF($A441&lt;COUNTIFS($K$1:S$1,"&lt;&gt;"),0,SUMIFS($J:$J,$B:$B,$B441,$A:$A,"&gt;="&amp;COUNTIFS($K$1:S$1,"&lt;&gt;"))),0)</f>
        <v>0.29245283018867929</v>
      </c>
      <c r="T441">
        <f>IFERROR($J441/IF($A441&lt;COUNTIFS($K$1:T$1,"&lt;&gt;"),0,SUMIFS($J:$J,$B:$B,$B441,$A:$A,"&gt;="&amp;COUNTIFS($K$1:T$1,"&lt;&gt;"))),0)</f>
        <v>0.41333333333333333</v>
      </c>
      <c r="U441">
        <f>IFERROR($J441/IF($A441&lt;COUNTIFS($K$1:U$1,"&lt;&gt;"),0,SUMIFS($J:$J,$B:$B,$B441,$A:$A,"&gt;="&amp;COUNTIFS($K$1:U$1,"&lt;&gt;"))),0)</f>
        <v>0</v>
      </c>
      <c r="V441">
        <f>IFERROR($J441/IF($A441&lt;COUNTIFS($K$1:V$1,"&lt;&gt;"),0,SUMIFS($J:$J,$B:$B,$B441,$A:$A,"&gt;="&amp;COUNTIFS($K$1:V$1,"&lt;&gt;"))),0)</f>
        <v>0</v>
      </c>
      <c r="W441">
        <f t="shared" si="156"/>
        <v>8.4931506849315067E-2</v>
      </c>
      <c r="X441">
        <f t="shared" si="136"/>
        <v>8.4931506849315067E-2</v>
      </c>
      <c r="Y441">
        <f t="shared" si="137"/>
        <v>8.4931506849315067E-2</v>
      </c>
      <c r="Z441">
        <f t="shared" si="138"/>
        <v>8.4931506849315067E-2</v>
      </c>
      <c r="AA441">
        <f t="shared" si="139"/>
        <v>8.4931506849315067E-2</v>
      </c>
      <c r="AB441">
        <f t="shared" si="140"/>
        <v>8.4931506849315067E-2</v>
      </c>
      <c r="AC441">
        <f t="shared" si="141"/>
        <v>8.4931506849315067E-2</v>
      </c>
      <c r="AD441">
        <f t="shared" si="142"/>
        <v>8.4931506849315067E-2</v>
      </c>
      <c r="AE441">
        <f t="shared" si="143"/>
        <v>8.4931506849315067E-2</v>
      </c>
      <c r="AF441">
        <f t="shared" si="144"/>
        <v>8.4931506849315067E-2</v>
      </c>
      <c r="AG441">
        <f t="shared" si="145"/>
        <v>8.4931506849315067E-2</v>
      </c>
      <c r="AH441">
        <f t="shared" si="146"/>
        <v>0</v>
      </c>
      <c r="AI441">
        <f t="shared" si="147"/>
        <v>0</v>
      </c>
      <c r="AJ441" s="2" t="str">
        <f t="shared" si="157"/>
        <v>1044835</v>
      </c>
    </row>
    <row r="442" spans="1:36" x14ac:dyDescent="0.25">
      <c r="A442">
        <v>11</v>
      </c>
      <c r="B442" s="1">
        <v>44835</v>
      </c>
      <c r="C442" s="1">
        <f t="shared" si="148"/>
        <v>45170</v>
      </c>
      <c r="D442" s="1">
        <f t="shared" si="149"/>
        <v>44849</v>
      </c>
      <c r="E442" s="1">
        <f t="shared" si="150"/>
        <v>45170</v>
      </c>
      <c r="F442" s="1">
        <f t="shared" si="151"/>
        <v>45200</v>
      </c>
      <c r="G442" s="1">
        <f t="shared" si="152"/>
        <v>45214</v>
      </c>
      <c r="H442">
        <f t="shared" si="153"/>
        <v>365</v>
      </c>
      <c r="I442">
        <f t="shared" si="154"/>
        <v>30</v>
      </c>
      <c r="J442">
        <f t="shared" si="155"/>
        <v>8.2191780821917804E-2</v>
      </c>
      <c r="K442">
        <f>IFERROR($J442/IF($A442&lt;COUNTIFS($K$1:K$1,"&lt;&gt;"),0,SUMIFS($J:$J,$B:$B,$B442,$A:$A,"&gt;="&amp;COUNTIFS($K$1:K$1,"&lt;&gt;"))),0)</f>
        <v>8.6206896551724144E-2</v>
      </c>
      <c r="L442">
        <f>IFERROR($J442/IF($A442&lt;COUNTIFS($K$1:L$1,"&lt;&gt;"),0,SUMIFS($J:$J,$B:$B,$B442,$A:$A,"&gt;="&amp;COUNTIFS($K$1:L$1,"&lt;&gt;"))),0)</f>
        <v>9.4339622641509441E-2</v>
      </c>
      <c r="M442">
        <f>IFERROR($J442/IF($A442&lt;COUNTIFS($K$1:M$1,"&lt;&gt;"),0,SUMIFS($J:$J,$B:$B,$B442,$A:$A,"&gt;="&amp;COUNTIFS($K$1:M$1,"&lt;&gt;"))),0)</f>
        <v>0.10452961672473869</v>
      </c>
      <c r="N442">
        <f>IFERROR($J442/IF($A442&lt;COUNTIFS($K$1:N$1,"&lt;&gt;"),0,SUMIFS($J:$J,$B:$B,$B442,$A:$A,"&gt;="&amp;COUNTIFS($K$1:N$1,"&lt;&gt;"))),0)</f>
        <v>0.11718750000000001</v>
      </c>
      <c r="O442">
        <f>IFERROR($J442/IF($A442&lt;COUNTIFS($K$1:O$1,"&lt;&gt;"),0,SUMIFS($J:$J,$B:$B,$B442,$A:$A,"&gt;="&amp;COUNTIFS($K$1:O$1,"&lt;&gt;"))),0)</f>
        <v>0.13157894736842107</v>
      </c>
      <c r="P442">
        <f>IFERROR($J442/IF($A442&lt;COUNTIFS($K$1:P$1,"&lt;&gt;"),0,SUMIFS($J:$J,$B:$B,$B442,$A:$A,"&gt;="&amp;COUNTIFS($K$1:P$1,"&lt;&gt;"))),0)</f>
        <v>0.15228426395939088</v>
      </c>
      <c r="Q442">
        <f>IFERROR($J442/IF($A442&lt;COUNTIFS($K$1:Q$1,"&lt;&gt;"),0,SUMIFS($J:$J,$B:$B,$B442,$A:$A,"&gt;="&amp;COUNTIFS($K$1:Q$1,"&lt;&gt;"))),0)</f>
        <v>0.17964071856287425</v>
      </c>
      <c r="R442">
        <f>IFERROR($J442/IF($A442&lt;COUNTIFS($K$1:R$1,"&lt;&gt;"),0,SUMIFS($J:$J,$B:$B,$B442,$A:$A,"&gt;="&amp;COUNTIFS($K$1:R$1,"&lt;&gt;"))),0)</f>
        <v>0.22058823529411764</v>
      </c>
      <c r="S442">
        <f>IFERROR($J442/IF($A442&lt;COUNTIFS($K$1:S$1,"&lt;&gt;"),0,SUMIFS($J:$J,$B:$B,$B442,$A:$A,"&gt;="&amp;COUNTIFS($K$1:S$1,"&lt;&gt;"))),0)</f>
        <v>0.28301886792452829</v>
      </c>
      <c r="T442">
        <f>IFERROR($J442/IF($A442&lt;COUNTIFS($K$1:T$1,"&lt;&gt;"),0,SUMIFS($J:$J,$B:$B,$B442,$A:$A,"&gt;="&amp;COUNTIFS($K$1:T$1,"&lt;&gt;"))),0)</f>
        <v>0.4</v>
      </c>
      <c r="U442">
        <f>IFERROR($J442/IF($A442&lt;COUNTIFS($K$1:U$1,"&lt;&gt;"),0,SUMIFS($J:$J,$B:$B,$B442,$A:$A,"&gt;="&amp;COUNTIFS($K$1:U$1,"&lt;&gt;"))),0)</f>
        <v>0.68181818181818177</v>
      </c>
      <c r="V442">
        <f>IFERROR($J442/IF($A442&lt;COUNTIFS($K$1:V$1,"&lt;&gt;"),0,SUMIFS($J:$J,$B:$B,$B442,$A:$A,"&gt;="&amp;COUNTIFS($K$1:V$1,"&lt;&gt;"))),0)</f>
        <v>0</v>
      </c>
      <c r="W442">
        <f t="shared" si="156"/>
        <v>8.2191780821917804E-2</v>
      </c>
      <c r="X442">
        <f t="shared" si="136"/>
        <v>8.2191780821917804E-2</v>
      </c>
      <c r="Y442">
        <f t="shared" si="137"/>
        <v>8.2191780821917804E-2</v>
      </c>
      <c r="Z442">
        <f t="shared" si="138"/>
        <v>8.2191780821917804E-2</v>
      </c>
      <c r="AA442">
        <f t="shared" si="139"/>
        <v>8.2191780821917804E-2</v>
      </c>
      <c r="AB442">
        <f t="shared" si="140"/>
        <v>8.2191780821917804E-2</v>
      </c>
      <c r="AC442">
        <f t="shared" si="141"/>
        <v>8.2191780821917804E-2</v>
      </c>
      <c r="AD442">
        <f t="shared" si="142"/>
        <v>8.2191780821917804E-2</v>
      </c>
      <c r="AE442">
        <f t="shared" si="143"/>
        <v>8.2191780821917804E-2</v>
      </c>
      <c r="AF442">
        <f t="shared" si="144"/>
        <v>8.2191780821917804E-2</v>
      </c>
      <c r="AG442">
        <f t="shared" si="145"/>
        <v>8.2191780821917804E-2</v>
      </c>
      <c r="AH442">
        <f t="shared" si="146"/>
        <v>8.2191780821917804E-2</v>
      </c>
      <c r="AI442">
        <f t="shared" si="147"/>
        <v>0</v>
      </c>
      <c r="AJ442" s="2" t="str">
        <f t="shared" si="157"/>
        <v>1144835</v>
      </c>
    </row>
    <row r="443" spans="1:36" x14ac:dyDescent="0.25">
      <c r="A443">
        <v>12</v>
      </c>
      <c r="B443" s="1">
        <v>44835</v>
      </c>
      <c r="C443" s="1">
        <f t="shared" si="148"/>
        <v>45200</v>
      </c>
      <c r="D443" s="1">
        <f t="shared" si="149"/>
        <v>44849</v>
      </c>
      <c r="E443" s="1">
        <f t="shared" si="150"/>
        <v>45200</v>
      </c>
      <c r="F443" s="1">
        <f t="shared" si="151"/>
        <v>45214</v>
      </c>
      <c r="G443" s="1">
        <f t="shared" si="152"/>
        <v>45214</v>
      </c>
      <c r="H443">
        <f t="shared" si="153"/>
        <v>365</v>
      </c>
      <c r="I443">
        <f t="shared" si="154"/>
        <v>14</v>
      </c>
      <c r="J443">
        <f t="shared" si="155"/>
        <v>3.8356164383561646E-2</v>
      </c>
      <c r="K443">
        <f>IFERROR($J443/IF($A443&lt;COUNTIFS($K$1:K$1,"&lt;&gt;"),0,SUMIFS($J:$J,$B:$B,$B443,$A:$A,"&gt;="&amp;COUNTIFS($K$1:K$1,"&lt;&gt;"))),0)</f>
        <v>4.0229885057471271E-2</v>
      </c>
      <c r="L443">
        <f>IFERROR($J443/IF($A443&lt;COUNTIFS($K$1:L$1,"&lt;&gt;"),0,SUMIFS($J:$J,$B:$B,$B443,$A:$A,"&gt;="&amp;COUNTIFS($K$1:L$1,"&lt;&gt;"))),0)</f>
        <v>4.4025157232704414E-2</v>
      </c>
      <c r="M443">
        <f>IFERROR($J443/IF($A443&lt;COUNTIFS($K$1:M$1,"&lt;&gt;"),0,SUMIFS($J:$J,$B:$B,$B443,$A:$A,"&gt;="&amp;COUNTIFS($K$1:M$1,"&lt;&gt;"))),0)</f>
        <v>4.8780487804878057E-2</v>
      </c>
      <c r="N443">
        <f>IFERROR($J443/IF($A443&lt;COUNTIFS($K$1:N$1,"&lt;&gt;"),0,SUMIFS($J:$J,$B:$B,$B443,$A:$A,"&gt;="&amp;COUNTIFS($K$1:N$1,"&lt;&gt;"))),0)</f>
        <v>5.4687500000000014E-2</v>
      </c>
      <c r="O443">
        <f>IFERROR($J443/IF($A443&lt;COUNTIFS($K$1:O$1,"&lt;&gt;"),0,SUMIFS($J:$J,$B:$B,$B443,$A:$A,"&gt;="&amp;COUNTIFS($K$1:O$1,"&lt;&gt;"))),0)</f>
        <v>6.1403508771929842E-2</v>
      </c>
      <c r="P443">
        <f>IFERROR($J443/IF($A443&lt;COUNTIFS($K$1:P$1,"&lt;&gt;"),0,SUMIFS($J:$J,$B:$B,$B443,$A:$A,"&gt;="&amp;COUNTIFS($K$1:P$1,"&lt;&gt;"))),0)</f>
        <v>7.1065989847715755E-2</v>
      </c>
      <c r="Q443">
        <f>IFERROR($J443/IF($A443&lt;COUNTIFS($K$1:Q$1,"&lt;&gt;"),0,SUMIFS($J:$J,$B:$B,$B443,$A:$A,"&gt;="&amp;COUNTIFS($K$1:Q$1,"&lt;&gt;"))),0)</f>
        <v>8.3832335329341326E-2</v>
      </c>
      <c r="R443">
        <f>IFERROR($J443/IF($A443&lt;COUNTIFS($K$1:R$1,"&lt;&gt;"),0,SUMIFS($J:$J,$B:$B,$B443,$A:$A,"&gt;="&amp;COUNTIFS($K$1:R$1,"&lt;&gt;"))),0)</f>
        <v>0.10294117647058824</v>
      </c>
      <c r="S443">
        <f>IFERROR($J443/IF($A443&lt;COUNTIFS($K$1:S$1,"&lt;&gt;"),0,SUMIFS($J:$J,$B:$B,$B443,$A:$A,"&gt;="&amp;COUNTIFS($K$1:S$1,"&lt;&gt;"))),0)</f>
        <v>0.13207547169811323</v>
      </c>
      <c r="T443">
        <f>IFERROR($J443/IF($A443&lt;COUNTIFS($K$1:T$1,"&lt;&gt;"),0,SUMIFS($J:$J,$B:$B,$B443,$A:$A,"&gt;="&amp;COUNTIFS($K$1:T$1,"&lt;&gt;"))),0)</f>
        <v>0.18666666666666668</v>
      </c>
      <c r="U443">
        <f>IFERROR($J443/IF($A443&lt;COUNTIFS($K$1:U$1,"&lt;&gt;"),0,SUMIFS($J:$J,$B:$B,$B443,$A:$A,"&gt;="&amp;COUNTIFS($K$1:U$1,"&lt;&gt;"))),0)</f>
        <v>0.31818181818181818</v>
      </c>
      <c r="V443">
        <f>IFERROR($J443/IF($A443&lt;COUNTIFS($K$1:V$1,"&lt;&gt;"),0,SUMIFS($J:$J,$B:$B,$B443,$A:$A,"&gt;="&amp;COUNTIFS($K$1:V$1,"&lt;&gt;"))),0)</f>
        <v>1</v>
      </c>
      <c r="W443">
        <f t="shared" si="156"/>
        <v>3.8356164383561646E-2</v>
      </c>
      <c r="X443">
        <f t="shared" si="136"/>
        <v>3.8356164383561646E-2</v>
      </c>
      <c r="Y443">
        <f t="shared" si="137"/>
        <v>3.8356164383561646E-2</v>
      </c>
      <c r="Z443">
        <f t="shared" si="138"/>
        <v>3.8356164383561646E-2</v>
      </c>
      <c r="AA443">
        <f t="shared" si="139"/>
        <v>3.8356164383561646E-2</v>
      </c>
      <c r="AB443">
        <f t="shared" si="140"/>
        <v>3.8356164383561646E-2</v>
      </c>
      <c r="AC443">
        <f t="shared" si="141"/>
        <v>3.8356164383561646E-2</v>
      </c>
      <c r="AD443">
        <f t="shared" si="142"/>
        <v>3.8356164383561646E-2</v>
      </c>
      <c r="AE443">
        <f t="shared" si="143"/>
        <v>3.8356164383561646E-2</v>
      </c>
      <c r="AF443">
        <f t="shared" si="144"/>
        <v>3.8356164383561646E-2</v>
      </c>
      <c r="AG443">
        <f t="shared" si="145"/>
        <v>3.8356164383561646E-2</v>
      </c>
      <c r="AH443">
        <f t="shared" si="146"/>
        <v>3.8356164383561646E-2</v>
      </c>
      <c r="AI443">
        <f t="shared" si="147"/>
        <v>3.8356164383561646E-2</v>
      </c>
      <c r="AJ443" s="2" t="str">
        <f t="shared" si="157"/>
        <v>1244835</v>
      </c>
    </row>
    <row r="444" spans="1:36" x14ac:dyDescent="0.25">
      <c r="A444">
        <v>0</v>
      </c>
      <c r="B444" s="1">
        <v>44866</v>
      </c>
      <c r="C444" s="1">
        <f t="shared" si="148"/>
        <v>44866</v>
      </c>
      <c r="D444" s="1">
        <f t="shared" si="149"/>
        <v>44880</v>
      </c>
      <c r="E444" s="1">
        <f t="shared" si="150"/>
        <v>44880</v>
      </c>
      <c r="F444" s="1">
        <f t="shared" si="151"/>
        <v>44896</v>
      </c>
      <c r="G444" s="1">
        <f t="shared" si="152"/>
        <v>45245</v>
      </c>
      <c r="H444">
        <f t="shared" si="153"/>
        <v>365</v>
      </c>
      <c r="I444">
        <f t="shared" si="154"/>
        <v>16</v>
      </c>
      <c r="J444">
        <f t="shared" si="155"/>
        <v>4.3835616438356165E-2</v>
      </c>
      <c r="K444">
        <f>IFERROR($J444/IF($A444&lt;COUNTIFS($K$1:K$1,"&lt;&gt;"),0,SUMIFS($J:$J,$B:$B,$B444,$A:$A,"&gt;="&amp;COUNTIFS($K$1:K$1,"&lt;&gt;"))),0)</f>
        <v>0</v>
      </c>
      <c r="L444">
        <f>IFERROR($J444/IF($A444&lt;COUNTIFS($K$1:L$1,"&lt;&gt;"),0,SUMIFS($J:$J,$B:$B,$B444,$A:$A,"&gt;="&amp;COUNTIFS($K$1:L$1,"&lt;&gt;"))),0)</f>
        <v>0</v>
      </c>
      <c r="M444">
        <f>IFERROR($J444/IF($A444&lt;COUNTIFS($K$1:M$1,"&lt;&gt;"),0,SUMIFS($J:$J,$B:$B,$B444,$A:$A,"&gt;="&amp;COUNTIFS($K$1:M$1,"&lt;&gt;"))),0)</f>
        <v>0</v>
      </c>
      <c r="N444">
        <f>IFERROR($J444/IF($A444&lt;COUNTIFS($K$1:N$1,"&lt;&gt;"),0,SUMIFS($J:$J,$B:$B,$B444,$A:$A,"&gt;="&amp;COUNTIFS($K$1:N$1,"&lt;&gt;"))),0)</f>
        <v>0</v>
      </c>
      <c r="O444">
        <f>IFERROR($J444/IF($A444&lt;COUNTIFS($K$1:O$1,"&lt;&gt;"),0,SUMIFS($J:$J,$B:$B,$B444,$A:$A,"&gt;="&amp;COUNTIFS($K$1:O$1,"&lt;&gt;"))),0)</f>
        <v>0</v>
      </c>
      <c r="P444">
        <f>IFERROR($J444/IF($A444&lt;COUNTIFS($K$1:P$1,"&lt;&gt;"),0,SUMIFS($J:$J,$B:$B,$B444,$A:$A,"&gt;="&amp;COUNTIFS($K$1:P$1,"&lt;&gt;"))),0)</f>
        <v>0</v>
      </c>
      <c r="Q444">
        <f>IFERROR($J444/IF($A444&lt;COUNTIFS($K$1:Q$1,"&lt;&gt;"),0,SUMIFS($J:$J,$B:$B,$B444,$A:$A,"&gt;="&amp;COUNTIFS($K$1:Q$1,"&lt;&gt;"))),0)</f>
        <v>0</v>
      </c>
      <c r="R444">
        <f>IFERROR($J444/IF($A444&lt;COUNTIFS($K$1:R$1,"&lt;&gt;"),0,SUMIFS($J:$J,$B:$B,$B444,$A:$A,"&gt;="&amp;COUNTIFS($K$1:R$1,"&lt;&gt;"))),0)</f>
        <v>0</v>
      </c>
      <c r="S444">
        <f>IFERROR($J444/IF($A444&lt;COUNTIFS($K$1:S$1,"&lt;&gt;"),0,SUMIFS($J:$J,$B:$B,$B444,$A:$A,"&gt;="&amp;COUNTIFS($K$1:S$1,"&lt;&gt;"))),0)</f>
        <v>0</v>
      </c>
      <c r="T444">
        <f>IFERROR($J444/IF($A444&lt;COUNTIFS($K$1:T$1,"&lt;&gt;"),0,SUMIFS($J:$J,$B:$B,$B444,$A:$A,"&gt;="&amp;COUNTIFS($K$1:T$1,"&lt;&gt;"))),0)</f>
        <v>0</v>
      </c>
      <c r="U444">
        <f>IFERROR($J444/IF($A444&lt;COUNTIFS($K$1:U$1,"&lt;&gt;"),0,SUMIFS($J:$J,$B:$B,$B444,$A:$A,"&gt;="&amp;COUNTIFS($K$1:U$1,"&lt;&gt;"))),0)</f>
        <v>0</v>
      </c>
      <c r="V444">
        <f>IFERROR($J444/IF($A444&lt;COUNTIFS($K$1:V$1,"&lt;&gt;"),0,SUMIFS($J:$J,$B:$B,$B444,$A:$A,"&gt;="&amp;COUNTIFS($K$1:V$1,"&lt;&gt;"))),0)</f>
        <v>0</v>
      </c>
      <c r="W444">
        <f t="shared" si="156"/>
        <v>4.3835616438356165E-2</v>
      </c>
      <c r="X444">
        <f t="shared" si="136"/>
        <v>0</v>
      </c>
      <c r="Y444">
        <f t="shared" si="137"/>
        <v>0</v>
      </c>
      <c r="Z444">
        <f t="shared" si="138"/>
        <v>0</v>
      </c>
      <c r="AA444">
        <f t="shared" si="139"/>
        <v>0</v>
      </c>
      <c r="AB444">
        <f t="shared" si="140"/>
        <v>0</v>
      </c>
      <c r="AC444">
        <f t="shared" si="141"/>
        <v>0</v>
      </c>
      <c r="AD444">
        <f t="shared" si="142"/>
        <v>0</v>
      </c>
      <c r="AE444">
        <f t="shared" si="143"/>
        <v>0</v>
      </c>
      <c r="AF444">
        <f t="shared" si="144"/>
        <v>0</v>
      </c>
      <c r="AG444">
        <f t="shared" si="145"/>
        <v>0</v>
      </c>
      <c r="AH444">
        <f t="shared" si="146"/>
        <v>0</v>
      </c>
      <c r="AI444">
        <f t="shared" si="147"/>
        <v>0</v>
      </c>
      <c r="AJ444" s="2" t="str">
        <f t="shared" si="157"/>
        <v>044866</v>
      </c>
    </row>
    <row r="445" spans="1:36" x14ac:dyDescent="0.25">
      <c r="A445">
        <v>1</v>
      </c>
      <c r="B445" s="1">
        <v>44866</v>
      </c>
      <c r="C445" s="1">
        <f t="shared" si="148"/>
        <v>44896</v>
      </c>
      <c r="D445" s="1">
        <f t="shared" si="149"/>
        <v>44880</v>
      </c>
      <c r="E445" s="1">
        <f t="shared" si="150"/>
        <v>44896</v>
      </c>
      <c r="F445" s="1">
        <f t="shared" si="151"/>
        <v>44927</v>
      </c>
      <c r="G445" s="1">
        <f t="shared" si="152"/>
        <v>45245</v>
      </c>
      <c r="H445">
        <f t="shared" si="153"/>
        <v>365</v>
      </c>
      <c r="I445">
        <f t="shared" si="154"/>
        <v>31</v>
      </c>
      <c r="J445">
        <f t="shared" si="155"/>
        <v>8.4931506849315067E-2</v>
      </c>
      <c r="K445">
        <f>IFERROR($J445/IF($A445&lt;COUNTIFS($K$1:K$1,"&lt;&gt;"),0,SUMIFS($J:$J,$B:$B,$B445,$A:$A,"&gt;="&amp;COUNTIFS($K$1:K$1,"&lt;&gt;"))),0)</f>
        <v>8.8825214899713484E-2</v>
      </c>
      <c r="L445">
        <f>IFERROR($J445/IF($A445&lt;COUNTIFS($K$1:L$1,"&lt;&gt;"),0,SUMIFS($J:$J,$B:$B,$B445,$A:$A,"&gt;="&amp;COUNTIFS($K$1:L$1,"&lt;&gt;"))),0)</f>
        <v>0</v>
      </c>
      <c r="M445">
        <f>IFERROR($J445/IF($A445&lt;COUNTIFS($K$1:M$1,"&lt;&gt;"),0,SUMIFS($J:$J,$B:$B,$B445,$A:$A,"&gt;="&amp;COUNTIFS($K$1:M$1,"&lt;&gt;"))),0)</f>
        <v>0</v>
      </c>
      <c r="N445">
        <f>IFERROR($J445/IF($A445&lt;COUNTIFS($K$1:N$1,"&lt;&gt;"),0,SUMIFS($J:$J,$B:$B,$B445,$A:$A,"&gt;="&amp;COUNTIFS($K$1:N$1,"&lt;&gt;"))),0)</f>
        <v>0</v>
      </c>
      <c r="O445">
        <f>IFERROR($J445/IF($A445&lt;COUNTIFS($K$1:O$1,"&lt;&gt;"),0,SUMIFS($J:$J,$B:$B,$B445,$A:$A,"&gt;="&amp;COUNTIFS($K$1:O$1,"&lt;&gt;"))),0)</f>
        <v>0</v>
      </c>
      <c r="P445">
        <f>IFERROR($J445/IF($A445&lt;COUNTIFS($K$1:P$1,"&lt;&gt;"),0,SUMIFS($J:$J,$B:$B,$B445,$A:$A,"&gt;="&amp;COUNTIFS($K$1:P$1,"&lt;&gt;"))),0)</f>
        <v>0</v>
      </c>
      <c r="Q445">
        <f>IFERROR($J445/IF($A445&lt;COUNTIFS($K$1:Q$1,"&lt;&gt;"),0,SUMIFS($J:$J,$B:$B,$B445,$A:$A,"&gt;="&amp;COUNTIFS($K$1:Q$1,"&lt;&gt;"))),0)</f>
        <v>0</v>
      </c>
      <c r="R445">
        <f>IFERROR($J445/IF($A445&lt;COUNTIFS($K$1:R$1,"&lt;&gt;"),0,SUMIFS($J:$J,$B:$B,$B445,$A:$A,"&gt;="&amp;COUNTIFS($K$1:R$1,"&lt;&gt;"))),0)</f>
        <v>0</v>
      </c>
      <c r="S445">
        <f>IFERROR($J445/IF($A445&lt;COUNTIFS($K$1:S$1,"&lt;&gt;"),0,SUMIFS($J:$J,$B:$B,$B445,$A:$A,"&gt;="&amp;COUNTIFS($K$1:S$1,"&lt;&gt;"))),0)</f>
        <v>0</v>
      </c>
      <c r="T445">
        <f>IFERROR($J445/IF($A445&lt;COUNTIFS($K$1:T$1,"&lt;&gt;"),0,SUMIFS($J:$J,$B:$B,$B445,$A:$A,"&gt;="&amp;COUNTIFS($K$1:T$1,"&lt;&gt;"))),0)</f>
        <v>0</v>
      </c>
      <c r="U445">
        <f>IFERROR($J445/IF($A445&lt;COUNTIFS($K$1:U$1,"&lt;&gt;"),0,SUMIFS($J:$J,$B:$B,$B445,$A:$A,"&gt;="&amp;COUNTIFS($K$1:U$1,"&lt;&gt;"))),0)</f>
        <v>0</v>
      </c>
      <c r="V445">
        <f>IFERROR($J445/IF($A445&lt;COUNTIFS($K$1:V$1,"&lt;&gt;"),0,SUMIFS($J:$J,$B:$B,$B445,$A:$A,"&gt;="&amp;COUNTIFS($K$1:V$1,"&lt;&gt;"))),0)</f>
        <v>0</v>
      </c>
      <c r="W445">
        <f t="shared" si="156"/>
        <v>8.4931506849315067E-2</v>
      </c>
      <c r="X445">
        <f t="shared" si="136"/>
        <v>8.4931506849315067E-2</v>
      </c>
      <c r="Y445">
        <f t="shared" si="137"/>
        <v>0</v>
      </c>
      <c r="Z445">
        <f t="shared" si="138"/>
        <v>0</v>
      </c>
      <c r="AA445">
        <f t="shared" si="139"/>
        <v>0</v>
      </c>
      <c r="AB445">
        <f t="shared" si="140"/>
        <v>0</v>
      </c>
      <c r="AC445">
        <f t="shared" si="141"/>
        <v>0</v>
      </c>
      <c r="AD445">
        <f t="shared" si="142"/>
        <v>0</v>
      </c>
      <c r="AE445">
        <f t="shared" si="143"/>
        <v>0</v>
      </c>
      <c r="AF445">
        <f t="shared" si="144"/>
        <v>0</v>
      </c>
      <c r="AG445">
        <f t="shared" si="145"/>
        <v>0</v>
      </c>
      <c r="AH445">
        <f t="shared" si="146"/>
        <v>0</v>
      </c>
      <c r="AI445">
        <f t="shared" si="147"/>
        <v>0</v>
      </c>
      <c r="AJ445" s="2" t="str">
        <f t="shared" si="157"/>
        <v>144866</v>
      </c>
    </row>
    <row r="446" spans="1:36" x14ac:dyDescent="0.25">
      <c r="A446">
        <v>2</v>
      </c>
      <c r="B446" s="1">
        <v>44866</v>
      </c>
      <c r="C446" s="1">
        <f t="shared" si="148"/>
        <v>44927</v>
      </c>
      <c r="D446" s="1">
        <f t="shared" si="149"/>
        <v>44880</v>
      </c>
      <c r="E446" s="1">
        <f t="shared" si="150"/>
        <v>44927</v>
      </c>
      <c r="F446" s="1">
        <f t="shared" si="151"/>
        <v>44958</v>
      </c>
      <c r="G446" s="1">
        <f t="shared" si="152"/>
        <v>45245</v>
      </c>
      <c r="H446">
        <f t="shared" si="153"/>
        <v>365</v>
      </c>
      <c r="I446">
        <f t="shared" si="154"/>
        <v>31</v>
      </c>
      <c r="J446">
        <f t="shared" si="155"/>
        <v>8.4931506849315067E-2</v>
      </c>
      <c r="K446">
        <f>IFERROR($J446/IF($A446&lt;COUNTIFS($K$1:K$1,"&lt;&gt;"),0,SUMIFS($J:$J,$B:$B,$B446,$A:$A,"&gt;="&amp;COUNTIFS($K$1:K$1,"&lt;&gt;"))),0)</f>
        <v>8.8825214899713484E-2</v>
      </c>
      <c r="L446">
        <f>IFERROR($J446/IF($A446&lt;COUNTIFS($K$1:L$1,"&lt;&gt;"),0,SUMIFS($J:$J,$B:$B,$B446,$A:$A,"&gt;="&amp;COUNTIFS($K$1:L$1,"&lt;&gt;"))),0)</f>
        <v>9.7484276729559768E-2</v>
      </c>
      <c r="M446">
        <f>IFERROR($J446/IF($A446&lt;COUNTIFS($K$1:M$1,"&lt;&gt;"),0,SUMIFS($J:$J,$B:$B,$B446,$A:$A,"&gt;="&amp;COUNTIFS($K$1:M$1,"&lt;&gt;"))),0)</f>
        <v>0</v>
      </c>
      <c r="N446">
        <f>IFERROR($J446/IF($A446&lt;COUNTIFS($K$1:N$1,"&lt;&gt;"),0,SUMIFS($J:$J,$B:$B,$B446,$A:$A,"&gt;="&amp;COUNTIFS($K$1:N$1,"&lt;&gt;"))),0)</f>
        <v>0</v>
      </c>
      <c r="O446">
        <f>IFERROR($J446/IF($A446&lt;COUNTIFS($K$1:O$1,"&lt;&gt;"),0,SUMIFS($J:$J,$B:$B,$B446,$A:$A,"&gt;="&amp;COUNTIFS($K$1:O$1,"&lt;&gt;"))),0)</f>
        <v>0</v>
      </c>
      <c r="P446">
        <f>IFERROR($J446/IF($A446&lt;COUNTIFS($K$1:P$1,"&lt;&gt;"),0,SUMIFS($J:$J,$B:$B,$B446,$A:$A,"&gt;="&amp;COUNTIFS($K$1:P$1,"&lt;&gt;"))),0)</f>
        <v>0</v>
      </c>
      <c r="Q446">
        <f>IFERROR($J446/IF($A446&lt;COUNTIFS($K$1:Q$1,"&lt;&gt;"),0,SUMIFS($J:$J,$B:$B,$B446,$A:$A,"&gt;="&amp;COUNTIFS($K$1:Q$1,"&lt;&gt;"))),0)</f>
        <v>0</v>
      </c>
      <c r="R446">
        <f>IFERROR($J446/IF($A446&lt;COUNTIFS($K$1:R$1,"&lt;&gt;"),0,SUMIFS($J:$J,$B:$B,$B446,$A:$A,"&gt;="&amp;COUNTIFS($K$1:R$1,"&lt;&gt;"))),0)</f>
        <v>0</v>
      </c>
      <c r="S446">
        <f>IFERROR($J446/IF($A446&lt;COUNTIFS($K$1:S$1,"&lt;&gt;"),0,SUMIFS($J:$J,$B:$B,$B446,$A:$A,"&gt;="&amp;COUNTIFS($K$1:S$1,"&lt;&gt;"))),0)</f>
        <v>0</v>
      </c>
      <c r="T446">
        <f>IFERROR($J446/IF($A446&lt;COUNTIFS($K$1:T$1,"&lt;&gt;"),0,SUMIFS($J:$J,$B:$B,$B446,$A:$A,"&gt;="&amp;COUNTIFS($K$1:T$1,"&lt;&gt;"))),0)</f>
        <v>0</v>
      </c>
      <c r="U446">
        <f>IFERROR($J446/IF($A446&lt;COUNTIFS($K$1:U$1,"&lt;&gt;"),0,SUMIFS($J:$J,$B:$B,$B446,$A:$A,"&gt;="&amp;COUNTIFS($K$1:U$1,"&lt;&gt;"))),0)</f>
        <v>0</v>
      </c>
      <c r="V446">
        <f>IFERROR($J446/IF($A446&lt;COUNTIFS($K$1:V$1,"&lt;&gt;"),0,SUMIFS($J:$J,$B:$B,$B446,$A:$A,"&gt;="&amp;COUNTIFS($K$1:V$1,"&lt;&gt;"))),0)</f>
        <v>0</v>
      </c>
      <c r="W446">
        <f t="shared" si="156"/>
        <v>8.4931506849315067E-2</v>
      </c>
      <c r="X446">
        <f t="shared" si="136"/>
        <v>8.4931506849315067E-2</v>
      </c>
      <c r="Y446">
        <f t="shared" si="137"/>
        <v>8.4931506849315067E-2</v>
      </c>
      <c r="Z446">
        <f t="shared" si="138"/>
        <v>0</v>
      </c>
      <c r="AA446">
        <f t="shared" si="139"/>
        <v>0</v>
      </c>
      <c r="AB446">
        <f t="shared" si="140"/>
        <v>0</v>
      </c>
      <c r="AC446">
        <f t="shared" si="141"/>
        <v>0</v>
      </c>
      <c r="AD446">
        <f t="shared" si="142"/>
        <v>0</v>
      </c>
      <c r="AE446">
        <f t="shared" si="143"/>
        <v>0</v>
      </c>
      <c r="AF446">
        <f t="shared" si="144"/>
        <v>0</v>
      </c>
      <c r="AG446">
        <f t="shared" si="145"/>
        <v>0</v>
      </c>
      <c r="AH446">
        <f t="shared" si="146"/>
        <v>0</v>
      </c>
      <c r="AI446">
        <f t="shared" si="147"/>
        <v>0</v>
      </c>
      <c r="AJ446" s="2" t="str">
        <f t="shared" si="157"/>
        <v>244866</v>
      </c>
    </row>
    <row r="447" spans="1:36" x14ac:dyDescent="0.25">
      <c r="A447">
        <v>3</v>
      </c>
      <c r="B447" s="1">
        <v>44866</v>
      </c>
      <c r="C447" s="1">
        <f t="shared" si="148"/>
        <v>44958</v>
      </c>
      <c r="D447" s="1">
        <f t="shared" si="149"/>
        <v>44880</v>
      </c>
      <c r="E447" s="1">
        <f t="shared" si="150"/>
        <v>44958</v>
      </c>
      <c r="F447" s="1">
        <f t="shared" si="151"/>
        <v>44986</v>
      </c>
      <c r="G447" s="1">
        <f t="shared" si="152"/>
        <v>45245</v>
      </c>
      <c r="H447">
        <f t="shared" si="153"/>
        <v>365</v>
      </c>
      <c r="I447">
        <f t="shared" si="154"/>
        <v>28</v>
      </c>
      <c r="J447">
        <f t="shared" si="155"/>
        <v>7.6712328767123292E-2</v>
      </c>
      <c r="K447">
        <f>IFERROR($J447/IF($A447&lt;COUNTIFS($K$1:K$1,"&lt;&gt;"),0,SUMIFS($J:$J,$B:$B,$B447,$A:$A,"&gt;="&amp;COUNTIFS($K$1:K$1,"&lt;&gt;"))),0)</f>
        <v>8.0229226361031539E-2</v>
      </c>
      <c r="L447">
        <f>IFERROR($J447/IF($A447&lt;COUNTIFS($K$1:L$1,"&lt;&gt;"),0,SUMIFS($J:$J,$B:$B,$B447,$A:$A,"&gt;="&amp;COUNTIFS($K$1:L$1,"&lt;&gt;"))),0)</f>
        <v>8.8050314465408827E-2</v>
      </c>
      <c r="M447">
        <f>IFERROR($J447/IF($A447&lt;COUNTIFS($K$1:M$1,"&lt;&gt;"),0,SUMIFS($J:$J,$B:$B,$B447,$A:$A,"&gt;="&amp;COUNTIFS($K$1:M$1,"&lt;&gt;"))),0)</f>
        <v>9.7560975609756115E-2</v>
      </c>
      <c r="N447">
        <f>IFERROR($J447/IF($A447&lt;COUNTIFS($K$1:N$1,"&lt;&gt;"),0,SUMIFS($J:$J,$B:$B,$B447,$A:$A,"&gt;="&amp;COUNTIFS($K$1:N$1,"&lt;&gt;"))),0)</f>
        <v>0</v>
      </c>
      <c r="O447">
        <f>IFERROR($J447/IF($A447&lt;COUNTIFS($K$1:O$1,"&lt;&gt;"),0,SUMIFS($J:$J,$B:$B,$B447,$A:$A,"&gt;="&amp;COUNTIFS($K$1:O$1,"&lt;&gt;"))),0)</f>
        <v>0</v>
      </c>
      <c r="P447">
        <f>IFERROR($J447/IF($A447&lt;COUNTIFS($K$1:P$1,"&lt;&gt;"),0,SUMIFS($J:$J,$B:$B,$B447,$A:$A,"&gt;="&amp;COUNTIFS($K$1:P$1,"&lt;&gt;"))),0)</f>
        <v>0</v>
      </c>
      <c r="Q447">
        <f>IFERROR($J447/IF($A447&lt;COUNTIFS($K$1:Q$1,"&lt;&gt;"),0,SUMIFS($J:$J,$B:$B,$B447,$A:$A,"&gt;="&amp;COUNTIFS($K$1:Q$1,"&lt;&gt;"))),0)</f>
        <v>0</v>
      </c>
      <c r="R447">
        <f>IFERROR($J447/IF($A447&lt;COUNTIFS($K$1:R$1,"&lt;&gt;"),0,SUMIFS($J:$J,$B:$B,$B447,$A:$A,"&gt;="&amp;COUNTIFS($K$1:R$1,"&lt;&gt;"))),0)</f>
        <v>0</v>
      </c>
      <c r="S447">
        <f>IFERROR($J447/IF($A447&lt;COUNTIFS($K$1:S$1,"&lt;&gt;"),0,SUMIFS($J:$J,$B:$B,$B447,$A:$A,"&gt;="&amp;COUNTIFS($K$1:S$1,"&lt;&gt;"))),0)</f>
        <v>0</v>
      </c>
      <c r="T447">
        <f>IFERROR($J447/IF($A447&lt;COUNTIFS($K$1:T$1,"&lt;&gt;"),0,SUMIFS($J:$J,$B:$B,$B447,$A:$A,"&gt;="&amp;COUNTIFS($K$1:T$1,"&lt;&gt;"))),0)</f>
        <v>0</v>
      </c>
      <c r="U447">
        <f>IFERROR($J447/IF($A447&lt;COUNTIFS($K$1:U$1,"&lt;&gt;"),0,SUMIFS($J:$J,$B:$B,$B447,$A:$A,"&gt;="&amp;COUNTIFS($K$1:U$1,"&lt;&gt;"))),0)</f>
        <v>0</v>
      </c>
      <c r="V447">
        <f>IFERROR($J447/IF($A447&lt;COUNTIFS($K$1:V$1,"&lt;&gt;"),0,SUMIFS($J:$J,$B:$B,$B447,$A:$A,"&gt;="&amp;COUNTIFS($K$1:V$1,"&lt;&gt;"))),0)</f>
        <v>0</v>
      </c>
      <c r="W447">
        <f t="shared" si="156"/>
        <v>7.6712328767123292E-2</v>
      </c>
      <c r="X447">
        <f t="shared" si="136"/>
        <v>7.6712328767123292E-2</v>
      </c>
      <c r="Y447">
        <f t="shared" si="137"/>
        <v>7.6712328767123292E-2</v>
      </c>
      <c r="Z447">
        <f t="shared" si="138"/>
        <v>7.6712328767123292E-2</v>
      </c>
      <c r="AA447">
        <f t="shared" si="139"/>
        <v>0</v>
      </c>
      <c r="AB447">
        <f t="shared" si="140"/>
        <v>0</v>
      </c>
      <c r="AC447">
        <f t="shared" si="141"/>
        <v>0</v>
      </c>
      <c r="AD447">
        <f t="shared" si="142"/>
        <v>0</v>
      </c>
      <c r="AE447">
        <f t="shared" si="143"/>
        <v>0</v>
      </c>
      <c r="AF447">
        <f t="shared" si="144"/>
        <v>0</v>
      </c>
      <c r="AG447">
        <f t="shared" si="145"/>
        <v>0</v>
      </c>
      <c r="AH447">
        <f t="shared" si="146"/>
        <v>0</v>
      </c>
      <c r="AI447">
        <f t="shared" si="147"/>
        <v>0</v>
      </c>
      <c r="AJ447" s="2" t="str">
        <f t="shared" si="157"/>
        <v>344866</v>
      </c>
    </row>
    <row r="448" spans="1:36" x14ac:dyDescent="0.25">
      <c r="A448">
        <v>4</v>
      </c>
      <c r="B448" s="1">
        <v>44866</v>
      </c>
      <c r="C448" s="1">
        <f t="shared" si="148"/>
        <v>44986</v>
      </c>
      <c r="D448" s="1">
        <f t="shared" si="149"/>
        <v>44880</v>
      </c>
      <c r="E448" s="1">
        <f t="shared" si="150"/>
        <v>44986</v>
      </c>
      <c r="F448" s="1">
        <f t="shared" si="151"/>
        <v>45017</v>
      </c>
      <c r="G448" s="1">
        <f t="shared" si="152"/>
        <v>45245</v>
      </c>
      <c r="H448">
        <f t="shared" si="153"/>
        <v>365</v>
      </c>
      <c r="I448">
        <f t="shared" si="154"/>
        <v>31</v>
      </c>
      <c r="J448">
        <f t="shared" si="155"/>
        <v>8.4931506849315067E-2</v>
      </c>
      <c r="K448">
        <f>IFERROR($J448/IF($A448&lt;COUNTIFS($K$1:K$1,"&lt;&gt;"),0,SUMIFS($J:$J,$B:$B,$B448,$A:$A,"&gt;="&amp;COUNTIFS($K$1:K$1,"&lt;&gt;"))),0)</f>
        <v>8.8825214899713484E-2</v>
      </c>
      <c r="L448">
        <f>IFERROR($J448/IF($A448&lt;COUNTIFS($K$1:L$1,"&lt;&gt;"),0,SUMIFS($J:$J,$B:$B,$B448,$A:$A,"&gt;="&amp;COUNTIFS($K$1:L$1,"&lt;&gt;"))),0)</f>
        <v>9.7484276729559768E-2</v>
      </c>
      <c r="M448">
        <f>IFERROR($J448/IF($A448&lt;COUNTIFS($K$1:M$1,"&lt;&gt;"),0,SUMIFS($J:$J,$B:$B,$B448,$A:$A,"&gt;="&amp;COUNTIFS($K$1:M$1,"&lt;&gt;"))),0)</f>
        <v>0.10801393728222998</v>
      </c>
      <c r="N448">
        <f>IFERROR($J448/IF($A448&lt;COUNTIFS($K$1:N$1,"&lt;&gt;"),0,SUMIFS($J:$J,$B:$B,$B448,$A:$A,"&gt;="&amp;COUNTIFS($K$1:N$1,"&lt;&gt;"))),0)</f>
        <v>0.11969111969111972</v>
      </c>
      <c r="O448">
        <f>IFERROR($J448/IF($A448&lt;COUNTIFS($K$1:O$1,"&lt;&gt;"),0,SUMIFS($J:$J,$B:$B,$B448,$A:$A,"&gt;="&amp;COUNTIFS($K$1:O$1,"&lt;&gt;"))),0)</f>
        <v>0</v>
      </c>
      <c r="P448">
        <f>IFERROR($J448/IF($A448&lt;COUNTIFS($K$1:P$1,"&lt;&gt;"),0,SUMIFS($J:$J,$B:$B,$B448,$A:$A,"&gt;="&amp;COUNTIFS($K$1:P$1,"&lt;&gt;"))),0)</f>
        <v>0</v>
      </c>
      <c r="Q448">
        <f>IFERROR($J448/IF($A448&lt;COUNTIFS($K$1:Q$1,"&lt;&gt;"),0,SUMIFS($J:$J,$B:$B,$B448,$A:$A,"&gt;="&amp;COUNTIFS($K$1:Q$1,"&lt;&gt;"))),0)</f>
        <v>0</v>
      </c>
      <c r="R448">
        <f>IFERROR($J448/IF($A448&lt;COUNTIFS($K$1:R$1,"&lt;&gt;"),0,SUMIFS($J:$J,$B:$B,$B448,$A:$A,"&gt;="&amp;COUNTIFS($K$1:R$1,"&lt;&gt;"))),0)</f>
        <v>0</v>
      </c>
      <c r="S448">
        <f>IFERROR($J448/IF($A448&lt;COUNTIFS($K$1:S$1,"&lt;&gt;"),0,SUMIFS($J:$J,$B:$B,$B448,$A:$A,"&gt;="&amp;COUNTIFS($K$1:S$1,"&lt;&gt;"))),0)</f>
        <v>0</v>
      </c>
      <c r="T448">
        <f>IFERROR($J448/IF($A448&lt;COUNTIFS($K$1:T$1,"&lt;&gt;"),0,SUMIFS($J:$J,$B:$B,$B448,$A:$A,"&gt;="&amp;COUNTIFS($K$1:T$1,"&lt;&gt;"))),0)</f>
        <v>0</v>
      </c>
      <c r="U448">
        <f>IFERROR($J448/IF($A448&lt;COUNTIFS($K$1:U$1,"&lt;&gt;"),0,SUMIFS($J:$J,$B:$B,$B448,$A:$A,"&gt;="&amp;COUNTIFS($K$1:U$1,"&lt;&gt;"))),0)</f>
        <v>0</v>
      </c>
      <c r="V448">
        <f>IFERROR($J448/IF($A448&lt;COUNTIFS($K$1:V$1,"&lt;&gt;"),0,SUMIFS($J:$J,$B:$B,$B448,$A:$A,"&gt;="&amp;COUNTIFS($K$1:V$1,"&lt;&gt;"))),0)</f>
        <v>0</v>
      </c>
      <c r="W448">
        <f t="shared" si="156"/>
        <v>8.4931506849315067E-2</v>
      </c>
      <c r="X448">
        <f t="shared" si="136"/>
        <v>8.4931506849315067E-2</v>
      </c>
      <c r="Y448">
        <f t="shared" si="137"/>
        <v>8.4931506849315067E-2</v>
      </c>
      <c r="Z448">
        <f t="shared" si="138"/>
        <v>8.4931506849315067E-2</v>
      </c>
      <c r="AA448">
        <f t="shared" si="139"/>
        <v>8.4931506849315067E-2</v>
      </c>
      <c r="AB448">
        <f t="shared" si="140"/>
        <v>0</v>
      </c>
      <c r="AC448">
        <f t="shared" si="141"/>
        <v>0</v>
      </c>
      <c r="AD448">
        <f t="shared" si="142"/>
        <v>0</v>
      </c>
      <c r="AE448">
        <f t="shared" si="143"/>
        <v>0</v>
      </c>
      <c r="AF448">
        <f t="shared" si="144"/>
        <v>0</v>
      </c>
      <c r="AG448">
        <f t="shared" si="145"/>
        <v>0</v>
      </c>
      <c r="AH448">
        <f t="shared" si="146"/>
        <v>0</v>
      </c>
      <c r="AI448">
        <f t="shared" si="147"/>
        <v>0</v>
      </c>
      <c r="AJ448" s="2" t="str">
        <f t="shared" si="157"/>
        <v>444866</v>
      </c>
    </row>
    <row r="449" spans="1:36" x14ac:dyDescent="0.25">
      <c r="A449">
        <v>5</v>
      </c>
      <c r="B449" s="1">
        <v>44866</v>
      </c>
      <c r="C449" s="1">
        <f t="shared" si="148"/>
        <v>45017</v>
      </c>
      <c r="D449" s="1">
        <f t="shared" si="149"/>
        <v>44880</v>
      </c>
      <c r="E449" s="1">
        <f t="shared" si="150"/>
        <v>45017</v>
      </c>
      <c r="F449" s="1">
        <f t="shared" si="151"/>
        <v>45047</v>
      </c>
      <c r="G449" s="1">
        <f t="shared" si="152"/>
        <v>45245</v>
      </c>
      <c r="H449">
        <f t="shared" si="153"/>
        <v>365</v>
      </c>
      <c r="I449">
        <f t="shared" si="154"/>
        <v>30</v>
      </c>
      <c r="J449">
        <f t="shared" si="155"/>
        <v>8.2191780821917804E-2</v>
      </c>
      <c r="K449">
        <f>IFERROR($J449/IF($A449&lt;COUNTIFS($K$1:K$1,"&lt;&gt;"),0,SUMIFS($J:$J,$B:$B,$B449,$A:$A,"&gt;="&amp;COUNTIFS($K$1:K$1,"&lt;&gt;"))),0)</f>
        <v>8.5959885386819493E-2</v>
      </c>
      <c r="L449">
        <f>IFERROR($J449/IF($A449&lt;COUNTIFS($K$1:L$1,"&lt;&gt;"),0,SUMIFS($J:$J,$B:$B,$B449,$A:$A,"&gt;="&amp;COUNTIFS($K$1:L$1,"&lt;&gt;"))),0)</f>
        <v>9.4339622641509441E-2</v>
      </c>
      <c r="M449">
        <f>IFERROR($J449/IF($A449&lt;COUNTIFS($K$1:M$1,"&lt;&gt;"),0,SUMIFS($J:$J,$B:$B,$B449,$A:$A,"&gt;="&amp;COUNTIFS($K$1:M$1,"&lt;&gt;"))),0)</f>
        <v>0.10452961672473869</v>
      </c>
      <c r="N449">
        <f>IFERROR($J449/IF($A449&lt;COUNTIFS($K$1:N$1,"&lt;&gt;"),0,SUMIFS($J:$J,$B:$B,$B449,$A:$A,"&gt;="&amp;COUNTIFS($K$1:N$1,"&lt;&gt;"))),0)</f>
        <v>0.11583011583011585</v>
      </c>
      <c r="O449">
        <f>IFERROR($J449/IF($A449&lt;COUNTIFS($K$1:O$1,"&lt;&gt;"),0,SUMIFS($J:$J,$B:$B,$B449,$A:$A,"&gt;="&amp;COUNTIFS($K$1:O$1,"&lt;&gt;"))),0)</f>
        <v>0.13157894736842107</v>
      </c>
      <c r="P449">
        <f>IFERROR($J449/IF($A449&lt;COUNTIFS($K$1:P$1,"&lt;&gt;"),0,SUMIFS($J:$J,$B:$B,$B449,$A:$A,"&gt;="&amp;COUNTIFS($K$1:P$1,"&lt;&gt;"))),0)</f>
        <v>0</v>
      </c>
      <c r="Q449">
        <f>IFERROR($J449/IF($A449&lt;COUNTIFS($K$1:Q$1,"&lt;&gt;"),0,SUMIFS($J:$J,$B:$B,$B449,$A:$A,"&gt;="&amp;COUNTIFS($K$1:Q$1,"&lt;&gt;"))),0)</f>
        <v>0</v>
      </c>
      <c r="R449">
        <f>IFERROR($J449/IF($A449&lt;COUNTIFS($K$1:R$1,"&lt;&gt;"),0,SUMIFS($J:$J,$B:$B,$B449,$A:$A,"&gt;="&amp;COUNTIFS($K$1:R$1,"&lt;&gt;"))),0)</f>
        <v>0</v>
      </c>
      <c r="S449">
        <f>IFERROR($J449/IF($A449&lt;COUNTIFS($K$1:S$1,"&lt;&gt;"),0,SUMIFS($J:$J,$B:$B,$B449,$A:$A,"&gt;="&amp;COUNTIFS($K$1:S$1,"&lt;&gt;"))),0)</f>
        <v>0</v>
      </c>
      <c r="T449">
        <f>IFERROR($J449/IF($A449&lt;COUNTIFS($K$1:T$1,"&lt;&gt;"),0,SUMIFS($J:$J,$B:$B,$B449,$A:$A,"&gt;="&amp;COUNTIFS($K$1:T$1,"&lt;&gt;"))),0)</f>
        <v>0</v>
      </c>
      <c r="U449">
        <f>IFERROR($J449/IF($A449&lt;COUNTIFS($K$1:U$1,"&lt;&gt;"),0,SUMIFS($J:$J,$B:$B,$B449,$A:$A,"&gt;="&amp;COUNTIFS($K$1:U$1,"&lt;&gt;"))),0)</f>
        <v>0</v>
      </c>
      <c r="V449">
        <f>IFERROR($J449/IF($A449&lt;COUNTIFS($K$1:V$1,"&lt;&gt;"),0,SUMIFS($J:$J,$B:$B,$B449,$A:$A,"&gt;="&amp;COUNTIFS($K$1:V$1,"&lt;&gt;"))),0)</f>
        <v>0</v>
      </c>
      <c r="W449">
        <f t="shared" si="156"/>
        <v>8.2191780821917804E-2</v>
      </c>
      <c r="X449">
        <f t="shared" si="136"/>
        <v>8.2191780821917804E-2</v>
      </c>
      <c r="Y449">
        <f t="shared" si="137"/>
        <v>8.2191780821917804E-2</v>
      </c>
      <c r="Z449">
        <f t="shared" si="138"/>
        <v>8.2191780821917804E-2</v>
      </c>
      <c r="AA449">
        <f t="shared" si="139"/>
        <v>8.2191780821917804E-2</v>
      </c>
      <c r="AB449">
        <f t="shared" si="140"/>
        <v>8.2191780821917804E-2</v>
      </c>
      <c r="AC449">
        <f t="shared" si="141"/>
        <v>0</v>
      </c>
      <c r="AD449">
        <f t="shared" si="142"/>
        <v>0</v>
      </c>
      <c r="AE449">
        <f t="shared" si="143"/>
        <v>0</v>
      </c>
      <c r="AF449">
        <f t="shared" si="144"/>
        <v>0</v>
      </c>
      <c r="AG449">
        <f t="shared" si="145"/>
        <v>0</v>
      </c>
      <c r="AH449">
        <f t="shared" si="146"/>
        <v>0</v>
      </c>
      <c r="AI449">
        <f t="shared" si="147"/>
        <v>0</v>
      </c>
      <c r="AJ449" s="2" t="str">
        <f t="shared" si="157"/>
        <v>544866</v>
      </c>
    </row>
    <row r="450" spans="1:36" x14ac:dyDescent="0.25">
      <c r="A450">
        <v>6</v>
      </c>
      <c r="B450" s="1">
        <v>44866</v>
      </c>
      <c r="C450" s="1">
        <f t="shared" si="148"/>
        <v>45047</v>
      </c>
      <c r="D450" s="1">
        <f t="shared" si="149"/>
        <v>44880</v>
      </c>
      <c r="E450" s="1">
        <f t="shared" si="150"/>
        <v>45047</v>
      </c>
      <c r="F450" s="1">
        <f t="shared" si="151"/>
        <v>45078</v>
      </c>
      <c r="G450" s="1">
        <f t="shared" si="152"/>
        <v>45245</v>
      </c>
      <c r="H450">
        <f t="shared" si="153"/>
        <v>365</v>
      </c>
      <c r="I450">
        <f t="shared" si="154"/>
        <v>31</v>
      </c>
      <c r="J450">
        <f t="shared" si="155"/>
        <v>8.4931506849315067E-2</v>
      </c>
      <c r="K450">
        <f>IFERROR($J450/IF($A450&lt;COUNTIFS($K$1:K$1,"&lt;&gt;"),0,SUMIFS($J:$J,$B:$B,$B450,$A:$A,"&gt;="&amp;COUNTIFS($K$1:K$1,"&lt;&gt;"))),0)</f>
        <v>8.8825214899713484E-2</v>
      </c>
      <c r="L450">
        <f>IFERROR($J450/IF($A450&lt;COUNTIFS($K$1:L$1,"&lt;&gt;"),0,SUMIFS($J:$J,$B:$B,$B450,$A:$A,"&gt;="&amp;COUNTIFS($K$1:L$1,"&lt;&gt;"))),0)</f>
        <v>9.7484276729559768E-2</v>
      </c>
      <c r="M450">
        <f>IFERROR($J450/IF($A450&lt;COUNTIFS($K$1:M$1,"&lt;&gt;"),0,SUMIFS($J:$J,$B:$B,$B450,$A:$A,"&gt;="&amp;COUNTIFS($K$1:M$1,"&lt;&gt;"))),0)</f>
        <v>0.10801393728222998</v>
      </c>
      <c r="N450">
        <f>IFERROR($J450/IF($A450&lt;COUNTIFS($K$1:N$1,"&lt;&gt;"),0,SUMIFS($J:$J,$B:$B,$B450,$A:$A,"&gt;="&amp;COUNTIFS($K$1:N$1,"&lt;&gt;"))),0)</f>
        <v>0.11969111969111972</v>
      </c>
      <c r="O450">
        <f>IFERROR($J450/IF($A450&lt;COUNTIFS($K$1:O$1,"&lt;&gt;"),0,SUMIFS($J:$J,$B:$B,$B450,$A:$A,"&gt;="&amp;COUNTIFS($K$1:O$1,"&lt;&gt;"))),0)</f>
        <v>0.13596491228070179</v>
      </c>
      <c r="P450">
        <f>IFERROR($J450/IF($A450&lt;COUNTIFS($K$1:P$1,"&lt;&gt;"),0,SUMIFS($J:$J,$B:$B,$B450,$A:$A,"&gt;="&amp;COUNTIFS($K$1:P$1,"&lt;&gt;"))),0)</f>
        <v>0.1565656565656566</v>
      </c>
      <c r="Q450">
        <f>IFERROR($J450/IF($A450&lt;COUNTIFS($K$1:Q$1,"&lt;&gt;"),0,SUMIFS($J:$J,$B:$B,$B450,$A:$A,"&gt;="&amp;COUNTIFS($K$1:Q$1,"&lt;&gt;"))),0)</f>
        <v>0</v>
      </c>
      <c r="R450">
        <f>IFERROR($J450/IF($A450&lt;COUNTIFS($K$1:R$1,"&lt;&gt;"),0,SUMIFS($J:$J,$B:$B,$B450,$A:$A,"&gt;="&amp;COUNTIFS($K$1:R$1,"&lt;&gt;"))),0)</f>
        <v>0</v>
      </c>
      <c r="S450">
        <f>IFERROR($J450/IF($A450&lt;COUNTIFS($K$1:S$1,"&lt;&gt;"),0,SUMIFS($J:$J,$B:$B,$B450,$A:$A,"&gt;="&amp;COUNTIFS($K$1:S$1,"&lt;&gt;"))),0)</f>
        <v>0</v>
      </c>
      <c r="T450">
        <f>IFERROR($J450/IF($A450&lt;COUNTIFS($K$1:T$1,"&lt;&gt;"),0,SUMIFS($J:$J,$B:$B,$B450,$A:$A,"&gt;="&amp;COUNTIFS($K$1:T$1,"&lt;&gt;"))),0)</f>
        <v>0</v>
      </c>
      <c r="U450">
        <f>IFERROR($J450/IF($A450&lt;COUNTIFS($K$1:U$1,"&lt;&gt;"),0,SUMIFS($J:$J,$B:$B,$B450,$A:$A,"&gt;="&amp;COUNTIFS($K$1:U$1,"&lt;&gt;"))),0)</f>
        <v>0</v>
      </c>
      <c r="V450">
        <f>IFERROR($J450/IF($A450&lt;COUNTIFS($K$1:V$1,"&lt;&gt;"),0,SUMIFS($J:$J,$B:$B,$B450,$A:$A,"&gt;="&amp;COUNTIFS($K$1:V$1,"&lt;&gt;"))),0)</f>
        <v>0</v>
      </c>
      <c r="W450">
        <f t="shared" si="156"/>
        <v>8.4931506849315067E-2</v>
      </c>
      <c r="X450">
        <f t="shared" ref="X450:X513" si="158">IF(K450=0,0,$J450)</f>
        <v>8.4931506849315067E-2</v>
      </c>
      <c r="Y450">
        <f t="shared" ref="Y450:Y513" si="159">IF(L450=0,0,$J450)</f>
        <v>8.4931506849315067E-2</v>
      </c>
      <c r="Z450">
        <f t="shared" ref="Z450:Z513" si="160">IF(M450=0,0,$J450)</f>
        <v>8.4931506849315067E-2</v>
      </c>
      <c r="AA450">
        <f t="shared" ref="AA450:AA513" si="161">IF(N450=0,0,$J450)</f>
        <v>8.4931506849315067E-2</v>
      </c>
      <c r="AB450">
        <f t="shared" ref="AB450:AB513" si="162">IF(O450=0,0,$J450)</f>
        <v>8.4931506849315067E-2</v>
      </c>
      <c r="AC450">
        <f t="shared" ref="AC450:AC513" si="163">IF(P450=0,0,$J450)</f>
        <v>8.4931506849315067E-2</v>
      </c>
      <c r="AD450">
        <f t="shared" ref="AD450:AD513" si="164">IF(Q450=0,0,$J450)</f>
        <v>0</v>
      </c>
      <c r="AE450">
        <f t="shared" ref="AE450:AE513" si="165">IF(R450=0,0,$J450)</f>
        <v>0</v>
      </c>
      <c r="AF450">
        <f t="shared" ref="AF450:AF513" si="166">IF(S450=0,0,$J450)</f>
        <v>0</v>
      </c>
      <c r="AG450">
        <f t="shared" ref="AG450:AG513" si="167">IF(T450=0,0,$J450)</f>
        <v>0</v>
      </c>
      <c r="AH450">
        <f t="shared" ref="AH450:AH513" si="168">IF(U450=0,0,$J450)</f>
        <v>0</v>
      </c>
      <c r="AI450">
        <f t="shared" ref="AI450:AI513" si="169">IF(V450=0,0,$J450)</f>
        <v>0</v>
      </c>
      <c r="AJ450" s="2" t="str">
        <f t="shared" si="157"/>
        <v>644866</v>
      </c>
    </row>
    <row r="451" spans="1:36" x14ac:dyDescent="0.25">
      <c r="A451">
        <v>7</v>
      </c>
      <c r="B451" s="1">
        <v>44866</v>
      </c>
      <c r="C451" s="1">
        <f t="shared" ref="C451:C514" si="170">EDATE(B451,A451)</f>
        <v>45078</v>
      </c>
      <c r="D451" s="1">
        <f t="shared" ref="D451:D514" si="171">B451+14</f>
        <v>44880</v>
      </c>
      <c r="E451" s="1">
        <f t="shared" ref="E451:E514" si="172">IF($A451=0,C451+14,C451)</f>
        <v>45078</v>
      </c>
      <c r="F451" s="1">
        <f t="shared" ref="F451:F514" si="173">IF(EDATE(C451,1)&gt;G451,G451,EDATE(C451,1))</f>
        <v>45108</v>
      </c>
      <c r="G451" s="1">
        <f t="shared" ref="G451:G514" si="174">EDATE(D451,12)</f>
        <v>45245</v>
      </c>
      <c r="H451">
        <f t="shared" ref="H451:H514" si="175">G451-D451</f>
        <v>365</v>
      </c>
      <c r="I451">
        <f t="shared" ref="I451:I514" si="176">F451-E451</f>
        <v>30</v>
      </c>
      <c r="J451">
        <f t="shared" ref="J451:J514" si="177">I451/H451</f>
        <v>8.2191780821917804E-2</v>
      </c>
      <c r="K451">
        <f>IFERROR($J451/IF($A451&lt;COUNTIFS($K$1:K$1,"&lt;&gt;"),0,SUMIFS($J:$J,$B:$B,$B451,$A:$A,"&gt;="&amp;COUNTIFS($K$1:K$1,"&lt;&gt;"))),0)</f>
        <v>8.5959885386819493E-2</v>
      </c>
      <c r="L451">
        <f>IFERROR($J451/IF($A451&lt;COUNTIFS($K$1:L$1,"&lt;&gt;"),0,SUMIFS($J:$J,$B:$B,$B451,$A:$A,"&gt;="&amp;COUNTIFS($K$1:L$1,"&lt;&gt;"))),0)</f>
        <v>9.4339622641509441E-2</v>
      </c>
      <c r="M451">
        <f>IFERROR($J451/IF($A451&lt;COUNTIFS($K$1:M$1,"&lt;&gt;"),0,SUMIFS($J:$J,$B:$B,$B451,$A:$A,"&gt;="&amp;COUNTIFS($K$1:M$1,"&lt;&gt;"))),0)</f>
        <v>0.10452961672473869</v>
      </c>
      <c r="N451">
        <f>IFERROR($J451/IF($A451&lt;COUNTIFS($K$1:N$1,"&lt;&gt;"),0,SUMIFS($J:$J,$B:$B,$B451,$A:$A,"&gt;="&amp;COUNTIFS($K$1:N$1,"&lt;&gt;"))),0)</f>
        <v>0.11583011583011585</v>
      </c>
      <c r="O451">
        <f>IFERROR($J451/IF($A451&lt;COUNTIFS($K$1:O$1,"&lt;&gt;"),0,SUMIFS($J:$J,$B:$B,$B451,$A:$A,"&gt;="&amp;COUNTIFS($K$1:O$1,"&lt;&gt;"))),0)</f>
        <v>0.13157894736842107</v>
      </c>
      <c r="P451">
        <f>IFERROR($J451/IF($A451&lt;COUNTIFS($K$1:P$1,"&lt;&gt;"),0,SUMIFS($J:$J,$B:$B,$B451,$A:$A,"&gt;="&amp;COUNTIFS($K$1:P$1,"&lt;&gt;"))),0)</f>
        <v>0.15151515151515155</v>
      </c>
      <c r="Q451">
        <f>IFERROR($J451/IF($A451&lt;COUNTIFS($K$1:Q$1,"&lt;&gt;"),0,SUMIFS($J:$J,$B:$B,$B451,$A:$A,"&gt;="&amp;COUNTIFS($K$1:Q$1,"&lt;&gt;"))),0)</f>
        <v>0.17964071856287425</v>
      </c>
      <c r="R451">
        <f>IFERROR($J451/IF($A451&lt;COUNTIFS($K$1:R$1,"&lt;&gt;"),0,SUMIFS($J:$J,$B:$B,$B451,$A:$A,"&gt;="&amp;COUNTIFS($K$1:R$1,"&lt;&gt;"))),0)</f>
        <v>0</v>
      </c>
      <c r="S451">
        <f>IFERROR($J451/IF($A451&lt;COUNTIFS($K$1:S$1,"&lt;&gt;"),0,SUMIFS($J:$J,$B:$B,$B451,$A:$A,"&gt;="&amp;COUNTIFS($K$1:S$1,"&lt;&gt;"))),0)</f>
        <v>0</v>
      </c>
      <c r="T451">
        <f>IFERROR($J451/IF($A451&lt;COUNTIFS($K$1:T$1,"&lt;&gt;"),0,SUMIFS($J:$J,$B:$B,$B451,$A:$A,"&gt;="&amp;COUNTIFS($K$1:T$1,"&lt;&gt;"))),0)</f>
        <v>0</v>
      </c>
      <c r="U451">
        <f>IFERROR($J451/IF($A451&lt;COUNTIFS($K$1:U$1,"&lt;&gt;"),0,SUMIFS($J:$J,$B:$B,$B451,$A:$A,"&gt;="&amp;COUNTIFS($K$1:U$1,"&lt;&gt;"))),0)</f>
        <v>0</v>
      </c>
      <c r="V451">
        <f>IFERROR($J451/IF($A451&lt;COUNTIFS($K$1:V$1,"&lt;&gt;"),0,SUMIFS($J:$J,$B:$B,$B451,$A:$A,"&gt;="&amp;COUNTIFS($K$1:V$1,"&lt;&gt;"))),0)</f>
        <v>0</v>
      </c>
      <c r="W451">
        <f t="shared" ref="W451:W514" si="178">IF(J451=0,0,$J451)</f>
        <v>8.2191780821917804E-2</v>
      </c>
      <c r="X451">
        <f t="shared" si="158"/>
        <v>8.2191780821917804E-2</v>
      </c>
      <c r="Y451">
        <f t="shared" si="159"/>
        <v>8.2191780821917804E-2</v>
      </c>
      <c r="Z451">
        <f t="shared" si="160"/>
        <v>8.2191780821917804E-2</v>
      </c>
      <c r="AA451">
        <f t="shared" si="161"/>
        <v>8.2191780821917804E-2</v>
      </c>
      <c r="AB451">
        <f t="shared" si="162"/>
        <v>8.2191780821917804E-2</v>
      </c>
      <c r="AC451">
        <f t="shared" si="163"/>
        <v>8.2191780821917804E-2</v>
      </c>
      <c r="AD451">
        <f t="shared" si="164"/>
        <v>8.2191780821917804E-2</v>
      </c>
      <c r="AE451">
        <f t="shared" si="165"/>
        <v>0</v>
      </c>
      <c r="AF451">
        <f t="shared" si="166"/>
        <v>0</v>
      </c>
      <c r="AG451">
        <f t="shared" si="167"/>
        <v>0</v>
      </c>
      <c r="AH451">
        <f t="shared" si="168"/>
        <v>0</v>
      </c>
      <c r="AI451">
        <f t="shared" si="169"/>
        <v>0</v>
      </c>
      <c r="AJ451" s="2" t="str">
        <f t="shared" ref="AJ451:AJ514" si="179">A451&amp;B451</f>
        <v>744866</v>
      </c>
    </row>
    <row r="452" spans="1:36" x14ac:dyDescent="0.25">
      <c r="A452">
        <v>8</v>
      </c>
      <c r="B452" s="1">
        <v>44866</v>
      </c>
      <c r="C452" s="1">
        <f t="shared" si="170"/>
        <v>45108</v>
      </c>
      <c r="D452" s="1">
        <f t="shared" si="171"/>
        <v>44880</v>
      </c>
      <c r="E452" s="1">
        <f t="shared" si="172"/>
        <v>45108</v>
      </c>
      <c r="F452" s="1">
        <f t="shared" si="173"/>
        <v>45139</v>
      </c>
      <c r="G452" s="1">
        <f t="shared" si="174"/>
        <v>45245</v>
      </c>
      <c r="H452">
        <f t="shared" si="175"/>
        <v>365</v>
      </c>
      <c r="I452">
        <f t="shared" si="176"/>
        <v>31</v>
      </c>
      <c r="J452">
        <f t="shared" si="177"/>
        <v>8.4931506849315067E-2</v>
      </c>
      <c r="K452">
        <f>IFERROR($J452/IF($A452&lt;COUNTIFS($K$1:K$1,"&lt;&gt;"),0,SUMIFS($J:$J,$B:$B,$B452,$A:$A,"&gt;="&amp;COUNTIFS($K$1:K$1,"&lt;&gt;"))),0)</f>
        <v>8.8825214899713484E-2</v>
      </c>
      <c r="L452">
        <f>IFERROR($J452/IF($A452&lt;COUNTIFS($K$1:L$1,"&lt;&gt;"),0,SUMIFS($J:$J,$B:$B,$B452,$A:$A,"&gt;="&amp;COUNTIFS($K$1:L$1,"&lt;&gt;"))),0)</f>
        <v>9.7484276729559768E-2</v>
      </c>
      <c r="M452">
        <f>IFERROR($J452/IF($A452&lt;COUNTIFS($K$1:M$1,"&lt;&gt;"),0,SUMIFS($J:$J,$B:$B,$B452,$A:$A,"&gt;="&amp;COUNTIFS($K$1:M$1,"&lt;&gt;"))),0)</f>
        <v>0.10801393728222998</v>
      </c>
      <c r="N452">
        <f>IFERROR($J452/IF($A452&lt;COUNTIFS($K$1:N$1,"&lt;&gt;"),0,SUMIFS($J:$J,$B:$B,$B452,$A:$A,"&gt;="&amp;COUNTIFS($K$1:N$1,"&lt;&gt;"))),0)</f>
        <v>0.11969111969111972</v>
      </c>
      <c r="O452">
        <f>IFERROR($J452/IF($A452&lt;COUNTIFS($K$1:O$1,"&lt;&gt;"),0,SUMIFS($J:$J,$B:$B,$B452,$A:$A,"&gt;="&amp;COUNTIFS($K$1:O$1,"&lt;&gt;"))),0)</f>
        <v>0.13596491228070179</v>
      </c>
      <c r="P452">
        <f>IFERROR($J452/IF($A452&lt;COUNTIFS($K$1:P$1,"&lt;&gt;"),0,SUMIFS($J:$J,$B:$B,$B452,$A:$A,"&gt;="&amp;COUNTIFS($K$1:P$1,"&lt;&gt;"))),0)</f>
        <v>0.1565656565656566</v>
      </c>
      <c r="Q452">
        <f>IFERROR($J452/IF($A452&lt;COUNTIFS($K$1:Q$1,"&lt;&gt;"),0,SUMIFS($J:$J,$B:$B,$B452,$A:$A,"&gt;="&amp;COUNTIFS($K$1:Q$1,"&lt;&gt;"))),0)</f>
        <v>0.18562874251497008</v>
      </c>
      <c r="R452">
        <f>IFERROR($J452/IF($A452&lt;COUNTIFS($K$1:R$1,"&lt;&gt;"),0,SUMIFS($J:$J,$B:$B,$B452,$A:$A,"&gt;="&amp;COUNTIFS($K$1:R$1,"&lt;&gt;"))),0)</f>
        <v>0.22627737226277375</v>
      </c>
      <c r="S452">
        <f>IFERROR($J452/IF($A452&lt;COUNTIFS($K$1:S$1,"&lt;&gt;"),0,SUMIFS($J:$J,$B:$B,$B452,$A:$A,"&gt;="&amp;COUNTIFS($K$1:S$1,"&lt;&gt;"))),0)</f>
        <v>0</v>
      </c>
      <c r="T452">
        <f>IFERROR($J452/IF($A452&lt;COUNTIFS($K$1:T$1,"&lt;&gt;"),0,SUMIFS($J:$J,$B:$B,$B452,$A:$A,"&gt;="&amp;COUNTIFS($K$1:T$1,"&lt;&gt;"))),0)</f>
        <v>0</v>
      </c>
      <c r="U452">
        <f>IFERROR($J452/IF($A452&lt;COUNTIFS($K$1:U$1,"&lt;&gt;"),0,SUMIFS($J:$J,$B:$B,$B452,$A:$A,"&gt;="&amp;COUNTIFS($K$1:U$1,"&lt;&gt;"))),0)</f>
        <v>0</v>
      </c>
      <c r="V452">
        <f>IFERROR($J452/IF($A452&lt;COUNTIFS($K$1:V$1,"&lt;&gt;"),0,SUMIFS($J:$J,$B:$B,$B452,$A:$A,"&gt;="&amp;COUNTIFS($K$1:V$1,"&lt;&gt;"))),0)</f>
        <v>0</v>
      </c>
      <c r="W452">
        <f t="shared" si="178"/>
        <v>8.4931506849315067E-2</v>
      </c>
      <c r="X452">
        <f t="shared" si="158"/>
        <v>8.4931506849315067E-2</v>
      </c>
      <c r="Y452">
        <f t="shared" si="159"/>
        <v>8.4931506849315067E-2</v>
      </c>
      <c r="Z452">
        <f t="shared" si="160"/>
        <v>8.4931506849315067E-2</v>
      </c>
      <c r="AA452">
        <f t="shared" si="161"/>
        <v>8.4931506849315067E-2</v>
      </c>
      <c r="AB452">
        <f t="shared" si="162"/>
        <v>8.4931506849315067E-2</v>
      </c>
      <c r="AC452">
        <f t="shared" si="163"/>
        <v>8.4931506849315067E-2</v>
      </c>
      <c r="AD452">
        <f t="shared" si="164"/>
        <v>8.4931506849315067E-2</v>
      </c>
      <c r="AE452">
        <f t="shared" si="165"/>
        <v>8.4931506849315067E-2</v>
      </c>
      <c r="AF452">
        <f t="shared" si="166"/>
        <v>0</v>
      </c>
      <c r="AG452">
        <f t="shared" si="167"/>
        <v>0</v>
      </c>
      <c r="AH452">
        <f t="shared" si="168"/>
        <v>0</v>
      </c>
      <c r="AI452">
        <f t="shared" si="169"/>
        <v>0</v>
      </c>
      <c r="AJ452" s="2" t="str">
        <f t="shared" si="179"/>
        <v>844866</v>
      </c>
    </row>
    <row r="453" spans="1:36" x14ac:dyDescent="0.25">
      <c r="A453">
        <v>9</v>
      </c>
      <c r="B453" s="1">
        <v>44866</v>
      </c>
      <c r="C453" s="1">
        <f t="shared" si="170"/>
        <v>45139</v>
      </c>
      <c r="D453" s="1">
        <f t="shared" si="171"/>
        <v>44880</v>
      </c>
      <c r="E453" s="1">
        <f t="shared" si="172"/>
        <v>45139</v>
      </c>
      <c r="F453" s="1">
        <f t="shared" si="173"/>
        <v>45170</v>
      </c>
      <c r="G453" s="1">
        <f t="shared" si="174"/>
        <v>45245</v>
      </c>
      <c r="H453">
        <f t="shared" si="175"/>
        <v>365</v>
      </c>
      <c r="I453">
        <f t="shared" si="176"/>
        <v>31</v>
      </c>
      <c r="J453">
        <f t="shared" si="177"/>
        <v>8.4931506849315067E-2</v>
      </c>
      <c r="K453">
        <f>IFERROR($J453/IF($A453&lt;COUNTIFS($K$1:K$1,"&lt;&gt;"),0,SUMIFS($J:$J,$B:$B,$B453,$A:$A,"&gt;="&amp;COUNTIFS($K$1:K$1,"&lt;&gt;"))),0)</f>
        <v>8.8825214899713484E-2</v>
      </c>
      <c r="L453">
        <f>IFERROR($J453/IF($A453&lt;COUNTIFS($K$1:L$1,"&lt;&gt;"),0,SUMIFS($J:$J,$B:$B,$B453,$A:$A,"&gt;="&amp;COUNTIFS($K$1:L$1,"&lt;&gt;"))),0)</f>
        <v>9.7484276729559768E-2</v>
      </c>
      <c r="M453">
        <f>IFERROR($J453/IF($A453&lt;COUNTIFS($K$1:M$1,"&lt;&gt;"),0,SUMIFS($J:$J,$B:$B,$B453,$A:$A,"&gt;="&amp;COUNTIFS($K$1:M$1,"&lt;&gt;"))),0)</f>
        <v>0.10801393728222998</v>
      </c>
      <c r="N453">
        <f>IFERROR($J453/IF($A453&lt;COUNTIFS($K$1:N$1,"&lt;&gt;"),0,SUMIFS($J:$J,$B:$B,$B453,$A:$A,"&gt;="&amp;COUNTIFS($K$1:N$1,"&lt;&gt;"))),0)</f>
        <v>0.11969111969111972</v>
      </c>
      <c r="O453">
        <f>IFERROR($J453/IF($A453&lt;COUNTIFS($K$1:O$1,"&lt;&gt;"),0,SUMIFS($J:$J,$B:$B,$B453,$A:$A,"&gt;="&amp;COUNTIFS($K$1:O$1,"&lt;&gt;"))),0)</f>
        <v>0.13596491228070179</v>
      </c>
      <c r="P453">
        <f>IFERROR($J453/IF($A453&lt;COUNTIFS($K$1:P$1,"&lt;&gt;"),0,SUMIFS($J:$J,$B:$B,$B453,$A:$A,"&gt;="&amp;COUNTIFS($K$1:P$1,"&lt;&gt;"))),0)</f>
        <v>0.1565656565656566</v>
      </c>
      <c r="Q453">
        <f>IFERROR($J453/IF($A453&lt;COUNTIFS($K$1:Q$1,"&lt;&gt;"),0,SUMIFS($J:$J,$B:$B,$B453,$A:$A,"&gt;="&amp;COUNTIFS($K$1:Q$1,"&lt;&gt;"))),0)</f>
        <v>0.18562874251497008</v>
      </c>
      <c r="R453">
        <f>IFERROR($J453/IF($A453&lt;COUNTIFS($K$1:R$1,"&lt;&gt;"),0,SUMIFS($J:$J,$B:$B,$B453,$A:$A,"&gt;="&amp;COUNTIFS($K$1:R$1,"&lt;&gt;"))),0)</f>
        <v>0.22627737226277375</v>
      </c>
      <c r="S453">
        <f>IFERROR($J453/IF($A453&lt;COUNTIFS($K$1:S$1,"&lt;&gt;"),0,SUMIFS($J:$J,$B:$B,$B453,$A:$A,"&gt;="&amp;COUNTIFS($K$1:S$1,"&lt;&gt;"))),0)</f>
        <v>0.29245283018867929</v>
      </c>
      <c r="T453">
        <f>IFERROR($J453/IF($A453&lt;COUNTIFS($K$1:T$1,"&lt;&gt;"),0,SUMIFS($J:$J,$B:$B,$B453,$A:$A,"&gt;="&amp;COUNTIFS($K$1:T$1,"&lt;&gt;"))),0)</f>
        <v>0</v>
      </c>
      <c r="U453">
        <f>IFERROR($J453/IF($A453&lt;COUNTIFS($K$1:U$1,"&lt;&gt;"),0,SUMIFS($J:$J,$B:$B,$B453,$A:$A,"&gt;="&amp;COUNTIFS($K$1:U$1,"&lt;&gt;"))),0)</f>
        <v>0</v>
      </c>
      <c r="V453">
        <f>IFERROR($J453/IF($A453&lt;COUNTIFS($K$1:V$1,"&lt;&gt;"),0,SUMIFS($J:$J,$B:$B,$B453,$A:$A,"&gt;="&amp;COUNTIFS($K$1:V$1,"&lt;&gt;"))),0)</f>
        <v>0</v>
      </c>
      <c r="W453">
        <f t="shared" si="178"/>
        <v>8.4931506849315067E-2</v>
      </c>
      <c r="X453">
        <f t="shared" si="158"/>
        <v>8.4931506849315067E-2</v>
      </c>
      <c r="Y453">
        <f t="shared" si="159"/>
        <v>8.4931506849315067E-2</v>
      </c>
      <c r="Z453">
        <f t="shared" si="160"/>
        <v>8.4931506849315067E-2</v>
      </c>
      <c r="AA453">
        <f t="shared" si="161"/>
        <v>8.4931506849315067E-2</v>
      </c>
      <c r="AB453">
        <f t="shared" si="162"/>
        <v>8.4931506849315067E-2</v>
      </c>
      <c r="AC453">
        <f t="shared" si="163"/>
        <v>8.4931506849315067E-2</v>
      </c>
      <c r="AD453">
        <f t="shared" si="164"/>
        <v>8.4931506849315067E-2</v>
      </c>
      <c r="AE453">
        <f t="shared" si="165"/>
        <v>8.4931506849315067E-2</v>
      </c>
      <c r="AF453">
        <f t="shared" si="166"/>
        <v>8.4931506849315067E-2</v>
      </c>
      <c r="AG453">
        <f t="shared" si="167"/>
        <v>0</v>
      </c>
      <c r="AH453">
        <f t="shared" si="168"/>
        <v>0</v>
      </c>
      <c r="AI453">
        <f t="shared" si="169"/>
        <v>0</v>
      </c>
      <c r="AJ453" s="2" t="str">
        <f t="shared" si="179"/>
        <v>944866</v>
      </c>
    </row>
    <row r="454" spans="1:36" x14ac:dyDescent="0.25">
      <c r="A454">
        <v>10</v>
      </c>
      <c r="B454" s="1">
        <v>44866</v>
      </c>
      <c r="C454" s="1">
        <f t="shared" si="170"/>
        <v>45170</v>
      </c>
      <c r="D454" s="1">
        <f t="shared" si="171"/>
        <v>44880</v>
      </c>
      <c r="E454" s="1">
        <f t="shared" si="172"/>
        <v>45170</v>
      </c>
      <c r="F454" s="1">
        <f t="shared" si="173"/>
        <v>45200</v>
      </c>
      <c r="G454" s="1">
        <f t="shared" si="174"/>
        <v>45245</v>
      </c>
      <c r="H454">
        <f t="shared" si="175"/>
        <v>365</v>
      </c>
      <c r="I454">
        <f t="shared" si="176"/>
        <v>30</v>
      </c>
      <c r="J454">
        <f t="shared" si="177"/>
        <v>8.2191780821917804E-2</v>
      </c>
      <c r="K454">
        <f>IFERROR($J454/IF($A454&lt;COUNTIFS($K$1:K$1,"&lt;&gt;"),0,SUMIFS($J:$J,$B:$B,$B454,$A:$A,"&gt;="&amp;COUNTIFS($K$1:K$1,"&lt;&gt;"))),0)</f>
        <v>8.5959885386819493E-2</v>
      </c>
      <c r="L454">
        <f>IFERROR($J454/IF($A454&lt;COUNTIFS($K$1:L$1,"&lt;&gt;"),0,SUMIFS($J:$J,$B:$B,$B454,$A:$A,"&gt;="&amp;COUNTIFS($K$1:L$1,"&lt;&gt;"))),0)</f>
        <v>9.4339622641509441E-2</v>
      </c>
      <c r="M454">
        <f>IFERROR($J454/IF($A454&lt;COUNTIFS($K$1:M$1,"&lt;&gt;"),0,SUMIFS($J:$J,$B:$B,$B454,$A:$A,"&gt;="&amp;COUNTIFS($K$1:M$1,"&lt;&gt;"))),0)</f>
        <v>0.10452961672473869</v>
      </c>
      <c r="N454">
        <f>IFERROR($J454/IF($A454&lt;COUNTIFS($K$1:N$1,"&lt;&gt;"),0,SUMIFS($J:$J,$B:$B,$B454,$A:$A,"&gt;="&amp;COUNTIFS($K$1:N$1,"&lt;&gt;"))),0)</f>
        <v>0.11583011583011585</v>
      </c>
      <c r="O454">
        <f>IFERROR($J454/IF($A454&lt;COUNTIFS($K$1:O$1,"&lt;&gt;"),0,SUMIFS($J:$J,$B:$B,$B454,$A:$A,"&gt;="&amp;COUNTIFS($K$1:O$1,"&lt;&gt;"))),0)</f>
        <v>0.13157894736842107</v>
      </c>
      <c r="P454">
        <f>IFERROR($J454/IF($A454&lt;COUNTIFS($K$1:P$1,"&lt;&gt;"),0,SUMIFS($J:$J,$B:$B,$B454,$A:$A,"&gt;="&amp;COUNTIFS($K$1:P$1,"&lt;&gt;"))),0)</f>
        <v>0.15151515151515155</v>
      </c>
      <c r="Q454">
        <f>IFERROR($J454/IF($A454&lt;COUNTIFS($K$1:Q$1,"&lt;&gt;"),0,SUMIFS($J:$J,$B:$B,$B454,$A:$A,"&gt;="&amp;COUNTIFS($K$1:Q$1,"&lt;&gt;"))),0)</f>
        <v>0.17964071856287425</v>
      </c>
      <c r="R454">
        <f>IFERROR($J454/IF($A454&lt;COUNTIFS($K$1:R$1,"&lt;&gt;"),0,SUMIFS($J:$J,$B:$B,$B454,$A:$A,"&gt;="&amp;COUNTIFS($K$1:R$1,"&lt;&gt;"))),0)</f>
        <v>0.21897810218978103</v>
      </c>
      <c r="S454">
        <f>IFERROR($J454/IF($A454&lt;COUNTIFS($K$1:S$1,"&lt;&gt;"),0,SUMIFS($J:$J,$B:$B,$B454,$A:$A,"&gt;="&amp;COUNTIFS($K$1:S$1,"&lt;&gt;"))),0)</f>
        <v>0.28301886792452829</v>
      </c>
      <c r="T454">
        <f>IFERROR($J454/IF($A454&lt;COUNTIFS($K$1:T$1,"&lt;&gt;"),0,SUMIFS($J:$J,$B:$B,$B454,$A:$A,"&gt;="&amp;COUNTIFS($K$1:T$1,"&lt;&gt;"))),0)</f>
        <v>0.4</v>
      </c>
      <c r="U454">
        <f>IFERROR($J454/IF($A454&lt;COUNTIFS($K$1:U$1,"&lt;&gt;"),0,SUMIFS($J:$J,$B:$B,$B454,$A:$A,"&gt;="&amp;COUNTIFS($K$1:U$1,"&lt;&gt;"))),0)</f>
        <v>0</v>
      </c>
      <c r="V454">
        <f>IFERROR($J454/IF($A454&lt;COUNTIFS($K$1:V$1,"&lt;&gt;"),0,SUMIFS($J:$J,$B:$B,$B454,$A:$A,"&gt;="&amp;COUNTIFS($K$1:V$1,"&lt;&gt;"))),0)</f>
        <v>0</v>
      </c>
      <c r="W454">
        <f t="shared" si="178"/>
        <v>8.2191780821917804E-2</v>
      </c>
      <c r="X454">
        <f t="shared" si="158"/>
        <v>8.2191780821917804E-2</v>
      </c>
      <c r="Y454">
        <f t="shared" si="159"/>
        <v>8.2191780821917804E-2</v>
      </c>
      <c r="Z454">
        <f t="shared" si="160"/>
        <v>8.2191780821917804E-2</v>
      </c>
      <c r="AA454">
        <f t="shared" si="161"/>
        <v>8.2191780821917804E-2</v>
      </c>
      <c r="AB454">
        <f t="shared" si="162"/>
        <v>8.2191780821917804E-2</v>
      </c>
      <c r="AC454">
        <f t="shared" si="163"/>
        <v>8.2191780821917804E-2</v>
      </c>
      <c r="AD454">
        <f t="shared" si="164"/>
        <v>8.2191780821917804E-2</v>
      </c>
      <c r="AE454">
        <f t="shared" si="165"/>
        <v>8.2191780821917804E-2</v>
      </c>
      <c r="AF454">
        <f t="shared" si="166"/>
        <v>8.2191780821917804E-2</v>
      </c>
      <c r="AG454">
        <f t="shared" si="167"/>
        <v>8.2191780821917804E-2</v>
      </c>
      <c r="AH454">
        <f t="shared" si="168"/>
        <v>0</v>
      </c>
      <c r="AI454">
        <f t="shared" si="169"/>
        <v>0</v>
      </c>
      <c r="AJ454" s="2" t="str">
        <f t="shared" si="179"/>
        <v>1044866</v>
      </c>
    </row>
    <row r="455" spans="1:36" x14ac:dyDescent="0.25">
      <c r="A455">
        <v>11</v>
      </c>
      <c r="B455" s="1">
        <v>44866</v>
      </c>
      <c r="C455" s="1">
        <f t="shared" si="170"/>
        <v>45200</v>
      </c>
      <c r="D455" s="1">
        <f t="shared" si="171"/>
        <v>44880</v>
      </c>
      <c r="E455" s="1">
        <f t="shared" si="172"/>
        <v>45200</v>
      </c>
      <c r="F455" s="1">
        <f t="shared" si="173"/>
        <v>45231</v>
      </c>
      <c r="G455" s="1">
        <f t="shared" si="174"/>
        <v>45245</v>
      </c>
      <c r="H455">
        <f t="shared" si="175"/>
        <v>365</v>
      </c>
      <c r="I455">
        <f t="shared" si="176"/>
        <v>31</v>
      </c>
      <c r="J455">
        <f t="shared" si="177"/>
        <v>8.4931506849315067E-2</v>
      </c>
      <c r="K455">
        <f>IFERROR($J455/IF($A455&lt;COUNTIFS($K$1:K$1,"&lt;&gt;"),0,SUMIFS($J:$J,$B:$B,$B455,$A:$A,"&gt;="&amp;COUNTIFS($K$1:K$1,"&lt;&gt;"))),0)</f>
        <v>8.8825214899713484E-2</v>
      </c>
      <c r="L455">
        <f>IFERROR($J455/IF($A455&lt;COUNTIFS($K$1:L$1,"&lt;&gt;"),0,SUMIFS($J:$J,$B:$B,$B455,$A:$A,"&gt;="&amp;COUNTIFS($K$1:L$1,"&lt;&gt;"))),0)</f>
        <v>9.7484276729559768E-2</v>
      </c>
      <c r="M455">
        <f>IFERROR($J455/IF($A455&lt;COUNTIFS($K$1:M$1,"&lt;&gt;"),0,SUMIFS($J:$J,$B:$B,$B455,$A:$A,"&gt;="&amp;COUNTIFS($K$1:M$1,"&lt;&gt;"))),0)</f>
        <v>0.10801393728222998</v>
      </c>
      <c r="N455">
        <f>IFERROR($J455/IF($A455&lt;COUNTIFS($K$1:N$1,"&lt;&gt;"),0,SUMIFS($J:$J,$B:$B,$B455,$A:$A,"&gt;="&amp;COUNTIFS($K$1:N$1,"&lt;&gt;"))),0)</f>
        <v>0.11969111969111972</v>
      </c>
      <c r="O455">
        <f>IFERROR($J455/IF($A455&lt;COUNTIFS($K$1:O$1,"&lt;&gt;"),0,SUMIFS($J:$J,$B:$B,$B455,$A:$A,"&gt;="&amp;COUNTIFS($K$1:O$1,"&lt;&gt;"))),0)</f>
        <v>0.13596491228070179</v>
      </c>
      <c r="P455">
        <f>IFERROR($J455/IF($A455&lt;COUNTIFS($K$1:P$1,"&lt;&gt;"),0,SUMIFS($J:$J,$B:$B,$B455,$A:$A,"&gt;="&amp;COUNTIFS($K$1:P$1,"&lt;&gt;"))),0)</f>
        <v>0.1565656565656566</v>
      </c>
      <c r="Q455">
        <f>IFERROR($J455/IF($A455&lt;COUNTIFS($K$1:Q$1,"&lt;&gt;"),0,SUMIFS($J:$J,$B:$B,$B455,$A:$A,"&gt;="&amp;COUNTIFS($K$1:Q$1,"&lt;&gt;"))),0)</f>
        <v>0.18562874251497008</v>
      </c>
      <c r="R455">
        <f>IFERROR($J455/IF($A455&lt;COUNTIFS($K$1:R$1,"&lt;&gt;"),0,SUMIFS($J:$J,$B:$B,$B455,$A:$A,"&gt;="&amp;COUNTIFS($K$1:R$1,"&lt;&gt;"))),0)</f>
        <v>0.22627737226277375</v>
      </c>
      <c r="S455">
        <f>IFERROR($J455/IF($A455&lt;COUNTIFS($K$1:S$1,"&lt;&gt;"),0,SUMIFS($J:$J,$B:$B,$B455,$A:$A,"&gt;="&amp;COUNTIFS($K$1:S$1,"&lt;&gt;"))),0)</f>
        <v>0.29245283018867929</v>
      </c>
      <c r="T455">
        <f>IFERROR($J455/IF($A455&lt;COUNTIFS($K$1:T$1,"&lt;&gt;"),0,SUMIFS($J:$J,$B:$B,$B455,$A:$A,"&gt;="&amp;COUNTIFS($K$1:T$1,"&lt;&gt;"))),0)</f>
        <v>0.41333333333333333</v>
      </c>
      <c r="U455">
        <f>IFERROR($J455/IF($A455&lt;COUNTIFS($K$1:U$1,"&lt;&gt;"),0,SUMIFS($J:$J,$B:$B,$B455,$A:$A,"&gt;="&amp;COUNTIFS($K$1:U$1,"&lt;&gt;"))),0)</f>
        <v>0.68888888888888888</v>
      </c>
      <c r="V455">
        <f>IFERROR($J455/IF($A455&lt;COUNTIFS($K$1:V$1,"&lt;&gt;"),0,SUMIFS($J:$J,$B:$B,$B455,$A:$A,"&gt;="&amp;COUNTIFS($K$1:V$1,"&lt;&gt;"))),0)</f>
        <v>0</v>
      </c>
      <c r="W455">
        <f t="shared" si="178"/>
        <v>8.4931506849315067E-2</v>
      </c>
      <c r="X455">
        <f t="shared" si="158"/>
        <v>8.4931506849315067E-2</v>
      </c>
      <c r="Y455">
        <f t="shared" si="159"/>
        <v>8.4931506849315067E-2</v>
      </c>
      <c r="Z455">
        <f t="shared" si="160"/>
        <v>8.4931506849315067E-2</v>
      </c>
      <c r="AA455">
        <f t="shared" si="161"/>
        <v>8.4931506849315067E-2</v>
      </c>
      <c r="AB455">
        <f t="shared" si="162"/>
        <v>8.4931506849315067E-2</v>
      </c>
      <c r="AC455">
        <f t="shared" si="163"/>
        <v>8.4931506849315067E-2</v>
      </c>
      <c r="AD455">
        <f t="shared" si="164"/>
        <v>8.4931506849315067E-2</v>
      </c>
      <c r="AE455">
        <f t="shared" si="165"/>
        <v>8.4931506849315067E-2</v>
      </c>
      <c r="AF455">
        <f t="shared" si="166"/>
        <v>8.4931506849315067E-2</v>
      </c>
      <c r="AG455">
        <f t="shared" si="167"/>
        <v>8.4931506849315067E-2</v>
      </c>
      <c r="AH455">
        <f t="shared" si="168"/>
        <v>8.4931506849315067E-2</v>
      </c>
      <c r="AI455">
        <f t="shared" si="169"/>
        <v>0</v>
      </c>
      <c r="AJ455" s="2" t="str">
        <f t="shared" si="179"/>
        <v>1144866</v>
      </c>
    </row>
    <row r="456" spans="1:36" x14ac:dyDescent="0.25">
      <c r="A456">
        <v>12</v>
      </c>
      <c r="B456" s="1">
        <v>44866</v>
      </c>
      <c r="C456" s="1">
        <f t="shared" si="170"/>
        <v>45231</v>
      </c>
      <c r="D456" s="1">
        <f t="shared" si="171"/>
        <v>44880</v>
      </c>
      <c r="E456" s="1">
        <f t="shared" si="172"/>
        <v>45231</v>
      </c>
      <c r="F456" s="1">
        <f t="shared" si="173"/>
        <v>45245</v>
      </c>
      <c r="G456" s="1">
        <f t="shared" si="174"/>
        <v>45245</v>
      </c>
      <c r="H456">
        <f t="shared" si="175"/>
        <v>365</v>
      </c>
      <c r="I456">
        <f t="shared" si="176"/>
        <v>14</v>
      </c>
      <c r="J456">
        <f t="shared" si="177"/>
        <v>3.8356164383561646E-2</v>
      </c>
      <c r="K456">
        <f>IFERROR($J456/IF($A456&lt;COUNTIFS($K$1:K$1,"&lt;&gt;"),0,SUMIFS($J:$J,$B:$B,$B456,$A:$A,"&gt;="&amp;COUNTIFS($K$1:K$1,"&lt;&gt;"))),0)</f>
        <v>4.0114613180515769E-2</v>
      </c>
      <c r="L456">
        <f>IFERROR($J456/IF($A456&lt;COUNTIFS($K$1:L$1,"&lt;&gt;"),0,SUMIFS($J:$J,$B:$B,$B456,$A:$A,"&gt;="&amp;COUNTIFS($K$1:L$1,"&lt;&gt;"))),0)</f>
        <v>4.4025157232704414E-2</v>
      </c>
      <c r="M456">
        <f>IFERROR($J456/IF($A456&lt;COUNTIFS($K$1:M$1,"&lt;&gt;"),0,SUMIFS($J:$J,$B:$B,$B456,$A:$A,"&gt;="&amp;COUNTIFS($K$1:M$1,"&lt;&gt;"))),0)</f>
        <v>4.8780487804878057E-2</v>
      </c>
      <c r="N456">
        <f>IFERROR($J456/IF($A456&lt;COUNTIFS($K$1:N$1,"&lt;&gt;"),0,SUMIFS($J:$J,$B:$B,$B456,$A:$A,"&gt;="&amp;COUNTIFS($K$1:N$1,"&lt;&gt;"))),0)</f>
        <v>5.4054054054054071E-2</v>
      </c>
      <c r="O456">
        <f>IFERROR($J456/IF($A456&lt;COUNTIFS($K$1:O$1,"&lt;&gt;"),0,SUMIFS($J:$J,$B:$B,$B456,$A:$A,"&gt;="&amp;COUNTIFS($K$1:O$1,"&lt;&gt;"))),0)</f>
        <v>6.1403508771929842E-2</v>
      </c>
      <c r="P456">
        <f>IFERROR($J456/IF($A456&lt;COUNTIFS($K$1:P$1,"&lt;&gt;"),0,SUMIFS($J:$J,$B:$B,$B456,$A:$A,"&gt;="&amp;COUNTIFS($K$1:P$1,"&lt;&gt;"))),0)</f>
        <v>7.0707070707070732E-2</v>
      </c>
      <c r="Q456">
        <f>IFERROR($J456/IF($A456&lt;COUNTIFS($K$1:Q$1,"&lt;&gt;"),0,SUMIFS($J:$J,$B:$B,$B456,$A:$A,"&gt;="&amp;COUNTIFS($K$1:Q$1,"&lt;&gt;"))),0)</f>
        <v>8.3832335329341326E-2</v>
      </c>
      <c r="R456">
        <f>IFERROR($J456/IF($A456&lt;COUNTIFS($K$1:R$1,"&lt;&gt;"),0,SUMIFS($J:$J,$B:$B,$B456,$A:$A,"&gt;="&amp;COUNTIFS($K$1:R$1,"&lt;&gt;"))),0)</f>
        <v>0.10218978102189782</v>
      </c>
      <c r="S456">
        <f>IFERROR($J456/IF($A456&lt;COUNTIFS($K$1:S$1,"&lt;&gt;"),0,SUMIFS($J:$J,$B:$B,$B456,$A:$A,"&gt;="&amp;COUNTIFS($K$1:S$1,"&lt;&gt;"))),0)</f>
        <v>0.13207547169811323</v>
      </c>
      <c r="T456">
        <f>IFERROR($J456/IF($A456&lt;COUNTIFS($K$1:T$1,"&lt;&gt;"),0,SUMIFS($J:$J,$B:$B,$B456,$A:$A,"&gt;="&amp;COUNTIFS($K$1:T$1,"&lt;&gt;"))),0)</f>
        <v>0.18666666666666668</v>
      </c>
      <c r="U456">
        <f>IFERROR($J456/IF($A456&lt;COUNTIFS($K$1:U$1,"&lt;&gt;"),0,SUMIFS($J:$J,$B:$B,$B456,$A:$A,"&gt;="&amp;COUNTIFS($K$1:U$1,"&lt;&gt;"))),0)</f>
        <v>0.31111111111111117</v>
      </c>
      <c r="V456">
        <f>IFERROR($J456/IF($A456&lt;COUNTIFS($K$1:V$1,"&lt;&gt;"),0,SUMIFS($J:$J,$B:$B,$B456,$A:$A,"&gt;="&amp;COUNTIFS($K$1:V$1,"&lt;&gt;"))),0)</f>
        <v>1</v>
      </c>
      <c r="W456">
        <f t="shared" si="178"/>
        <v>3.8356164383561646E-2</v>
      </c>
      <c r="X456">
        <f t="shared" si="158"/>
        <v>3.8356164383561646E-2</v>
      </c>
      <c r="Y456">
        <f t="shared" si="159"/>
        <v>3.8356164383561646E-2</v>
      </c>
      <c r="Z456">
        <f t="shared" si="160"/>
        <v>3.8356164383561646E-2</v>
      </c>
      <c r="AA456">
        <f t="shared" si="161"/>
        <v>3.8356164383561646E-2</v>
      </c>
      <c r="AB456">
        <f t="shared" si="162"/>
        <v>3.8356164383561646E-2</v>
      </c>
      <c r="AC456">
        <f t="shared" si="163"/>
        <v>3.8356164383561646E-2</v>
      </c>
      <c r="AD456">
        <f t="shared" si="164"/>
        <v>3.8356164383561646E-2</v>
      </c>
      <c r="AE456">
        <f t="shared" si="165"/>
        <v>3.8356164383561646E-2</v>
      </c>
      <c r="AF456">
        <f t="shared" si="166"/>
        <v>3.8356164383561646E-2</v>
      </c>
      <c r="AG456">
        <f t="shared" si="167"/>
        <v>3.8356164383561646E-2</v>
      </c>
      <c r="AH456">
        <f t="shared" si="168"/>
        <v>3.8356164383561646E-2</v>
      </c>
      <c r="AI456">
        <f t="shared" si="169"/>
        <v>3.8356164383561646E-2</v>
      </c>
      <c r="AJ456" s="2" t="str">
        <f t="shared" si="179"/>
        <v>1244866</v>
      </c>
    </row>
    <row r="457" spans="1:36" x14ac:dyDescent="0.25">
      <c r="A457">
        <v>0</v>
      </c>
      <c r="B457" s="1">
        <v>44896</v>
      </c>
      <c r="C457" s="1">
        <f t="shared" si="170"/>
        <v>44896</v>
      </c>
      <c r="D457" s="1">
        <f t="shared" si="171"/>
        <v>44910</v>
      </c>
      <c r="E457" s="1">
        <f t="shared" si="172"/>
        <v>44910</v>
      </c>
      <c r="F457" s="1">
        <f t="shared" si="173"/>
        <v>44927</v>
      </c>
      <c r="G457" s="1">
        <f t="shared" si="174"/>
        <v>45275</v>
      </c>
      <c r="H457">
        <f t="shared" si="175"/>
        <v>365</v>
      </c>
      <c r="I457">
        <f t="shared" si="176"/>
        <v>17</v>
      </c>
      <c r="J457">
        <f t="shared" si="177"/>
        <v>4.6575342465753428E-2</v>
      </c>
      <c r="K457">
        <f>IFERROR($J457/IF($A457&lt;COUNTIFS($K$1:K$1,"&lt;&gt;"),0,SUMIFS($J:$J,$B:$B,$B457,$A:$A,"&gt;="&amp;COUNTIFS($K$1:K$1,"&lt;&gt;"))),0)</f>
        <v>0</v>
      </c>
      <c r="L457">
        <f>IFERROR($J457/IF($A457&lt;COUNTIFS($K$1:L$1,"&lt;&gt;"),0,SUMIFS($J:$J,$B:$B,$B457,$A:$A,"&gt;="&amp;COUNTIFS($K$1:L$1,"&lt;&gt;"))),0)</f>
        <v>0</v>
      </c>
      <c r="M457">
        <f>IFERROR($J457/IF($A457&lt;COUNTIFS($K$1:M$1,"&lt;&gt;"),0,SUMIFS($J:$J,$B:$B,$B457,$A:$A,"&gt;="&amp;COUNTIFS($K$1:M$1,"&lt;&gt;"))),0)</f>
        <v>0</v>
      </c>
      <c r="N457">
        <f>IFERROR($J457/IF($A457&lt;COUNTIFS($K$1:N$1,"&lt;&gt;"),0,SUMIFS($J:$J,$B:$B,$B457,$A:$A,"&gt;="&amp;COUNTIFS($K$1:N$1,"&lt;&gt;"))),0)</f>
        <v>0</v>
      </c>
      <c r="O457">
        <f>IFERROR($J457/IF($A457&lt;COUNTIFS($K$1:O$1,"&lt;&gt;"),0,SUMIFS($J:$J,$B:$B,$B457,$A:$A,"&gt;="&amp;COUNTIFS($K$1:O$1,"&lt;&gt;"))),0)</f>
        <v>0</v>
      </c>
      <c r="P457">
        <f>IFERROR($J457/IF($A457&lt;COUNTIFS($K$1:P$1,"&lt;&gt;"),0,SUMIFS($J:$J,$B:$B,$B457,$A:$A,"&gt;="&amp;COUNTIFS($K$1:P$1,"&lt;&gt;"))),0)</f>
        <v>0</v>
      </c>
      <c r="Q457">
        <f>IFERROR($J457/IF($A457&lt;COUNTIFS($K$1:Q$1,"&lt;&gt;"),0,SUMIFS($J:$J,$B:$B,$B457,$A:$A,"&gt;="&amp;COUNTIFS($K$1:Q$1,"&lt;&gt;"))),0)</f>
        <v>0</v>
      </c>
      <c r="R457">
        <f>IFERROR($J457/IF($A457&lt;COUNTIFS($K$1:R$1,"&lt;&gt;"),0,SUMIFS($J:$J,$B:$B,$B457,$A:$A,"&gt;="&amp;COUNTIFS($K$1:R$1,"&lt;&gt;"))),0)</f>
        <v>0</v>
      </c>
      <c r="S457">
        <f>IFERROR($J457/IF($A457&lt;COUNTIFS($K$1:S$1,"&lt;&gt;"),0,SUMIFS($J:$J,$B:$B,$B457,$A:$A,"&gt;="&amp;COUNTIFS($K$1:S$1,"&lt;&gt;"))),0)</f>
        <v>0</v>
      </c>
      <c r="T457">
        <f>IFERROR($J457/IF($A457&lt;COUNTIFS($K$1:T$1,"&lt;&gt;"),0,SUMIFS($J:$J,$B:$B,$B457,$A:$A,"&gt;="&amp;COUNTIFS($K$1:T$1,"&lt;&gt;"))),0)</f>
        <v>0</v>
      </c>
      <c r="U457">
        <f>IFERROR($J457/IF($A457&lt;COUNTIFS($K$1:U$1,"&lt;&gt;"),0,SUMIFS($J:$J,$B:$B,$B457,$A:$A,"&gt;="&amp;COUNTIFS($K$1:U$1,"&lt;&gt;"))),0)</f>
        <v>0</v>
      </c>
      <c r="V457">
        <f>IFERROR($J457/IF($A457&lt;COUNTIFS($K$1:V$1,"&lt;&gt;"),0,SUMIFS($J:$J,$B:$B,$B457,$A:$A,"&gt;="&amp;COUNTIFS($K$1:V$1,"&lt;&gt;"))),0)</f>
        <v>0</v>
      </c>
      <c r="W457">
        <f t="shared" si="178"/>
        <v>4.6575342465753428E-2</v>
      </c>
      <c r="X457">
        <f t="shared" si="158"/>
        <v>0</v>
      </c>
      <c r="Y457">
        <f t="shared" si="159"/>
        <v>0</v>
      </c>
      <c r="Z457">
        <f t="shared" si="160"/>
        <v>0</v>
      </c>
      <c r="AA457">
        <f t="shared" si="161"/>
        <v>0</v>
      </c>
      <c r="AB457">
        <f t="shared" si="162"/>
        <v>0</v>
      </c>
      <c r="AC457">
        <f t="shared" si="163"/>
        <v>0</v>
      </c>
      <c r="AD457">
        <f t="shared" si="164"/>
        <v>0</v>
      </c>
      <c r="AE457">
        <f t="shared" si="165"/>
        <v>0</v>
      </c>
      <c r="AF457">
        <f t="shared" si="166"/>
        <v>0</v>
      </c>
      <c r="AG457">
        <f t="shared" si="167"/>
        <v>0</v>
      </c>
      <c r="AH457">
        <f t="shared" si="168"/>
        <v>0</v>
      </c>
      <c r="AI457">
        <f t="shared" si="169"/>
        <v>0</v>
      </c>
      <c r="AJ457" s="2" t="str">
        <f t="shared" si="179"/>
        <v>044896</v>
      </c>
    </row>
    <row r="458" spans="1:36" x14ac:dyDescent="0.25">
      <c r="A458">
        <v>1</v>
      </c>
      <c r="B458" s="1">
        <v>44896</v>
      </c>
      <c r="C458" s="1">
        <f t="shared" si="170"/>
        <v>44927</v>
      </c>
      <c r="D458" s="1">
        <f t="shared" si="171"/>
        <v>44910</v>
      </c>
      <c r="E458" s="1">
        <f t="shared" si="172"/>
        <v>44927</v>
      </c>
      <c r="F458" s="1">
        <f t="shared" si="173"/>
        <v>44958</v>
      </c>
      <c r="G458" s="1">
        <f t="shared" si="174"/>
        <v>45275</v>
      </c>
      <c r="H458">
        <f t="shared" si="175"/>
        <v>365</v>
      </c>
      <c r="I458">
        <f t="shared" si="176"/>
        <v>31</v>
      </c>
      <c r="J458">
        <f t="shared" si="177"/>
        <v>8.4931506849315067E-2</v>
      </c>
      <c r="K458">
        <f>IFERROR($J458/IF($A458&lt;COUNTIFS($K$1:K$1,"&lt;&gt;"),0,SUMIFS($J:$J,$B:$B,$B458,$A:$A,"&gt;="&amp;COUNTIFS($K$1:K$1,"&lt;&gt;"))),0)</f>
        <v>8.9080459770114959E-2</v>
      </c>
      <c r="L458">
        <f>IFERROR($J458/IF($A458&lt;COUNTIFS($K$1:L$1,"&lt;&gt;"),0,SUMIFS($J:$J,$B:$B,$B458,$A:$A,"&gt;="&amp;COUNTIFS($K$1:L$1,"&lt;&gt;"))),0)</f>
        <v>0</v>
      </c>
      <c r="M458">
        <f>IFERROR($J458/IF($A458&lt;COUNTIFS($K$1:M$1,"&lt;&gt;"),0,SUMIFS($J:$J,$B:$B,$B458,$A:$A,"&gt;="&amp;COUNTIFS($K$1:M$1,"&lt;&gt;"))),0)</f>
        <v>0</v>
      </c>
      <c r="N458">
        <f>IFERROR($J458/IF($A458&lt;COUNTIFS($K$1:N$1,"&lt;&gt;"),0,SUMIFS($J:$J,$B:$B,$B458,$A:$A,"&gt;="&amp;COUNTIFS($K$1:N$1,"&lt;&gt;"))),0)</f>
        <v>0</v>
      </c>
      <c r="O458">
        <f>IFERROR($J458/IF($A458&lt;COUNTIFS($K$1:O$1,"&lt;&gt;"),0,SUMIFS($J:$J,$B:$B,$B458,$A:$A,"&gt;="&amp;COUNTIFS($K$1:O$1,"&lt;&gt;"))),0)</f>
        <v>0</v>
      </c>
      <c r="P458">
        <f>IFERROR($J458/IF($A458&lt;COUNTIFS($K$1:P$1,"&lt;&gt;"),0,SUMIFS($J:$J,$B:$B,$B458,$A:$A,"&gt;="&amp;COUNTIFS($K$1:P$1,"&lt;&gt;"))),0)</f>
        <v>0</v>
      </c>
      <c r="Q458">
        <f>IFERROR($J458/IF($A458&lt;COUNTIFS($K$1:Q$1,"&lt;&gt;"),0,SUMIFS($J:$J,$B:$B,$B458,$A:$A,"&gt;="&amp;COUNTIFS($K$1:Q$1,"&lt;&gt;"))),0)</f>
        <v>0</v>
      </c>
      <c r="R458">
        <f>IFERROR($J458/IF($A458&lt;COUNTIFS($K$1:R$1,"&lt;&gt;"),0,SUMIFS($J:$J,$B:$B,$B458,$A:$A,"&gt;="&amp;COUNTIFS($K$1:R$1,"&lt;&gt;"))),0)</f>
        <v>0</v>
      </c>
      <c r="S458">
        <f>IFERROR($J458/IF($A458&lt;COUNTIFS($K$1:S$1,"&lt;&gt;"),0,SUMIFS($J:$J,$B:$B,$B458,$A:$A,"&gt;="&amp;COUNTIFS($K$1:S$1,"&lt;&gt;"))),0)</f>
        <v>0</v>
      </c>
      <c r="T458">
        <f>IFERROR($J458/IF($A458&lt;COUNTIFS($K$1:T$1,"&lt;&gt;"),0,SUMIFS($J:$J,$B:$B,$B458,$A:$A,"&gt;="&amp;COUNTIFS($K$1:T$1,"&lt;&gt;"))),0)</f>
        <v>0</v>
      </c>
      <c r="U458">
        <f>IFERROR($J458/IF($A458&lt;COUNTIFS($K$1:U$1,"&lt;&gt;"),0,SUMIFS($J:$J,$B:$B,$B458,$A:$A,"&gt;="&amp;COUNTIFS($K$1:U$1,"&lt;&gt;"))),0)</f>
        <v>0</v>
      </c>
      <c r="V458">
        <f>IFERROR($J458/IF($A458&lt;COUNTIFS($K$1:V$1,"&lt;&gt;"),0,SUMIFS($J:$J,$B:$B,$B458,$A:$A,"&gt;="&amp;COUNTIFS($K$1:V$1,"&lt;&gt;"))),0)</f>
        <v>0</v>
      </c>
      <c r="W458">
        <f t="shared" si="178"/>
        <v>8.4931506849315067E-2</v>
      </c>
      <c r="X458">
        <f t="shared" si="158"/>
        <v>8.4931506849315067E-2</v>
      </c>
      <c r="Y458">
        <f t="shared" si="159"/>
        <v>0</v>
      </c>
      <c r="Z458">
        <f t="shared" si="160"/>
        <v>0</v>
      </c>
      <c r="AA458">
        <f t="shared" si="161"/>
        <v>0</v>
      </c>
      <c r="AB458">
        <f t="shared" si="162"/>
        <v>0</v>
      </c>
      <c r="AC458">
        <f t="shared" si="163"/>
        <v>0</v>
      </c>
      <c r="AD458">
        <f t="shared" si="164"/>
        <v>0</v>
      </c>
      <c r="AE458">
        <f t="shared" si="165"/>
        <v>0</v>
      </c>
      <c r="AF458">
        <f t="shared" si="166"/>
        <v>0</v>
      </c>
      <c r="AG458">
        <f t="shared" si="167"/>
        <v>0</v>
      </c>
      <c r="AH458">
        <f t="shared" si="168"/>
        <v>0</v>
      </c>
      <c r="AI458">
        <f t="shared" si="169"/>
        <v>0</v>
      </c>
      <c r="AJ458" s="2" t="str">
        <f t="shared" si="179"/>
        <v>144896</v>
      </c>
    </row>
    <row r="459" spans="1:36" x14ac:dyDescent="0.25">
      <c r="A459">
        <v>2</v>
      </c>
      <c r="B459" s="1">
        <v>44896</v>
      </c>
      <c r="C459" s="1">
        <f t="shared" si="170"/>
        <v>44958</v>
      </c>
      <c r="D459" s="1">
        <f t="shared" si="171"/>
        <v>44910</v>
      </c>
      <c r="E459" s="1">
        <f t="shared" si="172"/>
        <v>44958</v>
      </c>
      <c r="F459" s="1">
        <f t="shared" si="173"/>
        <v>44986</v>
      </c>
      <c r="G459" s="1">
        <f t="shared" si="174"/>
        <v>45275</v>
      </c>
      <c r="H459">
        <f t="shared" si="175"/>
        <v>365</v>
      </c>
      <c r="I459">
        <f t="shared" si="176"/>
        <v>28</v>
      </c>
      <c r="J459">
        <f t="shared" si="177"/>
        <v>7.6712328767123292E-2</v>
      </c>
      <c r="K459">
        <f>IFERROR($J459/IF($A459&lt;COUNTIFS($K$1:K$1,"&lt;&gt;"),0,SUMIFS($J:$J,$B:$B,$B459,$A:$A,"&gt;="&amp;COUNTIFS($K$1:K$1,"&lt;&gt;"))),0)</f>
        <v>8.0459770114942541E-2</v>
      </c>
      <c r="L459">
        <f>IFERROR($J459/IF($A459&lt;COUNTIFS($K$1:L$1,"&lt;&gt;"),0,SUMIFS($J:$J,$B:$B,$B459,$A:$A,"&gt;="&amp;COUNTIFS($K$1:L$1,"&lt;&gt;"))),0)</f>
        <v>8.83280757097792E-2</v>
      </c>
      <c r="M459">
        <f>IFERROR($J459/IF($A459&lt;COUNTIFS($K$1:M$1,"&lt;&gt;"),0,SUMIFS($J:$J,$B:$B,$B459,$A:$A,"&gt;="&amp;COUNTIFS($K$1:M$1,"&lt;&gt;"))),0)</f>
        <v>0</v>
      </c>
      <c r="N459">
        <f>IFERROR($J459/IF($A459&lt;COUNTIFS($K$1:N$1,"&lt;&gt;"),0,SUMIFS($J:$J,$B:$B,$B459,$A:$A,"&gt;="&amp;COUNTIFS($K$1:N$1,"&lt;&gt;"))),0)</f>
        <v>0</v>
      </c>
      <c r="O459">
        <f>IFERROR($J459/IF($A459&lt;COUNTIFS($K$1:O$1,"&lt;&gt;"),0,SUMIFS($J:$J,$B:$B,$B459,$A:$A,"&gt;="&amp;COUNTIFS($K$1:O$1,"&lt;&gt;"))),0)</f>
        <v>0</v>
      </c>
      <c r="P459">
        <f>IFERROR($J459/IF($A459&lt;COUNTIFS($K$1:P$1,"&lt;&gt;"),0,SUMIFS($J:$J,$B:$B,$B459,$A:$A,"&gt;="&amp;COUNTIFS($K$1:P$1,"&lt;&gt;"))),0)</f>
        <v>0</v>
      </c>
      <c r="Q459">
        <f>IFERROR($J459/IF($A459&lt;COUNTIFS($K$1:Q$1,"&lt;&gt;"),0,SUMIFS($J:$J,$B:$B,$B459,$A:$A,"&gt;="&amp;COUNTIFS($K$1:Q$1,"&lt;&gt;"))),0)</f>
        <v>0</v>
      </c>
      <c r="R459">
        <f>IFERROR($J459/IF($A459&lt;COUNTIFS($K$1:R$1,"&lt;&gt;"),0,SUMIFS($J:$J,$B:$B,$B459,$A:$A,"&gt;="&amp;COUNTIFS($K$1:R$1,"&lt;&gt;"))),0)</f>
        <v>0</v>
      </c>
      <c r="S459">
        <f>IFERROR($J459/IF($A459&lt;COUNTIFS($K$1:S$1,"&lt;&gt;"),0,SUMIFS($J:$J,$B:$B,$B459,$A:$A,"&gt;="&amp;COUNTIFS($K$1:S$1,"&lt;&gt;"))),0)</f>
        <v>0</v>
      </c>
      <c r="T459">
        <f>IFERROR($J459/IF($A459&lt;COUNTIFS($K$1:T$1,"&lt;&gt;"),0,SUMIFS($J:$J,$B:$B,$B459,$A:$A,"&gt;="&amp;COUNTIFS($K$1:T$1,"&lt;&gt;"))),0)</f>
        <v>0</v>
      </c>
      <c r="U459">
        <f>IFERROR($J459/IF($A459&lt;COUNTIFS($K$1:U$1,"&lt;&gt;"),0,SUMIFS($J:$J,$B:$B,$B459,$A:$A,"&gt;="&amp;COUNTIFS($K$1:U$1,"&lt;&gt;"))),0)</f>
        <v>0</v>
      </c>
      <c r="V459">
        <f>IFERROR($J459/IF($A459&lt;COUNTIFS($K$1:V$1,"&lt;&gt;"),0,SUMIFS($J:$J,$B:$B,$B459,$A:$A,"&gt;="&amp;COUNTIFS($K$1:V$1,"&lt;&gt;"))),0)</f>
        <v>0</v>
      </c>
      <c r="W459">
        <f t="shared" si="178"/>
        <v>7.6712328767123292E-2</v>
      </c>
      <c r="X459">
        <f t="shared" si="158"/>
        <v>7.6712328767123292E-2</v>
      </c>
      <c r="Y459">
        <f t="shared" si="159"/>
        <v>7.6712328767123292E-2</v>
      </c>
      <c r="Z459">
        <f t="shared" si="160"/>
        <v>0</v>
      </c>
      <c r="AA459">
        <f t="shared" si="161"/>
        <v>0</v>
      </c>
      <c r="AB459">
        <f t="shared" si="162"/>
        <v>0</v>
      </c>
      <c r="AC459">
        <f t="shared" si="163"/>
        <v>0</v>
      </c>
      <c r="AD459">
        <f t="shared" si="164"/>
        <v>0</v>
      </c>
      <c r="AE459">
        <f t="shared" si="165"/>
        <v>0</v>
      </c>
      <c r="AF459">
        <f t="shared" si="166"/>
        <v>0</v>
      </c>
      <c r="AG459">
        <f t="shared" si="167"/>
        <v>0</v>
      </c>
      <c r="AH459">
        <f t="shared" si="168"/>
        <v>0</v>
      </c>
      <c r="AI459">
        <f t="shared" si="169"/>
        <v>0</v>
      </c>
      <c r="AJ459" s="2" t="str">
        <f t="shared" si="179"/>
        <v>244896</v>
      </c>
    </row>
    <row r="460" spans="1:36" x14ac:dyDescent="0.25">
      <c r="A460">
        <v>3</v>
      </c>
      <c r="B460" s="1">
        <v>44896</v>
      </c>
      <c r="C460" s="1">
        <f t="shared" si="170"/>
        <v>44986</v>
      </c>
      <c r="D460" s="1">
        <f t="shared" si="171"/>
        <v>44910</v>
      </c>
      <c r="E460" s="1">
        <f t="shared" si="172"/>
        <v>44986</v>
      </c>
      <c r="F460" s="1">
        <f t="shared" si="173"/>
        <v>45017</v>
      </c>
      <c r="G460" s="1">
        <f t="shared" si="174"/>
        <v>45275</v>
      </c>
      <c r="H460">
        <f t="shared" si="175"/>
        <v>365</v>
      </c>
      <c r="I460">
        <f t="shared" si="176"/>
        <v>31</v>
      </c>
      <c r="J460">
        <f t="shared" si="177"/>
        <v>8.4931506849315067E-2</v>
      </c>
      <c r="K460">
        <f>IFERROR($J460/IF($A460&lt;COUNTIFS($K$1:K$1,"&lt;&gt;"),0,SUMIFS($J:$J,$B:$B,$B460,$A:$A,"&gt;="&amp;COUNTIFS($K$1:K$1,"&lt;&gt;"))),0)</f>
        <v>8.9080459770114959E-2</v>
      </c>
      <c r="L460">
        <f>IFERROR($J460/IF($A460&lt;COUNTIFS($K$1:L$1,"&lt;&gt;"),0,SUMIFS($J:$J,$B:$B,$B460,$A:$A,"&gt;="&amp;COUNTIFS($K$1:L$1,"&lt;&gt;"))),0)</f>
        <v>9.7791798107255537E-2</v>
      </c>
      <c r="M460">
        <f>IFERROR($J460/IF($A460&lt;COUNTIFS($K$1:M$1,"&lt;&gt;"),0,SUMIFS($J:$J,$B:$B,$B460,$A:$A,"&gt;="&amp;COUNTIFS($K$1:M$1,"&lt;&gt;"))),0)</f>
        <v>0.10726643598615919</v>
      </c>
      <c r="N460">
        <f>IFERROR($J460/IF($A460&lt;COUNTIFS($K$1:N$1,"&lt;&gt;"),0,SUMIFS($J:$J,$B:$B,$B460,$A:$A,"&gt;="&amp;COUNTIFS($K$1:N$1,"&lt;&gt;"))),0)</f>
        <v>0</v>
      </c>
      <c r="O460">
        <f>IFERROR($J460/IF($A460&lt;COUNTIFS($K$1:O$1,"&lt;&gt;"),0,SUMIFS($J:$J,$B:$B,$B460,$A:$A,"&gt;="&amp;COUNTIFS($K$1:O$1,"&lt;&gt;"))),0)</f>
        <v>0</v>
      </c>
      <c r="P460">
        <f>IFERROR($J460/IF($A460&lt;COUNTIFS($K$1:P$1,"&lt;&gt;"),0,SUMIFS($J:$J,$B:$B,$B460,$A:$A,"&gt;="&amp;COUNTIFS($K$1:P$1,"&lt;&gt;"))),0)</f>
        <v>0</v>
      </c>
      <c r="Q460">
        <f>IFERROR($J460/IF($A460&lt;COUNTIFS($K$1:Q$1,"&lt;&gt;"),0,SUMIFS($J:$J,$B:$B,$B460,$A:$A,"&gt;="&amp;COUNTIFS($K$1:Q$1,"&lt;&gt;"))),0)</f>
        <v>0</v>
      </c>
      <c r="R460">
        <f>IFERROR($J460/IF($A460&lt;COUNTIFS($K$1:R$1,"&lt;&gt;"),0,SUMIFS($J:$J,$B:$B,$B460,$A:$A,"&gt;="&amp;COUNTIFS($K$1:R$1,"&lt;&gt;"))),0)</f>
        <v>0</v>
      </c>
      <c r="S460">
        <f>IFERROR($J460/IF($A460&lt;COUNTIFS($K$1:S$1,"&lt;&gt;"),0,SUMIFS($J:$J,$B:$B,$B460,$A:$A,"&gt;="&amp;COUNTIFS($K$1:S$1,"&lt;&gt;"))),0)</f>
        <v>0</v>
      </c>
      <c r="T460">
        <f>IFERROR($J460/IF($A460&lt;COUNTIFS($K$1:T$1,"&lt;&gt;"),0,SUMIFS($J:$J,$B:$B,$B460,$A:$A,"&gt;="&amp;COUNTIFS($K$1:T$1,"&lt;&gt;"))),0)</f>
        <v>0</v>
      </c>
      <c r="U460">
        <f>IFERROR($J460/IF($A460&lt;COUNTIFS($K$1:U$1,"&lt;&gt;"),0,SUMIFS($J:$J,$B:$B,$B460,$A:$A,"&gt;="&amp;COUNTIFS($K$1:U$1,"&lt;&gt;"))),0)</f>
        <v>0</v>
      </c>
      <c r="V460">
        <f>IFERROR($J460/IF($A460&lt;COUNTIFS($K$1:V$1,"&lt;&gt;"),0,SUMIFS($J:$J,$B:$B,$B460,$A:$A,"&gt;="&amp;COUNTIFS($K$1:V$1,"&lt;&gt;"))),0)</f>
        <v>0</v>
      </c>
      <c r="W460">
        <f t="shared" si="178"/>
        <v>8.4931506849315067E-2</v>
      </c>
      <c r="X460">
        <f t="shared" si="158"/>
        <v>8.4931506849315067E-2</v>
      </c>
      <c r="Y460">
        <f t="shared" si="159"/>
        <v>8.4931506849315067E-2</v>
      </c>
      <c r="Z460">
        <f t="shared" si="160"/>
        <v>8.4931506849315067E-2</v>
      </c>
      <c r="AA460">
        <f t="shared" si="161"/>
        <v>0</v>
      </c>
      <c r="AB460">
        <f t="shared" si="162"/>
        <v>0</v>
      </c>
      <c r="AC460">
        <f t="shared" si="163"/>
        <v>0</v>
      </c>
      <c r="AD460">
        <f t="shared" si="164"/>
        <v>0</v>
      </c>
      <c r="AE460">
        <f t="shared" si="165"/>
        <v>0</v>
      </c>
      <c r="AF460">
        <f t="shared" si="166"/>
        <v>0</v>
      </c>
      <c r="AG460">
        <f t="shared" si="167"/>
        <v>0</v>
      </c>
      <c r="AH460">
        <f t="shared" si="168"/>
        <v>0</v>
      </c>
      <c r="AI460">
        <f t="shared" si="169"/>
        <v>0</v>
      </c>
      <c r="AJ460" s="2" t="str">
        <f t="shared" si="179"/>
        <v>344896</v>
      </c>
    </row>
    <row r="461" spans="1:36" x14ac:dyDescent="0.25">
      <c r="A461">
        <v>4</v>
      </c>
      <c r="B461" s="1">
        <v>44896</v>
      </c>
      <c r="C461" s="1">
        <f t="shared" si="170"/>
        <v>45017</v>
      </c>
      <c r="D461" s="1">
        <f t="shared" si="171"/>
        <v>44910</v>
      </c>
      <c r="E461" s="1">
        <f t="shared" si="172"/>
        <v>45017</v>
      </c>
      <c r="F461" s="1">
        <f t="shared" si="173"/>
        <v>45047</v>
      </c>
      <c r="G461" s="1">
        <f t="shared" si="174"/>
        <v>45275</v>
      </c>
      <c r="H461">
        <f t="shared" si="175"/>
        <v>365</v>
      </c>
      <c r="I461">
        <f t="shared" si="176"/>
        <v>30</v>
      </c>
      <c r="J461">
        <f t="shared" si="177"/>
        <v>8.2191780821917804E-2</v>
      </c>
      <c r="K461">
        <f>IFERROR($J461/IF($A461&lt;COUNTIFS($K$1:K$1,"&lt;&gt;"),0,SUMIFS($J:$J,$B:$B,$B461,$A:$A,"&gt;="&amp;COUNTIFS($K$1:K$1,"&lt;&gt;"))),0)</f>
        <v>8.6206896551724144E-2</v>
      </c>
      <c r="L461">
        <f>IFERROR($J461/IF($A461&lt;COUNTIFS($K$1:L$1,"&lt;&gt;"),0,SUMIFS($J:$J,$B:$B,$B461,$A:$A,"&gt;="&amp;COUNTIFS($K$1:L$1,"&lt;&gt;"))),0)</f>
        <v>9.4637223974763415E-2</v>
      </c>
      <c r="M461">
        <f>IFERROR($J461/IF($A461&lt;COUNTIFS($K$1:M$1,"&lt;&gt;"),0,SUMIFS($J:$J,$B:$B,$B461,$A:$A,"&gt;="&amp;COUNTIFS($K$1:M$1,"&lt;&gt;"))),0)</f>
        <v>0.10380622837370243</v>
      </c>
      <c r="N461">
        <f>IFERROR($J461/IF($A461&lt;COUNTIFS($K$1:N$1,"&lt;&gt;"),0,SUMIFS($J:$J,$B:$B,$B461,$A:$A,"&gt;="&amp;COUNTIFS($K$1:N$1,"&lt;&gt;"))),0)</f>
        <v>0.11627906976744187</v>
      </c>
      <c r="O461">
        <f>IFERROR($J461/IF($A461&lt;COUNTIFS($K$1:O$1,"&lt;&gt;"),0,SUMIFS($J:$J,$B:$B,$B461,$A:$A,"&gt;="&amp;COUNTIFS($K$1:O$1,"&lt;&gt;"))),0)</f>
        <v>0</v>
      </c>
      <c r="P461">
        <f>IFERROR($J461/IF($A461&lt;COUNTIFS($K$1:P$1,"&lt;&gt;"),0,SUMIFS($J:$J,$B:$B,$B461,$A:$A,"&gt;="&amp;COUNTIFS($K$1:P$1,"&lt;&gt;"))),0)</f>
        <v>0</v>
      </c>
      <c r="Q461">
        <f>IFERROR($J461/IF($A461&lt;COUNTIFS($K$1:Q$1,"&lt;&gt;"),0,SUMIFS($J:$J,$B:$B,$B461,$A:$A,"&gt;="&amp;COUNTIFS($K$1:Q$1,"&lt;&gt;"))),0)</f>
        <v>0</v>
      </c>
      <c r="R461">
        <f>IFERROR($J461/IF($A461&lt;COUNTIFS($K$1:R$1,"&lt;&gt;"),0,SUMIFS($J:$J,$B:$B,$B461,$A:$A,"&gt;="&amp;COUNTIFS($K$1:R$1,"&lt;&gt;"))),0)</f>
        <v>0</v>
      </c>
      <c r="S461">
        <f>IFERROR($J461/IF($A461&lt;COUNTIFS($K$1:S$1,"&lt;&gt;"),0,SUMIFS($J:$J,$B:$B,$B461,$A:$A,"&gt;="&amp;COUNTIFS($K$1:S$1,"&lt;&gt;"))),0)</f>
        <v>0</v>
      </c>
      <c r="T461">
        <f>IFERROR($J461/IF($A461&lt;COUNTIFS($K$1:T$1,"&lt;&gt;"),0,SUMIFS($J:$J,$B:$B,$B461,$A:$A,"&gt;="&amp;COUNTIFS($K$1:T$1,"&lt;&gt;"))),0)</f>
        <v>0</v>
      </c>
      <c r="U461">
        <f>IFERROR($J461/IF($A461&lt;COUNTIFS($K$1:U$1,"&lt;&gt;"),0,SUMIFS($J:$J,$B:$B,$B461,$A:$A,"&gt;="&amp;COUNTIFS($K$1:U$1,"&lt;&gt;"))),0)</f>
        <v>0</v>
      </c>
      <c r="V461">
        <f>IFERROR($J461/IF($A461&lt;COUNTIFS($K$1:V$1,"&lt;&gt;"),0,SUMIFS($J:$J,$B:$B,$B461,$A:$A,"&gt;="&amp;COUNTIFS($K$1:V$1,"&lt;&gt;"))),0)</f>
        <v>0</v>
      </c>
      <c r="W461">
        <f t="shared" si="178"/>
        <v>8.2191780821917804E-2</v>
      </c>
      <c r="X461">
        <f t="shared" si="158"/>
        <v>8.2191780821917804E-2</v>
      </c>
      <c r="Y461">
        <f t="shared" si="159"/>
        <v>8.2191780821917804E-2</v>
      </c>
      <c r="Z461">
        <f t="shared" si="160"/>
        <v>8.2191780821917804E-2</v>
      </c>
      <c r="AA461">
        <f t="shared" si="161"/>
        <v>8.2191780821917804E-2</v>
      </c>
      <c r="AB461">
        <f t="shared" si="162"/>
        <v>0</v>
      </c>
      <c r="AC461">
        <f t="shared" si="163"/>
        <v>0</v>
      </c>
      <c r="AD461">
        <f t="shared" si="164"/>
        <v>0</v>
      </c>
      <c r="AE461">
        <f t="shared" si="165"/>
        <v>0</v>
      </c>
      <c r="AF461">
        <f t="shared" si="166"/>
        <v>0</v>
      </c>
      <c r="AG461">
        <f t="shared" si="167"/>
        <v>0</v>
      </c>
      <c r="AH461">
        <f t="shared" si="168"/>
        <v>0</v>
      </c>
      <c r="AI461">
        <f t="shared" si="169"/>
        <v>0</v>
      </c>
      <c r="AJ461" s="2" t="str">
        <f t="shared" si="179"/>
        <v>444896</v>
      </c>
    </row>
    <row r="462" spans="1:36" x14ac:dyDescent="0.25">
      <c r="A462">
        <v>5</v>
      </c>
      <c r="B462" s="1">
        <v>44896</v>
      </c>
      <c r="C462" s="1">
        <f t="shared" si="170"/>
        <v>45047</v>
      </c>
      <c r="D462" s="1">
        <f t="shared" si="171"/>
        <v>44910</v>
      </c>
      <c r="E462" s="1">
        <f t="shared" si="172"/>
        <v>45047</v>
      </c>
      <c r="F462" s="1">
        <f t="shared" si="173"/>
        <v>45078</v>
      </c>
      <c r="G462" s="1">
        <f t="shared" si="174"/>
        <v>45275</v>
      </c>
      <c r="H462">
        <f t="shared" si="175"/>
        <v>365</v>
      </c>
      <c r="I462">
        <f t="shared" si="176"/>
        <v>31</v>
      </c>
      <c r="J462">
        <f t="shared" si="177"/>
        <v>8.4931506849315067E-2</v>
      </c>
      <c r="K462">
        <f>IFERROR($J462/IF($A462&lt;COUNTIFS($K$1:K$1,"&lt;&gt;"),0,SUMIFS($J:$J,$B:$B,$B462,$A:$A,"&gt;="&amp;COUNTIFS($K$1:K$1,"&lt;&gt;"))),0)</f>
        <v>8.9080459770114959E-2</v>
      </c>
      <c r="L462">
        <f>IFERROR($J462/IF($A462&lt;COUNTIFS($K$1:L$1,"&lt;&gt;"),0,SUMIFS($J:$J,$B:$B,$B462,$A:$A,"&gt;="&amp;COUNTIFS($K$1:L$1,"&lt;&gt;"))),0)</f>
        <v>9.7791798107255537E-2</v>
      </c>
      <c r="M462">
        <f>IFERROR($J462/IF($A462&lt;COUNTIFS($K$1:M$1,"&lt;&gt;"),0,SUMIFS($J:$J,$B:$B,$B462,$A:$A,"&gt;="&amp;COUNTIFS($K$1:M$1,"&lt;&gt;"))),0)</f>
        <v>0.10726643598615919</v>
      </c>
      <c r="N462">
        <f>IFERROR($J462/IF($A462&lt;COUNTIFS($K$1:N$1,"&lt;&gt;"),0,SUMIFS($J:$J,$B:$B,$B462,$A:$A,"&gt;="&amp;COUNTIFS($K$1:N$1,"&lt;&gt;"))),0)</f>
        <v>0.12015503875968994</v>
      </c>
      <c r="O462">
        <f>IFERROR($J462/IF($A462&lt;COUNTIFS($K$1:O$1,"&lt;&gt;"),0,SUMIFS($J:$J,$B:$B,$B462,$A:$A,"&gt;="&amp;COUNTIFS($K$1:O$1,"&lt;&gt;"))),0)</f>
        <v>0.13596491228070179</v>
      </c>
      <c r="P462">
        <f>IFERROR($J462/IF($A462&lt;COUNTIFS($K$1:P$1,"&lt;&gt;"),0,SUMIFS($J:$J,$B:$B,$B462,$A:$A,"&gt;="&amp;COUNTIFS($K$1:P$1,"&lt;&gt;"))),0)</f>
        <v>0</v>
      </c>
      <c r="Q462">
        <f>IFERROR($J462/IF($A462&lt;COUNTIFS($K$1:Q$1,"&lt;&gt;"),0,SUMIFS($J:$J,$B:$B,$B462,$A:$A,"&gt;="&amp;COUNTIFS($K$1:Q$1,"&lt;&gt;"))),0)</f>
        <v>0</v>
      </c>
      <c r="R462">
        <f>IFERROR($J462/IF($A462&lt;COUNTIFS($K$1:R$1,"&lt;&gt;"),0,SUMIFS($J:$J,$B:$B,$B462,$A:$A,"&gt;="&amp;COUNTIFS($K$1:R$1,"&lt;&gt;"))),0)</f>
        <v>0</v>
      </c>
      <c r="S462">
        <f>IFERROR($J462/IF($A462&lt;COUNTIFS($K$1:S$1,"&lt;&gt;"),0,SUMIFS($J:$J,$B:$B,$B462,$A:$A,"&gt;="&amp;COUNTIFS($K$1:S$1,"&lt;&gt;"))),0)</f>
        <v>0</v>
      </c>
      <c r="T462">
        <f>IFERROR($J462/IF($A462&lt;COUNTIFS($K$1:T$1,"&lt;&gt;"),0,SUMIFS($J:$J,$B:$B,$B462,$A:$A,"&gt;="&amp;COUNTIFS($K$1:T$1,"&lt;&gt;"))),0)</f>
        <v>0</v>
      </c>
      <c r="U462">
        <f>IFERROR($J462/IF($A462&lt;COUNTIFS($K$1:U$1,"&lt;&gt;"),0,SUMIFS($J:$J,$B:$B,$B462,$A:$A,"&gt;="&amp;COUNTIFS($K$1:U$1,"&lt;&gt;"))),0)</f>
        <v>0</v>
      </c>
      <c r="V462">
        <f>IFERROR($J462/IF($A462&lt;COUNTIFS($K$1:V$1,"&lt;&gt;"),0,SUMIFS($J:$J,$B:$B,$B462,$A:$A,"&gt;="&amp;COUNTIFS($K$1:V$1,"&lt;&gt;"))),0)</f>
        <v>0</v>
      </c>
      <c r="W462">
        <f t="shared" si="178"/>
        <v>8.4931506849315067E-2</v>
      </c>
      <c r="X462">
        <f t="shared" si="158"/>
        <v>8.4931506849315067E-2</v>
      </c>
      <c r="Y462">
        <f t="shared" si="159"/>
        <v>8.4931506849315067E-2</v>
      </c>
      <c r="Z462">
        <f t="shared" si="160"/>
        <v>8.4931506849315067E-2</v>
      </c>
      <c r="AA462">
        <f t="shared" si="161"/>
        <v>8.4931506849315067E-2</v>
      </c>
      <c r="AB462">
        <f t="shared" si="162"/>
        <v>8.4931506849315067E-2</v>
      </c>
      <c r="AC462">
        <f t="shared" si="163"/>
        <v>0</v>
      </c>
      <c r="AD462">
        <f t="shared" si="164"/>
        <v>0</v>
      </c>
      <c r="AE462">
        <f t="shared" si="165"/>
        <v>0</v>
      </c>
      <c r="AF462">
        <f t="shared" si="166"/>
        <v>0</v>
      </c>
      <c r="AG462">
        <f t="shared" si="167"/>
        <v>0</v>
      </c>
      <c r="AH462">
        <f t="shared" si="168"/>
        <v>0</v>
      </c>
      <c r="AI462">
        <f t="shared" si="169"/>
        <v>0</v>
      </c>
      <c r="AJ462" s="2" t="str">
        <f t="shared" si="179"/>
        <v>544896</v>
      </c>
    </row>
    <row r="463" spans="1:36" x14ac:dyDescent="0.25">
      <c r="A463">
        <v>6</v>
      </c>
      <c r="B463" s="1">
        <v>44896</v>
      </c>
      <c r="C463" s="1">
        <f t="shared" si="170"/>
        <v>45078</v>
      </c>
      <c r="D463" s="1">
        <f t="shared" si="171"/>
        <v>44910</v>
      </c>
      <c r="E463" s="1">
        <f t="shared" si="172"/>
        <v>45078</v>
      </c>
      <c r="F463" s="1">
        <f t="shared" si="173"/>
        <v>45108</v>
      </c>
      <c r="G463" s="1">
        <f t="shared" si="174"/>
        <v>45275</v>
      </c>
      <c r="H463">
        <f t="shared" si="175"/>
        <v>365</v>
      </c>
      <c r="I463">
        <f t="shared" si="176"/>
        <v>30</v>
      </c>
      <c r="J463">
        <f t="shared" si="177"/>
        <v>8.2191780821917804E-2</v>
      </c>
      <c r="K463">
        <f>IFERROR($J463/IF($A463&lt;COUNTIFS($K$1:K$1,"&lt;&gt;"),0,SUMIFS($J:$J,$B:$B,$B463,$A:$A,"&gt;="&amp;COUNTIFS($K$1:K$1,"&lt;&gt;"))),0)</f>
        <v>8.6206896551724144E-2</v>
      </c>
      <c r="L463">
        <f>IFERROR($J463/IF($A463&lt;COUNTIFS($K$1:L$1,"&lt;&gt;"),0,SUMIFS($J:$J,$B:$B,$B463,$A:$A,"&gt;="&amp;COUNTIFS($K$1:L$1,"&lt;&gt;"))),0)</f>
        <v>9.4637223974763415E-2</v>
      </c>
      <c r="M463">
        <f>IFERROR($J463/IF($A463&lt;COUNTIFS($K$1:M$1,"&lt;&gt;"),0,SUMIFS($J:$J,$B:$B,$B463,$A:$A,"&gt;="&amp;COUNTIFS($K$1:M$1,"&lt;&gt;"))),0)</f>
        <v>0.10380622837370243</v>
      </c>
      <c r="N463">
        <f>IFERROR($J463/IF($A463&lt;COUNTIFS($K$1:N$1,"&lt;&gt;"),0,SUMIFS($J:$J,$B:$B,$B463,$A:$A,"&gt;="&amp;COUNTIFS($K$1:N$1,"&lt;&gt;"))),0)</f>
        <v>0.11627906976744187</v>
      </c>
      <c r="O463">
        <f>IFERROR($J463/IF($A463&lt;COUNTIFS($K$1:O$1,"&lt;&gt;"),0,SUMIFS($J:$J,$B:$B,$B463,$A:$A,"&gt;="&amp;COUNTIFS($K$1:O$1,"&lt;&gt;"))),0)</f>
        <v>0.13157894736842107</v>
      </c>
      <c r="P463">
        <f>IFERROR($J463/IF($A463&lt;COUNTIFS($K$1:P$1,"&lt;&gt;"),0,SUMIFS($J:$J,$B:$B,$B463,$A:$A,"&gt;="&amp;COUNTIFS($K$1:P$1,"&lt;&gt;"))),0)</f>
        <v>0.15228426395939088</v>
      </c>
      <c r="Q463">
        <f>IFERROR($J463/IF($A463&lt;COUNTIFS($K$1:Q$1,"&lt;&gt;"),0,SUMIFS($J:$J,$B:$B,$B463,$A:$A,"&gt;="&amp;COUNTIFS($K$1:Q$1,"&lt;&gt;"))),0)</f>
        <v>0</v>
      </c>
      <c r="R463">
        <f>IFERROR($J463/IF($A463&lt;COUNTIFS($K$1:R$1,"&lt;&gt;"),0,SUMIFS($J:$J,$B:$B,$B463,$A:$A,"&gt;="&amp;COUNTIFS($K$1:R$1,"&lt;&gt;"))),0)</f>
        <v>0</v>
      </c>
      <c r="S463">
        <f>IFERROR($J463/IF($A463&lt;COUNTIFS($K$1:S$1,"&lt;&gt;"),0,SUMIFS($J:$J,$B:$B,$B463,$A:$A,"&gt;="&amp;COUNTIFS($K$1:S$1,"&lt;&gt;"))),0)</f>
        <v>0</v>
      </c>
      <c r="T463">
        <f>IFERROR($J463/IF($A463&lt;COUNTIFS($K$1:T$1,"&lt;&gt;"),0,SUMIFS($J:$J,$B:$B,$B463,$A:$A,"&gt;="&amp;COUNTIFS($K$1:T$1,"&lt;&gt;"))),0)</f>
        <v>0</v>
      </c>
      <c r="U463">
        <f>IFERROR($J463/IF($A463&lt;COUNTIFS($K$1:U$1,"&lt;&gt;"),0,SUMIFS($J:$J,$B:$B,$B463,$A:$A,"&gt;="&amp;COUNTIFS($K$1:U$1,"&lt;&gt;"))),0)</f>
        <v>0</v>
      </c>
      <c r="V463">
        <f>IFERROR($J463/IF($A463&lt;COUNTIFS($K$1:V$1,"&lt;&gt;"),0,SUMIFS($J:$J,$B:$B,$B463,$A:$A,"&gt;="&amp;COUNTIFS($K$1:V$1,"&lt;&gt;"))),0)</f>
        <v>0</v>
      </c>
      <c r="W463">
        <f t="shared" si="178"/>
        <v>8.2191780821917804E-2</v>
      </c>
      <c r="X463">
        <f t="shared" si="158"/>
        <v>8.2191780821917804E-2</v>
      </c>
      <c r="Y463">
        <f t="shared" si="159"/>
        <v>8.2191780821917804E-2</v>
      </c>
      <c r="Z463">
        <f t="shared" si="160"/>
        <v>8.2191780821917804E-2</v>
      </c>
      <c r="AA463">
        <f t="shared" si="161"/>
        <v>8.2191780821917804E-2</v>
      </c>
      <c r="AB463">
        <f t="shared" si="162"/>
        <v>8.2191780821917804E-2</v>
      </c>
      <c r="AC463">
        <f t="shared" si="163"/>
        <v>8.2191780821917804E-2</v>
      </c>
      <c r="AD463">
        <f t="shared" si="164"/>
        <v>0</v>
      </c>
      <c r="AE463">
        <f t="shared" si="165"/>
        <v>0</v>
      </c>
      <c r="AF463">
        <f t="shared" si="166"/>
        <v>0</v>
      </c>
      <c r="AG463">
        <f t="shared" si="167"/>
        <v>0</v>
      </c>
      <c r="AH463">
        <f t="shared" si="168"/>
        <v>0</v>
      </c>
      <c r="AI463">
        <f t="shared" si="169"/>
        <v>0</v>
      </c>
      <c r="AJ463" s="2" t="str">
        <f t="shared" si="179"/>
        <v>644896</v>
      </c>
    </row>
    <row r="464" spans="1:36" x14ac:dyDescent="0.25">
      <c r="A464">
        <v>7</v>
      </c>
      <c r="B464" s="1">
        <v>44896</v>
      </c>
      <c r="C464" s="1">
        <f t="shared" si="170"/>
        <v>45108</v>
      </c>
      <c r="D464" s="1">
        <f t="shared" si="171"/>
        <v>44910</v>
      </c>
      <c r="E464" s="1">
        <f t="shared" si="172"/>
        <v>45108</v>
      </c>
      <c r="F464" s="1">
        <f t="shared" si="173"/>
        <v>45139</v>
      </c>
      <c r="G464" s="1">
        <f t="shared" si="174"/>
        <v>45275</v>
      </c>
      <c r="H464">
        <f t="shared" si="175"/>
        <v>365</v>
      </c>
      <c r="I464">
        <f t="shared" si="176"/>
        <v>31</v>
      </c>
      <c r="J464">
        <f t="shared" si="177"/>
        <v>8.4931506849315067E-2</v>
      </c>
      <c r="K464">
        <f>IFERROR($J464/IF($A464&lt;COUNTIFS($K$1:K$1,"&lt;&gt;"),0,SUMIFS($J:$J,$B:$B,$B464,$A:$A,"&gt;="&amp;COUNTIFS($K$1:K$1,"&lt;&gt;"))),0)</f>
        <v>8.9080459770114959E-2</v>
      </c>
      <c r="L464">
        <f>IFERROR($J464/IF($A464&lt;COUNTIFS($K$1:L$1,"&lt;&gt;"),0,SUMIFS($J:$J,$B:$B,$B464,$A:$A,"&gt;="&amp;COUNTIFS($K$1:L$1,"&lt;&gt;"))),0)</f>
        <v>9.7791798107255537E-2</v>
      </c>
      <c r="M464">
        <f>IFERROR($J464/IF($A464&lt;COUNTIFS($K$1:M$1,"&lt;&gt;"),0,SUMIFS($J:$J,$B:$B,$B464,$A:$A,"&gt;="&amp;COUNTIFS($K$1:M$1,"&lt;&gt;"))),0)</f>
        <v>0.10726643598615919</v>
      </c>
      <c r="N464">
        <f>IFERROR($J464/IF($A464&lt;COUNTIFS($K$1:N$1,"&lt;&gt;"),0,SUMIFS($J:$J,$B:$B,$B464,$A:$A,"&gt;="&amp;COUNTIFS($K$1:N$1,"&lt;&gt;"))),0)</f>
        <v>0.12015503875968994</v>
      </c>
      <c r="O464">
        <f>IFERROR($J464/IF($A464&lt;COUNTIFS($K$1:O$1,"&lt;&gt;"),0,SUMIFS($J:$J,$B:$B,$B464,$A:$A,"&gt;="&amp;COUNTIFS($K$1:O$1,"&lt;&gt;"))),0)</f>
        <v>0.13596491228070179</v>
      </c>
      <c r="P464">
        <f>IFERROR($J464/IF($A464&lt;COUNTIFS($K$1:P$1,"&lt;&gt;"),0,SUMIFS($J:$J,$B:$B,$B464,$A:$A,"&gt;="&amp;COUNTIFS($K$1:P$1,"&lt;&gt;"))),0)</f>
        <v>0.15736040609137059</v>
      </c>
      <c r="Q464">
        <f>IFERROR($J464/IF($A464&lt;COUNTIFS($K$1:Q$1,"&lt;&gt;"),0,SUMIFS($J:$J,$B:$B,$B464,$A:$A,"&gt;="&amp;COUNTIFS($K$1:Q$1,"&lt;&gt;"))),0)</f>
        <v>0.18562874251497008</v>
      </c>
      <c r="R464">
        <f>IFERROR($J464/IF($A464&lt;COUNTIFS($K$1:R$1,"&lt;&gt;"),0,SUMIFS($J:$J,$B:$B,$B464,$A:$A,"&gt;="&amp;COUNTIFS($K$1:R$1,"&lt;&gt;"))),0)</f>
        <v>0</v>
      </c>
      <c r="S464">
        <f>IFERROR($J464/IF($A464&lt;COUNTIFS($K$1:S$1,"&lt;&gt;"),0,SUMIFS($J:$J,$B:$B,$B464,$A:$A,"&gt;="&amp;COUNTIFS($K$1:S$1,"&lt;&gt;"))),0)</f>
        <v>0</v>
      </c>
      <c r="T464">
        <f>IFERROR($J464/IF($A464&lt;COUNTIFS($K$1:T$1,"&lt;&gt;"),0,SUMIFS($J:$J,$B:$B,$B464,$A:$A,"&gt;="&amp;COUNTIFS($K$1:T$1,"&lt;&gt;"))),0)</f>
        <v>0</v>
      </c>
      <c r="U464">
        <f>IFERROR($J464/IF($A464&lt;COUNTIFS($K$1:U$1,"&lt;&gt;"),0,SUMIFS($J:$J,$B:$B,$B464,$A:$A,"&gt;="&amp;COUNTIFS($K$1:U$1,"&lt;&gt;"))),0)</f>
        <v>0</v>
      </c>
      <c r="V464">
        <f>IFERROR($J464/IF($A464&lt;COUNTIFS($K$1:V$1,"&lt;&gt;"),0,SUMIFS($J:$J,$B:$B,$B464,$A:$A,"&gt;="&amp;COUNTIFS($K$1:V$1,"&lt;&gt;"))),0)</f>
        <v>0</v>
      </c>
      <c r="W464">
        <f t="shared" si="178"/>
        <v>8.4931506849315067E-2</v>
      </c>
      <c r="X464">
        <f t="shared" si="158"/>
        <v>8.4931506849315067E-2</v>
      </c>
      <c r="Y464">
        <f t="shared" si="159"/>
        <v>8.4931506849315067E-2</v>
      </c>
      <c r="Z464">
        <f t="shared" si="160"/>
        <v>8.4931506849315067E-2</v>
      </c>
      <c r="AA464">
        <f t="shared" si="161"/>
        <v>8.4931506849315067E-2</v>
      </c>
      <c r="AB464">
        <f t="shared" si="162"/>
        <v>8.4931506849315067E-2</v>
      </c>
      <c r="AC464">
        <f t="shared" si="163"/>
        <v>8.4931506849315067E-2</v>
      </c>
      <c r="AD464">
        <f t="shared" si="164"/>
        <v>8.4931506849315067E-2</v>
      </c>
      <c r="AE464">
        <f t="shared" si="165"/>
        <v>0</v>
      </c>
      <c r="AF464">
        <f t="shared" si="166"/>
        <v>0</v>
      </c>
      <c r="AG464">
        <f t="shared" si="167"/>
        <v>0</v>
      </c>
      <c r="AH464">
        <f t="shared" si="168"/>
        <v>0</v>
      </c>
      <c r="AI464">
        <f t="shared" si="169"/>
        <v>0</v>
      </c>
      <c r="AJ464" s="2" t="str">
        <f t="shared" si="179"/>
        <v>744896</v>
      </c>
    </row>
    <row r="465" spans="1:36" x14ac:dyDescent="0.25">
      <c r="A465">
        <v>8</v>
      </c>
      <c r="B465" s="1">
        <v>44896</v>
      </c>
      <c r="C465" s="1">
        <f t="shared" si="170"/>
        <v>45139</v>
      </c>
      <c r="D465" s="1">
        <f t="shared" si="171"/>
        <v>44910</v>
      </c>
      <c r="E465" s="1">
        <f t="shared" si="172"/>
        <v>45139</v>
      </c>
      <c r="F465" s="1">
        <f t="shared" si="173"/>
        <v>45170</v>
      </c>
      <c r="G465" s="1">
        <f t="shared" si="174"/>
        <v>45275</v>
      </c>
      <c r="H465">
        <f t="shared" si="175"/>
        <v>365</v>
      </c>
      <c r="I465">
        <f t="shared" si="176"/>
        <v>31</v>
      </c>
      <c r="J465">
        <f t="shared" si="177"/>
        <v>8.4931506849315067E-2</v>
      </c>
      <c r="K465">
        <f>IFERROR($J465/IF($A465&lt;COUNTIFS($K$1:K$1,"&lt;&gt;"),0,SUMIFS($J:$J,$B:$B,$B465,$A:$A,"&gt;="&amp;COUNTIFS($K$1:K$1,"&lt;&gt;"))),0)</f>
        <v>8.9080459770114959E-2</v>
      </c>
      <c r="L465">
        <f>IFERROR($J465/IF($A465&lt;COUNTIFS($K$1:L$1,"&lt;&gt;"),0,SUMIFS($J:$J,$B:$B,$B465,$A:$A,"&gt;="&amp;COUNTIFS($K$1:L$1,"&lt;&gt;"))),0)</f>
        <v>9.7791798107255537E-2</v>
      </c>
      <c r="M465">
        <f>IFERROR($J465/IF($A465&lt;COUNTIFS($K$1:M$1,"&lt;&gt;"),0,SUMIFS($J:$J,$B:$B,$B465,$A:$A,"&gt;="&amp;COUNTIFS($K$1:M$1,"&lt;&gt;"))),0)</f>
        <v>0.10726643598615919</v>
      </c>
      <c r="N465">
        <f>IFERROR($J465/IF($A465&lt;COUNTIFS($K$1:N$1,"&lt;&gt;"),0,SUMIFS($J:$J,$B:$B,$B465,$A:$A,"&gt;="&amp;COUNTIFS($K$1:N$1,"&lt;&gt;"))),0)</f>
        <v>0.12015503875968994</v>
      </c>
      <c r="O465">
        <f>IFERROR($J465/IF($A465&lt;COUNTIFS($K$1:O$1,"&lt;&gt;"),0,SUMIFS($J:$J,$B:$B,$B465,$A:$A,"&gt;="&amp;COUNTIFS($K$1:O$1,"&lt;&gt;"))),0)</f>
        <v>0.13596491228070179</v>
      </c>
      <c r="P465">
        <f>IFERROR($J465/IF($A465&lt;COUNTIFS($K$1:P$1,"&lt;&gt;"),0,SUMIFS($J:$J,$B:$B,$B465,$A:$A,"&gt;="&amp;COUNTIFS($K$1:P$1,"&lt;&gt;"))),0)</f>
        <v>0.15736040609137059</v>
      </c>
      <c r="Q465">
        <f>IFERROR($J465/IF($A465&lt;COUNTIFS($K$1:Q$1,"&lt;&gt;"),0,SUMIFS($J:$J,$B:$B,$B465,$A:$A,"&gt;="&amp;COUNTIFS($K$1:Q$1,"&lt;&gt;"))),0)</f>
        <v>0.18562874251497008</v>
      </c>
      <c r="R465">
        <f>IFERROR($J465/IF($A465&lt;COUNTIFS($K$1:R$1,"&lt;&gt;"),0,SUMIFS($J:$J,$B:$B,$B465,$A:$A,"&gt;="&amp;COUNTIFS($K$1:R$1,"&lt;&gt;"))),0)</f>
        <v>0.22794117647058826</v>
      </c>
      <c r="S465">
        <f>IFERROR($J465/IF($A465&lt;COUNTIFS($K$1:S$1,"&lt;&gt;"),0,SUMIFS($J:$J,$B:$B,$B465,$A:$A,"&gt;="&amp;COUNTIFS($K$1:S$1,"&lt;&gt;"))),0)</f>
        <v>0</v>
      </c>
      <c r="T465">
        <f>IFERROR($J465/IF($A465&lt;COUNTIFS($K$1:T$1,"&lt;&gt;"),0,SUMIFS($J:$J,$B:$B,$B465,$A:$A,"&gt;="&amp;COUNTIFS($K$1:T$1,"&lt;&gt;"))),0)</f>
        <v>0</v>
      </c>
      <c r="U465">
        <f>IFERROR($J465/IF($A465&lt;COUNTIFS($K$1:U$1,"&lt;&gt;"),0,SUMIFS($J:$J,$B:$B,$B465,$A:$A,"&gt;="&amp;COUNTIFS($K$1:U$1,"&lt;&gt;"))),0)</f>
        <v>0</v>
      </c>
      <c r="V465">
        <f>IFERROR($J465/IF($A465&lt;COUNTIFS($K$1:V$1,"&lt;&gt;"),0,SUMIFS($J:$J,$B:$B,$B465,$A:$A,"&gt;="&amp;COUNTIFS($K$1:V$1,"&lt;&gt;"))),0)</f>
        <v>0</v>
      </c>
      <c r="W465">
        <f t="shared" si="178"/>
        <v>8.4931506849315067E-2</v>
      </c>
      <c r="X465">
        <f t="shared" si="158"/>
        <v>8.4931506849315067E-2</v>
      </c>
      <c r="Y465">
        <f t="shared" si="159"/>
        <v>8.4931506849315067E-2</v>
      </c>
      <c r="Z465">
        <f t="shared" si="160"/>
        <v>8.4931506849315067E-2</v>
      </c>
      <c r="AA465">
        <f t="shared" si="161"/>
        <v>8.4931506849315067E-2</v>
      </c>
      <c r="AB465">
        <f t="shared" si="162"/>
        <v>8.4931506849315067E-2</v>
      </c>
      <c r="AC465">
        <f t="shared" si="163"/>
        <v>8.4931506849315067E-2</v>
      </c>
      <c r="AD465">
        <f t="shared" si="164"/>
        <v>8.4931506849315067E-2</v>
      </c>
      <c r="AE465">
        <f t="shared" si="165"/>
        <v>8.4931506849315067E-2</v>
      </c>
      <c r="AF465">
        <f t="shared" si="166"/>
        <v>0</v>
      </c>
      <c r="AG465">
        <f t="shared" si="167"/>
        <v>0</v>
      </c>
      <c r="AH465">
        <f t="shared" si="168"/>
        <v>0</v>
      </c>
      <c r="AI465">
        <f t="shared" si="169"/>
        <v>0</v>
      </c>
      <c r="AJ465" s="2" t="str">
        <f t="shared" si="179"/>
        <v>844896</v>
      </c>
    </row>
    <row r="466" spans="1:36" x14ac:dyDescent="0.25">
      <c r="A466">
        <v>9</v>
      </c>
      <c r="B466" s="1">
        <v>44896</v>
      </c>
      <c r="C466" s="1">
        <f t="shared" si="170"/>
        <v>45170</v>
      </c>
      <c r="D466" s="1">
        <f t="shared" si="171"/>
        <v>44910</v>
      </c>
      <c r="E466" s="1">
        <f t="shared" si="172"/>
        <v>45170</v>
      </c>
      <c r="F466" s="1">
        <f t="shared" si="173"/>
        <v>45200</v>
      </c>
      <c r="G466" s="1">
        <f t="shared" si="174"/>
        <v>45275</v>
      </c>
      <c r="H466">
        <f t="shared" si="175"/>
        <v>365</v>
      </c>
      <c r="I466">
        <f t="shared" si="176"/>
        <v>30</v>
      </c>
      <c r="J466">
        <f t="shared" si="177"/>
        <v>8.2191780821917804E-2</v>
      </c>
      <c r="K466">
        <f>IFERROR($J466/IF($A466&lt;COUNTIFS($K$1:K$1,"&lt;&gt;"),0,SUMIFS($J:$J,$B:$B,$B466,$A:$A,"&gt;="&amp;COUNTIFS($K$1:K$1,"&lt;&gt;"))),0)</f>
        <v>8.6206896551724144E-2</v>
      </c>
      <c r="L466">
        <f>IFERROR($J466/IF($A466&lt;COUNTIFS($K$1:L$1,"&lt;&gt;"),0,SUMIFS($J:$J,$B:$B,$B466,$A:$A,"&gt;="&amp;COUNTIFS($K$1:L$1,"&lt;&gt;"))),0)</f>
        <v>9.4637223974763415E-2</v>
      </c>
      <c r="M466">
        <f>IFERROR($J466/IF($A466&lt;COUNTIFS($K$1:M$1,"&lt;&gt;"),0,SUMIFS($J:$J,$B:$B,$B466,$A:$A,"&gt;="&amp;COUNTIFS($K$1:M$1,"&lt;&gt;"))),0)</f>
        <v>0.10380622837370243</v>
      </c>
      <c r="N466">
        <f>IFERROR($J466/IF($A466&lt;COUNTIFS($K$1:N$1,"&lt;&gt;"),0,SUMIFS($J:$J,$B:$B,$B466,$A:$A,"&gt;="&amp;COUNTIFS($K$1:N$1,"&lt;&gt;"))),0)</f>
        <v>0.11627906976744187</v>
      </c>
      <c r="O466">
        <f>IFERROR($J466/IF($A466&lt;COUNTIFS($K$1:O$1,"&lt;&gt;"),0,SUMIFS($J:$J,$B:$B,$B466,$A:$A,"&gt;="&amp;COUNTIFS($K$1:O$1,"&lt;&gt;"))),0)</f>
        <v>0.13157894736842107</v>
      </c>
      <c r="P466">
        <f>IFERROR($J466/IF($A466&lt;COUNTIFS($K$1:P$1,"&lt;&gt;"),0,SUMIFS($J:$J,$B:$B,$B466,$A:$A,"&gt;="&amp;COUNTIFS($K$1:P$1,"&lt;&gt;"))),0)</f>
        <v>0.15228426395939088</v>
      </c>
      <c r="Q466">
        <f>IFERROR($J466/IF($A466&lt;COUNTIFS($K$1:Q$1,"&lt;&gt;"),0,SUMIFS($J:$J,$B:$B,$B466,$A:$A,"&gt;="&amp;COUNTIFS($K$1:Q$1,"&lt;&gt;"))),0)</f>
        <v>0.17964071856287425</v>
      </c>
      <c r="R466">
        <f>IFERROR($J466/IF($A466&lt;COUNTIFS($K$1:R$1,"&lt;&gt;"),0,SUMIFS($J:$J,$B:$B,$B466,$A:$A,"&gt;="&amp;COUNTIFS($K$1:R$1,"&lt;&gt;"))),0)</f>
        <v>0.22058823529411764</v>
      </c>
      <c r="S466">
        <f>IFERROR($J466/IF($A466&lt;COUNTIFS($K$1:S$1,"&lt;&gt;"),0,SUMIFS($J:$J,$B:$B,$B466,$A:$A,"&gt;="&amp;COUNTIFS($K$1:S$1,"&lt;&gt;"))),0)</f>
        <v>0.2857142857142857</v>
      </c>
      <c r="T466">
        <f>IFERROR($J466/IF($A466&lt;COUNTIFS($K$1:T$1,"&lt;&gt;"),0,SUMIFS($J:$J,$B:$B,$B466,$A:$A,"&gt;="&amp;COUNTIFS($K$1:T$1,"&lt;&gt;"))),0)</f>
        <v>0</v>
      </c>
      <c r="U466">
        <f>IFERROR($J466/IF($A466&lt;COUNTIFS($K$1:U$1,"&lt;&gt;"),0,SUMIFS($J:$J,$B:$B,$B466,$A:$A,"&gt;="&amp;COUNTIFS($K$1:U$1,"&lt;&gt;"))),0)</f>
        <v>0</v>
      </c>
      <c r="V466">
        <f>IFERROR($J466/IF($A466&lt;COUNTIFS($K$1:V$1,"&lt;&gt;"),0,SUMIFS($J:$J,$B:$B,$B466,$A:$A,"&gt;="&amp;COUNTIFS($K$1:V$1,"&lt;&gt;"))),0)</f>
        <v>0</v>
      </c>
      <c r="W466">
        <f t="shared" si="178"/>
        <v>8.2191780821917804E-2</v>
      </c>
      <c r="X466">
        <f t="shared" si="158"/>
        <v>8.2191780821917804E-2</v>
      </c>
      <c r="Y466">
        <f t="shared" si="159"/>
        <v>8.2191780821917804E-2</v>
      </c>
      <c r="Z466">
        <f t="shared" si="160"/>
        <v>8.2191780821917804E-2</v>
      </c>
      <c r="AA466">
        <f t="shared" si="161"/>
        <v>8.2191780821917804E-2</v>
      </c>
      <c r="AB466">
        <f t="shared" si="162"/>
        <v>8.2191780821917804E-2</v>
      </c>
      <c r="AC466">
        <f t="shared" si="163"/>
        <v>8.2191780821917804E-2</v>
      </c>
      <c r="AD466">
        <f t="shared" si="164"/>
        <v>8.2191780821917804E-2</v>
      </c>
      <c r="AE466">
        <f t="shared" si="165"/>
        <v>8.2191780821917804E-2</v>
      </c>
      <c r="AF466">
        <f t="shared" si="166"/>
        <v>8.2191780821917804E-2</v>
      </c>
      <c r="AG466">
        <f t="shared" si="167"/>
        <v>0</v>
      </c>
      <c r="AH466">
        <f t="shared" si="168"/>
        <v>0</v>
      </c>
      <c r="AI466">
        <f t="shared" si="169"/>
        <v>0</v>
      </c>
      <c r="AJ466" s="2" t="str">
        <f t="shared" si="179"/>
        <v>944896</v>
      </c>
    </row>
    <row r="467" spans="1:36" x14ac:dyDescent="0.25">
      <c r="A467">
        <v>10</v>
      </c>
      <c r="B467" s="1">
        <v>44896</v>
      </c>
      <c r="C467" s="1">
        <f t="shared" si="170"/>
        <v>45200</v>
      </c>
      <c r="D467" s="1">
        <f t="shared" si="171"/>
        <v>44910</v>
      </c>
      <c r="E467" s="1">
        <f t="shared" si="172"/>
        <v>45200</v>
      </c>
      <c r="F467" s="1">
        <f t="shared" si="173"/>
        <v>45231</v>
      </c>
      <c r="G467" s="1">
        <f t="shared" si="174"/>
        <v>45275</v>
      </c>
      <c r="H467">
        <f t="shared" si="175"/>
        <v>365</v>
      </c>
      <c r="I467">
        <f t="shared" si="176"/>
        <v>31</v>
      </c>
      <c r="J467">
        <f t="shared" si="177"/>
        <v>8.4931506849315067E-2</v>
      </c>
      <c r="K467">
        <f>IFERROR($J467/IF($A467&lt;COUNTIFS($K$1:K$1,"&lt;&gt;"),0,SUMIFS($J:$J,$B:$B,$B467,$A:$A,"&gt;="&amp;COUNTIFS($K$1:K$1,"&lt;&gt;"))),0)</f>
        <v>8.9080459770114959E-2</v>
      </c>
      <c r="L467">
        <f>IFERROR($J467/IF($A467&lt;COUNTIFS($K$1:L$1,"&lt;&gt;"),0,SUMIFS($J:$J,$B:$B,$B467,$A:$A,"&gt;="&amp;COUNTIFS($K$1:L$1,"&lt;&gt;"))),0)</f>
        <v>9.7791798107255537E-2</v>
      </c>
      <c r="M467">
        <f>IFERROR($J467/IF($A467&lt;COUNTIFS($K$1:M$1,"&lt;&gt;"),0,SUMIFS($J:$J,$B:$B,$B467,$A:$A,"&gt;="&amp;COUNTIFS($K$1:M$1,"&lt;&gt;"))),0)</f>
        <v>0.10726643598615919</v>
      </c>
      <c r="N467">
        <f>IFERROR($J467/IF($A467&lt;COUNTIFS($K$1:N$1,"&lt;&gt;"),0,SUMIFS($J:$J,$B:$B,$B467,$A:$A,"&gt;="&amp;COUNTIFS($K$1:N$1,"&lt;&gt;"))),0)</f>
        <v>0.12015503875968994</v>
      </c>
      <c r="O467">
        <f>IFERROR($J467/IF($A467&lt;COUNTIFS($K$1:O$1,"&lt;&gt;"),0,SUMIFS($J:$J,$B:$B,$B467,$A:$A,"&gt;="&amp;COUNTIFS($K$1:O$1,"&lt;&gt;"))),0)</f>
        <v>0.13596491228070179</v>
      </c>
      <c r="P467">
        <f>IFERROR($J467/IF($A467&lt;COUNTIFS($K$1:P$1,"&lt;&gt;"),0,SUMIFS($J:$J,$B:$B,$B467,$A:$A,"&gt;="&amp;COUNTIFS($K$1:P$1,"&lt;&gt;"))),0)</f>
        <v>0.15736040609137059</v>
      </c>
      <c r="Q467">
        <f>IFERROR($J467/IF($A467&lt;COUNTIFS($K$1:Q$1,"&lt;&gt;"),0,SUMIFS($J:$J,$B:$B,$B467,$A:$A,"&gt;="&amp;COUNTIFS($K$1:Q$1,"&lt;&gt;"))),0)</f>
        <v>0.18562874251497008</v>
      </c>
      <c r="R467">
        <f>IFERROR($J467/IF($A467&lt;COUNTIFS($K$1:R$1,"&lt;&gt;"),0,SUMIFS($J:$J,$B:$B,$B467,$A:$A,"&gt;="&amp;COUNTIFS($K$1:R$1,"&lt;&gt;"))),0)</f>
        <v>0.22794117647058826</v>
      </c>
      <c r="S467">
        <f>IFERROR($J467/IF($A467&lt;COUNTIFS($K$1:S$1,"&lt;&gt;"),0,SUMIFS($J:$J,$B:$B,$B467,$A:$A,"&gt;="&amp;COUNTIFS($K$1:S$1,"&lt;&gt;"))),0)</f>
        <v>0.29523809523809524</v>
      </c>
      <c r="T467">
        <f>IFERROR($J467/IF($A467&lt;COUNTIFS($K$1:T$1,"&lt;&gt;"),0,SUMIFS($J:$J,$B:$B,$B467,$A:$A,"&gt;="&amp;COUNTIFS($K$1:T$1,"&lt;&gt;"))),0)</f>
        <v>0.41333333333333333</v>
      </c>
      <c r="U467">
        <f>IFERROR($J467/IF($A467&lt;COUNTIFS($K$1:U$1,"&lt;&gt;"),0,SUMIFS($J:$J,$B:$B,$B467,$A:$A,"&gt;="&amp;COUNTIFS($K$1:U$1,"&lt;&gt;"))),0)</f>
        <v>0</v>
      </c>
      <c r="V467">
        <f>IFERROR($J467/IF($A467&lt;COUNTIFS($K$1:V$1,"&lt;&gt;"),0,SUMIFS($J:$J,$B:$B,$B467,$A:$A,"&gt;="&amp;COUNTIFS($K$1:V$1,"&lt;&gt;"))),0)</f>
        <v>0</v>
      </c>
      <c r="W467">
        <f t="shared" si="178"/>
        <v>8.4931506849315067E-2</v>
      </c>
      <c r="X467">
        <f t="shared" si="158"/>
        <v>8.4931506849315067E-2</v>
      </c>
      <c r="Y467">
        <f t="shared" si="159"/>
        <v>8.4931506849315067E-2</v>
      </c>
      <c r="Z467">
        <f t="shared" si="160"/>
        <v>8.4931506849315067E-2</v>
      </c>
      <c r="AA467">
        <f t="shared" si="161"/>
        <v>8.4931506849315067E-2</v>
      </c>
      <c r="AB467">
        <f t="shared" si="162"/>
        <v>8.4931506849315067E-2</v>
      </c>
      <c r="AC467">
        <f t="shared" si="163"/>
        <v>8.4931506849315067E-2</v>
      </c>
      <c r="AD467">
        <f t="shared" si="164"/>
        <v>8.4931506849315067E-2</v>
      </c>
      <c r="AE467">
        <f t="shared" si="165"/>
        <v>8.4931506849315067E-2</v>
      </c>
      <c r="AF467">
        <f t="shared" si="166"/>
        <v>8.4931506849315067E-2</v>
      </c>
      <c r="AG467">
        <f t="shared" si="167"/>
        <v>8.4931506849315067E-2</v>
      </c>
      <c r="AH467">
        <f t="shared" si="168"/>
        <v>0</v>
      </c>
      <c r="AI467">
        <f t="shared" si="169"/>
        <v>0</v>
      </c>
      <c r="AJ467" s="2" t="str">
        <f t="shared" si="179"/>
        <v>1044896</v>
      </c>
    </row>
    <row r="468" spans="1:36" x14ac:dyDescent="0.25">
      <c r="A468">
        <v>11</v>
      </c>
      <c r="B468" s="1">
        <v>44896</v>
      </c>
      <c r="C468" s="1">
        <f t="shared" si="170"/>
        <v>45231</v>
      </c>
      <c r="D468" s="1">
        <f t="shared" si="171"/>
        <v>44910</v>
      </c>
      <c r="E468" s="1">
        <f t="shared" si="172"/>
        <v>45231</v>
      </c>
      <c r="F468" s="1">
        <f t="shared" si="173"/>
        <v>45261</v>
      </c>
      <c r="G468" s="1">
        <f t="shared" si="174"/>
        <v>45275</v>
      </c>
      <c r="H468">
        <f t="shared" si="175"/>
        <v>365</v>
      </c>
      <c r="I468">
        <f t="shared" si="176"/>
        <v>30</v>
      </c>
      <c r="J468">
        <f t="shared" si="177"/>
        <v>8.2191780821917804E-2</v>
      </c>
      <c r="K468">
        <f>IFERROR($J468/IF($A468&lt;COUNTIFS($K$1:K$1,"&lt;&gt;"),0,SUMIFS($J:$J,$B:$B,$B468,$A:$A,"&gt;="&amp;COUNTIFS($K$1:K$1,"&lt;&gt;"))),0)</f>
        <v>8.6206896551724144E-2</v>
      </c>
      <c r="L468">
        <f>IFERROR($J468/IF($A468&lt;COUNTIFS($K$1:L$1,"&lt;&gt;"),0,SUMIFS($J:$J,$B:$B,$B468,$A:$A,"&gt;="&amp;COUNTIFS($K$1:L$1,"&lt;&gt;"))),0)</f>
        <v>9.4637223974763415E-2</v>
      </c>
      <c r="M468">
        <f>IFERROR($J468/IF($A468&lt;COUNTIFS($K$1:M$1,"&lt;&gt;"),0,SUMIFS($J:$J,$B:$B,$B468,$A:$A,"&gt;="&amp;COUNTIFS($K$1:M$1,"&lt;&gt;"))),0)</f>
        <v>0.10380622837370243</v>
      </c>
      <c r="N468">
        <f>IFERROR($J468/IF($A468&lt;COUNTIFS($K$1:N$1,"&lt;&gt;"),0,SUMIFS($J:$J,$B:$B,$B468,$A:$A,"&gt;="&amp;COUNTIFS($K$1:N$1,"&lt;&gt;"))),0)</f>
        <v>0.11627906976744187</v>
      </c>
      <c r="O468">
        <f>IFERROR($J468/IF($A468&lt;COUNTIFS($K$1:O$1,"&lt;&gt;"),0,SUMIFS($J:$J,$B:$B,$B468,$A:$A,"&gt;="&amp;COUNTIFS($K$1:O$1,"&lt;&gt;"))),0)</f>
        <v>0.13157894736842107</v>
      </c>
      <c r="P468">
        <f>IFERROR($J468/IF($A468&lt;COUNTIFS($K$1:P$1,"&lt;&gt;"),0,SUMIFS($J:$J,$B:$B,$B468,$A:$A,"&gt;="&amp;COUNTIFS($K$1:P$1,"&lt;&gt;"))),0)</f>
        <v>0.15228426395939088</v>
      </c>
      <c r="Q468">
        <f>IFERROR($J468/IF($A468&lt;COUNTIFS($K$1:Q$1,"&lt;&gt;"),0,SUMIFS($J:$J,$B:$B,$B468,$A:$A,"&gt;="&amp;COUNTIFS($K$1:Q$1,"&lt;&gt;"))),0)</f>
        <v>0.17964071856287425</v>
      </c>
      <c r="R468">
        <f>IFERROR($J468/IF($A468&lt;COUNTIFS($K$1:R$1,"&lt;&gt;"),0,SUMIFS($J:$J,$B:$B,$B468,$A:$A,"&gt;="&amp;COUNTIFS($K$1:R$1,"&lt;&gt;"))),0)</f>
        <v>0.22058823529411764</v>
      </c>
      <c r="S468">
        <f>IFERROR($J468/IF($A468&lt;COUNTIFS($K$1:S$1,"&lt;&gt;"),0,SUMIFS($J:$J,$B:$B,$B468,$A:$A,"&gt;="&amp;COUNTIFS($K$1:S$1,"&lt;&gt;"))),0)</f>
        <v>0.2857142857142857</v>
      </c>
      <c r="T468">
        <f>IFERROR($J468/IF($A468&lt;COUNTIFS($K$1:T$1,"&lt;&gt;"),0,SUMIFS($J:$J,$B:$B,$B468,$A:$A,"&gt;="&amp;COUNTIFS($K$1:T$1,"&lt;&gt;"))),0)</f>
        <v>0.4</v>
      </c>
      <c r="U468">
        <f>IFERROR($J468/IF($A468&lt;COUNTIFS($K$1:U$1,"&lt;&gt;"),0,SUMIFS($J:$J,$B:$B,$B468,$A:$A,"&gt;="&amp;COUNTIFS($K$1:U$1,"&lt;&gt;"))),0)</f>
        <v>0.68181818181818177</v>
      </c>
      <c r="V468">
        <f>IFERROR($J468/IF($A468&lt;COUNTIFS($K$1:V$1,"&lt;&gt;"),0,SUMIFS($J:$J,$B:$B,$B468,$A:$A,"&gt;="&amp;COUNTIFS($K$1:V$1,"&lt;&gt;"))),0)</f>
        <v>0</v>
      </c>
      <c r="W468">
        <f t="shared" si="178"/>
        <v>8.2191780821917804E-2</v>
      </c>
      <c r="X468">
        <f t="shared" si="158"/>
        <v>8.2191780821917804E-2</v>
      </c>
      <c r="Y468">
        <f t="shared" si="159"/>
        <v>8.2191780821917804E-2</v>
      </c>
      <c r="Z468">
        <f t="shared" si="160"/>
        <v>8.2191780821917804E-2</v>
      </c>
      <c r="AA468">
        <f t="shared" si="161"/>
        <v>8.2191780821917804E-2</v>
      </c>
      <c r="AB468">
        <f t="shared" si="162"/>
        <v>8.2191780821917804E-2</v>
      </c>
      <c r="AC468">
        <f t="shared" si="163"/>
        <v>8.2191780821917804E-2</v>
      </c>
      <c r="AD468">
        <f t="shared" si="164"/>
        <v>8.2191780821917804E-2</v>
      </c>
      <c r="AE468">
        <f t="shared" si="165"/>
        <v>8.2191780821917804E-2</v>
      </c>
      <c r="AF468">
        <f t="shared" si="166"/>
        <v>8.2191780821917804E-2</v>
      </c>
      <c r="AG468">
        <f t="shared" si="167"/>
        <v>8.2191780821917804E-2</v>
      </c>
      <c r="AH468">
        <f t="shared" si="168"/>
        <v>8.2191780821917804E-2</v>
      </c>
      <c r="AI468">
        <f t="shared" si="169"/>
        <v>0</v>
      </c>
      <c r="AJ468" s="2" t="str">
        <f t="shared" si="179"/>
        <v>1144896</v>
      </c>
    </row>
    <row r="469" spans="1:36" x14ac:dyDescent="0.25">
      <c r="A469">
        <v>12</v>
      </c>
      <c r="B469" s="1">
        <v>44896</v>
      </c>
      <c r="C469" s="1">
        <f t="shared" si="170"/>
        <v>45261</v>
      </c>
      <c r="D469" s="1">
        <f t="shared" si="171"/>
        <v>44910</v>
      </c>
      <c r="E469" s="1">
        <f t="shared" si="172"/>
        <v>45261</v>
      </c>
      <c r="F469" s="1">
        <f t="shared" si="173"/>
        <v>45275</v>
      </c>
      <c r="G469" s="1">
        <f t="shared" si="174"/>
        <v>45275</v>
      </c>
      <c r="H469">
        <f t="shared" si="175"/>
        <v>365</v>
      </c>
      <c r="I469">
        <f t="shared" si="176"/>
        <v>14</v>
      </c>
      <c r="J469">
        <f t="shared" si="177"/>
        <v>3.8356164383561646E-2</v>
      </c>
      <c r="K469">
        <f>IFERROR($J469/IF($A469&lt;COUNTIFS($K$1:K$1,"&lt;&gt;"),0,SUMIFS($J:$J,$B:$B,$B469,$A:$A,"&gt;="&amp;COUNTIFS($K$1:K$1,"&lt;&gt;"))),0)</f>
        <v>4.0229885057471271E-2</v>
      </c>
      <c r="L469">
        <f>IFERROR($J469/IF($A469&lt;COUNTIFS($K$1:L$1,"&lt;&gt;"),0,SUMIFS($J:$J,$B:$B,$B469,$A:$A,"&gt;="&amp;COUNTIFS($K$1:L$1,"&lt;&gt;"))),0)</f>
        <v>4.41640378548896E-2</v>
      </c>
      <c r="M469">
        <f>IFERROR($J469/IF($A469&lt;COUNTIFS($K$1:M$1,"&lt;&gt;"),0,SUMIFS($J:$J,$B:$B,$B469,$A:$A,"&gt;="&amp;COUNTIFS($K$1:M$1,"&lt;&gt;"))),0)</f>
        <v>4.8442906574394477E-2</v>
      </c>
      <c r="N469">
        <f>IFERROR($J469/IF($A469&lt;COUNTIFS($K$1:N$1,"&lt;&gt;"),0,SUMIFS($J:$J,$B:$B,$B469,$A:$A,"&gt;="&amp;COUNTIFS($K$1:N$1,"&lt;&gt;"))),0)</f>
        <v>5.4263565891472881E-2</v>
      </c>
      <c r="O469">
        <f>IFERROR($J469/IF($A469&lt;COUNTIFS($K$1:O$1,"&lt;&gt;"),0,SUMIFS($J:$J,$B:$B,$B469,$A:$A,"&gt;="&amp;COUNTIFS($K$1:O$1,"&lt;&gt;"))),0)</f>
        <v>6.1403508771929842E-2</v>
      </c>
      <c r="P469">
        <f>IFERROR($J469/IF($A469&lt;COUNTIFS($K$1:P$1,"&lt;&gt;"),0,SUMIFS($J:$J,$B:$B,$B469,$A:$A,"&gt;="&amp;COUNTIFS($K$1:P$1,"&lt;&gt;"))),0)</f>
        <v>7.1065989847715755E-2</v>
      </c>
      <c r="Q469">
        <f>IFERROR($J469/IF($A469&lt;COUNTIFS($K$1:Q$1,"&lt;&gt;"),0,SUMIFS($J:$J,$B:$B,$B469,$A:$A,"&gt;="&amp;COUNTIFS($K$1:Q$1,"&lt;&gt;"))),0)</f>
        <v>8.3832335329341326E-2</v>
      </c>
      <c r="R469">
        <f>IFERROR($J469/IF($A469&lt;COUNTIFS($K$1:R$1,"&lt;&gt;"),0,SUMIFS($J:$J,$B:$B,$B469,$A:$A,"&gt;="&amp;COUNTIFS($K$1:R$1,"&lt;&gt;"))),0)</f>
        <v>0.10294117647058824</v>
      </c>
      <c r="S469">
        <f>IFERROR($J469/IF($A469&lt;COUNTIFS($K$1:S$1,"&lt;&gt;"),0,SUMIFS($J:$J,$B:$B,$B469,$A:$A,"&gt;="&amp;COUNTIFS($K$1:S$1,"&lt;&gt;"))),0)</f>
        <v>0.13333333333333336</v>
      </c>
      <c r="T469">
        <f>IFERROR($J469/IF($A469&lt;COUNTIFS($K$1:T$1,"&lt;&gt;"),0,SUMIFS($J:$J,$B:$B,$B469,$A:$A,"&gt;="&amp;COUNTIFS($K$1:T$1,"&lt;&gt;"))),0)</f>
        <v>0.18666666666666668</v>
      </c>
      <c r="U469">
        <f>IFERROR($J469/IF($A469&lt;COUNTIFS($K$1:U$1,"&lt;&gt;"),0,SUMIFS($J:$J,$B:$B,$B469,$A:$A,"&gt;="&amp;COUNTIFS($K$1:U$1,"&lt;&gt;"))),0)</f>
        <v>0.31818181818181818</v>
      </c>
      <c r="V469">
        <f>IFERROR($J469/IF($A469&lt;COUNTIFS($K$1:V$1,"&lt;&gt;"),0,SUMIFS($J:$J,$B:$B,$B469,$A:$A,"&gt;="&amp;COUNTIFS($K$1:V$1,"&lt;&gt;"))),0)</f>
        <v>1</v>
      </c>
      <c r="W469">
        <f t="shared" si="178"/>
        <v>3.8356164383561646E-2</v>
      </c>
      <c r="X469">
        <f t="shared" si="158"/>
        <v>3.8356164383561646E-2</v>
      </c>
      <c r="Y469">
        <f t="shared" si="159"/>
        <v>3.8356164383561646E-2</v>
      </c>
      <c r="Z469">
        <f t="shared" si="160"/>
        <v>3.8356164383561646E-2</v>
      </c>
      <c r="AA469">
        <f t="shared" si="161"/>
        <v>3.8356164383561646E-2</v>
      </c>
      <c r="AB469">
        <f t="shared" si="162"/>
        <v>3.8356164383561646E-2</v>
      </c>
      <c r="AC469">
        <f t="shared" si="163"/>
        <v>3.8356164383561646E-2</v>
      </c>
      <c r="AD469">
        <f t="shared" si="164"/>
        <v>3.8356164383561646E-2</v>
      </c>
      <c r="AE469">
        <f t="shared" si="165"/>
        <v>3.8356164383561646E-2</v>
      </c>
      <c r="AF469">
        <f t="shared" si="166"/>
        <v>3.8356164383561646E-2</v>
      </c>
      <c r="AG469">
        <f t="shared" si="167"/>
        <v>3.8356164383561646E-2</v>
      </c>
      <c r="AH469">
        <f t="shared" si="168"/>
        <v>3.8356164383561646E-2</v>
      </c>
      <c r="AI469">
        <f t="shared" si="169"/>
        <v>3.8356164383561646E-2</v>
      </c>
      <c r="AJ469" s="2" t="str">
        <f t="shared" si="179"/>
        <v>1244896</v>
      </c>
    </row>
    <row r="470" spans="1:36" x14ac:dyDescent="0.25">
      <c r="A470">
        <v>0</v>
      </c>
      <c r="B470" s="1">
        <v>44927</v>
      </c>
      <c r="C470" s="1">
        <f t="shared" si="170"/>
        <v>44927</v>
      </c>
      <c r="D470" s="1">
        <f t="shared" si="171"/>
        <v>44941</v>
      </c>
      <c r="E470" s="1">
        <f t="shared" si="172"/>
        <v>44941</v>
      </c>
      <c r="F470" s="1">
        <f t="shared" si="173"/>
        <v>44958</v>
      </c>
      <c r="G470" s="1">
        <f t="shared" si="174"/>
        <v>45306</v>
      </c>
      <c r="H470">
        <f t="shared" si="175"/>
        <v>365</v>
      </c>
      <c r="I470">
        <f t="shared" si="176"/>
        <v>17</v>
      </c>
      <c r="J470">
        <f t="shared" si="177"/>
        <v>4.6575342465753428E-2</v>
      </c>
      <c r="K470">
        <f>IFERROR($J470/IF($A470&lt;COUNTIFS($K$1:K$1,"&lt;&gt;"),0,SUMIFS($J:$J,$B:$B,$B470,$A:$A,"&gt;="&amp;COUNTIFS($K$1:K$1,"&lt;&gt;"))),0)</f>
        <v>0</v>
      </c>
      <c r="L470">
        <f>IFERROR($J470/IF($A470&lt;COUNTIFS($K$1:L$1,"&lt;&gt;"),0,SUMIFS($J:$J,$B:$B,$B470,$A:$A,"&gt;="&amp;COUNTIFS($K$1:L$1,"&lt;&gt;"))),0)</f>
        <v>0</v>
      </c>
      <c r="M470">
        <f>IFERROR($J470/IF($A470&lt;COUNTIFS($K$1:M$1,"&lt;&gt;"),0,SUMIFS($J:$J,$B:$B,$B470,$A:$A,"&gt;="&amp;COUNTIFS($K$1:M$1,"&lt;&gt;"))),0)</f>
        <v>0</v>
      </c>
      <c r="N470">
        <f>IFERROR($J470/IF($A470&lt;COUNTIFS($K$1:N$1,"&lt;&gt;"),0,SUMIFS($J:$J,$B:$B,$B470,$A:$A,"&gt;="&amp;COUNTIFS($K$1:N$1,"&lt;&gt;"))),0)</f>
        <v>0</v>
      </c>
      <c r="O470">
        <f>IFERROR($J470/IF($A470&lt;COUNTIFS($K$1:O$1,"&lt;&gt;"),0,SUMIFS($J:$J,$B:$B,$B470,$A:$A,"&gt;="&amp;COUNTIFS($K$1:O$1,"&lt;&gt;"))),0)</f>
        <v>0</v>
      </c>
      <c r="P470">
        <f>IFERROR($J470/IF($A470&lt;COUNTIFS($K$1:P$1,"&lt;&gt;"),0,SUMIFS($J:$J,$B:$B,$B470,$A:$A,"&gt;="&amp;COUNTIFS($K$1:P$1,"&lt;&gt;"))),0)</f>
        <v>0</v>
      </c>
      <c r="Q470">
        <f>IFERROR($J470/IF($A470&lt;COUNTIFS($K$1:Q$1,"&lt;&gt;"),0,SUMIFS($J:$J,$B:$B,$B470,$A:$A,"&gt;="&amp;COUNTIFS($K$1:Q$1,"&lt;&gt;"))),0)</f>
        <v>0</v>
      </c>
      <c r="R470">
        <f>IFERROR($J470/IF($A470&lt;COUNTIFS($K$1:R$1,"&lt;&gt;"),0,SUMIFS($J:$J,$B:$B,$B470,$A:$A,"&gt;="&amp;COUNTIFS($K$1:R$1,"&lt;&gt;"))),0)</f>
        <v>0</v>
      </c>
      <c r="S470">
        <f>IFERROR($J470/IF($A470&lt;COUNTIFS($K$1:S$1,"&lt;&gt;"),0,SUMIFS($J:$J,$B:$B,$B470,$A:$A,"&gt;="&amp;COUNTIFS($K$1:S$1,"&lt;&gt;"))),0)</f>
        <v>0</v>
      </c>
      <c r="T470">
        <f>IFERROR($J470/IF($A470&lt;COUNTIFS($K$1:T$1,"&lt;&gt;"),0,SUMIFS($J:$J,$B:$B,$B470,$A:$A,"&gt;="&amp;COUNTIFS($K$1:T$1,"&lt;&gt;"))),0)</f>
        <v>0</v>
      </c>
      <c r="U470">
        <f>IFERROR($J470/IF($A470&lt;COUNTIFS($K$1:U$1,"&lt;&gt;"),0,SUMIFS($J:$J,$B:$B,$B470,$A:$A,"&gt;="&amp;COUNTIFS($K$1:U$1,"&lt;&gt;"))),0)</f>
        <v>0</v>
      </c>
      <c r="V470">
        <f>IFERROR($J470/IF($A470&lt;COUNTIFS($K$1:V$1,"&lt;&gt;"),0,SUMIFS($J:$J,$B:$B,$B470,$A:$A,"&gt;="&amp;COUNTIFS($K$1:V$1,"&lt;&gt;"))),0)</f>
        <v>0</v>
      </c>
      <c r="W470">
        <f t="shared" si="178"/>
        <v>4.6575342465753428E-2</v>
      </c>
      <c r="X470">
        <f t="shared" si="158"/>
        <v>0</v>
      </c>
      <c r="Y470">
        <f t="shared" si="159"/>
        <v>0</v>
      </c>
      <c r="Z470">
        <f t="shared" si="160"/>
        <v>0</v>
      </c>
      <c r="AA470">
        <f t="shared" si="161"/>
        <v>0</v>
      </c>
      <c r="AB470">
        <f t="shared" si="162"/>
        <v>0</v>
      </c>
      <c r="AC470">
        <f t="shared" si="163"/>
        <v>0</v>
      </c>
      <c r="AD470">
        <f t="shared" si="164"/>
        <v>0</v>
      </c>
      <c r="AE470">
        <f t="shared" si="165"/>
        <v>0</v>
      </c>
      <c r="AF470">
        <f t="shared" si="166"/>
        <v>0</v>
      </c>
      <c r="AG470">
        <f t="shared" si="167"/>
        <v>0</v>
      </c>
      <c r="AH470">
        <f t="shared" si="168"/>
        <v>0</v>
      </c>
      <c r="AI470">
        <f t="shared" si="169"/>
        <v>0</v>
      </c>
      <c r="AJ470" s="2" t="str">
        <f t="shared" si="179"/>
        <v>044927</v>
      </c>
    </row>
    <row r="471" spans="1:36" x14ac:dyDescent="0.25">
      <c r="A471">
        <v>1</v>
      </c>
      <c r="B471" s="1">
        <v>44927</v>
      </c>
      <c r="C471" s="1">
        <f t="shared" si="170"/>
        <v>44958</v>
      </c>
      <c r="D471" s="1">
        <f t="shared" si="171"/>
        <v>44941</v>
      </c>
      <c r="E471" s="1">
        <f t="shared" si="172"/>
        <v>44958</v>
      </c>
      <c r="F471" s="1">
        <f t="shared" si="173"/>
        <v>44986</v>
      </c>
      <c r="G471" s="1">
        <f t="shared" si="174"/>
        <v>45306</v>
      </c>
      <c r="H471">
        <f t="shared" si="175"/>
        <v>365</v>
      </c>
      <c r="I471">
        <f t="shared" si="176"/>
        <v>28</v>
      </c>
      <c r="J471">
        <f t="shared" si="177"/>
        <v>7.6712328767123292E-2</v>
      </c>
      <c r="K471">
        <f>IFERROR($J471/IF($A471&lt;COUNTIFS($K$1:K$1,"&lt;&gt;"),0,SUMIFS($J:$J,$B:$B,$B471,$A:$A,"&gt;="&amp;COUNTIFS($K$1:K$1,"&lt;&gt;"))),0)</f>
        <v>8.0459770114942541E-2</v>
      </c>
      <c r="L471">
        <f>IFERROR($J471/IF($A471&lt;COUNTIFS($K$1:L$1,"&lt;&gt;"),0,SUMIFS($J:$J,$B:$B,$B471,$A:$A,"&gt;="&amp;COUNTIFS($K$1:L$1,"&lt;&gt;"))),0)</f>
        <v>0</v>
      </c>
      <c r="M471">
        <f>IFERROR($J471/IF($A471&lt;COUNTIFS($K$1:M$1,"&lt;&gt;"),0,SUMIFS($J:$J,$B:$B,$B471,$A:$A,"&gt;="&amp;COUNTIFS($K$1:M$1,"&lt;&gt;"))),0)</f>
        <v>0</v>
      </c>
      <c r="N471">
        <f>IFERROR($J471/IF($A471&lt;COUNTIFS($K$1:N$1,"&lt;&gt;"),0,SUMIFS($J:$J,$B:$B,$B471,$A:$A,"&gt;="&amp;COUNTIFS($K$1:N$1,"&lt;&gt;"))),0)</f>
        <v>0</v>
      </c>
      <c r="O471">
        <f>IFERROR($J471/IF($A471&lt;COUNTIFS($K$1:O$1,"&lt;&gt;"),0,SUMIFS($J:$J,$B:$B,$B471,$A:$A,"&gt;="&amp;COUNTIFS($K$1:O$1,"&lt;&gt;"))),0)</f>
        <v>0</v>
      </c>
      <c r="P471">
        <f>IFERROR($J471/IF($A471&lt;COUNTIFS($K$1:P$1,"&lt;&gt;"),0,SUMIFS($J:$J,$B:$B,$B471,$A:$A,"&gt;="&amp;COUNTIFS($K$1:P$1,"&lt;&gt;"))),0)</f>
        <v>0</v>
      </c>
      <c r="Q471">
        <f>IFERROR($J471/IF($A471&lt;COUNTIFS($K$1:Q$1,"&lt;&gt;"),0,SUMIFS($J:$J,$B:$B,$B471,$A:$A,"&gt;="&amp;COUNTIFS($K$1:Q$1,"&lt;&gt;"))),0)</f>
        <v>0</v>
      </c>
      <c r="R471">
        <f>IFERROR($J471/IF($A471&lt;COUNTIFS($K$1:R$1,"&lt;&gt;"),0,SUMIFS($J:$J,$B:$B,$B471,$A:$A,"&gt;="&amp;COUNTIFS($K$1:R$1,"&lt;&gt;"))),0)</f>
        <v>0</v>
      </c>
      <c r="S471">
        <f>IFERROR($J471/IF($A471&lt;COUNTIFS($K$1:S$1,"&lt;&gt;"),0,SUMIFS($J:$J,$B:$B,$B471,$A:$A,"&gt;="&amp;COUNTIFS($K$1:S$1,"&lt;&gt;"))),0)</f>
        <v>0</v>
      </c>
      <c r="T471">
        <f>IFERROR($J471/IF($A471&lt;COUNTIFS($K$1:T$1,"&lt;&gt;"),0,SUMIFS($J:$J,$B:$B,$B471,$A:$A,"&gt;="&amp;COUNTIFS($K$1:T$1,"&lt;&gt;"))),0)</f>
        <v>0</v>
      </c>
      <c r="U471">
        <f>IFERROR($J471/IF($A471&lt;COUNTIFS($K$1:U$1,"&lt;&gt;"),0,SUMIFS($J:$J,$B:$B,$B471,$A:$A,"&gt;="&amp;COUNTIFS($K$1:U$1,"&lt;&gt;"))),0)</f>
        <v>0</v>
      </c>
      <c r="V471">
        <f>IFERROR($J471/IF($A471&lt;COUNTIFS($K$1:V$1,"&lt;&gt;"),0,SUMIFS($J:$J,$B:$B,$B471,$A:$A,"&gt;="&amp;COUNTIFS($K$1:V$1,"&lt;&gt;"))),0)</f>
        <v>0</v>
      </c>
      <c r="W471">
        <f t="shared" si="178"/>
        <v>7.6712328767123292E-2</v>
      </c>
      <c r="X471">
        <f t="shared" si="158"/>
        <v>7.6712328767123292E-2</v>
      </c>
      <c r="Y471">
        <f t="shared" si="159"/>
        <v>0</v>
      </c>
      <c r="Z471">
        <f t="shared" si="160"/>
        <v>0</v>
      </c>
      <c r="AA471">
        <f t="shared" si="161"/>
        <v>0</v>
      </c>
      <c r="AB471">
        <f t="shared" si="162"/>
        <v>0</v>
      </c>
      <c r="AC471">
        <f t="shared" si="163"/>
        <v>0</v>
      </c>
      <c r="AD471">
        <f t="shared" si="164"/>
        <v>0</v>
      </c>
      <c r="AE471">
        <f t="shared" si="165"/>
        <v>0</v>
      </c>
      <c r="AF471">
        <f t="shared" si="166"/>
        <v>0</v>
      </c>
      <c r="AG471">
        <f t="shared" si="167"/>
        <v>0</v>
      </c>
      <c r="AH471">
        <f t="shared" si="168"/>
        <v>0</v>
      </c>
      <c r="AI471">
        <f t="shared" si="169"/>
        <v>0</v>
      </c>
      <c r="AJ471" s="2" t="str">
        <f t="shared" si="179"/>
        <v>144927</v>
      </c>
    </row>
    <row r="472" spans="1:36" x14ac:dyDescent="0.25">
      <c r="A472">
        <v>2</v>
      </c>
      <c r="B472" s="1">
        <v>44927</v>
      </c>
      <c r="C472" s="1">
        <f t="shared" si="170"/>
        <v>44986</v>
      </c>
      <c r="D472" s="1">
        <f t="shared" si="171"/>
        <v>44941</v>
      </c>
      <c r="E472" s="1">
        <f t="shared" si="172"/>
        <v>44986</v>
      </c>
      <c r="F472" s="1">
        <f t="shared" si="173"/>
        <v>45017</v>
      </c>
      <c r="G472" s="1">
        <f t="shared" si="174"/>
        <v>45306</v>
      </c>
      <c r="H472">
        <f t="shared" si="175"/>
        <v>365</v>
      </c>
      <c r="I472">
        <f t="shared" si="176"/>
        <v>31</v>
      </c>
      <c r="J472">
        <f t="shared" si="177"/>
        <v>8.4931506849315067E-2</v>
      </c>
      <c r="K472">
        <f>IFERROR($J472/IF($A472&lt;COUNTIFS($K$1:K$1,"&lt;&gt;"),0,SUMIFS($J:$J,$B:$B,$B472,$A:$A,"&gt;="&amp;COUNTIFS($K$1:K$1,"&lt;&gt;"))),0)</f>
        <v>8.9080459770114959E-2</v>
      </c>
      <c r="L472">
        <f>IFERROR($J472/IF($A472&lt;COUNTIFS($K$1:L$1,"&lt;&gt;"),0,SUMIFS($J:$J,$B:$B,$B472,$A:$A,"&gt;="&amp;COUNTIFS($K$1:L$1,"&lt;&gt;"))),0)</f>
        <v>9.6875000000000017E-2</v>
      </c>
      <c r="M472">
        <f>IFERROR($J472/IF($A472&lt;COUNTIFS($K$1:M$1,"&lt;&gt;"),0,SUMIFS($J:$J,$B:$B,$B472,$A:$A,"&gt;="&amp;COUNTIFS($K$1:M$1,"&lt;&gt;"))),0)</f>
        <v>0</v>
      </c>
      <c r="N472">
        <f>IFERROR($J472/IF($A472&lt;COUNTIFS($K$1:N$1,"&lt;&gt;"),0,SUMIFS($J:$J,$B:$B,$B472,$A:$A,"&gt;="&amp;COUNTIFS($K$1:N$1,"&lt;&gt;"))),0)</f>
        <v>0</v>
      </c>
      <c r="O472">
        <f>IFERROR($J472/IF($A472&lt;COUNTIFS($K$1:O$1,"&lt;&gt;"),0,SUMIFS($J:$J,$B:$B,$B472,$A:$A,"&gt;="&amp;COUNTIFS($K$1:O$1,"&lt;&gt;"))),0)</f>
        <v>0</v>
      </c>
      <c r="P472">
        <f>IFERROR($J472/IF($A472&lt;COUNTIFS($K$1:P$1,"&lt;&gt;"),0,SUMIFS($J:$J,$B:$B,$B472,$A:$A,"&gt;="&amp;COUNTIFS($K$1:P$1,"&lt;&gt;"))),0)</f>
        <v>0</v>
      </c>
      <c r="Q472">
        <f>IFERROR($J472/IF($A472&lt;COUNTIFS($K$1:Q$1,"&lt;&gt;"),0,SUMIFS($J:$J,$B:$B,$B472,$A:$A,"&gt;="&amp;COUNTIFS($K$1:Q$1,"&lt;&gt;"))),0)</f>
        <v>0</v>
      </c>
      <c r="R472">
        <f>IFERROR($J472/IF($A472&lt;COUNTIFS($K$1:R$1,"&lt;&gt;"),0,SUMIFS($J:$J,$B:$B,$B472,$A:$A,"&gt;="&amp;COUNTIFS($K$1:R$1,"&lt;&gt;"))),0)</f>
        <v>0</v>
      </c>
      <c r="S472">
        <f>IFERROR($J472/IF($A472&lt;COUNTIFS($K$1:S$1,"&lt;&gt;"),0,SUMIFS($J:$J,$B:$B,$B472,$A:$A,"&gt;="&amp;COUNTIFS($K$1:S$1,"&lt;&gt;"))),0)</f>
        <v>0</v>
      </c>
      <c r="T472">
        <f>IFERROR($J472/IF($A472&lt;COUNTIFS($K$1:T$1,"&lt;&gt;"),0,SUMIFS($J:$J,$B:$B,$B472,$A:$A,"&gt;="&amp;COUNTIFS($K$1:T$1,"&lt;&gt;"))),0)</f>
        <v>0</v>
      </c>
      <c r="U472">
        <f>IFERROR($J472/IF($A472&lt;COUNTIFS($K$1:U$1,"&lt;&gt;"),0,SUMIFS($J:$J,$B:$B,$B472,$A:$A,"&gt;="&amp;COUNTIFS($K$1:U$1,"&lt;&gt;"))),0)</f>
        <v>0</v>
      </c>
      <c r="V472">
        <f>IFERROR($J472/IF($A472&lt;COUNTIFS($K$1:V$1,"&lt;&gt;"),0,SUMIFS($J:$J,$B:$B,$B472,$A:$A,"&gt;="&amp;COUNTIFS($K$1:V$1,"&lt;&gt;"))),0)</f>
        <v>0</v>
      </c>
      <c r="W472">
        <f t="shared" si="178"/>
        <v>8.4931506849315067E-2</v>
      </c>
      <c r="X472">
        <f t="shared" si="158"/>
        <v>8.4931506849315067E-2</v>
      </c>
      <c r="Y472">
        <f t="shared" si="159"/>
        <v>8.4931506849315067E-2</v>
      </c>
      <c r="Z472">
        <f t="shared" si="160"/>
        <v>0</v>
      </c>
      <c r="AA472">
        <f t="shared" si="161"/>
        <v>0</v>
      </c>
      <c r="AB472">
        <f t="shared" si="162"/>
        <v>0</v>
      </c>
      <c r="AC472">
        <f t="shared" si="163"/>
        <v>0</v>
      </c>
      <c r="AD472">
        <f t="shared" si="164"/>
        <v>0</v>
      </c>
      <c r="AE472">
        <f t="shared" si="165"/>
        <v>0</v>
      </c>
      <c r="AF472">
        <f t="shared" si="166"/>
        <v>0</v>
      </c>
      <c r="AG472">
        <f t="shared" si="167"/>
        <v>0</v>
      </c>
      <c r="AH472">
        <f t="shared" si="168"/>
        <v>0</v>
      </c>
      <c r="AI472">
        <f t="shared" si="169"/>
        <v>0</v>
      </c>
      <c r="AJ472" s="2" t="str">
        <f t="shared" si="179"/>
        <v>244927</v>
      </c>
    </row>
    <row r="473" spans="1:36" x14ac:dyDescent="0.25">
      <c r="A473">
        <v>3</v>
      </c>
      <c r="B473" s="1">
        <v>44927</v>
      </c>
      <c r="C473" s="1">
        <f t="shared" si="170"/>
        <v>45017</v>
      </c>
      <c r="D473" s="1">
        <f t="shared" si="171"/>
        <v>44941</v>
      </c>
      <c r="E473" s="1">
        <f t="shared" si="172"/>
        <v>45017</v>
      </c>
      <c r="F473" s="1">
        <f t="shared" si="173"/>
        <v>45047</v>
      </c>
      <c r="G473" s="1">
        <f t="shared" si="174"/>
        <v>45306</v>
      </c>
      <c r="H473">
        <f t="shared" si="175"/>
        <v>365</v>
      </c>
      <c r="I473">
        <f t="shared" si="176"/>
        <v>30</v>
      </c>
      <c r="J473">
        <f t="shared" si="177"/>
        <v>8.2191780821917804E-2</v>
      </c>
      <c r="K473">
        <f>IFERROR($J473/IF($A473&lt;COUNTIFS($K$1:K$1,"&lt;&gt;"),0,SUMIFS($J:$J,$B:$B,$B473,$A:$A,"&gt;="&amp;COUNTIFS($K$1:K$1,"&lt;&gt;"))),0)</f>
        <v>8.6206896551724144E-2</v>
      </c>
      <c r="L473">
        <f>IFERROR($J473/IF($A473&lt;COUNTIFS($K$1:L$1,"&lt;&gt;"),0,SUMIFS($J:$J,$B:$B,$B473,$A:$A,"&gt;="&amp;COUNTIFS($K$1:L$1,"&lt;&gt;"))),0)</f>
        <v>9.3750000000000014E-2</v>
      </c>
      <c r="M473">
        <f>IFERROR($J473/IF($A473&lt;COUNTIFS($K$1:M$1,"&lt;&gt;"),0,SUMIFS($J:$J,$B:$B,$B473,$A:$A,"&gt;="&amp;COUNTIFS($K$1:M$1,"&lt;&gt;"))),0)</f>
        <v>0.10380622837370243</v>
      </c>
      <c r="N473">
        <f>IFERROR($J473/IF($A473&lt;COUNTIFS($K$1:N$1,"&lt;&gt;"),0,SUMIFS($J:$J,$B:$B,$B473,$A:$A,"&gt;="&amp;COUNTIFS($K$1:N$1,"&lt;&gt;"))),0)</f>
        <v>0</v>
      </c>
      <c r="O473">
        <f>IFERROR($J473/IF($A473&lt;COUNTIFS($K$1:O$1,"&lt;&gt;"),0,SUMIFS($J:$J,$B:$B,$B473,$A:$A,"&gt;="&amp;COUNTIFS($K$1:O$1,"&lt;&gt;"))),0)</f>
        <v>0</v>
      </c>
      <c r="P473">
        <f>IFERROR($J473/IF($A473&lt;COUNTIFS($K$1:P$1,"&lt;&gt;"),0,SUMIFS($J:$J,$B:$B,$B473,$A:$A,"&gt;="&amp;COUNTIFS($K$1:P$1,"&lt;&gt;"))),0)</f>
        <v>0</v>
      </c>
      <c r="Q473">
        <f>IFERROR($J473/IF($A473&lt;COUNTIFS($K$1:Q$1,"&lt;&gt;"),0,SUMIFS($J:$J,$B:$B,$B473,$A:$A,"&gt;="&amp;COUNTIFS($K$1:Q$1,"&lt;&gt;"))),0)</f>
        <v>0</v>
      </c>
      <c r="R473">
        <f>IFERROR($J473/IF($A473&lt;COUNTIFS($K$1:R$1,"&lt;&gt;"),0,SUMIFS($J:$J,$B:$B,$B473,$A:$A,"&gt;="&amp;COUNTIFS($K$1:R$1,"&lt;&gt;"))),0)</f>
        <v>0</v>
      </c>
      <c r="S473">
        <f>IFERROR($J473/IF($A473&lt;COUNTIFS($K$1:S$1,"&lt;&gt;"),0,SUMIFS($J:$J,$B:$B,$B473,$A:$A,"&gt;="&amp;COUNTIFS($K$1:S$1,"&lt;&gt;"))),0)</f>
        <v>0</v>
      </c>
      <c r="T473">
        <f>IFERROR($J473/IF($A473&lt;COUNTIFS($K$1:T$1,"&lt;&gt;"),0,SUMIFS($J:$J,$B:$B,$B473,$A:$A,"&gt;="&amp;COUNTIFS($K$1:T$1,"&lt;&gt;"))),0)</f>
        <v>0</v>
      </c>
      <c r="U473">
        <f>IFERROR($J473/IF($A473&lt;COUNTIFS($K$1:U$1,"&lt;&gt;"),0,SUMIFS($J:$J,$B:$B,$B473,$A:$A,"&gt;="&amp;COUNTIFS($K$1:U$1,"&lt;&gt;"))),0)</f>
        <v>0</v>
      </c>
      <c r="V473">
        <f>IFERROR($J473/IF($A473&lt;COUNTIFS($K$1:V$1,"&lt;&gt;"),0,SUMIFS($J:$J,$B:$B,$B473,$A:$A,"&gt;="&amp;COUNTIFS($K$1:V$1,"&lt;&gt;"))),0)</f>
        <v>0</v>
      </c>
      <c r="W473">
        <f t="shared" si="178"/>
        <v>8.2191780821917804E-2</v>
      </c>
      <c r="X473">
        <f t="shared" si="158"/>
        <v>8.2191780821917804E-2</v>
      </c>
      <c r="Y473">
        <f t="shared" si="159"/>
        <v>8.2191780821917804E-2</v>
      </c>
      <c r="Z473">
        <f t="shared" si="160"/>
        <v>8.2191780821917804E-2</v>
      </c>
      <c r="AA473">
        <f t="shared" si="161"/>
        <v>0</v>
      </c>
      <c r="AB473">
        <f t="shared" si="162"/>
        <v>0</v>
      </c>
      <c r="AC473">
        <f t="shared" si="163"/>
        <v>0</v>
      </c>
      <c r="AD473">
        <f t="shared" si="164"/>
        <v>0</v>
      </c>
      <c r="AE473">
        <f t="shared" si="165"/>
        <v>0</v>
      </c>
      <c r="AF473">
        <f t="shared" si="166"/>
        <v>0</v>
      </c>
      <c r="AG473">
        <f t="shared" si="167"/>
        <v>0</v>
      </c>
      <c r="AH473">
        <f t="shared" si="168"/>
        <v>0</v>
      </c>
      <c r="AI473">
        <f t="shared" si="169"/>
        <v>0</v>
      </c>
      <c r="AJ473" s="2" t="str">
        <f t="shared" si="179"/>
        <v>344927</v>
      </c>
    </row>
    <row r="474" spans="1:36" x14ac:dyDescent="0.25">
      <c r="A474">
        <v>4</v>
      </c>
      <c r="B474" s="1">
        <v>44927</v>
      </c>
      <c r="C474" s="1">
        <f t="shared" si="170"/>
        <v>45047</v>
      </c>
      <c r="D474" s="1">
        <f t="shared" si="171"/>
        <v>44941</v>
      </c>
      <c r="E474" s="1">
        <f t="shared" si="172"/>
        <v>45047</v>
      </c>
      <c r="F474" s="1">
        <f t="shared" si="173"/>
        <v>45078</v>
      </c>
      <c r="G474" s="1">
        <f t="shared" si="174"/>
        <v>45306</v>
      </c>
      <c r="H474">
        <f t="shared" si="175"/>
        <v>365</v>
      </c>
      <c r="I474">
        <f t="shared" si="176"/>
        <v>31</v>
      </c>
      <c r="J474">
        <f t="shared" si="177"/>
        <v>8.4931506849315067E-2</v>
      </c>
      <c r="K474">
        <f>IFERROR($J474/IF($A474&lt;COUNTIFS($K$1:K$1,"&lt;&gt;"),0,SUMIFS($J:$J,$B:$B,$B474,$A:$A,"&gt;="&amp;COUNTIFS($K$1:K$1,"&lt;&gt;"))),0)</f>
        <v>8.9080459770114959E-2</v>
      </c>
      <c r="L474">
        <f>IFERROR($J474/IF($A474&lt;COUNTIFS($K$1:L$1,"&lt;&gt;"),0,SUMIFS($J:$J,$B:$B,$B474,$A:$A,"&gt;="&amp;COUNTIFS($K$1:L$1,"&lt;&gt;"))),0)</f>
        <v>9.6875000000000017E-2</v>
      </c>
      <c r="M474">
        <f>IFERROR($J474/IF($A474&lt;COUNTIFS($K$1:M$1,"&lt;&gt;"),0,SUMIFS($J:$J,$B:$B,$B474,$A:$A,"&gt;="&amp;COUNTIFS($K$1:M$1,"&lt;&gt;"))),0)</f>
        <v>0.10726643598615919</v>
      </c>
      <c r="N474">
        <f>IFERROR($J474/IF($A474&lt;COUNTIFS($K$1:N$1,"&lt;&gt;"),0,SUMIFS($J:$J,$B:$B,$B474,$A:$A,"&gt;="&amp;COUNTIFS($K$1:N$1,"&lt;&gt;"))),0)</f>
        <v>0.11969111969111972</v>
      </c>
      <c r="O474">
        <f>IFERROR($J474/IF($A474&lt;COUNTIFS($K$1:O$1,"&lt;&gt;"),0,SUMIFS($J:$J,$B:$B,$B474,$A:$A,"&gt;="&amp;COUNTIFS($K$1:O$1,"&lt;&gt;"))),0)</f>
        <v>0</v>
      </c>
      <c r="P474">
        <f>IFERROR($J474/IF($A474&lt;COUNTIFS($K$1:P$1,"&lt;&gt;"),0,SUMIFS($J:$J,$B:$B,$B474,$A:$A,"&gt;="&amp;COUNTIFS($K$1:P$1,"&lt;&gt;"))),0)</f>
        <v>0</v>
      </c>
      <c r="Q474">
        <f>IFERROR($J474/IF($A474&lt;COUNTIFS($K$1:Q$1,"&lt;&gt;"),0,SUMIFS($J:$J,$B:$B,$B474,$A:$A,"&gt;="&amp;COUNTIFS($K$1:Q$1,"&lt;&gt;"))),0)</f>
        <v>0</v>
      </c>
      <c r="R474">
        <f>IFERROR($J474/IF($A474&lt;COUNTIFS($K$1:R$1,"&lt;&gt;"),0,SUMIFS($J:$J,$B:$B,$B474,$A:$A,"&gt;="&amp;COUNTIFS($K$1:R$1,"&lt;&gt;"))),0)</f>
        <v>0</v>
      </c>
      <c r="S474">
        <f>IFERROR($J474/IF($A474&lt;COUNTIFS($K$1:S$1,"&lt;&gt;"),0,SUMIFS($J:$J,$B:$B,$B474,$A:$A,"&gt;="&amp;COUNTIFS($K$1:S$1,"&lt;&gt;"))),0)</f>
        <v>0</v>
      </c>
      <c r="T474">
        <f>IFERROR($J474/IF($A474&lt;COUNTIFS($K$1:T$1,"&lt;&gt;"),0,SUMIFS($J:$J,$B:$B,$B474,$A:$A,"&gt;="&amp;COUNTIFS($K$1:T$1,"&lt;&gt;"))),0)</f>
        <v>0</v>
      </c>
      <c r="U474">
        <f>IFERROR($J474/IF($A474&lt;COUNTIFS($K$1:U$1,"&lt;&gt;"),0,SUMIFS($J:$J,$B:$B,$B474,$A:$A,"&gt;="&amp;COUNTIFS($K$1:U$1,"&lt;&gt;"))),0)</f>
        <v>0</v>
      </c>
      <c r="V474">
        <f>IFERROR($J474/IF($A474&lt;COUNTIFS($K$1:V$1,"&lt;&gt;"),0,SUMIFS($J:$J,$B:$B,$B474,$A:$A,"&gt;="&amp;COUNTIFS($K$1:V$1,"&lt;&gt;"))),0)</f>
        <v>0</v>
      </c>
      <c r="W474">
        <f t="shared" si="178"/>
        <v>8.4931506849315067E-2</v>
      </c>
      <c r="X474">
        <f t="shared" si="158"/>
        <v>8.4931506849315067E-2</v>
      </c>
      <c r="Y474">
        <f t="shared" si="159"/>
        <v>8.4931506849315067E-2</v>
      </c>
      <c r="Z474">
        <f t="shared" si="160"/>
        <v>8.4931506849315067E-2</v>
      </c>
      <c r="AA474">
        <f t="shared" si="161"/>
        <v>8.4931506849315067E-2</v>
      </c>
      <c r="AB474">
        <f t="shared" si="162"/>
        <v>0</v>
      </c>
      <c r="AC474">
        <f t="shared" si="163"/>
        <v>0</v>
      </c>
      <c r="AD474">
        <f t="shared" si="164"/>
        <v>0</v>
      </c>
      <c r="AE474">
        <f t="shared" si="165"/>
        <v>0</v>
      </c>
      <c r="AF474">
        <f t="shared" si="166"/>
        <v>0</v>
      </c>
      <c r="AG474">
        <f t="shared" si="167"/>
        <v>0</v>
      </c>
      <c r="AH474">
        <f t="shared" si="168"/>
        <v>0</v>
      </c>
      <c r="AI474">
        <f t="shared" si="169"/>
        <v>0</v>
      </c>
      <c r="AJ474" s="2" t="str">
        <f t="shared" si="179"/>
        <v>444927</v>
      </c>
    </row>
    <row r="475" spans="1:36" x14ac:dyDescent="0.25">
      <c r="A475">
        <v>5</v>
      </c>
      <c r="B475" s="1">
        <v>44927</v>
      </c>
      <c r="C475" s="1">
        <f t="shared" si="170"/>
        <v>45078</v>
      </c>
      <c r="D475" s="1">
        <f t="shared" si="171"/>
        <v>44941</v>
      </c>
      <c r="E475" s="1">
        <f t="shared" si="172"/>
        <v>45078</v>
      </c>
      <c r="F475" s="1">
        <f t="shared" si="173"/>
        <v>45108</v>
      </c>
      <c r="G475" s="1">
        <f t="shared" si="174"/>
        <v>45306</v>
      </c>
      <c r="H475">
        <f t="shared" si="175"/>
        <v>365</v>
      </c>
      <c r="I475">
        <f t="shared" si="176"/>
        <v>30</v>
      </c>
      <c r="J475">
        <f t="shared" si="177"/>
        <v>8.2191780821917804E-2</v>
      </c>
      <c r="K475">
        <f>IFERROR($J475/IF($A475&lt;COUNTIFS($K$1:K$1,"&lt;&gt;"),0,SUMIFS($J:$J,$B:$B,$B475,$A:$A,"&gt;="&amp;COUNTIFS($K$1:K$1,"&lt;&gt;"))),0)</f>
        <v>8.6206896551724144E-2</v>
      </c>
      <c r="L475">
        <f>IFERROR($J475/IF($A475&lt;COUNTIFS($K$1:L$1,"&lt;&gt;"),0,SUMIFS($J:$J,$B:$B,$B475,$A:$A,"&gt;="&amp;COUNTIFS($K$1:L$1,"&lt;&gt;"))),0)</f>
        <v>9.3750000000000014E-2</v>
      </c>
      <c r="M475">
        <f>IFERROR($J475/IF($A475&lt;COUNTIFS($K$1:M$1,"&lt;&gt;"),0,SUMIFS($J:$J,$B:$B,$B475,$A:$A,"&gt;="&amp;COUNTIFS($K$1:M$1,"&lt;&gt;"))),0)</f>
        <v>0.10380622837370243</v>
      </c>
      <c r="N475">
        <f>IFERROR($J475/IF($A475&lt;COUNTIFS($K$1:N$1,"&lt;&gt;"),0,SUMIFS($J:$J,$B:$B,$B475,$A:$A,"&gt;="&amp;COUNTIFS($K$1:N$1,"&lt;&gt;"))),0)</f>
        <v>0.11583011583011585</v>
      </c>
      <c r="O475">
        <f>IFERROR($J475/IF($A475&lt;COUNTIFS($K$1:O$1,"&lt;&gt;"),0,SUMIFS($J:$J,$B:$B,$B475,$A:$A,"&gt;="&amp;COUNTIFS($K$1:O$1,"&lt;&gt;"))),0)</f>
        <v>0.13157894736842107</v>
      </c>
      <c r="P475">
        <f>IFERROR($J475/IF($A475&lt;COUNTIFS($K$1:P$1,"&lt;&gt;"),0,SUMIFS($J:$J,$B:$B,$B475,$A:$A,"&gt;="&amp;COUNTIFS($K$1:P$1,"&lt;&gt;"))),0)</f>
        <v>0</v>
      </c>
      <c r="Q475">
        <f>IFERROR($J475/IF($A475&lt;COUNTIFS($K$1:Q$1,"&lt;&gt;"),0,SUMIFS($J:$J,$B:$B,$B475,$A:$A,"&gt;="&amp;COUNTIFS($K$1:Q$1,"&lt;&gt;"))),0)</f>
        <v>0</v>
      </c>
      <c r="R475">
        <f>IFERROR($J475/IF($A475&lt;COUNTIFS($K$1:R$1,"&lt;&gt;"),0,SUMIFS($J:$J,$B:$B,$B475,$A:$A,"&gt;="&amp;COUNTIFS($K$1:R$1,"&lt;&gt;"))),0)</f>
        <v>0</v>
      </c>
      <c r="S475">
        <f>IFERROR($J475/IF($A475&lt;COUNTIFS($K$1:S$1,"&lt;&gt;"),0,SUMIFS($J:$J,$B:$B,$B475,$A:$A,"&gt;="&amp;COUNTIFS($K$1:S$1,"&lt;&gt;"))),0)</f>
        <v>0</v>
      </c>
      <c r="T475">
        <f>IFERROR($J475/IF($A475&lt;COUNTIFS($K$1:T$1,"&lt;&gt;"),0,SUMIFS($J:$J,$B:$B,$B475,$A:$A,"&gt;="&amp;COUNTIFS($K$1:T$1,"&lt;&gt;"))),0)</f>
        <v>0</v>
      </c>
      <c r="U475">
        <f>IFERROR($J475/IF($A475&lt;COUNTIFS($K$1:U$1,"&lt;&gt;"),0,SUMIFS($J:$J,$B:$B,$B475,$A:$A,"&gt;="&amp;COUNTIFS($K$1:U$1,"&lt;&gt;"))),0)</f>
        <v>0</v>
      </c>
      <c r="V475">
        <f>IFERROR($J475/IF($A475&lt;COUNTIFS($K$1:V$1,"&lt;&gt;"),0,SUMIFS($J:$J,$B:$B,$B475,$A:$A,"&gt;="&amp;COUNTIFS($K$1:V$1,"&lt;&gt;"))),0)</f>
        <v>0</v>
      </c>
      <c r="W475">
        <f t="shared" si="178"/>
        <v>8.2191780821917804E-2</v>
      </c>
      <c r="X475">
        <f t="shared" si="158"/>
        <v>8.2191780821917804E-2</v>
      </c>
      <c r="Y475">
        <f t="shared" si="159"/>
        <v>8.2191780821917804E-2</v>
      </c>
      <c r="Z475">
        <f t="shared" si="160"/>
        <v>8.2191780821917804E-2</v>
      </c>
      <c r="AA475">
        <f t="shared" si="161"/>
        <v>8.2191780821917804E-2</v>
      </c>
      <c r="AB475">
        <f t="shared" si="162"/>
        <v>8.2191780821917804E-2</v>
      </c>
      <c r="AC475">
        <f t="shared" si="163"/>
        <v>0</v>
      </c>
      <c r="AD475">
        <f t="shared" si="164"/>
        <v>0</v>
      </c>
      <c r="AE475">
        <f t="shared" si="165"/>
        <v>0</v>
      </c>
      <c r="AF475">
        <f t="shared" si="166"/>
        <v>0</v>
      </c>
      <c r="AG475">
        <f t="shared" si="167"/>
        <v>0</v>
      </c>
      <c r="AH475">
        <f t="shared" si="168"/>
        <v>0</v>
      </c>
      <c r="AI475">
        <f t="shared" si="169"/>
        <v>0</v>
      </c>
      <c r="AJ475" s="2" t="str">
        <f t="shared" si="179"/>
        <v>544927</v>
      </c>
    </row>
    <row r="476" spans="1:36" x14ac:dyDescent="0.25">
      <c r="A476">
        <v>6</v>
      </c>
      <c r="B476" s="1">
        <v>44927</v>
      </c>
      <c r="C476" s="1">
        <f t="shared" si="170"/>
        <v>45108</v>
      </c>
      <c r="D476" s="1">
        <f t="shared" si="171"/>
        <v>44941</v>
      </c>
      <c r="E476" s="1">
        <f t="shared" si="172"/>
        <v>45108</v>
      </c>
      <c r="F476" s="1">
        <f t="shared" si="173"/>
        <v>45139</v>
      </c>
      <c r="G476" s="1">
        <f t="shared" si="174"/>
        <v>45306</v>
      </c>
      <c r="H476">
        <f t="shared" si="175"/>
        <v>365</v>
      </c>
      <c r="I476">
        <f t="shared" si="176"/>
        <v>31</v>
      </c>
      <c r="J476">
        <f t="shared" si="177"/>
        <v>8.4931506849315067E-2</v>
      </c>
      <c r="K476">
        <f>IFERROR($J476/IF($A476&lt;COUNTIFS($K$1:K$1,"&lt;&gt;"),0,SUMIFS($J:$J,$B:$B,$B476,$A:$A,"&gt;="&amp;COUNTIFS($K$1:K$1,"&lt;&gt;"))),0)</f>
        <v>8.9080459770114959E-2</v>
      </c>
      <c r="L476">
        <f>IFERROR($J476/IF($A476&lt;COUNTIFS($K$1:L$1,"&lt;&gt;"),0,SUMIFS($J:$J,$B:$B,$B476,$A:$A,"&gt;="&amp;COUNTIFS($K$1:L$1,"&lt;&gt;"))),0)</f>
        <v>9.6875000000000017E-2</v>
      </c>
      <c r="M476">
        <f>IFERROR($J476/IF($A476&lt;COUNTIFS($K$1:M$1,"&lt;&gt;"),0,SUMIFS($J:$J,$B:$B,$B476,$A:$A,"&gt;="&amp;COUNTIFS($K$1:M$1,"&lt;&gt;"))),0)</f>
        <v>0.10726643598615919</v>
      </c>
      <c r="N476">
        <f>IFERROR($J476/IF($A476&lt;COUNTIFS($K$1:N$1,"&lt;&gt;"),0,SUMIFS($J:$J,$B:$B,$B476,$A:$A,"&gt;="&amp;COUNTIFS($K$1:N$1,"&lt;&gt;"))),0)</f>
        <v>0.11969111969111972</v>
      </c>
      <c r="O476">
        <f>IFERROR($J476/IF($A476&lt;COUNTIFS($K$1:O$1,"&lt;&gt;"),0,SUMIFS($J:$J,$B:$B,$B476,$A:$A,"&gt;="&amp;COUNTIFS($K$1:O$1,"&lt;&gt;"))),0)</f>
        <v>0.13596491228070179</v>
      </c>
      <c r="P476">
        <f>IFERROR($J476/IF($A476&lt;COUNTIFS($K$1:P$1,"&lt;&gt;"),0,SUMIFS($J:$J,$B:$B,$B476,$A:$A,"&gt;="&amp;COUNTIFS($K$1:P$1,"&lt;&gt;"))),0)</f>
        <v>0.1565656565656566</v>
      </c>
      <c r="Q476">
        <f>IFERROR($J476/IF($A476&lt;COUNTIFS($K$1:Q$1,"&lt;&gt;"),0,SUMIFS($J:$J,$B:$B,$B476,$A:$A,"&gt;="&amp;COUNTIFS($K$1:Q$1,"&lt;&gt;"))),0)</f>
        <v>0</v>
      </c>
      <c r="R476">
        <f>IFERROR($J476/IF($A476&lt;COUNTIFS($K$1:R$1,"&lt;&gt;"),0,SUMIFS($J:$J,$B:$B,$B476,$A:$A,"&gt;="&amp;COUNTIFS($K$1:R$1,"&lt;&gt;"))),0)</f>
        <v>0</v>
      </c>
      <c r="S476">
        <f>IFERROR($J476/IF($A476&lt;COUNTIFS($K$1:S$1,"&lt;&gt;"),0,SUMIFS($J:$J,$B:$B,$B476,$A:$A,"&gt;="&amp;COUNTIFS($K$1:S$1,"&lt;&gt;"))),0)</f>
        <v>0</v>
      </c>
      <c r="T476">
        <f>IFERROR($J476/IF($A476&lt;COUNTIFS($K$1:T$1,"&lt;&gt;"),0,SUMIFS($J:$J,$B:$B,$B476,$A:$A,"&gt;="&amp;COUNTIFS($K$1:T$1,"&lt;&gt;"))),0)</f>
        <v>0</v>
      </c>
      <c r="U476">
        <f>IFERROR($J476/IF($A476&lt;COUNTIFS($K$1:U$1,"&lt;&gt;"),0,SUMIFS($J:$J,$B:$B,$B476,$A:$A,"&gt;="&amp;COUNTIFS($K$1:U$1,"&lt;&gt;"))),0)</f>
        <v>0</v>
      </c>
      <c r="V476">
        <f>IFERROR($J476/IF($A476&lt;COUNTIFS($K$1:V$1,"&lt;&gt;"),0,SUMIFS($J:$J,$B:$B,$B476,$A:$A,"&gt;="&amp;COUNTIFS($K$1:V$1,"&lt;&gt;"))),0)</f>
        <v>0</v>
      </c>
      <c r="W476">
        <f t="shared" si="178"/>
        <v>8.4931506849315067E-2</v>
      </c>
      <c r="X476">
        <f t="shared" si="158"/>
        <v>8.4931506849315067E-2</v>
      </c>
      <c r="Y476">
        <f t="shared" si="159"/>
        <v>8.4931506849315067E-2</v>
      </c>
      <c r="Z476">
        <f t="shared" si="160"/>
        <v>8.4931506849315067E-2</v>
      </c>
      <c r="AA476">
        <f t="shared" si="161"/>
        <v>8.4931506849315067E-2</v>
      </c>
      <c r="AB476">
        <f t="shared" si="162"/>
        <v>8.4931506849315067E-2</v>
      </c>
      <c r="AC476">
        <f t="shared" si="163"/>
        <v>8.4931506849315067E-2</v>
      </c>
      <c r="AD476">
        <f t="shared" si="164"/>
        <v>0</v>
      </c>
      <c r="AE476">
        <f t="shared" si="165"/>
        <v>0</v>
      </c>
      <c r="AF476">
        <f t="shared" si="166"/>
        <v>0</v>
      </c>
      <c r="AG476">
        <f t="shared" si="167"/>
        <v>0</v>
      </c>
      <c r="AH476">
        <f t="shared" si="168"/>
        <v>0</v>
      </c>
      <c r="AI476">
        <f t="shared" si="169"/>
        <v>0</v>
      </c>
      <c r="AJ476" s="2" t="str">
        <f t="shared" si="179"/>
        <v>644927</v>
      </c>
    </row>
    <row r="477" spans="1:36" x14ac:dyDescent="0.25">
      <c r="A477">
        <v>7</v>
      </c>
      <c r="B477" s="1">
        <v>44927</v>
      </c>
      <c r="C477" s="1">
        <f t="shared" si="170"/>
        <v>45139</v>
      </c>
      <c r="D477" s="1">
        <f t="shared" si="171"/>
        <v>44941</v>
      </c>
      <c r="E477" s="1">
        <f t="shared" si="172"/>
        <v>45139</v>
      </c>
      <c r="F477" s="1">
        <f t="shared" si="173"/>
        <v>45170</v>
      </c>
      <c r="G477" s="1">
        <f t="shared" si="174"/>
        <v>45306</v>
      </c>
      <c r="H477">
        <f t="shared" si="175"/>
        <v>365</v>
      </c>
      <c r="I477">
        <f t="shared" si="176"/>
        <v>31</v>
      </c>
      <c r="J477">
        <f t="shared" si="177"/>
        <v>8.4931506849315067E-2</v>
      </c>
      <c r="K477">
        <f>IFERROR($J477/IF($A477&lt;COUNTIFS($K$1:K$1,"&lt;&gt;"),0,SUMIFS($J:$J,$B:$B,$B477,$A:$A,"&gt;="&amp;COUNTIFS($K$1:K$1,"&lt;&gt;"))),0)</f>
        <v>8.9080459770114959E-2</v>
      </c>
      <c r="L477">
        <f>IFERROR($J477/IF($A477&lt;COUNTIFS($K$1:L$1,"&lt;&gt;"),0,SUMIFS($J:$J,$B:$B,$B477,$A:$A,"&gt;="&amp;COUNTIFS($K$1:L$1,"&lt;&gt;"))),0)</f>
        <v>9.6875000000000017E-2</v>
      </c>
      <c r="M477">
        <f>IFERROR($J477/IF($A477&lt;COUNTIFS($K$1:M$1,"&lt;&gt;"),0,SUMIFS($J:$J,$B:$B,$B477,$A:$A,"&gt;="&amp;COUNTIFS($K$1:M$1,"&lt;&gt;"))),0)</f>
        <v>0.10726643598615919</v>
      </c>
      <c r="N477">
        <f>IFERROR($J477/IF($A477&lt;COUNTIFS($K$1:N$1,"&lt;&gt;"),0,SUMIFS($J:$J,$B:$B,$B477,$A:$A,"&gt;="&amp;COUNTIFS($K$1:N$1,"&lt;&gt;"))),0)</f>
        <v>0.11969111969111972</v>
      </c>
      <c r="O477">
        <f>IFERROR($J477/IF($A477&lt;COUNTIFS($K$1:O$1,"&lt;&gt;"),0,SUMIFS($J:$J,$B:$B,$B477,$A:$A,"&gt;="&amp;COUNTIFS($K$1:O$1,"&lt;&gt;"))),0)</f>
        <v>0.13596491228070179</v>
      </c>
      <c r="P477">
        <f>IFERROR($J477/IF($A477&lt;COUNTIFS($K$1:P$1,"&lt;&gt;"),0,SUMIFS($J:$J,$B:$B,$B477,$A:$A,"&gt;="&amp;COUNTIFS($K$1:P$1,"&lt;&gt;"))),0)</f>
        <v>0.1565656565656566</v>
      </c>
      <c r="Q477">
        <f>IFERROR($J477/IF($A477&lt;COUNTIFS($K$1:Q$1,"&lt;&gt;"),0,SUMIFS($J:$J,$B:$B,$B477,$A:$A,"&gt;="&amp;COUNTIFS($K$1:Q$1,"&lt;&gt;"))),0)</f>
        <v>0.18562874251497008</v>
      </c>
      <c r="R477">
        <f>IFERROR($J477/IF($A477&lt;COUNTIFS($K$1:R$1,"&lt;&gt;"),0,SUMIFS($J:$J,$B:$B,$B477,$A:$A,"&gt;="&amp;COUNTIFS($K$1:R$1,"&lt;&gt;"))),0)</f>
        <v>0</v>
      </c>
      <c r="S477">
        <f>IFERROR($J477/IF($A477&lt;COUNTIFS($K$1:S$1,"&lt;&gt;"),0,SUMIFS($J:$J,$B:$B,$B477,$A:$A,"&gt;="&amp;COUNTIFS($K$1:S$1,"&lt;&gt;"))),0)</f>
        <v>0</v>
      </c>
      <c r="T477">
        <f>IFERROR($J477/IF($A477&lt;COUNTIFS($K$1:T$1,"&lt;&gt;"),0,SUMIFS($J:$J,$B:$B,$B477,$A:$A,"&gt;="&amp;COUNTIFS($K$1:T$1,"&lt;&gt;"))),0)</f>
        <v>0</v>
      </c>
      <c r="U477">
        <f>IFERROR($J477/IF($A477&lt;COUNTIFS($K$1:U$1,"&lt;&gt;"),0,SUMIFS($J:$J,$B:$B,$B477,$A:$A,"&gt;="&amp;COUNTIFS($K$1:U$1,"&lt;&gt;"))),0)</f>
        <v>0</v>
      </c>
      <c r="V477">
        <f>IFERROR($J477/IF($A477&lt;COUNTIFS($K$1:V$1,"&lt;&gt;"),0,SUMIFS($J:$J,$B:$B,$B477,$A:$A,"&gt;="&amp;COUNTIFS($K$1:V$1,"&lt;&gt;"))),0)</f>
        <v>0</v>
      </c>
      <c r="W477">
        <f t="shared" si="178"/>
        <v>8.4931506849315067E-2</v>
      </c>
      <c r="X477">
        <f t="shared" si="158"/>
        <v>8.4931506849315067E-2</v>
      </c>
      <c r="Y477">
        <f t="shared" si="159"/>
        <v>8.4931506849315067E-2</v>
      </c>
      <c r="Z477">
        <f t="shared" si="160"/>
        <v>8.4931506849315067E-2</v>
      </c>
      <c r="AA477">
        <f t="shared" si="161"/>
        <v>8.4931506849315067E-2</v>
      </c>
      <c r="AB477">
        <f t="shared" si="162"/>
        <v>8.4931506849315067E-2</v>
      </c>
      <c r="AC477">
        <f t="shared" si="163"/>
        <v>8.4931506849315067E-2</v>
      </c>
      <c r="AD477">
        <f t="shared" si="164"/>
        <v>8.4931506849315067E-2</v>
      </c>
      <c r="AE477">
        <f t="shared" si="165"/>
        <v>0</v>
      </c>
      <c r="AF477">
        <f t="shared" si="166"/>
        <v>0</v>
      </c>
      <c r="AG477">
        <f t="shared" si="167"/>
        <v>0</v>
      </c>
      <c r="AH477">
        <f t="shared" si="168"/>
        <v>0</v>
      </c>
      <c r="AI477">
        <f t="shared" si="169"/>
        <v>0</v>
      </c>
      <c r="AJ477" s="2" t="str">
        <f t="shared" si="179"/>
        <v>744927</v>
      </c>
    </row>
    <row r="478" spans="1:36" x14ac:dyDescent="0.25">
      <c r="A478">
        <v>8</v>
      </c>
      <c r="B478" s="1">
        <v>44927</v>
      </c>
      <c r="C478" s="1">
        <f t="shared" si="170"/>
        <v>45170</v>
      </c>
      <c r="D478" s="1">
        <f t="shared" si="171"/>
        <v>44941</v>
      </c>
      <c r="E478" s="1">
        <f t="shared" si="172"/>
        <v>45170</v>
      </c>
      <c r="F478" s="1">
        <f t="shared" si="173"/>
        <v>45200</v>
      </c>
      <c r="G478" s="1">
        <f t="shared" si="174"/>
        <v>45306</v>
      </c>
      <c r="H478">
        <f t="shared" si="175"/>
        <v>365</v>
      </c>
      <c r="I478">
        <f t="shared" si="176"/>
        <v>30</v>
      </c>
      <c r="J478">
        <f t="shared" si="177"/>
        <v>8.2191780821917804E-2</v>
      </c>
      <c r="K478">
        <f>IFERROR($J478/IF($A478&lt;COUNTIFS($K$1:K$1,"&lt;&gt;"),0,SUMIFS($J:$J,$B:$B,$B478,$A:$A,"&gt;="&amp;COUNTIFS($K$1:K$1,"&lt;&gt;"))),0)</f>
        <v>8.6206896551724144E-2</v>
      </c>
      <c r="L478">
        <f>IFERROR($J478/IF($A478&lt;COUNTIFS($K$1:L$1,"&lt;&gt;"),0,SUMIFS($J:$J,$B:$B,$B478,$A:$A,"&gt;="&amp;COUNTIFS($K$1:L$1,"&lt;&gt;"))),0)</f>
        <v>9.3750000000000014E-2</v>
      </c>
      <c r="M478">
        <f>IFERROR($J478/IF($A478&lt;COUNTIFS($K$1:M$1,"&lt;&gt;"),0,SUMIFS($J:$J,$B:$B,$B478,$A:$A,"&gt;="&amp;COUNTIFS($K$1:M$1,"&lt;&gt;"))),0)</f>
        <v>0.10380622837370243</v>
      </c>
      <c r="N478">
        <f>IFERROR($J478/IF($A478&lt;COUNTIFS($K$1:N$1,"&lt;&gt;"),0,SUMIFS($J:$J,$B:$B,$B478,$A:$A,"&gt;="&amp;COUNTIFS($K$1:N$1,"&lt;&gt;"))),0)</f>
        <v>0.11583011583011585</v>
      </c>
      <c r="O478">
        <f>IFERROR($J478/IF($A478&lt;COUNTIFS($K$1:O$1,"&lt;&gt;"),0,SUMIFS($J:$J,$B:$B,$B478,$A:$A,"&gt;="&amp;COUNTIFS($K$1:O$1,"&lt;&gt;"))),0)</f>
        <v>0.13157894736842107</v>
      </c>
      <c r="P478">
        <f>IFERROR($J478/IF($A478&lt;COUNTIFS($K$1:P$1,"&lt;&gt;"),0,SUMIFS($J:$J,$B:$B,$B478,$A:$A,"&gt;="&amp;COUNTIFS($K$1:P$1,"&lt;&gt;"))),0)</f>
        <v>0.15151515151515155</v>
      </c>
      <c r="Q478">
        <f>IFERROR($J478/IF($A478&lt;COUNTIFS($K$1:Q$1,"&lt;&gt;"),0,SUMIFS($J:$J,$B:$B,$B478,$A:$A,"&gt;="&amp;COUNTIFS($K$1:Q$1,"&lt;&gt;"))),0)</f>
        <v>0.17964071856287425</v>
      </c>
      <c r="R478">
        <f>IFERROR($J478/IF($A478&lt;COUNTIFS($K$1:R$1,"&lt;&gt;"),0,SUMIFS($J:$J,$B:$B,$B478,$A:$A,"&gt;="&amp;COUNTIFS($K$1:R$1,"&lt;&gt;"))),0)</f>
        <v>0.22058823529411764</v>
      </c>
      <c r="S478">
        <f>IFERROR($J478/IF($A478&lt;COUNTIFS($K$1:S$1,"&lt;&gt;"),0,SUMIFS($J:$J,$B:$B,$B478,$A:$A,"&gt;="&amp;COUNTIFS($K$1:S$1,"&lt;&gt;"))),0)</f>
        <v>0</v>
      </c>
      <c r="T478">
        <f>IFERROR($J478/IF($A478&lt;COUNTIFS($K$1:T$1,"&lt;&gt;"),0,SUMIFS($J:$J,$B:$B,$B478,$A:$A,"&gt;="&amp;COUNTIFS($K$1:T$1,"&lt;&gt;"))),0)</f>
        <v>0</v>
      </c>
      <c r="U478">
        <f>IFERROR($J478/IF($A478&lt;COUNTIFS($K$1:U$1,"&lt;&gt;"),0,SUMIFS($J:$J,$B:$B,$B478,$A:$A,"&gt;="&amp;COUNTIFS($K$1:U$1,"&lt;&gt;"))),0)</f>
        <v>0</v>
      </c>
      <c r="V478">
        <f>IFERROR($J478/IF($A478&lt;COUNTIFS($K$1:V$1,"&lt;&gt;"),0,SUMIFS($J:$J,$B:$B,$B478,$A:$A,"&gt;="&amp;COUNTIFS($K$1:V$1,"&lt;&gt;"))),0)</f>
        <v>0</v>
      </c>
      <c r="W478">
        <f t="shared" si="178"/>
        <v>8.2191780821917804E-2</v>
      </c>
      <c r="X478">
        <f t="shared" si="158"/>
        <v>8.2191780821917804E-2</v>
      </c>
      <c r="Y478">
        <f t="shared" si="159"/>
        <v>8.2191780821917804E-2</v>
      </c>
      <c r="Z478">
        <f t="shared" si="160"/>
        <v>8.2191780821917804E-2</v>
      </c>
      <c r="AA478">
        <f t="shared" si="161"/>
        <v>8.2191780821917804E-2</v>
      </c>
      <c r="AB478">
        <f t="shared" si="162"/>
        <v>8.2191780821917804E-2</v>
      </c>
      <c r="AC478">
        <f t="shared" si="163"/>
        <v>8.2191780821917804E-2</v>
      </c>
      <c r="AD478">
        <f t="shared" si="164"/>
        <v>8.2191780821917804E-2</v>
      </c>
      <c r="AE478">
        <f t="shared" si="165"/>
        <v>8.2191780821917804E-2</v>
      </c>
      <c r="AF478">
        <f t="shared" si="166"/>
        <v>0</v>
      </c>
      <c r="AG478">
        <f t="shared" si="167"/>
        <v>0</v>
      </c>
      <c r="AH478">
        <f t="shared" si="168"/>
        <v>0</v>
      </c>
      <c r="AI478">
        <f t="shared" si="169"/>
        <v>0</v>
      </c>
      <c r="AJ478" s="2" t="str">
        <f t="shared" si="179"/>
        <v>844927</v>
      </c>
    </row>
    <row r="479" spans="1:36" x14ac:dyDescent="0.25">
      <c r="A479">
        <v>9</v>
      </c>
      <c r="B479" s="1">
        <v>44927</v>
      </c>
      <c r="C479" s="1">
        <f t="shared" si="170"/>
        <v>45200</v>
      </c>
      <c r="D479" s="1">
        <f t="shared" si="171"/>
        <v>44941</v>
      </c>
      <c r="E479" s="1">
        <f t="shared" si="172"/>
        <v>45200</v>
      </c>
      <c r="F479" s="1">
        <f t="shared" si="173"/>
        <v>45231</v>
      </c>
      <c r="G479" s="1">
        <f t="shared" si="174"/>
        <v>45306</v>
      </c>
      <c r="H479">
        <f t="shared" si="175"/>
        <v>365</v>
      </c>
      <c r="I479">
        <f t="shared" si="176"/>
        <v>31</v>
      </c>
      <c r="J479">
        <f t="shared" si="177"/>
        <v>8.4931506849315067E-2</v>
      </c>
      <c r="K479">
        <f>IFERROR($J479/IF($A479&lt;COUNTIFS($K$1:K$1,"&lt;&gt;"),0,SUMIFS($J:$J,$B:$B,$B479,$A:$A,"&gt;="&amp;COUNTIFS($K$1:K$1,"&lt;&gt;"))),0)</f>
        <v>8.9080459770114959E-2</v>
      </c>
      <c r="L479">
        <f>IFERROR($J479/IF($A479&lt;COUNTIFS($K$1:L$1,"&lt;&gt;"),0,SUMIFS($J:$J,$B:$B,$B479,$A:$A,"&gt;="&amp;COUNTIFS($K$1:L$1,"&lt;&gt;"))),0)</f>
        <v>9.6875000000000017E-2</v>
      </c>
      <c r="M479">
        <f>IFERROR($J479/IF($A479&lt;COUNTIFS($K$1:M$1,"&lt;&gt;"),0,SUMIFS($J:$J,$B:$B,$B479,$A:$A,"&gt;="&amp;COUNTIFS($K$1:M$1,"&lt;&gt;"))),0)</f>
        <v>0.10726643598615919</v>
      </c>
      <c r="N479">
        <f>IFERROR($J479/IF($A479&lt;COUNTIFS($K$1:N$1,"&lt;&gt;"),0,SUMIFS($J:$J,$B:$B,$B479,$A:$A,"&gt;="&amp;COUNTIFS($K$1:N$1,"&lt;&gt;"))),0)</f>
        <v>0.11969111969111972</v>
      </c>
      <c r="O479">
        <f>IFERROR($J479/IF($A479&lt;COUNTIFS($K$1:O$1,"&lt;&gt;"),0,SUMIFS($J:$J,$B:$B,$B479,$A:$A,"&gt;="&amp;COUNTIFS($K$1:O$1,"&lt;&gt;"))),0)</f>
        <v>0.13596491228070179</v>
      </c>
      <c r="P479">
        <f>IFERROR($J479/IF($A479&lt;COUNTIFS($K$1:P$1,"&lt;&gt;"),0,SUMIFS($J:$J,$B:$B,$B479,$A:$A,"&gt;="&amp;COUNTIFS($K$1:P$1,"&lt;&gt;"))),0)</f>
        <v>0.1565656565656566</v>
      </c>
      <c r="Q479">
        <f>IFERROR($J479/IF($A479&lt;COUNTIFS($K$1:Q$1,"&lt;&gt;"),0,SUMIFS($J:$J,$B:$B,$B479,$A:$A,"&gt;="&amp;COUNTIFS($K$1:Q$1,"&lt;&gt;"))),0)</f>
        <v>0.18562874251497008</v>
      </c>
      <c r="R479">
        <f>IFERROR($J479/IF($A479&lt;COUNTIFS($K$1:R$1,"&lt;&gt;"),0,SUMIFS($J:$J,$B:$B,$B479,$A:$A,"&gt;="&amp;COUNTIFS($K$1:R$1,"&lt;&gt;"))),0)</f>
        <v>0.22794117647058826</v>
      </c>
      <c r="S479">
        <f>IFERROR($J479/IF($A479&lt;COUNTIFS($K$1:S$1,"&lt;&gt;"),0,SUMIFS($J:$J,$B:$B,$B479,$A:$A,"&gt;="&amp;COUNTIFS($K$1:S$1,"&lt;&gt;"))),0)</f>
        <v>0.29245283018867929</v>
      </c>
      <c r="T479">
        <f>IFERROR($J479/IF($A479&lt;COUNTIFS($K$1:T$1,"&lt;&gt;"),0,SUMIFS($J:$J,$B:$B,$B479,$A:$A,"&gt;="&amp;COUNTIFS($K$1:T$1,"&lt;&gt;"))),0)</f>
        <v>0</v>
      </c>
      <c r="U479">
        <f>IFERROR($J479/IF($A479&lt;COUNTIFS($K$1:U$1,"&lt;&gt;"),0,SUMIFS($J:$J,$B:$B,$B479,$A:$A,"&gt;="&amp;COUNTIFS($K$1:U$1,"&lt;&gt;"))),0)</f>
        <v>0</v>
      </c>
      <c r="V479">
        <f>IFERROR($J479/IF($A479&lt;COUNTIFS($K$1:V$1,"&lt;&gt;"),0,SUMIFS($J:$J,$B:$B,$B479,$A:$A,"&gt;="&amp;COUNTIFS($K$1:V$1,"&lt;&gt;"))),0)</f>
        <v>0</v>
      </c>
      <c r="W479">
        <f t="shared" si="178"/>
        <v>8.4931506849315067E-2</v>
      </c>
      <c r="X479">
        <f t="shared" si="158"/>
        <v>8.4931506849315067E-2</v>
      </c>
      <c r="Y479">
        <f t="shared" si="159"/>
        <v>8.4931506849315067E-2</v>
      </c>
      <c r="Z479">
        <f t="shared" si="160"/>
        <v>8.4931506849315067E-2</v>
      </c>
      <c r="AA479">
        <f t="shared" si="161"/>
        <v>8.4931506849315067E-2</v>
      </c>
      <c r="AB479">
        <f t="shared" si="162"/>
        <v>8.4931506849315067E-2</v>
      </c>
      <c r="AC479">
        <f t="shared" si="163"/>
        <v>8.4931506849315067E-2</v>
      </c>
      <c r="AD479">
        <f t="shared" si="164"/>
        <v>8.4931506849315067E-2</v>
      </c>
      <c r="AE479">
        <f t="shared" si="165"/>
        <v>8.4931506849315067E-2</v>
      </c>
      <c r="AF479">
        <f t="shared" si="166"/>
        <v>8.4931506849315067E-2</v>
      </c>
      <c r="AG479">
        <f t="shared" si="167"/>
        <v>0</v>
      </c>
      <c r="AH479">
        <f t="shared" si="168"/>
        <v>0</v>
      </c>
      <c r="AI479">
        <f t="shared" si="169"/>
        <v>0</v>
      </c>
      <c r="AJ479" s="2" t="str">
        <f t="shared" si="179"/>
        <v>944927</v>
      </c>
    </row>
    <row r="480" spans="1:36" x14ac:dyDescent="0.25">
      <c r="A480">
        <v>10</v>
      </c>
      <c r="B480" s="1">
        <v>44927</v>
      </c>
      <c r="C480" s="1">
        <f t="shared" si="170"/>
        <v>45231</v>
      </c>
      <c r="D480" s="1">
        <f t="shared" si="171"/>
        <v>44941</v>
      </c>
      <c r="E480" s="1">
        <f t="shared" si="172"/>
        <v>45231</v>
      </c>
      <c r="F480" s="1">
        <f t="shared" si="173"/>
        <v>45261</v>
      </c>
      <c r="G480" s="1">
        <f t="shared" si="174"/>
        <v>45306</v>
      </c>
      <c r="H480">
        <f t="shared" si="175"/>
        <v>365</v>
      </c>
      <c r="I480">
        <f t="shared" si="176"/>
        <v>30</v>
      </c>
      <c r="J480">
        <f t="shared" si="177"/>
        <v>8.2191780821917804E-2</v>
      </c>
      <c r="K480">
        <f>IFERROR($J480/IF($A480&lt;COUNTIFS($K$1:K$1,"&lt;&gt;"),0,SUMIFS($J:$J,$B:$B,$B480,$A:$A,"&gt;="&amp;COUNTIFS($K$1:K$1,"&lt;&gt;"))),0)</f>
        <v>8.6206896551724144E-2</v>
      </c>
      <c r="L480">
        <f>IFERROR($J480/IF($A480&lt;COUNTIFS($K$1:L$1,"&lt;&gt;"),0,SUMIFS($J:$J,$B:$B,$B480,$A:$A,"&gt;="&amp;COUNTIFS($K$1:L$1,"&lt;&gt;"))),0)</f>
        <v>9.3750000000000014E-2</v>
      </c>
      <c r="M480">
        <f>IFERROR($J480/IF($A480&lt;COUNTIFS($K$1:M$1,"&lt;&gt;"),0,SUMIFS($J:$J,$B:$B,$B480,$A:$A,"&gt;="&amp;COUNTIFS($K$1:M$1,"&lt;&gt;"))),0)</f>
        <v>0.10380622837370243</v>
      </c>
      <c r="N480">
        <f>IFERROR($J480/IF($A480&lt;COUNTIFS($K$1:N$1,"&lt;&gt;"),0,SUMIFS($J:$J,$B:$B,$B480,$A:$A,"&gt;="&amp;COUNTIFS($K$1:N$1,"&lt;&gt;"))),0)</f>
        <v>0.11583011583011585</v>
      </c>
      <c r="O480">
        <f>IFERROR($J480/IF($A480&lt;COUNTIFS($K$1:O$1,"&lt;&gt;"),0,SUMIFS($J:$J,$B:$B,$B480,$A:$A,"&gt;="&amp;COUNTIFS($K$1:O$1,"&lt;&gt;"))),0)</f>
        <v>0.13157894736842107</v>
      </c>
      <c r="P480">
        <f>IFERROR($J480/IF($A480&lt;COUNTIFS($K$1:P$1,"&lt;&gt;"),0,SUMIFS($J:$J,$B:$B,$B480,$A:$A,"&gt;="&amp;COUNTIFS($K$1:P$1,"&lt;&gt;"))),0)</f>
        <v>0.15151515151515155</v>
      </c>
      <c r="Q480">
        <f>IFERROR($J480/IF($A480&lt;COUNTIFS($K$1:Q$1,"&lt;&gt;"),0,SUMIFS($J:$J,$B:$B,$B480,$A:$A,"&gt;="&amp;COUNTIFS($K$1:Q$1,"&lt;&gt;"))),0)</f>
        <v>0.17964071856287425</v>
      </c>
      <c r="R480">
        <f>IFERROR($J480/IF($A480&lt;COUNTIFS($K$1:R$1,"&lt;&gt;"),0,SUMIFS($J:$J,$B:$B,$B480,$A:$A,"&gt;="&amp;COUNTIFS($K$1:R$1,"&lt;&gt;"))),0)</f>
        <v>0.22058823529411764</v>
      </c>
      <c r="S480">
        <f>IFERROR($J480/IF($A480&lt;COUNTIFS($K$1:S$1,"&lt;&gt;"),0,SUMIFS($J:$J,$B:$B,$B480,$A:$A,"&gt;="&amp;COUNTIFS($K$1:S$1,"&lt;&gt;"))),0)</f>
        <v>0.28301886792452829</v>
      </c>
      <c r="T480">
        <f>IFERROR($J480/IF($A480&lt;COUNTIFS($K$1:T$1,"&lt;&gt;"),0,SUMIFS($J:$J,$B:$B,$B480,$A:$A,"&gt;="&amp;COUNTIFS($K$1:T$1,"&lt;&gt;"))),0)</f>
        <v>0.4</v>
      </c>
      <c r="U480">
        <f>IFERROR($J480/IF($A480&lt;COUNTIFS($K$1:U$1,"&lt;&gt;"),0,SUMIFS($J:$J,$B:$B,$B480,$A:$A,"&gt;="&amp;COUNTIFS($K$1:U$1,"&lt;&gt;"))),0)</f>
        <v>0</v>
      </c>
      <c r="V480">
        <f>IFERROR($J480/IF($A480&lt;COUNTIFS($K$1:V$1,"&lt;&gt;"),0,SUMIFS($J:$J,$B:$B,$B480,$A:$A,"&gt;="&amp;COUNTIFS($K$1:V$1,"&lt;&gt;"))),0)</f>
        <v>0</v>
      </c>
      <c r="W480">
        <f t="shared" si="178"/>
        <v>8.2191780821917804E-2</v>
      </c>
      <c r="X480">
        <f t="shared" si="158"/>
        <v>8.2191780821917804E-2</v>
      </c>
      <c r="Y480">
        <f t="shared" si="159"/>
        <v>8.2191780821917804E-2</v>
      </c>
      <c r="Z480">
        <f t="shared" si="160"/>
        <v>8.2191780821917804E-2</v>
      </c>
      <c r="AA480">
        <f t="shared" si="161"/>
        <v>8.2191780821917804E-2</v>
      </c>
      <c r="AB480">
        <f t="shared" si="162"/>
        <v>8.2191780821917804E-2</v>
      </c>
      <c r="AC480">
        <f t="shared" si="163"/>
        <v>8.2191780821917804E-2</v>
      </c>
      <c r="AD480">
        <f t="shared" si="164"/>
        <v>8.2191780821917804E-2</v>
      </c>
      <c r="AE480">
        <f t="shared" si="165"/>
        <v>8.2191780821917804E-2</v>
      </c>
      <c r="AF480">
        <f t="shared" si="166"/>
        <v>8.2191780821917804E-2</v>
      </c>
      <c r="AG480">
        <f t="shared" si="167"/>
        <v>8.2191780821917804E-2</v>
      </c>
      <c r="AH480">
        <f t="shared" si="168"/>
        <v>0</v>
      </c>
      <c r="AI480">
        <f t="shared" si="169"/>
        <v>0</v>
      </c>
      <c r="AJ480" s="2" t="str">
        <f t="shared" si="179"/>
        <v>1044927</v>
      </c>
    </row>
    <row r="481" spans="1:36" x14ac:dyDescent="0.25">
      <c r="A481">
        <v>11</v>
      </c>
      <c r="B481" s="1">
        <v>44927</v>
      </c>
      <c r="C481" s="1">
        <f t="shared" si="170"/>
        <v>45261</v>
      </c>
      <c r="D481" s="1">
        <f t="shared" si="171"/>
        <v>44941</v>
      </c>
      <c r="E481" s="1">
        <f t="shared" si="172"/>
        <v>45261</v>
      </c>
      <c r="F481" s="1">
        <f t="shared" si="173"/>
        <v>45292</v>
      </c>
      <c r="G481" s="1">
        <f t="shared" si="174"/>
        <v>45306</v>
      </c>
      <c r="H481">
        <f t="shared" si="175"/>
        <v>365</v>
      </c>
      <c r="I481">
        <f t="shared" si="176"/>
        <v>31</v>
      </c>
      <c r="J481">
        <f t="shared" si="177"/>
        <v>8.4931506849315067E-2</v>
      </c>
      <c r="K481">
        <f>IFERROR($J481/IF($A481&lt;COUNTIFS($K$1:K$1,"&lt;&gt;"),0,SUMIFS($J:$J,$B:$B,$B481,$A:$A,"&gt;="&amp;COUNTIFS($K$1:K$1,"&lt;&gt;"))),0)</f>
        <v>8.9080459770114959E-2</v>
      </c>
      <c r="L481">
        <f>IFERROR($J481/IF($A481&lt;COUNTIFS($K$1:L$1,"&lt;&gt;"),0,SUMIFS($J:$J,$B:$B,$B481,$A:$A,"&gt;="&amp;COUNTIFS($K$1:L$1,"&lt;&gt;"))),0)</f>
        <v>9.6875000000000017E-2</v>
      </c>
      <c r="M481">
        <f>IFERROR($J481/IF($A481&lt;COUNTIFS($K$1:M$1,"&lt;&gt;"),0,SUMIFS($J:$J,$B:$B,$B481,$A:$A,"&gt;="&amp;COUNTIFS($K$1:M$1,"&lt;&gt;"))),0)</f>
        <v>0.10726643598615919</v>
      </c>
      <c r="N481">
        <f>IFERROR($J481/IF($A481&lt;COUNTIFS($K$1:N$1,"&lt;&gt;"),0,SUMIFS($J:$J,$B:$B,$B481,$A:$A,"&gt;="&amp;COUNTIFS($K$1:N$1,"&lt;&gt;"))),0)</f>
        <v>0.11969111969111972</v>
      </c>
      <c r="O481">
        <f>IFERROR($J481/IF($A481&lt;COUNTIFS($K$1:O$1,"&lt;&gt;"),0,SUMIFS($J:$J,$B:$B,$B481,$A:$A,"&gt;="&amp;COUNTIFS($K$1:O$1,"&lt;&gt;"))),0)</f>
        <v>0.13596491228070179</v>
      </c>
      <c r="P481">
        <f>IFERROR($J481/IF($A481&lt;COUNTIFS($K$1:P$1,"&lt;&gt;"),0,SUMIFS($J:$J,$B:$B,$B481,$A:$A,"&gt;="&amp;COUNTIFS($K$1:P$1,"&lt;&gt;"))),0)</f>
        <v>0.1565656565656566</v>
      </c>
      <c r="Q481">
        <f>IFERROR($J481/IF($A481&lt;COUNTIFS($K$1:Q$1,"&lt;&gt;"),0,SUMIFS($J:$J,$B:$B,$B481,$A:$A,"&gt;="&amp;COUNTIFS($K$1:Q$1,"&lt;&gt;"))),0)</f>
        <v>0.18562874251497008</v>
      </c>
      <c r="R481">
        <f>IFERROR($J481/IF($A481&lt;COUNTIFS($K$1:R$1,"&lt;&gt;"),0,SUMIFS($J:$J,$B:$B,$B481,$A:$A,"&gt;="&amp;COUNTIFS($K$1:R$1,"&lt;&gt;"))),0)</f>
        <v>0.22794117647058826</v>
      </c>
      <c r="S481">
        <f>IFERROR($J481/IF($A481&lt;COUNTIFS($K$1:S$1,"&lt;&gt;"),0,SUMIFS($J:$J,$B:$B,$B481,$A:$A,"&gt;="&amp;COUNTIFS($K$1:S$1,"&lt;&gt;"))),0)</f>
        <v>0.29245283018867929</v>
      </c>
      <c r="T481">
        <f>IFERROR($J481/IF($A481&lt;COUNTIFS($K$1:T$1,"&lt;&gt;"),0,SUMIFS($J:$J,$B:$B,$B481,$A:$A,"&gt;="&amp;COUNTIFS($K$1:T$1,"&lt;&gt;"))),0)</f>
        <v>0.41333333333333333</v>
      </c>
      <c r="U481">
        <f>IFERROR($J481/IF($A481&lt;COUNTIFS($K$1:U$1,"&lt;&gt;"),0,SUMIFS($J:$J,$B:$B,$B481,$A:$A,"&gt;="&amp;COUNTIFS($K$1:U$1,"&lt;&gt;"))),0)</f>
        <v>0.68888888888888888</v>
      </c>
      <c r="V481">
        <f>IFERROR($J481/IF($A481&lt;COUNTIFS($K$1:V$1,"&lt;&gt;"),0,SUMIFS($J:$J,$B:$B,$B481,$A:$A,"&gt;="&amp;COUNTIFS($K$1:V$1,"&lt;&gt;"))),0)</f>
        <v>0</v>
      </c>
      <c r="W481">
        <f t="shared" si="178"/>
        <v>8.4931506849315067E-2</v>
      </c>
      <c r="X481">
        <f t="shared" si="158"/>
        <v>8.4931506849315067E-2</v>
      </c>
      <c r="Y481">
        <f t="shared" si="159"/>
        <v>8.4931506849315067E-2</v>
      </c>
      <c r="Z481">
        <f t="shared" si="160"/>
        <v>8.4931506849315067E-2</v>
      </c>
      <c r="AA481">
        <f t="shared" si="161"/>
        <v>8.4931506849315067E-2</v>
      </c>
      <c r="AB481">
        <f t="shared" si="162"/>
        <v>8.4931506849315067E-2</v>
      </c>
      <c r="AC481">
        <f t="shared" si="163"/>
        <v>8.4931506849315067E-2</v>
      </c>
      <c r="AD481">
        <f t="shared" si="164"/>
        <v>8.4931506849315067E-2</v>
      </c>
      <c r="AE481">
        <f t="shared" si="165"/>
        <v>8.4931506849315067E-2</v>
      </c>
      <c r="AF481">
        <f t="shared" si="166"/>
        <v>8.4931506849315067E-2</v>
      </c>
      <c r="AG481">
        <f t="shared" si="167"/>
        <v>8.4931506849315067E-2</v>
      </c>
      <c r="AH481">
        <f t="shared" si="168"/>
        <v>8.4931506849315067E-2</v>
      </c>
      <c r="AI481">
        <f t="shared" si="169"/>
        <v>0</v>
      </c>
      <c r="AJ481" s="2" t="str">
        <f t="shared" si="179"/>
        <v>1144927</v>
      </c>
    </row>
    <row r="482" spans="1:36" x14ac:dyDescent="0.25">
      <c r="A482">
        <v>12</v>
      </c>
      <c r="B482" s="1">
        <v>44927</v>
      </c>
      <c r="C482" s="1">
        <f t="shared" si="170"/>
        <v>45292</v>
      </c>
      <c r="D482" s="1">
        <f t="shared" si="171"/>
        <v>44941</v>
      </c>
      <c r="E482" s="1">
        <f t="shared" si="172"/>
        <v>45292</v>
      </c>
      <c r="F482" s="1">
        <f t="shared" si="173"/>
        <v>45306</v>
      </c>
      <c r="G482" s="1">
        <f t="shared" si="174"/>
        <v>45306</v>
      </c>
      <c r="H482">
        <f t="shared" si="175"/>
        <v>365</v>
      </c>
      <c r="I482">
        <f t="shared" si="176"/>
        <v>14</v>
      </c>
      <c r="J482">
        <f t="shared" si="177"/>
        <v>3.8356164383561646E-2</v>
      </c>
      <c r="K482">
        <f>IFERROR($J482/IF($A482&lt;COUNTIFS($K$1:K$1,"&lt;&gt;"),0,SUMIFS($J:$J,$B:$B,$B482,$A:$A,"&gt;="&amp;COUNTIFS($K$1:K$1,"&lt;&gt;"))),0)</f>
        <v>4.0229885057471271E-2</v>
      </c>
      <c r="L482">
        <f>IFERROR($J482/IF($A482&lt;COUNTIFS($K$1:L$1,"&lt;&gt;"),0,SUMIFS($J:$J,$B:$B,$B482,$A:$A,"&gt;="&amp;COUNTIFS($K$1:L$1,"&lt;&gt;"))),0)</f>
        <v>4.3750000000000011E-2</v>
      </c>
      <c r="M482">
        <f>IFERROR($J482/IF($A482&lt;COUNTIFS($K$1:M$1,"&lt;&gt;"),0,SUMIFS($J:$J,$B:$B,$B482,$A:$A,"&gt;="&amp;COUNTIFS($K$1:M$1,"&lt;&gt;"))),0)</f>
        <v>4.8442906574394477E-2</v>
      </c>
      <c r="N482">
        <f>IFERROR($J482/IF($A482&lt;COUNTIFS($K$1:N$1,"&lt;&gt;"),0,SUMIFS($J:$J,$B:$B,$B482,$A:$A,"&gt;="&amp;COUNTIFS($K$1:N$1,"&lt;&gt;"))),0)</f>
        <v>5.4054054054054071E-2</v>
      </c>
      <c r="O482">
        <f>IFERROR($J482/IF($A482&lt;COUNTIFS($K$1:O$1,"&lt;&gt;"),0,SUMIFS($J:$J,$B:$B,$B482,$A:$A,"&gt;="&amp;COUNTIFS($K$1:O$1,"&lt;&gt;"))),0)</f>
        <v>6.1403508771929842E-2</v>
      </c>
      <c r="P482">
        <f>IFERROR($J482/IF($A482&lt;COUNTIFS($K$1:P$1,"&lt;&gt;"),0,SUMIFS($J:$J,$B:$B,$B482,$A:$A,"&gt;="&amp;COUNTIFS($K$1:P$1,"&lt;&gt;"))),0)</f>
        <v>7.0707070707070732E-2</v>
      </c>
      <c r="Q482">
        <f>IFERROR($J482/IF($A482&lt;COUNTIFS($K$1:Q$1,"&lt;&gt;"),0,SUMIFS($J:$J,$B:$B,$B482,$A:$A,"&gt;="&amp;COUNTIFS($K$1:Q$1,"&lt;&gt;"))),0)</f>
        <v>8.3832335329341326E-2</v>
      </c>
      <c r="R482">
        <f>IFERROR($J482/IF($A482&lt;COUNTIFS($K$1:R$1,"&lt;&gt;"),0,SUMIFS($J:$J,$B:$B,$B482,$A:$A,"&gt;="&amp;COUNTIFS($K$1:R$1,"&lt;&gt;"))),0)</f>
        <v>0.10294117647058824</v>
      </c>
      <c r="S482">
        <f>IFERROR($J482/IF($A482&lt;COUNTIFS($K$1:S$1,"&lt;&gt;"),0,SUMIFS($J:$J,$B:$B,$B482,$A:$A,"&gt;="&amp;COUNTIFS($K$1:S$1,"&lt;&gt;"))),0)</f>
        <v>0.13207547169811323</v>
      </c>
      <c r="T482">
        <f>IFERROR($J482/IF($A482&lt;COUNTIFS($K$1:T$1,"&lt;&gt;"),0,SUMIFS($J:$J,$B:$B,$B482,$A:$A,"&gt;="&amp;COUNTIFS($K$1:T$1,"&lt;&gt;"))),0)</f>
        <v>0.18666666666666668</v>
      </c>
      <c r="U482">
        <f>IFERROR($J482/IF($A482&lt;COUNTIFS($K$1:U$1,"&lt;&gt;"),0,SUMIFS($J:$J,$B:$B,$B482,$A:$A,"&gt;="&amp;COUNTIFS($K$1:U$1,"&lt;&gt;"))),0)</f>
        <v>0.31111111111111117</v>
      </c>
      <c r="V482">
        <f>IFERROR($J482/IF($A482&lt;COUNTIFS($K$1:V$1,"&lt;&gt;"),0,SUMIFS($J:$J,$B:$B,$B482,$A:$A,"&gt;="&amp;COUNTIFS($K$1:V$1,"&lt;&gt;"))),0)</f>
        <v>1</v>
      </c>
      <c r="W482">
        <f t="shared" si="178"/>
        <v>3.8356164383561646E-2</v>
      </c>
      <c r="X482">
        <f t="shared" si="158"/>
        <v>3.8356164383561646E-2</v>
      </c>
      <c r="Y482">
        <f t="shared" si="159"/>
        <v>3.8356164383561646E-2</v>
      </c>
      <c r="Z482">
        <f t="shared" si="160"/>
        <v>3.8356164383561646E-2</v>
      </c>
      <c r="AA482">
        <f t="shared" si="161"/>
        <v>3.8356164383561646E-2</v>
      </c>
      <c r="AB482">
        <f t="shared" si="162"/>
        <v>3.8356164383561646E-2</v>
      </c>
      <c r="AC482">
        <f t="shared" si="163"/>
        <v>3.8356164383561646E-2</v>
      </c>
      <c r="AD482">
        <f t="shared" si="164"/>
        <v>3.8356164383561646E-2</v>
      </c>
      <c r="AE482">
        <f t="shared" si="165"/>
        <v>3.8356164383561646E-2</v>
      </c>
      <c r="AF482">
        <f t="shared" si="166"/>
        <v>3.8356164383561646E-2</v>
      </c>
      <c r="AG482">
        <f t="shared" si="167"/>
        <v>3.8356164383561646E-2</v>
      </c>
      <c r="AH482">
        <f t="shared" si="168"/>
        <v>3.8356164383561646E-2</v>
      </c>
      <c r="AI482">
        <f t="shared" si="169"/>
        <v>3.8356164383561646E-2</v>
      </c>
      <c r="AJ482" s="2" t="str">
        <f t="shared" si="179"/>
        <v>1244927</v>
      </c>
    </row>
    <row r="483" spans="1:36" x14ac:dyDescent="0.25">
      <c r="A483">
        <v>0</v>
      </c>
      <c r="B483" s="1">
        <v>44958</v>
      </c>
      <c r="C483" s="1">
        <f t="shared" si="170"/>
        <v>44958</v>
      </c>
      <c r="D483" s="1">
        <f t="shared" si="171"/>
        <v>44972</v>
      </c>
      <c r="E483" s="1">
        <f t="shared" si="172"/>
        <v>44972</v>
      </c>
      <c r="F483" s="1">
        <f t="shared" si="173"/>
        <v>44986</v>
      </c>
      <c r="G483" s="1">
        <f t="shared" si="174"/>
        <v>45337</v>
      </c>
      <c r="H483">
        <f t="shared" si="175"/>
        <v>365</v>
      </c>
      <c r="I483">
        <f t="shared" si="176"/>
        <v>14</v>
      </c>
      <c r="J483">
        <f t="shared" si="177"/>
        <v>3.8356164383561646E-2</v>
      </c>
      <c r="K483">
        <f>IFERROR($J483/IF($A483&lt;COUNTIFS($K$1:K$1,"&lt;&gt;"),0,SUMIFS($J:$J,$B:$B,$B483,$A:$A,"&gt;="&amp;COUNTIFS($K$1:K$1,"&lt;&gt;"))),0)</f>
        <v>0</v>
      </c>
      <c r="L483">
        <f>IFERROR($J483/IF($A483&lt;COUNTIFS($K$1:L$1,"&lt;&gt;"),0,SUMIFS($J:$J,$B:$B,$B483,$A:$A,"&gt;="&amp;COUNTIFS($K$1:L$1,"&lt;&gt;"))),0)</f>
        <v>0</v>
      </c>
      <c r="M483">
        <f>IFERROR($J483/IF($A483&lt;COUNTIFS($K$1:M$1,"&lt;&gt;"),0,SUMIFS($J:$J,$B:$B,$B483,$A:$A,"&gt;="&amp;COUNTIFS($K$1:M$1,"&lt;&gt;"))),0)</f>
        <v>0</v>
      </c>
      <c r="N483">
        <f>IFERROR($J483/IF($A483&lt;COUNTIFS($K$1:N$1,"&lt;&gt;"),0,SUMIFS($J:$J,$B:$B,$B483,$A:$A,"&gt;="&amp;COUNTIFS($K$1:N$1,"&lt;&gt;"))),0)</f>
        <v>0</v>
      </c>
      <c r="O483">
        <f>IFERROR($J483/IF($A483&lt;COUNTIFS($K$1:O$1,"&lt;&gt;"),0,SUMIFS($J:$J,$B:$B,$B483,$A:$A,"&gt;="&amp;COUNTIFS($K$1:O$1,"&lt;&gt;"))),0)</f>
        <v>0</v>
      </c>
      <c r="P483">
        <f>IFERROR($J483/IF($A483&lt;COUNTIFS($K$1:P$1,"&lt;&gt;"),0,SUMIFS($J:$J,$B:$B,$B483,$A:$A,"&gt;="&amp;COUNTIFS($K$1:P$1,"&lt;&gt;"))),0)</f>
        <v>0</v>
      </c>
      <c r="Q483">
        <f>IFERROR($J483/IF($A483&lt;COUNTIFS($K$1:Q$1,"&lt;&gt;"),0,SUMIFS($J:$J,$B:$B,$B483,$A:$A,"&gt;="&amp;COUNTIFS($K$1:Q$1,"&lt;&gt;"))),0)</f>
        <v>0</v>
      </c>
      <c r="R483">
        <f>IFERROR($J483/IF($A483&lt;COUNTIFS($K$1:R$1,"&lt;&gt;"),0,SUMIFS($J:$J,$B:$B,$B483,$A:$A,"&gt;="&amp;COUNTIFS($K$1:R$1,"&lt;&gt;"))),0)</f>
        <v>0</v>
      </c>
      <c r="S483">
        <f>IFERROR($J483/IF($A483&lt;COUNTIFS($K$1:S$1,"&lt;&gt;"),0,SUMIFS($J:$J,$B:$B,$B483,$A:$A,"&gt;="&amp;COUNTIFS($K$1:S$1,"&lt;&gt;"))),0)</f>
        <v>0</v>
      </c>
      <c r="T483">
        <f>IFERROR($J483/IF($A483&lt;COUNTIFS($K$1:T$1,"&lt;&gt;"),0,SUMIFS($J:$J,$B:$B,$B483,$A:$A,"&gt;="&amp;COUNTIFS($K$1:T$1,"&lt;&gt;"))),0)</f>
        <v>0</v>
      </c>
      <c r="U483">
        <f>IFERROR($J483/IF($A483&lt;COUNTIFS($K$1:U$1,"&lt;&gt;"),0,SUMIFS($J:$J,$B:$B,$B483,$A:$A,"&gt;="&amp;COUNTIFS($K$1:U$1,"&lt;&gt;"))),0)</f>
        <v>0</v>
      </c>
      <c r="V483">
        <f>IFERROR($J483/IF($A483&lt;COUNTIFS($K$1:V$1,"&lt;&gt;"),0,SUMIFS($J:$J,$B:$B,$B483,$A:$A,"&gt;="&amp;COUNTIFS($K$1:V$1,"&lt;&gt;"))),0)</f>
        <v>0</v>
      </c>
      <c r="W483">
        <f t="shared" si="178"/>
        <v>3.8356164383561646E-2</v>
      </c>
      <c r="X483">
        <f t="shared" si="158"/>
        <v>0</v>
      </c>
      <c r="Y483">
        <f t="shared" si="159"/>
        <v>0</v>
      </c>
      <c r="Z483">
        <f t="shared" si="160"/>
        <v>0</v>
      </c>
      <c r="AA483">
        <f t="shared" si="161"/>
        <v>0</v>
      </c>
      <c r="AB483">
        <f t="shared" si="162"/>
        <v>0</v>
      </c>
      <c r="AC483">
        <f t="shared" si="163"/>
        <v>0</v>
      </c>
      <c r="AD483">
        <f t="shared" si="164"/>
        <v>0</v>
      </c>
      <c r="AE483">
        <f t="shared" si="165"/>
        <v>0</v>
      </c>
      <c r="AF483">
        <f t="shared" si="166"/>
        <v>0</v>
      </c>
      <c r="AG483">
        <f t="shared" si="167"/>
        <v>0</v>
      </c>
      <c r="AH483">
        <f t="shared" si="168"/>
        <v>0</v>
      </c>
      <c r="AI483">
        <f t="shared" si="169"/>
        <v>0</v>
      </c>
      <c r="AJ483" s="2" t="str">
        <f t="shared" si="179"/>
        <v>044958</v>
      </c>
    </row>
    <row r="484" spans="1:36" x14ac:dyDescent="0.25">
      <c r="A484">
        <v>1</v>
      </c>
      <c r="B484" s="1">
        <v>44958</v>
      </c>
      <c r="C484" s="1">
        <f t="shared" si="170"/>
        <v>44986</v>
      </c>
      <c r="D484" s="1">
        <f t="shared" si="171"/>
        <v>44972</v>
      </c>
      <c r="E484" s="1">
        <f t="shared" si="172"/>
        <v>44986</v>
      </c>
      <c r="F484" s="1">
        <f t="shared" si="173"/>
        <v>45017</v>
      </c>
      <c r="G484" s="1">
        <f t="shared" si="174"/>
        <v>45337</v>
      </c>
      <c r="H484">
        <f t="shared" si="175"/>
        <v>365</v>
      </c>
      <c r="I484">
        <f t="shared" si="176"/>
        <v>31</v>
      </c>
      <c r="J484">
        <f t="shared" si="177"/>
        <v>8.4931506849315067E-2</v>
      </c>
      <c r="K484">
        <f>IFERROR($J484/IF($A484&lt;COUNTIFS($K$1:K$1,"&lt;&gt;"),0,SUMIFS($J:$J,$B:$B,$B484,$A:$A,"&gt;="&amp;COUNTIFS($K$1:K$1,"&lt;&gt;"))),0)</f>
        <v>8.8319088319088329E-2</v>
      </c>
      <c r="L484">
        <f>IFERROR($J484/IF($A484&lt;COUNTIFS($K$1:L$1,"&lt;&gt;"),0,SUMIFS($J:$J,$B:$B,$B484,$A:$A,"&gt;="&amp;COUNTIFS($K$1:L$1,"&lt;&gt;"))),0)</f>
        <v>0</v>
      </c>
      <c r="M484">
        <f>IFERROR($J484/IF($A484&lt;COUNTIFS($K$1:M$1,"&lt;&gt;"),0,SUMIFS($J:$J,$B:$B,$B484,$A:$A,"&gt;="&amp;COUNTIFS($K$1:M$1,"&lt;&gt;"))),0)</f>
        <v>0</v>
      </c>
      <c r="N484">
        <f>IFERROR($J484/IF($A484&lt;COUNTIFS($K$1:N$1,"&lt;&gt;"),0,SUMIFS($J:$J,$B:$B,$B484,$A:$A,"&gt;="&amp;COUNTIFS($K$1:N$1,"&lt;&gt;"))),0)</f>
        <v>0</v>
      </c>
      <c r="O484">
        <f>IFERROR($J484/IF($A484&lt;COUNTIFS($K$1:O$1,"&lt;&gt;"),0,SUMIFS($J:$J,$B:$B,$B484,$A:$A,"&gt;="&amp;COUNTIFS($K$1:O$1,"&lt;&gt;"))),0)</f>
        <v>0</v>
      </c>
      <c r="P484">
        <f>IFERROR($J484/IF($A484&lt;COUNTIFS($K$1:P$1,"&lt;&gt;"),0,SUMIFS($J:$J,$B:$B,$B484,$A:$A,"&gt;="&amp;COUNTIFS($K$1:P$1,"&lt;&gt;"))),0)</f>
        <v>0</v>
      </c>
      <c r="Q484">
        <f>IFERROR($J484/IF($A484&lt;COUNTIFS($K$1:Q$1,"&lt;&gt;"),0,SUMIFS($J:$J,$B:$B,$B484,$A:$A,"&gt;="&amp;COUNTIFS($K$1:Q$1,"&lt;&gt;"))),0)</f>
        <v>0</v>
      </c>
      <c r="R484">
        <f>IFERROR($J484/IF($A484&lt;COUNTIFS($K$1:R$1,"&lt;&gt;"),0,SUMIFS($J:$J,$B:$B,$B484,$A:$A,"&gt;="&amp;COUNTIFS($K$1:R$1,"&lt;&gt;"))),0)</f>
        <v>0</v>
      </c>
      <c r="S484">
        <f>IFERROR($J484/IF($A484&lt;COUNTIFS($K$1:S$1,"&lt;&gt;"),0,SUMIFS($J:$J,$B:$B,$B484,$A:$A,"&gt;="&amp;COUNTIFS($K$1:S$1,"&lt;&gt;"))),0)</f>
        <v>0</v>
      </c>
      <c r="T484">
        <f>IFERROR($J484/IF($A484&lt;COUNTIFS($K$1:T$1,"&lt;&gt;"),0,SUMIFS($J:$J,$B:$B,$B484,$A:$A,"&gt;="&amp;COUNTIFS($K$1:T$1,"&lt;&gt;"))),0)</f>
        <v>0</v>
      </c>
      <c r="U484">
        <f>IFERROR($J484/IF($A484&lt;COUNTIFS($K$1:U$1,"&lt;&gt;"),0,SUMIFS($J:$J,$B:$B,$B484,$A:$A,"&gt;="&amp;COUNTIFS($K$1:U$1,"&lt;&gt;"))),0)</f>
        <v>0</v>
      </c>
      <c r="V484">
        <f>IFERROR($J484/IF($A484&lt;COUNTIFS($K$1:V$1,"&lt;&gt;"),0,SUMIFS($J:$J,$B:$B,$B484,$A:$A,"&gt;="&amp;COUNTIFS($K$1:V$1,"&lt;&gt;"))),0)</f>
        <v>0</v>
      </c>
      <c r="W484">
        <f t="shared" si="178"/>
        <v>8.4931506849315067E-2</v>
      </c>
      <c r="X484">
        <f t="shared" si="158"/>
        <v>8.4931506849315067E-2</v>
      </c>
      <c r="Y484">
        <f t="shared" si="159"/>
        <v>0</v>
      </c>
      <c r="Z484">
        <f t="shared" si="160"/>
        <v>0</v>
      </c>
      <c r="AA484">
        <f t="shared" si="161"/>
        <v>0</v>
      </c>
      <c r="AB484">
        <f t="shared" si="162"/>
        <v>0</v>
      </c>
      <c r="AC484">
        <f t="shared" si="163"/>
        <v>0</v>
      </c>
      <c r="AD484">
        <f t="shared" si="164"/>
        <v>0</v>
      </c>
      <c r="AE484">
        <f t="shared" si="165"/>
        <v>0</v>
      </c>
      <c r="AF484">
        <f t="shared" si="166"/>
        <v>0</v>
      </c>
      <c r="AG484">
        <f t="shared" si="167"/>
        <v>0</v>
      </c>
      <c r="AH484">
        <f t="shared" si="168"/>
        <v>0</v>
      </c>
      <c r="AI484">
        <f t="shared" si="169"/>
        <v>0</v>
      </c>
      <c r="AJ484" s="2" t="str">
        <f t="shared" si="179"/>
        <v>144958</v>
      </c>
    </row>
    <row r="485" spans="1:36" x14ac:dyDescent="0.25">
      <c r="A485">
        <v>2</v>
      </c>
      <c r="B485" s="1">
        <v>44958</v>
      </c>
      <c r="C485" s="1">
        <f t="shared" si="170"/>
        <v>45017</v>
      </c>
      <c r="D485" s="1">
        <f t="shared" si="171"/>
        <v>44972</v>
      </c>
      <c r="E485" s="1">
        <f t="shared" si="172"/>
        <v>45017</v>
      </c>
      <c r="F485" s="1">
        <f t="shared" si="173"/>
        <v>45047</v>
      </c>
      <c r="G485" s="1">
        <f t="shared" si="174"/>
        <v>45337</v>
      </c>
      <c r="H485">
        <f t="shared" si="175"/>
        <v>365</v>
      </c>
      <c r="I485">
        <f t="shared" si="176"/>
        <v>30</v>
      </c>
      <c r="J485">
        <f t="shared" si="177"/>
        <v>8.2191780821917804E-2</v>
      </c>
      <c r="K485">
        <f>IFERROR($J485/IF($A485&lt;COUNTIFS($K$1:K$1,"&lt;&gt;"),0,SUMIFS($J:$J,$B:$B,$B485,$A:$A,"&gt;="&amp;COUNTIFS($K$1:K$1,"&lt;&gt;"))),0)</f>
        <v>8.5470085470085486E-2</v>
      </c>
      <c r="L485">
        <f>IFERROR($J485/IF($A485&lt;COUNTIFS($K$1:L$1,"&lt;&gt;"),0,SUMIFS($J:$J,$B:$B,$B485,$A:$A,"&gt;="&amp;COUNTIFS($K$1:L$1,"&lt;&gt;"))),0)</f>
        <v>9.3750000000000014E-2</v>
      </c>
      <c r="M485">
        <f>IFERROR($J485/IF($A485&lt;COUNTIFS($K$1:M$1,"&lt;&gt;"),0,SUMIFS($J:$J,$B:$B,$B485,$A:$A,"&gt;="&amp;COUNTIFS($K$1:M$1,"&lt;&gt;"))),0)</f>
        <v>0</v>
      </c>
      <c r="N485">
        <f>IFERROR($J485/IF($A485&lt;COUNTIFS($K$1:N$1,"&lt;&gt;"),0,SUMIFS($J:$J,$B:$B,$B485,$A:$A,"&gt;="&amp;COUNTIFS($K$1:N$1,"&lt;&gt;"))),0)</f>
        <v>0</v>
      </c>
      <c r="O485">
        <f>IFERROR($J485/IF($A485&lt;COUNTIFS($K$1:O$1,"&lt;&gt;"),0,SUMIFS($J:$J,$B:$B,$B485,$A:$A,"&gt;="&amp;COUNTIFS($K$1:O$1,"&lt;&gt;"))),0)</f>
        <v>0</v>
      </c>
      <c r="P485">
        <f>IFERROR($J485/IF($A485&lt;COUNTIFS($K$1:P$1,"&lt;&gt;"),0,SUMIFS($J:$J,$B:$B,$B485,$A:$A,"&gt;="&amp;COUNTIFS($K$1:P$1,"&lt;&gt;"))),0)</f>
        <v>0</v>
      </c>
      <c r="Q485">
        <f>IFERROR($J485/IF($A485&lt;COUNTIFS($K$1:Q$1,"&lt;&gt;"),0,SUMIFS($J:$J,$B:$B,$B485,$A:$A,"&gt;="&amp;COUNTIFS($K$1:Q$1,"&lt;&gt;"))),0)</f>
        <v>0</v>
      </c>
      <c r="R485">
        <f>IFERROR($J485/IF($A485&lt;COUNTIFS($K$1:R$1,"&lt;&gt;"),0,SUMIFS($J:$J,$B:$B,$B485,$A:$A,"&gt;="&amp;COUNTIFS($K$1:R$1,"&lt;&gt;"))),0)</f>
        <v>0</v>
      </c>
      <c r="S485">
        <f>IFERROR($J485/IF($A485&lt;COUNTIFS($K$1:S$1,"&lt;&gt;"),0,SUMIFS($J:$J,$B:$B,$B485,$A:$A,"&gt;="&amp;COUNTIFS($K$1:S$1,"&lt;&gt;"))),0)</f>
        <v>0</v>
      </c>
      <c r="T485">
        <f>IFERROR($J485/IF($A485&lt;COUNTIFS($K$1:T$1,"&lt;&gt;"),0,SUMIFS($J:$J,$B:$B,$B485,$A:$A,"&gt;="&amp;COUNTIFS($K$1:T$1,"&lt;&gt;"))),0)</f>
        <v>0</v>
      </c>
      <c r="U485">
        <f>IFERROR($J485/IF($A485&lt;COUNTIFS($K$1:U$1,"&lt;&gt;"),0,SUMIFS($J:$J,$B:$B,$B485,$A:$A,"&gt;="&amp;COUNTIFS($K$1:U$1,"&lt;&gt;"))),0)</f>
        <v>0</v>
      </c>
      <c r="V485">
        <f>IFERROR($J485/IF($A485&lt;COUNTIFS($K$1:V$1,"&lt;&gt;"),0,SUMIFS($J:$J,$B:$B,$B485,$A:$A,"&gt;="&amp;COUNTIFS($K$1:V$1,"&lt;&gt;"))),0)</f>
        <v>0</v>
      </c>
      <c r="W485">
        <f t="shared" si="178"/>
        <v>8.2191780821917804E-2</v>
      </c>
      <c r="X485">
        <f t="shared" si="158"/>
        <v>8.2191780821917804E-2</v>
      </c>
      <c r="Y485">
        <f t="shared" si="159"/>
        <v>8.2191780821917804E-2</v>
      </c>
      <c r="Z485">
        <f t="shared" si="160"/>
        <v>0</v>
      </c>
      <c r="AA485">
        <f t="shared" si="161"/>
        <v>0</v>
      </c>
      <c r="AB485">
        <f t="shared" si="162"/>
        <v>0</v>
      </c>
      <c r="AC485">
        <f t="shared" si="163"/>
        <v>0</v>
      </c>
      <c r="AD485">
        <f t="shared" si="164"/>
        <v>0</v>
      </c>
      <c r="AE485">
        <f t="shared" si="165"/>
        <v>0</v>
      </c>
      <c r="AF485">
        <f t="shared" si="166"/>
        <v>0</v>
      </c>
      <c r="AG485">
        <f t="shared" si="167"/>
        <v>0</v>
      </c>
      <c r="AH485">
        <f t="shared" si="168"/>
        <v>0</v>
      </c>
      <c r="AI485">
        <f t="shared" si="169"/>
        <v>0</v>
      </c>
      <c r="AJ485" s="2" t="str">
        <f t="shared" si="179"/>
        <v>244958</v>
      </c>
    </row>
    <row r="486" spans="1:36" x14ac:dyDescent="0.25">
      <c r="A486">
        <v>3</v>
      </c>
      <c r="B486" s="1">
        <v>44958</v>
      </c>
      <c r="C486" s="1">
        <f t="shared" si="170"/>
        <v>45047</v>
      </c>
      <c r="D486" s="1">
        <f t="shared" si="171"/>
        <v>44972</v>
      </c>
      <c r="E486" s="1">
        <f t="shared" si="172"/>
        <v>45047</v>
      </c>
      <c r="F486" s="1">
        <f t="shared" si="173"/>
        <v>45078</v>
      </c>
      <c r="G486" s="1">
        <f t="shared" si="174"/>
        <v>45337</v>
      </c>
      <c r="H486">
        <f t="shared" si="175"/>
        <v>365</v>
      </c>
      <c r="I486">
        <f t="shared" si="176"/>
        <v>31</v>
      </c>
      <c r="J486">
        <f t="shared" si="177"/>
        <v>8.4931506849315067E-2</v>
      </c>
      <c r="K486">
        <f>IFERROR($J486/IF($A486&lt;COUNTIFS($K$1:K$1,"&lt;&gt;"),0,SUMIFS($J:$J,$B:$B,$B486,$A:$A,"&gt;="&amp;COUNTIFS($K$1:K$1,"&lt;&gt;"))),0)</f>
        <v>8.8319088319088329E-2</v>
      </c>
      <c r="L486">
        <f>IFERROR($J486/IF($A486&lt;COUNTIFS($K$1:L$1,"&lt;&gt;"),0,SUMIFS($J:$J,$B:$B,$B486,$A:$A,"&gt;="&amp;COUNTIFS($K$1:L$1,"&lt;&gt;"))),0)</f>
        <v>9.6875000000000017E-2</v>
      </c>
      <c r="M486">
        <f>IFERROR($J486/IF($A486&lt;COUNTIFS($K$1:M$1,"&lt;&gt;"),0,SUMIFS($J:$J,$B:$B,$B486,$A:$A,"&gt;="&amp;COUNTIFS($K$1:M$1,"&lt;&gt;"))),0)</f>
        <v>0.10689655172413795</v>
      </c>
      <c r="N486">
        <f>IFERROR($J486/IF($A486&lt;COUNTIFS($K$1:N$1,"&lt;&gt;"),0,SUMIFS($J:$J,$B:$B,$B486,$A:$A,"&gt;="&amp;COUNTIFS($K$1:N$1,"&lt;&gt;"))),0)</f>
        <v>0</v>
      </c>
      <c r="O486">
        <f>IFERROR($J486/IF($A486&lt;COUNTIFS($K$1:O$1,"&lt;&gt;"),0,SUMIFS($J:$J,$B:$B,$B486,$A:$A,"&gt;="&amp;COUNTIFS($K$1:O$1,"&lt;&gt;"))),0)</f>
        <v>0</v>
      </c>
      <c r="P486">
        <f>IFERROR($J486/IF($A486&lt;COUNTIFS($K$1:P$1,"&lt;&gt;"),0,SUMIFS($J:$J,$B:$B,$B486,$A:$A,"&gt;="&amp;COUNTIFS($K$1:P$1,"&lt;&gt;"))),0)</f>
        <v>0</v>
      </c>
      <c r="Q486">
        <f>IFERROR($J486/IF($A486&lt;COUNTIFS($K$1:Q$1,"&lt;&gt;"),0,SUMIFS($J:$J,$B:$B,$B486,$A:$A,"&gt;="&amp;COUNTIFS($K$1:Q$1,"&lt;&gt;"))),0)</f>
        <v>0</v>
      </c>
      <c r="R486">
        <f>IFERROR($J486/IF($A486&lt;COUNTIFS($K$1:R$1,"&lt;&gt;"),0,SUMIFS($J:$J,$B:$B,$B486,$A:$A,"&gt;="&amp;COUNTIFS($K$1:R$1,"&lt;&gt;"))),0)</f>
        <v>0</v>
      </c>
      <c r="S486">
        <f>IFERROR($J486/IF($A486&lt;COUNTIFS($K$1:S$1,"&lt;&gt;"),0,SUMIFS($J:$J,$B:$B,$B486,$A:$A,"&gt;="&amp;COUNTIFS($K$1:S$1,"&lt;&gt;"))),0)</f>
        <v>0</v>
      </c>
      <c r="T486">
        <f>IFERROR($J486/IF($A486&lt;COUNTIFS($K$1:T$1,"&lt;&gt;"),0,SUMIFS($J:$J,$B:$B,$B486,$A:$A,"&gt;="&amp;COUNTIFS($K$1:T$1,"&lt;&gt;"))),0)</f>
        <v>0</v>
      </c>
      <c r="U486">
        <f>IFERROR($J486/IF($A486&lt;COUNTIFS($K$1:U$1,"&lt;&gt;"),0,SUMIFS($J:$J,$B:$B,$B486,$A:$A,"&gt;="&amp;COUNTIFS($K$1:U$1,"&lt;&gt;"))),0)</f>
        <v>0</v>
      </c>
      <c r="V486">
        <f>IFERROR($J486/IF($A486&lt;COUNTIFS($K$1:V$1,"&lt;&gt;"),0,SUMIFS($J:$J,$B:$B,$B486,$A:$A,"&gt;="&amp;COUNTIFS($K$1:V$1,"&lt;&gt;"))),0)</f>
        <v>0</v>
      </c>
      <c r="W486">
        <f t="shared" si="178"/>
        <v>8.4931506849315067E-2</v>
      </c>
      <c r="X486">
        <f t="shared" si="158"/>
        <v>8.4931506849315067E-2</v>
      </c>
      <c r="Y486">
        <f t="shared" si="159"/>
        <v>8.4931506849315067E-2</v>
      </c>
      <c r="Z486">
        <f t="shared" si="160"/>
        <v>8.4931506849315067E-2</v>
      </c>
      <c r="AA486">
        <f t="shared" si="161"/>
        <v>0</v>
      </c>
      <c r="AB486">
        <f t="shared" si="162"/>
        <v>0</v>
      </c>
      <c r="AC486">
        <f t="shared" si="163"/>
        <v>0</v>
      </c>
      <c r="AD486">
        <f t="shared" si="164"/>
        <v>0</v>
      </c>
      <c r="AE486">
        <f t="shared" si="165"/>
        <v>0</v>
      </c>
      <c r="AF486">
        <f t="shared" si="166"/>
        <v>0</v>
      </c>
      <c r="AG486">
        <f t="shared" si="167"/>
        <v>0</v>
      </c>
      <c r="AH486">
        <f t="shared" si="168"/>
        <v>0</v>
      </c>
      <c r="AI486">
        <f t="shared" si="169"/>
        <v>0</v>
      </c>
      <c r="AJ486" s="2" t="str">
        <f t="shared" si="179"/>
        <v>344958</v>
      </c>
    </row>
    <row r="487" spans="1:36" x14ac:dyDescent="0.25">
      <c r="A487">
        <v>4</v>
      </c>
      <c r="B487" s="1">
        <v>44958</v>
      </c>
      <c r="C487" s="1">
        <f t="shared" si="170"/>
        <v>45078</v>
      </c>
      <c r="D487" s="1">
        <f t="shared" si="171"/>
        <v>44972</v>
      </c>
      <c r="E487" s="1">
        <f t="shared" si="172"/>
        <v>45078</v>
      </c>
      <c r="F487" s="1">
        <f t="shared" si="173"/>
        <v>45108</v>
      </c>
      <c r="G487" s="1">
        <f t="shared" si="174"/>
        <v>45337</v>
      </c>
      <c r="H487">
        <f t="shared" si="175"/>
        <v>365</v>
      </c>
      <c r="I487">
        <f t="shared" si="176"/>
        <v>30</v>
      </c>
      <c r="J487">
        <f t="shared" si="177"/>
        <v>8.2191780821917804E-2</v>
      </c>
      <c r="K487">
        <f>IFERROR($J487/IF($A487&lt;COUNTIFS($K$1:K$1,"&lt;&gt;"),0,SUMIFS($J:$J,$B:$B,$B487,$A:$A,"&gt;="&amp;COUNTIFS($K$1:K$1,"&lt;&gt;"))),0)</f>
        <v>8.5470085470085486E-2</v>
      </c>
      <c r="L487">
        <f>IFERROR($J487/IF($A487&lt;COUNTIFS($K$1:L$1,"&lt;&gt;"),0,SUMIFS($J:$J,$B:$B,$B487,$A:$A,"&gt;="&amp;COUNTIFS($K$1:L$1,"&lt;&gt;"))),0)</f>
        <v>9.3750000000000014E-2</v>
      </c>
      <c r="M487">
        <f>IFERROR($J487/IF($A487&lt;COUNTIFS($K$1:M$1,"&lt;&gt;"),0,SUMIFS($J:$J,$B:$B,$B487,$A:$A,"&gt;="&amp;COUNTIFS($K$1:M$1,"&lt;&gt;"))),0)</f>
        <v>0.10344827586206898</v>
      </c>
      <c r="N487">
        <f>IFERROR($J487/IF($A487&lt;COUNTIFS($K$1:N$1,"&lt;&gt;"),0,SUMIFS($J:$J,$B:$B,$B487,$A:$A,"&gt;="&amp;COUNTIFS($K$1:N$1,"&lt;&gt;"))),0)</f>
        <v>0.11583011583011585</v>
      </c>
      <c r="O487">
        <f>IFERROR($J487/IF($A487&lt;COUNTIFS($K$1:O$1,"&lt;&gt;"),0,SUMIFS($J:$J,$B:$B,$B487,$A:$A,"&gt;="&amp;COUNTIFS($K$1:O$1,"&lt;&gt;"))),0)</f>
        <v>0</v>
      </c>
      <c r="P487">
        <f>IFERROR($J487/IF($A487&lt;COUNTIFS($K$1:P$1,"&lt;&gt;"),0,SUMIFS($J:$J,$B:$B,$B487,$A:$A,"&gt;="&amp;COUNTIFS($K$1:P$1,"&lt;&gt;"))),0)</f>
        <v>0</v>
      </c>
      <c r="Q487">
        <f>IFERROR($J487/IF($A487&lt;COUNTIFS($K$1:Q$1,"&lt;&gt;"),0,SUMIFS($J:$J,$B:$B,$B487,$A:$A,"&gt;="&amp;COUNTIFS($K$1:Q$1,"&lt;&gt;"))),0)</f>
        <v>0</v>
      </c>
      <c r="R487">
        <f>IFERROR($J487/IF($A487&lt;COUNTIFS($K$1:R$1,"&lt;&gt;"),0,SUMIFS($J:$J,$B:$B,$B487,$A:$A,"&gt;="&amp;COUNTIFS($K$1:R$1,"&lt;&gt;"))),0)</f>
        <v>0</v>
      </c>
      <c r="S487">
        <f>IFERROR($J487/IF($A487&lt;COUNTIFS($K$1:S$1,"&lt;&gt;"),0,SUMIFS($J:$J,$B:$B,$B487,$A:$A,"&gt;="&amp;COUNTIFS($K$1:S$1,"&lt;&gt;"))),0)</f>
        <v>0</v>
      </c>
      <c r="T487">
        <f>IFERROR($J487/IF($A487&lt;COUNTIFS($K$1:T$1,"&lt;&gt;"),0,SUMIFS($J:$J,$B:$B,$B487,$A:$A,"&gt;="&amp;COUNTIFS($K$1:T$1,"&lt;&gt;"))),0)</f>
        <v>0</v>
      </c>
      <c r="U487">
        <f>IFERROR($J487/IF($A487&lt;COUNTIFS($K$1:U$1,"&lt;&gt;"),0,SUMIFS($J:$J,$B:$B,$B487,$A:$A,"&gt;="&amp;COUNTIFS($K$1:U$1,"&lt;&gt;"))),0)</f>
        <v>0</v>
      </c>
      <c r="V487">
        <f>IFERROR($J487/IF($A487&lt;COUNTIFS($K$1:V$1,"&lt;&gt;"),0,SUMIFS($J:$J,$B:$B,$B487,$A:$A,"&gt;="&amp;COUNTIFS($K$1:V$1,"&lt;&gt;"))),0)</f>
        <v>0</v>
      </c>
      <c r="W487">
        <f t="shared" si="178"/>
        <v>8.2191780821917804E-2</v>
      </c>
      <c r="X487">
        <f t="shared" si="158"/>
        <v>8.2191780821917804E-2</v>
      </c>
      <c r="Y487">
        <f t="shared" si="159"/>
        <v>8.2191780821917804E-2</v>
      </c>
      <c r="Z487">
        <f t="shared" si="160"/>
        <v>8.2191780821917804E-2</v>
      </c>
      <c r="AA487">
        <f t="shared" si="161"/>
        <v>8.2191780821917804E-2</v>
      </c>
      <c r="AB487">
        <f t="shared" si="162"/>
        <v>0</v>
      </c>
      <c r="AC487">
        <f t="shared" si="163"/>
        <v>0</v>
      </c>
      <c r="AD487">
        <f t="shared" si="164"/>
        <v>0</v>
      </c>
      <c r="AE487">
        <f t="shared" si="165"/>
        <v>0</v>
      </c>
      <c r="AF487">
        <f t="shared" si="166"/>
        <v>0</v>
      </c>
      <c r="AG487">
        <f t="shared" si="167"/>
        <v>0</v>
      </c>
      <c r="AH487">
        <f t="shared" si="168"/>
        <v>0</v>
      </c>
      <c r="AI487">
        <f t="shared" si="169"/>
        <v>0</v>
      </c>
      <c r="AJ487" s="2" t="str">
        <f t="shared" si="179"/>
        <v>444958</v>
      </c>
    </row>
    <row r="488" spans="1:36" x14ac:dyDescent="0.25">
      <c r="A488">
        <v>5</v>
      </c>
      <c r="B488" s="1">
        <v>44958</v>
      </c>
      <c r="C488" s="1">
        <f t="shared" si="170"/>
        <v>45108</v>
      </c>
      <c r="D488" s="1">
        <f t="shared" si="171"/>
        <v>44972</v>
      </c>
      <c r="E488" s="1">
        <f t="shared" si="172"/>
        <v>45108</v>
      </c>
      <c r="F488" s="1">
        <f t="shared" si="173"/>
        <v>45139</v>
      </c>
      <c r="G488" s="1">
        <f t="shared" si="174"/>
        <v>45337</v>
      </c>
      <c r="H488">
        <f t="shared" si="175"/>
        <v>365</v>
      </c>
      <c r="I488">
        <f t="shared" si="176"/>
        <v>31</v>
      </c>
      <c r="J488">
        <f t="shared" si="177"/>
        <v>8.4931506849315067E-2</v>
      </c>
      <c r="K488">
        <f>IFERROR($J488/IF($A488&lt;COUNTIFS($K$1:K$1,"&lt;&gt;"),0,SUMIFS($J:$J,$B:$B,$B488,$A:$A,"&gt;="&amp;COUNTIFS($K$1:K$1,"&lt;&gt;"))),0)</f>
        <v>8.8319088319088329E-2</v>
      </c>
      <c r="L488">
        <f>IFERROR($J488/IF($A488&lt;COUNTIFS($K$1:L$1,"&lt;&gt;"),0,SUMIFS($J:$J,$B:$B,$B488,$A:$A,"&gt;="&amp;COUNTIFS($K$1:L$1,"&lt;&gt;"))),0)</f>
        <v>9.6875000000000017E-2</v>
      </c>
      <c r="M488">
        <f>IFERROR($J488/IF($A488&lt;COUNTIFS($K$1:M$1,"&lt;&gt;"),0,SUMIFS($J:$J,$B:$B,$B488,$A:$A,"&gt;="&amp;COUNTIFS($K$1:M$1,"&lt;&gt;"))),0)</f>
        <v>0.10689655172413795</v>
      </c>
      <c r="N488">
        <f>IFERROR($J488/IF($A488&lt;COUNTIFS($K$1:N$1,"&lt;&gt;"),0,SUMIFS($J:$J,$B:$B,$B488,$A:$A,"&gt;="&amp;COUNTIFS($K$1:N$1,"&lt;&gt;"))),0)</f>
        <v>0.11969111969111972</v>
      </c>
      <c r="O488">
        <f>IFERROR($J488/IF($A488&lt;COUNTIFS($K$1:O$1,"&lt;&gt;"),0,SUMIFS($J:$J,$B:$B,$B488,$A:$A,"&gt;="&amp;COUNTIFS($K$1:O$1,"&lt;&gt;"))),0)</f>
        <v>0.13537117903930135</v>
      </c>
      <c r="P488">
        <f>IFERROR($J488/IF($A488&lt;COUNTIFS($K$1:P$1,"&lt;&gt;"),0,SUMIFS($J:$J,$B:$B,$B488,$A:$A,"&gt;="&amp;COUNTIFS($K$1:P$1,"&lt;&gt;"))),0)</f>
        <v>0</v>
      </c>
      <c r="Q488">
        <f>IFERROR($J488/IF($A488&lt;COUNTIFS($K$1:Q$1,"&lt;&gt;"),0,SUMIFS($J:$J,$B:$B,$B488,$A:$A,"&gt;="&amp;COUNTIFS($K$1:Q$1,"&lt;&gt;"))),0)</f>
        <v>0</v>
      </c>
      <c r="R488">
        <f>IFERROR($J488/IF($A488&lt;COUNTIFS($K$1:R$1,"&lt;&gt;"),0,SUMIFS($J:$J,$B:$B,$B488,$A:$A,"&gt;="&amp;COUNTIFS($K$1:R$1,"&lt;&gt;"))),0)</f>
        <v>0</v>
      </c>
      <c r="S488">
        <f>IFERROR($J488/IF($A488&lt;COUNTIFS($K$1:S$1,"&lt;&gt;"),0,SUMIFS($J:$J,$B:$B,$B488,$A:$A,"&gt;="&amp;COUNTIFS($K$1:S$1,"&lt;&gt;"))),0)</f>
        <v>0</v>
      </c>
      <c r="T488">
        <f>IFERROR($J488/IF($A488&lt;COUNTIFS($K$1:T$1,"&lt;&gt;"),0,SUMIFS($J:$J,$B:$B,$B488,$A:$A,"&gt;="&amp;COUNTIFS($K$1:T$1,"&lt;&gt;"))),0)</f>
        <v>0</v>
      </c>
      <c r="U488">
        <f>IFERROR($J488/IF($A488&lt;COUNTIFS($K$1:U$1,"&lt;&gt;"),0,SUMIFS($J:$J,$B:$B,$B488,$A:$A,"&gt;="&amp;COUNTIFS($K$1:U$1,"&lt;&gt;"))),0)</f>
        <v>0</v>
      </c>
      <c r="V488">
        <f>IFERROR($J488/IF($A488&lt;COUNTIFS($K$1:V$1,"&lt;&gt;"),0,SUMIFS($J:$J,$B:$B,$B488,$A:$A,"&gt;="&amp;COUNTIFS($K$1:V$1,"&lt;&gt;"))),0)</f>
        <v>0</v>
      </c>
      <c r="W488">
        <f t="shared" si="178"/>
        <v>8.4931506849315067E-2</v>
      </c>
      <c r="X488">
        <f t="shared" si="158"/>
        <v>8.4931506849315067E-2</v>
      </c>
      <c r="Y488">
        <f t="shared" si="159"/>
        <v>8.4931506849315067E-2</v>
      </c>
      <c r="Z488">
        <f t="shared" si="160"/>
        <v>8.4931506849315067E-2</v>
      </c>
      <c r="AA488">
        <f t="shared" si="161"/>
        <v>8.4931506849315067E-2</v>
      </c>
      <c r="AB488">
        <f t="shared" si="162"/>
        <v>8.4931506849315067E-2</v>
      </c>
      <c r="AC488">
        <f t="shared" si="163"/>
        <v>0</v>
      </c>
      <c r="AD488">
        <f t="shared" si="164"/>
        <v>0</v>
      </c>
      <c r="AE488">
        <f t="shared" si="165"/>
        <v>0</v>
      </c>
      <c r="AF488">
        <f t="shared" si="166"/>
        <v>0</v>
      </c>
      <c r="AG488">
        <f t="shared" si="167"/>
        <v>0</v>
      </c>
      <c r="AH488">
        <f t="shared" si="168"/>
        <v>0</v>
      </c>
      <c r="AI488">
        <f t="shared" si="169"/>
        <v>0</v>
      </c>
      <c r="AJ488" s="2" t="str">
        <f t="shared" si="179"/>
        <v>544958</v>
      </c>
    </row>
    <row r="489" spans="1:36" x14ac:dyDescent="0.25">
      <c r="A489">
        <v>6</v>
      </c>
      <c r="B489" s="1">
        <v>44958</v>
      </c>
      <c r="C489" s="1">
        <f t="shared" si="170"/>
        <v>45139</v>
      </c>
      <c r="D489" s="1">
        <f t="shared" si="171"/>
        <v>44972</v>
      </c>
      <c r="E489" s="1">
        <f t="shared" si="172"/>
        <v>45139</v>
      </c>
      <c r="F489" s="1">
        <f t="shared" si="173"/>
        <v>45170</v>
      </c>
      <c r="G489" s="1">
        <f t="shared" si="174"/>
        <v>45337</v>
      </c>
      <c r="H489">
        <f t="shared" si="175"/>
        <v>365</v>
      </c>
      <c r="I489">
        <f t="shared" si="176"/>
        <v>31</v>
      </c>
      <c r="J489">
        <f t="shared" si="177"/>
        <v>8.4931506849315067E-2</v>
      </c>
      <c r="K489">
        <f>IFERROR($J489/IF($A489&lt;COUNTIFS($K$1:K$1,"&lt;&gt;"),0,SUMIFS($J:$J,$B:$B,$B489,$A:$A,"&gt;="&amp;COUNTIFS($K$1:K$1,"&lt;&gt;"))),0)</f>
        <v>8.8319088319088329E-2</v>
      </c>
      <c r="L489">
        <f>IFERROR($J489/IF($A489&lt;COUNTIFS($K$1:L$1,"&lt;&gt;"),0,SUMIFS($J:$J,$B:$B,$B489,$A:$A,"&gt;="&amp;COUNTIFS($K$1:L$1,"&lt;&gt;"))),0)</f>
        <v>9.6875000000000017E-2</v>
      </c>
      <c r="M489">
        <f>IFERROR($J489/IF($A489&lt;COUNTIFS($K$1:M$1,"&lt;&gt;"),0,SUMIFS($J:$J,$B:$B,$B489,$A:$A,"&gt;="&amp;COUNTIFS($K$1:M$1,"&lt;&gt;"))),0)</f>
        <v>0.10689655172413795</v>
      </c>
      <c r="N489">
        <f>IFERROR($J489/IF($A489&lt;COUNTIFS($K$1:N$1,"&lt;&gt;"),0,SUMIFS($J:$J,$B:$B,$B489,$A:$A,"&gt;="&amp;COUNTIFS($K$1:N$1,"&lt;&gt;"))),0)</f>
        <v>0.11969111969111972</v>
      </c>
      <c r="O489">
        <f>IFERROR($J489/IF($A489&lt;COUNTIFS($K$1:O$1,"&lt;&gt;"),0,SUMIFS($J:$J,$B:$B,$B489,$A:$A,"&gt;="&amp;COUNTIFS($K$1:O$1,"&lt;&gt;"))),0)</f>
        <v>0.13537117903930135</v>
      </c>
      <c r="P489">
        <f>IFERROR($J489/IF($A489&lt;COUNTIFS($K$1:P$1,"&lt;&gt;"),0,SUMIFS($J:$J,$B:$B,$B489,$A:$A,"&gt;="&amp;COUNTIFS($K$1:P$1,"&lt;&gt;"))),0)</f>
        <v>0.1565656565656566</v>
      </c>
      <c r="Q489">
        <f>IFERROR($J489/IF($A489&lt;COUNTIFS($K$1:Q$1,"&lt;&gt;"),0,SUMIFS($J:$J,$B:$B,$B489,$A:$A,"&gt;="&amp;COUNTIFS($K$1:Q$1,"&lt;&gt;"))),0)</f>
        <v>0</v>
      </c>
      <c r="R489">
        <f>IFERROR($J489/IF($A489&lt;COUNTIFS($K$1:R$1,"&lt;&gt;"),0,SUMIFS($J:$J,$B:$B,$B489,$A:$A,"&gt;="&amp;COUNTIFS($K$1:R$1,"&lt;&gt;"))),0)</f>
        <v>0</v>
      </c>
      <c r="S489">
        <f>IFERROR($J489/IF($A489&lt;COUNTIFS($K$1:S$1,"&lt;&gt;"),0,SUMIFS($J:$J,$B:$B,$B489,$A:$A,"&gt;="&amp;COUNTIFS($K$1:S$1,"&lt;&gt;"))),0)</f>
        <v>0</v>
      </c>
      <c r="T489">
        <f>IFERROR($J489/IF($A489&lt;COUNTIFS($K$1:T$1,"&lt;&gt;"),0,SUMIFS($J:$J,$B:$B,$B489,$A:$A,"&gt;="&amp;COUNTIFS($K$1:T$1,"&lt;&gt;"))),0)</f>
        <v>0</v>
      </c>
      <c r="U489">
        <f>IFERROR($J489/IF($A489&lt;COUNTIFS($K$1:U$1,"&lt;&gt;"),0,SUMIFS($J:$J,$B:$B,$B489,$A:$A,"&gt;="&amp;COUNTIFS($K$1:U$1,"&lt;&gt;"))),0)</f>
        <v>0</v>
      </c>
      <c r="V489">
        <f>IFERROR($J489/IF($A489&lt;COUNTIFS($K$1:V$1,"&lt;&gt;"),0,SUMIFS($J:$J,$B:$B,$B489,$A:$A,"&gt;="&amp;COUNTIFS($K$1:V$1,"&lt;&gt;"))),0)</f>
        <v>0</v>
      </c>
      <c r="W489">
        <f t="shared" si="178"/>
        <v>8.4931506849315067E-2</v>
      </c>
      <c r="X489">
        <f t="shared" si="158"/>
        <v>8.4931506849315067E-2</v>
      </c>
      <c r="Y489">
        <f t="shared" si="159"/>
        <v>8.4931506849315067E-2</v>
      </c>
      <c r="Z489">
        <f t="shared" si="160"/>
        <v>8.4931506849315067E-2</v>
      </c>
      <c r="AA489">
        <f t="shared" si="161"/>
        <v>8.4931506849315067E-2</v>
      </c>
      <c r="AB489">
        <f t="shared" si="162"/>
        <v>8.4931506849315067E-2</v>
      </c>
      <c r="AC489">
        <f t="shared" si="163"/>
        <v>8.4931506849315067E-2</v>
      </c>
      <c r="AD489">
        <f t="shared" si="164"/>
        <v>0</v>
      </c>
      <c r="AE489">
        <f t="shared" si="165"/>
        <v>0</v>
      </c>
      <c r="AF489">
        <f t="shared" si="166"/>
        <v>0</v>
      </c>
      <c r="AG489">
        <f t="shared" si="167"/>
        <v>0</v>
      </c>
      <c r="AH489">
        <f t="shared" si="168"/>
        <v>0</v>
      </c>
      <c r="AI489">
        <f t="shared" si="169"/>
        <v>0</v>
      </c>
      <c r="AJ489" s="2" t="str">
        <f t="shared" si="179"/>
        <v>644958</v>
      </c>
    </row>
    <row r="490" spans="1:36" x14ac:dyDescent="0.25">
      <c r="A490">
        <v>7</v>
      </c>
      <c r="B490" s="1">
        <v>44958</v>
      </c>
      <c r="C490" s="1">
        <f t="shared" si="170"/>
        <v>45170</v>
      </c>
      <c r="D490" s="1">
        <f t="shared" si="171"/>
        <v>44972</v>
      </c>
      <c r="E490" s="1">
        <f t="shared" si="172"/>
        <v>45170</v>
      </c>
      <c r="F490" s="1">
        <f t="shared" si="173"/>
        <v>45200</v>
      </c>
      <c r="G490" s="1">
        <f t="shared" si="174"/>
        <v>45337</v>
      </c>
      <c r="H490">
        <f t="shared" si="175"/>
        <v>365</v>
      </c>
      <c r="I490">
        <f t="shared" si="176"/>
        <v>30</v>
      </c>
      <c r="J490">
        <f t="shared" si="177"/>
        <v>8.2191780821917804E-2</v>
      </c>
      <c r="K490">
        <f>IFERROR($J490/IF($A490&lt;COUNTIFS($K$1:K$1,"&lt;&gt;"),0,SUMIFS($J:$J,$B:$B,$B490,$A:$A,"&gt;="&amp;COUNTIFS($K$1:K$1,"&lt;&gt;"))),0)</f>
        <v>8.5470085470085486E-2</v>
      </c>
      <c r="L490">
        <f>IFERROR($J490/IF($A490&lt;COUNTIFS($K$1:L$1,"&lt;&gt;"),0,SUMIFS($J:$J,$B:$B,$B490,$A:$A,"&gt;="&amp;COUNTIFS($K$1:L$1,"&lt;&gt;"))),0)</f>
        <v>9.3750000000000014E-2</v>
      </c>
      <c r="M490">
        <f>IFERROR($J490/IF($A490&lt;COUNTIFS($K$1:M$1,"&lt;&gt;"),0,SUMIFS($J:$J,$B:$B,$B490,$A:$A,"&gt;="&amp;COUNTIFS($K$1:M$1,"&lt;&gt;"))),0)</f>
        <v>0.10344827586206898</v>
      </c>
      <c r="N490">
        <f>IFERROR($J490/IF($A490&lt;COUNTIFS($K$1:N$1,"&lt;&gt;"),0,SUMIFS($J:$J,$B:$B,$B490,$A:$A,"&gt;="&amp;COUNTIFS($K$1:N$1,"&lt;&gt;"))),0)</f>
        <v>0.11583011583011585</v>
      </c>
      <c r="O490">
        <f>IFERROR($J490/IF($A490&lt;COUNTIFS($K$1:O$1,"&lt;&gt;"),0,SUMIFS($J:$J,$B:$B,$B490,$A:$A,"&gt;="&amp;COUNTIFS($K$1:O$1,"&lt;&gt;"))),0)</f>
        <v>0.1310043668122271</v>
      </c>
      <c r="P490">
        <f>IFERROR($J490/IF($A490&lt;COUNTIFS($K$1:P$1,"&lt;&gt;"),0,SUMIFS($J:$J,$B:$B,$B490,$A:$A,"&gt;="&amp;COUNTIFS($K$1:P$1,"&lt;&gt;"))),0)</f>
        <v>0.15151515151515155</v>
      </c>
      <c r="Q490">
        <f>IFERROR($J490/IF($A490&lt;COUNTIFS($K$1:Q$1,"&lt;&gt;"),0,SUMIFS($J:$J,$B:$B,$B490,$A:$A,"&gt;="&amp;COUNTIFS($K$1:Q$1,"&lt;&gt;"))),0)</f>
        <v>0.17964071856287425</v>
      </c>
      <c r="R490">
        <f>IFERROR($J490/IF($A490&lt;COUNTIFS($K$1:R$1,"&lt;&gt;"),0,SUMIFS($J:$J,$B:$B,$B490,$A:$A,"&gt;="&amp;COUNTIFS($K$1:R$1,"&lt;&gt;"))),0)</f>
        <v>0</v>
      </c>
      <c r="S490">
        <f>IFERROR($J490/IF($A490&lt;COUNTIFS($K$1:S$1,"&lt;&gt;"),0,SUMIFS($J:$J,$B:$B,$B490,$A:$A,"&gt;="&amp;COUNTIFS($K$1:S$1,"&lt;&gt;"))),0)</f>
        <v>0</v>
      </c>
      <c r="T490">
        <f>IFERROR($J490/IF($A490&lt;COUNTIFS($K$1:T$1,"&lt;&gt;"),0,SUMIFS($J:$J,$B:$B,$B490,$A:$A,"&gt;="&amp;COUNTIFS($K$1:T$1,"&lt;&gt;"))),0)</f>
        <v>0</v>
      </c>
      <c r="U490">
        <f>IFERROR($J490/IF($A490&lt;COUNTIFS($K$1:U$1,"&lt;&gt;"),0,SUMIFS($J:$J,$B:$B,$B490,$A:$A,"&gt;="&amp;COUNTIFS($K$1:U$1,"&lt;&gt;"))),0)</f>
        <v>0</v>
      </c>
      <c r="V490">
        <f>IFERROR($J490/IF($A490&lt;COUNTIFS($K$1:V$1,"&lt;&gt;"),0,SUMIFS($J:$J,$B:$B,$B490,$A:$A,"&gt;="&amp;COUNTIFS($K$1:V$1,"&lt;&gt;"))),0)</f>
        <v>0</v>
      </c>
      <c r="W490">
        <f t="shared" si="178"/>
        <v>8.2191780821917804E-2</v>
      </c>
      <c r="X490">
        <f t="shared" si="158"/>
        <v>8.2191780821917804E-2</v>
      </c>
      <c r="Y490">
        <f t="shared" si="159"/>
        <v>8.2191780821917804E-2</v>
      </c>
      <c r="Z490">
        <f t="shared" si="160"/>
        <v>8.2191780821917804E-2</v>
      </c>
      <c r="AA490">
        <f t="shared" si="161"/>
        <v>8.2191780821917804E-2</v>
      </c>
      <c r="AB490">
        <f t="shared" si="162"/>
        <v>8.2191780821917804E-2</v>
      </c>
      <c r="AC490">
        <f t="shared" si="163"/>
        <v>8.2191780821917804E-2</v>
      </c>
      <c r="AD490">
        <f t="shared" si="164"/>
        <v>8.2191780821917804E-2</v>
      </c>
      <c r="AE490">
        <f t="shared" si="165"/>
        <v>0</v>
      </c>
      <c r="AF490">
        <f t="shared" si="166"/>
        <v>0</v>
      </c>
      <c r="AG490">
        <f t="shared" si="167"/>
        <v>0</v>
      </c>
      <c r="AH490">
        <f t="shared" si="168"/>
        <v>0</v>
      </c>
      <c r="AI490">
        <f t="shared" si="169"/>
        <v>0</v>
      </c>
      <c r="AJ490" s="2" t="str">
        <f t="shared" si="179"/>
        <v>744958</v>
      </c>
    </row>
    <row r="491" spans="1:36" x14ac:dyDescent="0.25">
      <c r="A491">
        <v>8</v>
      </c>
      <c r="B491" s="1">
        <v>44958</v>
      </c>
      <c r="C491" s="1">
        <f t="shared" si="170"/>
        <v>45200</v>
      </c>
      <c r="D491" s="1">
        <f t="shared" si="171"/>
        <v>44972</v>
      </c>
      <c r="E491" s="1">
        <f t="shared" si="172"/>
        <v>45200</v>
      </c>
      <c r="F491" s="1">
        <f t="shared" si="173"/>
        <v>45231</v>
      </c>
      <c r="G491" s="1">
        <f t="shared" si="174"/>
        <v>45337</v>
      </c>
      <c r="H491">
        <f t="shared" si="175"/>
        <v>365</v>
      </c>
      <c r="I491">
        <f t="shared" si="176"/>
        <v>31</v>
      </c>
      <c r="J491">
        <f t="shared" si="177"/>
        <v>8.4931506849315067E-2</v>
      </c>
      <c r="K491">
        <f>IFERROR($J491/IF($A491&lt;COUNTIFS($K$1:K$1,"&lt;&gt;"),0,SUMIFS($J:$J,$B:$B,$B491,$A:$A,"&gt;="&amp;COUNTIFS($K$1:K$1,"&lt;&gt;"))),0)</f>
        <v>8.8319088319088329E-2</v>
      </c>
      <c r="L491">
        <f>IFERROR($J491/IF($A491&lt;COUNTIFS($K$1:L$1,"&lt;&gt;"),0,SUMIFS($J:$J,$B:$B,$B491,$A:$A,"&gt;="&amp;COUNTIFS($K$1:L$1,"&lt;&gt;"))),0)</f>
        <v>9.6875000000000017E-2</v>
      </c>
      <c r="M491">
        <f>IFERROR($J491/IF($A491&lt;COUNTIFS($K$1:M$1,"&lt;&gt;"),0,SUMIFS($J:$J,$B:$B,$B491,$A:$A,"&gt;="&amp;COUNTIFS($K$1:M$1,"&lt;&gt;"))),0)</f>
        <v>0.10689655172413795</v>
      </c>
      <c r="N491">
        <f>IFERROR($J491/IF($A491&lt;COUNTIFS($K$1:N$1,"&lt;&gt;"),0,SUMIFS($J:$J,$B:$B,$B491,$A:$A,"&gt;="&amp;COUNTIFS($K$1:N$1,"&lt;&gt;"))),0)</f>
        <v>0.11969111969111972</v>
      </c>
      <c r="O491">
        <f>IFERROR($J491/IF($A491&lt;COUNTIFS($K$1:O$1,"&lt;&gt;"),0,SUMIFS($J:$J,$B:$B,$B491,$A:$A,"&gt;="&amp;COUNTIFS($K$1:O$1,"&lt;&gt;"))),0)</f>
        <v>0.13537117903930135</v>
      </c>
      <c r="P491">
        <f>IFERROR($J491/IF($A491&lt;COUNTIFS($K$1:P$1,"&lt;&gt;"),0,SUMIFS($J:$J,$B:$B,$B491,$A:$A,"&gt;="&amp;COUNTIFS($K$1:P$1,"&lt;&gt;"))),0)</f>
        <v>0.1565656565656566</v>
      </c>
      <c r="Q491">
        <f>IFERROR($J491/IF($A491&lt;COUNTIFS($K$1:Q$1,"&lt;&gt;"),0,SUMIFS($J:$J,$B:$B,$B491,$A:$A,"&gt;="&amp;COUNTIFS($K$1:Q$1,"&lt;&gt;"))),0)</f>
        <v>0.18562874251497008</v>
      </c>
      <c r="R491">
        <f>IFERROR($J491/IF($A491&lt;COUNTIFS($K$1:R$1,"&lt;&gt;"),0,SUMIFS($J:$J,$B:$B,$B491,$A:$A,"&gt;="&amp;COUNTIFS($K$1:R$1,"&lt;&gt;"))),0)</f>
        <v>0.22627737226277375</v>
      </c>
      <c r="S491">
        <f>IFERROR($J491/IF($A491&lt;COUNTIFS($K$1:S$1,"&lt;&gt;"),0,SUMIFS($J:$J,$B:$B,$B491,$A:$A,"&gt;="&amp;COUNTIFS($K$1:S$1,"&lt;&gt;"))),0)</f>
        <v>0</v>
      </c>
      <c r="T491">
        <f>IFERROR($J491/IF($A491&lt;COUNTIFS($K$1:T$1,"&lt;&gt;"),0,SUMIFS($J:$J,$B:$B,$B491,$A:$A,"&gt;="&amp;COUNTIFS($K$1:T$1,"&lt;&gt;"))),0)</f>
        <v>0</v>
      </c>
      <c r="U491">
        <f>IFERROR($J491/IF($A491&lt;COUNTIFS($K$1:U$1,"&lt;&gt;"),0,SUMIFS($J:$J,$B:$B,$B491,$A:$A,"&gt;="&amp;COUNTIFS($K$1:U$1,"&lt;&gt;"))),0)</f>
        <v>0</v>
      </c>
      <c r="V491">
        <f>IFERROR($J491/IF($A491&lt;COUNTIFS($K$1:V$1,"&lt;&gt;"),0,SUMIFS($J:$J,$B:$B,$B491,$A:$A,"&gt;="&amp;COUNTIFS($K$1:V$1,"&lt;&gt;"))),0)</f>
        <v>0</v>
      </c>
      <c r="W491">
        <f t="shared" si="178"/>
        <v>8.4931506849315067E-2</v>
      </c>
      <c r="X491">
        <f t="shared" si="158"/>
        <v>8.4931506849315067E-2</v>
      </c>
      <c r="Y491">
        <f t="shared" si="159"/>
        <v>8.4931506849315067E-2</v>
      </c>
      <c r="Z491">
        <f t="shared" si="160"/>
        <v>8.4931506849315067E-2</v>
      </c>
      <c r="AA491">
        <f t="shared" si="161"/>
        <v>8.4931506849315067E-2</v>
      </c>
      <c r="AB491">
        <f t="shared" si="162"/>
        <v>8.4931506849315067E-2</v>
      </c>
      <c r="AC491">
        <f t="shared" si="163"/>
        <v>8.4931506849315067E-2</v>
      </c>
      <c r="AD491">
        <f t="shared" si="164"/>
        <v>8.4931506849315067E-2</v>
      </c>
      <c r="AE491">
        <f t="shared" si="165"/>
        <v>8.4931506849315067E-2</v>
      </c>
      <c r="AF491">
        <f t="shared" si="166"/>
        <v>0</v>
      </c>
      <c r="AG491">
        <f t="shared" si="167"/>
        <v>0</v>
      </c>
      <c r="AH491">
        <f t="shared" si="168"/>
        <v>0</v>
      </c>
      <c r="AI491">
        <f t="shared" si="169"/>
        <v>0</v>
      </c>
      <c r="AJ491" s="2" t="str">
        <f t="shared" si="179"/>
        <v>844958</v>
      </c>
    </row>
    <row r="492" spans="1:36" x14ac:dyDescent="0.25">
      <c r="A492">
        <v>9</v>
      </c>
      <c r="B492" s="1">
        <v>44958</v>
      </c>
      <c r="C492" s="1">
        <f t="shared" si="170"/>
        <v>45231</v>
      </c>
      <c r="D492" s="1">
        <f t="shared" si="171"/>
        <v>44972</v>
      </c>
      <c r="E492" s="1">
        <f t="shared" si="172"/>
        <v>45231</v>
      </c>
      <c r="F492" s="1">
        <f t="shared" si="173"/>
        <v>45261</v>
      </c>
      <c r="G492" s="1">
        <f t="shared" si="174"/>
        <v>45337</v>
      </c>
      <c r="H492">
        <f t="shared" si="175"/>
        <v>365</v>
      </c>
      <c r="I492">
        <f t="shared" si="176"/>
        <v>30</v>
      </c>
      <c r="J492">
        <f t="shared" si="177"/>
        <v>8.2191780821917804E-2</v>
      </c>
      <c r="K492">
        <f>IFERROR($J492/IF($A492&lt;COUNTIFS($K$1:K$1,"&lt;&gt;"),0,SUMIFS($J:$J,$B:$B,$B492,$A:$A,"&gt;="&amp;COUNTIFS($K$1:K$1,"&lt;&gt;"))),0)</f>
        <v>8.5470085470085486E-2</v>
      </c>
      <c r="L492">
        <f>IFERROR($J492/IF($A492&lt;COUNTIFS($K$1:L$1,"&lt;&gt;"),0,SUMIFS($J:$J,$B:$B,$B492,$A:$A,"&gt;="&amp;COUNTIFS($K$1:L$1,"&lt;&gt;"))),0)</f>
        <v>9.3750000000000014E-2</v>
      </c>
      <c r="M492">
        <f>IFERROR($J492/IF($A492&lt;COUNTIFS($K$1:M$1,"&lt;&gt;"),0,SUMIFS($J:$J,$B:$B,$B492,$A:$A,"&gt;="&amp;COUNTIFS($K$1:M$1,"&lt;&gt;"))),0)</f>
        <v>0.10344827586206898</v>
      </c>
      <c r="N492">
        <f>IFERROR($J492/IF($A492&lt;COUNTIFS($K$1:N$1,"&lt;&gt;"),0,SUMIFS($J:$J,$B:$B,$B492,$A:$A,"&gt;="&amp;COUNTIFS($K$1:N$1,"&lt;&gt;"))),0)</f>
        <v>0.11583011583011585</v>
      </c>
      <c r="O492">
        <f>IFERROR($J492/IF($A492&lt;COUNTIFS($K$1:O$1,"&lt;&gt;"),0,SUMIFS($J:$J,$B:$B,$B492,$A:$A,"&gt;="&amp;COUNTIFS($K$1:O$1,"&lt;&gt;"))),0)</f>
        <v>0.1310043668122271</v>
      </c>
      <c r="P492">
        <f>IFERROR($J492/IF($A492&lt;COUNTIFS($K$1:P$1,"&lt;&gt;"),0,SUMIFS($J:$J,$B:$B,$B492,$A:$A,"&gt;="&amp;COUNTIFS($K$1:P$1,"&lt;&gt;"))),0)</f>
        <v>0.15151515151515155</v>
      </c>
      <c r="Q492">
        <f>IFERROR($J492/IF($A492&lt;COUNTIFS($K$1:Q$1,"&lt;&gt;"),0,SUMIFS($J:$J,$B:$B,$B492,$A:$A,"&gt;="&amp;COUNTIFS($K$1:Q$1,"&lt;&gt;"))),0)</f>
        <v>0.17964071856287425</v>
      </c>
      <c r="R492">
        <f>IFERROR($J492/IF($A492&lt;COUNTIFS($K$1:R$1,"&lt;&gt;"),0,SUMIFS($J:$J,$B:$B,$B492,$A:$A,"&gt;="&amp;COUNTIFS($K$1:R$1,"&lt;&gt;"))),0)</f>
        <v>0.21897810218978103</v>
      </c>
      <c r="S492">
        <f>IFERROR($J492/IF($A492&lt;COUNTIFS($K$1:S$1,"&lt;&gt;"),0,SUMIFS($J:$J,$B:$B,$B492,$A:$A,"&gt;="&amp;COUNTIFS($K$1:S$1,"&lt;&gt;"))),0)</f>
        <v>0.28301886792452829</v>
      </c>
      <c r="T492">
        <f>IFERROR($J492/IF($A492&lt;COUNTIFS($K$1:T$1,"&lt;&gt;"),0,SUMIFS($J:$J,$B:$B,$B492,$A:$A,"&gt;="&amp;COUNTIFS($K$1:T$1,"&lt;&gt;"))),0)</f>
        <v>0</v>
      </c>
      <c r="U492">
        <f>IFERROR($J492/IF($A492&lt;COUNTIFS($K$1:U$1,"&lt;&gt;"),0,SUMIFS($J:$J,$B:$B,$B492,$A:$A,"&gt;="&amp;COUNTIFS($K$1:U$1,"&lt;&gt;"))),0)</f>
        <v>0</v>
      </c>
      <c r="V492">
        <f>IFERROR($J492/IF($A492&lt;COUNTIFS($K$1:V$1,"&lt;&gt;"),0,SUMIFS($J:$J,$B:$B,$B492,$A:$A,"&gt;="&amp;COUNTIFS($K$1:V$1,"&lt;&gt;"))),0)</f>
        <v>0</v>
      </c>
      <c r="W492">
        <f t="shared" si="178"/>
        <v>8.2191780821917804E-2</v>
      </c>
      <c r="X492">
        <f t="shared" si="158"/>
        <v>8.2191780821917804E-2</v>
      </c>
      <c r="Y492">
        <f t="shared" si="159"/>
        <v>8.2191780821917804E-2</v>
      </c>
      <c r="Z492">
        <f t="shared" si="160"/>
        <v>8.2191780821917804E-2</v>
      </c>
      <c r="AA492">
        <f t="shared" si="161"/>
        <v>8.2191780821917804E-2</v>
      </c>
      <c r="AB492">
        <f t="shared" si="162"/>
        <v>8.2191780821917804E-2</v>
      </c>
      <c r="AC492">
        <f t="shared" si="163"/>
        <v>8.2191780821917804E-2</v>
      </c>
      <c r="AD492">
        <f t="shared" si="164"/>
        <v>8.2191780821917804E-2</v>
      </c>
      <c r="AE492">
        <f t="shared" si="165"/>
        <v>8.2191780821917804E-2</v>
      </c>
      <c r="AF492">
        <f t="shared" si="166"/>
        <v>8.2191780821917804E-2</v>
      </c>
      <c r="AG492">
        <f t="shared" si="167"/>
        <v>0</v>
      </c>
      <c r="AH492">
        <f t="shared" si="168"/>
        <v>0</v>
      </c>
      <c r="AI492">
        <f t="shared" si="169"/>
        <v>0</v>
      </c>
      <c r="AJ492" s="2" t="str">
        <f t="shared" si="179"/>
        <v>944958</v>
      </c>
    </row>
    <row r="493" spans="1:36" x14ac:dyDescent="0.25">
      <c r="A493">
        <v>10</v>
      </c>
      <c r="B493" s="1">
        <v>44958</v>
      </c>
      <c r="C493" s="1">
        <f t="shared" si="170"/>
        <v>45261</v>
      </c>
      <c r="D493" s="1">
        <f t="shared" si="171"/>
        <v>44972</v>
      </c>
      <c r="E493" s="1">
        <f t="shared" si="172"/>
        <v>45261</v>
      </c>
      <c r="F493" s="1">
        <f t="shared" si="173"/>
        <v>45292</v>
      </c>
      <c r="G493" s="1">
        <f t="shared" si="174"/>
        <v>45337</v>
      </c>
      <c r="H493">
        <f t="shared" si="175"/>
        <v>365</v>
      </c>
      <c r="I493">
        <f t="shared" si="176"/>
        <v>31</v>
      </c>
      <c r="J493">
        <f t="shared" si="177"/>
        <v>8.4931506849315067E-2</v>
      </c>
      <c r="K493">
        <f>IFERROR($J493/IF($A493&lt;COUNTIFS($K$1:K$1,"&lt;&gt;"),0,SUMIFS($J:$J,$B:$B,$B493,$A:$A,"&gt;="&amp;COUNTIFS($K$1:K$1,"&lt;&gt;"))),0)</f>
        <v>8.8319088319088329E-2</v>
      </c>
      <c r="L493">
        <f>IFERROR($J493/IF($A493&lt;COUNTIFS($K$1:L$1,"&lt;&gt;"),0,SUMIFS($J:$J,$B:$B,$B493,$A:$A,"&gt;="&amp;COUNTIFS($K$1:L$1,"&lt;&gt;"))),0)</f>
        <v>9.6875000000000017E-2</v>
      </c>
      <c r="M493">
        <f>IFERROR($J493/IF($A493&lt;COUNTIFS($K$1:M$1,"&lt;&gt;"),0,SUMIFS($J:$J,$B:$B,$B493,$A:$A,"&gt;="&amp;COUNTIFS($K$1:M$1,"&lt;&gt;"))),0)</f>
        <v>0.10689655172413795</v>
      </c>
      <c r="N493">
        <f>IFERROR($J493/IF($A493&lt;COUNTIFS($K$1:N$1,"&lt;&gt;"),0,SUMIFS($J:$J,$B:$B,$B493,$A:$A,"&gt;="&amp;COUNTIFS($K$1:N$1,"&lt;&gt;"))),0)</f>
        <v>0.11969111969111972</v>
      </c>
      <c r="O493">
        <f>IFERROR($J493/IF($A493&lt;COUNTIFS($K$1:O$1,"&lt;&gt;"),0,SUMIFS($J:$J,$B:$B,$B493,$A:$A,"&gt;="&amp;COUNTIFS($K$1:O$1,"&lt;&gt;"))),0)</f>
        <v>0.13537117903930135</v>
      </c>
      <c r="P493">
        <f>IFERROR($J493/IF($A493&lt;COUNTIFS($K$1:P$1,"&lt;&gt;"),0,SUMIFS($J:$J,$B:$B,$B493,$A:$A,"&gt;="&amp;COUNTIFS($K$1:P$1,"&lt;&gt;"))),0)</f>
        <v>0.1565656565656566</v>
      </c>
      <c r="Q493">
        <f>IFERROR($J493/IF($A493&lt;COUNTIFS($K$1:Q$1,"&lt;&gt;"),0,SUMIFS($J:$J,$B:$B,$B493,$A:$A,"&gt;="&amp;COUNTIFS($K$1:Q$1,"&lt;&gt;"))),0)</f>
        <v>0.18562874251497008</v>
      </c>
      <c r="R493">
        <f>IFERROR($J493/IF($A493&lt;COUNTIFS($K$1:R$1,"&lt;&gt;"),0,SUMIFS($J:$J,$B:$B,$B493,$A:$A,"&gt;="&amp;COUNTIFS($K$1:R$1,"&lt;&gt;"))),0)</f>
        <v>0.22627737226277375</v>
      </c>
      <c r="S493">
        <f>IFERROR($J493/IF($A493&lt;COUNTIFS($K$1:S$1,"&lt;&gt;"),0,SUMIFS($J:$J,$B:$B,$B493,$A:$A,"&gt;="&amp;COUNTIFS($K$1:S$1,"&lt;&gt;"))),0)</f>
        <v>0.29245283018867929</v>
      </c>
      <c r="T493">
        <f>IFERROR($J493/IF($A493&lt;COUNTIFS($K$1:T$1,"&lt;&gt;"),0,SUMIFS($J:$J,$B:$B,$B493,$A:$A,"&gt;="&amp;COUNTIFS($K$1:T$1,"&lt;&gt;"))),0)</f>
        <v>0.40789473684210525</v>
      </c>
      <c r="U493">
        <f>IFERROR($J493/IF($A493&lt;COUNTIFS($K$1:U$1,"&lt;&gt;"),0,SUMIFS($J:$J,$B:$B,$B493,$A:$A,"&gt;="&amp;COUNTIFS($K$1:U$1,"&lt;&gt;"))),0)</f>
        <v>0</v>
      </c>
      <c r="V493">
        <f>IFERROR($J493/IF($A493&lt;COUNTIFS($K$1:V$1,"&lt;&gt;"),0,SUMIFS($J:$J,$B:$B,$B493,$A:$A,"&gt;="&amp;COUNTIFS($K$1:V$1,"&lt;&gt;"))),0)</f>
        <v>0</v>
      </c>
      <c r="W493">
        <f t="shared" si="178"/>
        <v>8.4931506849315067E-2</v>
      </c>
      <c r="X493">
        <f t="shared" si="158"/>
        <v>8.4931506849315067E-2</v>
      </c>
      <c r="Y493">
        <f t="shared" si="159"/>
        <v>8.4931506849315067E-2</v>
      </c>
      <c r="Z493">
        <f t="shared" si="160"/>
        <v>8.4931506849315067E-2</v>
      </c>
      <c r="AA493">
        <f t="shared" si="161"/>
        <v>8.4931506849315067E-2</v>
      </c>
      <c r="AB493">
        <f t="shared" si="162"/>
        <v>8.4931506849315067E-2</v>
      </c>
      <c r="AC493">
        <f t="shared" si="163"/>
        <v>8.4931506849315067E-2</v>
      </c>
      <c r="AD493">
        <f t="shared" si="164"/>
        <v>8.4931506849315067E-2</v>
      </c>
      <c r="AE493">
        <f t="shared" si="165"/>
        <v>8.4931506849315067E-2</v>
      </c>
      <c r="AF493">
        <f t="shared" si="166"/>
        <v>8.4931506849315067E-2</v>
      </c>
      <c r="AG493">
        <f t="shared" si="167"/>
        <v>8.4931506849315067E-2</v>
      </c>
      <c r="AH493">
        <f t="shared" si="168"/>
        <v>0</v>
      </c>
      <c r="AI493">
        <f t="shared" si="169"/>
        <v>0</v>
      </c>
      <c r="AJ493" s="2" t="str">
        <f t="shared" si="179"/>
        <v>1044958</v>
      </c>
    </row>
    <row r="494" spans="1:36" x14ac:dyDescent="0.25">
      <c r="A494">
        <v>11</v>
      </c>
      <c r="B494" s="1">
        <v>44958</v>
      </c>
      <c r="C494" s="1">
        <f t="shared" si="170"/>
        <v>45292</v>
      </c>
      <c r="D494" s="1">
        <f t="shared" si="171"/>
        <v>44972</v>
      </c>
      <c r="E494" s="1">
        <f t="shared" si="172"/>
        <v>45292</v>
      </c>
      <c r="F494" s="1">
        <f t="shared" si="173"/>
        <v>45323</v>
      </c>
      <c r="G494" s="1">
        <f t="shared" si="174"/>
        <v>45337</v>
      </c>
      <c r="H494">
        <f t="shared" si="175"/>
        <v>365</v>
      </c>
      <c r="I494">
        <f t="shared" si="176"/>
        <v>31</v>
      </c>
      <c r="J494">
        <f t="shared" si="177"/>
        <v>8.4931506849315067E-2</v>
      </c>
      <c r="K494">
        <f>IFERROR($J494/IF($A494&lt;COUNTIFS($K$1:K$1,"&lt;&gt;"),0,SUMIFS($J:$J,$B:$B,$B494,$A:$A,"&gt;="&amp;COUNTIFS($K$1:K$1,"&lt;&gt;"))),0)</f>
        <v>8.8319088319088329E-2</v>
      </c>
      <c r="L494">
        <f>IFERROR($J494/IF($A494&lt;COUNTIFS($K$1:L$1,"&lt;&gt;"),0,SUMIFS($J:$J,$B:$B,$B494,$A:$A,"&gt;="&amp;COUNTIFS($K$1:L$1,"&lt;&gt;"))),0)</f>
        <v>9.6875000000000017E-2</v>
      </c>
      <c r="M494">
        <f>IFERROR($J494/IF($A494&lt;COUNTIFS($K$1:M$1,"&lt;&gt;"),0,SUMIFS($J:$J,$B:$B,$B494,$A:$A,"&gt;="&amp;COUNTIFS($K$1:M$1,"&lt;&gt;"))),0)</f>
        <v>0.10689655172413795</v>
      </c>
      <c r="N494">
        <f>IFERROR($J494/IF($A494&lt;COUNTIFS($K$1:N$1,"&lt;&gt;"),0,SUMIFS($J:$J,$B:$B,$B494,$A:$A,"&gt;="&amp;COUNTIFS($K$1:N$1,"&lt;&gt;"))),0)</f>
        <v>0.11969111969111972</v>
      </c>
      <c r="O494">
        <f>IFERROR($J494/IF($A494&lt;COUNTIFS($K$1:O$1,"&lt;&gt;"),0,SUMIFS($J:$J,$B:$B,$B494,$A:$A,"&gt;="&amp;COUNTIFS($K$1:O$1,"&lt;&gt;"))),0)</f>
        <v>0.13537117903930135</v>
      </c>
      <c r="P494">
        <f>IFERROR($J494/IF($A494&lt;COUNTIFS($K$1:P$1,"&lt;&gt;"),0,SUMIFS($J:$J,$B:$B,$B494,$A:$A,"&gt;="&amp;COUNTIFS($K$1:P$1,"&lt;&gt;"))),0)</f>
        <v>0.1565656565656566</v>
      </c>
      <c r="Q494">
        <f>IFERROR($J494/IF($A494&lt;COUNTIFS($K$1:Q$1,"&lt;&gt;"),0,SUMIFS($J:$J,$B:$B,$B494,$A:$A,"&gt;="&amp;COUNTIFS($K$1:Q$1,"&lt;&gt;"))),0)</f>
        <v>0.18562874251497008</v>
      </c>
      <c r="R494">
        <f>IFERROR($J494/IF($A494&lt;COUNTIFS($K$1:R$1,"&lt;&gt;"),0,SUMIFS($J:$J,$B:$B,$B494,$A:$A,"&gt;="&amp;COUNTIFS($K$1:R$1,"&lt;&gt;"))),0)</f>
        <v>0.22627737226277375</v>
      </c>
      <c r="S494">
        <f>IFERROR($J494/IF($A494&lt;COUNTIFS($K$1:S$1,"&lt;&gt;"),0,SUMIFS($J:$J,$B:$B,$B494,$A:$A,"&gt;="&amp;COUNTIFS($K$1:S$1,"&lt;&gt;"))),0)</f>
        <v>0.29245283018867929</v>
      </c>
      <c r="T494">
        <f>IFERROR($J494/IF($A494&lt;COUNTIFS($K$1:T$1,"&lt;&gt;"),0,SUMIFS($J:$J,$B:$B,$B494,$A:$A,"&gt;="&amp;COUNTIFS($K$1:T$1,"&lt;&gt;"))),0)</f>
        <v>0.40789473684210525</v>
      </c>
      <c r="U494">
        <f>IFERROR($J494/IF($A494&lt;COUNTIFS($K$1:U$1,"&lt;&gt;"),0,SUMIFS($J:$J,$B:$B,$B494,$A:$A,"&gt;="&amp;COUNTIFS($K$1:U$1,"&lt;&gt;"))),0)</f>
        <v>0.68888888888888888</v>
      </c>
      <c r="V494">
        <f>IFERROR($J494/IF($A494&lt;COUNTIFS($K$1:V$1,"&lt;&gt;"),0,SUMIFS($J:$J,$B:$B,$B494,$A:$A,"&gt;="&amp;COUNTIFS($K$1:V$1,"&lt;&gt;"))),0)</f>
        <v>0</v>
      </c>
      <c r="W494">
        <f t="shared" si="178"/>
        <v>8.4931506849315067E-2</v>
      </c>
      <c r="X494">
        <f t="shared" si="158"/>
        <v>8.4931506849315067E-2</v>
      </c>
      <c r="Y494">
        <f t="shared" si="159"/>
        <v>8.4931506849315067E-2</v>
      </c>
      <c r="Z494">
        <f t="shared" si="160"/>
        <v>8.4931506849315067E-2</v>
      </c>
      <c r="AA494">
        <f t="shared" si="161"/>
        <v>8.4931506849315067E-2</v>
      </c>
      <c r="AB494">
        <f t="shared" si="162"/>
        <v>8.4931506849315067E-2</v>
      </c>
      <c r="AC494">
        <f t="shared" si="163"/>
        <v>8.4931506849315067E-2</v>
      </c>
      <c r="AD494">
        <f t="shared" si="164"/>
        <v>8.4931506849315067E-2</v>
      </c>
      <c r="AE494">
        <f t="shared" si="165"/>
        <v>8.4931506849315067E-2</v>
      </c>
      <c r="AF494">
        <f t="shared" si="166"/>
        <v>8.4931506849315067E-2</v>
      </c>
      <c r="AG494">
        <f t="shared" si="167"/>
        <v>8.4931506849315067E-2</v>
      </c>
      <c r="AH494">
        <f t="shared" si="168"/>
        <v>8.4931506849315067E-2</v>
      </c>
      <c r="AI494">
        <f t="shared" si="169"/>
        <v>0</v>
      </c>
      <c r="AJ494" s="2" t="str">
        <f t="shared" si="179"/>
        <v>1144958</v>
      </c>
    </row>
    <row r="495" spans="1:36" x14ac:dyDescent="0.25">
      <c r="A495">
        <v>12</v>
      </c>
      <c r="B495" s="1">
        <v>44958</v>
      </c>
      <c r="C495" s="1">
        <f t="shared" si="170"/>
        <v>45323</v>
      </c>
      <c r="D495" s="1">
        <f t="shared" si="171"/>
        <v>44972</v>
      </c>
      <c r="E495" s="1">
        <f t="shared" si="172"/>
        <v>45323</v>
      </c>
      <c r="F495" s="1">
        <f t="shared" si="173"/>
        <v>45337</v>
      </c>
      <c r="G495" s="1">
        <f t="shared" si="174"/>
        <v>45337</v>
      </c>
      <c r="H495">
        <f t="shared" si="175"/>
        <v>365</v>
      </c>
      <c r="I495">
        <f t="shared" si="176"/>
        <v>14</v>
      </c>
      <c r="J495">
        <f t="shared" si="177"/>
        <v>3.8356164383561646E-2</v>
      </c>
      <c r="K495">
        <f>IFERROR($J495/IF($A495&lt;COUNTIFS($K$1:K$1,"&lt;&gt;"),0,SUMIFS($J:$J,$B:$B,$B495,$A:$A,"&gt;="&amp;COUNTIFS($K$1:K$1,"&lt;&gt;"))),0)</f>
        <v>3.9886039886039892E-2</v>
      </c>
      <c r="L495">
        <f>IFERROR($J495/IF($A495&lt;COUNTIFS($K$1:L$1,"&lt;&gt;"),0,SUMIFS($J:$J,$B:$B,$B495,$A:$A,"&gt;="&amp;COUNTIFS($K$1:L$1,"&lt;&gt;"))),0)</f>
        <v>4.3750000000000011E-2</v>
      </c>
      <c r="M495">
        <f>IFERROR($J495/IF($A495&lt;COUNTIFS($K$1:M$1,"&lt;&gt;"),0,SUMIFS($J:$J,$B:$B,$B495,$A:$A,"&gt;="&amp;COUNTIFS($K$1:M$1,"&lt;&gt;"))),0)</f>
        <v>4.827586206896553E-2</v>
      </c>
      <c r="N495">
        <f>IFERROR($J495/IF($A495&lt;COUNTIFS($K$1:N$1,"&lt;&gt;"),0,SUMIFS($J:$J,$B:$B,$B495,$A:$A,"&gt;="&amp;COUNTIFS($K$1:N$1,"&lt;&gt;"))),0)</f>
        <v>5.4054054054054071E-2</v>
      </c>
      <c r="O495">
        <f>IFERROR($J495/IF($A495&lt;COUNTIFS($K$1:O$1,"&lt;&gt;"),0,SUMIFS($J:$J,$B:$B,$B495,$A:$A,"&gt;="&amp;COUNTIFS($K$1:O$1,"&lt;&gt;"))),0)</f>
        <v>6.1135371179039319E-2</v>
      </c>
      <c r="P495">
        <f>IFERROR($J495/IF($A495&lt;COUNTIFS($K$1:P$1,"&lt;&gt;"),0,SUMIFS($J:$J,$B:$B,$B495,$A:$A,"&gt;="&amp;COUNTIFS($K$1:P$1,"&lt;&gt;"))),0)</f>
        <v>7.0707070707070732E-2</v>
      </c>
      <c r="Q495">
        <f>IFERROR($J495/IF($A495&lt;COUNTIFS($K$1:Q$1,"&lt;&gt;"),0,SUMIFS($J:$J,$B:$B,$B495,$A:$A,"&gt;="&amp;COUNTIFS($K$1:Q$1,"&lt;&gt;"))),0)</f>
        <v>8.3832335329341326E-2</v>
      </c>
      <c r="R495">
        <f>IFERROR($J495/IF($A495&lt;COUNTIFS($K$1:R$1,"&lt;&gt;"),0,SUMIFS($J:$J,$B:$B,$B495,$A:$A,"&gt;="&amp;COUNTIFS($K$1:R$1,"&lt;&gt;"))),0)</f>
        <v>0.10218978102189782</v>
      </c>
      <c r="S495">
        <f>IFERROR($J495/IF($A495&lt;COUNTIFS($K$1:S$1,"&lt;&gt;"),0,SUMIFS($J:$J,$B:$B,$B495,$A:$A,"&gt;="&amp;COUNTIFS($K$1:S$1,"&lt;&gt;"))),0)</f>
        <v>0.13207547169811323</v>
      </c>
      <c r="T495">
        <f>IFERROR($J495/IF($A495&lt;COUNTIFS($K$1:T$1,"&lt;&gt;"),0,SUMIFS($J:$J,$B:$B,$B495,$A:$A,"&gt;="&amp;COUNTIFS($K$1:T$1,"&lt;&gt;"))),0)</f>
        <v>0.18421052631578949</v>
      </c>
      <c r="U495">
        <f>IFERROR($J495/IF($A495&lt;COUNTIFS($K$1:U$1,"&lt;&gt;"),0,SUMIFS($J:$J,$B:$B,$B495,$A:$A,"&gt;="&amp;COUNTIFS($K$1:U$1,"&lt;&gt;"))),0)</f>
        <v>0.31111111111111117</v>
      </c>
      <c r="V495">
        <f>IFERROR($J495/IF($A495&lt;COUNTIFS($K$1:V$1,"&lt;&gt;"),0,SUMIFS($J:$J,$B:$B,$B495,$A:$A,"&gt;="&amp;COUNTIFS($K$1:V$1,"&lt;&gt;"))),0)</f>
        <v>1</v>
      </c>
      <c r="W495">
        <f t="shared" si="178"/>
        <v>3.8356164383561646E-2</v>
      </c>
      <c r="X495">
        <f t="shared" si="158"/>
        <v>3.8356164383561646E-2</v>
      </c>
      <c r="Y495">
        <f t="shared" si="159"/>
        <v>3.8356164383561646E-2</v>
      </c>
      <c r="Z495">
        <f t="shared" si="160"/>
        <v>3.8356164383561646E-2</v>
      </c>
      <c r="AA495">
        <f t="shared" si="161"/>
        <v>3.8356164383561646E-2</v>
      </c>
      <c r="AB495">
        <f t="shared" si="162"/>
        <v>3.8356164383561646E-2</v>
      </c>
      <c r="AC495">
        <f t="shared" si="163"/>
        <v>3.8356164383561646E-2</v>
      </c>
      <c r="AD495">
        <f t="shared" si="164"/>
        <v>3.8356164383561646E-2</v>
      </c>
      <c r="AE495">
        <f t="shared" si="165"/>
        <v>3.8356164383561646E-2</v>
      </c>
      <c r="AF495">
        <f t="shared" si="166"/>
        <v>3.8356164383561646E-2</v>
      </c>
      <c r="AG495">
        <f t="shared" si="167"/>
        <v>3.8356164383561646E-2</v>
      </c>
      <c r="AH495">
        <f t="shared" si="168"/>
        <v>3.8356164383561646E-2</v>
      </c>
      <c r="AI495">
        <f t="shared" si="169"/>
        <v>3.8356164383561646E-2</v>
      </c>
      <c r="AJ495" s="2" t="str">
        <f t="shared" si="179"/>
        <v>1244958</v>
      </c>
    </row>
    <row r="496" spans="1:36" x14ac:dyDescent="0.25">
      <c r="A496">
        <v>0</v>
      </c>
      <c r="B496" s="1">
        <v>44986</v>
      </c>
      <c r="C496" s="1">
        <f t="shared" si="170"/>
        <v>44986</v>
      </c>
      <c r="D496" s="1">
        <f t="shared" si="171"/>
        <v>45000</v>
      </c>
      <c r="E496" s="1">
        <f t="shared" si="172"/>
        <v>45000</v>
      </c>
      <c r="F496" s="1">
        <f t="shared" si="173"/>
        <v>45017</v>
      </c>
      <c r="G496" s="1">
        <f t="shared" si="174"/>
        <v>45366</v>
      </c>
      <c r="H496">
        <f t="shared" si="175"/>
        <v>366</v>
      </c>
      <c r="I496">
        <f t="shared" si="176"/>
        <v>17</v>
      </c>
      <c r="J496">
        <f t="shared" si="177"/>
        <v>4.6448087431693992E-2</v>
      </c>
      <c r="K496">
        <f>IFERROR($J496/IF($A496&lt;COUNTIFS($K$1:K$1,"&lt;&gt;"),0,SUMIFS($J:$J,$B:$B,$B496,$A:$A,"&gt;="&amp;COUNTIFS($K$1:K$1,"&lt;&gt;"))),0)</f>
        <v>0</v>
      </c>
      <c r="L496">
        <f>IFERROR($J496/IF($A496&lt;COUNTIFS($K$1:L$1,"&lt;&gt;"),0,SUMIFS($J:$J,$B:$B,$B496,$A:$A,"&gt;="&amp;COUNTIFS($K$1:L$1,"&lt;&gt;"))),0)</f>
        <v>0</v>
      </c>
      <c r="M496">
        <f>IFERROR($J496/IF($A496&lt;COUNTIFS($K$1:M$1,"&lt;&gt;"),0,SUMIFS($J:$J,$B:$B,$B496,$A:$A,"&gt;="&amp;COUNTIFS($K$1:M$1,"&lt;&gt;"))),0)</f>
        <v>0</v>
      </c>
      <c r="N496">
        <f>IFERROR($J496/IF($A496&lt;COUNTIFS($K$1:N$1,"&lt;&gt;"),0,SUMIFS($J:$J,$B:$B,$B496,$A:$A,"&gt;="&amp;COUNTIFS($K$1:N$1,"&lt;&gt;"))),0)</f>
        <v>0</v>
      </c>
      <c r="O496">
        <f>IFERROR($J496/IF($A496&lt;COUNTIFS($K$1:O$1,"&lt;&gt;"),0,SUMIFS($J:$J,$B:$B,$B496,$A:$A,"&gt;="&amp;COUNTIFS($K$1:O$1,"&lt;&gt;"))),0)</f>
        <v>0</v>
      </c>
      <c r="P496">
        <f>IFERROR($J496/IF($A496&lt;COUNTIFS($K$1:P$1,"&lt;&gt;"),0,SUMIFS($J:$J,$B:$B,$B496,$A:$A,"&gt;="&amp;COUNTIFS($K$1:P$1,"&lt;&gt;"))),0)</f>
        <v>0</v>
      </c>
      <c r="Q496">
        <f>IFERROR($J496/IF($A496&lt;COUNTIFS($K$1:Q$1,"&lt;&gt;"),0,SUMIFS($J:$J,$B:$B,$B496,$A:$A,"&gt;="&amp;COUNTIFS($K$1:Q$1,"&lt;&gt;"))),0)</f>
        <v>0</v>
      </c>
      <c r="R496">
        <f>IFERROR($J496/IF($A496&lt;COUNTIFS($K$1:R$1,"&lt;&gt;"),0,SUMIFS($J:$J,$B:$B,$B496,$A:$A,"&gt;="&amp;COUNTIFS($K$1:R$1,"&lt;&gt;"))),0)</f>
        <v>0</v>
      </c>
      <c r="S496">
        <f>IFERROR($J496/IF($A496&lt;COUNTIFS($K$1:S$1,"&lt;&gt;"),0,SUMIFS($J:$J,$B:$B,$B496,$A:$A,"&gt;="&amp;COUNTIFS($K$1:S$1,"&lt;&gt;"))),0)</f>
        <v>0</v>
      </c>
      <c r="T496">
        <f>IFERROR($J496/IF($A496&lt;COUNTIFS($K$1:T$1,"&lt;&gt;"),0,SUMIFS($J:$J,$B:$B,$B496,$A:$A,"&gt;="&amp;COUNTIFS($K$1:T$1,"&lt;&gt;"))),0)</f>
        <v>0</v>
      </c>
      <c r="U496">
        <f>IFERROR($J496/IF($A496&lt;COUNTIFS($K$1:U$1,"&lt;&gt;"),0,SUMIFS($J:$J,$B:$B,$B496,$A:$A,"&gt;="&amp;COUNTIFS($K$1:U$1,"&lt;&gt;"))),0)</f>
        <v>0</v>
      </c>
      <c r="V496">
        <f>IFERROR($J496/IF($A496&lt;COUNTIFS($K$1:V$1,"&lt;&gt;"),0,SUMIFS($J:$J,$B:$B,$B496,$A:$A,"&gt;="&amp;COUNTIFS($K$1:V$1,"&lt;&gt;"))),0)</f>
        <v>0</v>
      </c>
      <c r="W496">
        <f t="shared" si="178"/>
        <v>4.6448087431693992E-2</v>
      </c>
      <c r="X496">
        <f t="shared" si="158"/>
        <v>0</v>
      </c>
      <c r="Y496">
        <f t="shared" si="159"/>
        <v>0</v>
      </c>
      <c r="Z496">
        <f t="shared" si="160"/>
        <v>0</v>
      </c>
      <c r="AA496">
        <f t="shared" si="161"/>
        <v>0</v>
      </c>
      <c r="AB496">
        <f t="shared" si="162"/>
        <v>0</v>
      </c>
      <c r="AC496">
        <f t="shared" si="163"/>
        <v>0</v>
      </c>
      <c r="AD496">
        <f t="shared" si="164"/>
        <v>0</v>
      </c>
      <c r="AE496">
        <f t="shared" si="165"/>
        <v>0</v>
      </c>
      <c r="AF496">
        <f t="shared" si="166"/>
        <v>0</v>
      </c>
      <c r="AG496">
        <f t="shared" si="167"/>
        <v>0</v>
      </c>
      <c r="AH496">
        <f t="shared" si="168"/>
        <v>0</v>
      </c>
      <c r="AI496">
        <f t="shared" si="169"/>
        <v>0</v>
      </c>
      <c r="AJ496" s="2" t="str">
        <f t="shared" si="179"/>
        <v>044986</v>
      </c>
    </row>
    <row r="497" spans="1:36" x14ac:dyDescent="0.25">
      <c r="A497">
        <v>1</v>
      </c>
      <c r="B497" s="1">
        <v>44986</v>
      </c>
      <c r="C497" s="1">
        <f t="shared" si="170"/>
        <v>45017</v>
      </c>
      <c r="D497" s="1">
        <f t="shared" si="171"/>
        <v>45000</v>
      </c>
      <c r="E497" s="1">
        <f t="shared" si="172"/>
        <v>45017</v>
      </c>
      <c r="F497" s="1">
        <f t="shared" si="173"/>
        <v>45047</v>
      </c>
      <c r="G497" s="1">
        <f t="shared" si="174"/>
        <v>45366</v>
      </c>
      <c r="H497">
        <f t="shared" si="175"/>
        <v>366</v>
      </c>
      <c r="I497">
        <f t="shared" si="176"/>
        <v>30</v>
      </c>
      <c r="J497">
        <f t="shared" si="177"/>
        <v>8.1967213114754092E-2</v>
      </c>
      <c r="K497">
        <f>IFERROR($J497/IF($A497&lt;COUNTIFS($K$1:K$1,"&lt;&gt;"),0,SUMIFS($J:$J,$B:$B,$B497,$A:$A,"&gt;="&amp;COUNTIFS($K$1:K$1,"&lt;&gt;"))),0)</f>
        <v>8.5959885386819479E-2</v>
      </c>
      <c r="L497">
        <f>IFERROR($J497/IF($A497&lt;COUNTIFS($K$1:L$1,"&lt;&gt;"),0,SUMIFS($J:$J,$B:$B,$B497,$A:$A,"&gt;="&amp;COUNTIFS($K$1:L$1,"&lt;&gt;"))),0)</f>
        <v>0</v>
      </c>
      <c r="M497">
        <f>IFERROR($J497/IF($A497&lt;COUNTIFS($K$1:M$1,"&lt;&gt;"),0,SUMIFS($J:$J,$B:$B,$B497,$A:$A,"&gt;="&amp;COUNTIFS($K$1:M$1,"&lt;&gt;"))),0)</f>
        <v>0</v>
      </c>
      <c r="N497">
        <f>IFERROR($J497/IF($A497&lt;COUNTIFS($K$1:N$1,"&lt;&gt;"),0,SUMIFS($J:$J,$B:$B,$B497,$A:$A,"&gt;="&amp;COUNTIFS($K$1:N$1,"&lt;&gt;"))),0)</f>
        <v>0</v>
      </c>
      <c r="O497">
        <f>IFERROR($J497/IF($A497&lt;COUNTIFS($K$1:O$1,"&lt;&gt;"),0,SUMIFS($J:$J,$B:$B,$B497,$A:$A,"&gt;="&amp;COUNTIFS($K$1:O$1,"&lt;&gt;"))),0)</f>
        <v>0</v>
      </c>
      <c r="P497">
        <f>IFERROR($J497/IF($A497&lt;COUNTIFS($K$1:P$1,"&lt;&gt;"),0,SUMIFS($J:$J,$B:$B,$B497,$A:$A,"&gt;="&amp;COUNTIFS($K$1:P$1,"&lt;&gt;"))),0)</f>
        <v>0</v>
      </c>
      <c r="Q497">
        <f>IFERROR($J497/IF($A497&lt;COUNTIFS($K$1:Q$1,"&lt;&gt;"),0,SUMIFS($J:$J,$B:$B,$B497,$A:$A,"&gt;="&amp;COUNTIFS($K$1:Q$1,"&lt;&gt;"))),0)</f>
        <v>0</v>
      </c>
      <c r="R497">
        <f>IFERROR($J497/IF($A497&lt;COUNTIFS($K$1:R$1,"&lt;&gt;"),0,SUMIFS($J:$J,$B:$B,$B497,$A:$A,"&gt;="&amp;COUNTIFS($K$1:R$1,"&lt;&gt;"))),0)</f>
        <v>0</v>
      </c>
      <c r="S497">
        <f>IFERROR($J497/IF($A497&lt;COUNTIFS($K$1:S$1,"&lt;&gt;"),0,SUMIFS($J:$J,$B:$B,$B497,$A:$A,"&gt;="&amp;COUNTIFS($K$1:S$1,"&lt;&gt;"))),0)</f>
        <v>0</v>
      </c>
      <c r="T497">
        <f>IFERROR($J497/IF($A497&lt;COUNTIFS($K$1:T$1,"&lt;&gt;"),0,SUMIFS($J:$J,$B:$B,$B497,$A:$A,"&gt;="&amp;COUNTIFS($K$1:T$1,"&lt;&gt;"))),0)</f>
        <v>0</v>
      </c>
      <c r="U497">
        <f>IFERROR($J497/IF($A497&lt;COUNTIFS($K$1:U$1,"&lt;&gt;"),0,SUMIFS($J:$J,$B:$B,$B497,$A:$A,"&gt;="&amp;COUNTIFS($K$1:U$1,"&lt;&gt;"))),0)</f>
        <v>0</v>
      </c>
      <c r="V497">
        <f>IFERROR($J497/IF($A497&lt;COUNTIFS($K$1:V$1,"&lt;&gt;"),0,SUMIFS($J:$J,$B:$B,$B497,$A:$A,"&gt;="&amp;COUNTIFS($K$1:V$1,"&lt;&gt;"))),0)</f>
        <v>0</v>
      </c>
      <c r="W497">
        <f t="shared" si="178"/>
        <v>8.1967213114754092E-2</v>
      </c>
      <c r="X497">
        <f t="shared" si="158"/>
        <v>8.1967213114754092E-2</v>
      </c>
      <c r="Y497">
        <f t="shared" si="159"/>
        <v>0</v>
      </c>
      <c r="Z497">
        <f t="shared" si="160"/>
        <v>0</v>
      </c>
      <c r="AA497">
        <f t="shared" si="161"/>
        <v>0</v>
      </c>
      <c r="AB497">
        <f t="shared" si="162"/>
        <v>0</v>
      </c>
      <c r="AC497">
        <f t="shared" si="163"/>
        <v>0</v>
      </c>
      <c r="AD497">
        <f t="shared" si="164"/>
        <v>0</v>
      </c>
      <c r="AE497">
        <f t="shared" si="165"/>
        <v>0</v>
      </c>
      <c r="AF497">
        <f t="shared" si="166"/>
        <v>0</v>
      </c>
      <c r="AG497">
        <f t="shared" si="167"/>
        <v>0</v>
      </c>
      <c r="AH497">
        <f t="shared" si="168"/>
        <v>0</v>
      </c>
      <c r="AI497">
        <f t="shared" si="169"/>
        <v>0</v>
      </c>
      <c r="AJ497" s="2" t="str">
        <f t="shared" si="179"/>
        <v>144986</v>
      </c>
    </row>
    <row r="498" spans="1:36" x14ac:dyDescent="0.25">
      <c r="A498">
        <v>2</v>
      </c>
      <c r="B498" s="1">
        <v>44986</v>
      </c>
      <c r="C498" s="1">
        <f t="shared" si="170"/>
        <v>45047</v>
      </c>
      <c r="D498" s="1">
        <f t="shared" si="171"/>
        <v>45000</v>
      </c>
      <c r="E498" s="1">
        <f t="shared" si="172"/>
        <v>45047</v>
      </c>
      <c r="F498" s="1">
        <f t="shared" si="173"/>
        <v>45078</v>
      </c>
      <c r="G498" s="1">
        <f t="shared" si="174"/>
        <v>45366</v>
      </c>
      <c r="H498">
        <f t="shared" si="175"/>
        <v>366</v>
      </c>
      <c r="I498">
        <f t="shared" si="176"/>
        <v>31</v>
      </c>
      <c r="J498">
        <f t="shared" si="177"/>
        <v>8.4699453551912565E-2</v>
      </c>
      <c r="K498">
        <f>IFERROR($J498/IF($A498&lt;COUNTIFS($K$1:K$1,"&lt;&gt;"),0,SUMIFS($J:$J,$B:$B,$B498,$A:$A,"&gt;="&amp;COUNTIFS($K$1:K$1,"&lt;&gt;"))),0)</f>
        <v>8.882521489971347E-2</v>
      </c>
      <c r="L498">
        <f>IFERROR($J498/IF($A498&lt;COUNTIFS($K$1:L$1,"&lt;&gt;"),0,SUMIFS($J:$J,$B:$B,$B498,$A:$A,"&gt;="&amp;COUNTIFS($K$1:L$1,"&lt;&gt;"))),0)</f>
        <v>9.7178683385579931E-2</v>
      </c>
      <c r="M498">
        <f>IFERROR($J498/IF($A498&lt;COUNTIFS($K$1:M$1,"&lt;&gt;"),0,SUMIFS($J:$J,$B:$B,$B498,$A:$A,"&gt;="&amp;COUNTIFS($K$1:M$1,"&lt;&gt;"))),0)</f>
        <v>0</v>
      </c>
      <c r="N498">
        <f>IFERROR($J498/IF($A498&lt;COUNTIFS($K$1:N$1,"&lt;&gt;"),0,SUMIFS($J:$J,$B:$B,$B498,$A:$A,"&gt;="&amp;COUNTIFS($K$1:N$1,"&lt;&gt;"))),0)</f>
        <v>0</v>
      </c>
      <c r="O498">
        <f>IFERROR($J498/IF($A498&lt;COUNTIFS($K$1:O$1,"&lt;&gt;"),0,SUMIFS($J:$J,$B:$B,$B498,$A:$A,"&gt;="&amp;COUNTIFS($K$1:O$1,"&lt;&gt;"))),0)</f>
        <v>0</v>
      </c>
      <c r="P498">
        <f>IFERROR($J498/IF($A498&lt;COUNTIFS($K$1:P$1,"&lt;&gt;"),0,SUMIFS($J:$J,$B:$B,$B498,$A:$A,"&gt;="&amp;COUNTIFS($K$1:P$1,"&lt;&gt;"))),0)</f>
        <v>0</v>
      </c>
      <c r="Q498">
        <f>IFERROR($J498/IF($A498&lt;COUNTIFS($K$1:Q$1,"&lt;&gt;"),0,SUMIFS($J:$J,$B:$B,$B498,$A:$A,"&gt;="&amp;COUNTIFS($K$1:Q$1,"&lt;&gt;"))),0)</f>
        <v>0</v>
      </c>
      <c r="R498">
        <f>IFERROR($J498/IF($A498&lt;COUNTIFS($K$1:R$1,"&lt;&gt;"),0,SUMIFS($J:$J,$B:$B,$B498,$A:$A,"&gt;="&amp;COUNTIFS($K$1:R$1,"&lt;&gt;"))),0)</f>
        <v>0</v>
      </c>
      <c r="S498">
        <f>IFERROR($J498/IF($A498&lt;COUNTIFS($K$1:S$1,"&lt;&gt;"),0,SUMIFS($J:$J,$B:$B,$B498,$A:$A,"&gt;="&amp;COUNTIFS($K$1:S$1,"&lt;&gt;"))),0)</f>
        <v>0</v>
      </c>
      <c r="T498">
        <f>IFERROR($J498/IF($A498&lt;COUNTIFS($K$1:T$1,"&lt;&gt;"),0,SUMIFS($J:$J,$B:$B,$B498,$A:$A,"&gt;="&amp;COUNTIFS($K$1:T$1,"&lt;&gt;"))),0)</f>
        <v>0</v>
      </c>
      <c r="U498">
        <f>IFERROR($J498/IF($A498&lt;COUNTIFS($K$1:U$1,"&lt;&gt;"),0,SUMIFS($J:$J,$B:$B,$B498,$A:$A,"&gt;="&amp;COUNTIFS($K$1:U$1,"&lt;&gt;"))),0)</f>
        <v>0</v>
      </c>
      <c r="V498">
        <f>IFERROR($J498/IF($A498&lt;COUNTIFS($K$1:V$1,"&lt;&gt;"),0,SUMIFS($J:$J,$B:$B,$B498,$A:$A,"&gt;="&amp;COUNTIFS($K$1:V$1,"&lt;&gt;"))),0)</f>
        <v>0</v>
      </c>
      <c r="W498">
        <f t="shared" si="178"/>
        <v>8.4699453551912565E-2</v>
      </c>
      <c r="X498">
        <f t="shared" si="158"/>
        <v>8.4699453551912565E-2</v>
      </c>
      <c r="Y498">
        <f t="shared" si="159"/>
        <v>8.4699453551912565E-2</v>
      </c>
      <c r="Z498">
        <f t="shared" si="160"/>
        <v>0</v>
      </c>
      <c r="AA498">
        <f t="shared" si="161"/>
        <v>0</v>
      </c>
      <c r="AB498">
        <f t="shared" si="162"/>
        <v>0</v>
      </c>
      <c r="AC498">
        <f t="shared" si="163"/>
        <v>0</v>
      </c>
      <c r="AD498">
        <f t="shared" si="164"/>
        <v>0</v>
      </c>
      <c r="AE498">
        <f t="shared" si="165"/>
        <v>0</v>
      </c>
      <c r="AF498">
        <f t="shared" si="166"/>
        <v>0</v>
      </c>
      <c r="AG498">
        <f t="shared" si="167"/>
        <v>0</v>
      </c>
      <c r="AH498">
        <f t="shared" si="168"/>
        <v>0</v>
      </c>
      <c r="AI498">
        <f t="shared" si="169"/>
        <v>0</v>
      </c>
      <c r="AJ498" s="2" t="str">
        <f t="shared" si="179"/>
        <v>244986</v>
      </c>
    </row>
    <row r="499" spans="1:36" x14ac:dyDescent="0.25">
      <c r="A499">
        <v>3</v>
      </c>
      <c r="B499" s="1">
        <v>44986</v>
      </c>
      <c r="C499" s="1">
        <f t="shared" si="170"/>
        <v>45078</v>
      </c>
      <c r="D499" s="1">
        <f t="shared" si="171"/>
        <v>45000</v>
      </c>
      <c r="E499" s="1">
        <f t="shared" si="172"/>
        <v>45078</v>
      </c>
      <c r="F499" s="1">
        <f t="shared" si="173"/>
        <v>45108</v>
      </c>
      <c r="G499" s="1">
        <f t="shared" si="174"/>
        <v>45366</v>
      </c>
      <c r="H499">
        <f t="shared" si="175"/>
        <v>366</v>
      </c>
      <c r="I499">
        <f t="shared" si="176"/>
        <v>30</v>
      </c>
      <c r="J499">
        <f t="shared" si="177"/>
        <v>8.1967213114754092E-2</v>
      </c>
      <c r="K499">
        <f>IFERROR($J499/IF($A499&lt;COUNTIFS($K$1:K$1,"&lt;&gt;"),0,SUMIFS($J:$J,$B:$B,$B499,$A:$A,"&gt;="&amp;COUNTIFS($K$1:K$1,"&lt;&gt;"))),0)</f>
        <v>8.5959885386819479E-2</v>
      </c>
      <c r="L499">
        <f>IFERROR($J499/IF($A499&lt;COUNTIFS($K$1:L$1,"&lt;&gt;"),0,SUMIFS($J:$J,$B:$B,$B499,$A:$A,"&gt;="&amp;COUNTIFS($K$1:L$1,"&lt;&gt;"))),0)</f>
        <v>9.4043887147335414E-2</v>
      </c>
      <c r="M499">
        <f>IFERROR($J499/IF($A499&lt;COUNTIFS($K$1:M$1,"&lt;&gt;"),0,SUMIFS($J:$J,$B:$B,$B499,$A:$A,"&gt;="&amp;COUNTIFS($K$1:M$1,"&lt;&gt;"))),0)</f>
        <v>0.10416666666666666</v>
      </c>
      <c r="N499">
        <f>IFERROR($J499/IF($A499&lt;COUNTIFS($K$1:N$1,"&lt;&gt;"),0,SUMIFS($J:$J,$B:$B,$B499,$A:$A,"&gt;="&amp;COUNTIFS($K$1:N$1,"&lt;&gt;"))),0)</f>
        <v>0</v>
      </c>
      <c r="O499">
        <f>IFERROR($J499/IF($A499&lt;COUNTIFS($K$1:O$1,"&lt;&gt;"),0,SUMIFS($J:$J,$B:$B,$B499,$A:$A,"&gt;="&amp;COUNTIFS($K$1:O$1,"&lt;&gt;"))),0)</f>
        <v>0</v>
      </c>
      <c r="P499">
        <f>IFERROR($J499/IF($A499&lt;COUNTIFS($K$1:P$1,"&lt;&gt;"),0,SUMIFS($J:$J,$B:$B,$B499,$A:$A,"&gt;="&amp;COUNTIFS($K$1:P$1,"&lt;&gt;"))),0)</f>
        <v>0</v>
      </c>
      <c r="Q499">
        <f>IFERROR($J499/IF($A499&lt;COUNTIFS($K$1:Q$1,"&lt;&gt;"),0,SUMIFS($J:$J,$B:$B,$B499,$A:$A,"&gt;="&amp;COUNTIFS($K$1:Q$1,"&lt;&gt;"))),0)</f>
        <v>0</v>
      </c>
      <c r="R499">
        <f>IFERROR($J499/IF($A499&lt;COUNTIFS($K$1:R$1,"&lt;&gt;"),0,SUMIFS($J:$J,$B:$B,$B499,$A:$A,"&gt;="&amp;COUNTIFS($K$1:R$1,"&lt;&gt;"))),0)</f>
        <v>0</v>
      </c>
      <c r="S499">
        <f>IFERROR($J499/IF($A499&lt;COUNTIFS($K$1:S$1,"&lt;&gt;"),0,SUMIFS($J:$J,$B:$B,$B499,$A:$A,"&gt;="&amp;COUNTIFS($K$1:S$1,"&lt;&gt;"))),0)</f>
        <v>0</v>
      </c>
      <c r="T499">
        <f>IFERROR($J499/IF($A499&lt;COUNTIFS($K$1:T$1,"&lt;&gt;"),0,SUMIFS($J:$J,$B:$B,$B499,$A:$A,"&gt;="&amp;COUNTIFS($K$1:T$1,"&lt;&gt;"))),0)</f>
        <v>0</v>
      </c>
      <c r="U499">
        <f>IFERROR($J499/IF($A499&lt;COUNTIFS($K$1:U$1,"&lt;&gt;"),0,SUMIFS($J:$J,$B:$B,$B499,$A:$A,"&gt;="&amp;COUNTIFS($K$1:U$1,"&lt;&gt;"))),0)</f>
        <v>0</v>
      </c>
      <c r="V499">
        <f>IFERROR($J499/IF($A499&lt;COUNTIFS($K$1:V$1,"&lt;&gt;"),0,SUMIFS($J:$J,$B:$B,$B499,$A:$A,"&gt;="&amp;COUNTIFS($K$1:V$1,"&lt;&gt;"))),0)</f>
        <v>0</v>
      </c>
      <c r="W499">
        <f t="shared" si="178"/>
        <v>8.1967213114754092E-2</v>
      </c>
      <c r="X499">
        <f t="shared" si="158"/>
        <v>8.1967213114754092E-2</v>
      </c>
      <c r="Y499">
        <f t="shared" si="159"/>
        <v>8.1967213114754092E-2</v>
      </c>
      <c r="Z499">
        <f t="shared" si="160"/>
        <v>8.1967213114754092E-2</v>
      </c>
      <c r="AA499">
        <f t="shared" si="161"/>
        <v>0</v>
      </c>
      <c r="AB499">
        <f t="shared" si="162"/>
        <v>0</v>
      </c>
      <c r="AC499">
        <f t="shared" si="163"/>
        <v>0</v>
      </c>
      <c r="AD499">
        <f t="shared" si="164"/>
        <v>0</v>
      </c>
      <c r="AE499">
        <f t="shared" si="165"/>
        <v>0</v>
      </c>
      <c r="AF499">
        <f t="shared" si="166"/>
        <v>0</v>
      </c>
      <c r="AG499">
        <f t="shared" si="167"/>
        <v>0</v>
      </c>
      <c r="AH499">
        <f t="shared" si="168"/>
        <v>0</v>
      </c>
      <c r="AI499">
        <f t="shared" si="169"/>
        <v>0</v>
      </c>
      <c r="AJ499" s="2" t="str">
        <f t="shared" si="179"/>
        <v>344986</v>
      </c>
    </row>
    <row r="500" spans="1:36" x14ac:dyDescent="0.25">
      <c r="A500">
        <v>4</v>
      </c>
      <c r="B500" s="1">
        <v>44986</v>
      </c>
      <c r="C500" s="1">
        <f t="shared" si="170"/>
        <v>45108</v>
      </c>
      <c r="D500" s="1">
        <f t="shared" si="171"/>
        <v>45000</v>
      </c>
      <c r="E500" s="1">
        <f t="shared" si="172"/>
        <v>45108</v>
      </c>
      <c r="F500" s="1">
        <f t="shared" si="173"/>
        <v>45139</v>
      </c>
      <c r="G500" s="1">
        <f t="shared" si="174"/>
        <v>45366</v>
      </c>
      <c r="H500">
        <f t="shared" si="175"/>
        <v>366</v>
      </c>
      <c r="I500">
        <f t="shared" si="176"/>
        <v>31</v>
      </c>
      <c r="J500">
        <f t="shared" si="177"/>
        <v>8.4699453551912565E-2</v>
      </c>
      <c r="K500">
        <f>IFERROR($J500/IF($A500&lt;COUNTIFS($K$1:K$1,"&lt;&gt;"),0,SUMIFS($J:$J,$B:$B,$B500,$A:$A,"&gt;="&amp;COUNTIFS($K$1:K$1,"&lt;&gt;"))),0)</f>
        <v>8.882521489971347E-2</v>
      </c>
      <c r="L500">
        <f>IFERROR($J500/IF($A500&lt;COUNTIFS($K$1:L$1,"&lt;&gt;"),0,SUMIFS($J:$J,$B:$B,$B500,$A:$A,"&gt;="&amp;COUNTIFS($K$1:L$1,"&lt;&gt;"))),0)</f>
        <v>9.7178683385579931E-2</v>
      </c>
      <c r="M500">
        <f>IFERROR($J500/IF($A500&lt;COUNTIFS($K$1:M$1,"&lt;&gt;"),0,SUMIFS($J:$J,$B:$B,$B500,$A:$A,"&gt;="&amp;COUNTIFS($K$1:M$1,"&lt;&gt;"))),0)</f>
        <v>0.10763888888888888</v>
      </c>
      <c r="N500">
        <f>IFERROR($J500/IF($A500&lt;COUNTIFS($K$1:N$1,"&lt;&gt;"),0,SUMIFS($J:$J,$B:$B,$B500,$A:$A,"&gt;="&amp;COUNTIFS($K$1:N$1,"&lt;&gt;"))),0)</f>
        <v>0.12015503875968991</v>
      </c>
      <c r="O500">
        <f>IFERROR($J500/IF($A500&lt;COUNTIFS($K$1:O$1,"&lt;&gt;"),0,SUMIFS($J:$J,$B:$B,$B500,$A:$A,"&gt;="&amp;COUNTIFS($K$1:O$1,"&lt;&gt;"))),0)</f>
        <v>0</v>
      </c>
      <c r="P500">
        <f>IFERROR($J500/IF($A500&lt;COUNTIFS($K$1:P$1,"&lt;&gt;"),0,SUMIFS($J:$J,$B:$B,$B500,$A:$A,"&gt;="&amp;COUNTIFS($K$1:P$1,"&lt;&gt;"))),0)</f>
        <v>0</v>
      </c>
      <c r="Q500">
        <f>IFERROR($J500/IF($A500&lt;COUNTIFS($K$1:Q$1,"&lt;&gt;"),0,SUMIFS($J:$J,$B:$B,$B500,$A:$A,"&gt;="&amp;COUNTIFS($K$1:Q$1,"&lt;&gt;"))),0)</f>
        <v>0</v>
      </c>
      <c r="R500">
        <f>IFERROR($J500/IF($A500&lt;COUNTIFS($K$1:R$1,"&lt;&gt;"),0,SUMIFS($J:$J,$B:$B,$B500,$A:$A,"&gt;="&amp;COUNTIFS($K$1:R$1,"&lt;&gt;"))),0)</f>
        <v>0</v>
      </c>
      <c r="S500">
        <f>IFERROR($J500/IF($A500&lt;COUNTIFS($K$1:S$1,"&lt;&gt;"),0,SUMIFS($J:$J,$B:$B,$B500,$A:$A,"&gt;="&amp;COUNTIFS($K$1:S$1,"&lt;&gt;"))),0)</f>
        <v>0</v>
      </c>
      <c r="T500">
        <f>IFERROR($J500/IF($A500&lt;COUNTIFS($K$1:T$1,"&lt;&gt;"),0,SUMIFS($J:$J,$B:$B,$B500,$A:$A,"&gt;="&amp;COUNTIFS($K$1:T$1,"&lt;&gt;"))),0)</f>
        <v>0</v>
      </c>
      <c r="U500">
        <f>IFERROR($J500/IF($A500&lt;COUNTIFS($K$1:U$1,"&lt;&gt;"),0,SUMIFS($J:$J,$B:$B,$B500,$A:$A,"&gt;="&amp;COUNTIFS($K$1:U$1,"&lt;&gt;"))),0)</f>
        <v>0</v>
      </c>
      <c r="V500">
        <f>IFERROR($J500/IF($A500&lt;COUNTIFS($K$1:V$1,"&lt;&gt;"),0,SUMIFS($J:$J,$B:$B,$B500,$A:$A,"&gt;="&amp;COUNTIFS($K$1:V$1,"&lt;&gt;"))),0)</f>
        <v>0</v>
      </c>
      <c r="W500">
        <f t="shared" si="178"/>
        <v>8.4699453551912565E-2</v>
      </c>
      <c r="X500">
        <f t="shared" si="158"/>
        <v>8.4699453551912565E-2</v>
      </c>
      <c r="Y500">
        <f t="shared" si="159"/>
        <v>8.4699453551912565E-2</v>
      </c>
      <c r="Z500">
        <f t="shared" si="160"/>
        <v>8.4699453551912565E-2</v>
      </c>
      <c r="AA500">
        <f t="shared" si="161"/>
        <v>8.4699453551912565E-2</v>
      </c>
      <c r="AB500">
        <f t="shared" si="162"/>
        <v>0</v>
      </c>
      <c r="AC500">
        <f t="shared" si="163"/>
        <v>0</v>
      </c>
      <c r="AD500">
        <f t="shared" si="164"/>
        <v>0</v>
      </c>
      <c r="AE500">
        <f t="shared" si="165"/>
        <v>0</v>
      </c>
      <c r="AF500">
        <f t="shared" si="166"/>
        <v>0</v>
      </c>
      <c r="AG500">
        <f t="shared" si="167"/>
        <v>0</v>
      </c>
      <c r="AH500">
        <f t="shared" si="168"/>
        <v>0</v>
      </c>
      <c r="AI500">
        <f t="shared" si="169"/>
        <v>0</v>
      </c>
      <c r="AJ500" s="2" t="str">
        <f t="shared" si="179"/>
        <v>444986</v>
      </c>
    </row>
    <row r="501" spans="1:36" x14ac:dyDescent="0.25">
      <c r="A501">
        <v>5</v>
      </c>
      <c r="B501" s="1">
        <v>44986</v>
      </c>
      <c r="C501" s="1">
        <f t="shared" si="170"/>
        <v>45139</v>
      </c>
      <c r="D501" s="1">
        <f t="shared" si="171"/>
        <v>45000</v>
      </c>
      <c r="E501" s="1">
        <f t="shared" si="172"/>
        <v>45139</v>
      </c>
      <c r="F501" s="1">
        <f t="shared" si="173"/>
        <v>45170</v>
      </c>
      <c r="G501" s="1">
        <f t="shared" si="174"/>
        <v>45366</v>
      </c>
      <c r="H501">
        <f t="shared" si="175"/>
        <v>366</v>
      </c>
      <c r="I501">
        <f t="shared" si="176"/>
        <v>31</v>
      </c>
      <c r="J501">
        <f t="shared" si="177"/>
        <v>8.4699453551912565E-2</v>
      </c>
      <c r="K501">
        <f>IFERROR($J501/IF($A501&lt;COUNTIFS($K$1:K$1,"&lt;&gt;"),0,SUMIFS($J:$J,$B:$B,$B501,$A:$A,"&gt;="&amp;COUNTIFS($K$1:K$1,"&lt;&gt;"))),0)</f>
        <v>8.882521489971347E-2</v>
      </c>
      <c r="L501">
        <f>IFERROR($J501/IF($A501&lt;COUNTIFS($K$1:L$1,"&lt;&gt;"),0,SUMIFS($J:$J,$B:$B,$B501,$A:$A,"&gt;="&amp;COUNTIFS($K$1:L$1,"&lt;&gt;"))),0)</f>
        <v>9.7178683385579931E-2</v>
      </c>
      <c r="M501">
        <f>IFERROR($J501/IF($A501&lt;COUNTIFS($K$1:M$1,"&lt;&gt;"),0,SUMIFS($J:$J,$B:$B,$B501,$A:$A,"&gt;="&amp;COUNTIFS($K$1:M$1,"&lt;&gt;"))),0)</f>
        <v>0.10763888888888888</v>
      </c>
      <c r="N501">
        <f>IFERROR($J501/IF($A501&lt;COUNTIFS($K$1:N$1,"&lt;&gt;"),0,SUMIFS($J:$J,$B:$B,$B501,$A:$A,"&gt;="&amp;COUNTIFS($K$1:N$1,"&lt;&gt;"))),0)</f>
        <v>0.12015503875968991</v>
      </c>
      <c r="O501">
        <f>IFERROR($J501/IF($A501&lt;COUNTIFS($K$1:O$1,"&lt;&gt;"),0,SUMIFS($J:$J,$B:$B,$B501,$A:$A,"&gt;="&amp;COUNTIFS($K$1:O$1,"&lt;&gt;"))),0)</f>
        <v>0.13656387665198236</v>
      </c>
      <c r="P501">
        <f>IFERROR($J501/IF($A501&lt;COUNTIFS($K$1:P$1,"&lt;&gt;"),0,SUMIFS($J:$J,$B:$B,$B501,$A:$A,"&gt;="&amp;COUNTIFS($K$1:P$1,"&lt;&gt;"))),0)</f>
        <v>0</v>
      </c>
      <c r="Q501">
        <f>IFERROR($J501/IF($A501&lt;COUNTIFS($K$1:Q$1,"&lt;&gt;"),0,SUMIFS($J:$J,$B:$B,$B501,$A:$A,"&gt;="&amp;COUNTIFS($K$1:Q$1,"&lt;&gt;"))),0)</f>
        <v>0</v>
      </c>
      <c r="R501">
        <f>IFERROR($J501/IF($A501&lt;COUNTIFS($K$1:R$1,"&lt;&gt;"),0,SUMIFS($J:$J,$B:$B,$B501,$A:$A,"&gt;="&amp;COUNTIFS($K$1:R$1,"&lt;&gt;"))),0)</f>
        <v>0</v>
      </c>
      <c r="S501">
        <f>IFERROR($J501/IF($A501&lt;COUNTIFS($K$1:S$1,"&lt;&gt;"),0,SUMIFS($J:$J,$B:$B,$B501,$A:$A,"&gt;="&amp;COUNTIFS($K$1:S$1,"&lt;&gt;"))),0)</f>
        <v>0</v>
      </c>
      <c r="T501">
        <f>IFERROR($J501/IF($A501&lt;COUNTIFS($K$1:T$1,"&lt;&gt;"),0,SUMIFS($J:$J,$B:$B,$B501,$A:$A,"&gt;="&amp;COUNTIFS($K$1:T$1,"&lt;&gt;"))),0)</f>
        <v>0</v>
      </c>
      <c r="U501">
        <f>IFERROR($J501/IF($A501&lt;COUNTIFS($K$1:U$1,"&lt;&gt;"),0,SUMIFS($J:$J,$B:$B,$B501,$A:$A,"&gt;="&amp;COUNTIFS($K$1:U$1,"&lt;&gt;"))),0)</f>
        <v>0</v>
      </c>
      <c r="V501">
        <f>IFERROR($J501/IF($A501&lt;COUNTIFS($K$1:V$1,"&lt;&gt;"),0,SUMIFS($J:$J,$B:$B,$B501,$A:$A,"&gt;="&amp;COUNTIFS($K$1:V$1,"&lt;&gt;"))),0)</f>
        <v>0</v>
      </c>
      <c r="W501">
        <f t="shared" si="178"/>
        <v>8.4699453551912565E-2</v>
      </c>
      <c r="X501">
        <f t="shared" si="158"/>
        <v>8.4699453551912565E-2</v>
      </c>
      <c r="Y501">
        <f t="shared" si="159"/>
        <v>8.4699453551912565E-2</v>
      </c>
      <c r="Z501">
        <f t="shared" si="160"/>
        <v>8.4699453551912565E-2</v>
      </c>
      <c r="AA501">
        <f t="shared" si="161"/>
        <v>8.4699453551912565E-2</v>
      </c>
      <c r="AB501">
        <f t="shared" si="162"/>
        <v>8.4699453551912565E-2</v>
      </c>
      <c r="AC501">
        <f t="shared" si="163"/>
        <v>0</v>
      </c>
      <c r="AD501">
        <f t="shared" si="164"/>
        <v>0</v>
      </c>
      <c r="AE501">
        <f t="shared" si="165"/>
        <v>0</v>
      </c>
      <c r="AF501">
        <f t="shared" si="166"/>
        <v>0</v>
      </c>
      <c r="AG501">
        <f t="shared" si="167"/>
        <v>0</v>
      </c>
      <c r="AH501">
        <f t="shared" si="168"/>
        <v>0</v>
      </c>
      <c r="AI501">
        <f t="shared" si="169"/>
        <v>0</v>
      </c>
      <c r="AJ501" s="2" t="str">
        <f t="shared" si="179"/>
        <v>544986</v>
      </c>
    </row>
    <row r="502" spans="1:36" x14ac:dyDescent="0.25">
      <c r="A502">
        <v>6</v>
      </c>
      <c r="B502" s="1">
        <v>44986</v>
      </c>
      <c r="C502" s="1">
        <f t="shared" si="170"/>
        <v>45170</v>
      </c>
      <c r="D502" s="1">
        <f t="shared" si="171"/>
        <v>45000</v>
      </c>
      <c r="E502" s="1">
        <f t="shared" si="172"/>
        <v>45170</v>
      </c>
      <c r="F502" s="1">
        <f t="shared" si="173"/>
        <v>45200</v>
      </c>
      <c r="G502" s="1">
        <f t="shared" si="174"/>
        <v>45366</v>
      </c>
      <c r="H502">
        <f t="shared" si="175"/>
        <v>366</v>
      </c>
      <c r="I502">
        <f t="shared" si="176"/>
        <v>30</v>
      </c>
      <c r="J502">
        <f t="shared" si="177"/>
        <v>8.1967213114754092E-2</v>
      </c>
      <c r="K502">
        <f>IFERROR($J502/IF($A502&lt;COUNTIFS($K$1:K$1,"&lt;&gt;"),0,SUMIFS($J:$J,$B:$B,$B502,$A:$A,"&gt;="&amp;COUNTIFS($K$1:K$1,"&lt;&gt;"))),0)</f>
        <v>8.5959885386819479E-2</v>
      </c>
      <c r="L502">
        <f>IFERROR($J502/IF($A502&lt;COUNTIFS($K$1:L$1,"&lt;&gt;"),0,SUMIFS($J:$J,$B:$B,$B502,$A:$A,"&gt;="&amp;COUNTIFS($K$1:L$1,"&lt;&gt;"))),0)</f>
        <v>9.4043887147335414E-2</v>
      </c>
      <c r="M502">
        <f>IFERROR($J502/IF($A502&lt;COUNTIFS($K$1:M$1,"&lt;&gt;"),0,SUMIFS($J:$J,$B:$B,$B502,$A:$A,"&gt;="&amp;COUNTIFS($K$1:M$1,"&lt;&gt;"))),0)</f>
        <v>0.10416666666666666</v>
      </c>
      <c r="N502">
        <f>IFERROR($J502/IF($A502&lt;COUNTIFS($K$1:N$1,"&lt;&gt;"),0,SUMIFS($J:$J,$B:$B,$B502,$A:$A,"&gt;="&amp;COUNTIFS($K$1:N$1,"&lt;&gt;"))),0)</f>
        <v>0.11627906976744184</v>
      </c>
      <c r="O502">
        <f>IFERROR($J502/IF($A502&lt;COUNTIFS($K$1:O$1,"&lt;&gt;"),0,SUMIFS($J:$J,$B:$B,$B502,$A:$A,"&gt;="&amp;COUNTIFS($K$1:O$1,"&lt;&gt;"))),0)</f>
        <v>0.13215859030837002</v>
      </c>
      <c r="P502">
        <f>IFERROR($J502/IF($A502&lt;COUNTIFS($K$1:P$1,"&lt;&gt;"),0,SUMIFS($J:$J,$B:$B,$B502,$A:$A,"&gt;="&amp;COUNTIFS($K$1:P$1,"&lt;&gt;"))),0)</f>
        <v>0.15306122448979589</v>
      </c>
      <c r="Q502">
        <f>IFERROR($J502/IF($A502&lt;COUNTIFS($K$1:Q$1,"&lt;&gt;"),0,SUMIFS($J:$J,$B:$B,$B502,$A:$A,"&gt;="&amp;COUNTIFS($K$1:Q$1,"&lt;&gt;"))),0)</f>
        <v>0</v>
      </c>
      <c r="R502">
        <f>IFERROR($J502/IF($A502&lt;COUNTIFS($K$1:R$1,"&lt;&gt;"),0,SUMIFS($J:$J,$B:$B,$B502,$A:$A,"&gt;="&amp;COUNTIFS($K$1:R$1,"&lt;&gt;"))),0)</f>
        <v>0</v>
      </c>
      <c r="S502">
        <f>IFERROR($J502/IF($A502&lt;COUNTIFS($K$1:S$1,"&lt;&gt;"),0,SUMIFS($J:$J,$B:$B,$B502,$A:$A,"&gt;="&amp;COUNTIFS($K$1:S$1,"&lt;&gt;"))),0)</f>
        <v>0</v>
      </c>
      <c r="T502">
        <f>IFERROR($J502/IF($A502&lt;COUNTIFS($K$1:T$1,"&lt;&gt;"),0,SUMIFS($J:$J,$B:$B,$B502,$A:$A,"&gt;="&amp;COUNTIFS($K$1:T$1,"&lt;&gt;"))),0)</f>
        <v>0</v>
      </c>
      <c r="U502">
        <f>IFERROR($J502/IF($A502&lt;COUNTIFS($K$1:U$1,"&lt;&gt;"),0,SUMIFS($J:$J,$B:$B,$B502,$A:$A,"&gt;="&amp;COUNTIFS($K$1:U$1,"&lt;&gt;"))),0)</f>
        <v>0</v>
      </c>
      <c r="V502">
        <f>IFERROR($J502/IF($A502&lt;COUNTIFS($K$1:V$1,"&lt;&gt;"),0,SUMIFS($J:$J,$B:$B,$B502,$A:$A,"&gt;="&amp;COUNTIFS($K$1:V$1,"&lt;&gt;"))),0)</f>
        <v>0</v>
      </c>
      <c r="W502">
        <f t="shared" si="178"/>
        <v>8.1967213114754092E-2</v>
      </c>
      <c r="X502">
        <f t="shared" si="158"/>
        <v>8.1967213114754092E-2</v>
      </c>
      <c r="Y502">
        <f t="shared" si="159"/>
        <v>8.1967213114754092E-2</v>
      </c>
      <c r="Z502">
        <f t="shared" si="160"/>
        <v>8.1967213114754092E-2</v>
      </c>
      <c r="AA502">
        <f t="shared" si="161"/>
        <v>8.1967213114754092E-2</v>
      </c>
      <c r="AB502">
        <f t="shared" si="162"/>
        <v>8.1967213114754092E-2</v>
      </c>
      <c r="AC502">
        <f t="shared" si="163"/>
        <v>8.1967213114754092E-2</v>
      </c>
      <c r="AD502">
        <f t="shared" si="164"/>
        <v>0</v>
      </c>
      <c r="AE502">
        <f t="shared" si="165"/>
        <v>0</v>
      </c>
      <c r="AF502">
        <f t="shared" si="166"/>
        <v>0</v>
      </c>
      <c r="AG502">
        <f t="shared" si="167"/>
        <v>0</v>
      </c>
      <c r="AH502">
        <f t="shared" si="168"/>
        <v>0</v>
      </c>
      <c r="AI502">
        <f t="shared" si="169"/>
        <v>0</v>
      </c>
      <c r="AJ502" s="2" t="str">
        <f t="shared" si="179"/>
        <v>644986</v>
      </c>
    </row>
    <row r="503" spans="1:36" x14ac:dyDescent="0.25">
      <c r="A503">
        <v>7</v>
      </c>
      <c r="B503" s="1">
        <v>44986</v>
      </c>
      <c r="C503" s="1">
        <f t="shared" si="170"/>
        <v>45200</v>
      </c>
      <c r="D503" s="1">
        <f t="shared" si="171"/>
        <v>45000</v>
      </c>
      <c r="E503" s="1">
        <f t="shared" si="172"/>
        <v>45200</v>
      </c>
      <c r="F503" s="1">
        <f t="shared" si="173"/>
        <v>45231</v>
      </c>
      <c r="G503" s="1">
        <f t="shared" si="174"/>
        <v>45366</v>
      </c>
      <c r="H503">
        <f t="shared" si="175"/>
        <v>366</v>
      </c>
      <c r="I503">
        <f t="shared" si="176"/>
        <v>31</v>
      </c>
      <c r="J503">
        <f t="shared" si="177"/>
        <v>8.4699453551912565E-2</v>
      </c>
      <c r="K503">
        <f>IFERROR($J503/IF($A503&lt;COUNTIFS($K$1:K$1,"&lt;&gt;"),0,SUMIFS($J:$J,$B:$B,$B503,$A:$A,"&gt;="&amp;COUNTIFS($K$1:K$1,"&lt;&gt;"))),0)</f>
        <v>8.882521489971347E-2</v>
      </c>
      <c r="L503">
        <f>IFERROR($J503/IF($A503&lt;COUNTIFS($K$1:L$1,"&lt;&gt;"),0,SUMIFS($J:$J,$B:$B,$B503,$A:$A,"&gt;="&amp;COUNTIFS($K$1:L$1,"&lt;&gt;"))),0)</f>
        <v>9.7178683385579931E-2</v>
      </c>
      <c r="M503">
        <f>IFERROR($J503/IF($A503&lt;COUNTIFS($K$1:M$1,"&lt;&gt;"),0,SUMIFS($J:$J,$B:$B,$B503,$A:$A,"&gt;="&amp;COUNTIFS($K$1:M$1,"&lt;&gt;"))),0)</f>
        <v>0.10763888888888888</v>
      </c>
      <c r="N503">
        <f>IFERROR($J503/IF($A503&lt;COUNTIFS($K$1:N$1,"&lt;&gt;"),0,SUMIFS($J:$J,$B:$B,$B503,$A:$A,"&gt;="&amp;COUNTIFS($K$1:N$1,"&lt;&gt;"))),0)</f>
        <v>0.12015503875968991</v>
      </c>
      <c r="O503">
        <f>IFERROR($J503/IF($A503&lt;COUNTIFS($K$1:O$1,"&lt;&gt;"),0,SUMIFS($J:$J,$B:$B,$B503,$A:$A,"&gt;="&amp;COUNTIFS($K$1:O$1,"&lt;&gt;"))),0)</f>
        <v>0.13656387665198236</v>
      </c>
      <c r="P503">
        <f>IFERROR($J503/IF($A503&lt;COUNTIFS($K$1:P$1,"&lt;&gt;"),0,SUMIFS($J:$J,$B:$B,$B503,$A:$A,"&gt;="&amp;COUNTIFS($K$1:P$1,"&lt;&gt;"))),0)</f>
        <v>0.15816326530612243</v>
      </c>
      <c r="Q503">
        <f>IFERROR($J503/IF($A503&lt;COUNTIFS($K$1:Q$1,"&lt;&gt;"),0,SUMIFS($J:$J,$B:$B,$B503,$A:$A,"&gt;="&amp;COUNTIFS($K$1:Q$1,"&lt;&gt;"))),0)</f>
        <v>0.18674698795180722</v>
      </c>
      <c r="R503">
        <f>IFERROR($J503/IF($A503&lt;COUNTIFS($K$1:R$1,"&lt;&gt;"),0,SUMIFS($J:$J,$B:$B,$B503,$A:$A,"&gt;="&amp;COUNTIFS($K$1:R$1,"&lt;&gt;"))),0)</f>
        <v>0</v>
      </c>
      <c r="S503">
        <f>IFERROR($J503/IF($A503&lt;COUNTIFS($K$1:S$1,"&lt;&gt;"),0,SUMIFS($J:$J,$B:$B,$B503,$A:$A,"&gt;="&amp;COUNTIFS($K$1:S$1,"&lt;&gt;"))),0)</f>
        <v>0</v>
      </c>
      <c r="T503">
        <f>IFERROR($J503/IF($A503&lt;COUNTIFS($K$1:T$1,"&lt;&gt;"),0,SUMIFS($J:$J,$B:$B,$B503,$A:$A,"&gt;="&amp;COUNTIFS($K$1:T$1,"&lt;&gt;"))),0)</f>
        <v>0</v>
      </c>
      <c r="U503">
        <f>IFERROR($J503/IF($A503&lt;COUNTIFS($K$1:U$1,"&lt;&gt;"),0,SUMIFS($J:$J,$B:$B,$B503,$A:$A,"&gt;="&amp;COUNTIFS($K$1:U$1,"&lt;&gt;"))),0)</f>
        <v>0</v>
      </c>
      <c r="V503">
        <f>IFERROR($J503/IF($A503&lt;COUNTIFS($K$1:V$1,"&lt;&gt;"),0,SUMIFS($J:$J,$B:$B,$B503,$A:$A,"&gt;="&amp;COUNTIFS($K$1:V$1,"&lt;&gt;"))),0)</f>
        <v>0</v>
      </c>
      <c r="W503">
        <f t="shared" si="178"/>
        <v>8.4699453551912565E-2</v>
      </c>
      <c r="X503">
        <f t="shared" si="158"/>
        <v>8.4699453551912565E-2</v>
      </c>
      <c r="Y503">
        <f t="shared" si="159"/>
        <v>8.4699453551912565E-2</v>
      </c>
      <c r="Z503">
        <f t="shared" si="160"/>
        <v>8.4699453551912565E-2</v>
      </c>
      <c r="AA503">
        <f t="shared" si="161"/>
        <v>8.4699453551912565E-2</v>
      </c>
      <c r="AB503">
        <f t="shared" si="162"/>
        <v>8.4699453551912565E-2</v>
      </c>
      <c r="AC503">
        <f t="shared" si="163"/>
        <v>8.4699453551912565E-2</v>
      </c>
      <c r="AD503">
        <f t="shared" si="164"/>
        <v>8.4699453551912565E-2</v>
      </c>
      <c r="AE503">
        <f t="shared" si="165"/>
        <v>0</v>
      </c>
      <c r="AF503">
        <f t="shared" si="166"/>
        <v>0</v>
      </c>
      <c r="AG503">
        <f t="shared" si="167"/>
        <v>0</v>
      </c>
      <c r="AH503">
        <f t="shared" si="168"/>
        <v>0</v>
      </c>
      <c r="AI503">
        <f t="shared" si="169"/>
        <v>0</v>
      </c>
      <c r="AJ503" s="2" t="str">
        <f t="shared" si="179"/>
        <v>744986</v>
      </c>
    </row>
    <row r="504" spans="1:36" x14ac:dyDescent="0.25">
      <c r="A504">
        <v>8</v>
      </c>
      <c r="B504" s="1">
        <v>44986</v>
      </c>
      <c r="C504" s="1">
        <f t="shared" si="170"/>
        <v>45231</v>
      </c>
      <c r="D504" s="1">
        <f t="shared" si="171"/>
        <v>45000</v>
      </c>
      <c r="E504" s="1">
        <f t="shared" si="172"/>
        <v>45231</v>
      </c>
      <c r="F504" s="1">
        <f t="shared" si="173"/>
        <v>45261</v>
      </c>
      <c r="G504" s="1">
        <f t="shared" si="174"/>
        <v>45366</v>
      </c>
      <c r="H504">
        <f t="shared" si="175"/>
        <v>366</v>
      </c>
      <c r="I504">
        <f t="shared" si="176"/>
        <v>30</v>
      </c>
      <c r="J504">
        <f t="shared" si="177"/>
        <v>8.1967213114754092E-2</v>
      </c>
      <c r="K504">
        <f>IFERROR($J504/IF($A504&lt;COUNTIFS($K$1:K$1,"&lt;&gt;"),0,SUMIFS($J:$J,$B:$B,$B504,$A:$A,"&gt;="&amp;COUNTIFS($K$1:K$1,"&lt;&gt;"))),0)</f>
        <v>8.5959885386819479E-2</v>
      </c>
      <c r="L504">
        <f>IFERROR($J504/IF($A504&lt;COUNTIFS($K$1:L$1,"&lt;&gt;"),0,SUMIFS($J:$J,$B:$B,$B504,$A:$A,"&gt;="&amp;COUNTIFS($K$1:L$1,"&lt;&gt;"))),0)</f>
        <v>9.4043887147335414E-2</v>
      </c>
      <c r="M504">
        <f>IFERROR($J504/IF($A504&lt;COUNTIFS($K$1:M$1,"&lt;&gt;"),0,SUMIFS($J:$J,$B:$B,$B504,$A:$A,"&gt;="&amp;COUNTIFS($K$1:M$1,"&lt;&gt;"))),0)</f>
        <v>0.10416666666666666</v>
      </c>
      <c r="N504">
        <f>IFERROR($J504/IF($A504&lt;COUNTIFS($K$1:N$1,"&lt;&gt;"),0,SUMIFS($J:$J,$B:$B,$B504,$A:$A,"&gt;="&amp;COUNTIFS($K$1:N$1,"&lt;&gt;"))),0)</f>
        <v>0.11627906976744184</v>
      </c>
      <c r="O504">
        <f>IFERROR($J504/IF($A504&lt;COUNTIFS($K$1:O$1,"&lt;&gt;"),0,SUMIFS($J:$J,$B:$B,$B504,$A:$A,"&gt;="&amp;COUNTIFS($K$1:O$1,"&lt;&gt;"))),0)</f>
        <v>0.13215859030837002</v>
      </c>
      <c r="P504">
        <f>IFERROR($J504/IF($A504&lt;COUNTIFS($K$1:P$1,"&lt;&gt;"),0,SUMIFS($J:$J,$B:$B,$B504,$A:$A,"&gt;="&amp;COUNTIFS($K$1:P$1,"&lt;&gt;"))),0)</f>
        <v>0.15306122448979589</v>
      </c>
      <c r="Q504">
        <f>IFERROR($J504/IF($A504&lt;COUNTIFS($K$1:Q$1,"&lt;&gt;"),0,SUMIFS($J:$J,$B:$B,$B504,$A:$A,"&gt;="&amp;COUNTIFS($K$1:Q$1,"&lt;&gt;"))),0)</f>
        <v>0.18072289156626503</v>
      </c>
      <c r="R504">
        <f>IFERROR($J504/IF($A504&lt;COUNTIFS($K$1:R$1,"&lt;&gt;"),0,SUMIFS($J:$J,$B:$B,$B504,$A:$A,"&gt;="&amp;COUNTIFS($K$1:R$1,"&lt;&gt;"))),0)</f>
        <v>0.22222222222222218</v>
      </c>
      <c r="S504">
        <f>IFERROR($J504/IF($A504&lt;COUNTIFS($K$1:S$1,"&lt;&gt;"),0,SUMIFS($J:$J,$B:$B,$B504,$A:$A,"&gt;="&amp;COUNTIFS($K$1:S$1,"&lt;&gt;"))),0)</f>
        <v>0</v>
      </c>
      <c r="T504">
        <f>IFERROR($J504/IF($A504&lt;COUNTIFS($K$1:T$1,"&lt;&gt;"),0,SUMIFS($J:$J,$B:$B,$B504,$A:$A,"&gt;="&amp;COUNTIFS($K$1:T$1,"&lt;&gt;"))),0)</f>
        <v>0</v>
      </c>
      <c r="U504">
        <f>IFERROR($J504/IF($A504&lt;COUNTIFS($K$1:U$1,"&lt;&gt;"),0,SUMIFS($J:$J,$B:$B,$B504,$A:$A,"&gt;="&amp;COUNTIFS($K$1:U$1,"&lt;&gt;"))),0)</f>
        <v>0</v>
      </c>
      <c r="V504">
        <f>IFERROR($J504/IF($A504&lt;COUNTIFS($K$1:V$1,"&lt;&gt;"),0,SUMIFS($J:$J,$B:$B,$B504,$A:$A,"&gt;="&amp;COUNTIFS($K$1:V$1,"&lt;&gt;"))),0)</f>
        <v>0</v>
      </c>
      <c r="W504">
        <f t="shared" si="178"/>
        <v>8.1967213114754092E-2</v>
      </c>
      <c r="X504">
        <f t="shared" si="158"/>
        <v>8.1967213114754092E-2</v>
      </c>
      <c r="Y504">
        <f t="shared" si="159"/>
        <v>8.1967213114754092E-2</v>
      </c>
      <c r="Z504">
        <f t="shared" si="160"/>
        <v>8.1967213114754092E-2</v>
      </c>
      <c r="AA504">
        <f t="shared" si="161"/>
        <v>8.1967213114754092E-2</v>
      </c>
      <c r="AB504">
        <f t="shared" si="162"/>
        <v>8.1967213114754092E-2</v>
      </c>
      <c r="AC504">
        <f t="shared" si="163"/>
        <v>8.1967213114754092E-2</v>
      </c>
      <c r="AD504">
        <f t="shared" si="164"/>
        <v>8.1967213114754092E-2</v>
      </c>
      <c r="AE504">
        <f t="shared" si="165"/>
        <v>8.1967213114754092E-2</v>
      </c>
      <c r="AF504">
        <f t="shared" si="166"/>
        <v>0</v>
      </c>
      <c r="AG504">
        <f t="shared" si="167"/>
        <v>0</v>
      </c>
      <c r="AH504">
        <f t="shared" si="168"/>
        <v>0</v>
      </c>
      <c r="AI504">
        <f t="shared" si="169"/>
        <v>0</v>
      </c>
      <c r="AJ504" s="2" t="str">
        <f t="shared" si="179"/>
        <v>844986</v>
      </c>
    </row>
    <row r="505" spans="1:36" x14ac:dyDescent="0.25">
      <c r="A505">
        <v>9</v>
      </c>
      <c r="B505" s="1">
        <v>44986</v>
      </c>
      <c r="C505" s="1">
        <f t="shared" si="170"/>
        <v>45261</v>
      </c>
      <c r="D505" s="1">
        <f t="shared" si="171"/>
        <v>45000</v>
      </c>
      <c r="E505" s="1">
        <f t="shared" si="172"/>
        <v>45261</v>
      </c>
      <c r="F505" s="1">
        <f t="shared" si="173"/>
        <v>45292</v>
      </c>
      <c r="G505" s="1">
        <f t="shared" si="174"/>
        <v>45366</v>
      </c>
      <c r="H505">
        <f t="shared" si="175"/>
        <v>366</v>
      </c>
      <c r="I505">
        <f t="shared" si="176"/>
        <v>31</v>
      </c>
      <c r="J505">
        <f t="shared" si="177"/>
        <v>8.4699453551912565E-2</v>
      </c>
      <c r="K505">
        <f>IFERROR($J505/IF($A505&lt;COUNTIFS($K$1:K$1,"&lt;&gt;"),0,SUMIFS($J:$J,$B:$B,$B505,$A:$A,"&gt;="&amp;COUNTIFS($K$1:K$1,"&lt;&gt;"))),0)</f>
        <v>8.882521489971347E-2</v>
      </c>
      <c r="L505">
        <f>IFERROR($J505/IF($A505&lt;COUNTIFS($K$1:L$1,"&lt;&gt;"),0,SUMIFS($J:$J,$B:$B,$B505,$A:$A,"&gt;="&amp;COUNTIFS($K$1:L$1,"&lt;&gt;"))),0)</f>
        <v>9.7178683385579931E-2</v>
      </c>
      <c r="M505">
        <f>IFERROR($J505/IF($A505&lt;COUNTIFS($K$1:M$1,"&lt;&gt;"),0,SUMIFS($J:$J,$B:$B,$B505,$A:$A,"&gt;="&amp;COUNTIFS($K$1:M$1,"&lt;&gt;"))),0)</f>
        <v>0.10763888888888888</v>
      </c>
      <c r="N505">
        <f>IFERROR($J505/IF($A505&lt;COUNTIFS($K$1:N$1,"&lt;&gt;"),0,SUMIFS($J:$J,$B:$B,$B505,$A:$A,"&gt;="&amp;COUNTIFS($K$1:N$1,"&lt;&gt;"))),0)</f>
        <v>0.12015503875968991</v>
      </c>
      <c r="O505">
        <f>IFERROR($J505/IF($A505&lt;COUNTIFS($K$1:O$1,"&lt;&gt;"),0,SUMIFS($J:$J,$B:$B,$B505,$A:$A,"&gt;="&amp;COUNTIFS($K$1:O$1,"&lt;&gt;"))),0)</f>
        <v>0.13656387665198236</v>
      </c>
      <c r="P505">
        <f>IFERROR($J505/IF($A505&lt;COUNTIFS($K$1:P$1,"&lt;&gt;"),0,SUMIFS($J:$J,$B:$B,$B505,$A:$A,"&gt;="&amp;COUNTIFS($K$1:P$1,"&lt;&gt;"))),0)</f>
        <v>0.15816326530612243</v>
      </c>
      <c r="Q505">
        <f>IFERROR($J505/IF($A505&lt;COUNTIFS($K$1:Q$1,"&lt;&gt;"),0,SUMIFS($J:$J,$B:$B,$B505,$A:$A,"&gt;="&amp;COUNTIFS($K$1:Q$1,"&lt;&gt;"))),0)</f>
        <v>0.18674698795180722</v>
      </c>
      <c r="R505">
        <f>IFERROR($J505/IF($A505&lt;COUNTIFS($K$1:R$1,"&lt;&gt;"),0,SUMIFS($J:$J,$B:$B,$B505,$A:$A,"&gt;="&amp;COUNTIFS($K$1:R$1,"&lt;&gt;"))),0)</f>
        <v>0.2296296296296296</v>
      </c>
      <c r="S505">
        <f>IFERROR($J505/IF($A505&lt;COUNTIFS($K$1:S$1,"&lt;&gt;"),0,SUMIFS($J:$J,$B:$B,$B505,$A:$A,"&gt;="&amp;COUNTIFS($K$1:S$1,"&lt;&gt;"))),0)</f>
        <v>0.29523809523809524</v>
      </c>
      <c r="T505">
        <f>IFERROR($J505/IF($A505&lt;COUNTIFS($K$1:T$1,"&lt;&gt;"),0,SUMIFS($J:$J,$B:$B,$B505,$A:$A,"&gt;="&amp;COUNTIFS($K$1:T$1,"&lt;&gt;"))),0)</f>
        <v>0</v>
      </c>
      <c r="U505">
        <f>IFERROR($J505/IF($A505&lt;COUNTIFS($K$1:U$1,"&lt;&gt;"),0,SUMIFS($J:$J,$B:$B,$B505,$A:$A,"&gt;="&amp;COUNTIFS($K$1:U$1,"&lt;&gt;"))),0)</f>
        <v>0</v>
      </c>
      <c r="V505">
        <f>IFERROR($J505/IF($A505&lt;COUNTIFS($K$1:V$1,"&lt;&gt;"),0,SUMIFS($J:$J,$B:$B,$B505,$A:$A,"&gt;="&amp;COUNTIFS($K$1:V$1,"&lt;&gt;"))),0)</f>
        <v>0</v>
      </c>
      <c r="W505">
        <f t="shared" si="178"/>
        <v>8.4699453551912565E-2</v>
      </c>
      <c r="X505">
        <f t="shared" si="158"/>
        <v>8.4699453551912565E-2</v>
      </c>
      <c r="Y505">
        <f t="shared" si="159"/>
        <v>8.4699453551912565E-2</v>
      </c>
      <c r="Z505">
        <f t="shared" si="160"/>
        <v>8.4699453551912565E-2</v>
      </c>
      <c r="AA505">
        <f t="shared" si="161"/>
        <v>8.4699453551912565E-2</v>
      </c>
      <c r="AB505">
        <f t="shared" si="162"/>
        <v>8.4699453551912565E-2</v>
      </c>
      <c r="AC505">
        <f t="shared" si="163"/>
        <v>8.4699453551912565E-2</v>
      </c>
      <c r="AD505">
        <f t="shared" si="164"/>
        <v>8.4699453551912565E-2</v>
      </c>
      <c r="AE505">
        <f t="shared" si="165"/>
        <v>8.4699453551912565E-2</v>
      </c>
      <c r="AF505">
        <f t="shared" si="166"/>
        <v>8.4699453551912565E-2</v>
      </c>
      <c r="AG505">
        <f t="shared" si="167"/>
        <v>0</v>
      </c>
      <c r="AH505">
        <f t="shared" si="168"/>
        <v>0</v>
      </c>
      <c r="AI505">
        <f t="shared" si="169"/>
        <v>0</v>
      </c>
      <c r="AJ505" s="2" t="str">
        <f t="shared" si="179"/>
        <v>944986</v>
      </c>
    </row>
    <row r="506" spans="1:36" x14ac:dyDescent="0.25">
      <c r="A506">
        <v>10</v>
      </c>
      <c r="B506" s="1">
        <v>44986</v>
      </c>
      <c r="C506" s="1">
        <f t="shared" si="170"/>
        <v>45292</v>
      </c>
      <c r="D506" s="1">
        <f t="shared" si="171"/>
        <v>45000</v>
      </c>
      <c r="E506" s="1">
        <f t="shared" si="172"/>
        <v>45292</v>
      </c>
      <c r="F506" s="1">
        <f t="shared" si="173"/>
        <v>45323</v>
      </c>
      <c r="G506" s="1">
        <f t="shared" si="174"/>
        <v>45366</v>
      </c>
      <c r="H506">
        <f t="shared" si="175"/>
        <v>366</v>
      </c>
      <c r="I506">
        <f t="shared" si="176"/>
        <v>31</v>
      </c>
      <c r="J506">
        <f t="shared" si="177"/>
        <v>8.4699453551912565E-2</v>
      </c>
      <c r="K506">
        <f>IFERROR($J506/IF($A506&lt;COUNTIFS($K$1:K$1,"&lt;&gt;"),0,SUMIFS($J:$J,$B:$B,$B506,$A:$A,"&gt;="&amp;COUNTIFS($K$1:K$1,"&lt;&gt;"))),0)</f>
        <v>8.882521489971347E-2</v>
      </c>
      <c r="L506">
        <f>IFERROR($J506/IF($A506&lt;COUNTIFS($K$1:L$1,"&lt;&gt;"),0,SUMIFS($J:$J,$B:$B,$B506,$A:$A,"&gt;="&amp;COUNTIFS($K$1:L$1,"&lt;&gt;"))),0)</f>
        <v>9.7178683385579931E-2</v>
      </c>
      <c r="M506">
        <f>IFERROR($J506/IF($A506&lt;COUNTIFS($K$1:M$1,"&lt;&gt;"),0,SUMIFS($J:$J,$B:$B,$B506,$A:$A,"&gt;="&amp;COUNTIFS($K$1:M$1,"&lt;&gt;"))),0)</f>
        <v>0.10763888888888888</v>
      </c>
      <c r="N506">
        <f>IFERROR($J506/IF($A506&lt;COUNTIFS($K$1:N$1,"&lt;&gt;"),0,SUMIFS($J:$J,$B:$B,$B506,$A:$A,"&gt;="&amp;COUNTIFS($K$1:N$1,"&lt;&gt;"))),0)</f>
        <v>0.12015503875968991</v>
      </c>
      <c r="O506">
        <f>IFERROR($J506/IF($A506&lt;COUNTIFS($K$1:O$1,"&lt;&gt;"),0,SUMIFS($J:$J,$B:$B,$B506,$A:$A,"&gt;="&amp;COUNTIFS($K$1:O$1,"&lt;&gt;"))),0)</f>
        <v>0.13656387665198236</v>
      </c>
      <c r="P506">
        <f>IFERROR($J506/IF($A506&lt;COUNTIFS($K$1:P$1,"&lt;&gt;"),0,SUMIFS($J:$J,$B:$B,$B506,$A:$A,"&gt;="&amp;COUNTIFS($K$1:P$1,"&lt;&gt;"))),0)</f>
        <v>0.15816326530612243</v>
      </c>
      <c r="Q506">
        <f>IFERROR($J506/IF($A506&lt;COUNTIFS($K$1:Q$1,"&lt;&gt;"),0,SUMIFS($J:$J,$B:$B,$B506,$A:$A,"&gt;="&amp;COUNTIFS($K$1:Q$1,"&lt;&gt;"))),0)</f>
        <v>0.18674698795180722</v>
      </c>
      <c r="R506">
        <f>IFERROR($J506/IF($A506&lt;COUNTIFS($K$1:R$1,"&lt;&gt;"),0,SUMIFS($J:$J,$B:$B,$B506,$A:$A,"&gt;="&amp;COUNTIFS($K$1:R$1,"&lt;&gt;"))),0)</f>
        <v>0.2296296296296296</v>
      </c>
      <c r="S506">
        <f>IFERROR($J506/IF($A506&lt;COUNTIFS($K$1:S$1,"&lt;&gt;"),0,SUMIFS($J:$J,$B:$B,$B506,$A:$A,"&gt;="&amp;COUNTIFS($K$1:S$1,"&lt;&gt;"))),0)</f>
        <v>0.29523809523809524</v>
      </c>
      <c r="T506">
        <f>IFERROR($J506/IF($A506&lt;COUNTIFS($K$1:T$1,"&lt;&gt;"),0,SUMIFS($J:$J,$B:$B,$B506,$A:$A,"&gt;="&amp;COUNTIFS($K$1:T$1,"&lt;&gt;"))),0)</f>
        <v>0.41891891891891891</v>
      </c>
      <c r="U506">
        <f>IFERROR($J506/IF($A506&lt;COUNTIFS($K$1:U$1,"&lt;&gt;"),0,SUMIFS($J:$J,$B:$B,$B506,$A:$A,"&gt;="&amp;COUNTIFS($K$1:U$1,"&lt;&gt;"))),0)</f>
        <v>0</v>
      </c>
      <c r="V506">
        <f>IFERROR($J506/IF($A506&lt;COUNTIFS($K$1:V$1,"&lt;&gt;"),0,SUMIFS($J:$J,$B:$B,$B506,$A:$A,"&gt;="&amp;COUNTIFS($K$1:V$1,"&lt;&gt;"))),0)</f>
        <v>0</v>
      </c>
      <c r="W506">
        <f t="shared" si="178"/>
        <v>8.4699453551912565E-2</v>
      </c>
      <c r="X506">
        <f t="shared" si="158"/>
        <v>8.4699453551912565E-2</v>
      </c>
      <c r="Y506">
        <f t="shared" si="159"/>
        <v>8.4699453551912565E-2</v>
      </c>
      <c r="Z506">
        <f t="shared" si="160"/>
        <v>8.4699453551912565E-2</v>
      </c>
      <c r="AA506">
        <f t="shared" si="161"/>
        <v>8.4699453551912565E-2</v>
      </c>
      <c r="AB506">
        <f t="shared" si="162"/>
        <v>8.4699453551912565E-2</v>
      </c>
      <c r="AC506">
        <f t="shared" si="163"/>
        <v>8.4699453551912565E-2</v>
      </c>
      <c r="AD506">
        <f t="shared" si="164"/>
        <v>8.4699453551912565E-2</v>
      </c>
      <c r="AE506">
        <f t="shared" si="165"/>
        <v>8.4699453551912565E-2</v>
      </c>
      <c r="AF506">
        <f t="shared" si="166"/>
        <v>8.4699453551912565E-2</v>
      </c>
      <c r="AG506">
        <f t="shared" si="167"/>
        <v>8.4699453551912565E-2</v>
      </c>
      <c r="AH506">
        <f t="shared" si="168"/>
        <v>0</v>
      </c>
      <c r="AI506">
        <f t="shared" si="169"/>
        <v>0</v>
      </c>
      <c r="AJ506" s="2" t="str">
        <f t="shared" si="179"/>
        <v>1044986</v>
      </c>
    </row>
    <row r="507" spans="1:36" x14ac:dyDescent="0.25">
      <c r="A507">
        <v>11</v>
      </c>
      <c r="B507" s="1">
        <v>44986</v>
      </c>
      <c r="C507" s="1">
        <f t="shared" si="170"/>
        <v>45323</v>
      </c>
      <c r="D507" s="1">
        <f t="shared" si="171"/>
        <v>45000</v>
      </c>
      <c r="E507" s="1">
        <f t="shared" si="172"/>
        <v>45323</v>
      </c>
      <c r="F507" s="1">
        <f t="shared" si="173"/>
        <v>45352</v>
      </c>
      <c r="G507" s="1">
        <f t="shared" si="174"/>
        <v>45366</v>
      </c>
      <c r="H507">
        <f t="shared" si="175"/>
        <v>366</v>
      </c>
      <c r="I507">
        <f t="shared" si="176"/>
        <v>29</v>
      </c>
      <c r="J507">
        <f t="shared" si="177"/>
        <v>7.9234972677595633E-2</v>
      </c>
      <c r="K507">
        <f>IFERROR($J507/IF($A507&lt;COUNTIFS($K$1:K$1,"&lt;&gt;"),0,SUMIFS($J:$J,$B:$B,$B507,$A:$A,"&gt;="&amp;COUNTIFS($K$1:K$1,"&lt;&gt;"))),0)</f>
        <v>8.3094555873925516E-2</v>
      </c>
      <c r="L507">
        <f>IFERROR($J507/IF($A507&lt;COUNTIFS($K$1:L$1,"&lt;&gt;"),0,SUMIFS($J:$J,$B:$B,$B507,$A:$A,"&gt;="&amp;COUNTIFS($K$1:L$1,"&lt;&gt;"))),0)</f>
        <v>9.0909090909090912E-2</v>
      </c>
      <c r="M507">
        <f>IFERROR($J507/IF($A507&lt;COUNTIFS($K$1:M$1,"&lt;&gt;"),0,SUMIFS($J:$J,$B:$B,$B507,$A:$A,"&gt;="&amp;COUNTIFS($K$1:M$1,"&lt;&gt;"))),0)</f>
        <v>0.10069444444444445</v>
      </c>
      <c r="N507">
        <f>IFERROR($J507/IF($A507&lt;COUNTIFS($K$1:N$1,"&lt;&gt;"),0,SUMIFS($J:$J,$B:$B,$B507,$A:$A,"&gt;="&amp;COUNTIFS($K$1:N$1,"&lt;&gt;"))),0)</f>
        <v>0.1124031007751938</v>
      </c>
      <c r="O507">
        <f>IFERROR($J507/IF($A507&lt;COUNTIFS($K$1:O$1,"&lt;&gt;"),0,SUMIFS($J:$J,$B:$B,$B507,$A:$A,"&gt;="&amp;COUNTIFS($K$1:O$1,"&lt;&gt;"))),0)</f>
        <v>0.1277533039647577</v>
      </c>
      <c r="P507">
        <f>IFERROR($J507/IF($A507&lt;COUNTIFS($K$1:P$1,"&lt;&gt;"),0,SUMIFS($J:$J,$B:$B,$B507,$A:$A,"&gt;="&amp;COUNTIFS($K$1:P$1,"&lt;&gt;"))),0)</f>
        <v>0.14795918367346939</v>
      </c>
      <c r="Q507">
        <f>IFERROR($J507/IF($A507&lt;COUNTIFS($K$1:Q$1,"&lt;&gt;"),0,SUMIFS($J:$J,$B:$B,$B507,$A:$A,"&gt;="&amp;COUNTIFS($K$1:Q$1,"&lt;&gt;"))),0)</f>
        <v>0.1746987951807229</v>
      </c>
      <c r="R507">
        <f>IFERROR($J507/IF($A507&lt;COUNTIFS($K$1:R$1,"&lt;&gt;"),0,SUMIFS($J:$J,$B:$B,$B507,$A:$A,"&gt;="&amp;COUNTIFS($K$1:R$1,"&lt;&gt;"))),0)</f>
        <v>0.21481481481481482</v>
      </c>
      <c r="S507">
        <f>IFERROR($J507/IF($A507&lt;COUNTIFS($K$1:S$1,"&lt;&gt;"),0,SUMIFS($J:$J,$B:$B,$B507,$A:$A,"&gt;="&amp;COUNTIFS($K$1:S$1,"&lt;&gt;"))),0)</f>
        <v>0.27619047619047621</v>
      </c>
      <c r="T507">
        <f>IFERROR($J507/IF($A507&lt;COUNTIFS($K$1:T$1,"&lt;&gt;"),0,SUMIFS($J:$J,$B:$B,$B507,$A:$A,"&gt;="&amp;COUNTIFS($K$1:T$1,"&lt;&gt;"))),0)</f>
        <v>0.39189189189189189</v>
      </c>
      <c r="U507">
        <f>IFERROR($J507/IF($A507&lt;COUNTIFS($K$1:U$1,"&lt;&gt;"),0,SUMIFS($J:$J,$B:$B,$B507,$A:$A,"&gt;="&amp;COUNTIFS($K$1:U$1,"&lt;&gt;"))),0)</f>
        <v>0.67441860465116277</v>
      </c>
      <c r="V507">
        <f>IFERROR($J507/IF($A507&lt;COUNTIFS($K$1:V$1,"&lt;&gt;"),0,SUMIFS($J:$J,$B:$B,$B507,$A:$A,"&gt;="&amp;COUNTIFS($K$1:V$1,"&lt;&gt;"))),0)</f>
        <v>0</v>
      </c>
      <c r="W507">
        <f t="shared" si="178"/>
        <v>7.9234972677595633E-2</v>
      </c>
      <c r="X507">
        <f t="shared" si="158"/>
        <v>7.9234972677595633E-2</v>
      </c>
      <c r="Y507">
        <f t="shared" si="159"/>
        <v>7.9234972677595633E-2</v>
      </c>
      <c r="Z507">
        <f t="shared" si="160"/>
        <v>7.9234972677595633E-2</v>
      </c>
      <c r="AA507">
        <f t="shared" si="161"/>
        <v>7.9234972677595633E-2</v>
      </c>
      <c r="AB507">
        <f t="shared" si="162"/>
        <v>7.9234972677595633E-2</v>
      </c>
      <c r="AC507">
        <f t="shared" si="163"/>
        <v>7.9234972677595633E-2</v>
      </c>
      <c r="AD507">
        <f t="shared" si="164"/>
        <v>7.9234972677595633E-2</v>
      </c>
      <c r="AE507">
        <f t="shared" si="165"/>
        <v>7.9234972677595633E-2</v>
      </c>
      <c r="AF507">
        <f t="shared" si="166"/>
        <v>7.9234972677595633E-2</v>
      </c>
      <c r="AG507">
        <f t="shared" si="167"/>
        <v>7.9234972677595633E-2</v>
      </c>
      <c r="AH507">
        <f t="shared" si="168"/>
        <v>7.9234972677595633E-2</v>
      </c>
      <c r="AI507">
        <f t="shared" si="169"/>
        <v>0</v>
      </c>
      <c r="AJ507" s="2" t="str">
        <f t="shared" si="179"/>
        <v>1144986</v>
      </c>
    </row>
    <row r="508" spans="1:36" x14ac:dyDescent="0.25">
      <c r="A508">
        <v>12</v>
      </c>
      <c r="B508" s="1">
        <v>44986</v>
      </c>
      <c r="C508" s="1">
        <f t="shared" si="170"/>
        <v>45352</v>
      </c>
      <c r="D508" s="1">
        <f t="shared" si="171"/>
        <v>45000</v>
      </c>
      <c r="E508" s="1">
        <f t="shared" si="172"/>
        <v>45352</v>
      </c>
      <c r="F508" s="1">
        <f t="shared" si="173"/>
        <v>45366</v>
      </c>
      <c r="G508" s="1">
        <f t="shared" si="174"/>
        <v>45366</v>
      </c>
      <c r="H508">
        <f t="shared" si="175"/>
        <v>366</v>
      </c>
      <c r="I508">
        <f t="shared" si="176"/>
        <v>14</v>
      </c>
      <c r="J508">
        <f t="shared" si="177"/>
        <v>3.825136612021858E-2</v>
      </c>
      <c r="K508">
        <f>IFERROR($J508/IF($A508&lt;COUNTIFS($K$1:K$1,"&lt;&gt;"),0,SUMIFS($J:$J,$B:$B,$B508,$A:$A,"&gt;="&amp;COUNTIFS($K$1:K$1,"&lt;&gt;"))),0)</f>
        <v>4.0114613180515762E-2</v>
      </c>
      <c r="L508">
        <f>IFERROR($J508/IF($A508&lt;COUNTIFS($K$1:L$1,"&lt;&gt;"),0,SUMIFS($J:$J,$B:$B,$B508,$A:$A,"&gt;="&amp;COUNTIFS($K$1:L$1,"&lt;&gt;"))),0)</f>
        <v>4.3887147335423198E-2</v>
      </c>
      <c r="M508">
        <f>IFERROR($J508/IF($A508&lt;COUNTIFS($K$1:M$1,"&lt;&gt;"),0,SUMIFS($J:$J,$B:$B,$B508,$A:$A,"&gt;="&amp;COUNTIFS($K$1:M$1,"&lt;&gt;"))),0)</f>
        <v>4.8611111111111112E-2</v>
      </c>
      <c r="N508">
        <f>IFERROR($J508/IF($A508&lt;COUNTIFS($K$1:N$1,"&lt;&gt;"),0,SUMIFS($J:$J,$B:$B,$B508,$A:$A,"&gt;="&amp;COUNTIFS($K$1:N$1,"&lt;&gt;"))),0)</f>
        <v>5.4263565891472867E-2</v>
      </c>
      <c r="O508">
        <f>IFERROR($J508/IF($A508&lt;COUNTIFS($K$1:O$1,"&lt;&gt;"),0,SUMIFS($J:$J,$B:$B,$B508,$A:$A,"&gt;="&amp;COUNTIFS($K$1:O$1,"&lt;&gt;"))),0)</f>
        <v>6.1674008810572688E-2</v>
      </c>
      <c r="P508">
        <f>IFERROR($J508/IF($A508&lt;COUNTIFS($K$1:P$1,"&lt;&gt;"),0,SUMIFS($J:$J,$B:$B,$B508,$A:$A,"&gt;="&amp;COUNTIFS($K$1:P$1,"&lt;&gt;"))),0)</f>
        <v>7.1428571428571425E-2</v>
      </c>
      <c r="Q508">
        <f>IFERROR($J508/IF($A508&lt;COUNTIFS($K$1:Q$1,"&lt;&gt;"),0,SUMIFS($J:$J,$B:$B,$B508,$A:$A,"&gt;="&amp;COUNTIFS($K$1:Q$1,"&lt;&gt;"))),0)</f>
        <v>8.4337349397590369E-2</v>
      </c>
      <c r="R508">
        <f>IFERROR($J508/IF($A508&lt;COUNTIFS($K$1:R$1,"&lt;&gt;"),0,SUMIFS($J:$J,$B:$B,$B508,$A:$A,"&gt;="&amp;COUNTIFS($K$1:R$1,"&lt;&gt;"))),0)</f>
        <v>0.1037037037037037</v>
      </c>
      <c r="S508">
        <f>IFERROR($J508/IF($A508&lt;COUNTIFS($K$1:S$1,"&lt;&gt;"),0,SUMIFS($J:$J,$B:$B,$B508,$A:$A,"&gt;="&amp;COUNTIFS($K$1:S$1,"&lt;&gt;"))),0)</f>
        <v>0.13333333333333333</v>
      </c>
      <c r="T508">
        <f>IFERROR($J508/IF($A508&lt;COUNTIFS($K$1:T$1,"&lt;&gt;"),0,SUMIFS($J:$J,$B:$B,$B508,$A:$A,"&gt;="&amp;COUNTIFS($K$1:T$1,"&lt;&gt;"))),0)</f>
        <v>0.1891891891891892</v>
      </c>
      <c r="U508">
        <f>IFERROR($J508/IF($A508&lt;COUNTIFS($K$1:U$1,"&lt;&gt;"),0,SUMIFS($J:$J,$B:$B,$B508,$A:$A,"&gt;="&amp;COUNTIFS($K$1:U$1,"&lt;&gt;"))),0)</f>
        <v>0.32558139534883718</v>
      </c>
      <c r="V508">
        <f>IFERROR($J508/IF($A508&lt;COUNTIFS($K$1:V$1,"&lt;&gt;"),0,SUMIFS($J:$J,$B:$B,$B508,$A:$A,"&gt;="&amp;COUNTIFS($K$1:V$1,"&lt;&gt;"))),0)</f>
        <v>1</v>
      </c>
      <c r="W508">
        <f t="shared" si="178"/>
        <v>3.825136612021858E-2</v>
      </c>
      <c r="X508">
        <f t="shared" si="158"/>
        <v>3.825136612021858E-2</v>
      </c>
      <c r="Y508">
        <f t="shared" si="159"/>
        <v>3.825136612021858E-2</v>
      </c>
      <c r="Z508">
        <f t="shared" si="160"/>
        <v>3.825136612021858E-2</v>
      </c>
      <c r="AA508">
        <f t="shared" si="161"/>
        <v>3.825136612021858E-2</v>
      </c>
      <c r="AB508">
        <f t="shared" si="162"/>
        <v>3.825136612021858E-2</v>
      </c>
      <c r="AC508">
        <f t="shared" si="163"/>
        <v>3.825136612021858E-2</v>
      </c>
      <c r="AD508">
        <f t="shared" si="164"/>
        <v>3.825136612021858E-2</v>
      </c>
      <c r="AE508">
        <f t="shared" si="165"/>
        <v>3.825136612021858E-2</v>
      </c>
      <c r="AF508">
        <f t="shared" si="166"/>
        <v>3.825136612021858E-2</v>
      </c>
      <c r="AG508">
        <f t="shared" si="167"/>
        <v>3.825136612021858E-2</v>
      </c>
      <c r="AH508">
        <f t="shared" si="168"/>
        <v>3.825136612021858E-2</v>
      </c>
      <c r="AI508">
        <f t="shared" si="169"/>
        <v>3.825136612021858E-2</v>
      </c>
      <c r="AJ508" s="2" t="str">
        <f t="shared" si="179"/>
        <v>1244986</v>
      </c>
    </row>
    <row r="509" spans="1:36" x14ac:dyDescent="0.25">
      <c r="A509">
        <v>0</v>
      </c>
      <c r="B509" s="1">
        <v>45017</v>
      </c>
      <c r="C509" s="1">
        <f t="shared" si="170"/>
        <v>45017</v>
      </c>
      <c r="D509" s="1">
        <f t="shared" si="171"/>
        <v>45031</v>
      </c>
      <c r="E509" s="1">
        <f t="shared" si="172"/>
        <v>45031</v>
      </c>
      <c r="F509" s="1">
        <f t="shared" si="173"/>
        <v>45047</v>
      </c>
      <c r="G509" s="1">
        <f t="shared" si="174"/>
        <v>45397</v>
      </c>
      <c r="H509">
        <f t="shared" si="175"/>
        <v>366</v>
      </c>
      <c r="I509">
        <f t="shared" si="176"/>
        <v>16</v>
      </c>
      <c r="J509">
        <f t="shared" si="177"/>
        <v>4.3715846994535519E-2</v>
      </c>
      <c r="K509">
        <f>IFERROR($J509/IF($A509&lt;COUNTIFS($K$1:K$1,"&lt;&gt;"),0,SUMIFS($J:$J,$B:$B,$B509,$A:$A,"&gt;="&amp;COUNTIFS($K$1:K$1,"&lt;&gt;"))),0)</f>
        <v>0</v>
      </c>
      <c r="L509">
        <f>IFERROR($J509/IF($A509&lt;COUNTIFS($K$1:L$1,"&lt;&gt;"),0,SUMIFS($J:$J,$B:$B,$B509,$A:$A,"&gt;="&amp;COUNTIFS($K$1:L$1,"&lt;&gt;"))),0)</f>
        <v>0</v>
      </c>
      <c r="M509">
        <f>IFERROR($J509/IF($A509&lt;COUNTIFS($K$1:M$1,"&lt;&gt;"),0,SUMIFS($J:$J,$B:$B,$B509,$A:$A,"&gt;="&amp;COUNTIFS($K$1:M$1,"&lt;&gt;"))),0)</f>
        <v>0</v>
      </c>
      <c r="N509">
        <f>IFERROR($J509/IF($A509&lt;COUNTIFS($K$1:N$1,"&lt;&gt;"),0,SUMIFS($J:$J,$B:$B,$B509,$A:$A,"&gt;="&amp;COUNTIFS($K$1:N$1,"&lt;&gt;"))),0)</f>
        <v>0</v>
      </c>
      <c r="O509">
        <f>IFERROR($J509/IF($A509&lt;COUNTIFS($K$1:O$1,"&lt;&gt;"),0,SUMIFS($J:$J,$B:$B,$B509,$A:$A,"&gt;="&amp;COUNTIFS($K$1:O$1,"&lt;&gt;"))),0)</f>
        <v>0</v>
      </c>
      <c r="P509">
        <f>IFERROR($J509/IF($A509&lt;COUNTIFS($K$1:P$1,"&lt;&gt;"),0,SUMIFS($J:$J,$B:$B,$B509,$A:$A,"&gt;="&amp;COUNTIFS($K$1:P$1,"&lt;&gt;"))),0)</f>
        <v>0</v>
      </c>
      <c r="Q509">
        <f>IFERROR($J509/IF($A509&lt;COUNTIFS($K$1:Q$1,"&lt;&gt;"),0,SUMIFS($J:$J,$B:$B,$B509,$A:$A,"&gt;="&amp;COUNTIFS($K$1:Q$1,"&lt;&gt;"))),0)</f>
        <v>0</v>
      </c>
      <c r="R509">
        <f>IFERROR($J509/IF($A509&lt;COUNTIFS($K$1:R$1,"&lt;&gt;"),0,SUMIFS($J:$J,$B:$B,$B509,$A:$A,"&gt;="&amp;COUNTIFS($K$1:R$1,"&lt;&gt;"))),0)</f>
        <v>0</v>
      </c>
      <c r="S509">
        <f>IFERROR($J509/IF($A509&lt;COUNTIFS($K$1:S$1,"&lt;&gt;"),0,SUMIFS($J:$J,$B:$B,$B509,$A:$A,"&gt;="&amp;COUNTIFS($K$1:S$1,"&lt;&gt;"))),0)</f>
        <v>0</v>
      </c>
      <c r="T509">
        <f>IFERROR($J509/IF($A509&lt;COUNTIFS($K$1:T$1,"&lt;&gt;"),0,SUMIFS($J:$J,$B:$B,$B509,$A:$A,"&gt;="&amp;COUNTIFS($K$1:T$1,"&lt;&gt;"))),0)</f>
        <v>0</v>
      </c>
      <c r="U509">
        <f>IFERROR($J509/IF($A509&lt;COUNTIFS($K$1:U$1,"&lt;&gt;"),0,SUMIFS($J:$J,$B:$B,$B509,$A:$A,"&gt;="&amp;COUNTIFS($K$1:U$1,"&lt;&gt;"))),0)</f>
        <v>0</v>
      </c>
      <c r="V509">
        <f>IFERROR($J509/IF($A509&lt;COUNTIFS($K$1:V$1,"&lt;&gt;"),0,SUMIFS($J:$J,$B:$B,$B509,$A:$A,"&gt;="&amp;COUNTIFS($K$1:V$1,"&lt;&gt;"))),0)</f>
        <v>0</v>
      </c>
      <c r="W509">
        <f t="shared" si="178"/>
        <v>4.3715846994535519E-2</v>
      </c>
      <c r="X509">
        <f t="shared" si="158"/>
        <v>0</v>
      </c>
      <c r="Y509">
        <f t="shared" si="159"/>
        <v>0</v>
      </c>
      <c r="Z509">
        <f t="shared" si="160"/>
        <v>0</v>
      </c>
      <c r="AA509">
        <f t="shared" si="161"/>
        <v>0</v>
      </c>
      <c r="AB509">
        <f t="shared" si="162"/>
        <v>0</v>
      </c>
      <c r="AC509">
        <f t="shared" si="163"/>
        <v>0</v>
      </c>
      <c r="AD509">
        <f t="shared" si="164"/>
        <v>0</v>
      </c>
      <c r="AE509">
        <f t="shared" si="165"/>
        <v>0</v>
      </c>
      <c r="AF509">
        <f t="shared" si="166"/>
        <v>0</v>
      </c>
      <c r="AG509">
        <f t="shared" si="167"/>
        <v>0</v>
      </c>
      <c r="AH509">
        <f t="shared" si="168"/>
        <v>0</v>
      </c>
      <c r="AI509">
        <f t="shared" si="169"/>
        <v>0</v>
      </c>
      <c r="AJ509" s="2" t="str">
        <f t="shared" si="179"/>
        <v>045017</v>
      </c>
    </row>
    <row r="510" spans="1:36" x14ac:dyDescent="0.25">
      <c r="A510">
        <v>1</v>
      </c>
      <c r="B510" s="1">
        <v>45017</v>
      </c>
      <c r="C510" s="1">
        <f t="shared" si="170"/>
        <v>45047</v>
      </c>
      <c r="D510" s="1">
        <f t="shared" si="171"/>
        <v>45031</v>
      </c>
      <c r="E510" s="1">
        <f t="shared" si="172"/>
        <v>45047</v>
      </c>
      <c r="F510" s="1">
        <f t="shared" si="173"/>
        <v>45078</v>
      </c>
      <c r="G510" s="1">
        <f t="shared" si="174"/>
        <v>45397</v>
      </c>
      <c r="H510">
        <f t="shared" si="175"/>
        <v>366</v>
      </c>
      <c r="I510">
        <f t="shared" si="176"/>
        <v>31</v>
      </c>
      <c r="J510">
        <f t="shared" si="177"/>
        <v>8.4699453551912565E-2</v>
      </c>
      <c r="K510">
        <f>IFERROR($J510/IF($A510&lt;COUNTIFS($K$1:K$1,"&lt;&gt;"),0,SUMIFS($J:$J,$B:$B,$B510,$A:$A,"&gt;="&amp;COUNTIFS($K$1:K$1,"&lt;&gt;"))),0)</f>
        <v>8.8571428571428579E-2</v>
      </c>
      <c r="L510">
        <f>IFERROR($J510/IF($A510&lt;COUNTIFS($K$1:L$1,"&lt;&gt;"),0,SUMIFS($J:$J,$B:$B,$B510,$A:$A,"&gt;="&amp;COUNTIFS($K$1:L$1,"&lt;&gt;"))),0)</f>
        <v>0</v>
      </c>
      <c r="M510">
        <f>IFERROR($J510/IF($A510&lt;COUNTIFS($K$1:M$1,"&lt;&gt;"),0,SUMIFS($J:$J,$B:$B,$B510,$A:$A,"&gt;="&amp;COUNTIFS($K$1:M$1,"&lt;&gt;"))),0)</f>
        <v>0</v>
      </c>
      <c r="N510">
        <f>IFERROR($J510/IF($A510&lt;COUNTIFS($K$1:N$1,"&lt;&gt;"),0,SUMIFS($J:$J,$B:$B,$B510,$A:$A,"&gt;="&amp;COUNTIFS($K$1:N$1,"&lt;&gt;"))),0)</f>
        <v>0</v>
      </c>
      <c r="O510">
        <f>IFERROR($J510/IF($A510&lt;COUNTIFS($K$1:O$1,"&lt;&gt;"),0,SUMIFS($J:$J,$B:$B,$B510,$A:$A,"&gt;="&amp;COUNTIFS($K$1:O$1,"&lt;&gt;"))),0)</f>
        <v>0</v>
      </c>
      <c r="P510">
        <f>IFERROR($J510/IF($A510&lt;COUNTIFS($K$1:P$1,"&lt;&gt;"),0,SUMIFS($J:$J,$B:$B,$B510,$A:$A,"&gt;="&amp;COUNTIFS($K$1:P$1,"&lt;&gt;"))),0)</f>
        <v>0</v>
      </c>
      <c r="Q510">
        <f>IFERROR($J510/IF($A510&lt;COUNTIFS($K$1:Q$1,"&lt;&gt;"),0,SUMIFS($J:$J,$B:$B,$B510,$A:$A,"&gt;="&amp;COUNTIFS($K$1:Q$1,"&lt;&gt;"))),0)</f>
        <v>0</v>
      </c>
      <c r="R510">
        <f>IFERROR($J510/IF($A510&lt;COUNTIFS($K$1:R$1,"&lt;&gt;"),0,SUMIFS($J:$J,$B:$B,$B510,$A:$A,"&gt;="&amp;COUNTIFS($K$1:R$1,"&lt;&gt;"))),0)</f>
        <v>0</v>
      </c>
      <c r="S510">
        <f>IFERROR($J510/IF($A510&lt;COUNTIFS($K$1:S$1,"&lt;&gt;"),0,SUMIFS($J:$J,$B:$B,$B510,$A:$A,"&gt;="&amp;COUNTIFS($K$1:S$1,"&lt;&gt;"))),0)</f>
        <v>0</v>
      </c>
      <c r="T510">
        <f>IFERROR($J510/IF($A510&lt;COUNTIFS($K$1:T$1,"&lt;&gt;"),0,SUMIFS($J:$J,$B:$B,$B510,$A:$A,"&gt;="&amp;COUNTIFS($K$1:T$1,"&lt;&gt;"))),0)</f>
        <v>0</v>
      </c>
      <c r="U510">
        <f>IFERROR($J510/IF($A510&lt;COUNTIFS($K$1:U$1,"&lt;&gt;"),0,SUMIFS($J:$J,$B:$B,$B510,$A:$A,"&gt;="&amp;COUNTIFS($K$1:U$1,"&lt;&gt;"))),0)</f>
        <v>0</v>
      </c>
      <c r="V510">
        <f>IFERROR($J510/IF($A510&lt;COUNTIFS($K$1:V$1,"&lt;&gt;"),0,SUMIFS($J:$J,$B:$B,$B510,$A:$A,"&gt;="&amp;COUNTIFS($K$1:V$1,"&lt;&gt;"))),0)</f>
        <v>0</v>
      </c>
      <c r="W510">
        <f t="shared" si="178"/>
        <v>8.4699453551912565E-2</v>
      </c>
      <c r="X510">
        <f t="shared" si="158"/>
        <v>8.4699453551912565E-2</v>
      </c>
      <c r="Y510">
        <f t="shared" si="159"/>
        <v>0</v>
      </c>
      <c r="Z510">
        <f t="shared" si="160"/>
        <v>0</v>
      </c>
      <c r="AA510">
        <f t="shared" si="161"/>
        <v>0</v>
      </c>
      <c r="AB510">
        <f t="shared" si="162"/>
        <v>0</v>
      </c>
      <c r="AC510">
        <f t="shared" si="163"/>
        <v>0</v>
      </c>
      <c r="AD510">
        <f t="shared" si="164"/>
        <v>0</v>
      </c>
      <c r="AE510">
        <f t="shared" si="165"/>
        <v>0</v>
      </c>
      <c r="AF510">
        <f t="shared" si="166"/>
        <v>0</v>
      </c>
      <c r="AG510">
        <f t="shared" si="167"/>
        <v>0</v>
      </c>
      <c r="AH510">
        <f t="shared" si="168"/>
        <v>0</v>
      </c>
      <c r="AI510">
        <f t="shared" si="169"/>
        <v>0</v>
      </c>
      <c r="AJ510" s="2" t="str">
        <f t="shared" si="179"/>
        <v>145017</v>
      </c>
    </row>
    <row r="511" spans="1:36" x14ac:dyDescent="0.25">
      <c r="A511">
        <v>2</v>
      </c>
      <c r="B511" s="1">
        <v>45017</v>
      </c>
      <c r="C511" s="1">
        <f t="shared" si="170"/>
        <v>45078</v>
      </c>
      <c r="D511" s="1">
        <f t="shared" si="171"/>
        <v>45031</v>
      </c>
      <c r="E511" s="1">
        <f t="shared" si="172"/>
        <v>45078</v>
      </c>
      <c r="F511" s="1">
        <f t="shared" si="173"/>
        <v>45108</v>
      </c>
      <c r="G511" s="1">
        <f t="shared" si="174"/>
        <v>45397</v>
      </c>
      <c r="H511">
        <f t="shared" si="175"/>
        <v>366</v>
      </c>
      <c r="I511">
        <f t="shared" si="176"/>
        <v>30</v>
      </c>
      <c r="J511">
        <f t="shared" si="177"/>
        <v>8.1967213114754092E-2</v>
      </c>
      <c r="K511">
        <f>IFERROR($J511/IF($A511&lt;COUNTIFS($K$1:K$1,"&lt;&gt;"),0,SUMIFS($J:$J,$B:$B,$B511,$A:$A,"&gt;="&amp;COUNTIFS($K$1:K$1,"&lt;&gt;"))),0)</f>
        <v>8.5714285714285715E-2</v>
      </c>
      <c r="L511">
        <f>IFERROR($J511/IF($A511&lt;COUNTIFS($K$1:L$1,"&lt;&gt;"),0,SUMIFS($J:$J,$B:$B,$B511,$A:$A,"&gt;="&amp;COUNTIFS($K$1:L$1,"&lt;&gt;"))),0)</f>
        <v>9.4043887147335414E-2</v>
      </c>
      <c r="M511">
        <f>IFERROR($J511/IF($A511&lt;COUNTIFS($K$1:M$1,"&lt;&gt;"),0,SUMIFS($J:$J,$B:$B,$B511,$A:$A,"&gt;="&amp;COUNTIFS($K$1:M$1,"&lt;&gt;"))),0)</f>
        <v>0</v>
      </c>
      <c r="N511">
        <f>IFERROR($J511/IF($A511&lt;COUNTIFS($K$1:N$1,"&lt;&gt;"),0,SUMIFS($J:$J,$B:$B,$B511,$A:$A,"&gt;="&amp;COUNTIFS($K$1:N$1,"&lt;&gt;"))),0)</f>
        <v>0</v>
      </c>
      <c r="O511">
        <f>IFERROR($J511/IF($A511&lt;COUNTIFS($K$1:O$1,"&lt;&gt;"),0,SUMIFS($J:$J,$B:$B,$B511,$A:$A,"&gt;="&amp;COUNTIFS($K$1:O$1,"&lt;&gt;"))),0)</f>
        <v>0</v>
      </c>
      <c r="P511">
        <f>IFERROR($J511/IF($A511&lt;COUNTIFS($K$1:P$1,"&lt;&gt;"),0,SUMIFS($J:$J,$B:$B,$B511,$A:$A,"&gt;="&amp;COUNTIFS($K$1:P$1,"&lt;&gt;"))),0)</f>
        <v>0</v>
      </c>
      <c r="Q511">
        <f>IFERROR($J511/IF($A511&lt;COUNTIFS($K$1:Q$1,"&lt;&gt;"),0,SUMIFS($J:$J,$B:$B,$B511,$A:$A,"&gt;="&amp;COUNTIFS($K$1:Q$1,"&lt;&gt;"))),0)</f>
        <v>0</v>
      </c>
      <c r="R511">
        <f>IFERROR($J511/IF($A511&lt;COUNTIFS($K$1:R$1,"&lt;&gt;"),0,SUMIFS($J:$J,$B:$B,$B511,$A:$A,"&gt;="&amp;COUNTIFS($K$1:R$1,"&lt;&gt;"))),0)</f>
        <v>0</v>
      </c>
      <c r="S511">
        <f>IFERROR($J511/IF($A511&lt;COUNTIFS($K$1:S$1,"&lt;&gt;"),0,SUMIFS($J:$J,$B:$B,$B511,$A:$A,"&gt;="&amp;COUNTIFS($K$1:S$1,"&lt;&gt;"))),0)</f>
        <v>0</v>
      </c>
      <c r="T511">
        <f>IFERROR($J511/IF($A511&lt;COUNTIFS($K$1:T$1,"&lt;&gt;"),0,SUMIFS($J:$J,$B:$B,$B511,$A:$A,"&gt;="&amp;COUNTIFS($K$1:T$1,"&lt;&gt;"))),0)</f>
        <v>0</v>
      </c>
      <c r="U511">
        <f>IFERROR($J511/IF($A511&lt;COUNTIFS($K$1:U$1,"&lt;&gt;"),0,SUMIFS($J:$J,$B:$B,$B511,$A:$A,"&gt;="&amp;COUNTIFS($K$1:U$1,"&lt;&gt;"))),0)</f>
        <v>0</v>
      </c>
      <c r="V511">
        <f>IFERROR($J511/IF($A511&lt;COUNTIFS($K$1:V$1,"&lt;&gt;"),0,SUMIFS($J:$J,$B:$B,$B511,$A:$A,"&gt;="&amp;COUNTIFS($K$1:V$1,"&lt;&gt;"))),0)</f>
        <v>0</v>
      </c>
      <c r="W511">
        <f t="shared" si="178"/>
        <v>8.1967213114754092E-2</v>
      </c>
      <c r="X511">
        <f t="shared" si="158"/>
        <v>8.1967213114754092E-2</v>
      </c>
      <c r="Y511">
        <f t="shared" si="159"/>
        <v>8.1967213114754092E-2</v>
      </c>
      <c r="Z511">
        <f t="shared" si="160"/>
        <v>0</v>
      </c>
      <c r="AA511">
        <f t="shared" si="161"/>
        <v>0</v>
      </c>
      <c r="AB511">
        <f t="shared" si="162"/>
        <v>0</v>
      </c>
      <c r="AC511">
        <f t="shared" si="163"/>
        <v>0</v>
      </c>
      <c r="AD511">
        <f t="shared" si="164"/>
        <v>0</v>
      </c>
      <c r="AE511">
        <f t="shared" si="165"/>
        <v>0</v>
      </c>
      <c r="AF511">
        <f t="shared" si="166"/>
        <v>0</v>
      </c>
      <c r="AG511">
        <f t="shared" si="167"/>
        <v>0</v>
      </c>
      <c r="AH511">
        <f t="shared" si="168"/>
        <v>0</v>
      </c>
      <c r="AI511">
        <f t="shared" si="169"/>
        <v>0</v>
      </c>
      <c r="AJ511" s="2" t="str">
        <f t="shared" si="179"/>
        <v>245017</v>
      </c>
    </row>
    <row r="512" spans="1:36" x14ac:dyDescent="0.25">
      <c r="A512">
        <v>3</v>
      </c>
      <c r="B512" s="1">
        <v>45017</v>
      </c>
      <c r="C512" s="1">
        <f t="shared" si="170"/>
        <v>45108</v>
      </c>
      <c r="D512" s="1">
        <f t="shared" si="171"/>
        <v>45031</v>
      </c>
      <c r="E512" s="1">
        <f t="shared" si="172"/>
        <v>45108</v>
      </c>
      <c r="F512" s="1">
        <f t="shared" si="173"/>
        <v>45139</v>
      </c>
      <c r="G512" s="1">
        <f t="shared" si="174"/>
        <v>45397</v>
      </c>
      <c r="H512">
        <f t="shared" si="175"/>
        <v>366</v>
      </c>
      <c r="I512">
        <f t="shared" si="176"/>
        <v>31</v>
      </c>
      <c r="J512">
        <f t="shared" si="177"/>
        <v>8.4699453551912565E-2</v>
      </c>
      <c r="K512">
        <f>IFERROR($J512/IF($A512&lt;COUNTIFS($K$1:K$1,"&lt;&gt;"),0,SUMIFS($J:$J,$B:$B,$B512,$A:$A,"&gt;="&amp;COUNTIFS($K$1:K$1,"&lt;&gt;"))),0)</f>
        <v>8.8571428571428579E-2</v>
      </c>
      <c r="L512">
        <f>IFERROR($J512/IF($A512&lt;COUNTIFS($K$1:L$1,"&lt;&gt;"),0,SUMIFS($J:$J,$B:$B,$B512,$A:$A,"&gt;="&amp;COUNTIFS($K$1:L$1,"&lt;&gt;"))),0)</f>
        <v>9.7178683385579931E-2</v>
      </c>
      <c r="M512">
        <f>IFERROR($J512/IF($A512&lt;COUNTIFS($K$1:M$1,"&lt;&gt;"),0,SUMIFS($J:$J,$B:$B,$B512,$A:$A,"&gt;="&amp;COUNTIFS($K$1:M$1,"&lt;&gt;"))),0)</f>
        <v>0.10726643598615916</v>
      </c>
      <c r="N512">
        <f>IFERROR($J512/IF($A512&lt;COUNTIFS($K$1:N$1,"&lt;&gt;"),0,SUMIFS($J:$J,$B:$B,$B512,$A:$A,"&gt;="&amp;COUNTIFS($K$1:N$1,"&lt;&gt;"))),0)</f>
        <v>0</v>
      </c>
      <c r="O512">
        <f>IFERROR($J512/IF($A512&lt;COUNTIFS($K$1:O$1,"&lt;&gt;"),0,SUMIFS($J:$J,$B:$B,$B512,$A:$A,"&gt;="&amp;COUNTIFS($K$1:O$1,"&lt;&gt;"))),0)</f>
        <v>0</v>
      </c>
      <c r="P512">
        <f>IFERROR($J512/IF($A512&lt;COUNTIFS($K$1:P$1,"&lt;&gt;"),0,SUMIFS($J:$J,$B:$B,$B512,$A:$A,"&gt;="&amp;COUNTIFS($K$1:P$1,"&lt;&gt;"))),0)</f>
        <v>0</v>
      </c>
      <c r="Q512">
        <f>IFERROR($J512/IF($A512&lt;COUNTIFS($K$1:Q$1,"&lt;&gt;"),0,SUMIFS($J:$J,$B:$B,$B512,$A:$A,"&gt;="&amp;COUNTIFS($K$1:Q$1,"&lt;&gt;"))),0)</f>
        <v>0</v>
      </c>
      <c r="R512">
        <f>IFERROR($J512/IF($A512&lt;COUNTIFS($K$1:R$1,"&lt;&gt;"),0,SUMIFS($J:$J,$B:$B,$B512,$A:$A,"&gt;="&amp;COUNTIFS($K$1:R$1,"&lt;&gt;"))),0)</f>
        <v>0</v>
      </c>
      <c r="S512">
        <f>IFERROR($J512/IF($A512&lt;COUNTIFS($K$1:S$1,"&lt;&gt;"),0,SUMIFS($J:$J,$B:$B,$B512,$A:$A,"&gt;="&amp;COUNTIFS($K$1:S$1,"&lt;&gt;"))),0)</f>
        <v>0</v>
      </c>
      <c r="T512">
        <f>IFERROR($J512/IF($A512&lt;COUNTIFS($K$1:T$1,"&lt;&gt;"),0,SUMIFS($J:$J,$B:$B,$B512,$A:$A,"&gt;="&amp;COUNTIFS($K$1:T$1,"&lt;&gt;"))),0)</f>
        <v>0</v>
      </c>
      <c r="U512">
        <f>IFERROR($J512/IF($A512&lt;COUNTIFS($K$1:U$1,"&lt;&gt;"),0,SUMIFS($J:$J,$B:$B,$B512,$A:$A,"&gt;="&amp;COUNTIFS($K$1:U$1,"&lt;&gt;"))),0)</f>
        <v>0</v>
      </c>
      <c r="V512">
        <f>IFERROR($J512/IF($A512&lt;COUNTIFS($K$1:V$1,"&lt;&gt;"),0,SUMIFS($J:$J,$B:$B,$B512,$A:$A,"&gt;="&amp;COUNTIFS($K$1:V$1,"&lt;&gt;"))),0)</f>
        <v>0</v>
      </c>
      <c r="W512">
        <f t="shared" si="178"/>
        <v>8.4699453551912565E-2</v>
      </c>
      <c r="X512">
        <f t="shared" si="158"/>
        <v>8.4699453551912565E-2</v>
      </c>
      <c r="Y512">
        <f t="shared" si="159"/>
        <v>8.4699453551912565E-2</v>
      </c>
      <c r="Z512">
        <f t="shared" si="160"/>
        <v>8.4699453551912565E-2</v>
      </c>
      <c r="AA512">
        <f t="shared" si="161"/>
        <v>0</v>
      </c>
      <c r="AB512">
        <f t="shared" si="162"/>
        <v>0</v>
      </c>
      <c r="AC512">
        <f t="shared" si="163"/>
        <v>0</v>
      </c>
      <c r="AD512">
        <f t="shared" si="164"/>
        <v>0</v>
      </c>
      <c r="AE512">
        <f t="shared" si="165"/>
        <v>0</v>
      </c>
      <c r="AF512">
        <f t="shared" si="166"/>
        <v>0</v>
      </c>
      <c r="AG512">
        <f t="shared" si="167"/>
        <v>0</v>
      </c>
      <c r="AH512">
        <f t="shared" si="168"/>
        <v>0</v>
      </c>
      <c r="AI512">
        <f t="shared" si="169"/>
        <v>0</v>
      </c>
      <c r="AJ512" s="2" t="str">
        <f t="shared" si="179"/>
        <v>345017</v>
      </c>
    </row>
    <row r="513" spans="1:36" x14ac:dyDescent="0.25">
      <c r="A513">
        <v>4</v>
      </c>
      <c r="B513" s="1">
        <v>45017</v>
      </c>
      <c r="C513" s="1">
        <f t="shared" si="170"/>
        <v>45139</v>
      </c>
      <c r="D513" s="1">
        <f t="shared" si="171"/>
        <v>45031</v>
      </c>
      <c r="E513" s="1">
        <f t="shared" si="172"/>
        <v>45139</v>
      </c>
      <c r="F513" s="1">
        <f t="shared" si="173"/>
        <v>45170</v>
      </c>
      <c r="G513" s="1">
        <f t="shared" si="174"/>
        <v>45397</v>
      </c>
      <c r="H513">
        <f t="shared" si="175"/>
        <v>366</v>
      </c>
      <c r="I513">
        <f t="shared" si="176"/>
        <v>31</v>
      </c>
      <c r="J513">
        <f t="shared" si="177"/>
        <v>8.4699453551912565E-2</v>
      </c>
      <c r="K513">
        <f>IFERROR($J513/IF($A513&lt;COUNTIFS($K$1:K$1,"&lt;&gt;"),0,SUMIFS($J:$J,$B:$B,$B513,$A:$A,"&gt;="&amp;COUNTIFS($K$1:K$1,"&lt;&gt;"))),0)</f>
        <v>8.8571428571428579E-2</v>
      </c>
      <c r="L513">
        <f>IFERROR($J513/IF($A513&lt;COUNTIFS($K$1:L$1,"&lt;&gt;"),0,SUMIFS($J:$J,$B:$B,$B513,$A:$A,"&gt;="&amp;COUNTIFS($K$1:L$1,"&lt;&gt;"))),0)</f>
        <v>9.7178683385579931E-2</v>
      </c>
      <c r="M513">
        <f>IFERROR($J513/IF($A513&lt;COUNTIFS($K$1:M$1,"&lt;&gt;"),0,SUMIFS($J:$J,$B:$B,$B513,$A:$A,"&gt;="&amp;COUNTIFS($K$1:M$1,"&lt;&gt;"))),0)</f>
        <v>0.10726643598615916</v>
      </c>
      <c r="N513">
        <f>IFERROR($J513/IF($A513&lt;COUNTIFS($K$1:N$1,"&lt;&gt;"),0,SUMIFS($J:$J,$B:$B,$B513,$A:$A,"&gt;="&amp;COUNTIFS($K$1:N$1,"&lt;&gt;"))),0)</f>
        <v>0.12015503875968991</v>
      </c>
      <c r="O513">
        <f>IFERROR($J513/IF($A513&lt;COUNTIFS($K$1:O$1,"&lt;&gt;"),0,SUMIFS($J:$J,$B:$B,$B513,$A:$A,"&gt;="&amp;COUNTIFS($K$1:O$1,"&lt;&gt;"))),0)</f>
        <v>0</v>
      </c>
      <c r="P513">
        <f>IFERROR($J513/IF($A513&lt;COUNTIFS($K$1:P$1,"&lt;&gt;"),0,SUMIFS($J:$J,$B:$B,$B513,$A:$A,"&gt;="&amp;COUNTIFS($K$1:P$1,"&lt;&gt;"))),0)</f>
        <v>0</v>
      </c>
      <c r="Q513">
        <f>IFERROR($J513/IF($A513&lt;COUNTIFS($K$1:Q$1,"&lt;&gt;"),0,SUMIFS($J:$J,$B:$B,$B513,$A:$A,"&gt;="&amp;COUNTIFS($K$1:Q$1,"&lt;&gt;"))),0)</f>
        <v>0</v>
      </c>
      <c r="R513">
        <f>IFERROR($J513/IF($A513&lt;COUNTIFS($K$1:R$1,"&lt;&gt;"),0,SUMIFS($J:$J,$B:$B,$B513,$A:$A,"&gt;="&amp;COUNTIFS($K$1:R$1,"&lt;&gt;"))),0)</f>
        <v>0</v>
      </c>
      <c r="S513">
        <f>IFERROR($J513/IF($A513&lt;COUNTIFS($K$1:S$1,"&lt;&gt;"),0,SUMIFS($J:$J,$B:$B,$B513,$A:$A,"&gt;="&amp;COUNTIFS($K$1:S$1,"&lt;&gt;"))),0)</f>
        <v>0</v>
      </c>
      <c r="T513">
        <f>IFERROR($J513/IF($A513&lt;COUNTIFS($K$1:T$1,"&lt;&gt;"),0,SUMIFS($J:$J,$B:$B,$B513,$A:$A,"&gt;="&amp;COUNTIFS($K$1:T$1,"&lt;&gt;"))),0)</f>
        <v>0</v>
      </c>
      <c r="U513">
        <f>IFERROR($J513/IF($A513&lt;COUNTIFS($K$1:U$1,"&lt;&gt;"),0,SUMIFS($J:$J,$B:$B,$B513,$A:$A,"&gt;="&amp;COUNTIFS($K$1:U$1,"&lt;&gt;"))),0)</f>
        <v>0</v>
      </c>
      <c r="V513">
        <f>IFERROR($J513/IF($A513&lt;COUNTIFS($K$1:V$1,"&lt;&gt;"),0,SUMIFS($J:$J,$B:$B,$B513,$A:$A,"&gt;="&amp;COUNTIFS($K$1:V$1,"&lt;&gt;"))),0)</f>
        <v>0</v>
      </c>
      <c r="W513">
        <f t="shared" si="178"/>
        <v>8.4699453551912565E-2</v>
      </c>
      <c r="X513">
        <f t="shared" si="158"/>
        <v>8.4699453551912565E-2</v>
      </c>
      <c r="Y513">
        <f t="shared" si="159"/>
        <v>8.4699453551912565E-2</v>
      </c>
      <c r="Z513">
        <f t="shared" si="160"/>
        <v>8.4699453551912565E-2</v>
      </c>
      <c r="AA513">
        <f t="shared" si="161"/>
        <v>8.4699453551912565E-2</v>
      </c>
      <c r="AB513">
        <f t="shared" si="162"/>
        <v>0</v>
      </c>
      <c r="AC513">
        <f t="shared" si="163"/>
        <v>0</v>
      </c>
      <c r="AD513">
        <f t="shared" si="164"/>
        <v>0</v>
      </c>
      <c r="AE513">
        <f t="shared" si="165"/>
        <v>0</v>
      </c>
      <c r="AF513">
        <f t="shared" si="166"/>
        <v>0</v>
      </c>
      <c r="AG513">
        <f t="shared" si="167"/>
        <v>0</v>
      </c>
      <c r="AH513">
        <f t="shared" si="168"/>
        <v>0</v>
      </c>
      <c r="AI513">
        <f t="shared" si="169"/>
        <v>0</v>
      </c>
      <c r="AJ513" s="2" t="str">
        <f t="shared" si="179"/>
        <v>445017</v>
      </c>
    </row>
    <row r="514" spans="1:36" x14ac:dyDescent="0.25">
      <c r="A514">
        <v>5</v>
      </c>
      <c r="B514" s="1">
        <v>45017</v>
      </c>
      <c r="C514" s="1">
        <f t="shared" si="170"/>
        <v>45170</v>
      </c>
      <c r="D514" s="1">
        <f t="shared" si="171"/>
        <v>45031</v>
      </c>
      <c r="E514" s="1">
        <f t="shared" si="172"/>
        <v>45170</v>
      </c>
      <c r="F514" s="1">
        <f t="shared" si="173"/>
        <v>45200</v>
      </c>
      <c r="G514" s="1">
        <f t="shared" si="174"/>
        <v>45397</v>
      </c>
      <c r="H514">
        <f t="shared" si="175"/>
        <v>366</v>
      </c>
      <c r="I514">
        <f t="shared" si="176"/>
        <v>30</v>
      </c>
      <c r="J514">
        <f t="shared" si="177"/>
        <v>8.1967213114754092E-2</v>
      </c>
      <c r="K514">
        <f>IFERROR($J514/IF($A514&lt;COUNTIFS($K$1:K$1,"&lt;&gt;"),0,SUMIFS($J:$J,$B:$B,$B514,$A:$A,"&gt;="&amp;COUNTIFS($K$1:K$1,"&lt;&gt;"))),0)</f>
        <v>8.5714285714285715E-2</v>
      </c>
      <c r="L514">
        <f>IFERROR($J514/IF($A514&lt;COUNTIFS($K$1:L$1,"&lt;&gt;"),0,SUMIFS($J:$J,$B:$B,$B514,$A:$A,"&gt;="&amp;COUNTIFS($K$1:L$1,"&lt;&gt;"))),0)</f>
        <v>9.4043887147335414E-2</v>
      </c>
      <c r="M514">
        <f>IFERROR($J514/IF($A514&lt;COUNTIFS($K$1:M$1,"&lt;&gt;"),0,SUMIFS($J:$J,$B:$B,$B514,$A:$A,"&gt;="&amp;COUNTIFS($K$1:M$1,"&lt;&gt;"))),0)</f>
        <v>0.10380622837370242</v>
      </c>
      <c r="N514">
        <f>IFERROR($J514/IF($A514&lt;COUNTIFS($K$1:N$1,"&lt;&gt;"),0,SUMIFS($J:$J,$B:$B,$B514,$A:$A,"&gt;="&amp;COUNTIFS($K$1:N$1,"&lt;&gt;"))),0)</f>
        <v>0.11627906976744184</v>
      </c>
      <c r="O514">
        <f>IFERROR($J514/IF($A514&lt;COUNTIFS($K$1:O$1,"&lt;&gt;"),0,SUMIFS($J:$J,$B:$B,$B514,$A:$A,"&gt;="&amp;COUNTIFS($K$1:O$1,"&lt;&gt;"))),0)</f>
        <v>0.13215859030837002</v>
      </c>
      <c r="P514">
        <f>IFERROR($J514/IF($A514&lt;COUNTIFS($K$1:P$1,"&lt;&gt;"),0,SUMIFS($J:$J,$B:$B,$B514,$A:$A,"&gt;="&amp;COUNTIFS($K$1:P$1,"&lt;&gt;"))),0)</f>
        <v>0</v>
      </c>
      <c r="Q514">
        <f>IFERROR($J514/IF($A514&lt;COUNTIFS($K$1:Q$1,"&lt;&gt;"),0,SUMIFS($J:$J,$B:$B,$B514,$A:$A,"&gt;="&amp;COUNTIFS($K$1:Q$1,"&lt;&gt;"))),0)</f>
        <v>0</v>
      </c>
      <c r="R514">
        <f>IFERROR($J514/IF($A514&lt;COUNTIFS($K$1:R$1,"&lt;&gt;"),0,SUMIFS($J:$J,$B:$B,$B514,$A:$A,"&gt;="&amp;COUNTIFS($K$1:R$1,"&lt;&gt;"))),0)</f>
        <v>0</v>
      </c>
      <c r="S514">
        <f>IFERROR($J514/IF($A514&lt;COUNTIFS($K$1:S$1,"&lt;&gt;"),0,SUMIFS($J:$J,$B:$B,$B514,$A:$A,"&gt;="&amp;COUNTIFS($K$1:S$1,"&lt;&gt;"))),0)</f>
        <v>0</v>
      </c>
      <c r="T514">
        <f>IFERROR($J514/IF($A514&lt;COUNTIFS($K$1:T$1,"&lt;&gt;"),0,SUMIFS($J:$J,$B:$B,$B514,$A:$A,"&gt;="&amp;COUNTIFS($K$1:T$1,"&lt;&gt;"))),0)</f>
        <v>0</v>
      </c>
      <c r="U514">
        <f>IFERROR($J514/IF($A514&lt;COUNTIFS($K$1:U$1,"&lt;&gt;"),0,SUMIFS($J:$J,$B:$B,$B514,$A:$A,"&gt;="&amp;COUNTIFS($K$1:U$1,"&lt;&gt;"))),0)</f>
        <v>0</v>
      </c>
      <c r="V514">
        <f>IFERROR($J514/IF($A514&lt;COUNTIFS($K$1:V$1,"&lt;&gt;"),0,SUMIFS($J:$J,$B:$B,$B514,$A:$A,"&gt;="&amp;COUNTIFS($K$1:V$1,"&lt;&gt;"))),0)</f>
        <v>0</v>
      </c>
      <c r="W514">
        <f t="shared" si="178"/>
        <v>8.1967213114754092E-2</v>
      </c>
      <c r="X514">
        <f t="shared" ref="X514:X577" si="180">IF(K514=0,0,$J514)</f>
        <v>8.1967213114754092E-2</v>
      </c>
      <c r="Y514">
        <f t="shared" ref="Y514:Y577" si="181">IF(L514=0,0,$J514)</f>
        <v>8.1967213114754092E-2</v>
      </c>
      <c r="Z514">
        <f t="shared" ref="Z514:Z577" si="182">IF(M514=0,0,$J514)</f>
        <v>8.1967213114754092E-2</v>
      </c>
      <c r="AA514">
        <f t="shared" ref="AA514:AA577" si="183">IF(N514=0,0,$J514)</f>
        <v>8.1967213114754092E-2</v>
      </c>
      <c r="AB514">
        <f t="shared" ref="AB514:AB577" si="184">IF(O514=0,0,$J514)</f>
        <v>8.1967213114754092E-2</v>
      </c>
      <c r="AC514">
        <f t="shared" ref="AC514:AC577" si="185">IF(P514=0,0,$J514)</f>
        <v>0</v>
      </c>
      <c r="AD514">
        <f t="shared" ref="AD514:AD577" si="186">IF(Q514=0,0,$J514)</f>
        <v>0</v>
      </c>
      <c r="AE514">
        <f t="shared" ref="AE514:AE577" si="187">IF(R514=0,0,$J514)</f>
        <v>0</v>
      </c>
      <c r="AF514">
        <f t="shared" ref="AF514:AF577" si="188">IF(S514=0,0,$J514)</f>
        <v>0</v>
      </c>
      <c r="AG514">
        <f t="shared" ref="AG514:AG577" si="189">IF(T514=0,0,$J514)</f>
        <v>0</v>
      </c>
      <c r="AH514">
        <f t="shared" ref="AH514:AH577" si="190">IF(U514=0,0,$J514)</f>
        <v>0</v>
      </c>
      <c r="AI514">
        <f t="shared" ref="AI514:AI577" si="191">IF(V514=0,0,$J514)</f>
        <v>0</v>
      </c>
      <c r="AJ514" s="2" t="str">
        <f t="shared" si="179"/>
        <v>545017</v>
      </c>
    </row>
    <row r="515" spans="1:36" x14ac:dyDescent="0.25">
      <c r="A515">
        <v>6</v>
      </c>
      <c r="B515" s="1">
        <v>45017</v>
      </c>
      <c r="C515" s="1">
        <f t="shared" ref="C515:C578" si="192">EDATE(B515,A515)</f>
        <v>45200</v>
      </c>
      <c r="D515" s="1">
        <f t="shared" ref="D515:D578" si="193">B515+14</f>
        <v>45031</v>
      </c>
      <c r="E515" s="1">
        <f t="shared" ref="E515:E578" si="194">IF($A515=0,C515+14,C515)</f>
        <v>45200</v>
      </c>
      <c r="F515" s="1">
        <f t="shared" ref="F515:F578" si="195">IF(EDATE(C515,1)&gt;G515,G515,EDATE(C515,1))</f>
        <v>45231</v>
      </c>
      <c r="G515" s="1">
        <f t="shared" ref="G515:G578" si="196">EDATE(D515,12)</f>
        <v>45397</v>
      </c>
      <c r="H515">
        <f t="shared" ref="H515:H578" si="197">G515-D515</f>
        <v>366</v>
      </c>
      <c r="I515">
        <f t="shared" ref="I515:I578" si="198">F515-E515</f>
        <v>31</v>
      </c>
      <c r="J515">
        <f t="shared" ref="J515:J578" si="199">I515/H515</f>
        <v>8.4699453551912565E-2</v>
      </c>
      <c r="K515">
        <f>IFERROR($J515/IF($A515&lt;COUNTIFS($K$1:K$1,"&lt;&gt;"),0,SUMIFS($J:$J,$B:$B,$B515,$A:$A,"&gt;="&amp;COUNTIFS($K$1:K$1,"&lt;&gt;"))),0)</f>
        <v>8.8571428571428579E-2</v>
      </c>
      <c r="L515">
        <f>IFERROR($J515/IF($A515&lt;COUNTIFS($K$1:L$1,"&lt;&gt;"),0,SUMIFS($J:$J,$B:$B,$B515,$A:$A,"&gt;="&amp;COUNTIFS($K$1:L$1,"&lt;&gt;"))),0)</f>
        <v>9.7178683385579931E-2</v>
      </c>
      <c r="M515">
        <f>IFERROR($J515/IF($A515&lt;COUNTIFS($K$1:M$1,"&lt;&gt;"),0,SUMIFS($J:$J,$B:$B,$B515,$A:$A,"&gt;="&amp;COUNTIFS($K$1:M$1,"&lt;&gt;"))),0)</f>
        <v>0.10726643598615916</v>
      </c>
      <c r="N515">
        <f>IFERROR($J515/IF($A515&lt;COUNTIFS($K$1:N$1,"&lt;&gt;"),0,SUMIFS($J:$J,$B:$B,$B515,$A:$A,"&gt;="&amp;COUNTIFS($K$1:N$1,"&lt;&gt;"))),0)</f>
        <v>0.12015503875968991</v>
      </c>
      <c r="O515">
        <f>IFERROR($J515/IF($A515&lt;COUNTIFS($K$1:O$1,"&lt;&gt;"),0,SUMIFS($J:$J,$B:$B,$B515,$A:$A,"&gt;="&amp;COUNTIFS($K$1:O$1,"&lt;&gt;"))),0)</f>
        <v>0.13656387665198236</v>
      </c>
      <c r="P515">
        <f>IFERROR($J515/IF($A515&lt;COUNTIFS($K$1:P$1,"&lt;&gt;"),0,SUMIFS($J:$J,$B:$B,$B515,$A:$A,"&gt;="&amp;COUNTIFS($K$1:P$1,"&lt;&gt;"))),0)</f>
        <v>0.15736040609137053</v>
      </c>
      <c r="Q515">
        <f>IFERROR($J515/IF($A515&lt;COUNTIFS($K$1:Q$1,"&lt;&gt;"),0,SUMIFS($J:$J,$B:$B,$B515,$A:$A,"&gt;="&amp;COUNTIFS($K$1:Q$1,"&lt;&gt;"))),0)</f>
        <v>0</v>
      </c>
      <c r="R515">
        <f>IFERROR($J515/IF($A515&lt;COUNTIFS($K$1:R$1,"&lt;&gt;"),0,SUMIFS($J:$J,$B:$B,$B515,$A:$A,"&gt;="&amp;COUNTIFS($K$1:R$1,"&lt;&gt;"))),0)</f>
        <v>0</v>
      </c>
      <c r="S515">
        <f>IFERROR($J515/IF($A515&lt;COUNTIFS($K$1:S$1,"&lt;&gt;"),0,SUMIFS($J:$J,$B:$B,$B515,$A:$A,"&gt;="&amp;COUNTIFS($K$1:S$1,"&lt;&gt;"))),0)</f>
        <v>0</v>
      </c>
      <c r="T515">
        <f>IFERROR($J515/IF($A515&lt;COUNTIFS($K$1:T$1,"&lt;&gt;"),0,SUMIFS($J:$J,$B:$B,$B515,$A:$A,"&gt;="&amp;COUNTIFS($K$1:T$1,"&lt;&gt;"))),0)</f>
        <v>0</v>
      </c>
      <c r="U515">
        <f>IFERROR($J515/IF($A515&lt;COUNTIFS($K$1:U$1,"&lt;&gt;"),0,SUMIFS($J:$J,$B:$B,$B515,$A:$A,"&gt;="&amp;COUNTIFS($K$1:U$1,"&lt;&gt;"))),0)</f>
        <v>0</v>
      </c>
      <c r="V515">
        <f>IFERROR($J515/IF($A515&lt;COUNTIFS($K$1:V$1,"&lt;&gt;"),0,SUMIFS($J:$J,$B:$B,$B515,$A:$A,"&gt;="&amp;COUNTIFS($K$1:V$1,"&lt;&gt;"))),0)</f>
        <v>0</v>
      </c>
      <c r="W515">
        <f t="shared" ref="W515:W578" si="200">IF(J515=0,0,$J515)</f>
        <v>8.4699453551912565E-2</v>
      </c>
      <c r="X515">
        <f t="shared" si="180"/>
        <v>8.4699453551912565E-2</v>
      </c>
      <c r="Y515">
        <f t="shared" si="181"/>
        <v>8.4699453551912565E-2</v>
      </c>
      <c r="Z515">
        <f t="shared" si="182"/>
        <v>8.4699453551912565E-2</v>
      </c>
      <c r="AA515">
        <f t="shared" si="183"/>
        <v>8.4699453551912565E-2</v>
      </c>
      <c r="AB515">
        <f t="shared" si="184"/>
        <v>8.4699453551912565E-2</v>
      </c>
      <c r="AC515">
        <f t="shared" si="185"/>
        <v>8.4699453551912565E-2</v>
      </c>
      <c r="AD515">
        <f t="shared" si="186"/>
        <v>0</v>
      </c>
      <c r="AE515">
        <f t="shared" si="187"/>
        <v>0</v>
      </c>
      <c r="AF515">
        <f t="shared" si="188"/>
        <v>0</v>
      </c>
      <c r="AG515">
        <f t="shared" si="189"/>
        <v>0</v>
      </c>
      <c r="AH515">
        <f t="shared" si="190"/>
        <v>0</v>
      </c>
      <c r="AI515">
        <f t="shared" si="191"/>
        <v>0</v>
      </c>
      <c r="AJ515" s="2" t="str">
        <f t="shared" ref="AJ515:AJ578" si="201">A515&amp;B515</f>
        <v>645017</v>
      </c>
    </row>
    <row r="516" spans="1:36" x14ac:dyDescent="0.25">
      <c r="A516">
        <v>7</v>
      </c>
      <c r="B516" s="1">
        <v>45017</v>
      </c>
      <c r="C516" s="1">
        <f t="shared" si="192"/>
        <v>45231</v>
      </c>
      <c r="D516" s="1">
        <f t="shared" si="193"/>
        <v>45031</v>
      </c>
      <c r="E516" s="1">
        <f t="shared" si="194"/>
        <v>45231</v>
      </c>
      <c r="F516" s="1">
        <f t="shared" si="195"/>
        <v>45261</v>
      </c>
      <c r="G516" s="1">
        <f t="shared" si="196"/>
        <v>45397</v>
      </c>
      <c r="H516">
        <f t="shared" si="197"/>
        <v>366</v>
      </c>
      <c r="I516">
        <f t="shared" si="198"/>
        <v>30</v>
      </c>
      <c r="J516">
        <f t="shared" si="199"/>
        <v>8.1967213114754092E-2</v>
      </c>
      <c r="K516">
        <f>IFERROR($J516/IF($A516&lt;COUNTIFS($K$1:K$1,"&lt;&gt;"),0,SUMIFS($J:$J,$B:$B,$B516,$A:$A,"&gt;="&amp;COUNTIFS($K$1:K$1,"&lt;&gt;"))),0)</f>
        <v>8.5714285714285715E-2</v>
      </c>
      <c r="L516">
        <f>IFERROR($J516/IF($A516&lt;COUNTIFS($K$1:L$1,"&lt;&gt;"),0,SUMIFS($J:$J,$B:$B,$B516,$A:$A,"&gt;="&amp;COUNTIFS($K$1:L$1,"&lt;&gt;"))),0)</f>
        <v>9.4043887147335414E-2</v>
      </c>
      <c r="M516">
        <f>IFERROR($J516/IF($A516&lt;COUNTIFS($K$1:M$1,"&lt;&gt;"),0,SUMIFS($J:$J,$B:$B,$B516,$A:$A,"&gt;="&amp;COUNTIFS($K$1:M$1,"&lt;&gt;"))),0)</f>
        <v>0.10380622837370242</v>
      </c>
      <c r="N516">
        <f>IFERROR($J516/IF($A516&lt;COUNTIFS($K$1:N$1,"&lt;&gt;"),0,SUMIFS($J:$J,$B:$B,$B516,$A:$A,"&gt;="&amp;COUNTIFS($K$1:N$1,"&lt;&gt;"))),0)</f>
        <v>0.11627906976744184</v>
      </c>
      <c r="O516">
        <f>IFERROR($J516/IF($A516&lt;COUNTIFS($K$1:O$1,"&lt;&gt;"),0,SUMIFS($J:$J,$B:$B,$B516,$A:$A,"&gt;="&amp;COUNTIFS($K$1:O$1,"&lt;&gt;"))),0)</f>
        <v>0.13215859030837002</v>
      </c>
      <c r="P516">
        <f>IFERROR($J516/IF($A516&lt;COUNTIFS($K$1:P$1,"&lt;&gt;"),0,SUMIFS($J:$J,$B:$B,$B516,$A:$A,"&gt;="&amp;COUNTIFS($K$1:P$1,"&lt;&gt;"))),0)</f>
        <v>0.15228426395939085</v>
      </c>
      <c r="Q516">
        <f>IFERROR($J516/IF($A516&lt;COUNTIFS($K$1:Q$1,"&lt;&gt;"),0,SUMIFS($J:$J,$B:$B,$B516,$A:$A,"&gt;="&amp;COUNTIFS($K$1:Q$1,"&lt;&gt;"))),0)</f>
        <v>0.18072289156626503</v>
      </c>
      <c r="R516">
        <f>IFERROR($J516/IF($A516&lt;COUNTIFS($K$1:R$1,"&lt;&gt;"),0,SUMIFS($J:$J,$B:$B,$B516,$A:$A,"&gt;="&amp;COUNTIFS($K$1:R$1,"&lt;&gt;"))),0)</f>
        <v>0</v>
      </c>
      <c r="S516">
        <f>IFERROR($J516/IF($A516&lt;COUNTIFS($K$1:S$1,"&lt;&gt;"),0,SUMIFS($J:$J,$B:$B,$B516,$A:$A,"&gt;="&amp;COUNTIFS($K$1:S$1,"&lt;&gt;"))),0)</f>
        <v>0</v>
      </c>
      <c r="T516">
        <f>IFERROR($J516/IF($A516&lt;COUNTIFS($K$1:T$1,"&lt;&gt;"),0,SUMIFS($J:$J,$B:$B,$B516,$A:$A,"&gt;="&amp;COUNTIFS($K$1:T$1,"&lt;&gt;"))),0)</f>
        <v>0</v>
      </c>
      <c r="U516">
        <f>IFERROR($J516/IF($A516&lt;COUNTIFS($K$1:U$1,"&lt;&gt;"),0,SUMIFS($J:$J,$B:$B,$B516,$A:$A,"&gt;="&amp;COUNTIFS($K$1:U$1,"&lt;&gt;"))),0)</f>
        <v>0</v>
      </c>
      <c r="V516">
        <f>IFERROR($J516/IF($A516&lt;COUNTIFS($K$1:V$1,"&lt;&gt;"),0,SUMIFS($J:$J,$B:$B,$B516,$A:$A,"&gt;="&amp;COUNTIFS($K$1:V$1,"&lt;&gt;"))),0)</f>
        <v>0</v>
      </c>
      <c r="W516">
        <f t="shared" si="200"/>
        <v>8.1967213114754092E-2</v>
      </c>
      <c r="X516">
        <f t="shared" si="180"/>
        <v>8.1967213114754092E-2</v>
      </c>
      <c r="Y516">
        <f t="shared" si="181"/>
        <v>8.1967213114754092E-2</v>
      </c>
      <c r="Z516">
        <f t="shared" si="182"/>
        <v>8.1967213114754092E-2</v>
      </c>
      <c r="AA516">
        <f t="shared" si="183"/>
        <v>8.1967213114754092E-2</v>
      </c>
      <c r="AB516">
        <f t="shared" si="184"/>
        <v>8.1967213114754092E-2</v>
      </c>
      <c r="AC516">
        <f t="shared" si="185"/>
        <v>8.1967213114754092E-2</v>
      </c>
      <c r="AD516">
        <f t="shared" si="186"/>
        <v>8.1967213114754092E-2</v>
      </c>
      <c r="AE516">
        <f t="shared" si="187"/>
        <v>0</v>
      </c>
      <c r="AF516">
        <f t="shared" si="188"/>
        <v>0</v>
      </c>
      <c r="AG516">
        <f t="shared" si="189"/>
        <v>0</v>
      </c>
      <c r="AH516">
        <f t="shared" si="190"/>
        <v>0</v>
      </c>
      <c r="AI516">
        <f t="shared" si="191"/>
        <v>0</v>
      </c>
      <c r="AJ516" s="2" t="str">
        <f t="shared" si="201"/>
        <v>745017</v>
      </c>
    </row>
    <row r="517" spans="1:36" x14ac:dyDescent="0.25">
      <c r="A517">
        <v>8</v>
      </c>
      <c r="B517" s="1">
        <v>45017</v>
      </c>
      <c r="C517" s="1">
        <f t="shared" si="192"/>
        <v>45261</v>
      </c>
      <c r="D517" s="1">
        <f t="shared" si="193"/>
        <v>45031</v>
      </c>
      <c r="E517" s="1">
        <f t="shared" si="194"/>
        <v>45261</v>
      </c>
      <c r="F517" s="1">
        <f t="shared" si="195"/>
        <v>45292</v>
      </c>
      <c r="G517" s="1">
        <f t="shared" si="196"/>
        <v>45397</v>
      </c>
      <c r="H517">
        <f t="shared" si="197"/>
        <v>366</v>
      </c>
      <c r="I517">
        <f t="shared" si="198"/>
        <v>31</v>
      </c>
      <c r="J517">
        <f t="shared" si="199"/>
        <v>8.4699453551912565E-2</v>
      </c>
      <c r="K517">
        <f>IFERROR($J517/IF($A517&lt;COUNTIFS($K$1:K$1,"&lt;&gt;"),0,SUMIFS($J:$J,$B:$B,$B517,$A:$A,"&gt;="&amp;COUNTIFS($K$1:K$1,"&lt;&gt;"))),0)</f>
        <v>8.8571428571428579E-2</v>
      </c>
      <c r="L517">
        <f>IFERROR($J517/IF($A517&lt;COUNTIFS($K$1:L$1,"&lt;&gt;"),0,SUMIFS($J:$J,$B:$B,$B517,$A:$A,"&gt;="&amp;COUNTIFS($K$1:L$1,"&lt;&gt;"))),0)</f>
        <v>9.7178683385579931E-2</v>
      </c>
      <c r="M517">
        <f>IFERROR($J517/IF($A517&lt;COUNTIFS($K$1:M$1,"&lt;&gt;"),0,SUMIFS($J:$J,$B:$B,$B517,$A:$A,"&gt;="&amp;COUNTIFS($K$1:M$1,"&lt;&gt;"))),0)</f>
        <v>0.10726643598615916</v>
      </c>
      <c r="N517">
        <f>IFERROR($J517/IF($A517&lt;COUNTIFS($K$1:N$1,"&lt;&gt;"),0,SUMIFS($J:$J,$B:$B,$B517,$A:$A,"&gt;="&amp;COUNTIFS($K$1:N$1,"&lt;&gt;"))),0)</f>
        <v>0.12015503875968991</v>
      </c>
      <c r="O517">
        <f>IFERROR($J517/IF($A517&lt;COUNTIFS($K$1:O$1,"&lt;&gt;"),0,SUMIFS($J:$J,$B:$B,$B517,$A:$A,"&gt;="&amp;COUNTIFS($K$1:O$1,"&lt;&gt;"))),0)</f>
        <v>0.13656387665198236</v>
      </c>
      <c r="P517">
        <f>IFERROR($J517/IF($A517&lt;COUNTIFS($K$1:P$1,"&lt;&gt;"),0,SUMIFS($J:$J,$B:$B,$B517,$A:$A,"&gt;="&amp;COUNTIFS($K$1:P$1,"&lt;&gt;"))),0)</f>
        <v>0.15736040609137053</v>
      </c>
      <c r="Q517">
        <f>IFERROR($J517/IF($A517&lt;COUNTIFS($K$1:Q$1,"&lt;&gt;"),0,SUMIFS($J:$J,$B:$B,$B517,$A:$A,"&gt;="&amp;COUNTIFS($K$1:Q$1,"&lt;&gt;"))),0)</f>
        <v>0.18674698795180722</v>
      </c>
      <c r="R517">
        <f>IFERROR($J517/IF($A517&lt;COUNTIFS($K$1:R$1,"&lt;&gt;"),0,SUMIFS($J:$J,$B:$B,$B517,$A:$A,"&gt;="&amp;COUNTIFS($K$1:R$1,"&lt;&gt;"))),0)</f>
        <v>0.22794117647058826</v>
      </c>
      <c r="S517">
        <f>IFERROR($J517/IF($A517&lt;COUNTIFS($K$1:S$1,"&lt;&gt;"),0,SUMIFS($J:$J,$B:$B,$B517,$A:$A,"&gt;="&amp;COUNTIFS($K$1:S$1,"&lt;&gt;"))),0)</f>
        <v>0</v>
      </c>
      <c r="T517">
        <f>IFERROR($J517/IF($A517&lt;COUNTIFS($K$1:T$1,"&lt;&gt;"),0,SUMIFS($J:$J,$B:$B,$B517,$A:$A,"&gt;="&amp;COUNTIFS($K$1:T$1,"&lt;&gt;"))),0)</f>
        <v>0</v>
      </c>
      <c r="U517">
        <f>IFERROR($J517/IF($A517&lt;COUNTIFS($K$1:U$1,"&lt;&gt;"),0,SUMIFS($J:$J,$B:$B,$B517,$A:$A,"&gt;="&amp;COUNTIFS($K$1:U$1,"&lt;&gt;"))),0)</f>
        <v>0</v>
      </c>
      <c r="V517">
        <f>IFERROR($J517/IF($A517&lt;COUNTIFS($K$1:V$1,"&lt;&gt;"),0,SUMIFS($J:$J,$B:$B,$B517,$A:$A,"&gt;="&amp;COUNTIFS($K$1:V$1,"&lt;&gt;"))),0)</f>
        <v>0</v>
      </c>
      <c r="W517">
        <f t="shared" si="200"/>
        <v>8.4699453551912565E-2</v>
      </c>
      <c r="X517">
        <f t="shared" si="180"/>
        <v>8.4699453551912565E-2</v>
      </c>
      <c r="Y517">
        <f t="shared" si="181"/>
        <v>8.4699453551912565E-2</v>
      </c>
      <c r="Z517">
        <f t="shared" si="182"/>
        <v>8.4699453551912565E-2</v>
      </c>
      <c r="AA517">
        <f t="shared" si="183"/>
        <v>8.4699453551912565E-2</v>
      </c>
      <c r="AB517">
        <f t="shared" si="184"/>
        <v>8.4699453551912565E-2</v>
      </c>
      <c r="AC517">
        <f t="shared" si="185"/>
        <v>8.4699453551912565E-2</v>
      </c>
      <c r="AD517">
        <f t="shared" si="186"/>
        <v>8.4699453551912565E-2</v>
      </c>
      <c r="AE517">
        <f t="shared" si="187"/>
        <v>8.4699453551912565E-2</v>
      </c>
      <c r="AF517">
        <f t="shared" si="188"/>
        <v>0</v>
      </c>
      <c r="AG517">
        <f t="shared" si="189"/>
        <v>0</v>
      </c>
      <c r="AH517">
        <f t="shared" si="190"/>
        <v>0</v>
      </c>
      <c r="AI517">
        <f t="shared" si="191"/>
        <v>0</v>
      </c>
      <c r="AJ517" s="2" t="str">
        <f t="shared" si="201"/>
        <v>845017</v>
      </c>
    </row>
    <row r="518" spans="1:36" x14ac:dyDescent="0.25">
      <c r="A518">
        <v>9</v>
      </c>
      <c r="B518" s="1">
        <v>45017</v>
      </c>
      <c r="C518" s="1">
        <f t="shared" si="192"/>
        <v>45292</v>
      </c>
      <c r="D518" s="1">
        <f t="shared" si="193"/>
        <v>45031</v>
      </c>
      <c r="E518" s="1">
        <f t="shared" si="194"/>
        <v>45292</v>
      </c>
      <c r="F518" s="1">
        <f t="shared" si="195"/>
        <v>45323</v>
      </c>
      <c r="G518" s="1">
        <f t="shared" si="196"/>
        <v>45397</v>
      </c>
      <c r="H518">
        <f t="shared" si="197"/>
        <v>366</v>
      </c>
      <c r="I518">
        <f t="shared" si="198"/>
        <v>31</v>
      </c>
      <c r="J518">
        <f t="shared" si="199"/>
        <v>8.4699453551912565E-2</v>
      </c>
      <c r="K518">
        <f>IFERROR($J518/IF($A518&lt;COUNTIFS($K$1:K$1,"&lt;&gt;"),0,SUMIFS($J:$J,$B:$B,$B518,$A:$A,"&gt;="&amp;COUNTIFS($K$1:K$1,"&lt;&gt;"))),0)</f>
        <v>8.8571428571428579E-2</v>
      </c>
      <c r="L518">
        <f>IFERROR($J518/IF($A518&lt;COUNTIFS($K$1:L$1,"&lt;&gt;"),0,SUMIFS($J:$J,$B:$B,$B518,$A:$A,"&gt;="&amp;COUNTIFS($K$1:L$1,"&lt;&gt;"))),0)</f>
        <v>9.7178683385579931E-2</v>
      </c>
      <c r="M518">
        <f>IFERROR($J518/IF($A518&lt;COUNTIFS($K$1:M$1,"&lt;&gt;"),0,SUMIFS($J:$J,$B:$B,$B518,$A:$A,"&gt;="&amp;COUNTIFS($K$1:M$1,"&lt;&gt;"))),0)</f>
        <v>0.10726643598615916</v>
      </c>
      <c r="N518">
        <f>IFERROR($J518/IF($A518&lt;COUNTIFS($K$1:N$1,"&lt;&gt;"),0,SUMIFS($J:$J,$B:$B,$B518,$A:$A,"&gt;="&amp;COUNTIFS($K$1:N$1,"&lt;&gt;"))),0)</f>
        <v>0.12015503875968991</v>
      </c>
      <c r="O518">
        <f>IFERROR($J518/IF($A518&lt;COUNTIFS($K$1:O$1,"&lt;&gt;"),0,SUMIFS($J:$J,$B:$B,$B518,$A:$A,"&gt;="&amp;COUNTIFS($K$1:O$1,"&lt;&gt;"))),0)</f>
        <v>0.13656387665198236</v>
      </c>
      <c r="P518">
        <f>IFERROR($J518/IF($A518&lt;COUNTIFS($K$1:P$1,"&lt;&gt;"),0,SUMIFS($J:$J,$B:$B,$B518,$A:$A,"&gt;="&amp;COUNTIFS($K$1:P$1,"&lt;&gt;"))),0)</f>
        <v>0.15736040609137053</v>
      </c>
      <c r="Q518">
        <f>IFERROR($J518/IF($A518&lt;COUNTIFS($K$1:Q$1,"&lt;&gt;"),0,SUMIFS($J:$J,$B:$B,$B518,$A:$A,"&gt;="&amp;COUNTIFS($K$1:Q$1,"&lt;&gt;"))),0)</f>
        <v>0.18674698795180722</v>
      </c>
      <c r="R518">
        <f>IFERROR($J518/IF($A518&lt;COUNTIFS($K$1:R$1,"&lt;&gt;"),0,SUMIFS($J:$J,$B:$B,$B518,$A:$A,"&gt;="&amp;COUNTIFS($K$1:R$1,"&lt;&gt;"))),0)</f>
        <v>0.22794117647058826</v>
      </c>
      <c r="S518">
        <f>IFERROR($J518/IF($A518&lt;COUNTIFS($K$1:S$1,"&lt;&gt;"),0,SUMIFS($J:$J,$B:$B,$B518,$A:$A,"&gt;="&amp;COUNTIFS($K$1:S$1,"&lt;&gt;"))),0)</f>
        <v>0.29523809523809524</v>
      </c>
      <c r="T518">
        <f>IFERROR($J518/IF($A518&lt;COUNTIFS($K$1:T$1,"&lt;&gt;"),0,SUMIFS($J:$J,$B:$B,$B518,$A:$A,"&gt;="&amp;COUNTIFS($K$1:T$1,"&lt;&gt;"))),0)</f>
        <v>0</v>
      </c>
      <c r="U518">
        <f>IFERROR($J518/IF($A518&lt;COUNTIFS($K$1:U$1,"&lt;&gt;"),0,SUMIFS($J:$J,$B:$B,$B518,$A:$A,"&gt;="&amp;COUNTIFS($K$1:U$1,"&lt;&gt;"))),0)</f>
        <v>0</v>
      </c>
      <c r="V518">
        <f>IFERROR($J518/IF($A518&lt;COUNTIFS($K$1:V$1,"&lt;&gt;"),0,SUMIFS($J:$J,$B:$B,$B518,$A:$A,"&gt;="&amp;COUNTIFS($K$1:V$1,"&lt;&gt;"))),0)</f>
        <v>0</v>
      </c>
      <c r="W518">
        <f t="shared" si="200"/>
        <v>8.4699453551912565E-2</v>
      </c>
      <c r="X518">
        <f t="shared" si="180"/>
        <v>8.4699453551912565E-2</v>
      </c>
      <c r="Y518">
        <f t="shared" si="181"/>
        <v>8.4699453551912565E-2</v>
      </c>
      <c r="Z518">
        <f t="shared" si="182"/>
        <v>8.4699453551912565E-2</v>
      </c>
      <c r="AA518">
        <f t="shared" si="183"/>
        <v>8.4699453551912565E-2</v>
      </c>
      <c r="AB518">
        <f t="shared" si="184"/>
        <v>8.4699453551912565E-2</v>
      </c>
      <c r="AC518">
        <f t="shared" si="185"/>
        <v>8.4699453551912565E-2</v>
      </c>
      <c r="AD518">
        <f t="shared" si="186"/>
        <v>8.4699453551912565E-2</v>
      </c>
      <c r="AE518">
        <f t="shared" si="187"/>
        <v>8.4699453551912565E-2</v>
      </c>
      <c r="AF518">
        <f t="shared" si="188"/>
        <v>8.4699453551912565E-2</v>
      </c>
      <c r="AG518">
        <f t="shared" si="189"/>
        <v>0</v>
      </c>
      <c r="AH518">
        <f t="shared" si="190"/>
        <v>0</v>
      </c>
      <c r="AI518">
        <f t="shared" si="191"/>
        <v>0</v>
      </c>
      <c r="AJ518" s="2" t="str">
        <f t="shared" si="201"/>
        <v>945017</v>
      </c>
    </row>
    <row r="519" spans="1:36" x14ac:dyDescent="0.25">
      <c r="A519">
        <v>10</v>
      </c>
      <c r="B519" s="1">
        <v>45017</v>
      </c>
      <c r="C519" s="1">
        <f t="shared" si="192"/>
        <v>45323</v>
      </c>
      <c r="D519" s="1">
        <f t="shared" si="193"/>
        <v>45031</v>
      </c>
      <c r="E519" s="1">
        <f t="shared" si="194"/>
        <v>45323</v>
      </c>
      <c r="F519" s="1">
        <f t="shared" si="195"/>
        <v>45352</v>
      </c>
      <c r="G519" s="1">
        <f t="shared" si="196"/>
        <v>45397</v>
      </c>
      <c r="H519">
        <f t="shared" si="197"/>
        <v>366</v>
      </c>
      <c r="I519">
        <f t="shared" si="198"/>
        <v>29</v>
      </c>
      <c r="J519">
        <f t="shared" si="199"/>
        <v>7.9234972677595633E-2</v>
      </c>
      <c r="K519">
        <f>IFERROR($J519/IF($A519&lt;COUNTIFS($K$1:K$1,"&lt;&gt;"),0,SUMIFS($J:$J,$B:$B,$B519,$A:$A,"&gt;="&amp;COUNTIFS($K$1:K$1,"&lt;&gt;"))),0)</f>
        <v>8.2857142857142865E-2</v>
      </c>
      <c r="L519">
        <f>IFERROR($J519/IF($A519&lt;COUNTIFS($K$1:L$1,"&lt;&gt;"),0,SUMIFS($J:$J,$B:$B,$B519,$A:$A,"&gt;="&amp;COUNTIFS($K$1:L$1,"&lt;&gt;"))),0)</f>
        <v>9.0909090909090912E-2</v>
      </c>
      <c r="M519">
        <f>IFERROR($J519/IF($A519&lt;COUNTIFS($K$1:M$1,"&lt;&gt;"),0,SUMIFS($J:$J,$B:$B,$B519,$A:$A,"&gt;="&amp;COUNTIFS($K$1:M$1,"&lt;&gt;"))),0)</f>
        <v>0.10034602076124569</v>
      </c>
      <c r="N519">
        <f>IFERROR($J519/IF($A519&lt;COUNTIFS($K$1:N$1,"&lt;&gt;"),0,SUMIFS($J:$J,$B:$B,$B519,$A:$A,"&gt;="&amp;COUNTIFS($K$1:N$1,"&lt;&gt;"))),0)</f>
        <v>0.1124031007751938</v>
      </c>
      <c r="O519">
        <f>IFERROR($J519/IF($A519&lt;COUNTIFS($K$1:O$1,"&lt;&gt;"),0,SUMIFS($J:$J,$B:$B,$B519,$A:$A,"&gt;="&amp;COUNTIFS($K$1:O$1,"&lt;&gt;"))),0)</f>
        <v>0.1277533039647577</v>
      </c>
      <c r="P519">
        <f>IFERROR($J519/IF($A519&lt;COUNTIFS($K$1:P$1,"&lt;&gt;"),0,SUMIFS($J:$J,$B:$B,$B519,$A:$A,"&gt;="&amp;COUNTIFS($K$1:P$1,"&lt;&gt;"))),0)</f>
        <v>0.14720812182741116</v>
      </c>
      <c r="Q519">
        <f>IFERROR($J519/IF($A519&lt;COUNTIFS($K$1:Q$1,"&lt;&gt;"),0,SUMIFS($J:$J,$B:$B,$B519,$A:$A,"&gt;="&amp;COUNTIFS($K$1:Q$1,"&lt;&gt;"))),0)</f>
        <v>0.1746987951807229</v>
      </c>
      <c r="R519">
        <f>IFERROR($J519/IF($A519&lt;COUNTIFS($K$1:R$1,"&lt;&gt;"),0,SUMIFS($J:$J,$B:$B,$B519,$A:$A,"&gt;="&amp;COUNTIFS($K$1:R$1,"&lt;&gt;"))),0)</f>
        <v>0.21323529411764708</v>
      </c>
      <c r="S519">
        <f>IFERROR($J519/IF($A519&lt;COUNTIFS($K$1:S$1,"&lt;&gt;"),0,SUMIFS($J:$J,$B:$B,$B519,$A:$A,"&gt;="&amp;COUNTIFS($K$1:S$1,"&lt;&gt;"))),0)</f>
        <v>0.27619047619047621</v>
      </c>
      <c r="T519">
        <f>IFERROR($J519/IF($A519&lt;COUNTIFS($K$1:T$1,"&lt;&gt;"),0,SUMIFS($J:$J,$B:$B,$B519,$A:$A,"&gt;="&amp;COUNTIFS($K$1:T$1,"&lt;&gt;"))),0)</f>
        <v>0.39189189189189189</v>
      </c>
      <c r="U519">
        <f>IFERROR($J519/IF($A519&lt;COUNTIFS($K$1:U$1,"&lt;&gt;"),0,SUMIFS($J:$J,$B:$B,$B519,$A:$A,"&gt;="&amp;COUNTIFS($K$1:U$1,"&lt;&gt;"))),0)</f>
        <v>0</v>
      </c>
      <c r="V519">
        <f>IFERROR($J519/IF($A519&lt;COUNTIFS($K$1:V$1,"&lt;&gt;"),0,SUMIFS($J:$J,$B:$B,$B519,$A:$A,"&gt;="&amp;COUNTIFS($K$1:V$1,"&lt;&gt;"))),0)</f>
        <v>0</v>
      </c>
      <c r="W519">
        <f t="shared" si="200"/>
        <v>7.9234972677595633E-2</v>
      </c>
      <c r="X519">
        <f t="shared" si="180"/>
        <v>7.9234972677595633E-2</v>
      </c>
      <c r="Y519">
        <f t="shared" si="181"/>
        <v>7.9234972677595633E-2</v>
      </c>
      <c r="Z519">
        <f t="shared" si="182"/>
        <v>7.9234972677595633E-2</v>
      </c>
      <c r="AA519">
        <f t="shared" si="183"/>
        <v>7.9234972677595633E-2</v>
      </c>
      <c r="AB519">
        <f t="shared" si="184"/>
        <v>7.9234972677595633E-2</v>
      </c>
      <c r="AC519">
        <f t="shared" si="185"/>
        <v>7.9234972677595633E-2</v>
      </c>
      <c r="AD519">
        <f t="shared" si="186"/>
        <v>7.9234972677595633E-2</v>
      </c>
      <c r="AE519">
        <f t="shared" si="187"/>
        <v>7.9234972677595633E-2</v>
      </c>
      <c r="AF519">
        <f t="shared" si="188"/>
        <v>7.9234972677595633E-2</v>
      </c>
      <c r="AG519">
        <f t="shared" si="189"/>
        <v>7.9234972677595633E-2</v>
      </c>
      <c r="AH519">
        <f t="shared" si="190"/>
        <v>0</v>
      </c>
      <c r="AI519">
        <f t="shared" si="191"/>
        <v>0</v>
      </c>
      <c r="AJ519" s="2" t="str">
        <f t="shared" si="201"/>
        <v>1045017</v>
      </c>
    </row>
    <row r="520" spans="1:36" x14ac:dyDescent="0.25">
      <c r="A520">
        <v>11</v>
      </c>
      <c r="B520" s="1">
        <v>45017</v>
      </c>
      <c r="C520" s="1">
        <f t="shared" si="192"/>
        <v>45352</v>
      </c>
      <c r="D520" s="1">
        <f t="shared" si="193"/>
        <v>45031</v>
      </c>
      <c r="E520" s="1">
        <f t="shared" si="194"/>
        <v>45352</v>
      </c>
      <c r="F520" s="1">
        <f t="shared" si="195"/>
        <v>45383</v>
      </c>
      <c r="G520" s="1">
        <f t="shared" si="196"/>
        <v>45397</v>
      </c>
      <c r="H520">
        <f t="shared" si="197"/>
        <v>366</v>
      </c>
      <c r="I520">
        <f t="shared" si="198"/>
        <v>31</v>
      </c>
      <c r="J520">
        <f t="shared" si="199"/>
        <v>8.4699453551912565E-2</v>
      </c>
      <c r="K520">
        <f>IFERROR($J520/IF($A520&lt;COUNTIFS($K$1:K$1,"&lt;&gt;"),0,SUMIFS($J:$J,$B:$B,$B520,$A:$A,"&gt;="&amp;COUNTIFS($K$1:K$1,"&lt;&gt;"))),0)</f>
        <v>8.8571428571428579E-2</v>
      </c>
      <c r="L520">
        <f>IFERROR($J520/IF($A520&lt;COUNTIFS($K$1:L$1,"&lt;&gt;"),0,SUMIFS($J:$J,$B:$B,$B520,$A:$A,"&gt;="&amp;COUNTIFS($K$1:L$1,"&lt;&gt;"))),0)</f>
        <v>9.7178683385579931E-2</v>
      </c>
      <c r="M520">
        <f>IFERROR($J520/IF($A520&lt;COUNTIFS($K$1:M$1,"&lt;&gt;"),0,SUMIFS($J:$J,$B:$B,$B520,$A:$A,"&gt;="&amp;COUNTIFS($K$1:M$1,"&lt;&gt;"))),0)</f>
        <v>0.10726643598615916</v>
      </c>
      <c r="N520">
        <f>IFERROR($J520/IF($A520&lt;COUNTIFS($K$1:N$1,"&lt;&gt;"),0,SUMIFS($J:$J,$B:$B,$B520,$A:$A,"&gt;="&amp;COUNTIFS($K$1:N$1,"&lt;&gt;"))),0)</f>
        <v>0.12015503875968991</v>
      </c>
      <c r="O520">
        <f>IFERROR($J520/IF($A520&lt;COUNTIFS($K$1:O$1,"&lt;&gt;"),0,SUMIFS($J:$J,$B:$B,$B520,$A:$A,"&gt;="&amp;COUNTIFS($K$1:O$1,"&lt;&gt;"))),0)</f>
        <v>0.13656387665198236</v>
      </c>
      <c r="P520">
        <f>IFERROR($J520/IF($A520&lt;COUNTIFS($K$1:P$1,"&lt;&gt;"),0,SUMIFS($J:$J,$B:$B,$B520,$A:$A,"&gt;="&amp;COUNTIFS($K$1:P$1,"&lt;&gt;"))),0)</f>
        <v>0.15736040609137053</v>
      </c>
      <c r="Q520">
        <f>IFERROR($J520/IF($A520&lt;COUNTIFS($K$1:Q$1,"&lt;&gt;"),0,SUMIFS($J:$J,$B:$B,$B520,$A:$A,"&gt;="&amp;COUNTIFS($K$1:Q$1,"&lt;&gt;"))),0)</f>
        <v>0.18674698795180722</v>
      </c>
      <c r="R520">
        <f>IFERROR($J520/IF($A520&lt;COUNTIFS($K$1:R$1,"&lt;&gt;"),0,SUMIFS($J:$J,$B:$B,$B520,$A:$A,"&gt;="&amp;COUNTIFS($K$1:R$1,"&lt;&gt;"))),0)</f>
        <v>0.22794117647058826</v>
      </c>
      <c r="S520">
        <f>IFERROR($J520/IF($A520&lt;COUNTIFS($K$1:S$1,"&lt;&gt;"),0,SUMIFS($J:$J,$B:$B,$B520,$A:$A,"&gt;="&amp;COUNTIFS($K$1:S$1,"&lt;&gt;"))),0)</f>
        <v>0.29523809523809524</v>
      </c>
      <c r="T520">
        <f>IFERROR($J520/IF($A520&lt;COUNTIFS($K$1:T$1,"&lt;&gt;"),0,SUMIFS($J:$J,$B:$B,$B520,$A:$A,"&gt;="&amp;COUNTIFS($K$1:T$1,"&lt;&gt;"))),0)</f>
        <v>0.41891891891891891</v>
      </c>
      <c r="U520">
        <f>IFERROR($J520/IF($A520&lt;COUNTIFS($K$1:U$1,"&lt;&gt;"),0,SUMIFS($J:$J,$B:$B,$B520,$A:$A,"&gt;="&amp;COUNTIFS($K$1:U$1,"&lt;&gt;"))),0)</f>
        <v>0.68888888888888888</v>
      </c>
      <c r="V520">
        <f>IFERROR($J520/IF($A520&lt;COUNTIFS($K$1:V$1,"&lt;&gt;"),0,SUMIFS($J:$J,$B:$B,$B520,$A:$A,"&gt;="&amp;COUNTIFS($K$1:V$1,"&lt;&gt;"))),0)</f>
        <v>0</v>
      </c>
      <c r="W520">
        <f t="shared" si="200"/>
        <v>8.4699453551912565E-2</v>
      </c>
      <c r="X520">
        <f t="shared" si="180"/>
        <v>8.4699453551912565E-2</v>
      </c>
      <c r="Y520">
        <f t="shared" si="181"/>
        <v>8.4699453551912565E-2</v>
      </c>
      <c r="Z520">
        <f t="shared" si="182"/>
        <v>8.4699453551912565E-2</v>
      </c>
      <c r="AA520">
        <f t="shared" si="183"/>
        <v>8.4699453551912565E-2</v>
      </c>
      <c r="AB520">
        <f t="shared" si="184"/>
        <v>8.4699453551912565E-2</v>
      </c>
      <c r="AC520">
        <f t="shared" si="185"/>
        <v>8.4699453551912565E-2</v>
      </c>
      <c r="AD520">
        <f t="shared" si="186"/>
        <v>8.4699453551912565E-2</v>
      </c>
      <c r="AE520">
        <f t="shared" si="187"/>
        <v>8.4699453551912565E-2</v>
      </c>
      <c r="AF520">
        <f t="shared" si="188"/>
        <v>8.4699453551912565E-2</v>
      </c>
      <c r="AG520">
        <f t="shared" si="189"/>
        <v>8.4699453551912565E-2</v>
      </c>
      <c r="AH520">
        <f t="shared" si="190"/>
        <v>8.4699453551912565E-2</v>
      </c>
      <c r="AI520">
        <f t="shared" si="191"/>
        <v>0</v>
      </c>
      <c r="AJ520" s="2" t="str">
        <f t="shared" si="201"/>
        <v>1145017</v>
      </c>
    </row>
    <row r="521" spans="1:36" x14ac:dyDescent="0.25">
      <c r="A521">
        <v>12</v>
      </c>
      <c r="B521" s="1">
        <v>45017</v>
      </c>
      <c r="C521" s="1">
        <f t="shared" si="192"/>
        <v>45383</v>
      </c>
      <c r="D521" s="1">
        <f t="shared" si="193"/>
        <v>45031</v>
      </c>
      <c r="E521" s="1">
        <f t="shared" si="194"/>
        <v>45383</v>
      </c>
      <c r="F521" s="1">
        <f t="shared" si="195"/>
        <v>45397</v>
      </c>
      <c r="G521" s="1">
        <f t="shared" si="196"/>
        <v>45397</v>
      </c>
      <c r="H521">
        <f t="shared" si="197"/>
        <v>366</v>
      </c>
      <c r="I521">
        <f t="shared" si="198"/>
        <v>14</v>
      </c>
      <c r="J521">
        <f t="shared" si="199"/>
        <v>3.825136612021858E-2</v>
      </c>
      <c r="K521">
        <f>IFERROR($J521/IF($A521&lt;COUNTIFS($K$1:K$1,"&lt;&gt;"),0,SUMIFS($J:$J,$B:$B,$B521,$A:$A,"&gt;="&amp;COUNTIFS($K$1:K$1,"&lt;&gt;"))),0)</f>
        <v>0.04</v>
      </c>
      <c r="L521">
        <f>IFERROR($J521/IF($A521&lt;COUNTIFS($K$1:L$1,"&lt;&gt;"),0,SUMIFS($J:$J,$B:$B,$B521,$A:$A,"&gt;="&amp;COUNTIFS($K$1:L$1,"&lt;&gt;"))),0)</f>
        <v>4.3887147335423198E-2</v>
      </c>
      <c r="M521">
        <f>IFERROR($J521/IF($A521&lt;COUNTIFS($K$1:M$1,"&lt;&gt;"),0,SUMIFS($J:$J,$B:$B,$B521,$A:$A,"&gt;="&amp;COUNTIFS($K$1:M$1,"&lt;&gt;"))),0)</f>
        <v>4.8442906574394463E-2</v>
      </c>
      <c r="N521">
        <f>IFERROR($J521/IF($A521&lt;COUNTIFS($K$1:N$1,"&lt;&gt;"),0,SUMIFS($J:$J,$B:$B,$B521,$A:$A,"&gt;="&amp;COUNTIFS($K$1:N$1,"&lt;&gt;"))),0)</f>
        <v>5.4263565891472867E-2</v>
      </c>
      <c r="O521">
        <f>IFERROR($J521/IF($A521&lt;COUNTIFS($K$1:O$1,"&lt;&gt;"),0,SUMIFS($J:$J,$B:$B,$B521,$A:$A,"&gt;="&amp;COUNTIFS($K$1:O$1,"&lt;&gt;"))),0)</f>
        <v>6.1674008810572688E-2</v>
      </c>
      <c r="P521">
        <f>IFERROR($J521/IF($A521&lt;COUNTIFS($K$1:P$1,"&lt;&gt;"),0,SUMIFS($J:$J,$B:$B,$B521,$A:$A,"&gt;="&amp;COUNTIFS($K$1:P$1,"&lt;&gt;"))),0)</f>
        <v>7.1065989847715727E-2</v>
      </c>
      <c r="Q521">
        <f>IFERROR($J521/IF($A521&lt;COUNTIFS($K$1:Q$1,"&lt;&gt;"),0,SUMIFS($J:$J,$B:$B,$B521,$A:$A,"&gt;="&amp;COUNTIFS($K$1:Q$1,"&lt;&gt;"))),0)</f>
        <v>8.4337349397590369E-2</v>
      </c>
      <c r="R521">
        <f>IFERROR($J521/IF($A521&lt;COUNTIFS($K$1:R$1,"&lt;&gt;"),0,SUMIFS($J:$J,$B:$B,$B521,$A:$A,"&gt;="&amp;COUNTIFS($K$1:R$1,"&lt;&gt;"))),0)</f>
        <v>0.10294117647058824</v>
      </c>
      <c r="S521">
        <f>IFERROR($J521/IF($A521&lt;COUNTIFS($K$1:S$1,"&lt;&gt;"),0,SUMIFS($J:$J,$B:$B,$B521,$A:$A,"&gt;="&amp;COUNTIFS($K$1:S$1,"&lt;&gt;"))),0)</f>
        <v>0.13333333333333333</v>
      </c>
      <c r="T521">
        <f>IFERROR($J521/IF($A521&lt;COUNTIFS($K$1:T$1,"&lt;&gt;"),0,SUMIFS($J:$J,$B:$B,$B521,$A:$A,"&gt;="&amp;COUNTIFS($K$1:T$1,"&lt;&gt;"))),0)</f>
        <v>0.1891891891891892</v>
      </c>
      <c r="U521">
        <f>IFERROR($J521/IF($A521&lt;COUNTIFS($K$1:U$1,"&lt;&gt;"),0,SUMIFS($J:$J,$B:$B,$B521,$A:$A,"&gt;="&amp;COUNTIFS($K$1:U$1,"&lt;&gt;"))),0)</f>
        <v>0.31111111111111112</v>
      </c>
      <c r="V521">
        <f>IFERROR($J521/IF($A521&lt;COUNTIFS($K$1:V$1,"&lt;&gt;"),0,SUMIFS($J:$J,$B:$B,$B521,$A:$A,"&gt;="&amp;COUNTIFS($K$1:V$1,"&lt;&gt;"))),0)</f>
        <v>1</v>
      </c>
      <c r="W521">
        <f t="shared" si="200"/>
        <v>3.825136612021858E-2</v>
      </c>
      <c r="X521">
        <f t="shared" si="180"/>
        <v>3.825136612021858E-2</v>
      </c>
      <c r="Y521">
        <f t="shared" si="181"/>
        <v>3.825136612021858E-2</v>
      </c>
      <c r="Z521">
        <f t="shared" si="182"/>
        <v>3.825136612021858E-2</v>
      </c>
      <c r="AA521">
        <f t="shared" si="183"/>
        <v>3.825136612021858E-2</v>
      </c>
      <c r="AB521">
        <f t="shared" si="184"/>
        <v>3.825136612021858E-2</v>
      </c>
      <c r="AC521">
        <f t="shared" si="185"/>
        <v>3.825136612021858E-2</v>
      </c>
      <c r="AD521">
        <f t="shared" si="186"/>
        <v>3.825136612021858E-2</v>
      </c>
      <c r="AE521">
        <f t="shared" si="187"/>
        <v>3.825136612021858E-2</v>
      </c>
      <c r="AF521">
        <f t="shared" si="188"/>
        <v>3.825136612021858E-2</v>
      </c>
      <c r="AG521">
        <f t="shared" si="189"/>
        <v>3.825136612021858E-2</v>
      </c>
      <c r="AH521">
        <f t="shared" si="190"/>
        <v>3.825136612021858E-2</v>
      </c>
      <c r="AI521">
        <f t="shared" si="191"/>
        <v>3.825136612021858E-2</v>
      </c>
      <c r="AJ521" s="2" t="str">
        <f t="shared" si="201"/>
        <v>1245017</v>
      </c>
    </row>
    <row r="522" spans="1:36" x14ac:dyDescent="0.25">
      <c r="A522">
        <v>0</v>
      </c>
      <c r="B522" s="1">
        <v>45047</v>
      </c>
      <c r="C522" s="1">
        <f t="shared" si="192"/>
        <v>45047</v>
      </c>
      <c r="D522" s="1">
        <f t="shared" si="193"/>
        <v>45061</v>
      </c>
      <c r="E522" s="1">
        <f t="shared" si="194"/>
        <v>45061</v>
      </c>
      <c r="F522" s="1">
        <f t="shared" si="195"/>
        <v>45078</v>
      </c>
      <c r="G522" s="1">
        <f t="shared" si="196"/>
        <v>45427</v>
      </c>
      <c r="H522">
        <f t="shared" si="197"/>
        <v>366</v>
      </c>
      <c r="I522">
        <f t="shared" si="198"/>
        <v>17</v>
      </c>
      <c r="J522">
        <f t="shared" si="199"/>
        <v>4.6448087431693992E-2</v>
      </c>
      <c r="K522">
        <f>IFERROR($J522/IF($A522&lt;COUNTIFS($K$1:K$1,"&lt;&gt;"),0,SUMIFS($J:$J,$B:$B,$B522,$A:$A,"&gt;="&amp;COUNTIFS($K$1:K$1,"&lt;&gt;"))),0)</f>
        <v>0</v>
      </c>
      <c r="L522">
        <f>IFERROR($J522/IF($A522&lt;COUNTIFS($K$1:L$1,"&lt;&gt;"),0,SUMIFS($J:$J,$B:$B,$B522,$A:$A,"&gt;="&amp;COUNTIFS($K$1:L$1,"&lt;&gt;"))),0)</f>
        <v>0</v>
      </c>
      <c r="M522">
        <f>IFERROR($J522/IF($A522&lt;COUNTIFS($K$1:M$1,"&lt;&gt;"),0,SUMIFS($J:$J,$B:$B,$B522,$A:$A,"&gt;="&amp;COUNTIFS($K$1:M$1,"&lt;&gt;"))),0)</f>
        <v>0</v>
      </c>
      <c r="N522">
        <f>IFERROR($J522/IF($A522&lt;COUNTIFS($K$1:N$1,"&lt;&gt;"),0,SUMIFS($J:$J,$B:$B,$B522,$A:$A,"&gt;="&amp;COUNTIFS($K$1:N$1,"&lt;&gt;"))),0)</f>
        <v>0</v>
      </c>
      <c r="O522">
        <f>IFERROR($J522/IF($A522&lt;COUNTIFS($K$1:O$1,"&lt;&gt;"),0,SUMIFS($J:$J,$B:$B,$B522,$A:$A,"&gt;="&amp;COUNTIFS($K$1:O$1,"&lt;&gt;"))),0)</f>
        <v>0</v>
      </c>
      <c r="P522">
        <f>IFERROR($J522/IF($A522&lt;COUNTIFS($K$1:P$1,"&lt;&gt;"),0,SUMIFS($J:$J,$B:$B,$B522,$A:$A,"&gt;="&amp;COUNTIFS($K$1:P$1,"&lt;&gt;"))),0)</f>
        <v>0</v>
      </c>
      <c r="Q522">
        <f>IFERROR($J522/IF($A522&lt;COUNTIFS($K$1:Q$1,"&lt;&gt;"),0,SUMIFS($J:$J,$B:$B,$B522,$A:$A,"&gt;="&amp;COUNTIFS($K$1:Q$1,"&lt;&gt;"))),0)</f>
        <v>0</v>
      </c>
      <c r="R522">
        <f>IFERROR($J522/IF($A522&lt;COUNTIFS($K$1:R$1,"&lt;&gt;"),0,SUMIFS($J:$J,$B:$B,$B522,$A:$A,"&gt;="&amp;COUNTIFS($K$1:R$1,"&lt;&gt;"))),0)</f>
        <v>0</v>
      </c>
      <c r="S522">
        <f>IFERROR($J522/IF($A522&lt;COUNTIFS($K$1:S$1,"&lt;&gt;"),0,SUMIFS($J:$J,$B:$B,$B522,$A:$A,"&gt;="&amp;COUNTIFS($K$1:S$1,"&lt;&gt;"))),0)</f>
        <v>0</v>
      </c>
      <c r="T522">
        <f>IFERROR($J522/IF($A522&lt;COUNTIFS($K$1:T$1,"&lt;&gt;"),0,SUMIFS($J:$J,$B:$B,$B522,$A:$A,"&gt;="&amp;COUNTIFS($K$1:T$1,"&lt;&gt;"))),0)</f>
        <v>0</v>
      </c>
      <c r="U522">
        <f>IFERROR($J522/IF($A522&lt;COUNTIFS($K$1:U$1,"&lt;&gt;"),0,SUMIFS($J:$J,$B:$B,$B522,$A:$A,"&gt;="&amp;COUNTIFS($K$1:U$1,"&lt;&gt;"))),0)</f>
        <v>0</v>
      </c>
      <c r="V522">
        <f>IFERROR($J522/IF($A522&lt;COUNTIFS($K$1:V$1,"&lt;&gt;"),0,SUMIFS($J:$J,$B:$B,$B522,$A:$A,"&gt;="&amp;COUNTIFS($K$1:V$1,"&lt;&gt;"))),0)</f>
        <v>0</v>
      </c>
      <c r="W522">
        <f t="shared" si="200"/>
        <v>4.6448087431693992E-2</v>
      </c>
      <c r="X522">
        <f t="shared" si="180"/>
        <v>0</v>
      </c>
      <c r="Y522">
        <f t="shared" si="181"/>
        <v>0</v>
      </c>
      <c r="Z522">
        <f t="shared" si="182"/>
        <v>0</v>
      </c>
      <c r="AA522">
        <f t="shared" si="183"/>
        <v>0</v>
      </c>
      <c r="AB522">
        <f t="shared" si="184"/>
        <v>0</v>
      </c>
      <c r="AC522">
        <f t="shared" si="185"/>
        <v>0</v>
      </c>
      <c r="AD522">
        <f t="shared" si="186"/>
        <v>0</v>
      </c>
      <c r="AE522">
        <f t="shared" si="187"/>
        <v>0</v>
      </c>
      <c r="AF522">
        <f t="shared" si="188"/>
        <v>0</v>
      </c>
      <c r="AG522">
        <f t="shared" si="189"/>
        <v>0</v>
      </c>
      <c r="AH522">
        <f t="shared" si="190"/>
        <v>0</v>
      </c>
      <c r="AI522">
        <f t="shared" si="191"/>
        <v>0</v>
      </c>
      <c r="AJ522" s="2" t="str">
        <f t="shared" si="201"/>
        <v>045047</v>
      </c>
    </row>
    <row r="523" spans="1:36" x14ac:dyDescent="0.25">
      <c r="A523">
        <v>1</v>
      </c>
      <c r="B523" s="1">
        <v>45047</v>
      </c>
      <c r="C523" s="1">
        <f t="shared" si="192"/>
        <v>45078</v>
      </c>
      <c r="D523" s="1">
        <f t="shared" si="193"/>
        <v>45061</v>
      </c>
      <c r="E523" s="1">
        <f t="shared" si="194"/>
        <v>45078</v>
      </c>
      <c r="F523" s="1">
        <f t="shared" si="195"/>
        <v>45108</v>
      </c>
      <c r="G523" s="1">
        <f t="shared" si="196"/>
        <v>45427</v>
      </c>
      <c r="H523">
        <f t="shared" si="197"/>
        <v>366</v>
      </c>
      <c r="I523">
        <f t="shared" si="198"/>
        <v>30</v>
      </c>
      <c r="J523">
        <f t="shared" si="199"/>
        <v>8.1967213114754092E-2</v>
      </c>
      <c r="K523">
        <f>IFERROR($J523/IF($A523&lt;COUNTIFS($K$1:K$1,"&lt;&gt;"),0,SUMIFS($J:$J,$B:$B,$B523,$A:$A,"&gt;="&amp;COUNTIFS($K$1:K$1,"&lt;&gt;"))),0)</f>
        <v>8.5959885386819479E-2</v>
      </c>
      <c r="L523">
        <f>IFERROR($J523/IF($A523&lt;COUNTIFS($K$1:L$1,"&lt;&gt;"),0,SUMIFS($J:$J,$B:$B,$B523,$A:$A,"&gt;="&amp;COUNTIFS($K$1:L$1,"&lt;&gt;"))),0)</f>
        <v>0</v>
      </c>
      <c r="M523">
        <f>IFERROR($J523/IF($A523&lt;COUNTIFS($K$1:M$1,"&lt;&gt;"),0,SUMIFS($J:$J,$B:$B,$B523,$A:$A,"&gt;="&amp;COUNTIFS($K$1:M$1,"&lt;&gt;"))),0)</f>
        <v>0</v>
      </c>
      <c r="N523">
        <f>IFERROR($J523/IF($A523&lt;COUNTIFS($K$1:N$1,"&lt;&gt;"),0,SUMIFS($J:$J,$B:$B,$B523,$A:$A,"&gt;="&amp;COUNTIFS($K$1:N$1,"&lt;&gt;"))),0)</f>
        <v>0</v>
      </c>
      <c r="O523">
        <f>IFERROR($J523/IF($A523&lt;COUNTIFS($K$1:O$1,"&lt;&gt;"),0,SUMIFS($J:$J,$B:$B,$B523,$A:$A,"&gt;="&amp;COUNTIFS($K$1:O$1,"&lt;&gt;"))),0)</f>
        <v>0</v>
      </c>
      <c r="P523">
        <f>IFERROR($J523/IF($A523&lt;COUNTIFS($K$1:P$1,"&lt;&gt;"),0,SUMIFS($J:$J,$B:$B,$B523,$A:$A,"&gt;="&amp;COUNTIFS($K$1:P$1,"&lt;&gt;"))),0)</f>
        <v>0</v>
      </c>
      <c r="Q523">
        <f>IFERROR($J523/IF($A523&lt;COUNTIFS($K$1:Q$1,"&lt;&gt;"),0,SUMIFS($J:$J,$B:$B,$B523,$A:$A,"&gt;="&amp;COUNTIFS($K$1:Q$1,"&lt;&gt;"))),0)</f>
        <v>0</v>
      </c>
      <c r="R523">
        <f>IFERROR($J523/IF($A523&lt;COUNTIFS($K$1:R$1,"&lt;&gt;"),0,SUMIFS($J:$J,$B:$B,$B523,$A:$A,"&gt;="&amp;COUNTIFS($K$1:R$1,"&lt;&gt;"))),0)</f>
        <v>0</v>
      </c>
      <c r="S523">
        <f>IFERROR($J523/IF($A523&lt;COUNTIFS($K$1:S$1,"&lt;&gt;"),0,SUMIFS($J:$J,$B:$B,$B523,$A:$A,"&gt;="&amp;COUNTIFS($K$1:S$1,"&lt;&gt;"))),0)</f>
        <v>0</v>
      </c>
      <c r="T523">
        <f>IFERROR($J523/IF($A523&lt;COUNTIFS($K$1:T$1,"&lt;&gt;"),0,SUMIFS($J:$J,$B:$B,$B523,$A:$A,"&gt;="&amp;COUNTIFS($K$1:T$1,"&lt;&gt;"))),0)</f>
        <v>0</v>
      </c>
      <c r="U523">
        <f>IFERROR($J523/IF($A523&lt;COUNTIFS($K$1:U$1,"&lt;&gt;"),0,SUMIFS($J:$J,$B:$B,$B523,$A:$A,"&gt;="&amp;COUNTIFS($K$1:U$1,"&lt;&gt;"))),0)</f>
        <v>0</v>
      </c>
      <c r="V523">
        <f>IFERROR($J523/IF($A523&lt;COUNTIFS($K$1:V$1,"&lt;&gt;"),0,SUMIFS($J:$J,$B:$B,$B523,$A:$A,"&gt;="&amp;COUNTIFS($K$1:V$1,"&lt;&gt;"))),0)</f>
        <v>0</v>
      </c>
      <c r="W523">
        <f t="shared" si="200"/>
        <v>8.1967213114754092E-2</v>
      </c>
      <c r="X523">
        <f t="shared" si="180"/>
        <v>8.1967213114754092E-2</v>
      </c>
      <c r="Y523">
        <f t="shared" si="181"/>
        <v>0</v>
      </c>
      <c r="Z523">
        <f t="shared" si="182"/>
        <v>0</v>
      </c>
      <c r="AA523">
        <f t="shared" si="183"/>
        <v>0</v>
      </c>
      <c r="AB523">
        <f t="shared" si="184"/>
        <v>0</v>
      </c>
      <c r="AC523">
        <f t="shared" si="185"/>
        <v>0</v>
      </c>
      <c r="AD523">
        <f t="shared" si="186"/>
        <v>0</v>
      </c>
      <c r="AE523">
        <f t="shared" si="187"/>
        <v>0</v>
      </c>
      <c r="AF523">
        <f t="shared" si="188"/>
        <v>0</v>
      </c>
      <c r="AG523">
        <f t="shared" si="189"/>
        <v>0</v>
      </c>
      <c r="AH523">
        <f t="shared" si="190"/>
        <v>0</v>
      </c>
      <c r="AI523">
        <f t="shared" si="191"/>
        <v>0</v>
      </c>
      <c r="AJ523" s="2" t="str">
        <f t="shared" si="201"/>
        <v>145047</v>
      </c>
    </row>
    <row r="524" spans="1:36" x14ac:dyDescent="0.25">
      <c r="A524">
        <v>2</v>
      </c>
      <c r="B524" s="1">
        <v>45047</v>
      </c>
      <c r="C524" s="1">
        <f t="shared" si="192"/>
        <v>45108</v>
      </c>
      <c r="D524" s="1">
        <f t="shared" si="193"/>
        <v>45061</v>
      </c>
      <c r="E524" s="1">
        <f t="shared" si="194"/>
        <v>45108</v>
      </c>
      <c r="F524" s="1">
        <f t="shared" si="195"/>
        <v>45139</v>
      </c>
      <c r="G524" s="1">
        <f t="shared" si="196"/>
        <v>45427</v>
      </c>
      <c r="H524">
        <f t="shared" si="197"/>
        <v>366</v>
      </c>
      <c r="I524">
        <f t="shared" si="198"/>
        <v>31</v>
      </c>
      <c r="J524">
        <f t="shared" si="199"/>
        <v>8.4699453551912565E-2</v>
      </c>
      <c r="K524">
        <f>IFERROR($J524/IF($A524&lt;COUNTIFS($K$1:K$1,"&lt;&gt;"),0,SUMIFS($J:$J,$B:$B,$B524,$A:$A,"&gt;="&amp;COUNTIFS($K$1:K$1,"&lt;&gt;"))),0)</f>
        <v>8.882521489971347E-2</v>
      </c>
      <c r="L524">
        <f>IFERROR($J524/IF($A524&lt;COUNTIFS($K$1:L$1,"&lt;&gt;"),0,SUMIFS($J:$J,$B:$B,$B524,$A:$A,"&gt;="&amp;COUNTIFS($K$1:L$1,"&lt;&gt;"))),0)</f>
        <v>9.7178683385579931E-2</v>
      </c>
      <c r="M524">
        <f>IFERROR($J524/IF($A524&lt;COUNTIFS($K$1:M$1,"&lt;&gt;"),0,SUMIFS($J:$J,$B:$B,$B524,$A:$A,"&gt;="&amp;COUNTIFS($K$1:M$1,"&lt;&gt;"))),0)</f>
        <v>0</v>
      </c>
      <c r="N524">
        <f>IFERROR($J524/IF($A524&lt;COUNTIFS($K$1:N$1,"&lt;&gt;"),0,SUMIFS($J:$J,$B:$B,$B524,$A:$A,"&gt;="&amp;COUNTIFS($K$1:N$1,"&lt;&gt;"))),0)</f>
        <v>0</v>
      </c>
      <c r="O524">
        <f>IFERROR($J524/IF($A524&lt;COUNTIFS($K$1:O$1,"&lt;&gt;"),0,SUMIFS($J:$J,$B:$B,$B524,$A:$A,"&gt;="&amp;COUNTIFS($K$1:O$1,"&lt;&gt;"))),0)</f>
        <v>0</v>
      </c>
      <c r="P524">
        <f>IFERROR($J524/IF($A524&lt;COUNTIFS($K$1:P$1,"&lt;&gt;"),0,SUMIFS($J:$J,$B:$B,$B524,$A:$A,"&gt;="&amp;COUNTIFS($K$1:P$1,"&lt;&gt;"))),0)</f>
        <v>0</v>
      </c>
      <c r="Q524">
        <f>IFERROR($J524/IF($A524&lt;COUNTIFS($K$1:Q$1,"&lt;&gt;"),0,SUMIFS($J:$J,$B:$B,$B524,$A:$A,"&gt;="&amp;COUNTIFS($K$1:Q$1,"&lt;&gt;"))),0)</f>
        <v>0</v>
      </c>
      <c r="R524">
        <f>IFERROR($J524/IF($A524&lt;COUNTIFS($K$1:R$1,"&lt;&gt;"),0,SUMIFS($J:$J,$B:$B,$B524,$A:$A,"&gt;="&amp;COUNTIFS($K$1:R$1,"&lt;&gt;"))),0)</f>
        <v>0</v>
      </c>
      <c r="S524">
        <f>IFERROR($J524/IF($A524&lt;COUNTIFS($K$1:S$1,"&lt;&gt;"),0,SUMIFS($J:$J,$B:$B,$B524,$A:$A,"&gt;="&amp;COUNTIFS($K$1:S$1,"&lt;&gt;"))),0)</f>
        <v>0</v>
      </c>
      <c r="T524">
        <f>IFERROR($J524/IF($A524&lt;COUNTIFS($K$1:T$1,"&lt;&gt;"),0,SUMIFS($J:$J,$B:$B,$B524,$A:$A,"&gt;="&amp;COUNTIFS($K$1:T$1,"&lt;&gt;"))),0)</f>
        <v>0</v>
      </c>
      <c r="U524">
        <f>IFERROR($J524/IF($A524&lt;COUNTIFS($K$1:U$1,"&lt;&gt;"),0,SUMIFS($J:$J,$B:$B,$B524,$A:$A,"&gt;="&amp;COUNTIFS($K$1:U$1,"&lt;&gt;"))),0)</f>
        <v>0</v>
      </c>
      <c r="V524">
        <f>IFERROR($J524/IF($A524&lt;COUNTIFS($K$1:V$1,"&lt;&gt;"),0,SUMIFS($J:$J,$B:$B,$B524,$A:$A,"&gt;="&amp;COUNTIFS($K$1:V$1,"&lt;&gt;"))),0)</f>
        <v>0</v>
      </c>
      <c r="W524">
        <f t="shared" si="200"/>
        <v>8.4699453551912565E-2</v>
      </c>
      <c r="X524">
        <f t="shared" si="180"/>
        <v>8.4699453551912565E-2</v>
      </c>
      <c r="Y524">
        <f t="shared" si="181"/>
        <v>8.4699453551912565E-2</v>
      </c>
      <c r="Z524">
        <f t="shared" si="182"/>
        <v>0</v>
      </c>
      <c r="AA524">
        <f t="shared" si="183"/>
        <v>0</v>
      </c>
      <c r="AB524">
        <f t="shared" si="184"/>
        <v>0</v>
      </c>
      <c r="AC524">
        <f t="shared" si="185"/>
        <v>0</v>
      </c>
      <c r="AD524">
        <f t="shared" si="186"/>
        <v>0</v>
      </c>
      <c r="AE524">
        <f t="shared" si="187"/>
        <v>0</v>
      </c>
      <c r="AF524">
        <f t="shared" si="188"/>
        <v>0</v>
      </c>
      <c r="AG524">
        <f t="shared" si="189"/>
        <v>0</v>
      </c>
      <c r="AH524">
        <f t="shared" si="190"/>
        <v>0</v>
      </c>
      <c r="AI524">
        <f t="shared" si="191"/>
        <v>0</v>
      </c>
      <c r="AJ524" s="2" t="str">
        <f t="shared" si="201"/>
        <v>245047</v>
      </c>
    </row>
    <row r="525" spans="1:36" x14ac:dyDescent="0.25">
      <c r="A525">
        <v>3</v>
      </c>
      <c r="B525" s="1">
        <v>45047</v>
      </c>
      <c r="C525" s="1">
        <f t="shared" si="192"/>
        <v>45139</v>
      </c>
      <c r="D525" s="1">
        <f t="shared" si="193"/>
        <v>45061</v>
      </c>
      <c r="E525" s="1">
        <f t="shared" si="194"/>
        <v>45139</v>
      </c>
      <c r="F525" s="1">
        <f t="shared" si="195"/>
        <v>45170</v>
      </c>
      <c r="G525" s="1">
        <f t="shared" si="196"/>
        <v>45427</v>
      </c>
      <c r="H525">
        <f t="shared" si="197"/>
        <v>366</v>
      </c>
      <c r="I525">
        <f t="shared" si="198"/>
        <v>31</v>
      </c>
      <c r="J525">
        <f t="shared" si="199"/>
        <v>8.4699453551912565E-2</v>
      </c>
      <c r="K525">
        <f>IFERROR($J525/IF($A525&lt;COUNTIFS($K$1:K$1,"&lt;&gt;"),0,SUMIFS($J:$J,$B:$B,$B525,$A:$A,"&gt;="&amp;COUNTIFS($K$1:K$1,"&lt;&gt;"))),0)</f>
        <v>8.882521489971347E-2</v>
      </c>
      <c r="L525">
        <f>IFERROR($J525/IF($A525&lt;COUNTIFS($K$1:L$1,"&lt;&gt;"),0,SUMIFS($J:$J,$B:$B,$B525,$A:$A,"&gt;="&amp;COUNTIFS($K$1:L$1,"&lt;&gt;"))),0)</f>
        <v>9.7178683385579931E-2</v>
      </c>
      <c r="M525">
        <f>IFERROR($J525/IF($A525&lt;COUNTIFS($K$1:M$1,"&lt;&gt;"),0,SUMIFS($J:$J,$B:$B,$B525,$A:$A,"&gt;="&amp;COUNTIFS($K$1:M$1,"&lt;&gt;"))),0)</f>
        <v>0.10763888888888888</v>
      </c>
      <c r="N525">
        <f>IFERROR($J525/IF($A525&lt;COUNTIFS($K$1:N$1,"&lt;&gt;"),0,SUMIFS($J:$J,$B:$B,$B525,$A:$A,"&gt;="&amp;COUNTIFS($K$1:N$1,"&lt;&gt;"))),0)</f>
        <v>0</v>
      </c>
      <c r="O525">
        <f>IFERROR($J525/IF($A525&lt;COUNTIFS($K$1:O$1,"&lt;&gt;"),0,SUMIFS($J:$J,$B:$B,$B525,$A:$A,"&gt;="&amp;COUNTIFS($K$1:O$1,"&lt;&gt;"))),0)</f>
        <v>0</v>
      </c>
      <c r="P525">
        <f>IFERROR($J525/IF($A525&lt;COUNTIFS($K$1:P$1,"&lt;&gt;"),0,SUMIFS($J:$J,$B:$B,$B525,$A:$A,"&gt;="&amp;COUNTIFS($K$1:P$1,"&lt;&gt;"))),0)</f>
        <v>0</v>
      </c>
      <c r="Q525">
        <f>IFERROR($J525/IF($A525&lt;COUNTIFS($K$1:Q$1,"&lt;&gt;"),0,SUMIFS($J:$J,$B:$B,$B525,$A:$A,"&gt;="&amp;COUNTIFS($K$1:Q$1,"&lt;&gt;"))),0)</f>
        <v>0</v>
      </c>
      <c r="R525">
        <f>IFERROR($J525/IF($A525&lt;COUNTIFS($K$1:R$1,"&lt;&gt;"),0,SUMIFS($J:$J,$B:$B,$B525,$A:$A,"&gt;="&amp;COUNTIFS($K$1:R$1,"&lt;&gt;"))),0)</f>
        <v>0</v>
      </c>
      <c r="S525">
        <f>IFERROR($J525/IF($A525&lt;COUNTIFS($K$1:S$1,"&lt;&gt;"),0,SUMIFS($J:$J,$B:$B,$B525,$A:$A,"&gt;="&amp;COUNTIFS($K$1:S$1,"&lt;&gt;"))),0)</f>
        <v>0</v>
      </c>
      <c r="T525">
        <f>IFERROR($J525/IF($A525&lt;COUNTIFS($K$1:T$1,"&lt;&gt;"),0,SUMIFS($J:$J,$B:$B,$B525,$A:$A,"&gt;="&amp;COUNTIFS($K$1:T$1,"&lt;&gt;"))),0)</f>
        <v>0</v>
      </c>
      <c r="U525">
        <f>IFERROR($J525/IF($A525&lt;COUNTIFS($K$1:U$1,"&lt;&gt;"),0,SUMIFS($J:$J,$B:$B,$B525,$A:$A,"&gt;="&amp;COUNTIFS($K$1:U$1,"&lt;&gt;"))),0)</f>
        <v>0</v>
      </c>
      <c r="V525">
        <f>IFERROR($J525/IF($A525&lt;COUNTIFS($K$1:V$1,"&lt;&gt;"),0,SUMIFS($J:$J,$B:$B,$B525,$A:$A,"&gt;="&amp;COUNTIFS($K$1:V$1,"&lt;&gt;"))),0)</f>
        <v>0</v>
      </c>
      <c r="W525">
        <f t="shared" si="200"/>
        <v>8.4699453551912565E-2</v>
      </c>
      <c r="X525">
        <f t="shared" si="180"/>
        <v>8.4699453551912565E-2</v>
      </c>
      <c r="Y525">
        <f t="shared" si="181"/>
        <v>8.4699453551912565E-2</v>
      </c>
      <c r="Z525">
        <f t="shared" si="182"/>
        <v>8.4699453551912565E-2</v>
      </c>
      <c r="AA525">
        <f t="shared" si="183"/>
        <v>0</v>
      </c>
      <c r="AB525">
        <f t="shared" si="184"/>
        <v>0</v>
      </c>
      <c r="AC525">
        <f t="shared" si="185"/>
        <v>0</v>
      </c>
      <c r="AD525">
        <f t="shared" si="186"/>
        <v>0</v>
      </c>
      <c r="AE525">
        <f t="shared" si="187"/>
        <v>0</v>
      </c>
      <c r="AF525">
        <f t="shared" si="188"/>
        <v>0</v>
      </c>
      <c r="AG525">
        <f t="shared" si="189"/>
        <v>0</v>
      </c>
      <c r="AH525">
        <f t="shared" si="190"/>
        <v>0</v>
      </c>
      <c r="AI525">
        <f t="shared" si="191"/>
        <v>0</v>
      </c>
      <c r="AJ525" s="2" t="str">
        <f t="shared" si="201"/>
        <v>345047</v>
      </c>
    </row>
    <row r="526" spans="1:36" x14ac:dyDescent="0.25">
      <c r="A526">
        <v>4</v>
      </c>
      <c r="B526" s="1">
        <v>45047</v>
      </c>
      <c r="C526" s="1">
        <f t="shared" si="192"/>
        <v>45170</v>
      </c>
      <c r="D526" s="1">
        <f t="shared" si="193"/>
        <v>45061</v>
      </c>
      <c r="E526" s="1">
        <f t="shared" si="194"/>
        <v>45170</v>
      </c>
      <c r="F526" s="1">
        <f t="shared" si="195"/>
        <v>45200</v>
      </c>
      <c r="G526" s="1">
        <f t="shared" si="196"/>
        <v>45427</v>
      </c>
      <c r="H526">
        <f t="shared" si="197"/>
        <v>366</v>
      </c>
      <c r="I526">
        <f t="shared" si="198"/>
        <v>30</v>
      </c>
      <c r="J526">
        <f t="shared" si="199"/>
        <v>8.1967213114754092E-2</v>
      </c>
      <c r="K526">
        <f>IFERROR($J526/IF($A526&lt;COUNTIFS($K$1:K$1,"&lt;&gt;"),0,SUMIFS($J:$J,$B:$B,$B526,$A:$A,"&gt;="&amp;COUNTIFS($K$1:K$1,"&lt;&gt;"))),0)</f>
        <v>8.5959885386819479E-2</v>
      </c>
      <c r="L526">
        <f>IFERROR($J526/IF($A526&lt;COUNTIFS($K$1:L$1,"&lt;&gt;"),0,SUMIFS($J:$J,$B:$B,$B526,$A:$A,"&gt;="&amp;COUNTIFS($K$1:L$1,"&lt;&gt;"))),0)</f>
        <v>9.4043887147335414E-2</v>
      </c>
      <c r="M526">
        <f>IFERROR($J526/IF($A526&lt;COUNTIFS($K$1:M$1,"&lt;&gt;"),0,SUMIFS($J:$J,$B:$B,$B526,$A:$A,"&gt;="&amp;COUNTIFS($K$1:M$1,"&lt;&gt;"))),0)</f>
        <v>0.10416666666666666</v>
      </c>
      <c r="N526">
        <f>IFERROR($J526/IF($A526&lt;COUNTIFS($K$1:N$1,"&lt;&gt;"),0,SUMIFS($J:$J,$B:$B,$B526,$A:$A,"&gt;="&amp;COUNTIFS($K$1:N$1,"&lt;&gt;"))),0)</f>
        <v>0.11673151750972761</v>
      </c>
      <c r="O526">
        <f>IFERROR($J526/IF($A526&lt;COUNTIFS($K$1:O$1,"&lt;&gt;"),0,SUMIFS($J:$J,$B:$B,$B526,$A:$A,"&gt;="&amp;COUNTIFS($K$1:O$1,"&lt;&gt;"))),0)</f>
        <v>0</v>
      </c>
      <c r="P526">
        <f>IFERROR($J526/IF($A526&lt;COUNTIFS($K$1:P$1,"&lt;&gt;"),0,SUMIFS($J:$J,$B:$B,$B526,$A:$A,"&gt;="&amp;COUNTIFS($K$1:P$1,"&lt;&gt;"))),0)</f>
        <v>0</v>
      </c>
      <c r="Q526">
        <f>IFERROR($J526/IF($A526&lt;COUNTIFS($K$1:Q$1,"&lt;&gt;"),0,SUMIFS($J:$J,$B:$B,$B526,$A:$A,"&gt;="&amp;COUNTIFS($K$1:Q$1,"&lt;&gt;"))),0)</f>
        <v>0</v>
      </c>
      <c r="R526">
        <f>IFERROR($J526/IF($A526&lt;COUNTIFS($K$1:R$1,"&lt;&gt;"),0,SUMIFS($J:$J,$B:$B,$B526,$A:$A,"&gt;="&amp;COUNTIFS($K$1:R$1,"&lt;&gt;"))),0)</f>
        <v>0</v>
      </c>
      <c r="S526">
        <f>IFERROR($J526/IF($A526&lt;COUNTIFS($K$1:S$1,"&lt;&gt;"),0,SUMIFS($J:$J,$B:$B,$B526,$A:$A,"&gt;="&amp;COUNTIFS($K$1:S$1,"&lt;&gt;"))),0)</f>
        <v>0</v>
      </c>
      <c r="T526">
        <f>IFERROR($J526/IF($A526&lt;COUNTIFS($K$1:T$1,"&lt;&gt;"),0,SUMIFS($J:$J,$B:$B,$B526,$A:$A,"&gt;="&amp;COUNTIFS($K$1:T$1,"&lt;&gt;"))),0)</f>
        <v>0</v>
      </c>
      <c r="U526">
        <f>IFERROR($J526/IF($A526&lt;COUNTIFS($K$1:U$1,"&lt;&gt;"),0,SUMIFS($J:$J,$B:$B,$B526,$A:$A,"&gt;="&amp;COUNTIFS($K$1:U$1,"&lt;&gt;"))),0)</f>
        <v>0</v>
      </c>
      <c r="V526">
        <f>IFERROR($J526/IF($A526&lt;COUNTIFS($K$1:V$1,"&lt;&gt;"),0,SUMIFS($J:$J,$B:$B,$B526,$A:$A,"&gt;="&amp;COUNTIFS($K$1:V$1,"&lt;&gt;"))),0)</f>
        <v>0</v>
      </c>
      <c r="W526">
        <f t="shared" si="200"/>
        <v>8.1967213114754092E-2</v>
      </c>
      <c r="X526">
        <f t="shared" si="180"/>
        <v>8.1967213114754092E-2</v>
      </c>
      <c r="Y526">
        <f t="shared" si="181"/>
        <v>8.1967213114754092E-2</v>
      </c>
      <c r="Z526">
        <f t="shared" si="182"/>
        <v>8.1967213114754092E-2</v>
      </c>
      <c r="AA526">
        <f t="shared" si="183"/>
        <v>8.1967213114754092E-2</v>
      </c>
      <c r="AB526">
        <f t="shared" si="184"/>
        <v>0</v>
      </c>
      <c r="AC526">
        <f t="shared" si="185"/>
        <v>0</v>
      </c>
      <c r="AD526">
        <f t="shared" si="186"/>
        <v>0</v>
      </c>
      <c r="AE526">
        <f t="shared" si="187"/>
        <v>0</v>
      </c>
      <c r="AF526">
        <f t="shared" si="188"/>
        <v>0</v>
      </c>
      <c r="AG526">
        <f t="shared" si="189"/>
        <v>0</v>
      </c>
      <c r="AH526">
        <f t="shared" si="190"/>
        <v>0</v>
      </c>
      <c r="AI526">
        <f t="shared" si="191"/>
        <v>0</v>
      </c>
      <c r="AJ526" s="2" t="str">
        <f t="shared" si="201"/>
        <v>445047</v>
      </c>
    </row>
    <row r="527" spans="1:36" x14ac:dyDescent="0.25">
      <c r="A527">
        <v>5</v>
      </c>
      <c r="B527" s="1">
        <v>45047</v>
      </c>
      <c r="C527" s="1">
        <f t="shared" si="192"/>
        <v>45200</v>
      </c>
      <c r="D527" s="1">
        <f t="shared" si="193"/>
        <v>45061</v>
      </c>
      <c r="E527" s="1">
        <f t="shared" si="194"/>
        <v>45200</v>
      </c>
      <c r="F527" s="1">
        <f t="shared" si="195"/>
        <v>45231</v>
      </c>
      <c r="G527" s="1">
        <f t="shared" si="196"/>
        <v>45427</v>
      </c>
      <c r="H527">
        <f t="shared" si="197"/>
        <v>366</v>
      </c>
      <c r="I527">
        <f t="shared" si="198"/>
        <v>31</v>
      </c>
      <c r="J527">
        <f t="shared" si="199"/>
        <v>8.4699453551912565E-2</v>
      </c>
      <c r="K527">
        <f>IFERROR($J527/IF($A527&lt;COUNTIFS($K$1:K$1,"&lt;&gt;"),0,SUMIFS($J:$J,$B:$B,$B527,$A:$A,"&gt;="&amp;COUNTIFS($K$1:K$1,"&lt;&gt;"))),0)</f>
        <v>8.882521489971347E-2</v>
      </c>
      <c r="L527">
        <f>IFERROR($J527/IF($A527&lt;COUNTIFS($K$1:L$1,"&lt;&gt;"),0,SUMIFS($J:$J,$B:$B,$B527,$A:$A,"&gt;="&amp;COUNTIFS($K$1:L$1,"&lt;&gt;"))),0)</f>
        <v>9.7178683385579931E-2</v>
      </c>
      <c r="M527">
        <f>IFERROR($J527/IF($A527&lt;COUNTIFS($K$1:M$1,"&lt;&gt;"),0,SUMIFS($J:$J,$B:$B,$B527,$A:$A,"&gt;="&amp;COUNTIFS($K$1:M$1,"&lt;&gt;"))),0)</f>
        <v>0.10763888888888888</v>
      </c>
      <c r="N527">
        <f>IFERROR($J527/IF($A527&lt;COUNTIFS($K$1:N$1,"&lt;&gt;"),0,SUMIFS($J:$J,$B:$B,$B527,$A:$A,"&gt;="&amp;COUNTIFS($K$1:N$1,"&lt;&gt;"))),0)</f>
        <v>0.12062256809338522</v>
      </c>
      <c r="O527">
        <f>IFERROR($J527/IF($A527&lt;COUNTIFS($K$1:O$1,"&lt;&gt;"),0,SUMIFS($J:$J,$B:$B,$B527,$A:$A,"&gt;="&amp;COUNTIFS($K$1:O$1,"&lt;&gt;"))),0)</f>
        <v>0.13656387665198236</v>
      </c>
      <c r="P527">
        <f>IFERROR($J527/IF($A527&lt;COUNTIFS($K$1:P$1,"&lt;&gt;"),0,SUMIFS($J:$J,$B:$B,$B527,$A:$A,"&gt;="&amp;COUNTIFS($K$1:P$1,"&lt;&gt;"))),0)</f>
        <v>0</v>
      </c>
      <c r="Q527">
        <f>IFERROR($J527/IF($A527&lt;COUNTIFS($K$1:Q$1,"&lt;&gt;"),0,SUMIFS($J:$J,$B:$B,$B527,$A:$A,"&gt;="&amp;COUNTIFS($K$1:Q$1,"&lt;&gt;"))),0)</f>
        <v>0</v>
      </c>
      <c r="R527">
        <f>IFERROR($J527/IF($A527&lt;COUNTIFS($K$1:R$1,"&lt;&gt;"),0,SUMIFS($J:$J,$B:$B,$B527,$A:$A,"&gt;="&amp;COUNTIFS($K$1:R$1,"&lt;&gt;"))),0)</f>
        <v>0</v>
      </c>
      <c r="S527">
        <f>IFERROR($J527/IF($A527&lt;COUNTIFS($K$1:S$1,"&lt;&gt;"),0,SUMIFS($J:$J,$B:$B,$B527,$A:$A,"&gt;="&amp;COUNTIFS($K$1:S$1,"&lt;&gt;"))),0)</f>
        <v>0</v>
      </c>
      <c r="T527">
        <f>IFERROR($J527/IF($A527&lt;COUNTIFS($K$1:T$1,"&lt;&gt;"),0,SUMIFS($J:$J,$B:$B,$B527,$A:$A,"&gt;="&amp;COUNTIFS($K$1:T$1,"&lt;&gt;"))),0)</f>
        <v>0</v>
      </c>
      <c r="U527">
        <f>IFERROR($J527/IF($A527&lt;COUNTIFS($K$1:U$1,"&lt;&gt;"),0,SUMIFS($J:$J,$B:$B,$B527,$A:$A,"&gt;="&amp;COUNTIFS($K$1:U$1,"&lt;&gt;"))),0)</f>
        <v>0</v>
      </c>
      <c r="V527">
        <f>IFERROR($J527/IF($A527&lt;COUNTIFS($K$1:V$1,"&lt;&gt;"),0,SUMIFS($J:$J,$B:$B,$B527,$A:$A,"&gt;="&amp;COUNTIFS($K$1:V$1,"&lt;&gt;"))),0)</f>
        <v>0</v>
      </c>
      <c r="W527">
        <f t="shared" si="200"/>
        <v>8.4699453551912565E-2</v>
      </c>
      <c r="X527">
        <f t="shared" si="180"/>
        <v>8.4699453551912565E-2</v>
      </c>
      <c r="Y527">
        <f t="shared" si="181"/>
        <v>8.4699453551912565E-2</v>
      </c>
      <c r="Z527">
        <f t="shared" si="182"/>
        <v>8.4699453551912565E-2</v>
      </c>
      <c r="AA527">
        <f t="shared" si="183"/>
        <v>8.4699453551912565E-2</v>
      </c>
      <c r="AB527">
        <f t="shared" si="184"/>
        <v>8.4699453551912565E-2</v>
      </c>
      <c r="AC527">
        <f t="shared" si="185"/>
        <v>0</v>
      </c>
      <c r="AD527">
        <f t="shared" si="186"/>
        <v>0</v>
      </c>
      <c r="AE527">
        <f t="shared" si="187"/>
        <v>0</v>
      </c>
      <c r="AF527">
        <f t="shared" si="188"/>
        <v>0</v>
      </c>
      <c r="AG527">
        <f t="shared" si="189"/>
        <v>0</v>
      </c>
      <c r="AH527">
        <f t="shared" si="190"/>
        <v>0</v>
      </c>
      <c r="AI527">
        <f t="shared" si="191"/>
        <v>0</v>
      </c>
      <c r="AJ527" s="2" t="str">
        <f t="shared" si="201"/>
        <v>545047</v>
      </c>
    </row>
    <row r="528" spans="1:36" x14ac:dyDescent="0.25">
      <c r="A528">
        <v>6</v>
      </c>
      <c r="B528" s="1">
        <v>45047</v>
      </c>
      <c r="C528" s="1">
        <f t="shared" si="192"/>
        <v>45231</v>
      </c>
      <c r="D528" s="1">
        <f t="shared" si="193"/>
        <v>45061</v>
      </c>
      <c r="E528" s="1">
        <f t="shared" si="194"/>
        <v>45231</v>
      </c>
      <c r="F528" s="1">
        <f t="shared" si="195"/>
        <v>45261</v>
      </c>
      <c r="G528" s="1">
        <f t="shared" si="196"/>
        <v>45427</v>
      </c>
      <c r="H528">
        <f t="shared" si="197"/>
        <v>366</v>
      </c>
      <c r="I528">
        <f t="shared" si="198"/>
        <v>30</v>
      </c>
      <c r="J528">
        <f t="shared" si="199"/>
        <v>8.1967213114754092E-2</v>
      </c>
      <c r="K528">
        <f>IFERROR($J528/IF($A528&lt;COUNTIFS($K$1:K$1,"&lt;&gt;"),0,SUMIFS($J:$J,$B:$B,$B528,$A:$A,"&gt;="&amp;COUNTIFS($K$1:K$1,"&lt;&gt;"))),0)</f>
        <v>8.5959885386819479E-2</v>
      </c>
      <c r="L528">
        <f>IFERROR($J528/IF($A528&lt;COUNTIFS($K$1:L$1,"&lt;&gt;"),0,SUMIFS($J:$J,$B:$B,$B528,$A:$A,"&gt;="&amp;COUNTIFS($K$1:L$1,"&lt;&gt;"))),0)</f>
        <v>9.4043887147335414E-2</v>
      </c>
      <c r="M528">
        <f>IFERROR($J528/IF($A528&lt;COUNTIFS($K$1:M$1,"&lt;&gt;"),0,SUMIFS($J:$J,$B:$B,$B528,$A:$A,"&gt;="&amp;COUNTIFS($K$1:M$1,"&lt;&gt;"))),0)</f>
        <v>0.10416666666666666</v>
      </c>
      <c r="N528">
        <f>IFERROR($J528/IF($A528&lt;COUNTIFS($K$1:N$1,"&lt;&gt;"),0,SUMIFS($J:$J,$B:$B,$B528,$A:$A,"&gt;="&amp;COUNTIFS($K$1:N$1,"&lt;&gt;"))),0)</f>
        <v>0.11673151750972761</v>
      </c>
      <c r="O528">
        <f>IFERROR($J528/IF($A528&lt;COUNTIFS($K$1:O$1,"&lt;&gt;"),0,SUMIFS($J:$J,$B:$B,$B528,$A:$A,"&gt;="&amp;COUNTIFS($K$1:O$1,"&lt;&gt;"))),0)</f>
        <v>0.13215859030837002</v>
      </c>
      <c r="P528">
        <f>IFERROR($J528/IF($A528&lt;COUNTIFS($K$1:P$1,"&lt;&gt;"),0,SUMIFS($J:$J,$B:$B,$B528,$A:$A,"&gt;="&amp;COUNTIFS($K$1:P$1,"&lt;&gt;"))),0)</f>
        <v>0.15306122448979589</v>
      </c>
      <c r="Q528">
        <f>IFERROR($J528/IF($A528&lt;COUNTIFS($K$1:Q$1,"&lt;&gt;"),0,SUMIFS($J:$J,$B:$B,$B528,$A:$A,"&gt;="&amp;COUNTIFS($K$1:Q$1,"&lt;&gt;"))),0)</f>
        <v>0</v>
      </c>
      <c r="R528">
        <f>IFERROR($J528/IF($A528&lt;COUNTIFS($K$1:R$1,"&lt;&gt;"),0,SUMIFS($J:$J,$B:$B,$B528,$A:$A,"&gt;="&amp;COUNTIFS($K$1:R$1,"&lt;&gt;"))),0)</f>
        <v>0</v>
      </c>
      <c r="S528">
        <f>IFERROR($J528/IF($A528&lt;COUNTIFS($K$1:S$1,"&lt;&gt;"),0,SUMIFS($J:$J,$B:$B,$B528,$A:$A,"&gt;="&amp;COUNTIFS($K$1:S$1,"&lt;&gt;"))),0)</f>
        <v>0</v>
      </c>
      <c r="T528">
        <f>IFERROR($J528/IF($A528&lt;COUNTIFS($K$1:T$1,"&lt;&gt;"),0,SUMIFS($J:$J,$B:$B,$B528,$A:$A,"&gt;="&amp;COUNTIFS($K$1:T$1,"&lt;&gt;"))),0)</f>
        <v>0</v>
      </c>
      <c r="U528">
        <f>IFERROR($J528/IF($A528&lt;COUNTIFS($K$1:U$1,"&lt;&gt;"),0,SUMIFS($J:$J,$B:$B,$B528,$A:$A,"&gt;="&amp;COUNTIFS($K$1:U$1,"&lt;&gt;"))),0)</f>
        <v>0</v>
      </c>
      <c r="V528">
        <f>IFERROR($J528/IF($A528&lt;COUNTIFS($K$1:V$1,"&lt;&gt;"),0,SUMIFS($J:$J,$B:$B,$B528,$A:$A,"&gt;="&amp;COUNTIFS($K$1:V$1,"&lt;&gt;"))),0)</f>
        <v>0</v>
      </c>
      <c r="W528">
        <f t="shared" si="200"/>
        <v>8.1967213114754092E-2</v>
      </c>
      <c r="X528">
        <f t="shared" si="180"/>
        <v>8.1967213114754092E-2</v>
      </c>
      <c r="Y528">
        <f t="shared" si="181"/>
        <v>8.1967213114754092E-2</v>
      </c>
      <c r="Z528">
        <f t="shared" si="182"/>
        <v>8.1967213114754092E-2</v>
      </c>
      <c r="AA528">
        <f t="shared" si="183"/>
        <v>8.1967213114754092E-2</v>
      </c>
      <c r="AB528">
        <f t="shared" si="184"/>
        <v>8.1967213114754092E-2</v>
      </c>
      <c r="AC528">
        <f t="shared" si="185"/>
        <v>8.1967213114754092E-2</v>
      </c>
      <c r="AD528">
        <f t="shared" si="186"/>
        <v>0</v>
      </c>
      <c r="AE528">
        <f t="shared" si="187"/>
        <v>0</v>
      </c>
      <c r="AF528">
        <f t="shared" si="188"/>
        <v>0</v>
      </c>
      <c r="AG528">
        <f t="shared" si="189"/>
        <v>0</v>
      </c>
      <c r="AH528">
        <f t="shared" si="190"/>
        <v>0</v>
      </c>
      <c r="AI528">
        <f t="shared" si="191"/>
        <v>0</v>
      </c>
      <c r="AJ528" s="2" t="str">
        <f t="shared" si="201"/>
        <v>645047</v>
      </c>
    </row>
    <row r="529" spans="1:36" x14ac:dyDescent="0.25">
      <c r="A529">
        <v>7</v>
      </c>
      <c r="B529" s="1">
        <v>45047</v>
      </c>
      <c r="C529" s="1">
        <f t="shared" si="192"/>
        <v>45261</v>
      </c>
      <c r="D529" s="1">
        <f t="shared" si="193"/>
        <v>45061</v>
      </c>
      <c r="E529" s="1">
        <f t="shared" si="194"/>
        <v>45261</v>
      </c>
      <c r="F529" s="1">
        <f t="shared" si="195"/>
        <v>45292</v>
      </c>
      <c r="G529" s="1">
        <f t="shared" si="196"/>
        <v>45427</v>
      </c>
      <c r="H529">
        <f t="shared" si="197"/>
        <v>366</v>
      </c>
      <c r="I529">
        <f t="shared" si="198"/>
        <v>31</v>
      </c>
      <c r="J529">
        <f t="shared" si="199"/>
        <v>8.4699453551912565E-2</v>
      </c>
      <c r="K529">
        <f>IFERROR($J529/IF($A529&lt;COUNTIFS($K$1:K$1,"&lt;&gt;"),0,SUMIFS($J:$J,$B:$B,$B529,$A:$A,"&gt;="&amp;COUNTIFS($K$1:K$1,"&lt;&gt;"))),0)</f>
        <v>8.882521489971347E-2</v>
      </c>
      <c r="L529">
        <f>IFERROR($J529/IF($A529&lt;COUNTIFS($K$1:L$1,"&lt;&gt;"),0,SUMIFS($J:$J,$B:$B,$B529,$A:$A,"&gt;="&amp;COUNTIFS($K$1:L$1,"&lt;&gt;"))),0)</f>
        <v>9.7178683385579931E-2</v>
      </c>
      <c r="M529">
        <f>IFERROR($J529/IF($A529&lt;COUNTIFS($K$1:M$1,"&lt;&gt;"),0,SUMIFS($J:$J,$B:$B,$B529,$A:$A,"&gt;="&amp;COUNTIFS($K$1:M$1,"&lt;&gt;"))),0)</f>
        <v>0.10763888888888888</v>
      </c>
      <c r="N529">
        <f>IFERROR($J529/IF($A529&lt;COUNTIFS($K$1:N$1,"&lt;&gt;"),0,SUMIFS($J:$J,$B:$B,$B529,$A:$A,"&gt;="&amp;COUNTIFS($K$1:N$1,"&lt;&gt;"))),0)</f>
        <v>0.12062256809338522</v>
      </c>
      <c r="O529">
        <f>IFERROR($J529/IF($A529&lt;COUNTIFS($K$1:O$1,"&lt;&gt;"),0,SUMIFS($J:$J,$B:$B,$B529,$A:$A,"&gt;="&amp;COUNTIFS($K$1:O$1,"&lt;&gt;"))),0)</f>
        <v>0.13656387665198236</v>
      </c>
      <c r="P529">
        <f>IFERROR($J529/IF($A529&lt;COUNTIFS($K$1:P$1,"&lt;&gt;"),0,SUMIFS($J:$J,$B:$B,$B529,$A:$A,"&gt;="&amp;COUNTIFS($K$1:P$1,"&lt;&gt;"))),0)</f>
        <v>0.15816326530612243</v>
      </c>
      <c r="Q529">
        <f>IFERROR($J529/IF($A529&lt;COUNTIFS($K$1:Q$1,"&lt;&gt;"),0,SUMIFS($J:$J,$B:$B,$B529,$A:$A,"&gt;="&amp;COUNTIFS($K$1:Q$1,"&lt;&gt;"))),0)</f>
        <v>0.18674698795180725</v>
      </c>
      <c r="R529">
        <f>IFERROR($J529/IF($A529&lt;COUNTIFS($K$1:R$1,"&lt;&gt;"),0,SUMIFS($J:$J,$B:$B,$B529,$A:$A,"&gt;="&amp;COUNTIFS($K$1:R$1,"&lt;&gt;"))),0)</f>
        <v>0</v>
      </c>
      <c r="S529">
        <f>IFERROR($J529/IF($A529&lt;COUNTIFS($K$1:S$1,"&lt;&gt;"),0,SUMIFS($J:$J,$B:$B,$B529,$A:$A,"&gt;="&amp;COUNTIFS($K$1:S$1,"&lt;&gt;"))),0)</f>
        <v>0</v>
      </c>
      <c r="T529">
        <f>IFERROR($J529/IF($A529&lt;COUNTIFS($K$1:T$1,"&lt;&gt;"),0,SUMIFS($J:$J,$B:$B,$B529,$A:$A,"&gt;="&amp;COUNTIFS($K$1:T$1,"&lt;&gt;"))),0)</f>
        <v>0</v>
      </c>
      <c r="U529">
        <f>IFERROR($J529/IF($A529&lt;COUNTIFS($K$1:U$1,"&lt;&gt;"),0,SUMIFS($J:$J,$B:$B,$B529,$A:$A,"&gt;="&amp;COUNTIFS($K$1:U$1,"&lt;&gt;"))),0)</f>
        <v>0</v>
      </c>
      <c r="V529">
        <f>IFERROR($J529/IF($A529&lt;COUNTIFS($K$1:V$1,"&lt;&gt;"),0,SUMIFS($J:$J,$B:$B,$B529,$A:$A,"&gt;="&amp;COUNTIFS($K$1:V$1,"&lt;&gt;"))),0)</f>
        <v>0</v>
      </c>
      <c r="W529">
        <f t="shared" si="200"/>
        <v>8.4699453551912565E-2</v>
      </c>
      <c r="X529">
        <f t="shared" si="180"/>
        <v>8.4699453551912565E-2</v>
      </c>
      <c r="Y529">
        <f t="shared" si="181"/>
        <v>8.4699453551912565E-2</v>
      </c>
      <c r="Z529">
        <f t="shared" si="182"/>
        <v>8.4699453551912565E-2</v>
      </c>
      <c r="AA529">
        <f t="shared" si="183"/>
        <v>8.4699453551912565E-2</v>
      </c>
      <c r="AB529">
        <f t="shared" si="184"/>
        <v>8.4699453551912565E-2</v>
      </c>
      <c r="AC529">
        <f t="shared" si="185"/>
        <v>8.4699453551912565E-2</v>
      </c>
      <c r="AD529">
        <f t="shared" si="186"/>
        <v>8.4699453551912565E-2</v>
      </c>
      <c r="AE529">
        <f t="shared" si="187"/>
        <v>0</v>
      </c>
      <c r="AF529">
        <f t="shared" si="188"/>
        <v>0</v>
      </c>
      <c r="AG529">
        <f t="shared" si="189"/>
        <v>0</v>
      </c>
      <c r="AH529">
        <f t="shared" si="190"/>
        <v>0</v>
      </c>
      <c r="AI529">
        <f t="shared" si="191"/>
        <v>0</v>
      </c>
      <c r="AJ529" s="2" t="str">
        <f t="shared" si="201"/>
        <v>745047</v>
      </c>
    </row>
    <row r="530" spans="1:36" x14ac:dyDescent="0.25">
      <c r="A530">
        <v>8</v>
      </c>
      <c r="B530" s="1">
        <v>45047</v>
      </c>
      <c r="C530" s="1">
        <f t="shared" si="192"/>
        <v>45292</v>
      </c>
      <c r="D530" s="1">
        <f t="shared" si="193"/>
        <v>45061</v>
      </c>
      <c r="E530" s="1">
        <f t="shared" si="194"/>
        <v>45292</v>
      </c>
      <c r="F530" s="1">
        <f t="shared" si="195"/>
        <v>45323</v>
      </c>
      <c r="G530" s="1">
        <f t="shared" si="196"/>
        <v>45427</v>
      </c>
      <c r="H530">
        <f t="shared" si="197"/>
        <v>366</v>
      </c>
      <c r="I530">
        <f t="shared" si="198"/>
        <v>31</v>
      </c>
      <c r="J530">
        <f t="shared" si="199"/>
        <v>8.4699453551912565E-2</v>
      </c>
      <c r="K530">
        <f>IFERROR($J530/IF($A530&lt;COUNTIFS($K$1:K$1,"&lt;&gt;"),0,SUMIFS($J:$J,$B:$B,$B530,$A:$A,"&gt;="&amp;COUNTIFS($K$1:K$1,"&lt;&gt;"))),0)</f>
        <v>8.882521489971347E-2</v>
      </c>
      <c r="L530">
        <f>IFERROR($J530/IF($A530&lt;COUNTIFS($K$1:L$1,"&lt;&gt;"),0,SUMIFS($J:$J,$B:$B,$B530,$A:$A,"&gt;="&amp;COUNTIFS($K$1:L$1,"&lt;&gt;"))),0)</f>
        <v>9.7178683385579931E-2</v>
      </c>
      <c r="M530">
        <f>IFERROR($J530/IF($A530&lt;COUNTIFS($K$1:M$1,"&lt;&gt;"),0,SUMIFS($J:$J,$B:$B,$B530,$A:$A,"&gt;="&amp;COUNTIFS($K$1:M$1,"&lt;&gt;"))),0)</f>
        <v>0.10763888888888888</v>
      </c>
      <c r="N530">
        <f>IFERROR($J530/IF($A530&lt;COUNTIFS($K$1:N$1,"&lt;&gt;"),0,SUMIFS($J:$J,$B:$B,$B530,$A:$A,"&gt;="&amp;COUNTIFS($K$1:N$1,"&lt;&gt;"))),0)</f>
        <v>0.12062256809338522</v>
      </c>
      <c r="O530">
        <f>IFERROR($J530/IF($A530&lt;COUNTIFS($K$1:O$1,"&lt;&gt;"),0,SUMIFS($J:$J,$B:$B,$B530,$A:$A,"&gt;="&amp;COUNTIFS($K$1:O$1,"&lt;&gt;"))),0)</f>
        <v>0.13656387665198236</v>
      </c>
      <c r="P530">
        <f>IFERROR($J530/IF($A530&lt;COUNTIFS($K$1:P$1,"&lt;&gt;"),0,SUMIFS($J:$J,$B:$B,$B530,$A:$A,"&gt;="&amp;COUNTIFS($K$1:P$1,"&lt;&gt;"))),0)</f>
        <v>0.15816326530612243</v>
      </c>
      <c r="Q530">
        <f>IFERROR($J530/IF($A530&lt;COUNTIFS($K$1:Q$1,"&lt;&gt;"),0,SUMIFS($J:$J,$B:$B,$B530,$A:$A,"&gt;="&amp;COUNTIFS($K$1:Q$1,"&lt;&gt;"))),0)</f>
        <v>0.18674698795180725</v>
      </c>
      <c r="R530">
        <f>IFERROR($J530/IF($A530&lt;COUNTIFS($K$1:R$1,"&lt;&gt;"),0,SUMIFS($J:$J,$B:$B,$B530,$A:$A,"&gt;="&amp;COUNTIFS($K$1:R$1,"&lt;&gt;"))),0)</f>
        <v>0.22962962962962966</v>
      </c>
      <c r="S530">
        <f>IFERROR($J530/IF($A530&lt;COUNTIFS($K$1:S$1,"&lt;&gt;"),0,SUMIFS($J:$J,$B:$B,$B530,$A:$A,"&gt;="&amp;COUNTIFS($K$1:S$1,"&lt;&gt;"))),0)</f>
        <v>0</v>
      </c>
      <c r="T530">
        <f>IFERROR($J530/IF($A530&lt;COUNTIFS($K$1:T$1,"&lt;&gt;"),0,SUMIFS($J:$J,$B:$B,$B530,$A:$A,"&gt;="&amp;COUNTIFS($K$1:T$1,"&lt;&gt;"))),0)</f>
        <v>0</v>
      </c>
      <c r="U530">
        <f>IFERROR($J530/IF($A530&lt;COUNTIFS($K$1:U$1,"&lt;&gt;"),0,SUMIFS($J:$J,$B:$B,$B530,$A:$A,"&gt;="&amp;COUNTIFS($K$1:U$1,"&lt;&gt;"))),0)</f>
        <v>0</v>
      </c>
      <c r="V530">
        <f>IFERROR($J530/IF($A530&lt;COUNTIFS($K$1:V$1,"&lt;&gt;"),0,SUMIFS($J:$J,$B:$B,$B530,$A:$A,"&gt;="&amp;COUNTIFS($K$1:V$1,"&lt;&gt;"))),0)</f>
        <v>0</v>
      </c>
      <c r="W530">
        <f t="shared" si="200"/>
        <v>8.4699453551912565E-2</v>
      </c>
      <c r="X530">
        <f t="shared" si="180"/>
        <v>8.4699453551912565E-2</v>
      </c>
      <c r="Y530">
        <f t="shared" si="181"/>
        <v>8.4699453551912565E-2</v>
      </c>
      <c r="Z530">
        <f t="shared" si="182"/>
        <v>8.4699453551912565E-2</v>
      </c>
      <c r="AA530">
        <f t="shared" si="183"/>
        <v>8.4699453551912565E-2</v>
      </c>
      <c r="AB530">
        <f t="shared" si="184"/>
        <v>8.4699453551912565E-2</v>
      </c>
      <c r="AC530">
        <f t="shared" si="185"/>
        <v>8.4699453551912565E-2</v>
      </c>
      <c r="AD530">
        <f t="shared" si="186"/>
        <v>8.4699453551912565E-2</v>
      </c>
      <c r="AE530">
        <f t="shared" si="187"/>
        <v>8.4699453551912565E-2</v>
      </c>
      <c r="AF530">
        <f t="shared" si="188"/>
        <v>0</v>
      </c>
      <c r="AG530">
        <f t="shared" si="189"/>
        <v>0</v>
      </c>
      <c r="AH530">
        <f t="shared" si="190"/>
        <v>0</v>
      </c>
      <c r="AI530">
        <f t="shared" si="191"/>
        <v>0</v>
      </c>
      <c r="AJ530" s="2" t="str">
        <f t="shared" si="201"/>
        <v>845047</v>
      </c>
    </row>
    <row r="531" spans="1:36" x14ac:dyDescent="0.25">
      <c r="A531">
        <v>9</v>
      </c>
      <c r="B531" s="1">
        <v>45047</v>
      </c>
      <c r="C531" s="1">
        <f t="shared" si="192"/>
        <v>45323</v>
      </c>
      <c r="D531" s="1">
        <f t="shared" si="193"/>
        <v>45061</v>
      </c>
      <c r="E531" s="1">
        <f t="shared" si="194"/>
        <v>45323</v>
      </c>
      <c r="F531" s="1">
        <f t="shared" si="195"/>
        <v>45352</v>
      </c>
      <c r="G531" s="1">
        <f t="shared" si="196"/>
        <v>45427</v>
      </c>
      <c r="H531">
        <f t="shared" si="197"/>
        <v>366</v>
      </c>
      <c r="I531">
        <f t="shared" si="198"/>
        <v>29</v>
      </c>
      <c r="J531">
        <f t="shared" si="199"/>
        <v>7.9234972677595633E-2</v>
      </c>
      <c r="K531">
        <f>IFERROR($J531/IF($A531&lt;COUNTIFS($K$1:K$1,"&lt;&gt;"),0,SUMIFS($J:$J,$B:$B,$B531,$A:$A,"&gt;="&amp;COUNTIFS($K$1:K$1,"&lt;&gt;"))),0)</f>
        <v>8.3094555873925516E-2</v>
      </c>
      <c r="L531">
        <f>IFERROR($J531/IF($A531&lt;COUNTIFS($K$1:L$1,"&lt;&gt;"),0,SUMIFS($J:$J,$B:$B,$B531,$A:$A,"&gt;="&amp;COUNTIFS($K$1:L$1,"&lt;&gt;"))),0)</f>
        <v>9.0909090909090912E-2</v>
      </c>
      <c r="M531">
        <f>IFERROR($J531/IF($A531&lt;COUNTIFS($K$1:M$1,"&lt;&gt;"),0,SUMIFS($J:$J,$B:$B,$B531,$A:$A,"&gt;="&amp;COUNTIFS($K$1:M$1,"&lt;&gt;"))),0)</f>
        <v>0.10069444444444445</v>
      </c>
      <c r="N531">
        <f>IFERROR($J531/IF($A531&lt;COUNTIFS($K$1:N$1,"&lt;&gt;"),0,SUMIFS($J:$J,$B:$B,$B531,$A:$A,"&gt;="&amp;COUNTIFS($K$1:N$1,"&lt;&gt;"))),0)</f>
        <v>0.11284046692607004</v>
      </c>
      <c r="O531">
        <f>IFERROR($J531/IF($A531&lt;COUNTIFS($K$1:O$1,"&lt;&gt;"),0,SUMIFS($J:$J,$B:$B,$B531,$A:$A,"&gt;="&amp;COUNTIFS($K$1:O$1,"&lt;&gt;"))),0)</f>
        <v>0.1277533039647577</v>
      </c>
      <c r="P531">
        <f>IFERROR($J531/IF($A531&lt;COUNTIFS($K$1:P$1,"&lt;&gt;"),0,SUMIFS($J:$J,$B:$B,$B531,$A:$A,"&gt;="&amp;COUNTIFS($K$1:P$1,"&lt;&gt;"))),0)</f>
        <v>0.14795918367346939</v>
      </c>
      <c r="Q531">
        <f>IFERROR($J531/IF($A531&lt;COUNTIFS($K$1:Q$1,"&lt;&gt;"),0,SUMIFS($J:$J,$B:$B,$B531,$A:$A,"&gt;="&amp;COUNTIFS($K$1:Q$1,"&lt;&gt;"))),0)</f>
        <v>0.17469879518072293</v>
      </c>
      <c r="R531">
        <f>IFERROR($J531/IF($A531&lt;COUNTIFS($K$1:R$1,"&lt;&gt;"),0,SUMIFS($J:$J,$B:$B,$B531,$A:$A,"&gt;="&amp;COUNTIFS($K$1:R$1,"&lt;&gt;"))),0)</f>
        <v>0.21481481481481485</v>
      </c>
      <c r="S531">
        <f>IFERROR($J531/IF($A531&lt;COUNTIFS($K$1:S$1,"&lt;&gt;"),0,SUMIFS($J:$J,$B:$B,$B531,$A:$A,"&gt;="&amp;COUNTIFS($K$1:S$1,"&lt;&gt;"))),0)</f>
        <v>0.27884615384615385</v>
      </c>
      <c r="T531">
        <f>IFERROR($J531/IF($A531&lt;COUNTIFS($K$1:T$1,"&lt;&gt;"),0,SUMIFS($J:$J,$B:$B,$B531,$A:$A,"&gt;="&amp;COUNTIFS($K$1:T$1,"&lt;&gt;"))),0)</f>
        <v>0</v>
      </c>
      <c r="U531">
        <f>IFERROR($J531/IF($A531&lt;COUNTIFS($K$1:U$1,"&lt;&gt;"),0,SUMIFS($J:$J,$B:$B,$B531,$A:$A,"&gt;="&amp;COUNTIFS($K$1:U$1,"&lt;&gt;"))),0)</f>
        <v>0</v>
      </c>
      <c r="V531">
        <f>IFERROR($J531/IF($A531&lt;COUNTIFS($K$1:V$1,"&lt;&gt;"),0,SUMIFS($J:$J,$B:$B,$B531,$A:$A,"&gt;="&amp;COUNTIFS($K$1:V$1,"&lt;&gt;"))),0)</f>
        <v>0</v>
      </c>
      <c r="W531">
        <f t="shared" si="200"/>
        <v>7.9234972677595633E-2</v>
      </c>
      <c r="X531">
        <f t="shared" si="180"/>
        <v>7.9234972677595633E-2</v>
      </c>
      <c r="Y531">
        <f t="shared" si="181"/>
        <v>7.9234972677595633E-2</v>
      </c>
      <c r="Z531">
        <f t="shared" si="182"/>
        <v>7.9234972677595633E-2</v>
      </c>
      <c r="AA531">
        <f t="shared" si="183"/>
        <v>7.9234972677595633E-2</v>
      </c>
      <c r="AB531">
        <f t="shared" si="184"/>
        <v>7.9234972677595633E-2</v>
      </c>
      <c r="AC531">
        <f t="shared" si="185"/>
        <v>7.9234972677595633E-2</v>
      </c>
      <c r="AD531">
        <f t="shared" si="186"/>
        <v>7.9234972677595633E-2</v>
      </c>
      <c r="AE531">
        <f t="shared" si="187"/>
        <v>7.9234972677595633E-2</v>
      </c>
      <c r="AF531">
        <f t="shared" si="188"/>
        <v>7.9234972677595633E-2</v>
      </c>
      <c r="AG531">
        <f t="shared" si="189"/>
        <v>0</v>
      </c>
      <c r="AH531">
        <f t="shared" si="190"/>
        <v>0</v>
      </c>
      <c r="AI531">
        <f t="shared" si="191"/>
        <v>0</v>
      </c>
      <c r="AJ531" s="2" t="str">
        <f t="shared" si="201"/>
        <v>945047</v>
      </c>
    </row>
    <row r="532" spans="1:36" x14ac:dyDescent="0.25">
      <c r="A532">
        <v>10</v>
      </c>
      <c r="B532" s="1">
        <v>45047</v>
      </c>
      <c r="C532" s="1">
        <f t="shared" si="192"/>
        <v>45352</v>
      </c>
      <c r="D532" s="1">
        <f t="shared" si="193"/>
        <v>45061</v>
      </c>
      <c r="E532" s="1">
        <f t="shared" si="194"/>
        <v>45352</v>
      </c>
      <c r="F532" s="1">
        <f t="shared" si="195"/>
        <v>45383</v>
      </c>
      <c r="G532" s="1">
        <f t="shared" si="196"/>
        <v>45427</v>
      </c>
      <c r="H532">
        <f t="shared" si="197"/>
        <v>366</v>
      </c>
      <c r="I532">
        <f t="shared" si="198"/>
        <v>31</v>
      </c>
      <c r="J532">
        <f t="shared" si="199"/>
        <v>8.4699453551912565E-2</v>
      </c>
      <c r="K532">
        <f>IFERROR($J532/IF($A532&lt;COUNTIFS($K$1:K$1,"&lt;&gt;"),0,SUMIFS($J:$J,$B:$B,$B532,$A:$A,"&gt;="&amp;COUNTIFS($K$1:K$1,"&lt;&gt;"))),0)</f>
        <v>8.882521489971347E-2</v>
      </c>
      <c r="L532">
        <f>IFERROR($J532/IF($A532&lt;COUNTIFS($K$1:L$1,"&lt;&gt;"),0,SUMIFS($J:$J,$B:$B,$B532,$A:$A,"&gt;="&amp;COUNTIFS($K$1:L$1,"&lt;&gt;"))),0)</f>
        <v>9.7178683385579931E-2</v>
      </c>
      <c r="M532">
        <f>IFERROR($J532/IF($A532&lt;COUNTIFS($K$1:M$1,"&lt;&gt;"),0,SUMIFS($J:$J,$B:$B,$B532,$A:$A,"&gt;="&amp;COUNTIFS($K$1:M$1,"&lt;&gt;"))),0)</f>
        <v>0.10763888888888888</v>
      </c>
      <c r="N532">
        <f>IFERROR($J532/IF($A532&lt;COUNTIFS($K$1:N$1,"&lt;&gt;"),0,SUMIFS($J:$J,$B:$B,$B532,$A:$A,"&gt;="&amp;COUNTIFS($K$1:N$1,"&lt;&gt;"))),0)</f>
        <v>0.12062256809338522</v>
      </c>
      <c r="O532">
        <f>IFERROR($J532/IF($A532&lt;COUNTIFS($K$1:O$1,"&lt;&gt;"),0,SUMIFS($J:$J,$B:$B,$B532,$A:$A,"&gt;="&amp;COUNTIFS($K$1:O$1,"&lt;&gt;"))),0)</f>
        <v>0.13656387665198236</v>
      </c>
      <c r="P532">
        <f>IFERROR($J532/IF($A532&lt;COUNTIFS($K$1:P$1,"&lt;&gt;"),0,SUMIFS($J:$J,$B:$B,$B532,$A:$A,"&gt;="&amp;COUNTIFS($K$1:P$1,"&lt;&gt;"))),0)</f>
        <v>0.15816326530612243</v>
      </c>
      <c r="Q532">
        <f>IFERROR($J532/IF($A532&lt;COUNTIFS($K$1:Q$1,"&lt;&gt;"),0,SUMIFS($J:$J,$B:$B,$B532,$A:$A,"&gt;="&amp;COUNTIFS($K$1:Q$1,"&lt;&gt;"))),0)</f>
        <v>0.18674698795180725</v>
      </c>
      <c r="R532">
        <f>IFERROR($J532/IF($A532&lt;COUNTIFS($K$1:R$1,"&lt;&gt;"),0,SUMIFS($J:$J,$B:$B,$B532,$A:$A,"&gt;="&amp;COUNTIFS($K$1:R$1,"&lt;&gt;"))),0)</f>
        <v>0.22962962962962966</v>
      </c>
      <c r="S532">
        <f>IFERROR($J532/IF($A532&lt;COUNTIFS($K$1:S$1,"&lt;&gt;"),0,SUMIFS($J:$J,$B:$B,$B532,$A:$A,"&gt;="&amp;COUNTIFS($K$1:S$1,"&lt;&gt;"))),0)</f>
        <v>0.29807692307692307</v>
      </c>
      <c r="T532">
        <f>IFERROR($J532/IF($A532&lt;COUNTIFS($K$1:T$1,"&lt;&gt;"),0,SUMIFS($J:$J,$B:$B,$B532,$A:$A,"&gt;="&amp;COUNTIFS($K$1:T$1,"&lt;&gt;"))),0)</f>
        <v>0.41333333333333333</v>
      </c>
      <c r="U532">
        <f>IFERROR($J532/IF($A532&lt;COUNTIFS($K$1:U$1,"&lt;&gt;"),0,SUMIFS($J:$J,$B:$B,$B532,$A:$A,"&gt;="&amp;COUNTIFS($K$1:U$1,"&lt;&gt;"))),0)</f>
        <v>0</v>
      </c>
      <c r="V532">
        <f>IFERROR($J532/IF($A532&lt;COUNTIFS($K$1:V$1,"&lt;&gt;"),0,SUMIFS($J:$J,$B:$B,$B532,$A:$A,"&gt;="&amp;COUNTIFS($K$1:V$1,"&lt;&gt;"))),0)</f>
        <v>0</v>
      </c>
      <c r="W532">
        <f t="shared" si="200"/>
        <v>8.4699453551912565E-2</v>
      </c>
      <c r="X532">
        <f t="shared" si="180"/>
        <v>8.4699453551912565E-2</v>
      </c>
      <c r="Y532">
        <f t="shared" si="181"/>
        <v>8.4699453551912565E-2</v>
      </c>
      <c r="Z532">
        <f t="shared" si="182"/>
        <v>8.4699453551912565E-2</v>
      </c>
      <c r="AA532">
        <f t="shared" si="183"/>
        <v>8.4699453551912565E-2</v>
      </c>
      <c r="AB532">
        <f t="shared" si="184"/>
        <v>8.4699453551912565E-2</v>
      </c>
      <c r="AC532">
        <f t="shared" si="185"/>
        <v>8.4699453551912565E-2</v>
      </c>
      <c r="AD532">
        <f t="shared" si="186"/>
        <v>8.4699453551912565E-2</v>
      </c>
      <c r="AE532">
        <f t="shared" si="187"/>
        <v>8.4699453551912565E-2</v>
      </c>
      <c r="AF532">
        <f t="shared" si="188"/>
        <v>8.4699453551912565E-2</v>
      </c>
      <c r="AG532">
        <f t="shared" si="189"/>
        <v>8.4699453551912565E-2</v>
      </c>
      <c r="AH532">
        <f t="shared" si="190"/>
        <v>0</v>
      </c>
      <c r="AI532">
        <f t="shared" si="191"/>
        <v>0</v>
      </c>
      <c r="AJ532" s="2" t="str">
        <f t="shared" si="201"/>
        <v>1045047</v>
      </c>
    </row>
    <row r="533" spans="1:36" x14ac:dyDescent="0.25">
      <c r="A533">
        <v>11</v>
      </c>
      <c r="B533" s="1">
        <v>45047</v>
      </c>
      <c r="C533" s="1">
        <f t="shared" si="192"/>
        <v>45383</v>
      </c>
      <c r="D533" s="1">
        <f t="shared" si="193"/>
        <v>45061</v>
      </c>
      <c r="E533" s="1">
        <f t="shared" si="194"/>
        <v>45383</v>
      </c>
      <c r="F533" s="1">
        <f t="shared" si="195"/>
        <v>45413</v>
      </c>
      <c r="G533" s="1">
        <f t="shared" si="196"/>
        <v>45427</v>
      </c>
      <c r="H533">
        <f t="shared" si="197"/>
        <v>366</v>
      </c>
      <c r="I533">
        <f t="shared" si="198"/>
        <v>30</v>
      </c>
      <c r="J533">
        <f t="shared" si="199"/>
        <v>8.1967213114754092E-2</v>
      </c>
      <c r="K533">
        <f>IFERROR($J533/IF($A533&lt;COUNTIFS($K$1:K$1,"&lt;&gt;"),0,SUMIFS($J:$J,$B:$B,$B533,$A:$A,"&gt;="&amp;COUNTIFS($K$1:K$1,"&lt;&gt;"))),0)</f>
        <v>8.5959885386819479E-2</v>
      </c>
      <c r="L533">
        <f>IFERROR($J533/IF($A533&lt;COUNTIFS($K$1:L$1,"&lt;&gt;"),0,SUMIFS($J:$J,$B:$B,$B533,$A:$A,"&gt;="&amp;COUNTIFS($K$1:L$1,"&lt;&gt;"))),0)</f>
        <v>9.4043887147335414E-2</v>
      </c>
      <c r="M533">
        <f>IFERROR($J533/IF($A533&lt;COUNTIFS($K$1:M$1,"&lt;&gt;"),0,SUMIFS($J:$J,$B:$B,$B533,$A:$A,"&gt;="&amp;COUNTIFS($K$1:M$1,"&lt;&gt;"))),0)</f>
        <v>0.10416666666666666</v>
      </c>
      <c r="N533">
        <f>IFERROR($J533/IF($A533&lt;COUNTIFS($K$1:N$1,"&lt;&gt;"),0,SUMIFS($J:$J,$B:$B,$B533,$A:$A,"&gt;="&amp;COUNTIFS($K$1:N$1,"&lt;&gt;"))),0)</f>
        <v>0.11673151750972761</v>
      </c>
      <c r="O533">
        <f>IFERROR($J533/IF($A533&lt;COUNTIFS($K$1:O$1,"&lt;&gt;"),0,SUMIFS($J:$J,$B:$B,$B533,$A:$A,"&gt;="&amp;COUNTIFS($K$1:O$1,"&lt;&gt;"))),0)</f>
        <v>0.13215859030837002</v>
      </c>
      <c r="P533">
        <f>IFERROR($J533/IF($A533&lt;COUNTIFS($K$1:P$1,"&lt;&gt;"),0,SUMIFS($J:$J,$B:$B,$B533,$A:$A,"&gt;="&amp;COUNTIFS($K$1:P$1,"&lt;&gt;"))),0)</f>
        <v>0.15306122448979589</v>
      </c>
      <c r="Q533">
        <f>IFERROR($J533/IF($A533&lt;COUNTIFS($K$1:Q$1,"&lt;&gt;"),0,SUMIFS($J:$J,$B:$B,$B533,$A:$A,"&gt;="&amp;COUNTIFS($K$1:Q$1,"&lt;&gt;"))),0)</f>
        <v>0.18072289156626506</v>
      </c>
      <c r="R533">
        <f>IFERROR($J533/IF($A533&lt;COUNTIFS($K$1:R$1,"&lt;&gt;"),0,SUMIFS($J:$J,$B:$B,$B533,$A:$A,"&gt;="&amp;COUNTIFS($K$1:R$1,"&lt;&gt;"))),0)</f>
        <v>0.22222222222222224</v>
      </c>
      <c r="S533">
        <f>IFERROR($J533/IF($A533&lt;COUNTIFS($K$1:S$1,"&lt;&gt;"),0,SUMIFS($J:$J,$B:$B,$B533,$A:$A,"&gt;="&amp;COUNTIFS($K$1:S$1,"&lt;&gt;"))),0)</f>
        <v>0.28846153846153844</v>
      </c>
      <c r="T533">
        <f>IFERROR($J533/IF($A533&lt;COUNTIFS($K$1:T$1,"&lt;&gt;"),0,SUMIFS($J:$J,$B:$B,$B533,$A:$A,"&gt;="&amp;COUNTIFS($K$1:T$1,"&lt;&gt;"))),0)</f>
        <v>0.39999999999999997</v>
      </c>
      <c r="U533">
        <f>IFERROR($J533/IF($A533&lt;COUNTIFS($K$1:U$1,"&lt;&gt;"),0,SUMIFS($J:$J,$B:$B,$B533,$A:$A,"&gt;="&amp;COUNTIFS($K$1:U$1,"&lt;&gt;"))),0)</f>
        <v>0.68181818181818177</v>
      </c>
      <c r="V533">
        <f>IFERROR($J533/IF($A533&lt;COUNTIFS($K$1:V$1,"&lt;&gt;"),0,SUMIFS($J:$J,$B:$B,$B533,$A:$A,"&gt;="&amp;COUNTIFS($K$1:V$1,"&lt;&gt;"))),0)</f>
        <v>0</v>
      </c>
      <c r="W533">
        <f t="shared" si="200"/>
        <v>8.1967213114754092E-2</v>
      </c>
      <c r="X533">
        <f t="shared" si="180"/>
        <v>8.1967213114754092E-2</v>
      </c>
      <c r="Y533">
        <f t="shared" si="181"/>
        <v>8.1967213114754092E-2</v>
      </c>
      <c r="Z533">
        <f t="shared" si="182"/>
        <v>8.1967213114754092E-2</v>
      </c>
      <c r="AA533">
        <f t="shared" si="183"/>
        <v>8.1967213114754092E-2</v>
      </c>
      <c r="AB533">
        <f t="shared" si="184"/>
        <v>8.1967213114754092E-2</v>
      </c>
      <c r="AC533">
        <f t="shared" si="185"/>
        <v>8.1967213114754092E-2</v>
      </c>
      <c r="AD533">
        <f t="shared" si="186"/>
        <v>8.1967213114754092E-2</v>
      </c>
      <c r="AE533">
        <f t="shared" si="187"/>
        <v>8.1967213114754092E-2</v>
      </c>
      <c r="AF533">
        <f t="shared" si="188"/>
        <v>8.1967213114754092E-2</v>
      </c>
      <c r="AG533">
        <f t="shared" si="189"/>
        <v>8.1967213114754092E-2</v>
      </c>
      <c r="AH533">
        <f t="shared" si="190"/>
        <v>8.1967213114754092E-2</v>
      </c>
      <c r="AI533">
        <f t="shared" si="191"/>
        <v>0</v>
      </c>
      <c r="AJ533" s="2" t="str">
        <f t="shared" si="201"/>
        <v>1145047</v>
      </c>
    </row>
    <row r="534" spans="1:36" x14ac:dyDescent="0.25">
      <c r="A534">
        <v>12</v>
      </c>
      <c r="B534" s="1">
        <v>45047</v>
      </c>
      <c r="C534" s="1">
        <f t="shared" si="192"/>
        <v>45413</v>
      </c>
      <c r="D534" s="1">
        <f t="shared" si="193"/>
        <v>45061</v>
      </c>
      <c r="E534" s="1">
        <f t="shared" si="194"/>
        <v>45413</v>
      </c>
      <c r="F534" s="1">
        <f t="shared" si="195"/>
        <v>45427</v>
      </c>
      <c r="G534" s="1">
        <f t="shared" si="196"/>
        <v>45427</v>
      </c>
      <c r="H534">
        <f t="shared" si="197"/>
        <v>366</v>
      </c>
      <c r="I534">
        <f t="shared" si="198"/>
        <v>14</v>
      </c>
      <c r="J534">
        <f t="shared" si="199"/>
        <v>3.825136612021858E-2</v>
      </c>
      <c r="K534">
        <f>IFERROR($J534/IF($A534&lt;COUNTIFS($K$1:K$1,"&lt;&gt;"),0,SUMIFS($J:$J,$B:$B,$B534,$A:$A,"&gt;="&amp;COUNTIFS($K$1:K$1,"&lt;&gt;"))),0)</f>
        <v>4.0114613180515762E-2</v>
      </c>
      <c r="L534">
        <f>IFERROR($J534/IF($A534&lt;COUNTIFS($K$1:L$1,"&lt;&gt;"),0,SUMIFS($J:$J,$B:$B,$B534,$A:$A,"&gt;="&amp;COUNTIFS($K$1:L$1,"&lt;&gt;"))),0)</f>
        <v>4.3887147335423198E-2</v>
      </c>
      <c r="M534">
        <f>IFERROR($J534/IF($A534&lt;COUNTIFS($K$1:M$1,"&lt;&gt;"),0,SUMIFS($J:$J,$B:$B,$B534,$A:$A,"&gt;="&amp;COUNTIFS($K$1:M$1,"&lt;&gt;"))),0)</f>
        <v>4.8611111111111112E-2</v>
      </c>
      <c r="N534">
        <f>IFERROR($J534/IF($A534&lt;COUNTIFS($K$1:N$1,"&lt;&gt;"),0,SUMIFS($J:$J,$B:$B,$B534,$A:$A,"&gt;="&amp;COUNTIFS($K$1:N$1,"&lt;&gt;"))),0)</f>
        <v>5.4474708171206226E-2</v>
      </c>
      <c r="O534">
        <f>IFERROR($J534/IF($A534&lt;COUNTIFS($K$1:O$1,"&lt;&gt;"),0,SUMIFS($J:$J,$B:$B,$B534,$A:$A,"&gt;="&amp;COUNTIFS($K$1:O$1,"&lt;&gt;"))),0)</f>
        <v>6.1674008810572688E-2</v>
      </c>
      <c r="P534">
        <f>IFERROR($J534/IF($A534&lt;COUNTIFS($K$1:P$1,"&lt;&gt;"),0,SUMIFS($J:$J,$B:$B,$B534,$A:$A,"&gt;="&amp;COUNTIFS($K$1:P$1,"&lt;&gt;"))),0)</f>
        <v>7.1428571428571425E-2</v>
      </c>
      <c r="Q534">
        <f>IFERROR($J534/IF($A534&lt;COUNTIFS($K$1:Q$1,"&lt;&gt;"),0,SUMIFS($J:$J,$B:$B,$B534,$A:$A,"&gt;="&amp;COUNTIFS($K$1:Q$1,"&lt;&gt;"))),0)</f>
        <v>8.4337349397590369E-2</v>
      </c>
      <c r="R534">
        <f>IFERROR($J534/IF($A534&lt;COUNTIFS($K$1:R$1,"&lt;&gt;"),0,SUMIFS($J:$J,$B:$B,$B534,$A:$A,"&gt;="&amp;COUNTIFS($K$1:R$1,"&lt;&gt;"))),0)</f>
        <v>0.10370370370370371</v>
      </c>
      <c r="S534">
        <f>IFERROR($J534/IF($A534&lt;COUNTIFS($K$1:S$1,"&lt;&gt;"),0,SUMIFS($J:$J,$B:$B,$B534,$A:$A,"&gt;="&amp;COUNTIFS($K$1:S$1,"&lt;&gt;"))),0)</f>
        <v>0.13461538461538464</v>
      </c>
      <c r="T534">
        <f>IFERROR($J534/IF($A534&lt;COUNTIFS($K$1:T$1,"&lt;&gt;"),0,SUMIFS($J:$J,$B:$B,$B534,$A:$A,"&gt;="&amp;COUNTIFS($K$1:T$1,"&lt;&gt;"))),0)</f>
        <v>0.18666666666666668</v>
      </c>
      <c r="U534">
        <f>IFERROR($J534/IF($A534&lt;COUNTIFS($K$1:U$1,"&lt;&gt;"),0,SUMIFS($J:$J,$B:$B,$B534,$A:$A,"&gt;="&amp;COUNTIFS($K$1:U$1,"&lt;&gt;"))),0)</f>
        <v>0.31818181818181818</v>
      </c>
      <c r="V534">
        <f>IFERROR($J534/IF($A534&lt;COUNTIFS($K$1:V$1,"&lt;&gt;"),0,SUMIFS($J:$J,$B:$B,$B534,$A:$A,"&gt;="&amp;COUNTIFS($K$1:V$1,"&lt;&gt;"))),0)</f>
        <v>1</v>
      </c>
      <c r="W534">
        <f t="shared" si="200"/>
        <v>3.825136612021858E-2</v>
      </c>
      <c r="X534">
        <f t="shared" si="180"/>
        <v>3.825136612021858E-2</v>
      </c>
      <c r="Y534">
        <f t="shared" si="181"/>
        <v>3.825136612021858E-2</v>
      </c>
      <c r="Z534">
        <f t="shared" si="182"/>
        <v>3.825136612021858E-2</v>
      </c>
      <c r="AA534">
        <f t="shared" si="183"/>
        <v>3.825136612021858E-2</v>
      </c>
      <c r="AB534">
        <f t="shared" si="184"/>
        <v>3.825136612021858E-2</v>
      </c>
      <c r="AC534">
        <f t="shared" si="185"/>
        <v>3.825136612021858E-2</v>
      </c>
      <c r="AD534">
        <f t="shared" si="186"/>
        <v>3.825136612021858E-2</v>
      </c>
      <c r="AE534">
        <f t="shared" si="187"/>
        <v>3.825136612021858E-2</v>
      </c>
      <c r="AF534">
        <f t="shared" si="188"/>
        <v>3.825136612021858E-2</v>
      </c>
      <c r="AG534">
        <f t="shared" si="189"/>
        <v>3.825136612021858E-2</v>
      </c>
      <c r="AH534">
        <f t="shared" si="190"/>
        <v>3.825136612021858E-2</v>
      </c>
      <c r="AI534">
        <f t="shared" si="191"/>
        <v>3.825136612021858E-2</v>
      </c>
      <c r="AJ534" s="2" t="str">
        <f t="shared" si="201"/>
        <v>1245047</v>
      </c>
    </row>
    <row r="535" spans="1:36" x14ac:dyDescent="0.25">
      <c r="A535">
        <v>0</v>
      </c>
      <c r="B535" s="1">
        <v>45078</v>
      </c>
      <c r="C535" s="1">
        <f t="shared" si="192"/>
        <v>45078</v>
      </c>
      <c r="D535" s="1">
        <f t="shared" si="193"/>
        <v>45092</v>
      </c>
      <c r="E535" s="1">
        <f t="shared" si="194"/>
        <v>45092</v>
      </c>
      <c r="F535" s="1">
        <f t="shared" si="195"/>
        <v>45108</v>
      </c>
      <c r="G535" s="1">
        <f t="shared" si="196"/>
        <v>45458</v>
      </c>
      <c r="H535">
        <f t="shared" si="197"/>
        <v>366</v>
      </c>
      <c r="I535">
        <f t="shared" si="198"/>
        <v>16</v>
      </c>
      <c r="J535">
        <f t="shared" si="199"/>
        <v>4.3715846994535519E-2</v>
      </c>
      <c r="K535">
        <f>IFERROR($J535/IF($A535&lt;COUNTIFS($K$1:K$1,"&lt;&gt;"),0,SUMIFS($J:$J,$B:$B,$B535,$A:$A,"&gt;="&amp;COUNTIFS($K$1:K$1,"&lt;&gt;"))),0)</f>
        <v>0</v>
      </c>
      <c r="L535">
        <f>IFERROR($J535/IF($A535&lt;COUNTIFS($K$1:L$1,"&lt;&gt;"),0,SUMIFS($J:$J,$B:$B,$B535,$A:$A,"&gt;="&amp;COUNTIFS($K$1:L$1,"&lt;&gt;"))),0)</f>
        <v>0</v>
      </c>
      <c r="M535">
        <f>IFERROR($J535/IF($A535&lt;COUNTIFS($K$1:M$1,"&lt;&gt;"),0,SUMIFS($J:$J,$B:$B,$B535,$A:$A,"&gt;="&amp;COUNTIFS($K$1:M$1,"&lt;&gt;"))),0)</f>
        <v>0</v>
      </c>
      <c r="N535">
        <f>IFERROR($J535/IF($A535&lt;COUNTIFS($K$1:N$1,"&lt;&gt;"),0,SUMIFS($J:$J,$B:$B,$B535,$A:$A,"&gt;="&amp;COUNTIFS($K$1:N$1,"&lt;&gt;"))),0)</f>
        <v>0</v>
      </c>
      <c r="O535">
        <f>IFERROR($J535/IF($A535&lt;COUNTIFS($K$1:O$1,"&lt;&gt;"),0,SUMIFS($J:$J,$B:$B,$B535,$A:$A,"&gt;="&amp;COUNTIFS($K$1:O$1,"&lt;&gt;"))),0)</f>
        <v>0</v>
      </c>
      <c r="P535">
        <f>IFERROR($J535/IF($A535&lt;COUNTIFS($K$1:P$1,"&lt;&gt;"),0,SUMIFS($J:$J,$B:$B,$B535,$A:$A,"&gt;="&amp;COUNTIFS($K$1:P$1,"&lt;&gt;"))),0)</f>
        <v>0</v>
      </c>
      <c r="Q535">
        <f>IFERROR($J535/IF($A535&lt;COUNTIFS($K$1:Q$1,"&lt;&gt;"),0,SUMIFS($J:$J,$B:$B,$B535,$A:$A,"&gt;="&amp;COUNTIFS($K$1:Q$1,"&lt;&gt;"))),0)</f>
        <v>0</v>
      </c>
      <c r="R535">
        <f>IFERROR($J535/IF($A535&lt;COUNTIFS($K$1:R$1,"&lt;&gt;"),0,SUMIFS($J:$J,$B:$B,$B535,$A:$A,"&gt;="&amp;COUNTIFS($K$1:R$1,"&lt;&gt;"))),0)</f>
        <v>0</v>
      </c>
      <c r="S535">
        <f>IFERROR($J535/IF($A535&lt;COUNTIFS($K$1:S$1,"&lt;&gt;"),0,SUMIFS($J:$J,$B:$B,$B535,$A:$A,"&gt;="&amp;COUNTIFS($K$1:S$1,"&lt;&gt;"))),0)</f>
        <v>0</v>
      </c>
      <c r="T535">
        <f>IFERROR($J535/IF($A535&lt;COUNTIFS($K$1:T$1,"&lt;&gt;"),0,SUMIFS($J:$J,$B:$B,$B535,$A:$A,"&gt;="&amp;COUNTIFS($K$1:T$1,"&lt;&gt;"))),0)</f>
        <v>0</v>
      </c>
      <c r="U535">
        <f>IFERROR($J535/IF($A535&lt;COUNTIFS($K$1:U$1,"&lt;&gt;"),0,SUMIFS($J:$J,$B:$B,$B535,$A:$A,"&gt;="&amp;COUNTIFS($K$1:U$1,"&lt;&gt;"))),0)</f>
        <v>0</v>
      </c>
      <c r="V535">
        <f>IFERROR($J535/IF($A535&lt;COUNTIFS($K$1:V$1,"&lt;&gt;"),0,SUMIFS($J:$J,$B:$B,$B535,$A:$A,"&gt;="&amp;COUNTIFS($K$1:V$1,"&lt;&gt;"))),0)</f>
        <v>0</v>
      </c>
      <c r="W535">
        <f t="shared" si="200"/>
        <v>4.3715846994535519E-2</v>
      </c>
      <c r="X535">
        <f t="shared" si="180"/>
        <v>0</v>
      </c>
      <c r="Y535">
        <f t="shared" si="181"/>
        <v>0</v>
      </c>
      <c r="Z535">
        <f t="shared" si="182"/>
        <v>0</v>
      </c>
      <c r="AA535">
        <f t="shared" si="183"/>
        <v>0</v>
      </c>
      <c r="AB535">
        <f t="shared" si="184"/>
        <v>0</v>
      </c>
      <c r="AC535">
        <f t="shared" si="185"/>
        <v>0</v>
      </c>
      <c r="AD535">
        <f t="shared" si="186"/>
        <v>0</v>
      </c>
      <c r="AE535">
        <f t="shared" si="187"/>
        <v>0</v>
      </c>
      <c r="AF535">
        <f t="shared" si="188"/>
        <v>0</v>
      </c>
      <c r="AG535">
        <f t="shared" si="189"/>
        <v>0</v>
      </c>
      <c r="AH535">
        <f t="shared" si="190"/>
        <v>0</v>
      </c>
      <c r="AI535">
        <f t="shared" si="191"/>
        <v>0</v>
      </c>
      <c r="AJ535" s="2" t="str">
        <f t="shared" si="201"/>
        <v>045078</v>
      </c>
    </row>
    <row r="536" spans="1:36" x14ac:dyDescent="0.25">
      <c r="A536">
        <v>1</v>
      </c>
      <c r="B536" s="1">
        <v>45078</v>
      </c>
      <c r="C536" s="1">
        <f t="shared" si="192"/>
        <v>45108</v>
      </c>
      <c r="D536" s="1">
        <f t="shared" si="193"/>
        <v>45092</v>
      </c>
      <c r="E536" s="1">
        <f t="shared" si="194"/>
        <v>45108</v>
      </c>
      <c r="F536" s="1">
        <f t="shared" si="195"/>
        <v>45139</v>
      </c>
      <c r="G536" s="1">
        <f t="shared" si="196"/>
        <v>45458</v>
      </c>
      <c r="H536">
        <f t="shared" si="197"/>
        <v>366</v>
      </c>
      <c r="I536">
        <f t="shared" si="198"/>
        <v>31</v>
      </c>
      <c r="J536">
        <f t="shared" si="199"/>
        <v>8.4699453551912565E-2</v>
      </c>
      <c r="K536">
        <f>IFERROR($J536/IF($A536&lt;COUNTIFS($K$1:K$1,"&lt;&gt;"),0,SUMIFS($J:$J,$B:$B,$B536,$A:$A,"&gt;="&amp;COUNTIFS($K$1:K$1,"&lt;&gt;"))),0)</f>
        <v>8.8571428571428579E-2</v>
      </c>
      <c r="L536">
        <f>IFERROR($J536/IF($A536&lt;COUNTIFS($K$1:L$1,"&lt;&gt;"),0,SUMIFS($J:$J,$B:$B,$B536,$A:$A,"&gt;="&amp;COUNTIFS($K$1:L$1,"&lt;&gt;"))),0)</f>
        <v>0</v>
      </c>
      <c r="M536">
        <f>IFERROR($J536/IF($A536&lt;COUNTIFS($K$1:M$1,"&lt;&gt;"),0,SUMIFS($J:$J,$B:$B,$B536,$A:$A,"&gt;="&amp;COUNTIFS($K$1:M$1,"&lt;&gt;"))),0)</f>
        <v>0</v>
      </c>
      <c r="N536">
        <f>IFERROR($J536/IF($A536&lt;COUNTIFS($K$1:N$1,"&lt;&gt;"),0,SUMIFS($J:$J,$B:$B,$B536,$A:$A,"&gt;="&amp;COUNTIFS($K$1:N$1,"&lt;&gt;"))),0)</f>
        <v>0</v>
      </c>
      <c r="O536">
        <f>IFERROR($J536/IF($A536&lt;COUNTIFS($K$1:O$1,"&lt;&gt;"),0,SUMIFS($J:$J,$B:$B,$B536,$A:$A,"&gt;="&amp;COUNTIFS($K$1:O$1,"&lt;&gt;"))),0)</f>
        <v>0</v>
      </c>
      <c r="P536">
        <f>IFERROR($J536/IF($A536&lt;COUNTIFS($K$1:P$1,"&lt;&gt;"),0,SUMIFS($J:$J,$B:$B,$B536,$A:$A,"&gt;="&amp;COUNTIFS($K$1:P$1,"&lt;&gt;"))),0)</f>
        <v>0</v>
      </c>
      <c r="Q536">
        <f>IFERROR($J536/IF($A536&lt;COUNTIFS($K$1:Q$1,"&lt;&gt;"),0,SUMIFS($J:$J,$B:$B,$B536,$A:$A,"&gt;="&amp;COUNTIFS($K$1:Q$1,"&lt;&gt;"))),0)</f>
        <v>0</v>
      </c>
      <c r="R536">
        <f>IFERROR($J536/IF($A536&lt;COUNTIFS($K$1:R$1,"&lt;&gt;"),0,SUMIFS($J:$J,$B:$B,$B536,$A:$A,"&gt;="&amp;COUNTIFS($K$1:R$1,"&lt;&gt;"))),0)</f>
        <v>0</v>
      </c>
      <c r="S536">
        <f>IFERROR($J536/IF($A536&lt;COUNTIFS($K$1:S$1,"&lt;&gt;"),0,SUMIFS($J:$J,$B:$B,$B536,$A:$A,"&gt;="&amp;COUNTIFS($K$1:S$1,"&lt;&gt;"))),0)</f>
        <v>0</v>
      </c>
      <c r="T536">
        <f>IFERROR($J536/IF($A536&lt;COUNTIFS($K$1:T$1,"&lt;&gt;"),0,SUMIFS($J:$J,$B:$B,$B536,$A:$A,"&gt;="&amp;COUNTIFS($K$1:T$1,"&lt;&gt;"))),0)</f>
        <v>0</v>
      </c>
      <c r="U536">
        <f>IFERROR($J536/IF($A536&lt;COUNTIFS($K$1:U$1,"&lt;&gt;"),0,SUMIFS($J:$J,$B:$B,$B536,$A:$A,"&gt;="&amp;COUNTIFS($K$1:U$1,"&lt;&gt;"))),0)</f>
        <v>0</v>
      </c>
      <c r="V536">
        <f>IFERROR($J536/IF($A536&lt;COUNTIFS($K$1:V$1,"&lt;&gt;"),0,SUMIFS($J:$J,$B:$B,$B536,$A:$A,"&gt;="&amp;COUNTIFS($K$1:V$1,"&lt;&gt;"))),0)</f>
        <v>0</v>
      </c>
      <c r="W536">
        <f t="shared" si="200"/>
        <v>8.4699453551912565E-2</v>
      </c>
      <c r="X536">
        <f t="shared" si="180"/>
        <v>8.4699453551912565E-2</v>
      </c>
      <c r="Y536">
        <f t="shared" si="181"/>
        <v>0</v>
      </c>
      <c r="Z536">
        <f t="shared" si="182"/>
        <v>0</v>
      </c>
      <c r="AA536">
        <f t="shared" si="183"/>
        <v>0</v>
      </c>
      <c r="AB536">
        <f t="shared" si="184"/>
        <v>0</v>
      </c>
      <c r="AC536">
        <f t="shared" si="185"/>
        <v>0</v>
      </c>
      <c r="AD536">
        <f t="shared" si="186"/>
        <v>0</v>
      </c>
      <c r="AE536">
        <f t="shared" si="187"/>
        <v>0</v>
      </c>
      <c r="AF536">
        <f t="shared" si="188"/>
        <v>0</v>
      </c>
      <c r="AG536">
        <f t="shared" si="189"/>
        <v>0</v>
      </c>
      <c r="AH536">
        <f t="shared" si="190"/>
        <v>0</v>
      </c>
      <c r="AI536">
        <f t="shared" si="191"/>
        <v>0</v>
      </c>
      <c r="AJ536" s="2" t="str">
        <f t="shared" si="201"/>
        <v>145078</v>
      </c>
    </row>
    <row r="537" spans="1:36" x14ac:dyDescent="0.25">
      <c r="A537">
        <v>2</v>
      </c>
      <c r="B537" s="1">
        <v>45078</v>
      </c>
      <c r="C537" s="1">
        <f t="shared" si="192"/>
        <v>45139</v>
      </c>
      <c r="D537" s="1">
        <f t="shared" si="193"/>
        <v>45092</v>
      </c>
      <c r="E537" s="1">
        <f t="shared" si="194"/>
        <v>45139</v>
      </c>
      <c r="F537" s="1">
        <f t="shared" si="195"/>
        <v>45170</v>
      </c>
      <c r="G537" s="1">
        <f t="shared" si="196"/>
        <v>45458</v>
      </c>
      <c r="H537">
        <f t="shared" si="197"/>
        <v>366</v>
      </c>
      <c r="I537">
        <f t="shared" si="198"/>
        <v>31</v>
      </c>
      <c r="J537">
        <f t="shared" si="199"/>
        <v>8.4699453551912565E-2</v>
      </c>
      <c r="K537">
        <f>IFERROR($J537/IF($A537&lt;COUNTIFS($K$1:K$1,"&lt;&gt;"),0,SUMIFS($J:$J,$B:$B,$B537,$A:$A,"&gt;="&amp;COUNTIFS($K$1:K$1,"&lt;&gt;"))),0)</f>
        <v>8.8571428571428579E-2</v>
      </c>
      <c r="L537">
        <f>IFERROR($J537/IF($A537&lt;COUNTIFS($K$1:L$1,"&lt;&gt;"),0,SUMIFS($J:$J,$B:$B,$B537,$A:$A,"&gt;="&amp;COUNTIFS($K$1:L$1,"&lt;&gt;"))),0)</f>
        <v>9.7178683385579931E-2</v>
      </c>
      <c r="M537">
        <f>IFERROR($J537/IF($A537&lt;COUNTIFS($K$1:M$1,"&lt;&gt;"),0,SUMIFS($J:$J,$B:$B,$B537,$A:$A,"&gt;="&amp;COUNTIFS($K$1:M$1,"&lt;&gt;"))),0)</f>
        <v>0</v>
      </c>
      <c r="N537">
        <f>IFERROR($J537/IF($A537&lt;COUNTIFS($K$1:N$1,"&lt;&gt;"),0,SUMIFS($J:$J,$B:$B,$B537,$A:$A,"&gt;="&amp;COUNTIFS($K$1:N$1,"&lt;&gt;"))),0)</f>
        <v>0</v>
      </c>
      <c r="O537">
        <f>IFERROR($J537/IF($A537&lt;COUNTIFS($K$1:O$1,"&lt;&gt;"),0,SUMIFS($J:$J,$B:$B,$B537,$A:$A,"&gt;="&amp;COUNTIFS($K$1:O$1,"&lt;&gt;"))),0)</f>
        <v>0</v>
      </c>
      <c r="P537">
        <f>IFERROR($J537/IF($A537&lt;COUNTIFS($K$1:P$1,"&lt;&gt;"),0,SUMIFS($J:$J,$B:$B,$B537,$A:$A,"&gt;="&amp;COUNTIFS($K$1:P$1,"&lt;&gt;"))),0)</f>
        <v>0</v>
      </c>
      <c r="Q537">
        <f>IFERROR($J537/IF($A537&lt;COUNTIFS($K$1:Q$1,"&lt;&gt;"),0,SUMIFS($J:$J,$B:$B,$B537,$A:$A,"&gt;="&amp;COUNTIFS($K$1:Q$1,"&lt;&gt;"))),0)</f>
        <v>0</v>
      </c>
      <c r="R537">
        <f>IFERROR($J537/IF($A537&lt;COUNTIFS($K$1:R$1,"&lt;&gt;"),0,SUMIFS($J:$J,$B:$B,$B537,$A:$A,"&gt;="&amp;COUNTIFS($K$1:R$1,"&lt;&gt;"))),0)</f>
        <v>0</v>
      </c>
      <c r="S537">
        <f>IFERROR($J537/IF($A537&lt;COUNTIFS($K$1:S$1,"&lt;&gt;"),0,SUMIFS($J:$J,$B:$B,$B537,$A:$A,"&gt;="&amp;COUNTIFS($K$1:S$1,"&lt;&gt;"))),0)</f>
        <v>0</v>
      </c>
      <c r="T537">
        <f>IFERROR($J537/IF($A537&lt;COUNTIFS($K$1:T$1,"&lt;&gt;"),0,SUMIFS($J:$J,$B:$B,$B537,$A:$A,"&gt;="&amp;COUNTIFS($K$1:T$1,"&lt;&gt;"))),0)</f>
        <v>0</v>
      </c>
      <c r="U537">
        <f>IFERROR($J537/IF($A537&lt;COUNTIFS($K$1:U$1,"&lt;&gt;"),0,SUMIFS($J:$J,$B:$B,$B537,$A:$A,"&gt;="&amp;COUNTIFS($K$1:U$1,"&lt;&gt;"))),0)</f>
        <v>0</v>
      </c>
      <c r="V537">
        <f>IFERROR($J537/IF($A537&lt;COUNTIFS($K$1:V$1,"&lt;&gt;"),0,SUMIFS($J:$J,$B:$B,$B537,$A:$A,"&gt;="&amp;COUNTIFS($K$1:V$1,"&lt;&gt;"))),0)</f>
        <v>0</v>
      </c>
      <c r="W537">
        <f t="shared" si="200"/>
        <v>8.4699453551912565E-2</v>
      </c>
      <c r="X537">
        <f t="shared" si="180"/>
        <v>8.4699453551912565E-2</v>
      </c>
      <c r="Y537">
        <f t="shared" si="181"/>
        <v>8.4699453551912565E-2</v>
      </c>
      <c r="Z537">
        <f t="shared" si="182"/>
        <v>0</v>
      </c>
      <c r="AA537">
        <f t="shared" si="183"/>
        <v>0</v>
      </c>
      <c r="AB537">
        <f t="shared" si="184"/>
        <v>0</v>
      </c>
      <c r="AC537">
        <f t="shared" si="185"/>
        <v>0</v>
      </c>
      <c r="AD537">
        <f t="shared" si="186"/>
        <v>0</v>
      </c>
      <c r="AE537">
        <f t="shared" si="187"/>
        <v>0</v>
      </c>
      <c r="AF537">
        <f t="shared" si="188"/>
        <v>0</v>
      </c>
      <c r="AG537">
        <f t="shared" si="189"/>
        <v>0</v>
      </c>
      <c r="AH537">
        <f t="shared" si="190"/>
        <v>0</v>
      </c>
      <c r="AI537">
        <f t="shared" si="191"/>
        <v>0</v>
      </c>
      <c r="AJ537" s="2" t="str">
        <f t="shared" si="201"/>
        <v>245078</v>
      </c>
    </row>
    <row r="538" spans="1:36" x14ac:dyDescent="0.25">
      <c r="A538">
        <v>3</v>
      </c>
      <c r="B538" s="1">
        <v>45078</v>
      </c>
      <c r="C538" s="1">
        <f t="shared" si="192"/>
        <v>45170</v>
      </c>
      <c r="D538" s="1">
        <f t="shared" si="193"/>
        <v>45092</v>
      </c>
      <c r="E538" s="1">
        <f t="shared" si="194"/>
        <v>45170</v>
      </c>
      <c r="F538" s="1">
        <f t="shared" si="195"/>
        <v>45200</v>
      </c>
      <c r="G538" s="1">
        <f t="shared" si="196"/>
        <v>45458</v>
      </c>
      <c r="H538">
        <f t="shared" si="197"/>
        <v>366</v>
      </c>
      <c r="I538">
        <f t="shared" si="198"/>
        <v>30</v>
      </c>
      <c r="J538">
        <f t="shared" si="199"/>
        <v>8.1967213114754092E-2</v>
      </c>
      <c r="K538">
        <f>IFERROR($J538/IF($A538&lt;COUNTIFS($K$1:K$1,"&lt;&gt;"),0,SUMIFS($J:$J,$B:$B,$B538,$A:$A,"&gt;="&amp;COUNTIFS($K$1:K$1,"&lt;&gt;"))),0)</f>
        <v>8.5714285714285715E-2</v>
      </c>
      <c r="L538">
        <f>IFERROR($J538/IF($A538&lt;COUNTIFS($K$1:L$1,"&lt;&gt;"),0,SUMIFS($J:$J,$B:$B,$B538,$A:$A,"&gt;="&amp;COUNTIFS($K$1:L$1,"&lt;&gt;"))),0)</f>
        <v>9.4043887147335414E-2</v>
      </c>
      <c r="M538">
        <f>IFERROR($J538/IF($A538&lt;COUNTIFS($K$1:M$1,"&lt;&gt;"),0,SUMIFS($J:$J,$B:$B,$B538,$A:$A,"&gt;="&amp;COUNTIFS($K$1:M$1,"&lt;&gt;"))),0)</f>
        <v>0.10416666666666666</v>
      </c>
      <c r="N538">
        <f>IFERROR($J538/IF($A538&lt;COUNTIFS($K$1:N$1,"&lt;&gt;"),0,SUMIFS($J:$J,$B:$B,$B538,$A:$A,"&gt;="&amp;COUNTIFS($K$1:N$1,"&lt;&gt;"))),0)</f>
        <v>0</v>
      </c>
      <c r="O538">
        <f>IFERROR($J538/IF($A538&lt;COUNTIFS($K$1:O$1,"&lt;&gt;"),0,SUMIFS($J:$J,$B:$B,$B538,$A:$A,"&gt;="&amp;COUNTIFS($K$1:O$1,"&lt;&gt;"))),0)</f>
        <v>0</v>
      </c>
      <c r="P538">
        <f>IFERROR($J538/IF($A538&lt;COUNTIFS($K$1:P$1,"&lt;&gt;"),0,SUMIFS($J:$J,$B:$B,$B538,$A:$A,"&gt;="&amp;COUNTIFS($K$1:P$1,"&lt;&gt;"))),0)</f>
        <v>0</v>
      </c>
      <c r="Q538">
        <f>IFERROR($J538/IF($A538&lt;COUNTIFS($K$1:Q$1,"&lt;&gt;"),0,SUMIFS($J:$J,$B:$B,$B538,$A:$A,"&gt;="&amp;COUNTIFS($K$1:Q$1,"&lt;&gt;"))),0)</f>
        <v>0</v>
      </c>
      <c r="R538">
        <f>IFERROR($J538/IF($A538&lt;COUNTIFS($K$1:R$1,"&lt;&gt;"),0,SUMIFS($J:$J,$B:$B,$B538,$A:$A,"&gt;="&amp;COUNTIFS($K$1:R$1,"&lt;&gt;"))),0)</f>
        <v>0</v>
      </c>
      <c r="S538">
        <f>IFERROR($J538/IF($A538&lt;COUNTIFS($K$1:S$1,"&lt;&gt;"),0,SUMIFS($J:$J,$B:$B,$B538,$A:$A,"&gt;="&amp;COUNTIFS($K$1:S$1,"&lt;&gt;"))),0)</f>
        <v>0</v>
      </c>
      <c r="T538">
        <f>IFERROR($J538/IF($A538&lt;COUNTIFS($K$1:T$1,"&lt;&gt;"),0,SUMIFS($J:$J,$B:$B,$B538,$A:$A,"&gt;="&amp;COUNTIFS($K$1:T$1,"&lt;&gt;"))),0)</f>
        <v>0</v>
      </c>
      <c r="U538">
        <f>IFERROR($J538/IF($A538&lt;COUNTIFS($K$1:U$1,"&lt;&gt;"),0,SUMIFS($J:$J,$B:$B,$B538,$A:$A,"&gt;="&amp;COUNTIFS($K$1:U$1,"&lt;&gt;"))),0)</f>
        <v>0</v>
      </c>
      <c r="V538">
        <f>IFERROR($J538/IF($A538&lt;COUNTIFS($K$1:V$1,"&lt;&gt;"),0,SUMIFS($J:$J,$B:$B,$B538,$A:$A,"&gt;="&amp;COUNTIFS($K$1:V$1,"&lt;&gt;"))),0)</f>
        <v>0</v>
      </c>
      <c r="W538">
        <f t="shared" si="200"/>
        <v>8.1967213114754092E-2</v>
      </c>
      <c r="X538">
        <f t="shared" si="180"/>
        <v>8.1967213114754092E-2</v>
      </c>
      <c r="Y538">
        <f t="shared" si="181"/>
        <v>8.1967213114754092E-2</v>
      </c>
      <c r="Z538">
        <f t="shared" si="182"/>
        <v>8.1967213114754092E-2</v>
      </c>
      <c r="AA538">
        <f t="shared" si="183"/>
        <v>0</v>
      </c>
      <c r="AB538">
        <f t="shared" si="184"/>
        <v>0</v>
      </c>
      <c r="AC538">
        <f t="shared" si="185"/>
        <v>0</v>
      </c>
      <c r="AD538">
        <f t="shared" si="186"/>
        <v>0</v>
      </c>
      <c r="AE538">
        <f t="shared" si="187"/>
        <v>0</v>
      </c>
      <c r="AF538">
        <f t="shared" si="188"/>
        <v>0</v>
      </c>
      <c r="AG538">
        <f t="shared" si="189"/>
        <v>0</v>
      </c>
      <c r="AH538">
        <f t="shared" si="190"/>
        <v>0</v>
      </c>
      <c r="AI538">
        <f t="shared" si="191"/>
        <v>0</v>
      </c>
      <c r="AJ538" s="2" t="str">
        <f t="shared" si="201"/>
        <v>345078</v>
      </c>
    </row>
    <row r="539" spans="1:36" x14ac:dyDescent="0.25">
      <c r="A539">
        <v>4</v>
      </c>
      <c r="B539" s="1">
        <v>45078</v>
      </c>
      <c r="C539" s="1">
        <f t="shared" si="192"/>
        <v>45200</v>
      </c>
      <c r="D539" s="1">
        <f t="shared" si="193"/>
        <v>45092</v>
      </c>
      <c r="E539" s="1">
        <f t="shared" si="194"/>
        <v>45200</v>
      </c>
      <c r="F539" s="1">
        <f t="shared" si="195"/>
        <v>45231</v>
      </c>
      <c r="G539" s="1">
        <f t="shared" si="196"/>
        <v>45458</v>
      </c>
      <c r="H539">
        <f t="shared" si="197"/>
        <v>366</v>
      </c>
      <c r="I539">
        <f t="shared" si="198"/>
        <v>31</v>
      </c>
      <c r="J539">
        <f t="shared" si="199"/>
        <v>8.4699453551912565E-2</v>
      </c>
      <c r="K539">
        <f>IFERROR($J539/IF($A539&lt;COUNTIFS($K$1:K$1,"&lt;&gt;"),0,SUMIFS($J:$J,$B:$B,$B539,$A:$A,"&gt;="&amp;COUNTIFS($K$1:K$1,"&lt;&gt;"))),0)</f>
        <v>8.8571428571428579E-2</v>
      </c>
      <c r="L539">
        <f>IFERROR($J539/IF($A539&lt;COUNTIFS($K$1:L$1,"&lt;&gt;"),0,SUMIFS($J:$J,$B:$B,$B539,$A:$A,"&gt;="&amp;COUNTIFS($K$1:L$1,"&lt;&gt;"))),0)</f>
        <v>9.7178683385579931E-2</v>
      </c>
      <c r="M539">
        <f>IFERROR($J539/IF($A539&lt;COUNTIFS($K$1:M$1,"&lt;&gt;"),0,SUMIFS($J:$J,$B:$B,$B539,$A:$A,"&gt;="&amp;COUNTIFS($K$1:M$1,"&lt;&gt;"))),0)</f>
        <v>0.10763888888888888</v>
      </c>
      <c r="N539">
        <f>IFERROR($J539/IF($A539&lt;COUNTIFS($K$1:N$1,"&lt;&gt;"),0,SUMIFS($J:$J,$B:$B,$B539,$A:$A,"&gt;="&amp;COUNTIFS($K$1:N$1,"&lt;&gt;"))),0)</f>
        <v>0.12015503875968991</v>
      </c>
      <c r="O539">
        <f>IFERROR($J539/IF($A539&lt;COUNTIFS($K$1:O$1,"&lt;&gt;"),0,SUMIFS($J:$J,$B:$B,$B539,$A:$A,"&gt;="&amp;COUNTIFS($K$1:O$1,"&lt;&gt;"))),0)</f>
        <v>0</v>
      </c>
      <c r="P539">
        <f>IFERROR($J539/IF($A539&lt;COUNTIFS($K$1:P$1,"&lt;&gt;"),0,SUMIFS($J:$J,$B:$B,$B539,$A:$A,"&gt;="&amp;COUNTIFS($K$1:P$1,"&lt;&gt;"))),0)</f>
        <v>0</v>
      </c>
      <c r="Q539">
        <f>IFERROR($J539/IF($A539&lt;COUNTIFS($K$1:Q$1,"&lt;&gt;"),0,SUMIFS($J:$J,$B:$B,$B539,$A:$A,"&gt;="&amp;COUNTIFS($K$1:Q$1,"&lt;&gt;"))),0)</f>
        <v>0</v>
      </c>
      <c r="R539">
        <f>IFERROR($J539/IF($A539&lt;COUNTIFS($K$1:R$1,"&lt;&gt;"),0,SUMIFS($J:$J,$B:$B,$B539,$A:$A,"&gt;="&amp;COUNTIFS($K$1:R$1,"&lt;&gt;"))),0)</f>
        <v>0</v>
      </c>
      <c r="S539">
        <f>IFERROR($J539/IF($A539&lt;COUNTIFS($K$1:S$1,"&lt;&gt;"),0,SUMIFS($J:$J,$B:$B,$B539,$A:$A,"&gt;="&amp;COUNTIFS($K$1:S$1,"&lt;&gt;"))),0)</f>
        <v>0</v>
      </c>
      <c r="T539">
        <f>IFERROR($J539/IF($A539&lt;COUNTIFS($K$1:T$1,"&lt;&gt;"),0,SUMIFS($J:$J,$B:$B,$B539,$A:$A,"&gt;="&amp;COUNTIFS($K$1:T$1,"&lt;&gt;"))),0)</f>
        <v>0</v>
      </c>
      <c r="U539">
        <f>IFERROR($J539/IF($A539&lt;COUNTIFS($K$1:U$1,"&lt;&gt;"),0,SUMIFS($J:$J,$B:$B,$B539,$A:$A,"&gt;="&amp;COUNTIFS($K$1:U$1,"&lt;&gt;"))),0)</f>
        <v>0</v>
      </c>
      <c r="V539">
        <f>IFERROR($J539/IF($A539&lt;COUNTIFS($K$1:V$1,"&lt;&gt;"),0,SUMIFS($J:$J,$B:$B,$B539,$A:$A,"&gt;="&amp;COUNTIFS($K$1:V$1,"&lt;&gt;"))),0)</f>
        <v>0</v>
      </c>
      <c r="W539">
        <f t="shared" si="200"/>
        <v>8.4699453551912565E-2</v>
      </c>
      <c r="X539">
        <f t="shared" si="180"/>
        <v>8.4699453551912565E-2</v>
      </c>
      <c r="Y539">
        <f t="shared" si="181"/>
        <v>8.4699453551912565E-2</v>
      </c>
      <c r="Z539">
        <f t="shared" si="182"/>
        <v>8.4699453551912565E-2</v>
      </c>
      <c r="AA539">
        <f t="shared" si="183"/>
        <v>8.4699453551912565E-2</v>
      </c>
      <c r="AB539">
        <f t="shared" si="184"/>
        <v>0</v>
      </c>
      <c r="AC539">
        <f t="shared" si="185"/>
        <v>0</v>
      </c>
      <c r="AD539">
        <f t="shared" si="186"/>
        <v>0</v>
      </c>
      <c r="AE539">
        <f t="shared" si="187"/>
        <v>0</v>
      </c>
      <c r="AF539">
        <f t="shared" si="188"/>
        <v>0</v>
      </c>
      <c r="AG539">
        <f t="shared" si="189"/>
        <v>0</v>
      </c>
      <c r="AH539">
        <f t="shared" si="190"/>
        <v>0</v>
      </c>
      <c r="AI539">
        <f t="shared" si="191"/>
        <v>0</v>
      </c>
      <c r="AJ539" s="2" t="str">
        <f t="shared" si="201"/>
        <v>445078</v>
      </c>
    </row>
    <row r="540" spans="1:36" x14ac:dyDescent="0.25">
      <c r="A540">
        <v>5</v>
      </c>
      <c r="B540" s="1">
        <v>45078</v>
      </c>
      <c r="C540" s="1">
        <f t="shared" si="192"/>
        <v>45231</v>
      </c>
      <c r="D540" s="1">
        <f t="shared" si="193"/>
        <v>45092</v>
      </c>
      <c r="E540" s="1">
        <f t="shared" si="194"/>
        <v>45231</v>
      </c>
      <c r="F540" s="1">
        <f t="shared" si="195"/>
        <v>45261</v>
      </c>
      <c r="G540" s="1">
        <f t="shared" si="196"/>
        <v>45458</v>
      </c>
      <c r="H540">
        <f t="shared" si="197"/>
        <v>366</v>
      </c>
      <c r="I540">
        <f t="shared" si="198"/>
        <v>30</v>
      </c>
      <c r="J540">
        <f t="shared" si="199"/>
        <v>8.1967213114754092E-2</v>
      </c>
      <c r="K540">
        <f>IFERROR($J540/IF($A540&lt;COUNTIFS($K$1:K$1,"&lt;&gt;"),0,SUMIFS($J:$J,$B:$B,$B540,$A:$A,"&gt;="&amp;COUNTIFS($K$1:K$1,"&lt;&gt;"))),0)</f>
        <v>8.5714285714285715E-2</v>
      </c>
      <c r="L540">
        <f>IFERROR($J540/IF($A540&lt;COUNTIFS($K$1:L$1,"&lt;&gt;"),0,SUMIFS($J:$J,$B:$B,$B540,$A:$A,"&gt;="&amp;COUNTIFS($K$1:L$1,"&lt;&gt;"))),0)</f>
        <v>9.4043887147335414E-2</v>
      </c>
      <c r="M540">
        <f>IFERROR($J540/IF($A540&lt;COUNTIFS($K$1:M$1,"&lt;&gt;"),0,SUMIFS($J:$J,$B:$B,$B540,$A:$A,"&gt;="&amp;COUNTIFS($K$1:M$1,"&lt;&gt;"))),0)</f>
        <v>0.10416666666666666</v>
      </c>
      <c r="N540">
        <f>IFERROR($J540/IF($A540&lt;COUNTIFS($K$1:N$1,"&lt;&gt;"),0,SUMIFS($J:$J,$B:$B,$B540,$A:$A,"&gt;="&amp;COUNTIFS($K$1:N$1,"&lt;&gt;"))),0)</f>
        <v>0.11627906976744184</v>
      </c>
      <c r="O540">
        <f>IFERROR($J540/IF($A540&lt;COUNTIFS($K$1:O$1,"&lt;&gt;"),0,SUMIFS($J:$J,$B:$B,$B540,$A:$A,"&gt;="&amp;COUNTIFS($K$1:O$1,"&lt;&gt;"))),0)</f>
        <v>0.13215859030837002</v>
      </c>
      <c r="P540">
        <f>IFERROR($J540/IF($A540&lt;COUNTIFS($K$1:P$1,"&lt;&gt;"),0,SUMIFS($J:$J,$B:$B,$B540,$A:$A,"&gt;="&amp;COUNTIFS($K$1:P$1,"&lt;&gt;"))),0)</f>
        <v>0</v>
      </c>
      <c r="Q540">
        <f>IFERROR($J540/IF($A540&lt;COUNTIFS($K$1:Q$1,"&lt;&gt;"),0,SUMIFS($J:$J,$B:$B,$B540,$A:$A,"&gt;="&amp;COUNTIFS($K$1:Q$1,"&lt;&gt;"))),0)</f>
        <v>0</v>
      </c>
      <c r="R540">
        <f>IFERROR($J540/IF($A540&lt;COUNTIFS($K$1:R$1,"&lt;&gt;"),0,SUMIFS($J:$J,$B:$B,$B540,$A:$A,"&gt;="&amp;COUNTIFS($K$1:R$1,"&lt;&gt;"))),0)</f>
        <v>0</v>
      </c>
      <c r="S540">
        <f>IFERROR($J540/IF($A540&lt;COUNTIFS($K$1:S$1,"&lt;&gt;"),0,SUMIFS($J:$J,$B:$B,$B540,$A:$A,"&gt;="&amp;COUNTIFS($K$1:S$1,"&lt;&gt;"))),0)</f>
        <v>0</v>
      </c>
      <c r="T540">
        <f>IFERROR($J540/IF($A540&lt;COUNTIFS($K$1:T$1,"&lt;&gt;"),0,SUMIFS($J:$J,$B:$B,$B540,$A:$A,"&gt;="&amp;COUNTIFS($K$1:T$1,"&lt;&gt;"))),0)</f>
        <v>0</v>
      </c>
      <c r="U540">
        <f>IFERROR($J540/IF($A540&lt;COUNTIFS($K$1:U$1,"&lt;&gt;"),0,SUMIFS($J:$J,$B:$B,$B540,$A:$A,"&gt;="&amp;COUNTIFS($K$1:U$1,"&lt;&gt;"))),0)</f>
        <v>0</v>
      </c>
      <c r="V540">
        <f>IFERROR($J540/IF($A540&lt;COUNTIFS($K$1:V$1,"&lt;&gt;"),0,SUMIFS($J:$J,$B:$B,$B540,$A:$A,"&gt;="&amp;COUNTIFS($K$1:V$1,"&lt;&gt;"))),0)</f>
        <v>0</v>
      </c>
      <c r="W540">
        <f t="shared" si="200"/>
        <v>8.1967213114754092E-2</v>
      </c>
      <c r="X540">
        <f t="shared" si="180"/>
        <v>8.1967213114754092E-2</v>
      </c>
      <c r="Y540">
        <f t="shared" si="181"/>
        <v>8.1967213114754092E-2</v>
      </c>
      <c r="Z540">
        <f t="shared" si="182"/>
        <v>8.1967213114754092E-2</v>
      </c>
      <c r="AA540">
        <f t="shared" si="183"/>
        <v>8.1967213114754092E-2</v>
      </c>
      <c r="AB540">
        <f t="shared" si="184"/>
        <v>8.1967213114754092E-2</v>
      </c>
      <c r="AC540">
        <f t="shared" si="185"/>
        <v>0</v>
      </c>
      <c r="AD540">
        <f t="shared" si="186"/>
        <v>0</v>
      </c>
      <c r="AE540">
        <f t="shared" si="187"/>
        <v>0</v>
      </c>
      <c r="AF540">
        <f t="shared" si="188"/>
        <v>0</v>
      </c>
      <c r="AG540">
        <f t="shared" si="189"/>
        <v>0</v>
      </c>
      <c r="AH540">
        <f t="shared" si="190"/>
        <v>0</v>
      </c>
      <c r="AI540">
        <f t="shared" si="191"/>
        <v>0</v>
      </c>
      <c r="AJ540" s="2" t="str">
        <f t="shared" si="201"/>
        <v>545078</v>
      </c>
    </row>
    <row r="541" spans="1:36" x14ac:dyDescent="0.25">
      <c r="A541">
        <v>6</v>
      </c>
      <c r="B541" s="1">
        <v>45078</v>
      </c>
      <c r="C541" s="1">
        <f t="shared" si="192"/>
        <v>45261</v>
      </c>
      <c r="D541" s="1">
        <f t="shared" si="193"/>
        <v>45092</v>
      </c>
      <c r="E541" s="1">
        <f t="shared" si="194"/>
        <v>45261</v>
      </c>
      <c r="F541" s="1">
        <f t="shared" si="195"/>
        <v>45292</v>
      </c>
      <c r="G541" s="1">
        <f t="shared" si="196"/>
        <v>45458</v>
      </c>
      <c r="H541">
        <f t="shared" si="197"/>
        <v>366</v>
      </c>
      <c r="I541">
        <f t="shared" si="198"/>
        <v>31</v>
      </c>
      <c r="J541">
        <f t="shared" si="199"/>
        <v>8.4699453551912565E-2</v>
      </c>
      <c r="K541">
        <f>IFERROR($J541/IF($A541&lt;COUNTIFS($K$1:K$1,"&lt;&gt;"),0,SUMIFS($J:$J,$B:$B,$B541,$A:$A,"&gt;="&amp;COUNTIFS($K$1:K$1,"&lt;&gt;"))),0)</f>
        <v>8.8571428571428579E-2</v>
      </c>
      <c r="L541">
        <f>IFERROR($J541/IF($A541&lt;COUNTIFS($K$1:L$1,"&lt;&gt;"),0,SUMIFS($J:$J,$B:$B,$B541,$A:$A,"&gt;="&amp;COUNTIFS($K$1:L$1,"&lt;&gt;"))),0)</f>
        <v>9.7178683385579931E-2</v>
      </c>
      <c r="M541">
        <f>IFERROR($J541/IF($A541&lt;COUNTIFS($K$1:M$1,"&lt;&gt;"),0,SUMIFS($J:$J,$B:$B,$B541,$A:$A,"&gt;="&amp;COUNTIFS($K$1:M$1,"&lt;&gt;"))),0)</f>
        <v>0.10763888888888888</v>
      </c>
      <c r="N541">
        <f>IFERROR($J541/IF($A541&lt;COUNTIFS($K$1:N$1,"&lt;&gt;"),0,SUMIFS($J:$J,$B:$B,$B541,$A:$A,"&gt;="&amp;COUNTIFS($K$1:N$1,"&lt;&gt;"))),0)</f>
        <v>0.12015503875968991</v>
      </c>
      <c r="O541">
        <f>IFERROR($J541/IF($A541&lt;COUNTIFS($K$1:O$1,"&lt;&gt;"),0,SUMIFS($J:$J,$B:$B,$B541,$A:$A,"&gt;="&amp;COUNTIFS($K$1:O$1,"&lt;&gt;"))),0)</f>
        <v>0.13656387665198236</v>
      </c>
      <c r="P541">
        <f>IFERROR($J541/IF($A541&lt;COUNTIFS($K$1:P$1,"&lt;&gt;"),0,SUMIFS($J:$J,$B:$B,$B541,$A:$A,"&gt;="&amp;COUNTIFS($K$1:P$1,"&lt;&gt;"))),0)</f>
        <v>0.15736040609137059</v>
      </c>
      <c r="Q541">
        <f>IFERROR($J541/IF($A541&lt;COUNTIFS($K$1:Q$1,"&lt;&gt;"),0,SUMIFS($J:$J,$B:$B,$B541,$A:$A,"&gt;="&amp;COUNTIFS($K$1:Q$1,"&lt;&gt;"))),0)</f>
        <v>0</v>
      </c>
      <c r="R541">
        <f>IFERROR($J541/IF($A541&lt;COUNTIFS($K$1:R$1,"&lt;&gt;"),0,SUMIFS($J:$J,$B:$B,$B541,$A:$A,"&gt;="&amp;COUNTIFS($K$1:R$1,"&lt;&gt;"))),0)</f>
        <v>0</v>
      </c>
      <c r="S541">
        <f>IFERROR($J541/IF($A541&lt;COUNTIFS($K$1:S$1,"&lt;&gt;"),0,SUMIFS($J:$J,$B:$B,$B541,$A:$A,"&gt;="&amp;COUNTIFS($K$1:S$1,"&lt;&gt;"))),0)</f>
        <v>0</v>
      </c>
      <c r="T541">
        <f>IFERROR($J541/IF($A541&lt;COUNTIFS($K$1:T$1,"&lt;&gt;"),0,SUMIFS($J:$J,$B:$B,$B541,$A:$A,"&gt;="&amp;COUNTIFS($K$1:T$1,"&lt;&gt;"))),0)</f>
        <v>0</v>
      </c>
      <c r="U541">
        <f>IFERROR($J541/IF($A541&lt;COUNTIFS($K$1:U$1,"&lt;&gt;"),0,SUMIFS($J:$J,$B:$B,$B541,$A:$A,"&gt;="&amp;COUNTIFS($K$1:U$1,"&lt;&gt;"))),0)</f>
        <v>0</v>
      </c>
      <c r="V541">
        <f>IFERROR($J541/IF($A541&lt;COUNTIFS($K$1:V$1,"&lt;&gt;"),0,SUMIFS($J:$J,$B:$B,$B541,$A:$A,"&gt;="&amp;COUNTIFS($K$1:V$1,"&lt;&gt;"))),0)</f>
        <v>0</v>
      </c>
      <c r="W541">
        <f t="shared" si="200"/>
        <v>8.4699453551912565E-2</v>
      </c>
      <c r="X541">
        <f t="shared" si="180"/>
        <v>8.4699453551912565E-2</v>
      </c>
      <c r="Y541">
        <f t="shared" si="181"/>
        <v>8.4699453551912565E-2</v>
      </c>
      <c r="Z541">
        <f t="shared" si="182"/>
        <v>8.4699453551912565E-2</v>
      </c>
      <c r="AA541">
        <f t="shared" si="183"/>
        <v>8.4699453551912565E-2</v>
      </c>
      <c r="AB541">
        <f t="shared" si="184"/>
        <v>8.4699453551912565E-2</v>
      </c>
      <c r="AC541">
        <f t="shared" si="185"/>
        <v>8.4699453551912565E-2</v>
      </c>
      <c r="AD541">
        <f t="shared" si="186"/>
        <v>0</v>
      </c>
      <c r="AE541">
        <f t="shared" si="187"/>
        <v>0</v>
      </c>
      <c r="AF541">
        <f t="shared" si="188"/>
        <v>0</v>
      </c>
      <c r="AG541">
        <f t="shared" si="189"/>
        <v>0</v>
      </c>
      <c r="AH541">
        <f t="shared" si="190"/>
        <v>0</v>
      </c>
      <c r="AI541">
        <f t="shared" si="191"/>
        <v>0</v>
      </c>
      <c r="AJ541" s="2" t="str">
        <f t="shared" si="201"/>
        <v>645078</v>
      </c>
    </row>
    <row r="542" spans="1:36" x14ac:dyDescent="0.25">
      <c r="A542">
        <v>7</v>
      </c>
      <c r="B542" s="1">
        <v>45078</v>
      </c>
      <c r="C542" s="1">
        <f t="shared" si="192"/>
        <v>45292</v>
      </c>
      <c r="D542" s="1">
        <f t="shared" si="193"/>
        <v>45092</v>
      </c>
      <c r="E542" s="1">
        <f t="shared" si="194"/>
        <v>45292</v>
      </c>
      <c r="F542" s="1">
        <f t="shared" si="195"/>
        <v>45323</v>
      </c>
      <c r="G542" s="1">
        <f t="shared" si="196"/>
        <v>45458</v>
      </c>
      <c r="H542">
        <f t="shared" si="197"/>
        <v>366</v>
      </c>
      <c r="I542">
        <f t="shared" si="198"/>
        <v>31</v>
      </c>
      <c r="J542">
        <f t="shared" si="199"/>
        <v>8.4699453551912565E-2</v>
      </c>
      <c r="K542">
        <f>IFERROR($J542/IF($A542&lt;COUNTIFS($K$1:K$1,"&lt;&gt;"),0,SUMIFS($J:$J,$B:$B,$B542,$A:$A,"&gt;="&amp;COUNTIFS($K$1:K$1,"&lt;&gt;"))),0)</f>
        <v>8.8571428571428579E-2</v>
      </c>
      <c r="L542">
        <f>IFERROR($J542/IF($A542&lt;COUNTIFS($K$1:L$1,"&lt;&gt;"),0,SUMIFS($J:$J,$B:$B,$B542,$A:$A,"&gt;="&amp;COUNTIFS($K$1:L$1,"&lt;&gt;"))),0)</f>
        <v>9.7178683385579931E-2</v>
      </c>
      <c r="M542">
        <f>IFERROR($J542/IF($A542&lt;COUNTIFS($K$1:M$1,"&lt;&gt;"),0,SUMIFS($J:$J,$B:$B,$B542,$A:$A,"&gt;="&amp;COUNTIFS($K$1:M$1,"&lt;&gt;"))),0)</f>
        <v>0.10763888888888888</v>
      </c>
      <c r="N542">
        <f>IFERROR($J542/IF($A542&lt;COUNTIFS($K$1:N$1,"&lt;&gt;"),0,SUMIFS($J:$J,$B:$B,$B542,$A:$A,"&gt;="&amp;COUNTIFS($K$1:N$1,"&lt;&gt;"))),0)</f>
        <v>0.12015503875968991</v>
      </c>
      <c r="O542">
        <f>IFERROR($J542/IF($A542&lt;COUNTIFS($K$1:O$1,"&lt;&gt;"),0,SUMIFS($J:$J,$B:$B,$B542,$A:$A,"&gt;="&amp;COUNTIFS($K$1:O$1,"&lt;&gt;"))),0)</f>
        <v>0.13656387665198236</v>
      </c>
      <c r="P542">
        <f>IFERROR($J542/IF($A542&lt;COUNTIFS($K$1:P$1,"&lt;&gt;"),0,SUMIFS($J:$J,$B:$B,$B542,$A:$A,"&gt;="&amp;COUNTIFS($K$1:P$1,"&lt;&gt;"))),0)</f>
        <v>0.15736040609137059</v>
      </c>
      <c r="Q542">
        <f>IFERROR($J542/IF($A542&lt;COUNTIFS($K$1:Q$1,"&lt;&gt;"),0,SUMIFS($J:$J,$B:$B,$B542,$A:$A,"&gt;="&amp;COUNTIFS($K$1:Q$1,"&lt;&gt;"))),0)</f>
        <v>0.18674698795180725</v>
      </c>
      <c r="R542">
        <f>IFERROR($J542/IF($A542&lt;COUNTIFS($K$1:R$1,"&lt;&gt;"),0,SUMIFS($J:$J,$B:$B,$B542,$A:$A,"&gt;="&amp;COUNTIFS($K$1:R$1,"&lt;&gt;"))),0)</f>
        <v>0</v>
      </c>
      <c r="S542">
        <f>IFERROR($J542/IF($A542&lt;COUNTIFS($K$1:S$1,"&lt;&gt;"),0,SUMIFS($J:$J,$B:$B,$B542,$A:$A,"&gt;="&amp;COUNTIFS($K$1:S$1,"&lt;&gt;"))),0)</f>
        <v>0</v>
      </c>
      <c r="T542">
        <f>IFERROR($J542/IF($A542&lt;COUNTIFS($K$1:T$1,"&lt;&gt;"),0,SUMIFS($J:$J,$B:$B,$B542,$A:$A,"&gt;="&amp;COUNTIFS($K$1:T$1,"&lt;&gt;"))),0)</f>
        <v>0</v>
      </c>
      <c r="U542">
        <f>IFERROR($J542/IF($A542&lt;COUNTIFS($K$1:U$1,"&lt;&gt;"),0,SUMIFS($J:$J,$B:$B,$B542,$A:$A,"&gt;="&amp;COUNTIFS($K$1:U$1,"&lt;&gt;"))),0)</f>
        <v>0</v>
      </c>
      <c r="V542">
        <f>IFERROR($J542/IF($A542&lt;COUNTIFS($K$1:V$1,"&lt;&gt;"),0,SUMIFS($J:$J,$B:$B,$B542,$A:$A,"&gt;="&amp;COUNTIFS($K$1:V$1,"&lt;&gt;"))),0)</f>
        <v>0</v>
      </c>
      <c r="W542">
        <f t="shared" si="200"/>
        <v>8.4699453551912565E-2</v>
      </c>
      <c r="X542">
        <f t="shared" si="180"/>
        <v>8.4699453551912565E-2</v>
      </c>
      <c r="Y542">
        <f t="shared" si="181"/>
        <v>8.4699453551912565E-2</v>
      </c>
      <c r="Z542">
        <f t="shared" si="182"/>
        <v>8.4699453551912565E-2</v>
      </c>
      <c r="AA542">
        <f t="shared" si="183"/>
        <v>8.4699453551912565E-2</v>
      </c>
      <c r="AB542">
        <f t="shared" si="184"/>
        <v>8.4699453551912565E-2</v>
      </c>
      <c r="AC542">
        <f t="shared" si="185"/>
        <v>8.4699453551912565E-2</v>
      </c>
      <c r="AD542">
        <f t="shared" si="186"/>
        <v>8.4699453551912565E-2</v>
      </c>
      <c r="AE542">
        <f t="shared" si="187"/>
        <v>0</v>
      </c>
      <c r="AF542">
        <f t="shared" si="188"/>
        <v>0</v>
      </c>
      <c r="AG542">
        <f t="shared" si="189"/>
        <v>0</v>
      </c>
      <c r="AH542">
        <f t="shared" si="190"/>
        <v>0</v>
      </c>
      <c r="AI542">
        <f t="shared" si="191"/>
        <v>0</v>
      </c>
      <c r="AJ542" s="2" t="str">
        <f t="shared" si="201"/>
        <v>745078</v>
      </c>
    </row>
    <row r="543" spans="1:36" x14ac:dyDescent="0.25">
      <c r="A543">
        <v>8</v>
      </c>
      <c r="B543" s="1">
        <v>45078</v>
      </c>
      <c r="C543" s="1">
        <f t="shared" si="192"/>
        <v>45323</v>
      </c>
      <c r="D543" s="1">
        <f t="shared" si="193"/>
        <v>45092</v>
      </c>
      <c r="E543" s="1">
        <f t="shared" si="194"/>
        <v>45323</v>
      </c>
      <c r="F543" s="1">
        <f t="shared" si="195"/>
        <v>45352</v>
      </c>
      <c r="G543" s="1">
        <f t="shared" si="196"/>
        <v>45458</v>
      </c>
      <c r="H543">
        <f t="shared" si="197"/>
        <v>366</v>
      </c>
      <c r="I543">
        <f t="shared" si="198"/>
        <v>29</v>
      </c>
      <c r="J543">
        <f t="shared" si="199"/>
        <v>7.9234972677595633E-2</v>
      </c>
      <c r="K543">
        <f>IFERROR($J543/IF($A543&lt;COUNTIFS($K$1:K$1,"&lt;&gt;"),0,SUMIFS($J:$J,$B:$B,$B543,$A:$A,"&gt;="&amp;COUNTIFS($K$1:K$1,"&lt;&gt;"))),0)</f>
        <v>8.2857142857142865E-2</v>
      </c>
      <c r="L543">
        <f>IFERROR($J543/IF($A543&lt;COUNTIFS($K$1:L$1,"&lt;&gt;"),0,SUMIFS($J:$J,$B:$B,$B543,$A:$A,"&gt;="&amp;COUNTIFS($K$1:L$1,"&lt;&gt;"))),0)</f>
        <v>9.0909090909090912E-2</v>
      </c>
      <c r="M543">
        <f>IFERROR($J543/IF($A543&lt;COUNTIFS($K$1:M$1,"&lt;&gt;"),0,SUMIFS($J:$J,$B:$B,$B543,$A:$A,"&gt;="&amp;COUNTIFS($K$1:M$1,"&lt;&gt;"))),0)</f>
        <v>0.10069444444444445</v>
      </c>
      <c r="N543">
        <f>IFERROR($J543/IF($A543&lt;COUNTIFS($K$1:N$1,"&lt;&gt;"),0,SUMIFS($J:$J,$B:$B,$B543,$A:$A,"&gt;="&amp;COUNTIFS($K$1:N$1,"&lt;&gt;"))),0)</f>
        <v>0.1124031007751938</v>
      </c>
      <c r="O543">
        <f>IFERROR($J543/IF($A543&lt;COUNTIFS($K$1:O$1,"&lt;&gt;"),0,SUMIFS($J:$J,$B:$B,$B543,$A:$A,"&gt;="&amp;COUNTIFS($K$1:O$1,"&lt;&gt;"))),0)</f>
        <v>0.1277533039647577</v>
      </c>
      <c r="P543">
        <f>IFERROR($J543/IF($A543&lt;COUNTIFS($K$1:P$1,"&lt;&gt;"),0,SUMIFS($J:$J,$B:$B,$B543,$A:$A,"&gt;="&amp;COUNTIFS($K$1:P$1,"&lt;&gt;"))),0)</f>
        <v>0.14720812182741119</v>
      </c>
      <c r="Q543">
        <f>IFERROR($J543/IF($A543&lt;COUNTIFS($K$1:Q$1,"&lt;&gt;"),0,SUMIFS($J:$J,$B:$B,$B543,$A:$A,"&gt;="&amp;COUNTIFS($K$1:Q$1,"&lt;&gt;"))),0)</f>
        <v>0.17469879518072293</v>
      </c>
      <c r="R543">
        <f>IFERROR($J543/IF($A543&lt;COUNTIFS($K$1:R$1,"&lt;&gt;"),0,SUMIFS($J:$J,$B:$B,$B543,$A:$A,"&gt;="&amp;COUNTIFS($K$1:R$1,"&lt;&gt;"))),0)</f>
        <v>0.21481481481481485</v>
      </c>
      <c r="S543">
        <f>IFERROR($J543/IF($A543&lt;COUNTIFS($K$1:S$1,"&lt;&gt;"),0,SUMIFS($J:$J,$B:$B,$B543,$A:$A,"&gt;="&amp;COUNTIFS($K$1:S$1,"&lt;&gt;"))),0)</f>
        <v>0</v>
      </c>
      <c r="T543">
        <f>IFERROR($J543/IF($A543&lt;COUNTIFS($K$1:T$1,"&lt;&gt;"),0,SUMIFS($J:$J,$B:$B,$B543,$A:$A,"&gt;="&amp;COUNTIFS($K$1:T$1,"&lt;&gt;"))),0)</f>
        <v>0</v>
      </c>
      <c r="U543">
        <f>IFERROR($J543/IF($A543&lt;COUNTIFS($K$1:U$1,"&lt;&gt;"),0,SUMIFS($J:$J,$B:$B,$B543,$A:$A,"&gt;="&amp;COUNTIFS($K$1:U$1,"&lt;&gt;"))),0)</f>
        <v>0</v>
      </c>
      <c r="V543">
        <f>IFERROR($J543/IF($A543&lt;COUNTIFS($K$1:V$1,"&lt;&gt;"),0,SUMIFS($J:$J,$B:$B,$B543,$A:$A,"&gt;="&amp;COUNTIFS($K$1:V$1,"&lt;&gt;"))),0)</f>
        <v>0</v>
      </c>
      <c r="W543">
        <f t="shared" si="200"/>
        <v>7.9234972677595633E-2</v>
      </c>
      <c r="X543">
        <f t="shared" si="180"/>
        <v>7.9234972677595633E-2</v>
      </c>
      <c r="Y543">
        <f t="shared" si="181"/>
        <v>7.9234972677595633E-2</v>
      </c>
      <c r="Z543">
        <f t="shared" si="182"/>
        <v>7.9234972677595633E-2</v>
      </c>
      <c r="AA543">
        <f t="shared" si="183"/>
        <v>7.9234972677595633E-2</v>
      </c>
      <c r="AB543">
        <f t="shared" si="184"/>
        <v>7.9234972677595633E-2</v>
      </c>
      <c r="AC543">
        <f t="shared" si="185"/>
        <v>7.9234972677595633E-2</v>
      </c>
      <c r="AD543">
        <f t="shared" si="186"/>
        <v>7.9234972677595633E-2</v>
      </c>
      <c r="AE543">
        <f t="shared" si="187"/>
        <v>7.9234972677595633E-2</v>
      </c>
      <c r="AF543">
        <f t="shared" si="188"/>
        <v>0</v>
      </c>
      <c r="AG543">
        <f t="shared" si="189"/>
        <v>0</v>
      </c>
      <c r="AH543">
        <f t="shared" si="190"/>
        <v>0</v>
      </c>
      <c r="AI543">
        <f t="shared" si="191"/>
        <v>0</v>
      </c>
      <c r="AJ543" s="2" t="str">
        <f t="shared" si="201"/>
        <v>845078</v>
      </c>
    </row>
    <row r="544" spans="1:36" x14ac:dyDescent="0.25">
      <c r="A544">
        <v>9</v>
      </c>
      <c r="B544" s="1">
        <v>45078</v>
      </c>
      <c r="C544" s="1">
        <f t="shared" si="192"/>
        <v>45352</v>
      </c>
      <c r="D544" s="1">
        <f t="shared" si="193"/>
        <v>45092</v>
      </c>
      <c r="E544" s="1">
        <f t="shared" si="194"/>
        <v>45352</v>
      </c>
      <c r="F544" s="1">
        <f t="shared" si="195"/>
        <v>45383</v>
      </c>
      <c r="G544" s="1">
        <f t="shared" si="196"/>
        <v>45458</v>
      </c>
      <c r="H544">
        <f t="shared" si="197"/>
        <v>366</v>
      </c>
      <c r="I544">
        <f t="shared" si="198"/>
        <v>31</v>
      </c>
      <c r="J544">
        <f t="shared" si="199"/>
        <v>8.4699453551912565E-2</v>
      </c>
      <c r="K544">
        <f>IFERROR($J544/IF($A544&lt;COUNTIFS($K$1:K$1,"&lt;&gt;"),0,SUMIFS($J:$J,$B:$B,$B544,$A:$A,"&gt;="&amp;COUNTIFS($K$1:K$1,"&lt;&gt;"))),0)</f>
        <v>8.8571428571428579E-2</v>
      </c>
      <c r="L544">
        <f>IFERROR($J544/IF($A544&lt;COUNTIFS($K$1:L$1,"&lt;&gt;"),0,SUMIFS($J:$J,$B:$B,$B544,$A:$A,"&gt;="&amp;COUNTIFS($K$1:L$1,"&lt;&gt;"))),0)</f>
        <v>9.7178683385579931E-2</v>
      </c>
      <c r="M544">
        <f>IFERROR($J544/IF($A544&lt;COUNTIFS($K$1:M$1,"&lt;&gt;"),0,SUMIFS($J:$J,$B:$B,$B544,$A:$A,"&gt;="&amp;COUNTIFS($K$1:M$1,"&lt;&gt;"))),0)</f>
        <v>0.10763888888888888</v>
      </c>
      <c r="N544">
        <f>IFERROR($J544/IF($A544&lt;COUNTIFS($K$1:N$1,"&lt;&gt;"),0,SUMIFS($J:$J,$B:$B,$B544,$A:$A,"&gt;="&amp;COUNTIFS($K$1:N$1,"&lt;&gt;"))),0)</f>
        <v>0.12015503875968991</v>
      </c>
      <c r="O544">
        <f>IFERROR($J544/IF($A544&lt;COUNTIFS($K$1:O$1,"&lt;&gt;"),0,SUMIFS($J:$J,$B:$B,$B544,$A:$A,"&gt;="&amp;COUNTIFS($K$1:O$1,"&lt;&gt;"))),0)</f>
        <v>0.13656387665198236</v>
      </c>
      <c r="P544">
        <f>IFERROR($J544/IF($A544&lt;COUNTIFS($K$1:P$1,"&lt;&gt;"),0,SUMIFS($J:$J,$B:$B,$B544,$A:$A,"&gt;="&amp;COUNTIFS($K$1:P$1,"&lt;&gt;"))),0)</f>
        <v>0.15736040609137059</v>
      </c>
      <c r="Q544">
        <f>IFERROR($J544/IF($A544&lt;COUNTIFS($K$1:Q$1,"&lt;&gt;"),0,SUMIFS($J:$J,$B:$B,$B544,$A:$A,"&gt;="&amp;COUNTIFS($K$1:Q$1,"&lt;&gt;"))),0)</f>
        <v>0.18674698795180725</v>
      </c>
      <c r="R544">
        <f>IFERROR($J544/IF($A544&lt;COUNTIFS($K$1:R$1,"&lt;&gt;"),0,SUMIFS($J:$J,$B:$B,$B544,$A:$A,"&gt;="&amp;COUNTIFS($K$1:R$1,"&lt;&gt;"))),0)</f>
        <v>0.22962962962962966</v>
      </c>
      <c r="S544">
        <f>IFERROR($J544/IF($A544&lt;COUNTIFS($K$1:S$1,"&lt;&gt;"),0,SUMIFS($J:$J,$B:$B,$B544,$A:$A,"&gt;="&amp;COUNTIFS($K$1:S$1,"&lt;&gt;"))),0)</f>
        <v>0.29245283018867924</v>
      </c>
      <c r="T544">
        <f>IFERROR($J544/IF($A544&lt;COUNTIFS($K$1:T$1,"&lt;&gt;"),0,SUMIFS($J:$J,$B:$B,$B544,$A:$A,"&gt;="&amp;COUNTIFS($K$1:T$1,"&lt;&gt;"))),0)</f>
        <v>0</v>
      </c>
      <c r="U544">
        <f>IFERROR($J544/IF($A544&lt;COUNTIFS($K$1:U$1,"&lt;&gt;"),0,SUMIFS($J:$J,$B:$B,$B544,$A:$A,"&gt;="&amp;COUNTIFS($K$1:U$1,"&lt;&gt;"))),0)</f>
        <v>0</v>
      </c>
      <c r="V544">
        <f>IFERROR($J544/IF($A544&lt;COUNTIFS($K$1:V$1,"&lt;&gt;"),0,SUMIFS($J:$J,$B:$B,$B544,$A:$A,"&gt;="&amp;COUNTIFS($K$1:V$1,"&lt;&gt;"))),0)</f>
        <v>0</v>
      </c>
      <c r="W544">
        <f t="shared" si="200"/>
        <v>8.4699453551912565E-2</v>
      </c>
      <c r="X544">
        <f t="shared" si="180"/>
        <v>8.4699453551912565E-2</v>
      </c>
      <c r="Y544">
        <f t="shared" si="181"/>
        <v>8.4699453551912565E-2</v>
      </c>
      <c r="Z544">
        <f t="shared" si="182"/>
        <v>8.4699453551912565E-2</v>
      </c>
      <c r="AA544">
        <f t="shared" si="183"/>
        <v>8.4699453551912565E-2</v>
      </c>
      <c r="AB544">
        <f t="shared" si="184"/>
        <v>8.4699453551912565E-2</v>
      </c>
      <c r="AC544">
        <f t="shared" si="185"/>
        <v>8.4699453551912565E-2</v>
      </c>
      <c r="AD544">
        <f t="shared" si="186"/>
        <v>8.4699453551912565E-2</v>
      </c>
      <c r="AE544">
        <f t="shared" si="187"/>
        <v>8.4699453551912565E-2</v>
      </c>
      <c r="AF544">
        <f t="shared" si="188"/>
        <v>8.4699453551912565E-2</v>
      </c>
      <c r="AG544">
        <f t="shared" si="189"/>
        <v>0</v>
      </c>
      <c r="AH544">
        <f t="shared" si="190"/>
        <v>0</v>
      </c>
      <c r="AI544">
        <f t="shared" si="191"/>
        <v>0</v>
      </c>
      <c r="AJ544" s="2" t="str">
        <f t="shared" si="201"/>
        <v>945078</v>
      </c>
    </row>
    <row r="545" spans="1:36" x14ac:dyDescent="0.25">
      <c r="A545">
        <v>10</v>
      </c>
      <c r="B545" s="1">
        <v>45078</v>
      </c>
      <c r="C545" s="1">
        <f t="shared" si="192"/>
        <v>45383</v>
      </c>
      <c r="D545" s="1">
        <f t="shared" si="193"/>
        <v>45092</v>
      </c>
      <c r="E545" s="1">
        <f t="shared" si="194"/>
        <v>45383</v>
      </c>
      <c r="F545" s="1">
        <f t="shared" si="195"/>
        <v>45413</v>
      </c>
      <c r="G545" s="1">
        <f t="shared" si="196"/>
        <v>45458</v>
      </c>
      <c r="H545">
        <f t="shared" si="197"/>
        <v>366</v>
      </c>
      <c r="I545">
        <f t="shared" si="198"/>
        <v>30</v>
      </c>
      <c r="J545">
        <f t="shared" si="199"/>
        <v>8.1967213114754092E-2</v>
      </c>
      <c r="K545">
        <f>IFERROR($J545/IF($A545&lt;COUNTIFS($K$1:K$1,"&lt;&gt;"),0,SUMIFS($J:$J,$B:$B,$B545,$A:$A,"&gt;="&amp;COUNTIFS($K$1:K$1,"&lt;&gt;"))),0)</f>
        <v>8.5714285714285715E-2</v>
      </c>
      <c r="L545">
        <f>IFERROR($J545/IF($A545&lt;COUNTIFS($K$1:L$1,"&lt;&gt;"),0,SUMIFS($J:$J,$B:$B,$B545,$A:$A,"&gt;="&amp;COUNTIFS($K$1:L$1,"&lt;&gt;"))),0)</f>
        <v>9.4043887147335414E-2</v>
      </c>
      <c r="M545">
        <f>IFERROR($J545/IF($A545&lt;COUNTIFS($K$1:M$1,"&lt;&gt;"),0,SUMIFS($J:$J,$B:$B,$B545,$A:$A,"&gt;="&amp;COUNTIFS($K$1:M$1,"&lt;&gt;"))),0)</f>
        <v>0.10416666666666666</v>
      </c>
      <c r="N545">
        <f>IFERROR($J545/IF($A545&lt;COUNTIFS($K$1:N$1,"&lt;&gt;"),0,SUMIFS($J:$J,$B:$B,$B545,$A:$A,"&gt;="&amp;COUNTIFS($K$1:N$1,"&lt;&gt;"))),0)</f>
        <v>0.11627906976744184</v>
      </c>
      <c r="O545">
        <f>IFERROR($J545/IF($A545&lt;COUNTIFS($K$1:O$1,"&lt;&gt;"),0,SUMIFS($J:$J,$B:$B,$B545,$A:$A,"&gt;="&amp;COUNTIFS($K$1:O$1,"&lt;&gt;"))),0)</f>
        <v>0.13215859030837002</v>
      </c>
      <c r="P545">
        <f>IFERROR($J545/IF($A545&lt;COUNTIFS($K$1:P$1,"&lt;&gt;"),0,SUMIFS($J:$J,$B:$B,$B545,$A:$A,"&gt;="&amp;COUNTIFS($K$1:P$1,"&lt;&gt;"))),0)</f>
        <v>0.15228426395939088</v>
      </c>
      <c r="Q545">
        <f>IFERROR($J545/IF($A545&lt;COUNTIFS($K$1:Q$1,"&lt;&gt;"),0,SUMIFS($J:$J,$B:$B,$B545,$A:$A,"&gt;="&amp;COUNTIFS($K$1:Q$1,"&lt;&gt;"))),0)</f>
        <v>0.18072289156626506</v>
      </c>
      <c r="R545">
        <f>IFERROR($J545/IF($A545&lt;COUNTIFS($K$1:R$1,"&lt;&gt;"),0,SUMIFS($J:$J,$B:$B,$B545,$A:$A,"&gt;="&amp;COUNTIFS($K$1:R$1,"&lt;&gt;"))),0)</f>
        <v>0.22222222222222224</v>
      </c>
      <c r="S545">
        <f>IFERROR($J545/IF($A545&lt;COUNTIFS($K$1:S$1,"&lt;&gt;"),0,SUMIFS($J:$J,$B:$B,$B545,$A:$A,"&gt;="&amp;COUNTIFS($K$1:S$1,"&lt;&gt;"))),0)</f>
        <v>0.28301886792452829</v>
      </c>
      <c r="T545">
        <f>IFERROR($J545/IF($A545&lt;COUNTIFS($K$1:T$1,"&lt;&gt;"),0,SUMIFS($J:$J,$B:$B,$B545,$A:$A,"&gt;="&amp;COUNTIFS($K$1:T$1,"&lt;&gt;"))),0)</f>
        <v>0.39999999999999997</v>
      </c>
      <c r="U545">
        <f>IFERROR($J545/IF($A545&lt;COUNTIFS($K$1:U$1,"&lt;&gt;"),0,SUMIFS($J:$J,$B:$B,$B545,$A:$A,"&gt;="&amp;COUNTIFS($K$1:U$1,"&lt;&gt;"))),0)</f>
        <v>0</v>
      </c>
      <c r="V545">
        <f>IFERROR($J545/IF($A545&lt;COUNTIFS($K$1:V$1,"&lt;&gt;"),0,SUMIFS($J:$J,$B:$B,$B545,$A:$A,"&gt;="&amp;COUNTIFS($K$1:V$1,"&lt;&gt;"))),0)</f>
        <v>0</v>
      </c>
      <c r="W545">
        <f t="shared" si="200"/>
        <v>8.1967213114754092E-2</v>
      </c>
      <c r="X545">
        <f t="shared" si="180"/>
        <v>8.1967213114754092E-2</v>
      </c>
      <c r="Y545">
        <f t="shared" si="181"/>
        <v>8.1967213114754092E-2</v>
      </c>
      <c r="Z545">
        <f t="shared" si="182"/>
        <v>8.1967213114754092E-2</v>
      </c>
      <c r="AA545">
        <f t="shared" si="183"/>
        <v>8.1967213114754092E-2</v>
      </c>
      <c r="AB545">
        <f t="shared" si="184"/>
        <v>8.1967213114754092E-2</v>
      </c>
      <c r="AC545">
        <f t="shared" si="185"/>
        <v>8.1967213114754092E-2</v>
      </c>
      <c r="AD545">
        <f t="shared" si="186"/>
        <v>8.1967213114754092E-2</v>
      </c>
      <c r="AE545">
        <f t="shared" si="187"/>
        <v>8.1967213114754092E-2</v>
      </c>
      <c r="AF545">
        <f t="shared" si="188"/>
        <v>8.1967213114754092E-2</v>
      </c>
      <c r="AG545">
        <f t="shared" si="189"/>
        <v>8.1967213114754092E-2</v>
      </c>
      <c r="AH545">
        <f t="shared" si="190"/>
        <v>0</v>
      </c>
      <c r="AI545">
        <f t="shared" si="191"/>
        <v>0</v>
      </c>
      <c r="AJ545" s="2" t="str">
        <f t="shared" si="201"/>
        <v>1045078</v>
      </c>
    </row>
    <row r="546" spans="1:36" x14ac:dyDescent="0.25">
      <c r="A546">
        <v>11</v>
      </c>
      <c r="B546" s="1">
        <v>45078</v>
      </c>
      <c r="C546" s="1">
        <f t="shared" si="192"/>
        <v>45413</v>
      </c>
      <c r="D546" s="1">
        <f t="shared" si="193"/>
        <v>45092</v>
      </c>
      <c r="E546" s="1">
        <f t="shared" si="194"/>
        <v>45413</v>
      </c>
      <c r="F546" s="1">
        <f t="shared" si="195"/>
        <v>45444</v>
      </c>
      <c r="G546" s="1">
        <f t="shared" si="196"/>
        <v>45458</v>
      </c>
      <c r="H546">
        <f t="shared" si="197"/>
        <v>366</v>
      </c>
      <c r="I546">
        <f t="shared" si="198"/>
        <v>31</v>
      </c>
      <c r="J546">
        <f t="shared" si="199"/>
        <v>8.4699453551912565E-2</v>
      </c>
      <c r="K546">
        <f>IFERROR($J546/IF($A546&lt;COUNTIFS($K$1:K$1,"&lt;&gt;"),0,SUMIFS($J:$J,$B:$B,$B546,$A:$A,"&gt;="&amp;COUNTIFS($K$1:K$1,"&lt;&gt;"))),0)</f>
        <v>8.8571428571428579E-2</v>
      </c>
      <c r="L546">
        <f>IFERROR($J546/IF($A546&lt;COUNTIFS($K$1:L$1,"&lt;&gt;"),0,SUMIFS($J:$J,$B:$B,$B546,$A:$A,"&gt;="&amp;COUNTIFS($K$1:L$1,"&lt;&gt;"))),0)</f>
        <v>9.7178683385579931E-2</v>
      </c>
      <c r="M546">
        <f>IFERROR($J546/IF($A546&lt;COUNTIFS($K$1:M$1,"&lt;&gt;"),0,SUMIFS($J:$J,$B:$B,$B546,$A:$A,"&gt;="&amp;COUNTIFS($K$1:M$1,"&lt;&gt;"))),0)</f>
        <v>0.10763888888888888</v>
      </c>
      <c r="N546">
        <f>IFERROR($J546/IF($A546&lt;COUNTIFS($K$1:N$1,"&lt;&gt;"),0,SUMIFS($J:$J,$B:$B,$B546,$A:$A,"&gt;="&amp;COUNTIFS($K$1:N$1,"&lt;&gt;"))),0)</f>
        <v>0.12015503875968991</v>
      </c>
      <c r="O546">
        <f>IFERROR($J546/IF($A546&lt;COUNTIFS($K$1:O$1,"&lt;&gt;"),0,SUMIFS($J:$J,$B:$B,$B546,$A:$A,"&gt;="&amp;COUNTIFS($K$1:O$1,"&lt;&gt;"))),0)</f>
        <v>0.13656387665198236</v>
      </c>
      <c r="P546">
        <f>IFERROR($J546/IF($A546&lt;COUNTIFS($K$1:P$1,"&lt;&gt;"),0,SUMIFS($J:$J,$B:$B,$B546,$A:$A,"&gt;="&amp;COUNTIFS($K$1:P$1,"&lt;&gt;"))),0)</f>
        <v>0.15736040609137059</v>
      </c>
      <c r="Q546">
        <f>IFERROR($J546/IF($A546&lt;COUNTIFS($K$1:Q$1,"&lt;&gt;"),0,SUMIFS($J:$J,$B:$B,$B546,$A:$A,"&gt;="&amp;COUNTIFS($K$1:Q$1,"&lt;&gt;"))),0)</f>
        <v>0.18674698795180725</v>
      </c>
      <c r="R546">
        <f>IFERROR($J546/IF($A546&lt;COUNTIFS($K$1:R$1,"&lt;&gt;"),0,SUMIFS($J:$J,$B:$B,$B546,$A:$A,"&gt;="&amp;COUNTIFS($K$1:R$1,"&lt;&gt;"))),0)</f>
        <v>0.22962962962962966</v>
      </c>
      <c r="S546">
        <f>IFERROR($J546/IF($A546&lt;COUNTIFS($K$1:S$1,"&lt;&gt;"),0,SUMIFS($J:$J,$B:$B,$B546,$A:$A,"&gt;="&amp;COUNTIFS($K$1:S$1,"&lt;&gt;"))),0)</f>
        <v>0.29245283018867924</v>
      </c>
      <c r="T546">
        <f>IFERROR($J546/IF($A546&lt;COUNTIFS($K$1:T$1,"&lt;&gt;"),0,SUMIFS($J:$J,$B:$B,$B546,$A:$A,"&gt;="&amp;COUNTIFS($K$1:T$1,"&lt;&gt;"))),0)</f>
        <v>0.41333333333333333</v>
      </c>
      <c r="U546">
        <f>IFERROR($J546/IF($A546&lt;COUNTIFS($K$1:U$1,"&lt;&gt;"),0,SUMIFS($J:$J,$B:$B,$B546,$A:$A,"&gt;="&amp;COUNTIFS($K$1:U$1,"&lt;&gt;"))),0)</f>
        <v>0.68888888888888888</v>
      </c>
      <c r="V546">
        <f>IFERROR($J546/IF($A546&lt;COUNTIFS($K$1:V$1,"&lt;&gt;"),0,SUMIFS($J:$J,$B:$B,$B546,$A:$A,"&gt;="&amp;COUNTIFS($K$1:V$1,"&lt;&gt;"))),0)</f>
        <v>0</v>
      </c>
      <c r="W546">
        <f t="shared" si="200"/>
        <v>8.4699453551912565E-2</v>
      </c>
      <c r="X546">
        <f t="shared" si="180"/>
        <v>8.4699453551912565E-2</v>
      </c>
      <c r="Y546">
        <f t="shared" si="181"/>
        <v>8.4699453551912565E-2</v>
      </c>
      <c r="Z546">
        <f t="shared" si="182"/>
        <v>8.4699453551912565E-2</v>
      </c>
      <c r="AA546">
        <f t="shared" si="183"/>
        <v>8.4699453551912565E-2</v>
      </c>
      <c r="AB546">
        <f t="shared" si="184"/>
        <v>8.4699453551912565E-2</v>
      </c>
      <c r="AC546">
        <f t="shared" si="185"/>
        <v>8.4699453551912565E-2</v>
      </c>
      <c r="AD546">
        <f t="shared" si="186"/>
        <v>8.4699453551912565E-2</v>
      </c>
      <c r="AE546">
        <f t="shared" si="187"/>
        <v>8.4699453551912565E-2</v>
      </c>
      <c r="AF546">
        <f t="shared" si="188"/>
        <v>8.4699453551912565E-2</v>
      </c>
      <c r="AG546">
        <f t="shared" si="189"/>
        <v>8.4699453551912565E-2</v>
      </c>
      <c r="AH546">
        <f t="shared" si="190"/>
        <v>8.4699453551912565E-2</v>
      </c>
      <c r="AI546">
        <f t="shared" si="191"/>
        <v>0</v>
      </c>
      <c r="AJ546" s="2" t="str">
        <f t="shared" si="201"/>
        <v>1145078</v>
      </c>
    </row>
    <row r="547" spans="1:36" x14ac:dyDescent="0.25">
      <c r="A547">
        <v>12</v>
      </c>
      <c r="B547" s="1">
        <v>45078</v>
      </c>
      <c r="C547" s="1">
        <f t="shared" si="192"/>
        <v>45444</v>
      </c>
      <c r="D547" s="1">
        <f t="shared" si="193"/>
        <v>45092</v>
      </c>
      <c r="E547" s="1">
        <f t="shared" si="194"/>
        <v>45444</v>
      </c>
      <c r="F547" s="1">
        <f t="shared" si="195"/>
        <v>45458</v>
      </c>
      <c r="G547" s="1">
        <f t="shared" si="196"/>
        <v>45458</v>
      </c>
      <c r="H547">
        <f t="shared" si="197"/>
        <v>366</v>
      </c>
      <c r="I547">
        <f t="shared" si="198"/>
        <v>14</v>
      </c>
      <c r="J547">
        <f t="shared" si="199"/>
        <v>3.825136612021858E-2</v>
      </c>
      <c r="K547">
        <f>IFERROR($J547/IF($A547&lt;COUNTIFS($K$1:K$1,"&lt;&gt;"),0,SUMIFS($J:$J,$B:$B,$B547,$A:$A,"&gt;="&amp;COUNTIFS($K$1:K$1,"&lt;&gt;"))),0)</f>
        <v>0.04</v>
      </c>
      <c r="L547">
        <f>IFERROR($J547/IF($A547&lt;COUNTIFS($K$1:L$1,"&lt;&gt;"),0,SUMIFS($J:$J,$B:$B,$B547,$A:$A,"&gt;="&amp;COUNTIFS($K$1:L$1,"&lt;&gt;"))),0)</f>
        <v>4.3887147335423198E-2</v>
      </c>
      <c r="M547">
        <f>IFERROR($J547/IF($A547&lt;COUNTIFS($K$1:M$1,"&lt;&gt;"),0,SUMIFS($J:$J,$B:$B,$B547,$A:$A,"&gt;="&amp;COUNTIFS($K$1:M$1,"&lt;&gt;"))),0)</f>
        <v>4.8611111111111112E-2</v>
      </c>
      <c r="N547">
        <f>IFERROR($J547/IF($A547&lt;COUNTIFS($K$1:N$1,"&lt;&gt;"),0,SUMIFS($J:$J,$B:$B,$B547,$A:$A,"&gt;="&amp;COUNTIFS($K$1:N$1,"&lt;&gt;"))),0)</f>
        <v>5.4263565891472867E-2</v>
      </c>
      <c r="O547">
        <f>IFERROR($J547/IF($A547&lt;COUNTIFS($K$1:O$1,"&lt;&gt;"),0,SUMIFS($J:$J,$B:$B,$B547,$A:$A,"&gt;="&amp;COUNTIFS($K$1:O$1,"&lt;&gt;"))),0)</f>
        <v>6.1674008810572688E-2</v>
      </c>
      <c r="P547">
        <f>IFERROR($J547/IF($A547&lt;COUNTIFS($K$1:P$1,"&lt;&gt;"),0,SUMIFS($J:$J,$B:$B,$B547,$A:$A,"&gt;="&amp;COUNTIFS($K$1:P$1,"&lt;&gt;"))),0)</f>
        <v>7.1065989847715741E-2</v>
      </c>
      <c r="Q547">
        <f>IFERROR($J547/IF($A547&lt;COUNTIFS($K$1:Q$1,"&lt;&gt;"),0,SUMIFS($J:$J,$B:$B,$B547,$A:$A,"&gt;="&amp;COUNTIFS($K$1:Q$1,"&lt;&gt;"))),0)</f>
        <v>8.4337349397590369E-2</v>
      </c>
      <c r="R547">
        <f>IFERROR($J547/IF($A547&lt;COUNTIFS($K$1:R$1,"&lt;&gt;"),0,SUMIFS($J:$J,$B:$B,$B547,$A:$A,"&gt;="&amp;COUNTIFS($K$1:R$1,"&lt;&gt;"))),0)</f>
        <v>0.10370370370370371</v>
      </c>
      <c r="S547">
        <f>IFERROR($J547/IF($A547&lt;COUNTIFS($K$1:S$1,"&lt;&gt;"),0,SUMIFS($J:$J,$B:$B,$B547,$A:$A,"&gt;="&amp;COUNTIFS($K$1:S$1,"&lt;&gt;"))),0)</f>
        <v>0.13207547169811321</v>
      </c>
      <c r="T547">
        <f>IFERROR($J547/IF($A547&lt;COUNTIFS($K$1:T$1,"&lt;&gt;"),0,SUMIFS($J:$J,$B:$B,$B547,$A:$A,"&gt;="&amp;COUNTIFS($K$1:T$1,"&lt;&gt;"))),0)</f>
        <v>0.18666666666666668</v>
      </c>
      <c r="U547">
        <f>IFERROR($J547/IF($A547&lt;COUNTIFS($K$1:U$1,"&lt;&gt;"),0,SUMIFS($J:$J,$B:$B,$B547,$A:$A,"&gt;="&amp;COUNTIFS($K$1:U$1,"&lt;&gt;"))),0)</f>
        <v>0.31111111111111112</v>
      </c>
      <c r="V547">
        <f>IFERROR($J547/IF($A547&lt;COUNTIFS($K$1:V$1,"&lt;&gt;"),0,SUMIFS($J:$J,$B:$B,$B547,$A:$A,"&gt;="&amp;COUNTIFS($K$1:V$1,"&lt;&gt;"))),0)</f>
        <v>1</v>
      </c>
      <c r="W547">
        <f t="shared" si="200"/>
        <v>3.825136612021858E-2</v>
      </c>
      <c r="X547">
        <f t="shared" si="180"/>
        <v>3.825136612021858E-2</v>
      </c>
      <c r="Y547">
        <f t="shared" si="181"/>
        <v>3.825136612021858E-2</v>
      </c>
      <c r="Z547">
        <f t="shared" si="182"/>
        <v>3.825136612021858E-2</v>
      </c>
      <c r="AA547">
        <f t="shared" si="183"/>
        <v>3.825136612021858E-2</v>
      </c>
      <c r="AB547">
        <f t="shared" si="184"/>
        <v>3.825136612021858E-2</v>
      </c>
      <c r="AC547">
        <f t="shared" si="185"/>
        <v>3.825136612021858E-2</v>
      </c>
      <c r="AD547">
        <f t="shared" si="186"/>
        <v>3.825136612021858E-2</v>
      </c>
      <c r="AE547">
        <f t="shared" si="187"/>
        <v>3.825136612021858E-2</v>
      </c>
      <c r="AF547">
        <f t="shared" si="188"/>
        <v>3.825136612021858E-2</v>
      </c>
      <c r="AG547">
        <f t="shared" si="189"/>
        <v>3.825136612021858E-2</v>
      </c>
      <c r="AH547">
        <f t="shared" si="190"/>
        <v>3.825136612021858E-2</v>
      </c>
      <c r="AI547">
        <f t="shared" si="191"/>
        <v>3.825136612021858E-2</v>
      </c>
      <c r="AJ547" s="2" t="str">
        <f t="shared" si="201"/>
        <v>1245078</v>
      </c>
    </row>
    <row r="548" spans="1:36" x14ac:dyDescent="0.25">
      <c r="A548">
        <v>0</v>
      </c>
      <c r="B548" s="1">
        <v>45108</v>
      </c>
      <c r="C548" s="1">
        <f t="shared" si="192"/>
        <v>45108</v>
      </c>
      <c r="D548" s="1">
        <f t="shared" si="193"/>
        <v>45122</v>
      </c>
      <c r="E548" s="1">
        <f t="shared" si="194"/>
        <v>45122</v>
      </c>
      <c r="F548" s="1">
        <f t="shared" si="195"/>
        <v>45139</v>
      </c>
      <c r="G548" s="1">
        <f t="shared" si="196"/>
        <v>45488</v>
      </c>
      <c r="H548">
        <f t="shared" si="197"/>
        <v>366</v>
      </c>
      <c r="I548">
        <f t="shared" si="198"/>
        <v>17</v>
      </c>
      <c r="J548">
        <f t="shared" si="199"/>
        <v>4.6448087431693992E-2</v>
      </c>
      <c r="K548">
        <f>IFERROR($J548/IF($A548&lt;COUNTIFS($K$1:K$1,"&lt;&gt;"),0,SUMIFS($J:$J,$B:$B,$B548,$A:$A,"&gt;="&amp;COUNTIFS($K$1:K$1,"&lt;&gt;"))),0)</f>
        <v>0</v>
      </c>
      <c r="L548">
        <f>IFERROR($J548/IF($A548&lt;COUNTIFS($K$1:L$1,"&lt;&gt;"),0,SUMIFS($J:$J,$B:$B,$B548,$A:$A,"&gt;="&amp;COUNTIFS($K$1:L$1,"&lt;&gt;"))),0)</f>
        <v>0</v>
      </c>
      <c r="M548">
        <f>IFERROR($J548/IF($A548&lt;COUNTIFS($K$1:M$1,"&lt;&gt;"),0,SUMIFS($J:$J,$B:$B,$B548,$A:$A,"&gt;="&amp;COUNTIFS($K$1:M$1,"&lt;&gt;"))),0)</f>
        <v>0</v>
      </c>
      <c r="N548">
        <f>IFERROR($J548/IF($A548&lt;COUNTIFS($K$1:N$1,"&lt;&gt;"),0,SUMIFS($J:$J,$B:$B,$B548,$A:$A,"&gt;="&amp;COUNTIFS($K$1:N$1,"&lt;&gt;"))),0)</f>
        <v>0</v>
      </c>
      <c r="O548">
        <f>IFERROR($J548/IF($A548&lt;COUNTIFS($K$1:O$1,"&lt;&gt;"),0,SUMIFS($J:$J,$B:$B,$B548,$A:$A,"&gt;="&amp;COUNTIFS($K$1:O$1,"&lt;&gt;"))),0)</f>
        <v>0</v>
      </c>
      <c r="P548">
        <f>IFERROR($J548/IF($A548&lt;COUNTIFS($K$1:P$1,"&lt;&gt;"),0,SUMIFS($J:$J,$B:$B,$B548,$A:$A,"&gt;="&amp;COUNTIFS($K$1:P$1,"&lt;&gt;"))),0)</f>
        <v>0</v>
      </c>
      <c r="Q548">
        <f>IFERROR($J548/IF($A548&lt;COUNTIFS($K$1:Q$1,"&lt;&gt;"),0,SUMIFS($J:$J,$B:$B,$B548,$A:$A,"&gt;="&amp;COUNTIFS($K$1:Q$1,"&lt;&gt;"))),0)</f>
        <v>0</v>
      </c>
      <c r="R548">
        <f>IFERROR($J548/IF($A548&lt;COUNTIFS($K$1:R$1,"&lt;&gt;"),0,SUMIFS($J:$J,$B:$B,$B548,$A:$A,"&gt;="&amp;COUNTIFS($K$1:R$1,"&lt;&gt;"))),0)</f>
        <v>0</v>
      </c>
      <c r="S548">
        <f>IFERROR($J548/IF($A548&lt;COUNTIFS($K$1:S$1,"&lt;&gt;"),0,SUMIFS($J:$J,$B:$B,$B548,$A:$A,"&gt;="&amp;COUNTIFS($K$1:S$1,"&lt;&gt;"))),0)</f>
        <v>0</v>
      </c>
      <c r="T548">
        <f>IFERROR($J548/IF($A548&lt;COUNTIFS($K$1:T$1,"&lt;&gt;"),0,SUMIFS($J:$J,$B:$B,$B548,$A:$A,"&gt;="&amp;COUNTIFS($K$1:T$1,"&lt;&gt;"))),0)</f>
        <v>0</v>
      </c>
      <c r="U548">
        <f>IFERROR($J548/IF($A548&lt;COUNTIFS($K$1:U$1,"&lt;&gt;"),0,SUMIFS($J:$J,$B:$B,$B548,$A:$A,"&gt;="&amp;COUNTIFS($K$1:U$1,"&lt;&gt;"))),0)</f>
        <v>0</v>
      </c>
      <c r="V548">
        <f>IFERROR($J548/IF($A548&lt;COUNTIFS($K$1:V$1,"&lt;&gt;"),0,SUMIFS($J:$J,$B:$B,$B548,$A:$A,"&gt;="&amp;COUNTIFS($K$1:V$1,"&lt;&gt;"))),0)</f>
        <v>0</v>
      </c>
      <c r="W548">
        <f t="shared" si="200"/>
        <v>4.6448087431693992E-2</v>
      </c>
      <c r="X548">
        <f t="shared" si="180"/>
        <v>0</v>
      </c>
      <c r="Y548">
        <f t="shared" si="181"/>
        <v>0</v>
      </c>
      <c r="Z548">
        <f t="shared" si="182"/>
        <v>0</v>
      </c>
      <c r="AA548">
        <f t="shared" si="183"/>
        <v>0</v>
      </c>
      <c r="AB548">
        <f t="shared" si="184"/>
        <v>0</v>
      </c>
      <c r="AC548">
        <f t="shared" si="185"/>
        <v>0</v>
      </c>
      <c r="AD548">
        <f t="shared" si="186"/>
        <v>0</v>
      </c>
      <c r="AE548">
        <f t="shared" si="187"/>
        <v>0</v>
      </c>
      <c r="AF548">
        <f t="shared" si="188"/>
        <v>0</v>
      </c>
      <c r="AG548">
        <f t="shared" si="189"/>
        <v>0</v>
      </c>
      <c r="AH548">
        <f t="shared" si="190"/>
        <v>0</v>
      </c>
      <c r="AI548">
        <f t="shared" si="191"/>
        <v>0</v>
      </c>
      <c r="AJ548" s="2" t="str">
        <f t="shared" si="201"/>
        <v>045108</v>
      </c>
    </row>
    <row r="549" spans="1:36" x14ac:dyDescent="0.25">
      <c r="A549">
        <v>1</v>
      </c>
      <c r="B549" s="1">
        <v>45108</v>
      </c>
      <c r="C549" s="1">
        <f t="shared" si="192"/>
        <v>45139</v>
      </c>
      <c r="D549" s="1">
        <f t="shared" si="193"/>
        <v>45122</v>
      </c>
      <c r="E549" s="1">
        <f t="shared" si="194"/>
        <v>45139</v>
      </c>
      <c r="F549" s="1">
        <f t="shared" si="195"/>
        <v>45170</v>
      </c>
      <c r="G549" s="1">
        <f t="shared" si="196"/>
        <v>45488</v>
      </c>
      <c r="H549">
        <f t="shared" si="197"/>
        <v>366</v>
      </c>
      <c r="I549">
        <f t="shared" si="198"/>
        <v>31</v>
      </c>
      <c r="J549">
        <f t="shared" si="199"/>
        <v>8.4699453551912565E-2</v>
      </c>
      <c r="K549">
        <f>IFERROR($J549/IF($A549&lt;COUNTIFS($K$1:K$1,"&lt;&gt;"),0,SUMIFS($J:$J,$B:$B,$B549,$A:$A,"&gt;="&amp;COUNTIFS($K$1:K$1,"&lt;&gt;"))),0)</f>
        <v>8.882521489971347E-2</v>
      </c>
      <c r="L549">
        <f>IFERROR($J549/IF($A549&lt;COUNTIFS($K$1:L$1,"&lt;&gt;"),0,SUMIFS($J:$J,$B:$B,$B549,$A:$A,"&gt;="&amp;COUNTIFS($K$1:L$1,"&lt;&gt;"))),0)</f>
        <v>0</v>
      </c>
      <c r="M549">
        <f>IFERROR($J549/IF($A549&lt;COUNTIFS($K$1:M$1,"&lt;&gt;"),0,SUMIFS($J:$J,$B:$B,$B549,$A:$A,"&gt;="&amp;COUNTIFS($K$1:M$1,"&lt;&gt;"))),0)</f>
        <v>0</v>
      </c>
      <c r="N549">
        <f>IFERROR($J549/IF($A549&lt;COUNTIFS($K$1:N$1,"&lt;&gt;"),0,SUMIFS($J:$J,$B:$B,$B549,$A:$A,"&gt;="&amp;COUNTIFS($K$1:N$1,"&lt;&gt;"))),0)</f>
        <v>0</v>
      </c>
      <c r="O549">
        <f>IFERROR($J549/IF($A549&lt;COUNTIFS($K$1:O$1,"&lt;&gt;"),0,SUMIFS($J:$J,$B:$B,$B549,$A:$A,"&gt;="&amp;COUNTIFS($K$1:O$1,"&lt;&gt;"))),0)</f>
        <v>0</v>
      </c>
      <c r="P549">
        <f>IFERROR($J549/IF($A549&lt;COUNTIFS($K$1:P$1,"&lt;&gt;"),0,SUMIFS($J:$J,$B:$B,$B549,$A:$A,"&gt;="&amp;COUNTIFS($K$1:P$1,"&lt;&gt;"))),0)</f>
        <v>0</v>
      </c>
      <c r="Q549">
        <f>IFERROR($J549/IF($A549&lt;COUNTIFS($K$1:Q$1,"&lt;&gt;"),0,SUMIFS($J:$J,$B:$B,$B549,$A:$A,"&gt;="&amp;COUNTIFS($K$1:Q$1,"&lt;&gt;"))),0)</f>
        <v>0</v>
      </c>
      <c r="R549">
        <f>IFERROR($J549/IF($A549&lt;COUNTIFS($K$1:R$1,"&lt;&gt;"),0,SUMIFS($J:$J,$B:$B,$B549,$A:$A,"&gt;="&amp;COUNTIFS($K$1:R$1,"&lt;&gt;"))),0)</f>
        <v>0</v>
      </c>
      <c r="S549">
        <f>IFERROR($J549/IF($A549&lt;COUNTIFS($K$1:S$1,"&lt;&gt;"),0,SUMIFS($J:$J,$B:$B,$B549,$A:$A,"&gt;="&amp;COUNTIFS($K$1:S$1,"&lt;&gt;"))),0)</f>
        <v>0</v>
      </c>
      <c r="T549">
        <f>IFERROR($J549/IF($A549&lt;COUNTIFS($K$1:T$1,"&lt;&gt;"),0,SUMIFS($J:$J,$B:$B,$B549,$A:$A,"&gt;="&amp;COUNTIFS($K$1:T$1,"&lt;&gt;"))),0)</f>
        <v>0</v>
      </c>
      <c r="U549">
        <f>IFERROR($J549/IF($A549&lt;COUNTIFS($K$1:U$1,"&lt;&gt;"),0,SUMIFS($J:$J,$B:$B,$B549,$A:$A,"&gt;="&amp;COUNTIFS($K$1:U$1,"&lt;&gt;"))),0)</f>
        <v>0</v>
      </c>
      <c r="V549">
        <f>IFERROR($J549/IF($A549&lt;COUNTIFS($K$1:V$1,"&lt;&gt;"),0,SUMIFS($J:$J,$B:$B,$B549,$A:$A,"&gt;="&amp;COUNTIFS($K$1:V$1,"&lt;&gt;"))),0)</f>
        <v>0</v>
      </c>
      <c r="W549">
        <f t="shared" si="200"/>
        <v>8.4699453551912565E-2</v>
      </c>
      <c r="X549">
        <f t="shared" si="180"/>
        <v>8.4699453551912565E-2</v>
      </c>
      <c r="Y549">
        <f t="shared" si="181"/>
        <v>0</v>
      </c>
      <c r="Z549">
        <f t="shared" si="182"/>
        <v>0</v>
      </c>
      <c r="AA549">
        <f t="shared" si="183"/>
        <v>0</v>
      </c>
      <c r="AB549">
        <f t="shared" si="184"/>
        <v>0</v>
      </c>
      <c r="AC549">
        <f t="shared" si="185"/>
        <v>0</v>
      </c>
      <c r="AD549">
        <f t="shared" si="186"/>
        <v>0</v>
      </c>
      <c r="AE549">
        <f t="shared" si="187"/>
        <v>0</v>
      </c>
      <c r="AF549">
        <f t="shared" si="188"/>
        <v>0</v>
      </c>
      <c r="AG549">
        <f t="shared" si="189"/>
        <v>0</v>
      </c>
      <c r="AH549">
        <f t="shared" si="190"/>
        <v>0</v>
      </c>
      <c r="AI549">
        <f t="shared" si="191"/>
        <v>0</v>
      </c>
      <c r="AJ549" s="2" t="str">
        <f t="shared" si="201"/>
        <v>145108</v>
      </c>
    </row>
    <row r="550" spans="1:36" x14ac:dyDescent="0.25">
      <c r="A550">
        <v>2</v>
      </c>
      <c r="B550" s="1">
        <v>45108</v>
      </c>
      <c r="C550" s="1">
        <f t="shared" si="192"/>
        <v>45170</v>
      </c>
      <c r="D550" s="1">
        <f t="shared" si="193"/>
        <v>45122</v>
      </c>
      <c r="E550" s="1">
        <f t="shared" si="194"/>
        <v>45170</v>
      </c>
      <c r="F550" s="1">
        <f t="shared" si="195"/>
        <v>45200</v>
      </c>
      <c r="G550" s="1">
        <f t="shared" si="196"/>
        <v>45488</v>
      </c>
      <c r="H550">
        <f t="shared" si="197"/>
        <v>366</v>
      </c>
      <c r="I550">
        <f t="shared" si="198"/>
        <v>30</v>
      </c>
      <c r="J550">
        <f t="shared" si="199"/>
        <v>8.1967213114754092E-2</v>
      </c>
      <c r="K550">
        <f>IFERROR($J550/IF($A550&lt;COUNTIFS($K$1:K$1,"&lt;&gt;"),0,SUMIFS($J:$J,$B:$B,$B550,$A:$A,"&gt;="&amp;COUNTIFS($K$1:K$1,"&lt;&gt;"))),0)</f>
        <v>8.5959885386819479E-2</v>
      </c>
      <c r="L550">
        <f>IFERROR($J550/IF($A550&lt;COUNTIFS($K$1:L$1,"&lt;&gt;"),0,SUMIFS($J:$J,$B:$B,$B550,$A:$A,"&gt;="&amp;COUNTIFS($K$1:L$1,"&lt;&gt;"))),0)</f>
        <v>9.4339622641509427E-2</v>
      </c>
      <c r="M550">
        <f>IFERROR($J550/IF($A550&lt;COUNTIFS($K$1:M$1,"&lt;&gt;"),0,SUMIFS($J:$J,$B:$B,$B550,$A:$A,"&gt;="&amp;COUNTIFS($K$1:M$1,"&lt;&gt;"))),0)</f>
        <v>0</v>
      </c>
      <c r="N550">
        <f>IFERROR($J550/IF($A550&lt;COUNTIFS($K$1:N$1,"&lt;&gt;"),0,SUMIFS($J:$J,$B:$B,$B550,$A:$A,"&gt;="&amp;COUNTIFS($K$1:N$1,"&lt;&gt;"))),0)</f>
        <v>0</v>
      </c>
      <c r="O550">
        <f>IFERROR($J550/IF($A550&lt;COUNTIFS($K$1:O$1,"&lt;&gt;"),0,SUMIFS($J:$J,$B:$B,$B550,$A:$A,"&gt;="&amp;COUNTIFS($K$1:O$1,"&lt;&gt;"))),0)</f>
        <v>0</v>
      </c>
      <c r="P550">
        <f>IFERROR($J550/IF($A550&lt;COUNTIFS($K$1:P$1,"&lt;&gt;"),0,SUMIFS($J:$J,$B:$B,$B550,$A:$A,"&gt;="&amp;COUNTIFS($K$1:P$1,"&lt;&gt;"))),0)</f>
        <v>0</v>
      </c>
      <c r="Q550">
        <f>IFERROR($J550/IF($A550&lt;COUNTIFS($K$1:Q$1,"&lt;&gt;"),0,SUMIFS($J:$J,$B:$B,$B550,$A:$A,"&gt;="&amp;COUNTIFS($K$1:Q$1,"&lt;&gt;"))),0)</f>
        <v>0</v>
      </c>
      <c r="R550">
        <f>IFERROR($J550/IF($A550&lt;COUNTIFS($K$1:R$1,"&lt;&gt;"),0,SUMIFS($J:$J,$B:$B,$B550,$A:$A,"&gt;="&amp;COUNTIFS($K$1:R$1,"&lt;&gt;"))),0)</f>
        <v>0</v>
      </c>
      <c r="S550">
        <f>IFERROR($J550/IF($A550&lt;COUNTIFS($K$1:S$1,"&lt;&gt;"),0,SUMIFS($J:$J,$B:$B,$B550,$A:$A,"&gt;="&amp;COUNTIFS($K$1:S$1,"&lt;&gt;"))),0)</f>
        <v>0</v>
      </c>
      <c r="T550">
        <f>IFERROR($J550/IF($A550&lt;COUNTIFS($K$1:T$1,"&lt;&gt;"),0,SUMIFS($J:$J,$B:$B,$B550,$A:$A,"&gt;="&amp;COUNTIFS($K$1:T$1,"&lt;&gt;"))),0)</f>
        <v>0</v>
      </c>
      <c r="U550">
        <f>IFERROR($J550/IF($A550&lt;COUNTIFS($K$1:U$1,"&lt;&gt;"),0,SUMIFS($J:$J,$B:$B,$B550,$A:$A,"&gt;="&amp;COUNTIFS($K$1:U$1,"&lt;&gt;"))),0)</f>
        <v>0</v>
      </c>
      <c r="V550">
        <f>IFERROR($J550/IF($A550&lt;COUNTIFS($K$1:V$1,"&lt;&gt;"),0,SUMIFS($J:$J,$B:$B,$B550,$A:$A,"&gt;="&amp;COUNTIFS($K$1:V$1,"&lt;&gt;"))),0)</f>
        <v>0</v>
      </c>
      <c r="W550">
        <f t="shared" si="200"/>
        <v>8.1967213114754092E-2</v>
      </c>
      <c r="X550">
        <f t="shared" si="180"/>
        <v>8.1967213114754092E-2</v>
      </c>
      <c r="Y550">
        <f t="shared" si="181"/>
        <v>8.1967213114754092E-2</v>
      </c>
      <c r="Z550">
        <f t="shared" si="182"/>
        <v>0</v>
      </c>
      <c r="AA550">
        <f t="shared" si="183"/>
        <v>0</v>
      </c>
      <c r="AB550">
        <f t="shared" si="184"/>
        <v>0</v>
      </c>
      <c r="AC550">
        <f t="shared" si="185"/>
        <v>0</v>
      </c>
      <c r="AD550">
        <f t="shared" si="186"/>
        <v>0</v>
      </c>
      <c r="AE550">
        <f t="shared" si="187"/>
        <v>0</v>
      </c>
      <c r="AF550">
        <f t="shared" si="188"/>
        <v>0</v>
      </c>
      <c r="AG550">
        <f t="shared" si="189"/>
        <v>0</v>
      </c>
      <c r="AH550">
        <f t="shared" si="190"/>
        <v>0</v>
      </c>
      <c r="AI550">
        <f t="shared" si="191"/>
        <v>0</v>
      </c>
      <c r="AJ550" s="2" t="str">
        <f t="shared" si="201"/>
        <v>245108</v>
      </c>
    </row>
    <row r="551" spans="1:36" x14ac:dyDescent="0.25">
      <c r="A551">
        <v>3</v>
      </c>
      <c r="B551" s="1">
        <v>45108</v>
      </c>
      <c r="C551" s="1">
        <f t="shared" si="192"/>
        <v>45200</v>
      </c>
      <c r="D551" s="1">
        <f t="shared" si="193"/>
        <v>45122</v>
      </c>
      <c r="E551" s="1">
        <f t="shared" si="194"/>
        <v>45200</v>
      </c>
      <c r="F551" s="1">
        <f t="shared" si="195"/>
        <v>45231</v>
      </c>
      <c r="G551" s="1">
        <f t="shared" si="196"/>
        <v>45488</v>
      </c>
      <c r="H551">
        <f t="shared" si="197"/>
        <v>366</v>
      </c>
      <c r="I551">
        <f t="shared" si="198"/>
        <v>31</v>
      </c>
      <c r="J551">
        <f t="shared" si="199"/>
        <v>8.4699453551912565E-2</v>
      </c>
      <c r="K551">
        <f>IFERROR($J551/IF($A551&lt;COUNTIFS($K$1:K$1,"&lt;&gt;"),0,SUMIFS($J:$J,$B:$B,$B551,$A:$A,"&gt;="&amp;COUNTIFS($K$1:K$1,"&lt;&gt;"))),0)</f>
        <v>8.882521489971347E-2</v>
      </c>
      <c r="L551">
        <f>IFERROR($J551/IF($A551&lt;COUNTIFS($K$1:L$1,"&lt;&gt;"),0,SUMIFS($J:$J,$B:$B,$B551,$A:$A,"&gt;="&amp;COUNTIFS($K$1:L$1,"&lt;&gt;"))),0)</f>
        <v>9.7484276729559755E-2</v>
      </c>
      <c r="M551">
        <f>IFERROR($J551/IF($A551&lt;COUNTIFS($K$1:M$1,"&lt;&gt;"),0,SUMIFS($J:$J,$B:$B,$B551,$A:$A,"&gt;="&amp;COUNTIFS($K$1:M$1,"&lt;&gt;"))),0)</f>
        <v>0.10763888888888888</v>
      </c>
      <c r="N551">
        <f>IFERROR($J551/IF($A551&lt;COUNTIFS($K$1:N$1,"&lt;&gt;"),0,SUMIFS($J:$J,$B:$B,$B551,$A:$A,"&gt;="&amp;COUNTIFS($K$1:N$1,"&lt;&gt;"))),0)</f>
        <v>0</v>
      </c>
      <c r="O551">
        <f>IFERROR($J551/IF($A551&lt;COUNTIFS($K$1:O$1,"&lt;&gt;"),0,SUMIFS($J:$J,$B:$B,$B551,$A:$A,"&gt;="&amp;COUNTIFS($K$1:O$1,"&lt;&gt;"))),0)</f>
        <v>0</v>
      </c>
      <c r="P551">
        <f>IFERROR($J551/IF($A551&lt;COUNTIFS($K$1:P$1,"&lt;&gt;"),0,SUMIFS($J:$J,$B:$B,$B551,$A:$A,"&gt;="&amp;COUNTIFS($K$1:P$1,"&lt;&gt;"))),0)</f>
        <v>0</v>
      </c>
      <c r="Q551">
        <f>IFERROR($J551/IF($A551&lt;COUNTIFS($K$1:Q$1,"&lt;&gt;"),0,SUMIFS($J:$J,$B:$B,$B551,$A:$A,"&gt;="&amp;COUNTIFS($K$1:Q$1,"&lt;&gt;"))),0)</f>
        <v>0</v>
      </c>
      <c r="R551">
        <f>IFERROR($J551/IF($A551&lt;COUNTIFS($K$1:R$1,"&lt;&gt;"),0,SUMIFS($J:$J,$B:$B,$B551,$A:$A,"&gt;="&amp;COUNTIFS($K$1:R$1,"&lt;&gt;"))),0)</f>
        <v>0</v>
      </c>
      <c r="S551">
        <f>IFERROR($J551/IF($A551&lt;COUNTIFS($K$1:S$1,"&lt;&gt;"),0,SUMIFS($J:$J,$B:$B,$B551,$A:$A,"&gt;="&amp;COUNTIFS($K$1:S$1,"&lt;&gt;"))),0)</f>
        <v>0</v>
      </c>
      <c r="T551">
        <f>IFERROR($J551/IF($A551&lt;COUNTIFS($K$1:T$1,"&lt;&gt;"),0,SUMIFS($J:$J,$B:$B,$B551,$A:$A,"&gt;="&amp;COUNTIFS($K$1:T$1,"&lt;&gt;"))),0)</f>
        <v>0</v>
      </c>
      <c r="U551">
        <f>IFERROR($J551/IF($A551&lt;COUNTIFS($K$1:U$1,"&lt;&gt;"),0,SUMIFS($J:$J,$B:$B,$B551,$A:$A,"&gt;="&amp;COUNTIFS($K$1:U$1,"&lt;&gt;"))),0)</f>
        <v>0</v>
      </c>
      <c r="V551">
        <f>IFERROR($J551/IF($A551&lt;COUNTIFS($K$1:V$1,"&lt;&gt;"),0,SUMIFS($J:$J,$B:$B,$B551,$A:$A,"&gt;="&amp;COUNTIFS($K$1:V$1,"&lt;&gt;"))),0)</f>
        <v>0</v>
      </c>
      <c r="W551">
        <f t="shared" si="200"/>
        <v>8.4699453551912565E-2</v>
      </c>
      <c r="X551">
        <f t="shared" si="180"/>
        <v>8.4699453551912565E-2</v>
      </c>
      <c r="Y551">
        <f t="shared" si="181"/>
        <v>8.4699453551912565E-2</v>
      </c>
      <c r="Z551">
        <f t="shared" si="182"/>
        <v>8.4699453551912565E-2</v>
      </c>
      <c r="AA551">
        <f t="shared" si="183"/>
        <v>0</v>
      </c>
      <c r="AB551">
        <f t="shared" si="184"/>
        <v>0</v>
      </c>
      <c r="AC551">
        <f t="shared" si="185"/>
        <v>0</v>
      </c>
      <c r="AD551">
        <f t="shared" si="186"/>
        <v>0</v>
      </c>
      <c r="AE551">
        <f t="shared" si="187"/>
        <v>0</v>
      </c>
      <c r="AF551">
        <f t="shared" si="188"/>
        <v>0</v>
      </c>
      <c r="AG551">
        <f t="shared" si="189"/>
        <v>0</v>
      </c>
      <c r="AH551">
        <f t="shared" si="190"/>
        <v>0</v>
      </c>
      <c r="AI551">
        <f t="shared" si="191"/>
        <v>0</v>
      </c>
      <c r="AJ551" s="2" t="str">
        <f t="shared" si="201"/>
        <v>345108</v>
      </c>
    </row>
    <row r="552" spans="1:36" x14ac:dyDescent="0.25">
      <c r="A552">
        <v>4</v>
      </c>
      <c r="B552" s="1">
        <v>45108</v>
      </c>
      <c r="C552" s="1">
        <f t="shared" si="192"/>
        <v>45231</v>
      </c>
      <c r="D552" s="1">
        <f t="shared" si="193"/>
        <v>45122</v>
      </c>
      <c r="E552" s="1">
        <f t="shared" si="194"/>
        <v>45231</v>
      </c>
      <c r="F552" s="1">
        <f t="shared" si="195"/>
        <v>45261</v>
      </c>
      <c r="G552" s="1">
        <f t="shared" si="196"/>
        <v>45488</v>
      </c>
      <c r="H552">
        <f t="shared" si="197"/>
        <v>366</v>
      </c>
      <c r="I552">
        <f t="shared" si="198"/>
        <v>30</v>
      </c>
      <c r="J552">
        <f t="shared" si="199"/>
        <v>8.1967213114754092E-2</v>
      </c>
      <c r="K552">
        <f>IFERROR($J552/IF($A552&lt;COUNTIFS($K$1:K$1,"&lt;&gt;"),0,SUMIFS($J:$J,$B:$B,$B552,$A:$A,"&gt;="&amp;COUNTIFS($K$1:K$1,"&lt;&gt;"))),0)</f>
        <v>8.5959885386819479E-2</v>
      </c>
      <c r="L552">
        <f>IFERROR($J552/IF($A552&lt;COUNTIFS($K$1:L$1,"&lt;&gt;"),0,SUMIFS($J:$J,$B:$B,$B552,$A:$A,"&gt;="&amp;COUNTIFS($K$1:L$1,"&lt;&gt;"))),0)</f>
        <v>9.4339622641509427E-2</v>
      </c>
      <c r="M552">
        <f>IFERROR($J552/IF($A552&lt;COUNTIFS($K$1:M$1,"&lt;&gt;"),0,SUMIFS($J:$J,$B:$B,$B552,$A:$A,"&gt;="&amp;COUNTIFS($K$1:M$1,"&lt;&gt;"))),0)</f>
        <v>0.10416666666666666</v>
      </c>
      <c r="N552">
        <f>IFERROR($J552/IF($A552&lt;COUNTIFS($K$1:N$1,"&lt;&gt;"),0,SUMIFS($J:$J,$B:$B,$B552,$A:$A,"&gt;="&amp;COUNTIFS($K$1:N$1,"&lt;&gt;"))),0)</f>
        <v>0.11673151750972761</v>
      </c>
      <c r="O552">
        <f>IFERROR($J552/IF($A552&lt;COUNTIFS($K$1:O$1,"&lt;&gt;"),0,SUMIFS($J:$J,$B:$B,$B552,$A:$A,"&gt;="&amp;COUNTIFS($K$1:O$1,"&lt;&gt;"))),0)</f>
        <v>0</v>
      </c>
      <c r="P552">
        <f>IFERROR($J552/IF($A552&lt;COUNTIFS($K$1:P$1,"&lt;&gt;"),0,SUMIFS($J:$J,$B:$B,$B552,$A:$A,"&gt;="&amp;COUNTIFS($K$1:P$1,"&lt;&gt;"))),0)</f>
        <v>0</v>
      </c>
      <c r="Q552">
        <f>IFERROR($J552/IF($A552&lt;COUNTIFS($K$1:Q$1,"&lt;&gt;"),0,SUMIFS($J:$J,$B:$B,$B552,$A:$A,"&gt;="&amp;COUNTIFS($K$1:Q$1,"&lt;&gt;"))),0)</f>
        <v>0</v>
      </c>
      <c r="R552">
        <f>IFERROR($J552/IF($A552&lt;COUNTIFS($K$1:R$1,"&lt;&gt;"),0,SUMIFS($J:$J,$B:$B,$B552,$A:$A,"&gt;="&amp;COUNTIFS($K$1:R$1,"&lt;&gt;"))),0)</f>
        <v>0</v>
      </c>
      <c r="S552">
        <f>IFERROR($J552/IF($A552&lt;COUNTIFS($K$1:S$1,"&lt;&gt;"),0,SUMIFS($J:$J,$B:$B,$B552,$A:$A,"&gt;="&amp;COUNTIFS($K$1:S$1,"&lt;&gt;"))),0)</f>
        <v>0</v>
      </c>
      <c r="T552">
        <f>IFERROR($J552/IF($A552&lt;COUNTIFS($K$1:T$1,"&lt;&gt;"),0,SUMIFS($J:$J,$B:$B,$B552,$A:$A,"&gt;="&amp;COUNTIFS($K$1:T$1,"&lt;&gt;"))),0)</f>
        <v>0</v>
      </c>
      <c r="U552">
        <f>IFERROR($J552/IF($A552&lt;COUNTIFS($K$1:U$1,"&lt;&gt;"),0,SUMIFS($J:$J,$B:$B,$B552,$A:$A,"&gt;="&amp;COUNTIFS($K$1:U$1,"&lt;&gt;"))),0)</f>
        <v>0</v>
      </c>
      <c r="V552">
        <f>IFERROR($J552/IF($A552&lt;COUNTIFS($K$1:V$1,"&lt;&gt;"),0,SUMIFS($J:$J,$B:$B,$B552,$A:$A,"&gt;="&amp;COUNTIFS($K$1:V$1,"&lt;&gt;"))),0)</f>
        <v>0</v>
      </c>
      <c r="W552">
        <f t="shared" si="200"/>
        <v>8.1967213114754092E-2</v>
      </c>
      <c r="X552">
        <f t="shared" si="180"/>
        <v>8.1967213114754092E-2</v>
      </c>
      <c r="Y552">
        <f t="shared" si="181"/>
        <v>8.1967213114754092E-2</v>
      </c>
      <c r="Z552">
        <f t="shared" si="182"/>
        <v>8.1967213114754092E-2</v>
      </c>
      <c r="AA552">
        <f t="shared" si="183"/>
        <v>8.1967213114754092E-2</v>
      </c>
      <c r="AB552">
        <f t="shared" si="184"/>
        <v>0</v>
      </c>
      <c r="AC552">
        <f t="shared" si="185"/>
        <v>0</v>
      </c>
      <c r="AD552">
        <f t="shared" si="186"/>
        <v>0</v>
      </c>
      <c r="AE552">
        <f t="shared" si="187"/>
        <v>0</v>
      </c>
      <c r="AF552">
        <f t="shared" si="188"/>
        <v>0</v>
      </c>
      <c r="AG552">
        <f t="shared" si="189"/>
        <v>0</v>
      </c>
      <c r="AH552">
        <f t="shared" si="190"/>
        <v>0</v>
      </c>
      <c r="AI552">
        <f t="shared" si="191"/>
        <v>0</v>
      </c>
      <c r="AJ552" s="2" t="str">
        <f t="shared" si="201"/>
        <v>445108</v>
      </c>
    </row>
    <row r="553" spans="1:36" x14ac:dyDescent="0.25">
      <c r="A553">
        <v>5</v>
      </c>
      <c r="B553" s="1">
        <v>45108</v>
      </c>
      <c r="C553" s="1">
        <f t="shared" si="192"/>
        <v>45261</v>
      </c>
      <c r="D553" s="1">
        <f t="shared" si="193"/>
        <v>45122</v>
      </c>
      <c r="E553" s="1">
        <f t="shared" si="194"/>
        <v>45261</v>
      </c>
      <c r="F553" s="1">
        <f t="shared" si="195"/>
        <v>45292</v>
      </c>
      <c r="G553" s="1">
        <f t="shared" si="196"/>
        <v>45488</v>
      </c>
      <c r="H553">
        <f t="shared" si="197"/>
        <v>366</v>
      </c>
      <c r="I553">
        <f t="shared" si="198"/>
        <v>31</v>
      </c>
      <c r="J553">
        <f t="shared" si="199"/>
        <v>8.4699453551912565E-2</v>
      </c>
      <c r="K553">
        <f>IFERROR($J553/IF($A553&lt;COUNTIFS($K$1:K$1,"&lt;&gt;"),0,SUMIFS($J:$J,$B:$B,$B553,$A:$A,"&gt;="&amp;COUNTIFS($K$1:K$1,"&lt;&gt;"))),0)</f>
        <v>8.882521489971347E-2</v>
      </c>
      <c r="L553">
        <f>IFERROR($J553/IF($A553&lt;COUNTIFS($K$1:L$1,"&lt;&gt;"),0,SUMIFS($J:$J,$B:$B,$B553,$A:$A,"&gt;="&amp;COUNTIFS($K$1:L$1,"&lt;&gt;"))),0)</f>
        <v>9.7484276729559755E-2</v>
      </c>
      <c r="M553">
        <f>IFERROR($J553/IF($A553&lt;COUNTIFS($K$1:M$1,"&lt;&gt;"),0,SUMIFS($J:$J,$B:$B,$B553,$A:$A,"&gt;="&amp;COUNTIFS($K$1:M$1,"&lt;&gt;"))),0)</f>
        <v>0.10763888888888888</v>
      </c>
      <c r="N553">
        <f>IFERROR($J553/IF($A553&lt;COUNTIFS($K$1:N$1,"&lt;&gt;"),0,SUMIFS($J:$J,$B:$B,$B553,$A:$A,"&gt;="&amp;COUNTIFS($K$1:N$1,"&lt;&gt;"))),0)</f>
        <v>0.12062256809338522</v>
      </c>
      <c r="O553">
        <f>IFERROR($J553/IF($A553&lt;COUNTIFS($K$1:O$1,"&lt;&gt;"),0,SUMIFS($J:$J,$B:$B,$B553,$A:$A,"&gt;="&amp;COUNTIFS($K$1:O$1,"&lt;&gt;"))),0)</f>
        <v>0.13656387665198236</v>
      </c>
      <c r="P553">
        <f>IFERROR($J553/IF($A553&lt;COUNTIFS($K$1:P$1,"&lt;&gt;"),0,SUMIFS($J:$J,$B:$B,$B553,$A:$A,"&gt;="&amp;COUNTIFS($K$1:P$1,"&lt;&gt;"))),0)</f>
        <v>0</v>
      </c>
      <c r="Q553">
        <f>IFERROR($J553/IF($A553&lt;COUNTIFS($K$1:Q$1,"&lt;&gt;"),0,SUMIFS($J:$J,$B:$B,$B553,$A:$A,"&gt;="&amp;COUNTIFS($K$1:Q$1,"&lt;&gt;"))),0)</f>
        <v>0</v>
      </c>
      <c r="R553">
        <f>IFERROR($J553/IF($A553&lt;COUNTIFS($K$1:R$1,"&lt;&gt;"),0,SUMIFS($J:$J,$B:$B,$B553,$A:$A,"&gt;="&amp;COUNTIFS($K$1:R$1,"&lt;&gt;"))),0)</f>
        <v>0</v>
      </c>
      <c r="S553">
        <f>IFERROR($J553/IF($A553&lt;COUNTIFS($K$1:S$1,"&lt;&gt;"),0,SUMIFS($J:$J,$B:$B,$B553,$A:$A,"&gt;="&amp;COUNTIFS($K$1:S$1,"&lt;&gt;"))),0)</f>
        <v>0</v>
      </c>
      <c r="T553">
        <f>IFERROR($J553/IF($A553&lt;COUNTIFS($K$1:T$1,"&lt;&gt;"),0,SUMIFS($J:$J,$B:$B,$B553,$A:$A,"&gt;="&amp;COUNTIFS($K$1:T$1,"&lt;&gt;"))),0)</f>
        <v>0</v>
      </c>
      <c r="U553">
        <f>IFERROR($J553/IF($A553&lt;COUNTIFS($K$1:U$1,"&lt;&gt;"),0,SUMIFS($J:$J,$B:$B,$B553,$A:$A,"&gt;="&amp;COUNTIFS($K$1:U$1,"&lt;&gt;"))),0)</f>
        <v>0</v>
      </c>
      <c r="V553">
        <f>IFERROR($J553/IF($A553&lt;COUNTIFS($K$1:V$1,"&lt;&gt;"),0,SUMIFS($J:$J,$B:$B,$B553,$A:$A,"&gt;="&amp;COUNTIFS($K$1:V$1,"&lt;&gt;"))),0)</f>
        <v>0</v>
      </c>
      <c r="W553">
        <f t="shared" si="200"/>
        <v>8.4699453551912565E-2</v>
      </c>
      <c r="X553">
        <f t="shared" si="180"/>
        <v>8.4699453551912565E-2</v>
      </c>
      <c r="Y553">
        <f t="shared" si="181"/>
        <v>8.4699453551912565E-2</v>
      </c>
      <c r="Z553">
        <f t="shared" si="182"/>
        <v>8.4699453551912565E-2</v>
      </c>
      <c r="AA553">
        <f t="shared" si="183"/>
        <v>8.4699453551912565E-2</v>
      </c>
      <c r="AB553">
        <f t="shared" si="184"/>
        <v>8.4699453551912565E-2</v>
      </c>
      <c r="AC553">
        <f t="shared" si="185"/>
        <v>0</v>
      </c>
      <c r="AD553">
        <f t="shared" si="186"/>
        <v>0</v>
      </c>
      <c r="AE553">
        <f t="shared" si="187"/>
        <v>0</v>
      </c>
      <c r="AF553">
        <f t="shared" si="188"/>
        <v>0</v>
      </c>
      <c r="AG553">
        <f t="shared" si="189"/>
        <v>0</v>
      </c>
      <c r="AH553">
        <f t="shared" si="190"/>
        <v>0</v>
      </c>
      <c r="AI553">
        <f t="shared" si="191"/>
        <v>0</v>
      </c>
      <c r="AJ553" s="2" t="str">
        <f t="shared" si="201"/>
        <v>545108</v>
      </c>
    </row>
    <row r="554" spans="1:36" x14ac:dyDescent="0.25">
      <c r="A554">
        <v>6</v>
      </c>
      <c r="B554" s="1">
        <v>45108</v>
      </c>
      <c r="C554" s="1">
        <f t="shared" si="192"/>
        <v>45292</v>
      </c>
      <c r="D554" s="1">
        <f t="shared" si="193"/>
        <v>45122</v>
      </c>
      <c r="E554" s="1">
        <f t="shared" si="194"/>
        <v>45292</v>
      </c>
      <c r="F554" s="1">
        <f t="shared" si="195"/>
        <v>45323</v>
      </c>
      <c r="G554" s="1">
        <f t="shared" si="196"/>
        <v>45488</v>
      </c>
      <c r="H554">
        <f t="shared" si="197"/>
        <v>366</v>
      </c>
      <c r="I554">
        <f t="shared" si="198"/>
        <v>31</v>
      </c>
      <c r="J554">
        <f t="shared" si="199"/>
        <v>8.4699453551912565E-2</v>
      </c>
      <c r="K554">
        <f>IFERROR($J554/IF($A554&lt;COUNTIFS($K$1:K$1,"&lt;&gt;"),0,SUMIFS($J:$J,$B:$B,$B554,$A:$A,"&gt;="&amp;COUNTIFS($K$1:K$1,"&lt;&gt;"))),0)</f>
        <v>8.882521489971347E-2</v>
      </c>
      <c r="L554">
        <f>IFERROR($J554/IF($A554&lt;COUNTIFS($K$1:L$1,"&lt;&gt;"),0,SUMIFS($J:$J,$B:$B,$B554,$A:$A,"&gt;="&amp;COUNTIFS($K$1:L$1,"&lt;&gt;"))),0)</f>
        <v>9.7484276729559755E-2</v>
      </c>
      <c r="M554">
        <f>IFERROR($J554/IF($A554&lt;COUNTIFS($K$1:M$1,"&lt;&gt;"),0,SUMIFS($J:$J,$B:$B,$B554,$A:$A,"&gt;="&amp;COUNTIFS($K$1:M$1,"&lt;&gt;"))),0)</f>
        <v>0.10763888888888888</v>
      </c>
      <c r="N554">
        <f>IFERROR($J554/IF($A554&lt;COUNTIFS($K$1:N$1,"&lt;&gt;"),0,SUMIFS($J:$J,$B:$B,$B554,$A:$A,"&gt;="&amp;COUNTIFS($K$1:N$1,"&lt;&gt;"))),0)</f>
        <v>0.12062256809338522</v>
      </c>
      <c r="O554">
        <f>IFERROR($J554/IF($A554&lt;COUNTIFS($K$1:O$1,"&lt;&gt;"),0,SUMIFS($J:$J,$B:$B,$B554,$A:$A,"&gt;="&amp;COUNTIFS($K$1:O$1,"&lt;&gt;"))),0)</f>
        <v>0.13656387665198236</v>
      </c>
      <c r="P554">
        <f>IFERROR($J554/IF($A554&lt;COUNTIFS($K$1:P$1,"&lt;&gt;"),0,SUMIFS($J:$J,$B:$B,$B554,$A:$A,"&gt;="&amp;COUNTIFS($K$1:P$1,"&lt;&gt;"))),0)</f>
        <v>0.15816326530612246</v>
      </c>
      <c r="Q554">
        <f>IFERROR($J554/IF($A554&lt;COUNTIFS($K$1:Q$1,"&lt;&gt;"),0,SUMIFS($J:$J,$B:$B,$B554,$A:$A,"&gt;="&amp;COUNTIFS($K$1:Q$1,"&lt;&gt;"))),0)</f>
        <v>0</v>
      </c>
      <c r="R554">
        <f>IFERROR($J554/IF($A554&lt;COUNTIFS($K$1:R$1,"&lt;&gt;"),0,SUMIFS($J:$J,$B:$B,$B554,$A:$A,"&gt;="&amp;COUNTIFS($K$1:R$1,"&lt;&gt;"))),0)</f>
        <v>0</v>
      </c>
      <c r="S554">
        <f>IFERROR($J554/IF($A554&lt;COUNTIFS($K$1:S$1,"&lt;&gt;"),0,SUMIFS($J:$J,$B:$B,$B554,$A:$A,"&gt;="&amp;COUNTIFS($K$1:S$1,"&lt;&gt;"))),0)</f>
        <v>0</v>
      </c>
      <c r="T554">
        <f>IFERROR($J554/IF($A554&lt;COUNTIFS($K$1:T$1,"&lt;&gt;"),0,SUMIFS($J:$J,$B:$B,$B554,$A:$A,"&gt;="&amp;COUNTIFS($K$1:T$1,"&lt;&gt;"))),0)</f>
        <v>0</v>
      </c>
      <c r="U554">
        <f>IFERROR($J554/IF($A554&lt;COUNTIFS($K$1:U$1,"&lt;&gt;"),0,SUMIFS($J:$J,$B:$B,$B554,$A:$A,"&gt;="&amp;COUNTIFS($K$1:U$1,"&lt;&gt;"))),0)</f>
        <v>0</v>
      </c>
      <c r="V554">
        <f>IFERROR($J554/IF($A554&lt;COUNTIFS($K$1:V$1,"&lt;&gt;"),0,SUMIFS($J:$J,$B:$B,$B554,$A:$A,"&gt;="&amp;COUNTIFS($K$1:V$1,"&lt;&gt;"))),0)</f>
        <v>0</v>
      </c>
      <c r="W554">
        <f t="shared" si="200"/>
        <v>8.4699453551912565E-2</v>
      </c>
      <c r="X554">
        <f t="shared" si="180"/>
        <v>8.4699453551912565E-2</v>
      </c>
      <c r="Y554">
        <f t="shared" si="181"/>
        <v>8.4699453551912565E-2</v>
      </c>
      <c r="Z554">
        <f t="shared" si="182"/>
        <v>8.4699453551912565E-2</v>
      </c>
      <c r="AA554">
        <f t="shared" si="183"/>
        <v>8.4699453551912565E-2</v>
      </c>
      <c r="AB554">
        <f t="shared" si="184"/>
        <v>8.4699453551912565E-2</v>
      </c>
      <c r="AC554">
        <f t="shared" si="185"/>
        <v>8.4699453551912565E-2</v>
      </c>
      <c r="AD554">
        <f t="shared" si="186"/>
        <v>0</v>
      </c>
      <c r="AE554">
        <f t="shared" si="187"/>
        <v>0</v>
      </c>
      <c r="AF554">
        <f t="shared" si="188"/>
        <v>0</v>
      </c>
      <c r="AG554">
        <f t="shared" si="189"/>
        <v>0</v>
      </c>
      <c r="AH554">
        <f t="shared" si="190"/>
        <v>0</v>
      </c>
      <c r="AI554">
        <f t="shared" si="191"/>
        <v>0</v>
      </c>
      <c r="AJ554" s="2" t="str">
        <f t="shared" si="201"/>
        <v>645108</v>
      </c>
    </row>
    <row r="555" spans="1:36" x14ac:dyDescent="0.25">
      <c r="A555">
        <v>7</v>
      </c>
      <c r="B555" s="1">
        <v>45108</v>
      </c>
      <c r="C555" s="1">
        <f t="shared" si="192"/>
        <v>45323</v>
      </c>
      <c r="D555" s="1">
        <f t="shared" si="193"/>
        <v>45122</v>
      </c>
      <c r="E555" s="1">
        <f t="shared" si="194"/>
        <v>45323</v>
      </c>
      <c r="F555" s="1">
        <f t="shared" si="195"/>
        <v>45352</v>
      </c>
      <c r="G555" s="1">
        <f t="shared" si="196"/>
        <v>45488</v>
      </c>
      <c r="H555">
        <f t="shared" si="197"/>
        <v>366</v>
      </c>
      <c r="I555">
        <f t="shared" si="198"/>
        <v>29</v>
      </c>
      <c r="J555">
        <f t="shared" si="199"/>
        <v>7.9234972677595633E-2</v>
      </c>
      <c r="K555">
        <f>IFERROR($J555/IF($A555&lt;COUNTIFS($K$1:K$1,"&lt;&gt;"),0,SUMIFS($J:$J,$B:$B,$B555,$A:$A,"&gt;="&amp;COUNTIFS($K$1:K$1,"&lt;&gt;"))),0)</f>
        <v>8.3094555873925516E-2</v>
      </c>
      <c r="L555">
        <f>IFERROR($J555/IF($A555&lt;COUNTIFS($K$1:L$1,"&lt;&gt;"),0,SUMIFS($J:$J,$B:$B,$B555,$A:$A,"&gt;="&amp;COUNTIFS($K$1:L$1,"&lt;&gt;"))),0)</f>
        <v>9.1194968553459127E-2</v>
      </c>
      <c r="M555">
        <f>IFERROR($J555/IF($A555&lt;COUNTIFS($K$1:M$1,"&lt;&gt;"),0,SUMIFS($J:$J,$B:$B,$B555,$A:$A,"&gt;="&amp;COUNTIFS($K$1:M$1,"&lt;&gt;"))),0)</f>
        <v>0.10069444444444445</v>
      </c>
      <c r="N555">
        <f>IFERROR($J555/IF($A555&lt;COUNTIFS($K$1:N$1,"&lt;&gt;"),0,SUMIFS($J:$J,$B:$B,$B555,$A:$A,"&gt;="&amp;COUNTIFS($K$1:N$1,"&lt;&gt;"))),0)</f>
        <v>0.11284046692607004</v>
      </c>
      <c r="O555">
        <f>IFERROR($J555/IF($A555&lt;COUNTIFS($K$1:O$1,"&lt;&gt;"),0,SUMIFS($J:$J,$B:$B,$B555,$A:$A,"&gt;="&amp;COUNTIFS($K$1:O$1,"&lt;&gt;"))),0)</f>
        <v>0.1277533039647577</v>
      </c>
      <c r="P555">
        <f>IFERROR($J555/IF($A555&lt;COUNTIFS($K$1:P$1,"&lt;&gt;"),0,SUMIFS($J:$J,$B:$B,$B555,$A:$A,"&gt;="&amp;COUNTIFS($K$1:P$1,"&lt;&gt;"))),0)</f>
        <v>0.14795918367346941</v>
      </c>
      <c r="Q555">
        <f>IFERROR($J555/IF($A555&lt;COUNTIFS($K$1:Q$1,"&lt;&gt;"),0,SUMIFS($J:$J,$B:$B,$B555,$A:$A,"&gt;="&amp;COUNTIFS($K$1:Q$1,"&lt;&gt;"))),0)</f>
        <v>0.17575757575757578</v>
      </c>
      <c r="R555">
        <f>IFERROR($J555/IF($A555&lt;COUNTIFS($K$1:R$1,"&lt;&gt;"),0,SUMIFS($J:$J,$B:$B,$B555,$A:$A,"&gt;="&amp;COUNTIFS($K$1:R$1,"&lt;&gt;"))),0)</f>
        <v>0</v>
      </c>
      <c r="S555">
        <f>IFERROR($J555/IF($A555&lt;COUNTIFS($K$1:S$1,"&lt;&gt;"),0,SUMIFS($J:$J,$B:$B,$B555,$A:$A,"&gt;="&amp;COUNTIFS($K$1:S$1,"&lt;&gt;"))),0)</f>
        <v>0</v>
      </c>
      <c r="T555">
        <f>IFERROR($J555/IF($A555&lt;COUNTIFS($K$1:T$1,"&lt;&gt;"),0,SUMIFS($J:$J,$B:$B,$B555,$A:$A,"&gt;="&amp;COUNTIFS($K$1:T$1,"&lt;&gt;"))),0)</f>
        <v>0</v>
      </c>
      <c r="U555">
        <f>IFERROR($J555/IF($A555&lt;COUNTIFS($K$1:U$1,"&lt;&gt;"),0,SUMIFS($J:$J,$B:$B,$B555,$A:$A,"&gt;="&amp;COUNTIFS($K$1:U$1,"&lt;&gt;"))),0)</f>
        <v>0</v>
      </c>
      <c r="V555">
        <f>IFERROR($J555/IF($A555&lt;COUNTIFS($K$1:V$1,"&lt;&gt;"),0,SUMIFS($J:$J,$B:$B,$B555,$A:$A,"&gt;="&amp;COUNTIFS($K$1:V$1,"&lt;&gt;"))),0)</f>
        <v>0</v>
      </c>
      <c r="W555">
        <f t="shared" si="200"/>
        <v>7.9234972677595633E-2</v>
      </c>
      <c r="X555">
        <f t="shared" si="180"/>
        <v>7.9234972677595633E-2</v>
      </c>
      <c r="Y555">
        <f t="shared" si="181"/>
        <v>7.9234972677595633E-2</v>
      </c>
      <c r="Z555">
        <f t="shared" si="182"/>
        <v>7.9234972677595633E-2</v>
      </c>
      <c r="AA555">
        <f t="shared" si="183"/>
        <v>7.9234972677595633E-2</v>
      </c>
      <c r="AB555">
        <f t="shared" si="184"/>
        <v>7.9234972677595633E-2</v>
      </c>
      <c r="AC555">
        <f t="shared" si="185"/>
        <v>7.9234972677595633E-2</v>
      </c>
      <c r="AD555">
        <f t="shared" si="186"/>
        <v>7.9234972677595633E-2</v>
      </c>
      <c r="AE555">
        <f t="shared" si="187"/>
        <v>0</v>
      </c>
      <c r="AF555">
        <f t="shared" si="188"/>
        <v>0</v>
      </c>
      <c r="AG555">
        <f t="shared" si="189"/>
        <v>0</v>
      </c>
      <c r="AH555">
        <f t="shared" si="190"/>
        <v>0</v>
      </c>
      <c r="AI555">
        <f t="shared" si="191"/>
        <v>0</v>
      </c>
      <c r="AJ555" s="2" t="str">
        <f t="shared" si="201"/>
        <v>745108</v>
      </c>
    </row>
    <row r="556" spans="1:36" x14ac:dyDescent="0.25">
      <c r="A556">
        <v>8</v>
      </c>
      <c r="B556" s="1">
        <v>45108</v>
      </c>
      <c r="C556" s="1">
        <f t="shared" si="192"/>
        <v>45352</v>
      </c>
      <c r="D556" s="1">
        <f t="shared" si="193"/>
        <v>45122</v>
      </c>
      <c r="E556" s="1">
        <f t="shared" si="194"/>
        <v>45352</v>
      </c>
      <c r="F556" s="1">
        <f t="shared" si="195"/>
        <v>45383</v>
      </c>
      <c r="G556" s="1">
        <f t="shared" si="196"/>
        <v>45488</v>
      </c>
      <c r="H556">
        <f t="shared" si="197"/>
        <v>366</v>
      </c>
      <c r="I556">
        <f t="shared" si="198"/>
        <v>31</v>
      </c>
      <c r="J556">
        <f t="shared" si="199"/>
        <v>8.4699453551912565E-2</v>
      </c>
      <c r="K556">
        <f>IFERROR($J556/IF($A556&lt;COUNTIFS($K$1:K$1,"&lt;&gt;"),0,SUMIFS($J:$J,$B:$B,$B556,$A:$A,"&gt;="&amp;COUNTIFS($K$1:K$1,"&lt;&gt;"))),0)</f>
        <v>8.882521489971347E-2</v>
      </c>
      <c r="L556">
        <f>IFERROR($J556/IF($A556&lt;COUNTIFS($K$1:L$1,"&lt;&gt;"),0,SUMIFS($J:$J,$B:$B,$B556,$A:$A,"&gt;="&amp;COUNTIFS($K$1:L$1,"&lt;&gt;"))),0)</f>
        <v>9.7484276729559755E-2</v>
      </c>
      <c r="M556">
        <f>IFERROR($J556/IF($A556&lt;COUNTIFS($K$1:M$1,"&lt;&gt;"),0,SUMIFS($J:$J,$B:$B,$B556,$A:$A,"&gt;="&amp;COUNTIFS($K$1:M$1,"&lt;&gt;"))),0)</f>
        <v>0.10763888888888888</v>
      </c>
      <c r="N556">
        <f>IFERROR($J556/IF($A556&lt;COUNTIFS($K$1:N$1,"&lt;&gt;"),0,SUMIFS($J:$J,$B:$B,$B556,$A:$A,"&gt;="&amp;COUNTIFS($K$1:N$1,"&lt;&gt;"))),0)</f>
        <v>0.12062256809338522</v>
      </c>
      <c r="O556">
        <f>IFERROR($J556/IF($A556&lt;COUNTIFS($K$1:O$1,"&lt;&gt;"),0,SUMIFS($J:$J,$B:$B,$B556,$A:$A,"&gt;="&amp;COUNTIFS($K$1:O$1,"&lt;&gt;"))),0)</f>
        <v>0.13656387665198236</v>
      </c>
      <c r="P556">
        <f>IFERROR($J556/IF($A556&lt;COUNTIFS($K$1:P$1,"&lt;&gt;"),0,SUMIFS($J:$J,$B:$B,$B556,$A:$A,"&gt;="&amp;COUNTIFS($K$1:P$1,"&lt;&gt;"))),0)</f>
        <v>0.15816326530612246</v>
      </c>
      <c r="Q556">
        <f>IFERROR($J556/IF($A556&lt;COUNTIFS($K$1:Q$1,"&lt;&gt;"),0,SUMIFS($J:$J,$B:$B,$B556,$A:$A,"&gt;="&amp;COUNTIFS($K$1:Q$1,"&lt;&gt;"))),0)</f>
        <v>0.1878787878787879</v>
      </c>
      <c r="R556">
        <f>IFERROR($J556/IF($A556&lt;COUNTIFS($K$1:R$1,"&lt;&gt;"),0,SUMIFS($J:$J,$B:$B,$B556,$A:$A,"&gt;="&amp;COUNTIFS($K$1:R$1,"&lt;&gt;"))),0)</f>
        <v>0.22794117647058826</v>
      </c>
      <c r="S556">
        <f>IFERROR($J556/IF($A556&lt;COUNTIFS($K$1:S$1,"&lt;&gt;"),0,SUMIFS($J:$J,$B:$B,$B556,$A:$A,"&gt;="&amp;COUNTIFS($K$1:S$1,"&lt;&gt;"))),0)</f>
        <v>0</v>
      </c>
      <c r="T556">
        <f>IFERROR($J556/IF($A556&lt;COUNTIFS($K$1:T$1,"&lt;&gt;"),0,SUMIFS($J:$J,$B:$B,$B556,$A:$A,"&gt;="&amp;COUNTIFS($K$1:T$1,"&lt;&gt;"))),0)</f>
        <v>0</v>
      </c>
      <c r="U556">
        <f>IFERROR($J556/IF($A556&lt;COUNTIFS($K$1:U$1,"&lt;&gt;"),0,SUMIFS($J:$J,$B:$B,$B556,$A:$A,"&gt;="&amp;COUNTIFS($K$1:U$1,"&lt;&gt;"))),0)</f>
        <v>0</v>
      </c>
      <c r="V556">
        <f>IFERROR($J556/IF($A556&lt;COUNTIFS($K$1:V$1,"&lt;&gt;"),0,SUMIFS($J:$J,$B:$B,$B556,$A:$A,"&gt;="&amp;COUNTIFS($K$1:V$1,"&lt;&gt;"))),0)</f>
        <v>0</v>
      </c>
      <c r="W556">
        <f t="shared" si="200"/>
        <v>8.4699453551912565E-2</v>
      </c>
      <c r="X556">
        <f t="shared" si="180"/>
        <v>8.4699453551912565E-2</v>
      </c>
      <c r="Y556">
        <f t="shared" si="181"/>
        <v>8.4699453551912565E-2</v>
      </c>
      <c r="Z556">
        <f t="shared" si="182"/>
        <v>8.4699453551912565E-2</v>
      </c>
      <c r="AA556">
        <f t="shared" si="183"/>
        <v>8.4699453551912565E-2</v>
      </c>
      <c r="AB556">
        <f t="shared" si="184"/>
        <v>8.4699453551912565E-2</v>
      </c>
      <c r="AC556">
        <f t="shared" si="185"/>
        <v>8.4699453551912565E-2</v>
      </c>
      <c r="AD556">
        <f t="shared" si="186"/>
        <v>8.4699453551912565E-2</v>
      </c>
      <c r="AE556">
        <f t="shared" si="187"/>
        <v>8.4699453551912565E-2</v>
      </c>
      <c r="AF556">
        <f t="shared" si="188"/>
        <v>0</v>
      </c>
      <c r="AG556">
        <f t="shared" si="189"/>
        <v>0</v>
      </c>
      <c r="AH556">
        <f t="shared" si="190"/>
        <v>0</v>
      </c>
      <c r="AI556">
        <f t="shared" si="191"/>
        <v>0</v>
      </c>
      <c r="AJ556" s="2" t="str">
        <f t="shared" si="201"/>
        <v>845108</v>
      </c>
    </row>
    <row r="557" spans="1:36" x14ac:dyDescent="0.25">
      <c r="A557">
        <v>9</v>
      </c>
      <c r="B557" s="1">
        <v>45108</v>
      </c>
      <c r="C557" s="1">
        <f t="shared" si="192"/>
        <v>45383</v>
      </c>
      <c r="D557" s="1">
        <f t="shared" si="193"/>
        <v>45122</v>
      </c>
      <c r="E557" s="1">
        <f t="shared" si="194"/>
        <v>45383</v>
      </c>
      <c r="F557" s="1">
        <f t="shared" si="195"/>
        <v>45413</v>
      </c>
      <c r="G557" s="1">
        <f t="shared" si="196"/>
        <v>45488</v>
      </c>
      <c r="H557">
        <f t="shared" si="197"/>
        <v>366</v>
      </c>
      <c r="I557">
        <f t="shared" si="198"/>
        <v>30</v>
      </c>
      <c r="J557">
        <f t="shared" si="199"/>
        <v>8.1967213114754092E-2</v>
      </c>
      <c r="K557">
        <f>IFERROR($J557/IF($A557&lt;COUNTIFS($K$1:K$1,"&lt;&gt;"),0,SUMIFS($J:$J,$B:$B,$B557,$A:$A,"&gt;="&amp;COUNTIFS($K$1:K$1,"&lt;&gt;"))),0)</f>
        <v>8.5959885386819479E-2</v>
      </c>
      <c r="L557">
        <f>IFERROR($J557/IF($A557&lt;COUNTIFS($K$1:L$1,"&lt;&gt;"),0,SUMIFS($J:$J,$B:$B,$B557,$A:$A,"&gt;="&amp;COUNTIFS($K$1:L$1,"&lt;&gt;"))),0)</f>
        <v>9.4339622641509427E-2</v>
      </c>
      <c r="M557">
        <f>IFERROR($J557/IF($A557&lt;COUNTIFS($K$1:M$1,"&lt;&gt;"),0,SUMIFS($J:$J,$B:$B,$B557,$A:$A,"&gt;="&amp;COUNTIFS($K$1:M$1,"&lt;&gt;"))),0)</f>
        <v>0.10416666666666666</v>
      </c>
      <c r="N557">
        <f>IFERROR($J557/IF($A557&lt;COUNTIFS($K$1:N$1,"&lt;&gt;"),0,SUMIFS($J:$J,$B:$B,$B557,$A:$A,"&gt;="&amp;COUNTIFS($K$1:N$1,"&lt;&gt;"))),0)</f>
        <v>0.11673151750972761</v>
      </c>
      <c r="O557">
        <f>IFERROR($J557/IF($A557&lt;COUNTIFS($K$1:O$1,"&lt;&gt;"),0,SUMIFS($J:$J,$B:$B,$B557,$A:$A,"&gt;="&amp;COUNTIFS($K$1:O$1,"&lt;&gt;"))),0)</f>
        <v>0.13215859030837002</v>
      </c>
      <c r="P557">
        <f>IFERROR($J557/IF($A557&lt;COUNTIFS($K$1:P$1,"&lt;&gt;"),0,SUMIFS($J:$J,$B:$B,$B557,$A:$A,"&gt;="&amp;COUNTIFS($K$1:P$1,"&lt;&gt;"))),0)</f>
        <v>0.15306122448979592</v>
      </c>
      <c r="Q557">
        <f>IFERROR($J557/IF($A557&lt;COUNTIFS($K$1:Q$1,"&lt;&gt;"),0,SUMIFS($J:$J,$B:$B,$B557,$A:$A,"&gt;="&amp;COUNTIFS($K$1:Q$1,"&lt;&gt;"))),0)</f>
        <v>0.18181818181818182</v>
      </c>
      <c r="R557">
        <f>IFERROR($J557/IF($A557&lt;COUNTIFS($K$1:R$1,"&lt;&gt;"),0,SUMIFS($J:$J,$B:$B,$B557,$A:$A,"&gt;="&amp;COUNTIFS($K$1:R$1,"&lt;&gt;"))),0)</f>
        <v>0.22058823529411764</v>
      </c>
      <c r="S557">
        <f>IFERROR($J557/IF($A557&lt;COUNTIFS($K$1:S$1,"&lt;&gt;"),0,SUMIFS($J:$J,$B:$B,$B557,$A:$A,"&gt;="&amp;COUNTIFS($K$1:S$1,"&lt;&gt;"))),0)</f>
        <v>0.2857142857142857</v>
      </c>
      <c r="T557">
        <f>IFERROR($J557/IF($A557&lt;COUNTIFS($K$1:T$1,"&lt;&gt;"),0,SUMIFS($J:$J,$B:$B,$B557,$A:$A,"&gt;="&amp;COUNTIFS($K$1:T$1,"&lt;&gt;"))),0)</f>
        <v>0</v>
      </c>
      <c r="U557">
        <f>IFERROR($J557/IF($A557&lt;COUNTIFS($K$1:U$1,"&lt;&gt;"),0,SUMIFS($J:$J,$B:$B,$B557,$A:$A,"&gt;="&amp;COUNTIFS($K$1:U$1,"&lt;&gt;"))),0)</f>
        <v>0</v>
      </c>
      <c r="V557">
        <f>IFERROR($J557/IF($A557&lt;COUNTIFS($K$1:V$1,"&lt;&gt;"),0,SUMIFS($J:$J,$B:$B,$B557,$A:$A,"&gt;="&amp;COUNTIFS($K$1:V$1,"&lt;&gt;"))),0)</f>
        <v>0</v>
      </c>
      <c r="W557">
        <f t="shared" si="200"/>
        <v>8.1967213114754092E-2</v>
      </c>
      <c r="X557">
        <f t="shared" si="180"/>
        <v>8.1967213114754092E-2</v>
      </c>
      <c r="Y557">
        <f t="shared" si="181"/>
        <v>8.1967213114754092E-2</v>
      </c>
      <c r="Z557">
        <f t="shared" si="182"/>
        <v>8.1967213114754092E-2</v>
      </c>
      <c r="AA557">
        <f t="shared" si="183"/>
        <v>8.1967213114754092E-2</v>
      </c>
      <c r="AB557">
        <f t="shared" si="184"/>
        <v>8.1967213114754092E-2</v>
      </c>
      <c r="AC557">
        <f t="shared" si="185"/>
        <v>8.1967213114754092E-2</v>
      </c>
      <c r="AD557">
        <f t="shared" si="186"/>
        <v>8.1967213114754092E-2</v>
      </c>
      <c r="AE557">
        <f t="shared" si="187"/>
        <v>8.1967213114754092E-2</v>
      </c>
      <c r="AF557">
        <f t="shared" si="188"/>
        <v>8.1967213114754092E-2</v>
      </c>
      <c r="AG557">
        <f t="shared" si="189"/>
        <v>0</v>
      </c>
      <c r="AH557">
        <f t="shared" si="190"/>
        <v>0</v>
      </c>
      <c r="AI557">
        <f t="shared" si="191"/>
        <v>0</v>
      </c>
      <c r="AJ557" s="2" t="str">
        <f t="shared" si="201"/>
        <v>945108</v>
      </c>
    </row>
    <row r="558" spans="1:36" x14ac:dyDescent="0.25">
      <c r="A558">
        <v>10</v>
      </c>
      <c r="B558" s="1">
        <v>45108</v>
      </c>
      <c r="C558" s="1">
        <f t="shared" si="192"/>
        <v>45413</v>
      </c>
      <c r="D558" s="1">
        <f t="shared" si="193"/>
        <v>45122</v>
      </c>
      <c r="E558" s="1">
        <f t="shared" si="194"/>
        <v>45413</v>
      </c>
      <c r="F558" s="1">
        <f t="shared" si="195"/>
        <v>45444</v>
      </c>
      <c r="G558" s="1">
        <f t="shared" si="196"/>
        <v>45488</v>
      </c>
      <c r="H558">
        <f t="shared" si="197"/>
        <v>366</v>
      </c>
      <c r="I558">
        <f t="shared" si="198"/>
        <v>31</v>
      </c>
      <c r="J558">
        <f t="shared" si="199"/>
        <v>8.4699453551912565E-2</v>
      </c>
      <c r="K558">
        <f>IFERROR($J558/IF($A558&lt;COUNTIFS($K$1:K$1,"&lt;&gt;"),0,SUMIFS($J:$J,$B:$B,$B558,$A:$A,"&gt;="&amp;COUNTIFS($K$1:K$1,"&lt;&gt;"))),0)</f>
        <v>8.882521489971347E-2</v>
      </c>
      <c r="L558">
        <f>IFERROR($J558/IF($A558&lt;COUNTIFS($K$1:L$1,"&lt;&gt;"),0,SUMIFS($J:$J,$B:$B,$B558,$A:$A,"&gt;="&amp;COUNTIFS($K$1:L$1,"&lt;&gt;"))),0)</f>
        <v>9.7484276729559755E-2</v>
      </c>
      <c r="M558">
        <f>IFERROR($J558/IF($A558&lt;COUNTIFS($K$1:M$1,"&lt;&gt;"),0,SUMIFS($J:$J,$B:$B,$B558,$A:$A,"&gt;="&amp;COUNTIFS($K$1:M$1,"&lt;&gt;"))),0)</f>
        <v>0.10763888888888888</v>
      </c>
      <c r="N558">
        <f>IFERROR($J558/IF($A558&lt;COUNTIFS($K$1:N$1,"&lt;&gt;"),0,SUMIFS($J:$J,$B:$B,$B558,$A:$A,"&gt;="&amp;COUNTIFS($K$1:N$1,"&lt;&gt;"))),0)</f>
        <v>0.12062256809338522</v>
      </c>
      <c r="O558">
        <f>IFERROR($J558/IF($A558&lt;COUNTIFS($K$1:O$1,"&lt;&gt;"),0,SUMIFS($J:$J,$B:$B,$B558,$A:$A,"&gt;="&amp;COUNTIFS($K$1:O$1,"&lt;&gt;"))),0)</f>
        <v>0.13656387665198236</v>
      </c>
      <c r="P558">
        <f>IFERROR($J558/IF($A558&lt;COUNTIFS($K$1:P$1,"&lt;&gt;"),0,SUMIFS($J:$J,$B:$B,$B558,$A:$A,"&gt;="&amp;COUNTIFS($K$1:P$1,"&lt;&gt;"))),0)</f>
        <v>0.15816326530612246</v>
      </c>
      <c r="Q558">
        <f>IFERROR($J558/IF($A558&lt;COUNTIFS($K$1:Q$1,"&lt;&gt;"),0,SUMIFS($J:$J,$B:$B,$B558,$A:$A,"&gt;="&amp;COUNTIFS($K$1:Q$1,"&lt;&gt;"))),0)</f>
        <v>0.1878787878787879</v>
      </c>
      <c r="R558">
        <f>IFERROR($J558/IF($A558&lt;COUNTIFS($K$1:R$1,"&lt;&gt;"),0,SUMIFS($J:$J,$B:$B,$B558,$A:$A,"&gt;="&amp;COUNTIFS($K$1:R$1,"&lt;&gt;"))),0)</f>
        <v>0.22794117647058826</v>
      </c>
      <c r="S558">
        <f>IFERROR($J558/IF($A558&lt;COUNTIFS($K$1:S$1,"&lt;&gt;"),0,SUMIFS($J:$J,$B:$B,$B558,$A:$A,"&gt;="&amp;COUNTIFS($K$1:S$1,"&lt;&gt;"))),0)</f>
        <v>0.29523809523809524</v>
      </c>
      <c r="T558">
        <f>IFERROR($J558/IF($A558&lt;COUNTIFS($K$1:T$1,"&lt;&gt;"),0,SUMIFS($J:$J,$B:$B,$B558,$A:$A,"&gt;="&amp;COUNTIFS($K$1:T$1,"&lt;&gt;"))),0)</f>
        <v>0.41333333333333333</v>
      </c>
      <c r="U558">
        <f>IFERROR($J558/IF($A558&lt;COUNTIFS($K$1:U$1,"&lt;&gt;"),0,SUMIFS($J:$J,$B:$B,$B558,$A:$A,"&gt;="&amp;COUNTIFS($K$1:U$1,"&lt;&gt;"))),0)</f>
        <v>0</v>
      </c>
      <c r="V558">
        <f>IFERROR($J558/IF($A558&lt;COUNTIFS($K$1:V$1,"&lt;&gt;"),0,SUMIFS($J:$J,$B:$B,$B558,$A:$A,"&gt;="&amp;COUNTIFS($K$1:V$1,"&lt;&gt;"))),0)</f>
        <v>0</v>
      </c>
      <c r="W558">
        <f t="shared" si="200"/>
        <v>8.4699453551912565E-2</v>
      </c>
      <c r="X558">
        <f t="shared" si="180"/>
        <v>8.4699453551912565E-2</v>
      </c>
      <c r="Y558">
        <f t="shared" si="181"/>
        <v>8.4699453551912565E-2</v>
      </c>
      <c r="Z558">
        <f t="shared" si="182"/>
        <v>8.4699453551912565E-2</v>
      </c>
      <c r="AA558">
        <f t="shared" si="183"/>
        <v>8.4699453551912565E-2</v>
      </c>
      <c r="AB558">
        <f t="shared" si="184"/>
        <v>8.4699453551912565E-2</v>
      </c>
      <c r="AC558">
        <f t="shared" si="185"/>
        <v>8.4699453551912565E-2</v>
      </c>
      <c r="AD558">
        <f t="shared" si="186"/>
        <v>8.4699453551912565E-2</v>
      </c>
      <c r="AE558">
        <f t="shared" si="187"/>
        <v>8.4699453551912565E-2</v>
      </c>
      <c r="AF558">
        <f t="shared" si="188"/>
        <v>8.4699453551912565E-2</v>
      </c>
      <c r="AG558">
        <f t="shared" si="189"/>
        <v>8.4699453551912565E-2</v>
      </c>
      <c r="AH558">
        <f t="shared" si="190"/>
        <v>0</v>
      </c>
      <c r="AI558">
        <f t="shared" si="191"/>
        <v>0</v>
      </c>
      <c r="AJ558" s="2" t="str">
        <f t="shared" si="201"/>
        <v>1045108</v>
      </c>
    </row>
    <row r="559" spans="1:36" x14ac:dyDescent="0.25">
      <c r="A559">
        <v>11</v>
      </c>
      <c r="B559" s="1">
        <v>45108</v>
      </c>
      <c r="C559" s="1">
        <f t="shared" si="192"/>
        <v>45444</v>
      </c>
      <c r="D559" s="1">
        <f t="shared" si="193"/>
        <v>45122</v>
      </c>
      <c r="E559" s="1">
        <f t="shared" si="194"/>
        <v>45444</v>
      </c>
      <c r="F559" s="1">
        <f t="shared" si="195"/>
        <v>45474</v>
      </c>
      <c r="G559" s="1">
        <f t="shared" si="196"/>
        <v>45488</v>
      </c>
      <c r="H559">
        <f t="shared" si="197"/>
        <v>366</v>
      </c>
      <c r="I559">
        <f t="shared" si="198"/>
        <v>30</v>
      </c>
      <c r="J559">
        <f t="shared" si="199"/>
        <v>8.1967213114754092E-2</v>
      </c>
      <c r="K559">
        <f>IFERROR($J559/IF($A559&lt;COUNTIFS($K$1:K$1,"&lt;&gt;"),0,SUMIFS($J:$J,$B:$B,$B559,$A:$A,"&gt;="&amp;COUNTIFS($K$1:K$1,"&lt;&gt;"))),0)</f>
        <v>8.5959885386819479E-2</v>
      </c>
      <c r="L559">
        <f>IFERROR($J559/IF($A559&lt;COUNTIFS($K$1:L$1,"&lt;&gt;"),0,SUMIFS($J:$J,$B:$B,$B559,$A:$A,"&gt;="&amp;COUNTIFS($K$1:L$1,"&lt;&gt;"))),0)</f>
        <v>9.4339622641509427E-2</v>
      </c>
      <c r="M559">
        <f>IFERROR($J559/IF($A559&lt;COUNTIFS($K$1:M$1,"&lt;&gt;"),0,SUMIFS($J:$J,$B:$B,$B559,$A:$A,"&gt;="&amp;COUNTIFS($K$1:M$1,"&lt;&gt;"))),0)</f>
        <v>0.10416666666666666</v>
      </c>
      <c r="N559">
        <f>IFERROR($J559/IF($A559&lt;COUNTIFS($K$1:N$1,"&lt;&gt;"),0,SUMIFS($J:$J,$B:$B,$B559,$A:$A,"&gt;="&amp;COUNTIFS($K$1:N$1,"&lt;&gt;"))),0)</f>
        <v>0.11673151750972761</v>
      </c>
      <c r="O559">
        <f>IFERROR($J559/IF($A559&lt;COUNTIFS($K$1:O$1,"&lt;&gt;"),0,SUMIFS($J:$J,$B:$B,$B559,$A:$A,"&gt;="&amp;COUNTIFS($K$1:O$1,"&lt;&gt;"))),0)</f>
        <v>0.13215859030837002</v>
      </c>
      <c r="P559">
        <f>IFERROR($J559/IF($A559&lt;COUNTIFS($K$1:P$1,"&lt;&gt;"),0,SUMIFS($J:$J,$B:$B,$B559,$A:$A,"&gt;="&amp;COUNTIFS($K$1:P$1,"&lt;&gt;"))),0)</f>
        <v>0.15306122448979592</v>
      </c>
      <c r="Q559">
        <f>IFERROR($J559/IF($A559&lt;COUNTIFS($K$1:Q$1,"&lt;&gt;"),0,SUMIFS($J:$J,$B:$B,$B559,$A:$A,"&gt;="&amp;COUNTIFS($K$1:Q$1,"&lt;&gt;"))),0)</f>
        <v>0.18181818181818182</v>
      </c>
      <c r="R559">
        <f>IFERROR($J559/IF($A559&lt;COUNTIFS($K$1:R$1,"&lt;&gt;"),0,SUMIFS($J:$J,$B:$B,$B559,$A:$A,"&gt;="&amp;COUNTIFS($K$1:R$1,"&lt;&gt;"))),0)</f>
        <v>0.22058823529411764</v>
      </c>
      <c r="S559">
        <f>IFERROR($J559/IF($A559&lt;COUNTIFS($K$1:S$1,"&lt;&gt;"),0,SUMIFS($J:$J,$B:$B,$B559,$A:$A,"&gt;="&amp;COUNTIFS($K$1:S$1,"&lt;&gt;"))),0)</f>
        <v>0.2857142857142857</v>
      </c>
      <c r="T559">
        <f>IFERROR($J559/IF($A559&lt;COUNTIFS($K$1:T$1,"&lt;&gt;"),0,SUMIFS($J:$J,$B:$B,$B559,$A:$A,"&gt;="&amp;COUNTIFS($K$1:T$1,"&lt;&gt;"))),0)</f>
        <v>0.39999999999999997</v>
      </c>
      <c r="U559">
        <f>IFERROR($J559/IF($A559&lt;COUNTIFS($K$1:U$1,"&lt;&gt;"),0,SUMIFS($J:$J,$B:$B,$B559,$A:$A,"&gt;="&amp;COUNTIFS($K$1:U$1,"&lt;&gt;"))),0)</f>
        <v>0.68181818181818177</v>
      </c>
      <c r="V559">
        <f>IFERROR($J559/IF($A559&lt;COUNTIFS($K$1:V$1,"&lt;&gt;"),0,SUMIFS($J:$J,$B:$B,$B559,$A:$A,"&gt;="&amp;COUNTIFS($K$1:V$1,"&lt;&gt;"))),0)</f>
        <v>0</v>
      </c>
      <c r="W559">
        <f t="shared" si="200"/>
        <v>8.1967213114754092E-2</v>
      </c>
      <c r="X559">
        <f t="shared" si="180"/>
        <v>8.1967213114754092E-2</v>
      </c>
      <c r="Y559">
        <f t="shared" si="181"/>
        <v>8.1967213114754092E-2</v>
      </c>
      <c r="Z559">
        <f t="shared" si="182"/>
        <v>8.1967213114754092E-2</v>
      </c>
      <c r="AA559">
        <f t="shared" si="183"/>
        <v>8.1967213114754092E-2</v>
      </c>
      <c r="AB559">
        <f t="shared" si="184"/>
        <v>8.1967213114754092E-2</v>
      </c>
      <c r="AC559">
        <f t="shared" si="185"/>
        <v>8.1967213114754092E-2</v>
      </c>
      <c r="AD559">
        <f t="shared" si="186"/>
        <v>8.1967213114754092E-2</v>
      </c>
      <c r="AE559">
        <f t="shared" si="187"/>
        <v>8.1967213114754092E-2</v>
      </c>
      <c r="AF559">
        <f t="shared" si="188"/>
        <v>8.1967213114754092E-2</v>
      </c>
      <c r="AG559">
        <f t="shared" si="189"/>
        <v>8.1967213114754092E-2</v>
      </c>
      <c r="AH559">
        <f t="shared" si="190"/>
        <v>8.1967213114754092E-2</v>
      </c>
      <c r="AI559">
        <f t="shared" si="191"/>
        <v>0</v>
      </c>
      <c r="AJ559" s="2" t="str">
        <f t="shared" si="201"/>
        <v>1145108</v>
      </c>
    </row>
    <row r="560" spans="1:36" x14ac:dyDescent="0.25">
      <c r="A560">
        <v>12</v>
      </c>
      <c r="B560" s="1">
        <v>45108</v>
      </c>
      <c r="C560" s="1">
        <f t="shared" si="192"/>
        <v>45474</v>
      </c>
      <c r="D560" s="1">
        <f t="shared" si="193"/>
        <v>45122</v>
      </c>
      <c r="E560" s="1">
        <f t="shared" si="194"/>
        <v>45474</v>
      </c>
      <c r="F560" s="1">
        <f t="shared" si="195"/>
        <v>45488</v>
      </c>
      <c r="G560" s="1">
        <f t="shared" si="196"/>
        <v>45488</v>
      </c>
      <c r="H560">
        <f t="shared" si="197"/>
        <v>366</v>
      </c>
      <c r="I560">
        <f t="shared" si="198"/>
        <v>14</v>
      </c>
      <c r="J560">
        <f t="shared" si="199"/>
        <v>3.825136612021858E-2</v>
      </c>
      <c r="K560">
        <f>IFERROR($J560/IF($A560&lt;COUNTIFS($K$1:K$1,"&lt;&gt;"),0,SUMIFS($J:$J,$B:$B,$B560,$A:$A,"&gt;="&amp;COUNTIFS($K$1:K$1,"&lt;&gt;"))),0)</f>
        <v>4.0114613180515762E-2</v>
      </c>
      <c r="L560">
        <f>IFERROR($J560/IF($A560&lt;COUNTIFS($K$1:L$1,"&lt;&gt;"),0,SUMIFS($J:$J,$B:$B,$B560,$A:$A,"&gt;="&amp;COUNTIFS($K$1:L$1,"&lt;&gt;"))),0)</f>
        <v>4.4025157232704407E-2</v>
      </c>
      <c r="M560">
        <f>IFERROR($J560/IF($A560&lt;COUNTIFS($K$1:M$1,"&lt;&gt;"),0,SUMIFS($J:$J,$B:$B,$B560,$A:$A,"&gt;="&amp;COUNTIFS($K$1:M$1,"&lt;&gt;"))),0)</f>
        <v>4.8611111111111112E-2</v>
      </c>
      <c r="N560">
        <f>IFERROR($J560/IF($A560&lt;COUNTIFS($K$1:N$1,"&lt;&gt;"),0,SUMIFS($J:$J,$B:$B,$B560,$A:$A,"&gt;="&amp;COUNTIFS($K$1:N$1,"&lt;&gt;"))),0)</f>
        <v>5.4474708171206226E-2</v>
      </c>
      <c r="O560">
        <f>IFERROR($J560/IF($A560&lt;COUNTIFS($K$1:O$1,"&lt;&gt;"),0,SUMIFS($J:$J,$B:$B,$B560,$A:$A,"&gt;="&amp;COUNTIFS($K$1:O$1,"&lt;&gt;"))),0)</f>
        <v>6.1674008810572688E-2</v>
      </c>
      <c r="P560">
        <f>IFERROR($J560/IF($A560&lt;COUNTIFS($K$1:P$1,"&lt;&gt;"),0,SUMIFS($J:$J,$B:$B,$B560,$A:$A,"&gt;="&amp;COUNTIFS($K$1:P$1,"&lt;&gt;"))),0)</f>
        <v>7.1428571428571438E-2</v>
      </c>
      <c r="Q560">
        <f>IFERROR($J560/IF($A560&lt;COUNTIFS($K$1:Q$1,"&lt;&gt;"),0,SUMIFS($J:$J,$B:$B,$B560,$A:$A,"&gt;="&amp;COUNTIFS($K$1:Q$1,"&lt;&gt;"))),0)</f>
        <v>8.4848484848484867E-2</v>
      </c>
      <c r="R560">
        <f>IFERROR($J560/IF($A560&lt;COUNTIFS($K$1:R$1,"&lt;&gt;"),0,SUMIFS($J:$J,$B:$B,$B560,$A:$A,"&gt;="&amp;COUNTIFS($K$1:R$1,"&lt;&gt;"))),0)</f>
        <v>0.10294117647058824</v>
      </c>
      <c r="S560">
        <f>IFERROR($J560/IF($A560&lt;COUNTIFS($K$1:S$1,"&lt;&gt;"),0,SUMIFS($J:$J,$B:$B,$B560,$A:$A,"&gt;="&amp;COUNTIFS($K$1:S$1,"&lt;&gt;"))),0)</f>
        <v>0.13333333333333333</v>
      </c>
      <c r="T560">
        <f>IFERROR($J560/IF($A560&lt;COUNTIFS($K$1:T$1,"&lt;&gt;"),0,SUMIFS($J:$J,$B:$B,$B560,$A:$A,"&gt;="&amp;COUNTIFS($K$1:T$1,"&lt;&gt;"))),0)</f>
        <v>0.18666666666666668</v>
      </c>
      <c r="U560">
        <f>IFERROR($J560/IF($A560&lt;COUNTIFS($K$1:U$1,"&lt;&gt;"),0,SUMIFS($J:$J,$B:$B,$B560,$A:$A,"&gt;="&amp;COUNTIFS($K$1:U$1,"&lt;&gt;"))),0)</f>
        <v>0.31818181818181818</v>
      </c>
      <c r="V560">
        <f>IFERROR($J560/IF($A560&lt;COUNTIFS($K$1:V$1,"&lt;&gt;"),0,SUMIFS($J:$J,$B:$B,$B560,$A:$A,"&gt;="&amp;COUNTIFS($K$1:V$1,"&lt;&gt;"))),0)</f>
        <v>1</v>
      </c>
      <c r="W560">
        <f t="shared" si="200"/>
        <v>3.825136612021858E-2</v>
      </c>
      <c r="X560">
        <f t="shared" si="180"/>
        <v>3.825136612021858E-2</v>
      </c>
      <c r="Y560">
        <f t="shared" si="181"/>
        <v>3.825136612021858E-2</v>
      </c>
      <c r="Z560">
        <f t="shared" si="182"/>
        <v>3.825136612021858E-2</v>
      </c>
      <c r="AA560">
        <f t="shared" si="183"/>
        <v>3.825136612021858E-2</v>
      </c>
      <c r="AB560">
        <f t="shared" si="184"/>
        <v>3.825136612021858E-2</v>
      </c>
      <c r="AC560">
        <f t="shared" si="185"/>
        <v>3.825136612021858E-2</v>
      </c>
      <c r="AD560">
        <f t="shared" si="186"/>
        <v>3.825136612021858E-2</v>
      </c>
      <c r="AE560">
        <f t="shared" si="187"/>
        <v>3.825136612021858E-2</v>
      </c>
      <c r="AF560">
        <f t="shared" si="188"/>
        <v>3.825136612021858E-2</v>
      </c>
      <c r="AG560">
        <f t="shared" si="189"/>
        <v>3.825136612021858E-2</v>
      </c>
      <c r="AH560">
        <f t="shared" si="190"/>
        <v>3.825136612021858E-2</v>
      </c>
      <c r="AI560">
        <f t="shared" si="191"/>
        <v>3.825136612021858E-2</v>
      </c>
      <c r="AJ560" s="2" t="str">
        <f t="shared" si="201"/>
        <v>1245108</v>
      </c>
    </row>
    <row r="561" spans="1:36" x14ac:dyDescent="0.25">
      <c r="A561">
        <v>0</v>
      </c>
      <c r="B561" s="1">
        <v>45139</v>
      </c>
      <c r="C561" s="1">
        <f t="shared" si="192"/>
        <v>45139</v>
      </c>
      <c r="D561" s="1">
        <f t="shared" si="193"/>
        <v>45153</v>
      </c>
      <c r="E561" s="1">
        <f t="shared" si="194"/>
        <v>45153</v>
      </c>
      <c r="F561" s="1">
        <f t="shared" si="195"/>
        <v>45170</v>
      </c>
      <c r="G561" s="1">
        <f t="shared" si="196"/>
        <v>45519</v>
      </c>
      <c r="H561">
        <f t="shared" si="197"/>
        <v>366</v>
      </c>
      <c r="I561">
        <f t="shared" si="198"/>
        <v>17</v>
      </c>
      <c r="J561">
        <f t="shared" si="199"/>
        <v>4.6448087431693992E-2</v>
      </c>
      <c r="K561">
        <f>IFERROR($J561/IF($A561&lt;COUNTIFS($K$1:K$1,"&lt;&gt;"),0,SUMIFS($J:$J,$B:$B,$B561,$A:$A,"&gt;="&amp;COUNTIFS($K$1:K$1,"&lt;&gt;"))),0)</f>
        <v>0</v>
      </c>
      <c r="L561">
        <f>IFERROR($J561/IF($A561&lt;COUNTIFS($K$1:L$1,"&lt;&gt;"),0,SUMIFS($J:$J,$B:$B,$B561,$A:$A,"&gt;="&amp;COUNTIFS($K$1:L$1,"&lt;&gt;"))),0)</f>
        <v>0</v>
      </c>
      <c r="M561">
        <f>IFERROR($J561/IF($A561&lt;COUNTIFS($K$1:M$1,"&lt;&gt;"),0,SUMIFS($J:$J,$B:$B,$B561,$A:$A,"&gt;="&amp;COUNTIFS($K$1:M$1,"&lt;&gt;"))),0)</f>
        <v>0</v>
      </c>
      <c r="N561">
        <f>IFERROR($J561/IF($A561&lt;COUNTIFS($K$1:N$1,"&lt;&gt;"),0,SUMIFS($J:$J,$B:$B,$B561,$A:$A,"&gt;="&amp;COUNTIFS($K$1:N$1,"&lt;&gt;"))),0)</f>
        <v>0</v>
      </c>
      <c r="O561">
        <f>IFERROR($J561/IF($A561&lt;COUNTIFS($K$1:O$1,"&lt;&gt;"),0,SUMIFS($J:$J,$B:$B,$B561,$A:$A,"&gt;="&amp;COUNTIFS($K$1:O$1,"&lt;&gt;"))),0)</f>
        <v>0</v>
      </c>
      <c r="P561">
        <f>IFERROR($J561/IF($A561&lt;COUNTIFS($K$1:P$1,"&lt;&gt;"),0,SUMIFS($J:$J,$B:$B,$B561,$A:$A,"&gt;="&amp;COUNTIFS($K$1:P$1,"&lt;&gt;"))),0)</f>
        <v>0</v>
      </c>
      <c r="Q561">
        <f>IFERROR($J561/IF($A561&lt;COUNTIFS($K$1:Q$1,"&lt;&gt;"),0,SUMIFS($J:$J,$B:$B,$B561,$A:$A,"&gt;="&amp;COUNTIFS($K$1:Q$1,"&lt;&gt;"))),0)</f>
        <v>0</v>
      </c>
      <c r="R561">
        <f>IFERROR($J561/IF($A561&lt;COUNTIFS($K$1:R$1,"&lt;&gt;"),0,SUMIFS($J:$J,$B:$B,$B561,$A:$A,"&gt;="&amp;COUNTIFS($K$1:R$1,"&lt;&gt;"))),0)</f>
        <v>0</v>
      </c>
      <c r="S561">
        <f>IFERROR($J561/IF($A561&lt;COUNTIFS($K$1:S$1,"&lt;&gt;"),0,SUMIFS($J:$J,$B:$B,$B561,$A:$A,"&gt;="&amp;COUNTIFS($K$1:S$1,"&lt;&gt;"))),0)</f>
        <v>0</v>
      </c>
      <c r="T561">
        <f>IFERROR($J561/IF($A561&lt;COUNTIFS($K$1:T$1,"&lt;&gt;"),0,SUMIFS($J:$J,$B:$B,$B561,$A:$A,"&gt;="&amp;COUNTIFS($K$1:T$1,"&lt;&gt;"))),0)</f>
        <v>0</v>
      </c>
      <c r="U561">
        <f>IFERROR($J561/IF($A561&lt;COUNTIFS($K$1:U$1,"&lt;&gt;"),0,SUMIFS($J:$J,$B:$B,$B561,$A:$A,"&gt;="&amp;COUNTIFS($K$1:U$1,"&lt;&gt;"))),0)</f>
        <v>0</v>
      </c>
      <c r="V561">
        <f>IFERROR($J561/IF($A561&lt;COUNTIFS($K$1:V$1,"&lt;&gt;"),0,SUMIFS($J:$J,$B:$B,$B561,$A:$A,"&gt;="&amp;COUNTIFS($K$1:V$1,"&lt;&gt;"))),0)</f>
        <v>0</v>
      </c>
      <c r="W561">
        <f t="shared" si="200"/>
        <v>4.6448087431693992E-2</v>
      </c>
      <c r="X561">
        <f t="shared" si="180"/>
        <v>0</v>
      </c>
      <c r="Y561">
        <f t="shared" si="181"/>
        <v>0</v>
      </c>
      <c r="Z561">
        <f t="shared" si="182"/>
        <v>0</v>
      </c>
      <c r="AA561">
        <f t="shared" si="183"/>
        <v>0</v>
      </c>
      <c r="AB561">
        <f t="shared" si="184"/>
        <v>0</v>
      </c>
      <c r="AC561">
        <f t="shared" si="185"/>
        <v>0</v>
      </c>
      <c r="AD561">
        <f t="shared" si="186"/>
        <v>0</v>
      </c>
      <c r="AE561">
        <f t="shared" si="187"/>
        <v>0</v>
      </c>
      <c r="AF561">
        <f t="shared" si="188"/>
        <v>0</v>
      </c>
      <c r="AG561">
        <f t="shared" si="189"/>
        <v>0</v>
      </c>
      <c r="AH561">
        <f t="shared" si="190"/>
        <v>0</v>
      </c>
      <c r="AI561">
        <f t="shared" si="191"/>
        <v>0</v>
      </c>
      <c r="AJ561" s="2" t="str">
        <f t="shared" si="201"/>
        <v>045139</v>
      </c>
    </row>
    <row r="562" spans="1:36" x14ac:dyDescent="0.25">
      <c r="A562">
        <v>1</v>
      </c>
      <c r="B562" s="1">
        <v>45139</v>
      </c>
      <c r="C562" s="1">
        <f t="shared" si="192"/>
        <v>45170</v>
      </c>
      <c r="D562" s="1">
        <f t="shared" si="193"/>
        <v>45153</v>
      </c>
      <c r="E562" s="1">
        <f t="shared" si="194"/>
        <v>45170</v>
      </c>
      <c r="F562" s="1">
        <f t="shared" si="195"/>
        <v>45200</v>
      </c>
      <c r="G562" s="1">
        <f t="shared" si="196"/>
        <v>45519</v>
      </c>
      <c r="H562">
        <f t="shared" si="197"/>
        <v>366</v>
      </c>
      <c r="I562">
        <f t="shared" si="198"/>
        <v>30</v>
      </c>
      <c r="J562">
        <f t="shared" si="199"/>
        <v>8.1967213114754092E-2</v>
      </c>
      <c r="K562">
        <f>IFERROR($J562/IF($A562&lt;COUNTIFS($K$1:K$1,"&lt;&gt;"),0,SUMIFS($J:$J,$B:$B,$B562,$A:$A,"&gt;="&amp;COUNTIFS($K$1:K$1,"&lt;&gt;"))),0)</f>
        <v>8.5959885386819479E-2</v>
      </c>
      <c r="L562">
        <f>IFERROR($J562/IF($A562&lt;COUNTIFS($K$1:L$1,"&lt;&gt;"),0,SUMIFS($J:$J,$B:$B,$B562,$A:$A,"&gt;="&amp;COUNTIFS($K$1:L$1,"&lt;&gt;"))),0)</f>
        <v>0</v>
      </c>
      <c r="M562">
        <f>IFERROR($J562/IF($A562&lt;COUNTIFS($K$1:M$1,"&lt;&gt;"),0,SUMIFS($J:$J,$B:$B,$B562,$A:$A,"&gt;="&amp;COUNTIFS($K$1:M$1,"&lt;&gt;"))),0)</f>
        <v>0</v>
      </c>
      <c r="N562">
        <f>IFERROR($J562/IF($A562&lt;COUNTIFS($K$1:N$1,"&lt;&gt;"),0,SUMIFS($J:$J,$B:$B,$B562,$A:$A,"&gt;="&amp;COUNTIFS($K$1:N$1,"&lt;&gt;"))),0)</f>
        <v>0</v>
      </c>
      <c r="O562">
        <f>IFERROR($J562/IF($A562&lt;COUNTIFS($K$1:O$1,"&lt;&gt;"),0,SUMIFS($J:$J,$B:$B,$B562,$A:$A,"&gt;="&amp;COUNTIFS($K$1:O$1,"&lt;&gt;"))),0)</f>
        <v>0</v>
      </c>
      <c r="P562">
        <f>IFERROR($J562/IF($A562&lt;COUNTIFS($K$1:P$1,"&lt;&gt;"),0,SUMIFS($J:$J,$B:$B,$B562,$A:$A,"&gt;="&amp;COUNTIFS($K$1:P$1,"&lt;&gt;"))),0)</f>
        <v>0</v>
      </c>
      <c r="Q562">
        <f>IFERROR($J562/IF($A562&lt;COUNTIFS($K$1:Q$1,"&lt;&gt;"),0,SUMIFS($J:$J,$B:$B,$B562,$A:$A,"&gt;="&amp;COUNTIFS($K$1:Q$1,"&lt;&gt;"))),0)</f>
        <v>0</v>
      </c>
      <c r="R562">
        <f>IFERROR($J562/IF($A562&lt;COUNTIFS($K$1:R$1,"&lt;&gt;"),0,SUMIFS($J:$J,$B:$B,$B562,$A:$A,"&gt;="&amp;COUNTIFS($K$1:R$1,"&lt;&gt;"))),0)</f>
        <v>0</v>
      </c>
      <c r="S562">
        <f>IFERROR($J562/IF($A562&lt;COUNTIFS($K$1:S$1,"&lt;&gt;"),0,SUMIFS($J:$J,$B:$B,$B562,$A:$A,"&gt;="&amp;COUNTIFS($K$1:S$1,"&lt;&gt;"))),0)</f>
        <v>0</v>
      </c>
      <c r="T562">
        <f>IFERROR($J562/IF($A562&lt;COUNTIFS($K$1:T$1,"&lt;&gt;"),0,SUMIFS($J:$J,$B:$B,$B562,$A:$A,"&gt;="&amp;COUNTIFS($K$1:T$1,"&lt;&gt;"))),0)</f>
        <v>0</v>
      </c>
      <c r="U562">
        <f>IFERROR($J562/IF($A562&lt;COUNTIFS($K$1:U$1,"&lt;&gt;"),0,SUMIFS($J:$J,$B:$B,$B562,$A:$A,"&gt;="&amp;COUNTIFS($K$1:U$1,"&lt;&gt;"))),0)</f>
        <v>0</v>
      </c>
      <c r="V562">
        <f>IFERROR($J562/IF($A562&lt;COUNTIFS($K$1:V$1,"&lt;&gt;"),0,SUMIFS($J:$J,$B:$B,$B562,$A:$A,"&gt;="&amp;COUNTIFS($K$1:V$1,"&lt;&gt;"))),0)</f>
        <v>0</v>
      </c>
      <c r="W562">
        <f t="shared" si="200"/>
        <v>8.1967213114754092E-2</v>
      </c>
      <c r="X562">
        <f t="shared" si="180"/>
        <v>8.1967213114754092E-2</v>
      </c>
      <c r="Y562">
        <f t="shared" si="181"/>
        <v>0</v>
      </c>
      <c r="Z562">
        <f t="shared" si="182"/>
        <v>0</v>
      </c>
      <c r="AA562">
        <f t="shared" si="183"/>
        <v>0</v>
      </c>
      <c r="AB562">
        <f t="shared" si="184"/>
        <v>0</v>
      </c>
      <c r="AC562">
        <f t="shared" si="185"/>
        <v>0</v>
      </c>
      <c r="AD562">
        <f t="shared" si="186"/>
        <v>0</v>
      </c>
      <c r="AE562">
        <f t="shared" si="187"/>
        <v>0</v>
      </c>
      <c r="AF562">
        <f t="shared" si="188"/>
        <v>0</v>
      </c>
      <c r="AG562">
        <f t="shared" si="189"/>
        <v>0</v>
      </c>
      <c r="AH562">
        <f t="shared" si="190"/>
        <v>0</v>
      </c>
      <c r="AI562">
        <f t="shared" si="191"/>
        <v>0</v>
      </c>
      <c r="AJ562" s="2" t="str">
        <f t="shared" si="201"/>
        <v>145139</v>
      </c>
    </row>
    <row r="563" spans="1:36" x14ac:dyDescent="0.25">
      <c r="A563">
        <v>2</v>
      </c>
      <c r="B563" s="1">
        <v>45139</v>
      </c>
      <c r="C563" s="1">
        <f t="shared" si="192"/>
        <v>45200</v>
      </c>
      <c r="D563" s="1">
        <f t="shared" si="193"/>
        <v>45153</v>
      </c>
      <c r="E563" s="1">
        <f t="shared" si="194"/>
        <v>45200</v>
      </c>
      <c r="F563" s="1">
        <f t="shared" si="195"/>
        <v>45231</v>
      </c>
      <c r="G563" s="1">
        <f t="shared" si="196"/>
        <v>45519</v>
      </c>
      <c r="H563">
        <f t="shared" si="197"/>
        <v>366</v>
      </c>
      <c r="I563">
        <f t="shared" si="198"/>
        <v>31</v>
      </c>
      <c r="J563">
        <f t="shared" si="199"/>
        <v>8.4699453551912565E-2</v>
      </c>
      <c r="K563">
        <f>IFERROR($J563/IF($A563&lt;COUNTIFS($K$1:K$1,"&lt;&gt;"),0,SUMIFS($J:$J,$B:$B,$B563,$A:$A,"&gt;="&amp;COUNTIFS($K$1:K$1,"&lt;&gt;"))),0)</f>
        <v>8.882521489971347E-2</v>
      </c>
      <c r="L563">
        <f>IFERROR($J563/IF($A563&lt;COUNTIFS($K$1:L$1,"&lt;&gt;"),0,SUMIFS($J:$J,$B:$B,$B563,$A:$A,"&gt;="&amp;COUNTIFS($K$1:L$1,"&lt;&gt;"))),0)</f>
        <v>9.7178683385579931E-2</v>
      </c>
      <c r="M563">
        <f>IFERROR($J563/IF($A563&lt;COUNTIFS($K$1:M$1,"&lt;&gt;"),0,SUMIFS($J:$J,$B:$B,$B563,$A:$A,"&gt;="&amp;COUNTIFS($K$1:M$1,"&lt;&gt;"))),0)</f>
        <v>0</v>
      </c>
      <c r="N563">
        <f>IFERROR($J563/IF($A563&lt;COUNTIFS($K$1:N$1,"&lt;&gt;"),0,SUMIFS($J:$J,$B:$B,$B563,$A:$A,"&gt;="&amp;COUNTIFS($K$1:N$1,"&lt;&gt;"))),0)</f>
        <v>0</v>
      </c>
      <c r="O563">
        <f>IFERROR($J563/IF($A563&lt;COUNTIFS($K$1:O$1,"&lt;&gt;"),0,SUMIFS($J:$J,$B:$B,$B563,$A:$A,"&gt;="&amp;COUNTIFS($K$1:O$1,"&lt;&gt;"))),0)</f>
        <v>0</v>
      </c>
      <c r="P563">
        <f>IFERROR($J563/IF($A563&lt;COUNTIFS($K$1:P$1,"&lt;&gt;"),0,SUMIFS($J:$J,$B:$B,$B563,$A:$A,"&gt;="&amp;COUNTIFS($K$1:P$1,"&lt;&gt;"))),0)</f>
        <v>0</v>
      </c>
      <c r="Q563">
        <f>IFERROR($J563/IF($A563&lt;COUNTIFS($K$1:Q$1,"&lt;&gt;"),0,SUMIFS($J:$J,$B:$B,$B563,$A:$A,"&gt;="&amp;COUNTIFS($K$1:Q$1,"&lt;&gt;"))),0)</f>
        <v>0</v>
      </c>
      <c r="R563">
        <f>IFERROR($J563/IF($A563&lt;COUNTIFS($K$1:R$1,"&lt;&gt;"),0,SUMIFS($J:$J,$B:$B,$B563,$A:$A,"&gt;="&amp;COUNTIFS($K$1:R$1,"&lt;&gt;"))),0)</f>
        <v>0</v>
      </c>
      <c r="S563">
        <f>IFERROR($J563/IF($A563&lt;COUNTIFS($K$1:S$1,"&lt;&gt;"),0,SUMIFS($J:$J,$B:$B,$B563,$A:$A,"&gt;="&amp;COUNTIFS($K$1:S$1,"&lt;&gt;"))),0)</f>
        <v>0</v>
      </c>
      <c r="T563">
        <f>IFERROR($J563/IF($A563&lt;COUNTIFS($K$1:T$1,"&lt;&gt;"),0,SUMIFS($J:$J,$B:$B,$B563,$A:$A,"&gt;="&amp;COUNTIFS($K$1:T$1,"&lt;&gt;"))),0)</f>
        <v>0</v>
      </c>
      <c r="U563">
        <f>IFERROR($J563/IF($A563&lt;COUNTIFS($K$1:U$1,"&lt;&gt;"),0,SUMIFS($J:$J,$B:$B,$B563,$A:$A,"&gt;="&amp;COUNTIFS($K$1:U$1,"&lt;&gt;"))),0)</f>
        <v>0</v>
      </c>
      <c r="V563">
        <f>IFERROR($J563/IF($A563&lt;COUNTIFS($K$1:V$1,"&lt;&gt;"),0,SUMIFS($J:$J,$B:$B,$B563,$A:$A,"&gt;="&amp;COUNTIFS($K$1:V$1,"&lt;&gt;"))),0)</f>
        <v>0</v>
      </c>
      <c r="W563">
        <f t="shared" si="200"/>
        <v>8.4699453551912565E-2</v>
      </c>
      <c r="X563">
        <f t="shared" si="180"/>
        <v>8.4699453551912565E-2</v>
      </c>
      <c r="Y563">
        <f t="shared" si="181"/>
        <v>8.4699453551912565E-2</v>
      </c>
      <c r="Z563">
        <f t="shared" si="182"/>
        <v>0</v>
      </c>
      <c r="AA563">
        <f t="shared" si="183"/>
        <v>0</v>
      </c>
      <c r="AB563">
        <f t="shared" si="184"/>
        <v>0</v>
      </c>
      <c r="AC563">
        <f t="shared" si="185"/>
        <v>0</v>
      </c>
      <c r="AD563">
        <f t="shared" si="186"/>
        <v>0</v>
      </c>
      <c r="AE563">
        <f t="shared" si="187"/>
        <v>0</v>
      </c>
      <c r="AF563">
        <f t="shared" si="188"/>
        <v>0</v>
      </c>
      <c r="AG563">
        <f t="shared" si="189"/>
        <v>0</v>
      </c>
      <c r="AH563">
        <f t="shared" si="190"/>
        <v>0</v>
      </c>
      <c r="AI563">
        <f t="shared" si="191"/>
        <v>0</v>
      </c>
      <c r="AJ563" s="2" t="str">
        <f t="shared" si="201"/>
        <v>245139</v>
      </c>
    </row>
    <row r="564" spans="1:36" x14ac:dyDescent="0.25">
      <c r="A564">
        <v>3</v>
      </c>
      <c r="B564" s="1">
        <v>45139</v>
      </c>
      <c r="C564" s="1">
        <f t="shared" si="192"/>
        <v>45231</v>
      </c>
      <c r="D564" s="1">
        <f t="shared" si="193"/>
        <v>45153</v>
      </c>
      <c r="E564" s="1">
        <f t="shared" si="194"/>
        <v>45231</v>
      </c>
      <c r="F564" s="1">
        <f t="shared" si="195"/>
        <v>45261</v>
      </c>
      <c r="G564" s="1">
        <f t="shared" si="196"/>
        <v>45519</v>
      </c>
      <c r="H564">
        <f t="shared" si="197"/>
        <v>366</v>
      </c>
      <c r="I564">
        <f t="shared" si="198"/>
        <v>30</v>
      </c>
      <c r="J564">
        <f t="shared" si="199"/>
        <v>8.1967213114754092E-2</v>
      </c>
      <c r="K564">
        <f>IFERROR($J564/IF($A564&lt;COUNTIFS($K$1:K$1,"&lt;&gt;"),0,SUMIFS($J:$J,$B:$B,$B564,$A:$A,"&gt;="&amp;COUNTIFS($K$1:K$1,"&lt;&gt;"))),0)</f>
        <v>8.5959885386819479E-2</v>
      </c>
      <c r="L564">
        <f>IFERROR($J564/IF($A564&lt;COUNTIFS($K$1:L$1,"&lt;&gt;"),0,SUMIFS($J:$J,$B:$B,$B564,$A:$A,"&gt;="&amp;COUNTIFS($K$1:L$1,"&lt;&gt;"))),0)</f>
        <v>9.4043887147335414E-2</v>
      </c>
      <c r="M564">
        <f>IFERROR($J564/IF($A564&lt;COUNTIFS($K$1:M$1,"&lt;&gt;"),0,SUMIFS($J:$J,$B:$B,$B564,$A:$A,"&gt;="&amp;COUNTIFS($K$1:M$1,"&lt;&gt;"))),0)</f>
        <v>0.10416666666666666</v>
      </c>
      <c r="N564">
        <f>IFERROR($J564/IF($A564&lt;COUNTIFS($K$1:N$1,"&lt;&gt;"),0,SUMIFS($J:$J,$B:$B,$B564,$A:$A,"&gt;="&amp;COUNTIFS($K$1:N$1,"&lt;&gt;"))),0)</f>
        <v>0</v>
      </c>
      <c r="O564">
        <f>IFERROR($J564/IF($A564&lt;COUNTIFS($K$1:O$1,"&lt;&gt;"),0,SUMIFS($J:$J,$B:$B,$B564,$A:$A,"&gt;="&amp;COUNTIFS($K$1:O$1,"&lt;&gt;"))),0)</f>
        <v>0</v>
      </c>
      <c r="P564">
        <f>IFERROR($J564/IF($A564&lt;COUNTIFS($K$1:P$1,"&lt;&gt;"),0,SUMIFS($J:$J,$B:$B,$B564,$A:$A,"&gt;="&amp;COUNTIFS($K$1:P$1,"&lt;&gt;"))),0)</f>
        <v>0</v>
      </c>
      <c r="Q564">
        <f>IFERROR($J564/IF($A564&lt;COUNTIFS($K$1:Q$1,"&lt;&gt;"),0,SUMIFS($J:$J,$B:$B,$B564,$A:$A,"&gt;="&amp;COUNTIFS($K$1:Q$1,"&lt;&gt;"))),0)</f>
        <v>0</v>
      </c>
      <c r="R564">
        <f>IFERROR($J564/IF($A564&lt;COUNTIFS($K$1:R$1,"&lt;&gt;"),0,SUMIFS($J:$J,$B:$B,$B564,$A:$A,"&gt;="&amp;COUNTIFS($K$1:R$1,"&lt;&gt;"))),0)</f>
        <v>0</v>
      </c>
      <c r="S564">
        <f>IFERROR($J564/IF($A564&lt;COUNTIFS($K$1:S$1,"&lt;&gt;"),0,SUMIFS($J:$J,$B:$B,$B564,$A:$A,"&gt;="&amp;COUNTIFS($K$1:S$1,"&lt;&gt;"))),0)</f>
        <v>0</v>
      </c>
      <c r="T564">
        <f>IFERROR($J564/IF($A564&lt;COUNTIFS($K$1:T$1,"&lt;&gt;"),0,SUMIFS($J:$J,$B:$B,$B564,$A:$A,"&gt;="&amp;COUNTIFS($K$1:T$1,"&lt;&gt;"))),0)</f>
        <v>0</v>
      </c>
      <c r="U564">
        <f>IFERROR($J564/IF($A564&lt;COUNTIFS($K$1:U$1,"&lt;&gt;"),0,SUMIFS($J:$J,$B:$B,$B564,$A:$A,"&gt;="&amp;COUNTIFS($K$1:U$1,"&lt;&gt;"))),0)</f>
        <v>0</v>
      </c>
      <c r="V564">
        <f>IFERROR($J564/IF($A564&lt;COUNTIFS($K$1:V$1,"&lt;&gt;"),0,SUMIFS($J:$J,$B:$B,$B564,$A:$A,"&gt;="&amp;COUNTIFS($K$1:V$1,"&lt;&gt;"))),0)</f>
        <v>0</v>
      </c>
      <c r="W564">
        <f t="shared" si="200"/>
        <v>8.1967213114754092E-2</v>
      </c>
      <c r="X564">
        <f t="shared" si="180"/>
        <v>8.1967213114754092E-2</v>
      </c>
      <c r="Y564">
        <f t="shared" si="181"/>
        <v>8.1967213114754092E-2</v>
      </c>
      <c r="Z564">
        <f t="shared" si="182"/>
        <v>8.1967213114754092E-2</v>
      </c>
      <c r="AA564">
        <f t="shared" si="183"/>
        <v>0</v>
      </c>
      <c r="AB564">
        <f t="shared" si="184"/>
        <v>0</v>
      </c>
      <c r="AC564">
        <f t="shared" si="185"/>
        <v>0</v>
      </c>
      <c r="AD564">
        <f t="shared" si="186"/>
        <v>0</v>
      </c>
      <c r="AE564">
        <f t="shared" si="187"/>
        <v>0</v>
      </c>
      <c r="AF564">
        <f t="shared" si="188"/>
        <v>0</v>
      </c>
      <c r="AG564">
        <f t="shared" si="189"/>
        <v>0</v>
      </c>
      <c r="AH564">
        <f t="shared" si="190"/>
        <v>0</v>
      </c>
      <c r="AI564">
        <f t="shared" si="191"/>
        <v>0</v>
      </c>
      <c r="AJ564" s="2" t="str">
        <f t="shared" si="201"/>
        <v>345139</v>
      </c>
    </row>
    <row r="565" spans="1:36" x14ac:dyDescent="0.25">
      <c r="A565">
        <v>4</v>
      </c>
      <c r="B565" s="1">
        <v>45139</v>
      </c>
      <c r="C565" s="1">
        <f t="shared" si="192"/>
        <v>45261</v>
      </c>
      <c r="D565" s="1">
        <f t="shared" si="193"/>
        <v>45153</v>
      </c>
      <c r="E565" s="1">
        <f t="shared" si="194"/>
        <v>45261</v>
      </c>
      <c r="F565" s="1">
        <f t="shared" si="195"/>
        <v>45292</v>
      </c>
      <c r="G565" s="1">
        <f t="shared" si="196"/>
        <v>45519</v>
      </c>
      <c r="H565">
        <f t="shared" si="197"/>
        <v>366</v>
      </c>
      <c r="I565">
        <f t="shared" si="198"/>
        <v>31</v>
      </c>
      <c r="J565">
        <f t="shared" si="199"/>
        <v>8.4699453551912565E-2</v>
      </c>
      <c r="K565">
        <f>IFERROR($J565/IF($A565&lt;COUNTIFS($K$1:K$1,"&lt;&gt;"),0,SUMIFS($J:$J,$B:$B,$B565,$A:$A,"&gt;="&amp;COUNTIFS($K$1:K$1,"&lt;&gt;"))),0)</f>
        <v>8.882521489971347E-2</v>
      </c>
      <c r="L565">
        <f>IFERROR($J565/IF($A565&lt;COUNTIFS($K$1:L$1,"&lt;&gt;"),0,SUMIFS($J:$J,$B:$B,$B565,$A:$A,"&gt;="&amp;COUNTIFS($K$1:L$1,"&lt;&gt;"))),0)</f>
        <v>9.7178683385579931E-2</v>
      </c>
      <c r="M565">
        <f>IFERROR($J565/IF($A565&lt;COUNTIFS($K$1:M$1,"&lt;&gt;"),0,SUMIFS($J:$J,$B:$B,$B565,$A:$A,"&gt;="&amp;COUNTIFS($K$1:M$1,"&lt;&gt;"))),0)</f>
        <v>0.10763888888888888</v>
      </c>
      <c r="N565">
        <f>IFERROR($J565/IF($A565&lt;COUNTIFS($K$1:N$1,"&lt;&gt;"),0,SUMIFS($J:$J,$B:$B,$B565,$A:$A,"&gt;="&amp;COUNTIFS($K$1:N$1,"&lt;&gt;"))),0)</f>
        <v>0.12015503875968991</v>
      </c>
      <c r="O565">
        <f>IFERROR($J565/IF($A565&lt;COUNTIFS($K$1:O$1,"&lt;&gt;"),0,SUMIFS($J:$J,$B:$B,$B565,$A:$A,"&gt;="&amp;COUNTIFS($K$1:O$1,"&lt;&gt;"))),0)</f>
        <v>0</v>
      </c>
      <c r="P565">
        <f>IFERROR($J565/IF($A565&lt;COUNTIFS($K$1:P$1,"&lt;&gt;"),0,SUMIFS($J:$J,$B:$B,$B565,$A:$A,"&gt;="&amp;COUNTIFS($K$1:P$1,"&lt;&gt;"))),0)</f>
        <v>0</v>
      </c>
      <c r="Q565">
        <f>IFERROR($J565/IF($A565&lt;COUNTIFS($K$1:Q$1,"&lt;&gt;"),0,SUMIFS($J:$J,$B:$B,$B565,$A:$A,"&gt;="&amp;COUNTIFS($K$1:Q$1,"&lt;&gt;"))),0)</f>
        <v>0</v>
      </c>
      <c r="R565">
        <f>IFERROR($J565/IF($A565&lt;COUNTIFS($K$1:R$1,"&lt;&gt;"),0,SUMIFS($J:$J,$B:$B,$B565,$A:$A,"&gt;="&amp;COUNTIFS($K$1:R$1,"&lt;&gt;"))),0)</f>
        <v>0</v>
      </c>
      <c r="S565">
        <f>IFERROR($J565/IF($A565&lt;COUNTIFS($K$1:S$1,"&lt;&gt;"),0,SUMIFS($J:$J,$B:$B,$B565,$A:$A,"&gt;="&amp;COUNTIFS($K$1:S$1,"&lt;&gt;"))),0)</f>
        <v>0</v>
      </c>
      <c r="T565">
        <f>IFERROR($J565/IF($A565&lt;COUNTIFS($K$1:T$1,"&lt;&gt;"),0,SUMIFS($J:$J,$B:$B,$B565,$A:$A,"&gt;="&amp;COUNTIFS($K$1:T$1,"&lt;&gt;"))),0)</f>
        <v>0</v>
      </c>
      <c r="U565">
        <f>IFERROR($J565/IF($A565&lt;COUNTIFS($K$1:U$1,"&lt;&gt;"),0,SUMIFS($J:$J,$B:$B,$B565,$A:$A,"&gt;="&amp;COUNTIFS($K$1:U$1,"&lt;&gt;"))),0)</f>
        <v>0</v>
      </c>
      <c r="V565">
        <f>IFERROR($J565/IF($A565&lt;COUNTIFS($K$1:V$1,"&lt;&gt;"),0,SUMIFS($J:$J,$B:$B,$B565,$A:$A,"&gt;="&amp;COUNTIFS($K$1:V$1,"&lt;&gt;"))),0)</f>
        <v>0</v>
      </c>
      <c r="W565">
        <f t="shared" si="200"/>
        <v>8.4699453551912565E-2</v>
      </c>
      <c r="X565">
        <f t="shared" si="180"/>
        <v>8.4699453551912565E-2</v>
      </c>
      <c r="Y565">
        <f t="shared" si="181"/>
        <v>8.4699453551912565E-2</v>
      </c>
      <c r="Z565">
        <f t="shared" si="182"/>
        <v>8.4699453551912565E-2</v>
      </c>
      <c r="AA565">
        <f t="shared" si="183"/>
        <v>8.4699453551912565E-2</v>
      </c>
      <c r="AB565">
        <f t="shared" si="184"/>
        <v>0</v>
      </c>
      <c r="AC565">
        <f t="shared" si="185"/>
        <v>0</v>
      </c>
      <c r="AD565">
        <f t="shared" si="186"/>
        <v>0</v>
      </c>
      <c r="AE565">
        <f t="shared" si="187"/>
        <v>0</v>
      </c>
      <c r="AF565">
        <f t="shared" si="188"/>
        <v>0</v>
      </c>
      <c r="AG565">
        <f t="shared" si="189"/>
        <v>0</v>
      </c>
      <c r="AH565">
        <f t="shared" si="190"/>
        <v>0</v>
      </c>
      <c r="AI565">
        <f t="shared" si="191"/>
        <v>0</v>
      </c>
      <c r="AJ565" s="2" t="str">
        <f t="shared" si="201"/>
        <v>445139</v>
      </c>
    </row>
    <row r="566" spans="1:36" x14ac:dyDescent="0.25">
      <c r="A566">
        <v>5</v>
      </c>
      <c r="B566" s="1">
        <v>45139</v>
      </c>
      <c r="C566" s="1">
        <f t="shared" si="192"/>
        <v>45292</v>
      </c>
      <c r="D566" s="1">
        <f t="shared" si="193"/>
        <v>45153</v>
      </c>
      <c r="E566" s="1">
        <f t="shared" si="194"/>
        <v>45292</v>
      </c>
      <c r="F566" s="1">
        <f t="shared" si="195"/>
        <v>45323</v>
      </c>
      <c r="G566" s="1">
        <f t="shared" si="196"/>
        <v>45519</v>
      </c>
      <c r="H566">
        <f t="shared" si="197"/>
        <v>366</v>
      </c>
      <c r="I566">
        <f t="shared" si="198"/>
        <v>31</v>
      </c>
      <c r="J566">
        <f t="shared" si="199"/>
        <v>8.4699453551912565E-2</v>
      </c>
      <c r="K566">
        <f>IFERROR($J566/IF($A566&lt;COUNTIFS($K$1:K$1,"&lt;&gt;"),0,SUMIFS($J:$J,$B:$B,$B566,$A:$A,"&gt;="&amp;COUNTIFS($K$1:K$1,"&lt;&gt;"))),0)</f>
        <v>8.882521489971347E-2</v>
      </c>
      <c r="L566">
        <f>IFERROR($J566/IF($A566&lt;COUNTIFS($K$1:L$1,"&lt;&gt;"),0,SUMIFS($J:$J,$B:$B,$B566,$A:$A,"&gt;="&amp;COUNTIFS($K$1:L$1,"&lt;&gt;"))),0)</f>
        <v>9.7178683385579931E-2</v>
      </c>
      <c r="M566">
        <f>IFERROR($J566/IF($A566&lt;COUNTIFS($K$1:M$1,"&lt;&gt;"),0,SUMIFS($J:$J,$B:$B,$B566,$A:$A,"&gt;="&amp;COUNTIFS($K$1:M$1,"&lt;&gt;"))),0)</f>
        <v>0.10763888888888888</v>
      </c>
      <c r="N566">
        <f>IFERROR($J566/IF($A566&lt;COUNTIFS($K$1:N$1,"&lt;&gt;"),0,SUMIFS($J:$J,$B:$B,$B566,$A:$A,"&gt;="&amp;COUNTIFS($K$1:N$1,"&lt;&gt;"))),0)</f>
        <v>0.12015503875968991</v>
      </c>
      <c r="O566">
        <f>IFERROR($J566/IF($A566&lt;COUNTIFS($K$1:O$1,"&lt;&gt;"),0,SUMIFS($J:$J,$B:$B,$B566,$A:$A,"&gt;="&amp;COUNTIFS($K$1:O$1,"&lt;&gt;"))),0)</f>
        <v>0.13656387665198236</v>
      </c>
      <c r="P566">
        <f>IFERROR($J566/IF($A566&lt;COUNTIFS($K$1:P$1,"&lt;&gt;"),0,SUMIFS($J:$J,$B:$B,$B566,$A:$A,"&gt;="&amp;COUNTIFS($K$1:P$1,"&lt;&gt;"))),0)</f>
        <v>0</v>
      </c>
      <c r="Q566">
        <f>IFERROR($J566/IF($A566&lt;COUNTIFS($K$1:Q$1,"&lt;&gt;"),0,SUMIFS($J:$J,$B:$B,$B566,$A:$A,"&gt;="&amp;COUNTIFS($K$1:Q$1,"&lt;&gt;"))),0)</f>
        <v>0</v>
      </c>
      <c r="R566">
        <f>IFERROR($J566/IF($A566&lt;COUNTIFS($K$1:R$1,"&lt;&gt;"),0,SUMIFS($J:$J,$B:$B,$B566,$A:$A,"&gt;="&amp;COUNTIFS($K$1:R$1,"&lt;&gt;"))),0)</f>
        <v>0</v>
      </c>
      <c r="S566">
        <f>IFERROR($J566/IF($A566&lt;COUNTIFS($K$1:S$1,"&lt;&gt;"),0,SUMIFS($J:$J,$B:$B,$B566,$A:$A,"&gt;="&amp;COUNTIFS($K$1:S$1,"&lt;&gt;"))),0)</f>
        <v>0</v>
      </c>
      <c r="T566">
        <f>IFERROR($J566/IF($A566&lt;COUNTIFS($K$1:T$1,"&lt;&gt;"),0,SUMIFS($J:$J,$B:$B,$B566,$A:$A,"&gt;="&amp;COUNTIFS($K$1:T$1,"&lt;&gt;"))),0)</f>
        <v>0</v>
      </c>
      <c r="U566">
        <f>IFERROR($J566/IF($A566&lt;COUNTIFS($K$1:U$1,"&lt;&gt;"),0,SUMIFS($J:$J,$B:$B,$B566,$A:$A,"&gt;="&amp;COUNTIFS($K$1:U$1,"&lt;&gt;"))),0)</f>
        <v>0</v>
      </c>
      <c r="V566">
        <f>IFERROR($J566/IF($A566&lt;COUNTIFS($K$1:V$1,"&lt;&gt;"),0,SUMIFS($J:$J,$B:$B,$B566,$A:$A,"&gt;="&amp;COUNTIFS($K$1:V$1,"&lt;&gt;"))),0)</f>
        <v>0</v>
      </c>
      <c r="W566">
        <f t="shared" si="200"/>
        <v>8.4699453551912565E-2</v>
      </c>
      <c r="X566">
        <f t="shared" si="180"/>
        <v>8.4699453551912565E-2</v>
      </c>
      <c r="Y566">
        <f t="shared" si="181"/>
        <v>8.4699453551912565E-2</v>
      </c>
      <c r="Z566">
        <f t="shared" si="182"/>
        <v>8.4699453551912565E-2</v>
      </c>
      <c r="AA566">
        <f t="shared" si="183"/>
        <v>8.4699453551912565E-2</v>
      </c>
      <c r="AB566">
        <f t="shared" si="184"/>
        <v>8.4699453551912565E-2</v>
      </c>
      <c r="AC566">
        <f t="shared" si="185"/>
        <v>0</v>
      </c>
      <c r="AD566">
        <f t="shared" si="186"/>
        <v>0</v>
      </c>
      <c r="AE566">
        <f t="shared" si="187"/>
        <v>0</v>
      </c>
      <c r="AF566">
        <f t="shared" si="188"/>
        <v>0</v>
      </c>
      <c r="AG566">
        <f t="shared" si="189"/>
        <v>0</v>
      </c>
      <c r="AH566">
        <f t="shared" si="190"/>
        <v>0</v>
      </c>
      <c r="AI566">
        <f t="shared" si="191"/>
        <v>0</v>
      </c>
      <c r="AJ566" s="2" t="str">
        <f t="shared" si="201"/>
        <v>545139</v>
      </c>
    </row>
    <row r="567" spans="1:36" x14ac:dyDescent="0.25">
      <c r="A567">
        <v>6</v>
      </c>
      <c r="B567" s="1">
        <v>45139</v>
      </c>
      <c r="C567" s="1">
        <f t="shared" si="192"/>
        <v>45323</v>
      </c>
      <c r="D567" s="1">
        <f t="shared" si="193"/>
        <v>45153</v>
      </c>
      <c r="E567" s="1">
        <f t="shared" si="194"/>
        <v>45323</v>
      </c>
      <c r="F567" s="1">
        <f t="shared" si="195"/>
        <v>45352</v>
      </c>
      <c r="G567" s="1">
        <f t="shared" si="196"/>
        <v>45519</v>
      </c>
      <c r="H567">
        <f t="shared" si="197"/>
        <v>366</v>
      </c>
      <c r="I567">
        <f t="shared" si="198"/>
        <v>29</v>
      </c>
      <c r="J567">
        <f t="shared" si="199"/>
        <v>7.9234972677595633E-2</v>
      </c>
      <c r="K567">
        <f>IFERROR($J567/IF($A567&lt;COUNTIFS($K$1:K$1,"&lt;&gt;"),0,SUMIFS($J:$J,$B:$B,$B567,$A:$A,"&gt;="&amp;COUNTIFS($K$1:K$1,"&lt;&gt;"))),0)</f>
        <v>8.3094555873925516E-2</v>
      </c>
      <c r="L567">
        <f>IFERROR($J567/IF($A567&lt;COUNTIFS($K$1:L$1,"&lt;&gt;"),0,SUMIFS($J:$J,$B:$B,$B567,$A:$A,"&gt;="&amp;COUNTIFS($K$1:L$1,"&lt;&gt;"))),0)</f>
        <v>9.0909090909090912E-2</v>
      </c>
      <c r="M567">
        <f>IFERROR($J567/IF($A567&lt;COUNTIFS($K$1:M$1,"&lt;&gt;"),0,SUMIFS($J:$J,$B:$B,$B567,$A:$A,"&gt;="&amp;COUNTIFS($K$1:M$1,"&lt;&gt;"))),0)</f>
        <v>0.10069444444444445</v>
      </c>
      <c r="N567">
        <f>IFERROR($J567/IF($A567&lt;COUNTIFS($K$1:N$1,"&lt;&gt;"),0,SUMIFS($J:$J,$B:$B,$B567,$A:$A,"&gt;="&amp;COUNTIFS($K$1:N$1,"&lt;&gt;"))),0)</f>
        <v>0.1124031007751938</v>
      </c>
      <c r="O567">
        <f>IFERROR($J567/IF($A567&lt;COUNTIFS($K$1:O$1,"&lt;&gt;"),0,SUMIFS($J:$J,$B:$B,$B567,$A:$A,"&gt;="&amp;COUNTIFS($K$1:O$1,"&lt;&gt;"))),0)</f>
        <v>0.1277533039647577</v>
      </c>
      <c r="P567">
        <f>IFERROR($J567/IF($A567&lt;COUNTIFS($K$1:P$1,"&lt;&gt;"),0,SUMIFS($J:$J,$B:$B,$B567,$A:$A,"&gt;="&amp;COUNTIFS($K$1:P$1,"&lt;&gt;"))),0)</f>
        <v>0.14795918367346941</v>
      </c>
      <c r="Q567">
        <f>IFERROR($J567/IF($A567&lt;COUNTIFS($K$1:Q$1,"&lt;&gt;"),0,SUMIFS($J:$J,$B:$B,$B567,$A:$A,"&gt;="&amp;COUNTIFS($K$1:Q$1,"&lt;&gt;"))),0)</f>
        <v>0</v>
      </c>
      <c r="R567">
        <f>IFERROR($J567/IF($A567&lt;COUNTIFS($K$1:R$1,"&lt;&gt;"),0,SUMIFS($J:$J,$B:$B,$B567,$A:$A,"&gt;="&amp;COUNTIFS($K$1:R$1,"&lt;&gt;"))),0)</f>
        <v>0</v>
      </c>
      <c r="S567">
        <f>IFERROR($J567/IF($A567&lt;COUNTIFS($K$1:S$1,"&lt;&gt;"),0,SUMIFS($J:$J,$B:$B,$B567,$A:$A,"&gt;="&amp;COUNTIFS($K$1:S$1,"&lt;&gt;"))),0)</f>
        <v>0</v>
      </c>
      <c r="T567">
        <f>IFERROR($J567/IF($A567&lt;COUNTIFS($K$1:T$1,"&lt;&gt;"),0,SUMIFS($J:$J,$B:$B,$B567,$A:$A,"&gt;="&amp;COUNTIFS($K$1:T$1,"&lt;&gt;"))),0)</f>
        <v>0</v>
      </c>
      <c r="U567">
        <f>IFERROR($J567/IF($A567&lt;COUNTIFS($K$1:U$1,"&lt;&gt;"),0,SUMIFS($J:$J,$B:$B,$B567,$A:$A,"&gt;="&amp;COUNTIFS($K$1:U$1,"&lt;&gt;"))),0)</f>
        <v>0</v>
      </c>
      <c r="V567">
        <f>IFERROR($J567/IF($A567&lt;COUNTIFS($K$1:V$1,"&lt;&gt;"),0,SUMIFS($J:$J,$B:$B,$B567,$A:$A,"&gt;="&amp;COUNTIFS($K$1:V$1,"&lt;&gt;"))),0)</f>
        <v>0</v>
      </c>
      <c r="W567">
        <f t="shared" si="200"/>
        <v>7.9234972677595633E-2</v>
      </c>
      <c r="X567">
        <f t="shared" si="180"/>
        <v>7.9234972677595633E-2</v>
      </c>
      <c r="Y567">
        <f t="shared" si="181"/>
        <v>7.9234972677595633E-2</v>
      </c>
      <c r="Z567">
        <f t="shared" si="182"/>
        <v>7.9234972677595633E-2</v>
      </c>
      <c r="AA567">
        <f t="shared" si="183"/>
        <v>7.9234972677595633E-2</v>
      </c>
      <c r="AB567">
        <f t="shared" si="184"/>
        <v>7.9234972677595633E-2</v>
      </c>
      <c r="AC567">
        <f t="shared" si="185"/>
        <v>7.9234972677595633E-2</v>
      </c>
      <c r="AD567">
        <f t="shared" si="186"/>
        <v>0</v>
      </c>
      <c r="AE567">
        <f t="shared" si="187"/>
        <v>0</v>
      </c>
      <c r="AF567">
        <f t="shared" si="188"/>
        <v>0</v>
      </c>
      <c r="AG567">
        <f t="shared" si="189"/>
        <v>0</v>
      </c>
      <c r="AH567">
        <f t="shared" si="190"/>
        <v>0</v>
      </c>
      <c r="AI567">
        <f t="shared" si="191"/>
        <v>0</v>
      </c>
      <c r="AJ567" s="2" t="str">
        <f t="shared" si="201"/>
        <v>645139</v>
      </c>
    </row>
    <row r="568" spans="1:36" x14ac:dyDescent="0.25">
      <c r="A568">
        <v>7</v>
      </c>
      <c r="B568" s="1">
        <v>45139</v>
      </c>
      <c r="C568" s="1">
        <f t="shared" si="192"/>
        <v>45352</v>
      </c>
      <c r="D568" s="1">
        <f t="shared" si="193"/>
        <v>45153</v>
      </c>
      <c r="E568" s="1">
        <f t="shared" si="194"/>
        <v>45352</v>
      </c>
      <c r="F568" s="1">
        <f t="shared" si="195"/>
        <v>45383</v>
      </c>
      <c r="G568" s="1">
        <f t="shared" si="196"/>
        <v>45519</v>
      </c>
      <c r="H568">
        <f t="shared" si="197"/>
        <v>366</v>
      </c>
      <c r="I568">
        <f t="shared" si="198"/>
        <v>31</v>
      </c>
      <c r="J568">
        <f t="shared" si="199"/>
        <v>8.4699453551912565E-2</v>
      </c>
      <c r="K568">
        <f>IFERROR($J568/IF($A568&lt;COUNTIFS($K$1:K$1,"&lt;&gt;"),0,SUMIFS($J:$J,$B:$B,$B568,$A:$A,"&gt;="&amp;COUNTIFS($K$1:K$1,"&lt;&gt;"))),0)</f>
        <v>8.882521489971347E-2</v>
      </c>
      <c r="L568">
        <f>IFERROR($J568/IF($A568&lt;COUNTIFS($K$1:L$1,"&lt;&gt;"),0,SUMIFS($J:$J,$B:$B,$B568,$A:$A,"&gt;="&amp;COUNTIFS($K$1:L$1,"&lt;&gt;"))),0)</f>
        <v>9.7178683385579931E-2</v>
      </c>
      <c r="M568">
        <f>IFERROR($J568/IF($A568&lt;COUNTIFS($K$1:M$1,"&lt;&gt;"),0,SUMIFS($J:$J,$B:$B,$B568,$A:$A,"&gt;="&amp;COUNTIFS($K$1:M$1,"&lt;&gt;"))),0)</f>
        <v>0.10763888888888888</v>
      </c>
      <c r="N568">
        <f>IFERROR($J568/IF($A568&lt;COUNTIFS($K$1:N$1,"&lt;&gt;"),0,SUMIFS($J:$J,$B:$B,$B568,$A:$A,"&gt;="&amp;COUNTIFS($K$1:N$1,"&lt;&gt;"))),0)</f>
        <v>0.12015503875968991</v>
      </c>
      <c r="O568">
        <f>IFERROR($J568/IF($A568&lt;COUNTIFS($K$1:O$1,"&lt;&gt;"),0,SUMIFS($J:$J,$B:$B,$B568,$A:$A,"&gt;="&amp;COUNTIFS($K$1:O$1,"&lt;&gt;"))),0)</f>
        <v>0.13656387665198236</v>
      </c>
      <c r="P568">
        <f>IFERROR($J568/IF($A568&lt;COUNTIFS($K$1:P$1,"&lt;&gt;"),0,SUMIFS($J:$J,$B:$B,$B568,$A:$A,"&gt;="&amp;COUNTIFS($K$1:P$1,"&lt;&gt;"))),0)</f>
        <v>0.15816326530612246</v>
      </c>
      <c r="Q568">
        <f>IFERROR($J568/IF($A568&lt;COUNTIFS($K$1:Q$1,"&lt;&gt;"),0,SUMIFS($J:$J,$B:$B,$B568,$A:$A,"&gt;="&amp;COUNTIFS($K$1:Q$1,"&lt;&gt;"))),0)</f>
        <v>0.18562874251497008</v>
      </c>
      <c r="R568">
        <f>IFERROR($J568/IF($A568&lt;COUNTIFS($K$1:R$1,"&lt;&gt;"),0,SUMIFS($J:$J,$B:$B,$B568,$A:$A,"&gt;="&amp;COUNTIFS($K$1:R$1,"&lt;&gt;"))),0)</f>
        <v>0</v>
      </c>
      <c r="S568">
        <f>IFERROR($J568/IF($A568&lt;COUNTIFS($K$1:S$1,"&lt;&gt;"),0,SUMIFS($J:$J,$B:$B,$B568,$A:$A,"&gt;="&amp;COUNTIFS($K$1:S$1,"&lt;&gt;"))),0)</f>
        <v>0</v>
      </c>
      <c r="T568">
        <f>IFERROR($J568/IF($A568&lt;COUNTIFS($K$1:T$1,"&lt;&gt;"),0,SUMIFS($J:$J,$B:$B,$B568,$A:$A,"&gt;="&amp;COUNTIFS($K$1:T$1,"&lt;&gt;"))),0)</f>
        <v>0</v>
      </c>
      <c r="U568">
        <f>IFERROR($J568/IF($A568&lt;COUNTIFS($K$1:U$1,"&lt;&gt;"),0,SUMIFS($J:$J,$B:$B,$B568,$A:$A,"&gt;="&amp;COUNTIFS($K$1:U$1,"&lt;&gt;"))),0)</f>
        <v>0</v>
      </c>
      <c r="V568">
        <f>IFERROR($J568/IF($A568&lt;COUNTIFS($K$1:V$1,"&lt;&gt;"),0,SUMIFS($J:$J,$B:$B,$B568,$A:$A,"&gt;="&amp;COUNTIFS($K$1:V$1,"&lt;&gt;"))),0)</f>
        <v>0</v>
      </c>
      <c r="W568">
        <f t="shared" si="200"/>
        <v>8.4699453551912565E-2</v>
      </c>
      <c r="X568">
        <f t="shared" si="180"/>
        <v>8.4699453551912565E-2</v>
      </c>
      <c r="Y568">
        <f t="shared" si="181"/>
        <v>8.4699453551912565E-2</v>
      </c>
      <c r="Z568">
        <f t="shared" si="182"/>
        <v>8.4699453551912565E-2</v>
      </c>
      <c r="AA568">
        <f t="shared" si="183"/>
        <v>8.4699453551912565E-2</v>
      </c>
      <c r="AB568">
        <f t="shared" si="184"/>
        <v>8.4699453551912565E-2</v>
      </c>
      <c r="AC568">
        <f t="shared" si="185"/>
        <v>8.4699453551912565E-2</v>
      </c>
      <c r="AD568">
        <f t="shared" si="186"/>
        <v>8.4699453551912565E-2</v>
      </c>
      <c r="AE568">
        <f t="shared" si="187"/>
        <v>0</v>
      </c>
      <c r="AF568">
        <f t="shared" si="188"/>
        <v>0</v>
      </c>
      <c r="AG568">
        <f t="shared" si="189"/>
        <v>0</v>
      </c>
      <c r="AH568">
        <f t="shared" si="190"/>
        <v>0</v>
      </c>
      <c r="AI568">
        <f t="shared" si="191"/>
        <v>0</v>
      </c>
      <c r="AJ568" s="2" t="str">
        <f t="shared" si="201"/>
        <v>745139</v>
      </c>
    </row>
    <row r="569" spans="1:36" x14ac:dyDescent="0.25">
      <c r="A569">
        <v>8</v>
      </c>
      <c r="B569" s="1">
        <v>45139</v>
      </c>
      <c r="C569" s="1">
        <f t="shared" si="192"/>
        <v>45383</v>
      </c>
      <c r="D569" s="1">
        <f t="shared" si="193"/>
        <v>45153</v>
      </c>
      <c r="E569" s="1">
        <f t="shared" si="194"/>
        <v>45383</v>
      </c>
      <c r="F569" s="1">
        <f t="shared" si="195"/>
        <v>45413</v>
      </c>
      <c r="G569" s="1">
        <f t="shared" si="196"/>
        <v>45519</v>
      </c>
      <c r="H569">
        <f t="shared" si="197"/>
        <v>366</v>
      </c>
      <c r="I569">
        <f t="shared" si="198"/>
        <v>30</v>
      </c>
      <c r="J569">
        <f t="shared" si="199"/>
        <v>8.1967213114754092E-2</v>
      </c>
      <c r="K569">
        <f>IFERROR($J569/IF($A569&lt;COUNTIFS($K$1:K$1,"&lt;&gt;"),0,SUMIFS($J:$J,$B:$B,$B569,$A:$A,"&gt;="&amp;COUNTIFS($K$1:K$1,"&lt;&gt;"))),0)</f>
        <v>8.5959885386819479E-2</v>
      </c>
      <c r="L569">
        <f>IFERROR($J569/IF($A569&lt;COUNTIFS($K$1:L$1,"&lt;&gt;"),0,SUMIFS($J:$J,$B:$B,$B569,$A:$A,"&gt;="&amp;COUNTIFS($K$1:L$1,"&lt;&gt;"))),0)</f>
        <v>9.4043887147335414E-2</v>
      </c>
      <c r="M569">
        <f>IFERROR($J569/IF($A569&lt;COUNTIFS($K$1:M$1,"&lt;&gt;"),0,SUMIFS($J:$J,$B:$B,$B569,$A:$A,"&gt;="&amp;COUNTIFS($K$1:M$1,"&lt;&gt;"))),0)</f>
        <v>0.10416666666666666</v>
      </c>
      <c r="N569">
        <f>IFERROR($J569/IF($A569&lt;COUNTIFS($K$1:N$1,"&lt;&gt;"),0,SUMIFS($J:$J,$B:$B,$B569,$A:$A,"&gt;="&amp;COUNTIFS($K$1:N$1,"&lt;&gt;"))),0)</f>
        <v>0.11627906976744184</v>
      </c>
      <c r="O569">
        <f>IFERROR($J569/IF($A569&lt;COUNTIFS($K$1:O$1,"&lt;&gt;"),0,SUMIFS($J:$J,$B:$B,$B569,$A:$A,"&gt;="&amp;COUNTIFS($K$1:O$1,"&lt;&gt;"))),0)</f>
        <v>0.13215859030837002</v>
      </c>
      <c r="P569">
        <f>IFERROR($J569/IF($A569&lt;COUNTIFS($K$1:P$1,"&lt;&gt;"),0,SUMIFS($J:$J,$B:$B,$B569,$A:$A,"&gt;="&amp;COUNTIFS($K$1:P$1,"&lt;&gt;"))),0)</f>
        <v>0.15306122448979592</v>
      </c>
      <c r="Q569">
        <f>IFERROR($J569/IF($A569&lt;COUNTIFS($K$1:Q$1,"&lt;&gt;"),0,SUMIFS($J:$J,$B:$B,$B569,$A:$A,"&gt;="&amp;COUNTIFS($K$1:Q$1,"&lt;&gt;"))),0)</f>
        <v>0.17964071856287425</v>
      </c>
      <c r="R569">
        <f>IFERROR($J569/IF($A569&lt;COUNTIFS($K$1:R$1,"&lt;&gt;"),0,SUMIFS($J:$J,$B:$B,$B569,$A:$A,"&gt;="&amp;COUNTIFS($K$1:R$1,"&lt;&gt;"))),0)</f>
        <v>0.22058823529411764</v>
      </c>
      <c r="S569">
        <f>IFERROR($J569/IF($A569&lt;COUNTIFS($K$1:S$1,"&lt;&gt;"),0,SUMIFS($J:$J,$B:$B,$B569,$A:$A,"&gt;="&amp;COUNTIFS($K$1:S$1,"&lt;&gt;"))),0)</f>
        <v>0</v>
      </c>
      <c r="T569">
        <f>IFERROR($J569/IF($A569&lt;COUNTIFS($K$1:T$1,"&lt;&gt;"),0,SUMIFS($J:$J,$B:$B,$B569,$A:$A,"&gt;="&amp;COUNTIFS($K$1:T$1,"&lt;&gt;"))),0)</f>
        <v>0</v>
      </c>
      <c r="U569">
        <f>IFERROR($J569/IF($A569&lt;COUNTIFS($K$1:U$1,"&lt;&gt;"),0,SUMIFS($J:$J,$B:$B,$B569,$A:$A,"&gt;="&amp;COUNTIFS($K$1:U$1,"&lt;&gt;"))),0)</f>
        <v>0</v>
      </c>
      <c r="V569">
        <f>IFERROR($J569/IF($A569&lt;COUNTIFS($K$1:V$1,"&lt;&gt;"),0,SUMIFS($J:$J,$B:$B,$B569,$A:$A,"&gt;="&amp;COUNTIFS($K$1:V$1,"&lt;&gt;"))),0)</f>
        <v>0</v>
      </c>
      <c r="W569">
        <f t="shared" si="200"/>
        <v>8.1967213114754092E-2</v>
      </c>
      <c r="X569">
        <f t="shared" si="180"/>
        <v>8.1967213114754092E-2</v>
      </c>
      <c r="Y569">
        <f t="shared" si="181"/>
        <v>8.1967213114754092E-2</v>
      </c>
      <c r="Z569">
        <f t="shared" si="182"/>
        <v>8.1967213114754092E-2</v>
      </c>
      <c r="AA569">
        <f t="shared" si="183"/>
        <v>8.1967213114754092E-2</v>
      </c>
      <c r="AB569">
        <f t="shared" si="184"/>
        <v>8.1967213114754092E-2</v>
      </c>
      <c r="AC569">
        <f t="shared" si="185"/>
        <v>8.1967213114754092E-2</v>
      </c>
      <c r="AD569">
        <f t="shared" si="186"/>
        <v>8.1967213114754092E-2</v>
      </c>
      <c r="AE569">
        <f t="shared" si="187"/>
        <v>8.1967213114754092E-2</v>
      </c>
      <c r="AF569">
        <f t="shared" si="188"/>
        <v>0</v>
      </c>
      <c r="AG569">
        <f t="shared" si="189"/>
        <v>0</v>
      </c>
      <c r="AH569">
        <f t="shared" si="190"/>
        <v>0</v>
      </c>
      <c r="AI569">
        <f t="shared" si="191"/>
        <v>0</v>
      </c>
      <c r="AJ569" s="2" t="str">
        <f t="shared" si="201"/>
        <v>845139</v>
      </c>
    </row>
    <row r="570" spans="1:36" x14ac:dyDescent="0.25">
      <c r="A570">
        <v>9</v>
      </c>
      <c r="B570" s="1">
        <v>45139</v>
      </c>
      <c r="C570" s="1">
        <f t="shared" si="192"/>
        <v>45413</v>
      </c>
      <c r="D570" s="1">
        <f t="shared" si="193"/>
        <v>45153</v>
      </c>
      <c r="E570" s="1">
        <f t="shared" si="194"/>
        <v>45413</v>
      </c>
      <c r="F570" s="1">
        <f t="shared" si="195"/>
        <v>45444</v>
      </c>
      <c r="G570" s="1">
        <f t="shared" si="196"/>
        <v>45519</v>
      </c>
      <c r="H570">
        <f t="shared" si="197"/>
        <v>366</v>
      </c>
      <c r="I570">
        <f t="shared" si="198"/>
        <v>31</v>
      </c>
      <c r="J570">
        <f t="shared" si="199"/>
        <v>8.4699453551912565E-2</v>
      </c>
      <c r="K570">
        <f>IFERROR($J570/IF($A570&lt;COUNTIFS($K$1:K$1,"&lt;&gt;"),0,SUMIFS($J:$J,$B:$B,$B570,$A:$A,"&gt;="&amp;COUNTIFS($K$1:K$1,"&lt;&gt;"))),0)</f>
        <v>8.882521489971347E-2</v>
      </c>
      <c r="L570">
        <f>IFERROR($J570/IF($A570&lt;COUNTIFS($K$1:L$1,"&lt;&gt;"),0,SUMIFS($J:$J,$B:$B,$B570,$A:$A,"&gt;="&amp;COUNTIFS($K$1:L$1,"&lt;&gt;"))),0)</f>
        <v>9.7178683385579931E-2</v>
      </c>
      <c r="M570">
        <f>IFERROR($J570/IF($A570&lt;COUNTIFS($K$1:M$1,"&lt;&gt;"),0,SUMIFS($J:$J,$B:$B,$B570,$A:$A,"&gt;="&amp;COUNTIFS($K$1:M$1,"&lt;&gt;"))),0)</f>
        <v>0.10763888888888888</v>
      </c>
      <c r="N570">
        <f>IFERROR($J570/IF($A570&lt;COUNTIFS($K$1:N$1,"&lt;&gt;"),0,SUMIFS($J:$J,$B:$B,$B570,$A:$A,"&gt;="&amp;COUNTIFS($K$1:N$1,"&lt;&gt;"))),0)</f>
        <v>0.12015503875968991</v>
      </c>
      <c r="O570">
        <f>IFERROR($J570/IF($A570&lt;COUNTIFS($K$1:O$1,"&lt;&gt;"),0,SUMIFS($J:$J,$B:$B,$B570,$A:$A,"&gt;="&amp;COUNTIFS($K$1:O$1,"&lt;&gt;"))),0)</f>
        <v>0.13656387665198236</v>
      </c>
      <c r="P570">
        <f>IFERROR($J570/IF($A570&lt;COUNTIFS($K$1:P$1,"&lt;&gt;"),0,SUMIFS($J:$J,$B:$B,$B570,$A:$A,"&gt;="&amp;COUNTIFS($K$1:P$1,"&lt;&gt;"))),0)</f>
        <v>0.15816326530612246</v>
      </c>
      <c r="Q570">
        <f>IFERROR($J570/IF($A570&lt;COUNTIFS($K$1:Q$1,"&lt;&gt;"),0,SUMIFS($J:$J,$B:$B,$B570,$A:$A,"&gt;="&amp;COUNTIFS($K$1:Q$1,"&lt;&gt;"))),0)</f>
        <v>0.18562874251497008</v>
      </c>
      <c r="R570">
        <f>IFERROR($J570/IF($A570&lt;COUNTIFS($K$1:R$1,"&lt;&gt;"),0,SUMIFS($J:$J,$B:$B,$B570,$A:$A,"&gt;="&amp;COUNTIFS($K$1:R$1,"&lt;&gt;"))),0)</f>
        <v>0.22794117647058826</v>
      </c>
      <c r="S570">
        <f>IFERROR($J570/IF($A570&lt;COUNTIFS($K$1:S$1,"&lt;&gt;"),0,SUMIFS($J:$J,$B:$B,$B570,$A:$A,"&gt;="&amp;COUNTIFS($K$1:S$1,"&lt;&gt;"))),0)</f>
        <v>0.29245283018867924</v>
      </c>
      <c r="T570">
        <f>IFERROR($J570/IF($A570&lt;COUNTIFS($K$1:T$1,"&lt;&gt;"),0,SUMIFS($J:$J,$B:$B,$B570,$A:$A,"&gt;="&amp;COUNTIFS($K$1:T$1,"&lt;&gt;"))),0)</f>
        <v>0</v>
      </c>
      <c r="U570">
        <f>IFERROR($J570/IF($A570&lt;COUNTIFS($K$1:U$1,"&lt;&gt;"),0,SUMIFS($J:$J,$B:$B,$B570,$A:$A,"&gt;="&amp;COUNTIFS($K$1:U$1,"&lt;&gt;"))),0)</f>
        <v>0</v>
      </c>
      <c r="V570">
        <f>IFERROR($J570/IF($A570&lt;COUNTIFS($K$1:V$1,"&lt;&gt;"),0,SUMIFS($J:$J,$B:$B,$B570,$A:$A,"&gt;="&amp;COUNTIFS($K$1:V$1,"&lt;&gt;"))),0)</f>
        <v>0</v>
      </c>
      <c r="W570">
        <f t="shared" si="200"/>
        <v>8.4699453551912565E-2</v>
      </c>
      <c r="X570">
        <f t="shared" si="180"/>
        <v>8.4699453551912565E-2</v>
      </c>
      <c r="Y570">
        <f t="shared" si="181"/>
        <v>8.4699453551912565E-2</v>
      </c>
      <c r="Z570">
        <f t="shared" si="182"/>
        <v>8.4699453551912565E-2</v>
      </c>
      <c r="AA570">
        <f t="shared" si="183"/>
        <v>8.4699453551912565E-2</v>
      </c>
      <c r="AB570">
        <f t="shared" si="184"/>
        <v>8.4699453551912565E-2</v>
      </c>
      <c r="AC570">
        <f t="shared" si="185"/>
        <v>8.4699453551912565E-2</v>
      </c>
      <c r="AD570">
        <f t="shared" si="186"/>
        <v>8.4699453551912565E-2</v>
      </c>
      <c r="AE570">
        <f t="shared" si="187"/>
        <v>8.4699453551912565E-2</v>
      </c>
      <c r="AF570">
        <f t="shared" si="188"/>
        <v>8.4699453551912565E-2</v>
      </c>
      <c r="AG570">
        <f t="shared" si="189"/>
        <v>0</v>
      </c>
      <c r="AH570">
        <f t="shared" si="190"/>
        <v>0</v>
      </c>
      <c r="AI570">
        <f t="shared" si="191"/>
        <v>0</v>
      </c>
      <c r="AJ570" s="2" t="str">
        <f t="shared" si="201"/>
        <v>945139</v>
      </c>
    </row>
    <row r="571" spans="1:36" x14ac:dyDescent="0.25">
      <c r="A571">
        <v>10</v>
      </c>
      <c r="B571" s="1">
        <v>45139</v>
      </c>
      <c r="C571" s="1">
        <f t="shared" si="192"/>
        <v>45444</v>
      </c>
      <c r="D571" s="1">
        <f t="shared" si="193"/>
        <v>45153</v>
      </c>
      <c r="E571" s="1">
        <f t="shared" si="194"/>
        <v>45444</v>
      </c>
      <c r="F571" s="1">
        <f t="shared" si="195"/>
        <v>45474</v>
      </c>
      <c r="G571" s="1">
        <f t="shared" si="196"/>
        <v>45519</v>
      </c>
      <c r="H571">
        <f t="shared" si="197"/>
        <v>366</v>
      </c>
      <c r="I571">
        <f t="shared" si="198"/>
        <v>30</v>
      </c>
      <c r="J571">
        <f t="shared" si="199"/>
        <v>8.1967213114754092E-2</v>
      </c>
      <c r="K571">
        <f>IFERROR($J571/IF($A571&lt;COUNTIFS($K$1:K$1,"&lt;&gt;"),0,SUMIFS($J:$J,$B:$B,$B571,$A:$A,"&gt;="&amp;COUNTIFS($K$1:K$1,"&lt;&gt;"))),0)</f>
        <v>8.5959885386819479E-2</v>
      </c>
      <c r="L571">
        <f>IFERROR($J571/IF($A571&lt;COUNTIFS($K$1:L$1,"&lt;&gt;"),0,SUMIFS($J:$J,$B:$B,$B571,$A:$A,"&gt;="&amp;COUNTIFS($K$1:L$1,"&lt;&gt;"))),0)</f>
        <v>9.4043887147335414E-2</v>
      </c>
      <c r="M571">
        <f>IFERROR($J571/IF($A571&lt;COUNTIFS($K$1:M$1,"&lt;&gt;"),0,SUMIFS($J:$J,$B:$B,$B571,$A:$A,"&gt;="&amp;COUNTIFS($K$1:M$1,"&lt;&gt;"))),0)</f>
        <v>0.10416666666666666</v>
      </c>
      <c r="N571">
        <f>IFERROR($J571/IF($A571&lt;COUNTIFS($K$1:N$1,"&lt;&gt;"),0,SUMIFS($J:$J,$B:$B,$B571,$A:$A,"&gt;="&amp;COUNTIFS($K$1:N$1,"&lt;&gt;"))),0)</f>
        <v>0.11627906976744184</v>
      </c>
      <c r="O571">
        <f>IFERROR($J571/IF($A571&lt;COUNTIFS($K$1:O$1,"&lt;&gt;"),0,SUMIFS($J:$J,$B:$B,$B571,$A:$A,"&gt;="&amp;COUNTIFS($K$1:O$1,"&lt;&gt;"))),0)</f>
        <v>0.13215859030837002</v>
      </c>
      <c r="P571">
        <f>IFERROR($J571/IF($A571&lt;COUNTIFS($K$1:P$1,"&lt;&gt;"),0,SUMIFS($J:$J,$B:$B,$B571,$A:$A,"&gt;="&amp;COUNTIFS($K$1:P$1,"&lt;&gt;"))),0)</f>
        <v>0.15306122448979592</v>
      </c>
      <c r="Q571">
        <f>IFERROR($J571/IF($A571&lt;COUNTIFS($K$1:Q$1,"&lt;&gt;"),0,SUMIFS($J:$J,$B:$B,$B571,$A:$A,"&gt;="&amp;COUNTIFS($K$1:Q$1,"&lt;&gt;"))),0)</f>
        <v>0.17964071856287425</v>
      </c>
      <c r="R571">
        <f>IFERROR($J571/IF($A571&lt;COUNTIFS($K$1:R$1,"&lt;&gt;"),0,SUMIFS($J:$J,$B:$B,$B571,$A:$A,"&gt;="&amp;COUNTIFS($K$1:R$1,"&lt;&gt;"))),0)</f>
        <v>0.22058823529411764</v>
      </c>
      <c r="S571">
        <f>IFERROR($J571/IF($A571&lt;COUNTIFS($K$1:S$1,"&lt;&gt;"),0,SUMIFS($J:$J,$B:$B,$B571,$A:$A,"&gt;="&amp;COUNTIFS($K$1:S$1,"&lt;&gt;"))),0)</f>
        <v>0.28301886792452829</v>
      </c>
      <c r="T571">
        <f>IFERROR($J571/IF($A571&lt;COUNTIFS($K$1:T$1,"&lt;&gt;"),0,SUMIFS($J:$J,$B:$B,$B571,$A:$A,"&gt;="&amp;COUNTIFS($K$1:T$1,"&lt;&gt;"))),0)</f>
        <v>0.39999999999999997</v>
      </c>
      <c r="U571">
        <f>IFERROR($J571/IF($A571&lt;COUNTIFS($K$1:U$1,"&lt;&gt;"),0,SUMIFS($J:$J,$B:$B,$B571,$A:$A,"&gt;="&amp;COUNTIFS($K$1:U$1,"&lt;&gt;"))),0)</f>
        <v>0</v>
      </c>
      <c r="V571">
        <f>IFERROR($J571/IF($A571&lt;COUNTIFS($K$1:V$1,"&lt;&gt;"),0,SUMIFS($J:$J,$B:$B,$B571,$A:$A,"&gt;="&amp;COUNTIFS($K$1:V$1,"&lt;&gt;"))),0)</f>
        <v>0</v>
      </c>
      <c r="W571">
        <f t="shared" si="200"/>
        <v>8.1967213114754092E-2</v>
      </c>
      <c r="X571">
        <f t="shared" si="180"/>
        <v>8.1967213114754092E-2</v>
      </c>
      <c r="Y571">
        <f t="shared" si="181"/>
        <v>8.1967213114754092E-2</v>
      </c>
      <c r="Z571">
        <f t="shared" si="182"/>
        <v>8.1967213114754092E-2</v>
      </c>
      <c r="AA571">
        <f t="shared" si="183"/>
        <v>8.1967213114754092E-2</v>
      </c>
      <c r="AB571">
        <f t="shared" si="184"/>
        <v>8.1967213114754092E-2</v>
      </c>
      <c r="AC571">
        <f t="shared" si="185"/>
        <v>8.1967213114754092E-2</v>
      </c>
      <c r="AD571">
        <f t="shared" si="186"/>
        <v>8.1967213114754092E-2</v>
      </c>
      <c r="AE571">
        <f t="shared" si="187"/>
        <v>8.1967213114754092E-2</v>
      </c>
      <c r="AF571">
        <f t="shared" si="188"/>
        <v>8.1967213114754092E-2</v>
      </c>
      <c r="AG571">
        <f t="shared" si="189"/>
        <v>8.1967213114754092E-2</v>
      </c>
      <c r="AH571">
        <f t="shared" si="190"/>
        <v>0</v>
      </c>
      <c r="AI571">
        <f t="shared" si="191"/>
        <v>0</v>
      </c>
      <c r="AJ571" s="2" t="str">
        <f t="shared" si="201"/>
        <v>1045139</v>
      </c>
    </row>
    <row r="572" spans="1:36" x14ac:dyDescent="0.25">
      <c r="A572">
        <v>11</v>
      </c>
      <c r="B572" s="1">
        <v>45139</v>
      </c>
      <c r="C572" s="1">
        <f t="shared" si="192"/>
        <v>45474</v>
      </c>
      <c r="D572" s="1">
        <f t="shared" si="193"/>
        <v>45153</v>
      </c>
      <c r="E572" s="1">
        <f t="shared" si="194"/>
        <v>45474</v>
      </c>
      <c r="F572" s="1">
        <f t="shared" si="195"/>
        <v>45505</v>
      </c>
      <c r="G572" s="1">
        <f t="shared" si="196"/>
        <v>45519</v>
      </c>
      <c r="H572">
        <f t="shared" si="197"/>
        <v>366</v>
      </c>
      <c r="I572">
        <f t="shared" si="198"/>
        <v>31</v>
      </c>
      <c r="J572">
        <f t="shared" si="199"/>
        <v>8.4699453551912565E-2</v>
      </c>
      <c r="K572">
        <f>IFERROR($J572/IF($A572&lt;COUNTIFS($K$1:K$1,"&lt;&gt;"),0,SUMIFS($J:$J,$B:$B,$B572,$A:$A,"&gt;="&amp;COUNTIFS($K$1:K$1,"&lt;&gt;"))),0)</f>
        <v>8.882521489971347E-2</v>
      </c>
      <c r="L572">
        <f>IFERROR($J572/IF($A572&lt;COUNTIFS($K$1:L$1,"&lt;&gt;"),0,SUMIFS($J:$J,$B:$B,$B572,$A:$A,"&gt;="&amp;COUNTIFS($K$1:L$1,"&lt;&gt;"))),0)</f>
        <v>9.7178683385579931E-2</v>
      </c>
      <c r="M572">
        <f>IFERROR($J572/IF($A572&lt;COUNTIFS($K$1:M$1,"&lt;&gt;"),0,SUMIFS($J:$J,$B:$B,$B572,$A:$A,"&gt;="&amp;COUNTIFS($K$1:M$1,"&lt;&gt;"))),0)</f>
        <v>0.10763888888888888</v>
      </c>
      <c r="N572">
        <f>IFERROR($J572/IF($A572&lt;COUNTIFS($K$1:N$1,"&lt;&gt;"),0,SUMIFS($J:$J,$B:$B,$B572,$A:$A,"&gt;="&amp;COUNTIFS($K$1:N$1,"&lt;&gt;"))),0)</f>
        <v>0.12015503875968991</v>
      </c>
      <c r="O572">
        <f>IFERROR($J572/IF($A572&lt;COUNTIFS($K$1:O$1,"&lt;&gt;"),0,SUMIFS($J:$J,$B:$B,$B572,$A:$A,"&gt;="&amp;COUNTIFS($K$1:O$1,"&lt;&gt;"))),0)</f>
        <v>0.13656387665198236</v>
      </c>
      <c r="P572">
        <f>IFERROR($J572/IF($A572&lt;COUNTIFS($K$1:P$1,"&lt;&gt;"),0,SUMIFS($J:$J,$B:$B,$B572,$A:$A,"&gt;="&amp;COUNTIFS($K$1:P$1,"&lt;&gt;"))),0)</f>
        <v>0.15816326530612246</v>
      </c>
      <c r="Q572">
        <f>IFERROR($J572/IF($A572&lt;COUNTIFS($K$1:Q$1,"&lt;&gt;"),0,SUMIFS($J:$J,$B:$B,$B572,$A:$A,"&gt;="&amp;COUNTIFS($K$1:Q$1,"&lt;&gt;"))),0)</f>
        <v>0.18562874251497008</v>
      </c>
      <c r="R572">
        <f>IFERROR($J572/IF($A572&lt;COUNTIFS($K$1:R$1,"&lt;&gt;"),0,SUMIFS($J:$J,$B:$B,$B572,$A:$A,"&gt;="&amp;COUNTIFS($K$1:R$1,"&lt;&gt;"))),0)</f>
        <v>0.22794117647058826</v>
      </c>
      <c r="S572">
        <f>IFERROR($J572/IF($A572&lt;COUNTIFS($K$1:S$1,"&lt;&gt;"),0,SUMIFS($J:$J,$B:$B,$B572,$A:$A,"&gt;="&amp;COUNTIFS($K$1:S$1,"&lt;&gt;"))),0)</f>
        <v>0.29245283018867924</v>
      </c>
      <c r="T572">
        <f>IFERROR($J572/IF($A572&lt;COUNTIFS($K$1:T$1,"&lt;&gt;"),0,SUMIFS($J:$J,$B:$B,$B572,$A:$A,"&gt;="&amp;COUNTIFS($K$1:T$1,"&lt;&gt;"))),0)</f>
        <v>0.41333333333333333</v>
      </c>
      <c r="U572">
        <f>IFERROR($J572/IF($A572&lt;COUNTIFS($K$1:U$1,"&lt;&gt;"),0,SUMIFS($J:$J,$B:$B,$B572,$A:$A,"&gt;="&amp;COUNTIFS($K$1:U$1,"&lt;&gt;"))),0)</f>
        <v>0.68888888888888888</v>
      </c>
      <c r="V572">
        <f>IFERROR($J572/IF($A572&lt;COUNTIFS($K$1:V$1,"&lt;&gt;"),0,SUMIFS($J:$J,$B:$B,$B572,$A:$A,"&gt;="&amp;COUNTIFS($K$1:V$1,"&lt;&gt;"))),0)</f>
        <v>0</v>
      </c>
      <c r="W572">
        <f t="shared" si="200"/>
        <v>8.4699453551912565E-2</v>
      </c>
      <c r="X572">
        <f t="shared" si="180"/>
        <v>8.4699453551912565E-2</v>
      </c>
      <c r="Y572">
        <f t="shared" si="181"/>
        <v>8.4699453551912565E-2</v>
      </c>
      <c r="Z572">
        <f t="shared" si="182"/>
        <v>8.4699453551912565E-2</v>
      </c>
      <c r="AA572">
        <f t="shared" si="183"/>
        <v>8.4699453551912565E-2</v>
      </c>
      <c r="AB572">
        <f t="shared" si="184"/>
        <v>8.4699453551912565E-2</v>
      </c>
      <c r="AC572">
        <f t="shared" si="185"/>
        <v>8.4699453551912565E-2</v>
      </c>
      <c r="AD572">
        <f t="shared" si="186"/>
        <v>8.4699453551912565E-2</v>
      </c>
      <c r="AE572">
        <f t="shared" si="187"/>
        <v>8.4699453551912565E-2</v>
      </c>
      <c r="AF572">
        <f t="shared" si="188"/>
        <v>8.4699453551912565E-2</v>
      </c>
      <c r="AG572">
        <f t="shared" si="189"/>
        <v>8.4699453551912565E-2</v>
      </c>
      <c r="AH572">
        <f t="shared" si="190"/>
        <v>8.4699453551912565E-2</v>
      </c>
      <c r="AI572">
        <f t="shared" si="191"/>
        <v>0</v>
      </c>
      <c r="AJ572" s="2" t="str">
        <f t="shared" si="201"/>
        <v>1145139</v>
      </c>
    </row>
    <row r="573" spans="1:36" x14ac:dyDescent="0.25">
      <c r="A573">
        <v>12</v>
      </c>
      <c r="B573" s="1">
        <v>45139</v>
      </c>
      <c r="C573" s="1">
        <f t="shared" si="192"/>
        <v>45505</v>
      </c>
      <c r="D573" s="1">
        <f t="shared" si="193"/>
        <v>45153</v>
      </c>
      <c r="E573" s="1">
        <f t="shared" si="194"/>
        <v>45505</v>
      </c>
      <c r="F573" s="1">
        <f t="shared" si="195"/>
        <v>45519</v>
      </c>
      <c r="G573" s="1">
        <f t="shared" si="196"/>
        <v>45519</v>
      </c>
      <c r="H573">
        <f t="shared" si="197"/>
        <v>366</v>
      </c>
      <c r="I573">
        <f t="shared" si="198"/>
        <v>14</v>
      </c>
      <c r="J573">
        <f t="shared" si="199"/>
        <v>3.825136612021858E-2</v>
      </c>
      <c r="K573">
        <f>IFERROR($J573/IF($A573&lt;COUNTIFS($K$1:K$1,"&lt;&gt;"),0,SUMIFS($J:$J,$B:$B,$B573,$A:$A,"&gt;="&amp;COUNTIFS($K$1:K$1,"&lt;&gt;"))),0)</f>
        <v>4.0114613180515762E-2</v>
      </c>
      <c r="L573">
        <f>IFERROR($J573/IF($A573&lt;COUNTIFS($K$1:L$1,"&lt;&gt;"),0,SUMIFS($J:$J,$B:$B,$B573,$A:$A,"&gt;="&amp;COUNTIFS($K$1:L$1,"&lt;&gt;"))),0)</f>
        <v>4.3887147335423198E-2</v>
      </c>
      <c r="M573">
        <f>IFERROR($J573/IF($A573&lt;COUNTIFS($K$1:M$1,"&lt;&gt;"),0,SUMIFS($J:$J,$B:$B,$B573,$A:$A,"&gt;="&amp;COUNTIFS($K$1:M$1,"&lt;&gt;"))),0)</f>
        <v>4.8611111111111112E-2</v>
      </c>
      <c r="N573">
        <f>IFERROR($J573/IF($A573&lt;COUNTIFS($K$1:N$1,"&lt;&gt;"),0,SUMIFS($J:$J,$B:$B,$B573,$A:$A,"&gt;="&amp;COUNTIFS($K$1:N$1,"&lt;&gt;"))),0)</f>
        <v>5.4263565891472867E-2</v>
      </c>
      <c r="O573">
        <f>IFERROR($J573/IF($A573&lt;COUNTIFS($K$1:O$1,"&lt;&gt;"),0,SUMIFS($J:$J,$B:$B,$B573,$A:$A,"&gt;="&amp;COUNTIFS($K$1:O$1,"&lt;&gt;"))),0)</f>
        <v>6.1674008810572688E-2</v>
      </c>
      <c r="P573">
        <f>IFERROR($J573/IF($A573&lt;COUNTIFS($K$1:P$1,"&lt;&gt;"),0,SUMIFS($J:$J,$B:$B,$B573,$A:$A,"&gt;="&amp;COUNTIFS($K$1:P$1,"&lt;&gt;"))),0)</f>
        <v>7.1428571428571438E-2</v>
      </c>
      <c r="Q573">
        <f>IFERROR($J573/IF($A573&lt;COUNTIFS($K$1:Q$1,"&lt;&gt;"),0,SUMIFS($J:$J,$B:$B,$B573,$A:$A,"&gt;="&amp;COUNTIFS($K$1:Q$1,"&lt;&gt;"))),0)</f>
        <v>8.3832335329341326E-2</v>
      </c>
      <c r="R573">
        <f>IFERROR($J573/IF($A573&lt;COUNTIFS($K$1:R$1,"&lt;&gt;"),0,SUMIFS($J:$J,$B:$B,$B573,$A:$A,"&gt;="&amp;COUNTIFS($K$1:R$1,"&lt;&gt;"))),0)</f>
        <v>0.10294117647058824</v>
      </c>
      <c r="S573">
        <f>IFERROR($J573/IF($A573&lt;COUNTIFS($K$1:S$1,"&lt;&gt;"),0,SUMIFS($J:$J,$B:$B,$B573,$A:$A,"&gt;="&amp;COUNTIFS($K$1:S$1,"&lt;&gt;"))),0)</f>
        <v>0.13207547169811321</v>
      </c>
      <c r="T573">
        <f>IFERROR($J573/IF($A573&lt;COUNTIFS($K$1:T$1,"&lt;&gt;"),0,SUMIFS($J:$J,$B:$B,$B573,$A:$A,"&gt;="&amp;COUNTIFS($K$1:T$1,"&lt;&gt;"))),0)</f>
        <v>0.18666666666666668</v>
      </c>
      <c r="U573">
        <f>IFERROR($J573/IF($A573&lt;COUNTIFS($K$1:U$1,"&lt;&gt;"),0,SUMIFS($J:$J,$B:$B,$B573,$A:$A,"&gt;="&amp;COUNTIFS($K$1:U$1,"&lt;&gt;"))),0)</f>
        <v>0.31111111111111112</v>
      </c>
      <c r="V573">
        <f>IFERROR($J573/IF($A573&lt;COUNTIFS($K$1:V$1,"&lt;&gt;"),0,SUMIFS($J:$J,$B:$B,$B573,$A:$A,"&gt;="&amp;COUNTIFS($K$1:V$1,"&lt;&gt;"))),0)</f>
        <v>1</v>
      </c>
      <c r="W573">
        <f t="shared" si="200"/>
        <v>3.825136612021858E-2</v>
      </c>
      <c r="X573">
        <f t="shared" si="180"/>
        <v>3.825136612021858E-2</v>
      </c>
      <c r="Y573">
        <f t="shared" si="181"/>
        <v>3.825136612021858E-2</v>
      </c>
      <c r="Z573">
        <f t="shared" si="182"/>
        <v>3.825136612021858E-2</v>
      </c>
      <c r="AA573">
        <f t="shared" si="183"/>
        <v>3.825136612021858E-2</v>
      </c>
      <c r="AB573">
        <f t="shared" si="184"/>
        <v>3.825136612021858E-2</v>
      </c>
      <c r="AC573">
        <f t="shared" si="185"/>
        <v>3.825136612021858E-2</v>
      </c>
      <c r="AD573">
        <f t="shared" si="186"/>
        <v>3.825136612021858E-2</v>
      </c>
      <c r="AE573">
        <f t="shared" si="187"/>
        <v>3.825136612021858E-2</v>
      </c>
      <c r="AF573">
        <f t="shared" si="188"/>
        <v>3.825136612021858E-2</v>
      </c>
      <c r="AG573">
        <f t="shared" si="189"/>
        <v>3.825136612021858E-2</v>
      </c>
      <c r="AH573">
        <f t="shared" si="190"/>
        <v>3.825136612021858E-2</v>
      </c>
      <c r="AI573">
        <f t="shared" si="191"/>
        <v>3.825136612021858E-2</v>
      </c>
      <c r="AJ573" s="2" t="str">
        <f t="shared" si="201"/>
        <v>1245139</v>
      </c>
    </row>
    <row r="574" spans="1:36" x14ac:dyDescent="0.25">
      <c r="A574">
        <v>0</v>
      </c>
      <c r="B574" s="1">
        <v>45170</v>
      </c>
      <c r="C574" s="1">
        <f t="shared" si="192"/>
        <v>45170</v>
      </c>
      <c r="D574" s="1">
        <f t="shared" si="193"/>
        <v>45184</v>
      </c>
      <c r="E574" s="1">
        <f t="shared" si="194"/>
        <v>45184</v>
      </c>
      <c r="F574" s="1">
        <f t="shared" si="195"/>
        <v>45200</v>
      </c>
      <c r="G574" s="1">
        <f t="shared" si="196"/>
        <v>45550</v>
      </c>
      <c r="H574">
        <f t="shared" si="197"/>
        <v>366</v>
      </c>
      <c r="I574">
        <f t="shared" si="198"/>
        <v>16</v>
      </c>
      <c r="J574">
        <f t="shared" si="199"/>
        <v>4.3715846994535519E-2</v>
      </c>
      <c r="K574">
        <f>IFERROR($J574/IF($A574&lt;COUNTIFS($K$1:K$1,"&lt;&gt;"),0,SUMIFS($J:$J,$B:$B,$B574,$A:$A,"&gt;="&amp;COUNTIFS($K$1:K$1,"&lt;&gt;"))),0)</f>
        <v>0</v>
      </c>
      <c r="L574">
        <f>IFERROR($J574/IF($A574&lt;COUNTIFS($K$1:L$1,"&lt;&gt;"),0,SUMIFS($J:$J,$B:$B,$B574,$A:$A,"&gt;="&amp;COUNTIFS($K$1:L$1,"&lt;&gt;"))),0)</f>
        <v>0</v>
      </c>
      <c r="M574">
        <f>IFERROR($J574/IF($A574&lt;COUNTIFS($K$1:M$1,"&lt;&gt;"),0,SUMIFS($J:$J,$B:$B,$B574,$A:$A,"&gt;="&amp;COUNTIFS($K$1:M$1,"&lt;&gt;"))),0)</f>
        <v>0</v>
      </c>
      <c r="N574">
        <f>IFERROR($J574/IF($A574&lt;COUNTIFS($K$1:N$1,"&lt;&gt;"),0,SUMIFS($J:$J,$B:$B,$B574,$A:$A,"&gt;="&amp;COUNTIFS($K$1:N$1,"&lt;&gt;"))),0)</f>
        <v>0</v>
      </c>
      <c r="O574">
        <f>IFERROR($J574/IF($A574&lt;COUNTIFS($K$1:O$1,"&lt;&gt;"),0,SUMIFS($J:$J,$B:$B,$B574,$A:$A,"&gt;="&amp;COUNTIFS($K$1:O$1,"&lt;&gt;"))),0)</f>
        <v>0</v>
      </c>
      <c r="P574">
        <f>IFERROR($J574/IF($A574&lt;COUNTIFS($K$1:P$1,"&lt;&gt;"),0,SUMIFS($J:$J,$B:$B,$B574,$A:$A,"&gt;="&amp;COUNTIFS($K$1:P$1,"&lt;&gt;"))),0)</f>
        <v>0</v>
      </c>
      <c r="Q574">
        <f>IFERROR($J574/IF($A574&lt;COUNTIFS($K$1:Q$1,"&lt;&gt;"),0,SUMIFS($J:$J,$B:$B,$B574,$A:$A,"&gt;="&amp;COUNTIFS($K$1:Q$1,"&lt;&gt;"))),0)</f>
        <v>0</v>
      </c>
      <c r="R574">
        <f>IFERROR($J574/IF($A574&lt;COUNTIFS($K$1:R$1,"&lt;&gt;"),0,SUMIFS($J:$J,$B:$B,$B574,$A:$A,"&gt;="&amp;COUNTIFS($K$1:R$1,"&lt;&gt;"))),0)</f>
        <v>0</v>
      </c>
      <c r="S574">
        <f>IFERROR($J574/IF($A574&lt;COUNTIFS($K$1:S$1,"&lt;&gt;"),0,SUMIFS($J:$J,$B:$B,$B574,$A:$A,"&gt;="&amp;COUNTIFS($K$1:S$1,"&lt;&gt;"))),0)</f>
        <v>0</v>
      </c>
      <c r="T574">
        <f>IFERROR($J574/IF($A574&lt;COUNTIFS($K$1:T$1,"&lt;&gt;"),0,SUMIFS($J:$J,$B:$B,$B574,$A:$A,"&gt;="&amp;COUNTIFS($K$1:T$1,"&lt;&gt;"))),0)</f>
        <v>0</v>
      </c>
      <c r="U574">
        <f>IFERROR($J574/IF($A574&lt;COUNTIFS($K$1:U$1,"&lt;&gt;"),0,SUMIFS($J:$J,$B:$B,$B574,$A:$A,"&gt;="&amp;COUNTIFS($K$1:U$1,"&lt;&gt;"))),0)</f>
        <v>0</v>
      </c>
      <c r="V574">
        <f>IFERROR($J574/IF($A574&lt;COUNTIFS($K$1:V$1,"&lt;&gt;"),0,SUMIFS($J:$J,$B:$B,$B574,$A:$A,"&gt;="&amp;COUNTIFS($K$1:V$1,"&lt;&gt;"))),0)</f>
        <v>0</v>
      </c>
      <c r="W574">
        <f t="shared" si="200"/>
        <v>4.3715846994535519E-2</v>
      </c>
      <c r="X574">
        <f t="shared" si="180"/>
        <v>0</v>
      </c>
      <c r="Y574">
        <f t="shared" si="181"/>
        <v>0</v>
      </c>
      <c r="Z574">
        <f t="shared" si="182"/>
        <v>0</v>
      </c>
      <c r="AA574">
        <f t="shared" si="183"/>
        <v>0</v>
      </c>
      <c r="AB574">
        <f t="shared" si="184"/>
        <v>0</v>
      </c>
      <c r="AC574">
        <f t="shared" si="185"/>
        <v>0</v>
      </c>
      <c r="AD574">
        <f t="shared" si="186"/>
        <v>0</v>
      </c>
      <c r="AE574">
        <f t="shared" si="187"/>
        <v>0</v>
      </c>
      <c r="AF574">
        <f t="shared" si="188"/>
        <v>0</v>
      </c>
      <c r="AG574">
        <f t="shared" si="189"/>
        <v>0</v>
      </c>
      <c r="AH574">
        <f t="shared" si="190"/>
        <v>0</v>
      </c>
      <c r="AI574">
        <f t="shared" si="191"/>
        <v>0</v>
      </c>
      <c r="AJ574" s="2" t="str">
        <f t="shared" si="201"/>
        <v>045170</v>
      </c>
    </row>
    <row r="575" spans="1:36" x14ac:dyDescent="0.25">
      <c r="A575">
        <v>1</v>
      </c>
      <c r="B575" s="1">
        <v>45170</v>
      </c>
      <c r="C575" s="1">
        <f t="shared" si="192"/>
        <v>45200</v>
      </c>
      <c r="D575" s="1">
        <f t="shared" si="193"/>
        <v>45184</v>
      </c>
      <c r="E575" s="1">
        <f t="shared" si="194"/>
        <v>45200</v>
      </c>
      <c r="F575" s="1">
        <f t="shared" si="195"/>
        <v>45231</v>
      </c>
      <c r="G575" s="1">
        <f t="shared" si="196"/>
        <v>45550</v>
      </c>
      <c r="H575">
        <f t="shared" si="197"/>
        <v>366</v>
      </c>
      <c r="I575">
        <f t="shared" si="198"/>
        <v>31</v>
      </c>
      <c r="J575">
        <f t="shared" si="199"/>
        <v>8.4699453551912565E-2</v>
      </c>
      <c r="K575">
        <f>IFERROR($J575/IF($A575&lt;COUNTIFS($K$1:K$1,"&lt;&gt;"),0,SUMIFS($J:$J,$B:$B,$B575,$A:$A,"&gt;="&amp;COUNTIFS($K$1:K$1,"&lt;&gt;"))),0)</f>
        <v>8.8571428571428579E-2</v>
      </c>
      <c r="L575">
        <f>IFERROR($J575/IF($A575&lt;COUNTIFS($K$1:L$1,"&lt;&gt;"),0,SUMIFS($J:$J,$B:$B,$B575,$A:$A,"&gt;="&amp;COUNTIFS($K$1:L$1,"&lt;&gt;"))),0)</f>
        <v>0</v>
      </c>
      <c r="M575">
        <f>IFERROR($J575/IF($A575&lt;COUNTIFS($K$1:M$1,"&lt;&gt;"),0,SUMIFS($J:$J,$B:$B,$B575,$A:$A,"&gt;="&amp;COUNTIFS($K$1:M$1,"&lt;&gt;"))),0)</f>
        <v>0</v>
      </c>
      <c r="N575">
        <f>IFERROR($J575/IF($A575&lt;COUNTIFS($K$1:N$1,"&lt;&gt;"),0,SUMIFS($J:$J,$B:$B,$B575,$A:$A,"&gt;="&amp;COUNTIFS($K$1:N$1,"&lt;&gt;"))),0)</f>
        <v>0</v>
      </c>
      <c r="O575">
        <f>IFERROR($J575/IF($A575&lt;COUNTIFS($K$1:O$1,"&lt;&gt;"),0,SUMIFS($J:$J,$B:$B,$B575,$A:$A,"&gt;="&amp;COUNTIFS($K$1:O$1,"&lt;&gt;"))),0)</f>
        <v>0</v>
      </c>
      <c r="P575">
        <f>IFERROR($J575/IF($A575&lt;COUNTIFS($K$1:P$1,"&lt;&gt;"),0,SUMIFS($J:$J,$B:$B,$B575,$A:$A,"&gt;="&amp;COUNTIFS($K$1:P$1,"&lt;&gt;"))),0)</f>
        <v>0</v>
      </c>
      <c r="Q575">
        <f>IFERROR($J575/IF($A575&lt;COUNTIFS($K$1:Q$1,"&lt;&gt;"),0,SUMIFS($J:$J,$B:$B,$B575,$A:$A,"&gt;="&amp;COUNTIFS($K$1:Q$1,"&lt;&gt;"))),0)</f>
        <v>0</v>
      </c>
      <c r="R575">
        <f>IFERROR($J575/IF($A575&lt;COUNTIFS($K$1:R$1,"&lt;&gt;"),0,SUMIFS($J:$J,$B:$B,$B575,$A:$A,"&gt;="&amp;COUNTIFS($K$1:R$1,"&lt;&gt;"))),0)</f>
        <v>0</v>
      </c>
      <c r="S575">
        <f>IFERROR($J575/IF($A575&lt;COUNTIFS($K$1:S$1,"&lt;&gt;"),0,SUMIFS($J:$J,$B:$B,$B575,$A:$A,"&gt;="&amp;COUNTIFS($K$1:S$1,"&lt;&gt;"))),0)</f>
        <v>0</v>
      </c>
      <c r="T575">
        <f>IFERROR($J575/IF($A575&lt;COUNTIFS($K$1:T$1,"&lt;&gt;"),0,SUMIFS($J:$J,$B:$B,$B575,$A:$A,"&gt;="&amp;COUNTIFS($K$1:T$1,"&lt;&gt;"))),0)</f>
        <v>0</v>
      </c>
      <c r="U575">
        <f>IFERROR($J575/IF($A575&lt;COUNTIFS($K$1:U$1,"&lt;&gt;"),0,SUMIFS($J:$J,$B:$B,$B575,$A:$A,"&gt;="&amp;COUNTIFS($K$1:U$1,"&lt;&gt;"))),0)</f>
        <v>0</v>
      </c>
      <c r="V575">
        <f>IFERROR($J575/IF($A575&lt;COUNTIFS($K$1:V$1,"&lt;&gt;"),0,SUMIFS($J:$J,$B:$B,$B575,$A:$A,"&gt;="&amp;COUNTIFS($K$1:V$1,"&lt;&gt;"))),0)</f>
        <v>0</v>
      </c>
      <c r="W575">
        <f t="shared" si="200"/>
        <v>8.4699453551912565E-2</v>
      </c>
      <c r="X575">
        <f t="shared" si="180"/>
        <v>8.4699453551912565E-2</v>
      </c>
      <c r="Y575">
        <f t="shared" si="181"/>
        <v>0</v>
      </c>
      <c r="Z575">
        <f t="shared" si="182"/>
        <v>0</v>
      </c>
      <c r="AA575">
        <f t="shared" si="183"/>
        <v>0</v>
      </c>
      <c r="AB575">
        <f t="shared" si="184"/>
        <v>0</v>
      </c>
      <c r="AC575">
        <f t="shared" si="185"/>
        <v>0</v>
      </c>
      <c r="AD575">
        <f t="shared" si="186"/>
        <v>0</v>
      </c>
      <c r="AE575">
        <f t="shared" si="187"/>
        <v>0</v>
      </c>
      <c r="AF575">
        <f t="shared" si="188"/>
        <v>0</v>
      </c>
      <c r="AG575">
        <f t="shared" si="189"/>
        <v>0</v>
      </c>
      <c r="AH575">
        <f t="shared" si="190"/>
        <v>0</v>
      </c>
      <c r="AI575">
        <f t="shared" si="191"/>
        <v>0</v>
      </c>
      <c r="AJ575" s="2" t="str">
        <f t="shared" si="201"/>
        <v>145170</v>
      </c>
    </row>
    <row r="576" spans="1:36" x14ac:dyDescent="0.25">
      <c r="A576">
        <v>2</v>
      </c>
      <c r="B576" s="1">
        <v>45170</v>
      </c>
      <c r="C576" s="1">
        <f t="shared" si="192"/>
        <v>45231</v>
      </c>
      <c r="D576" s="1">
        <f t="shared" si="193"/>
        <v>45184</v>
      </c>
      <c r="E576" s="1">
        <f t="shared" si="194"/>
        <v>45231</v>
      </c>
      <c r="F576" s="1">
        <f t="shared" si="195"/>
        <v>45261</v>
      </c>
      <c r="G576" s="1">
        <f t="shared" si="196"/>
        <v>45550</v>
      </c>
      <c r="H576">
        <f t="shared" si="197"/>
        <v>366</v>
      </c>
      <c r="I576">
        <f t="shared" si="198"/>
        <v>30</v>
      </c>
      <c r="J576">
        <f t="shared" si="199"/>
        <v>8.1967213114754092E-2</v>
      </c>
      <c r="K576">
        <f>IFERROR($J576/IF($A576&lt;COUNTIFS($K$1:K$1,"&lt;&gt;"),0,SUMIFS($J:$J,$B:$B,$B576,$A:$A,"&gt;="&amp;COUNTIFS($K$1:K$1,"&lt;&gt;"))),0)</f>
        <v>8.5714285714285715E-2</v>
      </c>
      <c r="L576">
        <f>IFERROR($J576/IF($A576&lt;COUNTIFS($K$1:L$1,"&lt;&gt;"),0,SUMIFS($J:$J,$B:$B,$B576,$A:$A,"&gt;="&amp;COUNTIFS($K$1:L$1,"&lt;&gt;"))),0)</f>
        <v>9.4043887147335414E-2</v>
      </c>
      <c r="M576">
        <f>IFERROR($J576/IF($A576&lt;COUNTIFS($K$1:M$1,"&lt;&gt;"),0,SUMIFS($J:$J,$B:$B,$B576,$A:$A,"&gt;="&amp;COUNTIFS($K$1:M$1,"&lt;&gt;"))),0)</f>
        <v>0</v>
      </c>
      <c r="N576">
        <f>IFERROR($J576/IF($A576&lt;COUNTIFS($K$1:N$1,"&lt;&gt;"),0,SUMIFS($J:$J,$B:$B,$B576,$A:$A,"&gt;="&amp;COUNTIFS($K$1:N$1,"&lt;&gt;"))),0)</f>
        <v>0</v>
      </c>
      <c r="O576">
        <f>IFERROR($J576/IF($A576&lt;COUNTIFS($K$1:O$1,"&lt;&gt;"),0,SUMIFS($J:$J,$B:$B,$B576,$A:$A,"&gt;="&amp;COUNTIFS($K$1:O$1,"&lt;&gt;"))),0)</f>
        <v>0</v>
      </c>
      <c r="P576">
        <f>IFERROR($J576/IF($A576&lt;COUNTIFS($K$1:P$1,"&lt;&gt;"),0,SUMIFS($J:$J,$B:$B,$B576,$A:$A,"&gt;="&amp;COUNTIFS($K$1:P$1,"&lt;&gt;"))),0)</f>
        <v>0</v>
      </c>
      <c r="Q576">
        <f>IFERROR($J576/IF($A576&lt;COUNTIFS($K$1:Q$1,"&lt;&gt;"),0,SUMIFS($J:$J,$B:$B,$B576,$A:$A,"&gt;="&amp;COUNTIFS($K$1:Q$1,"&lt;&gt;"))),0)</f>
        <v>0</v>
      </c>
      <c r="R576">
        <f>IFERROR($J576/IF($A576&lt;COUNTIFS($K$1:R$1,"&lt;&gt;"),0,SUMIFS($J:$J,$B:$B,$B576,$A:$A,"&gt;="&amp;COUNTIFS($K$1:R$1,"&lt;&gt;"))),0)</f>
        <v>0</v>
      </c>
      <c r="S576">
        <f>IFERROR($J576/IF($A576&lt;COUNTIFS($K$1:S$1,"&lt;&gt;"),0,SUMIFS($J:$J,$B:$B,$B576,$A:$A,"&gt;="&amp;COUNTIFS($K$1:S$1,"&lt;&gt;"))),0)</f>
        <v>0</v>
      </c>
      <c r="T576">
        <f>IFERROR($J576/IF($A576&lt;COUNTIFS($K$1:T$1,"&lt;&gt;"),0,SUMIFS($J:$J,$B:$B,$B576,$A:$A,"&gt;="&amp;COUNTIFS($K$1:T$1,"&lt;&gt;"))),0)</f>
        <v>0</v>
      </c>
      <c r="U576">
        <f>IFERROR($J576/IF($A576&lt;COUNTIFS($K$1:U$1,"&lt;&gt;"),0,SUMIFS($J:$J,$B:$B,$B576,$A:$A,"&gt;="&amp;COUNTIFS($K$1:U$1,"&lt;&gt;"))),0)</f>
        <v>0</v>
      </c>
      <c r="V576">
        <f>IFERROR($J576/IF($A576&lt;COUNTIFS($K$1:V$1,"&lt;&gt;"),0,SUMIFS($J:$J,$B:$B,$B576,$A:$A,"&gt;="&amp;COUNTIFS($K$1:V$1,"&lt;&gt;"))),0)</f>
        <v>0</v>
      </c>
      <c r="W576">
        <f t="shared" si="200"/>
        <v>8.1967213114754092E-2</v>
      </c>
      <c r="X576">
        <f t="shared" si="180"/>
        <v>8.1967213114754092E-2</v>
      </c>
      <c r="Y576">
        <f t="shared" si="181"/>
        <v>8.1967213114754092E-2</v>
      </c>
      <c r="Z576">
        <f t="shared" si="182"/>
        <v>0</v>
      </c>
      <c r="AA576">
        <f t="shared" si="183"/>
        <v>0</v>
      </c>
      <c r="AB576">
        <f t="shared" si="184"/>
        <v>0</v>
      </c>
      <c r="AC576">
        <f t="shared" si="185"/>
        <v>0</v>
      </c>
      <c r="AD576">
        <f t="shared" si="186"/>
        <v>0</v>
      </c>
      <c r="AE576">
        <f t="shared" si="187"/>
        <v>0</v>
      </c>
      <c r="AF576">
        <f t="shared" si="188"/>
        <v>0</v>
      </c>
      <c r="AG576">
        <f t="shared" si="189"/>
        <v>0</v>
      </c>
      <c r="AH576">
        <f t="shared" si="190"/>
        <v>0</v>
      </c>
      <c r="AI576">
        <f t="shared" si="191"/>
        <v>0</v>
      </c>
      <c r="AJ576" s="2" t="str">
        <f t="shared" si="201"/>
        <v>245170</v>
      </c>
    </row>
    <row r="577" spans="1:36" x14ac:dyDescent="0.25">
      <c r="A577">
        <v>3</v>
      </c>
      <c r="B577" s="1">
        <v>45170</v>
      </c>
      <c r="C577" s="1">
        <f t="shared" si="192"/>
        <v>45261</v>
      </c>
      <c r="D577" s="1">
        <f t="shared" si="193"/>
        <v>45184</v>
      </c>
      <c r="E577" s="1">
        <f t="shared" si="194"/>
        <v>45261</v>
      </c>
      <c r="F577" s="1">
        <f t="shared" si="195"/>
        <v>45292</v>
      </c>
      <c r="G577" s="1">
        <f t="shared" si="196"/>
        <v>45550</v>
      </c>
      <c r="H577">
        <f t="shared" si="197"/>
        <v>366</v>
      </c>
      <c r="I577">
        <f t="shared" si="198"/>
        <v>31</v>
      </c>
      <c r="J577">
        <f t="shared" si="199"/>
        <v>8.4699453551912565E-2</v>
      </c>
      <c r="K577">
        <f>IFERROR($J577/IF($A577&lt;COUNTIFS($K$1:K$1,"&lt;&gt;"),0,SUMIFS($J:$J,$B:$B,$B577,$A:$A,"&gt;="&amp;COUNTIFS($K$1:K$1,"&lt;&gt;"))),0)</f>
        <v>8.8571428571428579E-2</v>
      </c>
      <c r="L577">
        <f>IFERROR($J577/IF($A577&lt;COUNTIFS($K$1:L$1,"&lt;&gt;"),0,SUMIFS($J:$J,$B:$B,$B577,$A:$A,"&gt;="&amp;COUNTIFS($K$1:L$1,"&lt;&gt;"))),0)</f>
        <v>9.7178683385579931E-2</v>
      </c>
      <c r="M577">
        <f>IFERROR($J577/IF($A577&lt;COUNTIFS($K$1:M$1,"&lt;&gt;"),0,SUMIFS($J:$J,$B:$B,$B577,$A:$A,"&gt;="&amp;COUNTIFS($K$1:M$1,"&lt;&gt;"))),0)</f>
        <v>0.10726643598615916</v>
      </c>
      <c r="N577">
        <f>IFERROR($J577/IF($A577&lt;COUNTIFS($K$1:N$1,"&lt;&gt;"),0,SUMIFS($J:$J,$B:$B,$B577,$A:$A,"&gt;="&amp;COUNTIFS($K$1:N$1,"&lt;&gt;"))),0)</f>
        <v>0</v>
      </c>
      <c r="O577">
        <f>IFERROR($J577/IF($A577&lt;COUNTIFS($K$1:O$1,"&lt;&gt;"),0,SUMIFS($J:$J,$B:$B,$B577,$A:$A,"&gt;="&amp;COUNTIFS($K$1:O$1,"&lt;&gt;"))),0)</f>
        <v>0</v>
      </c>
      <c r="P577">
        <f>IFERROR($J577/IF($A577&lt;COUNTIFS($K$1:P$1,"&lt;&gt;"),0,SUMIFS($J:$J,$B:$B,$B577,$A:$A,"&gt;="&amp;COUNTIFS($K$1:P$1,"&lt;&gt;"))),0)</f>
        <v>0</v>
      </c>
      <c r="Q577">
        <f>IFERROR($J577/IF($A577&lt;COUNTIFS($K$1:Q$1,"&lt;&gt;"),0,SUMIFS($J:$J,$B:$B,$B577,$A:$A,"&gt;="&amp;COUNTIFS($K$1:Q$1,"&lt;&gt;"))),0)</f>
        <v>0</v>
      </c>
      <c r="R577">
        <f>IFERROR($J577/IF($A577&lt;COUNTIFS($K$1:R$1,"&lt;&gt;"),0,SUMIFS($J:$J,$B:$B,$B577,$A:$A,"&gt;="&amp;COUNTIFS($K$1:R$1,"&lt;&gt;"))),0)</f>
        <v>0</v>
      </c>
      <c r="S577">
        <f>IFERROR($J577/IF($A577&lt;COUNTIFS($K$1:S$1,"&lt;&gt;"),0,SUMIFS($J:$J,$B:$B,$B577,$A:$A,"&gt;="&amp;COUNTIFS($K$1:S$1,"&lt;&gt;"))),0)</f>
        <v>0</v>
      </c>
      <c r="T577">
        <f>IFERROR($J577/IF($A577&lt;COUNTIFS($K$1:T$1,"&lt;&gt;"),0,SUMIFS($J:$J,$B:$B,$B577,$A:$A,"&gt;="&amp;COUNTIFS($K$1:T$1,"&lt;&gt;"))),0)</f>
        <v>0</v>
      </c>
      <c r="U577">
        <f>IFERROR($J577/IF($A577&lt;COUNTIFS($K$1:U$1,"&lt;&gt;"),0,SUMIFS($J:$J,$B:$B,$B577,$A:$A,"&gt;="&amp;COUNTIFS($K$1:U$1,"&lt;&gt;"))),0)</f>
        <v>0</v>
      </c>
      <c r="V577">
        <f>IFERROR($J577/IF($A577&lt;COUNTIFS($K$1:V$1,"&lt;&gt;"),0,SUMIFS($J:$J,$B:$B,$B577,$A:$A,"&gt;="&amp;COUNTIFS($K$1:V$1,"&lt;&gt;"))),0)</f>
        <v>0</v>
      </c>
      <c r="W577">
        <f t="shared" si="200"/>
        <v>8.4699453551912565E-2</v>
      </c>
      <c r="X577">
        <f t="shared" si="180"/>
        <v>8.4699453551912565E-2</v>
      </c>
      <c r="Y577">
        <f t="shared" si="181"/>
        <v>8.4699453551912565E-2</v>
      </c>
      <c r="Z577">
        <f t="shared" si="182"/>
        <v>8.4699453551912565E-2</v>
      </c>
      <c r="AA577">
        <f t="shared" si="183"/>
        <v>0</v>
      </c>
      <c r="AB577">
        <f t="shared" si="184"/>
        <v>0</v>
      </c>
      <c r="AC577">
        <f t="shared" si="185"/>
        <v>0</v>
      </c>
      <c r="AD577">
        <f t="shared" si="186"/>
        <v>0</v>
      </c>
      <c r="AE577">
        <f t="shared" si="187"/>
        <v>0</v>
      </c>
      <c r="AF577">
        <f t="shared" si="188"/>
        <v>0</v>
      </c>
      <c r="AG577">
        <f t="shared" si="189"/>
        <v>0</v>
      </c>
      <c r="AH577">
        <f t="shared" si="190"/>
        <v>0</v>
      </c>
      <c r="AI577">
        <f t="shared" si="191"/>
        <v>0</v>
      </c>
      <c r="AJ577" s="2" t="str">
        <f t="shared" si="201"/>
        <v>345170</v>
      </c>
    </row>
    <row r="578" spans="1:36" x14ac:dyDescent="0.25">
      <c r="A578">
        <v>4</v>
      </c>
      <c r="B578" s="1">
        <v>45170</v>
      </c>
      <c r="C578" s="1">
        <f t="shared" si="192"/>
        <v>45292</v>
      </c>
      <c r="D578" s="1">
        <f t="shared" si="193"/>
        <v>45184</v>
      </c>
      <c r="E578" s="1">
        <f t="shared" si="194"/>
        <v>45292</v>
      </c>
      <c r="F578" s="1">
        <f t="shared" si="195"/>
        <v>45323</v>
      </c>
      <c r="G578" s="1">
        <f t="shared" si="196"/>
        <v>45550</v>
      </c>
      <c r="H578">
        <f t="shared" si="197"/>
        <v>366</v>
      </c>
      <c r="I578">
        <f t="shared" si="198"/>
        <v>31</v>
      </c>
      <c r="J578">
        <f t="shared" si="199"/>
        <v>8.4699453551912565E-2</v>
      </c>
      <c r="K578">
        <f>IFERROR($J578/IF($A578&lt;COUNTIFS($K$1:K$1,"&lt;&gt;"),0,SUMIFS($J:$J,$B:$B,$B578,$A:$A,"&gt;="&amp;COUNTIFS($K$1:K$1,"&lt;&gt;"))),0)</f>
        <v>8.8571428571428579E-2</v>
      </c>
      <c r="L578">
        <f>IFERROR($J578/IF($A578&lt;COUNTIFS($K$1:L$1,"&lt;&gt;"),0,SUMIFS($J:$J,$B:$B,$B578,$A:$A,"&gt;="&amp;COUNTIFS($K$1:L$1,"&lt;&gt;"))),0)</f>
        <v>9.7178683385579931E-2</v>
      </c>
      <c r="M578">
        <f>IFERROR($J578/IF($A578&lt;COUNTIFS($K$1:M$1,"&lt;&gt;"),0,SUMIFS($J:$J,$B:$B,$B578,$A:$A,"&gt;="&amp;COUNTIFS($K$1:M$1,"&lt;&gt;"))),0)</f>
        <v>0.10726643598615916</v>
      </c>
      <c r="N578">
        <f>IFERROR($J578/IF($A578&lt;COUNTIFS($K$1:N$1,"&lt;&gt;"),0,SUMIFS($J:$J,$B:$B,$B578,$A:$A,"&gt;="&amp;COUNTIFS($K$1:N$1,"&lt;&gt;"))),0)</f>
        <v>0.12015503875968991</v>
      </c>
      <c r="O578">
        <f>IFERROR($J578/IF($A578&lt;COUNTIFS($K$1:O$1,"&lt;&gt;"),0,SUMIFS($J:$J,$B:$B,$B578,$A:$A,"&gt;="&amp;COUNTIFS($K$1:O$1,"&lt;&gt;"))),0)</f>
        <v>0</v>
      </c>
      <c r="P578">
        <f>IFERROR($J578/IF($A578&lt;COUNTIFS($K$1:P$1,"&lt;&gt;"),0,SUMIFS($J:$J,$B:$B,$B578,$A:$A,"&gt;="&amp;COUNTIFS($K$1:P$1,"&lt;&gt;"))),0)</f>
        <v>0</v>
      </c>
      <c r="Q578">
        <f>IFERROR($J578/IF($A578&lt;COUNTIFS($K$1:Q$1,"&lt;&gt;"),0,SUMIFS($J:$J,$B:$B,$B578,$A:$A,"&gt;="&amp;COUNTIFS($K$1:Q$1,"&lt;&gt;"))),0)</f>
        <v>0</v>
      </c>
      <c r="R578">
        <f>IFERROR($J578/IF($A578&lt;COUNTIFS($K$1:R$1,"&lt;&gt;"),0,SUMIFS($J:$J,$B:$B,$B578,$A:$A,"&gt;="&amp;COUNTIFS($K$1:R$1,"&lt;&gt;"))),0)</f>
        <v>0</v>
      </c>
      <c r="S578">
        <f>IFERROR($J578/IF($A578&lt;COUNTIFS($K$1:S$1,"&lt;&gt;"),0,SUMIFS($J:$J,$B:$B,$B578,$A:$A,"&gt;="&amp;COUNTIFS($K$1:S$1,"&lt;&gt;"))),0)</f>
        <v>0</v>
      </c>
      <c r="T578">
        <f>IFERROR($J578/IF($A578&lt;COUNTIFS($K$1:T$1,"&lt;&gt;"),0,SUMIFS($J:$J,$B:$B,$B578,$A:$A,"&gt;="&amp;COUNTIFS($K$1:T$1,"&lt;&gt;"))),0)</f>
        <v>0</v>
      </c>
      <c r="U578">
        <f>IFERROR($J578/IF($A578&lt;COUNTIFS($K$1:U$1,"&lt;&gt;"),0,SUMIFS($J:$J,$B:$B,$B578,$A:$A,"&gt;="&amp;COUNTIFS($K$1:U$1,"&lt;&gt;"))),0)</f>
        <v>0</v>
      </c>
      <c r="V578">
        <f>IFERROR($J578/IF($A578&lt;COUNTIFS($K$1:V$1,"&lt;&gt;"),0,SUMIFS($J:$J,$B:$B,$B578,$A:$A,"&gt;="&amp;COUNTIFS($K$1:V$1,"&lt;&gt;"))),0)</f>
        <v>0</v>
      </c>
      <c r="W578">
        <f t="shared" si="200"/>
        <v>8.4699453551912565E-2</v>
      </c>
      <c r="X578">
        <f t="shared" ref="X578:X641" si="202">IF(K578=0,0,$J578)</f>
        <v>8.4699453551912565E-2</v>
      </c>
      <c r="Y578">
        <f t="shared" ref="Y578:Y641" si="203">IF(L578=0,0,$J578)</f>
        <v>8.4699453551912565E-2</v>
      </c>
      <c r="Z578">
        <f t="shared" ref="Z578:Z641" si="204">IF(M578=0,0,$J578)</f>
        <v>8.4699453551912565E-2</v>
      </c>
      <c r="AA578">
        <f t="shared" ref="AA578:AA641" si="205">IF(N578=0,0,$J578)</f>
        <v>8.4699453551912565E-2</v>
      </c>
      <c r="AB578">
        <f t="shared" ref="AB578:AB641" si="206">IF(O578=0,0,$J578)</f>
        <v>0</v>
      </c>
      <c r="AC578">
        <f t="shared" ref="AC578:AC641" si="207">IF(P578=0,0,$J578)</f>
        <v>0</v>
      </c>
      <c r="AD578">
        <f t="shared" ref="AD578:AD641" si="208">IF(Q578=0,0,$J578)</f>
        <v>0</v>
      </c>
      <c r="AE578">
        <f t="shared" ref="AE578:AE641" si="209">IF(R578=0,0,$J578)</f>
        <v>0</v>
      </c>
      <c r="AF578">
        <f t="shared" ref="AF578:AF641" si="210">IF(S578=0,0,$J578)</f>
        <v>0</v>
      </c>
      <c r="AG578">
        <f t="shared" ref="AG578:AG641" si="211">IF(T578=0,0,$J578)</f>
        <v>0</v>
      </c>
      <c r="AH578">
        <f t="shared" ref="AH578:AH641" si="212">IF(U578=0,0,$J578)</f>
        <v>0</v>
      </c>
      <c r="AI578">
        <f t="shared" ref="AI578:AI641" si="213">IF(V578=0,0,$J578)</f>
        <v>0</v>
      </c>
      <c r="AJ578" s="2" t="str">
        <f t="shared" si="201"/>
        <v>445170</v>
      </c>
    </row>
    <row r="579" spans="1:36" x14ac:dyDescent="0.25">
      <c r="A579">
        <v>5</v>
      </c>
      <c r="B579" s="1">
        <v>45170</v>
      </c>
      <c r="C579" s="1">
        <f t="shared" ref="C579:C642" si="214">EDATE(B579,A579)</f>
        <v>45323</v>
      </c>
      <c r="D579" s="1">
        <f t="shared" ref="D579:D642" si="215">B579+14</f>
        <v>45184</v>
      </c>
      <c r="E579" s="1">
        <f t="shared" ref="E579:E642" si="216">IF($A579=0,C579+14,C579)</f>
        <v>45323</v>
      </c>
      <c r="F579" s="1">
        <f t="shared" ref="F579:F642" si="217">IF(EDATE(C579,1)&gt;G579,G579,EDATE(C579,1))</f>
        <v>45352</v>
      </c>
      <c r="G579" s="1">
        <f t="shared" ref="G579:G642" si="218">EDATE(D579,12)</f>
        <v>45550</v>
      </c>
      <c r="H579">
        <f t="shared" ref="H579:H642" si="219">G579-D579</f>
        <v>366</v>
      </c>
      <c r="I579">
        <f t="shared" ref="I579:I642" si="220">F579-E579</f>
        <v>29</v>
      </c>
      <c r="J579">
        <f t="shared" ref="J579:J642" si="221">I579/H579</f>
        <v>7.9234972677595633E-2</v>
      </c>
      <c r="K579">
        <f>IFERROR($J579/IF($A579&lt;COUNTIFS($K$1:K$1,"&lt;&gt;"),0,SUMIFS($J:$J,$B:$B,$B579,$A:$A,"&gt;="&amp;COUNTIFS($K$1:K$1,"&lt;&gt;"))),0)</f>
        <v>8.2857142857142865E-2</v>
      </c>
      <c r="L579">
        <f>IFERROR($J579/IF($A579&lt;COUNTIFS($K$1:L$1,"&lt;&gt;"),0,SUMIFS($J:$J,$B:$B,$B579,$A:$A,"&gt;="&amp;COUNTIFS($K$1:L$1,"&lt;&gt;"))),0)</f>
        <v>9.0909090909090912E-2</v>
      </c>
      <c r="M579">
        <f>IFERROR($J579/IF($A579&lt;COUNTIFS($K$1:M$1,"&lt;&gt;"),0,SUMIFS($J:$J,$B:$B,$B579,$A:$A,"&gt;="&amp;COUNTIFS($K$1:M$1,"&lt;&gt;"))),0)</f>
        <v>0.10034602076124569</v>
      </c>
      <c r="N579">
        <f>IFERROR($J579/IF($A579&lt;COUNTIFS($K$1:N$1,"&lt;&gt;"),0,SUMIFS($J:$J,$B:$B,$B579,$A:$A,"&gt;="&amp;COUNTIFS($K$1:N$1,"&lt;&gt;"))),0)</f>
        <v>0.1124031007751938</v>
      </c>
      <c r="O579">
        <f>IFERROR($J579/IF($A579&lt;COUNTIFS($K$1:O$1,"&lt;&gt;"),0,SUMIFS($J:$J,$B:$B,$B579,$A:$A,"&gt;="&amp;COUNTIFS($K$1:O$1,"&lt;&gt;"))),0)</f>
        <v>0.1277533039647577</v>
      </c>
      <c r="P579">
        <f>IFERROR($J579/IF($A579&lt;COUNTIFS($K$1:P$1,"&lt;&gt;"),0,SUMIFS($J:$J,$B:$B,$B579,$A:$A,"&gt;="&amp;COUNTIFS($K$1:P$1,"&lt;&gt;"))),0)</f>
        <v>0</v>
      </c>
      <c r="Q579">
        <f>IFERROR($J579/IF($A579&lt;COUNTIFS($K$1:Q$1,"&lt;&gt;"),0,SUMIFS($J:$J,$B:$B,$B579,$A:$A,"&gt;="&amp;COUNTIFS($K$1:Q$1,"&lt;&gt;"))),0)</f>
        <v>0</v>
      </c>
      <c r="R579">
        <f>IFERROR($J579/IF($A579&lt;COUNTIFS($K$1:R$1,"&lt;&gt;"),0,SUMIFS($J:$J,$B:$B,$B579,$A:$A,"&gt;="&amp;COUNTIFS($K$1:R$1,"&lt;&gt;"))),0)</f>
        <v>0</v>
      </c>
      <c r="S579">
        <f>IFERROR($J579/IF($A579&lt;COUNTIFS($K$1:S$1,"&lt;&gt;"),0,SUMIFS($J:$J,$B:$B,$B579,$A:$A,"&gt;="&amp;COUNTIFS($K$1:S$1,"&lt;&gt;"))),0)</f>
        <v>0</v>
      </c>
      <c r="T579">
        <f>IFERROR($J579/IF($A579&lt;COUNTIFS($K$1:T$1,"&lt;&gt;"),0,SUMIFS($J:$J,$B:$B,$B579,$A:$A,"&gt;="&amp;COUNTIFS($K$1:T$1,"&lt;&gt;"))),0)</f>
        <v>0</v>
      </c>
      <c r="U579">
        <f>IFERROR($J579/IF($A579&lt;COUNTIFS($K$1:U$1,"&lt;&gt;"),0,SUMIFS($J:$J,$B:$B,$B579,$A:$A,"&gt;="&amp;COUNTIFS($K$1:U$1,"&lt;&gt;"))),0)</f>
        <v>0</v>
      </c>
      <c r="V579">
        <f>IFERROR($J579/IF($A579&lt;COUNTIFS($K$1:V$1,"&lt;&gt;"),0,SUMIFS($J:$J,$B:$B,$B579,$A:$A,"&gt;="&amp;COUNTIFS($K$1:V$1,"&lt;&gt;"))),0)</f>
        <v>0</v>
      </c>
      <c r="W579">
        <f t="shared" ref="W579:W642" si="222">IF(J579=0,0,$J579)</f>
        <v>7.9234972677595633E-2</v>
      </c>
      <c r="X579">
        <f t="shared" si="202"/>
        <v>7.9234972677595633E-2</v>
      </c>
      <c r="Y579">
        <f t="shared" si="203"/>
        <v>7.9234972677595633E-2</v>
      </c>
      <c r="Z579">
        <f t="shared" si="204"/>
        <v>7.9234972677595633E-2</v>
      </c>
      <c r="AA579">
        <f t="shared" si="205"/>
        <v>7.9234972677595633E-2</v>
      </c>
      <c r="AB579">
        <f t="shared" si="206"/>
        <v>7.9234972677595633E-2</v>
      </c>
      <c r="AC579">
        <f t="shared" si="207"/>
        <v>0</v>
      </c>
      <c r="AD579">
        <f t="shared" si="208"/>
        <v>0</v>
      </c>
      <c r="AE579">
        <f t="shared" si="209"/>
        <v>0</v>
      </c>
      <c r="AF579">
        <f t="shared" si="210"/>
        <v>0</v>
      </c>
      <c r="AG579">
        <f t="shared" si="211"/>
        <v>0</v>
      </c>
      <c r="AH579">
        <f t="shared" si="212"/>
        <v>0</v>
      </c>
      <c r="AI579">
        <f t="shared" si="213"/>
        <v>0</v>
      </c>
      <c r="AJ579" s="2" t="str">
        <f t="shared" ref="AJ579:AJ642" si="223">A579&amp;B579</f>
        <v>545170</v>
      </c>
    </row>
    <row r="580" spans="1:36" x14ac:dyDescent="0.25">
      <c r="A580">
        <v>6</v>
      </c>
      <c r="B580" s="1">
        <v>45170</v>
      </c>
      <c r="C580" s="1">
        <f t="shared" si="214"/>
        <v>45352</v>
      </c>
      <c r="D580" s="1">
        <f t="shared" si="215"/>
        <v>45184</v>
      </c>
      <c r="E580" s="1">
        <f t="shared" si="216"/>
        <v>45352</v>
      </c>
      <c r="F580" s="1">
        <f t="shared" si="217"/>
        <v>45383</v>
      </c>
      <c r="G580" s="1">
        <f t="shared" si="218"/>
        <v>45550</v>
      </c>
      <c r="H580">
        <f t="shared" si="219"/>
        <v>366</v>
      </c>
      <c r="I580">
        <f t="shared" si="220"/>
        <v>31</v>
      </c>
      <c r="J580">
        <f t="shared" si="221"/>
        <v>8.4699453551912565E-2</v>
      </c>
      <c r="K580">
        <f>IFERROR($J580/IF($A580&lt;COUNTIFS($K$1:K$1,"&lt;&gt;"),0,SUMIFS($J:$J,$B:$B,$B580,$A:$A,"&gt;="&amp;COUNTIFS($K$1:K$1,"&lt;&gt;"))),0)</f>
        <v>8.8571428571428579E-2</v>
      </c>
      <c r="L580">
        <f>IFERROR($J580/IF($A580&lt;COUNTIFS($K$1:L$1,"&lt;&gt;"),0,SUMIFS($J:$J,$B:$B,$B580,$A:$A,"&gt;="&amp;COUNTIFS($K$1:L$1,"&lt;&gt;"))),0)</f>
        <v>9.7178683385579931E-2</v>
      </c>
      <c r="M580">
        <f>IFERROR($J580/IF($A580&lt;COUNTIFS($K$1:M$1,"&lt;&gt;"),0,SUMIFS($J:$J,$B:$B,$B580,$A:$A,"&gt;="&amp;COUNTIFS($K$1:M$1,"&lt;&gt;"))),0)</f>
        <v>0.10726643598615916</v>
      </c>
      <c r="N580">
        <f>IFERROR($J580/IF($A580&lt;COUNTIFS($K$1:N$1,"&lt;&gt;"),0,SUMIFS($J:$J,$B:$B,$B580,$A:$A,"&gt;="&amp;COUNTIFS($K$1:N$1,"&lt;&gt;"))),0)</f>
        <v>0.12015503875968991</v>
      </c>
      <c r="O580">
        <f>IFERROR($J580/IF($A580&lt;COUNTIFS($K$1:O$1,"&lt;&gt;"),0,SUMIFS($J:$J,$B:$B,$B580,$A:$A,"&gt;="&amp;COUNTIFS($K$1:O$1,"&lt;&gt;"))),0)</f>
        <v>0.13656387665198236</v>
      </c>
      <c r="P580">
        <f>IFERROR($J580/IF($A580&lt;COUNTIFS($K$1:P$1,"&lt;&gt;"),0,SUMIFS($J:$J,$B:$B,$B580,$A:$A,"&gt;="&amp;COUNTIFS($K$1:P$1,"&lt;&gt;"))),0)</f>
        <v>0.15656565656565655</v>
      </c>
      <c r="Q580">
        <f>IFERROR($J580/IF($A580&lt;COUNTIFS($K$1:Q$1,"&lt;&gt;"),0,SUMIFS($J:$J,$B:$B,$B580,$A:$A,"&gt;="&amp;COUNTIFS($K$1:Q$1,"&lt;&gt;"))),0)</f>
        <v>0</v>
      </c>
      <c r="R580">
        <f>IFERROR($J580/IF($A580&lt;COUNTIFS($K$1:R$1,"&lt;&gt;"),0,SUMIFS($J:$J,$B:$B,$B580,$A:$A,"&gt;="&amp;COUNTIFS($K$1:R$1,"&lt;&gt;"))),0)</f>
        <v>0</v>
      </c>
      <c r="S580">
        <f>IFERROR($J580/IF($A580&lt;COUNTIFS($K$1:S$1,"&lt;&gt;"),0,SUMIFS($J:$J,$B:$B,$B580,$A:$A,"&gt;="&amp;COUNTIFS($K$1:S$1,"&lt;&gt;"))),0)</f>
        <v>0</v>
      </c>
      <c r="T580">
        <f>IFERROR($J580/IF($A580&lt;COUNTIFS($K$1:T$1,"&lt;&gt;"),0,SUMIFS($J:$J,$B:$B,$B580,$A:$A,"&gt;="&amp;COUNTIFS($K$1:T$1,"&lt;&gt;"))),0)</f>
        <v>0</v>
      </c>
      <c r="U580">
        <f>IFERROR($J580/IF($A580&lt;COUNTIFS($K$1:U$1,"&lt;&gt;"),0,SUMIFS($J:$J,$B:$B,$B580,$A:$A,"&gt;="&amp;COUNTIFS($K$1:U$1,"&lt;&gt;"))),0)</f>
        <v>0</v>
      </c>
      <c r="V580">
        <f>IFERROR($J580/IF($A580&lt;COUNTIFS($K$1:V$1,"&lt;&gt;"),0,SUMIFS($J:$J,$B:$B,$B580,$A:$A,"&gt;="&amp;COUNTIFS($K$1:V$1,"&lt;&gt;"))),0)</f>
        <v>0</v>
      </c>
      <c r="W580">
        <f t="shared" si="222"/>
        <v>8.4699453551912565E-2</v>
      </c>
      <c r="X580">
        <f t="shared" si="202"/>
        <v>8.4699453551912565E-2</v>
      </c>
      <c r="Y580">
        <f t="shared" si="203"/>
        <v>8.4699453551912565E-2</v>
      </c>
      <c r="Z580">
        <f t="shared" si="204"/>
        <v>8.4699453551912565E-2</v>
      </c>
      <c r="AA580">
        <f t="shared" si="205"/>
        <v>8.4699453551912565E-2</v>
      </c>
      <c r="AB580">
        <f t="shared" si="206"/>
        <v>8.4699453551912565E-2</v>
      </c>
      <c r="AC580">
        <f t="shared" si="207"/>
        <v>8.4699453551912565E-2</v>
      </c>
      <c r="AD580">
        <f t="shared" si="208"/>
        <v>0</v>
      </c>
      <c r="AE580">
        <f t="shared" si="209"/>
        <v>0</v>
      </c>
      <c r="AF580">
        <f t="shared" si="210"/>
        <v>0</v>
      </c>
      <c r="AG580">
        <f t="shared" si="211"/>
        <v>0</v>
      </c>
      <c r="AH580">
        <f t="shared" si="212"/>
        <v>0</v>
      </c>
      <c r="AI580">
        <f t="shared" si="213"/>
        <v>0</v>
      </c>
      <c r="AJ580" s="2" t="str">
        <f t="shared" si="223"/>
        <v>645170</v>
      </c>
    </row>
    <row r="581" spans="1:36" x14ac:dyDescent="0.25">
      <c r="A581">
        <v>7</v>
      </c>
      <c r="B581" s="1">
        <v>45170</v>
      </c>
      <c r="C581" s="1">
        <f t="shared" si="214"/>
        <v>45383</v>
      </c>
      <c r="D581" s="1">
        <f t="shared" si="215"/>
        <v>45184</v>
      </c>
      <c r="E581" s="1">
        <f t="shared" si="216"/>
        <v>45383</v>
      </c>
      <c r="F581" s="1">
        <f t="shared" si="217"/>
        <v>45413</v>
      </c>
      <c r="G581" s="1">
        <f t="shared" si="218"/>
        <v>45550</v>
      </c>
      <c r="H581">
        <f t="shared" si="219"/>
        <v>366</v>
      </c>
      <c r="I581">
        <f t="shared" si="220"/>
        <v>30</v>
      </c>
      <c r="J581">
        <f t="shared" si="221"/>
        <v>8.1967213114754092E-2</v>
      </c>
      <c r="K581">
        <f>IFERROR($J581/IF($A581&lt;COUNTIFS($K$1:K$1,"&lt;&gt;"),0,SUMIFS($J:$J,$B:$B,$B581,$A:$A,"&gt;="&amp;COUNTIFS($K$1:K$1,"&lt;&gt;"))),0)</f>
        <v>8.5714285714285715E-2</v>
      </c>
      <c r="L581">
        <f>IFERROR($J581/IF($A581&lt;COUNTIFS($K$1:L$1,"&lt;&gt;"),0,SUMIFS($J:$J,$B:$B,$B581,$A:$A,"&gt;="&amp;COUNTIFS($K$1:L$1,"&lt;&gt;"))),0)</f>
        <v>9.4043887147335414E-2</v>
      </c>
      <c r="M581">
        <f>IFERROR($J581/IF($A581&lt;COUNTIFS($K$1:M$1,"&lt;&gt;"),0,SUMIFS($J:$J,$B:$B,$B581,$A:$A,"&gt;="&amp;COUNTIFS($K$1:M$1,"&lt;&gt;"))),0)</f>
        <v>0.10380622837370242</v>
      </c>
      <c r="N581">
        <f>IFERROR($J581/IF($A581&lt;COUNTIFS($K$1:N$1,"&lt;&gt;"),0,SUMIFS($J:$J,$B:$B,$B581,$A:$A,"&gt;="&amp;COUNTIFS($K$1:N$1,"&lt;&gt;"))),0)</f>
        <v>0.11627906976744184</v>
      </c>
      <c r="O581">
        <f>IFERROR($J581/IF($A581&lt;COUNTIFS($K$1:O$1,"&lt;&gt;"),0,SUMIFS($J:$J,$B:$B,$B581,$A:$A,"&gt;="&amp;COUNTIFS($K$1:O$1,"&lt;&gt;"))),0)</f>
        <v>0.13215859030837002</v>
      </c>
      <c r="P581">
        <f>IFERROR($J581/IF($A581&lt;COUNTIFS($K$1:P$1,"&lt;&gt;"),0,SUMIFS($J:$J,$B:$B,$B581,$A:$A,"&gt;="&amp;COUNTIFS($K$1:P$1,"&lt;&gt;"))),0)</f>
        <v>0.15151515151515149</v>
      </c>
      <c r="Q581">
        <f>IFERROR($J581/IF($A581&lt;COUNTIFS($K$1:Q$1,"&lt;&gt;"),0,SUMIFS($J:$J,$B:$B,$B581,$A:$A,"&gt;="&amp;COUNTIFS($K$1:Q$1,"&lt;&gt;"))),0)</f>
        <v>0.17964071856287425</v>
      </c>
      <c r="R581">
        <f>IFERROR($J581/IF($A581&lt;COUNTIFS($K$1:R$1,"&lt;&gt;"),0,SUMIFS($J:$J,$B:$B,$B581,$A:$A,"&gt;="&amp;COUNTIFS($K$1:R$1,"&lt;&gt;"))),0)</f>
        <v>0</v>
      </c>
      <c r="S581">
        <f>IFERROR($J581/IF($A581&lt;COUNTIFS($K$1:S$1,"&lt;&gt;"),0,SUMIFS($J:$J,$B:$B,$B581,$A:$A,"&gt;="&amp;COUNTIFS($K$1:S$1,"&lt;&gt;"))),0)</f>
        <v>0</v>
      </c>
      <c r="T581">
        <f>IFERROR($J581/IF($A581&lt;COUNTIFS($K$1:T$1,"&lt;&gt;"),0,SUMIFS($J:$J,$B:$B,$B581,$A:$A,"&gt;="&amp;COUNTIFS($K$1:T$1,"&lt;&gt;"))),0)</f>
        <v>0</v>
      </c>
      <c r="U581">
        <f>IFERROR($J581/IF($A581&lt;COUNTIFS($K$1:U$1,"&lt;&gt;"),0,SUMIFS($J:$J,$B:$B,$B581,$A:$A,"&gt;="&amp;COUNTIFS($K$1:U$1,"&lt;&gt;"))),0)</f>
        <v>0</v>
      </c>
      <c r="V581">
        <f>IFERROR($J581/IF($A581&lt;COUNTIFS($K$1:V$1,"&lt;&gt;"),0,SUMIFS($J:$J,$B:$B,$B581,$A:$A,"&gt;="&amp;COUNTIFS($K$1:V$1,"&lt;&gt;"))),0)</f>
        <v>0</v>
      </c>
      <c r="W581">
        <f t="shared" si="222"/>
        <v>8.1967213114754092E-2</v>
      </c>
      <c r="X581">
        <f t="shared" si="202"/>
        <v>8.1967213114754092E-2</v>
      </c>
      <c r="Y581">
        <f t="shared" si="203"/>
        <v>8.1967213114754092E-2</v>
      </c>
      <c r="Z581">
        <f t="shared" si="204"/>
        <v>8.1967213114754092E-2</v>
      </c>
      <c r="AA581">
        <f t="shared" si="205"/>
        <v>8.1967213114754092E-2</v>
      </c>
      <c r="AB581">
        <f t="shared" si="206"/>
        <v>8.1967213114754092E-2</v>
      </c>
      <c r="AC581">
        <f t="shared" si="207"/>
        <v>8.1967213114754092E-2</v>
      </c>
      <c r="AD581">
        <f t="shared" si="208"/>
        <v>8.1967213114754092E-2</v>
      </c>
      <c r="AE581">
        <f t="shared" si="209"/>
        <v>0</v>
      </c>
      <c r="AF581">
        <f t="shared" si="210"/>
        <v>0</v>
      </c>
      <c r="AG581">
        <f t="shared" si="211"/>
        <v>0</v>
      </c>
      <c r="AH581">
        <f t="shared" si="212"/>
        <v>0</v>
      </c>
      <c r="AI581">
        <f t="shared" si="213"/>
        <v>0</v>
      </c>
      <c r="AJ581" s="2" t="str">
        <f t="shared" si="223"/>
        <v>745170</v>
      </c>
    </row>
    <row r="582" spans="1:36" x14ac:dyDescent="0.25">
      <c r="A582">
        <v>8</v>
      </c>
      <c r="B582" s="1">
        <v>45170</v>
      </c>
      <c r="C582" s="1">
        <f t="shared" si="214"/>
        <v>45413</v>
      </c>
      <c r="D582" s="1">
        <f t="shared" si="215"/>
        <v>45184</v>
      </c>
      <c r="E582" s="1">
        <f t="shared" si="216"/>
        <v>45413</v>
      </c>
      <c r="F582" s="1">
        <f t="shared" si="217"/>
        <v>45444</v>
      </c>
      <c r="G582" s="1">
        <f t="shared" si="218"/>
        <v>45550</v>
      </c>
      <c r="H582">
        <f t="shared" si="219"/>
        <v>366</v>
      </c>
      <c r="I582">
        <f t="shared" si="220"/>
        <v>31</v>
      </c>
      <c r="J582">
        <f t="shared" si="221"/>
        <v>8.4699453551912565E-2</v>
      </c>
      <c r="K582">
        <f>IFERROR($J582/IF($A582&lt;COUNTIFS($K$1:K$1,"&lt;&gt;"),0,SUMIFS($J:$J,$B:$B,$B582,$A:$A,"&gt;="&amp;COUNTIFS($K$1:K$1,"&lt;&gt;"))),0)</f>
        <v>8.8571428571428579E-2</v>
      </c>
      <c r="L582">
        <f>IFERROR($J582/IF($A582&lt;COUNTIFS($K$1:L$1,"&lt;&gt;"),0,SUMIFS($J:$J,$B:$B,$B582,$A:$A,"&gt;="&amp;COUNTIFS($K$1:L$1,"&lt;&gt;"))),0)</f>
        <v>9.7178683385579931E-2</v>
      </c>
      <c r="M582">
        <f>IFERROR($J582/IF($A582&lt;COUNTIFS($K$1:M$1,"&lt;&gt;"),0,SUMIFS($J:$J,$B:$B,$B582,$A:$A,"&gt;="&amp;COUNTIFS($K$1:M$1,"&lt;&gt;"))),0)</f>
        <v>0.10726643598615916</v>
      </c>
      <c r="N582">
        <f>IFERROR($J582/IF($A582&lt;COUNTIFS($K$1:N$1,"&lt;&gt;"),0,SUMIFS($J:$J,$B:$B,$B582,$A:$A,"&gt;="&amp;COUNTIFS($K$1:N$1,"&lt;&gt;"))),0)</f>
        <v>0.12015503875968991</v>
      </c>
      <c r="O582">
        <f>IFERROR($J582/IF($A582&lt;COUNTIFS($K$1:O$1,"&lt;&gt;"),0,SUMIFS($J:$J,$B:$B,$B582,$A:$A,"&gt;="&amp;COUNTIFS($K$1:O$1,"&lt;&gt;"))),0)</f>
        <v>0.13656387665198236</v>
      </c>
      <c r="P582">
        <f>IFERROR($J582/IF($A582&lt;COUNTIFS($K$1:P$1,"&lt;&gt;"),0,SUMIFS($J:$J,$B:$B,$B582,$A:$A,"&gt;="&amp;COUNTIFS($K$1:P$1,"&lt;&gt;"))),0)</f>
        <v>0.15656565656565655</v>
      </c>
      <c r="Q582">
        <f>IFERROR($J582/IF($A582&lt;COUNTIFS($K$1:Q$1,"&lt;&gt;"),0,SUMIFS($J:$J,$B:$B,$B582,$A:$A,"&gt;="&amp;COUNTIFS($K$1:Q$1,"&lt;&gt;"))),0)</f>
        <v>0.18562874251497008</v>
      </c>
      <c r="R582">
        <f>IFERROR($J582/IF($A582&lt;COUNTIFS($K$1:R$1,"&lt;&gt;"),0,SUMIFS($J:$J,$B:$B,$B582,$A:$A,"&gt;="&amp;COUNTIFS($K$1:R$1,"&lt;&gt;"))),0)</f>
        <v>0.22627737226277372</v>
      </c>
      <c r="S582">
        <f>IFERROR($J582/IF($A582&lt;COUNTIFS($K$1:S$1,"&lt;&gt;"),0,SUMIFS($J:$J,$B:$B,$B582,$A:$A,"&gt;="&amp;COUNTIFS($K$1:S$1,"&lt;&gt;"))),0)</f>
        <v>0</v>
      </c>
      <c r="T582">
        <f>IFERROR($J582/IF($A582&lt;COUNTIFS($K$1:T$1,"&lt;&gt;"),0,SUMIFS($J:$J,$B:$B,$B582,$A:$A,"&gt;="&amp;COUNTIFS($K$1:T$1,"&lt;&gt;"))),0)</f>
        <v>0</v>
      </c>
      <c r="U582">
        <f>IFERROR($J582/IF($A582&lt;COUNTIFS($K$1:U$1,"&lt;&gt;"),0,SUMIFS($J:$J,$B:$B,$B582,$A:$A,"&gt;="&amp;COUNTIFS($K$1:U$1,"&lt;&gt;"))),0)</f>
        <v>0</v>
      </c>
      <c r="V582">
        <f>IFERROR($J582/IF($A582&lt;COUNTIFS($K$1:V$1,"&lt;&gt;"),0,SUMIFS($J:$J,$B:$B,$B582,$A:$A,"&gt;="&amp;COUNTIFS($K$1:V$1,"&lt;&gt;"))),0)</f>
        <v>0</v>
      </c>
      <c r="W582">
        <f t="shared" si="222"/>
        <v>8.4699453551912565E-2</v>
      </c>
      <c r="X582">
        <f t="shared" si="202"/>
        <v>8.4699453551912565E-2</v>
      </c>
      <c r="Y582">
        <f t="shared" si="203"/>
        <v>8.4699453551912565E-2</v>
      </c>
      <c r="Z582">
        <f t="shared" si="204"/>
        <v>8.4699453551912565E-2</v>
      </c>
      <c r="AA582">
        <f t="shared" si="205"/>
        <v>8.4699453551912565E-2</v>
      </c>
      <c r="AB582">
        <f t="shared" si="206"/>
        <v>8.4699453551912565E-2</v>
      </c>
      <c r="AC582">
        <f t="shared" si="207"/>
        <v>8.4699453551912565E-2</v>
      </c>
      <c r="AD582">
        <f t="shared" si="208"/>
        <v>8.4699453551912565E-2</v>
      </c>
      <c r="AE582">
        <f t="shared" si="209"/>
        <v>8.4699453551912565E-2</v>
      </c>
      <c r="AF582">
        <f t="shared" si="210"/>
        <v>0</v>
      </c>
      <c r="AG582">
        <f t="shared" si="211"/>
        <v>0</v>
      </c>
      <c r="AH582">
        <f t="shared" si="212"/>
        <v>0</v>
      </c>
      <c r="AI582">
        <f t="shared" si="213"/>
        <v>0</v>
      </c>
      <c r="AJ582" s="2" t="str">
        <f t="shared" si="223"/>
        <v>845170</v>
      </c>
    </row>
    <row r="583" spans="1:36" x14ac:dyDescent="0.25">
      <c r="A583">
        <v>9</v>
      </c>
      <c r="B583" s="1">
        <v>45170</v>
      </c>
      <c r="C583" s="1">
        <f t="shared" si="214"/>
        <v>45444</v>
      </c>
      <c r="D583" s="1">
        <f t="shared" si="215"/>
        <v>45184</v>
      </c>
      <c r="E583" s="1">
        <f t="shared" si="216"/>
        <v>45444</v>
      </c>
      <c r="F583" s="1">
        <f t="shared" si="217"/>
        <v>45474</v>
      </c>
      <c r="G583" s="1">
        <f t="shared" si="218"/>
        <v>45550</v>
      </c>
      <c r="H583">
        <f t="shared" si="219"/>
        <v>366</v>
      </c>
      <c r="I583">
        <f t="shared" si="220"/>
        <v>30</v>
      </c>
      <c r="J583">
        <f t="shared" si="221"/>
        <v>8.1967213114754092E-2</v>
      </c>
      <c r="K583">
        <f>IFERROR($J583/IF($A583&lt;COUNTIFS($K$1:K$1,"&lt;&gt;"),0,SUMIFS($J:$J,$B:$B,$B583,$A:$A,"&gt;="&amp;COUNTIFS($K$1:K$1,"&lt;&gt;"))),0)</f>
        <v>8.5714285714285715E-2</v>
      </c>
      <c r="L583">
        <f>IFERROR($J583/IF($A583&lt;COUNTIFS($K$1:L$1,"&lt;&gt;"),0,SUMIFS($J:$J,$B:$B,$B583,$A:$A,"&gt;="&amp;COUNTIFS($K$1:L$1,"&lt;&gt;"))),0)</f>
        <v>9.4043887147335414E-2</v>
      </c>
      <c r="M583">
        <f>IFERROR($J583/IF($A583&lt;COUNTIFS($K$1:M$1,"&lt;&gt;"),0,SUMIFS($J:$J,$B:$B,$B583,$A:$A,"&gt;="&amp;COUNTIFS($K$1:M$1,"&lt;&gt;"))),0)</f>
        <v>0.10380622837370242</v>
      </c>
      <c r="N583">
        <f>IFERROR($J583/IF($A583&lt;COUNTIFS($K$1:N$1,"&lt;&gt;"),0,SUMIFS($J:$J,$B:$B,$B583,$A:$A,"&gt;="&amp;COUNTIFS($K$1:N$1,"&lt;&gt;"))),0)</f>
        <v>0.11627906976744184</v>
      </c>
      <c r="O583">
        <f>IFERROR($J583/IF($A583&lt;COUNTIFS($K$1:O$1,"&lt;&gt;"),0,SUMIFS($J:$J,$B:$B,$B583,$A:$A,"&gt;="&amp;COUNTIFS($K$1:O$1,"&lt;&gt;"))),0)</f>
        <v>0.13215859030837002</v>
      </c>
      <c r="P583">
        <f>IFERROR($J583/IF($A583&lt;COUNTIFS($K$1:P$1,"&lt;&gt;"),0,SUMIFS($J:$J,$B:$B,$B583,$A:$A,"&gt;="&amp;COUNTIFS($K$1:P$1,"&lt;&gt;"))),0)</f>
        <v>0.15151515151515149</v>
      </c>
      <c r="Q583">
        <f>IFERROR($J583/IF($A583&lt;COUNTIFS($K$1:Q$1,"&lt;&gt;"),0,SUMIFS($J:$J,$B:$B,$B583,$A:$A,"&gt;="&amp;COUNTIFS($K$1:Q$1,"&lt;&gt;"))),0)</f>
        <v>0.17964071856287425</v>
      </c>
      <c r="R583">
        <f>IFERROR($J583/IF($A583&lt;COUNTIFS($K$1:R$1,"&lt;&gt;"),0,SUMIFS($J:$J,$B:$B,$B583,$A:$A,"&gt;="&amp;COUNTIFS($K$1:R$1,"&lt;&gt;"))),0)</f>
        <v>0.21897810218978103</v>
      </c>
      <c r="S583">
        <f>IFERROR($J583/IF($A583&lt;COUNTIFS($K$1:S$1,"&lt;&gt;"),0,SUMIFS($J:$J,$B:$B,$B583,$A:$A,"&gt;="&amp;COUNTIFS($K$1:S$1,"&lt;&gt;"))),0)</f>
        <v>0.28301886792452829</v>
      </c>
      <c r="T583">
        <f>IFERROR($J583/IF($A583&lt;COUNTIFS($K$1:T$1,"&lt;&gt;"),0,SUMIFS($J:$J,$B:$B,$B583,$A:$A,"&gt;="&amp;COUNTIFS($K$1:T$1,"&lt;&gt;"))),0)</f>
        <v>0</v>
      </c>
      <c r="U583">
        <f>IFERROR($J583/IF($A583&lt;COUNTIFS($K$1:U$1,"&lt;&gt;"),0,SUMIFS($J:$J,$B:$B,$B583,$A:$A,"&gt;="&amp;COUNTIFS($K$1:U$1,"&lt;&gt;"))),0)</f>
        <v>0</v>
      </c>
      <c r="V583">
        <f>IFERROR($J583/IF($A583&lt;COUNTIFS($K$1:V$1,"&lt;&gt;"),0,SUMIFS($J:$J,$B:$B,$B583,$A:$A,"&gt;="&amp;COUNTIFS($K$1:V$1,"&lt;&gt;"))),0)</f>
        <v>0</v>
      </c>
      <c r="W583">
        <f t="shared" si="222"/>
        <v>8.1967213114754092E-2</v>
      </c>
      <c r="X583">
        <f t="shared" si="202"/>
        <v>8.1967213114754092E-2</v>
      </c>
      <c r="Y583">
        <f t="shared" si="203"/>
        <v>8.1967213114754092E-2</v>
      </c>
      <c r="Z583">
        <f t="shared" si="204"/>
        <v>8.1967213114754092E-2</v>
      </c>
      <c r="AA583">
        <f t="shared" si="205"/>
        <v>8.1967213114754092E-2</v>
      </c>
      <c r="AB583">
        <f t="shared" si="206"/>
        <v>8.1967213114754092E-2</v>
      </c>
      <c r="AC583">
        <f t="shared" si="207"/>
        <v>8.1967213114754092E-2</v>
      </c>
      <c r="AD583">
        <f t="shared" si="208"/>
        <v>8.1967213114754092E-2</v>
      </c>
      <c r="AE583">
        <f t="shared" si="209"/>
        <v>8.1967213114754092E-2</v>
      </c>
      <c r="AF583">
        <f t="shared" si="210"/>
        <v>8.1967213114754092E-2</v>
      </c>
      <c r="AG583">
        <f t="shared" si="211"/>
        <v>0</v>
      </c>
      <c r="AH583">
        <f t="shared" si="212"/>
        <v>0</v>
      </c>
      <c r="AI583">
        <f t="shared" si="213"/>
        <v>0</v>
      </c>
      <c r="AJ583" s="2" t="str">
        <f t="shared" si="223"/>
        <v>945170</v>
      </c>
    </row>
    <row r="584" spans="1:36" x14ac:dyDescent="0.25">
      <c r="A584">
        <v>10</v>
      </c>
      <c r="B584" s="1">
        <v>45170</v>
      </c>
      <c r="C584" s="1">
        <f t="shared" si="214"/>
        <v>45474</v>
      </c>
      <c r="D584" s="1">
        <f t="shared" si="215"/>
        <v>45184</v>
      </c>
      <c r="E584" s="1">
        <f t="shared" si="216"/>
        <v>45474</v>
      </c>
      <c r="F584" s="1">
        <f t="shared" si="217"/>
        <v>45505</v>
      </c>
      <c r="G584" s="1">
        <f t="shared" si="218"/>
        <v>45550</v>
      </c>
      <c r="H584">
        <f t="shared" si="219"/>
        <v>366</v>
      </c>
      <c r="I584">
        <f t="shared" si="220"/>
        <v>31</v>
      </c>
      <c r="J584">
        <f t="shared" si="221"/>
        <v>8.4699453551912565E-2</v>
      </c>
      <c r="K584">
        <f>IFERROR($J584/IF($A584&lt;COUNTIFS($K$1:K$1,"&lt;&gt;"),0,SUMIFS($J:$J,$B:$B,$B584,$A:$A,"&gt;="&amp;COUNTIFS($K$1:K$1,"&lt;&gt;"))),0)</f>
        <v>8.8571428571428579E-2</v>
      </c>
      <c r="L584">
        <f>IFERROR($J584/IF($A584&lt;COUNTIFS($K$1:L$1,"&lt;&gt;"),0,SUMIFS($J:$J,$B:$B,$B584,$A:$A,"&gt;="&amp;COUNTIFS($K$1:L$1,"&lt;&gt;"))),0)</f>
        <v>9.7178683385579931E-2</v>
      </c>
      <c r="M584">
        <f>IFERROR($J584/IF($A584&lt;COUNTIFS($K$1:M$1,"&lt;&gt;"),0,SUMIFS($J:$J,$B:$B,$B584,$A:$A,"&gt;="&amp;COUNTIFS($K$1:M$1,"&lt;&gt;"))),0)</f>
        <v>0.10726643598615916</v>
      </c>
      <c r="N584">
        <f>IFERROR($J584/IF($A584&lt;COUNTIFS($K$1:N$1,"&lt;&gt;"),0,SUMIFS($J:$J,$B:$B,$B584,$A:$A,"&gt;="&amp;COUNTIFS($K$1:N$1,"&lt;&gt;"))),0)</f>
        <v>0.12015503875968991</v>
      </c>
      <c r="O584">
        <f>IFERROR($J584/IF($A584&lt;COUNTIFS($K$1:O$1,"&lt;&gt;"),0,SUMIFS($J:$J,$B:$B,$B584,$A:$A,"&gt;="&amp;COUNTIFS($K$1:O$1,"&lt;&gt;"))),0)</f>
        <v>0.13656387665198236</v>
      </c>
      <c r="P584">
        <f>IFERROR($J584/IF($A584&lt;COUNTIFS($K$1:P$1,"&lt;&gt;"),0,SUMIFS($J:$J,$B:$B,$B584,$A:$A,"&gt;="&amp;COUNTIFS($K$1:P$1,"&lt;&gt;"))),0)</f>
        <v>0.15656565656565655</v>
      </c>
      <c r="Q584">
        <f>IFERROR($J584/IF($A584&lt;COUNTIFS($K$1:Q$1,"&lt;&gt;"),0,SUMIFS($J:$J,$B:$B,$B584,$A:$A,"&gt;="&amp;COUNTIFS($K$1:Q$1,"&lt;&gt;"))),0)</f>
        <v>0.18562874251497008</v>
      </c>
      <c r="R584">
        <f>IFERROR($J584/IF($A584&lt;COUNTIFS($K$1:R$1,"&lt;&gt;"),0,SUMIFS($J:$J,$B:$B,$B584,$A:$A,"&gt;="&amp;COUNTIFS($K$1:R$1,"&lt;&gt;"))),0)</f>
        <v>0.22627737226277372</v>
      </c>
      <c r="S584">
        <f>IFERROR($J584/IF($A584&lt;COUNTIFS($K$1:S$1,"&lt;&gt;"),0,SUMIFS($J:$J,$B:$B,$B584,$A:$A,"&gt;="&amp;COUNTIFS($K$1:S$1,"&lt;&gt;"))),0)</f>
        <v>0.29245283018867924</v>
      </c>
      <c r="T584">
        <f>IFERROR($J584/IF($A584&lt;COUNTIFS($K$1:T$1,"&lt;&gt;"),0,SUMIFS($J:$J,$B:$B,$B584,$A:$A,"&gt;="&amp;COUNTIFS($K$1:T$1,"&lt;&gt;"))),0)</f>
        <v>0.40789473684210525</v>
      </c>
      <c r="U584">
        <f>IFERROR($J584/IF($A584&lt;COUNTIFS($K$1:U$1,"&lt;&gt;"),0,SUMIFS($J:$J,$B:$B,$B584,$A:$A,"&gt;="&amp;COUNTIFS($K$1:U$1,"&lt;&gt;"))),0)</f>
        <v>0</v>
      </c>
      <c r="V584">
        <f>IFERROR($J584/IF($A584&lt;COUNTIFS($K$1:V$1,"&lt;&gt;"),0,SUMIFS($J:$J,$B:$B,$B584,$A:$A,"&gt;="&amp;COUNTIFS($K$1:V$1,"&lt;&gt;"))),0)</f>
        <v>0</v>
      </c>
      <c r="W584">
        <f t="shared" si="222"/>
        <v>8.4699453551912565E-2</v>
      </c>
      <c r="X584">
        <f t="shared" si="202"/>
        <v>8.4699453551912565E-2</v>
      </c>
      <c r="Y584">
        <f t="shared" si="203"/>
        <v>8.4699453551912565E-2</v>
      </c>
      <c r="Z584">
        <f t="shared" si="204"/>
        <v>8.4699453551912565E-2</v>
      </c>
      <c r="AA584">
        <f t="shared" si="205"/>
        <v>8.4699453551912565E-2</v>
      </c>
      <c r="AB584">
        <f t="shared" si="206"/>
        <v>8.4699453551912565E-2</v>
      </c>
      <c r="AC584">
        <f t="shared" si="207"/>
        <v>8.4699453551912565E-2</v>
      </c>
      <c r="AD584">
        <f t="shared" si="208"/>
        <v>8.4699453551912565E-2</v>
      </c>
      <c r="AE584">
        <f t="shared" si="209"/>
        <v>8.4699453551912565E-2</v>
      </c>
      <c r="AF584">
        <f t="shared" si="210"/>
        <v>8.4699453551912565E-2</v>
      </c>
      <c r="AG584">
        <f t="shared" si="211"/>
        <v>8.4699453551912565E-2</v>
      </c>
      <c r="AH584">
        <f t="shared" si="212"/>
        <v>0</v>
      </c>
      <c r="AI584">
        <f t="shared" si="213"/>
        <v>0</v>
      </c>
      <c r="AJ584" s="2" t="str">
        <f t="shared" si="223"/>
        <v>1045170</v>
      </c>
    </row>
    <row r="585" spans="1:36" x14ac:dyDescent="0.25">
      <c r="A585">
        <v>11</v>
      </c>
      <c r="B585" s="1">
        <v>45170</v>
      </c>
      <c r="C585" s="1">
        <f t="shared" si="214"/>
        <v>45505</v>
      </c>
      <c r="D585" s="1">
        <f t="shared" si="215"/>
        <v>45184</v>
      </c>
      <c r="E585" s="1">
        <f t="shared" si="216"/>
        <v>45505</v>
      </c>
      <c r="F585" s="1">
        <f t="shared" si="217"/>
        <v>45536</v>
      </c>
      <c r="G585" s="1">
        <f t="shared" si="218"/>
        <v>45550</v>
      </c>
      <c r="H585">
        <f t="shared" si="219"/>
        <v>366</v>
      </c>
      <c r="I585">
        <f t="shared" si="220"/>
        <v>31</v>
      </c>
      <c r="J585">
        <f t="shared" si="221"/>
        <v>8.4699453551912565E-2</v>
      </c>
      <c r="K585">
        <f>IFERROR($J585/IF($A585&lt;COUNTIFS($K$1:K$1,"&lt;&gt;"),0,SUMIFS($J:$J,$B:$B,$B585,$A:$A,"&gt;="&amp;COUNTIFS($K$1:K$1,"&lt;&gt;"))),0)</f>
        <v>8.8571428571428579E-2</v>
      </c>
      <c r="L585">
        <f>IFERROR($J585/IF($A585&lt;COUNTIFS($K$1:L$1,"&lt;&gt;"),0,SUMIFS($J:$J,$B:$B,$B585,$A:$A,"&gt;="&amp;COUNTIFS($K$1:L$1,"&lt;&gt;"))),0)</f>
        <v>9.7178683385579931E-2</v>
      </c>
      <c r="M585">
        <f>IFERROR($J585/IF($A585&lt;COUNTIFS($K$1:M$1,"&lt;&gt;"),0,SUMIFS($J:$J,$B:$B,$B585,$A:$A,"&gt;="&amp;COUNTIFS($K$1:M$1,"&lt;&gt;"))),0)</f>
        <v>0.10726643598615916</v>
      </c>
      <c r="N585">
        <f>IFERROR($J585/IF($A585&lt;COUNTIFS($K$1:N$1,"&lt;&gt;"),0,SUMIFS($J:$J,$B:$B,$B585,$A:$A,"&gt;="&amp;COUNTIFS($K$1:N$1,"&lt;&gt;"))),0)</f>
        <v>0.12015503875968991</v>
      </c>
      <c r="O585">
        <f>IFERROR($J585/IF($A585&lt;COUNTIFS($K$1:O$1,"&lt;&gt;"),0,SUMIFS($J:$J,$B:$B,$B585,$A:$A,"&gt;="&amp;COUNTIFS($K$1:O$1,"&lt;&gt;"))),0)</f>
        <v>0.13656387665198236</v>
      </c>
      <c r="P585">
        <f>IFERROR($J585/IF($A585&lt;COUNTIFS($K$1:P$1,"&lt;&gt;"),0,SUMIFS($J:$J,$B:$B,$B585,$A:$A,"&gt;="&amp;COUNTIFS($K$1:P$1,"&lt;&gt;"))),0)</f>
        <v>0.15656565656565655</v>
      </c>
      <c r="Q585">
        <f>IFERROR($J585/IF($A585&lt;COUNTIFS($K$1:Q$1,"&lt;&gt;"),0,SUMIFS($J:$J,$B:$B,$B585,$A:$A,"&gt;="&amp;COUNTIFS($K$1:Q$1,"&lt;&gt;"))),0)</f>
        <v>0.18562874251497008</v>
      </c>
      <c r="R585">
        <f>IFERROR($J585/IF($A585&lt;COUNTIFS($K$1:R$1,"&lt;&gt;"),0,SUMIFS($J:$J,$B:$B,$B585,$A:$A,"&gt;="&amp;COUNTIFS($K$1:R$1,"&lt;&gt;"))),0)</f>
        <v>0.22627737226277372</v>
      </c>
      <c r="S585">
        <f>IFERROR($J585/IF($A585&lt;COUNTIFS($K$1:S$1,"&lt;&gt;"),0,SUMIFS($J:$J,$B:$B,$B585,$A:$A,"&gt;="&amp;COUNTIFS($K$1:S$1,"&lt;&gt;"))),0)</f>
        <v>0.29245283018867924</v>
      </c>
      <c r="T585">
        <f>IFERROR($J585/IF($A585&lt;COUNTIFS($K$1:T$1,"&lt;&gt;"),0,SUMIFS($J:$J,$B:$B,$B585,$A:$A,"&gt;="&amp;COUNTIFS($K$1:T$1,"&lt;&gt;"))),0)</f>
        <v>0.40789473684210525</v>
      </c>
      <c r="U585">
        <f>IFERROR($J585/IF($A585&lt;COUNTIFS($K$1:U$1,"&lt;&gt;"),0,SUMIFS($J:$J,$B:$B,$B585,$A:$A,"&gt;="&amp;COUNTIFS($K$1:U$1,"&lt;&gt;"))),0)</f>
        <v>0.68888888888888888</v>
      </c>
      <c r="V585">
        <f>IFERROR($J585/IF($A585&lt;COUNTIFS($K$1:V$1,"&lt;&gt;"),0,SUMIFS($J:$J,$B:$B,$B585,$A:$A,"&gt;="&amp;COUNTIFS($K$1:V$1,"&lt;&gt;"))),0)</f>
        <v>0</v>
      </c>
      <c r="W585">
        <f t="shared" si="222"/>
        <v>8.4699453551912565E-2</v>
      </c>
      <c r="X585">
        <f t="shared" si="202"/>
        <v>8.4699453551912565E-2</v>
      </c>
      <c r="Y585">
        <f t="shared" si="203"/>
        <v>8.4699453551912565E-2</v>
      </c>
      <c r="Z585">
        <f t="shared" si="204"/>
        <v>8.4699453551912565E-2</v>
      </c>
      <c r="AA585">
        <f t="shared" si="205"/>
        <v>8.4699453551912565E-2</v>
      </c>
      <c r="AB585">
        <f t="shared" si="206"/>
        <v>8.4699453551912565E-2</v>
      </c>
      <c r="AC585">
        <f t="shared" si="207"/>
        <v>8.4699453551912565E-2</v>
      </c>
      <c r="AD585">
        <f t="shared" si="208"/>
        <v>8.4699453551912565E-2</v>
      </c>
      <c r="AE585">
        <f t="shared" si="209"/>
        <v>8.4699453551912565E-2</v>
      </c>
      <c r="AF585">
        <f t="shared" si="210"/>
        <v>8.4699453551912565E-2</v>
      </c>
      <c r="AG585">
        <f t="shared" si="211"/>
        <v>8.4699453551912565E-2</v>
      </c>
      <c r="AH585">
        <f t="shared" si="212"/>
        <v>8.4699453551912565E-2</v>
      </c>
      <c r="AI585">
        <f t="shared" si="213"/>
        <v>0</v>
      </c>
      <c r="AJ585" s="2" t="str">
        <f t="shared" si="223"/>
        <v>1145170</v>
      </c>
    </row>
    <row r="586" spans="1:36" x14ac:dyDescent="0.25">
      <c r="A586">
        <v>12</v>
      </c>
      <c r="B586" s="1">
        <v>45170</v>
      </c>
      <c r="C586" s="1">
        <f t="shared" si="214"/>
        <v>45536</v>
      </c>
      <c r="D586" s="1">
        <f t="shared" si="215"/>
        <v>45184</v>
      </c>
      <c r="E586" s="1">
        <f t="shared" si="216"/>
        <v>45536</v>
      </c>
      <c r="F586" s="1">
        <f t="shared" si="217"/>
        <v>45550</v>
      </c>
      <c r="G586" s="1">
        <f t="shared" si="218"/>
        <v>45550</v>
      </c>
      <c r="H586">
        <f t="shared" si="219"/>
        <v>366</v>
      </c>
      <c r="I586">
        <f t="shared" si="220"/>
        <v>14</v>
      </c>
      <c r="J586">
        <f t="shared" si="221"/>
        <v>3.825136612021858E-2</v>
      </c>
      <c r="K586">
        <f>IFERROR($J586/IF($A586&lt;COUNTIFS($K$1:K$1,"&lt;&gt;"),0,SUMIFS($J:$J,$B:$B,$B586,$A:$A,"&gt;="&amp;COUNTIFS($K$1:K$1,"&lt;&gt;"))),0)</f>
        <v>0.04</v>
      </c>
      <c r="L586">
        <f>IFERROR($J586/IF($A586&lt;COUNTIFS($K$1:L$1,"&lt;&gt;"),0,SUMIFS($J:$J,$B:$B,$B586,$A:$A,"&gt;="&amp;COUNTIFS($K$1:L$1,"&lt;&gt;"))),0)</f>
        <v>4.3887147335423198E-2</v>
      </c>
      <c r="M586">
        <f>IFERROR($J586/IF($A586&lt;COUNTIFS($K$1:M$1,"&lt;&gt;"),0,SUMIFS($J:$J,$B:$B,$B586,$A:$A,"&gt;="&amp;COUNTIFS($K$1:M$1,"&lt;&gt;"))),0)</f>
        <v>4.8442906574394463E-2</v>
      </c>
      <c r="N586">
        <f>IFERROR($J586/IF($A586&lt;COUNTIFS($K$1:N$1,"&lt;&gt;"),0,SUMIFS($J:$J,$B:$B,$B586,$A:$A,"&gt;="&amp;COUNTIFS($K$1:N$1,"&lt;&gt;"))),0)</f>
        <v>5.4263565891472867E-2</v>
      </c>
      <c r="O586">
        <f>IFERROR($J586/IF($A586&lt;COUNTIFS($K$1:O$1,"&lt;&gt;"),0,SUMIFS($J:$J,$B:$B,$B586,$A:$A,"&gt;="&amp;COUNTIFS($K$1:O$1,"&lt;&gt;"))),0)</f>
        <v>6.1674008810572688E-2</v>
      </c>
      <c r="P586">
        <f>IFERROR($J586/IF($A586&lt;COUNTIFS($K$1:P$1,"&lt;&gt;"),0,SUMIFS($J:$J,$B:$B,$B586,$A:$A,"&gt;="&amp;COUNTIFS($K$1:P$1,"&lt;&gt;"))),0)</f>
        <v>7.0707070707070704E-2</v>
      </c>
      <c r="Q586">
        <f>IFERROR($J586/IF($A586&lt;COUNTIFS($K$1:Q$1,"&lt;&gt;"),0,SUMIFS($J:$J,$B:$B,$B586,$A:$A,"&gt;="&amp;COUNTIFS($K$1:Q$1,"&lt;&gt;"))),0)</f>
        <v>8.3832335329341326E-2</v>
      </c>
      <c r="R586">
        <f>IFERROR($J586/IF($A586&lt;COUNTIFS($K$1:R$1,"&lt;&gt;"),0,SUMIFS($J:$J,$B:$B,$B586,$A:$A,"&gt;="&amp;COUNTIFS($K$1:R$1,"&lt;&gt;"))),0)</f>
        <v>0.10218978102189782</v>
      </c>
      <c r="S586">
        <f>IFERROR($J586/IF($A586&lt;COUNTIFS($K$1:S$1,"&lt;&gt;"),0,SUMIFS($J:$J,$B:$B,$B586,$A:$A,"&gt;="&amp;COUNTIFS($K$1:S$1,"&lt;&gt;"))),0)</f>
        <v>0.13207547169811321</v>
      </c>
      <c r="T586">
        <f>IFERROR($J586/IF($A586&lt;COUNTIFS($K$1:T$1,"&lt;&gt;"),0,SUMIFS($J:$J,$B:$B,$B586,$A:$A,"&gt;="&amp;COUNTIFS($K$1:T$1,"&lt;&gt;"))),0)</f>
        <v>0.18421052631578946</v>
      </c>
      <c r="U586">
        <f>IFERROR($J586/IF($A586&lt;COUNTIFS($K$1:U$1,"&lt;&gt;"),0,SUMIFS($J:$J,$B:$B,$B586,$A:$A,"&gt;="&amp;COUNTIFS($K$1:U$1,"&lt;&gt;"))),0)</f>
        <v>0.31111111111111112</v>
      </c>
      <c r="V586">
        <f>IFERROR($J586/IF($A586&lt;COUNTIFS($K$1:V$1,"&lt;&gt;"),0,SUMIFS($J:$J,$B:$B,$B586,$A:$A,"&gt;="&amp;COUNTIFS($K$1:V$1,"&lt;&gt;"))),0)</f>
        <v>1</v>
      </c>
      <c r="W586">
        <f t="shared" si="222"/>
        <v>3.825136612021858E-2</v>
      </c>
      <c r="X586">
        <f t="shared" si="202"/>
        <v>3.825136612021858E-2</v>
      </c>
      <c r="Y586">
        <f t="shared" si="203"/>
        <v>3.825136612021858E-2</v>
      </c>
      <c r="Z586">
        <f t="shared" si="204"/>
        <v>3.825136612021858E-2</v>
      </c>
      <c r="AA586">
        <f t="shared" si="205"/>
        <v>3.825136612021858E-2</v>
      </c>
      <c r="AB586">
        <f t="shared" si="206"/>
        <v>3.825136612021858E-2</v>
      </c>
      <c r="AC586">
        <f t="shared" si="207"/>
        <v>3.825136612021858E-2</v>
      </c>
      <c r="AD586">
        <f t="shared" si="208"/>
        <v>3.825136612021858E-2</v>
      </c>
      <c r="AE586">
        <f t="shared" si="209"/>
        <v>3.825136612021858E-2</v>
      </c>
      <c r="AF586">
        <f t="shared" si="210"/>
        <v>3.825136612021858E-2</v>
      </c>
      <c r="AG586">
        <f t="shared" si="211"/>
        <v>3.825136612021858E-2</v>
      </c>
      <c r="AH586">
        <f t="shared" si="212"/>
        <v>3.825136612021858E-2</v>
      </c>
      <c r="AI586">
        <f t="shared" si="213"/>
        <v>3.825136612021858E-2</v>
      </c>
      <c r="AJ586" s="2" t="str">
        <f t="shared" si="223"/>
        <v>1245170</v>
      </c>
    </row>
    <row r="587" spans="1:36" x14ac:dyDescent="0.25">
      <c r="A587">
        <v>0</v>
      </c>
      <c r="B587" s="1">
        <v>45200</v>
      </c>
      <c r="C587" s="1">
        <f t="shared" si="214"/>
        <v>45200</v>
      </c>
      <c r="D587" s="1">
        <f t="shared" si="215"/>
        <v>45214</v>
      </c>
      <c r="E587" s="1">
        <f t="shared" si="216"/>
        <v>45214</v>
      </c>
      <c r="F587" s="1">
        <f t="shared" si="217"/>
        <v>45231</v>
      </c>
      <c r="G587" s="1">
        <f t="shared" si="218"/>
        <v>45580</v>
      </c>
      <c r="H587">
        <f t="shared" si="219"/>
        <v>366</v>
      </c>
      <c r="I587">
        <f t="shared" si="220"/>
        <v>17</v>
      </c>
      <c r="J587">
        <f t="shared" si="221"/>
        <v>4.6448087431693992E-2</v>
      </c>
      <c r="K587">
        <f>IFERROR($J587/IF($A587&lt;COUNTIFS($K$1:K$1,"&lt;&gt;"),0,SUMIFS($J:$J,$B:$B,$B587,$A:$A,"&gt;="&amp;COUNTIFS($K$1:K$1,"&lt;&gt;"))),0)</f>
        <v>0</v>
      </c>
      <c r="L587">
        <f>IFERROR($J587/IF($A587&lt;COUNTIFS($K$1:L$1,"&lt;&gt;"),0,SUMIFS($J:$J,$B:$B,$B587,$A:$A,"&gt;="&amp;COUNTIFS($K$1:L$1,"&lt;&gt;"))),0)</f>
        <v>0</v>
      </c>
      <c r="M587">
        <f>IFERROR($J587/IF($A587&lt;COUNTIFS($K$1:M$1,"&lt;&gt;"),0,SUMIFS($J:$J,$B:$B,$B587,$A:$A,"&gt;="&amp;COUNTIFS($K$1:M$1,"&lt;&gt;"))),0)</f>
        <v>0</v>
      </c>
      <c r="N587">
        <f>IFERROR($J587/IF($A587&lt;COUNTIFS($K$1:N$1,"&lt;&gt;"),0,SUMIFS($J:$J,$B:$B,$B587,$A:$A,"&gt;="&amp;COUNTIFS($K$1:N$1,"&lt;&gt;"))),0)</f>
        <v>0</v>
      </c>
      <c r="O587">
        <f>IFERROR($J587/IF($A587&lt;COUNTIFS($K$1:O$1,"&lt;&gt;"),0,SUMIFS($J:$J,$B:$B,$B587,$A:$A,"&gt;="&amp;COUNTIFS($K$1:O$1,"&lt;&gt;"))),0)</f>
        <v>0</v>
      </c>
      <c r="P587">
        <f>IFERROR($J587/IF($A587&lt;COUNTIFS($K$1:P$1,"&lt;&gt;"),0,SUMIFS($J:$J,$B:$B,$B587,$A:$A,"&gt;="&amp;COUNTIFS($K$1:P$1,"&lt;&gt;"))),0)</f>
        <v>0</v>
      </c>
      <c r="Q587">
        <f>IFERROR($J587/IF($A587&lt;COUNTIFS($K$1:Q$1,"&lt;&gt;"),0,SUMIFS($J:$J,$B:$B,$B587,$A:$A,"&gt;="&amp;COUNTIFS($K$1:Q$1,"&lt;&gt;"))),0)</f>
        <v>0</v>
      </c>
      <c r="R587">
        <f>IFERROR($J587/IF($A587&lt;COUNTIFS($K$1:R$1,"&lt;&gt;"),0,SUMIFS($J:$J,$B:$B,$B587,$A:$A,"&gt;="&amp;COUNTIFS($K$1:R$1,"&lt;&gt;"))),0)</f>
        <v>0</v>
      </c>
      <c r="S587">
        <f>IFERROR($J587/IF($A587&lt;COUNTIFS($K$1:S$1,"&lt;&gt;"),0,SUMIFS($J:$J,$B:$B,$B587,$A:$A,"&gt;="&amp;COUNTIFS($K$1:S$1,"&lt;&gt;"))),0)</f>
        <v>0</v>
      </c>
      <c r="T587">
        <f>IFERROR($J587/IF($A587&lt;COUNTIFS($K$1:T$1,"&lt;&gt;"),0,SUMIFS($J:$J,$B:$B,$B587,$A:$A,"&gt;="&amp;COUNTIFS($K$1:T$1,"&lt;&gt;"))),0)</f>
        <v>0</v>
      </c>
      <c r="U587">
        <f>IFERROR($J587/IF($A587&lt;COUNTIFS($K$1:U$1,"&lt;&gt;"),0,SUMIFS($J:$J,$B:$B,$B587,$A:$A,"&gt;="&amp;COUNTIFS($K$1:U$1,"&lt;&gt;"))),0)</f>
        <v>0</v>
      </c>
      <c r="V587">
        <f>IFERROR($J587/IF($A587&lt;COUNTIFS($K$1:V$1,"&lt;&gt;"),0,SUMIFS($J:$J,$B:$B,$B587,$A:$A,"&gt;="&amp;COUNTIFS($K$1:V$1,"&lt;&gt;"))),0)</f>
        <v>0</v>
      </c>
      <c r="W587">
        <f t="shared" si="222"/>
        <v>4.6448087431693992E-2</v>
      </c>
      <c r="X587">
        <f t="shared" si="202"/>
        <v>0</v>
      </c>
      <c r="Y587">
        <f t="shared" si="203"/>
        <v>0</v>
      </c>
      <c r="Z587">
        <f t="shared" si="204"/>
        <v>0</v>
      </c>
      <c r="AA587">
        <f t="shared" si="205"/>
        <v>0</v>
      </c>
      <c r="AB587">
        <f t="shared" si="206"/>
        <v>0</v>
      </c>
      <c r="AC587">
        <f t="shared" si="207"/>
        <v>0</v>
      </c>
      <c r="AD587">
        <f t="shared" si="208"/>
        <v>0</v>
      </c>
      <c r="AE587">
        <f t="shared" si="209"/>
        <v>0</v>
      </c>
      <c r="AF587">
        <f t="shared" si="210"/>
        <v>0</v>
      </c>
      <c r="AG587">
        <f t="shared" si="211"/>
        <v>0</v>
      </c>
      <c r="AH587">
        <f t="shared" si="212"/>
        <v>0</v>
      </c>
      <c r="AI587">
        <f t="shared" si="213"/>
        <v>0</v>
      </c>
      <c r="AJ587" s="2" t="str">
        <f t="shared" si="223"/>
        <v>045200</v>
      </c>
    </row>
    <row r="588" spans="1:36" x14ac:dyDescent="0.25">
      <c r="A588">
        <v>1</v>
      </c>
      <c r="B588" s="1">
        <v>45200</v>
      </c>
      <c r="C588" s="1">
        <f t="shared" si="214"/>
        <v>45231</v>
      </c>
      <c r="D588" s="1">
        <f t="shared" si="215"/>
        <v>45214</v>
      </c>
      <c r="E588" s="1">
        <f t="shared" si="216"/>
        <v>45231</v>
      </c>
      <c r="F588" s="1">
        <f t="shared" si="217"/>
        <v>45261</v>
      </c>
      <c r="G588" s="1">
        <f t="shared" si="218"/>
        <v>45580</v>
      </c>
      <c r="H588">
        <f t="shared" si="219"/>
        <v>366</v>
      </c>
      <c r="I588">
        <f t="shared" si="220"/>
        <v>30</v>
      </c>
      <c r="J588">
        <f t="shared" si="221"/>
        <v>8.1967213114754092E-2</v>
      </c>
      <c r="K588">
        <f>IFERROR($J588/IF($A588&lt;COUNTIFS($K$1:K$1,"&lt;&gt;"),0,SUMIFS($J:$J,$B:$B,$B588,$A:$A,"&gt;="&amp;COUNTIFS($K$1:K$1,"&lt;&gt;"))),0)</f>
        <v>8.5959885386819479E-2</v>
      </c>
      <c r="L588">
        <f>IFERROR($J588/IF($A588&lt;COUNTIFS($K$1:L$1,"&lt;&gt;"),0,SUMIFS($J:$J,$B:$B,$B588,$A:$A,"&gt;="&amp;COUNTIFS($K$1:L$1,"&lt;&gt;"))),0)</f>
        <v>0</v>
      </c>
      <c r="M588">
        <f>IFERROR($J588/IF($A588&lt;COUNTIFS($K$1:M$1,"&lt;&gt;"),0,SUMIFS($J:$J,$B:$B,$B588,$A:$A,"&gt;="&amp;COUNTIFS($K$1:M$1,"&lt;&gt;"))),0)</f>
        <v>0</v>
      </c>
      <c r="N588">
        <f>IFERROR($J588/IF($A588&lt;COUNTIFS($K$1:N$1,"&lt;&gt;"),0,SUMIFS($J:$J,$B:$B,$B588,$A:$A,"&gt;="&amp;COUNTIFS($K$1:N$1,"&lt;&gt;"))),0)</f>
        <v>0</v>
      </c>
      <c r="O588">
        <f>IFERROR($J588/IF($A588&lt;COUNTIFS($K$1:O$1,"&lt;&gt;"),0,SUMIFS($J:$J,$B:$B,$B588,$A:$A,"&gt;="&amp;COUNTIFS($K$1:O$1,"&lt;&gt;"))),0)</f>
        <v>0</v>
      </c>
      <c r="P588">
        <f>IFERROR($J588/IF($A588&lt;COUNTIFS($K$1:P$1,"&lt;&gt;"),0,SUMIFS($J:$J,$B:$B,$B588,$A:$A,"&gt;="&amp;COUNTIFS($K$1:P$1,"&lt;&gt;"))),0)</f>
        <v>0</v>
      </c>
      <c r="Q588">
        <f>IFERROR($J588/IF($A588&lt;COUNTIFS($K$1:Q$1,"&lt;&gt;"),0,SUMIFS($J:$J,$B:$B,$B588,$A:$A,"&gt;="&amp;COUNTIFS($K$1:Q$1,"&lt;&gt;"))),0)</f>
        <v>0</v>
      </c>
      <c r="R588">
        <f>IFERROR($J588/IF($A588&lt;COUNTIFS($K$1:R$1,"&lt;&gt;"),0,SUMIFS($J:$J,$B:$B,$B588,$A:$A,"&gt;="&amp;COUNTIFS($K$1:R$1,"&lt;&gt;"))),0)</f>
        <v>0</v>
      </c>
      <c r="S588">
        <f>IFERROR($J588/IF($A588&lt;COUNTIFS($K$1:S$1,"&lt;&gt;"),0,SUMIFS($J:$J,$B:$B,$B588,$A:$A,"&gt;="&amp;COUNTIFS($K$1:S$1,"&lt;&gt;"))),0)</f>
        <v>0</v>
      </c>
      <c r="T588">
        <f>IFERROR($J588/IF($A588&lt;COUNTIFS($K$1:T$1,"&lt;&gt;"),0,SUMIFS($J:$J,$B:$B,$B588,$A:$A,"&gt;="&amp;COUNTIFS($K$1:T$1,"&lt;&gt;"))),0)</f>
        <v>0</v>
      </c>
      <c r="U588">
        <f>IFERROR($J588/IF($A588&lt;COUNTIFS($K$1:U$1,"&lt;&gt;"),0,SUMIFS($J:$J,$B:$B,$B588,$A:$A,"&gt;="&amp;COUNTIFS($K$1:U$1,"&lt;&gt;"))),0)</f>
        <v>0</v>
      </c>
      <c r="V588">
        <f>IFERROR($J588/IF($A588&lt;COUNTIFS($K$1:V$1,"&lt;&gt;"),0,SUMIFS($J:$J,$B:$B,$B588,$A:$A,"&gt;="&amp;COUNTIFS($K$1:V$1,"&lt;&gt;"))),0)</f>
        <v>0</v>
      </c>
      <c r="W588">
        <f t="shared" si="222"/>
        <v>8.1967213114754092E-2</v>
      </c>
      <c r="X588">
        <f t="shared" si="202"/>
        <v>8.1967213114754092E-2</v>
      </c>
      <c r="Y588">
        <f t="shared" si="203"/>
        <v>0</v>
      </c>
      <c r="Z588">
        <f t="shared" si="204"/>
        <v>0</v>
      </c>
      <c r="AA588">
        <f t="shared" si="205"/>
        <v>0</v>
      </c>
      <c r="AB588">
        <f t="shared" si="206"/>
        <v>0</v>
      </c>
      <c r="AC588">
        <f t="shared" si="207"/>
        <v>0</v>
      </c>
      <c r="AD588">
        <f t="shared" si="208"/>
        <v>0</v>
      </c>
      <c r="AE588">
        <f t="shared" si="209"/>
        <v>0</v>
      </c>
      <c r="AF588">
        <f t="shared" si="210"/>
        <v>0</v>
      </c>
      <c r="AG588">
        <f t="shared" si="211"/>
        <v>0</v>
      </c>
      <c r="AH588">
        <f t="shared" si="212"/>
        <v>0</v>
      </c>
      <c r="AI588">
        <f t="shared" si="213"/>
        <v>0</v>
      </c>
      <c r="AJ588" s="2" t="str">
        <f t="shared" si="223"/>
        <v>145200</v>
      </c>
    </row>
    <row r="589" spans="1:36" x14ac:dyDescent="0.25">
      <c r="A589">
        <v>2</v>
      </c>
      <c r="B589" s="1">
        <v>45200</v>
      </c>
      <c r="C589" s="1">
        <f t="shared" si="214"/>
        <v>45261</v>
      </c>
      <c r="D589" s="1">
        <f t="shared" si="215"/>
        <v>45214</v>
      </c>
      <c r="E589" s="1">
        <f t="shared" si="216"/>
        <v>45261</v>
      </c>
      <c r="F589" s="1">
        <f t="shared" si="217"/>
        <v>45292</v>
      </c>
      <c r="G589" s="1">
        <f t="shared" si="218"/>
        <v>45580</v>
      </c>
      <c r="H589">
        <f t="shared" si="219"/>
        <v>366</v>
      </c>
      <c r="I589">
        <f t="shared" si="220"/>
        <v>31</v>
      </c>
      <c r="J589">
        <f t="shared" si="221"/>
        <v>8.4699453551912565E-2</v>
      </c>
      <c r="K589">
        <f>IFERROR($J589/IF($A589&lt;COUNTIFS($K$1:K$1,"&lt;&gt;"),0,SUMIFS($J:$J,$B:$B,$B589,$A:$A,"&gt;="&amp;COUNTIFS($K$1:K$1,"&lt;&gt;"))),0)</f>
        <v>8.882521489971347E-2</v>
      </c>
      <c r="L589">
        <f>IFERROR($J589/IF($A589&lt;COUNTIFS($K$1:L$1,"&lt;&gt;"),0,SUMIFS($J:$J,$B:$B,$B589,$A:$A,"&gt;="&amp;COUNTIFS($K$1:L$1,"&lt;&gt;"))),0)</f>
        <v>9.7178683385579931E-2</v>
      </c>
      <c r="M589">
        <f>IFERROR($J589/IF($A589&lt;COUNTIFS($K$1:M$1,"&lt;&gt;"),0,SUMIFS($J:$J,$B:$B,$B589,$A:$A,"&gt;="&amp;COUNTIFS($K$1:M$1,"&lt;&gt;"))),0)</f>
        <v>0</v>
      </c>
      <c r="N589">
        <f>IFERROR($J589/IF($A589&lt;COUNTIFS($K$1:N$1,"&lt;&gt;"),0,SUMIFS($J:$J,$B:$B,$B589,$A:$A,"&gt;="&amp;COUNTIFS($K$1:N$1,"&lt;&gt;"))),0)</f>
        <v>0</v>
      </c>
      <c r="O589">
        <f>IFERROR($J589/IF($A589&lt;COUNTIFS($K$1:O$1,"&lt;&gt;"),0,SUMIFS($J:$J,$B:$B,$B589,$A:$A,"&gt;="&amp;COUNTIFS($K$1:O$1,"&lt;&gt;"))),0)</f>
        <v>0</v>
      </c>
      <c r="P589">
        <f>IFERROR($J589/IF($A589&lt;COUNTIFS($K$1:P$1,"&lt;&gt;"),0,SUMIFS($J:$J,$B:$B,$B589,$A:$A,"&gt;="&amp;COUNTIFS($K$1:P$1,"&lt;&gt;"))),0)</f>
        <v>0</v>
      </c>
      <c r="Q589">
        <f>IFERROR($J589/IF($A589&lt;COUNTIFS($K$1:Q$1,"&lt;&gt;"),0,SUMIFS($J:$J,$B:$B,$B589,$A:$A,"&gt;="&amp;COUNTIFS($K$1:Q$1,"&lt;&gt;"))),0)</f>
        <v>0</v>
      </c>
      <c r="R589">
        <f>IFERROR($J589/IF($A589&lt;COUNTIFS($K$1:R$1,"&lt;&gt;"),0,SUMIFS($J:$J,$B:$B,$B589,$A:$A,"&gt;="&amp;COUNTIFS($K$1:R$1,"&lt;&gt;"))),0)</f>
        <v>0</v>
      </c>
      <c r="S589">
        <f>IFERROR($J589/IF($A589&lt;COUNTIFS($K$1:S$1,"&lt;&gt;"),0,SUMIFS($J:$J,$B:$B,$B589,$A:$A,"&gt;="&amp;COUNTIFS($K$1:S$1,"&lt;&gt;"))),0)</f>
        <v>0</v>
      </c>
      <c r="T589">
        <f>IFERROR($J589/IF($A589&lt;COUNTIFS($K$1:T$1,"&lt;&gt;"),0,SUMIFS($J:$J,$B:$B,$B589,$A:$A,"&gt;="&amp;COUNTIFS($K$1:T$1,"&lt;&gt;"))),0)</f>
        <v>0</v>
      </c>
      <c r="U589">
        <f>IFERROR($J589/IF($A589&lt;COUNTIFS($K$1:U$1,"&lt;&gt;"),0,SUMIFS($J:$J,$B:$B,$B589,$A:$A,"&gt;="&amp;COUNTIFS($K$1:U$1,"&lt;&gt;"))),0)</f>
        <v>0</v>
      </c>
      <c r="V589">
        <f>IFERROR($J589/IF($A589&lt;COUNTIFS($K$1:V$1,"&lt;&gt;"),0,SUMIFS($J:$J,$B:$B,$B589,$A:$A,"&gt;="&amp;COUNTIFS($K$1:V$1,"&lt;&gt;"))),0)</f>
        <v>0</v>
      </c>
      <c r="W589">
        <f t="shared" si="222"/>
        <v>8.4699453551912565E-2</v>
      </c>
      <c r="X589">
        <f t="shared" si="202"/>
        <v>8.4699453551912565E-2</v>
      </c>
      <c r="Y589">
        <f t="shared" si="203"/>
        <v>8.4699453551912565E-2</v>
      </c>
      <c r="Z589">
        <f t="shared" si="204"/>
        <v>0</v>
      </c>
      <c r="AA589">
        <f t="shared" si="205"/>
        <v>0</v>
      </c>
      <c r="AB589">
        <f t="shared" si="206"/>
        <v>0</v>
      </c>
      <c r="AC589">
        <f t="shared" si="207"/>
        <v>0</v>
      </c>
      <c r="AD589">
        <f t="shared" si="208"/>
        <v>0</v>
      </c>
      <c r="AE589">
        <f t="shared" si="209"/>
        <v>0</v>
      </c>
      <c r="AF589">
        <f t="shared" si="210"/>
        <v>0</v>
      </c>
      <c r="AG589">
        <f t="shared" si="211"/>
        <v>0</v>
      </c>
      <c r="AH589">
        <f t="shared" si="212"/>
        <v>0</v>
      </c>
      <c r="AI589">
        <f t="shared" si="213"/>
        <v>0</v>
      </c>
      <c r="AJ589" s="2" t="str">
        <f t="shared" si="223"/>
        <v>245200</v>
      </c>
    </row>
    <row r="590" spans="1:36" x14ac:dyDescent="0.25">
      <c r="A590">
        <v>3</v>
      </c>
      <c r="B590" s="1">
        <v>45200</v>
      </c>
      <c r="C590" s="1">
        <f t="shared" si="214"/>
        <v>45292</v>
      </c>
      <c r="D590" s="1">
        <f t="shared" si="215"/>
        <v>45214</v>
      </c>
      <c r="E590" s="1">
        <f t="shared" si="216"/>
        <v>45292</v>
      </c>
      <c r="F590" s="1">
        <f t="shared" si="217"/>
        <v>45323</v>
      </c>
      <c r="G590" s="1">
        <f t="shared" si="218"/>
        <v>45580</v>
      </c>
      <c r="H590">
        <f t="shared" si="219"/>
        <v>366</v>
      </c>
      <c r="I590">
        <f t="shared" si="220"/>
        <v>31</v>
      </c>
      <c r="J590">
        <f t="shared" si="221"/>
        <v>8.4699453551912565E-2</v>
      </c>
      <c r="K590">
        <f>IFERROR($J590/IF($A590&lt;COUNTIFS($K$1:K$1,"&lt;&gt;"),0,SUMIFS($J:$J,$B:$B,$B590,$A:$A,"&gt;="&amp;COUNTIFS($K$1:K$1,"&lt;&gt;"))),0)</f>
        <v>8.882521489971347E-2</v>
      </c>
      <c r="L590">
        <f>IFERROR($J590/IF($A590&lt;COUNTIFS($K$1:L$1,"&lt;&gt;"),0,SUMIFS($J:$J,$B:$B,$B590,$A:$A,"&gt;="&amp;COUNTIFS($K$1:L$1,"&lt;&gt;"))),0)</f>
        <v>9.7178683385579931E-2</v>
      </c>
      <c r="M590">
        <f>IFERROR($J590/IF($A590&lt;COUNTIFS($K$1:M$1,"&lt;&gt;"),0,SUMIFS($J:$J,$B:$B,$B590,$A:$A,"&gt;="&amp;COUNTIFS($K$1:M$1,"&lt;&gt;"))),0)</f>
        <v>0.10763888888888888</v>
      </c>
      <c r="N590">
        <f>IFERROR($J590/IF($A590&lt;COUNTIFS($K$1:N$1,"&lt;&gt;"),0,SUMIFS($J:$J,$B:$B,$B590,$A:$A,"&gt;="&amp;COUNTIFS($K$1:N$1,"&lt;&gt;"))),0)</f>
        <v>0</v>
      </c>
      <c r="O590">
        <f>IFERROR($J590/IF($A590&lt;COUNTIFS($K$1:O$1,"&lt;&gt;"),0,SUMIFS($J:$J,$B:$B,$B590,$A:$A,"&gt;="&amp;COUNTIFS($K$1:O$1,"&lt;&gt;"))),0)</f>
        <v>0</v>
      </c>
      <c r="P590">
        <f>IFERROR($J590/IF($A590&lt;COUNTIFS($K$1:P$1,"&lt;&gt;"),0,SUMIFS($J:$J,$B:$B,$B590,$A:$A,"&gt;="&amp;COUNTIFS($K$1:P$1,"&lt;&gt;"))),0)</f>
        <v>0</v>
      </c>
      <c r="Q590">
        <f>IFERROR($J590/IF($A590&lt;COUNTIFS($K$1:Q$1,"&lt;&gt;"),0,SUMIFS($J:$J,$B:$B,$B590,$A:$A,"&gt;="&amp;COUNTIFS($K$1:Q$1,"&lt;&gt;"))),0)</f>
        <v>0</v>
      </c>
      <c r="R590">
        <f>IFERROR($J590/IF($A590&lt;COUNTIFS($K$1:R$1,"&lt;&gt;"),0,SUMIFS($J:$J,$B:$B,$B590,$A:$A,"&gt;="&amp;COUNTIFS($K$1:R$1,"&lt;&gt;"))),0)</f>
        <v>0</v>
      </c>
      <c r="S590">
        <f>IFERROR($J590/IF($A590&lt;COUNTIFS($K$1:S$1,"&lt;&gt;"),0,SUMIFS($J:$J,$B:$B,$B590,$A:$A,"&gt;="&amp;COUNTIFS($K$1:S$1,"&lt;&gt;"))),0)</f>
        <v>0</v>
      </c>
      <c r="T590">
        <f>IFERROR($J590/IF($A590&lt;COUNTIFS($K$1:T$1,"&lt;&gt;"),0,SUMIFS($J:$J,$B:$B,$B590,$A:$A,"&gt;="&amp;COUNTIFS($K$1:T$1,"&lt;&gt;"))),0)</f>
        <v>0</v>
      </c>
      <c r="U590">
        <f>IFERROR($J590/IF($A590&lt;COUNTIFS($K$1:U$1,"&lt;&gt;"),0,SUMIFS($J:$J,$B:$B,$B590,$A:$A,"&gt;="&amp;COUNTIFS($K$1:U$1,"&lt;&gt;"))),0)</f>
        <v>0</v>
      </c>
      <c r="V590">
        <f>IFERROR($J590/IF($A590&lt;COUNTIFS($K$1:V$1,"&lt;&gt;"),0,SUMIFS($J:$J,$B:$B,$B590,$A:$A,"&gt;="&amp;COUNTIFS($K$1:V$1,"&lt;&gt;"))),0)</f>
        <v>0</v>
      </c>
      <c r="W590">
        <f t="shared" si="222"/>
        <v>8.4699453551912565E-2</v>
      </c>
      <c r="X590">
        <f t="shared" si="202"/>
        <v>8.4699453551912565E-2</v>
      </c>
      <c r="Y590">
        <f t="shared" si="203"/>
        <v>8.4699453551912565E-2</v>
      </c>
      <c r="Z590">
        <f t="shared" si="204"/>
        <v>8.4699453551912565E-2</v>
      </c>
      <c r="AA590">
        <f t="shared" si="205"/>
        <v>0</v>
      </c>
      <c r="AB590">
        <f t="shared" si="206"/>
        <v>0</v>
      </c>
      <c r="AC590">
        <f t="shared" si="207"/>
        <v>0</v>
      </c>
      <c r="AD590">
        <f t="shared" si="208"/>
        <v>0</v>
      </c>
      <c r="AE590">
        <f t="shared" si="209"/>
        <v>0</v>
      </c>
      <c r="AF590">
        <f t="shared" si="210"/>
        <v>0</v>
      </c>
      <c r="AG590">
        <f t="shared" si="211"/>
        <v>0</v>
      </c>
      <c r="AH590">
        <f t="shared" si="212"/>
        <v>0</v>
      </c>
      <c r="AI590">
        <f t="shared" si="213"/>
        <v>0</v>
      </c>
      <c r="AJ590" s="2" t="str">
        <f t="shared" si="223"/>
        <v>345200</v>
      </c>
    </row>
    <row r="591" spans="1:36" x14ac:dyDescent="0.25">
      <c r="A591">
        <v>4</v>
      </c>
      <c r="B591" s="1">
        <v>45200</v>
      </c>
      <c r="C591" s="1">
        <f t="shared" si="214"/>
        <v>45323</v>
      </c>
      <c r="D591" s="1">
        <f t="shared" si="215"/>
        <v>45214</v>
      </c>
      <c r="E591" s="1">
        <f t="shared" si="216"/>
        <v>45323</v>
      </c>
      <c r="F591" s="1">
        <f t="shared" si="217"/>
        <v>45352</v>
      </c>
      <c r="G591" s="1">
        <f t="shared" si="218"/>
        <v>45580</v>
      </c>
      <c r="H591">
        <f t="shared" si="219"/>
        <v>366</v>
      </c>
      <c r="I591">
        <f t="shared" si="220"/>
        <v>29</v>
      </c>
      <c r="J591">
        <f t="shared" si="221"/>
        <v>7.9234972677595633E-2</v>
      </c>
      <c r="K591">
        <f>IFERROR($J591/IF($A591&lt;COUNTIFS($K$1:K$1,"&lt;&gt;"),0,SUMIFS($J:$J,$B:$B,$B591,$A:$A,"&gt;="&amp;COUNTIFS($K$1:K$1,"&lt;&gt;"))),0)</f>
        <v>8.3094555873925516E-2</v>
      </c>
      <c r="L591">
        <f>IFERROR($J591/IF($A591&lt;COUNTIFS($K$1:L$1,"&lt;&gt;"),0,SUMIFS($J:$J,$B:$B,$B591,$A:$A,"&gt;="&amp;COUNTIFS($K$1:L$1,"&lt;&gt;"))),0)</f>
        <v>9.0909090909090912E-2</v>
      </c>
      <c r="M591">
        <f>IFERROR($J591/IF($A591&lt;COUNTIFS($K$1:M$1,"&lt;&gt;"),0,SUMIFS($J:$J,$B:$B,$B591,$A:$A,"&gt;="&amp;COUNTIFS($K$1:M$1,"&lt;&gt;"))),0)</f>
        <v>0.10069444444444445</v>
      </c>
      <c r="N591">
        <f>IFERROR($J591/IF($A591&lt;COUNTIFS($K$1:N$1,"&lt;&gt;"),0,SUMIFS($J:$J,$B:$B,$B591,$A:$A,"&gt;="&amp;COUNTIFS($K$1:N$1,"&lt;&gt;"))),0)</f>
        <v>0.11284046692607004</v>
      </c>
      <c r="O591">
        <f>IFERROR($J591/IF($A591&lt;COUNTIFS($K$1:O$1,"&lt;&gt;"),0,SUMIFS($J:$J,$B:$B,$B591,$A:$A,"&gt;="&amp;COUNTIFS($K$1:O$1,"&lt;&gt;"))),0)</f>
        <v>0</v>
      </c>
      <c r="P591">
        <f>IFERROR($J591/IF($A591&lt;COUNTIFS($K$1:P$1,"&lt;&gt;"),0,SUMIFS($J:$J,$B:$B,$B591,$A:$A,"&gt;="&amp;COUNTIFS($K$1:P$1,"&lt;&gt;"))),0)</f>
        <v>0</v>
      </c>
      <c r="Q591">
        <f>IFERROR($J591/IF($A591&lt;COUNTIFS($K$1:Q$1,"&lt;&gt;"),0,SUMIFS($J:$J,$B:$B,$B591,$A:$A,"&gt;="&amp;COUNTIFS($K$1:Q$1,"&lt;&gt;"))),0)</f>
        <v>0</v>
      </c>
      <c r="R591">
        <f>IFERROR($J591/IF($A591&lt;COUNTIFS($K$1:R$1,"&lt;&gt;"),0,SUMIFS($J:$J,$B:$B,$B591,$A:$A,"&gt;="&amp;COUNTIFS($K$1:R$1,"&lt;&gt;"))),0)</f>
        <v>0</v>
      </c>
      <c r="S591">
        <f>IFERROR($J591/IF($A591&lt;COUNTIFS($K$1:S$1,"&lt;&gt;"),0,SUMIFS($J:$J,$B:$B,$B591,$A:$A,"&gt;="&amp;COUNTIFS($K$1:S$1,"&lt;&gt;"))),0)</f>
        <v>0</v>
      </c>
      <c r="T591">
        <f>IFERROR($J591/IF($A591&lt;COUNTIFS($K$1:T$1,"&lt;&gt;"),0,SUMIFS($J:$J,$B:$B,$B591,$A:$A,"&gt;="&amp;COUNTIFS($K$1:T$1,"&lt;&gt;"))),0)</f>
        <v>0</v>
      </c>
      <c r="U591">
        <f>IFERROR($J591/IF($A591&lt;COUNTIFS($K$1:U$1,"&lt;&gt;"),0,SUMIFS($J:$J,$B:$B,$B591,$A:$A,"&gt;="&amp;COUNTIFS($K$1:U$1,"&lt;&gt;"))),0)</f>
        <v>0</v>
      </c>
      <c r="V591">
        <f>IFERROR($J591/IF($A591&lt;COUNTIFS($K$1:V$1,"&lt;&gt;"),0,SUMIFS($J:$J,$B:$B,$B591,$A:$A,"&gt;="&amp;COUNTIFS($K$1:V$1,"&lt;&gt;"))),0)</f>
        <v>0</v>
      </c>
      <c r="W591">
        <f t="shared" si="222"/>
        <v>7.9234972677595633E-2</v>
      </c>
      <c r="X591">
        <f t="shared" si="202"/>
        <v>7.9234972677595633E-2</v>
      </c>
      <c r="Y591">
        <f t="shared" si="203"/>
        <v>7.9234972677595633E-2</v>
      </c>
      <c r="Z591">
        <f t="shared" si="204"/>
        <v>7.9234972677595633E-2</v>
      </c>
      <c r="AA591">
        <f t="shared" si="205"/>
        <v>7.9234972677595633E-2</v>
      </c>
      <c r="AB591">
        <f t="shared" si="206"/>
        <v>0</v>
      </c>
      <c r="AC591">
        <f t="shared" si="207"/>
        <v>0</v>
      </c>
      <c r="AD591">
        <f t="shared" si="208"/>
        <v>0</v>
      </c>
      <c r="AE591">
        <f t="shared" si="209"/>
        <v>0</v>
      </c>
      <c r="AF591">
        <f t="shared" si="210"/>
        <v>0</v>
      </c>
      <c r="AG591">
        <f t="shared" si="211"/>
        <v>0</v>
      </c>
      <c r="AH591">
        <f t="shared" si="212"/>
        <v>0</v>
      </c>
      <c r="AI591">
        <f t="shared" si="213"/>
        <v>0</v>
      </c>
      <c r="AJ591" s="2" t="str">
        <f t="shared" si="223"/>
        <v>445200</v>
      </c>
    </row>
    <row r="592" spans="1:36" x14ac:dyDescent="0.25">
      <c r="A592">
        <v>5</v>
      </c>
      <c r="B592" s="1">
        <v>45200</v>
      </c>
      <c r="C592" s="1">
        <f t="shared" si="214"/>
        <v>45352</v>
      </c>
      <c r="D592" s="1">
        <f t="shared" si="215"/>
        <v>45214</v>
      </c>
      <c r="E592" s="1">
        <f t="shared" si="216"/>
        <v>45352</v>
      </c>
      <c r="F592" s="1">
        <f t="shared" si="217"/>
        <v>45383</v>
      </c>
      <c r="G592" s="1">
        <f t="shared" si="218"/>
        <v>45580</v>
      </c>
      <c r="H592">
        <f t="shared" si="219"/>
        <v>366</v>
      </c>
      <c r="I592">
        <f t="shared" si="220"/>
        <v>31</v>
      </c>
      <c r="J592">
        <f t="shared" si="221"/>
        <v>8.4699453551912565E-2</v>
      </c>
      <c r="K592">
        <f>IFERROR($J592/IF($A592&lt;COUNTIFS($K$1:K$1,"&lt;&gt;"),0,SUMIFS($J:$J,$B:$B,$B592,$A:$A,"&gt;="&amp;COUNTIFS($K$1:K$1,"&lt;&gt;"))),0)</f>
        <v>8.882521489971347E-2</v>
      </c>
      <c r="L592">
        <f>IFERROR($J592/IF($A592&lt;COUNTIFS($K$1:L$1,"&lt;&gt;"),0,SUMIFS($J:$J,$B:$B,$B592,$A:$A,"&gt;="&amp;COUNTIFS($K$1:L$1,"&lt;&gt;"))),0)</f>
        <v>9.7178683385579931E-2</v>
      </c>
      <c r="M592">
        <f>IFERROR($J592/IF($A592&lt;COUNTIFS($K$1:M$1,"&lt;&gt;"),0,SUMIFS($J:$J,$B:$B,$B592,$A:$A,"&gt;="&amp;COUNTIFS($K$1:M$1,"&lt;&gt;"))),0)</f>
        <v>0.10763888888888888</v>
      </c>
      <c r="N592">
        <f>IFERROR($J592/IF($A592&lt;COUNTIFS($K$1:N$1,"&lt;&gt;"),0,SUMIFS($J:$J,$B:$B,$B592,$A:$A,"&gt;="&amp;COUNTIFS($K$1:N$1,"&lt;&gt;"))),0)</f>
        <v>0.12062256809338522</v>
      </c>
      <c r="O592">
        <f>IFERROR($J592/IF($A592&lt;COUNTIFS($K$1:O$1,"&lt;&gt;"),0,SUMIFS($J:$J,$B:$B,$B592,$A:$A,"&gt;="&amp;COUNTIFS($K$1:O$1,"&lt;&gt;"))),0)</f>
        <v>0.13596491228070173</v>
      </c>
      <c r="P592">
        <f>IFERROR($J592/IF($A592&lt;COUNTIFS($K$1:P$1,"&lt;&gt;"),0,SUMIFS($J:$J,$B:$B,$B592,$A:$A,"&gt;="&amp;COUNTIFS($K$1:P$1,"&lt;&gt;"))),0)</f>
        <v>0</v>
      </c>
      <c r="Q592">
        <f>IFERROR($J592/IF($A592&lt;COUNTIFS($K$1:Q$1,"&lt;&gt;"),0,SUMIFS($J:$J,$B:$B,$B592,$A:$A,"&gt;="&amp;COUNTIFS($K$1:Q$1,"&lt;&gt;"))),0)</f>
        <v>0</v>
      </c>
      <c r="R592">
        <f>IFERROR($J592/IF($A592&lt;COUNTIFS($K$1:R$1,"&lt;&gt;"),0,SUMIFS($J:$J,$B:$B,$B592,$A:$A,"&gt;="&amp;COUNTIFS($K$1:R$1,"&lt;&gt;"))),0)</f>
        <v>0</v>
      </c>
      <c r="S592">
        <f>IFERROR($J592/IF($A592&lt;COUNTIFS($K$1:S$1,"&lt;&gt;"),0,SUMIFS($J:$J,$B:$B,$B592,$A:$A,"&gt;="&amp;COUNTIFS($K$1:S$1,"&lt;&gt;"))),0)</f>
        <v>0</v>
      </c>
      <c r="T592">
        <f>IFERROR($J592/IF($A592&lt;COUNTIFS($K$1:T$1,"&lt;&gt;"),0,SUMIFS($J:$J,$B:$B,$B592,$A:$A,"&gt;="&amp;COUNTIFS($K$1:T$1,"&lt;&gt;"))),0)</f>
        <v>0</v>
      </c>
      <c r="U592">
        <f>IFERROR($J592/IF($A592&lt;COUNTIFS($K$1:U$1,"&lt;&gt;"),0,SUMIFS($J:$J,$B:$B,$B592,$A:$A,"&gt;="&amp;COUNTIFS($K$1:U$1,"&lt;&gt;"))),0)</f>
        <v>0</v>
      </c>
      <c r="V592">
        <f>IFERROR($J592/IF($A592&lt;COUNTIFS($K$1:V$1,"&lt;&gt;"),0,SUMIFS($J:$J,$B:$B,$B592,$A:$A,"&gt;="&amp;COUNTIFS($K$1:V$1,"&lt;&gt;"))),0)</f>
        <v>0</v>
      </c>
      <c r="W592">
        <f t="shared" si="222"/>
        <v>8.4699453551912565E-2</v>
      </c>
      <c r="X592">
        <f t="shared" si="202"/>
        <v>8.4699453551912565E-2</v>
      </c>
      <c r="Y592">
        <f t="shared" si="203"/>
        <v>8.4699453551912565E-2</v>
      </c>
      <c r="Z592">
        <f t="shared" si="204"/>
        <v>8.4699453551912565E-2</v>
      </c>
      <c r="AA592">
        <f t="shared" si="205"/>
        <v>8.4699453551912565E-2</v>
      </c>
      <c r="AB592">
        <f t="shared" si="206"/>
        <v>8.4699453551912565E-2</v>
      </c>
      <c r="AC592">
        <f t="shared" si="207"/>
        <v>0</v>
      </c>
      <c r="AD592">
        <f t="shared" si="208"/>
        <v>0</v>
      </c>
      <c r="AE592">
        <f t="shared" si="209"/>
        <v>0</v>
      </c>
      <c r="AF592">
        <f t="shared" si="210"/>
        <v>0</v>
      </c>
      <c r="AG592">
        <f t="shared" si="211"/>
        <v>0</v>
      </c>
      <c r="AH592">
        <f t="shared" si="212"/>
        <v>0</v>
      </c>
      <c r="AI592">
        <f t="shared" si="213"/>
        <v>0</v>
      </c>
      <c r="AJ592" s="2" t="str">
        <f t="shared" si="223"/>
        <v>545200</v>
      </c>
    </row>
    <row r="593" spans="1:36" x14ac:dyDescent="0.25">
      <c r="A593">
        <v>6</v>
      </c>
      <c r="B593" s="1">
        <v>45200</v>
      </c>
      <c r="C593" s="1">
        <f t="shared" si="214"/>
        <v>45383</v>
      </c>
      <c r="D593" s="1">
        <f t="shared" si="215"/>
        <v>45214</v>
      </c>
      <c r="E593" s="1">
        <f t="shared" si="216"/>
        <v>45383</v>
      </c>
      <c r="F593" s="1">
        <f t="shared" si="217"/>
        <v>45413</v>
      </c>
      <c r="G593" s="1">
        <f t="shared" si="218"/>
        <v>45580</v>
      </c>
      <c r="H593">
        <f t="shared" si="219"/>
        <v>366</v>
      </c>
      <c r="I593">
        <f t="shared" si="220"/>
        <v>30</v>
      </c>
      <c r="J593">
        <f t="shared" si="221"/>
        <v>8.1967213114754092E-2</v>
      </c>
      <c r="K593">
        <f>IFERROR($J593/IF($A593&lt;COUNTIFS($K$1:K$1,"&lt;&gt;"),0,SUMIFS($J:$J,$B:$B,$B593,$A:$A,"&gt;="&amp;COUNTIFS($K$1:K$1,"&lt;&gt;"))),0)</f>
        <v>8.5959885386819479E-2</v>
      </c>
      <c r="L593">
        <f>IFERROR($J593/IF($A593&lt;COUNTIFS($K$1:L$1,"&lt;&gt;"),0,SUMIFS($J:$J,$B:$B,$B593,$A:$A,"&gt;="&amp;COUNTIFS($K$1:L$1,"&lt;&gt;"))),0)</f>
        <v>9.4043887147335414E-2</v>
      </c>
      <c r="M593">
        <f>IFERROR($J593/IF($A593&lt;COUNTIFS($K$1:M$1,"&lt;&gt;"),0,SUMIFS($J:$J,$B:$B,$B593,$A:$A,"&gt;="&amp;COUNTIFS($K$1:M$1,"&lt;&gt;"))),0)</f>
        <v>0.10416666666666666</v>
      </c>
      <c r="N593">
        <f>IFERROR($J593/IF($A593&lt;COUNTIFS($K$1:N$1,"&lt;&gt;"),0,SUMIFS($J:$J,$B:$B,$B593,$A:$A,"&gt;="&amp;COUNTIFS($K$1:N$1,"&lt;&gt;"))),0)</f>
        <v>0.11673151750972761</v>
      </c>
      <c r="O593">
        <f>IFERROR($J593/IF($A593&lt;COUNTIFS($K$1:O$1,"&lt;&gt;"),0,SUMIFS($J:$J,$B:$B,$B593,$A:$A,"&gt;="&amp;COUNTIFS($K$1:O$1,"&lt;&gt;"))),0)</f>
        <v>0.13157894736842105</v>
      </c>
      <c r="P593">
        <f>IFERROR($J593/IF($A593&lt;COUNTIFS($K$1:P$1,"&lt;&gt;"),0,SUMIFS($J:$J,$B:$B,$B593,$A:$A,"&gt;="&amp;COUNTIFS($K$1:P$1,"&lt;&gt;"))),0)</f>
        <v>0.15228426395939088</v>
      </c>
      <c r="Q593">
        <f>IFERROR($J593/IF($A593&lt;COUNTIFS($K$1:Q$1,"&lt;&gt;"),0,SUMIFS($J:$J,$B:$B,$B593,$A:$A,"&gt;="&amp;COUNTIFS($K$1:Q$1,"&lt;&gt;"))),0)</f>
        <v>0</v>
      </c>
      <c r="R593">
        <f>IFERROR($J593/IF($A593&lt;COUNTIFS($K$1:R$1,"&lt;&gt;"),0,SUMIFS($J:$J,$B:$B,$B593,$A:$A,"&gt;="&amp;COUNTIFS($K$1:R$1,"&lt;&gt;"))),0)</f>
        <v>0</v>
      </c>
      <c r="S593">
        <f>IFERROR($J593/IF($A593&lt;COUNTIFS($K$1:S$1,"&lt;&gt;"),0,SUMIFS($J:$J,$B:$B,$B593,$A:$A,"&gt;="&amp;COUNTIFS($K$1:S$1,"&lt;&gt;"))),0)</f>
        <v>0</v>
      </c>
      <c r="T593">
        <f>IFERROR($J593/IF($A593&lt;COUNTIFS($K$1:T$1,"&lt;&gt;"),0,SUMIFS($J:$J,$B:$B,$B593,$A:$A,"&gt;="&amp;COUNTIFS($K$1:T$1,"&lt;&gt;"))),0)</f>
        <v>0</v>
      </c>
      <c r="U593">
        <f>IFERROR($J593/IF($A593&lt;COUNTIFS($K$1:U$1,"&lt;&gt;"),0,SUMIFS($J:$J,$B:$B,$B593,$A:$A,"&gt;="&amp;COUNTIFS($K$1:U$1,"&lt;&gt;"))),0)</f>
        <v>0</v>
      </c>
      <c r="V593">
        <f>IFERROR($J593/IF($A593&lt;COUNTIFS($K$1:V$1,"&lt;&gt;"),0,SUMIFS($J:$J,$B:$B,$B593,$A:$A,"&gt;="&amp;COUNTIFS($K$1:V$1,"&lt;&gt;"))),0)</f>
        <v>0</v>
      </c>
      <c r="W593">
        <f t="shared" si="222"/>
        <v>8.1967213114754092E-2</v>
      </c>
      <c r="X593">
        <f t="shared" si="202"/>
        <v>8.1967213114754092E-2</v>
      </c>
      <c r="Y593">
        <f t="shared" si="203"/>
        <v>8.1967213114754092E-2</v>
      </c>
      <c r="Z593">
        <f t="shared" si="204"/>
        <v>8.1967213114754092E-2</v>
      </c>
      <c r="AA593">
        <f t="shared" si="205"/>
        <v>8.1967213114754092E-2</v>
      </c>
      <c r="AB593">
        <f t="shared" si="206"/>
        <v>8.1967213114754092E-2</v>
      </c>
      <c r="AC593">
        <f t="shared" si="207"/>
        <v>8.1967213114754092E-2</v>
      </c>
      <c r="AD593">
        <f t="shared" si="208"/>
        <v>0</v>
      </c>
      <c r="AE593">
        <f t="shared" si="209"/>
        <v>0</v>
      </c>
      <c r="AF593">
        <f t="shared" si="210"/>
        <v>0</v>
      </c>
      <c r="AG593">
        <f t="shared" si="211"/>
        <v>0</v>
      </c>
      <c r="AH593">
        <f t="shared" si="212"/>
        <v>0</v>
      </c>
      <c r="AI593">
        <f t="shared" si="213"/>
        <v>0</v>
      </c>
      <c r="AJ593" s="2" t="str">
        <f t="shared" si="223"/>
        <v>645200</v>
      </c>
    </row>
    <row r="594" spans="1:36" x14ac:dyDescent="0.25">
      <c r="A594">
        <v>7</v>
      </c>
      <c r="B594" s="1">
        <v>45200</v>
      </c>
      <c r="C594" s="1">
        <f t="shared" si="214"/>
        <v>45413</v>
      </c>
      <c r="D594" s="1">
        <f t="shared" si="215"/>
        <v>45214</v>
      </c>
      <c r="E594" s="1">
        <f t="shared" si="216"/>
        <v>45413</v>
      </c>
      <c r="F594" s="1">
        <f t="shared" si="217"/>
        <v>45444</v>
      </c>
      <c r="G594" s="1">
        <f t="shared" si="218"/>
        <v>45580</v>
      </c>
      <c r="H594">
        <f t="shared" si="219"/>
        <v>366</v>
      </c>
      <c r="I594">
        <f t="shared" si="220"/>
        <v>31</v>
      </c>
      <c r="J594">
        <f t="shared" si="221"/>
        <v>8.4699453551912565E-2</v>
      </c>
      <c r="K594">
        <f>IFERROR($J594/IF($A594&lt;COUNTIFS($K$1:K$1,"&lt;&gt;"),0,SUMIFS($J:$J,$B:$B,$B594,$A:$A,"&gt;="&amp;COUNTIFS($K$1:K$1,"&lt;&gt;"))),0)</f>
        <v>8.882521489971347E-2</v>
      </c>
      <c r="L594">
        <f>IFERROR($J594/IF($A594&lt;COUNTIFS($K$1:L$1,"&lt;&gt;"),0,SUMIFS($J:$J,$B:$B,$B594,$A:$A,"&gt;="&amp;COUNTIFS($K$1:L$1,"&lt;&gt;"))),0)</f>
        <v>9.7178683385579931E-2</v>
      </c>
      <c r="M594">
        <f>IFERROR($J594/IF($A594&lt;COUNTIFS($K$1:M$1,"&lt;&gt;"),0,SUMIFS($J:$J,$B:$B,$B594,$A:$A,"&gt;="&amp;COUNTIFS($K$1:M$1,"&lt;&gt;"))),0)</f>
        <v>0.10763888888888888</v>
      </c>
      <c r="N594">
        <f>IFERROR($J594/IF($A594&lt;COUNTIFS($K$1:N$1,"&lt;&gt;"),0,SUMIFS($J:$J,$B:$B,$B594,$A:$A,"&gt;="&amp;COUNTIFS($K$1:N$1,"&lt;&gt;"))),0)</f>
        <v>0.12062256809338522</v>
      </c>
      <c r="O594">
        <f>IFERROR($J594/IF($A594&lt;COUNTIFS($K$1:O$1,"&lt;&gt;"),0,SUMIFS($J:$J,$B:$B,$B594,$A:$A,"&gt;="&amp;COUNTIFS($K$1:O$1,"&lt;&gt;"))),0)</f>
        <v>0.13596491228070173</v>
      </c>
      <c r="P594">
        <f>IFERROR($J594/IF($A594&lt;COUNTIFS($K$1:P$1,"&lt;&gt;"),0,SUMIFS($J:$J,$B:$B,$B594,$A:$A,"&gt;="&amp;COUNTIFS($K$1:P$1,"&lt;&gt;"))),0)</f>
        <v>0.15736040609137059</v>
      </c>
      <c r="Q594">
        <f>IFERROR($J594/IF($A594&lt;COUNTIFS($K$1:Q$1,"&lt;&gt;"),0,SUMIFS($J:$J,$B:$B,$B594,$A:$A,"&gt;="&amp;COUNTIFS($K$1:Q$1,"&lt;&gt;"))),0)</f>
        <v>0.18562874251497008</v>
      </c>
      <c r="R594">
        <f>IFERROR($J594/IF($A594&lt;COUNTIFS($K$1:R$1,"&lt;&gt;"),0,SUMIFS($J:$J,$B:$B,$B594,$A:$A,"&gt;="&amp;COUNTIFS($K$1:R$1,"&lt;&gt;"))),0)</f>
        <v>0</v>
      </c>
      <c r="S594">
        <f>IFERROR($J594/IF($A594&lt;COUNTIFS($K$1:S$1,"&lt;&gt;"),0,SUMIFS($J:$J,$B:$B,$B594,$A:$A,"&gt;="&amp;COUNTIFS($K$1:S$1,"&lt;&gt;"))),0)</f>
        <v>0</v>
      </c>
      <c r="T594">
        <f>IFERROR($J594/IF($A594&lt;COUNTIFS($K$1:T$1,"&lt;&gt;"),0,SUMIFS($J:$J,$B:$B,$B594,$A:$A,"&gt;="&amp;COUNTIFS($K$1:T$1,"&lt;&gt;"))),0)</f>
        <v>0</v>
      </c>
      <c r="U594">
        <f>IFERROR($J594/IF($A594&lt;COUNTIFS($K$1:U$1,"&lt;&gt;"),0,SUMIFS($J:$J,$B:$B,$B594,$A:$A,"&gt;="&amp;COUNTIFS($K$1:U$1,"&lt;&gt;"))),0)</f>
        <v>0</v>
      </c>
      <c r="V594">
        <f>IFERROR($J594/IF($A594&lt;COUNTIFS($K$1:V$1,"&lt;&gt;"),0,SUMIFS($J:$J,$B:$B,$B594,$A:$A,"&gt;="&amp;COUNTIFS($K$1:V$1,"&lt;&gt;"))),0)</f>
        <v>0</v>
      </c>
      <c r="W594">
        <f t="shared" si="222"/>
        <v>8.4699453551912565E-2</v>
      </c>
      <c r="X594">
        <f t="shared" si="202"/>
        <v>8.4699453551912565E-2</v>
      </c>
      <c r="Y594">
        <f t="shared" si="203"/>
        <v>8.4699453551912565E-2</v>
      </c>
      <c r="Z594">
        <f t="shared" si="204"/>
        <v>8.4699453551912565E-2</v>
      </c>
      <c r="AA594">
        <f t="shared" si="205"/>
        <v>8.4699453551912565E-2</v>
      </c>
      <c r="AB594">
        <f t="shared" si="206"/>
        <v>8.4699453551912565E-2</v>
      </c>
      <c r="AC594">
        <f t="shared" si="207"/>
        <v>8.4699453551912565E-2</v>
      </c>
      <c r="AD594">
        <f t="shared" si="208"/>
        <v>8.4699453551912565E-2</v>
      </c>
      <c r="AE594">
        <f t="shared" si="209"/>
        <v>0</v>
      </c>
      <c r="AF594">
        <f t="shared" si="210"/>
        <v>0</v>
      </c>
      <c r="AG594">
        <f t="shared" si="211"/>
        <v>0</v>
      </c>
      <c r="AH594">
        <f t="shared" si="212"/>
        <v>0</v>
      </c>
      <c r="AI594">
        <f t="shared" si="213"/>
        <v>0</v>
      </c>
      <c r="AJ594" s="2" t="str">
        <f t="shared" si="223"/>
        <v>745200</v>
      </c>
    </row>
    <row r="595" spans="1:36" x14ac:dyDescent="0.25">
      <c r="A595">
        <v>8</v>
      </c>
      <c r="B595" s="1">
        <v>45200</v>
      </c>
      <c r="C595" s="1">
        <f t="shared" si="214"/>
        <v>45444</v>
      </c>
      <c r="D595" s="1">
        <f t="shared" si="215"/>
        <v>45214</v>
      </c>
      <c r="E595" s="1">
        <f t="shared" si="216"/>
        <v>45444</v>
      </c>
      <c r="F595" s="1">
        <f t="shared" si="217"/>
        <v>45474</v>
      </c>
      <c r="G595" s="1">
        <f t="shared" si="218"/>
        <v>45580</v>
      </c>
      <c r="H595">
        <f t="shared" si="219"/>
        <v>366</v>
      </c>
      <c r="I595">
        <f t="shared" si="220"/>
        <v>30</v>
      </c>
      <c r="J595">
        <f t="shared" si="221"/>
        <v>8.1967213114754092E-2</v>
      </c>
      <c r="K595">
        <f>IFERROR($J595/IF($A595&lt;COUNTIFS($K$1:K$1,"&lt;&gt;"),0,SUMIFS($J:$J,$B:$B,$B595,$A:$A,"&gt;="&amp;COUNTIFS($K$1:K$1,"&lt;&gt;"))),0)</f>
        <v>8.5959885386819479E-2</v>
      </c>
      <c r="L595">
        <f>IFERROR($J595/IF($A595&lt;COUNTIFS($K$1:L$1,"&lt;&gt;"),0,SUMIFS($J:$J,$B:$B,$B595,$A:$A,"&gt;="&amp;COUNTIFS($K$1:L$1,"&lt;&gt;"))),0)</f>
        <v>9.4043887147335414E-2</v>
      </c>
      <c r="M595">
        <f>IFERROR($J595/IF($A595&lt;COUNTIFS($K$1:M$1,"&lt;&gt;"),0,SUMIFS($J:$J,$B:$B,$B595,$A:$A,"&gt;="&amp;COUNTIFS($K$1:M$1,"&lt;&gt;"))),0)</f>
        <v>0.10416666666666666</v>
      </c>
      <c r="N595">
        <f>IFERROR($J595/IF($A595&lt;COUNTIFS($K$1:N$1,"&lt;&gt;"),0,SUMIFS($J:$J,$B:$B,$B595,$A:$A,"&gt;="&amp;COUNTIFS($K$1:N$1,"&lt;&gt;"))),0)</f>
        <v>0.11673151750972761</v>
      </c>
      <c r="O595">
        <f>IFERROR($J595/IF($A595&lt;COUNTIFS($K$1:O$1,"&lt;&gt;"),0,SUMIFS($J:$J,$B:$B,$B595,$A:$A,"&gt;="&amp;COUNTIFS($K$1:O$1,"&lt;&gt;"))),0)</f>
        <v>0.13157894736842105</v>
      </c>
      <c r="P595">
        <f>IFERROR($J595/IF($A595&lt;COUNTIFS($K$1:P$1,"&lt;&gt;"),0,SUMIFS($J:$J,$B:$B,$B595,$A:$A,"&gt;="&amp;COUNTIFS($K$1:P$1,"&lt;&gt;"))),0)</f>
        <v>0.15228426395939088</v>
      </c>
      <c r="Q595">
        <f>IFERROR($J595/IF($A595&lt;COUNTIFS($K$1:Q$1,"&lt;&gt;"),0,SUMIFS($J:$J,$B:$B,$B595,$A:$A,"&gt;="&amp;COUNTIFS($K$1:Q$1,"&lt;&gt;"))),0)</f>
        <v>0.17964071856287425</v>
      </c>
      <c r="R595">
        <f>IFERROR($J595/IF($A595&lt;COUNTIFS($K$1:R$1,"&lt;&gt;"),0,SUMIFS($J:$J,$B:$B,$B595,$A:$A,"&gt;="&amp;COUNTIFS($K$1:R$1,"&lt;&gt;"))),0)</f>
        <v>0.22058823529411764</v>
      </c>
      <c r="S595">
        <f>IFERROR($J595/IF($A595&lt;COUNTIFS($K$1:S$1,"&lt;&gt;"),0,SUMIFS($J:$J,$B:$B,$B595,$A:$A,"&gt;="&amp;COUNTIFS($K$1:S$1,"&lt;&gt;"))),0)</f>
        <v>0</v>
      </c>
      <c r="T595">
        <f>IFERROR($J595/IF($A595&lt;COUNTIFS($K$1:T$1,"&lt;&gt;"),0,SUMIFS($J:$J,$B:$B,$B595,$A:$A,"&gt;="&amp;COUNTIFS($K$1:T$1,"&lt;&gt;"))),0)</f>
        <v>0</v>
      </c>
      <c r="U595">
        <f>IFERROR($J595/IF($A595&lt;COUNTIFS($K$1:U$1,"&lt;&gt;"),0,SUMIFS($J:$J,$B:$B,$B595,$A:$A,"&gt;="&amp;COUNTIFS($K$1:U$1,"&lt;&gt;"))),0)</f>
        <v>0</v>
      </c>
      <c r="V595">
        <f>IFERROR($J595/IF($A595&lt;COUNTIFS($K$1:V$1,"&lt;&gt;"),0,SUMIFS($J:$J,$B:$B,$B595,$A:$A,"&gt;="&amp;COUNTIFS($K$1:V$1,"&lt;&gt;"))),0)</f>
        <v>0</v>
      </c>
      <c r="W595">
        <f t="shared" si="222"/>
        <v>8.1967213114754092E-2</v>
      </c>
      <c r="X595">
        <f t="shared" si="202"/>
        <v>8.1967213114754092E-2</v>
      </c>
      <c r="Y595">
        <f t="shared" si="203"/>
        <v>8.1967213114754092E-2</v>
      </c>
      <c r="Z595">
        <f t="shared" si="204"/>
        <v>8.1967213114754092E-2</v>
      </c>
      <c r="AA595">
        <f t="shared" si="205"/>
        <v>8.1967213114754092E-2</v>
      </c>
      <c r="AB595">
        <f t="shared" si="206"/>
        <v>8.1967213114754092E-2</v>
      </c>
      <c r="AC595">
        <f t="shared" si="207"/>
        <v>8.1967213114754092E-2</v>
      </c>
      <c r="AD595">
        <f t="shared" si="208"/>
        <v>8.1967213114754092E-2</v>
      </c>
      <c r="AE595">
        <f t="shared" si="209"/>
        <v>8.1967213114754092E-2</v>
      </c>
      <c r="AF595">
        <f t="shared" si="210"/>
        <v>0</v>
      </c>
      <c r="AG595">
        <f t="shared" si="211"/>
        <v>0</v>
      </c>
      <c r="AH595">
        <f t="shared" si="212"/>
        <v>0</v>
      </c>
      <c r="AI595">
        <f t="shared" si="213"/>
        <v>0</v>
      </c>
      <c r="AJ595" s="2" t="str">
        <f t="shared" si="223"/>
        <v>845200</v>
      </c>
    </row>
    <row r="596" spans="1:36" x14ac:dyDescent="0.25">
      <c r="A596">
        <v>9</v>
      </c>
      <c r="B596" s="1">
        <v>45200</v>
      </c>
      <c r="C596" s="1">
        <f t="shared" si="214"/>
        <v>45474</v>
      </c>
      <c r="D596" s="1">
        <f t="shared" si="215"/>
        <v>45214</v>
      </c>
      <c r="E596" s="1">
        <f t="shared" si="216"/>
        <v>45474</v>
      </c>
      <c r="F596" s="1">
        <f t="shared" si="217"/>
        <v>45505</v>
      </c>
      <c r="G596" s="1">
        <f t="shared" si="218"/>
        <v>45580</v>
      </c>
      <c r="H596">
        <f t="shared" si="219"/>
        <v>366</v>
      </c>
      <c r="I596">
        <f t="shared" si="220"/>
        <v>31</v>
      </c>
      <c r="J596">
        <f t="shared" si="221"/>
        <v>8.4699453551912565E-2</v>
      </c>
      <c r="K596">
        <f>IFERROR($J596/IF($A596&lt;COUNTIFS($K$1:K$1,"&lt;&gt;"),0,SUMIFS($J:$J,$B:$B,$B596,$A:$A,"&gt;="&amp;COUNTIFS($K$1:K$1,"&lt;&gt;"))),0)</f>
        <v>8.882521489971347E-2</v>
      </c>
      <c r="L596">
        <f>IFERROR($J596/IF($A596&lt;COUNTIFS($K$1:L$1,"&lt;&gt;"),0,SUMIFS($J:$J,$B:$B,$B596,$A:$A,"&gt;="&amp;COUNTIFS($K$1:L$1,"&lt;&gt;"))),0)</f>
        <v>9.7178683385579931E-2</v>
      </c>
      <c r="M596">
        <f>IFERROR($J596/IF($A596&lt;COUNTIFS($K$1:M$1,"&lt;&gt;"),0,SUMIFS($J:$J,$B:$B,$B596,$A:$A,"&gt;="&amp;COUNTIFS($K$1:M$1,"&lt;&gt;"))),0)</f>
        <v>0.10763888888888888</v>
      </c>
      <c r="N596">
        <f>IFERROR($J596/IF($A596&lt;COUNTIFS($K$1:N$1,"&lt;&gt;"),0,SUMIFS($J:$J,$B:$B,$B596,$A:$A,"&gt;="&amp;COUNTIFS($K$1:N$1,"&lt;&gt;"))),0)</f>
        <v>0.12062256809338522</v>
      </c>
      <c r="O596">
        <f>IFERROR($J596/IF($A596&lt;COUNTIFS($K$1:O$1,"&lt;&gt;"),0,SUMIFS($J:$J,$B:$B,$B596,$A:$A,"&gt;="&amp;COUNTIFS($K$1:O$1,"&lt;&gt;"))),0)</f>
        <v>0.13596491228070173</v>
      </c>
      <c r="P596">
        <f>IFERROR($J596/IF($A596&lt;COUNTIFS($K$1:P$1,"&lt;&gt;"),0,SUMIFS($J:$J,$B:$B,$B596,$A:$A,"&gt;="&amp;COUNTIFS($K$1:P$1,"&lt;&gt;"))),0)</f>
        <v>0.15736040609137059</v>
      </c>
      <c r="Q596">
        <f>IFERROR($J596/IF($A596&lt;COUNTIFS($K$1:Q$1,"&lt;&gt;"),0,SUMIFS($J:$J,$B:$B,$B596,$A:$A,"&gt;="&amp;COUNTIFS($K$1:Q$1,"&lt;&gt;"))),0)</f>
        <v>0.18562874251497008</v>
      </c>
      <c r="R596">
        <f>IFERROR($J596/IF($A596&lt;COUNTIFS($K$1:R$1,"&lt;&gt;"),0,SUMIFS($J:$J,$B:$B,$B596,$A:$A,"&gt;="&amp;COUNTIFS($K$1:R$1,"&lt;&gt;"))),0)</f>
        <v>0.22794117647058826</v>
      </c>
      <c r="S596">
        <f>IFERROR($J596/IF($A596&lt;COUNTIFS($K$1:S$1,"&lt;&gt;"),0,SUMIFS($J:$J,$B:$B,$B596,$A:$A,"&gt;="&amp;COUNTIFS($K$1:S$1,"&lt;&gt;"))),0)</f>
        <v>0.29245283018867924</v>
      </c>
      <c r="T596">
        <f>IFERROR($J596/IF($A596&lt;COUNTIFS($K$1:T$1,"&lt;&gt;"),0,SUMIFS($J:$J,$B:$B,$B596,$A:$A,"&gt;="&amp;COUNTIFS($K$1:T$1,"&lt;&gt;"))),0)</f>
        <v>0</v>
      </c>
      <c r="U596">
        <f>IFERROR($J596/IF($A596&lt;COUNTIFS($K$1:U$1,"&lt;&gt;"),0,SUMIFS($J:$J,$B:$B,$B596,$A:$A,"&gt;="&amp;COUNTIFS($K$1:U$1,"&lt;&gt;"))),0)</f>
        <v>0</v>
      </c>
      <c r="V596">
        <f>IFERROR($J596/IF($A596&lt;COUNTIFS($K$1:V$1,"&lt;&gt;"),0,SUMIFS($J:$J,$B:$B,$B596,$A:$A,"&gt;="&amp;COUNTIFS($K$1:V$1,"&lt;&gt;"))),0)</f>
        <v>0</v>
      </c>
      <c r="W596">
        <f t="shared" si="222"/>
        <v>8.4699453551912565E-2</v>
      </c>
      <c r="X596">
        <f t="shared" si="202"/>
        <v>8.4699453551912565E-2</v>
      </c>
      <c r="Y596">
        <f t="shared" si="203"/>
        <v>8.4699453551912565E-2</v>
      </c>
      <c r="Z596">
        <f t="shared" si="204"/>
        <v>8.4699453551912565E-2</v>
      </c>
      <c r="AA596">
        <f t="shared" si="205"/>
        <v>8.4699453551912565E-2</v>
      </c>
      <c r="AB596">
        <f t="shared" si="206"/>
        <v>8.4699453551912565E-2</v>
      </c>
      <c r="AC596">
        <f t="shared" si="207"/>
        <v>8.4699453551912565E-2</v>
      </c>
      <c r="AD596">
        <f t="shared" si="208"/>
        <v>8.4699453551912565E-2</v>
      </c>
      <c r="AE596">
        <f t="shared" si="209"/>
        <v>8.4699453551912565E-2</v>
      </c>
      <c r="AF596">
        <f t="shared" si="210"/>
        <v>8.4699453551912565E-2</v>
      </c>
      <c r="AG596">
        <f t="shared" si="211"/>
        <v>0</v>
      </c>
      <c r="AH596">
        <f t="shared" si="212"/>
        <v>0</v>
      </c>
      <c r="AI596">
        <f t="shared" si="213"/>
        <v>0</v>
      </c>
      <c r="AJ596" s="2" t="str">
        <f t="shared" si="223"/>
        <v>945200</v>
      </c>
    </row>
    <row r="597" spans="1:36" x14ac:dyDescent="0.25">
      <c r="A597">
        <v>10</v>
      </c>
      <c r="B597" s="1">
        <v>45200</v>
      </c>
      <c r="C597" s="1">
        <f t="shared" si="214"/>
        <v>45505</v>
      </c>
      <c r="D597" s="1">
        <f t="shared" si="215"/>
        <v>45214</v>
      </c>
      <c r="E597" s="1">
        <f t="shared" si="216"/>
        <v>45505</v>
      </c>
      <c r="F597" s="1">
        <f t="shared" si="217"/>
        <v>45536</v>
      </c>
      <c r="G597" s="1">
        <f t="shared" si="218"/>
        <v>45580</v>
      </c>
      <c r="H597">
        <f t="shared" si="219"/>
        <v>366</v>
      </c>
      <c r="I597">
        <f t="shared" si="220"/>
        <v>31</v>
      </c>
      <c r="J597">
        <f t="shared" si="221"/>
        <v>8.4699453551912565E-2</v>
      </c>
      <c r="K597">
        <f>IFERROR($J597/IF($A597&lt;COUNTIFS($K$1:K$1,"&lt;&gt;"),0,SUMIFS($J:$J,$B:$B,$B597,$A:$A,"&gt;="&amp;COUNTIFS($K$1:K$1,"&lt;&gt;"))),0)</f>
        <v>8.882521489971347E-2</v>
      </c>
      <c r="L597">
        <f>IFERROR($J597/IF($A597&lt;COUNTIFS($K$1:L$1,"&lt;&gt;"),0,SUMIFS($J:$J,$B:$B,$B597,$A:$A,"&gt;="&amp;COUNTIFS($K$1:L$1,"&lt;&gt;"))),0)</f>
        <v>9.7178683385579931E-2</v>
      </c>
      <c r="M597">
        <f>IFERROR($J597/IF($A597&lt;COUNTIFS($K$1:M$1,"&lt;&gt;"),0,SUMIFS($J:$J,$B:$B,$B597,$A:$A,"&gt;="&amp;COUNTIFS($K$1:M$1,"&lt;&gt;"))),0)</f>
        <v>0.10763888888888888</v>
      </c>
      <c r="N597">
        <f>IFERROR($J597/IF($A597&lt;COUNTIFS($K$1:N$1,"&lt;&gt;"),0,SUMIFS($J:$J,$B:$B,$B597,$A:$A,"&gt;="&amp;COUNTIFS($K$1:N$1,"&lt;&gt;"))),0)</f>
        <v>0.12062256809338522</v>
      </c>
      <c r="O597">
        <f>IFERROR($J597/IF($A597&lt;COUNTIFS($K$1:O$1,"&lt;&gt;"),0,SUMIFS($J:$J,$B:$B,$B597,$A:$A,"&gt;="&amp;COUNTIFS($K$1:O$1,"&lt;&gt;"))),0)</f>
        <v>0.13596491228070173</v>
      </c>
      <c r="P597">
        <f>IFERROR($J597/IF($A597&lt;COUNTIFS($K$1:P$1,"&lt;&gt;"),0,SUMIFS($J:$J,$B:$B,$B597,$A:$A,"&gt;="&amp;COUNTIFS($K$1:P$1,"&lt;&gt;"))),0)</f>
        <v>0.15736040609137059</v>
      </c>
      <c r="Q597">
        <f>IFERROR($J597/IF($A597&lt;COUNTIFS($K$1:Q$1,"&lt;&gt;"),0,SUMIFS($J:$J,$B:$B,$B597,$A:$A,"&gt;="&amp;COUNTIFS($K$1:Q$1,"&lt;&gt;"))),0)</f>
        <v>0.18562874251497008</v>
      </c>
      <c r="R597">
        <f>IFERROR($J597/IF($A597&lt;COUNTIFS($K$1:R$1,"&lt;&gt;"),0,SUMIFS($J:$J,$B:$B,$B597,$A:$A,"&gt;="&amp;COUNTIFS($K$1:R$1,"&lt;&gt;"))),0)</f>
        <v>0.22794117647058826</v>
      </c>
      <c r="S597">
        <f>IFERROR($J597/IF($A597&lt;COUNTIFS($K$1:S$1,"&lt;&gt;"),0,SUMIFS($J:$J,$B:$B,$B597,$A:$A,"&gt;="&amp;COUNTIFS($K$1:S$1,"&lt;&gt;"))),0)</f>
        <v>0.29245283018867924</v>
      </c>
      <c r="T597">
        <f>IFERROR($J597/IF($A597&lt;COUNTIFS($K$1:T$1,"&lt;&gt;"),0,SUMIFS($J:$J,$B:$B,$B597,$A:$A,"&gt;="&amp;COUNTIFS($K$1:T$1,"&lt;&gt;"))),0)</f>
        <v>0.41333333333333333</v>
      </c>
      <c r="U597">
        <f>IFERROR($J597/IF($A597&lt;COUNTIFS($K$1:U$1,"&lt;&gt;"),0,SUMIFS($J:$J,$B:$B,$B597,$A:$A,"&gt;="&amp;COUNTIFS($K$1:U$1,"&lt;&gt;"))),0)</f>
        <v>0</v>
      </c>
      <c r="V597">
        <f>IFERROR($J597/IF($A597&lt;COUNTIFS($K$1:V$1,"&lt;&gt;"),0,SUMIFS($J:$J,$B:$B,$B597,$A:$A,"&gt;="&amp;COUNTIFS($K$1:V$1,"&lt;&gt;"))),0)</f>
        <v>0</v>
      </c>
      <c r="W597">
        <f t="shared" si="222"/>
        <v>8.4699453551912565E-2</v>
      </c>
      <c r="X597">
        <f t="shared" si="202"/>
        <v>8.4699453551912565E-2</v>
      </c>
      <c r="Y597">
        <f t="shared" si="203"/>
        <v>8.4699453551912565E-2</v>
      </c>
      <c r="Z597">
        <f t="shared" si="204"/>
        <v>8.4699453551912565E-2</v>
      </c>
      <c r="AA597">
        <f t="shared" si="205"/>
        <v>8.4699453551912565E-2</v>
      </c>
      <c r="AB597">
        <f t="shared" si="206"/>
        <v>8.4699453551912565E-2</v>
      </c>
      <c r="AC597">
        <f t="shared" si="207"/>
        <v>8.4699453551912565E-2</v>
      </c>
      <c r="AD597">
        <f t="shared" si="208"/>
        <v>8.4699453551912565E-2</v>
      </c>
      <c r="AE597">
        <f t="shared" si="209"/>
        <v>8.4699453551912565E-2</v>
      </c>
      <c r="AF597">
        <f t="shared" si="210"/>
        <v>8.4699453551912565E-2</v>
      </c>
      <c r="AG597">
        <f t="shared" si="211"/>
        <v>8.4699453551912565E-2</v>
      </c>
      <c r="AH597">
        <f t="shared" si="212"/>
        <v>0</v>
      </c>
      <c r="AI597">
        <f t="shared" si="213"/>
        <v>0</v>
      </c>
      <c r="AJ597" s="2" t="str">
        <f t="shared" si="223"/>
        <v>1045200</v>
      </c>
    </row>
    <row r="598" spans="1:36" x14ac:dyDescent="0.25">
      <c r="A598">
        <v>11</v>
      </c>
      <c r="B598" s="1">
        <v>45200</v>
      </c>
      <c r="C598" s="1">
        <f t="shared" si="214"/>
        <v>45536</v>
      </c>
      <c r="D598" s="1">
        <f t="shared" si="215"/>
        <v>45214</v>
      </c>
      <c r="E598" s="1">
        <f t="shared" si="216"/>
        <v>45536</v>
      </c>
      <c r="F598" s="1">
        <f t="shared" si="217"/>
        <v>45566</v>
      </c>
      <c r="G598" s="1">
        <f t="shared" si="218"/>
        <v>45580</v>
      </c>
      <c r="H598">
        <f t="shared" si="219"/>
        <v>366</v>
      </c>
      <c r="I598">
        <f t="shared" si="220"/>
        <v>30</v>
      </c>
      <c r="J598">
        <f t="shared" si="221"/>
        <v>8.1967213114754092E-2</v>
      </c>
      <c r="K598">
        <f>IFERROR($J598/IF($A598&lt;COUNTIFS($K$1:K$1,"&lt;&gt;"),0,SUMIFS($J:$J,$B:$B,$B598,$A:$A,"&gt;="&amp;COUNTIFS($K$1:K$1,"&lt;&gt;"))),0)</f>
        <v>8.5959885386819479E-2</v>
      </c>
      <c r="L598">
        <f>IFERROR($J598/IF($A598&lt;COUNTIFS($K$1:L$1,"&lt;&gt;"),0,SUMIFS($J:$J,$B:$B,$B598,$A:$A,"&gt;="&amp;COUNTIFS($K$1:L$1,"&lt;&gt;"))),0)</f>
        <v>9.4043887147335414E-2</v>
      </c>
      <c r="M598">
        <f>IFERROR($J598/IF($A598&lt;COUNTIFS($K$1:M$1,"&lt;&gt;"),0,SUMIFS($J:$J,$B:$B,$B598,$A:$A,"&gt;="&amp;COUNTIFS($K$1:M$1,"&lt;&gt;"))),0)</f>
        <v>0.10416666666666666</v>
      </c>
      <c r="N598">
        <f>IFERROR($J598/IF($A598&lt;COUNTIFS($K$1:N$1,"&lt;&gt;"),0,SUMIFS($J:$J,$B:$B,$B598,$A:$A,"&gt;="&amp;COUNTIFS($K$1:N$1,"&lt;&gt;"))),0)</f>
        <v>0.11673151750972761</v>
      </c>
      <c r="O598">
        <f>IFERROR($J598/IF($A598&lt;COUNTIFS($K$1:O$1,"&lt;&gt;"),0,SUMIFS($J:$J,$B:$B,$B598,$A:$A,"&gt;="&amp;COUNTIFS($K$1:O$1,"&lt;&gt;"))),0)</f>
        <v>0.13157894736842105</v>
      </c>
      <c r="P598">
        <f>IFERROR($J598/IF($A598&lt;COUNTIFS($K$1:P$1,"&lt;&gt;"),0,SUMIFS($J:$J,$B:$B,$B598,$A:$A,"&gt;="&amp;COUNTIFS($K$1:P$1,"&lt;&gt;"))),0)</f>
        <v>0.15228426395939088</v>
      </c>
      <c r="Q598">
        <f>IFERROR($J598/IF($A598&lt;COUNTIFS($K$1:Q$1,"&lt;&gt;"),0,SUMIFS($J:$J,$B:$B,$B598,$A:$A,"&gt;="&amp;COUNTIFS($K$1:Q$1,"&lt;&gt;"))),0)</f>
        <v>0.17964071856287425</v>
      </c>
      <c r="R598">
        <f>IFERROR($J598/IF($A598&lt;COUNTIFS($K$1:R$1,"&lt;&gt;"),0,SUMIFS($J:$J,$B:$B,$B598,$A:$A,"&gt;="&amp;COUNTIFS($K$1:R$1,"&lt;&gt;"))),0)</f>
        <v>0.22058823529411764</v>
      </c>
      <c r="S598">
        <f>IFERROR($J598/IF($A598&lt;COUNTIFS($K$1:S$1,"&lt;&gt;"),0,SUMIFS($J:$J,$B:$B,$B598,$A:$A,"&gt;="&amp;COUNTIFS($K$1:S$1,"&lt;&gt;"))),0)</f>
        <v>0.28301886792452829</v>
      </c>
      <c r="T598">
        <f>IFERROR($J598/IF($A598&lt;COUNTIFS($K$1:T$1,"&lt;&gt;"),0,SUMIFS($J:$J,$B:$B,$B598,$A:$A,"&gt;="&amp;COUNTIFS($K$1:T$1,"&lt;&gt;"))),0)</f>
        <v>0.39999999999999997</v>
      </c>
      <c r="U598">
        <f>IFERROR($J598/IF($A598&lt;COUNTIFS($K$1:U$1,"&lt;&gt;"),0,SUMIFS($J:$J,$B:$B,$B598,$A:$A,"&gt;="&amp;COUNTIFS($K$1:U$1,"&lt;&gt;"))),0)</f>
        <v>0.68181818181818177</v>
      </c>
      <c r="V598">
        <f>IFERROR($J598/IF($A598&lt;COUNTIFS($K$1:V$1,"&lt;&gt;"),0,SUMIFS($J:$J,$B:$B,$B598,$A:$A,"&gt;="&amp;COUNTIFS($K$1:V$1,"&lt;&gt;"))),0)</f>
        <v>0</v>
      </c>
      <c r="W598">
        <f t="shared" si="222"/>
        <v>8.1967213114754092E-2</v>
      </c>
      <c r="X598">
        <f t="shared" si="202"/>
        <v>8.1967213114754092E-2</v>
      </c>
      <c r="Y598">
        <f t="shared" si="203"/>
        <v>8.1967213114754092E-2</v>
      </c>
      <c r="Z598">
        <f t="shared" si="204"/>
        <v>8.1967213114754092E-2</v>
      </c>
      <c r="AA598">
        <f t="shared" si="205"/>
        <v>8.1967213114754092E-2</v>
      </c>
      <c r="AB598">
        <f t="shared" si="206"/>
        <v>8.1967213114754092E-2</v>
      </c>
      <c r="AC598">
        <f t="shared" si="207"/>
        <v>8.1967213114754092E-2</v>
      </c>
      <c r="AD598">
        <f t="shared" si="208"/>
        <v>8.1967213114754092E-2</v>
      </c>
      <c r="AE598">
        <f t="shared" si="209"/>
        <v>8.1967213114754092E-2</v>
      </c>
      <c r="AF598">
        <f t="shared" si="210"/>
        <v>8.1967213114754092E-2</v>
      </c>
      <c r="AG598">
        <f t="shared" si="211"/>
        <v>8.1967213114754092E-2</v>
      </c>
      <c r="AH598">
        <f t="shared" si="212"/>
        <v>8.1967213114754092E-2</v>
      </c>
      <c r="AI598">
        <f t="shared" si="213"/>
        <v>0</v>
      </c>
      <c r="AJ598" s="2" t="str">
        <f t="shared" si="223"/>
        <v>1145200</v>
      </c>
    </row>
    <row r="599" spans="1:36" x14ac:dyDescent="0.25">
      <c r="A599">
        <v>12</v>
      </c>
      <c r="B599" s="1">
        <v>45200</v>
      </c>
      <c r="C599" s="1">
        <f t="shared" si="214"/>
        <v>45566</v>
      </c>
      <c r="D599" s="1">
        <f t="shared" si="215"/>
        <v>45214</v>
      </c>
      <c r="E599" s="1">
        <f t="shared" si="216"/>
        <v>45566</v>
      </c>
      <c r="F599" s="1">
        <f t="shared" si="217"/>
        <v>45580</v>
      </c>
      <c r="G599" s="1">
        <f t="shared" si="218"/>
        <v>45580</v>
      </c>
      <c r="H599">
        <f t="shared" si="219"/>
        <v>366</v>
      </c>
      <c r="I599">
        <f t="shared" si="220"/>
        <v>14</v>
      </c>
      <c r="J599">
        <f t="shared" si="221"/>
        <v>3.825136612021858E-2</v>
      </c>
      <c r="K599">
        <f>IFERROR($J599/IF($A599&lt;COUNTIFS($K$1:K$1,"&lt;&gt;"),0,SUMIFS($J:$J,$B:$B,$B599,$A:$A,"&gt;="&amp;COUNTIFS($K$1:K$1,"&lt;&gt;"))),0)</f>
        <v>4.0114613180515762E-2</v>
      </c>
      <c r="L599">
        <f>IFERROR($J599/IF($A599&lt;COUNTIFS($K$1:L$1,"&lt;&gt;"),0,SUMIFS($J:$J,$B:$B,$B599,$A:$A,"&gt;="&amp;COUNTIFS($K$1:L$1,"&lt;&gt;"))),0)</f>
        <v>4.3887147335423198E-2</v>
      </c>
      <c r="M599">
        <f>IFERROR($J599/IF($A599&lt;COUNTIFS($K$1:M$1,"&lt;&gt;"),0,SUMIFS($J:$J,$B:$B,$B599,$A:$A,"&gt;="&amp;COUNTIFS($K$1:M$1,"&lt;&gt;"))),0)</f>
        <v>4.8611111111111112E-2</v>
      </c>
      <c r="N599">
        <f>IFERROR($J599/IF($A599&lt;COUNTIFS($K$1:N$1,"&lt;&gt;"),0,SUMIFS($J:$J,$B:$B,$B599,$A:$A,"&gt;="&amp;COUNTIFS($K$1:N$1,"&lt;&gt;"))),0)</f>
        <v>5.4474708171206226E-2</v>
      </c>
      <c r="O599">
        <f>IFERROR($J599/IF($A599&lt;COUNTIFS($K$1:O$1,"&lt;&gt;"),0,SUMIFS($J:$J,$B:$B,$B599,$A:$A,"&gt;="&amp;COUNTIFS($K$1:O$1,"&lt;&gt;"))),0)</f>
        <v>6.1403508771929821E-2</v>
      </c>
      <c r="P599">
        <f>IFERROR($J599/IF($A599&lt;COUNTIFS($K$1:P$1,"&lt;&gt;"),0,SUMIFS($J:$J,$B:$B,$B599,$A:$A,"&gt;="&amp;COUNTIFS($K$1:P$1,"&lt;&gt;"))),0)</f>
        <v>7.1065989847715741E-2</v>
      </c>
      <c r="Q599">
        <f>IFERROR($J599/IF($A599&lt;COUNTIFS($K$1:Q$1,"&lt;&gt;"),0,SUMIFS($J:$J,$B:$B,$B599,$A:$A,"&gt;="&amp;COUNTIFS($K$1:Q$1,"&lt;&gt;"))),0)</f>
        <v>8.3832335329341326E-2</v>
      </c>
      <c r="R599">
        <f>IFERROR($J599/IF($A599&lt;COUNTIFS($K$1:R$1,"&lt;&gt;"),0,SUMIFS($J:$J,$B:$B,$B599,$A:$A,"&gt;="&amp;COUNTIFS($K$1:R$1,"&lt;&gt;"))),0)</f>
        <v>0.10294117647058824</v>
      </c>
      <c r="S599">
        <f>IFERROR($J599/IF($A599&lt;COUNTIFS($K$1:S$1,"&lt;&gt;"),0,SUMIFS($J:$J,$B:$B,$B599,$A:$A,"&gt;="&amp;COUNTIFS($K$1:S$1,"&lt;&gt;"))),0)</f>
        <v>0.13207547169811321</v>
      </c>
      <c r="T599">
        <f>IFERROR($J599/IF($A599&lt;COUNTIFS($K$1:T$1,"&lt;&gt;"),0,SUMIFS($J:$J,$B:$B,$B599,$A:$A,"&gt;="&amp;COUNTIFS($K$1:T$1,"&lt;&gt;"))),0)</f>
        <v>0.18666666666666668</v>
      </c>
      <c r="U599">
        <f>IFERROR($J599/IF($A599&lt;COUNTIFS($K$1:U$1,"&lt;&gt;"),0,SUMIFS($J:$J,$B:$B,$B599,$A:$A,"&gt;="&amp;COUNTIFS($K$1:U$1,"&lt;&gt;"))),0)</f>
        <v>0.31818181818181818</v>
      </c>
      <c r="V599">
        <f>IFERROR($J599/IF($A599&lt;COUNTIFS($K$1:V$1,"&lt;&gt;"),0,SUMIFS($J:$J,$B:$B,$B599,$A:$A,"&gt;="&amp;COUNTIFS($K$1:V$1,"&lt;&gt;"))),0)</f>
        <v>1</v>
      </c>
      <c r="W599">
        <f t="shared" si="222"/>
        <v>3.825136612021858E-2</v>
      </c>
      <c r="X599">
        <f t="shared" si="202"/>
        <v>3.825136612021858E-2</v>
      </c>
      <c r="Y599">
        <f t="shared" si="203"/>
        <v>3.825136612021858E-2</v>
      </c>
      <c r="Z599">
        <f t="shared" si="204"/>
        <v>3.825136612021858E-2</v>
      </c>
      <c r="AA599">
        <f t="shared" si="205"/>
        <v>3.825136612021858E-2</v>
      </c>
      <c r="AB599">
        <f t="shared" si="206"/>
        <v>3.825136612021858E-2</v>
      </c>
      <c r="AC599">
        <f t="shared" si="207"/>
        <v>3.825136612021858E-2</v>
      </c>
      <c r="AD599">
        <f t="shared" si="208"/>
        <v>3.825136612021858E-2</v>
      </c>
      <c r="AE599">
        <f t="shared" si="209"/>
        <v>3.825136612021858E-2</v>
      </c>
      <c r="AF599">
        <f t="shared" si="210"/>
        <v>3.825136612021858E-2</v>
      </c>
      <c r="AG599">
        <f t="shared" si="211"/>
        <v>3.825136612021858E-2</v>
      </c>
      <c r="AH599">
        <f t="shared" si="212"/>
        <v>3.825136612021858E-2</v>
      </c>
      <c r="AI599">
        <f t="shared" si="213"/>
        <v>3.825136612021858E-2</v>
      </c>
      <c r="AJ599" s="2" t="str">
        <f t="shared" si="223"/>
        <v>1245200</v>
      </c>
    </row>
    <row r="600" spans="1:36" x14ac:dyDescent="0.25">
      <c r="A600">
        <v>0</v>
      </c>
      <c r="B600" s="1">
        <v>45231</v>
      </c>
      <c r="C600" s="1">
        <f t="shared" si="214"/>
        <v>45231</v>
      </c>
      <c r="D600" s="1">
        <f t="shared" si="215"/>
        <v>45245</v>
      </c>
      <c r="E600" s="1">
        <f t="shared" si="216"/>
        <v>45245</v>
      </c>
      <c r="F600" s="1">
        <f t="shared" si="217"/>
        <v>45261</v>
      </c>
      <c r="G600" s="1">
        <f t="shared" si="218"/>
        <v>45611</v>
      </c>
      <c r="H600">
        <f t="shared" si="219"/>
        <v>366</v>
      </c>
      <c r="I600">
        <f t="shared" si="220"/>
        <v>16</v>
      </c>
      <c r="J600">
        <f t="shared" si="221"/>
        <v>4.3715846994535519E-2</v>
      </c>
      <c r="K600">
        <f>IFERROR($J600/IF($A600&lt;COUNTIFS($K$1:K$1,"&lt;&gt;"),0,SUMIFS($J:$J,$B:$B,$B600,$A:$A,"&gt;="&amp;COUNTIFS($K$1:K$1,"&lt;&gt;"))),0)</f>
        <v>0</v>
      </c>
      <c r="L600">
        <f>IFERROR($J600/IF($A600&lt;COUNTIFS($K$1:L$1,"&lt;&gt;"),0,SUMIFS($J:$J,$B:$B,$B600,$A:$A,"&gt;="&amp;COUNTIFS($K$1:L$1,"&lt;&gt;"))),0)</f>
        <v>0</v>
      </c>
      <c r="M600">
        <f>IFERROR($J600/IF($A600&lt;COUNTIFS($K$1:M$1,"&lt;&gt;"),0,SUMIFS($J:$J,$B:$B,$B600,$A:$A,"&gt;="&amp;COUNTIFS($K$1:M$1,"&lt;&gt;"))),0)</f>
        <v>0</v>
      </c>
      <c r="N600">
        <f>IFERROR($J600/IF($A600&lt;COUNTIFS($K$1:N$1,"&lt;&gt;"),0,SUMIFS($J:$J,$B:$B,$B600,$A:$A,"&gt;="&amp;COUNTIFS($K$1:N$1,"&lt;&gt;"))),0)</f>
        <v>0</v>
      </c>
      <c r="O600">
        <f>IFERROR($J600/IF($A600&lt;COUNTIFS($K$1:O$1,"&lt;&gt;"),0,SUMIFS($J:$J,$B:$B,$B600,$A:$A,"&gt;="&amp;COUNTIFS($K$1:O$1,"&lt;&gt;"))),0)</f>
        <v>0</v>
      </c>
      <c r="P600">
        <f>IFERROR($J600/IF($A600&lt;COUNTIFS($K$1:P$1,"&lt;&gt;"),0,SUMIFS($J:$J,$B:$B,$B600,$A:$A,"&gt;="&amp;COUNTIFS($K$1:P$1,"&lt;&gt;"))),0)</f>
        <v>0</v>
      </c>
      <c r="Q600">
        <f>IFERROR($J600/IF($A600&lt;COUNTIFS($K$1:Q$1,"&lt;&gt;"),0,SUMIFS($J:$J,$B:$B,$B600,$A:$A,"&gt;="&amp;COUNTIFS($K$1:Q$1,"&lt;&gt;"))),0)</f>
        <v>0</v>
      </c>
      <c r="R600">
        <f>IFERROR($J600/IF($A600&lt;COUNTIFS($K$1:R$1,"&lt;&gt;"),0,SUMIFS($J:$J,$B:$B,$B600,$A:$A,"&gt;="&amp;COUNTIFS($K$1:R$1,"&lt;&gt;"))),0)</f>
        <v>0</v>
      </c>
      <c r="S600">
        <f>IFERROR($J600/IF($A600&lt;COUNTIFS($K$1:S$1,"&lt;&gt;"),0,SUMIFS($J:$J,$B:$B,$B600,$A:$A,"&gt;="&amp;COUNTIFS($K$1:S$1,"&lt;&gt;"))),0)</f>
        <v>0</v>
      </c>
      <c r="T600">
        <f>IFERROR($J600/IF($A600&lt;COUNTIFS($K$1:T$1,"&lt;&gt;"),0,SUMIFS($J:$J,$B:$B,$B600,$A:$A,"&gt;="&amp;COUNTIFS($K$1:T$1,"&lt;&gt;"))),0)</f>
        <v>0</v>
      </c>
      <c r="U600">
        <f>IFERROR($J600/IF($A600&lt;COUNTIFS($K$1:U$1,"&lt;&gt;"),0,SUMIFS($J:$J,$B:$B,$B600,$A:$A,"&gt;="&amp;COUNTIFS($K$1:U$1,"&lt;&gt;"))),0)</f>
        <v>0</v>
      </c>
      <c r="V600">
        <f>IFERROR($J600/IF($A600&lt;COUNTIFS($K$1:V$1,"&lt;&gt;"),0,SUMIFS($J:$J,$B:$B,$B600,$A:$A,"&gt;="&amp;COUNTIFS($K$1:V$1,"&lt;&gt;"))),0)</f>
        <v>0</v>
      </c>
      <c r="W600">
        <f t="shared" si="222"/>
        <v>4.3715846994535519E-2</v>
      </c>
      <c r="X600">
        <f t="shared" si="202"/>
        <v>0</v>
      </c>
      <c r="Y600">
        <f t="shared" si="203"/>
        <v>0</v>
      </c>
      <c r="Z600">
        <f t="shared" si="204"/>
        <v>0</v>
      </c>
      <c r="AA600">
        <f t="shared" si="205"/>
        <v>0</v>
      </c>
      <c r="AB600">
        <f t="shared" si="206"/>
        <v>0</v>
      </c>
      <c r="AC600">
        <f t="shared" si="207"/>
        <v>0</v>
      </c>
      <c r="AD600">
        <f t="shared" si="208"/>
        <v>0</v>
      </c>
      <c r="AE600">
        <f t="shared" si="209"/>
        <v>0</v>
      </c>
      <c r="AF600">
        <f t="shared" si="210"/>
        <v>0</v>
      </c>
      <c r="AG600">
        <f t="shared" si="211"/>
        <v>0</v>
      </c>
      <c r="AH600">
        <f t="shared" si="212"/>
        <v>0</v>
      </c>
      <c r="AI600">
        <f t="shared" si="213"/>
        <v>0</v>
      </c>
      <c r="AJ600" s="2" t="str">
        <f t="shared" si="223"/>
        <v>045231</v>
      </c>
    </row>
    <row r="601" spans="1:36" x14ac:dyDescent="0.25">
      <c r="A601">
        <v>1</v>
      </c>
      <c r="B601" s="1">
        <v>45231</v>
      </c>
      <c r="C601" s="1">
        <f t="shared" si="214"/>
        <v>45261</v>
      </c>
      <c r="D601" s="1">
        <f t="shared" si="215"/>
        <v>45245</v>
      </c>
      <c r="E601" s="1">
        <f t="shared" si="216"/>
        <v>45261</v>
      </c>
      <c r="F601" s="1">
        <f t="shared" si="217"/>
        <v>45292</v>
      </c>
      <c r="G601" s="1">
        <f t="shared" si="218"/>
        <v>45611</v>
      </c>
      <c r="H601">
        <f t="shared" si="219"/>
        <v>366</v>
      </c>
      <c r="I601">
        <f t="shared" si="220"/>
        <v>31</v>
      </c>
      <c r="J601">
        <f t="shared" si="221"/>
        <v>8.4699453551912565E-2</v>
      </c>
      <c r="K601">
        <f>IFERROR($J601/IF($A601&lt;COUNTIFS($K$1:K$1,"&lt;&gt;"),0,SUMIFS($J:$J,$B:$B,$B601,$A:$A,"&gt;="&amp;COUNTIFS($K$1:K$1,"&lt;&gt;"))),0)</f>
        <v>8.8571428571428579E-2</v>
      </c>
      <c r="L601">
        <f>IFERROR($J601/IF($A601&lt;COUNTIFS($K$1:L$1,"&lt;&gt;"),0,SUMIFS($J:$J,$B:$B,$B601,$A:$A,"&gt;="&amp;COUNTIFS($K$1:L$1,"&lt;&gt;"))),0)</f>
        <v>0</v>
      </c>
      <c r="M601">
        <f>IFERROR($J601/IF($A601&lt;COUNTIFS($K$1:M$1,"&lt;&gt;"),0,SUMIFS($J:$J,$B:$B,$B601,$A:$A,"&gt;="&amp;COUNTIFS($K$1:M$1,"&lt;&gt;"))),0)</f>
        <v>0</v>
      </c>
      <c r="N601">
        <f>IFERROR($J601/IF($A601&lt;COUNTIFS($K$1:N$1,"&lt;&gt;"),0,SUMIFS($J:$J,$B:$B,$B601,$A:$A,"&gt;="&amp;COUNTIFS($K$1:N$1,"&lt;&gt;"))),0)</f>
        <v>0</v>
      </c>
      <c r="O601">
        <f>IFERROR($J601/IF($A601&lt;COUNTIFS($K$1:O$1,"&lt;&gt;"),0,SUMIFS($J:$J,$B:$B,$B601,$A:$A,"&gt;="&amp;COUNTIFS($K$1:O$1,"&lt;&gt;"))),0)</f>
        <v>0</v>
      </c>
      <c r="P601">
        <f>IFERROR($J601/IF($A601&lt;COUNTIFS($K$1:P$1,"&lt;&gt;"),0,SUMIFS($J:$J,$B:$B,$B601,$A:$A,"&gt;="&amp;COUNTIFS($K$1:P$1,"&lt;&gt;"))),0)</f>
        <v>0</v>
      </c>
      <c r="Q601">
        <f>IFERROR($J601/IF($A601&lt;COUNTIFS($K$1:Q$1,"&lt;&gt;"),0,SUMIFS($J:$J,$B:$B,$B601,$A:$A,"&gt;="&amp;COUNTIFS($K$1:Q$1,"&lt;&gt;"))),0)</f>
        <v>0</v>
      </c>
      <c r="R601">
        <f>IFERROR($J601/IF($A601&lt;COUNTIFS($K$1:R$1,"&lt;&gt;"),0,SUMIFS($J:$J,$B:$B,$B601,$A:$A,"&gt;="&amp;COUNTIFS($K$1:R$1,"&lt;&gt;"))),0)</f>
        <v>0</v>
      </c>
      <c r="S601">
        <f>IFERROR($J601/IF($A601&lt;COUNTIFS($K$1:S$1,"&lt;&gt;"),0,SUMIFS($J:$J,$B:$B,$B601,$A:$A,"&gt;="&amp;COUNTIFS($K$1:S$1,"&lt;&gt;"))),0)</f>
        <v>0</v>
      </c>
      <c r="T601">
        <f>IFERROR($J601/IF($A601&lt;COUNTIFS($K$1:T$1,"&lt;&gt;"),0,SUMIFS($J:$J,$B:$B,$B601,$A:$A,"&gt;="&amp;COUNTIFS($K$1:T$1,"&lt;&gt;"))),0)</f>
        <v>0</v>
      </c>
      <c r="U601">
        <f>IFERROR($J601/IF($A601&lt;COUNTIFS($K$1:U$1,"&lt;&gt;"),0,SUMIFS($J:$J,$B:$B,$B601,$A:$A,"&gt;="&amp;COUNTIFS($K$1:U$1,"&lt;&gt;"))),0)</f>
        <v>0</v>
      </c>
      <c r="V601">
        <f>IFERROR($J601/IF($A601&lt;COUNTIFS($K$1:V$1,"&lt;&gt;"),0,SUMIFS($J:$J,$B:$B,$B601,$A:$A,"&gt;="&amp;COUNTIFS($K$1:V$1,"&lt;&gt;"))),0)</f>
        <v>0</v>
      </c>
      <c r="W601">
        <f t="shared" si="222"/>
        <v>8.4699453551912565E-2</v>
      </c>
      <c r="X601">
        <f t="shared" si="202"/>
        <v>8.4699453551912565E-2</v>
      </c>
      <c r="Y601">
        <f t="shared" si="203"/>
        <v>0</v>
      </c>
      <c r="Z601">
        <f t="shared" si="204"/>
        <v>0</v>
      </c>
      <c r="AA601">
        <f t="shared" si="205"/>
        <v>0</v>
      </c>
      <c r="AB601">
        <f t="shared" si="206"/>
        <v>0</v>
      </c>
      <c r="AC601">
        <f t="shared" si="207"/>
        <v>0</v>
      </c>
      <c r="AD601">
        <f t="shared" si="208"/>
        <v>0</v>
      </c>
      <c r="AE601">
        <f t="shared" si="209"/>
        <v>0</v>
      </c>
      <c r="AF601">
        <f t="shared" si="210"/>
        <v>0</v>
      </c>
      <c r="AG601">
        <f t="shared" si="211"/>
        <v>0</v>
      </c>
      <c r="AH601">
        <f t="shared" si="212"/>
        <v>0</v>
      </c>
      <c r="AI601">
        <f t="shared" si="213"/>
        <v>0</v>
      </c>
      <c r="AJ601" s="2" t="str">
        <f t="shared" si="223"/>
        <v>145231</v>
      </c>
    </row>
    <row r="602" spans="1:36" x14ac:dyDescent="0.25">
      <c r="A602">
        <v>2</v>
      </c>
      <c r="B602" s="1">
        <v>45231</v>
      </c>
      <c r="C602" s="1">
        <f t="shared" si="214"/>
        <v>45292</v>
      </c>
      <c r="D602" s="1">
        <f t="shared" si="215"/>
        <v>45245</v>
      </c>
      <c r="E602" s="1">
        <f t="shared" si="216"/>
        <v>45292</v>
      </c>
      <c r="F602" s="1">
        <f t="shared" si="217"/>
        <v>45323</v>
      </c>
      <c r="G602" s="1">
        <f t="shared" si="218"/>
        <v>45611</v>
      </c>
      <c r="H602">
        <f t="shared" si="219"/>
        <v>366</v>
      </c>
      <c r="I602">
        <f t="shared" si="220"/>
        <v>31</v>
      </c>
      <c r="J602">
        <f t="shared" si="221"/>
        <v>8.4699453551912565E-2</v>
      </c>
      <c r="K602">
        <f>IFERROR($J602/IF($A602&lt;COUNTIFS($K$1:K$1,"&lt;&gt;"),0,SUMIFS($J:$J,$B:$B,$B602,$A:$A,"&gt;="&amp;COUNTIFS($K$1:K$1,"&lt;&gt;"))),0)</f>
        <v>8.8571428571428579E-2</v>
      </c>
      <c r="L602">
        <f>IFERROR($J602/IF($A602&lt;COUNTIFS($K$1:L$1,"&lt;&gt;"),0,SUMIFS($J:$J,$B:$B,$B602,$A:$A,"&gt;="&amp;COUNTIFS($K$1:L$1,"&lt;&gt;"))),0)</f>
        <v>9.7178683385579931E-2</v>
      </c>
      <c r="M602">
        <f>IFERROR($J602/IF($A602&lt;COUNTIFS($K$1:M$1,"&lt;&gt;"),0,SUMIFS($J:$J,$B:$B,$B602,$A:$A,"&gt;="&amp;COUNTIFS($K$1:M$1,"&lt;&gt;"))),0)</f>
        <v>0</v>
      </c>
      <c r="N602">
        <f>IFERROR($J602/IF($A602&lt;COUNTIFS($K$1:N$1,"&lt;&gt;"),0,SUMIFS($J:$J,$B:$B,$B602,$A:$A,"&gt;="&amp;COUNTIFS($K$1:N$1,"&lt;&gt;"))),0)</f>
        <v>0</v>
      </c>
      <c r="O602">
        <f>IFERROR($J602/IF($A602&lt;COUNTIFS($K$1:O$1,"&lt;&gt;"),0,SUMIFS($J:$J,$B:$B,$B602,$A:$A,"&gt;="&amp;COUNTIFS($K$1:O$1,"&lt;&gt;"))),0)</f>
        <v>0</v>
      </c>
      <c r="P602">
        <f>IFERROR($J602/IF($A602&lt;COUNTIFS($K$1:P$1,"&lt;&gt;"),0,SUMIFS($J:$J,$B:$B,$B602,$A:$A,"&gt;="&amp;COUNTIFS($K$1:P$1,"&lt;&gt;"))),0)</f>
        <v>0</v>
      </c>
      <c r="Q602">
        <f>IFERROR($J602/IF($A602&lt;COUNTIFS($K$1:Q$1,"&lt;&gt;"),0,SUMIFS($J:$J,$B:$B,$B602,$A:$A,"&gt;="&amp;COUNTIFS($K$1:Q$1,"&lt;&gt;"))),0)</f>
        <v>0</v>
      </c>
      <c r="R602">
        <f>IFERROR($J602/IF($A602&lt;COUNTIFS($K$1:R$1,"&lt;&gt;"),0,SUMIFS($J:$J,$B:$B,$B602,$A:$A,"&gt;="&amp;COUNTIFS($K$1:R$1,"&lt;&gt;"))),0)</f>
        <v>0</v>
      </c>
      <c r="S602">
        <f>IFERROR($J602/IF($A602&lt;COUNTIFS($K$1:S$1,"&lt;&gt;"),0,SUMIFS($J:$J,$B:$B,$B602,$A:$A,"&gt;="&amp;COUNTIFS($K$1:S$1,"&lt;&gt;"))),0)</f>
        <v>0</v>
      </c>
      <c r="T602">
        <f>IFERROR($J602/IF($A602&lt;COUNTIFS($K$1:T$1,"&lt;&gt;"),0,SUMIFS($J:$J,$B:$B,$B602,$A:$A,"&gt;="&amp;COUNTIFS($K$1:T$1,"&lt;&gt;"))),0)</f>
        <v>0</v>
      </c>
      <c r="U602">
        <f>IFERROR($J602/IF($A602&lt;COUNTIFS($K$1:U$1,"&lt;&gt;"),0,SUMIFS($J:$J,$B:$B,$B602,$A:$A,"&gt;="&amp;COUNTIFS($K$1:U$1,"&lt;&gt;"))),0)</f>
        <v>0</v>
      </c>
      <c r="V602">
        <f>IFERROR($J602/IF($A602&lt;COUNTIFS($K$1:V$1,"&lt;&gt;"),0,SUMIFS($J:$J,$B:$B,$B602,$A:$A,"&gt;="&amp;COUNTIFS($K$1:V$1,"&lt;&gt;"))),0)</f>
        <v>0</v>
      </c>
      <c r="W602">
        <f t="shared" si="222"/>
        <v>8.4699453551912565E-2</v>
      </c>
      <c r="X602">
        <f t="shared" si="202"/>
        <v>8.4699453551912565E-2</v>
      </c>
      <c r="Y602">
        <f t="shared" si="203"/>
        <v>8.4699453551912565E-2</v>
      </c>
      <c r="Z602">
        <f t="shared" si="204"/>
        <v>0</v>
      </c>
      <c r="AA602">
        <f t="shared" si="205"/>
        <v>0</v>
      </c>
      <c r="AB602">
        <f t="shared" si="206"/>
        <v>0</v>
      </c>
      <c r="AC602">
        <f t="shared" si="207"/>
        <v>0</v>
      </c>
      <c r="AD602">
        <f t="shared" si="208"/>
        <v>0</v>
      </c>
      <c r="AE602">
        <f t="shared" si="209"/>
        <v>0</v>
      </c>
      <c r="AF602">
        <f t="shared" si="210"/>
        <v>0</v>
      </c>
      <c r="AG602">
        <f t="shared" si="211"/>
        <v>0</v>
      </c>
      <c r="AH602">
        <f t="shared" si="212"/>
        <v>0</v>
      </c>
      <c r="AI602">
        <f t="shared" si="213"/>
        <v>0</v>
      </c>
      <c r="AJ602" s="2" t="str">
        <f t="shared" si="223"/>
        <v>245231</v>
      </c>
    </row>
    <row r="603" spans="1:36" x14ac:dyDescent="0.25">
      <c r="A603">
        <v>3</v>
      </c>
      <c r="B603" s="1">
        <v>45231</v>
      </c>
      <c r="C603" s="1">
        <f t="shared" si="214"/>
        <v>45323</v>
      </c>
      <c r="D603" s="1">
        <f t="shared" si="215"/>
        <v>45245</v>
      </c>
      <c r="E603" s="1">
        <f t="shared" si="216"/>
        <v>45323</v>
      </c>
      <c r="F603" s="1">
        <f t="shared" si="217"/>
        <v>45352</v>
      </c>
      <c r="G603" s="1">
        <f t="shared" si="218"/>
        <v>45611</v>
      </c>
      <c r="H603">
        <f t="shared" si="219"/>
        <v>366</v>
      </c>
      <c r="I603">
        <f t="shared" si="220"/>
        <v>29</v>
      </c>
      <c r="J603">
        <f t="shared" si="221"/>
        <v>7.9234972677595633E-2</v>
      </c>
      <c r="K603">
        <f>IFERROR($J603/IF($A603&lt;COUNTIFS($K$1:K$1,"&lt;&gt;"),0,SUMIFS($J:$J,$B:$B,$B603,$A:$A,"&gt;="&amp;COUNTIFS($K$1:K$1,"&lt;&gt;"))),0)</f>
        <v>8.2857142857142865E-2</v>
      </c>
      <c r="L603">
        <f>IFERROR($J603/IF($A603&lt;COUNTIFS($K$1:L$1,"&lt;&gt;"),0,SUMIFS($J:$J,$B:$B,$B603,$A:$A,"&gt;="&amp;COUNTIFS($K$1:L$1,"&lt;&gt;"))),0)</f>
        <v>9.0909090909090912E-2</v>
      </c>
      <c r="M603">
        <f>IFERROR($J603/IF($A603&lt;COUNTIFS($K$1:M$1,"&lt;&gt;"),0,SUMIFS($J:$J,$B:$B,$B603,$A:$A,"&gt;="&amp;COUNTIFS($K$1:M$1,"&lt;&gt;"))),0)</f>
        <v>0.10069444444444445</v>
      </c>
      <c r="N603">
        <f>IFERROR($J603/IF($A603&lt;COUNTIFS($K$1:N$1,"&lt;&gt;"),0,SUMIFS($J:$J,$B:$B,$B603,$A:$A,"&gt;="&amp;COUNTIFS($K$1:N$1,"&lt;&gt;"))),0)</f>
        <v>0</v>
      </c>
      <c r="O603">
        <f>IFERROR($J603/IF($A603&lt;COUNTIFS($K$1:O$1,"&lt;&gt;"),0,SUMIFS($J:$J,$B:$B,$B603,$A:$A,"&gt;="&amp;COUNTIFS($K$1:O$1,"&lt;&gt;"))),0)</f>
        <v>0</v>
      </c>
      <c r="P603">
        <f>IFERROR($J603/IF($A603&lt;COUNTIFS($K$1:P$1,"&lt;&gt;"),0,SUMIFS($J:$J,$B:$B,$B603,$A:$A,"&gt;="&amp;COUNTIFS($K$1:P$1,"&lt;&gt;"))),0)</f>
        <v>0</v>
      </c>
      <c r="Q603">
        <f>IFERROR($J603/IF($A603&lt;COUNTIFS($K$1:Q$1,"&lt;&gt;"),0,SUMIFS($J:$J,$B:$B,$B603,$A:$A,"&gt;="&amp;COUNTIFS($K$1:Q$1,"&lt;&gt;"))),0)</f>
        <v>0</v>
      </c>
      <c r="R603">
        <f>IFERROR($J603/IF($A603&lt;COUNTIFS($K$1:R$1,"&lt;&gt;"),0,SUMIFS($J:$J,$B:$B,$B603,$A:$A,"&gt;="&amp;COUNTIFS($K$1:R$1,"&lt;&gt;"))),0)</f>
        <v>0</v>
      </c>
      <c r="S603">
        <f>IFERROR($J603/IF($A603&lt;COUNTIFS($K$1:S$1,"&lt;&gt;"),0,SUMIFS($J:$J,$B:$B,$B603,$A:$A,"&gt;="&amp;COUNTIFS($K$1:S$1,"&lt;&gt;"))),0)</f>
        <v>0</v>
      </c>
      <c r="T603">
        <f>IFERROR($J603/IF($A603&lt;COUNTIFS($K$1:T$1,"&lt;&gt;"),0,SUMIFS($J:$J,$B:$B,$B603,$A:$A,"&gt;="&amp;COUNTIFS($K$1:T$1,"&lt;&gt;"))),0)</f>
        <v>0</v>
      </c>
      <c r="U603">
        <f>IFERROR($J603/IF($A603&lt;COUNTIFS($K$1:U$1,"&lt;&gt;"),0,SUMIFS($J:$J,$B:$B,$B603,$A:$A,"&gt;="&amp;COUNTIFS($K$1:U$1,"&lt;&gt;"))),0)</f>
        <v>0</v>
      </c>
      <c r="V603">
        <f>IFERROR($J603/IF($A603&lt;COUNTIFS($K$1:V$1,"&lt;&gt;"),0,SUMIFS($J:$J,$B:$B,$B603,$A:$A,"&gt;="&amp;COUNTIFS($K$1:V$1,"&lt;&gt;"))),0)</f>
        <v>0</v>
      </c>
      <c r="W603">
        <f t="shared" si="222"/>
        <v>7.9234972677595633E-2</v>
      </c>
      <c r="X603">
        <f t="shared" si="202"/>
        <v>7.9234972677595633E-2</v>
      </c>
      <c r="Y603">
        <f t="shared" si="203"/>
        <v>7.9234972677595633E-2</v>
      </c>
      <c r="Z603">
        <f t="shared" si="204"/>
        <v>7.9234972677595633E-2</v>
      </c>
      <c r="AA603">
        <f t="shared" si="205"/>
        <v>0</v>
      </c>
      <c r="AB603">
        <f t="shared" si="206"/>
        <v>0</v>
      </c>
      <c r="AC603">
        <f t="shared" si="207"/>
        <v>0</v>
      </c>
      <c r="AD603">
        <f t="shared" si="208"/>
        <v>0</v>
      </c>
      <c r="AE603">
        <f t="shared" si="209"/>
        <v>0</v>
      </c>
      <c r="AF603">
        <f t="shared" si="210"/>
        <v>0</v>
      </c>
      <c r="AG603">
        <f t="shared" si="211"/>
        <v>0</v>
      </c>
      <c r="AH603">
        <f t="shared" si="212"/>
        <v>0</v>
      </c>
      <c r="AI603">
        <f t="shared" si="213"/>
        <v>0</v>
      </c>
      <c r="AJ603" s="2" t="str">
        <f t="shared" si="223"/>
        <v>345231</v>
      </c>
    </row>
    <row r="604" spans="1:36" x14ac:dyDescent="0.25">
      <c r="A604">
        <v>4</v>
      </c>
      <c r="B604" s="1">
        <v>45231</v>
      </c>
      <c r="C604" s="1">
        <f t="shared" si="214"/>
        <v>45352</v>
      </c>
      <c r="D604" s="1">
        <f t="shared" si="215"/>
        <v>45245</v>
      </c>
      <c r="E604" s="1">
        <f t="shared" si="216"/>
        <v>45352</v>
      </c>
      <c r="F604" s="1">
        <f t="shared" si="217"/>
        <v>45383</v>
      </c>
      <c r="G604" s="1">
        <f t="shared" si="218"/>
        <v>45611</v>
      </c>
      <c r="H604">
        <f t="shared" si="219"/>
        <v>366</v>
      </c>
      <c r="I604">
        <f t="shared" si="220"/>
        <v>31</v>
      </c>
      <c r="J604">
        <f t="shared" si="221"/>
        <v>8.4699453551912565E-2</v>
      </c>
      <c r="K604">
        <f>IFERROR($J604/IF($A604&lt;COUNTIFS($K$1:K$1,"&lt;&gt;"),0,SUMIFS($J:$J,$B:$B,$B604,$A:$A,"&gt;="&amp;COUNTIFS($K$1:K$1,"&lt;&gt;"))),0)</f>
        <v>8.8571428571428579E-2</v>
      </c>
      <c r="L604">
        <f>IFERROR($J604/IF($A604&lt;COUNTIFS($K$1:L$1,"&lt;&gt;"),0,SUMIFS($J:$J,$B:$B,$B604,$A:$A,"&gt;="&amp;COUNTIFS($K$1:L$1,"&lt;&gt;"))),0)</f>
        <v>9.7178683385579931E-2</v>
      </c>
      <c r="M604">
        <f>IFERROR($J604/IF($A604&lt;COUNTIFS($K$1:M$1,"&lt;&gt;"),0,SUMIFS($J:$J,$B:$B,$B604,$A:$A,"&gt;="&amp;COUNTIFS($K$1:M$1,"&lt;&gt;"))),0)</f>
        <v>0.10763888888888888</v>
      </c>
      <c r="N604">
        <f>IFERROR($J604/IF($A604&lt;COUNTIFS($K$1:N$1,"&lt;&gt;"),0,SUMIFS($J:$J,$B:$B,$B604,$A:$A,"&gt;="&amp;COUNTIFS($K$1:N$1,"&lt;&gt;"))),0)</f>
        <v>0.11969111969111969</v>
      </c>
      <c r="O604">
        <f>IFERROR($J604/IF($A604&lt;COUNTIFS($K$1:O$1,"&lt;&gt;"),0,SUMIFS($J:$J,$B:$B,$B604,$A:$A,"&gt;="&amp;COUNTIFS($K$1:O$1,"&lt;&gt;"))),0)</f>
        <v>0</v>
      </c>
      <c r="P604">
        <f>IFERROR($J604/IF($A604&lt;COUNTIFS($K$1:P$1,"&lt;&gt;"),0,SUMIFS($J:$J,$B:$B,$B604,$A:$A,"&gt;="&amp;COUNTIFS($K$1:P$1,"&lt;&gt;"))),0)</f>
        <v>0</v>
      </c>
      <c r="Q604">
        <f>IFERROR($J604/IF($A604&lt;COUNTIFS($K$1:Q$1,"&lt;&gt;"),0,SUMIFS($J:$J,$B:$B,$B604,$A:$A,"&gt;="&amp;COUNTIFS($K$1:Q$1,"&lt;&gt;"))),0)</f>
        <v>0</v>
      </c>
      <c r="R604">
        <f>IFERROR($J604/IF($A604&lt;COUNTIFS($K$1:R$1,"&lt;&gt;"),0,SUMIFS($J:$J,$B:$B,$B604,$A:$A,"&gt;="&amp;COUNTIFS($K$1:R$1,"&lt;&gt;"))),0)</f>
        <v>0</v>
      </c>
      <c r="S604">
        <f>IFERROR($J604/IF($A604&lt;COUNTIFS($K$1:S$1,"&lt;&gt;"),0,SUMIFS($J:$J,$B:$B,$B604,$A:$A,"&gt;="&amp;COUNTIFS($K$1:S$1,"&lt;&gt;"))),0)</f>
        <v>0</v>
      </c>
      <c r="T604">
        <f>IFERROR($J604/IF($A604&lt;COUNTIFS($K$1:T$1,"&lt;&gt;"),0,SUMIFS($J:$J,$B:$B,$B604,$A:$A,"&gt;="&amp;COUNTIFS($K$1:T$1,"&lt;&gt;"))),0)</f>
        <v>0</v>
      </c>
      <c r="U604">
        <f>IFERROR($J604/IF($A604&lt;COUNTIFS($K$1:U$1,"&lt;&gt;"),0,SUMIFS($J:$J,$B:$B,$B604,$A:$A,"&gt;="&amp;COUNTIFS($K$1:U$1,"&lt;&gt;"))),0)</f>
        <v>0</v>
      </c>
      <c r="V604">
        <f>IFERROR($J604/IF($A604&lt;COUNTIFS($K$1:V$1,"&lt;&gt;"),0,SUMIFS($J:$J,$B:$B,$B604,$A:$A,"&gt;="&amp;COUNTIFS($K$1:V$1,"&lt;&gt;"))),0)</f>
        <v>0</v>
      </c>
      <c r="W604">
        <f t="shared" si="222"/>
        <v>8.4699453551912565E-2</v>
      </c>
      <c r="X604">
        <f t="shared" si="202"/>
        <v>8.4699453551912565E-2</v>
      </c>
      <c r="Y604">
        <f t="shared" si="203"/>
        <v>8.4699453551912565E-2</v>
      </c>
      <c r="Z604">
        <f t="shared" si="204"/>
        <v>8.4699453551912565E-2</v>
      </c>
      <c r="AA604">
        <f t="shared" si="205"/>
        <v>8.4699453551912565E-2</v>
      </c>
      <c r="AB604">
        <f t="shared" si="206"/>
        <v>0</v>
      </c>
      <c r="AC604">
        <f t="shared" si="207"/>
        <v>0</v>
      </c>
      <c r="AD604">
        <f t="shared" si="208"/>
        <v>0</v>
      </c>
      <c r="AE604">
        <f t="shared" si="209"/>
        <v>0</v>
      </c>
      <c r="AF604">
        <f t="shared" si="210"/>
        <v>0</v>
      </c>
      <c r="AG604">
        <f t="shared" si="211"/>
        <v>0</v>
      </c>
      <c r="AH604">
        <f t="shared" si="212"/>
        <v>0</v>
      </c>
      <c r="AI604">
        <f t="shared" si="213"/>
        <v>0</v>
      </c>
      <c r="AJ604" s="2" t="str">
        <f t="shared" si="223"/>
        <v>445231</v>
      </c>
    </row>
    <row r="605" spans="1:36" x14ac:dyDescent="0.25">
      <c r="A605">
        <v>5</v>
      </c>
      <c r="B605" s="1">
        <v>45231</v>
      </c>
      <c r="C605" s="1">
        <f t="shared" si="214"/>
        <v>45383</v>
      </c>
      <c r="D605" s="1">
        <f t="shared" si="215"/>
        <v>45245</v>
      </c>
      <c r="E605" s="1">
        <f t="shared" si="216"/>
        <v>45383</v>
      </c>
      <c r="F605" s="1">
        <f t="shared" si="217"/>
        <v>45413</v>
      </c>
      <c r="G605" s="1">
        <f t="shared" si="218"/>
        <v>45611</v>
      </c>
      <c r="H605">
        <f t="shared" si="219"/>
        <v>366</v>
      </c>
      <c r="I605">
        <f t="shared" si="220"/>
        <v>30</v>
      </c>
      <c r="J605">
        <f t="shared" si="221"/>
        <v>8.1967213114754092E-2</v>
      </c>
      <c r="K605">
        <f>IFERROR($J605/IF($A605&lt;COUNTIFS($K$1:K$1,"&lt;&gt;"),0,SUMIFS($J:$J,$B:$B,$B605,$A:$A,"&gt;="&amp;COUNTIFS($K$1:K$1,"&lt;&gt;"))),0)</f>
        <v>8.5714285714285715E-2</v>
      </c>
      <c r="L605">
        <f>IFERROR($J605/IF($A605&lt;COUNTIFS($K$1:L$1,"&lt;&gt;"),0,SUMIFS($J:$J,$B:$B,$B605,$A:$A,"&gt;="&amp;COUNTIFS($K$1:L$1,"&lt;&gt;"))),0)</f>
        <v>9.4043887147335414E-2</v>
      </c>
      <c r="M605">
        <f>IFERROR($J605/IF($A605&lt;COUNTIFS($K$1:M$1,"&lt;&gt;"),0,SUMIFS($J:$J,$B:$B,$B605,$A:$A,"&gt;="&amp;COUNTIFS($K$1:M$1,"&lt;&gt;"))),0)</f>
        <v>0.10416666666666666</v>
      </c>
      <c r="N605">
        <f>IFERROR($J605/IF($A605&lt;COUNTIFS($K$1:N$1,"&lt;&gt;"),0,SUMIFS($J:$J,$B:$B,$B605,$A:$A,"&gt;="&amp;COUNTIFS($K$1:N$1,"&lt;&gt;"))),0)</f>
        <v>0.11583011583011582</v>
      </c>
      <c r="O605">
        <f>IFERROR($J605/IF($A605&lt;COUNTIFS($K$1:O$1,"&lt;&gt;"),0,SUMIFS($J:$J,$B:$B,$B605,$A:$A,"&gt;="&amp;COUNTIFS($K$1:O$1,"&lt;&gt;"))),0)</f>
        <v>0.13157894736842105</v>
      </c>
      <c r="P605">
        <f>IFERROR($J605/IF($A605&lt;COUNTIFS($K$1:P$1,"&lt;&gt;"),0,SUMIFS($J:$J,$B:$B,$B605,$A:$A,"&gt;="&amp;COUNTIFS($K$1:P$1,"&lt;&gt;"))),0)</f>
        <v>0</v>
      </c>
      <c r="Q605">
        <f>IFERROR($J605/IF($A605&lt;COUNTIFS($K$1:Q$1,"&lt;&gt;"),0,SUMIFS($J:$J,$B:$B,$B605,$A:$A,"&gt;="&amp;COUNTIFS($K$1:Q$1,"&lt;&gt;"))),0)</f>
        <v>0</v>
      </c>
      <c r="R605">
        <f>IFERROR($J605/IF($A605&lt;COUNTIFS($K$1:R$1,"&lt;&gt;"),0,SUMIFS($J:$J,$B:$B,$B605,$A:$A,"&gt;="&amp;COUNTIFS($K$1:R$1,"&lt;&gt;"))),0)</f>
        <v>0</v>
      </c>
      <c r="S605">
        <f>IFERROR($J605/IF($A605&lt;COUNTIFS($K$1:S$1,"&lt;&gt;"),0,SUMIFS($J:$J,$B:$B,$B605,$A:$A,"&gt;="&amp;COUNTIFS($K$1:S$1,"&lt;&gt;"))),0)</f>
        <v>0</v>
      </c>
      <c r="T605">
        <f>IFERROR($J605/IF($A605&lt;COUNTIFS($K$1:T$1,"&lt;&gt;"),0,SUMIFS($J:$J,$B:$B,$B605,$A:$A,"&gt;="&amp;COUNTIFS($K$1:T$1,"&lt;&gt;"))),0)</f>
        <v>0</v>
      </c>
      <c r="U605">
        <f>IFERROR($J605/IF($A605&lt;COUNTIFS($K$1:U$1,"&lt;&gt;"),0,SUMIFS($J:$J,$B:$B,$B605,$A:$A,"&gt;="&amp;COUNTIFS($K$1:U$1,"&lt;&gt;"))),0)</f>
        <v>0</v>
      </c>
      <c r="V605">
        <f>IFERROR($J605/IF($A605&lt;COUNTIFS($K$1:V$1,"&lt;&gt;"),0,SUMIFS($J:$J,$B:$B,$B605,$A:$A,"&gt;="&amp;COUNTIFS($K$1:V$1,"&lt;&gt;"))),0)</f>
        <v>0</v>
      </c>
      <c r="W605">
        <f t="shared" si="222"/>
        <v>8.1967213114754092E-2</v>
      </c>
      <c r="X605">
        <f t="shared" si="202"/>
        <v>8.1967213114754092E-2</v>
      </c>
      <c r="Y605">
        <f t="shared" si="203"/>
        <v>8.1967213114754092E-2</v>
      </c>
      <c r="Z605">
        <f t="shared" si="204"/>
        <v>8.1967213114754092E-2</v>
      </c>
      <c r="AA605">
        <f t="shared" si="205"/>
        <v>8.1967213114754092E-2</v>
      </c>
      <c r="AB605">
        <f t="shared" si="206"/>
        <v>8.1967213114754092E-2</v>
      </c>
      <c r="AC605">
        <f t="shared" si="207"/>
        <v>0</v>
      </c>
      <c r="AD605">
        <f t="shared" si="208"/>
        <v>0</v>
      </c>
      <c r="AE605">
        <f t="shared" si="209"/>
        <v>0</v>
      </c>
      <c r="AF605">
        <f t="shared" si="210"/>
        <v>0</v>
      </c>
      <c r="AG605">
        <f t="shared" si="211"/>
        <v>0</v>
      </c>
      <c r="AH605">
        <f t="shared" si="212"/>
        <v>0</v>
      </c>
      <c r="AI605">
        <f t="shared" si="213"/>
        <v>0</v>
      </c>
      <c r="AJ605" s="2" t="str">
        <f t="shared" si="223"/>
        <v>545231</v>
      </c>
    </row>
    <row r="606" spans="1:36" x14ac:dyDescent="0.25">
      <c r="A606">
        <v>6</v>
      </c>
      <c r="B606" s="1">
        <v>45231</v>
      </c>
      <c r="C606" s="1">
        <f t="shared" si="214"/>
        <v>45413</v>
      </c>
      <c r="D606" s="1">
        <f t="shared" si="215"/>
        <v>45245</v>
      </c>
      <c r="E606" s="1">
        <f t="shared" si="216"/>
        <v>45413</v>
      </c>
      <c r="F606" s="1">
        <f t="shared" si="217"/>
        <v>45444</v>
      </c>
      <c r="G606" s="1">
        <f t="shared" si="218"/>
        <v>45611</v>
      </c>
      <c r="H606">
        <f t="shared" si="219"/>
        <v>366</v>
      </c>
      <c r="I606">
        <f t="shared" si="220"/>
        <v>31</v>
      </c>
      <c r="J606">
        <f t="shared" si="221"/>
        <v>8.4699453551912565E-2</v>
      </c>
      <c r="K606">
        <f>IFERROR($J606/IF($A606&lt;COUNTIFS($K$1:K$1,"&lt;&gt;"),0,SUMIFS($J:$J,$B:$B,$B606,$A:$A,"&gt;="&amp;COUNTIFS($K$1:K$1,"&lt;&gt;"))),0)</f>
        <v>8.8571428571428579E-2</v>
      </c>
      <c r="L606">
        <f>IFERROR($J606/IF($A606&lt;COUNTIFS($K$1:L$1,"&lt;&gt;"),0,SUMIFS($J:$J,$B:$B,$B606,$A:$A,"&gt;="&amp;COUNTIFS($K$1:L$1,"&lt;&gt;"))),0)</f>
        <v>9.7178683385579931E-2</v>
      </c>
      <c r="M606">
        <f>IFERROR($J606/IF($A606&lt;COUNTIFS($K$1:M$1,"&lt;&gt;"),0,SUMIFS($J:$J,$B:$B,$B606,$A:$A,"&gt;="&amp;COUNTIFS($K$1:M$1,"&lt;&gt;"))),0)</f>
        <v>0.10763888888888888</v>
      </c>
      <c r="N606">
        <f>IFERROR($J606/IF($A606&lt;COUNTIFS($K$1:N$1,"&lt;&gt;"),0,SUMIFS($J:$J,$B:$B,$B606,$A:$A,"&gt;="&amp;COUNTIFS($K$1:N$1,"&lt;&gt;"))),0)</f>
        <v>0.11969111969111969</v>
      </c>
      <c r="O606">
        <f>IFERROR($J606/IF($A606&lt;COUNTIFS($K$1:O$1,"&lt;&gt;"),0,SUMIFS($J:$J,$B:$B,$B606,$A:$A,"&gt;="&amp;COUNTIFS($K$1:O$1,"&lt;&gt;"))),0)</f>
        <v>0.13596491228070173</v>
      </c>
      <c r="P606">
        <f>IFERROR($J606/IF($A606&lt;COUNTIFS($K$1:P$1,"&lt;&gt;"),0,SUMIFS($J:$J,$B:$B,$B606,$A:$A,"&gt;="&amp;COUNTIFS($K$1:P$1,"&lt;&gt;"))),0)</f>
        <v>0.15656565656565655</v>
      </c>
      <c r="Q606">
        <f>IFERROR($J606/IF($A606&lt;COUNTIFS($K$1:Q$1,"&lt;&gt;"),0,SUMIFS($J:$J,$B:$B,$B606,$A:$A,"&gt;="&amp;COUNTIFS($K$1:Q$1,"&lt;&gt;"))),0)</f>
        <v>0</v>
      </c>
      <c r="R606">
        <f>IFERROR($J606/IF($A606&lt;COUNTIFS($K$1:R$1,"&lt;&gt;"),0,SUMIFS($J:$J,$B:$B,$B606,$A:$A,"&gt;="&amp;COUNTIFS($K$1:R$1,"&lt;&gt;"))),0)</f>
        <v>0</v>
      </c>
      <c r="S606">
        <f>IFERROR($J606/IF($A606&lt;COUNTIFS($K$1:S$1,"&lt;&gt;"),0,SUMIFS($J:$J,$B:$B,$B606,$A:$A,"&gt;="&amp;COUNTIFS($K$1:S$1,"&lt;&gt;"))),0)</f>
        <v>0</v>
      </c>
      <c r="T606">
        <f>IFERROR($J606/IF($A606&lt;COUNTIFS($K$1:T$1,"&lt;&gt;"),0,SUMIFS($J:$J,$B:$B,$B606,$A:$A,"&gt;="&amp;COUNTIFS($K$1:T$1,"&lt;&gt;"))),0)</f>
        <v>0</v>
      </c>
      <c r="U606">
        <f>IFERROR($J606/IF($A606&lt;COUNTIFS($K$1:U$1,"&lt;&gt;"),0,SUMIFS($J:$J,$B:$B,$B606,$A:$A,"&gt;="&amp;COUNTIFS($K$1:U$1,"&lt;&gt;"))),0)</f>
        <v>0</v>
      </c>
      <c r="V606">
        <f>IFERROR($J606/IF($A606&lt;COUNTIFS($K$1:V$1,"&lt;&gt;"),0,SUMIFS($J:$J,$B:$B,$B606,$A:$A,"&gt;="&amp;COUNTIFS($K$1:V$1,"&lt;&gt;"))),0)</f>
        <v>0</v>
      </c>
      <c r="W606">
        <f t="shared" si="222"/>
        <v>8.4699453551912565E-2</v>
      </c>
      <c r="X606">
        <f t="shared" si="202"/>
        <v>8.4699453551912565E-2</v>
      </c>
      <c r="Y606">
        <f t="shared" si="203"/>
        <v>8.4699453551912565E-2</v>
      </c>
      <c r="Z606">
        <f t="shared" si="204"/>
        <v>8.4699453551912565E-2</v>
      </c>
      <c r="AA606">
        <f t="shared" si="205"/>
        <v>8.4699453551912565E-2</v>
      </c>
      <c r="AB606">
        <f t="shared" si="206"/>
        <v>8.4699453551912565E-2</v>
      </c>
      <c r="AC606">
        <f t="shared" si="207"/>
        <v>8.4699453551912565E-2</v>
      </c>
      <c r="AD606">
        <f t="shared" si="208"/>
        <v>0</v>
      </c>
      <c r="AE606">
        <f t="shared" si="209"/>
        <v>0</v>
      </c>
      <c r="AF606">
        <f t="shared" si="210"/>
        <v>0</v>
      </c>
      <c r="AG606">
        <f t="shared" si="211"/>
        <v>0</v>
      </c>
      <c r="AH606">
        <f t="shared" si="212"/>
        <v>0</v>
      </c>
      <c r="AI606">
        <f t="shared" si="213"/>
        <v>0</v>
      </c>
      <c r="AJ606" s="2" t="str">
        <f t="shared" si="223"/>
        <v>645231</v>
      </c>
    </row>
    <row r="607" spans="1:36" x14ac:dyDescent="0.25">
      <c r="A607">
        <v>7</v>
      </c>
      <c r="B607" s="1">
        <v>45231</v>
      </c>
      <c r="C607" s="1">
        <f t="shared" si="214"/>
        <v>45444</v>
      </c>
      <c r="D607" s="1">
        <f t="shared" si="215"/>
        <v>45245</v>
      </c>
      <c r="E607" s="1">
        <f t="shared" si="216"/>
        <v>45444</v>
      </c>
      <c r="F607" s="1">
        <f t="shared" si="217"/>
        <v>45474</v>
      </c>
      <c r="G607" s="1">
        <f t="shared" si="218"/>
        <v>45611</v>
      </c>
      <c r="H607">
        <f t="shared" si="219"/>
        <v>366</v>
      </c>
      <c r="I607">
        <f t="shared" si="220"/>
        <v>30</v>
      </c>
      <c r="J607">
        <f t="shared" si="221"/>
        <v>8.1967213114754092E-2</v>
      </c>
      <c r="K607">
        <f>IFERROR($J607/IF($A607&lt;COUNTIFS($K$1:K$1,"&lt;&gt;"),0,SUMIFS($J:$J,$B:$B,$B607,$A:$A,"&gt;="&amp;COUNTIFS($K$1:K$1,"&lt;&gt;"))),0)</f>
        <v>8.5714285714285715E-2</v>
      </c>
      <c r="L607">
        <f>IFERROR($J607/IF($A607&lt;COUNTIFS($K$1:L$1,"&lt;&gt;"),0,SUMIFS($J:$J,$B:$B,$B607,$A:$A,"&gt;="&amp;COUNTIFS($K$1:L$1,"&lt;&gt;"))),0)</f>
        <v>9.4043887147335414E-2</v>
      </c>
      <c r="M607">
        <f>IFERROR($J607/IF($A607&lt;COUNTIFS($K$1:M$1,"&lt;&gt;"),0,SUMIFS($J:$J,$B:$B,$B607,$A:$A,"&gt;="&amp;COUNTIFS($K$1:M$1,"&lt;&gt;"))),0)</f>
        <v>0.10416666666666666</v>
      </c>
      <c r="N607">
        <f>IFERROR($J607/IF($A607&lt;COUNTIFS($K$1:N$1,"&lt;&gt;"),0,SUMIFS($J:$J,$B:$B,$B607,$A:$A,"&gt;="&amp;COUNTIFS($K$1:N$1,"&lt;&gt;"))),0)</f>
        <v>0.11583011583011582</v>
      </c>
      <c r="O607">
        <f>IFERROR($J607/IF($A607&lt;COUNTIFS($K$1:O$1,"&lt;&gt;"),0,SUMIFS($J:$J,$B:$B,$B607,$A:$A,"&gt;="&amp;COUNTIFS($K$1:O$1,"&lt;&gt;"))),0)</f>
        <v>0.13157894736842105</v>
      </c>
      <c r="P607">
        <f>IFERROR($J607/IF($A607&lt;COUNTIFS($K$1:P$1,"&lt;&gt;"),0,SUMIFS($J:$J,$B:$B,$B607,$A:$A,"&gt;="&amp;COUNTIFS($K$1:P$1,"&lt;&gt;"))),0)</f>
        <v>0.15151515151515149</v>
      </c>
      <c r="Q607">
        <f>IFERROR($J607/IF($A607&lt;COUNTIFS($K$1:Q$1,"&lt;&gt;"),0,SUMIFS($J:$J,$B:$B,$B607,$A:$A,"&gt;="&amp;COUNTIFS($K$1:Q$1,"&lt;&gt;"))),0)</f>
        <v>0.17964071856287425</v>
      </c>
      <c r="R607">
        <f>IFERROR($J607/IF($A607&lt;COUNTIFS($K$1:R$1,"&lt;&gt;"),0,SUMIFS($J:$J,$B:$B,$B607,$A:$A,"&gt;="&amp;COUNTIFS($K$1:R$1,"&lt;&gt;"))),0)</f>
        <v>0</v>
      </c>
      <c r="S607">
        <f>IFERROR($J607/IF($A607&lt;COUNTIFS($K$1:S$1,"&lt;&gt;"),0,SUMIFS($J:$J,$B:$B,$B607,$A:$A,"&gt;="&amp;COUNTIFS($K$1:S$1,"&lt;&gt;"))),0)</f>
        <v>0</v>
      </c>
      <c r="T607">
        <f>IFERROR($J607/IF($A607&lt;COUNTIFS($K$1:T$1,"&lt;&gt;"),0,SUMIFS($J:$J,$B:$B,$B607,$A:$A,"&gt;="&amp;COUNTIFS($K$1:T$1,"&lt;&gt;"))),0)</f>
        <v>0</v>
      </c>
      <c r="U607">
        <f>IFERROR($J607/IF($A607&lt;COUNTIFS($K$1:U$1,"&lt;&gt;"),0,SUMIFS($J:$J,$B:$B,$B607,$A:$A,"&gt;="&amp;COUNTIFS($K$1:U$1,"&lt;&gt;"))),0)</f>
        <v>0</v>
      </c>
      <c r="V607">
        <f>IFERROR($J607/IF($A607&lt;COUNTIFS($K$1:V$1,"&lt;&gt;"),0,SUMIFS($J:$J,$B:$B,$B607,$A:$A,"&gt;="&amp;COUNTIFS($K$1:V$1,"&lt;&gt;"))),0)</f>
        <v>0</v>
      </c>
      <c r="W607">
        <f t="shared" si="222"/>
        <v>8.1967213114754092E-2</v>
      </c>
      <c r="X607">
        <f t="shared" si="202"/>
        <v>8.1967213114754092E-2</v>
      </c>
      <c r="Y607">
        <f t="shared" si="203"/>
        <v>8.1967213114754092E-2</v>
      </c>
      <c r="Z607">
        <f t="shared" si="204"/>
        <v>8.1967213114754092E-2</v>
      </c>
      <c r="AA607">
        <f t="shared" si="205"/>
        <v>8.1967213114754092E-2</v>
      </c>
      <c r="AB607">
        <f t="shared" si="206"/>
        <v>8.1967213114754092E-2</v>
      </c>
      <c r="AC607">
        <f t="shared" si="207"/>
        <v>8.1967213114754092E-2</v>
      </c>
      <c r="AD607">
        <f t="shared" si="208"/>
        <v>8.1967213114754092E-2</v>
      </c>
      <c r="AE607">
        <f t="shared" si="209"/>
        <v>0</v>
      </c>
      <c r="AF607">
        <f t="shared" si="210"/>
        <v>0</v>
      </c>
      <c r="AG607">
        <f t="shared" si="211"/>
        <v>0</v>
      </c>
      <c r="AH607">
        <f t="shared" si="212"/>
        <v>0</v>
      </c>
      <c r="AI607">
        <f t="shared" si="213"/>
        <v>0</v>
      </c>
      <c r="AJ607" s="2" t="str">
        <f t="shared" si="223"/>
        <v>745231</v>
      </c>
    </row>
    <row r="608" spans="1:36" x14ac:dyDescent="0.25">
      <c r="A608">
        <v>8</v>
      </c>
      <c r="B608" s="1">
        <v>45231</v>
      </c>
      <c r="C608" s="1">
        <f t="shared" si="214"/>
        <v>45474</v>
      </c>
      <c r="D608" s="1">
        <f t="shared" si="215"/>
        <v>45245</v>
      </c>
      <c r="E608" s="1">
        <f t="shared" si="216"/>
        <v>45474</v>
      </c>
      <c r="F608" s="1">
        <f t="shared" si="217"/>
        <v>45505</v>
      </c>
      <c r="G608" s="1">
        <f t="shared" si="218"/>
        <v>45611</v>
      </c>
      <c r="H608">
        <f t="shared" si="219"/>
        <v>366</v>
      </c>
      <c r="I608">
        <f t="shared" si="220"/>
        <v>31</v>
      </c>
      <c r="J608">
        <f t="shared" si="221"/>
        <v>8.4699453551912565E-2</v>
      </c>
      <c r="K608">
        <f>IFERROR($J608/IF($A608&lt;COUNTIFS($K$1:K$1,"&lt;&gt;"),0,SUMIFS($J:$J,$B:$B,$B608,$A:$A,"&gt;="&amp;COUNTIFS($K$1:K$1,"&lt;&gt;"))),0)</f>
        <v>8.8571428571428579E-2</v>
      </c>
      <c r="L608">
        <f>IFERROR($J608/IF($A608&lt;COUNTIFS($K$1:L$1,"&lt;&gt;"),0,SUMIFS($J:$J,$B:$B,$B608,$A:$A,"&gt;="&amp;COUNTIFS($K$1:L$1,"&lt;&gt;"))),0)</f>
        <v>9.7178683385579931E-2</v>
      </c>
      <c r="M608">
        <f>IFERROR($J608/IF($A608&lt;COUNTIFS($K$1:M$1,"&lt;&gt;"),0,SUMIFS($J:$J,$B:$B,$B608,$A:$A,"&gt;="&amp;COUNTIFS($K$1:M$1,"&lt;&gt;"))),0)</f>
        <v>0.10763888888888888</v>
      </c>
      <c r="N608">
        <f>IFERROR($J608/IF($A608&lt;COUNTIFS($K$1:N$1,"&lt;&gt;"),0,SUMIFS($J:$J,$B:$B,$B608,$A:$A,"&gt;="&amp;COUNTIFS($K$1:N$1,"&lt;&gt;"))),0)</f>
        <v>0.11969111969111969</v>
      </c>
      <c r="O608">
        <f>IFERROR($J608/IF($A608&lt;COUNTIFS($K$1:O$1,"&lt;&gt;"),0,SUMIFS($J:$J,$B:$B,$B608,$A:$A,"&gt;="&amp;COUNTIFS($K$1:O$1,"&lt;&gt;"))),0)</f>
        <v>0.13596491228070173</v>
      </c>
      <c r="P608">
        <f>IFERROR($J608/IF($A608&lt;COUNTIFS($K$1:P$1,"&lt;&gt;"),0,SUMIFS($J:$J,$B:$B,$B608,$A:$A,"&gt;="&amp;COUNTIFS($K$1:P$1,"&lt;&gt;"))),0)</f>
        <v>0.15656565656565655</v>
      </c>
      <c r="Q608">
        <f>IFERROR($J608/IF($A608&lt;COUNTIFS($K$1:Q$1,"&lt;&gt;"),0,SUMIFS($J:$J,$B:$B,$B608,$A:$A,"&gt;="&amp;COUNTIFS($K$1:Q$1,"&lt;&gt;"))),0)</f>
        <v>0.18562874251497008</v>
      </c>
      <c r="R608">
        <f>IFERROR($J608/IF($A608&lt;COUNTIFS($K$1:R$1,"&lt;&gt;"),0,SUMIFS($J:$J,$B:$B,$B608,$A:$A,"&gt;="&amp;COUNTIFS($K$1:R$1,"&lt;&gt;"))),0)</f>
        <v>0.22627737226277372</v>
      </c>
      <c r="S608">
        <f>IFERROR($J608/IF($A608&lt;COUNTIFS($K$1:S$1,"&lt;&gt;"),0,SUMIFS($J:$J,$B:$B,$B608,$A:$A,"&gt;="&amp;COUNTIFS($K$1:S$1,"&lt;&gt;"))),0)</f>
        <v>0</v>
      </c>
      <c r="T608">
        <f>IFERROR($J608/IF($A608&lt;COUNTIFS($K$1:T$1,"&lt;&gt;"),0,SUMIFS($J:$J,$B:$B,$B608,$A:$A,"&gt;="&amp;COUNTIFS($K$1:T$1,"&lt;&gt;"))),0)</f>
        <v>0</v>
      </c>
      <c r="U608">
        <f>IFERROR($J608/IF($A608&lt;COUNTIFS($K$1:U$1,"&lt;&gt;"),0,SUMIFS($J:$J,$B:$B,$B608,$A:$A,"&gt;="&amp;COUNTIFS($K$1:U$1,"&lt;&gt;"))),0)</f>
        <v>0</v>
      </c>
      <c r="V608">
        <f>IFERROR($J608/IF($A608&lt;COUNTIFS($K$1:V$1,"&lt;&gt;"),0,SUMIFS($J:$J,$B:$B,$B608,$A:$A,"&gt;="&amp;COUNTIFS($K$1:V$1,"&lt;&gt;"))),0)</f>
        <v>0</v>
      </c>
      <c r="W608">
        <f t="shared" si="222"/>
        <v>8.4699453551912565E-2</v>
      </c>
      <c r="X608">
        <f t="shared" si="202"/>
        <v>8.4699453551912565E-2</v>
      </c>
      <c r="Y608">
        <f t="shared" si="203"/>
        <v>8.4699453551912565E-2</v>
      </c>
      <c r="Z608">
        <f t="shared" si="204"/>
        <v>8.4699453551912565E-2</v>
      </c>
      <c r="AA608">
        <f t="shared" si="205"/>
        <v>8.4699453551912565E-2</v>
      </c>
      <c r="AB608">
        <f t="shared" si="206"/>
        <v>8.4699453551912565E-2</v>
      </c>
      <c r="AC608">
        <f t="shared" si="207"/>
        <v>8.4699453551912565E-2</v>
      </c>
      <c r="AD608">
        <f t="shared" si="208"/>
        <v>8.4699453551912565E-2</v>
      </c>
      <c r="AE608">
        <f t="shared" si="209"/>
        <v>8.4699453551912565E-2</v>
      </c>
      <c r="AF608">
        <f t="shared" si="210"/>
        <v>0</v>
      </c>
      <c r="AG608">
        <f t="shared" si="211"/>
        <v>0</v>
      </c>
      <c r="AH608">
        <f t="shared" si="212"/>
        <v>0</v>
      </c>
      <c r="AI608">
        <f t="shared" si="213"/>
        <v>0</v>
      </c>
      <c r="AJ608" s="2" t="str">
        <f t="shared" si="223"/>
        <v>845231</v>
      </c>
    </row>
    <row r="609" spans="1:36" x14ac:dyDescent="0.25">
      <c r="A609">
        <v>9</v>
      </c>
      <c r="B609" s="1">
        <v>45231</v>
      </c>
      <c r="C609" s="1">
        <f t="shared" si="214"/>
        <v>45505</v>
      </c>
      <c r="D609" s="1">
        <f t="shared" si="215"/>
        <v>45245</v>
      </c>
      <c r="E609" s="1">
        <f t="shared" si="216"/>
        <v>45505</v>
      </c>
      <c r="F609" s="1">
        <f t="shared" si="217"/>
        <v>45536</v>
      </c>
      <c r="G609" s="1">
        <f t="shared" si="218"/>
        <v>45611</v>
      </c>
      <c r="H609">
        <f t="shared" si="219"/>
        <v>366</v>
      </c>
      <c r="I609">
        <f t="shared" si="220"/>
        <v>31</v>
      </c>
      <c r="J609">
        <f t="shared" si="221"/>
        <v>8.4699453551912565E-2</v>
      </c>
      <c r="K609">
        <f>IFERROR($J609/IF($A609&lt;COUNTIFS($K$1:K$1,"&lt;&gt;"),0,SUMIFS($J:$J,$B:$B,$B609,$A:$A,"&gt;="&amp;COUNTIFS($K$1:K$1,"&lt;&gt;"))),0)</f>
        <v>8.8571428571428579E-2</v>
      </c>
      <c r="L609">
        <f>IFERROR($J609/IF($A609&lt;COUNTIFS($K$1:L$1,"&lt;&gt;"),0,SUMIFS($J:$J,$B:$B,$B609,$A:$A,"&gt;="&amp;COUNTIFS($K$1:L$1,"&lt;&gt;"))),0)</f>
        <v>9.7178683385579931E-2</v>
      </c>
      <c r="M609">
        <f>IFERROR($J609/IF($A609&lt;COUNTIFS($K$1:M$1,"&lt;&gt;"),0,SUMIFS($J:$J,$B:$B,$B609,$A:$A,"&gt;="&amp;COUNTIFS($K$1:M$1,"&lt;&gt;"))),0)</f>
        <v>0.10763888888888888</v>
      </c>
      <c r="N609">
        <f>IFERROR($J609/IF($A609&lt;COUNTIFS($K$1:N$1,"&lt;&gt;"),0,SUMIFS($J:$J,$B:$B,$B609,$A:$A,"&gt;="&amp;COUNTIFS($K$1:N$1,"&lt;&gt;"))),0)</f>
        <v>0.11969111969111969</v>
      </c>
      <c r="O609">
        <f>IFERROR($J609/IF($A609&lt;COUNTIFS($K$1:O$1,"&lt;&gt;"),0,SUMIFS($J:$J,$B:$B,$B609,$A:$A,"&gt;="&amp;COUNTIFS($K$1:O$1,"&lt;&gt;"))),0)</f>
        <v>0.13596491228070173</v>
      </c>
      <c r="P609">
        <f>IFERROR($J609/IF($A609&lt;COUNTIFS($K$1:P$1,"&lt;&gt;"),0,SUMIFS($J:$J,$B:$B,$B609,$A:$A,"&gt;="&amp;COUNTIFS($K$1:P$1,"&lt;&gt;"))),0)</f>
        <v>0.15656565656565655</v>
      </c>
      <c r="Q609">
        <f>IFERROR($J609/IF($A609&lt;COUNTIFS($K$1:Q$1,"&lt;&gt;"),0,SUMIFS($J:$J,$B:$B,$B609,$A:$A,"&gt;="&amp;COUNTIFS($K$1:Q$1,"&lt;&gt;"))),0)</f>
        <v>0.18562874251497008</v>
      </c>
      <c r="R609">
        <f>IFERROR($J609/IF($A609&lt;COUNTIFS($K$1:R$1,"&lt;&gt;"),0,SUMIFS($J:$J,$B:$B,$B609,$A:$A,"&gt;="&amp;COUNTIFS($K$1:R$1,"&lt;&gt;"))),0)</f>
        <v>0.22627737226277372</v>
      </c>
      <c r="S609">
        <f>IFERROR($J609/IF($A609&lt;COUNTIFS($K$1:S$1,"&lt;&gt;"),0,SUMIFS($J:$J,$B:$B,$B609,$A:$A,"&gt;="&amp;COUNTIFS($K$1:S$1,"&lt;&gt;"))),0)</f>
        <v>0.29245283018867924</v>
      </c>
      <c r="T609">
        <f>IFERROR($J609/IF($A609&lt;COUNTIFS($K$1:T$1,"&lt;&gt;"),0,SUMIFS($J:$J,$B:$B,$B609,$A:$A,"&gt;="&amp;COUNTIFS($K$1:T$1,"&lt;&gt;"))),0)</f>
        <v>0</v>
      </c>
      <c r="U609">
        <f>IFERROR($J609/IF($A609&lt;COUNTIFS($K$1:U$1,"&lt;&gt;"),0,SUMIFS($J:$J,$B:$B,$B609,$A:$A,"&gt;="&amp;COUNTIFS($K$1:U$1,"&lt;&gt;"))),0)</f>
        <v>0</v>
      </c>
      <c r="V609">
        <f>IFERROR($J609/IF($A609&lt;COUNTIFS($K$1:V$1,"&lt;&gt;"),0,SUMIFS($J:$J,$B:$B,$B609,$A:$A,"&gt;="&amp;COUNTIFS($K$1:V$1,"&lt;&gt;"))),0)</f>
        <v>0</v>
      </c>
      <c r="W609">
        <f t="shared" si="222"/>
        <v>8.4699453551912565E-2</v>
      </c>
      <c r="X609">
        <f t="shared" si="202"/>
        <v>8.4699453551912565E-2</v>
      </c>
      <c r="Y609">
        <f t="shared" si="203"/>
        <v>8.4699453551912565E-2</v>
      </c>
      <c r="Z609">
        <f t="shared" si="204"/>
        <v>8.4699453551912565E-2</v>
      </c>
      <c r="AA609">
        <f t="shared" si="205"/>
        <v>8.4699453551912565E-2</v>
      </c>
      <c r="AB609">
        <f t="shared" si="206"/>
        <v>8.4699453551912565E-2</v>
      </c>
      <c r="AC609">
        <f t="shared" si="207"/>
        <v>8.4699453551912565E-2</v>
      </c>
      <c r="AD609">
        <f t="shared" si="208"/>
        <v>8.4699453551912565E-2</v>
      </c>
      <c r="AE609">
        <f t="shared" si="209"/>
        <v>8.4699453551912565E-2</v>
      </c>
      <c r="AF609">
        <f t="shared" si="210"/>
        <v>8.4699453551912565E-2</v>
      </c>
      <c r="AG609">
        <f t="shared" si="211"/>
        <v>0</v>
      </c>
      <c r="AH609">
        <f t="shared" si="212"/>
        <v>0</v>
      </c>
      <c r="AI609">
        <f t="shared" si="213"/>
        <v>0</v>
      </c>
      <c r="AJ609" s="2" t="str">
        <f t="shared" si="223"/>
        <v>945231</v>
      </c>
    </row>
    <row r="610" spans="1:36" x14ac:dyDescent="0.25">
      <c r="A610">
        <v>10</v>
      </c>
      <c r="B610" s="1">
        <v>45231</v>
      </c>
      <c r="C610" s="1">
        <f t="shared" si="214"/>
        <v>45536</v>
      </c>
      <c r="D610" s="1">
        <f t="shared" si="215"/>
        <v>45245</v>
      </c>
      <c r="E610" s="1">
        <f t="shared" si="216"/>
        <v>45536</v>
      </c>
      <c r="F610" s="1">
        <f t="shared" si="217"/>
        <v>45566</v>
      </c>
      <c r="G610" s="1">
        <f t="shared" si="218"/>
        <v>45611</v>
      </c>
      <c r="H610">
        <f t="shared" si="219"/>
        <v>366</v>
      </c>
      <c r="I610">
        <f t="shared" si="220"/>
        <v>30</v>
      </c>
      <c r="J610">
        <f t="shared" si="221"/>
        <v>8.1967213114754092E-2</v>
      </c>
      <c r="K610">
        <f>IFERROR($J610/IF($A610&lt;COUNTIFS($K$1:K$1,"&lt;&gt;"),0,SUMIFS($J:$J,$B:$B,$B610,$A:$A,"&gt;="&amp;COUNTIFS($K$1:K$1,"&lt;&gt;"))),0)</f>
        <v>8.5714285714285715E-2</v>
      </c>
      <c r="L610">
        <f>IFERROR($J610/IF($A610&lt;COUNTIFS($K$1:L$1,"&lt;&gt;"),0,SUMIFS($J:$J,$B:$B,$B610,$A:$A,"&gt;="&amp;COUNTIFS($K$1:L$1,"&lt;&gt;"))),0)</f>
        <v>9.4043887147335414E-2</v>
      </c>
      <c r="M610">
        <f>IFERROR($J610/IF($A610&lt;COUNTIFS($K$1:M$1,"&lt;&gt;"),0,SUMIFS($J:$J,$B:$B,$B610,$A:$A,"&gt;="&amp;COUNTIFS($K$1:M$1,"&lt;&gt;"))),0)</f>
        <v>0.10416666666666666</v>
      </c>
      <c r="N610">
        <f>IFERROR($J610/IF($A610&lt;COUNTIFS($K$1:N$1,"&lt;&gt;"),0,SUMIFS($J:$J,$B:$B,$B610,$A:$A,"&gt;="&amp;COUNTIFS($K$1:N$1,"&lt;&gt;"))),0)</f>
        <v>0.11583011583011582</v>
      </c>
      <c r="O610">
        <f>IFERROR($J610/IF($A610&lt;COUNTIFS($K$1:O$1,"&lt;&gt;"),0,SUMIFS($J:$J,$B:$B,$B610,$A:$A,"&gt;="&amp;COUNTIFS($K$1:O$1,"&lt;&gt;"))),0)</f>
        <v>0.13157894736842105</v>
      </c>
      <c r="P610">
        <f>IFERROR($J610/IF($A610&lt;COUNTIFS($K$1:P$1,"&lt;&gt;"),0,SUMIFS($J:$J,$B:$B,$B610,$A:$A,"&gt;="&amp;COUNTIFS($K$1:P$1,"&lt;&gt;"))),0)</f>
        <v>0.15151515151515149</v>
      </c>
      <c r="Q610">
        <f>IFERROR($J610/IF($A610&lt;COUNTIFS($K$1:Q$1,"&lt;&gt;"),0,SUMIFS($J:$J,$B:$B,$B610,$A:$A,"&gt;="&amp;COUNTIFS($K$1:Q$1,"&lt;&gt;"))),0)</f>
        <v>0.17964071856287425</v>
      </c>
      <c r="R610">
        <f>IFERROR($J610/IF($A610&lt;COUNTIFS($K$1:R$1,"&lt;&gt;"),0,SUMIFS($J:$J,$B:$B,$B610,$A:$A,"&gt;="&amp;COUNTIFS($K$1:R$1,"&lt;&gt;"))),0)</f>
        <v>0.21897810218978103</v>
      </c>
      <c r="S610">
        <f>IFERROR($J610/IF($A610&lt;COUNTIFS($K$1:S$1,"&lt;&gt;"),0,SUMIFS($J:$J,$B:$B,$B610,$A:$A,"&gt;="&amp;COUNTIFS($K$1:S$1,"&lt;&gt;"))),0)</f>
        <v>0.28301886792452829</v>
      </c>
      <c r="T610">
        <f>IFERROR($J610/IF($A610&lt;COUNTIFS($K$1:T$1,"&lt;&gt;"),0,SUMIFS($J:$J,$B:$B,$B610,$A:$A,"&gt;="&amp;COUNTIFS($K$1:T$1,"&lt;&gt;"))),0)</f>
        <v>0.39999999999999997</v>
      </c>
      <c r="U610">
        <f>IFERROR($J610/IF($A610&lt;COUNTIFS($K$1:U$1,"&lt;&gt;"),0,SUMIFS($J:$J,$B:$B,$B610,$A:$A,"&gt;="&amp;COUNTIFS($K$1:U$1,"&lt;&gt;"))),0)</f>
        <v>0</v>
      </c>
      <c r="V610">
        <f>IFERROR($J610/IF($A610&lt;COUNTIFS($K$1:V$1,"&lt;&gt;"),0,SUMIFS($J:$J,$B:$B,$B610,$A:$A,"&gt;="&amp;COUNTIFS($K$1:V$1,"&lt;&gt;"))),0)</f>
        <v>0</v>
      </c>
      <c r="W610">
        <f t="shared" si="222"/>
        <v>8.1967213114754092E-2</v>
      </c>
      <c r="X610">
        <f t="shared" si="202"/>
        <v>8.1967213114754092E-2</v>
      </c>
      <c r="Y610">
        <f t="shared" si="203"/>
        <v>8.1967213114754092E-2</v>
      </c>
      <c r="Z610">
        <f t="shared" si="204"/>
        <v>8.1967213114754092E-2</v>
      </c>
      <c r="AA610">
        <f t="shared" si="205"/>
        <v>8.1967213114754092E-2</v>
      </c>
      <c r="AB610">
        <f t="shared" si="206"/>
        <v>8.1967213114754092E-2</v>
      </c>
      <c r="AC610">
        <f t="shared" si="207"/>
        <v>8.1967213114754092E-2</v>
      </c>
      <c r="AD610">
        <f t="shared" si="208"/>
        <v>8.1967213114754092E-2</v>
      </c>
      <c r="AE610">
        <f t="shared" si="209"/>
        <v>8.1967213114754092E-2</v>
      </c>
      <c r="AF610">
        <f t="shared" si="210"/>
        <v>8.1967213114754092E-2</v>
      </c>
      <c r="AG610">
        <f t="shared" si="211"/>
        <v>8.1967213114754092E-2</v>
      </c>
      <c r="AH610">
        <f t="shared" si="212"/>
        <v>0</v>
      </c>
      <c r="AI610">
        <f t="shared" si="213"/>
        <v>0</v>
      </c>
      <c r="AJ610" s="2" t="str">
        <f t="shared" si="223"/>
        <v>1045231</v>
      </c>
    </row>
    <row r="611" spans="1:36" x14ac:dyDescent="0.25">
      <c r="A611">
        <v>11</v>
      </c>
      <c r="B611" s="1">
        <v>45231</v>
      </c>
      <c r="C611" s="1">
        <f t="shared" si="214"/>
        <v>45566</v>
      </c>
      <c r="D611" s="1">
        <f t="shared" si="215"/>
        <v>45245</v>
      </c>
      <c r="E611" s="1">
        <f t="shared" si="216"/>
        <v>45566</v>
      </c>
      <c r="F611" s="1">
        <f t="shared" si="217"/>
        <v>45597</v>
      </c>
      <c r="G611" s="1">
        <f t="shared" si="218"/>
        <v>45611</v>
      </c>
      <c r="H611">
        <f t="shared" si="219"/>
        <v>366</v>
      </c>
      <c r="I611">
        <f t="shared" si="220"/>
        <v>31</v>
      </c>
      <c r="J611">
        <f t="shared" si="221"/>
        <v>8.4699453551912565E-2</v>
      </c>
      <c r="K611">
        <f>IFERROR($J611/IF($A611&lt;COUNTIFS($K$1:K$1,"&lt;&gt;"),0,SUMIFS($J:$J,$B:$B,$B611,$A:$A,"&gt;="&amp;COUNTIFS($K$1:K$1,"&lt;&gt;"))),0)</f>
        <v>8.8571428571428579E-2</v>
      </c>
      <c r="L611">
        <f>IFERROR($J611/IF($A611&lt;COUNTIFS($K$1:L$1,"&lt;&gt;"),0,SUMIFS($J:$J,$B:$B,$B611,$A:$A,"&gt;="&amp;COUNTIFS($K$1:L$1,"&lt;&gt;"))),0)</f>
        <v>9.7178683385579931E-2</v>
      </c>
      <c r="M611">
        <f>IFERROR($J611/IF($A611&lt;COUNTIFS($K$1:M$1,"&lt;&gt;"),0,SUMIFS($J:$J,$B:$B,$B611,$A:$A,"&gt;="&amp;COUNTIFS($K$1:M$1,"&lt;&gt;"))),0)</f>
        <v>0.10763888888888888</v>
      </c>
      <c r="N611">
        <f>IFERROR($J611/IF($A611&lt;COUNTIFS($K$1:N$1,"&lt;&gt;"),0,SUMIFS($J:$J,$B:$B,$B611,$A:$A,"&gt;="&amp;COUNTIFS($K$1:N$1,"&lt;&gt;"))),0)</f>
        <v>0.11969111969111969</v>
      </c>
      <c r="O611">
        <f>IFERROR($J611/IF($A611&lt;COUNTIFS($K$1:O$1,"&lt;&gt;"),0,SUMIFS($J:$J,$B:$B,$B611,$A:$A,"&gt;="&amp;COUNTIFS($K$1:O$1,"&lt;&gt;"))),0)</f>
        <v>0.13596491228070173</v>
      </c>
      <c r="P611">
        <f>IFERROR($J611/IF($A611&lt;COUNTIFS($K$1:P$1,"&lt;&gt;"),0,SUMIFS($J:$J,$B:$B,$B611,$A:$A,"&gt;="&amp;COUNTIFS($K$1:P$1,"&lt;&gt;"))),0)</f>
        <v>0.15656565656565655</v>
      </c>
      <c r="Q611">
        <f>IFERROR($J611/IF($A611&lt;COUNTIFS($K$1:Q$1,"&lt;&gt;"),0,SUMIFS($J:$J,$B:$B,$B611,$A:$A,"&gt;="&amp;COUNTIFS($K$1:Q$1,"&lt;&gt;"))),0)</f>
        <v>0.18562874251497008</v>
      </c>
      <c r="R611">
        <f>IFERROR($J611/IF($A611&lt;COUNTIFS($K$1:R$1,"&lt;&gt;"),0,SUMIFS($J:$J,$B:$B,$B611,$A:$A,"&gt;="&amp;COUNTIFS($K$1:R$1,"&lt;&gt;"))),0)</f>
        <v>0.22627737226277372</v>
      </c>
      <c r="S611">
        <f>IFERROR($J611/IF($A611&lt;COUNTIFS($K$1:S$1,"&lt;&gt;"),0,SUMIFS($J:$J,$B:$B,$B611,$A:$A,"&gt;="&amp;COUNTIFS($K$1:S$1,"&lt;&gt;"))),0)</f>
        <v>0.29245283018867924</v>
      </c>
      <c r="T611">
        <f>IFERROR($J611/IF($A611&lt;COUNTIFS($K$1:T$1,"&lt;&gt;"),0,SUMIFS($J:$J,$B:$B,$B611,$A:$A,"&gt;="&amp;COUNTIFS($K$1:T$1,"&lt;&gt;"))),0)</f>
        <v>0.41333333333333333</v>
      </c>
      <c r="U611">
        <f>IFERROR($J611/IF($A611&lt;COUNTIFS($K$1:U$1,"&lt;&gt;"),0,SUMIFS($J:$J,$B:$B,$B611,$A:$A,"&gt;="&amp;COUNTIFS($K$1:U$1,"&lt;&gt;"))),0)</f>
        <v>0.68888888888888888</v>
      </c>
      <c r="V611">
        <f>IFERROR($J611/IF($A611&lt;COUNTIFS($K$1:V$1,"&lt;&gt;"),0,SUMIFS($J:$J,$B:$B,$B611,$A:$A,"&gt;="&amp;COUNTIFS($K$1:V$1,"&lt;&gt;"))),0)</f>
        <v>0</v>
      </c>
      <c r="W611">
        <f t="shared" si="222"/>
        <v>8.4699453551912565E-2</v>
      </c>
      <c r="X611">
        <f t="shared" si="202"/>
        <v>8.4699453551912565E-2</v>
      </c>
      <c r="Y611">
        <f t="shared" si="203"/>
        <v>8.4699453551912565E-2</v>
      </c>
      <c r="Z611">
        <f t="shared" si="204"/>
        <v>8.4699453551912565E-2</v>
      </c>
      <c r="AA611">
        <f t="shared" si="205"/>
        <v>8.4699453551912565E-2</v>
      </c>
      <c r="AB611">
        <f t="shared" si="206"/>
        <v>8.4699453551912565E-2</v>
      </c>
      <c r="AC611">
        <f t="shared" si="207"/>
        <v>8.4699453551912565E-2</v>
      </c>
      <c r="AD611">
        <f t="shared" si="208"/>
        <v>8.4699453551912565E-2</v>
      </c>
      <c r="AE611">
        <f t="shared" si="209"/>
        <v>8.4699453551912565E-2</v>
      </c>
      <c r="AF611">
        <f t="shared" si="210"/>
        <v>8.4699453551912565E-2</v>
      </c>
      <c r="AG611">
        <f t="shared" si="211"/>
        <v>8.4699453551912565E-2</v>
      </c>
      <c r="AH611">
        <f t="shared" si="212"/>
        <v>8.4699453551912565E-2</v>
      </c>
      <c r="AI611">
        <f t="shared" si="213"/>
        <v>0</v>
      </c>
      <c r="AJ611" s="2" t="str">
        <f t="shared" si="223"/>
        <v>1145231</v>
      </c>
    </row>
    <row r="612" spans="1:36" x14ac:dyDescent="0.25">
      <c r="A612">
        <v>12</v>
      </c>
      <c r="B612" s="1">
        <v>45231</v>
      </c>
      <c r="C612" s="1">
        <f t="shared" si="214"/>
        <v>45597</v>
      </c>
      <c r="D612" s="1">
        <f t="shared" si="215"/>
        <v>45245</v>
      </c>
      <c r="E612" s="1">
        <f t="shared" si="216"/>
        <v>45597</v>
      </c>
      <c r="F612" s="1">
        <f t="shared" si="217"/>
        <v>45611</v>
      </c>
      <c r="G612" s="1">
        <f t="shared" si="218"/>
        <v>45611</v>
      </c>
      <c r="H612">
        <f t="shared" si="219"/>
        <v>366</v>
      </c>
      <c r="I612">
        <f t="shared" si="220"/>
        <v>14</v>
      </c>
      <c r="J612">
        <f t="shared" si="221"/>
        <v>3.825136612021858E-2</v>
      </c>
      <c r="K612">
        <f>IFERROR($J612/IF($A612&lt;COUNTIFS($K$1:K$1,"&lt;&gt;"),0,SUMIFS($J:$J,$B:$B,$B612,$A:$A,"&gt;="&amp;COUNTIFS($K$1:K$1,"&lt;&gt;"))),0)</f>
        <v>0.04</v>
      </c>
      <c r="L612">
        <f>IFERROR($J612/IF($A612&lt;COUNTIFS($K$1:L$1,"&lt;&gt;"),0,SUMIFS($J:$J,$B:$B,$B612,$A:$A,"&gt;="&amp;COUNTIFS($K$1:L$1,"&lt;&gt;"))),0)</f>
        <v>4.3887147335423198E-2</v>
      </c>
      <c r="M612">
        <f>IFERROR($J612/IF($A612&lt;COUNTIFS($K$1:M$1,"&lt;&gt;"),0,SUMIFS($J:$J,$B:$B,$B612,$A:$A,"&gt;="&amp;COUNTIFS($K$1:M$1,"&lt;&gt;"))),0)</f>
        <v>4.8611111111111112E-2</v>
      </c>
      <c r="N612">
        <f>IFERROR($J612/IF($A612&lt;COUNTIFS($K$1:N$1,"&lt;&gt;"),0,SUMIFS($J:$J,$B:$B,$B612,$A:$A,"&gt;="&amp;COUNTIFS($K$1:N$1,"&lt;&gt;"))),0)</f>
        <v>5.4054054054054057E-2</v>
      </c>
      <c r="O612">
        <f>IFERROR($J612/IF($A612&lt;COUNTIFS($K$1:O$1,"&lt;&gt;"),0,SUMIFS($J:$J,$B:$B,$B612,$A:$A,"&gt;="&amp;COUNTIFS($K$1:O$1,"&lt;&gt;"))),0)</f>
        <v>6.1403508771929821E-2</v>
      </c>
      <c r="P612">
        <f>IFERROR($J612/IF($A612&lt;COUNTIFS($K$1:P$1,"&lt;&gt;"),0,SUMIFS($J:$J,$B:$B,$B612,$A:$A,"&gt;="&amp;COUNTIFS($K$1:P$1,"&lt;&gt;"))),0)</f>
        <v>7.0707070707070704E-2</v>
      </c>
      <c r="Q612">
        <f>IFERROR($J612/IF($A612&lt;COUNTIFS($K$1:Q$1,"&lt;&gt;"),0,SUMIFS($J:$J,$B:$B,$B612,$A:$A,"&gt;="&amp;COUNTIFS($K$1:Q$1,"&lt;&gt;"))),0)</f>
        <v>8.3832335329341326E-2</v>
      </c>
      <c r="R612">
        <f>IFERROR($J612/IF($A612&lt;COUNTIFS($K$1:R$1,"&lt;&gt;"),0,SUMIFS($J:$J,$B:$B,$B612,$A:$A,"&gt;="&amp;COUNTIFS($K$1:R$1,"&lt;&gt;"))),0)</f>
        <v>0.10218978102189782</v>
      </c>
      <c r="S612">
        <f>IFERROR($J612/IF($A612&lt;COUNTIFS($K$1:S$1,"&lt;&gt;"),0,SUMIFS($J:$J,$B:$B,$B612,$A:$A,"&gt;="&amp;COUNTIFS($K$1:S$1,"&lt;&gt;"))),0)</f>
        <v>0.13207547169811321</v>
      </c>
      <c r="T612">
        <f>IFERROR($J612/IF($A612&lt;COUNTIFS($K$1:T$1,"&lt;&gt;"),0,SUMIFS($J:$J,$B:$B,$B612,$A:$A,"&gt;="&amp;COUNTIFS($K$1:T$1,"&lt;&gt;"))),0)</f>
        <v>0.18666666666666668</v>
      </c>
      <c r="U612">
        <f>IFERROR($J612/IF($A612&lt;COUNTIFS($K$1:U$1,"&lt;&gt;"),0,SUMIFS($J:$J,$B:$B,$B612,$A:$A,"&gt;="&amp;COUNTIFS($K$1:U$1,"&lt;&gt;"))),0)</f>
        <v>0.31111111111111112</v>
      </c>
      <c r="V612">
        <f>IFERROR($J612/IF($A612&lt;COUNTIFS($K$1:V$1,"&lt;&gt;"),0,SUMIFS($J:$J,$B:$B,$B612,$A:$A,"&gt;="&amp;COUNTIFS($K$1:V$1,"&lt;&gt;"))),0)</f>
        <v>1</v>
      </c>
      <c r="W612">
        <f t="shared" si="222"/>
        <v>3.825136612021858E-2</v>
      </c>
      <c r="X612">
        <f t="shared" si="202"/>
        <v>3.825136612021858E-2</v>
      </c>
      <c r="Y612">
        <f t="shared" si="203"/>
        <v>3.825136612021858E-2</v>
      </c>
      <c r="Z612">
        <f t="shared" si="204"/>
        <v>3.825136612021858E-2</v>
      </c>
      <c r="AA612">
        <f t="shared" si="205"/>
        <v>3.825136612021858E-2</v>
      </c>
      <c r="AB612">
        <f t="shared" si="206"/>
        <v>3.825136612021858E-2</v>
      </c>
      <c r="AC612">
        <f t="shared" si="207"/>
        <v>3.825136612021858E-2</v>
      </c>
      <c r="AD612">
        <f t="shared" si="208"/>
        <v>3.825136612021858E-2</v>
      </c>
      <c r="AE612">
        <f t="shared" si="209"/>
        <v>3.825136612021858E-2</v>
      </c>
      <c r="AF612">
        <f t="shared" si="210"/>
        <v>3.825136612021858E-2</v>
      </c>
      <c r="AG612">
        <f t="shared" si="211"/>
        <v>3.825136612021858E-2</v>
      </c>
      <c r="AH612">
        <f t="shared" si="212"/>
        <v>3.825136612021858E-2</v>
      </c>
      <c r="AI612">
        <f t="shared" si="213"/>
        <v>3.825136612021858E-2</v>
      </c>
      <c r="AJ612" s="2" t="str">
        <f t="shared" si="223"/>
        <v>1245231</v>
      </c>
    </row>
    <row r="613" spans="1:36" x14ac:dyDescent="0.25">
      <c r="A613">
        <v>0</v>
      </c>
      <c r="B613" s="1">
        <v>45261</v>
      </c>
      <c r="C613" s="1">
        <f t="shared" si="214"/>
        <v>45261</v>
      </c>
      <c r="D613" s="1">
        <f t="shared" si="215"/>
        <v>45275</v>
      </c>
      <c r="E613" s="1">
        <f t="shared" si="216"/>
        <v>45275</v>
      </c>
      <c r="F613" s="1">
        <f t="shared" si="217"/>
        <v>45292</v>
      </c>
      <c r="G613" s="1">
        <f t="shared" si="218"/>
        <v>45641</v>
      </c>
      <c r="H613">
        <f t="shared" si="219"/>
        <v>366</v>
      </c>
      <c r="I613">
        <f t="shared" si="220"/>
        <v>17</v>
      </c>
      <c r="J613">
        <f t="shared" si="221"/>
        <v>4.6448087431693992E-2</v>
      </c>
      <c r="K613">
        <f>IFERROR($J613/IF($A613&lt;COUNTIFS($K$1:K$1,"&lt;&gt;"),0,SUMIFS($J:$J,$B:$B,$B613,$A:$A,"&gt;="&amp;COUNTIFS($K$1:K$1,"&lt;&gt;"))),0)</f>
        <v>0</v>
      </c>
      <c r="L613">
        <f>IFERROR($J613/IF($A613&lt;COUNTIFS($K$1:L$1,"&lt;&gt;"),0,SUMIFS($J:$J,$B:$B,$B613,$A:$A,"&gt;="&amp;COUNTIFS($K$1:L$1,"&lt;&gt;"))),0)</f>
        <v>0</v>
      </c>
      <c r="M613">
        <f>IFERROR($J613/IF($A613&lt;COUNTIFS($K$1:M$1,"&lt;&gt;"),0,SUMIFS($J:$J,$B:$B,$B613,$A:$A,"&gt;="&amp;COUNTIFS($K$1:M$1,"&lt;&gt;"))),0)</f>
        <v>0</v>
      </c>
      <c r="N613">
        <f>IFERROR($J613/IF($A613&lt;COUNTIFS($K$1:N$1,"&lt;&gt;"),0,SUMIFS($J:$J,$B:$B,$B613,$A:$A,"&gt;="&amp;COUNTIFS($K$1:N$1,"&lt;&gt;"))),0)</f>
        <v>0</v>
      </c>
      <c r="O613">
        <f>IFERROR($J613/IF($A613&lt;COUNTIFS($K$1:O$1,"&lt;&gt;"),0,SUMIFS($J:$J,$B:$B,$B613,$A:$A,"&gt;="&amp;COUNTIFS($K$1:O$1,"&lt;&gt;"))),0)</f>
        <v>0</v>
      </c>
      <c r="P613">
        <f>IFERROR($J613/IF($A613&lt;COUNTIFS($K$1:P$1,"&lt;&gt;"),0,SUMIFS($J:$J,$B:$B,$B613,$A:$A,"&gt;="&amp;COUNTIFS($K$1:P$1,"&lt;&gt;"))),0)</f>
        <v>0</v>
      </c>
      <c r="Q613">
        <f>IFERROR($J613/IF($A613&lt;COUNTIFS($K$1:Q$1,"&lt;&gt;"),0,SUMIFS($J:$J,$B:$B,$B613,$A:$A,"&gt;="&amp;COUNTIFS($K$1:Q$1,"&lt;&gt;"))),0)</f>
        <v>0</v>
      </c>
      <c r="R613">
        <f>IFERROR($J613/IF($A613&lt;COUNTIFS($K$1:R$1,"&lt;&gt;"),0,SUMIFS($J:$J,$B:$B,$B613,$A:$A,"&gt;="&amp;COUNTIFS($K$1:R$1,"&lt;&gt;"))),0)</f>
        <v>0</v>
      </c>
      <c r="S613">
        <f>IFERROR($J613/IF($A613&lt;COUNTIFS($K$1:S$1,"&lt;&gt;"),0,SUMIFS($J:$J,$B:$B,$B613,$A:$A,"&gt;="&amp;COUNTIFS($K$1:S$1,"&lt;&gt;"))),0)</f>
        <v>0</v>
      </c>
      <c r="T613">
        <f>IFERROR($J613/IF($A613&lt;COUNTIFS($K$1:T$1,"&lt;&gt;"),0,SUMIFS($J:$J,$B:$B,$B613,$A:$A,"&gt;="&amp;COUNTIFS($K$1:T$1,"&lt;&gt;"))),0)</f>
        <v>0</v>
      </c>
      <c r="U613">
        <f>IFERROR($J613/IF($A613&lt;COUNTIFS($K$1:U$1,"&lt;&gt;"),0,SUMIFS($J:$J,$B:$B,$B613,$A:$A,"&gt;="&amp;COUNTIFS($K$1:U$1,"&lt;&gt;"))),0)</f>
        <v>0</v>
      </c>
      <c r="V613">
        <f>IFERROR($J613/IF($A613&lt;COUNTIFS($K$1:V$1,"&lt;&gt;"),0,SUMIFS($J:$J,$B:$B,$B613,$A:$A,"&gt;="&amp;COUNTIFS($K$1:V$1,"&lt;&gt;"))),0)</f>
        <v>0</v>
      </c>
      <c r="W613">
        <f t="shared" si="222"/>
        <v>4.6448087431693992E-2</v>
      </c>
      <c r="X613">
        <f t="shared" si="202"/>
        <v>0</v>
      </c>
      <c r="Y613">
        <f t="shared" si="203"/>
        <v>0</v>
      </c>
      <c r="Z613">
        <f t="shared" si="204"/>
        <v>0</v>
      </c>
      <c r="AA613">
        <f t="shared" si="205"/>
        <v>0</v>
      </c>
      <c r="AB613">
        <f t="shared" si="206"/>
        <v>0</v>
      </c>
      <c r="AC613">
        <f t="shared" si="207"/>
        <v>0</v>
      </c>
      <c r="AD613">
        <f t="shared" si="208"/>
        <v>0</v>
      </c>
      <c r="AE613">
        <f t="shared" si="209"/>
        <v>0</v>
      </c>
      <c r="AF613">
        <f t="shared" si="210"/>
        <v>0</v>
      </c>
      <c r="AG613">
        <f t="shared" si="211"/>
        <v>0</v>
      </c>
      <c r="AH613">
        <f t="shared" si="212"/>
        <v>0</v>
      </c>
      <c r="AI613">
        <f t="shared" si="213"/>
        <v>0</v>
      </c>
      <c r="AJ613" s="2" t="str">
        <f t="shared" si="223"/>
        <v>045261</v>
      </c>
    </row>
    <row r="614" spans="1:36" x14ac:dyDescent="0.25">
      <c r="A614">
        <v>1</v>
      </c>
      <c r="B614" s="1">
        <v>45261</v>
      </c>
      <c r="C614" s="1">
        <f t="shared" si="214"/>
        <v>45292</v>
      </c>
      <c r="D614" s="1">
        <f t="shared" si="215"/>
        <v>45275</v>
      </c>
      <c r="E614" s="1">
        <f t="shared" si="216"/>
        <v>45292</v>
      </c>
      <c r="F614" s="1">
        <f t="shared" si="217"/>
        <v>45323</v>
      </c>
      <c r="G614" s="1">
        <f t="shared" si="218"/>
        <v>45641</v>
      </c>
      <c r="H614">
        <f t="shared" si="219"/>
        <v>366</v>
      </c>
      <c r="I614">
        <f t="shared" si="220"/>
        <v>31</v>
      </c>
      <c r="J614">
        <f t="shared" si="221"/>
        <v>8.4699453551912565E-2</v>
      </c>
      <c r="K614">
        <f>IFERROR($J614/IF($A614&lt;COUNTIFS($K$1:K$1,"&lt;&gt;"),0,SUMIFS($J:$J,$B:$B,$B614,$A:$A,"&gt;="&amp;COUNTIFS($K$1:K$1,"&lt;&gt;"))),0)</f>
        <v>8.882521489971347E-2</v>
      </c>
      <c r="L614">
        <f>IFERROR($J614/IF($A614&lt;COUNTIFS($K$1:L$1,"&lt;&gt;"),0,SUMIFS($J:$J,$B:$B,$B614,$A:$A,"&gt;="&amp;COUNTIFS($K$1:L$1,"&lt;&gt;"))),0)</f>
        <v>0</v>
      </c>
      <c r="M614">
        <f>IFERROR($J614/IF($A614&lt;COUNTIFS($K$1:M$1,"&lt;&gt;"),0,SUMIFS($J:$J,$B:$B,$B614,$A:$A,"&gt;="&amp;COUNTIFS($K$1:M$1,"&lt;&gt;"))),0)</f>
        <v>0</v>
      </c>
      <c r="N614">
        <f>IFERROR($J614/IF($A614&lt;COUNTIFS($K$1:N$1,"&lt;&gt;"),0,SUMIFS($J:$J,$B:$B,$B614,$A:$A,"&gt;="&amp;COUNTIFS($K$1:N$1,"&lt;&gt;"))),0)</f>
        <v>0</v>
      </c>
      <c r="O614">
        <f>IFERROR($J614/IF($A614&lt;COUNTIFS($K$1:O$1,"&lt;&gt;"),0,SUMIFS($J:$J,$B:$B,$B614,$A:$A,"&gt;="&amp;COUNTIFS($K$1:O$1,"&lt;&gt;"))),0)</f>
        <v>0</v>
      </c>
      <c r="P614">
        <f>IFERROR($J614/IF($A614&lt;COUNTIFS($K$1:P$1,"&lt;&gt;"),0,SUMIFS($J:$J,$B:$B,$B614,$A:$A,"&gt;="&amp;COUNTIFS($K$1:P$1,"&lt;&gt;"))),0)</f>
        <v>0</v>
      </c>
      <c r="Q614">
        <f>IFERROR($J614/IF($A614&lt;COUNTIFS($K$1:Q$1,"&lt;&gt;"),0,SUMIFS($J:$J,$B:$B,$B614,$A:$A,"&gt;="&amp;COUNTIFS($K$1:Q$1,"&lt;&gt;"))),0)</f>
        <v>0</v>
      </c>
      <c r="R614">
        <f>IFERROR($J614/IF($A614&lt;COUNTIFS($K$1:R$1,"&lt;&gt;"),0,SUMIFS($J:$J,$B:$B,$B614,$A:$A,"&gt;="&amp;COUNTIFS($K$1:R$1,"&lt;&gt;"))),0)</f>
        <v>0</v>
      </c>
      <c r="S614">
        <f>IFERROR($J614/IF($A614&lt;COUNTIFS($K$1:S$1,"&lt;&gt;"),0,SUMIFS($J:$J,$B:$B,$B614,$A:$A,"&gt;="&amp;COUNTIFS($K$1:S$1,"&lt;&gt;"))),0)</f>
        <v>0</v>
      </c>
      <c r="T614">
        <f>IFERROR($J614/IF($A614&lt;COUNTIFS($K$1:T$1,"&lt;&gt;"),0,SUMIFS($J:$J,$B:$B,$B614,$A:$A,"&gt;="&amp;COUNTIFS($K$1:T$1,"&lt;&gt;"))),0)</f>
        <v>0</v>
      </c>
      <c r="U614">
        <f>IFERROR($J614/IF($A614&lt;COUNTIFS($K$1:U$1,"&lt;&gt;"),0,SUMIFS($J:$J,$B:$B,$B614,$A:$A,"&gt;="&amp;COUNTIFS($K$1:U$1,"&lt;&gt;"))),0)</f>
        <v>0</v>
      </c>
      <c r="V614">
        <f>IFERROR($J614/IF($A614&lt;COUNTIFS($K$1:V$1,"&lt;&gt;"),0,SUMIFS($J:$J,$B:$B,$B614,$A:$A,"&gt;="&amp;COUNTIFS($K$1:V$1,"&lt;&gt;"))),0)</f>
        <v>0</v>
      </c>
      <c r="W614">
        <f t="shared" si="222"/>
        <v>8.4699453551912565E-2</v>
      </c>
      <c r="X614">
        <f t="shared" si="202"/>
        <v>8.4699453551912565E-2</v>
      </c>
      <c r="Y614">
        <f t="shared" si="203"/>
        <v>0</v>
      </c>
      <c r="Z614">
        <f t="shared" si="204"/>
        <v>0</v>
      </c>
      <c r="AA614">
        <f t="shared" si="205"/>
        <v>0</v>
      </c>
      <c r="AB614">
        <f t="shared" si="206"/>
        <v>0</v>
      </c>
      <c r="AC614">
        <f t="shared" si="207"/>
        <v>0</v>
      </c>
      <c r="AD614">
        <f t="shared" si="208"/>
        <v>0</v>
      </c>
      <c r="AE614">
        <f t="shared" si="209"/>
        <v>0</v>
      </c>
      <c r="AF614">
        <f t="shared" si="210"/>
        <v>0</v>
      </c>
      <c r="AG614">
        <f t="shared" si="211"/>
        <v>0</v>
      </c>
      <c r="AH614">
        <f t="shared" si="212"/>
        <v>0</v>
      </c>
      <c r="AI614">
        <f t="shared" si="213"/>
        <v>0</v>
      </c>
      <c r="AJ614" s="2" t="str">
        <f t="shared" si="223"/>
        <v>145261</v>
      </c>
    </row>
    <row r="615" spans="1:36" x14ac:dyDescent="0.25">
      <c r="A615">
        <v>2</v>
      </c>
      <c r="B615" s="1">
        <v>45261</v>
      </c>
      <c r="C615" s="1">
        <f t="shared" si="214"/>
        <v>45323</v>
      </c>
      <c r="D615" s="1">
        <f t="shared" si="215"/>
        <v>45275</v>
      </c>
      <c r="E615" s="1">
        <f t="shared" si="216"/>
        <v>45323</v>
      </c>
      <c r="F615" s="1">
        <f t="shared" si="217"/>
        <v>45352</v>
      </c>
      <c r="G615" s="1">
        <f t="shared" si="218"/>
        <v>45641</v>
      </c>
      <c r="H615">
        <f t="shared" si="219"/>
        <v>366</v>
      </c>
      <c r="I615">
        <f t="shared" si="220"/>
        <v>29</v>
      </c>
      <c r="J615">
        <f t="shared" si="221"/>
        <v>7.9234972677595633E-2</v>
      </c>
      <c r="K615">
        <f>IFERROR($J615/IF($A615&lt;COUNTIFS($K$1:K$1,"&lt;&gt;"),0,SUMIFS($J:$J,$B:$B,$B615,$A:$A,"&gt;="&amp;COUNTIFS($K$1:K$1,"&lt;&gt;"))),0)</f>
        <v>8.3094555873925516E-2</v>
      </c>
      <c r="L615">
        <f>IFERROR($J615/IF($A615&lt;COUNTIFS($K$1:L$1,"&lt;&gt;"),0,SUMIFS($J:$J,$B:$B,$B615,$A:$A,"&gt;="&amp;COUNTIFS($K$1:L$1,"&lt;&gt;"))),0)</f>
        <v>9.1194968553459127E-2</v>
      </c>
      <c r="M615">
        <f>IFERROR($J615/IF($A615&lt;COUNTIFS($K$1:M$1,"&lt;&gt;"),0,SUMIFS($J:$J,$B:$B,$B615,$A:$A,"&gt;="&amp;COUNTIFS($K$1:M$1,"&lt;&gt;"))),0)</f>
        <v>0</v>
      </c>
      <c r="N615">
        <f>IFERROR($J615/IF($A615&lt;COUNTIFS($K$1:N$1,"&lt;&gt;"),0,SUMIFS($J:$J,$B:$B,$B615,$A:$A,"&gt;="&amp;COUNTIFS($K$1:N$1,"&lt;&gt;"))),0)</f>
        <v>0</v>
      </c>
      <c r="O615">
        <f>IFERROR($J615/IF($A615&lt;COUNTIFS($K$1:O$1,"&lt;&gt;"),0,SUMIFS($J:$J,$B:$B,$B615,$A:$A,"&gt;="&amp;COUNTIFS($K$1:O$1,"&lt;&gt;"))),0)</f>
        <v>0</v>
      </c>
      <c r="P615">
        <f>IFERROR($J615/IF($A615&lt;COUNTIFS($K$1:P$1,"&lt;&gt;"),0,SUMIFS($J:$J,$B:$B,$B615,$A:$A,"&gt;="&amp;COUNTIFS($K$1:P$1,"&lt;&gt;"))),0)</f>
        <v>0</v>
      </c>
      <c r="Q615">
        <f>IFERROR($J615/IF($A615&lt;COUNTIFS($K$1:Q$1,"&lt;&gt;"),0,SUMIFS($J:$J,$B:$B,$B615,$A:$A,"&gt;="&amp;COUNTIFS($K$1:Q$1,"&lt;&gt;"))),0)</f>
        <v>0</v>
      </c>
      <c r="R615">
        <f>IFERROR($J615/IF($A615&lt;COUNTIFS($K$1:R$1,"&lt;&gt;"),0,SUMIFS($J:$J,$B:$B,$B615,$A:$A,"&gt;="&amp;COUNTIFS($K$1:R$1,"&lt;&gt;"))),0)</f>
        <v>0</v>
      </c>
      <c r="S615">
        <f>IFERROR($J615/IF($A615&lt;COUNTIFS($K$1:S$1,"&lt;&gt;"),0,SUMIFS($J:$J,$B:$B,$B615,$A:$A,"&gt;="&amp;COUNTIFS($K$1:S$1,"&lt;&gt;"))),0)</f>
        <v>0</v>
      </c>
      <c r="T615">
        <f>IFERROR($J615/IF($A615&lt;COUNTIFS($K$1:T$1,"&lt;&gt;"),0,SUMIFS($J:$J,$B:$B,$B615,$A:$A,"&gt;="&amp;COUNTIFS($K$1:T$1,"&lt;&gt;"))),0)</f>
        <v>0</v>
      </c>
      <c r="U615">
        <f>IFERROR($J615/IF($A615&lt;COUNTIFS($K$1:U$1,"&lt;&gt;"),0,SUMIFS($J:$J,$B:$B,$B615,$A:$A,"&gt;="&amp;COUNTIFS($K$1:U$1,"&lt;&gt;"))),0)</f>
        <v>0</v>
      </c>
      <c r="V615">
        <f>IFERROR($J615/IF($A615&lt;COUNTIFS($K$1:V$1,"&lt;&gt;"),0,SUMIFS($J:$J,$B:$B,$B615,$A:$A,"&gt;="&amp;COUNTIFS($K$1:V$1,"&lt;&gt;"))),0)</f>
        <v>0</v>
      </c>
      <c r="W615">
        <f t="shared" si="222"/>
        <v>7.9234972677595633E-2</v>
      </c>
      <c r="X615">
        <f t="shared" si="202"/>
        <v>7.9234972677595633E-2</v>
      </c>
      <c r="Y615">
        <f t="shared" si="203"/>
        <v>7.9234972677595633E-2</v>
      </c>
      <c r="Z615">
        <f t="shared" si="204"/>
        <v>0</v>
      </c>
      <c r="AA615">
        <f t="shared" si="205"/>
        <v>0</v>
      </c>
      <c r="AB615">
        <f t="shared" si="206"/>
        <v>0</v>
      </c>
      <c r="AC615">
        <f t="shared" si="207"/>
        <v>0</v>
      </c>
      <c r="AD615">
        <f t="shared" si="208"/>
        <v>0</v>
      </c>
      <c r="AE615">
        <f t="shared" si="209"/>
        <v>0</v>
      </c>
      <c r="AF615">
        <f t="shared" si="210"/>
        <v>0</v>
      </c>
      <c r="AG615">
        <f t="shared" si="211"/>
        <v>0</v>
      </c>
      <c r="AH615">
        <f t="shared" si="212"/>
        <v>0</v>
      </c>
      <c r="AI615">
        <f t="shared" si="213"/>
        <v>0</v>
      </c>
      <c r="AJ615" s="2" t="str">
        <f t="shared" si="223"/>
        <v>245261</v>
      </c>
    </row>
    <row r="616" spans="1:36" x14ac:dyDescent="0.25">
      <c r="A616">
        <v>3</v>
      </c>
      <c r="B616" s="1">
        <v>45261</v>
      </c>
      <c r="C616" s="1">
        <f t="shared" si="214"/>
        <v>45352</v>
      </c>
      <c r="D616" s="1">
        <f t="shared" si="215"/>
        <v>45275</v>
      </c>
      <c r="E616" s="1">
        <f t="shared" si="216"/>
        <v>45352</v>
      </c>
      <c r="F616" s="1">
        <f t="shared" si="217"/>
        <v>45383</v>
      </c>
      <c r="G616" s="1">
        <f t="shared" si="218"/>
        <v>45641</v>
      </c>
      <c r="H616">
        <f t="shared" si="219"/>
        <v>366</v>
      </c>
      <c r="I616">
        <f t="shared" si="220"/>
        <v>31</v>
      </c>
      <c r="J616">
        <f t="shared" si="221"/>
        <v>8.4699453551912565E-2</v>
      </c>
      <c r="K616">
        <f>IFERROR($J616/IF($A616&lt;COUNTIFS($K$1:K$1,"&lt;&gt;"),0,SUMIFS($J:$J,$B:$B,$B616,$A:$A,"&gt;="&amp;COUNTIFS($K$1:K$1,"&lt;&gt;"))),0)</f>
        <v>8.882521489971347E-2</v>
      </c>
      <c r="L616">
        <f>IFERROR($J616/IF($A616&lt;COUNTIFS($K$1:L$1,"&lt;&gt;"),0,SUMIFS($J:$J,$B:$B,$B616,$A:$A,"&gt;="&amp;COUNTIFS($K$1:L$1,"&lt;&gt;"))),0)</f>
        <v>9.7484276729559755E-2</v>
      </c>
      <c r="M616">
        <f>IFERROR($J616/IF($A616&lt;COUNTIFS($K$1:M$1,"&lt;&gt;"),0,SUMIFS($J:$J,$B:$B,$B616,$A:$A,"&gt;="&amp;COUNTIFS($K$1:M$1,"&lt;&gt;"))),0)</f>
        <v>0.10726643598615916</v>
      </c>
      <c r="N616">
        <f>IFERROR($J616/IF($A616&lt;COUNTIFS($K$1:N$1,"&lt;&gt;"),0,SUMIFS($J:$J,$B:$B,$B616,$A:$A,"&gt;="&amp;COUNTIFS($K$1:N$1,"&lt;&gt;"))),0)</f>
        <v>0</v>
      </c>
      <c r="O616">
        <f>IFERROR($J616/IF($A616&lt;COUNTIFS($K$1:O$1,"&lt;&gt;"),0,SUMIFS($J:$J,$B:$B,$B616,$A:$A,"&gt;="&amp;COUNTIFS($K$1:O$1,"&lt;&gt;"))),0)</f>
        <v>0</v>
      </c>
      <c r="P616">
        <f>IFERROR($J616/IF($A616&lt;COUNTIFS($K$1:P$1,"&lt;&gt;"),0,SUMIFS($J:$J,$B:$B,$B616,$A:$A,"&gt;="&amp;COUNTIFS($K$1:P$1,"&lt;&gt;"))),0)</f>
        <v>0</v>
      </c>
      <c r="Q616">
        <f>IFERROR($J616/IF($A616&lt;COUNTIFS($K$1:Q$1,"&lt;&gt;"),0,SUMIFS($J:$J,$B:$B,$B616,$A:$A,"&gt;="&amp;COUNTIFS($K$1:Q$1,"&lt;&gt;"))),0)</f>
        <v>0</v>
      </c>
      <c r="R616">
        <f>IFERROR($J616/IF($A616&lt;COUNTIFS($K$1:R$1,"&lt;&gt;"),0,SUMIFS($J:$J,$B:$B,$B616,$A:$A,"&gt;="&amp;COUNTIFS($K$1:R$1,"&lt;&gt;"))),0)</f>
        <v>0</v>
      </c>
      <c r="S616">
        <f>IFERROR($J616/IF($A616&lt;COUNTIFS($K$1:S$1,"&lt;&gt;"),0,SUMIFS($J:$J,$B:$B,$B616,$A:$A,"&gt;="&amp;COUNTIFS($K$1:S$1,"&lt;&gt;"))),0)</f>
        <v>0</v>
      </c>
      <c r="T616">
        <f>IFERROR($J616/IF($A616&lt;COUNTIFS($K$1:T$1,"&lt;&gt;"),0,SUMIFS($J:$J,$B:$B,$B616,$A:$A,"&gt;="&amp;COUNTIFS($K$1:T$1,"&lt;&gt;"))),0)</f>
        <v>0</v>
      </c>
      <c r="U616">
        <f>IFERROR($J616/IF($A616&lt;COUNTIFS($K$1:U$1,"&lt;&gt;"),0,SUMIFS($J:$J,$B:$B,$B616,$A:$A,"&gt;="&amp;COUNTIFS($K$1:U$1,"&lt;&gt;"))),0)</f>
        <v>0</v>
      </c>
      <c r="V616">
        <f>IFERROR($J616/IF($A616&lt;COUNTIFS($K$1:V$1,"&lt;&gt;"),0,SUMIFS($J:$J,$B:$B,$B616,$A:$A,"&gt;="&amp;COUNTIFS($K$1:V$1,"&lt;&gt;"))),0)</f>
        <v>0</v>
      </c>
      <c r="W616">
        <f t="shared" si="222"/>
        <v>8.4699453551912565E-2</v>
      </c>
      <c r="X616">
        <f t="shared" si="202"/>
        <v>8.4699453551912565E-2</v>
      </c>
      <c r="Y616">
        <f t="shared" si="203"/>
        <v>8.4699453551912565E-2</v>
      </c>
      <c r="Z616">
        <f t="shared" si="204"/>
        <v>8.4699453551912565E-2</v>
      </c>
      <c r="AA616">
        <f t="shared" si="205"/>
        <v>0</v>
      </c>
      <c r="AB616">
        <f t="shared" si="206"/>
        <v>0</v>
      </c>
      <c r="AC616">
        <f t="shared" si="207"/>
        <v>0</v>
      </c>
      <c r="AD616">
        <f t="shared" si="208"/>
        <v>0</v>
      </c>
      <c r="AE616">
        <f t="shared" si="209"/>
        <v>0</v>
      </c>
      <c r="AF616">
        <f t="shared" si="210"/>
        <v>0</v>
      </c>
      <c r="AG616">
        <f t="shared" si="211"/>
        <v>0</v>
      </c>
      <c r="AH616">
        <f t="shared" si="212"/>
        <v>0</v>
      </c>
      <c r="AI616">
        <f t="shared" si="213"/>
        <v>0</v>
      </c>
      <c r="AJ616" s="2" t="str">
        <f t="shared" si="223"/>
        <v>345261</v>
      </c>
    </row>
    <row r="617" spans="1:36" x14ac:dyDescent="0.25">
      <c r="A617">
        <v>4</v>
      </c>
      <c r="B617" s="1">
        <v>45261</v>
      </c>
      <c r="C617" s="1">
        <f t="shared" si="214"/>
        <v>45383</v>
      </c>
      <c r="D617" s="1">
        <f t="shared" si="215"/>
        <v>45275</v>
      </c>
      <c r="E617" s="1">
        <f t="shared" si="216"/>
        <v>45383</v>
      </c>
      <c r="F617" s="1">
        <f t="shared" si="217"/>
        <v>45413</v>
      </c>
      <c r="G617" s="1">
        <f t="shared" si="218"/>
        <v>45641</v>
      </c>
      <c r="H617">
        <f t="shared" si="219"/>
        <v>366</v>
      </c>
      <c r="I617">
        <f t="shared" si="220"/>
        <v>30</v>
      </c>
      <c r="J617">
        <f t="shared" si="221"/>
        <v>8.1967213114754092E-2</v>
      </c>
      <c r="K617">
        <f>IFERROR($J617/IF($A617&lt;COUNTIFS($K$1:K$1,"&lt;&gt;"),0,SUMIFS($J:$J,$B:$B,$B617,$A:$A,"&gt;="&amp;COUNTIFS($K$1:K$1,"&lt;&gt;"))),0)</f>
        <v>8.5959885386819479E-2</v>
      </c>
      <c r="L617">
        <f>IFERROR($J617/IF($A617&lt;COUNTIFS($K$1:L$1,"&lt;&gt;"),0,SUMIFS($J:$J,$B:$B,$B617,$A:$A,"&gt;="&amp;COUNTIFS($K$1:L$1,"&lt;&gt;"))),0)</f>
        <v>9.4339622641509427E-2</v>
      </c>
      <c r="M617">
        <f>IFERROR($J617/IF($A617&lt;COUNTIFS($K$1:M$1,"&lt;&gt;"),0,SUMIFS($J:$J,$B:$B,$B617,$A:$A,"&gt;="&amp;COUNTIFS($K$1:M$1,"&lt;&gt;"))),0)</f>
        <v>0.10380622837370242</v>
      </c>
      <c r="N617">
        <f>IFERROR($J617/IF($A617&lt;COUNTIFS($K$1:N$1,"&lt;&gt;"),0,SUMIFS($J:$J,$B:$B,$B617,$A:$A,"&gt;="&amp;COUNTIFS($K$1:N$1,"&lt;&gt;"))),0)</f>
        <v>0.11627906976744184</v>
      </c>
      <c r="O617">
        <f>IFERROR($J617/IF($A617&lt;COUNTIFS($K$1:O$1,"&lt;&gt;"),0,SUMIFS($J:$J,$B:$B,$B617,$A:$A,"&gt;="&amp;COUNTIFS($K$1:O$1,"&lt;&gt;"))),0)</f>
        <v>0</v>
      </c>
      <c r="P617">
        <f>IFERROR($J617/IF($A617&lt;COUNTIFS($K$1:P$1,"&lt;&gt;"),0,SUMIFS($J:$J,$B:$B,$B617,$A:$A,"&gt;="&amp;COUNTIFS($K$1:P$1,"&lt;&gt;"))),0)</f>
        <v>0</v>
      </c>
      <c r="Q617">
        <f>IFERROR($J617/IF($A617&lt;COUNTIFS($K$1:Q$1,"&lt;&gt;"),0,SUMIFS($J:$J,$B:$B,$B617,$A:$A,"&gt;="&amp;COUNTIFS($K$1:Q$1,"&lt;&gt;"))),0)</f>
        <v>0</v>
      </c>
      <c r="R617">
        <f>IFERROR($J617/IF($A617&lt;COUNTIFS($K$1:R$1,"&lt;&gt;"),0,SUMIFS($J:$J,$B:$B,$B617,$A:$A,"&gt;="&amp;COUNTIFS($K$1:R$1,"&lt;&gt;"))),0)</f>
        <v>0</v>
      </c>
      <c r="S617">
        <f>IFERROR($J617/IF($A617&lt;COUNTIFS($K$1:S$1,"&lt;&gt;"),0,SUMIFS($J:$J,$B:$B,$B617,$A:$A,"&gt;="&amp;COUNTIFS($K$1:S$1,"&lt;&gt;"))),0)</f>
        <v>0</v>
      </c>
      <c r="T617">
        <f>IFERROR($J617/IF($A617&lt;COUNTIFS($K$1:T$1,"&lt;&gt;"),0,SUMIFS($J:$J,$B:$B,$B617,$A:$A,"&gt;="&amp;COUNTIFS($K$1:T$1,"&lt;&gt;"))),0)</f>
        <v>0</v>
      </c>
      <c r="U617">
        <f>IFERROR($J617/IF($A617&lt;COUNTIFS($K$1:U$1,"&lt;&gt;"),0,SUMIFS($J:$J,$B:$B,$B617,$A:$A,"&gt;="&amp;COUNTIFS($K$1:U$1,"&lt;&gt;"))),0)</f>
        <v>0</v>
      </c>
      <c r="V617">
        <f>IFERROR($J617/IF($A617&lt;COUNTIFS($K$1:V$1,"&lt;&gt;"),0,SUMIFS($J:$J,$B:$B,$B617,$A:$A,"&gt;="&amp;COUNTIFS($K$1:V$1,"&lt;&gt;"))),0)</f>
        <v>0</v>
      </c>
      <c r="W617">
        <f t="shared" si="222"/>
        <v>8.1967213114754092E-2</v>
      </c>
      <c r="X617">
        <f t="shared" si="202"/>
        <v>8.1967213114754092E-2</v>
      </c>
      <c r="Y617">
        <f t="shared" si="203"/>
        <v>8.1967213114754092E-2</v>
      </c>
      <c r="Z617">
        <f t="shared" si="204"/>
        <v>8.1967213114754092E-2</v>
      </c>
      <c r="AA617">
        <f t="shared" si="205"/>
        <v>8.1967213114754092E-2</v>
      </c>
      <c r="AB617">
        <f t="shared" si="206"/>
        <v>0</v>
      </c>
      <c r="AC617">
        <f t="shared" si="207"/>
        <v>0</v>
      </c>
      <c r="AD617">
        <f t="shared" si="208"/>
        <v>0</v>
      </c>
      <c r="AE617">
        <f t="shared" si="209"/>
        <v>0</v>
      </c>
      <c r="AF617">
        <f t="shared" si="210"/>
        <v>0</v>
      </c>
      <c r="AG617">
        <f t="shared" si="211"/>
        <v>0</v>
      </c>
      <c r="AH617">
        <f t="shared" si="212"/>
        <v>0</v>
      </c>
      <c r="AI617">
        <f t="shared" si="213"/>
        <v>0</v>
      </c>
      <c r="AJ617" s="2" t="str">
        <f t="shared" si="223"/>
        <v>445261</v>
      </c>
    </row>
    <row r="618" spans="1:36" x14ac:dyDescent="0.25">
      <c r="A618">
        <v>5</v>
      </c>
      <c r="B618" s="1">
        <v>45261</v>
      </c>
      <c r="C618" s="1">
        <f t="shared" si="214"/>
        <v>45413</v>
      </c>
      <c r="D618" s="1">
        <f t="shared" si="215"/>
        <v>45275</v>
      </c>
      <c r="E618" s="1">
        <f t="shared" si="216"/>
        <v>45413</v>
      </c>
      <c r="F618" s="1">
        <f t="shared" si="217"/>
        <v>45444</v>
      </c>
      <c r="G618" s="1">
        <f t="shared" si="218"/>
        <v>45641</v>
      </c>
      <c r="H618">
        <f t="shared" si="219"/>
        <v>366</v>
      </c>
      <c r="I618">
        <f t="shared" si="220"/>
        <v>31</v>
      </c>
      <c r="J618">
        <f t="shared" si="221"/>
        <v>8.4699453551912565E-2</v>
      </c>
      <c r="K618">
        <f>IFERROR($J618/IF($A618&lt;COUNTIFS($K$1:K$1,"&lt;&gt;"),0,SUMIFS($J:$J,$B:$B,$B618,$A:$A,"&gt;="&amp;COUNTIFS($K$1:K$1,"&lt;&gt;"))),0)</f>
        <v>8.882521489971347E-2</v>
      </c>
      <c r="L618">
        <f>IFERROR($J618/IF($A618&lt;COUNTIFS($K$1:L$1,"&lt;&gt;"),0,SUMIFS($J:$J,$B:$B,$B618,$A:$A,"&gt;="&amp;COUNTIFS($K$1:L$1,"&lt;&gt;"))),0)</f>
        <v>9.7484276729559755E-2</v>
      </c>
      <c r="M618">
        <f>IFERROR($J618/IF($A618&lt;COUNTIFS($K$1:M$1,"&lt;&gt;"),0,SUMIFS($J:$J,$B:$B,$B618,$A:$A,"&gt;="&amp;COUNTIFS($K$1:M$1,"&lt;&gt;"))),0)</f>
        <v>0.10726643598615916</v>
      </c>
      <c r="N618">
        <f>IFERROR($J618/IF($A618&lt;COUNTIFS($K$1:N$1,"&lt;&gt;"),0,SUMIFS($J:$J,$B:$B,$B618,$A:$A,"&gt;="&amp;COUNTIFS($K$1:N$1,"&lt;&gt;"))),0)</f>
        <v>0.12015503875968991</v>
      </c>
      <c r="O618">
        <f>IFERROR($J618/IF($A618&lt;COUNTIFS($K$1:O$1,"&lt;&gt;"),0,SUMIFS($J:$J,$B:$B,$B618,$A:$A,"&gt;="&amp;COUNTIFS($K$1:O$1,"&lt;&gt;"))),0)</f>
        <v>0.13596491228070173</v>
      </c>
      <c r="P618">
        <f>IFERROR($J618/IF($A618&lt;COUNTIFS($K$1:P$1,"&lt;&gt;"),0,SUMIFS($J:$J,$B:$B,$B618,$A:$A,"&gt;="&amp;COUNTIFS($K$1:P$1,"&lt;&gt;"))),0)</f>
        <v>0</v>
      </c>
      <c r="Q618">
        <f>IFERROR($J618/IF($A618&lt;COUNTIFS($K$1:Q$1,"&lt;&gt;"),0,SUMIFS($J:$J,$B:$B,$B618,$A:$A,"&gt;="&amp;COUNTIFS($K$1:Q$1,"&lt;&gt;"))),0)</f>
        <v>0</v>
      </c>
      <c r="R618">
        <f>IFERROR($J618/IF($A618&lt;COUNTIFS($K$1:R$1,"&lt;&gt;"),0,SUMIFS($J:$J,$B:$B,$B618,$A:$A,"&gt;="&amp;COUNTIFS($K$1:R$1,"&lt;&gt;"))),0)</f>
        <v>0</v>
      </c>
      <c r="S618">
        <f>IFERROR($J618/IF($A618&lt;COUNTIFS($K$1:S$1,"&lt;&gt;"),0,SUMIFS($J:$J,$B:$B,$B618,$A:$A,"&gt;="&amp;COUNTIFS($K$1:S$1,"&lt;&gt;"))),0)</f>
        <v>0</v>
      </c>
      <c r="T618">
        <f>IFERROR($J618/IF($A618&lt;COUNTIFS($K$1:T$1,"&lt;&gt;"),0,SUMIFS($J:$J,$B:$B,$B618,$A:$A,"&gt;="&amp;COUNTIFS($K$1:T$1,"&lt;&gt;"))),0)</f>
        <v>0</v>
      </c>
      <c r="U618">
        <f>IFERROR($J618/IF($A618&lt;COUNTIFS($K$1:U$1,"&lt;&gt;"),0,SUMIFS($J:$J,$B:$B,$B618,$A:$A,"&gt;="&amp;COUNTIFS($K$1:U$1,"&lt;&gt;"))),0)</f>
        <v>0</v>
      </c>
      <c r="V618">
        <f>IFERROR($J618/IF($A618&lt;COUNTIFS($K$1:V$1,"&lt;&gt;"),0,SUMIFS($J:$J,$B:$B,$B618,$A:$A,"&gt;="&amp;COUNTIFS($K$1:V$1,"&lt;&gt;"))),0)</f>
        <v>0</v>
      </c>
      <c r="W618">
        <f t="shared" si="222"/>
        <v>8.4699453551912565E-2</v>
      </c>
      <c r="X618">
        <f t="shared" si="202"/>
        <v>8.4699453551912565E-2</v>
      </c>
      <c r="Y618">
        <f t="shared" si="203"/>
        <v>8.4699453551912565E-2</v>
      </c>
      <c r="Z618">
        <f t="shared" si="204"/>
        <v>8.4699453551912565E-2</v>
      </c>
      <c r="AA618">
        <f t="shared" si="205"/>
        <v>8.4699453551912565E-2</v>
      </c>
      <c r="AB618">
        <f t="shared" si="206"/>
        <v>8.4699453551912565E-2</v>
      </c>
      <c r="AC618">
        <f t="shared" si="207"/>
        <v>0</v>
      </c>
      <c r="AD618">
        <f t="shared" si="208"/>
        <v>0</v>
      </c>
      <c r="AE618">
        <f t="shared" si="209"/>
        <v>0</v>
      </c>
      <c r="AF618">
        <f t="shared" si="210"/>
        <v>0</v>
      </c>
      <c r="AG618">
        <f t="shared" si="211"/>
        <v>0</v>
      </c>
      <c r="AH618">
        <f t="shared" si="212"/>
        <v>0</v>
      </c>
      <c r="AI618">
        <f t="shared" si="213"/>
        <v>0</v>
      </c>
      <c r="AJ618" s="2" t="str">
        <f t="shared" si="223"/>
        <v>545261</v>
      </c>
    </row>
    <row r="619" spans="1:36" x14ac:dyDescent="0.25">
      <c r="A619">
        <v>6</v>
      </c>
      <c r="B619" s="1">
        <v>45261</v>
      </c>
      <c r="C619" s="1">
        <f t="shared" si="214"/>
        <v>45444</v>
      </c>
      <c r="D619" s="1">
        <f t="shared" si="215"/>
        <v>45275</v>
      </c>
      <c r="E619" s="1">
        <f t="shared" si="216"/>
        <v>45444</v>
      </c>
      <c r="F619" s="1">
        <f t="shared" si="217"/>
        <v>45474</v>
      </c>
      <c r="G619" s="1">
        <f t="shared" si="218"/>
        <v>45641</v>
      </c>
      <c r="H619">
        <f t="shared" si="219"/>
        <v>366</v>
      </c>
      <c r="I619">
        <f t="shared" si="220"/>
        <v>30</v>
      </c>
      <c r="J619">
        <f t="shared" si="221"/>
        <v>8.1967213114754092E-2</v>
      </c>
      <c r="K619">
        <f>IFERROR($J619/IF($A619&lt;COUNTIFS($K$1:K$1,"&lt;&gt;"),0,SUMIFS($J:$J,$B:$B,$B619,$A:$A,"&gt;="&amp;COUNTIFS($K$1:K$1,"&lt;&gt;"))),0)</f>
        <v>8.5959885386819479E-2</v>
      </c>
      <c r="L619">
        <f>IFERROR($J619/IF($A619&lt;COUNTIFS($K$1:L$1,"&lt;&gt;"),0,SUMIFS($J:$J,$B:$B,$B619,$A:$A,"&gt;="&amp;COUNTIFS($K$1:L$1,"&lt;&gt;"))),0)</f>
        <v>9.4339622641509427E-2</v>
      </c>
      <c r="M619">
        <f>IFERROR($J619/IF($A619&lt;COUNTIFS($K$1:M$1,"&lt;&gt;"),0,SUMIFS($J:$J,$B:$B,$B619,$A:$A,"&gt;="&amp;COUNTIFS($K$1:M$1,"&lt;&gt;"))),0)</f>
        <v>0.10380622837370242</v>
      </c>
      <c r="N619">
        <f>IFERROR($J619/IF($A619&lt;COUNTIFS($K$1:N$1,"&lt;&gt;"),0,SUMIFS($J:$J,$B:$B,$B619,$A:$A,"&gt;="&amp;COUNTIFS($K$1:N$1,"&lt;&gt;"))),0)</f>
        <v>0.11627906976744184</v>
      </c>
      <c r="O619">
        <f>IFERROR($J619/IF($A619&lt;COUNTIFS($K$1:O$1,"&lt;&gt;"),0,SUMIFS($J:$J,$B:$B,$B619,$A:$A,"&gt;="&amp;COUNTIFS($K$1:O$1,"&lt;&gt;"))),0)</f>
        <v>0.13157894736842105</v>
      </c>
      <c r="P619">
        <f>IFERROR($J619/IF($A619&lt;COUNTIFS($K$1:P$1,"&lt;&gt;"),0,SUMIFS($J:$J,$B:$B,$B619,$A:$A,"&gt;="&amp;COUNTIFS($K$1:P$1,"&lt;&gt;"))),0)</f>
        <v>0.15228426395939088</v>
      </c>
      <c r="Q619">
        <f>IFERROR($J619/IF($A619&lt;COUNTIFS($K$1:Q$1,"&lt;&gt;"),0,SUMIFS($J:$J,$B:$B,$B619,$A:$A,"&gt;="&amp;COUNTIFS($K$1:Q$1,"&lt;&gt;"))),0)</f>
        <v>0</v>
      </c>
      <c r="R619">
        <f>IFERROR($J619/IF($A619&lt;COUNTIFS($K$1:R$1,"&lt;&gt;"),0,SUMIFS($J:$J,$B:$B,$B619,$A:$A,"&gt;="&amp;COUNTIFS($K$1:R$1,"&lt;&gt;"))),0)</f>
        <v>0</v>
      </c>
      <c r="S619">
        <f>IFERROR($J619/IF($A619&lt;COUNTIFS($K$1:S$1,"&lt;&gt;"),0,SUMIFS($J:$J,$B:$B,$B619,$A:$A,"&gt;="&amp;COUNTIFS($K$1:S$1,"&lt;&gt;"))),0)</f>
        <v>0</v>
      </c>
      <c r="T619">
        <f>IFERROR($J619/IF($A619&lt;COUNTIFS($K$1:T$1,"&lt;&gt;"),0,SUMIFS($J:$J,$B:$B,$B619,$A:$A,"&gt;="&amp;COUNTIFS($K$1:T$1,"&lt;&gt;"))),0)</f>
        <v>0</v>
      </c>
      <c r="U619">
        <f>IFERROR($J619/IF($A619&lt;COUNTIFS($K$1:U$1,"&lt;&gt;"),0,SUMIFS($J:$J,$B:$B,$B619,$A:$A,"&gt;="&amp;COUNTIFS($K$1:U$1,"&lt;&gt;"))),0)</f>
        <v>0</v>
      </c>
      <c r="V619">
        <f>IFERROR($J619/IF($A619&lt;COUNTIFS($K$1:V$1,"&lt;&gt;"),0,SUMIFS($J:$J,$B:$B,$B619,$A:$A,"&gt;="&amp;COUNTIFS($K$1:V$1,"&lt;&gt;"))),0)</f>
        <v>0</v>
      </c>
      <c r="W619">
        <f t="shared" si="222"/>
        <v>8.1967213114754092E-2</v>
      </c>
      <c r="X619">
        <f t="shared" si="202"/>
        <v>8.1967213114754092E-2</v>
      </c>
      <c r="Y619">
        <f t="shared" si="203"/>
        <v>8.1967213114754092E-2</v>
      </c>
      <c r="Z619">
        <f t="shared" si="204"/>
        <v>8.1967213114754092E-2</v>
      </c>
      <c r="AA619">
        <f t="shared" si="205"/>
        <v>8.1967213114754092E-2</v>
      </c>
      <c r="AB619">
        <f t="shared" si="206"/>
        <v>8.1967213114754092E-2</v>
      </c>
      <c r="AC619">
        <f t="shared" si="207"/>
        <v>8.1967213114754092E-2</v>
      </c>
      <c r="AD619">
        <f t="shared" si="208"/>
        <v>0</v>
      </c>
      <c r="AE619">
        <f t="shared" si="209"/>
        <v>0</v>
      </c>
      <c r="AF619">
        <f t="shared" si="210"/>
        <v>0</v>
      </c>
      <c r="AG619">
        <f t="shared" si="211"/>
        <v>0</v>
      </c>
      <c r="AH619">
        <f t="shared" si="212"/>
        <v>0</v>
      </c>
      <c r="AI619">
        <f t="shared" si="213"/>
        <v>0</v>
      </c>
      <c r="AJ619" s="2" t="str">
        <f t="shared" si="223"/>
        <v>645261</v>
      </c>
    </row>
    <row r="620" spans="1:36" x14ac:dyDescent="0.25">
      <c r="A620">
        <v>7</v>
      </c>
      <c r="B620" s="1">
        <v>45261</v>
      </c>
      <c r="C620" s="1">
        <f t="shared" si="214"/>
        <v>45474</v>
      </c>
      <c r="D620" s="1">
        <f t="shared" si="215"/>
        <v>45275</v>
      </c>
      <c r="E620" s="1">
        <f t="shared" si="216"/>
        <v>45474</v>
      </c>
      <c r="F620" s="1">
        <f t="shared" si="217"/>
        <v>45505</v>
      </c>
      <c r="G620" s="1">
        <f t="shared" si="218"/>
        <v>45641</v>
      </c>
      <c r="H620">
        <f t="shared" si="219"/>
        <v>366</v>
      </c>
      <c r="I620">
        <f t="shared" si="220"/>
        <v>31</v>
      </c>
      <c r="J620">
        <f t="shared" si="221"/>
        <v>8.4699453551912565E-2</v>
      </c>
      <c r="K620">
        <f>IFERROR($J620/IF($A620&lt;COUNTIFS($K$1:K$1,"&lt;&gt;"),0,SUMIFS($J:$J,$B:$B,$B620,$A:$A,"&gt;="&amp;COUNTIFS($K$1:K$1,"&lt;&gt;"))),0)</f>
        <v>8.882521489971347E-2</v>
      </c>
      <c r="L620">
        <f>IFERROR($J620/IF($A620&lt;COUNTIFS($K$1:L$1,"&lt;&gt;"),0,SUMIFS($J:$J,$B:$B,$B620,$A:$A,"&gt;="&amp;COUNTIFS($K$1:L$1,"&lt;&gt;"))),0)</f>
        <v>9.7484276729559755E-2</v>
      </c>
      <c r="M620">
        <f>IFERROR($J620/IF($A620&lt;COUNTIFS($K$1:M$1,"&lt;&gt;"),0,SUMIFS($J:$J,$B:$B,$B620,$A:$A,"&gt;="&amp;COUNTIFS($K$1:M$1,"&lt;&gt;"))),0)</f>
        <v>0.10726643598615916</v>
      </c>
      <c r="N620">
        <f>IFERROR($J620/IF($A620&lt;COUNTIFS($K$1:N$1,"&lt;&gt;"),0,SUMIFS($J:$J,$B:$B,$B620,$A:$A,"&gt;="&amp;COUNTIFS($K$1:N$1,"&lt;&gt;"))),0)</f>
        <v>0.12015503875968991</v>
      </c>
      <c r="O620">
        <f>IFERROR($J620/IF($A620&lt;COUNTIFS($K$1:O$1,"&lt;&gt;"),0,SUMIFS($J:$J,$B:$B,$B620,$A:$A,"&gt;="&amp;COUNTIFS($K$1:O$1,"&lt;&gt;"))),0)</f>
        <v>0.13596491228070173</v>
      </c>
      <c r="P620">
        <f>IFERROR($J620/IF($A620&lt;COUNTIFS($K$1:P$1,"&lt;&gt;"),0,SUMIFS($J:$J,$B:$B,$B620,$A:$A,"&gt;="&amp;COUNTIFS($K$1:P$1,"&lt;&gt;"))),0)</f>
        <v>0.15736040609137059</v>
      </c>
      <c r="Q620">
        <f>IFERROR($J620/IF($A620&lt;COUNTIFS($K$1:Q$1,"&lt;&gt;"),0,SUMIFS($J:$J,$B:$B,$B620,$A:$A,"&gt;="&amp;COUNTIFS($K$1:Q$1,"&lt;&gt;"))),0)</f>
        <v>0.18562874251497008</v>
      </c>
      <c r="R620">
        <f>IFERROR($J620/IF($A620&lt;COUNTIFS($K$1:R$1,"&lt;&gt;"),0,SUMIFS($J:$J,$B:$B,$B620,$A:$A,"&gt;="&amp;COUNTIFS($K$1:R$1,"&lt;&gt;"))),0)</f>
        <v>0</v>
      </c>
      <c r="S620">
        <f>IFERROR($J620/IF($A620&lt;COUNTIFS($K$1:S$1,"&lt;&gt;"),0,SUMIFS($J:$J,$B:$B,$B620,$A:$A,"&gt;="&amp;COUNTIFS($K$1:S$1,"&lt;&gt;"))),0)</f>
        <v>0</v>
      </c>
      <c r="T620">
        <f>IFERROR($J620/IF($A620&lt;COUNTIFS($K$1:T$1,"&lt;&gt;"),0,SUMIFS($J:$J,$B:$B,$B620,$A:$A,"&gt;="&amp;COUNTIFS($K$1:T$1,"&lt;&gt;"))),0)</f>
        <v>0</v>
      </c>
      <c r="U620">
        <f>IFERROR($J620/IF($A620&lt;COUNTIFS($K$1:U$1,"&lt;&gt;"),0,SUMIFS($J:$J,$B:$B,$B620,$A:$A,"&gt;="&amp;COUNTIFS($K$1:U$1,"&lt;&gt;"))),0)</f>
        <v>0</v>
      </c>
      <c r="V620">
        <f>IFERROR($J620/IF($A620&lt;COUNTIFS($K$1:V$1,"&lt;&gt;"),0,SUMIFS($J:$J,$B:$B,$B620,$A:$A,"&gt;="&amp;COUNTIFS($K$1:V$1,"&lt;&gt;"))),0)</f>
        <v>0</v>
      </c>
      <c r="W620">
        <f t="shared" si="222"/>
        <v>8.4699453551912565E-2</v>
      </c>
      <c r="X620">
        <f t="shared" si="202"/>
        <v>8.4699453551912565E-2</v>
      </c>
      <c r="Y620">
        <f t="shared" si="203"/>
        <v>8.4699453551912565E-2</v>
      </c>
      <c r="Z620">
        <f t="shared" si="204"/>
        <v>8.4699453551912565E-2</v>
      </c>
      <c r="AA620">
        <f t="shared" si="205"/>
        <v>8.4699453551912565E-2</v>
      </c>
      <c r="AB620">
        <f t="shared" si="206"/>
        <v>8.4699453551912565E-2</v>
      </c>
      <c r="AC620">
        <f t="shared" si="207"/>
        <v>8.4699453551912565E-2</v>
      </c>
      <c r="AD620">
        <f t="shared" si="208"/>
        <v>8.4699453551912565E-2</v>
      </c>
      <c r="AE620">
        <f t="shared" si="209"/>
        <v>0</v>
      </c>
      <c r="AF620">
        <f t="shared" si="210"/>
        <v>0</v>
      </c>
      <c r="AG620">
        <f t="shared" si="211"/>
        <v>0</v>
      </c>
      <c r="AH620">
        <f t="shared" si="212"/>
        <v>0</v>
      </c>
      <c r="AI620">
        <f t="shared" si="213"/>
        <v>0</v>
      </c>
      <c r="AJ620" s="2" t="str">
        <f t="shared" si="223"/>
        <v>745261</v>
      </c>
    </row>
    <row r="621" spans="1:36" x14ac:dyDescent="0.25">
      <c r="A621">
        <v>8</v>
      </c>
      <c r="B621" s="1">
        <v>45261</v>
      </c>
      <c r="C621" s="1">
        <f t="shared" si="214"/>
        <v>45505</v>
      </c>
      <c r="D621" s="1">
        <f t="shared" si="215"/>
        <v>45275</v>
      </c>
      <c r="E621" s="1">
        <f t="shared" si="216"/>
        <v>45505</v>
      </c>
      <c r="F621" s="1">
        <f t="shared" si="217"/>
        <v>45536</v>
      </c>
      <c r="G621" s="1">
        <f t="shared" si="218"/>
        <v>45641</v>
      </c>
      <c r="H621">
        <f t="shared" si="219"/>
        <v>366</v>
      </c>
      <c r="I621">
        <f t="shared" si="220"/>
        <v>31</v>
      </c>
      <c r="J621">
        <f t="shared" si="221"/>
        <v>8.4699453551912565E-2</v>
      </c>
      <c r="K621">
        <f>IFERROR($J621/IF($A621&lt;COUNTIFS($K$1:K$1,"&lt;&gt;"),0,SUMIFS($J:$J,$B:$B,$B621,$A:$A,"&gt;="&amp;COUNTIFS($K$1:K$1,"&lt;&gt;"))),0)</f>
        <v>8.882521489971347E-2</v>
      </c>
      <c r="L621">
        <f>IFERROR($J621/IF($A621&lt;COUNTIFS($K$1:L$1,"&lt;&gt;"),0,SUMIFS($J:$J,$B:$B,$B621,$A:$A,"&gt;="&amp;COUNTIFS($K$1:L$1,"&lt;&gt;"))),0)</f>
        <v>9.7484276729559755E-2</v>
      </c>
      <c r="M621">
        <f>IFERROR($J621/IF($A621&lt;COUNTIFS($K$1:M$1,"&lt;&gt;"),0,SUMIFS($J:$J,$B:$B,$B621,$A:$A,"&gt;="&amp;COUNTIFS($K$1:M$1,"&lt;&gt;"))),0)</f>
        <v>0.10726643598615916</v>
      </c>
      <c r="N621">
        <f>IFERROR($J621/IF($A621&lt;COUNTIFS($K$1:N$1,"&lt;&gt;"),0,SUMIFS($J:$J,$B:$B,$B621,$A:$A,"&gt;="&amp;COUNTIFS($K$1:N$1,"&lt;&gt;"))),0)</f>
        <v>0.12015503875968991</v>
      </c>
      <c r="O621">
        <f>IFERROR($J621/IF($A621&lt;COUNTIFS($K$1:O$1,"&lt;&gt;"),0,SUMIFS($J:$J,$B:$B,$B621,$A:$A,"&gt;="&amp;COUNTIFS($K$1:O$1,"&lt;&gt;"))),0)</f>
        <v>0.13596491228070173</v>
      </c>
      <c r="P621">
        <f>IFERROR($J621/IF($A621&lt;COUNTIFS($K$1:P$1,"&lt;&gt;"),0,SUMIFS($J:$J,$B:$B,$B621,$A:$A,"&gt;="&amp;COUNTIFS($K$1:P$1,"&lt;&gt;"))),0)</f>
        <v>0.15736040609137059</v>
      </c>
      <c r="Q621">
        <f>IFERROR($J621/IF($A621&lt;COUNTIFS($K$1:Q$1,"&lt;&gt;"),0,SUMIFS($J:$J,$B:$B,$B621,$A:$A,"&gt;="&amp;COUNTIFS($K$1:Q$1,"&lt;&gt;"))),0)</f>
        <v>0.18562874251497008</v>
      </c>
      <c r="R621">
        <f>IFERROR($J621/IF($A621&lt;COUNTIFS($K$1:R$1,"&lt;&gt;"),0,SUMIFS($J:$J,$B:$B,$B621,$A:$A,"&gt;="&amp;COUNTIFS($K$1:R$1,"&lt;&gt;"))),0)</f>
        <v>0.22794117647058826</v>
      </c>
      <c r="S621">
        <f>IFERROR($J621/IF($A621&lt;COUNTIFS($K$1:S$1,"&lt;&gt;"),0,SUMIFS($J:$J,$B:$B,$B621,$A:$A,"&gt;="&amp;COUNTIFS($K$1:S$1,"&lt;&gt;"))),0)</f>
        <v>0</v>
      </c>
      <c r="T621">
        <f>IFERROR($J621/IF($A621&lt;COUNTIFS($K$1:T$1,"&lt;&gt;"),0,SUMIFS($J:$J,$B:$B,$B621,$A:$A,"&gt;="&amp;COUNTIFS($K$1:T$1,"&lt;&gt;"))),0)</f>
        <v>0</v>
      </c>
      <c r="U621">
        <f>IFERROR($J621/IF($A621&lt;COUNTIFS($K$1:U$1,"&lt;&gt;"),0,SUMIFS($J:$J,$B:$B,$B621,$A:$A,"&gt;="&amp;COUNTIFS($K$1:U$1,"&lt;&gt;"))),0)</f>
        <v>0</v>
      </c>
      <c r="V621">
        <f>IFERROR($J621/IF($A621&lt;COUNTIFS($K$1:V$1,"&lt;&gt;"),0,SUMIFS($J:$J,$B:$B,$B621,$A:$A,"&gt;="&amp;COUNTIFS($K$1:V$1,"&lt;&gt;"))),0)</f>
        <v>0</v>
      </c>
      <c r="W621">
        <f t="shared" si="222"/>
        <v>8.4699453551912565E-2</v>
      </c>
      <c r="X621">
        <f t="shared" si="202"/>
        <v>8.4699453551912565E-2</v>
      </c>
      <c r="Y621">
        <f t="shared" si="203"/>
        <v>8.4699453551912565E-2</v>
      </c>
      <c r="Z621">
        <f t="shared" si="204"/>
        <v>8.4699453551912565E-2</v>
      </c>
      <c r="AA621">
        <f t="shared" si="205"/>
        <v>8.4699453551912565E-2</v>
      </c>
      <c r="AB621">
        <f t="shared" si="206"/>
        <v>8.4699453551912565E-2</v>
      </c>
      <c r="AC621">
        <f t="shared" si="207"/>
        <v>8.4699453551912565E-2</v>
      </c>
      <c r="AD621">
        <f t="shared" si="208"/>
        <v>8.4699453551912565E-2</v>
      </c>
      <c r="AE621">
        <f t="shared" si="209"/>
        <v>8.4699453551912565E-2</v>
      </c>
      <c r="AF621">
        <f t="shared" si="210"/>
        <v>0</v>
      </c>
      <c r="AG621">
        <f t="shared" si="211"/>
        <v>0</v>
      </c>
      <c r="AH621">
        <f t="shared" si="212"/>
        <v>0</v>
      </c>
      <c r="AI621">
        <f t="shared" si="213"/>
        <v>0</v>
      </c>
      <c r="AJ621" s="2" t="str">
        <f t="shared" si="223"/>
        <v>845261</v>
      </c>
    </row>
    <row r="622" spans="1:36" x14ac:dyDescent="0.25">
      <c r="A622">
        <v>9</v>
      </c>
      <c r="B622" s="1">
        <v>45261</v>
      </c>
      <c r="C622" s="1">
        <f t="shared" si="214"/>
        <v>45536</v>
      </c>
      <c r="D622" s="1">
        <f t="shared" si="215"/>
        <v>45275</v>
      </c>
      <c r="E622" s="1">
        <f t="shared" si="216"/>
        <v>45536</v>
      </c>
      <c r="F622" s="1">
        <f t="shared" si="217"/>
        <v>45566</v>
      </c>
      <c r="G622" s="1">
        <f t="shared" si="218"/>
        <v>45641</v>
      </c>
      <c r="H622">
        <f t="shared" si="219"/>
        <v>366</v>
      </c>
      <c r="I622">
        <f t="shared" si="220"/>
        <v>30</v>
      </c>
      <c r="J622">
        <f t="shared" si="221"/>
        <v>8.1967213114754092E-2</v>
      </c>
      <c r="K622">
        <f>IFERROR($J622/IF($A622&lt;COUNTIFS($K$1:K$1,"&lt;&gt;"),0,SUMIFS($J:$J,$B:$B,$B622,$A:$A,"&gt;="&amp;COUNTIFS($K$1:K$1,"&lt;&gt;"))),0)</f>
        <v>8.5959885386819479E-2</v>
      </c>
      <c r="L622">
        <f>IFERROR($J622/IF($A622&lt;COUNTIFS($K$1:L$1,"&lt;&gt;"),0,SUMIFS($J:$J,$B:$B,$B622,$A:$A,"&gt;="&amp;COUNTIFS($K$1:L$1,"&lt;&gt;"))),0)</f>
        <v>9.4339622641509427E-2</v>
      </c>
      <c r="M622">
        <f>IFERROR($J622/IF($A622&lt;COUNTIFS($K$1:M$1,"&lt;&gt;"),0,SUMIFS($J:$J,$B:$B,$B622,$A:$A,"&gt;="&amp;COUNTIFS($K$1:M$1,"&lt;&gt;"))),0)</f>
        <v>0.10380622837370242</v>
      </c>
      <c r="N622">
        <f>IFERROR($J622/IF($A622&lt;COUNTIFS($K$1:N$1,"&lt;&gt;"),0,SUMIFS($J:$J,$B:$B,$B622,$A:$A,"&gt;="&amp;COUNTIFS($K$1:N$1,"&lt;&gt;"))),0)</f>
        <v>0.11627906976744184</v>
      </c>
      <c r="O622">
        <f>IFERROR($J622/IF($A622&lt;COUNTIFS($K$1:O$1,"&lt;&gt;"),0,SUMIFS($J:$J,$B:$B,$B622,$A:$A,"&gt;="&amp;COUNTIFS($K$1:O$1,"&lt;&gt;"))),0)</f>
        <v>0.13157894736842105</v>
      </c>
      <c r="P622">
        <f>IFERROR($J622/IF($A622&lt;COUNTIFS($K$1:P$1,"&lt;&gt;"),0,SUMIFS($J:$J,$B:$B,$B622,$A:$A,"&gt;="&amp;COUNTIFS($K$1:P$1,"&lt;&gt;"))),0)</f>
        <v>0.15228426395939088</v>
      </c>
      <c r="Q622">
        <f>IFERROR($J622/IF($A622&lt;COUNTIFS($K$1:Q$1,"&lt;&gt;"),0,SUMIFS($J:$J,$B:$B,$B622,$A:$A,"&gt;="&amp;COUNTIFS($K$1:Q$1,"&lt;&gt;"))),0)</f>
        <v>0.17964071856287425</v>
      </c>
      <c r="R622">
        <f>IFERROR($J622/IF($A622&lt;COUNTIFS($K$1:R$1,"&lt;&gt;"),0,SUMIFS($J:$J,$B:$B,$B622,$A:$A,"&gt;="&amp;COUNTIFS($K$1:R$1,"&lt;&gt;"))),0)</f>
        <v>0.22058823529411764</v>
      </c>
      <c r="S622">
        <f>IFERROR($J622/IF($A622&lt;COUNTIFS($K$1:S$1,"&lt;&gt;"),0,SUMIFS($J:$J,$B:$B,$B622,$A:$A,"&gt;="&amp;COUNTIFS($K$1:S$1,"&lt;&gt;"))),0)</f>
        <v>0.2857142857142857</v>
      </c>
      <c r="T622">
        <f>IFERROR($J622/IF($A622&lt;COUNTIFS($K$1:T$1,"&lt;&gt;"),0,SUMIFS($J:$J,$B:$B,$B622,$A:$A,"&gt;="&amp;COUNTIFS($K$1:T$1,"&lt;&gt;"))),0)</f>
        <v>0</v>
      </c>
      <c r="U622">
        <f>IFERROR($J622/IF($A622&lt;COUNTIFS($K$1:U$1,"&lt;&gt;"),0,SUMIFS($J:$J,$B:$B,$B622,$A:$A,"&gt;="&amp;COUNTIFS($K$1:U$1,"&lt;&gt;"))),0)</f>
        <v>0</v>
      </c>
      <c r="V622">
        <f>IFERROR($J622/IF($A622&lt;COUNTIFS($K$1:V$1,"&lt;&gt;"),0,SUMIFS($J:$J,$B:$B,$B622,$A:$A,"&gt;="&amp;COUNTIFS($K$1:V$1,"&lt;&gt;"))),0)</f>
        <v>0</v>
      </c>
      <c r="W622">
        <f t="shared" si="222"/>
        <v>8.1967213114754092E-2</v>
      </c>
      <c r="X622">
        <f t="shared" si="202"/>
        <v>8.1967213114754092E-2</v>
      </c>
      <c r="Y622">
        <f t="shared" si="203"/>
        <v>8.1967213114754092E-2</v>
      </c>
      <c r="Z622">
        <f t="shared" si="204"/>
        <v>8.1967213114754092E-2</v>
      </c>
      <c r="AA622">
        <f t="shared" si="205"/>
        <v>8.1967213114754092E-2</v>
      </c>
      <c r="AB622">
        <f t="shared" si="206"/>
        <v>8.1967213114754092E-2</v>
      </c>
      <c r="AC622">
        <f t="shared" si="207"/>
        <v>8.1967213114754092E-2</v>
      </c>
      <c r="AD622">
        <f t="shared" si="208"/>
        <v>8.1967213114754092E-2</v>
      </c>
      <c r="AE622">
        <f t="shared" si="209"/>
        <v>8.1967213114754092E-2</v>
      </c>
      <c r="AF622">
        <f t="shared" si="210"/>
        <v>8.1967213114754092E-2</v>
      </c>
      <c r="AG622">
        <f t="shared" si="211"/>
        <v>0</v>
      </c>
      <c r="AH622">
        <f t="shared" si="212"/>
        <v>0</v>
      </c>
      <c r="AI622">
        <f t="shared" si="213"/>
        <v>0</v>
      </c>
      <c r="AJ622" s="2" t="str">
        <f t="shared" si="223"/>
        <v>945261</v>
      </c>
    </row>
    <row r="623" spans="1:36" x14ac:dyDescent="0.25">
      <c r="A623">
        <v>10</v>
      </c>
      <c r="B623" s="1">
        <v>45261</v>
      </c>
      <c r="C623" s="1">
        <f t="shared" si="214"/>
        <v>45566</v>
      </c>
      <c r="D623" s="1">
        <f t="shared" si="215"/>
        <v>45275</v>
      </c>
      <c r="E623" s="1">
        <f t="shared" si="216"/>
        <v>45566</v>
      </c>
      <c r="F623" s="1">
        <f t="shared" si="217"/>
        <v>45597</v>
      </c>
      <c r="G623" s="1">
        <f t="shared" si="218"/>
        <v>45641</v>
      </c>
      <c r="H623">
        <f t="shared" si="219"/>
        <v>366</v>
      </c>
      <c r="I623">
        <f t="shared" si="220"/>
        <v>31</v>
      </c>
      <c r="J623">
        <f t="shared" si="221"/>
        <v>8.4699453551912565E-2</v>
      </c>
      <c r="K623">
        <f>IFERROR($J623/IF($A623&lt;COUNTIFS($K$1:K$1,"&lt;&gt;"),0,SUMIFS($J:$J,$B:$B,$B623,$A:$A,"&gt;="&amp;COUNTIFS($K$1:K$1,"&lt;&gt;"))),0)</f>
        <v>8.882521489971347E-2</v>
      </c>
      <c r="L623">
        <f>IFERROR($J623/IF($A623&lt;COUNTIFS($K$1:L$1,"&lt;&gt;"),0,SUMIFS($J:$J,$B:$B,$B623,$A:$A,"&gt;="&amp;COUNTIFS($K$1:L$1,"&lt;&gt;"))),0)</f>
        <v>9.7484276729559755E-2</v>
      </c>
      <c r="M623">
        <f>IFERROR($J623/IF($A623&lt;COUNTIFS($K$1:M$1,"&lt;&gt;"),0,SUMIFS($J:$J,$B:$B,$B623,$A:$A,"&gt;="&amp;COUNTIFS($K$1:M$1,"&lt;&gt;"))),0)</f>
        <v>0.10726643598615916</v>
      </c>
      <c r="N623">
        <f>IFERROR($J623/IF($A623&lt;COUNTIFS($K$1:N$1,"&lt;&gt;"),0,SUMIFS($J:$J,$B:$B,$B623,$A:$A,"&gt;="&amp;COUNTIFS($K$1:N$1,"&lt;&gt;"))),0)</f>
        <v>0.12015503875968991</v>
      </c>
      <c r="O623">
        <f>IFERROR($J623/IF($A623&lt;COUNTIFS($K$1:O$1,"&lt;&gt;"),0,SUMIFS($J:$J,$B:$B,$B623,$A:$A,"&gt;="&amp;COUNTIFS($K$1:O$1,"&lt;&gt;"))),0)</f>
        <v>0.13596491228070173</v>
      </c>
      <c r="P623">
        <f>IFERROR($J623/IF($A623&lt;COUNTIFS($K$1:P$1,"&lt;&gt;"),0,SUMIFS($J:$J,$B:$B,$B623,$A:$A,"&gt;="&amp;COUNTIFS($K$1:P$1,"&lt;&gt;"))),0)</f>
        <v>0.15736040609137059</v>
      </c>
      <c r="Q623">
        <f>IFERROR($J623/IF($A623&lt;COUNTIFS($K$1:Q$1,"&lt;&gt;"),0,SUMIFS($J:$J,$B:$B,$B623,$A:$A,"&gt;="&amp;COUNTIFS($K$1:Q$1,"&lt;&gt;"))),0)</f>
        <v>0.18562874251497008</v>
      </c>
      <c r="R623">
        <f>IFERROR($J623/IF($A623&lt;COUNTIFS($K$1:R$1,"&lt;&gt;"),0,SUMIFS($J:$J,$B:$B,$B623,$A:$A,"&gt;="&amp;COUNTIFS($K$1:R$1,"&lt;&gt;"))),0)</f>
        <v>0.22794117647058826</v>
      </c>
      <c r="S623">
        <f>IFERROR($J623/IF($A623&lt;COUNTIFS($K$1:S$1,"&lt;&gt;"),0,SUMIFS($J:$J,$B:$B,$B623,$A:$A,"&gt;="&amp;COUNTIFS($K$1:S$1,"&lt;&gt;"))),0)</f>
        <v>0.29523809523809524</v>
      </c>
      <c r="T623">
        <f>IFERROR($J623/IF($A623&lt;COUNTIFS($K$1:T$1,"&lt;&gt;"),0,SUMIFS($J:$J,$B:$B,$B623,$A:$A,"&gt;="&amp;COUNTIFS($K$1:T$1,"&lt;&gt;"))),0)</f>
        <v>0.41333333333333333</v>
      </c>
      <c r="U623">
        <f>IFERROR($J623/IF($A623&lt;COUNTIFS($K$1:U$1,"&lt;&gt;"),0,SUMIFS($J:$J,$B:$B,$B623,$A:$A,"&gt;="&amp;COUNTIFS($K$1:U$1,"&lt;&gt;"))),0)</f>
        <v>0</v>
      </c>
      <c r="V623">
        <f>IFERROR($J623/IF($A623&lt;COUNTIFS($K$1:V$1,"&lt;&gt;"),0,SUMIFS($J:$J,$B:$B,$B623,$A:$A,"&gt;="&amp;COUNTIFS($K$1:V$1,"&lt;&gt;"))),0)</f>
        <v>0</v>
      </c>
      <c r="W623">
        <f t="shared" si="222"/>
        <v>8.4699453551912565E-2</v>
      </c>
      <c r="X623">
        <f t="shared" si="202"/>
        <v>8.4699453551912565E-2</v>
      </c>
      <c r="Y623">
        <f t="shared" si="203"/>
        <v>8.4699453551912565E-2</v>
      </c>
      <c r="Z623">
        <f t="shared" si="204"/>
        <v>8.4699453551912565E-2</v>
      </c>
      <c r="AA623">
        <f t="shared" si="205"/>
        <v>8.4699453551912565E-2</v>
      </c>
      <c r="AB623">
        <f t="shared" si="206"/>
        <v>8.4699453551912565E-2</v>
      </c>
      <c r="AC623">
        <f t="shared" si="207"/>
        <v>8.4699453551912565E-2</v>
      </c>
      <c r="AD623">
        <f t="shared" si="208"/>
        <v>8.4699453551912565E-2</v>
      </c>
      <c r="AE623">
        <f t="shared" si="209"/>
        <v>8.4699453551912565E-2</v>
      </c>
      <c r="AF623">
        <f t="shared" si="210"/>
        <v>8.4699453551912565E-2</v>
      </c>
      <c r="AG623">
        <f t="shared" si="211"/>
        <v>8.4699453551912565E-2</v>
      </c>
      <c r="AH623">
        <f t="shared" si="212"/>
        <v>0</v>
      </c>
      <c r="AI623">
        <f t="shared" si="213"/>
        <v>0</v>
      </c>
      <c r="AJ623" s="2" t="str">
        <f t="shared" si="223"/>
        <v>1045261</v>
      </c>
    </row>
    <row r="624" spans="1:36" x14ac:dyDescent="0.25">
      <c r="A624">
        <v>11</v>
      </c>
      <c r="B624" s="1">
        <v>45261</v>
      </c>
      <c r="C624" s="1">
        <f t="shared" si="214"/>
        <v>45597</v>
      </c>
      <c r="D624" s="1">
        <f t="shared" si="215"/>
        <v>45275</v>
      </c>
      <c r="E624" s="1">
        <f t="shared" si="216"/>
        <v>45597</v>
      </c>
      <c r="F624" s="1">
        <f t="shared" si="217"/>
        <v>45627</v>
      </c>
      <c r="G624" s="1">
        <f t="shared" si="218"/>
        <v>45641</v>
      </c>
      <c r="H624">
        <f t="shared" si="219"/>
        <v>366</v>
      </c>
      <c r="I624">
        <f t="shared" si="220"/>
        <v>30</v>
      </c>
      <c r="J624">
        <f t="shared" si="221"/>
        <v>8.1967213114754092E-2</v>
      </c>
      <c r="K624">
        <f>IFERROR($J624/IF($A624&lt;COUNTIFS($K$1:K$1,"&lt;&gt;"),0,SUMIFS($J:$J,$B:$B,$B624,$A:$A,"&gt;="&amp;COUNTIFS($K$1:K$1,"&lt;&gt;"))),0)</f>
        <v>8.5959885386819479E-2</v>
      </c>
      <c r="L624">
        <f>IFERROR($J624/IF($A624&lt;COUNTIFS($K$1:L$1,"&lt;&gt;"),0,SUMIFS($J:$J,$B:$B,$B624,$A:$A,"&gt;="&amp;COUNTIFS($K$1:L$1,"&lt;&gt;"))),0)</f>
        <v>9.4339622641509427E-2</v>
      </c>
      <c r="M624">
        <f>IFERROR($J624/IF($A624&lt;COUNTIFS($K$1:M$1,"&lt;&gt;"),0,SUMIFS($J:$J,$B:$B,$B624,$A:$A,"&gt;="&amp;COUNTIFS($K$1:M$1,"&lt;&gt;"))),0)</f>
        <v>0.10380622837370242</v>
      </c>
      <c r="N624">
        <f>IFERROR($J624/IF($A624&lt;COUNTIFS($K$1:N$1,"&lt;&gt;"),0,SUMIFS($J:$J,$B:$B,$B624,$A:$A,"&gt;="&amp;COUNTIFS($K$1:N$1,"&lt;&gt;"))),0)</f>
        <v>0.11627906976744184</v>
      </c>
      <c r="O624">
        <f>IFERROR($J624/IF($A624&lt;COUNTIFS($K$1:O$1,"&lt;&gt;"),0,SUMIFS($J:$J,$B:$B,$B624,$A:$A,"&gt;="&amp;COUNTIFS($K$1:O$1,"&lt;&gt;"))),0)</f>
        <v>0.13157894736842105</v>
      </c>
      <c r="P624">
        <f>IFERROR($J624/IF($A624&lt;COUNTIFS($K$1:P$1,"&lt;&gt;"),0,SUMIFS($J:$J,$B:$B,$B624,$A:$A,"&gt;="&amp;COUNTIFS($K$1:P$1,"&lt;&gt;"))),0)</f>
        <v>0.15228426395939088</v>
      </c>
      <c r="Q624">
        <f>IFERROR($J624/IF($A624&lt;COUNTIFS($K$1:Q$1,"&lt;&gt;"),0,SUMIFS($J:$J,$B:$B,$B624,$A:$A,"&gt;="&amp;COUNTIFS($K$1:Q$1,"&lt;&gt;"))),0)</f>
        <v>0.17964071856287425</v>
      </c>
      <c r="R624">
        <f>IFERROR($J624/IF($A624&lt;COUNTIFS($K$1:R$1,"&lt;&gt;"),0,SUMIFS($J:$J,$B:$B,$B624,$A:$A,"&gt;="&amp;COUNTIFS($K$1:R$1,"&lt;&gt;"))),0)</f>
        <v>0.22058823529411764</v>
      </c>
      <c r="S624">
        <f>IFERROR($J624/IF($A624&lt;COUNTIFS($K$1:S$1,"&lt;&gt;"),0,SUMIFS($J:$J,$B:$B,$B624,$A:$A,"&gt;="&amp;COUNTIFS($K$1:S$1,"&lt;&gt;"))),0)</f>
        <v>0.2857142857142857</v>
      </c>
      <c r="T624">
        <f>IFERROR($J624/IF($A624&lt;COUNTIFS($K$1:T$1,"&lt;&gt;"),0,SUMIFS($J:$J,$B:$B,$B624,$A:$A,"&gt;="&amp;COUNTIFS($K$1:T$1,"&lt;&gt;"))),0)</f>
        <v>0.39999999999999997</v>
      </c>
      <c r="U624">
        <f>IFERROR($J624/IF($A624&lt;COUNTIFS($K$1:U$1,"&lt;&gt;"),0,SUMIFS($J:$J,$B:$B,$B624,$A:$A,"&gt;="&amp;COUNTIFS($K$1:U$1,"&lt;&gt;"))),0)</f>
        <v>0.68181818181818177</v>
      </c>
      <c r="V624">
        <f>IFERROR($J624/IF($A624&lt;COUNTIFS($K$1:V$1,"&lt;&gt;"),0,SUMIFS($J:$J,$B:$B,$B624,$A:$A,"&gt;="&amp;COUNTIFS($K$1:V$1,"&lt;&gt;"))),0)</f>
        <v>0</v>
      </c>
      <c r="W624">
        <f t="shared" si="222"/>
        <v>8.1967213114754092E-2</v>
      </c>
      <c r="X624">
        <f t="shared" si="202"/>
        <v>8.1967213114754092E-2</v>
      </c>
      <c r="Y624">
        <f t="shared" si="203"/>
        <v>8.1967213114754092E-2</v>
      </c>
      <c r="Z624">
        <f t="shared" si="204"/>
        <v>8.1967213114754092E-2</v>
      </c>
      <c r="AA624">
        <f t="shared" si="205"/>
        <v>8.1967213114754092E-2</v>
      </c>
      <c r="AB624">
        <f t="shared" si="206"/>
        <v>8.1967213114754092E-2</v>
      </c>
      <c r="AC624">
        <f t="shared" si="207"/>
        <v>8.1967213114754092E-2</v>
      </c>
      <c r="AD624">
        <f t="shared" si="208"/>
        <v>8.1967213114754092E-2</v>
      </c>
      <c r="AE624">
        <f t="shared" si="209"/>
        <v>8.1967213114754092E-2</v>
      </c>
      <c r="AF624">
        <f t="shared" si="210"/>
        <v>8.1967213114754092E-2</v>
      </c>
      <c r="AG624">
        <f t="shared" si="211"/>
        <v>8.1967213114754092E-2</v>
      </c>
      <c r="AH624">
        <f t="shared" si="212"/>
        <v>8.1967213114754092E-2</v>
      </c>
      <c r="AI624">
        <f t="shared" si="213"/>
        <v>0</v>
      </c>
      <c r="AJ624" s="2" t="str">
        <f t="shared" si="223"/>
        <v>1145261</v>
      </c>
    </row>
    <row r="625" spans="1:36" x14ac:dyDescent="0.25">
      <c r="A625">
        <v>12</v>
      </c>
      <c r="B625" s="1">
        <v>45261</v>
      </c>
      <c r="C625" s="1">
        <f t="shared" si="214"/>
        <v>45627</v>
      </c>
      <c r="D625" s="1">
        <f t="shared" si="215"/>
        <v>45275</v>
      </c>
      <c r="E625" s="1">
        <f t="shared" si="216"/>
        <v>45627</v>
      </c>
      <c r="F625" s="1">
        <f t="shared" si="217"/>
        <v>45641</v>
      </c>
      <c r="G625" s="1">
        <f t="shared" si="218"/>
        <v>45641</v>
      </c>
      <c r="H625">
        <f t="shared" si="219"/>
        <v>366</v>
      </c>
      <c r="I625">
        <f t="shared" si="220"/>
        <v>14</v>
      </c>
      <c r="J625">
        <f t="shared" si="221"/>
        <v>3.825136612021858E-2</v>
      </c>
      <c r="K625">
        <f>IFERROR($J625/IF($A625&lt;COUNTIFS($K$1:K$1,"&lt;&gt;"),0,SUMIFS($J:$J,$B:$B,$B625,$A:$A,"&gt;="&amp;COUNTIFS($K$1:K$1,"&lt;&gt;"))),0)</f>
        <v>4.0114613180515762E-2</v>
      </c>
      <c r="L625">
        <f>IFERROR($J625/IF($A625&lt;COUNTIFS($K$1:L$1,"&lt;&gt;"),0,SUMIFS($J:$J,$B:$B,$B625,$A:$A,"&gt;="&amp;COUNTIFS($K$1:L$1,"&lt;&gt;"))),0)</f>
        <v>4.4025157232704407E-2</v>
      </c>
      <c r="M625">
        <f>IFERROR($J625/IF($A625&lt;COUNTIFS($K$1:M$1,"&lt;&gt;"),0,SUMIFS($J:$J,$B:$B,$B625,$A:$A,"&gt;="&amp;COUNTIFS($K$1:M$1,"&lt;&gt;"))),0)</f>
        <v>4.8442906574394463E-2</v>
      </c>
      <c r="N625">
        <f>IFERROR($J625/IF($A625&lt;COUNTIFS($K$1:N$1,"&lt;&gt;"),0,SUMIFS($J:$J,$B:$B,$B625,$A:$A,"&gt;="&amp;COUNTIFS($K$1:N$1,"&lt;&gt;"))),0)</f>
        <v>5.4263565891472867E-2</v>
      </c>
      <c r="O625">
        <f>IFERROR($J625/IF($A625&lt;COUNTIFS($K$1:O$1,"&lt;&gt;"),0,SUMIFS($J:$J,$B:$B,$B625,$A:$A,"&gt;="&amp;COUNTIFS($K$1:O$1,"&lt;&gt;"))),0)</f>
        <v>6.1403508771929821E-2</v>
      </c>
      <c r="P625">
        <f>IFERROR($J625/IF($A625&lt;COUNTIFS($K$1:P$1,"&lt;&gt;"),0,SUMIFS($J:$J,$B:$B,$B625,$A:$A,"&gt;="&amp;COUNTIFS($K$1:P$1,"&lt;&gt;"))),0)</f>
        <v>7.1065989847715741E-2</v>
      </c>
      <c r="Q625">
        <f>IFERROR($J625/IF($A625&lt;COUNTIFS($K$1:Q$1,"&lt;&gt;"),0,SUMIFS($J:$J,$B:$B,$B625,$A:$A,"&gt;="&amp;COUNTIFS($K$1:Q$1,"&lt;&gt;"))),0)</f>
        <v>8.3832335329341326E-2</v>
      </c>
      <c r="R625">
        <f>IFERROR($J625/IF($A625&lt;COUNTIFS($K$1:R$1,"&lt;&gt;"),0,SUMIFS($J:$J,$B:$B,$B625,$A:$A,"&gt;="&amp;COUNTIFS($K$1:R$1,"&lt;&gt;"))),0)</f>
        <v>0.10294117647058824</v>
      </c>
      <c r="S625">
        <f>IFERROR($J625/IF($A625&lt;COUNTIFS($K$1:S$1,"&lt;&gt;"),0,SUMIFS($J:$J,$B:$B,$B625,$A:$A,"&gt;="&amp;COUNTIFS($K$1:S$1,"&lt;&gt;"))),0)</f>
        <v>0.13333333333333333</v>
      </c>
      <c r="T625">
        <f>IFERROR($J625/IF($A625&lt;COUNTIFS($K$1:T$1,"&lt;&gt;"),0,SUMIFS($J:$J,$B:$B,$B625,$A:$A,"&gt;="&amp;COUNTIFS($K$1:T$1,"&lt;&gt;"))),0)</f>
        <v>0.18666666666666668</v>
      </c>
      <c r="U625">
        <f>IFERROR($J625/IF($A625&lt;COUNTIFS($K$1:U$1,"&lt;&gt;"),0,SUMIFS($J:$J,$B:$B,$B625,$A:$A,"&gt;="&amp;COUNTIFS($K$1:U$1,"&lt;&gt;"))),0)</f>
        <v>0.31818181818181818</v>
      </c>
      <c r="V625">
        <f>IFERROR($J625/IF($A625&lt;COUNTIFS($K$1:V$1,"&lt;&gt;"),0,SUMIFS($J:$J,$B:$B,$B625,$A:$A,"&gt;="&amp;COUNTIFS($K$1:V$1,"&lt;&gt;"))),0)</f>
        <v>1</v>
      </c>
      <c r="W625">
        <f t="shared" si="222"/>
        <v>3.825136612021858E-2</v>
      </c>
      <c r="X625">
        <f t="shared" si="202"/>
        <v>3.825136612021858E-2</v>
      </c>
      <c r="Y625">
        <f t="shared" si="203"/>
        <v>3.825136612021858E-2</v>
      </c>
      <c r="Z625">
        <f t="shared" si="204"/>
        <v>3.825136612021858E-2</v>
      </c>
      <c r="AA625">
        <f t="shared" si="205"/>
        <v>3.825136612021858E-2</v>
      </c>
      <c r="AB625">
        <f t="shared" si="206"/>
        <v>3.825136612021858E-2</v>
      </c>
      <c r="AC625">
        <f t="shared" si="207"/>
        <v>3.825136612021858E-2</v>
      </c>
      <c r="AD625">
        <f t="shared" si="208"/>
        <v>3.825136612021858E-2</v>
      </c>
      <c r="AE625">
        <f t="shared" si="209"/>
        <v>3.825136612021858E-2</v>
      </c>
      <c r="AF625">
        <f t="shared" si="210"/>
        <v>3.825136612021858E-2</v>
      </c>
      <c r="AG625">
        <f t="shared" si="211"/>
        <v>3.825136612021858E-2</v>
      </c>
      <c r="AH625">
        <f t="shared" si="212"/>
        <v>3.825136612021858E-2</v>
      </c>
      <c r="AI625">
        <f t="shared" si="213"/>
        <v>3.825136612021858E-2</v>
      </c>
      <c r="AJ625" s="2" t="str">
        <f t="shared" si="223"/>
        <v>1245261</v>
      </c>
    </row>
    <row r="626" spans="1:36" x14ac:dyDescent="0.25">
      <c r="A626">
        <v>0</v>
      </c>
      <c r="B626" s="1">
        <v>45292</v>
      </c>
      <c r="C626" s="1">
        <f t="shared" si="214"/>
        <v>45292</v>
      </c>
      <c r="D626" s="1">
        <f t="shared" si="215"/>
        <v>45306</v>
      </c>
      <c r="E626" s="1">
        <f t="shared" si="216"/>
        <v>45306</v>
      </c>
      <c r="F626" s="1">
        <f t="shared" si="217"/>
        <v>45323</v>
      </c>
      <c r="G626" s="1">
        <f t="shared" si="218"/>
        <v>45672</v>
      </c>
      <c r="H626">
        <f t="shared" si="219"/>
        <v>366</v>
      </c>
      <c r="I626">
        <f t="shared" si="220"/>
        <v>17</v>
      </c>
      <c r="J626">
        <f t="shared" si="221"/>
        <v>4.6448087431693992E-2</v>
      </c>
      <c r="K626">
        <f>IFERROR($J626/IF($A626&lt;COUNTIFS($K$1:K$1,"&lt;&gt;"),0,SUMIFS($J:$J,$B:$B,$B626,$A:$A,"&gt;="&amp;COUNTIFS($K$1:K$1,"&lt;&gt;"))),0)</f>
        <v>0</v>
      </c>
      <c r="L626">
        <f>IFERROR($J626/IF($A626&lt;COUNTIFS($K$1:L$1,"&lt;&gt;"),0,SUMIFS($J:$J,$B:$B,$B626,$A:$A,"&gt;="&amp;COUNTIFS($K$1:L$1,"&lt;&gt;"))),0)</f>
        <v>0</v>
      </c>
      <c r="M626">
        <f>IFERROR($J626/IF($A626&lt;COUNTIFS($K$1:M$1,"&lt;&gt;"),0,SUMIFS($J:$J,$B:$B,$B626,$A:$A,"&gt;="&amp;COUNTIFS($K$1:M$1,"&lt;&gt;"))),0)</f>
        <v>0</v>
      </c>
      <c r="N626">
        <f>IFERROR($J626/IF($A626&lt;COUNTIFS($K$1:N$1,"&lt;&gt;"),0,SUMIFS($J:$J,$B:$B,$B626,$A:$A,"&gt;="&amp;COUNTIFS($K$1:N$1,"&lt;&gt;"))),0)</f>
        <v>0</v>
      </c>
      <c r="O626">
        <f>IFERROR($J626/IF($A626&lt;COUNTIFS($K$1:O$1,"&lt;&gt;"),0,SUMIFS($J:$J,$B:$B,$B626,$A:$A,"&gt;="&amp;COUNTIFS($K$1:O$1,"&lt;&gt;"))),0)</f>
        <v>0</v>
      </c>
      <c r="P626">
        <f>IFERROR($J626/IF($A626&lt;COUNTIFS($K$1:P$1,"&lt;&gt;"),0,SUMIFS($J:$J,$B:$B,$B626,$A:$A,"&gt;="&amp;COUNTIFS($K$1:P$1,"&lt;&gt;"))),0)</f>
        <v>0</v>
      </c>
      <c r="Q626">
        <f>IFERROR($J626/IF($A626&lt;COUNTIFS($K$1:Q$1,"&lt;&gt;"),0,SUMIFS($J:$J,$B:$B,$B626,$A:$A,"&gt;="&amp;COUNTIFS($K$1:Q$1,"&lt;&gt;"))),0)</f>
        <v>0</v>
      </c>
      <c r="R626">
        <f>IFERROR($J626/IF($A626&lt;COUNTIFS($K$1:R$1,"&lt;&gt;"),0,SUMIFS($J:$J,$B:$B,$B626,$A:$A,"&gt;="&amp;COUNTIFS($K$1:R$1,"&lt;&gt;"))),0)</f>
        <v>0</v>
      </c>
      <c r="S626">
        <f>IFERROR($J626/IF($A626&lt;COUNTIFS($K$1:S$1,"&lt;&gt;"),0,SUMIFS($J:$J,$B:$B,$B626,$A:$A,"&gt;="&amp;COUNTIFS($K$1:S$1,"&lt;&gt;"))),0)</f>
        <v>0</v>
      </c>
      <c r="T626">
        <f>IFERROR($J626/IF($A626&lt;COUNTIFS($K$1:T$1,"&lt;&gt;"),0,SUMIFS($J:$J,$B:$B,$B626,$A:$A,"&gt;="&amp;COUNTIFS($K$1:T$1,"&lt;&gt;"))),0)</f>
        <v>0</v>
      </c>
      <c r="U626">
        <f>IFERROR($J626/IF($A626&lt;COUNTIFS($K$1:U$1,"&lt;&gt;"),0,SUMIFS($J:$J,$B:$B,$B626,$A:$A,"&gt;="&amp;COUNTIFS($K$1:U$1,"&lt;&gt;"))),0)</f>
        <v>0</v>
      </c>
      <c r="V626">
        <f>IFERROR($J626/IF($A626&lt;COUNTIFS($K$1:V$1,"&lt;&gt;"),0,SUMIFS($J:$J,$B:$B,$B626,$A:$A,"&gt;="&amp;COUNTIFS($K$1:V$1,"&lt;&gt;"))),0)</f>
        <v>0</v>
      </c>
      <c r="W626">
        <f t="shared" si="222"/>
        <v>4.6448087431693992E-2</v>
      </c>
      <c r="X626">
        <f t="shared" si="202"/>
        <v>0</v>
      </c>
      <c r="Y626">
        <f t="shared" si="203"/>
        <v>0</v>
      </c>
      <c r="Z626">
        <f t="shared" si="204"/>
        <v>0</v>
      </c>
      <c r="AA626">
        <f t="shared" si="205"/>
        <v>0</v>
      </c>
      <c r="AB626">
        <f t="shared" si="206"/>
        <v>0</v>
      </c>
      <c r="AC626">
        <f t="shared" si="207"/>
        <v>0</v>
      </c>
      <c r="AD626">
        <f t="shared" si="208"/>
        <v>0</v>
      </c>
      <c r="AE626">
        <f t="shared" si="209"/>
        <v>0</v>
      </c>
      <c r="AF626">
        <f t="shared" si="210"/>
        <v>0</v>
      </c>
      <c r="AG626">
        <f t="shared" si="211"/>
        <v>0</v>
      </c>
      <c r="AH626">
        <f t="shared" si="212"/>
        <v>0</v>
      </c>
      <c r="AI626">
        <f t="shared" si="213"/>
        <v>0</v>
      </c>
      <c r="AJ626" s="2" t="str">
        <f t="shared" si="223"/>
        <v>045292</v>
      </c>
    </row>
    <row r="627" spans="1:36" x14ac:dyDescent="0.25">
      <c r="A627">
        <v>1</v>
      </c>
      <c r="B627" s="1">
        <v>45292</v>
      </c>
      <c r="C627" s="1">
        <f t="shared" si="214"/>
        <v>45323</v>
      </c>
      <c r="D627" s="1">
        <f t="shared" si="215"/>
        <v>45306</v>
      </c>
      <c r="E627" s="1">
        <f t="shared" si="216"/>
        <v>45323</v>
      </c>
      <c r="F627" s="1">
        <f t="shared" si="217"/>
        <v>45352</v>
      </c>
      <c r="G627" s="1">
        <f t="shared" si="218"/>
        <v>45672</v>
      </c>
      <c r="H627">
        <f t="shared" si="219"/>
        <v>366</v>
      </c>
      <c r="I627">
        <f t="shared" si="220"/>
        <v>29</v>
      </c>
      <c r="J627">
        <f t="shared" si="221"/>
        <v>7.9234972677595633E-2</v>
      </c>
      <c r="K627">
        <f>IFERROR($J627/IF($A627&lt;COUNTIFS($K$1:K$1,"&lt;&gt;"),0,SUMIFS($J:$J,$B:$B,$B627,$A:$A,"&gt;="&amp;COUNTIFS($K$1:K$1,"&lt;&gt;"))),0)</f>
        <v>8.3094555873925516E-2</v>
      </c>
      <c r="L627">
        <f>IFERROR($J627/IF($A627&lt;COUNTIFS($K$1:L$1,"&lt;&gt;"),0,SUMIFS($J:$J,$B:$B,$B627,$A:$A,"&gt;="&amp;COUNTIFS($K$1:L$1,"&lt;&gt;"))),0)</f>
        <v>0</v>
      </c>
      <c r="M627">
        <f>IFERROR($J627/IF($A627&lt;COUNTIFS($K$1:M$1,"&lt;&gt;"),0,SUMIFS($J:$J,$B:$B,$B627,$A:$A,"&gt;="&amp;COUNTIFS($K$1:M$1,"&lt;&gt;"))),0)</f>
        <v>0</v>
      </c>
      <c r="N627">
        <f>IFERROR($J627/IF($A627&lt;COUNTIFS($K$1:N$1,"&lt;&gt;"),0,SUMIFS($J:$J,$B:$B,$B627,$A:$A,"&gt;="&amp;COUNTIFS($K$1:N$1,"&lt;&gt;"))),0)</f>
        <v>0</v>
      </c>
      <c r="O627">
        <f>IFERROR($J627/IF($A627&lt;COUNTIFS($K$1:O$1,"&lt;&gt;"),0,SUMIFS($J:$J,$B:$B,$B627,$A:$A,"&gt;="&amp;COUNTIFS($K$1:O$1,"&lt;&gt;"))),0)</f>
        <v>0</v>
      </c>
      <c r="P627">
        <f>IFERROR($J627/IF($A627&lt;COUNTIFS($K$1:P$1,"&lt;&gt;"),0,SUMIFS($J:$J,$B:$B,$B627,$A:$A,"&gt;="&amp;COUNTIFS($K$1:P$1,"&lt;&gt;"))),0)</f>
        <v>0</v>
      </c>
      <c r="Q627">
        <f>IFERROR($J627/IF($A627&lt;COUNTIFS($K$1:Q$1,"&lt;&gt;"),0,SUMIFS($J:$J,$B:$B,$B627,$A:$A,"&gt;="&amp;COUNTIFS($K$1:Q$1,"&lt;&gt;"))),0)</f>
        <v>0</v>
      </c>
      <c r="R627">
        <f>IFERROR($J627/IF($A627&lt;COUNTIFS($K$1:R$1,"&lt;&gt;"),0,SUMIFS($J:$J,$B:$B,$B627,$A:$A,"&gt;="&amp;COUNTIFS($K$1:R$1,"&lt;&gt;"))),0)</f>
        <v>0</v>
      </c>
      <c r="S627">
        <f>IFERROR($J627/IF($A627&lt;COUNTIFS($K$1:S$1,"&lt;&gt;"),0,SUMIFS($J:$J,$B:$B,$B627,$A:$A,"&gt;="&amp;COUNTIFS($K$1:S$1,"&lt;&gt;"))),0)</f>
        <v>0</v>
      </c>
      <c r="T627">
        <f>IFERROR($J627/IF($A627&lt;COUNTIFS($K$1:T$1,"&lt;&gt;"),0,SUMIFS($J:$J,$B:$B,$B627,$A:$A,"&gt;="&amp;COUNTIFS($K$1:T$1,"&lt;&gt;"))),0)</f>
        <v>0</v>
      </c>
      <c r="U627">
        <f>IFERROR($J627/IF($A627&lt;COUNTIFS($K$1:U$1,"&lt;&gt;"),0,SUMIFS($J:$J,$B:$B,$B627,$A:$A,"&gt;="&amp;COUNTIFS($K$1:U$1,"&lt;&gt;"))),0)</f>
        <v>0</v>
      </c>
      <c r="V627">
        <f>IFERROR($J627/IF($A627&lt;COUNTIFS($K$1:V$1,"&lt;&gt;"),0,SUMIFS($J:$J,$B:$B,$B627,$A:$A,"&gt;="&amp;COUNTIFS($K$1:V$1,"&lt;&gt;"))),0)</f>
        <v>0</v>
      </c>
      <c r="W627">
        <f t="shared" si="222"/>
        <v>7.9234972677595633E-2</v>
      </c>
      <c r="X627">
        <f t="shared" si="202"/>
        <v>7.9234972677595633E-2</v>
      </c>
      <c r="Y627">
        <f t="shared" si="203"/>
        <v>0</v>
      </c>
      <c r="Z627">
        <f t="shared" si="204"/>
        <v>0</v>
      </c>
      <c r="AA627">
        <f t="shared" si="205"/>
        <v>0</v>
      </c>
      <c r="AB627">
        <f t="shared" si="206"/>
        <v>0</v>
      </c>
      <c r="AC627">
        <f t="shared" si="207"/>
        <v>0</v>
      </c>
      <c r="AD627">
        <f t="shared" si="208"/>
        <v>0</v>
      </c>
      <c r="AE627">
        <f t="shared" si="209"/>
        <v>0</v>
      </c>
      <c r="AF627">
        <f t="shared" si="210"/>
        <v>0</v>
      </c>
      <c r="AG627">
        <f t="shared" si="211"/>
        <v>0</v>
      </c>
      <c r="AH627">
        <f t="shared" si="212"/>
        <v>0</v>
      </c>
      <c r="AI627">
        <f t="shared" si="213"/>
        <v>0</v>
      </c>
      <c r="AJ627" s="2" t="str">
        <f t="shared" si="223"/>
        <v>145292</v>
      </c>
    </row>
    <row r="628" spans="1:36" x14ac:dyDescent="0.25">
      <c r="A628">
        <v>2</v>
      </c>
      <c r="B628" s="1">
        <v>45292</v>
      </c>
      <c r="C628" s="1">
        <f t="shared" si="214"/>
        <v>45352</v>
      </c>
      <c r="D628" s="1">
        <f t="shared" si="215"/>
        <v>45306</v>
      </c>
      <c r="E628" s="1">
        <f t="shared" si="216"/>
        <v>45352</v>
      </c>
      <c r="F628" s="1">
        <f t="shared" si="217"/>
        <v>45383</v>
      </c>
      <c r="G628" s="1">
        <f t="shared" si="218"/>
        <v>45672</v>
      </c>
      <c r="H628">
        <f t="shared" si="219"/>
        <v>366</v>
      </c>
      <c r="I628">
        <f t="shared" si="220"/>
        <v>31</v>
      </c>
      <c r="J628">
        <f t="shared" si="221"/>
        <v>8.4699453551912565E-2</v>
      </c>
      <c r="K628">
        <f>IFERROR($J628/IF($A628&lt;COUNTIFS($K$1:K$1,"&lt;&gt;"),0,SUMIFS($J:$J,$B:$B,$B628,$A:$A,"&gt;="&amp;COUNTIFS($K$1:K$1,"&lt;&gt;"))),0)</f>
        <v>8.882521489971347E-2</v>
      </c>
      <c r="L628">
        <f>IFERROR($J628/IF($A628&lt;COUNTIFS($K$1:L$1,"&lt;&gt;"),0,SUMIFS($J:$J,$B:$B,$B628,$A:$A,"&gt;="&amp;COUNTIFS($K$1:L$1,"&lt;&gt;"))),0)</f>
        <v>9.6875000000000003E-2</v>
      </c>
      <c r="M628">
        <f>IFERROR($J628/IF($A628&lt;COUNTIFS($K$1:M$1,"&lt;&gt;"),0,SUMIFS($J:$J,$B:$B,$B628,$A:$A,"&gt;="&amp;COUNTIFS($K$1:M$1,"&lt;&gt;"))),0)</f>
        <v>0</v>
      </c>
      <c r="N628">
        <f>IFERROR($J628/IF($A628&lt;COUNTIFS($K$1:N$1,"&lt;&gt;"),0,SUMIFS($J:$J,$B:$B,$B628,$A:$A,"&gt;="&amp;COUNTIFS($K$1:N$1,"&lt;&gt;"))),0)</f>
        <v>0</v>
      </c>
      <c r="O628">
        <f>IFERROR($J628/IF($A628&lt;COUNTIFS($K$1:O$1,"&lt;&gt;"),0,SUMIFS($J:$J,$B:$B,$B628,$A:$A,"&gt;="&amp;COUNTIFS($K$1:O$1,"&lt;&gt;"))),0)</f>
        <v>0</v>
      </c>
      <c r="P628">
        <f>IFERROR($J628/IF($A628&lt;COUNTIFS($K$1:P$1,"&lt;&gt;"),0,SUMIFS($J:$J,$B:$B,$B628,$A:$A,"&gt;="&amp;COUNTIFS($K$1:P$1,"&lt;&gt;"))),0)</f>
        <v>0</v>
      </c>
      <c r="Q628">
        <f>IFERROR($J628/IF($A628&lt;COUNTIFS($K$1:Q$1,"&lt;&gt;"),0,SUMIFS($J:$J,$B:$B,$B628,$A:$A,"&gt;="&amp;COUNTIFS($K$1:Q$1,"&lt;&gt;"))),0)</f>
        <v>0</v>
      </c>
      <c r="R628">
        <f>IFERROR($J628/IF($A628&lt;COUNTIFS($K$1:R$1,"&lt;&gt;"),0,SUMIFS($J:$J,$B:$B,$B628,$A:$A,"&gt;="&amp;COUNTIFS($K$1:R$1,"&lt;&gt;"))),0)</f>
        <v>0</v>
      </c>
      <c r="S628">
        <f>IFERROR($J628/IF($A628&lt;COUNTIFS($K$1:S$1,"&lt;&gt;"),0,SUMIFS($J:$J,$B:$B,$B628,$A:$A,"&gt;="&amp;COUNTIFS($K$1:S$1,"&lt;&gt;"))),0)</f>
        <v>0</v>
      </c>
      <c r="T628">
        <f>IFERROR($J628/IF($A628&lt;COUNTIFS($K$1:T$1,"&lt;&gt;"),0,SUMIFS($J:$J,$B:$B,$B628,$A:$A,"&gt;="&amp;COUNTIFS($K$1:T$1,"&lt;&gt;"))),0)</f>
        <v>0</v>
      </c>
      <c r="U628">
        <f>IFERROR($J628/IF($A628&lt;COUNTIFS($K$1:U$1,"&lt;&gt;"),0,SUMIFS($J:$J,$B:$B,$B628,$A:$A,"&gt;="&amp;COUNTIFS($K$1:U$1,"&lt;&gt;"))),0)</f>
        <v>0</v>
      </c>
      <c r="V628">
        <f>IFERROR($J628/IF($A628&lt;COUNTIFS($K$1:V$1,"&lt;&gt;"),0,SUMIFS($J:$J,$B:$B,$B628,$A:$A,"&gt;="&amp;COUNTIFS($K$1:V$1,"&lt;&gt;"))),0)</f>
        <v>0</v>
      </c>
      <c r="W628">
        <f t="shared" si="222"/>
        <v>8.4699453551912565E-2</v>
      </c>
      <c r="X628">
        <f t="shared" si="202"/>
        <v>8.4699453551912565E-2</v>
      </c>
      <c r="Y628">
        <f t="shared" si="203"/>
        <v>8.4699453551912565E-2</v>
      </c>
      <c r="Z628">
        <f t="shared" si="204"/>
        <v>0</v>
      </c>
      <c r="AA628">
        <f t="shared" si="205"/>
        <v>0</v>
      </c>
      <c r="AB628">
        <f t="shared" si="206"/>
        <v>0</v>
      </c>
      <c r="AC628">
        <f t="shared" si="207"/>
        <v>0</v>
      </c>
      <c r="AD628">
        <f t="shared" si="208"/>
        <v>0</v>
      </c>
      <c r="AE628">
        <f t="shared" si="209"/>
        <v>0</v>
      </c>
      <c r="AF628">
        <f t="shared" si="210"/>
        <v>0</v>
      </c>
      <c r="AG628">
        <f t="shared" si="211"/>
        <v>0</v>
      </c>
      <c r="AH628">
        <f t="shared" si="212"/>
        <v>0</v>
      </c>
      <c r="AI628">
        <f t="shared" si="213"/>
        <v>0</v>
      </c>
      <c r="AJ628" s="2" t="str">
        <f t="shared" si="223"/>
        <v>245292</v>
      </c>
    </row>
    <row r="629" spans="1:36" x14ac:dyDescent="0.25">
      <c r="A629">
        <v>3</v>
      </c>
      <c r="B629" s="1">
        <v>45292</v>
      </c>
      <c r="C629" s="1">
        <f t="shared" si="214"/>
        <v>45383</v>
      </c>
      <c r="D629" s="1">
        <f t="shared" si="215"/>
        <v>45306</v>
      </c>
      <c r="E629" s="1">
        <f t="shared" si="216"/>
        <v>45383</v>
      </c>
      <c r="F629" s="1">
        <f t="shared" si="217"/>
        <v>45413</v>
      </c>
      <c r="G629" s="1">
        <f t="shared" si="218"/>
        <v>45672</v>
      </c>
      <c r="H629">
        <f t="shared" si="219"/>
        <v>366</v>
      </c>
      <c r="I629">
        <f t="shared" si="220"/>
        <v>30</v>
      </c>
      <c r="J629">
        <f t="shared" si="221"/>
        <v>8.1967213114754092E-2</v>
      </c>
      <c r="K629">
        <f>IFERROR($J629/IF($A629&lt;COUNTIFS($K$1:K$1,"&lt;&gt;"),0,SUMIFS($J:$J,$B:$B,$B629,$A:$A,"&gt;="&amp;COUNTIFS($K$1:K$1,"&lt;&gt;"))),0)</f>
        <v>8.5959885386819479E-2</v>
      </c>
      <c r="L629">
        <f>IFERROR($J629/IF($A629&lt;COUNTIFS($K$1:L$1,"&lt;&gt;"),0,SUMIFS($J:$J,$B:$B,$B629,$A:$A,"&gt;="&amp;COUNTIFS($K$1:L$1,"&lt;&gt;"))),0)</f>
        <v>9.375E-2</v>
      </c>
      <c r="M629">
        <f>IFERROR($J629/IF($A629&lt;COUNTIFS($K$1:M$1,"&lt;&gt;"),0,SUMIFS($J:$J,$B:$B,$B629,$A:$A,"&gt;="&amp;COUNTIFS($K$1:M$1,"&lt;&gt;"))),0)</f>
        <v>0.10380622837370242</v>
      </c>
      <c r="N629">
        <f>IFERROR($J629/IF($A629&lt;COUNTIFS($K$1:N$1,"&lt;&gt;"),0,SUMIFS($J:$J,$B:$B,$B629,$A:$A,"&gt;="&amp;COUNTIFS($K$1:N$1,"&lt;&gt;"))),0)</f>
        <v>0</v>
      </c>
      <c r="O629">
        <f>IFERROR($J629/IF($A629&lt;COUNTIFS($K$1:O$1,"&lt;&gt;"),0,SUMIFS($J:$J,$B:$B,$B629,$A:$A,"&gt;="&amp;COUNTIFS($K$1:O$1,"&lt;&gt;"))),0)</f>
        <v>0</v>
      </c>
      <c r="P629">
        <f>IFERROR($J629/IF($A629&lt;COUNTIFS($K$1:P$1,"&lt;&gt;"),0,SUMIFS($J:$J,$B:$B,$B629,$A:$A,"&gt;="&amp;COUNTIFS($K$1:P$1,"&lt;&gt;"))),0)</f>
        <v>0</v>
      </c>
      <c r="Q629">
        <f>IFERROR($J629/IF($A629&lt;COUNTIFS($K$1:Q$1,"&lt;&gt;"),0,SUMIFS($J:$J,$B:$B,$B629,$A:$A,"&gt;="&amp;COUNTIFS($K$1:Q$1,"&lt;&gt;"))),0)</f>
        <v>0</v>
      </c>
      <c r="R629">
        <f>IFERROR($J629/IF($A629&lt;COUNTIFS($K$1:R$1,"&lt;&gt;"),0,SUMIFS($J:$J,$B:$B,$B629,$A:$A,"&gt;="&amp;COUNTIFS($K$1:R$1,"&lt;&gt;"))),0)</f>
        <v>0</v>
      </c>
      <c r="S629">
        <f>IFERROR($J629/IF($A629&lt;COUNTIFS($K$1:S$1,"&lt;&gt;"),0,SUMIFS($J:$J,$B:$B,$B629,$A:$A,"&gt;="&amp;COUNTIFS($K$1:S$1,"&lt;&gt;"))),0)</f>
        <v>0</v>
      </c>
      <c r="T629">
        <f>IFERROR($J629/IF($A629&lt;COUNTIFS($K$1:T$1,"&lt;&gt;"),0,SUMIFS($J:$J,$B:$B,$B629,$A:$A,"&gt;="&amp;COUNTIFS($K$1:T$1,"&lt;&gt;"))),0)</f>
        <v>0</v>
      </c>
      <c r="U629">
        <f>IFERROR($J629/IF($A629&lt;COUNTIFS($K$1:U$1,"&lt;&gt;"),0,SUMIFS($J:$J,$B:$B,$B629,$A:$A,"&gt;="&amp;COUNTIFS($K$1:U$1,"&lt;&gt;"))),0)</f>
        <v>0</v>
      </c>
      <c r="V629">
        <f>IFERROR($J629/IF($A629&lt;COUNTIFS($K$1:V$1,"&lt;&gt;"),0,SUMIFS($J:$J,$B:$B,$B629,$A:$A,"&gt;="&amp;COUNTIFS($K$1:V$1,"&lt;&gt;"))),0)</f>
        <v>0</v>
      </c>
      <c r="W629">
        <f t="shared" si="222"/>
        <v>8.1967213114754092E-2</v>
      </c>
      <c r="X629">
        <f t="shared" si="202"/>
        <v>8.1967213114754092E-2</v>
      </c>
      <c r="Y629">
        <f t="shared" si="203"/>
        <v>8.1967213114754092E-2</v>
      </c>
      <c r="Z629">
        <f t="shared" si="204"/>
        <v>8.1967213114754092E-2</v>
      </c>
      <c r="AA629">
        <f t="shared" si="205"/>
        <v>0</v>
      </c>
      <c r="AB629">
        <f t="shared" si="206"/>
        <v>0</v>
      </c>
      <c r="AC629">
        <f t="shared" si="207"/>
        <v>0</v>
      </c>
      <c r="AD629">
        <f t="shared" si="208"/>
        <v>0</v>
      </c>
      <c r="AE629">
        <f t="shared" si="209"/>
        <v>0</v>
      </c>
      <c r="AF629">
        <f t="shared" si="210"/>
        <v>0</v>
      </c>
      <c r="AG629">
        <f t="shared" si="211"/>
        <v>0</v>
      </c>
      <c r="AH629">
        <f t="shared" si="212"/>
        <v>0</v>
      </c>
      <c r="AI629">
        <f t="shared" si="213"/>
        <v>0</v>
      </c>
      <c r="AJ629" s="2" t="str">
        <f t="shared" si="223"/>
        <v>345292</v>
      </c>
    </row>
    <row r="630" spans="1:36" x14ac:dyDescent="0.25">
      <c r="A630">
        <v>4</v>
      </c>
      <c r="B630" s="1">
        <v>45292</v>
      </c>
      <c r="C630" s="1">
        <f t="shared" si="214"/>
        <v>45413</v>
      </c>
      <c r="D630" s="1">
        <f t="shared" si="215"/>
        <v>45306</v>
      </c>
      <c r="E630" s="1">
        <f t="shared" si="216"/>
        <v>45413</v>
      </c>
      <c r="F630" s="1">
        <f t="shared" si="217"/>
        <v>45444</v>
      </c>
      <c r="G630" s="1">
        <f t="shared" si="218"/>
        <v>45672</v>
      </c>
      <c r="H630">
        <f t="shared" si="219"/>
        <v>366</v>
      </c>
      <c r="I630">
        <f t="shared" si="220"/>
        <v>31</v>
      </c>
      <c r="J630">
        <f t="shared" si="221"/>
        <v>8.4699453551912565E-2</v>
      </c>
      <c r="K630">
        <f>IFERROR($J630/IF($A630&lt;COUNTIFS($K$1:K$1,"&lt;&gt;"),0,SUMIFS($J:$J,$B:$B,$B630,$A:$A,"&gt;="&amp;COUNTIFS($K$1:K$1,"&lt;&gt;"))),0)</f>
        <v>8.882521489971347E-2</v>
      </c>
      <c r="L630">
        <f>IFERROR($J630/IF($A630&lt;COUNTIFS($K$1:L$1,"&lt;&gt;"),0,SUMIFS($J:$J,$B:$B,$B630,$A:$A,"&gt;="&amp;COUNTIFS($K$1:L$1,"&lt;&gt;"))),0)</f>
        <v>9.6875000000000003E-2</v>
      </c>
      <c r="M630">
        <f>IFERROR($J630/IF($A630&lt;COUNTIFS($K$1:M$1,"&lt;&gt;"),0,SUMIFS($J:$J,$B:$B,$B630,$A:$A,"&gt;="&amp;COUNTIFS($K$1:M$1,"&lt;&gt;"))),0)</f>
        <v>0.10726643598615916</v>
      </c>
      <c r="N630">
        <f>IFERROR($J630/IF($A630&lt;COUNTIFS($K$1:N$1,"&lt;&gt;"),0,SUMIFS($J:$J,$B:$B,$B630,$A:$A,"&gt;="&amp;COUNTIFS($K$1:N$1,"&lt;&gt;"))),0)</f>
        <v>0.11969111969111969</v>
      </c>
      <c r="O630">
        <f>IFERROR($J630/IF($A630&lt;COUNTIFS($K$1:O$1,"&lt;&gt;"),0,SUMIFS($J:$J,$B:$B,$B630,$A:$A,"&gt;="&amp;COUNTIFS($K$1:O$1,"&lt;&gt;"))),0)</f>
        <v>0</v>
      </c>
      <c r="P630">
        <f>IFERROR($J630/IF($A630&lt;COUNTIFS($K$1:P$1,"&lt;&gt;"),0,SUMIFS($J:$J,$B:$B,$B630,$A:$A,"&gt;="&amp;COUNTIFS($K$1:P$1,"&lt;&gt;"))),0)</f>
        <v>0</v>
      </c>
      <c r="Q630">
        <f>IFERROR($J630/IF($A630&lt;COUNTIFS($K$1:Q$1,"&lt;&gt;"),0,SUMIFS($J:$J,$B:$B,$B630,$A:$A,"&gt;="&amp;COUNTIFS($K$1:Q$1,"&lt;&gt;"))),0)</f>
        <v>0</v>
      </c>
      <c r="R630">
        <f>IFERROR($J630/IF($A630&lt;COUNTIFS($K$1:R$1,"&lt;&gt;"),0,SUMIFS($J:$J,$B:$B,$B630,$A:$A,"&gt;="&amp;COUNTIFS($K$1:R$1,"&lt;&gt;"))),0)</f>
        <v>0</v>
      </c>
      <c r="S630">
        <f>IFERROR($J630/IF($A630&lt;COUNTIFS($K$1:S$1,"&lt;&gt;"),0,SUMIFS($J:$J,$B:$B,$B630,$A:$A,"&gt;="&amp;COUNTIFS($K$1:S$1,"&lt;&gt;"))),0)</f>
        <v>0</v>
      </c>
      <c r="T630">
        <f>IFERROR($J630/IF($A630&lt;COUNTIFS($K$1:T$1,"&lt;&gt;"),0,SUMIFS($J:$J,$B:$B,$B630,$A:$A,"&gt;="&amp;COUNTIFS($K$1:T$1,"&lt;&gt;"))),0)</f>
        <v>0</v>
      </c>
      <c r="U630">
        <f>IFERROR($J630/IF($A630&lt;COUNTIFS($K$1:U$1,"&lt;&gt;"),0,SUMIFS($J:$J,$B:$B,$B630,$A:$A,"&gt;="&amp;COUNTIFS($K$1:U$1,"&lt;&gt;"))),0)</f>
        <v>0</v>
      </c>
      <c r="V630">
        <f>IFERROR($J630/IF($A630&lt;COUNTIFS($K$1:V$1,"&lt;&gt;"),0,SUMIFS($J:$J,$B:$B,$B630,$A:$A,"&gt;="&amp;COUNTIFS($K$1:V$1,"&lt;&gt;"))),0)</f>
        <v>0</v>
      </c>
      <c r="W630">
        <f t="shared" si="222"/>
        <v>8.4699453551912565E-2</v>
      </c>
      <c r="X630">
        <f t="shared" si="202"/>
        <v>8.4699453551912565E-2</v>
      </c>
      <c r="Y630">
        <f t="shared" si="203"/>
        <v>8.4699453551912565E-2</v>
      </c>
      <c r="Z630">
        <f t="shared" si="204"/>
        <v>8.4699453551912565E-2</v>
      </c>
      <c r="AA630">
        <f t="shared" si="205"/>
        <v>8.4699453551912565E-2</v>
      </c>
      <c r="AB630">
        <f t="shared" si="206"/>
        <v>0</v>
      </c>
      <c r="AC630">
        <f t="shared" si="207"/>
        <v>0</v>
      </c>
      <c r="AD630">
        <f t="shared" si="208"/>
        <v>0</v>
      </c>
      <c r="AE630">
        <f t="shared" si="209"/>
        <v>0</v>
      </c>
      <c r="AF630">
        <f t="shared" si="210"/>
        <v>0</v>
      </c>
      <c r="AG630">
        <f t="shared" si="211"/>
        <v>0</v>
      </c>
      <c r="AH630">
        <f t="shared" si="212"/>
        <v>0</v>
      </c>
      <c r="AI630">
        <f t="shared" si="213"/>
        <v>0</v>
      </c>
      <c r="AJ630" s="2" t="str">
        <f t="shared" si="223"/>
        <v>445292</v>
      </c>
    </row>
    <row r="631" spans="1:36" x14ac:dyDescent="0.25">
      <c r="A631">
        <v>5</v>
      </c>
      <c r="B631" s="1">
        <v>45292</v>
      </c>
      <c r="C631" s="1">
        <f t="shared" si="214"/>
        <v>45444</v>
      </c>
      <c r="D631" s="1">
        <f t="shared" si="215"/>
        <v>45306</v>
      </c>
      <c r="E631" s="1">
        <f t="shared" si="216"/>
        <v>45444</v>
      </c>
      <c r="F631" s="1">
        <f t="shared" si="217"/>
        <v>45474</v>
      </c>
      <c r="G631" s="1">
        <f t="shared" si="218"/>
        <v>45672</v>
      </c>
      <c r="H631">
        <f t="shared" si="219"/>
        <v>366</v>
      </c>
      <c r="I631">
        <f t="shared" si="220"/>
        <v>30</v>
      </c>
      <c r="J631">
        <f t="shared" si="221"/>
        <v>8.1967213114754092E-2</v>
      </c>
      <c r="K631">
        <f>IFERROR($J631/IF($A631&lt;COUNTIFS($K$1:K$1,"&lt;&gt;"),0,SUMIFS($J:$J,$B:$B,$B631,$A:$A,"&gt;="&amp;COUNTIFS($K$1:K$1,"&lt;&gt;"))),0)</f>
        <v>8.5959885386819479E-2</v>
      </c>
      <c r="L631">
        <f>IFERROR($J631/IF($A631&lt;COUNTIFS($K$1:L$1,"&lt;&gt;"),0,SUMIFS($J:$J,$B:$B,$B631,$A:$A,"&gt;="&amp;COUNTIFS($K$1:L$1,"&lt;&gt;"))),0)</f>
        <v>9.375E-2</v>
      </c>
      <c r="M631">
        <f>IFERROR($J631/IF($A631&lt;COUNTIFS($K$1:M$1,"&lt;&gt;"),0,SUMIFS($J:$J,$B:$B,$B631,$A:$A,"&gt;="&amp;COUNTIFS($K$1:M$1,"&lt;&gt;"))),0)</f>
        <v>0.10380622837370242</v>
      </c>
      <c r="N631">
        <f>IFERROR($J631/IF($A631&lt;COUNTIFS($K$1:N$1,"&lt;&gt;"),0,SUMIFS($J:$J,$B:$B,$B631,$A:$A,"&gt;="&amp;COUNTIFS($K$1:N$1,"&lt;&gt;"))),0)</f>
        <v>0.11583011583011582</v>
      </c>
      <c r="O631">
        <f>IFERROR($J631/IF($A631&lt;COUNTIFS($K$1:O$1,"&lt;&gt;"),0,SUMIFS($J:$J,$B:$B,$B631,$A:$A,"&gt;="&amp;COUNTIFS($K$1:O$1,"&lt;&gt;"))),0)</f>
        <v>0.13157894736842105</v>
      </c>
      <c r="P631">
        <f>IFERROR($J631/IF($A631&lt;COUNTIFS($K$1:P$1,"&lt;&gt;"),0,SUMIFS($J:$J,$B:$B,$B631,$A:$A,"&gt;="&amp;COUNTIFS($K$1:P$1,"&lt;&gt;"))),0)</f>
        <v>0</v>
      </c>
      <c r="Q631">
        <f>IFERROR($J631/IF($A631&lt;COUNTIFS($K$1:Q$1,"&lt;&gt;"),0,SUMIFS($J:$J,$B:$B,$B631,$A:$A,"&gt;="&amp;COUNTIFS($K$1:Q$1,"&lt;&gt;"))),0)</f>
        <v>0</v>
      </c>
      <c r="R631">
        <f>IFERROR($J631/IF($A631&lt;COUNTIFS($K$1:R$1,"&lt;&gt;"),0,SUMIFS($J:$J,$B:$B,$B631,$A:$A,"&gt;="&amp;COUNTIFS($K$1:R$1,"&lt;&gt;"))),0)</f>
        <v>0</v>
      </c>
      <c r="S631">
        <f>IFERROR($J631/IF($A631&lt;COUNTIFS($K$1:S$1,"&lt;&gt;"),0,SUMIFS($J:$J,$B:$B,$B631,$A:$A,"&gt;="&amp;COUNTIFS($K$1:S$1,"&lt;&gt;"))),0)</f>
        <v>0</v>
      </c>
      <c r="T631">
        <f>IFERROR($J631/IF($A631&lt;COUNTIFS($K$1:T$1,"&lt;&gt;"),0,SUMIFS($J:$J,$B:$B,$B631,$A:$A,"&gt;="&amp;COUNTIFS($K$1:T$1,"&lt;&gt;"))),0)</f>
        <v>0</v>
      </c>
      <c r="U631">
        <f>IFERROR($J631/IF($A631&lt;COUNTIFS($K$1:U$1,"&lt;&gt;"),0,SUMIFS($J:$J,$B:$B,$B631,$A:$A,"&gt;="&amp;COUNTIFS($K$1:U$1,"&lt;&gt;"))),0)</f>
        <v>0</v>
      </c>
      <c r="V631">
        <f>IFERROR($J631/IF($A631&lt;COUNTIFS($K$1:V$1,"&lt;&gt;"),0,SUMIFS($J:$J,$B:$B,$B631,$A:$A,"&gt;="&amp;COUNTIFS($K$1:V$1,"&lt;&gt;"))),0)</f>
        <v>0</v>
      </c>
      <c r="W631">
        <f t="shared" si="222"/>
        <v>8.1967213114754092E-2</v>
      </c>
      <c r="X631">
        <f t="shared" si="202"/>
        <v>8.1967213114754092E-2</v>
      </c>
      <c r="Y631">
        <f t="shared" si="203"/>
        <v>8.1967213114754092E-2</v>
      </c>
      <c r="Z631">
        <f t="shared" si="204"/>
        <v>8.1967213114754092E-2</v>
      </c>
      <c r="AA631">
        <f t="shared" si="205"/>
        <v>8.1967213114754092E-2</v>
      </c>
      <c r="AB631">
        <f t="shared" si="206"/>
        <v>8.1967213114754092E-2</v>
      </c>
      <c r="AC631">
        <f t="shared" si="207"/>
        <v>0</v>
      </c>
      <c r="AD631">
        <f t="shared" si="208"/>
        <v>0</v>
      </c>
      <c r="AE631">
        <f t="shared" si="209"/>
        <v>0</v>
      </c>
      <c r="AF631">
        <f t="shared" si="210"/>
        <v>0</v>
      </c>
      <c r="AG631">
        <f t="shared" si="211"/>
        <v>0</v>
      </c>
      <c r="AH631">
        <f t="shared" si="212"/>
        <v>0</v>
      </c>
      <c r="AI631">
        <f t="shared" si="213"/>
        <v>0</v>
      </c>
      <c r="AJ631" s="2" t="str">
        <f t="shared" si="223"/>
        <v>545292</v>
      </c>
    </row>
    <row r="632" spans="1:36" x14ac:dyDescent="0.25">
      <c r="A632">
        <v>6</v>
      </c>
      <c r="B632" s="1">
        <v>45292</v>
      </c>
      <c r="C632" s="1">
        <f t="shared" si="214"/>
        <v>45474</v>
      </c>
      <c r="D632" s="1">
        <f t="shared" si="215"/>
        <v>45306</v>
      </c>
      <c r="E632" s="1">
        <f t="shared" si="216"/>
        <v>45474</v>
      </c>
      <c r="F632" s="1">
        <f t="shared" si="217"/>
        <v>45505</v>
      </c>
      <c r="G632" s="1">
        <f t="shared" si="218"/>
        <v>45672</v>
      </c>
      <c r="H632">
        <f t="shared" si="219"/>
        <v>366</v>
      </c>
      <c r="I632">
        <f t="shared" si="220"/>
        <v>31</v>
      </c>
      <c r="J632">
        <f t="shared" si="221"/>
        <v>8.4699453551912565E-2</v>
      </c>
      <c r="K632">
        <f>IFERROR($J632/IF($A632&lt;COUNTIFS($K$1:K$1,"&lt;&gt;"),0,SUMIFS($J:$J,$B:$B,$B632,$A:$A,"&gt;="&amp;COUNTIFS($K$1:K$1,"&lt;&gt;"))),0)</f>
        <v>8.882521489971347E-2</v>
      </c>
      <c r="L632">
        <f>IFERROR($J632/IF($A632&lt;COUNTIFS($K$1:L$1,"&lt;&gt;"),0,SUMIFS($J:$J,$B:$B,$B632,$A:$A,"&gt;="&amp;COUNTIFS($K$1:L$1,"&lt;&gt;"))),0)</f>
        <v>9.6875000000000003E-2</v>
      </c>
      <c r="M632">
        <f>IFERROR($J632/IF($A632&lt;COUNTIFS($K$1:M$1,"&lt;&gt;"),0,SUMIFS($J:$J,$B:$B,$B632,$A:$A,"&gt;="&amp;COUNTIFS($K$1:M$1,"&lt;&gt;"))),0)</f>
        <v>0.10726643598615916</v>
      </c>
      <c r="N632">
        <f>IFERROR($J632/IF($A632&lt;COUNTIFS($K$1:N$1,"&lt;&gt;"),0,SUMIFS($J:$J,$B:$B,$B632,$A:$A,"&gt;="&amp;COUNTIFS($K$1:N$1,"&lt;&gt;"))),0)</f>
        <v>0.11969111969111969</v>
      </c>
      <c r="O632">
        <f>IFERROR($J632/IF($A632&lt;COUNTIFS($K$1:O$1,"&lt;&gt;"),0,SUMIFS($J:$J,$B:$B,$B632,$A:$A,"&gt;="&amp;COUNTIFS($K$1:O$1,"&lt;&gt;"))),0)</f>
        <v>0.13596491228070173</v>
      </c>
      <c r="P632">
        <f>IFERROR($J632/IF($A632&lt;COUNTIFS($K$1:P$1,"&lt;&gt;"),0,SUMIFS($J:$J,$B:$B,$B632,$A:$A,"&gt;="&amp;COUNTIFS($K$1:P$1,"&lt;&gt;"))),0)</f>
        <v>0.15656565656565655</v>
      </c>
      <c r="Q632">
        <f>IFERROR($J632/IF($A632&lt;COUNTIFS($K$1:Q$1,"&lt;&gt;"),0,SUMIFS($J:$J,$B:$B,$B632,$A:$A,"&gt;="&amp;COUNTIFS($K$1:Q$1,"&lt;&gt;"))),0)</f>
        <v>0</v>
      </c>
      <c r="R632">
        <f>IFERROR($J632/IF($A632&lt;COUNTIFS($K$1:R$1,"&lt;&gt;"),0,SUMIFS($J:$J,$B:$B,$B632,$A:$A,"&gt;="&amp;COUNTIFS($K$1:R$1,"&lt;&gt;"))),0)</f>
        <v>0</v>
      </c>
      <c r="S632">
        <f>IFERROR($J632/IF($A632&lt;COUNTIFS($K$1:S$1,"&lt;&gt;"),0,SUMIFS($J:$J,$B:$B,$B632,$A:$A,"&gt;="&amp;COUNTIFS($K$1:S$1,"&lt;&gt;"))),0)</f>
        <v>0</v>
      </c>
      <c r="T632">
        <f>IFERROR($J632/IF($A632&lt;COUNTIFS($K$1:T$1,"&lt;&gt;"),0,SUMIFS($J:$J,$B:$B,$B632,$A:$A,"&gt;="&amp;COUNTIFS($K$1:T$1,"&lt;&gt;"))),0)</f>
        <v>0</v>
      </c>
      <c r="U632">
        <f>IFERROR($J632/IF($A632&lt;COUNTIFS($K$1:U$1,"&lt;&gt;"),0,SUMIFS($J:$J,$B:$B,$B632,$A:$A,"&gt;="&amp;COUNTIFS($K$1:U$1,"&lt;&gt;"))),0)</f>
        <v>0</v>
      </c>
      <c r="V632">
        <f>IFERROR($J632/IF($A632&lt;COUNTIFS($K$1:V$1,"&lt;&gt;"),0,SUMIFS($J:$J,$B:$B,$B632,$A:$A,"&gt;="&amp;COUNTIFS($K$1:V$1,"&lt;&gt;"))),0)</f>
        <v>0</v>
      </c>
      <c r="W632">
        <f t="shared" si="222"/>
        <v>8.4699453551912565E-2</v>
      </c>
      <c r="X632">
        <f t="shared" si="202"/>
        <v>8.4699453551912565E-2</v>
      </c>
      <c r="Y632">
        <f t="shared" si="203"/>
        <v>8.4699453551912565E-2</v>
      </c>
      <c r="Z632">
        <f t="shared" si="204"/>
        <v>8.4699453551912565E-2</v>
      </c>
      <c r="AA632">
        <f t="shared" si="205"/>
        <v>8.4699453551912565E-2</v>
      </c>
      <c r="AB632">
        <f t="shared" si="206"/>
        <v>8.4699453551912565E-2</v>
      </c>
      <c r="AC632">
        <f t="shared" si="207"/>
        <v>8.4699453551912565E-2</v>
      </c>
      <c r="AD632">
        <f t="shared" si="208"/>
        <v>0</v>
      </c>
      <c r="AE632">
        <f t="shared" si="209"/>
        <v>0</v>
      </c>
      <c r="AF632">
        <f t="shared" si="210"/>
        <v>0</v>
      </c>
      <c r="AG632">
        <f t="shared" si="211"/>
        <v>0</v>
      </c>
      <c r="AH632">
        <f t="shared" si="212"/>
        <v>0</v>
      </c>
      <c r="AI632">
        <f t="shared" si="213"/>
        <v>0</v>
      </c>
      <c r="AJ632" s="2" t="str">
        <f t="shared" si="223"/>
        <v>645292</v>
      </c>
    </row>
    <row r="633" spans="1:36" x14ac:dyDescent="0.25">
      <c r="A633">
        <v>7</v>
      </c>
      <c r="B633" s="1">
        <v>45292</v>
      </c>
      <c r="C633" s="1">
        <f t="shared" si="214"/>
        <v>45505</v>
      </c>
      <c r="D633" s="1">
        <f t="shared" si="215"/>
        <v>45306</v>
      </c>
      <c r="E633" s="1">
        <f t="shared" si="216"/>
        <v>45505</v>
      </c>
      <c r="F633" s="1">
        <f t="shared" si="217"/>
        <v>45536</v>
      </c>
      <c r="G633" s="1">
        <f t="shared" si="218"/>
        <v>45672</v>
      </c>
      <c r="H633">
        <f t="shared" si="219"/>
        <v>366</v>
      </c>
      <c r="I633">
        <f t="shared" si="220"/>
        <v>31</v>
      </c>
      <c r="J633">
        <f t="shared" si="221"/>
        <v>8.4699453551912565E-2</v>
      </c>
      <c r="K633">
        <f>IFERROR($J633/IF($A633&lt;COUNTIFS($K$1:K$1,"&lt;&gt;"),0,SUMIFS($J:$J,$B:$B,$B633,$A:$A,"&gt;="&amp;COUNTIFS($K$1:K$1,"&lt;&gt;"))),0)</f>
        <v>8.882521489971347E-2</v>
      </c>
      <c r="L633">
        <f>IFERROR($J633/IF($A633&lt;COUNTIFS($K$1:L$1,"&lt;&gt;"),0,SUMIFS($J:$J,$B:$B,$B633,$A:$A,"&gt;="&amp;COUNTIFS($K$1:L$1,"&lt;&gt;"))),0)</f>
        <v>9.6875000000000003E-2</v>
      </c>
      <c r="M633">
        <f>IFERROR($J633/IF($A633&lt;COUNTIFS($K$1:M$1,"&lt;&gt;"),0,SUMIFS($J:$J,$B:$B,$B633,$A:$A,"&gt;="&amp;COUNTIFS($K$1:M$1,"&lt;&gt;"))),0)</f>
        <v>0.10726643598615916</v>
      </c>
      <c r="N633">
        <f>IFERROR($J633/IF($A633&lt;COUNTIFS($K$1:N$1,"&lt;&gt;"),0,SUMIFS($J:$J,$B:$B,$B633,$A:$A,"&gt;="&amp;COUNTIFS($K$1:N$1,"&lt;&gt;"))),0)</f>
        <v>0.11969111969111969</v>
      </c>
      <c r="O633">
        <f>IFERROR($J633/IF($A633&lt;COUNTIFS($K$1:O$1,"&lt;&gt;"),0,SUMIFS($J:$J,$B:$B,$B633,$A:$A,"&gt;="&amp;COUNTIFS($K$1:O$1,"&lt;&gt;"))),0)</f>
        <v>0.13596491228070173</v>
      </c>
      <c r="P633">
        <f>IFERROR($J633/IF($A633&lt;COUNTIFS($K$1:P$1,"&lt;&gt;"),0,SUMIFS($J:$J,$B:$B,$B633,$A:$A,"&gt;="&amp;COUNTIFS($K$1:P$1,"&lt;&gt;"))),0)</f>
        <v>0.15656565656565655</v>
      </c>
      <c r="Q633">
        <f>IFERROR($J633/IF($A633&lt;COUNTIFS($K$1:Q$1,"&lt;&gt;"),0,SUMIFS($J:$J,$B:$B,$B633,$A:$A,"&gt;="&amp;COUNTIFS($K$1:Q$1,"&lt;&gt;"))),0)</f>
        <v>0.18562874251497008</v>
      </c>
      <c r="R633">
        <f>IFERROR($J633/IF($A633&lt;COUNTIFS($K$1:R$1,"&lt;&gt;"),0,SUMIFS($J:$J,$B:$B,$B633,$A:$A,"&gt;="&amp;COUNTIFS($K$1:R$1,"&lt;&gt;"))),0)</f>
        <v>0</v>
      </c>
      <c r="S633">
        <f>IFERROR($J633/IF($A633&lt;COUNTIFS($K$1:S$1,"&lt;&gt;"),0,SUMIFS($J:$J,$B:$B,$B633,$A:$A,"&gt;="&amp;COUNTIFS($K$1:S$1,"&lt;&gt;"))),0)</f>
        <v>0</v>
      </c>
      <c r="T633">
        <f>IFERROR($J633/IF($A633&lt;COUNTIFS($K$1:T$1,"&lt;&gt;"),0,SUMIFS($J:$J,$B:$B,$B633,$A:$A,"&gt;="&amp;COUNTIFS($K$1:T$1,"&lt;&gt;"))),0)</f>
        <v>0</v>
      </c>
      <c r="U633">
        <f>IFERROR($J633/IF($A633&lt;COUNTIFS($K$1:U$1,"&lt;&gt;"),0,SUMIFS($J:$J,$B:$B,$B633,$A:$A,"&gt;="&amp;COUNTIFS($K$1:U$1,"&lt;&gt;"))),0)</f>
        <v>0</v>
      </c>
      <c r="V633">
        <f>IFERROR($J633/IF($A633&lt;COUNTIFS($K$1:V$1,"&lt;&gt;"),0,SUMIFS($J:$J,$B:$B,$B633,$A:$A,"&gt;="&amp;COUNTIFS($K$1:V$1,"&lt;&gt;"))),0)</f>
        <v>0</v>
      </c>
      <c r="W633">
        <f t="shared" si="222"/>
        <v>8.4699453551912565E-2</v>
      </c>
      <c r="X633">
        <f t="shared" si="202"/>
        <v>8.4699453551912565E-2</v>
      </c>
      <c r="Y633">
        <f t="shared" si="203"/>
        <v>8.4699453551912565E-2</v>
      </c>
      <c r="Z633">
        <f t="shared" si="204"/>
        <v>8.4699453551912565E-2</v>
      </c>
      <c r="AA633">
        <f t="shared" si="205"/>
        <v>8.4699453551912565E-2</v>
      </c>
      <c r="AB633">
        <f t="shared" si="206"/>
        <v>8.4699453551912565E-2</v>
      </c>
      <c r="AC633">
        <f t="shared" si="207"/>
        <v>8.4699453551912565E-2</v>
      </c>
      <c r="AD633">
        <f t="shared" si="208"/>
        <v>8.4699453551912565E-2</v>
      </c>
      <c r="AE633">
        <f t="shared" si="209"/>
        <v>0</v>
      </c>
      <c r="AF633">
        <f t="shared" si="210"/>
        <v>0</v>
      </c>
      <c r="AG633">
        <f t="shared" si="211"/>
        <v>0</v>
      </c>
      <c r="AH633">
        <f t="shared" si="212"/>
        <v>0</v>
      </c>
      <c r="AI633">
        <f t="shared" si="213"/>
        <v>0</v>
      </c>
      <c r="AJ633" s="2" t="str">
        <f t="shared" si="223"/>
        <v>745292</v>
      </c>
    </row>
    <row r="634" spans="1:36" x14ac:dyDescent="0.25">
      <c r="A634">
        <v>8</v>
      </c>
      <c r="B634" s="1">
        <v>45292</v>
      </c>
      <c r="C634" s="1">
        <f t="shared" si="214"/>
        <v>45536</v>
      </c>
      <c r="D634" s="1">
        <f t="shared" si="215"/>
        <v>45306</v>
      </c>
      <c r="E634" s="1">
        <f t="shared" si="216"/>
        <v>45536</v>
      </c>
      <c r="F634" s="1">
        <f t="shared" si="217"/>
        <v>45566</v>
      </c>
      <c r="G634" s="1">
        <f t="shared" si="218"/>
        <v>45672</v>
      </c>
      <c r="H634">
        <f t="shared" si="219"/>
        <v>366</v>
      </c>
      <c r="I634">
        <f t="shared" si="220"/>
        <v>30</v>
      </c>
      <c r="J634">
        <f t="shared" si="221"/>
        <v>8.1967213114754092E-2</v>
      </c>
      <c r="K634">
        <f>IFERROR($J634/IF($A634&lt;COUNTIFS($K$1:K$1,"&lt;&gt;"),0,SUMIFS($J:$J,$B:$B,$B634,$A:$A,"&gt;="&amp;COUNTIFS($K$1:K$1,"&lt;&gt;"))),0)</f>
        <v>8.5959885386819479E-2</v>
      </c>
      <c r="L634">
        <f>IFERROR($J634/IF($A634&lt;COUNTIFS($K$1:L$1,"&lt;&gt;"),0,SUMIFS($J:$J,$B:$B,$B634,$A:$A,"&gt;="&amp;COUNTIFS($K$1:L$1,"&lt;&gt;"))),0)</f>
        <v>9.375E-2</v>
      </c>
      <c r="M634">
        <f>IFERROR($J634/IF($A634&lt;COUNTIFS($K$1:M$1,"&lt;&gt;"),0,SUMIFS($J:$J,$B:$B,$B634,$A:$A,"&gt;="&amp;COUNTIFS($K$1:M$1,"&lt;&gt;"))),0)</f>
        <v>0.10380622837370242</v>
      </c>
      <c r="N634">
        <f>IFERROR($J634/IF($A634&lt;COUNTIFS($K$1:N$1,"&lt;&gt;"),0,SUMIFS($J:$J,$B:$B,$B634,$A:$A,"&gt;="&amp;COUNTIFS($K$1:N$1,"&lt;&gt;"))),0)</f>
        <v>0.11583011583011582</v>
      </c>
      <c r="O634">
        <f>IFERROR($J634/IF($A634&lt;COUNTIFS($K$1:O$1,"&lt;&gt;"),0,SUMIFS($J:$J,$B:$B,$B634,$A:$A,"&gt;="&amp;COUNTIFS($K$1:O$1,"&lt;&gt;"))),0)</f>
        <v>0.13157894736842105</v>
      </c>
      <c r="P634">
        <f>IFERROR($J634/IF($A634&lt;COUNTIFS($K$1:P$1,"&lt;&gt;"),0,SUMIFS($J:$J,$B:$B,$B634,$A:$A,"&gt;="&amp;COUNTIFS($K$1:P$1,"&lt;&gt;"))),0)</f>
        <v>0.15151515151515149</v>
      </c>
      <c r="Q634">
        <f>IFERROR($J634/IF($A634&lt;COUNTIFS($K$1:Q$1,"&lt;&gt;"),0,SUMIFS($J:$J,$B:$B,$B634,$A:$A,"&gt;="&amp;COUNTIFS($K$1:Q$1,"&lt;&gt;"))),0)</f>
        <v>0.17964071856287425</v>
      </c>
      <c r="R634">
        <f>IFERROR($J634/IF($A634&lt;COUNTIFS($K$1:R$1,"&lt;&gt;"),0,SUMIFS($J:$J,$B:$B,$B634,$A:$A,"&gt;="&amp;COUNTIFS($K$1:R$1,"&lt;&gt;"))),0)</f>
        <v>0.22058823529411764</v>
      </c>
      <c r="S634">
        <f>IFERROR($J634/IF($A634&lt;COUNTIFS($K$1:S$1,"&lt;&gt;"),0,SUMIFS($J:$J,$B:$B,$B634,$A:$A,"&gt;="&amp;COUNTIFS($K$1:S$1,"&lt;&gt;"))),0)</f>
        <v>0</v>
      </c>
      <c r="T634">
        <f>IFERROR($J634/IF($A634&lt;COUNTIFS($K$1:T$1,"&lt;&gt;"),0,SUMIFS($J:$J,$B:$B,$B634,$A:$A,"&gt;="&amp;COUNTIFS($K$1:T$1,"&lt;&gt;"))),0)</f>
        <v>0</v>
      </c>
      <c r="U634">
        <f>IFERROR($J634/IF($A634&lt;COUNTIFS($K$1:U$1,"&lt;&gt;"),0,SUMIFS($J:$J,$B:$B,$B634,$A:$A,"&gt;="&amp;COUNTIFS($K$1:U$1,"&lt;&gt;"))),0)</f>
        <v>0</v>
      </c>
      <c r="V634">
        <f>IFERROR($J634/IF($A634&lt;COUNTIFS($K$1:V$1,"&lt;&gt;"),0,SUMIFS($J:$J,$B:$B,$B634,$A:$A,"&gt;="&amp;COUNTIFS($K$1:V$1,"&lt;&gt;"))),0)</f>
        <v>0</v>
      </c>
      <c r="W634">
        <f t="shared" si="222"/>
        <v>8.1967213114754092E-2</v>
      </c>
      <c r="X634">
        <f t="shared" si="202"/>
        <v>8.1967213114754092E-2</v>
      </c>
      <c r="Y634">
        <f t="shared" si="203"/>
        <v>8.1967213114754092E-2</v>
      </c>
      <c r="Z634">
        <f t="shared" si="204"/>
        <v>8.1967213114754092E-2</v>
      </c>
      <c r="AA634">
        <f t="shared" si="205"/>
        <v>8.1967213114754092E-2</v>
      </c>
      <c r="AB634">
        <f t="shared" si="206"/>
        <v>8.1967213114754092E-2</v>
      </c>
      <c r="AC634">
        <f t="shared" si="207"/>
        <v>8.1967213114754092E-2</v>
      </c>
      <c r="AD634">
        <f t="shared" si="208"/>
        <v>8.1967213114754092E-2</v>
      </c>
      <c r="AE634">
        <f t="shared" si="209"/>
        <v>8.1967213114754092E-2</v>
      </c>
      <c r="AF634">
        <f t="shared" si="210"/>
        <v>0</v>
      </c>
      <c r="AG634">
        <f t="shared" si="211"/>
        <v>0</v>
      </c>
      <c r="AH634">
        <f t="shared" si="212"/>
        <v>0</v>
      </c>
      <c r="AI634">
        <f t="shared" si="213"/>
        <v>0</v>
      </c>
      <c r="AJ634" s="2" t="str">
        <f t="shared" si="223"/>
        <v>845292</v>
      </c>
    </row>
    <row r="635" spans="1:36" x14ac:dyDescent="0.25">
      <c r="A635">
        <v>9</v>
      </c>
      <c r="B635" s="1">
        <v>45292</v>
      </c>
      <c r="C635" s="1">
        <f t="shared" si="214"/>
        <v>45566</v>
      </c>
      <c r="D635" s="1">
        <f t="shared" si="215"/>
        <v>45306</v>
      </c>
      <c r="E635" s="1">
        <f t="shared" si="216"/>
        <v>45566</v>
      </c>
      <c r="F635" s="1">
        <f t="shared" si="217"/>
        <v>45597</v>
      </c>
      <c r="G635" s="1">
        <f t="shared" si="218"/>
        <v>45672</v>
      </c>
      <c r="H635">
        <f t="shared" si="219"/>
        <v>366</v>
      </c>
      <c r="I635">
        <f t="shared" si="220"/>
        <v>31</v>
      </c>
      <c r="J635">
        <f t="shared" si="221"/>
        <v>8.4699453551912565E-2</v>
      </c>
      <c r="K635">
        <f>IFERROR($J635/IF($A635&lt;COUNTIFS($K$1:K$1,"&lt;&gt;"),0,SUMIFS($J:$J,$B:$B,$B635,$A:$A,"&gt;="&amp;COUNTIFS($K$1:K$1,"&lt;&gt;"))),0)</f>
        <v>8.882521489971347E-2</v>
      </c>
      <c r="L635">
        <f>IFERROR($J635/IF($A635&lt;COUNTIFS($K$1:L$1,"&lt;&gt;"),0,SUMIFS($J:$J,$B:$B,$B635,$A:$A,"&gt;="&amp;COUNTIFS($K$1:L$1,"&lt;&gt;"))),0)</f>
        <v>9.6875000000000003E-2</v>
      </c>
      <c r="M635">
        <f>IFERROR($J635/IF($A635&lt;COUNTIFS($K$1:M$1,"&lt;&gt;"),0,SUMIFS($J:$J,$B:$B,$B635,$A:$A,"&gt;="&amp;COUNTIFS($K$1:M$1,"&lt;&gt;"))),0)</f>
        <v>0.10726643598615916</v>
      </c>
      <c r="N635">
        <f>IFERROR($J635/IF($A635&lt;COUNTIFS($K$1:N$1,"&lt;&gt;"),0,SUMIFS($J:$J,$B:$B,$B635,$A:$A,"&gt;="&amp;COUNTIFS($K$1:N$1,"&lt;&gt;"))),0)</f>
        <v>0.11969111969111969</v>
      </c>
      <c r="O635">
        <f>IFERROR($J635/IF($A635&lt;COUNTIFS($K$1:O$1,"&lt;&gt;"),0,SUMIFS($J:$J,$B:$B,$B635,$A:$A,"&gt;="&amp;COUNTIFS($K$1:O$1,"&lt;&gt;"))),0)</f>
        <v>0.13596491228070173</v>
      </c>
      <c r="P635">
        <f>IFERROR($J635/IF($A635&lt;COUNTIFS($K$1:P$1,"&lt;&gt;"),0,SUMIFS($J:$J,$B:$B,$B635,$A:$A,"&gt;="&amp;COUNTIFS($K$1:P$1,"&lt;&gt;"))),0)</f>
        <v>0.15656565656565655</v>
      </c>
      <c r="Q635">
        <f>IFERROR($J635/IF($A635&lt;COUNTIFS($K$1:Q$1,"&lt;&gt;"),0,SUMIFS($J:$J,$B:$B,$B635,$A:$A,"&gt;="&amp;COUNTIFS($K$1:Q$1,"&lt;&gt;"))),0)</f>
        <v>0.18562874251497008</v>
      </c>
      <c r="R635">
        <f>IFERROR($J635/IF($A635&lt;COUNTIFS($K$1:R$1,"&lt;&gt;"),0,SUMIFS($J:$J,$B:$B,$B635,$A:$A,"&gt;="&amp;COUNTIFS($K$1:R$1,"&lt;&gt;"))),0)</f>
        <v>0.22794117647058826</v>
      </c>
      <c r="S635">
        <f>IFERROR($J635/IF($A635&lt;COUNTIFS($K$1:S$1,"&lt;&gt;"),0,SUMIFS($J:$J,$B:$B,$B635,$A:$A,"&gt;="&amp;COUNTIFS($K$1:S$1,"&lt;&gt;"))),0)</f>
        <v>0.29245283018867924</v>
      </c>
      <c r="T635">
        <f>IFERROR($J635/IF($A635&lt;COUNTIFS($K$1:T$1,"&lt;&gt;"),0,SUMIFS($J:$J,$B:$B,$B635,$A:$A,"&gt;="&amp;COUNTIFS($K$1:T$1,"&lt;&gt;"))),0)</f>
        <v>0</v>
      </c>
      <c r="U635">
        <f>IFERROR($J635/IF($A635&lt;COUNTIFS($K$1:U$1,"&lt;&gt;"),0,SUMIFS($J:$J,$B:$B,$B635,$A:$A,"&gt;="&amp;COUNTIFS($K$1:U$1,"&lt;&gt;"))),0)</f>
        <v>0</v>
      </c>
      <c r="V635">
        <f>IFERROR($J635/IF($A635&lt;COUNTIFS($K$1:V$1,"&lt;&gt;"),0,SUMIFS($J:$J,$B:$B,$B635,$A:$A,"&gt;="&amp;COUNTIFS($K$1:V$1,"&lt;&gt;"))),0)</f>
        <v>0</v>
      </c>
      <c r="W635">
        <f t="shared" si="222"/>
        <v>8.4699453551912565E-2</v>
      </c>
      <c r="X635">
        <f t="shared" si="202"/>
        <v>8.4699453551912565E-2</v>
      </c>
      <c r="Y635">
        <f t="shared" si="203"/>
        <v>8.4699453551912565E-2</v>
      </c>
      <c r="Z635">
        <f t="shared" si="204"/>
        <v>8.4699453551912565E-2</v>
      </c>
      <c r="AA635">
        <f t="shared" si="205"/>
        <v>8.4699453551912565E-2</v>
      </c>
      <c r="AB635">
        <f t="shared" si="206"/>
        <v>8.4699453551912565E-2</v>
      </c>
      <c r="AC635">
        <f t="shared" si="207"/>
        <v>8.4699453551912565E-2</v>
      </c>
      <c r="AD635">
        <f t="shared" si="208"/>
        <v>8.4699453551912565E-2</v>
      </c>
      <c r="AE635">
        <f t="shared" si="209"/>
        <v>8.4699453551912565E-2</v>
      </c>
      <c r="AF635">
        <f t="shared" si="210"/>
        <v>8.4699453551912565E-2</v>
      </c>
      <c r="AG635">
        <f t="shared" si="211"/>
        <v>0</v>
      </c>
      <c r="AH635">
        <f t="shared" si="212"/>
        <v>0</v>
      </c>
      <c r="AI635">
        <f t="shared" si="213"/>
        <v>0</v>
      </c>
      <c r="AJ635" s="2" t="str">
        <f t="shared" si="223"/>
        <v>945292</v>
      </c>
    </row>
    <row r="636" spans="1:36" x14ac:dyDescent="0.25">
      <c r="A636">
        <v>10</v>
      </c>
      <c r="B636" s="1">
        <v>45292</v>
      </c>
      <c r="C636" s="1">
        <f t="shared" si="214"/>
        <v>45597</v>
      </c>
      <c r="D636" s="1">
        <f t="shared" si="215"/>
        <v>45306</v>
      </c>
      <c r="E636" s="1">
        <f t="shared" si="216"/>
        <v>45597</v>
      </c>
      <c r="F636" s="1">
        <f t="shared" si="217"/>
        <v>45627</v>
      </c>
      <c r="G636" s="1">
        <f t="shared" si="218"/>
        <v>45672</v>
      </c>
      <c r="H636">
        <f t="shared" si="219"/>
        <v>366</v>
      </c>
      <c r="I636">
        <f t="shared" si="220"/>
        <v>30</v>
      </c>
      <c r="J636">
        <f t="shared" si="221"/>
        <v>8.1967213114754092E-2</v>
      </c>
      <c r="K636">
        <f>IFERROR($J636/IF($A636&lt;COUNTIFS($K$1:K$1,"&lt;&gt;"),0,SUMIFS($J:$J,$B:$B,$B636,$A:$A,"&gt;="&amp;COUNTIFS($K$1:K$1,"&lt;&gt;"))),0)</f>
        <v>8.5959885386819479E-2</v>
      </c>
      <c r="L636">
        <f>IFERROR($J636/IF($A636&lt;COUNTIFS($K$1:L$1,"&lt;&gt;"),0,SUMIFS($J:$J,$B:$B,$B636,$A:$A,"&gt;="&amp;COUNTIFS($K$1:L$1,"&lt;&gt;"))),0)</f>
        <v>9.375E-2</v>
      </c>
      <c r="M636">
        <f>IFERROR($J636/IF($A636&lt;COUNTIFS($K$1:M$1,"&lt;&gt;"),0,SUMIFS($J:$J,$B:$B,$B636,$A:$A,"&gt;="&amp;COUNTIFS($K$1:M$1,"&lt;&gt;"))),0)</f>
        <v>0.10380622837370242</v>
      </c>
      <c r="N636">
        <f>IFERROR($J636/IF($A636&lt;COUNTIFS($K$1:N$1,"&lt;&gt;"),0,SUMIFS($J:$J,$B:$B,$B636,$A:$A,"&gt;="&amp;COUNTIFS($K$1:N$1,"&lt;&gt;"))),0)</f>
        <v>0.11583011583011582</v>
      </c>
      <c r="O636">
        <f>IFERROR($J636/IF($A636&lt;COUNTIFS($K$1:O$1,"&lt;&gt;"),0,SUMIFS($J:$J,$B:$B,$B636,$A:$A,"&gt;="&amp;COUNTIFS($K$1:O$1,"&lt;&gt;"))),0)</f>
        <v>0.13157894736842105</v>
      </c>
      <c r="P636">
        <f>IFERROR($J636/IF($A636&lt;COUNTIFS($K$1:P$1,"&lt;&gt;"),0,SUMIFS($J:$J,$B:$B,$B636,$A:$A,"&gt;="&amp;COUNTIFS($K$1:P$1,"&lt;&gt;"))),0)</f>
        <v>0.15151515151515149</v>
      </c>
      <c r="Q636">
        <f>IFERROR($J636/IF($A636&lt;COUNTIFS($K$1:Q$1,"&lt;&gt;"),0,SUMIFS($J:$J,$B:$B,$B636,$A:$A,"&gt;="&amp;COUNTIFS($K$1:Q$1,"&lt;&gt;"))),0)</f>
        <v>0.17964071856287425</v>
      </c>
      <c r="R636">
        <f>IFERROR($J636/IF($A636&lt;COUNTIFS($K$1:R$1,"&lt;&gt;"),0,SUMIFS($J:$J,$B:$B,$B636,$A:$A,"&gt;="&amp;COUNTIFS($K$1:R$1,"&lt;&gt;"))),0)</f>
        <v>0.22058823529411764</v>
      </c>
      <c r="S636">
        <f>IFERROR($J636/IF($A636&lt;COUNTIFS($K$1:S$1,"&lt;&gt;"),0,SUMIFS($J:$J,$B:$B,$B636,$A:$A,"&gt;="&amp;COUNTIFS($K$1:S$1,"&lt;&gt;"))),0)</f>
        <v>0.28301886792452829</v>
      </c>
      <c r="T636">
        <f>IFERROR($J636/IF($A636&lt;COUNTIFS($K$1:T$1,"&lt;&gt;"),0,SUMIFS($J:$J,$B:$B,$B636,$A:$A,"&gt;="&amp;COUNTIFS($K$1:T$1,"&lt;&gt;"))),0)</f>
        <v>0.39999999999999997</v>
      </c>
      <c r="U636">
        <f>IFERROR($J636/IF($A636&lt;COUNTIFS($K$1:U$1,"&lt;&gt;"),0,SUMIFS($J:$J,$B:$B,$B636,$A:$A,"&gt;="&amp;COUNTIFS($K$1:U$1,"&lt;&gt;"))),0)</f>
        <v>0</v>
      </c>
      <c r="V636">
        <f>IFERROR($J636/IF($A636&lt;COUNTIFS($K$1:V$1,"&lt;&gt;"),0,SUMIFS($J:$J,$B:$B,$B636,$A:$A,"&gt;="&amp;COUNTIFS($K$1:V$1,"&lt;&gt;"))),0)</f>
        <v>0</v>
      </c>
      <c r="W636">
        <f t="shared" si="222"/>
        <v>8.1967213114754092E-2</v>
      </c>
      <c r="X636">
        <f t="shared" si="202"/>
        <v>8.1967213114754092E-2</v>
      </c>
      <c r="Y636">
        <f t="shared" si="203"/>
        <v>8.1967213114754092E-2</v>
      </c>
      <c r="Z636">
        <f t="shared" si="204"/>
        <v>8.1967213114754092E-2</v>
      </c>
      <c r="AA636">
        <f t="shared" si="205"/>
        <v>8.1967213114754092E-2</v>
      </c>
      <c r="AB636">
        <f t="shared" si="206"/>
        <v>8.1967213114754092E-2</v>
      </c>
      <c r="AC636">
        <f t="shared" si="207"/>
        <v>8.1967213114754092E-2</v>
      </c>
      <c r="AD636">
        <f t="shared" si="208"/>
        <v>8.1967213114754092E-2</v>
      </c>
      <c r="AE636">
        <f t="shared" si="209"/>
        <v>8.1967213114754092E-2</v>
      </c>
      <c r="AF636">
        <f t="shared" si="210"/>
        <v>8.1967213114754092E-2</v>
      </c>
      <c r="AG636">
        <f t="shared" si="211"/>
        <v>8.1967213114754092E-2</v>
      </c>
      <c r="AH636">
        <f t="shared" si="212"/>
        <v>0</v>
      </c>
      <c r="AI636">
        <f t="shared" si="213"/>
        <v>0</v>
      </c>
      <c r="AJ636" s="2" t="str">
        <f t="shared" si="223"/>
        <v>1045292</v>
      </c>
    </row>
    <row r="637" spans="1:36" x14ac:dyDescent="0.25">
      <c r="A637">
        <v>11</v>
      </c>
      <c r="B637" s="1">
        <v>45292</v>
      </c>
      <c r="C637" s="1">
        <f t="shared" si="214"/>
        <v>45627</v>
      </c>
      <c r="D637" s="1">
        <f t="shared" si="215"/>
        <v>45306</v>
      </c>
      <c r="E637" s="1">
        <f t="shared" si="216"/>
        <v>45627</v>
      </c>
      <c r="F637" s="1">
        <f t="shared" si="217"/>
        <v>45658</v>
      </c>
      <c r="G637" s="1">
        <f t="shared" si="218"/>
        <v>45672</v>
      </c>
      <c r="H637">
        <f t="shared" si="219"/>
        <v>366</v>
      </c>
      <c r="I637">
        <f t="shared" si="220"/>
        <v>31</v>
      </c>
      <c r="J637">
        <f t="shared" si="221"/>
        <v>8.4699453551912565E-2</v>
      </c>
      <c r="K637">
        <f>IFERROR($J637/IF($A637&lt;COUNTIFS($K$1:K$1,"&lt;&gt;"),0,SUMIFS($J:$J,$B:$B,$B637,$A:$A,"&gt;="&amp;COUNTIFS($K$1:K$1,"&lt;&gt;"))),0)</f>
        <v>8.882521489971347E-2</v>
      </c>
      <c r="L637">
        <f>IFERROR($J637/IF($A637&lt;COUNTIFS($K$1:L$1,"&lt;&gt;"),0,SUMIFS($J:$J,$B:$B,$B637,$A:$A,"&gt;="&amp;COUNTIFS($K$1:L$1,"&lt;&gt;"))),0)</f>
        <v>9.6875000000000003E-2</v>
      </c>
      <c r="M637">
        <f>IFERROR($J637/IF($A637&lt;COUNTIFS($K$1:M$1,"&lt;&gt;"),0,SUMIFS($J:$J,$B:$B,$B637,$A:$A,"&gt;="&amp;COUNTIFS($K$1:M$1,"&lt;&gt;"))),0)</f>
        <v>0.10726643598615916</v>
      </c>
      <c r="N637">
        <f>IFERROR($J637/IF($A637&lt;COUNTIFS($K$1:N$1,"&lt;&gt;"),0,SUMIFS($J:$J,$B:$B,$B637,$A:$A,"&gt;="&amp;COUNTIFS($K$1:N$1,"&lt;&gt;"))),0)</f>
        <v>0.11969111969111969</v>
      </c>
      <c r="O637">
        <f>IFERROR($J637/IF($A637&lt;COUNTIFS($K$1:O$1,"&lt;&gt;"),0,SUMIFS($J:$J,$B:$B,$B637,$A:$A,"&gt;="&amp;COUNTIFS($K$1:O$1,"&lt;&gt;"))),0)</f>
        <v>0.13596491228070173</v>
      </c>
      <c r="P637">
        <f>IFERROR($J637/IF($A637&lt;COUNTIFS($K$1:P$1,"&lt;&gt;"),0,SUMIFS($J:$J,$B:$B,$B637,$A:$A,"&gt;="&amp;COUNTIFS($K$1:P$1,"&lt;&gt;"))),0)</f>
        <v>0.15656565656565655</v>
      </c>
      <c r="Q637">
        <f>IFERROR($J637/IF($A637&lt;COUNTIFS($K$1:Q$1,"&lt;&gt;"),0,SUMIFS($J:$J,$B:$B,$B637,$A:$A,"&gt;="&amp;COUNTIFS($K$1:Q$1,"&lt;&gt;"))),0)</f>
        <v>0.18562874251497008</v>
      </c>
      <c r="R637">
        <f>IFERROR($J637/IF($A637&lt;COUNTIFS($K$1:R$1,"&lt;&gt;"),0,SUMIFS($J:$J,$B:$B,$B637,$A:$A,"&gt;="&amp;COUNTIFS($K$1:R$1,"&lt;&gt;"))),0)</f>
        <v>0.22794117647058826</v>
      </c>
      <c r="S637">
        <f>IFERROR($J637/IF($A637&lt;COUNTIFS($K$1:S$1,"&lt;&gt;"),0,SUMIFS($J:$J,$B:$B,$B637,$A:$A,"&gt;="&amp;COUNTIFS($K$1:S$1,"&lt;&gt;"))),0)</f>
        <v>0.29245283018867924</v>
      </c>
      <c r="T637">
        <f>IFERROR($J637/IF($A637&lt;COUNTIFS($K$1:T$1,"&lt;&gt;"),0,SUMIFS($J:$J,$B:$B,$B637,$A:$A,"&gt;="&amp;COUNTIFS($K$1:T$1,"&lt;&gt;"))),0)</f>
        <v>0.41333333333333333</v>
      </c>
      <c r="U637">
        <f>IFERROR($J637/IF($A637&lt;COUNTIFS($K$1:U$1,"&lt;&gt;"),0,SUMIFS($J:$J,$B:$B,$B637,$A:$A,"&gt;="&amp;COUNTIFS($K$1:U$1,"&lt;&gt;"))),0)</f>
        <v>0.68888888888888888</v>
      </c>
      <c r="V637">
        <f>IFERROR($J637/IF($A637&lt;COUNTIFS($K$1:V$1,"&lt;&gt;"),0,SUMIFS($J:$J,$B:$B,$B637,$A:$A,"&gt;="&amp;COUNTIFS($K$1:V$1,"&lt;&gt;"))),0)</f>
        <v>0</v>
      </c>
      <c r="W637">
        <f t="shared" si="222"/>
        <v>8.4699453551912565E-2</v>
      </c>
      <c r="X637">
        <f t="shared" si="202"/>
        <v>8.4699453551912565E-2</v>
      </c>
      <c r="Y637">
        <f t="shared" si="203"/>
        <v>8.4699453551912565E-2</v>
      </c>
      <c r="Z637">
        <f t="shared" si="204"/>
        <v>8.4699453551912565E-2</v>
      </c>
      <c r="AA637">
        <f t="shared" si="205"/>
        <v>8.4699453551912565E-2</v>
      </c>
      <c r="AB637">
        <f t="shared" si="206"/>
        <v>8.4699453551912565E-2</v>
      </c>
      <c r="AC637">
        <f t="shared" si="207"/>
        <v>8.4699453551912565E-2</v>
      </c>
      <c r="AD637">
        <f t="shared" si="208"/>
        <v>8.4699453551912565E-2</v>
      </c>
      <c r="AE637">
        <f t="shared" si="209"/>
        <v>8.4699453551912565E-2</v>
      </c>
      <c r="AF637">
        <f t="shared" si="210"/>
        <v>8.4699453551912565E-2</v>
      </c>
      <c r="AG637">
        <f t="shared" si="211"/>
        <v>8.4699453551912565E-2</v>
      </c>
      <c r="AH637">
        <f t="shared" si="212"/>
        <v>8.4699453551912565E-2</v>
      </c>
      <c r="AI637">
        <f t="shared" si="213"/>
        <v>0</v>
      </c>
      <c r="AJ637" s="2" t="str">
        <f t="shared" si="223"/>
        <v>1145292</v>
      </c>
    </row>
    <row r="638" spans="1:36" x14ac:dyDescent="0.25">
      <c r="A638">
        <v>12</v>
      </c>
      <c r="B638" s="1">
        <v>45292</v>
      </c>
      <c r="C638" s="1">
        <f t="shared" si="214"/>
        <v>45658</v>
      </c>
      <c r="D638" s="1">
        <f t="shared" si="215"/>
        <v>45306</v>
      </c>
      <c r="E638" s="1">
        <f t="shared" si="216"/>
        <v>45658</v>
      </c>
      <c r="F638" s="1">
        <f t="shared" si="217"/>
        <v>45672</v>
      </c>
      <c r="G638" s="1">
        <f t="shared" si="218"/>
        <v>45672</v>
      </c>
      <c r="H638">
        <f t="shared" si="219"/>
        <v>366</v>
      </c>
      <c r="I638">
        <f t="shared" si="220"/>
        <v>14</v>
      </c>
      <c r="J638">
        <f t="shared" si="221"/>
        <v>3.825136612021858E-2</v>
      </c>
      <c r="K638">
        <f>IFERROR($J638/IF($A638&lt;COUNTIFS($K$1:K$1,"&lt;&gt;"),0,SUMIFS($J:$J,$B:$B,$B638,$A:$A,"&gt;="&amp;COUNTIFS($K$1:K$1,"&lt;&gt;"))),0)</f>
        <v>4.0114613180515762E-2</v>
      </c>
      <c r="L638">
        <f>IFERROR($J638/IF($A638&lt;COUNTIFS($K$1:L$1,"&lt;&gt;"),0,SUMIFS($J:$J,$B:$B,$B638,$A:$A,"&gt;="&amp;COUNTIFS($K$1:L$1,"&lt;&gt;"))),0)</f>
        <v>4.3750000000000004E-2</v>
      </c>
      <c r="M638">
        <f>IFERROR($J638/IF($A638&lt;COUNTIFS($K$1:M$1,"&lt;&gt;"),0,SUMIFS($J:$J,$B:$B,$B638,$A:$A,"&gt;="&amp;COUNTIFS($K$1:M$1,"&lt;&gt;"))),0)</f>
        <v>4.8442906574394463E-2</v>
      </c>
      <c r="N638">
        <f>IFERROR($J638/IF($A638&lt;COUNTIFS($K$1:N$1,"&lt;&gt;"),0,SUMIFS($J:$J,$B:$B,$B638,$A:$A,"&gt;="&amp;COUNTIFS($K$1:N$1,"&lt;&gt;"))),0)</f>
        <v>5.4054054054054057E-2</v>
      </c>
      <c r="O638">
        <f>IFERROR($J638/IF($A638&lt;COUNTIFS($K$1:O$1,"&lt;&gt;"),0,SUMIFS($J:$J,$B:$B,$B638,$A:$A,"&gt;="&amp;COUNTIFS($K$1:O$1,"&lt;&gt;"))),0)</f>
        <v>6.1403508771929821E-2</v>
      </c>
      <c r="P638">
        <f>IFERROR($J638/IF($A638&lt;COUNTIFS($K$1:P$1,"&lt;&gt;"),0,SUMIFS($J:$J,$B:$B,$B638,$A:$A,"&gt;="&amp;COUNTIFS($K$1:P$1,"&lt;&gt;"))),0)</f>
        <v>7.0707070707070704E-2</v>
      </c>
      <c r="Q638">
        <f>IFERROR($J638/IF($A638&lt;COUNTIFS($K$1:Q$1,"&lt;&gt;"),0,SUMIFS($J:$J,$B:$B,$B638,$A:$A,"&gt;="&amp;COUNTIFS($K$1:Q$1,"&lt;&gt;"))),0)</f>
        <v>8.3832335329341326E-2</v>
      </c>
      <c r="R638">
        <f>IFERROR($J638/IF($A638&lt;COUNTIFS($K$1:R$1,"&lt;&gt;"),0,SUMIFS($J:$J,$B:$B,$B638,$A:$A,"&gt;="&amp;COUNTIFS($K$1:R$1,"&lt;&gt;"))),0)</f>
        <v>0.10294117647058824</v>
      </c>
      <c r="S638">
        <f>IFERROR($J638/IF($A638&lt;COUNTIFS($K$1:S$1,"&lt;&gt;"),0,SUMIFS($J:$J,$B:$B,$B638,$A:$A,"&gt;="&amp;COUNTIFS($K$1:S$1,"&lt;&gt;"))),0)</f>
        <v>0.13207547169811321</v>
      </c>
      <c r="T638">
        <f>IFERROR($J638/IF($A638&lt;COUNTIFS($K$1:T$1,"&lt;&gt;"),0,SUMIFS($J:$J,$B:$B,$B638,$A:$A,"&gt;="&amp;COUNTIFS($K$1:T$1,"&lt;&gt;"))),0)</f>
        <v>0.18666666666666668</v>
      </c>
      <c r="U638">
        <f>IFERROR($J638/IF($A638&lt;COUNTIFS($K$1:U$1,"&lt;&gt;"),0,SUMIFS($J:$J,$B:$B,$B638,$A:$A,"&gt;="&amp;COUNTIFS($K$1:U$1,"&lt;&gt;"))),0)</f>
        <v>0.31111111111111112</v>
      </c>
      <c r="V638">
        <f>IFERROR($J638/IF($A638&lt;COUNTIFS($K$1:V$1,"&lt;&gt;"),0,SUMIFS($J:$J,$B:$B,$B638,$A:$A,"&gt;="&amp;COUNTIFS($K$1:V$1,"&lt;&gt;"))),0)</f>
        <v>1</v>
      </c>
      <c r="W638">
        <f t="shared" si="222"/>
        <v>3.825136612021858E-2</v>
      </c>
      <c r="X638">
        <f t="shared" si="202"/>
        <v>3.825136612021858E-2</v>
      </c>
      <c r="Y638">
        <f t="shared" si="203"/>
        <v>3.825136612021858E-2</v>
      </c>
      <c r="Z638">
        <f t="shared" si="204"/>
        <v>3.825136612021858E-2</v>
      </c>
      <c r="AA638">
        <f t="shared" si="205"/>
        <v>3.825136612021858E-2</v>
      </c>
      <c r="AB638">
        <f t="shared" si="206"/>
        <v>3.825136612021858E-2</v>
      </c>
      <c r="AC638">
        <f t="shared" si="207"/>
        <v>3.825136612021858E-2</v>
      </c>
      <c r="AD638">
        <f t="shared" si="208"/>
        <v>3.825136612021858E-2</v>
      </c>
      <c r="AE638">
        <f t="shared" si="209"/>
        <v>3.825136612021858E-2</v>
      </c>
      <c r="AF638">
        <f t="shared" si="210"/>
        <v>3.825136612021858E-2</v>
      </c>
      <c r="AG638">
        <f t="shared" si="211"/>
        <v>3.825136612021858E-2</v>
      </c>
      <c r="AH638">
        <f t="shared" si="212"/>
        <v>3.825136612021858E-2</v>
      </c>
      <c r="AI638">
        <f t="shared" si="213"/>
        <v>3.825136612021858E-2</v>
      </c>
      <c r="AJ638" s="2" t="str">
        <f t="shared" si="223"/>
        <v>1245292</v>
      </c>
    </row>
    <row r="639" spans="1:36" x14ac:dyDescent="0.25">
      <c r="A639">
        <v>0</v>
      </c>
      <c r="B639" s="1">
        <v>45323</v>
      </c>
      <c r="C639" s="1">
        <f t="shared" si="214"/>
        <v>45323</v>
      </c>
      <c r="D639" s="1">
        <f t="shared" si="215"/>
        <v>45337</v>
      </c>
      <c r="E639" s="1">
        <f t="shared" si="216"/>
        <v>45337</v>
      </c>
      <c r="F639" s="1">
        <f t="shared" si="217"/>
        <v>45352</v>
      </c>
      <c r="G639" s="1">
        <f t="shared" si="218"/>
        <v>45703</v>
      </c>
      <c r="H639">
        <f t="shared" si="219"/>
        <v>366</v>
      </c>
      <c r="I639">
        <f t="shared" si="220"/>
        <v>15</v>
      </c>
      <c r="J639">
        <f t="shared" si="221"/>
        <v>4.0983606557377046E-2</v>
      </c>
      <c r="K639">
        <f>IFERROR($J639/IF($A639&lt;COUNTIFS($K$1:K$1,"&lt;&gt;"),0,SUMIFS($J:$J,$B:$B,$B639,$A:$A,"&gt;="&amp;COUNTIFS($K$1:K$1,"&lt;&gt;"))),0)</f>
        <v>0</v>
      </c>
      <c r="L639">
        <f>IFERROR($J639/IF($A639&lt;COUNTIFS($K$1:L$1,"&lt;&gt;"),0,SUMIFS($J:$J,$B:$B,$B639,$A:$A,"&gt;="&amp;COUNTIFS($K$1:L$1,"&lt;&gt;"))),0)</f>
        <v>0</v>
      </c>
      <c r="M639">
        <f>IFERROR($J639/IF($A639&lt;COUNTIFS($K$1:M$1,"&lt;&gt;"),0,SUMIFS($J:$J,$B:$B,$B639,$A:$A,"&gt;="&amp;COUNTIFS($K$1:M$1,"&lt;&gt;"))),0)</f>
        <v>0</v>
      </c>
      <c r="N639">
        <f>IFERROR($J639/IF($A639&lt;COUNTIFS($K$1:N$1,"&lt;&gt;"),0,SUMIFS($J:$J,$B:$B,$B639,$A:$A,"&gt;="&amp;COUNTIFS($K$1:N$1,"&lt;&gt;"))),0)</f>
        <v>0</v>
      </c>
      <c r="O639">
        <f>IFERROR($J639/IF($A639&lt;COUNTIFS($K$1:O$1,"&lt;&gt;"),0,SUMIFS($J:$J,$B:$B,$B639,$A:$A,"&gt;="&amp;COUNTIFS($K$1:O$1,"&lt;&gt;"))),0)</f>
        <v>0</v>
      </c>
      <c r="P639">
        <f>IFERROR($J639/IF($A639&lt;COUNTIFS($K$1:P$1,"&lt;&gt;"),0,SUMIFS($J:$J,$B:$B,$B639,$A:$A,"&gt;="&amp;COUNTIFS($K$1:P$1,"&lt;&gt;"))),0)</f>
        <v>0</v>
      </c>
      <c r="Q639">
        <f>IFERROR($J639/IF($A639&lt;COUNTIFS($K$1:Q$1,"&lt;&gt;"),0,SUMIFS($J:$J,$B:$B,$B639,$A:$A,"&gt;="&amp;COUNTIFS($K$1:Q$1,"&lt;&gt;"))),0)</f>
        <v>0</v>
      </c>
      <c r="R639">
        <f>IFERROR($J639/IF($A639&lt;COUNTIFS($K$1:R$1,"&lt;&gt;"),0,SUMIFS($J:$J,$B:$B,$B639,$A:$A,"&gt;="&amp;COUNTIFS($K$1:R$1,"&lt;&gt;"))),0)</f>
        <v>0</v>
      </c>
      <c r="S639">
        <f>IFERROR($J639/IF($A639&lt;COUNTIFS($K$1:S$1,"&lt;&gt;"),0,SUMIFS($J:$J,$B:$B,$B639,$A:$A,"&gt;="&amp;COUNTIFS($K$1:S$1,"&lt;&gt;"))),0)</f>
        <v>0</v>
      </c>
      <c r="T639">
        <f>IFERROR($J639/IF($A639&lt;COUNTIFS($K$1:T$1,"&lt;&gt;"),0,SUMIFS($J:$J,$B:$B,$B639,$A:$A,"&gt;="&amp;COUNTIFS($K$1:T$1,"&lt;&gt;"))),0)</f>
        <v>0</v>
      </c>
      <c r="U639">
        <f>IFERROR($J639/IF($A639&lt;COUNTIFS($K$1:U$1,"&lt;&gt;"),0,SUMIFS($J:$J,$B:$B,$B639,$A:$A,"&gt;="&amp;COUNTIFS($K$1:U$1,"&lt;&gt;"))),0)</f>
        <v>0</v>
      </c>
      <c r="V639">
        <f>IFERROR($J639/IF($A639&lt;COUNTIFS($K$1:V$1,"&lt;&gt;"),0,SUMIFS($J:$J,$B:$B,$B639,$A:$A,"&gt;="&amp;COUNTIFS($K$1:V$1,"&lt;&gt;"))),0)</f>
        <v>0</v>
      </c>
      <c r="W639">
        <f t="shared" si="222"/>
        <v>4.0983606557377046E-2</v>
      </c>
      <c r="X639">
        <f t="shared" si="202"/>
        <v>0</v>
      </c>
      <c r="Y639">
        <f t="shared" si="203"/>
        <v>0</v>
      </c>
      <c r="Z639">
        <f t="shared" si="204"/>
        <v>0</v>
      </c>
      <c r="AA639">
        <f t="shared" si="205"/>
        <v>0</v>
      </c>
      <c r="AB639">
        <f t="shared" si="206"/>
        <v>0</v>
      </c>
      <c r="AC639">
        <f t="shared" si="207"/>
        <v>0</v>
      </c>
      <c r="AD639">
        <f t="shared" si="208"/>
        <v>0</v>
      </c>
      <c r="AE639">
        <f t="shared" si="209"/>
        <v>0</v>
      </c>
      <c r="AF639">
        <f t="shared" si="210"/>
        <v>0</v>
      </c>
      <c r="AG639">
        <f t="shared" si="211"/>
        <v>0</v>
      </c>
      <c r="AH639">
        <f t="shared" si="212"/>
        <v>0</v>
      </c>
      <c r="AI639">
        <f t="shared" si="213"/>
        <v>0</v>
      </c>
      <c r="AJ639" s="2" t="str">
        <f t="shared" si="223"/>
        <v>045323</v>
      </c>
    </row>
    <row r="640" spans="1:36" x14ac:dyDescent="0.25">
      <c r="A640">
        <v>1</v>
      </c>
      <c r="B640" s="1">
        <v>45323</v>
      </c>
      <c r="C640" s="1">
        <f t="shared" si="214"/>
        <v>45352</v>
      </c>
      <c r="D640" s="1">
        <f t="shared" si="215"/>
        <v>45337</v>
      </c>
      <c r="E640" s="1">
        <f t="shared" si="216"/>
        <v>45352</v>
      </c>
      <c r="F640" s="1">
        <f t="shared" si="217"/>
        <v>45383</v>
      </c>
      <c r="G640" s="1">
        <f t="shared" si="218"/>
        <v>45703</v>
      </c>
      <c r="H640">
        <f t="shared" si="219"/>
        <v>366</v>
      </c>
      <c r="I640">
        <f t="shared" si="220"/>
        <v>31</v>
      </c>
      <c r="J640">
        <f t="shared" si="221"/>
        <v>8.4699453551912565E-2</v>
      </c>
      <c r="K640">
        <f>IFERROR($J640/IF($A640&lt;COUNTIFS($K$1:K$1,"&lt;&gt;"),0,SUMIFS($J:$J,$B:$B,$B640,$A:$A,"&gt;="&amp;COUNTIFS($K$1:K$1,"&lt;&gt;"))),0)</f>
        <v>8.8319088319088315E-2</v>
      </c>
      <c r="L640">
        <f>IFERROR($J640/IF($A640&lt;COUNTIFS($K$1:L$1,"&lt;&gt;"),0,SUMIFS($J:$J,$B:$B,$B640,$A:$A,"&gt;="&amp;COUNTIFS($K$1:L$1,"&lt;&gt;"))),0)</f>
        <v>0</v>
      </c>
      <c r="M640">
        <f>IFERROR($J640/IF($A640&lt;COUNTIFS($K$1:M$1,"&lt;&gt;"),0,SUMIFS($J:$J,$B:$B,$B640,$A:$A,"&gt;="&amp;COUNTIFS($K$1:M$1,"&lt;&gt;"))),0)</f>
        <v>0</v>
      </c>
      <c r="N640">
        <f>IFERROR($J640/IF($A640&lt;COUNTIFS($K$1:N$1,"&lt;&gt;"),0,SUMIFS($J:$J,$B:$B,$B640,$A:$A,"&gt;="&amp;COUNTIFS($K$1:N$1,"&lt;&gt;"))),0)</f>
        <v>0</v>
      </c>
      <c r="O640">
        <f>IFERROR($J640/IF($A640&lt;COUNTIFS($K$1:O$1,"&lt;&gt;"),0,SUMIFS($J:$J,$B:$B,$B640,$A:$A,"&gt;="&amp;COUNTIFS($K$1:O$1,"&lt;&gt;"))),0)</f>
        <v>0</v>
      </c>
      <c r="P640">
        <f>IFERROR($J640/IF($A640&lt;COUNTIFS($K$1:P$1,"&lt;&gt;"),0,SUMIFS($J:$J,$B:$B,$B640,$A:$A,"&gt;="&amp;COUNTIFS($K$1:P$1,"&lt;&gt;"))),0)</f>
        <v>0</v>
      </c>
      <c r="Q640">
        <f>IFERROR($J640/IF($A640&lt;COUNTIFS($K$1:Q$1,"&lt;&gt;"),0,SUMIFS($J:$J,$B:$B,$B640,$A:$A,"&gt;="&amp;COUNTIFS($K$1:Q$1,"&lt;&gt;"))),0)</f>
        <v>0</v>
      </c>
      <c r="R640">
        <f>IFERROR($J640/IF($A640&lt;COUNTIFS($K$1:R$1,"&lt;&gt;"),0,SUMIFS($J:$J,$B:$B,$B640,$A:$A,"&gt;="&amp;COUNTIFS($K$1:R$1,"&lt;&gt;"))),0)</f>
        <v>0</v>
      </c>
      <c r="S640">
        <f>IFERROR($J640/IF($A640&lt;COUNTIFS($K$1:S$1,"&lt;&gt;"),0,SUMIFS($J:$J,$B:$B,$B640,$A:$A,"&gt;="&amp;COUNTIFS($K$1:S$1,"&lt;&gt;"))),0)</f>
        <v>0</v>
      </c>
      <c r="T640">
        <f>IFERROR($J640/IF($A640&lt;COUNTIFS($K$1:T$1,"&lt;&gt;"),0,SUMIFS($J:$J,$B:$B,$B640,$A:$A,"&gt;="&amp;COUNTIFS($K$1:T$1,"&lt;&gt;"))),0)</f>
        <v>0</v>
      </c>
      <c r="U640">
        <f>IFERROR($J640/IF($A640&lt;COUNTIFS($K$1:U$1,"&lt;&gt;"),0,SUMIFS($J:$J,$B:$B,$B640,$A:$A,"&gt;="&amp;COUNTIFS($K$1:U$1,"&lt;&gt;"))),0)</f>
        <v>0</v>
      </c>
      <c r="V640">
        <f>IFERROR($J640/IF($A640&lt;COUNTIFS($K$1:V$1,"&lt;&gt;"),0,SUMIFS($J:$J,$B:$B,$B640,$A:$A,"&gt;="&amp;COUNTIFS($K$1:V$1,"&lt;&gt;"))),0)</f>
        <v>0</v>
      </c>
      <c r="W640">
        <f t="shared" si="222"/>
        <v>8.4699453551912565E-2</v>
      </c>
      <c r="X640">
        <f t="shared" si="202"/>
        <v>8.4699453551912565E-2</v>
      </c>
      <c r="Y640">
        <f t="shared" si="203"/>
        <v>0</v>
      </c>
      <c r="Z640">
        <f t="shared" si="204"/>
        <v>0</v>
      </c>
      <c r="AA640">
        <f t="shared" si="205"/>
        <v>0</v>
      </c>
      <c r="AB640">
        <f t="shared" si="206"/>
        <v>0</v>
      </c>
      <c r="AC640">
        <f t="shared" si="207"/>
        <v>0</v>
      </c>
      <c r="AD640">
        <f t="shared" si="208"/>
        <v>0</v>
      </c>
      <c r="AE640">
        <f t="shared" si="209"/>
        <v>0</v>
      </c>
      <c r="AF640">
        <f t="shared" si="210"/>
        <v>0</v>
      </c>
      <c r="AG640">
        <f t="shared" si="211"/>
        <v>0</v>
      </c>
      <c r="AH640">
        <f t="shared" si="212"/>
        <v>0</v>
      </c>
      <c r="AI640">
        <f t="shared" si="213"/>
        <v>0</v>
      </c>
      <c r="AJ640" s="2" t="str">
        <f t="shared" si="223"/>
        <v>145323</v>
      </c>
    </row>
    <row r="641" spans="1:36" x14ac:dyDescent="0.25">
      <c r="A641">
        <v>2</v>
      </c>
      <c r="B641" s="1">
        <v>45323</v>
      </c>
      <c r="C641" s="1">
        <f t="shared" si="214"/>
        <v>45383</v>
      </c>
      <c r="D641" s="1">
        <f t="shared" si="215"/>
        <v>45337</v>
      </c>
      <c r="E641" s="1">
        <f t="shared" si="216"/>
        <v>45383</v>
      </c>
      <c r="F641" s="1">
        <f t="shared" si="217"/>
        <v>45413</v>
      </c>
      <c r="G641" s="1">
        <f t="shared" si="218"/>
        <v>45703</v>
      </c>
      <c r="H641">
        <f t="shared" si="219"/>
        <v>366</v>
      </c>
      <c r="I641">
        <f t="shared" si="220"/>
        <v>30</v>
      </c>
      <c r="J641">
        <f t="shared" si="221"/>
        <v>8.1967213114754092E-2</v>
      </c>
      <c r="K641">
        <f>IFERROR($J641/IF($A641&lt;COUNTIFS($K$1:K$1,"&lt;&gt;"),0,SUMIFS($J:$J,$B:$B,$B641,$A:$A,"&gt;="&amp;COUNTIFS($K$1:K$1,"&lt;&gt;"))),0)</f>
        <v>8.5470085470085472E-2</v>
      </c>
      <c r="L641">
        <f>IFERROR($J641/IF($A641&lt;COUNTIFS($K$1:L$1,"&lt;&gt;"),0,SUMIFS($J:$J,$B:$B,$B641,$A:$A,"&gt;="&amp;COUNTIFS($K$1:L$1,"&lt;&gt;"))),0)</f>
        <v>9.375E-2</v>
      </c>
      <c r="M641">
        <f>IFERROR($J641/IF($A641&lt;COUNTIFS($K$1:M$1,"&lt;&gt;"),0,SUMIFS($J:$J,$B:$B,$B641,$A:$A,"&gt;="&amp;COUNTIFS($K$1:M$1,"&lt;&gt;"))),0)</f>
        <v>0</v>
      </c>
      <c r="N641">
        <f>IFERROR($J641/IF($A641&lt;COUNTIFS($K$1:N$1,"&lt;&gt;"),0,SUMIFS($J:$J,$B:$B,$B641,$A:$A,"&gt;="&amp;COUNTIFS($K$1:N$1,"&lt;&gt;"))),0)</f>
        <v>0</v>
      </c>
      <c r="O641">
        <f>IFERROR($J641/IF($A641&lt;COUNTIFS($K$1:O$1,"&lt;&gt;"),0,SUMIFS($J:$J,$B:$B,$B641,$A:$A,"&gt;="&amp;COUNTIFS($K$1:O$1,"&lt;&gt;"))),0)</f>
        <v>0</v>
      </c>
      <c r="P641">
        <f>IFERROR($J641/IF($A641&lt;COUNTIFS($K$1:P$1,"&lt;&gt;"),0,SUMIFS($J:$J,$B:$B,$B641,$A:$A,"&gt;="&amp;COUNTIFS($K$1:P$1,"&lt;&gt;"))),0)</f>
        <v>0</v>
      </c>
      <c r="Q641">
        <f>IFERROR($J641/IF($A641&lt;COUNTIFS($K$1:Q$1,"&lt;&gt;"),0,SUMIFS($J:$J,$B:$B,$B641,$A:$A,"&gt;="&amp;COUNTIFS($K$1:Q$1,"&lt;&gt;"))),0)</f>
        <v>0</v>
      </c>
      <c r="R641">
        <f>IFERROR($J641/IF($A641&lt;COUNTIFS($K$1:R$1,"&lt;&gt;"),0,SUMIFS($J:$J,$B:$B,$B641,$A:$A,"&gt;="&amp;COUNTIFS($K$1:R$1,"&lt;&gt;"))),0)</f>
        <v>0</v>
      </c>
      <c r="S641">
        <f>IFERROR($J641/IF($A641&lt;COUNTIFS($K$1:S$1,"&lt;&gt;"),0,SUMIFS($J:$J,$B:$B,$B641,$A:$A,"&gt;="&amp;COUNTIFS($K$1:S$1,"&lt;&gt;"))),0)</f>
        <v>0</v>
      </c>
      <c r="T641">
        <f>IFERROR($J641/IF($A641&lt;COUNTIFS($K$1:T$1,"&lt;&gt;"),0,SUMIFS($J:$J,$B:$B,$B641,$A:$A,"&gt;="&amp;COUNTIFS($K$1:T$1,"&lt;&gt;"))),0)</f>
        <v>0</v>
      </c>
      <c r="U641">
        <f>IFERROR($J641/IF($A641&lt;COUNTIFS($K$1:U$1,"&lt;&gt;"),0,SUMIFS($J:$J,$B:$B,$B641,$A:$A,"&gt;="&amp;COUNTIFS($K$1:U$1,"&lt;&gt;"))),0)</f>
        <v>0</v>
      </c>
      <c r="V641">
        <f>IFERROR($J641/IF($A641&lt;COUNTIFS($K$1:V$1,"&lt;&gt;"),0,SUMIFS($J:$J,$B:$B,$B641,$A:$A,"&gt;="&amp;COUNTIFS($K$1:V$1,"&lt;&gt;"))),0)</f>
        <v>0</v>
      </c>
      <c r="W641">
        <f t="shared" si="222"/>
        <v>8.1967213114754092E-2</v>
      </c>
      <c r="X641">
        <f t="shared" si="202"/>
        <v>8.1967213114754092E-2</v>
      </c>
      <c r="Y641">
        <f t="shared" si="203"/>
        <v>8.1967213114754092E-2</v>
      </c>
      <c r="Z641">
        <f t="shared" si="204"/>
        <v>0</v>
      </c>
      <c r="AA641">
        <f t="shared" si="205"/>
        <v>0</v>
      </c>
      <c r="AB641">
        <f t="shared" si="206"/>
        <v>0</v>
      </c>
      <c r="AC641">
        <f t="shared" si="207"/>
        <v>0</v>
      </c>
      <c r="AD641">
        <f t="shared" si="208"/>
        <v>0</v>
      </c>
      <c r="AE641">
        <f t="shared" si="209"/>
        <v>0</v>
      </c>
      <c r="AF641">
        <f t="shared" si="210"/>
        <v>0</v>
      </c>
      <c r="AG641">
        <f t="shared" si="211"/>
        <v>0</v>
      </c>
      <c r="AH641">
        <f t="shared" si="212"/>
        <v>0</v>
      </c>
      <c r="AI641">
        <f t="shared" si="213"/>
        <v>0</v>
      </c>
      <c r="AJ641" s="2" t="str">
        <f t="shared" si="223"/>
        <v>245323</v>
      </c>
    </row>
    <row r="642" spans="1:36" x14ac:dyDescent="0.25">
      <c r="A642">
        <v>3</v>
      </c>
      <c r="B642" s="1">
        <v>45323</v>
      </c>
      <c r="C642" s="1">
        <f t="shared" si="214"/>
        <v>45413</v>
      </c>
      <c r="D642" s="1">
        <f t="shared" si="215"/>
        <v>45337</v>
      </c>
      <c r="E642" s="1">
        <f t="shared" si="216"/>
        <v>45413</v>
      </c>
      <c r="F642" s="1">
        <f t="shared" si="217"/>
        <v>45444</v>
      </c>
      <c r="G642" s="1">
        <f t="shared" si="218"/>
        <v>45703</v>
      </c>
      <c r="H642">
        <f t="shared" si="219"/>
        <v>366</v>
      </c>
      <c r="I642">
        <f t="shared" si="220"/>
        <v>31</v>
      </c>
      <c r="J642">
        <f t="shared" si="221"/>
        <v>8.4699453551912565E-2</v>
      </c>
      <c r="K642">
        <f>IFERROR($J642/IF($A642&lt;COUNTIFS($K$1:K$1,"&lt;&gt;"),0,SUMIFS($J:$J,$B:$B,$B642,$A:$A,"&gt;="&amp;COUNTIFS($K$1:K$1,"&lt;&gt;"))),0)</f>
        <v>8.8319088319088315E-2</v>
      </c>
      <c r="L642">
        <f>IFERROR($J642/IF($A642&lt;COUNTIFS($K$1:L$1,"&lt;&gt;"),0,SUMIFS($J:$J,$B:$B,$B642,$A:$A,"&gt;="&amp;COUNTIFS($K$1:L$1,"&lt;&gt;"))),0)</f>
        <v>9.6875000000000003E-2</v>
      </c>
      <c r="M642">
        <f>IFERROR($J642/IF($A642&lt;COUNTIFS($K$1:M$1,"&lt;&gt;"),0,SUMIFS($J:$J,$B:$B,$B642,$A:$A,"&gt;="&amp;COUNTIFS($K$1:M$1,"&lt;&gt;"))),0)</f>
        <v>0.10689655172413792</v>
      </c>
      <c r="N642">
        <f>IFERROR($J642/IF($A642&lt;COUNTIFS($K$1:N$1,"&lt;&gt;"),0,SUMIFS($J:$J,$B:$B,$B642,$A:$A,"&gt;="&amp;COUNTIFS($K$1:N$1,"&lt;&gt;"))),0)</f>
        <v>0</v>
      </c>
      <c r="O642">
        <f>IFERROR($J642/IF($A642&lt;COUNTIFS($K$1:O$1,"&lt;&gt;"),0,SUMIFS($J:$J,$B:$B,$B642,$A:$A,"&gt;="&amp;COUNTIFS($K$1:O$1,"&lt;&gt;"))),0)</f>
        <v>0</v>
      </c>
      <c r="P642">
        <f>IFERROR($J642/IF($A642&lt;COUNTIFS($K$1:P$1,"&lt;&gt;"),0,SUMIFS($J:$J,$B:$B,$B642,$A:$A,"&gt;="&amp;COUNTIFS($K$1:P$1,"&lt;&gt;"))),0)</f>
        <v>0</v>
      </c>
      <c r="Q642">
        <f>IFERROR($J642/IF($A642&lt;COUNTIFS($K$1:Q$1,"&lt;&gt;"),0,SUMIFS($J:$J,$B:$B,$B642,$A:$A,"&gt;="&amp;COUNTIFS($K$1:Q$1,"&lt;&gt;"))),0)</f>
        <v>0</v>
      </c>
      <c r="R642">
        <f>IFERROR($J642/IF($A642&lt;COUNTIFS($K$1:R$1,"&lt;&gt;"),0,SUMIFS($J:$J,$B:$B,$B642,$A:$A,"&gt;="&amp;COUNTIFS($K$1:R$1,"&lt;&gt;"))),0)</f>
        <v>0</v>
      </c>
      <c r="S642">
        <f>IFERROR($J642/IF($A642&lt;COUNTIFS($K$1:S$1,"&lt;&gt;"),0,SUMIFS($J:$J,$B:$B,$B642,$A:$A,"&gt;="&amp;COUNTIFS($K$1:S$1,"&lt;&gt;"))),0)</f>
        <v>0</v>
      </c>
      <c r="T642">
        <f>IFERROR($J642/IF($A642&lt;COUNTIFS($K$1:T$1,"&lt;&gt;"),0,SUMIFS($J:$J,$B:$B,$B642,$A:$A,"&gt;="&amp;COUNTIFS($K$1:T$1,"&lt;&gt;"))),0)</f>
        <v>0</v>
      </c>
      <c r="U642">
        <f>IFERROR($J642/IF($A642&lt;COUNTIFS($K$1:U$1,"&lt;&gt;"),0,SUMIFS($J:$J,$B:$B,$B642,$A:$A,"&gt;="&amp;COUNTIFS($K$1:U$1,"&lt;&gt;"))),0)</f>
        <v>0</v>
      </c>
      <c r="V642">
        <f>IFERROR($J642/IF($A642&lt;COUNTIFS($K$1:V$1,"&lt;&gt;"),0,SUMIFS($J:$J,$B:$B,$B642,$A:$A,"&gt;="&amp;COUNTIFS($K$1:V$1,"&lt;&gt;"))),0)</f>
        <v>0</v>
      </c>
      <c r="W642">
        <f t="shared" si="222"/>
        <v>8.4699453551912565E-2</v>
      </c>
      <c r="X642">
        <f t="shared" ref="X642:X705" si="224">IF(K642=0,0,$J642)</f>
        <v>8.4699453551912565E-2</v>
      </c>
      <c r="Y642">
        <f t="shared" ref="Y642:Y705" si="225">IF(L642=0,0,$J642)</f>
        <v>8.4699453551912565E-2</v>
      </c>
      <c r="Z642">
        <f t="shared" ref="Z642:Z705" si="226">IF(M642=0,0,$J642)</f>
        <v>8.4699453551912565E-2</v>
      </c>
      <c r="AA642">
        <f t="shared" ref="AA642:AA705" si="227">IF(N642=0,0,$J642)</f>
        <v>0</v>
      </c>
      <c r="AB642">
        <f t="shared" ref="AB642:AB705" si="228">IF(O642=0,0,$J642)</f>
        <v>0</v>
      </c>
      <c r="AC642">
        <f t="shared" ref="AC642:AC705" si="229">IF(P642=0,0,$J642)</f>
        <v>0</v>
      </c>
      <c r="AD642">
        <f t="shared" ref="AD642:AD705" si="230">IF(Q642=0,0,$J642)</f>
        <v>0</v>
      </c>
      <c r="AE642">
        <f t="shared" ref="AE642:AE705" si="231">IF(R642=0,0,$J642)</f>
        <v>0</v>
      </c>
      <c r="AF642">
        <f t="shared" ref="AF642:AF705" si="232">IF(S642=0,0,$J642)</f>
        <v>0</v>
      </c>
      <c r="AG642">
        <f t="shared" ref="AG642:AG705" si="233">IF(T642=0,0,$J642)</f>
        <v>0</v>
      </c>
      <c r="AH642">
        <f t="shared" ref="AH642:AH705" si="234">IF(U642=0,0,$J642)</f>
        <v>0</v>
      </c>
      <c r="AI642">
        <f t="shared" ref="AI642:AI705" si="235">IF(V642=0,0,$J642)</f>
        <v>0</v>
      </c>
      <c r="AJ642" s="2" t="str">
        <f t="shared" si="223"/>
        <v>345323</v>
      </c>
    </row>
    <row r="643" spans="1:36" x14ac:dyDescent="0.25">
      <c r="A643">
        <v>4</v>
      </c>
      <c r="B643" s="1">
        <v>45323</v>
      </c>
      <c r="C643" s="1">
        <f t="shared" ref="C643:C706" si="236">EDATE(B643,A643)</f>
        <v>45444</v>
      </c>
      <c r="D643" s="1">
        <f t="shared" ref="D643:D706" si="237">B643+14</f>
        <v>45337</v>
      </c>
      <c r="E643" s="1">
        <f t="shared" ref="E643:E706" si="238">IF($A643=0,C643+14,C643)</f>
        <v>45444</v>
      </c>
      <c r="F643" s="1">
        <f t="shared" ref="F643:F706" si="239">IF(EDATE(C643,1)&gt;G643,G643,EDATE(C643,1))</f>
        <v>45474</v>
      </c>
      <c r="G643" s="1">
        <f t="shared" ref="G643:G706" si="240">EDATE(D643,12)</f>
        <v>45703</v>
      </c>
      <c r="H643">
        <f t="shared" ref="H643:H706" si="241">G643-D643</f>
        <v>366</v>
      </c>
      <c r="I643">
        <f t="shared" ref="I643:I706" si="242">F643-E643</f>
        <v>30</v>
      </c>
      <c r="J643">
        <f t="shared" ref="J643:J706" si="243">I643/H643</f>
        <v>8.1967213114754092E-2</v>
      </c>
      <c r="K643">
        <f>IFERROR($J643/IF($A643&lt;COUNTIFS($K$1:K$1,"&lt;&gt;"),0,SUMIFS($J:$J,$B:$B,$B643,$A:$A,"&gt;="&amp;COUNTIFS($K$1:K$1,"&lt;&gt;"))),0)</f>
        <v>8.5470085470085472E-2</v>
      </c>
      <c r="L643">
        <f>IFERROR($J643/IF($A643&lt;COUNTIFS($K$1:L$1,"&lt;&gt;"),0,SUMIFS($J:$J,$B:$B,$B643,$A:$A,"&gt;="&amp;COUNTIFS($K$1:L$1,"&lt;&gt;"))),0)</f>
        <v>9.375E-2</v>
      </c>
      <c r="M643">
        <f>IFERROR($J643/IF($A643&lt;COUNTIFS($K$1:M$1,"&lt;&gt;"),0,SUMIFS($J:$J,$B:$B,$B643,$A:$A,"&gt;="&amp;COUNTIFS($K$1:M$1,"&lt;&gt;"))),0)</f>
        <v>0.10344827586206896</v>
      </c>
      <c r="N643">
        <f>IFERROR($J643/IF($A643&lt;COUNTIFS($K$1:N$1,"&lt;&gt;"),0,SUMIFS($J:$J,$B:$B,$B643,$A:$A,"&gt;="&amp;COUNTIFS($K$1:N$1,"&lt;&gt;"))),0)</f>
        <v>0.11583011583011582</v>
      </c>
      <c r="O643">
        <f>IFERROR($J643/IF($A643&lt;COUNTIFS($K$1:O$1,"&lt;&gt;"),0,SUMIFS($J:$J,$B:$B,$B643,$A:$A,"&gt;="&amp;COUNTIFS($K$1:O$1,"&lt;&gt;"))),0)</f>
        <v>0</v>
      </c>
      <c r="P643">
        <f>IFERROR($J643/IF($A643&lt;COUNTIFS($K$1:P$1,"&lt;&gt;"),0,SUMIFS($J:$J,$B:$B,$B643,$A:$A,"&gt;="&amp;COUNTIFS($K$1:P$1,"&lt;&gt;"))),0)</f>
        <v>0</v>
      </c>
      <c r="Q643">
        <f>IFERROR($J643/IF($A643&lt;COUNTIFS($K$1:Q$1,"&lt;&gt;"),0,SUMIFS($J:$J,$B:$B,$B643,$A:$A,"&gt;="&amp;COUNTIFS($K$1:Q$1,"&lt;&gt;"))),0)</f>
        <v>0</v>
      </c>
      <c r="R643">
        <f>IFERROR($J643/IF($A643&lt;COUNTIFS($K$1:R$1,"&lt;&gt;"),0,SUMIFS($J:$J,$B:$B,$B643,$A:$A,"&gt;="&amp;COUNTIFS($K$1:R$1,"&lt;&gt;"))),0)</f>
        <v>0</v>
      </c>
      <c r="S643">
        <f>IFERROR($J643/IF($A643&lt;COUNTIFS($K$1:S$1,"&lt;&gt;"),0,SUMIFS($J:$J,$B:$B,$B643,$A:$A,"&gt;="&amp;COUNTIFS($K$1:S$1,"&lt;&gt;"))),0)</f>
        <v>0</v>
      </c>
      <c r="T643">
        <f>IFERROR($J643/IF($A643&lt;COUNTIFS($K$1:T$1,"&lt;&gt;"),0,SUMIFS($J:$J,$B:$B,$B643,$A:$A,"&gt;="&amp;COUNTIFS($K$1:T$1,"&lt;&gt;"))),0)</f>
        <v>0</v>
      </c>
      <c r="U643">
        <f>IFERROR($J643/IF($A643&lt;COUNTIFS($K$1:U$1,"&lt;&gt;"),0,SUMIFS($J:$J,$B:$B,$B643,$A:$A,"&gt;="&amp;COUNTIFS($K$1:U$1,"&lt;&gt;"))),0)</f>
        <v>0</v>
      </c>
      <c r="V643">
        <f>IFERROR($J643/IF($A643&lt;COUNTIFS($K$1:V$1,"&lt;&gt;"),0,SUMIFS($J:$J,$B:$B,$B643,$A:$A,"&gt;="&amp;COUNTIFS($K$1:V$1,"&lt;&gt;"))),0)</f>
        <v>0</v>
      </c>
      <c r="W643">
        <f t="shared" ref="W643:W706" si="244">IF(J643=0,0,$J643)</f>
        <v>8.1967213114754092E-2</v>
      </c>
      <c r="X643">
        <f t="shared" si="224"/>
        <v>8.1967213114754092E-2</v>
      </c>
      <c r="Y643">
        <f t="shared" si="225"/>
        <v>8.1967213114754092E-2</v>
      </c>
      <c r="Z643">
        <f t="shared" si="226"/>
        <v>8.1967213114754092E-2</v>
      </c>
      <c r="AA643">
        <f t="shared" si="227"/>
        <v>8.1967213114754092E-2</v>
      </c>
      <c r="AB643">
        <f t="shared" si="228"/>
        <v>0</v>
      </c>
      <c r="AC643">
        <f t="shared" si="229"/>
        <v>0</v>
      </c>
      <c r="AD643">
        <f t="shared" si="230"/>
        <v>0</v>
      </c>
      <c r="AE643">
        <f t="shared" si="231"/>
        <v>0</v>
      </c>
      <c r="AF643">
        <f t="shared" si="232"/>
        <v>0</v>
      </c>
      <c r="AG643">
        <f t="shared" si="233"/>
        <v>0</v>
      </c>
      <c r="AH643">
        <f t="shared" si="234"/>
        <v>0</v>
      </c>
      <c r="AI643">
        <f t="shared" si="235"/>
        <v>0</v>
      </c>
      <c r="AJ643" s="2" t="str">
        <f t="shared" ref="AJ643:AJ706" si="245">A643&amp;B643</f>
        <v>445323</v>
      </c>
    </row>
    <row r="644" spans="1:36" x14ac:dyDescent="0.25">
      <c r="A644">
        <v>5</v>
      </c>
      <c r="B644" s="1">
        <v>45323</v>
      </c>
      <c r="C644" s="1">
        <f t="shared" si="236"/>
        <v>45474</v>
      </c>
      <c r="D644" s="1">
        <f t="shared" si="237"/>
        <v>45337</v>
      </c>
      <c r="E644" s="1">
        <f t="shared" si="238"/>
        <v>45474</v>
      </c>
      <c r="F644" s="1">
        <f t="shared" si="239"/>
        <v>45505</v>
      </c>
      <c r="G644" s="1">
        <f t="shared" si="240"/>
        <v>45703</v>
      </c>
      <c r="H644">
        <f t="shared" si="241"/>
        <v>366</v>
      </c>
      <c r="I644">
        <f t="shared" si="242"/>
        <v>31</v>
      </c>
      <c r="J644">
        <f t="shared" si="243"/>
        <v>8.4699453551912565E-2</v>
      </c>
      <c r="K644">
        <f>IFERROR($J644/IF($A644&lt;COUNTIFS($K$1:K$1,"&lt;&gt;"),0,SUMIFS($J:$J,$B:$B,$B644,$A:$A,"&gt;="&amp;COUNTIFS($K$1:K$1,"&lt;&gt;"))),0)</f>
        <v>8.8319088319088315E-2</v>
      </c>
      <c r="L644">
        <f>IFERROR($J644/IF($A644&lt;COUNTIFS($K$1:L$1,"&lt;&gt;"),0,SUMIFS($J:$J,$B:$B,$B644,$A:$A,"&gt;="&amp;COUNTIFS($K$1:L$1,"&lt;&gt;"))),0)</f>
        <v>9.6875000000000003E-2</v>
      </c>
      <c r="M644">
        <f>IFERROR($J644/IF($A644&lt;COUNTIFS($K$1:M$1,"&lt;&gt;"),0,SUMIFS($J:$J,$B:$B,$B644,$A:$A,"&gt;="&amp;COUNTIFS($K$1:M$1,"&lt;&gt;"))),0)</f>
        <v>0.10689655172413792</v>
      </c>
      <c r="N644">
        <f>IFERROR($J644/IF($A644&lt;COUNTIFS($K$1:N$1,"&lt;&gt;"),0,SUMIFS($J:$J,$B:$B,$B644,$A:$A,"&gt;="&amp;COUNTIFS($K$1:N$1,"&lt;&gt;"))),0)</f>
        <v>0.11969111969111969</v>
      </c>
      <c r="O644">
        <f>IFERROR($J644/IF($A644&lt;COUNTIFS($K$1:O$1,"&lt;&gt;"),0,SUMIFS($J:$J,$B:$B,$B644,$A:$A,"&gt;="&amp;COUNTIFS($K$1:O$1,"&lt;&gt;"))),0)</f>
        <v>0.13537117903930129</v>
      </c>
      <c r="P644">
        <f>IFERROR($J644/IF($A644&lt;COUNTIFS($K$1:P$1,"&lt;&gt;"),0,SUMIFS($J:$J,$B:$B,$B644,$A:$A,"&gt;="&amp;COUNTIFS($K$1:P$1,"&lt;&gt;"))),0)</f>
        <v>0</v>
      </c>
      <c r="Q644">
        <f>IFERROR($J644/IF($A644&lt;COUNTIFS($K$1:Q$1,"&lt;&gt;"),0,SUMIFS($J:$J,$B:$B,$B644,$A:$A,"&gt;="&amp;COUNTIFS($K$1:Q$1,"&lt;&gt;"))),0)</f>
        <v>0</v>
      </c>
      <c r="R644">
        <f>IFERROR($J644/IF($A644&lt;COUNTIFS($K$1:R$1,"&lt;&gt;"),0,SUMIFS($J:$J,$B:$B,$B644,$A:$A,"&gt;="&amp;COUNTIFS($K$1:R$1,"&lt;&gt;"))),0)</f>
        <v>0</v>
      </c>
      <c r="S644">
        <f>IFERROR($J644/IF($A644&lt;COUNTIFS($K$1:S$1,"&lt;&gt;"),0,SUMIFS($J:$J,$B:$B,$B644,$A:$A,"&gt;="&amp;COUNTIFS($K$1:S$1,"&lt;&gt;"))),0)</f>
        <v>0</v>
      </c>
      <c r="T644">
        <f>IFERROR($J644/IF($A644&lt;COUNTIFS($K$1:T$1,"&lt;&gt;"),0,SUMIFS($J:$J,$B:$B,$B644,$A:$A,"&gt;="&amp;COUNTIFS($K$1:T$1,"&lt;&gt;"))),0)</f>
        <v>0</v>
      </c>
      <c r="U644">
        <f>IFERROR($J644/IF($A644&lt;COUNTIFS($K$1:U$1,"&lt;&gt;"),0,SUMIFS($J:$J,$B:$B,$B644,$A:$A,"&gt;="&amp;COUNTIFS($K$1:U$1,"&lt;&gt;"))),0)</f>
        <v>0</v>
      </c>
      <c r="V644">
        <f>IFERROR($J644/IF($A644&lt;COUNTIFS($K$1:V$1,"&lt;&gt;"),0,SUMIFS($J:$J,$B:$B,$B644,$A:$A,"&gt;="&amp;COUNTIFS($K$1:V$1,"&lt;&gt;"))),0)</f>
        <v>0</v>
      </c>
      <c r="W644">
        <f t="shared" si="244"/>
        <v>8.4699453551912565E-2</v>
      </c>
      <c r="X644">
        <f t="shared" si="224"/>
        <v>8.4699453551912565E-2</v>
      </c>
      <c r="Y644">
        <f t="shared" si="225"/>
        <v>8.4699453551912565E-2</v>
      </c>
      <c r="Z644">
        <f t="shared" si="226"/>
        <v>8.4699453551912565E-2</v>
      </c>
      <c r="AA644">
        <f t="shared" si="227"/>
        <v>8.4699453551912565E-2</v>
      </c>
      <c r="AB644">
        <f t="shared" si="228"/>
        <v>8.4699453551912565E-2</v>
      </c>
      <c r="AC644">
        <f t="shared" si="229"/>
        <v>0</v>
      </c>
      <c r="AD644">
        <f t="shared" si="230"/>
        <v>0</v>
      </c>
      <c r="AE644">
        <f t="shared" si="231"/>
        <v>0</v>
      </c>
      <c r="AF644">
        <f t="shared" si="232"/>
        <v>0</v>
      </c>
      <c r="AG644">
        <f t="shared" si="233"/>
        <v>0</v>
      </c>
      <c r="AH644">
        <f t="shared" si="234"/>
        <v>0</v>
      </c>
      <c r="AI644">
        <f t="shared" si="235"/>
        <v>0</v>
      </c>
      <c r="AJ644" s="2" t="str">
        <f t="shared" si="245"/>
        <v>545323</v>
      </c>
    </row>
    <row r="645" spans="1:36" x14ac:dyDescent="0.25">
      <c r="A645">
        <v>6</v>
      </c>
      <c r="B645" s="1">
        <v>45323</v>
      </c>
      <c r="C645" s="1">
        <f t="shared" si="236"/>
        <v>45505</v>
      </c>
      <c r="D645" s="1">
        <f t="shared" si="237"/>
        <v>45337</v>
      </c>
      <c r="E645" s="1">
        <f t="shared" si="238"/>
        <v>45505</v>
      </c>
      <c r="F645" s="1">
        <f t="shared" si="239"/>
        <v>45536</v>
      </c>
      <c r="G645" s="1">
        <f t="shared" si="240"/>
        <v>45703</v>
      </c>
      <c r="H645">
        <f t="shared" si="241"/>
        <v>366</v>
      </c>
      <c r="I645">
        <f t="shared" si="242"/>
        <v>31</v>
      </c>
      <c r="J645">
        <f t="shared" si="243"/>
        <v>8.4699453551912565E-2</v>
      </c>
      <c r="K645">
        <f>IFERROR($J645/IF($A645&lt;COUNTIFS($K$1:K$1,"&lt;&gt;"),0,SUMIFS($J:$J,$B:$B,$B645,$A:$A,"&gt;="&amp;COUNTIFS($K$1:K$1,"&lt;&gt;"))),0)</f>
        <v>8.8319088319088315E-2</v>
      </c>
      <c r="L645">
        <f>IFERROR($J645/IF($A645&lt;COUNTIFS($K$1:L$1,"&lt;&gt;"),0,SUMIFS($J:$J,$B:$B,$B645,$A:$A,"&gt;="&amp;COUNTIFS($K$1:L$1,"&lt;&gt;"))),0)</f>
        <v>9.6875000000000003E-2</v>
      </c>
      <c r="M645">
        <f>IFERROR($J645/IF($A645&lt;COUNTIFS($K$1:M$1,"&lt;&gt;"),0,SUMIFS($J:$J,$B:$B,$B645,$A:$A,"&gt;="&amp;COUNTIFS($K$1:M$1,"&lt;&gt;"))),0)</f>
        <v>0.10689655172413792</v>
      </c>
      <c r="N645">
        <f>IFERROR($J645/IF($A645&lt;COUNTIFS($K$1:N$1,"&lt;&gt;"),0,SUMIFS($J:$J,$B:$B,$B645,$A:$A,"&gt;="&amp;COUNTIFS($K$1:N$1,"&lt;&gt;"))),0)</f>
        <v>0.11969111969111969</v>
      </c>
      <c r="O645">
        <f>IFERROR($J645/IF($A645&lt;COUNTIFS($K$1:O$1,"&lt;&gt;"),0,SUMIFS($J:$J,$B:$B,$B645,$A:$A,"&gt;="&amp;COUNTIFS($K$1:O$1,"&lt;&gt;"))),0)</f>
        <v>0.13537117903930129</v>
      </c>
      <c r="P645">
        <f>IFERROR($J645/IF($A645&lt;COUNTIFS($K$1:P$1,"&lt;&gt;"),0,SUMIFS($J:$J,$B:$B,$B645,$A:$A,"&gt;="&amp;COUNTIFS($K$1:P$1,"&lt;&gt;"))),0)</f>
        <v>0.15656565656565655</v>
      </c>
      <c r="Q645">
        <f>IFERROR($J645/IF($A645&lt;COUNTIFS($K$1:Q$1,"&lt;&gt;"),0,SUMIFS($J:$J,$B:$B,$B645,$A:$A,"&gt;="&amp;COUNTIFS($K$1:Q$1,"&lt;&gt;"))),0)</f>
        <v>0</v>
      </c>
      <c r="R645">
        <f>IFERROR($J645/IF($A645&lt;COUNTIFS($K$1:R$1,"&lt;&gt;"),0,SUMIFS($J:$J,$B:$B,$B645,$A:$A,"&gt;="&amp;COUNTIFS($K$1:R$1,"&lt;&gt;"))),0)</f>
        <v>0</v>
      </c>
      <c r="S645">
        <f>IFERROR($J645/IF($A645&lt;COUNTIFS($K$1:S$1,"&lt;&gt;"),0,SUMIFS($J:$J,$B:$B,$B645,$A:$A,"&gt;="&amp;COUNTIFS($K$1:S$1,"&lt;&gt;"))),0)</f>
        <v>0</v>
      </c>
      <c r="T645">
        <f>IFERROR($J645/IF($A645&lt;COUNTIFS($K$1:T$1,"&lt;&gt;"),0,SUMIFS($J:$J,$B:$B,$B645,$A:$A,"&gt;="&amp;COUNTIFS($K$1:T$1,"&lt;&gt;"))),0)</f>
        <v>0</v>
      </c>
      <c r="U645">
        <f>IFERROR($J645/IF($A645&lt;COUNTIFS($K$1:U$1,"&lt;&gt;"),0,SUMIFS($J:$J,$B:$B,$B645,$A:$A,"&gt;="&amp;COUNTIFS($K$1:U$1,"&lt;&gt;"))),0)</f>
        <v>0</v>
      </c>
      <c r="V645">
        <f>IFERROR($J645/IF($A645&lt;COUNTIFS($K$1:V$1,"&lt;&gt;"),0,SUMIFS($J:$J,$B:$B,$B645,$A:$A,"&gt;="&amp;COUNTIFS($K$1:V$1,"&lt;&gt;"))),0)</f>
        <v>0</v>
      </c>
      <c r="W645">
        <f t="shared" si="244"/>
        <v>8.4699453551912565E-2</v>
      </c>
      <c r="X645">
        <f t="shared" si="224"/>
        <v>8.4699453551912565E-2</v>
      </c>
      <c r="Y645">
        <f t="shared" si="225"/>
        <v>8.4699453551912565E-2</v>
      </c>
      <c r="Z645">
        <f t="shared" si="226"/>
        <v>8.4699453551912565E-2</v>
      </c>
      <c r="AA645">
        <f t="shared" si="227"/>
        <v>8.4699453551912565E-2</v>
      </c>
      <c r="AB645">
        <f t="shared" si="228"/>
        <v>8.4699453551912565E-2</v>
      </c>
      <c r="AC645">
        <f t="shared" si="229"/>
        <v>8.4699453551912565E-2</v>
      </c>
      <c r="AD645">
        <f t="shared" si="230"/>
        <v>0</v>
      </c>
      <c r="AE645">
        <f t="shared" si="231"/>
        <v>0</v>
      </c>
      <c r="AF645">
        <f t="shared" si="232"/>
        <v>0</v>
      </c>
      <c r="AG645">
        <f t="shared" si="233"/>
        <v>0</v>
      </c>
      <c r="AH645">
        <f t="shared" si="234"/>
        <v>0</v>
      </c>
      <c r="AI645">
        <f t="shared" si="235"/>
        <v>0</v>
      </c>
      <c r="AJ645" s="2" t="str">
        <f t="shared" si="245"/>
        <v>645323</v>
      </c>
    </row>
    <row r="646" spans="1:36" x14ac:dyDescent="0.25">
      <c r="A646">
        <v>7</v>
      </c>
      <c r="B646" s="1">
        <v>45323</v>
      </c>
      <c r="C646" s="1">
        <f t="shared" si="236"/>
        <v>45536</v>
      </c>
      <c r="D646" s="1">
        <f t="shared" si="237"/>
        <v>45337</v>
      </c>
      <c r="E646" s="1">
        <f t="shared" si="238"/>
        <v>45536</v>
      </c>
      <c r="F646" s="1">
        <f t="shared" si="239"/>
        <v>45566</v>
      </c>
      <c r="G646" s="1">
        <f t="shared" si="240"/>
        <v>45703</v>
      </c>
      <c r="H646">
        <f t="shared" si="241"/>
        <v>366</v>
      </c>
      <c r="I646">
        <f t="shared" si="242"/>
        <v>30</v>
      </c>
      <c r="J646">
        <f t="shared" si="243"/>
        <v>8.1967213114754092E-2</v>
      </c>
      <c r="K646">
        <f>IFERROR($J646/IF($A646&lt;COUNTIFS($K$1:K$1,"&lt;&gt;"),0,SUMIFS($J:$J,$B:$B,$B646,$A:$A,"&gt;="&amp;COUNTIFS($K$1:K$1,"&lt;&gt;"))),0)</f>
        <v>8.5470085470085472E-2</v>
      </c>
      <c r="L646">
        <f>IFERROR($J646/IF($A646&lt;COUNTIFS($K$1:L$1,"&lt;&gt;"),0,SUMIFS($J:$J,$B:$B,$B646,$A:$A,"&gt;="&amp;COUNTIFS($K$1:L$1,"&lt;&gt;"))),0)</f>
        <v>9.375E-2</v>
      </c>
      <c r="M646">
        <f>IFERROR($J646/IF($A646&lt;COUNTIFS($K$1:M$1,"&lt;&gt;"),0,SUMIFS($J:$J,$B:$B,$B646,$A:$A,"&gt;="&amp;COUNTIFS($K$1:M$1,"&lt;&gt;"))),0)</f>
        <v>0.10344827586206896</v>
      </c>
      <c r="N646">
        <f>IFERROR($J646/IF($A646&lt;COUNTIFS($K$1:N$1,"&lt;&gt;"),0,SUMIFS($J:$J,$B:$B,$B646,$A:$A,"&gt;="&amp;COUNTIFS($K$1:N$1,"&lt;&gt;"))),0)</f>
        <v>0.11583011583011582</v>
      </c>
      <c r="O646">
        <f>IFERROR($J646/IF($A646&lt;COUNTIFS($K$1:O$1,"&lt;&gt;"),0,SUMIFS($J:$J,$B:$B,$B646,$A:$A,"&gt;="&amp;COUNTIFS($K$1:O$1,"&lt;&gt;"))),0)</f>
        <v>0.13100436681222705</v>
      </c>
      <c r="P646">
        <f>IFERROR($J646/IF($A646&lt;COUNTIFS($K$1:P$1,"&lt;&gt;"),0,SUMIFS($J:$J,$B:$B,$B646,$A:$A,"&gt;="&amp;COUNTIFS($K$1:P$1,"&lt;&gt;"))),0)</f>
        <v>0.15151515151515149</v>
      </c>
      <c r="Q646">
        <f>IFERROR($J646/IF($A646&lt;COUNTIFS($K$1:Q$1,"&lt;&gt;"),0,SUMIFS($J:$J,$B:$B,$B646,$A:$A,"&gt;="&amp;COUNTIFS($K$1:Q$1,"&lt;&gt;"))),0)</f>
        <v>0.17964071856287425</v>
      </c>
      <c r="R646">
        <f>IFERROR($J646/IF($A646&lt;COUNTIFS($K$1:R$1,"&lt;&gt;"),0,SUMIFS($J:$J,$B:$B,$B646,$A:$A,"&gt;="&amp;COUNTIFS($K$1:R$1,"&lt;&gt;"))),0)</f>
        <v>0</v>
      </c>
      <c r="S646">
        <f>IFERROR($J646/IF($A646&lt;COUNTIFS($K$1:S$1,"&lt;&gt;"),0,SUMIFS($J:$J,$B:$B,$B646,$A:$A,"&gt;="&amp;COUNTIFS($K$1:S$1,"&lt;&gt;"))),0)</f>
        <v>0</v>
      </c>
      <c r="T646">
        <f>IFERROR($J646/IF($A646&lt;COUNTIFS($K$1:T$1,"&lt;&gt;"),0,SUMIFS($J:$J,$B:$B,$B646,$A:$A,"&gt;="&amp;COUNTIFS($K$1:T$1,"&lt;&gt;"))),0)</f>
        <v>0</v>
      </c>
      <c r="U646">
        <f>IFERROR($J646/IF($A646&lt;COUNTIFS($K$1:U$1,"&lt;&gt;"),0,SUMIFS($J:$J,$B:$B,$B646,$A:$A,"&gt;="&amp;COUNTIFS($K$1:U$1,"&lt;&gt;"))),0)</f>
        <v>0</v>
      </c>
      <c r="V646">
        <f>IFERROR($J646/IF($A646&lt;COUNTIFS($K$1:V$1,"&lt;&gt;"),0,SUMIFS($J:$J,$B:$B,$B646,$A:$A,"&gt;="&amp;COUNTIFS($K$1:V$1,"&lt;&gt;"))),0)</f>
        <v>0</v>
      </c>
      <c r="W646">
        <f t="shared" si="244"/>
        <v>8.1967213114754092E-2</v>
      </c>
      <c r="X646">
        <f t="shared" si="224"/>
        <v>8.1967213114754092E-2</v>
      </c>
      <c r="Y646">
        <f t="shared" si="225"/>
        <v>8.1967213114754092E-2</v>
      </c>
      <c r="Z646">
        <f t="shared" si="226"/>
        <v>8.1967213114754092E-2</v>
      </c>
      <c r="AA646">
        <f t="shared" si="227"/>
        <v>8.1967213114754092E-2</v>
      </c>
      <c r="AB646">
        <f t="shared" si="228"/>
        <v>8.1967213114754092E-2</v>
      </c>
      <c r="AC646">
        <f t="shared" si="229"/>
        <v>8.1967213114754092E-2</v>
      </c>
      <c r="AD646">
        <f t="shared" si="230"/>
        <v>8.1967213114754092E-2</v>
      </c>
      <c r="AE646">
        <f t="shared" si="231"/>
        <v>0</v>
      </c>
      <c r="AF646">
        <f t="shared" si="232"/>
        <v>0</v>
      </c>
      <c r="AG646">
        <f t="shared" si="233"/>
        <v>0</v>
      </c>
      <c r="AH646">
        <f t="shared" si="234"/>
        <v>0</v>
      </c>
      <c r="AI646">
        <f t="shared" si="235"/>
        <v>0</v>
      </c>
      <c r="AJ646" s="2" t="str">
        <f t="shared" si="245"/>
        <v>745323</v>
      </c>
    </row>
    <row r="647" spans="1:36" x14ac:dyDescent="0.25">
      <c r="A647">
        <v>8</v>
      </c>
      <c r="B647" s="1">
        <v>45323</v>
      </c>
      <c r="C647" s="1">
        <f t="shared" si="236"/>
        <v>45566</v>
      </c>
      <c r="D647" s="1">
        <f t="shared" si="237"/>
        <v>45337</v>
      </c>
      <c r="E647" s="1">
        <f t="shared" si="238"/>
        <v>45566</v>
      </c>
      <c r="F647" s="1">
        <f t="shared" si="239"/>
        <v>45597</v>
      </c>
      <c r="G647" s="1">
        <f t="shared" si="240"/>
        <v>45703</v>
      </c>
      <c r="H647">
        <f t="shared" si="241"/>
        <v>366</v>
      </c>
      <c r="I647">
        <f t="shared" si="242"/>
        <v>31</v>
      </c>
      <c r="J647">
        <f t="shared" si="243"/>
        <v>8.4699453551912565E-2</v>
      </c>
      <c r="K647">
        <f>IFERROR($J647/IF($A647&lt;COUNTIFS($K$1:K$1,"&lt;&gt;"),0,SUMIFS($J:$J,$B:$B,$B647,$A:$A,"&gt;="&amp;COUNTIFS($K$1:K$1,"&lt;&gt;"))),0)</f>
        <v>8.8319088319088315E-2</v>
      </c>
      <c r="L647">
        <f>IFERROR($J647/IF($A647&lt;COUNTIFS($K$1:L$1,"&lt;&gt;"),0,SUMIFS($J:$J,$B:$B,$B647,$A:$A,"&gt;="&amp;COUNTIFS($K$1:L$1,"&lt;&gt;"))),0)</f>
        <v>9.6875000000000003E-2</v>
      </c>
      <c r="M647">
        <f>IFERROR($J647/IF($A647&lt;COUNTIFS($K$1:M$1,"&lt;&gt;"),0,SUMIFS($J:$J,$B:$B,$B647,$A:$A,"&gt;="&amp;COUNTIFS($K$1:M$1,"&lt;&gt;"))),0)</f>
        <v>0.10689655172413792</v>
      </c>
      <c r="N647">
        <f>IFERROR($J647/IF($A647&lt;COUNTIFS($K$1:N$1,"&lt;&gt;"),0,SUMIFS($J:$J,$B:$B,$B647,$A:$A,"&gt;="&amp;COUNTIFS($K$1:N$1,"&lt;&gt;"))),0)</f>
        <v>0.11969111969111969</v>
      </c>
      <c r="O647">
        <f>IFERROR($J647/IF($A647&lt;COUNTIFS($K$1:O$1,"&lt;&gt;"),0,SUMIFS($J:$J,$B:$B,$B647,$A:$A,"&gt;="&amp;COUNTIFS($K$1:O$1,"&lt;&gt;"))),0)</f>
        <v>0.13537117903930129</v>
      </c>
      <c r="P647">
        <f>IFERROR($J647/IF($A647&lt;COUNTIFS($K$1:P$1,"&lt;&gt;"),0,SUMIFS($J:$J,$B:$B,$B647,$A:$A,"&gt;="&amp;COUNTIFS($K$1:P$1,"&lt;&gt;"))),0)</f>
        <v>0.15656565656565655</v>
      </c>
      <c r="Q647">
        <f>IFERROR($J647/IF($A647&lt;COUNTIFS($K$1:Q$1,"&lt;&gt;"),0,SUMIFS($J:$J,$B:$B,$B647,$A:$A,"&gt;="&amp;COUNTIFS($K$1:Q$1,"&lt;&gt;"))),0)</f>
        <v>0.18562874251497008</v>
      </c>
      <c r="R647">
        <f>IFERROR($J647/IF($A647&lt;COUNTIFS($K$1:R$1,"&lt;&gt;"),0,SUMIFS($J:$J,$B:$B,$B647,$A:$A,"&gt;="&amp;COUNTIFS($K$1:R$1,"&lt;&gt;"))),0)</f>
        <v>0.22627737226277372</v>
      </c>
      <c r="S647">
        <f>IFERROR($J647/IF($A647&lt;COUNTIFS($K$1:S$1,"&lt;&gt;"),0,SUMIFS($J:$J,$B:$B,$B647,$A:$A,"&gt;="&amp;COUNTIFS($K$1:S$1,"&lt;&gt;"))),0)</f>
        <v>0</v>
      </c>
      <c r="T647">
        <f>IFERROR($J647/IF($A647&lt;COUNTIFS($K$1:T$1,"&lt;&gt;"),0,SUMIFS($J:$J,$B:$B,$B647,$A:$A,"&gt;="&amp;COUNTIFS($K$1:T$1,"&lt;&gt;"))),0)</f>
        <v>0</v>
      </c>
      <c r="U647">
        <f>IFERROR($J647/IF($A647&lt;COUNTIFS($K$1:U$1,"&lt;&gt;"),0,SUMIFS($J:$J,$B:$B,$B647,$A:$A,"&gt;="&amp;COUNTIFS($K$1:U$1,"&lt;&gt;"))),0)</f>
        <v>0</v>
      </c>
      <c r="V647">
        <f>IFERROR($J647/IF($A647&lt;COUNTIFS($K$1:V$1,"&lt;&gt;"),0,SUMIFS($J:$J,$B:$B,$B647,$A:$A,"&gt;="&amp;COUNTIFS($K$1:V$1,"&lt;&gt;"))),0)</f>
        <v>0</v>
      </c>
      <c r="W647">
        <f t="shared" si="244"/>
        <v>8.4699453551912565E-2</v>
      </c>
      <c r="X647">
        <f t="shared" si="224"/>
        <v>8.4699453551912565E-2</v>
      </c>
      <c r="Y647">
        <f t="shared" si="225"/>
        <v>8.4699453551912565E-2</v>
      </c>
      <c r="Z647">
        <f t="shared" si="226"/>
        <v>8.4699453551912565E-2</v>
      </c>
      <c r="AA647">
        <f t="shared" si="227"/>
        <v>8.4699453551912565E-2</v>
      </c>
      <c r="AB647">
        <f t="shared" si="228"/>
        <v>8.4699453551912565E-2</v>
      </c>
      <c r="AC647">
        <f t="shared" si="229"/>
        <v>8.4699453551912565E-2</v>
      </c>
      <c r="AD647">
        <f t="shared" si="230"/>
        <v>8.4699453551912565E-2</v>
      </c>
      <c r="AE647">
        <f t="shared" si="231"/>
        <v>8.4699453551912565E-2</v>
      </c>
      <c r="AF647">
        <f t="shared" si="232"/>
        <v>0</v>
      </c>
      <c r="AG647">
        <f t="shared" si="233"/>
        <v>0</v>
      </c>
      <c r="AH647">
        <f t="shared" si="234"/>
        <v>0</v>
      </c>
      <c r="AI647">
        <f t="shared" si="235"/>
        <v>0</v>
      </c>
      <c r="AJ647" s="2" t="str">
        <f t="shared" si="245"/>
        <v>845323</v>
      </c>
    </row>
    <row r="648" spans="1:36" x14ac:dyDescent="0.25">
      <c r="A648">
        <v>9</v>
      </c>
      <c r="B648" s="1">
        <v>45323</v>
      </c>
      <c r="C648" s="1">
        <f t="shared" si="236"/>
        <v>45597</v>
      </c>
      <c r="D648" s="1">
        <f t="shared" si="237"/>
        <v>45337</v>
      </c>
      <c r="E648" s="1">
        <f t="shared" si="238"/>
        <v>45597</v>
      </c>
      <c r="F648" s="1">
        <f t="shared" si="239"/>
        <v>45627</v>
      </c>
      <c r="G648" s="1">
        <f t="shared" si="240"/>
        <v>45703</v>
      </c>
      <c r="H648">
        <f t="shared" si="241"/>
        <v>366</v>
      </c>
      <c r="I648">
        <f t="shared" si="242"/>
        <v>30</v>
      </c>
      <c r="J648">
        <f t="shared" si="243"/>
        <v>8.1967213114754092E-2</v>
      </c>
      <c r="K648">
        <f>IFERROR($J648/IF($A648&lt;COUNTIFS($K$1:K$1,"&lt;&gt;"),0,SUMIFS($J:$J,$B:$B,$B648,$A:$A,"&gt;="&amp;COUNTIFS($K$1:K$1,"&lt;&gt;"))),0)</f>
        <v>8.5470085470085472E-2</v>
      </c>
      <c r="L648">
        <f>IFERROR($J648/IF($A648&lt;COUNTIFS($K$1:L$1,"&lt;&gt;"),0,SUMIFS($J:$J,$B:$B,$B648,$A:$A,"&gt;="&amp;COUNTIFS($K$1:L$1,"&lt;&gt;"))),0)</f>
        <v>9.375E-2</v>
      </c>
      <c r="M648">
        <f>IFERROR($J648/IF($A648&lt;COUNTIFS($K$1:M$1,"&lt;&gt;"),0,SUMIFS($J:$J,$B:$B,$B648,$A:$A,"&gt;="&amp;COUNTIFS($K$1:M$1,"&lt;&gt;"))),0)</f>
        <v>0.10344827586206896</v>
      </c>
      <c r="N648">
        <f>IFERROR($J648/IF($A648&lt;COUNTIFS($K$1:N$1,"&lt;&gt;"),0,SUMIFS($J:$J,$B:$B,$B648,$A:$A,"&gt;="&amp;COUNTIFS($K$1:N$1,"&lt;&gt;"))),0)</f>
        <v>0.11583011583011582</v>
      </c>
      <c r="O648">
        <f>IFERROR($J648/IF($A648&lt;COUNTIFS($K$1:O$1,"&lt;&gt;"),0,SUMIFS($J:$J,$B:$B,$B648,$A:$A,"&gt;="&amp;COUNTIFS($K$1:O$1,"&lt;&gt;"))),0)</f>
        <v>0.13100436681222705</v>
      </c>
      <c r="P648">
        <f>IFERROR($J648/IF($A648&lt;COUNTIFS($K$1:P$1,"&lt;&gt;"),0,SUMIFS($J:$J,$B:$B,$B648,$A:$A,"&gt;="&amp;COUNTIFS($K$1:P$1,"&lt;&gt;"))),0)</f>
        <v>0.15151515151515149</v>
      </c>
      <c r="Q648">
        <f>IFERROR($J648/IF($A648&lt;COUNTIFS($K$1:Q$1,"&lt;&gt;"),0,SUMIFS($J:$J,$B:$B,$B648,$A:$A,"&gt;="&amp;COUNTIFS($K$1:Q$1,"&lt;&gt;"))),0)</f>
        <v>0.17964071856287425</v>
      </c>
      <c r="R648">
        <f>IFERROR($J648/IF($A648&lt;COUNTIFS($K$1:R$1,"&lt;&gt;"),0,SUMIFS($J:$J,$B:$B,$B648,$A:$A,"&gt;="&amp;COUNTIFS($K$1:R$1,"&lt;&gt;"))),0)</f>
        <v>0.21897810218978103</v>
      </c>
      <c r="S648">
        <f>IFERROR($J648/IF($A648&lt;COUNTIFS($K$1:S$1,"&lt;&gt;"),0,SUMIFS($J:$J,$B:$B,$B648,$A:$A,"&gt;="&amp;COUNTIFS($K$1:S$1,"&lt;&gt;"))),0)</f>
        <v>0.28301886792452829</v>
      </c>
      <c r="T648">
        <f>IFERROR($J648/IF($A648&lt;COUNTIFS($K$1:T$1,"&lt;&gt;"),0,SUMIFS($J:$J,$B:$B,$B648,$A:$A,"&gt;="&amp;COUNTIFS($K$1:T$1,"&lt;&gt;"))),0)</f>
        <v>0</v>
      </c>
      <c r="U648">
        <f>IFERROR($J648/IF($A648&lt;COUNTIFS($K$1:U$1,"&lt;&gt;"),0,SUMIFS($J:$J,$B:$B,$B648,$A:$A,"&gt;="&amp;COUNTIFS($K$1:U$1,"&lt;&gt;"))),0)</f>
        <v>0</v>
      </c>
      <c r="V648">
        <f>IFERROR($J648/IF($A648&lt;COUNTIFS($K$1:V$1,"&lt;&gt;"),0,SUMIFS($J:$J,$B:$B,$B648,$A:$A,"&gt;="&amp;COUNTIFS($K$1:V$1,"&lt;&gt;"))),0)</f>
        <v>0</v>
      </c>
      <c r="W648">
        <f t="shared" si="244"/>
        <v>8.1967213114754092E-2</v>
      </c>
      <c r="X648">
        <f t="shared" si="224"/>
        <v>8.1967213114754092E-2</v>
      </c>
      <c r="Y648">
        <f t="shared" si="225"/>
        <v>8.1967213114754092E-2</v>
      </c>
      <c r="Z648">
        <f t="shared" si="226"/>
        <v>8.1967213114754092E-2</v>
      </c>
      <c r="AA648">
        <f t="shared" si="227"/>
        <v>8.1967213114754092E-2</v>
      </c>
      <c r="AB648">
        <f t="shared" si="228"/>
        <v>8.1967213114754092E-2</v>
      </c>
      <c r="AC648">
        <f t="shared" si="229"/>
        <v>8.1967213114754092E-2</v>
      </c>
      <c r="AD648">
        <f t="shared" si="230"/>
        <v>8.1967213114754092E-2</v>
      </c>
      <c r="AE648">
        <f t="shared" si="231"/>
        <v>8.1967213114754092E-2</v>
      </c>
      <c r="AF648">
        <f t="shared" si="232"/>
        <v>8.1967213114754092E-2</v>
      </c>
      <c r="AG648">
        <f t="shared" si="233"/>
        <v>0</v>
      </c>
      <c r="AH648">
        <f t="shared" si="234"/>
        <v>0</v>
      </c>
      <c r="AI648">
        <f t="shared" si="235"/>
        <v>0</v>
      </c>
      <c r="AJ648" s="2" t="str">
        <f t="shared" si="245"/>
        <v>945323</v>
      </c>
    </row>
    <row r="649" spans="1:36" x14ac:dyDescent="0.25">
      <c r="A649">
        <v>10</v>
      </c>
      <c r="B649" s="1">
        <v>45323</v>
      </c>
      <c r="C649" s="1">
        <f t="shared" si="236"/>
        <v>45627</v>
      </c>
      <c r="D649" s="1">
        <f t="shared" si="237"/>
        <v>45337</v>
      </c>
      <c r="E649" s="1">
        <f t="shared" si="238"/>
        <v>45627</v>
      </c>
      <c r="F649" s="1">
        <f t="shared" si="239"/>
        <v>45658</v>
      </c>
      <c r="G649" s="1">
        <f t="shared" si="240"/>
        <v>45703</v>
      </c>
      <c r="H649">
        <f t="shared" si="241"/>
        <v>366</v>
      </c>
      <c r="I649">
        <f t="shared" si="242"/>
        <v>31</v>
      </c>
      <c r="J649">
        <f t="shared" si="243"/>
        <v>8.4699453551912565E-2</v>
      </c>
      <c r="K649">
        <f>IFERROR($J649/IF($A649&lt;COUNTIFS($K$1:K$1,"&lt;&gt;"),0,SUMIFS($J:$J,$B:$B,$B649,$A:$A,"&gt;="&amp;COUNTIFS($K$1:K$1,"&lt;&gt;"))),0)</f>
        <v>8.8319088319088315E-2</v>
      </c>
      <c r="L649">
        <f>IFERROR($J649/IF($A649&lt;COUNTIFS($K$1:L$1,"&lt;&gt;"),0,SUMIFS($J:$J,$B:$B,$B649,$A:$A,"&gt;="&amp;COUNTIFS($K$1:L$1,"&lt;&gt;"))),0)</f>
        <v>9.6875000000000003E-2</v>
      </c>
      <c r="M649">
        <f>IFERROR($J649/IF($A649&lt;COUNTIFS($K$1:M$1,"&lt;&gt;"),0,SUMIFS($J:$J,$B:$B,$B649,$A:$A,"&gt;="&amp;COUNTIFS($K$1:M$1,"&lt;&gt;"))),0)</f>
        <v>0.10689655172413792</v>
      </c>
      <c r="N649">
        <f>IFERROR($J649/IF($A649&lt;COUNTIFS($K$1:N$1,"&lt;&gt;"),0,SUMIFS($J:$J,$B:$B,$B649,$A:$A,"&gt;="&amp;COUNTIFS($K$1:N$1,"&lt;&gt;"))),0)</f>
        <v>0.11969111969111969</v>
      </c>
      <c r="O649">
        <f>IFERROR($J649/IF($A649&lt;COUNTIFS($K$1:O$1,"&lt;&gt;"),0,SUMIFS($J:$J,$B:$B,$B649,$A:$A,"&gt;="&amp;COUNTIFS($K$1:O$1,"&lt;&gt;"))),0)</f>
        <v>0.13537117903930129</v>
      </c>
      <c r="P649">
        <f>IFERROR($J649/IF($A649&lt;COUNTIFS($K$1:P$1,"&lt;&gt;"),0,SUMIFS($J:$J,$B:$B,$B649,$A:$A,"&gt;="&amp;COUNTIFS($K$1:P$1,"&lt;&gt;"))),0)</f>
        <v>0.15656565656565655</v>
      </c>
      <c r="Q649">
        <f>IFERROR($J649/IF($A649&lt;COUNTIFS($K$1:Q$1,"&lt;&gt;"),0,SUMIFS($J:$J,$B:$B,$B649,$A:$A,"&gt;="&amp;COUNTIFS($K$1:Q$1,"&lt;&gt;"))),0)</f>
        <v>0.18562874251497008</v>
      </c>
      <c r="R649">
        <f>IFERROR($J649/IF($A649&lt;COUNTIFS($K$1:R$1,"&lt;&gt;"),0,SUMIFS($J:$J,$B:$B,$B649,$A:$A,"&gt;="&amp;COUNTIFS($K$1:R$1,"&lt;&gt;"))),0)</f>
        <v>0.22627737226277372</v>
      </c>
      <c r="S649">
        <f>IFERROR($J649/IF($A649&lt;COUNTIFS($K$1:S$1,"&lt;&gt;"),0,SUMIFS($J:$J,$B:$B,$B649,$A:$A,"&gt;="&amp;COUNTIFS($K$1:S$1,"&lt;&gt;"))),0)</f>
        <v>0.29245283018867924</v>
      </c>
      <c r="T649">
        <f>IFERROR($J649/IF($A649&lt;COUNTIFS($K$1:T$1,"&lt;&gt;"),0,SUMIFS($J:$J,$B:$B,$B649,$A:$A,"&gt;="&amp;COUNTIFS($K$1:T$1,"&lt;&gt;"))),0)</f>
        <v>0.40789473684210525</v>
      </c>
      <c r="U649">
        <f>IFERROR($J649/IF($A649&lt;COUNTIFS($K$1:U$1,"&lt;&gt;"),0,SUMIFS($J:$J,$B:$B,$B649,$A:$A,"&gt;="&amp;COUNTIFS($K$1:U$1,"&lt;&gt;"))),0)</f>
        <v>0</v>
      </c>
      <c r="V649">
        <f>IFERROR($J649/IF($A649&lt;COUNTIFS($K$1:V$1,"&lt;&gt;"),0,SUMIFS($J:$J,$B:$B,$B649,$A:$A,"&gt;="&amp;COUNTIFS($K$1:V$1,"&lt;&gt;"))),0)</f>
        <v>0</v>
      </c>
      <c r="W649">
        <f t="shared" si="244"/>
        <v>8.4699453551912565E-2</v>
      </c>
      <c r="X649">
        <f t="shared" si="224"/>
        <v>8.4699453551912565E-2</v>
      </c>
      <c r="Y649">
        <f t="shared" si="225"/>
        <v>8.4699453551912565E-2</v>
      </c>
      <c r="Z649">
        <f t="shared" si="226"/>
        <v>8.4699453551912565E-2</v>
      </c>
      <c r="AA649">
        <f t="shared" si="227"/>
        <v>8.4699453551912565E-2</v>
      </c>
      <c r="AB649">
        <f t="shared" si="228"/>
        <v>8.4699453551912565E-2</v>
      </c>
      <c r="AC649">
        <f t="shared" si="229"/>
        <v>8.4699453551912565E-2</v>
      </c>
      <c r="AD649">
        <f t="shared" si="230"/>
        <v>8.4699453551912565E-2</v>
      </c>
      <c r="AE649">
        <f t="shared" si="231"/>
        <v>8.4699453551912565E-2</v>
      </c>
      <c r="AF649">
        <f t="shared" si="232"/>
        <v>8.4699453551912565E-2</v>
      </c>
      <c r="AG649">
        <f t="shared" si="233"/>
        <v>8.4699453551912565E-2</v>
      </c>
      <c r="AH649">
        <f t="shared" si="234"/>
        <v>0</v>
      </c>
      <c r="AI649">
        <f t="shared" si="235"/>
        <v>0</v>
      </c>
      <c r="AJ649" s="2" t="str">
        <f t="shared" si="245"/>
        <v>1045323</v>
      </c>
    </row>
    <row r="650" spans="1:36" x14ac:dyDescent="0.25">
      <c r="A650">
        <v>11</v>
      </c>
      <c r="B650" s="1">
        <v>45323</v>
      </c>
      <c r="C650" s="1">
        <f t="shared" si="236"/>
        <v>45658</v>
      </c>
      <c r="D650" s="1">
        <f t="shared" si="237"/>
        <v>45337</v>
      </c>
      <c r="E650" s="1">
        <f t="shared" si="238"/>
        <v>45658</v>
      </c>
      <c r="F650" s="1">
        <f t="shared" si="239"/>
        <v>45689</v>
      </c>
      <c r="G650" s="1">
        <f t="shared" si="240"/>
        <v>45703</v>
      </c>
      <c r="H650">
        <f t="shared" si="241"/>
        <v>366</v>
      </c>
      <c r="I650">
        <f t="shared" si="242"/>
        <v>31</v>
      </c>
      <c r="J650">
        <f t="shared" si="243"/>
        <v>8.4699453551912565E-2</v>
      </c>
      <c r="K650">
        <f>IFERROR($J650/IF($A650&lt;COUNTIFS($K$1:K$1,"&lt;&gt;"),0,SUMIFS($J:$J,$B:$B,$B650,$A:$A,"&gt;="&amp;COUNTIFS($K$1:K$1,"&lt;&gt;"))),0)</f>
        <v>8.8319088319088315E-2</v>
      </c>
      <c r="L650">
        <f>IFERROR($J650/IF($A650&lt;COUNTIFS($K$1:L$1,"&lt;&gt;"),0,SUMIFS($J:$J,$B:$B,$B650,$A:$A,"&gt;="&amp;COUNTIFS($K$1:L$1,"&lt;&gt;"))),0)</f>
        <v>9.6875000000000003E-2</v>
      </c>
      <c r="M650">
        <f>IFERROR($J650/IF($A650&lt;COUNTIFS($K$1:M$1,"&lt;&gt;"),0,SUMIFS($J:$J,$B:$B,$B650,$A:$A,"&gt;="&amp;COUNTIFS($K$1:M$1,"&lt;&gt;"))),0)</f>
        <v>0.10689655172413792</v>
      </c>
      <c r="N650">
        <f>IFERROR($J650/IF($A650&lt;COUNTIFS($K$1:N$1,"&lt;&gt;"),0,SUMIFS($J:$J,$B:$B,$B650,$A:$A,"&gt;="&amp;COUNTIFS($K$1:N$1,"&lt;&gt;"))),0)</f>
        <v>0.11969111969111969</v>
      </c>
      <c r="O650">
        <f>IFERROR($J650/IF($A650&lt;COUNTIFS($K$1:O$1,"&lt;&gt;"),0,SUMIFS($J:$J,$B:$B,$B650,$A:$A,"&gt;="&amp;COUNTIFS($K$1:O$1,"&lt;&gt;"))),0)</f>
        <v>0.13537117903930129</v>
      </c>
      <c r="P650">
        <f>IFERROR($J650/IF($A650&lt;COUNTIFS($K$1:P$1,"&lt;&gt;"),0,SUMIFS($J:$J,$B:$B,$B650,$A:$A,"&gt;="&amp;COUNTIFS($K$1:P$1,"&lt;&gt;"))),0)</f>
        <v>0.15656565656565655</v>
      </c>
      <c r="Q650">
        <f>IFERROR($J650/IF($A650&lt;COUNTIFS($K$1:Q$1,"&lt;&gt;"),0,SUMIFS($J:$J,$B:$B,$B650,$A:$A,"&gt;="&amp;COUNTIFS($K$1:Q$1,"&lt;&gt;"))),0)</f>
        <v>0.18562874251497008</v>
      </c>
      <c r="R650">
        <f>IFERROR($J650/IF($A650&lt;COUNTIFS($K$1:R$1,"&lt;&gt;"),0,SUMIFS($J:$J,$B:$B,$B650,$A:$A,"&gt;="&amp;COUNTIFS($K$1:R$1,"&lt;&gt;"))),0)</f>
        <v>0.22627737226277372</v>
      </c>
      <c r="S650">
        <f>IFERROR($J650/IF($A650&lt;COUNTIFS($K$1:S$1,"&lt;&gt;"),0,SUMIFS($J:$J,$B:$B,$B650,$A:$A,"&gt;="&amp;COUNTIFS($K$1:S$1,"&lt;&gt;"))),0)</f>
        <v>0.29245283018867924</v>
      </c>
      <c r="T650">
        <f>IFERROR($J650/IF($A650&lt;COUNTIFS($K$1:T$1,"&lt;&gt;"),0,SUMIFS($J:$J,$B:$B,$B650,$A:$A,"&gt;="&amp;COUNTIFS($K$1:T$1,"&lt;&gt;"))),0)</f>
        <v>0.40789473684210525</v>
      </c>
      <c r="U650">
        <f>IFERROR($J650/IF($A650&lt;COUNTIFS($K$1:U$1,"&lt;&gt;"),0,SUMIFS($J:$J,$B:$B,$B650,$A:$A,"&gt;="&amp;COUNTIFS($K$1:U$1,"&lt;&gt;"))),0)</f>
        <v>0.68888888888888888</v>
      </c>
      <c r="V650">
        <f>IFERROR($J650/IF($A650&lt;COUNTIFS($K$1:V$1,"&lt;&gt;"),0,SUMIFS($J:$J,$B:$B,$B650,$A:$A,"&gt;="&amp;COUNTIFS($K$1:V$1,"&lt;&gt;"))),0)</f>
        <v>0</v>
      </c>
      <c r="W650">
        <f t="shared" si="244"/>
        <v>8.4699453551912565E-2</v>
      </c>
      <c r="X650">
        <f t="shared" si="224"/>
        <v>8.4699453551912565E-2</v>
      </c>
      <c r="Y650">
        <f t="shared" si="225"/>
        <v>8.4699453551912565E-2</v>
      </c>
      <c r="Z650">
        <f t="shared" si="226"/>
        <v>8.4699453551912565E-2</v>
      </c>
      <c r="AA650">
        <f t="shared" si="227"/>
        <v>8.4699453551912565E-2</v>
      </c>
      <c r="AB650">
        <f t="shared" si="228"/>
        <v>8.4699453551912565E-2</v>
      </c>
      <c r="AC650">
        <f t="shared" si="229"/>
        <v>8.4699453551912565E-2</v>
      </c>
      <c r="AD650">
        <f t="shared" si="230"/>
        <v>8.4699453551912565E-2</v>
      </c>
      <c r="AE650">
        <f t="shared" si="231"/>
        <v>8.4699453551912565E-2</v>
      </c>
      <c r="AF650">
        <f t="shared" si="232"/>
        <v>8.4699453551912565E-2</v>
      </c>
      <c r="AG650">
        <f t="shared" si="233"/>
        <v>8.4699453551912565E-2</v>
      </c>
      <c r="AH650">
        <f t="shared" si="234"/>
        <v>8.4699453551912565E-2</v>
      </c>
      <c r="AI650">
        <f t="shared" si="235"/>
        <v>0</v>
      </c>
      <c r="AJ650" s="2" t="str">
        <f t="shared" si="245"/>
        <v>1145323</v>
      </c>
    </row>
    <row r="651" spans="1:36" x14ac:dyDescent="0.25">
      <c r="A651">
        <v>12</v>
      </c>
      <c r="B651" s="1">
        <v>45323</v>
      </c>
      <c r="C651" s="1">
        <f t="shared" si="236"/>
        <v>45689</v>
      </c>
      <c r="D651" s="1">
        <f t="shared" si="237"/>
        <v>45337</v>
      </c>
      <c r="E651" s="1">
        <f t="shared" si="238"/>
        <v>45689</v>
      </c>
      <c r="F651" s="1">
        <f t="shared" si="239"/>
        <v>45703</v>
      </c>
      <c r="G651" s="1">
        <f t="shared" si="240"/>
        <v>45703</v>
      </c>
      <c r="H651">
        <f t="shared" si="241"/>
        <v>366</v>
      </c>
      <c r="I651">
        <f t="shared" si="242"/>
        <v>14</v>
      </c>
      <c r="J651">
        <f t="shared" si="243"/>
        <v>3.825136612021858E-2</v>
      </c>
      <c r="K651">
        <f>IFERROR($J651/IF($A651&lt;COUNTIFS($K$1:K$1,"&lt;&gt;"),0,SUMIFS($J:$J,$B:$B,$B651,$A:$A,"&gt;="&amp;COUNTIFS($K$1:K$1,"&lt;&gt;"))),0)</f>
        <v>3.9886039886039885E-2</v>
      </c>
      <c r="L651">
        <f>IFERROR($J651/IF($A651&lt;COUNTIFS($K$1:L$1,"&lt;&gt;"),0,SUMIFS($J:$J,$B:$B,$B651,$A:$A,"&gt;="&amp;COUNTIFS($K$1:L$1,"&lt;&gt;"))),0)</f>
        <v>4.3750000000000004E-2</v>
      </c>
      <c r="M651">
        <f>IFERROR($J651/IF($A651&lt;COUNTIFS($K$1:M$1,"&lt;&gt;"),0,SUMIFS($J:$J,$B:$B,$B651,$A:$A,"&gt;="&amp;COUNTIFS($K$1:M$1,"&lt;&gt;"))),0)</f>
        <v>4.8275862068965517E-2</v>
      </c>
      <c r="N651">
        <f>IFERROR($J651/IF($A651&lt;COUNTIFS($K$1:N$1,"&lt;&gt;"),0,SUMIFS($J:$J,$B:$B,$B651,$A:$A,"&gt;="&amp;COUNTIFS($K$1:N$1,"&lt;&gt;"))),0)</f>
        <v>5.4054054054054057E-2</v>
      </c>
      <c r="O651">
        <f>IFERROR($J651/IF($A651&lt;COUNTIFS($K$1:O$1,"&lt;&gt;"),0,SUMIFS($J:$J,$B:$B,$B651,$A:$A,"&gt;="&amp;COUNTIFS($K$1:O$1,"&lt;&gt;"))),0)</f>
        <v>6.1135371179039298E-2</v>
      </c>
      <c r="P651">
        <f>IFERROR($J651/IF($A651&lt;COUNTIFS($K$1:P$1,"&lt;&gt;"),0,SUMIFS($J:$J,$B:$B,$B651,$A:$A,"&gt;="&amp;COUNTIFS($K$1:P$1,"&lt;&gt;"))),0)</f>
        <v>7.0707070707070704E-2</v>
      </c>
      <c r="Q651">
        <f>IFERROR($J651/IF($A651&lt;COUNTIFS($K$1:Q$1,"&lt;&gt;"),0,SUMIFS($J:$J,$B:$B,$B651,$A:$A,"&gt;="&amp;COUNTIFS($K$1:Q$1,"&lt;&gt;"))),0)</f>
        <v>8.3832335329341326E-2</v>
      </c>
      <c r="R651">
        <f>IFERROR($J651/IF($A651&lt;COUNTIFS($K$1:R$1,"&lt;&gt;"),0,SUMIFS($J:$J,$B:$B,$B651,$A:$A,"&gt;="&amp;COUNTIFS($K$1:R$1,"&lt;&gt;"))),0)</f>
        <v>0.10218978102189782</v>
      </c>
      <c r="S651">
        <f>IFERROR($J651/IF($A651&lt;COUNTIFS($K$1:S$1,"&lt;&gt;"),0,SUMIFS($J:$J,$B:$B,$B651,$A:$A,"&gt;="&amp;COUNTIFS($K$1:S$1,"&lt;&gt;"))),0)</f>
        <v>0.13207547169811321</v>
      </c>
      <c r="T651">
        <f>IFERROR($J651/IF($A651&lt;COUNTIFS($K$1:T$1,"&lt;&gt;"),0,SUMIFS($J:$J,$B:$B,$B651,$A:$A,"&gt;="&amp;COUNTIFS($K$1:T$1,"&lt;&gt;"))),0)</f>
        <v>0.18421052631578946</v>
      </c>
      <c r="U651">
        <f>IFERROR($J651/IF($A651&lt;COUNTIFS($K$1:U$1,"&lt;&gt;"),0,SUMIFS($J:$J,$B:$B,$B651,$A:$A,"&gt;="&amp;COUNTIFS($K$1:U$1,"&lt;&gt;"))),0)</f>
        <v>0.31111111111111112</v>
      </c>
      <c r="V651">
        <f>IFERROR($J651/IF($A651&lt;COUNTIFS($K$1:V$1,"&lt;&gt;"),0,SUMIFS($J:$J,$B:$B,$B651,$A:$A,"&gt;="&amp;COUNTIFS($K$1:V$1,"&lt;&gt;"))),0)</f>
        <v>1</v>
      </c>
      <c r="W651">
        <f t="shared" si="244"/>
        <v>3.825136612021858E-2</v>
      </c>
      <c r="X651">
        <f t="shared" si="224"/>
        <v>3.825136612021858E-2</v>
      </c>
      <c r="Y651">
        <f t="shared" si="225"/>
        <v>3.825136612021858E-2</v>
      </c>
      <c r="Z651">
        <f t="shared" si="226"/>
        <v>3.825136612021858E-2</v>
      </c>
      <c r="AA651">
        <f t="shared" si="227"/>
        <v>3.825136612021858E-2</v>
      </c>
      <c r="AB651">
        <f t="shared" si="228"/>
        <v>3.825136612021858E-2</v>
      </c>
      <c r="AC651">
        <f t="shared" si="229"/>
        <v>3.825136612021858E-2</v>
      </c>
      <c r="AD651">
        <f t="shared" si="230"/>
        <v>3.825136612021858E-2</v>
      </c>
      <c r="AE651">
        <f t="shared" si="231"/>
        <v>3.825136612021858E-2</v>
      </c>
      <c r="AF651">
        <f t="shared" si="232"/>
        <v>3.825136612021858E-2</v>
      </c>
      <c r="AG651">
        <f t="shared" si="233"/>
        <v>3.825136612021858E-2</v>
      </c>
      <c r="AH651">
        <f t="shared" si="234"/>
        <v>3.825136612021858E-2</v>
      </c>
      <c r="AI651">
        <f t="shared" si="235"/>
        <v>3.825136612021858E-2</v>
      </c>
      <c r="AJ651" s="2" t="str">
        <f t="shared" si="245"/>
        <v>1245323</v>
      </c>
    </row>
    <row r="652" spans="1:36" x14ac:dyDescent="0.25">
      <c r="A652">
        <v>0</v>
      </c>
      <c r="B652" s="1">
        <v>45352</v>
      </c>
      <c r="C652" s="1">
        <f t="shared" si="236"/>
        <v>45352</v>
      </c>
      <c r="D652" s="1">
        <f t="shared" si="237"/>
        <v>45366</v>
      </c>
      <c r="E652" s="1">
        <f t="shared" si="238"/>
        <v>45366</v>
      </c>
      <c r="F652" s="1">
        <f t="shared" si="239"/>
        <v>45383</v>
      </c>
      <c r="G652" s="1">
        <f t="shared" si="240"/>
        <v>45731</v>
      </c>
      <c r="H652">
        <f t="shared" si="241"/>
        <v>365</v>
      </c>
      <c r="I652">
        <f t="shared" si="242"/>
        <v>17</v>
      </c>
      <c r="J652">
        <f t="shared" si="243"/>
        <v>4.6575342465753428E-2</v>
      </c>
      <c r="K652">
        <f>IFERROR($J652/IF($A652&lt;COUNTIFS($K$1:K$1,"&lt;&gt;"),0,SUMIFS($J:$J,$B:$B,$B652,$A:$A,"&gt;="&amp;COUNTIFS($K$1:K$1,"&lt;&gt;"))),0)</f>
        <v>0</v>
      </c>
      <c r="L652">
        <f>IFERROR($J652/IF($A652&lt;COUNTIFS($K$1:L$1,"&lt;&gt;"),0,SUMIFS($J:$J,$B:$B,$B652,$A:$A,"&gt;="&amp;COUNTIFS($K$1:L$1,"&lt;&gt;"))),0)</f>
        <v>0</v>
      </c>
      <c r="M652">
        <f>IFERROR($J652/IF($A652&lt;COUNTIFS($K$1:M$1,"&lt;&gt;"),0,SUMIFS($J:$J,$B:$B,$B652,$A:$A,"&gt;="&amp;COUNTIFS($K$1:M$1,"&lt;&gt;"))),0)</f>
        <v>0</v>
      </c>
      <c r="N652">
        <f>IFERROR($J652/IF($A652&lt;COUNTIFS($K$1:N$1,"&lt;&gt;"),0,SUMIFS($J:$J,$B:$B,$B652,$A:$A,"&gt;="&amp;COUNTIFS($K$1:N$1,"&lt;&gt;"))),0)</f>
        <v>0</v>
      </c>
      <c r="O652">
        <f>IFERROR($J652/IF($A652&lt;COUNTIFS($K$1:O$1,"&lt;&gt;"),0,SUMIFS($J:$J,$B:$B,$B652,$A:$A,"&gt;="&amp;COUNTIFS($K$1:O$1,"&lt;&gt;"))),0)</f>
        <v>0</v>
      </c>
      <c r="P652">
        <f>IFERROR($J652/IF($A652&lt;COUNTIFS($K$1:P$1,"&lt;&gt;"),0,SUMIFS($J:$J,$B:$B,$B652,$A:$A,"&gt;="&amp;COUNTIFS($K$1:P$1,"&lt;&gt;"))),0)</f>
        <v>0</v>
      </c>
      <c r="Q652">
        <f>IFERROR($J652/IF($A652&lt;COUNTIFS($K$1:Q$1,"&lt;&gt;"),0,SUMIFS($J:$J,$B:$B,$B652,$A:$A,"&gt;="&amp;COUNTIFS($K$1:Q$1,"&lt;&gt;"))),0)</f>
        <v>0</v>
      </c>
      <c r="R652">
        <f>IFERROR($J652/IF($A652&lt;COUNTIFS($K$1:R$1,"&lt;&gt;"),0,SUMIFS($J:$J,$B:$B,$B652,$A:$A,"&gt;="&amp;COUNTIFS($K$1:R$1,"&lt;&gt;"))),0)</f>
        <v>0</v>
      </c>
      <c r="S652">
        <f>IFERROR($J652/IF($A652&lt;COUNTIFS($K$1:S$1,"&lt;&gt;"),0,SUMIFS($J:$J,$B:$B,$B652,$A:$A,"&gt;="&amp;COUNTIFS($K$1:S$1,"&lt;&gt;"))),0)</f>
        <v>0</v>
      </c>
      <c r="T652">
        <f>IFERROR($J652/IF($A652&lt;COUNTIFS($K$1:T$1,"&lt;&gt;"),0,SUMIFS($J:$J,$B:$B,$B652,$A:$A,"&gt;="&amp;COUNTIFS($K$1:T$1,"&lt;&gt;"))),0)</f>
        <v>0</v>
      </c>
      <c r="U652">
        <f>IFERROR($J652/IF($A652&lt;COUNTIFS($K$1:U$1,"&lt;&gt;"),0,SUMIFS($J:$J,$B:$B,$B652,$A:$A,"&gt;="&amp;COUNTIFS($K$1:U$1,"&lt;&gt;"))),0)</f>
        <v>0</v>
      </c>
      <c r="V652">
        <f>IFERROR($J652/IF($A652&lt;COUNTIFS($K$1:V$1,"&lt;&gt;"),0,SUMIFS($J:$J,$B:$B,$B652,$A:$A,"&gt;="&amp;COUNTIFS($K$1:V$1,"&lt;&gt;"))),0)</f>
        <v>0</v>
      </c>
      <c r="W652">
        <f t="shared" si="244"/>
        <v>4.6575342465753428E-2</v>
      </c>
      <c r="X652">
        <f t="shared" si="224"/>
        <v>0</v>
      </c>
      <c r="Y652">
        <f t="shared" si="225"/>
        <v>0</v>
      </c>
      <c r="Z652">
        <f t="shared" si="226"/>
        <v>0</v>
      </c>
      <c r="AA652">
        <f t="shared" si="227"/>
        <v>0</v>
      </c>
      <c r="AB652">
        <f t="shared" si="228"/>
        <v>0</v>
      </c>
      <c r="AC652">
        <f t="shared" si="229"/>
        <v>0</v>
      </c>
      <c r="AD652">
        <f t="shared" si="230"/>
        <v>0</v>
      </c>
      <c r="AE652">
        <f t="shared" si="231"/>
        <v>0</v>
      </c>
      <c r="AF652">
        <f t="shared" si="232"/>
        <v>0</v>
      </c>
      <c r="AG652">
        <f t="shared" si="233"/>
        <v>0</v>
      </c>
      <c r="AH652">
        <f t="shared" si="234"/>
        <v>0</v>
      </c>
      <c r="AI652">
        <f t="shared" si="235"/>
        <v>0</v>
      </c>
      <c r="AJ652" s="2" t="str">
        <f t="shared" si="245"/>
        <v>045352</v>
      </c>
    </row>
    <row r="653" spans="1:36" x14ac:dyDescent="0.25">
      <c r="A653">
        <v>1</v>
      </c>
      <c r="B653" s="1">
        <v>45352</v>
      </c>
      <c r="C653" s="1">
        <f t="shared" si="236"/>
        <v>45383</v>
      </c>
      <c r="D653" s="1">
        <f t="shared" si="237"/>
        <v>45366</v>
      </c>
      <c r="E653" s="1">
        <f t="shared" si="238"/>
        <v>45383</v>
      </c>
      <c r="F653" s="1">
        <f t="shared" si="239"/>
        <v>45413</v>
      </c>
      <c r="G653" s="1">
        <f t="shared" si="240"/>
        <v>45731</v>
      </c>
      <c r="H653">
        <f t="shared" si="241"/>
        <v>365</v>
      </c>
      <c r="I653">
        <f t="shared" si="242"/>
        <v>30</v>
      </c>
      <c r="J653">
        <f t="shared" si="243"/>
        <v>8.2191780821917804E-2</v>
      </c>
      <c r="K653">
        <f>IFERROR($J653/IF($A653&lt;COUNTIFS($K$1:K$1,"&lt;&gt;"),0,SUMIFS($J:$J,$B:$B,$B653,$A:$A,"&gt;="&amp;COUNTIFS($K$1:K$1,"&lt;&gt;"))),0)</f>
        <v>8.6206896551724144E-2</v>
      </c>
      <c r="L653">
        <f>IFERROR($J653/IF($A653&lt;COUNTIFS($K$1:L$1,"&lt;&gt;"),0,SUMIFS($J:$J,$B:$B,$B653,$A:$A,"&gt;="&amp;COUNTIFS($K$1:L$1,"&lt;&gt;"))),0)</f>
        <v>0</v>
      </c>
      <c r="M653">
        <f>IFERROR($J653/IF($A653&lt;COUNTIFS($K$1:M$1,"&lt;&gt;"),0,SUMIFS($J:$J,$B:$B,$B653,$A:$A,"&gt;="&amp;COUNTIFS($K$1:M$1,"&lt;&gt;"))),0)</f>
        <v>0</v>
      </c>
      <c r="N653">
        <f>IFERROR($J653/IF($A653&lt;COUNTIFS($K$1:N$1,"&lt;&gt;"),0,SUMIFS($J:$J,$B:$B,$B653,$A:$A,"&gt;="&amp;COUNTIFS($K$1:N$1,"&lt;&gt;"))),0)</f>
        <v>0</v>
      </c>
      <c r="O653">
        <f>IFERROR($J653/IF($A653&lt;COUNTIFS($K$1:O$1,"&lt;&gt;"),0,SUMIFS($J:$J,$B:$B,$B653,$A:$A,"&gt;="&amp;COUNTIFS($K$1:O$1,"&lt;&gt;"))),0)</f>
        <v>0</v>
      </c>
      <c r="P653">
        <f>IFERROR($J653/IF($A653&lt;COUNTIFS($K$1:P$1,"&lt;&gt;"),0,SUMIFS($J:$J,$B:$B,$B653,$A:$A,"&gt;="&amp;COUNTIFS($K$1:P$1,"&lt;&gt;"))),0)</f>
        <v>0</v>
      </c>
      <c r="Q653">
        <f>IFERROR($J653/IF($A653&lt;COUNTIFS($K$1:Q$1,"&lt;&gt;"),0,SUMIFS($J:$J,$B:$B,$B653,$A:$A,"&gt;="&amp;COUNTIFS($K$1:Q$1,"&lt;&gt;"))),0)</f>
        <v>0</v>
      </c>
      <c r="R653">
        <f>IFERROR($J653/IF($A653&lt;COUNTIFS($K$1:R$1,"&lt;&gt;"),0,SUMIFS($J:$J,$B:$B,$B653,$A:$A,"&gt;="&amp;COUNTIFS($K$1:R$1,"&lt;&gt;"))),0)</f>
        <v>0</v>
      </c>
      <c r="S653">
        <f>IFERROR($J653/IF($A653&lt;COUNTIFS($K$1:S$1,"&lt;&gt;"),0,SUMIFS($J:$J,$B:$B,$B653,$A:$A,"&gt;="&amp;COUNTIFS($K$1:S$1,"&lt;&gt;"))),0)</f>
        <v>0</v>
      </c>
      <c r="T653">
        <f>IFERROR($J653/IF($A653&lt;COUNTIFS($K$1:T$1,"&lt;&gt;"),0,SUMIFS($J:$J,$B:$B,$B653,$A:$A,"&gt;="&amp;COUNTIFS($K$1:T$1,"&lt;&gt;"))),0)</f>
        <v>0</v>
      </c>
      <c r="U653">
        <f>IFERROR($J653/IF($A653&lt;COUNTIFS($K$1:U$1,"&lt;&gt;"),0,SUMIFS($J:$J,$B:$B,$B653,$A:$A,"&gt;="&amp;COUNTIFS($K$1:U$1,"&lt;&gt;"))),0)</f>
        <v>0</v>
      </c>
      <c r="V653">
        <f>IFERROR($J653/IF($A653&lt;COUNTIFS($K$1:V$1,"&lt;&gt;"),0,SUMIFS($J:$J,$B:$B,$B653,$A:$A,"&gt;="&amp;COUNTIFS($K$1:V$1,"&lt;&gt;"))),0)</f>
        <v>0</v>
      </c>
      <c r="W653">
        <f t="shared" si="244"/>
        <v>8.2191780821917804E-2</v>
      </c>
      <c r="X653">
        <f t="shared" si="224"/>
        <v>8.2191780821917804E-2</v>
      </c>
      <c r="Y653">
        <f t="shared" si="225"/>
        <v>0</v>
      </c>
      <c r="Z653">
        <f t="shared" si="226"/>
        <v>0</v>
      </c>
      <c r="AA653">
        <f t="shared" si="227"/>
        <v>0</v>
      </c>
      <c r="AB653">
        <f t="shared" si="228"/>
        <v>0</v>
      </c>
      <c r="AC653">
        <f t="shared" si="229"/>
        <v>0</v>
      </c>
      <c r="AD653">
        <f t="shared" si="230"/>
        <v>0</v>
      </c>
      <c r="AE653">
        <f t="shared" si="231"/>
        <v>0</v>
      </c>
      <c r="AF653">
        <f t="shared" si="232"/>
        <v>0</v>
      </c>
      <c r="AG653">
        <f t="shared" si="233"/>
        <v>0</v>
      </c>
      <c r="AH653">
        <f t="shared" si="234"/>
        <v>0</v>
      </c>
      <c r="AI653">
        <f t="shared" si="235"/>
        <v>0</v>
      </c>
      <c r="AJ653" s="2" t="str">
        <f t="shared" si="245"/>
        <v>145352</v>
      </c>
    </row>
    <row r="654" spans="1:36" x14ac:dyDescent="0.25">
      <c r="A654">
        <v>2</v>
      </c>
      <c r="B654" s="1">
        <v>45352</v>
      </c>
      <c r="C654" s="1">
        <f t="shared" si="236"/>
        <v>45413</v>
      </c>
      <c r="D654" s="1">
        <f t="shared" si="237"/>
        <v>45366</v>
      </c>
      <c r="E654" s="1">
        <f t="shared" si="238"/>
        <v>45413</v>
      </c>
      <c r="F654" s="1">
        <f t="shared" si="239"/>
        <v>45444</v>
      </c>
      <c r="G654" s="1">
        <f t="shared" si="240"/>
        <v>45731</v>
      </c>
      <c r="H654">
        <f t="shared" si="241"/>
        <v>365</v>
      </c>
      <c r="I654">
        <f t="shared" si="242"/>
        <v>31</v>
      </c>
      <c r="J654">
        <f t="shared" si="243"/>
        <v>8.4931506849315067E-2</v>
      </c>
      <c r="K654">
        <f>IFERROR($J654/IF($A654&lt;COUNTIFS($K$1:K$1,"&lt;&gt;"),0,SUMIFS($J:$J,$B:$B,$B654,$A:$A,"&gt;="&amp;COUNTIFS($K$1:K$1,"&lt;&gt;"))),0)</f>
        <v>8.9080459770114959E-2</v>
      </c>
      <c r="L654">
        <f>IFERROR($J654/IF($A654&lt;COUNTIFS($K$1:L$1,"&lt;&gt;"),0,SUMIFS($J:$J,$B:$B,$B654,$A:$A,"&gt;="&amp;COUNTIFS($K$1:L$1,"&lt;&gt;"))),0)</f>
        <v>9.7484276729559768E-2</v>
      </c>
      <c r="M654">
        <f>IFERROR($J654/IF($A654&lt;COUNTIFS($K$1:M$1,"&lt;&gt;"),0,SUMIFS($J:$J,$B:$B,$B654,$A:$A,"&gt;="&amp;COUNTIFS($K$1:M$1,"&lt;&gt;"))),0)</f>
        <v>0</v>
      </c>
      <c r="N654">
        <f>IFERROR($J654/IF($A654&lt;COUNTIFS($K$1:N$1,"&lt;&gt;"),0,SUMIFS($J:$J,$B:$B,$B654,$A:$A,"&gt;="&amp;COUNTIFS($K$1:N$1,"&lt;&gt;"))),0)</f>
        <v>0</v>
      </c>
      <c r="O654">
        <f>IFERROR($J654/IF($A654&lt;COUNTIFS($K$1:O$1,"&lt;&gt;"),0,SUMIFS($J:$J,$B:$B,$B654,$A:$A,"&gt;="&amp;COUNTIFS($K$1:O$1,"&lt;&gt;"))),0)</f>
        <v>0</v>
      </c>
      <c r="P654">
        <f>IFERROR($J654/IF($A654&lt;COUNTIFS($K$1:P$1,"&lt;&gt;"),0,SUMIFS($J:$J,$B:$B,$B654,$A:$A,"&gt;="&amp;COUNTIFS($K$1:P$1,"&lt;&gt;"))),0)</f>
        <v>0</v>
      </c>
      <c r="Q654">
        <f>IFERROR($J654/IF($A654&lt;COUNTIFS($K$1:Q$1,"&lt;&gt;"),0,SUMIFS($J:$J,$B:$B,$B654,$A:$A,"&gt;="&amp;COUNTIFS($K$1:Q$1,"&lt;&gt;"))),0)</f>
        <v>0</v>
      </c>
      <c r="R654">
        <f>IFERROR($J654/IF($A654&lt;COUNTIFS($K$1:R$1,"&lt;&gt;"),0,SUMIFS($J:$J,$B:$B,$B654,$A:$A,"&gt;="&amp;COUNTIFS($K$1:R$1,"&lt;&gt;"))),0)</f>
        <v>0</v>
      </c>
      <c r="S654">
        <f>IFERROR($J654/IF($A654&lt;COUNTIFS($K$1:S$1,"&lt;&gt;"),0,SUMIFS($J:$J,$B:$B,$B654,$A:$A,"&gt;="&amp;COUNTIFS($K$1:S$1,"&lt;&gt;"))),0)</f>
        <v>0</v>
      </c>
      <c r="T654">
        <f>IFERROR($J654/IF($A654&lt;COUNTIFS($K$1:T$1,"&lt;&gt;"),0,SUMIFS($J:$J,$B:$B,$B654,$A:$A,"&gt;="&amp;COUNTIFS($K$1:T$1,"&lt;&gt;"))),0)</f>
        <v>0</v>
      </c>
      <c r="U654">
        <f>IFERROR($J654/IF($A654&lt;COUNTIFS($K$1:U$1,"&lt;&gt;"),0,SUMIFS($J:$J,$B:$B,$B654,$A:$A,"&gt;="&amp;COUNTIFS($K$1:U$1,"&lt;&gt;"))),0)</f>
        <v>0</v>
      </c>
      <c r="V654">
        <f>IFERROR($J654/IF($A654&lt;COUNTIFS($K$1:V$1,"&lt;&gt;"),0,SUMIFS($J:$J,$B:$B,$B654,$A:$A,"&gt;="&amp;COUNTIFS($K$1:V$1,"&lt;&gt;"))),0)</f>
        <v>0</v>
      </c>
      <c r="W654">
        <f t="shared" si="244"/>
        <v>8.4931506849315067E-2</v>
      </c>
      <c r="X654">
        <f t="shared" si="224"/>
        <v>8.4931506849315067E-2</v>
      </c>
      <c r="Y654">
        <f t="shared" si="225"/>
        <v>8.4931506849315067E-2</v>
      </c>
      <c r="Z654">
        <f t="shared" si="226"/>
        <v>0</v>
      </c>
      <c r="AA654">
        <f t="shared" si="227"/>
        <v>0</v>
      </c>
      <c r="AB654">
        <f t="shared" si="228"/>
        <v>0</v>
      </c>
      <c r="AC654">
        <f t="shared" si="229"/>
        <v>0</v>
      </c>
      <c r="AD654">
        <f t="shared" si="230"/>
        <v>0</v>
      </c>
      <c r="AE654">
        <f t="shared" si="231"/>
        <v>0</v>
      </c>
      <c r="AF654">
        <f t="shared" si="232"/>
        <v>0</v>
      </c>
      <c r="AG654">
        <f t="shared" si="233"/>
        <v>0</v>
      </c>
      <c r="AH654">
        <f t="shared" si="234"/>
        <v>0</v>
      </c>
      <c r="AI654">
        <f t="shared" si="235"/>
        <v>0</v>
      </c>
      <c r="AJ654" s="2" t="str">
        <f t="shared" si="245"/>
        <v>245352</v>
      </c>
    </row>
    <row r="655" spans="1:36" x14ac:dyDescent="0.25">
      <c r="A655">
        <v>3</v>
      </c>
      <c r="B655" s="1">
        <v>45352</v>
      </c>
      <c r="C655" s="1">
        <f t="shared" si="236"/>
        <v>45444</v>
      </c>
      <c r="D655" s="1">
        <f t="shared" si="237"/>
        <v>45366</v>
      </c>
      <c r="E655" s="1">
        <f t="shared" si="238"/>
        <v>45444</v>
      </c>
      <c r="F655" s="1">
        <f t="shared" si="239"/>
        <v>45474</v>
      </c>
      <c r="G655" s="1">
        <f t="shared" si="240"/>
        <v>45731</v>
      </c>
      <c r="H655">
        <f t="shared" si="241"/>
        <v>365</v>
      </c>
      <c r="I655">
        <f t="shared" si="242"/>
        <v>30</v>
      </c>
      <c r="J655">
        <f t="shared" si="243"/>
        <v>8.2191780821917804E-2</v>
      </c>
      <c r="K655">
        <f>IFERROR($J655/IF($A655&lt;COUNTIFS($K$1:K$1,"&lt;&gt;"),0,SUMIFS($J:$J,$B:$B,$B655,$A:$A,"&gt;="&amp;COUNTIFS($K$1:K$1,"&lt;&gt;"))),0)</f>
        <v>8.6206896551724144E-2</v>
      </c>
      <c r="L655">
        <f>IFERROR($J655/IF($A655&lt;COUNTIFS($K$1:L$1,"&lt;&gt;"),0,SUMIFS($J:$J,$B:$B,$B655,$A:$A,"&gt;="&amp;COUNTIFS($K$1:L$1,"&lt;&gt;"))),0)</f>
        <v>9.4339622641509441E-2</v>
      </c>
      <c r="M655">
        <f>IFERROR($J655/IF($A655&lt;COUNTIFS($K$1:M$1,"&lt;&gt;"),0,SUMIFS($J:$J,$B:$B,$B655,$A:$A,"&gt;="&amp;COUNTIFS($K$1:M$1,"&lt;&gt;"))),0)</f>
        <v>0.10452961672473869</v>
      </c>
      <c r="N655">
        <f>IFERROR($J655/IF($A655&lt;COUNTIFS($K$1:N$1,"&lt;&gt;"),0,SUMIFS($J:$J,$B:$B,$B655,$A:$A,"&gt;="&amp;COUNTIFS($K$1:N$1,"&lt;&gt;"))),0)</f>
        <v>0</v>
      </c>
      <c r="O655">
        <f>IFERROR($J655/IF($A655&lt;COUNTIFS($K$1:O$1,"&lt;&gt;"),0,SUMIFS($J:$J,$B:$B,$B655,$A:$A,"&gt;="&amp;COUNTIFS($K$1:O$1,"&lt;&gt;"))),0)</f>
        <v>0</v>
      </c>
      <c r="P655">
        <f>IFERROR($J655/IF($A655&lt;COUNTIFS($K$1:P$1,"&lt;&gt;"),0,SUMIFS($J:$J,$B:$B,$B655,$A:$A,"&gt;="&amp;COUNTIFS($K$1:P$1,"&lt;&gt;"))),0)</f>
        <v>0</v>
      </c>
      <c r="Q655">
        <f>IFERROR($J655/IF($A655&lt;COUNTIFS($K$1:Q$1,"&lt;&gt;"),0,SUMIFS($J:$J,$B:$B,$B655,$A:$A,"&gt;="&amp;COUNTIFS($K$1:Q$1,"&lt;&gt;"))),0)</f>
        <v>0</v>
      </c>
      <c r="R655">
        <f>IFERROR($J655/IF($A655&lt;COUNTIFS($K$1:R$1,"&lt;&gt;"),0,SUMIFS($J:$J,$B:$B,$B655,$A:$A,"&gt;="&amp;COUNTIFS($K$1:R$1,"&lt;&gt;"))),0)</f>
        <v>0</v>
      </c>
      <c r="S655">
        <f>IFERROR($J655/IF($A655&lt;COUNTIFS($K$1:S$1,"&lt;&gt;"),0,SUMIFS($J:$J,$B:$B,$B655,$A:$A,"&gt;="&amp;COUNTIFS($K$1:S$1,"&lt;&gt;"))),0)</f>
        <v>0</v>
      </c>
      <c r="T655">
        <f>IFERROR($J655/IF($A655&lt;COUNTIFS($K$1:T$1,"&lt;&gt;"),0,SUMIFS($J:$J,$B:$B,$B655,$A:$A,"&gt;="&amp;COUNTIFS($K$1:T$1,"&lt;&gt;"))),0)</f>
        <v>0</v>
      </c>
      <c r="U655">
        <f>IFERROR($J655/IF($A655&lt;COUNTIFS($K$1:U$1,"&lt;&gt;"),0,SUMIFS($J:$J,$B:$B,$B655,$A:$A,"&gt;="&amp;COUNTIFS($K$1:U$1,"&lt;&gt;"))),0)</f>
        <v>0</v>
      </c>
      <c r="V655">
        <f>IFERROR($J655/IF($A655&lt;COUNTIFS($K$1:V$1,"&lt;&gt;"),0,SUMIFS($J:$J,$B:$B,$B655,$A:$A,"&gt;="&amp;COUNTIFS($K$1:V$1,"&lt;&gt;"))),0)</f>
        <v>0</v>
      </c>
      <c r="W655">
        <f t="shared" si="244"/>
        <v>8.2191780821917804E-2</v>
      </c>
      <c r="X655">
        <f t="shared" si="224"/>
        <v>8.2191780821917804E-2</v>
      </c>
      <c r="Y655">
        <f t="shared" si="225"/>
        <v>8.2191780821917804E-2</v>
      </c>
      <c r="Z655">
        <f t="shared" si="226"/>
        <v>8.2191780821917804E-2</v>
      </c>
      <c r="AA655">
        <f t="shared" si="227"/>
        <v>0</v>
      </c>
      <c r="AB655">
        <f t="shared" si="228"/>
        <v>0</v>
      </c>
      <c r="AC655">
        <f t="shared" si="229"/>
        <v>0</v>
      </c>
      <c r="AD655">
        <f t="shared" si="230"/>
        <v>0</v>
      </c>
      <c r="AE655">
        <f t="shared" si="231"/>
        <v>0</v>
      </c>
      <c r="AF655">
        <f t="shared" si="232"/>
        <v>0</v>
      </c>
      <c r="AG655">
        <f t="shared" si="233"/>
        <v>0</v>
      </c>
      <c r="AH655">
        <f t="shared" si="234"/>
        <v>0</v>
      </c>
      <c r="AI655">
        <f t="shared" si="235"/>
        <v>0</v>
      </c>
      <c r="AJ655" s="2" t="str">
        <f t="shared" si="245"/>
        <v>345352</v>
      </c>
    </row>
    <row r="656" spans="1:36" x14ac:dyDescent="0.25">
      <c r="A656">
        <v>4</v>
      </c>
      <c r="B656" s="1">
        <v>45352</v>
      </c>
      <c r="C656" s="1">
        <f t="shared" si="236"/>
        <v>45474</v>
      </c>
      <c r="D656" s="1">
        <f t="shared" si="237"/>
        <v>45366</v>
      </c>
      <c r="E656" s="1">
        <f t="shared" si="238"/>
        <v>45474</v>
      </c>
      <c r="F656" s="1">
        <f t="shared" si="239"/>
        <v>45505</v>
      </c>
      <c r="G656" s="1">
        <f t="shared" si="240"/>
        <v>45731</v>
      </c>
      <c r="H656">
        <f t="shared" si="241"/>
        <v>365</v>
      </c>
      <c r="I656">
        <f t="shared" si="242"/>
        <v>31</v>
      </c>
      <c r="J656">
        <f t="shared" si="243"/>
        <v>8.4931506849315067E-2</v>
      </c>
      <c r="K656">
        <f>IFERROR($J656/IF($A656&lt;COUNTIFS($K$1:K$1,"&lt;&gt;"),0,SUMIFS($J:$J,$B:$B,$B656,$A:$A,"&gt;="&amp;COUNTIFS($K$1:K$1,"&lt;&gt;"))),0)</f>
        <v>8.9080459770114959E-2</v>
      </c>
      <c r="L656">
        <f>IFERROR($J656/IF($A656&lt;COUNTIFS($K$1:L$1,"&lt;&gt;"),0,SUMIFS($J:$J,$B:$B,$B656,$A:$A,"&gt;="&amp;COUNTIFS($K$1:L$1,"&lt;&gt;"))),0)</f>
        <v>9.7484276729559768E-2</v>
      </c>
      <c r="M656">
        <f>IFERROR($J656/IF($A656&lt;COUNTIFS($K$1:M$1,"&lt;&gt;"),0,SUMIFS($J:$J,$B:$B,$B656,$A:$A,"&gt;="&amp;COUNTIFS($K$1:M$1,"&lt;&gt;"))),0)</f>
        <v>0.10801393728222998</v>
      </c>
      <c r="N656">
        <f>IFERROR($J656/IF($A656&lt;COUNTIFS($K$1:N$1,"&lt;&gt;"),0,SUMIFS($J:$J,$B:$B,$B656,$A:$A,"&gt;="&amp;COUNTIFS($K$1:N$1,"&lt;&gt;"))),0)</f>
        <v>0.12062256809338523</v>
      </c>
      <c r="O656">
        <f>IFERROR($J656/IF($A656&lt;COUNTIFS($K$1:O$1,"&lt;&gt;"),0,SUMIFS($J:$J,$B:$B,$B656,$A:$A,"&gt;="&amp;COUNTIFS($K$1:O$1,"&lt;&gt;"))),0)</f>
        <v>0</v>
      </c>
      <c r="P656">
        <f>IFERROR($J656/IF($A656&lt;COUNTIFS($K$1:P$1,"&lt;&gt;"),0,SUMIFS($J:$J,$B:$B,$B656,$A:$A,"&gt;="&amp;COUNTIFS($K$1:P$1,"&lt;&gt;"))),0)</f>
        <v>0</v>
      </c>
      <c r="Q656">
        <f>IFERROR($J656/IF($A656&lt;COUNTIFS($K$1:Q$1,"&lt;&gt;"),0,SUMIFS($J:$J,$B:$B,$B656,$A:$A,"&gt;="&amp;COUNTIFS($K$1:Q$1,"&lt;&gt;"))),0)</f>
        <v>0</v>
      </c>
      <c r="R656">
        <f>IFERROR($J656/IF($A656&lt;COUNTIFS($K$1:R$1,"&lt;&gt;"),0,SUMIFS($J:$J,$B:$B,$B656,$A:$A,"&gt;="&amp;COUNTIFS($K$1:R$1,"&lt;&gt;"))),0)</f>
        <v>0</v>
      </c>
      <c r="S656">
        <f>IFERROR($J656/IF($A656&lt;COUNTIFS($K$1:S$1,"&lt;&gt;"),0,SUMIFS($J:$J,$B:$B,$B656,$A:$A,"&gt;="&amp;COUNTIFS($K$1:S$1,"&lt;&gt;"))),0)</f>
        <v>0</v>
      </c>
      <c r="T656">
        <f>IFERROR($J656/IF($A656&lt;COUNTIFS($K$1:T$1,"&lt;&gt;"),0,SUMIFS($J:$J,$B:$B,$B656,$A:$A,"&gt;="&amp;COUNTIFS($K$1:T$1,"&lt;&gt;"))),0)</f>
        <v>0</v>
      </c>
      <c r="U656">
        <f>IFERROR($J656/IF($A656&lt;COUNTIFS($K$1:U$1,"&lt;&gt;"),0,SUMIFS($J:$J,$B:$B,$B656,$A:$A,"&gt;="&amp;COUNTIFS($K$1:U$1,"&lt;&gt;"))),0)</f>
        <v>0</v>
      </c>
      <c r="V656">
        <f>IFERROR($J656/IF($A656&lt;COUNTIFS($K$1:V$1,"&lt;&gt;"),0,SUMIFS($J:$J,$B:$B,$B656,$A:$A,"&gt;="&amp;COUNTIFS($K$1:V$1,"&lt;&gt;"))),0)</f>
        <v>0</v>
      </c>
      <c r="W656">
        <f t="shared" si="244"/>
        <v>8.4931506849315067E-2</v>
      </c>
      <c r="X656">
        <f t="shared" si="224"/>
        <v>8.4931506849315067E-2</v>
      </c>
      <c r="Y656">
        <f t="shared" si="225"/>
        <v>8.4931506849315067E-2</v>
      </c>
      <c r="Z656">
        <f t="shared" si="226"/>
        <v>8.4931506849315067E-2</v>
      </c>
      <c r="AA656">
        <f t="shared" si="227"/>
        <v>8.4931506849315067E-2</v>
      </c>
      <c r="AB656">
        <f t="shared" si="228"/>
        <v>0</v>
      </c>
      <c r="AC656">
        <f t="shared" si="229"/>
        <v>0</v>
      </c>
      <c r="AD656">
        <f t="shared" si="230"/>
        <v>0</v>
      </c>
      <c r="AE656">
        <f t="shared" si="231"/>
        <v>0</v>
      </c>
      <c r="AF656">
        <f t="shared" si="232"/>
        <v>0</v>
      </c>
      <c r="AG656">
        <f t="shared" si="233"/>
        <v>0</v>
      </c>
      <c r="AH656">
        <f t="shared" si="234"/>
        <v>0</v>
      </c>
      <c r="AI656">
        <f t="shared" si="235"/>
        <v>0</v>
      </c>
      <c r="AJ656" s="2" t="str">
        <f t="shared" si="245"/>
        <v>445352</v>
      </c>
    </row>
    <row r="657" spans="1:36" x14ac:dyDescent="0.25">
      <c r="A657">
        <v>5</v>
      </c>
      <c r="B657" s="1">
        <v>45352</v>
      </c>
      <c r="C657" s="1">
        <f t="shared" si="236"/>
        <v>45505</v>
      </c>
      <c r="D657" s="1">
        <f t="shared" si="237"/>
        <v>45366</v>
      </c>
      <c r="E657" s="1">
        <f t="shared" si="238"/>
        <v>45505</v>
      </c>
      <c r="F657" s="1">
        <f t="shared" si="239"/>
        <v>45536</v>
      </c>
      <c r="G657" s="1">
        <f t="shared" si="240"/>
        <v>45731</v>
      </c>
      <c r="H657">
        <f t="shared" si="241"/>
        <v>365</v>
      </c>
      <c r="I657">
        <f t="shared" si="242"/>
        <v>31</v>
      </c>
      <c r="J657">
        <f t="shared" si="243"/>
        <v>8.4931506849315067E-2</v>
      </c>
      <c r="K657">
        <f>IFERROR($J657/IF($A657&lt;COUNTIFS($K$1:K$1,"&lt;&gt;"),0,SUMIFS($J:$J,$B:$B,$B657,$A:$A,"&gt;="&amp;COUNTIFS($K$1:K$1,"&lt;&gt;"))),0)</f>
        <v>8.9080459770114959E-2</v>
      </c>
      <c r="L657">
        <f>IFERROR($J657/IF($A657&lt;COUNTIFS($K$1:L$1,"&lt;&gt;"),0,SUMIFS($J:$J,$B:$B,$B657,$A:$A,"&gt;="&amp;COUNTIFS($K$1:L$1,"&lt;&gt;"))),0)</f>
        <v>9.7484276729559768E-2</v>
      </c>
      <c r="M657">
        <f>IFERROR($J657/IF($A657&lt;COUNTIFS($K$1:M$1,"&lt;&gt;"),0,SUMIFS($J:$J,$B:$B,$B657,$A:$A,"&gt;="&amp;COUNTIFS($K$1:M$1,"&lt;&gt;"))),0)</f>
        <v>0.10801393728222998</v>
      </c>
      <c r="N657">
        <f>IFERROR($J657/IF($A657&lt;COUNTIFS($K$1:N$1,"&lt;&gt;"),0,SUMIFS($J:$J,$B:$B,$B657,$A:$A,"&gt;="&amp;COUNTIFS($K$1:N$1,"&lt;&gt;"))),0)</f>
        <v>0.12062256809338523</v>
      </c>
      <c r="O657">
        <f>IFERROR($J657/IF($A657&lt;COUNTIFS($K$1:O$1,"&lt;&gt;"),0,SUMIFS($J:$J,$B:$B,$B657,$A:$A,"&gt;="&amp;COUNTIFS($K$1:O$1,"&lt;&gt;"))),0)</f>
        <v>0.13716814159292037</v>
      </c>
      <c r="P657">
        <f>IFERROR($J657/IF($A657&lt;COUNTIFS($K$1:P$1,"&lt;&gt;"),0,SUMIFS($J:$J,$B:$B,$B657,$A:$A,"&gt;="&amp;COUNTIFS($K$1:P$1,"&lt;&gt;"))),0)</f>
        <v>0</v>
      </c>
      <c r="Q657">
        <f>IFERROR($J657/IF($A657&lt;COUNTIFS($K$1:Q$1,"&lt;&gt;"),0,SUMIFS($J:$J,$B:$B,$B657,$A:$A,"&gt;="&amp;COUNTIFS($K$1:Q$1,"&lt;&gt;"))),0)</f>
        <v>0</v>
      </c>
      <c r="R657">
        <f>IFERROR($J657/IF($A657&lt;COUNTIFS($K$1:R$1,"&lt;&gt;"),0,SUMIFS($J:$J,$B:$B,$B657,$A:$A,"&gt;="&amp;COUNTIFS($K$1:R$1,"&lt;&gt;"))),0)</f>
        <v>0</v>
      </c>
      <c r="S657">
        <f>IFERROR($J657/IF($A657&lt;COUNTIFS($K$1:S$1,"&lt;&gt;"),0,SUMIFS($J:$J,$B:$B,$B657,$A:$A,"&gt;="&amp;COUNTIFS($K$1:S$1,"&lt;&gt;"))),0)</f>
        <v>0</v>
      </c>
      <c r="T657">
        <f>IFERROR($J657/IF($A657&lt;COUNTIFS($K$1:T$1,"&lt;&gt;"),0,SUMIFS($J:$J,$B:$B,$B657,$A:$A,"&gt;="&amp;COUNTIFS($K$1:T$1,"&lt;&gt;"))),0)</f>
        <v>0</v>
      </c>
      <c r="U657">
        <f>IFERROR($J657/IF($A657&lt;COUNTIFS($K$1:U$1,"&lt;&gt;"),0,SUMIFS($J:$J,$B:$B,$B657,$A:$A,"&gt;="&amp;COUNTIFS($K$1:U$1,"&lt;&gt;"))),0)</f>
        <v>0</v>
      </c>
      <c r="V657">
        <f>IFERROR($J657/IF($A657&lt;COUNTIFS($K$1:V$1,"&lt;&gt;"),0,SUMIFS($J:$J,$B:$B,$B657,$A:$A,"&gt;="&amp;COUNTIFS($K$1:V$1,"&lt;&gt;"))),0)</f>
        <v>0</v>
      </c>
      <c r="W657">
        <f t="shared" si="244"/>
        <v>8.4931506849315067E-2</v>
      </c>
      <c r="X657">
        <f t="shared" si="224"/>
        <v>8.4931506849315067E-2</v>
      </c>
      <c r="Y657">
        <f t="shared" si="225"/>
        <v>8.4931506849315067E-2</v>
      </c>
      <c r="Z657">
        <f t="shared" si="226"/>
        <v>8.4931506849315067E-2</v>
      </c>
      <c r="AA657">
        <f t="shared" si="227"/>
        <v>8.4931506849315067E-2</v>
      </c>
      <c r="AB657">
        <f t="shared" si="228"/>
        <v>8.4931506849315067E-2</v>
      </c>
      <c r="AC657">
        <f t="shared" si="229"/>
        <v>0</v>
      </c>
      <c r="AD657">
        <f t="shared" si="230"/>
        <v>0</v>
      </c>
      <c r="AE657">
        <f t="shared" si="231"/>
        <v>0</v>
      </c>
      <c r="AF657">
        <f t="shared" si="232"/>
        <v>0</v>
      </c>
      <c r="AG657">
        <f t="shared" si="233"/>
        <v>0</v>
      </c>
      <c r="AH657">
        <f t="shared" si="234"/>
        <v>0</v>
      </c>
      <c r="AI657">
        <f t="shared" si="235"/>
        <v>0</v>
      </c>
      <c r="AJ657" s="2" t="str">
        <f t="shared" si="245"/>
        <v>545352</v>
      </c>
    </row>
    <row r="658" spans="1:36" x14ac:dyDescent="0.25">
      <c r="A658">
        <v>6</v>
      </c>
      <c r="B658" s="1">
        <v>45352</v>
      </c>
      <c r="C658" s="1">
        <f t="shared" si="236"/>
        <v>45536</v>
      </c>
      <c r="D658" s="1">
        <f t="shared" si="237"/>
        <v>45366</v>
      </c>
      <c r="E658" s="1">
        <f t="shared" si="238"/>
        <v>45536</v>
      </c>
      <c r="F658" s="1">
        <f t="shared" si="239"/>
        <v>45566</v>
      </c>
      <c r="G658" s="1">
        <f t="shared" si="240"/>
        <v>45731</v>
      </c>
      <c r="H658">
        <f t="shared" si="241"/>
        <v>365</v>
      </c>
      <c r="I658">
        <f t="shared" si="242"/>
        <v>30</v>
      </c>
      <c r="J658">
        <f t="shared" si="243"/>
        <v>8.2191780821917804E-2</v>
      </c>
      <c r="K658">
        <f>IFERROR($J658/IF($A658&lt;COUNTIFS($K$1:K$1,"&lt;&gt;"),0,SUMIFS($J:$J,$B:$B,$B658,$A:$A,"&gt;="&amp;COUNTIFS($K$1:K$1,"&lt;&gt;"))),0)</f>
        <v>8.6206896551724144E-2</v>
      </c>
      <c r="L658">
        <f>IFERROR($J658/IF($A658&lt;COUNTIFS($K$1:L$1,"&lt;&gt;"),0,SUMIFS($J:$J,$B:$B,$B658,$A:$A,"&gt;="&amp;COUNTIFS($K$1:L$1,"&lt;&gt;"))),0)</f>
        <v>9.4339622641509441E-2</v>
      </c>
      <c r="M658">
        <f>IFERROR($J658/IF($A658&lt;COUNTIFS($K$1:M$1,"&lt;&gt;"),0,SUMIFS($J:$J,$B:$B,$B658,$A:$A,"&gt;="&amp;COUNTIFS($K$1:M$1,"&lt;&gt;"))),0)</f>
        <v>0.10452961672473869</v>
      </c>
      <c r="N658">
        <f>IFERROR($J658/IF($A658&lt;COUNTIFS($K$1:N$1,"&lt;&gt;"),0,SUMIFS($J:$J,$B:$B,$B658,$A:$A,"&gt;="&amp;COUNTIFS($K$1:N$1,"&lt;&gt;"))),0)</f>
        <v>0.11673151750972764</v>
      </c>
      <c r="O658">
        <f>IFERROR($J658/IF($A658&lt;COUNTIFS($K$1:O$1,"&lt;&gt;"),0,SUMIFS($J:$J,$B:$B,$B658,$A:$A,"&gt;="&amp;COUNTIFS($K$1:O$1,"&lt;&gt;"))),0)</f>
        <v>0.13274336283185842</v>
      </c>
      <c r="P658">
        <f>IFERROR($J658/IF($A658&lt;COUNTIFS($K$1:P$1,"&lt;&gt;"),0,SUMIFS($J:$J,$B:$B,$B658,$A:$A,"&gt;="&amp;COUNTIFS($K$1:P$1,"&lt;&gt;"))),0)</f>
        <v>0.15384615384615385</v>
      </c>
      <c r="Q658">
        <f>IFERROR($J658/IF($A658&lt;COUNTIFS($K$1:Q$1,"&lt;&gt;"),0,SUMIFS($J:$J,$B:$B,$B658,$A:$A,"&gt;="&amp;COUNTIFS($K$1:Q$1,"&lt;&gt;"))),0)</f>
        <v>0</v>
      </c>
      <c r="R658">
        <f>IFERROR($J658/IF($A658&lt;COUNTIFS($K$1:R$1,"&lt;&gt;"),0,SUMIFS($J:$J,$B:$B,$B658,$A:$A,"&gt;="&amp;COUNTIFS($K$1:R$1,"&lt;&gt;"))),0)</f>
        <v>0</v>
      </c>
      <c r="S658">
        <f>IFERROR($J658/IF($A658&lt;COUNTIFS($K$1:S$1,"&lt;&gt;"),0,SUMIFS($J:$J,$B:$B,$B658,$A:$A,"&gt;="&amp;COUNTIFS($K$1:S$1,"&lt;&gt;"))),0)</f>
        <v>0</v>
      </c>
      <c r="T658">
        <f>IFERROR($J658/IF($A658&lt;COUNTIFS($K$1:T$1,"&lt;&gt;"),0,SUMIFS($J:$J,$B:$B,$B658,$A:$A,"&gt;="&amp;COUNTIFS($K$1:T$1,"&lt;&gt;"))),0)</f>
        <v>0</v>
      </c>
      <c r="U658">
        <f>IFERROR($J658/IF($A658&lt;COUNTIFS($K$1:U$1,"&lt;&gt;"),0,SUMIFS($J:$J,$B:$B,$B658,$A:$A,"&gt;="&amp;COUNTIFS($K$1:U$1,"&lt;&gt;"))),0)</f>
        <v>0</v>
      </c>
      <c r="V658">
        <f>IFERROR($J658/IF($A658&lt;COUNTIFS($K$1:V$1,"&lt;&gt;"),0,SUMIFS($J:$J,$B:$B,$B658,$A:$A,"&gt;="&amp;COUNTIFS($K$1:V$1,"&lt;&gt;"))),0)</f>
        <v>0</v>
      </c>
      <c r="W658">
        <f t="shared" si="244"/>
        <v>8.2191780821917804E-2</v>
      </c>
      <c r="X658">
        <f t="shared" si="224"/>
        <v>8.2191780821917804E-2</v>
      </c>
      <c r="Y658">
        <f t="shared" si="225"/>
        <v>8.2191780821917804E-2</v>
      </c>
      <c r="Z658">
        <f t="shared" si="226"/>
        <v>8.2191780821917804E-2</v>
      </c>
      <c r="AA658">
        <f t="shared" si="227"/>
        <v>8.2191780821917804E-2</v>
      </c>
      <c r="AB658">
        <f t="shared" si="228"/>
        <v>8.2191780821917804E-2</v>
      </c>
      <c r="AC658">
        <f t="shared" si="229"/>
        <v>8.2191780821917804E-2</v>
      </c>
      <c r="AD658">
        <f t="shared" si="230"/>
        <v>0</v>
      </c>
      <c r="AE658">
        <f t="shared" si="231"/>
        <v>0</v>
      </c>
      <c r="AF658">
        <f t="shared" si="232"/>
        <v>0</v>
      </c>
      <c r="AG658">
        <f t="shared" si="233"/>
        <v>0</v>
      </c>
      <c r="AH658">
        <f t="shared" si="234"/>
        <v>0</v>
      </c>
      <c r="AI658">
        <f t="shared" si="235"/>
        <v>0</v>
      </c>
      <c r="AJ658" s="2" t="str">
        <f t="shared" si="245"/>
        <v>645352</v>
      </c>
    </row>
    <row r="659" spans="1:36" x14ac:dyDescent="0.25">
      <c r="A659">
        <v>7</v>
      </c>
      <c r="B659" s="1">
        <v>45352</v>
      </c>
      <c r="C659" s="1">
        <f t="shared" si="236"/>
        <v>45566</v>
      </c>
      <c r="D659" s="1">
        <f t="shared" si="237"/>
        <v>45366</v>
      </c>
      <c r="E659" s="1">
        <f t="shared" si="238"/>
        <v>45566</v>
      </c>
      <c r="F659" s="1">
        <f t="shared" si="239"/>
        <v>45597</v>
      </c>
      <c r="G659" s="1">
        <f t="shared" si="240"/>
        <v>45731</v>
      </c>
      <c r="H659">
        <f t="shared" si="241"/>
        <v>365</v>
      </c>
      <c r="I659">
        <f t="shared" si="242"/>
        <v>31</v>
      </c>
      <c r="J659">
        <f t="shared" si="243"/>
        <v>8.4931506849315067E-2</v>
      </c>
      <c r="K659">
        <f>IFERROR($J659/IF($A659&lt;COUNTIFS($K$1:K$1,"&lt;&gt;"),0,SUMIFS($J:$J,$B:$B,$B659,$A:$A,"&gt;="&amp;COUNTIFS($K$1:K$1,"&lt;&gt;"))),0)</f>
        <v>8.9080459770114959E-2</v>
      </c>
      <c r="L659">
        <f>IFERROR($J659/IF($A659&lt;COUNTIFS($K$1:L$1,"&lt;&gt;"),0,SUMIFS($J:$J,$B:$B,$B659,$A:$A,"&gt;="&amp;COUNTIFS($K$1:L$1,"&lt;&gt;"))),0)</f>
        <v>9.7484276729559768E-2</v>
      </c>
      <c r="M659">
        <f>IFERROR($J659/IF($A659&lt;COUNTIFS($K$1:M$1,"&lt;&gt;"),0,SUMIFS($J:$J,$B:$B,$B659,$A:$A,"&gt;="&amp;COUNTIFS($K$1:M$1,"&lt;&gt;"))),0)</f>
        <v>0.10801393728222998</v>
      </c>
      <c r="N659">
        <f>IFERROR($J659/IF($A659&lt;COUNTIFS($K$1:N$1,"&lt;&gt;"),0,SUMIFS($J:$J,$B:$B,$B659,$A:$A,"&gt;="&amp;COUNTIFS($K$1:N$1,"&lt;&gt;"))),0)</f>
        <v>0.12062256809338523</v>
      </c>
      <c r="O659">
        <f>IFERROR($J659/IF($A659&lt;COUNTIFS($K$1:O$1,"&lt;&gt;"),0,SUMIFS($J:$J,$B:$B,$B659,$A:$A,"&gt;="&amp;COUNTIFS($K$1:O$1,"&lt;&gt;"))),0)</f>
        <v>0.13716814159292037</v>
      </c>
      <c r="P659">
        <f>IFERROR($J659/IF($A659&lt;COUNTIFS($K$1:P$1,"&lt;&gt;"),0,SUMIFS($J:$J,$B:$B,$B659,$A:$A,"&gt;="&amp;COUNTIFS($K$1:P$1,"&lt;&gt;"))),0)</f>
        <v>0.15897435897435899</v>
      </c>
      <c r="Q659">
        <f>IFERROR($J659/IF($A659&lt;COUNTIFS($K$1:Q$1,"&lt;&gt;"),0,SUMIFS($J:$J,$B:$B,$B659,$A:$A,"&gt;="&amp;COUNTIFS($K$1:Q$1,"&lt;&gt;"))),0)</f>
        <v>0.1878787878787879</v>
      </c>
      <c r="R659">
        <f>IFERROR($J659/IF($A659&lt;COUNTIFS($K$1:R$1,"&lt;&gt;"),0,SUMIFS($J:$J,$B:$B,$B659,$A:$A,"&gt;="&amp;COUNTIFS($K$1:R$1,"&lt;&gt;"))),0)</f>
        <v>0</v>
      </c>
      <c r="S659">
        <f>IFERROR($J659/IF($A659&lt;COUNTIFS($K$1:S$1,"&lt;&gt;"),0,SUMIFS($J:$J,$B:$B,$B659,$A:$A,"&gt;="&amp;COUNTIFS($K$1:S$1,"&lt;&gt;"))),0)</f>
        <v>0</v>
      </c>
      <c r="T659">
        <f>IFERROR($J659/IF($A659&lt;COUNTIFS($K$1:T$1,"&lt;&gt;"),0,SUMIFS($J:$J,$B:$B,$B659,$A:$A,"&gt;="&amp;COUNTIFS($K$1:T$1,"&lt;&gt;"))),0)</f>
        <v>0</v>
      </c>
      <c r="U659">
        <f>IFERROR($J659/IF($A659&lt;COUNTIFS($K$1:U$1,"&lt;&gt;"),0,SUMIFS($J:$J,$B:$B,$B659,$A:$A,"&gt;="&amp;COUNTIFS($K$1:U$1,"&lt;&gt;"))),0)</f>
        <v>0</v>
      </c>
      <c r="V659">
        <f>IFERROR($J659/IF($A659&lt;COUNTIFS($K$1:V$1,"&lt;&gt;"),0,SUMIFS($J:$J,$B:$B,$B659,$A:$A,"&gt;="&amp;COUNTIFS($K$1:V$1,"&lt;&gt;"))),0)</f>
        <v>0</v>
      </c>
      <c r="W659">
        <f t="shared" si="244"/>
        <v>8.4931506849315067E-2</v>
      </c>
      <c r="X659">
        <f t="shared" si="224"/>
        <v>8.4931506849315067E-2</v>
      </c>
      <c r="Y659">
        <f t="shared" si="225"/>
        <v>8.4931506849315067E-2</v>
      </c>
      <c r="Z659">
        <f t="shared" si="226"/>
        <v>8.4931506849315067E-2</v>
      </c>
      <c r="AA659">
        <f t="shared" si="227"/>
        <v>8.4931506849315067E-2</v>
      </c>
      <c r="AB659">
        <f t="shared" si="228"/>
        <v>8.4931506849315067E-2</v>
      </c>
      <c r="AC659">
        <f t="shared" si="229"/>
        <v>8.4931506849315067E-2</v>
      </c>
      <c r="AD659">
        <f t="shared" si="230"/>
        <v>8.4931506849315067E-2</v>
      </c>
      <c r="AE659">
        <f t="shared" si="231"/>
        <v>0</v>
      </c>
      <c r="AF659">
        <f t="shared" si="232"/>
        <v>0</v>
      </c>
      <c r="AG659">
        <f t="shared" si="233"/>
        <v>0</v>
      </c>
      <c r="AH659">
        <f t="shared" si="234"/>
        <v>0</v>
      </c>
      <c r="AI659">
        <f t="shared" si="235"/>
        <v>0</v>
      </c>
      <c r="AJ659" s="2" t="str">
        <f t="shared" si="245"/>
        <v>745352</v>
      </c>
    </row>
    <row r="660" spans="1:36" x14ac:dyDescent="0.25">
      <c r="A660">
        <v>8</v>
      </c>
      <c r="B660" s="1">
        <v>45352</v>
      </c>
      <c r="C660" s="1">
        <f t="shared" si="236"/>
        <v>45597</v>
      </c>
      <c r="D660" s="1">
        <f t="shared" si="237"/>
        <v>45366</v>
      </c>
      <c r="E660" s="1">
        <f t="shared" si="238"/>
        <v>45597</v>
      </c>
      <c r="F660" s="1">
        <f t="shared" si="239"/>
        <v>45627</v>
      </c>
      <c r="G660" s="1">
        <f t="shared" si="240"/>
        <v>45731</v>
      </c>
      <c r="H660">
        <f t="shared" si="241"/>
        <v>365</v>
      </c>
      <c r="I660">
        <f t="shared" si="242"/>
        <v>30</v>
      </c>
      <c r="J660">
        <f t="shared" si="243"/>
        <v>8.2191780821917804E-2</v>
      </c>
      <c r="K660">
        <f>IFERROR($J660/IF($A660&lt;COUNTIFS($K$1:K$1,"&lt;&gt;"),0,SUMIFS($J:$J,$B:$B,$B660,$A:$A,"&gt;="&amp;COUNTIFS($K$1:K$1,"&lt;&gt;"))),0)</f>
        <v>8.6206896551724144E-2</v>
      </c>
      <c r="L660">
        <f>IFERROR($J660/IF($A660&lt;COUNTIFS($K$1:L$1,"&lt;&gt;"),0,SUMIFS($J:$J,$B:$B,$B660,$A:$A,"&gt;="&amp;COUNTIFS($K$1:L$1,"&lt;&gt;"))),0)</f>
        <v>9.4339622641509441E-2</v>
      </c>
      <c r="M660">
        <f>IFERROR($J660/IF($A660&lt;COUNTIFS($K$1:M$1,"&lt;&gt;"),0,SUMIFS($J:$J,$B:$B,$B660,$A:$A,"&gt;="&amp;COUNTIFS($K$1:M$1,"&lt;&gt;"))),0)</f>
        <v>0.10452961672473869</v>
      </c>
      <c r="N660">
        <f>IFERROR($J660/IF($A660&lt;COUNTIFS($K$1:N$1,"&lt;&gt;"),0,SUMIFS($J:$J,$B:$B,$B660,$A:$A,"&gt;="&amp;COUNTIFS($K$1:N$1,"&lt;&gt;"))),0)</f>
        <v>0.11673151750972764</v>
      </c>
      <c r="O660">
        <f>IFERROR($J660/IF($A660&lt;COUNTIFS($K$1:O$1,"&lt;&gt;"),0,SUMIFS($J:$J,$B:$B,$B660,$A:$A,"&gt;="&amp;COUNTIFS($K$1:O$1,"&lt;&gt;"))),0)</f>
        <v>0.13274336283185842</v>
      </c>
      <c r="P660">
        <f>IFERROR($J660/IF($A660&lt;COUNTIFS($K$1:P$1,"&lt;&gt;"),0,SUMIFS($J:$J,$B:$B,$B660,$A:$A,"&gt;="&amp;COUNTIFS($K$1:P$1,"&lt;&gt;"))),0)</f>
        <v>0.15384615384615385</v>
      </c>
      <c r="Q660">
        <f>IFERROR($J660/IF($A660&lt;COUNTIFS($K$1:Q$1,"&lt;&gt;"),0,SUMIFS($J:$J,$B:$B,$B660,$A:$A,"&gt;="&amp;COUNTIFS($K$1:Q$1,"&lt;&gt;"))),0)</f>
        <v>0.18181818181818182</v>
      </c>
      <c r="R660">
        <f>IFERROR($J660/IF($A660&lt;COUNTIFS($K$1:R$1,"&lt;&gt;"),0,SUMIFS($J:$J,$B:$B,$B660,$A:$A,"&gt;="&amp;COUNTIFS($K$1:R$1,"&lt;&gt;"))),0)</f>
        <v>0.22388059701492535</v>
      </c>
      <c r="S660">
        <f>IFERROR($J660/IF($A660&lt;COUNTIFS($K$1:S$1,"&lt;&gt;"),0,SUMIFS($J:$J,$B:$B,$B660,$A:$A,"&gt;="&amp;COUNTIFS($K$1:S$1,"&lt;&gt;"))),0)</f>
        <v>0</v>
      </c>
      <c r="T660">
        <f>IFERROR($J660/IF($A660&lt;COUNTIFS($K$1:T$1,"&lt;&gt;"),0,SUMIFS($J:$J,$B:$B,$B660,$A:$A,"&gt;="&amp;COUNTIFS($K$1:T$1,"&lt;&gt;"))),0)</f>
        <v>0</v>
      </c>
      <c r="U660">
        <f>IFERROR($J660/IF($A660&lt;COUNTIFS($K$1:U$1,"&lt;&gt;"),0,SUMIFS($J:$J,$B:$B,$B660,$A:$A,"&gt;="&amp;COUNTIFS($K$1:U$1,"&lt;&gt;"))),0)</f>
        <v>0</v>
      </c>
      <c r="V660">
        <f>IFERROR($J660/IF($A660&lt;COUNTIFS($K$1:V$1,"&lt;&gt;"),0,SUMIFS($J:$J,$B:$B,$B660,$A:$A,"&gt;="&amp;COUNTIFS($K$1:V$1,"&lt;&gt;"))),0)</f>
        <v>0</v>
      </c>
      <c r="W660">
        <f t="shared" si="244"/>
        <v>8.2191780821917804E-2</v>
      </c>
      <c r="X660">
        <f t="shared" si="224"/>
        <v>8.2191780821917804E-2</v>
      </c>
      <c r="Y660">
        <f t="shared" si="225"/>
        <v>8.2191780821917804E-2</v>
      </c>
      <c r="Z660">
        <f t="shared" si="226"/>
        <v>8.2191780821917804E-2</v>
      </c>
      <c r="AA660">
        <f t="shared" si="227"/>
        <v>8.2191780821917804E-2</v>
      </c>
      <c r="AB660">
        <f t="shared" si="228"/>
        <v>8.2191780821917804E-2</v>
      </c>
      <c r="AC660">
        <f t="shared" si="229"/>
        <v>8.2191780821917804E-2</v>
      </c>
      <c r="AD660">
        <f t="shared" si="230"/>
        <v>8.2191780821917804E-2</v>
      </c>
      <c r="AE660">
        <f t="shared" si="231"/>
        <v>8.2191780821917804E-2</v>
      </c>
      <c r="AF660">
        <f t="shared" si="232"/>
        <v>0</v>
      </c>
      <c r="AG660">
        <f t="shared" si="233"/>
        <v>0</v>
      </c>
      <c r="AH660">
        <f t="shared" si="234"/>
        <v>0</v>
      </c>
      <c r="AI660">
        <f t="shared" si="235"/>
        <v>0</v>
      </c>
      <c r="AJ660" s="2" t="str">
        <f t="shared" si="245"/>
        <v>845352</v>
      </c>
    </row>
    <row r="661" spans="1:36" x14ac:dyDescent="0.25">
      <c r="A661">
        <v>9</v>
      </c>
      <c r="B661" s="1">
        <v>45352</v>
      </c>
      <c r="C661" s="1">
        <f t="shared" si="236"/>
        <v>45627</v>
      </c>
      <c r="D661" s="1">
        <f t="shared" si="237"/>
        <v>45366</v>
      </c>
      <c r="E661" s="1">
        <f t="shared" si="238"/>
        <v>45627</v>
      </c>
      <c r="F661" s="1">
        <f t="shared" si="239"/>
        <v>45658</v>
      </c>
      <c r="G661" s="1">
        <f t="shared" si="240"/>
        <v>45731</v>
      </c>
      <c r="H661">
        <f t="shared" si="241"/>
        <v>365</v>
      </c>
      <c r="I661">
        <f t="shared" si="242"/>
        <v>31</v>
      </c>
      <c r="J661">
        <f t="shared" si="243"/>
        <v>8.4931506849315067E-2</v>
      </c>
      <c r="K661">
        <f>IFERROR($J661/IF($A661&lt;COUNTIFS($K$1:K$1,"&lt;&gt;"),0,SUMIFS($J:$J,$B:$B,$B661,$A:$A,"&gt;="&amp;COUNTIFS($K$1:K$1,"&lt;&gt;"))),0)</f>
        <v>8.9080459770114959E-2</v>
      </c>
      <c r="L661">
        <f>IFERROR($J661/IF($A661&lt;COUNTIFS($K$1:L$1,"&lt;&gt;"),0,SUMIFS($J:$J,$B:$B,$B661,$A:$A,"&gt;="&amp;COUNTIFS($K$1:L$1,"&lt;&gt;"))),0)</f>
        <v>9.7484276729559768E-2</v>
      </c>
      <c r="M661">
        <f>IFERROR($J661/IF($A661&lt;COUNTIFS($K$1:M$1,"&lt;&gt;"),0,SUMIFS($J:$J,$B:$B,$B661,$A:$A,"&gt;="&amp;COUNTIFS($K$1:M$1,"&lt;&gt;"))),0)</f>
        <v>0.10801393728222998</v>
      </c>
      <c r="N661">
        <f>IFERROR($J661/IF($A661&lt;COUNTIFS($K$1:N$1,"&lt;&gt;"),0,SUMIFS($J:$J,$B:$B,$B661,$A:$A,"&gt;="&amp;COUNTIFS($K$1:N$1,"&lt;&gt;"))),0)</f>
        <v>0.12062256809338523</v>
      </c>
      <c r="O661">
        <f>IFERROR($J661/IF($A661&lt;COUNTIFS($K$1:O$1,"&lt;&gt;"),0,SUMIFS($J:$J,$B:$B,$B661,$A:$A,"&gt;="&amp;COUNTIFS($K$1:O$1,"&lt;&gt;"))),0)</f>
        <v>0.13716814159292037</v>
      </c>
      <c r="P661">
        <f>IFERROR($J661/IF($A661&lt;COUNTIFS($K$1:P$1,"&lt;&gt;"),0,SUMIFS($J:$J,$B:$B,$B661,$A:$A,"&gt;="&amp;COUNTIFS($K$1:P$1,"&lt;&gt;"))),0)</f>
        <v>0.15897435897435899</v>
      </c>
      <c r="Q661">
        <f>IFERROR($J661/IF($A661&lt;COUNTIFS($K$1:Q$1,"&lt;&gt;"),0,SUMIFS($J:$J,$B:$B,$B661,$A:$A,"&gt;="&amp;COUNTIFS($K$1:Q$1,"&lt;&gt;"))),0)</f>
        <v>0.1878787878787879</v>
      </c>
      <c r="R661">
        <f>IFERROR($J661/IF($A661&lt;COUNTIFS($K$1:R$1,"&lt;&gt;"),0,SUMIFS($J:$J,$B:$B,$B661,$A:$A,"&gt;="&amp;COUNTIFS($K$1:R$1,"&lt;&gt;"))),0)</f>
        <v>0.23134328358208955</v>
      </c>
      <c r="S661">
        <f>IFERROR($J661/IF($A661&lt;COUNTIFS($K$1:S$1,"&lt;&gt;"),0,SUMIFS($J:$J,$B:$B,$B661,$A:$A,"&gt;="&amp;COUNTIFS($K$1:S$1,"&lt;&gt;"))),0)</f>
        <v>0.29807692307692307</v>
      </c>
      <c r="T661">
        <f>IFERROR($J661/IF($A661&lt;COUNTIFS($K$1:T$1,"&lt;&gt;"),0,SUMIFS($J:$J,$B:$B,$B661,$A:$A,"&gt;="&amp;COUNTIFS($K$1:T$1,"&lt;&gt;"))),0)</f>
        <v>0</v>
      </c>
      <c r="U661">
        <f>IFERROR($J661/IF($A661&lt;COUNTIFS($K$1:U$1,"&lt;&gt;"),0,SUMIFS($J:$J,$B:$B,$B661,$A:$A,"&gt;="&amp;COUNTIFS($K$1:U$1,"&lt;&gt;"))),0)</f>
        <v>0</v>
      </c>
      <c r="V661">
        <f>IFERROR($J661/IF($A661&lt;COUNTIFS($K$1:V$1,"&lt;&gt;"),0,SUMIFS($J:$J,$B:$B,$B661,$A:$A,"&gt;="&amp;COUNTIFS($K$1:V$1,"&lt;&gt;"))),0)</f>
        <v>0</v>
      </c>
      <c r="W661">
        <f t="shared" si="244"/>
        <v>8.4931506849315067E-2</v>
      </c>
      <c r="X661">
        <f t="shared" si="224"/>
        <v>8.4931506849315067E-2</v>
      </c>
      <c r="Y661">
        <f t="shared" si="225"/>
        <v>8.4931506849315067E-2</v>
      </c>
      <c r="Z661">
        <f t="shared" si="226"/>
        <v>8.4931506849315067E-2</v>
      </c>
      <c r="AA661">
        <f t="shared" si="227"/>
        <v>8.4931506849315067E-2</v>
      </c>
      <c r="AB661">
        <f t="shared" si="228"/>
        <v>8.4931506849315067E-2</v>
      </c>
      <c r="AC661">
        <f t="shared" si="229"/>
        <v>8.4931506849315067E-2</v>
      </c>
      <c r="AD661">
        <f t="shared" si="230"/>
        <v>8.4931506849315067E-2</v>
      </c>
      <c r="AE661">
        <f t="shared" si="231"/>
        <v>8.4931506849315067E-2</v>
      </c>
      <c r="AF661">
        <f t="shared" si="232"/>
        <v>8.4931506849315067E-2</v>
      </c>
      <c r="AG661">
        <f t="shared" si="233"/>
        <v>0</v>
      </c>
      <c r="AH661">
        <f t="shared" si="234"/>
        <v>0</v>
      </c>
      <c r="AI661">
        <f t="shared" si="235"/>
        <v>0</v>
      </c>
      <c r="AJ661" s="2" t="str">
        <f t="shared" si="245"/>
        <v>945352</v>
      </c>
    </row>
    <row r="662" spans="1:36" x14ac:dyDescent="0.25">
      <c r="A662">
        <v>10</v>
      </c>
      <c r="B662" s="1">
        <v>45352</v>
      </c>
      <c r="C662" s="1">
        <f t="shared" si="236"/>
        <v>45658</v>
      </c>
      <c r="D662" s="1">
        <f t="shared" si="237"/>
        <v>45366</v>
      </c>
      <c r="E662" s="1">
        <f t="shared" si="238"/>
        <v>45658</v>
      </c>
      <c r="F662" s="1">
        <f t="shared" si="239"/>
        <v>45689</v>
      </c>
      <c r="G662" s="1">
        <f t="shared" si="240"/>
        <v>45731</v>
      </c>
      <c r="H662">
        <f t="shared" si="241"/>
        <v>365</v>
      </c>
      <c r="I662">
        <f t="shared" si="242"/>
        <v>31</v>
      </c>
      <c r="J662">
        <f t="shared" si="243"/>
        <v>8.4931506849315067E-2</v>
      </c>
      <c r="K662">
        <f>IFERROR($J662/IF($A662&lt;COUNTIFS($K$1:K$1,"&lt;&gt;"),0,SUMIFS($J:$J,$B:$B,$B662,$A:$A,"&gt;="&amp;COUNTIFS($K$1:K$1,"&lt;&gt;"))),0)</f>
        <v>8.9080459770114959E-2</v>
      </c>
      <c r="L662">
        <f>IFERROR($J662/IF($A662&lt;COUNTIFS($K$1:L$1,"&lt;&gt;"),0,SUMIFS($J:$J,$B:$B,$B662,$A:$A,"&gt;="&amp;COUNTIFS($K$1:L$1,"&lt;&gt;"))),0)</f>
        <v>9.7484276729559768E-2</v>
      </c>
      <c r="M662">
        <f>IFERROR($J662/IF($A662&lt;COUNTIFS($K$1:M$1,"&lt;&gt;"),0,SUMIFS($J:$J,$B:$B,$B662,$A:$A,"&gt;="&amp;COUNTIFS($K$1:M$1,"&lt;&gt;"))),0)</f>
        <v>0.10801393728222998</v>
      </c>
      <c r="N662">
        <f>IFERROR($J662/IF($A662&lt;COUNTIFS($K$1:N$1,"&lt;&gt;"),0,SUMIFS($J:$J,$B:$B,$B662,$A:$A,"&gt;="&amp;COUNTIFS($K$1:N$1,"&lt;&gt;"))),0)</f>
        <v>0.12062256809338523</v>
      </c>
      <c r="O662">
        <f>IFERROR($J662/IF($A662&lt;COUNTIFS($K$1:O$1,"&lt;&gt;"),0,SUMIFS($J:$J,$B:$B,$B662,$A:$A,"&gt;="&amp;COUNTIFS($K$1:O$1,"&lt;&gt;"))),0)</f>
        <v>0.13716814159292037</v>
      </c>
      <c r="P662">
        <f>IFERROR($J662/IF($A662&lt;COUNTIFS($K$1:P$1,"&lt;&gt;"),0,SUMIFS($J:$J,$B:$B,$B662,$A:$A,"&gt;="&amp;COUNTIFS($K$1:P$1,"&lt;&gt;"))),0)</f>
        <v>0.15897435897435899</v>
      </c>
      <c r="Q662">
        <f>IFERROR($J662/IF($A662&lt;COUNTIFS($K$1:Q$1,"&lt;&gt;"),0,SUMIFS($J:$J,$B:$B,$B662,$A:$A,"&gt;="&amp;COUNTIFS($K$1:Q$1,"&lt;&gt;"))),0)</f>
        <v>0.1878787878787879</v>
      </c>
      <c r="R662">
        <f>IFERROR($J662/IF($A662&lt;COUNTIFS($K$1:R$1,"&lt;&gt;"),0,SUMIFS($J:$J,$B:$B,$B662,$A:$A,"&gt;="&amp;COUNTIFS($K$1:R$1,"&lt;&gt;"))),0)</f>
        <v>0.23134328358208955</v>
      </c>
      <c r="S662">
        <f>IFERROR($J662/IF($A662&lt;COUNTIFS($K$1:S$1,"&lt;&gt;"),0,SUMIFS($J:$J,$B:$B,$B662,$A:$A,"&gt;="&amp;COUNTIFS($K$1:S$1,"&lt;&gt;"))),0)</f>
        <v>0.29807692307692307</v>
      </c>
      <c r="T662">
        <f>IFERROR($J662/IF($A662&lt;COUNTIFS($K$1:T$1,"&lt;&gt;"),0,SUMIFS($J:$J,$B:$B,$B662,$A:$A,"&gt;="&amp;COUNTIFS($K$1:T$1,"&lt;&gt;"))),0)</f>
        <v>0.42465753424657532</v>
      </c>
      <c r="U662">
        <f>IFERROR($J662/IF($A662&lt;COUNTIFS($K$1:U$1,"&lt;&gt;"),0,SUMIFS($J:$J,$B:$B,$B662,$A:$A,"&gt;="&amp;COUNTIFS($K$1:U$1,"&lt;&gt;"))),0)</f>
        <v>0</v>
      </c>
      <c r="V662">
        <f>IFERROR($J662/IF($A662&lt;COUNTIFS($K$1:V$1,"&lt;&gt;"),0,SUMIFS($J:$J,$B:$B,$B662,$A:$A,"&gt;="&amp;COUNTIFS($K$1:V$1,"&lt;&gt;"))),0)</f>
        <v>0</v>
      </c>
      <c r="W662">
        <f t="shared" si="244"/>
        <v>8.4931506849315067E-2</v>
      </c>
      <c r="X662">
        <f t="shared" si="224"/>
        <v>8.4931506849315067E-2</v>
      </c>
      <c r="Y662">
        <f t="shared" si="225"/>
        <v>8.4931506849315067E-2</v>
      </c>
      <c r="Z662">
        <f t="shared" si="226"/>
        <v>8.4931506849315067E-2</v>
      </c>
      <c r="AA662">
        <f t="shared" si="227"/>
        <v>8.4931506849315067E-2</v>
      </c>
      <c r="AB662">
        <f t="shared" si="228"/>
        <v>8.4931506849315067E-2</v>
      </c>
      <c r="AC662">
        <f t="shared" si="229"/>
        <v>8.4931506849315067E-2</v>
      </c>
      <c r="AD662">
        <f t="shared" si="230"/>
        <v>8.4931506849315067E-2</v>
      </c>
      <c r="AE662">
        <f t="shared" si="231"/>
        <v>8.4931506849315067E-2</v>
      </c>
      <c r="AF662">
        <f t="shared" si="232"/>
        <v>8.4931506849315067E-2</v>
      </c>
      <c r="AG662">
        <f t="shared" si="233"/>
        <v>8.4931506849315067E-2</v>
      </c>
      <c r="AH662">
        <f t="shared" si="234"/>
        <v>0</v>
      </c>
      <c r="AI662">
        <f t="shared" si="235"/>
        <v>0</v>
      </c>
      <c r="AJ662" s="2" t="str">
        <f t="shared" si="245"/>
        <v>1045352</v>
      </c>
    </row>
    <row r="663" spans="1:36" x14ac:dyDescent="0.25">
      <c r="A663">
        <v>11</v>
      </c>
      <c r="B663" s="1">
        <v>45352</v>
      </c>
      <c r="C663" s="1">
        <f t="shared" si="236"/>
        <v>45689</v>
      </c>
      <c r="D663" s="1">
        <f t="shared" si="237"/>
        <v>45366</v>
      </c>
      <c r="E663" s="1">
        <f t="shared" si="238"/>
        <v>45689</v>
      </c>
      <c r="F663" s="1">
        <f t="shared" si="239"/>
        <v>45717</v>
      </c>
      <c r="G663" s="1">
        <f t="shared" si="240"/>
        <v>45731</v>
      </c>
      <c r="H663">
        <f t="shared" si="241"/>
        <v>365</v>
      </c>
      <c r="I663">
        <f t="shared" si="242"/>
        <v>28</v>
      </c>
      <c r="J663">
        <f t="shared" si="243"/>
        <v>7.6712328767123292E-2</v>
      </c>
      <c r="K663">
        <f>IFERROR($J663/IF($A663&lt;COUNTIFS($K$1:K$1,"&lt;&gt;"),0,SUMIFS($J:$J,$B:$B,$B663,$A:$A,"&gt;="&amp;COUNTIFS($K$1:K$1,"&lt;&gt;"))),0)</f>
        <v>8.0459770114942541E-2</v>
      </c>
      <c r="L663">
        <f>IFERROR($J663/IF($A663&lt;COUNTIFS($K$1:L$1,"&lt;&gt;"),0,SUMIFS($J:$J,$B:$B,$B663,$A:$A,"&gt;="&amp;COUNTIFS($K$1:L$1,"&lt;&gt;"))),0)</f>
        <v>8.8050314465408827E-2</v>
      </c>
      <c r="M663">
        <f>IFERROR($J663/IF($A663&lt;COUNTIFS($K$1:M$1,"&lt;&gt;"),0,SUMIFS($J:$J,$B:$B,$B663,$A:$A,"&gt;="&amp;COUNTIFS($K$1:M$1,"&lt;&gt;"))),0)</f>
        <v>9.7560975609756115E-2</v>
      </c>
      <c r="N663">
        <f>IFERROR($J663/IF($A663&lt;COUNTIFS($K$1:N$1,"&lt;&gt;"),0,SUMIFS($J:$J,$B:$B,$B663,$A:$A,"&gt;="&amp;COUNTIFS($K$1:N$1,"&lt;&gt;"))),0)</f>
        <v>0.10894941634241248</v>
      </c>
      <c r="O663">
        <f>IFERROR($J663/IF($A663&lt;COUNTIFS($K$1:O$1,"&lt;&gt;"),0,SUMIFS($J:$J,$B:$B,$B663,$A:$A,"&gt;="&amp;COUNTIFS($K$1:O$1,"&lt;&gt;"))),0)</f>
        <v>0.12389380530973454</v>
      </c>
      <c r="P663">
        <f>IFERROR($J663/IF($A663&lt;COUNTIFS($K$1:P$1,"&lt;&gt;"),0,SUMIFS($J:$J,$B:$B,$B663,$A:$A,"&gt;="&amp;COUNTIFS($K$1:P$1,"&lt;&gt;"))),0)</f>
        <v>0.14358974358974361</v>
      </c>
      <c r="Q663">
        <f>IFERROR($J663/IF($A663&lt;COUNTIFS($K$1:Q$1,"&lt;&gt;"),0,SUMIFS($J:$J,$B:$B,$B663,$A:$A,"&gt;="&amp;COUNTIFS($K$1:Q$1,"&lt;&gt;"))),0)</f>
        <v>0.16969696969696971</v>
      </c>
      <c r="R663">
        <f>IFERROR($J663/IF($A663&lt;COUNTIFS($K$1:R$1,"&lt;&gt;"),0,SUMIFS($J:$J,$B:$B,$B663,$A:$A,"&gt;="&amp;COUNTIFS($K$1:R$1,"&lt;&gt;"))),0)</f>
        <v>0.20895522388059704</v>
      </c>
      <c r="S663">
        <f>IFERROR($J663/IF($A663&lt;COUNTIFS($K$1:S$1,"&lt;&gt;"),0,SUMIFS($J:$J,$B:$B,$B663,$A:$A,"&gt;="&amp;COUNTIFS($K$1:S$1,"&lt;&gt;"))),0)</f>
        <v>0.26923076923076927</v>
      </c>
      <c r="T663">
        <f>IFERROR($J663/IF($A663&lt;COUNTIFS($K$1:T$1,"&lt;&gt;"),0,SUMIFS($J:$J,$B:$B,$B663,$A:$A,"&gt;="&amp;COUNTIFS($K$1:T$1,"&lt;&gt;"))),0)</f>
        <v>0.38356164383561642</v>
      </c>
      <c r="U663">
        <f>IFERROR($J663/IF($A663&lt;COUNTIFS($K$1:U$1,"&lt;&gt;"),0,SUMIFS($J:$J,$B:$B,$B663,$A:$A,"&gt;="&amp;COUNTIFS($K$1:U$1,"&lt;&gt;"))),0)</f>
        <v>0.66666666666666674</v>
      </c>
      <c r="V663">
        <f>IFERROR($J663/IF($A663&lt;COUNTIFS($K$1:V$1,"&lt;&gt;"),0,SUMIFS($J:$J,$B:$B,$B663,$A:$A,"&gt;="&amp;COUNTIFS($K$1:V$1,"&lt;&gt;"))),0)</f>
        <v>0</v>
      </c>
      <c r="W663">
        <f t="shared" si="244"/>
        <v>7.6712328767123292E-2</v>
      </c>
      <c r="X663">
        <f t="shared" si="224"/>
        <v>7.6712328767123292E-2</v>
      </c>
      <c r="Y663">
        <f t="shared" si="225"/>
        <v>7.6712328767123292E-2</v>
      </c>
      <c r="Z663">
        <f t="shared" si="226"/>
        <v>7.6712328767123292E-2</v>
      </c>
      <c r="AA663">
        <f t="shared" si="227"/>
        <v>7.6712328767123292E-2</v>
      </c>
      <c r="AB663">
        <f t="shared" si="228"/>
        <v>7.6712328767123292E-2</v>
      </c>
      <c r="AC663">
        <f t="shared" si="229"/>
        <v>7.6712328767123292E-2</v>
      </c>
      <c r="AD663">
        <f t="shared" si="230"/>
        <v>7.6712328767123292E-2</v>
      </c>
      <c r="AE663">
        <f t="shared" si="231"/>
        <v>7.6712328767123292E-2</v>
      </c>
      <c r="AF663">
        <f t="shared" si="232"/>
        <v>7.6712328767123292E-2</v>
      </c>
      <c r="AG663">
        <f t="shared" si="233"/>
        <v>7.6712328767123292E-2</v>
      </c>
      <c r="AH663">
        <f t="shared" si="234"/>
        <v>7.6712328767123292E-2</v>
      </c>
      <c r="AI663">
        <f t="shared" si="235"/>
        <v>0</v>
      </c>
      <c r="AJ663" s="2" t="str">
        <f t="shared" si="245"/>
        <v>1145352</v>
      </c>
    </row>
    <row r="664" spans="1:36" x14ac:dyDescent="0.25">
      <c r="A664">
        <v>12</v>
      </c>
      <c r="B664" s="1">
        <v>45352</v>
      </c>
      <c r="C664" s="1">
        <f t="shared" si="236"/>
        <v>45717</v>
      </c>
      <c r="D664" s="1">
        <f t="shared" si="237"/>
        <v>45366</v>
      </c>
      <c r="E664" s="1">
        <f t="shared" si="238"/>
        <v>45717</v>
      </c>
      <c r="F664" s="1">
        <f t="shared" si="239"/>
        <v>45731</v>
      </c>
      <c r="G664" s="1">
        <f t="shared" si="240"/>
        <v>45731</v>
      </c>
      <c r="H664">
        <f t="shared" si="241"/>
        <v>365</v>
      </c>
      <c r="I664">
        <f t="shared" si="242"/>
        <v>14</v>
      </c>
      <c r="J664">
        <f t="shared" si="243"/>
        <v>3.8356164383561646E-2</v>
      </c>
      <c r="K664">
        <f>IFERROR($J664/IF($A664&lt;COUNTIFS($K$1:K$1,"&lt;&gt;"),0,SUMIFS($J:$J,$B:$B,$B664,$A:$A,"&gt;="&amp;COUNTIFS($K$1:K$1,"&lt;&gt;"))),0)</f>
        <v>4.0229885057471271E-2</v>
      </c>
      <c r="L664">
        <f>IFERROR($J664/IF($A664&lt;COUNTIFS($K$1:L$1,"&lt;&gt;"),0,SUMIFS($J:$J,$B:$B,$B664,$A:$A,"&gt;="&amp;COUNTIFS($K$1:L$1,"&lt;&gt;"))),0)</f>
        <v>4.4025157232704414E-2</v>
      </c>
      <c r="M664">
        <f>IFERROR($J664/IF($A664&lt;COUNTIFS($K$1:M$1,"&lt;&gt;"),0,SUMIFS($J:$J,$B:$B,$B664,$A:$A,"&gt;="&amp;COUNTIFS($K$1:M$1,"&lt;&gt;"))),0)</f>
        <v>4.8780487804878057E-2</v>
      </c>
      <c r="N664">
        <f>IFERROR($J664/IF($A664&lt;COUNTIFS($K$1:N$1,"&lt;&gt;"),0,SUMIFS($J:$J,$B:$B,$B664,$A:$A,"&gt;="&amp;COUNTIFS($K$1:N$1,"&lt;&gt;"))),0)</f>
        <v>5.447470817120624E-2</v>
      </c>
      <c r="O664">
        <f>IFERROR($J664/IF($A664&lt;COUNTIFS($K$1:O$1,"&lt;&gt;"),0,SUMIFS($J:$J,$B:$B,$B664,$A:$A,"&gt;="&amp;COUNTIFS($K$1:O$1,"&lt;&gt;"))),0)</f>
        <v>6.194690265486727E-2</v>
      </c>
      <c r="P664">
        <f>IFERROR($J664/IF($A664&lt;COUNTIFS($K$1:P$1,"&lt;&gt;"),0,SUMIFS($J:$J,$B:$B,$B664,$A:$A,"&gt;="&amp;COUNTIFS($K$1:P$1,"&lt;&gt;"))),0)</f>
        <v>7.1794871794871803E-2</v>
      </c>
      <c r="Q664">
        <f>IFERROR($J664/IF($A664&lt;COUNTIFS($K$1:Q$1,"&lt;&gt;"),0,SUMIFS($J:$J,$B:$B,$B664,$A:$A,"&gt;="&amp;COUNTIFS($K$1:Q$1,"&lt;&gt;"))),0)</f>
        <v>8.4848484848484854E-2</v>
      </c>
      <c r="R664">
        <f>IFERROR($J664/IF($A664&lt;COUNTIFS($K$1:R$1,"&lt;&gt;"),0,SUMIFS($J:$J,$B:$B,$B664,$A:$A,"&gt;="&amp;COUNTIFS($K$1:R$1,"&lt;&gt;"))),0)</f>
        <v>0.10447761194029852</v>
      </c>
      <c r="S664">
        <f>IFERROR($J664/IF($A664&lt;COUNTIFS($K$1:S$1,"&lt;&gt;"),0,SUMIFS($J:$J,$B:$B,$B664,$A:$A,"&gt;="&amp;COUNTIFS($K$1:S$1,"&lt;&gt;"))),0)</f>
        <v>0.13461538461538464</v>
      </c>
      <c r="T664">
        <f>IFERROR($J664/IF($A664&lt;COUNTIFS($K$1:T$1,"&lt;&gt;"),0,SUMIFS($J:$J,$B:$B,$B664,$A:$A,"&gt;="&amp;COUNTIFS($K$1:T$1,"&lt;&gt;"))),0)</f>
        <v>0.19178082191780821</v>
      </c>
      <c r="U664">
        <f>IFERROR($J664/IF($A664&lt;COUNTIFS($K$1:U$1,"&lt;&gt;"),0,SUMIFS($J:$J,$B:$B,$B664,$A:$A,"&gt;="&amp;COUNTIFS($K$1:U$1,"&lt;&gt;"))),0)</f>
        <v>0.33333333333333337</v>
      </c>
      <c r="V664">
        <f>IFERROR($J664/IF($A664&lt;COUNTIFS($K$1:V$1,"&lt;&gt;"),0,SUMIFS($J:$J,$B:$B,$B664,$A:$A,"&gt;="&amp;COUNTIFS($K$1:V$1,"&lt;&gt;"))),0)</f>
        <v>1</v>
      </c>
      <c r="W664">
        <f t="shared" si="244"/>
        <v>3.8356164383561646E-2</v>
      </c>
      <c r="X664">
        <f t="shared" si="224"/>
        <v>3.8356164383561646E-2</v>
      </c>
      <c r="Y664">
        <f t="shared" si="225"/>
        <v>3.8356164383561646E-2</v>
      </c>
      <c r="Z664">
        <f t="shared" si="226"/>
        <v>3.8356164383561646E-2</v>
      </c>
      <c r="AA664">
        <f t="shared" si="227"/>
        <v>3.8356164383561646E-2</v>
      </c>
      <c r="AB664">
        <f t="shared" si="228"/>
        <v>3.8356164383561646E-2</v>
      </c>
      <c r="AC664">
        <f t="shared" si="229"/>
        <v>3.8356164383561646E-2</v>
      </c>
      <c r="AD664">
        <f t="shared" si="230"/>
        <v>3.8356164383561646E-2</v>
      </c>
      <c r="AE664">
        <f t="shared" si="231"/>
        <v>3.8356164383561646E-2</v>
      </c>
      <c r="AF664">
        <f t="shared" si="232"/>
        <v>3.8356164383561646E-2</v>
      </c>
      <c r="AG664">
        <f t="shared" si="233"/>
        <v>3.8356164383561646E-2</v>
      </c>
      <c r="AH664">
        <f t="shared" si="234"/>
        <v>3.8356164383561646E-2</v>
      </c>
      <c r="AI664">
        <f t="shared" si="235"/>
        <v>3.8356164383561646E-2</v>
      </c>
      <c r="AJ664" s="2" t="str">
        <f t="shared" si="245"/>
        <v>1245352</v>
      </c>
    </row>
    <row r="665" spans="1:36" x14ac:dyDescent="0.25">
      <c r="A665">
        <v>0</v>
      </c>
      <c r="B665" s="1">
        <v>45383</v>
      </c>
      <c r="C665" s="1">
        <f t="shared" si="236"/>
        <v>45383</v>
      </c>
      <c r="D665" s="1">
        <f t="shared" si="237"/>
        <v>45397</v>
      </c>
      <c r="E665" s="1">
        <f t="shared" si="238"/>
        <v>45397</v>
      </c>
      <c r="F665" s="1">
        <f t="shared" si="239"/>
        <v>45413</v>
      </c>
      <c r="G665" s="1">
        <f t="shared" si="240"/>
        <v>45762</v>
      </c>
      <c r="H665">
        <f t="shared" si="241"/>
        <v>365</v>
      </c>
      <c r="I665">
        <f t="shared" si="242"/>
        <v>16</v>
      </c>
      <c r="J665">
        <f t="shared" si="243"/>
        <v>4.3835616438356165E-2</v>
      </c>
      <c r="K665">
        <f>IFERROR($J665/IF($A665&lt;COUNTIFS($K$1:K$1,"&lt;&gt;"),0,SUMIFS($J:$J,$B:$B,$B665,$A:$A,"&gt;="&amp;COUNTIFS($K$1:K$1,"&lt;&gt;"))),0)</f>
        <v>0</v>
      </c>
      <c r="L665">
        <f>IFERROR($J665/IF($A665&lt;COUNTIFS($K$1:L$1,"&lt;&gt;"),0,SUMIFS($J:$J,$B:$B,$B665,$A:$A,"&gt;="&amp;COUNTIFS($K$1:L$1,"&lt;&gt;"))),0)</f>
        <v>0</v>
      </c>
      <c r="M665">
        <f>IFERROR($J665/IF($A665&lt;COUNTIFS($K$1:M$1,"&lt;&gt;"),0,SUMIFS($J:$J,$B:$B,$B665,$A:$A,"&gt;="&amp;COUNTIFS($K$1:M$1,"&lt;&gt;"))),0)</f>
        <v>0</v>
      </c>
      <c r="N665">
        <f>IFERROR($J665/IF($A665&lt;COUNTIFS($K$1:N$1,"&lt;&gt;"),0,SUMIFS($J:$J,$B:$B,$B665,$A:$A,"&gt;="&amp;COUNTIFS($K$1:N$1,"&lt;&gt;"))),0)</f>
        <v>0</v>
      </c>
      <c r="O665">
        <f>IFERROR($J665/IF($A665&lt;COUNTIFS($K$1:O$1,"&lt;&gt;"),0,SUMIFS($J:$J,$B:$B,$B665,$A:$A,"&gt;="&amp;COUNTIFS($K$1:O$1,"&lt;&gt;"))),0)</f>
        <v>0</v>
      </c>
      <c r="P665">
        <f>IFERROR($J665/IF($A665&lt;COUNTIFS($K$1:P$1,"&lt;&gt;"),0,SUMIFS($J:$J,$B:$B,$B665,$A:$A,"&gt;="&amp;COUNTIFS($K$1:P$1,"&lt;&gt;"))),0)</f>
        <v>0</v>
      </c>
      <c r="Q665">
        <f>IFERROR($J665/IF($A665&lt;COUNTIFS($K$1:Q$1,"&lt;&gt;"),0,SUMIFS($J:$J,$B:$B,$B665,$A:$A,"&gt;="&amp;COUNTIFS($K$1:Q$1,"&lt;&gt;"))),0)</f>
        <v>0</v>
      </c>
      <c r="R665">
        <f>IFERROR($J665/IF($A665&lt;COUNTIFS($K$1:R$1,"&lt;&gt;"),0,SUMIFS($J:$J,$B:$B,$B665,$A:$A,"&gt;="&amp;COUNTIFS($K$1:R$1,"&lt;&gt;"))),0)</f>
        <v>0</v>
      </c>
      <c r="S665">
        <f>IFERROR($J665/IF($A665&lt;COUNTIFS($K$1:S$1,"&lt;&gt;"),0,SUMIFS($J:$J,$B:$B,$B665,$A:$A,"&gt;="&amp;COUNTIFS($K$1:S$1,"&lt;&gt;"))),0)</f>
        <v>0</v>
      </c>
      <c r="T665">
        <f>IFERROR($J665/IF($A665&lt;COUNTIFS($K$1:T$1,"&lt;&gt;"),0,SUMIFS($J:$J,$B:$B,$B665,$A:$A,"&gt;="&amp;COUNTIFS($K$1:T$1,"&lt;&gt;"))),0)</f>
        <v>0</v>
      </c>
      <c r="U665">
        <f>IFERROR($J665/IF($A665&lt;COUNTIFS($K$1:U$1,"&lt;&gt;"),0,SUMIFS($J:$J,$B:$B,$B665,$A:$A,"&gt;="&amp;COUNTIFS($K$1:U$1,"&lt;&gt;"))),0)</f>
        <v>0</v>
      </c>
      <c r="V665">
        <f>IFERROR($J665/IF($A665&lt;COUNTIFS($K$1:V$1,"&lt;&gt;"),0,SUMIFS($J:$J,$B:$B,$B665,$A:$A,"&gt;="&amp;COUNTIFS($K$1:V$1,"&lt;&gt;"))),0)</f>
        <v>0</v>
      </c>
      <c r="W665">
        <f t="shared" si="244"/>
        <v>4.3835616438356165E-2</v>
      </c>
      <c r="X665">
        <f t="shared" si="224"/>
        <v>0</v>
      </c>
      <c r="Y665">
        <f t="shared" si="225"/>
        <v>0</v>
      </c>
      <c r="Z665">
        <f t="shared" si="226"/>
        <v>0</v>
      </c>
      <c r="AA665">
        <f t="shared" si="227"/>
        <v>0</v>
      </c>
      <c r="AB665">
        <f t="shared" si="228"/>
        <v>0</v>
      </c>
      <c r="AC665">
        <f t="shared" si="229"/>
        <v>0</v>
      </c>
      <c r="AD665">
        <f t="shared" si="230"/>
        <v>0</v>
      </c>
      <c r="AE665">
        <f t="shared" si="231"/>
        <v>0</v>
      </c>
      <c r="AF665">
        <f t="shared" si="232"/>
        <v>0</v>
      </c>
      <c r="AG665">
        <f t="shared" si="233"/>
        <v>0</v>
      </c>
      <c r="AH665">
        <f t="shared" si="234"/>
        <v>0</v>
      </c>
      <c r="AI665">
        <f t="shared" si="235"/>
        <v>0</v>
      </c>
      <c r="AJ665" s="2" t="str">
        <f t="shared" si="245"/>
        <v>045383</v>
      </c>
    </row>
    <row r="666" spans="1:36" x14ac:dyDescent="0.25">
      <c r="A666">
        <v>1</v>
      </c>
      <c r="B666" s="1">
        <v>45383</v>
      </c>
      <c r="C666" s="1">
        <f t="shared" si="236"/>
        <v>45413</v>
      </c>
      <c r="D666" s="1">
        <f t="shared" si="237"/>
        <v>45397</v>
      </c>
      <c r="E666" s="1">
        <f t="shared" si="238"/>
        <v>45413</v>
      </c>
      <c r="F666" s="1">
        <f t="shared" si="239"/>
        <v>45444</v>
      </c>
      <c r="G666" s="1">
        <f t="shared" si="240"/>
        <v>45762</v>
      </c>
      <c r="H666">
        <f t="shared" si="241"/>
        <v>365</v>
      </c>
      <c r="I666">
        <f t="shared" si="242"/>
        <v>31</v>
      </c>
      <c r="J666">
        <f t="shared" si="243"/>
        <v>8.4931506849315067E-2</v>
      </c>
      <c r="K666">
        <f>IFERROR($J666/IF($A666&lt;COUNTIFS($K$1:K$1,"&lt;&gt;"),0,SUMIFS($J:$J,$B:$B,$B666,$A:$A,"&gt;="&amp;COUNTIFS($K$1:K$1,"&lt;&gt;"))),0)</f>
        <v>8.8825214899713484E-2</v>
      </c>
      <c r="L666">
        <f>IFERROR($J666/IF($A666&lt;COUNTIFS($K$1:L$1,"&lt;&gt;"),0,SUMIFS($J:$J,$B:$B,$B666,$A:$A,"&gt;="&amp;COUNTIFS($K$1:L$1,"&lt;&gt;"))),0)</f>
        <v>0</v>
      </c>
      <c r="M666">
        <f>IFERROR($J666/IF($A666&lt;COUNTIFS($K$1:M$1,"&lt;&gt;"),0,SUMIFS($J:$J,$B:$B,$B666,$A:$A,"&gt;="&amp;COUNTIFS($K$1:M$1,"&lt;&gt;"))),0)</f>
        <v>0</v>
      </c>
      <c r="N666">
        <f>IFERROR($J666/IF($A666&lt;COUNTIFS($K$1:N$1,"&lt;&gt;"),0,SUMIFS($J:$J,$B:$B,$B666,$A:$A,"&gt;="&amp;COUNTIFS($K$1:N$1,"&lt;&gt;"))),0)</f>
        <v>0</v>
      </c>
      <c r="O666">
        <f>IFERROR($J666/IF($A666&lt;COUNTIFS($K$1:O$1,"&lt;&gt;"),0,SUMIFS($J:$J,$B:$B,$B666,$A:$A,"&gt;="&amp;COUNTIFS($K$1:O$1,"&lt;&gt;"))),0)</f>
        <v>0</v>
      </c>
      <c r="P666">
        <f>IFERROR($J666/IF($A666&lt;COUNTIFS($K$1:P$1,"&lt;&gt;"),0,SUMIFS($J:$J,$B:$B,$B666,$A:$A,"&gt;="&amp;COUNTIFS($K$1:P$1,"&lt;&gt;"))),0)</f>
        <v>0</v>
      </c>
      <c r="Q666">
        <f>IFERROR($J666/IF($A666&lt;COUNTIFS($K$1:Q$1,"&lt;&gt;"),0,SUMIFS($J:$J,$B:$B,$B666,$A:$A,"&gt;="&amp;COUNTIFS($K$1:Q$1,"&lt;&gt;"))),0)</f>
        <v>0</v>
      </c>
      <c r="R666">
        <f>IFERROR($J666/IF($A666&lt;COUNTIFS($K$1:R$1,"&lt;&gt;"),0,SUMIFS($J:$J,$B:$B,$B666,$A:$A,"&gt;="&amp;COUNTIFS($K$1:R$1,"&lt;&gt;"))),0)</f>
        <v>0</v>
      </c>
      <c r="S666">
        <f>IFERROR($J666/IF($A666&lt;COUNTIFS($K$1:S$1,"&lt;&gt;"),0,SUMIFS($J:$J,$B:$B,$B666,$A:$A,"&gt;="&amp;COUNTIFS($K$1:S$1,"&lt;&gt;"))),0)</f>
        <v>0</v>
      </c>
      <c r="T666">
        <f>IFERROR($J666/IF($A666&lt;COUNTIFS($K$1:T$1,"&lt;&gt;"),0,SUMIFS($J:$J,$B:$B,$B666,$A:$A,"&gt;="&amp;COUNTIFS($K$1:T$1,"&lt;&gt;"))),0)</f>
        <v>0</v>
      </c>
      <c r="U666">
        <f>IFERROR($J666/IF($A666&lt;COUNTIFS($K$1:U$1,"&lt;&gt;"),0,SUMIFS($J:$J,$B:$B,$B666,$A:$A,"&gt;="&amp;COUNTIFS($K$1:U$1,"&lt;&gt;"))),0)</f>
        <v>0</v>
      </c>
      <c r="V666">
        <f>IFERROR($J666/IF($A666&lt;COUNTIFS($K$1:V$1,"&lt;&gt;"),0,SUMIFS($J:$J,$B:$B,$B666,$A:$A,"&gt;="&amp;COUNTIFS($K$1:V$1,"&lt;&gt;"))),0)</f>
        <v>0</v>
      </c>
      <c r="W666">
        <f t="shared" si="244"/>
        <v>8.4931506849315067E-2</v>
      </c>
      <c r="X666">
        <f t="shared" si="224"/>
        <v>8.4931506849315067E-2</v>
      </c>
      <c r="Y666">
        <f t="shared" si="225"/>
        <v>0</v>
      </c>
      <c r="Z666">
        <f t="shared" si="226"/>
        <v>0</v>
      </c>
      <c r="AA666">
        <f t="shared" si="227"/>
        <v>0</v>
      </c>
      <c r="AB666">
        <f t="shared" si="228"/>
        <v>0</v>
      </c>
      <c r="AC666">
        <f t="shared" si="229"/>
        <v>0</v>
      </c>
      <c r="AD666">
        <f t="shared" si="230"/>
        <v>0</v>
      </c>
      <c r="AE666">
        <f t="shared" si="231"/>
        <v>0</v>
      </c>
      <c r="AF666">
        <f t="shared" si="232"/>
        <v>0</v>
      </c>
      <c r="AG666">
        <f t="shared" si="233"/>
        <v>0</v>
      </c>
      <c r="AH666">
        <f t="shared" si="234"/>
        <v>0</v>
      </c>
      <c r="AI666">
        <f t="shared" si="235"/>
        <v>0</v>
      </c>
      <c r="AJ666" s="2" t="str">
        <f t="shared" si="245"/>
        <v>145383</v>
      </c>
    </row>
    <row r="667" spans="1:36" x14ac:dyDescent="0.25">
      <c r="A667">
        <v>2</v>
      </c>
      <c r="B667" s="1">
        <v>45383</v>
      </c>
      <c r="C667" s="1">
        <f t="shared" si="236"/>
        <v>45444</v>
      </c>
      <c r="D667" s="1">
        <f t="shared" si="237"/>
        <v>45397</v>
      </c>
      <c r="E667" s="1">
        <f t="shared" si="238"/>
        <v>45444</v>
      </c>
      <c r="F667" s="1">
        <f t="shared" si="239"/>
        <v>45474</v>
      </c>
      <c r="G667" s="1">
        <f t="shared" si="240"/>
        <v>45762</v>
      </c>
      <c r="H667">
        <f t="shared" si="241"/>
        <v>365</v>
      </c>
      <c r="I667">
        <f t="shared" si="242"/>
        <v>30</v>
      </c>
      <c r="J667">
        <f t="shared" si="243"/>
        <v>8.2191780821917804E-2</v>
      </c>
      <c r="K667">
        <f>IFERROR($J667/IF($A667&lt;COUNTIFS($K$1:K$1,"&lt;&gt;"),0,SUMIFS($J:$J,$B:$B,$B667,$A:$A,"&gt;="&amp;COUNTIFS($K$1:K$1,"&lt;&gt;"))),0)</f>
        <v>8.5959885386819493E-2</v>
      </c>
      <c r="L667">
        <f>IFERROR($J667/IF($A667&lt;COUNTIFS($K$1:L$1,"&lt;&gt;"),0,SUMIFS($J:$J,$B:$B,$B667,$A:$A,"&gt;="&amp;COUNTIFS($K$1:L$1,"&lt;&gt;"))),0)</f>
        <v>9.4339622641509441E-2</v>
      </c>
      <c r="M667">
        <f>IFERROR($J667/IF($A667&lt;COUNTIFS($K$1:M$1,"&lt;&gt;"),0,SUMIFS($J:$J,$B:$B,$B667,$A:$A,"&gt;="&amp;COUNTIFS($K$1:M$1,"&lt;&gt;"))),0)</f>
        <v>0</v>
      </c>
      <c r="N667">
        <f>IFERROR($J667/IF($A667&lt;COUNTIFS($K$1:N$1,"&lt;&gt;"),0,SUMIFS($J:$J,$B:$B,$B667,$A:$A,"&gt;="&amp;COUNTIFS($K$1:N$1,"&lt;&gt;"))),0)</f>
        <v>0</v>
      </c>
      <c r="O667">
        <f>IFERROR($J667/IF($A667&lt;COUNTIFS($K$1:O$1,"&lt;&gt;"),0,SUMIFS($J:$J,$B:$B,$B667,$A:$A,"&gt;="&amp;COUNTIFS($K$1:O$1,"&lt;&gt;"))),0)</f>
        <v>0</v>
      </c>
      <c r="P667">
        <f>IFERROR($J667/IF($A667&lt;COUNTIFS($K$1:P$1,"&lt;&gt;"),0,SUMIFS($J:$J,$B:$B,$B667,$A:$A,"&gt;="&amp;COUNTIFS($K$1:P$1,"&lt;&gt;"))),0)</f>
        <v>0</v>
      </c>
      <c r="Q667">
        <f>IFERROR($J667/IF($A667&lt;COUNTIFS($K$1:Q$1,"&lt;&gt;"),0,SUMIFS($J:$J,$B:$B,$B667,$A:$A,"&gt;="&amp;COUNTIFS($K$1:Q$1,"&lt;&gt;"))),0)</f>
        <v>0</v>
      </c>
      <c r="R667">
        <f>IFERROR($J667/IF($A667&lt;COUNTIFS($K$1:R$1,"&lt;&gt;"),0,SUMIFS($J:$J,$B:$B,$B667,$A:$A,"&gt;="&amp;COUNTIFS($K$1:R$1,"&lt;&gt;"))),0)</f>
        <v>0</v>
      </c>
      <c r="S667">
        <f>IFERROR($J667/IF($A667&lt;COUNTIFS($K$1:S$1,"&lt;&gt;"),0,SUMIFS($J:$J,$B:$B,$B667,$A:$A,"&gt;="&amp;COUNTIFS($K$1:S$1,"&lt;&gt;"))),0)</f>
        <v>0</v>
      </c>
      <c r="T667">
        <f>IFERROR($J667/IF($A667&lt;COUNTIFS($K$1:T$1,"&lt;&gt;"),0,SUMIFS($J:$J,$B:$B,$B667,$A:$A,"&gt;="&amp;COUNTIFS($K$1:T$1,"&lt;&gt;"))),0)</f>
        <v>0</v>
      </c>
      <c r="U667">
        <f>IFERROR($J667/IF($A667&lt;COUNTIFS($K$1:U$1,"&lt;&gt;"),0,SUMIFS($J:$J,$B:$B,$B667,$A:$A,"&gt;="&amp;COUNTIFS($K$1:U$1,"&lt;&gt;"))),0)</f>
        <v>0</v>
      </c>
      <c r="V667">
        <f>IFERROR($J667/IF($A667&lt;COUNTIFS($K$1:V$1,"&lt;&gt;"),0,SUMIFS($J:$J,$B:$B,$B667,$A:$A,"&gt;="&amp;COUNTIFS($K$1:V$1,"&lt;&gt;"))),0)</f>
        <v>0</v>
      </c>
      <c r="W667">
        <f t="shared" si="244"/>
        <v>8.2191780821917804E-2</v>
      </c>
      <c r="X667">
        <f t="shared" si="224"/>
        <v>8.2191780821917804E-2</v>
      </c>
      <c r="Y667">
        <f t="shared" si="225"/>
        <v>8.2191780821917804E-2</v>
      </c>
      <c r="Z667">
        <f t="shared" si="226"/>
        <v>0</v>
      </c>
      <c r="AA667">
        <f t="shared" si="227"/>
        <v>0</v>
      </c>
      <c r="AB667">
        <f t="shared" si="228"/>
        <v>0</v>
      </c>
      <c r="AC667">
        <f t="shared" si="229"/>
        <v>0</v>
      </c>
      <c r="AD667">
        <f t="shared" si="230"/>
        <v>0</v>
      </c>
      <c r="AE667">
        <f t="shared" si="231"/>
        <v>0</v>
      </c>
      <c r="AF667">
        <f t="shared" si="232"/>
        <v>0</v>
      </c>
      <c r="AG667">
        <f t="shared" si="233"/>
        <v>0</v>
      </c>
      <c r="AH667">
        <f t="shared" si="234"/>
        <v>0</v>
      </c>
      <c r="AI667">
        <f t="shared" si="235"/>
        <v>0</v>
      </c>
      <c r="AJ667" s="2" t="str">
        <f t="shared" si="245"/>
        <v>245383</v>
      </c>
    </row>
    <row r="668" spans="1:36" x14ac:dyDescent="0.25">
      <c r="A668">
        <v>3</v>
      </c>
      <c r="B668" s="1">
        <v>45383</v>
      </c>
      <c r="C668" s="1">
        <f t="shared" si="236"/>
        <v>45474</v>
      </c>
      <c r="D668" s="1">
        <f t="shared" si="237"/>
        <v>45397</v>
      </c>
      <c r="E668" s="1">
        <f t="shared" si="238"/>
        <v>45474</v>
      </c>
      <c r="F668" s="1">
        <f t="shared" si="239"/>
        <v>45505</v>
      </c>
      <c r="G668" s="1">
        <f t="shared" si="240"/>
        <v>45762</v>
      </c>
      <c r="H668">
        <f t="shared" si="241"/>
        <v>365</v>
      </c>
      <c r="I668">
        <f t="shared" si="242"/>
        <v>31</v>
      </c>
      <c r="J668">
        <f t="shared" si="243"/>
        <v>8.4931506849315067E-2</v>
      </c>
      <c r="K668">
        <f>IFERROR($J668/IF($A668&lt;COUNTIFS($K$1:K$1,"&lt;&gt;"),0,SUMIFS($J:$J,$B:$B,$B668,$A:$A,"&gt;="&amp;COUNTIFS($K$1:K$1,"&lt;&gt;"))),0)</f>
        <v>8.8825214899713484E-2</v>
      </c>
      <c r="L668">
        <f>IFERROR($J668/IF($A668&lt;COUNTIFS($K$1:L$1,"&lt;&gt;"),0,SUMIFS($J:$J,$B:$B,$B668,$A:$A,"&gt;="&amp;COUNTIFS($K$1:L$1,"&lt;&gt;"))),0)</f>
        <v>9.7484276729559768E-2</v>
      </c>
      <c r="M668">
        <f>IFERROR($J668/IF($A668&lt;COUNTIFS($K$1:M$1,"&lt;&gt;"),0,SUMIFS($J:$J,$B:$B,$B668,$A:$A,"&gt;="&amp;COUNTIFS($K$1:M$1,"&lt;&gt;"))),0)</f>
        <v>0.10763888888888891</v>
      </c>
      <c r="N668">
        <f>IFERROR($J668/IF($A668&lt;COUNTIFS($K$1:N$1,"&lt;&gt;"),0,SUMIFS($J:$J,$B:$B,$B668,$A:$A,"&gt;="&amp;COUNTIFS($K$1:N$1,"&lt;&gt;"))),0)</f>
        <v>0</v>
      </c>
      <c r="O668">
        <f>IFERROR($J668/IF($A668&lt;COUNTIFS($K$1:O$1,"&lt;&gt;"),0,SUMIFS($J:$J,$B:$B,$B668,$A:$A,"&gt;="&amp;COUNTIFS($K$1:O$1,"&lt;&gt;"))),0)</f>
        <v>0</v>
      </c>
      <c r="P668">
        <f>IFERROR($J668/IF($A668&lt;COUNTIFS($K$1:P$1,"&lt;&gt;"),0,SUMIFS($J:$J,$B:$B,$B668,$A:$A,"&gt;="&amp;COUNTIFS($K$1:P$1,"&lt;&gt;"))),0)</f>
        <v>0</v>
      </c>
      <c r="Q668">
        <f>IFERROR($J668/IF($A668&lt;COUNTIFS($K$1:Q$1,"&lt;&gt;"),0,SUMIFS($J:$J,$B:$B,$B668,$A:$A,"&gt;="&amp;COUNTIFS($K$1:Q$1,"&lt;&gt;"))),0)</f>
        <v>0</v>
      </c>
      <c r="R668">
        <f>IFERROR($J668/IF($A668&lt;COUNTIFS($K$1:R$1,"&lt;&gt;"),0,SUMIFS($J:$J,$B:$B,$B668,$A:$A,"&gt;="&amp;COUNTIFS($K$1:R$1,"&lt;&gt;"))),0)</f>
        <v>0</v>
      </c>
      <c r="S668">
        <f>IFERROR($J668/IF($A668&lt;COUNTIFS($K$1:S$1,"&lt;&gt;"),0,SUMIFS($J:$J,$B:$B,$B668,$A:$A,"&gt;="&amp;COUNTIFS($K$1:S$1,"&lt;&gt;"))),0)</f>
        <v>0</v>
      </c>
      <c r="T668">
        <f>IFERROR($J668/IF($A668&lt;COUNTIFS($K$1:T$1,"&lt;&gt;"),0,SUMIFS($J:$J,$B:$B,$B668,$A:$A,"&gt;="&amp;COUNTIFS($K$1:T$1,"&lt;&gt;"))),0)</f>
        <v>0</v>
      </c>
      <c r="U668">
        <f>IFERROR($J668/IF($A668&lt;COUNTIFS($K$1:U$1,"&lt;&gt;"),0,SUMIFS($J:$J,$B:$B,$B668,$A:$A,"&gt;="&amp;COUNTIFS($K$1:U$1,"&lt;&gt;"))),0)</f>
        <v>0</v>
      </c>
      <c r="V668">
        <f>IFERROR($J668/IF($A668&lt;COUNTIFS($K$1:V$1,"&lt;&gt;"),0,SUMIFS($J:$J,$B:$B,$B668,$A:$A,"&gt;="&amp;COUNTIFS($K$1:V$1,"&lt;&gt;"))),0)</f>
        <v>0</v>
      </c>
      <c r="W668">
        <f t="shared" si="244"/>
        <v>8.4931506849315067E-2</v>
      </c>
      <c r="X668">
        <f t="shared" si="224"/>
        <v>8.4931506849315067E-2</v>
      </c>
      <c r="Y668">
        <f t="shared" si="225"/>
        <v>8.4931506849315067E-2</v>
      </c>
      <c r="Z668">
        <f t="shared" si="226"/>
        <v>8.4931506849315067E-2</v>
      </c>
      <c r="AA668">
        <f t="shared" si="227"/>
        <v>0</v>
      </c>
      <c r="AB668">
        <f t="shared" si="228"/>
        <v>0</v>
      </c>
      <c r="AC668">
        <f t="shared" si="229"/>
        <v>0</v>
      </c>
      <c r="AD668">
        <f t="shared" si="230"/>
        <v>0</v>
      </c>
      <c r="AE668">
        <f t="shared" si="231"/>
        <v>0</v>
      </c>
      <c r="AF668">
        <f t="shared" si="232"/>
        <v>0</v>
      </c>
      <c r="AG668">
        <f t="shared" si="233"/>
        <v>0</v>
      </c>
      <c r="AH668">
        <f t="shared" si="234"/>
        <v>0</v>
      </c>
      <c r="AI668">
        <f t="shared" si="235"/>
        <v>0</v>
      </c>
      <c r="AJ668" s="2" t="str">
        <f t="shared" si="245"/>
        <v>345383</v>
      </c>
    </row>
    <row r="669" spans="1:36" x14ac:dyDescent="0.25">
      <c r="A669">
        <v>4</v>
      </c>
      <c r="B669" s="1">
        <v>45383</v>
      </c>
      <c r="C669" s="1">
        <f t="shared" si="236"/>
        <v>45505</v>
      </c>
      <c r="D669" s="1">
        <f t="shared" si="237"/>
        <v>45397</v>
      </c>
      <c r="E669" s="1">
        <f t="shared" si="238"/>
        <v>45505</v>
      </c>
      <c r="F669" s="1">
        <f t="shared" si="239"/>
        <v>45536</v>
      </c>
      <c r="G669" s="1">
        <f t="shared" si="240"/>
        <v>45762</v>
      </c>
      <c r="H669">
        <f t="shared" si="241"/>
        <v>365</v>
      </c>
      <c r="I669">
        <f t="shared" si="242"/>
        <v>31</v>
      </c>
      <c r="J669">
        <f t="shared" si="243"/>
        <v>8.4931506849315067E-2</v>
      </c>
      <c r="K669">
        <f>IFERROR($J669/IF($A669&lt;COUNTIFS($K$1:K$1,"&lt;&gt;"),0,SUMIFS($J:$J,$B:$B,$B669,$A:$A,"&gt;="&amp;COUNTIFS($K$1:K$1,"&lt;&gt;"))),0)</f>
        <v>8.8825214899713484E-2</v>
      </c>
      <c r="L669">
        <f>IFERROR($J669/IF($A669&lt;COUNTIFS($K$1:L$1,"&lt;&gt;"),0,SUMIFS($J:$J,$B:$B,$B669,$A:$A,"&gt;="&amp;COUNTIFS($K$1:L$1,"&lt;&gt;"))),0)</f>
        <v>9.7484276729559768E-2</v>
      </c>
      <c r="M669">
        <f>IFERROR($J669/IF($A669&lt;COUNTIFS($K$1:M$1,"&lt;&gt;"),0,SUMIFS($J:$J,$B:$B,$B669,$A:$A,"&gt;="&amp;COUNTIFS($K$1:M$1,"&lt;&gt;"))),0)</f>
        <v>0.10763888888888891</v>
      </c>
      <c r="N669">
        <f>IFERROR($J669/IF($A669&lt;COUNTIFS($K$1:N$1,"&lt;&gt;"),0,SUMIFS($J:$J,$B:$B,$B669,$A:$A,"&gt;="&amp;COUNTIFS($K$1:N$1,"&lt;&gt;"))),0)</f>
        <v>0.12062256809338523</v>
      </c>
      <c r="O669">
        <f>IFERROR($J669/IF($A669&lt;COUNTIFS($K$1:O$1,"&lt;&gt;"),0,SUMIFS($J:$J,$B:$B,$B669,$A:$A,"&gt;="&amp;COUNTIFS($K$1:O$1,"&lt;&gt;"))),0)</f>
        <v>0</v>
      </c>
      <c r="P669">
        <f>IFERROR($J669/IF($A669&lt;COUNTIFS($K$1:P$1,"&lt;&gt;"),0,SUMIFS($J:$J,$B:$B,$B669,$A:$A,"&gt;="&amp;COUNTIFS($K$1:P$1,"&lt;&gt;"))),0)</f>
        <v>0</v>
      </c>
      <c r="Q669">
        <f>IFERROR($J669/IF($A669&lt;COUNTIFS($K$1:Q$1,"&lt;&gt;"),0,SUMIFS($J:$J,$B:$B,$B669,$A:$A,"&gt;="&amp;COUNTIFS($K$1:Q$1,"&lt;&gt;"))),0)</f>
        <v>0</v>
      </c>
      <c r="R669">
        <f>IFERROR($J669/IF($A669&lt;COUNTIFS($K$1:R$1,"&lt;&gt;"),0,SUMIFS($J:$J,$B:$B,$B669,$A:$A,"&gt;="&amp;COUNTIFS($K$1:R$1,"&lt;&gt;"))),0)</f>
        <v>0</v>
      </c>
      <c r="S669">
        <f>IFERROR($J669/IF($A669&lt;COUNTIFS($K$1:S$1,"&lt;&gt;"),0,SUMIFS($J:$J,$B:$B,$B669,$A:$A,"&gt;="&amp;COUNTIFS($K$1:S$1,"&lt;&gt;"))),0)</f>
        <v>0</v>
      </c>
      <c r="T669">
        <f>IFERROR($J669/IF($A669&lt;COUNTIFS($K$1:T$1,"&lt;&gt;"),0,SUMIFS($J:$J,$B:$B,$B669,$A:$A,"&gt;="&amp;COUNTIFS($K$1:T$1,"&lt;&gt;"))),0)</f>
        <v>0</v>
      </c>
      <c r="U669">
        <f>IFERROR($J669/IF($A669&lt;COUNTIFS($K$1:U$1,"&lt;&gt;"),0,SUMIFS($J:$J,$B:$B,$B669,$A:$A,"&gt;="&amp;COUNTIFS($K$1:U$1,"&lt;&gt;"))),0)</f>
        <v>0</v>
      </c>
      <c r="V669">
        <f>IFERROR($J669/IF($A669&lt;COUNTIFS($K$1:V$1,"&lt;&gt;"),0,SUMIFS($J:$J,$B:$B,$B669,$A:$A,"&gt;="&amp;COUNTIFS($K$1:V$1,"&lt;&gt;"))),0)</f>
        <v>0</v>
      </c>
      <c r="W669">
        <f t="shared" si="244"/>
        <v>8.4931506849315067E-2</v>
      </c>
      <c r="X669">
        <f t="shared" si="224"/>
        <v>8.4931506849315067E-2</v>
      </c>
      <c r="Y669">
        <f t="shared" si="225"/>
        <v>8.4931506849315067E-2</v>
      </c>
      <c r="Z669">
        <f t="shared" si="226"/>
        <v>8.4931506849315067E-2</v>
      </c>
      <c r="AA669">
        <f t="shared" si="227"/>
        <v>8.4931506849315067E-2</v>
      </c>
      <c r="AB669">
        <f t="shared" si="228"/>
        <v>0</v>
      </c>
      <c r="AC669">
        <f t="shared" si="229"/>
        <v>0</v>
      </c>
      <c r="AD669">
        <f t="shared" si="230"/>
        <v>0</v>
      </c>
      <c r="AE669">
        <f t="shared" si="231"/>
        <v>0</v>
      </c>
      <c r="AF669">
        <f t="shared" si="232"/>
        <v>0</v>
      </c>
      <c r="AG669">
        <f t="shared" si="233"/>
        <v>0</v>
      </c>
      <c r="AH669">
        <f t="shared" si="234"/>
        <v>0</v>
      </c>
      <c r="AI669">
        <f t="shared" si="235"/>
        <v>0</v>
      </c>
      <c r="AJ669" s="2" t="str">
        <f t="shared" si="245"/>
        <v>445383</v>
      </c>
    </row>
    <row r="670" spans="1:36" x14ac:dyDescent="0.25">
      <c r="A670">
        <v>5</v>
      </c>
      <c r="B670" s="1">
        <v>45383</v>
      </c>
      <c r="C670" s="1">
        <f t="shared" si="236"/>
        <v>45536</v>
      </c>
      <c r="D670" s="1">
        <f t="shared" si="237"/>
        <v>45397</v>
      </c>
      <c r="E670" s="1">
        <f t="shared" si="238"/>
        <v>45536</v>
      </c>
      <c r="F670" s="1">
        <f t="shared" si="239"/>
        <v>45566</v>
      </c>
      <c r="G670" s="1">
        <f t="shared" si="240"/>
        <v>45762</v>
      </c>
      <c r="H670">
        <f t="shared" si="241"/>
        <v>365</v>
      </c>
      <c r="I670">
        <f t="shared" si="242"/>
        <v>30</v>
      </c>
      <c r="J670">
        <f t="shared" si="243"/>
        <v>8.2191780821917804E-2</v>
      </c>
      <c r="K670">
        <f>IFERROR($J670/IF($A670&lt;COUNTIFS($K$1:K$1,"&lt;&gt;"),0,SUMIFS($J:$J,$B:$B,$B670,$A:$A,"&gt;="&amp;COUNTIFS($K$1:K$1,"&lt;&gt;"))),0)</f>
        <v>8.5959885386819493E-2</v>
      </c>
      <c r="L670">
        <f>IFERROR($J670/IF($A670&lt;COUNTIFS($K$1:L$1,"&lt;&gt;"),0,SUMIFS($J:$J,$B:$B,$B670,$A:$A,"&gt;="&amp;COUNTIFS($K$1:L$1,"&lt;&gt;"))),0)</f>
        <v>9.4339622641509441E-2</v>
      </c>
      <c r="M670">
        <f>IFERROR($J670/IF($A670&lt;COUNTIFS($K$1:M$1,"&lt;&gt;"),0,SUMIFS($J:$J,$B:$B,$B670,$A:$A,"&gt;="&amp;COUNTIFS($K$1:M$1,"&lt;&gt;"))),0)</f>
        <v>0.10416666666666669</v>
      </c>
      <c r="N670">
        <f>IFERROR($J670/IF($A670&lt;COUNTIFS($K$1:N$1,"&lt;&gt;"),0,SUMIFS($J:$J,$B:$B,$B670,$A:$A,"&gt;="&amp;COUNTIFS($K$1:N$1,"&lt;&gt;"))),0)</f>
        <v>0.11673151750972764</v>
      </c>
      <c r="O670">
        <f>IFERROR($J670/IF($A670&lt;COUNTIFS($K$1:O$1,"&lt;&gt;"),0,SUMIFS($J:$J,$B:$B,$B670,$A:$A,"&gt;="&amp;COUNTIFS($K$1:O$1,"&lt;&gt;"))),0)</f>
        <v>0.13274336283185842</v>
      </c>
      <c r="P670">
        <f>IFERROR($J670/IF($A670&lt;COUNTIFS($K$1:P$1,"&lt;&gt;"),0,SUMIFS($J:$J,$B:$B,$B670,$A:$A,"&gt;="&amp;COUNTIFS($K$1:P$1,"&lt;&gt;"))),0)</f>
        <v>0</v>
      </c>
      <c r="Q670">
        <f>IFERROR($J670/IF($A670&lt;COUNTIFS($K$1:Q$1,"&lt;&gt;"),0,SUMIFS($J:$J,$B:$B,$B670,$A:$A,"&gt;="&amp;COUNTIFS($K$1:Q$1,"&lt;&gt;"))),0)</f>
        <v>0</v>
      </c>
      <c r="R670">
        <f>IFERROR($J670/IF($A670&lt;COUNTIFS($K$1:R$1,"&lt;&gt;"),0,SUMIFS($J:$J,$B:$B,$B670,$A:$A,"&gt;="&amp;COUNTIFS($K$1:R$1,"&lt;&gt;"))),0)</f>
        <v>0</v>
      </c>
      <c r="S670">
        <f>IFERROR($J670/IF($A670&lt;COUNTIFS($K$1:S$1,"&lt;&gt;"),0,SUMIFS($J:$J,$B:$B,$B670,$A:$A,"&gt;="&amp;COUNTIFS($K$1:S$1,"&lt;&gt;"))),0)</f>
        <v>0</v>
      </c>
      <c r="T670">
        <f>IFERROR($J670/IF($A670&lt;COUNTIFS($K$1:T$1,"&lt;&gt;"),0,SUMIFS($J:$J,$B:$B,$B670,$A:$A,"&gt;="&amp;COUNTIFS($K$1:T$1,"&lt;&gt;"))),0)</f>
        <v>0</v>
      </c>
      <c r="U670">
        <f>IFERROR($J670/IF($A670&lt;COUNTIFS($K$1:U$1,"&lt;&gt;"),0,SUMIFS($J:$J,$B:$B,$B670,$A:$A,"&gt;="&amp;COUNTIFS($K$1:U$1,"&lt;&gt;"))),0)</f>
        <v>0</v>
      </c>
      <c r="V670">
        <f>IFERROR($J670/IF($A670&lt;COUNTIFS($K$1:V$1,"&lt;&gt;"),0,SUMIFS($J:$J,$B:$B,$B670,$A:$A,"&gt;="&amp;COUNTIFS($K$1:V$1,"&lt;&gt;"))),0)</f>
        <v>0</v>
      </c>
      <c r="W670">
        <f t="shared" si="244"/>
        <v>8.2191780821917804E-2</v>
      </c>
      <c r="X670">
        <f t="shared" si="224"/>
        <v>8.2191780821917804E-2</v>
      </c>
      <c r="Y670">
        <f t="shared" si="225"/>
        <v>8.2191780821917804E-2</v>
      </c>
      <c r="Z670">
        <f t="shared" si="226"/>
        <v>8.2191780821917804E-2</v>
      </c>
      <c r="AA670">
        <f t="shared" si="227"/>
        <v>8.2191780821917804E-2</v>
      </c>
      <c r="AB670">
        <f t="shared" si="228"/>
        <v>8.2191780821917804E-2</v>
      </c>
      <c r="AC670">
        <f t="shared" si="229"/>
        <v>0</v>
      </c>
      <c r="AD670">
        <f t="shared" si="230"/>
        <v>0</v>
      </c>
      <c r="AE670">
        <f t="shared" si="231"/>
        <v>0</v>
      </c>
      <c r="AF670">
        <f t="shared" si="232"/>
        <v>0</v>
      </c>
      <c r="AG670">
        <f t="shared" si="233"/>
        <v>0</v>
      </c>
      <c r="AH670">
        <f t="shared" si="234"/>
        <v>0</v>
      </c>
      <c r="AI670">
        <f t="shared" si="235"/>
        <v>0</v>
      </c>
      <c r="AJ670" s="2" t="str">
        <f t="shared" si="245"/>
        <v>545383</v>
      </c>
    </row>
    <row r="671" spans="1:36" x14ac:dyDescent="0.25">
      <c r="A671">
        <v>6</v>
      </c>
      <c r="B671" s="1">
        <v>45383</v>
      </c>
      <c r="C671" s="1">
        <f t="shared" si="236"/>
        <v>45566</v>
      </c>
      <c r="D671" s="1">
        <f t="shared" si="237"/>
        <v>45397</v>
      </c>
      <c r="E671" s="1">
        <f t="shared" si="238"/>
        <v>45566</v>
      </c>
      <c r="F671" s="1">
        <f t="shared" si="239"/>
        <v>45597</v>
      </c>
      <c r="G671" s="1">
        <f t="shared" si="240"/>
        <v>45762</v>
      </c>
      <c r="H671">
        <f t="shared" si="241"/>
        <v>365</v>
      </c>
      <c r="I671">
        <f t="shared" si="242"/>
        <v>31</v>
      </c>
      <c r="J671">
        <f t="shared" si="243"/>
        <v>8.4931506849315067E-2</v>
      </c>
      <c r="K671">
        <f>IFERROR($J671/IF($A671&lt;COUNTIFS($K$1:K$1,"&lt;&gt;"),0,SUMIFS($J:$J,$B:$B,$B671,$A:$A,"&gt;="&amp;COUNTIFS($K$1:K$1,"&lt;&gt;"))),0)</f>
        <v>8.8825214899713484E-2</v>
      </c>
      <c r="L671">
        <f>IFERROR($J671/IF($A671&lt;COUNTIFS($K$1:L$1,"&lt;&gt;"),0,SUMIFS($J:$J,$B:$B,$B671,$A:$A,"&gt;="&amp;COUNTIFS($K$1:L$1,"&lt;&gt;"))),0)</f>
        <v>9.7484276729559768E-2</v>
      </c>
      <c r="M671">
        <f>IFERROR($J671/IF($A671&lt;COUNTIFS($K$1:M$1,"&lt;&gt;"),0,SUMIFS($J:$J,$B:$B,$B671,$A:$A,"&gt;="&amp;COUNTIFS($K$1:M$1,"&lt;&gt;"))),0)</f>
        <v>0.10763888888888891</v>
      </c>
      <c r="N671">
        <f>IFERROR($J671/IF($A671&lt;COUNTIFS($K$1:N$1,"&lt;&gt;"),0,SUMIFS($J:$J,$B:$B,$B671,$A:$A,"&gt;="&amp;COUNTIFS($K$1:N$1,"&lt;&gt;"))),0)</f>
        <v>0.12062256809338523</v>
      </c>
      <c r="O671">
        <f>IFERROR($J671/IF($A671&lt;COUNTIFS($K$1:O$1,"&lt;&gt;"),0,SUMIFS($J:$J,$B:$B,$B671,$A:$A,"&gt;="&amp;COUNTIFS($K$1:O$1,"&lt;&gt;"))),0)</f>
        <v>0.13716814159292037</v>
      </c>
      <c r="P671">
        <f>IFERROR($J671/IF($A671&lt;COUNTIFS($K$1:P$1,"&lt;&gt;"),0,SUMIFS($J:$J,$B:$B,$B671,$A:$A,"&gt;="&amp;COUNTIFS($K$1:P$1,"&lt;&gt;"))),0)</f>
        <v>0.15816326530612249</v>
      </c>
      <c r="Q671">
        <f>IFERROR($J671/IF($A671&lt;COUNTIFS($K$1:Q$1,"&lt;&gt;"),0,SUMIFS($J:$J,$B:$B,$B671,$A:$A,"&gt;="&amp;COUNTIFS($K$1:Q$1,"&lt;&gt;"))),0)</f>
        <v>0</v>
      </c>
      <c r="R671">
        <f>IFERROR($J671/IF($A671&lt;COUNTIFS($K$1:R$1,"&lt;&gt;"),0,SUMIFS($J:$J,$B:$B,$B671,$A:$A,"&gt;="&amp;COUNTIFS($K$1:R$1,"&lt;&gt;"))),0)</f>
        <v>0</v>
      </c>
      <c r="S671">
        <f>IFERROR($J671/IF($A671&lt;COUNTIFS($K$1:S$1,"&lt;&gt;"),0,SUMIFS($J:$J,$B:$B,$B671,$A:$A,"&gt;="&amp;COUNTIFS($K$1:S$1,"&lt;&gt;"))),0)</f>
        <v>0</v>
      </c>
      <c r="T671">
        <f>IFERROR($J671/IF($A671&lt;COUNTIFS($K$1:T$1,"&lt;&gt;"),0,SUMIFS($J:$J,$B:$B,$B671,$A:$A,"&gt;="&amp;COUNTIFS($K$1:T$1,"&lt;&gt;"))),0)</f>
        <v>0</v>
      </c>
      <c r="U671">
        <f>IFERROR($J671/IF($A671&lt;COUNTIFS($K$1:U$1,"&lt;&gt;"),0,SUMIFS($J:$J,$B:$B,$B671,$A:$A,"&gt;="&amp;COUNTIFS($K$1:U$1,"&lt;&gt;"))),0)</f>
        <v>0</v>
      </c>
      <c r="V671">
        <f>IFERROR($J671/IF($A671&lt;COUNTIFS($K$1:V$1,"&lt;&gt;"),0,SUMIFS($J:$J,$B:$B,$B671,$A:$A,"&gt;="&amp;COUNTIFS($K$1:V$1,"&lt;&gt;"))),0)</f>
        <v>0</v>
      </c>
      <c r="W671">
        <f t="shared" si="244"/>
        <v>8.4931506849315067E-2</v>
      </c>
      <c r="X671">
        <f t="shared" si="224"/>
        <v>8.4931506849315067E-2</v>
      </c>
      <c r="Y671">
        <f t="shared" si="225"/>
        <v>8.4931506849315067E-2</v>
      </c>
      <c r="Z671">
        <f t="shared" si="226"/>
        <v>8.4931506849315067E-2</v>
      </c>
      <c r="AA671">
        <f t="shared" si="227"/>
        <v>8.4931506849315067E-2</v>
      </c>
      <c r="AB671">
        <f t="shared" si="228"/>
        <v>8.4931506849315067E-2</v>
      </c>
      <c r="AC671">
        <f t="shared" si="229"/>
        <v>8.4931506849315067E-2</v>
      </c>
      <c r="AD671">
        <f t="shared" si="230"/>
        <v>0</v>
      </c>
      <c r="AE671">
        <f t="shared" si="231"/>
        <v>0</v>
      </c>
      <c r="AF671">
        <f t="shared" si="232"/>
        <v>0</v>
      </c>
      <c r="AG671">
        <f t="shared" si="233"/>
        <v>0</v>
      </c>
      <c r="AH671">
        <f t="shared" si="234"/>
        <v>0</v>
      </c>
      <c r="AI671">
        <f t="shared" si="235"/>
        <v>0</v>
      </c>
      <c r="AJ671" s="2" t="str">
        <f t="shared" si="245"/>
        <v>645383</v>
      </c>
    </row>
    <row r="672" spans="1:36" x14ac:dyDescent="0.25">
      <c r="A672">
        <v>7</v>
      </c>
      <c r="B672" s="1">
        <v>45383</v>
      </c>
      <c r="C672" s="1">
        <f t="shared" si="236"/>
        <v>45597</v>
      </c>
      <c r="D672" s="1">
        <f t="shared" si="237"/>
        <v>45397</v>
      </c>
      <c r="E672" s="1">
        <f t="shared" si="238"/>
        <v>45597</v>
      </c>
      <c r="F672" s="1">
        <f t="shared" si="239"/>
        <v>45627</v>
      </c>
      <c r="G672" s="1">
        <f t="shared" si="240"/>
        <v>45762</v>
      </c>
      <c r="H672">
        <f t="shared" si="241"/>
        <v>365</v>
      </c>
      <c r="I672">
        <f t="shared" si="242"/>
        <v>30</v>
      </c>
      <c r="J672">
        <f t="shared" si="243"/>
        <v>8.2191780821917804E-2</v>
      </c>
      <c r="K672">
        <f>IFERROR($J672/IF($A672&lt;COUNTIFS($K$1:K$1,"&lt;&gt;"),0,SUMIFS($J:$J,$B:$B,$B672,$A:$A,"&gt;="&amp;COUNTIFS($K$1:K$1,"&lt;&gt;"))),0)</f>
        <v>8.5959885386819493E-2</v>
      </c>
      <c r="L672">
        <f>IFERROR($J672/IF($A672&lt;COUNTIFS($K$1:L$1,"&lt;&gt;"),0,SUMIFS($J:$J,$B:$B,$B672,$A:$A,"&gt;="&amp;COUNTIFS($K$1:L$1,"&lt;&gt;"))),0)</f>
        <v>9.4339622641509441E-2</v>
      </c>
      <c r="M672">
        <f>IFERROR($J672/IF($A672&lt;COUNTIFS($K$1:M$1,"&lt;&gt;"),0,SUMIFS($J:$J,$B:$B,$B672,$A:$A,"&gt;="&amp;COUNTIFS($K$1:M$1,"&lt;&gt;"))),0)</f>
        <v>0.10416666666666669</v>
      </c>
      <c r="N672">
        <f>IFERROR($J672/IF($A672&lt;COUNTIFS($K$1:N$1,"&lt;&gt;"),0,SUMIFS($J:$J,$B:$B,$B672,$A:$A,"&gt;="&amp;COUNTIFS($K$1:N$1,"&lt;&gt;"))),0)</f>
        <v>0.11673151750972764</v>
      </c>
      <c r="O672">
        <f>IFERROR($J672/IF($A672&lt;COUNTIFS($K$1:O$1,"&lt;&gt;"),0,SUMIFS($J:$J,$B:$B,$B672,$A:$A,"&gt;="&amp;COUNTIFS($K$1:O$1,"&lt;&gt;"))),0)</f>
        <v>0.13274336283185842</v>
      </c>
      <c r="P672">
        <f>IFERROR($J672/IF($A672&lt;COUNTIFS($K$1:P$1,"&lt;&gt;"),0,SUMIFS($J:$J,$B:$B,$B672,$A:$A,"&gt;="&amp;COUNTIFS($K$1:P$1,"&lt;&gt;"))),0)</f>
        <v>0.15306122448979595</v>
      </c>
      <c r="Q672">
        <f>IFERROR($J672/IF($A672&lt;COUNTIFS($K$1:Q$1,"&lt;&gt;"),0,SUMIFS($J:$J,$B:$B,$B672,$A:$A,"&gt;="&amp;COUNTIFS($K$1:Q$1,"&lt;&gt;"))),0)</f>
        <v>0.18181818181818182</v>
      </c>
      <c r="R672">
        <f>IFERROR($J672/IF($A672&lt;COUNTIFS($K$1:R$1,"&lt;&gt;"),0,SUMIFS($J:$J,$B:$B,$B672,$A:$A,"&gt;="&amp;COUNTIFS($K$1:R$1,"&lt;&gt;"))),0)</f>
        <v>0</v>
      </c>
      <c r="S672">
        <f>IFERROR($J672/IF($A672&lt;COUNTIFS($K$1:S$1,"&lt;&gt;"),0,SUMIFS($J:$J,$B:$B,$B672,$A:$A,"&gt;="&amp;COUNTIFS($K$1:S$1,"&lt;&gt;"))),0)</f>
        <v>0</v>
      </c>
      <c r="T672">
        <f>IFERROR($J672/IF($A672&lt;COUNTIFS($K$1:T$1,"&lt;&gt;"),0,SUMIFS($J:$J,$B:$B,$B672,$A:$A,"&gt;="&amp;COUNTIFS($K$1:T$1,"&lt;&gt;"))),0)</f>
        <v>0</v>
      </c>
      <c r="U672">
        <f>IFERROR($J672/IF($A672&lt;COUNTIFS($K$1:U$1,"&lt;&gt;"),0,SUMIFS($J:$J,$B:$B,$B672,$A:$A,"&gt;="&amp;COUNTIFS($K$1:U$1,"&lt;&gt;"))),0)</f>
        <v>0</v>
      </c>
      <c r="V672">
        <f>IFERROR($J672/IF($A672&lt;COUNTIFS($K$1:V$1,"&lt;&gt;"),0,SUMIFS($J:$J,$B:$B,$B672,$A:$A,"&gt;="&amp;COUNTIFS($K$1:V$1,"&lt;&gt;"))),0)</f>
        <v>0</v>
      </c>
      <c r="W672">
        <f t="shared" si="244"/>
        <v>8.2191780821917804E-2</v>
      </c>
      <c r="X672">
        <f t="shared" si="224"/>
        <v>8.2191780821917804E-2</v>
      </c>
      <c r="Y672">
        <f t="shared" si="225"/>
        <v>8.2191780821917804E-2</v>
      </c>
      <c r="Z672">
        <f t="shared" si="226"/>
        <v>8.2191780821917804E-2</v>
      </c>
      <c r="AA672">
        <f t="shared" si="227"/>
        <v>8.2191780821917804E-2</v>
      </c>
      <c r="AB672">
        <f t="shared" si="228"/>
        <v>8.2191780821917804E-2</v>
      </c>
      <c r="AC672">
        <f t="shared" si="229"/>
        <v>8.2191780821917804E-2</v>
      </c>
      <c r="AD672">
        <f t="shared" si="230"/>
        <v>8.2191780821917804E-2</v>
      </c>
      <c r="AE672">
        <f t="shared" si="231"/>
        <v>0</v>
      </c>
      <c r="AF672">
        <f t="shared" si="232"/>
        <v>0</v>
      </c>
      <c r="AG672">
        <f t="shared" si="233"/>
        <v>0</v>
      </c>
      <c r="AH672">
        <f t="shared" si="234"/>
        <v>0</v>
      </c>
      <c r="AI672">
        <f t="shared" si="235"/>
        <v>0</v>
      </c>
      <c r="AJ672" s="2" t="str">
        <f t="shared" si="245"/>
        <v>745383</v>
      </c>
    </row>
    <row r="673" spans="1:36" x14ac:dyDescent="0.25">
      <c r="A673">
        <v>8</v>
      </c>
      <c r="B673" s="1">
        <v>45383</v>
      </c>
      <c r="C673" s="1">
        <f t="shared" si="236"/>
        <v>45627</v>
      </c>
      <c r="D673" s="1">
        <f t="shared" si="237"/>
        <v>45397</v>
      </c>
      <c r="E673" s="1">
        <f t="shared" si="238"/>
        <v>45627</v>
      </c>
      <c r="F673" s="1">
        <f t="shared" si="239"/>
        <v>45658</v>
      </c>
      <c r="G673" s="1">
        <f t="shared" si="240"/>
        <v>45762</v>
      </c>
      <c r="H673">
        <f t="shared" si="241"/>
        <v>365</v>
      </c>
      <c r="I673">
        <f t="shared" si="242"/>
        <v>31</v>
      </c>
      <c r="J673">
        <f t="shared" si="243"/>
        <v>8.4931506849315067E-2</v>
      </c>
      <c r="K673">
        <f>IFERROR($J673/IF($A673&lt;COUNTIFS($K$1:K$1,"&lt;&gt;"),0,SUMIFS($J:$J,$B:$B,$B673,$A:$A,"&gt;="&amp;COUNTIFS($K$1:K$1,"&lt;&gt;"))),0)</f>
        <v>8.8825214899713484E-2</v>
      </c>
      <c r="L673">
        <f>IFERROR($J673/IF($A673&lt;COUNTIFS($K$1:L$1,"&lt;&gt;"),0,SUMIFS($J:$J,$B:$B,$B673,$A:$A,"&gt;="&amp;COUNTIFS($K$1:L$1,"&lt;&gt;"))),0)</f>
        <v>9.7484276729559768E-2</v>
      </c>
      <c r="M673">
        <f>IFERROR($J673/IF($A673&lt;COUNTIFS($K$1:M$1,"&lt;&gt;"),0,SUMIFS($J:$J,$B:$B,$B673,$A:$A,"&gt;="&amp;COUNTIFS($K$1:M$1,"&lt;&gt;"))),0)</f>
        <v>0.10763888888888891</v>
      </c>
      <c r="N673">
        <f>IFERROR($J673/IF($A673&lt;COUNTIFS($K$1:N$1,"&lt;&gt;"),0,SUMIFS($J:$J,$B:$B,$B673,$A:$A,"&gt;="&amp;COUNTIFS($K$1:N$1,"&lt;&gt;"))),0)</f>
        <v>0.12062256809338523</v>
      </c>
      <c r="O673">
        <f>IFERROR($J673/IF($A673&lt;COUNTIFS($K$1:O$1,"&lt;&gt;"),0,SUMIFS($J:$J,$B:$B,$B673,$A:$A,"&gt;="&amp;COUNTIFS($K$1:O$1,"&lt;&gt;"))),0)</f>
        <v>0.13716814159292037</v>
      </c>
      <c r="P673">
        <f>IFERROR($J673/IF($A673&lt;COUNTIFS($K$1:P$1,"&lt;&gt;"),0,SUMIFS($J:$J,$B:$B,$B673,$A:$A,"&gt;="&amp;COUNTIFS($K$1:P$1,"&lt;&gt;"))),0)</f>
        <v>0.15816326530612249</v>
      </c>
      <c r="Q673">
        <f>IFERROR($J673/IF($A673&lt;COUNTIFS($K$1:Q$1,"&lt;&gt;"),0,SUMIFS($J:$J,$B:$B,$B673,$A:$A,"&gt;="&amp;COUNTIFS($K$1:Q$1,"&lt;&gt;"))),0)</f>
        <v>0.1878787878787879</v>
      </c>
      <c r="R673">
        <f>IFERROR($J673/IF($A673&lt;COUNTIFS($K$1:R$1,"&lt;&gt;"),0,SUMIFS($J:$J,$B:$B,$B673,$A:$A,"&gt;="&amp;COUNTIFS($K$1:R$1,"&lt;&gt;"))),0)</f>
        <v>0.22962962962962963</v>
      </c>
      <c r="S673">
        <f>IFERROR($J673/IF($A673&lt;COUNTIFS($K$1:S$1,"&lt;&gt;"),0,SUMIFS($J:$J,$B:$B,$B673,$A:$A,"&gt;="&amp;COUNTIFS($K$1:S$1,"&lt;&gt;"))),0)</f>
        <v>0</v>
      </c>
      <c r="T673">
        <f>IFERROR($J673/IF($A673&lt;COUNTIFS($K$1:T$1,"&lt;&gt;"),0,SUMIFS($J:$J,$B:$B,$B673,$A:$A,"&gt;="&amp;COUNTIFS($K$1:T$1,"&lt;&gt;"))),0)</f>
        <v>0</v>
      </c>
      <c r="U673">
        <f>IFERROR($J673/IF($A673&lt;COUNTIFS($K$1:U$1,"&lt;&gt;"),0,SUMIFS($J:$J,$B:$B,$B673,$A:$A,"&gt;="&amp;COUNTIFS($K$1:U$1,"&lt;&gt;"))),0)</f>
        <v>0</v>
      </c>
      <c r="V673">
        <f>IFERROR($J673/IF($A673&lt;COUNTIFS($K$1:V$1,"&lt;&gt;"),0,SUMIFS($J:$J,$B:$B,$B673,$A:$A,"&gt;="&amp;COUNTIFS($K$1:V$1,"&lt;&gt;"))),0)</f>
        <v>0</v>
      </c>
      <c r="W673">
        <f t="shared" si="244"/>
        <v>8.4931506849315067E-2</v>
      </c>
      <c r="X673">
        <f t="shared" si="224"/>
        <v>8.4931506849315067E-2</v>
      </c>
      <c r="Y673">
        <f t="shared" si="225"/>
        <v>8.4931506849315067E-2</v>
      </c>
      <c r="Z673">
        <f t="shared" si="226"/>
        <v>8.4931506849315067E-2</v>
      </c>
      <c r="AA673">
        <f t="shared" si="227"/>
        <v>8.4931506849315067E-2</v>
      </c>
      <c r="AB673">
        <f t="shared" si="228"/>
        <v>8.4931506849315067E-2</v>
      </c>
      <c r="AC673">
        <f t="shared" si="229"/>
        <v>8.4931506849315067E-2</v>
      </c>
      <c r="AD673">
        <f t="shared" si="230"/>
        <v>8.4931506849315067E-2</v>
      </c>
      <c r="AE673">
        <f t="shared" si="231"/>
        <v>8.4931506849315067E-2</v>
      </c>
      <c r="AF673">
        <f t="shared" si="232"/>
        <v>0</v>
      </c>
      <c r="AG673">
        <f t="shared" si="233"/>
        <v>0</v>
      </c>
      <c r="AH673">
        <f t="shared" si="234"/>
        <v>0</v>
      </c>
      <c r="AI673">
        <f t="shared" si="235"/>
        <v>0</v>
      </c>
      <c r="AJ673" s="2" t="str">
        <f t="shared" si="245"/>
        <v>845383</v>
      </c>
    </row>
    <row r="674" spans="1:36" x14ac:dyDescent="0.25">
      <c r="A674">
        <v>9</v>
      </c>
      <c r="B674" s="1">
        <v>45383</v>
      </c>
      <c r="C674" s="1">
        <f t="shared" si="236"/>
        <v>45658</v>
      </c>
      <c r="D674" s="1">
        <f t="shared" si="237"/>
        <v>45397</v>
      </c>
      <c r="E674" s="1">
        <f t="shared" si="238"/>
        <v>45658</v>
      </c>
      <c r="F674" s="1">
        <f t="shared" si="239"/>
        <v>45689</v>
      </c>
      <c r="G674" s="1">
        <f t="shared" si="240"/>
        <v>45762</v>
      </c>
      <c r="H674">
        <f t="shared" si="241"/>
        <v>365</v>
      </c>
      <c r="I674">
        <f t="shared" si="242"/>
        <v>31</v>
      </c>
      <c r="J674">
        <f t="shared" si="243"/>
        <v>8.4931506849315067E-2</v>
      </c>
      <c r="K674">
        <f>IFERROR($J674/IF($A674&lt;COUNTIFS($K$1:K$1,"&lt;&gt;"),0,SUMIFS($J:$J,$B:$B,$B674,$A:$A,"&gt;="&amp;COUNTIFS($K$1:K$1,"&lt;&gt;"))),0)</f>
        <v>8.8825214899713484E-2</v>
      </c>
      <c r="L674">
        <f>IFERROR($J674/IF($A674&lt;COUNTIFS($K$1:L$1,"&lt;&gt;"),0,SUMIFS($J:$J,$B:$B,$B674,$A:$A,"&gt;="&amp;COUNTIFS($K$1:L$1,"&lt;&gt;"))),0)</f>
        <v>9.7484276729559768E-2</v>
      </c>
      <c r="M674">
        <f>IFERROR($J674/IF($A674&lt;COUNTIFS($K$1:M$1,"&lt;&gt;"),0,SUMIFS($J:$J,$B:$B,$B674,$A:$A,"&gt;="&amp;COUNTIFS($K$1:M$1,"&lt;&gt;"))),0)</f>
        <v>0.10763888888888891</v>
      </c>
      <c r="N674">
        <f>IFERROR($J674/IF($A674&lt;COUNTIFS($K$1:N$1,"&lt;&gt;"),0,SUMIFS($J:$J,$B:$B,$B674,$A:$A,"&gt;="&amp;COUNTIFS($K$1:N$1,"&lt;&gt;"))),0)</f>
        <v>0.12062256809338523</v>
      </c>
      <c r="O674">
        <f>IFERROR($J674/IF($A674&lt;COUNTIFS($K$1:O$1,"&lt;&gt;"),0,SUMIFS($J:$J,$B:$B,$B674,$A:$A,"&gt;="&amp;COUNTIFS($K$1:O$1,"&lt;&gt;"))),0)</f>
        <v>0.13716814159292037</v>
      </c>
      <c r="P674">
        <f>IFERROR($J674/IF($A674&lt;COUNTIFS($K$1:P$1,"&lt;&gt;"),0,SUMIFS($J:$J,$B:$B,$B674,$A:$A,"&gt;="&amp;COUNTIFS($K$1:P$1,"&lt;&gt;"))),0)</f>
        <v>0.15816326530612249</v>
      </c>
      <c r="Q674">
        <f>IFERROR($J674/IF($A674&lt;COUNTIFS($K$1:Q$1,"&lt;&gt;"),0,SUMIFS($J:$J,$B:$B,$B674,$A:$A,"&gt;="&amp;COUNTIFS($K$1:Q$1,"&lt;&gt;"))),0)</f>
        <v>0.1878787878787879</v>
      </c>
      <c r="R674">
        <f>IFERROR($J674/IF($A674&lt;COUNTIFS($K$1:R$1,"&lt;&gt;"),0,SUMIFS($J:$J,$B:$B,$B674,$A:$A,"&gt;="&amp;COUNTIFS($K$1:R$1,"&lt;&gt;"))),0)</f>
        <v>0.22962962962962963</v>
      </c>
      <c r="S674">
        <f>IFERROR($J674/IF($A674&lt;COUNTIFS($K$1:S$1,"&lt;&gt;"),0,SUMIFS($J:$J,$B:$B,$B674,$A:$A,"&gt;="&amp;COUNTIFS($K$1:S$1,"&lt;&gt;"))),0)</f>
        <v>0.29807692307692307</v>
      </c>
      <c r="T674">
        <f>IFERROR($J674/IF($A674&lt;COUNTIFS($K$1:T$1,"&lt;&gt;"),0,SUMIFS($J:$J,$B:$B,$B674,$A:$A,"&gt;="&amp;COUNTIFS($K$1:T$1,"&lt;&gt;"))),0)</f>
        <v>0</v>
      </c>
      <c r="U674">
        <f>IFERROR($J674/IF($A674&lt;COUNTIFS($K$1:U$1,"&lt;&gt;"),0,SUMIFS($J:$J,$B:$B,$B674,$A:$A,"&gt;="&amp;COUNTIFS($K$1:U$1,"&lt;&gt;"))),0)</f>
        <v>0</v>
      </c>
      <c r="V674">
        <f>IFERROR($J674/IF($A674&lt;COUNTIFS($K$1:V$1,"&lt;&gt;"),0,SUMIFS($J:$J,$B:$B,$B674,$A:$A,"&gt;="&amp;COUNTIFS($K$1:V$1,"&lt;&gt;"))),0)</f>
        <v>0</v>
      </c>
      <c r="W674">
        <f t="shared" si="244"/>
        <v>8.4931506849315067E-2</v>
      </c>
      <c r="X674">
        <f t="shared" si="224"/>
        <v>8.4931506849315067E-2</v>
      </c>
      <c r="Y674">
        <f t="shared" si="225"/>
        <v>8.4931506849315067E-2</v>
      </c>
      <c r="Z674">
        <f t="shared" si="226"/>
        <v>8.4931506849315067E-2</v>
      </c>
      <c r="AA674">
        <f t="shared" si="227"/>
        <v>8.4931506849315067E-2</v>
      </c>
      <c r="AB674">
        <f t="shared" si="228"/>
        <v>8.4931506849315067E-2</v>
      </c>
      <c r="AC674">
        <f t="shared" si="229"/>
        <v>8.4931506849315067E-2</v>
      </c>
      <c r="AD674">
        <f t="shared" si="230"/>
        <v>8.4931506849315067E-2</v>
      </c>
      <c r="AE674">
        <f t="shared" si="231"/>
        <v>8.4931506849315067E-2</v>
      </c>
      <c r="AF674">
        <f t="shared" si="232"/>
        <v>8.4931506849315067E-2</v>
      </c>
      <c r="AG674">
        <f t="shared" si="233"/>
        <v>0</v>
      </c>
      <c r="AH674">
        <f t="shared" si="234"/>
        <v>0</v>
      </c>
      <c r="AI674">
        <f t="shared" si="235"/>
        <v>0</v>
      </c>
      <c r="AJ674" s="2" t="str">
        <f t="shared" si="245"/>
        <v>945383</v>
      </c>
    </row>
    <row r="675" spans="1:36" x14ac:dyDescent="0.25">
      <c r="A675">
        <v>10</v>
      </c>
      <c r="B675" s="1">
        <v>45383</v>
      </c>
      <c r="C675" s="1">
        <f t="shared" si="236"/>
        <v>45689</v>
      </c>
      <c r="D675" s="1">
        <f t="shared" si="237"/>
        <v>45397</v>
      </c>
      <c r="E675" s="1">
        <f t="shared" si="238"/>
        <v>45689</v>
      </c>
      <c r="F675" s="1">
        <f t="shared" si="239"/>
        <v>45717</v>
      </c>
      <c r="G675" s="1">
        <f t="shared" si="240"/>
        <v>45762</v>
      </c>
      <c r="H675">
        <f t="shared" si="241"/>
        <v>365</v>
      </c>
      <c r="I675">
        <f t="shared" si="242"/>
        <v>28</v>
      </c>
      <c r="J675">
        <f t="shared" si="243"/>
        <v>7.6712328767123292E-2</v>
      </c>
      <c r="K675">
        <f>IFERROR($J675/IF($A675&lt;COUNTIFS($K$1:K$1,"&lt;&gt;"),0,SUMIFS($J:$J,$B:$B,$B675,$A:$A,"&gt;="&amp;COUNTIFS($K$1:K$1,"&lt;&gt;"))),0)</f>
        <v>8.0229226361031539E-2</v>
      </c>
      <c r="L675">
        <f>IFERROR($J675/IF($A675&lt;COUNTIFS($K$1:L$1,"&lt;&gt;"),0,SUMIFS($J:$J,$B:$B,$B675,$A:$A,"&gt;="&amp;COUNTIFS($K$1:L$1,"&lt;&gt;"))),0)</f>
        <v>8.8050314465408827E-2</v>
      </c>
      <c r="M675">
        <f>IFERROR($J675/IF($A675&lt;COUNTIFS($K$1:M$1,"&lt;&gt;"),0,SUMIFS($J:$J,$B:$B,$B675,$A:$A,"&gt;="&amp;COUNTIFS($K$1:M$1,"&lt;&gt;"))),0)</f>
        <v>9.7222222222222238E-2</v>
      </c>
      <c r="N675">
        <f>IFERROR($J675/IF($A675&lt;COUNTIFS($K$1:N$1,"&lt;&gt;"),0,SUMIFS($J:$J,$B:$B,$B675,$A:$A,"&gt;="&amp;COUNTIFS($K$1:N$1,"&lt;&gt;"))),0)</f>
        <v>0.10894941634241248</v>
      </c>
      <c r="O675">
        <f>IFERROR($J675/IF($A675&lt;COUNTIFS($K$1:O$1,"&lt;&gt;"),0,SUMIFS($J:$J,$B:$B,$B675,$A:$A,"&gt;="&amp;COUNTIFS($K$1:O$1,"&lt;&gt;"))),0)</f>
        <v>0.12389380530973454</v>
      </c>
      <c r="P675">
        <f>IFERROR($J675/IF($A675&lt;COUNTIFS($K$1:P$1,"&lt;&gt;"),0,SUMIFS($J:$J,$B:$B,$B675,$A:$A,"&gt;="&amp;COUNTIFS($K$1:P$1,"&lt;&gt;"))),0)</f>
        <v>0.14285714285714288</v>
      </c>
      <c r="Q675">
        <f>IFERROR($J675/IF($A675&lt;COUNTIFS($K$1:Q$1,"&lt;&gt;"),0,SUMIFS($J:$J,$B:$B,$B675,$A:$A,"&gt;="&amp;COUNTIFS($K$1:Q$1,"&lt;&gt;"))),0)</f>
        <v>0.16969696969696971</v>
      </c>
      <c r="R675">
        <f>IFERROR($J675/IF($A675&lt;COUNTIFS($K$1:R$1,"&lt;&gt;"),0,SUMIFS($J:$J,$B:$B,$B675,$A:$A,"&gt;="&amp;COUNTIFS($K$1:R$1,"&lt;&gt;"))),0)</f>
        <v>0.20740740740740743</v>
      </c>
      <c r="S675">
        <f>IFERROR($J675/IF($A675&lt;COUNTIFS($K$1:S$1,"&lt;&gt;"),0,SUMIFS($J:$J,$B:$B,$B675,$A:$A,"&gt;="&amp;COUNTIFS($K$1:S$1,"&lt;&gt;"))),0)</f>
        <v>0.26923076923076927</v>
      </c>
      <c r="T675">
        <f>IFERROR($J675/IF($A675&lt;COUNTIFS($K$1:T$1,"&lt;&gt;"),0,SUMIFS($J:$J,$B:$B,$B675,$A:$A,"&gt;="&amp;COUNTIFS($K$1:T$1,"&lt;&gt;"))),0)</f>
        <v>0.38356164383561642</v>
      </c>
      <c r="U675">
        <f>IFERROR($J675/IF($A675&lt;COUNTIFS($K$1:U$1,"&lt;&gt;"),0,SUMIFS($J:$J,$B:$B,$B675,$A:$A,"&gt;="&amp;COUNTIFS($K$1:U$1,"&lt;&gt;"))),0)</f>
        <v>0</v>
      </c>
      <c r="V675">
        <f>IFERROR($J675/IF($A675&lt;COUNTIFS($K$1:V$1,"&lt;&gt;"),0,SUMIFS($J:$J,$B:$B,$B675,$A:$A,"&gt;="&amp;COUNTIFS($K$1:V$1,"&lt;&gt;"))),0)</f>
        <v>0</v>
      </c>
      <c r="W675">
        <f t="shared" si="244"/>
        <v>7.6712328767123292E-2</v>
      </c>
      <c r="X675">
        <f t="shared" si="224"/>
        <v>7.6712328767123292E-2</v>
      </c>
      <c r="Y675">
        <f t="shared" si="225"/>
        <v>7.6712328767123292E-2</v>
      </c>
      <c r="Z675">
        <f t="shared" si="226"/>
        <v>7.6712328767123292E-2</v>
      </c>
      <c r="AA675">
        <f t="shared" si="227"/>
        <v>7.6712328767123292E-2</v>
      </c>
      <c r="AB675">
        <f t="shared" si="228"/>
        <v>7.6712328767123292E-2</v>
      </c>
      <c r="AC675">
        <f t="shared" si="229"/>
        <v>7.6712328767123292E-2</v>
      </c>
      <c r="AD675">
        <f t="shared" si="230"/>
        <v>7.6712328767123292E-2</v>
      </c>
      <c r="AE675">
        <f t="shared" si="231"/>
        <v>7.6712328767123292E-2</v>
      </c>
      <c r="AF675">
        <f t="shared" si="232"/>
        <v>7.6712328767123292E-2</v>
      </c>
      <c r="AG675">
        <f t="shared" si="233"/>
        <v>7.6712328767123292E-2</v>
      </c>
      <c r="AH675">
        <f t="shared" si="234"/>
        <v>0</v>
      </c>
      <c r="AI675">
        <f t="shared" si="235"/>
        <v>0</v>
      </c>
      <c r="AJ675" s="2" t="str">
        <f t="shared" si="245"/>
        <v>1045383</v>
      </c>
    </row>
    <row r="676" spans="1:36" x14ac:dyDescent="0.25">
      <c r="A676">
        <v>11</v>
      </c>
      <c r="B676" s="1">
        <v>45383</v>
      </c>
      <c r="C676" s="1">
        <f t="shared" si="236"/>
        <v>45717</v>
      </c>
      <c r="D676" s="1">
        <f t="shared" si="237"/>
        <v>45397</v>
      </c>
      <c r="E676" s="1">
        <f t="shared" si="238"/>
        <v>45717</v>
      </c>
      <c r="F676" s="1">
        <f t="shared" si="239"/>
        <v>45748</v>
      </c>
      <c r="G676" s="1">
        <f t="shared" si="240"/>
        <v>45762</v>
      </c>
      <c r="H676">
        <f t="shared" si="241"/>
        <v>365</v>
      </c>
      <c r="I676">
        <f t="shared" si="242"/>
        <v>31</v>
      </c>
      <c r="J676">
        <f t="shared" si="243"/>
        <v>8.4931506849315067E-2</v>
      </c>
      <c r="K676">
        <f>IFERROR($J676/IF($A676&lt;COUNTIFS($K$1:K$1,"&lt;&gt;"),0,SUMIFS($J:$J,$B:$B,$B676,$A:$A,"&gt;="&amp;COUNTIFS($K$1:K$1,"&lt;&gt;"))),0)</f>
        <v>8.8825214899713484E-2</v>
      </c>
      <c r="L676">
        <f>IFERROR($J676/IF($A676&lt;COUNTIFS($K$1:L$1,"&lt;&gt;"),0,SUMIFS($J:$J,$B:$B,$B676,$A:$A,"&gt;="&amp;COUNTIFS($K$1:L$1,"&lt;&gt;"))),0)</f>
        <v>9.7484276729559768E-2</v>
      </c>
      <c r="M676">
        <f>IFERROR($J676/IF($A676&lt;COUNTIFS($K$1:M$1,"&lt;&gt;"),0,SUMIFS($J:$J,$B:$B,$B676,$A:$A,"&gt;="&amp;COUNTIFS($K$1:M$1,"&lt;&gt;"))),0)</f>
        <v>0.10763888888888891</v>
      </c>
      <c r="N676">
        <f>IFERROR($J676/IF($A676&lt;COUNTIFS($K$1:N$1,"&lt;&gt;"),0,SUMIFS($J:$J,$B:$B,$B676,$A:$A,"&gt;="&amp;COUNTIFS($K$1:N$1,"&lt;&gt;"))),0)</f>
        <v>0.12062256809338523</v>
      </c>
      <c r="O676">
        <f>IFERROR($J676/IF($A676&lt;COUNTIFS($K$1:O$1,"&lt;&gt;"),0,SUMIFS($J:$J,$B:$B,$B676,$A:$A,"&gt;="&amp;COUNTIFS($K$1:O$1,"&lt;&gt;"))),0)</f>
        <v>0.13716814159292037</v>
      </c>
      <c r="P676">
        <f>IFERROR($J676/IF($A676&lt;COUNTIFS($K$1:P$1,"&lt;&gt;"),0,SUMIFS($J:$J,$B:$B,$B676,$A:$A,"&gt;="&amp;COUNTIFS($K$1:P$1,"&lt;&gt;"))),0)</f>
        <v>0.15816326530612249</v>
      </c>
      <c r="Q676">
        <f>IFERROR($J676/IF($A676&lt;COUNTIFS($K$1:Q$1,"&lt;&gt;"),0,SUMIFS($J:$J,$B:$B,$B676,$A:$A,"&gt;="&amp;COUNTIFS($K$1:Q$1,"&lt;&gt;"))),0)</f>
        <v>0.1878787878787879</v>
      </c>
      <c r="R676">
        <f>IFERROR($J676/IF($A676&lt;COUNTIFS($K$1:R$1,"&lt;&gt;"),0,SUMIFS($J:$J,$B:$B,$B676,$A:$A,"&gt;="&amp;COUNTIFS($K$1:R$1,"&lt;&gt;"))),0)</f>
        <v>0.22962962962962963</v>
      </c>
      <c r="S676">
        <f>IFERROR($J676/IF($A676&lt;COUNTIFS($K$1:S$1,"&lt;&gt;"),0,SUMIFS($J:$J,$B:$B,$B676,$A:$A,"&gt;="&amp;COUNTIFS($K$1:S$1,"&lt;&gt;"))),0)</f>
        <v>0.29807692307692307</v>
      </c>
      <c r="T676">
        <f>IFERROR($J676/IF($A676&lt;COUNTIFS($K$1:T$1,"&lt;&gt;"),0,SUMIFS($J:$J,$B:$B,$B676,$A:$A,"&gt;="&amp;COUNTIFS($K$1:T$1,"&lt;&gt;"))),0)</f>
        <v>0.42465753424657532</v>
      </c>
      <c r="U676">
        <f>IFERROR($J676/IF($A676&lt;COUNTIFS($K$1:U$1,"&lt;&gt;"),0,SUMIFS($J:$J,$B:$B,$B676,$A:$A,"&gt;="&amp;COUNTIFS($K$1:U$1,"&lt;&gt;"))),0)</f>
        <v>0.68888888888888888</v>
      </c>
      <c r="V676">
        <f>IFERROR($J676/IF($A676&lt;COUNTIFS($K$1:V$1,"&lt;&gt;"),0,SUMIFS($J:$J,$B:$B,$B676,$A:$A,"&gt;="&amp;COUNTIFS($K$1:V$1,"&lt;&gt;"))),0)</f>
        <v>0</v>
      </c>
      <c r="W676">
        <f t="shared" si="244"/>
        <v>8.4931506849315067E-2</v>
      </c>
      <c r="X676">
        <f t="shared" si="224"/>
        <v>8.4931506849315067E-2</v>
      </c>
      <c r="Y676">
        <f t="shared" si="225"/>
        <v>8.4931506849315067E-2</v>
      </c>
      <c r="Z676">
        <f t="shared" si="226"/>
        <v>8.4931506849315067E-2</v>
      </c>
      <c r="AA676">
        <f t="shared" si="227"/>
        <v>8.4931506849315067E-2</v>
      </c>
      <c r="AB676">
        <f t="shared" si="228"/>
        <v>8.4931506849315067E-2</v>
      </c>
      <c r="AC676">
        <f t="shared" si="229"/>
        <v>8.4931506849315067E-2</v>
      </c>
      <c r="AD676">
        <f t="shared" si="230"/>
        <v>8.4931506849315067E-2</v>
      </c>
      <c r="AE676">
        <f t="shared" si="231"/>
        <v>8.4931506849315067E-2</v>
      </c>
      <c r="AF676">
        <f t="shared" si="232"/>
        <v>8.4931506849315067E-2</v>
      </c>
      <c r="AG676">
        <f t="shared" si="233"/>
        <v>8.4931506849315067E-2</v>
      </c>
      <c r="AH676">
        <f t="shared" si="234"/>
        <v>8.4931506849315067E-2</v>
      </c>
      <c r="AI676">
        <f t="shared" si="235"/>
        <v>0</v>
      </c>
      <c r="AJ676" s="2" t="str">
        <f t="shared" si="245"/>
        <v>1145383</v>
      </c>
    </row>
    <row r="677" spans="1:36" x14ac:dyDescent="0.25">
      <c r="A677">
        <v>12</v>
      </c>
      <c r="B677" s="1">
        <v>45383</v>
      </c>
      <c r="C677" s="1">
        <f t="shared" si="236"/>
        <v>45748</v>
      </c>
      <c r="D677" s="1">
        <f t="shared" si="237"/>
        <v>45397</v>
      </c>
      <c r="E677" s="1">
        <f t="shared" si="238"/>
        <v>45748</v>
      </c>
      <c r="F677" s="1">
        <f t="shared" si="239"/>
        <v>45762</v>
      </c>
      <c r="G677" s="1">
        <f t="shared" si="240"/>
        <v>45762</v>
      </c>
      <c r="H677">
        <f t="shared" si="241"/>
        <v>365</v>
      </c>
      <c r="I677">
        <f t="shared" si="242"/>
        <v>14</v>
      </c>
      <c r="J677">
        <f t="shared" si="243"/>
        <v>3.8356164383561646E-2</v>
      </c>
      <c r="K677">
        <f>IFERROR($J677/IF($A677&lt;COUNTIFS($K$1:K$1,"&lt;&gt;"),0,SUMIFS($J:$J,$B:$B,$B677,$A:$A,"&gt;="&amp;COUNTIFS($K$1:K$1,"&lt;&gt;"))),0)</f>
        <v>4.0114613180515769E-2</v>
      </c>
      <c r="L677">
        <f>IFERROR($J677/IF($A677&lt;COUNTIFS($K$1:L$1,"&lt;&gt;"),0,SUMIFS($J:$J,$B:$B,$B677,$A:$A,"&gt;="&amp;COUNTIFS($K$1:L$1,"&lt;&gt;"))),0)</f>
        <v>4.4025157232704414E-2</v>
      </c>
      <c r="M677">
        <f>IFERROR($J677/IF($A677&lt;COUNTIFS($K$1:M$1,"&lt;&gt;"),0,SUMIFS($J:$J,$B:$B,$B677,$A:$A,"&gt;="&amp;COUNTIFS($K$1:M$1,"&lt;&gt;"))),0)</f>
        <v>4.8611111111111119E-2</v>
      </c>
      <c r="N677">
        <f>IFERROR($J677/IF($A677&lt;COUNTIFS($K$1:N$1,"&lt;&gt;"),0,SUMIFS($J:$J,$B:$B,$B677,$A:$A,"&gt;="&amp;COUNTIFS($K$1:N$1,"&lt;&gt;"))),0)</f>
        <v>5.447470817120624E-2</v>
      </c>
      <c r="O677">
        <f>IFERROR($J677/IF($A677&lt;COUNTIFS($K$1:O$1,"&lt;&gt;"),0,SUMIFS($J:$J,$B:$B,$B677,$A:$A,"&gt;="&amp;COUNTIFS($K$1:O$1,"&lt;&gt;"))),0)</f>
        <v>6.194690265486727E-2</v>
      </c>
      <c r="P677">
        <f>IFERROR($J677/IF($A677&lt;COUNTIFS($K$1:P$1,"&lt;&gt;"),0,SUMIFS($J:$J,$B:$B,$B677,$A:$A,"&gt;="&amp;COUNTIFS($K$1:P$1,"&lt;&gt;"))),0)</f>
        <v>7.1428571428571438E-2</v>
      </c>
      <c r="Q677">
        <f>IFERROR($J677/IF($A677&lt;COUNTIFS($K$1:Q$1,"&lt;&gt;"),0,SUMIFS($J:$J,$B:$B,$B677,$A:$A,"&gt;="&amp;COUNTIFS($K$1:Q$1,"&lt;&gt;"))),0)</f>
        <v>8.4848484848484854E-2</v>
      </c>
      <c r="R677">
        <f>IFERROR($J677/IF($A677&lt;COUNTIFS($K$1:R$1,"&lt;&gt;"),0,SUMIFS($J:$J,$B:$B,$B677,$A:$A,"&gt;="&amp;COUNTIFS($K$1:R$1,"&lt;&gt;"))),0)</f>
        <v>0.10370370370370371</v>
      </c>
      <c r="S677">
        <f>IFERROR($J677/IF($A677&lt;COUNTIFS($K$1:S$1,"&lt;&gt;"),0,SUMIFS($J:$J,$B:$B,$B677,$A:$A,"&gt;="&amp;COUNTIFS($K$1:S$1,"&lt;&gt;"))),0)</f>
        <v>0.13461538461538464</v>
      </c>
      <c r="T677">
        <f>IFERROR($J677/IF($A677&lt;COUNTIFS($K$1:T$1,"&lt;&gt;"),0,SUMIFS($J:$J,$B:$B,$B677,$A:$A,"&gt;="&amp;COUNTIFS($K$1:T$1,"&lt;&gt;"))),0)</f>
        <v>0.19178082191780821</v>
      </c>
      <c r="U677">
        <f>IFERROR($J677/IF($A677&lt;COUNTIFS($K$1:U$1,"&lt;&gt;"),0,SUMIFS($J:$J,$B:$B,$B677,$A:$A,"&gt;="&amp;COUNTIFS($K$1:U$1,"&lt;&gt;"))),0)</f>
        <v>0.31111111111111117</v>
      </c>
      <c r="V677">
        <f>IFERROR($J677/IF($A677&lt;COUNTIFS($K$1:V$1,"&lt;&gt;"),0,SUMIFS($J:$J,$B:$B,$B677,$A:$A,"&gt;="&amp;COUNTIFS($K$1:V$1,"&lt;&gt;"))),0)</f>
        <v>1</v>
      </c>
      <c r="W677">
        <f t="shared" si="244"/>
        <v>3.8356164383561646E-2</v>
      </c>
      <c r="X677">
        <f t="shared" si="224"/>
        <v>3.8356164383561646E-2</v>
      </c>
      <c r="Y677">
        <f t="shared" si="225"/>
        <v>3.8356164383561646E-2</v>
      </c>
      <c r="Z677">
        <f t="shared" si="226"/>
        <v>3.8356164383561646E-2</v>
      </c>
      <c r="AA677">
        <f t="shared" si="227"/>
        <v>3.8356164383561646E-2</v>
      </c>
      <c r="AB677">
        <f t="shared" si="228"/>
        <v>3.8356164383561646E-2</v>
      </c>
      <c r="AC677">
        <f t="shared" si="229"/>
        <v>3.8356164383561646E-2</v>
      </c>
      <c r="AD677">
        <f t="shared" si="230"/>
        <v>3.8356164383561646E-2</v>
      </c>
      <c r="AE677">
        <f t="shared" si="231"/>
        <v>3.8356164383561646E-2</v>
      </c>
      <c r="AF677">
        <f t="shared" si="232"/>
        <v>3.8356164383561646E-2</v>
      </c>
      <c r="AG677">
        <f t="shared" si="233"/>
        <v>3.8356164383561646E-2</v>
      </c>
      <c r="AH677">
        <f t="shared" si="234"/>
        <v>3.8356164383561646E-2</v>
      </c>
      <c r="AI677">
        <f t="shared" si="235"/>
        <v>3.8356164383561646E-2</v>
      </c>
      <c r="AJ677" s="2" t="str">
        <f t="shared" si="245"/>
        <v>1245383</v>
      </c>
    </row>
    <row r="678" spans="1:36" x14ac:dyDescent="0.25">
      <c r="A678">
        <v>0</v>
      </c>
      <c r="B678" s="1">
        <v>45413</v>
      </c>
      <c r="C678" s="1">
        <f t="shared" si="236"/>
        <v>45413</v>
      </c>
      <c r="D678" s="1">
        <f t="shared" si="237"/>
        <v>45427</v>
      </c>
      <c r="E678" s="1">
        <f t="shared" si="238"/>
        <v>45427</v>
      </c>
      <c r="F678" s="1">
        <f t="shared" si="239"/>
        <v>45444</v>
      </c>
      <c r="G678" s="1">
        <f t="shared" si="240"/>
        <v>45792</v>
      </c>
      <c r="H678">
        <f t="shared" si="241"/>
        <v>365</v>
      </c>
      <c r="I678">
        <f t="shared" si="242"/>
        <v>17</v>
      </c>
      <c r="J678">
        <f t="shared" si="243"/>
        <v>4.6575342465753428E-2</v>
      </c>
      <c r="K678">
        <f>IFERROR($J678/IF($A678&lt;COUNTIFS($K$1:K$1,"&lt;&gt;"),0,SUMIFS($J:$J,$B:$B,$B678,$A:$A,"&gt;="&amp;COUNTIFS($K$1:K$1,"&lt;&gt;"))),0)</f>
        <v>0</v>
      </c>
      <c r="L678">
        <f>IFERROR($J678/IF($A678&lt;COUNTIFS($K$1:L$1,"&lt;&gt;"),0,SUMIFS($J:$J,$B:$B,$B678,$A:$A,"&gt;="&amp;COUNTIFS($K$1:L$1,"&lt;&gt;"))),0)</f>
        <v>0</v>
      </c>
      <c r="M678">
        <f>IFERROR($J678/IF($A678&lt;COUNTIFS($K$1:M$1,"&lt;&gt;"),0,SUMIFS($J:$J,$B:$B,$B678,$A:$A,"&gt;="&amp;COUNTIFS($K$1:M$1,"&lt;&gt;"))),0)</f>
        <v>0</v>
      </c>
      <c r="N678">
        <f>IFERROR($J678/IF($A678&lt;COUNTIFS($K$1:N$1,"&lt;&gt;"),0,SUMIFS($J:$J,$B:$B,$B678,$A:$A,"&gt;="&amp;COUNTIFS($K$1:N$1,"&lt;&gt;"))),0)</f>
        <v>0</v>
      </c>
      <c r="O678">
        <f>IFERROR($J678/IF($A678&lt;COUNTIFS($K$1:O$1,"&lt;&gt;"),0,SUMIFS($J:$J,$B:$B,$B678,$A:$A,"&gt;="&amp;COUNTIFS($K$1:O$1,"&lt;&gt;"))),0)</f>
        <v>0</v>
      </c>
      <c r="P678">
        <f>IFERROR($J678/IF($A678&lt;COUNTIFS($K$1:P$1,"&lt;&gt;"),0,SUMIFS($J:$J,$B:$B,$B678,$A:$A,"&gt;="&amp;COUNTIFS($K$1:P$1,"&lt;&gt;"))),0)</f>
        <v>0</v>
      </c>
      <c r="Q678">
        <f>IFERROR($J678/IF($A678&lt;COUNTIFS($K$1:Q$1,"&lt;&gt;"),0,SUMIFS($J:$J,$B:$B,$B678,$A:$A,"&gt;="&amp;COUNTIFS($K$1:Q$1,"&lt;&gt;"))),0)</f>
        <v>0</v>
      </c>
      <c r="R678">
        <f>IFERROR($J678/IF($A678&lt;COUNTIFS($K$1:R$1,"&lt;&gt;"),0,SUMIFS($J:$J,$B:$B,$B678,$A:$A,"&gt;="&amp;COUNTIFS($K$1:R$1,"&lt;&gt;"))),0)</f>
        <v>0</v>
      </c>
      <c r="S678">
        <f>IFERROR($J678/IF($A678&lt;COUNTIFS($K$1:S$1,"&lt;&gt;"),0,SUMIFS($J:$J,$B:$B,$B678,$A:$A,"&gt;="&amp;COUNTIFS($K$1:S$1,"&lt;&gt;"))),0)</f>
        <v>0</v>
      </c>
      <c r="T678">
        <f>IFERROR($J678/IF($A678&lt;COUNTIFS($K$1:T$1,"&lt;&gt;"),0,SUMIFS($J:$J,$B:$B,$B678,$A:$A,"&gt;="&amp;COUNTIFS($K$1:T$1,"&lt;&gt;"))),0)</f>
        <v>0</v>
      </c>
      <c r="U678">
        <f>IFERROR($J678/IF($A678&lt;COUNTIFS($K$1:U$1,"&lt;&gt;"),0,SUMIFS($J:$J,$B:$B,$B678,$A:$A,"&gt;="&amp;COUNTIFS($K$1:U$1,"&lt;&gt;"))),0)</f>
        <v>0</v>
      </c>
      <c r="V678">
        <f>IFERROR($J678/IF($A678&lt;COUNTIFS($K$1:V$1,"&lt;&gt;"),0,SUMIFS($J:$J,$B:$B,$B678,$A:$A,"&gt;="&amp;COUNTIFS($K$1:V$1,"&lt;&gt;"))),0)</f>
        <v>0</v>
      </c>
      <c r="W678">
        <f t="shared" si="244"/>
        <v>4.6575342465753428E-2</v>
      </c>
      <c r="X678">
        <f t="shared" si="224"/>
        <v>0</v>
      </c>
      <c r="Y678">
        <f t="shared" si="225"/>
        <v>0</v>
      </c>
      <c r="Z678">
        <f t="shared" si="226"/>
        <v>0</v>
      </c>
      <c r="AA678">
        <f t="shared" si="227"/>
        <v>0</v>
      </c>
      <c r="AB678">
        <f t="shared" si="228"/>
        <v>0</v>
      </c>
      <c r="AC678">
        <f t="shared" si="229"/>
        <v>0</v>
      </c>
      <c r="AD678">
        <f t="shared" si="230"/>
        <v>0</v>
      </c>
      <c r="AE678">
        <f t="shared" si="231"/>
        <v>0</v>
      </c>
      <c r="AF678">
        <f t="shared" si="232"/>
        <v>0</v>
      </c>
      <c r="AG678">
        <f t="shared" si="233"/>
        <v>0</v>
      </c>
      <c r="AH678">
        <f t="shared" si="234"/>
        <v>0</v>
      </c>
      <c r="AI678">
        <f t="shared" si="235"/>
        <v>0</v>
      </c>
      <c r="AJ678" s="2" t="str">
        <f t="shared" si="245"/>
        <v>045413</v>
      </c>
    </row>
    <row r="679" spans="1:36" x14ac:dyDescent="0.25">
      <c r="A679">
        <v>1</v>
      </c>
      <c r="B679" s="1">
        <v>45413</v>
      </c>
      <c r="C679" s="1">
        <f t="shared" si="236"/>
        <v>45444</v>
      </c>
      <c r="D679" s="1">
        <f t="shared" si="237"/>
        <v>45427</v>
      </c>
      <c r="E679" s="1">
        <f t="shared" si="238"/>
        <v>45444</v>
      </c>
      <c r="F679" s="1">
        <f t="shared" si="239"/>
        <v>45474</v>
      </c>
      <c r="G679" s="1">
        <f t="shared" si="240"/>
        <v>45792</v>
      </c>
      <c r="H679">
        <f t="shared" si="241"/>
        <v>365</v>
      </c>
      <c r="I679">
        <f t="shared" si="242"/>
        <v>30</v>
      </c>
      <c r="J679">
        <f t="shared" si="243"/>
        <v>8.2191780821917804E-2</v>
      </c>
      <c r="K679">
        <f>IFERROR($J679/IF($A679&lt;COUNTIFS($K$1:K$1,"&lt;&gt;"),0,SUMIFS($J:$J,$B:$B,$B679,$A:$A,"&gt;="&amp;COUNTIFS($K$1:K$1,"&lt;&gt;"))),0)</f>
        <v>8.6206896551724144E-2</v>
      </c>
      <c r="L679">
        <f>IFERROR($J679/IF($A679&lt;COUNTIFS($K$1:L$1,"&lt;&gt;"),0,SUMIFS($J:$J,$B:$B,$B679,$A:$A,"&gt;="&amp;COUNTIFS($K$1:L$1,"&lt;&gt;"))),0)</f>
        <v>0</v>
      </c>
      <c r="M679">
        <f>IFERROR($J679/IF($A679&lt;COUNTIFS($K$1:M$1,"&lt;&gt;"),0,SUMIFS($J:$J,$B:$B,$B679,$A:$A,"&gt;="&amp;COUNTIFS($K$1:M$1,"&lt;&gt;"))),0)</f>
        <v>0</v>
      </c>
      <c r="N679">
        <f>IFERROR($J679/IF($A679&lt;COUNTIFS($K$1:N$1,"&lt;&gt;"),0,SUMIFS($J:$J,$B:$B,$B679,$A:$A,"&gt;="&amp;COUNTIFS($K$1:N$1,"&lt;&gt;"))),0)</f>
        <v>0</v>
      </c>
      <c r="O679">
        <f>IFERROR($J679/IF($A679&lt;COUNTIFS($K$1:O$1,"&lt;&gt;"),0,SUMIFS($J:$J,$B:$B,$B679,$A:$A,"&gt;="&amp;COUNTIFS($K$1:O$1,"&lt;&gt;"))),0)</f>
        <v>0</v>
      </c>
      <c r="P679">
        <f>IFERROR($J679/IF($A679&lt;COUNTIFS($K$1:P$1,"&lt;&gt;"),0,SUMIFS($J:$J,$B:$B,$B679,$A:$A,"&gt;="&amp;COUNTIFS($K$1:P$1,"&lt;&gt;"))),0)</f>
        <v>0</v>
      </c>
      <c r="Q679">
        <f>IFERROR($J679/IF($A679&lt;COUNTIFS($K$1:Q$1,"&lt;&gt;"),0,SUMIFS($J:$J,$B:$B,$B679,$A:$A,"&gt;="&amp;COUNTIFS($K$1:Q$1,"&lt;&gt;"))),0)</f>
        <v>0</v>
      </c>
      <c r="R679">
        <f>IFERROR($J679/IF($A679&lt;COUNTIFS($K$1:R$1,"&lt;&gt;"),0,SUMIFS($J:$J,$B:$B,$B679,$A:$A,"&gt;="&amp;COUNTIFS($K$1:R$1,"&lt;&gt;"))),0)</f>
        <v>0</v>
      </c>
      <c r="S679">
        <f>IFERROR($J679/IF($A679&lt;COUNTIFS($K$1:S$1,"&lt;&gt;"),0,SUMIFS($J:$J,$B:$B,$B679,$A:$A,"&gt;="&amp;COUNTIFS($K$1:S$1,"&lt;&gt;"))),0)</f>
        <v>0</v>
      </c>
      <c r="T679">
        <f>IFERROR($J679/IF($A679&lt;COUNTIFS($K$1:T$1,"&lt;&gt;"),0,SUMIFS($J:$J,$B:$B,$B679,$A:$A,"&gt;="&amp;COUNTIFS($K$1:T$1,"&lt;&gt;"))),0)</f>
        <v>0</v>
      </c>
      <c r="U679">
        <f>IFERROR($J679/IF($A679&lt;COUNTIFS($K$1:U$1,"&lt;&gt;"),0,SUMIFS($J:$J,$B:$B,$B679,$A:$A,"&gt;="&amp;COUNTIFS($K$1:U$1,"&lt;&gt;"))),0)</f>
        <v>0</v>
      </c>
      <c r="V679">
        <f>IFERROR($J679/IF($A679&lt;COUNTIFS($K$1:V$1,"&lt;&gt;"),0,SUMIFS($J:$J,$B:$B,$B679,$A:$A,"&gt;="&amp;COUNTIFS($K$1:V$1,"&lt;&gt;"))),0)</f>
        <v>0</v>
      </c>
      <c r="W679">
        <f t="shared" si="244"/>
        <v>8.2191780821917804E-2</v>
      </c>
      <c r="X679">
        <f t="shared" si="224"/>
        <v>8.2191780821917804E-2</v>
      </c>
      <c r="Y679">
        <f t="shared" si="225"/>
        <v>0</v>
      </c>
      <c r="Z679">
        <f t="shared" si="226"/>
        <v>0</v>
      </c>
      <c r="AA679">
        <f t="shared" si="227"/>
        <v>0</v>
      </c>
      <c r="AB679">
        <f t="shared" si="228"/>
        <v>0</v>
      </c>
      <c r="AC679">
        <f t="shared" si="229"/>
        <v>0</v>
      </c>
      <c r="AD679">
        <f t="shared" si="230"/>
        <v>0</v>
      </c>
      <c r="AE679">
        <f t="shared" si="231"/>
        <v>0</v>
      </c>
      <c r="AF679">
        <f t="shared" si="232"/>
        <v>0</v>
      </c>
      <c r="AG679">
        <f t="shared" si="233"/>
        <v>0</v>
      </c>
      <c r="AH679">
        <f t="shared" si="234"/>
        <v>0</v>
      </c>
      <c r="AI679">
        <f t="shared" si="235"/>
        <v>0</v>
      </c>
      <c r="AJ679" s="2" t="str">
        <f t="shared" si="245"/>
        <v>145413</v>
      </c>
    </row>
    <row r="680" spans="1:36" x14ac:dyDescent="0.25">
      <c r="A680">
        <v>2</v>
      </c>
      <c r="B680" s="1">
        <v>45413</v>
      </c>
      <c r="C680" s="1">
        <f t="shared" si="236"/>
        <v>45474</v>
      </c>
      <c r="D680" s="1">
        <f t="shared" si="237"/>
        <v>45427</v>
      </c>
      <c r="E680" s="1">
        <f t="shared" si="238"/>
        <v>45474</v>
      </c>
      <c r="F680" s="1">
        <f t="shared" si="239"/>
        <v>45505</v>
      </c>
      <c r="G680" s="1">
        <f t="shared" si="240"/>
        <v>45792</v>
      </c>
      <c r="H680">
        <f t="shared" si="241"/>
        <v>365</v>
      </c>
      <c r="I680">
        <f t="shared" si="242"/>
        <v>31</v>
      </c>
      <c r="J680">
        <f t="shared" si="243"/>
        <v>8.4931506849315067E-2</v>
      </c>
      <c r="K680">
        <f>IFERROR($J680/IF($A680&lt;COUNTIFS($K$1:K$1,"&lt;&gt;"),0,SUMIFS($J:$J,$B:$B,$B680,$A:$A,"&gt;="&amp;COUNTIFS($K$1:K$1,"&lt;&gt;"))),0)</f>
        <v>8.9080459770114959E-2</v>
      </c>
      <c r="L680">
        <f>IFERROR($J680/IF($A680&lt;COUNTIFS($K$1:L$1,"&lt;&gt;"),0,SUMIFS($J:$J,$B:$B,$B680,$A:$A,"&gt;="&amp;COUNTIFS($K$1:L$1,"&lt;&gt;"))),0)</f>
        <v>9.7484276729559768E-2</v>
      </c>
      <c r="M680">
        <f>IFERROR($J680/IF($A680&lt;COUNTIFS($K$1:M$1,"&lt;&gt;"),0,SUMIFS($J:$J,$B:$B,$B680,$A:$A,"&gt;="&amp;COUNTIFS($K$1:M$1,"&lt;&gt;"))),0)</f>
        <v>0</v>
      </c>
      <c r="N680">
        <f>IFERROR($J680/IF($A680&lt;COUNTIFS($K$1:N$1,"&lt;&gt;"),0,SUMIFS($J:$J,$B:$B,$B680,$A:$A,"&gt;="&amp;COUNTIFS($K$1:N$1,"&lt;&gt;"))),0)</f>
        <v>0</v>
      </c>
      <c r="O680">
        <f>IFERROR($J680/IF($A680&lt;COUNTIFS($K$1:O$1,"&lt;&gt;"),0,SUMIFS($J:$J,$B:$B,$B680,$A:$A,"&gt;="&amp;COUNTIFS($K$1:O$1,"&lt;&gt;"))),0)</f>
        <v>0</v>
      </c>
      <c r="P680">
        <f>IFERROR($J680/IF($A680&lt;COUNTIFS($K$1:P$1,"&lt;&gt;"),0,SUMIFS($J:$J,$B:$B,$B680,$A:$A,"&gt;="&amp;COUNTIFS($K$1:P$1,"&lt;&gt;"))),0)</f>
        <v>0</v>
      </c>
      <c r="Q680">
        <f>IFERROR($J680/IF($A680&lt;COUNTIFS($K$1:Q$1,"&lt;&gt;"),0,SUMIFS($J:$J,$B:$B,$B680,$A:$A,"&gt;="&amp;COUNTIFS($K$1:Q$1,"&lt;&gt;"))),0)</f>
        <v>0</v>
      </c>
      <c r="R680">
        <f>IFERROR($J680/IF($A680&lt;COUNTIFS($K$1:R$1,"&lt;&gt;"),0,SUMIFS($J:$J,$B:$B,$B680,$A:$A,"&gt;="&amp;COUNTIFS($K$1:R$1,"&lt;&gt;"))),0)</f>
        <v>0</v>
      </c>
      <c r="S680">
        <f>IFERROR($J680/IF($A680&lt;COUNTIFS($K$1:S$1,"&lt;&gt;"),0,SUMIFS($J:$J,$B:$B,$B680,$A:$A,"&gt;="&amp;COUNTIFS($K$1:S$1,"&lt;&gt;"))),0)</f>
        <v>0</v>
      </c>
      <c r="T680">
        <f>IFERROR($J680/IF($A680&lt;COUNTIFS($K$1:T$1,"&lt;&gt;"),0,SUMIFS($J:$J,$B:$B,$B680,$A:$A,"&gt;="&amp;COUNTIFS($K$1:T$1,"&lt;&gt;"))),0)</f>
        <v>0</v>
      </c>
      <c r="U680">
        <f>IFERROR($J680/IF($A680&lt;COUNTIFS($K$1:U$1,"&lt;&gt;"),0,SUMIFS($J:$J,$B:$B,$B680,$A:$A,"&gt;="&amp;COUNTIFS($K$1:U$1,"&lt;&gt;"))),0)</f>
        <v>0</v>
      </c>
      <c r="V680">
        <f>IFERROR($J680/IF($A680&lt;COUNTIFS($K$1:V$1,"&lt;&gt;"),0,SUMIFS($J:$J,$B:$B,$B680,$A:$A,"&gt;="&amp;COUNTIFS($K$1:V$1,"&lt;&gt;"))),0)</f>
        <v>0</v>
      </c>
      <c r="W680">
        <f t="shared" si="244"/>
        <v>8.4931506849315067E-2</v>
      </c>
      <c r="X680">
        <f t="shared" si="224"/>
        <v>8.4931506849315067E-2</v>
      </c>
      <c r="Y680">
        <f t="shared" si="225"/>
        <v>8.4931506849315067E-2</v>
      </c>
      <c r="Z680">
        <f t="shared" si="226"/>
        <v>0</v>
      </c>
      <c r="AA680">
        <f t="shared" si="227"/>
        <v>0</v>
      </c>
      <c r="AB680">
        <f t="shared" si="228"/>
        <v>0</v>
      </c>
      <c r="AC680">
        <f t="shared" si="229"/>
        <v>0</v>
      </c>
      <c r="AD680">
        <f t="shared" si="230"/>
        <v>0</v>
      </c>
      <c r="AE680">
        <f t="shared" si="231"/>
        <v>0</v>
      </c>
      <c r="AF680">
        <f t="shared" si="232"/>
        <v>0</v>
      </c>
      <c r="AG680">
        <f t="shared" si="233"/>
        <v>0</v>
      </c>
      <c r="AH680">
        <f t="shared" si="234"/>
        <v>0</v>
      </c>
      <c r="AI680">
        <f t="shared" si="235"/>
        <v>0</v>
      </c>
      <c r="AJ680" s="2" t="str">
        <f t="shared" si="245"/>
        <v>245413</v>
      </c>
    </row>
    <row r="681" spans="1:36" x14ac:dyDescent="0.25">
      <c r="A681">
        <v>3</v>
      </c>
      <c r="B681" s="1">
        <v>45413</v>
      </c>
      <c r="C681" s="1">
        <f t="shared" si="236"/>
        <v>45505</v>
      </c>
      <c r="D681" s="1">
        <f t="shared" si="237"/>
        <v>45427</v>
      </c>
      <c r="E681" s="1">
        <f t="shared" si="238"/>
        <v>45505</v>
      </c>
      <c r="F681" s="1">
        <f t="shared" si="239"/>
        <v>45536</v>
      </c>
      <c r="G681" s="1">
        <f t="shared" si="240"/>
        <v>45792</v>
      </c>
      <c r="H681">
        <f t="shared" si="241"/>
        <v>365</v>
      </c>
      <c r="I681">
        <f t="shared" si="242"/>
        <v>31</v>
      </c>
      <c r="J681">
        <f t="shared" si="243"/>
        <v>8.4931506849315067E-2</v>
      </c>
      <c r="K681">
        <f>IFERROR($J681/IF($A681&lt;COUNTIFS($K$1:K$1,"&lt;&gt;"),0,SUMIFS($J:$J,$B:$B,$B681,$A:$A,"&gt;="&amp;COUNTIFS($K$1:K$1,"&lt;&gt;"))),0)</f>
        <v>8.9080459770114959E-2</v>
      </c>
      <c r="L681">
        <f>IFERROR($J681/IF($A681&lt;COUNTIFS($K$1:L$1,"&lt;&gt;"),0,SUMIFS($J:$J,$B:$B,$B681,$A:$A,"&gt;="&amp;COUNTIFS($K$1:L$1,"&lt;&gt;"))),0)</f>
        <v>9.7484276729559768E-2</v>
      </c>
      <c r="M681">
        <f>IFERROR($J681/IF($A681&lt;COUNTIFS($K$1:M$1,"&lt;&gt;"),0,SUMIFS($J:$J,$B:$B,$B681,$A:$A,"&gt;="&amp;COUNTIFS($K$1:M$1,"&lt;&gt;"))),0)</f>
        <v>0.10801393728222998</v>
      </c>
      <c r="N681">
        <f>IFERROR($J681/IF($A681&lt;COUNTIFS($K$1:N$1,"&lt;&gt;"),0,SUMIFS($J:$J,$B:$B,$B681,$A:$A,"&gt;="&amp;COUNTIFS($K$1:N$1,"&lt;&gt;"))),0)</f>
        <v>0</v>
      </c>
      <c r="O681">
        <f>IFERROR($J681/IF($A681&lt;COUNTIFS($K$1:O$1,"&lt;&gt;"),0,SUMIFS($J:$J,$B:$B,$B681,$A:$A,"&gt;="&amp;COUNTIFS($K$1:O$1,"&lt;&gt;"))),0)</f>
        <v>0</v>
      </c>
      <c r="P681">
        <f>IFERROR($J681/IF($A681&lt;COUNTIFS($K$1:P$1,"&lt;&gt;"),0,SUMIFS($J:$J,$B:$B,$B681,$A:$A,"&gt;="&amp;COUNTIFS($K$1:P$1,"&lt;&gt;"))),0)</f>
        <v>0</v>
      </c>
      <c r="Q681">
        <f>IFERROR($J681/IF($A681&lt;COUNTIFS($K$1:Q$1,"&lt;&gt;"),0,SUMIFS($J:$J,$B:$B,$B681,$A:$A,"&gt;="&amp;COUNTIFS($K$1:Q$1,"&lt;&gt;"))),0)</f>
        <v>0</v>
      </c>
      <c r="R681">
        <f>IFERROR($J681/IF($A681&lt;COUNTIFS($K$1:R$1,"&lt;&gt;"),0,SUMIFS($J:$J,$B:$B,$B681,$A:$A,"&gt;="&amp;COUNTIFS($K$1:R$1,"&lt;&gt;"))),0)</f>
        <v>0</v>
      </c>
      <c r="S681">
        <f>IFERROR($J681/IF($A681&lt;COUNTIFS($K$1:S$1,"&lt;&gt;"),0,SUMIFS($J:$J,$B:$B,$B681,$A:$A,"&gt;="&amp;COUNTIFS($K$1:S$1,"&lt;&gt;"))),0)</f>
        <v>0</v>
      </c>
      <c r="T681">
        <f>IFERROR($J681/IF($A681&lt;COUNTIFS($K$1:T$1,"&lt;&gt;"),0,SUMIFS($J:$J,$B:$B,$B681,$A:$A,"&gt;="&amp;COUNTIFS($K$1:T$1,"&lt;&gt;"))),0)</f>
        <v>0</v>
      </c>
      <c r="U681">
        <f>IFERROR($J681/IF($A681&lt;COUNTIFS($K$1:U$1,"&lt;&gt;"),0,SUMIFS($J:$J,$B:$B,$B681,$A:$A,"&gt;="&amp;COUNTIFS($K$1:U$1,"&lt;&gt;"))),0)</f>
        <v>0</v>
      </c>
      <c r="V681">
        <f>IFERROR($J681/IF($A681&lt;COUNTIFS($K$1:V$1,"&lt;&gt;"),0,SUMIFS($J:$J,$B:$B,$B681,$A:$A,"&gt;="&amp;COUNTIFS($K$1:V$1,"&lt;&gt;"))),0)</f>
        <v>0</v>
      </c>
      <c r="W681">
        <f t="shared" si="244"/>
        <v>8.4931506849315067E-2</v>
      </c>
      <c r="X681">
        <f t="shared" si="224"/>
        <v>8.4931506849315067E-2</v>
      </c>
      <c r="Y681">
        <f t="shared" si="225"/>
        <v>8.4931506849315067E-2</v>
      </c>
      <c r="Z681">
        <f t="shared" si="226"/>
        <v>8.4931506849315067E-2</v>
      </c>
      <c r="AA681">
        <f t="shared" si="227"/>
        <v>0</v>
      </c>
      <c r="AB681">
        <f t="shared" si="228"/>
        <v>0</v>
      </c>
      <c r="AC681">
        <f t="shared" si="229"/>
        <v>0</v>
      </c>
      <c r="AD681">
        <f t="shared" si="230"/>
        <v>0</v>
      </c>
      <c r="AE681">
        <f t="shared" si="231"/>
        <v>0</v>
      </c>
      <c r="AF681">
        <f t="shared" si="232"/>
        <v>0</v>
      </c>
      <c r="AG681">
        <f t="shared" si="233"/>
        <v>0</v>
      </c>
      <c r="AH681">
        <f t="shared" si="234"/>
        <v>0</v>
      </c>
      <c r="AI681">
        <f t="shared" si="235"/>
        <v>0</v>
      </c>
      <c r="AJ681" s="2" t="str">
        <f t="shared" si="245"/>
        <v>345413</v>
      </c>
    </row>
    <row r="682" spans="1:36" x14ac:dyDescent="0.25">
      <c r="A682">
        <v>4</v>
      </c>
      <c r="B682" s="1">
        <v>45413</v>
      </c>
      <c r="C682" s="1">
        <f t="shared" si="236"/>
        <v>45536</v>
      </c>
      <c r="D682" s="1">
        <f t="shared" si="237"/>
        <v>45427</v>
      </c>
      <c r="E682" s="1">
        <f t="shared" si="238"/>
        <v>45536</v>
      </c>
      <c r="F682" s="1">
        <f t="shared" si="239"/>
        <v>45566</v>
      </c>
      <c r="G682" s="1">
        <f t="shared" si="240"/>
        <v>45792</v>
      </c>
      <c r="H682">
        <f t="shared" si="241"/>
        <v>365</v>
      </c>
      <c r="I682">
        <f t="shared" si="242"/>
        <v>30</v>
      </c>
      <c r="J682">
        <f t="shared" si="243"/>
        <v>8.2191780821917804E-2</v>
      </c>
      <c r="K682">
        <f>IFERROR($J682/IF($A682&lt;COUNTIFS($K$1:K$1,"&lt;&gt;"),0,SUMIFS($J:$J,$B:$B,$B682,$A:$A,"&gt;="&amp;COUNTIFS($K$1:K$1,"&lt;&gt;"))),0)</f>
        <v>8.6206896551724144E-2</v>
      </c>
      <c r="L682">
        <f>IFERROR($J682/IF($A682&lt;COUNTIFS($K$1:L$1,"&lt;&gt;"),0,SUMIFS($J:$J,$B:$B,$B682,$A:$A,"&gt;="&amp;COUNTIFS($K$1:L$1,"&lt;&gt;"))),0)</f>
        <v>9.4339622641509441E-2</v>
      </c>
      <c r="M682">
        <f>IFERROR($J682/IF($A682&lt;COUNTIFS($K$1:M$1,"&lt;&gt;"),0,SUMIFS($J:$J,$B:$B,$B682,$A:$A,"&gt;="&amp;COUNTIFS($K$1:M$1,"&lt;&gt;"))),0)</f>
        <v>0.10452961672473869</v>
      </c>
      <c r="N682">
        <f>IFERROR($J682/IF($A682&lt;COUNTIFS($K$1:N$1,"&lt;&gt;"),0,SUMIFS($J:$J,$B:$B,$B682,$A:$A,"&gt;="&amp;COUNTIFS($K$1:N$1,"&lt;&gt;"))),0)</f>
        <v>0.11718750000000001</v>
      </c>
      <c r="O682">
        <f>IFERROR($J682/IF($A682&lt;COUNTIFS($K$1:O$1,"&lt;&gt;"),0,SUMIFS($J:$J,$B:$B,$B682,$A:$A,"&gt;="&amp;COUNTIFS($K$1:O$1,"&lt;&gt;"))),0)</f>
        <v>0</v>
      </c>
      <c r="P682">
        <f>IFERROR($J682/IF($A682&lt;COUNTIFS($K$1:P$1,"&lt;&gt;"),0,SUMIFS($J:$J,$B:$B,$B682,$A:$A,"&gt;="&amp;COUNTIFS($K$1:P$1,"&lt;&gt;"))),0)</f>
        <v>0</v>
      </c>
      <c r="Q682">
        <f>IFERROR($J682/IF($A682&lt;COUNTIFS($K$1:Q$1,"&lt;&gt;"),0,SUMIFS($J:$J,$B:$B,$B682,$A:$A,"&gt;="&amp;COUNTIFS($K$1:Q$1,"&lt;&gt;"))),0)</f>
        <v>0</v>
      </c>
      <c r="R682">
        <f>IFERROR($J682/IF($A682&lt;COUNTIFS($K$1:R$1,"&lt;&gt;"),0,SUMIFS($J:$J,$B:$B,$B682,$A:$A,"&gt;="&amp;COUNTIFS($K$1:R$1,"&lt;&gt;"))),0)</f>
        <v>0</v>
      </c>
      <c r="S682">
        <f>IFERROR($J682/IF($A682&lt;COUNTIFS($K$1:S$1,"&lt;&gt;"),0,SUMIFS($J:$J,$B:$B,$B682,$A:$A,"&gt;="&amp;COUNTIFS($K$1:S$1,"&lt;&gt;"))),0)</f>
        <v>0</v>
      </c>
      <c r="T682">
        <f>IFERROR($J682/IF($A682&lt;COUNTIFS($K$1:T$1,"&lt;&gt;"),0,SUMIFS($J:$J,$B:$B,$B682,$A:$A,"&gt;="&amp;COUNTIFS($K$1:T$1,"&lt;&gt;"))),0)</f>
        <v>0</v>
      </c>
      <c r="U682">
        <f>IFERROR($J682/IF($A682&lt;COUNTIFS($K$1:U$1,"&lt;&gt;"),0,SUMIFS($J:$J,$B:$B,$B682,$A:$A,"&gt;="&amp;COUNTIFS($K$1:U$1,"&lt;&gt;"))),0)</f>
        <v>0</v>
      </c>
      <c r="V682">
        <f>IFERROR($J682/IF($A682&lt;COUNTIFS($K$1:V$1,"&lt;&gt;"),0,SUMIFS($J:$J,$B:$B,$B682,$A:$A,"&gt;="&amp;COUNTIFS($K$1:V$1,"&lt;&gt;"))),0)</f>
        <v>0</v>
      </c>
      <c r="W682">
        <f t="shared" si="244"/>
        <v>8.2191780821917804E-2</v>
      </c>
      <c r="X682">
        <f t="shared" si="224"/>
        <v>8.2191780821917804E-2</v>
      </c>
      <c r="Y682">
        <f t="shared" si="225"/>
        <v>8.2191780821917804E-2</v>
      </c>
      <c r="Z682">
        <f t="shared" si="226"/>
        <v>8.2191780821917804E-2</v>
      </c>
      <c r="AA682">
        <f t="shared" si="227"/>
        <v>8.2191780821917804E-2</v>
      </c>
      <c r="AB682">
        <f t="shared" si="228"/>
        <v>0</v>
      </c>
      <c r="AC682">
        <f t="shared" si="229"/>
        <v>0</v>
      </c>
      <c r="AD682">
        <f t="shared" si="230"/>
        <v>0</v>
      </c>
      <c r="AE682">
        <f t="shared" si="231"/>
        <v>0</v>
      </c>
      <c r="AF682">
        <f t="shared" si="232"/>
        <v>0</v>
      </c>
      <c r="AG682">
        <f t="shared" si="233"/>
        <v>0</v>
      </c>
      <c r="AH682">
        <f t="shared" si="234"/>
        <v>0</v>
      </c>
      <c r="AI682">
        <f t="shared" si="235"/>
        <v>0</v>
      </c>
      <c r="AJ682" s="2" t="str">
        <f t="shared" si="245"/>
        <v>445413</v>
      </c>
    </row>
    <row r="683" spans="1:36" x14ac:dyDescent="0.25">
      <c r="A683">
        <v>5</v>
      </c>
      <c r="B683" s="1">
        <v>45413</v>
      </c>
      <c r="C683" s="1">
        <f t="shared" si="236"/>
        <v>45566</v>
      </c>
      <c r="D683" s="1">
        <f t="shared" si="237"/>
        <v>45427</v>
      </c>
      <c r="E683" s="1">
        <f t="shared" si="238"/>
        <v>45566</v>
      </c>
      <c r="F683" s="1">
        <f t="shared" si="239"/>
        <v>45597</v>
      </c>
      <c r="G683" s="1">
        <f t="shared" si="240"/>
        <v>45792</v>
      </c>
      <c r="H683">
        <f t="shared" si="241"/>
        <v>365</v>
      </c>
      <c r="I683">
        <f t="shared" si="242"/>
        <v>31</v>
      </c>
      <c r="J683">
        <f t="shared" si="243"/>
        <v>8.4931506849315067E-2</v>
      </c>
      <c r="K683">
        <f>IFERROR($J683/IF($A683&lt;COUNTIFS($K$1:K$1,"&lt;&gt;"),0,SUMIFS($J:$J,$B:$B,$B683,$A:$A,"&gt;="&amp;COUNTIFS($K$1:K$1,"&lt;&gt;"))),0)</f>
        <v>8.9080459770114959E-2</v>
      </c>
      <c r="L683">
        <f>IFERROR($J683/IF($A683&lt;COUNTIFS($K$1:L$1,"&lt;&gt;"),0,SUMIFS($J:$J,$B:$B,$B683,$A:$A,"&gt;="&amp;COUNTIFS($K$1:L$1,"&lt;&gt;"))),0)</f>
        <v>9.7484276729559768E-2</v>
      </c>
      <c r="M683">
        <f>IFERROR($J683/IF($A683&lt;COUNTIFS($K$1:M$1,"&lt;&gt;"),0,SUMIFS($J:$J,$B:$B,$B683,$A:$A,"&gt;="&amp;COUNTIFS($K$1:M$1,"&lt;&gt;"))),0)</f>
        <v>0.10801393728222998</v>
      </c>
      <c r="N683">
        <f>IFERROR($J683/IF($A683&lt;COUNTIFS($K$1:N$1,"&lt;&gt;"),0,SUMIFS($J:$J,$B:$B,$B683,$A:$A,"&gt;="&amp;COUNTIFS($K$1:N$1,"&lt;&gt;"))),0)</f>
        <v>0.12109375000000001</v>
      </c>
      <c r="O683">
        <f>IFERROR($J683/IF($A683&lt;COUNTIFS($K$1:O$1,"&lt;&gt;"),0,SUMIFS($J:$J,$B:$B,$B683,$A:$A,"&gt;="&amp;COUNTIFS($K$1:O$1,"&lt;&gt;"))),0)</f>
        <v>0.13716814159292037</v>
      </c>
      <c r="P683">
        <f>IFERROR($J683/IF($A683&lt;COUNTIFS($K$1:P$1,"&lt;&gt;"),0,SUMIFS($J:$J,$B:$B,$B683,$A:$A,"&gt;="&amp;COUNTIFS($K$1:P$1,"&lt;&gt;"))),0)</f>
        <v>0</v>
      </c>
      <c r="Q683">
        <f>IFERROR($J683/IF($A683&lt;COUNTIFS($K$1:Q$1,"&lt;&gt;"),0,SUMIFS($J:$J,$B:$B,$B683,$A:$A,"&gt;="&amp;COUNTIFS($K$1:Q$1,"&lt;&gt;"))),0)</f>
        <v>0</v>
      </c>
      <c r="R683">
        <f>IFERROR($J683/IF($A683&lt;COUNTIFS($K$1:R$1,"&lt;&gt;"),0,SUMIFS($J:$J,$B:$B,$B683,$A:$A,"&gt;="&amp;COUNTIFS($K$1:R$1,"&lt;&gt;"))),0)</f>
        <v>0</v>
      </c>
      <c r="S683">
        <f>IFERROR($J683/IF($A683&lt;COUNTIFS($K$1:S$1,"&lt;&gt;"),0,SUMIFS($J:$J,$B:$B,$B683,$A:$A,"&gt;="&amp;COUNTIFS($K$1:S$1,"&lt;&gt;"))),0)</f>
        <v>0</v>
      </c>
      <c r="T683">
        <f>IFERROR($J683/IF($A683&lt;COUNTIFS($K$1:T$1,"&lt;&gt;"),0,SUMIFS($J:$J,$B:$B,$B683,$A:$A,"&gt;="&amp;COUNTIFS($K$1:T$1,"&lt;&gt;"))),0)</f>
        <v>0</v>
      </c>
      <c r="U683">
        <f>IFERROR($J683/IF($A683&lt;COUNTIFS($K$1:U$1,"&lt;&gt;"),0,SUMIFS($J:$J,$B:$B,$B683,$A:$A,"&gt;="&amp;COUNTIFS($K$1:U$1,"&lt;&gt;"))),0)</f>
        <v>0</v>
      </c>
      <c r="V683">
        <f>IFERROR($J683/IF($A683&lt;COUNTIFS($K$1:V$1,"&lt;&gt;"),0,SUMIFS($J:$J,$B:$B,$B683,$A:$A,"&gt;="&amp;COUNTIFS($K$1:V$1,"&lt;&gt;"))),0)</f>
        <v>0</v>
      </c>
      <c r="W683">
        <f t="shared" si="244"/>
        <v>8.4931506849315067E-2</v>
      </c>
      <c r="X683">
        <f t="shared" si="224"/>
        <v>8.4931506849315067E-2</v>
      </c>
      <c r="Y683">
        <f t="shared" si="225"/>
        <v>8.4931506849315067E-2</v>
      </c>
      <c r="Z683">
        <f t="shared" si="226"/>
        <v>8.4931506849315067E-2</v>
      </c>
      <c r="AA683">
        <f t="shared" si="227"/>
        <v>8.4931506849315067E-2</v>
      </c>
      <c r="AB683">
        <f t="shared" si="228"/>
        <v>8.4931506849315067E-2</v>
      </c>
      <c r="AC683">
        <f t="shared" si="229"/>
        <v>0</v>
      </c>
      <c r="AD683">
        <f t="shared" si="230"/>
        <v>0</v>
      </c>
      <c r="AE683">
        <f t="shared" si="231"/>
        <v>0</v>
      </c>
      <c r="AF683">
        <f t="shared" si="232"/>
        <v>0</v>
      </c>
      <c r="AG683">
        <f t="shared" si="233"/>
        <v>0</v>
      </c>
      <c r="AH683">
        <f t="shared" si="234"/>
        <v>0</v>
      </c>
      <c r="AI683">
        <f t="shared" si="235"/>
        <v>0</v>
      </c>
      <c r="AJ683" s="2" t="str">
        <f t="shared" si="245"/>
        <v>545413</v>
      </c>
    </row>
    <row r="684" spans="1:36" x14ac:dyDescent="0.25">
      <c r="A684">
        <v>6</v>
      </c>
      <c r="B684" s="1">
        <v>45413</v>
      </c>
      <c r="C684" s="1">
        <f t="shared" si="236"/>
        <v>45597</v>
      </c>
      <c r="D684" s="1">
        <f t="shared" si="237"/>
        <v>45427</v>
      </c>
      <c r="E684" s="1">
        <f t="shared" si="238"/>
        <v>45597</v>
      </c>
      <c r="F684" s="1">
        <f t="shared" si="239"/>
        <v>45627</v>
      </c>
      <c r="G684" s="1">
        <f t="shared" si="240"/>
        <v>45792</v>
      </c>
      <c r="H684">
        <f t="shared" si="241"/>
        <v>365</v>
      </c>
      <c r="I684">
        <f t="shared" si="242"/>
        <v>30</v>
      </c>
      <c r="J684">
        <f t="shared" si="243"/>
        <v>8.2191780821917804E-2</v>
      </c>
      <c r="K684">
        <f>IFERROR($J684/IF($A684&lt;COUNTIFS($K$1:K$1,"&lt;&gt;"),0,SUMIFS($J:$J,$B:$B,$B684,$A:$A,"&gt;="&amp;COUNTIFS($K$1:K$1,"&lt;&gt;"))),0)</f>
        <v>8.6206896551724144E-2</v>
      </c>
      <c r="L684">
        <f>IFERROR($J684/IF($A684&lt;COUNTIFS($K$1:L$1,"&lt;&gt;"),0,SUMIFS($J:$J,$B:$B,$B684,$A:$A,"&gt;="&amp;COUNTIFS($K$1:L$1,"&lt;&gt;"))),0)</f>
        <v>9.4339622641509441E-2</v>
      </c>
      <c r="M684">
        <f>IFERROR($J684/IF($A684&lt;COUNTIFS($K$1:M$1,"&lt;&gt;"),0,SUMIFS($J:$J,$B:$B,$B684,$A:$A,"&gt;="&amp;COUNTIFS($K$1:M$1,"&lt;&gt;"))),0)</f>
        <v>0.10452961672473869</v>
      </c>
      <c r="N684">
        <f>IFERROR($J684/IF($A684&lt;COUNTIFS($K$1:N$1,"&lt;&gt;"),0,SUMIFS($J:$J,$B:$B,$B684,$A:$A,"&gt;="&amp;COUNTIFS($K$1:N$1,"&lt;&gt;"))),0)</f>
        <v>0.11718750000000001</v>
      </c>
      <c r="O684">
        <f>IFERROR($J684/IF($A684&lt;COUNTIFS($K$1:O$1,"&lt;&gt;"),0,SUMIFS($J:$J,$B:$B,$B684,$A:$A,"&gt;="&amp;COUNTIFS($K$1:O$1,"&lt;&gt;"))),0)</f>
        <v>0.13274336283185842</v>
      </c>
      <c r="P684">
        <f>IFERROR($J684/IF($A684&lt;COUNTIFS($K$1:P$1,"&lt;&gt;"),0,SUMIFS($J:$J,$B:$B,$B684,$A:$A,"&gt;="&amp;COUNTIFS($K$1:P$1,"&lt;&gt;"))),0)</f>
        <v>0.15384615384615385</v>
      </c>
      <c r="Q684">
        <f>IFERROR($J684/IF($A684&lt;COUNTIFS($K$1:Q$1,"&lt;&gt;"),0,SUMIFS($J:$J,$B:$B,$B684,$A:$A,"&gt;="&amp;COUNTIFS($K$1:Q$1,"&lt;&gt;"))),0)</f>
        <v>0</v>
      </c>
      <c r="R684">
        <f>IFERROR($J684/IF($A684&lt;COUNTIFS($K$1:R$1,"&lt;&gt;"),0,SUMIFS($J:$J,$B:$B,$B684,$A:$A,"&gt;="&amp;COUNTIFS($K$1:R$1,"&lt;&gt;"))),0)</f>
        <v>0</v>
      </c>
      <c r="S684">
        <f>IFERROR($J684/IF($A684&lt;COUNTIFS($K$1:S$1,"&lt;&gt;"),0,SUMIFS($J:$J,$B:$B,$B684,$A:$A,"&gt;="&amp;COUNTIFS($K$1:S$1,"&lt;&gt;"))),0)</f>
        <v>0</v>
      </c>
      <c r="T684">
        <f>IFERROR($J684/IF($A684&lt;COUNTIFS($K$1:T$1,"&lt;&gt;"),0,SUMIFS($J:$J,$B:$B,$B684,$A:$A,"&gt;="&amp;COUNTIFS($K$1:T$1,"&lt;&gt;"))),0)</f>
        <v>0</v>
      </c>
      <c r="U684">
        <f>IFERROR($J684/IF($A684&lt;COUNTIFS($K$1:U$1,"&lt;&gt;"),0,SUMIFS($J:$J,$B:$B,$B684,$A:$A,"&gt;="&amp;COUNTIFS($K$1:U$1,"&lt;&gt;"))),0)</f>
        <v>0</v>
      </c>
      <c r="V684">
        <f>IFERROR($J684/IF($A684&lt;COUNTIFS($K$1:V$1,"&lt;&gt;"),0,SUMIFS($J:$J,$B:$B,$B684,$A:$A,"&gt;="&amp;COUNTIFS($K$1:V$1,"&lt;&gt;"))),0)</f>
        <v>0</v>
      </c>
      <c r="W684">
        <f t="shared" si="244"/>
        <v>8.2191780821917804E-2</v>
      </c>
      <c r="X684">
        <f t="shared" si="224"/>
        <v>8.2191780821917804E-2</v>
      </c>
      <c r="Y684">
        <f t="shared" si="225"/>
        <v>8.2191780821917804E-2</v>
      </c>
      <c r="Z684">
        <f t="shared" si="226"/>
        <v>8.2191780821917804E-2</v>
      </c>
      <c r="AA684">
        <f t="shared" si="227"/>
        <v>8.2191780821917804E-2</v>
      </c>
      <c r="AB684">
        <f t="shared" si="228"/>
        <v>8.2191780821917804E-2</v>
      </c>
      <c r="AC684">
        <f t="shared" si="229"/>
        <v>8.2191780821917804E-2</v>
      </c>
      <c r="AD684">
        <f t="shared" si="230"/>
        <v>0</v>
      </c>
      <c r="AE684">
        <f t="shared" si="231"/>
        <v>0</v>
      </c>
      <c r="AF684">
        <f t="shared" si="232"/>
        <v>0</v>
      </c>
      <c r="AG684">
        <f t="shared" si="233"/>
        <v>0</v>
      </c>
      <c r="AH684">
        <f t="shared" si="234"/>
        <v>0</v>
      </c>
      <c r="AI684">
        <f t="shared" si="235"/>
        <v>0</v>
      </c>
      <c r="AJ684" s="2" t="str">
        <f t="shared" si="245"/>
        <v>645413</v>
      </c>
    </row>
    <row r="685" spans="1:36" x14ac:dyDescent="0.25">
      <c r="A685">
        <v>7</v>
      </c>
      <c r="B685" s="1">
        <v>45413</v>
      </c>
      <c r="C685" s="1">
        <f t="shared" si="236"/>
        <v>45627</v>
      </c>
      <c r="D685" s="1">
        <f t="shared" si="237"/>
        <v>45427</v>
      </c>
      <c r="E685" s="1">
        <f t="shared" si="238"/>
        <v>45627</v>
      </c>
      <c r="F685" s="1">
        <f t="shared" si="239"/>
        <v>45658</v>
      </c>
      <c r="G685" s="1">
        <f t="shared" si="240"/>
        <v>45792</v>
      </c>
      <c r="H685">
        <f t="shared" si="241"/>
        <v>365</v>
      </c>
      <c r="I685">
        <f t="shared" si="242"/>
        <v>31</v>
      </c>
      <c r="J685">
        <f t="shared" si="243"/>
        <v>8.4931506849315067E-2</v>
      </c>
      <c r="K685">
        <f>IFERROR($J685/IF($A685&lt;COUNTIFS($K$1:K$1,"&lt;&gt;"),0,SUMIFS($J:$J,$B:$B,$B685,$A:$A,"&gt;="&amp;COUNTIFS($K$1:K$1,"&lt;&gt;"))),0)</f>
        <v>8.9080459770114959E-2</v>
      </c>
      <c r="L685">
        <f>IFERROR($J685/IF($A685&lt;COUNTIFS($K$1:L$1,"&lt;&gt;"),0,SUMIFS($J:$J,$B:$B,$B685,$A:$A,"&gt;="&amp;COUNTIFS($K$1:L$1,"&lt;&gt;"))),0)</f>
        <v>9.7484276729559768E-2</v>
      </c>
      <c r="M685">
        <f>IFERROR($J685/IF($A685&lt;COUNTIFS($K$1:M$1,"&lt;&gt;"),0,SUMIFS($J:$J,$B:$B,$B685,$A:$A,"&gt;="&amp;COUNTIFS($K$1:M$1,"&lt;&gt;"))),0)</f>
        <v>0.10801393728222998</v>
      </c>
      <c r="N685">
        <f>IFERROR($J685/IF($A685&lt;COUNTIFS($K$1:N$1,"&lt;&gt;"),0,SUMIFS($J:$J,$B:$B,$B685,$A:$A,"&gt;="&amp;COUNTIFS($K$1:N$1,"&lt;&gt;"))),0)</f>
        <v>0.12109375000000001</v>
      </c>
      <c r="O685">
        <f>IFERROR($J685/IF($A685&lt;COUNTIFS($K$1:O$1,"&lt;&gt;"),0,SUMIFS($J:$J,$B:$B,$B685,$A:$A,"&gt;="&amp;COUNTIFS($K$1:O$1,"&lt;&gt;"))),0)</f>
        <v>0.13716814159292037</v>
      </c>
      <c r="P685">
        <f>IFERROR($J685/IF($A685&lt;COUNTIFS($K$1:P$1,"&lt;&gt;"),0,SUMIFS($J:$J,$B:$B,$B685,$A:$A,"&gt;="&amp;COUNTIFS($K$1:P$1,"&lt;&gt;"))),0)</f>
        <v>0.15897435897435899</v>
      </c>
      <c r="Q685">
        <f>IFERROR($J685/IF($A685&lt;COUNTIFS($K$1:Q$1,"&lt;&gt;"),0,SUMIFS($J:$J,$B:$B,$B685,$A:$A,"&gt;="&amp;COUNTIFS($K$1:Q$1,"&lt;&gt;"))),0)</f>
        <v>0.1878787878787879</v>
      </c>
      <c r="R685">
        <f>IFERROR($J685/IF($A685&lt;COUNTIFS($K$1:R$1,"&lt;&gt;"),0,SUMIFS($J:$J,$B:$B,$B685,$A:$A,"&gt;="&amp;COUNTIFS($K$1:R$1,"&lt;&gt;"))),0)</f>
        <v>0</v>
      </c>
      <c r="S685">
        <f>IFERROR($J685/IF($A685&lt;COUNTIFS($K$1:S$1,"&lt;&gt;"),0,SUMIFS($J:$J,$B:$B,$B685,$A:$A,"&gt;="&amp;COUNTIFS($K$1:S$1,"&lt;&gt;"))),0)</f>
        <v>0</v>
      </c>
      <c r="T685">
        <f>IFERROR($J685/IF($A685&lt;COUNTIFS($K$1:T$1,"&lt;&gt;"),0,SUMIFS($J:$J,$B:$B,$B685,$A:$A,"&gt;="&amp;COUNTIFS($K$1:T$1,"&lt;&gt;"))),0)</f>
        <v>0</v>
      </c>
      <c r="U685">
        <f>IFERROR($J685/IF($A685&lt;COUNTIFS($K$1:U$1,"&lt;&gt;"),0,SUMIFS($J:$J,$B:$B,$B685,$A:$A,"&gt;="&amp;COUNTIFS($K$1:U$1,"&lt;&gt;"))),0)</f>
        <v>0</v>
      </c>
      <c r="V685">
        <f>IFERROR($J685/IF($A685&lt;COUNTIFS($K$1:V$1,"&lt;&gt;"),0,SUMIFS($J:$J,$B:$B,$B685,$A:$A,"&gt;="&amp;COUNTIFS($K$1:V$1,"&lt;&gt;"))),0)</f>
        <v>0</v>
      </c>
      <c r="W685">
        <f t="shared" si="244"/>
        <v>8.4931506849315067E-2</v>
      </c>
      <c r="X685">
        <f t="shared" si="224"/>
        <v>8.4931506849315067E-2</v>
      </c>
      <c r="Y685">
        <f t="shared" si="225"/>
        <v>8.4931506849315067E-2</v>
      </c>
      <c r="Z685">
        <f t="shared" si="226"/>
        <v>8.4931506849315067E-2</v>
      </c>
      <c r="AA685">
        <f t="shared" si="227"/>
        <v>8.4931506849315067E-2</v>
      </c>
      <c r="AB685">
        <f t="shared" si="228"/>
        <v>8.4931506849315067E-2</v>
      </c>
      <c r="AC685">
        <f t="shared" si="229"/>
        <v>8.4931506849315067E-2</v>
      </c>
      <c r="AD685">
        <f t="shared" si="230"/>
        <v>8.4931506849315067E-2</v>
      </c>
      <c r="AE685">
        <f t="shared" si="231"/>
        <v>0</v>
      </c>
      <c r="AF685">
        <f t="shared" si="232"/>
        <v>0</v>
      </c>
      <c r="AG685">
        <f t="shared" si="233"/>
        <v>0</v>
      </c>
      <c r="AH685">
        <f t="shared" si="234"/>
        <v>0</v>
      </c>
      <c r="AI685">
        <f t="shared" si="235"/>
        <v>0</v>
      </c>
      <c r="AJ685" s="2" t="str">
        <f t="shared" si="245"/>
        <v>745413</v>
      </c>
    </row>
    <row r="686" spans="1:36" x14ac:dyDescent="0.25">
      <c r="A686">
        <v>8</v>
      </c>
      <c r="B686" s="1">
        <v>45413</v>
      </c>
      <c r="C686" s="1">
        <f t="shared" si="236"/>
        <v>45658</v>
      </c>
      <c r="D686" s="1">
        <f t="shared" si="237"/>
        <v>45427</v>
      </c>
      <c r="E686" s="1">
        <f t="shared" si="238"/>
        <v>45658</v>
      </c>
      <c r="F686" s="1">
        <f t="shared" si="239"/>
        <v>45689</v>
      </c>
      <c r="G686" s="1">
        <f t="shared" si="240"/>
        <v>45792</v>
      </c>
      <c r="H686">
        <f t="shared" si="241"/>
        <v>365</v>
      </c>
      <c r="I686">
        <f t="shared" si="242"/>
        <v>31</v>
      </c>
      <c r="J686">
        <f t="shared" si="243"/>
        <v>8.4931506849315067E-2</v>
      </c>
      <c r="K686">
        <f>IFERROR($J686/IF($A686&lt;COUNTIFS($K$1:K$1,"&lt;&gt;"),0,SUMIFS($J:$J,$B:$B,$B686,$A:$A,"&gt;="&amp;COUNTIFS($K$1:K$1,"&lt;&gt;"))),0)</f>
        <v>8.9080459770114959E-2</v>
      </c>
      <c r="L686">
        <f>IFERROR($J686/IF($A686&lt;COUNTIFS($K$1:L$1,"&lt;&gt;"),0,SUMIFS($J:$J,$B:$B,$B686,$A:$A,"&gt;="&amp;COUNTIFS($K$1:L$1,"&lt;&gt;"))),0)</f>
        <v>9.7484276729559768E-2</v>
      </c>
      <c r="M686">
        <f>IFERROR($J686/IF($A686&lt;COUNTIFS($K$1:M$1,"&lt;&gt;"),0,SUMIFS($J:$J,$B:$B,$B686,$A:$A,"&gt;="&amp;COUNTIFS($K$1:M$1,"&lt;&gt;"))),0)</f>
        <v>0.10801393728222998</v>
      </c>
      <c r="N686">
        <f>IFERROR($J686/IF($A686&lt;COUNTIFS($K$1:N$1,"&lt;&gt;"),0,SUMIFS($J:$J,$B:$B,$B686,$A:$A,"&gt;="&amp;COUNTIFS($K$1:N$1,"&lt;&gt;"))),0)</f>
        <v>0.12109375000000001</v>
      </c>
      <c r="O686">
        <f>IFERROR($J686/IF($A686&lt;COUNTIFS($K$1:O$1,"&lt;&gt;"),0,SUMIFS($J:$J,$B:$B,$B686,$A:$A,"&gt;="&amp;COUNTIFS($K$1:O$1,"&lt;&gt;"))),0)</f>
        <v>0.13716814159292037</v>
      </c>
      <c r="P686">
        <f>IFERROR($J686/IF($A686&lt;COUNTIFS($K$1:P$1,"&lt;&gt;"),0,SUMIFS($J:$J,$B:$B,$B686,$A:$A,"&gt;="&amp;COUNTIFS($K$1:P$1,"&lt;&gt;"))),0)</f>
        <v>0.15897435897435899</v>
      </c>
      <c r="Q686">
        <f>IFERROR($J686/IF($A686&lt;COUNTIFS($K$1:Q$1,"&lt;&gt;"),0,SUMIFS($J:$J,$B:$B,$B686,$A:$A,"&gt;="&amp;COUNTIFS($K$1:Q$1,"&lt;&gt;"))),0)</f>
        <v>0.1878787878787879</v>
      </c>
      <c r="R686">
        <f>IFERROR($J686/IF($A686&lt;COUNTIFS($K$1:R$1,"&lt;&gt;"),0,SUMIFS($J:$J,$B:$B,$B686,$A:$A,"&gt;="&amp;COUNTIFS($K$1:R$1,"&lt;&gt;"))),0)</f>
        <v>0.23134328358208955</v>
      </c>
      <c r="S686">
        <f>IFERROR($J686/IF($A686&lt;COUNTIFS($K$1:S$1,"&lt;&gt;"),0,SUMIFS($J:$J,$B:$B,$B686,$A:$A,"&gt;="&amp;COUNTIFS($K$1:S$1,"&lt;&gt;"))),0)</f>
        <v>0</v>
      </c>
      <c r="T686">
        <f>IFERROR($J686/IF($A686&lt;COUNTIFS($K$1:T$1,"&lt;&gt;"),0,SUMIFS($J:$J,$B:$B,$B686,$A:$A,"&gt;="&amp;COUNTIFS($K$1:T$1,"&lt;&gt;"))),0)</f>
        <v>0</v>
      </c>
      <c r="U686">
        <f>IFERROR($J686/IF($A686&lt;COUNTIFS($K$1:U$1,"&lt;&gt;"),0,SUMIFS($J:$J,$B:$B,$B686,$A:$A,"&gt;="&amp;COUNTIFS($K$1:U$1,"&lt;&gt;"))),0)</f>
        <v>0</v>
      </c>
      <c r="V686">
        <f>IFERROR($J686/IF($A686&lt;COUNTIFS($K$1:V$1,"&lt;&gt;"),0,SUMIFS($J:$J,$B:$B,$B686,$A:$A,"&gt;="&amp;COUNTIFS($K$1:V$1,"&lt;&gt;"))),0)</f>
        <v>0</v>
      </c>
      <c r="W686">
        <f t="shared" si="244"/>
        <v>8.4931506849315067E-2</v>
      </c>
      <c r="X686">
        <f t="shared" si="224"/>
        <v>8.4931506849315067E-2</v>
      </c>
      <c r="Y686">
        <f t="shared" si="225"/>
        <v>8.4931506849315067E-2</v>
      </c>
      <c r="Z686">
        <f t="shared" si="226"/>
        <v>8.4931506849315067E-2</v>
      </c>
      <c r="AA686">
        <f t="shared" si="227"/>
        <v>8.4931506849315067E-2</v>
      </c>
      <c r="AB686">
        <f t="shared" si="228"/>
        <v>8.4931506849315067E-2</v>
      </c>
      <c r="AC686">
        <f t="shared" si="229"/>
        <v>8.4931506849315067E-2</v>
      </c>
      <c r="AD686">
        <f t="shared" si="230"/>
        <v>8.4931506849315067E-2</v>
      </c>
      <c r="AE686">
        <f t="shared" si="231"/>
        <v>8.4931506849315067E-2</v>
      </c>
      <c r="AF686">
        <f t="shared" si="232"/>
        <v>0</v>
      </c>
      <c r="AG686">
        <f t="shared" si="233"/>
        <v>0</v>
      </c>
      <c r="AH686">
        <f t="shared" si="234"/>
        <v>0</v>
      </c>
      <c r="AI686">
        <f t="shared" si="235"/>
        <v>0</v>
      </c>
      <c r="AJ686" s="2" t="str">
        <f t="shared" si="245"/>
        <v>845413</v>
      </c>
    </row>
    <row r="687" spans="1:36" x14ac:dyDescent="0.25">
      <c r="A687">
        <v>9</v>
      </c>
      <c r="B687" s="1">
        <v>45413</v>
      </c>
      <c r="C687" s="1">
        <f t="shared" si="236"/>
        <v>45689</v>
      </c>
      <c r="D687" s="1">
        <f t="shared" si="237"/>
        <v>45427</v>
      </c>
      <c r="E687" s="1">
        <f t="shared" si="238"/>
        <v>45689</v>
      </c>
      <c r="F687" s="1">
        <f t="shared" si="239"/>
        <v>45717</v>
      </c>
      <c r="G687" s="1">
        <f t="shared" si="240"/>
        <v>45792</v>
      </c>
      <c r="H687">
        <f t="shared" si="241"/>
        <v>365</v>
      </c>
      <c r="I687">
        <f t="shared" si="242"/>
        <v>28</v>
      </c>
      <c r="J687">
        <f t="shared" si="243"/>
        <v>7.6712328767123292E-2</v>
      </c>
      <c r="K687">
        <f>IFERROR($J687/IF($A687&lt;COUNTIFS($K$1:K$1,"&lt;&gt;"),0,SUMIFS($J:$J,$B:$B,$B687,$A:$A,"&gt;="&amp;COUNTIFS($K$1:K$1,"&lt;&gt;"))),0)</f>
        <v>8.0459770114942541E-2</v>
      </c>
      <c r="L687">
        <f>IFERROR($J687/IF($A687&lt;COUNTIFS($K$1:L$1,"&lt;&gt;"),0,SUMIFS($J:$J,$B:$B,$B687,$A:$A,"&gt;="&amp;COUNTIFS($K$1:L$1,"&lt;&gt;"))),0)</f>
        <v>8.8050314465408827E-2</v>
      </c>
      <c r="M687">
        <f>IFERROR($J687/IF($A687&lt;COUNTIFS($K$1:M$1,"&lt;&gt;"),0,SUMIFS($J:$J,$B:$B,$B687,$A:$A,"&gt;="&amp;COUNTIFS($K$1:M$1,"&lt;&gt;"))),0)</f>
        <v>9.7560975609756115E-2</v>
      </c>
      <c r="N687">
        <f>IFERROR($J687/IF($A687&lt;COUNTIFS($K$1:N$1,"&lt;&gt;"),0,SUMIFS($J:$J,$B:$B,$B687,$A:$A,"&gt;="&amp;COUNTIFS($K$1:N$1,"&lt;&gt;"))),0)</f>
        <v>0.10937500000000003</v>
      </c>
      <c r="O687">
        <f>IFERROR($J687/IF($A687&lt;COUNTIFS($K$1:O$1,"&lt;&gt;"),0,SUMIFS($J:$J,$B:$B,$B687,$A:$A,"&gt;="&amp;COUNTIFS($K$1:O$1,"&lt;&gt;"))),0)</f>
        <v>0.12389380530973454</v>
      </c>
      <c r="P687">
        <f>IFERROR($J687/IF($A687&lt;COUNTIFS($K$1:P$1,"&lt;&gt;"),0,SUMIFS($J:$J,$B:$B,$B687,$A:$A,"&gt;="&amp;COUNTIFS($K$1:P$1,"&lt;&gt;"))),0)</f>
        <v>0.14358974358974361</v>
      </c>
      <c r="Q687">
        <f>IFERROR($J687/IF($A687&lt;COUNTIFS($K$1:Q$1,"&lt;&gt;"),0,SUMIFS($J:$J,$B:$B,$B687,$A:$A,"&gt;="&amp;COUNTIFS($K$1:Q$1,"&lt;&gt;"))),0)</f>
        <v>0.16969696969696971</v>
      </c>
      <c r="R687">
        <f>IFERROR($J687/IF($A687&lt;COUNTIFS($K$1:R$1,"&lt;&gt;"),0,SUMIFS($J:$J,$B:$B,$B687,$A:$A,"&gt;="&amp;COUNTIFS($K$1:R$1,"&lt;&gt;"))),0)</f>
        <v>0.20895522388059704</v>
      </c>
      <c r="S687">
        <f>IFERROR($J687/IF($A687&lt;COUNTIFS($K$1:S$1,"&lt;&gt;"),0,SUMIFS($J:$J,$B:$B,$B687,$A:$A,"&gt;="&amp;COUNTIFS($K$1:S$1,"&lt;&gt;"))),0)</f>
        <v>0.27184466019417475</v>
      </c>
      <c r="T687">
        <f>IFERROR($J687/IF($A687&lt;COUNTIFS($K$1:T$1,"&lt;&gt;"),0,SUMIFS($J:$J,$B:$B,$B687,$A:$A,"&gt;="&amp;COUNTIFS($K$1:T$1,"&lt;&gt;"))),0)</f>
        <v>0</v>
      </c>
      <c r="U687">
        <f>IFERROR($J687/IF($A687&lt;COUNTIFS($K$1:U$1,"&lt;&gt;"),0,SUMIFS($J:$J,$B:$B,$B687,$A:$A,"&gt;="&amp;COUNTIFS($K$1:U$1,"&lt;&gt;"))),0)</f>
        <v>0</v>
      </c>
      <c r="V687">
        <f>IFERROR($J687/IF($A687&lt;COUNTIFS($K$1:V$1,"&lt;&gt;"),0,SUMIFS($J:$J,$B:$B,$B687,$A:$A,"&gt;="&amp;COUNTIFS($K$1:V$1,"&lt;&gt;"))),0)</f>
        <v>0</v>
      </c>
      <c r="W687">
        <f t="shared" si="244"/>
        <v>7.6712328767123292E-2</v>
      </c>
      <c r="X687">
        <f t="shared" si="224"/>
        <v>7.6712328767123292E-2</v>
      </c>
      <c r="Y687">
        <f t="shared" si="225"/>
        <v>7.6712328767123292E-2</v>
      </c>
      <c r="Z687">
        <f t="shared" si="226"/>
        <v>7.6712328767123292E-2</v>
      </c>
      <c r="AA687">
        <f t="shared" si="227"/>
        <v>7.6712328767123292E-2</v>
      </c>
      <c r="AB687">
        <f t="shared" si="228"/>
        <v>7.6712328767123292E-2</v>
      </c>
      <c r="AC687">
        <f t="shared" si="229"/>
        <v>7.6712328767123292E-2</v>
      </c>
      <c r="AD687">
        <f t="shared" si="230"/>
        <v>7.6712328767123292E-2</v>
      </c>
      <c r="AE687">
        <f t="shared" si="231"/>
        <v>7.6712328767123292E-2</v>
      </c>
      <c r="AF687">
        <f t="shared" si="232"/>
        <v>7.6712328767123292E-2</v>
      </c>
      <c r="AG687">
        <f t="shared" si="233"/>
        <v>0</v>
      </c>
      <c r="AH687">
        <f t="shared" si="234"/>
        <v>0</v>
      </c>
      <c r="AI687">
        <f t="shared" si="235"/>
        <v>0</v>
      </c>
      <c r="AJ687" s="2" t="str">
        <f t="shared" si="245"/>
        <v>945413</v>
      </c>
    </row>
    <row r="688" spans="1:36" x14ac:dyDescent="0.25">
      <c r="A688">
        <v>10</v>
      </c>
      <c r="B688" s="1">
        <v>45413</v>
      </c>
      <c r="C688" s="1">
        <f t="shared" si="236"/>
        <v>45717</v>
      </c>
      <c r="D688" s="1">
        <f t="shared" si="237"/>
        <v>45427</v>
      </c>
      <c r="E688" s="1">
        <f t="shared" si="238"/>
        <v>45717</v>
      </c>
      <c r="F688" s="1">
        <f t="shared" si="239"/>
        <v>45748</v>
      </c>
      <c r="G688" s="1">
        <f t="shared" si="240"/>
        <v>45792</v>
      </c>
      <c r="H688">
        <f t="shared" si="241"/>
        <v>365</v>
      </c>
      <c r="I688">
        <f t="shared" si="242"/>
        <v>31</v>
      </c>
      <c r="J688">
        <f t="shared" si="243"/>
        <v>8.4931506849315067E-2</v>
      </c>
      <c r="K688">
        <f>IFERROR($J688/IF($A688&lt;COUNTIFS($K$1:K$1,"&lt;&gt;"),0,SUMIFS($J:$J,$B:$B,$B688,$A:$A,"&gt;="&amp;COUNTIFS($K$1:K$1,"&lt;&gt;"))),0)</f>
        <v>8.9080459770114959E-2</v>
      </c>
      <c r="L688">
        <f>IFERROR($J688/IF($A688&lt;COUNTIFS($K$1:L$1,"&lt;&gt;"),0,SUMIFS($J:$J,$B:$B,$B688,$A:$A,"&gt;="&amp;COUNTIFS($K$1:L$1,"&lt;&gt;"))),0)</f>
        <v>9.7484276729559768E-2</v>
      </c>
      <c r="M688">
        <f>IFERROR($J688/IF($A688&lt;COUNTIFS($K$1:M$1,"&lt;&gt;"),0,SUMIFS($J:$J,$B:$B,$B688,$A:$A,"&gt;="&amp;COUNTIFS($K$1:M$1,"&lt;&gt;"))),0)</f>
        <v>0.10801393728222998</v>
      </c>
      <c r="N688">
        <f>IFERROR($J688/IF($A688&lt;COUNTIFS($K$1:N$1,"&lt;&gt;"),0,SUMIFS($J:$J,$B:$B,$B688,$A:$A,"&gt;="&amp;COUNTIFS($K$1:N$1,"&lt;&gt;"))),0)</f>
        <v>0.12109375000000001</v>
      </c>
      <c r="O688">
        <f>IFERROR($J688/IF($A688&lt;COUNTIFS($K$1:O$1,"&lt;&gt;"),0,SUMIFS($J:$J,$B:$B,$B688,$A:$A,"&gt;="&amp;COUNTIFS($K$1:O$1,"&lt;&gt;"))),0)</f>
        <v>0.13716814159292037</v>
      </c>
      <c r="P688">
        <f>IFERROR($J688/IF($A688&lt;COUNTIFS($K$1:P$1,"&lt;&gt;"),0,SUMIFS($J:$J,$B:$B,$B688,$A:$A,"&gt;="&amp;COUNTIFS($K$1:P$1,"&lt;&gt;"))),0)</f>
        <v>0.15897435897435899</v>
      </c>
      <c r="Q688">
        <f>IFERROR($J688/IF($A688&lt;COUNTIFS($K$1:Q$1,"&lt;&gt;"),0,SUMIFS($J:$J,$B:$B,$B688,$A:$A,"&gt;="&amp;COUNTIFS($K$1:Q$1,"&lt;&gt;"))),0)</f>
        <v>0.1878787878787879</v>
      </c>
      <c r="R688">
        <f>IFERROR($J688/IF($A688&lt;COUNTIFS($K$1:R$1,"&lt;&gt;"),0,SUMIFS($J:$J,$B:$B,$B688,$A:$A,"&gt;="&amp;COUNTIFS($K$1:R$1,"&lt;&gt;"))),0)</f>
        <v>0.23134328358208955</v>
      </c>
      <c r="S688">
        <f>IFERROR($J688/IF($A688&lt;COUNTIFS($K$1:S$1,"&lt;&gt;"),0,SUMIFS($J:$J,$B:$B,$B688,$A:$A,"&gt;="&amp;COUNTIFS($K$1:S$1,"&lt;&gt;"))),0)</f>
        <v>0.30097087378640774</v>
      </c>
      <c r="T688">
        <f>IFERROR($J688/IF($A688&lt;COUNTIFS($K$1:T$1,"&lt;&gt;"),0,SUMIFS($J:$J,$B:$B,$B688,$A:$A,"&gt;="&amp;COUNTIFS($K$1:T$1,"&lt;&gt;"))),0)</f>
        <v>0.41333333333333333</v>
      </c>
      <c r="U688">
        <f>IFERROR($J688/IF($A688&lt;COUNTIFS($K$1:U$1,"&lt;&gt;"),0,SUMIFS($J:$J,$B:$B,$B688,$A:$A,"&gt;="&amp;COUNTIFS($K$1:U$1,"&lt;&gt;"))),0)</f>
        <v>0</v>
      </c>
      <c r="V688">
        <f>IFERROR($J688/IF($A688&lt;COUNTIFS($K$1:V$1,"&lt;&gt;"),0,SUMIFS($J:$J,$B:$B,$B688,$A:$A,"&gt;="&amp;COUNTIFS($K$1:V$1,"&lt;&gt;"))),0)</f>
        <v>0</v>
      </c>
      <c r="W688">
        <f t="shared" si="244"/>
        <v>8.4931506849315067E-2</v>
      </c>
      <c r="X688">
        <f t="shared" si="224"/>
        <v>8.4931506849315067E-2</v>
      </c>
      <c r="Y688">
        <f t="shared" si="225"/>
        <v>8.4931506849315067E-2</v>
      </c>
      <c r="Z688">
        <f t="shared" si="226"/>
        <v>8.4931506849315067E-2</v>
      </c>
      <c r="AA688">
        <f t="shared" si="227"/>
        <v>8.4931506849315067E-2</v>
      </c>
      <c r="AB688">
        <f t="shared" si="228"/>
        <v>8.4931506849315067E-2</v>
      </c>
      <c r="AC688">
        <f t="shared" si="229"/>
        <v>8.4931506849315067E-2</v>
      </c>
      <c r="AD688">
        <f t="shared" si="230"/>
        <v>8.4931506849315067E-2</v>
      </c>
      <c r="AE688">
        <f t="shared" si="231"/>
        <v>8.4931506849315067E-2</v>
      </c>
      <c r="AF688">
        <f t="shared" si="232"/>
        <v>8.4931506849315067E-2</v>
      </c>
      <c r="AG688">
        <f t="shared" si="233"/>
        <v>8.4931506849315067E-2</v>
      </c>
      <c r="AH688">
        <f t="shared" si="234"/>
        <v>0</v>
      </c>
      <c r="AI688">
        <f t="shared" si="235"/>
        <v>0</v>
      </c>
      <c r="AJ688" s="2" t="str">
        <f t="shared" si="245"/>
        <v>1045413</v>
      </c>
    </row>
    <row r="689" spans="1:36" x14ac:dyDescent="0.25">
      <c r="A689">
        <v>11</v>
      </c>
      <c r="B689" s="1">
        <v>45413</v>
      </c>
      <c r="C689" s="1">
        <f t="shared" si="236"/>
        <v>45748</v>
      </c>
      <c r="D689" s="1">
        <f t="shared" si="237"/>
        <v>45427</v>
      </c>
      <c r="E689" s="1">
        <f t="shared" si="238"/>
        <v>45748</v>
      </c>
      <c r="F689" s="1">
        <f t="shared" si="239"/>
        <v>45778</v>
      </c>
      <c r="G689" s="1">
        <f t="shared" si="240"/>
        <v>45792</v>
      </c>
      <c r="H689">
        <f t="shared" si="241"/>
        <v>365</v>
      </c>
      <c r="I689">
        <f t="shared" si="242"/>
        <v>30</v>
      </c>
      <c r="J689">
        <f t="shared" si="243"/>
        <v>8.2191780821917804E-2</v>
      </c>
      <c r="K689">
        <f>IFERROR($J689/IF($A689&lt;COUNTIFS($K$1:K$1,"&lt;&gt;"),0,SUMIFS($J:$J,$B:$B,$B689,$A:$A,"&gt;="&amp;COUNTIFS($K$1:K$1,"&lt;&gt;"))),0)</f>
        <v>8.6206896551724144E-2</v>
      </c>
      <c r="L689">
        <f>IFERROR($J689/IF($A689&lt;COUNTIFS($K$1:L$1,"&lt;&gt;"),0,SUMIFS($J:$J,$B:$B,$B689,$A:$A,"&gt;="&amp;COUNTIFS($K$1:L$1,"&lt;&gt;"))),0)</f>
        <v>9.4339622641509441E-2</v>
      </c>
      <c r="M689">
        <f>IFERROR($J689/IF($A689&lt;COUNTIFS($K$1:M$1,"&lt;&gt;"),0,SUMIFS($J:$J,$B:$B,$B689,$A:$A,"&gt;="&amp;COUNTIFS($K$1:M$1,"&lt;&gt;"))),0)</f>
        <v>0.10452961672473869</v>
      </c>
      <c r="N689">
        <f>IFERROR($J689/IF($A689&lt;COUNTIFS($K$1:N$1,"&lt;&gt;"),0,SUMIFS($J:$J,$B:$B,$B689,$A:$A,"&gt;="&amp;COUNTIFS($K$1:N$1,"&lt;&gt;"))),0)</f>
        <v>0.11718750000000001</v>
      </c>
      <c r="O689">
        <f>IFERROR($J689/IF($A689&lt;COUNTIFS($K$1:O$1,"&lt;&gt;"),0,SUMIFS($J:$J,$B:$B,$B689,$A:$A,"&gt;="&amp;COUNTIFS($K$1:O$1,"&lt;&gt;"))),0)</f>
        <v>0.13274336283185842</v>
      </c>
      <c r="P689">
        <f>IFERROR($J689/IF($A689&lt;COUNTIFS($K$1:P$1,"&lt;&gt;"),0,SUMIFS($J:$J,$B:$B,$B689,$A:$A,"&gt;="&amp;COUNTIFS($K$1:P$1,"&lt;&gt;"))),0)</f>
        <v>0.15384615384615385</v>
      </c>
      <c r="Q689">
        <f>IFERROR($J689/IF($A689&lt;COUNTIFS($K$1:Q$1,"&lt;&gt;"),0,SUMIFS($J:$J,$B:$B,$B689,$A:$A,"&gt;="&amp;COUNTIFS($K$1:Q$1,"&lt;&gt;"))),0)</f>
        <v>0.18181818181818182</v>
      </c>
      <c r="R689">
        <f>IFERROR($J689/IF($A689&lt;COUNTIFS($K$1:R$1,"&lt;&gt;"),0,SUMIFS($J:$J,$B:$B,$B689,$A:$A,"&gt;="&amp;COUNTIFS($K$1:R$1,"&lt;&gt;"))),0)</f>
        <v>0.22388059701492535</v>
      </c>
      <c r="S689">
        <f>IFERROR($J689/IF($A689&lt;COUNTIFS($K$1:S$1,"&lt;&gt;"),0,SUMIFS($J:$J,$B:$B,$B689,$A:$A,"&gt;="&amp;COUNTIFS($K$1:S$1,"&lt;&gt;"))),0)</f>
        <v>0.29126213592233008</v>
      </c>
      <c r="T689">
        <f>IFERROR($J689/IF($A689&lt;COUNTIFS($K$1:T$1,"&lt;&gt;"),0,SUMIFS($J:$J,$B:$B,$B689,$A:$A,"&gt;="&amp;COUNTIFS($K$1:T$1,"&lt;&gt;"))),0)</f>
        <v>0.4</v>
      </c>
      <c r="U689">
        <f>IFERROR($J689/IF($A689&lt;COUNTIFS($K$1:U$1,"&lt;&gt;"),0,SUMIFS($J:$J,$B:$B,$B689,$A:$A,"&gt;="&amp;COUNTIFS($K$1:U$1,"&lt;&gt;"))),0)</f>
        <v>0.68181818181818177</v>
      </c>
      <c r="V689">
        <f>IFERROR($J689/IF($A689&lt;COUNTIFS($K$1:V$1,"&lt;&gt;"),0,SUMIFS($J:$J,$B:$B,$B689,$A:$A,"&gt;="&amp;COUNTIFS($K$1:V$1,"&lt;&gt;"))),0)</f>
        <v>0</v>
      </c>
      <c r="W689">
        <f t="shared" si="244"/>
        <v>8.2191780821917804E-2</v>
      </c>
      <c r="X689">
        <f t="shared" si="224"/>
        <v>8.2191780821917804E-2</v>
      </c>
      <c r="Y689">
        <f t="shared" si="225"/>
        <v>8.2191780821917804E-2</v>
      </c>
      <c r="Z689">
        <f t="shared" si="226"/>
        <v>8.2191780821917804E-2</v>
      </c>
      <c r="AA689">
        <f t="shared" si="227"/>
        <v>8.2191780821917804E-2</v>
      </c>
      <c r="AB689">
        <f t="shared" si="228"/>
        <v>8.2191780821917804E-2</v>
      </c>
      <c r="AC689">
        <f t="shared" si="229"/>
        <v>8.2191780821917804E-2</v>
      </c>
      <c r="AD689">
        <f t="shared" si="230"/>
        <v>8.2191780821917804E-2</v>
      </c>
      <c r="AE689">
        <f t="shared" si="231"/>
        <v>8.2191780821917804E-2</v>
      </c>
      <c r="AF689">
        <f t="shared" si="232"/>
        <v>8.2191780821917804E-2</v>
      </c>
      <c r="AG689">
        <f t="shared" si="233"/>
        <v>8.2191780821917804E-2</v>
      </c>
      <c r="AH689">
        <f t="shared" si="234"/>
        <v>8.2191780821917804E-2</v>
      </c>
      <c r="AI689">
        <f t="shared" si="235"/>
        <v>0</v>
      </c>
      <c r="AJ689" s="2" t="str">
        <f t="shared" si="245"/>
        <v>1145413</v>
      </c>
    </row>
    <row r="690" spans="1:36" x14ac:dyDescent="0.25">
      <c r="A690">
        <v>12</v>
      </c>
      <c r="B690" s="1">
        <v>45413</v>
      </c>
      <c r="C690" s="1">
        <f t="shared" si="236"/>
        <v>45778</v>
      </c>
      <c r="D690" s="1">
        <f t="shared" si="237"/>
        <v>45427</v>
      </c>
      <c r="E690" s="1">
        <f t="shared" si="238"/>
        <v>45778</v>
      </c>
      <c r="F690" s="1">
        <f t="shared" si="239"/>
        <v>45792</v>
      </c>
      <c r="G690" s="1">
        <f t="shared" si="240"/>
        <v>45792</v>
      </c>
      <c r="H690">
        <f t="shared" si="241"/>
        <v>365</v>
      </c>
      <c r="I690">
        <f t="shared" si="242"/>
        <v>14</v>
      </c>
      <c r="J690">
        <f t="shared" si="243"/>
        <v>3.8356164383561646E-2</v>
      </c>
      <c r="K690">
        <f>IFERROR($J690/IF($A690&lt;COUNTIFS($K$1:K$1,"&lt;&gt;"),0,SUMIFS($J:$J,$B:$B,$B690,$A:$A,"&gt;="&amp;COUNTIFS($K$1:K$1,"&lt;&gt;"))),0)</f>
        <v>4.0229885057471271E-2</v>
      </c>
      <c r="L690">
        <f>IFERROR($J690/IF($A690&lt;COUNTIFS($K$1:L$1,"&lt;&gt;"),0,SUMIFS($J:$J,$B:$B,$B690,$A:$A,"&gt;="&amp;COUNTIFS($K$1:L$1,"&lt;&gt;"))),0)</f>
        <v>4.4025157232704414E-2</v>
      </c>
      <c r="M690">
        <f>IFERROR($J690/IF($A690&lt;COUNTIFS($K$1:M$1,"&lt;&gt;"),0,SUMIFS($J:$J,$B:$B,$B690,$A:$A,"&gt;="&amp;COUNTIFS($K$1:M$1,"&lt;&gt;"))),0)</f>
        <v>4.8780487804878057E-2</v>
      </c>
      <c r="N690">
        <f>IFERROR($J690/IF($A690&lt;COUNTIFS($K$1:N$1,"&lt;&gt;"),0,SUMIFS($J:$J,$B:$B,$B690,$A:$A,"&gt;="&amp;COUNTIFS($K$1:N$1,"&lt;&gt;"))),0)</f>
        <v>5.4687500000000014E-2</v>
      </c>
      <c r="O690">
        <f>IFERROR($J690/IF($A690&lt;COUNTIFS($K$1:O$1,"&lt;&gt;"),0,SUMIFS($J:$J,$B:$B,$B690,$A:$A,"&gt;="&amp;COUNTIFS($K$1:O$1,"&lt;&gt;"))),0)</f>
        <v>6.194690265486727E-2</v>
      </c>
      <c r="P690">
        <f>IFERROR($J690/IF($A690&lt;COUNTIFS($K$1:P$1,"&lt;&gt;"),0,SUMIFS($J:$J,$B:$B,$B690,$A:$A,"&gt;="&amp;COUNTIFS($K$1:P$1,"&lt;&gt;"))),0)</f>
        <v>7.1794871794871803E-2</v>
      </c>
      <c r="Q690">
        <f>IFERROR($J690/IF($A690&lt;COUNTIFS($K$1:Q$1,"&lt;&gt;"),0,SUMIFS($J:$J,$B:$B,$B690,$A:$A,"&gt;="&amp;COUNTIFS($K$1:Q$1,"&lt;&gt;"))),0)</f>
        <v>8.4848484848484854E-2</v>
      </c>
      <c r="R690">
        <f>IFERROR($J690/IF($A690&lt;COUNTIFS($K$1:R$1,"&lt;&gt;"),0,SUMIFS($J:$J,$B:$B,$B690,$A:$A,"&gt;="&amp;COUNTIFS($K$1:R$1,"&lt;&gt;"))),0)</f>
        <v>0.10447761194029852</v>
      </c>
      <c r="S690">
        <f>IFERROR($J690/IF($A690&lt;COUNTIFS($K$1:S$1,"&lt;&gt;"),0,SUMIFS($J:$J,$B:$B,$B690,$A:$A,"&gt;="&amp;COUNTIFS($K$1:S$1,"&lt;&gt;"))),0)</f>
        <v>0.13592233009708737</v>
      </c>
      <c r="T690">
        <f>IFERROR($J690/IF($A690&lt;COUNTIFS($K$1:T$1,"&lt;&gt;"),0,SUMIFS($J:$J,$B:$B,$B690,$A:$A,"&gt;="&amp;COUNTIFS($K$1:T$1,"&lt;&gt;"))),0)</f>
        <v>0.18666666666666668</v>
      </c>
      <c r="U690">
        <f>IFERROR($J690/IF($A690&lt;COUNTIFS($K$1:U$1,"&lt;&gt;"),0,SUMIFS($J:$J,$B:$B,$B690,$A:$A,"&gt;="&amp;COUNTIFS($K$1:U$1,"&lt;&gt;"))),0)</f>
        <v>0.31818181818181818</v>
      </c>
      <c r="V690">
        <f>IFERROR($J690/IF($A690&lt;COUNTIFS($K$1:V$1,"&lt;&gt;"),0,SUMIFS($J:$J,$B:$B,$B690,$A:$A,"&gt;="&amp;COUNTIFS($K$1:V$1,"&lt;&gt;"))),0)</f>
        <v>1</v>
      </c>
      <c r="W690">
        <f t="shared" si="244"/>
        <v>3.8356164383561646E-2</v>
      </c>
      <c r="X690">
        <f t="shared" si="224"/>
        <v>3.8356164383561646E-2</v>
      </c>
      <c r="Y690">
        <f t="shared" si="225"/>
        <v>3.8356164383561646E-2</v>
      </c>
      <c r="Z690">
        <f t="shared" si="226"/>
        <v>3.8356164383561646E-2</v>
      </c>
      <c r="AA690">
        <f t="shared" si="227"/>
        <v>3.8356164383561646E-2</v>
      </c>
      <c r="AB690">
        <f t="shared" si="228"/>
        <v>3.8356164383561646E-2</v>
      </c>
      <c r="AC690">
        <f t="shared" si="229"/>
        <v>3.8356164383561646E-2</v>
      </c>
      <c r="AD690">
        <f t="shared" si="230"/>
        <v>3.8356164383561646E-2</v>
      </c>
      <c r="AE690">
        <f t="shared" si="231"/>
        <v>3.8356164383561646E-2</v>
      </c>
      <c r="AF690">
        <f t="shared" si="232"/>
        <v>3.8356164383561646E-2</v>
      </c>
      <c r="AG690">
        <f t="shared" si="233"/>
        <v>3.8356164383561646E-2</v>
      </c>
      <c r="AH690">
        <f t="shared" si="234"/>
        <v>3.8356164383561646E-2</v>
      </c>
      <c r="AI690">
        <f t="shared" si="235"/>
        <v>3.8356164383561646E-2</v>
      </c>
      <c r="AJ690" s="2" t="str">
        <f t="shared" si="245"/>
        <v>1245413</v>
      </c>
    </row>
    <row r="691" spans="1:36" x14ac:dyDescent="0.25">
      <c r="A691">
        <v>0</v>
      </c>
      <c r="B691" s="1">
        <v>45444</v>
      </c>
      <c r="C691" s="1">
        <f t="shared" si="236"/>
        <v>45444</v>
      </c>
      <c r="D691" s="1">
        <f t="shared" si="237"/>
        <v>45458</v>
      </c>
      <c r="E691" s="1">
        <f t="shared" si="238"/>
        <v>45458</v>
      </c>
      <c r="F691" s="1">
        <f t="shared" si="239"/>
        <v>45474</v>
      </c>
      <c r="G691" s="1">
        <f t="shared" si="240"/>
        <v>45823</v>
      </c>
      <c r="H691">
        <f t="shared" si="241"/>
        <v>365</v>
      </c>
      <c r="I691">
        <f t="shared" si="242"/>
        <v>16</v>
      </c>
      <c r="J691">
        <f t="shared" si="243"/>
        <v>4.3835616438356165E-2</v>
      </c>
      <c r="K691">
        <f>IFERROR($J691/IF($A691&lt;COUNTIFS($K$1:K$1,"&lt;&gt;"),0,SUMIFS($J:$J,$B:$B,$B691,$A:$A,"&gt;="&amp;COUNTIFS($K$1:K$1,"&lt;&gt;"))),0)</f>
        <v>0</v>
      </c>
      <c r="L691">
        <f>IFERROR($J691/IF($A691&lt;COUNTIFS($K$1:L$1,"&lt;&gt;"),0,SUMIFS($J:$J,$B:$B,$B691,$A:$A,"&gt;="&amp;COUNTIFS($K$1:L$1,"&lt;&gt;"))),0)</f>
        <v>0</v>
      </c>
      <c r="M691">
        <f>IFERROR($J691/IF($A691&lt;COUNTIFS($K$1:M$1,"&lt;&gt;"),0,SUMIFS($J:$J,$B:$B,$B691,$A:$A,"&gt;="&amp;COUNTIFS($K$1:M$1,"&lt;&gt;"))),0)</f>
        <v>0</v>
      </c>
      <c r="N691">
        <f>IFERROR($J691/IF($A691&lt;COUNTIFS($K$1:N$1,"&lt;&gt;"),0,SUMIFS($J:$J,$B:$B,$B691,$A:$A,"&gt;="&amp;COUNTIFS($K$1:N$1,"&lt;&gt;"))),0)</f>
        <v>0</v>
      </c>
      <c r="O691">
        <f>IFERROR($J691/IF($A691&lt;COUNTIFS($K$1:O$1,"&lt;&gt;"),0,SUMIFS($J:$J,$B:$B,$B691,$A:$A,"&gt;="&amp;COUNTIFS($K$1:O$1,"&lt;&gt;"))),0)</f>
        <v>0</v>
      </c>
      <c r="P691">
        <f>IFERROR($J691/IF($A691&lt;COUNTIFS($K$1:P$1,"&lt;&gt;"),0,SUMIFS($J:$J,$B:$B,$B691,$A:$A,"&gt;="&amp;COUNTIFS($K$1:P$1,"&lt;&gt;"))),0)</f>
        <v>0</v>
      </c>
      <c r="Q691">
        <f>IFERROR($J691/IF($A691&lt;COUNTIFS($K$1:Q$1,"&lt;&gt;"),0,SUMIFS($J:$J,$B:$B,$B691,$A:$A,"&gt;="&amp;COUNTIFS($K$1:Q$1,"&lt;&gt;"))),0)</f>
        <v>0</v>
      </c>
      <c r="R691">
        <f>IFERROR($J691/IF($A691&lt;COUNTIFS($K$1:R$1,"&lt;&gt;"),0,SUMIFS($J:$J,$B:$B,$B691,$A:$A,"&gt;="&amp;COUNTIFS($K$1:R$1,"&lt;&gt;"))),0)</f>
        <v>0</v>
      </c>
      <c r="S691">
        <f>IFERROR($J691/IF($A691&lt;COUNTIFS($K$1:S$1,"&lt;&gt;"),0,SUMIFS($J:$J,$B:$B,$B691,$A:$A,"&gt;="&amp;COUNTIFS($K$1:S$1,"&lt;&gt;"))),0)</f>
        <v>0</v>
      </c>
      <c r="T691">
        <f>IFERROR($J691/IF($A691&lt;COUNTIFS($K$1:T$1,"&lt;&gt;"),0,SUMIFS($J:$J,$B:$B,$B691,$A:$A,"&gt;="&amp;COUNTIFS($K$1:T$1,"&lt;&gt;"))),0)</f>
        <v>0</v>
      </c>
      <c r="U691">
        <f>IFERROR($J691/IF($A691&lt;COUNTIFS($K$1:U$1,"&lt;&gt;"),0,SUMIFS($J:$J,$B:$B,$B691,$A:$A,"&gt;="&amp;COUNTIFS($K$1:U$1,"&lt;&gt;"))),0)</f>
        <v>0</v>
      </c>
      <c r="V691">
        <f>IFERROR($J691/IF($A691&lt;COUNTIFS($K$1:V$1,"&lt;&gt;"),0,SUMIFS($J:$J,$B:$B,$B691,$A:$A,"&gt;="&amp;COUNTIFS($K$1:V$1,"&lt;&gt;"))),0)</f>
        <v>0</v>
      </c>
      <c r="W691">
        <f t="shared" si="244"/>
        <v>4.3835616438356165E-2</v>
      </c>
      <c r="X691">
        <f t="shared" si="224"/>
        <v>0</v>
      </c>
      <c r="Y691">
        <f t="shared" si="225"/>
        <v>0</v>
      </c>
      <c r="Z691">
        <f t="shared" si="226"/>
        <v>0</v>
      </c>
      <c r="AA691">
        <f t="shared" si="227"/>
        <v>0</v>
      </c>
      <c r="AB691">
        <f t="shared" si="228"/>
        <v>0</v>
      </c>
      <c r="AC691">
        <f t="shared" si="229"/>
        <v>0</v>
      </c>
      <c r="AD691">
        <f t="shared" si="230"/>
        <v>0</v>
      </c>
      <c r="AE691">
        <f t="shared" si="231"/>
        <v>0</v>
      </c>
      <c r="AF691">
        <f t="shared" si="232"/>
        <v>0</v>
      </c>
      <c r="AG691">
        <f t="shared" si="233"/>
        <v>0</v>
      </c>
      <c r="AH691">
        <f t="shared" si="234"/>
        <v>0</v>
      </c>
      <c r="AI691">
        <f t="shared" si="235"/>
        <v>0</v>
      </c>
      <c r="AJ691" s="2" t="str">
        <f t="shared" si="245"/>
        <v>045444</v>
      </c>
    </row>
    <row r="692" spans="1:36" x14ac:dyDescent="0.25">
      <c r="A692">
        <v>1</v>
      </c>
      <c r="B692" s="1">
        <v>45444</v>
      </c>
      <c r="C692" s="1">
        <f t="shared" si="236"/>
        <v>45474</v>
      </c>
      <c r="D692" s="1">
        <f t="shared" si="237"/>
        <v>45458</v>
      </c>
      <c r="E692" s="1">
        <f t="shared" si="238"/>
        <v>45474</v>
      </c>
      <c r="F692" s="1">
        <f t="shared" si="239"/>
        <v>45505</v>
      </c>
      <c r="G692" s="1">
        <f t="shared" si="240"/>
        <v>45823</v>
      </c>
      <c r="H692">
        <f t="shared" si="241"/>
        <v>365</v>
      </c>
      <c r="I692">
        <f t="shared" si="242"/>
        <v>31</v>
      </c>
      <c r="J692">
        <f t="shared" si="243"/>
        <v>8.4931506849315067E-2</v>
      </c>
      <c r="K692">
        <f>IFERROR($J692/IF($A692&lt;COUNTIFS($K$1:K$1,"&lt;&gt;"),0,SUMIFS($J:$J,$B:$B,$B692,$A:$A,"&gt;="&amp;COUNTIFS($K$1:K$1,"&lt;&gt;"))),0)</f>
        <v>8.8825214899713484E-2</v>
      </c>
      <c r="L692">
        <f>IFERROR($J692/IF($A692&lt;COUNTIFS($K$1:L$1,"&lt;&gt;"),0,SUMIFS($J:$J,$B:$B,$B692,$A:$A,"&gt;="&amp;COUNTIFS($K$1:L$1,"&lt;&gt;"))),0)</f>
        <v>0</v>
      </c>
      <c r="M692">
        <f>IFERROR($J692/IF($A692&lt;COUNTIFS($K$1:M$1,"&lt;&gt;"),0,SUMIFS($J:$J,$B:$B,$B692,$A:$A,"&gt;="&amp;COUNTIFS($K$1:M$1,"&lt;&gt;"))),0)</f>
        <v>0</v>
      </c>
      <c r="N692">
        <f>IFERROR($J692/IF($A692&lt;COUNTIFS($K$1:N$1,"&lt;&gt;"),0,SUMIFS($J:$J,$B:$B,$B692,$A:$A,"&gt;="&amp;COUNTIFS($K$1:N$1,"&lt;&gt;"))),0)</f>
        <v>0</v>
      </c>
      <c r="O692">
        <f>IFERROR($J692/IF($A692&lt;COUNTIFS($K$1:O$1,"&lt;&gt;"),0,SUMIFS($J:$J,$B:$B,$B692,$A:$A,"&gt;="&amp;COUNTIFS($K$1:O$1,"&lt;&gt;"))),0)</f>
        <v>0</v>
      </c>
      <c r="P692">
        <f>IFERROR($J692/IF($A692&lt;COUNTIFS($K$1:P$1,"&lt;&gt;"),0,SUMIFS($J:$J,$B:$B,$B692,$A:$A,"&gt;="&amp;COUNTIFS($K$1:P$1,"&lt;&gt;"))),0)</f>
        <v>0</v>
      </c>
      <c r="Q692">
        <f>IFERROR($J692/IF($A692&lt;COUNTIFS($K$1:Q$1,"&lt;&gt;"),0,SUMIFS($J:$J,$B:$B,$B692,$A:$A,"&gt;="&amp;COUNTIFS($K$1:Q$1,"&lt;&gt;"))),0)</f>
        <v>0</v>
      </c>
      <c r="R692">
        <f>IFERROR($J692/IF($A692&lt;COUNTIFS($K$1:R$1,"&lt;&gt;"),0,SUMIFS($J:$J,$B:$B,$B692,$A:$A,"&gt;="&amp;COUNTIFS($K$1:R$1,"&lt;&gt;"))),0)</f>
        <v>0</v>
      </c>
      <c r="S692">
        <f>IFERROR($J692/IF($A692&lt;COUNTIFS($K$1:S$1,"&lt;&gt;"),0,SUMIFS($J:$J,$B:$B,$B692,$A:$A,"&gt;="&amp;COUNTIFS($K$1:S$1,"&lt;&gt;"))),0)</f>
        <v>0</v>
      </c>
      <c r="T692">
        <f>IFERROR($J692/IF($A692&lt;COUNTIFS($K$1:T$1,"&lt;&gt;"),0,SUMIFS($J:$J,$B:$B,$B692,$A:$A,"&gt;="&amp;COUNTIFS($K$1:T$1,"&lt;&gt;"))),0)</f>
        <v>0</v>
      </c>
      <c r="U692">
        <f>IFERROR($J692/IF($A692&lt;COUNTIFS($K$1:U$1,"&lt;&gt;"),0,SUMIFS($J:$J,$B:$B,$B692,$A:$A,"&gt;="&amp;COUNTIFS($K$1:U$1,"&lt;&gt;"))),0)</f>
        <v>0</v>
      </c>
      <c r="V692">
        <f>IFERROR($J692/IF($A692&lt;COUNTIFS($K$1:V$1,"&lt;&gt;"),0,SUMIFS($J:$J,$B:$B,$B692,$A:$A,"&gt;="&amp;COUNTIFS($K$1:V$1,"&lt;&gt;"))),0)</f>
        <v>0</v>
      </c>
      <c r="W692">
        <f t="shared" si="244"/>
        <v>8.4931506849315067E-2</v>
      </c>
      <c r="X692">
        <f t="shared" si="224"/>
        <v>8.4931506849315067E-2</v>
      </c>
      <c r="Y692">
        <f t="shared" si="225"/>
        <v>0</v>
      </c>
      <c r="Z692">
        <f t="shared" si="226"/>
        <v>0</v>
      </c>
      <c r="AA692">
        <f t="shared" si="227"/>
        <v>0</v>
      </c>
      <c r="AB692">
        <f t="shared" si="228"/>
        <v>0</v>
      </c>
      <c r="AC692">
        <f t="shared" si="229"/>
        <v>0</v>
      </c>
      <c r="AD692">
        <f t="shared" si="230"/>
        <v>0</v>
      </c>
      <c r="AE692">
        <f t="shared" si="231"/>
        <v>0</v>
      </c>
      <c r="AF692">
        <f t="shared" si="232"/>
        <v>0</v>
      </c>
      <c r="AG692">
        <f t="shared" si="233"/>
        <v>0</v>
      </c>
      <c r="AH692">
        <f t="shared" si="234"/>
        <v>0</v>
      </c>
      <c r="AI692">
        <f t="shared" si="235"/>
        <v>0</v>
      </c>
      <c r="AJ692" s="2" t="str">
        <f t="shared" si="245"/>
        <v>145444</v>
      </c>
    </row>
    <row r="693" spans="1:36" x14ac:dyDescent="0.25">
      <c r="A693">
        <v>2</v>
      </c>
      <c r="B693" s="1">
        <v>45444</v>
      </c>
      <c r="C693" s="1">
        <f t="shared" si="236"/>
        <v>45505</v>
      </c>
      <c r="D693" s="1">
        <f t="shared" si="237"/>
        <v>45458</v>
      </c>
      <c r="E693" s="1">
        <f t="shared" si="238"/>
        <v>45505</v>
      </c>
      <c r="F693" s="1">
        <f t="shared" si="239"/>
        <v>45536</v>
      </c>
      <c r="G693" s="1">
        <f t="shared" si="240"/>
        <v>45823</v>
      </c>
      <c r="H693">
        <f t="shared" si="241"/>
        <v>365</v>
      </c>
      <c r="I693">
        <f t="shared" si="242"/>
        <v>31</v>
      </c>
      <c r="J693">
        <f t="shared" si="243"/>
        <v>8.4931506849315067E-2</v>
      </c>
      <c r="K693">
        <f>IFERROR($J693/IF($A693&lt;COUNTIFS($K$1:K$1,"&lt;&gt;"),0,SUMIFS($J:$J,$B:$B,$B693,$A:$A,"&gt;="&amp;COUNTIFS($K$1:K$1,"&lt;&gt;"))),0)</f>
        <v>8.8825214899713484E-2</v>
      </c>
      <c r="L693">
        <f>IFERROR($J693/IF($A693&lt;COUNTIFS($K$1:L$1,"&lt;&gt;"),0,SUMIFS($J:$J,$B:$B,$B693,$A:$A,"&gt;="&amp;COUNTIFS($K$1:L$1,"&lt;&gt;"))),0)</f>
        <v>9.7484276729559768E-2</v>
      </c>
      <c r="M693">
        <f>IFERROR($J693/IF($A693&lt;COUNTIFS($K$1:M$1,"&lt;&gt;"),0,SUMIFS($J:$J,$B:$B,$B693,$A:$A,"&gt;="&amp;COUNTIFS($K$1:M$1,"&lt;&gt;"))),0)</f>
        <v>0</v>
      </c>
      <c r="N693">
        <f>IFERROR($J693/IF($A693&lt;COUNTIFS($K$1:N$1,"&lt;&gt;"),0,SUMIFS($J:$J,$B:$B,$B693,$A:$A,"&gt;="&amp;COUNTIFS($K$1:N$1,"&lt;&gt;"))),0)</f>
        <v>0</v>
      </c>
      <c r="O693">
        <f>IFERROR($J693/IF($A693&lt;COUNTIFS($K$1:O$1,"&lt;&gt;"),0,SUMIFS($J:$J,$B:$B,$B693,$A:$A,"&gt;="&amp;COUNTIFS($K$1:O$1,"&lt;&gt;"))),0)</f>
        <v>0</v>
      </c>
      <c r="P693">
        <f>IFERROR($J693/IF($A693&lt;COUNTIFS($K$1:P$1,"&lt;&gt;"),0,SUMIFS($J:$J,$B:$B,$B693,$A:$A,"&gt;="&amp;COUNTIFS($K$1:P$1,"&lt;&gt;"))),0)</f>
        <v>0</v>
      </c>
      <c r="Q693">
        <f>IFERROR($J693/IF($A693&lt;COUNTIFS($K$1:Q$1,"&lt;&gt;"),0,SUMIFS($J:$J,$B:$B,$B693,$A:$A,"&gt;="&amp;COUNTIFS($K$1:Q$1,"&lt;&gt;"))),0)</f>
        <v>0</v>
      </c>
      <c r="R693">
        <f>IFERROR($J693/IF($A693&lt;COUNTIFS($K$1:R$1,"&lt;&gt;"),0,SUMIFS($J:$J,$B:$B,$B693,$A:$A,"&gt;="&amp;COUNTIFS($K$1:R$1,"&lt;&gt;"))),0)</f>
        <v>0</v>
      </c>
      <c r="S693">
        <f>IFERROR($J693/IF($A693&lt;COUNTIFS($K$1:S$1,"&lt;&gt;"),0,SUMIFS($J:$J,$B:$B,$B693,$A:$A,"&gt;="&amp;COUNTIFS($K$1:S$1,"&lt;&gt;"))),0)</f>
        <v>0</v>
      </c>
      <c r="T693">
        <f>IFERROR($J693/IF($A693&lt;COUNTIFS($K$1:T$1,"&lt;&gt;"),0,SUMIFS($J:$J,$B:$B,$B693,$A:$A,"&gt;="&amp;COUNTIFS($K$1:T$1,"&lt;&gt;"))),0)</f>
        <v>0</v>
      </c>
      <c r="U693">
        <f>IFERROR($J693/IF($A693&lt;COUNTIFS($K$1:U$1,"&lt;&gt;"),0,SUMIFS($J:$J,$B:$B,$B693,$A:$A,"&gt;="&amp;COUNTIFS($K$1:U$1,"&lt;&gt;"))),0)</f>
        <v>0</v>
      </c>
      <c r="V693">
        <f>IFERROR($J693/IF($A693&lt;COUNTIFS($K$1:V$1,"&lt;&gt;"),0,SUMIFS($J:$J,$B:$B,$B693,$A:$A,"&gt;="&amp;COUNTIFS($K$1:V$1,"&lt;&gt;"))),0)</f>
        <v>0</v>
      </c>
      <c r="W693">
        <f t="shared" si="244"/>
        <v>8.4931506849315067E-2</v>
      </c>
      <c r="X693">
        <f t="shared" si="224"/>
        <v>8.4931506849315067E-2</v>
      </c>
      <c r="Y693">
        <f t="shared" si="225"/>
        <v>8.4931506849315067E-2</v>
      </c>
      <c r="Z693">
        <f t="shared" si="226"/>
        <v>0</v>
      </c>
      <c r="AA693">
        <f t="shared" si="227"/>
        <v>0</v>
      </c>
      <c r="AB693">
        <f t="shared" si="228"/>
        <v>0</v>
      </c>
      <c r="AC693">
        <f t="shared" si="229"/>
        <v>0</v>
      </c>
      <c r="AD693">
        <f t="shared" si="230"/>
        <v>0</v>
      </c>
      <c r="AE693">
        <f t="shared" si="231"/>
        <v>0</v>
      </c>
      <c r="AF693">
        <f t="shared" si="232"/>
        <v>0</v>
      </c>
      <c r="AG693">
        <f t="shared" si="233"/>
        <v>0</v>
      </c>
      <c r="AH693">
        <f t="shared" si="234"/>
        <v>0</v>
      </c>
      <c r="AI693">
        <f t="shared" si="235"/>
        <v>0</v>
      </c>
      <c r="AJ693" s="2" t="str">
        <f t="shared" si="245"/>
        <v>245444</v>
      </c>
    </row>
    <row r="694" spans="1:36" x14ac:dyDescent="0.25">
      <c r="A694">
        <v>3</v>
      </c>
      <c r="B694" s="1">
        <v>45444</v>
      </c>
      <c r="C694" s="1">
        <f t="shared" si="236"/>
        <v>45536</v>
      </c>
      <c r="D694" s="1">
        <f t="shared" si="237"/>
        <v>45458</v>
      </c>
      <c r="E694" s="1">
        <f t="shared" si="238"/>
        <v>45536</v>
      </c>
      <c r="F694" s="1">
        <f t="shared" si="239"/>
        <v>45566</v>
      </c>
      <c r="G694" s="1">
        <f t="shared" si="240"/>
        <v>45823</v>
      </c>
      <c r="H694">
        <f t="shared" si="241"/>
        <v>365</v>
      </c>
      <c r="I694">
        <f t="shared" si="242"/>
        <v>30</v>
      </c>
      <c r="J694">
        <f t="shared" si="243"/>
        <v>8.2191780821917804E-2</v>
      </c>
      <c r="K694">
        <f>IFERROR($J694/IF($A694&lt;COUNTIFS($K$1:K$1,"&lt;&gt;"),0,SUMIFS($J:$J,$B:$B,$B694,$A:$A,"&gt;="&amp;COUNTIFS($K$1:K$1,"&lt;&gt;"))),0)</f>
        <v>8.5959885386819493E-2</v>
      </c>
      <c r="L694">
        <f>IFERROR($J694/IF($A694&lt;COUNTIFS($K$1:L$1,"&lt;&gt;"),0,SUMIFS($J:$J,$B:$B,$B694,$A:$A,"&gt;="&amp;COUNTIFS($K$1:L$1,"&lt;&gt;"))),0)</f>
        <v>9.4339622641509441E-2</v>
      </c>
      <c r="M694">
        <f>IFERROR($J694/IF($A694&lt;COUNTIFS($K$1:M$1,"&lt;&gt;"),0,SUMIFS($J:$J,$B:$B,$B694,$A:$A,"&gt;="&amp;COUNTIFS($K$1:M$1,"&lt;&gt;"))),0)</f>
        <v>0.10452961672473869</v>
      </c>
      <c r="N694">
        <f>IFERROR($J694/IF($A694&lt;COUNTIFS($K$1:N$1,"&lt;&gt;"),0,SUMIFS($J:$J,$B:$B,$B694,$A:$A,"&gt;="&amp;COUNTIFS($K$1:N$1,"&lt;&gt;"))),0)</f>
        <v>0</v>
      </c>
      <c r="O694">
        <f>IFERROR($J694/IF($A694&lt;COUNTIFS($K$1:O$1,"&lt;&gt;"),0,SUMIFS($J:$J,$B:$B,$B694,$A:$A,"&gt;="&amp;COUNTIFS($K$1:O$1,"&lt;&gt;"))),0)</f>
        <v>0</v>
      </c>
      <c r="P694">
        <f>IFERROR($J694/IF($A694&lt;COUNTIFS($K$1:P$1,"&lt;&gt;"),0,SUMIFS($J:$J,$B:$B,$B694,$A:$A,"&gt;="&amp;COUNTIFS($K$1:P$1,"&lt;&gt;"))),0)</f>
        <v>0</v>
      </c>
      <c r="Q694">
        <f>IFERROR($J694/IF($A694&lt;COUNTIFS($K$1:Q$1,"&lt;&gt;"),0,SUMIFS($J:$J,$B:$B,$B694,$A:$A,"&gt;="&amp;COUNTIFS($K$1:Q$1,"&lt;&gt;"))),0)</f>
        <v>0</v>
      </c>
      <c r="R694">
        <f>IFERROR($J694/IF($A694&lt;COUNTIFS($K$1:R$1,"&lt;&gt;"),0,SUMIFS($J:$J,$B:$B,$B694,$A:$A,"&gt;="&amp;COUNTIFS($K$1:R$1,"&lt;&gt;"))),0)</f>
        <v>0</v>
      </c>
      <c r="S694">
        <f>IFERROR($J694/IF($A694&lt;COUNTIFS($K$1:S$1,"&lt;&gt;"),0,SUMIFS($J:$J,$B:$B,$B694,$A:$A,"&gt;="&amp;COUNTIFS($K$1:S$1,"&lt;&gt;"))),0)</f>
        <v>0</v>
      </c>
      <c r="T694">
        <f>IFERROR($J694/IF($A694&lt;COUNTIFS($K$1:T$1,"&lt;&gt;"),0,SUMIFS($J:$J,$B:$B,$B694,$A:$A,"&gt;="&amp;COUNTIFS($K$1:T$1,"&lt;&gt;"))),0)</f>
        <v>0</v>
      </c>
      <c r="U694">
        <f>IFERROR($J694/IF($A694&lt;COUNTIFS($K$1:U$1,"&lt;&gt;"),0,SUMIFS($J:$J,$B:$B,$B694,$A:$A,"&gt;="&amp;COUNTIFS($K$1:U$1,"&lt;&gt;"))),0)</f>
        <v>0</v>
      </c>
      <c r="V694">
        <f>IFERROR($J694/IF($A694&lt;COUNTIFS($K$1:V$1,"&lt;&gt;"),0,SUMIFS($J:$J,$B:$B,$B694,$A:$A,"&gt;="&amp;COUNTIFS($K$1:V$1,"&lt;&gt;"))),0)</f>
        <v>0</v>
      </c>
      <c r="W694">
        <f t="shared" si="244"/>
        <v>8.2191780821917804E-2</v>
      </c>
      <c r="X694">
        <f t="shared" si="224"/>
        <v>8.2191780821917804E-2</v>
      </c>
      <c r="Y694">
        <f t="shared" si="225"/>
        <v>8.2191780821917804E-2</v>
      </c>
      <c r="Z694">
        <f t="shared" si="226"/>
        <v>8.2191780821917804E-2</v>
      </c>
      <c r="AA694">
        <f t="shared" si="227"/>
        <v>0</v>
      </c>
      <c r="AB694">
        <f t="shared" si="228"/>
        <v>0</v>
      </c>
      <c r="AC694">
        <f t="shared" si="229"/>
        <v>0</v>
      </c>
      <c r="AD694">
        <f t="shared" si="230"/>
        <v>0</v>
      </c>
      <c r="AE694">
        <f t="shared" si="231"/>
        <v>0</v>
      </c>
      <c r="AF694">
        <f t="shared" si="232"/>
        <v>0</v>
      </c>
      <c r="AG694">
        <f t="shared" si="233"/>
        <v>0</v>
      </c>
      <c r="AH694">
        <f t="shared" si="234"/>
        <v>0</v>
      </c>
      <c r="AI694">
        <f t="shared" si="235"/>
        <v>0</v>
      </c>
      <c r="AJ694" s="2" t="str">
        <f t="shared" si="245"/>
        <v>345444</v>
      </c>
    </row>
    <row r="695" spans="1:36" x14ac:dyDescent="0.25">
      <c r="A695">
        <v>4</v>
      </c>
      <c r="B695" s="1">
        <v>45444</v>
      </c>
      <c r="C695" s="1">
        <f t="shared" si="236"/>
        <v>45566</v>
      </c>
      <c r="D695" s="1">
        <f t="shared" si="237"/>
        <v>45458</v>
      </c>
      <c r="E695" s="1">
        <f t="shared" si="238"/>
        <v>45566</v>
      </c>
      <c r="F695" s="1">
        <f t="shared" si="239"/>
        <v>45597</v>
      </c>
      <c r="G695" s="1">
        <f t="shared" si="240"/>
        <v>45823</v>
      </c>
      <c r="H695">
        <f t="shared" si="241"/>
        <v>365</v>
      </c>
      <c r="I695">
        <f t="shared" si="242"/>
        <v>31</v>
      </c>
      <c r="J695">
        <f t="shared" si="243"/>
        <v>8.4931506849315067E-2</v>
      </c>
      <c r="K695">
        <f>IFERROR($J695/IF($A695&lt;COUNTIFS($K$1:K$1,"&lt;&gt;"),0,SUMIFS($J:$J,$B:$B,$B695,$A:$A,"&gt;="&amp;COUNTIFS($K$1:K$1,"&lt;&gt;"))),0)</f>
        <v>8.8825214899713484E-2</v>
      </c>
      <c r="L695">
        <f>IFERROR($J695/IF($A695&lt;COUNTIFS($K$1:L$1,"&lt;&gt;"),0,SUMIFS($J:$J,$B:$B,$B695,$A:$A,"&gt;="&amp;COUNTIFS($K$1:L$1,"&lt;&gt;"))),0)</f>
        <v>9.7484276729559768E-2</v>
      </c>
      <c r="M695">
        <f>IFERROR($J695/IF($A695&lt;COUNTIFS($K$1:M$1,"&lt;&gt;"),0,SUMIFS($J:$J,$B:$B,$B695,$A:$A,"&gt;="&amp;COUNTIFS($K$1:M$1,"&lt;&gt;"))),0)</f>
        <v>0.10801393728222998</v>
      </c>
      <c r="N695">
        <f>IFERROR($J695/IF($A695&lt;COUNTIFS($K$1:N$1,"&lt;&gt;"),0,SUMIFS($J:$J,$B:$B,$B695,$A:$A,"&gt;="&amp;COUNTIFS($K$1:N$1,"&lt;&gt;"))),0)</f>
        <v>0.12062256809338523</v>
      </c>
      <c r="O695">
        <f>IFERROR($J695/IF($A695&lt;COUNTIFS($K$1:O$1,"&lt;&gt;"),0,SUMIFS($J:$J,$B:$B,$B695,$A:$A,"&gt;="&amp;COUNTIFS($K$1:O$1,"&lt;&gt;"))),0)</f>
        <v>0</v>
      </c>
      <c r="P695">
        <f>IFERROR($J695/IF($A695&lt;COUNTIFS($K$1:P$1,"&lt;&gt;"),0,SUMIFS($J:$J,$B:$B,$B695,$A:$A,"&gt;="&amp;COUNTIFS($K$1:P$1,"&lt;&gt;"))),0)</f>
        <v>0</v>
      </c>
      <c r="Q695">
        <f>IFERROR($J695/IF($A695&lt;COUNTIFS($K$1:Q$1,"&lt;&gt;"),0,SUMIFS($J:$J,$B:$B,$B695,$A:$A,"&gt;="&amp;COUNTIFS($K$1:Q$1,"&lt;&gt;"))),0)</f>
        <v>0</v>
      </c>
      <c r="R695">
        <f>IFERROR($J695/IF($A695&lt;COUNTIFS($K$1:R$1,"&lt;&gt;"),0,SUMIFS($J:$J,$B:$B,$B695,$A:$A,"&gt;="&amp;COUNTIFS($K$1:R$1,"&lt;&gt;"))),0)</f>
        <v>0</v>
      </c>
      <c r="S695">
        <f>IFERROR($J695/IF($A695&lt;COUNTIFS($K$1:S$1,"&lt;&gt;"),0,SUMIFS($J:$J,$B:$B,$B695,$A:$A,"&gt;="&amp;COUNTIFS($K$1:S$1,"&lt;&gt;"))),0)</f>
        <v>0</v>
      </c>
      <c r="T695">
        <f>IFERROR($J695/IF($A695&lt;COUNTIFS($K$1:T$1,"&lt;&gt;"),0,SUMIFS($J:$J,$B:$B,$B695,$A:$A,"&gt;="&amp;COUNTIFS($K$1:T$1,"&lt;&gt;"))),0)</f>
        <v>0</v>
      </c>
      <c r="U695">
        <f>IFERROR($J695/IF($A695&lt;COUNTIFS($K$1:U$1,"&lt;&gt;"),0,SUMIFS($J:$J,$B:$B,$B695,$A:$A,"&gt;="&amp;COUNTIFS($K$1:U$1,"&lt;&gt;"))),0)</f>
        <v>0</v>
      </c>
      <c r="V695">
        <f>IFERROR($J695/IF($A695&lt;COUNTIFS($K$1:V$1,"&lt;&gt;"),0,SUMIFS($J:$J,$B:$B,$B695,$A:$A,"&gt;="&amp;COUNTIFS($K$1:V$1,"&lt;&gt;"))),0)</f>
        <v>0</v>
      </c>
      <c r="W695">
        <f t="shared" si="244"/>
        <v>8.4931506849315067E-2</v>
      </c>
      <c r="X695">
        <f t="shared" si="224"/>
        <v>8.4931506849315067E-2</v>
      </c>
      <c r="Y695">
        <f t="shared" si="225"/>
        <v>8.4931506849315067E-2</v>
      </c>
      <c r="Z695">
        <f t="shared" si="226"/>
        <v>8.4931506849315067E-2</v>
      </c>
      <c r="AA695">
        <f t="shared" si="227"/>
        <v>8.4931506849315067E-2</v>
      </c>
      <c r="AB695">
        <f t="shared" si="228"/>
        <v>0</v>
      </c>
      <c r="AC695">
        <f t="shared" si="229"/>
        <v>0</v>
      </c>
      <c r="AD695">
        <f t="shared" si="230"/>
        <v>0</v>
      </c>
      <c r="AE695">
        <f t="shared" si="231"/>
        <v>0</v>
      </c>
      <c r="AF695">
        <f t="shared" si="232"/>
        <v>0</v>
      </c>
      <c r="AG695">
        <f t="shared" si="233"/>
        <v>0</v>
      </c>
      <c r="AH695">
        <f t="shared" si="234"/>
        <v>0</v>
      </c>
      <c r="AI695">
        <f t="shared" si="235"/>
        <v>0</v>
      </c>
      <c r="AJ695" s="2" t="str">
        <f t="shared" si="245"/>
        <v>445444</v>
      </c>
    </row>
    <row r="696" spans="1:36" x14ac:dyDescent="0.25">
      <c r="A696">
        <v>5</v>
      </c>
      <c r="B696" s="1">
        <v>45444</v>
      </c>
      <c r="C696" s="1">
        <f t="shared" si="236"/>
        <v>45597</v>
      </c>
      <c r="D696" s="1">
        <f t="shared" si="237"/>
        <v>45458</v>
      </c>
      <c r="E696" s="1">
        <f t="shared" si="238"/>
        <v>45597</v>
      </c>
      <c r="F696" s="1">
        <f t="shared" si="239"/>
        <v>45627</v>
      </c>
      <c r="G696" s="1">
        <f t="shared" si="240"/>
        <v>45823</v>
      </c>
      <c r="H696">
        <f t="shared" si="241"/>
        <v>365</v>
      </c>
      <c r="I696">
        <f t="shared" si="242"/>
        <v>30</v>
      </c>
      <c r="J696">
        <f t="shared" si="243"/>
        <v>8.2191780821917804E-2</v>
      </c>
      <c r="K696">
        <f>IFERROR($J696/IF($A696&lt;COUNTIFS($K$1:K$1,"&lt;&gt;"),0,SUMIFS($J:$J,$B:$B,$B696,$A:$A,"&gt;="&amp;COUNTIFS($K$1:K$1,"&lt;&gt;"))),0)</f>
        <v>8.5959885386819493E-2</v>
      </c>
      <c r="L696">
        <f>IFERROR($J696/IF($A696&lt;COUNTIFS($K$1:L$1,"&lt;&gt;"),0,SUMIFS($J:$J,$B:$B,$B696,$A:$A,"&gt;="&amp;COUNTIFS($K$1:L$1,"&lt;&gt;"))),0)</f>
        <v>9.4339622641509441E-2</v>
      </c>
      <c r="M696">
        <f>IFERROR($J696/IF($A696&lt;COUNTIFS($K$1:M$1,"&lt;&gt;"),0,SUMIFS($J:$J,$B:$B,$B696,$A:$A,"&gt;="&amp;COUNTIFS($K$1:M$1,"&lt;&gt;"))),0)</f>
        <v>0.10452961672473869</v>
      </c>
      <c r="N696">
        <f>IFERROR($J696/IF($A696&lt;COUNTIFS($K$1:N$1,"&lt;&gt;"),0,SUMIFS($J:$J,$B:$B,$B696,$A:$A,"&gt;="&amp;COUNTIFS($K$1:N$1,"&lt;&gt;"))),0)</f>
        <v>0.11673151750972764</v>
      </c>
      <c r="O696">
        <f>IFERROR($J696/IF($A696&lt;COUNTIFS($K$1:O$1,"&lt;&gt;"),0,SUMIFS($J:$J,$B:$B,$B696,$A:$A,"&gt;="&amp;COUNTIFS($K$1:O$1,"&lt;&gt;"))),0)</f>
        <v>0.13274336283185842</v>
      </c>
      <c r="P696">
        <f>IFERROR($J696/IF($A696&lt;COUNTIFS($K$1:P$1,"&lt;&gt;"),0,SUMIFS($J:$J,$B:$B,$B696,$A:$A,"&gt;="&amp;COUNTIFS($K$1:P$1,"&lt;&gt;"))),0)</f>
        <v>0</v>
      </c>
      <c r="Q696">
        <f>IFERROR($J696/IF($A696&lt;COUNTIFS($K$1:Q$1,"&lt;&gt;"),0,SUMIFS($J:$J,$B:$B,$B696,$A:$A,"&gt;="&amp;COUNTIFS($K$1:Q$1,"&lt;&gt;"))),0)</f>
        <v>0</v>
      </c>
      <c r="R696">
        <f>IFERROR($J696/IF($A696&lt;COUNTIFS($K$1:R$1,"&lt;&gt;"),0,SUMIFS($J:$J,$B:$B,$B696,$A:$A,"&gt;="&amp;COUNTIFS($K$1:R$1,"&lt;&gt;"))),0)</f>
        <v>0</v>
      </c>
      <c r="S696">
        <f>IFERROR($J696/IF($A696&lt;COUNTIFS($K$1:S$1,"&lt;&gt;"),0,SUMIFS($J:$J,$B:$B,$B696,$A:$A,"&gt;="&amp;COUNTIFS($K$1:S$1,"&lt;&gt;"))),0)</f>
        <v>0</v>
      </c>
      <c r="T696">
        <f>IFERROR($J696/IF($A696&lt;COUNTIFS($K$1:T$1,"&lt;&gt;"),0,SUMIFS($J:$J,$B:$B,$B696,$A:$A,"&gt;="&amp;COUNTIFS($K$1:T$1,"&lt;&gt;"))),0)</f>
        <v>0</v>
      </c>
      <c r="U696">
        <f>IFERROR($J696/IF($A696&lt;COUNTIFS($K$1:U$1,"&lt;&gt;"),0,SUMIFS($J:$J,$B:$B,$B696,$A:$A,"&gt;="&amp;COUNTIFS($K$1:U$1,"&lt;&gt;"))),0)</f>
        <v>0</v>
      </c>
      <c r="V696">
        <f>IFERROR($J696/IF($A696&lt;COUNTIFS($K$1:V$1,"&lt;&gt;"),0,SUMIFS($J:$J,$B:$B,$B696,$A:$A,"&gt;="&amp;COUNTIFS($K$1:V$1,"&lt;&gt;"))),0)</f>
        <v>0</v>
      </c>
      <c r="W696">
        <f t="shared" si="244"/>
        <v>8.2191780821917804E-2</v>
      </c>
      <c r="X696">
        <f t="shared" si="224"/>
        <v>8.2191780821917804E-2</v>
      </c>
      <c r="Y696">
        <f t="shared" si="225"/>
        <v>8.2191780821917804E-2</v>
      </c>
      <c r="Z696">
        <f t="shared" si="226"/>
        <v>8.2191780821917804E-2</v>
      </c>
      <c r="AA696">
        <f t="shared" si="227"/>
        <v>8.2191780821917804E-2</v>
      </c>
      <c r="AB696">
        <f t="shared" si="228"/>
        <v>8.2191780821917804E-2</v>
      </c>
      <c r="AC696">
        <f t="shared" si="229"/>
        <v>0</v>
      </c>
      <c r="AD696">
        <f t="shared" si="230"/>
        <v>0</v>
      </c>
      <c r="AE696">
        <f t="shared" si="231"/>
        <v>0</v>
      </c>
      <c r="AF696">
        <f t="shared" si="232"/>
        <v>0</v>
      </c>
      <c r="AG696">
        <f t="shared" si="233"/>
        <v>0</v>
      </c>
      <c r="AH696">
        <f t="shared" si="234"/>
        <v>0</v>
      </c>
      <c r="AI696">
        <f t="shared" si="235"/>
        <v>0</v>
      </c>
      <c r="AJ696" s="2" t="str">
        <f t="shared" si="245"/>
        <v>545444</v>
      </c>
    </row>
    <row r="697" spans="1:36" x14ac:dyDescent="0.25">
      <c r="A697">
        <v>6</v>
      </c>
      <c r="B697" s="1">
        <v>45444</v>
      </c>
      <c r="C697" s="1">
        <f t="shared" si="236"/>
        <v>45627</v>
      </c>
      <c r="D697" s="1">
        <f t="shared" si="237"/>
        <v>45458</v>
      </c>
      <c r="E697" s="1">
        <f t="shared" si="238"/>
        <v>45627</v>
      </c>
      <c r="F697" s="1">
        <f t="shared" si="239"/>
        <v>45658</v>
      </c>
      <c r="G697" s="1">
        <f t="shared" si="240"/>
        <v>45823</v>
      </c>
      <c r="H697">
        <f t="shared" si="241"/>
        <v>365</v>
      </c>
      <c r="I697">
        <f t="shared" si="242"/>
        <v>31</v>
      </c>
      <c r="J697">
        <f t="shared" si="243"/>
        <v>8.4931506849315067E-2</v>
      </c>
      <c r="K697">
        <f>IFERROR($J697/IF($A697&lt;COUNTIFS($K$1:K$1,"&lt;&gt;"),0,SUMIFS($J:$J,$B:$B,$B697,$A:$A,"&gt;="&amp;COUNTIFS($K$1:K$1,"&lt;&gt;"))),0)</f>
        <v>8.8825214899713484E-2</v>
      </c>
      <c r="L697">
        <f>IFERROR($J697/IF($A697&lt;COUNTIFS($K$1:L$1,"&lt;&gt;"),0,SUMIFS($J:$J,$B:$B,$B697,$A:$A,"&gt;="&amp;COUNTIFS($K$1:L$1,"&lt;&gt;"))),0)</f>
        <v>9.7484276729559768E-2</v>
      </c>
      <c r="M697">
        <f>IFERROR($J697/IF($A697&lt;COUNTIFS($K$1:M$1,"&lt;&gt;"),0,SUMIFS($J:$J,$B:$B,$B697,$A:$A,"&gt;="&amp;COUNTIFS($K$1:M$1,"&lt;&gt;"))),0)</f>
        <v>0.10801393728222998</v>
      </c>
      <c r="N697">
        <f>IFERROR($J697/IF($A697&lt;COUNTIFS($K$1:N$1,"&lt;&gt;"),0,SUMIFS($J:$J,$B:$B,$B697,$A:$A,"&gt;="&amp;COUNTIFS($K$1:N$1,"&lt;&gt;"))),0)</f>
        <v>0.12062256809338523</v>
      </c>
      <c r="O697">
        <f>IFERROR($J697/IF($A697&lt;COUNTIFS($K$1:O$1,"&lt;&gt;"),0,SUMIFS($J:$J,$B:$B,$B697,$A:$A,"&gt;="&amp;COUNTIFS($K$1:O$1,"&lt;&gt;"))),0)</f>
        <v>0.13716814159292037</v>
      </c>
      <c r="P697">
        <f>IFERROR($J697/IF($A697&lt;COUNTIFS($K$1:P$1,"&lt;&gt;"),0,SUMIFS($J:$J,$B:$B,$B697,$A:$A,"&gt;="&amp;COUNTIFS($K$1:P$1,"&lt;&gt;"))),0)</f>
        <v>0.15816326530612249</v>
      </c>
      <c r="Q697">
        <f>IFERROR($J697/IF($A697&lt;COUNTIFS($K$1:Q$1,"&lt;&gt;"),0,SUMIFS($J:$J,$B:$B,$B697,$A:$A,"&gt;="&amp;COUNTIFS($K$1:Q$1,"&lt;&gt;"))),0)</f>
        <v>0</v>
      </c>
      <c r="R697">
        <f>IFERROR($J697/IF($A697&lt;COUNTIFS($K$1:R$1,"&lt;&gt;"),0,SUMIFS($J:$J,$B:$B,$B697,$A:$A,"&gt;="&amp;COUNTIFS($K$1:R$1,"&lt;&gt;"))),0)</f>
        <v>0</v>
      </c>
      <c r="S697">
        <f>IFERROR($J697/IF($A697&lt;COUNTIFS($K$1:S$1,"&lt;&gt;"),0,SUMIFS($J:$J,$B:$B,$B697,$A:$A,"&gt;="&amp;COUNTIFS($K$1:S$1,"&lt;&gt;"))),0)</f>
        <v>0</v>
      </c>
      <c r="T697">
        <f>IFERROR($J697/IF($A697&lt;COUNTIFS($K$1:T$1,"&lt;&gt;"),0,SUMIFS($J:$J,$B:$B,$B697,$A:$A,"&gt;="&amp;COUNTIFS($K$1:T$1,"&lt;&gt;"))),0)</f>
        <v>0</v>
      </c>
      <c r="U697">
        <f>IFERROR($J697/IF($A697&lt;COUNTIFS($K$1:U$1,"&lt;&gt;"),0,SUMIFS($J:$J,$B:$B,$B697,$A:$A,"&gt;="&amp;COUNTIFS($K$1:U$1,"&lt;&gt;"))),0)</f>
        <v>0</v>
      </c>
      <c r="V697">
        <f>IFERROR($J697/IF($A697&lt;COUNTIFS($K$1:V$1,"&lt;&gt;"),0,SUMIFS($J:$J,$B:$B,$B697,$A:$A,"&gt;="&amp;COUNTIFS($K$1:V$1,"&lt;&gt;"))),0)</f>
        <v>0</v>
      </c>
      <c r="W697">
        <f t="shared" si="244"/>
        <v>8.4931506849315067E-2</v>
      </c>
      <c r="X697">
        <f t="shared" si="224"/>
        <v>8.4931506849315067E-2</v>
      </c>
      <c r="Y697">
        <f t="shared" si="225"/>
        <v>8.4931506849315067E-2</v>
      </c>
      <c r="Z697">
        <f t="shared" si="226"/>
        <v>8.4931506849315067E-2</v>
      </c>
      <c r="AA697">
        <f t="shared" si="227"/>
        <v>8.4931506849315067E-2</v>
      </c>
      <c r="AB697">
        <f t="shared" si="228"/>
        <v>8.4931506849315067E-2</v>
      </c>
      <c r="AC697">
        <f t="shared" si="229"/>
        <v>8.4931506849315067E-2</v>
      </c>
      <c r="AD697">
        <f t="shared" si="230"/>
        <v>0</v>
      </c>
      <c r="AE697">
        <f t="shared" si="231"/>
        <v>0</v>
      </c>
      <c r="AF697">
        <f t="shared" si="232"/>
        <v>0</v>
      </c>
      <c r="AG697">
        <f t="shared" si="233"/>
        <v>0</v>
      </c>
      <c r="AH697">
        <f t="shared" si="234"/>
        <v>0</v>
      </c>
      <c r="AI697">
        <f t="shared" si="235"/>
        <v>0</v>
      </c>
      <c r="AJ697" s="2" t="str">
        <f t="shared" si="245"/>
        <v>645444</v>
      </c>
    </row>
    <row r="698" spans="1:36" x14ac:dyDescent="0.25">
      <c r="A698">
        <v>7</v>
      </c>
      <c r="B698" s="1">
        <v>45444</v>
      </c>
      <c r="C698" s="1">
        <f t="shared" si="236"/>
        <v>45658</v>
      </c>
      <c r="D698" s="1">
        <f t="shared" si="237"/>
        <v>45458</v>
      </c>
      <c r="E698" s="1">
        <f t="shared" si="238"/>
        <v>45658</v>
      </c>
      <c r="F698" s="1">
        <f t="shared" si="239"/>
        <v>45689</v>
      </c>
      <c r="G698" s="1">
        <f t="shared" si="240"/>
        <v>45823</v>
      </c>
      <c r="H698">
        <f t="shared" si="241"/>
        <v>365</v>
      </c>
      <c r="I698">
        <f t="shared" si="242"/>
        <v>31</v>
      </c>
      <c r="J698">
        <f t="shared" si="243"/>
        <v>8.4931506849315067E-2</v>
      </c>
      <c r="K698">
        <f>IFERROR($J698/IF($A698&lt;COUNTIFS($K$1:K$1,"&lt;&gt;"),0,SUMIFS($J:$J,$B:$B,$B698,$A:$A,"&gt;="&amp;COUNTIFS($K$1:K$1,"&lt;&gt;"))),0)</f>
        <v>8.8825214899713484E-2</v>
      </c>
      <c r="L698">
        <f>IFERROR($J698/IF($A698&lt;COUNTIFS($K$1:L$1,"&lt;&gt;"),0,SUMIFS($J:$J,$B:$B,$B698,$A:$A,"&gt;="&amp;COUNTIFS($K$1:L$1,"&lt;&gt;"))),0)</f>
        <v>9.7484276729559768E-2</v>
      </c>
      <c r="M698">
        <f>IFERROR($J698/IF($A698&lt;COUNTIFS($K$1:M$1,"&lt;&gt;"),0,SUMIFS($J:$J,$B:$B,$B698,$A:$A,"&gt;="&amp;COUNTIFS($K$1:M$1,"&lt;&gt;"))),0)</f>
        <v>0.10801393728222998</v>
      </c>
      <c r="N698">
        <f>IFERROR($J698/IF($A698&lt;COUNTIFS($K$1:N$1,"&lt;&gt;"),0,SUMIFS($J:$J,$B:$B,$B698,$A:$A,"&gt;="&amp;COUNTIFS($K$1:N$1,"&lt;&gt;"))),0)</f>
        <v>0.12062256809338523</v>
      </c>
      <c r="O698">
        <f>IFERROR($J698/IF($A698&lt;COUNTIFS($K$1:O$1,"&lt;&gt;"),0,SUMIFS($J:$J,$B:$B,$B698,$A:$A,"&gt;="&amp;COUNTIFS($K$1:O$1,"&lt;&gt;"))),0)</f>
        <v>0.13716814159292037</v>
      </c>
      <c r="P698">
        <f>IFERROR($J698/IF($A698&lt;COUNTIFS($K$1:P$1,"&lt;&gt;"),0,SUMIFS($J:$J,$B:$B,$B698,$A:$A,"&gt;="&amp;COUNTIFS($K$1:P$1,"&lt;&gt;"))),0)</f>
        <v>0.15816326530612249</v>
      </c>
      <c r="Q698">
        <f>IFERROR($J698/IF($A698&lt;COUNTIFS($K$1:Q$1,"&lt;&gt;"),0,SUMIFS($J:$J,$B:$B,$B698,$A:$A,"&gt;="&amp;COUNTIFS($K$1:Q$1,"&lt;&gt;"))),0)</f>
        <v>0.1878787878787879</v>
      </c>
      <c r="R698">
        <f>IFERROR($J698/IF($A698&lt;COUNTIFS($K$1:R$1,"&lt;&gt;"),0,SUMIFS($J:$J,$B:$B,$B698,$A:$A,"&gt;="&amp;COUNTIFS($K$1:R$1,"&lt;&gt;"))),0)</f>
        <v>0</v>
      </c>
      <c r="S698">
        <f>IFERROR($J698/IF($A698&lt;COUNTIFS($K$1:S$1,"&lt;&gt;"),0,SUMIFS($J:$J,$B:$B,$B698,$A:$A,"&gt;="&amp;COUNTIFS($K$1:S$1,"&lt;&gt;"))),0)</f>
        <v>0</v>
      </c>
      <c r="T698">
        <f>IFERROR($J698/IF($A698&lt;COUNTIFS($K$1:T$1,"&lt;&gt;"),0,SUMIFS($J:$J,$B:$B,$B698,$A:$A,"&gt;="&amp;COUNTIFS($K$1:T$1,"&lt;&gt;"))),0)</f>
        <v>0</v>
      </c>
      <c r="U698">
        <f>IFERROR($J698/IF($A698&lt;COUNTIFS($K$1:U$1,"&lt;&gt;"),0,SUMIFS($J:$J,$B:$B,$B698,$A:$A,"&gt;="&amp;COUNTIFS($K$1:U$1,"&lt;&gt;"))),0)</f>
        <v>0</v>
      </c>
      <c r="V698">
        <f>IFERROR($J698/IF($A698&lt;COUNTIFS($K$1:V$1,"&lt;&gt;"),0,SUMIFS($J:$J,$B:$B,$B698,$A:$A,"&gt;="&amp;COUNTIFS($K$1:V$1,"&lt;&gt;"))),0)</f>
        <v>0</v>
      </c>
      <c r="W698">
        <f t="shared" si="244"/>
        <v>8.4931506849315067E-2</v>
      </c>
      <c r="X698">
        <f t="shared" si="224"/>
        <v>8.4931506849315067E-2</v>
      </c>
      <c r="Y698">
        <f t="shared" si="225"/>
        <v>8.4931506849315067E-2</v>
      </c>
      <c r="Z698">
        <f t="shared" si="226"/>
        <v>8.4931506849315067E-2</v>
      </c>
      <c r="AA698">
        <f t="shared" si="227"/>
        <v>8.4931506849315067E-2</v>
      </c>
      <c r="AB698">
        <f t="shared" si="228"/>
        <v>8.4931506849315067E-2</v>
      </c>
      <c r="AC698">
        <f t="shared" si="229"/>
        <v>8.4931506849315067E-2</v>
      </c>
      <c r="AD698">
        <f t="shared" si="230"/>
        <v>8.4931506849315067E-2</v>
      </c>
      <c r="AE698">
        <f t="shared" si="231"/>
        <v>0</v>
      </c>
      <c r="AF698">
        <f t="shared" si="232"/>
        <v>0</v>
      </c>
      <c r="AG698">
        <f t="shared" si="233"/>
        <v>0</v>
      </c>
      <c r="AH698">
        <f t="shared" si="234"/>
        <v>0</v>
      </c>
      <c r="AI698">
        <f t="shared" si="235"/>
        <v>0</v>
      </c>
      <c r="AJ698" s="2" t="str">
        <f t="shared" si="245"/>
        <v>745444</v>
      </c>
    </row>
    <row r="699" spans="1:36" x14ac:dyDescent="0.25">
      <c r="A699">
        <v>8</v>
      </c>
      <c r="B699" s="1">
        <v>45444</v>
      </c>
      <c r="C699" s="1">
        <f t="shared" si="236"/>
        <v>45689</v>
      </c>
      <c r="D699" s="1">
        <f t="shared" si="237"/>
        <v>45458</v>
      </c>
      <c r="E699" s="1">
        <f t="shared" si="238"/>
        <v>45689</v>
      </c>
      <c r="F699" s="1">
        <f t="shared" si="239"/>
        <v>45717</v>
      </c>
      <c r="G699" s="1">
        <f t="shared" si="240"/>
        <v>45823</v>
      </c>
      <c r="H699">
        <f t="shared" si="241"/>
        <v>365</v>
      </c>
      <c r="I699">
        <f t="shared" si="242"/>
        <v>28</v>
      </c>
      <c r="J699">
        <f t="shared" si="243"/>
        <v>7.6712328767123292E-2</v>
      </c>
      <c r="K699">
        <f>IFERROR($J699/IF($A699&lt;COUNTIFS($K$1:K$1,"&lt;&gt;"),0,SUMIFS($J:$J,$B:$B,$B699,$A:$A,"&gt;="&amp;COUNTIFS($K$1:K$1,"&lt;&gt;"))),0)</f>
        <v>8.0229226361031539E-2</v>
      </c>
      <c r="L699">
        <f>IFERROR($J699/IF($A699&lt;COUNTIFS($K$1:L$1,"&lt;&gt;"),0,SUMIFS($J:$J,$B:$B,$B699,$A:$A,"&gt;="&amp;COUNTIFS($K$1:L$1,"&lt;&gt;"))),0)</f>
        <v>8.8050314465408827E-2</v>
      </c>
      <c r="M699">
        <f>IFERROR($J699/IF($A699&lt;COUNTIFS($K$1:M$1,"&lt;&gt;"),0,SUMIFS($J:$J,$B:$B,$B699,$A:$A,"&gt;="&amp;COUNTIFS($K$1:M$1,"&lt;&gt;"))),0)</f>
        <v>9.7560975609756115E-2</v>
      </c>
      <c r="N699">
        <f>IFERROR($J699/IF($A699&lt;COUNTIFS($K$1:N$1,"&lt;&gt;"),0,SUMIFS($J:$J,$B:$B,$B699,$A:$A,"&gt;="&amp;COUNTIFS($K$1:N$1,"&lt;&gt;"))),0)</f>
        <v>0.10894941634241248</v>
      </c>
      <c r="O699">
        <f>IFERROR($J699/IF($A699&lt;COUNTIFS($K$1:O$1,"&lt;&gt;"),0,SUMIFS($J:$J,$B:$B,$B699,$A:$A,"&gt;="&amp;COUNTIFS($K$1:O$1,"&lt;&gt;"))),0)</f>
        <v>0.12389380530973454</v>
      </c>
      <c r="P699">
        <f>IFERROR($J699/IF($A699&lt;COUNTIFS($K$1:P$1,"&lt;&gt;"),0,SUMIFS($J:$J,$B:$B,$B699,$A:$A,"&gt;="&amp;COUNTIFS($K$1:P$1,"&lt;&gt;"))),0)</f>
        <v>0.14285714285714288</v>
      </c>
      <c r="Q699">
        <f>IFERROR($J699/IF($A699&lt;COUNTIFS($K$1:Q$1,"&lt;&gt;"),0,SUMIFS($J:$J,$B:$B,$B699,$A:$A,"&gt;="&amp;COUNTIFS($K$1:Q$1,"&lt;&gt;"))),0)</f>
        <v>0.16969696969696971</v>
      </c>
      <c r="R699">
        <f>IFERROR($J699/IF($A699&lt;COUNTIFS($K$1:R$1,"&lt;&gt;"),0,SUMIFS($J:$J,$B:$B,$B699,$A:$A,"&gt;="&amp;COUNTIFS($K$1:R$1,"&lt;&gt;"))),0)</f>
        <v>0.20895522388059704</v>
      </c>
      <c r="S699">
        <f>IFERROR($J699/IF($A699&lt;COUNTIFS($K$1:S$1,"&lt;&gt;"),0,SUMIFS($J:$J,$B:$B,$B699,$A:$A,"&gt;="&amp;COUNTIFS($K$1:S$1,"&lt;&gt;"))),0)</f>
        <v>0</v>
      </c>
      <c r="T699">
        <f>IFERROR($J699/IF($A699&lt;COUNTIFS($K$1:T$1,"&lt;&gt;"),0,SUMIFS($J:$J,$B:$B,$B699,$A:$A,"&gt;="&amp;COUNTIFS($K$1:T$1,"&lt;&gt;"))),0)</f>
        <v>0</v>
      </c>
      <c r="U699">
        <f>IFERROR($J699/IF($A699&lt;COUNTIFS($K$1:U$1,"&lt;&gt;"),0,SUMIFS($J:$J,$B:$B,$B699,$A:$A,"&gt;="&amp;COUNTIFS($K$1:U$1,"&lt;&gt;"))),0)</f>
        <v>0</v>
      </c>
      <c r="V699">
        <f>IFERROR($J699/IF($A699&lt;COUNTIFS($K$1:V$1,"&lt;&gt;"),0,SUMIFS($J:$J,$B:$B,$B699,$A:$A,"&gt;="&amp;COUNTIFS($K$1:V$1,"&lt;&gt;"))),0)</f>
        <v>0</v>
      </c>
      <c r="W699">
        <f t="shared" si="244"/>
        <v>7.6712328767123292E-2</v>
      </c>
      <c r="X699">
        <f t="shared" si="224"/>
        <v>7.6712328767123292E-2</v>
      </c>
      <c r="Y699">
        <f t="shared" si="225"/>
        <v>7.6712328767123292E-2</v>
      </c>
      <c r="Z699">
        <f t="shared" si="226"/>
        <v>7.6712328767123292E-2</v>
      </c>
      <c r="AA699">
        <f t="shared" si="227"/>
        <v>7.6712328767123292E-2</v>
      </c>
      <c r="AB699">
        <f t="shared" si="228"/>
        <v>7.6712328767123292E-2</v>
      </c>
      <c r="AC699">
        <f t="shared" si="229"/>
        <v>7.6712328767123292E-2</v>
      </c>
      <c r="AD699">
        <f t="shared" si="230"/>
        <v>7.6712328767123292E-2</v>
      </c>
      <c r="AE699">
        <f t="shared" si="231"/>
        <v>7.6712328767123292E-2</v>
      </c>
      <c r="AF699">
        <f t="shared" si="232"/>
        <v>0</v>
      </c>
      <c r="AG699">
        <f t="shared" si="233"/>
        <v>0</v>
      </c>
      <c r="AH699">
        <f t="shared" si="234"/>
        <v>0</v>
      </c>
      <c r="AI699">
        <f t="shared" si="235"/>
        <v>0</v>
      </c>
      <c r="AJ699" s="2" t="str">
        <f t="shared" si="245"/>
        <v>845444</v>
      </c>
    </row>
    <row r="700" spans="1:36" x14ac:dyDescent="0.25">
      <c r="A700">
        <v>9</v>
      </c>
      <c r="B700" s="1">
        <v>45444</v>
      </c>
      <c r="C700" s="1">
        <f t="shared" si="236"/>
        <v>45717</v>
      </c>
      <c r="D700" s="1">
        <f t="shared" si="237"/>
        <v>45458</v>
      </c>
      <c r="E700" s="1">
        <f t="shared" si="238"/>
        <v>45717</v>
      </c>
      <c r="F700" s="1">
        <f t="shared" si="239"/>
        <v>45748</v>
      </c>
      <c r="G700" s="1">
        <f t="shared" si="240"/>
        <v>45823</v>
      </c>
      <c r="H700">
        <f t="shared" si="241"/>
        <v>365</v>
      </c>
      <c r="I700">
        <f t="shared" si="242"/>
        <v>31</v>
      </c>
      <c r="J700">
        <f t="shared" si="243"/>
        <v>8.4931506849315067E-2</v>
      </c>
      <c r="K700">
        <f>IFERROR($J700/IF($A700&lt;COUNTIFS($K$1:K$1,"&lt;&gt;"),0,SUMIFS($J:$J,$B:$B,$B700,$A:$A,"&gt;="&amp;COUNTIFS($K$1:K$1,"&lt;&gt;"))),0)</f>
        <v>8.8825214899713484E-2</v>
      </c>
      <c r="L700">
        <f>IFERROR($J700/IF($A700&lt;COUNTIFS($K$1:L$1,"&lt;&gt;"),0,SUMIFS($J:$J,$B:$B,$B700,$A:$A,"&gt;="&amp;COUNTIFS($K$1:L$1,"&lt;&gt;"))),0)</f>
        <v>9.7484276729559768E-2</v>
      </c>
      <c r="M700">
        <f>IFERROR($J700/IF($A700&lt;COUNTIFS($K$1:M$1,"&lt;&gt;"),0,SUMIFS($J:$J,$B:$B,$B700,$A:$A,"&gt;="&amp;COUNTIFS($K$1:M$1,"&lt;&gt;"))),0)</f>
        <v>0.10801393728222998</v>
      </c>
      <c r="N700">
        <f>IFERROR($J700/IF($A700&lt;COUNTIFS($K$1:N$1,"&lt;&gt;"),0,SUMIFS($J:$J,$B:$B,$B700,$A:$A,"&gt;="&amp;COUNTIFS($K$1:N$1,"&lt;&gt;"))),0)</f>
        <v>0.12062256809338523</v>
      </c>
      <c r="O700">
        <f>IFERROR($J700/IF($A700&lt;COUNTIFS($K$1:O$1,"&lt;&gt;"),0,SUMIFS($J:$J,$B:$B,$B700,$A:$A,"&gt;="&amp;COUNTIFS($K$1:O$1,"&lt;&gt;"))),0)</f>
        <v>0.13716814159292037</v>
      </c>
      <c r="P700">
        <f>IFERROR($J700/IF($A700&lt;COUNTIFS($K$1:P$1,"&lt;&gt;"),0,SUMIFS($J:$J,$B:$B,$B700,$A:$A,"&gt;="&amp;COUNTIFS($K$1:P$1,"&lt;&gt;"))),0)</f>
        <v>0.15816326530612249</v>
      </c>
      <c r="Q700">
        <f>IFERROR($J700/IF($A700&lt;COUNTIFS($K$1:Q$1,"&lt;&gt;"),0,SUMIFS($J:$J,$B:$B,$B700,$A:$A,"&gt;="&amp;COUNTIFS($K$1:Q$1,"&lt;&gt;"))),0)</f>
        <v>0.1878787878787879</v>
      </c>
      <c r="R700">
        <f>IFERROR($J700/IF($A700&lt;COUNTIFS($K$1:R$1,"&lt;&gt;"),0,SUMIFS($J:$J,$B:$B,$B700,$A:$A,"&gt;="&amp;COUNTIFS($K$1:R$1,"&lt;&gt;"))),0)</f>
        <v>0.23134328358208955</v>
      </c>
      <c r="S700">
        <f>IFERROR($J700/IF($A700&lt;COUNTIFS($K$1:S$1,"&lt;&gt;"),0,SUMIFS($J:$J,$B:$B,$B700,$A:$A,"&gt;="&amp;COUNTIFS($K$1:S$1,"&lt;&gt;"))),0)</f>
        <v>0.29245283018867929</v>
      </c>
      <c r="T700">
        <f>IFERROR($J700/IF($A700&lt;COUNTIFS($K$1:T$1,"&lt;&gt;"),0,SUMIFS($J:$J,$B:$B,$B700,$A:$A,"&gt;="&amp;COUNTIFS($K$1:T$1,"&lt;&gt;"))),0)</f>
        <v>0</v>
      </c>
      <c r="U700">
        <f>IFERROR($J700/IF($A700&lt;COUNTIFS($K$1:U$1,"&lt;&gt;"),0,SUMIFS($J:$J,$B:$B,$B700,$A:$A,"&gt;="&amp;COUNTIFS($K$1:U$1,"&lt;&gt;"))),0)</f>
        <v>0</v>
      </c>
      <c r="V700">
        <f>IFERROR($J700/IF($A700&lt;COUNTIFS($K$1:V$1,"&lt;&gt;"),0,SUMIFS($J:$J,$B:$B,$B700,$A:$A,"&gt;="&amp;COUNTIFS($K$1:V$1,"&lt;&gt;"))),0)</f>
        <v>0</v>
      </c>
      <c r="W700">
        <f t="shared" si="244"/>
        <v>8.4931506849315067E-2</v>
      </c>
      <c r="X700">
        <f t="shared" si="224"/>
        <v>8.4931506849315067E-2</v>
      </c>
      <c r="Y700">
        <f t="shared" si="225"/>
        <v>8.4931506849315067E-2</v>
      </c>
      <c r="Z700">
        <f t="shared" si="226"/>
        <v>8.4931506849315067E-2</v>
      </c>
      <c r="AA700">
        <f t="shared" si="227"/>
        <v>8.4931506849315067E-2</v>
      </c>
      <c r="AB700">
        <f t="shared" si="228"/>
        <v>8.4931506849315067E-2</v>
      </c>
      <c r="AC700">
        <f t="shared" si="229"/>
        <v>8.4931506849315067E-2</v>
      </c>
      <c r="AD700">
        <f t="shared" si="230"/>
        <v>8.4931506849315067E-2</v>
      </c>
      <c r="AE700">
        <f t="shared" si="231"/>
        <v>8.4931506849315067E-2</v>
      </c>
      <c r="AF700">
        <f t="shared" si="232"/>
        <v>8.4931506849315067E-2</v>
      </c>
      <c r="AG700">
        <f t="shared" si="233"/>
        <v>0</v>
      </c>
      <c r="AH700">
        <f t="shared" si="234"/>
        <v>0</v>
      </c>
      <c r="AI700">
        <f t="shared" si="235"/>
        <v>0</v>
      </c>
      <c r="AJ700" s="2" t="str">
        <f t="shared" si="245"/>
        <v>945444</v>
      </c>
    </row>
    <row r="701" spans="1:36" x14ac:dyDescent="0.25">
      <c r="A701">
        <v>10</v>
      </c>
      <c r="B701" s="1">
        <v>45444</v>
      </c>
      <c r="C701" s="1">
        <f t="shared" si="236"/>
        <v>45748</v>
      </c>
      <c r="D701" s="1">
        <f t="shared" si="237"/>
        <v>45458</v>
      </c>
      <c r="E701" s="1">
        <f t="shared" si="238"/>
        <v>45748</v>
      </c>
      <c r="F701" s="1">
        <f t="shared" si="239"/>
        <v>45778</v>
      </c>
      <c r="G701" s="1">
        <f t="shared" si="240"/>
        <v>45823</v>
      </c>
      <c r="H701">
        <f t="shared" si="241"/>
        <v>365</v>
      </c>
      <c r="I701">
        <f t="shared" si="242"/>
        <v>30</v>
      </c>
      <c r="J701">
        <f t="shared" si="243"/>
        <v>8.2191780821917804E-2</v>
      </c>
      <c r="K701">
        <f>IFERROR($J701/IF($A701&lt;COUNTIFS($K$1:K$1,"&lt;&gt;"),0,SUMIFS($J:$J,$B:$B,$B701,$A:$A,"&gt;="&amp;COUNTIFS($K$1:K$1,"&lt;&gt;"))),0)</f>
        <v>8.5959885386819493E-2</v>
      </c>
      <c r="L701">
        <f>IFERROR($J701/IF($A701&lt;COUNTIFS($K$1:L$1,"&lt;&gt;"),0,SUMIFS($J:$J,$B:$B,$B701,$A:$A,"&gt;="&amp;COUNTIFS($K$1:L$1,"&lt;&gt;"))),0)</f>
        <v>9.4339622641509441E-2</v>
      </c>
      <c r="M701">
        <f>IFERROR($J701/IF($A701&lt;COUNTIFS($K$1:M$1,"&lt;&gt;"),0,SUMIFS($J:$J,$B:$B,$B701,$A:$A,"&gt;="&amp;COUNTIFS($K$1:M$1,"&lt;&gt;"))),0)</f>
        <v>0.10452961672473869</v>
      </c>
      <c r="N701">
        <f>IFERROR($J701/IF($A701&lt;COUNTIFS($K$1:N$1,"&lt;&gt;"),0,SUMIFS($J:$J,$B:$B,$B701,$A:$A,"&gt;="&amp;COUNTIFS($K$1:N$1,"&lt;&gt;"))),0)</f>
        <v>0.11673151750972764</v>
      </c>
      <c r="O701">
        <f>IFERROR($J701/IF($A701&lt;COUNTIFS($K$1:O$1,"&lt;&gt;"),0,SUMIFS($J:$J,$B:$B,$B701,$A:$A,"&gt;="&amp;COUNTIFS($K$1:O$1,"&lt;&gt;"))),0)</f>
        <v>0.13274336283185842</v>
      </c>
      <c r="P701">
        <f>IFERROR($J701/IF($A701&lt;COUNTIFS($K$1:P$1,"&lt;&gt;"),0,SUMIFS($J:$J,$B:$B,$B701,$A:$A,"&gt;="&amp;COUNTIFS($K$1:P$1,"&lt;&gt;"))),0)</f>
        <v>0.15306122448979595</v>
      </c>
      <c r="Q701">
        <f>IFERROR($J701/IF($A701&lt;COUNTIFS($K$1:Q$1,"&lt;&gt;"),0,SUMIFS($J:$J,$B:$B,$B701,$A:$A,"&gt;="&amp;COUNTIFS($K$1:Q$1,"&lt;&gt;"))),0)</f>
        <v>0.18181818181818182</v>
      </c>
      <c r="R701">
        <f>IFERROR($J701/IF($A701&lt;COUNTIFS($K$1:R$1,"&lt;&gt;"),0,SUMIFS($J:$J,$B:$B,$B701,$A:$A,"&gt;="&amp;COUNTIFS($K$1:R$1,"&lt;&gt;"))),0)</f>
        <v>0.22388059701492535</v>
      </c>
      <c r="S701">
        <f>IFERROR($J701/IF($A701&lt;COUNTIFS($K$1:S$1,"&lt;&gt;"),0,SUMIFS($J:$J,$B:$B,$B701,$A:$A,"&gt;="&amp;COUNTIFS($K$1:S$1,"&lt;&gt;"))),0)</f>
        <v>0.28301886792452829</v>
      </c>
      <c r="T701">
        <f>IFERROR($J701/IF($A701&lt;COUNTIFS($K$1:T$1,"&lt;&gt;"),0,SUMIFS($J:$J,$B:$B,$B701,$A:$A,"&gt;="&amp;COUNTIFS($K$1:T$1,"&lt;&gt;"))),0)</f>
        <v>0.4</v>
      </c>
      <c r="U701">
        <f>IFERROR($J701/IF($A701&lt;COUNTIFS($K$1:U$1,"&lt;&gt;"),0,SUMIFS($J:$J,$B:$B,$B701,$A:$A,"&gt;="&amp;COUNTIFS($K$1:U$1,"&lt;&gt;"))),0)</f>
        <v>0</v>
      </c>
      <c r="V701">
        <f>IFERROR($J701/IF($A701&lt;COUNTIFS($K$1:V$1,"&lt;&gt;"),0,SUMIFS($J:$J,$B:$B,$B701,$A:$A,"&gt;="&amp;COUNTIFS($K$1:V$1,"&lt;&gt;"))),0)</f>
        <v>0</v>
      </c>
      <c r="W701">
        <f t="shared" si="244"/>
        <v>8.2191780821917804E-2</v>
      </c>
      <c r="X701">
        <f t="shared" si="224"/>
        <v>8.2191780821917804E-2</v>
      </c>
      <c r="Y701">
        <f t="shared" si="225"/>
        <v>8.2191780821917804E-2</v>
      </c>
      <c r="Z701">
        <f t="shared" si="226"/>
        <v>8.2191780821917804E-2</v>
      </c>
      <c r="AA701">
        <f t="shared" si="227"/>
        <v>8.2191780821917804E-2</v>
      </c>
      <c r="AB701">
        <f t="shared" si="228"/>
        <v>8.2191780821917804E-2</v>
      </c>
      <c r="AC701">
        <f t="shared" si="229"/>
        <v>8.2191780821917804E-2</v>
      </c>
      <c r="AD701">
        <f t="shared" si="230"/>
        <v>8.2191780821917804E-2</v>
      </c>
      <c r="AE701">
        <f t="shared" si="231"/>
        <v>8.2191780821917804E-2</v>
      </c>
      <c r="AF701">
        <f t="shared" si="232"/>
        <v>8.2191780821917804E-2</v>
      </c>
      <c r="AG701">
        <f t="shared" si="233"/>
        <v>8.2191780821917804E-2</v>
      </c>
      <c r="AH701">
        <f t="shared" si="234"/>
        <v>0</v>
      </c>
      <c r="AI701">
        <f t="shared" si="235"/>
        <v>0</v>
      </c>
      <c r="AJ701" s="2" t="str">
        <f t="shared" si="245"/>
        <v>1045444</v>
      </c>
    </row>
    <row r="702" spans="1:36" x14ac:dyDescent="0.25">
      <c r="A702">
        <v>11</v>
      </c>
      <c r="B702" s="1">
        <v>45444</v>
      </c>
      <c r="C702" s="1">
        <f t="shared" si="236"/>
        <v>45778</v>
      </c>
      <c r="D702" s="1">
        <f t="shared" si="237"/>
        <v>45458</v>
      </c>
      <c r="E702" s="1">
        <f t="shared" si="238"/>
        <v>45778</v>
      </c>
      <c r="F702" s="1">
        <f t="shared" si="239"/>
        <v>45809</v>
      </c>
      <c r="G702" s="1">
        <f t="shared" si="240"/>
        <v>45823</v>
      </c>
      <c r="H702">
        <f t="shared" si="241"/>
        <v>365</v>
      </c>
      <c r="I702">
        <f t="shared" si="242"/>
        <v>31</v>
      </c>
      <c r="J702">
        <f t="shared" si="243"/>
        <v>8.4931506849315067E-2</v>
      </c>
      <c r="K702">
        <f>IFERROR($J702/IF($A702&lt;COUNTIFS($K$1:K$1,"&lt;&gt;"),0,SUMIFS($J:$J,$B:$B,$B702,$A:$A,"&gt;="&amp;COUNTIFS($K$1:K$1,"&lt;&gt;"))),0)</f>
        <v>8.8825214899713484E-2</v>
      </c>
      <c r="L702">
        <f>IFERROR($J702/IF($A702&lt;COUNTIFS($K$1:L$1,"&lt;&gt;"),0,SUMIFS($J:$J,$B:$B,$B702,$A:$A,"&gt;="&amp;COUNTIFS($K$1:L$1,"&lt;&gt;"))),0)</f>
        <v>9.7484276729559768E-2</v>
      </c>
      <c r="M702">
        <f>IFERROR($J702/IF($A702&lt;COUNTIFS($K$1:M$1,"&lt;&gt;"),0,SUMIFS($J:$J,$B:$B,$B702,$A:$A,"&gt;="&amp;COUNTIFS($K$1:M$1,"&lt;&gt;"))),0)</f>
        <v>0.10801393728222998</v>
      </c>
      <c r="N702">
        <f>IFERROR($J702/IF($A702&lt;COUNTIFS($K$1:N$1,"&lt;&gt;"),0,SUMIFS($J:$J,$B:$B,$B702,$A:$A,"&gt;="&amp;COUNTIFS($K$1:N$1,"&lt;&gt;"))),0)</f>
        <v>0.12062256809338523</v>
      </c>
      <c r="O702">
        <f>IFERROR($J702/IF($A702&lt;COUNTIFS($K$1:O$1,"&lt;&gt;"),0,SUMIFS($J:$J,$B:$B,$B702,$A:$A,"&gt;="&amp;COUNTIFS($K$1:O$1,"&lt;&gt;"))),0)</f>
        <v>0.13716814159292037</v>
      </c>
      <c r="P702">
        <f>IFERROR($J702/IF($A702&lt;COUNTIFS($K$1:P$1,"&lt;&gt;"),0,SUMIFS($J:$J,$B:$B,$B702,$A:$A,"&gt;="&amp;COUNTIFS($K$1:P$1,"&lt;&gt;"))),0)</f>
        <v>0.15816326530612249</v>
      </c>
      <c r="Q702">
        <f>IFERROR($J702/IF($A702&lt;COUNTIFS($K$1:Q$1,"&lt;&gt;"),0,SUMIFS($J:$J,$B:$B,$B702,$A:$A,"&gt;="&amp;COUNTIFS($K$1:Q$1,"&lt;&gt;"))),0)</f>
        <v>0.1878787878787879</v>
      </c>
      <c r="R702">
        <f>IFERROR($J702/IF($A702&lt;COUNTIFS($K$1:R$1,"&lt;&gt;"),0,SUMIFS($J:$J,$B:$B,$B702,$A:$A,"&gt;="&amp;COUNTIFS($K$1:R$1,"&lt;&gt;"))),0)</f>
        <v>0.23134328358208955</v>
      </c>
      <c r="S702">
        <f>IFERROR($J702/IF($A702&lt;COUNTIFS($K$1:S$1,"&lt;&gt;"),0,SUMIFS($J:$J,$B:$B,$B702,$A:$A,"&gt;="&amp;COUNTIFS($K$1:S$1,"&lt;&gt;"))),0)</f>
        <v>0.29245283018867929</v>
      </c>
      <c r="T702">
        <f>IFERROR($J702/IF($A702&lt;COUNTIFS($K$1:T$1,"&lt;&gt;"),0,SUMIFS($J:$J,$B:$B,$B702,$A:$A,"&gt;="&amp;COUNTIFS($K$1:T$1,"&lt;&gt;"))),0)</f>
        <v>0.41333333333333333</v>
      </c>
      <c r="U702">
        <f>IFERROR($J702/IF($A702&lt;COUNTIFS($K$1:U$1,"&lt;&gt;"),0,SUMIFS($J:$J,$B:$B,$B702,$A:$A,"&gt;="&amp;COUNTIFS($K$1:U$1,"&lt;&gt;"))),0)</f>
        <v>0.68888888888888888</v>
      </c>
      <c r="V702">
        <f>IFERROR($J702/IF($A702&lt;COUNTIFS($K$1:V$1,"&lt;&gt;"),0,SUMIFS($J:$J,$B:$B,$B702,$A:$A,"&gt;="&amp;COUNTIFS($K$1:V$1,"&lt;&gt;"))),0)</f>
        <v>0</v>
      </c>
      <c r="W702">
        <f t="shared" si="244"/>
        <v>8.4931506849315067E-2</v>
      </c>
      <c r="X702">
        <f t="shared" si="224"/>
        <v>8.4931506849315067E-2</v>
      </c>
      <c r="Y702">
        <f t="shared" si="225"/>
        <v>8.4931506849315067E-2</v>
      </c>
      <c r="Z702">
        <f t="shared" si="226"/>
        <v>8.4931506849315067E-2</v>
      </c>
      <c r="AA702">
        <f t="shared" si="227"/>
        <v>8.4931506849315067E-2</v>
      </c>
      <c r="AB702">
        <f t="shared" si="228"/>
        <v>8.4931506849315067E-2</v>
      </c>
      <c r="AC702">
        <f t="shared" si="229"/>
        <v>8.4931506849315067E-2</v>
      </c>
      <c r="AD702">
        <f t="shared" si="230"/>
        <v>8.4931506849315067E-2</v>
      </c>
      <c r="AE702">
        <f t="shared" si="231"/>
        <v>8.4931506849315067E-2</v>
      </c>
      <c r="AF702">
        <f t="shared" si="232"/>
        <v>8.4931506849315067E-2</v>
      </c>
      <c r="AG702">
        <f t="shared" si="233"/>
        <v>8.4931506849315067E-2</v>
      </c>
      <c r="AH702">
        <f t="shared" si="234"/>
        <v>8.4931506849315067E-2</v>
      </c>
      <c r="AI702">
        <f t="shared" si="235"/>
        <v>0</v>
      </c>
      <c r="AJ702" s="2" t="str">
        <f t="shared" si="245"/>
        <v>1145444</v>
      </c>
    </row>
    <row r="703" spans="1:36" x14ac:dyDescent="0.25">
      <c r="A703">
        <v>12</v>
      </c>
      <c r="B703" s="1">
        <v>45444</v>
      </c>
      <c r="C703" s="1">
        <f t="shared" si="236"/>
        <v>45809</v>
      </c>
      <c r="D703" s="1">
        <f t="shared" si="237"/>
        <v>45458</v>
      </c>
      <c r="E703" s="1">
        <f t="shared" si="238"/>
        <v>45809</v>
      </c>
      <c r="F703" s="1">
        <f t="shared" si="239"/>
        <v>45823</v>
      </c>
      <c r="G703" s="1">
        <f t="shared" si="240"/>
        <v>45823</v>
      </c>
      <c r="H703">
        <f t="shared" si="241"/>
        <v>365</v>
      </c>
      <c r="I703">
        <f t="shared" si="242"/>
        <v>14</v>
      </c>
      <c r="J703">
        <f t="shared" si="243"/>
        <v>3.8356164383561646E-2</v>
      </c>
      <c r="K703">
        <f>IFERROR($J703/IF($A703&lt;COUNTIFS($K$1:K$1,"&lt;&gt;"),0,SUMIFS($J:$J,$B:$B,$B703,$A:$A,"&gt;="&amp;COUNTIFS($K$1:K$1,"&lt;&gt;"))),0)</f>
        <v>4.0114613180515769E-2</v>
      </c>
      <c r="L703">
        <f>IFERROR($J703/IF($A703&lt;COUNTIFS($K$1:L$1,"&lt;&gt;"),0,SUMIFS($J:$J,$B:$B,$B703,$A:$A,"&gt;="&amp;COUNTIFS($K$1:L$1,"&lt;&gt;"))),0)</f>
        <v>4.4025157232704414E-2</v>
      </c>
      <c r="M703">
        <f>IFERROR($J703/IF($A703&lt;COUNTIFS($K$1:M$1,"&lt;&gt;"),0,SUMIFS($J:$J,$B:$B,$B703,$A:$A,"&gt;="&amp;COUNTIFS($K$1:M$1,"&lt;&gt;"))),0)</f>
        <v>4.8780487804878057E-2</v>
      </c>
      <c r="N703">
        <f>IFERROR($J703/IF($A703&lt;COUNTIFS($K$1:N$1,"&lt;&gt;"),0,SUMIFS($J:$J,$B:$B,$B703,$A:$A,"&gt;="&amp;COUNTIFS($K$1:N$1,"&lt;&gt;"))),0)</f>
        <v>5.447470817120624E-2</v>
      </c>
      <c r="O703">
        <f>IFERROR($J703/IF($A703&lt;COUNTIFS($K$1:O$1,"&lt;&gt;"),0,SUMIFS($J:$J,$B:$B,$B703,$A:$A,"&gt;="&amp;COUNTIFS($K$1:O$1,"&lt;&gt;"))),0)</f>
        <v>6.194690265486727E-2</v>
      </c>
      <c r="P703">
        <f>IFERROR($J703/IF($A703&lt;COUNTIFS($K$1:P$1,"&lt;&gt;"),0,SUMIFS($J:$J,$B:$B,$B703,$A:$A,"&gt;="&amp;COUNTIFS($K$1:P$1,"&lt;&gt;"))),0)</f>
        <v>7.1428571428571438E-2</v>
      </c>
      <c r="Q703">
        <f>IFERROR($J703/IF($A703&lt;COUNTIFS($K$1:Q$1,"&lt;&gt;"),0,SUMIFS($J:$J,$B:$B,$B703,$A:$A,"&gt;="&amp;COUNTIFS($K$1:Q$1,"&lt;&gt;"))),0)</f>
        <v>8.4848484848484854E-2</v>
      </c>
      <c r="R703">
        <f>IFERROR($J703/IF($A703&lt;COUNTIFS($K$1:R$1,"&lt;&gt;"),0,SUMIFS($J:$J,$B:$B,$B703,$A:$A,"&gt;="&amp;COUNTIFS($K$1:R$1,"&lt;&gt;"))),0)</f>
        <v>0.10447761194029852</v>
      </c>
      <c r="S703">
        <f>IFERROR($J703/IF($A703&lt;COUNTIFS($K$1:S$1,"&lt;&gt;"),0,SUMIFS($J:$J,$B:$B,$B703,$A:$A,"&gt;="&amp;COUNTIFS($K$1:S$1,"&lt;&gt;"))),0)</f>
        <v>0.13207547169811323</v>
      </c>
      <c r="T703">
        <f>IFERROR($J703/IF($A703&lt;COUNTIFS($K$1:T$1,"&lt;&gt;"),0,SUMIFS($J:$J,$B:$B,$B703,$A:$A,"&gt;="&amp;COUNTIFS($K$1:T$1,"&lt;&gt;"))),0)</f>
        <v>0.18666666666666668</v>
      </c>
      <c r="U703">
        <f>IFERROR($J703/IF($A703&lt;COUNTIFS($K$1:U$1,"&lt;&gt;"),0,SUMIFS($J:$J,$B:$B,$B703,$A:$A,"&gt;="&amp;COUNTIFS($K$1:U$1,"&lt;&gt;"))),0)</f>
        <v>0.31111111111111117</v>
      </c>
      <c r="V703">
        <f>IFERROR($J703/IF($A703&lt;COUNTIFS($K$1:V$1,"&lt;&gt;"),0,SUMIFS($J:$J,$B:$B,$B703,$A:$A,"&gt;="&amp;COUNTIFS($K$1:V$1,"&lt;&gt;"))),0)</f>
        <v>1</v>
      </c>
      <c r="W703">
        <f t="shared" si="244"/>
        <v>3.8356164383561646E-2</v>
      </c>
      <c r="X703">
        <f t="shared" si="224"/>
        <v>3.8356164383561646E-2</v>
      </c>
      <c r="Y703">
        <f t="shared" si="225"/>
        <v>3.8356164383561646E-2</v>
      </c>
      <c r="Z703">
        <f t="shared" si="226"/>
        <v>3.8356164383561646E-2</v>
      </c>
      <c r="AA703">
        <f t="shared" si="227"/>
        <v>3.8356164383561646E-2</v>
      </c>
      <c r="AB703">
        <f t="shared" si="228"/>
        <v>3.8356164383561646E-2</v>
      </c>
      <c r="AC703">
        <f t="shared" si="229"/>
        <v>3.8356164383561646E-2</v>
      </c>
      <c r="AD703">
        <f t="shared" si="230"/>
        <v>3.8356164383561646E-2</v>
      </c>
      <c r="AE703">
        <f t="shared" si="231"/>
        <v>3.8356164383561646E-2</v>
      </c>
      <c r="AF703">
        <f t="shared" si="232"/>
        <v>3.8356164383561646E-2</v>
      </c>
      <c r="AG703">
        <f t="shared" si="233"/>
        <v>3.8356164383561646E-2</v>
      </c>
      <c r="AH703">
        <f t="shared" si="234"/>
        <v>3.8356164383561646E-2</v>
      </c>
      <c r="AI703">
        <f t="shared" si="235"/>
        <v>3.8356164383561646E-2</v>
      </c>
      <c r="AJ703" s="2" t="str">
        <f t="shared" si="245"/>
        <v>1245444</v>
      </c>
    </row>
    <row r="704" spans="1:36" x14ac:dyDescent="0.25">
      <c r="A704">
        <v>0</v>
      </c>
      <c r="B704" s="1">
        <v>45474</v>
      </c>
      <c r="C704" s="1">
        <f t="shared" si="236"/>
        <v>45474</v>
      </c>
      <c r="D704" s="1">
        <f t="shared" si="237"/>
        <v>45488</v>
      </c>
      <c r="E704" s="1">
        <f t="shared" si="238"/>
        <v>45488</v>
      </c>
      <c r="F704" s="1">
        <f t="shared" si="239"/>
        <v>45505</v>
      </c>
      <c r="G704" s="1">
        <f t="shared" si="240"/>
        <v>45853</v>
      </c>
      <c r="H704">
        <f t="shared" si="241"/>
        <v>365</v>
      </c>
      <c r="I704">
        <f t="shared" si="242"/>
        <v>17</v>
      </c>
      <c r="J704">
        <f t="shared" si="243"/>
        <v>4.6575342465753428E-2</v>
      </c>
      <c r="K704">
        <f>IFERROR($J704/IF($A704&lt;COUNTIFS($K$1:K$1,"&lt;&gt;"),0,SUMIFS($J:$J,$B:$B,$B704,$A:$A,"&gt;="&amp;COUNTIFS($K$1:K$1,"&lt;&gt;"))),0)</f>
        <v>0</v>
      </c>
      <c r="L704">
        <f>IFERROR($J704/IF($A704&lt;COUNTIFS($K$1:L$1,"&lt;&gt;"),0,SUMIFS($J:$J,$B:$B,$B704,$A:$A,"&gt;="&amp;COUNTIFS($K$1:L$1,"&lt;&gt;"))),0)</f>
        <v>0</v>
      </c>
      <c r="M704">
        <f>IFERROR($J704/IF($A704&lt;COUNTIFS($K$1:M$1,"&lt;&gt;"),0,SUMIFS($J:$J,$B:$B,$B704,$A:$A,"&gt;="&amp;COUNTIFS($K$1:M$1,"&lt;&gt;"))),0)</f>
        <v>0</v>
      </c>
      <c r="N704">
        <f>IFERROR($J704/IF($A704&lt;COUNTIFS($K$1:N$1,"&lt;&gt;"),0,SUMIFS($J:$J,$B:$B,$B704,$A:$A,"&gt;="&amp;COUNTIFS($K$1:N$1,"&lt;&gt;"))),0)</f>
        <v>0</v>
      </c>
      <c r="O704">
        <f>IFERROR($J704/IF($A704&lt;COUNTIFS($K$1:O$1,"&lt;&gt;"),0,SUMIFS($J:$J,$B:$B,$B704,$A:$A,"&gt;="&amp;COUNTIFS($K$1:O$1,"&lt;&gt;"))),0)</f>
        <v>0</v>
      </c>
      <c r="P704">
        <f>IFERROR($J704/IF($A704&lt;COUNTIFS($K$1:P$1,"&lt;&gt;"),0,SUMIFS($J:$J,$B:$B,$B704,$A:$A,"&gt;="&amp;COUNTIFS($K$1:P$1,"&lt;&gt;"))),0)</f>
        <v>0</v>
      </c>
      <c r="Q704">
        <f>IFERROR($J704/IF($A704&lt;COUNTIFS($K$1:Q$1,"&lt;&gt;"),0,SUMIFS($J:$J,$B:$B,$B704,$A:$A,"&gt;="&amp;COUNTIFS($K$1:Q$1,"&lt;&gt;"))),0)</f>
        <v>0</v>
      </c>
      <c r="R704">
        <f>IFERROR($J704/IF($A704&lt;COUNTIFS($K$1:R$1,"&lt;&gt;"),0,SUMIFS($J:$J,$B:$B,$B704,$A:$A,"&gt;="&amp;COUNTIFS($K$1:R$1,"&lt;&gt;"))),0)</f>
        <v>0</v>
      </c>
      <c r="S704">
        <f>IFERROR($J704/IF($A704&lt;COUNTIFS($K$1:S$1,"&lt;&gt;"),0,SUMIFS($J:$J,$B:$B,$B704,$A:$A,"&gt;="&amp;COUNTIFS($K$1:S$1,"&lt;&gt;"))),0)</f>
        <v>0</v>
      </c>
      <c r="T704">
        <f>IFERROR($J704/IF($A704&lt;COUNTIFS($K$1:T$1,"&lt;&gt;"),0,SUMIFS($J:$J,$B:$B,$B704,$A:$A,"&gt;="&amp;COUNTIFS($K$1:T$1,"&lt;&gt;"))),0)</f>
        <v>0</v>
      </c>
      <c r="U704">
        <f>IFERROR($J704/IF($A704&lt;COUNTIFS($K$1:U$1,"&lt;&gt;"),0,SUMIFS($J:$J,$B:$B,$B704,$A:$A,"&gt;="&amp;COUNTIFS($K$1:U$1,"&lt;&gt;"))),0)</f>
        <v>0</v>
      </c>
      <c r="V704">
        <f>IFERROR($J704/IF($A704&lt;COUNTIFS($K$1:V$1,"&lt;&gt;"),0,SUMIFS($J:$J,$B:$B,$B704,$A:$A,"&gt;="&amp;COUNTIFS($K$1:V$1,"&lt;&gt;"))),0)</f>
        <v>0</v>
      </c>
      <c r="W704">
        <f t="shared" si="244"/>
        <v>4.6575342465753428E-2</v>
      </c>
      <c r="X704">
        <f t="shared" si="224"/>
        <v>0</v>
      </c>
      <c r="Y704">
        <f t="shared" si="225"/>
        <v>0</v>
      </c>
      <c r="Z704">
        <f t="shared" si="226"/>
        <v>0</v>
      </c>
      <c r="AA704">
        <f t="shared" si="227"/>
        <v>0</v>
      </c>
      <c r="AB704">
        <f t="shared" si="228"/>
        <v>0</v>
      </c>
      <c r="AC704">
        <f t="shared" si="229"/>
        <v>0</v>
      </c>
      <c r="AD704">
        <f t="shared" si="230"/>
        <v>0</v>
      </c>
      <c r="AE704">
        <f t="shared" si="231"/>
        <v>0</v>
      </c>
      <c r="AF704">
        <f t="shared" si="232"/>
        <v>0</v>
      </c>
      <c r="AG704">
        <f t="shared" si="233"/>
        <v>0</v>
      </c>
      <c r="AH704">
        <f t="shared" si="234"/>
        <v>0</v>
      </c>
      <c r="AI704">
        <f t="shared" si="235"/>
        <v>0</v>
      </c>
      <c r="AJ704" s="2" t="str">
        <f t="shared" si="245"/>
        <v>045474</v>
      </c>
    </row>
    <row r="705" spans="1:36" x14ac:dyDescent="0.25">
      <c r="A705">
        <v>1</v>
      </c>
      <c r="B705" s="1">
        <v>45474</v>
      </c>
      <c r="C705" s="1">
        <f t="shared" si="236"/>
        <v>45505</v>
      </c>
      <c r="D705" s="1">
        <f t="shared" si="237"/>
        <v>45488</v>
      </c>
      <c r="E705" s="1">
        <f t="shared" si="238"/>
        <v>45505</v>
      </c>
      <c r="F705" s="1">
        <f t="shared" si="239"/>
        <v>45536</v>
      </c>
      <c r="G705" s="1">
        <f t="shared" si="240"/>
        <v>45853</v>
      </c>
      <c r="H705">
        <f t="shared" si="241"/>
        <v>365</v>
      </c>
      <c r="I705">
        <f t="shared" si="242"/>
        <v>31</v>
      </c>
      <c r="J705">
        <f t="shared" si="243"/>
        <v>8.4931506849315067E-2</v>
      </c>
      <c r="K705">
        <f>IFERROR($J705/IF($A705&lt;COUNTIFS($K$1:K$1,"&lt;&gt;"),0,SUMIFS($J:$J,$B:$B,$B705,$A:$A,"&gt;="&amp;COUNTIFS($K$1:K$1,"&lt;&gt;"))),0)</f>
        <v>8.9080459770114959E-2</v>
      </c>
      <c r="L705">
        <f>IFERROR($J705/IF($A705&lt;COUNTIFS($K$1:L$1,"&lt;&gt;"),0,SUMIFS($J:$J,$B:$B,$B705,$A:$A,"&gt;="&amp;COUNTIFS($K$1:L$1,"&lt;&gt;"))),0)</f>
        <v>0</v>
      </c>
      <c r="M705">
        <f>IFERROR($J705/IF($A705&lt;COUNTIFS($K$1:M$1,"&lt;&gt;"),0,SUMIFS($J:$J,$B:$B,$B705,$A:$A,"&gt;="&amp;COUNTIFS($K$1:M$1,"&lt;&gt;"))),0)</f>
        <v>0</v>
      </c>
      <c r="N705">
        <f>IFERROR($J705/IF($A705&lt;COUNTIFS($K$1:N$1,"&lt;&gt;"),0,SUMIFS($J:$J,$B:$B,$B705,$A:$A,"&gt;="&amp;COUNTIFS($K$1:N$1,"&lt;&gt;"))),0)</f>
        <v>0</v>
      </c>
      <c r="O705">
        <f>IFERROR($J705/IF($A705&lt;COUNTIFS($K$1:O$1,"&lt;&gt;"),0,SUMIFS($J:$J,$B:$B,$B705,$A:$A,"&gt;="&amp;COUNTIFS($K$1:O$1,"&lt;&gt;"))),0)</f>
        <v>0</v>
      </c>
      <c r="P705">
        <f>IFERROR($J705/IF($A705&lt;COUNTIFS($K$1:P$1,"&lt;&gt;"),0,SUMIFS($J:$J,$B:$B,$B705,$A:$A,"&gt;="&amp;COUNTIFS($K$1:P$1,"&lt;&gt;"))),0)</f>
        <v>0</v>
      </c>
      <c r="Q705">
        <f>IFERROR($J705/IF($A705&lt;COUNTIFS($K$1:Q$1,"&lt;&gt;"),0,SUMIFS($J:$J,$B:$B,$B705,$A:$A,"&gt;="&amp;COUNTIFS($K$1:Q$1,"&lt;&gt;"))),0)</f>
        <v>0</v>
      </c>
      <c r="R705">
        <f>IFERROR($J705/IF($A705&lt;COUNTIFS($K$1:R$1,"&lt;&gt;"),0,SUMIFS($J:$J,$B:$B,$B705,$A:$A,"&gt;="&amp;COUNTIFS($K$1:R$1,"&lt;&gt;"))),0)</f>
        <v>0</v>
      </c>
      <c r="S705">
        <f>IFERROR($J705/IF($A705&lt;COUNTIFS($K$1:S$1,"&lt;&gt;"),0,SUMIFS($J:$J,$B:$B,$B705,$A:$A,"&gt;="&amp;COUNTIFS($K$1:S$1,"&lt;&gt;"))),0)</f>
        <v>0</v>
      </c>
      <c r="T705">
        <f>IFERROR($J705/IF($A705&lt;COUNTIFS($K$1:T$1,"&lt;&gt;"),0,SUMIFS($J:$J,$B:$B,$B705,$A:$A,"&gt;="&amp;COUNTIFS($K$1:T$1,"&lt;&gt;"))),0)</f>
        <v>0</v>
      </c>
      <c r="U705">
        <f>IFERROR($J705/IF($A705&lt;COUNTIFS($K$1:U$1,"&lt;&gt;"),0,SUMIFS($J:$J,$B:$B,$B705,$A:$A,"&gt;="&amp;COUNTIFS($K$1:U$1,"&lt;&gt;"))),0)</f>
        <v>0</v>
      </c>
      <c r="V705">
        <f>IFERROR($J705/IF($A705&lt;COUNTIFS($K$1:V$1,"&lt;&gt;"),0,SUMIFS($J:$J,$B:$B,$B705,$A:$A,"&gt;="&amp;COUNTIFS($K$1:V$1,"&lt;&gt;"))),0)</f>
        <v>0</v>
      </c>
      <c r="W705">
        <f t="shared" si="244"/>
        <v>8.4931506849315067E-2</v>
      </c>
      <c r="X705">
        <f t="shared" si="224"/>
        <v>8.4931506849315067E-2</v>
      </c>
      <c r="Y705">
        <f t="shared" si="225"/>
        <v>0</v>
      </c>
      <c r="Z705">
        <f t="shared" si="226"/>
        <v>0</v>
      </c>
      <c r="AA705">
        <f t="shared" si="227"/>
        <v>0</v>
      </c>
      <c r="AB705">
        <f t="shared" si="228"/>
        <v>0</v>
      </c>
      <c r="AC705">
        <f t="shared" si="229"/>
        <v>0</v>
      </c>
      <c r="AD705">
        <f t="shared" si="230"/>
        <v>0</v>
      </c>
      <c r="AE705">
        <f t="shared" si="231"/>
        <v>0</v>
      </c>
      <c r="AF705">
        <f t="shared" si="232"/>
        <v>0</v>
      </c>
      <c r="AG705">
        <f t="shared" si="233"/>
        <v>0</v>
      </c>
      <c r="AH705">
        <f t="shared" si="234"/>
        <v>0</v>
      </c>
      <c r="AI705">
        <f t="shared" si="235"/>
        <v>0</v>
      </c>
      <c r="AJ705" s="2" t="str">
        <f t="shared" si="245"/>
        <v>145474</v>
      </c>
    </row>
    <row r="706" spans="1:36" x14ac:dyDescent="0.25">
      <c r="A706">
        <v>2</v>
      </c>
      <c r="B706" s="1">
        <v>45474</v>
      </c>
      <c r="C706" s="1">
        <f t="shared" si="236"/>
        <v>45536</v>
      </c>
      <c r="D706" s="1">
        <f t="shared" si="237"/>
        <v>45488</v>
      </c>
      <c r="E706" s="1">
        <f t="shared" si="238"/>
        <v>45536</v>
      </c>
      <c r="F706" s="1">
        <f t="shared" si="239"/>
        <v>45566</v>
      </c>
      <c r="G706" s="1">
        <f t="shared" si="240"/>
        <v>45853</v>
      </c>
      <c r="H706">
        <f t="shared" si="241"/>
        <v>365</v>
      </c>
      <c r="I706">
        <f t="shared" si="242"/>
        <v>30</v>
      </c>
      <c r="J706">
        <f t="shared" si="243"/>
        <v>8.2191780821917804E-2</v>
      </c>
      <c r="K706">
        <f>IFERROR($J706/IF($A706&lt;COUNTIFS($K$1:K$1,"&lt;&gt;"),0,SUMIFS($J:$J,$B:$B,$B706,$A:$A,"&gt;="&amp;COUNTIFS($K$1:K$1,"&lt;&gt;"))),0)</f>
        <v>8.6206896551724144E-2</v>
      </c>
      <c r="L706">
        <f>IFERROR($J706/IF($A706&lt;COUNTIFS($K$1:L$1,"&lt;&gt;"),0,SUMIFS($J:$J,$B:$B,$B706,$A:$A,"&gt;="&amp;COUNTIFS($K$1:L$1,"&lt;&gt;"))),0)</f>
        <v>9.4637223974763415E-2</v>
      </c>
      <c r="M706">
        <f>IFERROR($J706/IF($A706&lt;COUNTIFS($K$1:M$1,"&lt;&gt;"),0,SUMIFS($J:$J,$B:$B,$B706,$A:$A,"&gt;="&amp;COUNTIFS($K$1:M$1,"&lt;&gt;"))),0)</f>
        <v>0</v>
      </c>
      <c r="N706">
        <f>IFERROR($J706/IF($A706&lt;COUNTIFS($K$1:N$1,"&lt;&gt;"),0,SUMIFS($J:$J,$B:$B,$B706,$A:$A,"&gt;="&amp;COUNTIFS($K$1:N$1,"&lt;&gt;"))),0)</f>
        <v>0</v>
      </c>
      <c r="O706">
        <f>IFERROR($J706/IF($A706&lt;COUNTIFS($K$1:O$1,"&lt;&gt;"),0,SUMIFS($J:$J,$B:$B,$B706,$A:$A,"&gt;="&amp;COUNTIFS($K$1:O$1,"&lt;&gt;"))),0)</f>
        <v>0</v>
      </c>
      <c r="P706">
        <f>IFERROR($J706/IF($A706&lt;COUNTIFS($K$1:P$1,"&lt;&gt;"),0,SUMIFS($J:$J,$B:$B,$B706,$A:$A,"&gt;="&amp;COUNTIFS($K$1:P$1,"&lt;&gt;"))),0)</f>
        <v>0</v>
      </c>
      <c r="Q706">
        <f>IFERROR($J706/IF($A706&lt;COUNTIFS($K$1:Q$1,"&lt;&gt;"),0,SUMIFS($J:$J,$B:$B,$B706,$A:$A,"&gt;="&amp;COUNTIFS($K$1:Q$1,"&lt;&gt;"))),0)</f>
        <v>0</v>
      </c>
      <c r="R706">
        <f>IFERROR($J706/IF($A706&lt;COUNTIFS($K$1:R$1,"&lt;&gt;"),0,SUMIFS($J:$J,$B:$B,$B706,$A:$A,"&gt;="&amp;COUNTIFS($K$1:R$1,"&lt;&gt;"))),0)</f>
        <v>0</v>
      </c>
      <c r="S706">
        <f>IFERROR($J706/IF($A706&lt;COUNTIFS($K$1:S$1,"&lt;&gt;"),0,SUMIFS($J:$J,$B:$B,$B706,$A:$A,"&gt;="&amp;COUNTIFS($K$1:S$1,"&lt;&gt;"))),0)</f>
        <v>0</v>
      </c>
      <c r="T706">
        <f>IFERROR($J706/IF($A706&lt;COUNTIFS($K$1:T$1,"&lt;&gt;"),0,SUMIFS($J:$J,$B:$B,$B706,$A:$A,"&gt;="&amp;COUNTIFS($K$1:T$1,"&lt;&gt;"))),0)</f>
        <v>0</v>
      </c>
      <c r="U706">
        <f>IFERROR($J706/IF($A706&lt;COUNTIFS($K$1:U$1,"&lt;&gt;"),0,SUMIFS($J:$J,$B:$B,$B706,$A:$A,"&gt;="&amp;COUNTIFS($K$1:U$1,"&lt;&gt;"))),0)</f>
        <v>0</v>
      </c>
      <c r="V706">
        <f>IFERROR($J706/IF($A706&lt;COUNTIFS($K$1:V$1,"&lt;&gt;"),0,SUMIFS($J:$J,$B:$B,$B706,$A:$A,"&gt;="&amp;COUNTIFS($K$1:V$1,"&lt;&gt;"))),0)</f>
        <v>0</v>
      </c>
      <c r="W706">
        <f t="shared" si="244"/>
        <v>8.2191780821917804E-2</v>
      </c>
      <c r="X706">
        <f t="shared" ref="X706:X769" si="246">IF(K706=0,0,$J706)</f>
        <v>8.2191780821917804E-2</v>
      </c>
      <c r="Y706">
        <f t="shared" ref="Y706:Y769" si="247">IF(L706=0,0,$J706)</f>
        <v>8.2191780821917804E-2</v>
      </c>
      <c r="Z706">
        <f t="shared" ref="Z706:Z769" si="248">IF(M706=0,0,$J706)</f>
        <v>0</v>
      </c>
      <c r="AA706">
        <f t="shared" ref="AA706:AA769" si="249">IF(N706=0,0,$J706)</f>
        <v>0</v>
      </c>
      <c r="AB706">
        <f t="shared" ref="AB706:AB769" si="250">IF(O706=0,0,$J706)</f>
        <v>0</v>
      </c>
      <c r="AC706">
        <f t="shared" ref="AC706:AC769" si="251">IF(P706=0,0,$J706)</f>
        <v>0</v>
      </c>
      <c r="AD706">
        <f t="shared" ref="AD706:AD769" si="252">IF(Q706=0,0,$J706)</f>
        <v>0</v>
      </c>
      <c r="AE706">
        <f t="shared" ref="AE706:AE769" si="253">IF(R706=0,0,$J706)</f>
        <v>0</v>
      </c>
      <c r="AF706">
        <f t="shared" ref="AF706:AF769" si="254">IF(S706=0,0,$J706)</f>
        <v>0</v>
      </c>
      <c r="AG706">
        <f t="shared" ref="AG706:AG769" si="255">IF(T706=0,0,$J706)</f>
        <v>0</v>
      </c>
      <c r="AH706">
        <f t="shared" ref="AH706:AH769" si="256">IF(U706=0,0,$J706)</f>
        <v>0</v>
      </c>
      <c r="AI706">
        <f t="shared" ref="AI706:AI769" si="257">IF(V706=0,0,$J706)</f>
        <v>0</v>
      </c>
      <c r="AJ706" s="2" t="str">
        <f t="shared" si="245"/>
        <v>245474</v>
      </c>
    </row>
    <row r="707" spans="1:36" x14ac:dyDescent="0.25">
      <c r="A707">
        <v>3</v>
      </c>
      <c r="B707" s="1">
        <v>45474</v>
      </c>
      <c r="C707" s="1">
        <f t="shared" ref="C707:C770" si="258">EDATE(B707,A707)</f>
        <v>45566</v>
      </c>
      <c r="D707" s="1">
        <f t="shared" ref="D707:D770" si="259">B707+14</f>
        <v>45488</v>
      </c>
      <c r="E707" s="1">
        <f t="shared" ref="E707:E770" si="260">IF($A707=0,C707+14,C707)</f>
        <v>45566</v>
      </c>
      <c r="F707" s="1">
        <f t="shared" ref="F707:F770" si="261">IF(EDATE(C707,1)&gt;G707,G707,EDATE(C707,1))</f>
        <v>45597</v>
      </c>
      <c r="G707" s="1">
        <f t="shared" ref="G707:G770" si="262">EDATE(D707,12)</f>
        <v>45853</v>
      </c>
      <c r="H707">
        <f t="shared" ref="H707:H770" si="263">G707-D707</f>
        <v>365</v>
      </c>
      <c r="I707">
        <f t="shared" ref="I707:I770" si="264">F707-E707</f>
        <v>31</v>
      </c>
      <c r="J707">
        <f t="shared" ref="J707:J770" si="265">I707/H707</f>
        <v>8.4931506849315067E-2</v>
      </c>
      <c r="K707">
        <f>IFERROR($J707/IF($A707&lt;COUNTIFS($K$1:K$1,"&lt;&gt;"),0,SUMIFS($J:$J,$B:$B,$B707,$A:$A,"&gt;="&amp;COUNTIFS($K$1:K$1,"&lt;&gt;"))),0)</f>
        <v>8.9080459770114959E-2</v>
      </c>
      <c r="L707">
        <f>IFERROR($J707/IF($A707&lt;COUNTIFS($K$1:L$1,"&lt;&gt;"),0,SUMIFS($J:$J,$B:$B,$B707,$A:$A,"&gt;="&amp;COUNTIFS($K$1:L$1,"&lt;&gt;"))),0)</f>
        <v>9.7791798107255537E-2</v>
      </c>
      <c r="M707">
        <f>IFERROR($J707/IF($A707&lt;COUNTIFS($K$1:M$1,"&lt;&gt;"),0,SUMIFS($J:$J,$B:$B,$B707,$A:$A,"&gt;="&amp;COUNTIFS($K$1:M$1,"&lt;&gt;"))),0)</f>
        <v>0.10801393728222998</v>
      </c>
      <c r="N707">
        <f>IFERROR($J707/IF($A707&lt;COUNTIFS($K$1:N$1,"&lt;&gt;"),0,SUMIFS($J:$J,$B:$B,$B707,$A:$A,"&gt;="&amp;COUNTIFS($K$1:N$1,"&lt;&gt;"))),0)</f>
        <v>0</v>
      </c>
      <c r="O707">
        <f>IFERROR($J707/IF($A707&lt;COUNTIFS($K$1:O$1,"&lt;&gt;"),0,SUMIFS($J:$J,$B:$B,$B707,$A:$A,"&gt;="&amp;COUNTIFS($K$1:O$1,"&lt;&gt;"))),0)</f>
        <v>0</v>
      </c>
      <c r="P707">
        <f>IFERROR($J707/IF($A707&lt;COUNTIFS($K$1:P$1,"&lt;&gt;"),0,SUMIFS($J:$J,$B:$B,$B707,$A:$A,"&gt;="&amp;COUNTIFS($K$1:P$1,"&lt;&gt;"))),0)</f>
        <v>0</v>
      </c>
      <c r="Q707">
        <f>IFERROR($J707/IF($A707&lt;COUNTIFS($K$1:Q$1,"&lt;&gt;"),0,SUMIFS($J:$J,$B:$B,$B707,$A:$A,"&gt;="&amp;COUNTIFS($K$1:Q$1,"&lt;&gt;"))),0)</f>
        <v>0</v>
      </c>
      <c r="R707">
        <f>IFERROR($J707/IF($A707&lt;COUNTIFS($K$1:R$1,"&lt;&gt;"),0,SUMIFS($J:$J,$B:$B,$B707,$A:$A,"&gt;="&amp;COUNTIFS($K$1:R$1,"&lt;&gt;"))),0)</f>
        <v>0</v>
      </c>
      <c r="S707">
        <f>IFERROR($J707/IF($A707&lt;COUNTIFS($K$1:S$1,"&lt;&gt;"),0,SUMIFS($J:$J,$B:$B,$B707,$A:$A,"&gt;="&amp;COUNTIFS($K$1:S$1,"&lt;&gt;"))),0)</f>
        <v>0</v>
      </c>
      <c r="T707">
        <f>IFERROR($J707/IF($A707&lt;COUNTIFS($K$1:T$1,"&lt;&gt;"),0,SUMIFS($J:$J,$B:$B,$B707,$A:$A,"&gt;="&amp;COUNTIFS($K$1:T$1,"&lt;&gt;"))),0)</f>
        <v>0</v>
      </c>
      <c r="U707">
        <f>IFERROR($J707/IF($A707&lt;COUNTIFS($K$1:U$1,"&lt;&gt;"),0,SUMIFS($J:$J,$B:$B,$B707,$A:$A,"&gt;="&amp;COUNTIFS($K$1:U$1,"&lt;&gt;"))),0)</f>
        <v>0</v>
      </c>
      <c r="V707">
        <f>IFERROR($J707/IF($A707&lt;COUNTIFS($K$1:V$1,"&lt;&gt;"),0,SUMIFS($J:$J,$B:$B,$B707,$A:$A,"&gt;="&amp;COUNTIFS($K$1:V$1,"&lt;&gt;"))),0)</f>
        <v>0</v>
      </c>
      <c r="W707">
        <f t="shared" ref="W707:W770" si="266">IF(J707=0,0,$J707)</f>
        <v>8.4931506849315067E-2</v>
      </c>
      <c r="X707">
        <f t="shared" si="246"/>
        <v>8.4931506849315067E-2</v>
      </c>
      <c r="Y707">
        <f t="shared" si="247"/>
        <v>8.4931506849315067E-2</v>
      </c>
      <c r="Z707">
        <f t="shared" si="248"/>
        <v>8.4931506849315067E-2</v>
      </c>
      <c r="AA707">
        <f t="shared" si="249"/>
        <v>0</v>
      </c>
      <c r="AB707">
        <f t="shared" si="250"/>
        <v>0</v>
      </c>
      <c r="AC707">
        <f t="shared" si="251"/>
        <v>0</v>
      </c>
      <c r="AD707">
        <f t="shared" si="252"/>
        <v>0</v>
      </c>
      <c r="AE707">
        <f t="shared" si="253"/>
        <v>0</v>
      </c>
      <c r="AF707">
        <f t="shared" si="254"/>
        <v>0</v>
      </c>
      <c r="AG707">
        <f t="shared" si="255"/>
        <v>0</v>
      </c>
      <c r="AH707">
        <f t="shared" si="256"/>
        <v>0</v>
      </c>
      <c r="AI707">
        <f t="shared" si="257"/>
        <v>0</v>
      </c>
      <c r="AJ707" s="2" t="str">
        <f t="shared" ref="AJ707:AJ770" si="267">A707&amp;B707</f>
        <v>345474</v>
      </c>
    </row>
    <row r="708" spans="1:36" x14ac:dyDescent="0.25">
      <c r="A708">
        <v>4</v>
      </c>
      <c r="B708" s="1">
        <v>45474</v>
      </c>
      <c r="C708" s="1">
        <f t="shared" si="258"/>
        <v>45597</v>
      </c>
      <c r="D708" s="1">
        <f t="shared" si="259"/>
        <v>45488</v>
      </c>
      <c r="E708" s="1">
        <f t="shared" si="260"/>
        <v>45597</v>
      </c>
      <c r="F708" s="1">
        <f t="shared" si="261"/>
        <v>45627</v>
      </c>
      <c r="G708" s="1">
        <f t="shared" si="262"/>
        <v>45853</v>
      </c>
      <c r="H708">
        <f t="shared" si="263"/>
        <v>365</v>
      </c>
      <c r="I708">
        <f t="shared" si="264"/>
        <v>30</v>
      </c>
      <c r="J708">
        <f t="shared" si="265"/>
        <v>8.2191780821917804E-2</v>
      </c>
      <c r="K708">
        <f>IFERROR($J708/IF($A708&lt;COUNTIFS($K$1:K$1,"&lt;&gt;"),0,SUMIFS($J:$J,$B:$B,$B708,$A:$A,"&gt;="&amp;COUNTIFS($K$1:K$1,"&lt;&gt;"))),0)</f>
        <v>8.6206896551724144E-2</v>
      </c>
      <c r="L708">
        <f>IFERROR($J708/IF($A708&lt;COUNTIFS($K$1:L$1,"&lt;&gt;"),0,SUMIFS($J:$J,$B:$B,$B708,$A:$A,"&gt;="&amp;COUNTIFS($K$1:L$1,"&lt;&gt;"))),0)</f>
        <v>9.4637223974763415E-2</v>
      </c>
      <c r="M708">
        <f>IFERROR($J708/IF($A708&lt;COUNTIFS($K$1:M$1,"&lt;&gt;"),0,SUMIFS($J:$J,$B:$B,$B708,$A:$A,"&gt;="&amp;COUNTIFS($K$1:M$1,"&lt;&gt;"))),0)</f>
        <v>0.10452961672473869</v>
      </c>
      <c r="N708">
        <f>IFERROR($J708/IF($A708&lt;COUNTIFS($K$1:N$1,"&lt;&gt;"),0,SUMIFS($J:$J,$B:$B,$B708,$A:$A,"&gt;="&amp;COUNTIFS($K$1:N$1,"&lt;&gt;"))),0)</f>
        <v>0.11718750000000001</v>
      </c>
      <c r="O708">
        <f>IFERROR($J708/IF($A708&lt;COUNTIFS($K$1:O$1,"&lt;&gt;"),0,SUMIFS($J:$J,$B:$B,$B708,$A:$A,"&gt;="&amp;COUNTIFS($K$1:O$1,"&lt;&gt;"))),0)</f>
        <v>0</v>
      </c>
      <c r="P708">
        <f>IFERROR($J708/IF($A708&lt;COUNTIFS($K$1:P$1,"&lt;&gt;"),0,SUMIFS($J:$J,$B:$B,$B708,$A:$A,"&gt;="&amp;COUNTIFS($K$1:P$1,"&lt;&gt;"))),0)</f>
        <v>0</v>
      </c>
      <c r="Q708">
        <f>IFERROR($J708/IF($A708&lt;COUNTIFS($K$1:Q$1,"&lt;&gt;"),0,SUMIFS($J:$J,$B:$B,$B708,$A:$A,"&gt;="&amp;COUNTIFS($K$1:Q$1,"&lt;&gt;"))),0)</f>
        <v>0</v>
      </c>
      <c r="R708">
        <f>IFERROR($J708/IF($A708&lt;COUNTIFS($K$1:R$1,"&lt;&gt;"),0,SUMIFS($J:$J,$B:$B,$B708,$A:$A,"&gt;="&amp;COUNTIFS($K$1:R$1,"&lt;&gt;"))),0)</f>
        <v>0</v>
      </c>
      <c r="S708">
        <f>IFERROR($J708/IF($A708&lt;COUNTIFS($K$1:S$1,"&lt;&gt;"),0,SUMIFS($J:$J,$B:$B,$B708,$A:$A,"&gt;="&amp;COUNTIFS($K$1:S$1,"&lt;&gt;"))),0)</f>
        <v>0</v>
      </c>
      <c r="T708">
        <f>IFERROR($J708/IF($A708&lt;COUNTIFS($K$1:T$1,"&lt;&gt;"),0,SUMIFS($J:$J,$B:$B,$B708,$A:$A,"&gt;="&amp;COUNTIFS($K$1:T$1,"&lt;&gt;"))),0)</f>
        <v>0</v>
      </c>
      <c r="U708">
        <f>IFERROR($J708/IF($A708&lt;COUNTIFS($K$1:U$1,"&lt;&gt;"),0,SUMIFS($J:$J,$B:$B,$B708,$A:$A,"&gt;="&amp;COUNTIFS($K$1:U$1,"&lt;&gt;"))),0)</f>
        <v>0</v>
      </c>
      <c r="V708">
        <f>IFERROR($J708/IF($A708&lt;COUNTIFS($K$1:V$1,"&lt;&gt;"),0,SUMIFS($J:$J,$B:$B,$B708,$A:$A,"&gt;="&amp;COUNTIFS($K$1:V$1,"&lt;&gt;"))),0)</f>
        <v>0</v>
      </c>
      <c r="W708">
        <f t="shared" si="266"/>
        <v>8.2191780821917804E-2</v>
      </c>
      <c r="X708">
        <f t="shared" si="246"/>
        <v>8.2191780821917804E-2</v>
      </c>
      <c r="Y708">
        <f t="shared" si="247"/>
        <v>8.2191780821917804E-2</v>
      </c>
      <c r="Z708">
        <f t="shared" si="248"/>
        <v>8.2191780821917804E-2</v>
      </c>
      <c r="AA708">
        <f t="shared" si="249"/>
        <v>8.2191780821917804E-2</v>
      </c>
      <c r="AB708">
        <f t="shared" si="250"/>
        <v>0</v>
      </c>
      <c r="AC708">
        <f t="shared" si="251"/>
        <v>0</v>
      </c>
      <c r="AD708">
        <f t="shared" si="252"/>
        <v>0</v>
      </c>
      <c r="AE708">
        <f t="shared" si="253"/>
        <v>0</v>
      </c>
      <c r="AF708">
        <f t="shared" si="254"/>
        <v>0</v>
      </c>
      <c r="AG708">
        <f t="shared" si="255"/>
        <v>0</v>
      </c>
      <c r="AH708">
        <f t="shared" si="256"/>
        <v>0</v>
      </c>
      <c r="AI708">
        <f t="shared" si="257"/>
        <v>0</v>
      </c>
      <c r="AJ708" s="2" t="str">
        <f t="shared" si="267"/>
        <v>445474</v>
      </c>
    </row>
    <row r="709" spans="1:36" x14ac:dyDescent="0.25">
      <c r="A709">
        <v>5</v>
      </c>
      <c r="B709" s="1">
        <v>45474</v>
      </c>
      <c r="C709" s="1">
        <f t="shared" si="258"/>
        <v>45627</v>
      </c>
      <c r="D709" s="1">
        <f t="shared" si="259"/>
        <v>45488</v>
      </c>
      <c r="E709" s="1">
        <f t="shared" si="260"/>
        <v>45627</v>
      </c>
      <c r="F709" s="1">
        <f t="shared" si="261"/>
        <v>45658</v>
      </c>
      <c r="G709" s="1">
        <f t="shared" si="262"/>
        <v>45853</v>
      </c>
      <c r="H709">
        <f t="shared" si="263"/>
        <v>365</v>
      </c>
      <c r="I709">
        <f t="shared" si="264"/>
        <v>31</v>
      </c>
      <c r="J709">
        <f t="shared" si="265"/>
        <v>8.4931506849315067E-2</v>
      </c>
      <c r="K709">
        <f>IFERROR($J709/IF($A709&lt;COUNTIFS($K$1:K$1,"&lt;&gt;"),0,SUMIFS($J:$J,$B:$B,$B709,$A:$A,"&gt;="&amp;COUNTIFS($K$1:K$1,"&lt;&gt;"))),0)</f>
        <v>8.9080459770114959E-2</v>
      </c>
      <c r="L709">
        <f>IFERROR($J709/IF($A709&lt;COUNTIFS($K$1:L$1,"&lt;&gt;"),0,SUMIFS($J:$J,$B:$B,$B709,$A:$A,"&gt;="&amp;COUNTIFS($K$1:L$1,"&lt;&gt;"))),0)</f>
        <v>9.7791798107255537E-2</v>
      </c>
      <c r="M709">
        <f>IFERROR($J709/IF($A709&lt;COUNTIFS($K$1:M$1,"&lt;&gt;"),0,SUMIFS($J:$J,$B:$B,$B709,$A:$A,"&gt;="&amp;COUNTIFS($K$1:M$1,"&lt;&gt;"))),0)</f>
        <v>0.10801393728222998</v>
      </c>
      <c r="N709">
        <f>IFERROR($J709/IF($A709&lt;COUNTIFS($K$1:N$1,"&lt;&gt;"),0,SUMIFS($J:$J,$B:$B,$B709,$A:$A,"&gt;="&amp;COUNTIFS($K$1:N$1,"&lt;&gt;"))),0)</f>
        <v>0.12109375000000001</v>
      </c>
      <c r="O709">
        <f>IFERROR($J709/IF($A709&lt;COUNTIFS($K$1:O$1,"&lt;&gt;"),0,SUMIFS($J:$J,$B:$B,$B709,$A:$A,"&gt;="&amp;COUNTIFS($K$1:O$1,"&lt;&gt;"))),0)</f>
        <v>0.13716814159292037</v>
      </c>
      <c r="P709">
        <f>IFERROR($J709/IF($A709&lt;COUNTIFS($K$1:P$1,"&lt;&gt;"),0,SUMIFS($J:$J,$B:$B,$B709,$A:$A,"&gt;="&amp;COUNTIFS($K$1:P$1,"&lt;&gt;"))),0)</f>
        <v>0</v>
      </c>
      <c r="Q709">
        <f>IFERROR($J709/IF($A709&lt;COUNTIFS($K$1:Q$1,"&lt;&gt;"),0,SUMIFS($J:$J,$B:$B,$B709,$A:$A,"&gt;="&amp;COUNTIFS($K$1:Q$1,"&lt;&gt;"))),0)</f>
        <v>0</v>
      </c>
      <c r="R709">
        <f>IFERROR($J709/IF($A709&lt;COUNTIFS($K$1:R$1,"&lt;&gt;"),0,SUMIFS($J:$J,$B:$B,$B709,$A:$A,"&gt;="&amp;COUNTIFS($K$1:R$1,"&lt;&gt;"))),0)</f>
        <v>0</v>
      </c>
      <c r="S709">
        <f>IFERROR($J709/IF($A709&lt;COUNTIFS($K$1:S$1,"&lt;&gt;"),0,SUMIFS($J:$J,$B:$B,$B709,$A:$A,"&gt;="&amp;COUNTIFS($K$1:S$1,"&lt;&gt;"))),0)</f>
        <v>0</v>
      </c>
      <c r="T709">
        <f>IFERROR($J709/IF($A709&lt;COUNTIFS($K$1:T$1,"&lt;&gt;"),0,SUMIFS($J:$J,$B:$B,$B709,$A:$A,"&gt;="&amp;COUNTIFS($K$1:T$1,"&lt;&gt;"))),0)</f>
        <v>0</v>
      </c>
      <c r="U709">
        <f>IFERROR($J709/IF($A709&lt;COUNTIFS($K$1:U$1,"&lt;&gt;"),0,SUMIFS($J:$J,$B:$B,$B709,$A:$A,"&gt;="&amp;COUNTIFS($K$1:U$1,"&lt;&gt;"))),0)</f>
        <v>0</v>
      </c>
      <c r="V709">
        <f>IFERROR($J709/IF($A709&lt;COUNTIFS($K$1:V$1,"&lt;&gt;"),0,SUMIFS($J:$J,$B:$B,$B709,$A:$A,"&gt;="&amp;COUNTIFS($K$1:V$1,"&lt;&gt;"))),0)</f>
        <v>0</v>
      </c>
      <c r="W709">
        <f t="shared" si="266"/>
        <v>8.4931506849315067E-2</v>
      </c>
      <c r="X709">
        <f t="shared" si="246"/>
        <v>8.4931506849315067E-2</v>
      </c>
      <c r="Y709">
        <f t="shared" si="247"/>
        <v>8.4931506849315067E-2</v>
      </c>
      <c r="Z709">
        <f t="shared" si="248"/>
        <v>8.4931506849315067E-2</v>
      </c>
      <c r="AA709">
        <f t="shared" si="249"/>
        <v>8.4931506849315067E-2</v>
      </c>
      <c r="AB709">
        <f t="shared" si="250"/>
        <v>8.4931506849315067E-2</v>
      </c>
      <c r="AC709">
        <f t="shared" si="251"/>
        <v>0</v>
      </c>
      <c r="AD709">
        <f t="shared" si="252"/>
        <v>0</v>
      </c>
      <c r="AE709">
        <f t="shared" si="253"/>
        <v>0</v>
      </c>
      <c r="AF709">
        <f t="shared" si="254"/>
        <v>0</v>
      </c>
      <c r="AG709">
        <f t="shared" si="255"/>
        <v>0</v>
      </c>
      <c r="AH709">
        <f t="shared" si="256"/>
        <v>0</v>
      </c>
      <c r="AI709">
        <f t="shared" si="257"/>
        <v>0</v>
      </c>
      <c r="AJ709" s="2" t="str">
        <f t="shared" si="267"/>
        <v>545474</v>
      </c>
    </row>
    <row r="710" spans="1:36" x14ac:dyDescent="0.25">
      <c r="A710">
        <v>6</v>
      </c>
      <c r="B710" s="1">
        <v>45474</v>
      </c>
      <c r="C710" s="1">
        <f t="shared" si="258"/>
        <v>45658</v>
      </c>
      <c r="D710" s="1">
        <f t="shared" si="259"/>
        <v>45488</v>
      </c>
      <c r="E710" s="1">
        <f t="shared" si="260"/>
        <v>45658</v>
      </c>
      <c r="F710" s="1">
        <f t="shared" si="261"/>
        <v>45689</v>
      </c>
      <c r="G710" s="1">
        <f t="shared" si="262"/>
        <v>45853</v>
      </c>
      <c r="H710">
        <f t="shared" si="263"/>
        <v>365</v>
      </c>
      <c r="I710">
        <f t="shared" si="264"/>
        <v>31</v>
      </c>
      <c r="J710">
        <f t="shared" si="265"/>
        <v>8.4931506849315067E-2</v>
      </c>
      <c r="K710">
        <f>IFERROR($J710/IF($A710&lt;COUNTIFS($K$1:K$1,"&lt;&gt;"),0,SUMIFS($J:$J,$B:$B,$B710,$A:$A,"&gt;="&amp;COUNTIFS($K$1:K$1,"&lt;&gt;"))),0)</f>
        <v>8.9080459770114959E-2</v>
      </c>
      <c r="L710">
        <f>IFERROR($J710/IF($A710&lt;COUNTIFS($K$1:L$1,"&lt;&gt;"),0,SUMIFS($J:$J,$B:$B,$B710,$A:$A,"&gt;="&amp;COUNTIFS($K$1:L$1,"&lt;&gt;"))),0)</f>
        <v>9.7791798107255537E-2</v>
      </c>
      <c r="M710">
        <f>IFERROR($J710/IF($A710&lt;COUNTIFS($K$1:M$1,"&lt;&gt;"),0,SUMIFS($J:$J,$B:$B,$B710,$A:$A,"&gt;="&amp;COUNTIFS($K$1:M$1,"&lt;&gt;"))),0)</f>
        <v>0.10801393728222998</v>
      </c>
      <c r="N710">
        <f>IFERROR($J710/IF($A710&lt;COUNTIFS($K$1:N$1,"&lt;&gt;"),0,SUMIFS($J:$J,$B:$B,$B710,$A:$A,"&gt;="&amp;COUNTIFS($K$1:N$1,"&lt;&gt;"))),0)</f>
        <v>0.12109375000000001</v>
      </c>
      <c r="O710">
        <f>IFERROR($J710/IF($A710&lt;COUNTIFS($K$1:O$1,"&lt;&gt;"),0,SUMIFS($J:$J,$B:$B,$B710,$A:$A,"&gt;="&amp;COUNTIFS($K$1:O$1,"&lt;&gt;"))),0)</f>
        <v>0.13716814159292037</v>
      </c>
      <c r="P710">
        <f>IFERROR($J710/IF($A710&lt;COUNTIFS($K$1:P$1,"&lt;&gt;"),0,SUMIFS($J:$J,$B:$B,$B710,$A:$A,"&gt;="&amp;COUNTIFS($K$1:P$1,"&lt;&gt;"))),0)</f>
        <v>0.15897435897435899</v>
      </c>
      <c r="Q710">
        <f>IFERROR($J710/IF($A710&lt;COUNTIFS($K$1:Q$1,"&lt;&gt;"),0,SUMIFS($J:$J,$B:$B,$B710,$A:$A,"&gt;="&amp;COUNTIFS($K$1:Q$1,"&lt;&gt;"))),0)</f>
        <v>0</v>
      </c>
      <c r="R710">
        <f>IFERROR($J710/IF($A710&lt;COUNTIFS($K$1:R$1,"&lt;&gt;"),0,SUMIFS($J:$J,$B:$B,$B710,$A:$A,"&gt;="&amp;COUNTIFS($K$1:R$1,"&lt;&gt;"))),0)</f>
        <v>0</v>
      </c>
      <c r="S710">
        <f>IFERROR($J710/IF($A710&lt;COUNTIFS($K$1:S$1,"&lt;&gt;"),0,SUMIFS($J:$J,$B:$B,$B710,$A:$A,"&gt;="&amp;COUNTIFS($K$1:S$1,"&lt;&gt;"))),0)</f>
        <v>0</v>
      </c>
      <c r="T710">
        <f>IFERROR($J710/IF($A710&lt;COUNTIFS($K$1:T$1,"&lt;&gt;"),0,SUMIFS($J:$J,$B:$B,$B710,$A:$A,"&gt;="&amp;COUNTIFS($K$1:T$1,"&lt;&gt;"))),0)</f>
        <v>0</v>
      </c>
      <c r="U710">
        <f>IFERROR($J710/IF($A710&lt;COUNTIFS($K$1:U$1,"&lt;&gt;"),0,SUMIFS($J:$J,$B:$B,$B710,$A:$A,"&gt;="&amp;COUNTIFS($K$1:U$1,"&lt;&gt;"))),0)</f>
        <v>0</v>
      </c>
      <c r="V710">
        <f>IFERROR($J710/IF($A710&lt;COUNTIFS($K$1:V$1,"&lt;&gt;"),0,SUMIFS($J:$J,$B:$B,$B710,$A:$A,"&gt;="&amp;COUNTIFS($K$1:V$1,"&lt;&gt;"))),0)</f>
        <v>0</v>
      </c>
      <c r="W710">
        <f t="shared" si="266"/>
        <v>8.4931506849315067E-2</v>
      </c>
      <c r="X710">
        <f t="shared" si="246"/>
        <v>8.4931506849315067E-2</v>
      </c>
      <c r="Y710">
        <f t="shared" si="247"/>
        <v>8.4931506849315067E-2</v>
      </c>
      <c r="Z710">
        <f t="shared" si="248"/>
        <v>8.4931506849315067E-2</v>
      </c>
      <c r="AA710">
        <f t="shared" si="249"/>
        <v>8.4931506849315067E-2</v>
      </c>
      <c r="AB710">
        <f t="shared" si="250"/>
        <v>8.4931506849315067E-2</v>
      </c>
      <c r="AC710">
        <f t="shared" si="251"/>
        <v>8.4931506849315067E-2</v>
      </c>
      <c r="AD710">
        <f t="shared" si="252"/>
        <v>0</v>
      </c>
      <c r="AE710">
        <f t="shared" si="253"/>
        <v>0</v>
      </c>
      <c r="AF710">
        <f t="shared" si="254"/>
        <v>0</v>
      </c>
      <c r="AG710">
        <f t="shared" si="255"/>
        <v>0</v>
      </c>
      <c r="AH710">
        <f t="shared" si="256"/>
        <v>0</v>
      </c>
      <c r="AI710">
        <f t="shared" si="257"/>
        <v>0</v>
      </c>
      <c r="AJ710" s="2" t="str">
        <f t="shared" si="267"/>
        <v>645474</v>
      </c>
    </row>
    <row r="711" spans="1:36" x14ac:dyDescent="0.25">
      <c r="A711">
        <v>7</v>
      </c>
      <c r="B711" s="1">
        <v>45474</v>
      </c>
      <c r="C711" s="1">
        <f t="shared" si="258"/>
        <v>45689</v>
      </c>
      <c r="D711" s="1">
        <f t="shared" si="259"/>
        <v>45488</v>
      </c>
      <c r="E711" s="1">
        <f t="shared" si="260"/>
        <v>45689</v>
      </c>
      <c r="F711" s="1">
        <f t="shared" si="261"/>
        <v>45717</v>
      </c>
      <c r="G711" s="1">
        <f t="shared" si="262"/>
        <v>45853</v>
      </c>
      <c r="H711">
        <f t="shared" si="263"/>
        <v>365</v>
      </c>
      <c r="I711">
        <f t="shared" si="264"/>
        <v>28</v>
      </c>
      <c r="J711">
        <f t="shared" si="265"/>
        <v>7.6712328767123292E-2</v>
      </c>
      <c r="K711">
        <f>IFERROR($J711/IF($A711&lt;COUNTIFS($K$1:K$1,"&lt;&gt;"),0,SUMIFS($J:$J,$B:$B,$B711,$A:$A,"&gt;="&amp;COUNTIFS($K$1:K$1,"&lt;&gt;"))),0)</f>
        <v>8.0459770114942541E-2</v>
      </c>
      <c r="L711">
        <f>IFERROR($J711/IF($A711&lt;COUNTIFS($K$1:L$1,"&lt;&gt;"),0,SUMIFS($J:$J,$B:$B,$B711,$A:$A,"&gt;="&amp;COUNTIFS($K$1:L$1,"&lt;&gt;"))),0)</f>
        <v>8.83280757097792E-2</v>
      </c>
      <c r="M711">
        <f>IFERROR($J711/IF($A711&lt;COUNTIFS($K$1:M$1,"&lt;&gt;"),0,SUMIFS($J:$J,$B:$B,$B711,$A:$A,"&gt;="&amp;COUNTIFS($K$1:M$1,"&lt;&gt;"))),0)</f>
        <v>9.7560975609756115E-2</v>
      </c>
      <c r="N711">
        <f>IFERROR($J711/IF($A711&lt;COUNTIFS($K$1:N$1,"&lt;&gt;"),0,SUMIFS($J:$J,$B:$B,$B711,$A:$A,"&gt;="&amp;COUNTIFS($K$1:N$1,"&lt;&gt;"))),0)</f>
        <v>0.10937500000000003</v>
      </c>
      <c r="O711">
        <f>IFERROR($J711/IF($A711&lt;COUNTIFS($K$1:O$1,"&lt;&gt;"),0,SUMIFS($J:$J,$B:$B,$B711,$A:$A,"&gt;="&amp;COUNTIFS($K$1:O$1,"&lt;&gt;"))),0)</f>
        <v>0.12389380530973454</v>
      </c>
      <c r="P711">
        <f>IFERROR($J711/IF($A711&lt;COUNTIFS($K$1:P$1,"&lt;&gt;"),0,SUMIFS($J:$J,$B:$B,$B711,$A:$A,"&gt;="&amp;COUNTIFS($K$1:P$1,"&lt;&gt;"))),0)</f>
        <v>0.14358974358974361</v>
      </c>
      <c r="Q711">
        <f>IFERROR($J711/IF($A711&lt;COUNTIFS($K$1:Q$1,"&lt;&gt;"),0,SUMIFS($J:$J,$B:$B,$B711,$A:$A,"&gt;="&amp;COUNTIFS($K$1:Q$1,"&lt;&gt;"))),0)</f>
        <v>0.17073170731707318</v>
      </c>
      <c r="R711">
        <f>IFERROR($J711/IF($A711&lt;COUNTIFS($K$1:R$1,"&lt;&gt;"),0,SUMIFS($J:$J,$B:$B,$B711,$A:$A,"&gt;="&amp;COUNTIFS($K$1:R$1,"&lt;&gt;"))),0)</f>
        <v>0</v>
      </c>
      <c r="S711">
        <f>IFERROR($J711/IF($A711&lt;COUNTIFS($K$1:S$1,"&lt;&gt;"),0,SUMIFS($J:$J,$B:$B,$B711,$A:$A,"&gt;="&amp;COUNTIFS($K$1:S$1,"&lt;&gt;"))),0)</f>
        <v>0</v>
      </c>
      <c r="T711">
        <f>IFERROR($J711/IF($A711&lt;COUNTIFS($K$1:T$1,"&lt;&gt;"),0,SUMIFS($J:$J,$B:$B,$B711,$A:$A,"&gt;="&amp;COUNTIFS($K$1:T$1,"&lt;&gt;"))),0)</f>
        <v>0</v>
      </c>
      <c r="U711">
        <f>IFERROR($J711/IF($A711&lt;COUNTIFS($K$1:U$1,"&lt;&gt;"),0,SUMIFS($J:$J,$B:$B,$B711,$A:$A,"&gt;="&amp;COUNTIFS($K$1:U$1,"&lt;&gt;"))),0)</f>
        <v>0</v>
      </c>
      <c r="V711">
        <f>IFERROR($J711/IF($A711&lt;COUNTIFS($K$1:V$1,"&lt;&gt;"),0,SUMIFS($J:$J,$B:$B,$B711,$A:$A,"&gt;="&amp;COUNTIFS($K$1:V$1,"&lt;&gt;"))),0)</f>
        <v>0</v>
      </c>
      <c r="W711">
        <f t="shared" si="266"/>
        <v>7.6712328767123292E-2</v>
      </c>
      <c r="X711">
        <f t="shared" si="246"/>
        <v>7.6712328767123292E-2</v>
      </c>
      <c r="Y711">
        <f t="shared" si="247"/>
        <v>7.6712328767123292E-2</v>
      </c>
      <c r="Z711">
        <f t="shared" si="248"/>
        <v>7.6712328767123292E-2</v>
      </c>
      <c r="AA711">
        <f t="shared" si="249"/>
        <v>7.6712328767123292E-2</v>
      </c>
      <c r="AB711">
        <f t="shared" si="250"/>
        <v>7.6712328767123292E-2</v>
      </c>
      <c r="AC711">
        <f t="shared" si="251"/>
        <v>7.6712328767123292E-2</v>
      </c>
      <c r="AD711">
        <f t="shared" si="252"/>
        <v>7.6712328767123292E-2</v>
      </c>
      <c r="AE711">
        <f t="shared" si="253"/>
        <v>0</v>
      </c>
      <c r="AF711">
        <f t="shared" si="254"/>
        <v>0</v>
      </c>
      <c r="AG711">
        <f t="shared" si="255"/>
        <v>0</v>
      </c>
      <c r="AH711">
        <f t="shared" si="256"/>
        <v>0</v>
      </c>
      <c r="AI711">
        <f t="shared" si="257"/>
        <v>0</v>
      </c>
      <c r="AJ711" s="2" t="str">
        <f t="shared" si="267"/>
        <v>745474</v>
      </c>
    </row>
    <row r="712" spans="1:36" x14ac:dyDescent="0.25">
      <c r="A712">
        <v>8</v>
      </c>
      <c r="B712" s="1">
        <v>45474</v>
      </c>
      <c r="C712" s="1">
        <f t="shared" si="258"/>
        <v>45717</v>
      </c>
      <c r="D712" s="1">
        <f t="shared" si="259"/>
        <v>45488</v>
      </c>
      <c r="E712" s="1">
        <f t="shared" si="260"/>
        <v>45717</v>
      </c>
      <c r="F712" s="1">
        <f t="shared" si="261"/>
        <v>45748</v>
      </c>
      <c r="G712" s="1">
        <f t="shared" si="262"/>
        <v>45853</v>
      </c>
      <c r="H712">
        <f t="shared" si="263"/>
        <v>365</v>
      </c>
      <c r="I712">
        <f t="shared" si="264"/>
        <v>31</v>
      </c>
      <c r="J712">
        <f t="shared" si="265"/>
        <v>8.4931506849315067E-2</v>
      </c>
      <c r="K712">
        <f>IFERROR($J712/IF($A712&lt;COUNTIFS($K$1:K$1,"&lt;&gt;"),0,SUMIFS($J:$J,$B:$B,$B712,$A:$A,"&gt;="&amp;COUNTIFS($K$1:K$1,"&lt;&gt;"))),0)</f>
        <v>8.9080459770114959E-2</v>
      </c>
      <c r="L712">
        <f>IFERROR($J712/IF($A712&lt;COUNTIFS($K$1:L$1,"&lt;&gt;"),0,SUMIFS($J:$J,$B:$B,$B712,$A:$A,"&gt;="&amp;COUNTIFS($K$1:L$1,"&lt;&gt;"))),0)</f>
        <v>9.7791798107255537E-2</v>
      </c>
      <c r="M712">
        <f>IFERROR($J712/IF($A712&lt;COUNTIFS($K$1:M$1,"&lt;&gt;"),0,SUMIFS($J:$J,$B:$B,$B712,$A:$A,"&gt;="&amp;COUNTIFS($K$1:M$1,"&lt;&gt;"))),0)</f>
        <v>0.10801393728222998</v>
      </c>
      <c r="N712">
        <f>IFERROR($J712/IF($A712&lt;COUNTIFS($K$1:N$1,"&lt;&gt;"),0,SUMIFS($J:$J,$B:$B,$B712,$A:$A,"&gt;="&amp;COUNTIFS($K$1:N$1,"&lt;&gt;"))),0)</f>
        <v>0.12109375000000001</v>
      </c>
      <c r="O712">
        <f>IFERROR($J712/IF($A712&lt;COUNTIFS($K$1:O$1,"&lt;&gt;"),0,SUMIFS($J:$J,$B:$B,$B712,$A:$A,"&gt;="&amp;COUNTIFS($K$1:O$1,"&lt;&gt;"))),0)</f>
        <v>0.13716814159292037</v>
      </c>
      <c r="P712">
        <f>IFERROR($J712/IF($A712&lt;COUNTIFS($K$1:P$1,"&lt;&gt;"),0,SUMIFS($J:$J,$B:$B,$B712,$A:$A,"&gt;="&amp;COUNTIFS($K$1:P$1,"&lt;&gt;"))),0)</f>
        <v>0.15897435897435899</v>
      </c>
      <c r="Q712">
        <f>IFERROR($J712/IF($A712&lt;COUNTIFS($K$1:Q$1,"&lt;&gt;"),0,SUMIFS($J:$J,$B:$B,$B712,$A:$A,"&gt;="&amp;COUNTIFS($K$1:Q$1,"&lt;&gt;"))),0)</f>
        <v>0.18902439024390244</v>
      </c>
      <c r="R712">
        <f>IFERROR($J712/IF($A712&lt;COUNTIFS($K$1:R$1,"&lt;&gt;"),0,SUMIFS($J:$J,$B:$B,$B712,$A:$A,"&gt;="&amp;COUNTIFS($K$1:R$1,"&lt;&gt;"))),0)</f>
        <v>0.22794117647058826</v>
      </c>
      <c r="S712">
        <f>IFERROR($J712/IF($A712&lt;COUNTIFS($K$1:S$1,"&lt;&gt;"),0,SUMIFS($J:$J,$B:$B,$B712,$A:$A,"&gt;="&amp;COUNTIFS($K$1:S$1,"&lt;&gt;"))),0)</f>
        <v>0</v>
      </c>
      <c r="T712">
        <f>IFERROR($J712/IF($A712&lt;COUNTIFS($K$1:T$1,"&lt;&gt;"),0,SUMIFS($J:$J,$B:$B,$B712,$A:$A,"&gt;="&amp;COUNTIFS($K$1:T$1,"&lt;&gt;"))),0)</f>
        <v>0</v>
      </c>
      <c r="U712">
        <f>IFERROR($J712/IF($A712&lt;COUNTIFS($K$1:U$1,"&lt;&gt;"),0,SUMIFS($J:$J,$B:$B,$B712,$A:$A,"&gt;="&amp;COUNTIFS($K$1:U$1,"&lt;&gt;"))),0)</f>
        <v>0</v>
      </c>
      <c r="V712">
        <f>IFERROR($J712/IF($A712&lt;COUNTIFS($K$1:V$1,"&lt;&gt;"),0,SUMIFS($J:$J,$B:$B,$B712,$A:$A,"&gt;="&amp;COUNTIFS($K$1:V$1,"&lt;&gt;"))),0)</f>
        <v>0</v>
      </c>
      <c r="W712">
        <f t="shared" si="266"/>
        <v>8.4931506849315067E-2</v>
      </c>
      <c r="X712">
        <f t="shared" si="246"/>
        <v>8.4931506849315067E-2</v>
      </c>
      <c r="Y712">
        <f t="shared" si="247"/>
        <v>8.4931506849315067E-2</v>
      </c>
      <c r="Z712">
        <f t="shared" si="248"/>
        <v>8.4931506849315067E-2</v>
      </c>
      <c r="AA712">
        <f t="shared" si="249"/>
        <v>8.4931506849315067E-2</v>
      </c>
      <c r="AB712">
        <f t="shared" si="250"/>
        <v>8.4931506849315067E-2</v>
      </c>
      <c r="AC712">
        <f t="shared" si="251"/>
        <v>8.4931506849315067E-2</v>
      </c>
      <c r="AD712">
        <f t="shared" si="252"/>
        <v>8.4931506849315067E-2</v>
      </c>
      <c r="AE712">
        <f t="shared" si="253"/>
        <v>8.4931506849315067E-2</v>
      </c>
      <c r="AF712">
        <f t="shared" si="254"/>
        <v>0</v>
      </c>
      <c r="AG712">
        <f t="shared" si="255"/>
        <v>0</v>
      </c>
      <c r="AH712">
        <f t="shared" si="256"/>
        <v>0</v>
      </c>
      <c r="AI712">
        <f t="shared" si="257"/>
        <v>0</v>
      </c>
      <c r="AJ712" s="2" t="str">
        <f t="shared" si="267"/>
        <v>845474</v>
      </c>
    </row>
    <row r="713" spans="1:36" x14ac:dyDescent="0.25">
      <c r="A713">
        <v>9</v>
      </c>
      <c r="B713" s="1">
        <v>45474</v>
      </c>
      <c r="C713" s="1">
        <f t="shared" si="258"/>
        <v>45748</v>
      </c>
      <c r="D713" s="1">
        <f t="shared" si="259"/>
        <v>45488</v>
      </c>
      <c r="E713" s="1">
        <f t="shared" si="260"/>
        <v>45748</v>
      </c>
      <c r="F713" s="1">
        <f t="shared" si="261"/>
        <v>45778</v>
      </c>
      <c r="G713" s="1">
        <f t="shared" si="262"/>
        <v>45853</v>
      </c>
      <c r="H713">
        <f t="shared" si="263"/>
        <v>365</v>
      </c>
      <c r="I713">
        <f t="shared" si="264"/>
        <v>30</v>
      </c>
      <c r="J713">
        <f t="shared" si="265"/>
        <v>8.2191780821917804E-2</v>
      </c>
      <c r="K713">
        <f>IFERROR($J713/IF($A713&lt;COUNTIFS($K$1:K$1,"&lt;&gt;"),0,SUMIFS($J:$J,$B:$B,$B713,$A:$A,"&gt;="&amp;COUNTIFS($K$1:K$1,"&lt;&gt;"))),0)</f>
        <v>8.6206896551724144E-2</v>
      </c>
      <c r="L713">
        <f>IFERROR($J713/IF($A713&lt;COUNTIFS($K$1:L$1,"&lt;&gt;"),0,SUMIFS($J:$J,$B:$B,$B713,$A:$A,"&gt;="&amp;COUNTIFS($K$1:L$1,"&lt;&gt;"))),0)</f>
        <v>9.4637223974763415E-2</v>
      </c>
      <c r="M713">
        <f>IFERROR($J713/IF($A713&lt;COUNTIFS($K$1:M$1,"&lt;&gt;"),0,SUMIFS($J:$J,$B:$B,$B713,$A:$A,"&gt;="&amp;COUNTIFS($K$1:M$1,"&lt;&gt;"))),0)</f>
        <v>0.10452961672473869</v>
      </c>
      <c r="N713">
        <f>IFERROR($J713/IF($A713&lt;COUNTIFS($K$1:N$1,"&lt;&gt;"),0,SUMIFS($J:$J,$B:$B,$B713,$A:$A,"&gt;="&amp;COUNTIFS($K$1:N$1,"&lt;&gt;"))),0)</f>
        <v>0.11718750000000001</v>
      </c>
      <c r="O713">
        <f>IFERROR($J713/IF($A713&lt;COUNTIFS($K$1:O$1,"&lt;&gt;"),0,SUMIFS($J:$J,$B:$B,$B713,$A:$A,"&gt;="&amp;COUNTIFS($K$1:O$1,"&lt;&gt;"))),0)</f>
        <v>0.13274336283185842</v>
      </c>
      <c r="P713">
        <f>IFERROR($J713/IF($A713&lt;COUNTIFS($K$1:P$1,"&lt;&gt;"),0,SUMIFS($J:$J,$B:$B,$B713,$A:$A,"&gt;="&amp;COUNTIFS($K$1:P$1,"&lt;&gt;"))),0)</f>
        <v>0.15384615384615385</v>
      </c>
      <c r="Q713">
        <f>IFERROR($J713/IF($A713&lt;COUNTIFS($K$1:Q$1,"&lt;&gt;"),0,SUMIFS($J:$J,$B:$B,$B713,$A:$A,"&gt;="&amp;COUNTIFS($K$1:Q$1,"&lt;&gt;"))),0)</f>
        <v>0.18292682926829268</v>
      </c>
      <c r="R713">
        <f>IFERROR($J713/IF($A713&lt;COUNTIFS($K$1:R$1,"&lt;&gt;"),0,SUMIFS($J:$J,$B:$B,$B713,$A:$A,"&gt;="&amp;COUNTIFS($K$1:R$1,"&lt;&gt;"))),0)</f>
        <v>0.22058823529411764</v>
      </c>
      <c r="S713">
        <f>IFERROR($J713/IF($A713&lt;COUNTIFS($K$1:S$1,"&lt;&gt;"),0,SUMIFS($J:$J,$B:$B,$B713,$A:$A,"&gt;="&amp;COUNTIFS($K$1:S$1,"&lt;&gt;"))),0)</f>
        <v>0.2857142857142857</v>
      </c>
      <c r="T713">
        <f>IFERROR($J713/IF($A713&lt;COUNTIFS($K$1:T$1,"&lt;&gt;"),0,SUMIFS($J:$J,$B:$B,$B713,$A:$A,"&gt;="&amp;COUNTIFS($K$1:T$1,"&lt;&gt;"))),0)</f>
        <v>0</v>
      </c>
      <c r="U713">
        <f>IFERROR($J713/IF($A713&lt;COUNTIFS($K$1:U$1,"&lt;&gt;"),0,SUMIFS($J:$J,$B:$B,$B713,$A:$A,"&gt;="&amp;COUNTIFS($K$1:U$1,"&lt;&gt;"))),0)</f>
        <v>0</v>
      </c>
      <c r="V713">
        <f>IFERROR($J713/IF($A713&lt;COUNTIFS($K$1:V$1,"&lt;&gt;"),0,SUMIFS($J:$J,$B:$B,$B713,$A:$A,"&gt;="&amp;COUNTIFS($K$1:V$1,"&lt;&gt;"))),0)</f>
        <v>0</v>
      </c>
      <c r="W713">
        <f t="shared" si="266"/>
        <v>8.2191780821917804E-2</v>
      </c>
      <c r="X713">
        <f t="shared" si="246"/>
        <v>8.2191780821917804E-2</v>
      </c>
      <c r="Y713">
        <f t="shared" si="247"/>
        <v>8.2191780821917804E-2</v>
      </c>
      <c r="Z713">
        <f t="shared" si="248"/>
        <v>8.2191780821917804E-2</v>
      </c>
      <c r="AA713">
        <f t="shared" si="249"/>
        <v>8.2191780821917804E-2</v>
      </c>
      <c r="AB713">
        <f t="shared" si="250"/>
        <v>8.2191780821917804E-2</v>
      </c>
      <c r="AC713">
        <f t="shared" si="251"/>
        <v>8.2191780821917804E-2</v>
      </c>
      <c r="AD713">
        <f t="shared" si="252"/>
        <v>8.2191780821917804E-2</v>
      </c>
      <c r="AE713">
        <f t="shared" si="253"/>
        <v>8.2191780821917804E-2</v>
      </c>
      <c r="AF713">
        <f t="shared" si="254"/>
        <v>8.2191780821917804E-2</v>
      </c>
      <c r="AG713">
        <f t="shared" si="255"/>
        <v>0</v>
      </c>
      <c r="AH713">
        <f t="shared" si="256"/>
        <v>0</v>
      </c>
      <c r="AI713">
        <f t="shared" si="257"/>
        <v>0</v>
      </c>
      <c r="AJ713" s="2" t="str">
        <f t="shared" si="267"/>
        <v>945474</v>
      </c>
    </row>
    <row r="714" spans="1:36" x14ac:dyDescent="0.25">
      <c r="A714">
        <v>10</v>
      </c>
      <c r="B714" s="1">
        <v>45474</v>
      </c>
      <c r="C714" s="1">
        <f t="shared" si="258"/>
        <v>45778</v>
      </c>
      <c r="D714" s="1">
        <f t="shared" si="259"/>
        <v>45488</v>
      </c>
      <c r="E714" s="1">
        <f t="shared" si="260"/>
        <v>45778</v>
      </c>
      <c r="F714" s="1">
        <f t="shared" si="261"/>
        <v>45809</v>
      </c>
      <c r="G714" s="1">
        <f t="shared" si="262"/>
        <v>45853</v>
      </c>
      <c r="H714">
        <f t="shared" si="263"/>
        <v>365</v>
      </c>
      <c r="I714">
        <f t="shared" si="264"/>
        <v>31</v>
      </c>
      <c r="J714">
        <f t="shared" si="265"/>
        <v>8.4931506849315067E-2</v>
      </c>
      <c r="K714">
        <f>IFERROR($J714/IF($A714&lt;COUNTIFS($K$1:K$1,"&lt;&gt;"),0,SUMIFS($J:$J,$B:$B,$B714,$A:$A,"&gt;="&amp;COUNTIFS($K$1:K$1,"&lt;&gt;"))),0)</f>
        <v>8.9080459770114959E-2</v>
      </c>
      <c r="L714">
        <f>IFERROR($J714/IF($A714&lt;COUNTIFS($K$1:L$1,"&lt;&gt;"),0,SUMIFS($J:$J,$B:$B,$B714,$A:$A,"&gt;="&amp;COUNTIFS($K$1:L$1,"&lt;&gt;"))),0)</f>
        <v>9.7791798107255537E-2</v>
      </c>
      <c r="M714">
        <f>IFERROR($J714/IF($A714&lt;COUNTIFS($K$1:M$1,"&lt;&gt;"),0,SUMIFS($J:$J,$B:$B,$B714,$A:$A,"&gt;="&amp;COUNTIFS($K$1:M$1,"&lt;&gt;"))),0)</f>
        <v>0.10801393728222998</v>
      </c>
      <c r="N714">
        <f>IFERROR($J714/IF($A714&lt;COUNTIFS($K$1:N$1,"&lt;&gt;"),0,SUMIFS($J:$J,$B:$B,$B714,$A:$A,"&gt;="&amp;COUNTIFS($K$1:N$1,"&lt;&gt;"))),0)</f>
        <v>0.12109375000000001</v>
      </c>
      <c r="O714">
        <f>IFERROR($J714/IF($A714&lt;COUNTIFS($K$1:O$1,"&lt;&gt;"),0,SUMIFS($J:$J,$B:$B,$B714,$A:$A,"&gt;="&amp;COUNTIFS($K$1:O$1,"&lt;&gt;"))),0)</f>
        <v>0.13716814159292037</v>
      </c>
      <c r="P714">
        <f>IFERROR($J714/IF($A714&lt;COUNTIFS($K$1:P$1,"&lt;&gt;"),0,SUMIFS($J:$J,$B:$B,$B714,$A:$A,"&gt;="&amp;COUNTIFS($K$1:P$1,"&lt;&gt;"))),0)</f>
        <v>0.15897435897435899</v>
      </c>
      <c r="Q714">
        <f>IFERROR($J714/IF($A714&lt;COUNTIFS($K$1:Q$1,"&lt;&gt;"),0,SUMIFS($J:$J,$B:$B,$B714,$A:$A,"&gt;="&amp;COUNTIFS($K$1:Q$1,"&lt;&gt;"))),0)</f>
        <v>0.18902439024390244</v>
      </c>
      <c r="R714">
        <f>IFERROR($J714/IF($A714&lt;COUNTIFS($K$1:R$1,"&lt;&gt;"),0,SUMIFS($J:$J,$B:$B,$B714,$A:$A,"&gt;="&amp;COUNTIFS($K$1:R$1,"&lt;&gt;"))),0)</f>
        <v>0.22794117647058826</v>
      </c>
      <c r="S714">
        <f>IFERROR($J714/IF($A714&lt;COUNTIFS($K$1:S$1,"&lt;&gt;"),0,SUMIFS($J:$J,$B:$B,$B714,$A:$A,"&gt;="&amp;COUNTIFS($K$1:S$1,"&lt;&gt;"))),0)</f>
        <v>0.29523809523809524</v>
      </c>
      <c r="T714">
        <f>IFERROR($J714/IF($A714&lt;COUNTIFS($K$1:T$1,"&lt;&gt;"),0,SUMIFS($J:$J,$B:$B,$B714,$A:$A,"&gt;="&amp;COUNTIFS($K$1:T$1,"&lt;&gt;"))),0)</f>
        <v>0.41333333333333333</v>
      </c>
      <c r="U714">
        <f>IFERROR($J714/IF($A714&lt;COUNTIFS($K$1:U$1,"&lt;&gt;"),0,SUMIFS($J:$J,$B:$B,$B714,$A:$A,"&gt;="&amp;COUNTIFS($K$1:U$1,"&lt;&gt;"))),0)</f>
        <v>0</v>
      </c>
      <c r="V714">
        <f>IFERROR($J714/IF($A714&lt;COUNTIFS($K$1:V$1,"&lt;&gt;"),0,SUMIFS($J:$J,$B:$B,$B714,$A:$A,"&gt;="&amp;COUNTIFS($K$1:V$1,"&lt;&gt;"))),0)</f>
        <v>0</v>
      </c>
      <c r="W714">
        <f t="shared" si="266"/>
        <v>8.4931506849315067E-2</v>
      </c>
      <c r="X714">
        <f t="shared" si="246"/>
        <v>8.4931506849315067E-2</v>
      </c>
      <c r="Y714">
        <f t="shared" si="247"/>
        <v>8.4931506849315067E-2</v>
      </c>
      <c r="Z714">
        <f t="shared" si="248"/>
        <v>8.4931506849315067E-2</v>
      </c>
      <c r="AA714">
        <f t="shared" si="249"/>
        <v>8.4931506849315067E-2</v>
      </c>
      <c r="AB714">
        <f t="shared" si="250"/>
        <v>8.4931506849315067E-2</v>
      </c>
      <c r="AC714">
        <f t="shared" si="251"/>
        <v>8.4931506849315067E-2</v>
      </c>
      <c r="AD714">
        <f t="shared" si="252"/>
        <v>8.4931506849315067E-2</v>
      </c>
      <c r="AE714">
        <f t="shared" si="253"/>
        <v>8.4931506849315067E-2</v>
      </c>
      <c r="AF714">
        <f t="shared" si="254"/>
        <v>8.4931506849315067E-2</v>
      </c>
      <c r="AG714">
        <f t="shared" si="255"/>
        <v>8.4931506849315067E-2</v>
      </c>
      <c r="AH714">
        <f t="shared" si="256"/>
        <v>0</v>
      </c>
      <c r="AI714">
        <f t="shared" si="257"/>
        <v>0</v>
      </c>
      <c r="AJ714" s="2" t="str">
        <f t="shared" si="267"/>
        <v>1045474</v>
      </c>
    </row>
    <row r="715" spans="1:36" x14ac:dyDescent="0.25">
      <c r="A715">
        <v>11</v>
      </c>
      <c r="B715" s="1">
        <v>45474</v>
      </c>
      <c r="C715" s="1">
        <f t="shared" si="258"/>
        <v>45809</v>
      </c>
      <c r="D715" s="1">
        <f t="shared" si="259"/>
        <v>45488</v>
      </c>
      <c r="E715" s="1">
        <f t="shared" si="260"/>
        <v>45809</v>
      </c>
      <c r="F715" s="1">
        <f t="shared" si="261"/>
        <v>45839</v>
      </c>
      <c r="G715" s="1">
        <f t="shared" si="262"/>
        <v>45853</v>
      </c>
      <c r="H715">
        <f t="shared" si="263"/>
        <v>365</v>
      </c>
      <c r="I715">
        <f t="shared" si="264"/>
        <v>30</v>
      </c>
      <c r="J715">
        <f t="shared" si="265"/>
        <v>8.2191780821917804E-2</v>
      </c>
      <c r="K715">
        <f>IFERROR($J715/IF($A715&lt;COUNTIFS($K$1:K$1,"&lt;&gt;"),0,SUMIFS($J:$J,$B:$B,$B715,$A:$A,"&gt;="&amp;COUNTIFS($K$1:K$1,"&lt;&gt;"))),0)</f>
        <v>8.6206896551724144E-2</v>
      </c>
      <c r="L715">
        <f>IFERROR($J715/IF($A715&lt;COUNTIFS($K$1:L$1,"&lt;&gt;"),0,SUMIFS($J:$J,$B:$B,$B715,$A:$A,"&gt;="&amp;COUNTIFS($K$1:L$1,"&lt;&gt;"))),0)</f>
        <v>9.4637223974763415E-2</v>
      </c>
      <c r="M715">
        <f>IFERROR($J715/IF($A715&lt;COUNTIFS($K$1:M$1,"&lt;&gt;"),0,SUMIFS($J:$J,$B:$B,$B715,$A:$A,"&gt;="&amp;COUNTIFS($K$1:M$1,"&lt;&gt;"))),0)</f>
        <v>0.10452961672473869</v>
      </c>
      <c r="N715">
        <f>IFERROR($J715/IF($A715&lt;COUNTIFS($K$1:N$1,"&lt;&gt;"),0,SUMIFS($J:$J,$B:$B,$B715,$A:$A,"&gt;="&amp;COUNTIFS($K$1:N$1,"&lt;&gt;"))),0)</f>
        <v>0.11718750000000001</v>
      </c>
      <c r="O715">
        <f>IFERROR($J715/IF($A715&lt;COUNTIFS($K$1:O$1,"&lt;&gt;"),0,SUMIFS($J:$J,$B:$B,$B715,$A:$A,"&gt;="&amp;COUNTIFS($K$1:O$1,"&lt;&gt;"))),0)</f>
        <v>0.13274336283185842</v>
      </c>
      <c r="P715">
        <f>IFERROR($J715/IF($A715&lt;COUNTIFS($K$1:P$1,"&lt;&gt;"),0,SUMIFS($J:$J,$B:$B,$B715,$A:$A,"&gt;="&amp;COUNTIFS($K$1:P$1,"&lt;&gt;"))),0)</f>
        <v>0.15384615384615385</v>
      </c>
      <c r="Q715">
        <f>IFERROR($J715/IF($A715&lt;COUNTIFS($K$1:Q$1,"&lt;&gt;"),0,SUMIFS($J:$J,$B:$B,$B715,$A:$A,"&gt;="&amp;COUNTIFS($K$1:Q$1,"&lt;&gt;"))),0)</f>
        <v>0.18292682926829268</v>
      </c>
      <c r="R715">
        <f>IFERROR($J715/IF($A715&lt;COUNTIFS($K$1:R$1,"&lt;&gt;"),0,SUMIFS($J:$J,$B:$B,$B715,$A:$A,"&gt;="&amp;COUNTIFS($K$1:R$1,"&lt;&gt;"))),0)</f>
        <v>0.22058823529411764</v>
      </c>
      <c r="S715">
        <f>IFERROR($J715/IF($A715&lt;COUNTIFS($K$1:S$1,"&lt;&gt;"),0,SUMIFS($J:$J,$B:$B,$B715,$A:$A,"&gt;="&amp;COUNTIFS($K$1:S$1,"&lt;&gt;"))),0)</f>
        <v>0.2857142857142857</v>
      </c>
      <c r="T715">
        <f>IFERROR($J715/IF($A715&lt;COUNTIFS($K$1:T$1,"&lt;&gt;"),0,SUMIFS($J:$J,$B:$B,$B715,$A:$A,"&gt;="&amp;COUNTIFS($K$1:T$1,"&lt;&gt;"))),0)</f>
        <v>0.4</v>
      </c>
      <c r="U715">
        <f>IFERROR($J715/IF($A715&lt;COUNTIFS($K$1:U$1,"&lt;&gt;"),0,SUMIFS($J:$J,$B:$B,$B715,$A:$A,"&gt;="&amp;COUNTIFS($K$1:U$1,"&lt;&gt;"))),0)</f>
        <v>0.68181818181818177</v>
      </c>
      <c r="V715">
        <f>IFERROR($J715/IF($A715&lt;COUNTIFS($K$1:V$1,"&lt;&gt;"),0,SUMIFS($J:$J,$B:$B,$B715,$A:$A,"&gt;="&amp;COUNTIFS($K$1:V$1,"&lt;&gt;"))),0)</f>
        <v>0</v>
      </c>
      <c r="W715">
        <f t="shared" si="266"/>
        <v>8.2191780821917804E-2</v>
      </c>
      <c r="X715">
        <f t="shared" si="246"/>
        <v>8.2191780821917804E-2</v>
      </c>
      <c r="Y715">
        <f t="shared" si="247"/>
        <v>8.2191780821917804E-2</v>
      </c>
      <c r="Z715">
        <f t="shared" si="248"/>
        <v>8.2191780821917804E-2</v>
      </c>
      <c r="AA715">
        <f t="shared" si="249"/>
        <v>8.2191780821917804E-2</v>
      </c>
      <c r="AB715">
        <f t="shared" si="250"/>
        <v>8.2191780821917804E-2</v>
      </c>
      <c r="AC715">
        <f t="shared" si="251"/>
        <v>8.2191780821917804E-2</v>
      </c>
      <c r="AD715">
        <f t="shared" si="252"/>
        <v>8.2191780821917804E-2</v>
      </c>
      <c r="AE715">
        <f t="shared" si="253"/>
        <v>8.2191780821917804E-2</v>
      </c>
      <c r="AF715">
        <f t="shared" si="254"/>
        <v>8.2191780821917804E-2</v>
      </c>
      <c r="AG715">
        <f t="shared" si="255"/>
        <v>8.2191780821917804E-2</v>
      </c>
      <c r="AH715">
        <f t="shared" si="256"/>
        <v>8.2191780821917804E-2</v>
      </c>
      <c r="AI715">
        <f t="shared" si="257"/>
        <v>0</v>
      </c>
      <c r="AJ715" s="2" t="str">
        <f t="shared" si="267"/>
        <v>1145474</v>
      </c>
    </row>
    <row r="716" spans="1:36" x14ac:dyDescent="0.25">
      <c r="A716">
        <v>12</v>
      </c>
      <c r="B716" s="1">
        <v>45474</v>
      </c>
      <c r="C716" s="1">
        <f t="shared" si="258"/>
        <v>45839</v>
      </c>
      <c r="D716" s="1">
        <f t="shared" si="259"/>
        <v>45488</v>
      </c>
      <c r="E716" s="1">
        <f t="shared" si="260"/>
        <v>45839</v>
      </c>
      <c r="F716" s="1">
        <f t="shared" si="261"/>
        <v>45853</v>
      </c>
      <c r="G716" s="1">
        <f t="shared" si="262"/>
        <v>45853</v>
      </c>
      <c r="H716">
        <f t="shared" si="263"/>
        <v>365</v>
      </c>
      <c r="I716">
        <f t="shared" si="264"/>
        <v>14</v>
      </c>
      <c r="J716">
        <f t="shared" si="265"/>
        <v>3.8356164383561646E-2</v>
      </c>
      <c r="K716">
        <f>IFERROR($J716/IF($A716&lt;COUNTIFS($K$1:K$1,"&lt;&gt;"),0,SUMIFS($J:$J,$B:$B,$B716,$A:$A,"&gt;="&amp;COUNTIFS($K$1:K$1,"&lt;&gt;"))),0)</f>
        <v>4.0229885057471271E-2</v>
      </c>
      <c r="L716">
        <f>IFERROR($J716/IF($A716&lt;COUNTIFS($K$1:L$1,"&lt;&gt;"),0,SUMIFS($J:$J,$B:$B,$B716,$A:$A,"&gt;="&amp;COUNTIFS($K$1:L$1,"&lt;&gt;"))),0)</f>
        <v>4.41640378548896E-2</v>
      </c>
      <c r="M716">
        <f>IFERROR($J716/IF($A716&lt;COUNTIFS($K$1:M$1,"&lt;&gt;"),0,SUMIFS($J:$J,$B:$B,$B716,$A:$A,"&gt;="&amp;COUNTIFS($K$1:M$1,"&lt;&gt;"))),0)</f>
        <v>4.8780487804878057E-2</v>
      </c>
      <c r="N716">
        <f>IFERROR($J716/IF($A716&lt;COUNTIFS($K$1:N$1,"&lt;&gt;"),0,SUMIFS($J:$J,$B:$B,$B716,$A:$A,"&gt;="&amp;COUNTIFS($K$1:N$1,"&lt;&gt;"))),0)</f>
        <v>5.4687500000000014E-2</v>
      </c>
      <c r="O716">
        <f>IFERROR($J716/IF($A716&lt;COUNTIFS($K$1:O$1,"&lt;&gt;"),0,SUMIFS($J:$J,$B:$B,$B716,$A:$A,"&gt;="&amp;COUNTIFS($K$1:O$1,"&lt;&gt;"))),0)</f>
        <v>6.194690265486727E-2</v>
      </c>
      <c r="P716">
        <f>IFERROR($J716/IF($A716&lt;COUNTIFS($K$1:P$1,"&lt;&gt;"),0,SUMIFS($J:$J,$B:$B,$B716,$A:$A,"&gt;="&amp;COUNTIFS($K$1:P$1,"&lt;&gt;"))),0)</f>
        <v>7.1794871794871803E-2</v>
      </c>
      <c r="Q716">
        <f>IFERROR($J716/IF($A716&lt;COUNTIFS($K$1:Q$1,"&lt;&gt;"),0,SUMIFS($J:$J,$B:$B,$B716,$A:$A,"&gt;="&amp;COUNTIFS($K$1:Q$1,"&lt;&gt;"))),0)</f>
        <v>8.5365853658536592E-2</v>
      </c>
      <c r="R716">
        <f>IFERROR($J716/IF($A716&lt;COUNTIFS($K$1:R$1,"&lt;&gt;"),0,SUMIFS($J:$J,$B:$B,$B716,$A:$A,"&gt;="&amp;COUNTIFS($K$1:R$1,"&lt;&gt;"))),0)</f>
        <v>0.10294117647058824</v>
      </c>
      <c r="S716">
        <f>IFERROR($J716/IF($A716&lt;COUNTIFS($K$1:S$1,"&lt;&gt;"),0,SUMIFS($J:$J,$B:$B,$B716,$A:$A,"&gt;="&amp;COUNTIFS($K$1:S$1,"&lt;&gt;"))),0)</f>
        <v>0.13333333333333336</v>
      </c>
      <c r="T716">
        <f>IFERROR($J716/IF($A716&lt;COUNTIFS($K$1:T$1,"&lt;&gt;"),0,SUMIFS($J:$J,$B:$B,$B716,$A:$A,"&gt;="&amp;COUNTIFS($K$1:T$1,"&lt;&gt;"))),0)</f>
        <v>0.18666666666666668</v>
      </c>
      <c r="U716">
        <f>IFERROR($J716/IF($A716&lt;COUNTIFS($K$1:U$1,"&lt;&gt;"),0,SUMIFS($J:$J,$B:$B,$B716,$A:$A,"&gt;="&amp;COUNTIFS($K$1:U$1,"&lt;&gt;"))),0)</f>
        <v>0.31818181818181818</v>
      </c>
      <c r="V716">
        <f>IFERROR($J716/IF($A716&lt;COUNTIFS($K$1:V$1,"&lt;&gt;"),0,SUMIFS($J:$J,$B:$B,$B716,$A:$A,"&gt;="&amp;COUNTIFS($K$1:V$1,"&lt;&gt;"))),0)</f>
        <v>1</v>
      </c>
      <c r="W716">
        <f t="shared" si="266"/>
        <v>3.8356164383561646E-2</v>
      </c>
      <c r="X716">
        <f t="shared" si="246"/>
        <v>3.8356164383561646E-2</v>
      </c>
      <c r="Y716">
        <f t="shared" si="247"/>
        <v>3.8356164383561646E-2</v>
      </c>
      <c r="Z716">
        <f t="shared" si="248"/>
        <v>3.8356164383561646E-2</v>
      </c>
      <c r="AA716">
        <f t="shared" si="249"/>
        <v>3.8356164383561646E-2</v>
      </c>
      <c r="AB716">
        <f t="shared" si="250"/>
        <v>3.8356164383561646E-2</v>
      </c>
      <c r="AC716">
        <f t="shared" si="251"/>
        <v>3.8356164383561646E-2</v>
      </c>
      <c r="AD716">
        <f t="shared" si="252"/>
        <v>3.8356164383561646E-2</v>
      </c>
      <c r="AE716">
        <f t="shared" si="253"/>
        <v>3.8356164383561646E-2</v>
      </c>
      <c r="AF716">
        <f t="shared" si="254"/>
        <v>3.8356164383561646E-2</v>
      </c>
      <c r="AG716">
        <f t="shared" si="255"/>
        <v>3.8356164383561646E-2</v>
      </c>
      <c r="AH716">
        <f t="shared" si="256"/>
        <v>3.8356164383561646E-2</v>
      </c>
      <c r="AI716">
        <f t="shared" si="257"/>
        <v>3.8356164383561646E-2</v>
      </c>
      <c r="AJ716" s="2" t="str">
        <f t="shared" si="267"/>
        <v>1245474</v>
      </c>
    </row>
    <row r="717" spans="1:36" x14ac:dyDescent="0.25">
      <c r="A717">
        <v>0</v>
      </c>
      <c r="B717" s="1">
        <v>45505</v>
      </c>
      <c r="C717" s="1">
        <f t="shared" si="258"/>
        <v>45505</v>
      </c>
      <c r="D717" s="1">
        <f t="shared" si="259"/>
        <v>45519</v>
      </c>
      <c r="E717" s="1">
        <f t="shared" si="260"/>
        <v>45519</v>
      </c>
      <c r="F717" s="1">
        <f t="shared" si="261"/>
        <v>45536</v>
      </c>
      <c r="G717" s="1">
        <f t="shared" si="262"/>
        <v>45884</v>
      </c>
      <c r="H717">
        <f t="shared" si="263"/>
        <v>365</v>
      </c>
      <c r="I717">
        <f t="shared" si="264"/>
        <v>17</v>
      </c>
      <c r="J717">
        <f t="shared" si="265"/>
        <v>4.6575342465753428E-2</v>
      </c>
      <c r="K717">
        <f>IFERROR($J717/IF($A717&lt;COUNTIFS($K$1:K$1,"&lt;&gt;"),0,SUMIFS($J:$J,$B:$B,$B717,$A:$A,"&gt;="&amp;COUNTIFS($K$1:K$1,"&lt;&gt;"))),0)</f>
        <v>0</v>
      </c>
      <c r="L717">
        <f>IFERROR($J717/IF($A717&lt;COUNTIFS($K$1:L$1,"&lt;&gt;"),0,SUMIFS($J:$J,$B:$B,$B717,$A:$A,"&gt;="&amp;COUNTIFS($K$1:L$1,"&lt;&gt;"))),0)</f>
        <v>0</v>
      </c>
      <c r="M717">
        <f>IFERROR($J717/IF($A717&lt;COUNTIFS($K$1:M$1,"&lt;&gt;"),0,SUMIFS($J:$J,$B:$B,$B717,$A:$A,"&gt;="&amp;COUNTIFS($K$1:M$1,"&lt;&gt;"))),0)</f>
        <v>0</v>
      </c>
      <c r="N717">
        <f>IFERROR($J717/IF($A717&lt;COUNTIFS($K$1:N$1,"&lt;&gt;"),0,SUMIFS($J:$J,$B:$B,$B717,$A:$A,"&gt;="&amp;COUNTIFS($K$1:N$1,"&lt;&gt;"))),0)</f>
        <v>0</v>
      </c>
      <c r="O717">
        <f>IFERROR($J717/IF($A717&lt;COUNTIFS($K$1:O$1,"&lt;&gt;"),0,SUMIFS($J:$J,$B:$B,$B717,$A:$A,"&gt;="&amp;COUNTIFS($K$1:O$1,"&lt;&gt;"))),0)</f>
        <v>0</v>
      </c>
      <c r="P717">
        <f>IFERROR($J717/IF($A717&lt;COUNTIFS($K$1:P$1,"&lt;&gt;"),0,SUMIFS($J:$J,$B:$B,$B717,$A:$A,"&gt;="&amp;COUNTIFS($K$1:P$1,"&lt;&gt;"))),0)</f>
        <v>0</v>
      </c>
      <c r="Q717">
        <f>IFERROR($J717/IF($A717&lt;COUNTIFS($K$1:Q$1,"&lt;&gt;"),0,SUMIFS($J:$J,$B:$B,$B717,$A:$A,"&gt;="&amp;COUNTIFS($K$1:Q$1,"&lt;&gt;"))),0)</f>
        <v>0</v>
      </c>
      <c r="R717">
        <f>IFERROR($J717/IF($A717&lt;COUNTIFS($K$1:R$1,"&lt;&gt;"),0,SUMIFS($J:$J,$B:$B,$B717,$A:$A,"&gt;="&amp;COUNTIFS($K$1:R$1,"&lt;&gt;"))),0)</f>
        <v>0</v>
      </c>
      <c r="S717">
        <f>IFERROR($J717/IF($A717&lt;COUNTIFS($K$1:S$1,"&lt;&gt;"),0,SUMIFS($J:$J,$B:$B,$B717,$A:$A,"&gt;="&amp;COUNTIFS($K$1:S$1,"&lt;&gt;"))),0)</f>
        <v>0</v>
      </c>
      <c r="T717">
        <f>IFERROR($J717/IF($A717&lt;COUNTIFS($K$1:T$1,"&lt;&gt;"),0,SUMIFS($J:$J,$B:$B,$B717,$A:$A,"&gt;="&amp;COUNTIFS($K$1:T$1,"&lt;&gt;"))),0)</f>
        <v>0</v>
      </c>
      <c r="U717">
        <f>IFERROR($J717/IF($A717&lt;COUNTIFS($K$1:U$1,"&lt;&gt;"),0,SUMIFS($J:$J,$B:$B,$B717,$A:$A,"&gt;="&amp;COUNTIFS($K$1:U$1,"&lt;&gt;"))),0)</f>
        <v>0</v>
      </c>
      <c r="V717">
        <f>IFERROR($J717/IF($A717&lt;COUNTIFS($K$1:V$1,"&lt;&gt;"),0,SUMIFS($J:$J,$B:$B,$B717,$A:$A,"&gt;="&amp;COUNTIFS($K$1:V$1,"&lt;&gt;"))),0)</f>
        <v>0</v>
      </c>
      <c r="W717">
        <f t="shared" si="266"/>
        <v>4.6575342465753428E-2</v>
      </c>
      <c r="X717">
        <f t="shared" si="246"/>
        <v>0</v>
      </c>
      <c r="Y717">
        <f t="shared" si="247"/>
        <v>0</v>
      </c>
      <c r="Z717">
        <f t="shared" si="248"/>
        <v>0</v>
      </c>
      <c r="AA717">
        <f t="shared" si="249"/>
        <v>0</v>
      </c>
      <c r="AB717">
        <f t="shared" si="250"/>
        <v>0</v>
      </c>
      <c r="AC717">
        <f t="shared" si="251"/>
        <v>0</v>
      </c>
      <c r="AD717">
        <f t="shared" si="252"/>
        <v>0</v>
      </c>
      <c r="AE717">
        <f t="shared" si="253"/>
        <v>0</v>
      </c>
      <c r="AF717">
        <f t="shared" si="254"/>
        <v>0</v>
      </c>
      <c r="AG717">
        <f t="shared" si="255"/>
        <v>0</v>
      </c>
      <c r="AH717">
        <f t="shared" si="256"/>
        <v>0</v>
      </c>
      <c r="AI717">
        <f t="shared" si="257"/>
        <v>0</v>
      </c>
      <c r="AJ717" s="2" t="str">
        <f t="shared" si="267"/>
        <v>045505</v>
      </c>
    </row>
    <row r="718" spans="1:36" x14ac:dyDescent="0.25">
      <c r="A718">
        <v>1</v>
      </c>
      <c r="B718" s="1">
        <v>45505</v>
      </c>
      <c r="C718" s="1">
        <f t="shared" si="258"/>
        <v>45536</v>
      </c>
      <c r="D718" s="1">
        <f t="shared" si="259"/>
        <v>45519</v>
      </c>
      <c r="E718" s="1">
        <f t="shared" si="260"/>
        <v>45536</v>
      </c>
      <c r="F718" s="1">
        <f t="shared" si="261"/>
        <v>45566</v>
      </c>
      <c r="G718" s="1">
        <f t="shared" si="262"/>
        <v>45884</v>
      </c>
      <c r="H718">
        <f t="shared" si="263"/>
        <v>365</v>
      </c>
      <c r="I718">
        <f t="shared" si="264"/>
        <v>30</v>
      </c>
      <c r="J718">
        <f t="shared" si="265"/>
        <v>8.2191780821917804E-2</v>
      </c>
      <c r="K718">
        <f>IFERROR($J718/IF($A718&lt;COUNTIFS($K$1:K$1,"&lt;&gt;"),0,SUMIFS($J:$J,$B:$B,$B718,$A:$A,"&gt;="&amp;COUNTIFS($K$1:K$1,"&lt;&gt;"))),0)</f>
        <v>8.6206896551724144E-2</v>
      </c>
      <c r="L718">
        <f>IFERROR($J718/IF($A718&lt;COUNTIFS($K$1:L$1,"&lt;&gt;"),0,SUMIFS($J:$J,$B:$B,$B718,$A:$A,"&gt;="&amp;COUNTIFS($K$1:L$1,"&lt;&gt;"))),0)</f>
        <v>0</v>
      </c>
      <c r="M718">
        <f>IFERROR($J718/IF($A718&lt;COUNTIFS($K$1:M$1,"&lt;&gt;"),0,SUMIFS($J:$J,$B:$B,$B718,$A:$A,"&gt;="&amp;COUNTIFS($K$1:M$1,"&lt;&gt;"))),0)</f>
        <v>0</v>
      </c>
      <c r="N718">
        <f>IFERROR($J718/IF($A718&lt;COUNTIFS($K$1:N$1,"&lt;&gt;"),0,SUMIFS($J:$J,$B:$B,$B718,$A:$A,"&gt;="&amp;COUNTIFS($K$1:N$1,"&lt;&gt;"))),0)</f>
        <v>0</v>
      </c>
      <c r="O718">
        <f>IFERROR($J718/IF($A718&lt;COUNTIFS($K$1:O$1,"&lt;&gt;"),0,SUMIFS($J:$J,$B:$B,$B718,$A:$A,"&gt;="&amp;COUNTIFS($K$1:O$1,"&lt;&gt;"))),0)</f>
        <v>0</v>
      </c>
      <c r="P718">
        <f>IFERROR($J718/IF($A718&lt;COUNTIFS($K$1:P$1,"&lt;&gt;"),0,SUMIFS($J:$J,$B:$B,$B718,$A:$A,"&gt;="&amp;COUNTIFS($K$1:P$1,"&lt;&gt;"))),0)</f>
        <v>0</v>
      </c>
      <c r="Q718">
        <f>IFERROR($J718/IF($A718&lt;COUNTIFS($K$1:Q$1,"&lt;&gt;"),0,SUMIFS($J:$J,$B:$B,$B718,$A:$A,"&gt;="&amp;COUNTIFS($K$1:Q$1,"&lt;&gt;"))),0)</f>
        <v>0</v>
      </c>
      <c r="R718">
        <f>IFERROR($J718/IF($A718&lt;COUNTIFS($K$1:R$1,"&lt;&gt;"),0,SUMIFS($J:$J,$B:$B,$B718,$A:$A,"&gt;="&amp;COUNTIFS($K$1:R$1,"&lt;&gt;"))),0)</f>
        <v>0</v>
      </c>
      <c r="S718">
        <f>IFERROR($J718/IF($A718&lt;COUNTIFS($K$1:S$1,"&lt;&gt;"),0,SUMIFS($J:$J,$B:$B,$B718,$A:$A,"&gt;="&amp;COUNTIFS($K$1:S$1,"&lt;&gt;"))),0)</f>
        <v>0</v>
      </c>
      <c r="T718">
        <f>IFERROR($J718/IF($A718&lt;COUNTIFS($K$1:T$1,"&lt;&gt;"),0,SUMIFS($J:$J,$B:$B,$B718,$A:$A,"&gt;="&amp;COUNTIFS($K$1:T$1,"&lt;&gt;"))),0)</f>
        <v>0</v>
      </c>
      <c r="U718">
        <f>IFERROR($J718/IF($A718&lt;COUNTIFS($K$1:U$1,"&lt;&gt;"),0,SUMIFS($J:$J,$B:$B,$B718,$A:$A,"&gt;="&amp;COUNTIFS($K$1:U$1,"&lt;&gt;"))),0)</f>
        <v>0</v>
      </c>
      <c r="V718">
        <f>IFERROR($J718/IF($A718&lt;COUNTIFS($K$1:V$1,"&lt;&gt;"),0,SUMIFS($J:$J,$B:$B,$B718,$A:$A,"&gt;="&amp;COUNTIFS($K$1:V$1,"&lt;&gt;"))),0)</f>
        <v>0</v>
      </c>
      <c r="W718">
        <f t="shared" si="266"/>
        <v>8.2191780821917804E-2</v>
      </c>
      <c r="X718">
        <f t="shared" si="246"/>
        <v>8.2191780821917804E-2</v>
      </c>
      <c r="Y718">
        <f t="shared" si="247"/>
        <v>0</v>
      </c>
      <c r="Z718">
        <f t="shared" si="248"/>
        <v>0</v>
      </c>
      <c r="AA718">
        <f t="shared" si="249"/>
        <v>0</v>
      </c>
      <c r="AB718">
        <f t="shared" si="250"/>
        <v>0</v>
      </c>
      <c r="AC718">
        <f t="shared" si="251"/>
        <v>0</v>
      </c>
      <c r="AD718">
        <f t="shared" si="252"/>
        <v>0</v>
      </c>
      <c r="AE718">
        <f t="shared" si="253"/>
        <v>0</v>
      </c>
      <c r="AF718">
        <f t="shared" si="254"/>
        <v>0</v>
      </c>
      <c r="AG718">
        <f t="shared" si="255"/>
        <v>0</v>
      </c>
      <c r="AH718">
        <f t="shared" si="256"/>
        <v>0</v>
      </c>
      <c r="AI718">
        <f t="shared" si="257"/>
        <v>0</v>
      </c>
      <c r="AJ718" s="2" t="str">
        <f t="shared" si="267"/>
        <v>145505</v>
      </c>
    </row>
    <row r="719" spans="1:36" x14ac:dyDescent="0.25">
      <c r="A719">
        <v>2</v>
      </c>
      <c r="B719" s="1">
        <v>45505</v>
      </c>
      <c r="C719" s="1">
        <f t="shared" si="258"/>
        <v>45566</v>
      </c>
      <c r="D719" s="1">
        <f t="shared" si="259"/>
        <v>45519</v>
      </c>
      <c r="E719" s="1">
        <f t="shared" si="260"/>
        <v>45566</v>
      </c>
      <c r="F719" s="1">
        <f t="shared" si="261"/>
        <v>45597</v>
      </c>
      <c r="G719" s="1">
        <f t="shared" si="262"/>
        <v>45884</v>
      </c>
      <c r="H719">
        <f t="shared" si="263"/>
        <v>365</v>
      </c>
      <c r="I719">
        <f t="shared" si="264"/>
        <v>31</v>
      </c>
      <c r="J719">
        <f t="shared" si="265"/>
        <v>8.4931506849315067E-2</v>
      </c>
      <c r="K719">
        <f>IFERROR($J719/IF($A719&lt;COUNTIFS($K$1:K$1,"&lt;&gt;"),0,SUMIFS($J:$J,$B:$B,$B719,$A:$A,"&gt;="&amp;COUNTIFS($K$1:K$1,"&lt;&gt;"))),0)</f>
        <v>8.9080459770114959E-2</v>
      </c>
      <c r="L719">
        <f>IFERROR($J719/IF($A719&lt;COUNTIFS($K$1:L$1,"&lt;&gt;"),0,SUMIFS($J:$J,$B:$B,$B719,$A:$A,"&gt;="&amp;COUNTIFS($K$1:L$1,"&lt;&gt;"))),0)</f>
        <v>9.7484276729559768E-2</v>
      </c>
      <c r="M719">
        <f>IFERROR($J719/IF($A719&lt;COUNTIFS($K$1:M$1,"&lt;&gt;"),0,SUMIFS($J:$J,$B:$B,$B719,$A:$A,"&gt;="&amp;COUNTIFS($K$1:M$1,"&lt;&gt;"))),0)</f>
        <v>0</v>
      </c>
      <c r="N719">
        <f>IFERROR($J719/IF($A719&lt;COUNTIFS($K$1:N$1,"&lt;&gt;"),0,SUMIFS($J:$J,$B:$B,$B719,$A:$A,"&gt;="&amp;COUNTIFS($K$1:N$1,"&lt;&gt;"))),0)</f>
        <v>0</v>
      </c>
      <c r="O719">
        <f>IFERROR($J719/IF($A719&lt;COUNTIFS($K$1:O$1,"&lt;&gt;"),0,SUMIFS($J:$J,$B:$B,$B719,$A:$A,"&gt;="&amp;COUNTIFS($K$1:O$1,"&lt;&gt;"))),0)</f>
        <v>0</v>
      </c>
      <c r="P719">
        <f>IFERROR($J719/IF($A719&lt;COUNTIFS($K$1:P$1,"&lt;&gt;"),0,SUMIFS($J:$J,$B:$B,$B719,$A:$A,"&gt;="&amp;COUNTIFS($K$1:P$1,"&lt;&gt;"))),0)</f>
        <v>0</v>
      </c>
      <c r="Q719">
        <f>IFERROR($J719/IF($A719&lt;COUNTIFS($K$1:Q$1,"&lt;&gt;"),0,SUMIFS($J:$J,$B:$B,$B719,$A:$A,"&gt;="&amp;COUNTIFS($K$1:Q$1,"&lt;&gt;"))),0)</f>
        <v>0</v>
      </c>
      <c r="R719">
        <f>IFERROR($J719/IF($A719&lt;COUNTIFS($K$1:R$1,"&lt;&gt;"),0,SUMIFS($J:$J,$B:$B,$B719,$A:$A,"&gt;="&amp;COUNTIFS($K$1:R$1,"&lt;&gt;"))),0)</f>
        <v>0</v>
      </c>
      <c r="S719">
        <f>IFERROR($J719/IF($A719&lt;COUNTIFS($K$1:S$1,"&lt;&gt;"),0,SUMIFS($J:$J,$B:$B,$B719,$A:$A,"&gt;="&amp;COUNTIFS($K$1:S$1,"&lt;&gt;"))),0)</f>
        <v>0</v>
      </c>
      <c r="T719">
        <f>IFERROR($J719/IF($A719&lt;COUNTIFS($K$1:T$1,"&lt;&gt;"),0,SUMIFS($J:$J,$B:$B,$B719,$A:$A,"&gt;="&amp;COUNTIFS($K$1:T$1,"&lt;&gt;"))),0)</f>
        <v>0</v>
      </c>
      <c r="U719">
        <f>IFERROR($J719/IF($A719&lt;COUNTIFS($K$1:U$1,"&lt;&gt;"),0,SUMIFS($J:$J,$B:$B,$B719,$A:$A,"&gt;="&amp;COUNTIFS($K$1:U$1,"&lt;&gt;"))),0)</f>
        <v>0</v>
      </c>
      <c r="V719">
        <f>IFERROR($J719/IF($A719&lt;COUNTIFS($K$1:V$1,"&lt;&gt;"),0,SUMIFS($J:$J,$B:$B,$B719,$A:$A,"&gt;="&amp;COUNTIFS($K$1:V$1,"&lt;&gt;"))),0)</f>
        <v>0</v>
      </c>
      <c r="W719">
        <f t="shared" si="266"/>
        <v>8.4931506849315067E-2</v>
      </c>
      <c r="X719">
        <f t="shared" si="246"/>
        <v>8.4931506849315067E-2</v>
      </c>
      <c r="Y719">
        <f t="shared" si="247"/>
        <v>8.4931506849315067E-2</v>
      </c>
      <c r="Z719">
        <f t="shared" si="248"/>
        <v>0</v>
      </c>
      <c r="AA719">
        <f t="shared" si="249"/>
        <v>0</v>
      </c>
      <c r="AB719">
        <f t="shared" si="250"/>
        <v>0</v>
      </c>
      <c r="AC719">
        <f t="shared" si="251"/>
        <v>0</v>
      </c>
      <c r="AD719">
        <f t="shared" si="252"/>
        <v>0</v>
      </c>
      <c r="AE719">
        <f t="shared" si="253"/>
        <v>0</v>
      </c>
      <c r="AF719">
        <f t="shared" si="254"/>
        <v>0</v>
      </c>
      <c r="AG719">
        <f t="shared" si="255"/>
        <v>0</v>
      </c>
      <c r="AH719">
        <f t="shared" si="256"/>
        <v>0</v>
      </c>
      <c r="AI719">
        <f t="shared" si="257"/>
        <v>0</v>
      </c>
      <c r="AJ719" s="2" t="str">
        <f t="shared" si="267"/>
        <v>245505</v>
      </c>
    </row>
    <row r="720" spans="1:36" x14ac:dyDescent="0.25">
      <c r="A720">
        <v>3</v>
      </c>
      <c r="B720" s="1">
        <v>45505</v>
      </c>
      <c r="C720" s="1">
        <f t="shared" si="258"/>
        <v>45597</v>
      </c>
      <c r="D720" s="1">
        <f t="shared" si="259"/>
        <v>45519</v>
      </c>
      <c r="E720" s="1">
        <f t="shared" si="260"/>
        <v>45597</v>
      </c>
      <c r="F720" s="1">
        <f t="shared" si="261"/>
        <v>45627</v>
      </c>
      <c r="G720" s="1">
        <f t="shared" si="262"/>
        <v>45884</v>
      </c>
      <c r="H720">
        <f t="shared" si="263"/>
        <v>365</v>
      </c>
      <c r="I720">
        <f t="shared" si="264"/>
        <v>30</v>
      </c>
      <c r="J720">
        <f t="shared" si="265"/>
        <v>8.2191780821917804E-2</v>
      </c>
      <c r="K720">
        <f>IFERROR($J720/IF($A720&lt;COUNTIFS($K$1:K$1,"&lt;&gt;"),0,SUMIFS($J:$J,$B:$B,$B720,$A:$A,"&gt;="&amp;COUNTIFS($K$1:K$1,"&lt;&gt;"))),0)</f>
        <v>8.6206896551724144E-2</v>
      </c>
      <c r="L720">
        <f>IFERROR($J720/IF($A720&lt;COUNTIFS($K$1:L$1,"&lt;&gt;"),0,SUMIFS($J:$J,$B:$B,$B720,$A:$A,"&gt;="&amp;COUNTIFS($K$1:L$1,"&lt;&gt;"))),0)</f>
        <v>9.4339622641509441E-2</v>
      </c>
      <c r="M720">
        <f>IFERROR($J720/IF($A720&lt;COUNTIFS($K$1:M$1,"&lt;&gt;"),0,SUMIFS($J:$J,$B:$B,$B720,$A:$A,"&gt;="&amp;COUNTIFS($K$1:M$1,"&lt;&gt;"))),0)</f>
        <v>0.10452961672473869</v>
      </c>
      <c r="N720">
        <f>IFERROR($J720/IF($A720&lt;COUNTIFS($K$1:N$1,"&lt;&gt;"),0,SUMIFS($J:$J,$B:$B,$B720,$A:$A,"&gt;="&amp;COUNTIFS($K$1:N$1,"&lt;&gt;"))),0)</f>
        <v>0</v>
      </c>
      <c r="O720">
        <f>IFERROR($J720/IF($A720&lt;COUNTIFS($K$1:O$1,"&lt;&gt;"),0,SUMIFS($J:$J,$B:$B,$B720,$A:$A,"&gt;="&amp;COUNTIFS($K$1:O$1,"&lt;&gt;"))),0)</f>
        <v>0</v>
      </c>
      <c r="P720">
        <f>IFERROR($J720/IF($A720&lt;COUNTIFS($K$1:P$1,"&lt;&gt;"),0,SUMIFS($J:$J,$B:$B,$B720,$A:$A,"&gt;="&amp;COUNTIFS($K$1:P$1,"&lt;&gt;"))),0)</f>
        <v>0</v>
      </c>
      <c r="Q720">
        <f>IFERROR($J720/IF($A720&lt;COUNTIFS($K$1:Q$1,"&lt;&gt;"),0,SUMIFS($J:$J,$B:$B,$B720,$A:$A,"&gt;="&amp;COUNTIFS($K$1:Q$1,"&lt;&gt;"))),0)</f>
        <v>0</v>
      </c>
      <c r="R720">
        <f>IFERROR($J720/IF($A720&lt;COUNTIFS($K$1:R$1,"&lt;&gt;"),0,SUMIFS($J:$J,$B:$B,$B720,$A:$A,"&gt;="&amp;COUNTIFS($K$1:R$1,"&lt;&gt;"))),0)</f>
        <v>0</v>
      </c>
      <c r="S720">
        <f>IFERROR($J720/IF($A720&lt;COUNTIFS($K$1:S$1,"&lt;&gt;"),0,SUMIFS($J:$J,$B:$B,$B720,$A:$A,"&gt;="&amp;COUNTIFS($K$1:S$1,"&lt;&gt;"))),0)</f>
        <v>0</v>
      </c>
      <c r="T720">
        <f>IFERROR($J720/IF($A720&lt;COUNTIFS($K$1:T$1,"&lt;&gt;"),0,SUMIFS($J:$J,$B:$B,$B720,$A:$A,"&gt;="&amp;COUNTIFS($K$1:T$1,"&lt;&gt;"))),0)</f>
        <v>0</v>
      </c>
      <c r="U720">
        <f>IFERROR($J720/IF($A720&lt;COUNTIFS($K$1:U$1,"&lt;&gt;"),0,SUMIFS($J:$J,$B:$B,$B720,$A:$A,"&gt;="&amp;COUNTIFS($K$1:U$1,"&lt;&gt;"))),0)</f>
        <v>0</v>
      </c>
      <c r="V720">
        <f>IFERROR($J720/IF($A720&lt;COUNTIFS($K$1:V$1,"&lt;&gt;"),0,SUMIFS($J:$J,$B:$B,$B720,$A:$A,"&gt;="&amp;COUNTIFS($K$1:V$1,"&lt;&gt;"))),0)</f>
        <v>0</v>
      </c>
      <c r="W720">
        <f t="shared" si="266"/>
        <v>8.2191780821917804E-2</v>
      </c>
      <c r="X720">
        <f t="shared" si="246"/>
        <v>8.2191780821917804E-2</v>
      </c>
      <c r="Y720">
        <f t="shared" si="247"/>
        <v>8.2191780821917804E-2</v>
      </c>
      <c r="Z720">
        <f t="shared" si="248"/>
        <v>8.2191780821917804E-2</v>
      </c>
      <c r="AA720">
        <f t="shared" si="249"/>
        <v>0</v>
      </c>
      <c r="AB720">
        <f t="shared" si="250"/>
        <v>0</v>
      </c>
      <c r="AC720">
        <f t="shared" si="251"/>
        <v>0</v>
      </c>
      <c r="AD720">
        <f t="shared" si="252"/>
        <v>0</v>
      </c>
      <c r="AE720">
        <f t="shared" si="253"/>
        <v>0</v>
      </c>
      <c r="AF720">
        <f t="shared" si="254"/>
        <v>0</v>
      </c>
      <c r="AG720">
        <f t="shared" si="255"/>
        <v>0</v>
      </c>
      <c r="AH720">
        <f t="shared" si="256"/>
        <v>0</v>
      </c>
      <c r="AI720">
        <f t="shared" si="257"/>
        <v>0</v>
      </c>
      <c r="AJ720" s="2" t="str">
        <f t="shared" si="267"/>
        <v>345505</v>
      </c>
    </row>
    <row r="721" spans="1:36" x14ac:dyDescent="0.25">
      <c r="A721">
        <v>4</v>
      </c>
      <c r="B721" s="1">
        <v>45505</v>
      </c>
      <c r="C721" s="1">
        <f t="shared" si="258"/>
        <v>45627</v>
      </c>
      <c r="D721" s="1">
        <f t="shared" si="259"/>
        <v>45519</v>
      </c>
      <c r="E721" s="1">
        <f t="shared" si="260"/>
        <v>45627</v>
      </c>
      <c r="F721" s="1">
        <f t="shared" si="261"/>
        <v>45658</v>
      </c>
      <c r="G721" s="1">
        <f t="shared" si="262"/>
        <v>45884</v>
      </c>
      <c r="H721">
        <f t="shared" si="263"/>
        <v>365</v>
      </c>
      <c r="I721">
        <f t="shared" si="264"/>
        <v>31</v>
      </c>
      <c r="J721">
        <f t="shared" si="265"/>
        <v>8.4931506849315067E-2</v>
      </c>
      <c r="K721">
        <f>IFERROR($J721/IF($A721&lt;COUNTIFS($K$1:K$1,"&lt;&gt;"),0,SUMIFS($J:$J,$B:$B,$B721,$A:$A,"&gt;="&amp;COUNTIFS($K$1:K$1,"&lt;&gt;"))),0)</f>
        <v>8.9080459770114959E-2</v>
      </c>
      <c r="L721">
        <f>IFERROR($J721/IF($A721&lt;COUNTIFS($K$1:L$1,"&lt;&gt;"),0,SUMIFS($J:$J,$B:$B,$B721,$A:$A,"&gt;="&amp;COUNTIFS($K$1:L$1,"&lt;&gt;"))),0)</f>
        <v>9.7484276729559768E-2</v>
      </c>
      <c r="M721">
        <f>IFERROR($J721/IF($A721&lt;COUNTIFS($K$1:M$1,"&lt;&gt;"),0,SUMIFS($J:$J,$B:$B,$B721,$A:$A,"&gt;="&amp;COUNTIFS($K$1:M$1,"&lt;&gt;"))),0)</f>
        <v>0.10801393728222998</v>
      </c>
      <c r="N721">
        <f>IFERROR($J721/IF($A721&lt;COUNTIFS($K$1:N$1,"&lt;&gt;"),0,SUMIFS($J:$J,$B:$B,$B721,$A:$A,"&gt;="&amp;COUNTIFS($K$1:N$1,"&lt;&gt;"))),0)</f>
        <v>0.12062256809338523</v>
      </c>
      <c r="O721">
        <f>IFERROR($J721/IF($A721&lt;COUNTIFS($K$1:O$1,"&lt;&gt;"),0,SUMIFS($J:$J,$B:$B,$B721,$A:$A,"&gt;="&amp;COUNTIFS($K$1:O$1,"&lt;&gt;"))),0)</f>
        <v>0</v>
      </c>
      <c r="P721">
        <f>IFERROR($J721/IF($A721&lt;COUNTIFS($K$1:P$1,"&lt;&gt;"),0,SUMIFS($J:$J,$B:$B,$B721,$A:$A,"&gt;="&amp;COUNTIFS($K$1:P$1,"&lt;&gt;"))),0)</f>
        <v>0</v>
      </c>
      <c r="Q721">
        <f>IFERROR($J721/IF($A721&lt;COUNTIFS($K$1:Q$1,"&lt;&gt;"),0,SUMIFS($J:$J,$B:$B,$B721,$A:$A,"&gt;="&amp;COUNTIFS($K$1:Q$1,"&lt;&gt;"))),0)</f>
        <v>0</v>
      </c>
      <c r="R721">
        <f>IFERROR($J721/IF($A721&lt;COUNTIFS($K$1:R$1,"&lt;&gt;"),0,SUMIFS($J:$J,$B:$B,$B721,$A:$A,"&gt;="&amp;COUNTIFS($K$1:R$1,"&lt;&gt;"))),0)</f>
        <v>0</v>
      </c>
      <c r="S721">
        <f>IFERROR($J721/IF($A721&lt;COUNTIFS($K$1:S$1,"&lt;&gt;"),0,SUMIFS($J:$J,$B:$B,$B721,$A:$A,"&gt;="&amp;COUNTIFS($K$1:S$1,"&lt;&gt;"))),0)</f>
        <v>0</v>
      </c>
      <c r="T721">
        <f>IFERROR($J721/IF($A721&lt;COUNTIFS($K$1:T$1,"&lt;&gt;"),0,SUMIFS($J:$J,$B:$B,$B721,$A:$A,"&gt;="&amp;COUNTIFS($K$1:T$1,"&lt;&gt;"))),0)</f>
        <v>0</v>
      </c>
      <c r="U721">
        <f>IFERROR($J721/IF($A721&lt;COUNTIFS($K$1:U$1,"&lt;&gt;"),0,SUMIFS($J:$J,$B:$B,$B721,$A:$A,"&gt;="&amp;COUNTIFS($K$1:U$1,"&lt;&gt;"))),0)</f>
        <v>0</v>
      </c>
      <c r="V721">
        <f>IFERROR($J721/IF($A721&lt;COUNTIFS($K$1:V$1,"&lt;&gt;"),0,SUMIFS($J:$J,$B:$B,$B721,$A:$A,"&gt;="&amp;COUNTIFS($K$1:V$1,"&lt;&gt;"))),0)</f>
        <v>0</v>
      </c>
      <c r="W721">
        <f t="shared" si="266"/>
        <v>8.4931506849315067E-2</v>
      </c>
      <c r="X721">
        <f t="shared" si="246"/>
        <v>8.4931506849315067E-2</v>
      </c>
      <c r="Y721">
        <f t="shared" si="247"/>
        <v>8.4931506849315067E-2</v>
      </c>
      <c r="Z721">
        <f t="shared" si="248"/>
        <v>8.4931506849315067E-2</v>
      </c>
      <c r="AA721">
        <f t="shared" si="249"/>
        <v>8.4931506849315067E-2</v>
      </c>
      <c r="AB721">
        <f t="shared" si="250"/>
        <v>0</v>
      </c>
      <c r="AC721">
        <f t="shared" si="251"/>
        <v>0</v>
      </c>
      <c r="AD721">
        <f t="shared" si="252"/>
        <v>0</v>
      </c>
      <c r="AE721">
        <f t="shared" si="253"/>
        <v>0</v>
      </c>
      <c r="AF721">
        <f t="shared" si="254"/>
        <v>0</v>
      </c>
      <c r="AG721">
        <f t="shared" si="255"/>
        <v>0</v>
      </c>
      <c r="AH721">
        <f t="shared" si="256"/>
        <v>0</v>
      </c>
      <c r="AI721">
        <f t="shared" si="257"/>
        <v>0</v>
      </c>
      <c r="AJ721" s="2" t="str">
        <f t="shared" si="267"/>
        <v>445505</v>
      </c>
    </row>
    <row r="722" spans="1:36" x14ac:dyDescent="0.25">
      <c r="A722">
        <v>5</v>
      </c>
      <c r="B722" s="1">
        <v>45505</v>
      </c>
      <c r="C722" s="1">
        <f t="shared" si="258"/>
        <v>45658</v>
      </c>
      <c r="D722" s="1">
        <f t="shared" si="259"/>
        <v>45519</v>
      </c>
      <c r="E722" s="1">
        <f t="shared" si="260"/>
        <v>45658</v>
      </c>
      <c r="F722" s="1">
        <f t="shared" si="261"/>
        <v>45689</v>
      </c>
      <c r="G722" s="1">
        <f t="shared" si="262"/>
        <v>45884</v>
      </c>
      <c r="H722">
        <f t="shared" si="263"/>
        <v>365</v>
      </c>
      <c r="I722">
        <f t="shared" si="264"/>
        <v>31</v>
      </c>
      <c r="J722">
        <f t="shared" si="265"/>
        <v>8.4931506849315067E-2</v>
      </c>
      <c r="K722">
        <f>IFERROR($J722/IF($A722&lt;COUNTIFS($K$1:K$1,"&lt;&gt;"),0,SUMIFS($J:$J,$B:$B,$B722,$A:$A,"&gt;="&amp;COUNTIFS($K$1:K$1,"&lt;&gt;"))),0)</f>
        <v>8.9080459770114959E-2</v>
      </c>
      <c r="L722">
        <f>IFERROR($J722/IF($A722&lt;COUNTIFS($K$1:L$1,"&lt;&gt;"),0,SUMIFS($J:$J,$B:$B,$B722,$A:$A,"&gt;="&amp;COUNTIFS($K$1:L$1,"&lt;&gt;"))),0)</f>
        <v>9.7484276729559768E-2</v>
      </c>
      <c r="M722">
        <f>IFERROR($J722/IF($A722&lt;COUNTIFS($K$1:M$1,"&lt;&gt;"),0,SUMIFS($J:$J,$B:$B,$B722,$A:$A,"&gt;="&amp;COUNTIFS($K$1:M$1,"&lt;&gt;"))),0)</f>
        <v>0.10801393728222998</v>
      </c>
      <c r="N722">
        <f>IFERROR($J722/IF($A722&lt;COUNTIFS($K$1:N$1,"&lt;&gt;"),0,SUMIFS($J:$J,$B:$B,$B722,$A:$A,"&gt;="&amp;COUNTIFS($K$1:N$1,"&lt;&gt;"))),0)</f>
        <v>0.12062256809338523</v>
      </c>
      <c r="O722">
        <f>IFERROR($J722/IF($A722&lt;COUNTIFS($K$1:O$1,"&lt;&gt;"),0,SUMIFS($J:$J,$B:$B,$B722,$A:$A,"&gt;="&amp;COUNTIFS($K$1:O$1,"&lt;&gt;"))),0)</f>
        <v>0.13716814159292037</v>
      </c>
      <c r="P722">
        <f>IFERROR($J722/IF($A722&lt;COUNTIFS($K$1:P$1,"&lt;&gt;"),0,SUMIFS($J:$J,$B:$B,$B722,$A:$A,"&gt;="&amp;COUNTIFS($K$1:P$1,"&lt;&gt;"))),0)</f>
        <v>0</v>
      </c>
      <c r="Q722">
        <f>IFERROR($J722/IF($A722&lt;COUNTIFS($K$1:Q$1,"&lt;&gt;"),0,SUMIFS($J:$J,$B:$B,$B722,$A:$A,"&gt;="&amp;COUNTIFS($K$1:Q$1,"&lt;&gt;"))),0)</f>
        <v>0</v>
      </c>
      <c r="R722">
        <f>IFERROR($J722/IF($A722&lt;COUNTIFS($K$1:R$1,"&lt;&gt;"),0,SUMIFS($J:$J,$B:$B,$B722,$A:$A,"&gt;="&amp;COUNTIFS($K$1:R$1,"&lt;&gt;"))),0)</f>
        <v>0</v>
      </c>
      <c r="S722">
        <f>IFERROR($J722/IF($A722&lt;COUNTIFS($K$1:S$1,"&lt;&gt;"),0,SUMIFS($J:$J,$B:$B,$B722,$A:$A,"&gt;="&amp;COUNTIFS($K$1:S$1,"&lt;&gt;"))),0)</f>
        <v>0</v>
      </c>
      <c r="T722">
        <f>IFERROR($J722/IF($A722&lt;COUNTIFS($K$1:T$1,"&lt;&gt;"),0,SUMIFS($J:$J,$B:$B,$B722,$A:$A,"&gt;="&amp;COUNTIFS($K$1:T$1,"&lt;&gt;"))),0)</f>
        <v>0</v>
      </c>
      <c r="U722">
        <f>IFERROR($J722/IF($A722&lt;COUNTIFS($K$1:U$1,"&lt;&gt;"),0,SUMIFS($J:$J,$B:$B,$B722,$A:$A,"&gt;="&amp;COUNTIFS($K$1:U$1,"&lt;&gt;"))),0)</f>
        <v>0</v>
      </c>
      <c r="V722">
        <f>IFERROR($J722/IF($A722&lt;COUNTIFS($K$1:V$1,"&lt;&gt;"),0,SUMIFS($J:$J,$B:$B,$B722,$A:$A,"&gt;="&amp;COUNTIFS($K$1:V$1,"&lt;&gt;"))),0)</f>
        <v>0</v>
      </c>
      <c r="W722">
        <f t="shared" si="266"/>
        <v>8.4931506849315067E-2</v>
      </c>
      <c r="X722">
        <f t="shared" si="246"/>
        <v>8.4931506849315067E-2</v>
      </c>
      <c r="Y722">
        <f t="shared" si="247"/>
        <v>8.4931506849315067E-2</v>
      </c>
      <c r="Z722">
        <f t="shared" si="248"/>
        <v>8.4931506849315067E-2</v>
      </c>
      <c r="AA722">
        <f t="shared" si="249"/>
        <v>8.4931506849315067E-2</v>
      </c>
      <c r="AB722">
        <f t="shared" si="250"/>
        <v>8.4931506849315067E-2</v>
      </c>
      <c r="AC722">
        <f t="shared" si="251"/>
        <v>0</v>
      </c>
      <c r="AD722">
        <f t="shared" si="252"/>
        <v>0</v>
      </c>
      <c r="AE722">
        <f t="shared" si="253"/>
        <v>0</v>
      </c>
      <c r="AF722">
        <f t="shared" si="254"/>
        <v>0</v>
      </c>
      <c r="AG722">
        <f t="shared" si="255"/>
        <v>0</v>
      </c>
      <c r="AH722">
        <f t="shared" si="256"/>
        <v>0</v>
      </c>
      <c r="AI722">
        <f t="shared" si="257"/>
        <v>0</v>
      </c>
      <c r="AJ722" s="2" t="str">
        <f t="shared" si="267"/>
        <v>545505</v>
      </c>
    </row>
    <row r="723" spans="1:36" x14ac:dyDescent="0.25">
      <c r="A723">
        <v>6</v>
      </c>
      <c r="B723" s="1">
        <v>45505</v>
      </c>
      <c r="C723" s="1">
        <f t="shared" si="258"/>
        <v>45689</v>
      </c>
      <c r="D723" s="1">
        <f t="shared" si="259"/>
        <v>45519</v>
      </c>
      <c r="E723" s="1">
        <f t="shared" si="260"/>
        <v>45689</v>
      </c>
      <c r="F723" s="1">
        <f t="shared" si="261"/>
        <v>45717</v>
      </c>
      <c r="G723" s="1">
        <f t="shared" si="262"/>
        <v>45884</v>
      </c>
      <c r="H723">
        <f t="shared" si="263"/>
        <v>365</v>
      </c>
      <c r="I723">
        <f t="shared" si="264"/>
        <v>28</v>
      </c>
      <c r="J723">
        <f t="shared" si="265"/>
        <v>7.6712328767123292E-2</v>
      </c>
      <c r="K723">
        <f>IFERROR($J723/IF($A723&lt;COUNTIFS($K$1:K$1,"&lt;&gt;"),0,SUMIFS($J:$J,$B:$B,$B723,$A:$A,"&gt;="&amp;COUNTIFS($K$1:K$1,"&lt;&gt;"))),0)</f>
        <v>8.0459770114942541E-2</v>
      </c>
      <c r="L723">
        <f>IFERROR($J723/IF($A723&lt;COUNTIFS($K$1:L$1,"&lt;&gt;"),0,SUMIFS($J:$J,$B:$B,$B723,$A:$A,"&gt;="&amp;COUNTIFS($K$1:L$1,"&lt;&gt;"))),0)</f>
        <v>8.8050314465408827E-2</v>
      </c>
      <c r="M723">
        <f>IFERROR($J723/IF($A723&lt;COUNTIFS($K$1:M$1,"&lt;&gt;"),0,SUMIFS($J:$J,$B:$B,$B723,$A:$A,"&gt;="&amp;COUNTIFS($K$1:M$1,"&lt;&gt;"))),0)</f>
        <v>9.7560975609756115E-2</v>
      </c>
      <c r="N723">
        <f>IFERROR($J723/IF($A723&lt;COUNTIFS($K$1:N$1,"&lt;&gt;"),0,SUMIFS($J:$J,$B:$B,$B723,$A:$A,"&gt;="&amp;COUNTIFS($K$1:N$1,"&lt;&gt;"))),0)</f>
        <v>0.10894941634241248</v>
      </c>
      <c r="O723">
        <f>IFERROR($J723/IF($A723&lt;COUNTIFS($K$1:O$1,"&lt;&gt;"),0,SUMIFS($J:$J,$B:$B,$B723,$A:$A,"&gt;="&amp;COUNTIFS($K$1:O$1,"&lt;&gt;"))),0)</f>
        <v>0.12389380530973454</v>
      </c>
      <c r="P723">
        <f>IFERROR($J723/IF($A723&lt;COUNTIFS($K$1:P$1,"&lt;&gt;"),0,SUMIFS($J:$J,$B:$B,$B723,$A:$A,"&gt;="&amp;COUNTIFS($K$1:P$1,"&lt;&gt;"))),0)</f>
        <v>0.14358974358974361</v>
      </c>
      <c r="Q723">
        <f>IFERROR($J723/IF($A723&lt;COUNTIFS($K$1:Q$1,"&lt;&gt;"),0,SUMIFS($J:$J,$B:$B,$B723,$A:$A,"&gt;="&amp;COUNTIFS($K$1:Q$1,"&lt;&gt;"))),0)</f>
        <v>0</v>
      </c>
      <c r="R723">
        <f>IFERROR($J723/IF($A723&lt;COUNTIFS($K$1:R$1,"&lt;&gt;"),0,SUMIFS($J:$J,$B:$B,$B723,$A:$A,"&gt;="&amp;COUNTIFS($K$1:R$1,"&lt;&gt;"))),0)</f>
        <v>0</v>
      </c>
      <c r="S723">
        <f>IFERROR($J723/IF($A723&lt;COUNTIFS($K$1:S$1,"&lt;&gt;"),0,SUMIFS($J:$J,$B:$B,$B723,$A:$A,"&gt;="&amp;COUNTIFS($K$1:S$1,"&lt;&gt;"))),0)</f>
        <v>0</v>
      </c>
      <c r="T723">
        <f>IFERROR($J723/IF($A723&lt;COUNTIFS($K$1:T$1,"&lt;&gt;"),0,SUMIFS($J:$J,$B:$B,$B723,$A:$A,"&gt;="&amp;COUNTIFS($K$1:T$1,"&lt;&gt;"))),0)</f>
        <v>0</v>
      </c>
      <c r="U723">
        <f>IFERROR($J723/IF($A723&lt;COUNTIFS($K$1:U$1,"&lt;&gt;"),0,SUMIFS($J:$J,$B:$B,$B723,$A:$A,"&gt;="&amp;COUNTIFS($K$1:U$1,"&lt;&gt;"))),0)</f>
        <v>0</v>
      </c>
      <c r="V723">
        <f>IFERROR($J723/IF($A723&lt;COUNTIFS($K$1:V$1,"&lt;&gt;"),0,SUMIFS($J:$J,$B:$B,$B723,$A:$A,"&gt;="&amp;COUNTIFS($K$1:V$1,"&lt;&gt;"))),0)</f>
        <v>0</v>
      </c>
      <c r="W723">
        <f t="shared" si="266"/>
        <v>7.6712328767123292E-2</v>
      </c>
      <c r="X723">
        <f t="shared" si="246"/>
        <v>7.6712328767123292E-2</v>
      </c>
      <c r="Y723">
        <f t="shared" si="247"/>
        <v>7.6712328767123292E-2</v>
      </c>
      <c r="Z723">
        <f t="shared" si="248"/>
        <v>7.6712328767123292E-2</v>
      </c>
      <c r="AA723">
        <f t="shared" si="249"/>
        <v>7.6712328767123292E-2</v>
      </c>
      <c r="AB723">
        <f t="shared" si="250"/>
        <v>7.6712328767123292E-2</v>
      </c>
      <c r="AC723">
        <f t="shared" si="251"/>
        <v>7.6712328767123292E-2</v>
      </c>
      <c r="AD723">
        <f t="shared" si="252"/>
        <v>0</v>
      </c>
      <c r="AE723">
        <f t="shared" si="253"/>
        <v>0</v>
      </c>
      <c r="AF723">
        <f t="shared" si="254"/>
        <v>0</v>
      </c>
      <c r="AG723">
        <f t="shared" si="255"/>
        <v>0</v>
      </c>
      <c r="AH723">
        <f t="shared" si="256"/>
        <v>0</v>
      </c>
      <c r="AI723">
        <f t="shared" si="257"/>
        <v>0</v>
      </c>
      <c r="AJ723" s="2" t="str">
        <f t="shared" si="267"/>
        <v>645505</v>
      </c>
    </row>
    <row r="724" spans="1:36" x14ac:dyDescent="0.25">
      <c r="A724">
        <v>7</v>
      </c>
      <c r="B724" s="1">
        <v>45505</v>
      </c>
      <c r="C724" s="1">
        <f t="shared" si="258"/>
        <v>45717</v>
      </c>
      <c r="D724" s="1">
        <f t="shared" si="259"/>
        <v>45519</v>
      </c>
      <c r="E724" s="1">
        <f t="shared" si="260"/>
        <v>45717</v>
      </c>
      <c r="F724" s="1">
        <f t="shared" si="261"/>
        <v>45748</v>
      </c>
      <c r="G724" s="1">
        <f t="shared" si="262"/>
        <v>45884</v>
      </c>
      <c r="H724">
        <f t="shared" si="263"/>
        <v>365</v>
      </c>
      <c r="I724">
        <f t="shared" si="264"/>
        <v>31</v>
      </c>
      <c r="J724">
        <f t="shared" si="265"/>
        <v>8.4931506849315067E-2</v>
      </c>
      <c r="K724">
        <f>IFERROR($J724/IF($A724&lt;COUNTIFS($K$1:K$1,"&lt;&gt;"),0,SUMIFS($J:$J,$B:$B,$B724,$A:$A,"&gt;="&amp;COUNTIFS($K$1:K$1,"&lt;&gt;"))),0)</f>
        <v>8.9080459770114959E-2</v>
      </c>
      <c r="L724">
        <f>IFERROR($J724/IF($A724&lt;COUNTIFS($K$1:L$1,"&lt;&gt;"),0,SUMIFS($J:$J,$B:$B,$B724,$A:$A,"&gt;="&amp;COUNTIFS($K$1:L$1,"&lt;&gt;"))),0)</f>
        <v>9.7484276729559768E-2</v>
      </c>
      <c r="M724">
        <f>IFERROR($J724/IF($A724&lt;COUNTIFS($K$1:M$1,"&lt;&gt;"),0,SUMIFS($J:$J,$B:$B,$B724,$A:$A,"&gt;="&amp;COUNTIFS($K$1:M$1,"&lt;&gt;"))),0)</f>
        <v>0.10801393728222998</v>
      </c>
      <c r="N724">
        <f>IFERROR($J724/IF($A724&lt;COUNTIFS($K$1:N$1,"&lt;&gt;"),0,SUMIFS($J:$J,$B:$B,$B724,$A:$A,"&gt;="&amp;COUNTIFS($K$1:N$1,"&lt;&gt;"))),0)</f>
        <v>0.12062256809338523</v>
      </c>
      <c r="O724">
        <f>IFERROR($J724/IF($A724&lt;COUNTIFS($K$1:O$1,"&lt;&gt;"),0,SUMIFS($J:$J,$B:$B,$B724,$A:$A,"&gt;="&amp;COUNTIFS($K$1:O$1,"&lt;&gt;"))),0)</f>
        <v>0.13716814159292037</v>
      </c>
      <c r="P724">
        <f>IFERROR($J724/IF($A724&lt;COUNTIFS($K$1:P$1,"&lt;&gt;"),0,SUMIFS($J:$J,$B:$B,$B724,$A:$A,"&gt;="&amp;COUNTIFS($K$1:P$1,"&lt;&gt;"))),0)</f>
        <v>0.15897435897435899</v>
      </c>
      <c r="Q724">
        <f>IFERROR($J724/IF($A724&lt;COUNTIFS($K$1:Q$1,"&lt;&gt;"),0,SUMIFS($J:$J,$B:$B,$B724,$A:$A,"&gt;="&amp;COUNTIFS($K$1:Q$1,"&lt;&gt;"))),0)</f>
        <v>0.18562874251497008</v>
      </c>
      <c r="R724">
        <f>IFERROR($J724/IF($A724&lt;COUNTIFS($K$1:R$1,"&lt;&gt;"),0,SUMIFS($J:$J,$B:$B,$B724,$A:$A,"&gt;="&amp;COUNTIFS($K$1:R$1,"&lt;&gt;"))),0)</f>
        <v>0</v>
      </c>
      <c r="S724">
        <f>IFERROR($J724/IF($A724&lt;COUNTIFS($K$1:S$1,"&lt;&gt;"),0,SUMIFS($J:$J,$B:$B,$B724,$A:$A,"&gt;="&amp;COUNTIFS($K$1:S$1,"&lt;&gt;"))),0)</f>
        <v>0</v>
      </c>
      <c r="T724">
        <f>IFERROR($J724/IF($A724&lt;COUNTIFS($K$1:T$1,"&lt;&gt;"),0,SUMIFS($J:$J,$B:$B,$B724,$A:$A,"&gt;="&amp;COUNTIFS($K$1:T$1,"&lt;&gt;"))),0)</f>
        <v>0</v>
      </c>
      <c r="U724">
        <f>IFERROR($J724/IF($A724&lt;COUNTIFS($K$1:U$1,"&lt;&gt;"),0,SUMIFS($J:$J,$B:$B,$B724,$A:$A,"&gt;="&amp;COUNTIFS($K$1:U$1,"&lt;&gt;"))),0)</f>
        <v>0</v>
      </c>
      <c r="V724">
        <f>IFERROR($J724/IF($A724&lt;COUNTIFS($K$1:V$1,"&lt;&gt;"),0,SUMIFS($J:$J,$B:$B,$B724,$A:$A,"&gt;="&amp;COUNTIFS($K$1:V$1,"&lt;&gt;"))),0)</f>
        <v>0</v>
      </c>
      <c r="W724">
        <f t="shared" si="266"/>
        <v>8.4931506849315067E-2</v>
      </c>
      <c r="X724">
        <f t="shared" si="246"/>
        <v>8.4931506849315067E-2</v>
      </c>
      <c r="Y724">
        <f t="shared" si="247"/>
        <v>8.4931506849315067E-2</v>
      </c>
      <c r="Z724">
        <f t="shared" si="248"/>
        <v>8.4931506849315067E-2</v>
      </c>
      <c r="AA724">
        <f t="shared" si="249"/>
        <v>8.4931506849315067E-2</v>
      </c>
      <c r="AB724">
        <f t="shared" si="250"/>
        <v>8.4931506849315067E-2</v>
      </c>
      <c r="AC724">
        <f t="shared" si="251"/>
        <v>8.4931506849315067E-2</v>
      </c>
      <c r="AD724">
        <f t="shared" si="252"/>
        <v>8.4931506849315067E-2</v>
      </c>
      <c r="AE724">
        <f t="shared" si="253"/>
        <v>0</v>
      </c>
      <c r="AF724">
        <f t="shared" si="254"/>
        <v>0</v>
      </c>
      <c r="AG724">
        <f t="shared" si="255"/>
        <v>0</v>
      </c>
      <c r="AH724">
        <f t="shared" si="256"/>
        <v>0</v>
      </c>
      <c r="AI724">
        <f t="shared" si="257"/>
        <v>0</v>
      </c>
      <c r="AJ724" s="2" t="str">
        <f t="shared" si="267"/>
        <v>745505</v>
      </c>
    </row>
    <row r="725" spans="1:36" x14ac:dyDescent="0.25">
      <c r="A725">
        <v>8</v>
      </c>
      <c r="B725" s="1">
        <v>45505</v>
      </c>
      <c r="C725" s="1">
        <f t="shared" si="258"/>
        <v>45748</v>
      </c>
      <c r="D725" s="1">
        <f t="shared" si="259"/>
        <v>45519</v>
      </c>
      <c r="E725" s="1">
        <f t="shared" si="260"/>
        <v>45748</v>
      </c>
      <c r="F725" s="1">
        <f t="shared" si="261"/>
        <v>45778</v>
      </c>
      <c r="G725" s="1">
        <f t="shared" si="262"/>
        <v>45884</v>
      </c>
      <c r="H725">
        <f t="shared" si="263"/>
        <v>365</v>
      </c>
      <c r="I725">
        <f t="shared" si="264"/>
        <v>30</v>
      </c>
      <c r="J725">
        <f t="shared" si="265"/>
        <v>8.2191780821917804E-2</v>
      </c>
      <c r="K725">
        <f>IFERROR($J725/IF($A725&lt;COUNTIFS($K$1:K$1,"&lt;&gt;"),0,SUMIFS($J:$J,$B:$B,$B725,$A:$A,"&gt;="&amp;COUNTIFS($K$1:K$1,"&lt;&gt;"))),0)</f>
        <v>8.6206896551724144E-2</v>
      </c>
      <c r="L725">
        <f>IFERROR($J725/IF($A725&lt;COUNTIFS($K$1:L$1,"&lt;&gt;"),0,SUMIFS($J:$J,$B:$B,$B725,$A:$A,"&gt;="&amp;COUNTIFS($K$1:L$1,"&lt;&gt;"))),0)</f>
        <v>9.4339622641509441E-2</v>
      </c>
      <c r="M725">
        <f>IFERROR($J725/IF($A725&lt;COUNTIFS($K$1:M$1,"&lt;&gt;"),0,SUMIFS($J:$J,$B:$B,$B725,$A:$A,"&gt;="&amp;COUNTIFS($K$1:M$1,"&lt;&gt;"))),0)</f>
        <v>0.10452961672473869</v>
      </c>
      <c r="N725">
        <f>IFERROR($J725/IF($A725&lt;COUNTIFS($K$1:N$1,"&lt;&gt;"),0,SUMIFS($J:$J,$B:$B,$B725,$A:$A,"&gt;="&amp;COUNTIFS($K$1:N$1,"&lt;&gt;"))),0)</f>
        <v>0.11673151750972764</v>
      </c>
      <c r="O725">
        <f>IFERROR($J725/IF($A725&lt;COUNTIFS($K$1:O$1,"&lt;&gt;"),0,SUMIFS($J:$J,$B:$B,$B725,$A:$A,"&gt;="&amp;COUNTIFS($K$1:O$1,"&lt;&gt;"))),0)</f>
        <v>0.13274336283185842</v>
      </c>
      <c r="P725">
        <f>IFERROR($J725/IF($A725&lt;COUNTIFS($K$1:P$1,"&lt;&gt;"),0,SUMIFS($J:$J,$B:$B,$B725,$A:$A,"&gt;="&amp;COUNTIFS($K$1:P$1,"&lt;&gt;"))),0)</f>
        <v>0.15384615384615385</v>
      </c>
      <c r="Q725">
        <f>IFERROR($J725/IF($A725&lt;COUNTIFS($K$1:Q$1,"&lt;&gt;"),0,SUMIFS($J:$J,$B:$B,$B725,$A:$A,"&gt;="&amp;COUNTIFS($K$1:Q$1,"&lt;&gt;"))),0)</f>
        <v>0.17964071856287425</v>
      </c>
      <c r="R725">
        <f>IFERROR($J725/IF($A725&lt;COUNTIFS($K$1:R$1,"&lt;&gt;"),0,SUMIFS($J:$J,$B:$B,$B725,$A:$A,"&gt;="&amp;COUNTIFS($K$1:R$1,"&lt;&gt;"))),0)</f>
        <v>0.22058823529411764</v>
      </c>
      <c r="S725">
        <f>IFERROR($J725/IF($A725&lt;COUNTIFS($K$1:S$1,"&lt;&gt;"),0,SUMIFS($J:$J,$B:$B,$B725,$A:$A,"&gt;="&amp;COUNTIFS($K$1:S$1,"&lt;&gt;"))),0)</f>
        <v>0</v>
      </c>
      <c r="T725">
        <f>IFERROR($J725/IF($A725&lt;COUNTIFS($K$1:T$1,"&lt;&gt;"),0,SUMIFS($J:$J,$B:$B,$B725,$A:$A,"&gt;="&amp;COUNTIFS($K$1:T$1,"&lt;&gt;"))),0)</f>
        <v>0</v>
      </c>
      <c r="U725">
        <f>IFERROR($J725/IF($A725&lt;COUNTIFS($K$1:U$1,"&lt;&gt;"),0,SUMIFS($J:$J,$B:$B,$B725,$A:$A,"&gt;="&amp;COUNTIFS($K$1:U$1,"&lt;&gt;"))),0)</f>
        <v>0</v>
      </c>
      <c r="V725">
        <f>IFERROR($J725/IF($A725&lt;COUNTIFS($K$1:V$1,"&lt;&gt;"),0,SUMIFS($J:$J,$B:$B,$B725,$A:$A,"&gt;="&amp;COUNTIFS($K$1:V$1,"&lt;&gt;"))),0)</f>
        <v>0</v>
      </c>
      <c r="W725">
        <f t="shared" si="266"/>
        <v>8.2191780821917804E-2</v>
      </c>
      <c r="X725">
        <f t="shared" si="246"/>
        <v>8.2191780821917804E-2</v>
      </c>
      <c r="Y725">
        <f t="shared" si="247"/>
        <v>8.2191780821917804E-2</v>
      </c>
      <c r="Z725">
        <f t="shared" si="248"/>
        <v>8.2191780821917804E-2</v>
      </c>
      <c r="AA725">
        <f t="shared" si="249"/>
        <v>8.2191780821917804E-2</v>
      </c>
      <c r="AB725">
        <f t="shared" si="250"/>
        <v>8.2191780821917804E-2</v>
      </c>
      <c r="AC725">
        <f t="shared" si="251"/>
        <v>8.2191780821917804E-2</v>
      </c>
      <c r="AD725">
        <f t="shared" si="252"/>
        <v>8.2191780821917804E-2</v>
      </c>
      <c r="AE725">
        <f t="shared" si="253"/>
        <v>8.2191780821917804E-2</v>
      </c>
      <c r="AF725">
        <f t="shared" si="254"/>
        <v>0</v>
      </c>
      <c r="AG725">
        <f t="shared" si="255"/>
        <v>0</v>
      </c>
      <c r="AH725">
        <f t="shared" si="256"/>
        <v>0</v>
      </c>
      <c r="AI725">
        <f t="shared" si="257"/>
        <v>0</v>
      </c>
      <c r="AJ725" s="2" t="str">
        <f t="shared" si="267"/>
        <v>845505</v>
      </c>
    </row>
    <row r="726" spans="1:36" x14ac:dyDescent="0.25">
      <c r="A726">
        <v>9</v>
      </c>
      <c r="B726" s="1">
        <v>45505</v>
      </c>
      <c r="C726" s="1">
        <f t="shared" si="258"/>
        <v>45778</v>
      </c>
      <c r="D726" s="1">
        <f t="shared" si="259"/>
        <v>45519</v>
      </c>
      <c r="E726" s="1">
        <f t="shared" si="260"/>
        <v>45778</v>
      </c>
      <c r="F726" s="1">
        <f t="shared" si="261"/>
        <v>45809</v>
      </c>
      <c r="G726" s="1">
        <f t="shared" si="262"/>
        <v>45884</v>
      </c>
      <c r="H726">
        <f t="shared" si="263"/>
        <v>365</v>
      </c>
      <c r="I726">
        <f t="shared" si="264"/>
        <v>31</v>
      </c>
      <c r="J726">
        <f t="shared" si="265"/>
        <v>8.4931506849315067E-2</v>
      </c>
      <c r="K726">
        <f>IFERROR($J726/IF($A726&lt;COUNTIFS($K$1:K$1,"&lt;&gt;"),0,SUMIFS($J:$J,$B:$B,$B726,$A:$A,"&gt;="&amp;COUNTIFS($K$1:K$1,"&lt;&gt;"))),0)</f>
        <v>8.9080459770114959E-2</v>
      </c>
      <c r="L726">
        <f>IFERROR($J726/IF($A726&lt;COUNTIFS($K$1:L$1,"&lt;&gt;"),0,SUMIFS($J:$J,$B:$B,$B726,$A:$A,"&gt;="&amp;COUNTIFS($K$1:L$1,"&lt;&gt;"))),0)</f>
        <v>9.7484276729559768E-2</v>
      </c>
      <c r="M726">
        <f>IFERROR($J726/IF($A726&lt;COUNTIFS($K$1:M$1,"&lt;&gt;"),0,SUMIFS($J:$J,$B:$B,$B726,$A:$A,"&gt;="&amp;COUNTIFS($K$1:M$1,"&lt;&gt;"))),0)</f>
        <v>0.10801393728222998</v>
      </c>
      <c r="N726">
        <f>IFERROR($J726/IF($A726&lt;COUNTIFS($K$1:N$1,"&lt;&gt;"),0,SUMIFS($J:$J,$B:$B,$B726,$A:$A,"&gt;="&amp;COUNTIFS($K$1:N$1,"&lt;&gt;"))),0)</f>
        <v>0.12062256809338523</v>
      </c>
      <c r="O726">
        <f>IFERROR($J726/IF($A726&lt;COUNTIFS($K$1:O$1,"&lt;&gt;"),0,SUMIFS($J:$J,$B:$B,$B726,$A:$A,"&gt;="&amp;COUNTIFS($K$1:O$1,"&lt;&gt;"))),0)</f>
        <v>0.13716814159292037</v>
      </c>
      <c r="P726">
        <f>IFERROR($J726/IF($A726&lt;COUNTIFS($K$1:P$1,"&lt;&gt;"),0,SUMIFS($J:$J,$B:$B,$B726,$A:$A,"&gt;="&amp;COUNTIFS($K$1:P$1,"&lt;&gt;"))),0)</f>
        <v>0.15897435897435899</v>
      </c>
      <c r="Q726">
        <f>IFERROR($J726/IF($A726&lt;COUNTIFS($K$1:Q$1,"&lt;&gt;"),0,SUMIFS($J:$J,$B:$B,$B726,$A:$A,"&gt;="&amp;COUNTIFS($K$1:Q$1,"&lt;&gt;"))),0)</f>
        <v>0.18562874251497008</v>
      </c>
      <c r="R726">
        <f>IFERROR($J726/IF($A726&lt;COUNTIFS($K$1:R$1,"&lt;&gt;"),0,SUMIFS($J:$J,$B:$B,$B726,$A:$A,"&gt;="&amp;COUNTIFS($K$1:R$1,"&lt;&gt;"))),0)</f>
        <v>0.22794117647058826</v>
      </c>
      <c r="S726">
        <f>IFERROR($J726/IF($A726&lt;COUNTIFS($K$1:S$1,"&lt;&gt;"),0,SUMIFS($J:$J,$B:$B,$B726,$A:$A,"&gt;="&amp;COUNTIFS($K$1:S$1,"&lt;&gt;"))),0)</f>
        <v>0.29245283018867929</v>
      </c>
      <c r="T726">
        <f>IFERROR($J726/IF($A726&lt;COUNTIFS($K$1:T$1,"&lt;&gt;"),0,SUMIFS($J:$J,$B:$B,$B726,$A:$A,"&gt;="&amp;COUNTIFS($K$1:T$1,"&lt;&gt;"))),0)</f>
        <v>0</v>
      </c>
      <c r="U726">
        <f>IFERROR($J726/IF($A726&lt;COUNTIFS($K$1:U$1,"&lt;&gt;"),0,SUMIFS($J:$J,$B:$B,$B726,$A:$A,"&gt;="&amp;COUNTIFS($K$1:U$1,"&lt;&gt;"))),0)</f>
        <v>0</v>
      </c>
      <c r="V726">
        <f>IFERROR($J726/IF($A726&lt;COUNTIFS($K$1:V$1,"&lt;&gt;"),0,SUMIFS($J:$J,$B:$B,$B726,$A:$A,"&gt;="&amp;COUNTIFS($K$1:V$1,"&lt;&gt;"))),0)</f>
        <v>0</v>
      </c>
      <c r="W726">
        <f t="shared" si="266"/>
        <v>8.4931506849315067E-2</v>
      </c>
      <c r="X726">
        <f t="shared" si="246"/>
        <v>8.4931506849315067E-2</v>
      </c>
      <c r="Y726">
        <f t="shared" si="247"/>
        <v>8.4931506849315067E-2</v>
      </c>
      <c r="Z726">
        <f t="shared" si="248"/>
        <v>8.4931506849315067E-2</v>
      </c>
      <c r="AA726">
        <f t="shared" si="249"/>
        <v>8.4931506849315067E-2</v>
      </c>
      <c r="AB726">
        <f t="shared" si="250"/>
        <v>8.4931506849315067E-2</v>
      </c>
      <c r="AC726">
        <f t="shared" si="251"/>
        <v>8.4931506849315067E-2</v>
      </c>
      <c r="AD726">
        <f t="shared" si="252"/>
        <v>8.4931506849315067E-2</v>
      </c>
      <c r="AE726">
        <f t="shared" si="253"/>
        <v>8.4931506849315067E-2</v>
      </c>
      <c r="AF726">
        <f t="shared" si="254"/>
        <v>8.4931506849315067E-2</v>
      </c>
      <c r="AG726">
        <f t="shared" si="255"/>
        <v>0</v>
      </c>
      <c r="AH726">
        <f t="shared" si="256"/>
        <v>0</v>
      </c>
      <c r="AI726">
        <f t="shared" si="257"/>
        <v>0</v>
      </c>
      <c r="AJ726" s="2" t="str">
        <f t="shared" si="267"/>
        <v>945505</v>
      </c>
    </row>
    <row r="727" spans="1:36" x14ac:dyDescent="0.25">
      <c r="A727">
        <v>10</v>
      </c>
      <c r="B727" s="1">
        <v>45505</v>
      </c>
      <c r="C727" s="1">
        <f t="shared" si="258"/>
        <v>45809</v>
      </c>
      <c r="D727" s="1">
        <f t="shared" si="259"/>
        <v>45519</v>
      </c>
      <c r="E727" s="1">
        <f t="shared" si="260"/>
        <v>45809</v>
      </c>
      <c r="F727" s="1">
        <f t="shared" si="261"/>
        <v>45839</v>
      </c>
      <c r="G727" s="1">
        <f t="shared" si="262"/>
        <v>45884</v>
      </c>
      <c r="H727">
        <f t="shared" si="263"/>
        <v>365</v>
      </c>
      <c r="I727">
        <f t="shared" si="264"/>
        <v>30</v>
      </c>
      <c r="J727">
        <f t="shared" si="265"/>
        <v>8.2191780821917804E-2</v>
      </c>
      <c r="K727">
        <f>IFERROR($J727/IF($A727&lt;COUNTIFS($K$1:K$1,"&lt;&gt;"),0,SUMIFS($J:$J,$B:$B,$B727,$A:$A,"&gt;="&amp;COUNTIFS($K$1:K$1,"&lt;&gt;"))),0)</f>
        <v>8.6206896551724144E-2</v>
      </c>
      <c r="L727">
        <f>IFERROR($J727/IF($A727&lt;COUNTIFS($K$1:L$1,"&lt;&gt;"),0,SUMIFS($J:$J,$B:$B,$B727,$A:$A,"&gt;="&amp;COUNTIFS($K$1:L$1,"&lt;&gt;"))),0)</f>
        <v>9.4339622641509441E-2</v>
      </c>
      <c r="M727">
        <f>IFERROR($J727/IF($A727&lt;COUNTIFS($K$1:M$1,"&lt;&gt;"),0,SUMIFS($J:$J,$B:$B,$B727,$A:$A,"&gt;="&amp;COUNTIFS($K$1:M$1,"&lt;&gt;"))),0)</f>
        <v>0.10452961672473869</v>
      </c>
      <c r="N727">
        <f>IFERROR($J727/IF($A727&lt;COUNTIFS($K$1:N$1,"&lt;&gt;"),0,SUMIFS($J:$J,$B:$B,$B727,$A:$A,"&gt;="&amp;COUNTIFS($K$1:N$1,"&lt;&gt;"))),0)</f>
        <v>0.11673151750972764</v>
      </c>
      <c r="O727">
        <f>IFERROR($J727/IF($A727&lt;COUNTIFS($K$1:O$1,"&lt;&gt;"),0,SUMIFS($J:$J,$B:$B,$B727,$A:$A,"&gt;="&amp;COUNTIFS($K$1:O$1,"&lt;&gt;"))),0)</f>
        <v>0.13274336283185842</v>
      </c>
      <c r="P727">
        <f>IFERROR($J727/IF($A727&lt;COUNTIFS($K$1:P$1,"&lt;&gt;"),0,SUMIFS($J:$J,$B:$B,$B727,$A:$A,"&gt;="&amp;COUNTIFS($K$1:P$1,"&lt;&gt;"))),0)</f>
        <v>0.15384615384615385</v>
      </c>
      <c r="Q727">
        <f>IFERROR($J727/IF($A727&lt;COUNTIFS($K$1:Q$1,"&lt;&gt;"),0,SUMIFS($J:$J,$B:$B,$B727,$A:$A,"&gt;="&amp;COUNTIFS($K$1:Q$1,"&lt;&gt;"))),0)</f>
        <v>0.17964071856287425</v>
      </c>
      <c r="R727">
        <f>IFERROR($J727/IF($A727&lt;COUNTIFS($K$1:R$1,"&lt;&gt;"),0,SUMIFS($J:$J,$B:$B,$B727,$A:$A,"&gt;="&amp;COUNTIFS($K$1:R$1,"&lt;&gt;"))),0)</f>
        <v>0.22058823529411764</v>
      </c>
      <c r="S727">
        <f>IFERROR($J727/IF($A727&lt;COUNTIFS($K$1:S$1,"&lt;&gt;"),0,SUMIFS($J:$J,$B:$B,$B727,$A:$A,"&gt;="&amp;COUNTIFS($K$1:S$1,"&lt;&gt;"))),0)</f>
        <v>0.28301886792452829</v>
      </c>
      <c r="T727">
        <f>IFERROR($J727/IF($A727&lt;COUNTIFS($K$1:T$1,"&lt;&gt;"),0,SUMIFS($J:$J,$B:$B,$B727,$A:$A,"&gt;="&amp;COUNTIFS($K$1:T$1,"&lt;&gt;"))),0)</f>
        <v>0.4</v>
      </c>
      <c r="U727">
        <f>IFERROR($J727/IF($A727&lt;COUNTIFS($K$1:U$1,"&lt;&gt;"),0,SUMIFS($J:$J,$B:$B,$B727,$A:$A,"&gt;="&amp;COUNTIFS($K$1:U$1,"&lt;&gt;"))),0)</f>
        <v>0</v>
      </c>
      <c r="V727">
        <f>IFERROR($J727/IF($A727&lt;COUNTIFS($K$1:V$1,"&lt;&gt;"),0,SUMIFS($J:$J,$B:$B,$B727,$A:$A,"&gt;="&amp;COUNTIFS($K$1:V$1,"&lt;&gt;"))),0)</f>
        <v>0</v>
      </c>
      <c r="W727">
        <f t="shared" si="266"/>
        <v>8.2191780821917804E-2</v>
      </c>
      <c r="X727">
        <f t="shared" si="246"/>
        <v>8.2191780821917804E-2</v>
      </c>
      <c r="Y727">
        <f t="shared" si="247"/>
        <v>8.2191780821917804E-2</v>
      </c>
      <c r="Z727">
        <f t="shared" si="248"/>
        <v>8.2191780821917804E-2</v>
      </c>
      <c r="AA727">
        <f t="shared" si="249"/>
        <v>8.2191780821917804E-2</v>
      </c>
      <c r="AB727">
        <f t="shared" si="250"/>
        <v>8.2191780821917804E-2</v>
      </c>
      <c r="AC727">
        <f t="shared" si="251"/>
        <v>8.2191780821917804E-2</v>
      </c>
      <c r="AD727">
        <f t="shared" si="252"/>
        <v>8.2191780821917804E-2</v>
      </c>
      <c r="AE727">
        <f t="shared" si="253"/>
        <v>8.2191780821917804E-2</v>
      </c>
      <c r="AF727">
        <f t="shared" si="254"/>
        <v>8.2191780821917804E-2</v>
      </c>
      <c r="AG727">
        <f t="shared" si="255"/>
        <v>8.2191780821917804E-2</v>
      </c>
      <c r="AH727">
        <f t="shared" si="256"/>
        <v>0</v>
      </c>
      <c r="AI727">
        <f t="shared" si="257"/>
        <v>0</v>
      </c>
      <c r="AJ727" s="2" t="str">
        <f t="shared" si="267"/>
        <v>1045505</v>
      </c>
    </row>
    <row r="728" spans="1:36" x14ac:dyDescent="0.25">
      <c r="A728">
        <v>11</v>
      </c>
      <c r="B728" s="1">
        <v>45505</v>
      </c>
      <c r="C728" s="1">
        <f t="shared" si="258"/>
        <v>45839</v>
      </c>
      <c r="D728" s="1">
        <f t="shared" si="259"/>
        <v>45519</v>
      </c>
      <c r="E728" s="1">
        <f t="shared" si="260"/>
        <v>45839</v>
      </c>
      <c r="F728" s="1">
        <f t="shared" si="261"/>
        <v>45870</v>
      </c>
      <c r="G728" s="1">
        <f t="shared" si="262"/>
        <v>45884</v>
      </c>
      <c r="H728">
        <f t="shared" si="263"/>
        <v>365</v>
      </c>
      <c r="I728">
        <f t="shared" si="264"/>
        <v>31</v>
      </c>
      <c r="J728">
        <f t="shared" si="265"/>
        <v>8.4931506849315067E-2</v>
      </c>
      <c r="K728">
        <f>IFERROR($J728/IF($A728&lt;COUNTIFS($K$1:K$1,"&lt;&gt;"),0,SUMIFS($J:$J,$B:$B,$B728,$A:$A,"&gt;="&amp;COUNTIFS($K$1:K$1,"&lt;&gt;"))),0)</f>
        <v>8.9080459770114959E-2</v>
      </c>
      <c r="L728">
        <f>IFERROR($J728/IF($A728&lt;COUNTIFS($K$1:L$1,"&lt;&gt;"),0,SUMIFS($J:$J,$B:$B,$B728,$A:$A,"&gt;="&amp;COUNTIFS($K$1:L$1,"&lt;&gt;"))),0)</f>
        <v>9.7484276729559768E-2</v>
      </c>
      <c r="M728">
        <f>IFERROR($J728/IF($A728&lt;COUNTIFS($K$1:M$1,"&lt;&gt;"),0,SUMIFS($J:$J,$B:$B,$B728,$A:$A,"&gt;="&amp;COUNTIFS($K$1:M$1,"&lt;&gt;"))),0)</f>
        <v>0.10801393728222998</v>
      </c>
      <c r="N728">
        <f>IFERROR($J728/IF($A728&lt;COUNTIFS($K$1:N$1,"&lt;&gt;"),0,SUMIFS($J:$J,$B:$B,$B728,$A:$A,"&gt;="&amp;COUNTIFS($K$1:N$1,"&lt;&gt;"))),0)</f>
        <v>0.12062256809338523</v>
      </c>
      <c r="O728">
        <f>IFERROR($J728/IF($A728&lt;COUNTIFS($K$1:O$1,"&lt;&gt;"),0,SUMIFS($J:$J,$B:$B,$B728,$A:$A,"&gt;="&amp;COUNTIFS($K$1:O$1,"&lt;&gt;"))),0)</f>
        <v>0.13716814159292037</v>
      </c>
      <c r="P728">
        <f>IFERROR($J728/IF($A728&lt;COUNTIFS($K$1:P$1,"&lt;&gt;"),0,SUMIFS($J:$J,$B:$B,$B728,$A:$A,"&gt;="&amp;COUNTIFS($K$1:P$1,"&lt;&gt;"))),0)</f>
        <v>0.15897435897435899</v>
      </c>
      <c r="Q728">
        <f>IFERROR($J728/IF($A728&lt;COUNTIFS($K$1:Q$1,"&lt;&gt;"),0,SUMIFS($J:$J,$B:$B,$B728,$A:$A,"&gt;="&amp;COUNTIFS($K$1:Q$1,"&lt;&gt;"))),0)</f>
        <v>0.18562874251497008</v>
      </c>
      <c r="R728">
        <f>IFERROR($J728/IF($A728&lt;COUNTIFS($K$1:R$1,"&lt;&gt;"),0,SUMIFS($J:$J,$B:$B,$B728,$A:$A,"&gt;="&amp;COUNTIFS($K$1:R$1,"&lt;&gt;"))),0)</f>
        <v>0.22794117647058826</v>
      </c>
      <c r="S728">
        <f>IFERROR($J728/IF($A728&lt;COUNTIFS($K$1:S$1,"&lt;&gt;"),0,SUMIFS($J:$J,$B:$B,$B728,$A:$A,"&gt;="&amp;COUNTIFS($K$1:S$1,"&lt;&gt;"))),0)</f>
        <v>0.29245283018867929</v>
      </c>
      <c r="T728">
        <f>IFERROR($J728/IF($A728&lt;COUNTIFS($K$1:T$1,"&lt;&gt;"),0,SUMIFS($J:$J,$B:$B,$B728,$A:$A,"&gt;="&amp;COUNTIFS($K$1:T$1,"&lt;&gt;"))),0)</f>
        <v>0.41333333333333333</v>
      </c>
      <c r="U728">
        <f>IFERROR($J728/IF($A728&lt;COUNTIFS($K$1:U$1,"&lt;&gt;"),0,SUMIFS($J:$J,$B:$B,$B728,$A:$A,"&gt;="&amp;COUNTIFS($K$1:U$1,"&lt;&gt;"))),0)</f>
        <v>0.68888888888888888</v>
      </c>
      <c r="V728">
        <f>IFERROR($J728/IF($A728&lt;COUNTIFS($K$1:V$1,"&lt;&gt;"),0,SUMIFS($J:$J,$B:$B,$B728,$A:$A,"&gt;="&amp;COUNTIFS($K$1:V$1,"&lt;&gt;"))),0)</f>
        <v>0</v>
      </c>
      <c r="W728">
        <f t="shared" si="266"/>
        <v>8.4931506849315067E-2</v>
      </c>
      <c r="X728">
        <f t="shared" si="246"/>
        <v>8.4931506849315067E-2</v>
      </c>
      <c r="Y728">
        <f t="shared" si="247"/>
        <v>8.4931506849315067E-2</v>
      </c>
      <c r="Z728">
        <f t="shared" si="248"/>
        <v>8.4931506849315067E-2</v>
      </c>
      <c r="AA728">
        <f t="shared" si="249"/>
        <v>8.4931506849315067E-2</v>
      </c>
      <c r="AB728">
        <f t="shared" si="250"/>
        <v>8.4931506849315067E-2</v>
      </c>
      <c r="AC728">
        <f t="shared" si="251"/>
        <v>8.4931506849315067E-2</v>
      </c>
      <c r="AD728">
        <f t="shared" si="252"/>
        <v>8.4931506849315067E-2</v>
      </c>
      <c r="AE728">
        <f t="shared" si="253"/>
        <v>8.4931506849315067E-2</v>
      </c>
      <c r="AF728">
        <f t="shared" si="254"/>
        <v>8.4931506849315067E-2</v>
      </c>
      <c r="AG728">
        <f t="shared" si="255"/>
        <v>8.4931506849315067E-2</v>
      </c>
      <c r="AH728">
        <f t="shared" si="256"/>
        <v>8.4931506849315067E-2</v>
      </c>
      <c r="AI728">
        <f t="shared" si="257"/>
        <v>0</v>
      </c>
      <c r="AJ728" s="2" t="str">
        <f t="shared" si="267"/>
        <v>1145505</v>
      </c>
    </row>
    <row r="729" spans="1:36" x14ac:dyDescent="0.25">
      <c r="A729">
        <v>12</v>
      </c>
      <c r="B729" s="1">
        <v>45505</v>
      </c>
      <c r="C729" s="1">
        <f t="shared" si="258"/>
        <v>45870</v>
      </c>
      <c r="D729" s="1">
        <f t="shared" si="259"/>
        <v>45519</v>
      </c>
      <c r="E729" s="1">
        <f t="shared" si="260"/>
        <v>45870</v>
      </c>
      <c r="F729" s="1">
        <f t="shared" si="261"/>
        <v>45884</v>
      </c>
      <c r="G729" s="1">
        <f t="shared" si="262"/>
        <v>45884</v>
      </c>
      <c r="H729">
        <f t="shared" si="263"/>
        <v>365</v>
      </c>
      <c r="I729">
        <f t="shared" si="264"/>
        <v>14</v>
      </c>
      <c r="J729">
        <f t="shared" si="265"/>
        <v>3.8356164383561646E-2</v>
      </c>
      <c r="K729">
        <f>IFERROR($J729/IF($A729&lt;COUNTIFS($K$1:K$1,"&lt;&gt;"),0,SUMIFS($J:$J,$B:$B,$B729,$A:$A,"&gt;="&amp;COUNTIFS($K$1:K$1,"&lt;&gt;"))),0)</f>
        <v>4.0229885057471271E-2</v>
      </c>
      <c r="L729">
        <f>IFERROR($J729/IF($A729&lt;COUNTIFS($K$1:L$1,"&lt;&gt;"),0,SUMIFS($J:$J,$B:$B,$B729,$A:$A,"&gt;="&amp;COUNTIFS($K$1:L$1,"&lt;&gt;"))),0)</f>
        <v>4.4025157232704414E-2</v>
      </c>
      <c r="M729">
        <f>IFERROR($J729/IF($A729&lt;COUNTIFS($K$1:M$1,"&lt;&gt;"),0,SUMIFS($J:$J,$B:$B,$B729,$A:$A,"&gt;="&amp;COUNTIFS($K$1:M$1,"&lt;&gt;"))),0)</f>
        <v>4.8780487804878057E-2</v>
      </c>
      <c r="N729">
        <f>IFERROR($J729/IF($A729&lt;COUNTIFS($K$1:N$1,"&lt;&gt;"),0,SUMIFS($J:$J,$B:$B,$B729,$A:$A,"&gt;="&amp;COUNTIFS($K$1:N$1,"&lt;&gt;"))),0)</f>
        <v>5.447470817120624E-2</v>
      </c>
      <c r="O729">
        <f>IFERROR($J729/IF($A729&lt;COUNTIFS($K$1:O$1,"&lt;&gt;"),0,SUMIFS($J:$J,$B:$B,$B729,$A:$A,"&gt;="&amp;COUNTIFS($K$1:O$1,"&lt;&gt;"))),0)</f>
        <v>6.194690265486727E-2</v>
      </c>
      <c r="P729">
        <f>IFERROR($J729/IF($A729&lt;COUNTIFS($K$1:P$1,"&lt;&gt;"),0,SUMIFS($J:$J,$B:$B,$B729,$A:$A,"&gt;="&amp;COUNTIFS($K$1:P$1,"&lt;&gt;"))),0)</f>
        <v>7.1794871794871803E-2</v>
      </c>
      <c r="Q729">
        <f>IFERROR($J729/IF($A729&lt;COUNTIFS($K$1:Q$1,"&lt;&gt;"),0,SUMIFS($J:$J,$B:$B,$B729,$A:$A,"&gt;="&amp;COUNTIFS($K$1:Q$1,"&lt;&gt;"))),0)</f>
        <v>8.3832335329341326E-2</v>
      </c>
      <c r="R729">
        <f>IFERROR($J729/IF($A729&lt;COUNTIFS($K$1:R$1,"&lt;&gt;"),0,SUMIFS($J:$J,$B:$B,$B729,$A:$A,"&gt;="&amp;COUNTIFS($K$1:R$1,"&lt;&gt;"))),0)</f>
        <v>0.10294117647058824</v>
      </c>
      <c r="S729">
        <f>IFERROR($J729/IF($A729&lt;COUNTIFS($K$1:S$1,"&lt;&gt;"),0,SUMIFS($J:$J,$B:$B,$B729,$A:$A,"&gt;="&amp;COUNTIFS($K$1:S$1,"&lt;&gt;"))),0)</f>
        <v>0.13207547169811323</v>
      </c>
      <c r="T729">
        <f>IFERROR($J729/IF($A729&lt;COUNTIFS($K$1:T$1,"&lt;&gt;"),0,SUMIFS($J:$J,$B:$B,$B729,$A:$A,"&gt;="&amp;COUNTIFS($K$1:T$1,"&lt;&gt;"))),0)</f>
        <v>0.18666666666666668</v>
      </c>
      <c r="U729">
        <f>IFERROR($J729/IF($A729&lt;COUNTIFS($K$1:U$1,"&lt;&gt;"),0,SUMIFS($J:$J,$B:$B,$B729,$A:$A,"&gt;="&amp;COUNTIFS($K$1:U$1,"&lt;&gt;"))),0)</f>
        <v>0.31111111111111117</v>
      </c>
      <c r="V729">
        <f>IFERROR($J729/IF($A729&lt;COUNTIFS($K$1:V$1,"&lt;&gt;"),0,SUMIFS($J:$J,$B:$B,$B729,$A:$A,"&gt;="&amp;COUNTIFS($K$1:V$1,"&lt;&gt;"))),0)</f>
        <v>1</v>
      </c>
      <c r="W729">
        <f t="shared" si="266"/>
        <v>3.8356164383561646E-2</v>
      </c>
      <c r="X729">
        <f t="shared" si="246"/>
        <v>3.8356164383561646E-2</v>
      </c>
      <c r="Y729">
        <f t="shared" si="247"/>
        <v>3.8356164383561646E-2</v>
      </c>
      <c r="Z729">
        <f t="shared" si="248"/>
        <v>3.8356164383561646E-2</v>
      </c>
      <c r="AA729">
        <f t="shared" si="249"/>
        <v>3.8356164383561646E-2</v>
      </c>
      <c r="AB729">
        <f t="shared" si="250"/>
        <v>3.8356164383561646E-2</v>
      </c>
      <c r="AC729">
        <f t="shared" si="251"/>
        <v>3.8356164383561646E-2</v>
      </c>
      <c r="AD729">
        <f t="shared" si="252"/>
        <v>3.8356164383561646E-2</v>
      </c>
      <c r="AE729">
        <f t="shared" si="253"/>
        <v>3.8356164383561646E-2</v>
      </c>
      <c r="AF729">
        <f t="shared" si="254"/>
        <v>3.8356164383561646E-2</v>
      </c>
      <c r="AG729">
        <f t="shared" si="255"/>
        <v>3.8356164383561646E-2</v>
      </c>
      <c r="AH729">
        <f t="shared" si="256"/>
        <v>3.8356164383561646E-2</v>
      </c>
      <c r="AI729">
        <f t="shared" si="257"/>
        <v>3.8356164383561646E-2</v>
      </c>
      <c r="AJ729" s="2" t="str">
        <f t="shared" si="267"/>
        <v>1245505</v>
      </c>
    </row>
    <row r="730" spans="1:36" x14ac:dyDescent="0.25">
      <c r="A730">
        <v>0</v>
      </c>
      <c r="B730" s="1">
        <v>45536</v>
      </c>
      <c r="C730" s="1">
        <f t="shared" si="258"/>
        <v>45536</v>
      </c>
      <c r="D730" s="1">
        <f t="shared" si="259"/>
        <v>45550</v>
      </c>
      <c r="E730" s="1">
        <f t="shared" si="260"/>
        <v>45550</v>
      </c>
      <c r="F730" s="1">
        <f t="shared" si="261"/>
        <v>45566</v>
      </c>
      <c r="G730" s="1">
        <f t="shared" si="262"/>
        <v>45915</v>
      </c>
      <c r="H730">
        <f t="shared" si="263"/>
        <v>365</v>
      </c>
      <c r="I730">
        <f t="shared" si="264"/>
        <v>16</v>
      </c>
      <c r="J730">
        <f t="shared" si="265"/>
        <v>4.3835616438356165E-2</v>
      </c>
      <c r="K730">
        <f>IFERROR($J730/IF($A730&lt;COUNTIFS($K$1:K$1,"&lt;&gt;"),0,SUMIFS($J:$J,$B:$B,$B730,$A:$A,"&gt;="&amp;COUNTIFS($K$1:K$1,"&lt;&gt;"))),0)</f>
        <v>0</v>
      </c>
      <c r="L730">
        <f>IFERROR($J730/IF($A730&lt;COUNTIFS($K$1:L$1,"&lt;&gt;"),0,SUMIFS($J:$J,$B:$B,$B730,$A:$A,"&gt;="&amp;COUNTIFS($K$1:L$1,"&lt;&gt;"))),0)</f>
        <v>0</v>
      </c>
      <c r="M730">
        <f>IFERROR($J730/IF($A730&lt;COUNTIFS($K$1:M$1,"&lt;&gt;"),0,SUMIFS($J:$J,$B:$B,$B730,$A:$A,"&gt;="&amp;COUNTIFS($K$1:M$1,"&lt;&gt;"))),0)</f>
        <v>0</v>
      </c>
      <c r="N730">
        <f>IFERROR($J730/IF($A730&lt;COUNTIFS($K$1:N$1,"&lt;&gt;"),0,SUMIFS($J:$J,$B:$B,$B730,$A:$A,"&gt;="&amp;COUNTIFS($K$1:N$1,"&lt;&gt;"))),0)</f>
        <v>0</v>
      </c>
      <c r="O730">
        <f>IFERROR($J730/IF($A730&lt;COUNTIFS($K$1:O$1,"&lt;&gt;"),0,SUMIFS($J:$J,$B:$B,$B730,$A:$A,"&gt;="&amp;COUNTIFS($K$1:O$1,"&lt;&gt;"))),0)</f>
        <v>0</v>
      </c>
      <c r="P730">
        <f>IFERROR($J730/IF($A730&lt;COUNTIFS($K$1:P$1,"&lt;&gt;"),0,SUMIFS($J:$J,$B:$B,$B730,$A:$A,"&gt;="&amp;COUNTIFS($K$1:P$1,"&lt;&gt;"))),0)</f>
        <v>0</v>
      </c>
      <c r="Q730">
        <f>IFERROR($J730/IF($A730&lt;COUNTIFS($K$1:Q$1,"&lt;&gt;"),0,SUMIFS($J:$J,$B:$B,$B730,$A:$A,"&gt;="&amp;COUNTIFS($K$1:Q$1,"&lt;&gt;"))),0)</f>
        <v>0</v>
      </c>
      <c r="R730">
        <f>IFERROR($J730/IF($A730&lt;COUNTIFS($K$1:R$1,"&lt;&gt;"),0,SUMIFS($J:$J,$B:$B,$B730,$A:$A,"&gt;="&amp;COUNTIFS($K$1:R$1,"&lt;&gt;"))),0)</f>
        <v>0</v>
      </c>
      <c r="S730">
        <f>IFERROR($J730/IF($A730&lt;COUNTIFS($K$1:S$1,"&lt;&gt;"),0,SUMIFS($J:$J,$B:$B,$B730,$A:$A,"&gt;="&amp;COUNTIFS($K$1:S$1,"&lt;&gt;"))),0)</f>
        <v>0</v>
      </c>
      <c r="T730">
        <f>IFERROR($J730/IF($A730&lt;COUNTIFS($K$1:T$1,"&lt;&gt;"),0,SUMIFS($J:$J,$B:$B,$B730,$A:$A,"&gt;="&amp;COUNTIFS($K$1:T$1,"&lt;&gt;"))),0)</f>
        <v>0</v>
      </c>
      <c r="U730">
        <f>IFERROR($J730/IF($A730&lt;COUNTIFS($K$1:U$1,"&lt;&gt;"),0,SUMIFS($J:$J,$B:$B,$B730,$A:$A,"&gt;="&amp;COUNTIFS($K$1:U$1,"&lt;&gt;"))),0)</f>
        <v>0</v>
      </c>
      <c r="V730">
        <f>IFERROR($J730/IF($A730&lt;COUNTIFS($K$1:V$1,"&lt;&gt;"),0,SUMIFS($J:$J,$B:$B,$B730,$A:$A,"&gt;="&amp;COUNTIFS($K$1:V$1,"&lt;&gt;"))),0)</f>
        <v>0</v>
      </c>
      <c r="W730">
        <f t="shared" si="266"/>
        <v>4.3835616438356165E-2</v>
      </c>
      <c r="X730">
        <f t="shared" si="246"/>
        <v>0</v>
      </c>
      <c r="Y730">
        <f t="shared" si="247"/>
        <v>0</v>
      </c>
      <c r="Z730">
        <f t="shared" si="248"/>
        <v>0</v>
      </c>
      <c r="AA730">
        <f t="shared" si="249"/>
        <v>0</v>
      </c>
      <c r="AB730">
        <f t="shared" si="250"/>
        <v>0</v>
      </c>
      <c r="AC730">
        <f t="shared" si="251"/>
        <v>0</v>
      </c>
      <c r="AD730">
        <f t="shared" si="252"/>
        <v>0</v>
      </c>
      <c r="AE730">
        <f t="shared" si="253"/>
        <v>0</v>
      </c>
      <c r="AF730">
        <f t="shared" si="254"/>
        <v>0</v>
      </c>
      <c r="AG730">
        <f t="shared" si="255"/>
        <v>0</v>
      </c>
      <c r="AH730">
        <f t="shared" si="256"/>
        <v>0</v>
      </c>
      <c r="AI730">
        <f t="shared" si="257"/>
        <v>0</v>
      </c>
      <c r="AJ730" s="2" t="str">
        <f t="shared" si="267"/>
        <v>045536</v>
      </c>
    </row>
    <row r="731" spans="1:36" x14ac:dyDescent="0.25">
      <c r="A731">
        <v>1</v>
      </c>
      <c r="B731" s="1">
        <v>45536</v>
      </c>
      <c r="C731" s="1">
        <f t="shared" si="258"/>
        <v>45566</v>
      </c>
      <c r="D731" s="1">
        <f t="shared" si="259"/>
        <v>45550</v>
      </c>
      <c r="E731" s="1">
        <f t="shared" si="260"/>
        <v>45566</v>
      </c>
      <c r="F731" s="1">
        <f t="shared" si="261"/>
        <v>45597</v>
      </c>
      <c r="G731" s="1">
        <f t="shared" si="262"/>
        <v>45915</v>
      </c>
      <c r="H731">
        <f t="shared" si="263"/>
        <v>365</v>
      </c>
      <c r="I731">
        <f t="shared" si="264"/>
        <v>31</v>
      </c>
      <c r="J731">
        <f t="shared" si="265"/>
        <v>8.4931506849315067E-2</v>
      </c>
      <c r="K731">
        <f>IFERROR($J731/IF($A731&lt;COUNTIFS($K$1:K$1,"&lt;&gt;"),0,SUMIFS($J:$J,$B:$B,$B731,$A:$A,"&gt;="&amp;COUNTIFS($K$1:K$1,"&lt;&gt;"))),0)</f>
        <v>8.8825214899713484E-2</v>
      </c>
      <c r="L731">
        <f>IFERROR($J731/IF($A731&lt;COUNTIFS($K$1:L$1,"&lt;&gt;"),0,SUMIFS($J:$J,$B:$B,$B731,$A:$A,"&gt;="&amp;COUNTIFS($K$1:L$1,"&lt;&gt;"))),0)</f>
        <v>0</v>
      </c>
      <c r="M731">
        <f>IFERROR($J731/IF($A731&lt;COUNTIFS($K$1:M$1,"&lt;&gt;"),0,SUMIFS($J:$J,$B:$B,$B731,$A:$A,"&gt;="&amp;COUNTIFS($K$1:M$1,"&lt;&gt;"))),0)</f>
        <v>0</v>
      </c>
      <c r="N731">
        <f>IFERROR($J731/IF($A731&lt;COUNTIFS($K$1:N$1,"&lt;&gt;"),0,SUMIFS($J:$J,$B:$B,$B731,$A:$A,"&gt;="&amp;COUNTIFS($K$1:N$1,"&lt;&gt;"))),0)</f>
        <v>0</v>
      </c>
      <c r="O731">
        <f>IFERROR($J731/IF($A731&lt;COUNTIFS($K$1:O$1,"&lt;&gt;"),0,SUMIFS($J:$J,$B:$B,$B731,$A:$A,"&gt;="&amp;COUNTIFS($K$1:O$1,"&lt;&gt;"))),0)</f>
        <v>0</v>
      </c>
      <c r="P731">
        <f>IFERROR($J731/IF($A731&lt;COUNTIFS($K$1:P$1,"&lt;&gt;"),0,SUMIFS($J:$J,$B:$B,$B731,$A:$A,"&gt;="&amp;COUNTIFS($K$1:P$1,"&lt;&gt;"))),0)</f>
        <v>0</v>
      </c>
      <c r="Q731">
        <f>IFERROR($J731/IF($A731&lt;COUNTIFS($K$1:Q$1,"&lt;&gt;"),0,SUMIFS($J:$J,$B:$B,$B731,$A:$A,"&gt;="&amp;COUNTIFS($K$1:Q$1,"&lt;&gt;"))),0)</f>
        <v>0</v>
      </c>
      <c r="R731">
        <f>IFERROR($J731/IF($A731&lt;COUNTIFS($K$1:R$1,"&lt;&gt;"),0,SUMIFS($J:$J,$B:$B,$B731,$A:$A,"&gt;="&amp;COUNTIFS($K$1:R$1,"&lt;&gt;"))),0)</f>
        <v>0</v>
      </c>
      <c r="S731">
        <f>IFERROR($J731/IF($A731&lt;COUNTIFS($K$1:S$1,"&lt;&gt;"),0,SUMIFS($J:$J,$B:$B,$B731,$A:$A,"&gt;="&amp;COUNTIFS($K$1:S$1,"&lt;&gt;"))),0)</f>
        <v>0</v>
      </c>
      <c r="T731">
        <f>IFERROR($J731/IF($A731&lt;COUNTIFS($K$1:T$1,"&lt;&gt;"),0,SUMIFS($J:$J,$B:$B,$B731,$A:$A,"&gt;="&amp;COUNTIFS($K$1:T$1,"&lt;&gt;"))),0)</f>
        <v>0</v>
      </c>
      <c r="U731">
        <f>IFERROR($J731/IF($A731&lt;COUNTIFS($K$1:U$1,"&lt;&gt;"),0,SUMIFS($J:$J,$B:$B,$B731,$A:$A,"&gt;="&amp;COUNTIFS($K$1:U$1,"&lt;&gt;"))),0)</f>
        <v>0</v>
      </c>
      <c r="V731">
        <f>IFERROR($J731/IF($A731&lt;COUNTIFS($K$1:V$1,"&lt;&gt;"),0,SUMIFS($J:$J,$B:$B,$B731,$A:$A,"&gt;="&amp;COUNTIFS($K$1:V$1,"&lt;&gt;"))),0)</f>
        <v>0</v>
      </c>
      <c r="W731">
        <f t="shared" si="266"/>
        <v>8.4931506849315067E-2</v>
      </c>
      <c r="X731">
        <f t="shared" si="246"/>
        <v>8.4931506849315067E-2</v>
      </c>
      <c r="Y731">
        <f t="shared" si="247"/>
        <v>0</v>
      </c>
      <c r="Z731">
        <f t="shared" si="248"/>
        <v>0</v>
      </c>
      <c r="AA731">
        <f t="shared" si="249"/>
        <v>0</v>
      </c>
      <c r="AB731">
        <f t="shared" si="250"/>
        <v>0</v>
      </c>
      <c r="AC731">
        <f t="shared" si="251"/>
        <v>0</v>
      </c>
      <c r="AD731">
        <f t="shared" si="252"/>
        <v>0</v>
      </c>
      <c r="AE731">
        <f t="shared" si="253"/>
        <v>0</v>
      </c>
      <c r="AF731">
        <f t="shared" si="254"/>
        <v>0</v>
      </c>
      <c r="AG731">
        <f t="shared" si="255"/>
        <v>0</v>
      </c>
      <c r="AH731">
        <f t="shared" si="256"/>
        <v>0</v>
      </c>
      <c r="AI731">
        <f t="shared" si="257"/>
        <v>0</v>
      </c>
      <c r="AJ731" s="2" t="str">
        <f t="shared" si="267"/>
        <v>145536</v>
      </c>
    </row>
    <row r="732" spans="1:36" x14ac:dyDescent="0.25">
      <c r="A732">
        <v>2</v>
      </c>
      <c r="B732" s="1">
        <v>45536</v>
      </c>
      <c r="C732" s="1">
        <f t="shared" si="258"/>
        <v>45597</v>
      </c>
      <c r="D732" s="1">
        <f t="shared" si="259"/>
        <v>45550</v>
      </c>
      <c r="E732" s="1">
        <f t="shared" si="260"/>
        <v>45597</v>
      </c>
      <c r="F732" s="1">
        <f t="shared" si="261"/>
        <v>45627</v>
      </c>
      <c r="G732" s="1">
        <f t="shared" si="262"/>
        <v>45915</v>
      </c>
      <c r="H732">
        <f t="shared" si="263"/>
        <v>365</v>
      </c>
      <c r="I732">
        <f t="shared" si="264"/>
        <v>30</v>
      </c>
      <c r="J732">
        <f t="shared" si="265"/>
        <v>8.2191780821917804E-2</v>
      </c>
      <c r="K732">
        <f>IFERROR($J732/IF($A732&lt;COUNTIFS($K$1:K$1,"&lt;&gt;"),0,SUMIFS($J:$J,$B:$B,$B732,$A:$A,"&gt;="&amp;COUNTIFS($K$1:K$1,"&lt;&gt;"))),0)</f>
        <v>8.5959885386819493E-2</v>
      </c>
      <c r="L732">
        <f>IFERROR($J732/IF($A732&lt;COUNTIFS($K$1:L$1,"&lt;&gt;"),0,SUMIFS($J:$J,$B:$B,$B732,$A:$A,"&gt;="&amp;COUNTIFS($K$1:L$1,"&lt;&gt;"))),0)</f>
        <v>9.4339622641509441E-2</v>
      </c>
      <c r="M732">
        <f>IFERROR($J732/IF($A732&lt;COUNTIFS($K$1:M$1,"&lt;&gt;"),0,SUMIFS($J:$J,$B:$B,$B732,$A:$A,"&gt;="&amp;COUNTIFS($K$1:M$1,"&lt;&gt;"))),0)</f>
        <v>0</v>
      </c>
      <c r="N732">
        <f>IFERROR($J732/IF($A732&lt;COUNTIFS($K$1:N$1,"&lt;&gt;"),0,SUMIFS($J:$J,$B:$B,$B732,$A:$A,"&gt;="&amp;COUNTIFS($K$1:N$1,"&lt;&gt;"))),0)</f>
        <v>0</v>
      </c>
      <c r="O732">
        <f>IFERROR($J732/IF($A732&lt;COUNTIFS($K$1:O$1,"&lt;&gt;"),0,SUMIFS($J:$J,$B:$B,$B732,$A:$A,"&gt;="&amp;COUNTIFS($K$1:O$1,"&lt;&gt;"))),0)</f>
        <v>0</v>
      </c>
      <c r="P732">
        <f>IFERROR($J732/IF($A732&lt;COUNTIFS($K$1:P$1,"&lt;&gt;"),0,SUMIFS($J:$J,$B:$B,$B732,$A:$A,"&gt;="&amp;COUNTIFS($K$1:P$1,"&lt;&gt;"))),0)</f>
        <v>0</v>
      </c>
      <c r="Q732">
        <f>IFERROR($J732/IF($A732&lt;COUNTIFS($K$1:Q$1,"&lt;&gt;"),0,SUMIFS($J:$J,$B:$B,$B732,$A:$A,"&gt;="&amp;COUNTIFS($K$1:Q$1,"&lt;&gt;"))),0)</f>
        <v>0</v>
      </c>
      <c r="R732">
        <f>IFERROR($J732/IF($A732&lt;COUNTIFS($K$1:R$1,"&lt;&gt;"),0,SUMIFS($J:$J,$B:$B,$B732,$A:$A,"&gt;="&amp;COUNTIFS($K$1:R$1,"&lt;&gt;"))),0)</f>
        <v>0</v>
      </c>
      <c r="S732">
        <f>IFERROR($J732/IF($A732&lt;COUNTIFS($K$1:S$1,"&lt;&gt;"),0,SUMIFS($J:$J,$B:$B,$B732,$A:$A,"&gt;="&amp;COUNTIFS($K$1:S$1,"&lt;&gt;"))),0)</f>
        <v>0</v>
      </c>
      <c r="T732">
        <f>IFERROR($J732/IF($A732&lt;COUNTIFS($K$1:T$1,"&lt;&gt;"),0,SUMIFS($J:$J,$B:$B,$B732,$A:$A,"&gt;="&amp;COUNTIFS($K$1:T$1,"&lt;&gt;"))),0)</f>
        <v>0</v>
      </c>
      <c r="U732">
        <f>IFERROR($J732/IF($A732&lt;COUNTIFS($K$1:U$1,"&lt;&gt;"),0,SUMIFS($J:$J,$B:$B,$B732,$A:$A,"&gt;="&amp;COUNTIFS($K$1:U$1,"&lt;&gt;"))),0)</f>
        <v>0</v>
      </c>
      <c r="V732">
        <f>IFERROR($J732/IF($A732&lt;COUNTIFS($K$1:V$1,"&lt;&gt;"),0,SUMIFS($J:$J,$B:$B,$B732,$A:$A,"&gt;="&amp;COUNTIFS($K$1:V$1,"&lt;&gt;"))),0)</f>
        <v>0</v>
      </c>
      <c r="W732">
        <f t="shared" si="266"/>
        <v>8.2191780821917804E-2</v>
      </c>
      <c r="X732">
        <f t="shared" si="246"/>
        <v>8.2191780821917804E-2</v>
      </c>
      <c r="Y732">
        <f t="shared" si="247"/>
        <v>8.2191780821917804E-2</v>
      </c>
      <c r="Z732">
        <f t="shared" si="248"/>
        <v>0</v>
      </c>
      <c r="AA732">
        <f t="shared" si="249"/>
        <v>0</v>
      </c>
      <c r="AB732">
        <f t="shared" si="250"/>
        <v>0</v>
      </c>
      <c r="AC732">
        <f t="shared" si="251"/>
        <v>0</v>
      </c>
      <c r="AD732">
        <f t="shared" si="252"/>
        <v>0</v>
      </c>
      <c r="AE732">
        <f t="shared" si="253"/>
        <v>0</v>
      </c>
      <c r="AF732">
        <f t="shared" si="254"/>
        <v>0</v>
      </c>
      <c r="AG732">
        <f t="shared" si="255"/>
        <v>0</v>
      </c>
      <c r="AH732">
        <f t="shared" si="256"/>
        <v>0</v>
      </c>
      <c r="AI732">
        <f t="shared" si="257"/>
        <v>0</v>
      </c>
      <c r="AJ732" s="2" t="str">
        <f t="shared" si="267"/>
        <v>245536</v>
      </c>
    </row>
    <row r="733" spans="1:36" x14ac:dyDescent="0.25">
      <c r="A733">
        <v>3</v>
      </c>
      <c r="B733" s="1">
        <v>45536</v>
      </c>
      <c r="C733" s="1">
        <f t="shared" si="258"/>
        <v>45627</v>
      </c>
      <c r="D733" s="1">
        <f t="shared" si="259"/>
        <v>45550</v>
      </c>
      <c r="E733" s="1">
        <f t="shared" si="260"/>
        <v>45627</v>
      </c>
      <c r="F733" s="1">
        <f t="shared" si="261"/>
        <v>45658</v>
      </c>
      <c r="G733" s="1">
        <f t="shared" si="262"/>
        <v>45915</v>
      </c>
      <c r="H733">
        <f t="shared" si="263"/>
        <v>365</v>
      </c>
      <c r="I733">
        <f t="shared" si="264"/>
        <v>31</v>
      </c>
      <c r="J733">
        <f t="shared" si="265"/>
        <v>8.4931506849315067E-2</v>
      </c>
      <c r="K733">
        <f>IFERROR($J733/IF($A733&lt;COUNTIFS($K$1:K$1,"&lt;&gt;"),0,SUMIFS($J:$J,$B:$B,$B733,$A:$A,"&gt;="&amp;COUNTIFS($K$1:K$1,"&lt;&gt;"))),0)</f>
        <v>8.8825214899713484E-2</v>
      </c>
      <c r="L733">
        <f>IFERROR($J733/IF($A733&lt;COUNTIFS($K$1:L$1,"&lt;&gt;"),0,SUMIFS($J:$J,$B:$B,$B733,$A:$A,"&gt;="&amp;COUNTIFS($K$1:L$1,"&lt;&gt;"))),0)</f>
        <v>9.7484276729559768E-2</v>
      </c>
      <c r="M733">
        <f>IFERROR($J733/IF($A733&lt;COUNTIFS($K$1:M$1,"&lt;&gt;"),0,SUMIFS($J:$J,$B:$B,$B733,$A:$A,"&gt;="&amp;COUNTIFS($K$1:M$1,"&lt;&gt;"))),0)</f>
        <v>0.10763888888888891</v>
      </c>
      <c r="N733">
        <f>IFERROR($J733/IF($A733&lt;COUNTIFS($K$1:N$1,"&lt;&gt;"),0,SUMIFS($J:$J,$B:$B,$B733,$A:$A,"&gt;="&amp;COUNTIFS($K$1:N$1,"&lt;&gt;"))),0)</f>
        <v>0</v>
      </c>
      <c r="O733">
        <f>IFERROR($J733/IF($A733&lt;COUNTIFS($K$1:O$1,"&lt;&gt;"),0,SUMIFS($J:$J,$B:$B,$B733,$A:$A,"&gt;="&amp;COUNTIFS($K$1:O$1,"&lt;&gt;"))),0)</f>
        <v>0</v>
      </c>
      <c r="P733">
        <f>IFERROR($J733/IF($A733&lt;COUNTIFS($K$1:P$1,"&lt;&gt;"),0,SUMIFS($J:$J,$B:$B,$B733,$A:$A,"&gt;="&amp;COUNTIFS($K$1:P$1,"&lt;&gt;"))),0)</f>
        <v>0</v>
      </c>
      <c r="Q733">
        <f>IFERROR($J733/IF($A733&lt;COUNTIFS($K$1:Q$1,"&lt;&gt;"),0,SUMIFS($J:$J,$B:$B,$B733,$A:$A,"&gt;="&amp;COUNTIFS($K$1:Q$1,"&lt;&gt;"))),0)</f>
        <v>0</v>
      </c>
      <c r="R733">
        <f>IFERROR($J733/IF($A733&lt;COUNTIFS($K$1:R$1,"&lt;&gt;"),0,SUMIFS($J:$J,$B:$B,$B733,$A:$A,"&gt;="&amp;COUNTIFS($K$1:R$1,"&lt;&gt;"))),0)</f>
        <v>0</v>
      </c>
      <c r="S733">
        <f>IFERROR($J733/IF($A733&lt;COUNTIFS($K$1:S$1,"&lt;&gt;"),0,SUMIFS($J:$J,$B:$B,$B733,$A:$A,"&gt;="&amp;COUNTIFS($K$1:S$1,"&lt;&gt;"))),0)</f>
        <v>0</v>
      </c>
      <c r="T733">
        <f>IFERROR($J733/IF($A733&lt;COUNTIFS($K$1:T$1,"&lt;&gt;"),0,SUMIFS($J:$J,$B:$B,$B733,$A:$A,"&gt;="&amp;COUNTIFS($K$1:T$1,"&lt;&gt;"))),0)</f>
        <v>0</v>
      </c>
      <c r="U733">
        <f>IFERROR($J733/IF($A733&lt;COUNTIFS($K$1:U$1,"&lt;&gt;"),0,SUMIFS($J:$J,$B:$B,$B733,$A:$A,"&gt;="&amp;COUNTIFS($K$1:U$1,"&lt;&gt;"))),0)</f>
        <v>0</v>
      </c>
      <c r="V733">
        <f>IFERROR($J733/IF($A733&lt;COUNTIFS($K$1:V$1,"&lt;&gt;"),0,SUMIFS($J:$J,$B:$B,$B733,$A:$A,"&gt;="&amp;COUNTIFS($K$1:V$1,"&lt;&gt;"))),0)</f>
        <v>0</v>
      </c>
      <c r="W733">
        <f t="shared" si="266"/>
        <v>8.4931506849315067E-2</v>
      </c>
      <c r="X733">
        <f t="shared" si="246"/>
        <v>8.4931506849315067E-2</v>
      </c>
      <c r="Y733">
        <f t="shared" si="247"/>
        <v>8.4931506849315067E-2</v>
      </c>
      <c r="Z733">
        <f t="shared" si="248"/>
        <v>8.4931506849315067E-2</v>
      </c>
      <c r="AA733">
        <f t="shared" si="249"/>
        <v>0</v>
      </c>
      <c r="AB733">
        <f t="shared" si="250"/>
        <v>0</v>
      </c>
      <c r="AC733">
        <f t="shared" si="251"/>
        <v>0</v>
      </c>
      <c r="AD733">
        <f t="shared" si="252"/>
        <v>0</v>
      </c>
      <c r="AE733">
        <f t="shared" si="253"/>
        <v>0</v>
      </c>
      <c r="AF733">
        <f t="shared" si="254"/>
        <v>0</v>
      </c>
      <c r="AG733">
        <f t="shared" si="255"/>
        <v>0</v>
      </c>
      <c r="AH733">
        <f t="shared" si="256"/>
        <v>0</v>
      </c>
      <c r="AI733">
        <f t="shared" si="257"/>
        <v>0</v>
      </c>
      <c r="AJ733" s="2" t="str">
        <f t="shared" si="267"/>
        <v>345536</v>
      </c>
    </row>
    <row r="734" spans="1:36" x14ac:dyDescent="0.25">
      <c r="A734">
        <v>4</v>
      </c>
      <c r="B734" s="1">
        <v>45536</v>
      </c>
      <c r="C734" s="1">
        <f t="shared" si="258"/>
        <v>45658</v>
      </c>
      <c r="D734" s="1">
        <f t="shared" si="259"/>
        <v>45550</v>
      </c>
      <c r="E734" s="1">
        <f t="shared" si="260"/>
        <v>45658</v>
      </c>
      <c r="F734" s="1">
        <f t="shared" si="261"/>
        <v>45689</v>
      </c>
      <c r="G734" s="1">
        <f t="shared" si="262"/>
        <v>45915</v>
      </c>
      <c r="H734">
        <f t="shared" si="263"/>
        <v>365</v>
      </c>
      <c r="I734">
        <f t="shared" si="264"/>
        <v>31</v>
      </c>
      <c r="J734">
        <f t="shared" si="265"/>
        <v>8.4931506849315067E-2</v>
      </c>
      <c r="K734">
        <f>IFERROR($J734/IF($A734&lt;COUNTIFS($K$1:K$1,"&lt;&gt;"),0,SUMIFS($J:$J,$B:$B,$B734,$A:$A,"&gt;="&amp;COUNTIFS($K$1:K$1,"&lt;&gt;"))),0)</f>
        <v>8.8825214899713484E-2</v>
      </c>
      <c r="L734">
        <f>IFERROR($J734/IF($A734&lt;COUNTIFS($K$1:L$1,"&lt;&gt;"),0,SUMIFS($J:$J,$B:$B,$B734,$A:$A,"&gt;="&amp;COUNTIFS($K$1:L$1,"&lt;&gt;"))),0)</f>
        <v>9.7484276729559768E-2</v>
      </c>
      <c r="M734">
        <f>IFERROR($J734/IF($A734&lt;COUNTIFS($K$1:M$1,"&lt;&gt;"),0,SUMIFS($J:$J,$B:$B,$B734,$A:$A,"&gt;="&amp;COUNTIFS($K$1:M$1,"&lt;&gt;"))),0)</f>
        <v>0.10763888888888891</v>
      </c>
      <c r="N734">
        <f>IFERROR($J734/IF($A734&lt;COUNTIFS($K$1:N$1,"&lt;&gt;"),0,SUMIFS($J:$J,$B:$B,$B734,$A:$A,"&gt;="&amp;COUNTIFS($K$1:N$1,"&lt;&gt;"))),0)</f>
        <v>0.12062256809338523</v>
      </c>
      <c r="O734">
        <f>IFERROR($J734/IF($A734&lt;COUNTIFS($K$1:O$1,"&lt;&gt;"),0,SUMIFS($J:$J,$B:$B,$B734,$A:$A,"&gt;="&amp;COUNTIFS($K$1:O$1,"&lt;&gt;"))),0)</f>
        <v>0</v>
      </c>
      <c r="P734">
        <f>IFERROR($J734/IF($A734&lt;COUNTIFS($K$1:P$1,"&lt;&gt;"),0,SUMIFS($J:$J,$B:$B,$B734,$A:$A,"&gt;="&amp;COUNTIFS($K$1:P$1,"&lt;&gt;"))),0)</f>
        <v>0</v>
      </c>
      <c r="Q734">
        <f>IFERROR($J734/IF($A734&lt;COUNTIFS($K$1:Q$1,"&lt;&gt;"),0,SUMIFS($J:$J,$B:$B,$B734,$A:$A,"&gt;="&amp;COUNTIFS($K$1:Q$1,"&lt;&gt;"))),0)</f>
        <v>0</v>
      </c>
      <c r="R734">
        <f>IFERROR($J734/IF($A734&lt;COUNTIFS($K$1:R$1,"&lt;&gt;"),0,SUMIFS($J:$J,$B:$B,$B734,$A:$A,"&gt;="&amp;COUNTIFS($K$1:R$1,"&lt;&gt;"))),0)</f>
        <v>0</v>
      </c>
      <c r="S734">
        <f>IFERROR($J734/IF($A734&lt;COUNTIFS($K$1:S$1,"&lt;&gt;"),0,SUMIFS($J:$J,$B:$B,$B734,$A:$A,"&gt;="&amp;COUNTIFS($K$1:S$1,"&lt;&gt;"))),0)</f>
        <v>0</v>
      </c>
      <c r="T734">
        <f>IFERROR($J734/IF($A734&lt;COUNTIFS($K$1:T$1,"&lt;&gt;"),0,SUMIFS($J:$J,$B:$B,$B734,$A:$A,"&gt;="&amp;COUNTIFS($K$1:T$1,"&lt;&gt;"))),0)</f>
        <v>0</v>
      </c>
      <c r="U734">
        <f>IFERROR($J734/IF($A734&lt;COUNTIFS($K$1:U$1,"&lt;&gt;"),0,SUMIFS($J:$J,$B:$B,$B734,$A:$A,"&gt;="&amp;COUNTIFS($K$1:U$1,"&lt;&gt;"))),0)</f>
        <v>0</v>
      </c>
      <c r="V734">
        <f>IFERROR($J734/IF($A734&lt;COUNTIFS($K$1:V$1,"&lt;&gt;"),0,SUMIFS($J:$J,$B:$B,$B734,$A:$A,"&gt;="&amp;COUNTIFS($K$1:V$1,"&lt;&gt;"))),0)</f>
        <v>0</v>
      </c>
      <c r="W734">
        <f t="shared" si="266"/>
        <v>8.4931506849315067E-2</v>
      </c>
      <c r="X734">
        <f t="shared" si="246"/>
        <v>8.4931506849315067E-2</v>
      </c>
      <c r="Y734">
        <f t="shared" si="247"/>
        <v>8.4931506849315067E-2</v>
      </c>
      <c r="Z734">
        <f t="shared" si="248"/>
        <v>8.4931506849315067E-2</v>
      </c>
      <c r="AA734">
        <f t="shared" si="249"/>
        <v>8.4931506849315067E-2</v>
      </c>
      <c r="AB734">
        <f t="shared" si="250"/>
        <v>0</v>
      </c>
      <c r="AC734">
        <f t="shared" si="251"/>
        <v>0</v>
      </c>
      <c r="AD734">
        <f t="shared" si="252"/>
        <v>0</v>
      </c>
      <c r="AE734">
        <f t="shared" si="253"/>
        <v>0</v>
      </c>
      <c r="AF734">
        <f t="shared" si="254"/>
        <v>0</v>
      </c>
      <c r="AG734">
        <f t="shared" si="255"/>
        <v>0</v>
      </c>
      <c r="AH734">
        <f t="shared" si="256"/>
        <v>0</v>
      </c>
      <c r="AI734">
        <f t="shared" si="257"/>
        <v>0</v>
      </c>
      <c r="AJ734" s="2" t="str">
        <f t="shared" si="267"/>
        <v>445536</v>
      </c>
    </row>
    <row r="735" spans="1:36" x14ac:dyDescent="0.25">
      <c r="A735">
        <v>5</v>
      </c>
      <c r="B735" s="1">
        <v>45536</v>
      </c>
      <c r="C735" s="1">
        <f t="shared" si="258"/>
        <v>45689</v>
      </c>
      <c r="D735" s="1">
        <f t="shared" si="259"/>
        <v>45550</v>
      </c>
      <c r="E735" s="1">
        <f t="shared" si="260"/>
        <v>45689</v>
      </c>
      <c r="F735" s="1">
        <f t="shared" si="261"/>
        <v>45717</v>
      </c>
      <c r="G735" s="1">
        <f t="shared" si="262"/>
        <v>45915</v>
      </c>
      <c r="H735">
        <f t="shared" si="263"/>
        <v>365</v>
      </c>
      <c r="I735">
        <f t="shared" si="264"/>
        <v>28</v>
      </c>
      <c r="J735">
        <f t="shared" si="265"/>
        <v>7.6712328767123292E-2</v>
      </c>
      <c r="K735">
        <f>IFERROR($J735/IF($A735&lt;COUNTIFS($K$1:K$1,"&lt;&gt;"),0,SUMIFS($J:$J,$B:$B,$B735,$A:$A,"&gt;="&amp;COUNTIFS($K$1:K$1,"&lt;&gt;"))),0)</f>
        <v>8.0229226361031539E-2</v>
      </c>
      <c r="L735">
        <f>IFERROR($J735/IF($A735&lt;COUNTIFS($K$1:L$1,"&lt;&gt;"),0,SUMIFS($J:$J,$B:$B,$B735,$A:$A,"&gt;="&amp;COUNTIFS($K$1:L$1,"&lt;&gt;"))),0)</f>
        <v>8.8050314465408827E-2</v>
      </c>
      <c r="M735">
        <f>IFERROR($J735/IF($A735&lt;COUNTIFS($K$1:M$1,"&lt;&gt;"),0,SUMIFS($J:$J,$B:$B,$B735,$A:$A,"&gt;="&amp;COUNTIFS($K$1:M$1,"&lt;&gt;"))),0)</f>
        <v>9.7222222222222238E-2</v>
      </c>
      <c r="N735">
        <f>IFERROR($J735/IF($A735&lt;COUNTIFS($K$1:N$1,"&lt;&gt;"),0,SUMIFS($J:$J,$B:$B,$B735,$A:$A,"&gt;="&amp;COUNTIFS($K$1:N$1,"&lt;&gt;"))),0)</f>
        <v>0.10894941634241248</v>
      </c>
      <c r="O735">
        <f>IFERROR($J735/IF($A735&lt;COUNTIFS($K$1:O$1,"&lt;&gt;"),0,SUMIFS($J:$J,$B:$B,$B735,$A:$A,"&gt;="&amp;COUNTIFS($K$1:O$1,"&lt;&gt;"))),0)</f>
        <v>0.12389380530973454</v>
      </c>
      <c r="P735">
        <f>IFERROR($J735/IF($A735&lt;COUNTIFS($K$1:P$1,"&lt;&gt;"),0,SUMIFS($J:$J,$B:$B,$B735,$A:$A,"&gt;="&amp;COUNTIFS($K$1:P$1,"&lt;&gt;"))),0)</f>
        <v>0</v>
      </c>
      <c r="Q735">
        <f>IFERROR($J735/IF($A735&lt;COUNTIFS($K$1:Q$1,"&lt;&gt;"),0,SUMIFS($J:$J,$B:$B,$B735,$A:$A,"&gt;="&amp;COUNTIFS($K$1:Q$1,"&lt;&gt;"))),0)</f>
        <v>0</v>
      </c>
      <c r="R735">
        <f>IFERROR($J735/IF($A735&lt;COUNTIFS($K$1:R$1,"&lt;&gt;"),0,SUMIFS($J:$J,$B:$B,$B735,$A:$A,"&gt;="&amp;COUNTIFS($K$1:R$1,"&lt;&gt;"))),0)</f>
        <v>0</v>
      </c>
      <c r="S735">
        <f>IFERROR($J735/IF($A735&lt;COUNTIFS($K$1:S$1,"&lt;&gt;"),0,SUMIFS($J:$J,$B:$B,$B735,$A:$A,"&gt;="&amp;COUNTIFS($K$1:S$1,"&lt;&gt;"))),0)</f>
        <v>0</v>
      </c>
      <c r="T735">
        <f>IFERROR($J735/IF($A735&lt;COUNTIFS($K$1:T$1,"&lt;&gt;"),0,SUMIFS($J:$J,$B:$B,$B735,$A:$A,"&gt;="&amp;COUNTIFS($K$1:T$1,"&lt;&gt;"))),0)</f>
        <v>0</v>
      </c>
      <c r="U735">
        <f>IFERROR($J735/IF($A735&lt;COUNTIFS($K$1:U$1,"&lt;&gt;"),0,SUMIFS($J:$J,$B:$B,$B735,$A:$A,"&gt;="&amp;COUNTIFS($K$1:U$1,"&lt;&gt;"))),0)</f>
        <v>0</v>
      </c>
      <c r="V735">
        <f>IFERROR($J735/IF($A735&lt;COUNTIFS($K$1:V$1,"&lt;&gt;"),0,SUMIFS($J:$J,$B:$B,$B735,$A:$A,"&gt;="&amp;COUNTIFS($K$1:V$1,"&lt;&gt;"))),0)</f>
        <v>0</v>
      </c>
      <c r="W735">
        <f t="shared" si="266"/>
        <v>7.6712328767123292E-2</v>
      </c>
      <c r="X735">
        <f t="shared" si="246"/>
        <v>7.6712328767123292E-2</v>
      </c>
      <c r="Y735">
        <f t="shared" si="247"/>
        <v>7.6712328767123292E-2</v>
      </c>
      <c r="Z735">
        <f t="shared" si="248"/>
        <v>7.6712328767123292E-2</v>
      </c>
      <c r="AA735">
        <f t="shared" si="249"/>
        <v>7.6712328767123292E-2</v>
      </c>
      <c r="AB735">
        <f t="shared" si="250"/>
        <v>7.6712328767123292E-2</v>
      </c>
      <c r="AC735">
        <f t="shared" si="251"/>
        <v>0</v>
      </c>
      <c r="AD735">
        <f t="shared" si="252"/>
        <v>0</v>
      </c>
      <c r="AE735">
        <f t="shared" si="253"/>
        <v>0</v>
      </c>
      <c r="AF735">
        <f t="shared" si="254"/>
        <v>0</v>
      </c>
      <c r="AG735">
        <f t="shared" si="255"/>
        <v>0</v>
      </c>
      <c r="AH735">
        <f t="shared" si="256"/>
        <v>0</v>
      </c>
      <c r="AI735">
        <f t="shared" si="257"/>
        <v>0</v>
      </c>
      <c r="AJ735" s="2" t="str">
        <f t="shared" si="267"/>
        <v>545536</v>
      </c>
    </row>
    <row r="736" spans="1:36" x14ac:dyDescent="0.25">
      <c r="A736">
        <v>6</v>
      </c>
      <c r="B736" s="1">
        <v>45536</v>
      </c>
      <c r="C736" s="1">
        <f t="shared" si="258"/>
        <v>45717</v>
      </c>
      <c r="D736" s="1">
        <f t="shared" si="259"/>
        <v>45550</v>
      </c>
      <c r="E736" s="1">
        <f t="shared" si="260"/>
        <v>45717</v>
      </c>
      <c r="F736" s="1">
        <f t="shared" si="261"/>
        <v>45748</v>
      </c>
      <c r="G736" s="1">
        <f t="shared" si="262"/>
        <v>45915</v>
      </c>
      <c r="H736">
        <f t="shared" si="263"/>
        <v>365</v>
      </c>
      <c r="I736">
        <f t="shared" si="264"/>
        <v>31</v>
      </c>
      <c r="J736">
        <f t="shared" si="265"/>
        <v>8.4931506849315067E-2</v>
      </c>
      <c r="K736">
        <f>IFERROR($J736/IF($A736&lt;COUNTIFS($K$1:K$1,"&lt;&gt;"),0,SUMIFS($J:$J,$B:$B,$B736,$A:$A,"&gt;="&amp;COUNTIFS($K$1:K$1,"&lt;&gt;"))),0)</f>
        <v>8.8825214899713484E-2</v>
      </c>
      <c r="L736">
        <f>IFERROR($J736/IF($A736&lt;COUNTIFS($K$1:L$1,"&lt;&gt;"),0,SUMIFS($J:$J,$B:$B,$B736,$A:$A,"&gt;="&amp;COUNTIFS($K$1:L$1,"&lt;&gt;"))),0)</f>
        <v>9.7484276729559768E-2</v>
      </c>
      <c r="M736">
        <f>IFERROR($J736/IF($A736&lt;COUNTIFS($K$1:M$1,"&lt;&gt;"),0,SUMIFS($J:$J,$B:$B,$B736,$A:$A,"&gt;="&amp;COUNTIFS($K$1:M$1,"&lt;&gt;"))),0)</f>
        <v>0.10763888888888891</v>
      </c>
      <c r="N736">
        <f>IFERROR($J736/IF($A736&lt;COUNTIFS($K$1:N$1,"&lt;&gt;"),0,SUMIFS($J:$J,$B:$B,$B736,$A:$A,"&gt;="&amp;COUNTIFS($K$1:N$1,"&lt;&gt;"))),0)</f>
        <v>0.12062256809338523</v>
      </c>
      <c r="O736">
        <f>IFERROR($J736/IF($A736&lt;COUNTIFS($K$1:O$1,"&lt;&gt;"),0,SUMIFS($J:$J,$B:$B,$B736,$A:$A,"&gt;="&amp;COUNTIFS($K$1:O$1,"&lt;&gt;"))),0)</f>
        <v>0.13716814159292037</v>
      </c>
      <c r="P736">
        <f>IFERROR($J736/IF($A736&lt;COUNTIFS($K$1:P$1,"&lt;&gt;"),0,SUMIFS($J:$J,$B:$B,$B736,$A:$A,"&gt;="&amp;COUNTIFS($K$1:P$1,"&lt;&gt;"))),0)</f>
        <v>0.1565656565656566</v>
      </c>
      <c r="Q736">
        <f>IFERROR($J736/IF($A736&lt;COUNTIFS($K$1:Q$1,"&lt;&gt;"),0,SUMIFS($J:$J,$B:$B,$B736,$A:$A,"&gt;="&amp;COUNTIFS($K$1:Q$1,"&lt;&gt;"))),0)</f>
        <v>0</v>
      </c>
      <c r="R736">
        <f>IFERROR($J736/IF($A736&lt;COUNTIFS($K$1:R$1,"&lt;&gt;"),0,SUMIFS($J:$J,$B:$B,$B736,$A:$A,"&gt;="&amp;COUNTIFS($K$1:R$1,"&lt;&gt;"))),0)</f>
        <v>0</v>
      </c>
      <c r="S736">
        <f>IFERROR($J736/IF($A736&lt;COUNTIFS($K$1:S$1,"&lt;&gt;"),0,SUMIFS($J:$J,$B:$B,$B736,$A:$A,"&gt;="&amp;COUNTIFS($K$1:S$1,"&lt;&gt;"))),0)</f>
        <v>0</v>
      </c>
      <c r="T736">
        <f>IFERROR($J736/IF($A736&lt;COUNTIFS($K$1:T$1,"&lt;&gt;"),0,SUMIFS($J:$J,$B:$B,$B736,$A:$A,"&gt;="&amp;COUNTIFS($K$1:T$1,"&lt;&gt;"))),0)</f>
        <v>0</v>
      </c>
      <c r="U736">
        <f>IFERROR($J736/IF($A736&lt;COUNTIFS($K$1:U$1,"&lt;&gt;"),0,SUMIFS($J:$J,$B:$B,$B736,$A:$A,"&gt;="&amp;COUNTIFS($K$1:U$1,"&lt;&gt;"))),0)</f>
        <v>0</v>
      </c>
      <c r="V736">
        <f>IFERROR($J736/IF($A736&lt;COUNTIFS($K$1:V$1,"&lt;&gt;"),0,SUMIFS($J:$J,$B:$B,$B736,$A:$A,"&gt;="&amp;COUNTIFS($K$1:V$1,"&lt;&gt;"))),0)</f>
        <v>0</v>
      </c>
      <c r="W736">
        <f t="shared" si="266"/>
        <v>8.4931506849315067E-2</v>
      </c>
      <c r="X736">
        <f t="shared" si="246"/>
        <v>8.4931506849315067E-2</v>
      </c>
      <c r="Y736">
        <f t="shared" si="247"/>
        <v>8.4931506849315067E-2</v>
      </c>
      <c r="Z736">
        <f t="shared" si="248"/>
        <v>8.4931506849315067E-2</v>
      </c>
      <c r="AA736">
        <f t="shared" si="249"/>
        <v>8.4931506849315067E-2</v>
      </c>
      <c r="AB736">
        <f t="shared" si="250"/>
        <v>8.4931506849315067E-2</v>
      </c>
      <c r="AC736">
        <f t="shared" si="251"/>
        <v>8.4931506849315067E-2</v>
      </c>
      <c r="AD736">
        <f t="shared" si="252"/>
        <v>0</v>
      </c>
      <c r="AE736">
        <f t="shared" si="253"/>
        <v>0</v>
      </c>
      <c r="AF736">
        <f t="shared" si="254"/>
        <v>0</v>
      </c>
      <c r="AG736">
        <f t="shared" si="255"/>
        <v>0</v>
      </c>
      <c r="AH736">
        <f t="shared" si="256"/>
        <v>0</v>
      </c>
      <c r="AI736">
        <f t="shared" si="257"/>
        <v>0</v>
      </c>
      <c r="AJ736" s="2" t="str">
        <f t="shared" si="267"/>
        <v>645536</v>
      </c>
    </row>
    <row r="737" spans="1:36" x14ac:dyDescent="0.25">
      <c r="A737">
        <v>7</v>
      </c>
      <c r="B737" s="1">
        <v>45536</v>
      </c>
      <c r="C737" s="1">
        <f t="shared" si="258"/>
        <v>45748</v>
      </c>
      <c r="D737" s="1">
        <f t="shared" si="259"/>
        <v>45550</v>
      </c>
      <c r="E737" s="1">
        <f t="shared" si="260"/>
        <v>45748</v>
      </c>
      <c r="F737" s="1">
        <f t="shared" si="261"/>
        <v>45778</v>
      </c>
      <c r="G737" s="1">
        <f t="shared" si="262"/>
        <v>45915</v>
      </c>
      <c r="H737">
        <f t="shared" si="263"/>
        <v>365</v>
      </c>
      <c r="I737">
        <f t="shared" si="264"/>
        <v>30</v>
      </c>
      <c r="J737">
        <f t="shared" si="265"/>
        <v>8.2191780821917804E-2</v>
      </c>
      <c r="K737">
        <f>IFERROR($J737/IF($A737&lt;COUNTIFS($K$1:K$1,"&lt;&gt;"),0,SUMIFS($J:$J,$B:$B,$B737,$A:$A,"&gt;="&amp;COUNTIFS($K$1:K$1,"&lt;&gt;"))),0)</f>
        <v>8.5959885386819493E-2</v>
      </c>
      <c r="L737">
        <f>IFERROR($J737/IF($A737&lt;COUNTIFS($K$1:L$1,"&lt;&gt;"),0,SUMIFS($J:$J,$B:$B,$B737,$A:$A,"&gt;="&amp;COUNTIFS($K$1:L$1,"&lt;&gt;"))),0)</f>
        <v>9.4339622641509441E-2</v>
      </c>
      <c r="M737">
        <f>IFERROR($J737/IF($A737&lt;COUNTIFS($K$1:M$1,"&lt;&gt;"),0,SUMIFS($J:$J,$B:$B,$B737,$A:$A,"&gt;="&amp;COUNTIFS($K$1:M$1,"&lt;&gt;"))),0)</f>
        <v>0.10416666666666669</v>
      </c>
      <c r="N737">
        <f>IFERROR($J737/IF($A737&lt;COUNTIFS($K$1:N$1,"&lt;&gt;"),0,SUMIFS($J:$J,$B:$B,$B737,$A:$A,"&gt;="&amp;COUNTIFS($K$1:N$1,"&lt;&gt;"))),0)</f>
        <v>0.11673151750972764</v>
      </c>
      <c r="O737">
        <f>IFERROR($J737/IF($A737&lt;COUNTIFS($K$1:O$1,"&lt;&gt;"),0,SUMIFS($J:$J,$B:$B,$B737,$A:$A,"&gt;="&amp;COUNTIFS($K$1:O$1,"&lt;&gt;"))),0)</f>
        <v>0.13274336283185842</v>
      </c>
      <c r="P737">
        <f>IFERROR($J737/IF($A737&lt;COUNTIFS($K$1:P$1,"&lt;&gt;"),0,SUMIFS($J:$J,$B:$B,$B737,$A:$A,"&gt;="&amp;COUNTIFS($K$1:P$1,"&lt;&gt;"))),0)</f>
        <v>0.15151515151515155</v>
      </c>
      <c r="Q737">
        <f>IFERROR($J737/IF($A737&lt;COUNTIFS($K$1:Q$1,"&lt;&gt;"),0,SUMIFS($J:$J,$B:$B,$B737,$A:$A,"&gt;="&amp;COUNTIFS($K$1:Q$1,"&lt;&gt;"))),0)</f>
        <v>0.17964071856287425</v>
      </c>
      <c r="R737">
        <f>IFERROR($J737/IF($A737&lt;COUNTIFS($K$1:R$1,"&lt;&gt;"),0,SUMIFS($J:$J,$B:$B,$B737,$A:$A,"&gt;="&amp;COUNTIFS($K$1:R$1,"&lt;&gt;"))),0)</f>
        <v>0</v>
      </c>
      <c r="S737">
        <f>IFERROR($J737/IF($A737&lt;COUNTIFS($K$1:S$1,"&lt;&gt;"),0,SUMIFS($J:$J,$B:$B,$B737,$A:$A,"&gt;="&amp;COUNTIFS($K$1:S$1,"&lt;&gt;"))),0)</f>
        <v>0</v>
      </c>
      <c r="T737">
        <f>IFERROR($J737/IF($A737&lt;COUNTIFS($K$1:T$1,"&lt;&gt;"),0,SUMIFS($J:$J,$B:$B,$B737,$A:$A,"&gt;="&amp;COUNTIFS($K$1:T$1,"&lt;&gt;"))),0)</f>
        <v>0</v>
      </c>
      <c r="U737">
        <f>IFERROR($J737/IF($A737&lt;COUNTIFS($K$1:U$1,"&lt;&gt;"),0,SUMIFS($J:$J,$B:$B,$B737,$A:$A,"&gt;="&amp;COUNTIFS($K$1:U$1,"&lt;&gt;"))),0)</f>
        <v>0</v>
      </c>
      <c r="V737">
        <f>IFERROR($J737/IF($A737&lt;COUNTIFS($K$1:V$1,"&lt;&gt;"),0,SUMIFS($J:$J,$B:$B,$B737,$A:$A,"&gt;="&amp;COUNTIFS($K$1:V$1,"&lt;&gt;"))),0)</f>
        <v>0</v>
      </c>
      <c r="W737">
        <f t="shared" si="266"/>
        <v>8.2191780821917804E-2</v>
      </c>
      <c r="X737">
        <f t="shared" si="246"/>
        <v>8.2191780821917804E-2</v>
      </c>
      <c r="Y737">
        <f t="shared" si="247"/>
        <v>8.2191780821917804E-2</v>
      </c>
      <c r="Z737">
        <f t="shared" si="248"/>
        <v>8.2191780821917804E-2</v>
      </c>
      <c r="AA737">
        <f t="shared" si="249"/>
        <v>8.2191780821917804E-2</v>
      </c>
      <c r="AB737">
        <f t="shared" si="250"/>
        <v>8.2191780821917804E-2</v>
      </c>
      <c r="AC737">
        <f t="shared" si="251"/>
        <v>8.2191780821917804E-2</v>
      </c>
      <c r="AD737">
        <f t="shared" si="252"/>
        <v>8.2191780821917804E-2</v>
      </c>
      <c r="AE737">
        <f t="shared" si="253"/>
        <v>0</v>
      </c>
      <c r="AF737">
        <f t="shared" si="254"/>
        <v>0</v>
      </c>
      <c r="AG737">
        <f t="shared" si="255"/>
        <v>0</v>
      </c>
      <c r="AH737">
        <f t="shared" si="256"/>
        <v>0</v>
      </c>
      <c r="AI737">
        <f t="shared" si="257"/>
        <v>0</v>
      </c>
      <c r="AJ737" s="2" t="str">
        <f t="shared" si="267"/>
        <v>745536</v>
      </c>
    </row>
    <row r="738" spans="1:36" x14ac:dyDescent="0.25">
      <c r="A738">
        <v>8</v>
      </c>
      <c r="B738" s="1">
        <v>45536</v>
      </c>
      <c r="C738" s="1">
        <f t="shared" si="258"/>
        <v>45778</v>
      </c>
      <c r="D738" s="1">
        <f t="shared" si="259"/>
        <v>45550</v>
      </c>
      <c r="E738" s="1">
        <f t="shared" si="260"/>
        <v>45778</v>
      </c>
      <c r="F738" s="1">
        <f t="shared" si="261"/>
        <v>45809</v>
      </c>
      <c r="G738" s="1">
        <f t="shared" si="262"/>
        <v>45915</v>
      </c>
      <c r="H738">
        <f t="shared" si="263"/>
        <v>365</v>
      </c>
      <c r="I738">
        <f t="shared" si="264"/>
        <v>31</v>
      </c>
      <c r="J738">
        <f t="shared" si="265"/>
        <v>8.4931506849315067E-2</v>
      </c>
      <c r="K738">
        <f>IFERROR($J738/IF($A738&lt;COUNTIFS($K$1:K$1,"&lt;&gt;"),0,SUMIFS($J:$J,$B:$B,$B738,$A:$A,"&gt;="&amp;COUNTIFS($K$1:K$1,"&lt;&gt;"))),0)</f>
        <v>8.8825214899713484E-2</v>
      </c>
      <c r="L738">
        <f>IFERROR($J738/IF($A738&lt;COUNTIFS($K$1:L$1,"&lt;&gt;"),0,SUMIFS($J:$J,$B:$B,$B738,$A:$A,"&gt;="&amp;COUNTIFS($K$1:L$1,"&lt;&gt;"))),0)</f>
        <v>9.7484276729559768E-2</v>
      </c>
      <c r="M738">
        <f>IFERROR($J738/IF($A738&lt;COUNTIFS($K$1:M$1,"&lt;&gt;"),0,SUMIFS($J:$J,$B:$B,$B738,$A:$A,"&gt;="&amp;COUNTIFS($K$1:M$1,"&lt;&gt;"))),0)</f>
        <v>0.10763888888888891</v>
      </c>
      <c r="N738">
        <f>IFERROR($J738/IF($A738&lt;COUNTIFS($K$1:N$1,"&lt;&gt;"),0,SUMIFS($J:$J,$B:$B,$B738,$A:$A,"&gt;="&amp;COUNTIFS($K$1:N$1,"&lt;&gt;"))),0)</f>
        <v>0.12062256809338523</v>
      </c>
      <c r="O738">
        <f>IFERROR($J738/IF($A738&lt;COUNTIFS($K$1:O$1,"&lt;&gt;"),0,SUMIFS($J:$J,$B:$B,$B738,$A:$A,"&gt;="&amp;COUNTIFS($K$1:O$1,"&lt;&gt;"))),0)</f>
        <v>0.13716814159292037</v>
      </c>
      <c r="P738">
        <f>IFERROR($J738/IF($A738&lt;COUNTIFS($K$1:P$1,"&lt;&gt;"),0,SUMIFS($J:$J,$B:$B,$B738,$A:$A,"&gt;="&amp;COUNTIFS($K$1:P$1,"&lt;&gt;"))),0)</f>
        <v>0.1565656565656566</v>
      </c>
      <c r="Q738">
        <f>IFERROR($J738/IF($A738&lt;COUNTIFS($K$1:Q$1,"&lt;&gt;"),0,SUMIFS($J:$J,$B:$B,$B738,$A:$A,"&gt;="&amp;COUNTIFS($K$1:Q$1,"&lt;&gt;"))),0)</f>
        <v>0.18562874251497008</v>
      </c>
      <c r="R738">
        <f>IFERROR($J738/IF($A738&lt;COUNTIFS($K$1:R$1,"&lt;&gt;"),0,SUMIFS($J:$J,$B:$B,$B738,$A:$A,"&gt;="&amp;COUNTIFS($K$1:R$1,"&lt;&gt;"))),0)</f>
        <v>0.22627737226277375</v>
      </c>
      <c r="S738">
        <f>IFERROR($J738/IF($A738&lt;COUNTIFS($K$1:S$1,"&lt;&gt;"),0,SUMIFS($J:$J,$B:$B,$B738,$A:$A,"&gt;="&amp;COUNTIFS($K$1:S$1,"&lt;&gt;"))),0)</f>
        <v>0</v>
      </c>
      <c r="T738">
        <f>IFERROR($J738/IF($A738&lt;COUNTIFS($K$1:T$1,"&lt;&gt;"),0,SUMIFS($J:$J,$B:$B,$B738,$A:$A,"&gt;="&amp;COUNTIFS($K$1:T$1,"&lt;&gt;"))),0)</f>
        <v>0</v>
      </c>
      <c r="U738">
        <f>IFERROR($J738/IF($A738&lt;COUNTIFS($K$1:U$1,"&lt;&gt;"),0,SUMIFS($J:$J,$B:$B,$B738,$A:$A,"&gt;="&amp;COUNTIFS($K$1:U$1,"&lt;&gt;"))),0)</f>
        <v>0</v>
      </c>
      <c r="V738">
        <f>IFERROR($J738/IF($A738&lt;COUNTIFS($K$1:V$1,"&lt;&gt;"),0,SUMIFS($J:$J,$B:$B,$B738,$A:$A,"&gt;="&amp;COUNTIFS($K$1:V$1,"&lt;&gt;"))),0)</f>
        <v>0</v>
      </c>
      <c r="W738">
        <f t="shared" si="266"/>
        <v>8.4931506849315067E-2</v>
      </c>
      <c r="X738">
        <f t="shared" si="246"/>
        <v>8.4931506849315067E-2</v>
      </c>
      <c r="Y738">
        <f t="shared" si="247"/>
        <v>8.4931506849315067E-2</v>
      </c>
      <c r="Z738">
        <f t="shared" si="248"/>
        <v>8.4931506849315067E-2</v>
      </c>
      <c r="AA738">
        <f t="shared" si="249"/>
        <v>8.4931506849315067E-2</v>
      </c>
      <c r="AB738">
        <f t="shared" si="250"/>
        <v>8.4931506849315067E-2</v>
      </c>
      <c r="AC738">
        <f t="shared" si="251"/>
        <v>8.4931506849315067E-2</v>
      </c>
      <c r="AD738">
        <f t="shared" si="252"/>
        <v>8.4931506849315067E-2</v>
      </c>
      <c r="AE738">
        <f t="shared" si="253"/>
        <v>8.4931506849315067E-2</v>
      </c>
      <c r="AF738">
        <f t="shared" si="254"/>
        <v>0</v>
      </c>
      <c r="AG738">
        <f t="shared" si="255"/>
        <v>0</v>
      </c>
      <c r="AH738">
        <f t="shared" si="256"/>
        <v>0</v>
      </c>
      <c r="AI738">
        <f t="shared" si="257"/>
        <v>0</v>
      </c>
      <c r="AJ738" s="2" t="str">
        <f t="shared" si="267"/>
        <v>845536</v>
      </c>
    </row>
    <row r="739" spans="1:36" x14ac:dyDescent="0.25">
      <c r="A739">
        <v>9</v>
      </c>
      <c r="B739" s="1">
        <v>45536</v>
      </c>
      <c r="C739" s="1">
        <f t="shared" si="258"/>
        <v>45809</v>
      </c>
      <c r="D739" s="1">
        <f t="shared" si="259"/>
        <v>45550</v>
      </c>
      <c r="E739" s="1">
        <f t="shared" si="260"/>
        <v>45809</v>
      </c>
      <c r="F739" s="1">
        <f t="shared" si="261"/>
        <v>45839</v>
      </c>
      <c r="G739" s="1">
        <f t="shared" si="262"/>
        <v>45915</v>
      </c>
      <c r="H739">
        <f t="shared" si="263"/>
        <v>365</v>
      </c>
      <c r="I739">
        <f t="shared" si="264"/>
        <v>30</v>
      </c>
      <c r="J739">
        <f t="shared" si="265"/>
        <v>8.2191780821917804E-2</v>
      </c>
      <c r="K739">
        <f>IFERROR($J739/IF($A739&lt;COUNTIFS($K$1:K$1,"&lt;&gt;"),0,SUMIFS($J:$J,$B:$B,$B739,$A:$A,"&gt;="&amp;COUNTIFS($K$1:K$1,"&lt;&gt;"))),0)</f>
        <v>8.5959885386819493E-2</v>
      </c>
      <c r="L739">
        <f>IFERROR($J739/IF($A739&lt;COUNTIFS($K$1:L$1,"&lt;&gt;"),0,SUMIFS($J:$J,$B:$B,$B739,$A:$A,"&gt;="&amp;COUNTIFS($K$1:L$1,"&lt;&gt;"))),0)</f>
        <v>9.4339622641509441E-2</v>
      </c>
      <c r="M739">
        <f>IFERROR($J739/IF($A739&lt;COUNTIFS($K$1:M$1,"&lt;&gt;"),0,SUMIFS($J:$J,$B:$B,$B739,$A:$A,"&gt;="&amp;COUNTIFS($K$1:M$1,"&lt;&gt;"))),0)</f>
        <v>0.10416666666666669</v>
      </c>
      <c r="N739">
        <f>IFERROR($J739/IF($A739&lt;COUNTIFS($K$1:N$1,"&lt;&gt;"),0,SUMIFS($J:$J,$B:$B,$B739,$A:$A,"&gt;="&amp;COUNTIFS($K$1:N$1,"&lt;&gt;"))),0)</f>
        <v>0.11673151750972764</v>
      </c>
      <c r="O739">
        <f>IFERROR($J739/IF($A739&lt;COUNTIFS($K$1:O$1,"&lt;&gt;"),0,SUMIFS($J:$J,$B:$B,$B739,$A:$A,"&gt;="&amp;COUNTIFS($K$1:O$1,"&lt;&gt;"))),0)</f>
        <v>0.13274336283185842</v>
      </c>
      <c r="P739">
        <f>IFERROR($J739/IF($A739&lt;COUNTIFS($K$1:P$1,"&lt;&gt;"),0,SUMIFS($J:$J,$B:$B,$B739,$A:$A,"&gt;="&amp;COUNTIFS($K$1:P$1,"&lt;&gt;"))),0)</f>
        <v>0.15151515151515155</v>
      </c>
      <c r="Q739">
        <f>IFERROR($J739/IF($A739&lt;COUNTIFS($K$1:Q$1,"&lt;&gt;"),0,SUMIFS($J:$J,$B:$B,$B739,$A:$A,"&gt;="&amp;COUNTIFS($K$1:Q$1,"&lt;&gt;"))),0)</f>
        <v>0.17964071856287425</v>
      </c>
      <c r="R739">
        <f>IFERROR($J739/IF($A739&lt;COUNTIFS($K$1:R$1,"&lt;&gt;"),0,SUMIFS($J:$J,$B:$B,$B739,$A:$A,"&gt;="&amp;COUNTIFS($K$1:R$1,"&lt;&gt;"))),0)</f>
        <v>0.21897810218978103</v>
      </c>
      <c r="S739">
        <f>IFERROR($J739/IF($A739&lt;COUNTIFS($K$1:S$1,"&lt;&gt;"),0,SUMIFS($J:$J,$B:$B,$B739,$A:$A,"&gt;="&amp;COUNTIFS($K$1:S$1,"&lt;&gt;"))),0)</f>
        <v>0.28301886792452829</v>
      </c>
      <c r="T739">
        <f>IFERROR($J739/IF($A739&lt;COUNTIFS($K$1:T$1,"&lt;&gt;"),0,SUMIFS($J:$J,$B:$B,$B739,$A:$A,"&gt;="&amp;COUNTIFS($K$1:T$1,"&lt;&gt;"))),0)</f>
        <v>0</v>
      </c>
      <c r="U739">
        <f>IFERROR($J739/IF($A739&lt;COUNTIFS($K$1:U$1,"&lt;&gt;"),0,SUMIFS($J:$J,$B:$B,$B739,$A:$A,"&gt;="&amp;COUNTIFS($K$1:U$1,"&lt;&gt;"))),0)</f>
        <v>0</v>
      </c>
      <c r="V739">
        <f>IFERROR($J739/IF($A739&lt;COUNTIFS($K$1:V$1,"&lt;&gt;"),0,SUMIFS($J:$J,$B:$B,$B739,$A:$A,"&gt;="&amp;COUNTIFS($K$1:V$1,"&lt;&gt;"))),0)</f>
        <v>0</v>
      </c>
      <c r="W739">
        <f t="shared" si="266"/>
        <v>8.2191780821917804E-2</v>
      </c>
      <c r="X739">
        <f t="shared" si="246"/>
        <v>8.2191780821917804E-2</v>
      </c>
      <c r="Y739">
        <f t="shared" si="247"/>
        <v>8.2191780821917804E-2</v>
      </c>
      <c r="Z739">
        <f t="shared" si="248"/>
        <v>8.2191780821917804E-2</v>
      </c>
      <c r="AA739">
        <f t="shared" si="249"/>
        <v>8.2191780821917804E-2</v>
      </c>
      <c r="AB739">
        <f t="shared" si="250"/>
        <v>8.2191780821917804E-2</v>
      </c>
      <c r="AC739">
        <f t="shared" si="251"/>
        <v>8.2191780821917804E-2</v>
      </c>
      <c r="AD739">
        <f t="shared" si="252"/>
        <v>8.2191780821917804E-2</v>
      </c>
      <c r="AE739">
        <f t="shared" si="253"/>
        <v>8.2191780821917804E-2</v>
      </c>
      <c r="AF739">
        <f t="shared" si="254"/>
        <v>8.2191780821917804E-2</v>
      </c>
      <c r="AG739">
        <f t="shared" si="255"/>
        <v>0</v>
      </c>
      <c r="AH739">
        <f t="shared" si="256"/>
        <v>0</v>
      </c>
      <c r="AI739">
        <f t="shared" si="257"/>
        <v>0</v>
      </c>
      <c r="AJ739" s="2" t="str">
        <f t="shared" si="267"/>
        <v>945536</v>
      </c>
    </row>
    <row r="740" spans="1:36" x14ac:dyDescent="0.25">
      <c r="A740">
        <v>10</v>
      </c>
      <c r="B740" s="1">
        <v>45536</v>
      </c>
      <c r="C740" s="1">
        <f t="shared" si="258"/>
        <v>45839</v>
      </c>
      <c r="D740" s="1">
        <f t="shared" si="259"/>
        <v>45550</v>
      </c>
      <c r="E740" s="1">
        <f t="shared" si="260"/>
        <v>45839</v>
      </c>
      <c r="F740" s="1">
        <f t="shared" si="261"/>
        <v>45870</v>
      </c>
      <c r="G740" s="1">
        <f t="shared" si="262"/>
        <v>45915</v>
      </c>
      <c r="H740">
        <f t="shared" si="263"/>
        <v>365</v>
      </c>
      <c r="I740">
        <f t="shared" si="264"/>
        <v>31</v>
      </c>
      <c r="J740">
        <f t="shared" si="265"/>
        <v>8.4931506849315067E-2</v>
      </c>
      <c r="K740">
        <f>IFERROR($J740/IF($A740&lt;COUNTIFS($K$1:K$1,"&lt;&gt;"),0,SUMIFS($J:$J,$B:$B,$B740,$A:$A,"&gt;="&amp;COUNTIFS($K$1:K$1,"&lt;&gt;"))),0)</f>
        <v>8.8825214899713484E-2</v>
      </c>
      <c r="L740">
        <f>IFERROR($J740/IF($A740&lt;COUNTIFS($K$1:L$1,"&lt;&gt;"),0,SUMIFS($J:$J,$B:$B,$B740,$A:$A,"&gt;="&amp;COUNTIFS($K$1:L$1,"&lt;&gt;"))),0)</f>
        <v>9.7484276729559768E-2</v>
      </c>
      <c r="M740">
        <f>IFERROR($J740/IF($A740&lt;COUNTIFS($K$1:M$1,"&lt;&gt;"),0,SUMIFS($J:$J,$B:$B,$B740,$A:$A,"&gt;="&amp;COUNTIFS($K$1:M$1,"&lt;&gt;"))),0)</f>
        <v>0.10763888888888891</v>
      </c>
      <c r="N740">
        <f>IFERROR($J740/IF($A740&lt;COUNTIFS($K$1:N$1,"&lt;&gt;"),0,SUMIFS($J:$J,$B:$B,$B740,$A:$A,"&gt;="&amp;COUNTIFS($K$1:N$1,"&lt;&gt;"))),0)</f>
        <v>0.12062256809338523</v>
      </c>
      <c r="O740">
        <f>IFERROR($J740/IF($A740&lt;COUNTIFS($K$1:O$1,"&lt;&gt;"),0,SUMIFS($J:$J,$B:$B,$B740,$A:$A,"&gt;="&amp;COUNTIFS($K$1:O$1,"&lt;&gt;"))),0)</f>
        <v>0.13716814159292037</v>
      </c>
      <c r="P740">
        <f>IFERROR($J740/IF($A740&lt;COUNTIFS($K$1:P$1,"&lt;&gt;"),0,SUMIFS($J:$J,$B:$B,$B740,$A:$A,"&gt;="&amp;COUNTIFS($K$1:P$1,"&lt;&gt;"))),0)</f>
        <v>0.1565656565656566</v>
      </c>
      <c r="Q740">
        <f>IFERROR($J740/IF($A740&lt;COUNTIFS($K$1:Q$1,"&lt;&gt;"),0,SUMIFS($J:$J,$B:$B,$B740,$A:$A,"&gt;="&amp;COUNTIFS($K$1:Q$1,"&lt;&gt;"))),0)</f>
        <v>0.18562874251497008</v>
      </c>
      <c r="R740">
        <f>IFERROR($J740/IF($A740&lt;COUNTIFS($K$1:R$1,"&lt;&gt;"),0,SUMIFS($J:$J,$B:$B,$B740,$A:$A,"&gt;="&amp;COUNTIFS($K$1:R$1,"&lt;&gt;"))),0)</f>
        <v>0.22627737226277375</v>
      </c>
      <c r="S740">
        <f>IFERROR($J740/IF($A740&lt;COUNTIFS($K$1:S$1,"&lt;&gt;"),0,SUMIFS($J:$J,$B:$B,$B740,$A:$A,"&gt;="&amp;COUNTIFS($K$1:S$1,"&lt;&gt;"))),0)</f>
        <v>0.29245283018867929</v>
      </c>
      <c r="T740">
        <f>IFERROR($J740/IF($A740&lt;COUNTIFS($K$1:T$1,"&lt;&gt;"),0,SUMIFS($J:$J,$B:$B,$B740,$A:$A,"&gt;="&amp;COUNTIFS($K$1:T$1,"&lt;&gt;"))),0)</f>
        <v>0.40789473684210525</v>
      </c>
      <c r="U740">
        <f>IFERROR($J740/IF($A740&lt;COUNTIFS($K$1:U$1,"&lt;&gt;"),0,SUMIFS($J:$J,$B:$B,$B740,$A:$A,"&gt;="&amp;COUNTIFS($K$1:U$1,"&lt;&gt;"))),0)</f>
        <v>0</v>
      </c>
      <c r="V740">
        <f>IFERROR($J740/IF($A740&lt;COUNTIFS($K$1:V$1,"&lt;&gt;"),0,SUMIFS($J:$J,$B:$B,$B740,$A:$A,"&gt;="&amp;COUNTIFS($K$1:V$1,"&lt;&gt;"))),0)</f>
        <v>0</v>
      </c>
      <c r="W740">
        <f t="shared" si="266"/>
        <v>8.4931506849315067E-2</v>
      </c>
      <c r="X740">
        <f t="shared" si="246"/>
        <v>8.4931506849315067E-2</v>
      </c>
      <c r="Y740">
        <f t="shared" si="247"/>
        <v>8.4931506849315067E-2</v>
      </c>
      <c r="Z740">
        <f t="shared" si="248"/>
        <v>8.4931506849315067E-2</v>
      </c>
      <c r="AA740">
        <f t="shared" si="249"/>
        <v>8.4931506849315067E-2</v>
      </c>
      <c r="AB740">
        <f t="shared" si="250"/>
        <v>8.4931506849315067E-2</v>
      </c>
      <c r="AC740">
        <f t="shared" si="251"/>
        <v>8.4931506849315067E-2</v>
      </c>
      <c r="AD740">
        <f t="shared" si="252"/>
        <v>8.4931506849315067E-2</v>
      </c>
      <c r="AE740">
        <f t="shared" si="253"/>
        <v>8.4931506849315067E-2</v>
      </c>
      <c r="AF740">
        <f t="shared" si="254"/>
        <v>8.4931506849315067E-2</v>
      </c>
      <c r="AG740">
        <f t="shared" si="255"/>
        <v>8.4931506849315067E-2</v>
      </c>
      <c r="AH740">
        <f t="shared" si="256"/>
        <v>0</v>
      </c>
      <c r="AI740">
        <f t="shared" si="257"/>
        <v>0</v>
      </c>
      <c r="AJ740" s="2" t="str">
        <f t="shared" si="267"/>
        <v>1045536</v>
      </c>
    </row>
    <row r="741" spans="1:36" x14ac:dyDescent="0.25">
      <c r="A741">
        <v>11</v>
      </c>
      <c r="B741" s="1">
        <v>45536</v>
      </c>
      <c r="C741" s="1">
        <f t="shared" si="258"/>
        <v>45870</v>
      </c>
      <c r="D741" s="1">
        <f t="shared" si="259"/>
        <v>45550</v>
      </c>
      <c r="E741" s="1">
        <f t="shared" si="260"/>
        <v>45870</v>
      </c>
      <c r="F741" s="1">
        <f t="shared" si="261"/>
        <v>45901</v>
      </c>
      <c r="G741" s="1">
        <f t="shared" si="262"/>
        <v>45915</v>
      </c>
      <c r="H741">
        <f t="shared" si="263"/>
        <v>365</v>
      </c>
      <c r="I741">
        <f t="shared" si="264"/>
        <v>31</v>
      </c>
      <c r="J741">
        <f t="shared" si="265"/>
        <v>8.4931506849315067E-2</v>
      </c>
      <c r="K741">
        <f>IFERROR($J741/IF($A741&lt;COUNTIFS($K$1:K$1,"&lt;&gt;"),0,SUMIFS($J:$J,$B:$B,$B741,$A:$A,"&gt;="&amp;COUNTIFS($K$1:K$1,"&lt;&gt;"))),0)</f>
        <v>8.8825214899713484E-2</v>
      </c>
      <c r="L741">
        <f>IFERROR($J741/IF($A741&lt;COUNTIFS($K$1:L$1,"&lt;&gt;"),0,SUMIFS($J:$J,$B:$B,$B741,$A:$A,"&gt;="&amp;COUNTIFS($K$1:L$1,"&lt;&gt;"))),0)</f>
        <v>9.7484276729559768E-2</v>
      </c>
      <c r="M741">
        <f>IFERROR($J741/IF($A741&lt;COUNTIFS($K$1:M$1,"&lt;&gt;"),0,SUMIFS($J:$J,$B:$B,$B741,$A:$A,"&gt;="&amp;COUNTIFS($K$1:M$1,"&lt;&gt;"))),0)</f>
        <v>0.10763888888888891</v>
      </c>
      <c r="N741">
        <f>IFERROR($J741/IF($A741&lt;COUNTIFS($K$1:N$1,"&lt;&gt;"),0,SUMIFS($J:$J,$B:$B,$B741,$A:$A,"&gt;="&amp;COUNTIFS($K$1:N$1,"&lt;&gt;"))),0)</f>
        <v>0.12062256809338523</v>
      </c>
      <c r="O741">
        <f>IFERROR($J741/IF($A741&lt;COUNTIFS($K$1:O$1,"&lt;&gt;"),0,SUMIFS($J:$J,$B:$B,$B741,$A:$A,"&gt;="&amp;COUNTIFS($K$1:O$1,"&lt;&gt;"))),0)</f>
        <v>0.13716814159292037</v>
      </c>
      <c r="P741">
        <f>IFERROR($J741/IF($A741&lt;COUNTIFS($K$1:P$1,"&lt;&gt;"),0,SUMIFS($J:$J,$B:$B,$B741,$A:$A,"&gt;="&amp;COUNTIFS($K$1:P$1,"&lt;&gt;"))),0)</f>
        <v>0.1565656565656566</v>
      </c>
      <c r="Q741">
        <f>IFERROR($J741/IF($A741&lt;COUNTIFS($K$1:Q$1,"&lt;&gt;"),0,SUMIFS($J:$J,$B:$B,$B741,$A:$A,"&gt;="&amp;COUNTIFS($K$1:Q$1,"&lt;&gt;"))),0)</f>
        <v>0.18562874251497008</v>
      </c>
      <c r="R741">
        <f>IFERROR($J741/IF($A741&lt;COUNTIFS($K$1:R$1,"&lt;&gt;"),0,SUMIFS($J:$J,$B:$B,$B741,$A:$A,"&gt;="&amp;COUNTIFS($K$1:R$1,"&lt;&gt;"))),0)</f>
        <v>0.22627737226277375</v>
      </c>
      <c r="S741">
        <f>IFERROR($J741/IF($A741&lt;COUNTIFS($K$1:S$1,"&lt;&gt;"),0,SUMIFS($J:$J,$B:$B,$B741,$A:$A,"&gt;="&amp;COUNTIFS($K$1:S$1,"&lt;&gt;"))),0)</f>
        <v>0.29245283018867929</v>
      </c>
      <c r="T741">
        <f>IFERROR($J741/IF($A741&lt;COUNTIFS($K$1:T$1,"&lt;&gt;"),0,SUMIFS($J:$J,$B:$B,$B741,$A:$A,"&gt;="&amp;COUNTIFS($K$1:T$1,"&lt;&gt;"))),0)</f>
        <v>0.40789473684210525</v>
      </c>
      <c r="U741">
        <f>IFERROR($J741/IF($A741&lt;COUNTIFS($K$1:U$1,"&lt;&gt;"),0,SUMIFS($J:$J,$B:$B,$B741,$A:$A,"&gt;="&amp;COUNTIFS($K$1:U$1,"&lt;&gt;"))),0)</f>
        <v>0.68888888888888888</v>
      </c>
      <c r="V741">
        <f>IFERROR($J741/IF($A741&lt;COUNTIFS($K$1:V$1,"&lt;&gt;"),0,SUMIFS($J:$J,$B:$B,$B741,$A:$A,"&gt;="&amp;COUNTIFS($K$1:V$1,"&lt;&gt;"))),0)</f>
        <v>0</v>
      </c>
      <c r="W741">
        <f t="shared" si="266"/>
        <v>8.4931506849315067E-2</v>
      </c>
      <c r="X741">
        <f t="shared" si="246"/>
        <v>8.4931506849315067E-2</v>
      </c>
      <c r="Y741">
        <f t="shared" si="247"/>
        <v>8.4931506849315067E-2</v>
      </c>
      <c r="Z741">
        <f t="shared" si="248"/>
        <v>8.4931506849315067E-2</v>
      </c>
      <c r="AA741">
        <f t="shared" si="249"/>
        <v>8.4931506849315067E-2</v>
      </c>
      <c r="AB741">
        <f t="shared" si="250"/>
        <v>8.4931506849315067E-2</v>
      </c>
      <c r="AC741">
        <f t="shared" si="251"/>
        <v>8.4931506849315067E-2</v>
      </c>
      <c r="AD741">
        <f t="shared" si="252"/>
        <v>8.4931506849315067E-2</v>
      </c>
      <c r="AE741">
        <f t="shared" si="253"/>
        <v>8.4931506849315067E-2</v>
      </c>
      <c r="AF741">
        <f t="shared" si="254"/>
        <v>8.4931506849315067E-2</v>
      </c>
      <c r="AG741">
        <f t="shared" si="255"/>
        <v>8.4931506849315067E-2</v>
      </c>
      <c r="AH741">
        <f t="shared" si="256"/>
        <v>8.4931506849315067E-2</v>
      </c>
      <c r="AI741">
        <f t="shared" si="257"/>
        <v>0</v>
      </c>
      <c r="AJ741" s="2" t="str">
        <f t="shared" si="267"/>
        <v>1145536</v>
      </c>
    </row>
    <row r="742" spans="1:36" x14ac:dyDescent="0.25">
      <c r="A742">
        <v>12</v>
      </c>
      <c r="B742" s="1">
        <v>45536</v>
      </c>
      <c r="C742" s="1">
        <f t="shared" si="258"/>
        <v>45901</v>
      </c>
      <c r="D742" s="1">
        <f t="shared" si="259"/>
        <v>45550</v>
      </c>
      <c r="E742" s="1">
        <f t="shared" si="260"/>
        <v>45901</v>
      </c>
      <c r="F742" s="1">
        <f t="shared" si="261"/>
        <v>45915</v>
      </c>
      <c r="G742" s="1">
        <f t="shared" si="262"/>
        <v>45915</v>
      </c>
      <c r="H742">
        <f t="shared" si="263"/>
        <v>365</v>
      </c>
      <c r="I742">
        <f t="shared" si="264"/>
        <v>14</v>
      </c>
      <c r="J742">
        <f t="shared" si="265"/>
        <v>3.8356164383561646E-2</v>
      </c>
      <c r="K742">
        <f>IFERROR($J742/IF($A742&lt;COUNTIFS($K$1:K$1,"&lt;&gt;"),0,SUMIFS($J:$J,$B:$B,$B742,$A:$A,"&gt;="&amp;COUNTIFS($K$1:K$1,"&lt;&gt;"))),0)</f>
        <v>4.0114613180515769E-2</v>
      </c>
      <c r="L742">
        <f>IFERROR($J742/IF($A742&lt;COUNTIFS($K$1:L$1,"&lt;&gt;"),0,SUMIFS($J:$J,$B:$B,$B742,$A:$A,"&gt;="&amp;COUNTIFS($K$1:L$1,"&lt;&gt;"))),0)</f>
        <v>4.4025157232704414E-2</v>
      </c>
      <c r="M742">
        <f>IFERROR($J742/IF($A742&lt;COUNTIFS($K$1:M$1,"&lt;&gt;"),0,SUMIFS($J:$J,$B:$B,$B742,$A:$A,"&gt;="&amp;COUNTIFS($K$1:M$1,"&lt;&gt;"))),0)</f>
        <v>4.8611111111111119E-2</v>
      </c>
      <c r="N742">
        <f>IFERROR($J742/IF($A742&lt;COUNTIFS($K$1:N$1,"&lt;&gt;"),0,SUMIFS($J:$J,$B:$B,$B742,$A:$A,"&gt;="&amp;COUNTIFS($K$1:N$1,"&lt;&gt;"))),0)</f>
        <v>5.447470817120624E-2</v>
      </c>
      <c r="O742">
        <f>IFERROR($J742/IF($A742&lt;COUNTIFS($K$1:O$1,"&lt;&gt;"),0,SUMIFS($J:$J,$B:$B,$B742,$A:$A,"&gt;="&amp;COUNTIFS($K$1:O$1,"&lt;&gt;"))),0)</f>
        <v>6.194690265486727E-2</v>
      </c>
      <c r="P742">
        <f>IFERROR($J742/IF($A742&lt;COUNTIFS($K$1:P$1,"&lt;&gt;"),0,SUMIFS($J:$J,$B:$B,$B742,$A:$A,"&gt;="&amp;COUNTIFS($K$1:P$1,"&lt;&gt;"))),0)</f>
        <v>7.0707070707070732E-2</v>
      </c>
      <c r="Q742">
        <f>IFERROR($J742/IF($A742&lt;COUNTIFS($K$1:Q$1,"&lt;&gt;"),0,SUMIFS($J:$J,$B:$B,$B742,$A:$A,"&gt;="&amp;COUNTIFS($K$1:Q$1,"&lt;&gt;"))),0)</f>
        <v>8.3832335329341326E-2</v>
      </c>
      <c r="R742">
        <f>IFERROR($J742/IF($A742&lt;COUNTIFS($K$1:R$1,"&lt;&gt;"),0,SUMIFS($J:$J,$B:$B,$B742,$A:$A,"&gt;="&amp;COUNTIFS($K$1:R$1,"&lt;&gt;"))),0)</f>
        <v>0.10218978102189782</v>
      </c>
      <c r="S742">
        <f>IFERROR($J742/IF($A742&lt;COUNTIFS($K$1:S$1,"&lt;&gt;"),0,SUMIFS($J:$J,$B:$B,$B742,$A:$A,"&gt;="&amp;COUNTIFS($K$1:S$1,"&lt;&gt;"))),0)</f>
        <v>0.13207547169811323</v>
      </c>
      <c r="T742">
        <f>IFERROR($J742/IF($A742&lt;COUNTIFS($K$1:T$1,"&lt;&gt;"),0,SUMIFS($J:$J,$B:$B,$B742,$A:$A,"&gt;="&amp;COUNTIFS($K$1:T$1,"&lt;&gt;"))),0)</f>
        <v>0.18421052631578949</v>
      </c>
      <c r="U742">
        <f>IFERROR($J742/IF($A742&lt;COUNTIFS($K$1:U$1,"&lt;&gt;"),0,SUMIFS($J:$J,$B:$B,$B742,$A:$A,"&gt;="&amp;COUNTIFS($K$1:U$1,"&lt;&gt;"))),0)</f>
        <v>0.31111111111111117</v>
      </c>
      <c r="V742">
        <f>IFERROR($J742/IF($A742&lt;COUNTIFS($K$1:V$1,"&lt;&gt;"),0,SUMIFS($J:$J,$B:$B,$B742,$A:$A,"&gt;="&amp;COUNTIFS($K$1:V$1,"&lt;&gt;"))),0)</f>
        <v>1</v>
      </c>
      <c r="W742">
        <f t="shared" si="266"/>
        <v>3.8356164383561646E-2</v>
      </c>
      <c r="X742">
        <f t="shared" si="246"/>
        <v>3.8356164383561646E-2</v>
      </c>
      <c r="Y742">
        <f t="shared" si="247"/>
        <v>3.8356164383561646E-2</v>
      </c>
      <c r="Z742">
        <f t="shared" si="248"/>
        <v>3.8356164383561646E-2</v>
      </c>
      <c r="AA742">
        <f t="shared" si="249"/>
        <v>3.8356164383561646E-2</v>
      </c>
      <c r="AB742">
        <f t="shared" si="250"/>
        <v>3.8356164383561646E-2</v>
      </c>
      <c r="AC742">
        <f t="shared" si="251"/>
        <v>3.8356164383561646E-2</v>
      </c>
      <c r="AD742">
        <f t="shared" si="252"/>
        <v>3.8356164383561646E-2</v>
      </c>
      <c r="AE742">
        <f t="shared" si="253"/>
        <v>3.8356164383561646E-2</v>
      </c>
      <c r="AF742">
        <f t="shared" si="254"/>
        <v>3.8356164383561646E-2</v>
      </c>
      <c r="AG742">
        <f t="shared" si="255"/>
        <v>3.8356164383561646E-2</v>
      </c>
      <c r="AH742">
        <f t="shared" si="256"/>
        <v>3.8356164383561646E-2</v>
      </c>
      <c r="AI742">
        <f t="shared" si="257"/>
        <v>3.8356164383561646E-2</v>
      </c>
      <c r="AJ742" s="2" t="str">
        <f t="shared" si="267"/>
        <v>1245536</v>
      </c>
    </row>
    <row r="743" spans="1:36" x14ac:dyDescent="0.25">
      <c r="A743">
        <v>0</v>
      </c>
      <c r="B743" s="1">
        <v>45566</v>
      </c>
      <c r="C743" s="1">
        <f t="shared" si="258"/>
        <v>45566</v>
      </c>
      <c r="D743" s="1">
        <f t="shared" si="259"/>
        <v>45580</v>
      </c>
      <c r="E743" s="1">
        <f t="shared" si="260"/>
        <v>45580</v>
      </c>
      <c r="F743" s="1">
        <f t="shared" si="261"/>
        <v>45597</v>
      </c>
      <c r="G743" s="1">
        <f t="shared" si="262"/>
        <v>45945</v>
      </c>
      <c r="H743">
        <f t="shared" si="263"/>
        <v>365</v>
      </c>
      <c r="I743">
        <f t="shared" si="264"/>
        <v>17</v>
      </c>
      <c r="J743">
        <f t="shared" si="265"/>
        <v>4.6575342465753428E-2</v>
      </c>
      <c r="K743">
        <f>IFERROR($J743/IF($A743&lt;COUNTIFS($K$1:K$1,"&lt;&gt;"),0,SUMIFS($J:$J,$B:$B,$B743,$A:$A,"&gt;="&amp;COUNTIFS($K$1:K$1,"&lt;&gt;"))),0)</f>
        <v>0</v>
      </c>
      <c r="L743">
        <f>IFERROR($J743/IF($A743&lt;COUNTIFS($K$1:L$1,"&lt;&gt;"),0,SUMIFS($J:$J,$B:$B,$B743,$A:$A,"&gt;="&amp;COUNTIFS($K$1:L$1,"&lt;&gt;"))),0)</f>
        <v>0</v>
      </c>
      <c r="M743">
        <f>IFERROR($J743/IF($A743&lt;COUNTIFS($K$1:M$1,"&lt;&gt;"),0,SUMIFS($J:$J,$B:$B,$B743,$A:$A,"&gt;="&amp;COUNTIFS($K$1:M$1,"&lt;&gt;"))),0)</f>
        <v>0</v>
      </c>
      <c r="N743">
        <f>IFERROR($J743/IF($A743&lt;COUNTIFS($K$1:N$1,"&lt;&gt;"),0,SUMIFS($J:$J,$B:$B,$B743,$A:$A,"&gt;="&amp;COUNTIFS($K$1:N$1,"&lt;&gt;"))),0)</f>
        <v>0</v>
      </c>
      <c r="O743">
        <f>IFERROR($J743/IF($A743&lt;COUNTIFS($K$1:O$1,"&lt;&gt;"),0,SUMIFS($J:$J,$B:$B,$B743,$A:$A,"&gt;="&amp;COUNTIFS($K$1:O$1,"&lt;&gt;"))),0)</f>
        <v>0</v>
      </c>
      <c r="P743">
        <f>IFERROR($J743/IF($A743&lt;COUNTIFS($K$1:P$1,"&lt;&gt;"),0,SUMIFS($J:$J,$B:$B,$B743,$A:$A,"&gt;="&amp;COUNTIFS($K$1:P$1,"&lt;&gt;"))),0)</f>
        <v>0</v>
      </c>
      <c r="Q743">
        <f>IFERROR($J743/IF($A743&lt;COUNTIFS($K$1:Q$1,"&lt;&gt;"),0,SUMIFS($J:$J,$B:$B,$B743,$A:$A,"&gt;="&amp;COUNTIFS($K$1:Q$1,"&lt;&gt;"))),0)</f>
        <v>0</v>
      </c>
      <c r="R743">
        <f>IFERROR($J743/IF($A743&lt;COUNTIFS($K$1:R$1,"&lt;&gt;"),0,SUMIFS($J:$J,$B:$B,$B743,$A:$A,"&gt;="&amp;COUNTIFS($K$1:R$1,"&lt;&gt;"))),0)</f>
        <v>0</v>
      </c>
      <c r="S743">
        <f>IFERROR($J743/IF($A743&lt;COUNTIFS($K$1:S$1,"&lt;&gt;"),0,SUMIFS($J:$J,$B:$B,$B743,$A:$A,"&gt;="&amp;COUNTIFS($K$1:S$1,"&lt;&gt;"))),0)</f>
        <v>0</v>
      </c>
      <c r="T743">
        <f>IFERROR($J743/IF($A743&lt;COUNTIFS($K$1:T$1,"&lt;&gt;"),0,SUMIFS($J:$J,$B:$B,$B743,$A:$A,"&gt;="&amp;COUNTIFS($K$1:T$1,"&lt;&gt;"))),0)</f>
        <v>0</v>
      </c>
      <c r="U743">
        <f>IFERROR($J743/IF($A743&lt;COUNTIFS($K$1:U$1,"&lt;&gt;"),0,SUMIFS($J:$J,$B:$B,$B743,$A:$A,"&gt;="&amp;COUNTIFS($K$1:U$1,"&lt;&gt;"))),0)</f>
        <v>0</v>
      </c>
      <c r="V743">
        <f>IFERROR($J743/IF($A743&lt;COUNTIFS($K$1:V$1,"&lt;&gt;"),0,SUMIFS($J:$J,$B:$B,$B743,$A:$A,"&gt;="&amp;COUNTIFS($K$1:V$1,"&lt;&gt;"))),0)</f>
        <v>0</v>
      </c>
      <c r="W743">
        <f t="shared" si="266"/>
        <v>4.6575342465753428E-2</v>
      </c>
      <c r="X743">
        <f t="shared" si="246"/>
        <v>0</v>
      </c>
      <c r="Y743">
        <f t="shared" si="247"/>
        <v>0</v>
      </c>
      <c r="Z743">
        <f t="shared" si="248"/>
        <v>0</v>
      </c>
      <c r="AA743">
        <f t="shared" si="249"/>
        <v>0</v>
      </c>
      <c r="AB743">
        <f t="shared" si="250"/>
        <v>0</v>
      </c>
      <c r="AC743">
        <f t="shared" si="251"/>
        <v>0</v>
      </c>
      <c r="AD743">
        <f t="shared" si="252"/>
        <v>0</v>
      </c>
      <c r="AE743">
        <f t="shared" si="253"/>
        <v>0</v>
      </c>
      <c r="AF743">
        <f t="shared" si="254"/>
        <v>0</v>
      </c>
      <c r="AG743">
        <f t="shared" si="255"/>
        <v>0</v>
      </c>
      <c r="AH743">
        <f t="shared" si="256"/>
        <v>0</v>
      </c>
      <c r="AI743">
        <f t="shared" si="257"/>
        <v>0</v>
      </c>
      <c r="AJ743" s="2" t="str">
        <f t="shared" si="267"/>
        <v>045566</v>
      </c>
    </row>
    <row r="744" spans="1:36" x14ac:dyDescent="0.25">
      <c r="A744">
        <v>1</v>
      </c>
      <c r="B744" s="1">
        <v>45566</v>
      </c>
      <c r="C744" s="1">
        <f t="shared" si="258"/>
        <v>45597</v>
      </c>
      <c r="D744" s="1">
        <f t="shared" si="259"/>
        <v>45580</v>
      </c>
      <c r="E744" s="1">
        <f t="shared" si="260"/>
        <v>45597</v>
      </c>
      <c r="F744" s="1">
        <f t="shared" si="261"/>
        <v>45627</v>
      </c>
      <c r="G744" s="1">
        <f t="shared" si="262"/>
        <v>45945</v>
      </c>
      <c r="H744">
        <f t="shared" si="263"/>
        <v>365</v>
      </c>
      <c r="I744">
        <f t="shared" si="264"/>
        <v>30</v>
      </c>
      <c r="J744">
        <f t="shared" si="265"/>
        <v>8.2191780821917804E-2</v>
      </c>
      <c r="K744">
        <f>IFERROR($J744/IF($A744&lt;COUNTIFS($K$1:K$1,"&lt;&gt;"),0,SUMIFS($J:$J,$B:$B,$B744,$A:$A,"&gt;="&amp;COUNTIFS($K$1:K$1,"&lt;&gt;"))),0)</f>
        <v>8.6206896551724144E-2</v>
      </c>
      <c r="L744">
        <f>IFERROR($J744/IF($A744&lt;COUNTIFS($K$1:L$1,"&lt;&gt;"),0,SUMIFS($J:$J,$B:$B,$B744,$A:$A,"&gt;="&amp;COUNTIFS($K$1:L$1,"&lt;&gt;"))),0)</f>
        <v>0</v>
      </c>
      <c r="M744">
        <f>IFERROR($J744/IF($A744&lt;COUNTIFS($K$1:M$1,"&lt;&gt;"),0,SUMIFS($J:$J,$B:$B,$B744,$A:$A,"&gt;="&amp;COUNTIFS($K$1:M$1,"&lt;&gt;"))),0)</f>
        <v>0</v>
      </c>
      <c r="N744">
        <f>IFERROR($J744/IF($A744&lt;COUNTIFS($K$1:N$1,"&lt;&gt;"),0,SUMIFS($J:$J,$B:$B,$B744,$A:$A,"&gt;="&amp;COUNTIFS($K$1:N$1,"&lt;&gt;"))),0)</f>
        <v>0</v>
      </c>
      <c r="O744">
        <f>IFERROR($J744/IF($A744&lt;COUNTIFS($K$1:O$1,"&lt;&gt;"),0,SUMIFS($J:$J,$B:$B,$B744,$A:$A,"&gt;="&amp;COUNTIFS($K$1:O$1,"&lt;&gt;"))),0)</f>
        <v>0</v>
      </c>
      <c r="P744">
        <f>IFERROR($J744/IF($A744&lt;COUNTIFS($K$1:P$1,"&lt;&gt;"),0,SUMIFS($J:$J,$B:$B,$B744,$A:$A,"&gt;="&amp;COUNTIFS($K$1:P$1,"&lt;&gt;"))),0)</f>
        <v>0</v>
      </c>
      <c r="Q744">
        <f>IFERROR($J744/IF($A744&lt;COUNTIFS($K$1:Q$1,"&lt;&gt;"),0,SUMIFS($J:$J,$B:$B,$B744,$A:$A,"&gt;="&amp;COUNTIFS($K$1:Q$1,"&lt;&gt;"))),0)</f>
        <v>0</v>
      </c>
      <c r="R744">
        <f>IFERROR($J744/IF($A744&lt;COUNTIFS($K$1:R$1,"&lt;&gt;"),0,SUMIFS($J:$J,$B:$B,$B744,$A:$A,"&gt;="&amp;COUNTIFS($K$1:R$1,"&lt;&gt;"))),0)</f>
        <v>0</v>
      </c>
      <c r="S744">
        <f>IFERROR($J744/IF($A744&lt;COUNTIFS($K$1:S$1,"&lt;&gt;"),0,SUMIFS($J:$J,$B:$B,$B744,$A:$A,"&gt;="&amp;COUNTIFS($K$1:S$1,"&lt;&gt;"))),0)</f>
        <v>0</v>
      </c>
      <c r="T744">
        <f>IFERROR($J744/IF($A744&lt;COUNTIFS($K$1:T$1,"&lt;&gt;"),0,SUMIFS($J:$J,$B:$B,$B744,$A:$A,"&gt;="&amp;COUNTIFS($K$1:T$1,"&lt;&gt;"))),0)</f>
        <v>0</v>
      </c>
      <c r="U744">
        <f>IFERROR($J744/IF($A744&lt;COUNTIFS($K$1:U$1,"&lt;&gt;"),0,SUMIFS($J:$J,$B:$B,$B744,$A:$A,"&gt;="&amp;COUNTIFS($K$1:U$1,"&lt;&gt;"))),0)</f>
        <v>0</v>
      </c>
      <c r="V744">
        <f>IFERROR($J744/IF($A744&lt;COUNTIFS($K$1:V$1,"&lt;&gt;"),0,SUMIFS($J:$J,$B:$B,$B744,$A:$A,"&gt;="&amp;COUNTIFS($K$1:V$1,"&lt;&gt;"))),0)</f>
        <v>0</v>
      </c>
      <c r="W744">
        <f t="shared" si="266"/>
        <v>8.2191780821917804E-2</v>
      </c>
      <c r="X744">
        <f t="shared" si="246"/>
        <v>8.2191780821917804E-2</v>
      </c>
      <c r="Y744">
        <f t="shared" si="247"/>
        <v>0</v>
      </c>
      <c r="Z744">
        <f t="shared" si="248"/>
        <v>0</v>
      </c>
      <c r="AA744">
        <f t="shared" si="249"/>
        <v>0</v>
      </c>
      <c r="AB744">
        <f t="shared" si="250"/>
        <v>0</v>
      </c>
      <c r="AC744">
        <f t="shared" si="251"/>
        <v>0</v>
      </c>
      <c r="AD744">
        <f t="shared" si="252"/>
        <v>0</v>
      </c>
      <c r="AE744">
        <f t="shared" si="253"/>
        <v>0</v>
      </c>
      <c r="AF744">
        <f t="shared" si="254"/>
        <v>0</v>
      </c>
      <c r="AG744">
        <f t="shared" si="255"/>
        <v>0</v>
      </c>
      <c r="AH744">
        <f t="shared" si="256"/>
        <v>0</v>
      </c>
      <c r="AI744">
        <f t="shared" si="257"/>
        <v>0</v>
      </c>
      <c r="AJ744" s="2" t="str">
        <f t="shared" si="267"/>
        <v>145566</v>
      </c>
    </row>
    <row r="745" spans="1:36" x14ac:dyDescent="0.25">
      <c r="A745">
        <v>2</v>
      </c>
      <c r="B745" s="1">
        <v>45566</v>
      </c>
      <c r="C745" s="1">
        <f t="shared" si="258"/>
        <v>45627</v>
      </c>
      <c r="D745" s="1">
        <f t="shared" si="259"/>
        <v>45580</v>
      </c>
      <c r="E745" s="1">
        <f t="shared" si="260"/>
        <v>45627</v>
      </c>
      <c r="F745" s="1">
        <f t="shared" si="261"/>
        <v>45658</v>
      </c>
      <c r="G745" s="1">
        <f t="shared" si="262"/>
        <v>45945</v>
      </c>
      <c r="H745">
        <f t="shared" si="263"/>
        <v>365</v>
      </c>
      <c r="I745">
        <f t="shared" si="264"/>
        <v>31</v>
      </c>
      <c r="J745">
        <f t="shared" si="265"/>
        <v>8.4931506849315067E-2</v>
      </c>
      <c r="K745">
        <f>IFERROR($J745/IF($A745&lt;COUNTIFS($K$1:K$1,"&lt;&gt;"),0,SUMIFS($J:$J,$B:$B,$B745,$A:$A,"&gt;="&amp;COUNTIFS($K$1:K$1,"&lt;&gt;"))),0)</f>
        <v>8.9080459770114959E-2</v>
      </c>
      <c r="L745">
        <f>IFERROR($J745/IF($A745&lt;COUNTIFS($K$1:L$1,"&lt;&gt;"),0,SUMIFS($J:$J,$B:$B,$B745,$A:$A,"&gt;="&amp;COUNTIFS($K$1:L$1,"&lt;&gt;"))),0)</f>
        <v>9.7484276729559768E-2</v>
      </c>
      <c r="M745">
        <f>IFERROR($J745/IF($A745&lt;COUNTIFS($K$1:M$1,"&lt;&gt;"),0,SUMIFS($J:$J,$B:$B,$B745,$A:$A,"&gt;="&amp;COUNTIFS($K$1:M$1,"&lt;&gt;"))),0)</f>
        <v>0</v>
      </c>
      <c r="N745">
        <f>IFERROR($J745/IF($A745&lt;COUNTIFS($K$1:N$1,"&lt;&gt;"),0,SUMIFS($J:$J,$B:$B,$B745,$A:$A,"&gt;="&amp;COUNTIFS($K$1:N$1,"&lt;&gt;"))),0)</f>
        <v>0</v>
      </c>
      <c r="O745">
        <f>IFERROR($J745/IF($A745&lt;COUNTIFS($K$1:O$1,"&lt;&gt;"),0,SUMIFS($J:$J,$B:$B,$B745,$A:$A,"&gt;="&amp;COUNTIFS($K$1:O$1,"&lt;&gt;"))),0)</f>
        <v>0</v>
      </c>
      <c r="P745">
        <f>IFERROR($J745/IF($A745&lt;COUNTIFS($K$1:P$1,"&lt;&gt;"),0,SUMIFS($J:$J,$B:$B,$B745,$A:$A,"&gt;="&amp;COUNTIFS($K$1:P$1,"&lt;&gt;"))),0)</f>
        <v>0</v>
      </c>
      <c r="Q745">
        <f>IFERROR($J745/IF($A745&lt;COUNTIFS($K$1:Q$1,"&lt;&gt;"),0,SUMIFS($J:$J,$B:$B,$B745,$A:$A,"&gt;="&amp;COUNTIFS($K$1:Q$1,"&lt;&gt;"))),0)</f>
        <v>0</v>
      </c>
      <c r="R745">
        <f>IFERROR($J745/IF($A745&lt;COUNTIFS($K$1:R$1,"&lt;&gt;"),0,SUMIFS($J:$J,$B:$B,$B745,$A:$A,"&gt;="&amp;COUNTIFS($K$1:R$1,"&lt;&gt;"))),0)</f>
        <v>0</v>
      </c>
      <c r="S745">
        <f>IFERROR($J745/IF($A745&lt;COUNTIFS($K$1:S$1,"&lt;&gt;"),0,SUMIFS($J:$J,$B:$B,$B745,$A:$A,"&gt;="&amp;COUNTIFS($K$1:S$1,"&lt;&gt;"))),0)</f>
        <v>0</v>
      </c>
      <c r="T745">
        <f>IFERROR($J745/IF($A745&lt;COUNTIFS($K$1:T$1,"&lt;&gt;"),0,SUMIFS($J:$J,$B:$B,$B745,$A:$A,"&gt;="&amp;COUNTIFS($K$1:T$1,"&lt;&gt;"))),0)</f>
        <v>0</v>
      </c>
      <c r="U745">
        <f>IFERROR($J745/IF($A745&lt;COUNTIFS($K$1:U$1,"&lt;&gt;"),0,SUMIFS($J:$J,$B:$B,$B745,$A:$A,"&gt;="&amp;COUNTIFS($K$1:U$1,"&lt;&gt;"))),0)</f>
        <v>0</v>
      </c>
      <c r="V745">
        <f>IFERROR($J745/IF($A745&lt;COUNTIFS($K$1:V$1,"&lt;&gt;"),0,SUMIFS($J:$J,$B:$B,$B745,$A:$A,"&gt;="&amp;COUNTIFS($K$1:V$1,"&lt;&gt;"))),0)</f>
        <v>0</v>
      </c>
      <c r="W745">
        <f t="shared" si="266"/>
        <v>8.4931506849315067E-2</v>
      </c>
      <c r="X745">
        <f t="shared" si="246"/>
        <v>8.4931506849315067E-2</v>
      </c>
      <c r="Y745">
        <f t="shared" si="247"/>
        <v>8.4931506849315067E-2</v>
      </c>
      <c r="Z745">
        <f t="shared" si="248"/>
        <v>0</v>
      </c>
      <c r="AA745">
        <f t="shared" si="249"/>
        <v>0</v>
      </c>
      <c r="AB745">
        <f t="shared" si="250"/>
        <v>0</v>
      </c>
      <c r="AC745">
        <f t="shared" si="251"/>
        <v>0</v>
      </c>
      <c r="AD745">
        <f t="shared" si="252"/>
        <v>0</v>
      </c>
      <c r="AE745">
        <f t="shared" si="253"/>
        <v>0</v>
      </c>
      <c r="AF745">
        <f t="shared" si="254"/>
        <v>0</v>
      </c>
      <c r="AG745">
        <f t="shared" si="255"/>
        <v>0</v>
      </c>
      <c r="AH745">
        <f t="shared" si="256"/>
        <v>0</v>
      </c>
      <c r="AI745">
        <f t="shared" si="257"/>
        <v>0</v>
      </c>
      <c r="AJ745" s="2" t="str">
        <f t="shared" si="267"/>
        <v>245566</v>
      </c>
    </row>
    <row r="746" spans="1:36" x14ac:dyDescent="0.25">
      <c r="A746">
        <v>3</v>
      </c>
      <c r="B746" s="1">
        <v>45566</v>
      </c>
      <c r="C746" s="1">
        <f t="shared" si="258"/>
        <v>45658</v>
      </c>
      <c r="D746" s="1">
        <f t="shared" si="259"/>
        <v>45580</v>
      </c>
      <c r="E746" s="1">
        <f t="shared" si="260"/>
        <v>45658</v>
      </c>
      <c r="F746" s="1">
        <f t="shared" si="261"/>
        <v>45689</v>
      </c>
      <c r="G746" s="1">
        <f t="shared" si="262"/>
        <v>45945</v>
      </c>
      <c r="H746">
        <f t="shared" si="263"/>
        <v>365</v>
      </c>
      <c r="I746">
        <f t="shared" si="264"/>
        <v>31</v>
      </c>
      <c r="J746">
        <f t="shared" si="265"/>
        <v>8.4931506849315067E-2</v>
      </c>
      <c r="K746">
        <f>IFERROR($J746/IF($A746&lt;COUNTIFS($K$1:K$1,"&lt;&gt;"),0,SUMIFS($J:$J,$B:$B,$B746,$A:$A,"&gt;="&amp;COUNTIFS($K$1:K$1,"&lt;&gt;"))),0)</f>
        <v>8.9080459770114959E-2</v>
      </c>
      <c r="L746">
        <f>IFERROR($J746/IF($A746&lt;COUNTIFS($K$1:L$1,"&lt;&gt;"),0,SUMIFS($J:$J,$B:$B,$B746,$A:$A,"&gt;="&amp;COUNTIFS($K$1:L$1,"&lt;&gt;"))),0)</f>
        <v>9.7484276729559768E-2</v>
      </c>
      <c r="M746">
        <f>IFERROR($J746/IF($A746&lt;COUNTIFS($K$1:M$1,"&lt;&gt;"),0,SUMIFS($J:$J,$B:$B,$B746,$A:$A,"&gt;="&amp;COUNTIFS($K$1:M$1,"&lt;&gt;"))),0)</f>
        <v>0.10801393728222998</v>
      </c>
      <c r="N746">
        <f>IFERROR($J746/IF($A746&lt;COUNTIFS($K$1:N$1,"&lt;&gt;"),0,SUMIFS($J:$J,$B:$B,$B746,$A:$A,"&gt;="&amp;COUNTIFS($K$1:N$1,"&lt;&gt;"))),0)</f>
        <v>0</v>
      </c>
      <c r="O746">
        <f>IFERROR($J746/IF($A746&lt;COUNTIFS($K$1:O$1,"&lt;&gt;"),0,SUMIFS($J:$J,$B:$B,$B746,$A:$A,"&gt;="&amp;COUNTIFS($K$1:O$1,"&lt;&gt;"))),0)</f>
        <v>0</v>
      </c>
      <c r="P746">
        <f>IFERROR($J746/IF($A746&lt;COUNTIFS($K$1:P$1,"&lt;&gt;"),0,SUMIFS($J:$J,$B:$B,$B746,$A:$A,"&gt;="&amp;COUNTIFS($K$1:P$1,"&lt;&gt;"))),0)</f>
        <v>0</v>
      </c>
      <c r="Q746">
        <f>IFERROR($J746/IF($A746&lt;COUNTIFS($K$1:Q$1,"&lt;&gt;"),0,SUMIFS($J:$J,$B:$B,$B746,$A:$A,"&gt;="&amp;COUNTIFS($K$1:Q$1,"&lt;&gt;"))),0)</f>
        <v>0</v>
      </c>
      <c r="R746">
        <f>IFERROR($J746/IF($A746&lt;COUNTIFS($K$1:R$1,"&lt;&gt;"),0,SUMIFS($J:$J,$B:$B,$B746,$A:$A,"&gt;="&amp;COUNTIFS($K$1:R$1,"&lt;&gt;"))),0)</f>
        <v>0</v>
      </c>
      <c r="S746">
        <f>IFERROR($J746/IF($A746&lt;COUNTIFS($K$1:S$1,"&lt;&gt;"),0,SUMIFS($J:$J,$B:$B,$B746,$A:$A,"&gt;="&amp;COUNTIFS($K$1:S$1,"&lt;&gt;"))),0)</f>
        <v>0</v>
      </c>
      <c r="T746">
        <f>IFERROR($J746/IF($A746&lt;COUNTIFS($K$1:T$1,"&lt;&gt;"),0,SUMIFS($J:$J,$B:$B,$B746,$A:$A,"&gt;="&amp;COUNTIFS($K$1:T$1,"&lt;&gt;"))),0)</f>
        <v>0</v>
      </c>
      <c r="U746">
        <f>IFERROR($J746/IF($A746&lt;COUNTIFS($K$1:U$1,"&lt;&gt;"),0,SUMIFS($J:$J,$B:$B,$B746,$A:$A,"&gt;="&amp;COUNTIFS($K$1:U$1,"&lt;&gt;"))),0)</f>
        <v>0</v>
      </c>
      <c r="V746">
        <f>IFERROR($J746/IF($A746&lt;COUNTIFS($K$1:V$1,"&lt;&gt;"),0,SUMIFS($J:$J,$B:$B,$B746,$A:$A,"&gt;="&amp;COUNTIFS($K$1:V$1,"&lt;&gt;"))),0)</f>
        <v>0</v>
      </c>
      <c r="W746">
        <f t="shared" si="266"/>
        <v>8.4931506849315067E-2</v>
      </c>
      <c r="X746">
        <f t="shared" si="246"/>
        <v>8.4931506849315067E-2</v>
      </c>
      <c r="Y746">
        <f t="shared" si="247"/>
        <v>8.4931506849315067E-2</v>
      </c>
      <c r="Z746">
        <f t="shared" si="248"/>
        <v>8.4931506849315067E-2</v>
      </c>
      <c r="AA746">
        <f t="shared" si="249"/>
        <v>0</v>
      </c>
      <c r="AB746">
        <f t="shared" si="250"/>
        <v>0</v>
      </c>
      <c r="AC746">
        <f t="shared" si="251"/>
        <v>0</v>
      </c>
      <c r="AD746">
        <f t="shared" si="252"/>
        <v>0</v>
      </c>
      <c r="AE746">
        <f t="shared" si="253"/>
        <v>0</v>
      </c>
      <c r="AF746">
        <f t="shared" si="254"/>
        <v>0</v>
      </c>
      <c r="AG746">
        <f t="shared" si="255"/>
        <v>0</v>
      </c>
      <c r="AH746">
        <f t="shared" si="256"/>
        <v>0</v>
      </c>
      <c r="AI746">
        <f t="shared" si="257"/>
        <v>0</v>
      </c>
      <c r="AJ746" s="2" t="str">
        <f t="shared" si="267"/>
        <v>345566</v>
      </c>
    </row>
    <row r="747" spans="1:36" x14ac:dyDescent="0.25">
      <c r="A747">
        <v>4</v>
      </c>
      <c r="B747" s="1">
        <v>45566</v>
      </c>
      <c r="C747" s="1">
        <f t="shared" si="258"/>
        <v>45689</v>
      </c>
      <c r="D747" s="1">
        <f t="shared" si="259"/>
        <v>45580</v>
      </c>
      <c r="E747" s="1">
        <f t="shared" si="260"/>
        <v>45689</v>
      </c>
      <c r="F747" s="1">
        <f t="shared" si="261"/>
        <v>45717</v>
      </c>
      <c r="G747" s="1">
        <f t="shared" si="262"/>
        <v>45945</v>
      </c>
      <c r="H747">
        <f t="shared" si="263"/>
        <v>365</v>
      </c>
      <c r="I747">
        <f t="shared" si="264"/>
        <v>28</v>
      </c>
      <c r="J747">
        <f t="shared" si="265"/>
        <v>7.6712328767123292E-2</v>
      </c>
      <c r="K747">
        <f>IFERROR($J747/IF($A747&lt;COUNTIFS($K$1:K$1,"&lt;&gt;"),0,SUMIFS($J:$J,$B:$B,$B747,$A:$A,"&gt;="&amp;COUNTIFS($K$1:K$1,"&lt;&gt;"))),0)</f>
        <v>8.0459770114942541E-2</v>
      </c>
      <c r="L747">
        <f>IFERROR($J747/IF($A747&lt;COUNTIFS($K$1:L$1,"&lt;&gt;"),0,SUMIFS($J:$J,$B:$B,$B747,$A:$A,"&gt;="&amp;COUNTIFS($K$1:L$1,"&lt;&gt;"))),0)</f>
        <v>8.8050314465408827E-2</v>
      </c>
      <c r="M747">
        <f>IFERROR($J747/IF($A747&lt;COUNTIFS($K$1:M$1,"&lt;&gt;"),0,SUMIFS($J:$J,$B:$B,$B747,$A:$A,"&gt;="&amp;COUNTIFS($K$1:M$1,"&lt;&gt;"))),0)</f>
        <v>9.7560975609756115E-2</v>
      </c>
      <c r="N747">
        <f>IFERROR($J747/IF($A747&lt;COUNTIFS($K$1:N$1,"&lt;&gt;"),0,SUMIFS($J:$J,$B:$B,$B747,$A:$A,"&gt;="&amp;COUNTIFS($K$1:N$1,"&lt;&gt;"))),0)</f>
        <v>0.10937500000000003</v>
      </c>
      <c r="O747">
        <f>IFERROR($J747/IF($A747&lt;COUNTIFS($K$1:O$1,"&lt;&gt;"),0,SUMIFS($J:$J,$B:$B,$B747,$A:$A,"&gt;="&amp;COUNTIFS($K$1:O$1,"&lt;&gt;"))),0)</f>
        <v>0</v>
      </c>
      <c r="P747">
        <f>IFERROR($J747/IF($A747&lt;COUNTIFS($K$1:P$1,"&lt;&gt;"),0,SUMIFS($J:$J,$B:$B,$B747,$A:$A,"&gt;="&amp;COUNTIFS($K$1:P$1,"&lt;&gt;"))),0)</f>
        <v>0</v>
      </c>
      <c r="Q747">
        <f>IFERROR($J747/IF($A747&lt;COUNTIFS($K$1:Q$1,"&lt;&gt;"),0,SUMIFS($J:$J,$B:$B,$B747,$A:$A,"&gt;="&amp;COUNTIFS($K$1:Q$1,"&lt;&gt;"))),0)</f>
        <v>0</v>
      </c>
      <c r="R747">
        <f>IFERROR($J747/IF($A747&lt;COUNTIFS($K$1:R$1,"&lt;&gt;"),0,SUMIFS($J:$J,$B:$B,$B747,$A:$A,"&gt;="&amp;COUNTIFS($K$1:R$1,"&lt;&gt;"))),0)</f>
        <v>0</v>
      </c>
      <c r="S747">
        <f>IFERROR($J747/IF($A747&lt;COUNTIFS($K$1:S$1,"&lt;&gt;"),0,SUMIFS($J:$J,$B:$B,$B747,$A:$A,"&gt;="&amp;COUNTIFS($K$1:S$1,"&lt;&gt;"))),0)</f>
        <v>0</v>
      </c>
      <c r="T747">
        <f>IFERROR($J747/IF($A747&lt;COUNTIFS($K$1:T$1,"&lt;&gt;"),0,SUMIFS($J:$J,$B:$B,$B747,$A:$A,"&gt;="&amp;COUNTIFS($K$1:T$1,"&lt;&gt;"))),0)</f>
        <v>0</v>
      </c>
      <c r="U747">
        <f>IFERROR($J747/IF($A747&lt;COUNTIFS($K$1:U$1,"&lt;&gt;"),0,SUMIFS($J:$J,$B:$B,$B747,$A:$A,"&gt;="&amp;COUNTIFS($K$1:U$1,"&lt;&gt;"))),0)</f>
        <v>0</v>
      </c>
      <c r="V747">
        <f>IFERROR($J747/IF($A747&lt;COUNTIFS($K$1:V$1,"&lt;&gt;"),0,SUMIFS($J:$J,$B:$B,$B747,$A:$A,"&gt;="&amp;COUNTIFS($K$1:V$1,"&lt;&gt;"))),0)</f>
        <v>0</v>
      </c>
      <c r="W747">
        <f t="shared" si="266"/>
        <v>7.6712328767123292E-2</v>
      </c>
      <c r="X747">
        <f t="shared" si="246"/>
        <v>7.6712328767123292E-2</v>
      </c>
      <c r="Y747">
        <f t="shared" si="247"/>
        <v>7.6712328767123292E-2</v>
      </c>
      <c r="Z747">
        <f t="shared" si="248"/>
        <v>7.6712328767123292E-2</v>
      </c>
      <c r="AA747">
        <f t="shared" si="249"/>
        <v>7.6712328767123292E-2</v>
      </c>
      <c r="AB747">
        <f t="shared" si="250"/>
        <v>0</v>
      </c>
      <c r="AC747">
        <f t="shared" si="251"/>
        <v>0</v>
      </c>
      <c r="AD747">
        <f t="shared" si="252"/>
        <v>0</v>
      </c>
      <c r="AE747">
        <f t="shared" si="253"/>
        <v>0</v>
      </c>
      <c r="AF747">
        <f t="shared" si="254"/>
        <v>0</v>
      </c>
      <c r="AG747">
        <f t="shared" si="255"/>
        <v>0</v>
      </c>
      <c r="AH747">
        <f t="shared" si="256"/>
        <v>0</v>
      </c>
      <c r="AI747">
        <f t="shared" si="257"/>
        <v>0</v>
      </c>
      <c r="AJ747" s="2" t="str">
        <f t="shared" si="267"/>
        <v>445566</v>
      </c>
    </row>
    <row r="748" spans="1:36" x14ac:dyDescent="0.25">
      <c r="A748">
        <v>5</v>
      </c>
      <c r="B748" s="1">
        <v>45566</v>
      </c>
      <c r="C748" s="1">
        <f t="shared" si="258"/>
        <v>45717</v>
      </c>
      <c r="D748" s="1">
        <f t="shared" si="259"/>
        <v>45580</v>
      </c>
      <c r="E748" s="1">
        <f t="shared" si="260"/>
        <v>45717</v>
      </c>
      <c r="F748" s="1">
        <f t="shared" si="261"/>
        <v>45748</v>
      </c>
      <c r="G748" s="1">
        <f t="shared" si="262"/>
        <v>45945</v>
      </c>
      <c r="H748">
        <f t="shared" si="263"/>
        <v>365</v>
      </c>
      <c r="I748">
        <f t="shared" si="264"/>
        <v>31</v>
      </c>
      <c r="J748">
        <f t="shared" si="265"/>
        <v>8.4931506849315067E-2</v>
      </c>
      <c r="K748">
        <f>IFERROR($J748/IF($A748&lt;COUNTIFS($K$1:K$1,"&lt;&gt;"),0,SUMIFS($J:$J,$B:$B,$B748,$A:$A,"&gt;="&amp;COUNTIFS($K$1:K$1,"&lt;&gt;"))),0)</f>
        <v>8.9080459770114959E-2</v>
      </c>
      <c r="L748">
        <f>IFERROR($J748/IF($A748&lt;COUNTIFS($K$1:L$1,"&lt;&gt;"),0,SUMIFS($J:$J,$B:$B,$B748,$A:$A,"&gt;="&amp;COUNTIFS($K$1:L$1,"&lt;&gt;"))),0)</f>
        <v>9.7484276729559768E-2</v>
      </c>
      <c r="M748">
        <f>IFERROR($J748/IF($A748&lt;COUNTIFS($K$1:M$1,"&lt;&gt;"),0,SUMIFS($J:$J,$B:$B,$B748,$A:$A,"&gt;="&amp;COUNTIFS($K$1:M$1,"&lt;&gt;"))),0)</f>
        <v>0.10801393728222998</v>
      </c>
      <c r="N748">
        <f>IFERROR($J748/IF($A748&lt;COUNTIFS($K$1:N$1,"&lt;&gt;"),0,SUMIFS($J:$J,$B:$B,$B748,$A:$A,"&gt;="&amp;COUNTIFS($K$1:N$1,"&lt;&gt;"))),0)</f>
        <v>0.12109375000000001</v>
      </c>
      <c r="O748">
        <f>IFERROR($J748/IF($A748&lt;COUNTIFS($K$1:O$1,"&lt;&gt;"),0,SUMIFS($J:$J,$B:$B,$B748,$A:$A,"&gt;="&amp;COUNTIFS($K$1:O$1,"&lt;&gt;"))),0)</f>
        <v>0.13596491228070179</v>
      </c>
      <c r="P748">
        <f>IFERROR($J748/IF($A748&lt;COUNTIFS($K$1:P$1,"&lt;&gt;"),0,SUMIFS($J:$J,$B:$B,$B748,$A:$A,"&gt;="&amp;COUNTIFS($K$1:P$1,"&lt;&gt;"))),0)</f>
        <v>0</v>
      </c>
      <c r="Q748">
        <f>IFERROR($J748/IF($A748&lt;COUNTIFS($K$1:Q$1,"&lt;&gt;"),0,SUMIFS($J:$J,$B:$B,$B748,$A:$A,"&gt;="&amp;COUNTIFS($K$1:Q$1,"&lt;&gt;"))),0)</f>
        <v>0</v>
      </c>
      <c r="R748">
        <f>IFERROR($J748/IF($A748&lt;COUNTIFS($K$1:R$1,"&lt;&gt;"),0,SUMIFS($J:$J,$B:$B,$B748,$A:$A,"&gt;="&amp;COUNTIFS($K$1:R$1,"&lt;&gt;"))),0)</f>
        <v>0</v>
      </c>
      <c r="S748">
        <f>IFERROR($J748/IF($A748&lt;COUNTIFS($K$1:S$1,"&lt;&gt;"),0,SUMIFS($J:$J,$B:$B,$B748,$A:$A,"&gt;="&amp;COUNTIFS($K$1:S$1,"&lt;&gt;"))),0)</f>
        <v>0</v>
      </c>
      <c r="T748">
        <f>IFERROR($J748/IF($A748&lt;COUNTIFS($K$1:T$1,"&lt;&gt;"),0,SUMIFS($J:$J,$B:$B,$B748,$A:$A,"&gt;="&amp;COUNTIFS($K$1:T$1,"&lt;&gt;"))),0)</f>
        <v>0</v>
      </c>
      <c r="U748">
        <f>IFERROR($J748/IF($A748&lt;COUNTIFS($K$1:U$1,"&lt;&gt;"),0,SUMIFS($J:$J,$B:$B,$B748,$A:$A,"&gt;="&amp;COUNTIFS($K$1:U$1,"&lt;&gt;"))),0)</f>
        <v>0</v>
      </c>
      <c r="V748">
        <f>IFERROR($J748/IF($A748&lt;COUNTIFS($K$1:V$1,"&lt;&gt;"),0,SUMIFS($J:$J,$B:$B,$B748,$A:$A,"&gt;="&amp;COUNTIFS($K$1:V$1,"&lt;&gt;"))),0)</f>
        <v>0</v>
      </c>
      <c r="W748">
        <f t="shared" si="266"/>
        <v>8.4931506849315067E-2</v>
      </c>
      <c r="X748">
        <f t="shared" si="246"/>
        <v>8.4931506849315067E-2</v>
      </c>
      <c r="Y748">
        <f t="shared" si="247"/>
        <v>8.4931506849315067E-2</v>
      </c>
      <c r="Z748">
        <f t="shared" si="248"/>
        <v>8.4931506849315067E-2</v>
      </c>
      <c r="AA748">
        <f t="shared" si="249"/>
        <v>8.4931506849315067E-2</v>
      </c>
      <c r="AB748">
        <f t="shared" si="250"/>
        <v>8.4931506849315067E-2</v>
      </c>
      <c r="AC748">
        <f t="shared" si="251"/>
        <v>0</v>
      </c>
      <c r="AD748">
        <f t="shared" si="252"/>
        <v>0</v>
      </c>
      <c r="AE748">
        <f t="shared" si="253"/>
        <v>0</v>
      </c>
      <c r="AF748">
        <f t="shared" si="254"/>
        <v>0</v>
      </c>
      <c r="AG748">
        <f t="shared" si="255"/>
        <v>0</v>
      </c>
      <c r="AH748">
        <f t="shared" si="256"/>
        <v>0</v>
      </c>
      <c r="AI748">
        <f t="shared" si="257"/>
        <v>0</v>
      </c>
      <c r="AJ748" s="2" t="str">
        <f t="shared" si="267"/>
        <v>545566</v>
      </c>
    </row>
    <row r="749" spans="1:36" x14ac:dyDescent="0.25">
      <c r="A749">
        <v>6</v>
      </c>
      <c r="B749" s="1">
        <v>45566</v>
      </c>
      <c r="C749" s="1">
        <f t="shared" si="258"/>
        <v>45748</v>
      </c>
      <c r="D749" s="1">
        <f t="shared" si="259"/>
        <v>45580</v>
      </c>
      <c r="E749" s="1">
        <f t="shared" si="260"/>
        <v>45748</v>
      </c>
      <c r="F749" s="1">
        <f t="shared" si="261"/>
        <v>45778</v>
      </c>
      <c r="G749" s="1">
        <f t="shared" si="262"/>
        <v>45945</v>
      </c>
      <c r="H749">
        <f t="shared" si="263"/>
        <v>365</v>
      </c>
      <c r="I749">
        <f t="shared" si="264"/>
        <v>30</v>
      </c>
      <c r="J749">
        <f t="shared" si="265"/>
        <v>8.2191780821917804E-2</v>
      </c>
      <c r="K749">
        <f>IFERROR($J749/IF($A749&lt;COUNTIFS($K$1:K$1,"&lt;&gt;"),0,SUMIFS($J:$J,$B:$B,$B749,$A:$A,"&gt;="&amp;COUNTIFS($K$1:K$1,"&lt;&gt;"))),0)</f>
        <v>8.6206896551724144E-2</v>
      </c>
      <c r="L749">
        <f>IFERROR($J749/IF($A749&lt;COUNTIFS($K$1:L$1,"&lt;&gt;"),0,SUMIFS($J:$J,$B:$B,$B749,$A:$A,"&gt;="&amp;COUNTIFS($K$1:L$1,"&lt;&gt;"))),0)</f>
        <v>9.4339622641509441E-2</v>
      </c>
      <c r="M749">
        <f>IFERROR($J749/IF($A749&lt;COUNTIFS($K$1:M$1,"&lt;&gt;"),0,SUMIFS($J:$J,$B:$B,$B749,$A:$A,"&gt;="&amp;COUNTIFS($K$1:M$1,"&lt;&gt;"))),0)</f>
        <v>0.10452961672473869</v>
      </c>
      <c r="N749">
        <f>IFERROR($J749/IF($A749&lt;COUNTIFS($K$1:N$1,"&lt;&gt;"),0,SUMIFS($J:$J,$B:$B,$B749,$A:$A,"&gt;="&amp;COUNTIFS($K$1:N$1,"&lt;&gt;"))),0)</f>
        <v>0.11718750000000001</v>
      </c>
      <c r="O749">
        <f>IFERROR($J749/IF($A749&lt;COUNTIFS($K$1:O$1,"&lt;&gt;"),0,SUMIFS($J:$J,$B:$B,$B749,$A:$A,"&gt;="&amp;COUNTIFS($K$1:O$1,"&lt;&gt;"))),0)</f>
        <v>0.13157894736842107</v>
      </c>
      <c r="P749">
        <f>IFERROR($J749/IF($A749&lt;COUNTIFS($K$1:P$1,"&lt;&gt;"),0,SUMIFS($J:$J,$B:$B,$B749,$A:$A,"&gt;="&amp;COUNTIFS($K$1:P$1,"&lt;&gt;"))),0)</f>
        <v>0.15228426395939088</v>
      </c>
      <c r="Q749">
        <f>IFERROR($J749/IF($A749&lt;COUNTIFS($K$1:Q$1,"&lt;&gt;"),0,SUMIFS($J:$J,$B:$B,$B749,$A:$A,"&gt;="&amp;COUNTIFS($K$1:Q$1,"&lt;&gt;"))),0)</f>
        <v>0</v>
      </c>
      <c r="R749">
        <f>IFERROR($J749/IF($A749&lt;COUNTIFS($K$1:R$1,"&lt;&gt;"),0,SUMIFS($J:$J,$B:$B,$B749,$A:$A,"&gt;="&amp;COUNTIFS($K$1:R$1,"&lt;&gt;"))),0)</f>
        <v>0</v>
      </c>
      <c r="S749">
        <f>IFERROR($J749/IF($A749&lt;COUNTIFS($K$1:S$1,"&lt;&gt;"),0,SUMIFS($J:$J,$B:$B,$B749,$A:$A,"&gt;="&amp;COUNTIFS($K$1:S$1,"&lt;&gt;"))),0)</f>
        <v>0</v>
      </c>
      <c r="T749">
        <f>IFERROR($J749/IF($A749&lt;COUNTIFS($K$1:T$1,"&lt;&gt;"),0,SUMIFS($J:$J,$B:$B,$B749,$A:$A,"&gt;="&amp;COUNTIFS($K$1:T$1,"&lt;&gt;"))),0)</f>
        <v>0</v>
      </c>
      <c r="U749">
        <f>IFERROR($J749/IF($A749&lt;COUNTIFS($K$1:U$1,"&lt;&gt;"),0,SUMIFS($J:$J,$B:$B,$B749,$A:$A,"&gt;="&amp;COUNTIFS($K$1:U$1,"&lt;&gt;"))),0)</f>
        <v>0</v>
      </c>
      <c r="V749">
        <f>IFERROR($J749/IF($A749&lt;COUNTIFS($K$1:V$1,"&lt;&gt;"),0,SUMIFS($J:$J,$B:$B,$B749,$A:$A,"&gt;="&amp;COUNTIFS($K$1:V$1,"&lt;&gt;"))),0)</f>
        <v>0</v>
      </c>
      <c r="W749">
        <f t="shared" si="266"/>
        <v>8.2191780821917804E-2</v>
      </c>
      <c r="X749">
        <f t="shared" si="246"/>
        <v>8.2191780821917804E-2</v>
      </c>
      <c r="Y749">
        <f t="shared" si="247"/>
        <v>8.2191780821917804E-2</v>
      </c>
      <c r="Z749">
        <f t="shared" si="248"/>
        <v>8.2191780821917804E-2</v>
      </c>
      <c r="AA749">
        <f t="shared" si="249"/>
        <v>8.2191780821917804E-2</v>
      </c>
      <c r="AB749">
        <f t="shared" si="250"/>
        <v>8.2191780821917804E-2</v>
      </c>
      <c r="AC749">
        <f t="shared" si="251"/>
        <v>8.2191780821917804E-2</v>
      </c>
      <c r="AD749">
        <f t="shared" si="252"/>
        <v>0</v>
      </c>
      <c r="AE749">
        <f t="shared" si="253"/>
        <v>0</v>
      </c>
      <c r="AF749">
        <f t="shared" si="254"/>
        <v>0</v>
      </c>
      <c r="AG749">
        <f t="shared" si="255"/>
        <v>0</v>
      </c>
      <c r="AH749">
        <f t="shared" si="256"/>
        <v>0</v>
      </c>
      <c r="AI749">
        <f t="shared" si="257"/>
        <v>0</v>
      </c>
      <c r="AJ749" s="2" t="str">
        <f t="shared" si="267"/>
        <v>645566</v>
      </c>
    </row>
    <row r="750" spans="1:36" x14ac:dyDescent="0.25">
      <c r="A750">
        <v>7</v>
      </c>
      <c r="B750" s="1">
        <v>45566</v>
      </c>
      <c r="C750" s="1">
        <f t="shared" si="258"/>
        <v>45778</v>
      </c>
      <c r="D750" s="1">
        <f t="shared" si="259"/>
        <v>45580</v>
      </c>
      <c r="E750" s="1">
        <f t="shared" si="260"/>
        <v>45778</v>
      </c>
      <c r="F750" s="1">
        <f t="shared" si="261"/>
        <v>45809</v>
      </c>
      <c r="G750" s="1">
        <f t="shared" si="262"/>
        <v>45945</v>
      </c>
      <c r="H750">
        <f t="shared" si="263"/>
        <v>365</v>
      </c>
      <c r="I750">
        <f t="shared" si="264"/>
        <v>31</v>
      </c>
      <c r="J750">
        <f t="shared" si="265"/>
        <v>8.4931506849315067E-2</v>
      </c>
      <c r="K750">
        <f>IFERROR($J750/IF($A750&lt;COUNTIFS($K$1:K$1,"&lt;&gt;"),0,SUMIFS($J:$J,$B:$B,$B750,$A:$A,"&gt;="&amp;COUNTIFS($K$1:K$1,"&lt;&gt;"))),0)</f>
        <v>8.9080459770114959E-2</v>
      </c>
      <c r="L750">
        <f>IFERROR($J750/IF($A750&lt;COUNTIFS($K$1:L$1,"&lt;&gt;"),0,SUMIFS($J:$J,$B:$B,$B750,$A:$A,"&gt;="&amp;COUNTIFS($K$1:L$1,"&lt;&gt;"))),0)</f>
        <v>9.7484276729559768E-2</v>
      </c>
      <c r="M750">
        <f>IFERROR($J750/IF($A750&lt;COUNTIFS($K$1:M$1,"&lt;&gt;"),0,SUMIFS($J:$J,$B:$B,$B750,$A:$A,"&gt;="&amp;COUNTIFS($K$1:M$1,"&lt;&gt;"))),0)</f>
        <v>0.10801393728222998</v>
      </c>
      <c r="N750">
        <f>IFERROR($J750/IF($A750&lt;COUNTIFS($K$1:N$1,"&lt;&gt;"),0,SUMIFS($J:$J,$B:$B,$B750,$A:$A,"&gt;="&amp;COUNTIFS($K$1:N$1,"&lt;&gt;"))),0)</f>
        <v>0.12109375000000001</v>
      </c>
      <c r="O750">
        <f>IFERROR($J750/IF($A750&lt;COUNTIFS($K$1:O$1,"&lt;&gt;"),0,SUMIFS($J:$J,$B:$B,$B750,$A:$A,"&gt;="&amp;COUNTIFS($K$1:O$1,"&lt;&gt;"))),0)</f>
        <v>0.13596491228070179</v>
      </c>
      <c r="P750">
        <f>IFERROR($J750/IF($A750&lt;COUNTIFS($K$1:P$1,"&lt;&gt;"),0,SUMIFS($J:$J,$B:$B,$B750,$A:$A,"&gt;="&amp;COUNTIFS($K$1:P$1,"&lt;&gt;"))),0)</f>
        <v>0.15736040609137059</v>
      </c>
      <c r="Q750">
        <f>IFERROR($J750/IF($A750&lt;COUNTIFS($K$1:Q$1,"&lt;&gt;"),0,SUMIFS($J:$J,$B:$B,$B750,$A:$A,"&gt;="&amp;COUNTIFS($K$1:Q$1,"&lt;&gt;"))),0)</f>
        <v>0.18562874251497008</v>
      </c>
      <c r="R750">
        <f>IFERROR($J750/IF($A750&lt;COUNTIFS($K$1:R$1,"&lt;&gt;"),0,SUMIFS($J:$J,$B:$B,$B750,$A:$A,"&gt;="&amp;COUNTIFS($K$1:R$1,"&lt;&gt;"))),0)</f>
        <v>0</v>
      </c>
      <c r="S750">
        <f>IFERROR($J750/IF($A750&lt;COUNTIFS($K$1:S$1,"&lt;&gt;"),0,SUMIFS($J:$J,$B:$B,$B750,$A:$A,"&gt;="&amp;COUNTIFS($K$1:S$1,"&lt;&gt;"))),0)</f>
        <v>0</v>
      </c>
      <c r="T750">
        <f>IFERROR($J750/IF($A750&lt;COUNTIFS($K$1:T$1,"&lt;&gt;"),0,SUMIFS($J:$J,$B:$B,$B750,$A:$A,"&gt;="&amp;COUNTIFS($K$1:T$1,"&lt;&gt;"))),0)</f>
        <v>0</v>
      </c>
      <c r="U750">
        <f>IFERROR($J750/IF($A750&lt;COUNTIFS($K$1:U$1,"&lt;&gt;"),0,SUMIFS($J:$J,$B:$B,$B750,$A:$A,"&gt;="&amp;COUNTIFS($K$1:U$1,"&lt;&gt;"))),0)</f>
        <v>0</v>
      </c>
      <c r="V750">
        <f>IFERROR($J750/IF($A750&lt;COUNTIFS($K$1:V$1,"&lt;&gt;"),0,SUMIFS($J:$J,$B:$B,$B750,$A:$A,"&gt;="&amp;COUNTIFS($K$1:V$1,"&lt;&gt;"))),0)</f>
        <v>0</v>
      </c>
      <c r="W750">
        <f t="shared" si="266"/>
        <v>8.4931506849315067E-2</v>
      </c>
      <c r="X750">
        <f t="shared" si="246"/>
        <v>8.4931506849315067E-2</v>
      </c>
      <c r="Y750">
        <f t="shared" si="247"/>
        <v>8.4931506849315067E-2</v>
      </c>
      <c r="Z750">
        <f t="shared" si="248"/>
        <v>8.4931506849315067E-2</v>
      </c>
      <c r="AA750">
        <f t="shared" si="249"/>
        <v>8.4931506849315067E-2</v>
      </c>
      <c r="AB750">
        <f t="shared" si="250"/>
        <v>8.4931506849315067E-2</v>
      </c>
      <c r="AC750">
        <f t="shared" si="251"/>
        <v>8.4931506849315067E-2</v>
      </c>
      <c r="AD750">
        <f t="shared" si="252"/>
        <v>8.4931506849315067E-2</v>
      </c>
      <c r="AE750">
        <f t="shared" si="253"/>
        <v>0</v>
      </c>
      <c r="AF750">
        <f t="shared" si="254"/>
        <v>0</v>
      </c>
      <c r="AG750">
        <f t="shared" si="255"/>
        <v>0</v>
      </c>
      <c r="AH750">
        <f t="shared" si="256"/>
        <v>0</v>
      </c>
      <c r="AI750">
        <f t="shared" si="257"/>
        <v>0</v>
      </c>
      <c r="AJ750" s="2" t="str">
        <f t="shared" si="267"/>
        <v>745566</v>
      </c>
    </row>
    <row r="751" spans="1:36" x14ac:dyDescent="0.25">
      <c r="A751">
        <v>8</v>
      </c>
      <c r="B751" s="1">
        <v>45566</v>
      </c>
      <c r="C751" s="1">
        <f t="shared" si="258"/>
        <v>45809</v>
      </c>
      <c r="D751" s="1">
        <f t="shared" si="259"/>
        <v>45580</v>
      </c>
      <c r="E751" s="1">
        <f t="shared" si="260"/>
        <v>45809</v>
      </c>
      <c r="F751" s="1">
        <f t="shared" si="261"/>
        <v>45839</v>
      </c>
      <c r="G751" s="1">
        <f t="shared" si="262"/>
        <v>45945</v>
      </c>
      <c r="H751">
        <f t="shared" si="263"/>
        <v>365</v>
      </c>
      <c r="I751">
        <f t="shared" si="264"/>
        <v>30</v>
      </c>
      <c r="J751">
        <f t="shared" si="265"/>
        <v>8.2191780821917804E-2</v>
      </c>
      <c r="K751">
        <f>IFERROR($J751/IF($A751&lt;COUNTIFS($K$1:K$1,"&lt;&gt;"),0,SUMIFS($J:$J,$B:$B,$B751,$A:$A,"&gt;="&amp;COUNTIFS($K$1:K$1,"&lt;&gt;"))),0)</f>
        <v>8.6206896551724144E-2</v>
      </c>
      <c r="L751">
        <f>IFERROR($J751/IF($A751&lt;COUNTIFS($K$1:L$1,"&lt;&gt;"),0,SUMIFS($J:$J,$B:$B,$B751,$A:$A,"&gt;="&amp;COUNTIFS($K$1:L$1,"&lt;&gt;"))),0)</f>
        <v>9.4339622641509441E-2</v>
      </c>
      <c r="M751">
        <f>IFERROR($J751/IF($A751&lt;COUNTIFS($K$1:M$1,"&lt;&gt;"),0,SUMIFS($J:$J,$B:$B,$B751,$A:$A,"&gt;="&amp;COUNTIFS($K$1:M$1,"&lt;&gt;"))),0)</f>
        <v>0.10452961672473869</v>
      </c>
      <c r="N751">
        <f>IFERROR($J751/IF($A751&lt;COUNTIFS($K$1:N$1,"&lt;&gt;"),0,SUMIFS($J:$J,$B:$B,$B751,$A:$A,"&gt;="&amp;COUNTIFS($K$1:N$1,"&lt;&gt;"))),0)</f>
        <v>0.11718750000000001</v>
      </c>
      <c r="O751">
        <f>IFERROR($J751/IF($A751&lt;COUNTIFS($K$1:O$1,"&lt;&gt;"),0,SUMIFS($J:$J,$B:$B,$B751,$A:$A,"&gt;="&amp;COUNTIFS($K$1:O$1,"&lt;&gt;"))),0)</f>
        <v>0.13157894736842107</v>
      </c>
      <c r="P751">
        <f>IFERROR($J751/IF($A751&lt;COUNTIFS($K$1:P$1,"&lt;&gt;"),0,SUMIFS($J:$J,$B:$B,$B751,$A:$A,"&gt;="&amp;COUNTIFS($K$1:P$1,"&lt;&gt;"))),0)</f>
        <v>0.15228426395939088</v>
      </c>
      <c r="Q751">
        <f>IFERROR($J751/IF($A751&lt;COUNTIFS($K$1:Q$1,"&lt;&gt;"),0,SUMIFS($J:$J,$B:$B,$B751,$A:$A,"&gt;="&amp;COUNTIFS($K$1:Q$1,"&lt;&gt;"))),0)</f>
        <v>0.17964071856287425</v>
      </c>
      <c r="R751">
        <f>IFERROR($J751/IF($A751&lt;COUNTIFS($K$1:R$1,"&lt;&gt;"),0,SUMIFS($J:$J,$B:$B,$B751,$A:$A,"&gt;="&amp;COUNTIFS($K$1:R$1,"&lt;&gt;"))),0)</f>
        <v>0.22058823529411764</v>
      </c>
      <c r="S751">
        <f>IFERROR($J751/IF($A751&lt;COUNTIFS($K$1:S$1,"&lt;&gt;"),0,SUMIFS($J:$J,$B:$B,$B751,$A:$A,"&gt;="&amp;COUNTIFS($K$1:S$1,"&lt;&gt;"))),0)</f>
        <v>0</v>
      </c>
      <c r="T751">
        <f>IFERROR($J751/IF($A751&lt;COUNTIFS($K$1:T$1,"&lt;&gt;"),0,SUMIFS($J:$J,$B:$B,$B751,$A:$A,"&gt;="&amp;COUNTIFS($K$1:T$1,"&lt;&gt;"))),0)</f>
        <v>0</v>
      </c>
      <c r="U751">
        <f>IFERROR($J751/IF($A751&lt;COUNTIFS($K$1:U$1,"&lt;&gt;"),0,SUMIFS($J:$J,$B:$B,$B751,$A:$A,"&gt;="&amp;COUNTIFS($K$1:U$1,"&lt;&gt;"))),0)</f>
        <v>0</v>
      </c>
      <c r="V751">
        <f>IFERROR($J751/IF($A751&lt;COUNTIFS($K$1:V$1,"&lt;&gt;"),0,SUMIFS($J:$J,$B:$B,$B751,$A:$A,"&gt;="&amp;COUNTIFS($K$1:V$1,"&lt;&gt;"))),0)</f>
        <v>0</v>
      </c>
      <c r="W751">
        <f t="shared" si="266"/>
        <v>8.2191780821917804E-2</v>
      </c>
      <c r="X751">
        <f t="shared" si="246"/>
        <v>8.2191780821917804E-2</v>
      </c>
      <c r="Y751">
        <f t="shared" si="247"/>
        <v>8.2191780821917804E-2</v>
      </c>
      <c r="Z751">
        <f t="shared" si="248"/>
        <v>8.2191780821917804E-2</v>
      </c>
      <c r="AA751">
        <f t="shared" si="249"/>
        <v>8.2191780821917804E-2</v>
      </c>
      <c r="AB751">
        <f t="shared" si="250"/>
        <v>8.2191780821917804E-2</v>
      </c>
      <c r="AC751">
        <f t="shared" si="251"/>
        <v>8.2191780821917804E-2</v>
      </c>
      <c r="AD751">
        <f t="shared" si="252"/>
        <v>8.2191780821917804E-2</v>
      </c>
      <c r="AE751">
        <f t="shared" si="253"/>
        <v>8.2191780821917804E-2</v>
      </c>
      <c r="AF751">
        <f t="shared" si="254"/>
        <v>0</v>
      </c>
      <c r="AG751">
        <f t="shared" si="255"/>
        <v>0</v>
      </c>
      <c r="AH751">
        <f t="shared" si="256"/>
        <v>0</v>
      </c>
      <c r="AI751">
        <f t="shared" si="257"/>
        <v>0</v>
      </c>
      <c r="AJ751" s="2" t="str">
        <f t="shared" si="267"/>
        <v>845566</v>
      </c>
    </row>
    <row r="752" spans="1:36" x14ac:dyDescent="0.25">
      <c r="A752">
        <v>9</v>
      </c>
      <c r="B752" s="1">
        <v>45566</v>
      </c>
      <c r="C752" s="1">
        <f t="shared" si="258"/>
        <v>45839</v>
      </c>
      <c r="D752" s="1">
        <f t="shared" si="259"/>
        <v>45580</v>
      </c>
      <c r="E752" s="1">
        <f t="shared" si="260"/>
        <v>45839</v>
      </c>
      <c r="F752" s="1">
        <f t="shared" si="261"/>
        <v>45870</v>
      </c>
      <c r="G752" s="1">
        <f t="shared" si="262"/>
        <v>45945</v>
      </c>
      <c r="H752">
        <f t="shared" si="263"/>
        <v>365</v>
      </c>
      <c r="I752">
        <f t="shared" si="264"/>
        <v>31</v>
      </c>
      <c r="J752">
        <f t="shared" si="265"/>
        <v>8.4931506849315067E-2</v>
      </c>
      <c r="K752">
        <f>IFERROR($J752/IF($A752&lt;COUNTIFS($K$1:K$1,"&lt;&gt;"),0,SUMIFS($J:$J,$B:$B,$B752,$A:$A,"&gt;="&amp;COUNTIFS($K$1:K$1,"&lt;&gt;"))),0)</f>
        <v>8.9080459770114959E-2</v>
      </c>
      <c r="L752">
        <f>IFERROR($J752/IF($A752&lt;COUNTIFS($K$1:L$1,"&lt;&gt;"),0,SUMIFS($J:$J,$B:$B,$B752,$A:$A,"&gt;="&amp;COUNTIFS($K$1:L$1,"&lt;&gt;"))),0)</f>
        <v>9.7484276729559768E-2</v>
      </c>
      <c r="M752">
        <f>IFERROR($J752/IF($A752&lt;COUNTIFS($K$1:M$1,"&lt;&gt;"),0,SUMIFS($J:$J,$B:$B,$B752,$A:$A,"&gt;="&amp;COUNTIFS($K$1:M$1,"&lt;&gt;"))),0)</f>
        <v>0.10801393728222998</v>
      </c>
      <c r="N752">
        <f>IFERROR($J752/IF($A752&lt;COUNTIFS($K$1:N$1,"&lt;&gt;"),0,SUMIFS($J:$J,$B:$B,$B752,$A:$A,"&gt;="&amp;COUNTIFS($K$1:N$1,"&lt;&gt;"))),0)</f>
        <v>0.12109375000000001</v>
      </c>
      <c r="O752">
        <f>IFERROR($J752/IF($A752&lt;COUNTIFS($K$1:O$1,"&lt;&gt;"),0,SUMIFS($J:$J,$B:$B,$B752,$A:$A,"&gt;="&amp;COUNTIFS($K$1:O$1,"&lt;&gt;"))),0)</f>
        <v>0.13596491228070179</v>
      </c>
      <c r="P752">
        <f>IFERROR($J752/IF($A752&lt;COUNTIFS($K$1:P$1,"&lt;&gt;"),0,SUMIFS($J:$J,$B:$B,$B752,$A:$A,"&gt;="&amp;COUNTIFS($K$1:P$1,"&lt;&gt;"))),0)</f>
        <v>0.15736040609137059</v>
      </c>
      <c r="Q752">
        <f>IFERROR($J752/IF($A752&lt;COUNTIFS($K$1:Q$1,"&lt;&gt;"),0,SUMIFS($J:$J,$B:$B,$B752,$A:$A,"&gt;="&amp;COUNTIFS($K$1:Q$1,"&lt;&gt;"))),0)</f>
        <v>0.18562874251497008</v>
      </c>
      <c r="R752">
        <f>IFERROR($J752/IF($A752&lt;COUNTIFS($K$1:R$1,"&lt;&gt;"),0,SUMIFS($J:$J,$B:$B,$B752,$A:$A,"&gt;="&amp;COUNTIFS($K$1:R$1,"&lt;&gt;"))),0)</f>
        <v>0.22794117647058826</v>
      </c>
      <c r="S752">
        <f>IFERROR($J752/IF($A752&lt;COUNTIFS($K$1:S$1,"&lt;&gt;"),0,SUMIFS($J:$J,$B:$B,$B752,$A:$A,"&gt;="&amp;COUNTIFS($K$1:S$1,"&lt;&gt;"))),0)</f>
        <v>0.29245283018867929</v>
      </c>
      <c r="T752">
        <f>IFERROR($J752/IF($A752&lt;COUNTIFS($K$1:T$1,"&lt;&gt;"),0,SUMIFS($J:$J,$B:$B,$B752,$A:$A,"&gt;="&amp;COUNTIFS($K$1:T$1,"&lt;&gt;"))),0)</f>
        <v>0</v>
      </c>
      <c r="U752">
        <f>IFERROR($J752/IF($A752&lt;COUNTIFS($K$1:U$1,"&lt;&gt;"),0,SUMIFS($J:$J,$B:$B,$B752,$A:$A,"&gt;="&amp;COUNTIFS($K$1:U$1,"&lt;&gt;"))),0)</f>
        <v>0</v>
      </c>
      <c r="V752">
        <f>IFERROR($J752/IF($A752&lt;COUNTIFS($K$1:V$1,"&lt;&gt;"),0,SUMIFS($J:$J,$B:$B,$B752,$A:$A,"&gt;="&amp;COUNTIFS($K$1:V$1,"&lt;&gt;"))),0)</f>
        <v>0</v>
      </c>
      <c r="W752">
        <f t="shared" si="266"/>
        <v>8.4931506849315067E-2</v>
      </c>
      <c r="X752">
        <f t="shared" si="246"/>
        <v>8.4931506849315067E-2</v>
      </c>
      <c r="Y752">
        <f t="shared" si="247"/>
        <v>8.4931506849315067E-2</v>
      </c>
      <c r="Z752">
        <f t="shared" si="248"/>
        <v>8.4931506849315067E-2</v>
      </c>
      <c r="AA752">
        <f t="shared" si="249"/>
        <v>8.4931506849315067E-2</v>
      </c>
      <c r="AB752">
        <f t="shared" si="250"/>
        <v>8.4931506849315067E-2</v>
      </c>
      <c r="AC752">
        <f t="shared" si="251"/>
        <v>8.4931506849315067E-2</v>
      </c>
      <c r="AD752">
        <f t="shared" si="252"/>
        <v>8.4931506849315067E-2</v>
      </c>
      <c r="AE752">
        <f t="shared" si="253"/>
        <v>8.4931506849315067E-2</v>
      </c>
      <c r="AF752">
        <f t="shared" si="254"/>
        <v>8.4931506849315067E-2</v>
      </c>
      <c r="AG752">
        <f t="shared" si="255"/>
        <v>0</v>
      </c>
      <c r="AH752">
        <f t="shared" si="256"/>
        <v>0</v>
      </c>
      <c r="AI752">
        <f t="shared" si="257"/>
        <v>0</v>
      </c>
      <c r="AJ752" s="2" t="str">
        <f t="shared" si="267"/>
        <v>945566</v>
      </c>
    </row>
    <row r="753" spans="1:36" x14ac:dyDescent="0.25">
      <c r="A753">
        <v>10</v>
      </c>
      <c r="B753" s="1">
        <v>45566</v>
      </c>
      <c r="C753" s="1">
        <f t="shared" si="258"/>
        <v>45870</v>
      </c>
      <c r="D753" s="1">
        <f t="shared" si="259"/>
        <v>45580</v>
      </c>
      <c r="E753" s="1">
        <f t="shared" si="260"/>
        <v>45870</v>
      </c>
      <c r="F753" s="1">
        <f t="shared" si="261"/>
        <v>45901</v>
      </c>
      <c r="G753" s="1">
        <f t="shared" si="262"/>
        <v>45945</v>
      </c>
      <c r="H753">
        <f t="shared" si="263"/>
        <v>365</v>
      </c>
      <c r="I753">
        <f t="shared" si="264"/>
        <v>31</v>
      </c>
      <c r="J753">
        <f t="shared" si="265"/>
        <v>8.4931506849315067E-2</v>
      </c>
      <c r="K753">
        <f>IFERROR($J753/IF($A753&lt;COUNTIFS($K$1:K$1,"&lt;&gt;"),0,SUMIFS($J:$J,$B:$B,$B753,$A:$A,"&gt;="&amp;COUNTIFS($K$1:K$1,"&lt;&gt;"))),0)</f>
        <v>8.9080459770114959E-2</v>
      </c>
      <c r="L753">
        <f>IFERROR($J753/IF($A753&lt;COUNTIFS($K$1:L$1,"&lt;&gt;"),0,SUMIFS($J:$J,$B:$B,$B753,$A:$A,"&gt;="&amp;COUNTIFS($K$1:L$1,"&lt;&gt;"))),0)</f>
        <v>9.7484276729559768E-2</v>
      </c>
      <c r="M753">
        <f>IFERROR($J753/IF($A753&lt;COUNTIFS($K$1:M$1,"&lt;&gt;"),0,SUMIFS($J:$J,$B:$B,$B753,$A:$A,"&gt;="&amp;COUNTIFS($K$1:M$1,"&lt;&gt;"))),0)</f>
        <v>0.10801393728222998</v>
      </c>
      <c r="N753">
        <f>IFERROR($J753/IF($A753&lt;COUNTIFS($K$1:N$1,"&lt;&gt;"),0,SUMIFS($J:$J,$B:$B,$B753,$A:$A,"&gt;="&amp;COUNTIFS($K$1:N$1,"&lt;&gt;"))),0)</f>
        <v>0.12109375000000001</v>
      </c>
      <c r="O753">
        <f>IFERROR($J753/IF($A753&lt;COUNTIFS($K$1:O$1,"&lt;&gt;"),0,SUMIFS($J:$J,$B:$B,$B753,$A:$A,"&gt;="&amp;COUNTIFS($K$1:O$1,"&lt;&gt;"))),0)</f>
        <v>0.13596491228070179</v>
      </c>
      <c r="P753">
        <f>IFERROR($J753/IF($A753&lt;COUNTIFS($K$1:P$1,"&lt;&gt;"),0,SUMIFS($J:$J,$B:$B,$B753,$A:$A,"&gt;="&amp;COUNTIFS($K$1:P$1,"&lt;&gt;"))),0)</f>
        <v>0.15736040609137059</v>
      </c>
      <c r="Q753">
        <f>IFERROR($J753/IF($A753&lt;COUNTIFS($K$1:Q$1,"&lt;&gt;"),0,SUMIFS($J:$J,$B:$B,$B753,$A:$A,"&gt;="&amp;COUNTIFS($K$1:Q$1,"&lt;&gt;"))),0)</f>
        <v>0.18562874251497008</v>
      </c>
      <c r="R753">
        <f>IFERROR($J753/IF($A753&lt;COUNTIFS($K$1:R$1,"&lt;&gt;"),0,SUMIFS($J:$J,$B:$B,$B753,$A:$A,"&gt;="&amp;COUNTIFS($K$1:R$1,"&lt;&gt;"))),0)</f>
        <v>0.22794117647058826</v>
      </c>
      <c r="S753">
        <f>IFERROR($J753/IF($A753&lt;COUNTIFS($K$1:S$1,"&lt;&gt;"),0,SUMIFS($J:$J,$B:$B,$B753,$A:$A,"&gt;="&amp;COUNTIFS($K$1:S$1,"&lt;&gt;"))),0)</f>
        <v>0.29245283018867929</v>
      </c>
      <c r="T753">
        <f>IFERROR($J753/IF($A753&lt;COUNTIFS($K$1:T$1,"&lt;&gt;"),0,SUMIFS($J:$J,$B:$B,$B753,$A:$A,"&gt;="&amp;COUNTIFS($K$1:T$1,"&lt;&gt;"))),0)</f>
        <v>0.41333333333333333</v>
      </c>
      <c r="U753">
        <f>IFERROR($J753/IF($A753&lt;COUNTIFS($K$1:U$1,"&lt;&gt;"),0,SUMIFS($J:$J,$B:$B,$B753,$A:$A,"&gt;="&amp;COUNTIFS($K$1:U$1,"&lt;&gt;"))),0)</f>
        <v>0</v>
      </c>
      <c r="V753">
        <f>IFERROR($J753/IF($A753&lt;COUNTIFS($K$1:V$1,"&lt;&gt;"),0,SUMIFS($J:$J,$B:$B,$B753,$A:$A,"&gt;="&amp;COUNTIFS($K$1:V$1,"&lt;&gt;"))),0)</f>
        <v>0</v>
      </c>
      <c r="W753">
        <f t="shared" si="266"/>
        <v>8.4931506849315067E-2</v>
      </c>
      <c r="X753">
        <f t="shared" si="246"/>
        <v>8.4931506849315067E-2</v>
      </c>
      <c r="Y753">
        <f t="shared" si="247"/>
        <v>8.4931506849315067E-2</v>
      </c>
      <c r="Z753">
        <f t="shared" si="248"/>
        <v>8.4931506849315067E-2</v>
      </c>
      <c r="AA753">
        <f t="shared" si="249"/>
        <v>8.4931506849315067E-2</v>
      </c>
      <c r="AB753">
        <f t="shared" si="250"/>
        <v>8.4931506849315067E-2</v>
      </c>
      <c r="AC753">
        <f t="shared" si="251"/>
        <v>8.4931506849315067E-2</v>
      </c>
      <c r="AD753">
        <f t="shared" si="252"/>
        <v>8.4931506849315067E-2</v>
      </c>
      <c r="AE753">
        <f t="shared" si="253"/>
        <v>8.4931506849315067E-2</v>
      </c>
      <c r="AF753">
        <f t="shared" si="254"/>
        <v>8.4931506849315067E-2</v>
      </c>
      <c r="AG753">
        <f t="shared" si="255"/>
        <v>8.4931506849315067E-2</v>
      </c>
      <c r="AH753">
        <f t="shared" si="256"/>
        <v>0</v>
      </c>
      <c r="AI753">
        <f t="shared" si="257"/>
        <v>0</v>
      </c>
      <c r="AJ753" s="2" t="str">
        <f t="shared" si="267"/>
        <v>1045566</v>
      </c>
    </row>
    <row r="754" spans="1:36" x14ac:dyDescent="0.25">
      <c r="A754">
        <v>11</v>
      </c>
      <c r="B754" s="1">
        <v>45566</v>
      </c>
      <c r="C754" s="1">
        <f t="shared" si="258"/>
        <v>45901</v>
      </c>
      <c r="D754" s="1">
        <f t="shared" si="259"/>
        <v>45580</v>
      </c>
      <c r="E754" s="1">
        <f t="shared" si="260"/>
        <v>45901</v>
      </c>
      <c r="F754" s="1">
        <f t="shared" si="261"/>
        <v>45931</v>
      </c>
      <c r="G754" s="1">
        <f t="shared" si="262"/>
        <v>45945</v>
      </c>
      <c r="H754">
        <f t="shared" si="263"/>
        <v>365</v>
      </c>
      <c r="I754">
        <f t="shared" si="264"/>
        <v>30</v>
      </c>
      <c r="J754">
        <f t="shared" si="265"/>
        <v>8.2191780821917804E-2</v>
      </c>
      <c r="K754">
        <f>IFERROR($J754/IF($A754&lt;COUNTIFS($K$1:K$1,"&lt;&gt;"),0,SUMIFS($J:$J,$B:$B,$B754,$A:$A,"&gt;="&amp;COUNTIFS($K$1:K$1,"&lt;&gt;"))),0)</f>
        <v>8.6206896551724144E-2</v>
      </c>
      <c r="L754">
        <f>IFERROR($J754/IF($A754&lt;COUNTIFS($K$1:L$1,"&lt;&gt;"),0,SUMIFS($J:$J,$B:$B,$B754,$A:$A,"&gt;="&amp;COUNTIFS($K$1:L$1,"&lt;&gt;"))),0)</f>
        <v>9.4339622641509441E-2</v>
      </c>
      <c r="M754">
        <f>IFERROR($J754/IF($A754&lt;COUNTIFS($K$1:M$1,"&lt;&gt;"),0,SUMIFS($J:$J,$B:$B,$B754,$A:$A,"&gt;="&amp;COUNTIFS($K$1:M$1,"&lt;&gt;"))),0)</f>
        <v>0.10452961672473869</v>
      </c>
      <c r="N754">
        <f>IFERROR($J754/IF($A754&lt;COUNTIFS($K$1:N$1,"&lt;&gt;"),0,SUMIFS($J:$J,$B:$B,$B754,$A:$A,"&gt;="&amp;COUNTIFS($K$1:N$1,"&lt;&gt;"))),0)</f>
        <v>0.11718750000000001</v>
      </c>
      <c r="O754">
        <f>IFERROR($J754/IF($A754&lt;COUNTIFS($K$1:O$1,"&lt;&gt;"),0,SUMIFS($J:$J,$B:$B,$B754,$A:$A,"&gt;="&amp;COUNTIFS($K$1:O$1,"&lt;&gt;"))),0)</f>
        <v>0.13157894736842107</v>
      </c>
      <c r="P754">
        <f>IFERROR($J754/IF($A754&lt;COUNTIFS($K$1:P$1,"&lt;&gt;"),0,SUMIFS($J:$J,$B:$B,$B754,$A:$A,"&gt;="&amp;COUNTIFS($K$1:P$1,"&lt;&gt;"))),0)</f>
        <v>0.15228426395939088</v>
      </c>
      <c r="Q754">
        <f>IFERROR($J754/IF($A754&lt;COUNTIFS($K$1:Q$1,"&lt;&gt;"),0,SUMIFS($J:$J,$B:$B,$B754,$A:$A,"&gt;="&amp;COUNTIFS($K$1:Q$1,"&lt;&gt;"))),0)</f>
        <v>0.17964071856287425</v>
      </c>
      <c r="R754">
        <f>IFERROR($J754/IF($A754&lt;COUNTIFS($K$1:R$1,"&lt;&gt;"),0,SUMIFS($J:$J,$B:$B,$B754,$A:$A,"&gt;="&amp;COUNTIFS($K$1:R$1,"&lt;&gt;"))),0)</f>
        <v>0.22058823529411764</v>
      </c>
      <c r="S754">
        <f>IFERROR($J754/IF($A754&lt;COUNTIFS($K$1:S$1,"&lt;&gt;"),0,SUMIFS($J:$J,$B:$B,$B754,$A:$A,"&gt;="&amp;COUNTIFS($K$1:S$1,"&lt;&gt;"))),0)</f>
        <v>0.28301886792452829</v>
      </c>
      <c r="T754">
        <f>IFERROR($J754/IF($A754&lt;COUNTIFS($K$1:T$1,"&lt;&gt;"),0,SUMIFS($J:$J,$B:$B,$B754,$A:$A,"&gt;="&amp;COUNTIFS($K$1:T$1,"&lt;&gt;"))),0)</f>
        <v>0.4</v>
      </c>
      <c r="U754">
        <f>IFERROR($J754/IF($A754&lt;COUNTIFS($K$1:U$1,"&lt;&gt;"),0,SUMIFS($J:$J,$B:$B,$B754,$A:$A,"&gt;="&amp;COUNTIFS($K$1:U$1,"&lt;&gt;"))),0)</f>
        <v>0.68181818181818177</v>
      </c>
      <c r="V754">
        <f>IFERROR($J754/IF($A754&lt;COUNTIFS($K$1:V$1,"&lt;&gt;"),0,SUMIFS($J:$J,$B:$B,$B754,$A:$A,"&gt;="&amp;COUNTIFS($K$1:V$1,"&lt;&gt;"))),0)</f>
        <v>0</v>
      </c>
      <c r="W754">
        <f t="shared" si="266"/>
        <v>8.2191780821917804E-2</v>
      </c>
      <c r="X754">
        <f t="shared" si="246"/>
        <v>8.2191780821917804E-2</v>
      </c>
      <c r="Y754">
        <f t="shared" si="247"/>
        <v>8.2191780821917804E-2</v>
      </c>
      <c r="Z754">
        <f t="shared" si="248"/>
        <v>8.2191780821917804E-2</v>
      </c>
      <c r="AA754">
        <f t="shared" si="249"/>
        <v>8.2191780821917804E-2</v>
      </c>
      <c r="AB754">
        <f t="shared" si="250"/>
        <v>8.2191780821917804E-2</v>
      </c>
      <c r="AC754">
        <f t="shared" si="251"/>
        <v>8.2191780821917804E-2</v>
      </c>
      <c r="AD754">
        <f t="shared" si="252"/>
        <v>8.2191780821917804E-2</v>
      </c>
      <c r="AE754">
        <f t="shared" si="253"/>
        <v>8.2191780821917804E-2</v>
      </c>
      <c r="AF754">
        <f t="shared" si="254"/>
        <v>8.2191780821917804E-2</v>
      </c>
      <c r="AG754">
        <f t="shared" si="255"/>
        <v>8.2191780821917804E-2</v>
      </c>
      <c r="AH754">
        <f t="shared" si="256"/>
        <v>8.2191780821917804E-2</v>
      </c>
      <c r="AI754">
        <f t="shared" si="257"/>
        <v>0</v>
      </c>
      <c r="AJ754" s="2" t="str">
        <f t="shared" si="267"/>
        <v>1145566</v>
      </c>
    </row>
    <row r="755" spans="1:36" x14ac:dyDescent="0.25">
      <c r="A755">
        <v>12</v>
      </c>
      <c r="B755" s="1">
        <v>45566</v>
      </c>
      <c r="C755" s="1">
        <f t="shared" si="258"/>
        <v>45931</v>
      </c>
      <c r="D755" s="1">
        <f t="shared" si="259"/>
        <v>45580</v>
      </c>
      <c r="E755" s="1">
        <f t="shared" si="260"/>
        <v>45931</v>
      </c>
      <c r="F755" s="1">
        <f t="shared" si="261"/>
        <v>45945</v>
      </c>
      <c r="G755" s="1">
        <f t="shared" si="262"/>
        <v>45945</v>
      </c>
      <c r="H755">
        <f t="shared" si="263"/>
        <v>365</v>
      </c>
      <c r="I755">
        <f t="shared" si="264"/>
        <v>14</v>
      </c>
      <c r="J755">
        <f t="shared" si="265"/>
        <v>3.8356164383561646E-2</v>
      </c>
      <c r="K755">
        <f>IFERROR($J755/IF($A755&lt;COUNTIFS($K$1:K$1,"&lt;&gt;"),0,SUMIFS($J:$J,$B:$B,$B755,$A:$A,"&gt;="&amp;COUNTIFS($K$1:K$1,"&lt;&gt;"))),0)</f>
        <v>4.0229885057471271E-2</v>
      </c>
      <c r="L755">
        <f>IFERROR($J755/IF($A755&lt;COUNTIFS($K$1:L$1,"&lt;&gt;"),0,SUMIFS($J:$J,$B:$B,$B755,$A:$A,"&gt;="&amp;COUNTIFS($K$1:L$1,"&lt;&gt;"))),0)</f>
        <v>4.4025157232704414E-2</v>
      </c>
      <c r="M755">
        <f>IFERROR($J755/IF($A755&lt;COUNTIFS($K$1:M$1,"&lt;&gt;"),0,SUMIFS($J:$J,$B:$B,$B755,$A:$A,"&gt;="&amp;COUNTIFS($K$1:M$1,"&lt;&gt;"))),0)</f>
        <v>4.8780487804878057E-2</v>
      </c>
      <c r="N755">
        <f>IFERROR($J755/IF($A755&lt;COUNTIFS($K$1:N$1,"&lt;&gt;"),0,SUMIFS($J:$J,$B:$B,$B755,$A:$A,"&gt;="&amp;COUNTIFS($K$1:N$1,"&lt;&gt;"))),0)</f>
        <v>5.4687500000000014E-2</v>
      </c>
      <c r="O755">
        <f>IFERROR($J755/IF($A755&lt;COUNTIFS($K$1:O$1,"&lt;&gt;"),0,SUMIFS($J:$J,$B:$B,$B755,$A:$A,"&gt;="&amp;COUNTIFS($K$1:O$1,"&lt;&gt;"))),0)</f>
        <v>6.1403508771929842E-2</v>
      </c>
      <c r="P755">
        <f>IFERROR($J755/IF($A755&lt;COUNTIFS($K$1:P$1,"&lt;&gt;"),0,SUMIFS($J:$J,$B:$B,$B755,$A:$A,"&gt;="&amp;COUNTIFS($K$1:P$1,"&lt;&gt;"))),0)</f>
        <v>7.1065989847715755E-2</v>
      </c>
      <c r="Q755">
        <f>IFERROR($J755/IF($A755&lt;COUNTIFS($K$1:Q$1,"&lt;&gt;"),0,SUMIFS($J:$J,$B:$B,$B755,$A:$A,"&gt;="&amp;COUNTIFS($K$1:Q$1,"&lt;&gt;"))),0)</f>
        <v>8.3832335329341326E-2</v>
      </c>
      <c r="R755">
        <f>IFERROR($J755/IF($A755&lt;COUNTIFS($K$1:R$1,"&lt;&gt;"),0,SUMIFS($J:$J,$B:$B,$B755,$A:$A,"&gt;="&amp;COUNTIFS($K$1:R$1,"&lt;&gt;"))),0)</f>
        <v>0.10294117647058824</v>
      </c>
      <c r="S755">
        <f>IFERROR($J755/IF($A755&lt;COUNTIFS($K$1:S$1,"&lt;&gt;"),0,SUMIFS($J:$J,$B:$B,$B755,$A:$A,"&gt;="&amp;COUNTIFS($K$1:S$1,"&lt;&gt;"))),0)</f>
        <v>0.13207547169811323</v>
      </c>
      <c r="T755">
        <f>IFERROR($J755/IF($A755&lt;COUNTIFS($K$1:T$1,"&lt;&gt;"),0,SUMIFS($J:$J,$B:$B,$B755,$A:$A,"&gt;="&amp;COUNTIFS($K$1:T$1,"&lt;&gt;"))),0)</f>
        <v>0.18666666666666668</v>
      </c>
      <c r="U755">
        <f>IFERROR($J755/IF($A755&lt;COUNTIFS($K$1:U$1,"&lt;&gt;"),0,SUMIFS($J:$J,$B:$B,$B755,$A:$A,"&gt;="&amp;COUNTIFS($K$1:U$1,"&lt;&gt;"))),0)</f>
        <v>0.31818181818181818</v>
      </c>
      <c r="V755">
        <f>IFERROR($J755/IF($A755&lt;COUNTIFS($K$1:V$1,"&lt;&gt;"),0,SUMIFS($J:$J,$B:$B,$B755,$A:$A,"&gt;="&amp;COUNTIFS($K$1:V$1,"&lt;&gt;"))),0)</f>
        <v>1</v>
      </c>
      <c r="W755">
        <f t="shared" si="266"/>
        <v>3.8356164383561646E-2</v>
      </c>
      <c r="X755">
        <f t="shared" si="246"/>
        <v>3.8356164383561646E-2</v>
      </c>
      <c r="Y755">
        <f t="shared" si="247"/>
        <v>3.8356164383561646E-2</v>
      </c>
      <c r="Z755">
        <f t="shared" si="248"/>
        <v>3.8356164383561646E-2</v>
      </c>
      <c r="AA755">
        <f t="shared" si="249"/>
        <v>3.8356164383561646E-2</v>
      </c>
      <c r="AB755">
        <f t="shared" si="250"/>
        <v>3.8356164383561646E-2</v>
      </c>
      <c r="AC755">
        <f t="shared" si="251"/>
        <v>3.8356164383561646E-2</v>
      </c>
      <c r="AD755">
        <f t="shared" si="252"/>
        <v>3.8356164383561646E-2</v>
      </c>
      <c r="AE755">
        <f t="shared" si="253"/>
        <v>3.8356164383561646E-2</v>
      </c>
      <c r="AF755">
        <f t="shared" si="254"/>
        <v>3.8356164383561646E-2</v>
      </c>
      <c r="AG755">
        <f t="shared" si="255"/>
        <v>3.8356164383561646E-2</v>
      </c>
      <c r="AH755">
        <f t="shared" si="256"/>
        <v>3.8356164383561646E-2</v>
      </c>
      <c r="AI755">
        <f t="shared" si="257"/>
        <v>3.8356164383561646E-2</v>
      </c>
      <c r="AJ755" s="2" t="str">
        <f t="shared" si="267"/>
        <v>1245566</v>
      </c>
    </row>
    <row r="756" spans="1:36" x14ac:dyDescent="0.25">
      <c r="A756">
        <v>0</v>
      </c>
      <c r="B756" s="1">
        <v>45597</v>
      </c>
      <c r="C756" s="1">
        <f t="shared" si="258"/>
        <v>45597</v>
      </c>
      <c r="D756" s="1">
        <f t="shared" si="259"/>
        <v>45611</v>
      </c>
      <c r="E756" s="1">
        <f t="shared" si="260"/>
        <v>45611</v>
      </c>
      <c r="F756" s="1">
        <f t="shared" si="261"/>
        <v>45627</v>
      </c>
      <c r="G756" s="1">
        <f t="shared" si="262"/>
        <v>45976</v>
      </c>
      <c r="H756">
        <f t="shared" si="263"/>
        <v>365</v>
      </c>
      <c r="I756">
        <f t="shared" si="264"/>
        <v>16</v>
      </c>
      <c r="J756">
        <f t="shared" si="265"/>
        <v>4.3835616438356165E-2</v>
      </c>
      <c r="K756">
        <f>IFERROR($J756/IF($A756&lt;COUNTIFS($K$1:K$1,"&lt;&gt;"),0,SUMIFS($J:$J,$B:$B,$B756,$A:$A,"&gt;="&amp;COUNTIFS($K$1:K$1,"&lt;&gt;"))),0)</f>
        <v>0</v>
      </c>
      <c r="L756">
        <f>IFERROR($J756/IF($A756&lt;COUNTIFS($K$1:L$1,"&lt;&gt;"),0,SUMIFS($J:$J,$B:$B,$B756,$A:$A,"&gt;="&amp;COUNTIFS($K$1:L$1,"&lt;&gt;"))),0)</f>
        <v>0</v>
      </c>
      <c r="M756">
        <f>IFERROR($J756/IF($A756&lt;COUNTIFS($K$1:M$1,"&lt;&gt;"),0,SUMIFS($J:$J,$B:$B,$B756,$A:$A,"&gt;="&amp;COUNTIFS($K$1:M$1,"&lt;&gt;"))),0)</f>
        <v>0</v>
      </c>
      <c r="N756">
        <f>IFERROR($J756/IF($A756&lt;COUNTIFS($K$1:N$1,"&lt;&gt;"),0,SUMIFS($J:$J,$B:$B,$B756,$A:$A,"&gt;="&amp;COUNTIFS($K$1:N$1,"&lt;&gt;"))),0)</f>
        <v>0</v>
      </c>
      <c r="O756">
        <f>IFERROR($J756/IF($A756&lt;COUNTIFS($K$1:O$1,"&lt;&gt;"),0,SUMIFS($J:$J,$B:$B,$B756,$A:$A,"&gt;="&amp;COUNTIFS($K$1:O$1,"&lt;&gt;"))),0)</f>
        <v>0</v>
      </c>
      <c r="P756">
        <f>IFERROR($J756/IF($A756&lt;COUNTIFS($K$1:P$1,"&lt;&gt;"),0,SUMIFS($J:$J,$B:$B,$B756,$A:$A,"&gt;="&amp;COUNTIFS($K$1:P$1,"&lt;&gt;"))),0)</f>
        <v>0</v>
      </c>
      <c r="Q756">
        <f>IFERROR($J756/IF($A756&lt;COUNTIFS($K$1:Q$1,"&lt;&gt;"),0,SUMIFS($J:$J,$B:$B,$B756,$A:$A,"&gt;="&amp;COUNTIFS($K$1:Q$1,"&lt;&gt;"))),0)</f>
        <v>0</v>
      </c>
      <c r="R756">
        <f>IFERROR($J756/IF($A756&lt;COUNTIFS($K$1:R$1,"&lt;&gt;"),0,SUMIFS($J:$J,$B:$B,$B756,$A:$A,"&gt;="&amp;COUNTIFS($K$1:R$1,"&lt;&gt;"))),0)</f>
        <v>0</v>
      </c>
      <c r="S756">
        <f>IFERROR($J756/IF($A756&lt;COUNTIFS($K$1:S$1,"&lt;&gt;"),0,SUMIFS($J:$J,$B:$B,$B756,$A:$A,"&gt;="&amp;COUNTIFS($K$1:S$1,"&lt;&gt;"))),0)</f>
        <v>0</v>
      </c>
      <c r="T756">
        <f>IFERROR($J756/IF($A756&lt;COUNTIFS($K$1:T$1,"&lt;&gt;"),0,SUMIFS($J:$J,$B:$B,$B756,$A:$A,"&gt;="&amp;COUNTIFS($K$1:T$1,"&lt;&gt;"))),0)</f>
        <v>0</v>
      </c>
      <c r="U756">
        <f>IFERROR($J756/IF($A756&lt;COUNTIFS($K$1:U$1,"&lt;&gt;"),0,SUMIFS($J:$J,$B:$B,$B756,$A:$A,"&gt;="&amp;COUNTIFS($K$1:U$1,"&lt;&gt;"))),0)</f>
        <v>0</v>
      </c>
      <c r="V756">
        <f>IFERROR($J756/IF($A756&lt;COUNTIFS($K$1:V$1,"&lt;&gt;"),0,SUMIFS($J:$J,$B:$B,$B756,$A:$A,"&gt;="&amp;COUNTIFS($K$1:V$1,"&lt;&gt;"))),0)</f>
        <v>0</v>
      </c>
      <c r="W756">
        <f t="shared" si="266"/>
        <v>4.3835616438356165E-2</v>
      </c>
      <c r="X756">
        <f t="shared" si="246"/>
        <v>0</v>
      </c>
      <c r="Y756">
        <f t="shared" si="247"/>
        <v>0</v>
      </c>
      <c r="Z756">
        <f t="shared" si="248"/>
        <v>0</v>
      </c>
      <c r="AA756">
        <f t="shared" si="249"/>
        <v>0</v>
      </c>
      <c r="AB756">
        <f t="shared" si="250"/>
        <v>0</v>
      </c>
      <c r="AC756">
        <f t="shared" si="251"/>
        <v>0</v>
      </c>
      <c r="AD756">
        <f t="shared" si="252"/>
        <v>0</v>
      </c>
      <c r="AE756">
        <f t="shared" si="253"/>
        <v>0</v>
      </c>
      <c r="AF756">
        <f t="shared" si="254"/>
        <v>0</v>
      </c>
      <c r="AG756">
        <f t="shared" si="255"/>
        <v>0</v>
      </c>
      <c r="AH756">
        <f t="shared" si="256"/>
        <v>0</v>
      </c>
      <c r="AI756">
        <f t="shared" si="257"/>
        <v>0</v>
      </c>
      <c r="AJ756" s="2" t="str">
        <f t="shared" si="267"/>
        <v>045597</v>
      </c>
    </row>
    <row r="757" spans="1:36" x14ac:dyDescent="0.25">
      <c r="A757">
        <v>1</v>
      </c>
      <c r="B757" s="1">
        <v>45597</v>
      </c>
      <c r="C757" s="1">
        <f t="shared" si="258"/>
        <v>45627</v>
      </c>
      <c r="D757" s="1">
        <f t="shared" si="259"/>
        <v>45611</v>
      </c>
      <c r="E757" s="1">
        <f t="shared" si="260"/>
        <v>45627</v>
      </c>
      <c r="F757" s="1">
        <f t="shared" si="261"/>
        <v>45658</v>
      </c>
      <c r="G757" s="1">
        <f t="shared" si="262"/>
        <v>45976</v>
      </c>
      <c r="H757">
        <f t="shared" si="263"/>
        <v>365</v>
      </c>
      <c r="I757">
        <f t="shared" si="264"/>
        <v>31</v>
      </c>
      <c r="J757">
        <f t="shared" si="265"/>
        <v>8.4931506849315067E-2</v>
      </c>
      <c r="K757">
        <f>IFERROR($J757/IF($A757&lt;COUNTIFS($K$1:K$1,"&lt;&gt;"),0,SUMIFS($J:$J,$B:$B,$B757,$A:$A,"&gt;="&amp;COUNTIFS($K$1:K$1,"&lt;&gt;"))),0)</f>
        <v>8.8825214899713484E-2</v>
      </c>
      <c r="L757">
        <f>IFERROR($J757/IF($A757&lt;COUNTIFS($K$1:L$1,"&lt;&gt;"),0,SUMIFS($J:$J,$B:$B,$B757,$A:$A,"&gt;="&amp;COUNTIFS($K$1:L$1,"&lt;&gt;"))),0)</f>
        <v>0</v>
      </c>
      <c r="M757">
        <f>IFERROR($J757/IF($A757&lt;COUNTIFS($K$1:M$1,"&lt;&gt;"),0,SUMIFS($J:$J,$B:$B,$B757,$A:$A,"&gt;="&amp;COUNTIFS($K$1:M$1,"&lt;&gt;"))),0)</f>
        <v>0</v>
      </c>
      <c r="N757">
        <f>IFERROR($J757/IF($A757&lt;COUNTIFS($K$1:N$1,"&lt;&gt;"),0,SUMIFS($J:$J,$B:$B,$B757,$A:$A,"&gt;="&amp;COUNTIFS($K$1:N$1,"&lt;&gt;"))),0)</f>
        <v>0</v>
      </c>
      <c r="O757">
        <f>IFERROR($J757/IF($A757&lt;COUNTIFS($K$1:O$1,"&lt;&gt;"),0,SUMIFS($J:$J,$B:$B,$B757,$A:$A,"&gt;="&amp;COUNTIFS($K$1:O$1,"&lt;&gt;"))),0)</f>
        <v>0</v>
      </c>
      <c r="P757">
        <f>IFERROR($J757/IF($A757&lt;COUNTIFS($K$1:P$1,"&lt;&gt;"),0,SUMIFS($J:$J,$B:$B,$B757,$A:$A,"&gt;="&amp;COUNTIFS($K$1:P$1,"&lt;&gt;"))),0)</f>
        <v>0</v>
      </c>
      <c r="Q757">
        <f>IFERROR($J757/IF($A757&lt;COUNTIFS($K$1:Q$1,"&lt;&gt;"),0,SUMIFS($J:$J,$B:$B,$B757,$A:$A,"&gt;="&amp;COUNTIFS($K$1:Q$1,"&lt;&gt;"))),0)</f>
        <v>0</v>
      </c>
      <c r="R757">
        <f>IFERROR($J757/IF($A757&lt;COUNTIFS($K$1:R$1,"&lt;&gt;"),0,SUMIFS($J:$J,$B:$B,$B757,$A:$A,"&gt;="&amp;COUNTIFS($K$1:R$1,"&lt;&gt;"))),0)</f>
        <v>0</v>
      </c>
      <c r="S757">
        <f>IFERROR($J757/IF($A757&lt;COUNTIFS($K$1:S$1,"&lt;&gt;"),0,SUMIFS($J:$J,$B:$B,$B757,$A:$A,"&gt;="&amp;COUNTIFS($K$1:S$1,"&lt;&gt;"))),0)</f>
        <v>0</v>
      </c>
      <c r="T757">
        <f>IFERROR($J757/IF($A757&lt;COUNTIFS($K$1:T$1,"&lt;&gt;"),0,SUMIFS($J:$J,$B:$B,$B757,$A:$A,"&gt;="&amp;COUNTIFS($K$1:T$1,"&lt;&gt;"))),0)</f>
        <v>0</v>
      </c>
      <c r="U757">
        <f>IFERROR($J757/IF($A757&lt;COUNTIFS($K$1:U$1,"&lt;&gt;"),0,SUMIFS($J:$J,$B:$B,$B757,$A:$A,"&gt;="&amp;COUNTIFS($K$1:U$1,"&lt;&gt;"))),0)</f>
        <v>0</v>
      </c>
      <c r="V757">
        <f>IFERROR($J757/IF($A757&lt;COUNTIFS($K$1:V$1,"&lt;&gt;"),0,SUMIFS($J:$J,$B:$B,$B757,$A:$A,"&gt;="&amp;COUNTIFS($K$1:V$1,"&lt;&gt;"))),0)</f>
        <v>0</v>
      </c>
      <c r="W757">
        <f t="shared" si="266"/>
        <v>8.4931506849315067E-2</v>
      </c>
      <c r="X757">
        <f t="shared" si="246"/>
        <v>8.4931506849315067E-2</v>
      </c>
      <c r="Y757">
        <f t="shared" si="247"/>
        <v>0</v>
      </c>
      <c r="Z757">
        <f t="shared" si="248"/>
        <v>0</v>
      </c>
      <c r="AA757">
        <f t="shared" si="249"/>
        <v>0</v>
      </c>
      <c r="AB757">
        <f t="shared" si="250"/>
        <v>0</v>
      </c>
      <c r="AC757">
        <f t="shared" si="251"/>
        <v>0</v>
      </c>
      <c r="AD757">
        <f t="shared" si="252"/>
        <v>0</v>
      </c>
      <c r="AE757">
        <f t="shared" si="253"/>
        <v>0</v>
      </c>
      <c r="AF757">
        <f t="shared" si="254"/>
        <v>0</v>
      </c>
      <c r="AG757">
        <f t="shared" si="255"/>
        <v>0</v>
      </c>
      <c r="AH757">
        <f t="shared" si="256"/>
        <v>0</v>
      </c>
      <c r="AI757">
        <f t="shared" si="257"/>
        <v>0</v>
      </c>
      <c r="AJ757" s="2" t="str">
        <f t="shared" si="267"/>
        <v>145597</v>
      </c>
    </row>
    <row r="758" spans="1:36" x14ac:dyDescent="0.25">
      <c r="A758">
        <v>2</v>
      </c>
      <c r="B758" s="1">
        <v>45597</v>
      </c>
      <c r="C758" s="1">
        <f t="shared" si="258"/>
        <v>45658</v>
      </c>
      <c r="D758" s="1">
        <f t="shared" si="259"/>
        <v>45611</v>
      </c>
      <c r="E758" s="1">
        <f t="shared" si="260"/>
        <v>45658</v>
      </c>
      <c r="F758" s="1">
        <f t="shared" si="261"/>
        <v>45689</v>
      </c>
      <c r="G758" s="1">
        <f t="shared" si="262"/>
        <v>45976</v>
      </c>
      <c r="H758">
        <f t="shared" si="263"/>
        <v>365</v>
      </c>
      <c r="I758">
        <f t="shared" si="264"/>
        <v>31</v>
      </c>
      <c r="J758">
        <f t="shared" si="265"/>
        <v>8.4931506849315067E-2</v>
      </c>
      <c r="K758">
        <f>IFERROR($J758/IF($A758&lt;COUNTIFS($K$1:K$1,"&lt;&gt;"),0,SUMIFS($J:$J,$B:$B,$B758,$A:$A,"&gt;="&amp;COUNTIFS($K$1:K$1,"&lt;&gt;"))),0)</f>
        <v>8.8825214899713484E-2</v>
      </c>
      <c r="L758">
        <f>IFERROR($J758/IF($A758&lt;COUNTIFS($K$1:L$1,"&lt;&gt;"),0,SUMIFS($J:$J,$B:$B,$B758,$A:$A,"&gt;="&amp;COUNTIFS($K$1:L$1,"&lt;&gt;"))),0)</f>
        <v>9.7484276729559768E-2</v>
      </c>
      <c r="M758">
        <f>IFERROR($J758/IF($A758&lt;COUNTIFS($K$1:M$1,"&lt;&gt;"),0,SUMIFS($J:$J,$B:$B,$B758,$A:$A,"&gt;="&amp;COUNTIFS($K$1:M$1,"&lt;&gt;"))),0)</f>
        <v>0</v>
      </c>
      <c r="N758">
        <f>IFERROR($J758/IF($A758&lt;COUNTIFS($K$1:N$1,"&lt;&gt;"),0,SUMIFS($J:$J,$B:$B,$B758,$A:$A,"&gt;="&amp;COUNTIFS($K$1:N$1,"&lt;&gt;"))),0)</f>
        <v>0</v>
      </c>
      <c r="O758">
        <f>IFERROR($J758/IF($A758&lt;COUNTIFS($K$1:O$1,"&lt;&gt;"),0,SUMIFS($J:$J,$B:$B,$B758,$A:$A,"&gt;="&amp;COUNTIFS($K$1:O$1,"&lt;&gt;"))),0)</f>
        <v>0</v>
      </c>
      <c r="P758">
        <f>IFERROR($J758/IF($A758&lt;COUNTIFS($K$1:P$1,"&lt;&gt;"),0,SUMIFS($J:$J,$B:$B,$B758,$A:$A,"&gt;="&amp;COUNTIFS($K$1:P$1,"&lt;&gt;"))),0)</f>
        <v>0</v>
      </c>
      <c r="Q758">
        <f>IFERROR($J758/IF($A758&lt;COUNTIFS($K$1:Q$1,"&lt;&gt;"),0,SUMIFS($J:$J,$B:$B,$B758,$A:$A,"&gt;="&amp;COUNTIFS($K$1:Q$1,"&lt;&gt;"))),0)</f>
        <v>0</v>
      </c>
      <c r="R758">
        <f>IFERROR($J758/IF($A758&lt;COUNTIFS($K$1:R$1,"&lt;&gt;"),0,SUMIFS($J:$J,$B:$B,$B758,$A:$A,"&gt;="&amp;COUNTIFS($K$1:R$1,"&lt;&gt;"))),0)</f>
        <v>0</v>
      </c>
      <c r="S758">
        <f>IFERROR($J758/IF($A758&lt;COUNTIFS($K$1:S$1,"&lt;&gt;"),0,SUMIFS($J:$J,$B:$B,$B758,$A:$A,"&gt;="&amp;COUNTIFS($K$1:S$1,"&lt;&gt;"))),0)</f>
        <v>0</v>
      </c>
      <c r="T758">
        <f>IFERROR($J758/IF($A758&lt;COUNTIFS($K$1:T$1,"&lt;&gt;"),0,SUMIFS($J:$J,$B:$B,$B758,$A:$A,"&gt;="&amp;COUNTIFS($K$1:T$1,"&lt;&gt;"))),0)</f>
        <v>0</v>
      </c>
      <c r="U758">
        <f>IFERROR($J758/IF($A758&lt;COUNTIFS($K$1:U$1,"&lt;&gt;"),0,SUMIFS($J:$J,$B:$B,$B758,$A:$A,"&gt;="&amp;COUNTIFS($K$1:U$1,"&lt;&gt;"))),0)</f>
        <v>0</v>
      </c>
      <c r="V758">
        <f>IFERROR($J758/IF($A758&lt;COUNTIFS($K$1:V$1,"&lt;&gt;"),0,SUMIFS($J:$J,$B:$B,$B758,$A:$A,"&gt;="&amp;COUNTIFS($K$1:V$1,"&lt;&gt;"))),0)</f>
        <v>0</v>
      </c>
      <c r="W758">
        <f t="shared" si="266"/>
        <v>8.4931506849315067E-2</v>
      </c>
      <c r="X758">
        <f t="shared" si="246"/>
        <v>8.4931506849315067E-2</v>
      </c>
      <c r="Y758">
        <f t="shared" si="247"/>
        <v>8.4931506849315067E-2</v>
      </c>
      <c r="Z758">
        <f t="shared" si="248"/>
        <v>0</v>
      </c>
      <c r="AA758">
        <f t="shared" si="249"/>
        <v>0</v>
      </c>
      <c r="AB758">
        <f t="shared" si="250"/>
        <v>0</v>
      </c>
      <c r="AC758">
        <f t="shared" si="251"/>
        <v>0</v>
      </c>
      <c r="AD758">
        <f t="shared" si="252"/>
        <v>0</v>
      </c>
      <c r="AE758">
        <f t="shared" si="253"/>
        <v>0</v>
      </c>
      <c r="AF758">
        <f t="shared" si="254"/>
        <v>0</v>
      </c>
      <c r="AG758">
        <f t="shared" si="255"/>
        <v>0</v>
      </c>
      <c r="AH758">
        <f t="shared" si="256"/>
        <v>0</v>
      </c>
      <c r="AI758">
        <f t="shared" si="257"/>
        <v>0</v>
      </c>
      <c r="AJ758" s="2" t="str">
        <f t="shared" si="267"/>
        <v>245597</v>
      </c>
    </row>
    <row r="759" spans="1:36" x14ac:dyDescent="0.25">
      <c r="A759">
        <v>3</v>
      </c>
      <c r="B759" s="1">
        <v>45597</v>
      </c>
      <c r="C759" s="1">
        <f t="shared" si="258"/>
        <v>45689</v>
      </c>
      <c r="D759" s="1">
        <f t="shared" si="259"/>
        <v>45611</v>
      </c>
      <c r="E759" s="1">
        <f t="shared" si="260"/>
        <v>45689</v>
      </c>
      <c r="F759" s="1">
        <f t="shared" si="261"/>
        <v>45717</v>
      </c>
      <c r="G759" s="1">
        <f t="shared" si="262"/>
        <v>45976</v>
      </c>
      <c r="H759">
        <f t="shared" si="263"/>
        <v>365</v>
      </c>
      <c r="I759">
        <f t="shared" si="264"/>
        <v>28</v>
      </c>
      <c r="J759">
        <f t="shared" si="265"/>
        <v>7.6712328767123292E-2</v>
      </c>
      <c r="K759">
        <f>IFERROR($J759/IF($A759&lt;COUNTIFS($K$1:K$1,"&lt;&gt;"),0,SUMIFS($J:$J,$B:$B,$B759,$A:$A,"&gt;="&amp;COUNTIFS($K$1:K$1,"&lt;&gt;"))),0)</f>
        <v>8.0229226361031539E-2</v>
      </c>
      <c r="L759">
        <f>IFERROR($J759/IF($A759&lt;COUNTIFS($K$1:L$1,"&lt;&gt;"),0,SUMIFS($J:$J,$B:$B,$B759,$A:$A,"&gt;="&amp;COUNTIFS($K$1:L$1,"&lt;&gt;"))),0)</f>
        <v>8.8050314465408827E-2</v>
      </c>
      <c r="M759">
        <f>IFERROR($J759/IF($A759&lt;COUNTIFS($K$1:M$1,"&lt;&gt;"),0,SUMIFS($J:$J,$B:$B,$B759,$A:$A,"&gt;="&amp;COUNTIFS($K$1:M$1,"&lt;&gt;"))),0)</f>
        <v>9.7560975609756115E-2</v>
      </c>
      <c r="N759">
        <f>IFERROR($J759/IF($A759&lt;COUNTIFS($K$1:N$1,"&lt;&gt;"),0,SUMIFS($J:$J,$B:$B,$B759,$A:$A,"&gt;="&amp;COUNTIFS($K$1:N$1,"&lt;&gt;"))),0)</f>
        <v>0</v>
      </c>
      <c r="O759">
        <f>IFERROR($J759/IF($A759&lt;COUNTIFS($K$1:O$1,"&lt;&gt;"),0,SUMIFS($J:$J,$B:$B,$B759,$A:$A,"&gt;="&amp;COUNTIFS($K$1:O$1,"&lt;&gt;"))),0)</f>
        <v>0</v>
      </c>
      <c r="P759">
        <f>IFERROR($J759/IF($A759&lt;COUNTIFS($K$1:P$1,"&lt;&gt;"),0,SUMIFS($J:$J,$B:$B,$B759,$A:$A,"&gt;="&amp;COUNTIFS($K$1:P$1,"&lt;&gt;"))),0)</f>
        <v>0</v>
      </c>
      <c r="Q759">
        <f>IFERROR($J759/IF($A759&lt;COUNTIFS($K$1:Q$1,"&lt;&gt;"),0,SUMIFS($J:$J,$B:$B,$B759,$A:$A,"&gt;="&amp;COUNTIFS($K$1:Q$1,"&lt;&gt;"))),0)</f>
        <v>0</v>
      </c>
      <c r="R759">
        <f>IFERROR($J759/IF($A759&lt;COUNTIFS($K$1:R$1,"&lt;&gt;"),0,SUMIFS($J:$J,$B:$B,$B759,$A:$A,"&gt;="&amp;COUNTIFS($K$1:R$1,"&lt;&gt;"))),0)</f>
        <v>0</v>
      </c>
      <c r="S759">
        <f>IFERROR($J759/IF($A759&lt;COUNTIFS($K$1:S$1,"&lt;&gt;"),0,SUMIFS($J:$J,$B:$B,$B759,$A:$A,"&gt;="&amp;COUNTIFS($K$1:S$1,"&lt;&gt;"))),0)</f>
        <v>0</v>
      </c>
      <c r="T759">
        <f>IFERROR($J759/IF($A759&lt;COUNTIFS($K$1:T$1,"&lt;&gt;"),0,SUMIFS($J:$J,$B:$B,$B759,$A:$A,"&gt;="&amp;COUNTIFS($K$1:T$1,"&lt;&gt;"))),0)</f>
        <v>0</v>
      </c>
      <c r="U759">
        <f>IFERROR($J759/IF($A759&lt;COUNTIFS($K$1:U$1,"&lt;&gt;"),0,SUMIFS($J:$J,$B:$B,$B759,$A:$A,"&gt;="&amp;COUNTIFS($K$1:U$1,"&lt;&gt;"))),0)</f>
        <v>0</v>
      </c>
      <c r="V759">
        <f>IFERROR($J759/IF($A759&lt;COUNTIFS($K$1:V$1,"&lt;&gt;"),0,SUMIFS($J:$J,$B:$B,$B759,$A:$A,"&gt;="&amp;COUNTIFS($K$1:V$1,"&lt;&gt;"))),0)</f>
        <v>0</v>
      </c>
      <c r="W759">
        <f t="shared" si="266"/>
        <v>7.6712328767123292E-2</v>
      </c>
      <c r="X759">
        <f t="shared" si="246"/>
        <v>7.6712328767123292E-2</v>
      </c>
      <c r="Y759">
        <f t="shared" si="247"/>
        <v>7.6712328767123292E-2</v>
      </c>
      <c r="Z759">
        <f t="shared" si="248"/>
        <v>7.6712328767123292E-2</v>
      </c>
      <c r="AA759">
        <f t="shared" si="249"/>
        <v>0</v>
      </c>
      <c r="AB759">
        <f t="shared" si="250"/>
        <v>0</v>
      </c>
      <c r="AC759">
        <f t="shared" si="251"/>
        <v>0</v>
      </c>
      <c r="AD759">
        <f t="shared" si="252"/>
        <v>0</v>
      </c>
      <c r="AE759">
        <f t="shared" si="253"/>
        <v>0</v>
      </c>
      <c r="AF759">
        <f t="shared" si="254"/>
        <v>0</v>
      </c>
      <c r="AG759">
        <f t="shared" si="255"/>
        <v>0</v>
      </c>
      <c r="AH759">
        <f t="shared" si="256"/>
        <v>0</v>
      </c>
      <c r="AI759">
        <f t="shared" si="257"/>
        <v>0</v>
      </c>
      <c r="AJ759" s="2" t="str">
        <f t="shared" si="267"/>
        <v>345597</v>
      </c>
    </row>
    <row r="760" spans="1:36" x14ac:dyDescent="0.25">
      <c r="A760">
        <v>4</v>
      </c>
      <c r="B760" s="1">
        <v>45597</v>
      </c>
      <c r="C760" s="1">
        <f t="shared" si="258"/>
        <v>45717</v>
      </c>
      <c r="D760" s="1">
        <f t="shared" si="259"/>
        <v>45611</v>
      </c>
      <c r="E760" s="1">
        <f t="shared" si="260"/>
        <v>45717</v>
      </c>
      <c r="F760" s="1">
        <f t="shared" si="261"/>
        <v>45748</v>
      </c>
      <c r="G760" s="1">
        <f t="shared" si="262"/>
        <v>45976</v>
      </c>
      <c r="H760">
        <f t="shared" si="263"/>
        <v>365</v>
      </c>
      <c r="I760">
        <f t="shared" si="264"/>
        <v>31</v>
      </c>
      <c r="J760">
        <f t="shared" si="265"/>
        <v>8.4931506849315067E-2</v>
      </c>
      <c r="K760">
        <f>IFERROR($J760/IF($A760&lt;COUNTIFS($K$1:K$1,"&lt;&gt;"),0,SUMIFS($J:$J,$B:$B,$B760,$A:$A,"&gt;="&amp;COUNTIFS($K$1:K$1,"&lt;&gt;"))),0)</f>
        <v>8.8825214899713484E-2</v>
      </c>
      <c r="L760">
        <f>IFERROR($J760/IF($A760&lt;COUNTIFS($K$1:L$1,"&lt;&gt;"),0,SUMIFS($J:$J,$B:$B,$B760,$A:$A,"&gt;="&amp;COUNTIFS($K$1:L$1,"&lt;&gt;"))),0)</f>
        <v>9.7484276729559768E-2</v>
      </c>
      <c r="M760">
        <f>IFERROR($J760/IF($A760&lt;COUNTIFS($K$1:M$1,"&lt;&gt;"),0,SUMIFS($J:$J,$B:$B,$B760,$A:$A,"&gt;="&amp;COUNTIFS($K$1:M$1,"&lt;&gt;"))),0)</f>
        <v>0.10801393728222998</v>
      </c>
      <c r="N760">
        <f>IFERROR($J760/IF($A760&lt;COUNTIFS($K$1:N$1,"&lt;&gt;"),0,SUMIFS($J:$J,$B:$B,$B760,$A:$A,"&gt;="&amp;COUNTIFS($K$1:N$1,"&lt;&gt;"))),0)</f>
        <v>0.11969111969111972</v>
      </c>
      <c r="O760">
        <f>IFERROR($J760/IF($A760&lt;COUNTIFS($K$1:O$1,"&lt;&gt;"),0,SUMIFS($J:$J,$B:$B,$B760,$A:$A,"&gt;="&amp;COUNTIFS($K$1:O$1,"&lt;&gt;"))),0)</f>
        <v>0</v>
      </c>
      <c r="P760">
        <f>IFERROR($J760/IF($A760&lt;COUNTIFS($K$1:P$1,"&lt;&gt;"),0,SUMIFS($J:$J,$B:$B,$B760,$A:$A,"&gt;="&amp;COUNTIFS($K$1:P$1,"&lt;&gt;"))),0)</f>
        <v>0</v>
      </c>
      <c r="Q760">
        <f>IFERROR($J760/IF($A760&lt;COUNTIFS($K$1:Q$1,"&lt;&gt;"),0,SUMIFS($J:$J,$B:$B,$B760,$A:$A,"&gt;="&amp;COUNTIFS($K$1:Q$1,"&lt;&gt;"))),0)</f>
        <v>0</v>
      </c>
      <c r="R760">
        <f>IFERROR($J760/IF($A760&lt;COUNTIFS($K$1:R$1,"&lt;&gt;"),0,SUMIFS($J:$J,$B:$B,$B760,$A:$A,"&gt;="&amp;COUNTIFS($K$1:R$1,"&lt;&gt;"))),0)</f>
        <v>0</v>
      </c>
      <c r="S760">
        <f>IFERROR($J760/IF($A760&lt;COUNTIFS($K$1:S$1,"&lt;&gt;"),0,SUMIFS($J:$J,$B:$B,$B760,$A:$A,"&gt;="&amp;COUNTIFS($K$1:S$1,"&lt;&gt;"))),0)</f>
        <v>0</v>
      </c>
      <c r="T760">
        <f>IFERROR($J760/IF($A760&lt;COUNTIFS($K$1:T$1,"&lt;&gt;"),0,SUMIFS($J:$J,$B:$B,$B760,$A:$A,"&gt;="&amp;COUNTIFS($K$1:T$1,"&lt;&gt;"))),0)</f>
        <v>0</v>
      </c>
      <c r="U760">
        <f>IFERROR($J760/IF($A760&lt;COUNTIFS($K$1:U$1,"&lt;&gt;"),0,SUMIFS($J:$J,$B:$B,$B760,$A:$A,"&gt;="&amp;COUNTIFS($K$1:U$1,"&lt;&gt;"))),0)</f>
        <v>0</v>
      </c>
      <c r="V760">
        <f>IFERROR($J760/IF($A760&lt;COUNTIFS($K$1:V$1,"&lt;&gt;"),0,SUMIFS($J:$J,$B:$B,$B760,$A:$A,"&gt;="&amp;COUNTIFS($K$1:V$1,"&lt;&gt;"))),0)</f>
        <v>0</v>
      </c>
      <c r="W760">
        <f t="shared" si="266"/>
        <v>8.4931506849315067E-2</v>
      </c>
      <c r="X760">
        <f t="shared" si="246"/>
        <v>8.4931506849315067E-2</v>
      </c>
      <c r="Y760">
        <f t="shared" si="247"/>
        <v>8.4931506849315067E-2</v>
      </c>
      <c r="Z760">
        <f t="shared" si="248"/>
        <v>8.4931506849315067E-2</v>
      </c>
      <c r="AA760">
        <f t="shared" si="249"/>
        <v>8.4931506849315067E-2</v>
      </c>
      <c r="AB760">
        <f t="shared" si="250"/>
        <v>0</v>
      </c>
      <c r="AC760">
        <f t="shared" si="251"/>
        <v>0</v>
      </c>
      <c r="AD760">
        <f t="shared" si="252"/>
        <v>0</v>
      </c>
      <c r="AE760">
        <f t="shared" si="253"/>
        <v>0</v>
      </c>
      <c r="AF760">
        <f t="shared" si="254"/>
        <v>0</v>
      </c>
      <c r="AG760">
        <f t="shared" si="255"/>
        <v>0</v>
      </c>
      <c r="AH760">
        <f t="shared" si="256"/>
        <v>0</v>
      </c>
      <c r="AI760">
        <f t="shared" si="257"/>
        <v>0</v>
      </c>
      <c r="AJ760" s="2" t="str">
        <f t="shared" si="267"/>
        <v>445597</v>
      </c>
    </row>
    <row r="761" spans="1:36" x14ac:dyDescent="0.25">
      <c r="A761">
        <v>5</v>
      </c>
      <c r="B761" s="1">
        <v>45597</v>
      </c>
      <c r="C761" s="1">
        <f t="shared" si="258"/>
        <v>45748</v>
      </c>
      <c r="D761" s="1">
        <f t="shared" si="259"/>
        <v>45611</v>
      </c>
      <c r="E761" s="1">
        <f t="shared" si="260"/>
        <v>45748</v>
      </c>
      <c r="F761" s="1">
        <f t="shared" si="261"/>
        <v>45778</v>
      </c>
      <c r="G761" s="1">
        <f t="shared" si="262"/>
        <v>45976</v>
      </c>
      <c r="H761">
        <f t="shared" si="263"/>
        <v>365</v>
      </c>
      <c r="I761">
        <f t="shared" si="264"/>
        <v>30</v>
      </c>
      <c r="J761">
        <f t="shared" si="265"/>
        <v>8.2191780821917804E-2</v>
      </c>
      <c r="K761">
        <f>IFERROR($J761/IF($A761&lt;COUNTIFS($K$1:K$1,"&lt;&gt;"),0,SUMIFS($J:$J,$B:$B,$B761,$A:$A,"&gt;="&amp;COUNTIFS($K$1:K$1,"&lt;&gt;"))),0)</f>
        <v>8.5959885386819493E-2</v>
      </c>
      <c r="L761">
        <f>IFERROR($J761/IF($A761&lt;COUNTIFS($K$1:L$1,"&lt;&gt;"),0,SUMIFS($J:$J,$B:$B,$B761,$A:$A,"&gt;="&amp;COUNTIFS($K$1:L$1,"&lt;&gt;"))),0)</f>
        <v>9.4339622641509441E-2</v>
      </c>
      <c r="M761">
        <f>IFERROR($J761/IF($A761&lt;COUNTIFS($K$1:M$1,"&lt;&gt;"),0,SUMIFS($J:$J,$B:$B,$B761,$A:$A,"&gt;="&amp;COUNTIFS($K$1:M$1,"&lt;&gt;"))),0)</f>
        <v>0.10452961672473869</v>
      </c>
      <c r="N761">
        <f>IFERROR($J761/IF($A761&lt;COUNTIFS($K$1:N$1,"&lt;&gt;"),0,SUMIFS($J:$J,$B:$B,$B761,$A:$A,"&gt;="&amp;COUNTIFS($K$1:N$1,"&lt;&gt;"))),0)</f>
        <v>0.11583011583011585</v>
      </c>
      <c r="O761">
        <f>IFERROR($J761/IF($A761&lt;COUNTIFS($K$1:O$1,"&lt;&gt;"),0,SUMIFS($J:$J,$B:$B,$B761,$A:$A,"&gt;="&amp;COUNTIFS($K$1:O$1,"&lt;&gt;"))),0)</f>
        <v>0.13157894736842107</v>
      </c>
      <c r="P761">
        <f>IFERROR($J761/IF($A761&lt;COUNTIFS($K$1:P$1,"&lt;&gt;"),0,SUMIFS($J:$J,$B:$B,$B761,$A:$A,"&gt;="&amp;COUNTIFS($K$1:P$1,"&lt;&gt;"))),0)</f>
        <v>0</v>
      </c>
      <c r="Q761">
        <f>IFERROR($J761/IF($A761&lt;COUNTIFS($K$1:Q$1,"&lt;&gt;"),0,SUMIFS($J:$J,$B:$B,$B761,$A:$A,"&gt;="&amp;COUNTIFS($K$1:Q$1,"&lt;&gt;"))),0)</f>
        <v>0</v>
      </c>
      <c r="R761">
        <f>IFERROR($J761/IF($A761&lt;COUNTIFS($K$1:R$1,"&lt;&gt;"),0,SUMIFS($J:$J,$B:$B,$B761,$A:$A,"&gt;="&amp;COUNTIFS($K$1:R$1,"&lt;&gt;"))),0)</f>
        <v>0</v>
      </c>
      <c r="S761">
        <f>IFERROR($J761/IF($A761&lt;COUNTIFS($K$1:S$1,"&lt;&gt;"),0,SUMIFS($J:$J,$B:$B,$B761,$A:$A,"&gt;="&amp;COUNTIFS($K$1:S$1,"&lt;&gt;"))),0)</f>
        <v>0</v>
      </c>
      <c r="T761">
        <f>IFERROR($J761/IF($A761&lt;COUNTIFS($K$1:T$1,"&lt;&gt;"),0,SUMIFS($J:$J,$B:$B,$B761,$A:$A,"&gt;="&amp;COUNTIFS($K$1:T$1,"&lt;&gt;"))),0)</f>
        <v>0</v>
      </c>
      <c r="U761">
        <f>IFERROR($J761/IF($A761&lt;COUNTIFS($K$1:U$1,"&lt;&gt;"),0,SUMIFS($J:$J,$B:$B,$B761,$A:$A,"&gt;="&amp;COUNTIFS($K$1:U$1,"&lt;&gt;"))),0)</f>
        <v>0</v>
      </c>
      <c r="V761">
        <f>IFERROR($J761/IF($A761&lt;COUNTIFS($K$1:V$1,"&lt;&gt;"),0,SUMIFS($J:$J,$B:$B,$B761,$A:$A,"&gt;="&amp;COUNTIFS($K$1:V$1,"&lt;&gt;"))),0)</f>
        <v>0</v>
      </c>
      <c r="W761">
        <f t="shared" si="266"/>
        <v>8.2191780821917804E-2</v>
      </c>
      <c r="X761">
        <f t="shared" si="246"/>
        <v>8.2191780821917804E-2</v>
      </c>
      <c r="Y761">
        <f t="shared" si="247"/>
        <v>8.2191780821917804E-2</v>
      </c>
      <c r="Z761">
        <f t="shared" si="248"/>
        <v>8.2191780821917804E-2</v>
      </c>
      <c r="AA761">
        <f t="shared" si="249"/>
        <v>8.2191780821917804E-2</v>
      </c>
      <c r="AB761">
        <f t="shared" si="250"/>
        <v>8.2191780821917804E-2</v>
      </c>
      <c r="AC761">
        <f t="shared" si="251"/>
        <v>0</v>
      </c>
      <c r="AD761">
        <f t="shared" si="252"/>
        <v>0</v>
      </c>
      <c r="AE761">
        <f t="shared" si="253"/>
        <v>0</v>
      </c>
      <c r="AF761">
        <f t="shared" si="254"/>
        <v>0</v>
      </c>
      <c r="AG761">
        <f t="shared" si="255"/>
        <v>0</v>
      </c>
      <c r="AH761">
        <f t="shared" si="256"/>
        <v>0</v>
      </c>
      <c r="AI761">
        <f t="shared" si="257"/>
        <v>0</v>
      </c>
      <c r="AJ761" s="2" t="str">
        <f t="shared" si="267"/>
        <v>545597</v>
      </c>
    </row>
    <row r="762" spans="1:36" x14ac:dyDescent="0.25">
      <c r="A762">
        <v>6</v>
      </c>
      <c r="B762" s="1">
        <v>45597</v>
      </c>
      <c r="C762" s="1">
        <f t="shared" si="258"/>
        <v>45778</v>
      </c>
      <c r="D762" s="1">
        <f t="shared" si="259"/>
        <v>45611</v>
      </c>
      <c r="E762" s="1">
        <f t="shared" si="260"/>
        <v>45778</v>
      </c>
      <c r="F762" s="1">
        <f t="shared" si="261"/>
        <v>45809</v>
      </c>
      <c r="G762" s="1">
        <f t="shared" si="262"/>
        <v>45976</v>
      </c>
      <c r="H762">
        <f t="shared" si="263"/>
        <v>365</v>
      </c>
      <c r="I762">
        <f t="shared" si="264"/>
        <v>31</v>
      </c>
      <c r="J762">
        <f t="shared" si="265"/>
        <v>8.4931506849315067E-2</v>
      </c>
      <c r="K762">
        <f>IFERROR($J762/IF($A762&lt;COUNTIFS($K$1:K$1,"&lt;&gt;"),0,SUMIFS($J:$J,$B:$B,$B762,$A:$A,"&gt;="&amp;COUNTIFS($K$1:K$1,"&lt;&gt;"))),0)</f>
        <v>8.8825214899713484E-2</v>
      </c>
      <c r="L762">
        <f>IFERROR($J762/IF($A762&lt;COUNTIFS($K$1:L$1,"&lt;&gt;"),0,SUMIFS($J:$J,$B:$B,$B762,$A:$A,"&gt;="&amp;COUNTIFS($K$1:L$1,"&lt;&gt;"))),0)</f>
        <v>9.7484276729559768E-2</v>
      </c>
      <c r="M762">
        <f>IFERROR($J762/IF($A762&lt;COUNTIFS($K$1:M$1,"&lt;&gt;"),0,SUMIFS($J:$J,$B:$B,$B762,$A:$A,"&gt;="&amp;COUNTIFS($K$1:M$1,"&lt;&gt;"))),0)</f>
        <v>0.10801393728222998</v>
      </c>
      <c r="N762">
        <f>IFERROR($J762/IF($A762&lt;COUNTIFS($K$1:N$1,"&lt;&gt;"),0,SUMIFS($J:$J,$B:$B,$B762,$A:$A,"&gt;="&amp;COUNTIFS($K$1:N$1,"&lt;&gt;"))),0)</f>
        <v>0.11969111969111972</v>
      </c>
      <c r="O762">
        <f>IFERROR($J762/IF($A762&lt;COUNTIFS($K$1:O$1,"&lt;&gt;"),0,SUMIFS($J:$J,$B:$B,$B762,$A:$A,"&gt;="&amp;COUNTIFS($K$1:O$1,"&lt;&gt;"))),0)</f>
        <v>0.13596491228070179</v>
      </c>
      <c r="P762">
        <f>IFERROR($J762/IF($A762&lt;COUNTIFS($K$1:P$1,"&lt;&gt;"),0,SUMIFS($J:$J,$B:$B,$B762,$A:$A,"&gt;="&amp;COUNTIFS($K$1:P$1,"&lt;&gt;"))),0)</f>
        <v>0.1565656565656566</v>
      </c>
      <c r="Q762">
        <f>IFERROR($J762/IF($A762&lt;COUNTIFS($K$1:Q$1,"&lt;&gt;"),0,SUMIFS($J:$J,$B:$B,$B762,$A:$A,"&gt;="&amp;COUNTIFS($K$1:Q$1,"&lt;&gt;"))),0)</f>
        <v>0</v>
      </c>
      <c r="R762">
        <f>IFERROR($J762/IF($A762&lt;COUNTIFS($K$1:R$1,"&lt;&gt;"),0,SUMIFS($J:$J,$B:$B,$B762,$A:$A,"&gt;="&amp;COUNTIFS($K$1:R$1,"&lt;&gt;"))),0)</f>
        <v>0</v>
      </c>
      <c r="S762">
        <f>IFERROR($J762/IF($A762&lt;COUNTIFS($K$1:S$1,"&lt;&gt;"),0,SUMIFS($J:$J,$B:$B,$B762,$A:$A,"&gt;="&amp;COUNTIFS($K$1:S$1,"&lt;&gt;"))),0)</f>
        <v>0</v>
      </c>
      <c r="T762">
        <f>IFERROR($J762/IF($A762&lt;COUNTIFS($K$1:T$1,"&lt;&gt;"),0,SUMIFS($J:$J,$B:$B,$B762,$A:$A,"&gt;="&amp;COUNTIFS($K$1:T$1,"&lt;&gt;"))),0)</f>
        <v>0</v>
      </c>
      <c r="U762">
        <f>IFERROR($J762/IF($A762&lt;COUNTIFS($K$1:U$1,"&lt;&gt;"),0,SUMIFS($J:$J,$B:$B,$B762,$A:$A,"&gt;="&amp;COUNTIFS($K$1:U$1,"&lt;&gt;"))),0)</f>
        <v>0</v>
      </c>
      <c r="V762">
        <f>IFERROR($J762/IF($A762&lt;COUNTIFS($K$1:V$1,"&lt;&gt;"),0,SUMIFS($J:$J,$B:$B,$B762,$A:$A,"&gt;="&amp;COUNTIFS($K$1:V$1,"&lt;&gt;"))),0)</f>
        <v>0</v>
      </c>
      <c r="W762">
        <f t="shared" si="266"/>
        <v>8.4931506849315067E-2</v>
      </c>
      <c r="X762">
        <f t="shared" si="246"/>
        <v>8.4931506849315067E-2</v>
      </c>
      <c r="Y762">
        <f t="shared" si="247"/>
        <v>8.4931506849315067E-2</v>
      </c>
      <c r="Z762">
        <f t="shared" si="248"/>
        <v>8.4931506849315067E-2</v>
      </c>
      <c r="AA762">
        <f t="shared" si="249"/>
        <v>8.4931506849315067E-2</v>
      </c>
      <c r="AB762">
        <f t="shared" si="250"/>
        <v>8.4931506849315067E-2</v>
      </c>
      <c r="AC762">
        <f t="shared" si="251"/>
        <v>8.4931506849315067E-2</v>
      </c>
      <c r="AD762">
        <f t="shared" si="252"/>
        <v>0</v>
      </c>
      <c r="AE762">
        <f t="shared" si="253"/>
        <v>0</v>
      </c>
      <c r="AF762">
        <f t="shared" si="254"/>
        <v>0</v>
      </c>
      <c r="AG762">
        <f t="shared" si="255"/>
        <v>0</v>
      </c>
      <c r="AH762">
        <f t="shared" si="256"/>
        <v>0</v>
      </c>
      <c r="AI762">
        <f t="shared" si="257"/>
        <v>0</v>
      </c>
      <c r="AJ762" s="2" t="str">
        <f t="shared" si="267"/>
        <v>645597</v>
      </c>
    </row>
    <row r="763" spans="1:36" x14ac:dyDescent="0.25">
      <c r="A763">
        <v>7</v>
      </c>
      <c r="B763" s="1">
        <v>45597</v>
      </c>
      <c r="C763" s="1">
        <f t="shared" si="258"/>
        <v>45809</v>
      </c>
      <c r="D763" s="1">
        <f t="shared" si="259"/>
        <v>45611</v>
      </c>
      <c r="E763" s="1">
        <f t="shared" si="260"/>
        <v>45809</v>
      </c>
      <c r="F763" s="1">
        <f t="shared" si="261"/>
        <v>45839</v>
      </c>
      <c r="G763" s="1">
        <f t="shared" si="262"/>
        <v>45976</v>
      </c>
      <c r="H763">
        <f t="shared" si="263"/>
        <v>365</v>
      </c>
      <c r="I763">
        <f t="shared" si="264"/>
        <v>30</v>
      </c>
      <c r="J763">
        <f t="shared" si="265"/>
        <v>8.2191780821917804E-2</v>
      </c>
      <c r="K763">
        <f>IFERROR($J763/IF($A763&lt;COUNTIFS($K$1:K$1,"&lt;&gt;"),0,SUMIFS($J:$J,$B:$B,$B763,$A:$A,"&gt;="&amp;COUNTIFS($K$1:K$1,"&lt;&gt;"))),0)</f>
        <v>8.5959885386819493E-2</v>
      </c>
      <c r="L763">
        <f>IFERROR($J763/IF($A763&lt;COUNTIFS($K$1:L$1,"&lt;&gt;"),0,SUMIFS($J:$J,$B:$B,$B763,$A:$A,"&gt;="&amp;COUNTIFS($K$1:L$1,"&lt;&gt;"))),0)</f>
        <v>9.4339622641509441E-2</v>
      </c>
      <c r="M763">
        <f>IFERROR($J763/IF($A763&lt;COUNTIFS($K$1:M$1,"&lt;&gt;"),0,SUMIFS($J:$J,$B:$B,$B763,$A:$A,"&gt;="&amp;COUNTIFS($K$1:M$1,"&lt;&gt;"))),0)</f>
        <v>0.10452961672473869</v>
      </c>
      <c r="N763">
        <f>IFERROR($J763/IF($A763&lt;COUNTIFS($K$1:N$1,"&lt;&gt;"),0,SUMIFS($J:$J,$B:$B,$B763,$A:$A,"&gt;="&amp;COUNTIFS($K$1:N$1,"&lt;&gt;"))),0)</f>
        <v>0.11583011583011585</v>
      </c>
      <c r="O763">
        <f>IFERROR($J763/IF($A763&lt;COUNTIFS($K$1:O$1,"&lt;&gt;"),0,SUMIFS($J:$J,$B:$B,$B763,$A:$A,"&gt;="&amp;COUNTIFS($K$1:O$1,"&lt;&gt;"))),0)</f>
        <v>0.13157894736842107</v>
      </c>
      <c r="P763">
        <f>IFERROR($J763/IF($A763&lt;COUNTIFS($K$1:P$1,"&lt;&gt;"),0,SUMIFS($J:$J,$B:$B,$B763,$A:$A,"&gt;="&amp;COUNTIFS($K$1:P$1,"&lt;&gt;"))),0)</f>
        <v>0.15151515151515155</v>
      </c>
      <c r="Q763">
        <f>IFERROR($J763/IF($A763&lt;COUNTIFS($K$1:Q$1,"&lt;&gt;"),0,SUMIFS($J:$J,$B:$B,$B763,$A:$A,"&gt;="&amp;COUNTIFS($K$1:Q$1,"&lt;&gt;"))),0)</f>
        <v>0.17964071856287425</v>
      </c>
      <c r="R763">
        <f>IFERROR($J763/IF($A763&lt;COUNTIFS($K$1:R$1,"&lt;&gt;"),0,SUMIFS($J:$J,$B:$B,$B763,$A:$A,"&gt;="&amp;COUNTIFS($K$1:R$1,"&lt;&gt;"))),0)</f>
        <v>0</v>
      </c>
      <c r="S763">
        <f>IFERROR($J763/IF($A763&lt;COUNTIFS($K$1:S$1,"&lt;&gt;"),0,SUMIFS($J:$J,$B:$B,$B763,$A:$A,"&gt;="&amp;COUNTIFS($K$1:S$1,"&lt;&gt;"))),0)</f>
        <v>0</v>
      </c>
      <c r="T763">
        <f>IFERROR($J763/IF($A763&lt;COUNTIFS($K$1:T$1,"&lt;&gt;"),0,SUMIFS($J:$J,$B:$B,$B763,$A:$A,"&gt;="&amp;COUNTIFS($K$1:T$1,"&lt;&gt;"))),0)</f>
        <v>0</v>
      </c>
      <c r="U763">
        <f>IFERROR($J763/IF($A763&lt;COUNTIFS($K$1:U$1,"&lt;&gt;"),0,SUMIFS($J:$J,$B:$B,$B763,$A:$A,"&gt;="&amp;COUNTIFS($K$1:U$1,"&lt;&gt;"))),0)</f>
        <v>0</v>
      </c>
      <c r="V763">
        <f>IFERROR($J763/IF($A763&lt;COUNTIFS($K$1:V$1,"&lt;&gt;"),0,SUMIFS($J:$J,$B:$B,$B763,$A:$A,"&gt;="&amp;COUNTIFS($K$1:V$1,"&lt;&gt;"))),0)</f>
        <v>0</v>
      </c>
      <c r="W763">
        <f t="shared" si="266"/>
        <v>8.2191780821917804E-2</v>
      </c>
      <c r="X763">
        <f t="shared" si="246"/>
        <v>8.2191780821917804E-2</v>
      </c>
      <c r="Y763">
        <f t="shared" si="247"/>
        <v>8.2191780821917804E-2</v>
      </c>
      <c r="Z763">
        <f t="shared" si="248"/>
        <v>8.2191780821917804E-2</v>
      </c>
      <c r="AA763">
        <f t="shared" si="249"/>
        <v>8.2191780821917804E-2</v>
      </c>
      <c r="AB763">
        <f t="shared" si="250"/>
        <v>8.2191780821917804E-2</v>
      </c>
      <c r="AC763">
        <f t="shared" si="251"/>
        <v>8.2191780821917804E-2</v>
      </c>
      <c r="AD763">
        <f t="shared" si="252"/>
        <v>8.2191780821917804E-2</v>
      </c>
      <c r="AE763">
        <f t="shared" si="253"/>
        <v>0</v>
      </c>
      <c r="AF763">
        <f t="shared" si="254"/>
        <v>0</v>
      </c>
      <c r="AG763">
        <f t="shared" si="255"/>
        <v>0</v>
      </c>
      <c r="AH763">
        <f t="shared" si="256"/>
        <v>0</v>
      </c>
      <c r="AI763">
        <f t="shared" si="257"/>
        <v>0</v>
      </c>
      <c r="AJ763" s="2" t="str">
        <f t="shared" si="267"/>
        <v>745597</v>
      </c>
    </row>
    <row r="764" spans="1:36" x14ac:dyDescent="0.25">
      <c r="A764">
        <v>8</v>
      </c>
      <c r="B764" s="1">
        <v>45597</v>
      </c>
      <c r="C764" s="1">
        <f t="shared" si="258"/>
        <v>45839</v>
      </c>
      <c r="D764" s="1">
        <f t="shared" si="259"/>
        <v>45611</v>
      </c>
      <c r="E764" s="1">
        <f t="shared" si="260"/>
        <v>45839</v>
      </c>
      <c r="F764" s="1">
        <f t="shared" si="261"/>
        <v>45870</v>
      </c>
      <c r="G764" s="1">
        <f t="shared" si="262"/>
        <v>45976</v>
      </c>
      <c r="H764">
        <f t="shared" si="263"/>
        <v>365</v>
      </c>
      <c r="I764">
        <f t="shared" si="264"/>
        <v>31</v>
      </c>
      <c r="J764">
        <f t="shared" si="265"/>
        <v>8.4931506849315067E-2</v>
      </c>
      <c r="K764">
        <f>IFERROR($J764/IF($A764&lt;COUNTIFS($K$1:K$1,"&lt;&gt;"),0,SUMIFS($J:$J,$B:$B,$B764,$A:$A,"&gt;="&amp;COUNTIFS($K$1:K$1,"&lt;&gt;"))),0)</f>
        <v>8.8825214899713484E-2</v>
      </c>
      <c r="L764">
        <f>IFERROR($J764/IF($A764&lt;COUNTIFS($K$1:L$1,"&lt;&gt;"),0,SUMIFS($J:$J,$B:$B,$B764,$A:$A,"&gt;="&amp;COUNTIFS($K$1:L$1,"&lt;&gt;"))),0)</f>
        <v>9.7484276729559768E-2</v>
      </c>
      <c r="M764">
        <f>IFERROR($J764/IF($A764&lt;COUNTIFS($K$1:M$1,"&lt;&gt;"),0,SUMIFS($J:$J,$B:$B,$B764,$A:$A,"&gt;="&amp;COUNTIFS($K$1:M$1,"&lt;&gt;"))),0)</f>
        <v>0.10801393728222998</v>
      </c>
      <c r="N764">
        <f>IFERROR($J764/IF($A764&lt;COUNTIFS($K$1:N$1,"&lt;&gt;"),0,SUMIFS($J:$J,$B:$B,$B764,$A:$A,"&gt;="&amp;COUNTIFS($K$1:N$1,"&lt;&gt;"))),0)</f>
        <v>0.11969111969111972</v>
      </c>
      <c r="O764">
        <f>IFERROR($J764/IF($A764&lt;COUNTIFS($K$1:O$1,"&lt;&gt;"),0,SUMIFS($J:$J,$B:$B,$B764,$A:$A,"&gt;="&amp;COUNTIFS($K$1:O$1,"&lt;&gt;"))),0)</f>
        <v>0.13596491228070179</v>
      </c>
      <c r="P764">
        <f>IFERROR($J764/IF($A764&lt;COUNTIFS($K$1:P$1,"&lt;&gt;"),0,SUMIFS($J:$J,$B:$B,$B764,$A:$A,"&gt;="&amp;COUNTIFS($K$1:P$1,"&lt;&gt;"))),0)</f>
        <v>0.1565656565656566</v>
      </c>
      <c r="Q764">
        <f>IFERROR($J764/IF($A764&lt;COUNTIFS($K$1:Q$1,"&lt;&gt;"),0,SUMIFS($J:$J,$B:$B,$B764,$A:$A,"&gt;="&amp;COUNTIFS($K$1:Q$1,"&lt;&gt;"))),0)</f>
        <v>0.18562874251497008</v>
      </c>
      <c r="R764">
        <f>IFERROR($J764/IF($A764&lt;COUNTIFS($K$1:R$1,"&lt;&gt;"),0,SUMIFS($J:$J,$B:$B,$B764,$A:$A,"&gt;="&amp;COUNTIFS($K$1:R$1,"&lt;&gt;"))),0)</f>
        <v>0.22627737226277375</v>
      </c>
      <c r="S764">
        <f>IFERROR($J764/IF($A764&lt;COUNTIFS($K$1:S$1,"&lt;&gt;"),0,SUMIFS($J:$J,$B:$B,$B764,$A:$A,"&gt;="&amp;COUNTIFS($K$1:S$1,"&lt;&gt;"))),0)</f>
        <v>0</v>
      </c>
      <c r="T764">
        <f>IFERROR($J764/IF($A764&lt;COUNTIFS($K$1:T$1,"&lt;&gt;"),0,SUMIFS($J:$J,$B:$B,$B764,$A:$A,"&gt;="&amp;COUNTIFS($K$1:T$1,"&lt;&gt;"))),0)</f>
        <v>0</v>
      </c>
      <c r="U764">
        <f>IFERROR($J764/IF($A764&lt;COUNTIFS($K$1:U$1,"&lt;&gt;"),0,SUMIFS($J:$J,$B:$B,$B764,$A:$A,"&gt;="&amp;COUNTIFS($K$1:U$1,"&lt;&gt;"))),0)</f>
        <v>0</v>
      </c>
      <c r="V764">
        <f>IFERROR($J764/IF($A764&lt;COUNTIFS($K$1:V$1,"&lt;&gt;"),0,SUMIFS($J:$J,$B:$B,$B764,$A:$A,"&gt;="&amp;COUNTIFS($K$1:V$1,"&lt;&gt;"))),0)</f>
        <v>0</v>
      </c>
      <c r="W764">
        <f t="shared" si="266"/>
        <v>8.4931506849315067E-2</v>
      </c>
      <c r="X764">
        <f t="shared" si="246"/>
        <v>8.4931506849315067E-2</v>
      </c>
      <c r="Y764">
        <f t="shared" si="247"/>
        <v>8.4931506849315067E-2</v>
      </c>
      <c r="Z764">
        <f t="shared" si="248"/>
        <v>8.4931506849315067E-2</v>
      </c>
      <c r="AA764">
        <f t="shared" si="249"/>
        <v>8.4931506849315067E-2</v>
      </c>
      <c r="AB764">
        <f t="shared" si="250"/>
        <v>8.4931506849315067E-2</v>
      </c>
      <c r="AC764">
        <f t="shared" si="251"/>
        <v>8.4931506849315067E-2</v>
      </c>
      <c r="AD764">
        <f t="shared" si="252"/>
        <v>8.4931506849315067E-2</v>
      </c>
      <c r="AE764">
        <f t="shared" si="253"/>
        <v>8.4931506849315067E-2</v>
      </c>
      <c r="AF764">
        <f t="shared" si="254"/>
        <v>0</v>
      </c>
      <c r="AG764">
        <f t="shared" si="255"/>
        <v>0</v>
      </c>
      <c r="AH764">
        <f t="shared" si="256"/>
        <v>0</v>
      </c>
      <c r="AI764">
        <f t="shared" si="257"/>
        <v>0</v>
      </c>
      <c r="AJ764" s="2" t="str">
        <f t="shared" si="267"/>
        <v>845597</v>
      </c>
    </row>
    <row r="765" spans="1:36" x14ac:dyDescent="0.25">
      <c r="A765">
        <v>9</v>
      </c>
      <c r="B765" s="1">
        <v>45597</v>
      </c>
      <c r="C765" s="1">
        <f t="shared" si="258"/>
        <v>45870</v>
      </c>
      <c r="D765" s="1">
        <f t="shared" si="259"/>
        <v>45611</v>
      </c>
      <c r="E765" s="1">
        <f t="shared" si="260"/>
        <v>45870</v>
      </c>
      <c r="F765" s="1">
        <f t="shared" si="261"/>
        <v>45901</v>
      </c>
      <c r="G765" s="1">
        <f t="shared" si="262"/>
        <v>45976</v>
      </c>
      <c r="H765">
        <f t="shared" si="263"/>
        <v>365</v>
      </c>
      <c r="I765">
        <f t="shared" si="264"/>
        <v>31</v>
      </c>
      <c r="J765">
        <f t="shared" si="265"/>
        <v>8.4931506849315067E-2</v>
      </c>
      <c r="K765">
        <f>IFERROR($J765/IF($A765&lt;COUNTIFS($K$1:K$1,"&lt;&gt;"),0,SUMIFS($J:$J,$B:$B,$B765,$A:$A,"&gt;="&amp;COUNTIFS($K$1:K$1,"&lt;&gt;"))),0)</f>
        <v>8.8825214899713484E-2</v>
      </c>
      <c r="L765">
        <f>IFERROR($J765/IF($A765&lt;COUNTIFS($K$1:L$1,"&lt;&gt;"),0,SUMIFS($J:$J,$B:$B,$B765,$A:$A,"&gt;="&amp;COUNTIFS($K$1:L$1,"&lt;&gt;"))),0)</f>
        <v>9.7484276729559768E-2</v>
      </c>
      <c r="M765">
        <f>IFERROR($J765/IF($A765&lt;COUNTIFS($K$1:M$1,"&lt;&gt;"),0,SUMIFS($J:$J,$B:$B,$B765,$A:$A,"&gt;="&amp;COUNTIFS($K$1:M$1,"&lt;&gt;"))),0)</f>
        <v>0.10801393728222998</v>
      </c>
      <c r="N765">
        <f>IFERROR($J765/IF($A765&lt;COUNTIFS($K$1:N$1,"&lt;&gt;"),0,SUMIFS($J:$J,$B:$B,$B765,$A:$A,"&gt;="&amp;COUNTIFS($K$1:N$1,"&lt;&gt;"))),0)</f>
        <v>0.11969111969111972</v>
      </c>
      <c r="O765">
        <f>IFERROR($J765/IF($A765&lt;COUNTIFS($K$1:O$1,"&lt;&gt;"),0,SUMIFS($J:$J,$B:$B,$B765,$A:$A,"&gt;="&amp;COUNTIFS($K$1:O$1,"&lt;&gt;"))),0)</f>
        <v>0.13596491228070179</v>
      </c>
      <c r="P765">
        <f>IFERROR($J765/IF($A765&lt;COUNTIFS($K$1:P$1,"&lt;&gt;"),0,SUMIFS($J:$J,$B:$B,$B765,$A:$A,"&gt;="&amp;COUNTIFS($K$1:P$1,"&lt;&gt;"))),0)</f>
        <v>0.1565656565656566</v>
      </c>
      <c r="Q765">
        <f>IFERROR($J765/IF($A765&lt;COUNTIFS($K$1:Q$1,"&lt;&gt;"),0,SUMIFS($J:$J,$B:$B,$B765,$A:$A,"&gt;="&amp;COUNTIFS($K$1:Q$1,"&lt;&gt;"))),0)</f>
        <v>0.18562874251497008</v>
      </c>
      <c r="R765">
        <f>IFERROR($J765/IF($A765&lt;COUNTIFS($K$1:R$1,"&lt;&gt;"),0,SUMIFS($J:$J,$B:$B,$B765,$A:$A,"&gt;="&amp;COUNTIFS($K$1:R$1,"&lt;&gt;"))),0)</f>
        <v>0.22627737226277375</v>
      </c>
      <c r="S765">
        <f>IFERROR($J765/IF($A765&lt;COUNTIFS($K$1:S$1,"&lt;&gt;"),0,SUMIFS($J:$J,$B:$B,$B765,$A:$A,"&gt;="&amp;COUNTIFS($K$1:S$1,"&lt;&gt;"))),0)</f>
        <v>0.29245283018867929</v>
      </c>
      <c r="T765">
        <f>IFERROR($J765/IF($A765&lt;COUNTIFS($K$1:T$1,"&lt;&gt;"),0,SUMIFS($J:$J,$B:$B,$B765,$A:$A,"&gt;="&amp;COUNTIFS($K$1:T$1,"&lt;&gt;"))),0)</f>
        <v>0</v>
      </c>
      <c r="U765">
        <f>IFERROR($J765/IF($A765&lt;COUNTIFS($K$1:U$1,"&lt;&gt;"),0,SUMIFS($J:$J,$B:$B,$B765,$A:$A,"&gt;="&amp;COUNTIFS($K$1:U$1,"&lt;&gt;"))),0)</f>
        <v>0</v>
      </c>
      <c r="V765">
        <f>IFERROR($J765/IF($A765&lt;COUNTIFS($K$1:V$1,"&lt;&gt;"),0,SUMIFS($J:$J,$B:$B,$B765,$A:$A,"&gt;="&amp;COUNTIFS($K$1:V$1,"&lt;&gt;"))),0)</f>
        <v>0</v>
      </c>
      <c r="W765">
        <f t="shared" si="266"/>
        <v>8.4931506849315067E-2</v>
      </c>
      <c r="X765">
        <f t="shared" si="246"/>
        <v>8.4931506849315067E-2</v>
      </c>
      <c r="Y765">
        <f t="shared" si="247"/>
        <v>8.4931506849315067E-2</v>
      </c>
      <c r="Z765">
        <f t="shared" si="248"/>
        <v>8.4931506849315067E-2</v>
      </c>
      <c r="AA765">
        <f t="shared" si="249"/>
        <v>8.4931506849315067E-2</v>
      </c>
      <c r="AB765">
        <f t="shared" si="250"/>
        <v>8.4931506849315067E-2</v>
      </c>
      <c r="AC765">
        <f t="shared" si="251"/>
        <v>8.4931506849315067E-2</v>
      </c>
      <c r="AD765">
        <f t="shared" si="252"/>
        <v>8.4931506849315067E-2</v>
      </c>
      <c r="AE765">
        <f t="shared" si="253"/>
        <v>8.4931506849315067E-2</v>
      </c>
      <c r="AF765">
        <f t="shared" si="254"/>
        <v>8.4931506849315067E-2</v>
      </c>
      <c r="AG765">
        <f t="shared" si="255"/>
        <v>0</v>
      </c>
      <c r="AH765">
        <f t="shared" si="256"/>
        <v>0</v>
      </c>
      <c r="AI765">
        <f t="shared" si="257"/>
        <v>0</v>
      </c>
      <c r="AJ765" s="2" t="str">
        <f t="shared" si="267"/>
        <v>945597</v>
      </c>
    </row>
    <row r="766" spans="1:36" x14ac:dyDescent="0.25">
      <c r="A766">
        <v>10</v>
      </c>
      <c r="B766" s="1">
        <v>45597</v>
      </c>
      <c r="C766" s="1">
        <f t="shared" si="258"/>
        <v>45901</v>
      </c>
      <c r="D766" s="1">
        <f t="shared" si="259"/>
        <v>45611</v>
      </c>
      <c r="E766" s="1">
        <f t="shared" si="260"/>
        <v>45901</v>
      </c>
      <c r="F766" s="1">
        <f t="shared" si="261"/>
        <v>45931</v>
      </c>
      <c r="G766" s="1">
        <f t="shared" si="262"/>
        <v>45976</v>
      </c>
      <c r="H766">
        <f t="shared" si="263"/>
        <v>365</v>
      </c>
      <c r="I766">
        <f t="shared" si="264"/>
        <v>30</v>
      </c>
      <c r="J766">
        <f t="shared" si="265"/>
        <v>8.2191780821917804E-2</v>
      </c>
      <c r="K766">
        <f>IFERROR($J766/IF($A766&lt;COUNTIFS($K$1:K$1,"&lt;&gt;"),0,SUMIFS($J:$J,$B:$B,$B766,$A:$A,"&gt;="&amp;COUNTIFS($K$1:K$1,"&lt;&gt;"))),0)</f>
        <v>8.5959885386819493E-2</v>
      </c>
      <c r="L766">
        <f>IFERROR($J766/IF($A766&lt;COUNTIFS($K$1:L$1,"&lt;&gt;"),0,SUMIFS($J:$J,$B:$B,$B766,$A:$A,"&gt;="&amp;COUNTIFS($K$1:L$1,"&lt;&gt;"))),0)</f>
        <v>9.4339622641509441E-2</v>
      </c>
      <c r="M766">
        <f>IFERROR($J766/IF($A766&lt;COUNTIFS($K$1:M$1,"&lt;&gt;"),0,SUMIFS($J:$J,$B:$B,$B766,$A:$A,"&gt;="&amp;COUNTIFS($K$1:M$1,"&lt;&gt;"))),0)</f>
        <v>0.10452961672473869</v>
      </c>
      <c r="N766">
        <f>IFERROR($J766/IF($A766&lt;COUNTIFS($K$1:N$1,"&lt;&gt;"),0,SUMIFS($J:$J,$B:$B,$B766,$A:$A,"&gt;="&amp;COUNTIFS($K$1:N$1,"&lt;&gt;"))),0)</f>
        <v>0.11583011583011585</v>
      </c>
      <c r="O766">
        <f>IFERROR($J766/IF($A766&lt;COUNTIFS($K$1:O$1,"&lt;&gt;"),0,SUMIFS($J:$J,$B:$B,$B766,$A:$A,"&gt;="&amp;COUNTIFS($K$1:O$1,"&lt;&gt;"))),0)</f>
        <v>0.13157894736842107</v>
      </c>
      <c r="P766">
        <f>IFERROR($J766/IF($A766&lt;COUNTIFS($K$1:P$1,"&lt;&gt;"),0,SUMIFS($J:$J,$B:$B,$B766,$A:$A,"&gt;="&amp;COUNTIFS($K$1:P$1,"&lt;&gt;"))),0)</f>
        <v>0.15151515151515155</v>
      </c>
      <c r="Q766">
        <f>IFERROR($J766/IF($A766&lt;COUNTIFS($K$1:Q$1,"&lt;&gt;"),0,SUMIFS($J:$J,$B:$B,$B766,$A:$A,"&gt;="&amp;COUNTIFS($K$1:Q$1,"&lt;&gt;"))),0)</f>
        <v>0.17964071856287425</v>
      </c>
      <c r="R766">
        <f>IFERROR($J766/IF($A766&lt;COUNTIFS($K$1:R$1,"&lt;&gt;"),0,SUMIFS($J:$J,$B:$B,$B766,$A:$A,"&gt;="&amp;COUNTIFS($K$1:R$1,"&lt;&gt;"))),0)</f>
        <v>0.21897810218978103</v>
      </c>
      <c r="S766">
        <f>IFERROR($J766/IF($A766&lt;COUNTIFS($K$1:S$1,"&lt;&gt;"),0,SUMIFS($J:$J,$B:$B,$B766,$A:$A,"&gt;="&amp;COUNTIFS($K$1:S$1,"&lt;&gt;"))),0)</f>
        <v>0.28301886792452829</v>
      </c>
      <c r="T766">
        <f>IFERROR($J766/IF($A766&lt;COUNTIFS($K$1:T$1,"&lt;&gt;"),0,SUMIFS($J:$J,$B:$B,$B766,$A:$A,"&gt;="&amp;COUNTIFS($K$1:T$1,"&lt;&gt;"))),0)</f>
        <v>0.4</v>
      </c>
      <c r="U766">
        <f>IFERROR($J766/IF($A766&lt;COUNTIFS($K$1:U$1,"&lt;&gt;"),0,SUMIFS($J:$J,$B:$B,$B766,$A:$A,"&gt;="&amp;COUNTIFS($K$1:U$1,"&lt;&gt;"))),0)</f>
        <v>0</v>
      </c>
      <c r="V766">
        <f>IFERROR($J766/IF($A766&lt;COUNTIFS($K$1:V$1,"&lt;&gt;"),0,SUMIFS($J:$J,$B:$B,$B766,$A:$A,"&gt;="&amp;COUNTIFS($K$1:V$1,"&lt;&gt;"))),0)</f>
        <v>0</v>
      </c>
      <c r="W766">
        <f t="shared" si="266"/>
        <v>8.2191780821917804E-2</v>
      </c>
      <c r="X766">
        <f t="shared" si="246"/>
        <v>8.2191780821917804E-2</v>
      </c>
      <c r="Y766">
        <f t="shared" si="247"/>
        <v>8.2191780821917804E-2</v>
      </c>
      <c r="Z766">
        <f t="shared" si="248"/>
        <v>8.2191780821917804E-2</v>
      </c>
      <c r="AA766">
        <f t="shared" si="249"/>
        <v>8.2191780821917804E-2</v>
      </c>
      <c r="AB766">
        <f t="shared" si="250"/>
        <v>8.2191780821917804E-2</v>
      </c>
      <c r="AC766">
        <f t="shared" si="251"/>
        <v>8.2191780821917804E-2</v>
      </c>
      <c r="AD766">
        <f t="shared" si="252"/>
        <v>8.2191780821917804E-2</v>
      </c>
      <c r="AE766">
        <f t="shared" si="253"/>
        <v>8.2191780821917804E-2</v>
      </c>
      <c r="AF766">
        <f t="shared" si="254"/>
        <v>8.2191780821917804E-2</v>
      </c>
      <c r="AG766">
        <f t="shared" si="255"/>
        <v>8.2191780821917804E-2</v>
      </c>
      <c r="AH766">
        <f t="shared" si="256"/>
        <v>0</v>
      </c>
      <c r="AI766">
        <f t="shared" si="257"/>
        <v>0</v>
      </c>
      <c r="AJ766" s="2" t="str">
        <f t="shared" si="267"/>
        <v>1045597</v>
      </c>
    </row>
    <row r="767" spans="1:36" x14ac:dyDescent="0.25">
      <c r="A767">
        <v>11</v>
      </c>
      <c r="B767" s="1">
        <v>45597</v>
      </c>
      <c r="C767" s="1">
        <f t="shared" si="258"/>
        <v>45931</v>
      </c>
      <c r="D767" s="1">
        <f t="shared" si="259"/>
        <v>45611</v>
      </c>
      <c r="E767" s="1">
        <f t="shared" si="260"/>
        <v>45931</v>
      </c>
      <c r="F767" s="1">
        <f t="shared" si="261"/>
        <v>45962</v>
      </c>
      <c r="G767" s="1">
        <f t="shared" si="262"/>
        <v>45976</v>
      </c>
      <c r="H767">
        <f t="shared" si="263"/>
        <v>365</v>
      </c>
      <c r="I767">
        <f t="shared" si="264"/>
        <v>31</v>
      </c>
      <c r="J767">
        <f t="shared" si="265"/>
        <v>8.4931506849315067E-2</v>
      </c>
      <c r="K767">
        <f>IFERROR($J767/IF($A767&lt;COUNTIFS($K$1:K$1,"&lt;&gt;"),0,SUMIFS($J:$J,$B:$B,$B767,$A:$A,"&gt;="&amp;COUNTIFS($K$1:K$1,"&lt;&gt;"))),0)</f>
        <v>8.8825214899713484E-2</v>
      </c>
      <c r="L767">
        <f>IFERROR($J767/IF($A767&lt;COUNTIFS($K$1:L$1,"&lt;&gt;"),0,SUMIFS($J:$J,$B:$B,$B767,$A:$A,"&gt;="&amp;COUNTIFS($K$1:L$1,"&lt;&gt;"))),0)</f>
        <v>9.7484276729559768E-2</v>
      </c>
      <c r="M767">
        <f>IFERROR($J767/IF($A767&lt;COUNTIFS($K$1:M$1,"&lt;&gt;"),0,SUMIFS($J:$J,$B:$B,$B767,$A:$A,"&gt;="&amp;COUNTIFS($K$1:M$1,"&lt;&gt;"))),0)</f>
        <v>0.10801393728222998</v>
      </c>
      <c r="N767">
        <f>IFERROR($J767/IF($A767&lt;COUNTIFS($K$1:N$1,"&lt;&gt;"),0,SUMIFS($J:$J,$B:$B,$B767,$A:$A,"&gt;="&amp;COUNTIFS($K$1:N$1,"&lt;&gt;"))),0)</f>
        <v>0.11969111969111972</v>
      </c>
      <c r="O767">
        <f>IFERROR($J767/IF($A767&lt;COUNTIFS($K$1:O$1,"&lt;&gt;"),0,SUMIFS($J:$J,$B:$B,$B767,$A:$A,"&gt;="&amp;COUNTIFS($K$1:O$1,"&lt;&gt;"))),0)</f>
        <v>0.13596491228070179</v>
      </c>
      <c r="P767">
        <f>IFERROR($J767/IF($A767&lt;COUNTIFS($K$1:P$1,"&lt;&gt;"),0,SUMIFS($J:$J,$B:$B,$B767,$A:$A,"&gt;="&amp;COUNTIFS($K$1:P$1,"&lt;&gt;"))),0)</f>
        <v>0.1565656565656566</v>
      </c>
      <c r="Q767">
        <f>IFERROR($J767/IF($A767&lt;COUNTIFS($K$1:Q$1,"&lt;&gt;"),0,SUMIFS($J:$J,$B:$B,$B767,$A:$A,"&gt;="&amp;COUNTIFS($K$1:Q$1,"&lt;&gt;"))),0)</f>
        <v>0.18562874251497008</v>
      </c>
      <c r="R767">
        <f>IFERROR($J767/IF($A767&lt;COUNTIFS($K$1:R$1,"&lt;&gt;"),0,SUMIFS($J:$J,$B:$B,$B767,$A:$A,"&gt;="&amp;COUNTIFS($K$1:R$1,"&lt;&gt;"))),0)</f>
        <v>0.22627737226277375</v>
      </c>
      <c r="S767">
        <f>IFERROR($J767/IF($A767&lt;COUNTIFS($K$1:S$1,"&lt;&gt;"),0,SUMIFS($J:$J,$B:$B,$B767,$A:$A,"&gt;="&amp;COUNTIFS($K$1:S$1,"&lt;&gt;"))),0)</f>
        <v>0.29245283018867929</v>
      </c>
      <c r="T767">
        <f>IFERROR($J767/IF($A767&lt;COUNTIFS($K$1:T$1,"&lt;&gt;"),0,SUMIFS($J:$J,$B:$B,$B767,$A:$A,"&gt;="&amp;COUNTIFS($K$1:T$1,"&lt;&gt;"))),0)</f>
        <v>0.41333333333333333</v>
      </c>
      <c r="U767">
        <f>IFERROR($J767/IF($A767&lt;COUNTIFS($K$1:U$1,"&lt;&gt;"),0,SUMIFS($J:$J,$B:$B,$B767,$A:$A,"&gt;="&amp;COUNTIFS($K$1:U$1,"&lt;&gt;"))),0)</f>
        <v>0.68888888888888888</v>
      </c>
      <c r="V767">
        <f>IFERROR($J767/IF($A767&lt;COUNTIFS($K$1:V$1,"&lt;&gt;"),0,SUMIFS($J:$J,$B:$B,$B767,$A:$A,"&gt;="&amp;COUNTIFS($K$1:V$1,"&lt;&gt;"))),0)</f>
        <v>0</v>
      </c>
      <c r="W767">
        <f t="shared" si="266"/>
        <v>8.4931506849315067E-2</v>
      </c>
      <c r="X767">
        <f t="shared" si="246"/>
        <v>8.4931506849315067E-2</v>
      </c>
      <c r="Y767">
        <f t="shared" si="247"/>
        <v>8.4931506849315067E-2</v>
      </c>
      <c r="Z767">
        <f t="shared" si="248"/>
        <v>8.4931506849315067E-2</v>
      </c>
      <c r="AA767">
        <f t="shared" si="249"/>
        <v>8.4931506849315067E-2</v>
      </c>
      <c r="AB767">
        <f t="shared" si="250"/>
        <v>8.4931506849315067E-2</v>
      </c>
      <c r="AC767">
        <f t="shared" si="251"/>
        <v>8.4931506849315067E-2</v>
      </c>
      <c r="AD767">
        <f t="shared" si="252"/>
        <v>8.4931506849315067E-2</v>
      </c>
      <c r="AE767">
        <f t="shared" si="253"/>
        <v>8.4931506849315067E-2</v>
      </c>
      <c r="AF767">
        <f t="shared" si="254"/>
        <v>8.4931506849315067E-2</v>
      </c>
      <c r="AG767">
        <f t="shared" si="255"/>
        <v>8.4931506849315067E-2</v>
      </c>
      <c r="AH767">
        <f t="shared" si="256"/>
        <v>8.4931506849315067E-2</v>
      </c>
      <c r="AI767">
        <f t="shared" si="257"/>
        <v>0</v>
      </c>
      <c r="AJ767" s="2" t="str">
        <f t="shared" si="267"/>
        <v>1145597</v>
      </c>
    </row>
    <row r="768" spans="1:36" x14ac:dyDescent="0.25">
      <c r="A768">
        <v>12</v>
      </c>
      <c r="B768" s="1">
        <v>45597</v>
      </c>
      <c r="C768" s="1">
        <f t="shared" si="258"/>
        <v>45962</v>
      </c>
      <c r="D768" s="1">
        <f t="shared" si="259"/>
        <v>45611</v>
      </c>
      <c r="E768" s="1">
        <f t="shared" si="260"/>
        <v>45962</v>
      </c>
      <c r="F768" s="1">
        <f t="shared" si="261"/>
        <v>45976</v>
      </c>
      <c r="G768" s="1">
        <f t="shared" si="262"/>
        <v>45976</v>
      </c>
      <c r="H768">
        <f t="shared" si="263"/>
        <v>365</v>
      </c>
      <c r="I768">
        <f t="shared" si="264"/>
        <v>14</v>
      </c>
      <c r="J768">
        <f t="shared" si="265"/>
        <v>3.8356164383561646E-2</v>
      </c>
      <c r="K768">
        <f>IFERROR($J768/IF($A768&lt;COUNTIFS($K$1:K$1,"&lt;&gt;"),0,SUMIFS($J:$J,$B:$B,$B768,$A:$A,"&gt;="&amp;COUNTIFS($K$1:K$1,"&lt;&gt;"))),0)</f>
        <v>4.0114613180515769E-2</v>
      </c>
      <c r="L768">
        <f>IFERROR($J768/IF($A768&lt;COUNTIFS($K$1:L$1,"&lt;&gt;"),0,SUMIFS($J:$J,$B:$B,$B768,$A:$A,"&gt;="&amp;COUNTIFS($K$1:L$1,"&lt;&gt;"))),0)</f>
        <v>4.4025157232704414E-2</v>
      </c>
      <c r="M768">
        <f>IFERROR($J768/IF($A768&lt;COUNTIFS($K$1:M$1,"&lt;&gt;"),0,SUMIFS($J:$J,$B:$B,$B768,$A:$A,"&gt;="&amp;COUNTIFS($K$1:M$1,"&lt;&gt;"))),0)</f>
        <v>4.8780487804878057E-2</v>
      </c>
      <c r="N768">
        <f>IFERROR($J768/IF($A768&lt;COUNTIFS($K$1:N$1,"&lt;&gt;"),0,SUMIFS($J:$J,$B:$B,$B768,$A:$A,"&gt;="&amp;COUNTIFS($K$1:N$1,"&lt;&gt;"))),0)</f>
        <v>5.4054054054054071E-2</v>
      </c>
      <c r="O768">
        <f>IFERROR($J768/IF($A768&lt;COUNTIFS($K$1:O$1,"&lt;&gt;"),0,SUMIFS($J:$J,$B:$B,$B768,$A:$A,"&gt;="&amp;COUNTIFS($K$1:O$1,"&lt;&gt;"))),0)</f>
        <v>6.1403508771929842E-2</v>
      </c>
      <c r="P768">
        <f>IFERROR($J768/IF($A768&lt;COUNTIFS($K$1:P$1,"&lt;&gt;"),0,SUMIFS($J:$J,$B:$B,$B768,$A:$A,"&gt;="&amp;COUNTIFS($K$1:P$1,"&lt;&gt;"))),0)</f>
        <v>7.0707070707070732E-2</v>
      </c>
      <c r="Q768">
        <f>IFERROR($J768/IF($A768&lt;COUNTIFS($K$1:Q$1,"&lt;&gt;"),0,SUMIFS($J:$J,$B:$B,$B768,$A:$A,"&gt;="&amp;COUNTIFS($K$1:Q$1,"&lt;&gt;"))),0)</f>
        <v>8.3832335329341326E-2</v>
      </c>
      <c r="R768">
        <f>IFERROR($J768/IF($A768&lt;COUNTIFS($K$1:R$1,"&lt;&gt;"),0,SUMIFS($J:$J,$B:$B,$B768,$A:$A,"&gt;="&amp;COUNTIFS($K$1:R$1,"&lt;&gt;"))),0)</f>
        <v>0.10218978102189782</v>
      </c>
      <c r="S768">
        <f>IFERROR($J768/IF($A768&lt;COUNTIFS($K$1:S$1,"&lt;&gt;"),0,SUMIFS($J:$J,$B:$B,$B768,$A:$A,"&gt;="&amp;COUNTIFS($K$1:S$1,"&lt;&gt;"))),0)</f>
        <v>0.13207547169811323</v>
      </c>
      <c r="T768">
        <f>IFERROR($J768/IF($A768&lt;COUNTIFS($K$1:T$1,"&lt;&gt;"),0,SUMIFS($J:$J,$B:$B,$B768,$A:$A,"&gt;="&amp;COUNTIFS($K$1:T$1,"&lt;&gt;"))),0)</f>
        <v>0.18666666666666668</v>
      </c>
      <c r="U768">
        <f>IFERROR($J768/IF($A768&lt;COUNTIFS($K$1:U$1,"&lt;&gt;"),0,SUMIFS($J:$J,$B:$B,$B768,$A:$A,"&gt;="&amp;COUNTIFS($K$1:U$1,"&lt;&gt;"))),0)</f>
        <v>0.31111111111111117</v>
      </c>
      <c r="V768">
        <f>IFERROR($J768/IF($A768&lt;COUNTIFS($K$1:V$1,"&lt;&gt;"),0,SUMIFS($J:$J,$B:$B,$B768,$A:$A,"&gt;="&amp;COUNTIFS($K$1:V$1,"&lt;&gt;"))),0)</f>
        <v>1</v>
      </c>
      <c r="W768">
        <f t="shared" si="266"/>
        <v>3.8356164383561646E-2</v>
      </c>
      <c r="X768">
        <f t="shared" si="246"/>
        <v>3.8356164383561646E-2</v>
      </c>
      <c r="Y768">
        <f t="shared" si="247"/>
        <v>3.8356164383561646E-2</v>
      </c>
      <c r="Z768">
        <f t="shared" si="248"/>
        <v>3.8356164383561646E-2</v>
      </c>
      <c r="AA768">
        <f t="shared" si="249"/>
        <v>3.8356164383561646E-2</v>
      </c>
      <c r="AB768">
        <f t="shared" si="250"/>
        <v>3.8356164383561646E-2</v>
      </c>
      <c r="AC768">
        <f t="shared" si="251"/>
        <v>3.8356164383561646E-2</v>
      </c>
      <c r="AD768">
        <f t="shared" si="252"/>
        <v>3.8356164383561646E-2</v>
      </c>
      <c r="AE768">
        <f t="shared" si="253"/>
        <v>3.8356164383561646E-2</v>
      </c>
      <c r="AF768">
        <f t="shared" si="254"/>
        <v>3.8356164383561646E-2</v>
      </c>
      <c r="AG768">
        <f t="shared" si="255"/>
        <v>3.8356164383561646E-2</v>
      </c>
      <c r="AH768">
        <f t="shared" si="256"/>
        <v>3.8356164383561646E-2</v>
      </c>
      <c r="AI768">
        <f t="shared" si="257"/>
        <v>3.8356164383561646E-2</v>
      </c>
      <c r="AJ768" s="2" t="str">
        <f t="shared" si="267"/>
        <v>1245597</v>
      </c>
    </row>
    <row r="769" spans="1:36" x14ac:dyDescent="0.25">
      <c r="A769">
        <v>0</v>
      </c>
      <c r="B769" s="1">
        <v>45627</v>
      </c>
      <c r="C769" s="1">
        <f t="shared" si="258"/>
        <v>45627</v>
      </c>
      <c r="D769" s="1">
        <f t="shared" si="259"/>
        <v>45641</v>
      </c>
      <c r="E769" s="1">
        <f t="shared" si="260"/>
        <v>45641</v>
      </c>
      <c r="F769" s="1">
        <f t="shared" si="261"/>
        <v>45658</v>
      </c>
      <c r="G769" s="1">
        <f t="shared" si="262"/>
        <v>46006</v>
      </c>
      <c r="H769">
        <f t="shared" si="263"/>
        <v>365</v>
      </c>
      <c r="I769">
        <f t="shared" si="264"/>
        <v>17</v>
      </c>
      <c r="J769">
        <f t="shared" si="265"/>
        <v>4.6575342465753428E-2</v>
      </c>
      <c r="K769">
        <f>IFERROR($J769/IF($A769&lt;COUNTIFS($K$1:K$1,"&lt;&gt;"),0,SUMIFS($J:$J,$B:$B,$B769,$A:$A,"&gt;="&amp;COUNTIFS($K$1:K$1,"&lt;&gt;"))),0)</f>
        <v>0</v>
      </c>
      <c r="L769">
        <f>IFERROR($J769/IF($A769&lt;COUNTIFS($K$1:L$1,"&lt;&gt;"),0,SUMIFS($J:$J,$B:$B,$B769,$A:$A,"&gt;="&amp;COUNTIFS($K$1:L$1,"&lt;&gt;"))),0)</f>
        <v>0</v>
      </c>
      <c r="M769">
        <f>IFERROR($J769/IF($A769&lt;COUNTIFS($K$1:M$1,"&lt;&gt;"),0,SUMIFS($J:$J,$B:$B,$B769,$A:$A,"&gt;="&amp;COUNTIFS($K$1:M$1,"&lt;&gt;"))),0)</f>
        <v>0</v>
      </c>
      <c r="N769">
        <f>IFERROR($J769/IF($A769&lt;COUNTIFS($K$1:N$1,"&lt;&gt;"),0,SUMIFS($J:$J,$B:$B,$B769,$A:$A,"&gt;="&amp;COUNTIFS($K$1:N$1,"&lt;&gt;"))),0)</f>
        <v>0</v>
      </c>
      <c r="O769">
        <f>IFERROR($J769/IF($A769&lt;COUNTIFS($K$1:O$1,"&lt;&gt;"),0,SUMIFS($J:$J,$B:$B,$B769,$A:$A,"&gt;="&amp;COUNTIFS($K$1:O$1,"&lt;&gt;"))),0)</f>
        <v>0</v>
      </c>
      <c r="P769">
        <f>IFERROR($J769/IF($A769&lt;COUNTIFS($K$1:P$1,"&lt;&gt;"),0,SUMIFS($J:$J,$B:$B,$B769,$A:$A,"&gt;="&amp;COUNTIFS($K$1:P$1,"&lt;&gt;"))),0)</f>
        <v>0</v>
      </c>
      <c r="Q769">
        <f>IFERROR($J769/IF($A769&lt;COUNTIFS($K$1:Q$1,"&lt;&gt;"),0,SUMIFS($J:$J,$B:$B,$B769,$A:$A,"&gt;="&amp;COUNTIFS($K$1:Q$1,"&lt;&gt;"))),0)</f>
        <v>0</v>
      </c>
      <c r="R769">
        <f>IFERROR($J769/IF($A769&lt;COUNTIFS($K$1:R$1,"&lt;&gt;"),0,SUMIFS($J:$J,$B:$B,$B769,$A:$A,"&gt;="&amp;COUNTIFS($K$1:R$1,"&lt;&gt;"))),0)</f>
        <v>0</v>
      </c>
      <c r="S769">
        <f>IFERROR($J769/IF($A769&lt;COUNTIFS($K$1:S$1,"&lt;&gt;"),0,SUMIFS($J:$J,$B:$B,$B769,$A:$A,"&gt;="&amp;COUNTIFS($K$1:S$1,"&lt;&gt;"))),0)</f>
        <v>0</v>
      </c>
      <c r="T769">
        <f>IFERROR($J769/IF($A769&lt;COUNTIFS($K$1:T$1,"&lt;&gt;"),0,SUMIFS($J:$J,$B:$B,$B769,$A:$A,"&gt;="&amp;COUNTIFS($K$1:T$1,"&lt;&gt;"))),0)</f>
        <v>0</v>
      </c>
      <c r="U769">
        <f>IFERROR($J769/IF($A769&lt;COUNTIFS($K$1:U$1,"&lt;&gt;"),0,SUMIFS($J:$J,$B:$B,$B769,$A:$A,"&gt;="&amp;COUNTIFS($K$1:U$1,"&lt;&gt;"))),0)</f>
        <v>0</v>
      </c>
      <c r="V769">
        <f>IFERROR($J769/IF($A769&lt;COUNTIFS($K$1:V$1,"&lt;&gt;"),0,SUMIFS($J:$J,$B:$B,$B769,$A:$A,"&gt;="&amp;COUNTIFS($K$1:V$1,"&lt;&gt;"))),0)</f>
        <v>0</v>
      </c>
      <c r="W769">
        <f t="shared" si="266"/>
        <v>4.6575342465753428E-2</v>
      </c>
      <c r="X769">
        <f t="shared" si="246"/>
        <v>0</v>
      </c>
      <c r="Y769">
        <f t="shared" si="247"/>
        <v>0</v>
      </c>
      <c r="Z769">
        <f t="shared" si="248"/>
        <v>0</v>
      </c>
      <c r="AA769">
        <f t="shared" si="249"/>
        <v>0</v>
      </c>
      <c r="AB769">
        <f t="shared" si="250"/>
        <v>0</v>
      </c>
      <c r="AC769">
        <f t="shared" si="251"/>
        <v>0</v>
      </c>
      <c r="AD769">
        <f t="shared" si="252"/>
        <v>0</v>
      </c>
      <c r="AE769">
        <f t="shared" si="253"/>
        <v>0</v>
      </c>
      <c r="AF769">
        <f t="shared" si="254"/>
        <v>0</v>
      </c>
      <c r="AG769">
        <f t="shared" si="255"/>
        <v>0</v>
      </c>
      <c r="AH769">
        <f t="shared" si="256"/>
        <v>0</v>
      </c>
      <c r="AI769">
        <f t="shared" si="257"/>
        <v>0</v>
      </c>
      <c r="AJ769" s="2" t="str">
        <f t="shared" si="267"/>
        <v>045627</v>
      </c>
    </row>
    <row r="770" spans="1:36" x14ac:dyDescent="0.25">
      <c r="A770">
        <v>1</v>
      </c>
      <c r="B770" s="1">
        <v>45627</v>
      </c>
      <c r="C770" s="1">
        <f t="shared" si="258"/>
        <v>45658</v>
      </c>
      <c r="D770" s="1">
        <f t="shared" si="259"/>
        <v>45641</v>
      </c>
      <c r="E770" s="1">
        <f t="shared" si="260"/>
        <v>45658</v>
      </c>
      <c r="F770" s="1">
        <f t="shared" si="261"/>
        <v>45689</v>
      </c>
      <c r="G770" s="1">
        <f t="shared" si="262"/>
        <v>46006</v>
      </c>
      <c r="H770">
        <f t="shared" si="263"/>
        <v>365</v>
      </c>
      <c r="I770">
        <f t="shared" si="264"/>
        <v>31</v>
      </c>
      <c r="J770">
        <f t="shared" si="265"/>
        <v>8.4931506849315067E-2</v>
      </c>
      <c r="K770">
        <f>IFERROR($J770/IF($A770&lt;COUNTIFS($K$1:K$1,"&lt;&gt;"),0,SUMIFS($J:$J,$B:$B,$B770,$A:$A,"&gt;="&amp;COUNTIFS($K$1:K$1,"&lt;&gt;"))),0)</f>
        <v>8.9080459770114959E-2</v>
      </c>
      <c r="L770">
        <f>IFERROR($J770/IF($A770&lt;COUNTIFS($K$1:L$1,"&lt;&gt;"),0,SUMIFS($J:$J,$B:$B,$B770,$A:$A,"&gt;="&amp;COUNTIFS($K$1:L$1,"&lt;&gt;"))),0)</f>
        <v>0</v>
      </c>
      <c r="M770">
        <f>IFERROR($J770/IF($A770&lt;COUNTIFS($K$1:M$1,"&lt;&gt;"),0,SUMIFS($J:$J,$B:$B,$B770,$A:$A,"&gt;="&amp;COUNTIFS($K$1:M$1,"&lt;&gt;"))),0)</f>
        <v>0</v>
      </c>
      <c r="N770">
        <f>IFERROR($J770/IF($A770&lt;COUNTIFS($K$1:N$1,"&lt;&gt;"),0,SUMIFS($J:$J,$B:$B,$B770,$A:$A,"&gt;="&amp;COUNTIFS($K$1:N$1,"&lt;&gt;"))),0)</f>
        <v>0</v>
      </c>
      <c r="O770">
        <f>IFERROR($J770/IF($A770&lt;COUNTIFS($K$1:O$1,"&lt;&gt;"),0,SUMIFS($J:$J,$B:$B,$B770,$A:$A,"&gt;="&amp;COUNTIFS($K$1:O$1,"&lt;&gt;"))),0)</f>
        <v>0</v>
      </c>
      <c r="P770">
        <f>IFERROR($J770/IF($A770&lt;COUNTIFS($K$1:P$1,"&lt;&gt;"),0,SUMIFS($J:$J,$B:$B,$B770,$A:$A,"&gt;="&amp;COUNTIFS($K$1:P$1,"&lt;&gt;"))),0)</f>
        <v>0</v>
      </c>
      <c r="Q770">
        <f>IFERROR($J770/IF($A770&lt;COUNTIFS($K$1:Q$1,"&lt;&gt;"),0,SUMIFS($J:$J,$B:$B,$B770,$A:$A,"&gt;="&amp;COUNTIFS($K$1:Q$1,"&lt;&gt;"))),0)</f>
        <v>0</v>
      </c>
      <c r="R770">
        <f>IFERROR($J770/IF($A770&lt;COUNTIFS($K$1:R$1,"&lt;&gt;"),0,SUMIFS($J:$J,$B:$B,$B770,$A:$A,"&gt;="&amp;COUNTIFS($K$1:R$1,"&lt;&gt;"))),0)</f>
        <v>0</v>
      </c>
      <c r="S770">
        <f>IFERROR($J770/IF($A770&lt;COUNTIFS($K$1:S$1,"&lt;&gt;"),0,SUMIFS($J:$J,$B:$B,$B770,$A:$A,"&gt;="&amp;COUNTIFS($K$1:S$1,"&lt;&gt;"))),0)</f>
        <v>0</v>
      </c>
      <c r="T770">
        <f>IFERROR($J770/IF($A770&lt;COUNTIFS($K$1:T$1,"&lt;&gt;"),0,SUMIFS($J:$J,$B:$B,$B770,$A:$A,"&gt;="&amp;COUNTIFS($K$1:T$1,"&lt;&gt;"))),0)</f>
        <v>0</v>
      </c>
      <c r="U770">
        <f>IFERROR($J770/IF($A770&lt;COUNTIFS($K$1:U$1,"&lt;&gt;"),0,SUMIFS($J:$J,$B:$B,$B770,$A:$A,"&gt;="&amp;COUNTIFS($K$1:U$1,"&lt;&gt;"))),0)</f>
        <v>0</v>
      </c>
      <c r="V770">
        <f>IFERROR($J770/IF($A770&lt;COUNTIFS($K$1:V$1,"&lt;&gt;"),0,SUMIFS($J:$J,$B:$B,$B770,$A:$A,"&gt;="&amp;COUNTIFS($K$1:V$1,"&lt;&gt;"))),0)</f>
        <v>0</v>
      </c>
      <c r="W770">
        <f t="shared" si="266"/>
        <v>8.4931506849315067E-2</v>
      </c>
      <c r="X770">
        <f t="shared" ref="X770:X833" si="268">IF(K770=0,0,$J770)</f>
        <v>8.4931506849315067E-2</v>
      </c>
      <c r="Y770">
        <f t="shared" ref="Y770:Y833" si="269">IF(L770=0,0,$J770)</f>
        <v>0</v>
      </c>
      <c r="Z770">
        <f t="shared" ref="Z770:Z833" si="270">IF(M770=0,0,$J770)</f>
        <v>0</v>
      </c>
      <c r="AA770">
        <f t="shared" ref="AA770:AA833" si="271">IF(N770=0,0,$J770)</f>
        <v>0</v>
      </c>
      <c r="AB770">
        <f t="shared" ref="AB770:AB833" si="272">IF(O770=0,0,$J770)</f>
        <v>0</v>
      </c>
      <c r="AC770">
        <f t="shared" ref="AC770:AC833" si="273">IF(P770=0,0,$J770)</f>
        <v>0</v>
      </c>
      <c r="AD770">
        <f t="shared" ref="AD770:AD833" si="274">IF(Q770=0,0,$J770)</f>
        <v>0</v>
      </c>
      <c r="AE770">
        <f t="shared" ref="AE770:AE833" si="275">IF(R770=0,0,$J770)</f>
        <v>0</v>
      </c>
      <c r="AF770">
        <f t="shared" ref="AF770:AF833" si="276">IF(S770=0,0,$J770)</f>
        <v>0</v>
      </c>
      <c r="AG770">
        <f t="shared" ref="AG770:AG833" si="277">IF(T770=0,0,$J770)</f>
        <v>0</v>
      </c>
      <c r="AH770">
        <f t="shared" ref="AH770:AH833" si="278">IF(U770=0,0,$J770)</f>
        <v>0</v>
      </c>
      <c r="AI770">
        <f t="shared" ref="AI770:AI833" si="279">IF(V770=0,0,$J770)</f>
        <v>0</v>
      </c>
      <c r="AJ770" s="2" t="str">
        <f t="shared" si="267"/>
        <v>145627</v>
      </c>
    </row>
    <row r="771" spans="1:36" x14ac:dyDescent="0.25">
      <c r="A771">
        <v>2</v>
      </c>
      <c r="B771" s="1">
        <v>45627</v>
      </c>
      <c r="C771" s="1">
        <f t="shared" ref="C771:C834" si="280">EDATE(B771,A771)</f>
        <v>45689</v>
      </c>
      <c r="D771" s="1">
        <f t="shared" ref="D771:D834" si="281">B771+14</f>
        <v>45641</v>
      </c>
      <c r="E771" s="1">
        <f t="shared" ref="E771:E834" si="282">IF($A771=0,C771+14,C771)</f>
        <v>45689</v>
      </c>
      <c r="F771" s="1">
        <f t="shared" ref="F771:F834" si="283">IF(EDATE(C771,1)&gt;G771,G771,EDATE(C771,1))</f>
        <v>45717</v>
      </c>
      <c r="G771" s="1">
        <f t="shared" ref="G771:G834" si="284">EDATE(D771,12)</f>
        <v>46006</v>
      </c>
      <c r="H771">
        <f t="shared" ref="H771:H834" si="285">G771-D771</f>
        <v>365</v>
      </c>
      <c r="I771">
        <f t="shared" ref="I771:I834" si="286">F771-E771</f>
        <v>28</v>
      </c>
      <c r="J771">
        <f t="shared" ref="J771:J834" si="287">I771/H771</f>
        <v>7.6712328767123292E-2</v>
      </c>
      <c r="K771">
        <f>IFERROR($J771/IF($A771&lt;COUNTIFS($K$1:K$1,"&lt;&gt;"),0,SUMIFS($J:$J,$B:$B,$B771,$A:$A,"&gt;="&amp;COUNTIFS($K$1:K$1,"&lt;&gt;"))),0)</f>
        <v>8.0459770114942541E-2</v>
      </c>
      <c r="L771">
        <f>IFERROR($J771/IF($A771&lt;COUNTIFS($K$1:L$1,"&lt;&gt;"),0,SUMIFS($J:$J,$B:$B,$B771,$A:$A,"&gt;="&amp;COUNTIFS($K$1:L$1,"&lt;&gt;"))),0)</f>
        <v>8.83280757097792E-2</v>
      </c>
      <c r="M771">
        <f>IFERROR($J771/IF($A771&lt;COUNTIFS($K$1:M$1,"&lt;&gt;"),0,SUMIFS($J:$J,$B:$B,$B771,$A:$A,"&gt;="&amp;COUNTIFS($K$1:M$1,"&lt;&gt;"))),0)</f>
        <v>0</v>
      </c>
      <c r="N771">
        <f>IFERROR($J771/IF($A771&lt;COUNTIFS($K$1:N$1,"&lt;&gt;"),0,SUMIFS($J:$J,$B:$B,$B771,$A:$A,"&gt;="&amp;COUNTIFS($K$1:N$1,"&lt;&gt;"))),0)</f>
        <v>0</v>
      </c>
      <c r="O771">
        <f>IFERROR($J771/IF($A771&lt;COUNTIFS($K$1:O$1,"&lt;&gt;"),0,SUMIFS($J:$J,$B:$B,$B771,$A:$A,"&gt;="&amp;COUNTIFS($K$1:O$1,"&lt;&gt;"))),0)</f>
        <v>0</v>
      </c>
      <c r="P771">
        <f>IFERROR($J771/IF($A771&lt;COUNTIFS($K$1:P$1,"&lt;&gt;"),0,SUMIFS($J:$J,$B:$B,$B771,$A:$A,"&gt;="&amp;COUNTIFS($K$1:P$1,"&lt;&gt;"))),0)</f>
        <v>0</v>
      </c>
      <c r="Q771">
        <f>IFERROR($J771/IF($A771&lt;COUNTIFS($K$1:Q$1,"&lt;&gt;"),0,SUMIFS($J:$J,$B:$B,$B771,$A:$A,"&gt;="&amp;COUNTIFS($K$1:Q$1,"&lt;&gt;"))),0)</f>
        <v>0</v>
      </c>
      <c r="R771">
        <f>IFERROR($J771/IF($A771&lt;COUNTIFS($K$1:R$1,"&lt;&gt;"),0,SUMIFS($J:$J,$B:$B,$B771,$A:$A,"&gt;="&amp;COUNTIFS($K$1:R$1,"&lt;&gt;"))),0)</f>
        <v>0</v>
      </c>
      <c r="S771">
        <f>IFERROR($J771/IF($A771&lt;COUNTIFS($K$1:S$1,"&lt;&gt;"),0,SUMIFS($J:$J,$B:$B,$B771,$A:$A,"&gt;="&amp;COUNTIFS($K$1:S$1,"&lt;&gt;"))),0)</f>
        <v>0</v>
      </c>
      <c r="T771">
        <f>IFERROR($J771/IF($A771&lt;COUNTIFS($K$1:T$1,"&lt;&gt;"),0,SUMIFS($J:$J,$B:$B,$B771,$A:$A,"&gt;="&amp;COUNTIFS($K$1:T$1,"&lt;&gt;"))),0)</f>
        <v>0</v>
      </c>
      <c r="U771">
        <f>IFERROR($J771/IF($A771&lt;COUNTIFS($K$1:U$1,"&lt;&gt;"),0,SUMIFS($J:$J,$B:$B,$B771,$A:$A,"&gt;="&amp;COUNTIFS($K$1:U$1,"&lt;&gt;"))),0)</f>
        <v>0</v>
      </c>
      <c r="V771">
        <f>IFERROR($J771/IF($A771&lt;COUNTIFS($K$1:V$1,"&lt;&gt;"),0,SUMIFS($J:$J,$B:$B,$B771,$A:$A,"&gt;="&amp;COUNTIFS($K$1:V$1,"&lt;&gt;"))),0)</f>
        <v>0</v>
      </c>
      <c r="W771">
        <f t="shared" ref="W771:W834" si="288">IF(J771=0,0,$J771)</f>
        <v>7.6712328767123292E-2</v>
      </c>
      <c r="X771">
        <f t="shared" si="268"/>
        <v>7.6712328767123292E-2</v>
      </c>
      <c r="Y771">
        <f t="shared" si="269"/>
        <v>7.6712328767123292E-2</v>
      </c>
      <c r="Z771">
        <f t="shared" si="270"/>
        <v>0</v>
      </c>
      <c r="AA771">
        <f t="shared" si="271"/>
        <v>0</v>
      </c>
      <c r="AB771">
        <f t="shared" si="272"/>
        <v>0</v>
      </c>
      <c r="AC771">
        <f t="shared" si="273"/>
        <v>0</v>
      </c>
      <c r="AD771">
        <f t="shared" si="274"/>
        <v>0</v>
      </c>
      <c r="AE771">
        <f t="shared" si="275"/>
        <v>0</v>
      </c>
      <c r="AF771">
        <f t="shared" si="276"/>
        <v>0</v>
      </c>
      <c r="AG771">
        <f t="shared" si="277"/>
        <v>0</v>
      </c>
      <c r="AH771">
        <f t="shared" si="278"/>
        <v>0</v>
      </c>
      <c r="AI771">
        <f t="shared" si="279"/>
        <v>0</v>
      </c>
      <c r="AJ771" s="2" t="str">
        <f t="shared" ref="AJ771:AJ834" si="289">A771&amp;B771</f>
        <v>245627</v>
      </c>
    </row>
    <row r="772" spans="1:36" x14ac:dyDescent="0.25">
      <c r="A772">
        <v>3</v>
      </c>
      <c r="B772" s="1">
        <v>45627</v>
      </c>
      <c r="C772" s="1">
        <f t="shared" si="280"/>
        <v>45717</v>
      </c>
      <c r="D772" s="1">
        <f t="shared" si="281"/>
        <v>45641</v>
      </c>
      <c r="E772" s="1">
        <f t="shared" si="282"/>
        <v>45717</v>
      </c>
      <c r="F772" s="1">
        <f t="shared" si="283"/>
        <v>45748</v>
      </c>
      <c r="G772" s="1">
        <f t="shared" si="284"/>
        <v>46006</v>
      </c>
      <c r="H772">
        <f t="shared" si="285"/>
        <v>365</v>
      </c>
      <c r="I772">
        <f t="shared" si="286"/>
        <v>31</v>
      </c>
      <c r="J772">
        <f t="shared" si="287"/>
        <v>8.4931506849315067E-2</v>
      </c>
      <c r="K772">
        <f>IFERROR($J772/IF($A772&lt;COUNTIFS($K$1:K$1,"&lt;&gt;"),0,SUMIFS($J:$J,$B:$B,$B772,$A:$A,"&gt;="&amp;COUNTIFS($K$1:K$1,"&lt;&gt;"))),0)</f>
        <v>8.9080459770114959E-2</v>
      </c>
      <c r="L772">
        <f>IFERROR($J772/IF($A772&lt;COUNTIFS($K$1:L$1,"&lt;&gt;"),0,SUMIFS($J:$J,$B:$B,$B772,$A:$A,"&gt;="&amp;COUNTIFS($K$1:L$1,"&lt;&gt;"))),0)</f>
        <v>9.7791798107255537E-2</v>
      </c>
      <c r="M772">
        <f>IFERROR($J772/IF($A772&lt;COUNTIFS($K$1:M$1,"&lt;&gt;"),0,SUMIFS($J:$J,$B:$B,$B772,$A:$A,"&gt;="&amp;COUNTIFS($K$1:M$1,"&lt;&gt;"))),0)</f>
        <v>0.10726643598615919</v>
      </c>
      <c r="N772">
        <f>IFERROR($J772/IF($A772&lt;COUNTIFS($K$1:N$1,"&lt;&gt;"),0,SUMIFS($J:$J,$B:$B,$B772,$A:$A,"&gt;="&amp;COUNTIFS($K$1:N$1,"&lt;&gt;"))),0)</f>
        <v>0</v>
      </c>
      <c r="O772">
        <f>IFERROR($J772/IF($A772&lt;COUNTIFS($K$1:O$1,"&lt;&gt;"),0,SUMIFS($J:$J,$B:$B,$B772,$A:$A,"&gt;="&amp;COUNTIFS($K$1:O$1,"&lt;&gt;"))),0)</f>
        <v>0</v>
      </c>
      <c r="P772">
        <f>IFERROR($J772/IF($A772&lt;COUNTIFS($K$1:P$1,"&lt;&gt;"),0,SUMIFS($J:$J,$B:$B,$B772,$A:$A,"&gt;="&amp;COUNTIFS($K$1:P$1,"&lt;&gt;"))),0)</f>
        <v>0</v>
      </c>
      <c r="Q772">
        <f>IFERROR($J772/IF($A772&lt;COUNTIFS($K$1:Q$1,"&lt;&gt;"),0,SUMIFS($J:$J,$B:$B,$B772,$A:$A,"&gt;="&amp;COUNTIFS($K$1:Q$1,"&lt;&gt;"))),0)</f>
        <v>0</v>
      </c>
      <c r="R772">
        <f>IFERROR($J772/IF($A772&lt;COUNTIFS($K$1:R$1,"&lt;&gt;"),0,SUMIFS($J:$J,$B:$B,$B772,$A:$A,"&gt;="&amp;COUNTIFS($K$1:R$1,"&lt;&gt;"))),0)</f>
        <v>0</v>
      </c>
      <c r="S772">
        <f>IFERROR($J772/IF($A772&lt;COUNTIFS($K$1:S$1,"&lt;&gt;"),0,SUMIFS($J:$J,$B:$B,$B772,$A:$A,"&gt;="&amp;COUNTIFS($K$1:S$1,"&lt;&gt;"))),0)</f>
        <v>0</v>
      </c>
      <c r="T772">
        <f>IFERROR($J772/IF($A772&lt;COUNTIFS($K$1:T$1,"&lt;&gt;"),0,SUMIFS($J:$J,$B:$B,$B772,$A:$A,"&gt;="&amp;COUNTIFS($K$1:T$1,"&lt;&gt;"))),0)</f>
        <v>0</v>
      </c>
      <c r="U772">
        <f>IFERROR($J772/IF($A772&lt;COUNTIFS($K$1:U$1,"&lt;&gt;"),0,SUMIFS($J:$J,$B:$B,$B772,$A:$A,"&gt;="&amp;COUNTIFS($K$1:U$1,"&lt;&gt;"))),0)</f>
        <v>0</v>
      </c>
      <c r="V772">
        <f>IFERROR($J772/IF($A772&lt;COUNTIFS($K$1:V$1,"&lt;&gt;"),0,SUMIFS($J:$J,$B:$B,$B772,$A:$A,"&gt;="&amp;COUNTIFS($K$1:V$1,"&lt;&gt;"))),0)</f>
        <v>0</v>
      </c>
      <c r="W772">
        <f t="shared" si="288"/>
        <v>8.4931506849315067E-2</v>
      </c>
      <c r="X772">
        <f t="shared" si="268"/>
        <v>8.4931506849315067E-2</v>
      </c>
      <c r="Y772">
        <f t="shared" si="269"/>
        <v>8.4931506849315067E-2</v>
      </c>
      <c r="Z772">
        <f t="shared" si="270"/>
        <v>8.4931506849315067E-2</v>
      </c>
      <c r="AA772">
        <f t="shared" si="271"/>
        <v>0</v>
      </c>
      <c r="AB772">
        <f t="shared" si="272"/>
        <v>0</v>
      </c>
      <c r="AC772">
        <f t="shared" si="273"/>
        <v>0</v>
      </c>
      <c r="AD772">
        <f t="shared" si="274"/>
        <v>0</v>
      </c>
      <c r="AE772">
        <f t="shared" si="275"/>
        <v>0</v>
      </c>
      <c r="AF772">
        <f t="shared" si="276"/>
        <v>0</v>
      </c>
      <c r="AG772">
        <f t="shared" si="277"/>
        <v>0</v>
      </c>
      <c r="AH772">
        <f t="shared" si="278"/>
        <v>0</v>
      </c>
      <c r="AI772">
        <f t="shared" si="279"/>
        <v>0</v>
      </c>
      <c r="AJ772" s="2" t="str">
        <f t="shared" si="289"/>
        <v>345627</v>
      </c>
    </row>
    <row r="773" spans="1:36" x14ac:dyDescent="0.25">
      <c r="A773">
        <v>4</v>
      </c>
      <c r="B773" s="1">
        <v>45627</v>
      </c>
      <c r="C773" s="1">
        <f t="shared" si="280"/>
        <v>45748</v>
      </c>
      <c r="D773" s="1">
        <f t="shared" si="281"/>
        <v>45641</v>
      </c>
      <c r="E773" s="1">
        <f t="shared" si="282"/>
        <v>45748</v>
      </c>
      <c r="F773" s="1">
        <f t="shared" si="283"/>
        <v>45778</v>
      </c>
      <c r="G773" s="1">
        <f t="shared" si="284"/>
        <v>46006</v>
      </c>
      <c r="H773">
        <f t="shared" si="285"/>
        <v>365</v>
      </c>
      <c r="I773">
        <f t="shared" si="286"/>
        <v>30</v>
      </c>
      <c r="J773">
        <f t="shared" si="287"/>
        <v>8.2191780821917804E-2</v>
      </c>
      <c r="K773">
        <f>IFERROR($J773/IF($A773&lt;COUNTIFS($K$1:K$1,"&lt;&gt;"),0,SUMIFS($J:$J,$B:$B,$B773,$A:$A,"&gt;="&amp;COUNTIFS($K$1:K$1,"&lt;&gt;"))),0)</f>
        <v>8.6206896551724144E-2</v>
      </c>
      <c r="L773">
        <f>IFERROR($J773/IF($A773&lt;COUNTIFS($K$1:L$1,"&lt;&gt;"),0,SUMIFS($J:$J,$B:$B,$B773,$A:$A,"&gt;="&amp;COUNTIFS($K$1:L$1,"&lt;&gt;"))),0)</f>
        <v>9.4637223974763415E-2</v>
      </c>
      <c r="M773">
        <f>IFERROR($J773/IF($A773&lt;COUNTIFS($K$1:M$1,"&lt;&gt;"),0,SUMIFS($J:$J,$B:$B,$B773,$A:$A,"&gt;="&amp;COUNTIFS($K$1:M$1,"&lt;&gt;"))),0)</f>
        <v>0.10380622837370243</v>
      </c>
      <c r="N773">
        <f>IFERROR($J773/IF($A773&lt;COUNTIFS($K$1:N$1,"&lt;&gt;"),0,SUMIFS($J:$J,$B:$B,$B773,$A:$A,"&gt;="&amp;COUNTIFS($K$1:N$1,"&lt;&gt;"))),0)</f>
        <v>0.11627906976744187</v>
      </c>
      <c r="O773">
        <f>IFERROR($J773/IF($A773&lt;COUNTIFS($K$1:O$1,"&lt;&gt;"),0,SUMIFS($J:$J,$B:$B,$B773,$A:$A,"&gt;="&amp;COUNTIFS($K$1:O$1,"&lt;&gt;"))),0)</f>
        <v>0</v>
      </c>
      <c r="P773">
        <f>IFERROR($J773/IF($A773&lt;COUNTIFS($K$1:P$1,"&lt;&gt;"),0,SUMIFS($J:$J,$B:$B,$B773,$A:$A,"&gt;="&amp;COUNTIFS($K$1:P$1,"&lt;&gt;"))),0)</f>
        <v>0</v>
      </c>
      <c r="Q773">
        <f>IFERROR($J773/IF($A773&lt;COUNTIFS($K$1:Q$1,"&lt;&gt;"),0,SUMIFS($J:$J,$B:$B,$B773,$A:$A,"&gt;="&amp;COUNTIFS($K$1:Q$1,"&lt;&gt;"))),0)</f>
        <v>0</v>
      </c>
      <c r="R773">
        <f>IFERROR($J773/IF($A773&lt;COUNTIFS($K$1:R$1,"&lt;&gt;"),0,SUMIFS($J:$J,$B:$B,$B773,$A:$A,"&gt;="&amp;COUNTIFS($K$1:R$1,"&lt;&gt;"))),0)</f>
        <v>0</v>
      </c>
      <c r="S773">
        <f>IFERROR($J773/IF($A773&lt;COUNTIFS($K$1:S$1,"&lt;&gt;"),0,SUMIFS($J:$J,$B:$B,$B773,$A:$A,"&gt;="&amp;COUNTIFS($K$1:S$1,"&lt;&gt;"))),0)</f>
        <v>0</v>
      </c>
      <c r="T773">
        <f>IFERROR($J773/IF($A773&lt;COUNTIFS($K$1:T$1,"&lt;&gt;"),0,SUMIFS($J:$J,$B:$B,$B773,$A:$A,"&gt;="&amp;COUNTIFS($K$1:T$1,"&lt;&gt;"))),0)</f>
        <v>0</v>
      </c>
      <c r="U773">
        <f>IFERROR($J773/IF($A773&lt;COUNTIFS($K$1:U$1,"&lt;&gt;"),0,SUMIFS($J:$J,$B:$B,$B773,$A:$A,"&gt;="&amp;COUNTIFS($K$1:U$1,"&lt;&gt;"))),0)</f>
        <v>0</v>
      </c>
      <c r="V773">
        <f>IFERROR($J773/IF($A773&lt;COUNTIFS($K$1:V$1,"&lt;&gt;"),0,SUMIFS($J:$J,$B:$B,$B773,$A:$A,"&gt;="&amp;COUNTIFS($K$1:V$1,"&lt;&gt;"))),0)</f>
        <v>0</v>
      </c>
      <c r="W773">
        <f t="shared" si="288"/>
        <v>8.2191780821917804E-2</v>
      </c>
      <c r="X773">
        <f t="shared" si="268"/>
        <v>8.2191780821917804E-2</v>
      </c>
      <c r="Y773">
        <f t="shared" si="269"/>
        <v>8.2191780821917804E-2</v>
      </c>
      <c r="Z773">
        <f t="shared" si="270"/>
        <v>8.2191780821917804E-2</v>
      </c>
      <c r="AA773">
        <f t="shared" si="271"/>
        <v>8.2191780821917804E-2</v>
      </c>
      <c r="AB773">
        <f t="shared" si="272"/>
        <v>0</v>
      </c>
      <c r="AC773">
        <f t="shared" si="273"/>
        <v>0</v>
      </c>
      <c r="AD773">
        <f t="shared" si="274"/>
        <v>0</v>
      </c>
      <c r="AE773">
        <f t="shared" si="275"/>
        <v>0</v>
      </c>
      <c r="AF773">
        <f t="shared" si="276"/>
        <v>0</v>
      </c>
      <c r="AG773">
        <f t="shared" si="277"/>
        <v>0</v>
      </c>
      <c r="AH773">
        <f t="shared" si="278"/>
        <v>0</v>
      </c>
      <c r="AI773">
        <f t="shared" si="279"/>
        <v>0</v>
      </c>
      <c r="AJ773" s="2" t="str">
        <f t="shared" si="289"/>
        <v>445627</v>
      </c>
    </row>
    <row r="774" spans="1:36" x14ac:dyDescent="0.25">
      <c r="A774">
        <v>5</v>
      </c>
      <c r="B774" s="1">
        <v>45627</v>
      </c>
      <c r="C774" s="1">
        <f t="shared" si="280"/>
        <v>45778</v>
      </c>
      <c r="D774" s="1">
        <f t="shared" si="281"/>
        <v>45641</v>
      </c>
      <c r="E774" s="1">
        <f t="shared" si="282"/>
        <v>45778</v>
      </c>
      <c r="F774" s="1">
        <f t="shared" si="283"/>
        <v>45809</v>
      </c>
      <c r="G774" s="1">
        <f t="shared" si="284"/>
        <v>46006</v>
      </c>
      <c r="H774">
        <f t="shared" si="285"/>
        <v>365</v>
      </c>
      <c r="I774">
        <f t="shared" si="286"/>
        <v>31</v>
      </c>
      <c r="J774">
        <f t="shared" si="287"/>
        <v>8.4931506849315067E-2</v>
      </c>
      <c r="K774">
        <f>IFERROR($J774/IF($A774&lt;COUNTIFS($K$1:K$1,"&lt;&gt;"),0,SUMIFS($J:$J,$B:$B,$B774,$A:$A,"&gt;="&amp;COUNTIFS($K$1:K$1,"&lt;&gt;"))),0)</f>
        <v>8.9080459770114959E-2</v>
      </c>
      <c r="L774">
        <f>IFERROR($J774/IF($A774&lt;COUNTIFS($K$1:L$1,"&lt;&gt;"),0,SUMIFS($J:$J,$B:$B,$B774,$A:$A,"&gt;="&amp;COUNTIFS($K$1:L$1,"&lt;&gt;"))),0)</f>
        <v>9.7791798107255537E-2</v>
      </c>
      <c r="M774">
        <f>IFERROR($J774/IF($A774&lt;COUNTIFS($K$1:M$1,"&lt;&gt;"),0,SUMIFS($J:$J,$B:$B,$B774,$A:$A,"&gt;="&amp;COUNTIFS($K$1:M$1,"&lt;&gt;"))),0)</f>
        <v>0.10726643598615919</v>
      </c>
      <c r="N774">
        <f>IFERROR($J774/IF($A774&lt;COUNTIFS($K$1:N$1,"&lt;&gt;"),0,SUMIFS($J:$J,$B:$B,$B774,$A:$A,"&gt;="&amp;COUNTIFS($K$1:N$1,"&lt;&gt;"))),0)</f>
        <v>0.12015503875968994</v>
      </c>
      <c r="O774">
        <f>IFERROR($J774/IF($A774&lt;COUNTIFS($K$1:O$1,"&lt;&gt;"),0,SUMIFS($J:$J,$B:$B,$B774,$A:$A,"&gt;="&amp;COUNTIFS($K$1:O$1,"&lt;&gt;"))),0)</f>
        <v>0.13596491228070179</v>
      </c>
      <c r="P774">
        <f>IFERROR($J774/IF($A774&lt;COUNTIFS($K$1:P$1,"&lt;&gt;"),0,SUMIFS($J:$J,$B:$B,$B774,$A:$A,"&gt;="&amp;COUNTIFS($K$1:P$1,"&lt;&gt;"))),0)</f>
        <v>0</v>
      </c>
      <c r="Q774">
        <f>IFERROR($J774/IF($A774&lt;COUNTIFS($K$1:Q$1,"&lt;&gt;"),0,SUMIFS($J:$J,$B:$B,$B774,$A:$A,"&gt;="&amp;COUNTIFS($K$1:Q$1,"&lt;&gt;"))),0)</f>
        <v>0</v>
      </c>
      <c r="R774">
        <f>IFERROR($J774/IF($A774&lt;COUNTIFS($K$1:R$1,"&lt;&gt;"),0,SUMIFS($J:$J,$B:$B,$B774,$A:$A,"&gt;="&amp;COUNTIFS($K$1:R$1,"&lt;&gt;"))),0)</f>
        <v>0</v>
      </c>
      <c r="S774">
        <f>IFERROR($J774/IF($A774&lt;COUNTIFS($K$1:S$1,"&lt;&gt;"),0,SUMIFS($J:$J,$B:$B,$B774,$A:$A,"&gt;="&amp;COUNTIFS($K$1:S$1,"&lt;&gt;"))),0)</f>
        <v>0</v>
      </c>
      <c r="T774">
        <f>IFERROR($J774/IF($A774&lt;COUNTIFS($K$1:T$1,"&lt;&gt;"),0,SUMIFS($J:$J,$B:$B,$B774,$A:$A,"&gt;="&amp;COUNTIFS($K$1:T$1,"&lt;&gt;"))),0)</f>
        <v>0</v>
      </c>
      <c r="U774">
        <f>IFERROR($J774/IF($A774&lt;COUNTIFS($K$1:U$1,"&lt;&gt;"),0,SUMIFS($J:$J,$B:$B,$B774,$A:$A,"&gt;="&amp;COUNTIFS($K$1:U$1,"&lt;&gt;"))),0)</f>
        <v>0</v>
      </c>
      <c r="V774">
        <f>IFERROR($J774/IF($A774&lt;COUNTIFS($K$1:V$1,"&lt;&gt;"),0,SUMIFS($J:$J,$B:$B,$B774,$A:$A,"&gt;="&amp;COUNTIFS($K$1:V$1,"&lt;&gt;"))),0)</f>
        <v>0</v>
      </c>
      <c r="W774">
        <f t="shared" si="288"/>
        <v>8.4931506849315067E-2</v>
      </c>
      <c r="X774">
        <f t="shared" si="268"/>
        <v>8.4931506849315067E-2</v>
      </c>
      <c r="Y774">
        <f t="shared" si="269"/>
        <v>8.4931506849315067E-2</v>
      </c>
      <c r="Z774">
        <f t="shared" si="270"/>
        <v>8.4931506849315067E-2</v>
      </c>
      <c r="AA774">
        <f t="shared" si="271"/>
        <v>8.4931506849315067E-2</v>
      </c>
      <c r="AB774">
        <f t="shared" si="272"/>
        <v>8.4931506849315067E-2</v>
      </c>
      <c r="AC774">
        <f t="shared" si="273"/>
        <v>0</v>
      </c>
      <c r="AD774">
        <f t="shared" si="274"/>
        <v>0</v>
      </c>
      <c r="AE774">
        <f t="shared" si="275"/>
        <v>0</v>
      </c>
      <c r="AF774">
        <f t="shared" si="276"/>
        <v>0</v>
      </c>
      <c r="AG774">
        <f t="shared" si="277"/>
        <v>0</v>
      </c>
      <c r="AH774">
        <f t="shared" si="278"/>
        <v>0</v>
      </c>
      <c r="AI774">
        <f t="shared" si="279"/>
        <v>0</v>
      </c>
      <c r="AJ774" s="2" t="str">
        <f t="shared" si="289"/>
        <v>545627</v>
      </c>
    </row>
    <row r="775" spans="1:36" x14ac:dyDescent="0.25">
      <c r="A775">
        <v>6</v>
      </c>
      <c r="B775" s="1">
        <v>45627</v>
      </c>
      <c r="C775" s="1">
        <f t="shared" si="280"/>
        <v>45809</v>
      </c>
      <c r="D775" s="1">
        <f t="shared" si="281"/>
        <v>45641</v>
      </c>
      <c r="E775" s="1">
        <f t="shared" si="282"/>
        <v>45809</v>
      </c>
      <c r="F775" s="1">
        <f t="shared" si="283"/>
        <v>45839</v>
      </c>
      <c r="G775" s="1">
        <f t="shared" si="284"/>
        <v>46006</v>
      </c>
      <c r="H775">
        <f t="shared" si="285"/>
        <v>365</v>
      </c>
      <c r="I775">
        <f t="shared" si="286"/>
        <v>30</v>
      </c>
      <c r="J775">
        <f t="shared" si="287"/>
        <v>8.2191780821917804E-2</v>
      </c>
      <c r="K775">
        <f>IFERROR($J775/IF($A775&lt;COUNTIFS($K$1:K$1,"&lt;&gt;"),0,SUMIFS($J:$J,$B:$B,$B775,$A:$A,"&gt;="&amp;COUNTIFS($K$1:K$1,"&lt;&gt;"))),0)</f>
        <v>8.6206896551724144E-2</v>
      </c>
      <c r="L775">
        <f>IFERROR($J775/IF($A775&lt;COUNTIFS($K$1:L$1,"&lt;&gt;"),0,SUMIFS($J:$J,$B:$B,$B775,$A:$A,"&gt;="&amp;COUNTIFS($K$1:L$1,"&lt;&gt;"))),0)</f>
        <v>9.4637223974763415E-2</v>
      </c>
      <c r="M775">
        <f>IFERROR($J775/IF($A775&lt;COUNTIFS($K$1:M$1,"&lt;&gt;"),0,SUMIFS($J:$J,$B:$B,$B775,$A:$A,"&gt;="&amp;COUNTIFS($K$1:M$1,"&lt;&gt;"))),0)</f>
        <v>0.10380622837370243</v>
      </c>
      <c r="N775">
        <f>IFERROR($J775/IF($A775&lt;COUNTIFS($K$1:N$1,"&lt;&gt;"),0,SUMIFS($J:$J,$B:$B,$B775,$A:$A,"&gt;="&amp;COUNTIFS($K$1:N$1,"&lt;&gt;"))),0)</f>
        <v>0.11627906976744187</v>
      </c>
      <c r="O775">
        <f>IFERROR($J775/IF($A775&lt;COUNTIFS($K$1:O$1,"&lt;&gt;"),0,SUMIFS($J:$J,$B:$B,$B775,$A:$A,"&gt;="&amp;COUNTIFS($K$1:O$1,"&lt;&gt;"))),0)</f>
        <v>0.13157894736842107</v>
      </c>
      <c r="P775">
        <f>IFERROR($J775/IF($A775&lt;COUNTIFS($K$1:P$1,"&lt;&gt;"),0,SUMIFS($J:$J,$B:$B,$B775,$A:$A,"&gt;="&amp;COUNTIFS($K$1:P$1,"&lt;&gt;"))),0)</f>
        <v>0.15228426395939088</v>
      </c>
      <c r="Q775">
        <f>IFERROR($J775/IF($A775&lt;COUNTIFS($K$1:Q$1,"&lt;&gt;"),0,SUMIFS($J:$J,$B:$B,$B775,$A:$A,"&gt;="&amp;COUNTIFS($K$1:Q$1,"&lt;&gt;"))),0)</f>
        <v>0</v>
      </c>
      <c r="R775">
        <f>IFERROR($J775/IF($A775&lt;COUNTIFS($K$1:R$1,"&lt;&gt;"),0,SUMIFS($J:$J,$B:$B,$B775,$A:$A,"&gt;="&amp;COUNTIFS($K$1:R$1,"&lt;&gt;"))),0)</f>
        <v>0</v>
      </c>
      <c r="S775">
        <f>IFERROR($J775/IF($A775&lt;COUNTIFS($K$1:S$1,"&lt;&gt;"),0,SUMIFS($J:$J,$B:$B,$B775,$A:$A,"&gt;="&amp;COUNTIFS($K$1:S$1,"&lt;&gt;"))),0)</f>
        <v>0</v>
      </c>
      <c r="T775">
        <f>IFERROR($J775/IF($A775&lt;COUNTIFS($K$1:T$1,"&lt;&gt;"),0,SUMIFS($J:$J,$B:$B,$B775,$A:$A,"&gt;="&amp;COUNTIFS($K$1:T$1,"&lt;&gt;"))),0)</f>
        <v>0</v>
      </c>
      <c r="U775">
        <f>IFERROR($J775/IF($A775&lt;COUNTIFS($K$1:U$1,"&lt;&gt;"),0,SUMIFS($J:$J,$B:$B,$B775,$A:$A,"&gt;="&amp;COUNTIFS($K$1:U$1,"&lt;&gt;"))),0)</f>
        <v>0</v>
      </c>
      <c r="V775">
        <f>IFERROR($J775/IF($A775&lt;COUNTIFS($K$1:V$1,"&lt;&gt;"),0,SUMIFS($J:$J,$B:$B,$B775,$A:$A,"&gt;="&amp;COUNTIFS($K$1:V$1,"&lt;&gt;"))),0)</f>
        <v>0</v>
      </c>
      <c r="W775">
        <f t="shared" si="288"/>
        <v>8.2191780821917804E-2</v>
      </c>
      <c r="X775">
        <f t="shared" si="268"/>
        <v>8.2191780821917804E-2</v>
      </c>
      <c r="Y775">
        <f t="shared" si="269"/>
        <v>8.2191780821917804E-2</v>
      </c>
      <c r="Z775">
        <f t="shared" si="270"/>
        <v>8.2191780821917804E-2</v>
      </c>
      <c r="AA775">
        <f t="shared" si="271"/>
        <v>8.2191780821917804E-2</v>
      </c>
      <c r="AB775">
        <f t="shared" si="272"/>
        <v>8.2191780821917804E-2</v>
      </c>
      <c r="AC775">
        <f t="shared" si="273"/>
        <v>8.2191780821917804E-2</v>
      </c>
      <c r="AD775">
        <f t="shared" si="274"/>
        <v>0</v>
      </c>
      <c r="AE775">
        <f t="shared" si="275"/>
        <v>0</v>
      </c>
      <c r="AF775">
        <f t="shared" si="276"/>
        <v>0</v>
      </c>
      <c r="AG775">
        <f t="shared" si="277"/>
        <v>0</v>
      </c>
      <c r="AH775">
        <f t="shared" si="278"/>
        <v>0</v>
      </c>
      <c r="AI775">
        <f t="shared" si="279"/>
        <v>0</v>
      </c>
      <c r="AJ775" s="2" t="str">
        <f t="shared" si="289"/>
        <v>645627</v>
      </c>
    </row>
    <row r="776" spans="1:36" x14ac:dyDescent="0.25">
      <c r="A776">
        <v>7</v>
      </c>
      <c r="B776" s="1">
        <v>45627</v>
      </c>
      <c r="C776" s="1">
        <f t="shared" si="280"/>
        <v>45839</v>
      </c>
      <c r="D776" s="1">
        <f t="shared" si="281"/>
        <v>45641</v>
      </c>
      <c r="E776" s="1">
        <f t="shared" si="282"/>
        <v>45839</v>
      </c>
      <c r="F776" s="1">
        <f t="shared" si="283"/>
        <v>45870</v>
      </c>
      <c r="G776" s="1">
        <f t="shared" si="284"/>
        <v>46006</v>
      </c>
      <c r="H776">
        <f t="shared" si="285"/>
        <v>365</v>
      </c>
      <c r="I776">
        <f t="shared" si="286"/>
        <v>31</v>
      </c>
      <c r="J776">
        <f t="shared" si="287"/>
        <v>8.4931506849315067E-2</v>
      </c>
      <c r="K776">
        <f>IFERROR($J776/IF($A776&lt;COUNTIFS($K$1:K$1,"&lt;&gt;"),0,SUMIFS($J:$J,$B:$B,$B776,$A:$A,"&gt;="&amp;COUNTIFS($K$1:K$1,"&lt;&gt;"))),0)</f>
        <v>8.9080459770114959E-2</v>
      </c>
      <c r="L776">
        <f>IFERROR($J776/IF($A776&lt;COUNTIFS($K$1:L$1,"&lt;&gt;"),0,SUMIFS($J:$J,$B:$B,$B776,$A:$A,"&gt;="&amp;COUNTIFS($K$1:L$1,"&lt;&gt;"))),0)</f>
        <v>9.7791798107255537E-2</v>
      </c>
      <c r="M776">
        <f>IFERROR($J776/IF($A776&lt;COUNTIFS($K$1:M$1,"&lt;&gt;"),0,SUMIFS($J:$J,$B:$B,$B776,$A:$A,"&gt;="&amp;COUNTIFS($K$1:M$1,"&lt;&gt;"))),0)</f>
        <v>0.10726643598615919</v>
      </c>
      <c r="N776">
        <f>IFERROR($J776/IF($A776&lt;COUNTIFS($K$1:N$1,"&lt;&gt;"),0,SUMIFS($J:$J,$B:$B,$B776,$A:$A,"&gt;="&amp;COUNTIFS($K$1:N$1,"&lt;&gt;"))),0)</f>
        <v>0.12015503875968994</v>
      </c>
      <c r="O776">
        <f>IFERROR($J776/IF($A776&lt;COUNTIFS($K$1:O$1,"&lt;&gt;"),0,SUMIFS($J:$J,$B:$B,$B776,$A:$A,"&gt;="&amp;COUNTIFS($K$1:O$1,"&lt;&gt;"))),0)</f>
        <v>0.13596491228070179</v>
      </c>
      <c r="P776">
        <f>IFERROR($J776/IF($A776&lt;COUNTIFS($K$1:P$1,"&lt;&gt;"),0,SUMIFS($J:$J,$B:$B,$B776,$A:$A,"&gt;="&amp;COUNTIFS($K$1:P$1,"&lt;&gt;"))),0)</f>
        <v>0.15736040609137059</v>
      </c>
      <c r="Q776">
        <f>IFERROR($J776/IF($A776&lt;COUNTIFS($K$1:Q$1,"&lt;&gt;"),0,SUMIFS($J:$J,$B:$B,$B776,$A:$A,"&gt;="&amp;COUNTIFS($K$1:Q$1,"&lt;&gt;"))),0)</f>
        <v>0.18562874251497008</v>
      </c>
      <c r="R776">
        <f>IFERROR($J776/IF($A776&lt;COUNTIFS($K$1:R$1,"&lt;&gt;"),0,SUMIFS($J:$J,$B:$B,$B776,$A:$A,"&gt;="&amp;COUNTIFS($K$1:R$1,"&lt;&gt;"))),0)</f>
        <v>0</v>
      </c>
      <c r="S776">
        <f>IFERROR($J776/IF($A776&lt;COUNTIFS($K$1:S$1,"&lt;&gt;"),0,SUMIFS($J:$J,$B:$B,$B776,$A:$A,"&gt;="&amp;COUNTIFS($K$1:S$1,"&lt;&gt;"))),0)</f>
        <v>0</v>
      </c>
      <c r="T776">
        <f>IFERROR($J776/IF($A776&lt;COUNTIFS($K$1:T$1,"&lt;&gt;"),0,SUMIFS($J:$J,$B:$B,$B776,$A:$A,"&gt;="&amp;COUNTIFS($K$1:T$1,"&lt;&gt;"))),0)</f>
        <v>0</v>
      </c>
      <c r="U776">
        <f>IFERROR($J776/IF($A776&lt;COUNTIFS($K$1:U$1,"&lt;&gt;"),0,SUMIFS($J:$J,$B:$B,$B776,$A:$A,"&gt;="&amp;COUNTIFS($K$1:U$1,"&lt;&gt;"))),0)</f>
        <v>0</v>
      </c>
      <c r="V776">
        <f>IFERROR($J776/IF($A776&lt;COUNTIFS($K$1:V$1,"&lt;&gt;"),0,SUMIFS($J:$J,$B:$B,$B776,$A:$A,"&gt;="&amp;COUNTIFS($K$1:V$1,"&lt;&gt;"))),0)</f>
        <v>0</v>
      </c>
      <c r="W776">
        <f t="shared" si="288"/>
        <v>8.4931506849315067E-2</v>
      </c>
      <c r="X776">
        <f t="shared" si="268"/>
        <v>8.4931506849315067E-2</v>
      </c>
      <c r="Y776">
        <f t="shared" si="269"/>
        <v>8.4931506849315067E-2</v>
      </c>
      <c r="Z776">
        <f t="shared" si="270"/>
        <v>8.4931506849315067E-2</v>
      </c>
      <c r="AA776">
        <f t="shared" si="271"/>
        <v>8.4931506849315067E-2</v>
      </c>
      <c r="AB776">
        <f t="shared" si="272"/>
        <v>8.4931506849315067E-2</v>
      </c>
      <c r="AC776">
        <f t="shared" si="273"/>
        <v>8.4931506849315067E-2</v>
      </c>
      <c r="AD776">
        <f t="shared" si="274"/>
        <v>8.4931506849315067E-2</v>
      </c>
      <c r="AE776">
        <f t="shared" si="275"/>
        <v>0</v>
      </c>
      <c r="AF776">
        <f t="shared" si="276"/>
        <v>0</v>
      </c>
      <c r="AG776">
        <f t="shared" si="277"/>
        <v>0</v>
      </c>
      <c r="AH776">
        <f t="shared" si="278"/>
        <v>0</v>
      </c>
      <c r="AI776">
        <f t="shared" si="279"/>
        <v>0</v>
      </c>
      <c r="AJ776" s="2" t="str">
        <f t="shared" si="289"/>
        <v>745627</v>
      </c>
    </row>
    <row r="777" spans="1:36" x14ac:dyDescent="0.25">
      <c r="A777">
        <v>8</v>
      </c>
      <c r="B777" s="1">
        <v>45627</v>
      </c>
      <c r="C777" s="1">
        <f t="shared" si="280"/>
        <v>45870</v>
      </c>
      <c r="D777" s="1">
        <f t="shared" si="281"/>
        <v>45641</v>
      </c>
      <c r="E777" s="1">
        <f t="shared" si="282"/>
        <v>45870</v>
      </c>
      <c r="F777" s="1">
        <f t="shared" si="283"/>
        <v>45901</v>
      </c>
      <c r="G777" s="1">
        <f t="shared" si="284"/>
        <v>46006</v>
      </c>
      <c r="H777">
        <f t="shared" si="285"/>
        <v>365</v>
      </c>
      <c r="I777">
        <f t="shared" si="286"/>
        <v>31</v>
      </c>
      <c r="J777">
        <f t="shared" si="287"/>
        <v>8.4931506849315067E-2</v>
      </c>
      <c r="K777">
        <f>IFERROR($J777/IF($A777&lt;COUNTIFS($K$1:K$1,"&lt;&gt;"),0,SUMIFS($J:$J,$B:$B,$B777,$A:$A,"&gt;="&amp;COUNTIFS($K$1:K$1,"&lt;&gt;"))),0)</f>
        <v>8.9080459770114959E-2</v>
      </c>
      <c r="L777">
        <f>IFERROR($J777/IF($A777&lt;COUNTIFS($K$1:L$1,"&lt;&gt;"),0,SUMIFS($J:$J,$B:$B,$B777,$A:$A,"&gt;="&amp;COUNTIFS($K$1:L$1,"&lt;&gt;"))),0)</f>
        <v>9.7791798107255537E-2</v>
      </c>
      <c r="M777">
        <f>IFERROR($J777/IF($A777&lt;COUNTIFS($K$1:M$1,"&lt;&gt;"),0,SUMIFS($J:$J,$B:$B,$B777,$A:$A,"&gt;="&amp;COUNTIFS($K$1:M$1,"&lt;&gt;"))),0)</f>
        <v>0.10726643598615919</v>
      </c>
      <c r="N777">
        <f>IFERROR($J777/IF($A777&lt;COUNTIFS($K$1:N$1,"&lt;&gt;"),0,SUMIFS($J:$J,$B:$B,$B777,$A:$A,"&gt;="&amp;COUNTIFS($K$1:N$1,"&lt;&gt;"))),0)</f>
        <v>0.12015503875968994</v>
      </c>
      <c r="O777">
        <f>IFERROR($J777/IF($A777&lt;COUNTIFS($K$1:O$1,"&lt;&gt;"),0,SUMIFS($J:$J,$B:$B,$B777,$A:$A,"&gt;="&amp;COUNTIFS($K$1:O$1,"&lt;&gt;"))),0)</f>
        <v>0.13596491228070179</v>
      </c>
      <c r="P777">
        <f>IFERROR($J777/IF($A777&lt;COUNTIFS($K$1:P$1,"&lt;&gt;"),0,SUMIFS($J:$J,$B:$B,$B777,$A:$A,"&gt;="&amp;COUNTIFS($K$1:P$1,"&lt;&gt;"))),0)</f>
        <v>0.15736040609137059</v>
      </c>
      <c r="Q777">
        <f>IFERROR($J777/IF($A777&lt;COUNTIFS($K$1:Q$1,"&lt;&gt;"),0,SUMIFS($J:$J,$B:$B,$B777,$A:$A,"&gt;="&amp;COUNTIFS($K$1:Q$1,"&lt;&gt;"))),0)</f>
        <v>0.18562874251497008</v>
      </c>
      <c r="R777">
        <f>IFERROR($J777/IF($A777&lt;COUNTIFS($K$1:R$1,"&lt;&gt;"),0,SUMIFS($J:$J,$B:$B,$B777,$A:$A,"&gt;="&amp;COUNTIFS($K$1:R$1,"&lt;&gt;"))),0)</f>
        <v>0.22794117647058826</v>
      </c>
      <c r="S777">
        <f>IFERROR($J777/IF($A777&lt;COUNTIFS($K$1:S$1,"&lt;&gt;"),0,SUMIFS($J:$J,$B:$B,$B777,$A:$A,"&gt;="&amp;COUNTIFS($K$1:S$1,"&lt;&gt;"))),0)</f>
        <v>0</v>
      </c>
      <c r="T777">
        <f>IFERROR($J777/IF($A777&lt;COUNTIFS($K$1:T$1,"&lt;&gt;"),0,SUMIFS($J:$J,$B:$B,$B777,$A:$A,"&gt;="&amp;COUNTIFS($K$1:T$1,"&lt;&gt;"))),0)</f>
        <v>0</v>
      </c>
      <c r="U777">
        <f>IFERROR($J777/IF($A777&lt;COUNTIFS($K$1:U$1,"&lt;&gt;"),0,SUMIFS($J:$J,$B:$B,$B777,$A:$A,"&gt;="&amp;COUNTIFS($K$1:U$1,"&lt;&gt;"))),0)</f>
        <v>0</v>
      </c>
      <c r="V777">
        <f>IFERROR($J777/IF($A777&lt;COUNTIFS($K$1:V$1,"&lt;&gt;"),0,SUMIFS($J:$J,$B:$B,$B777,$A:$A,"&gt;="&amp;COUNTIFS($K$1:V$1,"&lt;&gt;"))),0)</f>
        <v>0</v>
      </c>
      <c r="W777">
        <f t="shared" si="288"/>
        <v>8.4931506849315067E-2</v>
      </c>
      <c r="X777">
        <f t="shared" si="268"/>
        <v>8.4931506849315067E-2</v>
      </c>
      <c r="Y777">
        <f t="shared" si="269"/>
        <v>8.4931506849315067E-2</v>
      </c>
      <c r="Z777">
        <f t="shared" si="270"/>
        <v>8.4931506849315067E-2</v>
      </c>
      <c r="AA777">
        <f t="shared" si="271"/>
        <v>8.4931506849315067E-2</v>
      </c>
      <c r="AB777">
        <f t="shared" si="272"/>
        <v>8.4931506849315067E-2</v>
      </c>
      <c r="AC777">
        <f t="shared" si="273"/>
        <v>8.4931506849315067E-2</v>
      </c>
      <c r="AD777">
        <f t="shared" si="274"/>
        <v>8.4931506849315067E-2</v>
      </c>
      <c r="AE777">
        <f t="shared" si="275"/>
        <v>8.4931506849315067E-2</v>
      </c>
      <c r="AF777">
        <f t="shared" si="276"/>
        <v>0</v>
      </c>
      <c r="AG777">
        <f t="shared" si="277"/>
        <v>0</v>
      </c>
      <c r="AH777">
        <f t="shared" si="278"/>
        <v>0</v>
      </c>
      <c r="AI777">
        <f t="shared" si="279"/>
        <v>0</v>
      </c>
      <c r="AJ777" s="2" t="str">
        <f t="shared" si="289"/>
        <v>845627</v>
      </c>
    </row>
    <row r="778" spans="1:36" x14ac:dyDescent="0.25">
      <c r="A778">
        <v>9</v>
      </c>
      <c r="B778" s="1">
        <v>45627</v>
      </c>
      <c r="C778" s="1">
        <f t="shared" si="280"/>
        <v>45901</v>
      </c>
      <c r="D778" s="1">
        <f t="shared" si="281"/>
        <v>45641</v>
      </c>
      <c r="E778" s="1">
        <f t="shared" si="282"/>
        <v>45901</v>
      </c>
      <c r="F778" s="1">
        <f t="shared" si="283"/>
        <v>45931</v>
      </c>
      <c r="G778" s="1">
        <f t="shared" si="284"/>
        <v>46006</v>
      </c>
      <c r="H778">
        <f t="shared" si="285"/>
        <v>365</v>
      </c>
      <c r="I778">
        <f t="shared" si="286"/>
        <v>30</v>
      </c>
      <c r="J778">
        <f t="shared" si="287"/>
        <v>8.2191780821917804E-2</v>
      </c>
      <c r="K778">
        <f>IFERROR($J778/IF($A778&lt;COUNTIFS($K$1:K$1,"&lt;&gt;"),0,SUMIFS($J:$J,$B:$B,$B778,$A:$A,"&gt;="&amp;COUNTIFS($K$1:K$1,"&lt;&gt;"))),0)</f>
        <v>8.6206896551724144E-2</v>
      </c>
      <c r="L778">
        <f>IFERROR($J778/IF($A778&lt;COUNTIFS($K$1:L$1,"&lt;&gt;"),0,SUMIFS($J:$J,$B:$B,$B778,$A:$A,"&gt;="&amp;COUNTIFS($K$1:L$1,"&lt;&gt;"))),0)</f>
        <v>9.4637223974763415E-2</v>
      </c>
      <c r="M778">
        <f>IFERROR($J778/IF($A778&lt;COUNTIFS($K$1:M$1,"&lt;&gt;"),0,SUMIFS($J:$J,$B:$B,$B778,$A:$A,"&gt;="&amp;COUNTIFS($K$1:M$1,"&lt;&gt;"))),0)</f>
        <v>0.10380622837370243</v>
      </c>
      <c r="N778">
        <f>IFERROR($J778/IF($A778&lt;COUNTIFS($K$1:N$1,"&lt;&gt;"),0,SUMIFS($J:$J,$B:$B,$B778,$A:$A,"&gt;="&amp;COUNTIFS($K$1:N$1,"&lt;&gt;"))),0)</f>
        <v>0.11627906976744187</v>
      </c>
      <c r="O778">
        <f>IFERROR($J778/IF($A778&lt;COUNTIFS($K$1:O$1,"&lt;&gt;"),0,SUMIFS($J:$J,$B:$B,$B778,$A:$A,"&gt;="&amp;COUNTIFS($K$1:O$1,"&lt;&gt;"))),0)</f>
        <v>0.13157894736842107</v>
      </c>
      <c r="P778">
        <f>IFERROR($J778/IF($A778&lt;COUNTIFS($K$1:P$1,"&lt;&gt;"),0,SUMIFS($J:$J,$B:$B,$B778,$A:$A,"&gt;="&amp;COUNTIFS($K$1:P$1,"&lt;&gt;"))),0)</f>
        <v>0.15228426395939088</v>
      </c>
      <c r="Q778">
        <f>IFERROR($J778/IF($A778&lt;COUNTIFS($K$1:Q$1,"&lt;&gt;"),0,SUMIFS($J:$J,$B:$B,$B778,$A:$A,"&gt;="&amp;COUNTIFS($K$1:Q$1,"&lt;&gt;"))),0)</f>
        <v>0.17964071856287425</v>
      </c>
      <c r="R778">
        <f>IFERROR($J778/IF($A778&lt;COUNTIFS($K$1:R$1,"&lt;&gt;"),0,SUMIFS($J:$J,$B:$B,$B778,$A:$A,"&gt;="&amp;COUNTIFS($K$1:R$1,"&lt;&gt;"))),0)</f>
        <v>0.22058823529411764</v>
      </c>
      <c r="S778">
        <f>IFERROR($J778/IF($A778&lt;COUNTIFS($K$1:S$1,"&lt;&gt;"),0,SUMIFS($J:$J,$B:$B,$B778,$A:$A,"&gt;="&amp;COUNTIFS($K$1:S$1,"&lt;&gt;"))),0)</f>
        <v>0.2857142857142857</v>
      </c>
      <c r="T778">
        <f>IFERROR($J778/IF($A778&lt;COUNTIFS($K$1:T$1,"&lt;&gt;"),0,SUMIFS($J:$J,$B:$B,$B778,$A:$A,"&gt;="&amp;COUNTIFS($K$1:T$1,"&lt;&gt;"))),0)</f>
        <v>0</v>
      </c>
      <c r="U778">
        <f>IFERROR($J778/IF($A778&lt;COUNTIFS($K$1:U$1,"&lt;&gt;"),0,SUMIFS($J:$J,$B:$B,$B778,$A:$A,"&gt;="&amp;COUNTIFS($K$1:U$1,"&lt;&gt;"))),0)</f>
        <v>0</v>
      </c>
      <c r="V778">
        <f>IFERROR($J778/IF($A778&lt;COUNTIFS($K$1:V$1,"&lt;&gt;"),0,SUMIFS($J:$J,$B:$B,$B778,$A:$A,"&gt;="&amp;COUNTIFS($K$1:V$1,"&lt;&gt;"))),0)</f>
        <v>0</v>
      </c>
      <c r="W778">
        <f t="shared" si="288"/>
        <v>8.2191780821917804E-2</v>
      </c>
      <c r="X778">
        <f t="shared" si="268"/>
        <v>8.2191780821917804E-2</v>
      </c>
      <c r="Y778">
        <f t="shared" si="269"/>
        <v>8.2191780821917804E-2</v>
      </c>
      <c r="Z778">
        <f t="shared" si="270"/>
        <v>8.2191780821917804E-2</v>
      </c>
      <c r="AA778">
        <f t="shared" si="271"/>
        <v>8.2191780821917804E-2</v>
      </c>
      <c r="AB778">
        <f t="shared" si="272"/>
        <v>8.2191780821917804E-2</v>
      </c>
      <c r="AC778">
        <f t="shared" si="273"/>
        <v>8.2191780821917804E-2</v>
      </c>
      <c r="AD778">
        <f t="shared" si="274"/>
        <v>8.2191780821917804E-2</v>
      </c>
      <c r="AE778">
        <f t="shared" si="275"/>
        <v>8.2191780821917804E-2</v>
      </c>
      <c r="AF778">
        <f t="shared" si="276"/>
        <v>8.2191780821917804E-2</v>
      </c>
      <c r="AG778">
        <f t="shared" si="277"/>
        <v>0</v>
      </c>
      <c r="AH778">
        <f t="shared" si="278"/>
        <v>0</v>
      </c>
      <c r="AI778">
        <f t="shared" si="279"/>
        <v>0</v>
      </c>
      <c r="AJ778" s="2" t="str">
        <f t="shared" si="289"/>
        <v>945627</v>
      </c>
    </row>
    <row r="779" spans="1:36" x14ac:dyDescent="0.25">
      <c r="A779">
        <v>10</v>
      </c>
      <c r="B779" s="1">
        <v>45627</v>
      </c>
      <c r="C779" s="1">
        <f t="shared" si="280"/>
        <v>45931</v>
      </c>
      <c r="D779" s="1">
        <f t="shared" si="281"/>
        <v>45641</v>
      </c>
      <c r="E779" s="1">
        <f t="shared" si="282"/>
        <v>45931</v>
      </c>
      <c r="F779" s="1">
        <f t="shared" si="283"/>
        <v>45962</v>
      </c>
      <c r="G779" s="1">
        <f t="shared" si="284"/>
        <v>46006</v>
      </c>
      <c r="H779">
        <f t="shared" si="285"/>
        <v>365</v>
      </c>
      <c r="I779">
        <f t="shared" si="286"/>
        <v>31</v>
      </c>
      <c r="J779">
        <f t="shared" si="287"/>
        <v>8.4931506849315067E-2</v>
      </c>
      <c r="K779">
        <f>IFERROR($J779/IF($A779&lt;COUNTIFS($K$1:K$1,"&lt;&gt;"),0,SUMIFS($J:$J,$B:$B,$B779,$A:$A,"&gt;="&amp;COUNTIFS($K$1:K$1,"&lt;&gt;"))),0)</f>
        <v>8.9080459770114959E-2</v>
      </c>
      <c r="L779">
        <f>IFERROR($J779/IF($A779&lt;COUNTIFS($K$1:L$1,"&lt;&gt;"),0,SUMIFS($J:$J,$B:$B,$B779,$A:$A,"&gt;="&amp;COUNTIFS($K$1:L$1,"&lt;&gt;"))),0)</f>
        <v>9.7791798107255537E-2</v>
      </c>
      <c r="M779">
        <f>IFERROR($J779/IF($A779&lt;COUNTIFS($K$1:M$1,"&lt;&gt;"),0,SUMIFS($J:$J,$B:$B,$B779,$A:$A,"&gt;="&amp;COUNTIFS($K$1:M$1,"&lt;&gt;"))),0)</f>
        <v>0.10726643598615919</v>
      </c>
      <c r="N779">
        <f>IFERROR($J779/IF($A779&lt;COUNTIFS($K$1:N$1,"&lt;&gt;"),0,SUMIFS($J:$J,$B:$B,$B779,$A:$A,"&gt;="&amp;COUNTIFS($K$1:N$1,"&lt;&gt;"))),0)</f>
        <v>0.12015503875968994</v>
      </c>
      <c r="O779">
        <f>IFERROR($J779/IF($A779&lt;COUNTIFS($K$1:O$1,"&lt;&gt;"),0,SUMIFS($J:$J,$B:$B,$B779,$A:$A,"&gt;="&amp;COUNTIFS($K$1:O$1,"&lt;&gt;"))),0)</f>
        <v>0.13596491228070179</v>
      </c>
      <c r="P779">
        <f>IFERROR($J779/IF($A779&lt;COUNTIFS($K$1:P$1,"&lt;&gt;"),0,SUMIFS($J:$J,$B:$B,$B779,$A:$A,"&gt;="&amp;COUNTIFS($K$1:P$1,"&lt;&gt;"))),0)</f>
        <v>0.15736040609137059</v>
      </c>
      <c r="Q779">
        <f>IFERROR($J779/IF($A779&lt;COUNTIFS($K$1:Q$1,"&lt;&gt;"),0,SUMIFS($J:$J,$B:$B,$B779,$A:$A,"&gt;="&amp;COUNTIFS($K$1:Q$1,"&lt;&gt;"))),0)</f>
        <v>0.18562874251497008</v>
      </c>
      <c r="R779">
        <f>IFERROR($J779/IF($A779&lt;COUNTIFS($K$1:R$1,"&lt;&gt;"),0,SUMIFS($J:$J,$B:$B,$B779,$A:$A,"&gt;="&amp;COUNTIFS($K$1:R$1,"&lt;&gt;"))),0)</f>
        <v>0.22794117647058826</v>
      </c>
      <c r="S779">
        <f>IFERROR($J779/IF($A779&lt;COUNTIFS($K$1:S$1,"&lt;&gt;"),0,SUMIFS($J:$J,$B:$B,$B779,$A:$A,"&gt;="&amp;COUNTIFS($K$1:S$1,"&lt;&gt;"))),0)</f>
        <v>0.29523809523809524</v>
      </c>
      <c r="T779">
        <f>IFERROR($J779/IF($A779&lt;COUNTIFS($K$1:T$1,"&lt;&gt;"),0,SUMIFS($J:$J,$B:$B,$B779,$A:$A,"&gt;="&amp;COUNTIFS($K$1:T$1,"&lt;&gt;"))),0)</f>
        <v>0.41333333333333333</v>
      </c>
      <c r="U779">
        <f>IFERROR($J779/IF($A779&lt;COUNTIFS($K$1:U$1,"&lt;&gt;"),0,SUMIFS($J:$J,$B:$B,$B779,$A:$A,"&gt;="&amp;COUNTIFS($K$1:U$1,"&lt;&gt;"))),0)</f>
        <v>0</v>
      </c>
      <c r="V779">
        <f>IFERROR($J779/IF($A779&lt;COUNTIFS($K$1:V$1,"&lt;&gt;"),0,SUMIFS($J:$J,$B:$B,$B779,$A:$A,"&gt;="&amp;COUNTIFS($K$1:V$1,"&lt;&gt;"))),0)</f>
        <v>0</v>
      </c>
      <c r="W779">
        <f t="shared" si="288"/>
        <v>8.4931506849315067E-2</v>
      </c>
      <c r="X779">
        <f t="shared" si="268"/>
        <v>8.4931506849315067E-2</v>
      </c>
      <c r="Y779">
        <f t="shared" si="269"/>
        <v>8.4931506849315067E-2</v>
      </c>
      <c r="Z779">
        <f t="shared" si="270"/>
        <v>8.4931506849315067E-2</v>
      </c>
      <c r="AA779">
        <f t="shared" si="271"/>
        <v>8.4931506849315067E-2</v>
      </c>
      <c r="AB779">
        <f t="shared" si="272"/>
        <v>8.4931506849315067E-2</v>
      </c>
      <c r="AC779">
        <f t="shared" si="273"/>
        <v>8.4931506849315067E-2</v>
      </c>
      <c r="AD779">
        <f t="shared" si="274"/>
        <v>8.4931506849315067E-2</v>
      </c>
      <c r="AE779">
        <f t="shared" si="275"/>
        <v>8.4931506849315067E-2</v>
      </c>
      <c r="AF779">
        <f t="shared" si="276"/>
        <v>8.4931506849315067E-2</v>
      </c>
      <c r="AG779">
        <f t="shared" si="277"/>
        <v>8.4931506849315067E-2</v>
      </c>
      <c r="AH779">
        <f t="shared" si="278"/>
        <v>0</v>
      </c>
      <c r="AI779">
        <f t="shared" si="279"/>
        <v>0</v>
      </c>
      <c r="AJ779" s="2" t="str">
        <f t="shared" si="289"/>
        <v>1045627</v>
      </c>
    </row>
    <row r="780" spans="1:36" x14ac:dyDescent="0.25">
      <c r="A780">
        <v>11</v>
      </c>
      <c r="B780" s="1">
        <v>45627</v>
      </c>
      <c r="C780" s="1">
        <f t="shared" si="280"/>
        <v>45962</v>
      </c>
      <c r="D780" s="1">
        <f t="shared" si="281"/>
        <v>45641</v>
      </c>
      <c r="E780" s="1">
        <f t="shared" si="282"/>
        <v>45962</v>
      </c>
      <c r="F780" s="1">
        <f t="shared" si="283"/>
        <v>45992</v>
      </c>
      <c r="G780" s="1">
        <f t="shared" si="284"/>
        <v>46006</v>
      </c>
      <c r="H780">
        <f t="shared" si="285"/>
        <v>365</v>
      </c>
      <c r="I780">
        <f t="shared" si="286"/>
        <v>30</v>
      </c>
      <c r="J780">
        <f t="shared" si="287"/>
        <v>8.2191780821917804E-2</v>
      </c>
      <c r="K780">
        <f>IFERROR($J780/IF($A780&lt;COUNTIFS($K$1:K$1,"&lt;&gt;"),0,SUMIFS($J:$J,$B:$B,$B780,$A:$A,"&gt;="&amp;COUNTIFS($K$1:K$1,"&lt;&gt;"))),0)</f>
        <v>8.6206896551724144E-2</v>
      </c>
      <c r="L780">
        <f>IFERROR($J780/IF($A780&lt;COUNTIFS($K$1:L$1,"&lt;&gt;"),0,SUMIFS($J:$J,$B:$B,$B780,$A:$A,"&gt;="&amp;COUNTIFS($K$1:L$1,"&lt;&gt;"))),0)</f>
        <v>9.4637223974763415E-2</v>
      </c>
      <c r="M780">
        <f>IFERROR($J780/IF($A780&lt;COUNTIFS($K$1:M$1,"&lt;&gt;"),0,SUMIFS($J:$J,$B:$B,$B780,$A:$A,"&gt;="&amp;COUNTIFS($K$1:M$1,"&lt;&gt;"))),0)</f>
        <v>0.10380622837370243</v>
      </c>
      <c r="N780">
        <f>IFERROR($J780/IF($A780&lt;COUNTIFS($K$1:N$1,"&lt;&gt;"),0,SUMIFS($J:$J,$B:$B,$B780,$A:$A,"&gt;="&amp;COUNTIFS($K$1:N$1,"&lt;&gt;"))),0)</f>
        <v>0.11627906976744187</v>
      </c>
      <c r="O780">
        <f>IFERROR($J780/IF($A780&lt;COUNTIFS($K$1:O$1,"&lt;&gt;"),0,SUMIFS($J:$J,$B:$B,$B780,$A:$A,"&gt;="&amp;COUNTIFS($K$1:O$1,"&lt;&gt;"))),0)</f>
        <v>0.13157894736842107</v>
      </c>
      <c r="P780">
        <f>IFERROR($J780/IF($A780&lt;COUNTIFS($K$1:P$1,"&lt;&gt;"),0,SUMIFS($J:$J,$B:$B,$B780,$A:$A,"&gt;="&amp;COUNTIFS($K$1:P$1,"&lt;&gt;"))),0)</f>
        <v>0.15228426395939088</v>
      </c>
      <c r="Q780">
        <f>IFERROR($J780/IF($A780&lt;COUNTIFS($K$1:Q$1,"&lt;&gt;"),0,SUMIFS($J:$J,$B:$B,$B780,$A:$A,"&gt;="&amp;COUNTIFS($K$1:Q$1,"&lt;&gt;"))),0)</f>
        <v>0.17964071856287425</v>
      </c>
      <c r="R780">
        <f>IFERROR($J780/IF($A780&lt;COUNTIFS($K$1:R$1,"&lt;&gt;"),0,SUMIFS($J:$J,$B:$B,$B780,$A:$A,"&gt;="&amp;COUNTIFS($K$1:R$1,"&lt;&gt;"))),0)</f>
        <v>0.22058823529411764</v>
      </c>
      <c r="S780">
        <f>IFERROR($J780/IF($A780&lt;COUNTIFS($K$1:S$1,"&lt;&gt;"),0,SUMIFS($J:$J,$B:$B,$B780,$A:$A,"&gt;="&amp;COUNTIFS($K$1:S$1,"&lt;&gt;"))),0)</f>
        <v>0.2857142857142857</v>
      </c>
      <c r="T780">
        <f>IFERROR($J780/IF($A780&lt;COUNTIFS($K$1:T$1,"&lt;&gt;"),0,SUMIFS($J:$J,$B:$B,$B780,$A:$A,"&gt;="&amp;COUNTIFS($K$1:T$1,"&lt;&gt;"))),0)</f>
        <v>0.4</v>
      </c>
      <c r="U780">
        <f>IFERROR($J780/IF($A780&lt;COUNTIFS($K$1:U$1,"&lt;&gt;"),0,SUMIFS($J:$J,$B:$B,$B780,$A:$A,"&gt;="&amp;COUNTIFS($K$1:U$1,"&lt;&gt;"))),0)</f>
        <v>0.68181818181818177</v>
      </c>
      <c r="V780">
        <f>IFERROR($J780/IF($A780&lt;COUNTIFS($K$1:V$1,"&lt;&gt;"),0,SUMIFS($J:$J,$B:$B,$B780,$A:$A,"&gt;="&amp;COUNTIFS($K$1:V$1,"&lt;&gt;"))),0)</f>
        <v>0</v>
      </c>
      <c r="W780">
        <f t="shared" si="288"/>
        <v>8.2191780821917804E-2</v>
      </c>
      <c r="X780">
        <f t="shared" si="268"/>
        <v>8.2191780821917804E-2</v>
      </c>
      <c r="Y780">
        <f t="shared" si="269"/>
        <v>8.2191780821917804E-2</v>
      </c>
      <c r="Z780">
        <f t="shared" si="270"/>
        <v>8.2191780821917804E-2</v>
      </c>
      <c r="AA780">
        <f t="shared" si="271"/>
        <v>8.2191780821917804E-2</v>
      </c>
      <c r="AB780">
        <f t="shared" si="272"/>
        <v>8.2191780821917804E-2</v>
      </c>
      <c r="AC780">
        <f t="shared" si="273"/>
        <v>8.2191780821917804E-2</v>
      </c>
      <c r="AD780">
        <f t="shared" si="274"/>
        <v>8.2191780821917804E-2</v>
      </c>
      <c r="AE780">
        <f t="shared" si="275"/>
        <v>8.2191780821917804E-2</v>
      </c>
      <c r="AF780">
        <f t="shared" si="276"/>
        <v>8.2191780821917804E-2</v>
      </c>
      <c r="AG780">
        <f t="shared" si="277"/>
        <v>8.2191780821917804E-2</v>
      </c>
      <c r="AH780">
        <f t="shared" si="278"/>
        <v>8.2191780821917804E-2</v>
      </c>
      <c r="AI780">
        <f t="shared" si="279"/>
        <v>0</v>
      </c>
      <c r="AJ780" s="2" t="str">
        <f t="shared" si="289"/>
        <v>1145627</v>
      </c>
    </row>
    <row r="781" spans="1:36" x14ac:dyDescent="0.25">
      <c r="A781">
        <v>12</v>
      </c>
      <c r="B781" s="1">
        <v>45627</v>
      </c>
      <c r="C781" s="1">
        <f t="shared" si="280"/>
        <v>45992</v>
      </c>
      <c r="D781" s="1">
        <f t="shared" si="281"/>
        <v>45641</v>
      </c>
      <c r="E781" s="1">
        <f t="shared" si="282"/>
        <v>45992</v>
      </c>
      <c r="F781" s="1">
        <f t="shared" si="283"/>
        <v>46006</v>
      </c>
      <c r="G781" s="1">
        <f t="shared" si="284"/>
        <v>46006</v>
      </c>
      <c r="H781">
        <f t="shared" si="285"/>
        <v>365</v>
      </c>
      <c r="I781">
        <f t="shared" si="286"/>
        <v>14</v>
      </c>
      <c r="J781">
        <f t="shared" si="287"/>
        <v>3.8356164383561646E-2</v>
      </c>
      <c r="K781">
        <f>IFERROR($J781/IF($A781&lt;COUNTIFS($K$1:K$1,"&lt;&gt;"),0,SUMIFS($J:$J,$B:$B,$B781,$A:$A,"&gt;="&amp;COUNTIFS($K$1:K$1,"&lt;&gt;"))),0)</f>
        <v>4.0229885057471271E-2</v>
      </c>
      <c r="L781">
        <f>IFERROR($J781/IF($A781&lt;COUNTIFS($K$1:L$1,"&lt;&gt;"),0,SUMIFS($J:$J,$B:$B,$B781,$A:$A,"&gt;="&amp;COUNTIFS($K$1:L$1,"&lt;&gt;"))),0)</f>
        <v>4.41640378548896E-2</v>
      </c>
      <c r="M781">
        <f>IFERROR($J781/IF($A781&lt;COUNTIFS($K$1:M$1,"&lt;&gt;"),0,SUMIFS($J:$J,$B:$B,$B781,$A:$A,"&gt;="&amp;COUNTIFS($K$1:M$1,"&lt;&gt;"))),0)</f>
        <v>4.8442906574394477E-2</v>
      </c>
      <c r="N781">
        <f>IFERROR($J781/IF($A781&lt;COUNTIFS($K$1:N$1,"&lt;&gt;"),0,SUMIFS($J:$J,$B:$B,$B781,$A:$A,"&gt;="&amp;COUNTIFS($K$1:N$1,"&lt;&gt;"))),0)</f>
        <v>5.4263565891472881E-2</v>
      </c>
      <c r="O781">
        <f>IFERROR($J781/IF($A781&lt;COUNTIFS($K$1:O$1,"&lt;&gt;"),0,SUMIFS($J:$J,$B:$B,$B781,$A:$A,"&gt;="&amp;COUNTIFS($K$1:O$1,"&lt;&gt;"))),0)</f>
        <v>6.1403508771929842E-2</v>
      </c>
      <c r="P781">
        <f>IFERROR($J781/IF($A781&lt;COUNTIFS($K$1:P$1,"&lt;&gt;"),0,SUMIFS($J:$J,$B:$B,$B781,$A:$A,"&gt;="&amp;COUNTIFS($K$1:P$1,"&lt;&gt;"))),0)</f>
        <v>7.1065989847715755E-2</v>
      </c>
      <c r="Q781">
        <f>IFERROR($J781/IF($A781&lt;COUNTIFS($K$1:Q$1,"&lt;&gt;"),0,SUMIFS($J:$J,$B:$B,$B781,$A:$A,"&gt;="&amp;COUNTIFS($K$1:Q$1,"&lt;&gt;"))),0)</f>
        <v>8.3832335329341326E-2</v>
      </c>
      <c r="R781">
        <f>IFERROR($J781/IF($A781&lt;COUNTIFS($K$1:R$1,"&lt;&gt;"),0,SUMIFS($J:$J,$B:$B,$B781,$A:$A,"&gt;="&amp;COUNTIFS($K$1:R$1,"&lt;&gt;"))),0)</f>
        <v>0.10294117647058824</v>
      </c>
      <c r="S781">
        <f>IFERROR($J781/IF($A781&lt;COUNTIFS($K$1:S$1,"&lt;&gt;"),0,SUMIFS($J:$J,$B:$B,$B781,$A:$A,"&gt;="&amp;COUNTIFS($K$1:S$1,"&lt;&gt;"))),0)</f>
        <v>0.13333333333333336</v>
      </c>
      <c r="T781">
        <f>IFERROR($J781/IF($A781&lt;COUNTIFS($K$1:T$1,"&lt;&gt;"),0,SUMIFS($J:$J,$B:$B,$B781,$A:$A,"&gt;="&amp;COUNTIFS($K$1:T$1,"&lt;&gt;"))),0)</f>
        <v>0.18666666666666668</v>
      </c>
      <c r="U781">
        <f>IFERROR($J781/IF($A781&lt;COUNTIFS($K$1:U$1,"&lt;&gt;"),0,SUMIFS($J:$J,$B:$B,$B781,$A:$A,"&gt;="&amp;COUNTIFS($K$1:U$1,"&lt;&gt;"))),0)</f>
        <v>0.31818181818181818</v>
      </c>
      <c r="V781">
        <f>IFERROR($J781/IF($A781&lt;COUNTIFS($K$1:V$1,"&lt;&gt;"),0,SUMIFS($J:$J,$B:$B,$B781,$A:$A,"&gt;="&amp;COUNTIFS($K$1:V$1,"&lt;&gt;"))),0)</f>
        <v>1</v>
      </c>
      <c r="W781">
        <f t="shared" si="288"/>
        <v>3.8356164383561646E-2</v>
      </c>
      <c r="X781">
        <f t="shared" si="268"/>
        <v>3.8356164383561646E-2</v>
      </c>
      <c r="Y781">
        <f t="shared" si="269"/>
        <v>3.8356164383561646E-2</v>
      </c>
      <c r="Z781">
        <f t="shared" si="270"/>
        <v>3.8356164383561646E-2</v>
      </c>
      <c r="AA781">
        <f t="shared" si="271"/>
        <v>3.8356164383561646E-2</v>
      </c>
      <c r="AB781">
        <f t="shared" si="272"/>
        <v>3.8356164383561646E-2</v>
      </c>
      <c r="AC781">
        <f t="shared" si="273"/>
        <v>3.8356164383561646E-2</v>
      </c>
      <c r="AD781">
        <f t="shared" si="274"/>
        <v>3.8356164383561646E-2</v>
      </c>
      <c r="AE781">
        <f t="shared" si="275"/>
        <v>3.8356164383561646E-2</v>
      </c>
      <c r="AF781">
        <f t="shared" si="276"/>
        <v>3.8356164383561646E-2</v>
      </c>
      <c r="AG781">
        <f t="shared" si="277"/>
        <v>3.8356164383561646E-2</v>
      </c>
      <c r="AH781">
        <f t="shared" si="278"/>
        <v>3.8356164383561646E-2</v>
      </c>
      <c r="AI781">
        <f t="shared" si="279"/>
        <v>3.8356164383561646E-2</v>
      </c>
      <c r="AJ781" s="2" t="str">
        <f t="shared" si="289"/>
        <v>1245627</v>
      </c>
    </row>
    <row r="782" spans="1:36" x14ac:dyDescent="0.25">
      <c r="A782">
        <v>0</v>
      </c>
      <c r="B782" s="1">
        <v>45658</v>
      </c>
      <c r="C782" s="1">
        <f t="shared" si="280"/>
        <v>45658</v>
      </c>
      <c r="D782" s="1">
        <f t="shared" si="281"/>
        <v>45672</v>
      </c>
      <c r="E782" s="1">
        <f t="shared" si="282"/>
        <v>45672</v>
      </c>
      <c r="F782" s="1">
        <f t="shared" si="283"/>
        <v>45689</v>
      </c>
      <c r="G782" s="1">
        <f t="shared" si="284"/>
        <v>46037</v>
      </c>
      <c r="H782">
        <f t="shared" si="285"/>
        <v>365</v>
      </c>
      <c r="I782">
        <f t="shared" si="286"/>
        <v>17</v>
      </c>
      <c r="J782">
        <f t="shared" si="287"/>
        <v>4.6575342465753428E-2</v>
      </c>
      <c r="K782">
        <f>IFERROR($J782/IF($A782&lt;COUNTIFS($K$1:K$1,"&lt;&gt;"),0,SUMIFS($J:$J,$B:$B,$B782,$A:$A,"&gt;="&amp;COUNTIFS($K$1:K$1,"&lt;&gt;"))),0)</f>
        <v>0</v>
      </c>
      <c r="L782">
        <f>IFERROR($J782/IF($A782&lt;COUNTIFS($K$1:L$1,"&lt;&gt;"),0,SUMIFS($J:$J,$B:$B,$B782,$A:$A,"&gt;="&amp;COUNTIFS($K$1:L$1,"&lt;&gt;"))),0)</f>
        <v>0</v>
      </c>
      <c r="M782">
        <f>IFERROR($J782/IF($A782&lt;COUNTIFS($K$1:M$1,"&lt;&gt;"),0,SUMIFS($J:$J,$B:$B,$B782,$A:$A,"&gt;="&amp;COUNTIFS($K$1:M$1,"&lt;&gt;"))),0)</f>
        <v>0</v>
      </c>
      <c r="N782">
        <f>IFERROR($J782/IF($A782&lt;COUNTIFS($K$1:N$1,"&lt;&gt;"),0,SUMIFS($J:$J,$B:$B,$B782,$A:$A,"&gt;="&amp;COUNTIFS($K$1:N$1,"&lt;&gt;"))),0)</f>
        <v>0</v>
      </c>
      <c r="O782">
        <f>IFERROR($J782/IF($A782&lt;COUNTIFS($K$1:O$1,"&lt;&gt;"),0,SUMIFS($J:$J,$B:$B,$B782,$A:$A,"&gt;="&amp;COUNTIFS($K$1:O$1,"&lt;&gt;"))),0)</f>
        <v>0</v>
      </c>
      <c r="P782">
        <f>IFERROR($J782/IF($A782&lt;COUNTIFS($K$1:P$1,"&lt;&gt;"),0,SUMIFS($J:$J,$B:$B,$B782,$A:$A,"&gt;="&amp;COUNTIFS($K$1:P$1,"&lt;&gt;"))),0)</f>
        <v>0</v>
      </c>
      <c r="Q782">
        <f>IFERROR($J782/IF($A782&lt;COUNTIFS($K$1:Q$1,"&lt;&gt;"),0,SUMIFS($J:$J,$B:$B,$B782,$A:$A,"&gt;="&amp;COUNTIFS($K$1:Q$1,"&lt;&gt;"))),0)</f>
        <v>0</v>
      </c>
      <c r="R782">
        <f>IFERROR($J782/IF($A782&lt;COUNTIFS($K$1:R$1,"&lt;&gt;"),0,SUMIFS($J:$J,$B:$B,$B782,$A:$A,"&gt;="&amp;COUNTIFS($K$1:R$1,"&lt;&gt;"))),0)</f>
        <v>0</v>
      </c>
      <c r="S782">
        <f>IFERROR($J782/IF($A782&lt;COUNTIFS($K$1:S$1,"&lt;&gt;"),0,SUMIFS($J:$J,$B:$B,$B782,$A:$A,"&gt;="&amp;COUNTIFS($K$1:S$1,"&lt;&gt;"))),0)</f>
        <v>0</v>
      </c>
      <c r="T782">
        <f>IFERROR($J782/IF($A782&lt;COUNTIFS($K$1:T$1,"&lt;&gt;"),0,SUMIFS($J:$J,$B:$B,$B782,$A:$A,"&gt;="&amp;COUNTIFS($K$1:T$1,"&lt;&gt;"))),0)</f>
        <v>0</v>
      </c>
      <c r="U782">
        <f>IFERROR($J782/IF($A782&lt;COUNTIFS($K$1:U$1,"&lt;&gt;"),0,SUMIFS($J:$J,$B:$B,$B782,$A:$A,"&gt;="&amp;COUNTIFS($K$1:U$1,"&lt;&gt;"))),0)</f>
        <v>0</v>
      </c>
      <c r="V782">
        <f>IFERROR($J782/IF($A782&lt;COUNTIFS($K$1:V$1,"&lt;&gt;"),0,SUMIFS($J:$J,$B:$B,$B782,$A:$A,"&gt;="&amp;COUNTIFS($K$1:V$1,"&lt;&gt;"))),0)</f>
        <v>0</v>
      </c>
      <c r="W782">
        <f t="shared" si="288"/>
        <v>4.6575342465753428E-2</v>
      </c>
      <c r="X782">
        <f t="shared" si="268"/>
        <v>0</v>
      </c>
      <c r="Y782">
        <f t="shared" si="269"/>
        <v>0</v>
      </c>
      <c r="Z782">
        <f t="shared" si="270"/>
        <v>0</v>
      </c>
      <c r="AA782">
        <f t="shared" si="271"/>
        <v>0</v>
      </c>
      <c r="AB782">
        <f t="shared" si="272"/>
        <v>0</v>
      </c>
      <c r="AC782">
        <f t="shared" si="273"/>
        <v>0</v>
      </c>
      <c r="AD782">
        <f t="shared" si="274"/>
        <v>0</v>
      </c>
      <c r="AE782">
        <f t="shared" si="275"/>
        <v>0</v>
      </c>
      <c r="AF782">
        <f t="shared" si="276"/>
        <v>0</v>
      </c>
      <c r="AG782">
        <f t="shared" si="277"/>
        <v>0</v>
      </c>
      <c r="AH782">
        <f t="shared" si="278"/>
        <v>0</v>
      </c>
      <c r="AI782">
        <f t="shared" si="279"/>
        <v>0</v>
      </c>
      <c r="AJ782" s="2" t="str">
        <f t="shared" si="289"/>
        <v>045658</v>
      </c>
    </row>
    <row r="783" spans="1:36" x14ac:dyDescent="0.25">
      <c r="A783">
        <v>1</v>
      </c>
      <c r="B783" s="1">
        <v>45658</v>
      </c>
      <c r="C783" s="1">
        <f t="shared" si="280"/>
        <v>45689</v>
      </c>
      <c r="D783" s="1">
        <f t="shared" si="281"/>
        <v>45672</v>
      </c>
      <c r="E783" s="1">
        <f t="shared" si="282"/>
        <v>45689</v>
      </c>
      <c r="F783" s="1">
        <f t="shared" si="283"/>
        <v>45717</v>
      </c>
      <c r="G783" s="1">
        <f t="shared" si="284"/>
        <v>46037</v>
      </c>
      <c r="H783">
        <f t="shared" si="285"/>
        <v>365</v>
      </c>
      <c r="I783">
        <f t="shared" si="286"/>
        <v>28</v>
      </c>
      <c r="J783">
        <f t="shared" si="287"/>
        <v>7.6712328767123292E-2</v>
      </c>
      <c r="K783">
        <f>IFERROR($J783/IF($A783&lt;COUNTIFS($K$1:K$1,"&lt;&gt;"),0,SUMIFS($J:$J,$B:$B,$B783,$A:$A,"&gt;="&amp;COUNTIFS($K$1:K$1,"&lt;&gt;"))),0)</f>
        <v>8.0459770114942541E-2</v>
      </c>
      <c r="L783">
        <f>IFERROR($J783/IF($A783&lt;COUNTIFS($K$1:L$1,"&lt;&gt;"),0,SUMIFS($J:$J,$B:$B,$B783,$A:$A,"&gt;="&amp;COUNTIFS($K$1:L$1,"&lt;&gt;"))),0)</f>
        <v>0</v>
      </c>
      <c r="M783">
        <f>IFERROR($J783/IF($A783&lt;COUNTIFS($K$1:M$1,"&lt;&gt;"),0,SUMIFS($J:$J,$B:$B,$B783,$A:$A,"&gt;="&amp;COUNTIFS($K$1:M$1,"&lt;&gt;"))),0)</f>
        <v>0</v>
      </c>
      <c r="N783">
        <f>IFERROR($J783/IF($A783&lt;COUNTIFS($K$1:N$1,"&lt;&gt;"),0,SUMIFS($J:$J,$B:$B,$B783,$A:$A,"&gt;="&amp;COUNTIFS($K$1:N$1,"&lt;&gt;"))),0)</f>
        <v>0</v>
      </c>
      <c r="O783">
        <f>IFERROR($J783/IF($A783&lt;COUNTIFS($K$1:O$1,"&lt;&gt;"),0,SUMIFS($J:$J,$B:$B,$B783,$A:$A,"&gt;="&amp;COUNTIFS($K$1:O$1,"&lt;&gt;"))),0)</f>
        <v>0</v>
      </c>
      <c r="P783">
        <f>IFERROR($J783/IF($A783&lt;COUNTIFS($K$1:P$1,"&lt;&gt;"),0,SUMIFS($J:$J,$B:$B,$B783,$A:$A,"&gt;="&amp;COUNTIFS($K$1:P$1,"&lt;&gt;"))),0)</f>
        <v>0</v>
      </c>
      <c r="Q783">
        <f>IFERROR($J783/IF($A783&lt;COUNTIFS($K$1:Q$1,"&lt;&gt;"),0,SUMIFS($J:$J,$B:$B,$B783,$A:$A,"&gt;="&amp;COUNTIFS($K$1:Q$1,"&lt;&gt;"))),0)</f>
        <v>0</v>
      </c>
      <c r="R783">
        <f>IFERROR($J783/IF($A783&lt;COUNTIFS($K$1:R$1,"&lt;&gt;"),0,SUMIFS($J:$J,$B:$B,$B783,$A:$A,"&gt;="&amp;COUNTIFS($K$1:R$1,"&lt;&gt;"))),0)</f>
        <v>0</v>
      </c>
      <c r="S783">
        <f>IFERROR($J783/IF($A783&lt;COUNTIFS($K$1:S$1,"&lt;&gt;"),0,SUMIFS($J:$J,$B:$B,$B783,$A:$A,"&gt;="&amp;COUNTIFS($K$1:S$1,"&lt;&gt;"))),0)</f>
        <v>0</v>
      </c>
      <c r="T783">
        <f>IFERROR($J783/IF($A783&lt;COUNTIFS($K$1:T$1,"&lt;&gt;"),0,SUMIFS($J:$J,$B:$B,$B783,$A:$A,"&gt;="&amp;COUNTIFS($K$1:T$1,"&lt;&gt;"))),0)</f>
        <v>0</v>
      </c>
      <c r="U783">
        <f>IFERROR($J783/IF($A783&lt;COUNTIFS($K$1:U$1,"&lt;&gt;"),0,SUMIFS($J:$J,$B:$B,$B783,$A:$A,"&gt;="&amp;COUNTIFS($K$1:U$1,"&lt;&gt;"))),0)</f>
        <v>0</v>
      </c>
      <c r="V783">
        <f>IFERROR($J783/IF($A783&lt;COUNTIFS($K$1:V$1,"&lt;&gt;"),0,SUMIFS($J:$J,$B:$B,$B783,$A:$A,"&gt;="&amp;COUNTIFS($K$1:V$1,"&lt;&gt;"))),0)</f>
        <v>0</v>
      </c>
      <c r="W783">
        <f t="shared" si="288"/>
        <v>7.6712328767123292E-2</v>
      </c>
      <c r="X783">
        <f t="shared" si="268"/>
        <v>7.6712328767123292E-2</v>
      </c>
      <c r="Y783">
        <f t="shared" si="269"/>
        <v>0</v>
      </c>
      <c r="Z783">
        <f t="shared" si="270"/>
        <v>0</v>
      </c>
      <c r="AA783">
        <f t="shared" si="271"/>
        <v>0</v>
      </c>
      <c r="AB783">
        <f t="shared" si="272"/>
        <v>0</v>
      </c>
      <c r="AC783">
        <f t="shared" si="273"/>
        <v>0</v>
      </c>
      <c r="AD783">
        <f t="shared" si="274"/>
        <v>0</v>
      </c>
      <c r="AE783">
        <f t="shared" si="275"/>
        <v>0</v>
      </c>
      <c r="AF783">
        <f t="shared" si="276"/>
        <v>0</v>
      </c>
      <c r="AG783">
        <f t="shared" si="277"/>
        <v>0</v>
      </c>
      <c r="AH783">
        <f t="shared" si="278"/>
        <v>0</v>
      </c>
      <c r="AI783">
        <f t="shared" si="279"/>
        <v>0</v>
      </c>
      <c r="AJ783" s="2" t="str">
        <f t="shared" si="289"/>
        <v>145658</v>
      </c>
    </row>
    <row r="784" spans="1:36" x14ac:dyDescent="0.25">
      <c r="A784">
        <v>2</v>
      </c>
      <c r="B784" s="1">
        <v>45658</v>
      </c>
      <c r="C784" s="1">
        <f t="shared" si="280"/>
        <v>45717</v>
      </c>
      <c r="D784" s="1">
        <f t="shared" si="281"/>
        <v>45672</v>
      </c>
      <c r="E784" s="1">
        <f t="shared" si="282"/>
        <v>45717</v>
      </c>
      <c r="F784" s="1">
        <f t="shared" si="283"/>
        <v>45748</v>
      </c>
      <c r="G784" s="1">
        <f t="shared" si="284"/>
        <v>46037</v>
      </c>
      <c r="H784">
        <f t="shared" si="285"/>
        <v>365</v>
      </c>
      <c r="I784">
        <f t="shared" si="286"/>
        <v>31</v>
      </c>
      <c r="J784">
        <f t="shared" si="287"/>
        <v>8.4931506849315067E-2</v>
      </c>
      <c r="K784">
        <f>IFERROR($J784/IF($A784&lt;COUNTIFS($K$1:K$1,"&lt;&gt;"),0,SUMIFS($J:$J,$B:$B,$B784,$A:$A,"&gt;="&amp;COUNTIFS($K$1:K$1,"&lt;&gt;"))),0)</f>
        <v>8.9080459770114959E-2</v>
      </c>
      <c r="L784">
        <f>IFERROR($J784/IF($A784&lt;COUNTIFS($K$1:L$1,"&lt;&gt;"),0,SUMIFS($J:$J,$B:$B,$B784,$A:$A,"&gt;="&amp;COUNTIFS($K$1:L$1,"&lt;&gt;"))),0)</f>
        <v>9.6875000000000017E-2</v>
      </c>
      <c r="M784">
        <f>IFERROR($J784/IF($A784&lt;COUNTIFS($K$1:M$1,"&lt;&gt;"),0,SUMIFS($J:$J,$B:$B,$B784,$A:$A,"&gt;="&amp;COUNTIFS($K$1:M$1,"&lt;&gt;"))),0)</f>
        <v>0</v>
      </c>
      <c r="N784">
        <f>IFERROR($J784/IF($A784&lt;COUNTIFS($K$1:N$1,"&lt;&gt;"),0,SUMIFS($J:$J,$B:$B,$B784,$A:$A,"&gt;="&amp;COUNTIFS($K$1:N$1,"&lt;&gt;"))),0)</f>
        <v>0</v>
      </c>
      <c r="O784">
        <f>IFERROR($J784/IF($A784&lt;COUNTIFS($K$1:O$1,"&lt;&gt;"),0,SUMIFS($J:$J,$B:$B,$B784,$A:$A,"&gt;="&amp;COUNTIFS($K$1:O$1,"&lt;&gt;"))),0)</f>
        <v>0</v>
      </c>
      <c r="P784">
        <f>IFERROR($J784/IF($A784&lt;COUNTIFS($K$1:P$1,"&lt;&gt;"),0,SUMIFS($J:$J,$B:$B,$B784,$A:$A,"&gt;="&amp;COUNTIFS($K$1:P$1,"&lt;&gt;"))),0)</f>
        <v>0</v>
      </c>
      <c r="Q784">
        <f>IFERROR($J784/IF($A784&lt;COUNTIFS($K$1:Q$1,"&lt;&gt;"),0,SUMIFS($J:$J,$B:$B,$B784,$A:$A,"&gt;="&amp;COUNTIFS($K$1:Q$1,"&lt;&gt;"))),0)</f>
        <v>0</v>
      </c>
      <c r="R784">
        <f>IFERROR($J784/IF($A784&lt;COUNTIFS($K$1:R$1,"&lt;&gt;"),0,SUMIFS($J:$J,$B:$B,$B784,$A:$A,"&gt;="&amp;COUNTIFS($K$1:R$1,"&lt;&gt;"))),0)</f>
        <v>0</v>
      </c>
      <c r="S784">
        <f>IFERROR($J784/IF($A784&lt;COUNTIFS($K$1:S$1,"&lt;&gt;"),0,SUMIFS($J:$J,$B:$B,$B784,$A:$A,"&gt;="&amp;COUNTIFS($K$1:S$1,"&lt;&gt;"))),0)</f>
        <v>0</v>
      </c>
      <c r="T784">
        <f>IFERROR($J784/IF($A784&lt;COUNTIFS($K$1:T$1,"&lt;&gt;"),0,SUMIFS($J:$J,$B:$B,$B784,$A:$A,"&gt;="&amp;COUNTIFS($K$1:T$1,"&lt;&gt;"))),0)</f>
        <v>0</v>
      </c>
      <c r="U784">
        <f>IFERROR($J784/IF($A784&lt;COUNTIFS($K$1:U$1,"&lt;&gt;"),0,SUMIFS($J:$J,$B:$B,$B784,$A:$A,"&gt;="&amp;COUNTIFS($K$1:U$1,"&lt;&gt;"))),0)</f>
        <v>0</v>
      </c>
      <c r="V784">
        <f>IFERROR($J784/IF($A784&lt;COUNTIFS($K$1:V$1,"&lt;&gt;"),0,SUMIFS($J:$J,$B:$B,$B784,$A:$A,"&gt;="&amp;COUNTIFS($K$1:V$1,"&lt;&gt;"))),0)</f>
        <v>0</v>
      </c>
      <c r="W784">
        <f t="shared" si="288"/>
        <v>8.4931506849315067E-2</v>
      </c>
      <c r="X784">
        <f t="shared" si="268"/>
        <v>8.4931506849315067E-2</v>
      </c>
      <c r="Y784">
        <f t="shared" si="269"/>
        <v>8.4931506849315067E-2</v>
      </c>
      <c r="Z784">
        <f t="shared" si="270"/>
        <v>0</v>
      </c>
      <c r="AA784">
        <f t="shared" si="271"/>
        <v>0</v>
      </c>
      <c r="AB784">
        <f t="shared" si="272"/>
        <v>0</v>
      </c>
      <c r="AC784">
        <f t="shared" si="273"/>
        <v>0</v>
      </c>
      <c r="AD784">
        <f t="shared" si="274"/>
        <v>0</v>
      </c>
      <c r="AE784">
        <f t="shared" si="275"/>
        <v>0</v>
      </c>
      <c r="AF784">
        <f t="shared" si="276"/>
        <v>0</v>
      </c>
      <c r="AG784">
        <f t="shared" si="277"/>
        <v>0</v>
      </c>
      <c r="AH784">
        <f t="shared" si="278"/>
        <v>0</v>
      </c>
      <c r="AI784">
        <f t="shared" si="279"/>
        <v>0</v>
      </c>
      <c r="AJ784" s="2" t="str">
        <f t="shared" si="289"/>
        <v>245658</v>
      </c>
    </row>
    <row r="785" spans="1:36" x14ac:dyDescent="0.25">
      <c r="A785">
        <v>3</v>
      </c>
      <c r="B785" s="1">
        <v>45658</v>
      </c>
      <c r="C785" s="1">
        <f t="shared" si="280"/>
        <v>45748</v>
      </c>
      <c r="D785" s="1">
        <f t="shared" si="281"/>
        <v>45672</v>
      </c>
      <c r="E785" s="1">
        <f t="shared" si="282"/>
        <v>45748</v>
      </c>
      <c r="F785" s="1">
        <f t="shared" si="283"/>
        <v>45778</v>
      </c>
      <c r="G785" s="1">
        <f t="shared" si="284"/>
        <v>46037</v>
      </c>
      <c r="H785">
        <f t="shared" si="285"/>
        <v>365</v>
      </c>
      <c r="I785">
        <f t="shared" si="286"/>
        <v>30</v>
      </c>
      <c r="J785">
        <f t="shared" si="287"/>
        <v>8.2191780821917804E-2</v>
      </c>
      <c r="K785">
        <f>IFERROR($J785/IF($A785&lt;COUNTIFS($K$1:K$1,"&lt;&gt;"),0,SUMIFS($J:$J,$B:$B,$B785,$A:$A,"&gt;="&amp;COUNTIFS($K$1:K$1,"&lt;&gt;"))),0)</f>
        <v>8.6206896551724144E-2</v>
      </c>
      <c r="L785">
        <f>IFERROR($J785/IF($A785&lt;COUNTIFS($K$1:L$1,"&lt;&gt;"),0,SUMIFS($J:$J,$B:$B,$B785,$A:$A,"&gt;="&amp;COUNTIFS($K$1:L$1,"&lt;&gt;"))),0)</f>
        <v>9.3750000000000014E-2</v>
      </c>
      <c r="M785">
        <f>IFERROR($J785/IF($A785&lt;COUNTIFS($K$1:M$1,"&lt;&gt;"),0,SUMIFS($J:$J,$B:$B,$B785,$A:$A,"&gt;="&amp;COUNTIFS($K$1:M$1,"&lt;&gt;"))),0)</f>
        <v>0.10380622837370243</v>
      </c>
      <c r="N785">
        <f>IFERROR($J785/IF($A785&lt;COUNTIFS($K$1:N$1,"&lt;&gt;"),0,SUMIFS($J:$J,$B:$B,$B785,$A:$A,"&gt;="&amp;COUNTIFS($K$1:N$1,"&lt;&gt;"))),0)</f>
        <v>0</v>
      </c>
      <c r="O785">
        <f>IFERROR($J785/IF($A785&lt;COUNTIFS($K$1:O$1,"&lt;&gt;"),0,SUMIFS($J:$J,$B:$B,$B785,$A:$A,"&gt;="&amp;COUNTIFS($K$1:O$1,"&lt;&gt;"))),0)</f>
        <v>0</v>
      </c>
      <c r="P785">
        <f>IFERROR($J785/IF($A785&lt;COUNTIFS($K$1:P$1,"&lt;&gt;"),0,SUMIFS($J:$J,$B:$B,$B785,$A:$A,"&gt;="&amp;COUNTIFS($K$1:P$1,"&lt;&gt;"))),0)</f>
        <v>0</v>
      </c>
      <c r="Q785">
        <f>IFERROR($J785/IF($A785&lt;COUNTIFS($K$1:Q$1,"&lt;&gt;"),0,SUMIFS($J:$J,$B:$B,$B785,$A:$A,"&gt;="&amp;COUNTIFS($K$1:Q$1,"&lt;&gt;"))),0)</f>
        <v>0</v>
      </c>
      <c r="R785">
        <f>IFERROR($J785/IF($A785&lt;COUNTIFS($K$1:R$1,"&lt;&gt;"),0,SUMIFS($J:$J,$B:$B,$B785,$A:$A,"&gt;="&amp;COUNTIFS($K$1:R$1,"&lt;&gt;"))),0)</f>
        <v>0</v>
      </c>
      <c r="S785">
        <f>IFERROR($J785/IF($A785&lt;COUNTIFS($K$1:S$1,"&lt;&gt;"),0,SUMIFS($J:$J,$B:$B,$B785,$A:$A,"&gt;="&amp;COUNTIFS($K$1:S$1,"&lt;&gt;"))),0)</f>
        <v>0</v>
      </c>
      <c r="T785">
        <f>IFERROR($J785/IF($A785&lt;COUNTIFS($K$1:T$1,"&lt;&gt;"),0,SUMIFS($J:$J,$B:$B,$B785,$A:$A,"&gt;="&amp;COUNTIFS($K$1:T$1,"&lt;&gt;"))),0)</f>
        <v>0</v>
      </c>
      <c r="U785">
        <f>IFERROR($J785/IF($A785&lt;COUNTIFS($K$1:U$1,"&lt;&gt;"),0,SUMIFS($J:$J,$B:$B,$B785,$A:$A,"&gt;="&amp;COUNTIFS($K$1:U$1,"&lt;&gt;"))),0)</f>
        <v>0</v>
      </c>
      <c r="V785">
        <f>IFERROR($J785/IF($A785&lt;COUNTIFS($K$1:V$1,"&lt;&gt;"),0,SUMIFS($J:$J,$B:$B,$B785,$A:$A,"&gt;="&amp;COUNTIFS($K$1:V$1,"&lt;&gt;"))),0)</f>
        <v>0</v>
      </c>
      <c r="W785">
        <f t="shared" si="288"/>
        <v>8.2191780821917804E-2</v>
      </c>
      <c r="X785">
        <f t="shared" si="268"/>
        <v>8.2191780821917804E-2</v>
      </c>
      <c r="Y785">
        <f t="shared" si="269"/>
        <v>8.2191780821917804E-2</v>
      </c>
      <c r="Z785">
        <f t="shared" si="270"/>
        <v>8.2191780821917804E-2</v>
      </c>
      <c r="AA785">
        <f t="shared" si="271"/>
        <v>0</v>
      </c>
      <c r="AB785">
        <f t="shared" si="272"/>
        <v>0</v>
      </c>
      <c r="AC785">
        <f t="shared" si="273"/>
        <v>0</v>
      </c>
      <c r="AD785">
        <f t="shared" si="274"/>
        <v>0</v>
      </c>
      <c r="AE785">
        <f t="shared" si="275"/>
        <v>0</v>
      </c>
      <c r="AF785">
        <f t="shared" si="276"/>
        <v>0</v>
      </c>
      <c r="AG785">
        <f t="shared" si="277"/>
        <v>0</v>
      </c>
      <c r="AH785">
        <f t="shared" si="278"/>
        <v>0</v>
      </c>
      <c r="AI785">
        <f t="shared" si="279"/>
        <v>0</v>
      </c>
      <c r="AJ785" s="2" t="str">
        <f t="shared" si="289"/>
        <v>345658</v>
      </c>
    </row>
    <row r="786" spans="1:36" x14ac:dyDescent="0.25">
      <c r="A786">
        <v>4</v>
      </c>
      <c r="B786" s="1">
        <v>45658</v>
      </c>
      <c r="C786" s="1">
        <f t="shared" si="280"/>
        <v>45778</v>
      </c>
      <c r="D786" s="1">
        <f t="shared" si="281"/>
        <v>45672</v>
      </c>
      <c r="E786" s="1">
        <f t="shared" si="282"/>
        <v>45778</v>
      </c>
      <c r="F786" s="1">
        <f t="shared" si="283"/>
        <v>45809</v>
      </c>
      <c r="G786" s="1">
        <f t="shared" si="284"/>
        <v>46037</v>
      </c>
      <c r="H786">
        <f t="shared" si="285"/>
        <v>365</v>
      </c>
      <c r="I786">
        <f t="shared" si="286"/>
        <v>31</v>
      </c>
      <c r="J786">
        <f t="shared" si="287"/>
        <v>8.4931506849315067E-2</v>
      </c>
      <c r="K786">
        <f>IFERROR($J786/IF($A786&lt;COUNTIFS($K$1:K$1,"&lt;&gt;"),0,SUMIFS($J:$J,$B:$B,$B786,$A:$A,"&gt;="&amp;COUNTIFS($K$1:K$1,"&lt;&gt;"))),0)</f>
        <v>8.9080459770114959E-2</v>
      </c>
      <c r="L786">
        <f>IFERROR($J786/IF($A786&lt;COUNTIFS($K$1:L$1,"&lt;&gt;"),0,SUMIFS($J:$J,$B:$B,$B786,$A:$A,"&gt;="&amp;COUNTIFS($K$1:L$1,"&lt;&gt;"))),0)</f>
        <v>9.6875000000000017E-2</v>
      </c>
      <c r="M786">
        <f>IFERROR($J786/IF($A786&lt;COUNTIFS($K$1:M$1,"&lt;&gt;"),0,SUMIFS($J:$J,$B:$B,$B786,$A:$A,"&gt;="&amp;COUNTIFS($K$1:M$1,"&lt;&gt;"))),0)</f>
        <v>0.10726643598615919</v>
      </c>
      <c r="N786">
        <f>IFERROR($J786/IF($A786&lt;COUNTIFS($K$1:N$1,"&lt;&gt;"),0,SUMIFS($J:$J,$B:$B,$B786,$A:$A,"&gt;="&amp;COUNTIFS($K$1:N$1,"&lt;&gt;"))),0)</f>
        <v>0.11969111969111972</v>
      </c>
      <c r="O786">
        <f>IFERROR($J786/IF($A786&lt;COUNTIFS($K$1:O$1,"&lt;&gt;"),0,SUMIFS($J:$J,$B:$B,$B786,$A:$A,"&gt;="&amp;COUNTIFS($K$1:O$1,"&lt;&gt;"))),0)</f>
        <v>0</v>
      </c>
      <c r="P786">
        <f>IFERROR($J786/IF($A786&lt;COUNTIFS($K$1:P$1,"&lt;&gt;"),0,SUMIFS($J:$J,$B:$B,$B786,$A:$A,"&gt;="&amp;COUNTIFS($K$1:P$1,"&lt;&gt;"))),0)</f>
        <v>0</v>
      </c>
      <c r="Q786">
        <f>IFERROR($J786/IF($A786&lt;COUNTIFS($K$1:Q$1,"&lt;&gt;"),0,SUMIFS($J:$J,$B:$B,$B786,$A:$A,"&gt;="&amp;COUNTIFS($K$1:Q$1,"&lt;&gt;"))),0)</f>
        <v>0</v>
      </c>
      <c r="R786">
        <f>IFERROR($J786/IF($A786&lt;COUNTIFS($K$1:R$1,"&lt;&gt;"),0,SUMIFS($J:$J,$B:$B,$B786,$A:$A,"&gt;="&amp;COUNTIFS($K$1:R$1,"&lt;&gt;"))),0)</f>
        <v>0</v>
      </c>
      <c r="S786">
        <f>IFERROR($J786/IF($A786&lt;COUNTIFS($K$1:S$1,"&lt;&gt;"),0,SUMIFS($J:$J,$B:$B,$B786,$A:$A,"&gt;="&amp;COUNTIFS($K$1:S$1,"&lt;&gt;"))),0)</f>
        <v>0</v>
      </c>
      <c r="T786">
        <f>IFERROR($J786/IF($A786&lt;COUNTIFS($K$1:T$1,"&lt;&gt;"),0,SUMIFS($J:$J,$B:$B,$B786,$A:$A,"&gt;="&amp;COUNTIFS($K$1:T$1,"&lt;&gt;"))),0)</f>
        <v>0</v>
      </c>
      <c r="U786">
        <f>IFERROR($J786/IF($A786&lt;COUNTIFS($K$1:U$1,"&lt;&gt;"),0,SUMIFS($J:$J,$B:$B,$B786,$A:$A,"&gt;="&amp;COUNTIFS($K$1:U$1,"&lt;&gt;"))),0)</f>
        <v>0</v>
      </c>
      <c r="V786">
        <f>IFERROR($J786/IF($A786&lt;COUNTIFS($K$1:V$1,"&lt;&gt;"),0,SUMIFS($J:$J,$B:$B,$B786,$A:$A,"&gt;="&amp;COUNTIFS($K$1:V$1,"&lt;&gt;"))),0)</f>
        <v>0</v>
      </c>
      <c r="W786">
        <f t="shared" si="288"/>
        <v>8.4931506849315067E-2</v>
      </c>
      <c r="X786">
        <f t="shared" si="268"/>
        <v>8.4931506849315067E-2</v>
      </c>
      <c r="Y786">
        <f t="shared" si="269"/>
        <v>8.4931506849315067E-2</v>
      </c>
      <c r="Z786">
        <f t="shared" si="270"/>
        <v>8.4931506849315067E-2</v>
      </c>
      <c r="AA786">
        <f t="shared" si="271"/>
        <v>8.4931506849315067E-2</v>
      </c>
      <c r="AB786">
        <f t="shared" si="272"/>
        <v>0</v>
      </c>
      <c r="AC786">
        <f t="shared" si="273"/>
        <v>0</v>
      </c>
      <c r="AD786">
        <f t="shared" si="274"/>
        <v>0</v>
      </c>
      <c r="AE786">
        <f t="shared" si="275"/>
        <v>0</v>
      </c>
      <c r="AF786">
        <f t="shared" si="276"/>
        <v>0</v>
      </c>
      <c r="AG786">
        <f t="shared" si="277"/>
        <v>0</v>
      </c>
      <c r="AH786">
        <f t="shared" si="278"/>
        <v>0</v>
      </c>
      <c r="AI786">
        <f t="shared" si="279"/>
        <v>0</v>
      </c>
      <c r="AJ786" s="2" t="str">
        <f t="shared" si="289"/>
        <v>445658</v>
      </c>
    </row>
    <row r="787" spans="1:36" x14ac:dyDescent="0.25">
      <c r="A787">
        <v>5</v>
      </c>
      <c r="B787" s="1">
        <v>45658</v>
      </c>
      <c r="C787" s="1">
        <f t="shared" si="280"/>
        <v>45809</v>
      </c>
      <c r="D787" s="1">
        <f t="shared" si="281"/>
        <v>45672</v>
      </c>
      <c r="E787" s="1">
        <f t="shared" si="282"/>
        <v>45809</v>
      </c>
      <c r="F787" s="1">
        <f t="shared" si="283"/>
        <v>45839</v>
      </c>
      <c r="G787" s="1">
        <f t="shared" si="284"/>
        <v>46037</v>
      </c>
      <c r="H787">
        <f t="shared" si="285"/>
        <v>365</v>
      </c>
      <c r="I787">
        <f t="shared" si="286"/>
        <v>30</v>
      </c>
      <c r="J787">
        <f t="shared" si="287"/>
        <v>8.2191780821917804E-2</v>
      </c>
      <c r="K787">
        <f>IFERROR($J787/IF($A787&lt;COUNTIFS($K$1:K$1,"&lt;&gt;"),0,SUMIFS($J:$J,$B:$B,$B787,$A:$A,"&gt;="&amp;COUNTIFS($K$1:K$1,"&lt;&gt;"))),0)</f>
        <v>8.6206896551724144E-2</v>
      </c>
      <c r="L787">
        <f>IFERROR($J787/IF($A787&lt;COUNTIFS($K$1:L$1,"&lt;&gt;"),0,SUMIFS($J:$J,$B:$B,$B787,$A:$A,"&gt;="&amp;COUNTIFS($K$1:L$1,"&lt;&gt;"))),0)</f>
        <v>9.3750000000000014E-2</v>
      </c>
      <c r="M787">
        <f>IFERROR($J787/IF($A787&lt;COUNTIFS($K$1:M$1,"&lt;&gt;"),0,SUMIFS($J:$J,$B:$B,$B787,$A:$A,"&gt;="&amp;COUNTIFS($K$1:M$1,"&lt;&gt;"))),0)</f>
        <v>0.10380622837370243</v>
      </c>
      <c r="N787">
        <f>IFERROR($J787/IF($A787&lt;COUNTIFS($K$1:N$1,"&lt;&gt;"),0,SUMIFS($J:$J,$B:$B,$B787,$A:$A,"&gt;="&amp;COUNTIFS($K$1:N$1,"&lt;&gt;"))),0)</f>
        <v>0.11583011583011585</v>
      </c>
      <c r="O787">
        <f>IFERROR($J787/IF($A787&lt;COUNTIFS($K$1:O$1,"&lt;&gt;"),0,SUMIFS($J:$J,$B:$B,$B787,$A:$A,"&gt;="&amp;COUNTIFS($K$1:O$1,"&lt;&gt;"))),0)</f>
        <v>0.13157894736842107</v>
      </c>
      <c r="P787">
        <f>IFERROR($J787/IF($A787&lt;COUNTIFS($K$1:P$1,"&lt;&gt;"),0,SUMIFS($J:$J,$B:$B,$B787,$A:$A,"&gt;="&amp;COUNTIFS($K$1:P$1,"&lt;&gt;"))),0)</f>
        <v>0</v>
      </c>
      <c r="Q787">
        <f>IFERROR($J787/IF($A787&lt;COUNTIFS($K$1:Q$1,"&lt;&gt;"),0,SUMIFS($J:$J,$B:$B,$B787,$A:$A,"&gt;="&amp;COUNTIFS($K$1:Q$1,"&lt;&gt;"))),0)</f>
        <v>0</v>
      </c>
      <c r="R787">
        <f>IFERROR($J787/IF($A787&lt;COUNTIFS($K$1:R$1,"&lt;&gt;"),0,SUMIFS($J:$J,$B:$B,$B787,$A:$A,"&gt;="&amp;COUNTIFS($K$1:R$1,"&lt;&gt;"))),0)</f>
        <v>0</v>
      </c>
      <c r="S787">
        <f>IFERROR($J787/IF($A787&lt;COUNTIFS($K$1:S$1,"&lt;&gt;"),0,SUMIFS($J:$J,$B:$B,$B787,$A:$A,"&gt;="&amp;COUNTIFS($K$1:S$1,"&lt;&gt;"))),0)</f>
        <v>0</v>
      </c>
      <c r="T787">
        <f>IFERROR($J787/IF($A787&lt;COUNTIFS($K$1:T$1,"&lt;&gt;"),0,SUMIFS($J:$J,$B:$B,$B787,$A:$A,"&gt;="&amp;COUNTIFS($K$1:T$1,"&lt;&gt;"))),0)</f>
        <v>0</v>
      </c>
      <c r="U787">
        <f>IFERROR($J787/IF($A787&lt;COUNTIFS($K$1:U$1,"&lt;&gt;"),0,SUMIFS($J:$J,$B:$B,$B787,$A:$A,"&gt;="&amp;COUNTIFS($K$1:U$1,"&lt;&gt;"))),0)</f>
        <v>0</v>
      </c>
      <c r="V787">
        <f>IFERROR($J787/IF($A787&lt;COUNTIFS($K$1:V$1,"&lt;&gt;"),0,SUMIFS($J:$J,$B:$B,$B787,$A:$A,"&gt;="&amp;COUNTIFS($K$1:V$1,"&lt;&gt;"))),0)</f>
        <v>0</v>
      </c>
      <c r="W787">
        <f t="shared" si="288"/>
        <v>8.2191780821917804E-2</v>
      </c>
      <c r="X787">
        <f t="shared" si="268"/>
        <v>8.2191780821917804E-2</v>
      </c>
      <c r="Y787">
        <f t="shared" si="269"/>
        <v>8.2191780821917804E-2</v>
      </c>
      <c r="Z787">
        <f t="shared" si="270"/>
        <v>8.2191780821917804E-2</v>
      </c>
      <c r="AA787">
        <f t="shared" si="271"/>
        <v>8.2191780821917804E-2</v>
      </c>
      <c r="AB787">
        <f t="shared" si="272"/>
        <v>8.2191780821917804E-2</v>
      </c>
      <c r="AC787">
        <f t="shared" si="273"/>
        <v>0</v>
      </c>
      <c r="AD787">
        <f t="shared" si="274"/>
        <v>0</v>
      </c>
      <c r="AE787">
        <f t="shared" si="275"/>
        <v>0</v>
      </c>
      <c r="AF787">
        <f t="shared" si="276"/>
        <v>0</v>
      </c>
      <c r="AG787">
        <f t="shared" si="277"/>
        <v>0</v>
      </c>
      <c r="AH787">
        <f t="shared" si="278"/>
        <v>0</v>
      </c>
      <c r="AI787">
        <f t="shared" si="279"/>
        <v>0</v>
      </c>
      <c r="AJ787" s="2" t="str">
        <f t="shared" si="289"/>
        <v>545658</v>
      </c>
    </row>
    <row r="788" spans="1:36" x14ac:dyDescent="0.25">
      <c r="A788">
        <v>6</v>
      </c>
      <c r="B788" s="1">
        <v>45658</v>
      </c>
      <c r="C788" s="1">
        <f t="shared" si="280"/>
        <v>45839</v>
      </c>
      <c r="D788" s="1">
        <f t="shared" si="281"/>
        <v>45672</v>
      </c>
      <c r="E788" s="1">
        <f t="shared" si="282"/>
        <v>45839</v>
      </c>
      <c r="F788" s="1">
        <f t="shared" si="283"/>
        <v>45870</v>
      </c>
      <c r="G788" s="1">
        <f t="shared" si="284"/>
        <v>46037</v>
      </c>
      <c r="H788">
        <f t="shared" si="285"/>
        <v>365</v>
      </c>
      <c r="I788">
        <f t="shared" si="286"/>
        <v>31</v>
      </c>
      <c r="J788">
        <f t="shared" si="287"/>
        <v>8.4931506849315067E-2</v>
      </c>
      <c r="K788">
        <f>IFERROR($J788/IF($A788&lt;COUNTIFS($K$1:K$1,"&lt;&gt;"),0,SUMIFS($J:$J,$B:$B,$B788,$A:$A,"&gt;="&amp;COUNTIFS($K$1:K$1,"&lt;&gt;"))),0)</f>
        <v>8.9080459770114959E-2</v>
      </c>
      <c r="L788">
        <f>IFERROR($J788/IF($A788&lt;COUNTIFS($K$1:L$1,"&lt;&gt;"),0,SUMIFS($J:$J,$B:$B,$B788,$A:$A,"&gt;="&amp;COUNTIFS($K$1:L$1,"&lt;&gt;"))),0)</f>
        <v>9.6875000000000017E-2</v>
      </c>
      <c r="M788">
        <f>IFERROR($J788/IF($A788&lt;COUNTIFS($K$1:M$1,"&lt;&gt;"),0,SUMIFS($J:$J,$B:$B,$B788,$A:$A,"&gt;="&amp;COUNTIFS($K$1:M$1,"&lt;&gt;"))),0)</f>
        <v>0.10726643598615919</v>
      </c>
      <c r="N788">
        <f>IFERROR($J788/IF($A788&lt;COUNTIFS($K$1:N$1,"&lt;&gt;"),0,SUMIFS($J:$J,$B:$B,$B788,$A:$A,"&gt;="&amp;COUNTIFS($K$1:N$1,"&lt;&gt;"))),0)</f>
        <v>0.11969111969111972</v>
      </c>
      <c r="O788">
        <f>IFERROR($J788/IF($A788&lt;COUNTIFS($K$1:O$1,"&lt;&gt;"),0,SUMIFS($J:$J,$B:$B,$B788,$A:$A,"&gt;="&amp;COUNTIFS($K$1:O$1,"&lt;&gt;"))),0)</f>
        <v>0.13596491228070179</v>
      </c>
      <c r="P788">
        <f>IFERROR($J788/IF($A788&lt;COUNTIFS($K$1:P$1,"&lt;&gt;"),0,SUMIFS($J:$J,$B:$B,$B788,$A:$A,"&gt;="&amp;COUNTIFS($K$1:P$1,"&lt;&gt;"))),0)</f>
        <v>0.1565656565656566</v>
      </c>
      <c r="Q788">
        <f>IFERROR($J788/IF($A788&lt;COUNTIFS($K$1:Q$1,"&lt;&gt;"),0,SUMIFS($J:$J,$B:$B,$B788,$A:$A,"&gt;="&amp;COUNTIFS($K$1:Q$1,"&lt;&gt;"))),0)</f>
        <v>0</v>
      </c>
      <c r="R788">
        <f>IFERROR($J788/IF($A788&lt;COUNTIFS($K$1:R$1,"&lt;&gt;"),0,SUMIFS($J:$J,$B:$B,$B788,$A:$A,"&gt;="&amp;COUNTIFS($K$1:R$1,"&lt;&gt;"))),0)</f>
        <v>0</v>
      </c>
      <c r="S788">
        <f>IFERROR($J788/IF($A788&lt;COUNTIFS($K$1:S$1,"&lt;&gt;"),0,SUMIFS($J:$J,$B:$B,$B788,$A:$A,"&gt;="&amp;COUNTIFS($K$1:S$1,"&lt;&gt;"))),0)</f>
        <v>0</v>
      </c>
      <c r="T788">
        <f>IFERROR($J788/IF($A788&lt;COUNTIFS($K$1:T$1,"&lt;&gt;"),0,SUMIFS($J:$J,$B:$B,$B788,$A:$A,"&gt;="&amp;COUNTIFS($K$1:T$1,"&lt;&gt;"))),0)</f>
        <v>0</v>
      </c>
      <c r="U788">
        <f>IFERROR($J788/IF($A788&lt;COUNTIFS($K$1:U$1,"&lt;&gt;"),0,SUMIFS($J:$J,$B:$B,$B788,$A:$A,"&gt;="&amp;COUNTIFS($K$1:U$1,"&lt;&gt;"))),0)</f>
        <v>0</v>
      </c>
      <c r="V788">
        <f>IFERROR($J788/IF($A788&lt;COUNTIFS($K$1:V$1,"&lt;&gt;"),0,SUMIFS($J:$J,$B:$B,$B788,$A:$A,"&gt;="&amp;COUNTIFS($K$1:V$1,"&lt;&gt;"))),0)</f>
        <v>0</v>
      </c>
      <c r="W788">
        <f t="shared" si="288"/>
        <v>8.4931506849315067E-2</v>
      </c>
      <c r="X788">
        <f t="shared" si="268"/>
        <v>8.4931506849315067E-2</v>
      </c>
      <c r="Y788">
        <f t="shared" si="269"/>
        <v>8.4931506849315067E-2</v>
      </c>
      <c r="Z788">
        <f t="shared" si="270"/>
        <v>8.4931506849315067E-2</v>
      </c>
      <c r="AA788">
        <f t="shared" si="271"/>
        <v>8.4931506849315067E-2</v>
      </c>
      <c r="AB788">
        <f t="shared" si="272"/>
        <v>8.4931506849315067E-2</v>
      </c>
      <c r="AC788">
        <f t="shared" si="273"/>
        <v>8.4931506849315067E-2</v>
      </c>
      <c r="AD788">
        <f t="shared" si="274"/>
        <v>0</v>
      </c>
      <c r="AE788">
        <f t="shared" si="275"/>
        <v>0</v>
      </c>
      <c r="AF788">
        <f t="shared" si="276"/>
        <v>0</v>
      </c>
      <c r="AG788">
        <f t="shared" si="277"/>
        <v>0</v>
      </c>
      <c r="AH788">
        <f t="shared" si="278"/>
        <v>0</v>
      </c>
      <c r="AI788">
        <f t="shared" si="279"/>
        <v>0</v>
      </c>
      <c r="AJ788" s="2" t="str">
        <f t="shared" si="289"/>
        <v>645658</v>
      </c>
    </row>
    <row r="789" spans="1:36" x14ac:dyDescent="0.25">
      <c r="A789">
        <v>7</v>
      </c>
      <c r="B789" s="1">
        <v>45658</v>
      </c>
      <c r="C789" s="1">
        <f t="shared" si="280"/>
        <v>45870</v>
      </c>
      <c r="D789" s="1">
        <f t="shared" si="281"/>
        <v>45672</v>
      </c>
      <c r="E789" s="1">
        <f t="shared" si="282"/>
        <v>45870</v>
      </c>
      <c r="F789" s="1">
        <f t="shared" si="283"/>
        <v>45901</v>
      </c>
      <c r="G789" s="1">
        <f t="shared" si="284"/>
        <v>46037</v>
      </c>
      <c r="H789">
        <f t="shared" si="285"/>
        <v>365</v>
      </c>
      <c r="I789">
        <f t="shared" si="286"/>
        <v>31</v>
      </c>
      <c r="J789">
        <f t="shared" si="287"/>
        <v>8.4931506849315067E-2</v>
      </c>
      <c r="K789">
        <f>IFERROR($J789/IF($A789&lt;COUNTIFS($K$1:K$1,"&lt;&gt;"),0,SUMIFS($J:$J,$B:$B,$B789,$A:$A,"&gt;="&amp;COUNTIFS($K$1:K$1,"&lt;&gt;"))),0)</f>
        <v>8.9080459770114959E-2</v>
      </c>
      <c r="L789">
        <f>IFERROR($J789/IF($A789&lt;COUNTIFS($K$1:L$1,"&lt;&gt;"),0,SUMIFS($J:$J,$B:$B,$B789,$A:$A,"&gt;="&amp;COUNTIFS($K$1:L$1,"&lt;&gt;"))),0)</f>
        <v>9.6875000000000017E-2</v>
      </c>
      <c r="M789">
        <f>IFERROR($J789/IF($A789&lt;COUNTIFS($K$1:M$1,"&lt;&gt;"),0,SUMIFS($J:$J,$B:$B,$B789,$A:$A,"&gt;="&amp;COUNTIFS($K$1:M$1,"&lt;&gt;"))),0)</f>
        <v>0.10726643598615919</v>
      </c>
      <c r="N789">
        <f>IFERROR($J789/IF($A789&lt;COUNTIFS($K$1:N$1,"&lt;&gt;"),0,SUMIFS($J:$J,$B:$B,$B789,$A:$A,"&gt;="&amp;COUNTIFS($K$1:N$1,"&lt;&gt;"))),0)</f>
        <v>0.11969111969111972</v>
      </c>
      <c r="O789">
        <f>IFERROR($J789/IF($A789&lt;COUNTIFS($K$1:O$1,"&lt;&gt;"),0,SUMIFS($J:$J,$B:$B,$B789,$A:$A,"&gt;="&amp;COUNTIFS($K$1:O$1,"&lt;&gt;"))),0)</f>
        <v>0.13596491228070179</v>
      </c>
      <c r="P789">
        <f>IFERROR($J789/IF($A789&lt;COUNTIFS($K$1:P$1,"&lt;&gt;"),0,SUMIFS($J:$J,$B:$B,$B789,$A:$A,"&gt;="&amp;COUNTIFS($K$1:P$1,"&lt;&gt;"))),0)</f>
        <v>0.1565656565656566</v>
      </c>
      <c r="Q789">
        <f>IFERROR($J789/IF($A789&lt;COUNTIFS($K$1:Q$1,"&lt;&gt;"),0,SUMIFS($J:$J,$B:$B,$B789,$A:$A,"&gt;="&amp;COUNTIFS($K$1:Q$1,"&lt;&gt;"))),0)</f>
        <v>0.18562874251497008</v>
      </c>
      <c r="R789">
        <f>IFERROR($J789/IF($A789&lt;COUNTIFS($K$1:R$1,"&lt;&gt;"),0,SUMIFS($J:$J,$B:$B,$B789,$A:$A,"&gt;="&amp;COUNTIFS($K$1:R$1,"&lt;&gt;"))),0)</f>
        <v>0</v>
      </c>
      <c r="S789">
        <f>IFERROR($J789/IF($A789&lt;COUNTIFS($K$1:S$1,"&lt;&gt;"),0,SUMIFS($J:$J,$B:$B,$B789,$A:$A,"&gt;="&amp;COUNTIFS($K$1:S$1,"&lt;&gt;"))),0)</f>
        <v>0</v>
      </c>
      <c r="T789">
        <f>IFERROR($J789/IF($A789&lt;COUNTIFS($K$1:T$1,"&lt;&gt;"),0,SUMIFS($J:$J,$B:$B,$B789,$A:$A,"&gt;="&amp;COUNTIFS($K$1:T$1,"&lt;&gt;"))),0)</f>
        <v>0</v>
      </c>
      <c r="U789">
        <f>IFERROR($J789/IF($A789&lt;COUNTIFS($K$1:U$1,"&lt;&gt;"),0,SUMIFS($J:$J,$B:$B,$B789,$A:$A,"&gt;="&amp;COUNTIFS($K$1:U$1,"&lt;&gt;"))),0)</f>
        <v>0</v>
      </c>
      <c r="V789">
        <f>IFERROR($J789/IF($A789&lt;COUNTIFS($K$1:V$1,"&lt;&gt;"),0,SUMIFS($J:$J,$B:$B,$B789,$A:$A,"&gt;="&amp;COUNTIFS($K$1:V$1,"&lt;&gt;"))),0)</f>
        <v>0</v>
      </c>
      <c r="W789">
        <f t="shared" si="288"/>
        <v>8.4931506849315067E-2</v>
      </c>
      <c r="X789">
        <f t="shared" si="268"/>
        <v>8.4931506849315067E-2</v>
      </c>
      <c r="Y789">
        <f t="shared" si="269"/>
        <v>8.4931506849315067E-2</v>
      </c>
      <c r="Z789">
        <f t="shared" si="270"/>
        <v>8.4931506849315067E-2</v>
      </c>
      <c r="AA789">
        <f t="shared" si="271"/>
        <v>8.4931506849315067E-2</v>
      </c>
      <c r="AB789">
        <f t="shared" si="272"/>
        <v>8.4931506849315067E-2</v>
      </c>
      <c r="AC789">
        <f t="shared" si="273"/>
        <v>8.4931506849315067E-2</v>
      </c>
      <c r="AD789">
        <f t="shared" si="274"/>
        <v>8.4931506849315067E-2</v>
      </c>
      <c r="AE789">
        <f t="shared" si="275"/>
        <v>0</v>
      </c>
      <c r="AF789">
        <f t="shared" si="276"/>
        <v>0</v>
      </c>
      <c r="AG789">
        <f t="shared" si="277"/>
        <v>0</v>
      </c>
      <c r="AH789">
        <f t="shared" si="278"/>
        <v>0</v>
      </c>
      <c r="AI789">
        <f t="shared" si="279"/>
        <v>0</v>
      </c>
      <c r="AJ789" s="2" t="str">
        <f t="shared" si="289"/>
        <v>745658</v>
      </c>
    </row>
    <row r="790" spans="1:36" x14ac:dyDescent="0.25">
      <c r="A790">
        <v>8</v>
      </c>
      <c r="B790" s="1">
        <v>45658</v>
      </c>
      <c r="C790" s="1">
        <f t="shared" si="280"/>
        <v>45901</v>
      </c>
      <c r="D790" s="1">
        <f t="shared" si="281"/>
        <v>45672</v>
      </c>
      <c r="E790" s="1">
        <f t="shared" si="282"/>
        <v>45901</v>
      </c>
      <c r="F790" s="1">
        <f t="shared" si="283"/>
        <v>45931</v>
      </c>
      <c r="G790" s="1">
        <f t="shared" si="284"/>
        <v>46037</v>
      </c>
      <c r="H790">
        <f t="shared" si="285"/>
        <v>365</v>
      </c>
      <c r="I790">
        <f t="shared" si="286"/>
        <v>30</v>
      </c>
      <c r="J790">
        <f t="shared" si="287"/>
        <v>8.2191780821917804E-2</v>
      </c>
      <c r="K790">
        <f>IFERROR($J790/IF($A790&lt;COUNTIFS($K$1:K$1,"&lt;&gt;"),0,SUMIFS($J:$J,$B:$B,$B790,$A:$A,"&gt;="&amp;COUNTIFS($K$1:K$1,"&lt;&gt;"))),0)</f>
        <v>8.6206896551724144E-2</v>
      </c>
      <c r="L790">
        <f>IFERROR($J790/IF($A790&lt;COUNTIFS($K$1:L$1,"&lt;&gt;"),0,SUMIFS($J:$J,$B:$B,$B790,$A:$A,"&gt;="&amp;COUNTIFS($K$1:L$1,"&lt;&gt;"))),0)</f>
        <v>9.3750000000000014E-2</v>
      </c>
      <c r="M790">
        <f>IFERROR($J790/IF($A790&lt;COUNTIFS($K$1:M$1,"&lt;&gt;"),0,SUMIFS($J:$J,$B:$B,$B790,$A:$A,"&gt;="&amp;COUNTIFS($K$1:M$1,"&lt;&gt;"))),0)</f>
        <v>0.10380622837370243</v>
      </c>
      <c r="N790">
        <f>IFERROR($J790/IF($A790&lt;COUNTIFS($K$1:N$1,"&lt;&gt;"),0,SUMIFS($J:$J,$B:$B,$B790,$A:$A,"&gt;="&amp;COUNTIFS($K$1:N$1,"&lt;&gt;"))),0)</f>
        <v>0.11583011583011585</v>
      </c>
      <c r="O790">
        <f>IFERROR($J790/IF($A790&lt;COUNTIFS($K$1:O$1,"&lt;&gt;"),0,SUMIFS($J:$J,$B:$B,$B790,$A:$A,"&gt;="&amp;COUNTIFS($K$1:O$1,"&lt;&gt;"))),0)</f>
        <v>0.13157894736842107</v>
      </c>
      <c r="P790">
        <f>IFERROR($J790/IF($A790&lt;COUNTIFS($K$1:P$1,"&lt;&gt;"),0,SUMIFS($J:$J,$B:$B,$B790,$A:$A,"&gt;="&amp;COUNTIFS($K$1:P$1,"&lt;&gt;"))),0)</f>
        <v>0.15151515151515155</v>
      </c>
      <c r="Q790">
        <f>IFERROR($J790/IF($A790&lt;COUNTIFS($K$1:Q$1,"&lt;&gt;"),0,SUMIFS($J:$J,$B:$B,$B790,$A:$A,"&gt;="&amp;COUNTIFS($K$1:Q$1,"&lt;&gt;"))),0)</f>
        <v>0.17964071856287425</v>
      </c>
      <c r="R790">
        <f>IFERROR($J790/IF($A790&lt;COUNTIFS($K$1:R$1,"&lt;&gt;"),0,SUMIFS($J:$J,$B:$B,$B790,$A:$A,"&gt;="&amp;COUNTIFS($K$1:R$1,"&lt;&gt;"))),0)</f>
        <v>0.22058823529411764</v>
      </c>
      <c r="S790">
        <f>IFERROR($J790/IF($A790&lt;COUNTIFS($K$1:S$1,"&lt;&gt;"),0,SUMIFS($J:$J,$B:$B,$B790,$A:$A,"&gt;="&amp;COUNTIFS($K$1:S$1,"&lt;&gt;"))),0)</f>
        <v>0</v>
      </c>
      <c r="T790">
        <f>IFERROR($J790/IF($A790&lt;COUNTIFS($K$1:T$1,"&lt;&gt;"),0,SUMIFS($J:$J,$B:$B,$B790,$A:$A,"&gt;="&amp;COUNTIFS($K$1:T$1,"&lt;&gt;"))),0)</f>
        <v>0</v>
      </c>
      <c r="U790">
        <f>IFERROR($J790/IF($A790&lt;COUNTIFS($K$1:U$1,"&lt;&gt;"),0,SUMIFS($J:$J,$B:$B,$B790,$A:$A,"&gt;="&amp;COUNTIFS($K$1:U$1,"&lt;&gt;"))),0)</f>
        <v>0</v>
      </c>
      <c r="V790">
        <f>IFERROR($J790/IF($A790&lt;COUNTIFS($K$1:V$1,"&lt;&gt;"),0,SUMIFS($J:$J,$B:$B,$B790,$A:$A,"&gt;="&amp;COUNTIFS($K$1:V$1,"&lt;&gt;"))),0)</f>
        <v>0</v>
      </c>
      <c r="W790">
        <f t="shared" si="288"/>
        <v>8.2191780821917804E-2</v>
      </c>
      <c r="X790">
        <f t="shared" si="268"/>
        <v>8.2191780821917804E-2</v>
      </c>
      <c r="Y790">
        <f t="shared" si="269"/>
        <v>8.2191780821917804E-2</v>
      </c>
      <c r="Z790">
        <f t="shared" si="270"/>
        <v>8.2191780821917804E-2</v>
      </c>
      <c r="AA790">
        <f t="shared" si="271"/>
        <v>8.2191780821917804E-2</v>
      </c>
      <c r="AB790">
        <f t="shared" si="272"/>
        <v>8.2191780821917804E-2</v>
      </c>
      <c r="AC790">
        <f t="shared" si="273"/>
        <v>8.2191780821917804E-2</v>
      </c>
      <c r="AD790">
        <f t="shared" si="274"/>
        <v>8.2191780821917804E-2</v>
      </c>
      <c r="AE790">
        <f t="shared" si="275"/>
        <v>8.2191780821917804E-2</v>
      </c>
      <c r="AF790">
        <f t="shared" si="276"/>
        <v>0</v>
      </c>
      <c r="AG790">
        <f t="shared" si="277"/>
        <v>0</v>
      </c>
      <c r="AH790">
        <f t="shared" si="278"/>
        <v>0</v>
      </c>
      <c r="AI790">
        <f t="shared" si="279"/>
        <v>0</v>
      </c>
      <c r="AJ790" s="2" t="str">
        <f t="shared" si="289"/>
        <v>845658</v>
      </c>
    </row>
    <row r="791" spans="1:36" x14ac:dyDescent="0.25">
      <c r="A791">
        <v>9</v>
      </c>
      <c r="B791" s="1">
        <v>45658</v>
      </c>
      <c r="C791" s="1">
        <f t="shared" si="280"/>
        <v>45931</v>
      </c>
      <c r="D791" s="1">
        <f t="shared" si="281"/>
        <v>45672</v>
      </c>
      <c r="E791" s="1">
        <f t="shared" si="282"/>
        <v>45931</v>
      </c>
      <c r="F791" s="1">
        <f t="shared" si="283"/>
        <v>45962</v>
      </c>
      <c r="G791" s="1">
        <f t="shared" si="284"/>
        <v>46037</v>
      </c>
      <c r="H791">
        <f t="shared" si="285"/>
        <v>365</v>
      </c>
      <c r="I791">
        <f t="shared" si="286"/>
        <v>31</v>
      </c>
      <c r="J791">
        <f t="shared" si="287"/>
        <v>8.4931506849315067E-2</v>
      </c>
      <c r="K791">
        <f>IFERROR($J791/IF($A791&lt;COUNTIFS($K$1:K$1,"&lt;&gt;"),0,SUMIFS($J:$J,$B:$B,$B791,$A:$A,"&gt;="&amp;COUNTIFS($K$1:K$1,"&lt;&gt;"))),0)</f>
        <v>8.9080459770114959E-2</v>
      </c>
      <c r="L791">
        <f>IFERROR($J791/IF($A791&lt;COUNTIFS($K$1:L$1,"&lt;&gt;"),0,SUMIFS($J:$J,$B:$B,$B791,$A:$A,"&gt;="&amp;COUNTIFS($K$1:L$1,"&lt;&gt;"))),0)</f>
        <v>9.6875000000000017E-2</v>
      </c>
      <c r="M791">
        <f>IFERROR($J791/IF($A791&lt;COUNTIFS($K$1:M$1,"&lt;&gt;"),0,SUMIFS($J:$J,$B:$B,$B791,$A:$A,"&gt;="&amp;COUNTIFS($K$1:M$1,"&lt;&gt;"))),0)</f>
        <v>0.10726643598615919</v>
      </c>
      <c r="N791">
        <f>IFERROR($J791/IF($A791&lt;COUNTIFS($K$1:N$1,"&lt;&gt;"),0,SUMIFS($J:$J,$B:$B,$B791,$A:$A,"&gt;="&amp;COUNTIFS($K$1:N$1,"&lt;&gt;"))),0)</f>
        <v>0.11969111969111972</v>
      </c>
      <c r="O791">
        <f>IFERROR($J791/IF($A791&lt;COUNTIFS($K$1:O$1,"&lt;&gt;"),0,SUMIFS($J:$J,$B:$B,$B791,$A:$A,"&gt;="&amp;COUNTIFS($K$1:O$1,"&lt;&gt;"))),0)</f>
        <v>0.13596491228070179</v>
      </c>
      <c r="P791">
        <f>IFERROR($J791/IF($A791&lt;COUNTIFS($K$1:P$1,"&lt;&gt;"),0,SUMIFS($J:$J,$B:$B,$B791,$A:$A,"&gt;="&amp;COUNTIFS($K$1:P$1,"&lt;&gt;"))),0)</f>
        <v>0.1565656565656566</v>
      </c>
      <c r="Q791">
        <f>IFERROR($J791/IF($A791&lt;COUNTIFS($K$1:Q$1,"&lt;&gt;"),0,SUMIFS($J:$J,$B:$B,$B791,$A:$A,"&gt;="&amp;COUNTIFS($K$1:Q$1,"&lt;&gt;"))),0)</f>
        <v>0.18562874251497008</v>
      </c>
      <c r="R791">
        <f>IFERROR($J791/IF($A791&lt;COUNTIFS($K$1:R$1,"&lt;&gt;"),0,SUMIFS($J:$J,$B:$B,$B791,$A:$A,"&gt;="&amp;COUNTIFS($K$1:R$1,"&lt;&gt;"))),0)</f>
        <v>0.22794117647058826</v>
      </c>
      <c r="S791">
        <f>IFERROR($J791/IF($A791&lt;COUNTIFS($K$1:S$1,"&lt;&gt;"),0,SUMIFS($J:$J,$B:$B,$B791,$A:$A,"&gt;="&amp;COUNTIFS($K$1:S$1,"&lt;&gt;"))),0)</f>
        <v>0.29245283018867929</v>
      </c>
      <c r="T791">
        <f>IFERROR($J791/IF($A791&lt;COUNTIFS($K$1:T$1,"&lt;&gt;"),0,SUMIFS($J:$J,$B:$B,$B791,$A:$A,"&gt;="&amp;COUNTIFS($K$1:T$1,"&lt;&gt;"))),0)</f>
        <v>0</v>
      </c>
      <c r="U791">
        <f>IFERROR($J791/IF($A791&lt;COUNTIFS($K$1:U$1,"&lt;&gt;"),0,SUMIFS($J:$J,$B:$B,$B791,$A:$A,"&gt;="&amp;COUNTIFS($K$1:U$1,"&lt;&gt;"))),0)</f>
        <v>0</v>
      </c>
      <c r="V791">
        <f>IFERROR($J791/IF($A791&lt;COUNTIFS($K$1:V$1,"&lt;&gt;"),0,SUMIFS($J:$J,$B:$B,$B791,$A:$A,"&gt;="&amp;COUNTIFS($K$1:V$1,"&lt;&gt;"))),0)</f>
        <v>0</v>
      </c>
      <c r="W791">
        <f t="shared" si="288"/>
        <v>8.4931506849315067E-2</v>
      </c>
      <c r="X791">
        <f t="shared" si="268"/>
        <v>8.4931506849315067E-2</v>
      </c>
      <c r="Y791">
        <f t="shared" si="269"/>
        <v>8.4931506849315067E-2</v>
      </c>
      <c r="Z791">
        <f t="shared" si="270"/>
        <v>8.4931506849315067E-2</v>
      </c>
      <c r="AA791">
        <f t="shared" si="271"/>
        <v>8.4931506849315067E-2</v>
      </c>
      <c r="AB791">
        <f t="shared" si="272"/>
        <v>8.4931506849315067E-2</v>
      </c>
      <c r="AC791">
        <f t="shared" si="273"/>
        <v>8.4931506849315067E-2</v>
      </c>
      <c r="AD791">
        <f t="shared" si="274"/>
        <v>8.4931506849315067E-2</v>
      </c>
      <c r="AE791">
        <f t="shared" si="275"/>
        <v>8.4931506849315067E-2</v>
      </c>
      <c r="AF791">
        <f t="shared" si="276"/>
        <v>8.4931506849315067E-2</v>
      </c>
      <c r="AG791">
        <f t="shared" si="277"/>
        <v>0</v>
      </c>
      <c r="AH791">
        <f t="shared" si="278"/>
        <v>0</v>
      </c>
      <c r="AI791">
        <f t="shared" si="279"/>
        <v>0</v>
      </c>
      <c r="AJ791" s="2" t="str">
        <f t="shared" si="289"/>
        <v>945658</v>
      </c>
    </row>
    <row r="792" spans="1:36" x14ac:dyDescent="0.25">
      <c r="A792">
        <v>10</v>
      </c>
      <c r="B792" s="1">
        <v>45658</v>
      </c>
      <c r="C792" s="1">
        <f t="shared" si="280"/>
        <v>45962</v>
      </c>
      <c r="D792" s="1">
        <f t="shared" si="281"/>
        <v>45672</v>
      </c>
      <c r="E792" s="1">
        <f t="shared" si="282"/>
        <v>45962</v>
      </c>
      <c r="F792" s="1">
        <f t="shared" si="283"/>
        <v>45992</v>
      </c>
      <c r="G792" s="1">
        <f t="shared" si="284"/>
        <v>46037</v>
      </c>
      <c r="H792">
        <f t="shared" si="285"/>
        <v>365</v>
      </c>
      <c r="I792">
        <f t="shared" si="286"/>
        <v>30</v>
      </c>
      <c r="J792">
        <f t="shared" si="287"/>
        <v>8.2191780821917804E-2</v>
      </c>
      <c r="K792">
        <f>IFERROR($J792/IF($A792&lt;COUNTIFS($K$1:K$1,"&lt;&gt;"),0,SUMIFS($J:$J,$B:$B,$B792,$A:$A,"&gt;="&amp;COUNTIFS($K$1:K$1,"&lt;&gt;"))),0)</f>
        <v>8.6206896551724144E-2</v>
      </c>
      <c r="L792">
        <f>IFERROR($J792/IF($A792&lt;COUNTIFS($K$1:L$1,"&lt;&gt;"),0,SUMIFS($J:$J,$B:$B,$B792,$A:$A,"&gt;="&amp;COUNTIFS($K$1:L$1,"&lt;&gt;"))),0)</f>
        <v>9.3750000000000014E-2</v>
      </c>
      <c r="M792">
        <f>IFERROR($J792/IF($A792&lt;COUNTIFS($K$1:M$1,"&lt;&gt;"),0,SUMIFS($J:$J,$B:$B,$B792,$A:$A,"&gt;="&amp;COUNTIFS($K$1:M$1,"&lt;&gt;"))),0)</f>
        <v>0.10380622837370243</v>
      </c>
      <c r="N792">
        <f>IFERROR($J792/IF($A792&lt;COUNTIFS($K$1:N$1,"&lt;&gt;"),0,SUMIFS($J:$J,$B:$B,$B792,$A:$A,"&gt;="&amp;COUNTIFS($K$1:N$1,"&lt;&gt;"))),0)</f>
        <v>0.11583011583011585</v>
      </c>
      <c r="O792">
        <f>IFERROR($J792/IF($A792&lt;COUNTIFS($K$1:O$1,"&lt;&gt;"),0,SUMIFS($J:$J,$B:$B,$B792,$A:$A,"&gt;="&amp;COUNTIFS($K$1:O$1,"&lt;&gt;"))),0)</f>
        <v>0.13157894736842107</v>
      </c>
      <c r="P792">
        <f>IFERROR($J792/IF($A792&lt;COUNTIFS($K$1:P$1,"&lt;&gt;"),0,SUMIFS($J:$J,$B:$B,$B792,$A:$A,"&gt;="&amp;COUNTIFS($K$1:P$1,"&lt;&gt;"))),0)</f>
        <v>0.15151515151515155</v>
      </c>
      <c r="Q792">
        <f>IFERROR($J792/IF($A792&lt;COUNTIFS($K$1:Q$1,"&lt;&gt;"),0,SUMIFS($J:$J,$B:$B,$B792,$A:$A,"&gt;="&amp;COUNTIFS($K$1:Q$1,"&lt;&gt;"))),0)</f>
        <v>0.17964071856287425</v>
      </c>
      <c r="R792">
        <f>IFERROR($J792/IF($A792&lt;COUNTIFS($K$1:R$1,"&lt;&gt;"),0,SUMIFS($J:$J,$B:$B,$B792,$A:$A,"&gt;="&amp;COUNTIFS($K$1:R$1,"&lt;&gt;"))),0)</f>
        <v>0.22058823529411764</v>
      </c>
      <c r="S792">
        <f>IFERROR($J792/IF($A792&lt;COUNTIFS($K$1:S$1,"&lt;&gt;"),0,SUMIFS($J:$J,$B:$B,$B792,$A:$A,"&gt;="&amp;COUNTIFS($K$1:S$1,"&lt;&gt;"))),0)</f>
        <v>0.28301886792452829</v>
      </c>
      <c r="T792">
        <f>IFERROR($J792/IF($A792&lt;COUNTIFS($K$1:T$1,"&lt;&gt;"),0,SUMIFS($J:$J,$B:$B,$B792,$A:$A,"&gt;="&amp;COUNTIFS($K$1:T$1,"&lt;&gt;"))),0)</f>
        <v>0.4</v>
      </c>
      <c r="U792">
        <f>IFERROR($J792/IF($A792&lt;COUNTIFS($K$1:U$1,"&lt;&gt;"),0,SUMIFS($J:$J,$B:$B,$B792,$A:$A,"&gt;="&amp;COUNTIFS($K$1:U$1,"&lt;&gt;"))),0)</f>
        <v>0</v>
      </c>
      <c r="V792">
        <f>IFERROR($J792/IF($A792&lt;COUNTIFS($K$1:V$1,"&lt;&gt;"),0,SUMIFS($J:$J,$B:$B,$B792,$A:$A,"&gt;="&amp;COUNTIFS($K$1:V$1,"&lt;&gt;"))),0)</f>
        <v>0</v>
      </c>
      <c r="W792">
        <f t="shared" si="288"/>
        <v>8.2191780821917804E-2</v>
      </c>
      <c r="X792">
        <f t="shared" si="268"/>
        <v>8.2191780821917804E-2</v>
      </c>
      <c r="Y792">
        <f t="shared" si="269"/>
        <v>8.2191780821917804E-2</v>
      </c>
      <c r="Z792">
        <f t="shared" si="270"/>
        <v>8.2191780821917804E-2</v>
      </c>
      <c r="AA792">
        <f t="shared" si="271"/>
        <v>8.2191780821917804E-2</v>
      </c>
      <c r="AB792">
        <f t="shared" si="272"/>
        <v>8.2191780821917804E-2</v>
      </c>
      <c r="AC792">
        <f t="shared" si="273"/>
        <v>8.2191780821917804E-2</v>
      </c>
      <c r="AD792">
        <f t="shared" si="274"/>
        <v>8.2191780821917804E-2</v>
      </c>
      <c r="AE792">
        <f t="shared" si="275"/>
        <v>8.2191780821917804E-2</v>
      </c>
      <c r="AF792">
        <f t="shared" si="276"/>
        <v>8.2191780821917804E-2</v>
      </c>
      <c r="AG792">
        <f t="shared" si="277"/>
        <v>8.2191780821917804E-2</v>
      </c>
      <c r="AH792">
        <f t="shared" si="278"/>
        <v>0</v>
      </c>
      <c r="AI792">
        <f t="shared" si="279"/>
        <v>0</v>
      </c>
      <c r="AJ792" s="2" t="str">
        <f t="shared" si="289"/>
        <v>1045658</v>
      </c>
    </row>
    <row r="793" spans="1:36" x14ac:dyDescent="0.25">
      <c r="A793">
        <v>11</v>
      </c>
      <c r="B793" s="1">
        <v>45658</v>
      </c>
      <c r="C793" s="1">
        <f t="shared" si="280"/>
        <v>45992</v>
      </c>
      <c r="D793" s="1">
        <f t="shared" si="281"/>
        <v>45672</v>
      </c>
      <c r="E793" s="1">
        <f t="shared" si="282"/>
        <v>45992</v>
      </c>
      <c r="F793" s="1">
        <f t="shared" si="283"/>
        <v>46023</v>
      </c>
      <c r="G793" s="1">
        <f t="shared" si="284"/>
        <v>46037</v>
      </c>
      <c r="H793">
        <f t="shared" si="285"/>
        <v>365</v>
      </c>
      <c r="I793">
        <f t="shared" si="286"/>
        <v>31</v>
      </c>
      <c r="J793">
        <f t="shared" si="287"/>
        <v>8.4931506849315067E-2</v>
      </c>
      <c r="K793">
        <f>IFERROR($J793/IF($A793&lt;COUNTIFS($K$1:K$1,"&lt;&gt;"),0,SUMIFS($J:$J,$B:$B,$B793,$A:$A,"&gt;="&amp;COUNTIFS($K$1:K$1,"&lt;&gt;"))),0)</f>
        <v>8.9080459770114959E-2</v>
      </c>
      <c r="L793">
        <f>IFERROR($J793/IF($A793&lt;COUNTIFS($K$1:L$1,"&lt;&gt;"),0,SUMIFS($J:$J,$B:$B,$B793,$A:$A,"&gt;="&amp;COUNTIFS($K$1:L$1,"&lt;&gt;"))),0)</f>
        <v>9.6875000000000017E-2</v>
      </c>
      <c r="M793">
        <f>IFERROR($J793/IF($A793&lt;COUNTIFS($K$1:M$1,"&lt;&gt;"),0,SUMIFS($J:$J,$B:$B,$B793,$A:$A,"&gt;="&amp;COUNTIFS($K$1:M$1,"&lt;&gt;"))),0)</f>
        <v>0.10726643598615919</v>
      </c>
      <c r="N793">
        <f>IFERROR($J793/IF($A793&lt;COUNTIFS($K$1:N$1,"&lt;&gt;"),0,SUMIFS($J:$J,$B:$B,$B793,$A:$A,"&gt;="&amp;COUNTIFS($K$1:N$1,"&lt;&gt;"))),0)</f>
        <v>0.11969111969111972</v>
      </c>
      <c r="O793">
        <f>IFERROR($J793/IF($A793&lt;COUNTIFS($K$1:O$1,"&lt;&gt;"),0,SUMIFS($J:$J,$B:$B,$B793,$A:$A,"&gt;="&amp;COUNTIFS($K$1:O$1,"&lt;&gt;"))),0)</f>
        <v>0.13596491228070179</v>
      </c>
      <c r="P793">
        <f>IFERROR($J793/IF($A793&lt;COUNTIFS($K$1:P$1,"&lt;&gt;"),0,SUMIFS($J:$J,$B:$B,$B793,$A:$A,"&gt;="&amp;COUNTIFS($K$1:P$1,"&lt;&gt;"))),0)</f>
        <v>0.1565656565656566</v>
      </c>
      <c r="Q793">
        <f>IFERROR($J793/IF($A793&lt;COUNTIFS($K$1:Q$1,"&lt;&gt;"),0,SUMIFS($J:$J,$B:$B,$B793,$A:$A,"&gt;="&amp;COUNTIFS($K$1:Q$1,"&lt;&gt;"))),0)</f>
        <v>0.18562874251497008</v>
      </c>
      <c r="R793">
        <f>IFERROR($J793/IF($A793&lt;COUNTIFS($K$1:R$1,"&lt;&gt;"),0,SUMIFS($J:$J,$B:$B,$B793,$A:$A,"&gt;="&amp;COUNTIFS($K$1:R$1,"&lt;&gt;"))),0)</f>
        <v>0.22794117647058826</v>
      </c>
      <c r="S793">
        <f>IFERROR($J793/IF($A793&lt;COUNTIFS($K$1:S$1,"&lt;&gt;"),0,SUMIFS($J:$J,$B:$B,$B793,$A:$A,"&gt;="&amp;COUNTIFS($K$1:S$1,"&lt;&gt;"))),0)</f>
        <v>0.29245283018867929</v>
      </c>
      <c r="T793">
        <f>IFERROR($J793/IF($A793&lt;COUNTIFS($K$1:T$1,"&lt;&gt;"),0,SUMIFS($J:$J,$B:$B,$B793,$A:$A,"&gt;="&amp;COUNTIFS($K$1:T$1,"&lt;&gt;"))),0)</f>
        <v>0.41333333333333333</v>
      </c>
      <c r="U793">
        <f>IFERROR($J793/IF($A793&lt;COUNTIFS($K$1:U$1,"&lt;&gt;"),0,SUMIFS($J:$J,$B:$B,$B793,$A:$A,"&gt;="&amp;COUNTIFS($K$1:U$1,"&lt;&gt;"))),0)</f>
        <v>0.68888888888888888</v>
      </c>
      <c r="V793">
        <f>IFERROR($J793/IF($A793&lt;COUNTIFS($K$1:V$1,"&lt;&gt;"),0,SUMIFS($J:$J,$B:$B,$B793,$A:$A,"&gt;="&amp;COUNTIFS($K$1:V$1,"&lt;&gt;"))),0)</f>
        <v>0</v>
      </c>
      <c r="W793">
        <f t="shared" si="288"/>
        <v>8.4931506849315067E-2</v>
      </c>
      <c r="X793">
        <f t="shared" si="268"/>
        <v>8.4931506849315067E-2</v>
      </c>
      <c r="Y793">
        <f t="shared" si="269"/>
        <v>8.4931506849315067E-2</v>
      </c>
      <c r="Z793">
        <f t="shared" si="270"/>
        <v>8.4931506849315067E-2</v>
      </c>
      <c r="AA793">
        <f t="shared" si="271"/>
        <v>8.4931506849315067E-2</v>
      </c>
      <c r="AB793">
        <f t="shared" si="272"/>
        <v>8.4931506849315067E-2</v>
      </c>
      <c r="AC793">
        <f t="shared" si="273"/>
        <v>8.4931506849315067E-2</v>
      </c>
      <c r="AD793">
        <f t="shared" si="274"/>
        <v>8.4931506849315067E-2</v>
      </c>
      <c r="AE793">
        <f t="shared" si="275"/>
        <v>8.4931506849315067E-2</v>
      </c>
      <c r="AF793">
        <f t="shared" si="276"/>
        <v>8.4931506849315067E-2</v>
      </c>
      <c r="AG793">
        <f t="shared" si="277"/>
        <v>8.4931506849315067E-2</v>
      </c>
      <c r="AH793">
        <f t="shared" si="278"/>
        <v>8.4931506849315067E-2</v>
      </c>
      <c r="AI793">
        <f t="shared" si="279"/>
        <v>0</v>
      </c>
      <c r="AJ793" s="2" t="str">
        <f t="shared" si="289"/>
        <v>1145658</v>
      </c>
    </row>
    <row r="794" spans="1:36" x14ac:dyDescent="0.25">
      <c r="A794">
        <v>12</v>
      </c>
      <c r="B794" s="1">
        <v>45658</v>
      </c>
      <c r="C794" s="1">
        <f t="shared" si="280"/>
        <v>46023</v>
      </c>
      <c r="D794" s="1">
        <f t="shared" si="281"/>
        <v>45672</v>
      </c>
      <c r="E794" s="1">
        <f t="shared" si="282"/>
        <v>46023</v>
      </c>
      <c r="F794" s="1">
        <f t="shared" si="283"/>
        <v>46037</v>
      </c>
      <c r="G794" s="1">
        <f t="shared" si="284"/>
        <v>46037</v>
      </c>
      <c r="H794">
        <f t="shared" si="285"/>
        <v>365</v>
      </c>
      <c r="I794">
        <f t="shared" si="286"/>
        <v>14</v>
      </c>
      <c r="J794">
        <f t="shared" si="287"/>
        <v>3.8356164383561646E-2</v>
      </c>
      <c r="K794">
        <f>IFERROR($J794/IF($A794&lt;COUNTIFS($K$1:K$1,"&lt;&gt;"),0,SUMIFS($J:$J,$B:$B,$B794,$A:$A,"&gt;="&amp;COUNTIFS($K$1:K$1,"&lt;&gt;"))),0)</f>
        <v>4.0229885057471271E-2</v>
      </c>
      <c r="L794">
        <f>IFERROR($J794/IF($A794&lt;COUNTIFS($K$1:L$1,"&lt;&gt;"),0,SUMIFS($J:$J,$B:$B,$B794,$A:$A,"&gt;="&amp;COUNTIFS($K$1:L$1,"&lt;&gt;"))),0)</f>
        <v>4.3750000000000011E-2</v>
      </c>
      <c r="M794">
        <f>IFERROR($J794/IF($A794&lt;COUNTIFS($K$1:M$1,"&lt;&gt;"),0,SUMIFS($J:$J,$B:$B,$B794,$A:$A,"&gt;="&amp;COUNTIFS($K$1:M$1,"&lt;&gt;"))),0)</f>
        <v>4.8442906574394477E-2</v>
      </c>
      <c r="N794">
        <f>IFERROR($J794/IF($A794&lt;COUNTIFS($K$1:N$1,"&lt;&gt;"),0,SUMIFS($J:$J,$B:$B,$B794,$A:$A,"&gt;="&amp;COUNTIFS($K$1:N$1,"&lt;&gt;"))),0)</f>
        <v>5.4054054054054071E-2</v>
      </c>
      <c r="O794">
        <f>IFERROR($J794/IF($A794&lt;COUNTIFS($K$1:O$1,"&lt;&gt;"),0,SUMIFS($J:$J,$B:$B,$B794,$A:$A,"&gt;="&amp;COUNTIFS($K$1:O$1,"&lt;&gt;"))),0)</f>
        <v>6.1403508771929842E-2</v>
      </c>
      <c r="P794">
        <f>IFERROR($J794/IF($A794&lt;COUNTIFS($K$1:P$1,"&lt;&gt;"),0,SUMIFS($J:$J,$B:$B,$B794,$A:$A,"&gt;="&amp;COUNTIFS($K$1:P$1,"&lt;&gt;"))),0)</f>
        <v>7.0707070707070732E-2</v>
      </c>
      <c r="Q794">
        <f>IFERROR($J794/IF($A794&lt;COUNTIFS($K$1:Q$1,"&lt;&gt;"),0,SUMIFS($J:$J,$B:$B,$B794,$A:$A,"&gt;="&amp;COUNTIFS($K$1:Q$1,"&lt;&gt;"))),0)</f>
        <v>8.3832335329341326E-2</v>
      </c>
      <c r="R794">
        <f>IFERROR($J794/IF($A794&lt;COUNTIFS($K$1:R$1,"&lt;&gt;"),0,SUMIFS($J:$J,$B:$B,$B794,$A:$A,"&gt;="&amp;COUNTIFS($K$1:R$1,"&lt;&gt;"))),0)</f>
        <v>0.10294117647058824</v>
      </c>
      <c r="S794">
        <f>IFERROR($J794/IF($A794&lt;COUNTIFS($K$1:S$1,"&lt;&gt;"),0,SUMIFS($J:$J,$B:$B,$B794,$A:$A,"&gt;="&amp;COUNTIFS($K$1:S$1,"&lt;&gt;"))),0)</f>
        <v>0.13207547169811323</v>
      </c>
      <c r="T794">
        <f>IFERROR($J794/IF($A794&lt;COUNTIFS($K$1:T$1,"&lt;&gt;"),0,SUMIFS($J:$J,$B:$B,$B794,$A:$A,"&gt;="&amp;COUNTIFS($K$1:T$1,"&lt;&gt;"))),0)</f>
        <v>0.18666666666666668</v>
      </c>
      <c r="U794">
        <f>IFERROR($J794/IF($A794&lt;COUNTIFS($K$1:U$1,"&lt;&gt;"),0,SUMIFS($J:$J,$B:$B,$B794,$A:$A,"&gt;="&amp;COUNTIFS($K$1:U$1,"&lt;&gt;"))),0)</f>
        <v>0.31111111111111117</v>
      </c>
      <c r="V794">
        <f>IFERROR($J794/IF($A794&lt;COUNTIFS($K$1:V$1,"&lt;&gt;"),0,SUMIFS($J:$J,$B:$B,$B794,$A:$A,"&gt;="&amp;COUNTIFS($K$1:V$1,"&lt;&gt;"))),0)</f>
        <v>1</v>
      </c>
      <c r="W794">
        <f t="shared" si="288"/>
        <v>3.8356164383561646E-2</v>
      </c>
      <c r="X794">
        <f t="shared" si="268"/>
        <v>3.8356164383561646E-2</v>
      </c>
      <c r="Y794">
        <f t="shared" si="269"/>
        <v>3.8356164383561646E-2</v>
      </c>
      <c r="Z794">
        <f t="shared" si="270"/>
        <v>3.8356164383561646E-2</v>
      </c>
      <c r="AA794">
        <f t="shared" si="271"/>
        <v>3.8356164383561646E-2</v>
      </c>
      <c r="AB794">
        <f t="shared" si="272"/>
        <v>3.8356164383561646E-2</v>
      </c>
      <c r="AC794">
        <f t="shared" si="273"/>
        <v>3.8356164383561646E-2</v>
      </c>
      <c r="AD794">
        <f t="shared" si="274"/>
        <v>3.8356164383561646E-2</v>
      </c>
      <c r="AE794">
        <f t="shared" si="275"/>
        <v>3.8356164383561646E-2</v>
      </c>
      <c r="AF794">
        <f t="shared" si="276"/>
        <v>3.8356164383561646E-2</v>
      </c>
      <c r="AG794">
        <f t="shared" si="277"/>
        <v>3.8356164383561646E-2</v>
      </c>
      <c r="AH794">
        <f t="shared" si="278"/>
        <v>3.8356164383561646E-2</v>
      </c>
      <c r="AI794">
        <f t="shared" si="279"/>
        <v>3.8356164383561646E-2</v>
      </c>
      <c r="AJ794" s="2" t="str">
        <f t="shared" si="289"/>
        <v>1245658</v>
      </c>
    </row>
    <row r="795" spans="1:36" x14ac:dyDescent="0.25">
      <c r="A795">
        <v>0</v>
      </c>
      <c r="B795" s="1">
        <v>45689</v>
      </c>
      <c r="C795" s="1">
        <f t="shared" si="280"/>
        <v>45689</v>
      </c>
      <c r="D795" s="1">
        <f t="shared" si="281"/>
        <v>45703</v>
      </c>
      <c r="E795" s="1">
        <f t="shared" si="282"/>
        <v>45703</v>
      </c>
      <c r="F795" s="1">
        <f t="shared" si="283"/>
        <v>45717</v>
      </c>
      <c r="G795" s="1">
        <f t="shared" si="284"/>
        <v>46068</v>
      </c>
      <c r="H795">
        <f t="shared" si="285"/>
        <v>365</v>
      </c>
      <c r="I795">
        <f t="shared" si="286"/>
        <v>14</v>
      </c>
      <c r="J795">
        <f t="shared" si="287"/>
        <v>3.8356164383561646E-2</v>
      </c>
      <c r="K795">
        <f>IFERROR($J795/IF($A795&lt;COUNTIFS($K$1:K$1,"&lt;&gt;"),0,SUMIFS($J:$J,$B:$B,$B795,$A:$A,"&gt;="&amp;COUNTIFS($K$1:K$1,"&lt;&gt;"))),0)</f>
        <v>0</v>
      </c>
      <c r="L795">
        <f>IFERROR($J795/IF($A795&lt;COUNTIFS($K$1:L$1,"&lt;&gt;"),0,SUMIFS($J:$J,$B:$B,$B795,$A:$A,"&gt;="&amp;COUNTIFS($K$1:L$1,"&lt;&gt;"))),0)</f>
        <v>0</v>
      </c>
      <c r="M795">
        <f>IFERROR($J795/IF($A795&lt;COUNTIFS($K$1:M$1,"&lt;&gt;"),0,SUMIFS($J:$J,$B:$B,$B795,$A:$A,"&gt;="&amp;COUNTIFS($K$1:M$1,"&lt;&gt;"))),0)</f>
        <v>0</v>
      </c>
      <c r="N795">
        <f>IFERROR($J795/IF($A795&lt;COUNTIFS($K$1:N$1,"&lt;&gt;"),0,SUMIFS($J:$J,$B:$B,$B795,$A:$A,"&gt;="&amp;COUNTIFS($K$1:N$1,"&lt;&gt;"))),0)</f>
        <v>0</v>
      </c>
      <c r="O795">
        <f>IFERROR($J795/IF($A795&lt;COUNTIFS($K$1:O$1,"&lt;&gt;"),0,SUMIFS($J:$J,$B:$B,$B795,$A:$A,"&gt;="&amp;COUNTIFS($K$1:O$1,"&lt;&gt;"))),0)</f>
        <v>0</v>
      </c>
      <c r="P795">
        <f>IFERROR($J795/IF($A795&lt;COUNTIFS($K$1:P$1,"&lt;&gt;"),0,SUMIFS($J:$J,$B:$B,$B795,$A:$A,"&gt;="&amp;COUNTIFS($K$1:P$1,"&lt;&gt;"))),0)</f>
        <v>0</v>
      </c>
      <c r="Q795">
        <f>IFERROR($J795/IF($A795&lt;COUNTIFS($K$1:Q$1,"&lt;&gt;"),0,SUMIFS($J:$J,$B:$B,$B795,$A:$A,"&gt;="&amp;COUNTIFS($K$1:Q$1,"&lt;&gt;"))),0)</f>
        <v>0</v>
      </c>
      <c r="R795">
        <f>IFERROR($J795/IF($A795&lt;COUNTIFS($K$1:R$1,"&lt;&gt;"),0,SUMIFS($J:$J,$B:$B,$B795,$A:$A,"&gt;="&amp;COUNTIFS($K$1:R$1,"&lt;&gt;"))),0)</f>
        <v>0</v>
      </c>
      <c r="S795">
        <f>IFERROR($J795/IF($A795&lt;COUNTIFS($K$1:S$1,"&lt;&gt;"),0,SUMIFS($J:$J,$B:$B,$B795,$A:$A,"&gt;="&amp;COUNTIFS($K$1:S$1,"&lt;&gt;"))),0)</f>
        <v>0</v>
      </c>
      <c r="T795">
        <f>IFERROR($J795/IF($A795&lt;COUNTIFS($K$1:T$1,"&lt;&gt;"),0,SUMIFS($J:$J,$B:$B,$B795,$A:$A,"&gt;="&amp;COUNTIFS($K$1:T$1,"&lt;&gt;"))),0)</f>
        <v>0</v>
      </c>
      <c r="U795">
        <f>IFERROR($J795/IF($A795&lt;COUNTIFS($K$1:U$1,"&lt;&gt;"),0,SUMIFS($J:$J,$B:$B,$B795,$A:$A,"&gt;="&amp;COUNTIFS($K$1:U$1,"&lt;&gt;"))),0)</f>
        <v>0</v>
      </c>
      <c r="V795">
        <f>IFERROR($J795/IF($A795&lt;COUNTIFS($K$1:V$1,"&lt;&gt;"),0,SUMIFS($J:$J,$B:$B,$B795,$A:$A,"&gt;="&amp;COUNTIFS($K$1:V$1,"&lt;&gt;"))),0)</f>
        <v>0</v>
      </c>
      <c r="W795">
        <f t="shared" si="288"/>
        <v>3.8356164383561646E-2</v>
      </c>
      <c r="X795">
        <f t="shared" si="268"/>
        <v>0</v>
      </c>
      <c r="Y795">
        <f t="shared" si="269"/>
        <v>0</v>
      </c>
      <c r="Z795">
        <f t="shared" si="270"/>
        <v>0</v>
      </c>
      <c r="AA795">
        <f t="shared" si="271"/>
        <v>0</v>
      </c>
      <c r="AB795">
        <f t="shared" si="272"/>
        <v>0</v>
      </c>
      <c r="AC795">
        <f t="shared" si="273"/>
        <v>0</v>
      </c>
      <c r="AD795">
        <f t="shared" si="274"/>
        <v>0</v>
      </c>
      <c r="AE795">
        <f t="shared" si="275"/>
        <v>0</v>
      </c>
      <c r="AF795">
        <f t="shared" si="276"/>
        <v>0</v>
      </c>
      <c r="AG795">
        <f t="shared" si="277"/>
        <v>0</v>
      </c>
      <c r="AH795">
        <f t="shared" si="278"/>
        <v>0</v>
      </c>
      <c r="AI795">
        <f t="shared" si="279"/>
        <v>0</v>
      </c>
      <c r="AJ795" s="2" t="str">
        <f t="shared" si="289"/>
        <v>045689</v>
      </c>
    </row>
    <row r="796" spans="1:36" x14ac:dyDescent="0.25">
      <c r="A796">
        <v>1</v>
      </c>
      <c r="B796" s="1">
        <v>45689</v>
      </c>
      <c r="C796" s="1">
        <f t="shared" si="280"/>
        <v>45717</v>
      </c>
      <c r="D796" s="1">
        <f t="shared" si="281"/>
        <v>45703</v>
      </c>
      <c r="E796" s="1">
        <f t="shared" si="282"/>
        <v>45717</v>
      </c>
      <c r="F796" s="1">
        <f t="shared" si="283"/>
        <v>45748</v>
      </c>
      <c r="G796" s="1">
        <f t="shared" si="284"/>
        <v>46068</v>
      </c>
      <c r="H796">
        <f t="shared" si="285"/>
        <v>365</v>
      </c>
      <c r="I796">
        <f t="shared" si="286"/>
        <v>31</v>
      </c>
      <c r="J796">
        <f t="shared" si="287"/>
        <v>8.4931506849315067E-2</v>
      </c>
      <c r="K796">
        <f>IFERROR($J796/IF($A796&lt;COUNTIFS($K$1:K$1,"&lt;&gt;"),0,SUMIFS($J:$J,$B:$B,$B796,$A:$A,"&gt;="&amp;COUNTIFS($K$1:K$1,"&lt;&gt;"))),0)</f>
        <v>8.8319088319088329E-2</v>
      </c>
      <c r="L796">
        <f>IFERROR($J796/IF($A796&lt;COUNTIFS($K$1:L$1,"&lt;&gt;"),0,SUMIFS($J:$J,$B:$B,$B796,$A:$A,"&gt;="&amp;COUNTIFS($K$1:L$1,"&lt;&gt;"))),0)</f>
        <v>0</v>
      </c>
      <c r="M796">
        <f>IFERROR($J796/IF($A796&lt;COUNTIFS($K$1:M$1,"&lt;&gt;"),0,SUMIFS($J:$J,$B:$B,$B796,$A:$A,"&gt;="&amp;COUNTIFS($K$1:M$1,"&lt;&gt;"))),0)</f>
        <v>0</v>
      </c>
      <c r="N796">
        <f>IFERROR($J796/IF($A796&lt;COUNTIFS($K$1:N$1,"&lt;&gt;"),0,SUMIFS($J:$J,$B:$B,$B796,$A:$A,"&gt;="&amp;COUNTIFS($K$1:N$1,"&lt;&gt;"))),0)</f>
        <v>0</v>
      </c>
      <c r="O796">
        <f>IFERROR($J796/IF($A796&lt;COUNTIFS($K$1:O$1,"&lt;&gt;"),0,SUMIFS($J:$J,$B:$B,$B796,$A:$A,"&gt;="&amp;COUNTIFS($K$1:O$1,"&lt;&gt;"))),0)</f>
        <v>0</v>
      </c>
      <c r="P796">
        <f>IFERROR($J796/IF($A796&lt;COUNTIFS($K$1:P$1,"&lt;&gt;"),0,SUMIFS($J:$J,$B:$B,$B796,$A:$A,"&gt;="&amp;COUNTIFS($K$1:P$1,"&lt;&gt;"))),0)</f>
        <v>0</v>
      </c>
      <c r="Q796">
        <f>IFERROR($J796/IF($A796&lt;COUNTIFS($K$1:Q$1,"&lt;&gt;"),0,SUMIFS($J:$J,$B:$B,$B796,$A:$A,"&gt;="&amp;COUNTIFS($K$1:Q$1,"&lt;&gt;"))),0)</f>
        <v>0</v>
      </c>
      <c r="R796">
        <f>IFERROR($J796/IF($A796&lt;COUNTIFS($K$1:R$1,"&lt;&gt;"),0,SUMIFS($J:$J,$B:$B,$B796,$A:$A,"&gt;="&amp;COUNTIFS($K$1:R$1,"&lt;&gt;"))),0)</f>
        <v>0</v>
      </c>
      <c r="S796">
        <f>IFERROR($J796/IF($A796&lt;COUNTIFS($K$1:S$1,"&lt;&gt;"),0,SUMIFS($J:$J,$B:$B,$B796,$A:$A,"&gt;="&amp;COUNTIFS($K$1:S$1,"&lt;&gt;"))),0)</f>
        <v>0</v>
      </c>
      <c r="T796">
        <f>IFERROR($J796/IF($A796&lt;COUNTIFS($K$1:T$1,"&lt;&gt;"),0,SUMIFS($J:$J,$B:$B,$B796,$A:$A,"&gt;="&amp;COUNTIFS($K$1:T$1,"&lt;&gt;"))),0)</f>
        <v>0</v>
      </c>
      <c r="U796">
        <f>IFERROR($J796/IF($A796&lt;COUNTIFS($K$1:U$1,"&lt;&gt;"),0,SUMIFS($J:$J,$B:$B,$B796,$A:$A,"&gt;="&amp;COUNTIFS($K$1:U$1,"&lt;&gt;"))),0)</f>
        <v>0</v>
      </c>
      <c r="V796">
        <f>IFERROR($J796/IF($A796&lt;COUNTIFS($K$1:V$1,"&lt;&gt;"),0,SUMIFS($J:$J,$B:$B,$B796,$A:$A,"&gt;="&amp;COUNTIFS($K$1:V$1,"&lt;&gt;"))),0)</f>
        <v>0</v>
      </c>
      <c r="W796">
        <f t="shared" si="288"/>
        <v>8.4931506849315067E-2</v>
      </c>
      <c r="X796">
        <f t="shared" si="268"/>
        <v>8.4931506849315067E-2</v>
      </c>
      <c r="Y796">
        <f t="shared" si="269"/>
        <v>0</v>
      </c>
      <c r="Z796">
        <f t="shared" si="270"/>
        <v>0</v>
      </c>
      <c r="AA796">
        <f t="shared" si="271"/>
        <v>0</v>
      </c>
      <c r="AB796">
        <f t="shared" si="272"/>
        <v>0</v>
      </c>
      <c r="AC796">
        <f t="shared" si="273"/>
        <v>0</v>
      </c>
      <c r="AD796">
        <f t="shared" si="274"/>
        <v>0</v>
      </c>
      <c r="AE796">
        <f t="shared" si="275"/>
        <v>0</v>
      </c>
      <c r="AF796">
        <f t="shared" si="276"/>
        <v>0</v>
      </c>
      <c r="AG796">
        <f t="shared" si="277"/>
        <v>0</v>
      </c>
      <c r="AH796">
        <f t="shared" si="278"/>
        <v>0</v>
      </c>
      <c r="AI796">
        <f t="shared" si="279"/>
        <v>0</v>
      </c>
      <c r="AJ796" s="2" t="str">
        <f t="shared" si="289"/>
        <v>145689</v>
      </c>
    </row>
    <row r="797" spans="1:36" x14ac:dyDescent="0.25">
      <c r="A797">
        <v>2</v>
      </c>
      <c r="B797" s="1">
        <v>45689</v>
      </c>
      <c r="C797" s="1">
        <f t="shared" si="280"/>
        <v>45748</v>
      </c>
      <c r="D797" s="1">
        <f t="shared" si="281"/>
        <v>45703</v>
      </c>
      <c r="E797" s="1">
        <f t="shared" si="282"/>
        <v>45748</v>
      </c>
      <c r="F797" s="1">
        <f t="shared" si="283"/>
        <v>45778</v>
      </c>
      <c r="G797" s="1">
        <f t="shared" si="284"/>
        <v>46068</v>
      </c>
      <c r="H797">
        <f t="shared" si="285"/>
        <v>365</v>
      </c>
      <c r="I797">
        <f t="shared" si="286"/>
        <v>30</v>
      </c>
      <c r="J797">
        <f t="shared" si="287"/>
        <v>8.2191780821917804E-2</v>
      </c>
      <c r="K797">
        <f>IFERROR($J797/IF($A797&lt;COUNTIFS($K$1:K$1,"&lt;&gt;"),0,SUMIFS($J:$J,$B:$B,$B797,$A:$A,"&gt;="&amp;COUNTIFS($K$1:K$1,"&lt;&gt;"))),0)</f>
        <v>8.5470085470085486E-2</v>
      </c>
      <c r="L797">
        <f>IFERROR($J797/IF($A797&lt;COUNTIFS($K$1:L$1,"&lt;&gt;"),0,SUMIFS($J:$J,$B:$B,$B797,$A:$A,"&gt;="&amp;COUNTIFS($K$1:L$1,"&lt;&gt;"))),0)</f>
        <v>9.3750000000000014E-2</v>
      </c>
      <c r="M797">
        <f>IFERROR($J797/IF($A797&lt;COUNTIFS($K$1:M$1,"&lt;&gt;"),0,SUMIFS($J:$J,$B:$B,$B797,$A:$A,"&gt;="&amp;COUNTIFS($K$1:M$1,"&lt;&gt;"))),0)</f>
        <v>0</v>
      </c>
      <c r="N797">
        <f>IFERROR($J797/IF($A797&lt;COUNTIFS($K$1:N$1,"&lt;&gt;"),0,SUMIFS($J:$J,$B:$B,$B797,$A:$A,"&gt;="&amp;COUNTIFS($K$1:N$1,"&lt;&gt;"))),0)</f>
        <v>0</v>
      </c>
      <c r="O797">
        <f>IFERROR($J797/IF($A797&lt;COUNTIFS($K$1:O$1,"&lt;&gt;"),0,SUMIFS($J:$J,$B:$B,$B797,$A:$A,"&gt;="&amp;COUNTIFS($K$1:O$1,"&lt;&gt;"))),0)</f>
        <v>0</v>
      </c>
      <c r="P797">
        <f>IFERROR($J797/IF($A797&lt;COUNTIFS($K$1:P$1,"&lt;&gt;"),0,SUMIFS($J:$J,$B:$B,$B797,$A:$A,"&gt;="&amp;COUNTIFS($K$1:P$1,"&lt;&gt;"))),0)</f>
        <v>0</v>
      </c>
      <c r="Q797">
        <f>IFERROR($J797/IF($A797&lt;COUNTIFS($K$1:Q$1,"&lt;&gt;"),0,SUMIFS($J:$J,$B:$B,$B797,$A:$A,"&gt;="&amp;COUNTIFS($K$1:Q$1,"&lt;&gt;"))),0)</f>
        <v>0</v>
      </c>
      <c r="R797">
        <f>IFERROR($J797/IF($A797&lt;COUNTIFS($K$1:R$1,"&lt;&gt;"),0,SUMIFS($J:$J,$B:$B,$B797,$A:$A,"&gt;="&amp;COUNTIFS($K$1:R$1,"&lt;&gt;"))),0)</f>
        <v>0</v>
      </c>
      <c r="S797">
        <f>IFERROR($J797/IF($A797&lt;COUNTIFS($K$1:S$1,"&lt;&gt;"),0,SUMIFS($J:$J,$B:$B,$B797,$A:$A,"&gt;="&amp;COUNTIFS($K$1:S$1,"&lt;&gt;"))),0)</f>
        <v>0</v>
      </c>
      <c r="T797">
        <f>IFERROR($J797/IF($A797&lt;COUNTIFS($K$1:T$1,"&lt;&gt;"),0,SUMIFS($J:$J,$B:$B,$B797,$A:$A,"&gt;="&amp;COUNTIFS($K$1:T$1,"&lt;&gt;"))),0)</f>
        <v>0</v>
      </c>
      <c r="U797">
        <f>IFERROR($J797/IF($A797&lt;COUNTIFS($K$1:U$1,"&lt;&gt;"),0,SUMIFS($J:$J,$B:$B,$B797,$A:$A,"&gt;="&amp;COUNTIFS($K$1:U$1,"&lt;&gt;"))),0)</f>
        <v>0</v>
      </c>
      <c r="V797">
        <f>IFERROR($J797/IF($A797&lt;COUNTIFS($K$1:V$1,"&lt;&gt;"),0,SUMIFS($J:$J,$B:$B,$B797,$A:$A,"&gt;="&amp;COUNTIFS($K$1:V$1,"&lt;&gt;"))),0)</f>
        <v>0</v>
      </c>
      <c r="W797">
        <f t="shared" si="288"/>
        <v>8.2191780821917804E-2</v>
      </c>
      <c r="X797">
        <f t="shared" si="268"/>
        <v>8.2191780821917804E-2</v>
      </c>
      <c r="Y797">
        <f t="shared" si="269"/>
        <v>8.2191780821917804E-2</v>
      </c>
      <c r="Z797">
        <f t="shared" si="270"/>
        <v>0</v>
      </c>
      <c r="AA797">
        <f t="shared" si="271"/>
        <v>0</v>
      </c>
      <c r="AB797">
        <f t="shared" si="272"/>
        <v>0</v>
      </c>
      <c r="AC797">
        <f t="shared" si="273"/>
        <v>0</v>
      </c>
      <c r="AD797">
        <f t="shared" si="274"/>
        <v>0</v>
      </c>
      <c r="AE797">
        <f t="shared" si="275"/>
        <v>0</v>
      </c>
      <c r="AF797">
        <f t="shared" si="276"/>
        <v>0</v>
      </c>
      <c r="AG797">
        <f t="shared" si="277"/>
        <v>0</v>
      </c>
      <c r="AH797">
        <f t="shared" si="278"/>
        <v>0</v>
      </c>
      <c r="AI797">
        <f t="shared" si="279"/>
        <v>0</v>
      </c>
      <c r="AJ797" s="2" t="str">
        <f t="shared" si="289"/>
        <v>245689</v>
      </c>
    </row>
    <row r="798" spans="1:36" x14ac:dyDescent="0.25">
      <c r="A798">
        <v>3</v>
      </c>
      <c r="B798" s="1">
        <v>45689</v>
      </c>
      <c r="C798" s="1">
        <f t="shared" si="280"/>
        <v>45778</v>
      </c>
      <c r="D798" s="1">
        <f t="shared" si="281"/>
        <v>45703</v>
      </c>
      <c r="E798" s="1">
        <f t="shared" si="282"/>
        <v>45778</v>
      </c>
      <c r="F798" s="1">
        <f t="shared" si="283"/>
        <v>45809</v>
      </c>
      <c r="G798" s="1">
        <f t="shared" si="284"/>
        <v>46068</v>
      </c>
      <c r="H798">
        <f t="shared" si="285"/>
        <v>365</v>
      </c>
      <c r="I798">
        <f t="shared" si="286"/>
        <v>31</v>
      </c>
      <c r="J798">
        <f t="shared" si="287"/>
        <v>8.4931506849315067E-2</v>
      </c>
      <c r="K798">
        <f>IFERROR($J798/IF($A798&lt;COUNTIFS($K$1:K$1,"&lt;&gt;"),0,SUMIFS($J:$J,$B:$B,$B798,$A:$A,"&gt;="&amp;COUNTIFS($K$1:K$1,"&lt;&gt;"))),0)</f>
        <v>8.8319088319088329E-2</v>
      </c>
      <c r="L798">
        <f>IFERROR($J798/IF($A798&lt;COUNTIFS($K$1:L$1,"&lt;&gt;"),0,SUMIFS($J:$J,$B:$B,$B798,$A:$A,"&gt;="&amp;COUNTIFS($K$1:L$1,"&lt;&gt;"))),0)</f>
        <v>9.6875000000000017E-2</v>
      </c>
      <c r="M798">
        <f>IFERROR($J798/IF($A798&lt;COUNTIFS($K$1:M$1,"&lt;&gt;"),0,SUMIFS($J:$J,$B:$B,$B798,$A:$A,"&gt;="&amp;COUNTIFS($K$1:M$1,"&lt;&gt;"))),0)</f>
        <v>0.10689655172413795</v>
      </c>
      <c r="N798">
        <f>IFERROR($J798/IF($A798&lt;COUNTIFS($K$1:N$1,"&lt;&gt;"),0,SUMIFS($J:$J,$B:$B,$B798,$A:$A,"&gt;="&amp;COUNTIFS($K$1:N$1,"&lt;&gt;"))),0)</f>
        <v>0</v>
      </c>
      <c r="O798">
        <f>IFERROR($J798/IF($A798&lt;COUNTIFS($K$1:O$1,"&lt;&gt;"),0,SUMIFS($J:$J,$B:$B,$B798,$A:$A,"&gt;="&amp;COUNTIFS($K$1:O$1,"&lt;&gt;"))),0)</f>
        <v>0</v>
      </c>
      <c r="P798">
        <f>IFERROR($J798/IF($A798&lt;COUNTIFS($K$1:P$1,"&lt;&gt;"),0,SUMIFS($J:$J,$B:$B,$B798,$A:$A,"&gt;="&amp;COUNTIFS($K$1:P$1,"&lt;&gt;"))),0)</f>
        <v>0</v>
      </c>
      <c r="Q798">
        <f>IFERROR($J798/IF($A798&lt;COUNTIFS($K$1:Q$1,"&lt;&gt;"),0,SUMIFS($J:$J,$B:$B,$B798,$A:$A,"&gt;="&amp;COUNTIFS($K$1:Q$1,"&lt;&gt;"))),0)</f>
        <v>0</v>
      </c>
      <c r="R798">
        <f>IFERROR($J798/IF($A798&lt;COUNTIFS($K$1:R$1,"&lt;&gt;"),0,SUMIFS($J:$J,$B:$B,$B798,$A:$A,"&gt;="&amp;COUNTIFS($K$1:R$1,"&lt;&gt;"))),0)</f>
        <v>0</v>
      </c>
      <c r="S798">
        <f>IFERROR($J798/IF($A798&lt;COUNTIFS($K$1:S$1,"&lt;&gt;"),0,SUMIFS($J:$J,$B:$B,$B798,$A:$A,"&gt;="&amp;COUNTIFS($K$1:S$1,"&lt;&gt;"))),0)</f>
        <v>0</v>
      </c>
      <c r="T798">
        <f>IFERROR($J798/IF($A798&lt;COUNTIFS($K$1:T$1,"&lt;&gt;"),0,SUMIFS($J:$J,$B:$B,$B798,$A:$A,"&gt;="&amp;COUNTIFS($K$1:T$1,"&lt;&gt;"))),0)</f>
        <v>0</v>
      </c>
      <c r="U798">
        <f>IFERROR($J798/IF($A798&lt;COUNTIFS($K$1:U$1,"&lt;&gt;"),0,SUMIFS($J:$J,$B:$B,$B798,$A:$A,"&gt;="&amp;COUNTIFS($K$1:U$1,"&lt;&gt;"))),0)</f>
        <v>0</v>
      </c>
      <c r="V798">
        <f>IFERROR($J798/IF($A798&lt;COUNTIFS($K$1:V$1,"&lt;&gt;"),0,SUMIFS($J:$J,$B:$B,$B798,$A:$A,"&gt;="&amp;COUNTIFS($K$1:V$1,"&lt;&gt;"))),0)</f>
        <v>0</v>
      </c>
      <c r="W798">
        <f t="shared" si="288"/>
        <v>8.4931506849315067E-2</v>
      </c>
      <c r="X798">
        <f t="shared" si="268"/>
        <v>8.4931506849315067E-2</v>
      </c>
      <c r="Y798">
        <f t="shared" si="269"/>
        <v>8.4931506849315067E-2</v>
      </c>
      <c r="Z798">
        <f t="shared" si="270"/>
        <v>8.4931506849315067E-2</v>
      </c>
      <c r="AA798">
        <f t="shared" si="271"/>
        <v>0</v>
      </c>
      <c r="AB798">
        <f t="shared" si="272"/>
        <v>0</v>
      </c>
      <c r="AC798">
        <f t="shared" si="273"/>
        <v>0</v>
      </c>
      <c r="AD798">
        <f t="shared" si="274"/>
        <v>0</v>
      </c>
      <c r="AE798">
        <f t="shared" si="275"/>
        <v>0</v>
      </c>
      <c r="AF798">
        <f t="shared" si="276"/>
        <v>0</v>
      </c>
      <c r="AG798">
        <f t="shared" si="277"/>
        <v>0</v>
      </c>
      <c r="AH798">
        <f t="shared" si="278"/>
        <v>0</v>
      </c>
      <c r="AI798">
        <f t="shared" si="279"/>
        <v>0</v>
      </c>
      <c r="AJ798" s="2" t="str">
        <f t="shared" si="289"/>
        <v>345689</v>
      </c>
    </row>
    <row r="799" spans="1:36" x14ac:dyDescent="0.25">
      <c r="A799">
        <v>4</v>
      </c>
      <c r="B799" s="1">
        <v>45689</v>
      </c>
      <c r="C799" s="1">
        <f t="shared" si="280"/>
        <v>45809</v>
      </c>
      <c r="D799" s="1">
        <f t="shared" si="281"/>
        <v>45703</v>
      </c>
      <c r="E799" s="1">
        <f t="shared" si="282"/>
        <v>45809</v>
      </c>
      <c r="F799" s="1">
        <f t="shared" si="283"/>
        <v>45839</v>
      </c>
      <c r="G799" s="1">
        <f t="shared" si="284"/>
        <v>46068</v>
      </c>
      <c r="H799">
        <f t="shared" si="285"/>
        <v>365</v>
      </c>
      <c r="I799">
        <f t="shared" si="286"/>
        <v>30</v>
      </c>
      <c r="J799">
        <f t="shared" si="287"/>
        <v>8.2191780821917804E-2</v>
      </c>
      <c r="K799">
        <f>IFERROR($J799/IF($A799&lt;COUNTIFS($K$1:K$1,"&lt;&gt;"),0,SUMIFS($J:$J,$B:$B,$B799,$A:$A,"&gt;="&amp;COUNTIFS($K$1:K$1,"&lt;&gt;"))),0)</f>
        <v>8.5470085470085486E-2</v>
      </c>
      <c r="L799">
        <f>IFERROR($J799/IF($A799&lt;COUNTIFS($K$1:L$1,"&lt;&gt;"),0,SUMIFS($J:$J,$B:$B,$B799,$A:$A,"&gt;="&amp;COUNTIFS($K$1:L$1,"&lt;&gt;"))),0)</f>
        <v>9.3750000000000014E-2</v>
      </c>
      <c r="M799">
        <f>IFERROR($J799/IF($A799&lt;COUNTIFS($K$1:M$1,"&lt;&gt;"),0,SUMIFS($J:$J,$B:$B,$B799,$A:$A,"&gt;="&amp;COUNTIFS($K$1:M$1,"&lt;&gt;"))),0)</f>
        <v>0.10344827586206898</v>
      </c>
      <c r="N799">
        <f>IFERROR($J799/IF($A799&lt;COUNTIFS($K$1:N$1,"&lt;&gt;"),0,SUMIFS($J:$J,$B:$B,$B799,$A:$A,"&gt;="&amp;COUNTIFS($K$1:N$1,"&lt;&gt;"))),0)</f>
        <v>0.11583011583011585</v>
      </c>
      <c r="O799">
        <f>IFERROR($J799/IF($A799&lt;COUNTIFS($K$1:O$1,"&lt;&gt;"),0,SUMIFS($J:$J,$B:$B,$B799,$A:$A,"&gt;="&amp;COUNTIFS($K$1:O$1,"&lt;&gt;"))),0)</f>
        <v>0</v>
      </c>
      <c r="P799">
        <f>IFERROR($J799/IF($A799&lt;COUNTIFS($K$1:P$1,"&lt;&gt;"),0,SUMIFS($J:$J,$B:$B,$B799,$A:$A,"&gt;="&amp;COUNTIFS($K$1:P$1,"&lt;&gt;"))),0)</f>
        <v>0</v>
      </c>
      <c r="Q799">
        <f>IFERROR($J799/IF($A799&lt;COUNTIFS($K$1:Q$1,"&lt;&gt;"),0,SUMIFS($J:$J,$B:$B,$B799,$A:$A,"&gt;="&amp;COUNTIFS($K$1:Q$1,"&lt;&gt;"))),0)</f>
        <v>0</v>
      </c>
      <c r="R799">
        <f>IFERROR($J799/IF($A799&lt;COUNTIFS($K$1:R$1,"&lt;&gt;"),0,SUMIFS($J:$J,$B:$B,$B799,$A:$A,"&gt;="&amp;COUNTIFS($K$1:R$1,"&lt;&gt;"))),0)</f>
        <v>0</v>
      </c>
      <c r="S799">
        <f>IFERROR($J799/IF($A799&lt;COUNTIFS($K$1:S$1,"&lt;&gt;"),0,SUMIFS($J:$J,$B:$B,$B799,$A:$A,"&gt;="&amp;COUNTIFS($K$1:S$1,"&lt;&gt;"))),0)</f>
        <v>0</v>
      </c>
      <c r="T799">
        <f>IFERROR($J799/IF($A799&lt;COUNTIFS($K$1:T$1,"&lt;&gt;"),0,SUMIFS($J:$J,$B:$B,$B799,$A:$A,"&gt;="&amp;COUNTIFS($K$1:T$1,"&lt;&gt;"))),0)</f>
        <v>0</v>
      </c>
      <c r="U799">
        <f>IFERROR($J799/IF($A799&lt;COUNTIFS($K$1:U$1,"&lt;&gt;"),0,SUMIFS($J:$J,$B:$B,$B799,$A:$A,"&gt;="&amp;COUNTIFS($K$1:U$1,"&lt;&gt;"))),0)</f>
        <v>0</v>
      </c>
      <c r="V799">
        <f>IFERROR($J799/IF($A799&lt;COUNTIFS($K$1:V$1,"&lt;&gt;"),0,SUMIFS($J:$J,$B:$B,$B799,$A:$A,"&gt;="&amp;COUNTIFS($K$1:V$1,"&lt;&gt;"))),0)</f>
        <v>0</v>
      </c>
      <c r="W799">
        <f t="shared" si="288"/>
        <v>8.2191780821917804E-2</v>
      </c>
      <c r="X799">
        <f t="shared" si="268"/>
        <v>8.2191780821917804E-2</v>
      </c>
      <c r="Y799">
        <f t="shared" si="269"/>
        <v>8.2191780821917804E-2</v>
      </c>
      <c r="Z799">
        <f t="shared" si="270"/>
        <v>8.2191780821917804E-2</v>
      </c>
      <c r="AA799">
        <f t="shared" si="271"/>
        <v>8.2191780821917804E-2</v>
      </c>
      <c r="AB799">
        <f t="shared" si="272"/>
        <v>0</v>
      </c>
      <c r="AC799">
        <f t="shared" si="273"/>
        <v>0</v>
      </c>
      <c r="AD799">
        <f t="shared" si="274"/>
        <v>0</v>
      </c>
      <c r="AE799">
        <f t="shared" si="275"/>
        <v>0</v>
      </c>
      <c r="AF799">
        <f t="shared" si="276"/>
        <v>0</v>
      </c>
      <c r="AG799">
        <f t="shared" si="277"/>
        <v>0</v>
      </c>
      <c r="AH799">
        <f t="shared" si="278"/>
        <v>0</v>
      </c>
      <c r="AI799">
        <f t="shared" si="279"/>
        <v>0</v>
      </c>
      <c r="AJ799" s="2" t="str">
        <f t="shared" si="289"/>
        <v>445689</v>
      </c>
    </row>
    <row r="800" spans="1:36" x14ac:dyDescent="0.25">
      <c r="A800">
        <v>5</v>
      </c>
      <c r="B800" s="1">
        <v>45689</v>
      </c>
      <c r="C800" s="1">
        <f t="shared" si="280"/>
        <v>45839</v>
      </c>
      <c r="D800" s="1">
        <f t="shared" si="281"/>
        <v>45703</v>
      </c>
      <c r="E800" s="1">
        <f t="shared" si="282"/>
        <v>45839</v>
      </c>
      <c r="F800" s="1">
        <f t="shared" si="283"/>
        <v>45870</v>
      </c>
      <c r="G800" s="1">
        <f t="shared" si="284"/>
        <v>46068</v>
      </c>
      <c r="H800">
        <f t="shared" si="285"/>
        <v>365</v>
      </c>
      <c r="I800">
        <f t="shared" si="286"/>
        <v>31</v>
      </c>
      <c r="J800">
        <f t="shared" si="287"/>
        <v>8.4931506849315067E-2</v>
      </c>
      <c r="K800">
        <f>IFERROR($J800/IF($A800&lt;COUNTIFS($K$1:K$1,"&lt;&gt;"),0,SUMIFS($J:$J,$B:$B,$B800,$A:$A,"&gt;="&amp;COUNTIFS($K$1:K$1,"&lt;&gt;"))),0)</f>
        <v>8.8319088319088329E-2</v>
      </c>
      <c r="L800">
        <f>IFERROR($J800/IF($A800&lt;COUNTIFS($K$1:L$1,"&lt;&gt;"),0,SUMIFS($J:$J,$B:$B,$B800,$A:$A,"&gt;="&amp;COUNTIFS($K$1:L$1,"&lt;&gt;"))),0)</f>
        <v>9.6875000000000017E-2</v>
      </c>
      <c r="M800">
        <f>IFERROR($J800/IF($A800&lt;COUNTIFS($K$1:M$1,"&lt;&gt;"),0,SUMIFS($J:$J,$B:$B,$B800,$A:$A,"&gt;="&amp;COUNTIFS($K$1:M$1,"&lt;&gt;"))),0)</f>
        <v>0.10689655172413795</v>
      </c>
      <c r="N800">
        <f>IFERROR($J800/IF($A800&lt;COUNTIFS($K$1:N$1,"&lt;&gt;"),0,SUMIFS($J:$J,$B:$B,$B800,$A:$A,"&gt;="&amp;COUNTIFS($K$1:N$1,"&lt;&gt;"))),0)</f>
        <v>0.11969111969111972</v>
      </c>
      <c r="O800">
        <f>IFERROR($J800/IF($A800&lt;COUNTIFS($K$1:O$1,"&lt;&gt;"),0,SUMIFS($J:$J,$B:$B,$B800,$A:$A,"&gt;="&amp;COUNTIFS($K$1:O$1,"&lt;&gt;"))),0)</f>
        <v>0.13537117903930135</v>
      </c>
      <c r="P800">
        <f>IFERROR($J800/IF($A800&lt;COUNTIFS($K$1:P$1,"&lt;&gt;"),0,SUMIFS($J:$J,$B:$B,$B800,$A:$A,"&gt;="&amp;COUNTIFS($K$1:P$1,"&lt;&gt;"))),0)</f>
        <v>0</v>
      </c>
      <c r="Q800">
        <f>IFERROR($J800/IF($A800&lt;COUNTIFS($K$1:Q$1,"&lt;&gt;"),0,SUMIFS($J:$J,$B:$B,$B800,$A:$A,"&gt;="&amp;COUNTIFS($K$1:Q$1,"&lt;&gt;"))),0)</f>
        <v>0</v>
      </c>
      <c r="R800">
        <f>IFERROR($J800/IF($A800&lt;COUNTIFS($K$1:R$1,"&lt;&gt;"),0,SUMIFS($J:$J,$B:$B,$B800,$A:$A,"&gt;="&amp;COUNTIFS($K$1:R$1,"&lt;&gt;"))),0)</f>
        <v>0</v>
      </c>
      <c r="S800">
        <f>IFERROR($J800/IF($A800&lt;COUNTIFS($K$1:S$1,"&lt;&gt;"),0,SUMIFS($J:$J,$B:$B,$B800,$A:$A,"&gt;="&amp;COUNTIFS($K$1:S$1,"&lt;&gt;"))),0)</f>
        <v>0</v>
      </c>
      <c r="T800">
        <f>IFERROR($J800/IF($A800&lt;COUNTIFS($K$1:T$1,"&lt;&gt;"),0,SUMIFS($J:$J,$B:$B,$B800,$A:$A,"&gt;="&amp;COUNTIFS($K$1:T$1,"&lt;&gt;"))),0)</f>
        <v>0</v>
      </c>
      <c r="U800">
        <f>IFERROR($J800/IF($A800&lt;COUNTIFS($K$1:U$1,"&lt;&gt;"),0,SUMIFS($J:$J,$B:$B,$B800,$A:$A,"&gt;="&amp;COUNTIFS($K$1:U$1,"&lt;&gt;"))),0)</f>
        <v>0</v>
      </c>
      <c r="V800">
        <f>IFERROR($J800/IF($A800&lt;COUNTIFS($K$1:V$1,"&lt;&gt;"),0,SUMIFS($J:$J,$B:$B,$B800,$A:$A,"&gt;="&amp;COUNTIFS($K$1:V$1,"&lt;&gt;"))),0)</f>
        <v>0</v>
      </c>
      <c r="W800">
        <f t="shared" si="288"/>
        <v>8.4931506849315067E-2</v>
      </c>
      <c r="X800">
        <f t="shared" si="268"/>
        <v>8.4931506849315067E-2</v>
      </c>
      <c r="Y800">
        <f t="shared" si="269"/>
        <v>8.4931506849315067E-2</v>
      </c>
      <c r="Z800">
        <f t="shared" si="270"/>
        <v>8.4931506849315067E-2</v>
      </c>
      <c r="AA800">
        <f t="shared" si="271"/>
        <v>8.4931506849315067E-2</v>
      </c>
      <c r="AB800">
        <f t="shared" si="272"/>
        <v>8.4931506849315067E-2</v>
      </c>
      <c r="AC800">
        <f t="shared" si="273"/>
        <v>0</v>
      </c>
      <c r="AD800">
        <f t="shared" si="274"/>
        <v>0</v>
      </c>
      <c r="AE800">
        <f t="shared" si="275"/>
        <v>0</v>
      </c>
      <c r="AF800">
        <f t="shared" si="276"/>
        <v>0</v>
      </c>
      <c r="AG800">
        <f t="shared" si="277"/>
        <v>0</v>
      </c>
      <c r="AH800">
        <f t="shared" si="278"/>
        <v>0</v>
      </c>
      <c r="AI800">
        <f t="shared" si="279"/>
        <v>0</v>
      </c>
      <c r="AJ800" s="2" t="str">
        <f t="shared" si="289"/>
        <v>545689</v>
      </c>
    </row>
    <row r="801" spans="1:36" x14ac:dyDescent="0.25">
      <c r="A801">
        <v>6</v>
      </c>
      <c r="B801" s="1">
        <v>45689</v>
      </c>
      <c r="C801" s="1">
        <f t="shared" si="280"/>
        <v>45870</v>
      </c>
      <c r="D801" s="1">
        <f t="shared" si="281"/>
        <v>45703</v>
      </c>
      <c r="E801" s="1">
        <f t="shared" si="282"/>
        <v>45870</v>
      </c>
      <c r="F801" s="1">
        <f t="shared" si="283"/>
        <v>45901</v>
      </c>
      <c r="G801" s="1">
        <f t="shared" si="284"/>
        <v>46068</v>
      </c>
      <c r="H801">
        <f t="shared" si="285"/>
        <v>365</v>
      </c>
      <c r="I801">
        <f t="shared" si="286"/>
        <v>31</v>
      </c>
      <c r="J801">
        <f t="shared" si="287"/>
        <v>8.4931506849315067E-2</v>
      </c>
      <c r="K801">
        <f>IFERROR($J801/IF($A801&lt;COUNTIFS($K$1:K$1,"&lt;&gt;"),0,SUMIFS($J:$J,$B:$B,$B801,$A:$A,"&gt;="&amp;COUNTIFS($K$1:K$1,"&lt;&gt;"))),0)</f>
        <v>8.8319088319088329E-2</v>
      </c>
      <c r="L801">
        <f>IFERROR($J801/IF($A801&lt;COUNTIFS($K$1:L$1,"&lt;&gt;"),0,SUMIFS($J:$J,$B:$B,$B801,$A:$A,"&gt;="&amp;COUNTIFS($K$1:L$1,"&lt;&gt;"))),0)</f>
        <v>9.6875000000000017E-2</v>
      </c>
      <c r="M801">
        <f>IFERROR($J801/IF($A801&lt;COUNTIFS($K$1:M$1,"&lt;&gt;"),0,SUMIFS($J:$J,$B:$B,$B801,$A:$A,"&gt;="&amp;COUNTIFS($K$1:M$1,"&lt;&gt;"))),0)</f>
        <v>0.10689655172413795</v>
      </c>
      <c r="N801">
        <f>IFERROR($J801/IF($A801&lt;COUNTIFS($K$1:N$1,"&lt;&gt;"),0,SUMIFS($J:$J,$B:$B,$B801,$A:$A,"&gt;="&amp;COUNTIFS($K$1:N$1,"&lt;&gt;"))),0)</f>
        <v>0.11969111969111972</v>
      </c>
      <c r="O801">
        <f>IFERROR($J801/IF($A801&lt;COUNTIFS($K$1:O$1,"&lt;&gt;"),0,SUMIFS($J:$J,$B:$B,$B801,$A:$A,"&gt;="&amp;COUNTIFS($K$1:O$1,"&lt;&gt;"))),0)</f>
        <v>0.13537117903930135</v>
      </c>
      <c r="P801">
        <f>IFERROR($J801/IF($A801&lt;COUNTIFS($K$1:P$1,"&lt;&gt;"),0,SUMIFS($J:$J,$B:$B,$B801,$A:$A,"&gt;="&amp;COUNTIFS($K$1:P$1,"&lt;&gt;"))),0)</f>
        <v>0.1565656565656566</v>
      </c>
      <c r="Q801">
        <f>IFERROR($J801/IF($A801&lt;COUNTIFS($K$1:Q$1,"&lt;&gt;"),0,SUMIFS($J:$J,$B:$B,$B801,$A:$A,"&gt;="&amp;COUNTIFS($K$1:Q$1,"&lt;&gt;"))),0)</f>
        <v>0</v>
      </c>
      <c r="R801">
        <f>IFERROR($J801/IF($A801&lt;COUNTIFS($K$1:R$1,"&lt;&gt;"),0,SUMIFS($J:$J,$B:$B,$B801,$A:$A,"&gt;="&amp;COUNTIFS($K$1:R$1,"&lt;&gt;"))),0)</f>
        <v>0</v>
      </c>
      <c r="S801">
        <f>IFERROR($J801/IF($A801&lt;COUNTIFS($K$1:S$1,"&lt;&gt;"),0,SUMIFS($J:$J,$B:$B,$B801,$A:$A,"&gt;="&amp;COUNTIFS($K$1:S$1,"&lt;&gt;"))),0)</f>
        <v>0</v>
      </c>
      <c r="T801">
        <f>IFERROR($J801/IF($A801&lt;COUNTIFS($K$1:T$1,"&lt;&gt;"),0,SUMIFS($J:$J,$B:$B,$B801,$A:$A,"&gt;="&amp;COUNTIFS($K$1:T$1,"&lt;&gt;"))),0)</f>
        <v>0</v>
      </c>
      <c r="U801">
        <f>IFERROR($J801/IF($A801&lt;COUNTIFS($K$1:U$1,"&lt;&gt;"),0,SUMIFS($J:$J,$B:$B,$B801,$A:$A,"&gt;="&amp;COUNTIFS($K$1:U$1,"&lt;&gt;"))),0)</f>
        <v>0</v>
      </c>
      <c r="V801">
        <f>IFERROR($J801/IF($A801&lt;COUNTIFS($K$1:V$1,"&lt;&gt;"),0,SUMIFS($J:$J,$B:$B,$B801,$A:$A,"&gt;="&amp;COUNTIFS($K$1:V$1,"&lt;&gt;"))),0)</f>
        <v>0</v>
      </c>
      <c r="W801">
        <f t="shared" si="288"/>
        <v>8.4931506849315067E-2</v>
      </c>
      <c r="X801">
        <f t="shared" si="268"/>
        <v>8.4931506849315067E-2</v>
      </c>
      <c r="Y801">
        <f t="shared" si="269"/>
        <v>8.4931506849315067E-2</v>
      </c>
      <c r="Z801">
        <f t="shared" si="270"/>
        <v>8.4931506849315067E-2</v>
      </c>
      <c r="AA801">
        <f t="shared" si="271"/>
        <v>8.4931506849315067E-2</v>
      </c>
      <c r="AB801">
        <f t="shared" si="272"/>
        <v>8.4931506849315067E-2</v>
      </c>
      <c r="AC801">
        <f t="shared" si="273"/>
        <v>8.4931506849315067E-2</v>
      </c>
      <c r="AD801">
        <f t="shared" si="274"/>
        <v>0</v>
      </c>
      <c r="AE801">
        <f t="shared" si="275"/>
        <v>0</v>
      </c>
      <c r="AF801">
        <f t="shared" si="276"/>
        <v>0</v>
      </c>
      <c r="AG801">
        <f t="shared" si="277"/>
        <v>0</v>
      </c>
      <c r="AH801">
        <f t="shared" si="278"/>
        <v>0</v>
      </c>
      <c r="AI801">
        <f t="shared" si="279"/>
        <v>0</v>
      </c>
      <c r="AJ801" s="2" t="str">
        <f t="shared" si="289"/>
        <v>645689</v>
      </c>
    </row>
    <row r="802" spans="1:36" x14ac:dyDescent="0.25">
      <c r="A802">
        <v>7</v>
      </c>
      <c r="B802" s="1">
        <v>45689</v>
      </c>
      <c r="C802" s="1">
        <f t="shared" si="280"/>
        <v>45901</v>
      </c>
      <c r="D802" s="1">
        <f t="shared" si="281"/>
        <v>45703</v>
      </c>
      <c r="E802" s="1">
        <f t="shared" si="282"/>
        <v>45901</v>
      </c>
      <c r="F802" s="1">
        <f t="shared" si="283"/>
        <v>45931</v>
      </c>
      <c r="G802" s="1">
        <f t="shared" si="284"/>
        <v>46068</v>
      </c>
      <c r="H802">
        <f t="shared" si="285"/>
        <v>365</v>
      </c>
      <c r="I802">
        <f t="shared" si="286"/>
        <v>30</v>
      </c>
      <c r="J802">
        <f t="shared" si="287"/>
        <v>8.2191780821917804E-2</v>
      </c>
      <c r="K802">
        <f>IFERROR($J802/IF($A802&lt;COUNTIFS($K$1:K$1,"&lt;&gt;"),0,SUMIFS($J:$J,$B:$B,$B802,$A:$A,"&gt;="&amp;COUNTIFS($K$1:K$1,"&lt;&gt;"))),0)</f>
        <v>8.5470085470085486E-2</v>
      </c>
      <c r="L802">
        <f>IFERROR($J802/IF($A802&lt;COUNTIFS($K$1:L$1,"&lt;&gt;"),0,SUMIFS($J:$J,$B:$B,$B802,$A:$A,"&gt;="&amp;COUNTIFS($K$1:L$1,"&lt;&gt;"))),0)</f>
        <v>9.3750000000000014E-2</v>
      </c>
      <c r="M802">
        <f>IFERROR($J802/IF($A802&lt;COUNTIFS($K$1:M$1,"&lt;&gt;"),0,SUMIFS($J:$J,$B:$B,$B802,$A:$A,"&gt;="&amp;COUNTIFS($K$1:M$1,"&lt;&gt;"))),0)</f>
        <v>0.10344827586206898</v>
      </c>
      <c r="N802">
        <f>IFERROR($J802/IF($A802&lt;COUNTIFS($K$1:N$1,"&lt;&gt;"),0,SUMIFS($J:$J,$B:$B,$B802,$A:$A,"&gt;="&amp;COUNTIFS($K$1:N$1,"&lt;&gt;"))),0)</f>
        <v>0.11583011583011585</v>
      </c>
      <c r="O802">
        <f>IFERROR($J802/IF($A802&lt;COUNTIFS($K$1:O$1,"&lt;&gt;"),0,SUMIFS($J:$J,$B:$B,$B802,$A:$A,"&gt;="&amp;COUNTIFS($K$1:O$1,"&lt;&gt;"))),0)</f>
        <v>0.1310043668122271</v>
      </c>
      <c r="P802">
        <f>IFERROR($J802/IF($A802&lt;COUNTIFS($K$1:P$1,"&lt;&gt;"),0,SUMIFS($J:$J,$B:$B,$B802,$A:$A,"&gt;="&amp;COUNTIFS($K$1:P$1,"&lt;&gt;"))),0)</f>
        <v>0.15151515151515155</v>
      </c>
      <c r="Q802">
        <f>IFERROR($J802/IF($A802&lt;COUNTIFS($K$1:Q$1,"&lt;&gt;"),0,SUMIFS($J:$J,$B:$B,$B802,$A:$A,"&gt;="&amp;COUNTIFS($K$1:Q$1,"&lt;&gt;"))),0)</f>
        <v>0.17964071856287425</v>
      </c>
      <c r="R802">
        <f>IFERROR($J802/IF($A802&lt;COUNTIFS($K$1:R$1,"&lt;&gt;"),0,SUMIFS($J:$J,$B:$B,$B802,$A:$A,"&gt;="&amp;COUNTIFS($K$1:R$1,"&lt;&gt;"))),0)</f>
        <v>0</v>
      </c>
      <c r="S802">
        <f>IFERROR($J802/IF($A802&lt;COUNTIFS($K$1:S$1,"&lt;&gt;"),0,SUMIFS($J:$J,$B:$B,$B802,$A:$A,"&gt;="&amp;COUNTIFS($K$1:S$1,"&lt;&gt;"))),0)</f>
        <v>0</v>
      </c>
      <c r="T802">
        <f>IFERROR($J802/IF($A802&lt;COUNTIFS($K$1:T$1,"&lt;&gt;"),0,SUMIFS($J:$J,$B:$B,$B802,$A:$A,"&gt;="&amp;COUNTIFS($K$1:T$1,"&lt;&gt;"))),0)</f>
        <v>0</v>
      </c>
      <c r="U802">
        <f>IFERROR($J802/IF($A802&lt;COUNTIFS($K$1:U$1,"&lt;&gt;"),0,SUMIFS($J:$J,$B:$B,$B802,$A:$A,"&gt;="&amp;COUNTIFS($K$1:U$1,"&lt;&gt;"))),0)</f>
        <v>0</v>
      </c>
      <c r="V802">
        <f>IFERROR($J802/IF($A802&lt;COUNTIFS($K$1:V$1,"&lt;&gt;"),0,SUMIFS($J:$J,$B:$B,$B802,$A:$A,"&gt;="&amp;COUNTIFS($K$1:V$1,"&lt;&gt;"))),0)</f>
        <v>0</v>
      </c>
      <c r="W802">
        <f t="shared" si="288"/>
        <v>8.2191780821917804E-2</v>
      </c>
      <c r="X802">
        <f t="shared" si="268"/>
        <v>8.2191780821917804E-2</v>
      </c>
      <c r="Y802">
        <f t="shared" si="269"/>
        <v>8.2191780821917804E-2</v>
      </c>
      <c r="Z802">
        <f t="shared" si="270"/>
        <v>8.2191780821917804E-2</v>
      </c>
      <c r="AA802">
        <f t="shared" si="271"/>
        <v>8.2191780821917804E-2</v>
      </c>
      <c r="AB802">
        <f t="shared" si="272"/>
        <v>8.2191780821917804E-2</v>
      </c>
      <c r="AC802">
        <f t="shared" si="273"/>
        <v>8.2191780821917804E-2</v>
      </c>
      <c r="AD802">
        <f t="shared" si="274"/>
        <v>8.2191780821917804E-2</v>
      </c>
      <c r="AE802">
        <f t="shared" si="275"/>
        <v>0</v>
      </c>
      <c r="AF802">
        <f t="shared" si="276"/>
        <v>0</v>
      </c>
      <c r="AG802">
        <f t="shared" si="277"/>
        <v>0</v>
      </c>
      <c r="AH802">
        <f t="shared" si="278"/>
        <v>0</v>
      </c>
      <c r="AI802">
        <f t="shared" si="279"/>
        <v>0</v>
      </c>
      <c r="AJ802" s="2" t="str">
        <f t="shared" si="289"/>
        <v>745689</v>
      </c>
    </row>
    <row r="803" spans="1:36" x14ac:dyDescent="0.25">
      <c r="A803">
        <v>8</v>
      </c>
      <c r="B803" s="1">
        <v>45689</v>
      </c>
      <c r="C803" s="1">
        <f t="shared" si="280"/>
        <v>45931</v>
      </c>
      <c r="D803" s="1">
        <f t="shared" si="281"/>
        <v>45703</v>
      </c>
      <c r="E803" s="1">
        <f t="shared" si="282"/>
        <v>45931</v>
      </c>
      <c r="F803" s="1">
        <f t="shared" si="283"/>
        <v>45962</v>
      </c>
      <c r="G803" s="1">
        <f t="shared" si="284"/>
        <v>46068</v>
      </c>
      <c r="H803">
        <f t="shared" si="285"/>
        <v>365</v>
      </c>
      <c r="I803">
        <f t="shared" si="286"/>
        <v>31</v>
      </c>
      <c r="J803">
        <f t="shared" si="287"/>
        <v>8.4931506849315067E-2</v>
      </c>
      <c r="K803">
        <f>IFERROR($J803/IF($A803&lt;COUNTIFS($K$1:K$1,"&lt;&gt;"),0,SUMIFS($J:$J,$B:$B,$B803,$A:$A,"&gt;="&amp;COUNTIFS($K$1:K$1,"&lt;&gt;"))),0)</f>
        <v>8.8319088319088329E-2</v>
      </c>
      <c r="L803">
        <f>IFERROR($J803/IF($A803&lt;COUNTIFS($K$1:L$1,"&lt;&gt;"),0,SUMIFS($J:$J,$B:$B,$B803,$A:$A,"&gt;="&amp;COUNTIFS($K$1:L$1,"&lt;&gt;"))),0)</f>
        <v>9.6875000000000017E-2</v>
      </c>
      <c r="M803">
        <f>IFERROR($J803/IF($A803&lt;COUNTIFS($K$1:M$1,"&lt;&gt;"),0,SUMIFS($J:$J,$B:$B,$B803,$A:$A,"&gt;="&amp;COUNTIFS($K$1:M$1,"&lt;&gt;"))),0)</f>
        <v>0.10689655172413795</v>
      </c>
      <c r="N803">
        <f>IFERROR($J803/IF($A803&lt;COUNTIFS($K$1:N$1,"&lt;&gt;"),0,SUMIFS($J:$J,$B:$B,$B803,$A:$A,"&gt;="&amp;COUNTIFS($K$1:N$1,"&lt;&gt;"))),0)</f>
        <v>0.11969111969111972</v>
      </c>
      <c r="O803">
        <f>IFERROR($J803/IF($A803&lt;COUNTIFS($K$1:O$1,"&lt;&gt;"),0,SUMIFS($J:$J,$B:$B,$B803,$A:$A,"&gt;="&amp;COUNTIFS($K$1:O$1,"&lt;&gt;"))),0)</f>
        <v>0.13537117903930135</v>
      </c>
      <c r="P803">
        <f>IFERROR($J803/IF($A803&lt;COUNTIFS($K$1:P$1,"&lt;&gt;"),0,SUMIFS($J:$J,$B:$B,$B803,$A:$A,"&gt;="&amp;COUNTIFS($K$1:P$1,"&lt;&gt;"))),0)</f>
        <v>0.1565656565656566</v>
      </c>
      <c r="Q803">
        <f>IFERROR($J803/IF($A803&lt;COUNTIFS($K$1:Q$1,"&lt;&gt;"),0,SUMIFS($J:$J,$B:$B,$B803,$A:$A,"&gt;="&amp;COUNTIFS($K$1:Q$1,"&lt;&gt;"))),0)</f>
        <v>0.18562874251497008</v>
      </c>
      <c r="R803">
        <f>IFERROR($J803/IF($A803&lt;COUNTIFS($K$1:R$1,"&lt;&gt;"),0,SUMIFS($J:$J,$B:$B,$B803,$A:$A,"&gt;="&amp;COUNTIFS($K$1:R$1,"&lt;&gt;"))),0)</f>
        <v>0.22627737226277375</v>
      </c>
      <c r="S803">
        <f>IFERROR($J803/IF($A803&lt;COUNTIFS($K$1:S$1,"&lt;&gt;"),0,SUMIFS($J:$J,$B:$B,$B803,$A:$A,"&gt;="&amp;COUNTIFS($K$1:S$1,"&lt;&gt;"))),0)</f>
        <v>0</v>
      </c>
      <c r="T803">
        <f>IFERROR($J803/IF($A803&lt;COUNTIFS($K$1:T$1,"&lt;&gt;"),0,SUMIFS($J:$J,$B:$B,$B803,$A:$A,"&gt;="&amp;COUNTIFS($K$1:T$1,"&lt;&gt;"))),0)</f>
        <v>0</v>
      </c>
      <c r="U803">
        <f>IFERROR($J803/IF($A803&lt;COUNTIFS($K$1:U$1,"&lt;&gt;"),0,SUMIFS($J:$J,$B:$B,$B803,$A:$A,"&gt;="&amp;COUNTIFS($K$1:U$1,"&lt;&gt;"))),0)</f>
        <v>0</v>
      </c>
      <c r="V803">
        <f>IFERROR($J803/IF($A803&lt;COUNTIFS($K$1:V$1,"&lt;&gt;"),0,SUMIFS($J:$J,$B:$B,$B803,$A:$A,"&gt;="&amp;COUNTIFS($K$1:V$1,"&lt;&gt;"))),0)</f>
        <v>0</v>
      </c>
      <c r="W803">
        <f t="shared" si="288"/>
        <v>8.4931506849315067E-2</v>
      </c>
      <c r="X803">
        <f t="shared" si="268"/>
        <v>8.4931506849315067E-2</v>
      </c>
      <c r="Y803">
        <f t="shared" si="269"/>
        <v>8.4931506849315067E-2</v>
      </c>
      <c r="Z803">
        <f t="shared" si="270"/>
        <v>8.4931506849315067E-2</v>
      </c>
      <c r="AA803">
        <f t="shared" si="271"/>
        <v>8.4931506849315067E-2</v>
      </c>
      <c r="AB803">
        <f t="shared" si="272"/>
        <v>8.4931506849315067E-2</v>
      </c>
      <c r="AC803">
        <f t="shared" si="273"/>
        <v>8.4931506849315067E-2</v>
      </c>
      <c r="AD803">
        <f t="shared" si="274"/>
        <v>8.4931506849315067E-2</v>
      </c>
      <c r="AE803">
        <f t="shared" si="275"/>
        <v>8.4931506849315067E-2</v>
      </c>
      <c r="AF803">
        <f t="shared" si="276"/>
        <v>0</v>
      </c>
      <c r="AG803">
        <f t="shared" si="277"/>
        <v>0</v>
      </c>
      <c r="AH803">
        <f t="shared" si="278"/>
        <v>0</v>
      </c>
      <c r="AI803">
        <f t="shared" si="279"/>
        <v>0</v>
      </c>
      <c r="AJ803" s="2" t="str">
        <f t="shared" si="289"/>
        <v>845689</v>
      </c>
    </row>
    <row r="804" spans="1:36" x14ac:dyDescent="0.25">
      <c r="A804">
        <v>9</v>
      </c>
      <c r="B804" s="1">
        <v>45689</v>
      </c>
      <c r="C804" s="1">
        <f t="shared" si="280"/>
        <v>45962</v>
      </c>
      <c r="D804" s="1">
        <f t="shared" si="281"/>
        <v>45703</v>
      </c>
      <c r="E804" s="1">
        <f t="shared" si="282"/>
        <v>45962</v>
      </c>
      <c r="F804" s="1">
        <f t="shared" si="283"/>
        <v>45992</v>
      </c>
      <c r="G804" s="1">
        <f t="shared" si="284"/>
        <v>46068</v>
      </c>
      <c r="H804">
        <f t="shared" si="285"/>
        <v>365</v>
      </c>
      <c r="I804">
        <f t="shared" si="286"/>
        <v>30</v>
      </c>
      <c r="J804">
        <f t="shared" si="287"/>
        <v>8.2191780821917804E-2</v>
      </c>
      <c r="K804">
        <f>IFERROR($J804/IF($A804&lt;COUNTIFS($K$1:K$1,"&lt;&gt;"),0,SUMIFS($J:$J,$B:$B,$B804,$A:$A,"&gt;="&amp;COUNTIFS($K$1:K$1,"&lt;&gt;"))),0)</f>
        <v>8.5470085470085486E-2</v>
      </c>
      <c r="L804">
        <f>IFERROR($J804/IF($A804&lt;COUNTIFS($K$1:L$1,"&lt;&gt;"),0,SUMIFS($J:$J,$B:$B,$B804,$A:$A,"&gt;="&amp;COUNTIFS($K$1:L$1,"&lt;&gt;"))),0)</f>
        <v>9.3750000000000014E-2</v>
      </c>
      <c r="M804">
        <f>IFERROR($J804/IF($A804&lt;COUNTIFS($K$1:M$1,"&lt;&gt;"),0,SUMIFS($J:$J,$B:$B,$B804,$A:$A,"&gt;="&amp;COUNTIFS($K$1:M$1,"&lt;&gt;"))),0)</f>
        <v>0.10344827586206898</v>
      </c>
      <c r="N804">
        <f>IFERROR($J804/IF($A804&lt;COUNTIFS($K$1:N$1,"&lt;&gt;"),0,SUMIFS($J:$J,$B:$B,$B804,$A:$A,"&gt;="&amp;COUNTIFS($K$1:N$1,"&lt;&gt;"))),0)</f>
        <v>0.11583011583011585</v>
      </c>
      <c r="O804">
        <f>IFERROR($J804/IF($A804&lt;COUNTIFS($K$1:O$1,"&lt;&gt;"),0,SUMIFS($J:$J,$B:$B,$B804,$A:$A,"&gt;="&amp;COUNTIFS($K$1:O$1,"&lt;&gt;"))),0)</f>
        <v>0.1310043668122271</v>
      </c>
      <c r="P804">
        <f>IFERROR($J804/IF($A804&lt;COUNTIFS($K$1:P$1,"&lt;&gt;"),0,SUMIFS($J:$J,$B:$B,$B804,$A:$A,"&gt;="&amp;COUNTIFS($K$1:P$1,"&lt;&gt;"))),0)</f>
        <v>0.15151515151515155</v>
      </c>
      <c r="Q804">
        <f>IFERROR($J804/IF($A804&lt;COUNTIFS($K$1:Q$1,"&lt;&gt;"),0,SUMIFS($J:$J,$B:$B,$B804,$A:$A,"&gt;="&amp;COUNTIFS($K$1:Q$1,"&lt;&gt;"))),0)</f>
        <v>0.17964071856287425</v>
      </c>
      <c r="R804">
        <f>IFERROR($J804/IF($A804&lt;COUNTIFS($K$1:R$1,"&lt;&gt;"),0,SUMIFS($J:$J,$B:$B,$B804,$A:$A,"&gt;="&amp;COUNTIFS($K$1:R$1,"&lt;&gt;"))),0)</f>
        <v>0.21897810218978103</v>
      </c>
      <c r="S804">
        <f>IFERROR($J804/IF($A804&lt;COUNTIFS($K$1:S$1,"&lt;&gt;"),0,SUMIFS($J:$J,$B:$B,$B804,$A:$A,"&gt;="&amp;COUNTIFS($K$1:S$1,"&lt;&gt;"))),0)</f>
        <v>0.28301886792452829</v>
      </c>
      <c r="T804">
        <f>IFERROR($J804/IF($A804&lt;COUNTIFS($K$1:T$1,"&lt;&gt;"),0,SUMIFS($J:$J,$B:$B,$B804,$A:$A,"&gt;="&amp;COUNTIFS($K$1:T$1,"&lt;&gt;"))),0)</f>
        <v>0</v>
      </c>
      <c r="U804">
        <f>IFERROR($J804/IF($A804&lt;COUNTIFS($K$1:U$1,"&lt;&gt;"),0,SUMIFS($J:$J,$B:$B,$B804,$A:$A,"&gt;="&amp;COUNTIFS($K$1:U$1,"&lt;&gt;"))),0)</f>
        <v>0</v>
      </c>
      <c r="V804">
        <f>IFERROR($J804/IF($A804&lt;COUNTIFS($K$1:V$1,"&lt;&gt;"),0,SUMIFS($J:$J,$B:$B,$B804,$A:$A,"&gt;="&amp;COUNTIFS($K$1:V$1,"&lt;&gt;"))),0)</f>
        <v>0</v>
      </c>
      <c r="W804">
        <f t="shared" si="288"/>
        <v>8.2191780821917804E-2</v>
      </c>
      <c r="X804">
        <f t="shared" si="268"/>
        <v>8.2191780821917804E-2</v>
      </c>
      <c r="Y804">
        <f t="shared" si="269"/>
        <v>8.2191780821917804E-2</v>
      </c>
      <c r="Z804">
        <f t="shared" si="270"/>
        <v>8.2191780821917804E-2</v>
      </c>
      <c r="AA804">
        <f t="shared" si="271"/>
        <v>8.2191780821917804E-2</v>
      </c>
      <c r="AB804">
        <f t="shared" si="272"/>
        <v>8.2191780821917804E-2</v>
      </c>
      <c r="AC804">
        <f t="shared" si="273"/>
        <v>8.2191780821917804E-2</v>
      </c>
      <c r="AD804">
        <f t="shared" si="274"/>
        <v>8.2191780821917804E-2</v>
      </c>
      <c r="AE804">
        <f t="shared" si="275"/>
        <v>8.2191780821917804E-2</v>
      </c>
      <c r="AF804">
        <f t="shared" si="276"/>
        <v>8.2191780821917804E-2</v>
      </c>
      <c r="AG804">
        <f t="shared" si="277"/>
        <v>0</v>
      </c>
      <c r="AH804">
        <f t="shared" si="278"/>
        <v>0</v>
      </c>
      <c r="AI804">
        <f t="shared" si="279"/>
        <v>0</v>
      </c>
      <c r="AJ804" s="2" t="str">
        <f t="shared" si="289"/>
        <v>945689</v>
      </c>
    </row>
    <row r="805" spans="1:36" x14ac:dyDescent="0.25">
      <c r="A805">
        <v>10</v>
      </c>
      <c r="B805" s="1">
        <v>45689</v>
      </c>
      <c r="C805" s="1">
        <f t="shared" si="280"/>
        <v>45992</v>
      </c>
      <c r="D805" s="1">
        <f t="shared" si="281"/>
        <v>45703</v>
      </c>
      <c r="E805" s="1">
        <f t="shared" si="282"/>
        <v>45992</v>
      </c>
      <c r="F805" s="1">
        <f t="shared" si="283"/>
        <v>46023</v>
      </c>
      <c r="G805" s="1">
        <f t="shared" si="284"/>
        <v>46068</v>
      </c>
      <c r="H805">
        <f t="shared" si="285"/>
        <v>365</v>
      </c>
      <c r="I805">
        <f t="shared" si="286"/>
        <v>31</v>
      </c>
      <c r="J805">
        <f t="shared" si="287"/>
        <v>8.4931506849315067E-2</v>
      </c>
      <c r="K805">
        <f>IFERROR($J805/IF($A805&lt;COUNTIFS($K$1:K$1,"&lt;&gt;"),0,SUMIFS($J:$J,$B:$B,$B805,$A:$A,"&gt;="&amp;COUNTIFS($K$1:K$1,"&lt;&gt;"))),0)</f>
        <v>8.8319088319088329E-2</v>
      </c>
      <c r="L805">
        <f>IFERROR($J805/IF($A805&lt;COUNTIFS($K$1:L$1,"&lt;&gt;"),0,SUMIFS($J:$J,$B:$B,$B805,$A:$A,"&gt;="&amp;COUNTIFS($K$1:L$1,"&lt;&gt;"))),0)</f>
        <v>9.6875000000000017E-2</v>
      </c>
      <c r="M805">
        <f>IFERROR($J805/IF($A805&lt;COUNTIFS($K$1:M$1,"&lt;&gt;"),0,SUMIFS($J:$J,$B:$B,$B805,$A:$A,"&gt;="&amp;COUNTIFS($K$1:M$1,"&lt;&gt;"))),0)</f>
        <v>0.10689655172413795</v>
      </c>
      <c r="N805">
        <f>IFERROR($J805/IF($A805&lt;COUNTIFS($K$1:N$1,"&lt;&gt;"),0,SUMIFS($J:$J,$B:$B,$B805,$A:$A,"&gt;="&amp;COUNTIFS($K$1:N$1,"&lt;&gt;"))),0)</f>
        <v>0.11969111969111972</v>
      </c>
      <c r="O805">
        <f>IFERROR($J805/IF($A805&lt;COUNTIFS($K$1:O$1,"&lt;&gt;"),0,SUMIFS($J:$J,$B:$B,$B805,$A:$A,"&gt;="&amp;COUNTIFS($K$1:O$1,"&lt;&gt;"))),0)</f>
        <v>0.13537117903930135</v>
      </c>
      <c r="P805">
        <f>IFERROR($J805/IF($A805&lt;COUNTIFS($K$1:P$1,"&lt;&gt;"),0,SUMIFS($J:$J,$B:$B,$B805,$A:$A,"&gt;="&amp;COUNTIFS($K$1:P$1,"&lt;&gt;"))),0)</f>
        <v>0.1565656565656566</v>
      </c>
      <c r="Q805">
        <f>IFERROR($J805/IF($A805&lt;COUNTIFS($K$1:Q$1,"&lt;&gt;"),0,SUMIFS($J:$J,$B:$B,$B805,$A:$A,"&gt;="&amp;COUNTIFS($K$1:Q$1,"&lt;&gt;"))),0)</f>
        <v>0.18562874251497008</v>
      </c>
      <c r="R805">
        <f>IFERROR($J805/IF($A805&lt;COUNTIFS($K$1:R$1,"&lt;&gt;"),0,SUMIFS($J:$J,$B:$B,$B805,$A:$A,"&gt;="&amp;COUNTIFS($K$1:R$1,"&lt;&gt;"))),0)</f>
        <v>0.22627737226277375</v>
      </c>
      <c r="S805">
        <f>IFERROR($J805/IF($A805&lt;COUNTIFS($K$1:S$1,"&lt;&gt;"),0,SUMIFS($J:$J,$B:$B,$B805,$A:$A,"&gt;="&amp;COUNTIFS($K$1:S$1,"&lt;&gt;"))),0)</f>
        <v>0.29245283018867929</v>
      </c>
      <c r="T805">
        <f>IFERROR($J805/IF($A805&lt;COUNTIFS($K$1:T$1,"&lt;&gt;"),0,SUMIFS($J:$J,$B:$B,$B805,$A:$A,"&gt;="&amp;COUNTIFS($K$1:T$1,"&lt;&gt;"))),0)</f>
        <v>0.40789473684210525</v>
      </c>
      <c r="U805">
        <f>IFERROR($J805/IF($A805&lt;COUNTIFS($K$1:U$1,"&lt;&gt;"),0,SUMIFS($J:$J,$B:$B,$B805,$A:$A,"&gt;="&amp;COUNTIFS($K$1:U$1,"&lt;&gt;"))),0)</f>
        <v>0</v>
      </c>
      <c r="V805">
        <f>IFERROR($J805/IF($A805&lt;COUNTIFS($K$1:V$1,"&lt;&gt;"),0,SUMIFS($J:$J,$B:$B,$B805,$A:$A,"&gt;="&amp;COUNTIFS($K$1:V$1,"&lt;&gt;"))),0)</f>
        <v>0</v>
      </c>
      <c r="W805">
        <f t="shared" si="288"/>
        <v>8.4931506849315067E-2</v>
      </c>
      <c r="X805">
        <f t="shared" si="268"/>
        <v>8.4931506849315067E-2</v>
      </c>
      <c r="Y805">
        <f t="shared" si="269"/>
        <v>8.4931506849315067E-2</v>
      </c>
      <c r="Z805">
        <f t="shared" si="270"/>
        <v>8.4931506849315067E-2</v>
      </c>
      <c r="AA805">
        <f t="shared" si="271"/>
        <v>8.4931506849315067E-2</v>
      </c>
      <c r="AB805">
        <f t="shared" si="272"/>
        <v>8.4931506849315067E-2</v>
      </c>
      <c r="AC805">
        <f t="shared" si="273"/>
        <v>8.4931506849315067E-2</v>
      </c>
      <c r="AD805">
        <f t="shared" si="274"/>
        <v>8.4931506849315067E-2</v>
      </c>
      <c r="AE805">
        <f t="shared" si="275"/>
        <v>8.4931506849315067E-2</v>
      </c>
      <c r="AF805">
        <f t="shared" si="276"/>
        <v>8.4931506849315067E-2</v>
      </c>
      <c r="AG805">
        <f t="shared" si="277"/>
        <v>8.4931506849315067E-2</v>
      </c>
      <c r="AH805">
        <f t="shared" si="278"/>
        <v>0</v>
      </c>
      <c r="AI805">
        <f t="shared" si="279"/>
        <v>0</v>
      </c>
      <c r="AJ805" s="2" t="str">
        <f t="shared" si="289"/>
        <v>1045689</v>
      </c>
    </row>
    <row r="806" spans="1:36" x14ac:dyDescent="0.25">
      <c r="A806">
        <v>11</v>
      </c>
      <c r="B806" s="1">
        <v>45689</v>
      </c>
      <c r="C806" s="1">
        <f t="shared" si="280"/>
        <v>46023</v>
      </c>
      <c r="D806" s="1">
        <f t="shared" si="281"/>
        <v>45703</v>
      </c>
      <c r="E806" s="1">
        <f t="shared" si="282"/>
        <v>46023</v>
      </c>
      <c r="F806" s="1">
        <f t="shared" si="283"/>
        <v>46054</v>
      </c>
      <c r="G806" s="1">
        <f t="shared" si="284"/>
        <v>46068</v>
      </c>
      <c r="H806">
        <f t="shared" si="285"/>
        <v>365</v>
      </c>
      <c r="I806">
        <f t="shared" si="286"/>
        <v>31</v>
      </c>
      <c r="J806">
        <f t="shared" si="287"/>
        <v>8.4931506849315067E-2</v>
      </c>
      <c r="K806">
        <f>IFERROR($J806/IF($A806&lt;COUNTIFS($K$1:K$1,"&lt;&gt;"),0,SUMIFS($J:$J,$B:$B,$B806,$A:$A,"&gt;="&amp;COUNTIFS($K$1:K$1,"&lt;&gt;"))),0)</f>
        <v>8.8319088319088329E-2</v>
      </c>
      <c r="L806">
        <f>IFERROR($J806/IF($A806&lt;COUNTIFS($K$1:L$1,"&lt;&gt;"),0,SUMIFS($J:$J,$B:$B,$B806,$A:$A,"&gt;="&amp;COUNTIFS($K$1:L$1,"&lt;&gt;"))),0)</f>
        <v>9.6875000000000017E-2</v>
      </c>
      <c r="M806">
        <f>IFERROR($J806/IF($A806&lt;COUNTIFS($K$1:M$1,"&lt;&gt;"),0,SUMIFS($J:$J,$B:$B,$B806,$A:$A,"&gt;="&amp;COUNTIFS($K$1:M$1,"&lt;&gt;"))),0)</f>
        <v>0.10689655172413795</v>
      </c>
      <c r="N806">
        <f>IFERROR($J806/IF($A806&lt;COUNTIFS($K$1:N$1,"&lt;&gt;"),0,SUMIFS($J:$J,$B:$B,$B806,$A:$A,"&gt;="&amp;COUNTIFS($K$1:N$1,"&lt;&gt;"))),0)</f>
        <v>0.11969111969111972</v>
      </c>
      <c r="O806">
        <f>IFERROR($J806/IF($A806&lt;COUNTIFS($K$1:O$1,"&lt;&gt;"),0,SUMIFS($J:$J,$B:$B,$B806,$A:$A,"&gt;="&amp;COUNTIFS($K$1:O$1,"&lt;&gt;"))),0)</f>
        <v>0.13537117903930135</v>
      </c>
      <c r="P806">
        <f>IFERROR($J806/IF($A806&lt;COUNTIFS($K$1:P$1,"&lt;&gt;"),0,SUMIFS($J:$J,$B:$B,$B806,$A:$A,"&gt;="&amp;COUNTIFS($K$1:P$1,"&lt;&gt;"))),0)</f>
        <v>0.1565656565656566</v>
      </c>
      <c r="Q806">
        <f>IFERROR($J806/IF($A806&lt;COUNTIFS($K$1:Q$1,"&lt;&gt;"),0,SUMIFS($J:$J,$B:$B,$B806,$A:$A,"&gt;="&amp;COUNTIFS($K$1:Q$1,"&lt;&gt;"))),0)</f>
        <v>0.18562874251497008</v>
      </c>
      <c r="R806">
        <f>IFERROR($J806/IF($A806&lt;COUNTIFS($K$1:R$1,"&lt;&gt;"),0,SUMIFS($J:$J,$B:$B,$B806,$A:$A,"&gt;="&amp;COUNTIFS($K$1:R$1,"&lt;&gt;"))),0)</f>
        <v>0.22627737226277375</v>
      </c>
      <c r="S806">
        <f>IFERROR($J806/IF($A806&lt;COUNTIFS($K$1:S$1,"&lt;&gt;"),0,SUMIFS($J:$J,$B:$B,$B806,$A:$A,"&gt;="&amp;COUNTIFS($K$1:S$1,"&lt;&gt;"))),0)</f>
        <v>0.29245283018867929</v>
      </c>
      <c r="T806">
        <f>IFERROR($J806/IF($A806&lt;COUNTIFS($K$1:T$1,"&lt;&gt;"),0,SUMIFS($J:$J,$B:$B,$B806,$A:$A,"&gt;="&amp;COUNTIFS($K$1:T$1,"&lt;&gt;"))),0)</f>
        <v>0.40789473684210525</v>
      </c>
      <c r="U806">
        <f>IFERROR($J806/IF($A806&lt;COUNTIFS($K$1:U$1,"&lt;&gt;"),0,SUMIFS($J:$J,$B:$B,$B806,$A:$A,"&gt;="&amp;COUNTIFS($K$1:U$1,"&lt;&gt;"))),0)</f>
        <v>0.68888888888888888</v>
      </c>
      <c r="V806">
        <f>IFERROR($J806/IF($A806&lt;COUNTIFS($K$1:V$1,"&lt;&gt;"),0,SUMIFS($J:$J,$B:$B,$B806,$A:$A,"&gt;="&amp;COUNTIFS($K$1:V$1,"&lt;&gt;"))),0)</f>
        <v>0</v>
      </c>
      <c r="W806">
        <f t="shared" si="288"/>
        <v>8.4931506849315067E-2</v>
      </c>
      <c r="X806">
        <f t="shared" si="268"/>
        <v>8.4931506849315067E-2</v>
      </c>
      <c r="Y806">
        <f t="shared" si="269"/>
        <v>8.4931506849315067E-2</v>
      </c>
      <c r="Z806">
        <f t="shared" si="270"/>
        <v>8.4931506849315067E-2</v>
      </c>
      <c r="AA806">
        <f t="shared" si="271"/>
        <v>8.4931506849315067E-2</v>
      </c>
      <c r="AB806">
        <f t="shared" si="272"/>
        <v>8.4931506849315067E-2</v>
      </c>
      <c r="AC806">
        <f t="shared" si="273"/>
        <v>8.4931506849315067E-2</v>
      </c>
      <c r="AD806">
        <f t="shared" si="274"/>
        <v>8.4931506849315067E-2</v>
      </c>
      <c r="AE806">
        <f t="shared" si="275"/>
        <v>8.4931506849315067E-2</v>
      </c>
      <c r="AF806">
        <f t="shared" si="276"/>
        <v>8.4931506849315067E-2</v>
      </c>
      <c r="AG806">
        <f t="shared" si="277"/>
        <v>8.4931506849315067E-2</v>
      </c>
      <c r="AH806">
        <f t="shared" si="278"/>
        <v>8.4931506849315067E-2</v>
      </c>
      <c r="AI806">
        <f t="shared" si="279"/>
        <v>0</v>
      </c>
      <c r="AJ806" s="2" t="str">
        <f t="shared" si="289"/>
        <v>1145689</v>
      </c>
    </row>
    <row r="807" spans="1:36" x14ac:dyDescent="0.25">
      <c r="A807">
        <v>12</v>
      </c>
      <c r="B807" s="1">
        <v>45689</v>
      </c>
      <c r="C807" s="1">
        <f t="shared" si="280"/>
        <v>46054</v>
      </c>
      <c r="D807" s="1">
        <f t="shared" si="281"/>
        <v>45703</v>
      </c>
      <c r="E807" s="1">
        <f t="shared" si="282"/>
        <v>46054</v>
      </c>
      <c r="F807" s="1">
        <f t="shared" si="283"/>
        <v>46068</v>
      </c>
      <c r="G807" s="1">
        <f t="shared" si="284"/>
        <v>46068</v>
      </c>
      <c r="H807">
        <f t="shared" si="285"/>
        <v>365</v>
      </c>
      <c r="I807">
        <f t="shared" si="286"/>
        <v>14</v>
      </c>
      <c r="J807">
        <f t="shared" si="287"/>
        <v>3.8356164383561646E-2</v>
      </c>
      <c r="K807">
        <f>IFERROR($J807/IF($A807&lt;COUNTIFS($K$1:K$1,"&lt;&gt;"),0,SUMIFS($J:$J,$B:$B,$B807,$A:$A,"&gt;="&amp;COUNTIFS($K$1:K$1,"&lt;&gt;"))),0)</f>
        <v>3.9886039886039892E-2</v>
      </c>
      <c r="L807">
        <f>IFERROR($J807/IF($A807&lt;COUNTIFS($K$1:L$1,"&lt;&gt;"),0,SUMIFS($J:$J,$B:$B,$B807,$A:$A,"&gt;="&amp;COUNTIFS($K$1:L$1,"&lt;&gt;"))),0)</f>
        <v>4.3750000000000011E-2</v>
      </c>
      <c r="M807">
        <f>IFERROR($J807/IF($A807&lt;COUNTIFS($K$1:M$1,"&lt;&gt;"),0,SUMIFS($J:$J,$B:$B,$B807,$A:$A,"&gt;="&amp;COUNTIFS($K$1:M$1,"&lt;&gt;"))),0)</f>
        <v>4.827586206896553E-2</v>
      </c>
      <c r="N807">
        <f>IFERROR($J807/IF($A807&lt;COUNTIFS($K$1:N$1,"&lt;&gt;"),0,SUMIFS($J:$J,$B:$B,$B807,$A:$A,"&gt;="&amp;COUNTIFS($K$1:N$1,"&lt;&gt;"))),0)</f>
        <v>5.4054054054054071E-2</v>
      </c>
      <c r="O807">
        <f>IFERROR($J807/IF($A807&lt;COUNTIFS($K$1:O$1,"&lt;&gt;"),0,SUMIFS($J:$J,$B:$B,$B807,$A:$A,"&gt;="&amp;COUNTIFS($K$1:O$1,"&lt;&gt;"))),0)</f>
        <v>6.1135371179039319E-2</v>
      </c>
      <c r="P807">
        <f>IFERROR($J807/IF($A807&lt;COUNTIFS($K$1:P$1,"&lt;&gt;"),0,SUMIFS($J:$J,$B:$B,$B807,$A:$A,"&gt;="&amp;COUNTIFS($K$1:P$1,"&lt;&gt;"))),0)</f>
        <v>7.0707070707070732E-2</v>
      </c>
      <c r="Q807">
        <f>IFERROR($J807/IF($A807&lt;COUNTIFS($K$1:Q$1,"&lt;&gt;"),0,SUMIFS($J:$J,$B:$B,$B807,$A:$A,"&gt;="&amp;COUNTIFS($K$1:Q$1,"&lt;&gt;"))),0)</f>
        <v>8.3832335329341326E-2</v>
      </c>
      <c r="R807">
        <f>IFERROR($J807/IF($A807&lt;COUNTIFS($K$1:R$1,"&lt;&gt;"),0,SUMIFS($J:$J,$B:$B,$B807,$A:$A,"&gt;="&amp;COUNTIFS($K$1:R$1,"&lt;&gt;"))),0)</f>
        <v>0.10218978102189782</v>
      </c>
      <c r="S807">
        <f>IFERROR($J807/IF($A807&lt;COUNTIFS($K$1:S$1,"&lt;&gt;"),0,SUMIFS($J:$J,$B:$B,$B807,$A:$A,"&gt;="&amp;COUNTIFS($K$1:S$1,"&lt;&gt;"))),0)</f>
        <v>0.13207547169811323</v>
      </c>
      <c r="T807">
        <f>IFERROR($J807/IF($A807&lt;COUNTIFS($K$1:T$1,"&lt;&gt;"),0,SUMIFS($J:$J,$B:$B,$B807,$A:$A,"&gt;="&amp;COUNTIFS($K$1:T$1,"&lt;&gt;"))),0)</f>
        <v>0.18421052631578949</v>
      </c>
      <c r="U807">
        <f>IFERROR($J807/IF($A807&lt;COUNTIFS($K$1:U$1,"&lt;&gt;"),0,SUMIFS($J:$J,$B:$B,$B807,$A:$A,"&gt;="&amp;COUNTIFS($K$1:U$1,"&lt;&gt;"))),0)</f>
        <v>0.31111111111111117</v>
      </c>
      <c r="V807">
        <f>IFERROR($J807/IF($A807&lt;COUNTIFS($K$1:V$1,"&lt;&gt;"),0,SUMIFS($J:$J,$B:$B,$B807,$A:$A,"&gt;="&amp;COUNTIFS($K$1:V$1,"&lt;&gt;"))),0)</f>
        <v>1</v>
      </c>
      <c r="W807">
        <f t="shared" si="288"/>
        <v>3.8356164383561646E-2</v>
      </c>
      <c r="X807">
        <f t="shared" si="268"/>
        <v>3.8356164383561646E-2</v>
      </c>
      <c r="Y807">
        <f t="shared" si="269"/>
        <v>3.8356164383561646E-2</v>
      </c>
      <c r="Z807">
        <f t="shared" si="270"/>
        <v>3.8356164383561646E-2</v>
      </c>
      <c r="AA807">
        <f t="shared" si="271"/>
        <v>3.8356164383561646E-2</v>
      </c>
      <c r="AB807">
        <f t="shared" si="272"/>
        <v>3.8356164383561646E-2</v>
      </c>
      <c r="AC807">
        <f t="shared" si="273"/>
        <v>3.8356164383561646E-2</v>
      </c>
      <c r="AD807">
        <f t="shared" si="274"/>
        <v>3.8356164383561646E-2</v>
      </c>
      <c r="AE807">
        <f t="shared" si="275"/>
        <v>3.8356164383561646E-2</v>
      </c>
      <c r="AF807">
        <f t="shared" si="276"/>
        <v>3.8356164383561646E-2</v>
      </c>
      <c r="AG807">
        <f t="shared" si="277"/>
        <v>3.8356164383561646E-2</v>
      </c>
      <c r="AH807">
        <f t="shared" si="278"/>
        <v>3.8356164383561646E-2</v>
      </c>
      <c r="AI807">
        <f t="shared" si="279"/>
        <v>3.8356164383561646E-2</v>
      </c>
      <c r="AJ807" s="2" t="str">
        <f t="shared" si="289"/>
        <v>1245689</v>
      </c>
    </row>
    <row r="808" spans="1:36" x14ac:dyDescent="0.25">
      <c r="A808">
        <v>0</v>
      </c>
      <c r="B808" s="1">
        <v>45717</v>
      </c>
      <c r="C808" s="1">
        <f t="shared" si="280"/>
        <v>45717</v>
      </c>
      <c r="D808" s="1">
        <f t="shared" si="281"/>
        <v>45731</v>
      </c>
      <c r="E808" s="1">
        <f t="shared" si="282"/>
        <v>45731</v>
      </c>
      <c r="F808" s="1">
        <f t="shared" si="283"/>
        <v>45748</v>
      </c>
      <c r="G808" s="1">
        <f t="shared" si="284"/>
        <v>46096</v>
      </c>
      <c r="H808">
        <f t="shared" si="285"/>
        <v>365</v>
      </c>
      <c r="I808">
        <f t="shared" si="286"/>
        <v>17</v>
      </c>
      <c r="J808">
        <f t="shared" si="287"/>
        <v>4.6575342465753428E-2</v>
      </c>
      <c r="K808">
        <f>IFERROR($J808/IF($A808&lt;COUNTIFS($K$1:K$1,"&lt;&gt;"),0,SUMIFS($J:$J,$B:$B,$B808,$A:$A,"&gt;="&amp;COUNTIFS($K$1:K$1,"&lt;&gt;"))),0)</f>
        <v>0</v>
      </c>
      <c r="L808">
        <f>IFERROR($J808/IF($A808&lt;COUNTIFS($K$1:L$1,"&lt;&gt;"),0,SUMIFS($J:$J,$B:$B,$B808,$A:$A,"&gt;="&amp;COUNTIFS($K$1:L$1,"&lt;&gt;"))),0)</f>
        <v>0</v>
      </c>
      <c r="M808">
        <f>IFERROR($J808/IF($A808&lt;COUNTIFS($K$1:M$1,"&lt;&gt;"),0,SUMIFS($J:$J,$B:$B,$B808,$A:$A,"&gt;="&amp;COUNTIFS($K$1:M$1,"&lt;&gt;"))),0)</f>
        <v>0</v>
      </c>
      <c r="N808">
        <f>IFERROR($J808/IF($A808&lt;COUNTIFS($K$1:N$1,"&lt;&gt;"),0,SUMIFS($J:$J,$B:$B,$B808,$A:$A,"&gt;="&amp;COUNTIFS($K$1:N$1,"&lt;&gt;"))),0)</f>
        <v>0</v>
      </c>
      <c r="O808">
        <f>IFERROR($J808/IF($A808&lt;COUNTIFS($K$1:O$1,"&lt;&gt;"),0,SUMIFS($J:$J,$B:$B,$B808,$A:$A,"&gt;="&amp;COUNTIFS($K$1:O$1,"&lt;&gt;"))),0)</f>
        <v>0</v>
      </c>
      <c r="P808">
        <f>IFERROR($J808/IF($A808&lt;COUNTIFS($K$1:P$1,"&lt;&gt;"),0,SUMIFS($J:$J,$B:$B,$B808,$A:$A,"&gt;="&amp;COUNTIFS($K$1:P$1,"&lt;&gt;"))),0)</f>
        <v>0</v>
      </c>
      <c r="Q808">
        <f>IFERROR($J808/IF($A808&lt;COUNTIFS($K$1:Q$1,"&lt;&gt;"),0,SUMIFS($J:$J,$B:$B,$B808,$A:$A,"&gt;="&amp;COUNTIFS($K$1:Q$1,"&lt;&gt;"))),0)</f>
        <v>0</v>
      </c>
      <c r="R808">
        <f>IFERROR($J808/IF($A808&lt;COUNTIFS($K$1:R$1,"&lt;&gt;"),0,SUMIFS($J:$J,$B:$B,$B808,$A:$A,"&gt;="&amp;COUNTIFS($K$1:R$1,"&lt;&gt;"))),0)</f>
        <v>0</v>
      </c>
      <c r="S808">
        <f>IFERROR($J808/IF($A808&lt;COUNTIFS($K$1:S$1,"&lt;&gt;"),0,SUMIFS($J:$J,$B:$B,$B808,$A:$A,"&gt;="&amp;COUNTIFS($K$1:S$1,"&lt;&gt;"))),0)</f>
        <v>0</v>
      </c>
      <c r="T808">
        <f>IFERROR($J808/IF($A808&lt;COUNTIFS($K$1:T$1,"&lt;&gt;"),0,SUMIFS($J:$J,$B:$B,$B808,$A:$A,"&gt;="&amp;COUNTIFS($K$1:T$1,"&lt;&gt;"))),0)</f>
        <v>0</v>
      </c>
      <c r="U808">
        <f>IFERROR($J808/IF($A808&lt;COUNTIFS($K$1:U$1,"&lt;&gt;"),0,SUMIFS($J:$J,$B:$B,$B808,$A:$A,"&gt;="&amp;COUNTIFS($K$1:U$1,"&lt;&gt;"))),0)</f>
        <v>0</v>
      </c>
      <c r="V808">
        <f>IFERROR($J808/IF($A808&lt;COUNTIFS($K$1:V$1,"&lt;&gt;"),0,SUMIFS($J:$J,$B:$B,$B808,$A:$A,"&gt;="&amp;COUNTIFS($K$1:V$1,"&lt;&gt;"))),0)</f>
        <v>0</v>
      </c>
      <c r="W808">
        <f t="shared" si="288"/>
        <v>4.6575342465753428E-2</v>
      </c>
      <c r="X808">
        <f t="shared" si="268"/>
        <v>0</v>
      </c>
      <c r="Y808">
        <f t="shared" si="269"/>
        <v>0</v>
      </c>
      <c r="Z808">
        <f t="shared" si="270"/>
        <v>0</v>
      </c>
      <c r="AA808">
        <f t="shared" si="271"/>
        <v>0</v>
      </c>
      <c r="AB808">
        <f t="shared" si="272"/>
        <v>0</v>
      </c>
      <c r="AC808">
        <f t="shared" si="273"/>
        <v>0</v>
      </c>
      <c r="AD808">
        <f t="shared" si="274"/>
        <v>0</v>
      </c>
      <c r="AE808">
        <f t="shared" si="275"/>
        <v>0</v>
      </c>
      <c r="AF808">
        <f t="shared" si="276"/>
        <v>0</v>
      </c>
      <c r="AG808">
        <f t="shared" si="277"/>
        <v>0</v>
      </c>
      <c r="AH808">
        <f t="shared" si="278"/>
        <v>0</v>
      </c>
      <c r="AI808">
        <f t="shared" si="279"/>
        <v>0</v>
      </c>
      <c r="AJ808" s="2" t="str">
        <f t="shared" si="289"/>
        <v>045717</v>
      </c>
    </row>
    <row r="809" spans="1:36" x14ac:dyDescent="0.25">
      <c r="A809">
        <v>1</v>
      </c>
      <c r="B809" s="1">
        <v>45717</v>
      </c>
      <c r="C809" s="1">
        <f t="shared" si="280"/>
        <v>45748</v>
      </c>
      <c r="D809" s="1">
        <f t="shared" si="281"/>
        <v>45731</v>
      </c>
      <c r="E809" s="1">
        <f t="shared" si="282"/>
        <v>45748</v>
      </c>
      <c r="F809" s="1">
        <f t="shared" si="283"/>
        <v>45778</v>
      </c>
      <c r="G809" s="1">
        <f t="shared" si="284"/>
        <v>46096</v>
      </c>
      <c r="H809">
        <f t="shared" si="285"/>
        <v>365</v>
      </c>
      <c r="I809">
        <f t="shared" si="286"/>
        <v>30</v>
      </c>
      <c r="J809">
        <f t="shared" si="287"/>
        <v>8.2191780821917804E-2</v>
      </c>
      <c r="K809">
        <f>IFERROR($J809/IF($A809&lt;COUNTIFS($K$1:K$1,"&lt;&gt;"),0,SUMIFS($J:$J,$B:$B,$B809,$A:$A,"&gt;="&amp;COUNTIFS($K$1:K$1,"&lt;&gt;"))),0)</f>
        <v>8.6206896551724144E-2</v>
      </c>
      <c r="L809">
        <f>IFERROR($J809/IF($A809&lt;COUNTIFS($K$1:L$1,"&lt;&gt;"),0,SUMIFS($J:$J,$B:$B,$B809,$A:$A,"&gt;="&amp;COUNTIFS($K$1:L$1,"&lt;&gt;"))),0)</f>
        <v>0</v>
      </c>
      <c r="M809">
        <f>IFERROR($J809/IF($A809&lt;COUNTIFS($K$1:M$1,"&lt;&gt;"),0,SUMIFS($J:$J,$B:$B,$B809,$A:$A,"&gt;="&amp;COUNTIFS($K$1:M$1,"&lt;&gt;"))),0)</f>
        <v>0</v>
      </c>
      <c r="N809">
        <f>IFERROR($J809/IF($A809&lt;COUNTIFS($K$1:N$1,"&lt;&gt;"),0,SUMIFS($J:$J,$B:$B,$B809,$A:$A,"&gt;="&amp;COUNTIFS($K$1:N$1,"&lt;&gt;"))),0)</f>
        <v>0</v>
      </c>
      <c r="O809">
        <f>IFERROR($J809/IF($A809&lt;COUNTIFS($K$1:O$1,"&lt;&gt;"),0,SUMIFS($J:$J,$B:$B,$B809,$A:$A,"&gt;="&amp;COUNTIFS($K$1:O$1,"&lt;&gt;"))),0)</f>
        <v>0</v>
      </c>
      <c r="P809">
        <f>IFERROR($J809/IF($A809&lt;COUNTIFS($K$1:P$1,"&lt;&gt;"),0,SUMIFS($J:$J,$B:$B,$B809,$A:$A,"&gt;="&amp;COUNTIFS($K$1:P$1,"&lt;&gt;"))),0)</f>
        <v>0</v>
      </c>
      <c r="Q809">
        <f>IFERROR($J809/IF($A809&lt;COUNTIFS($K$1:Q$1,"&lt;&gt;"),0,SUMIFS($J:$J,$B:$B,$B809,$A:$A,"&gt;="&amp;COUNTIFS($K$1:Q$1,"&lt;&gt;"))),0)</f>
        <v>0</v>
      </c>
      <c r="R809">
        <f>IFERROR($J809/IF($A809&lt;COUNTIFS($K$1:R$1,"&lt;&gt;"),0,SUMIFS($J:$J,$B:$B,$B809,$A:$A,"&gt;="&amp;COUNTIFS($K$1:R$1,"&lt;&gt;"))),0)</f>
        <v>0</v>
      </c>
      <c r="S809">
        <f>IFERROR($J809/IF($A809&lt;COUNTIFS($K$1:S$1,"&lt;&gt;"),0,SUMIFS($J:$J,$B:$B,$B809,$A:$A,"&gt;="&amp;COUNTIFS($K$1:S$1,"&lt;&gt;"))),0)</f>
        <v>0</v>
      </c>
      <c r="T809">
        <f>IFERROR($J809/IF($A809&lt;COUNTIFS($K$1:T$1,"&lt;&gt;"),0,SUMIFS($J:$J,$B:$B,$B809,$A:$A,"&gt;="&amp;COUNTIFS($K$1:T$1,"&lt;&gt;"))),0)</f>
        <v>0</v>
      </c>
      <c r="U809">
        <f>IFERROR($J809/IF($A809&lt;COUNTIFS($K$1:U$1,"&lt;&gt;"),0,SUMIFS($J:$J,$B:$B,$B809,$A:$A,"&gt;="&amp;COUNTIFS($K$1:U$1,"&lt;&gt;"))),0)</f>
        <v>0</v>
      </c>
      <c r="V809">
        <f>IFERROR($J809/IF($A809&lt;COUNTIFS($K$1:V$1,"&lt;&gt;"),0,SUMIFS($J:$J,$B:$B,$B809,$A:$A,"&gt;="&amp;COUNTIFS($K$1:V$1,"&lt;&gt;"))),0)</f>
        <v>0</v>
      </c>
      <c r="W809">
        <f t="shared" si="288"/>
        <v>8.2191780821917804E-2</v>
      </c>
      <c r="X809">
        <f t="shared" si="268"/>
        <v>8.2191780821917804E-2</v>
      </c>
      <c r="Y809">
        <f t="shared" si="269"/>
        <v>0</v>
      </c>
      <c r="Z809">
        <f t="shared" si="270"/>
        <v>0</v>
      </c>
      <c r="AA809">
        <f t="shared" si="271"/>
        <v>0</v>
      </c>
      <c r="AB809">
        <f t="shared" si="272"/>
        <v>0</v>
      </c>
      <c r="AC809">
        <f t="shared" si="273"/>
        <v>0</v>
      </c>
      <c r="AD809">
        <f t="shared" si="274"/>
        <v>0</v>
      </c>
      <c r="AE809">
        <f t="shared" si="275"/>
        <v>0</v>
      </c>
      <c r="AF809">
        <f t="shared" si="276"/>
        <v>0</v>
      </c>
      <c r="AG809">
        <f t="shared" si="277"/>
        <v>0</v>
      </c>
      <c r="AH809">
        <f t="shared" si="278"/>
        <v>0</v>
      </c>
      <c r="AI809">
        <f t="shared" si="279"/>
        <v>0</v>
      </c>
      <c r="AJ809" s="2" t="str">
        <f t="shared" si="289"/>
        <v>145717</v>
      </c>
    </row>
    <row r="810" spans="1:36" x14ac:dyDescent="0.25">
      <c r="A810">
        <v>2</v>
      </c>
      <c r="B810" s="1">
        <v>45717</v>
      </c>
      <c r="C810" s="1">
        <f t="shared" si="280"/>
        <v>45778</v>
      </c>
      <c r="D810" s="1">
        <f t="shared" si="281"/>
        <v>45731</v>
      </c>
      <c r="E810" s="1">
        <f t="shared" si="282"/>
        <v>45778</v>
      </c>
      <c r="F810" s="1">
        <f t="shared" si="283"/>
        <v>45809</v>
      </c>
      <c r="G810" s="1">
        <f t="shared" si="284"/>
        <v>46096</v>
      </c>
      <c r="H810">
        <f t="shared" si="285"/>
        <v>365</v>
      </c>
      <c r="I810">
        <f t="shared" si="286"/>
        <v>31</v>
      </c>
      <c r="J810">
        <f t="shared" si="287"/>
        <v>8.4931506849315067E-2</v>
      </c>
      <c r="K810">
        <f>IFERROR($J810/IF($A810&lt;COUNTIFS($K$1:K$1,"&lt;&gt;"),0,SUMIFS($J:$J,$B:$B,$B810,$A:$A,"&gt;="&amp;COUNTIFS($K$1:K$1,"&lt;&gt;"))),0)</f>
        <v>8.9080459770114959E-2</v>
      </c>
      <c r="L810">
        <f>IFERROR($J810/IF($A810&lt;COUNTIFS($K$1:L$1,"&lt;&gt;"),0,SUMIFS($J:$J,$B:$B,$B810,$A:$A,"&gt;="&amp;COUNTIFS($K$1:L$1,"&lt;&gt;"))),0)</f>
        <v>9.7484276729559768E-2</v>
      </c>
      <c r="M810">
        <f>IFERROR($J810/IF($A810&lt;COUNTIFS($K$1:M$1,"&lt;&gt;"),0,SUMIFS($J:$J,$B:$B,$B810,$A:$A,"&gt;="&amp;COUNTIFS($K$1:M$1,"&lt;&gt;"))),0)</f>
        <v>0</v>
      </c>
      <c r="N810">
        <f>IFERROR($J810/IF($A810&lt;COUNTIFS($K$1:N$1,"&lt;&gt;"),0,SUMIFS($J:$J,$B:$B,$B810,$A:$A,"&gt;="&amp;COUNTIFS($K$1:N$1,"&lt;&gt;"))),0)</f>
        <v>0</v>
      </c>
      <c r="O810">
        <f>IFERROR($J810/IF($A810&lt;COUNTIFS($K$1:O$1,"&lt;&gt;"),0,SUMIFS($J:$J,$B:$B,$B810,$A:$A,"&gt;="&amp;COUNTIFS($K$1:O$1,"&lt;&gt;"))),0)</f>
        <v>0</v>
      </c>
      <c r="P810">
        <f>IFERROR($J810/IF($A810&lt;COUNTIFS($K$1:P$1,"&lt;&gt;"),0,SUMIFS($J:$J,$B:$B,$B810,$A:$A,"&gt;="&amp;COUNTIFS($K$1:P$1,"&lt;&gt;"))),0)</f>
        <v>0</v>
      </c>
      <c r="Q810">
        <f>IFERROR($J810/IF($A810&lt;COUNTIFS($K$1:Q$1,"&lt;&gt;"),0,SUMIFS($J:$J,$B:$B,$B810,$A:$A,"&gt;="&amp;COUNTIFS($K$1:Q$1,"&lt;&gt;"))),0)</f>
        <v>0</v>
      </c>
      <c r="R810">
        <f>IFERROR($J810/IF($A810&lt;COUNTIFS($K$1:R$1,"&lt;&gt;"),0,SUMIFS($J:$J,$B:$B,$B810,$A:$A,"&gt;="&amp;COUNTIFS($K$1:R$1,"&lt;&gt;"))),0)</f>
        <v>0</v>
      </c>
      <c r="S810">
        <f>IFERROR($J810/IF($A810&lt;COUNTIFS($K$1:S$1,"&lt;&gt;"),0,SUMIFS($J:$J,$B:$B,$B810,$A:$A,"&gt;="&amp;COUNTIFS($K$1:S$1,"&lt;&gt;"))),0)</f>
        <v>0</v>
      </c>
      <c r="T810">
        <f>IFERROR($J810/IF($A810&lt;COUNTIFS($K$1:T$1,"&lt;&gt;"),0,SUMIFS($J:$J,$B:$B,$B810,$A:$A,"&gt;="&amp;COUNTIFS($K$1:T$1,"&lt;&gt;"))),0)</f>
        <v>0</v>
      </c>
      <c r="U810">
        <f>IFERROR($J810/IF($A810&lt;COUNTIFS($K$1:U$1,"&lt;&gt;"),0,SUMIFS($J:$J,$B:$B,$B810,$A:$A,"&gt;="&amp;COUNTIFS($K$1:U$1,"&lt;&gt;"))),0)</f>
        <v>0</v>
      </c>
      <c r="V810">
        <f>IFERROR($J810/IF($A810&lt;COUNTIFS($K$1:V$1,"&lt;&gt;"),0,SUMIFS($J:$J,$B:$B,$B810,$A:$A,"&gt;="&amp;COUNTIFS($K$1:V$1,"&lt;&gt;"))),0)</f>
        <v>0</v>
      </c>
      <c r="W810">
        <f t="shared" si="288"/>
        <v>8.4931506849315067E-2</v>
      </c>
      <c r="X810">
        <f t="shared" si="268"/>
        <v>8.4931506849315067E-2</v>
      </c>
      <c r="Y810">
        <f t="shared" si="269"/>
        <v>8.4931506849315067E-2</v>
      </c>
      <c r="Z810">
        <f t="shared" si="270"/>
        <v>0</v>
      </c>
      <c r="AA810">
        <f t="shared" si="271"/>
        <v>0</v>
      </c>
      <c r="AB810">
        <f t="shared" si="272"/>
        <v>0</v>
      </c>
      <c r="AC810">
        <f t="shared" si="273"/>
        <v>0</v>
      </c>
      <c r="AD810">
        <f t="shared" si="274"/>
        <v>0</v>
      </c>
      <c r="AE810">
        <f t="shared" si="275"/>
        <v>0</v>
      </c>
      <c r="AF810">
        <f t="shared" si="276"/>
        <v>0</v>
      </c>
      <c r="AG810">
        <f t="shared" si="277"/>
        <v>0</v>
      </c>
      <c r="AH810">
        <f t="shared" si="278"/>
        <v>0</v>
      </c>
      <c r="AI810">
        <f t="shared" si="279"/>
        <v>0</v>
      </c>
      <c r="AJ810" s="2" t="str">
        <f t="shared" si="289"/>
        <v>245717</v>
      </c>
    </row>
    <row r="811" spans="1:36" x14ac:dyDescent="0.25">
      <c r="A811">
        <v>3</v>
      </c>
      <c r="B811" s="1">
        <v>45717</v>
      </c>
      <c r="C811" s="1">
        <f t="shared" si="280"/>
        <v>45809</v>
      </c>
      <c r="D811" s="1">
        <f t="shared" si="281"/>
        <v>45731</v>
      </c>
      <c r="E811" s="1">
        <f t="shared" si="282"/>
        <v>45809</v>
      </c>
      <c r="F811" s="1">
        <f t="shared" si="283"/>
        <v>45839</v>
      </c>
      <c r="G811" s="1">
        <f t="shared" si="284"/>
        <v>46096</v>
      </c>
      <c r="H811">
        <f t="shared" si="285"/>
        <v>365</v>
      </c>
      <c r="I811">
        <f t="shared" si="286"/>
        <v>30</v>
      </c>
      <c r="J811">
        <f t="shared" si="287"/>
        <v>8.2191780821917804E-2</v>
      </c>
      <c r="K811">
        <f>IFERROR($J811/IF($A811&lt;COUNTIFS($K$1:K$1,"&lt;&gt;"),0,SUMIFS($J:$J,$B:$B,$B811,$A:$A,"&gt;="&amp;COUNTIFS($K$1:K$1,"&lt;&gt;"))),0)</f>
        <v>8.6206896551724144E-2</v>
      </c>
      <c r="L811">
        <f>IFERROR($J811/IF($A811&lt;COUNTIFS($K$1:L$1,"&lt;&gt;"),0,SUMIFS($J:$J,$B:$B,$B811,$A:$A,"&gt;="&amp;COUNTIFS($K$1:L$1,"&lt;&gt;"))),0)</f>
        <v>9.4339622641509441E-2</v>
      </c>
      <c r="M811">
        <f>IFERROR($J811/IF($A811&lt;COUNTIFS($K$1:M$1,"&lt;&gt;"),0,SUMIFS($J:$J,$B:$B,$B811,$A:$A,"&gt;="&amp;COUNTIFS($K$1:M$1,"&lt;&gt;"))),0)</f>
        <v>0.10452961672473869</v>
      </c>
      <c r="N811">
        <f>IFERROR($J811/IF($A811&lt;COUNTIFS($K$1:N$1,"&lt;&gt;"),0,SUMIFS($J:$J,$B:$B,$B811,$A:$A,"&gt;="&amp;COUNTIFS($K$1:N$1,"&lt;&gt;"))),0)</f>
        <v>0</v>
      </c>
      <c r="O811">
        <f>IFERROR($J811/IF($A811&lt;COUNTIFS($K$1:O$1,"&lt;&gt;"),0,SUMIFS($J:$J,$B:$B,$B811,$A:$A,"&gt;="&amp;COUNTIFS($K$1:O$1,"&lt;&gt;"))),0)</f>
        <v>0</v>
      </c>
      <c r="P811">
        <f>IFERROR($J811/IF($A811&lt;COUNTIFS($K$1:P$1,"&lt;&gt;"),0,SUMIFS($J:$J,$B:$B,$B811,$A:$A,"&gt;="&amp;COUNTIFS($K$1:P$1,"&lt;&gt;"))),0)</f>
        <v>0</v>
      </c>
      <c r="Q811">
        <f>IFERROR($J811/IF($A811&lt;COUNTIFS($K$1:Q$1,"&lt;&gt;"),0,SUMIFS($J:$J,$B:$B,$B811,$A:$A,"&gt;="&amp;COUNTIFS($K$1:Q$1,"&lt;&gt;"))),0)</f>
        <v>0</v>
      </c>
      <c r="R811">
        <f>IFERROR($J811/IF($A811&lt;COUNTIFS($K$1:R$1,"&lt;&gt;"),0,SUMIFS($J:$J,$B:$B,$B811,$A:$A,"&gt;="&amp;COUNTIFS($K$1:R$1,"&lt;&gt;"))),0)</f>
        <v>0</v>
      </c>
      <c r="S811">
        <f>IFERROR($J811/IF($A811&lt;COUNTIFS($K$1:S$1,"&lt;&gt;"),0,SUMIFS($J:$J,$B:$B,$B811,$A:$A,"&gt;="&amp;COUNTIFS($K$1:S$1,"&lt;&gt;"))),0)</f>
        <v>0</v>
      </c>
      <c r="T811">
        <f>IFERROR($J811/IF($A811&lt;COUNTIFS($K$1:T$1,"&lt;&gt;"),0,SUMIFS($J:$J,$B:$B,$B811,$A:$A,"&gt;="&amp;COUNTIFS($K$1:T$1,"&lt;&gt;"))),0)</f>
        <v>0</v>
      </c>
      <c r="U811">
        <f>IFERROR($J811/IF($A811&lt;COUNTIFS($K$1:U$1,"&lt;&gt;"),0,SUMIFS($J:$J,$B:$B,$B811,$A:$A,"&gt;="&amp;COUNTIFS($K$1:U$1,"&lt;&gt;"))),0)</f>
        <v>0</v>
      </c>
      <c r="V811">
        <f>IFERROR($J811/IF($A811&lt;COUNTIFS($K$1:V$1,"&lt;&gt;"),0,SUMIFS($J:$J,$B:$B,$B811,$A:$A,"&gt;="&amp;COUNTIFS($K$1:V$1,"&lt;&gt;"))),0)</f>
        <v>0</v>
      </c>
      <c r="W811">
        <f t="shared" si="288"/>
        <v>8.2191780821917804E-2</v>
      </c>
      <c r="X811">
        <f t="shared" si="268"/>
        <v>8.2191780821917804E-2</v>
      </c>
      <c r="Y811">
        <f t="shared" si="269"/>
        <v>8.2191780821917804E-2</v>
      </c>
      <c r="Z811">
        <f t="shared" si="270"/>
        <v>8.2191780821917804E-2</v>
      </c>
      <c r="AA811">
        <f t="shared" si="271"/>
        <v>0</v>
      </c>
      <c r="AB811">
        <f t="shared" si="272"/>
        <v>0</v>
      </c>
      <c r="AC811">
        <f t="shared" si="273"/>
        <v>0</v>
      </c>
      <c r="AD811">
        <f t="shared" si="274"/>
        <v>0</v>
      </c>
      <c r="AE811">
        <f t="shared" si="275"/>
        <v>0</v>
      </c>
      <c r="AF811">
        <f t="shared" si="276"/>
        <v>0</v>
      </c>
      <c r="AG811">
        <f t="shared" si="277"/>
        <v>0</v>
      </c>
      <c r="AH811">
        <f t="shared" si="278"/>
        <v>0</v>
      </c>
      <c r="AI811">
        <f t="shared" si="279"/>
        <v>0</v>
      </c>
      <c r="AJ811" s="2" t="str">
        <f t="shared" si="289"/>
        <v>345717</v>
      </c>
    </row>
    <row r="812" spans="1:36" x14ac:dyDescent="0.25">
      <c r="A812">
        <v>4</v>
      </c>
      <c r="B812" s="1">
        <v>45717</v>
      </c>
      <c r="C812" s="1">
        <f t="shared" si="280"/>
        <v>45839</v>
      </c>
      <c r="D812" s="1">
        <f t="shared" si="281"/>
        <v>45731</v>
      </c>
      <c r="E812" s="1">
        <f t="shared" si="282"/>
        <v>45839</v>
      </c>
      <c r="F812" s="1">
        <f t="shared" si="283"/>
        <v>45870</v>
      </c>
      <c r="G812" s="1">
        <f t="shared" si="284"/>
        <v>46096</v>
      </c>
      <c r="H812">
        <f t="shared" si="285"/>
        <v>365</v>
      </c>
      <c r="I812">
        <f t="shared" si="286"/>
        <v>31</v>
      </c>
      <c r="J812">
        <f t="shared" si="287"/>
        <v>8.4931506849315067E-2</v>
      </c>
      <c r="K812">
        <f>IFERROR($J812/IF($A812&lt;COUNTIFS($K$1:K$1,"&lt;&gt;"),0,SUMIFS($J:$J,$B:$B,$B812,$A:$A,"&gt;="&amp;COUNTIFS($K$1:K$1,"&lt;&gt;"))),0)</f>
        <v>8.9080459770114959E-2</v>
      </c>
      <c r="L812">
        <f>IFERROR($J812/IF($A812&lt;COUNTIFS($K$1:L$1,"&lt;&gt;"),0,SUMIFS($J:$J,$B:$B,$B812,$A:$A,"&gt;="&amp;COUNTIFS($K$1:L$1,"&lt;&gt;"))),0)</f>
        <v>9.7484276729559768E-2</v>
      </c>
      <c r="M812">
        <f>IFERROR($J812/IF($A812&lt;COUNTIFS($K$1:M$1,"&lt;&gt;"),0,SUMIFS($J:$J,$B:$B,$B812,$A:$A,"&gt;="&amp;COUNTIFS($K$1:M$1,"&lt;&gt;"))),0)</f>
        <v>0.10801393728222998</v>
      </c>
      <c r="N812">
        <f>IFERROR($J812/IF($A812&lt;COUNTIFS($K$1:N$1,"&lt;&gt;"),0,SUMIFS($J:$J,$B:$B,$B812,$A:$A,"&gt;="&amp;COUNTIFS($K$1:N$1,"&lt;&gt;"))),0)</f>
        <v>0.12062256809338523</v>
      </c>
      <c r="O812">
        <f>IFERROR($J812/IF($A812&lt;COUNTIFS($K$1:O$1,"&lt;&gt;"),0,SUMIFS($J:$J,$B:$B,$B812,$A:$A,"&gt;="&amp;COUNTIFS($K$1:O$1,"&lt;&gt;"))),0)</f>
        <v>0</v>
      </c>
      <c r="P812">
        <f>IFERROR($J812/IF($A812&lt;COUNTIFS($K$1:P$1,"&lt;&gt;"),0,SUMIFS($J:$J,$B:$B,$B812,$A:$A,"&gt;="&amp;COUNTIFS($K$1:P$1,"&lt;&gt;"))),0)</f>
        <v>0</v>
      </c>
      <c r="Q812">
        <f>IFERROR($J812/IF($A812&lt;COUNTIFS($K$1:Q$1,"&lt;&gt;"),0,SUMIFS($J:$J,$B:$B,$B812,$A:$A,"&gt;="&amp;COUNTIFS($K$1:Q$1,"&lt;&gt;"))),0)</f>
        <v>0</v>
      </c>
      <c r="R812">
        <f>IFERROR($J812/IF($A812&lt;COUNTIFS($K$1:R$1,"&lt;&gt;"),0,SUMIFS($J:$J,$B:$B,$B812,$A:$A,"&gt;="&amp;COUNTIFS($K$1:R$1,"&lt;&gt;"))),0)</f>
        <v>0</v>
      </c>
      <c r="S812">
        <f>IFERROR($J812/IF($A812&lt;COUNTIFS($K$1:S$1,"&lt;&gt;"),0,SUMIFS($J:$J,$B:$B,$B812,$A:$A,"&gt;="&amp;COUNTIFS($K$1:S$1,"&lt;&gt;"))),0)</f>
        <v>0</v>
      </c>
      <c r="T812">
        <f>IFERROR($J812/IF($A812&lt;COUNTIFS($K$1:T$1,"&lt;&gt;"),0,SUMIFS($J:$J,$B:$B,$B812,$A:$A,"&gt;="&amp;COUNTIFS($K$1:T$1,"&lt;&gt;"))),0)</f>
        <v>0</v>
      </c>
      <c r="U812">
        <f>IFERROR($J812/IF($A812&lt;COUNTIFS($K$1:U$1,"&lt;&gt;"),0,SUMIFS($J:$J,$B:$B,$B812,$A:$A,"&gt;="&amp;COUNTIFS($K$1:U$1,"&lt;&gt;"))),0)</f>
        <v>0</v>
      </c>
      <c r="V812">
        <f>IFERROR($J812/IF($A812&lt;COUNTIFS($K$1:V$1,"&lt;&gt;"),0,SUMIFS($J:$J,$B:$B,$B812,$A:$A,"&gt;="&amp;COUNTIFS($K$1:V$1,"&lt;&gt;"))),0)</f>
        <v>0</v>
      </c>
      <c r="W812">
        <f t="shared" si="288"/>
        <v>8.4931506849315067E-2</v>
      </c>
      <c r="X812">
        <f t="shared" si="268"/>
        <v>8.4931506849315067E-2</v>
      </c>
      <c r="Y812">
        <f t="shared" si="269"/>
        <v>8.4931506849315067E-2</v>
      </c>
      <c r="Z812">
        <f t="shared" si="270"/>
        <v>8.4931506849315067E-2</v>
      </c>
      <c r="AA812">
        <f t="shared" si="271"/>
        <v>8.4931506849315067E-2</v>
      </c>
      <c r="AB812">
        <f t="shared" si="272"/>
        <v>0</v>
      </c>
      <c r="AC812">
        <f t="shared" si="273"/>
        <v>0</v>
      </c>
      <c r="AD812">
        <f t="shared" si="274"/>
        <v>0</v>
      </c>
      <c r="AE812">
        <f t="shared" si="275"/>
        <v>0</v>
      </c>
      <c r="AF812">
        <f t="shared" si="276"/>
        <v>0</v>
      </c>
      <c r="AG812">
        <f t="shared" si="277"/>
        <v>0</v>
      </c>
      <c r="AH812">
        <f t="shared" si="278"/>
        <v>0</v>
      </c>
      <c r="AI812">
        <f t="shared" si="279"/>
        <v>0</v>
      </c>
      <c r="AJ812" s="2" t="str">
        <f t="shared" si="289"/>
        <v>445717</v>
      </c>
    </row>
    <row r="813" spans="1:36" x14ac:dyDescent="0.25">
      <c r="A813">
        <v>5</v>
      </c>
      <c r="B813" s="1">
        <v>45717</v>
      </c>
      <c r="C813" s="1">
        <f t="shared" si="280"/>
        <v>45870</v>
      </c>
      <c r="D813" s="1">
        <f t="shared" si="281"/>
        <v>45731</v>
      </c>
      <c r="E813" s="1">
        <f t="shared" si="282"/>
        <v>45870</v>
      </c>
      <c r="F813" s="1">
        <f t="shared" si="283"/>
        <v>45901</v>
      </c>
      <c r="G813" s="1">
        <f t="shared" si="284"/>
        <v>46096</v>
      </c>
      <c r="H813">
        <f t="shared" si="285"/>
        <v>365</v>
      </c>
      <c r="I813">
        <f t="shared" si="286"/>
        <v>31</v>
      </c>
      <c r="J813">
        <f t="shared" si="287"/>
        <v>8.4931506849315067E-2</v>
      </c>
      <c r="K813">
        <f>IFERROR($J813/IF($A813&lt;COUNTIFS($K$1:K$1,"&lt;&gt;"),0,SUMIFS($J:$J,$B:$B,$B813,$A:$A,"&gt;="&amp;COUNTIFS($K$1:K$1,"&lt;&gt;"))),0)</f>
        <v>8.9080459770114959E-2</v>
      </c>
      <c r="L813">
        <f>IFERROR($J813/IF($A813&lt;COUNTIFS($K$1:L$1,"&lt;&gt;"),0,SUMIFS($J:$J,$B:$B,$B813,$A:$A,"&gt;="&amp;COUNTIFS($K$1:L$1,"&lt;&gt;"))),0)</f>
        <v>9.7484276729559768E-2</v>
      </c>
      <c r="M813">
        <f>IFERROR($J813/IF($A813&lt;COUNTIFS($K$1:M$1,"&lt;&gt;"),0,SUMIFS($J:$J,$B:$B,$B813,$A:$A,"&gt;="&amp;COUNTIFS($K$1:M$1,"&lt;&gt;"))),0)</f>
        <v>0.10801393728222998</v>
      </c>
      <c r="N813">
        <f>IFERROR($J813/IF($A813&lt;COUNTIFS($K$1:N$1,"&lt;&gt;"),0,SUMIFS($J:$J,$B:$B,$B813,$A:$A,"&gt;="&amp;COUNTIFS($K$1:N$1,"&lt;&gt;"))),0)</f>
        <v>0.12062256809338523</v>
      </c>
      <c r="O813">
        <f>IFERROR($J813/IF($A813&lt;COUNTIFS($K$1:O$1,"&lt;&gt;"),0,SUMIFS($J:$J,$B:$B,$B813,$A:$A,"&gt;="&amp;COUNTIFS($K$1:O$1,"&lt;&gt;"))),0)</f>
        <v>0.13716814159292037</v>
      </c>
      <c r="P813">
        <f>IFERROR($J813/IF($A813&lt;COUNTIFS($K$1:P$1,"&lt;&gt;"),0,SUMIFS($J:$J,$B:$B,$B813,$A:$A,"&gt;="&amp;COUNTIFS($K$1:P$1,"&lt;&gt;"))),0)</f>
        <v>0</v>
      </c>
      <c r="Q813">
        <f>IFERROR($J813/IF($A813&lt;COUNTIFS($K$1:Q$1,"&lt;&gt;"),0,SUMIFS($J:$J,$B:$B,$B813,$A:$A,"&gt;="&amp;COUNTIFS($K$1:Q$1,"&lt;&gt;"))),0)</f>
        <v>0</v>
      </c>
      <c r="R813">
        <f>IFERROR($J813/IF($A813&lt;COUNTIFS($K$1:R$1,"&lt;&gt;"),0,SUMIFS($J:$J,$B:$B,$B813,$A:$A,"&gt;="&amp;COUNTIFS($K$1:R$1,"&lt;&gt;"))),0)</f>
        <v>0</v>
      </c>
      <c r="S813">
        <f>IFERROR($J813/IF($A813&lt;COUNTIFS($K$1:S$1,"&lt;&gt;"),0,SUMIFS($J:$J,$B:$B,$B813,$A:$A,"&gt;="&amp;COUNTIFS($K$1:S$1,"&lt;&gt;"))),0)</f>
        <v>0</v>
      </c>
      <c r="T813">
        <f>IFERROR($J813/IF($A813&lt;COUNTIFS($K$1:T$1,"&lt;&gt;"),0,SUMIFS($J:$J,$B:$B,$B813,$A:$A,"&gt;="&amp;COUNTIFS($K$1:T$1,"&lt;&gt;"))),0)</f>
        <v>0</v>
      </c>
      <c r="U813">
        <f>IFERROR($J813/IF($A813&lt;COUNTIFS($K$1:U$1,"&lt;&gt;"),0,SUMIFS($J:$J,$B:$B,$B813,$A:$A,"&gt;="&amp;COUNTIFS($K$1:U$1,"&lt;&gt;"))),0)</f>
        <v>0</v>
      </c>
      <c r="V813">
        <f>IFERROR($J813/IF($A813&lt;COUNTIFS($K$1:V$1,"&lt;&gt;"),0,SUMIFS($J:$J,$B:$B,$B813,$A:$A,"&gt;="&amp;COUNTIFS($K$1:V$1,"&lt;&gt;"))),0)</f>
        <v>0</v>
      </c>
      <c r="W813">
        <f t="shared" si="288"/>
        <v>8.4931506849315067E-2</v>
      </c>
      <c r="X813">
        <f t="shared" si="268"/>
        <v>8.4931506849315067E-2</v>
      </c>
      <c r="Y813">
        <f t="shared" si="269"/>
        <v>8.4931506849315067E-2</v>
      </c>
      <c r="Z813">
        <f t="shared" si="270"/>
        <v>8.4931506849315067E-2</v>
      </c>
      <c r="AA813">
        <f t="shared" si="271"/>
        <v>8.4931506849315067E-2</v>
      </c>
      <c r="AB813">
        <f t="shared" si="272"/>
        <v>8.4931506849315067E-2</v>
      </c>
      <c r="AC813">
        <f t="shared" si="273"/>
        <v>0</v>
      </c>
      <c r="AD813">
        <f t="shared" si="274"/>
        <v>0</v>
      </c>
      <c r="AE813">
        <f t="shared" si="275"/>
        <v>0</v>
      </c>
      <c r="AF813">
        <f t="shared" si="276"/>
        <v>0</v>
      </c>
      <c r="AG813">
        <f t="shared" si="277"/>
        <v>0</v>
      </c>
      <c r="AH813">
        <f t="shared" si="278"/>
        <v>0</v>
      </c>
      <c r="AI813">
        <f t="shared" si="279"/>
        <v>0</v>
      </c>
      <c r="AJ813" s="2" t="str">
        <f t="shared" si="289"/>
        <v>545717</v>
      </c>
    </row>
    <row r="814" spans="1:36" x14ac:dyDescent="0.25">
      <c r="A814">
        <v>6</v>
      </c>
      <c r="B814" s="1">
        <v>45717</v>
      </c>
      <c r="C814" s="1">
        <f t="shared" si="280"/>
        <v>45901</v>
      </c>
      <c r="D814" s="1">
        <f t="shared" si="281"/>
        <v>45731</v>
      </c>
      <c r="E814" s="1">
        <f t="shared" si="282"/>
        <v>45901</v>
      </c>
      <c r="F814" s="1">
        <f t="shared" si="283"/>
        <v>45931</v>
      </c>
      <c r="G814" s="1">
        <f t="shared" si="284"/>
        <v>46096</v>
      </c>
      <c r="H814">
        <f t="shared" si="285"/>
        <v>365</v>
      </c>
      <c r="I814">
        <f t="shared" si="286"/>
        <v>30</v>
      </c>
      <c r="J814">
        <f t="shared" si="287"/>
        <v>8.2191780821917804E-2</v>
      </c>
      <c r="K814">
        <f>IFERROR($J814/IF($A814&lt;COUNTIFS($K$1:K$1,"&lt;&gt;"),0,SUMIFS($J:$J,$B:$B,$B814,$A:$A,"&gt;="&amp;COUNTIFS($K$1:K$1,"&lt;&gt;"))),0)</f>
        <v>8.6206896551724144E-2</v>
      </c>
      <c r="L814">
        <f>IFERROR($J814/IF($A814&lt;COUNTIFS($K$1:L$1,"&lt;&gt;"),0,SUMIFS($J:$J,$B:$B,$B814,$A:$A,"&gt;="&amp;COUNTIFS($K$1:L$1,"&lt;&gt;"))),0)</f>
        <v>9.4339622641509441E-2</v>
      </c>
      <c r="M814">
        <f>IFERROR($J814/IF($A814&lt;COUNTIFS($K$1:M$1,"&lt;&gt;"),0,SUMIFS($J:$J,$B:$B,$B814,$A:$A,"&gt;="&amp;COUNTIFS($K$1:M$1,"&lt;&gt;"))),0)</f>
        <v>0.10452961672473869</v>
      </c>
      <c r="N814">
        <f>IFERROR($J814/IF($A814&lt;COUNTIFS($K$1:N$1,"&lt;&gt;"),0,SUMIFS($J:$J,$B:$B,$B814,$A:$A,"&gt;="&amp;COUNTIFS($K$1:N$1,"&lt;&gt;"))),0)</f>
        <v>0.11673151750972764</v>
      </c>
      <c r="O814">
        <f>IFERROR($J814/IF($A814&lt;COUNTIFS($K$1:O$1,"&lt;&gt;"),0,SUMIFS($J:$J,$B:$B,$B814,$A:$A,"&gt;="&amp;COUNTIFS($K$1:O$1,"&lt;&gt;"))),0)</f>
        <v>0.13274336283185842</v>
      </c>
      <c r="P814">
        <f>IFERROR($J814/IF($A814&lt;COUNTIFS($K$1:P$1,"&lt;&gt;"),0,SUMIFS($J:$J,$B:$B,$B814,$A:$A,"&gt;="&amp;COUNTIFS($K$1:P$1,"&lt;&gt;"))),0)</f>
        <v>0.15384615384615385</v>
      </c>
      <c r="Q814">
        <f>IFERROR($J814/IF($A814&lt;COUNTIFS($K$1:Q$1,"&lt;&gt;"),0,SUMIFS($J:$J,$B:$B,$B814,$A:$A,"&gt;="&amp;COUNTIFS($K$1:Q$1,"&lt;&gt;"))),0)</f>
        <v>0</v>
      </c>
      <c r="R814">
        <f>IFERROR($J814/IF($A814&lt;COUNTIFS($K$1:R$1,"&lt;&gt;"),0,SUMIFS($J:$J,$B:$B,$B814,$A:$A,"&gt;="&amp;COUNTIFS($K$1:R$1,"&lt;&gt;"))),0)</f>
        <v>0</v>
      </c>
      <c r="S814">
        <f>IFERROR($J814/IF($A814&lt;COUNTIFS($K$1:S$1,"&lt;&gt;"),0,SUMIFS($J:$J,$B:$B,$B814,$A:$A,"&gt;="&amp;COUNTIFS($K$1:S$1,"&lt;&gt;"))),0)</f>
        <v>0</v>
      </c>
      <c r="T814">
        <f>IFERROR($J814/IF($A814&lt;COUNTIFS($K$1:T$1,"&lt;&gt;"),0,SUMIFS($J:$J,$B:$B,$B814,$A:$A,"&gt;="&amp;COUNTIFS($K$1:T$1,"&lt;&gt;"))),0)</f>
        <v>0</v>
      </c>
      <c r="U814">
        <f>IFERROR($J814/IF($A814&lt;COUNTIFS($K$1:U$1,"&lt;&gt;"),0,SUMIFS($J:$J,$B:$B,$B814,$A:$A,"&gt;="&amp;COUNTIFS($K$1:U$1,"&lt;&gt;"))),0)</f>
        <v>0</v>
      </c>
      <c r="V814">
        <f>IFERROR($J814/IF($A814&lt;COUNTIFS($K$1:V$1,"&lt;&gt;"),0,SUMIFS($J:$J,$B:$B,$B814,$A:$A,"&gt;="&amp;COUNTIFS($K$1:V$1,"&lt;&gt;"))),0)</f>
        <v>0</v>
      </c>
      <c r="W814">
        <f t="shared" si="288"/>
        <v>8.2191780821917804E-2</v>
      </c>
      <c r="X814">
        <f t="shared" si="268"/>
        <v>8.2191780821917804E-2</v>
      </c>
      <c r="Y814">
        <f t="shared" si="269"/>
        <v>8.2191780821917804E-2</v>
      </c>
      <c r="Z814">
        <f t="shared" si="270"/>
        <v>8.2191780821917804E-2</v>
      </c>
      <c r="AA814">
        <f t="shared" si="271"/>
        <v>8.2191780821917804E-2</v>
      </c>
      <c r="AB814">
        <f t="shared" si="272"/>
        <v>8.2191780821917804E-2</v>
      </c>
      <c r="AC814">
        <f t="shared" si="273"/>
        <v>8.2191780821917804E-2</v>
      </c>
      <c r="AD814">
        <f t="shared" si="274"/>
        <v>0</v>
      </c>
      <c r="AE814">
        <f t="shared" si="275"/>
        <v>0</v>
      </c>
      <c r="AF814">
        <f t="shared" si="276"/>
        <v>0</v>
      </c>
      <c r="AG814">
        <f t="shared" si="277"/>
        <v>0</v>
      </c>
      <c r="AH814">
        <f t="shared" si="278"/>
        <v>0</v>
      </c>
      <c r="AI814">
        <f t="shared" si="279"/>
        <v>0</v>
      </c>
      <c r="AJ814" s="2" t="str">
        <f t="shared" si="289"/>
        <v>645717</v>
      </c>
    </row>
    <row r="815" spans="1:36" x14ac:dyDescent="0.25">
      <c r="A815">
        <v>7</v>
      </c>
      <c r="B815" s="1">
        <v>45717</v>
      </c>
      <c r="C815" s="1">
        <f t="shared" si="280"/>
        <v>45931</v>
      </c>
      <c r="D815" s="1">
        <f t="shared" si="281"/>
        <v>45731</v>
      </c>
      <c r="E815" s="1">
        <f t="shared" si="282"/>
        <v>45931</v>
      </c>
      <c r="F815" s="1">
        <f t="shared" si="283"/>
        <v>45962</v>
      </c>
      <c r="G815" s="1">
        <f t="shared" si="284"/>
        <v>46096</v>
      </c>
      <c r="H815">
        <f t="shared" si="285"/>
        <v>365</v>
      </c>
      <c r="I815">
        <f t="shared" si="286"/>
        <v>31</v>
      </c>
      <c r="J815">
        <f t="shared" si="287"/>
        <v>8.4931506849315067E-2</v>
      </c>
      <c r="K815">
        <f>IFERROR($J815/IF($A815&lt;COUNTIFS($K$1:K$1,"&lt;&gt;"),0,SUMIFS($J:$J,$B:$B,$B815,$A:$A,"&gt;="&amp;COUNTIFS($K$1:K$1,"&lt;&gt;"))),0)</f>
        <v>8.9080459770114959E-2</v>
      </c>
      <c r="L815">
        <f>IFERROR($J815/IF($A815&lt;COUNTIFS($K$1:L$1,"&lt;&gt;"),0,SUMIFS($J:$J,$B:$B,$B815,$A:$A,"&gt;="&amp;COUNTIFS($K$1:L$1,"&lt;&gt;"))),0)</f>
        <v>9.7484276729559768E-2</v>
      </c>
      <c r="M815">
        <f>IFERROR($J815/IF($A815&lt;COUNTIFS($K$1:M$1,"&lt;&gt;"),0,SUMIFS($J:$J,$B:$B,$B815,$A:$A,"&gt;="&amp;COUNTIFS($K$1:M$1,"&lt;&gt;"))),0)</f>
        <v>0.10801393728222998</v>
      </c>
      <c r="N815">
        <f>IFERROR($J815/IF($A815&lt;COUNTIFS($K$1:N$1,"&lt;&gt;"),0,SUMIFS($J:$J,$B:$B,$B815,$A:$A,"&gt;="&amp;COUNTIFS($K$1:N$1,"&lt;&gt;"))),0)</f>
        <v>0.12062256809338523</v>
      </c>
      <c r="O815">
        <f>IFERROR($J815/IF($A815&lt;COUNTIFS($K$1:O$1,"&lt;&gt;"),0,SUMIFS($J:$J,$B:$B,$B815,$A:$A,"&gt;="&amp;COUNTIFS($K$1:O$1,"&lt;&gt;"))),0)</f>
        <v>0.13716814159292037</v>
      </c>
      <c r="P815">
        <f>IFERROR($J815/IF($A815&lt;COUNTIFS($K$1:P$1,"&lt;&gt;"),0,SUMIFS($J:$J,$B:$B,$B815,$A:$A,"&gt;="&amp;COUNTIFS($K$1:P$1,"&lt;&gt;"))),0)</f>
        <v>0.15897435897435899</v>
      </c>
      <c r="Q815">
        <f>IFERROR($J815/IF($A815&lt;COUNTIFS($K$1:Q$1,"&lt;&gt;"),0,SUMIFS($J:$J,$B:$B,$B815,$A:$A,"&gt;="&amp;COUNTIFS($K$1:Q$1,"&lt;&gt;"))),0)</f>
        <v>0.1878787878787879</v>
      </c>
      <c r="R815">
        <f>IFERROR($J815/IF($A815&lt;COUNTIFS($K$1:R$1,"&lt;&gt;"),0,SUMIFS($J:$J,$B:$B,$B815,$A:$A,"&gt;="&amp;COUNTIFS($K$1:R$1,"&lt;&gt;"))),0)</f>
        <v>0</v>
      </c>
      <c r="S815">
        <f>IFERROR($J815/IF($A815&lt;COUNTIFS($K$1:S$1,"&lt;&gt;"),0,SUMIFS($J:$J,$B:$B,$B815,$A:$A,"&gt;="&amp;COUNTIFS($K$1:S$1,"&lt;&gt;"))),0)</f>
        <v>0</v>
      </c>
      <c r="T815">
        <f>IFERROR($J815/IF($A815&lt;COUNTIFS($K$1:T$1,"&lt;&gt;"),0,SUMIFS($J:$J,$B:$B,$B815,$A:$A,"&gt;="&amp;COUNTIFS($K$1:T$1,"&lt;&gt;"))),0)</f>
        <v>0</v>
      </c>
      <c r="U815">
        <f>IFERROR($J815/IF($A815&lt;COUNTIFS($K$1:U$1,"&lt;&gt;"),0,SUMIFS($J:$J,$B:$B,$B815,$A:$A,"&gt;="&amp;COUNTIFS($K$1:U$1,"&lt;&gt;"))),0)</f>
        <v>0</v>
      </c>
      <c r="V815">
        <f>IFERROR($J815/IF($A815&lt;COUNTIFS($K$1:V$1,"&lt;&gt;"),0,SUMIFS($J:$J,$B:$B,$B815,$A:$A,"&gt;="&amp;COUNTIFS($K$1:V$1,"&lt;&gt;"))),0)</f>
        <v>0</v>
      </c>
      <c r="W815">
        <f t="shared" si="288"/>
        <v>8.4931506849315067E-2</v>
      </c>
      <c r="X815">
        <f t="shared" si="268"/>
        <v>8.4931506849315067E-2</v>
      </c>
      <c r="Y815">
        <f t="shared" si="269"/>
        <v>8.4931506849315067E-2</v>
      </c>
      <c r="Z815">
        <f t="shared" si="270"/>
        <v>8.4931506849315067E-2</v>
      </c>
      <c r="AA815">
        <f t="shared" si="271"/>
        <v>8.4931506849315067E-2</v>
      </c>
      <c r="AB815">
        <f t="shared" si="272"/>
        <v>8.4931506849315067E-2</v>
      </c>
      <c r="AC815">
        <f t="shared" si="273"/>
        <v>8.4931506849315067E-2</v>
      </c>
      <c r="AD815">
        <f t="shared" si="274"/>
        <v>8.4931506849315067E-2</v>
      </c>
      <c r="AE815">
        <f t="shared" si="275"/>
        <v>0</v>
      </c>
      <c r="AF815">
        <f t="shared" si="276"/>
        <v>0</v>
      </c>
      <c r="AG815">
        <f t="shared" si="277"/>
        <v>0</v>
      </c>
      <c r="AH815">
        <f t="shared" si="278"/>
        <v>0</v>
      </c>
      <c r="AI815">
        <f t="shared" si="279"/>
        <v>0</v>
      </c>
      <c r="AJ815" s="2" t="str">
        <f t="shared" si="289"/>
        <v>745717</v>
      </c>
    </row>
    <row r="816" spans="1:36" x14ac:dyDescent="0.25">
      <c r="A816">
        <v>8</v>
      </c>
      <c r="B816" s="1">
        <v>45717</v>
      </c>
      <c r="C816" s="1">
        <f t="shared" si="280"/>
        <v>45962</v>
      </c>
      <c r="D816" s="1">
        <f t="shared" si="281"/>
        <v>45731</v>
      </c>
      <c r="E816" s="1">
        <f t="shared" si="282"/>
        <v>45962</v>
      </c>
      <c r="F816" s="1">
        <f t="shared" si="283"/>
        <v>45992</v>
      </c>
      <c r="G816" s="1">
        <f t="shared" si="284"/>
        <v>46096</v>
      </c>
      <c r="H816">
        <f t="shared" si="285"/>
        <v>365</v>
      </c>
      <c r="I816">
        <f t="shared" si="286"/>
        <v>30</v>
      </c>
      <c r="J816">
        <f t="shared" si="287"/>
        <v>8.2191780821917804E-2</v>
      </c>
      <c r="K816">
        <f>IFERROR($J816/IF($A816&lt;COUNTIFS($K$1:K$1,"&lt;&gt;"),0,SUMIFS($J:$J,$B:$B,$B816,$A:$A,"&gt;="&amp;COUNTIFS($K$1:K$1,"&lt;&gt;"))),0)</f>
        <v>8.6206896551724144E-2</v>
      </c>
      <c r="L816">
        <f>IFERROR($J816/IF($A816&lt;COUNTIFS($K$1:L$1,"&lt;&gt;"),0,SUMIFS($J:$J,$B:$B,$B816,$A:$A,"&gt;="&amp;COUNTIFS($K$1:L$1,"&lt;&gt;"))),0)</f>
        <v>9.4339622641509441E-2</v>
      </c>
      <c r="M816">
        <f>IFERROR($J816/IF($A816&lt;COUNTIFS($K$1:M$1,"&lt;&gt;"),0,SUMIFS($J:$J,$B:$B,$B816,$A:$A,"&gt;="&amp;COUNTIFS($K$1:M$1,"&lt;&gt;"))),0)</f>
        <v>0.10452961672473869</v>
      </c>
      <c r="N816">
        <f>IFERROR($J816/IF($A816&lt;COUNTIFS($K$1:N$1,"&lt;&gt;"),0,SUMIFS($J:$J,$B:$B,$B816,$A:$A,"&gt;="&amp;COUNTIFS($K$1:N$1,"&lt;&gt;"))),0)</f>
        <v>0.11673151750972764</v>
      </c>
      <c r="O816">
        <f>IFERROR($J816/IF($A816&lt;COUNTIFS($K$1:O$1,"&lt;&gt;"),0,SUMIFS($J:$J,$B:$B,$B816,$A:$A,"&gt;="&amp;COUNTIFS($K$1:O$1,"&lt;&gt;"))),0)</f>
        <v>0.13274336283185842</v>
      </c>
      <c r="P816">
        <f>IFERROR($J816/IF($A816&lt;COUNTIFS($K$1:P$1,"&lt;&gt;"),0,SUMIFS($J:$J,$B:$B,$B816,$A:$A,"&gt;="&amp;COUNTIFS($K$1:P$1,"&lt;&gt;"))),0)</f>
        <v>0.15384615384615385</v>
      </c>
      <c r="Q816">
        <f>IFERROR($J816/IF($A816&lt;COUNTIFS($K$1:Q$1,"&lt;&gt;"),0,SUMIFS($J:$J,$B:$B,$B816,$A:$A,"&gt;="&amp;COUNTIFS($K$1:Q$1,"&lt;&gt;"))),0)</f>
        <v>0.18181818181818182</v>
      </c>
      <c r="R816">
        <f>IFERROR($J816/IF($A816&lt;COUNTIFS($K$1:R$1,"&lt;&gt;"),0,SUMIFS($J:$J,$B:$B,$B816,$A:$A,"&gt;="&amp;COUNTIFS($K$1:R$1,"&lt;&gt;"))),0)</f>
        <v>0.22388059701492535</v>
      </c>
      <c r="S816">
        <f>IFERROR($J816/IF($A816&lt;COUNTIFS($K$1:S$1,"&lt;&gt;"),0,SUMIFS($J:$J,$B:$B,$B816,$A:$A,"&gt;="&amp;COUNTIFS($K$1:S$1,"&lt;&gt;"))),0)</f>
        <v>0</v>
      </c>
      <c r="T816">
        <f>IFERROR($J816/IF($A816&lt;COUNTIFS($K$1:T$1,"&lt;&gt;"),0,SUMIFS($J:$J,$B:$B,$B816,$A:$A,"&gt;="&amp;COUNTIFS($K$1:T$1,"&lt;&gt;"))),0)</f>
        <v>0</v>
      </c>
      <c r="U816">
        <f>IFERROR($J816/IF($A816&lt;COUNTIFS($K$1:U$1,"&lt;&gt;"),0,SUMIFS($J:$J,$B:$B,$B816,$A:$A,"&gt;="&amp;COUNTIFS($K$1:U$1,"&lt;&gt;"))),0)</f>
        <v>0</v>
      </c>
      <c r="V816">
        <f>IFERROR($J816/IF($A816&lt;COUNTIFS($K$1:V$1,"&lt;&gt;"),0,SUMIFS($J:$J,$B:$B,$B816,$A:$A,"&gt;="&amp;COUNTIFS($K$1:V$1,"&lt;&gt;"))),0)</f>
        <v>0</v>
      </c>
      <c r="W816">
        <f t="shared" si="288"/>
        <v>8.2191780821917804E-2</v>
      </c>
      <c r="X816">
        <f t="shared" si="268"/>
        <v>8.2191780821917804E-2</v>
      </c>
      <c r="Y816">
        <f t="shared" si="269"/>
        <v>8.2191780821917804E-2</v>
      </c>
      <c r="Z816">
        <f t="shared" si="270"/>
        <v>8.2191780821917804E-2</v>
      </c>
      <c r="AA816">
        <f t="shared" si="271"/>
        <v>8.2191780821917804E-2</v>
      </c>
      <c r="AB816">
        <f t="shared" si="272"/>
        <v>8.2191780821917804E-2</v>
      </c>
      <c r="AC816">
        <f t="shared" si="273"/>
        <v>8.2191780821917804E-2</v>
      </c>
      <c r="AD816">
        <f t="shared" si="274"/>
        <v>8.2191780821917804E-2</v>
      </c>
      <c r="AE816">
        <f t="shared" si="275"/>
        <v>8.2191780821917804E-2</v>
      </c>
      <c r="AF816">
        <f t="shared" si="276"/>
        <v>0</v>
      </c>
      <c r="AG816">
        <f t="shared" si="277"/>
        <v>0</v>
      </c>
      <c r="AH816">
        <f t="shared" si="278"/>
        <v>0</v>
      </c>
      <c r="AI816">
        <f t="shared" si="279"/>
        <v>0</v>
      </c>
      <c r="AJ816" s="2" t="str">
        <f t="shared" si="289"/>
        <v>845717</v>
      </c>
    </row>
    <row r="817" spans="1:36" x14ac:dyDescent="0.25">
      <c r="A817">
        <v>9</v>
      </c>
      <c r="B817" s="1">
        <v>45717</v>
      </c>
      <c r="C817" s="1">
        <f t="shared" si="280"/>
        <v>45992</v>
      </c>
      <c r="D817" s="1">
        <f t="shared" si="281"/>
        <v>45731</v>
      </c>
      <c r="E817" s="1">
        <f t="shared" si="282"/>
        <v>45992</v>
      </c>
      <c r="F817" s="1">
        <f t="shared" si="283"/>
        <v>46023</v>
      </c>
      <c r="G817" s="1">
        <f t="shared" si="284"/>
        <v>46096</v>
      </c>
      <c r="H817">
        <f t="shared" si="285"/>
        <v>365</v>
      </c>
      <c r="I817">
        <f t="shared" si="286"/>
        <v>31</v>
      </c>
      <c r="J817">
        <f t="shared" si="287"/>
        <v>8.4931506849315067E-2</v>
      </c>
      <c r="K817">
        <f>IFERROR($J817/IF($A817&lt;COUNTIFS($K$1:K$1,"&lt;&gt;"),0,SUMIFS($J:$J,$B:$B,$B817,$A:$A,"&gt;="&amp;COUNTIFS($K$1:K$1,"&lt;&gt;"))),0)</f>
        <v>8.9080459770114959E-2</v>
      </c>
      <c r="L817">
        <f>IFERROR($J817/IF($A817&lt;COUNTIFS($K$1:L$1,"&lt;&gt;"),0,SUMIFS($J:$J,$B:$B,$B817,$A:$A,"&gt;="&amp;COUNTIFS($K$1:L$1,"&lt;&gt;"))),0)</f>
        <v>9.7484276729559768E-2</v>
      </c>
      <c r="M817">
        <f>IFERROR($J817/IF($A817&lt;COUNTIFS($K$1:M$1,"&lt;&gt;"),0,SUMIFS($J:$J,$B:$B,$B817,$A:$A,"&gt;="&amp;COUNTIFS($K$1:M$1,"&lt;&gt;"))),0)</f>
        <v>0.10801393728222998</v>
      </c>
      <c r="N817">
        <f>IFERROR($J817/IF($A817&lt;COUNTIFS($K$1:N$1,"&lt;&gt;"),0,SUMIFS($J:$J,$B:$B,$B817,$A:$A,"&gt;="&amp;COUNTIFS($K$1:N$1,"&lt;&gt;"))),0)</f>
        <v>0.12062256809338523</v>
      </c>
      <c r="O817">
        <f>IFERROR($J817/IF($A817&lt;COUNTIFS($K$1:O$1,"&lt;&gt;"),0,SUMIFS($J:$J,$B:$B,$B817,$A:$A,"&gt;="&amp;COUNTIFS($K$1:O$1,"&lt;&gt;"))),0)</f>
        <v>0.13716814159292037</v>
      </c>
      <c r="P817">
        <f>IFERROR($J817/IF($A817&lt;COUNTIFS($K$1:P$1,"&lt;&gt;"),0,SUMIFS($J:$J,$B:$B,$B817,$A:$A,"&gt;="&amp;COUNTIFS($K$1:P$1,"&lt;&gt;"))),0)</f>
        <v>0.15897435897435899</v>
      </c>
      <c r="Q817">
        <f>IFERROR($J817/IF($A817&lt;COUNTIFS($K$1:Q$1,"&lt;&gt;"),0,SUMIFS($J:$J,$B:$B,$B817,$A:$A,"&gt;="&amp;COUNTIFS($K$1:Q$1,"&lt;&gt;"))),0)</f>
        <v>0.1878787878787879</v>
      </c>
      <c r="R817">
        <f>IFERROR($J817/IF($A817&lt;COUNTIFS($K$1:R$1,"&lt;&gt;"),0,SUMIFS($J:$J,$B:$B,$B817,$A:$A,"&gt;="&amp;COUNTIFS($K$1:R$1,"&lt;&gt;"))),0)</f>
        <v>0.23134328358208955</v>
      </c>
      <c r="S817">
        <f>IFERROR($J817/IF($A817&lt;COUNTIFS($K$1:S$1,"&lt;&gt;"),0,SUMIFS($J:$J,$B:$B,$B817,$A:$A,"&gt;="&amp;COUNTIFS($K$1:S$1,"&lt;&gt;"))),0)</f>
        <v>0.29807692307692307</v>
      </c>
      <c r="T817">
        <f>IFERROR($J817/IF($A817&lt;COUNTIFS($K$1:T$1,"&lt;&gt;"),0,SUMIFS($J:$J,$B:$B,$B817,$A:$A,"&gt;="&amp;COUNTIFS($K$1:T$1,"&lt;&gt;"))),0)</f>
        <v>0</v>
      </c>
      <c r="U817">
        <f>IFERROR($J817/IF($A817&lt;COUNTIFS($K$1:U$1,"&lt;&gt;"),0,SUMIFS($J:$J,$B:$B,$B817,$A:$A,"&gt;="&amp;COUNTIFS($K$1:U$1,"&lt;&gt;"))),0)</f>
        <v>0</v>
      </c>
      <c r="V817">
        <f>IFERROR($J817/IF($A817&lt;COUNTIFS($K$1:V$1,"&lt;&gt;"),0,SUMIFS($J:$J,$B:$B,$B817,$A:$A,"&gt;="&amp;COUNTIFS($K$1:V$1,"&lt;&gt;"))),0)</f>
        <v>0</v>
      </c>
      <c r="W817">
        <f t="shared" si="288"/>
        <v>8.4931506849315067E-2</v>
      </c>
      <c r="X817">
        <f t="shared" si="268"/>
        <v>8.4931506849315067E-2</v>
      </c>
      <c r="Y817">
        <f t="shared" si="269"/>
        <v>8.4931506849315067E-2</v>
      </c>
      <c r="Z817">
        <f t="shared" si="270"/>
        <v>8.4931506849315067E-2</v>
      </c>
      <c r="AA817">
        <f t="shared" si="271"/>
        <v>8.4931506849315067E-2</v>
      </c>
      <c r="AB817">
        <f t="shared" si="272"/>
        <v>8.4931506849315067E-2</v>
      </c>
      <c r="AC817">
        <f t="shared" si="273"/>
        <v>8.4931506849315067E-2</v>
      </c>
      <c r="AD817">
        <f t="shared" si="274"/>
        <v>8.4931506849315067E-2</v>
      </c>
      <c r="AE817">
        <f t="shared" si="275"/>
        <v>8.4931506849315067E-2</v>
      </c>
      <c r="AF817">
        <f t="shared" si="276"/>
        <v>8.4931506849315067E-2</v>
      </c>
      <c r="AG817">
        <f t="shared" si="277"/>
        <v>0</v>
      </c>
      <c r="AH817">
        <f t="shared" si="278"/>
        <v>0</v>
      </c>
      <c r="AI817">
        <f t="shared" si="279"/>
        <v>0</v>
      </c>
      <c r="AJ817" s="2" t="str">
        <f t="shared" si="289"/>
        <v>945717</v>
      </c>
    </row>
    <row r="818" spans="1:36" x14ac:dyDescent="0.25">
      <c r="A818">
        <v>10</v>
      </c>
      <c r="B818" s="1">
        <v>45717</v>
      </c>
      <c r="C818" s="1">
        <f t="shared" si="280"/>
        <v>46023</v>
      </c>
      <c r="D818" s="1">
        <f t="shared" si="281"/>
        <v>45731</v>
      </c>
      <c r="E818" s="1">
        <f t="shared" si="282"/>
        <v>46023</v>
      </c>
      <c r="F818" s="1">
        <f t="shared" si="283"/>
        <v>46054</v>
      </c>
      <c r="G818" s="1">
        <f t="shared" si="284"/>
        <v>46096</v>
      </c>
      <c r="H818">
        <f t="shared" si="285"/>
        <v>365</v>
      </c>
      <c r="I818">
        <f t="shared" si="286"/>
        <v>31</v>
      </c>
      <c r="J818">
        <f t="shared" si="287"/>
        <v>8.4931506849315067E-2</v>
      </c>
      <c r="K818">
        <f>IFERROR($J818/IF($A818&lt;COUNTIFS($K$1:K$1,"&lt;&gt;"),0,SUMIFS($J:$J,$B:$B,$B818,$A:$A,"&gt;="&amp;COUNTIFS($K$1:K$1,"&lt;&gt;"))),0)</f>
        <v>8.9080459770114959E-2</v>
      </c>
      <c r="L818">
        <f>IFERROR($J818/IF($A818&lt;COUNTIFS($K$1:L$1,"&lt;&gt;"),0,SUMIFS($J:$J,$B:$B,$B818,$A:$A,"&gt;="&amp;COUNTIFS($K$1:L$1,"&lt;&gt;"))),0)</f>
        <v>9.7484276729559768E-2</v>
      </c>
      <c r="M818">
        <f>IFERROR($J818/IF($A818&lt;COUNTIFS($K$1:M$1,"&lt;&gt;"),0,SUMIFS($J:$J,$B:$B,$B818,$A:$A,"&gt;="&amp;COUNTIFS($K$1:M$1,"&lt;&gt;"))),0)</f>
        <v>0.10801393728222998</v>
      </c>
      <c r="N818">
        <f>IFERROR($J818/IF($A818&lt;COUNTIFS($K$1:N$1,"&lt;&gt;"),0,SUMIFS($J:$J,$B:$B,$B818,$A:$A,"&gt;="&amp;COUNTIFS($K$1:N$1,"&lt;&gt;"))),0)</f>
        <v>0.12062256809338523</v>
      </c>
      <c r="O818">
        <f>IFERROR($J818/IF($A818&lt;COUNTIFS($K$1:O$1,"&lt;&gt;"),0,SUMIFS($J:$J,$B:$B,$B818,$A:$A,"&gt;="&amp;COUNTIFS($K$1:O$1,"&lt;&gt;"))),0)</f>
        <v>0.13716814159292037</v>
      </c>
      <c r="P818">
        <f>IFERROR($J818/IF($A818&lt;COUNTIFS($K$1:P$1,"&lt;&gt;"),0,SUMIFS($J:$J,$B:$B,$B818,$A:$A,"&gt;="&amp;COUNTIFS($K$1:P$1,"&lt;&gt;"))),0)</f>
        <v>0.15897435897435899</v>
      </c>
      <c r="Q818">
        <f>IFERROR($J818/IF($A818&lt;COUNTIFS($K$1:Q$1,"&lt;&gt;"),0,SUMIFS($J:$J,$B:$B,$B818,$A:$A,"&gt;="&amp;COUNTIFS($K$1:Q$1,"&lt;&gt;"))),0)</f>
        <v>0.1878787878787879</v>
      </c>
      <c r="R818">
        <f>IFERROR($J818/IF($A818&lt;COUNTIFS($K$1:R$1,"&lt;&gt;"),0,SUMIFS($J:$J,$B:$B,$B818,$A:$A,"&gt;="&amp;COUNTIFS($K$1:R$1,"&lt;&gt;"))),0)</f>
        <v>0.23134328358208955</v>
      </c>
      <c r="S818">
        <f>IFERROR($J818/IF($A818&lt;COUNTIFS($K$1:S$1,"&lt;&gt;"),0,SUMIFS($J:$J,$B:$B,$B818,$A:$A,"&gt;="&amp;COUNTIFS($K$1:S$1,"&lt;&gt;"))),0)</f>
        <v>0.29807692307692307</v>
      </c>
      <c r="T818">
        <f>IFERROR($J818/IF($A818&lt;COUNTIFS($K$1:T$1,"&lt;&gt;"),0,SUMIFS($J:$J,$B:$B,$B818,$A:$A,"&gt;="&amp;COUNTIFS($K$1:T$1,"&lt;&gt;"))),0)</f>
        <v>0.42465753424657532</v>
      </c>
      <c r="U818">
        <f>IFERROR($J818/IF($A818&lt;COUNTIFS($K$1:U$1,"&lt;&gt;"),0,SUMIFS($J:$J,$B:$B,$B818,$A:$A,"&gt;="&amp;COUNTIFS($K$1:U$1,"&lt;&gt;"))),0)</f>
        <v>0</v>
      </c>
      <c r="V818">
        <f>IFERROR($J818/IF($A818&lt;COUNTIFS($K$1:V$1,"&lt;&gt;"),0,SUMIFS($J:$J,$B:$B,$B818,$A:$A,"&gt;="&amp;COUNTIFS($K$1:V$1,"&lt;&gt;"))),0)</f>
        <v>0</v>
      </c>
      <c r="W818">
        <f t="shared" si="288"/>
        <v>8.4931506849315067E-2</v>
      </c>
      <c r="X818">
        <f t="shared" si="268"/>
        <v>8.4931506849315067E-2</v>
      </c>
      <c r="Y818">
        <f t="shared" si="269"/>
        <v>8.4931506849315067E-2</v>
      </c>
      <c r="Z818">
        <f t="shared" si="270"/>
        <v>8.4931506849315067E-2</v>
      </c>
      <c r="AA818">
        <f t="shared" si="271"/>
        <v>8.4931506849315067E-2</v>
      </c>
      <c r="AB818">
        <f t="shared" si="272"/>
        <v>8.4931506849315067E-2</v>
      </c>
      <c r="AC818">
        <f t="shared" si="273"/>
        <v>8.4931506849315067E-2</v>
      </c>
      <c r="AD818">
        <f t="shared" si="274"/>
        <v>8.4931506849315067E-2</v>
      </c>
      <c r="AE818">
        <f t="shared" si="275"/>
        <v>8.4931506849315067E-2</v>
      </c>
      <c r="AF818">
        <f t="shared" si="276"/>
        <v>8.4931506849315067E-2</v>
      </c>
      <c r="AG818">
        <f t="shared" si="277"/>
        <v>8.4931506849315067E-2</v>
      </c>
      <c r="AH818">
        <f t="shared" si="278"/>
        <v>0</v>
      </c>
      <c r="AI818">
        <f t="shared" si="279"/>
        <v>0</v>
      </c>
      <c r="AJ818" s="2" t="str">
        <f t="shared" si="289"/>
        <v>1045717</v>
      </c>
    </row>
    <row r="819" spans="1:36" x14ac:dyDescent="0.25">
      <c r="A819">
        <v>11</v>
      </c>
      <c r="B819" s="1">
        <v>45717</v>
      </c>
      <c r="C819" s="1">
        <f t="shared" si="280"/>
        <v>46054</v>
      </c>
      <c r="D819" s="1">
        <f t="shared" si="281"/>
        <v>45731</v>
      </c>
      <c r="E819" s="1">
        <f t="shared" si="282"/>
        <v>46054</v>
      </c>
      <c r="F819" s="1">
        <f t="shared" si="283"/>
        <v>46082</v>
      </c>
      <c r="G819" s="1">
        <f t="shared" si="284"/>
        <v>46096</v>
      </c>
      <c r="H819">
        <f t="shared" si="285"/>
        <v>365</v>
      </c>
      <c r="I819">
        <f t="shared" si="286"/>
        <v>28</v>
      </c>
      <c r="J819">
        <f t="shared" si="287"/>
        <v>7.6712328767123292E-2</v>
      </c>
      <c r="K819">
        <f>IFERROR($J819/IF($A819&lt;COUNTIFS($K$1:K$1,"&lt;&gt;"),0,SUMIFS($J:$J,$B:$B,$B819,$A:$A,"&gt;="&amp;COUNTIFS($K$1:K$1,"&lt;&gt;"))),0)</f>
        <v>8.0459770114942541E-2</v>
      </c>
      <c r="L819">
        <f>IFERROR($J819/IF($A819&lt;COUNTIFS($K$1:L$1,"&lt;&gt;"),0,SUMIFS($J:$J,$B:$B,$B819,$A:$A,"&gt;="&amp;COUNTIFS($K$1:L$1,"&lt;&gt;"))),0)</f>
        <v>8.8050314465408827E-2</v>
      </c>
      <c r="M819">
        <f>IFERROR($J819/IF($A819&lt;COUNTIFS($K$1:M$1,"&lt;&gt;"),0,SUMIFS($J:$J,$B:$B,$B819,$A:$A,"&gt;="&amp;COUNTIFS($K$1:M$1,"&lt;&gt;"))),0)</f>
        <v>9.7560975609756115E-2</v>
      </c>
      <c r="N819">
        <f>IFERROR($J819/IF($A819&lt;COUNTIFS($K$1:N$1,"&lt;&gt;"),0,SUMIFS($J:$J,$B:$B,$B819,$A:$A,"&gt;="&amp;COUNTIFS($K$1:N$1,"&lt;&gt;"))),0)</f>
        <v>0.10894941634241248</v>
      </c>
      <c r="O819">
        <f>IFERROR($J819/IF($A819&lt;COUNTIFS($K$1:O$1,"&lt;&gt;"),0,SUMIFS($J:$J,$B:$B,$B819,$A:$A,"&gt;="&amp;COUNTIFS($K$1:O$1,"&lt;&gt;"))),0)</f>
        <v>0.12389380530973454</v>
      </c>
      <c r="P819">
        <f>IFERROR($J819/IF($A819&lt;COUNTIFS($K$1:P$1,"&lt;&gt;"),0,SUMIFS($J:$J,$B:$B,$B819,$A:$A,"&gt;="&amp;COUNTIFS($K$1:P$1,"&lt;&gt;"))),0)</f>
        <v>0.14358974358974361</v>
      </c>
      <c r="Q819">
        <f>IFERROR($J819/IF($A819&lt;COUNTIFS($K$1:Q$1,"&lt;&gt;"),0,SUMIFS($J:$J,$B:$B,$B819,$A:$A,"&gt;="&amp;COUNTIFS($K$1:Q$1,"&lt;&gt;"))),0)</f>
        <v>0.16969696969696971</v>
      </c>
      <c r="R819">
        <f>IFERROR($J819/IF($A819&lt;COUNTIFS($K$1:R$1,"&lt;&gt;"),0,SUMIFS($J:$J,$B:$B,$B819,$A:$A,"&gt;="&amp;COUNTIFS($K$1:R$1,"&lt;&gt;"))),0)</f>
        <v>0.20895522388059704</v>
      </c>
      <c r="S819">
        <f>IFERROR($J819/IF($A819&lt;COUNTIFS($K$1:S$1,"&lt;&gt;"),0,SUMIFS($J:$J,$B:$B,$B819,$A:$A,"&gt;="&amp;COUNTIFS($K$1:S$1,"&lt;&gt;"))),0)</f>
        <v>0.26923076923076927</v>
      </c>
      <c r="T819">
        <f>IFERROR($J819/IF($A819&lt;COUNTIFS($K$1:T$1,"&lt;&gt;"),0,SUMIFS($J:$J,$B:$B,$B819,$A:$A,"&gt;="&amp;COUNTIFS($K$1:T$1,"&lt;&gt;"))),0)</f>
        <v>0.38356164383561642</v>
      </c>
      <c r="U819">
        <f>IFERROR($J819/IF($A819&lt;COUNTIFS($K$1:U$1,"&lt;&gt;"),0,SUMIFS($J:$J,$B:$B,$B819,$A:$A,"&gt;="&amp;COUNTIFS($K$1:U$1,"&lt;&gt;"))),0)</f>
        <v>0.66666666666666674</v>
      </c>
      <c r="V819">
        <f>IFERROR($J819/IF($A819&lt;COUNTIFS($K$1:V$1,"&lt;&gt;"),0,SUMIFS($J:$J,$B:$B,$B819,$A:$A,"&gt;="&amp;COUNTIFS($K$1:V$1,"&lt;&gt;"))),0)</f>
        <v>0</v>
      </c>
      <c r="W819">
        <f t="shared" si="288"/>
        <v>7.6712328767123292E-2</v>
      </c>
      <c r="X819">
        <f t="shared" si="268"/>
        <v>7.6712328767123292E-2</v>
      </c>
      <c r="Y819">
        <f t="shared" si="269"/>
        <v>7.6712328767123292E-2</v>
      </c>
      <c r="Z819">
        <f t="shared" si="270"/>
        <v>7.6712328767123292E-2</v>
      </c>
      <c r="AA819">
        <f t="shared" si="271"/>
        <v>7.6712328767123292E-2</v>
      </c>
      <c r="AB819">
        <f t="shared" si="272"/>
        <v>7.6712328767123292E-2</v>
      </c>
      <c r="AC819">
        <f t="shared" si="273"/>
        <v>7.6712328767123292E-2</v>
      </c>
      <c r="AD819">
        <f t="shared" si="274"/>
        <v>7.6712328767123292E-2</v>
      </c>
      <c r="AE819">
        <f t="shared" si="275"/>
        <v>7.6712328767123292E-2</v>
      </c>
      <c r="AF819">
        <f t="shared" si="276"/>
        <v>7.6712328767123292E-2</v>
      </c>
      <c r="AG819">
        <f t="shared" si="277"/>
        <v>7.6712328767123292E-2</v>
      </c>
      <c r="AH819">
        <f t="shared" si="278"/>
        <v>7.6712328767123292E-2</v>
      </c>
      <c r="AI819">
        <f t="shared" si="279"/>
        <v>0</v>
      </c>
      <c r="AJ819" s="2" t="str">
        <f t="shared" si="289"/>
        <v>1145717</v>
      </c>
    </row>
    <row r="820" spans="1:36" x14ac:dyDescent="0.25">
      <c r="A820">
        <v>12</v>
      </c>
      <c r="B820" s="1">
        <v>45717</v>
      </c>
      <c r="C820" s="1">
        <f t="shared" si="280"/>
        <v>46082</v>
      </c>
      <c r="D820" s="1">
        <f t="shared" si="281"/>
        <v>45731</v>
      </c>
      <c r="E820" s="1">
        <f t="shared" si="282"/>
        <v>46082</v>
      </c>
      <c r="F820" s="1">
        <f t="shared" si="283"/>
        <v>46096</v>
      </c>
      <c r="G820" s="1">
        <f t="shared" si="284"/>
        <v>46096</v>
      </c>
      <c r="H820">
        <f t="shared" si="285"/>
        <v>365</v>
      </c>
      <c r="I820">
        <f t="shared" si="286"/>
        <v>14</v>
      </c>
      <c r="J820">
        <f t="shared" si="287"/>
        <v>3.8356164383561646E-2</v>
      </c>
      <c r="K820">
        <f>IFERROR($J820/IF($A820&lt;COUNTIFS($K$1:K$1,"&lt;&gt;"),0,SUMIFS($J:$J,$B:$B,$B820,$A:$A,"&gt;="&amp;COUNTIFS($K$1:K$1,"&lt;&gt;"))),0)</f>
        <v>4.0229885057471271E-2</v>
      </c>
      <c r="L820">
        <f>IFERROR($J820/IF($A820&lt;COUNTIFS($K$1:L$1,"&lt;&gt;"),0,SUMIFS($J:$J,$B:$B,$B820,$A:$A,"&gt;="&amp;COUNTIFS($K$1:L$1,"&lt;&gt;"))),0)</f>
        <v>4.4025157232704414E-2</v>
      </c>
      <c r="M820">
        <f>IFERROR($J820/IF($A820&lt;COUNTIFS($K$1:M$1,"&lt;&gt;"),0,SUMIFS($J:$J,$B:$B,$B820,$A:$A,"&gt;="&amp;COUNTIFS($K$1:M$1,"&lt;&gt;"))),0)</f>
        <v>4.8780487804878057E-2</v>
      </c>
      <c r="N820">
        <f>IFERROR($J820/IF($A820&lt;COUNTIFS($K$1:N$1,"&lt;&gt;"),0,SUMIFS($J:$J,$B:$B,$B820,$A:$A,"&gt;="&amp;COUNTIFS($K$1:N$1,"&lt;&gt;"))),0)</f>
        <v>5.447470817120624E-2</v>
      </c>
      <c r="O820">
        <f>IFERROR($J820/IF($A820&lt;COUNTIFS($K$1:O$1,"&lt;&gt;"),0,SUMIFS($J:$J,$B:$B,$B820,$A:$A,"&gt;="&amp;COUNTIFS($K$1:O$1,"&lt;&gt;"))),0)</f>
        <v>6.194690265486727E-2</v>
      </c>
      <c r="P820">
        <f>IFERROR($J820/IF($A820&lt;COUNTIFS($K$1:P$1,"&lt;&gt;"),0,SUMIFS($J:$J,$B:$B,$B820,$A:$A,"&gt;="&amp;COUNTIFS($K$1:P$1,"&lt;&gt;"))),0)</f>
        <v>7.1794871794871803E-2</v>
      </c>
      <c r="Q820">
        <f>IFERROR($J820/IF($A820&lt;COUNTIFS($K$1:Q$1,"&lt;&gt;"),0,SUMIFS($J:$J,$B:$B,$B820,$A:$A,"&gt;="&amp;COUNTIFS($K$1:Q$1,"&lt;&gt;"))),0)</f>
        <v>8.4848484848484854E-2</v>
      </c>
      <c r="R820">
        <f>IFERROR($J820/IF($A820&lt;COUNTIFS($K$1:R$1,"&lt;&gt;"),0,SUMIFS($J:$J,$B:$B,$B820,$A:$A,"&gt;="&amp;COUNTIFS($K$1:R$1,"&lt;&gt;"))),0)</f>
        <v>0.10447761194029852</v>
      </c>
      <c r="S820">
        <f>IFERROR($J820/IF($A820&lt;COUNTIFS($K$1:S$1,"&lt;&gt;"),0,SUMIFS($J:$J,$B:$B,$B820,$A:$A,"&gt;="&amp;COUNTIFS($K$1:S$1,"&lt;&gt;"))),0)</f>
        <v>0.13461538461538464</v>
      </c>
      <c r="T820">
        <f>IFERROR($J820/IF($A820&lt;COUNTIFS($K$1:T$1,"&lt;&gt;"),0,SUMIFS($J:$J,$B:$B,$B820,$A:$A,"&gt;="&amp;COUNTIFS($K$1:T$1,"&lt;&gt;"))),0)</f>
        <v>0.19178082191780821</v>
      </c>
      <c r="U820">
        <f>IFERROR($J820/IF($A820&lt;COUNTIFS($K$1:U$1,"&lt;&gt;"),0,SUMIFS($J:$J,$B:$B,$B820,$A:$A,"&gt;="&amp;COUNTIFS($K$1:U$1,"&lt;&gt;"))),0)</f>
        <v>0.33333333333333337</v>
      </c>
      <c r="V820">
        <f>IFERROR($J820/IF($A820&lt;COUNTIFS($K$1:V$1,"&lt;&gt;"),0,SUMIFS($J:$J,$B:$B,$B820,$A:$A,"&gt;="&amp;COUNTIFS($K$1:V$1,"&lt;&gt;"))),0)</f>
        <v>1</v>
      </c>
      <c r="W820">
        <f t="shared" si="288"/>
        <v>3.8356164383561646E-2</v>
      </c>
      <c r="X820">
        <f t="shared" si="268"/>
        <v>3.8356164383561646E-2</v>
      </c>
      <c r="Y820">
        <f t="shared" si="269"/>
        <v>3.8356164383561646E-2</v>
      </c>
      <c r="Z820">
        <f t="shared" si="270"/>
        <v>3.8356164383561646E-2</v>
      </c>
      <c r="AA820">
        <f t="shared" si="271"/>
        <v>3.8356164383561646E-2</v>
      </c>
      <c r="AB820">
        <f t="shared" si="272"/>
        <v>3.8356164383561646E-2</v>
      </c>
      <c r="AC820">
        <f t="shared" si="273"/>
        <v>3.8356164383561646E-2</v>
      </c>
      <c r="AD820">
        <f t="shared" si="274"/>
        <v>3.8356164383561646E-2</v>
      </c>
      <c r="AE820">
        <f t="shared" si="275"/>
        <v>3.8356164383561646E-2</v>
      </c>
      <c r="AF820">
        <f t="shared" si="276"/>
        <v>3.8356164383561646E-2</v>
      </c>
      <c r="AG820">
        <f t="shared" si="277"/>
        <v>3.8356164383561646E-2</v>
      </c>
      <c r="AH820">
        <f t="shared" si="278"/>
        <v>3.8356164383561646E-2</v>
      </c>
      <c r="AI820">
        <f t="shared" si="279"/>
        <v>3.8356164383561646E-2</v>
      </c>
      <c r="AJ820" s="2" t="str">
        <f t="shared" si="289"/>
        <v>1245717</v>
      </c>
    </row>
    <row r="821" spans="1:36" x14ac:dyDescent="0.25">
      <c r="A821">
        <v>0</v>
      </c>
      <c r="B821" s="1">
        <v>45748</v>
      </c>
      <c r="C821" s="1">
        <f t="shared" si="280"/>
        <v>45748</v>
      </c>
      <c r="D821" s="1">
        <f t="shared" si="281"/>
        <v>45762</v>
      </c>
      <c r="E821" s="1">
        <f t="shared" si="282"/>
        <v>45762</v>
      </c>
      <c r="F821" s="1">
        <f t="shared" si="283"/>
        <v>45778</v>
      </c>
      <c r="G821" s="1">
        <f t="shared" si="284"/>
        <v>46127</v>
      </c>
      <c r="H821">
        <f t="shared" si="285"/>
        <v>365</v>
      </c>
      <c r="I821">
        <f t="shared" si="286"/>
        <v>16</v>
      </c>
      <c r="J821">
        <f t="shared" si="287"/>
        <v>4.3835616438356165E-2</v>
      </c>
      <c r="K821">
        <f>IFERROR($J821/IF($A821&lt;COUNTIFS($K$1:K$1,"&lt;&gt;"),0,SUMIFS($J:$J,$B:$B,$B821,$A:$A,"&gt;="&amp;COUNTIFS($K$1:K$1,"&lt;&gt;"))),0)</f>
        <v>0</v>
      </c>
      <c r="L821">
        <f>IFERROR($J821/IF($A821&lt;COUNTIFS($K$1:L$1,"&lt;&gt;"),0,SUMIFS($J:$J,$B:$B,$B821,$A:$A,"&gt;="&amp;COUNTIFS($K$1:L$1,"&lt;&gt;"))),0)</f>
        <v>0</v>
      </c>
      <c r="M821">
        <f>IFERROR($J821/IF($A821&lt;COUNTIFS($K$1:M$1,"&lt;&gt;"),0,SUMIFS($J:$J,$B:$B,$B821,$A:$A,"&gt;="&amp;COUNTIFS($K$1:M$1,"&lt;&gt;"))),0)</f>
        <v>0</v>
      </c>
      <c r="N821">
        <f>IFERROR($J821/IF($A821&lt;COUNTIFS($K$1:N$1,"&lt;&gt;"),0,SUMIFS($J:$J,$B:$B,$B821,$A:$A,"&gt;="&amp;COUNTIFS($K$1:N$1,"&lt;&gt;"))),0)</f>
        <v>0</v>
      </c>
      <c r="O821">
        <f>IFERROR($J821/IF($A821&lt;COUNTIFS($K$1:O$1,"&lt;&gt;"),0,SUMIFS($J:$J,$B:$B,$B821,$A:$A,"&gt;="&amp;COUNTIFS($K$1:O$1,"&lt;&gt;"))),0)</f>
        <v>0</v>
      </c>
      <c r="P821">
        <f>IFERROR($J821/IF($A821&lt;COUNTIFS($K$1:P$1,"&lt;&gt;"),0,SUMIFS($J:$J,$B:$B,$B821,$A:$A,"&gt;="&amp;COUNTIFS($K$1:P$1,"&lt;&gt;"))),0)</f>
        <v>0</v>
      </c>
      <c r="Q821">
        <f>IFERROR($J821/IF($A821&lt;COUNTIFS($K$1:Q$1,"&lt;&gt;"),0,SUMIFS($J:$J,$B:$B,$B821,$A:$A,"&gt;="&amp;COUNTIFS($K$1:Q$1,"&lt;&gt;"))),0)</f>
        <v>0</v>
      </c>
      <c r="R821">
        <f>IFERROR($J821/IF($A821&lt;COUNTIFS($K$1:R$1,"&lt;&gt;"),0,SUMIFS($J:$J,$B:$B,$B821,$A:$A,"&gt;="&amp;COUNTIFS($K$1:R$1,"&lt;&gt;"))),0)</f>
        <v>0</v>
      </c>
      <c r="S821">
        <f>IFERROR($J821/IF($A821&lt;COUNTIFS($K$1:S$1,"&lt;&gt;"),0,SUMIFS($J:$J,$B:$B,$B821,$A:$A,"&gt;="&amp;COUNTIFS($K$1:S$1,"&lt;&gt;"))),0)</f>
        <v>0</v>
      </c>
      <c r="T821">
        <f>IFERROR($J821/IF($A821&lt;COUNTIFS($K$1:T$1,"&lt;&gt;"),0,SUMIFS($J:$J,$B:$B,$B821,$A:$A,"&gt;="&amp;COUNTIFS($K$1:T$1,"&lt;&gt;"))),0)</f>
        <v>0</v>
      </c>
      <c r="U821">
        <f>IFERROR($J821/IF($A821&lt;COUNTIFS($K$1:U$1,"&lt;&gt;"),0,SUMIFS($J:$J,$B:$B,$B821,$A:$A,"&gt;="&amp;COUNTIFS($K$1:U$1,"&lt;&gt;"))),0)</f>
        <v>0</v>
      </c>
      <c r="V821">
        <f>IFERROR($J821/IF($A821&lt;COUNTIFS($K$1:V$1,"&lt;&gt;"),0,SUMIFS($J:$J,$B:$B,$B821,$A:$A,"&gt;="&amp;COUNTIFS($K$1:V$1,"&lt;&gt;"))),0)</f>
        <v>0</v>
      </c>
      <c r="W821">
        <f t="shared" si="288"/>
        <v>4.3835616438356165E-2</v>
      </c>
      <c r="X821">
        <f t="shared" si="268"/>
        <v>0</v>
      </c>
      <c r="Y821">
        <f t="shared" si="269"/>
        <v>0</v>
      </c>
      <c r="Z821">
        <f t="shared" si="270"/>
        <v>0</v>
      </c>
      <c r="AA821">
        <f t="shared" si="271"/>
        <v>0</v>
      </c>
      <c r="AB821">
        <f t="shared" si="272"/>
        <v>0</v>
      </c>
      <c r="AC821">
        <f t="shared" si="273"/>
        <v>0</v>
      </c>
      <c r="AD821">
        <f t="shared" si="274"/>
        <v>0</v>
      </c>
      <c r="AE821">
        <f t="shared" si="275"/>
        <v>0</v>
      </c>
      <c r="AF821">
        <f t="shared" si="276"/>
        <v>0</v>
      </c>
      <c r="AG821">
        <f t="shared" si="277"/>
        <v>0</v>
      </c>
      <c r="AH821">
        <f t="shared" si="278"/>
        <v>0</v>
      </c>
      <c r="AI821">
        <f t="shared" si="279"/>
        <v>0</v>
      </c>
      <c r="AJ821" s="2" t="str">
        <f t="shared" si="289"/>
        <v>045748</v>
      </c>
    </row>
    <row r="822" spans="1:36" x14ac:dyDescent="0.25">
      <c r="A822">
        <v>1</v>
      </c>
      <c r="B822" s="1">
        <v>45748</v>
      </c>
      <c r="C822" s="1">
        <f t="shared" si="280"/>
        <v>45778</v>
      </c>
      <c r="D822" s="1">
        <f t="shared" si="281"/>
        <v>45762</v>
      </c>
      <c r="E822" s="1">
        <f t="shared" si="282"/>
        <v>45778</v>
      </c>
      <c r="F822" s="1">
        <f t="shared" si="283"/>
        <v>45809</v>
      </c>
      <c r="G822" s="1">
        <f t="shared" si="284"/>
        <v>46127</v>
      </c>
      <c r="H822">
        <f t="shared" si="285"/>
        <v>365</v>
      </c>
      <c r="I822">
        <f t="shared" si="286"/>
        <v>31</v>
      </c>
      <c r="J822">
        <f t="shared" si="287"/>
        <v>8.4931506849315067E-2</v>
      </c>
      <c r="K822">
        <f>IFERROR($J822/IF($A822&lt;COUNTIFS($K$1:K$1,"&lt;&gt;"),0,SUMIFS($J:$J,$B:$B,$B822,$A:$A,"&gt;="&amp;COUNTIFS($K$1:K$1,"&lt;&gt;"))),0)</f>
        <v>8.8825214899713484E-2</v>
      </c>
      <c r="L822">
        <f>IFERROR($J822/IF($A822&lt;COUNTIFS($K$1:L$1,"&lt;&gt;"),0,SUMIFS($J:$J,$B:$B,$B822,$A:$A,"&gt;="&amp;COUNTIFS($K$1:L$1,"&lt;&gt;"))),0)</f>
        <v>0</v>
      </c>
      <c r="M822">
        <f>IFERROR($J822/IF($A822&lt;COUNTIFS($K$1:M$1,"&lt;&gt;"),0,SUMIFS($J:$J,$B:$B,$B822,$A:$A,"&gt;="&amp;COUNTIFS($K$1:M$1,"&lt;&gt;"))),0)</f>
        <v>0</v>
      </c>
      <c r="N822">
        <f>IFERROR($J822/IF($A822&lt;COUNTIFS($K$1:N$1,"&lt;&gt;"),0,SUMIFS($J:$J,$B:$B,$B822,$A:$A,"&gt;="&amp;COUNTIFS($K$1:N$1,"&lt;&gt;"))),0)</f>
        <v>0</v>
      </c>
      <c r="O822">
        <f>IFERROR($J822/IF($A822&lt;COUNTIFS($K$1:O$1,"&lt;&gt;"),0,SUMIFS($J:$J,$B:$B,$B822,$A:$A,"&gt;="&amp;COUNTIFS($K$1:O$1,"&lt;&gt;"))),0)</f>
        <v>0</v>
      </c>
      <c r="P822">
        <f>IFERROR($J822/IF($A822&lt;COUNTIFS($K$1:P$1,"&lt;&gt;"),0,SUMIFS($J:$J,$B:$B,$B822,$A:$A,"&gt;="&amp;COUNTIFS($K$1:P$1,"&lt;&gt;"))),0)</f>
        <v>0</v>
      </c>
      <c r="Q822">
        <f>IFERROR($J822/IF($A822&lt;COUNTIFS($K$1:Q$1,"&lt;&gt;"),0,SUMIFS($J:$J,$B:$B,$B822,$A:$A,"&gt;="&amp;COUNTIFS($K$1:Q$1,"&lt;&gt;"))),0)</f>
        <v>0</v>
      </c>
      <c r="R822">
        <f>IFERROR($J822/IF($A822&lt;COUNTIFS($K$1:R$1,"&lt;&gt;"),0,SUMIFS($J:$J,$B:$B,$B822,$A:$A,"&gt;="&amp;COUNTIFS($K$1:R$1,"&lt;&gt;"))),0)</f>
        <v>0</v>
      </c>
      <c r="S822">
        <f>IFERROR($J822/IF($A822&lt;COUNTIFS($K$1:S$1,"&lt;&gt;"),0,SUMIFS($J:$J,$B:$B,$B822,$A:$A,"&gt;="&amp;COUNTIFS($K$1:S$1,"&lt;&gt;"))),0)</f>
        <v>0</v>
      </c>
      <c r="T822">
        <f>IFERROR($J822/IF($A822&lt;COUNTIFS($K$1:T$1,"&lt;&gt;"),0,SUMIFS($J:$J,$B:$B,$B822,$A:$A,"&gt;="&amp;COUNTIFS($K$1:T$1,"&lt;&gt;"))),0)</f>
        <v>0</v>
      </c>
      <c r="U822">
        <f>IFERROR($J822/IF($A822&lt;COUNTIFS($K$1:U$1,"&lt;&gt;"),0,SUMIFS($J:$J,$B:$B,$B822,$A:$A,"&gt;="&amp;COUNTIFS($K$1:U$1,"&lt;&gt;"))),0)</f>
        <v>0</v>
      </c>
      <c r="V822">
        <f>IFERROR($J822/IF($A822&lt;COUNTIFS($K$1:V$1,"&lt;&gt;"),0,SUMIFS($J:$J,$B:$B,$B822,$A:$A,"&gt;="&amp;COUNTIFS($K$1:V$1,"&lt;&gt;"))),0)</f>
        <v>0</v>
      </c>
      <c r="W822">
        <f t="shared" si="288"/>
        <v>8.4931506849315067E-2</v>
      </c>
      <c r="X822">
        <f t="shared" si="268"/>
        <v>8.4931506849315067E-2</v>
      </c>
      <c r="Y822">
        <f t="shared" si="269"/>
        <v>0</v>
      </c>
      <c r="Z822">
        <f t="shared" si="270"/>
        <v>0</v>
      </c>
      <c r="AA822">
        <f t="shared" si="271"/>
        <v>0</v>
      </c>
      <c r="AB822">
        <f t="shared" si="272"/>
        <v>0</v>
      </c>
      <c r="AC822">
        <f t="shared" si="273"/>
        <v>0</v>
      </c>
      <c r="AD822">
        <f t="shared" si="274"/>
        <v>0</v>
      </c>
      <c r="AE822">
        <f t="shared" si="275"/>
        <v>0</v>
      </c>
      <c r="AF822">
        <f t="shared" si="276"/>
        <v>0</v>
      </c>
      <c r="AG822">
        <f t="shared" si="277"/>
        <v>0</v>
      </c>
      <c r="AH822">
        <f t="shared" si="278"/>
        <v>0</v>
      </c>
      <c r="AI822">
        <f t="shared" si="279"/>
        <v>0</v>
      </c>
      <c r="AJ822" s="2" t="str">
        <f t="shared" si="289"/>
        <v>145748</v>
      </c>
    </row>
    <row r="823" spans="1:36" x14ac:dyDescent="0.25">
      <c r="A823">
        <v>2</v>
      </c>
      <c r="B823" s="1">
        <v>45748</v>
      </c>
      <c r="C823" s="1">
        <f t="shared" si="280"/>
        <v>45809</v>
      </c>
      <c r="D823" s="1">
        <f t="shared" si="281"/>
        <v>45762</v>
      </c>
      <c r="E823" s="1">
        <f t="shared" si="282"/>
        <v>45809</v>
      </c>
      <c r="F823" s="1">
        <f t="shared" si="283"/>
        <v>45839</v>
      </c>
      <c r="G823" s="1">
        <f t="shared" si="284"/>
        <v>46127</v>
      </c>
      <c r="H823">
        <f t="shared" si="285"/>
        <v>365</v>
      </c>
      <c r="I823">
        <f t="shared" si="286"/>
        <v>30</v>
      </c>
      <c r="J823">
        <f t="shared" si="287"/>
        <v>8.2191780821917804E-2</v>
      </c>
      <c r="K823">
        <f>IFERROR($J823/IF($A823&lt;COUNTIFS($K$1:K$1,"&lt;&gt;"),0,SUMIFS($J:$J,$B:$B,$B823,$A:$A,"&gt;="&amp;COUNTIFS($K$1:K$1,"&lt;&gt;"))),0)</f>
        <v>8.5959885386819493E-2</v>
      </c>
      <c r="L823">
        <f>IFERROR($J823/IF($A823&lt;COUNTIFS($K$1:L$1,"&lt;&gt;"),0,SUMIFS($J:$J,$B:$B,$B823,$A:$A,"&gt;="&amp;COUNTIFS($K$1:L$1,"&lt;&gt;"))),0)</f>
        <v>9.4339622641509441E-2</v>
      </c>
      <c r="M823">
        <f>IFERROR($J823/IF($A823&lt;COUNTIFS($K$1:M$1,"&lt;&gt;"),0,SUMIFS($J:$J,$B:$B,$B823,$A:$A,"&gt;="&amp;COUNTIFS($K$1:M$1,"&lt;&gt;"))),0)</f>
        <v>0</v>
      </c>
      <c r="N823">
        <f>IFERROR($J823/IF($A823&lt;COUNTIFS($K$1:N$1,"&lt;&gt;"),0,SUMIFS($J:$J,$B:$B,$B823,$A:$A,"&gt;="&amp;COUNTIFS($K$1:N$1,"&lt;&gt;"))),0)</f>
        <v>0</v>
      </c>
      <c r="O823">
        <f>IFERROR($J823/IF($A823&lt;COUNTIFS($K$1:O$1,"&lt;&gt;"),0,SUMIFS($J:$J,$B:$B,$B823,$A:$A,"&gt;="&amp;COUNTIFS($K$1:O$1,"&lt;&gt;"))),0)</f>
        <v>0</v>
      </c>
      <c r="P823">
        <f>IFERROR($J823/IF($A823&lt;COUNTIFS($K$1:P$1,"&lt;&gt;"),0,SUMIFS($J:$J,$B:$B,$B823,$A:$A,"&gt;="&amp;COUNTIFS($K$1:P$1,"&lt;&gt;"))),0)</f>
        <v>0</v>
      </c>
      <c r="Q823">
        <f>IFERROR($J823/IF($A823&lt;COUNTIFS($K$1:Q$1,"&lt;&gt;"),0,SUMIFS($J:$J,$B:$B,$B823,$A:$A,"&gt;="&amp;COUNTIFS($K$1:Q$1,"&lt;&gt;"))),0)</f>
        <v>0</v>
      </c>
      <c r="R823">
        <f>IFERROR($J823/IF($A823&lt;COUNTIFS($K$1:R$1,"&lt;&gt;"),0,SUMIFS($J:$J,$B:$B,$B823,$A:$A,"&gt;="&amp;COUNTIFS($K$1:R$1,"&lt;&gt;"))),0)</f>
        <v>0</v>
      </c>
      <c r="S823">
        <f>IFERROR($J823/IF($A823&lt;COUNTIFS($K$1:S$1,"&lt;&gt;"),0,SUMIFS($J:$J,$B:$B,$B823,$A:$A,"&gt;="&amp;COUNTIFS($K$1:S$1,"&lt;&gt;"))),0)</f>
        <v>0</v>
      </c>
      <c r="T823">
        <f>IFERROR($J823/IF($A823&lt;COUNTIFS($K$1:T$1,"&lt;&gt;"),0,SUMIFS($J:$J,$B:$B,$B823,$A:$A,"&gt;="&amp;COUNTIFS($K$1:T$1,"&lt;&gt;"))),0)</f>
        <v>0</v>
      </c>
      <c r="U823">
        <f>IFERROR($J823/IF($A823&lt;COUNTIFS($K$1:U$1,"&lt;&gt;"),0,SUMIFS($J:$J,$B:$B,$B823,$A:$A,"&gt;="&amp;COUNTIFS($K$1:U$1,"&lt;&gt;"))),0)</f>
        <v>0</v>
      </c>
      <c r="V823">
        <f>IFERROR($J823/IF($A823&lt;COUNTIFS($K$1:V$1,"&lt;&gt;"),0,SUMIFS($J:$J,$B:$B,$B823,$A:$A,"&gt;="&amp;COUNTIFS($K$1:V$1,"&lt;&gt;"))),0)</f>
        <v>0</v>
      </c>
      <c r="W823">
        <f t="shared" si="288"/>
        <v>8.2191780821917804E-2</v>
      </c>
      <c r="X823">
        <f t="shared" si="268"/>
        <v>8.2191780821917804E-2</v>
      </c>
      <c r="Y823">
        <f t="shared" si="269"/>
        <v>8.2191780821917804E-2</v>
      </c>
      <c r="Z823">
        <f t="shared" si="270"/>
        <v>0</v>
      </c>
      <c r="AA823">
        <f t="shared" si="271"/>
        <v>0</v>
      </c>
      <c r="AB823">
        <f t="shared" si="272"/>
        <v>0</v>
      </c>
      <c r="AC823">
        <f t="shared" si="273"/>
        <v>0</v>
      </c>
      <c r="AD823">
        <f t="shared" si="274"/>
        <v>0</v>
      </c>
      <c r="AE823">
        <f t="shared" si="275"/>
        <v>0</v>
      </c>
      <c r="AF823">
        <f t="shared" si="276"/>
        <v>0</v>
      </c>
      <c r="AG823">
        <f t="shared" si="277"/>
        <v>0</v>
      </c>
      <c r="AH823">
        <f t="shared" si="278"/>
        <v>0</v>
      </c>
      <c r="AI823">
        <f t="shared" si="279"/>
        <v>0</v>
      </c>
      <c r="AJ823" s="2" t="str">
        <f t="shared" si="289"/>
        <v>245748</v>
      </c>
    </row>
    <row r="824" spans="1:36" x14ac:dyDescent="0.25">
      <c r="A824">
        <v>3</v>
      </c>
      <c r="B824" s="1">
        <v>45748</v>
      </c>
      <c r="C824" s="1">
        <f t="shared" si="280"/>
        <v>45839</v>
      </c>
      <c r="D824" s="1">
        <f t="shared" si="281"/>
        <v>45762</v>
      </c>
      <c r="E824" s="1">
        <f t="shared" si="282"/>
        <v>45839</v>
      </c>
      <c r="F824" s="1">
        <f t="shared" si="283"/>
        <v>45870</v>
      </c>
      <c r="G824" s="1">
        <f t="shared" si="284"/>
        <v>46127</v>
      </c>
      <c r="H824">
        <f t="shared" si="285"/>
        <v>365</v>
      </c>
      <c r="I824">
        <f t="shared" si="286"/>
        <v>31</v>
      </c>
      <c r="J824">
        <f t="shared" si="287"/>
        <v>8.4931506849315067E-2</v>
      </c>
      <c r="K824">
        <f>IFERROR($J824/IF($A824&lt;COUNTIFS($K$1:K$1,"&lt;&gt;"),0,SUMIFS($J:$J,$B:$B,$B824,$A:$A,"&gt;="&amp;COUNTIFS($K$1:K$1,"&lt;&gt;"))),0)</f>
        <v>8.8825214899713484E-2</v>
      </c>
      <c r="L824">
        <f>IFERROR($J824/IF($A824&lt;COUNTIFS($K$1:L$1,"&lt;&gt;"),0,SUMIFS($J:$J,$B:$B,$B824,$A:$A,"&gt;="&amp;COUNTIFS($K$1:L$1,"&lt;&gt;"))),0)</f>
        <v>9.7484276729559768E-2</v>
      </c>
      <c r="M824">
        <f>IFERROR($J824/IF($A824&lt;COUNTIFS($K$1:M$1,"&lt;&gt;"),0,SUMIFS($J:$J,$B:$B,$B824,$A:$A,"&gt;="&amp;COUNTIFS($K$1:M$1,"&lt;&gt;"))),0)</f>
        <v>0.10763888888888891</v>
      </c>
      <c r="N824">
        <f>IFERROR($J824/IF($A824&lt;COUNTIFS($K$1:N$1,"&lt;&gt;"),0,SUMIFS($J:$J,$B:$B,$B824,$A:$A,"&gt;="&amp;COUNTIFS($K$1:N$1,"&lt;&gt;"))),0)</f>
        <v>0</v>
      </c>
      <c r="O824">
        <f>IFERROR($J824/IF($A824&lt;COUNTIFS($K$1:O$1,"&lt;&gt;"),0,SUMIFS($J:$J,$B:$B,$B824,$A:$A,"&gt;="&amp;COUNTIFS($K$1:O$1,"&lt;&gt;"))),0)</f>
        <v>0</v>
      </c>
      <c r="P824">
        <f>IFERROR($J824/IF($A824&lt;COUNTIFS($K$1:P$1,"&lt;&gt;"),0,SUMIFS($J:$J,$B:$B,$B824,$A:$A,"&gt;="&amp;COUNTIFS($K$1:P$1,"&lt;&gt;"))),0)</f>
        <v>0</v>
      </c>
      <c r="Q824">
        <f>IFERROR($J824/IF($A824&lt;COUNTIFS($K$1:Q$1,"&lt;&gt;"),0,SUMIFS($J:$J,$B:$B,$B824,$A:$A,"&gt;="&amp;COUNTIFS($K$1:Q$1,"&lt;&gt;"))),0)</f>
        <v>0</v>
      </c>
      <c r="R824">
        <f>IFERROR($J824/IF($A824&lt;COUNTIFS($K$1:R$1,"&lt;&gt;"),0,SUMIFS($J:$J,$B:$B,$B824,$A:$A,"&gt;="&amp;COUNTIFS($K$1:R$1,"&lt;&gt;"))),0)</f>
        <v>0</v>
      </c>
      <c r="S824">
        <f>IFERROR($J824/IF($A824&lt;COUNTIFS($K$1:S$1,"&lt;&gt;"),0,SUMIFS($J:$J,$B:$B,$B824,$A:$A,"&gt;="&amp;COUNTIFS($K$1:S$1,"&lt;&gt;"))),0)</f>
        <v>0</v>
      </c>
      <c r="T824">
        <f>IFERROR($J824/IF($A824&lt;COUNTIFS($K$1:T$1,"&lt;&gt;"),0,SUMIFS($J:$J,$B:$B,$B824,$A:$A,"&gt;="&amp;COUNTIFS($K$1:T$1,"&lt;&gt;"))),0)</f>
        <v>0</v>
      </c>
      <c r="U824">
        <f>IFERROR($J824/IF($A824&lt;COUNTIFS($K$1:U$1,"&lt;&gt;"),0,SUMIFS($J:$J,$B:$B,$B824,$A:$A,"&gt;="&amp;COUNTIFS($K$1:U$1,"&lt;&gt;"))),0)</f>
        <v>0</v>
      </c>
      <c r="V824">
        <f>IFERROR($J824/IF($A824&lt;COUNTIFS($K$1:V$1,"&lt;&gt;"),0,SUMIFS($J:$J,$B:$B,$B824,$A:$A,"&gt;="&amp;COUNTIFS($K$1:V$1,"&lt;&gt;"))),0)</f>
        <v>0</v>
      </c>
      <c r="W824">
        <f t="shared" si="288"/>
        <v>8.4931506849315067E-2</v>
      </c>
      <c r="X824">
        <f t="shared" si="268"/>
        <v>8.4931506849315067E-2</v>
      </c>
      <c r="Y824">
        <f t="shared" si="269"/>
        <v>8.4931506849315067E-2</v>
      </c>
      <c r="Z824">
        <f t="shared" si="270"/>
        <v>8.4931506849315067E-2</v>
      </c>
      <c r="AA824">
        <f t="shared" si="271"/>
        <v>0</v>
      </c>
      <c r="AB824">
        <f t="shared" si="272"/>
        <v>0</v>
      </c>
      <c r="AC824">
        <f t="shared" si="273"/>
        <v>0</v>
      </c>
      <c r="AD824">
        <f t="shared" si="274"/>
        <v>0</v>
      </c>
      <c r="AE824">
        <f t="shared" si="275"/>
        <v>0</v>
      </c>
      <c r="AF824">
        <f t="shared" si="276"/>
        <v>0</v>
      </c>
      <c r="AG824">
        <f t="shared" si="277"/>
        <v>0</v>
      </c>
      <c r="AH824">
        <f t="shared" si="278"/>
        <v>0</v>
      </c>
      <c r="AI824">
        <f t="shared" si="279"/>
        <v>0</v>
      </c>
      <c r="AJ824" s="2" t="str">
        <f t="shared" si="289"/>
        <v>345748</v>
      </c>
    </row>
    <row r="825" spans="1:36" x14ac:dyDescent="0.25">
      <c r="A825">
        <v>4</v>
      </c>
      <c r="B825" s="1">
        <v>45748</v>
      </c>
      <c r="C825" s="1">
        <f t="shared" si="280"/>
        <v>45870</v>
      </c>
      <c r="D825" s="1">
        <f t="shared" si="281"/>
        <v>45762</v>
      </c>
      <c r="E825" s="1">
        <f t="shared" si="282"/>
        <v>45870</v>
      </c>
      <c r="F825" s="1">
        <f t="shared" si="283"/>
        <v>45901</v>
      </c>
      <c r="G825" s="1">
        <f t="shared" si="284"/>
        <v>46127</v>
      </c>
      <c r="H825">
        <f t="shared" si="285"/>
        <v>365</v>
      </c>
      <c r="I825">
        <f t="shared" si="286"/>
        <v>31</v>
      </c>
      <c r="J825">
        <f t="shared" si="287"/>
        <v>8.4931506849315067E-2</v>
      </c>
      <c r="K825">
        <f>IFERROR($J825/IF($A825&lt;COUNTIFS($K$1:K$1,"&lt;&gt;"),0,SUMIFS($J:$J,$B:$B,$B825,$A:$A,"&gt;="&amp;COUNTIFS($K$1:K$1,"&lt;&gt;"))),0)</f>
        <v>8.8825214899713484E-2</v>
      </c>
      <c r="L825">
        <f>IFERROR($J825/IF($A825&lt;COUNTIFS($K$1:L$1,"&lt;&gt;"),0,SUMIFS($J:$J,$B:$B,$B825,$A:$A,"&gt;="&amp;COUNTIFS($K$1:L$1,"&lt;&gt;"))),0)</f>
        <v>9.7484276729559768E-2</v>
      </c>
      <c r="M825">
        <f>IFERROR($J825/IF($A825&lt;COUNTIFS($K$1:M$1,"&lt;&gt;"),0,SUMIFS($J:$J,$B:$B,$B825,$A:$A,"&gt;="&amp;COUNTIFS($K$1:M$1,"&lt;&gt;"))),0)</f>
        <v>0.10763888888888891</v>
      </c>
      <c r="N825">
        <f>IFERROR($J825/IF($A825&lt;COUNTIFS($K$1:N$1,"&lt;&gt;"),0,SUMIFS($J:$J,$B:$B,$B825,$A:$A,"&gt;="&amp;COUNTIFS($K$1:N$1,"&lt;&gt;"))),0)</f>
        <v>0.12062256809338523</v>
      </c>
      <c r="O825">
        <f>IFERROR($J825/IF($A825&lt;COUNTIFS($K$1:O$1,"&lt;&gt;"),0,SUMIFS($J:$J,$B:$B,$B825,$A:$A,"&gt;="&amp;COUNTIFS($K$1:O$1,"&lt;&gt;"))),0)</f>
        <v>0</v>
      </c>
      <c r="P825">
        <f>IFERROR($J825/IF($A825&lt;COUNTIFS($K$1:P$1,"&lt;&gt;"),0,SUMIFS($J:$J,$B:$B,$B825,$A:$A,"&gt;="&amp;COUNTIFS($K$1:P$1,"&lt;&gt;"))),0)</f>
        <v>0</v>
      </c>
      <c r="Q825">
        <f>IFERROR($J825/IF($A825&lt;COUNTIFS($K$1:Q$1,"&lt;&gt;"),0,SUMIFS($J:$J,$B:$B,$B825,$A:$A,"&gt;="&amp;COUNTIFS($K$1:Q$1,"&lt;&gt;"))),0)</f>
        <v>0</v>
      </c>
      <c r="R825">
        <f>IFERROR($J825/IF($A825&lt;COUNTIFS($K$1:R$1,"&lt;&gt;"),0,SUMIFS($J:$J,$B:$B,$B825,$A:$A,"&gt;="&amp;COUNTIFS($K$1:R$1,"&lt;&gt;"))),0)</f>
        <v>0</v>
      </c>
      <c r="S825">
        <f>IFERROR($J825/IF($A825&lt;COUNTIFS($K$1:S$1,"&lt;&gt;"),0,SUMIFS($J:$J,$B:$B,$B825,$A:$A,"&gt;="&amp;COUNTIFS($K$1:S$1,"&lt;&gt;"))),0)</f>
        <v>0</v>
      </c>
      <c r="T825">
        <f>IFERROR($J825/IF($A825&lt;COUNTIFS($K$1:T$1,"&lt;&gt;"),0,SUMIFS($J:$J,$B:$B,$B825,$A:$A,"&gt;="&amp;COUNTIFS($K$1:T$1,"&lt;&gt;"))),0)</f>
        <v>0</v>
      </c>
      <c r="U825">
        <f>IFERROR($J825/IF($A825&lt;COUNTIFS($K$1:U$1,"&lt;&gt;"),0,SUMIFS($J:$J,$B:$B,$B825,$A:$A,"&gt;="&amp;COUNTIFS($K$1:U$1,"&lt;&gt;"))),0)</f>
        <v>0</v>
      </c>
      <c r="V825">
        <f>IFERROR($J825/IF($A825&lt;COUNTIFS($K$1:V$1,"&lt;&gt;"),0,SUMIFS($J:$J,$B:$B,$B825,$A:$A,"&gt;="&amp;COUNTIFS($K$1:V$1,"&lt;&gt;"))),0)</f>
        <v>0</v>
      </c>
      <c r="W825">
        <f t="shared" si="288"/>
        <v>8.4931506849315067E-2</v>
      </c>
      <c r="X825">
        <f t="shared" si="268"/>
        <v>8.4931506849315067E-2</v>
      </c>
      <c r="Y825">
        <f t="shared" si="269"/>
        <v>8.4931506849315067E-2</v>
      </c>
      <c r="Z825">
        <f t="shared" si="270"/>
        <v>8.4931506849315067E-2</v>
      </c>
      <c r="AA825">
        <f t="shared" si="271"/>
        <v>8.4931506849315067E-2</v>
      </c>
      <c r="AB825">
        <f t="shared" si="272"/>
        <v>0</v>
      </c>
      <c r="AC825">
        <f t="shared" si="273"/>
        <v>0</v>
      </c>
      <c r="AD825">
        <f t="shared" si="274"/>
        <v>0</v>
      </c>
      <c r="AE825">
        <f t="shared" si="275"/>
        <v>0</v>
      </c>
      <c r="AF825">
        <f t="shared" si="276"/>
        <v>0</v>
      </c>
      <c r="AG825">
        <f t="shared" si="277"/>
        <v>0</v>
      </c>
      <c r="AH825">
        <f t="shared" si="278"/>
        <v>0</v>
      </c>
      <c r="AI825">
        <f t="shared" si="279"/>
        <v>0</v>
      </c>
      <c r="AJ825" s="2" t="str">
        <f t="shared" si="289"/>
        <v>445748</v>
      </c>
    </row>
    <row r="826" spans="1:36" x14ac:dyDescent="0.25">
      <c r="A826">
        <v>5</v>
      </c>
      <c r="B826" s="1">
        <v>45748</v>
      </c>
      <c r="C826" s="1">
        <f t="shared" si="280"/>
        <v>45901</v>
      </c>
      <c r="D826" s="1">
        <f t="shared" si="281"/>
        <v>45762</v>
      </c>
      <c r="E826" s="1">
        <f t="shared" si="282"/>
        <v>45901</v>
      </c>
      <c r="F826" s="1">
        <f t="shared" si="283"/>
        <v>45931</v>
      </c>
      <c r="G826" s="1">
        <f t="shared" si="284"/>
        <v>46127</v>
      </c>
      <c r="H826">
        <f t="shared" si="285"/>
        <v>365</v>
      </c>
      <c r="I826">
        <f t="shared" si="286"/>
        <v>30</v>
      </c>
      <c r="J826">
        <f t="shared" si="287"/>
        <v>8.2191780821917804E-2</v>
      </c>
      <c r="K826">
        <f>IFERROR($J826/IF($A826&lt;COUNTIFS($K$1:K$1,"&lt;&gt;"),0,SUMIFS($J:$J,$B:$B,$B826,$A:$A,"&gt;="&amp;COUNTIFS($K$1:K$1,"&lt;&gt;"))),0)</f>
        <v>8.5959885386819493E-2</v>
      </c>
      <c r="L826">
        <f>IFERROR($J826/IF($A826&lt;COUNTIFS($K$1:L$1,"&lt;&gt;"),0,SUMIFS($J:$J,$B:$B,$B826,$A:$A,"&gt;="&amp;COUNTIFS($K$1:L$1,"&lt;&gt;"))),0)</f>
        <v>9.4339622641509441E-2</v>
      </c>
      <c r="M826">
        <f>IFERROR($J826/IF($A826&lt;COUNTIFS($K$1:M$1,"&lt;&gt;"),0,SUMIFS($J:$J,$B:$B,$B826,$A:$A,"&gt;="&amp;COUNTIFS($K$1:M$1,"&lt;&gt;"))),0)</f>
        <v>0.10416666666666669</v>
      </c>
      <c r="N826">
        <f>IFERROR($J826/IF($A826&lt;COUNTIFS($K$1:N$1,"&lt;&gt;"),0,SUMIFS($J:$J,$B:$B,$B826,$A:$A,"&gt;="&amp;COUNTIFS($K$1:N$1,"&lt;&gt;"))),0)</f>
        <v>0.11673151750972764</v>
      </c>
      <c r="O826">
        <f>IFERROR($J826/IF($A826&lt;COUNTIFS($K$1:O$1,"&lt;&gt;"),0,SUMIFS($J:$J,$B:$B,$B826,$A:$A,"&gt;="&amp;COUNTIFS($K$1:O$1,"&lt;&gt;"))),0)</f>
        <v>0.13274336283185842</v>
      </c>
      <c r="P826">
        <f>IFERROR($J826/IF($A826&lt;COUNTIFS($K$1:P$1,"&lt;&gt;"),0,SUMIFS($J:$J,$B:$B,$B826,$A:$A,"&gt;="&amp;COUNTIFS($K$1:P$1,"&lt;&gt;"))),0)</f>
        <v>0</v>
      </c>
      <c r="Q826">
        <f>IFERROR($J826/IF($A826&lt;COUNTIFS($K$1:Q$1,"&lt;&gt;"),0,SUMIFS($J:$J,$B:$B,$B826,$A:$A,"&gt;="&amp;COUNTIFS($K$1:Q$1,"&lt;&gt;"))),0)</f>
        <v>0</v>
      </c>
      <c r="R826">
        <f>IFERROR($J826/IF($A826&lt;COUNTIFS($K$1:R$1,"&lt;&gt;"),0,SUMIFS($J:$J,$B:$B,$B826,$A:$A,"&gt;="&amp;COUNTIFS($K$1:R$1,"&lt;&gt;"))),0)</f>
        <v>0</v>
      </c>
      <c r="S826">
        <f>IFERROR($J826/IF($A826&lt;COUNTIFS($K$1:S$1,"&lt;&gt;"),0,SUMIFS($J:$J,$B:$B,$B826,$A:$A,"&gt;="&amp;COUNTIFS($K$1:S$1,"&lt;&gt;"))),0)</f>
        <v>0</v>
      </c>
      <c r="T826">
        <f>IFERROR($J826/IF($A826&lt;COUNTIFS($K$1:T$1,"&lt;&gt;"),0,SUMIFS($J:$J,$B:$B,$B826,$A:$A,"&gt;="&amp;COUNTIFS($K$1:T$1,"&lt;&gt;"))),0)</f>
        <v>0</v>
      </c>
      <c r="U826">
        <f>IFERROR($J826/IF($A826&lt;COUNTIFS($K$1:U$1,"&lt;&gt;"),0,SUMIFS($J:$J,$B:$B,$B826,$A:$A,"&gt;="&amp;COUNTIFS($K$1:U$1,"&lt;&gt;"))),0)</f>
        <v>0</v>
      </c>
      <c r="V826">
        <f>IFERROR($J826/IF($A826&lt;COUNTIFS($K$1:V$1,"&lt;&gt;"),0,SUMIFS($J:$J,$B:$B,$B826,$A:$A,"&gt;="&amp;COUNTIFS($K$1:V$1,"&lt;&gt;"))),0)</f>
        <v>0</v>
      </c>
      <c r="W826">
        <f t="shared" si="288"/>
        <v>8.2191780821917804E-2</v>
      </c>
      <c r="X826">
        <f t="shared" si="268"/>
        <v>8.2191780821917804E-2</v>
      </c>
      <c r="Y826">
        <f t="shared" si="269"/>
        <v>8.2191780821917804E-2</v>
      </c>
      <c r="Z826">
        <f t="shared" si="270"/>
        <v>8.2191780821917804E-2</v>
      </c>
      <c r="AA826">
        <f t="shared" si="271"/>
        <v>8.2191780821917804E-2</v>
      </c>
      <c r="AB826">
        <f t="shared" si="272"/>
        <v>8.2191780821917804E-2</v>
      </c>
      <c r="AC826">
        <f t="shared" si="273"/>
        <v>0</v>
      </c>
      <c r="AD826">
        <f t="shared" si="274"/>
        <v>0</v>
      </c>
      <c r="AE826">
        <f t="shared" si="275"/>
        <v>0</v>
      </c>
      <c r="AF826">
        <f t="shared" si="276"/>
        <v>0</v>
      </c>
      <c r="AG826">
        <f t="shared" si="277"/>
        <v>0</v>
      </c>
      <c r="AH826">
        <f t="shared" si="278"/>
        <v>0</v>
      </c>
      <c r="AI826">
        <f t="shared" si="279"/>
        <v>0</v>
      </c>
      <c r="AJ826" s="2" t="str">
        <f t="shared" si="289"/>
        <v>545748</v>
      </c>
    </row>
    <row r="827" spans="1:36" x14ac:dyDescent="0.25">
      <c r="A827">
        <v>6</v>
      </c>
      <c r="B827" s="1">
        <v>45748</v>
      </c>
      <c r="C827" s="1">
        <f t="shared" si="280"/>
        <v>45931</v>
      </c>
      <c r="D827" s="1">
        <f t="shared" si="281"/>
        <v>45762</v>
      </c>
      <c r="E827" s="1">
        <f t="shared" si="282"/>
        <v>45931</v>
      </c>
      <c r="F827" s="1">
        <f t="shared" si="283"/>
        <v>45962</v>
      </c>
      <c r="G827" s="1">
        <f t="shared" si="284"/>
        <v>46127</v>
      </c>
      <c r="H827">
        <f t="shared" si="285"/>
        <v>365</v>
      </c>
      <c r="I827">
        <f t="shared" si="286"/>
        <v>31</v>
      </c>
      <c r="J827">
        <f t="shared" si="287"/>
        <v>8.4931506849315067E-2</v>
      </c>
      <c r="K827">
        <f>IFERROR($J827/IF($A827&lt;COUNTIFS($K$1:K$1,"&lt;&gt;"),0,SUMIFS($J:$J,$B:$B,$B827,$A:$A,"&gt;="&amp;COUNTIFS($K$1:K$1,"&lt;&gt;"))),0)</f>
        <v>8.8825214899713484E-2</v>
      </c>
      <c r="L827">
        <f>IFERROR($J827/IF($A827&lt;COUNTIFS($K$1:L$1,"&lt;&gt;"),0,SUMIFS($J:$J,$B:$B,$B827,$A:$A,"&gt;="&amp;COUNTIFS($K$1:L$1,"&lt;&gt;"))),0)</f>
        <v>9.7484276729559768E-2</v>
      </c>
      <c r="M827">
        <f>IFERROR($J827/IF($A827&lt;COUNTIFS($K$1:M$1,"&lt;&gt;"),0,SUMIFS($J:$J,$B:$B,$B827,$A:$A,"&gt;="&amp;COUNTIFS($K$1:M$1,"&lt;&gt;"))),0)</f>
        <v>0.10763888888888891</v>
      </c>
      <c r="N827">
        <f>IFERROR($J827/IF($A827&lt;COUNTIFS($K$1:N$1,"&lt;&gt;"),0,SUMIFS($J:$J,$B:$B,$B827,$A:$A,"&gt;="&amp;COUNTIFS($K$1:N$1,"&lt;&gt;"))),0)</f>
        <v>0.12062256809338523</v>
      </c>
      <c r="O827">
        <f>IFERROR($J827/IF($A827&lt;COUNTIFS($K$1:O$1,"&lt;&gt;"),0,SUMIFS($J:$J,$B:$B,$B827,$A:$A,"&gt;="&amp;COUNTIFS($K$1:O$1,"&lt;&gt;"))),0)</f>
        <v>0.13716814159292037</v>
      </c>
      <c r="P827">
        <f>IFERROR($J827/IF($A827&lt;COUNTIFS($K$1:P$1,"&lt;&gt;"),0,SUMIFS($J:$J,$B:$B,$B827,$A:$A,"&gt;="&amp;COUNTIFS($K$1:P$1,"&lt;&gt;"))),0)</f>
        <v>0.15816326530612249</v>
      </c>
      <c r="Q827">
        <f>IFERROR($J827/IF($A827&lt;COUNTIFS($K$1:Q$1,"&lt;&gt;"),0,SUMIFS($J:$J,$B:$B,$B827,$A:$A,"&gt;="&amp;COUNTIFS($K$1:Q$1,"&lt;&gt;"))),0)</f>
        <v>0</v>
      </c>
      <c r="R827">
        <f>IFERROR($J827/IF($A827&lt;COUNTIFS($K$1:R$1,"&lt;&gt;"),0,SUMIFS($J:$J,$B:$B,$B827,$A:$A,"&gt;="&amp;COUNTIFS($K$1:R$1,"&lt;&gt;"))),0)</f>
        <v>0</v>
      </c>
      <c r="S827">
        <f>IFERROR($J827/IF($A827&lt;COUNTIFS($K$1:S$1,"&lt;&gt;"),0,SUMIFS($J:$J,$B:$B,$B827,$A:$A,"&gt;="&amp;COUNTIFS($K$1:S$1,"&lt;&gt;"))),0)</f>
        <v>0</v>
      </c>
      <c r="T827">
        <f>IFERROR($J827/IF($A827&lt;COUNTIFS($K$1:T$1,"&lt;&gt;"),0,SUMIFS($J:$J,$B:$B,$B827,$A:$A,"&gt;="&amp;COUNTIFS($K$1:T$1,"&lt;&gt;"))),0)</f>
        <v>0</v>
      </c>
      <c r="U827">
        <f>IFERROR($J827/IF($A827&lt;COUNTIFS($K$1:U$1,"&lt;&gt;"),0,SUMIFS($J:$J,$B:$B,$B827,$A:$A,"&gt;="&amp;COUNTIFS($K$1:U$1,"&lt;&gt;"))),0)</f>
        <v>0</v>
      </c>
      <c r="V827">
        <f>IFERROR($J827/IF($A827&lt;COUNTIFS($K$1:V$1,"&lt;&gt;"),0,SUMIFS($J:$J,$B:$B,$B827,$A:$A,"&gt;="&amp;COUNTIFS($K$1:V$1,"&lt;&gt;"))),0)</f>
        <v>0</v>
      </c>
      <c r="W827">
        <f t="shared" si="288"/>
        <v>8.4931506849315067E-2</v>
      </c>
      <c r="X827">
        <f t="shared" si="268"/>
        <v>8.4931506849315067E-2</v>
      </c>
      <c r="Y827">
        <f t="shared" si="269"/>
        <v>8.4931506849315067E-2</v>
      </c>
      <c r="Z827">
        <f t="shared" si="270"/>
        <v>8.4931506849315067E-2</v>
      </c>
      <c r="AA827">
        <f t="shared" si="271"/>
        <v>8.4931506849315067E-2</v>
      </c>
      <c r="AB827">
        <f t="shared" si="272"/>
        <v>8.4931506849315067E-2</v>
      </c>
      <c r="AC827">
        <f t="shared" si="273"/>
        <v>8.4931506849315067E-2</v>
      </c>
      <c r="AD827">
        <f t="shared" si="274"/>
        <v>0</v>
      </c>
      <c r="AE827">
        <f t="shared" si="275"/>
        <v>0</v>
      </c>
      <c r="AF827">
        <f t="shared" si="276"/>
        <v>0</v>
      </c>
      <c r="AG827">
        <f t="shared" si="277"/>
        <v>0</v>
      </c>
      <c r="AH827">
        <f t="shared" si="278"/>
        <v>0</v>
      </c>
      <c r="AI827">
        <f t="shared" si="279"/>
        <v>0</v>
      </c>
      <c r="AJ827" s="2" t="str">
        <f t="shared" si="289"/>
        <v>645748</v>
      </c>
    </row>
    <row r="828" spans="1:36" x14ac:dyDescent="0.25">
      <c r="A828">
        <v>7</v>
      </c>
      <c r="B828" s="1">
        <v>45748</v>
      </c>
      <c r="C828" s="1">
        <f t="shared" si="280"/>
        <v>45962</v>
      </c>
      <c r="D828" s="1">
        <f t="shared" si="281"/>
        <v>45762</v>
      </c>
      <c r="E828" s="1">
        <f t="shared" si="282"/>
        <v>45962</v>
      </c>
      <c r="F828" s="1">
        <f t="shared" si="283"/>
        <v>45992</v>
      </c>
      <c r="G828" s="1">
        <f t="shared" si="284"/>
        <v>46127</v>
      </c>
      <c r="H828">
        <f t="shared" si="285"/>
        <v>365</v>
      </c>
      <c r="I828">
        <f t="shared" si="286"/>
        <v>30</v>
      </c>
      <c r="J828">
        <f t="shared" si="287"/>
        <v>8.2191780821917804E-2</v>
      </c>
      <c r="K828">
        <f>IFERROR($J828/IF($A828&lt;COUNTIFS($K$1:K$1,"&lt;&gt;"),0,SUMIFS($J:$J,$B:$B,$B828,$A:$A,"&gt;="&amp;COUNTIFS($K$1:K$1,"&lt;&gt;"))),0)</f>
        <v>8.5959885386819493E-2</v>
      </c>
      <c r="L828">
        <f>IFERROR($J828/IF($A828&lt;COUNTIFS($K$1:L$1,"&lt;&gt;"),0,SUMIFS($J:$J,$B:$B,$B828,$A:$A,"&gt;="&amp;COUNTIFS($K$1:L$1,"&lt;&gt;"))),0)</f>
        <v>9.4339622641509441E-2</v>
      </c>
      <c r="M828">
        <f>IFERROR($J828/IF($A828&lt;COUNTIFS($K$1:M$1,"&lt;&gt;"),0,SUMIFS($J:$J,$B:$B,$B828,$A:$A,"&gt;="&amp;COUNTIFS($K$1:M$1,"&lt;&gt;"))),0)</f>
        <v>0.10416666666666669</v>
      </c>
      <c r="N828">
        <f>IFERROR($J828/IF($A828&lt;COUNTIFS($K$1:N$1,"&lt;&gt;"),0,SUMIFS($J:$J,$B:$B,$B828,$A:$A,"&gt;="&amp;COUNTIFS($K$1:N$1,"&lt;&gt;"))),0)</f>
        <v>0.11673151750972764</v>
      </c>
      <c r="O828">
        <f>IFERROR($J828/IF($A828&lt;COUNTIFS($K$1:O$1,"&lt;&gt;"),0,SUMIFS($J:$J,$B:$B,$B828,$A:$A,"&gt;="&amp;COUNTIFS($K$1:O$1,"&lt;&gt;"))),0)</f>
        <v>0.13274336283185842</v>
      </c>
      <c r="P828">
        <f>IFERROR($J828/IF($A828&lt;COUNTIFS($K$1:P$1,"&lt;&gt;"),0,SUMIFS($J:$J,$B:$B,$B828,$A:$A,"&gt;="&amp;COUNTIFS($K$1:P$1,"&lt;&gt;"))),0)</f>
        <v>0.15306122448979595</v>
      </c>
      <c r="Q828">
        <f>IFERROR($J828/IF($A828&lt;COUNTIFS($K$1:Q$1,"&lt;&gt;"),0,SUMIFS($J:$J,$B:$B,$B828,$A:$A,"&gt;="&amp;COUNTIFS($K$1:Q$1,"&lt;&gt;"))),0)</f>
        <v>0.18181818181818182</v>
      </c>
      <c r="R828">
        <f>IFERROR($J828/IF($A828&lt;COUNTIFS($K$1:R$1,"&lt;&gt;"),0,SUMIFS($J:$J,$B:$B,$B828,$A:$A,"&gt;="&amp;COUNTIFS($K$1:R$1,"&lt;&gt;"))),0)</f>
        <v>0</v>
      </c>
      <c r="S828">
        <f>IFERROR($J828/IF($A828&lt;COUNTIFS($K$1:S$1,"&lt;&gt;"),0,SUMIFS($J:$J,$B:$B,$B828,$A:$A,"&gt;="&amp;COUNTIFS($K$1:S$1,"&lt;&gt;"))),0)</f>
        <v>0</v>
      </c>
      <c r="T828">
        <f>IFERROR($J828/IF($A828&lt;COUNTIFS($K$1:T$1,"&lt;&gt;"),0,SUMIFS($J:$J,$B:$B,$B828,$A:$A,"&gt;="&amp;COUNTIFS($K$1:T$1,"&lt;&gt;"))),0)</f>
        <v>0</v>
      </c>
      <c r="U828">
        <f>IFERROR($J828/IF($A828&lt;COUNTIFS($K$1:U$1,"&lt;&gt;"),0,SUMIFS($J:$J,$B:$B,$B828,$A:$A,"&gt;="&amp;COUNTIFS($K$1:U$1,"&lt;&gt;"))),0)</f>
        <v>0</v>
      </c>
      <c r="V828">
        <f>IFERROR($J828/IF($A828&lt;COUNTIFS($K$1:V$1,"&lt;&gt;"),0,SUMIFS($J:$J,$B:$B,$B828,$A:$A,"&gt;="&amp;COUNTIFS($K$1:V$1,"&lt;&gt;"))),0)</f>
        <v>0</v>
      </c>
      <c r="W828">
        <f t="shared" si="288"/>
        <v>8.2191780821917804E-2</v>
      </c>
      <c r="X828">
        <f t="shared" si="268"/>
        <v>8.2191780821917804E-2</v>
      </c>
      <c r="Y828">
        <f t="shared" si="269"/>
        <v>8.2191780821917804E-2</v>
      </c>
      <c r="Z828">
        <f t="shared" si="270"/>
        <v>8.2191780821917804E-2</v>
      </c>
      <c r="AA828">
        <f t="shared" si="271"/>
        <v>8.2191780821917804E-2</v>
      </c>
      <c r="AB828">
        <f t="shared" si="272"/>
        <v>8.2191780821917804E-2</v>
      </c>
      <c r="AC828">
        <f t="shared" si="273"/>
        <v>8.2191780821917804E-2</v>
      </c>
      <c r="AD828">
        <f t="shared" si="274"/>
        <v>8.2191780821917804E-2</v>
      </c>
      <c r="AE828">
        <f t="shared" si="275"/>
        <v>0</v>
      </c>
      <c r="AF828">
        <f t="shared" si="276"/>
        <v>0</v>
      </c>
      <c r="AG828">
        <f t="shared" si="277"/>
        <v>0</v>
      </c>
      <c r="AH828">
        <f t="shared" si="278"/>
        <v>0</v>
      </c>
      <c r="AI828">
        <f t="shared" si="279"/>
        <v>0</v>
      </c>
      <c r="AJ828" s="2" t="str">
        <f t="shared" si="289"/>
        <v>745748</v>
      </c>
    </row>
    <row r="829" spans="1:36" x14ac:dyDescent="0.25">
      <c r="A829">
        <v>8</v>
      </c>
      <c r="B829" s="1">
        <v>45748</v>
      </c>
      <c r="C829" s="1">
        <f t="shared" si="280"/>
        <v>45992</v>
      </c>
      <c r="D829" s="1">
        <f t="shared" si="281"/>
        <v>45762</v>
      </c>
      <c r="E829" s="1">
        <f t="shared" si="282"/>
        <v>45992</v>
      </c>
      <c r="F829" s="1">
        <f t="shared" si="283"/>
        <v>46023</v>
      </c>
      <c r="G829" s="1">
        <f t="shared" si="284"/>
        <v>46127</v>
      </c>
      <c r="H829">
        <f t="shared" si="285"/>
        <v>365</v>
      </c>
      <c r="I829">
        <f t="shared" si="286"/>
        <v>31</v>
      </c>
      <c r="J829">
        <f t="shared" si="287"/>
        <v>8.4931506849315067E-2</v>
      </c>
      <c r="K829">
        <f>IFERROR($J829/IF($A829&lt;COUNTIFS($K$1:K$1,"&lt;&gt;"),0,SUMIFS($J:$J,$B:$B,$B829,$A:$A,"&gt;="&amp;COUNTIFS($K$1:K$1,"&lt;&gt;"))),0)</f>
        <v>8.8825214899713484E-2</v>
      </c>
      <c r="L829">
        <f>IFERROR($J829/IF($A829&lt;COUNTIFS($K$1:L$1,"&lt;&gt;"),0,SUMIFS($J:$J,$B:$B,$B829,$A:$A,"&gt;="&amp;COUNTIFS($K$1:L$1,"&lt;&gt;"))),0)</f>
        <v>9.7484276729559768E-2</v>
      </c>
      <c r="M829">
        <f>IFERROR($J829/IF($A829&lt;COUNTIFS($K$1:M$1,"&lt;&gt;"),0,SUMIFS($J:$J,$B:$B,$B829,$A:$A,"&gt;="&amp;COUNTIFS($K$1:M$1,"&lt;&gt;"))),0)</f>
        <v>0.10763888888888891</v>
      </c>
      <c r="N829">
        <f>IFERROR($J829/IF($A829&lt;COUNTIFS($K$1:N$1,"&lt;&gt;"),0,SUMIFS($J:$J,$B:$B,$B829,$A:$A,"&gt;="&amp;COUNTIFS($K$1:N$1,"&lt;&gt;"))),0)</f>
        <v>0.12062256809338523</v>
      </c>
      <c r="O829">
        <f>IFERROR($J829/IF($A829&lt;COUNTIFS($K$1:O$1,"&lt;&gt;"),0,SUMIFS($J:$J,$B:$B,$B829,$A:$A,"&gt;="&amp;COUNTIFS($K$1:O$1,"&lt;&gt;"))),0)</f>
        <v>0.13716814159292037</v>
      </c>
      <c r="P829">
        <f>IFERROR($J829/IF($A829&lt;COUNTIFS($K$1:P$1,"&lt;&gt;"),0,SUMIFS($J:$J,$B:$B,$B829,$A:$A,"&gt;="&amp;COUNTIFS($K$1:P$1,"&lt;&gt;"))),0)</f>
        <v>0.15816326530612249</v>
      </c>
      <c r="Q829">
        <f>IFERROR($J829/IF($A829&lt;COUNTIFS($K$1:Q$1,"&lt;&gt;"),0,SUMIFS($J:$J,$B:$B,$B829,$A:$A,"&gt;="&amp;COUNTIFS($K$1:Q$1,"&lt;&gt;"))),0)</f>
        <v>0.1878787878787879</v>
      </c>
      <c r="R829">
        <f>IFERROR($J829/IF($A829&lt;COUNTIFS($K$1:R$1,"&lt;&gt;"),0,SUMIFS($J:$J,$B:$B,$B829,$A:$A,"&gt;="&amp;COUNTIFS($K$1:R$1,"&lt;&gt;"))),0)</f>
        <v>0.22962962962962963</v>
      </c>
      <c r="S829">
        <f>IFERROR($J829/IF($A829&lt;COUNTIFS($K$1:S$1,"&lt;&gt;"),0,SUMIFS($J:$J,$B:$B,$B829,$A:$A,"&gt;="&amp;COUNTIFS($K$1:S$1,"&lt;&gt;"))),0)</f>
        <v>0</v>
      </c>
      <c r="T829">
        <f>IFERROR($J829/IF($A829&lt;COUNTIFS($K$1:T$1,"&lt;&gt;"),0,SUMIFS($J:$J,$B:$B,$B829,$A:$A,"&gt;="&amp;COUNTIFS($K$1:T$1,"&lt;&gt;"))),0)</f>
        <v>0</v>
      </c>
      <c r="U829">
        <f>IFERROR($J829/IF($A829&lt;COUNTIFS($K$1:U$1,"&lt;&gt;"),0,SUMIFS($J:$J,$B:$B,$B829,$A:$A,"&gt;="&amp;COUNTIFS($K$1:U$1,"&lt;&gt;"))),0)</f>
        <v>0</v>
      </c>
      <c r="V829">
        <f>IFERROR($J829/IF($A829&lt;COUNTIFS($K$1:V$1,"&lt;&gt;"),0,SUMIFS($J:$J,$B:$B,$B829,$A:$A,"&gt;="&amp;COUNTIFS($K$1:V$1,"&lt;&gt;"))),0)</f>
        <v>0</v>
      </c>
      <c r="W829">
        <f t="shared" si="288"/>
        <v>8.4931506849315067E-2</v>
      </c>
      <c r="X829">
        <f t="shared" si="268"/>
        <v>8.4931506849315067E-2</v>
      </c>
      <c r="Y829">
        <f t="shared" si="269"/>
        <v>8.4931506849315067E-2</v>
      </c>
      <c r="Z829">
        <f t="shared" si="270"/>
        <v>8.4931506849315067E-2</v>
      </c>
      <c r="AA829">
        <f t="shared" si="271"/>
        <v>8.4931506849315067E-2</v>
      </c>
      <c r="AB829">
        <f t="shared" si="272"/>
        <v>8.4931506849315067E-2</v>
      </c>
      <c r="AC829">
        <f t="shared" si="273"/>
        <v>8.4931506849315067E-2</v>
      </c>
      <c r="AD829">
        <f t="shared" si="274"/>
        <v>8.4931506849315067E-2</v>
      </c>
      <c r="AE829">
        <f t="shared" si="275"/>
        <v>8.4931506849315067E-2</v>
      </c>
      <c r="AF829">
        <f t="shared" si="276"/>
        <v>0</v>
      </c>
      <c r="AG829">
        <f t="shared" si="277"/>
        <v>0</v>
      </c>
      <c r="AH829">
        <f t="shared" si="278"/>
        <v>0</v>
      </c>
      <c r="AI829">
        <f t="shared" si="279"/>
        <v>0</v>
      </c>
      <c r="AJ829" s="2" t="str">
        <f t="shared" si="289"/>
        <v>845748</v>
      </c>
    </row>
    <row r="830" spans="1:36" x14ac:dyDescent="0.25">
      <c r="A830">
        <v>9</v>
      </c>
      <c r="B830" s="1">
        <v>45748</v>
      </c>
      <c r="C830" s="1">
        <f t="shared" si="280"/>
        <v>46023</v>
      </c>
      <c r="D830" s="1">
        <f t="shared" si="281"/>
        <v>45762</v>
      </c>
      <c r="E830" s="1">
        <f t="shared" si="282"/>
        <v>46023</v>
      </c>
      <c r="F830" s="1">
        <f t="shared" si="283"/>
        <v>46054</v>
      </c>
      <c r="G830" s="1">
        <f t="shared" si="284"/>
        <v>46127</v>
      </c>
      <c r="H830">
        <f t="shared" si="285"/>
        <v>365</v>
      </c>
      <c r="I830">
        <f t="shared" si="286"/>
        <v>31</v>
      </c>
      <c r="J830">
        <f t="shared" si="287"/>
        <v>8.4931506849315067E-2</v>
      </c>
      <c r="K830">
        <f>IFERROR($J830/IF($A830&lt;COUNTIFS($K$1:K$1,"&lt;&gt;"),0,SUMIFS($J:$J,$B:$B,$B830,$A:$A,"&gt;="&amp;COUNTIFS($K$1:K$1,"&lt;&gt;"))),0)</f>
        <v>8.8825214899713484E-2</v>
      </c>
      <c r="L830">
        <f>IFERROR($J830/IF($A830&lt;COUNTIFS($K$1:L$1,"&lt;&gt;"),0,SUMIFS($J:$J,$B:$B,$B830,$A:$A,"&gt;="&amp;COUNTIFS($K$1:L$1,"&lt;&gt;"))),0)</f>
        <v>9.7484276729559768E-2</v>
      </c>
      <c r="M830">
        <f>IFERROR($J830/IF($A830&lt;COUNTIFS($K$1:M$1,"&lt;&gt;"),0,SUMIFS($J:$J,$B:$B,$B830,$A:$A,"&gt;="&amp;COUNTIFS($K$1:M$1,"&lt;&gt;"))),0)</f>
        <v>0.10763888888888891</v>
      </c>
      <c r="N830">
        <f>IFERROR($J830/IF($A830&lt;COUNTIFS($K$1:N$1,"&lt;&gt;"),0,SUMIFS($J:$J,$B:$B,$B830,$A:$A,"&gt;="&amp;COUNTIFS($K$1:N$1,"&lt;&gt;"))),0)</f>
        <v>0.12062256809338523</v>
      </c>
      <c r="O830">
        <f>IFERROR($J830/IF($A830&lt;COUNTIFS($K$1:O$1,"&lt;&gt;"),0,SUMIFS($J:$J,$B:$B,$B830,$A:$A,"&gt;="&amp;COUNTIFS($K$1:O$1,"&lt;&gt;"))),0)</f>
        <v>0.13716814159292037</v>
      </c>
      <c r="P830">
        <f>IFERROR($J830/IF($A830&lt;COUNTIFS($K$1:P$1,"&lt;&gt;"),0,SUMIFS($J:$J,$B:$B,$B830,$A:$A,"&gt;="&amp;COUNTIFS($K$1:P$1,"&lt;&gt;"))),0)</f>
        <v>0.15816326530612249</v>
      </c>
      <c r="Q830">
        <f>IFERROR($J830/IF($A830&lt;COUNTIFS($K$1:Q$1,"&lt;&gt;"),0,SUMIFS($J:$J,$B:$B,$B830,$A:$A,"&gt;="&amp;COUNTIFS($K$1:Q$1,"&lt;&gt;"))),0)</f>
        <v>0.1878787878787879</v>
      </c>
      <c r="R830">
        <f>IFERROR($J830/IF($A830&lt;COUNTIFS($K$1:R$1,"&lt;&gt;"),0,SUMIFS($J:$J,$B:$B,$B830,$A:$A,"&gt;="&amp;COUNTIFS($K$1:R$1,"&lt;&gt;"))),0)</f>
        <v>0.22962962962962963</v>
      </c>
      <c r="S830">
        <f>IFERROR($J830/IF($A830&lt;COUNTIFS($K$1:S$1,"&lt;&gt;"),0,SUMIFS($J:$J,$B:$B,$B830,$A:$A,"&gt;="&amp;COUNTIFS($K$1:S$1,"&lt;&gt;"))),0)</f>
        <v>0.29807692307692307</v>
      </c>
      <c r="T830">
        <f>IFERROR($J830/IF($A830&lt;COUNTIFS($K$1:T$1,"&lt;&gt;"),0,SUMIFS($J:$J,$B:$B,$B830,$A:$A,"&gt;="&amp;COUNTIFS($K$1:T$1,"&lt;&gt;"))),0)</f>
        <v>0</v>
      </c>
      <c r="U830">
        <f>IFERROR($J830/IF($A830&lt;COUNTIFS($K$1:U$1,"&lt;&gt;"),0,SUMIFS($J:$J,$B:$B,$B830,$A:$A,"&gt;="&amp;COUNTIFS($K$1:U$1,"&lt;&gt;"))),0)</f>
        <v>0</v>
      </c>
      <c r="V830">
        <f>IFERROR($J830/IF($A830&lt;COUNTIFS($K$1:V$1,"&lt;&gt;"),0,SUMIFS($J:$J,$B:$B,$B830,$A:$A,"&gt;="&amp;COUNTIFS($K$1:V$1,"&lt;&gt;"))),0)</f>
        <v>0</v>
      </c>
      <c r="W830">
        <f t="shared" si="288"/>
        <v>8.4931506849315067E-2</v>
      </c>
      <c r="X830">
        <f t="shared" si="268"/>
        <v>8.4931506849315067E-2</v>
      </c>
      <c r="Y830">
        <f t="shared" si="269"/>
        <v>8.4931506849315067E-2</v>
      </c>
      <c r="Z830">
        <f t="shared" si="270"/>
        <v>8.4931506849315067E-2</v>
      </c>
      <c r="AA830">
        <f t="shared" si="271"/>
        <v>8.4931506849315067E-2</v>
      </c>
      <c r="AB830">
        <f t="shared" si="272"/>
        <v>8.4931506849315067E-2</v>
      </c>
      <c r="AC830">
        <f t="shared" si="273"/>
        <v>8.4931506849315067E-2</v>
      </c>
      <c r="AD830">
        <f t="shared" si="274"/>
        <v>8.4931506849315067E-2</v>
      </c>
      <c r="AE830">
        <f t="shared" si="275"/>
        <v>8.4931506849315067E-2</v>
      </c>
      <c r="AF830">
        <f t="shared" si="276"/>
        <v>8.4931506849315067E-2</v>
      </c>
      <c r="AG830">
        <f t="shared" si="277"/>
        <v>0</v>
      </c>
      <c r="AH830">
        <f t="shared" si="278"/>
        <v>0</v>
      </c>
      <c r="AI830">
        <f t="shared" si="279"/>
        <v>0</v>
      </c>
      <c r="AJ830" s="2" t="str">
        <f t="shared" si="289"/>
        <v>945748</v>
      </c>
    </row>
    <row r="831" spans="1:36" x14ac:dyDescent="0.25">
      <c r="A831">
        <v>10</v>
      </c>
      <c r="B831" s="1">
        <v>45748</v>
      </c>
      <c r="C831" s="1">
        <f t="shared" si="280"/>
        <v>46054</v>
      </c>
      <c r="D831" s="1">
        <f t="shared" si="281"/>
        <v>45762</v>
      </c>
      <c r="E831" s="1">
        <f t="shared" si="282"/>
        <v>46054</v>
      </c>
      <c r="F831" s="1">
        <f t="shared" si="283"/>
        <v>46082</v>
      </c>
      <c r="G831" s="1">
        <f t="shared" si="284"/>
        <v>46127</v>
      </c>
      <c r="H831">
        <f t="shared" si="285"/>
        <v>365</v>
      </c>
      <c r="I831">
        <f t="shared" si="286"/>
        <v>28</v>
      </c>
      <c r="J831">
        <f t="shared" si="287"/>
        <v>7.6712328767123292E-2</v>
      </c>
      <c r="K831">
        <f>IFERROR($J831/IF($A831&lt;COUNTIFS($K$1:K$1,"&lt;&gt;"),0,SUMIFS($J:$J,$B:$B,$B831,$A:$A,"&gt;="&amp;COUNTIFS($K$1:K$1,"&lt;&gt;"))),0)</f>
        <v>8.0229226361031539E-2</v>
      </c>
      <c r="L831">
        <f>IFERROR($J831/IF($A831&lt;COUNTIFS($K$1:L$1,"&lt;&gt;"),0,SUMIFS($J:$J,$B:$B,$B831,$A:$A,"&gt;="&amp;COUNTIFS($K$1:L$1,"&lt;&gt;"))),0)</f>
        <v>8.8050314465408827E-2</v>
      </c>
      <c r="M831">
        <f>IFERROR($J831/IF($A831&lt;COUNTIFS($K$1:M$1,"&lt;&gt;"),0,SUMIFS($J:$J,$B:$B,$B831,$A:$A,"&gt;="&amp;COUNTIFS($K$1:M$1,"&lt;&gt;"))),0)</f>
        <v>9.7222222222222238E-2</v>
      </c>
      <c r="N831">
        <f>IFERROR($J831/IF($A831&lt;COUNTIFS($K$1:N$1,"&lt;&gt;"),0,SUMIFS($J:$J,$B:$B,$B831,$A:$A,"&gt;="&amp;COUNTIFS($K$1:N$1,"&lt;&gt;"))),0)</f>
        <v>0.10894941634241248</v>
      </c>
      <c r="O831">
        <f>IFERROR($J831/IF($A831&lt;COUNTIFS($K$1:O$1,"&lt;&gt;"),0,SUMIFS($J:$J,$B:$B,$B831,$A:$A,"&gt;="&amp;COUNTIFS($K$1:O$1,"&lt;&gt;"))),0)</f>
        <v>0.12389380530973454</v>
      </c>
      <c r="P831">
        <f>IFERROR($J831/IF($A831&lt;COUNTIFS($K$1:P$1,"&lt;&gt;"),0,SUMIFS($J:$J,$B:$B,$B831,$A:$A,"&gt;="&amp;COUNTIFS($K$1:P$1,"&lt;&gt;"))),0)</f>
        <v>0.14285714285714288</v>
      </c>
      <c r="Q831">
        <f>IFERROR($J831/IF($A831&lt;COUNTIFS($K$1:Q$1,"&lt;&gt;"),0,SUMIFS($J:$J,$B:$B,$B831,$A:$A,"&gt;="&amp;COUNTIFS($K$1:Q$1,"&lt;&gt;"))),0)</f>
        <v>0.16969696969696971</v>
      </c>
      <c r="R831">
        <f>IFERROR($J831/IF($A831&lt;COUNTIFS($K$1:R$1,"&lt;&gt;"),0,SUMIFS($J:$J,$B:$B,$B831,$A:$A,"&gt;="&amp;COUNTIFS($K$1:R$1,"&lt;&gt;"))),0)</f>
        <v>0.20740740740740743</v>
      </c>
      <c r="S831">
        <f>IFERROR($J831/IF($A831&lt;COUNTIFS($K$1:S$1,"&lt;&gt;"),0,SUMIFS($J:$J,$B:$B,$B831,$A:$A,"&gt;="&amp;COUNTIFS($K$1:S$1,"&lt;&gt;"))),0)</f>
        <v>0.26923076923076927</v>
      </c>
      <c r="T831">
        <f>IFERROR($J831/IF($A831&lt;COUNTIFS($K$1:T$1,"&lt;&gt;"),0,SUMIFS($J:$J,$B:$B,$B831,$A:$A,"&gt;="&amp;COUNTIFS($K$1:T$1,"&lt;&gt;"))),0)</f>
        <v>0.38356164383561642</v>
      </c>
      <c r="U831">
        <f>IFERROR($J831/IF($A831&lt;COUNTIFS($K$1:U$1,"&lt;&gt;"),0,SUMIFS($J:$J,$B:$B,$B831,$A:$A,"&gt;="&amp;COUNTIFS($K$1:U$1,"&lt;&gt;"))),0)</f>
        <v>0</v>
      </c>
      <c r="V831">
        <f>IFERROR($J831/IF($A831&lt;COUNTIFS($K$1:V$1,"&lt;&gt;"),0,SUMIFS($J:$J,$B:$B,$B831,$A:$A,"&gt;="&amp;COUNTIFS($K$1:V$1,"&lt;&gt;"))),0)</f>
        <v>0</v>
      </c>
      <c r="W831">
        <f t="shared" si="288"/>
        <v>7.6712328767123292E-2</v>
      </c>
      <c r="X831">
        <f t="shared" si="268"/>
        <v>7.6712328767123292E-2</v>
      </c>
      <c r="Y831">
        <f t="shared" si="269"/>
        <v>7.6712328767123292E-2</v>
      </c>
      <c r="Z831">
        <f t="shared" si="270"/>
        <v>7.6712328767123292E-2</v>
      </c>
      <c r="AA831">
        <f t="shared" si="271"/>
        <v>7.6712328767123292E-2</v>
      </c>
      <c r="AB831">
        <f t="shared" si="272"/>
        <v>7.6712328767123292E-2</v>
      </c>
      <c r="AC831">
        <f t="shared" si="273"/>
        <v>7.6712328767123292E-2</v>
      </c>
      <c r="AD831">
        <f t="shared" si="274"/>
        <v>7.6712328767123292E-2</v>
      </c>
      <c r="AE831">
        <f t="shared" si="275"/>
        <v>7.6712328767123292E-2</v>
      </c>
      <c r="AF831">
        <f t="shared" si="276"/>
        <v>7.6712328767123292E-2</v>
      </c>
      <c r="AG831">
        <f t="shared" si="277"/>
        <v>7.6712328767123292E-2</v>
      </c>
      <c r="AH831">
        <f t="shared" si="278"/>
        <v>0</v>
      </c>
      <c r="AI831">
        <f t="shared" si="279"/>
        <v>0</v>
      </c>
      <c r="AJ831" s="2" t="str">
        <f t="shared" si="289"/>
        <v>1045748</v>
      </c>
    </row>
    <row r="832" spans="1:36" x14ac:dyDescent="0.25">
      <c r="A832">
        <v>11</v>
      </c>
      <c r="B832" s="1">
        <v>45748</v>
      </c>
      <c r="C832" s="1">
        <f t="shared" si="280"/>
        <v>46082</v>
      </c>
      <c r="D832" s="1">
        <f t="shared" si="281"/>
        <v>45762</v>
      </c>
      <c r="E832" s="1">
        <f t="shared" si="282"/>
        <v>46082</v>
      </c>
      <c r="F832" s="1">
        <f t="shared" si="283"/>
        <v>46113</v>
      </c>
      <c r="G832" s="1">
        <f t="shared" si="284"/>
        <v>46127</v>
      </c>
      <c r="H832">
        <f t="shared" si="285"/>
        <v>365</v>
      </c>
      <c r="I832">
        <f t="shared" si="286"/>
        <v>31</v>
      </c>
      <c r="J832">
        <f t="shared" si="287"/>
        <v>8.4931506849315067E-2</v>
      </c>
      <c r="K832">
        <f>IFERROR($J832/IF($A832&lt;COUNTIFS($K$1:K$1,"&lt;&gt;"),0,SUMIFS($J:$J,$B:$B,$B832,$A:$A,"&gt;="&amp;COUNTIFS($K$1:K$1,"&lt;&gt;"))),0)</f>
        <v>8.8825214899713484E-2</v>
      </c>
      <c r="L832">
        <f>IFERROR($J832/IF($A832&lt;COUNTIFS($K$1:L$1,"&lt;&gt;"),0,SUMIFS($J:$J,$B:$B,$B832,$A:$A,"&gt;="&amp;COUNTIFS($K$1:L$1,"&lt;&gt;"))),0)</f>
        <v>9.7484276729559768E-2</v>
      </c>
      <c r="M832">
        <f>IFERROR($J832/IF($A832&lt;COUNTIFS($K$1:M$1,"&lt;&gt;"),0,SUMIFS($J:$J,$B:$B,$B832,$A:$A,"&gt;="&amp;COUNTIFS($K$1:M$1,"&lt;&gt;"))),0)</f>
        <v>0.10763888888888891</v>
      </c>
      <c r="N832">
        <f>IFERROR($J832/IF($A832&lt;COUNTIFS($K$1:N$1,"&lt;&gt;"),0,SUMIFS($J:$J,$B:$B,$B832,$A:$A,"&gt;="&amp;COUNTIFS($K$1:N$1,"&lt;&gt;"))),0)</f>
        <v>0.12062256809338523</v>
      </c>
      <c r="O832">
        <f>IFERROR($J832/IF($A832&lt;COUNTIFS($K$1:O$1,"&lt;&gt;"),0,SUMIFS($J:$J,$B:$B,$B832,$A:$A,"&gt;="&amp;COUNTIFS($K$1:O$1,"&lt;&gt;"))),0)</f>
        <v>0.13716814159292037</v>
      </c>
      <c r="P832">
        <f>IFERROR($J832/IF($A832&lt;COUNTIFS($K$1:P$1,"&lt;&gt;"),0,SUMIFS($J:$J,$B:$B,$B832,$A:$A,"&gt;="&amp;COUNTIFS($K$1:P$1,"&lt;&gt;"))),0)</f>
        <v>0.15816326530612249</v>
      </c>
      <c r="Q832">
        <f>IFERROR($J832/IF($A832&lt;COUNTIFS($K$1:Q$1,"&lt;&gt;"),0,SUMIFS($J:$J,$B:$B,$B832,$A:$A,"&gt;="&amp;COUNTIFS($K$1:Q$1,"&lt;&gt;"))),0)</f>
        <v>0.1878787878787879</v>
      </c>
      <c r="R832">
        <f>IFERROR($J832/IF($A832&lt;COUNTIFS($K$1:R$1,"&lt;&gt;"),0,SUMIFS($J:$J,$B:$B,$B832,$A:$A,"&gt;="&amp;COUNTIFS($K$1:R$1,"&lt;&gt;"))),0)</f>
        <v>0.22962962962962963</v>
      </c>
      <c r="S832">
        <f>IFERROR($J832/IF($A832&lt;COUNTIFS($K$1:S$1,"&lt;&gt;"),0,SUMIFS($J:$J,$B:$B,$B832,$A:$A,"&gt;="&amp;COUNTIFS($K$1:S$1,"&lt;&gt;"))),0)</f>
        <v>0.29807692307692307</v>
      </c>
      <c r="T832">
        <f>IFERROR($J832/IF($A832&lt;COUNTIFS($K$1:T$1,"&lt;&gt;"),0,SUMIFS($J:$J,$B:$B,$B832,$A:$A,"&gt;="&amp;COUNTIFS($K$1:T$1,"&lt;&gt;"))),0)</f>
        <v>0.42465753424657532</v>
      </c>
      <c r="U832">
        <f>IFERROR($J832/IF($A832&lt;COUNTIFS($K$1:U$1,"&lt;&gt;"),0,SUMIFS($J:$J,$B:$B,$B832,$A:$A,"&gt;="&amp;COUNTIFS($K$1:U$1,"&lt;&gt;"))),0)</f>
        <v>0.68888888888888888</v>
      </c>
      <c r="V832">
        <f>IFERROR($J832/IF($A832&lt;COUNTIFS($K$1:V$1,"&lt;&gt;"),0,SUMIFS($J:$J,$B:$B,$B832,$A:$A,"&gt;="&amp;COUNTIFS($K$1:V$1,"&lt;&gt;"))),0)</f>
        <v>0</v>
      </c>
      <c r="W832">
        <f t="shared" si="288"/>
        <v>8.4931506849315067E-2</v>
      </c>
      <c r="X832">
        <f t="shared" si="268"/>
        <v>8.4931506849315067E-2</v>
      </c>
      <c r="Y832">
        <f t="shared" si="269"/>
        <v>8.4931506849315067E-2</v>
      </c>
      <c r="Z832">
        <f t="shared" si="270"/>
        <v>8.4931506849315067E-2</v>
      </c>
      <c r="AA832">
        <f t="shared" si="271"/>
        <v>8.4931506849315067E-2</v>
      </c>
      <c r="AB832">
        <f t="shared" si="272"/>
        <v>8.4931506849315067E-2</v>
      </c>
      <c r="AC832">
        <f t="shared" si="273"/>
        <v>8.4931506849315067E-2</v>
      </c>
      <c r="AD832">
        <f t="shared" si="274"/>
        <v>8.4931506849315067E-2</v>
      </c>
      <c r="AE832">
        <f t="shared" si="275"/>
        <v>8.4931506849315067E-2</v>
      </c>
      <c r="AF832">
        <f t="shared" si="276"/>
        <v>8.4931506849315067E-2</v>
      </c>
      <c r="AG832">
        <f t="shared" si="277"/>
        <v>8.4931506849315067E-2</v>
      </c>
      <c r="AH832">
        <f t="shared" si="278"/>
        <v>8.4931506849315067E-2</v>
      </c>
      <c r="AI832">
        <f t="shared" si="279"/>
        <v>0</v>
      </c>
      <c r="AJ832" s="2" t="str">
        <f t="shared" si="289"/>
        <v>1145748</v>
      </c>
    </row>
    <row r="833" spans="1:36" x14ac:dyDescent="0.25">
      <c r="A833">
        <v>12</v>
      </c>
      <c r="B833" s="1">
        <v>45748</v>
      </c>
      <c r="C833" s="1">
        <f t="shared" si="280"/>
        <v>46113</v>
      </c>
      <c r="D833" s="1">
        <f t="shared" si="281"/>
        <v>45762</v>
      </c>
      <c r="E833" s="1">
        <f t="shared" si="282"/>
        <v>46113</v>
      </c>
      <c r="F833" s="1">
        <f t="shared" si="283"/>
        <v>46127</v>
      </c>
      <c r="G833" s="1">
        <f t="shared" si="284"/>
        <v>46127</v>
      </c>
      <c r="H833">
        <f t="shared" si="285"/>
        <v>365</v>
      </c>
      <c r="I833">
        <f t="shared" si="286"/>
        <v>14</v>
      </c>
      <c r="J833">
        <f t="shared" si="287"/>
        <v>3.8356164383561646E-2</v>
      </c>
      <c r="K833">
        <f>IFERROR($J833/IF($A833&lt;COUNTIFS($K$1:K$1,"&lt;&gt;"),0,SUMIFS($J:$J,$B:$B,$B833,$A:$A,"&gt;="&amp;COUNTIFS($K$1:K$1,"&lt;&gt;"))),0)</f>
        <v>4.0114613180515769E-2</v>
      </c>
      <c r="L833">
        <f>IFERROR($J833/IF($A833&lt;COUNTIFS($K$1:L$1,"&lt;&gt;"),0,SUMIFS($J:$J,$B:$B,$B833,$A:$A,"&gt;="&amp;COUNTIFS($K$1:L$1,"&lt;&gt;"))),0)</f>
        <v>4.4025157232704414E-2</v>
      </c>
      <c r="M833">
        <f>IFERROR($J833/IF($A833&lt;COUNTIFS($K$1:M$1,"&lt;&gt;"),0,SUMIFS($J:$J,$B:$B,$B833,$A:$A,"&gt;="&amp;COUNTIFS($K$1:M$1,"&lt;&gt;"))),0)</f>
        <v>4.8611111111111119E-2</v>
      </c>
      <c r="N833">
        <f>IFERROR($J833/IF($A833&lt;COUNTIFS($K$1:N$1,"&lt;&gt;"),0,SUMIFS($J:$J,$B:$B,$B833,$A:$A,"&gt;="&amp;COUNTIFS($K$1:N$1,"&lt;&gt;"))),0)</f>
        <v>5.447470817120624E-2</v>
      </c>
      <c r="O833">
        <f>IFERROR($J833/IF($A833&lt;COUNTIFS($K$1:O$1,"&lt;&gt;"),0,SUMIFS($J:$J,$B:$B,$B833,$A:$A,"&gt;="&amp;COUNTIFS($K$1:O$1,"&lt;&gt;"))),0)</f>
        <v>6.194690265486727E-2</v>
      </c>
      <c r="P833">
        <f>IFERROR($J833/IF($A833&lt;COUNTIFS($K$1:P$1,"&lt;&gt;"),0,SUMIFS($J:$J,$B:$B,$B833,$A:$A,"&gt;="&amp;COUNTIFS($K$1:P$1,"&lt;&gt;"))),0)</f>
        <v>7.1428571428571438E-2</v>
      </c>
      <c r="Q833">
        <f>IFERROR($J833/IF($A833&lt;COUNTIFS($K$1:Q$1,"&lt;&gt;"),0,SUMIFS($J:$J,$B:$B,$B833,$A:$A,"&gt;="&amp;COUNTIFS($K$1:Q$1,"&lt;&gt;"))),0)</f>
        <v>8.4848484848484854E-2</v>
      </c>
      <c r="R833">
        <f>IFERROR($J833/IF($A833&lt;COUNTIFS($K$1:R$1,"&lt;&gt;"),0,SUMIFS($J:$J,$B:$B,$B833,$A:$A,"&gt;="&amp;COUNTIFS($K$1:R$1,"&lt;&gt;"))),0)</f>
        <v>0.10370370370370371</v>
      </c>
      <c r="S833">
        <f>IFERROR($J833/IF($A833&lt;COUNTIFS($K$1:S$1,"&lt;&gt;"),0,SUMIFS($J:$J,$B:$B,$B833,$A:$A,"&gt;="&amp;COUNTIFS($K$1:S$1,"&lt;&gt;"))),0)</f>
        <v>0.13461538461538464</v>
      </c>
      <c r="T833">
        <f>IFERROR($J833/IF($A833&lt;COUNTIFS($K$1:T$1,"&lt;&gt;"),0,SUMIFS($J:$J,$B:$B,$B833,$A:$A,"&gt;="&amp;COUNTIFS($K$1:T$1,"&lt;&gt;"))),0)</f>
        <v>0.19178082191780821</v>
      </c>
      <c r="U833">
        <f>IFERROR($J833/IF($A833&lt;COUNTIFS($K$1:U$1,"&lt;&gt;"),0,SUMIFS($J:$J,$B:$B,$B833,$A:$A,"&gt;="&amp;COUNTIFS($K$1:U$1,"&lt;&gt;"))),0)</f>
        <v>0.31111111111111117</v>
      </c>
      <c r="V833">
        <f>IFERROR($J833/IF($A833&lt;COUNTIFS($K$1:V$1,"&lt;&gt;"),0,SUMIFS($J:$J,$B:$B,$B833,$A:$A,"&gt;="&amp;COUNTIFS($K$1:V$1,"&lt;&gt;"))),0)</f>
        <v>1</v>
      </c>
      <c r="W833">
        <f t="shared" si="288"/>
        <v>3.8356164383561646E-2</v>
      </c>
      <c r="X833">
        <f t="shared" si="268"/>
        <v>3.8356164383561646E-2</v>
      </c>
      <c r="Y833">
        <f t="shared" si="269"/>
        <v>3.8356164383561646E-2</v>
      </c>
      <c r="Z833">
        <f t="shared" si="270"/>
        <v>3.8356164383561646E-2</v>
      </c>
      <c r="AA833">
        <f t="shared" si="271"/>
        <v>3.8356164383561646E-2</v>
      </c>
      <c r="AB833">
        <f t="shared" si="272"/>
        <v>3.8356164383561646E-2</v>
      </c>
      <c r="AC833">
        <f t="shared" si="273"/>
        <v>3.8356164383561646E-2</v>
      </c>
      <c r="AD833">
        <f t="shared" si="274"/>
        <v>3.8356164383561646E-2</v>
      </c>
      <c r="AE833">
        <f t="shared" si="275"/>
        <v>3.8356164383561646E-2</v>
      </c>
      <c r="AF833">
        <f t="shared" si="276"/>
        <v>3.8356164383561646E-2</v>
      </c>
      <c r="AG833">
        <f t="shared" si="277"/>
        <v>3.8356164383561646E-2</v>
      </c>
      <c r="AH833">
        <f t="shared" si="278"/>
        <v>3.8356164383561646E-2</v>
      </c>
      <c r="AI833">
        <f t="shared" si="279"/>
        <v>3.8356164383561646E-2</v>
      </c>
      <c r="AJ833" s="2" t="str">
        <f t="shared" si="289"/>
        <v>1245748</v>
      </c>
    </row>
    <row r="834" spans="1:36" x14ac:dyDescent="0.25">
      <c r="A834">
        <v>0</v>
      </c>
      <c r="B834" s="1">
        <v>45778</v>
      </c>
      <c r="C834" s="1">
        <f t="shared" si="280"/>
        <v>45778</v>
      </c>
      <c r="D834" s="1">
        <f t="shared" si="281"/>
        <v>45792</v>
      </c>
      <c r="E834" s="1">
        <f t="shared" si="282"/>
        <v>45792</v>
      </c>
      <c r="F834" s="1">
        <f t="shared" si="283"/>
        <v>45809</v>
      </c>
      <c r="G834" s="1">
        <f t="shared" si="284"/>
        <v>46157</v>
      </c>
      <c r="H834">
        <f t="shared" si="285"/>
        <v>365</v>
      </c>
      <c r="I834">
        <f t="shared" si="286"/>
        <v>17</v>
      </c>
      <c r="J834">
        <f t="shared" si="287"/>
        <v>4.6575342465753428E-2</v>
      </c>
      <c r="K834">
        <f>IFERROR($J834/IF($A834&lt;COUNTIFS($K$1:K$1,"&lt;&gt;"),0,SUMIFS($J:$J,$B:$B,$B834,$A:$A,"&gt;="&amp;COUNTIFS($K$1:K$1,"&lt;&gt;"))),0)</f>
        <v>0</v>
      </c>
      <c r="L834">
        <f>IFERROR($J834/IF($A834&lt;COUNTIFS($K$1:L$1,"&lt;&gt;"),0,SUMIFS($J:$J,$B:$B,$B834,$A:$A,"&gt;="&amp;COUNTIFS($K$1:L$1,"&lt;&gt;"))),0)</f>
        <v>0</v>
      </c>
      <c r="M834">
        <f>IFERROR($J834/IF($A834&lt;COUNTIFS($K$1:M$1,"&lt;&gt;"),0,SUMIFS($J:$J,$B:$B,$B834,$A:$A,"&gt;="&amp;COUNTIFS($K$1:M$1,"&lt;&gt;"))),0)</f>
        <v>0</v>
      </c>
      <c r="N834">
        <f>IFERROR($J834/IF($A834&lt;COUNTIFS($K$1:N$1,"&lt;&gt;"),0,SUMIFS($J:$J,$B:$B,$B834,$A:$A,"&gt;="&amp;COUNTIFS($K$1:N$1,"&lt;&gt;"))),0)</f>
        <v>0</v>
      </c>
      <c r="O834">
        <f>IFERROR($J834/IF($A834&lt;COUNTIFS($K$1:O$1,"&lt;&gt;"),0,SUMIFS($J:$J,$B:$B,$B834,$A:$A,"&gt;="&amp;COUNTIFS($K$1:O$1,"&lt;&gt;"))),0)</f>
        <v>0</v>
      </c>
      <c r="P834">
        <f>IFERROR($J834/IF($A834&lt;COUNTIFS($K$1:P$1,"&lt;&gt;"),0,SUMIFS($J:$J,$B:$B,$B834,$A:$A,"&gt;="&amp;COUNTIFS($K$1:P$1,"&lt;&gt;"))),0)</f>
        <v>0</v>
      </c>
      <c r="Q834">
        <f>IFERROR($J834/IF($A834&lt;COUNTIFS($K$1:Q$1,"&lt;&gt;"),0,SUMIFS($J:$J,$B:$B,$B834,$A:$A,"&gt;="&amp;COUNTIFS($K$1:Q$1,"&lt;&gt;"))),0)</f>
        <v>0</v>
      </c>
      <c r="R834">
        <f>IFERROR($J834/IF($A834&lt;COUNTIFS($K$1:R$1,"&lt;&gt;"),0,SUMIFS($J:$J,$B:$B,$B834,$A:$A,"&gt;="&amp;COUNTIFS($K$1:R$1,"&lt;&gt;"))),0)</f>
        <v>0</v>
      </c>
      <c r="S834">
        <f>IFERROR($J834/IF($A834&lt;COUNTIFS($K$1:S$1,"&lt;&gt;"),0,SUMIFS($J:$J,$B:$B,$B834,$A:$A,"&gt;="&amp;COUNTIFS($K$1:S$1,"&lt;&gt;"))),0)</f>
        <v>0</v>
      </c>
      <c r="T834">
        <f>IFERROR($J834/IF($A834&lt;COUNTIFS($K$1:T$1,"&lt;&gt;"),0,SUMIFS($J:$J,$B:$B,$B834,$A:$A,"&gt;="&amp;COUNTIFS($K$1:T$1,"&lt;&gt;"))),0)</f>
        <v>0</v>
      </c>
      <c r="U834">
        <f>IFERROR($J834/IF($A834&lt;COUNTIFS($K$1:U$1,"&lt;&gt;"),0,SUMIFS($J:$J,$B:$B,$B834,$A:$A,"&gt;="&amp;COUNTIFS($K$1:U$1,"&lt;&gt;"))),0)</f>
        <v>0</v>
      </c>
      <c r="V834">
        <f>IFERROR($J834/IF($A834&lt;COUNTIFS($K$1:V$1,"&lt;&gt;"),0,SUMIFS($J:$J,$B:$B,$B834,$A:$A,"&gt;="&amp;COUNTIFS($K$1:V$1,"&lt;&gt;"))),0)</f>
        <v>0</v>
      </c>
      <c r="W834">
        <f t="shared" si="288"/>
        <v>4.6575342465753428E-2</v>
      </c>
      <c r="X834">
        <f t="shared" ref="X834:X897" si="290">IF(K834=0,0,$J834)</f>
        <v>0</v>
      </c>
      <c r="Y834">
        <f t="shared" ref="Y834:Y897" si="291">IF(L834=0,0,$J834)</f>
        <v>0</v>
      </c>
      <c r="Z834">
        <f t="shared" ref="Z834:Z897" si="292">IF(M834=0,0,$J834)</f>
        <v>0</v>
      </c>
      <c r="AA834">
        <f t="shared" ref="AA834:AA897" si="293">IF(N834=0,0,$J834)</f>
        <v>0</v>
      </c>
      <c r="AB834">
        <f t="shared" ref="AB834:AB897" si="294">IF(O834=0,0,$J834)</f>
        <v>0</v>
      </c>
      <c r="AC834">
        <f t="shared" ref="AC834:AC897" si="295">IF(P834=0,0,$J834)</f>
        <v>0</v>
      </c>
      <c r="AD834">
        <f t="shared" ref="AD834:AD897" si="296">IF(Q834=0,0,$J834)</f>
        <v>0</v>
      </c>
      <c r="AE834">
        <f t="shared" ref="AE834:AE897" si="297">IF(R834=0,0,$J834)</f>
        <v>0</v>
      </c>
      <c r="AF834">
        <f t="shared" ref="AF834:AF897" si="298">IF(S834=0,0,$J834)</f>
        <v>0</v>
      </c>
      <c r="AG834">
        <f t="shared" ref="AG834:AG897" si="299">IF(T834=0,0,$J834)</f>
        <v>0</v>
      </c>
      <c r="AH834">
        <f t="shared" ref="AH834:AH897" si="300">IF(U834=0,0,$J834)</f>
        <v>0</v>
      </c>
      <c r="AI834">
        <f t="shared" ref="AI834:AI897" si="301">IF(V834=0,0,$J834)</f>
        <v>0</v>
      </c>
      <c r="AJ834" s="2" t="str">
        <f t="shared" si="289"/>
        <v>045778</v>
      </c>
    </row>
    <row r="835" spans="1:36" x14ac:dyDescent="0.25">
      <c r="A835">
        <v>1</v>
      </c>
      <c r="B835" s="1">
        <v>45778</v>
      </c>
      <c r="C835" s="1">
        <f t="shared" ref="C835:C898" si="302">EDATE(B835,A835)</f>
        <v>45809</v>
      </c>
      <c r="D835" s="1">
        <f t="shared" ref="D835:D898" si="303">B835+14</f>
        <v>45792</v>
      </c>
      <c r="E835" s="1">
        <f t="shared" ref="E835:E898" si="304">IF($A835=0,C835+14,C835)</f>
        <v>45809</v>
      </c>
      <c r="F835" s="1">
        <f t="shared" ref="F835:F898" si="305">IF(EDATE(C835,1)&gt;G835,G835,EDATE(C835,1))</f>
        <v>45839</v>
      </c>
      <c r="G835" s="1">
        <f t="shared" ref="G835:G898" si="306">EDATE(D835,12)</f>
        <v>46157</v>
      </c>
      <c r="H835">
        <f t="shared" ref="H835:H898" si="307">G835-D835</f>
        <v>365</v>
      </c>
      <c r="I835">
        <f t="shared" ref="I835:I898" si="308">F835-E835</f>
        <v>30</v>
      </c>
      <c r="J835">
        <f t="shared" ref="J835:J898" si="309">I835/H835</f>
        <v>8.2191780821917804E-2</v>
      </c>
      <c r="K835">
        <f>IFERROR($J835/IF($A835&lt;COUNTIFS($K$1:K$1,"&lt;&gt;"),0,SUMIFS($J:$J,$B:$B,$B835,$A:$A,"&gt;="&amp;COUNTIFS($K$1:K$1,"&lt;&gt;"))),0)</f>
        <v>8.6206896551724144E-2</v>
      </c>
      <c r="L835">
        <f>IFERROR($J835/IF($A835&lt;COUNTIFS($K$1:L$1,"&lt;&gt;"),0,SUMIFS($J:$J,$B:$B,$B835,$A:$A,"&gt;="&amp;COUNTIFS($K$1:L$1,"&lt;&gt;"))),0)</f>
        <v>0</v>
      </c>
      <c r="M835">
        <f>IFERROR($J835/IF($A835&lt;COUNTIFS($K$1:M$1,"&lt;&gt;"),0,SUMIFS($J:$J,$B:$B,$B835,$A:$A,"&gt;="&amp;COUNTIFS($K$1:M$1,"&lt;&gt;"))),0)</f>
        <v>0</v>
      </c>
      <c r="N835">
        <f>IFERROR($J835/IF($A835&lt;COUNTIFS($K$1:N$1,"&lt;&gt;"),0,SUMIFS($J:$J,$B:$B,$B835,$A:$A,"&gt;="&amp;COUNTIFS($K$1:N$1,"&lt;&gt;"))),0)</f>
        <v>0</v>
      </c>
      <c r="O835">
        <f>IFERROR($J835/IF($A835&lt;COUNTIFS($K$1:O$1,"&lt;&gt;"),0,SUMIFS($J:$J,$B:$B,$B835,$A:$A,"&gt;="&amp;COUNTIFS($K$1:O$1,"&lt;&gt;"))),0)</f>
        <v>0</v>
      </c>
      <c r="P835">
        <f>IFERROR($J835/IF($A835&lt;COUNTIFS($K$1:P$1,"&lt;&gt;"),0,SUMIFS($J:$J,$B:$B,$B835,$A:$A,"&gt;="&amp;COUNTIFS($K$1:P$1,"&lt;&gt;"))),0)</f>
        <v>0</v>
      </c>
      <c r="Q835">
        <f>IFERROR($J835/IF($A835&lt;COUNTIFS($K$1:Q$1,"&lt;&gt;"),0,SUMIFS($J:$J,$B:$B,$B835,$A:$A,"&gt;="&amp;COUNTIFS($K$1:Q$1,"&lt;&gt;"))),0)</f>
        <v>0</v>
      </c>
      <c r="R835">
        <f>IFERROR($J835/IF($A835&lt;COUNTIFS($K$1:R$1,"&lt;&gt;"),0,SUMIFS($J:$J,$B:$B,$B835,$A:$A,"&gt;="&amp;COUNTIFS($K$1:R$1,"&lt;&gt;"))),0)</f>
        <v>0</v>
      </c>
      <c r="S835">
        <f>IFERROR($J835/IF($A835&lt;COUNTIFS($K$1:S$1,"&lt;&gt;"),0,SUMIFS($J:$J,$B:$B,$B835,$A:$A,"&gt;="&amp;COUNTIFS($K$1:S$1,"&lt;&gt;"))),0)</f>
        <v>0</v>
      </c>
      <c r="T835">
        <f>IFERROR($J835/IF($A835&lt;COUNTIFS($K$1:T$1,"&lt;&gt;"),0,SUMIFS($J:$J,$B:$B,$B835,$A:$A,"&gt;="&amp;COUNTIFS($K$1:T$1,"&lt;&gt;"))),0)</f>
        <v>0</v>
      </c>
      <c r="U835">
        <f>IFERROR($J835/IF($A835&lt;COUNTIFS($K$1:U$1,"&lt;&gt;"),0,SUMIFS($J:$J,$B:$B,$B835,$A:$A,"&gt;="&amp;COUNTIFS($K$1:U$1,"&lt;&gt;"))),0)</f>
        <v>0</v>
      </c>
      <c r="V835">
        <f>IFERROR($J835/IF($A835&lt;COUNTIFS($K$1:V$1,"&lt;&gt;"),0,SUMIFS($J:$J,$B:$B,$B835,$A:$A,"&gt;="&amp;COUNTIFS($K$1:V$1,"&lt;&gt;"))),0)</f>
        <v>0</v>
      </c>
      <c r="W835">
        <f t="shared" ref="W835:W898" si="310">IF(J835=0,0,$J835)</f>
        <v>8.2191780821917804E-2</v>
      </c>
      <c r="X835">
        <f t="shared" si="290"/>
        <v>8.2191780821917804E-2</v>
      </c>
      <c r="Y835">
        <f t="shared" si="291"/>
        <v>0</v>
      </c>
      <c r="Z835">
        <f t="shared" si="292"/>
        <v>0</v>
      </c>
      <c r="AA835">
        <f t="shared" si="293"/>
        <v>0</v>
      </c>
      <c r="AB835">
        <f t="shared" si="294"/>
        <v>0</v>
      </c>
      <c r="AC835">
        <f t="shared" si="295"/>
        <v>0</v>
      </c>
      <c r="AD835">
        <f t="shared" si="296"/>
        <v>0</v>
      </c>
      <c r="AE835">
        <f t="shared" si="297"/>
        <v>0</v>
      </c>
      <c r="AF835">
        <f t="shared" si="298"/>
        <v>0</v>
      </c>
      <c r="AG835">
        <f t="shared" si="299"/>
        <v>0</v>
      </c>
      <c r="AH835">
        <f t="shared" si="300"/>
        <v>0</v>
      </c>
      <c r="AI835">
        <f t="shared" si="301"/>
        <v>0</v>
      </c>
      <c r="AJ835" s="2" t="str">
        <f t="shared" ref="AJ835:AJ898" si="311">A835&amp;B835</f>
        <v>145778</v>
      </c>
    </row>
    <row r="836" spans="1:36" x14ac:dyDescent="0.25">
      <c r="A836">
        <v>2</v>
      </c>
      <c r="B836" s="1">
        <v>45778</v>
      </c>
      <c r="C836" s="1">
        <f t="shared" si="302"/>
        <v>45839</v>
      </c>
      <c r="D836" s="1">
        <f t="shared" si="303"/>
        <v>45792</v>
      </c>
      <c r="E836" s="1">
        <f t="shared" si="304"/>
        <v>45839</v>
      </c>
      <c r="F836" s="1">
        <f t="shared" si="305"/>
        <v>45870</v>
      </c>
      <c r="G836" s="1">
        <f t="shared" si="306"/>
        <v>46157</v>
      </c>
      <c r="H836">
        <f t="shared" si="307"/>
        <v>365</v>
      </c>
      <c r="I836">
        <f t="shared" si="308"/>
        <v>31</v>
      </c>
      <c r="J836">
        <f t="shared" si="309"/>
        <v>8.4931506849315067E-2</v>
      </c>
      <c r="K836">
        <f>IFERROR($J836/IF($A836&lt;COUNTIFS($K$1:K$1,"&lt;&gt;"),0,SUMIFS($J:$J,$B:$B,$B836,$A:$A,"&gt;="&amp;COUNTIFS($K$1:K$1,"&lt;&gt;"))),0)</f>
        <v>8.9080459770114959E-2</v>
      </c>
      <c r="L836">
        <f>IFERROR($J836/IF($A836&lt;COUNTIFS($K$1:L$1,"&lt;&gt;"),0,SUMIFS($J:$J,$B:$B,$B836,$A:$A,"&gt;="&amp;COUNTIFS($K$1:L$1,"&lt;&gt;"))),0)</f>
        <v>9.7484276729559768E-2</v>
      </c>
      <c r="M836">
        <f>IFERROR($J836/IF($A836&lt;COUNTIFS($K$1:M$1,"&lt;&gt;"),0,SUMIFS($J:$J,$B:$B,$B836,$A:$A,"&gt;="&amp;COUNTIFS($K$1:M$1,"&lt;&gt;"))),0)</f>
        <v>0</v>
      </c>
      <c r="N836">
        <f>IFERROR($J836/IF($A836&lt;COUNTIFS($K$1:N$1,"&lt;&gt;"),0,SUMIFS($J:$J,$B:$B,$B836,$A:$A,"&gt;="&amp;COUNTIFS($K$1:N$1,"&lt;&gt;"))),0)</f>
        <v>0</v>
      </c>
      <c r="O836">
        <f>IFERROR($J836/IF($A836&lt;COUNTIFS($K$1:O$1,"&lt;&gt;"),0,SUMIFS($J:$J,$B:$B,$B836,$A:$A,"&gt;="&amp;COUNTIFS($K$1:O$1,"&lt;&gt;"))),0)</f>
        <v>0</v>
      </c>
      <c r="P836">
        <f>IFERROR($J836/IF($A836&lt;COUNTIFS($K$1:P$1,"&lt;&gt;"),0,SUMIFS($J:$J,$B:$B,$B836,$A:$A,"&gt;="&amp;COUNTIFS($K$1:P$1,"&lt;&gt;"))),0)</f>
        <v>0</v>
      </c>
      <c r="Q836">
        <f>IFERROR($J836/IF($A836&lt;COUNTIFS($K$1:Q$1,"&lt;&gt;"),0,SUMIFS($J:$J,$B:$B,$B836,$A:$A,"&gt;="&amp;COUNTIFS($K$1:Q$1,"&lt;&gt;"))),0)</f>
        <v>0</v>
      </c>
      <c r="R836">
        <f>IFERROR($J836/IF($A836&lt;COUNTIFS($K$1:R$1,"&lt;&gt;"),0,SUMIFS($J:$J,$B:$B,$B836,$A:$A,"&gt;="&amp;COUNTIFS($K$1:R$1,"&lt;&gt;"))),0)</f>
        <v>0</v>
      </c>
      <c r="S836">
        <f>IFERROR($J836/IF($A836&lt;COUNTIFS($K$1:S$1,"&lt;&gt;"),0,SUMIFS($J:$J,$B:$B,$B836,$A:$A,"&gt;="&amp;COUNTIFS($K$1:S$1,"&lt;&gt;"))),0)</f>
        <v>0</v>
      </c>
      <c r="T836">
        <f>IFERROR($J836/IF($A836&lt;COUNTIFS($K$1:T$1,"&lt;&gt;"),0,SUMIFS($J:$J,$B:$B,$B836,$A:$A,"&gt;="&amp;COUNTIFS($K$1:T$1,"&lt;&gt;"))),0)</f>
        <v>0</v>
      </c>
      <c r="U836">
        <f>IFERROR($J836/IF($A836&lt;COUNTIFS($K$1:U$1,"&lt;&gt;"),0,SUMIFS($J:$J,$B:$B,$B836,$A:$A,"&gt;="&amp;COUNTIFS($K$1:U$1,"&lt;&gt;"))),0)</f>
        <v>0</v>
      </c>
      <c r="V836">
        <f>IFERROR($J836/IF($A836&lt;COUNTIFS($K$1:V$1,"&lt;&gt;"),0,SUMIFS($J:$J,$B:$B,$B836,$A:$A,"&gt;="&amp;COUNTIFS($K$1:V$1,"&lt;&gt;"))),0)</f>
        <v>0</v>
      </c>
      <c r="W836">
        <f t="shared" si="310"/>
        <v>8.4931506849315067E-2</v>
      </c>
      <c r="X836">
        <f t="shared" si="290"/>
        <v>8.4931506849315067E-2</v>
      </c>
      <c r="Y836">
        <f t="shared" si="291"/>
        <v>8.4931506849315067E-2</v>
      </c>
      <c r="Z836">
        <f t="shared" si="292"/>
        <v>0</v>
      </c>
      <c r="AA836">
        <f t="shared" si="293"/>
        <v>0</v>
      </c>
      <c r="AB836">
        <f t="shared" si="294"/>
        <v>0</v>
      </c>
      <c r="AC836">
        <f t="shared" si="295"/>
        <v>0</v>
      </c>
      <c r="AD836">
        <f t="shared" si="296"/>
        <v>0</v>
      </c>
      <c r="AE836">
        <f t="shared" si="297"/>
        <v>0</v>
      </c>
      <c r="AF836">
        <f t="shared" si="298"/>
        <v>0</v>
      </c>
      <c r="AG836">
        <f t="shared" si="299"/>
        <v>0</v>
      </c>
      <c r="AH836">
        <f t="shared" si="300"/>
        <v>0</v>
      </c>
      <c r="AI836">
        <f t="shared" si="301"/>
        <v>0</v>
      </c>
      <c r="AJ836" s="2" t="str">
        <f t="shared" si="311"/>
        <v>245778</v>
      </c>
    </row>
    <row r="837" spans="1:36" x14ac:dyDescent="0.25">
      <c r="A837">
        <v>3</v>
      </c>
      <c r="B837" s="1">
        <v>45778</v>
      </c>
      <c r="C837" s="1">
        <f t="shared" si="302"/>
        <v>45870</v>
      </c>
      <c r="D837" s="1">
        <f t="shared" si="303"/>
        <v>45792</v>
      </c>
      <c r="E837" s="1">
        <f t="shared" si="304"/>
        <v>45870</v>
      </c>
      <c r="F837" s="1">
        <f t="shared" si="305"/>
        <v>45901</v>
      </c>
      <c r="G837" s="1">
        <f t="shared" si="306"/>
        <v>46157</v>
      </c>
      <c r="H837">
        <f t="shared" si="307"/>
        <v>365</v>
      </c>
      <c r="I837">
        <f t="shared" si="308"/>
        <v>31</v>
      </c>
      <c r="J837">
        <f t="shared" si="309"/>
        <v>8.4931506849315067E-2</v>
      </c>
      <c r="K837">
        <f>IFERROR($J837/IF($A837&lt;COUNTIFS($K$1:K$1,"&lt;&gt;"),0,SUMIFS($J:$J,$B:$B,$B837,$A:$A,"&gt;="&amp;COUNTIFS($K$1:K$1,"&lt;&gt;"))),0)</f>
        <v>8.9080459770114959E-2</v>
      </c>
      <c r="L837">
        <f>IFERROR($J837/IF($A837&lt;COUNTIFS($K$1:L$1,"&lt;&gt;"),0,SUMIFS($J:$J,$B:$B,$B837,$A:$A,"&gt;="&amp;COUNTIFS($K$1:L$1,"&lt;&gt;"))),0)</f>
        <v>9.7484276729559768E-2</v>
      </c>
      <c r="M837">
        <f>IFERROR($J837/IF($A837&lt;COUNTIFS($K$1:M$1,"&lt;&gt;"),0,SUMIFS($J:$J,$B:$B,$B837,$A:$A,"&gt;="&amp;COUNTIFS($K$1:M$1,"&lt;&gt;"))),0)</f>
        <v>0.10801393728222998</v>
      </c>
      <c r="N837">
        <f>IFERROR($J837/IF($A837&lt;COUNTIFS($K$1:N$1,"&lt;&gt;"),0,SUMIFS($J:$J,$B:$B,$B837,$A:$A,"&gt;="&amp;COUNTIFS($K$1:N$1,"&lt;&gt;"))),0)</f>
        <v>0</v>
      </c>
      <c r="O837">
        <f>IFERROR($J837/IF($A837&lt;COUNTIFS($K$1:O$1,"&lt;&gt;"),0,SUMIFS($J:$J,$B:$B,$B837,$A:$A,"&gt;="&amp;COUNTIFS($K$1:O$1,"&lt;&gt;"))),0)</f>
        <v>0</v>
      </c>
      <c r="P837">
        <f>IFERROR($J837/IF($A837&lt;COUNTIFS($K$1:P$1,"&lt;&gt;"),0,SUMIFS($J:$J,$B:$B,$B837,$A:$A,"&gt;="&amp;COUNTIFS($K$1:P$1,"&lt;&gt;"))),0)</f>
        <v>0</v>
      </c>
      <c r="Q837">
        <f>IFERROR($J837/IF($A837&lt;COUNTIFS($K$1:Q$1,"&lt;&gt;"),0,SUMIFS($J:$J,$B:$B,$B837,$A:$A,"&gt;="&amp;COUNTIFS($K$1:Q$1,"&lt;&gt;"))),0)</f>
        <v>0</v>
      </c>
      <c r="R837">
        <f>IFERROR($J837/IF($A837&lt;COUNTIFS($K$1:R$1,"&lt;&gt;"),0,SUMIFS($J:$J,$B:$B,$B837,$A:$A,"&gt;="&amp;COUNTIFS($K$1:R$1,"&lt;&gt;"))),0)</f>
        <v>0</v>
      </c>
      <c r="S837">
        <f>IFERROR($J837/IF($A837&lt;COUNTIFS($K$1:S$1,"&lt;&gt;"),0,SUMIFS($J:$J,$B:$B,$B837,$A:$A,"&gt;="&amp;COUNTIFS($K$1:S$1,"&lt;&gt;"))),0)</f>
        <v>0</v>
      </c>
      <c r="T837">
        <f>IFERROR($J837/IF($A837&lt;COUNTIFS($K$1:T$1,"&lt;&gt;"),0,SUMIFS($J:$J,$B:$B,$B837,$A:$A,"&gt;="&amp;COUNTIFS($K$1:T$1,"&lt;&gt;"))),0)</f>
        <v>0</v>
      </c>
      <c r="U837">
        <f>IFERROR($J837/IF($A837&lt;COUNTIFS($K$1:U$1,"&lt;&gt;"),0,SUMIFS($J:$J,$B:$B,$B837,$A:$A,"&gt;="&amp;COUNTIFS($K$1:U$1,"&lt;&gt;"))),0)</f>
        <v>0</v>
      </c>
      <c r="V837">
        <f>IFERROR($J837/IF($A837&lt;COUNTIFS($K$1:V$1,"&lt;&gt;"),0,SUMIFS($J:$J,$B:$B,$B837,$A:$A,"&gt;="&amp;COUNTIFS($K$1:V$1,"&lt;&gt;"))),0)</f>
        <v>0</v>
      </c>
      <c r="W837">
        <f t="shared" si="310"/>
        <v>8.4931506849315067E-2</v>
      </c>
      <c r="X837">
        <f t="shared" si="290"/>
        <v>8.4931506849315067E-2</v>
      </c>
      <c r="Y837">
        <f t="shared" si="291"/>
        <v>8.4931506849315067E-2</v>
      </c>
      <c r="Z837">
        <f t="shared" si="292"/>
        <v>8.4931506849315067E-2</v>
      </c>
      <c r="AA837">
        <f t="shared" si="293"/>
        <v>0</v>
      </c>
      <c r="AB837">
        <f t="shared" si="294"/>
        <v>0</v>
      </c>
      <c r="AC837">
        <f t="shared" si="295"/>
        <v>0</v>
      </c>
      <c r="AD837">
        <f t="shared" si="296"/>
        <v>0</v>
      </c>
      <c r="AE837">
        <f t="shared" si="297"/>
        <v>0</v>
      </c>
      <c r="AF837">
        <f t="shared" si="298"/>
        <v>0</v>
      </c>
      <c r="AG837">
        <f t="shared" si="299"/>
        <v>0</v>
      </c>
      <c r="AH837">
        <f t="shared" si="300"/>
        <v>0</v>
      </c>
      <c r="AI837">
        <f t="shared" si="301"/>
        <v>0</v>
      </c>
      <c r="AJ837" s="2" t="str">
        <f t="shared" si="311"/>
        <v>345778</v>
      </c>
    </row>
    <row r="838" spans="1:36" x14ac:dyDescent="0.25">
      <c r="A838">
        <v>4</v>
      </c>
      <c r="B838" s="1">
        <v>45778</v>
      </c>
      <c r="C838" s="1">
        <f t="shared" si="302"/>
        <v>45901</v>
      </c>
      <c r="D838" s="1">
        <f t="shared" si="303"/>
        <v>45792</v>
      </c>
      <c r="E838" s="1">
        <f t="shared" si="304"/>
        <v>45901</v>
      </c>
      <c r="F838" s="1">
        <f t="shared" si="305"/>
        <v>45931</v>
      </c>
      <c r="G838" s="1">
        <f t="shared" si="306"/>
        <v>46157</v>
      </c>
      <c r="H838">
        <f t="shared" si="307"/>
        <v>365</v>
      </c>
      <c r="I838">
        <f t="shared" si="308"/>
        <v>30</v>
      </c>
      <c r="J838">
        <f t="shared" si="309"/>
        <v>8.2191780821917804E-2</v>
      </c>
      <c r="K838">
        <f>IFERROR($J838/IF($A838&lt;COUNTIFS($K$1:K$1,"&lt;&gt;"),0,SUMIFS($J:$J,$B:$B,$B838,$A:$A,"&gt;="&amp;COUNTIFS($K$1:K$1,"&lt;&gt;"))),0)</f>
        <v>8.6206896551724144E-2</v>
      </c>
      <c r="L838">
        <f>IFERROR($J838/IF($A838&lt;COUNTIFS($K$1:L$1,"&lt;&gt;"),0,SUMIFS($J:$J,$B:$B,$B838,$A:$A,"&gt;="&amp;COUNTIFS($K$1:L$1,"&lt;&gt;"))),0)</f>
        <v>9.4339622641509441E-2</v>
      </c>
      <c r="M838">
        <f>IFERROR($J838/IF($A838&lt;COUNTIFS($K$1:M$1,"&lt;&gt;"),0,SUMIFS($J:$J,$B:$B,$B838,$A:$A,"&gt;="&amp;COUNTIFS($K$1:M$1,"&lt;&gt;"))),0)</f>
        <v>0.10452961672473869</v>
      </c>
      <c r="N838">
        <f>IFERROR($J838/IF($A838&lt;COUNTIFS($K$1:N$1,"&lt;&gt;"),0,SUMIFS($J:$J,$B:$B,$B838,$A:$A,"&gt;="&amp;COUNTIFS($K$1:N$1,"&lt;&gt;"))),0)</f>
        <v>0.11718750000000001</v>
      </c>
      <c r="O838">
        <f>IFERROR($J838/IF($A838&lt;COUNTIFS($K$1:O$1,"&lt;&gt;"),0,SUMIFS($J:$J,$B:$B,$B838,$A:$A,"&gt;="&amp;COUNTIFS($K$1:O$1,"&lt;&gt;"))),0)</f>
        <v>0</v>
      </c>
      <c r="P838">
        <f>IFERROR($J838/IF($A838&lt;COUNTIFS($K$1:P$1,"&lt;&gt;"),0,SUMIFS($J:$J,$B:$B,$B838,$A:$A,"&gt;="&amp;COUNTIFS($K$1:P$1,"&lt;&gt;"))),0)</f>
        <v>0</v>
      </c>
      <c r="Q838">
        <f>IFERROR($J838/IF($A838&lt;COUNTIFS($K$1:Q$1,"&lt;&gt;"),0,SUMIFS($J:$J,$B:$B,$B838,$A:$A,"&gt;="&amp;COUNTIFS($K$1:Q$1,"&lt;&gt;"))),0)</f>
        <v>0</v>
      </c>
      <c r="R838">
        <f>IFERROR($J838/IF($A838&lt;COUNTIFS($K$1:R$1,"&lt;&gt;"),0,SUMIFS($J:$J,$B:$B,$B838,$A:$A,"&gt;="&amp;COUNTIFS($K$1:R$1,"&lt;&gt;"))),0)</f>
        <v>0</v>
      </c>
      <c r="S838">
        <f>IFERROR($J838/IF($A838&lt;COUNTIFS($K$1:S$1,"&lt;&gt;"),0,SUMIFS($J:$J,$B:$B,$B838,$A:$A,"&gt;="&amp;COUNTIFS($K$1:S$1,"&lt;&gt;"))),0)</f>
        <v>0</v>
      </c>
      <c r="T838">
        <f>IFERROR($J838/IF($A838&lt;COUNTIFS($K$1:T$1,"&lt;&gt;"),0,SUMIFS($J:$J,$B:$B,$B838,$A:$A,"&gt;="&amp;COUNTIFS($K$1:T$1,"&lt;&gt;"))),0)</f>
        <v>0</v>
      </c>
      <c r="U838">
        <f>IFERROR($J838/IF($A838&lt;COUNTIFS($K$1:U$1,"&lt;&gt;"),0,SUMIFS($J:$J,$B:$B,$B838,$A:$A,"&gt;="&amp;COUNTIFS($K$1:U$1,"&lt;&gt;"))),0)</f>
        <v>0</v>
      </c>
      <c r="V838">
        <f>IFERROR($J838/IF($A838&lt;COUNTIFS($K$1:V$1,"&lt;&gt;"),0,SUMIFS($J:$J,$B:$B,$B838,$A:$A,"&gt;="&amp;COUNTIFS($K$1:V$1,"&lt;&gt;"))),0)</f>
        <v>0</v>
      </c>
      <c r="W838">
        <f t="shared" si="310"/>
        <v>8.2191780821917804E-2</v>
      </c>
      <c r="X838">
        <f t="shared" si="290"/>
        <v>8.2191780821917804E-2</v>
      </c>
      <c r="Y838">
        <f t="shared" si="291"/>
        <v>8.2191780821917804E-2</v>
      </c>
      <c r="Z838">
        <f t="shared" si="292"/>
        <v>8.2191780821917804E-2</v>
      </c>
      <c r="AA838">
        <f t="shared" si="293"/>
        <v>8.2191780821917804E-2</v>
      </c>
      <c r="AB838">
        <f t="shared" si="294"/>
        <v>0</v>
      </c>
      <c r="AC838">
        <f t="shared" si="295"/>
        <v>0</v>
      </c>
      <c r="AD838">
        <f t="shared" si="296"/>
        <v>0</v>
      </c>
      <c r="AE838">
        <f t="shared" si="297"/>
        <v>0</v>
      </c>
      <c r="AF838">
        <f t="shared" si="298"/>
        <v>0</v>
      </c>
      <c r="AG838">
        <f t="shared" si="299"/>
        <v>0</v>
      </c>
      <c r="AH838">
        <f t="shared" si="300"/>
        <v>0</v>
      </c>
      <c r="AI838">
        <f t="shared" si="301"/>
        <v>0</v>
      </c>
      <c r="AJ838" s="2" t="str">
        <f t="shared" si="311"/>
        <v>445778</v>
      </c>
    </row>
    <row r="839" spans="1:36" x14ac:dyDescent="0.25">
      <c r="A839">
        <v>5</v>
      </c>
      <c r="B839" s="1">
        <v>45778</v>
      </c>
      <c r="C839" s="1">
        <f t="shared" si="302"/>
        <v>45931</v>
      </c>
      <c r="D839" s="1">
        <f t="shared" si="303"/>
        <v>45792</v>
      </c>
      <c r="E839" s="1">
        <f t="shared" si="304"/>
        <v>45931</v>
      </c>
      <c r="F839" s="1">
        <f t="shared" si="305"/>
        <v>45962</v>
      </c>
      <c r="G839" s="1">
        <f t="shared" si="306"/>
        <v>46157</v>
      </c>
      <c r="H839">
        <f t="shared" si="307"/>
        <v>365</v>
      </c>
      <c r="I839">
        <f t="shared" si="308"/>
        <v>31</v>
      </c>
      <c r="J839">
        <f t="shared" si="309"/>
        <v>8.4931506849315067E-2</v>
      </c>
      <c r="K839">
        <f>IFERROR($J839/IF($A839&lt;COUNTIFS($K$1:K$1,"&lt;&gt;"),0,SUMIFS($J:$J,$B:$B,$B839,$A:$A,"&gt;="&amp;COUNTIFS($K$1:K$1,"&lt;&gt;"))),0)</f>
        <v>8.9080459770114959E-2</v>
      </c>
      <c r="L839">
        <f>IFERROR($J839/IF($A839&lt;COUNTIFS($K$1:L$1,"&lt;&gt;"),0,SUMIFS($J:$J,$B:$B,$B839,$A:$A,"&gt;="&amp;COUNTIFS($K$1:L$1,"&lt;&gt;"))),0)</f>
        <v>9.7484276729559768E-2</v>
      </c>
      <c r="M839">
        <f>IFERROR($J839/IF($A839&lt;COUNTIFS($K$1:M$1,"&lt;&gt;"),0,SUMIFS($J:$J,$B:$B,$B839,$A:$A,"&gt;="&amp;COUNTIFS($K$1:M$1,"&lt;&gt;"))),0)</f>
        <v>0.10801393728222998</v>
      </c>
      <c r="N839">
        <f>IFERROR($J839/IF($A839&lt;COUNTIFS($K$1:N$1,"&lt;&gt;"),0,SUMIFS($J:$J,$B:$B,$B839,$A:$A,"&gt;="&amp;COUNTIFS($K$1:N$1,"&lt;&gt;"))),0)</f>
        <v>0.12109375000000001</v>
      </c>
      <c r="O839">
        <f>IFERROR($J839/IF($A839&lt;COUNTIFS($K$1:O$1,"&lt;&gt;"),0,SUMIFS($J:$J,$B:$B,$B839,$A:$A,"&gt;="&amp;COUNTIFS($K$1:O$1,"&lt;&gt;"))),0)</f>
        <v>0.13716814159292037</v>
      </c>
      <c r="P839">
        <f>IFERROR($J839/IF($A839&lt;COUNTIFS($K$1:P$1,"&lt;&gt;"),0,SUMIFS($J:$J,$B:$B,$B839,$A:$A,"&gt;="&amp;COUNTIFS($K$1:P$1,"&lt;&gt;"))),0)</f>
        <v>0</v>
      </c>
      <c r="Q839">
        <f>IFERROR($J839/IF($A839&lt;COUNTIFS($K$1:Q$1,"&lt;&gt;"),0,SUMIFS($J:$J,$B:$B,$B839,$A:$A,"&gt;="&amp;COUNTIFS($K$1:Q$1,"&lt;&gt;"))),0)</f>
        <v>0</v>
      </c>
      <c r="R839">
        <f>IFERROR($J839/IF($A839&lt;COUNTIFS($K$1:R$1,"&lt;&gt;"),0,SUMIFS($J:$J,$B:$B,$B839,$A:$A,"&gt;="&amp;COUNTIFS($K$1:R$1,"&lt;&gt;"))),0)</f>
        <v>0</v>
      </c>
      <c r="S839">
        <f>IFERROR($J839/IF($A839&lt;COUNTIFS($K$1:S$1,"&lt;&gt;"),0,SUMIFS($J:$J,$B:$B,$B839,$A:$A,"&gt;="&amp;COUNTIFS($K$1:S$1,"&lt;&gt;"))),0)</f>
        <v>0</v>
      </c>
      <c r="T839">
        <f>IFERROR($J839/IF($A839&lt;COUNTIFS($K$1:T$1,"&lt;&gt;"),0,SUMIFS($J:$J,$B:$B,$B839,$A:$A,"&gt;="&amp;COUNTIFS($K$1:T$1,"&lt;&gt;"))),0)</f>
        <v>0</v>
      </c>
      <c r="U839">
        <f>IFERROR($J839/IF($A839&lt;COUNTIFS($K$1:U$1,"&lt;&gt;"),0,SUMIFS($J:$J,$B:$B,$B839,$A:$A,"&gt;="&amp;COUNTIFS($K$1:U$1,"&lt;&gt;"))),0)</f>
        <v>0</v>
      </c>
      <c r="V839">
        <f>IFERROR($J839/IF($A839&lt;COUNTIFS($K$1:V$1,"&lt;&gt;"),0,SUMIFS($J:$J,$B:$B,$B839,$A:$A,"&gt;="&amp;COUNTIFS($K$1:V$1,"&lt;&gt;"))),0)</f>
        <v>0</v>
      </c>
      <c r="W839">
        <f t="shared" si="310"/>
        <v>8.4931506849315067E-2</v>
      </c>
      <c r="X839">
        <f t="shared" si="290"/>
        <v>8.4931506849315067E-2</v>
      </c>
      <c r="Y839">
        <f t="shared" si="291"/>
        <v>8.4931506849315067E-2</v>
      </c>
      <c r="Z839">
        <f t="shared" si="292"/>
        <v>8.4931506849315067E-2</v>
      </c>
      <c r="AA839">
        <f t="shared" si="293"/>
        <v>8.4931506849315067E-2</v>
      </c>
      <c r="AB839">
        <f t="shared" si="294"/>
        <v>8.4931506849315067E-2</v>
      </c>
      <c r="AC839">
        <f t="shared" si="295"/>
        <v>0</v>
      </c>
      <c r="AD839">
        <f t="shared" si="296"/>
        <v>0</v>
      </c>
      <c r="AE839">
        <f t="shared" si="297"/>
        <v>0</v>
      </c>
      <c r="AF839">
        <f t="shared" si="298"/>
        <v>0</v>
      </c>
      <c r="AG839">
        <f t="shared" si="299"/>
        <v>0</v>
      </c>
      <c r="AH839">
        <f t="shared" si="300"/>
        <v>0</v>
      </c>
      <c r="AI839">
        <f t="shared" si="301"/>
        <v>0</v>
      </c>
      <c r="AJ839" s="2" t="str">
        <f t="shared" si="311"/>
        <v>545778</v>
      </c>
    </row>
    <row r="840" spans="1:36" x14ac:dyDescent="0.25">
      <c r="A840">
        <v>6</v>
      </c>
      <c r="B840" s="1">
        <v>45778</v>
      </c>
      <c r="C840" s="1">
        <f t="shared" si="302"/>
        <v>45962</v>
      </c>
      <c r="D840" s="1">
        <f t="shared" si="303"/>
        <v>45792</v>
      </c>
      <c r="E840" s="1">
        <f t="shared" si="304"/>
        <v>45962</v>
      </c>
      <c r="F840" s="1">
        <f t="shared" si="305"/>
        <v>45992</v>
      </c>
      <c r="G840" s="1">
        <f t="shared" si="306"/>
        <v>46157</v>
      </c>
      <c r="H840">
        <f t="shared" si="307"/>
        <v>365</v>
      </c>
      <c r="I840">
        <f t="shared" si="308"/>
        <v>30</v>
      </c>
      <c r="J840">
        <f t="shared" si="309"/>
        <v>8.2191780821917804E-2</v>
      </c>
      <c r="K840">
        <f>IFERROR($J840/IF($A840&lt;COUNTIFS($K$1:K$1,"&lt;&gt;"),0,SUMIFS($J:$J,$B:$B,$B840,$A:$A,"&gt;="&amp;COUNTIFS($K$1:K$1,"&lt;&gt;"))),0)</f>
        <v>8.6206896551724144E-2</v>
      </c>
      <c r="L840">
        <f>IFERROR($J840/IF($A840&lt;COUNTIFS($K$1:L$1,"&lt;&gt;"),0,SUMIFS($J:$J,$B:$B,$B840,$A:$A,"&gt;="&amp;COUNTIFS($K$1:L$1,"&lt;&gt;"))),0)</f>
        <v>9.4339622641509441E-2</v>
      </c>
      <c r="M840">
        <f>IFERROR($J840/IF($A840&lt;COUNTIFS($K$1:M$1,"&lt;&gt;"),0,SUMIFS($J:$J,$B:$B,$B840,$A:$A,"&gt;="&amp;COUNTIFS($K$1:M$1,"&lt;&gt;"))),0)</f>
        <v>0.10452961672473869</v>
      </c>
      <c r="N840">
        <f>IFERROR($J840/IF($A840&lt;COUNTIFS($K$1:N$1,"&lt;&gt;"),0,SUMIFS($J:$J,$B:$B,$B840,$A:$A,"&gt;="&amp;COUNTIFS($K$1:N$1,"&lt;&gt;"))),0)</f>
        <v>0.11718750000000001</v>
      </c>
      <c r="O840">
        <f>IFERROR($J840/IF($A840&lt;COUNTIFS($K$1:O$1,"&lt;&gt;"),0,SUMIFS($J:$J,$B:$B,$B840,$A:$A,"&gt;="&amp;COUNTIFS($K$1:O$1,"&lt;&gt;"))),0)</f>
        <v>0.13274336283185842</v>
      </c>
      <c r="P840">
        <f>IFERROR($J840/IF($A840&lt;COUNTIFS($K$1:P$1,"&lt;&gt;"),0,SUMIFS($J:$J,$B:$B,$B840,$A:$A,"&gt;="&amp;COUNTIFS($K$1:P$1,"&lt;&gt;"))),0)</f>
        <v>0.15384615384615385</v>
      </c>
      <c r="Q840">
        <f>IFERROR($J840/IF($A840&lt;COUNTIFS($K$1:Q$1,"&lt;&gt;"),0,SUMIFS($J:$J,$B:$B,$B840,$A:$A,"&gt;="&amp;COUNTIFS($K$1:Q$1,"&lt;&gt;"))),0)</f>
        <v>0</v>
      </c>
      <c r="R840">
        <f>IFERROR($J840/IF($A840&lt;COUNTIFS($K$1:R$1,"&lt;&gt;"),0,SUMIFS($J:$J,$B:$B,$B840,$A:$A,"&gt;="&amp;COUNTIFS($K$1:R$1,"&lt;&gt;"))),0)</f>
        <v>0</v>
      </c>
      <c r="S840">
        <f>IFERROR($J840/IF($A840&lt;COUNTIFS($K$1:S$1,"&lt;&gt;"),0,SUMIFS($J:$J,$B:$B,$B840,$A:$A,"&gt;="&amp;COUNTIFS($K$1:S$1,"&lt;&gt;"))),0)</f>
        <v>0</v>
      </c>
      <c r="T840">
        <f>IFERROR($J840/IF($A840&lt;COUNTIFS($K$1:T$1,"&lt;&gt;"),0,SUMIFS($J:$J,$B:$B,$B840,$A:$A,"&gt;="&amp;COUNTIFS($K$1:T$1,"&lt;&gt;"))),0)</f>
        <v>0</v>
      </c>
      <c r="U840">
        <f>IFERROR($J840/IF($A840&lt;COUNTIFS($K$1:U$1,"&lt;&gt;"),0,SUMIFS($J:$J,$B:$B,$B840,$A:$A,"&gt;="&amp;COUNTIFS($K$1:U$1,"&lt;&gt;"))),0)</f>
        <v>0</v>
      </c>
      <c r="V840">
        <f>IFERROR($J840/IF($A840&lt;COUNTIFS($K$1:V$1,"&lt;&gt;"),0,SUMIFS($J:$J,$B:$B,$B840,$A:$A,"&gt;="&amp;COUNTIFS($K$1:V$1,"&lt;&gt;"))),0)</f>
        <v>0</v>
      </c>
      <c r="W840">
        <f t="shared" si="310"/>
        <v>8.2191780821917804E-2</v>
      </c>
      <c r="X840">
        <f t="shared" si="290"/>
        <v>8.2191780821917804E-2</v>
      </c>
      <c r="Y840">
        <f t="shared" si="291"/>
        <v>8.2191780821917804E-2</v>
      </c>
      <c r="Z840">
        <f t="shared" si="292"/>
        <v>8.2191780821917804E-2</v>
      </c>
      <c r="AA840">
        <f t="shared" si="293"/>
        <v>8.2191780821917804E-2</v>
      </c>
      <c r="AB840">
        <f t="shared" si="294"/>
        <v>8.2191780821917804E-2</v>
      </c>
      <c r="AC840">
        <f t="shared" si="295"/>
        <v>8.2191780821917804E-2</v>
      </c>
      <c r="AD840">
        <f t="shared" si="296"/>
        <v>0</v>
      </c>
      <c r="AE840">
        <f t="shared" si="297"/>
        <v>0</v>
      </c>
      <c r="AF840">
        <f t="shared" si="298"/>
        <v>0</v>
      </c>
      <c r="AG840">
        <f t="shared" si="299"/>
        <v>0</v>
      </c>
      <c r="AH840">
        <f t="shared" si="300"/>
        <v>0</v>
      </c>
      <c r="AI840">
        <f t="shared" si="301"/>
        <v>0</v>
      </c>
      <c r="AJ840" s="2" t="str">
        <f t="shared" si="311"/>
        <v>645778</v>
      </c>
    </row>
    <row r="841" spans="1:36" x14ac:dyDescent="0.25">
      <c r="A841">
        <v>7</v>
      </c>
      <c r="B841" s="1">
        <v>45778</v>
      </c>
      <c r="C841" s="1">
        <f t="shared" si="302"/>
        <v>45992</v>
      </c>
      <c r="D841" s="1">
        <f t="shared" si="303"/>
        <v>45792</v>
      </c>
      <c r="E841" s="1">
        <f t="shared" si="304"/>
        <v>45992</v>
      </c>
      <c r="F841" s="1">
        <f t="shared" si="305"/>
        <v>46023</v>
      </c>
      <c r="G841" s="1">
        <f t="shared" si="306"/>
        <v>46157</v>
      </c>
      <c r="H841">
        <f t="shared" si="307"/>
        <v>365</v>
      </c>
      <c r="I841">
        <f t="shared" si="308"/>
        <v>31</v>
      </c>
      <c r="J841">
        <f t="shared" si="309"/>
        <v>8.4931506849315067E-2</v>
      </c>
      <c r="K841">
        <f>IFERROR($J841/IF($A841&lt;COUNTIFS($K$1:K$1,"&lt;&gt;"),0,SUMIFS($J:$J,$B:$B,$B841,$A:$A,"&gt;="&amp;COUNTIFS($K$1:K$1,"&lt;&gt;"))),0)</f>
        <v>8.9080459770114959E-2</v>
      </c>
      <c r="L841">
        <f>IFERROR($J841/IF($A841&lt;COUNTIFS($K$1:L$1,"&lt;&gt;"),0,SUMIFS($J:$J,$B:$B,$B841,$A:$A,"&gt;="&amp;COUNTIFS($K$1:L$1,"&lt;&gt;"))),0)</f>
        <v>9.7484276729559768E-2</v>
      </c>
      <c r="M841">
        <f>IFERROR($J841/IF($A841&lt;COUNTIFS($K$1:M$1,"&lt;&gt;"),0,SUMIFS($J:$J,$B:$B,$B841,$A:$A,"&gt;="&amp;COUNTIFS($K$1:M$1,"&lt;&gt;"))),0)</f>
        <v>0.10801393728222998</v>
      </c>
      <c r="N841">
        <f>IFERROR($J841/IF($A841&lt;COUNTIFS($K$1:N$1,"&lt;&gt;"),0,SUMIFS($J:$J,$B:$B,$B841,$A:$A,"&gt;="&amp;COUNTIFS($K$1:N$1,"&lt;&gt;"))),0)</f>
        <v>0.12109375000000001</v>
      </c>
      <c r="O841">
        <f>IFERROR($J841/IF($A841&lt;COUNTIFS($K$1:O$1,"&lt;&gt;"),0,SUMIFS($J:$J,$B:$B,$B841,$A:$A,"&gt;="&amp;COUNTIFS($K$1:O$1,"&lt;&gt;"))),0)</f>
        <v>0.13716814159292037</v>
      </c>
      <c r="P841">
        <f>IFERROR($J841/IF($A841&lt;COUNTIFS($K$1:P$1,"&lt;&gt;"),0,SUMIFS($J:$J,$B:$B,$B841,$A:$A,"&gt;="&amp;COUNTIFS($K$1:P$1,"&lt;&gt;"))),0)</f>
        <v>0.15897435897435899</v>
      </c>
      <c r="Q841">
        <f>IFERROR($J841/IF($A841&lt;COUNTIFS($K$1:Q$1,"&lt;&gt;"),0,SUMIFS($J:$J,$B:$B,$B841,$A:$A,"&gt;="&amp;COUNTIFS($K$1:Q$1,"&lt;&gt;"))),0)</f>
        <v>0.1878787878787879</v>
      </c>
      <c r="R841">
        <f>IFERROR($J841/IF($A841&lt;COUNTIFS($K$1:R$1,"&lt;&gt;"),0,SUMIFS($J:$J,$B:$B,$B841,$A:$A,"&gt;="&amp;COUNTIFS($K$1:R$1,"&lt;&gt;"))),0)</f>
        <v>0</v>
      </c>
      <c r="S841">
        <f>IFERROR($J841/IF($A841&lt;COUNTIFS($K$1:S$1,"&lt;&gt;"),0,SUMIFS($J:$J,$B:$B,$B841,$A:$A,"&gt;="&amp;COUNTIFS($K$1:S$1,"&lt;&gt;"))),0)</f>
        <v>0</v>
      </c>
      <c r="T841">
        <f>IFERROR($J841/IF($A841&lt;COUNTIFS($K$1:T$1,"&lt;&gt;"),0,SUMIFS($J:$J,$B:$B,$B841,$A:$A,"&gt;="&amp;COUNTIFS($K$1:T$1,"&lt;&gt;"))),0)</f>
        <v>0</v>
      </c>
      <c r="U841">
        <f>IFERROR($J841/IF($A841&lt;COUNTIFS($K$1:U$1,"&lt;&gt;"),0,SUMIFS($J:$J,$B:$B,$B841,$A:$A,"&gt;="&amp;COUNTIFS($K$1:U$1,"&lt;&gt;"))),0)</f>
        <v>0</v>
      </c>
      <c r="V841">
        <f>IFERROR($J841/IF($A841&lt;COUNTIFS($K$1:V$1,"&lt;&gt;"),0,SUMIFS($J:$J,$B:$B,$B841,$A:$A,"&gt;="&amp;COUNTIFS($K$1:V$1,"&lt;&gt;"))),0)</f>
        <v>0</v>
      </c>
      <c r="W841">
        <f t="shared" si="310"/>
        <v>8.4931506849315067E-2</v>
      </c>
      <c r="X841">
        <f t="shared" si="290"/>
        <v>8.4931506849315067E-2</v>
      </c>
      <c r="Y841">
        <f t="shared" si="291"/>
        <v>8.4931506849315067E-2</v>
      </c>
      <c r="Z841">
        <f t="shared" si="292"/>
        <v>8.4931506849315067E-2</v>
      </c>
      <c r="AA841">
        <f t="shared" si="293"/>
        <v>8.4931506849315067E-2</v>
      </c>
      <c r="AB841">
        <f t="shared" si="294"/>
        <v>8.4931506849315067E-2</v>
      </c>
      <c r="AC841">
        <f t="shared" si="295"/>
        <v>8.4931506849315067E-2</v>
      </c>
      <c r="AD841">
        <f t="shared" si="296"/>
        <v>8.4931506849315067E-2</v>
      </c>
      <c r="AE841">
        <f t="shared" si="297"/>
        <v>0</v>
      </c>
      <c r="AF841">
        <f t="shared" si="298"/>
        <v>0</v>
      </c>
      <c r="AG841">
        <f t="shared" si="299"/>
        <v>0</v>
      </c>
      <c r="AH841">
        <f t="shared" si="300"/>
        <v>0</v>
      </c>
      <c r="AI841">
        <f t="shared" si="301"/>
        <v>0</v>
      </c>
      <c r="AJ841" s="2" t="str">
        <f t="shared" si="311"/>
        <v>745778</v>
      </c>
    </row>
    <row r="842" spans="1:36" x14ac:dyDescent="0.25">
      <c r="A842">
        <v>8</v>
      </c>
      <c r="B842" s="1">
        <v>45778</v>
      </c>
      <c r="C842" s="1">
        <f t="shared" si="302"/>
        <v>46023</v>
      </c>
      <c r="D842" s="1">
        <f t="shared" si="303"/>
        <v>45792</v>
      </c>
      <c r="E842" s="1">
        <f t="shared" si="304"/>
        <v>46023</v>
      </c>
      <c r="F842" s="1">
        <f t="shared" si="305"/>
        <v>46054</v>
      </c>
      <c r="G842" s="1">
        <f t="shared" si="306"/>
        <v>46157</v>
      </c>
      <c r="H842">
        <f t="shared" si="307"/>
        <v>365</v>
      </c>
      <c r="I842">
        <f t="shared" si="308"/>
        <v>31</v>
      </c>
      <c r="J842">
        <f t="shared" si="309"/>
        <v>8.4931506849315067E-2</v>
      </c>
      <c r="K842">
        <f>IFERROR($J842/IF($A842&lt;COUNTIFS($K$1:K$1,"&lt;&gt;"),0,SUMIFS($J:$J,$B:$B,$B842,$A:$A,"&gt;="&amp;COUNTIFS($K$1:K$1,"&lt;&gt;"))),0)</f>
        <v>8.9080459770114959E-2</v>
      </c>
      <c r="L842">
        <f>IFERROR($J842/IF($A842&lt;COUNTIFS($K$1:L$1,"&lt;&gt;"),0,SUMIFS($J:$J,$B:$B,$B842,$A:$A,"&gt;="&amp;COUNTIFS($K$1:L$1,"&lt;&gt;"))),0)</f>
        <v>9.7484276729559768E-2</v>
      </c>
      <c r="M842">
        <f>IFERROR($J842/IF($A842&lt;COUNTIFS($K$1:M$1,"&lt;&gt;"),0,SUMIFS($J:$J,$B:$B,$B842,$A:$A,"&gt;="&amp;COUNTIFS($K$1:M$1,"&lt;&gt;"))),0)</f>
        <v>0.10801393728222998</v>
      </c>
      <c r="N842">
        <f>IFERROR($J842/IF($A842&lt;COUNTIFS($K$1:N$1,"&lt;&gt;"),0,SUMIFS($J:$J,$B:$B,$B842,$A:$A,"&gt;="&amp;COUNTIFS($K$1:N$1,"&lt;&gt;"))),0)</f>
        <v>0.12109375000000001</v>
      </c>
      <c r="O842">
        <f>IFERROR($J842/IF($A842&lt;COUNTIFS($K$1:O$1,"&lt;&gt;"),0,SUMIFS($J:$J,$B:$B,$B842,$A:$A,"&gt;="&amp;COUNTIFS($K$1:O$1,"&lt;&gt;"))),0)</f>
        <v>0.13716814159292037</v>
      </c>
      <c r="P842">
        <f>IFERROR($J842/IF($A842&lt;COUNTIFS($K$1:P$1,"&lt;&gt;"),0,SUMIFS($J:$J,$B:$B,$B842,$A:$A,"&gt;="&amp;COUNTIFS($K$1:P$1,"&lt;&gt;"))),0)</f>
        <v>0.15897435897435899</v>
      </c>
      <c r="Q842">
        <f>IFERROR($J842/IF($A842&lt;COUNTIFS($K$1:Q$1,"&lt;&gt;"),0,SUMIFS($J:$J,$B:$B,$B842,$A:$A,"&gt;="&amp;COUNTIFS($K$1:Q$1,"&lt;&gt;"))),0)</f>
        <v>0.1878787878787879</v>
      </c>
      <c r="R842">
        <f>IFERROR($J842/IF($A842&lt;COUNTIFS($K$1:R$1,"&lt;&gt;"),0,SUMIFS($J:$J,$B:$B,$B842,$A:$A,"&gt;="&amp;COUNTIFS($K$1:R$1,"&lt;&gt;"))),0)</f>
        <v>0.23134328358208955</v>
      </c>
      <c r="S842">
        <f>IFERROR($J842/IF($A842&lt;COUNTIFS($K$1:S$1,"&lt;&gt;"),0,SUMIFS($J:$J,$B:$B,$B842,$A:$A,"&gt;="&amp;COUNTIFS($K$1:S$1,"&lt;&gt;"))),0)</f>
        <v>0</v>
      </c>
      <c r="T842">
        <f>IFERROR($J842/IF($A842&lt;COUNTIFS($K$1:T$1,"&lt;&gt;"),0,SUMIFS($J:$J,$B:$B,$B842,$A:$A,"&gt;="&amp;COUNTIFS($K$1:T$1,"&lt;&gt;"))),0)</f>
        <v>0</v>
      </c>
      <c r="U842">
        <f>IFERROR($J842/IF($A842&lt;COUNTIFS($K$1:U$1,"&lt;&gt;"),0,SUMIFS($J:$J,$B:$B,$B842,$A:$A,"&gt;="&amp;COUNTIFS($K$1:U$1,"&lt;&gt;"))),0)</f>
        <v>0</v>
      </c>
      <c r="V842">
        <f>IFERROR($J842/IF($A842&lt;COUNTIFS($K$1:V$1,"&lt;&gt;"),0,SUMIFS($J:$J,$B:$B,$B842,$A:$A,"&gt;="&amp;COUNTIFS($K$1:V$1,"&lt;&gt;"))),0)</f>
        <v>0</v>
      </c>
      <c r="W842">
        <f t="shared" si="310"/>
        <v>8.4931506849315067E-2</v>
      </c>
      <c r="X842">
        <f t="shared" si="290"/>
        <v>8.4931506849315067E-2</v>
      </c>
      <c r="Y842">
        <f t="shared" si="291"/>
        <v>8.4931506849315067E-2</v>
      </c>
      <c r="Z842">
        <f t="shared" si="292"/>
        <v>8.4931506849315067E-2</v>
      </c>
      <c r="AA842">
        <f t="shared" si="293"/>
        <v>8.4931506849315067E-2</v>
      </c>
      <c r="AB842">
        <f t="shared" si="294"/>
        <v>8.4931506849315067E-2</v>
      </c>
      <c r="AC842">
        <f t="shared" si="295"/>
        <v>8.4931506849315067E-2</v>
      </c>
      <c r="AD842">
        <f t="shared" si="296"/>
        <v>8.4931506849315067E-2</v>
      </c>
      <c r="AE842">
        <f t="shared" si="297"/>
        <v>8.4931506849315067E-2</v>
      </c>
      <c r="AF842">
        <f t="shared" si="298"/>
        <v>0</v>
      </c>
      <c r="AG842">
        <f t="shared" si="299"/>
        <v>0</v>
      </c>
      <c r="AH842">
        <f t="shared" si="300"/>
        <v>0</v>
      </c>
      <c r="AI842">
        <f t="shared" si="301"/>
        <v>0</v>
      </c>
      <c r="AJ842" s="2" t="str">
        <f t="shared" si="311"/>
        <v>845778</v>
      </c>
    </row>
    <row r="843" spans="1:36" x14ac:dyDescent="0.25">
      <c r="A843">
        <v>9</v>
      </c>
      <c r="B843" s="1">
        <v>45778</v>
      </c>
      <c r="C843" s="1">
        <f t="shared" si="302"/>
        <v>46054</v>
      </c>
      <c r="D843" s="1">
        <f t="shared" si="303"/>
        <v>45792</v>
      </c>
      <c r="E843" s="1">
        <f t="shared" si="304"/>
        <v>46054</v>
      </c>
      <c r="F843" s="1">
        <f t="shared" si="305"/>
        <v>46082</v>
      </c>
      <c r="G843" s="1">
        <f t="shared" si="306"/>
        <v>46157</v>
      </c>
      <c r="H843">
        <f t="shared" si="307"/>
        <v>365</v>
      </c>
      <c r="I843">
        <f t="shared" si="308"/>
        <v>28</v>
      </c>
      <c r="J843">
        <f t="shared" si="309"/>
        <v>7.6712328767123292E-2</v>
      </c>
      <c r="K843">
        <f>IFERROR($J843/IF($A843&lt;COUNTIFS($K$1:K$1,"&lt;&gt;"),0,SUMIFS($J:$J,$B:$B,$B843,$A:$A,"&gt;="&amp;COUNTIFS($K$1:K$1,"&lt;&gt;"))),0)</f>
        <v>8.0459770114942541E-2</v>
      </c>
      <c r="L843">
        <f>IFERROR($J843/IF($A843&lt;COUNTIFS($K$1:L$1,"&lt;&gt;"),0,SUMIFS($J:$J,$B:$B,$B843,$A:$A,"&gt;="&amp;COUNTIFS($K$1:L$1,"&lt;&gt;"))),0)</f>
        <v>8.8050314465408827E-2</v>
      </c>
      <c r="M843">
        <f>IFERROR($J843/IF($A843&lt;COUNTIFS($K$1:M$1,"&lt;&gt;"),0,SUMIFS($J:$J,$B:$B,$B843,$A:$A,"&gt;="&amp;COUNTIFS($K$1:M$1,"&lt;&gt;"))),0)</f>
        <v>9.7560975609756115E-2</v>
      </c>
      <c r="N843">
        <f>IFERROR($J843/IF($A843&lt;COUNTIFS($K$1:N$1,"&lt;&gt;"),0,SUMIFS($J:$J,$B:$B,$B843,$A:$A,"&gt;="&amp;COUNTIFS($K$1:N$1,"&lt;&gt;"))),0)</f>
        <v>0.10937500000000003</v>
      </c>
      <c r="O843">
        <f>IFERROR($J843/IF($A843&lt;COUNTIFS($K$1:O$1,"&lt;&gt;"),0,SUMIFS($J:$J,$B:$B,$B843,$A:$A,"&gt;="&amp;COUNTIFS($K$1:O$1,"&lt;&gt;"))),0)</f>
        <v>0.12389380530973454</v>
      </c>
      <c r="P843">
        <f>IFERROR($J843/IF($A843&lt;COUNTIFS($K$1:P$1,"&lt;&gt;"),0,SUMIFS($J:$J,$B:$B,$B843,$A:$A,"&gt;="&amp;COUNTIFS($K$1:P$1,"&lt;&gt;"))),0)</f>
        <v>0.14358974358974361</v>
      </c>
      <c r="Q843">
        <f>IFERROR($J843/IF($A843&lt;COUNTIFS($K$1:Q$1,"&lt;&gt;"),0,SUMIFS($J:$J,$B:$B,$B843,$A:$A,"&gt;="&amp;COUNTIFS($K$1:Q$1,"&lt;&gt;"))),0)</f>
        <v>0.16969696969696971</v>
      </c>
      <c r="R843">
        <f>IFERROR($J843/IF($A843&lt;COUNTIFS($K$1:R$1,"&lt;&gt;"),0,SUMIFS($J:$J,$B:$B,$B843,$A:$A,"&gt;="&amp;COUNTIFS($K$1:R$1,"&lt;&gt;"))),0)</f>
        <v>0.20895522388059704</v>
      </c>
      <c r="S843">
        <f>IFERROR($J843/IF($A843&lt;COUNTIFS($K$1:S$1,"&lt;&gt;"),0,SUMIFS($J:$J,$B:$B,$B843,$A:$A,"&gt;="&amp;COUNTIFS($K$1:S$1,"&lt;&gt;"))),0)</f>
        <v>0.27184466019417475</v>
      </c>
      <c r="T843">
        <f>IFERROR($J843/IF($A843&lt;COUNTIFS($K$1:T$1,"&lt;&gt;"),0,SUMIFS($J:$J,$B:$B,$B843,$A:$A,"&gt;="&amp;COUNTIFS($K$1:T$1,"&lt;&gt;"))),0)</f>
        <v>0</v>
      </c>
      <c r="U843">
        <f>IFERROR($J843/IF($A843&lt;COUNTIFS($K$1:U$1,"&lt;&gt;"),0,SUMIFS($J:$J,$B:$B,$B843,$A:$A,"&gt;="&amp;COUNTIFS($K$1:U$1,"&lt;&gt;"))),0)</f>
        <v>0</v>
      </c>
      <c r="V843">
        <f>IFERROR($J843/IF($A843&lt;COUNTIFS($K$1:V$1,"&lt;&gt;"),0,SUMIFS($J:$J,$B:$B,$B843,$A:$A,"&gt;="&amp;COUNTIFS($K$1:V$1,"&lt;&gt;"))),0)</f>
        <v>0</v>
      </c>
      <c r="W843">
        <f t="shared" si="310"/>
        <v>7.6712328767123292E-2</v>
      </c>
      <c r="X843">
        <f t="shared" si="290"/>
        <v>7.6712328767123292E-2</v>
      </c>
      <c r="Y843">
        <f t="shared" si="291"/>
        <v>7.6712328767123292E-2</v>
      </c>
      <c r="Z843">
        <f t="shared" si="292"/>
        <v>7.6712328767123292E-2</v>
      </c>
      <c r="AA843">
        <f t="shared" si="293"/>
        <v>7.6712328767123292E-2</v>
      </c>
      <c r="AB843">
        <f t="shared" si="294"/>
        <v>7.6712328767123292E-2</v>
      </c>
      <c r="AC843">
        <f t="shared" si="295"/>
        <v>7.6712328767123292E-2</v>
      </c>
      <c r="AD843">
        <f t="shared" si="296"/>
        <v>7.6712328767123292E-2</v>
      </c>
      <c r="AE843">
        <f t="shared" si="297"/>
        <v>7.6712328767123292E-2</v>
      </c>
      <c r="AF843">
        <f t="shared" si="298"/>
        <v>7.6712328767123292E-2</v>
      </c>
      <c r="AG843">
        <f t="shared" si="299"/>
        <v>0</v>
      </c>
      <c r="AH843">
        <f t="shared" si="300"/>
        <v>0</v>
      </c>
      <c r="AI843">
        <f t="shared" si="301"/>
        <v>0</v>
      </c>
      <c r="AJ843" s="2" t="str">
        <f t="shared" si="311"/>
        <v>945778</v>
      </c>
    </row>
    <row r="844" spans="1:36" x14ac:dyDescent="0.25">
      <c r="A844">
        <v>10</v>
      </c>
      <c r="B844" s="1">
        <v>45778</v>
      </c>
      <c r="C844" s="1">
        <f t="shared" si="302"/>
        <v>46082</v>
      </c>
      <c r="D844" s="1">
        <f t="shared" si="303"/>
        <v>45792</v>
      </c>
      <c r="E844" s="1">
        <f t="shared" si="304"/>
        <v>46082</v>
      </c>
      <c r="F844" s="1">
        <f t="shared" si="305"/>
        <v>46113</v>
      </c>
      <c r="G844" s="1">
        <f t="shared" si="306"/>
        <v>46157</v>
      </c>
      <c r="H844">
        <f t="shared" si="307"/>
        <v>365</v>
      </c>
      <c r="I844">
        <f t="shared" si="308"/>
        <v>31</v>
      </c>
      <c r="J844">
        <f t="shared" si="309"/>
        <v>8.4931506849315067E-2</v>
      </c>
      <c r="K844">
        <f>IFERROR($J844/IF($A844&lt;COUNTIFS($K$1:K$1,"&lt;&gt;"),0,SUMIFS($J:$J,$B:$B,$B844,$A:$A,"&gt;="&amp;COUNTIFS($K$1:K$1,"&lt;&gt;"))),0)</f>
        <v>8.9080459770114959E-2</v>
      </c>
      <c r="L844">
        <f>IFERROR($J844/IF($A844&lt;COUNTIFS($K$1:L$1,"&lt;&gt;"),0,SUMIFS($J:$J,$B:$B,$B844,$A:$A,"&gt;="&amp;COUNTIFS($K$1:L$1,"&lt;&gt;"))),0)</f>
        <v>9.7484276729559768E-2</v>
      </c>
      <c r="M844">
        <f>IFERROR($J844/IF($A844&lt;COUNTIFS($K$1:M$1,"&lt;&gt;"),0,SUMIFS($J:$J,$B:$B,$B844,$A:$A,"&gt;="&amp;COUNTIFS($K$1:M$1,"&lt;&gt;"))),0)</f>
        <v>0.10801393728222998</v>
      </c>
      <c r="N844">
        <f>IFERROR($J844/IF($A844&lt;COUNTIFS($K$1:N$1,"&lt;&gt;"),0,SUMIFS($J:$J,$B:$B,$B844,$A:$A,"&gt;="&amp;COUNTIFS($K$1:N$1,"&lt;&gt;"))),0)</f>
        <v>0.12109375000000001</v>
      </c>
      <c r="O844">
        <f>IFERROR($J844/IF($A844&lt;COUNTIFS($K$1:O$1,"&lt;&gt;"),0,SUMIFS($J:$J,$B:$B,$B844,$A:$A,"&gt;="&amp;COUNTIFS($K$1:O$1,"&lt;&gt;"))),0)</f>
        <v>0.13716814159292037</v>
      </c>
      <c r="P844">
        <f>IFERROR($J844/IF($A844&lt;COUNTIFS($K$1:P$1,"&lt;&gt;"),0,SUMIFS($J:$J,$B:$B,$B844,$A:$A,"&gt;="&amp;COUNTIFS($K$1:P$1,"&lt;&gt;"))),0)</f>
        <v>0.15897435897435899</v>
      </c>
      <c r="Q844">
        <f>IFERROR($J844/IF($A844&lt;COUNTIFS($K$1:Q$1,"&lt;&gt;"),0,SUMIFS($J:$J,$B:$B,$B844,$A:$A,"&gt;="&amp;COUNTIFS($K$1:Q$1,"&lt;&gt;"))),0)</f>
        <v>0.1878787878787879</v>
      </c>
      <c r="R844">
        <f>IFERROR($J844/IF($A844&lt;COUNTIFS($K$1:R$1,"&lt;&gt;"),0,SUMIFS($J:$J,$B:$B,$B844,$A:$A,"&gt;="&amp;COUNTIFS($K$1:R$1,"&lt;&gt;"))),0)</f>
        <v>0.23134328358208955</v>
      </c>
      <c r="S844">
        <f>IFERROR($J844/IF($A844&lt;COUNTIFS($K$1:S$1,"&lt;&gt;"),0,SUMIFS($J:$J,$B:$B,$B844,$A:$A,"&gt;="&amp;COUNTIFS($K$1:S$1,"&lt;&gt;"))),0)</f>
        <v>0.30097087378640774</v>
      </c>
      <c r="T844">
        <f>IFERROR($J844/IF($A844&lt;COUNTIFS($K$1:T$1,"&lt;&gt;"),0,SUMIFS($J:$J,$B:$B,$B844,$A:$A,"&gt;="&amp;COUNTIFS($K$1:T$1,"&lt;&gt;"))),0)</f>
        <v>0.41333333333333333</v>
      </c>
      <c r="U844">
        <f>IFERROR($J844/IF($A844&lt;COUNTIFS($K$1:U$1,"&lt;&gt;"),0,SUMIFS($J:$J,$B:$B,$B844,$A:$A,"&gt;="&amp;COUNTIFS($K$1:U$1,"&lt;&gt;"))),0)</f>
        <v>0</v>
      </c>
      <c r="V844">
        <f>IFERROR($J844/IF($A844&lt;COUNTIFS($K$1:V$1,"&lt;&gt;"),0,SUMIFS($J:$J,$B:$B,$B844,$A:$A,"&gt;="&amp;COUNTIFS($K$1:V$1,"&lt;&gt;"))),0)</f>
        <v>0</v>
      </c>
      <c r="W844">
        <f t="shared" si="310"/>
        <v>8.4931506849315067E-2</v>
      </c>
      <c r="X844">
        <f t="shared" si="290"/>
        <v>8.4931506849315067E-2</v>
      </c>
      <c r="Y844">
        <f t="shared" si="291"/>
        <v>8.4931506849315067E-2</v>
      </c>
      <c r="Z844">
        <f t="shared" si="292"/>
        <v>8.4931506849315067E-2</v>
      </c>
      <c r="AA844">
        <f t="shared" si="293"/>
        <v>8.4931506849315067E-2</v>
      </c>
      <c r="AB844">
        <f t="shared" si="294"/>
        <v>8.4931506849315067E-2</v>
      </c>
      <c r="AC844">
        <f t="shared" si="295"/>
        <v>8.4931506849315067E-2</v>
      </c>
      <c r="AD844">
        <f t="shared" si="296"/>
        <v>8.4931506849315067E-2</v>
      </c>
      <c r="AE844">
        <f t="shared" si="297"/>
        <v>8.4931506849315067E-2</v>
      </c>
      <c r="AF844">
        <f t="shared" si="298"/>
        <v>8.4931506849315067E-2</v>
      </c>
      <c r="AG844">
        <f t="shared" si="299"/>
        <v>8.4931506849315067E-2</v>
      </c>
      <c r="AH844">
        <f t="shared" si="300"/>
        <v>0</v>
      </c>
      <c r="AI844">
        <f t="shared" si="301"/>
        <v>0</v>
      </c>
      <c r="AJ844" s="2" t="str">
        <f t="shared" si="311"/>
        <v>1045778</v>
      </c>
    </row>
    <row r="845" spans="1:36" x14ac:dyDescent="0.25">
      <c r="A845">
        <v>11</v>
      </c>
      <c r="B845" s="1">
        <v>45778</v>
      </c>
      <c r="C845" s="1">
        <f t="shared" si="302"/>
        <v>46113</v>
      </c>
      <c r="D845" s="1">
        <f t="shared" si="303"/>
        <v>45792</v>
      </c>
      <c r="E845" s="1">
        <f t="shared" si="304"/>
        <v>46113</v>
      </c>
      <c r="F845" s="1">
        <f t="shared" si="305"/>
        <v>46143</v>
      </c>
      <c r="G845" s="1">
        <f t="shared" si="306"/>
        <v>46157</v>
      </c>
      <c r="H845">
        <f t="shared" si="307"/>
        <v>365</v>
      </c>
      <c r="I845">
        <f t="shared" si="308"/>
        <v>30</v>
      </c>
      <c r="J845">
        <f t="shared" si="309"/>
        <v>8.2191780821917804E-2</v>
      </c>
      <c r="K845">
        <f>IFERROR($J845/IF($A845&lt;COUNTIFS($K$1:K$1,"&lt;&gt;"),0,SUMIFS($J:$J,$B:$B,$B845,$A:$A,"&gt;="&amp;COUNTIFS($K$1:K$1,"&lt;&gt;"))),0)</f>
        <v>8.6206896551724144E-2</v>
      </c>
      <c r="L845">
        <f>IFERROR($J845/IF($A845&lt;COUNTIFS($K$1:L$1,"&lt;&gt;"),0,SUMIFS($J:$J,$B:$B,$B845,$A:$A,"&gt;="&amp;COUNTIFS($K$1:L$1,"&lt;&gt;"))),0)</f>
        <v>9.4339622641509441E-2</v>
      </c>
      <c r="M845">
        <f>IFERROR($J845/IF($A845&lt;COUNTIFS($K$1:M$1,"&lt;&gt;"),0,SUMIFS($J:$J,$B:$B,$B845,$A:$A,"&gt;="&amp;COUNTIFS($K$1:M$1,"&lt;&gt;"))),0)</f>
        <v>0.10452961672473869</v>
      </c>
      <c r="N845">
        <f>IFERROR($J845/IF($A845&lt;COUNTIFS($K$1:N$1,"&lt;&gt;"),0,SUMIFS($J:$J,$B:$B,$B845,$A:$A,"&gt;="&amp;COUNTIFS($K$1:N$1,"&lt;&gt;"))),0)</f>
        <v>0.11718750000000001</v>
      </c>
      <c r="O845">
        <f>IFERROR($J845/IF($A845&lt;COUNTIFS($K$1:O$1,"&lt;&gt;"),0,SUMIFS($J:$J,$B:$B,$B845,$A:$A,"&gt;="&amp;COUNTIFS($K$1:O$1,"&lt;&gt;"))),0)</f>
        <v>0.13274336283185842</v>
      </c>
      <c r="P845">
        <f>IFERROR($J845/IF($A845&lt;COUNTIFS($K$1:P$1,"&lt;&gt;"),0,SUMIFS($J:$J,$B:$B,$B845,$A:$A,"&gt;="&amp;COUNTIFS($K$1:P$1,"&lt;&gt;"))),0)</f>
        <v>0.15384615384615385</v>
      </c>
      <c r="Q845">
        <f>IFERROR($J845/IF($A845&lt;COUNTIFS($K$1:Q$1,"&lt;&gt;"),0,SUMIFS($J:$J,$B:$B,$B845,$A:$A,"&gt;="&amp;COUNTIFS($K$1:Q$1,"&lt;&gt;"))),0)</f>
        <v>0.18181818181818182</v>
      </c>
      <c r="R845">
        <f>IFERROR($J845/IF($A845&lt;COUNTIFS($K$1:R$1,"&lt;&gt;"),0,SUMIFS($J:$J,$B:$B,$B845,$A:$A,"&gt;="&amp;COUNTIFS($K$1:R$1,"&lt;&gt;"))),0)</f>
        <v>0.22388059701492535</v>
      </c>
      <c r="S845">
        <f>IFERROR($J845/IF($A845&lt;COUNTIFS($K$1:S$1,"&lt;&gt;"),0,SUMIFS($J:$J,$B:$B,$B845,$A:$A,"&gt;="&amp;COUNTIFS($K$1:S$1,"&lt;&gt;"))),0)</f>
        <v>0.29126213592233008</v>
      </c>
      <c r="T845">
        <f>IFERROR($J845/IF($A845&lt;COUNTIFS($K$1:T$1,"&lt;&gt;"),0,SUMIFS($J:$J,$B:$B,$B845,$A:$A,"&gt;="&amp;COUNTIFS($K$1:T$1,"&lt;&gt;"))),0)</f>
        <v>0.4</v>
      </c>
      <c r="U845">
        <f>IFERROR($J845/IF($A845&lt;COUNTIFS($K$1:U$1,"&lt;&gt;"),0,SUMIFS($J:$J,$B:$B,$B845,$A:$A,"&gt;="&amp;COUNTIFS($K$1:U$1,"&lt;&gt;"))),0)</f>
        <v>0.68181818181818177</v>
      </c>
      <c r="V845">
        <f>IFERROR($J845/IF($A845&lt;COUNTIFS($K$1:V$1,"&lt;&gt;"),0,SUMIFS($J:$J,$B:$B,$B845,$A:$A,"&gt;="&amp;COUNTIFS($K$1:V$1,"&lt;&gt;"))),0)</f>
        <v>0</v>
      </c>
      <c r="W845">
        <f t="shared" si="310"/>
        <v>8.2191780821917804E-2</v>
      </c>
      <c r="X845">
        <f t="shared" si="290"/>
        <v>8.2191780821917804E-2</v>
      </c>
      <c r="Y845">
        <f t="shared" si="291"/>
        <v>8.2191780821917804E-2</v>
      </c>
      <c r="Z845">
        <f t="shared" si="292"/>
        <v>8.2191780821917804E-2</v>
      </c>
      <c r="AA845">
        <f t="shared" si="293"/>
        <v>8.2191780821917804E-2</v>
      </c>
      <c r="AB845">
        <f t="shared" si="294"/>
        <v>8.2191780821917804E-2</v>
      </c>
      <c r="AC845">
        <f t="shared" si="295"/>
        <v>8.2191780821917804E-2</v>
      </c>
      <c r="AD845">
        <f t="shared" si="296"/>
        <v>8.2191780821917804E-2</v>
      </c>
      <c r="AE845">
        <f t="shared" si="297"/>
        <v>8.2191780821917804E-2</v>
      </c>
      <c r="AF845">
        <f t="shared" si="298"/>
        <v>8.2191780821917804E-2</v>
      </c>
      <c r="AG845">
        <f t="shared" si="299"/>
        <v>8.2191780821917804E-2</v>
      </c>
      <c r="AH845">
        <f t="shared" si="300"/>
        <v>8.2191780821917804E-2</v>
      </c>
      <c r="AI845">
        <f t="shared" si="301"/>
        <v>0</v>
      </c>
      <c r="AJ845" s="2" t="str">
        <f t="shared" si="311"/>
        <v>1145778</v>
      </c>
    </row>
    <row r="846" spans="1:36" x14ac:dyDescent="0.25">
      <c r="A846">
        <v>12</v>
      </c>
      <c r="B846" s="1">
        <v>45778</v>
      </c>
      <c r="C846" s="1">
        <f t="shared" si="302"/>
        <v>46143</v>
      </c>
      <c r="D846" s="1">
        <f t="shared" si="303"/>
        <v>45792</v>
      </c>
      <c r="E846" s="1">
        <f t="shared" si="304"/>
        <v>46143</v>
      </c>
      <c r="F846" s="1">
        <f t="shared" si="305"/>
        <v>46157</v>
      </c>
      <c r="G846" s="1">
        <f t="shared" si="306"/>
        <v>46157</v>
      </c>
      <c r="H846">
        <f t="shared" si="307"/>
        <v>365</v>
      </c>
      <c r="I846">
        <f t="shared" si="308"/>
        <v>14</v>
      </c>
      <c r="J846">
        <f t="shared" si="309"/>
        <v>3.8356164383561646E-2</v>
      </c>
      <c r="K846">
        <f>IFERROR($J846/IF($A846&lt;COUNTIFS($K$1:K$1,"&lt;&gt;"),0,SUMIFS($J:$J,$B:$B,$B846,$A:$A,"&gt;="&amp;COUNTIFS($K$1:K$1,"&lt;&gt;"))),0)</f>
        <v>4.0229885057471271E-2</v>
      </c>
      <c r="L846">
        <f>IFERROR($J846/IF($A846&lt;COUNTIFS($K$1:L$1,"&lt;&gt;"),0,SUMIFS($J:$J,$B:$B,$B846,$A:$A,"&gt;="&amp;COUNTIFS($K$1:L$1,"&lt;&gt;"))),0)</f>
        <v>4.4025157232704414E-2</v>
      </c>
      <c r="M846">
        <f>IFERROR($J846/IF($A846&lt;COUNTIFS($K$1:M$1,"&lt;&gt;"),0,SUMIFS($J:$J,$B:$B,$B846,$A:$A,"&gt;="&amp;COUNTIFS($K$1:M$1,"&lt;&gt;"))),0)</f>
        <v>4.8780487804878057E-2</v>
      </c>
      <c r="N846">
        <f>IFERROR($J846/IF($A846&lt;COUNTIFS($K$1:N$1,"&lt;&gt;"),0,SUMIFS($J:$J,$B:$B,$B846,$A:$A,"&gt;="&amp;COUNTIFS($K$1:N$1,"&lt;&gt;"))),0)</f>
        <v>5.4687500000000014E-2</v>
      </c>
      <c r="O846">
        <f>IFERROR($J846/IF($A846&lt;COUNTIFS($K$1:O$1,"&lt;&gt;"),0,SUMIFS($J:$J,$B:$B,$B846,$A:$A,"&gt;="&amp;COUNTIFS($K$1:O$1,"&lt;&gt;"))),0)</f>
        <v>6.194690265486727E-2</v>
      </c>
      <c r="P846">
        <f>IFERROR($J846/IF($A846&lt;COUNTIFS($K$1:P$1,"&lt;&gt;"),0,SUMIFS($J:$J,$B:$B,$B846,$A:$A,"&gt;="&amp;COUNTIFS($K$1:P$1,"&lt;&gt;"))),0)</f>
        <v>7.1794871794871803E-2</v>
      </c>
      <c r="Q846">
        <f>IFERROR($J846/IF($A846&lt;COUNTIFS($K$1:Q$1,"&lt;&gt;"),0,SUMIFS($J:$J,$B:$B,$B846,$A:$A,"&gt;="&amp;COUNTIFS($K$1:Q$1,"&lt;&gt;"))),0)</f>
        <v>8.4848484848484854E-2</v>
      </c>
      <c r="R846">
        <f>IFERROR($J846/IF($A846&lt;COUNTIFS($K$1:R$1,"&lt;&gt;"),0,SUMIFS($J:$J,$B:$B,$B846,$A:$A,"&gt;="&amp;COUNTIFS($K$1:R$1,"&lt;&gt;"))),0)</f>
        <v>0.10447761194029852</v>
      </c>
      <c r="S846">
        <f>IFERROR($J846/IF($A846&lt;COUNTIFS($K$1:S$1,"&lt;&gt;"),0,SUMIFS($J:$J,$B:$B,$B846,$A:$A,"&gt;="&amp;COUNTIFS($K$1:S$1,"&lt;&gt;"))),0)</f>
        <v>0.13592233009708737</v>
      </c>
      <c r="T846">
        <f>IFERROR($J846/IF($A846&lt;COUNTIFS($K$1:T$1,"&lt;&gt;"),0,SUMIFS($J:$J,$B:$B,$B846,$A:$A,"&gt;="&amp;COUNTIFS($K$1:T$1,"&lt;&gt;"))),0)</f>
        <v>0.18666666666666668</v>
      </c>
      <c r="U846">
        <f>IFERROR($J846/IF($A846&lt;COUNTIFS($K$1:U$1,"&lt;&gt;"),0,SUMIFS($J:$J,$B:$B,$B846,$A:$A,"&gt;="&amp;COUNTIFS($K$1:U$1,"&lt;&gt;"))),0)</f>
        <v>0.31818181818181818</v>
      </c>
      <c r="V846">
        <f>IFERROR($J846/IF($A846&lt;COUNTIFS($K$1:V$1,"&lt;&gt;"),0,SUMIFS($J:$J,$B:$B,$B846,$A:$A,"&gt;="&amp;COUNTIFS($K$1:V$1,"&lt;&gt;"))),0)</f>
        <v>1</v>
      </c>
      <c r="W846">
        <f t="shared" si="310"/>
        <v>3.8356164383561646E-2</v>
      </c>
      <c r="X846">
        <f t="shared" si="290"/>
        <v>3.8356164383561646E-2</v>
      </c>
      <c r="Y846">
        <f t="shared" si="291"/>
        <v>3.8356164383561646E-2</v>
      </c>
      <c r="Z846">
        <f t="shared" si="292"/>
        <v>3.8356164383561646E-2</v>
      </c>
      <c r="AA846">
        <f t="shared" si="293"/>
        <v>3.8356164383561646E-2</v>
      </c>
      <c r="AB846">
        <f t="shared" si="294"/>
        <v>3.8356164383561646E-2</v>
      </c>
      <c r="AC846">
        <f t="shared" si="295"/>
        <v>3.8356164383561646E-2</v>
      </c>
      <c r="AD846">
        <f t="shared" si="296"/>
        <v>3.8356164383561646E-2</v>
      </c>
      <c r="AE846">
        <f t="shared" si="297"/>
        <v>3.8356164383561646E-2</v>
      </c>
      <c r="AF846">
        <f t="shared" si="298"/>
        <v>3.8356164383561646E-2</v>
      </c>
      <c r="AG846">
        <f t="shared" si="299"/>
        <v>3.8356164383561646E-2</v>
      </c>
      <c r="AH846">
        <f t="shared" si="300"/>
        <v>3.8356164383561646E-2</v>
      </c>
      <c r="AI846">
        <f t="shared" si="301"/>
        <v>3.8356164383561646E-2</v>
      </c>
      <c r="AJ846" s="2" t="str">
        <f t="shared" si="311"/>
        <v>1245778</v>
      </c>
    </row>
    <row r="847" spans="1:36" x14ac:dyDescent="0.25">
      <c r="A847">
        <v>0</v>
      </c>
      <c r="B847" s="1">
        <v>45809</v>
      </c>
      <c r="C847" s="1">
        <f t="shared" si="302"/>
        <v>45809</v>
      </c>
      <c r="D847" s="1">
        <f t="shared" si="303"/>
        <v>45823</v>
      </c>
      <c r="E847" s="1">
        <f t="shared" si="304"/>
        <v>45823</v>
      </c>
      <c r="F847" s="1">
        <f t="shared" si="305"/>
        <v>45839</v>
      </c>
      <c r="G847" s="1">
        <f t="shared" si="306"/>
        <v>46188</v>
      </c>
      <c r="H847">
        <f t="shared" si="307"/>
        <v>365</v>
      </c>
      <c r="I847">
        <f t="shared" si="308"/>
        <v>16</v>
      </c>
      <c r="J847">
        <f t="shared" si="309"/>
        <v>4.3835616438356165E-2</v>
      </c>
      <c r="K847">
        <f>IFERROR($J847/IF($A847&lt;COUNTIFS($K$1:K$1,"&lt;&gt;"),0,SUMIFS($J:$J,$B:$B,$B847,$A:$A,"&gt;="&amp;COUNTIFS($K$1:K$1,"&lt;&gt;"))),0)</f>
        <v>0</v>
      </c>
      <c r="L847">
        <f>IFERROR($J847/IF($A847&lt;COUNTIFS($K$1:L$1,"&lt;&gt;"),0,SUMIFS($J:$J,$B:$B,$B847,$A:$A,"&gt;="&amp;COUNTIFS($K$1:L$1,"&lt;&gt;"))),0)</f>
        <v>0</v>
      </c>
      <c r="M847">
        <f>IFERROR($J847/IF($A847&lt;COUNTIFS($K$1:M$1,"&lt;&gt;"),0,SUMIFS($J:$J,$B:$B,$B847,$A:$A,"&gt;="&amp;COUNTIFS($K$1:M$1,"&lt;&gt;"))),0)</f>
        <v>0</v>
      </c>
      <c r="N847">
        <f>IFERROR($J847/IF($A847&lt;COUNTIFS($K$1:N$1,"&lt;&gt;"),0,SUMIFS($J:$J,$B:$B,$B847,$A:$A,"&gt;="&amp;COUNTIFS($K$1:N$1,"&lt;&gt;"))),0)</f>
        <v>0</v>
      </c>
      <c r="O847">
        <f>IFERROR($J847/IF($A847&lt;COUNTIFS($K$1:O$1,"&lt;&gt;"),0,SUMIFS($J:$J,$B:$B,$B847,$A:$A,"&gt;="&amp;COUNTIFS($K$1:O$1,"&lt;&gt;"))),0)</f>
        <v>0</v>
      </c>
      <c r="P847">
        <f>IFERROR($J847/IF($A847&lt;COUNTIFS($K$1:P$1,"&lt;&gt;"),0,SUMIFS($J:$J,$B:$B,$B847,$A:$A,"&gt;="&amp;COUNTIFS($K$1:P$1,"&lt;&gt;"))),0)</f>
        <v>0</v>
      </c>
      <c r="Q847">
        <f>IFERROR($J847/IF($A847&lt;COUNTIFS($K$1:Q$1,"&lt;&gt;"),0,SUMIFS($J:$J,$B:$B,$B847,$A:$A,"&gt;="&amp;COUNTIFS($K$1:Q$1,"&lt;&gt;"))),0)</f>
        <v>0</v>
      </c>
      <c r="R847">
        <f>IFERROR($J847/IF($A847&lt;COUNTIFS($K$1:R$1,"&lt;&gt;"),0,SUMIFS($J:$J,$B:$B,$B847,$A:$A,"&gt;="&amp;COUNTIFS($K$1:R$1,"&lt;&gt;"))),0)</f>
        <v>0</v>
      </c>
      <c r="S847">
        <f>IFERROR($J847/IF($A847&lt;COUNTIFS($K$1:S$1,"&lt;&gt;"),0,SUMIFS($J:$J,$B:$B,$B847,$A:$A,"&gt;="&amp;COUNTIFS($K$1:S$1,"&lt;&gt;"))),0)</f>
        <v>0</v>
      </c>
      <c r="T847">
        <f>IFERROR($J847/IF($A847&lt;COUNTIFS($K$1:T$1,"&lt;&gt;"),0,SUMIFS($J:$J,$B:$B,$B847,$A:$A,"&gt;="&amp;COUNTIFS($K$1:T$1,"&lt;&gt;"))),0)</f>
        <v>0</v>
      </c>
      <c r="U847">
        <f>IFERROR($J847/IF($A847&lt;COUNTIFS($K$1:U$1,"&lt;&gt;"),0,SUMIFS($J:$J,$B:$B,$B847,$A:$A,"&gt;="&amp;COUNTIFS($K$1:U$1,"&lt;&gt;"))),0)</f>
        <v>0</v>
      </c>
      <c r="V847">
        <f>IFERROR($J847/IF($A847&lt;COUNTIFS($K$1:V$1,"&lt;&gt;"),0,SUMIFS($J:$J,$B:$B,$B847,$A:$A,"&gt;="&amp;COUNTIFS($K$1:V$1,"&lt;&gt;"))),0)</f>
        <v>0</v>
      </c>
      <c r="W847">
        <f t="shared" si="310"/>
        <v>4.3835616438356165E-2</v>
      </c>
      <c r="X847">
        <f t="shared" si="290"/>
        <v>0</v>
      </c>
      <c r="Y847">
        <f t="shared" si="291"/>
        <v>0</v>
      </c>
      <c r="Z847">
        <f t="shared" si="292"/>
        <v>0</v>
      </c>
      <c r="AA847">
        <f t="shared" si="293"/>
        <v>0</v>
      </c>
      <c r="AB847">
        <f t="shared" si="294"/>
        <v>0</v>
      </c>
      <c r="AC847">
        <f t="shared" si="295"/>
        <v>0</v>
      </c>
      <c r="AD847">
        <f t="shared" si="296"/>
        <v>0</v>
      </c>
      <c r="AE847">
        <f t="shared" si="297"/>
        <v>0</v>
      </c>
      <c r="AF847">
        <f t="shared" si="298"/>
        <v>0</v>
      </c>
      <c r="AG847">
        <f t="shared" si="299"/>
        <v>0</v>
      </c>
      <c r="AH847">
        <f t="shared" si="300"/>
        <v>0</v>
      </c>
      <c r="AI847">
        <f t="shared" si="301"/>
        <v>0</v>
      </c>
      <c r="AJ847" s="2" t="str">
        <f t="shared" si="311"/>
        <v>045809</v>
      </c>
    </row>
    <row r="848" spans="1:36" x14ac:dyDescent="0.25">
      <c r="A848">
        <v>1</v>
      </c>
      <c r="B848" s="1">
        <v>45809</v>
      </c>
      <c r="C848" s="1">
        <f t="shared" si="302"/>
        <v>45839</v>
      </c>
      <c r="D848" s="1">
        <f t="shared" si="303"/>
        <v>45823</v>
      </c>
      <c r="E848" s="1">
        <f t="shared" si="304"/>
        <v>45839</v>
      </c>
      <c r="F848" s="1">
        <f t="shared" si="305"/>
        <v>45870</v>
      </c>
      <c r="G848" s="1">
        <f t="shared" si="306"/>
        <v>46188</v>
      </c>
      <c r="H848">
        <f t="shared" si="307"/>
        <v>365</v>
      </c>
      <c r="I848">
        <f t="shared" si="308"/>
        <v>31</v>
      </c>
      <c r="J848">
        <f t="shared" si="309"/>
        <v>8.4931506849315067E-2</v>
      </c>
      <c r="K848">
        <f>IFERROR($J848/IF($A848&lt;COUNTIFS($K$1:K$1,"&lt;&gt;"),0,SUMIFS($J:$J,$B:$B,$B848,$A:$A,"&gt;="&amp;COUNTIFS($K$1:K$1,"&lt;&gt;"))),0)</f>
        <v>8.8825214899713484E-2</v>
      </c>
      <c r="L848">
        <f>IFERROR($J848/IF($A848&lt;COUNTIFS($K$1:L$1,"&lt;&gt;"),0,SUMIFS($J:$J,$B:$B,$B848,$A:$A,"&gt;="&amp;COUNTIFS($K$1:L$1,"&lt;&gt;"))),0)</f>
        <v>0</v>
      </c>
      <c r="M848">
        <f>IFERROR($J848/IF($A848&lt;COUNTIFS($K$1:M$1,"&lt;&gt;"),0,SUMIFS($J:$J,$B:$B,$B848,$A:$A,"&gt;="&amp;COUNTIFS($K$1:M$1,"&lt;&gt;"))),0)</f>
        <v>0</v>
      </c>
      <c r="N848">
        <f>IFERROR($J848/IF($A848&lt;COUNTIFS($K$1:N$1,"&lt;&gt;"),0,SUMIFS($J:$J,$B:$B,$B848,$A:$A,"&gt;="&amp;COUNTIFS($K$1:N$1,"&lt;&gt;"))),0)</f>
        <v>0</v>
      </c>
      <c r="O848">
        <f>IFERROR($J848/IF($A848&lt;COUNTIFS($K$1:O$1,"&lt;&gt;"),0,SUMIFS($J:$J,$B:$B,$B848,$A:$A,"&gt;="&amp;COUNTIFS($K$1:O$1,"&lt;&gt;"))),0)</f>
        <v>0</v>
      </c>
      <c r="P848">
        <f>IFERROR($J848/IF($A848&lt;COUNTIFS($K$1:P$1,"&lt;&gt;"),0,SUMIFS($J:$J,$B:$B,$B848,$A:$A,"&gt;="&amp;COUNTIFS($K$1:P$1,"&lt;&gt;"))),0)</f>
        <v>0</v>
      </c>
      <c r="Q848">
        <f>IFERROR($J848/IF($A848&lt;COUNTIFS($K$1:Q$1,"&lt;&gt;"),0,SUMIFS($J:$J,$B:$B,$B848,$A:$A,"&gt;="&amp;COUNTIFS($K$1:Q$1,"&lt;&gt;"))),0)</f>
        <v>0</v>
      </c>
      <c r="R848">
        <f>IFERROR($J848/IF($A848&lt;COUNTIFS($K$1:R$1,"&lt;&gt;"),0,SUMIFS($J:$J,$B:$B,$B848,$A:$A,"&gt;="&amp;COUNTIFS($K$1:R$1,"&lt;&gt;"))),0)</f>
        <v>0</v>
      </c>
      <c r="S848">
        <f>IFERROR($J848/IF($A848&lt;COUNTIFS($K$1:S$1,"&lt;&gt;"),0,SUMIFS($J:$J,$B:$B,$B848,$A:$A,"&gt;="&amp;COUNTIFS($K$1:S$1,"&lt;&gt;"))),0)</f>
        <v>0</v>
      </c>
      <c r="T848">
        <f>IFERROR($J848/IF($A848&lt;COUNTIFS($K$1:T$1,"&lt;&gt;"),0,SUMIFS($J:$J,$B:$B,$B848,$A:$A,"&gt;="&amp;COUNTIFS($K$1:T$1,"&lt;&gt;"))),0)</f>
        <v>0</v>
      </c>
      <c r="U848">
        <f>IFERROR($J848/IF($A848&lt;COUNTIFS($K$1:U$1,"&lt;&gt;"),0,SUMIFS($J:$J,$B:$B,$B848,$A:$A,"&gt;="&amp;COUNTIFS($K$1:U$1,"&lt;&gt;"))),0)</f>
        <v>0</v>
      </c>
      <c r="V848">
        <f>IFERROR($J848/IF($A848&lt;COUNTIFS($K$1:V$1,"&lt;&gt;"),0,SUMIFS($J:$J,$B:$B,$B848,$A:$A,"&gt;="&amp;COUNTIFS($K$1:V$1,"&lt;&gt;"))),0)</f>
        <v>0</v>
      </c>
      <c r="W848">
        <f t="shared" si="310"/>
        <v>8.4931506849315067E-2</v>
      </c>
      <c r="X848">
        <f t="shared" si="290"/>
        <v>8.4931506849315067E-2</v>
      </c>
      <c r="Y848">
        <f t="shared" si="291"/>
        <v>0</v>
      </c>
      <c r="Z848">
        <f t="shared" si="292"/>
        <v>0</v>
      </c>
      <c r="AA848">
        <f t="shared" si="293"/>
        <v>0</v>
      </c>
      <c r="AB848">
        <f t="shared" si="294"/>
        <v>0</v>
      </c>
      <c r="AC848">
        <f t="shared" si="295"/>
        <v>0</v>
      </c>
      <c r="AD848">
        <f t="shared" si="296"/>
        <v>0</v>
      </c>
      <c r="AE848">
        <f t="shared" si="297"/>
        <v>0</v>
      </c>
      <c r="AF848">
        <f t="shared" si="298"/>
        <v>0</v>
      </c>
      <c r="AG848">
        <f t="shared" si="299"/>
        <v>0</v>
      </c>
      <c r="AH848">
        <f t="shared" si="300"/>
        <v>0</v>
      </c>
      <c r="AI848">
        <f t="shared" si="301"/>
        <v>0</v>
      </c>
      <c r="AJ848" s="2" t="str">
        <f t="shared" si="311"/>
        <v>145809</v>
      </c>
    </row>
    <row r="849" spans="1:36" x14ac:dyDescent="0.25">
      <c r="A849">
        <v>2</v>
      </c>
      <c r="B849" s="1">
        <v>45809</v>
      </c>
      <c r="C849" s="1">
        <f t="shared" si="302"/>
        <v>45870</v>
      </c>
      <c r="D849" s="1">
        <f t="shared" si="303"/>
        <v>45823</v>
      </c>
      <c r="E849" s="1">
        <f t="shared" si="304"/>
        <v>45870</v>
      </c>
      <c r="F849" s="1">
        <f t="shared" si="305"/>
        <v>45901</v>
      </c>
      <c r="G849" s="1">
        <f t="shared" si="306"/>
        <v>46188</v>
      </c>
      <c r="H849">
        <f t="shared" si="307"/>
        <v>365</v>
      </c>
      <c r="I849">
        <f t="shared" si="308"/>
        <v>31</v>
      </c>
      <c r="J849">
        <f t="shared" si="309"/>
        <v>8.4931506849315067E-2</v>
      </c>
      <c r="K849">
        <f>IFERROR($J849/IF($A849&lt;COUNTIFS($K$1:K$1,"&lt;&gt;"),0,SUMIFS($J:$J,$B:$B,$B849,$A:$A,"&gt;="&amp;COUNTIFS($K$1:K$1,"&lt;&gt;"))),0)</f>
        <v>8.8825214899713484E-2</v>
      </c>
      <c r="L849">
        <f>IFERROR($J849/IF($A849&lt;COUNTIFS($K$1:L$1,"&lt;&gt;"),0,SUMIFS($J:$J,$B:$B,$B849,$A:$A,"&gt;="&amp;COUNTIFS($K$1:L$1,"&lt;&gt;"))),0)</f>
        <v>9.7484276729559768E-2</v>
      </c>
      <c r="M849">
        <f>IFERROR($J849/IF($A849&lt;COUNTIFS($K$1:M$1,"&lt;&gt;"),0,SUMIFS($J:$J,$B:$B,$B849,$A:$A,"&gt;="&amp;COUNTIFS($K$1:M$1,"&lt;&gt;"))),0)</f>
        <v>0</v>
      </c>
      <c r="N849">
        <f>IFERROR($J849/IF($A849&lt;COUNTIFS($K$1:N$1,"&lt;&gt;"),0,SUMIFS($J:$J,$B:$B,$B849,$A:$A,"&gt;="&amp;COUNTIFS($K$1:N$1,"&lt;&gt;"))),0)</f>
        <v>0</v>
      </c>
      <c r="O849">
        <f>IFERROR($J849/IF($A849&lt;COUNTIFS($K$1:O$1,"&lt;&gt;"),0,SUMIFS($J:$J,$B:$B,$B849,$A:$A,"&gt;="&amp;COUNTIFS($K$1:O$1,"&lt;&gt;"))),0)</f>
        <v>0</v>
      </c>
      <c r="P849">
        <f>IFERROR($J849/IF($A849&lt;COUNTIFS($K$1:P$1,"&lt;&gt;"),0,SUMIFS($J:$J,$B:$B,$B849,$A:$A,"&gt;="&amp;COUNTIFS($K$1:P$1,"&lt;&gt;"))),0)</f>
        <v>0</v>
      </c>
      <c r="Q849">
        <f>IFERROR($J849/IF($A849&lt;COUNTIFS($K$1:Q$1,"&lt;&gt;"),0,SUMIFS($J:$J,$B:$B,$B849,$A:$A,"&gt;="&amp;COUNTIFS($K$1:Q$1,"&lt;&gt;"))),0)</f>
        <v>0</v>
      </c>
      <c r="R849">
        <f>IFERROR($J849/IF($A849&lt;COUNTIFS($K$1:R$1,"&lt;&gt;"),0,SUMIFS($J:$J,$B:$B,$B849,$A:$A,"&gt;="&amp;COUNTIFS($K$1:R$1,"&lt;&gt;"))),0)</f>
        <v>0</v>
      </c>
      <c r="S849">
        <f>IFERROR($J849/IF($A849&lt;COUNTIFS($K$1:S$1,"&lt;&gt;"),0,SUMIFS($J:$J,$B:$B,$B849,$A:$A,"&gt;="&amp;COUNTIFS($K$1:S$1,"&lt;&gt;"))),0)</f>
        <v>0</v>
      </c>
      <c r="T849">
        <f>IFERROR($J849/IF($A849&lt;COUNTIFS($K$1:T$1,"&lt;&gt;"),0,SUMIFS($J:$J,$B:$B,$B849,$A:$A,"&gt;="&amp;COUNTIFS($K$1:T$1,"&lt;&gt;"))),0)</f>
        <v>0</v>
      </c>
      <c r="U849">
        <f>IFERROR($J849/IF($A849&lt;COUNTIFS($K$1:U$1,"&lt;&gt;"),0,SUMIFS($J:$J,$B:$B,$B849,$A:$A,"&gt;="&amp;COUNTIFS($K$1:U$1,"&lt;&gt;"))),0)</f>
        <v>0</v>
      </c>
      <c r="V849">
        <f>IFERROR($J849/IF($A849&lt;COUNTIFS($K$1:V$1,"&lt;&gt;"),0,SUMIFS($J:$J,$B:$B,$B849,$A:$A,"&gt;="&amp;COUNTIFS($K$1:V$1,"&lt;&gt;"))),0)</f>
        <v>0</v>
      </c>
      <c r="W849">
        <f t="shared" si="310"/>
        <v>8.4931506849315067E-2</v>
      </c>
      <c r="X849">
        <f t="shared" si="290"/>
        <v>8.4931506849315067E-2</v>
      </c>
      <c r="Y849">
        <f t="shared" si="291"/>
        <v>8.4931506849315067E-2</v>
      </c>
      <c r="Z849">
        <f t="shared" si="292"/>
        <v>0</v>
      </c>
      <c r="AA849">
        <f t="shared" si="293"/>
        <v>0</v>
      </c>
      <c r="AB849">
        <f t="shared" si="294"/>
        <v>0</v>
      </c>
      <c r="AC849">
        <f t="shared" si="295"/>
        <v>0</v>
      </c>
      <c r="AD849">
        <f t="shared" si="296"/>
        <v>0</v>
      </c>
      <c r="AE849">
        <f t="shared" si="297"/>
        <v>0</v>
      </c>
      <c r="AF849">
        <f t="shared" si="298"/>
        <v>0</v>
      </c>
      <c r="AG849">
        <f t="shared" si="299"/>
        <v>0</v>
      </c>
      <c r="AH849">
        <f t="shared" si="300"/>
        <v>0</v>
      </c>
      <c r="AI849">
        <f t="shared" si="301"/>
        <v>0</v>
      </c>
      <c r="AJ849" s="2" t="str">
        <f t="shared" si="311"/>
        <v>245809</v>
      </c>
    </row>
    <row r="850" spans="1:36" x14ac:dyDescent="0.25">
      <c r="A850">
        <v>3</v>
      </c>
      <c r="B850" s="1">
        <v>45809</v>
      </c>
      <c r="C850" s="1">
        <f t="shared" si="302"/>
        <v>45901</v>
      </c>
      <c r="D850" s="1">
        <f t="shared" si="303"/>
        <v>45823</v>
      </c>
      <c r="E850" s="1">
        <f t="shared" si="304"/>
        <v>45901</v>
      </c>
      <c r="F850" s="1">
        <f t="shared" si="305"/>
        <v>45931</v>
      </c>
      <c r="G850" s="1">
        <f t="shared" si="306"/>
        <v>46188</v>
      </c>
      <c r="H850">
        <f t="shared" si="307"/>
        <v>365</v>
      </c>
      <c r="I850">
        <f t="shared" si="308"/>
        <v>30</v>
      </c>
      <c r="J850">
        <f t="shared" si="309"/>
        <v>8.2191780821917804E-2</v>
      </c>
      <c r="K850">
        <f>IFERROR($J850/IF($A850&lt;COUNTIFS($K$1:K$1,"&lt;&gt;"),0,SUMIFS($J:$J,$B:$B,$B850,$A:$A,"&gt;="&amp;COUNTIFS($K$1:K$1,"&lt;&gt;"))),0)</f>
        <v>8.5959885386819493E-2</v>
      </c>
      <c r="L850">
        <f>IFERROR($J850/IF($A850&lt;COUNTIFS($K$1:L$1,"&lt;&gt;"),0,SUMIFS($J:$J,$B:$B,$B850,$A:$A,"&gt;="&amp;COUNTIFS($K$1:L$1,"&lt;&gt;"))),0)</f>
        <v>9.4339622641509441E-2</v>
      </c>
      <c r="M850">
        <f>IFERROR($J850/IF($A850&lt;COUNTIFS($K$1:M$1,"&lt;&gt;"),0,SUMIFS($J:$J,$B:$B,$B850,$A:$A,"&gt;="&amp;COUNTIFS($K$1:M$1,"&lt;&gt;"))),0)</f>
        <v>0.10452961672473869</v>
      </c>
      <c r="N850">
        <f>IFERROR($J850/IF($A850&lt;COUNTIFS($K$1:N$1,"&lt;&gt;"),0,SUMIFS($J:$J,$B:$B,$B850,$A:$A,"&gt;="&amp;COUNTIFS($K$1:N$1,"&lt;&gt;"))),0)</f>
        <v>0</v>
      </c>
      <c r="O850">
        <f>IFERROR($J850/IF($A850&lt;COUNTIFS($K$1:O$1,"&lt;&gt;"),0,SUMIFS($J:$J,$B:$B,$B850,$A:$A,"&gt;="&amp;COUNTIFS($K$1:O$1,"&lt;&gt;"))),0)</f>
        <v>0</v>
      </c>
      <c r="P850">
        <f>IFERROR($J850/IF($A850&lt;COUNTIFS($K$1:P$1,"&lt;&gt;"),0,SUMIFS($J:$J,$B:$B,$B850,$A:$A,"&gt;="&amp;COUNTIFS($K$1:P$1,"&lt;&gt;"))),0)</f>
        <v>0</v>
      </c>
      <c r="Q850">
        <f>IFERROR($J850/IF($A850&lt;COUNTIFS($K$1:Q$1,"&lt;&gt;"),0,SUMIFS($J:$J,$B:$B,$B850,$A:$A,"&gt;="&amp;COUNTIFS($K$1:Q$1,"&lt;&gt;"))),0)</f>
        <v>0</v>
      </c>
      <c r="R850">
        <f>IFERROR($J850/IF($A850&lt;COUNTIFS($K$1:R$1,"&lt;&gt;"),0,SUMIFS($J:$J,$B:$B,$B850,$A:$A,"&gt;="&amp;COUNTIFS($K$1:R$1,"&lt;&gt;"))),0)</f>
        <v>0</v>
      </c>
      <c r="S850">
        <f>IFERROR($J850/IF($A850&lt;COUNTIFS($K$1:S$1,"&lt;&gt;"),0,SUMIFS($J:$J,$B:$B,$B850,$A:$A,"&gt;="&amp;COUNTIFS($K$1:S$1,"&lt;&gt;"))),0)</f>
        <v>0</v>
      </c>
      <c r="T850">
        <f>IFERROR($J850/IF($A850&lt;COUNTIFS($K$1:T$1,"&lt;&gt;"),0,SUMIFS($J:$J,$B:$B,$B850,$A:$A,"&gt;="&amp;COUNTIFS($K$1:T$1,"&lt;&gt;"))),0)</f>
        <v>0</v>
      </c>
      <c r="U850">
        <f>IFERROR($J850/IF($A850&lt;COUNTIFS($K$1:U$1,"&lt;&gt;"),0,SUMIFS($J:$J,$B:$B,$B850,$A:$A,"&gt;="&amp;COUNTIFS($K$1:U$1,"&lt;&gt;"))),0)</f>
        <v>0</v>
      </c>
      <c r="V850">
        <f>IFERROR($J850/IF($A850&lt;COUNTIFS($K$1:V$1,"&lt;&gt;"),0,SUMIFS($J:$J,$B:$B,$B850,$A:$A,"&gt;="&amp;COUNTIFS($K$1:V$1,"&lt;&gt;"))),0)</f>
        <v>0</v>
      </c>
      <c r="W850">
        <f t="shared" si="310"/>
        <v>8.2191780821917804E-2</v>
      </c>
      <c r="X850">
        <f t="shared" si="290"/>
        <v>8.2191780821917804E-2</v>
      </c>
      <c r="Y850">
        <f t="shared" si="291"/>
        <v>8.2191780821917804E-2</v>
      </c>
      <c r="Z850">
        <f t="shared" si="292"/>
        <v>8.2191780821917804E-2</v>
      </c>
      <c r="AA850">
        <f t="shared" si="293"/>
        <v>0</v>
      </c>
      <c r="AB850">
        <f t="shared" si="294"/>
        <v>0</v>
      </c>
      <c r="AC850">
        <f t="shared" si="295"/>
        <v>0</v>
      </c>
      <c r="AD850">
        <f t="shared" si="296"/>
        <v>0</v>
      </c>
      <c r="AE850">
        <f t="shared" si="297"/>
        <v>0</v>
      </c>
      <c r="AF850">
        <f t="shared" si="298"/>
        <v>0</v>
      </c>
      <c r="AG850">
        <f t="shared" si="299"/>
        <v>0</v>
      </c>
      <c r="AH850">
        <f t="shared" si="300"/>
        <v>0</v>
      </c>
      <c r="AI850">
        <f t="shared" si="301"/>
        <v>0</v>
      </c>
      <c r="AJ850" s="2" t="str">
        <f t="shared" si="311"/>
        <v>345809</v>
      </c>
    </row>
    <row r="851" spans="1:36" x14ac:dyDescent="0.25">
      <c r="A851">
        <v>4</v>
      </c>
      <c r="B851" s="1">
        <v>45809</v>
      </c>
      <c r="C851" s="1">
        <f t="shared" si="302"/>
        <v>45931</v>
      </c>
      <c r="D851" s="1">
        <f t="shared" si="303"/>
        <v>45823</v>
      </c>
      <c r="E851" s="1">
        <f t="shared" si="304"/>
        <v>45931</v>
      </c>
      <c r="F851" s="1">
        <f t="shared" si="305"/>
        <v>45962</v>
      </c>
      <c r="G851" s="1">
        <f t="shared" si="306"/>
        <v>46188</v>
      </c>
      <c r="H851">
        <f t="shared" si="307"/>
        <v>365</v>
      </c>
      <c r="I851">
        <f t="shared" si="308"/>
        <v>31</v>
      </c>
      <c r="J851">
        <f t="shared" si="309"/>
        <v>8.4931506849315067E-2</v>
      </c>
      <c r="K851">
        <f>IFERROR($J851/IF($A851&lt;COUNTIFS($K$1:K$1,"&lt;&gt;"),0,SUMIFS($J:$J,$B:$B,$B851,$A:$A,"&gt;="&amp;COUNTIFS($K$1:K$1,"&lt;&gt;"))),0)</f>
        <v>8.8825214899713484E-2</v>
      </c>
      <c r="L851">
        <f>IFERROR($J851/IF($A851&lt;COUNTIFS($K$1:L$1,"&lt;&gt;"),0,SUMIFS($J:$J,$B:$B,$B851,$A:$A,"&gt;="&amp;COUNTIFS($K$1:L$1,"&lt;&gt;"))),0)</f>
        <v>9.7484276729559768E-2</v>
      </c>
      <c r="M851">
        <f>IFERROR($J851/IF($A851&lt;COUNTIFS($K$1:M$1,"&lt;&gt;"),0,SUMIFS($J:$J,$B:$B,$B851,$A:$A,"&gt;="&amp;COUNTIFS($K$1:M$1,"&lt;&gt;"))),0)</f>
        <v>0.10801393728222998</v>
      </c>
      <c r="N851">
        <f>IFERROR($J851/IF($A851&lt;COUNTIFS($K$1:N$1,"&lt;&gt;"),0,SUMIFS($J:$J,$B:$B,$B851,$A:$A,"&gt;="&amp;COUNTIFS($K$1:N$1,"&lt;&gt;"))),0)</f>
        <v>0.12062256809338523</v>
      </c>
      <c r="O851">
        <f>IFERROR($J851/IF($A851&lt;COUNTIFS($K$1:O$1,"&lt;&gt;"),0,SUMIFS($J:$J,$B:$B,$B851,$A:$A,"&gt;="&amp;COUNTIFS($K$1:O$1,"&lt;&gt;"))),0)</f>
        <v>0</v>
      </c>
      <c r="P851">
        <f>IFERROR($J851/IF($A851&lt;COUNTIFS($K$1:P$1,"&lt;&gt;"),0,SUMIFS($J:$J,$B:$B,$B851,$A:$A,"&gt;="&amp;COUNTIFS($K$1:P$1,"&lt;&gt;"))),0)</f>
        <v>0</v>
      </c>
      <c r="Q851">
        <f>IFERROR($J851/IF($A851&lt;COUNTIFS($K$1:Q$1,"&lt;&gt;"),0,SUMIFS($J:$J,$B:$B,$B851,$A:$A,"&gt;="&amp;COUNTIFS($K$1:Q$1,"&lt;&gt;"))),0)</f>
        <v>0</v>
      </c>
      <c r="R851">
        <f>IFERROR($J851/IF($A851&lt;COUNTIFS($K$1:R$1,"&lt;&gt;"),0,SUMIFS($J:$J,$B:$B,$B851,$A:$A,"&gt;="&amp;COUNTIFS($K$1:R$1,"&lt;&gt;"))),0)</f>
        <v>0</v>
      </c>
      <c r="S851">
        <f>IFERROR($J851/IF($A851&lt;COUNTIFS($K$1:S$1,"&lt;&gt;"),0,SUMIFS($J:$J,$B:$B,$B851,$A:$A,"&gt;="&amp;COUNTIFS($K$1:S$1,"&lt;&gt;"))),0)</f>
        <v>0</v>
      </c>
      <c r="T851">
        <f>IFERROR($J851/IF($A851&lt;COUNTIFS($K$1:T$1,"&lt;&gt;"),0,SUMIFS($J:$J,$B:$B,$B851,$A:$A,"&gt;="&amp;COUNTIFS($K$1:T$1,"&lt;&gt;"))),0)</f>
        <v>0</v>
      </c>
      <c r="U851">
        <f>IFERROR($J851/IF($A851&lt;COUNTIFS($K$1:U$1,"&lt;&gt;"),0,SUMIFS($J:$J,$B:$B,$B851,$A:$A,"&gt;="&amp;COUNTIFS($K$1:U$1,"&lt;&gt;"))),0)</f>
        <v>0</v>
      </c>
      <c r="V851">
        <f>IFERROR($J851/IF($A851&lt;COUNTIFS($K$1:V$1,"&lt;&gt;"),0,SUMIFS($J:$J,$B:$B,$B851,$A:$A,"&gt;="&amp;COUNTIFS($K$1:V$1,"&lt;&gt;"))),0)</f>
        <v>0</v>
      </c>
      <c r="W851">
        <f t="shared" si="310"/>
        <v>8.4931506849315067E-2</v>
      </c>
      <c r="X851">
        <f t="shared" si="290"/>
        <v>8.4931506849315067E-2</v>
      </c>
      <c r="Y851">
        <f t="shared" si="291"/>
        <v>8.4931506849315067E-2</v>
      </c>
      <c r="Z851">
        <f t="shared" si="292"/>
        <v>8.4931506849315067E-2</v>
      </c>
      <c r="AA851">
        <f t="shared" si="293"/>
        <v>8.4931506849315067E-2</v>
      </c>
      <c r="AB851">
        <f t="shared" si="294"/>
        <v>0</v>
      </c>
      <c r="AC851">
        <f t="shared" si="295"/>
        <v>0</v>
      </c>
      <c r="AD851">
        <f t="shared" si="296"/>
        <v>0</v>
      </c>
      <c r="AE851">
        <f t="shared" si="297"/>
        <v>0</v>
      </c>
      <c r="AF851">
        <f t="shared" si="298"/>
        <v>0</v>
      </c>
      <c r="AG851">
        <f t="shared" si="299"/>
        <v>0</v>
      </c>
      <c r="AH851">
        <f t="shared" si="300"/>
        <v>0</v>
      </c>
      <c r="AI851">
        <f t="shared" si="301"/>
        <v>0</v>
      </c>
      <c r="AJ851" s="2" t="str">
        <f t="shared" si="311"/>
        <v>445809</v>
      </c>
    </row>
    <row r="852" spans="1:36" x14ac:dyDescent="0.25">
      <c r="A852">
        <v>5</v>
      </c>
      <c r="B852" s="1">
        <v>45809</v>
      </c>
      <c r="C852" s="1">
        <f t="shared" si="302"/>
        <v>45962</v>
      </c>
      <c r="D852" s="1">
        <f t="shared" si="303"/>
        <v>45823</v>
      </c>
      <c r="E852" s="1">
        <f t="shared" si="304"/>
        <v>45962</v>
      </c>
      <c r="F852" s="1">
        <f t="shared" si="305"/>
        <v>45992</v>
      </c>
      <c r="G852" s="1">
        <f t="shared" si="306"/>
        <v>46188</v>
      </c>
      <c r="H852">
        <f t="shared" si="307"/>
        <v>365</v>
      </c>
      <c r="I852">
        <f t="shared" si="308"/>
        <v>30</v>
      </c>
      <c r="J852">
        <f t="shared" si="309"/>
        <v>8.2191780821917804E-2</v>
      </c>
      <c r="K852">
        <f>IFERROR($J852/IF($A852&lt;COUNTIFS($K$1:K$1,"&lt;&gt;"),0,SUMIFS($J:$J,$B:$B,$B852,$A:$A,"&gt;="&amp;COUNTIFS($K$1:K$1,"&lt;&gt;"))),0)</f>
        <v>8.5959885386819493E-2</v>
      </c>
      <c r="L852">
        <f>IFERROR($J852/IF($A852&lt;COUNTIFS($K$1:L$1,"&lt;&gt;"),0,SUMIFS($J:$J,$B:$B,$B852,$A:$A,"&gt;="&amp;COUNTIFS($K$1:L$1,"&lt;&gt;"))),0)</f>
        <v>9.4339622641509441E-2</v>
      </c>
      <c r="M852">
        <f>IFERROR($J852/IF($A852&lt;COUNTIFS($K$1:M$1,"&lt;&gt;"),0,SUMIFS($J:$J,$B:$B,$B852,$A:$A,"&gt;="&amp;COUNTIFS($K$1:M$1,"&lt;&gt;"))),0)</f>
        <v>0.10452961672473869</v>
      </c>
      <c r="N852">
        <f>IFERROR($J852/IF($A852&lt;COUNTIFS($K$1:N$1,"&lt;&gt;"),0,SUMIFS($J:$J,$B:$B,$B852,$A:$A,"&gt;="&amp;COUNTIFS($K$1:N$1,"&lt;&gt;"))),0)</f>
        <v>0.11673151750972764</v>
      </c>
      <c r="O852">
        <f>IFERROR($J852/IF($A852&lt;COUNTIFS($K$1:O$1,"&lt;&gt;"),0,SUMIFS($J:$J,$B:$B,$B852,$A:$A,"&gt;="&amp;COUNTIFS($K$1:O$1,"&lt;&gt;"))),0)</f>
        <v>0.13274336283185842</v>
      </c>
      <c r="P852">
        <f>IFERROR($J852/IF($A852&lt;COUNTIFS($K$1:P$1,"&lt;&gt;"),0,SUMIFS($J:$J,$B:$B,$B852,$A:$A,"&gt;="&amp;COUNTIFS($K$1:P$1,"&lt;&gt;"))),0)</f>
        <v>0</v>
      </c>
      <c r="Q852">
        <f>IFERROR($J852/IF($A852&lt;COUNTIFS($K$1:Q$1,"&lt;&gt;"),0,SUMIFS($J:$J,$B:$B,$B852,$A:$A,"&gt;="&amp;COUNTIFS($K$1:Q$1,"&lt;&gt;"))),0)</f>
        <v>0</v>
      </c>
      <c r="R852">
        <f>IFERROR($J852/IF($A852&lt;COUNTIFS($K$1:R$1,"&lt;&gt;"),0,SUMIFS($J:$J,$B:$B,$B852,$A:$A,"&gt;="&amp;COUNTIFS($K$1:R$1,"&lt;&gt;"))),0)</f>
        <v>0</v>
      </c>
      <c r="S852">
        <f>IFERROR($J852/IF($A852&lt;COUNTIFS($K$1:S$1,"&lt;&gt;"),0,SUMIFS($J:$J,$B:$B,$B852,$A:$A,"&gt;="&amp;COUNTIFS($K$1:S$1,"&lt;&gt;"))),0)</f>
        <v>0</v>
      </c>
      <c r="T852">
        <f>IFERROR($J852/IF($A852&lt;COUNTIFS($K$1:T$1,"&lt;&gt;"),0,SUMIFS($J:$J,$B:$B,$B852,$A:$A,"&gt;="&amp;COUNTIFS($K$1:T$1,"&lt;&gt;"))),0)</f>
        <v>0</v>
      </c>
      <c r="U852">
        <f>IFERROR($J852/IF($A852&lt;COUNTIFS($K$1:U$1,"&lt;&gt;"),0,SUMIFS($J:$J,$B:$B,$B852,$A:$A,"&gt;="&amp;COUNTIFS($K$1:U$1,"&lt;&gt;"))),0)</f>
        <v>0</v>
      </c>
      <c r="V852">
        <f>IFERROR($J852/IF($A852&lt;COUNTIFS($K$1:V$1,"&lt;&gt;"),0,SUMIFS($J:$J,$B:$B,$B852,$A:$A,"&gt;="&amp;COUNTIFS($K$1:V$1,"&lt;&gt;"))),0)</f>
        <v>0</v>
      </c>
      <c r="W852">
        <f t="shared" si="310"/>
        <v>8.2191780821917804E-2</v>
      </c>
      <c r="X852">
        <f t="shared" si="290"/>
        <v>8.2191780821917804E-2</v>
      </c>
      <c r="Y852">
        <f t="shared" si="291"/>
        <v>8.2191780821917804E-2</v>
      </c>
      <c r="Z852">
        <f t="shared" si="292"/>
        <v>8.2191780821917804E-2</v>
      </c>
      <c r="AA852">
        <f t="shared" si="293"/>
        <v>8.2191780821917804E-2</v>
      </c>
      <c r="AB852">
        <f t="shared" si="294"/>
        <v>8.2191780821917804E-2</v>
      </c>
      <c r="AC852">
        <f t="shared" si="295"/>
        <v>0</v>
      </c>
      <c r="AD852">
        <f t="shared" si="296"/>
        <v>0</v>
      </c>
      <c r="AE852">
        <f t="shared" si="297"/>
        <v>0</v>
      </c>
      <c r="AF852">
        <f t="shared" si="298"/>
        <v>0</v>
      </c>
      <c r="AG852">
        <f t="shared" si="299"/>
        <v>0</v>
      </c>
      <c r="AH852">
        <f t="shared" si="300"/>
        <v>0</v>
      </c>
      <c r="AI852">
        <f t="shared" si="301"/>
        <v>0</v>
      </c>
      <c r="AJ852" s="2" t="str">
        <f t="shared" si="311"/>
        <v>545809</v>
      </c>
    </row>
    <row r="853" spans="1:36" x14ac:dyDescent="0.25">
      <c r="A853">
        <v>6</v>
      </c>
      <c r="B853" s="1">
        <v>45809</v>
      </c>
      <c r="C853" s="1">
        <f t="shared" si="302"/>
        <v>45992</v>
      </c>
      <c r="D853" s="1">
        <f t="shared" si="303"/>
        <v>45823</v>
      </c>
      <c r="E853" s="1">
        <f t="shared" si="304"/>
        <v>45992</v>
      </c>
      <c r="F853" s="1">
        <f t="shared" si="305"/>
        <v>46023</v>
      </c>
      <c r="G853" s="1">
        <f t="shared" si="306"/>
        <v>46188</v>
      </c>
      <c r="H853">
        <f t="shared" si="307"/>
        <v>365</v>
      </c>
      <c r="I853">
        <f t="shared" si="308"/>
        <v>31</v>
      </c>
      <c r="J853">
        <f t="shared" si="309"/>
        <v>8.4931506849315067E-2</v>
      </c>
      <c r="K853">
        <f>IFERROR($J853/IF($A853&lt;COUNTIFS($K$1:K$1,"&lt;&gt;"),0,SUMIFS($J:$J,$B:$B,$B853,$A:$A,"&gt;="&amp;COUNTIFS($K$1:K$1,"&lt;&gt;"))),0)</f>
        <v>8.8825214899713484E-2</v>
      </c>
      <c r="L853">
        <f>IFERROR($J853/IF($A853&lt;COUNTIFS($K$1:L$1,"&lt;&gt;"),0,SUMIFS($J:$J,$B:$B,$B853,$A:$A,"&gt;="&amp;COUNTIFS($K$1:L$1,"&lt;&gt;"))),0)</f>
        <v>9.7484276729559768E-2</v>
      </c>
      <c r="M853">
        <f>IFERROR($J853/IF($A853&lt;COUNTIFS($K$1:M$1,"&lt;&gt;"),0,SUMIFS($J:$J,$B:$B,$B853,$A:$A,"&gt;="&amp;COUNTIFS($K$1:M$1,"&lt;&gt;"))),0)</f>
        <v>0.10801393728222998</v>
      </c>
      <c r="N853">
        <f>IFERROR($J853/IF($A853&lt;COUNTIFS($K$1:N$1,"&lt;&gt;"),0,SUMIFS($J:$J,$B:$B,$B853,$A:$A,"&gt;="&amp;COUNTIFS($K$1:N$1,"&lt;&gt;"))),0)</f>
        <v>0.12062256809338523</v>
      </c>
      <c r="O853">
        <f>IFERROR($J853/IF($A853&lt;COUNTIFS($K$1:O$1,"&lt;&gt;"),0,SUMIFS($J:$J,$B:$B,$B853,$A:$A,"&gt;="&amp;COUNTIFS($K$1:O$1,"&lt;&gt;"))),0)</f>
        <v>0.13716814159292037</v>
      </c>
      <c r="P853">
        <f>IFERROR($J853/IF($A853&lt;COUNTIFS($K$1:P$1,"&lt;&gt;"),0,SUMIFS($J:$J,$B:$B,$B853,$A:$A,"&gt;="&amp;COUNTIFS($K$1:P$1,"&lt;&gt;"))),0)</f>
        <v>0.15816326530612249</v>
      </c>
      <c r="Q853">
        <f>IFERROR($J853/IF($A853&lt;COUNTIFS($K$1:Q$1,"&lt;&gt;"),0,SUMIFS($J:$J,$B:$B,$B853,$A:$A,"&gt;="&amp;COUNTIFS($K$1:Q$1,"&lt;&gt;"))),0)</f>
        <v>0</v>
      </c>
      <c r="R853">
        <f>IFERROR($J853/IF($A853&lt;COUNTIFS($K$1:R$1,"&lt;&gt;"),0,SUMIFS($J:$J,$B:$B,$B853,$A:$A,"&gt;="&amp;COUNTIFS($K$1:R$1,"&lt;&gt;"))),0)</f>
        <v>0</v>
      </c>
      <c r="S853">
        <f>IFERROR($J853/IF($A853&lt;COUNTIFS($K$1:S$1,"&lt;&gt;"),0,SUMIFS($J:$J,$B:$B,$B853,$A:$A,"&gt;="&amp;COUNTIFS($K$1:S$1,"&lt;&gt;"))),0)</f>
        <v>0</v>
      </c>
      <c r="T853">
        <f>IFERROR($J853/IF($A853&lt;COUNTIFS($K$1:T$1,"&lt;&gt;"),0,SUMIFS($J:$J,$B:$B,$B853,$A:$A,"&gt;="&amp;COUNTIFS($K$1:T$1,"&lt;&gt;"))),0)</f>
        <v>0</v>
      </c>
      <c r="U853">
        <f>IFERROR($J853/IF($A853&lt;COUNTIFS($K$1:U$1,"&lt;&gt;"),0,SUMIFS($J:$J,$B:$B,$B853,$A:$A,"&gt;="&amp;COUNTIFS($K$1:U$1,"&lt;&gt;"))),0)</f>
        <v>0</v>
      </c>
      <c r="V853">
        <f>IFERROR($J853/IF($A853&lt;COUNTIFS($K$1:V$1,"&lt;&gt;"),0,SUMIFS($J:$J,$B:$B,$B853,$A:$A,"&gt;="&amp;COUNTIFS($K$1:V$1,"&lt;&gt;"))),0)</f>
        <v>0</v>
      </c>
      <c r="W853">
        <f t="shared" si="310"/>
        <v>8.4931506849315067E-2</v>
      </c>
      <c r="X853">
        <f t="shared" si="290"/>
        <v>8.4931506849315067E-2</v>
      </c>
      <c r="Y853">
        <f t="shared" si="291"/>
        <v>8.4931506849315067E-2</v>
      </c>
      <c r="Z853">
        <f t="shared" si="292"/>
        <v>8.4931506849315067E-2</v>
      </c>
      <c r="AA853">
        <f t="shared" si="293"/>
        <v>8.4931506849315067E-2</v>
      </c>
      <c r="AB853">
        <f t="shared" si="294"/>
        <v>8.4931506849315067E-2</v>
      </c>
      <c r="AC853">
        <f t="shared" si="295"/>
        <v>8.4931506849315067E-2</v>
      </c>
      <c r="AD853">
        <f t="shared" si="296"/>
        <v>0</v>
      </c>
      <c r="AE853">
        <f t="shared" si="297"/>
        <v>0</v>
      </c>
      <c r="AF853">
        <f t="shared" si="298"/>
        <v>0</v>
      </c>
      <c r="AG853">
        <f t="shared" si="299"/>
        <v>0</v>
      </c>
      <c r="AH853">
        <f t="shared" si="300"/>
        <v>0</v>
      </c>
      <c r="AI853">
        <f t="shared" si="301"/>
        <v>0</v>
      </c>
      <c r="AJ853" s="2" t="str">
        <f t="shared" si="311"/>
        <v>645809</v>
      </c>
    </row>
    <row r="854" spans="1:36" x14ac:dyDescent="0.25">
      <c r="A854">
        <v>7</v>
      </c>
      <c r="B854" s="1">
        <v>45809</v>
      </c>
      <c r="C854" s="1">
        <f t="shared" si="302"/>
        <v>46023</v>
      </c>
      <c r="D854" s="1">
        <f t="shared" si="303"/>
        <v>45823</v>
      </c>
      <c r="E854" s="1">
        <f t="shared" si="304"/>
        <v>46023</v>
      </c>
      <c r="F854" s="1">
        <f t="shared" si="305"/>
        <v>46054</v>
      </c>
      <c r="G854" s="1">
        <f t="shared" si="306"/>
        <v>46188</v>
      </c>
      <c r="H854">
        <f t="shared" si="307"/>
        <v>365</v>
      </c>
      <c r="I854">
        <f t="shared" si="308"/>
        <v>31</v>
      </c>
      <c r="J854">
        <f t="shared" si="309"/>
        <v>8.4931506849315067E-2</v>
      </c>
      <c r="K854">
        <f>IFERROR($J854/IF($A854&lt;COUNTIFS($K$1:K$1,"&lt;&gt;"),0,SUMIFS($J:$J,$B:$B,$B854,$A:$A,"&gt;="&amp;COUNTIFS($K$1:K$1,"&lt;&gt;"))),0)</f>
        <v>8.8825214899713484E-2</v>
      </c>
      <c r="L854">
        <f>IFERROR($J854/IF($A854&lt;COUNTIFS($K$1:L$1,"&lt;&gt;"),0,SUMIFS($J:$J,$B:$B,$B854,$A:$A,"&gt;="&amp;COUNTIFS($K$1:L$1,"&lt;&gt;"))),0)</f>
        <v>9.7484276729559768E-2</v>
      </c>
      <c r="M854">
        <f>IFERROR($J854/IF($A854&lt;COUNTIFS($K$1:M$1,"&lt;&gt;"),0,SUMIFS($J:$J,$B:$B,$B854,$A:$A,"&gt;="&amp;COUNTIFS($K$1:M$1,"&lt;&gt;"))),0)</f>
        <v>0.10801393728222998</v>
      </c>
      <c r="N854">
        <f>IFERROR($J854/IF($A854&lt;COUNTIFS($K$1:N$1,"&lt;&gt;"),0,SUMIFS($J:$J,$B:$B,$B854,$A:$A,"&gt;="&amp;COUNTIFS($K$1:N$1,"&lt;&gt;"))),0)</f>
        <v>0.12062256809338523</v>
      </c>
      <c r="O854">
        <f>IFERROR($J854/IF($A854&lt;COUNTIFS($K$1:O$1,"&lt;&gt;"),0,SUMIFS($J:$J,$B:$B,$B854,$A:$A,"&gt;="&amp;COUNTIFS($K$1:O$1,"&lt;&gt;"))),0)</f>
        <v>0.13716814159292037</v>
      </c>
      <c r="P854">
        <f>IFERROR($J854/IF($A854&lt;COUNTIFS($K$1:P$1,"&lt;&gt;"),0,SUMIFS($J:$J,$B:$B,$B854,$A:$A,"&gt;="&amp;COUNTIFS($K$1:P$1,"&lt;&gt;"))),0)</f>
        <v>0.15816326530612249</v>
      </c>
      <c r="Q854">
        <f>IFERROR($J854/IF($A854&lt;COUNTIFS($K$1:Q$1,"&lt;&gt;"),0,SUMIFS($J:$J,$B:$B,$B854,$A:$A,"&gt;="&amp;COUNTIFS($K$1:Q$1,"&lt;&gt;"))),0)</f>
        <v>0.1878787878787879</v>
      </c>
      <c r="R854">
        <f>IFERROR($J854/IF($A854&lt;COUNTIFS($K$1:R$1,"&lt;&gt;"),0,SUMIFS($J:$J,$B:$B,$B854,$A:$A,"&gt;="&amp;COUNTIFS($K$1:R$1,"&lt;&gt;"))),0)</f>
        <v>0</v>
      </c>
      <c r="S854">
        <f>IFERROR($J854/IF($A854&lt;COUNTIFS($K$1:S$1,"&lt;&gt;"),0,SUMIFS($J:$J,$B:$B,$B854,$A:$A,"&gt;="&amp;COUNTIFS($K$1:S$1,"&lt;&gt;"))),0)</f>
        <v>0</v>
      </c>
      <c r="T854">
        <f>IFERROR($J854/IF($A854&lt;COUNTIFS($K$1:T$1,"&lt;&gt;"),0,SUMIFS($J:$J,$B:$B,$B854,$A:$A,"&gt;="&amp;COUNTIFS($K$1:T$1,"&lt;&gt;"))),0)</f>
        <v>0</v>
      </c>
      <c r="U854">
        <f>IFERROR($J854/IF($A854&lt;COUNTIFS($K$1:U$1,"&lt;&gt;"),0,SUMIFS($J:$J,$B:$B,$B854,$A:$A,"&gt;="&amp;COUNTIFS($K$1:U$1,"&lt;&gt;"))),0)</f>
        <v>0</v>
      </c>
      <c r="V854">
        <f>IFERROR($J854/IF($A854&lt;COUNTIFS($K$1:V$1,"&lt;&gt;"),0,SUMIFS($J:$J,$B:$B,$B854,$A:$A,"&gt;="&amp;COUNTIFS($K$1:V$1,"&lt;&gt;"))),0)</f>
        <v>0</v>
      </c>
      <c r="W854">
        <f t="shared" si="310"/>
        <v>8.4931506849315067E-2</v>
      </c>
      <c r="X854">
        <f t="shared" si="290"/>
        <v>8.4931506849315067E-2</v>
      </c>
      <c r="Y854">
        <f t="shared" si="291"/>
        <v>8.4931506849315067E-2</v>
      </c>
      <c r="Z854">
        <f t="shared" si="292"/>
        <v>8.4931506849315067E-2</v>
      </c>
      <c r="AA854">
        <f t="shared" si="293"/>
        <v>8.4931506849315067E-2</v>
      </c>
      <c r="AB854">
        <f t="shared" si="294"/>
        <v>8.4931506849315067E-2</v>
      </c>
      <c r="AC854">
        <f t="shared" si="295"/>
        <v>8.4931506849315067E-2</v>
      </c>
      <c r="AD854">
        <f t="shared" si="296"/>
        <v>8.4931506849315067E-2</v>
      </c>
      <c r="AE854">
        <f t="shared" si="297"/>
        <v>0</v>
      </c>
      <c r="AF854">
        <f t="shared" si="298"/>
        <v>0</v>
      </c>
      <c r="AG854">
        <f t="shared" si="299"/>
        <v>0</v>
      </c>
      <c r="AH854">
        <f t="shared" si="300"/>
        <v>0</v>
      </c>
      <c r="AI854">
        <f t="shared" si="301"/>
        <v>0</v>
      </c>
      <c r="AJ854" s="2" t="str">
        <f t="shared" si="311"/>
        <v>745809</v>
      </c>
    </row>
    <row r="855" spans="1:36" x14ac:dyDescent="0.25">
      <c r="A855">
        <v>8</v>
      </c>
      <c r="B855" s="1">
        <v>45809</v>
      </c>
      <c r="C855" s="1">
        <f t="shared" si="302"/>
        <v>46054</v>
      </c>
      <c r="D855" s="1">
        <f t="shared" si="303"/>
        <v>45823</v>
      </c>
      <c r="E855" s="1">
        <f t="shared" si="304"/>
        <v>46054</v>
      </c>
      <c r="F855" s="1">
        <f t="shared" si="305"/>
        <v>46082</v>
      </c>
      <c r="G855" s="1">
        <f t="shared" si="306"/>
        <v>46188</v>
      </c>
      <c r="H855">
        <f t="shared" si="307"/>
        <v>365</v>
      </c>
      <c r="I855">
        <f t="shared" si="308"/>
        <v>28</v>
      </c>
      <c r="J855">
        <f t="shared" si="309"/>
        <v>7.6712328767123292E-2</v>
      </c>
      <c r="K855">
        <f>IFERROR($J855/IF($A855&lt;COUNTIFS($K$1:K$1,"&lt;&gt;"),0,SUMIFS($J:$J,$B:$B,$B855,$A:$A,"&gt;="&amp;COUNTIFS($K$1:K$1,"&lt;&gt;"))),0)</f>
        <v>8.0229226361031539E-2</v>
      </c>
      <c r="L855">
        <f>IFERROR($J855/IF($A855&lt;COUNTIFS($K$1:L$1,"&lt;&gt;"),0,SUMIFS($J:$J,$B:$B,$B855,$A:$A,"&gt;="&amp;COUNTIFS($K$1:L$1,"&lt;&gt;"))),0)</f>
        <v>8.8050314465408827E-2</v>
      </c>
      <c r="M855">
        <f>IFERROR($J855/IF($A855&lt;COUNTIFS($K$1:M$1,"&lt;&gt;"),0,SUMIFS($J:$J,$B:$B,$B855,$A:$A,"&gt;="&amp;COUNTIFS($K$1:M$1,"&lt;&gt;"))),0)</f>
        <v>9.7560975609756115E-2</v>
      </c>
      <c r="N855">
        <f>IFERROR($J855/IF($A855&lt;COUNTIFS($K$1:N$1,"&lt;&gt;"),0,SUMIFS($J:$J,$B:$B,$B855,$A:$A,"&gt;="&amp;COUNTIFS($K$1:N$1,"&lt;&gt;"))),0)</f>
        <v>0.10894941634241248</v>
      </c>
      <c r="O855">
        <f>IFERROR($J855/IF($A855&lt;COUNTIFS($K$1:O$1,"&lt;&gt;"),0,SUMIFS($J:$J,$B:$B,$B855,$A:$A,"&gt;="&amp;COUNTIFS($K$1:O$1,"&lt;&gt;"))),0)</f>
        <v>0.12389380530973454</v>
      </c>
      <c r="P855">
        <f>IFERROR($J855/IF($A855&lt;COUNTIFS($K$1:P$1,"&lt;&gt;"),0,SUMIFS($J:$J,$B:$B,$B855,$A:$A,"&gt;="&amp;COUNTIFS($K$1:P$1,"&lt;&gt;"))),0)</f>
        <v>0.14285714285714288</v>
      </c>
      <c r="Q855">
        <f>IFERROR($J855/IF($A855&lt;COUNTIFS($K$1:Q$1,"&lt;&gt;"),0,SUMIFS($J:$J,$B:$B,$B855,$A:$A,"&gt;="&amp;COUNTIFS($K$1:Q$1,"&lt;&gt;"))),0)</f>
        <v>0.16969696969696971</v>
      </c>
      <c r="R855">
        <f>IFERROR($J855/IF($A855&lt;COUNTIFS($K$1:R$1,"&lt;&gt;"),0,SUMIFS($J:$J,$B:$B,$B855,$A:$A,"&gt;="&amp;COUNTIFS($K$1:R$1,"&lt;&gt;"))),0)</f>
        <v>0.20895522388059704</v>
      </c>
      <c r="S855">
        <f>IFERROR($J855/IF($A855&lt;COUNTIFS($K$1:S$1,"&lt;&gt;"),0,SUMIFS($J:$J,$B:$B,$B855,$A:$A,"&gt;="&amp;COUNTIFS($K$1:S$1,"&lt;&gt;"))),0)</f>
        <v>0</v>
      </c>
      <c r="T855">
        <f>IFERROR($J855/IF($A855&lt;COUNTIFS($K$1:T$1,"&lt;&gt;"),0,SUMIFS($J:$J,$B:$B,$B855,$A:$A,"&gt;="&amp;COUNTIFS($K$1:T$1,"&lt;&gt;"))),0)</f>
        <v>0</v>
      </c>
      <c r="U855">
        <f>IFERROR($J855/IF($A855&lt;COUNTIFS($K$1:U$1,"&lt;&gt;"),0,SUMIFS($J:$J,$B:$B,$B855,$A:$A,"&gt;="&amp;COUNTIFS($K$1:U$1,"&lt;&gt;"))),0)</f>
        <v>0</v>
      </c>
      <c r="V855">
        <f>IFERROR($J855/IF($A855&lt;COUNTIFS($K$1:V$1,"&lt;&gt;"),0,SUMIFS($J:$J,$B:$B,$B855,$A:$A,"&gt;="&amp;COUNTIFS($K$1:V$1,"&lt;&gt;"))),0)</f>
        <v>0</v>
      </c>
      <c r="W855">
        <f t="shared" si="310"/>
        <v>7.6712328767123292E-2</v>
      </c>
      <c r="X855">
        <f t="shared" si="290"/>
        <v>7.6712328767123292E-2</v>
      </c>
      <c r="Y855">
        <f t="shared" si="291"/>
        <v>7.6712328767123292E-2</v>
      </c>
      <c r="Z855">
        <f t="shared" si="292"/>
        <v>7.6712328767123292E-2</v>
      </c>
      <c r="AA855">
        <f t="shared" si="293"/>
        <v>7.6712328767123292E-2</v>
      </c>
      <c r="AB855">
        <f t="shared" si="294"/>
        <v>7.6712328767123292E-2</v>
      </c>
      <c r="AC855">
        <f t="shared" si="295"/>
        <v>7.6712328767123292E-2</v>
      </c>
      <c r="AD855">
        <f t="shared" si="296"/>
        <v>7.6712328767123292E-2</v>
      </c>
      <c r="AE855">
        <f t="shared" si="297"/>
        <v>7.6712328767123292E-2</v>
      </c>
      <c r="AF855">
        <f t="shared" si="298"/>
        <v>0</v>
      </c>
      <c r="AG855">
        <f t="shared" si="299"/>
        <v>0</v>
      </c>
      <c r="AH855">
        <f t="shared" si="300"/>
        <v>0</v>
      </c>
      <c r="AI855">
        <f t="shared" si="301"/>
        <v>0</v>
      </c>
      <c r="AJ855" s="2" t="str">
        <f t="shared" si="311"/>
        <v>845809</v>
      </c>
    </row>
    <row r="856" spans="1:36" x14ac:dyDescent="0.25">
      <c r="A856">
        <v>9</v>
      </c>
      <c r="B856" s="1">
        <v>45809</v>
      </c>
      <c r="C856" s="1">
        <f t="shared" si="302"/>
        <v>46082</v>
      </c>
      <c r="D856" s="1">
        <f t="shared" si="303"/>
        <v>45823</v>
      </c>
      <c r="E856" s="1">
        <f t="shared" si="304"/>
        <v>46082</v>
      </c>
      <c r="F856" s="1">
        <f t="shared" si="305"/>
        <v>46113</v>
      </c>
      <c r="G856" s="1">
        <f t="shared" si="306"/>
        <v>46188</v>
      </c>
      <c r="H856">
        <f t="shared" si="307"/>
        <v>365</v>
      </c>
      <c r="I856">
        <f t="shared" si="308"/>
        <v>31</v>
      </c>
      <c r="J856">
        <f t="shared" si="309"/>
        <v>8.4931506849315067E-2</v>
      </c>
      <c r="K856">
        <f>IFERROR($J856/IF($A856&lt;COUNTIFS($K$1:K$1,"&lt;&gt;"),0,SUMIFS($J:$J,$B:$B,$B856,$A:$A,"&gt;="&amp;COUNTIFS($K$1:K$1,"&lt;&gt;"))),0)</f>
        <v>8.8825214899713484E-2</v>
      </c>
      <c r="L856">
        <f>IFERROR($J856/IF($A856&lt;COUNTIFS($K$1:L$1,"&lt;&gt;"),0,SUMIFS($J:$J,$B:$B,$B856,$A:$A,"&gt;="&amp;COUNTIFS($K$1:L$1,"&lt;&gt;"))),0)</f>
        <v>9.7484276729559768E-2</v>
      </c>
      <c r="M856">
        <f>IFERROR($J856/IF($A856&lt;COUNTIFS($K$1:M$1,"&lt;&gt;"),0,SUMIFS($J:$J,$B:$B,$B856,$A:$A,"&gt;="&amp;COUNTIFS($K$1:M$1,"&lt;&gt;"))),0)</f>
        <v>0.10801393728222998</v>
      </c>
      <c r="N856">
        <f>IFERROR($J856/IF($A856&lt;COUNTIFS($K$1:N$1,"&lt;&gt;"),0,SUMIFS($J:$J,$B:$B,$B856,$A:$A,"&gt;="&amp;COUNTIFS($K$1:N$1,"&lt;&gt;"))),0)</f>
        <v>0.12062256809338523</v>
      </c>
      <c r="O856">
        <f>IFERROR($J856/IF($A856&lt;COUNTIFS($K$1:O$1,"&lt;&gt;"),0,SUMIFS($J:$J,$B:$B,$B856,$A:$A,"&gt;="&amp;COUNTIFS($K$1:O$1,"&lt;&gt;"))),0)</f>
        <v>0.13716814159292037</v>
      </c>
      <c r="P856">
        <f>IFERROR($J856/IF($A856&lt;COUNTIFS($K$1:P$1,"&lt;&gt;"),0,SUMIFS($J:$J,$B:$B,$B856,$A:$A,"&gt;="&amp;COUNTIFS($K$1:P$1,"&lt;&gt;"))),0)</f>
        <v>0.15816326530612249</v>
      </c>
      <c r="Q856">
        <f>IFERROR($J856/IF($A856&lt;COUNTIFS($K$1:Q$1,"&lt;&gt;"),0,SUMIFS($J:$J,$B:$B,$B856,$A:$A,"&gt;="&amp;COUNTIFS($K$1:Q$1,"&lt;&gt;"))),0)</f>
        <v>0.1878787878787879</v>
      </c>
      <c r="R856">
        <f>IFERROR($J856/IF($A856&lt;COUNTIFS($K$1:R$1,"&lt;&gt;"),0,SUMIFS($J:$J,$B:$B,$B856,$A:$A,"&gt;="&amp;COUNTIFS($K$1:R$1,"&lt;&gt;"))),0)</f>
        <v>0.23134328358208955</v>
      </c>
      <c r="S856">
        <f>IFERROR($J856/IF($A856&lt;COUNTIFS($K$1:S$1,"&lt;&gt;"),0,SUMIFS($J:$J,$B:$B,$B856,$A:$A,"&gt;="&amp;COUNTIFS($K$1:S$1,"&lt;&gt;"))),0)</f>
        <v>0.29245283018867929</v>
      </c>
      <c r="T856">
        <f>IFERROR($J856/IF($A856&lt;COUNTIFS($K$1:T$1,"&lt;&gt;"),0,SUMIFS($J:$J,$B:$B,$B856,$A:$A,"&gt;="&amp;COUNTIFS($K$1:T$1,"&lt;&gt;"))),0)</f>
        <v>0</v>
      </c>
      <c r="U856">
        <f>IFERROR($J856/IF($A856&lt;COUNTIFS($K$1:U$1,"&lt;&gt;"),0,SUMIFS($J:$J,$B:$B,$B856,$A:$A,"&gt;="&amp;COUNTIFS($K$1:U$1,"&lt;&gt;"))),0)</f>
        <v>0</v>
      </c>
      <c r="V856">
        <f>IFERROR($J856/IF($A856&lt;COUNTIFS($K$1:V$1,"&lt;&gt;"),0,SUMIFS($J:$J,$B:$B,$B856,$A:$A,"&gt;="&amp;COUNTIFS($K$1:V$1,"&lt;&gt;"))),0)</f>
        <v>0</v>
      </c>
      <c r="W856">
        <f t="shared" si="310"/>
        <v>8.4931506849315067E-2</v>
      </c>
      <c r="X856">
        <f t="shared" si="290"/>
        <v>8.4931506849315067E-2</v>
      </c>
      <c r="Y856">
        <f t="shared" si="291"/>
        <v>8.4931506849315067E-2</v>
      </c>
      <c r="Z856">
        <f t="shared" si="292"/>
        <v>8.4931506849315067E-2</v>
      </c>
      <c r="AA856">
        <f t="shared" si="293"/>
        <v>8.4931506849315067E-2</v>
      </c>
      <c r="AB856">
        <f t="shared" si="294"/>
        <v>8.4931506849315067E-2</v>
      </c>
      <c r="AC856">
        <f t="shared" si="295"/>
        <v>8.4931506849315067E-2</v>
      </c>
      <c r="AD856">
        <f t="shared" si="296"/>
        <v>8.4931506849315067E-2</v>
      </c>
      <c r="AE856">
        <f t="shared" si="297"/>
        <v>8.4931506849315067E-2</v>
      </c>
      <c r="AF856">
        <f t="shared" si="298"/>
        <v>8.4931506849315067E-2</v>
      </c>
      <c r="AG856">
        <f t="shared" si="299"/>
        <v>0</v>
      </c>
      <c r="AH856">
        <f t="shared" si="300"/>
        <v>0</v>
      </c>
      <c r="AI856">
        <f t="shared" si="301"/>
        <v>0</v>
      </c>
      <c r="AJ856" s="2" t="str">
        <f t="shared" si="311"/>
        <v>945809</v>
      </c>
    </row>
    <row r="857" spans="1:36" x14ac:dyDescent="0.25">
      <c r="A857">
        <v>10</v>
      </c>
      <c r="B857" s="1">
        <v>45809</v>
      </c>
      <c r="C857" s="1">
        <f t="shared" si="302"/>
        <v>46113</v>
      </c>
      <c r="D857" s="1">
        <f t="shared" si="303"/>
        <v>45823</v>
      </c>
      <c r="E857" s="1">
        <f t="shared" si="304"/>
        <v>46113</v>
      </c>
      <c r="F857" s="1">
        <f t="shared" si="305"/>
        <v>46143</v>
      </c>
      <c r="G857" s="1">
        <f t="shared" si="306"/>
        <v>46188</v>
      </c>
      <c r="H857">
        <f t="shared" si="307"/>
        <v>365</v>
      </c>
      <c r="I857">
        <f t="shared" si="308"/>
        <v>30</v>
      </c>
      <c r="J857">
        <f t="shared" si="309"/>
        <v>8.2191780821917804E-2</v>
      </c>
      <c r="K857">
        <f>IFERROR($J857/IF($A857&lt;COUNTIFS($K$1:K$1,"&lt;&gt;"),0,SUMIFS($J:$J,$B:$B,$B857,$A:$A,"&gt;="&amp;COUNTIFS($K$1:K$1,"&lt;&gt;"))),0)</f>
        <v>8.5959885386819493E-2</v>
      </c>
      <c r="L857">
        <f>IFERROR($J857/IF($A857&lt;COUNTIFS($K$1:L$1,"&lt;&gt;"),0,SUMIFS($J:$J,$B:$B,$B857,$A:$A,"&gt;="&amp;COUNTIFS($K$1:L$1,"&lt;&gt;"))),0)</f>
        <v>9.4339622641509441E-2</v>
      </c>
      <c r="M857">
        <f>IFERROR($J857/IF($A857&lt;COUNTIFS($K$1:M$1,"&lt;&gt;"),0,SUMIFS($J:$J,$B:$B,$B857,$A:$A,"&gt;="&amp;COUNTIFS($K$1:M$1,"&lt;&gt;"))),0)</f>
        <v>0.10452961672473869</v>
      </c>
      <c r="N857">
        <f>IFERROR($J857/IF($A857&lt;COUNTIFS($K$1:N$1,"&lt;&gt;"),0,SUMIFS($J:$J,$B:$B,$B857,$A:$A,"&gt;="&amp;COUNTIFS($K$1:N$1,"&lt;&gt;"))),0)</f>
        <v>0.11673151750972764</v>
      </c>
      <c r="O857">
        <f>IFERROR($J857/IF($A857&lt;COUNTIFS($K$1:O$1,"&lt;&gt;"),0,SUMIFS($J:$J,$B:$B,$B857,$A:$A,"&gt;="&amp;COUNTIFS($K$1:O$1,"&lt;&gt;"))),0)</f>
        <v>0.13274336283185842</v>
      </c>
      <c r="P857">
        <f>IFERROR($J857/IF($A857&lt;COUNTIFS($K$1:P$1,"&lt;&gt;"),0,SUMIFS($J:$J,$B:$B,$B857,$A:$A,"&gt;="&amp;COUNTIFS($K$1:P$1,"&lt;&gt;"))),0)</f>
        <v>0.15306122448979595</v>
      </c>
      <c r="Q857">
        <f>IFERROR($J857/IF($A857&lt;COUNTIFS($K$1:Q$1,"&lt;&gt;"),0,SUMIFS($J:$J,$B:$B,$B857,$A:$A,"&gt;="&amp;COUNTIFS($K$1:Q$1,"&lt;&gt;"))),0)</f>
        <v>0.18181818181818182</v>
      </c>
      <c r="R857">
        <f>IFERROR($J857/IF($A857&lt;COUNTIFS($K$1:R$1,"&lt;&gt;"),0,SUMIFS($J:$J,$B:$B,$B857,$A:$A,"&gt;="&amp;COUNTIFS($K$1:R$1,"&lt;&gt;"))),0)</f>
        <v>0.22388059701492535</v>
      </c>
      <c r="S857">
        <f>IFERROR($J857/IF($A857&lt;COUNTIFS($K$1:S$1,"&lt;&gt;"),0,SUMIFS($J:$J,$B:$B,$B857,$A:$A,"&gt;="&amp;COUNTIFS($K$1:S$1,"&lt;&gt;"))),0)</f>
        <v>0.28301886792452829</v>
      </c>
      <c r="T857">
        <f>IFERROR($J857/IF($A857&lt;COUNTIFS($K$1:T$1,"&lt;&gt;"),0,SUMIFS($J:$J,$B:$B,$B857,$A:$A,"&gt;="&amp;COUNTIFS($K$1:T$1,"&lt;&gt;"))),0)</f>
        <v>0.4</v>
      </c>
      <c r="U857">
        <f>IFERROR($J857/IF($A857&lt;COUNTIFS($K$1:U$1,"&lt;&gt;"),0,SUMIFS($J:$J,$B:$B,$B857,$A:$A,"&gt;="&amp;COUNTIFS($K$1:U$1,"&lt;&gt;"))),0)</f>
        <v>0</v>
      </c>
      <c r="V857">
        <f>IFERROR($J857/IF($A857&lt;COUNTIFS($K$1:V$1,"&lt;&gt;"),0,SUMIFS($J:$J,$B:$B,$B857,$A:$A,"&gt;="&amp;COUNTIFS($K$1:V$1,"&lt;&gt;"))),0)</f>
        <v>0</v>
      </c>
      <c r="W857">
        <f t="shared" si="310"/>
        <v>8.2191780821917804E-2</v>
      </c>
      <c r="X857">
        <f t="shared" si="290"/>
        <v>8.2191780821917804E-2</v>
      </c>
      <c r="Y857">
        <f t="shared" si="291"/>
        <v>8.2191780821917804E-2</v>
      </c>
      <c r="Z857">
        <f t="shared" si="292"/>
        <v>8.2191780821917804E-2</v>
      </c>
      <c r="AA857">
        <f t="shared" si="293"/>
        <v>8.2191780821917804E-2</v>
      </c>
      <c r="AB857">
        <f t="shared" si="294"/>
        <v>8.2191780821917804E-2</v>
      </c>
      <c r="AC857">
        <f t="shared" si="295"/>
        <v>8.2191780821917804E-2</v>
      </c>
      <c r="AD857">
        <f t="shared" si="296"/>
        <v>8.2191780821917804E-2</v>
      </c>
      <c r="AE857">
        <f t="shared" si="297"/>
        <v>8.2191780821917804E-2</v>
      </c>
      <c r="AF857">
        <f t="shared" si="298"/>
        <v>8.2191780821917804E-2</v>
      </c>
      <c r="AG857">
        <f t="shared" si="299"/>
        <v>8.2191780821917804E-2</v>
      </c>
      <c r="AH857">
        <f t="shared" si="300"/>
        <v>0</v>
      </c>
      <c r="AI857">
        <f t="shared" si="301"/>
        <v>0</v>
      </c>
      <c r="AJ857" s="2" t="str">
        <f t="shared" si="311"/>
        <v>1045809</v>
      </c>
    </row>
    <row r="858" spans="1:36" x14ac:dyDescent="0.25">
      <c r="A858">
        <v>11</v>
      </c>
      <c r="B858" s="1">
        <v>45809</v>
      </c>
      <c r="C858" s="1">
        <f t="shared" si="302"/>
        <v>46143</v>
      </c>
      <c r="D858" s="1">
        <f t="shared" si="303"/>
        <v>45823</v>
      </c>
      <c r="E858" s="1">
        <f t="shared" si="304"/>
        <v>46143</v>
      </c>
      <c r="F858" s="1">
        <f t="shared" si="305"/>
        <v>46174</v>
      </c>
      <c r="G858" s="1">
        <f t="shared" si="306"/>
        <v>46188</v>
      </c>
      <c r="H858">
        <f t="shared" si="307"/>
        <v>365</v>
      </c>
      <c r="I858">
        <f t="shared" si="308"/>
        <v>31</v>
      </c>
      <c r="J858">
        <f t="shared" si="309"/>
        <v>8.4931506849315067E-2</v>
      </c>
      <c r="K858">
        <f>IFERROR($J858/IF($A858&lt;COUNTIFS($K$1:K$1,"&lt;&gt;"),0,SUMIFS($J:$J,$B:$B,$B858,$A:$A,"&gt;="&amp;COUNTIFS($K$1:K$1,"&lt;&gt;"))),0)</f>
        <v>8.8825214899713484E-2</v>
      </c>
      <c r="L858">
        <f>IFERROR($J858/IF($A858&lt;COUNTIFS($K$1:L$1,"&lt;&gt;"),0,SUMIFS($J:$J,$B:$B,$B858,$A:$A,"&gt;="&amp;COUNTIFS($K$1:L$1,"&lt;&gt;"))),0)</f>
        <v>9.7484276729559768E-2</v>
      </c>
      <c r="M858">
        <f>IFERROR($J858/IF($A858&lt;COUNTIFS($K$1:M$1,"&lt;&gt;"),0,SUMIFS($J:$J,$B:$B,$B858,$A:$A,"&gt;="&amp;COUNTIFS($K$1:M$1,"&lt;&gt;"))),0)</f>
        <v>0.10801393728222998</v>
      </c>
      <c r="N858">
        <f>IFERROR($J858/IF($A858&lt;COUNTIFS($K$1:N$1,"&lt;&gt;"),0,SUMIFS($J:$J,$B:$B,$B858,$A:$A,"&gt;="&amp;COUNTIFS($K$1:N$1,"&lt;&gt;"))),0)</f>
        <v>0.12062256809338523</v>
      </c>
      <c r="O858">
        <f>IFERROR($J858/IF($A858&lt;COUNTIFS($K$1:O$1,"&lt;&gt;"),0,SUMIFS($J:$J,$B:$B,$B858,$A:$A,"&gt;="&amp;COUNTIFS($K$1:O$1,"&lt;&gt;"))),0)</f>
        <v>0.13716814159292037</v>
      </c>
      <c r="P858">
        <f>IFERROR($J858/IF($A858&lt;COUNTIFS($K$1:P$1,"&lt;&gt;"),0,SUMIFS($J:$J,$B:$B,$B858,$A:$A,"&gt;="&amp;COUNTIFS($K$1:P$1,"&lt;&gt;"))),0)</f>
        <v>0.15816326530612249</v>
      </c>
      <c r="Q858">
        <f>IFERROR($J858/IF($A858&lt;COUNTIFS($K$1:Q$1,"&lt;&gt;"),0,SUMIFS($J:$J,$B:$B,$B858,$A:$A,"&gt;="&amp;COUNTIFS($K$1:Q$1,"&lt;&gt;"))),0)</f>
        <v>0.1878787878787879</v>
      </c>
      <c r="R858">
        <f>IFERROR($J858/IF($A858&lt;COUNTIFS($K$1:R$1,"&lt;&gt;"),0,SUMIFS($J:$J,$B:$B,$B858,$A:$A,"&gt;="&amp;COUNTIFS($K$1:R$1,"&lt;&gt;"))),0)</f>
        <v>0.23134328358208955</v>
      </c>
      <c r="S858">
        <f>IFERROR($J858/IF($A858&lt;COUNTIFS($K$1:S$1,"&lt;&gt;"),0,SUMIFS($J:$J,$B:$B,$B858,$A:$A,"&gt;="&amp;COUNTIFS($K$1:S$1,"&lt;&gt;"))),0)</f>
        <v>0.29245283018867929</v>
      </c>
      <c r="T858">
        <f>IFERROR($J858/IF($A858&lt;COUNTIFS($K$1:T$1,"&lt;&gt;"),0,SUMIFS($J:$J,$B:$B,$B858,$A:$A,"&gt;="&amp;COUNTIFS($K$1:T$1,"&lt;&gt;"))),0)</f>
        <v>0.41333333333333333</v>
      </c>
      <c r="U858">
        <f>IFERROR($J858/IF($A858&lt;COUNTIFS($K$1:U$1,"&lt;&gt;"),0,SUMIFS($J:$J,$B:$B,$B858,$A:$A,"&gt;="&amp;COUNTIFS($K$1:U$1,"&lt;&gt;"))),0)</f>
        <v>0.68888888888888888</v>
      </c>
      <c r="V858">
        <f>IFERROR($J858/IF($A858&lt;COUNTIFS($K$1:V$1,"&lt;&gt;"),0,SUMIFS($J:$J,$B:$B,$B858,$A:$A,"&gt;="&amp;COUNTIFS($K$1:V$1,"&lt;&gt;"))),0)</f>
        <v>0</v>
      </c>
      <c r="W858">
        <f t="shared" si="310"/>
        <v>8.4931506849315067E-2</v>
      </c>
      <c r="X858">
        <f t="shared" si="290"/>
        <v>8.4931506849315067E-2</v>
      </c>
      <c r="Y858">
        <f t="shared" si="291"/>
        <v>8.4931506849315067E-2</v>
      </c>
      <c r="Z858">
        <f t="shared" si="292"/>
        <v>8.4931506849315067E-2</v>
      </c>
      <c r="AA858">
        <f t="shared" si="293"/>
        <v>8.4931506849315067E-2</v>
      </c>
      <c r="AB858">
        <f t="shared" si="294"/>
        <v>8.4931506849315067E-2</v>
      </c>
      <c r="AC858">
        <f t="shared" si="295"/>
        <v>8.4931506849315067E-2</v>
      </c>
      <c r="AD858">
        <f t="shared" si="296"/>
        <v>8.4931506849315067E-2</v>
      </c>
      <c r="AE858">
        <f t="shared" si="297"/>
        <v>8.4931506849315067E-2</v>
      </c>
      <c r="AF858">
        <f t="shared" si="298"/>
        <v>8.4931506849315067E-2</v>
      </c>
      <c r="AG858">
        <f t="shared" si="299"/>
        <v>8.4931506849315067E-2</v>
      </c>
      <c r="AH858">
        <f t="shared" si="300"/>
        <v>8.4931506849315067E-2</v>
      </c>
      <c r="AI858">
        <f t="shared" si="301"/>
        <v>0</v>
      </c>
      <c r="AJ858" s="2" t="str">
        <f t="shared" si="311"/>
        <v>1145809</v>
      </c>
    </row>
    <row r="859" spans="1:36" x14ac:dyDescent="0.25">
      <c r="A859">
        <v>12</v>
      </c>
      <c r="B859" s="1">
        <v>45809</v>
      </c>
      <c r="C859" s="1">
        <f t="shared" si="302"/>
        <v>46174</v>
      </c>
      <c r="D859" s="1">
        <f t="shared" si="303"/>
        <v>45823</v>
      </c>
      <c r="E859" s="1">
        <f t="shared" si="304"/>
        <v>46174</v>
      </c>
      <c r="F859" s="1">
        <f t="shared" si="305"/>
        <v>46188</v>
      </c>
      <c r="G859" s="1">
        <f t="shared" si="306"/>
        <v>46188</v>
      </c>
      <c r="H859">
        <f t="shared" si="307"/>
        <v>365</v>
      </c>
      <c r="I859">
        <f t="shared" si="308"/>
        <v>14</v>
      </c>
      <c r="J859">
        <f t="shared" si="309"/>
        <v>3.8356164383561646E-2</v>
      </c>
      <c r="K859">
        <f>IFERROR($J859/IF($A859&lt;COUNTIFS($K$1:K$1,"&lt;&gt;"),0,SUMIFS($J:$J,$B:$B,$B859,$A:$A,"&gt;="&amp;COUNTIFS($K$1:K$1,"&lt;&gt;"))),0)</f>
        <v>4.0114613180515769E-2</v>
      </c>
      <c r="L859">
        <f>IFERROR($J859/IF($A859&lt;COUNTIFS($K$1:L$1,"&lt;&gt;"),0,SUMIFS($J:$J,$B:$B,$B859,$A:$A,"&gt;="&amp;COUNTIFS($K$1:L$1,"&lt;&gt;"))),0)</f>
        <v>4.4025157232704414E-2</v>
      </c>
      <c r="M859">
        <f>IFERROR($J859/IF($A859&lt;COUNTIFS($K$1:M$1,"&lt;&gt;"),0,SUMIFS($J:$J,$B:$B,$B859,$A:$A,"&gt;="&amp;COUNTIFS($K$1:M$1,"&lt;&gt;"))),0)</f>
        <v>4.8780487804878057E-2</v>
      </c>
      <c r="N859">
        <f>IFERROR($J859/IF($A859&lt;COUNTIFS($K$1:N$1,"&lt;&gt;"),0,SUMIFS($J:$J,$B:$B,$B859,$A:$A,"&gt;="&amp;COUNTIFS($K$1:N$1,"&lt;&gt;"))),0)</f>
        <v>5.447470817120624E-2</v>
      </c>
      <c r="O859">
        <f>IFERROR($J859/IF($A859&lt;COUNTIFS($K$1:O$1,"&lt;&gt;"),0,SUMIFS($J:$J,$B:$B,$B859,$A:$A,"&gt;="&amp;COUNTIFS($K$1:O$1,"&lt;&gt;"))),0)</f>
        <v>6.194690265486727E-2</v>
      </c>
      <c r="P859">
        <f>IFERROR($J859/IF($A859&lt;COUNTIFS($K$1:P$1,"&lt;&gt;"),0,SUMIFS($J:$J,$B:$B,$B859,$A:$A,"&gt;="&amp;COUNTIFS($K$1:P$1,"&lt;&gt;"))),0)</f>
        <v>7.1428571428571438E-2</v>
      </c>
      <c r="Q859">
        <f>IFERROR($J859/IF($A859&lt;COUNTIFS($K$1:Q$1,"&lt;&gt;"),0,SUMIFS($J:$J,$B:$B,$B859,$A:$A,"&gt;="&amp;COUNTIFS($K$1:Q$1,"&lt;&gt;"))),0)</f>
        <v>8.4848484848484854E-2</v>
      </c>
      <c r="R859">
        <f>IFERROR($J859/IF($A859&lt;COUNTIFS($K$1:R$1,"&lt;&gt;"),0,SUMIFS($J:$J,$B:$B,$B859,$A:$A,"&gt;="&amp;COUNTIFS($K$1:R$1,"&lt;&gt;"))),0)</f>
        <v>0.10447761194029852</v>
      </c>
      <c r="S859">
        <f>IFERROR($J859/IF($A859&lt;COUNTIFS($K$1:S$1,"&lt;&gt;"),0,SUMIFS($J:$J,$B:$B,$B859,$A:$A,"&gt;="&amp;COUNTIFS($K$1:S$1,"&lt;&gt;"))),0)</f>
        <v>0.13207547169811323</v>
      </c>
      <c r="T859">
        <f>IFERROR($J859/IF($A859&lt;COUNTIFS($K$1:T$1,"&lt;&gt;"),0,SUMIFS($J:$J,$B:$B,$B859,$A:$A,"&gt;="&amp;COUNTIFS($K$1:T$1,"&lt;&gt;"))),0)</f>
        <v>0.18666666666666668</v>
      </c>
      <c r="U859">
        <f>IFERROR($J859/IF($A859&lt;COUNTIFS($K$1:U$1,"&lt;&gt;"),0,SUMIFS($J:$J,$B:$B,$B859,$A:$A,"&gt;="&amp;COUNTIFS($K$1:U$1,"&lt;&gt;"))),0)</f>
        <v>0.31111111111111117</v>
      </c>
      <c r="V859">
        <f>IFERROR($J859/IF($A859&lt;COUNTIFS($K$1:V$1,"&lt;&gt;"),0,SUMIFS($J:$J,$B:$B,$B859,$A:$A,"&gt;="&amp;COUNTIFS($K$1:V$1,"&lt;&gt;"))),0)</f>
        <v>1</v>
      </c>
      <c r="W859">
        <f t="shared" si="310"/>
        <v>3.8356164383561646E-2</v>
      </c>
      <c r="X859">
        <f t="shared" si="290"/>
        <v>3.8356164383561646E-2</v>
      </c>
      <c r="Y859">
        <f t="shared" si="291"/>
        <v>3.8356164383561646E-2</v>
      </c>
      <c r="Z859">
        <f t="shared" si="292"/>
        <v>3.8356164383561646E-2</v>
      </c>
      <c r="AA859">
        <f t="shared" si="293"/>
        <v>3.8356164383561646E-2</v>
      </c>
      <c r="AB859">
        <f t="shared" si="294"/>
        <v>3.8356164383561646E-2</v>
      </c>
      <c r="AC859">
        <f t="shared" si="295"/>
        <v>3.8356164383561646E-2</v>
      </c>
      <c r="AD859">
        <f t="shared" si="296"/>
        <v>3.8356164383561646E-2</v>
      </c>
      <c r="AE859">
        <f t="shared" si="297"/>
        <v>3.8356164383561646E-2</v>
      </c>
      <c r="AF859">
        <f t="shared" si="298"/>
        <v>3.8356164383561646E-2</v>
      </c>
      <c r="AG859">
        <f t="shared" si="299"/>
        <v>3.8356164383561646E-2</v>
      </c>
      <c r="AH859">
        <f t="shared" si="300"/>
        <v>3.8356164383561646E-2</v>
      </c>
      <c r="AI859">
        <f t="shared" si="301"/>
        <v>3.8356164383561646E-2</v>
      </c>
      <c r="AJ859" s="2" t="str">
        <f t="shared" si="311"/>
        <v>1245809</v>
      </c>
    </row>
    <row r="860" spans="1:36" x14ac:dyDescent="0.25">
      <c r="A860">
        <v>0</v>
      </c>
      <c r="B860" s="1">
        <v>45839</v>
      </c>
      <c r="C860" s="1">
        <f t="shared" si="302"/>
        <v>45839</v>
      </c>
      <c r="D860" s="1">
        <f t="shared" si="303"/>
        <v>45853</v>
      </c>
      <c r="E860" s="1">
        <f t="shared" si="304"/>
        <v>45853</v>
      </c>
      <c r="F860" s="1">
        <f t="shared" si="305"/>
        <v>45870</v>
      </c>
      <c r="G860" s="1">
        <f t="shared" si="306"/>
        <v>46218</v>
      </c>
      <c r="H860">
        <f t="shared" si="307"/>
        <v>365</v>
      </c>
      <c r="I860">
        <f t="shared" si="308"/>
        <v>17</v>
      </c>
      <c r="J860">
        <f t="shared" si="309"/>
        <v>4.6575342465753428E-2</v>
      </c>
      <c r="K860">
        <f>IFERROR($J860/IF($A860&lt;COUNTIFS($K$1:K$1,"&lt;&gt;"),0,SUMIFS($J:$J,$B:$B,$B860,$A:$A,"&gt;="&amp;COUNTIFS($K$1:K$1,"&lt;&gt;"))),0)</f>
        <v>0</v>
      </c>
      <c r="L860">
        <f>IFERROR($J860/IF($A860&lt;COUNTIFS($K$1:L$1,"&lt;&gt;"),0,SUMIFS($J:$J,$B:$B,$B860,$A:$A,"&gt;="&amp;COUNTIFS($K$1:L$1,"&lt;&gt;"))),0)</f>
        <v>0</v>
      </c>
      <c r="M860">
        <f>IFERROR($J860/IF($A860&lt;COUNTIFS($K$1:M$1,"&lt;&gt;"),0,SUMIFS($J:$J,$B:$B,$B860,$A:$A,"&gt;="&amp;COUNTIFS($K$1:M$1,"&lt;&gt;"))),0)</f>
        <v>0</v>
      </c>
      <c r="N860">
        <f>IFERROR($J860/IF($A860&lt;COUNTIFS($K$1:N$1,"&lt;&gt;"),0,SUMIFS($J:$J,$B:$B,$B860,$A:$A,"&gt;="&amp;COUNTIFS($K$1:N$1,"&lt;&gt;"))),0)</f>
        <v>0</v>
      </c>
      <c r="O860">
        <f>IFERROR($J860/IF($A860&lt;COUNTIFS($K$1:O$1,"&lt;&gt;"),0,SUMIFS($J:$J,$B:$B,$B860,$A:$A,"&gt;="&amp;COUNTIFS($K$1:O$1,"&lt;&gt;"))),0)</f>
        <v>0</v>
      </c>
      <c r="P860">
        <f>IFERROR($J860/IF($A860&lt;COUNTIFS($K$1:P$1,"&lt;&gt;"),0,SUMIFS($J:$J,$B:$B,$B860,$A:$A,"&gt;="&amp;COUNTIFS($K$1:P$1,"&lt;&gt;"))),0)</f>
        <v>0</v>
      </c>
      <c r="Q860">
        <f>IFERROR($J860/IF($A860&lt;COUNTIFS($K$1:Q$1,"&lt;&gt;"),0,SUMIFS($J:$J,$B:$B,$B860,$A:$A,"&gt;="&amp;COUNTIFS($K$1:Q$1,"&lt;&gt;"))),0)</f>
        <v>0</v>
      </c>
      <c r="R860">
        <f>IFERROR($J860/IF($A860&lt;COUNTIFS($K$1:R$1,"&lt;&gt;"),0,SUMIFS($J:$J,$B:$B,$B860,$A:$A,"&gt;="&amp;COUNTIFS($K$1:R$1,"&lt;&gt;"))),0)</f>
        <v>0</v>
      </c>
      <c r="S860">
        <f>IFERROR($J860/IF($A860&lt;COUNTIFS($K$1:S$1,"&lt;&gt;"),0,SUMIFS($J:$J,$B:$B,$B860,$A:$A,"&gt;="&amp;COUNTIFS($K$1:S$1,"&lt;&gt;"))),0)</f>
        <v>0</v>
      </c>
      <c r="T860">
        <f>IFERROR($J860/IF($A860&lt;COUNTIFS($K$1:T$1,"&lt;&gt;"),0,SUMIFS($J:$J,$B:$B,$B860,$A:$A,"&gt;="&amp;COUNTIFS($K$1:T$1,"&lt;&gt;"))),0)</f>
        <v>0</v>
      </c>
      <c r="U860">
        <f>IFERROR($J860/IF($A860&lt;COUNTIFS($K$1:U$1,"&lt;&gt;"),0,SUMIFS($J:$J,$B:$B,$B860,$A:$A,"&gt;="&amp;COUNTIFS($K$1:U$1,"&lt;&gt;"))),0)</f>
        <v>0</v>
      </c>
      <c r="V860">
        <f>IFERROR($J860/IF($A860&lt;COUNTIFS($K$1:V$1,"&lt;&gt;"),0,SUMIFS($J:$J,$B:$B,$B860,$A:$A,"&gt;="&amp;COUNTIFS($K$1:V$1,"&lt;&gt;"))),0)</f>
        <v>0</v>
      </c>
      <c r="W860">
        <f t="shared" si="310"/>
        <v>4.6575342465753428E-2</v>
      </c>
      <c r="X860">
        <f t="shared" si="290"/>
        <v>0</v>
      </c>
      <c r="Y860">
        <f t="shared" si="291"/>
        <v>0</v>
      </c>
      <c r="Z860">
        <f t="shared" si="292"/>
        <v>0</v>
      </c>
      <c r="AA860">
        <f t="shared" si="293"/>
        <v>0</v>
      </c>
      <c r="AB860">
        <f t="shared" si="294"/>
        <v>0</v>
      </c>
      <c r="AC860">
        <f t="shared" si="295"/>
        <v>0</v>
      </c>
      <c r="AD860">
        <f t="shared" si="296"/>
        <v>0</v>
      </c>
      <c r="AE860">
        <f t="shared" si="297"/>
        <v>0</v>
      </c>
      <c r="AF860">
        <f t="shared" si="298"/>
        <v>0</v>
      </c>
      <c r="AG860">
        <f t="shared" si="299"/>
        <v>0</v>
      </c>
      <c r="AH860">
        <f t="shared" si="300"/>
        <v>0</v>
      </c>
      <c r="AI860">
        <f t="shared" si="301"/>
        <v>0</v>
      </c>
      <c r="AJ860" s="2" t="str">
        <f t="shared" si="311"/>
        <v>045839</v>
      </c>
    </row>
    <row r="861" spans="1:36" x14ac:dyDescent="0.25">
      <c r="A861">
        <v>1</v>
      </c>
      <c r="B861" s="1">
        <v>45839</v>
      </c>
      <c r="C861" s="1">
        <f t="shared" si="302"/>
        <v>45870</v>
      </c>
      <c r="D861" s="1">
        <f t="shared" si="303"/>
        <v>45853</v>
      </c>
      <c r="E861" s="1">
        <f t="shared" si="304"/>
        <v>45870</v>
      </c>
      <c r="F861" s="1">
        <f t="shared" si="305"/>
        <v>45901</v>
      </c>
      <c r="G861" s="1">
        <f t="shared" si="306"/>
        <v>46218</v>
      </c>
      <c r="H861">
        <f t="shared" si="307"/>
        <v>365</v>
      </c>
      <c r="I861">
        <f t="shared" si="308"/>
        <v>31</v>
      </c>
      <c r="J861">
        <f t="shared" si="309"/>
        <v>8.4931506849315067E-2</v>
      </c>
      <c r="K861">
        <f>IFERROR($J861/IF($A861&lt;COUNTIFS($K$1:K$1,"&lt;&gt;"),0,SUMIFS($J:$J,$B:$B,$B861,$A:$A,"&gt;="&amp;COUNTIFS($K$1:K$1,"&lt;&gt;"))),0)</f>
        <v>8.9080459770114959E-2</v>
      </c>
      <c r="L861">
        <f>IFERROR($J861/IF($A861&lt;COUNTIFS($K$1:L$1,"&lt;&gt;"),0,SUMIFS($J:$J,$B:$B,$B861,$A:$A,"&gt;="&amp;COUNTIFS($K$1:L$1,"&lt;&gt;"))),0)</f>
        <v>0</v>
      </c>
      <c r="M861">
        <f>IFERROR($J861/IF($A861&lt;COUNTIFS($K$1:M$1,"&lt;&gt;"),0,SUMIFS($J:$J,$B:$B,$B861,$A:$A,"&gt;="&amp;COUNTIFS($K$1:M$1,"&lt;&gt;"))),0)</f>
        <v>0</v>
      </c>
      <c r="N861">
        <f>IFERROR($J861/IF($A861&lt;COUNTIFS($K$1:N$1,"&lt;&gt;"),0,SUMIFS($J:$J,$B:$B,$B861,$A:$A,"&gt;="&amp;COUNTIFS($K$1:N$1,"&lt;&gt;"))),0)</f>
        <v>0</v>
      </c>
      <c r="O861">
        <f>IFERROR($J861/IF($A861&lt;COUNTIFS($K$1:O$1,"&lt;&gt;"),0,SUMIFS($J:$J,$B:$B,$B861,$A:$A,"&gt;="&amp;COUNTIFS($K$1:O$1,"&lt;&gt;"))),0)</f>
        <v>0</v>
      </c>
      <c r="P861">
        <f>IFERROR($J861/IF($A861&lt;COUNTIFS($K$1:P$1,"&lt;&gt;"),0,SUMIFS($J:$J,$B:$B,$B861,$A:$A,"&gt;="&amp;COUNTIFS($K$1:P$1,"&lt;&gt;"))),0)</f>
        <v>0</v>
      </c>
      <c r="Q861">
        <f>IFERROR($J861/IF($A861&lt;COUNTIFS($K$1:Q$1,"&lt;&gt;"),0,SUMIFS($J:$J,$B:$B,$B861,$A:$A,"&gt;="&amp;COUNTIFS($K$1:Q$1,"&lt;&gt;"))),0)</f>
        <v>0</v>
      </c>
      <c r="R861">
        <f>IFERROR($J861/IF($A861&lt;COUNTIFS($K$1:R$1,"&lt;&gt;"),0,SUMIFS($J:$J,$B:$B,$B861,$A:$A,"&gt;="&amp;COUNTIFS($K$1:R$1,"&lt;&gt;"))),0)</f>
        <v>0</v>
      </c>
      <c r="S861">
        <f>IFERROR($J861/IF($A861&lt;COUNTIFS($K$1:S$1,"&lt;&gt;"),0,SUMIFS($J:$J,$B:$B,$B861,$A:$A,"&gt;="&amp;COUNTIFS($K$1:S$1,"&lt;&gt;"))),0)</f>
        <v>0</v>
      </c>
      <c r="T861">
        <f>IFERROR($J861/IF($A861&lt;COUNTIFS($K$1:T$1,"&lt;&gt;"),0,SUMIFS($J:$J,$B:$B,$B861,$A:$A,"&gt;="&amp;COUNTIFS($K$1:T$1,"&lt;&gt;"))),0)</f>
        <v>0</v>
      </c>
      <c r="U861">
        <f>IFERROR($J861/IF($A861&lt;COUNTIFS($K$1:U$1,"&lt;&gt;"),0,SUMIFS($J:$J,$B:$B,$B861,$A:$A,"&gt;="&amp;COUNTIFS($K$1:U$1,"&lt;&gt;"))),0)</f>
        <v>0</v>
      </c>
      <c r="V861">
        <f>IFERROR($J861/IF($A861&lt;COUNTIFS($K$1:V$1,"&lt;&gt;"),0,SUMIFS($J:$J,$B:$B,$B861,$A:$A,"&gt;="&amp;COUNTIFS($K$1:V$1,"&lt;&gt;"))),0)</f>
        <v>0</v>
      </c>
      <c r="W861">
        <f t="shared" si="310"/>
        <v>8.4931506849315067E-2</v>
      </c>
      <c r="X861">
        <f t="shared" si="290"/>
        <v>8.4931506849315067E-2</v>
      </c>
      <c r="Y861">
        <f t="shared" si="291"/>
        <v>0</v>
      </c>
      <c r="Z861">
        <f t="shared" si="292"/>
        <v>0</v>
      </c>
      <c r="AA861">
        <f t="shared" si="293"/>
        <v>0</v>
      </c>
      <c r="AB861">
        <f t="shared" si="294"/>
        <v>0</v>
      </c>
      <c r="AC861">
        <f t="shared" si="295"/>
        <v>0</v>
      </c>
      <c r="AD861">
        <f t="shared" si="296"/>
        <v>0</v>
      </c>
      <c r="AE861">
        <f t="shared" si="297"/>
        <v>0</v>
      </c>
      <c r="AF861">
        <f t="shared" si="298"/>
        <v>0</v>
      </c>
      <c r="AG861">
        <f t="shared" si="299"/>
        <v>0</v>
      </c>
      <c r="AH861">
        <f t="shared" si="300"/>
        <v>0</v>
      </c>
      <c r="AI861">
        <f t="shared" si="301"/>
        <v>0</v>
      </c>
      <c r="AJ861" s="2" t="str">
        <f t="shared" si="311"/>
        <v>145839</v>
      </c>
    </row>
    <row r="862" spans="1:36" x14ac:dyDescent="0.25">
      <c r="A862">
        <v>2</v>
      </c>
      <c r="B862" s="1">
        <v>45839</v>
      </c>
      <c r="C862" s="1">
        <f t="shared" si="302"/>
        <v>45901</v>
      </c>
      <c r="D862" s="1">
        <f t="shared" si="303"/>
        <v>45853</v>
      </c>
      <c r="E862" s="1">
        <f t="shared" si="304"/>
        <v>45901</v>
      </c>
      <c r="F862" s="1">
        <f t="shared" si="305"/>
        <v>45931</v>
      </c>
      <c r="G862" s="1">
        <f t="shared" si="306"/>
        <v>46218</v>
      </c>
      <c r="H862">
        <f t="shared" si="307"/>
        <v>365</v>
      </c>
      <c r="I862">
        <f t="shared" si="308"/>
        <v>30</v>
      </c>
      <c r="J862">
        <f t="shared" si="309"/>
        <v>8.2191780821917804E-2</v>
      </c>
      <c r="K862">
        <f>IFERROR($J862/IF($A862&lt;COUNTIFS($K$1:K$1,"&lt;&gt;"),0,SUMIFS($J:$J,$B:$B,$B862,$A:$A,"&gt;="&amp;COUNTIFS($K$1:K$1,"&lt;&gt;"))),0)</f>
        <v>8.6206896551724144E-2</v>
      </c>
      <c r="L862">
        <f>IFERROR($J862/IF($A862&lt;COUNTIFS($K$1:L$1,"&lt;&gt;"),0,SUMIFS($J:$J,$B:$B,$B862,$A:$A,"&gt;="&amp;COUNTIFS($K$1:L$1,"&lt;&gt;"))),0)</f>
        <v>9.4637223974763415E-2</v>
      </c>
      <c r="M862">
        <f>IFERROR($J862/IF($A862&lt;COUNTIFS($K$1:M$1,"&lt;&gt;"),0,SUMIFS($J:$J,$B:$B,$B862,$A:$A,"&gt;="&amp;COUNTIFS($K$1:M$1,"&lt;&gt;"))),0)</f>
        <v>0</v>
      </c>
      <c r="N862">
        <f>IFERROR($J862/IF($A862&lt;COUNTIFS($K$1:N$1,"&lt;&gt;"),0,SUMIFS($J:$J,$B:$B,$B862,$A:$A,"&gt;="&amp;COUNTIFS($K$1:N$1,"&lt;&gt;"))),0)</f>
        <v>0</v>
      </c>
      <c r="O862">
        <f>IFERROR($J862/IF($A862&lt;COUNTIFS($K$1:O$1,"&lt;&gt;"),0,SUMIFS($J:$J,$B:$B,$B862,$A:$A,"&gt;="&amp;COUNTIFS($K$1:O$1,"&lt;&gt;"))),0)</f>
        <v>0</v>
      </c>
      <c r="P862">
        <f>IFERROR($J862/IF($A862&lt;COUNTIFS($K$1:P$1,"&lt;&gt;"),0,SUMIFS($J:$J,$B:$B,$B862,$A:$A,"&gt;="&amp;COUNTIFS($K$1:P$1,"&lt;&gt;"))),0)</f>
        <v>0</v>
      </c>
      <c r="Q862">
        <f>IFERROR($J862/IF($A862&lt;COUNTIFS($K$1:Q$1,"&lt;&gt;"),0,SUMIFS($J:$J,$B:$B,$B862,$A:$A,"&gt;="&amp;COUNTIFS($K$1:Q$1,"&lt;&gt;"))),0)</f>
        <v>0</v>
      </c>
      <c r="R862">
        <f>IFERROR($J862/IF($A862&lt;COUNTIFS($K$1:R$1,"&lt;&gt;"),0,SUMIFS($J:$J,$B:$B,$B862,$A:$A,"&gt;="&amp;COUNTIFS($K$1:R$1,"&lt;&gt;"))),0)</f>
        <v>0</v>
      </c>
      <c r="S862">
        <f>IFERROR($J862/IF($A862&lt;COUNTIFS($K$1:S$1,"&lt;&gt;"),0,SUMIFS($J:$J,$B:$B,$B862,$A:$A,"&gt;="&amp;COUNTIFS($K$1:S$1,"&lt;&gt;"))),0)</f>
        <v>0</v>
      </c>
      <c r="T862">
        <f>IFERROR($J862/IF($A862&lt;COUNTIFS($K$1:T$1,"&lt;&gt;"),0,SUMIFS($J:$J,$B:$B,$B862,$A:$A,"&gt;="&amp;COUNTIFS($K$1:T$1,"&lt;&gt;"))),0)</f>
        <v>0</v>
      </c>
      <c r="U862">
        <f>IFERROR($J862/IF($A862&lt;COUNTIFS($K$1:U$1,"&lt;&gt;"),0,SUMIFS($J:$J,$B:$B,$B862,$A:$A,"&gt;="&amp;COUNTIFS($K$1:U$1,"&lt;&gt;"))),0)</f>
        <v>0</v>
      </c>
      <c r="V862">
        <f>IFERROR($J862/IF($A862&lt;COUNTIFS($K$1:V$1,"&lt;&gt;"),0,SUMIFS($J:$J,$B:$B,$B862,$A:$A,"&gt;="&amp;COUNTIFS($K$1:V$1,"&lt;&gt;"))),0)</f>
        <v>0</v>
      </c>
      <c r="W862">
        <f t="shared" si="310"/>
        <v>8.2191780821917804E-2</v>
      </c>
      <c r="X862">
        <f t="shared" si="290"/>
        <v>8.2191780821917804E-2</v>
      </c>
      <c r="Y862">
        <f t="shared" si="291"/>
        <v>8.2191780821917804E-2</v>
      </c>
      <c r="Z862">
        <f t="shared" si="292"/>
        <v>0</v>
      </c>
      <c r="AA862">
        <f t="shared" si="293"/>
        <v>0</v>
      </c>
      <c r="AB862">
        <f t="shared" si="294"/>
        <v>0</v>
      </c>
      <c r="AC862">
        <f t="shared" si="295"/>
        <v>0</v>
      </c>
      <c r="AD862">
        <f t="shared" si="296"/>
        <v>0</v>
      </c>
      <c r="AE862">
        <f t="shared" si="297"/>
        <v>0</v>
      </c>
      <c r="AF862">
        <f t="shared" si="298"/>
        <v>0</v>
      </c>
      <c r="AG862">
        <f t="shared" si="299"/>
        <v>0</v>
      </c>
      <c r="AH862">
        <f t="shared" si="300"/>
        <v>0</v>
      </c>
      <c r="AI862">
        <f t="shared" si="301"/>
        <v>0</v>
      </c>
      <c r="AJ862" s="2" t="str">
        <f t="shared" si="311"/>
        <v>245839</v>
      </c>
    </row>
    <row r="863" spans="1:36" x14ac:dyDescent="0.25">
      <c r="A863">
        <v>3</v>
      </c>
      <c r="B863" s="1">
        <v>45839</v>
      </c>
      <c r="C863" s="1">
        <f t="shared" si="302"/>
        <v>45931</v>
      </c>
      <c r="D863" s="1">
        <f t="shared" si="303"/>
        <v>45853</v>
      </c>
      <c r="E863" s="1">
        <f t="shared" si="304"/>
        <v>45931</v>
      </c>
      <c r="F863" s="1">
        <f t="shared" si="305"/>
        <v>45962</v>
      </c>
      <c r="G863" s="1">
        <f t="shared" si="306"/>
        <v>46218</v>
      </c>
      <c r="H863">
        <f t="shared" si="307"/>
        <v>365</v>
      </c>
      <c r="I863">
        <f t="shared" si="308"/>
        <v>31</v>
      </c>
      <c r="J863">
        <f t="shared" si="309"/>
        <v>8.4931506849315067E-2</v>
      </c>
      <c r="K863">
        <f>IFERROR($J863/IF($A863&lt;COUNTIFS($K$1:K$1,"&lt;&gt;"),0,SUMIFS($J:$J,$B:$B,$B863,$A:$A,"&gt;="&amp;COUNTIFS($K$1:K$1,"&lt;&gt;"))),0)</f>
        <v>8.9080459770114959E-2</v>
      </c>
      <c r="L863">
        <f>IFERROR($J863/IF($A863&lt;COUNTIFS($K$1:L$1,"&lt;&gt;"),0,SUMIFS($J:$J,$B:$B,$B863,$A:$A,"&gt;="&amp;COUNTIFS($K$1:L$1,"&lt;&gt;"))),0)</f>
        <v>9.7791798107255537E-2</v>
      </c>
      <c r="M863">
        <f>IFERROR($J863/IF($A863&lt;COUNTIFS($K$1:M$1,"&lt;&gt;"),0,SUMIFS($J:$J,$B:$B,$B863,$A:$A,"&gt;="&amp;COUNTIFS($K$1:M$1,"&lt;&gt;"))),0)</f>
        <v>0.10801393728222998</v>
      </c>
      <c r="N863">
        <f>IFERROR($J863/IF($A863&lt;COUNTIFS($K$1:N$1,"&lt;&gt;"),0,SUMIFS($J:$J,$B:$B,$B863,$A:$A,"&gt;="&amp;COUNTIFS($K$1:N$1,"&lt;&gt;"))),0)</f>
        <v>0</v>
      </c>
      <c r="O863">
        <f>IFERROR($J863/IF($A863&lt;COUNTIFS($K$1:O$1,"&lt;&gt;"),0,SUMIFS($J:$J,$B:$B,$B863,$A:$A,"&gt;="&amp;COUNTIFS($K$1:O$1,"&lt;&gt;"))),0)</f>
        <v>0</v>
      </c>
      <c r="P863">
        <f>IFERROR($J863/IF($A863&lt;COUNTIFS($K$1:P$1,"&lt;&gt;"),0,SUMIFS($J:$J,$B:$B,$B863,$A:$A,"&gt;="&amp;COUNTIFS($K$1:P$1,"&lt;&gt;"))),0)</f>
        <v>0</v>
      </c>
      <c r="Q863">
        <f>IFERROR($J863/IF($A863&lt;COUNTIFS($K$1:Q$1,"&lt;&gt;"),0,SUMIFS($J:$J,$B:$B,$B863,$A:$A,"&gt;="&amp;COUNTIFS($K$1:Q$1,"&lt;&gt;"))),0)</f>
        <v>0</v>
      </c>
      <c r="R863">
        <f>IFERROR($J863/IF($A863&lt;COUNTIFS($K$1:R$1,"&lt;&gt;"),0,SUMIFS($J:$J,$B:$B,$B863,$A:$A,"&gt;="&amp;COUNTIFS($K$1:R$1,"&lt;&gt;"))),0)</f>
        <v>0</v>
      </c>
      <c r="S863">
        <f>IFERROR($J863/IF($A863&lt;COUNTIFS($K$1:S$1,"&lt;&gt;"),0,SUMIFS($J:$J,$B:$B,$B863,$A:$A,"&gt;="&amp;COUNTIFS($K$1:S$1,"&lt;&gt;"))),0)</f>
        <v>0</v>
      </c>
      <c r="T863">
        <f>IFERROR($J863/IF($A863&lt;COUNTIFS($K$1:T$1,"&lt;&gt;"),0,SUMIFS($J:$J,$B:$B,$B863,$A:$A,"&gt;="&amp;COUNTIFS($K$1:T$1,"&lt;&gt;"))),0)</f>
        <v>0</v>
      </c>
      <c r="U863">
        <f>IFERROR($J863/IF($A863&lt;COUNTIFS($K$1:U$1,"&lt;&gt;"),0,SUMIFS($J:$J,$B:$B,$B863,$A:$A,"&gt;="&amp;COUNTIFS($K$1:U$1,"&lt;&gt;"))),0)</f>
        <v>0</v>
      </c>
      <c r="V863">
        <f>IFERROR($J863/IF($A863&lt;COUNTIFS($K$1:V$1,"&lt;&gt;"),0,SUMIFS($J:$J,$B:$B,$B863,$A:$A,"&gt;="&amp;COUNTIFS($K$1:V$1,"&lt;&gt;"))),0)</f>
        <v>0</v>
      </c>
      <c r="W863">
        <f t="shared" si="310"/>
        <v>8.4931506849315067E-2</v>
      </c>
      <c r="X863">
        <f t="shared" si="290"/>
        <v>8.4931506849315067E-2</v>
      </c>
      <c r="Y863">
        <f t="shared" si="291"/>
        <v>8.4931506849315067E-2</v>
      </c>
      <c r="Z863">
        <f t="shared" si="292"/>
        <v>8.4931506849315067E-2</v>
      </c>
      <c r="AA863">
        <f t="shared" si="293"/>
        <v>0</v>
      </c>
      <c r="AB863">
        <f t="shared" si="294"/>
        <v>0</v>
      </c>
      <c r="AC863">
        <f t="shared" si="295"/>
        <v>0</v>
      </c>
      <c r="AD863">
        <f t="shared" si="296"/>
        <v>0</v>
      </c>
      <c r="AE863">
        <f t="shared" si="297"/>
        <v>0</v>
      </c>
      <c r="AF863">
        <f t="shared" si="298"/>
        <v>0</v>
      </c>
      <c r="AG863">
        <f t="shared" si="299"/>
        <v>0</v>
      </c>
      <c r="AH863">
        <f t="shared" si="300"/>
        <v>0</v>
      </c>
      <c r="AI863">
        <f t="shared" si="301"/>
        <v>0</v>
      </c>
      <c r="AJ863" s="2" t="str">
        <f t="shared" si="311"/>
        <v>345839</v>
      </c>
    </row>
    <row r="864" spans="1:36" x14ac:dyDescent="0.25">
      <c r="A864">
        <v>4</v>
      </c>
      <c r="B864" s="1">
        <v>45839</v>
      </c>
      <c r="C864" s="1">
        <f t="shared" si="302"/>
        <v>45962</v>
      </c>
      <c r="D864" s="1">
        <f t="shared" si="303"/>
        <v>45853</v>
      </c>
      <c r="E864" s="1">
        <f t="shared" si="304"/>
        <v>45962</v>
      </c>
      <c r="F864" s="1">
        <f t="shared" si="305"/>
        <v>45992</v>
      </c>
      <c r="G864" s="1">
        <f t="shared" si="306"/>
        <v>46218</v>
      </c>
      <c r="H864">
        <f t="shared" si="307"/>
        <v>365</v>
      </c>
      <c r="I864">
        <f t="shared" si="308"/>
        <v>30</v>
      </c>
      <c r="J864">
        <f t="shared" si="309"/>
        <v>8.2191780821917804E-2</v>
      </c>
      <c r="K864">
        <f>IFERROR($J864/IF($A864&lt;COUNTIFS($K$1:K$1,"&lt;&gt;"),0,SUMIFS($J:$J,$B:$B,$B864,$A:$A,"&gt;="&amp;COUNTIFS($K$1:K$1,"&lt;&gt;"))),0)</f>
        <v>8.6206896551724144E-2</v>
      </c>
      <c r="L864">
        <f>IFERROR($J864/IF($A864&lt;COUNTIFS($K$1:L$1,"&lt;&gt;"),0,SUMIFS($J:$J,$B:$B,$B864,$A:$A,"&gt;="&amp;COUNTIFS($K$1:L$1,"&lt;&gt;"))),0)</f>
        <v>9.4637223974763415E-2</v>
      </c>
      <c r="M864">
        <f>IFERROR($J864/IF($A864&lt;COUNTIFS($K$1:M$1,"&lt;&gt;"),0,SUMIFS($J:$J,$B:$B,$B864,$A:$A,"&gt;="&amp;COUNTIFS($K$1:M$1,"&lt;&gt;"))),0)</f>
        <v>0.10452961672473869</v>
      </c>
      <c r="N864">
        <f>IFERROR($J864/IF($A864&lt;COUNTIFS($K$1:N$1,"&lt;&gt;"),0,SUMIFS($J:$J,$B:$B,$B864,$A:$A,"&gt;="&amp;COUNTIFS($K$1:N$1,"&lt;&gt;"))),0)</f>
        <v>0.11718750000000001</v>
      </c>
      <c r="O864">
        <f>IFERROR($J864/IF($A864&lt;COUNTIFS($K$1:O$1,"&lt;&gt;"),0,SUMIFS($J:$J,$B:$B,$B864,$A:$A,"&gt;="&amp;COUNTIFS($K$1:O$1,"&lt;&gt;"))),0)</f>
        <v>0</v>
      </c>
      <c r="P864">
        <f>IFERROR($J864/IF($A864&lt;COUNTIFS($K$1:P$1,"&lt;&gt;"),0,SUMIFS($J:$J,$B:$B,$B864,$A:$A,"&gt;="&amp;COUNTIFS($K$1:P$1,"&lt;&gt;"))),0)</f>
        <v>0</v>
      </c>
      <c r="Q864">
        <f>IFERROR($J864/IF($A864&lt;COUNTIFS($K$1:Q$1,"&lt;&gt;"),0,SUMIFS($J:$J,$B:$B,$B864,$A:$A,"&gt;="&amp;COUNTIFS($K$1:Q$1,"&lt;&gt;"))),0)</f>
        <v>0</v>
      </c>
      <c r="R864">
        <f>IFERROR($J864/IF($A864&lt;COUNTIFS($K$1:R$1,"&lt;&gt;"),0,SUMIFS($J:$J,$B:$B,$B864,$A:$A,"&gt;="&amp;COUNTIFS($K$1:R$1,"&lt;&gt;"))),0)</f>
        <v>0</v>
      </c>
      <c r="S864">
        <f>IFERROR($J864/IF($A864&lt;COUNTIFS($K$1:S$1,"&lt;&gt;"),0,SUMIFS($J:$J,$B:$B,$B864,$A:$A,"&gt;="&amp;COUNTIFS($K$1:S$1,"&lt;&gt;"))),0)</f>
        <v>0</v>
      </c>
      <c r="T864">
        <f>IFERROR($J864/IF($A864&lt;COUNTIFS($K$1:T$1,"&lt;&gt;"),0,SUMIFS($J:$J,$B:$B,$B864,$A:$A,"&gt;="&amp;COUNTIFS($K$1:T$1,"&lt;&gt;"))),0)</f>
        <v>0</v>
      </c>
      <c r="U864">
        <f>IFERROR($J864/IF($A864&lt;COUNTIFS($K$1:U$1,"&lt;&gt;"),0,SUMIFS($J:$J,$B:$B,$B864,$A:$A,"&gt;="&amp;COUNTIFS($K$1:U$1,"&lt;&gt;"))),0)</f>
        <v>0</v>
      </c>
      <c r="V864">
        <f>IFERROR($J864/IF($A864&lt;COUNTIFS($K$1:V$1,"&lt;&gt;"),0,SUMIFS($J:$J,$B:$B,$B864,$A:$A,"&gt;="&amp;COUNTIFS($K$1:V$1,"&lt;&gt;"))),0)</f>
        <v>0</v>
      </c>
      <c r="W864">
        <f t="shared" si="310"/>
        <v>8.2191780821917804E-2</v>
      </c>
      <c r="X864">
        <f t="shared" si="290"/>
        <v>8.2191780821917804E-2</v>
      </c>
      <c r="Y864">
        <f t="shared" si="291"/>
        <v>8.2191780821917804E-2</v>
      </c>
      <c r="Z864">
        <f t="shared" si="292"/>
        <v>8.2191780821917804E-2</v>
      </c>
      <c r="AA864">
        <f t="shared" si="293"/>
        <v>8.2191780821917804E-2</v>
      </c>
      <c r="AB864">
        <f t="shared" si="294"/>
        <v>0</v>
      </c>
      <c r="AC864">
        <f t="shared" si="295"/>
        <v>0</v>
      </c>
      <c r="AD864">
        <f t="shared" si="296"/>
        <v>0</v>
      </c>
      <c r="AE864">
        <f t="shared" si="297"/>
        <v>0</v>
      </c>
      <c r="AF864">
        <f t="shared" si="298"/>
        <v>0</v>
      </c>
      <c r="AG864">
        <f t="shared" si="299"/>
        <v>0</v>
      </c>
      <c r="AH864">
        <f t="shared" si="300"/>
        <v>0</v>
      </c>
      <c r="AI864">
        <f t="shared" si="301"/>
        <v>0</v>
      </c>
      <c r="AJ864" s="2" t="str">
        <f t="shared" si="311"/>
        <v>445839</v>
      </c>
    </row>
    <row r="865" spans="1:36" x14ac:dyDescent="0.25">
      <c r="A865">
        <v>5</v>
      </c>
      <c r="B865" s="1">
        <v>45839</v>
      </c>
      <c r="C865" s="1">
        <f t="shared" si="302"/>
        <v>45992</v>
      </c>
      <c r="D865" s="1">
        <f t="shared" si="303"/>
        <v>45853</v>
      </c>
      <c r="E865" s="1">
        <f t="shared" si="304"/>
        <v>45992</v>
      </c>
      <c r="F865" s="1">
        <f t="shared" si="305"/>
        <v>46023</v>
      </c>
      <c r="G865" s="1">
        <f t="shared" si="306"/>
        <v>46218</v>
      </c>
      <c r="H865">
        <f t="shared" si="307"/>
        <v>365</v>
      </c>
      <c r="I865">
        <f t="shared" si="308"/>
        <v>31</v>
      </c>
      <c r="J865">
        <f t="shared" si="309"/>
        <v>8.4931506849315067E-2</v>
      </c>
      <c r="K865">
        <f>IFERROR($J865/IF($A865&lt;COUNTIFS($K$1:K$1,"&lt;&gt;"),0,SUMIFS($J:$J,$B:$B,$B865,$A:$A,"&gt;="&amp;COUNTIFS($K$1:K$1,"&lt;&gt;"))),0)</f>
        <v>8.9080459770114959E-2</v>
      </c>
      <c r="L865">
        <f>IFERROR($J865/IF($A865&lt;COUNTIFS($K$1:L$1,"&lt;&gt;"),0,SUMIFS($J:$J,$B:$B,$B865,$A:$A,"&gt;="&amp;COUNTIFS($K$1:L$1,"&lt;&gt;"))),0)</f>
        <v>9.7791798107255537E-2</v>
      </c>
      <c r="M865">
        <f>IFERROR($J865/IF($A865&lt;COUNTIFS($K$1:M$1,"&lt;&gt;"),0,SUMIFS($J:$J,$B:$B,$B865,$A:$A,"&gt;="&amp;COUNTIFS($K$1:M$1,"&lt;&gt;"))),0)</f>
        <v>0.10801393728222998</v>
      </c>
      <c r="N865">
        <f>IFERROR($J865/IF($A865&lt;COUNTIFS($K$1:N$1,"&lt;&gt;"),0,SUMIFS($J:$J,$B:$B,$B865,$A:$A,"&gt;="&amp;COUNTIFS($K$1:N$1,"&lt;&gt;"))),0)</f>
        <v>0.12109375000000001</v>
      </c>
      <c r="O865">
        <f>IFERROR($J865/IF($A865&lt;COUNTIFS($K$1:O$1,"&lt;&gt;"),0,SUMIFS($J:$J,$B:$B,$B865,$A:$A,"&gt;="&amp;COUNTIFS($K$1:O$1,"&lt;&gt;"))),0)</f>
        <v>0.13716814159292037</v>
      </c>
      <c r="P865">
        <f>IFERROR($J865/IF($A865&lt;COUNTIFS($K$1:P$1,"&lt;&gt;"),0,SUMIFS($J:$J,$B:$B,$B865,$A:$A,"&gt;="&amp;COUNTIFS($K$1:P$1,"&lt;&gt;"))),0)</f>
        <v>0</v>
      </c>
      <c r="Q865">
        <f>IFERROR($J865/IF($A865&lt;COUNTIFS($K$1:Q$1,"&lt;&gt;"),0,SUMIFS($J:$J,$B:$B,$B865,$A:$A,"&gt;="&amp;COUNTIFS($K$1:Q$1,"&lt;&gt;"))),0)</f>
        <v>0</v>
      </c>
      <c r="R865">
        <f>IFERROR($J865/IF($A865&lt;COUNTIFS($K$1:R$1,"&lt;&gt;"),0,SUMIFS($J:$J,$B:$B,$B865,$A:$A,"&gt;="&amp;COUNTIFS($K$1:R$1,"&lt;&gt;"))),0)</f>
        <v>0</v>
      </c>
      <c r="S865">
        <f>IFERROR($J865/IF($A865&lt;COUNTIFS($K$1:S$1,"&lt;&gt;"),0,SUMIFS($J:$J,$B:$B,$B865,$A:$A,"&gt;="&amp;COUNTIFS($K$1:S$1,"&lt;&gt;"))),0)</f>
        <v>0</v>
      </c>
      <c r="T865">
        <f>IFERROR($J865/IF($A865&lt;COUNTIFS($K$1:T$1,"&lt;&gt;"),0,SUMIFS($J:$J,$B:$B,$B865,$A:$A,"&gt;="&amp;COUNTIFS($K$1:T$1,"&lt;&gt;"))),0)</f>
        <v>0</v>
      </c>
      <c r="U865">
        <f>IFERROR($J865/IF($A865&lt;COUNTIFS($K$1:U$1,"&lt;&gt;"),0,SUMIFS($J:$J,$B:$B,$B865,$A:$A,"&gt;="&amp;COUNTIFS($K$1:U$1,"&lt;&gt;"))),0)</f>
        <v>0</v>
      </c>
      <c r="V865">
        <f>IFERROR($J865/IF($A865&lt;COUNTIFS($K$1:V$1,"&lt;&gt;"),0,SUMIFS($J:$J,$B:$B,$B865,$A:$A,"&gt;="&amp;COUNTIFS($K$1:V$1,"&lt;&gt;"))),0)</f>
        <v>0</v>
      </c>
      <c r="W865">
        <f t="shared" si="310"/>
        <v>8.4931506849315067E-2</v>
      </c>
      <c r="X865">
        <f t="shared" si="290"/>
        <v>8.4931506849315067E-2</v>
      </c>
      <c r="Y865">
        <f t="shared" si="291"/>
        <v>8.4931506849315067E-2</v>
      </c>
      <c r="Z865">
        <f t="shared" si="292"/>
        <v>8.4931506849315067E-2</v>
      </c>
      <c r="AA865">
        <f t="shared" si="293"/>
        <v>8.4931506849315067E-2</v>
      </c>
      <c r="AB865">
        <f t="shared" si="294"/>
        <v>8.4931506849315067E-2</v>
      </c>
      <c r="AC865">
        <f t="shared" si="295"/>
        <v>0</v>
      </c>
      <c r="AD865">
        <f t="shared" si="296"/>
        <v>0</v>
      </c>
      <c r="AE865">
        <f t="shared" si="297"/>
        <v>0</v>
      </c>
      <c r="AF865">
        <f t="shared" si="298"/>
        <v>0</v>
      </c>
      <c r="AG865">
        <f t="shared" si="299"/>
        <v>0</v>
      </c>
      <c r="AH865">
        <f t="shared" si="300"/>
        <v>0</v>
      </c>
      <c r="AI865">
        <f t="shared" si="301"/>
        <v>0</v>
      </c>
      <c r="AJ865" s="2" t="str">
        <f t="shared" si="311"/>
        <v>545839</v>
      </c>
    </row>
    <row r="866" spans="1:36" x14ac:dyDescent="0.25">
      <c r="A866">
        <v>6</v>
      </c>
      <c r="B866" s="1">
        <v>45839</v>
      </c>
      <c r="C866" s="1">
        <f t="shared" si="302"/>
        <v>46023</v>
      </c>
      <c r="D866" s="1">
        <f t="shared" si="303"/>
        <v>45853</v>
      </c>
      <c r="E866" s="1">
        <f t="shared" si="304"/>
        <v>46023</v>
      </c>
      <c r="F866" s="1">
        <f t="shared" si="305"/>
        <v>46054</v>
      </c>
      <c r="G866" s="1">
        <f t="shared" si="306"/>
        <v>46218</v>
      </c>
      <c r="H866">
        <f t="shared" si="307"/>
        <v>365</v>
      </c>
      <c r="I866">
        <f t="shared" si="308"/>
        <v>31</v>
      </c>
      <c r="J866">
        <f t="shared" si="309"/>
        <v>8.4931506849315067E-2</v>
      </c>
      <c r="K866">
        <f>IFERROR($J866/IF($A866&lt;COUNTIFS($K$1:K$1,"&lt;&gt;"),0,SUMIFS($J:$J,$B:$B,$B866,$A:$A,"&gt;="&amp;COUNTIFS($K$1:K$1,"&lt;&gt;"))),0)</f>
        <v>8.9080459770114959E-2</v>
      </c>
      <c r="L866">
        <f>IFERROR($J866/IF($A866&lt;COUNTIFS($K$1:L$1,"&lt;&gt;"),0,SUMIFS($J:$J,$B:$B,$B866,$A:$A,"&gt;="&amp;COUNTIFS($K$1:L$1,"&lt;&gt;"))),0)</f>
        <v>9.7791798107255537E-2</v>
      </c>
      <c r="M866">
        <f>IFERROR($J866/IF($A866&lt;COUNTIFS($K$1:M$1,"&lt;&gt;"),0,SUMIFS($J:$J,$B:$B,$B866,$A:$A,"&gt;="&amp;COUNTIFS($K$1:M$1,"&lt;&gt;"))),0)</f>
        <v>0.10801393728222998</v>
      </c>
      <c r="N866">
        <f>IFERROR($J866/IF($A866&lt;COUNTIFS($K$1:N$1,"&lt;&gt;"),0,SUMIFS($J:$J,$B:$B,$B866,$A:$A,"&gt;="&amp;COUNTIFS($K$1:N$1,"&lt;&gt;"))),0)</f>
        <v>0.12109375000000001</v>
      </c>
      <c r="O866">
        <f>IFERROR($J866/IF($A866&lt;COUNTIFS($K$1:O$1,"&lt;&gt;"),0,SUMIFS($J:$J,$B:$B,$B866,$A:$A,"&gt;="&amp;COUNTIFS($K$1:O$1,"&lt;&gt;"))),0)</f>
        <v>0.13716814159292037</v>
      </c>
      <c r="P866">
        <f>IFERROR($J866/IF($A866&lt;COUNTIFS($K$1:P$1,"&lt;&gt;"),0,SUMIFS($J:$J,$B:$B,$B866,$A:$A,"&gt;="&amp;COUNTIFS($K$1:P$1,"&lt;&gt;"))),0)</f>
        <v>0.15897435897435899</v>
      </c>
      <c r="Q866">
        <f>IFERROR($J866/IF($A866&lt;COUNTIFS($K$1:Q$1,"&lt;&gt;"),0,SUMIFS($J:$J,$B:$B,$B866,$A:$A,"&gt;="&amp;COUNTIFS($K$1:Q$1,"&lt;&gt;"))),0)</f>
        <v>0</v>
      </c>
      <c r="R866">
        <f>IFERROR($J866/IF($A866&lt;COUNTIFS($K$1:R$1,"&lt;&gt;"),0,SUMIFS($J:$J,$B:$B,$B866,$A:$A,"&gt;="&amp;COUNTIFS($K$1:R$1,"&lt;&gt;"))),0)</f>
        <v>0</v>
      </c>
      <c r="S866">
        <f>IFERROR($J866/IF($A866&lt;COUNTIFS($K$1:S$1,"&lt;&gt;"),0,SUMIFS($J:$J,$B:$B,$B866,$A:$A,"&gt;="&amp;COUNTIFS($K$1:S$1,"&lt;&gt;"))),0)</f>
        <v>0</v>
      </c>
      <c r="T866">
        <f>IFERROR($J866/IF($A866&lt;COUNTIFS($K$1:T$1,"&lt;&gt;"),0,SUMIFS($J:$J,$B:$B,$B866,$A:$A,"&gt;="&amp;COUNTIFS($K$1:T$1,"&lt;&gt;"))),0)</f>
        <v>0</v>
      </c>
      <c r="U866">
        <f>IFERROR($J866/IF($A866&lt;COUNTIFS($K$1:U$1,"&lt;&gt;"),0,SUMIFS($J:$J,$B:$B,$B866,$A:$A,"&gt;="&amp;COUNTIFS($K$1:U$1,"&lt;&gt;"))),0)</f>
        <v>0</v>
      </c>
      <c r="V866">
        <f>IFERROR($J866/IF($A866&lt;COUNTIFS($K$1:V$1,"&lt;&gt;"),0,SUMIFS($J:$J,$B:$B,$B866,$A:$A,"&gt;="&amp;COUNTIFS($K$1:V$1,"&lt;&gt;"))),0)</f>
        <v>0</v>
      </c>
      <c r="W866">
        <f t="shared" si="310"/>
        <v>8.4931506849315067E-2</v>
      </c>
      <c r="X866">
        <f t="shared" si="290"/>
        <v>8.4931506849315067E-2</v>
      </c>
      <c r="Y866">
        <f t="shared" si="291"/>
        <v>8.4931506849315067E-2</v>
      </c>
      <c r="Z866">
        <f t="shared" si="292"/>
        <v>8.4931506849315067E-2</v>
      </c>
      <c r="AA866">
        <f t="shared" si="293"/>
        <v>8.4931506849315067E-2</v>
      </c>
      <c r="AB866">
        <f t="shared" si="294"/>
        <v>8.4931506849315067E-2</v>
      </c>
      <c r="AC866">
        <f t="shared" si="295"/>
        <v>8.4931506849315067E-2</v>
      </c>
      <c r="AD866">
        <f t="shared" si="296"/>
        <v>0</v>
      </c>
      <c r="AE866">
        <f t="shared" si="297"/>
        <v>0</v>
      </c>
      <c r="AF866">
        <f t="shared" si="298"/>
        <v>0</v>
      </c>
      <c r="AG866">
        <f t="shared" si="299"/>
        <v>0</v>
      </c>
      <c r="AH866">
        <f t="shared" si="300"/>
        <v>0</v>
      </c>
      <c r="AI866">
        <f t="shared" si="301"/>
        <v>0</v>
      </c>
      <c r="AJ866" s="2" t="str">
        <f t="shared" si="311"/>
        <v>645839</v>
      </c>
    </row>
    <row r="867" spans="1:36" x14ac:dyDescent="0.25">
      <c r="A867">
        <v>7</v>
      </c>
      <c r="B867" s="1">
        <v>45839</v>
      </c>
      <c r="C867" s="1">
        <f t="shared" si="302"/>
        <v>46054</v>
      </c>
      <c r="D867" s="1">
        <f t="shared" si="303"/>
        <v>45853</v>
      </c>
      <c r="E867" s="1">
        <f t="shared" si="304"/>
        <v>46054</v>
      </c>
      <c r="F867" s="1">
        <f t="shared" si="305"/>
        <v>46082</v>
      </c>
      <c r="G867" s="1">
        <f t="shared" si="306"/>
        <v>46218</v>
      </c>
      <c r="H867">
        <f t="shared" si="307"/>
        <v>365</v>
      </c>
      <c r="I867">
        <f t="shared" si="308"/>
        <v>28</v>
      </c>
      <c r="J867">
        <f t="shared" si="309"/>
        <v>7.6712328767123292E-2</v>
      </c>
      <c r="K867">
        <f>IFERROR($J867/IF($A867&lt;COUNTIFS($K$1:K$1,"&lt;&gt;"),0,SUMIFS($J:$J,$B:$B,$B867,$A:$A,"&gt;="&amp;COUNTIFS($K$1:K$1,"&lt;&gt;"))),0)</f>
        <v>8.0459770114942541E-2</v>
      </c>
      <c r="L867">
        <f>IFERROR($J867/IF($A867&lt;COUNTIFS($K$1:L$1,"&lt;&gt;"),0,SUMIFS($J:$J,$B:$B,$B867,$A:$A,"&gt;="&amp;COUNTIFS($K$1:L$1,"&lt;&gt;"))),0)</f>
        <v>8.83280757097792E-2</v>
      </c>
      <c r="M867">
        <f>IFERROR($J867/IF($A867&lt;COUNTIFS($K$1:M$1,"&lt;&gt;"),0,SUMIFS($J:$J,$B:$B,$B867,$A:$A,"&gt;="&amp;COUNTIFS($K$1:M$1,"&lt;&gt;"))),0)</f>
        <v>9.7560975609756115E-2</v>
      </c>
      <c r="N867">
        <f>IFERROR($J867/IF($A867&lt;COUNTIFS($K$1:N$1,"&lt;&gt;"),0,SUMIFS($J:$J,$B:$B,$B867,$A:$A,"&gt;="&amp;COUNTIFS($K$1:N$1,"&lt;&gt;"))),0)</f>
        <v>0.10937500000000003</v>
      </c>
      <c r="O867">
        <f>IFERROR($J867/IF($A867&lt;COUNTIFS($K$1:O$1,"&lt;&gt;"),0,SUMIFS($J:$J,$B:$B,$B867,$A:$A,"&gt;="&amp;COUNTIFS($K$1:O$1,"&lt;&gt;"))),0)</f>
        <v>0.12389380530973454</v>
      </c>
      <c r="P867">
        <f>IFERROR($J867/IF($A867&lt;COUNTIFS($K$1:P$1,"&lt;&gt;"),0,SUMIFS($J:$J,$B:$B,$B867,$A:$A,"&gt;="&amp;COUNTIFS($K$1:P$1,"&lt;&gt;"))),0)</f>
        <v>0.14358974358974361</v>
      </c>
      <c r="Q867">
        <f>IFERROR($J867/IF($A867&lt;COUNTIFS($K$1:Q$1,"&lt;&gt;"),0,SUMIFS($J:$J,$B:$B,$B867,$A:$A,"&gt;="&amp;COUNTIFS($K$1:Q$1,"&lt;&gt;"))),0)</f>
        <v>0.17073170731707318</v>
      </c>
      <c r="R867">
        <f>IFERROR($J867/IF($A867&lt;COUNTIFS($K$1:R$1,"&lt;&gt;"),0,SUMIFS($J:$J,$B:$B,$B867,$A:$A,"&gt;="&amp;COUNTIFS($K$1:R$1,"&lt;&gt;"))),0)</f>
        <v>0</v>
      </c>
      <c r="S867">
        <f>IFERROR($J867/IF($A867&lt;COUNTIFS($K$1:S$1,"&lt;&gt;"),0,SUMIFS($J:$J,$B:$B,$B867,$A:$A,"&gt;="&amp;COUNTIFS($K$1:S$1,"&lt;&gt;"))),0)</f>
        <v>0</v>
      </c>
      <c r="T867">
        <f>IFERROR($J867/IF($A867&lt;COUNTIFS($K$1:T$1,"&lt;&gt;"),0,SUMIFS($J:$J,$B:$B,$B867,$A:$A,"&gt;="&amp;COUNTIFS($K$1:T$1,"&lt;&gt;"))),0)</f>
        <v>0</v>
      </c>
      <c r="U867">
        <f>IFERROR($J867/IF($A867&lt;COUNTIFS($K$1:U$1,"&lt;&gt;"),0,SUMIFS($J:$J,$B:$B,$B867,$A:$A,"&gt;="&amp;COUNTIFS($K$1:U$1,"&lt;&gt;"))),0)</f>
        <v>0</v>
      </c>
      <c r="V867">
        <f>IFERROR($J867/IF($A867&lt;COUNTIFS($K$1:V$1,"&lt;&gt;"),0,SUMIFS($J:$J,$B:$B,$B867,$A:$A,"&gt;="&amp;COUNTIFS($K$1:V$1,"&lt;&gt;"))),0)</f>
        <v>0</v>
      </c>
      <c r="W867">
        <f t="shared" si="310"/>
        <v>7.6712328767123292E-2</v>
      </c>
      <c r="X867">
        <f t="shared" si="290"/>
        <v>7.6712328767123292E-2</v>
      </c>
      <c r="Y867">
        <f t="shared" si="291"/>
        <v>7.6712328767123292E-2</v>
      </c>
      <c r="Z867">
        <f t="shared" si="292"/>
        <v>7.6712328767123292E-2</v>
      </c>
      <c r="AA867">
        <f t="shared" si="293"/>
        <v>7.6712328767123292E-2</v>
      </c>
      <c r="AB867">
        <f t="shared" si="294"/>
        <v>7.6712328767123292E-2</v>
      </c>
      <c r="AC867">
        <f t="shared" si="295"/>
        <v>7.6712328767123292E-2</v>
      </c>
      <c r="AD867">
        <f t="shared" si="296"/>
        <v>7.6712328767123292E-2</v>
      </c>
      <c r="AE867">
        <f t="shared" si="297"/>
        <v>0</v>
      </c>
      <c r="AF867">
        <f t="shared" si="298"/>
        <v>0</v>
      </c>
      <c r="AG867">
        <f t="shared" si="299"/>
        <v>0</v>
      </c>
      <c r="AH867">
        <f t="shared" si="300"/>
        <v>0</v>
      </c>
      <c r="AI867">
        <f t="shared" si="301"/>
        <v>0</v>
      </c>
      <c r="AJ867" s="2" t="str">
        <f t="shared" si="311"/>
        <v>745839</v>
      </c>
    </row>
    <row r="868" spans="1:36" x14ac:dyDescent="0.25">
      <c r="A868">
        <v>8</v>
      </c>
      <c r="B868" s="1">
        <v>45839</v>
      </c>
      <c r="C868" s="1">
        <f t="shared" si="302"/>
        <v>46082</v>
      </c>
      <c r="D868" s="1">
        <f t="shared" si="303"/>
        <v>45853</v>
      </c>
      <c r="E868" s="1">
        <f t="shared" si="304"/>
        <v>46082</v>
      </c>
      <c r="F868" s="1">
        <f t="shared" si="305"/>
        <v>46113</v>
      </c>
      <c r="G868" s="1">
        <f t="shared" si="306"/>
        <v>46218</v>
      </c>
      <c r="H868">
        <f t="shared" si="307"/>
        <v>365</v>
      </c>
      <c r="I868">
        <f t="shared" si="308"/>
        <v>31</v>
      </c>
      <c r="J868">
        <f t="shared" si="309"/>
        <v>8.4931506849315067E-2</v>
      </c>
      <c r="K868">
        <f>IFERROR($J868/IF($A868&lt;COUNTIFS($K$1:K$1,"&lt;&gt;"),0,SUMIFS($J:$J,$B:$B,$B868,$A:$A,"&gt;="&amp;COUNTIFS($K$1:K$1,"&lt;&gt;"))),0)</f>
        <v>8.9080459770114959E-2</v>
      </c>
      <c r="L868">
        <f>IFERROR($J868/IF($A868&lt;COUNTIFS($K$1:L$1,"&lt;&gt;"),0,SUMIFS($J:$J,$B:$B,$B868,$A:$A,"&gt;="&amp;COUNTIFS($K$1:L$1,"&lt;&gt;"))),0)</f>
        <v>9.7791798107255537E-2</v>
      </c>
      <c r="M868">
        <f>IFERROR($J868/IF($A868&lt;COUNTIFS($K$1:M$1,"&lt;&gt;"),0,SUMIFS($J:$J,$B:$B,$B868,$A:$A,"&gt;="&amp;COUNTIFS($K$1:M$1,"&lt;&gt;"))),0)</f>
        <v>0.10801393728222998</v>
      </c>
      <c r="N868">
        <f>IFERROR($J868/IF($A868&lt;COUNTIFS($K$1:N$1,"&lt;&gt;"),0,SUMIFS($J:$J,$B:$B,$B868,$A:$A,"&gt;="&amp;COUNTIFS($K$1:N$1,"&lt;&gt;"))),0)</f>
        <v>0.12109375000000001</v>
      </c>
      <c r="O868">
        <f>IFERROR($J868/IF($A868&lt;COUNTIFS($K$1:O$1,"&lt;&gt;"),0,SUMIFS($J:$J,$B:$B,$B868,$A:$A,"&gt;="&amp;COUNTIFS($K$1:O$1,"&lt;&gt;"))),0)</f>
        <v>0.13716814159292037</v>
      </c>
      <c r="P868">
        <f>IFERROR($J868/IF($A868&lt;COUNTIFS($K$1:P$1,"&lt;&gt;"),0,SUMIFS($J:$J,$B:$B,$B868,$A:$A,"&gt;="&amp;COUNTIFS($K$1:P$1,"&lt;&gt;"))),0)</f>
        <v>0.15897435897435899</v>
      </c>
      <c r="Q868">
        <f>IFERROR($J868/IF($A868&lt;COUNTIFS($K$1:Q$1,"&lt;&gt;"),0,SUMIFS($J:$J,$B:$B,$B868,$A:$A,"&gt;="&amp;COUNTIFS($K$1:Q$1,"&lt;&gt;"))),0)</f>
        <v>0.18902439024390244</v>
      </c>
      <c r="R868">
        <f>IFERROR($J868/IF($A868&lt;COUNTIFS($K$1:R$1,"&lt;&gt;"),0,SUMIFS($J:$J,$B:$B,$B868,$A:$A,"&gt;="&amp;COUNTIFS($K$1:R$1,"&lt;&gt;"))),0)</f>
        <v>0.22794117647058826</v>
      </c>
      <c r="S868">
        <f>IFERROR($J868/IF($A868&lt;COUNTIFS($K$1:S$1,"&lt;&gt;"),0,SUMIFS($J:$J,$B:$B,$B868,$A:$A,"&gt;="&amp;COUNTIFS($K$1:S$1,"&lt;&gt;"))),0)</f>
        <v>0</v>
      </c>
      <c r="T868">
        <f>IFERROR($J868/IF($A868&lt;COUNTIFS($K$1:T$1,"&lt;&gt;"),0,SUMIFS($J:$J,$B:$B,$B868,$A:$A,"&gt;="&amp;COUNTIFS($K$1:T$1,"&lt;&gt;"))),0)</f>
        <v>0</v>
      </c>
      <c r="U868">
        <f>IFERROR($J868/IF($A868&lt;COUNTIFS($K$1:U$1,"&lt;&gt;"),0,SUMIFS($J:$J,$B:$B,$B868,$A:$A,"&gt;="&amp;COUNTIFS($K$1:U$1,"&lt;&gt;"))),0)</f>
        <v>0</v>
      </c>
      <c r="V868">
        <f>IFERROR($J868/IF($A868&lt;COUNTIFS($K$1:V$1,"&lt;&gt;"),0,SUMIFS($J:$J,$B:$B,$B868,$A:$A,"&gt;="&amp;COUNTIFS($K$1:V$1,"&lt;&gt;"))),0)</f>
        <v>0</v>
      </c>
      <c r="W868">
        <f t="shared" si="310"/>
        <v>8.4931506849315067E-2</v>
      </c>
      <c r="X868">
        <f t="shared" si="290"/>
        <v>8.4931506849315067E-2</v>
      </c>
      <c r="Y868">
        <f t="shared" si="291"/>
        <v>8.4931506849315067E-2</v>
      </c>
      <c r="Z868">
        <f t="shared" si="292"/>
        <v>8.4931506849315067E-2</v>
      </c>
      <c r="AA868">
        <f t="shared" si="293"/>
        <v>8.4931506849315067E-2</v>
      </c>
      <c r="AB868">
        <f t="shared" si="294"/>
        <v>8.4931506849315067E-2</v>
      </c>
      <c r="AC868">
        <f t="shared" si="295"/>
        <v>8.4931506849315067E-2</v>
      </c>
      <c r="AD868">
        <f t="shared" si="296"/>
        <v>8.4931506849315067E-2</v>
      </c>
      <c r="AE868">
        <f t="shared" si="297"/>
        <v>8.4931506849315067E-2</v>
      </c>
      <c r="AF868">
        <f t="shared" si="298"/>
        <v>0</v>
      </c>
      <c r="AG868">
        <f t="shared" si="299"/>
        <v>0</v>
      </c>
      <c r="AH868">
        <f t="shared" si="300"/>
        <v>0</v>
      </c>
      <c r="AI868">
        <f t="shared" si="301"/>
        <v>0</v>
      </c>
      <c r="AJ868" s="2" t="str">
        <f t="shared" si="311"/>
        <v>845839</v>
      </c>
    </row>
    <row r="869" spans="1:36" x14ac:dyDescent="0.25">
      <c r="A869">
        <v>9</v>
      </c>
      <c r="B869" s="1">
        <v>45839</v>
      </c>
      <c r="C869" s="1">
        <f t="shared" si="302"/>
        <v>46113</v>
      </c>
      <c r="D869" s="1">
        <f t="shared" si="303"/>
        <v>45853</v>
      </c>
      <c r="E869" s="1">
        <f t="shared" si="304"/>
        <v>46113</v>
      </c>
      <c r="F869" s="1">
        <f t="shared" si="305"/>
        <v>46143</v>
      </c>
      <c r="G869" s="1">
        <f t="shared" si="306"/>
        <v>46218</v>
      </c>
      <c r="H869">
        <f t="shared" si="307"/>
        <v>365</v>
      </c>
      <c r="I869">
        <f t="shared" si="308"/>
        <v>30</v>
      </c>
      <c r="J869">
        <f t="shared" si="309"/>
        <v>8.2191780821917804E-2</v>
      </c>
      <c r="K869">
        <f>IFERROR($J869/IF($A869&lt;COUNTIFS($K$1:K$1,"&lt;&gt;"),0,SUMIFS($J:$J,$B:$B,$B869,$A:$A,"&gt;="&amp;COUNTIFS($K$1:K$1,"&lt;&gt;"))),0)</f>
        <v>8.6206896551724144E-2</v>
      </c>
      <c r="L869">
        <f>IFERROR($J869/IF($A869&lt;COUNTIFS($K$1:L$1,"&lt;&gt;"),0,SUMIFS($J:$J,$B:$B,$B869,$A:$A,"&gt;="&amp;COUNTIFS($K$1:L$1,"&lt;&gt;"))),0)</f>
        <v>9.4637223974763415E-2</v>
      </c>
      <c r="M869">
        <f>IFERROR($J869/IF($A869&lt;COUNTIFS($K$1:M$1,"&lt;&gt;"),0,SUMIFS($J:$J,$B:$B,$B869,$A:$A,"&gt;="&amp;COUNTIFS($K$1:M$1,"&lt;&gt;"))),0)</f>
        <v>0.10452961672473869</v>
      </c>
      <c r="N869">
        <f>IFERROR($J869/IF($A869&lt;COUNTIFS($K$1:N$1,"&lt;&gt;"),0,SUMIFS($J:$J,$B:$B,$B869,$A:$A,"&gt;="&amp;COUNTIFS($K$1:N$1,"&lt;&gt;"))),0)</f>
        <v>0.11718750000000001</v>
      </c>
      <c r="O869">
        <f>IFERROR($J869/IF($A869&lt;COUNTIFS($K$1:O$1,"&lt;&gt;"),0,SUMIFS($J:$J,$B:$B,$B869,$A:$A,"&gt;="&amp;COUNTIFS($K$1:O$1,"&lt;&gt;"))),0)</f>
        <v>0.13274336283185842</v>
      </c>
      <c r="P869">
        <f>IFERROR($J869/IF($A869&lt;COUNTIFS($K$1:P$1,"&lt;&gt;"),0,SUMIFS($J:$J,$B:$B,$B869,$A:$A,"&gt;="&amp;COUNTIFS($K$1:P$1,"&lt;&gt;"))),0)</f>
        <v>0.15384615384615385</v>
      </c>
      <c r="Q869">
        <f>IFERROR($J869/IF($A869&lt;COUNTIFS($K$1:Q$1,"&lt;&gt;"),0,SUMIFS($J:$J,$B:$B,$B869,$A:$A,"&gt;="&amp;COUNTIFS($K$1:Q$1,"&lt;&gt;"))),0)</f>
        <v>0.18292682926829268</v>
      </c>
      <c r="R869">
        <f>IFERROR($J869/IF($A869&lt;COUNTIFS($K$1:R$1,"&lt;&gt;"),0,SUMIFS($J:$J,$B:$B,$B869,$A:$A,"&gt;="&amp;COUNTIFS($K$1:R$1,"&lt;&gt;"))),0)</f>
        <v>0.22058823529411764</v>
      </c>
      <c r="S869">
        <f>IFERROR($J869/IF($A869&lt;COUNTIFS($K$1:S$1,"&lt;&gt;"),0,SUMIFS($J:$J,$B:$B,$B869,$A:$A,"&gt;="&amp;COUNTIFS($K$1:S$1,"&lt;&gt;"))),0)</f>
        <v>0.2857142857142857</v>
      </c>
      <c r="T869">
        <f>IFERROR($J869/IF($A869&lt;COUNTIFS($K$1:T$1,"&lt;&gt;"),0,SUMIFS($J:$J,$B:$B,$B869,$A:$A,"&gt;="&amp;COUNTIFS($K$1:T$1,"&lt;&gt;"))),0)</f>
        <v>0</v>
      </c>
      <c r="U869">
        <f>IFERROR($J869/IF($A869&lt;COUNTIFS($K$1:U$1,"&lt;&gt;"),0,SUMIFS($J:$J,$B:$B,$B869,$A:$A,"&gt;="&amp;COUNTIFS($K$1:U$1,"&lt;&gt;"))),0)</f>
        <v>0</v>
      </c>
      <c r="V869">
        <f>IFERROR($J869/IF($A869&lt;COUNTIFS($K$1:V$1,"&lt;&gt;"),0,SUMIFS($J:$J,$B:$B,$B869,$A:$A,"&gt;="&amp;COUNTIFS($K$1:V$1,"&lt;&gt;"))),0)</f>
        <v>0</v>
      </c>
      <c r="W869">
        <f t="shared" si="310"/>
        <v>8.2191780821917804E-2</v>
      </c>
      <c r="X869">
        <f t="shared" si="290"/>
        <v>8.2191780821917804E-2</v>
      </c>
      <c r="Y869">
        <f t="shared" si="291"/>
        <v>8.2191780821917804E-2</v>
      </c>
      <c r="Z869">
        <f t="shared" si="292"/>
        <v>8.2191780821917804E-2</v>
      </c>
      <c r="AA869">
        <f t="shared" si="293"/>
        <v>8.2191780821917804E-2</v>
      </c>
      <c r="AB869">
        <f t="shared" si="294"/>
        <v>8.2191780821917804E-2</v>
      </c>
      <c r="AC869">
        <f t="shared" si="295"/>
        <v>8.2191780821917804E-2</v>
      </c>
      <c r="AD869">
        <f t="shared" si="296"/>
        <v>8.2191780821917804E-2</v>
      </c>
      <c r="AE869">
        <f t="shared" si="297"/>
        <v>8.2191780821917804E-2</v>
      </c>
      <c r="AF869">
        <f t="shared" si="298"/>
        <v>8.2191780821917804E-2</v>
      </c>
      <c r="AG869">
        <f t="shared" si="299"/>
        <v>0</v>
      </c>
      <c r="AH869">
        <f t="shared" si="300"/>
        <v>0</v>
      </c>
      <c r="AI869">
        <f t="shared" si="301"/>
        <v>0</v>
      </c>
      <c r="AJ869" s="2" t="str">
        <f t="shared" si="311"/>
        <v>945839</v>
      </c>
    </row>
    <row r="870" spans="1:36" x14ac:dyDescent="0.25">
      <c r="A870">
        <v>10</v>
      </c>
      <c r="B870" s="1">
        <v>45839</v>
      </c>
      <c r="C870" s="1">
        <f t="shared" si="302"/>
        <v>46143</v>
      </c>
      <c r="D870" s="1">
        <f t="shared" si="303"/>
        <v>45853</v>
      </c>
      <c r="E870" s="1">
        <f t="shared" si="304"/>
        <v>46143</v>
      </c>
      <c r="F870" s="1">
        <f t="shared" si="305"/>
        <v>46174</v>
      </c>
      <c r="G870" s="1">
        <f t="shared" si="306"/>
        <v>46218</v>
      </c>
      <c r="H870">
        <f t="shared" si="307"/>
        <v>365</v>
      </c>
      <c r="I870">
        <f t="shared" si="308"/>
        <v>31</v>
      </c>
      <c r="J870">
        <f t="shared" si="309"/>
        <v>8.4931506849315067E-2</v>
      </c>
      <c r="K870">
        <f>IFERROR($J870/IF($A870&lt;COUNTIFS($K$1:K$1,"&lt;&gt;"),0,SUMIFS($J:$J,$B:$B,$B870,$A:$A,"&gt;="&amp;COUNTIFS($K$1:K$1,"&lt;&gt;"))),0)</f>
        <v>8.9080459770114959E-2</v>
      </c>
      <c r="L870">
        <f>IFERROR($J870/IF($A870&lt;COUNTIFS($K$1:L$1,"&lt;&gt;"),0,SUMIFS($J:$J,$B:$B,$B870,$A:$A,"&gt;="&amp;COUNTIFS($K$1:L$1,"&lt;&gt;"))),0)</f>
        <v>9.7791798107255537E-2</v>
      </c>
      <c r="M870">
        <f>IFERROR($J870/IF($A870&lt;COUNTIFS($K$1:M$1,"&lt;&gt;"),0,SUMIFS($J:$J,$B:$B,$B870,$A:$A,"&gt;="&amp;COUNTIFS($K$1:M$1,"&lt;&gt;"))),0)</f>
        <v>0.10801393728222998</v>
      </c>
      <c r="N870">
        <f>IFERROR($J870/IF($A870&lt;COUNTIFS($K$1:N$1,"&lt;&gt;"),0,SUMIFS($J:$J,$B:$B,$B870,$A:$A,"&gt;="&amp;COUNTIFS($K$1:N$1,"&lt;&gt;"))),0)</f>
        <v>0.12109375000000001</v>
      </c>
      <c r="O870">
        <f>IFERROR($J870/IF($A870&lt;COUNTIFS($K$1:O$1,"&lt;&gt;"),0,SUMIFS($J:$J,$B:$B,$B870,$A:$A,"&gt;="&amp;COUNTIFS($K$1:O$1,"&lt;&gt;"))),0)</f>
        <v>0.13716814159292037</v>
      </c>
      <c r="P870">
        <f>IFERROR($J870/IF($A870&lt;COUNTIFS($K$1:P$1,"&lt;&gt;"),0,SUMIFS($J:$J,$B:$B,$B870,$A:$A,"&gt;="&amp;COUNTIFS($K$1:P$1,"&lt;&gt;"))),0)</f>
        <v>0.15897435897435899</v>
      </c>
      <c r="Q870">
        <f>IFERROR($J870/IF($A870&lt;COUNTIFS($K$1:Q$1,"&lt;&gt;"),0,SUMIFS($J:$J,$B:$B,$B870,$A:$A,"&gt;="&amp;COUNTIFS($K$1:Q$1,"&lt;&gt;"))),0)</f>
        <v>0.18902439024390244</v>
      </c>
      <c r="R870">
        <f>IFERROR($J870/IF($A870&lt;COUNTIFS($K$1:R$1,"&lt;&gt;"),0,SUMIFS($J:$J,$B:$B,$B870,$A:$A,"&gt;="&amp;COUNTIFS($K$1:R$1,"&lt;&gt;"))),0)</f>
        <v>0.22794117647058826</v>
      </c>
      <c r="S870">
        <f>IFERROR($J870/IF($A870&lt;COUNTIFS($K$1:S$1,"&lt;&gt;"),0,SUMIFS($J:$J,$B:$B,$B870,$A:$A,"&gt;="&amp;COUNTIFS($K$1:S$1,"&lt;&gt;"))),0)</f>
        <v>0.29523809523809524</v>
      </c>
      <c r="T870">
        <f>IFERROR($J870/IF($A870&lt;COUNTIFS($K$1:T$1,"&lt;&gt;"),0,SUMIFS($J:$J,$B:$B,$B870,$A:$A,"&gt;="&amp;COUNTIFS($K$1:T$1,"&lt;&gt;"))),0)</f>
        <v>0.41333333333333333</v>
      </c>
      <c r="U870">
        <f>IFERROR($J870/IF($A870&lt;COUNTIFS($K$1:U$1,"&lt;&gt;"),0,SUMIFS($J:$J,$B:$B,$B870,$A:$A,"&gt;="&amp;COUNTIFS($K$1:U$1,"&lt;&gt;"))),0)</f>
        <v>0</v>
      </c>
      <c r="V870">
        <f>IFERROR($J870/IF($A870&lt;COUNTIFS($K$1:V$1,"&lt;&gt;"),0,SUMIFS($J:$J,$B:$B,$B870,$A:$A,"&gt;="&amp;COUNTIFS($K$1:V$1,"&lt;&gt;"))),0)</f>
        <v>0</v>
      </c>
      <c r="W870">
        <f t="shared" si="310"/>
        <v>8.4931506849315067E-2</v>
      </c>
      <c r="X870">
        <f t="shared" si="290"/>
        <v>8.4931506849315067E-2</v>
      </c>
      <c r="Y870">
        <f t="shared" si="291"/>
        <v>8.4931506849315067E-2</v>
      </c>
      <c r="Z870">
        <f t="shared" si="292"/>
        <v>8.4931506849315067E-2</v>
      </c>
      <c r="AA870">
        <f t="shared" si="293"/>
        <v>8.4931506849315067E-2</v>
      </c>
      <c r="AB870">
        <f t="shared" si="294"/>
        <v>8.4931506849315067E-2</v>
      </c>
      <c r="AC870">
        <f t="shared" si="295"/>
        <v>8.4931506849315067E-2</v>
      </c>
      <c r="AD870">
        <f t="shared" si="296"/>
        <v>8.4931506849315067E-2</v>
      </c>
      <c r="AE870">
        <f t="shared" si="297"/>
        <v>8.4931506849315067E-2</v>
      </c>
      <c r="AF870">
        <f t="shared" si="298"/>
        <v>8.4931506849315067E-2</v>
      </c>
      <c r="AG870">
        <f t="shared" si="299"/>
        <v>8.4931506849315067E-2</v>
      </c>
      <c r="AH870">
        <f t="shared" si="300"/>
        <v>0</v>
      </c>
      <c r="AI870">
        <f t="shared" si="301"/>
        <v>0</v>
      </c>
      <c r="AJ870" s="2" t="str">
        <f t="shared" si="311"/>
        <v>1045839</v>
      </c>
    </row>
    <row r="871" spans="1:36" x14ac:dyDescent="0.25">
      <c r="A871">
        <v>11</v>
      </c>
      <c r="B871" s="1">
        <v>45839</v>
      </c>
      <c r="C871" s="1">
        <f t="shared" si="302"/>
        <v>46174</v>
      </c>
      <c r="D871" s="1">
        <f t="shared" si="303"/>
        <v>45853</v>
      </c>
      <c r="E871" s="1">
        <f t="shared" si="304"/>
        <v>46174</v>
      </c>
      <c r="F871" s="1">
        <f t="shared" si="305"/>
        <v>46204</v>
      </c>
      <c r="G871" s="1">
        <f t="shared" si="306"/>
        <v>46218</v>
      </c>
      <c r="H871">
        <f t="shared" si="307"/>
        <v>365</v>
      </c>
      <c r="I871">
        <f t="shared" si="308"/>
        <v>30</v>
      </c>
      <c r="J871">
        <f t="shared" si="309"/>
        <v>8.2191780821917804E-2</v>
      </c>
      <c r="K871">
        <f>IFERROR($J871/IF($A871&lt;COUNTIFS($K$1:K$1,"&lt;&gt;"),0,SUMIFS($J:$J,$B:$B,$B871,$A:$A,"&gt;="&amp;COUNTIFS($K$1:K$1,"&lt;&gt;"))),0)</f>
        <v>8.6206896551724144E-2</v>
      </c>
      <c r="L871">
        <f>IFERROR($J871/IF($A871&lt;COUNTIFS($K$1:L$1,"&lt;&gt;"),0,SUMIFS($J:$J,$B:$B,$B871,$A:$A,"&gt;="&amp;COUNTIFS($K$1:L$1,"&lt;&gt;"))),0)</f>
        <v>9.4637223974763415E-2</v>
      </c>
      <c r="M871">
        <f>IFERROR($J871/IF($A871&lt;COUNTIFS($K$1:M$1,"&lt;&gt;"),0,SUMIFS($J:$J,$B:$B,$B871,$A:$A,"&gt;="&amp;COUNTIFS($K$1:M$1,"&lt;&gt;"))),0)</f>
        <v>0.10452961672473869</v>
      </c>
      <c r="N871">
        <f>IFERROR($J871/IF($A871&lt;COUNTIFS($K$1:N$1,"&lt;&gt;"),0,SUMIFS($J:$J,$B:$B,$B871,$A:$A,"&gt;="&amp;COUNTIFS($K$1:N$1,"&lt;&gt;"))),0)</f>
        <v>0.11718750000000001</v>
      </c>
      <c r="O871">
        <f>IFERROR($J871/IF($A871&lt;COUNTIFS($K$1:O$1,"&lt;&gt;"),0,SUMIFS($J:$J,$B:$B,$B871,$A:$A,"&gt;="&amp;COUNTIFS($K$1:O$1,"&lt;&gt;"))),0)</f>
        <v>0.13274336283185842</v>
      </c>
      <c r="P871">
        <f>IFERROR($J871/IF($A871&lt;COUNTIFS($K$1:P$1,"&lt;&gt;"),0,SUMIFS($J:$J,$B:$B,$B871,$A:$A,"&gt;="&amp;COUNTIFS($K$1:P$1,"&lt;&gt;"))),0)</f>
        <v>0.15384615384615385</v>
      </c>
      <c r="Q871">
        <f>IFERROR($J871/IF($A871&lt;COUNTIFS($K$1:Q$1,"&lt;&gt;"),0,SUMIFS($J:$J,$B:$B,$B871,$A:$A,"&gt;="&amp;COUNTIFS($K$1:Q$1,"&lt;&gt;"))),0)</f>
        <v>0.18292682926829268</v>
      </c>
      <c r="R871">
        <f>IFERROR($J871/IF($A871&lt;COUNTIFS($K$1:R$1,"&lt;&gt;"),0,SUMIFS($J:$J,$B:$B,$B871,$A:$A,"&gt;="&amp;COUNTIFS($K$1:R$1,"&lt;&gt;"))),0)</f>
        <v>0.22058823529411764</v>
      </c>
      <c r="S871">
        <f>IFERROR($J871/IF($A871&lt;COUNTIFS($K$1:S$1,"&lt;&gt;"),0,SUMIFS($J:$J,$B:$B,$B871,$A:$A,"&gt;="&amp;COUNTIFS($K$1:S$1,"&lt;&gt;"))),0)</f>
        <v>0.2857142857142857</v>
      </c>
      <c r="T871">
        <f>IFERROR($J871/IF($A871&lt;COUNTIFS($K$1:T$1,"&lt;&gt;"),0,SUMIFS($J:$J,$B:$B,$B871,$A:$A,"&gt;="&amp;COUNTIFS($K$1:T$1,"&lt;&gt;"))),0)</f>
        <v>0.4</v>
      </c>
      <c r="U871">
        <f>IFERROR($J871/IF($A871&lt;COUNTIFS($K$1:U$1,"&lt;&gt;"),0,SUMIFS($J:$J,$B:$B,$B871,$A:$A,"&gt;="&amp;COUNTIFS($K$1:U$1,"&lt;&gt;"))),0)</f>
        <v>0.68181818181818177</v>
      </c>
      <c r="V871">
        <f>IFERROR($J871/IF($A871&lt;COUNTIFS($K$1:V$1,"&lt;&gt;"),0,SUMIFS($J:$J,$B:$B,$B871,$A:$A,"&gt;="&amp;COUNTIFS($K$1:V$1,"&lt;&gt;"))),0)</f>
        <v>0</v>
      </c>
      <c r="W871">
        <f t="shared" si="310"/>
        <v>8.2191780821917804E-2</v>
      </c>
      <c r="X871">
        <f t="shared" si="290"/>
        <v>8.2191780821917804E-2</v>
      </c>
      <c r="Y871">
        <f t="shared" si="291"/>
        <v>8.2191780821917804E-2</v>
      </c>
      <c r="Z871">
        <f t="shared" si="292"/>
        <v>8.2191780821917804E-2</v>
      </c>
      <c r="AA871">
        <f t="shared" si="293"/>
        <v>8.2191780821917804E-2</v>
      </c>
      <c r="AB871">
        <f t="shared" si="294"/>
        <v>8.2191780821917804E-2</v>
      </c>
      <c r="AC871">
        <f t="shared" si="295"/>
        <v>8.2191780821917804E-2</v>
      </c>
      <c r="AD871">
        <f t="shared" si="296"/>
        <v>8.2191780821917804E-2</v>
      </c>
      <c r="AE871">
        <f t="shared" si="297"/>
        <v>8.2191780821917804E-2</v>
      </c>
      <c r="AF871">
        <f t="shared" si="298"/>
        <v>8.2191780821917804E-2</v>
      </c>
      <c r="AG871">
        <f t="shared" si="299"/>
        <v>8.2191780821917804E-2</v>
      </c>
      <c r="AH871">
        <f t="shared" si="300"/>
        <v>8.2191780821917804E-2</v>
      </c>
      <c r="AI871">
        <f t="shared" si="301"/>
        <v>0</v>
      </c>
      <c r="AJ871" s="2" t="str">
        <f t="shared" si="311"/>
        <v>1145839</v>
      </c>
    </row>
    <row r="872" spans="1:36" x14ac:dyDescent="0.25">
      <c r="A872">
        <v>12</v>
      </c>
      <c r="B872" s="1">
        <v>45839</v>
      </c>
      <c r="C872" s="1">
        <f t="shared" si="302"/>
        <v>46204</v>
      </c>
      <c r="D872" s="1">
        <f t="shared" si="303"/>
        <v>45853</v>
      </c>
      <c r="E872" s="1">
        <f t="shared" si="304"/>
        <v>46204</v>
      </c>
      <c r="F872" s="1">
        <f t="shared" si="305"/>
        <v>46218</v>
      </c>
      <c r="G872" s="1">
        <f t="shared" si="306"/>
        <v>46218</v>
      </c>
      <c r="H872">
        <f t="shared" si="307"/>
        <v>365</v>
      </c>
      <c r="I872">
        <f t="shared" si="308"/>
        <v>14</v>
      </c>
      <c r="J872">
        <f t="shared" si="309"/>
        <v>3.8356164383561646E-2</v>
      </c>
      <c r="K872">
        <f>IFERROR($J872/IF($A872&lt;COUNTIFS($K$1:K$1,"&lt;&gt;"),0,SUMIFS($J:$J,$B:$B,$B872,$A:$A,"&gt;="&amp;COUNTIFS($K$1:K$1,"&lt;&gt;"))),0)</f>
        <v>4.0229885057471271E-2</v>
      </c>
      <c r="L872">
        <f>IFERROR($J872/IF($A872&lt;COUNTIFS($K$1:L$1,"&lt;&gt;"),0,SUMIFS($J:$J,$B:$B,$B872,$A:$A,"&gt;="&amp;COUNTIFS($K$1:L$1,"&lt;&gt;"))),0)</f>
        <v>4.41640378548896E-2</v>
      </c>
      <c r="M872">
        <f>IFERROR($J872/IF($A872&lt;COUNTIFS($K$1:M$1,"&lt;&gt;"),0,SUMIFS($J:$J,$B:$B,$B872,$A:$A,"&gt;="&amp;COUNTIFS($K$1:M$1,"&lt;&gt;"))),0)</f>
        <v>4.8780487804878057E-2</v>
      </c>
      <c r="N872">
        <f>IFERROR($J872/IF($A872&lt;COUNTIFS($K$1:N$1,"&lt;&gt;"),0,SUMIFS($J:$J,$B:$B,$B872,$A:$A,"&gt;="&amp;COUNTIFS($K$1:N$1,"&lt;&gt;"))),0)</f>
        <v>5.4687500000000014E-2</v>
      </c>
      <c r="O872">
        <f>IFERROR($J872/IF($A872&lt;COUNTIFS($K$1:O$1,"&lt;&gt;"),0,SUMIFS($J:$J,$B:$B,$B872,$A:$A,"&gt;="&amp;COUNTIFS($K$1:O$1,"&lt;&gt;"))),0)</f>
        <v>6.194690265486727E-2</v>
      </c>
      <c r="P872">
        <f>IFERROR($J872/IF($A872&lt;COUNTIFS($K$1:P$1,"&lt;&gt;"),0,SUMIFS($J:$J,$B:$B,$B872,$A:$A,"&gt;="&amp;COUNTIFS($K$1:P$1,"&lt;&gt;"))),0)</f>
        <v>7.1794871794871803E-2</v>
      </c>
      <c r="Q872">
        <f>IFERROR($J872/IF($A872&lt;COUNTIFS($K$1:Q$1,"&lt;&gt;"),0,SUMIFS($J:$J,$B:$B,$B872,$A:$A,"&gt;="&amp;COUNTIFS($K$1:Q$1,"&lt;&gt;"))),0)</f>
        <v>8.5365853658536592E-2</v>
      </c>
      <c r="R872">
        <f>IFERROR($J872/IF($A872&lt;COUNTIFS($K$1:R$1,"&lt;&gt;"),0,SUMIFS($J:$J,$B:$B,$B872,$A:$A,"&gt;="&amp;COUNTIFS($K$1:R$1,"&lt;&gt;"))),0)</f>
        <v>0.10294117647058824</v>
      </c>
      <c r="S872">
        <f>IFERROR($J872/IF($A872&lt;COUNTIFS($K$1:S$1,"&lt;&gt;"),0,SUMIFS($J:$J,$B:$B,$B872,$A:$A,"&gt;="&amp;COUNTIFS($K$1:S$1,"&lt;&gt;"))),0)</f>
        <v>0.13333333333333336</v>
      </c>
      <c r="T872">
        <f>IFERROR($J872/IF($A872&lt;COUNTIFS($K$1:T$1,"&lt;&gt;"),0,SUMIFS($J:$J,$B:$B,$B872,$A:$A,"&gt;="&amp;COUNTIFS($K$1:T$1,"&lt;&gt;"))),0)</f>
        <v>0.18666666666666668</v>
      </c>
      <c r="U872">
        <f>IFERROR($J872/IF($A872&lt;COUNTIFS($K$1:U$1,"&lt;&gt;"),0,SUMIFS($J:$J,$B:$B,$B872,$A:$A,"&gt;="&amp;COUNTIFS($K$1:U$1,"&lt;&gt;"))),0)</f>
        <v>0.31818181818181818</v>
      </c>
      <c r="V872">
        <f>IFERROR($J872/IF($A872&lt;COUNTIFS($K$1:V$1,"&lt;&gt;"),0,SUMIFS($J:$J,$B:$B,$B872,$A:$A,"&gt;="&amp;COUNTIFS($K$1:V$1,"&lt;&gt;"))),0)</f>
        <v>1</v>
      </c>
      <c r="W872">
        <f t="shared" si="310"/>
        <v>3.8356164383561646E-2</v>
      </c>
      <c r="X872">
        <f t="shared" si="290"/>
        <v>3.8356164383561646E-2</v>
      </c>
      <c r="Y872">
        <f t="shared" si="291"/>
        <v>3.8356164383561646E-2</v>
      </c>
      <c r="Z872">
        <f t="shared" si="292"/>
        <v>3.8356164383561646E-2</v>
      </c>
      <c r="AA872">
        <f t="shared" si="293"/>
        <v>3.8356164383561646E-2</v>
      </c>
      <c r="AB872">
        <f t="shared" si="294"/>
        <v>3.8356164383561646E-2</v>
      </c>
      <c r="AC872">
        <f t="shared" si="295"/>
        <v>3.8356164383561646E-2</v>
      </c>
      <c r="AD872">
        <f t="shared" si="296"/>
        <v>3.8356164383561646E-2</v>
      </c>
      <c r="AE872">
        <f t="shared" si="297"/>
        <v>3.8356164383561646E-2</v>
      </c>
      <c r="AF872">
        <f t="shared" si="298"/>
        <v>3.8356164383561646E-2</v>
      </c>
      <c r="AG872">
        <f t="shared" si="299"/>
        <v>3.8356164383561646E-2</v>
      </c>
      <c r="AH872">
        <f t="shared" si="300"/>
        <v>3.8356164383561646E-2</v>
      </c>
      <c r="AI872">
        <f t="shared" si="301"/>
        <v>3.8356164383561646E-2</v>
      </c>
      <c r="AJ872" s="2" t="str">
        <f t="shared" si="311"/>
        <v>1245839</v>
      </c>
    </row>
    <row r="873" spans="1:36" x14ac:dyDescent="0.25">
      <c r="A873">
        <v>0</v>
      </c>
      <c r="B873" s="1">
        <v>45870</v>
      </c>
      <c r="C873" s="1">
        <f t="shared" si="302"/>
        <v>45870</v>
      </c>
      <c r="D873" s="1">
        <f t="shared" si="303"/>
        <v>45884</v>
      </c>
      <c r="E873" s="1">
        <f t="shared" si="304"/>
        <v>45884</v>
      </c>
      <c r="F873" s="1">
        <f t="shared" si="305"/>
        <v>45901</v>
      </c>
      <c r="G873" s="1">
        <f t="shared" si="306"/>
        <v>46249</v>
      </c>
      <c r="H873">
        <f t="shared" si="307"/>
        <v>365</v>
      </c>
      <c r="I873">
        <f t="shared" si="308"/>
        <v>17</v>
      </c>
      <c r="J873">
        <f t="shared" si="309"/>
        <v>4.6575342465753428E-2</v>
      </c>
      <c r="K873">
        <f>IFERROR($J873/IF($A873&lt;COUNTIFS($K$1:K$1,"&lt;&gt;"),0,SUMIFS($J:$J,$B:$B,$B873,$A:$A,"&gt;="&amp;COUNTIFS($K$1:K$1,"&lt;&gt;"))),0)</f>
        <v>0</v>
      </c>
      <c r="L873">
        <f>IFERROR($J873/IF($A873&lt;COUNTIFS($K$1:L$1,"&lt;&gt;"),0,SUMIFS($J:$J,$B:$B,$B873,$A:$A,"&gt;="&amp;COUNTIFS($K$1:L$1,"&lt;&gt;"))),0)</f>
        <v>0</v>
      </c>
      <c r="M873">
        <f>IFERROR($J873/IF($A873&lt;COUNTIFS($K$1:M$1,"&lt;&gt;"),0,SUMIFS($J:$J,$B:$B,$B873,$A:$A,"&gt;="&amp;COUNTIFS($K$1:M$1,"&lt;&gt;"))),0)</f>
        <v>0</v>
      </c>
      <c r="N873">
        <f>IFERROR($J873/IF($A873&lt;COUNTIFS($K$1:N$1,"&lt;&gt;"),0,SUMIFS($J:$J,$B:$B,$B873,$A:$A,"&gt;="&amp;COUNTIFS($K$1:N$1,"&lt;&gt;"))),0)</f>
        <v>0</v>
      </c>
      <c r="O873">
        <f>IFERROR($J873/IF($A873&lt;COUNTIFS($K$1:O$1,"&lt;&gt;"),0,SUMIFS($J:$J,$B:$B,$B873,$A:$A,"&gt;="&amp;COUNTIFS($K$1:O$1,"&lt;&gt;"))),0)</f>
        <v>0</v>
      </c>
      <c r="P873">
        <f>IFERROR($J873/IF($A873&lt;COUNTIFS($K$1:P$1,"&lt;&gt;"),0,SUMIFS($J:$J,$B:$B,$B873,$A:$A,"&gt;="&amp;COUNTIFS($K$1:P$1,"&lt;&gt;"))),0)</f>
        <v>0</v>
      </c>
      <c r="Q873">
        <f>IFERROR($J873/IF($A873&lt;COUNTIFS($K$1:Q$1,"&lt;&gt;"),0,SUMIFS($J:$J,$B:$B,$B873,$A:$A,"&gt;="&amp;COUNTIFS($K$1:Q$1,"&lt;&gt;"))),0)</f>
        <v>0</v>
      </c>
      <c r="R873">
        <f>IFERROR($J873/IF($A873&lt;COUNTIFS($K$1:R$1,"&lt;&gt;"),0,SUMIFS($J:$J,$B:$B,$B873,$A:$A,"&gt;="&amp;COUNTIFS($K$1:R$1,"&lt;&gt;"))),0)</f>
        <v>0</v>
      </c>
      <c r="S873">
        <f>IFERROR($J873/IF($A873&lt;COUNTIFS($K$1:S$1,"&lt;&gt;"),0,SUMIFS($J:$J,$B:$B,$B873,$A:$A,"&gt;="&amp;COUNTIFS($K$1:S$1,"&lt;&gt;"))),0)</f>
        <v>0</v>
      </c>
      <c r="T873">
        <f>IFERROR($J873/IF($A873&lt;COUNTIFS($K$1:T$1,"&lt;&gt;"),0,SUMIFS($J:$J,$B:$B,$B873,$A:$A,"&gt;="&amp;COUNTIFS($K$1:T$1,"&lt;&gt;"))),0)</f>
        <v>0</v>
      </c>
      <c r="U873">
        <f>IFERROR($J873/IF($A873&lt;COUNTIFS($K$1:U$1,"&lt;&gt;"),0,SUMIFS($J:$J,$B:$B,$B873,$A:$A,"&gt;="&amp;COUNTIFS($K$1:U$1,"&lt;&gt;"))),0)</f>
        <v>0</v>
      </c>
      <c r="V873">
        <f>IFERROR($J873/IF($A873&lt;COUNTIFS($K$1:V$1,"&lt;&gt;"),0,SUMIFS($J:$J,$B:$B,$B873,$A:$A,"&gt;="&amp;COUNTIFS($K$1:V$1,"&lt;&gt;"))),0)</f>
        <v>0</v>
      </c>
      <c r="W873">
        <f t="shared" si="310"/>
        <v>4.6575342465753428E-2</v>
      </c>
      <c r="X873">
        <f t="shared" si="290"/>
        <v>0</v>
      </c>
      <c r="Y873">
        <f t="shared" si="291"/>
        <v>0</v>
      </c>
      <c r="Z873">
        <f t="shared" si="292"/>
        <v>0</v>
      </c>
      <c r="AA873">
        <f t="shared" si="293"/>
        <v>0</v>
      </c>
      <c r="AB873">
        <f t="shared" si="294"/>
        <v>0</v>
      </c>
      <c r="AC873">
        <f t="shared" si="295"/>
        <v>0</v>
      </c>
      <c r="AD873">
        <f t="shared" si="296"/>
        <v>0</v>
      </c>
      <c r="AE873">
        <f t="shared" si="297"/>
        <v>0</v>
      </c>
      <c r="AF873">
        <f t="shared" si="298"/>
        <v>0</v>
      </c>
      <c r="AG873">
        <f t="shared" si="299"/>
        <v>0</v>
      </c>
      <c r="AH873">
        <f t="shared" si="300"/>
        <v>0</v>
      </c>
      <c r="AI873">
        <f t="shared" si="301"/>
        <v>0</v>
      </c>
      <c r="AJ873" s="2" t="str">
        <f t="shared" si="311"/>
        <v>045870</v>
      </c>
    </row>
    <row r="874" spans="1:36" x14ac:dyDescent="0.25">
      <c r="A874">
        <v>1</v>
      </c>
      <c r="B874" s="1">
        <v>45870</v>
      </c>
      <c r="C874" s="1">
        <f t="shared" si="302"/>
        <v>45901</v>
      </c>
      <c r="D874" s="1">
        <f t="shared" si="303"/>
        <v>45884</v>
      </c>
      <c r="E874" s="1">
        <f t="shared" si="304"/>
        <v>45901</v>
      </c>
      <c r="F874" s="1">
        <f t="shared" si="305"/>
        <v>45931</v>
      </c>
      <c r="G874" s="1">
        <f t="shared" si="306"/>
        <v>46249</v>
      </c>
      <c r="H874">
        <f t="shared" si="307"/>
        <v>365</v>
      </c>
      <c r="I874">
        <f t="shared" si="308"/>
        <v>30</v>
      </c>
      <c r="J874">
        <f t="shared" si="309"/>
        <v>8.2191780821917804E-2</v>
      </c>
      <c r="K874">
        <f>IFERROR($J874/IF($A874&lt;COUNTIFS($K$1:K$1,"&lt;&gt;"),0,SUMIFS($J:$J,$B:$B,$B874,$A:$A,"&gt;="&amp;COUNTIFS($K$1:K$1,"&lt;&gt;"))),0)</f>
        <v>8.6206896551724144E-2</v>
      </c>
      <c r="L874">
        <f>IFERROR($J874/IF($A874&lt;COUNTIFS($K$1:L$1,"&lt;&gt;"),0,SUMIFS($J:$J,$B:$B,$B874,$A:$A,"&gt;="&amp;COUNTIFS($K$1:L$1,"&lt;&gt;"))),0)</f>
        <v>0</v>
      </c>
      <c r="M874">
        <f>IFERROR($J874/IF($A874&lt;COUNTIFS($K$1:M$1,"&lt;&gt;"),0,SUMIFS($J:$J,$B:$B,$B874,$A:$A,"&gt;="&amp;COUNTIFS($K$1:M$1,"&lt;&gt;"))),0)</f>
        <v>0</v>
      </c>
      <c r="N874">
        <f>IFERROR($J874/IF($A874&lt;COUNTIFS($K$1:N$1,"&lt;&gt;"),0,SUMIFS($J:$J,$B:$B,$B874,$A:$A,"&gt;="&amp;COUNTIFS($K$1:N$1,"&lt;&gt;"))),0)</f>
        <v>0</v>
      </c>
      <c r="O874">
        <f>IFERROR($J874/IF($A874&lt;COUNTIFS($K$1:O$1,"&lt;&gt;"),0,SUMIFS($J:$J,$B:$B,$B874,$A:$A,"&gt;="&amp;COUNTIFS($K$1:O$1,"&lt;&gt;"))),0)</f>
        <v>0</v>
      </c>
      <c r="P874">
        <f>IFERROR($J874/IF($A874&lt;COUNTIFS($K$1:P$1,"&lt;&gt;"),0,SUMIFS($J:$J,$B:$B,$B874,$A:$A,"&gt;="&amp;COUNTIFS($K$1:P$1,"&lt;&gt;"))),0)</f>
        <v>0</v>
      </c>
      <c r="Q874">
        <f>IFERROR($J874/IF($A874&lt;COUNTIFS($K$1:Q$1,"&lt;&gt;"),0,SUMIFS($J:$J,$B:$B,$B874,$A:$A,"&gt;="&amp;COUNTIFS($K$1:Q$1,"&lt;&gt;"))),0)</f>
        <v>0</v>
      </c>
      <c r="R874">
        <f>IFERROR($J874/IF($A874&lt;COUNTIFS($K$1:R$1,"&lt;&gt;"),0,SUMIFS($J:$J,$B:$B,$B874,$A:$A,"&gt;="&amp;COUNTIFS($K$1:R$1,"&lt;&gt;"))),0)</f>
        <v>0</v>
      </c>
      <c r="S874">
        <f>IFERROR($J874/IF($A874&lt;COUNTIFS($K$1:S$1,"&lt;&gt;"),0,SUMIFS($J:$J,$B:$B,$B874,$A:$A,"&gt;="&amp;COUNTIFS($K$1:S$1,"&lt;&gt;"))),0)</f>
        <v>0</v>
      </c>
      <c r="T874">
        <f>IFERROR($J874/IF($A874&lt;COUNTIFS($K$1:T$1,"&lt;&gt;"),0,SUMIFS($J:$J,$B:$B,$B874,$A:$A,"&gt;="&amp;COUNTIFS($K$1:T$1,"&lt;&gt;"))),0)</f>
        <v>0</v>
      </c>
      <c r="U874">
        <f>IFERROR($J874/IF($A874&lt;COUNTIFS($K$1:U$1,"&lt;&gt;"),0,SUMIFS($J:$J,$B:$B,$B874,$A:$A,"&gt;="&amp;COUNTIFS($K$1:U$1,"&lt;&gt;"))),0)</f>
        <v>0</v>
      </c>
      <c r="V874">
        <f>IFERROR($J874/IF($A874&lt;COUNTIFS($K$1:V$1,"&lt;&gt;"),0,SUMIFS($J:$J,$B:$B,$B874,$A:$A,"&gt;="&amp;COUNTIFS($K$1:V$1,"&lt;&gt;"))),0)</f>
        <v>0</v>
      </c>
      <c r="W874">
        <f t="shared" si="310"/>
        <v>8.2191780821917804E-2</v>
      </c>
      <c r="X874">
        <f t="shared" si="290"/>
        <v>8.2191780821917804E-2</v>
      </c>
      <c r="Y874">
        <f t="shared" si="291"/>
        <v>0</v>
      </c>
      <c r="Z874">
        <f t="shared" si="292"/>
        <v>0</v>
      </c>
      <c r="AA874">
        <f t="shared" si="293"/>
        <v>0</v>
      </c>
      <c r="AB874">
        <f t="shared" si="294"/>
        <v>0</v>
      </c>
      <c r="AC874">
        <f t="shared" si="295"/>
        <v>0</v>
      </c>
      <c r="AD874">
        <f t="shared" si="296"/>
        <v>0</v>
      </c>
      <c r="AE874">
        <f t="shared" si="297"/>
        <v>0</v>
      </c>
      <c r="AF874">
        <f t="shared" si="298"/>
        <v>0</v>
      </c>
      <c r="AG874">
        <f t="shared" si="299"/>
        <v>0</v>
      </c>
      <c r="AH874">
        <f t="shared" si="300"/>
        <v>0</v>
      </c>
      <c r="AI874">
        <f t="shared" si="301"/>
        <v>0</v>
      </c>
      <c r="AJ874" s="2" t="str">
        <f t="shared" si="311"/>
        <v>145870</v>
      </c>
    </row>
    <row r="875" spans="1:36" x14ac:dyDescent="0.25">
      <c r="A875">
        <v>2</v>
      </c>
      <c r="B875" s="1">
        <v>45870</v>
      </c>
      <c r="C875" s="1">
        <f t="shared" si="302"/>
        <v>45931</v>
      </c>
      <c r="D875" s="1">
        <f t="shared" si="303"/>
        <v>45884</v>
      </c>
      <c r="E875" s="1">
        <f t="shared" si="304"/>
        <v>45931</v>
      </c>
      <c r="F875" s="1">
        <f t="shared" si="305"/>
        <v>45962</v>
      </c>
      <c r="G875" s="1">
        <f t="shared" si="306"/>
        <v>46249</v>
      </c>
      <c r="H875">
        <f t="shared" si="307"/>
        <v>365</v>
      </c>
      <c r="I875">
        <f t="shared" si="308"/>
        <v>31</v>
      </c>
      <c r="J875">
        <f t="shared" si="309"/>
        <v>8.4931506849315067E-2</v>
      </c>
      <c r="K875">
        <f>IFERROR($J875/IF($A875&lt;COUNTIFS($K$1:K$1,"&lt;&gt;"),0,SUMIFS($J:$J,$B:$B,$B875,$A:$A,"&gt;="&amp;COUNTIFS($K$1:K$1,"&lt;&gt;"))),0)</f>
        <v>8.9080459770114959E-2</v>
      </c>
      <c r="L875">
        <f>IFERROR($J875/IF($A875&lt;COUNTIFS($K$1:L$1,"&lt;&gt;"),0,SUMIFS($J:$J,$B:$B,$B875,$A:$A,"&gt;="&amp;COUNTIFS($K$1:L$1,"&lt;&gt;"))),0)</f>
        <v>9.7484276729559768E-2</v>
      </c>
      <c r="M875">
        <f>IFERROR($J875/IF($A875&lt;COUNTIFS($K$1:M$1,"&lt;&gt;"),0,SUMIFS($J:$J,$B:$B,$B875,$A:$A,"&gt;="&amp;COUNTIFS($K$1:M$1,"&lt;&gt;"))),0)</f>
        <v>0</v>
      </c>
      <c r="N875">
        <f>IFERROR($J875/IF($A875&lt;COUNTIFS($K$1:N$1,"&lt;&gt;"),0,SUMIFS($J:$J,$B:$B,$B875,$A:$A,"&gt;="&amp;COUNTIFS($K$1:N$1,"&lt;&gt;"))),0)</f>
        <v>0</v>
      </c>
      <c r="O875">
        <f>IFERROR($J875/IF($A875&lt;COUNTIFS($K$1:O$1,"&lt;&gt;"),0,SUMIFS($J:$J,$B:$B,$B875,$A:$A,"&gt;="&amp;COUNTIFS($K$1:O$1,"&lt;&gt;"))),0)</f>
        <v>0</v>
      </c>
      <c r="P875">
        <f>IFERROR($J875/IF($A875&lt;COUNTIFS($K$1:P$1,"&lt;&gt;"),0,SUMIFS($J:$J,$B:$B,$B875,$A:$A,"&gt;="&amp;COUNTIFS($K$1:P$1,"&lt;&gt;"))),0)</f>
        <v>0</v>
      </c>
      <c r="Q875">
        <f>IFERROR($J875/IF($A875&lt;COUNTIFS($K$1:Q$1,"&lt;&gt;"),0,SUMIFS($J:$J,$B:$B,$B875,$A:$A,"&gt;="&amp;COUNTIFS($K$1:Q$1,"&lt;&gt;"))),0)</f>
        <v>0</v>
      </c>
      <c r="R875">
        <f>IFERROR($J875/IF($A875&lt;COUNTIFS($K$1:R$1,"&lt;&gt;"),0,SUMIFS($J:$J,$B:$B,$B875,$A:$A,"&gt;="&amp;COUNTIFS($K$1:R$1,"&lt;&gt;"))),0)</f>
        <v>0</v>
      </c>
      <c r="S875">
        <f>IFERROR($J875/IF($A875&lt;COUNTIFS($K$1:S$1,"&lt;&gt;"),0,SUMIFS($J:$J,$B:$B,$B875,$A:$A,"&gt;="&amp;COUNTIFS($K$1:S$1,"&lt;&gt;"))),0)</f>
        <v>0</v>
      </c>
      <c r="T875">
        <f>IFERROR($J875/IF($A875&lt;COUNTIFS($K$1:T$1,"&lt;&gt;"),0,SUMIFS($J:$J,$B:$B,$B875,$A:$A,"&gt;="&amp;COUNTIFS($K$1:T$1,"&lt;&gt;"))),0)</f>
        <v>0</v>
      </c>
      <c r="U875">
        <f>IFERROR($J875/IF($A875&lt;COUNTIFS($K$1:U$1,"&lt;&gt;"),0,SUMIFS($J:$J,$B:$B,$B875,$A:$A,"&gt;="&amp;COUNTIFS($K$1:U$1,"&lt;&gt;"))),0)</f>
        <v>0</v>
      </c>
      <c r="V875">
        <f>IFERROR($J875/IF($A875&lt;COUNTIFS($K$1:V$1,"&lt;&gt;"),0,SUMIFS($J:$J,$B:$B,$B875,$A:$A,"&gt;="&amp;COUNTIFS($K$1:V$1,"&lt;&gt;"))),0)</f>
        <v>0</v>
      </c>
      <c r="W875">
        <f t="shared" si="310"/>
        <v>8.4931506849315067E-2</v>
      </c>
      <c r="X875">
        <f t="shared" si="290"/>
        <v>8.4931506849315067E-2</v>
      </c>
      <c r="Y875">
        <f t="shared" si="291"/>
        <v>8.4931506849315067E-2</v>
      </c>
      <c r="Z875">
        <f t="shared" si="292"/>
        <v>0</v>
      </c>
      <c r="AA875">
        <f t="shared" si="293"/>
        <v>0</v>
      </c>
      <c r="AB875">
        <f t="shared" si="294"/>
        <v>0</v>
      </c>
      <c r="AC875">
        <f t="shared" si="295"/>
        <v>0</v>
      </c>
      <c r="AD875">
        <f t="shared" si="296"/>
        <v>0</v>
      </c>
      <c r="AE875">
        <f t="shared" si="297"/>
        <v>0</v>
      </c>
      <c r="AF875">
        <f t="shared" si="298"/>
        <v>0</v>
      </c>
      <c r="AG875">
        <f t="shared" si="299"/>
        <v>0</v>
      </c>
      <c r="AH875">
        <f t="shared" si="300"/>
        <v>0</v>
      </c>
      <c r="AI875">
        <f t="shared" si="301"/>
        <v>0</v>
      </c>
      <c r="AJ875" s="2" t="str">
        <f t="shared" si="311"/>
        <v>245870</v>
      </c>
    </row>
    <row r="876" spans="1:36" x14ac:dyDescent="0.25">
      <c r="A876">
        <v>3</v>
      </c>
      <c r="B876" s="1">
        <v>45870</v>
      </c>
      <c r="C876" s="1">
        <f t="shared" si="302"/>
        <v>45962</v>
      </c>
      <c r="D876" s="1">
        <f t="shared" si="303"/>
        <v>45884</v>
      </c>
      <c r="E876" s="1">
        <f t="shared" si="304"/>
        <v>45962</v>
      </c>
      <c r="F876" s="1">
        <f t="shared" si="305"/>
        <v>45992</v>
      </c>
      <c r="G876" s="1">
        <f t="shared" si="306"/>
        <v>46249</v>
      </c>
      <c r="H876">
        <f t="shared" si="307"/>
        <v>365</v>
      </c>
      <c r="I876">
        <f t="shared" si="308"/>
        <v>30</v>
      </c>
      <c r="J876">
        <f t="shared" si="309"/>
        <v>8.2191780821917804E-2</v>
      </c>
      <c r="K876">
        <f>IFERROR($J876/IF($A876&lt;COUNTIFS($K$1:K$1,"&lt;&gt;"),0,SUMIFS($J:$J,$B:$B,$B876,$A:$A,"&gt;="&amp;COUNTIFS($K$1:K$1,"&lt;&gt;"))),0)</f>
        <v>8.6206896551724144E-2</v>
      </c>
      <c r="L876">
        <f>IFERROR($J876/IF($A876&lt;COUNTIFS($K$1:L$1,"&lt;&gt;"),0,SUMIFS($J:$J,$B:$B,$B876,$A:$A,"&gt;="&amp;COUNTIFS($K$1:L$1,"&lt;&gt;"))),0)</f>
        <v>9.4339622641509441E-2</v>
      </c>
      <c r="M876">
        <f>IFERROR($J876/IF($A876&lt;COUNTIFS($K$1:M$1,"&lt;&gt;"),0,SUMIFS($J:$J,$B:$B,$B876,$A:$A,"&gt;="&amp;COUNTIFS($K$1:M$1,"&lt;&gt;"))),0)</f>
        <v>0.10452961672473869</v>
      </c>
      <c r="N876">
        <f>IFERROR($J876/IF($A876&lt;COUNTIFS($K$1:N$1,"&lt;&gt;"),0,SUMIFS($J:$J,$B:$B,$B876,$A:$A,"&gt;="&amp;COUNTIFS($K$1:N$1,"&lt;&gt;"))),0)</f>
        <v>0</v>
      </c>
      <c r="O876">
        <f>IFERROR($J876/IF($A876&lt;COUNTIFS($K$1:O$1,"&lt;&gt;"),0,SUMIFS($J:$J,$B:$B,$B876,$A:$A,"&gt;="&amp;COUNTIFS($K$1:O$1,"&lt;&gt;"))),0)</f>
        <v>0</v>
      </c>
      <c r="P876">
        <f>IFERROR($J876/IF($A876&lt;COUNTIFS($K$1:P$1,"&lt;&gt;"),0,SUMIFS($J:$J,$B:$B,$B876,$A:$A,"&gt;="&amp;COUNTIFS($K$1:P$1,"&lt;&gt;"))),0)</f>
        <v>0</v>
      </c>
      <c r="Q876">
        <f>IFERROR($J876/IF($A876&lt;COUNTIFS($K$1:Q$1,"&lt;&gt;"),0,SUMIFS($J:$J,$B:$B,$B876,$A:$A,"&gt;="&amp;COUNTIFS($K$1:Q$1,"&lt;&gt;"))),0)</f>
        <v>0</v>
      </c>
      <c r="R876">
        <f>IFERROR($J876/IF($A876&lt;COUNTIFS($K$1:R$1,"&lt;&gt;"),0,SUMIFS($J:$J,$B:$B,$B876,$A:$A,"&gt;="&amp;COUNTIFS($K$1:R$1,"&lt;&gt;"))),0)</f>
        <v>0</v>
      </c>
      <c r="S876">
        <f>IFERROR($J876/IF($A876&lt;COUNTIFS($K$1:S$1,"&lt;&gt;"),0,SUMIFS($J:$J,$B:$B,$B876,$A:$A,"&gt;="&amp;COUNTIFS($K$1:S$1,"&lt;&gt;"))),0)</f>
        <v>0</v>
      </c>
      <c r="T876">
        <f>IFERROR($J876/IF($A876&lt;COUNTIFS($K$1:T$1,"&lt;&gt;"),0,SUMIFS($J:$J,$B:$B,$B876,$A:$A,"&gt;="&amp;COUNTIFS($K$1:T$1,"&lt;&gt;"))),0)</f>
        <v>0</v>
      </c>
      <c r="U876">
        <f>IFERROR($J876/IF($A876&lt;COUNTIFS($K$1:U$1,"&lt;&gt;"),0,SUMIFS($J:$J,$B:$B,$B876,$A:$A,"&gt;="&amp;COUNTIFS($K$1:U$1,"&lt;&gt;"))),0)</f>
        <v>0</v>
      </c>
      <c r="V876">
        <f>IFERROR($J876/IF($A876&lt;COUNTIFS($K$1:V$1,"&lt;&gt;"),0,SUMIFS($J:$J,$B:$B,$B876,$A:$A,"&gt;="&amp;COUNTIFS($K$1:V$1,"&lt;&gt;"))),0)</f>
        <v>0</v>
      </c>
      <c r="W876">
        <f t="shared" si="310"/>
        <v>8.2191780821917804E-2</v>
      </c>
      <c r="X876">
        <f t="shared" si="290"/>
        <v>8.2191780821917804E-2</v>
      </c>
      <c r="Y876">
        <f t="shared" si="291"/>
        <v>8.2191780821917804E-2</v>
      </c>
      <c r="Z876">
        <f t="shared" si="292"/>
        <v>8.2191780821917804E-2</v>
      </c>
      <c r="AA876">
        <f t="shared" si="293"/>
        <v>0</v>
      </c>
      <c r="AB876">
        <f t="shared" si="294"/>
        <v>0</v>
      </c>
      <c r="AC876">
        <f t="shared" si="295"/>
        <v>0</v>
      </c>
      <c r="AD876">
        <f t="shared" si="296"/>
        <v>0</v>
      </c>
      <c r="AE876">
        <f t="shared" si="297"/>
        <v>0</v>
      </c>
      <c r="AF876">
        <f t="shared" si="298"/>
        <v>0</v>
      </c>
      <c r="AG876">
        <f t="shared" si="299"/>
        <v>0</v>
      </c>
      <c r="AH876">
        <f t="shared" si="300"/>
        <v>0</v>
      </c>
      <c r="AI876">
        <f t="shared" si="301"/>
        <v>0</v>
      </c>
      <c r="AJ876" s="2" t="str">
        <f t="shared" si="311"/>
        <v>345870</v>
      </c>
    </row>
    <row r="877" spans="1:36" x14ac:dyDescent="0.25">
      <c r="A877">
        <v>4</v>
      </c>
      <c r="B877" s="1">
        <v>45870</v>
      </c>
      <c r="C877" s="1">
        <f t="shared" si="302"/>
        <v>45992</v>
      </c>
      <c r="D877" s="1">
        <f t="shared" si="303"/>
        <v>45884</v>
      </c>
      <c r="E877" s="1">
        <f t="shared" si="304"/>
        <v>45992</v>
      </c>
      <c r="F877" s="1">
        <f t="shared" si="305"/>
        <v>46023</v>
      </c>
      <c r="G877" s="1">
        <f t="shared" si="306"/>
        <v>46249</v>
      </c>
      <c r="H877">
        <f t="shared" si="307"/>
        <v>365</v>
      </c>
      <c r="I877">
        <f t="shared" si="308"/>
        <v>31</v>
      </c>
      <c r="J877">
        <f t="shared" si="309"/>
        <v>8.4931506849315067E-2</v>
      </c>
      <c r="K877">
        <f>IFERROR($J877/IF($A877&lt;COUNTIFS($K$1:K$1,"&lt;&gt;"),0,SUMIFS($J:$J,$B:$B,$B877,$A:$A,"&gt;="&amp;COUNTIFS($K$1:K$1,"&lt;&gt;"))),0)</f>
        <v>8.9080459770114959E-2</v>
      </c>
      <c r="L877">
        <f>IFERROR($J877/IF($A877&lt;COUNTIFS($K$1:L$1,"&lt;&gt;"),0,SUMIFS($J:$J,$B:$B,$B877,$A:$A,"&gt;="&amp;COUNTIFS($K$1:L$1,"&lt;&gt;"))),0)</f>
        <v>9.7484276729559768E-2</v>
      </c>
      <c r="M877">
        <f>IFERROR($J877/IF($A877&lt;COUNTIFS($K$1:M$1,"&lt;&gt;"),0,SUMIFS($J:$J,$B:$B,$B877,$A:$A,"&gt;="&amp;COUNTIFS($K$1:M$1,"&lt;&gt;"))),0)</f>
        <v>0.10801393728222998</v>
      </c>
      <c r="N877">
        <f>IFERROR($J877/IF($A877&lt;COUNTIFS($K$1:N$1,"&lt;&gt;"),0,SUMIFS($J:$J,$B:$B,$B877,$A:$A,"&gt;="&amp;COUNTIFS($K$1:N$1,"&lt;&gt;"))),0)</f>
        <v>0.12062256809338523</v>
      </c>
      <c r="O877">
        <f>IFERROR($J877/IF($A877&lt;COUNTIFS($K$1:O$1,"&lt;&gt;"),0,SUMIFS($J:$J,$B:$B,$B877,$A:$A,"&gt;="&amp;COUNTIFS($K$1:O$1,"&lt;&gt;"))),0)</f>
        <v>0</v>
      </c>
      <c r="P877">
        <f>IFERROR($J877/IF($A877&lt;COUNTIFS($K$1:P$1,"&lt;&gt;"),0,SUMIFS($J:$J,$B:$B,$B877,$A:$A,"&gt;="&amp;COUNTIFS($K$1:P$1,"&lt;&gt;"))),0)</f>
        <v>0</v>
      </c>
      <c r="Q877">
        <f>IFERROR($J877/IF($A877&lt;COUNTIFS($K$1:Q$1,"&lt;&gt;"),0,SUMIFS($J:$J,$B:$B,$B877,$A:$A,"&gt;="&amp;COUNTIFS($K$1:Q$1,"&lt;&gt;"))),0)</f>
        <v>0</v>
      </c>
      <c r="R877">
        <f>IFERROR($J877/IF($A877&lt;COUNTIFS($K$1:R$1,"&lt;&gt;"),0,SUMIFS($J:$J,$B:$B,$B877,$A:$A,"&gt;="&amp;COUNTIFS($K$1:R$1,"&lt;&gt;"))),0)</f>
        <v>0</v>
      </c>
      <c r="S877">
        <f>IFERROR($J877/IF($A877&lt;COUNTIFS($K$1:S$1,"&lt;&gt;"),0,SUMIFS($J:$J,$B:$B,$B877,$A:$A,"&gt;="&amp;COUNTIFS($K$1:S$1,"&lt;&gt;"))),0)</f>
        <v>0</v>
      </c>
      <c r="T877">
        <f>IFERROR($J877/IF($A877&lt;COUNTIFS($K$1:T$1,"&lt;&gt;"),0,SUMIFS($J:$J,$B:$B,$B877,$A:$A,"&gt;="&amp;COUNTIFS($K$1:T$1,"&lt;&gt;"))),0)</f>
        <v>0</v>
      </c>
      <c r="U877">
        <f>IFERROR($J877/IF($A877&lt;COUNTIFS($K$1:U$1,"&lt;&gt;"),0,SUMIFS($J:$J,$B:$B,$B877,$A:$A,"&gt;="&amp;COUNTIFS($K$1:U$1,"&lt;&gt;"))),0)</f>
        <v>0</v>
      </c>
      <c r="V877">
        <f>IFERROR($J877/IF($A877&lt;COUNTIFS($K$1:V$1,"&lt;&gt;"),0,SUMIFS($J:$J,$B:$B,$B877,$A:$A,"&gt;="&amp;COUNTIFS($K$1:V$1,"&lt;&gt;"))),0)</f>
        <v>0</v>
      </c>
      <c r="W877">
        <f t="shared" si="310"/>
        <v>8.4931506849315067E-2</v>
      </c>
      <c r="X877">
        <f t="shared" si="290"/>
        <v>8.4931506849315067E-2</v>
      </c>
      <c r="Y877">
        <f t="shared" si="291"/>
        <v>8.4931506849315067E-2</v>
      </c>
      <c r="Z877">
        <f t="shared" si="292"/>
        <v>8.4931506849315067E-2</v>
      </c>
      <c r="AA877">
        <f t="shared" si="293"/>
        <v>8.4931506849315067E-2</v>
      </c>
      <c r="AB877">
        <f t="shared" si="294"/>
        <v>0</v>
      </c>
      <c r="AC877">
        <f t="shared" si="295"/>
        <v>0</v>
      </c>
      <c r="AD877">
        <f t="shared" si="296"/>
        <v>0</v>
      </c>
      <c r="AE877">
        <f t="shared" si="297"/>
        <v>0</v>
      </c>
      <c r="AF877">
        <f t="shared" si="298"/>
        <v>0</v>
      </c>
      <c r="AG877">
        <f t="shared" si="299"/>
        <v>0</v>
      </c>
      <c r="AH877">
        <f t="shared" si="300"/>
        <v>0</v>
      </c>
      <c r="AI877">
        <f t="shared" si="301"/>
        <v>0</v>
      </c>
      <c r="AJ877" s="2" t="str">
        <f t="shared" si="311"/>
        <v>445870</v>
      </c>
    </row>
    <row r="878" spans="1:36" x14ac:dyDescent="0.25">
      <c r="A878">
        <v>5</v>
      </c>
      <c r="B878" s="1">
        <v>45870</v>
      </c>
      <c r="C878" s="1">
        <f t="shared" si="302"/>
        <v>46023</v>
      </c>
      <c r="D878" s="1">
        <f t="shared" si="303"/>
        <v>45884</v>
      </c>
      <c r="E878" s="1">
        <f t="shared" si="304"/>
        <v>46023</v>
      </c>
      <c r="F878" s="1">
        <f t="shared" si="305"/>
        <v>46054</v>
      </c>
      <c r="G878" s="1">
        <f t="shared" si="306"/>
        <v>46249</v>
      </c>
      <c r="H878">
        <f t="shared" si="307"/>
        <v>365</v>
      </c>
      <c r="I878">
        <f t="shared" si="308"/>
        <v>31</v>
      </c>
      <c r="J878">
        <f t="shared" si="309"/>
        <v>8.4931506849315067E-2</v>
      </c>
      <c r="K878">
        <f>IFERROR($J878/IF($A878&lt;COUNTIFS($K$1:K$1,"&lt;&gt;"),0,SUMIFS($J:$J,$B:$B,$B878,$A:$A,"&gt;="&amp;COUNTIFS($K$1:K$1,"&lt;&gt;"))),0)</f>
        <v>8.9080459770114959E-2</v>
      </c>
      <c r="L878">
        <f>IFERROR($J878/IF($A878&lt;COUNTIFS($K$1:L$1,"&lt;&gt;"),0,SUMIFS($J:$J,$B:$B,$B878,$A:$A,"&gt;="&amp;COUNTIFS($K$1:L$1,"&lt;&gt;"))),0)</f>
        <v>9.7484276729559768E-2</v>
      </c>
      <c r="M878">
        <f>IFERROR($J878/IF($A878&lt;COUNTIFS($K$1:M$1,"&lt;&gt;"),0,SUMIFS($J:$J,$B:$B,$B878,$A:$A,"&gt;="&amp;COUNTIFS($K$1:M$1,"&lt;&gt;"))),0)</f>
        <v>0.10801393728222998</v>
      </c>
      <c r="N878">
        <f>IFERROR($J878/IF($A878&lt;COUNTIFS($K$1:N$1,"&lt;&gt;"),0,SUMIFS($J:$J,$B:$B,$B878,$A:$A,"&gt;="&amp;COUNTIFS($K$1:N$1,"&lt;&gt;"))),0)</f>
        <v>0.12062256809338523</v>
      </c>
      <c r="O878">
        <f>IFERROR($J878/IF($A878&lt;COUNTIFS($K$1:O$1,"&lt;&gt;"),0,SUMIFS($J:$J,$B:$B,$B878,$A:$A,"&gt;="&amp;COUNTIFS($K$1:O$1,"&lt;&gt;"))),0)</f>
        <v>0.13716814159292037</v>
      </c>
      <c r="P878">
        <f>IFERROR($J878/IF($A878&lt;COUNTIFS($K$1:P$1,"&lt;&gt;"),0,SUMIFS($J:$J,$B:$B,$B878,$A:$A,"&gt;="&amp;COUNTIFS($K$1:P$1,"&lt;&gt;"))),0)</f>
        <v>0</v>
      </c>
      <c r="Q878">
        <f>IFERROR($J878/IF($A878&lt;COUNTIFS($K$1:Q$1,"&lt;&gt;"),0,SUMIFS($J:$J,$B:$B,$B878,$A:$A,"&gt;="&amp;COUNTIFS($K$1:Q$1,"&lt;&gt;"))),0)</f>
        <v>0</v>
      </c>
      <c r="R878">
        <f>IFERROR($J878/IF($A878&lt;COUNTIFS($K$1:R$1,"&lt;&gt;"),0,SUMIFS($J:$J,$B:$B,$B878,$A:$A,"&gt;="&amp;COUNTIFS($K$1:R$1,"&lt;&gt;"))),0)</f>
        <v>0</v>
      </c>
      <c r="S878">
        <f>IFERROR($J878/IF($A878&lt;COUNTIFS($K$1:S$1,"&lt;&gt;"),0,SUMIFS($J:$J,$B:$B,$B878,$A:$A,"&gt;="&amp;COUNTIFS($K$1:S$1,"&lt;&gt;"))),0)</f>
        <v>0</v>
      </c>
      <c r="T878">
        <f>IFERROR($J878/IF($A878&lt;COUNTIFS($K$1:T$1,"&lt;&gt;"),0,SUMIFS($J:$J,$B:$B,$B878,$A:$A,"&gt;="&amp;COUNTIFS($K$1:T$1,"&lt;&gt;"))),0)</f>
        <v>0</v>
      </c>
      <c r="U878">
        <f>IFERROR($J878/IF($A878&lt;COUNTIFS($K$1:U$1,"&lt;&gt;"),0,SUMIFS($J:$J,$B:$B,$B878,$A:$A,"&gt;="&amp;COUNTIFS($K$1:U$1,"&lt;&gt;"))),0)</f>
        <v>0</v>
      </c>
      <c r="V878">
        <f>IFERROR($J878/IF($A878&lt;COUNTIFS($K$1:V$1,"&lt;&gt;"),0,SUMIFS($J:$J,$B:$B,$B878,$A:$A,"&gt;="&amp;COUNTIFS($K$1:V$1,"&lt;&gt;"))),0)</f>
        <v>0</v>
      </c>
      <c r="W878">
        <f t="shared" si="310"/>
        <v>8.4931506849315067E-2</v>
      </c>
      <c r="X878">
        <f t="shared" si="290"/>
        <v>8.4931506849315067E-2</v>
      </c>
      <c r="Y878">
        <f t="shared" si="291"/>
        <v>8.4931506849315067E-2</v>
      </c>
      <c r="Z878">
        <f t="shared" si="292"/>
        <v>8.4931506849315067E-2</v>
      </c>
      <c r="AA878">
        <f t="shared" si="293"/>
        <v>8.4931506849315067E-2</v>
      </c>
      <c r="AB878">
        <f t="shared" si="294"/>
        <v>8.4931506849315067E-2</v>
      </c>
      <c r="AC878">
        <f t="shared" si="295"/>
        <v>0</v>
      </c>
      <c r="AD878">
        <f t="shared" si="296"/>
        <v>0</v>
      </c>
      <c r="AE878">
        <f t="shared" si="297"/>
        <v>0</v>
      </c>
      <c r="AF878">
        <f t="shared" si="298"/>
        <v>0</v>
      </c>
      <c r="AG878">
        <f t="shared" si="299"/>
        <v>0</v>
      </c>
      <c r="AH878">
        <f t="shared" si="300"/>
        <v>0</v>
      </c>
      <c r="AI878">
        <f t="shared" si="301"/>
        <v>0</v>
      </c>
      <c r="AJ878" s="2" t="str">
        <f t="shared" si="311"/>
        <v>545870</v>
      </c>
    </row>
    <row r="879" spans="1:36" x14ac:dyDescent="0.25">
      <c r="A879">
        <v>6</v>
      </c>
      <c r="B879" s="1">
        <v>45870</v>
      </c>
      <c r="C879" s="1">
        <f t="shared" si="302"/>
        <v>46054</v>
      </c>
      <c r="D879" s="1">
        <f t="shared" si="303"/>
        <v>45884</v>
      </c>
      <c r="E879" s="1">
        <f t="shared" si="304"/>
        <v>46054</v>
      </c>
      <c r="F879" s="1">
        <f t="shared" si="305"/>
        <v>46082</v>
      </c>
      <c r="G879" s="1">
        <f t="shared" si="306"/>
        <v>46249</v>
      </c>
      <c r="H879">
        <f t="shared" si="307"/>
        <v>365</v>
      </c>
      <c r="I879">
        <f t="shared" si="308"/>
        <v>28</v>
      </c>
      <c r="J879">
        <f t="shared" si="309"/>
        <v>7.6712328767123292E-2</v>
      </c>
      <c r="K879">
        <f>IFERROR($J879/IF($A879&lt;COUNTIFS($K$1:K$1,"&lt;&gt;"),0,SUMIFS($J:$J,$B:$B,$B879,$A:$A,"&gt;="&amp;COUNTIFS($K$1:K$1,"&lt;&gt;"))),0)</f>
        <v>8.0459770114942541E-2</v>
      </c>
      <c r="L879">
        <f>IFERROR($J879/IF($A879&lt;COUNTIFS($K$1:L$1,"&lt;&gt;"),0,SUMIFS($J:$J,$B:$B,$B879,$A:$A,"&gt;="&amp;COUNTIFS($K$1:L$1,"&lt;&gt;"))),0)</f>
        <v>8.8050314465408827E-2</v>
      </c>
      <c r="M879">
        <f>IFERROR($J879/IF($A879&lt;COUNTIFS($K$1:M$1,"&lt;&gt;"),0,SUMIFS($J:$J,$B:$B,$B879,$A:$A,"&gt;="&amp;COUNTIFS($K$1:M$1,"&lt;&gt;"))),0)</f>
        <v>9.7560975609756115E-2</v>
      </c>
      <c r="N879">
        <f>IFERROR($J879/IF($A879&lt;COUNTIFS($K$1:N$1,"&lt;&gt;"),0,SUMIFS($J:$J,$B:$B,$B879,$A:$A,"&gt;="&amp;COUNTIFS($K$1:N$1,"&lt;&gt;"))),0)</f>
        <v>0.10894941634241248</v>
      </c>
      <c r="O879">
        <f>IFERROR($J879/IF($A879&lt;COUNTIFS($K$1:O$1,"&lt;&gt;"),0,SUMIFS($J:$J,$B:$B,$B879,$A:$A,"&gt;="&amp;COUNTIFS($K$1:O$1,"&lt;&gt;"))),0)</f>
        <v>0.12389380530973454</v>
      </c>
      <c r="P879">
        <f>IFERROR($J879/IF($A879&lt;COUNTIFS($K$1:P$1,"&lt;&gt;"),0,SUMIFS($J:$J,$B:$B,$B879,$A:$A,"&gt;="&amp;COUNTIFS($K$1:P$1,"&lt;&gt;"))),0)</f>
        <v>0.14358974358974361</v>
      </c>
      <c r="Q879">
        <f>IFERROR($J879/IF($A879&lt;COUNTIFS($K$1:Q$1,"&lt;&gt;"),0,SUMIFS($J:$J,$B:$B,$B879,$A:$A,"&gt;="&amp;COUNTIFS($K$1:Q$1,"&lt;&gt;"))),0)</f>
        <v>0</v>
      </c>
      <c r="R879">
        <f>IFERROR($J879/IF($A879&lt;COUNTIFS($K$1:R$1,"&lt;&gt;"),0,SUMIFS($J:$J,$B:$B,$B879,$A:$A,"&gt;="&amp;COUNTIFS($K$1:R$1,"&lt;&gt;"))),0)</f>
        <v>0</v>
      </c>
      <c r="S879">
        <f>IFERROR($J879/IF($A879&lt;COUNTIFS($K$1:S$1,"&lt;&gt;"),0,SUMIFS($J:$J,$B:$B,$B879,$A:$A,"&gt;="&amp;COUNTIFS($K$1:S$1,"&lt;&gt;"))),0)</f>
        <v>0</v>
      </c>
      <c r="T879">
        <f>IFERROR($J879/IF($A879&lt;COUNTIFS($K$1:T$1,"&lt;&gt;"),0,SUMIFS($J:$J,$B:$B,$B879,$A:$A,"&gt;="&amp;COUNTIFS($K$1:T$1,"&lt;&gt;"))),0)</f>
        <v>0</v>
      </c>
      <c r="U879">
        <f>IFERROR($J879/IF($A879&lt;COUNTIFS($K$1:U$1,"&lt;&gt;"),0,SUMIFS($J:$J,$B:$B,$B879,$A:$A,"&gt;="&amp;COUNTIFS($K$1:U$1,"&lt;&gt;"))),0)</f>
        <v>0</v>
      </c>
      <c r="V879">
        <f>IFERROR($J879/IF($A879&lt;COUNTIFS($K$1:V$1,"&lt;&gt;"),0,SUMIFS($J:$J,$B:$B,$B879,$A:$A,"&gt;="&amp;COUNTIFS($K$1:V$1,"&lt;&gt;"))),0)</f>
        <v>0</v>
      </c>
      <c r="W879">
        <f t="shared" si="310"/>
        <v>7.6712328767123292E-2</v>
      </c>
      <c r="X879">
        <f t="shared" si="290"/>
        <v>7.6712328767123292E-2</v>
      </c>
      <c r="Y879">
        <f t="shared" si="291"/>
        <v>7.6712328767123292E-2</v>
      </c>
      <c r="Z879">
        <f t="shared" si="292"/>
        <v>7.6712328767123292E-2</v>
      </c>
      <c r="AA879">
        <f t="shared" si="293"/>
        <v>7.6712328767123292E-2</v>
      </c>
      <c r="AB879">
        <f t="shared" si="294"/>
        <v>7.6712328767123292E-2</v>
      </c>
      <c r="AC879">
        <f t="shared" si="295"/>
        <v>7.6712328767123292E-2</v>
      </c>
      <c r="AD879">
        <f t="shared" si="296"/>
        <v>0</v>
      </c>
      <c r="AE879">
        <f t="shared" si="297"/>
        <v>0</v>
      </c>
      <c r="AF879">
        <f t="shared" si="298"/>
        <v>0</v>
      </c>
      <c r="AG879">
        <f t="shared" si="299"/>
        <v>0</v>
      </c>
      <c r="AH879">
        <f t="shared" si="300"/>
        <v>0</v>
      </c>
      <c r="AI879">
        <f t="shared" si="301"/>
        <v>0</v>
      </c>
      <c r="AJ879" s="2" t="str">
        <f t="shared" si="311"/>
        <v>645870</v>
      </c>
    </row>
    <row r="880" spans="1:36" x14ac:dyDescent="0.25">
      <c r="A880">
        <v>7</v>
      </c>
      <c r="B880" s="1">
        <v>45870</v>
      </c>
      <c r="C880" s="1">
        <f t="shared" si="302"/>
        <v>46082</v>
      </c>
      <c r="D880" s="1">
        <f t="shared" si="303"/>
        <v>45884</v>
      </c>
      <c r="E880" s="1">
        <f t="shared" si="304"/>
        <v>46082</v>
      </c>
      <c r="F880" s="1">
        <f t="shared" si="305"/>
        <v>46113</v>
      </c>
      <c r="G880" s="1">
        <f t="shared" si="306"/>
        <v>46249</v>
      </c>
      <c r="H880">
        <f t="shared" si="307"/>
        <v>365</v>
      </c>
      <c r="I880">
        <f t="shared" si="308"/>
        <v>31</v>
      </c>
      <c r="J880">
        <f t="shared" si="309"/>
        <v>8.4931506849315067E-2</v>
      </c>
      <c r="K880">
        <f>IFERROR($J880/IF($A880&lt;COUNTIFS($K$1:K$1,"&lt;&gt;"),0,SUMIFS($J:$J,$B:$B,$B880,$A:$A,"&gt;="&amp;COUNTIFS($K$1:K$1,"&lt;&gt;"))),0)</f>
        <v>8.9080459770114959E-2</v>
      </c>
      <c r="L880">
        <f>IFERROR($J880/IF($A880&lt;COUNTIFS($K$1:L$1,"&lt;&gt;"),0,SUMIFS($J:$J,$B:$B,$B880,$A:$A,"&gt;="&amp;COUNTIFS($K$1:L$1,"&lt;&gt;"))),0)</f>
        <v>9.7484276729559768E-2</v>
      </c>
      <c r="M880">
        <f>IFERROR($J880/IF($A880&lt;COUNTIFS($K$1:M$1,"&lt;&gt;"),0,SUMIFS($J:$J,$B:$B,$B880,$A:$A,"&gt;="&amp;COUNTIFS($K$1:M$1,"&lt;&gt;"))),0)</f>
        <v>0.10801393728222998</v>
      </c>
      <c r="N880">
        <f>IFERROR($J880/IF($A880&lt;COUNTIFS($K$1:N$1,"&lt;&gt;"),0,SUMIFS($J:$J,$B:$B,$B880,$A:$A,"&gt;="&amp;COUNTIFS($K$1:N$1,"&lt;&gt;"))),0)</f>
        <v>0.12062256809338523</v>
      </c>
      <c r="O880">
        <f>IFERROR($J880/IF($A880&lt;COUNTIFS($K$1:O$1,"&lt;&gt;"),0,SUMIFS($J:$J,$B:$B,$B880,$A:$A,"&gt;="&amp;COUNTIFS($K$1:O$1,"&lt;&gt;"))),0)</f>
        <v>0.13716814159292037</v>
      </c>
      <c r="P880">
        <f>IFERROR($J880/IF($A880&lt;COUNTIFS($K$1:P$1,"&lt;&gt;"),0,SUMIFS($J:$J,$B:$B,$B880,$A:$A,"&gt;="&amp;COUNTIFS($K$1:P$1,"&lt;&gt;"))),0)</f>
        <v>0.15897435897435899</v>
      </c>
      <c r="Q880">
        <f>IFERROR($J880/IF($A880&lt;COUNTIFS($K$1:Q$1,"&lt;&gt;"),0,SUMIFS($J:$J,$B:$B,$B880,$A:$A,"&gt;="&amp;COUNTIFS($K$1:Q$1,"&lt;&gt;"))),0)</f>
        <v>0.18562874251497008</v>
      </c>
      <c r="R880">
        <f>IFERROR($J880/IF($A880&lt;COUNTIFS($K$1:R$1,"&lt;&gt;"),0,SUMIFS($J:$J,$B:$B,$B880,$A:$A,"&gt;="&amp;COUNTIFS($K$1:R$1,"&lt;&gt;"))),0)</f>
        <v>0</v>
      </c>
      <c r="S880">
        <f>IFERROR($J880/IF($A880&lt;COUNTIFS($K$1:S$1,"&lt;&gt;"),0,SUMIFS($J:$J,$B:$B,$B880,$A:$A,"&gt;="&amp;COUNTIFS($K$1:S$1,"&lt;&gt;"))),0)</f>
        <v>0</v>
      </c>
      <c r="T880">
        <f>IFERROR($J880/IF($A880&lt;COUNTIFS($K$1:T$1,"&lt;&gt;"),0,SUMIFS($J:$J,$B:$B,$B880,$A:$A,"&gt;="&amp;COUNTIFS($K$1:T$1,"&lt;&gt;"))),0)</f>
        <v>0</v>
      </c>
      <c r="U880">
        <f>IFERROR($J880/IF($A880&lt;COUNTIFS($K$1:U$1,"&lt;&gt;"),0,SUMIFS($J:$J,$B:$B,$B880,$A:$A,"&gt;="&amp;COUNTIFS($K$1:U$1,"&lt;&gt;"))),0)</f>
        <v>0</v>
      </c>
      <c r="V880">
        <f>IFERROR($J880/IF($A880&lt;COUNTIFS($K$1:V$1,"&lt;&gt;"),0,SUMIFS($J:$J,$B:$B,$B880,$A:$A,"&gt;="&amp;COUNTIFS($K$1:V$1,"&lt;&gt;"))),0)</f>
        <v>0</v>
      </c>
      <c r="W880">
        <f t="shared" si="310"/>
        <v>8.4931506849315067E-2</v>
      </c>
      <c r="X880">
        <f t="shared" si="290"/>
        <v>8.4931506849315067E-2</v>
      </c>
      <c r="Y880">
        <f t="shared" si="291"/>
        <v>8.4931506849315067E-2</v>
      </c>
      <c r="Z880">
        <f t="shared" si="292"/>
        <v>8.4931506849315067E-2</v>
      </c>
      <c r="AA880">
        <f t="shared" si="293"/>
        <v>8.4931506849315067E-2</v>
      </c>
      <c r="AB880">
        <f t="shared" si="294"/>
        <v>8.4931506849315067E-2</v>
      </c>
      <c r="AC880">
        <f t="shared" si="295"/>
        <v>8.4931506849315067E-2</v>
      </c>
      <c r="AD880">
        <f t="shared" si="296"/>
        <v>8.4931506849315067E-2</v>
      </c>
      <c r="AE880">
        <f t="shared" si="297"/>
        <v>0</v>
      </c>
      <c r="AF880">
        <f t="shared" si="298"/>
        <v>0</v>
      </c>
      <c r="AG880">
        <f t="shared" si="299"/>
        <v>0</v>
      </c>
      <c r="AH880">
        <f t="shared" si="300"/>
        <v>0</v>
      </c>
      <c r="AI880">
        <f t="shared" si="301"/>
        <v>0</v>
      </c>
      <c r="AJ880" s="2" t="str">
        <f t="shared" si="311"/>
        <v>745870</v>
      </c>
    </row>
    <row r="881" spans="1:36" x14ac:dyDescent="0.25">
      <c r="A881">
        <v>8</v>
      </c>
      <c r="B881" s="1">
        <v>45870</v>
      </c>
      <c r="C881" s="1">
        <f t="shared" si="302"/>
        <v>46113</v>
      </c>
      <c r="D881" s="1">
        <f t="shared" si="303"/>
        <v>45884</v>
      </c>
      <c r="E881" s="1">
        <f t="shared" si="304"/>
        <v>46113</v>
      </c>
      <c r="F881" s="1">
        <f t="shared" si="305"/>
        <v>46143</v>
      </c>
      <c r="G881" s="1">
        <f t="shared" si="306"/>
        <v>46249</v>
      </c>
      <c r="H881">
        <f t="shared" si="307"/>
        <v>365</v>
      </c>
      <c r="I881">
        <f t="shared" si="308"/>
        <v>30</v>
      </c>
      <c r="J881">
        <f t="shared" si="309"/>
        <v>8.2191780821917804E-2</v>
      </c>
      <c r="K881">
        <f>IFERROR($J881/IF($A881&lt;COUNTIFS($K$1:K$1,"&lt;&gt;"),0,SUMIFS($J:$J,$B:$B,$B881,$A:$A,"&gt;="&amp;COUNTIFS($K$1:K$1,"&lt;&gt;"))),0)</f>
        <v>8.6206896551724144E-2</v>
      </c>
      <c r="L881">
        <f>IFERROR($J881/IF($A881&lt;COUNTIFS($K$1:L$1,"&lt;&gt;"),0,SUMIFS($J:$J,$B:$B,$B881,$A:$A,"&gt;="&amp;COUNTIFS($K$1:L$1,"&lt;&gt;"))),0)</f>
        <v>9.4339622641509441E-2</v>
      </c>
      <c r="M881">
        <f>IFERROR($J881/IF($A881&lt;COUNTIFS($K$1:M$1,"&lt;&gt;"),0,SUMIFS($J:$J,$B:$B,$B881,$A:$A,"&gt;="&amp;COUNTIFS($K$1:M$1,"&lt;&gt;"))),0)</f>
        <v>0.10452961672473869</v>
      </c>
      <c r="N881">
        <f>IFERROR($J881/IF($A881&lt;COUNTIFS($K$1:N$1,"&lt;&gt;"),0,SUMIFS($J:$J,$B:$B,$B881,$A:$A,"&gt;="&amp;COUNTIFS($K$1:N$1,"&lt;&gt;"))),0)</f>
        <v>0.11673151750972764</v>
      </c>
      <c r="O881">
        <f>IFERROR($J881/IF($A881&lt;COUNTIFS($K$1:O$1,"&lt;&gt;"),0,SUMIFS($J:$J,$B:$B,$B881,$A:$A,"&gt;="&amp;COUNTIFS($K$1:O$1,"&lt;&gt;"))),0)</f>
        <v>0.13274336283185842</v>
      </c>
      <c r="P881">
        <f>IFERROR($J881/IF($A881&lt;COUNTIFS($K$1:P$1,"&lt;&gt;"),0,SUMIFS($J:$J,$B:$B,$B881,$A:$A,"&gt;="&amp;COUNTIFS($K$1:P$1,"&lt;&gt;"))),0)</f>
        <v>0.15384615384615385</v>
      </c>
      <c r="Q881">
        <f>IFERROR($J881/IF($A881&lt;COUNTIFS($K$1:Q$1,"&lt;&gt;"),0,SUMIFS($J:$J,$B:$B,$B881,$A:$A,"&gt;="&amp;COUNTIFS($K$1:Q$1,"&lt;&gt;"))),0)</f>
        <v>0.17964071856287425</v>
      </c>
      <c r="R881">
        <f>IFERROR($J881/IF($A881&lt;COUNTIFS($K$1:R$1,"&lt;&gt;"),0,SUMIFS($J:$J,$B:$B,$B881,$A:$A,"&gt;="&amp;COUNTIFS($K$1:R$1,"&lt;&gt;"))),0)</f>
        <v>0.22058823529411764</v>
      </c>
      <c r="S881">
        <f>IFERROR($J881/IF($A881&lt;COUNTIFS($K$1:S$1,"&lt;&gt;"),0,SUMIFS($J:$J,$B:$B,$B881,$A:$A,"&gt;="&amp;COUNTIFS($K$1:S$1,"&lt;&gt;"))),0)</f>
        <v>0</v>
      </c>
      <c r="T881">
        <f>IFERROR($J881/IF($A881&lt;COUNTIFS($K$1:T$1,"&lt;&gt;"),0,SUMIFS($J:$J,$B:$B,$B881,$A:$A,"&gt;="&amp;COUNTIFS($K$1:T$1,"&lt;&gt;"))),0)</f>
        <v>0</v>
      </c>
      <c r="U881">
        <f>IFERROR($J881/IF($A881&lt;COUNTIFS($K$1:U$1,"&lt;&gt;"),0,SUMIFS($J:$J,$B:$B,$B881,$A:$A,"&gt;="&amp;COUNTIFS($K$1:U$1,"&lt;&gt;"))),0)</f>
        <v>0</v>
      </c>
      <c r="V881">
        <f>IFERROR($J881/IF($A881&lt;COUNTIFS($K$1:V$1,"&lt;&gt;"),0,SUMIFS($J:$J,$B:$B,$B881,$A:$A,"&gt;="&amp;COUNTIFS($K$1:V$1,"&lt;&gt;"))),0)</f>
        <v>0</v>
      </c>
      <c r="W881">
        <f t="shared" si="310"/>
        <v>8.2191780821917804E-2</v>
      </c>
      <c r="X881">
        <f t="shared" si="290"/>
        <v>8.2191780821917804E-2</v>
      </c>
      <c r="Y881">
        <f t="shared" si="291"/>
        <v>8.2191780821917804E-2</v>
      </c>
      <c r="Z881">
        <f t="shared" si="292"/>
        <v>8.2191780821917804E-2</v>
      </c>
      <c r="AA881">
        <f t="shared" si="293"/>
        <v>8.2191780821917804E-2</v>
      </c>
      <c r="AB881">
        <f t="shared" si="294"/>
        <v>8.2191780821917804E-2</v>
      </c>
      <c r="AC881">
        <f t="shared" si="295"/>
        <v>8.2191780821917804E-2</v>
      </c>
      <c r="AD881">
        <f t="shared" si="296"/>
        <v>8.2191780821917804E-2</v>
      </c>
      <c r="AE881">
        <f t="shared" si="297"/>
        <v>8.2191780821917804E-2</v>
      </c>
      <c r="AF881">
        <f t="shared" si="298"/>
        <v>0</v>
      </c>
      <c r="AG881">
        <f t="shared" si="299"/>
        <v>0</v>
      </c>
      <c r="AH881">
        <f t="shared" si="300"/>
        <v>0</v>
      </c>
      <c r="AI881">
        <f t="shared" si="301"/>
        <v>0</v>
      </c>
      <c r="AJ881" s="2" t="str">
        <f t="shared" si="311"/>
        <v>845870</v>
      </c>
    </row>
    <row r="882" spans="1:36" x14ac:dyDescent="0.25">
      <c r="A882">
        <v>9</v>
      </c>
      <c r="B882" s="1">
        <v>45870</v>
      </c>
      <c r="C882" s="1">
        <f t="shared" si="302"/>
        <v>46143</v>
      </c>
      <c r="D882" s="1">
        <f t="shared" si="303"/>
        <v>45884</v>
      </c>
      <c r="E882" s="1">
        <f t="shared" si="304"/>
        <v>46143</v>
      </c>
      <c r="F882" s="1">
        <f t="shared" si="305"/>
        <v>46174</v>
      </c>
      <c r="G882" s="1">
        <f t="shared" si="306"/>
        <v>46249</v>
      </c>
      <c r="H882">
        <f t="shared" si="307"/>
        <v>365</v>
      </c>
      <c r="I882">
        <f t="shared" si="308"/>
        <v>31</v>
      </c>
      <c r="J882">
        <f t="shared" si="309"/>
        <v>8.4931506849315067E-2</v>
      </c>
      <c r="K882">
        <f>IFERROR($J882/IF($A882&lt;COUNTIFS($K$1:K$1,"&lt;&gt;"),0,SUMIFS($J:$J,$B:$B,$B882,$A:$A,"&gt;="&amp;COUNTIFS($K$1:K$1,"&lt;&gt;"))),0)</f>
        <v>8.9080459770114959E-2</v>
      </c>
      <c r="L882">
        <f>IFERROR($J882/IF($A882&lt;COUNTIFS($K$1:L$1,"&lt;&gt;"),0,SUMIFS($J:$J,$B:$B,$B882,$A:$A,"&gt;="&amp;COUNTIFS($K$1:L$1,"&lt;&gt;"))),0)</f>
        <v>9.7484276729559768E-2</v>
      </c>
      <c r="M882">
        <f>IFERROR($J882/IF($A882&lt;COUNTIFS($K$1:M$1,"&lt;&gt;"),0,SUMIFS($J:$J,$B:$B,$B882,$A:$A,"&gt;="&amp;COUNTIFS($K$1:M$1,"&lt;&gt;"))),0)</f>
        <v>0.10801393728222998</v>
      </c>
      <c r="N882">
        <f>IFERROR($J882/IF($A882&lt;COUNTIFS($K$1:N$1,"&lt;&gt;"),0,SUMIFS($J:$J,$B:$B,$B882,$A:$A,"&gt;="&amp;COUNTIFS($K$1:N$1,"&lt;&gt;"))),0)</f>
        <v>0.12062256809338523</v>
      </c>
      <c r="O882">
        <f>IFERROR($J882/IF($A882&lt;COUNTIFS($K$1:O$1,"&lt;&gt;"),0,SUMIFS($J:$J,$B:$B,$B882,$A:$A,"&gt;="&amp;COUNTIFS($K$1:O$1,"&lt;&gt;"))),0)</f>
        <v>0.13716814159292037</v>
      </c>
      <c r="P882">
        <f>IFERROR($J882/IF($A882&lt;COUNTIFS($K$1:P$1,"&lt;&gt;"),0,SUMIFS($J:$J,$B:$B,$B882,$A:$A,"&gt;="&amp;COUNTIFS($K$1:P$1,"&lt;&gt;"))),0)</f>
        <v>0.15897435897435899</v>
      </c>
      <c r="Q882">
        <f>IFERROR($J882/IF($A882&lt;COUNTIFS($K$1:Q$1,"&lt;&gt;"),0,SUMIFS($J:$J,$B:$B,$B882,$A:$A,"&gt;="&amp;COUNTIFS($K$1:Q$1,"&lt;&gt;"))),0)</f>
        <v>0.18562874251497008</v>
      </c>
      <c r="R882">
        <f>IFERROR($J882/IF($A882&lt;COUNTIFS($K$1:R$1,"&lt;&gt;"),0,SUMIFS($J:$J,$B:$B,$B882,$A:$A,"&gt;="&amp;COUNTIFS($K$1:R$1,"&lt;&gt;"))),0)</f>
        <v>0.22794117647058826</v>
      </c>
      <c r="S882">
        <f>IFERROR($J882/IF($A882&lt;COUNTIFS($K$1:S$1,"&lt;&gt;"),0,SUMIFS($J:$J,$B:$B,$B882,$A:$A,"&gt;="&amp;COUNTIFS($K$1:S$1,"&lt;&gt;"))),0)</f>
        <v>0.29245283018867929</v>
      </c>
      <c r="T882">
        <f>IFERROR($J882/IF($A882&lt;COUNTIFS($K$1:T$1,"&lt;&gt;"),0,SUMIFS($J:$J,$B:$B,$B882,$A:$A,"&gt;="&amp;COUNTIFS($K$1:T$1,"&lt;&gt;"))),0)</f>
        <v>0</v>
      </c>
      <c r="U882">
        <f>IFERROR($J882/IF($A882&lt;COUNTIFS($K$1:U$1,"&lt;&gt;"),0,SUMIFS($J:$J,$B:$B,$B882,$A:$A,"&gt;="&amp;COUNTIFS($K$1:U$1,"&lt;&gt;"))),0)</f>
        <v>0</v>
      </c>
      <c r="V882">
        <f>IFERROR($J882/IF($A882&lt;COUNTIFS($K$1:V$1,"&lt;&gt;"),0,SUMIFS($J:$J,$B:$B,$B882,$A:$A,"&gt;="&amp;COUNTIFS($K$1:V$1,"&lt;&gt;"))),0)</f>
        <v>0</v>
      </c>
      <c r="W882">
        <f t="shared" si="310"/>
        <v>8.4931506849315067E-2</v>
      </c>
      <c r="X882">
        <f t="shared" si="290"/>
        <v>8.4931506849315067E-2</v>
      </c>
      <c r="Y882">
        <f t="shared" si="291"/>
        <v>8.4931506849315067E-2</v>
      </c>
      <c r="Z882">
        <f t="shared" si="292"/>
        <v>8.4931506849315067E-2</v>
      </c>
      <c r="AA882">
        <f t="shared" si="293"/>
        <v>8.4931506849315067E-2</v>
      </c>
      <c r="AB882">
        <f t="shared" si="294"/>
        <v>8.4931506849315067E-2</v>
      </c>
      <c r="AC882">
        <f t="shared" si="295"/>
        <v>8.4931506849315067E-2</v>
      </c>
      <c r="AD882">
        <f t="shared" si="296"/>
        <v>8.4931506849315067E-2</v>
      </c>
      <c r="AE882">
        <f t="shared" si="297"/>
        <v>8.4931506849315067E-2</v>
      </c>
      <c r="AF882">
        <f t="shared" si="298"/>
        <v>8.4931506849315067E-2</v>
      </c>
      <c r="AG882">
        <f t="shared" si="299"/>
        <v>0</v>
      </c>
      <c r="AH882">
        <f t="shared" si="300"/>
        <v>0</v>
      </c>
      <c r="AI882">
        <f t="shared" si="301"/>
        <v>0</v>
      </c>
      <c r="AJ882" s="2" t="str">
        <f t="shared" si="311"/>
        <v>945870</v>
      </c>
    </row>
    <row r="883" spans="1:36" x14ac:dyDescent="0.25">
      <c r="A883">
        <v>10</v>
      </c>
      <c r="B883" s="1">
        <v>45870</v>
      </c>
      <c r="C883" s="1">
        <f t="shared" si="302"/>
        <v>46174</v>
      </c>
      <c r="D883" s="1">
        <f t="shared" si="303"/>
        <v>45884</v>
      </c>
      <c r="E883" s="1">
        <f t="shared" si="304"/>
        <v>46174</v>
      </c>
      <c r="F883" s="1">
        <f t="shared" si="305"/>
        <v>46204</v>
      </c>
      <c r="G883" s="1">
        <f t="shared" si="306"/>
        <v>46249</v>
      </c>
      <c r="H883">
        <f t="shared" si="307"/>
        <v>365</v>
      </c>
      <c r="I883">
        <f t="shared" si="308"/>
        <v>30</v>
      </c>
      <c r="J883">
        <f t="shared" si="309"/>
        <v>8.2191780821917804E-2</v>
      </c>
      <c r="K883">
        <f>IFERROR($J883/IF($A883&lt;COUNTIFS($K$1:K$1,"&lt;&gt;"),0,SUMIFS($J:$J,$B:$B,$B883,$A:$A,"&gt;="&amp;COUNTIFS($K$1:K$1,"&lt;&gt;"))),0)</f>
        <v>8.6206896551724144E-2</v>
      </c>
      <c r="L883">
        <f>IFERROR($J883/IF($A883&lt;COUNTIFS($K$1:L$1,"&lt;&gt;"),0,SUMIFS($J:$J,$B:$B,$B883,$A:$A,"&gt;="&amp;COUNTIFS($K$1:L$1,"&lt;&gt;"))),0)</f>
        <v>9.4339622641509441E-2</v>
      </c>
      <c r="M883">
        <f>IFERROR($J883/IF($A883&lt;COUNTIFS($K$1:M$1,"&lt;&gt;"),0,SUMIFS($J:$J,$B:$B,$B883,$A:$A,"&gt;="&amp;COUNTIFS($K$1:M$1,"&lt;&gt;"))),0)</f>
        <v>0.10452961672473869</v>
      </c>
      <c r="N883">
        <f>IFERROR($J883/IF($A883&lt;COUNTIFS($K$1:N$1,"&lt;&gt;"),0,SUMIFS($J:$J,$B:$B,$B883,$A:$A,"&gt;="&amp;COUNTIFS($K$1:N$1,"&lt;&gt;"))),0)</f>
        <v>0.11673151750972764</v>
      </c>
      <c r="O883">
        <f>IFERROR($J883/IF($A883&lt;COUNTIFS($K$1:O$1,"&lt;&gt;"),0,SUMIFS($J:$J,$B:$B,$B883,$A:$A,"&gt;="&amp;COUNTIFS($K$1:O$1,"&lt;&gt;"))),0)</f>
        <v>0.13274336283185842</v>
      </c>
      <c r="P883">
        <f>IFERROR($J883/IF($A883&lt;COUNTIFS($K$1:P$1,"&lt;&gt;"),0,SUMIFS($J:$J,$B:$B,$B883,$A:$A,"&gt;="&amp;COUNTIFS($K$1:P$1,"&lt;&gt;"))),0)</f>
        <v>0.15384615384615385</v>
      </c>
      <c r="Q883">
        <f>IFERROR($J883/IF($A883&lt;COUNTIFS($K$1:Q$1,"&lt;&gt;"),0,SUMIFS($J:$J,$B:$B,$B883,$A:$A,"&gt;="&amp;COUNTIFS($K$1:Q$1,"&lt;&gt;"))),0)</f>
        <v>0.17964071856287425</v>
      </c>
      <c r="R883">
        <f>IFERROR($J883/IF($A883&lt;COUNTIFS($K$1:R$1,"&lt;&gt;"),0,SUMIFS($J:$J,$B:$B,$B883,$A:$A,"&gt;="&amp;COUNTIFS($K$1:R$1,"&lt;&gt;"))),0)</f>
        <v>0.22058823529411764</v>
      </c>
      <c r="S883">
        <f>IFERROR($J883/IF($A883&lt;COUNTIFS($K$1:S$1,"&lt;&gt;"),0,SUMIFS($J:$J,$B:$B,$B883,$A:$A,"&gt;="&amp;COUNTIFS($K$1:S$1,"&lt;&gt;"))),0)</f>
        <v>0.28301886792452829</v>
      </c>
      <c r="T883">
        <f>IFERROR($J883/IF($A883&lt;COUNTIFS($K$1:T$1,"&lt;&gt;"),0,SUMIFS($J:$J,$B:$B,$B883,$A:$A,"&gt;="&amp;COUNTIFS($K$1:T$1,"&lt;&gt;"))),0)</f>
        <v>0.4</v>
      </c>
      <c r="U883">
        <f>IFERROR($J883/IF($A883&lt;COUNTIFS($K$1:U$1,"&lt;&gt;"),0,SUMIFS($J:$J,$B:$B,$B883,$A:$A,"&gt;="&amp;COUNTIFS($K$1:U$1,"&lt;&gt;"))),0)</f>
        <v>0</v>
      </c>
      <c r="V883">
        <f>IFERROR($J883/IF($A883&lt;COUNTIFS($K$1:V$1,"&lt;&gt;"),0,SUMIFS($J:$J,$B:$B,$B883,$A:$A,"&gt;="&amp;COUNTIFS($K$1:V$1,"&lt;&gt;"))),0)</f>
        <v>0</v>
      </c>
      <c r="W883">
        <f t="shared" si="310"/>
        <v>8.2191780821917804E-2</v>
      </c>
      <c r="X883">
        <f t="shared" si="290"/>
        <v>8.2191780821917804E-2</v>
      </c>
      <c r="Y883">
        <f t="shared" si="291"/>
        <v>8.2191780821917804E-2</v>
      </c>
      <c r="Z883">
        <f t="shared" si="292"/>
        <v>8.2191780821917804E-2</v>
      </c>
      <c r="AA883">
        <f t="shared" si="293"/>
        <v>8.2191780821917804E-2</v>
      </c>
      <c r="AB883">
        <f t="shared" si="294"/>
        <v>8.2191780821917804E-2</v>
      </c>
      <c r="AC883">
        <f t="shared" si="295"/>
        <v>8.2191780821917804E-2</v>
      </c>
      <c r="AD883">
        <f t="shared" si="296"/>
        <v>8.2191780821917804E-2</v>
      </c>
      <c r="AE883">
        <f t="shared" si="297"/>
        <v>8.2191780821917804E-2</v>
      </c>
      <c r="AF883">
        <f t="shared" si="298"/>
        <v>8.2191780821917804E-2</v>
      </c>
      <c r="AG883">
        <f t="shared" si="299"/>
        <v>8.2191780821917804E-2</v>
      </c>
      <c r="AH883">
        <f t="shared" si="300"/>
        <v>0</v>
      </c>
      <c r="AI883">
        <f t="shared" si="301"/>
        <v>0</v>
      </c>
      <c r="AJ883" s="2" t="str">
        <f t="shared" si="311"/>
        <v>1045870</v>
      </c>
    </row>
    <row r="884" spans="1:36" x14ac:dyDescent="0.25">
      <c r="A884">
        <v>11</v>
      </c>
      <c r="B884" s="1">
        <v>45870</v>
      </c>
      <c r="C884" s="1">
        <f t="shared" si="302"/>
        <v>46204</v>
      </c>
      <c r="D884" s="1">
        <f t="shared" si="303"/>
        <v>45884</v>
      </c>
      <c r="E884" s="1">
        <f t="shared" si="304"/>
        <v>46204</v>
      </c>
      <c r="F884" s="1">
        <f t="shared" si="305"/>
        <v>46235</v>
      </c>
      <c r="G884" s="1">
        <f t="shared" si="306"/>
        <v>46249</v>
      </c>
      <c r="H884">
        <f t="shared" si="307"/>
        <v>365</v>
      </c>
      <c r="I884">
        <f t="shared" si="308"/>
        <v>31</v>
      </c>
      <c r="J884">
        <f t="shared" si="309"/>
        <v>8.4931506849315067E-2</v>
      </c>
      <c r="K884">
        <f>IFERROR($J884/IF($A884&lt;COUNTIFS($K$1:K$1,"&lt;&gt;"),0,SUMIFS($J:$J,$B:$B,$B884,$A:$A,"&gt;="&amp;COUNTIFS($K$1:K$1,"&lt;&gt;"))),0)</f>
        <v>8.9080459770114959E-2</v>
      </c>
      <c r="L884">
        <f>IFERROR($J884/IF($A884&lt;COUNTIFS($K$1:L$1,"&lt;&gt;"),0,SUMIFS($J:$J,$B:$B,$B884,$A:$A,"&gt;="&amp;COUNTIFS($K$1:L$1,"&lt;&gt;"))),0)</f>
        <v>9.7484276729559768E-2</v>
      </c>
      <c r="M884">
        <f>IFERROR($J884/IF($A884&lt;COUNTIFS($K$1:M$1,"&lt;&gt;"),0,SUMIFS($J:$J,$B:$B,$B884,$A:$A,"&gt;="&amp;COUNTIFS($K$1:M$1,"&lt;&gt;"))),0)</f>
        <v>0.10801393728222998</v>
      </c>
      <c r="N884">
        <f>IFERROR($J884/IF($A884&lt;COUNTIFS($K$1:N$1,"&lt;&gt;"),0,SUMIFS($J:$J,$B:$B,$B884,$A:$A,"&gt;="&amp;COUNTIFS($K$1:N$1,"&lt;&gt;"))),0)</f>
        <v>0.12062256809338523</v>
      </c>
      <c r="O884">
        <f>IFERROR($J884/IF($A884&lt;COUNTIFS($K$1:O$1,"&lt;&gt;"),0,SUMIFS($J:$J,$B:$B,$B884,$A:$A,"&gt;="&amp;COUNTIFS($K$1:O$1,"&lt;&gt;"))),0)</f>
        <v>0.13716814159292037</v>
      </c>
      <c r="P884">
        <f>IFERROR($J884/IF($A884&lt;COUNTIFS($K$1:P$1,"&lt;&gt;"),0,SUMIFS($J:$J,$B:$B,$B884,$A:$A,"&gt;="&amp;COUNTIFS($K$1:P$1,"&lt;&gt;"))),0)</f>
        <v>0.15897435897435899</v>
      </c>
      <c r="Q884">
        <f>IFERROR($J884/IF($A884&lt;COUNTIFS($K$1:Q$1,"&lt;&gt;"),0,SUMIFS($J:$J,$B:$B,$B884,$A:$A,"&gt;="&amp;COUNTIFS($K$1:Q$1,"&lt;&gt;"))),0)</f>
        <v>0.18562874251497008</v>
      </c>
      <c r="R884">
        <f>IFERROR($J884/IF($A884&lt;COUNTIFS($K$1:R$1,"&lt;&gt;"),0,SUMIFS($J:$J,$B:$B,$B884,$A:$A,"&gt;="&amp;COUNTIFS($K$1:R$1,"&lt;&gt;"))),0)</f>
        <v>0.22794117647058826</v>
      </c>
      <c r="S884">
        <f>IFERROR($J884/IF($A884&lt;COUNTIFS($K$1:S$1,"&lt;&gt;"),0,SUMIFS($J:$J,$B:$B,$B884,$A:$A,"&gt;="&amp;COUNTIFS($K$1:S$1,"&lt;&gt;"))),0)</f>
        <v>0.29245283018867929</v>
      </c>
      <c r="T884">
        <f>IFERROR($J884/IF($A884&lt;COUNTIFS($K$1:T$1,"&lt;&gt;"),0,SUMIFS($J:$J,$B:$B,$B884,$A:$A,"&gt;="&amp;COUNTIFS($K$1:T$1,"&lt;&gt;"))),0)</f>
        <v>0.41333333333333333</v>
      </c>
      <c r="U884">
        <f>IFERROR($J884/IF($A884&lt;COUNTIFS($K$1:U$1,"&lt;&gt;"),0,SUMIFS($J:$J,$B:$B,$B884,$A:$A,"&gt;="&amp;COUNTIFS($K$1:U$1,"&lt;&gt;"))),0)</f>
        <v>0.68888888888888888</v>
      </c>
      <c r="V884">
        <f>IFERROR($J884/IF($A884&lt;COUNTIFS($K$1:V$1,"&lt;&gt;"),0,SUMIFS($J:$J,$B:$B,$B884,$A:$A,"&gt;="&amp;COUNTIFS($K$1:V$1,"&lt;&gt;"))),0)</f>
        <v>0</v>
      </c>
      <c r="W884">
        <f t="shared" si="310"/>
        <v>8.4931506849315067E-2</v>
      </c>
      <c r="X884">
        <f t="shared" si="290"/>
        <v>8.4931506849315067E-2</v>
      </c>
      <c r="Y884">
        <f t="shared" si="291"/>
        <v>8.4931506849315067E-2</v>
      </c>
      <c r="Z884">
        <f t="shared" si="292"/>
        <v>8.4931506849315067E-2</v>
      </c>
      <c r="AA884">
        <f t="shared" si="293"/>
        <v>8.4931506849315067E-2</v>
      </c>
      <c r="AB884">
        <f t="shared" si="294"/>
        <v>8.4931506849315067E-2</v>
      </c>
      <c r="AC884">
        <f t="shared" si="295"/>
        <v>8.4931506849315067E-2</v>
      </c>
      <c r="AD884">
        <f t="shared" si="296"/>
        <v>8.4931506849315067E-2</v>
      </c>
      <c r="AE884">
        <f t="shared" si="297"/>
        <v>8.4931506849315067E-2</v>
      </c>
      <c r="AF884">
        <f t="shared" si="298"/>
        <v>8.4931506849315067E-2</v>
      </c>
      <c r="AG884">
        <f t="shared" si="299"/>
        <v>8.4931506849315067E-2</v>
      </c>
      <c r="AH884">
        <f t="shared" si="300"/>
        <v>8.4931506849315067E-2</v>
      </c>
      <c r="AI884">
        <f t="shared" si="301"/>
        <v>0</v>
      </c>
      <c r="AJ884" s="2" t="str">
        <f t="shared" si="311"/>
        <v>1145870</v>
      </c>
    </row>
    <row r="885" spans="1:36" x14ac:dyDescent="0.25">
      <c r="A885">
        <v>12</v>
      </c>
      <c r="B885" s="1">
        <v>45870</v>
      </c>
      <c r="C885" s="1">
        <f t="shared" si="302"/>
        <v>46235</v>
      </c>
      <c r="D885" s="1">
        <f t="shared" si="303"/>
        <v>45884</v>
      </c>
      <c r="E885" s="1">
        <f t="shared" si="304"/>
        <v>46235</v>
      </c>
      <c r="F885" s="1">
        <f t="shared" si="305"/>
        <v>46249</v>
      </c>
      <c r="G885" s="1">
        <f t="shared" si="306"/>
        <v>46249</v>
      </c>
      <c r="H885">
        <f t="shared" si="307"/>
        <v>365</v>
      </c>
      <c r="I885">
        <f t="shared" si="308"/>
        <v>14</v>
      </c>
      <c r="J885">
        <f t="shared" si="309"/>
        <v>3.8356164383561646E-2</v>
      </c>
      <c r="K885">
        <f>IFERROR($J885/IF($A885&lt;COUNTIFS($K$1:K$1,"&lt;&gt;"),0,SUMIFS($J:$J,$B:$B,$B885,$A:$A,"&gt;="&amp;COUNTIFS($K$1:K$1,"&lt;&gt;"))),0)</f>
        <v>4.0229885057471271E-2</v>
      </c>
      <c r="L885">
        <f>IFERROR($J885/IF($A885&lt;COUNTIFS($K$1:L$1,"&lt;&gt;"),0,SUMIFS($J:$J,$B:$B,$B885,$A:$A,"&gt;="&amp;COUNTIFS($K$1:L$1,"&lt;&gt;"))),0)</f>
        <v>4.4025157232704414E-2</v>
      </c>
      <c r="M885">
        <f>IFERROR($J885/IF($A885&lt;COUNTIFS($K$1:M$1,"&lt;&gt;"),0,SUMIFS($J:$J,$B:$B,$B885,$A:$A,"&gt;="&amp;COUNTIFS($K$1:M$1,"&lt;&gt;"))),0)</f>
        <v>4.8780487804878057E-2</v>
      </c>
      <c r="N885">
        <f>IFERROR($J885/IF($A885&lt;COUNTIFS($K$1:N$1,"&lt;&gt;"),0,SUMIFS($J:$J,$B:$B,$B885,$A:$A,"&gt;="&amp;COUNTIFS($K$1:N$1,"&lt;&gt;"))),0)</f>
        <v>5.447470817120624E-2</v>
      </c>
      <c r="O885">
        <f>IFERROR($J885/IF($A885&lt;COUNTIFS($K$1:O$1,"&lt;&gt;"),0,SUMIFS($J:$J,$B:$B,$B885,$A:$A,"&gt;="&amp;COUNTIFS($K$1:O$1,"&lt;&gt;"))),0)</f>
        <v>6.194690265486727E-2</v>
      </c>
      <c r="P885">
        <f>IFERROR($J885/IF($A885&lt;COUNTIFS($K$1:P$1,"&lt;&gt;"),0,SUMIFS($J:$J,$B:$B,$B885,$A:$A,"&gt;="&amp;COUNTIFS($K$1:P$1,"&lt;&gt;"))),0)</f>
        <v>7.1794871794871803E-2</v>
      </c>
      <c r="Q885">
        <f>IFERROR($J885/IF($A885&lt;COUNTIFS($K$1:Q$1,"&lt;&gt;"),0,SUMIFS($J:$J,$B:$B,$B885,$A:$A,"&gt;="&amp;COUNTIFS($K$1:Q$1,"&lt;&gt;"))),0)</f>
        <v>8.3832335329341326E-2</v>
      </c>
      <c r="R885">
        <f>IFERROR($J885/IF($A885&lt;COUNTIFS($K$1:R$1,"&lt;&gt;"),0,SUMIFS($J:$J,$B:$B,$B885,$A:$A,"&gt;="&amp;COUNTIFS($K$1:R$1,"&lt;&gt;"))),0)</f>
        <v>0.10294117647058824</v>
      </c>
      <c r="S885">
        <f>IFERROR($J885/IF($A885&lt;COUNTIFS($K$1:S$1,"&lt;&gt;"),0,SUMIFS($J:$J,$B:$B,$B885,$A:$A,"&gt;="&amp;COUNTIFS($K$1:S$1,"&lt;&gt;"))),0)</f>
        <v>0.13207547169811323</v>
      </c>
      <c r="T885">
        <f>IFERROR($J885/IF($A885&lt;COUNTIFS($K$1:T$1,"&lt;&gt;"),0,SUMIFS($J:$J,$B:$B,$B885,$A:$A,"&gt;="&amp;COUNTIFS($K$1:T$1,"&lt;&gt;"))),0)</f>
        <v>0.18666666666666668</v>
      </c>
      <c r="U885">
        <f>IFERROR($J885/IF($A885&lt;COUNTIFS($K$1:U$1,"&lt;&gt;"),0,SUMIFS($J:$J,$B:$B,$B885,$A:$A,"&gt;="&amp;COUNTIFS($K$1:U$1,"&lt;&gt;"))),0)</f>
        <v>0.31111111111111117</v>
      </c>
      <c r="V885">
        <f>IFERROR($J885/IF($A885&lt;COUNTIFS($K$1:V$1,"&lt;&gt;"),0,SUMIFS($J:$J,$B:$B,$B885,$A:$A,"&gt;="&amp;COUNTIFS($K$1:V$1,"&lt;&gt;"))),0)</f>
        <v>1</v>
      </c>
      <c r="W885">
        <f t="shared" si="310"/>
        <v>3.8356164383561646E-2</v>
      </c>
      <c r="X885">
        <f t="shared" si="290"/>
        <v>3.8356164383561646E-2</v>
      </c>
      <c r="Y885">
        <f t="shared" si="291"/>
        <v>3.8356164383561646E-2</v>
      </c>
      <c r="Z885">
        <f t="shared" si="292"/>
        <v>3.8356164383561646E-2</v>
      </c>
      <c r="AA885">
        <f t="shared" si="293"/>
        <v>3.8356164383561646E-2</v>
      </c>
      <c r="AB885">
        <f t="shared" si="294"/>
        <v>3.8356164383561646E-2</v>
      </c>
      <c r="AC885">
        <f t="shared" si="295"/>
        <v>3.8356164383561646E-2</v>
      </c>
      <c r="AD885">
        <f t="shared" si="296"/>
        <v>3.8356164383561646E-2</v>
      </c>
      <c r="AE885">
        <f t="shared" si="297"/>
        <v>3.8356164383561646E-2</v>
      </c>
      <c r="AF885">
        <f t="shared" si="298"/>
        <v>3.8356164383561646E-2</v>
      </c>
      <c r="AG885">
        <f t="shared" si="299"/>
        <v>3.8356164383561646E-2</v>
      </c>
      <c r="AH885">
        <f t="shared" si="300"/>
        <v>3.8356164383561646E-2</v>
      </c>
      <c r="AI885">
        <f t="shared" si="301"/>
        <v>3.8356164383561646E-2</v>
      </c>
      <c r="AJ885" s="2" t="str">
        <f t="shared" si="311"/>
        <v>1245870</v>
      </c>
    </row>
    <row r="886" spans="1:36" x14ac:dyDescent="0.25">
      <c r="A886">
        <v>0</v>
      </c>
      <c r="B886" s="1">
        <v>45901</v>
      </c>
      <c r="C886" s="1">
        <f t="shared" si="302"/>
        <v>45901</v>
      </c>
      <c r="D886" s="1">
        <f t="shared" si="303"/>
        <v>45915</v>
      </c>
      <c r="E886" s="1">
        <f t="shared" si="304"/>
        <v>45915</v>
      </c>
      <c r="F886" s="1">
        <f t="shared" si="305"/>
        <v>45931</v>
      </c>
      <c r="G886" s="1">
        <f t="shared" si="306"/>
        <v>46280</v>
      </c>
      <c r="H886">
        <f t="shared" si="307"/>
        <v>365</v>
      </c>
      <c r="I886">
        <f t="shared" si="308"/>
        <v>16</v>
      </c>
      <c r="J886">
        <f t="shared" si="309"/>
        <v>4.3835616438356165E-2</v>
      </c>
      <c r="K886">
        <f>IFERROR($J886/IF($A886&lt;COUNTIFS($K$1:K$1,"&lt;&gt;"),0,SUMIFS($J:$J,$B:$B,$B886,$A:$A,"&gt;="&amp;COUNTIFS($K$1:K$1,"&lt;&gt;"))),0)</f>
        <v>0</v>
      </c>
      <c r="L886">
        <f>IFERROR($J886/IF($A886&lt;COUNTIFS($K$1:L$1,"&lt;&gt;"),0,SUMIFS($J:$J,$B:$B,$B886,$A:$A,"&gt;="&amp;COUNTIFS($K$1:L$1,"&lt;&gt;"))),0)</f>
        <v>0</v>
      </c>
      <c r="M886">
        <f>IFERROR($J886/IF($A886&lt;COUNTIFS($K$1:M$1,"&lt;&gt;"),0,SUMIFS($J:$J,$B:$B,$B886,$A:$A,"&gt;="&amp;COUNTIFS($K$1:M$1,"&lt;&gt;"))),0)</f>
        <v>0</v>
      </c>
      <c r="N886">
        <f>IFERROR($J886/IF($A886&lt;COUNTIFS($K$1:N$1,"&lt;&gt;"),0,SUMIFS($J:$J,$B:$B,$B886,$A:$A,"&gt;="&amp;COUNTIFS($K$1:N$1,"&lt;&gt;"))),0)</f>
        <v>0</v>
      </c>
      <c r="O886">
        <f>IFERROR($J886/IF($A886&lt;COUNTIFS($K$1:O$1,"&lt;&gt;"),0,SUMIFS($J:$J,$B:$B,$B886,$A:$A,"&gt;="&amp;COUNTIFS($K$1:O$1,"&lt;&gt;"))),0)</f>
        <v>0</v>
      </c>
      <c r="P886">
        <f>IFERROR($J886/IF($A886&lt;COUNTIFS($K$1:P$1,"&lt;&gt;"),0,SUMIFS($J:$J,$B:$B,$B886,$A:$A,"&gt;="&amp;COUNTIFS($K$1:P$1,"&lt;&gt;"))),0)</f>
        <v>0</v>
      </c>
      <c r="Q886">
        <f>IFERROR($J886/IF($A886&lt;COUNTIFS($K$1:Q$1,"&lt;&gt;"),0,SUMIFS($J:$J,$B:$B,$B886,$A:$A,"&gt;="&amp;COUNTIFS($K$1:Q$1,"&lt;&gt;"))),0)</f>
        <v>0</v>
      </c>
      <c r="R886">
        <f>IFERROR($J886/IF($A886&lt;COUNTIFS($K$1:R$1,"&lt;&gt;"),0,SUMIFS($J:$J,$B:$B,$B886,$A:$A,"&gt;="&amp;COUNTIFS($K$1:R$1,"&lt;&gt;"))),0)</f>
        <v>0</v>
      </c>
      <c r="S886">
        <f>IFERROR($J886/IF($A886&lt;COUNTIFS($K$1:S$1,"&lt;&gt;"),0,SUMIFS($J:$J,$B:$B,$B886,$A:$A,"&gt;="&amp;COUNTIFS($K$1:S$1,"&lt;&gt;"))),0)</f>
        <v>0</v>
      </c>
      <c r="T886">
        <f>IFERROR($J886/IF($A886&lt;COUNTIFS($K$1:T$1,"&lt;&gt;"),0,SUMIFS($J:$J,$B:$B,$B886,$A:$A,"&gt;="&amp;COUNTIFS($K$1:T$1,"&lt;&gt;"))),0)</f>
        <v>0</v>
      </c>
      <c r="U886">
        <f>IFERROR($J886/IF($A886&lt;COUNTIFS($K$1:U$1,"&lt;&gt;"),0,SUMIFS($J:$J,$B:$B,$B886,$A:$A,"&gt;="&amp;COUNTIFS($K$1:U$1,"&lt;&gt;"))),0)</f>
        <v>0</v>
      </c>
      <c r="V886">
        <f>IFERROR($J886/IF($A886&lt;COUNTIFS($K$1:V$1,"&lt;&gt;"),0,SUMIFS($J:$J,$B:$B,$B886,$A:$A,"&gt;="&amp;COUNTIFS($K$1:V$1,"&lt;&gt;"))),0)</f>
        <v>0</v>
      </c>
      <c r="W886">
        <f t="shared" si="310"/>
        <v>4.3835616438356165E-2</v>
      </c>
      <c r="X886">
        <f t="shared" si="290"/>
        <v>0</v>
      </c>
      <c r="Y886">
        <f t="shared" si="291"/>
        <v>0</v>
      </c>
      <c r="Z886">
        <f t="shared" si="292"/>
        <v>0</v>
      </c>
      <c r="AA886">
        <f t="shared" si="293"/>
        <v>0</v>
      </c>
      <c r="AB886">
        <f t="shared" si="294"/>
        <v>0</v>
      </c>
      <c r="AC886">
        <f t="shared" si="295"/>
        <v>0</v>
      </c>
      <c r="AD886">
        <f t="shared" si="296"/>
        <v>0</v>
      </c>
      <c r="AE886">
        <f t="shared" si="297"/>
        <v>0</v>
      </c>
      <c r="AF886">
        <f t="shared" si="298"/>
        <v>0</v>
      </c>
      <c r="AG886">
        <f t="shared" si="299"/>
        <v>0</v>
      </c>
      <c r="AH886">
        <f t="shared" si="300"/>
        <v>0</v>
      </c>
      <c r="AI886">
        <f t="shared" si="301"/>
        <v>0</v>
      </c>
      <c r="AJ886" s="2" t="str">
        <f t="shared" si="311"/>
        <v>045901</v>
      </c>
    </row>
    <row r="887" spans="1:36" x14ac:dyDescent="0.25">
      <c r="A887">
        <v>1</v>
      </c>
      <c r="B887" s="1">
        <v>45901</v>
      </c>
      <c r="C887" s="1">
        <f t="shared" si="302"/>
        <v>45931</v>
      </c>
      <c r="D887" s="1">
        <f t="shared" si="303"/>
        <v>45915</v>
      </c>
      <c r="E887" s="1">
        <f t="shared" si="304"/>
        <v>45931</v>
      </c>
      <c r="F887" s="1">
        <f t="shared" si="305"/>
        <v>45962</v>
      </c>
      <c r="G887" s="1">
        <f t="shared" si="306"/>
        <v>46280</v>
      </c>
      <c r="H887">
        <f t="shared" si="307"/>
        <v>365</v>
      </c>
      <c r="I887">
        <f t="shared" si="308"/>
        <v>31</v>
      </c>
      <c r="J887">
        <f t="shared" si="309"/>
        <v>8.4931506849315067E-2</v>
      </c>
      <c r="K887">
        <f>IFERROR($J887/IF($A887&lt;COUNTIFS($K$1:K$1,"&lt;&gt;"),0,SUMIFS($J:$J,$B:$B,$B887,$A:$A,"&gt;="&amp;COUNTIFS($K$1:K$1,"&lt;&gt;"))),0)</f>
        <v>8.8825214899713484E-2</v>
      </c>
      <c r="L887">
        <f>IFERROR($J887/IF($A887&lt;COUNTIFS($K$1:L$1,"&lt;&gt;"),0,SUMIFS($J:$J,$B:$B,$B887,$A:$A,"&gt;="&amp;COUNTIFS($K$1:L$1,"&lt;&gt;"))),0)</f>
        <v>0</v>
      </c>
      <c r="M887">
        <f>IFERROR($J887/IF($A887&lt;COUNTIFS($K$1:M$1,"&lt;&gt;"),0,SUMIFS($J:$J,$B:$B,$B887,$A:$A,"&gt;="&amp;COUNTIFS($K$1:M$1,"&lt;&gt;"))),0)</f>
        <v>0</v>
      </c>
      <c r="N887">
        <f>IFERROR($J887/IF($A887&lt;COUNTIFS($K$1:N$1,"&lt;&gt;"),0,SUMIFS($J:$J,$B:$B,$B887,$A:$A,"&gt;="&amp;COUNTIFS($K$1:N$1,"&lt;&gt;"))),0)</f>
        <v>0</v>
      </c>
      <c r="O887">
        <f>IFERROR($J887/IF($A887&lt;COUNTIFS($K$1:O$1,"&lt;&gt;"),0,SUMIFS($J:$J,$B:$B,$B887,$A:$A,"&gt;="&amp;COUNTIFS($K$1:O$1,"&lt;&gt;"))),0)</f>
        <v>0</v>
      </c>
      <c r="P887">
        <f>IFERROR($J887/IF($A887&lt;COUNTIFS($K$1:P$1,"&lt;&gt;"),0,SUMIFS($J:$J,$B:$B,$B887,$A:$A,"&gt;="&amp;COUNTIFS($K$1:P$1,"&lt;&gt;"))),0)</f>
        <v>0</v>
      </c>
      <c r="Q887">
        <f>IFERROR($J887/IF($A887&lt;COUNTIFS($K$1:Q$1,"&lt;&gt;"),0,SUMIFS($J:$J,$B:$B,$B887,$A:$A,"&gt;="&amp;COUNTIFS($K$1:Q$1,"&lt;&gt;"))),0)</f>
        <v>0</v>
      </c>
      <c r="R887">
        <f>IFERROR($J887/IF($A887&lt;COUNTIFS($K$1:R$1,"&lt;&gt;"),0,SUMIFS($J:$J,$B:$B,$B887,$A:$A,"&gt;="&amp;COUNTIFS($K$1:R$1,"&lt;&gt;"))),0)</f>
        <v>0</v>
      </c>
      <c r="S887">
        <f>IFERROR($J887/IF($A887&lt;COUNTIFS($K$1:S$1,"&lt;&gt;"),0,SUMIFS($J:$J,$B:$B,$B887,$A:$A,"&gt;="&amp;COUNTIFS($K$1:S$1,"&lt;&gt;"))),0)</f>
        <v>0</v>
      </c>
      <c r="T887">
        <f>IFERROR($J887/IF($A887&lt;COUNTIFS($K$1:T$1,"&lt;&gt;"),0,SUMIFS($J:$J,$B:$B,$B887,$A:$A,"&gt;="&amp;COUNTIFS($K$1:T$1,"&lt;&gt;"))),0)</f>
        <v>0</v>
      </c>
      <c r="U887">
        <f>IFERROR($J887/IF($A887&lt;COUNTIFS($K$1:U$1,"&lt;&gt;"),0,SUMIFS($J:$J,$B:$B,$B887,$A:$A,"&gt;="&amp;COUNTIFS($K$1:U$1,"&lt;&gt;"))),0)</f>
        <v>0</v>
      </c>
      <c r="V887">
        <f>IFERROR($J887/IF($A887&lt;COUNTIFS($K$1:V$1,"&lt;&gt;"),0,SUMIFS($J:$J,$B:$B,$B887,$A:$A,"&gt;="&amp;COUNTIFS($K$1:V$1,"&lt;&gt;"))),0)</f>
        <v>0</v>
      </c>
      <c r="W887">
        <f t="shared" si="310"/>
        <v>8.4931506849315067E-2</v>
      </c>
      <c r="X887">
        <f t="shared" si="290"/>
        <v>8.4931506849315067E-2</v>
      </c>
      <c r="Y887">
        <f t="shared" si="291"/>
        <v>0</v>
      </c>
      <c r="Z887">
        <f t="shared" si="292"/>
        <v>0</v>
      </c>
      <c r="AA887">
        <f t="shared" si="293"/>
        <v>0</v>
      </c>
      <c r="AB887">
        <f t="shared" si="294"/>
        <v>0</v>
      </c>
      <c r="AC887">
        <f t="shared" si="295"/>
        <v>0</v>
      </c>
      <c r="AD887">
        <f t="shared" si="296"/>
        <v>0</v>
      </c>
      <c r="AE887">
        <f t="shared" si="297"/>
        <v>0</v>
      </c>
      <c r="AF887">
        <f t="shared" si="298"/>
        <v>0</v>
      </c>
      <c r="AG887">
        <f t="shared" si="299"/>
        <v>0</v>
      </c>
      <c r="AH887">
        <f t="shared" si="300"/>
        <v>0</v>
      </c>
      <c r="AI887">
        <f t="shared" si="301"/>
        <v>0</v>
      </c>
      <c r="AJ887" s="2" t="str">
        <f t="shared" si="311"/>
        <v>145901</v>
      </c>
    </row>
    <row r="888" spans="1:36" x14ac:dyDescent="0.25">
      <c r="A888">
        <v>2</v>
      </c>
      <c r="B888" s="1">
        <v>45901</v>
      </c>
      <c r="C888" s="1">
        <f t="shared" si="302"/>
        <v>45962</v>
      </c>
      <c r="D888" s="1">
        <f t="shared" si="303"/>
        <v>45915</v>
      </c>
      <c r="E888" s="1">
        <f t="shared" si="304"/>
        <v>45962</v>
      </c>
      <c r="F888" s="1">
        <f t="shared" si="305"/>
        <v>45992</v>
      </c>
      <c r="G888" s="1">
        <f t="shared" si="306"/>
        <v>46280</v>
      </c>
      <c r="H888">
        <f t="shared" si="307"/>
        <v>365</v>
      </c>
      <c r="I888">
        <f t="shared" si="308"/>
        <v>30</v>
      </c>
      <c r="J888">
        <f t="shared" si="309"/>
        <v>8.2191780821917804E-2</v>
      </c>
      <c r="K888">
        <f>IFERROR($J888/IF($A888&lt;COUNTIFS($K$1:K$1,"&lt;&gt;"),0,SUMIFS($J:$J,$B:$B,$B888,$A:$A,"&gt;="&amp;COUNTIFS($K$1:K$1,"&lt;&gt;"))),0)</f>
        <v>8.5959885386819493E-2</v>
      </c>
      <c r="L888">
        <f>IFERROR($J888/IF($A888&lt;COUNTIFS($K$1:L$1,"&lt;&gt;"),0,SUMIFS($J:$J,$B:$B,$B888,$A:$A,"&gt;="&amp;COUNTIFS($K$1:L$1,"&lt;&gt;"))),0)</f>
        <v>9.4339622641509441E-2</v>
      </c>
      <c r="M888">
        <f>IFERROR($J888/IF($A888&lt;COUNTIFS($K$1:M$1,"&lt;&gt;"),0,SUMIFS($J:$J,$B:$B,$B888,$A:$A,"&gt;="&amp;COUNTIFS($K$1:M$1,"&lt;&gt;"))),0)</f>
        <v>0</v>
      </c>
      <c r="N888">
        <f>IFERROR($J888/IF($A888&lt;COUNTIFS($K$1:N$1,"&lt;&gt;"),0,SUMIFS($J:$J,$B:$B,$B888,$A:$A,"&gt;="&amp;COUNTIFS($K$1:N$1,"&lt;&gt;"))),0)</f>
        <v>0</v>
      </c>
      <c r="O888">
        <f>IFERROR($J888/IF($A888&lt;COUNTIFS($K$1:O$1,"&lt;&gt;"),0,SUMIFS($J:$J,$B:$B,$B888,$A:$A,"&gt;="&amp;COUNTIFS($K$1:O$1,"&lt;&gt;"))),0)</f>
        <v>0</v>
      </c>
      <c r="P888">
        <f>IFERROR($J888/IF($A888&lt;COUNTIFS($K$1:P$1,"&lt;&gt;"),0,SUMIFS($J:$J,$B:$B,$B888,$A:$A,"&gt;="&amp;COUNTIFS($K$1:P$1,"&lt;&gt;"))),0)</f>
        <v>0</v>
      </c>
      <c r="Q888">
        <f>IFERROR($J888/IF($A888&lt;COUNTIFS($K$1:Q$1,"&lt;&gt;"),0,SUMIFS($J:$J,$B:$B,$B888,$A:$A,"&gt;="&amp;COUNTIFS($K$1:Q$1,"&lt;&gt;"))),0)</f>
        <v>0</v>
      </c>
      <c r="R888">
        <f>IFERROR($J888/IF($A888&lt;COUNTIFS($K$1:R$1,"&lt;&gt;"),0,SUMIFS($J:$J,$B:$B,$B888,$A:$A,"&gt;="&amp;COUNTIFS($K$1:R$1,"&lt;&gt;"))),0)</f>
        <v>0</v>
      </c>
      <c r="S888">
        <f>IFERROR($J888/IF($A888&lt;COUNTIFS($K$1:S$1,"&lt;&gt;"),0,SUMIFS($J:$J,$B:$B,$B888,$A:$A,"&gt;="&amp;COUNTIFS($K$1:S$1,"&lt;&gt;"))),0)</f>
        <v>0</v>
      </c>
      <c r="T888">
        <f>IFERROR($J888/IF($A888&lt;COUNTIFS($K$1:T$1,"&lt;&gt;"),0,SUMIFS($J:$J,$B:$B,$B888,$A:$A,"&gt;="&amp;COUNTIFS($K$1:T$1,"&lt;&gt;"))),0)</f>
        <v>0</v>
      </c>
      <c r="U888">
        <f>IFERROR($J888/IF($A888&lt;COUNTIFS($K$1:U$1,"&lt;&gt;"),0,SUMIFS($J:$J,$B:$B,$B888,$A:$A,"&gt;="&amp;COUNTIFS($K$1:U$1,"&lt;&gt;"))),0)</f>
        <v>0</v>
      </c>
      <c r="V888">
        <f>IFERROR($J888/IF($A888&lt;COUNTIFS($K$1:V$1,"&lt;&gt;"),0,SUMIFS($J:$J,$B:$B,$B888,$A:$A,"&gt;="&amp;COUNTIFS($K$1:V$1,"&lt;&gt;"))),0)</f>
        <v>0</v>
      </c>
      <c r="W888">
        <f t="shared" si="310"/>
        <v>8.2191780821917804E-2</v>
      </c>
      <c r="X888">
        <f t="shared" si="290"/>
        <v>8.2191780821917804E-2</v>
      </c>
      <c r="Y888">
        <f t="shared" si="291"/>
        <v>8.2191780821917804E-2</v>
      </c>
      <c r="Z888">
        <f t="shared" si="292"/>
        <v>0</v>
      </c>
      <c r="AA888">
        <f t="shared" si="293"/>
        <v>0</v>
      </c>
      <c r="AB888">
        <f t="shared" si="294"/>
        <v>0</v>
      </c>
      <c r="AC888">
        <f t="shared" si="295"/>
        <v>0</v>
      </c>
      <c r="AD888">
        <f t="shared" si="296"/>
        <v>0</v>
      </c>
      <c r="AE888">
        <f t="shared" si="297"/>
        <v>0</v>
      </c>
      <c r="AF888">
        <f t="shared" si="298"/>
        <v>0</v>
      </c>
      <c r="AG888">
        <f t="shared" si="299"/>
        <v>0</v>
      </c>
      <c r="AH888">
        <f t="shared" si="300"/>
        <v>0</v>
      </c>
      <c r="AI888">
        <f t="shared" si="301"/>
        <v>0</v>
      </c>
      <c r="AJ888" s="2" t="str">
        <f t="shared" si="311"/>
        <v>245901</v>
      </c>
    </row>
    <row r="889" spans="1:36" x14ac:dyDescent="0.25">
      <c r="A889">
        <v>3</v>
      </c>
      <c r="B889" s="1">
        <v>45901</v>
      </c>
      <c r="C889" s="1">
        <f t="shared" si="302"/>
        <v>45992</v>
      </c>
      <c r="D889" s="1">
        <f t="shared" si="303"/>
        <v>45915</v>
      </c>
      <c r="E889" s="1">
        <f t="shared" si="304"/>
        <v>45992</v>
      </c>
      <c r="F889" s="1">
        <f t="shared" si="305"/>
        <v>46023</v>
      </c>
      <c r="G889" s="1">
        <f t="shared" si="306"/>
        <v>46280</v>
      </c>
      <c r="H889">
        <f t="shared" si="307"/>
        <v>365</v>
      </c>
      <c r="I889">
        <f t="shared" si="308"/>
        <v>31</v>
      </c>
      <c r="J889">
        <f t="shared" si="309"/>
        <v>8.4931506849315067E-2</v>
      </c>
      <c r="K889">
        <f>IFERROR($J889/IF($A889&lt;COUNTIFS($K$1:K$1,"&lt;&gt;"),0,SUMIFS($J:$J,$B:$B,$B889,$A:$A,"&gt;="&amp;COUNTIFS($K$1:K$1,"&lt;&gt;"))),0)</f>
        <v>8.8825214899713484E-2</v>
      </c>
      <c r="L889">
        <f>IFERROR($J889/IF($A889&lt;COUNTIFS($K$1:L$1,"&lt;&gt;"),0,SUMIFS($J:$J,$B:$B,$B889,$A:$A,"&gt;="&amp;COUNTIFS($K$1:L$1,"&lt;&gt;"))),0)</f>
        <v>9.7484276729559768E-2</v>
      </c>
      <c r="M889">
        <f>IFERROR($J889/IF($A889&lt;COUNTIFS($K$1:M$1,"&lt;&gt;"),0,SUMIFS($J:$J,$B:$B,$B889,$A:$A,"&gt;="&amp;COUNTIFS($K$1:M$1,"&lt;&gt;"))),0)</f>
        <v>0.10763888888888891</v>
      </c>
      <c r="N889">
        <f>IFERROR($J889/IF($A889&lt;COUNTIFS($K$1:N$1,"&lt;&gt;"),0,SUMIFS($J:$J,$B:$B,$B889,$A:$A,"&gt;="&amp;COUNTIFS($K$1:N$1,"&lt;&gt;"))),0)</f>
        <v>0</v>
      </c>
      <c r="O889">
        <f>IFERROR($J889/IF($A889&lt;COUNTIFS($K$1:O$1,"&lt;&gt;"),0,SUMIFS($J:$J,$B:$B,$B889,$A:$A,"&gt;="&amp;COUNTIFS($K$1:O$1,"&lt;&gt;"))),0)</f>
        <v>0</v>
      </c>
      <c r="P889">
        <f>IFERROR($J889/IF($A889&lt;COUNTIFS($K$1:P$1,"&lt;&gt;"),0,SUMIFS($J:$J,$B:$B,$B889,$A:$A,"&gt;="&amp;COUNTIFS($K$1:P$1,"&lt;&gt;"))),0)</f>
        <v>0</v>
      </c>
      <c r="Q889">
        <f>IFERROR($J889/IF($A889&lt;COUNTIFS($K$1:Q$1,"&lt;&gt;"),0,SUMIFS($J:$J,$B:$B,$B889,$A:$A,"&gt;="&amp;COUNTIFS($K$1:Q$1,"&lt;&gt;"))),0)</f>
        <v>0</v>
      </c>
      <c r="R889">
        <f>IFERROR($J889/IF($A889&lt;COUNTIFS($K$1:R$1,"&lt;&gt;"),0,SUMIFS($J:$J,$B:$B,$B889,$A:$A,"&gt;="&amp;COUNTIFS($K$1:R$1,"&lt;&gt;"))),0)</f>
        <v>0</v>
      </c>
      <c r="S889">
        <f>IFERROR($J889/IF($A889&lt;COUNTIFS($K$1:S$1,"&lt;&gt;"),0,SUMIFS($J:$J,$B:$B,$B889,$A:$A,"&gt;="&amp;COUNTIFS($K$1:S$1,"&lt;&gt;"))),0)</f>
        <v>0</v>
      </c>
      <c r="T889">
        <f>IFERROR($J889/IF($A889&lt;COUNTIFS($K$1:T$1,"&lt;&gt;"),0,SUMIFS($J:$J,$B:$B,$B889,$A:$A,"&gt;="&amp;COUNTIFS($K$1:T$1,"&lt;&gt;"))),0)</f>
        <v>0</v>
      </c>
      <c r="U889">
        <f>IFERROR($J889/IF($A889&lt;COUNTIFS($K$1:U$1,"&lt;&gt;"),0,SUMIFS($J:$J,$B:$B,$B889,$A:$A,"&gt;="&amp;COUNTIFS($K$1:U$1,"&lt;&gt;"))),0)</f>
        <v>0</v>
      </c>
      <c r="V889">
        <f>IFERROR($J889/IF($A889&lt;COUNTIFS($K$1:V$1,"&lt;&gt;"),0,SUMIFS($J:$J,$B:$B,$B889,$A:$A,"&gt;="&amp;COUNTIFS($K$1:V$1,"&lt;&gt;"))),0)</f>
        <v>0</v>
      </c>
      <c r="W889">
        <f t="shared" si="310"/>
        <v>8.4931506849315067E-2</v>
      </c>
      <c r="X889">
        <f t="shared" si="290"/>
        <v>8.4931506849315067E-2</v>
      </c>
      <c r="Y889">
        <f t="shared" si="291"/>
        <v>8.4931506849315067E-2</v>
      </c>
      <c r="Z889">
        <f t="shared" si="292"/>
        <v>8.4931506849315067E-2</v>
      </c>
      <c r="AA889">
        <f t="shared" si="293"/>
        <v>0</v>
      </c>
      <c r="AB889">
        <f t="shared" si="294"/>
        <v>0</v>
      </c>
      <c r="AC889">
        <f t="shared" si="295"/>
        <v>0</v>
      </c>
      <c r="AD889">
        <f t="shared" si="296"/>
        <v>0</v>
      </c>
      <c r="AE889">
        <f t="shared" si="297"/>
        <v>0</v>
      </c>
      <c r="AF889">
        <f t="shared" si="298"/>
        <v>0</v>
      </c>
      <c r="AG889">
        <f t="shared" si="299"/>
        <v>0</v>
      </c>
      <c r="AH889">
        <f t="shared" si="300"/>
        <v>0</v>
      </c>
      <c r="AI889">
        <f t="shared" si="301"/>
        <v>0</v>
      </c>
      <c r="AJ889" s="2" t="str">
        <f t="shared" si="311"/>
        <v>345901</v>
      </c>
    </row>
    <row r="890" spans="1:36" x14ac:dyDescent="0.25">
      <c r="A890">
        <v>4</v>
      </c>
      <c r="B890" s="1">
        <v>45901</v>
      </c>
      <c r="C890" s="1">
        <f t="shared" si="302"/>
        <v>46023</v>
      </c>
      <c r="D890" s="1">
        <f t="shared" si="303"/>
        <v>45915</v>
      </c>
      <c r="E890" s="1">
        <f t="shared" si="304"/>
        <v>46023</v>
      </c>
      <c r="F890" s="1">
        <f t="shared" si="305"/>
        <v>46054</v>
      </c>
      <c r="G890" s="1">
        <f t="shared" si="306"/>
        <v>46280</v>
      </c>
      <c r="H890">
        <f t="shared" si="307"/>
        <v>365</v>
      </c>
      <c r="I890">
        <f t="shared" si="308"/>
        <v>31</v>
      </c>
      <c r="J890">
        <f t="shared" si="309"/>
        <v>8.4931506849315067E-2</v>
      </c>
      <c r="K890">
        <f>IFERROR($J890/IF($A890&lt;COUNTIFS($K$1:K$1,"&lt;&gt;"),0,SUMIFS($J:$J,$B:$B,$B890,$A:$A,"&gt;="&amp;COUNTIFS($K$1:K$1,"&lt;&gt;"))),0)</f>
        <v>8.8825214899713484E-2</v>
      </c>
      <c r="L890">
        <f>IFERROR($J890/IF($A890&lt;COUNTIFS($K$1:L$1,"&lt;&gt;"),0,SUMIFS($J:$J,$B:$B,$B890,$A:$A,"&gt;="&amp;COUNTIFS($K$1:L$1,"&lt;&gt;"))),0)</f>
        <v>9.7484276729559768E-2</v>
      </c>
      <c r="M890">
        <f>IFERROR($J890/IF($A890&lt;COUNTIFS($K$1:M$1,"&lt;&gt;"),0,SUMIFS($J:$J,$B:$B,$B890,$A:$A,"&gt;="&amp;COUNTIFS($K$1:M$1,"&lt;&gt;"))),0)</f>
        <v>0.10763888888888891</v>
      </c>
      <c r="N890">
        <f>IFERROR($J890/IF($A890&lt;COUNTIFS($K$1:N$1,"&lt;&gt;"),0,SUMIFS($J:$J,$B:$B,$B890,$A:$A,"&gt;="&amp;COUNTIFS($K$1:N$1,"&lt;&gt;"))),0)</f>
        <v>0.12062256809338523</v>
      </c>
      <c r="O890">
        <f>IFERROR($J890/IF($A890&lt;COUNTIFS($K$1:O$1,"&lt;&gt;"),0,SUMIFS($J:$J,$B:$B,$B890,$A:$A,"&gt;="&amp;COUNTIFS($K$1:O$1,"&lt;&gt;"))),0)</f>
        <v>0</v>
      </c>
      <c r="P890">
        <f>IFERROR($J890/IF($A890&lt;COUNTIFS($K$1:P$1,"&lt;&gt;"),0,SUMIFS($J:$J,$B:$B,$B890,$A:$A,"&gt;="&amp;COUNTIFS($K$1:P$1,"&lt;&gt;"))),0)</f>
        <v>0</v>
      </c>
      <c r="Q890">
        <f>IFERROR($J890/IF($A890&lt;COUNTIFS($K$1:Q$1,"&lt;&gt;"),0,SUMIFS($J:$J,$B:$B,$B890,$A:$A,"&gt;="&amp;COUNTIFS($K$1:Q$1,"&lt;&gt;"))),0)</f>
        <v>0</v>
      </c>
      <c r="R890">
        <f>IFERROR($J890/IF($A890&lt;COUNTIFS($K$1:R$1,"&lt;&gt;"),0,SUMIFS($J:$J,$B:$B,$B890,$A:$A,"&gt;="&amp;COUNTIFS($K$1:R$1,"&lt;&gt;"))),0)</f>
        <v>0</v>
      </c>
      <c r="S890">
        <f>IFERROR($J890/IF($A890&lt;COUNTIFS($K$1:S$1,"&lt;&gt;"),0,SUMIFS($J:$J,$B:$B,$B890,$A:$A,"&gt;="&amp;COUNTIFS($K$1:S$1,"&lt;&gt;"))),0)</f>
        <v>0</v>
      </c>
      <c r="T890">
        <f>IFERROR($J890/IF($A890&lt;COUNTIFS($K$1:T$1,"&lt;&gt;"),0,SUMIFS($J:$J,$B:$B,$B890,$A:$A,"&gt;="&amp;COUNTIFS($K$1:T$1,"&lt;&gt;"))),0)</f>
        <v>0</v>
      </c>
      <c r="U890">
        <f>IFERROR($J890/IF($A890&lt;COUNTIFS($K$1:U$1,"&lt;&gt;"),0,SUMIFS($J:$J,$B:$B,$B890,$A:$A,"&gt;="&amp;COUNTIFS($K$1:U$1,"&lt;&gt;"))),0)</f>
        <v>0</v>
      </c>
      <c r="V890">
        <f>IFERROR($J890/IF($A890&lt;COUNTIFS($K$1:V$1,"&lt;&gt;"),0,SUMIFS($J:$J,$B:$B,$B890,$A:$A,"&gt;="&amp;COUNTIFS($K$1:V$1,"&lt;&gt;"))),0)</f>
        <v>0</v>
      </c>
      <c r="W890">
        <f t="shared" si="310"/>
        <v>8.4931506849315067E-2</v>
      </c>
      <c r="X890">
        <f t="shared" si="290"/>
        <v>8.4931506849315067E-2</v>
      </c>
      <c r="Y890">
        <f t="shared" si="291"/>
        <v>8.4931506849315067E-2</v>
      </c>
      <c r="Z890">
        <f t="shared" si="292"/>
        <v>8.4931506849315067E-2</v>
      </c>
      <c r="AA890">
        <f t="shared" si="293"/>
        <v>8.4931506849315067E-2</v>
      </c>
      <c r="AB890">
        <f t="shared" si="294"/>
        <v>0</v>
      </c>
      <c r="AC890">
        <f t="shared" si="295"/>
        <v>0</v>
      </c>
      <c r="AD890">
        <f t="shared" si="296"/>
        <v>0</v>
      </c>
      <c r="AE890">
        <f t="shared" si="297"/>
        <v>0</v>
      </c>
      <c r="AF890">
        <f t="shared" si="298"/>
        <v>0</v>
      </c>
      <c r="AG890">
        <f t="shared" si="299"/>
        <v>0</v>
      </c>
      <c r="AH890">
        <f t="shared" si="300"/>
        <v>0</v>
      </c>
      <c r="AI890">
        <f t="shared" si="301"/>
        <v>0</v>
      </c>
      <c r="AJ890" s="2" t="str">
        <f t="shared" si="311"/>
        <v>445901</v>
      </c>
    </row>
    <row r="891" spans="1:36" x14ac:dyDescent="0.25">
      <c r="A891">
        <v>5</v>
      </c>
      <c r="B891" s="1">
        <v>45901</v>
      </c>
      <c r="C891" s="1">
        <f t="shared" si="302"/>
        <v>46054</v>
      </c>
      <c r="D891" s="1">
        <f t="shared" si="303"/>
        <v>45915</v>
      </c>
      <c r="E891" s="1">
        <f t="shared" si="304"/>
        <v>46054</v>
      </c>
      <c r="F891" s="1">
        <f t="shared" si="305"/>
        <v>46082</v>
      </c>
      <c r="G891" s="1">
        <f t="shared" si="306"/>
        <v>46280</v>
      </c>
      <c r="H891">
        <f t="shared" si="307"/>
        <v>365</v>
      </c>
      <c r="I891">
        <f t="shared" si="308"/>
        <v>28</v>
      </c>
      <c r="J891">
        <f t="shared" si="309"/>
        <v>7.6712328767123292E-2</v>
      </c>
      <c r="K891">
        <f>IFERROR($J891/IF($A891&lt;COUNTIFS($K$1:K$1,"&lt;&gt;"),0,SUMIFS($J:$J,$B:$B,$B891,$A:$A,"&gt;="&amp;COUNTIFS($K$1:K$1,"&lt;&gt;"))),0)</f>
        <v>8.0229226361031539E-2</v>
      </c>
      <c r="L891">
        <f>IFERROR($J891/IF($A891&lt;COUNTIFS($K$1:L$1,"&lt;&gt;"),0,SUMIFS($J:$J,$B:$B,$B891,$A:$A,"&gt;="&amp;COUNTIFS($K$1:L$1,"&lt;&gt;"))),0)</f>
        <v>8.8050314465408827E-2</v>
      </c>
      <c r="M891">
        <f>IFERROR($J891/IF($A891&lt;COUNTIFS($K$1:M$1,"&lt;&gt;"),0,SUMIFS($J:$J,$B:$B,$B891,$A:$A,"&gt;="&amp;COUNTIFS($K$1:M$1,"&lt;&gt;"))),0)</f>
        <v>9.7222222222222238E-2</v>
      </c>
      <c r="N891">
        <f>IFERROR($J891/IF($A891&lt;COUNTIFS($K$1:N$1,"&lt;&gt;"),0,SUMIFS($J:$J,$B:$B,$B891,$A:$A,"&gt;="&amp;COUNTIFS($K$1:N$1,"&lt;&gt;"))),0)</f>
        <v>0.10894941634241248</v>
      </c>
      <c r="O891">
        <f>IFERROR($J891/IF($A891&lt;COUNTIFS($K$1:O$1,"&lt;&gt;"),0,SUMIFS($J:$J,$B:$B,$B891,$A:$A,"&gt;="&amp;COUNTIFS($K$1:O$1,"&lt;&gt;"))),0)</f>
        <v>0.12389380530973454</v>
      </c>
      <c r="P891">
        <f>IFERROR($J891/IF($A891&lt;COUNTIFS($K$1:P$1,"&lt;&gt;"),0,SUMIFS($J:$J,$B:$B,$B891,$A:$A,"&gt;="&amp;COUNTIFS($K$1:P$1,"&lt;&gt;"))),0)</f>
        <v>0</v>
      </c>
      <c r="Q891">
        <f>IFERROR($J891/IF($A891&lt;COUNTIFS($K$1:Q$1,"&lt;&gt;"),0,SUMIFS($J:$J,$B:$B,$B891,$A:$A,"&gt;="&amp;COUNTIFS($K$1:Q$1,"&lt;&gt;"))),0)</f>
        <v>0</v>
      </c>
      <c r="R891">
        <f>IFERROR($J891/IF($A891&lt;COUNTIFS($K$1:R$1,"&lt;&gt;"),0,SUMIFS($J:$J,$B:$B,$B891,$A:$A,"&gt;="&amp;COUNTIFS($K$1:R$1,"&lt;&gt;"))),0)</f>
        <v>0</v>
      </c>
      <c r="S891">
        <f>IFERROR($J891/IF($A891&lt;COUNTIFS($K$1:S$1,"&lt;&gt;"),0,SUMIFS($J:$J,$B:$B,$B891,$A:$A,"&gt;="&amp;COUNTIFS($K$1:S$1,"&lt;&gt;"))),0)</f>
        <v>0</v>
      </c>
      <c r="T891">
        <f>IFERROR($J891/IF($A891&lt;COUNTIFS($K$1:T$1,"&lt;&gt;"),0,SUMIFS($J:$J,$B:$B,$B891,$A:$A,"&gt;="&amp;COUNTIFS($K$1:T$1,"&lt;&gt;"))),0)</f>
        <v>0</v>
      </c>
      <c r="U891">
        <f>IFERROR($J891/IF($A891&lt;COUNTIFS($K$1:U$1,"&lt;&gt;"),0,SUMIFS($J:$J,$B:$B,$B891,$A:$A,"&gt;="&amp;COUNTIFS($K$1:U$1,"&lt;&gt;"))),0)</f>
        <v>0</v>
      </c>
      <c r="V891">
        <f>IFERROR($J891/IF($A891&lt;COUNTIFS($K$1:V$1,"&lt;&gt;"),0,SUMIFS($J:$J,$B:$B,$B891,$A:$A,"&gt;="&amp;COUNTIFS($K$1:V$1,"&lt;&gt;"))),0)</f>
        <v>0</v>
      </c>
      <c r="W891">
        <f t="shared" si="310"/>
        <v>7.6712328767123292E-2</v>
      </c>
      <c r="X891">
        <f t="shared" si="290"/>
        <v>7.6712328767123292E-2</v>
      </c>
      <c r="Y891">
        <f t="shared" si="291"/>
        <v>7.6712328767123292E-2</v>
      </c>
      <c r="Z891">
        <f t="shared" si="292"/>
        <v>7.6712328767123292E-2</v>
      </c>
      <c r="AA891">
        <f t="shared" si="293"/>
        <v>7.6712328767123292E-2</v>
      </c>
      <c r="AB891">
        <f t="shared" si="294"/>
        <v>7.6712328767123292E-2</v>
      </c>
      <c r="AC891">
        <f t="shared" si="295"/>
        <v>0</v>
      </c>
      <c r="AD891">
        <f t="shared" si="296"/>
        <v>0</v>
      </c>
      <c r="AE891">
        <f t="shared" si="297"/>
        <v>0</v>
      </c>
      <c r="AF891">
        <f t="shared" si="298"/>
        <v>0</v>
      </c>
      <c r="AG891">
        <f t="shared" si="299"/>
        <v>0</v>
      </c>
      <c r="AH891">
        <f t="shared" si="300"/>
        <v>0</v>
      </c>
      <c r="AI891">
        <f t="shared" si="301"/>
        <v>0</v>
      </c>
      <c r="AJ891" s="2" t="str">
        <f t="shared" si="311"/>
        <v>545901</v>
      </c>
    </row>
    <row r="892" spans="1:36" x14ac:dyDescent="0.25">
      <c r="A892">
        <v>6</v>
      </c>
      <c r="B892" s="1">
        <v>45901</v>
      </c>
      <c r="C892" s="1">
        <f t="shared" si="302"/>
        <v>46082</v>
      </c>
      <c r="D892" s="1">
        <f t="shared" si="303"/>
        <v>45915</v>
      </c>
      <c r="E892" s="1">
        <f t="shared" si="304"/>
        <v>46082</v>
      </c>
      <c r="F892" s="1">
        <f t="shared" si="305"/>
        <v>46113</v>
      </c>
      <c r="G892" s="1">
        <f t="shared" si="306"/>
        <v>46280</v>
      </c>
      <c r="H892">
        <f t="shared" si="307"/>
        <v>365</v>
      </c>
      <c r="I892">
        <f t="shared" si="308"/>
        <v>31</v>
      </c>
      <c r="J892">
        <f t="shared" si="309"/>
        <v>8.4931506849315067E-2</v>
      </c>
      <c r="K892">
        <f>IFERROR($J892/IF($A892&lt;COUNTIFS($K$1:K$1,"&lt;&gt;"),0,SUMIFS($J:$J,$B:$B,$B892,$A:$A,"&gt;="&amp;COUNTIFS($K$1:K$1,"&lt;&gt;"))),0)</f>
        <v>8.8825214899713484E-2</v>
      </c>
      <c r="L892">
        <f>IFERROR($J892/IF($A892&lt;COUNTIFS($K$1:L$1,"&lt;&gt;"),0,SUMIFS($J:$J,$B:$B,$B892,$A:$A,"&gt;="&amp;COUNTIFS($K$1:L$1,"&lt;&gt;"))),0)</f>
        <v>9.7484276729559768E-2</v>
      </c>
      <c r="M892">
        <f>IFERROR($J892/IF($A892&lt;COUNTIFS($K$1:M$1,"&lt;&gt;"),0,SUMIFS($J:$J,$B:$B,$B892,$A:$A,"&gt;="&amp;COUNTIFS($K$1:M$1,"&lt;&gt;"))),0)</f>
        <v>0.10763888888888891</v>
      </c>
      <c r="N892">
        <f>IFERROR($J892/IF($A892&lt;COUNTIFS($K$1:N$1,"&lt;&gt;"),0,SUMIFS($J:$J,$B:$B,$B892,$A:$A,"&gt;="&amp;COUNTIFS($K$1:N$1,"&lt;&gt;"))),0)</f>
        <v>0.12062256809338523</v>
      </c>
      <c r="O892">
        <f>IFERROR($J892/IF($A892&lt;COUNTIFS($K$1:O$1,"&lt;&gt;"),0,SUMIFS($J:$J,$B:$B,$B892,$A:$A,"&gt;="&amp;COUNTIFS($K$1:O$1,"&lt;&gt;"))),0)</f>
        <v>0.13716814159292037</v>
      </c>
      <c r="P892">
        <f>IFERROR($J892/IF($A892&lt;COUNTIFS($K$1:P$1,"&lt;&gt;"),0,SUMIFS($J:$J,$B:$B,$B892,$A:$A,"&gt;="&amp;COUNTIFS($K$1:P$1,"&lt;&gt;"))),0)</f>
        <v>0.1565656565656566</v>
      </c>
      <c r="Q892">
        <f>IFERROR($J892/IF($A892&lt;COUNTIFS($K$1:Q$1,"&lt;&gt;"),0,SUMIFS($J:$J,$B:$B,$B892,$A:$A,"&gt;="&amp;COUNTIFS($K$1:Q$1,"&lt;&gt;"))),0)</f>
        <v>0</v>
      </c>
      <c r="R892">
        <f>IFERROR($J892/IF($A892&lt;COUNTIFS($K$1:R$1,"&lt;&gt;"),0,SUMIFS($J:$J,$B:$B,$B892,$A:$A,"&gt;="&amp;COUNTIFS($K$1:R$1,"&lt;&gt;"))),0)</f>
        <v>0</v>
      </c>
      <c r="S892">
        <f>IFERROR($J892/IF($A892&lt;COUNTIFS($K$1:S$1,"&lt;&gt;"),0,SUMIFS($J:$J,$B:$B,$B892,$A:$A,"&gt;="&amp;COUNTIFS($K$1:S$1,"&lt;&gt;"))),0)</f>
        <v>0</v>
      </c>
      <c r="T892">
        <f>IFERROR($J892/IF($A892&lt;COUNTIFS($K$1:T$1,"&lt;&gt;"),0,SUMIFS($J:$J,$B:$B,$B892,$A:$A,"&gt;="&amp;COUNTIFS($K$1:T$1,"&lt;&gt;"))),0)</f>
        <v>0</v>
      </c>
      <c r="U892">
        <f>IFERROR($J892/IF($A892&lt;COUNTIFS($K$1:U$1,"&lt;&gt;"),0,SUMIFS($J:$J,$B:$B,$B892,$A:$A,"&gt;="&amp;COUNTIFS($K$1:U$1,"&lt;&gt;"))),0)</f>
        <v>0</v>
      </c>
      <c r="V892">
        <f>IFERROR($J892/IF($A892&lt;COUNTIFS($K$1:V$1,"&lt;&gt;"),0,SUMIFS($J:$J,$B:$B,$B892,$A:$A,"&gt;="&amp;COUNTIFS($K$1:V$1,"&lt;&gt;"))),0)</f>
        <v>0</v>
      </c>
      <c r="W892">
        <f t="shared" si="310"/>
        <v>8.4931506849315067E-2</v>
      </c>
      <c r="X892">
        <f t="shared" si="290"/>
        <v>8.4931506849315067E-2</v>
      </c>
      <c r="Y892">
        <f t="shared" si="291"/>
        <v>8.4931506849315067E-2</v>
      </c>
      <c r="Z892">
        <f t="shared" si="292"/>
        <v>8.4931506849315067E-2</v>
      </c>
      <c r="AA892">
        <f t="shared" si="293"/>
        <v>8.4931506849315067E-2</v>
      </c>
      <c r="AB892">
        <f t="shared" si="294"/>
        <v>8.4931506849315067E-2</v>
      </c>
      <c r="AC892">
        <f t="shared" si="295"/>
        <v>8.4931506849315067E-2</v>
      </c>
      <c r="AD892">
        <f t="shared" si="296"/>
        <v>0</v>
      </c>
      <c r="AE892">
        <f t="shared" si="297"/>
        <v>0</v>
      </c>
      <c r="AF892">
        <f t="shared" si="298"/>
        <v>0</v>
      </c>
      <c r="AG892">
        <f t="shared" si="299"/>
        <v>0</v>
      </c>
      <c r="AH892">
        <f t="shared" si="300"/>
        <v>0</v>
      </c>
      <c r="AI892">
        <f t="shared" si="301"/>
        <v>0</v>
      </c>
      <c r="AJ892" s="2" t="str">
        <f t="shared" si="311"/>
        <v>645901</v>
      </c>
    </row>
    <row r="893" spans="1:36" x14ac:dyDescent="0.25">
      <c r="A893">
        <v>7</v>
      </c>
      <c r="B893" s="1">
        <v>45901</v>
      </c>
      <c r="C893" s="1">
        <f t="shared" si="302"/>
        <v>46113</v>
      </c>
      <c r="D893" s="1">
        <f t="shared" si="303"/>
        <v>45915</v>
      </c>
      <c r="E893" s="1">
        <f t="shared" si="304"/>
        <v>46113</v>
      </c>
      <c r="F893" s="1">
        <f t="shared" si="305"/>
        <v>46143</v>
      </c>
      <c r="G893" s="1">
        <f t="shared" si="306"/>
        <v>46280</v>
      </c>
      <c r="H893">
        <f t="shared" si="307"/>
        <v>365</v>
      </c>
      <c r="I893">
        <f t="shared" si="308"/>
        <v>30</v>
      </c>
      <c r="J893">
        <f t="shared" si="309"/>
        <v>8.2191780821917804E-2</v>
      </c>
      <c r="K893">
        <f>IFERROR($J893/IF($A893&lt;COUNTIFS($K$1:K$1,"&lt;&gt;"),0,SUMIFS($J:$J,$B:$B,$B893,$A:$A,"&gt;="&amp;COUNTIFS($K$1:K$1,"&lt;&gt;"))),0)</f>
        <v>8.5959885386819493E-2</v>
      </c>
      <c r="L893">
        <f>IFERROR($J893/IF($A893&lt;COUNTIFS($K$1:L$1,"&lt;&gt;"),0,SUMIFS($J:$J,$B:$B,$B893,$A:$A,"&gt;="&amp;COUNTIFS($K$1:L$1,"&lt;&gt;"))),0)</f>
        <v>9.4339622641509441E-2</v>
      </c>
      <c r="M893">
        <f>IFERROR($J893/IF($A893&lt;COUNTIFS($K$1:M$1,"&lt;&gt;"),0,SUMIFS($J:$J,$B:$B,$B893,$A:$A,"&gt;="&amp;COUNTIFS($K$1:M$1,"&lt;&gt;"))),0)</f>
        <v>0.10416666666666669</v>
      </c>
      <c r="N893">
        <f>IFERROR($J893/IF($A893&lt;COUNTIFS($K$1:N$1,"&lt;&gt;"),0,SUMIFS($J:$J,$B:$B,$B893,$A:$A,"&gt;="&amp;COUNTIFS($K$1:N$1,"&lt;&gt;"))),0)</f>
        <v>0.11673151750972764</v>
      </c>
      <c r="O893">
        <f>IFERROR($J893/IF($A893&lt;COUNTIFS($K$1:O$1,"&lt;&gt;"),0,SUMIFS($J:$J,$B:$B,$B893,$A:$A,"&gt;="&amp;COUNTIFS($K$1:O$1,"&lt;&gt;"))),0)</f>
        <v>0.13274336283185842</v>
      </c>
      <c r="P893">
        <f>IFERROR($J893/IF($A893&lt;COUNTIFS($K$1:P$1,"&lt;&gt;"),0,SUMIFS($J:$J,$B:$B,$B893,$A:$A,"&gt;="&amp;COUNTIFS($K$1:P$1,"&lt;&gt;"))),0)</f>
        <v>0.15151515151515155</v>
      </c>
      <c r="Q893">
        <f>IFERROR($J893/IF($A893&lt;COUNTIFS($K$1:Q$1,"&lt;&gt;"),0,SUMIFS($J:$J,$B:$B,$B893,$A:$A,"&gt;="&amp;COUNTIFS($K$1:Q$1,"&lt;&gt;"))),0)</f>
        <v>0.17964071856287425</v>
      </c>
      <c r="R893">
        <f>IFERROR($J893/IF($A893&lt;COUNTIFS($K$1:R$1,"&lt;&gt;"),0,SUMIFS($J:$J,$B:$B,$B893,$A:$A,"&gt;="&amp;COUNTIFS($K$1:R$1,"&lt;&gt;"))),0)</f>
        <v>0</v>
      </c>
      <c r="S893">
        <f>IFERROR($J893/IF($A893&lt;COUNTIFS($K$1:S$1,"&lt;&gt;"),0,SUMIFS($J:$J,$B:$B,$B893,$A:$A,"&gt;="&amp;COUNTIFS($K$1:S$1,"&lt;&gt;"))),0)</f>
        <v>0</v>
      </c>
      <c r="T893">
        <f>IFERROR($J893/IF($A893&lt;COUNTIFS($K$1:T$1,"&lt;&gt;"),0,SUMIFS($J:$J,$B:$B,$B893,$A:$A,"&gt;="&amp;COUNTIFS($K$1:T$1,"&lt;&gt;"))),0)</f>
        <v>0</v>
      </c>
      <c r="U893">
        <f>IFERROR($J893/IF($A893&lt;COUNTIFS($K$1:U$1,"&lt;&gt;"),0,SUMIFS($J:$J,$B:$B,$B893,$A:$A,"&gt;="&amp;COUNTIFS($K$1:U$1,"&lt;&gt;"))),0)</f>
        <v>0</v>
      </c>
      <c r="V893">
        <f>IFERROR($J893/IF($A893&lt;COUNTIFS($K$1:V$1,"&lt;&gt;"),0,SUMIFS($J:$J,$B:$B,$B893,$A:$A,"&gt;="&amp;COUNTIFS($K$1:V$1,"&lt;&gt;"))),0)</f>
        <v>0</v>
      </c>
      <c r="W893">
        <f t="shared" si="310"/>
        <v>8.2191780821917804E-2</v>
      </c>
      <c r="X893">
        <f t="shared" si="290"/>
        <v>8.2191780821917804E-2</v>
      </c>
      <c r="Y893">
        <f t="shared" si="291"/>
        <v>8.2191780821917804E-2</v>
      </c>
      <c r="Z893">
        <f t="shared" si="292"/>
        <v>8.2191780821917804E-2</v>
      </c>
      <c r="AA893">
        <f t="shared" si="293"/>
        <v>8.2191780821917804E-2</v>
      </c>
      <c r="AB893">
        <f t="shared" si="294"/>
        <v>8.2191780821917804E-2</v>
      </c>
      <c r="AC893">
        <f t="shared" si="295"/>
        <v>8.2191780821917804E-2</v>
      </c>
      <c r="AD893">
        <f t="shared" si="296"/>
        <v>8.2191780821917804E-2</v>
      </c>
      <c r="AE893">
        <f t="shared" si="297"/>
        <v>0</v>
      </c>
      <c r="AF893">
        <f t="shared" si="298"/>
        <v>0</v>
      </c>
      <c r="AG893">
        <f t="shared" si="299"/>
        <v>0</v>
      </c>
      <c r="AH893">
        <f t="shared" si="300"/>
        <v>0</v>
      </c>
      <c r="AI893">
        <f t="shared" si="301"/>
        <v>0</v>
      </c>
      <c r="AJ893" s="2" t="str">
        <f t="shared" si="311"/>
        <v>745901</v>
      </c>
    </row>
    <row r="894" spans="1:36" x14ac:dyDescent="0.25">
      <c r="A894">
        <v>8</v>
      </c>
      <c r="B894" s="1">
        <v>45901</v>
      </c>
      <c r="C894" s="1">
        <f t="shared" si="302"/>
        <v>46143</v>
      </c>
      <c r="D894" s="1">
        <f t="shared" si="303"/>
        <v>45915</v>
      </c>
      <c r="E894" s="1">
        <f t="shared" si="304"/>
        <v>46143</v>
      </c>
      <c r="F894" s="1">
        <f t="shared" si="305"/>
        <v>46174</v>
      </c>
      <c r="G894" s="1">
        <f t="shared" si="306"/>
        <v>46280</v>
      </c>
      <c r="H894">
        <f t="shared" si="307"/>
        <v>365</v>
      </c>
      <c r="I894">
        <f t="shared" si="308"/>
        <v>31</v>
      </c>
      <c r="J894">
        <f t="shared" si="309"/>
        <v>8.4931506849315067E-2</v>
      </c>
      <c r="K894">
        <f>IFERROR($J894/IF($A894&lt;COUNTIFS($K$1:K$1,"&lt;&gt;"),0,SUMIFS($J:$J,$B:$B,$B894,$A:$A,"&gt;="&amp;COUNTIFS($K$1:K$1,"&lt;&gt;"))),0)</f>
        <v>8.8825214899713484E-2</v>
      </c>
      <c r="L894">
        <f>IFERROR($J894/IF($A894&lt;COUNTIFS($K$1:L$1,"&lt;&gt;"),0,SUMIFS($J:$J,$B:$B,$B894,$A:$A,"&gt;="&amp;COUNTIFS($K$1:L$1,"&lt;&gt;"))),0)</f>
        <v>9.7484276729559768E-2</v>
      </c>
      <c r="M894">
        <f>IFERROR($J894/IF($A894&lt;COUNTIFS($K$1:M$1,"&lt;&gt;"),0,SUMIFS($J:$J,$B:$B,$B894,$A:$A,"&gt;="&amp;COUNTIFS($K$1:M$1,"&lt;&gt;"))),0)</f>
        <v>0.10763888888888891</v>
      </c>
      <c r="N894">
        <f>IFERROR($J894/IF($A894&lt;COUNTIFS($K$1:N$1,"&lt;&gt;"),0,SUMIFS($J:$J,$B:$B,$B894,$A:$A,"&gt;="&amp;COUNTIFS($K$1:N$1,"&lt;&gt;"))),0)</f>
        <v>0.12062256809338523</v>
      </c>
      <c r="O894">
        <f>IFERROR($J894/IF($A894&lt;COUNTIFS($K$1:O$1,"&lt;&gt;"),0,SUMIFS($J:$J,$B:$B,$B894,$A:$A,"&gt;="&amp;COUNTIFS($K$1:O$1,"&lt;&gt;"))),0)</f>
        <v>0.13716814159292037</v>
      </c>
      <c r="P894">
        <f>IFERROR($J894/IF($A894&lt;COUNTIFS($K$1:P$1,"&lt;&gt;"),0,SUMIFS($J:$J,$B:$B,$B894,$A:$A,"&gt;="&amp;COUNTIFS($K$1:P$1,"&lt;&gt;"))),0)</f>
        <v>0.1565656565656566</v>
      </c>
      <c r="Q894">
        <f>IFERROR($J894/IF($A894&lt;COUNTIFS($K$1:Q$1,"&lt;&gt;"),0,SUMIFS($J:$J,$B:$B,$B894,$A:$A,"&gt;="&amp;COUNTIFS($K$1:Q$1,"&lt;&gt;"))),0)</f>
        <v>0.18562874251497008</v>
      </c>
      <c r="R894">
        <f>IFERROR($J894/IF($A894&lt;COUNTIFS($K$1:R$1,"&lt;&gt;"),0,SUMIFS($J:$J,$B:$B,$B894,$A:$A,"&gt;="&amp;COUNTIFS($K$1:R$1,"&lt;&gt;"))),0)</f>
        <v>0.22627737226277375</v>
      </c>
      <c r="S894">
        <f>IFERROR($J894/IF($A894&lt;COUNTIFS($K$1:S$1,"&lt;&gt;"),0,SUMIFS($J:$J,$B:$B,$B894,$A:$A,"&gt;="&amp;COUNTIFS($K$1:S$1,"&lt;&gt;"))),0)</f>
        <v>0</v>
      </c>
      <c r="T894">
        <f>IFERROR($J894/IF($A894&lt;COUNTIFS($K$1:T$1,"&lt;&gt;"),0,SUMIFS($J:$J,$B:$B,$B894,$A:$A,"&gt;="&amp;COUNTIFS($K$1:T$1,"&lt;&gt;"))),0)</f>
        <v>0</v>
      </c>
      <c r="U894">
        <f>IFERROR($J894/IF($A894&lt;COUNTIFS($K$1:U$1,"&lt;&gt;"),0,SUMIFS($J:$J,$B:$B,$B894,$A:$A,"&gt;="&amp;COUNTIFS($K$1:U$1,"&lt;&gt;"))),0)</f>
        <v>0</v>
      </c>
      <c r="V894">
        <f>IFERROR($J894/IF($A894&lt;COUNTIFS($K$1:V$1,"&lt;&gt;"),0,SUMIFS($J:$J,$B:$B,$B894,$A:$A,"&gt;="&amp;COUNTIFS($K$1:V$1,"&lt;&gt;"))),0)</f>
        <v>0</v>
      </c>
      <c r="W894">
        <f t="shared" si="310"/>
        <v>8.4931506849315067E-2</v>
      </c>
      <c r="X894">
        <f t="shared" si="290"/>
        <v>8.4931506849315067E-2</v>
      </c>
      <c r="Y894">
        <f t="shared" si="291"/>
        <v>8.4931506849315067E-2</v>
      </c>
      <c r="Z894">
        <f t="shared" si="292"/>
        <v>8.4931506849315067E-2</v>
      </c>
      <c r="AA894">
        <f t="shared" si="293"/>
        <v>8.4931506849315067E-2</v>
      </c>
      <c r="AB894">
        <f t="shared" si="294"/>
        <v>8.4931506849315067E-2</v>
      </c>
      <c r="AC894">
        <f t="shared" si="295"/>
        <v>8.4931506849315067E-2</v>
      </c>
      <c r="AD894">
        <f t="shared" si="296"/>
        <v>8.4931506849315067E-2</v>
      </c>
      <c r="AE894">
        <f t="shared" si="297"/>
        <v>8.4931506849315067E-2</v>
      </c>
      <c r="AF894">
        <f t="shared" si="298"/>
        <v>0</v>
      </c>
      <c r="AG894">
        <f t="shared" si="299"/>
        <v>0</v>
      </c>
      <c r="AH894">
        <f t="shared" si="300"/>
        <v>0</v>
      </c>
      <c r="AI894">
        <f t="shared" si="301"/>
        <v>0</v>
      </c>
      <c r="AJ894" s="2" t="str">
        <f t="shared" si="311"/>
        <v>845901</v>
      </c>
    </row>
    <row r="895" spans="1:36" x14ac:dyDescent="0.25">
      <c r="A895">
        <v>9</v>
      </c>
      <c r="B895" s="1">
        <v>45901</v>
      </c>
      <c r="C895" s="1">
        <f t="shared" si="302"/>
        <v>46174</v>
      </c>
      <c r="D895" s="1">
        <f t="shared" si="303"/>
        <v>45915</v>
      </c>
      <c r="E895" s="1">
        <f t="shared" si="304"/>
        <v>46174</v>
      </c>
      <c r="F895" s="1">
        <f t="shared" si="305"/>
        <v>46204</v>
      </c>
      <c r="G895" s="1">
        <f t="shared" si="306"/>
        <v>46280</v>
      </c>
      <c r="H895">
        <f t="shared" si="307"/>
        <v>365</v>
      </c>
      <c r="I895">
        <f t="shared" si="308"/>
        <v>30</v>
      </c>
      <c r="J895">
        <f t="shared" si="309"/>
        <v>8.2191780821917804E-2</v>
      </c>
      <c r="K895">
        <f>IFERROR($J895/IF($A895&lt;COUNTIFS($K$1:K$1,"&lt;&gt;"),0,SUMIFS($J:$J,$B:$B,$B895,$A:$A,"&gt;="&amp;COUNTIFS($K$1:K$1,"&lt;&gt;"))),0)</f>
        <v>8.5959885386819493E-2</v>
      </c>
      <c r="L895">
        <f>IFERROR($J895/IF($A895&lt;COUNTIFS($K$1:L$1,"&lt;&gt;"),0,SUMIFS($J:$J,$B:$B,$B895,$A:$A,"&gt;="&amp;COUNTIFS($K$1:L$1,"&lt;&gt;"))),0)</f>
        <v>9.4339622641509441E-2</v>
      </c>
      <c r="M895">
        <f>IFERROR($J895/IF($A895&lt;COUNTIFS($K$1:M$1,"&lt;&gt;"),0,SUMIFS($J:$J,$B:$B,$B895,$A:$A,"&gt;="&amp;COUNTIFS($K$1:M$1,"&lt;&gt;"))),0)</f>
        <v>0.10416666666666669</v>
      </c>
      <c r="N895">
        <f>IFERROR($J895/IF($A895&lt;COUNTIFS($K$1:N$1,"&lt;&gt;"),0,SUMIFS($J:$J,$B:$B,$B895,$A:$A,"&gt;="&amp;COUNTIFS($K$1:N$1,"&lt;&gt;"))),0)</f>
        <v>0.11673151750972764</v>
      </c>
      <c r="O895">
        <f>IFERROR($J895/IF($A895&lt;COUNTIFS($K$1:O$1,"&lt;&gt;"),0,SUMIFS($J:$J,$B:$B,$B895,$A:$A,"&gt;="&amp;COUNTIFS($K$1:O$1,"&lt;&gt;"))),0)</f>
        <v>0.13274336283185842</v>
      </c>
      <c r="P895">
        <f>IFERROR($J895/IF($A895&lt;COUNTIFS($K$1:P$1,"&lt;&gt;"),0,SUMIFS($J:$J,$B:$B,$B895,$A:$A,"&gt;="&amp;COUNTIFS($K$1:P$1,"&lt;&gt;"))),0)</f>
        <v>0.15151515151515155</v>
      </c>
      <c r="Q895">
        <f>IFERROR($J895/IF($A895&lt;COUNTIFS($K$1:Q$1,"&lt;&gt;"),0,SUMIFS($J:$J,$B:$B,$B895,$A:$A,"&gt;="&amp;COUNTIFS($K$1:Q$1,"&lt;&gt;"))),0)</f>
        <v>0.17964071856287425</v>
      </c>
      <c r="R895">
        <f>IFERROR($J895/IF($A895&lt;COUNTIFS($K$1:R$1,"&lt;&gt;"),0,SUMIFS($J:$J,$B:$B,$B895,$A:$A,"&gt;="&amp;COUNTIFS($K$1:R$1,"&lt;&gt;"))),0)</f>
        <v>0.21897810218978103</v>
      </c>
      <c r="S895">
        <f>IFERROR($J895/IF($A895&lt;COUNTIFS($K$1:S$1,"&lt;&gt;"),0,SUMIFS($J:$J,$B:$B,$B895,$A:$A,"&gt;="&amp;COUNTIFS($K$1:S$1,"&lt;&gt;"))),0)</f>
        <v>0.28301886792452829</v>
      </c>
      <c r="T895">
        <f>IFERROR($J895/IF($A895&lt;COUNTIFS($K$1:T$1,"&lt;&gt;"),0,SUMIFS($J:$J,$B:$B,$B895,$A:$A,"&gt;="&amp;COUNTIFS($K$1:T$1,"&lt;&gt;"))),0)</f>
        <v>0</v>
      </c>
      <c r="U895">
        <f>IFERROR($J895/IF($A895&lt;COUNTIFS($K$1:U$1,"&lt;&gt;"),0,SUMIFS($J:$J,$B:$B,$B895,$A:$A,"&gt;="&amp;COUNTIFS($K$1:U$1,"&lt;&gt;"))),0)</f>
        <v>0</v>
      </c>
      <c r="V895">
        <f>IFERROR($J895/IF($A895&lt;COUNTIFS($K$1:V$1,"&lt;&gt;"),0,SUMIFS($J:$J,$B:$B,$B895,$A:$A,"&gt;="&amp;COUNTIFS($K$1:V$1,"&lt;&gt;"))),0)</f>
        <v>0</v>
      </c>
      <c r="W895">
        <f t="shared" si="310"/>
        <v>8.2191780821917804E-2</v>
      </c>
      <c r="X895">
        <f t="shared" si="290"/>
        <v>8.2191780821917804E-2</v>
      </c>
      <c r="Y895">
        <f t="shared" si="291"/>
        <v>8.2191780821917804E-2</v>
      </c>
      <c r="Z895">
        <f t="shared" si="292"/>
        <v>8.2191780821917804E-2</v>
      </c>
      <c r="AA895">
        <f t="shared" si="293"/>
        <v>8.2191780821917804E-2</v>
      </c>
      <c r="AB895">
        <f t="shared" si="294"/>
        <v>8.2191780821917804E-2</v>
      </c>
      <c r="AC895">
        <f t="shared" si="295"/>
        <v>8.2191780821917804E-2</v>
      </c>
      <c r="AD895">
        <f t="shared" si="296"/>
        <v>8.2191780821917804E-2</v>
      </c>
      <c r="AE895">
        <f t="shared" si="297"/>
        <v>8.2191780821917804E-2</v>
      </c>
      <c r="AF895">
        <f t="shared" si="298"/>
        <v>8.2191780821917804E-2</v>
      </c>
      <c r="AG895">
        <f t="shared" si="299"/>
        <v>0</v>
      </c>
      <c r="AH895">
        <f t="shared" si="300"/>
        <v>0</v>
      </c>
      <c r="AI895">
        <f t="shared" si="301"/>
        <v>0</v>
      </c>
      <c r="AJ895" s="2" t="str">
        <f t="shared" si="311"/>
        <v>945901</v>
      </c>
    </row>
    <row r="896" spans="1:36" x14ac:dyDescent="0.25">
      <c r="A896">
        <v>10</v>
      </c>
      <c r="B896" s="1">
        <v>45901</v>
      </c>
      <c r="C896" s="1">
        <f t="shared" si="302"/>
        <v>46204</v>
      </c>
      <c r="D896" s="1">
        <f t="shared" si="303"/>
        <v>45915</v>
      </c>
      <c r="E896" s="1">
        <f t="shared" si="304"/>
        <v>46204</v>
      </c>
      <c r="F896" s="1">
        <f t="shared" si="305"/>
        <v>46235</v>
      </c>
      <c r="G896" s="1">
        <f t="shared" si="306"/>
        <v>46280</v>
      </c>
      <c r="H896">
        <f t="shared" si="307"/>
        <v>365</v>
      </c>
      <c r="I896">
        <f t="shared" si="308"/>
        <v>31</v>
      </c>
      <c r="J896">
        <f t="shared" si="309"/>
        <v>8.4931506849315067E-2</v>
      </c>
      <c r="K896">
        <f>IFERROR($J896/IF($A896&lt;COUNTIFS($K$1:K$1,"&lt;&gt;"),0,SUMIFS($J:$J,$B:$B,$B896,$A:$A,"&gt;="&amp;COUNTIFS($K$1:K$1,"&lt;&gt;"))),0)</f>
        <v>8.8825214899713484E-2</v>
      </c>
      <c r="L896">
        <f>IFERROR($J896/IF($A896&lt;COUNTIFS($K$1:L$1,"&lt;&gt;"),0,SUMIFS($J:$J,$B:$B,$B896,$A:$A,"&gt;="&amp;COUNTIFS($K$1:L$1,"&lt;&gt;"))),0)</f>
        <v>9.7484276729559768E-2</v>
      </c>
      <c r="M896">
        <f>IFERROR($J896/IF($A896&lt;COUNTIFS($K$1:M$1,"&lt;&gt;"),0,SUMIFS($J:$J,$B:$B,$B896,$A:$A,"&gt;="&amp;COUNTIFS($K$1:M$1,"&lt;&gt;"))),0)</f>
        <v>0.10763888888888891</v>
      </c>
      <c r="N896">
        <f>IFERROR($J896/IF($A896&lt;COUNTIFS($K$1:N$1,"&lt;&gt;"),0,SUMIFS($J:$J,$B:$B,$B896,$A:$A,"&gt;="&amp;COUNTIFS($K$1:N$1,"&lt;&gt;"))),0)</f>
        <v>0.12062256809338523</v>
      </c>
      <c r="O896">
        <f>IFERROR($J896/IF($A896&lt;COUNTIFS($K$1:O$1,"&lt;&gt;"),0,SUMIFS($J:$J,$B:$B,$B896,$A:$A,"&gt;="&amp;COUNTIFS($K$1:O$1,"&lt;&gt;"))),0)</f>
        <v>0.13716814159292037</v>
      </c>
      <c r="P896">
        <f>IFERROR($J896/IF($A896&lt;COUNTIFS($K$1:P$1,"&lt;&gt;"),0,SUMIFS($J:$J,$B:$B,$B896,$A:$A,"&gt;="&amp;COUNTIFS($K$1:P$1,"&lt;&gt;"))),0)</f>
        <v>0.1565656565656566</v>
      </c>
      <c r="Q896">
        <f>IFERROR($J896/IF($A896&lt;COUNTIFS($K$1:Q$1,"&lt;&gt;"),0,SUMIFS($J:$J,$B:$B,$B896,$A:$A,"&gt;="&amp;COUNTIFS($K$1:Q$1,"&lt;&gt;"))),0)</f>
        <v>0.18562874251497008</v>
      </c>
      <c r="R896">
        <f>IFERROR($J896/IF($A896&lt;COUNTIFS($K$1:R$1,"&lt;&gt;"),0,SUMIFS($J:$J,$B:$B,$B896,$A:$A,"&gt;="&amp;COUNTIFS($K$1:R$1,"&lt;&gt;"))),0)</f>
        <v>0.22627737226277375</v>
      </c>
      <c r="S896">
        <f>IFERROR($J896/IF($A896&lt;COUNTIFS($K$1:S$1,"&lt;&gt;"),0,SUMIFS($J:$J,$B:$B,$B896,$A:$A,"&gt;="&amp;COUNTIFS($K$1:S$1,"&lt;&gt;"))),0)</f>
        <v>0.29245283018867929</v>
      </c>
      <c r="T896">
        <f>IFERROR($J896/IF($A896&lt;COUNTIFS($K$1:T$1,"&lt;&gt;"),0,SUMIFS($J:$J,$B:$B,$B896,$A:$A,"&gt;="&amp;COUNTIFS($K$1:T$1,"&lt;&gt;"))),0)</f>
        <v>0.40789473684210525</v>
      </c>
      <c r="U896">
        <f>IFERROR($J896/IF($A896&lt;COUNTIFS($K$1:U$1,"&lt;&gt;"),0,SUMIFS($J:$J,$B:$B,$B896,$A:$A,"&gt;="&amp;COUNTIFS($K$1:U$1,"&lt;&gt;"))),0)</f>
        <v>0</v>
      </c>
      <c r="V896">
        <f>IFERROR($J896/IF($A896&lt;COUNTIFS($K$1:V$1,"&lt;&gt;"),0,SUMIFS($J:$J,$B:$B,$B896,$A:$A,"&gt;="&amp;COUNTIFS($K$1:V$1,"&lt;&gt;"))),0)</f>
        <v>0</v>
      </c>
      <c r="W896">
        <f t="shared" si="310"/>
        <v>8.4931506849315067E-2</v>
      </c>
      <c r="X896">
        <f t="shared" si="290"/>
        <v>8.4931506849315067E-2</v>
      </c>
      <c r="Y896">
        <f t="shared" si="291"/>
        <v>8.4931506849315067E-2</v>
      </c>
      <c r="Z896">
        <f t="shared" si="292"/>
        <v>8.4931506849315067E-2</v>
      </c>
      <c r="AA896">
        <f t="shared" si="293"/>
        <v>8.4931506849315067E-2</v>
      </c>
      <c r="AB896">
        <f t="shared" si="294"/>
        <v>8.4931506849315067E-2</v>
      </c>
      <c r="AC896">
        <f t="shared" si="295"/>
        <v>8.4931506849315067E-2</v>
      </c>
      <c r="AD896">
        <f t="shared" si="296"/>
        <v>8.4931506849315067E-2</v>
      </c>
      <c r="AE896">
        <f t="shared" si="297"/>
        <v>8.4931506849315067E-2</v>
      </c>
      <c r="AF896">
        <f t="shared" si="298"/>
        <v>8.4931506849315067E-2</v>
      </c>
      <c r="AG896">
        <f t="shared" si="299"/>
        <v>8.4931506849315067E-2</v>
      </c>
      <c r="AH896">
        <f t="shared" si="300"/>
        <v>0</v>
      </c>
      <c r="AI896">
        <f t="shared" si="301"/>
        <v>0</v>
      </c>
      <c r="AJ896" s="2" t="str">
        <f t="shared" si="311"/>
        <v>1045901</v>
      </c>
    </row>
    <row r="897" spans="1:36" x14ac:dyDescent="0.25">
      <c r="A897">
        <v>11</v>
      </c>
      <c r="B897" s="1">
        <v>45901</v>
      </c>
      <c r="C897" s="1">
        <f t="shared" si="302"/>
        <v>46235</v>
      </c>
      <c r="D897" s="1">
        <f t="shared" si="303"/>
        <v>45915</v>
      </c>
      <c r="E897" s="1">
        <f t="shared" si="304"/>
        <v>46235</v>
      </c>
      <c r="F897" s="1">
        <f t="shared" si="305"/>
        <v>46266</v>
      </c>
      <c r="G897" s="1">
        <f t="shared" si="306"/>
        <v>46280</v>
      </c>
      <c r="H897">
        <f t="shared" si="307"/>
        <v>365</v>
      </c>
      <c r="I897">
        <f t="shared" si="308"/>
        <v>31</v>
      </c>
      <c r="J897">
        <f t="shared" si="309"/>
        <v>8.4931506849315067E-2</v>
      </c>
      <c r="K897">
        <f>IFERROR($J897/IF($A897&lt;COUNTIFS($K$1:K$1,"&lt;&gt;"),0,SUMIFS($J:$J,$B:$B,$B897,$A:$A,"&gt;="&amp;COUNTIFS($K$1:K$1,"&lt;&gt;"))),0)</f>
        <v>8.8825214899713484E-2</v>
      </c>
      <c r="L897">
        <f>IFERROR($J897/IF($A897&lt;COUNTIFS($K$1:L$1,"&lt;&gt;"),0,SUMIFS($J:$J,$B:$B,$B897,$A:$A,"&gt;="&amp;COUNTIFS($K$1:L$1,"&lt;&gt;"))),0)</f>
        <v>9.7484276729559768E-2</v>
      </c>
      <c r="M897">
        <f>IFERROR($J897/IF($A897&lt;COUNTIFS($K$1:M$1,"&lt;&gt;"),0,SUMIFS($J:$J,$B:$B,$B897,$A:$A,"&gt;="&amp;COUNTIFS($K$1:M$1,"&lt;&gt;"))),0)</f>
        <v>0.10763888888888891</v>
      </c>
      <c r="N897">
        <f>IFERROR($J897/IF($A897&lt;COUNTIFS($K$1:N$1,"&lt;&gt;"),0,SUMIFS($J:$J,$B:$B,$B897,$A:$A,"&gt;="&amp;COUNTIFS($K$1:N$1,"&lt;&gt;"))),0)</f>
        <v>0.12062256809338523</v>
      </c>
      <c r="O897">
        <f>IFERROR($J897/IF($A897&lt;COUNTIFS($K$1:O$1,"&lt;&gt;"),0,SUMIFS($J:$J,$B:$B,$B897,$A:$A,"&gt;="&amp;COUNTIFS($K$1:O$1,"&lt;&gt;"))),0)</f>
        <v>0.13716814159292037</v>
      </c>
      <c r="P897">
        <f>IFERROR($J897/IF($A897&lt;COUNTIFS($K$1:P$1,"&lt;&gt;"),0,SUMIFS($J:$J,$B:$B,$B897,$A:$A,"&gt;="&amp;COUNTIFS($K$1:P$1,"&lt;&gt;"))),0)</f>
        <v>0.1565656565656566</v>
      </c>
      <c r="Q897">
        <f>IFERROR($J897/IF($A897&lt;COUNTIFS($K$1:Q$1,"&lt;&gt;"),0,SUMIFS($J:$J,$B:$B,$B897,$A:$A,"&gt;="&amp;COUNTIFS($K$1:Q$1,"&lt;&gt;"))),0)</f>
        <v>0.18562874251497008</v>
      </c>
      <c r="R897">
        <f>IFERROR($J897/IF($A897&lt;COUNTIFS($K$1:R$1,"&lt;&gt;"),0,SUMIFS($J:$J,$B:$B,$B897,$A:$A,"&gt;="&amp;COUNTIFS($K$1:R$1,"&lt;&gt;"))),0)</f>
        <v>0.22627737226277375</v>
      </c>
      <c r="S897">
        <f>IFERROR($J897/IF($A897&lt;COUNTIFS($K$1:S$1,"&lt;&gt;"),0,SUMIFS($J:$J,$B:$B,$B897,$A:$A,"&gt;="&amp;COUNTIFS($K$1:S$1,"&lt;&gt;"))),0)</f>
        <v>0.29245283018867929</v>
      </c>
      <c r="T897">
        <f>IFERROR($J897/IF($A897&lt;COUNTIFS($K$1:T$1,"&lt;&gt;"),0,SUMIFS($J:$J,$B:$B,$B897,$A:$A,"&gt;="&amp;COUNTIFS($K$1:T$1,"&lt;&gt;"))),0)</f>
        <v>0.40789473684210525</v>
      </c>
      <c r="U897">
        <f>IFERROR($J897/IF($A897&lt;COUNTIFS($K$1:U$1,"&lt;&gt;"),0,SUMIFS($J:$J,$B:$B,$B897,$A:$A,"&gt;="&amp;COUNTIFS($K$1:U$1,"&lt;&gt;"))),0)</f>
        <v>0.68888888888888888</v>
      </c>
      <c r="V897">
        <f>IFERROR($J897/IF($A897&lt;COUNTIFS($K$1:V$1,"&lt;&gt;"),0,SUMIFS($J:$J,$B:$B,$B897,$A:$A,"&gt;="&amp;COUNTIFS($K$1:V$1,"&lt;&gt;"))),0)</f>
        <v>0</v>
      </c>
      <c r="W897">
        <f t="shared" si="310"/>
        <v>8.4931506849315067E-2</v>
      </c>
      <c r="X897">
        <f t="shared" si="290"/>
        <v>8.4931506849315067E-2</v>
      </c>
      <c r="Y897">
        <f t="shared" si="291"/>
        <v>8.4931506849315067E-2</v>
      </c>
      <c r="Z897">
        <f t="shared" si="292"/>
        <v>8.4931506849315067E-2</v>
      </c>
      <c r="AA897">
        <f t="shared" si="293"/>
        <v>8.4931506849315067E-2</v>
      </c>
      <c r="AB897">
        <f t="shared" si="294"/>
        <v>8.4931506849315067E-2</v>
      </c>
      <c r="AC897">
        <f t="shared" si="295"/>
        <v>8.4931506849315067E-2</v>
      </c>
      <c r="AD897">
        <f t="shared" si="296"/>
        <v>8.4931506849315067E-2</v>
      </c>
      <c r="AE897">
        <f t="shared" si="297"/>
        <v>8.4931506849315067E-2</v>
      </c>
      <c r="AF897">
        <f t="shared" si="298"/>
        <v>8.4931506849315067E-2</v>
      </c>
      <c r="AG897">
        <f t="shared" si="299"/>
        <v>8.4931506849315067E-2</v>
      </c>
      <c r="AH897">
        <f t="shared" si="300"/>
        <v>8.4931506849315067E-2</v>
      </c>
      <c r="AI897">
        <f t="shared" si="301"/>
        <v>0</v>
      </c>
      <c r="AJ897" s="2" t="str">
        <f t="shared" si="311"/>
        <v>1145901</v>
      </c>
    </row>
    <row r="898" spans="1:36" x14ac:dyDescent="0.25">
      <c r="A898">
        <v>12</v>
      </c>
      <c r="B898" s="1">
        <v>45901</v>
      </c>
      <c r="C898" s="1">
        <f t="shared" si="302"/>
        <v>46266</v>
      </c>
      <c r="D898" s="1">
        <f t="shared" si="303"/>
        <v>45915</v>
      </c>
      <c r="E898" s="1">
        <f t="shared" si="304"/>
        <v>46266</v>
      </c>
      <c r="F898" s="1">
        <f t="shared" si="305"/>
        <v>46280</v>
      </c>
      <c r="G898" s="1">
        <f t="shared" si="306"/>
        <v>46280</v>
      </c>
      <c r="H898">
        <f t="shared" si="307"/>
        <v>365</v>
      </c>
      <c r="I898">
        <f t="shared" si="308"/>
        <v>14</v>
      </c>
      <c r="J898">
        <f t="shared" si="309"/>
        <v>3.8356164383561646E-2</v>
      </c>
      <c r="K898">
        <f>IFERROR($J898/IF($A898&lt;COUNTIFS($K$1:K$1,"&lt;&gt;"),0,SUMIFS($J:$J,$B:$B,$B898,$A:$A,"&gt;="&amp;COUNTIFS($K$1:K$1,"&lt;&gt;"))),0)</f>
        <v>4.0114613180515769E-2</v>
      </c>
      <c r="L898">
        <f>IFERROR($J898/IF($A898&lt;COUNTIFS($K$1:L$1,"&lt;&gt;"),0,SUMIFS($J:$J,$B:$B,$B898,$A:$A,"&gt;="&amp;COUNTIFS($K$1:L$1,"&lt;&gt;"))),0)</f>
        <v>4.4025157232704414E-2</v>
      </c>
      <c r="M898">
        <f>IFERROR($J898/IF($A898&lt;COUNTIFS($K$1:M$1,"&lt;&gt;"),0,SUMIFS($J:$J,$B:$B,$B898,$A:$A,"&gt;="&amp;COUNTIFS($K$1:M$1,"&lt;&gt;"))),0)</f>
        <v>4.8611111111111119E-2</v>
      </c>
      <c r="N898">
        <f>IFERROR($J898/IF($A898&lt;COUNTIFS($K$1:N$1,"&lt;&gt;"),0,SUMIFS($J:$J,$B:$B,$B898,$A:$A,"&gt;="&amp;COUNTIFS($K$1:N$1,"&lt;&gt;"))),0)</f>
        <v>5.447470817120624E-2</v>
      </c>
      <c r="O898">
        <f>IFERROR($J898/IF($A898&lt;COUNTIFS($K$1:O$1,"&lt;&gt;"),0,SUMIFS($J:$J,$B:$B,$B898,$A:$A,"&gt;="&amp;COUNTIFS($K$1:O$1,"&lt;&gt;"))),0)</f>
        <v>6.194690265486727E-2</v>
      </c>
      <c r="P898">
        <f>IFERROR($J898/IF($A898&lt;COUNTIFS($K$1:P$1,"&lt;&gt;"),0,SUMIFS($J:$J,$B:$B,$B898,$A:$A,"&gt;="&amp;COUNTIFS($K$1:P$1,"&lt;&gt;"))),0)</f>
        <v>7.0707070707070732E-2</v>
      </c>
      <c r="Q898">
        <f>IFERROR($J898/IF($A898&lt;COUNTIFS($K$1:Q$1,"&lt;&gt;"),0,SUMIFS($J:$J,$B:$B,$B898,$A:$A,"&gt;="&amp;COUNTIFS($K$1:Q$1,"&lt;&gt;"))),0)</f>
        <v>8.3832335329341326E-2</v>
      </c>
      <c r="R898">
        <f>IFERROR($J898/IF($A898&lt;COUNTIFS($K$1:R$1,"&lt;&gt;"),0,SUMIFS($J:$J,$B:$B,$B898,$A:$A,"&gt;="&amp;COUNTIFS($K$1:R$1,"&lt;&gt;"))),0)</f>
        <v>0.10218978102189782</v>
      </c>
      <c r="S898">
        <f>IFERROR($J898/IF($A898&lt;COUNTIFS($K$1:S$1,"&lt;&gt;"),0,SUMIFS($J:$J,$B:$B,$B898,$A:$A,"&gt;="&amp;COUNTIFS($K$1:S$1,"&lt;&gt;"))),0)</f>
        <v>0.13207547169811323</v>
      </c>
      <c r="T898">
        <f>IFERROR($J898/IF($A898&lt;COUNTIFS($K$1:T$1,"&lt;&gt;"),0,SUMIFS($J:$J,$B:$B,$B898,$A:$A,"&gt;="&amp;COUNTIFS($K$1:T$1,"&lt;&gt;"))),0)</f>
        <v>0.18421052631578949</v>
      </c>
      <c r="U898">
        <f>IFERROR($J898/IF($A898&lt;COUNTIFS($K$1:U$1,"&lt;&gt;"),0,SUMIFS($J:$J,$B:$B,$B898,$A:$A,"&gt;="&amp;COUNTIFS($K$1:U$1,"&lt;&gt;"))),0)</f>
        <v>0.31111111111111117</v>
      </c>
      <c r="V898">
        <f>IFERROR($J898/IF($A898&lt;COUNTIFS($K$1:V$1,"&lt;&gt;"),0,SUMIFS($J:$J,$B:$B,$B898,$A:$A,"&gt;="&amp;COUNTIFS($K$1:V$1,"&lt;&gt;"))),0)</f>
        <v>1</v>
      </c>
      <c r="W898">
        <f t="shared" si="310"/>
        <v>3.8356164383561646E-2</v>
      </c>
      <c r="X898">
        <f t="shared" ref="X898:X961" si="312">IF(K898=0,0,$J898)</f>
        <v>3.8356164383561646E-2</v>
      </c>
      <c r="Y898">
        <f t="shared" ref="Y898:Y961" si="313">IF(L898=0,0,$J898)</f>
        <v>3.8356164383561646E-2</v>
      </c>
      <c r="Z898">
        <f t="shared" ref="Z898:Z961" si="314">IF(M898=0,0,$J898)</f>
        <v>3.8356164383561646E-2</v>
      </c>
      <c r="AA898">
        <f t="shared" ref="AA898:AA961" si="315">IF(N898=0,0,$J898)</f>
        <v>3.8356164383561646E-2</v>
      </c>
      <c r="AB898">
        <f t="shared" ref="AB898:AB961" si="316">IF(O898=0,0,$J898)</f>
        <v>3.8356164383561646E-2</v>
      </c>
      <c r="AC898">
        <f t="shared" ref="AC898:AC961" si="317">IF(P898=0,0,$J898)</f>
        <v>3.8356164383561646E-2</v>
      </c>
      <c r="AD898">
        <f t="shared" ref="AD898:AD961" si="318">IF(Q898=0,0,$J898)</f>
        <v>3.8356164383561646E-2</v>
      </c>
      <c r="AE898">
        <f t="shared" ref="AE898:AE961" si="319">IF(R898=0,0,$J898)</f>
        <v>3.8356164383561646E-2</v>
      </c>
      <c r="AF898">
        <f t="shared" ref="AF898:AF961" si="320">IF(S898=0,0,$J898)</f>
        <v>3.8356164383561646E-2</v>
      </c>
      <c r="AG898">
        <f t="shared" ref="AG898:AG961" si="321">IF(T898=0,0,$J898)</f>
        <v>3.8356164383561646E-2</v>
      </c>
      <c r="AH898">
        <f t="shared" ref="AH898:AH961" si="322">IF(U898=0,0,$J898)</f>
        <v>3.8356164383561646E-2</v>
      </c>
      <c r="AI898">
        <f t="shared" ref="AI898:AI961" si="323">IF(V898=0,0,$J898)</f>
        <v>3.8356164383561646E-2</v>
      </c>
      <c r="AJ898" s="2" t="str">
        <f t="shared" si="311"/>
        <v>1245901</v>
      </c>
    </row>
    <row r="899" spans="1:36" x14ac:dyDescent="0.25">
      <c r="A899">
        <v>0</v>
      </c>
      <c r="B899" s="1">
        <v>45931</v>
      </c>
      <c r="C899" s="1">
        <f t="shared" ref="C899:C962" si="324">EDATE(B899,A899)</f>
        <v>45931</v>
      </c>
      <c r="D899" s="1">
        <f t="shared" ref="D899:D962" si="325">B899+14</f>
        <v>45945</v>
      </c>
      <c r="E899" s="1">
        <f t="shared" ref="E899:E962" si="326">IF($A899=0,C899+14,C899)</f>
        <v>45945</v>
      </c>
      <c r="F899" s="1">
        <f t="shared" ref="F899:F962" si="327">IF(EDATE(C899,1)&gt;G899,G899,EDATE(C899,1))</f>
        <v>45962</v>
      </c>
      <c r="G899" s="1">
        <f t="shared" ref="G899:G962" si="328">EDATE(D899,12)</f>
        <v>46310</v>
      </c>
      <c r="H899">
        <f t="shared" ref="H899:H962" si="329">G899-D899</f>
        <v>365</v>
      </c>
      <c r="I899">
        <f t="shared" ref="I899:I962" si="330">F899-E899</f>
        <v>17</v>
      </c>
      <c r="J899">
        <f t="shared" ref="J899:J962" si="331">I899/H899</f>
        <v>4.6575342465753428E-2</v>
      </c>
      <c r="K899">
        <f>IFERROR($J899/IF($A899&lt;COUNTIFS($K$1:K$1,"&lt;&gt;"),0,SUMIFS($J:$J,$B:$B,$B899,$A:$A,"&gt;="&amp;COUNTIFS($K$1:K$1,"&lt;&gt;"))),0)</f>
        <v>0</v>
      </c>
      <c r="L899">
        <f>IFERROR($J899/IF($A899&lt;COUNTIFS($K$1:L$1,"&lt;&gt;"),0,SUMIFS($J:$J,$B:$B,$B899,$A:$A,"&gt;="&amp;COUNTIFS($K$1:L$1,"&lt;&gt;"))),0)</f>
        <v>0</v>
      </c>
      <c r="M899">
        <f>IFERROR($J899/IF($A899&lt;COUNTIFS($K$1:M$1,"&lt;&gt;"),0,SUMIFS($J:$J,$B:$B,$B899,$A:$A,"&gt;="&amp;COUNTIFS($K$1:M$1,"&lt;&gt;"))),0)</f>
        <v>0</v>
      </c>
      <c r="N899">
        <f>IFERROR($J899/IF($A899&lt;COUNTIFS($K$1:N$1,"&lt;&gt;"),0,SUMIFS($J:$J,$B:$B,$B899,$A:$A,"&gt;="&amp;COUNTIFS($K$1:N$1,"&lt;&gt;"))),0)</f>
        <v>0</v>
      </c>
      <c r="O899">
        <f>IFERROR($J899/IF($A899&lt;COUNTIFS($K$1:O$1,"&lt;&gt;"),0,SUMIFS($J:$J,$B:$B,$B899,$A:$A,"&gt;="&amp;COUNTIFS($K$1:O$1,"&lt;&gt;"))),0)</f>
        <v>0</v>
      </c>
      <c r="P899">
        <f>IFERROR($J899/IF($A899&lt;COUNTIFS($K$1:P$1,"&lt;&gt;"),0,SUMIFS($J:$J,$B:$B,$B899,$A:$A,"&gt;="&amp;COUNTIFS($K$1:P$1,"&lt;&gt;"))),0)</f>
        <v>0</v>
      </c>
      <c r="Q899">
        <f>IFERROR($J899/IF($A899&lt;COUNTIFS($K$1:Q$1,"&lt;&gt;"),0,SUMIFS($J:$J,$B:$B,$B899,$A:$A,"&gt;="&amp;COUNTIFS($K$1:Q$1,"&lt;&gt;"))),0)</f>
        <v>0</v>
      </c>
      <c r="R899">
        <f>IFERROR($J899/IF($A899&lt;COUNTIFS($K$1:R$1,"&lt;&gt;"),0,SUMIFS($J:$J,$B:$B,$B899,$A:$A,"&gt;="&amp;COUNTIFS($K$1:R$1,"&lt;&gt;"))),0)</f>
        <v>0</v>
      </c>
      <c r="S899">
        <f>IFERROR($J899/IF($A899&lt;COUNTIFS($K$1:S$1,"&lt;&gt;"),0,SUMIFS($J:$J,$B:$B,$B899,$A:$A,"&gt;="&amp;COUNTIFS($K$1:S$1,"&lt;&gt;"))),0)</f>
        <v>0</v>
      </c>
      <c r="T899">
        <f>IFERROR($J899/IF($A899&lt;COUNTIFS($K$1:T$1,"&lt;&gt;"),0,SUMIFS($J:$J,$B:$B,$B899,$A:$A,"&gt;="&amp;COUNTIFS($K$1:T$1,"&lt;&gt;"))),0)</f>
        <v>0</v>
      </c>
      <c r="U899">
        <f>IFERROR($J899/IF($A899&lt;COUNTIFS($K$1:U$1,"&lt;&gt;"),0,SUMIFS($J:$J,$B:$B,$B899,$A:$A,"&gt;="&amp;COUNTIFS($K$1:U$1,"&lt;&gt;"))),0)</f>
        <v>0</v>
      </c>
      <c r="V899">
        <f>IFERROR($J899/IF($A899&lt;COUNTIFS($K$1:V$1,"&lt;&gt;"),0,SUMIFS($J:$J,$B:$B,$B899,$A:$A,"&gt;="&amp;COUNTIFS($K$1:V$1,"&lt;&gt;"))),0)</f>
        <v>0</v>
      </c>
      <c r="W899">
        <f t="shared" ref="W899:W962" si="332">IF(J899=0,0,$J899)</f>
        <v>4.6575342465753428E-2</v>
      </c>
      <c r="X899">
        <f t="shared" si="312"/>
        <v>0</v>
      </c>
      <c r="Y899">
        <f t="shared" si="313"/>
        <v>0</v>
      </c>
      <c r="Z899">
        <f t="shared" si="314"/>
        <v>0</v>
      </c>
      <c r="AA899">
        <f t="shared" si="315"/>
        <v>0</v>
      </c>
      <c r="AB899">
        <f t="shared" si="316"/>
        <v>0</v>
      </c>
      <c r="AC899">
        <f t="shared" si="317"/>
        <v>0</v>
      </c>
      <c r="AD899">
        <f t="shared" si="318"/>
        <v>0</v>
      </c>
      <c r="AE899">
        <f t="shared" si="319"/>
        <v>0</v>
      </c>
      <c r="AF899">
        <f t="shared" si="320"/>
        <v>0</v>
      </c>
      <c r="AG899">
        <f t="shared" si="321"/>
        <v>0</v>
      </c>
      <c r="AH899">
        <f t="shared" si="322"/>
        <v>0</v>
      </c>
      <c r="AI899">
        <f t="shared" si="323"/>
        <v>0</v>
      </c>
      <c r="AJ899" s="2" t="str">
        <f t="shared" ref="AJ899:AJ962" si="333">A899&amp;B899</f>
        <v>045931</v>
      </c>
    </row>
    <row r="900" spans="1:36" x14ac:dyDescent="0.25">
      <c r="A900">
        <v>1</v>
      </c>
      <c r="B900" s="1">
        <v>45931</v>
      </c>
      <c r="C900" s="1">
        <f t="shared" si="324"/>
        <v>45962</v>
      </c>
      <c r="D900" s="1">
        <f t="shared" si="325"/>
        <v>45945</v>
      </c>
      <c r="E900" s="1">
        <f t="shared" si="326"/>
        <v>45962</v>
      </c>
      <c r="F900" s="1">
        <f t="shared" si="327"/>
        <v>45992</v>
      </c>
      <c r="G900" s="1">
        <f t="shared" si="328"/>
        <v>46310</v>
      </c>
      <c r="H900">
        <f t="shared" si="329"/>
        <v>365</v>
      </c>
      <c r="I900">
        <f t="shared" si="330"/>
        <v>30</v>
      </c>
      <c r="J900">
        <f t="shared" si="331"/>
        <v>8.2191780821917804E-2</v>
      </c>
      <c r="K900">
        <f>IFERROR($J900/IF($A900&lt;COUNTIFS($K$1:K$1,"&lt;&gt;"),0,SUMIFS($J:$J,$B:$B,$B900,$A:$A,"&gt;="&amp;COUNTIFS($K$1:K$1,"&lt;&gt;"))),0)</f>
        <v>8.6206896551724144E-2</v>
      </c>
      <c r="L900">
        <f>IFERROR($J900/IF($A900&lt;COUNTIFS($K$1:L$1,"&lt;&gt;"),0,SUMIFS($J:$J,$B:$B,$B900,$A:$A,"&gt;="&amp;COUNTIFS($K$1:L$1,"&lt;&gt;"))),0)</f>
        <v>0</v>
      </c>
      <c r="M900">
        <f>IFERROR($J900/IF($A900&lt;COUNTIFS($K$1:M$1,"&lt;&gt;"),0,SUMIFS($J:$J,$B:$B,$B900,$A:$A,"&gt;="&amp;COUNTIFS($K$1:M$1,"&lt;&gt;"))),0)</f>
        <v>0</v>
      </c>
      <c r="N900">
        <f>IFERROR($J900/IF($A900&lt;COUNTIFS($K$1:N$1,"&lt;&gt;"),0,SUMIFS($J:$J,$B:$B,$B900,$A:$A,"&gt;="&amp;COUNTIFS($K$1:N$1,"&lt;&gt;"))),0)</f>
        <v>0</v>
      </c>
      <c r="O900">
        <f>IFERROR($J900/IF($A900&lt;COUNTIFS($K$1:O$1,"&lt;&gt;"),0,SUMIFS($J:$J,$B:$B,$B900,$A:$A,"&gt;="&amp;COUNTIFS($K$1:O$1,"&lt;&gt;"))),0)</f>
        <v>0</v>
      </c>
      <c r="P900">
        <f>IFERROR($J900/IF($A900&lt;COUNTIFS($K$1:P$1,"&lt;&gt;"),0,SUMIFS($J:$J,$B:$B,$B900,$A:$A,"&gt;="&amp;COUNTIFS($K$1:P$1,"&lt;&gt;"))),0)</f>
        <v>0</v>
      </c>
      <c r="Q900">
        <f>IFERROR($J900/IF($A900&lt;COUNTIFS($K$1:Q$1,"&lt;&gt;"),0,SUMIFS($J:$J,$B:$B,$B900,$A:$A,"&gt;="&amp;COUNTIFS($K$1:Q$1,"&lt;&gt;"))),0)</f>
        <v>0</v>
      </c>
      <c r="R900">
        <f>IFERROR($J900/IF($A900&lt;COUNTIFS($K$1:R$1,"&lt;&gt;"),0,SUMIFS($J:$J,$B:$B,$B900,$A:$A,"&gt;="&amp;COUNTIFS($K$1:R$1,"&lt;&gt;"))),0)</f>
        <v>0</v>
      </c>
      <c r="S900">
        <f>IFERROR($J900/IF($A900&lt;COUNTIFS($K$1:S$1,"&lt;&gt;"),0,SUMIFS($J:$J,$B:$B,$B900,$A:$A,"&gt;="&amp;COUNTIFS($K$1:S$1,"&lt;&gt;"))),0)</f>
        <v>0</v>
      </c>
      <c r="T900">
        <f>IFERROR($J900/IF($A900&lt;COUNTIFS($K$1:T$1,"&lt;&gt;"),0,SUMIFS($J:$J,$B:$B,$B900,$A:$A,"&gt;="&amp;COUNTIFS($K$1:T$1,"&lt;&gt;"))),0)</f>
        <v>0</v>
      </c>
      <c r="U900">
        <f>IFERROR($J900/IF($A900&lt;COUNTIFS($K$1:U$1,"&lt;&gt;"),0,SUMIFS($J:$J,$B:$B,$B900,$A:$A,"&gt;="&amp;COUNTIFS($K$1:U$1,"&lt;&gt;"))),0)</f>
        <v>0</v>
      </c>
      <c r="V900">
        <f>IFERROR($J900/IF($A900&lt;COUNTIFS($K$1:V$1,"&lt;&gt;"),0,SUMIFS($J:$J,$B:$B,$B900,$A:$A,"&gt;="&amp;COUNTIFS($K$1:V$1,"&lt;&gt;"))),0)</f>
        <v>0</v>
      </c>
      <c r="W900">
        <f t="shared" si="332"/>
        <v>8.2191780821917804E-2</v>
      </c>
      <c r="X900">
        <f t="shared" si="312"/>
        <v>8.2191780821917804E-2</v>
      </c>
      <c r="Y900">
        <f t="shared" si="313"/>
        <v>0</v>
      </c>
      <c r="Z900">
        <f t="shared" si="314"/>
        <v>0</v>
      </c>
      <c r="AA900">
        <f t="shared" si="315"/>
        <v>0</v>
      </c>
      <c r="AB900">
        <f t="shared" si="316"/>
        <v>0</v>
      </c>
      <c r="AC900">
        <f t="shared" si="317"/>
        <v>0</v>
      </c>
      <c r="AD900">
        <f t="shared" si="318"/>
        <v>0</v>
      </c>
      <c r="AE900">
        <f t="shared" si="319"/>
        <v>0</v>
      </c>
      <c r="AF900">
        <f t="shared" si="320"/>
        <v>0</v>
      </c>
      <c r="AG900">
        <f t="shared" si="321"/>
        <v>0</v>
      </c>
      <c r="AH900">
        <f t="shared" si="322"/>
        <v>0</v>
      </c>
      <c r="AI900">
        <f t="shared" si="323"/>
        <v>0</v>
      </c>
      <c r="AJ900" s="2" t="str">
        <f t="shared" si="333"/>
        <v>145931</v>
      </c>
    </row>
    <row r="901" spans="1:36" x14ac:dyDescent="0.25">
      <c r="A901">
        <v>2</v>
      </c>
      <c r="B901" s="1">
        <v>45931</v>
      </c>
      <c r="C901" s="1">
        <f t="shared" si="324"/>
        <v>45992</v>
      </c>
      <c r="D901" s="1">
        <f t="shared" si="325"/>
        <v>45945</v>
      </c>
      <c r="E901" s="1">
        <f t="shared" si="326"/>
        <v>45992</v>
      </c>
      <c r="F901" s="1">
        <f t="shared" si="327"/>
        <v>46023</v>
      </c>
      <c r="G901" s="1">
        <f t="shared" si="328"/>
        <v>46310</v>
      </c>
      <c r="H901">
        <f t="shared" si="329"/>
        <v>365</v>
      </c>
      <c r="I901">
        <f t="shared" si="330"/>
        <v>31</v>
      </c>
      <c r="J901">
        <f t="shared" si="331"/>
        <v>8.4931506849315067E-2</v>
      </c>
      <c r="K901">
        <f>IFERROR($J901/IF($A901&lt;COUNTIFS($K$1:K$1,"&lt;&gt;"),0,SUMIFS($J:$J,$B:$B,$B901,$A:$A,"&gt;="&amp;COUNTIFS($K$1:K$1,"&lt;&gt;"))),0)</f>
        <v>8.9080459770114959E-2</v>
      </c>
      <c r="L901">
        <f>IFERROR($J901/IF($A901&lt;COUNTIFS($K$1:L$1,"&lt;&gt;"),0,SUMIFS($J:$J,$B:$B,$B901,$A:$A,"&gt;="&amp;COUNTIFS($K$1:L$1,"&lt;&gt;"))),0)</f>
        <v>9.7484276729559768E-2</v>
      </c>
      <c r="M901">
        <f>IFERROR($J901/IF($A901&lt;COUNTIFS($K$1:M$1,"&lt;&gt;"),0,SUMIFS($J:$J,$B:$B,$B901,$A:$A,"&gt;="&amp;COUNTIFS($K$1:M$1,"&lt;&gt;"))),0)</f>
        <v>0</v>
      </c>
      <c r="N901">
        <f>IFERROR($J901/IF($A901&lt;COUNTIFS($K$1:N$1,"&lt;&gt;"),0,SUMIFS($J:$J,$B:$B,$B901,$A:$A,"&gt;="&amp;COUNTIFS($K$1:N$1,"&lt;&gt;"))),0)</f>
        <v>0</v>
      </c>
      <c r="O901">
        <f>IFERROR($J901/IF($A901&lt;COUNTIFS($K$1:O$1,"&lt;&gt;"),0,SUMIFS($J:$J,$B:$B,$B901,$A:$A,"&gt;="&amp;COUNTIFS($K$1:O$1,"&lt;&gt;"))),0)</f>
        <v>0</v>
      </c>
      <c r="P901">
        <f>IFERROR($J901/IF($A901&lt;COUNTIFS($K$1:P$1,"&lt;&gt;"),0,SUMIFS($J:$J,$B:$B,$B901,$A:$A,"&gt;="&amp;COUNTIFS($K$1:P$1,"&lt;&gt;"))),0)</f>
        <v>0</v>
      </c>
      <c r="Q901">
        <f>IFERROR($J901/IF($A901&lt;COUNTIFS($K$1:Q$1,"&lt;&gt;"),0,SUMIFS($J:$J,$B:$B,$B901,$A:$A,"&gt;="&amp;COUNTIFS($K$1:Q$1,"&lt;&gt;"))),0)</f>
        <v>0</v>
      </c>
      <c r="R901">
        <f>IFERROR($J901/IF($A901&lt;COUNTIFS($K$1:R$1,"&lt;&gt;"),0,SUMIFS($J:$J,$B:$B,$B901,$A:$A,"&gt;="&amp;COUNTIFS($K$1:R$1,"&lt;&gt;"))),0)</f>
        <v>0</v>
      </c>
      <c r="S901">
        <f>IFERROR($J901/IF($A901&lt;COUNTIFS($K$1:S$1,"&lt;&gt;"),0,SUMIFS($J:$J,$B:$B,$B901,$A:$A,"&gt;="&amp;COUNTIFS($K$1:S$1,"&lt;&gt;"))),0)</f>
        <v>0</v>
      </c>
      <c r="T901">
        <f>IFERROR($J901/IF($A901&lt;COUNTIFS($K$1:T$1,"&lt;&gt;"),0,SUMIFS($J:$J,$B:$B,$B901,$A:$A,"&gt;="&amp;COUNTIFS($K$1:T$1,"&lt;&gt;"))),0)</f>
        <v>0</v>
      </c>
      <c r="U901">
        <f>IFERROR($J901/IF($A901&lt;COUNTIFS($K$1:U$1,"&lt;&gt;"),0,SUMIFS($J:$J,$B:$B,$B901,$A:$A,"&gt;="&amp;COUNTIFS($K$1:U$1,"&lt;&gt;"))),0)</f>
        <v>0</v>
      </c>
      <c r="V901">
        <f>IFERROR($J901/IF($A901&lt;COUNTIFS($K$1:V$1,"&lt;&gt;"),0,SUMIFS($J:$J,$B:$B,$B901,$A:$A,"&gt;="&amp;COUNTIFS($K$1:V$1,"&lt;&gt;"))),0)</f>
        <v>0</v>
      </c>
      <c r="W901">
        <f t="shared" si="332"/>
        <v>8.4931506849315067E-2</v>
      </c>
      <c r="X901">
        <f t="shared" si="312"/>
        <v>8.4931506849315067E-2</v>
      </c>
      <c r="Y901">
        <f t="shared" si="313"/>
        <v>8.4931506849315067E-2</v>
      </c>
      <c r="Z901">
        <f t="shared" si="314"/>
        <v>0</v>
      </c>
      <c r="AA901">
        <f t="shared" si="315"/>
        <v>0</v>
      </c>
      <c r="AB901">
        <f t="shared" si="316"/>
        <v>0</v>
      </c>
      <c r="AC901">
        <f t="shared" si="317"/>
        <v>0</v>
      </c>
      <c r="AD901">
        <f t="shared" si="318"/>
        <v>0</v>
      </c>
      <c r="AE901">
        <f t="shared" si="319"/>
        <v>0</v>
      </c>
      <c r="AF901">
        <f t="shared" si="320"/>
        <v>0</v>
      </c>
      <c r="AG901">
        <f t="shared" si="321"/>
        <v>0</v>
      </c>
      <c r="AH901">
        <f t="shared" si="322"/>
        <v>0</v>
      </c>
      <c r="AI901">
        <f t="shared" si="323"/>
        <v>0</v>
      </c>
      <c r="AJ901" s="2" t="str">
        <f t="shared" si="333"/>
        <v>245931</v>
      </c>
    </row>
    <row r="902" spans="1:36" x14ac:dyDescent="0.25">
      <c r="A902">
        <v>3</v>
      </c>
      <c r="B902" s="1">
        <v>45931</v>
      </c>
      <c r="C902" s="1">
        <f t="shared" si="324"/>
        <v>46023</v>
      </c>
      <c r="D902" s="1">
        <f t="shared" si="325"/>
        <v>45945</v>
      </c>
      <c r="E902" s="1">
        <f t="shared" si="326"/>
        <v>46023</v>
      </c>
      <c r="F902" s="1">
        <f t="shared" si="327"/>
        <v>46054</v>
      </c>
      <c r="G902" s="1">
        <f t="shared" si="328"/>
        <v>46310</v>
      </c>
      <c r="H902">
        <f t="shared" si="329"/>
        <v>365</v>
      </c>
      <c r="I902">
        <f t="shared" si="330"/>
        <v>31</v>
      </c>
      <c r="J902">
        <f t="shared" si="331"/>
        <v>8.4931506849315067E-2</v>
      </c>
      <c r="K902">
        <f>IFERROR($J902/IF($A902&lt;COUNTIFS($K$1:K$1,"&lt;&gt;"),0,SUMIFS($J:$J,$B:$B,$B902,$A:$A,"&gt;="&amp;COUNTIFS($K$1:K$1,"&lt;&gt;"))),0)</f>
        <v>8.9080459770114959E-2</v>
      </c>
      <c r="L902">
        <f>IFERROR($J902/IF($A902&lt;COUNTIFS($K$1:L$1,"&lt;&gt;"),0,SUMIFS($J:$J,$B:$B,$B902,$A:$A,"&gt;="&amp;COUNTIFS($K$1:L$1,"&lt;&gt;"))),0)</f>
        <v>9.7484276729559768E-2</v>
      </c>
      <c r="M902">
        <f>IFERROR($J902/IF($A902&lt;COUNTIFS($K$1:M$1,"&lt;&gt;"),0,SUMIFS($J:$J,$B:$B,$B902,$A:$A,"&gt;="&amp;COUNTIFS($K$1:M$1,"&lt;&gt;"))),0)</f>
        <v>0.10801393728222998</v>
      </c>
      <c r="N902">
        <f>IFERROR($J902/IF($A902&lt;COUNTIFS($K$1:N$1,"&lt;&gt;"),0,SUMIFS($J:$J,$B:$B,$B902,$A:$A,"&gt;="&amp;COUNTIFS($K$1:N$1,"&lt;&gt;"))),0)</f>
        <v>0</v>
      </c>
      <c r="O902">
        <f>IFERROR($J902/IF($A902&lt;COUNTIFS($K$1:O$1,"&lt;&gt;"),0,SUMIFS($J:$J,$B:$B,$B902,$A:$A,"&gt;="&amp;COUNTIFS($K$1:O$1,"&lt;&gt;"))),0)</f>
        <v>0</v>
      </c>
      <c r="P902">
        <f>IFERROR($J902/IF($A902&lt;COUNTIFS($K$1:P$1,"&lt;&gt;"),0,SUMIFS($J:$J,$B:$B,$B902,$A:$A,"&gt;="&amp;COUNTIFS($K$1:P$1,"&lt;&gt;"))),0)</f>
        <v>0</v>
      </c>
      <c r="Q902">
        <f>IFERROR($J902/IF($A902&lt;COUNTIFS($K$1:Q$1,"&lt;&gt;"),0,SUMIFS($J:$J,$B:$B,$B902,$A:$A,"&gt;="&amp;COUNTIFS($K$1:Q$1,"&lt;&gt;"))),0)</f>
        <v>0</v>
      </c>
      <c r="R902">
        <f>IFERROR($J902/IF($A902&lt;COUNTIFS($K$1:R$1,"&lt;&gt;"),0,SUMIFS($J:$J,$B:$B,$B902,$A:$A,"&gt;="&amp;COUNTIFS($K$1:R$1,"&lt;&gt;"))),0)</f>
        <v>0</v>
      </c>
      <c r="S902">
        <f>IFERROR($J902/IF($A902&lt;COUNTIFS($K$1:S$1,"&lt;&gt;"),0,SUMIFS($J:$J,$B:$B,$B902,$A:$A,"&gt;="&amp;COUNTIFS($K$1:S$1,"&lt;&gt;"))),0)</f>
        <v>0</v>
      </c>
      <c r="T902">
        <f>IFERROR($J902/IF($A902&lt;COUNTIFS($K$1:T$1,"&lt;&gt;"),0,SUMIFS($J:$J,$B:$B,$B902,$A:$A,"&gt;="&amp;COUNTIFS($K$1:T$1,"&lt;&gt;"))),0)</f>
        <v>0</v>
      </c>
      <c r="U902">
        <f>IFERROR($J902/IF($A902&lt;COUNTIFS($K$1:U$1,"&lt;&gt;"),0,SUMIFS($J:$J,$B:$B,$B902,$A:$A,"&gt;="&amp;COUNTIFS($K$1:U$1,"&lt;&gt;"))),0)</f>
        <v>0</v>
      </c>
      <c r="V902">
        <f>IFERROR($J902/IF($A902&lt;COUNTIFS($K$1:V$1,"&lt;&gt;"),0,SUMIFS($J:$J,$B:$B,$B902,$A:$A,"&gt;="&amp;COUNTIFS($K$1:V$1,"&lt;&gt;"))),0)</f>
        <v>0</v>
      </c>
      <c r="W902">
        <f t="shared" si="332"/>
        <v>8.4931506849315067E-2</v>
      </c>
      <c r="X902">
        <f t="shared" si="312"/>
        <v>8.4931506849315067E-2</v>
      </c>
      <c r="Y902">
        <f t="shared" si="313"/>
        <v>8.4931506849315067E-2</v>
      </c>
      <c r="Z902">
        <f t="shared" si="314"/>
        <v>8.4931506849315067E-2</v>
      </c>
      <c r="AA902">
        <f t="shared" si="315"/>
        <v>0</v>
      </c>
      <c r="AB902">
        <f t="shared" si="316"/>
        <v>0</v>
      </c>
      <c r="AC902">
        <f t="shared" si="317"/>
        <v>0</v>
      </c>
      <c r="AD902">
        <f t="shared" si="318"/>
        <v>0</v>
      </c>
      <c r="AE902">
        <f t="shared" si="319"/>
        <v>0</v>
      </c>
      <c r="AF902">
        <f t="shared" si="320"/>
        <v>0</v>
      </c>
      <c r="AG902">
        <f t="shared" si="321"/>
        <v>0</v>
      </c>
      <c r="AH902">
        <f t="shared" si="322"/>
        <v>0</v>
      </c>
      <c r="AI902">
        <f t="shared" si="323"/>
        <v>0</v>
      </c>
      <c r="AJ902" s="2" t="str">
        <f t="shared" si="333"/>
        <v>345931</v>
      </c>
    </row>
    <row r="903" spans="1:36" x14ac:dyDescent="0.25">
      <c r="A903">
        <v>4</v>
      </c>
      <c r="B903" s="1">
        <v>45931</v>
      </c>
      <c r="C903" s="1">
        <f t="shared" si="324"/>
        <v>46054</v>
      </c>
      <c r="D903" s="1">
        <f t="shared" si="325"/>
        <v>45945</v>
      </c>
      <c r="E903" s="1">
        <f t="shared" si="326"/>
        <v>46054</v>
      </c>
      <c r="F903" s="1">
        <f t="shared" si="327"/>
        <v>46082</v>
      </c>
      <c r="G903" s="1">
        <f t="shared" si="328"/>
        <v>46310</v>
      </c>
      <c r="H903">
        <f t="shared" si="329"/>
        <v>365</v>
      </c>
      <c r="I903">
        <f t="shared" si="330"/>
        <v>28</v>
      </c>
      <c r="J903">
        <f t="shared" si="331"/>
        <v>7.6712328767123292E-2</v>
      </c>
      <c r="K903">
        <f>IFERROR($J903/IF($A903&lt;COUNTIFS($K$1:K$1,"&lt;&gt;"),0,SUMIFS($J:$J,$B:$B,$B903,$A:$A,"&gt;="&amp;COUNTIFS($K$1:K$1,"&lt;&gt;"))),0)</f>
        <v>8.0459770114942541E-2</v>
      </c>
      <c r="L903">
        <f>IFERROR($J903/IF($A903&lt;COUNTIFS($K$1:L$1,"&lt;&gt;"),0,SUMIFS($J:$J,$B:$B,$B903,$A:$A,"&gt;="&amp;COUNTIFS($K$1:L$1,"&lt;&gt;"))),0)</f>
        <v>8.8050314465408827E-2</v>
      </c>
      <c r="M903">
        <f>IFERROR($J903/IF($A903&lt;COUNTIFS($K$1:M$1,"&lt;&gt;"),0,SUMIFS($J:$J,$B:$B,$B903,$A:$A,"&gt;="&amp;COUNTIFS($K$1:M$1,"&lt;&gt;"))),0)</f>
        <v>9.7560975609756115E-2</v>
      </c>
      <c r="N903">
        <f>IFERROR($J903/IF($A903&lt;COUNTIFS($K$1:N$1,"&lt;&gt;"),0,SUMIFS($J:$J,$B:$B,$B903,$A:$A,"&gt;="&amp;COUNTIFS($K$1:N$1,"&lt;&gt;"))),0)</f>
        <v>0.10937500000000003</v>
      </c>
      <c r="O903">
        <f>IFERROR($J903/IF($A903&lt;COUNTIFS($K$1:O$1,"&lt;&gt;"),0,SUMIFS($J:$J,$B:$B,$B903,$A:$A,"&gt;="&amp;COUNTIFS($K$1:O$1,"&lt;&gt;"))),0)</f>
        <v>0</v>
      </c>
      <c r="P903">
        <f>IFERROR($J903/IF($A903&lt;COUNTIFS($K$1:P$1,"&lt;&gt;"),0,SUMIFS($J:$J,$B:$B,$B903,$A:$A,"&gt;="&amp;COUNTIFS($K$1:P$1,"&lt;&gt;"))),0)</f>
        <v>0</v>
      </c>
      <c r="Q903">
        <f>IFERROR($J903/IF($A903&lt;COUNTIFS($K$1:Q$1,"&lt;&gt;"),0,SUMIFS($J:$J,$B:$B,$B903,$A:$A,"&gt;="&amp;COUNTIFS($K$1:Q$1,"&lt;&gt;"))),0)</f>
        <v>0</v>
      </c>
      <c r="R903">
        <f>IFERROR($J903/IF($A903&lt;COUNTIFS($K$1:R$1,"&lt;&gt;"),0,SUMIFS($J:$J,$B:$B,$B903,$A:$A,"&gt;="&amp;COUNTIFS($K$1:R$1,"&lt;&gt;"))),0)</f>
        <v>0</v>
      </c>
      <c r="S903">
        <f>IFERROR($J903/IF($A903&lt;COUNTIFS($K$1:S$1,"&lt;&gt;"),0,SUMIFS($J:$J,$B:$B,$B903,$A:$A,"&gt;="&amp;COUNTIFS($K$1:S$1,"&lt;&gt;"))),0)</f>
        <v>0</v>
      </c>
      <c r="T903">
        <f>IFERROR($J903/IF($A903&lt;COUNTIFS($K$1:T$1,"&lt;&gt;"),0,SUMIFS($J:$J,$B:$B,$B903,$A:$A,"&gt;="&amp;COUNTIFS($K$1:T$1,"&lt;&gt;"))),0)</f>
        <v>0</v>
      </c>
      <c r="U903">
        <f>IFERROR($J903/IF($A903&lt;COUNTIFS($K$1:U$1,"&lt;&gt;"),0,SUMIFS($J:$J,$B:$B,$B903,$A:$A,"&gt;="&amp;COUNTIFS($K$1:U$1,"&lt;&gt;"))),0)</f>
        <v>0</v>
      </c>
      <c r="V903">
        <f>IFERROR($J903/IF($A903&lt;COUNTIFS($K$1:V$1,"&lt;&gt;"),0,SUMIFS($J:$J,$B:$B,$B903,$A:$A,"&gt;="&amp;COUNTIFS($K$1:V$1,"&lt;&gt;"))),0)</f>
        <v>0</v>
      </c>
      <c r="W903">
        <f t="shared" si="332"/>
        <v>7.6712328767123292E-2</v>
      </c>
      <c r="X903">
        <f t="shared" si="312"/>
        <v>7.6712328767123292E-2</v>
      </c>
      <c r="Y903">
        <f t="shared" si="313"/>
        <v>7.6712328767123292E-2</v>
      </c>
      <c r="Z903">
        <f t="shared" si="314"/>
        <v>7.6712328767123292E-2</v>
      </c>
      <c r="AA903">
        <f t="shared" si="315"/>
        <v>7.6712328767123292E-2</v>
      </c>
      <c r="AB903">
        <f t="shared" si="316"/>
        <v>0</v>
      </c>
      <c r="AC903">
        <f t="shared" si="317"/>
        <v>0</v>
      </c>
      <c r="AD903">
        <f t="shared" si="318"/>
        <v>0</v>
      </c>
      <c r="AE903">
        <f t="shared" si="319"/>
        <v>0</v>
      </c>
      <c r="AF903">
        <f t="shared" si="320"/>
        <v>0</v>
      </c>
      <c r="AG903">
        <f t="shared" si="321"/>
        <v>0</v>
      </c>
      <c r="AH903">
        <f t="shared" si="322"/>
        <v>0</v>
      </c>
      <c r="AI903">
        <f t="shared" si="323"/>
        <v>0</v>
      </c>
      <c r="AJ903" s="2" t="str">
        <f t="shared" si="333"/>
        <v>445931</v>
      </c>
    </row>
    <row r="904" spans="1:36" x14ac:dyDescent="0.25">
      <c r="A904">
        <v>5</v>
      </c>
      <c r="B904" s="1">
        <v>45931</v>
      </c>
      <c r="C904" s="1">
        <f t="shared" si="324"/>
        <v>46082</v>
      </c>
      <c r="D904" s="1">
        <f t="shared" si="325"/>
        <v>45945</v>
      </c>
      <c r="E904" s="1">
        <f t="shared" si="326"/>
        <v>46082</v>
      </c>
      <c r="F904" s="1">
        <f t="shared" si="327"/>
        <v>46113</v>
      </c>
      <c r="G904" s="1">
        <f t="shared" si="328"/>
        <v>46310</v>
      </c>
      <c r="H904">
        <f t="shared" si="329"/>
        <v>365</v>
      </c>
      <c r="I904">
        <f t="shared" si="330"/>
        <v>31</v>
      </c>
      <c r="J904">
        <f t="shared" si="331"/>
        <v>8.4931506849315067E-2</v>
      </c>
      <c r="K904">
        <f>IFERROR($J904/IF($A904&lt;COUNTIFS($K$1:K$1,"&lt;&gt;"),0,SUMIFS($J:$J,$B:$B,$B904,$A:$A,"&gt;="&amp;COUNTIFS($K$1:K$1,"&lt;&gt;"))),0)</f>
        <v>8.9080459770114959E-2</v>
      </c>
      <c r="L904">
        <f>IFERROR($J904/IF($A904&lt;COUNTIFS($K$1:L$1,"&lt;&gt;"),0,SUMIFS($J:$J,$B:$B,$B904,$A:$A,"&gt;="&amp;COUNTIFS($K$1:L$1,"&lt;&gt;"))),0)</f>
        <v>9.7484276729559768E-2</v>
      </c>
      <c r="M904">
        <f>IFERROR($J904/IF($A904&lt;COUNTIFS($K$1:M$1,"&lt;&gt;"),0,SUMIFS($J:$J,$B:$B,$B904,$A:$A,"&gt;="&amp;COUNTIFS($K$1:M$1,"&lt;&gt;"))),0)</f>
        <v>0.10801393728222998</v>
      </c>
      <c r="N904">
        <f>IFERROR($J904/IF($A904&lt;COUNTIFS($K$1:N$1,"&lt;&gt;"),0,SUMIFS($J:$J,$B:$B,$B904,$A:$A,"&gt;="&amp;COUNTIFS($K$1:N$1,"&lt;&gt;"))),0)</f>
        <v>0.12109375000000001</v>
      </c>
      <c r="O904">
        <f>IFERROR($J904/IF($A904&lt;COUNTIFS($K$1:O$1,"&lt;&gt;"),0,SUMIFS($J:$J,$B:$B,$B904,$A:$A,"&gt;="&amp;COUNTIFS($K$1:O$1,"&lt;&gt;"))),0)</f>
        <v>0.13596491228070179</v>
      </c>
      <c r="P904">
        <f>IFERROR($J904/IF($A904&lt;COUNTIFS($K$1:P$1,"&lt;&gt;"),0,SUMIFS($J:$J,$B:$B,$B904,$A:$A,"&gt;="&amp;COUNTIFS($K$1:P$1,"&lt;&gt;"))),0)</f>
        <v>0</v>
      </c>
      <c r="Q904">
        <f>IFERROR($J904/IF($A904&lt;COUNTIFS($K$1:Q$1,"&lt;&gt;"),0,SUMIFS($J:$J,$B:$B,$B904,$A:$A,"&gt;="&amp;COUNTIFS($K$1:Q$1,"&lt;&gt;"))),0)</f>
        <v>0</v>
      </c>
      <c r="R904">
        <f>IFERROR($J904/IF($A904&lt;COUNTIFS($K$1:R$1,"&lt;&gt;"),0,SUMIFS($J:$J,$B:$B,$B904,$A:$A,"&gt;="&amp;COUNTIFS($K$1:R$1,"&lt;&gt;"))),0)</f>
        <v>0</v>
      </c>
      <c r="S904">
        <f>IFERROR($J904/IF($A904&lt;COUNTIFS($K$1:S$1,"&lt;&gt;"),0,SUMIFS($J:$J,$B:$B,$B904,$A:$A,"&gt;="&amp;COUNTIFS($K$1:S$1,"&lt;&gt;"))),0)</f>
        <v>0</v>
      </c>
      <c r="T904">
        <f>IFERROR($J904/IF($A904&lt;COUNTIFS($K$1:T$1,"&lt;&gt;"),0,SUMIFS($J:$J,$B:$B,$B904,$A:$A,"&gt;="&amp;COUNTIFS($K$1:T$1,"&lt;&gt;"))),0)</f>
        <v>0</v>
      </c>
      <c r="U904">
        <f>IFERROR($J904/IF($A904&lt;COUNTIFS($K$1:U$1,"&lt;&gt;"),0,SUMIFS($J:$J,$B:$B,$B904,$A:$A,"&gt;="&amp;COUNTIFS($K$1:U$1,"&lt;&gt;"))),0)</f>
        <v>0</v>
      </c>
      <c r="V904">
        <f>IFERROR($J904/IF($A904&lt;COUNTIFS($K$1:V$1,"&lt;&gt;"),0,SUMIFS($J:$J,$B:$B,$B904,$A:$A,"&gt;="&amp;COUNTIFS($K$1:V$1,"&lt;&gt;"))),0)</f>
        <v>0</v>
      </c>
      <c r="W904">
        <f t="shared" si="332"/>
        <v>8.4931506849315067E-2</v>
      </c>
      <c r="X904">
        <f t="shared" si="312"/>
        <v>8.4931506849315067E-2</v>
      </c>
      <c r="Y904">
        <f t="shared" si="313"/>
        <v>8.4931506849315067E-2</v>
      </c>
      <c r="Z904">
        <f t="shared" si="314"/>
        <v>8.4931506849315067E-2</v>
      </c>
      <c r="AA904">
        <f t="shared" si="315"/>
        <v>8.4931506849315067E-2</v>
      </c>
      <c r="AB904">
        <f t="shared" si="316"/>
        <v>8.4931506849315067E-2</v>
      </c>
      <c r="AC904">
        <f t="shared" si="317"/>
        <v>0</v>
      </c>
      <c r="AD904">
        <f t="shared" si="318"/>
        <v>0</v>
      </c>
      <c r="AE904">
        <f t="shared" si="319"/>
        <v>0</v>
      </c>
      <c r="AF904">
        <f t="shared" si="320"/>
        <v>0</v>
      </c>
      <c r="AG904">
        <f t="shared" si="321"/>
        <v>0</v>
      </c>
      <c r="AH904">
        <f t="shared" si="322"/>
        <v>0</v>
      </c>
      <c r="AI904">
        <f t="shared" si="323"/>
        <v>0</v>
      </c>
      <c r="AJ904" s="2" t="str">
        <f t="shared" si="333"/>
        <v>545931</v>
      </c>
    </row>
    <row r="905" spans="1:36" x14ac:dyDescent="0.25">
      <c r="A905">
        <v>6</v>
      </c>
      <c r="B905" s="1">
        <v>45931</v>
      </c>
      <c r="C905" s="1">
        <f t="shared" si="324"/>
        <v>46113</v>
      </c>
      <c r="D905" s="1">
        <f t="shared" si="325"/>
        <v>45945</v>
      </c>
      <c r="E905" s="1">
        <f t="shared" si="326"/>
        <v>46113</v>
      </c>
      <c r="F905" s="1">
        <f t="shared" si="327"/>
        <v>46143</v>
      </c>
      <c r="G905" s="1">
        <f t="shared" si="328"/>
        <v>46310</v>
      </c>
      <c r="H905">
        <f t="shared" si="329"/>
        <v>365</v>
      </c>
      <c r="I905">
        <f t="shared" si="330"/>
        <v>30</v>
      </c>
      <c r="J905">
        <f t="shared" si="331"/>
        <v>8.2191780821917804E-2</v>
      </c>
      <c r="K905">
        <f>IFERROR($J905/IF($A905&lt;COUNTIFS($K$1:K$1,"&lt;&gt;"),0,SUMIFS($J:$J,$B:$B,$B905,$A:$A,"&gt;="&amp;COUNTIFS($K$1:K$1,"&lt;&gt;"))),0)</f>
        <v>8.6206896551724144E-2</v>
      </c>
      <c r="L905">
        <f>IFERROR($J905/IF($A905&lt;COUNTIFS($K$1:L$1,"&lt;&gt;"),0,SUMIFS($J:$J,$B:$B,$B905,$A:$A,"&gt;="&amp;COUNTIFS($K$1:L$1,"&lt;&gt;"))),0)</f>
        <v>9.4339622641509441E-2</v>
      </c>
      <c r="M905">
        <f>IFERROR($J905/IF($A905&lt;COUNTIFS($K$1:M$1,"&lt;&gt;"),0,SUMIFS($J:$J,$B:$B,$B905,$A:$A,"&gt;="&amp;COUNTIFS($K$1:M$1,"&lt;&gt;"))),0)</f>
        <v>0.10452961672473869</v>
      </c>
      <c r="N905">
        <f>IFERROR($J905/IF($A905&lt;COUNTIFS($K$1:N$1,"&lt;&gt;"),0,SUMIFS($J:$J,$B:$B,$B905,$A:$A,"&gt;="&amp;COUNTIFS($K$1:N$1,"&lt;&gt;"))),0)</f>
        <v>0.11718750000000001</v>
      </c>
      <c r="O905">
        <f>IFERROR($J905/IF($A905&lt;COUNTIFS($K$1:O$1,"&lt;&gt;"),0,SUMIFS($J:$J,$B:$B,$B905,$A:$A,"&gt;="&amp;COUNTIFS($K$1:O$1,"&lt;&gt;"))),0)</f>
        <v>0.13157894736842107</v>
      </c>
      <c r="P905">
        <f>IFERROR($J905/IF($A905&lt;COUNTIFS($K$1:P$1,"&lt;&gt;"),0,SUMIFS($J:$J,$B:$B,$B905,$A:$A,"&gt;="&amp;COUNTIFS($K$1:P$1,"&lt;&gt;"))),0)</f>
        <v>0.15228426395939088</v>
      </c>
      <c r="Q905">
        <f>IFERROR($J905/IF($A905&lt;COUNTIFS($K$1:Q$1,"&lt;&gt;"),0,SUMIFS($J:$J,$B:$B,$B905,$A:$A,"&gt;="&amp;COUNTIFS($K$1:Q$1,"&lt;&gt;"))),0)</f>
        <v>0</v>
      </c>
      <c r="R905">
        <f>IFERROR($J905/IF($A905&lt;COUNTIFS($K$1:R$1,"&lt;&gt;"),0,SUMIFS($J:$J,$B:$B,$B905,$A:$A,"&gt;="&amp;COUNTIFS($K$1:R$1,"&lt;&gt;"))),0)</f>
        <v>0</v>
      </c>
      <c r="S905">
        <f>IFERROR($J905/IF($A905&lt;COUNTIFS($K$1:S$1,"&lt;&gt;"),0,SUMIFS($J:$J,$B:$B,$B905,$A:$A,"&gt;="&amp;COUNTIFS($K$1:S$1,"&lt;&gt;"))),0)</f>
        <v>0</v>
      </c>
      <c r="T905">
        <f>IFERROR($J905/IF($A905&lt;COUNTIFS($K$1:T$1,"&lt;&gt;"),0,SUMIFS($J:$J,$B:$B,$B905,$A:$A,"&gt;="&amp;COUNTIFS($K$1:T$1,"&lt;&gt;"))),0)</f>
        <v>0</v>
      </c>
      <c r="U905">
        <f>IFERROR($J905/IF($A905&lt;COUNTIFS($K$1:U$1,"&lt;&gt;"),0,SUMIFS($J:$J,$B:$B,$B905,$A:$A,"&gt;="&amp;COUNTIFS($K$1:U$1,"&lt;&gt;"))),0)</f>
        <v>0</v>
      </c>
      <c r="V905">
        <f>IFERROR($J905/IF($A905&lt;COUNTIFS($K$1:V$1,"&lt;&gt;"),0,SUMIFS($J:$J,$B:$B,$B905,$A:$A,"&gt;="&amp;COUNTIFS($K$1:V$1,"&lt;&gt;"))),0)</f>
        <v>0</v>
      </c>
      <c r="W905">
        <f t="shared" si="332"/>
        <v>8.2191780821917804E-2</v>
      </c>
      <c r="X905">
        <f t="shared" si="312"/>
        <v>8.2191780821917804E-2</v>
      </c>
      <c r="Y905">
        <f t="shared" si="313"/>
        <v>8.2191780821917804E-2</v>
      </c>
      <c r="Z905">
        <f t="shared" si="314"/>
        <v>8.2191780821917804E-2</v>
      </c>
      <c r="AA905">
        <f t="shared" si="315"/>
        <v>8.2191780821917804E-2</v>
      </c>
      <c r="AB905">
        <f t="shared" si="316"/>
        <v>8.2191780821917804E-2</v>
      </c>
      <c r="AC905">
        <f t="shared" si="317"/>
        <v>8.2191780821917804E-2</v>
      </c>
      <c r="AD905">
        <f t="shared" si="318"/>
        <v>0</v>
      </c>
      <c r="AE905">
        <f t="shared" si="319"/>
        <v>0</v>
      </c>
      <c r="AF905">
        <f t="shared" si="320"/>
        <v>0</v>
      </c>
      <c r="AG905">
        <f t="shared" si="321"/>
        <v>0</v>
      </c>
      <c r="AH905">
        <f t="shared" si="322"/>
        <v>0</v>
      </c>
      <c r="AI905">
        <f t="shared" si="323"/>
        <v>0</v>
      </c>
      <c r="AJ905" s="2" t="str">
        <f t="shared" si="333"/>
        <v>645931</v>
      </c>
    </row>
    <row r="906" spans="1:36" x14ac:dyDescent="0.25">
      <c r="A906">
        <v>7</v>
      </c>
      <c r="B906" s="1">
        <v>45931</v>
      </c>
      <c r="C906" s="1">
        <f t="shared" si="324"/>
        <v>46143</v>
      </c>
      <c r="D906" s="1">
        <f t="shared" si="325"/>
        <v>45945</v>
      </c>
      <c r="E906" s="1">
        <f t="shared" si="326"/>
        <v>46143</v>
      </c>
      <c r="F906" s="1">
        <f t="shared" si="327"/>
        <v>46174</v>
      </c>
      <c r="G906" s="1">
        <f t="shared" si="328"/>
        <v>46310</v>
      </c>
      <c r="H906">
        <f t="shared" si="329"/>
        <v>365</v>
      </c>
      <c r="I906">
        <f t="shared" si="330"/>
        <v>31</v>
      </c>
      <c r="J906">
        <f t="shared" si="331"/>
        <v>8.4931506849315067E-2</v>
      </c>
      <c r="K906">
        <f>IFERROR($J906/IF($A906&lt;COUNTIFS($K$1:K$1,"&lt;&gt;"),0,SUMIFS($J:$J,$B:$B,$B906,$A:$A,"&gt;="&amp;COUNTIFS($K$1:K$1,"&lt;&gt;"))),0)</f>
        <v>8.9080459770114959E-2</v>
      </c>
      <c r="L906">
        <f>IFERROR($J906/IF($A906&lt;COUNTIFS($K$1:L$1,"&lt;&gt;"),0,SUMIFS($J:$J,$B:$B,$B906,$A:$A,"&gt;="&amp;COUNTIFS($K$1:L$1,"&lt;&gt;"))),0)</f>
        <v>9.7484276729559768E-2</v>
      </c>
      <c r="M906">
        <f>IFERROR($J906/IF($A906&lt;COUNTIFS($K$1:M$1,"&lt;&gt;"),0,SUMIFS($J:$J,$B:$B,$B906,$A:$A,"&gt;="&amp;COUNTIFS($K$1:M$1,"&lt;&gt;"))),0)</f>
        <v>0.10801393728222998</v>
      </c>
      <c r="N906">
        <f>IFERROR($J906/IF($A906&lt;COUNTIFS($K$1:N$1,"&lt;&gt;"),0,SUMIFS($J:$J,$B:$B,$B906,$A:$A,"&gt;="&amp;COUNTIFS($K$1:N$1,"&lt;&gt;"))),0)</f>
        <v>0.12109375000000001</v>
      </c>
      <c r="O906">
        <f>IFERROR($J906/IF($A906&lt;COUNTIFS($K$1:O$1,"&lt;&gt;"),0,SUMIFS($J:$J,$B:$B,$B906,$A:$A,"&gt;="&amp;COUNTIFS($K$1:O$1,"&lt;&gt;"))),0)</f>
        <v>0.13596491228070179</v>
      </c>
      <c r="P906">
        <f>IFERROR($J906/IF($A906&lt;COUNTIFS($K$1:P$1,"&lt;&gt;"),0,SUMIFS($J:$J,$B:$B,$B906,$A:$A,"&gt;="&amp;COUNTIFS($K$1:P$1,"&lt;&gt;"))),0)</f>
        <v>0.15736040609137059</v>
      </c>
      <c r="Q906">
        <f>IFERROR($J906/IF($A906&lt;COUNTIFS($K$1:Q$1,"&lt;&gt;"),0,SUMIFS($J:$J,$B:$B,$B906,$A:$A,"&gt;="&amp;COUNTIFS($K$1:Q$1,"&lt;&gt;"))),0)</f>
        <v>0.18562874251497008</v>
      </c>
      <c r="R906">
        <f>IFERROR($J906/IF($A906&lt;COUNTIFS($K$1:R$1,"&lt;&gt;"),0,SUMIFS($J:$J,$B:$B,$B906,$A:$A,"&gt;="&amp;COUNTIFS($K$1:R$1,"&lt;&gt;"))),0)</f>
        <v>0</v>
      </c>
      <c r="S906">
        <f>IFERROR($J906/IF($A906&lt;COUNTIFS($K$1:S$1,"&lt;&gt;"),0,SUMIFS($J:$J,$B:$B,$B906,$A:$A,"&gt;="&amp;COUNTIFS($K$1:S$1,"&lt;&gt;"))),0)</f>
        <v>0</v>
      </c>
      <c r="T906">
        <f>IFERROR($J906/IF($A906&lt;COUNTIFS($K$1:T$1,"&lt;&gt;"),0,SUMIFS($J:$J,$B:$B,$B906,$A:$A,"&gt;="&amp;COUNTIFS($K$1:T$1,"&lt;&gt;"))),0)</f>
        <v>0</v>
      </c>
      <c r="U906">
        <f>IFERROR($J906/IF($A906&lt;COUNTIFS($K$1:U$1,"&lt;&gt;"),0,SUMIFS($J:$J,$B:$B,$B906,$A:$A,"&gt;="&amp;COUNTIFS($K$1:U$1,"&lt;&gt;"))),0)</f>
        <v>0</v>
      </c>
      <c r="V906">
        <f>IFERROR($J906/IF($A906&lt;COUNTIFS($K$1:V$1,"&lt;&gt;"),0,SUMIFS($J:$J,$B:$B,$B906,$A:$A,"&gt;="&amp;COUNTIFS($K$1:V$1,"&lt;&gt;"))),0)</f>
        <v>0</v>
      </c>
      <c r="W906">
        <f t="shared" si="332"/>
        <v>8.4931506849315067E-2</v>
      </c>
      <c r="X906">
        <f t="shared" si="312"/>
        <v>8.4931506849315067E-2</v>
      </c>
      <c r="Y906">
        <f t="shared" si="313"/>
        <v>8.4931506849315067E-2</v>
      </c>
      <c r="Z906">
        <f t="shared" si="314"/>
        <v>8.4931506849315067E-2</v>
      </c>
      <c r="AA906">
        <f t="shared" si="315"/>
        <v>8.4931506849315067E-2</v>
      </c>
      <c r="AB906">
        <f t="shared" si="316"/>
        <v>8.4931506849315067E-2</v>
      </c>
      <c r="AC906">
        <f t="shared" si="317"/>
        <v>8.4931506849315067E-2</v>
      </c>
      <c r="AD906">
        <f t="shared" si="318"/>
        <v>8.4931506849315067E-2</v>
      </c>
      <c r="AE906">
        <f t="shared" si="319"/>
        <v>0</v>
      </c>
      <c r="AF906">
        <f t="shared" si="320"/>
        <v>0</v>
      </c>
      <c r="AG906">
        <f t="shared" si="321"/>
        <v>0</v>
      </c>
      <c r="AH906">
        <f t="shared" si="322"/>
        <v>0</v>
      </c>
      <c r="AI906">
        <f t="shared" si="323"/>
        <v>0</v>
      </c>
      <c r="AJ906" s="2" t="str">
        <f t="shared" si="333"/>
        <v>745931</v>
      </c>
    </row>
    <row r="907" spans="1:36" x14ac:dyDescent="0.25">
      <c r="A907">
        <v>8</v>
      </c>
      <c r="B907" s="1">
        <v>45931</v>
      </c>
      <c r="C907" s="1">
        <f t="shared" si="324"/>
        <v>46174</v>
      </c>
      <c r="D907" s="1">
        <f t="shared" si="325"/>
        <v>45945</v>
      </c>
      <c r="E907" s="1">
        <f t="shared" si="326"/>
        <v>46174</v>
      </c>
      <c r="F907" s="1">
        <f t="shared" si="327"/>
        <v>46204</v>
      </c>
      <c r="G907" s="1">
        <f t="shared" si="328"/>
        <v>46310</v>
      </c>
      <c r="H907">
        <f t="shared" si="329"/>
        <v>365</v>
      </c>
      <c r="I907">
        <f t="shared" si="330"/>
        <v>30</v>
      </c>
      <c r="J907">
        <f t="shared" si="331"/>
        <v>8.2191780821917804E-2</v>
      </c>
      <c r="K907">
        <f>IFERROR($J907/IF($A907&lt;COUNTIFS($K$1:K$1,"&lt;&gt;"),0,SUMIFS($J:$J,$B:$B,$B907,$A:$A,"&gt;="&amp;COUNTIFS($K$1:K$1,"&lt;&gt;"))),0)</f>
        <v>8.6206896551724144E-2</v>
      </c>
      <c r="L907">
        <f>IFERROR($J907/IF($A907&lt;COUNTIFS($K$1:L$1,"&lt;&gt;"),0,SUMIFS($J:$J,$B:$B,$B907,$A:$A,"&gt;="&amp;COUNTIFS($K$1:L$1,"&lt;&gt;"))),0)</f>
        <v>9.4339622641509441E-2</v>
      </c>
      <c r="M907">
        <f>IFERROR($J907/IF($A907&lt;COUNTIFS($K$1:M$1,"&lt;&gt;"),0,SUMIFS($J:$J,$B:$B,$B907,$A:$A,"&gt;="&amp;COUNTIFS($K$1:M$1,"&lt;&gt;"))),0)</f>
        <v>0.10452961672473869</v>
      </c>
      <c r="N907">
        <f>IFERROR($J907/IF($A907&lt;COUNTIFS($K$1:N$1,"&lt;&gt;"),0,SUMIFS($J:$J,$B:$B,$B907,$A:$A,"&gt;="&amp;COUNTIFS($K$1:N$1,"&lt;&gt;"))),0)</f>
        <v>0.11718750000000001</v>
      </c>
      <c r="O907">
        <f>IFERROR($J907/IF($A907&lt;COUNTIFS($K$1:O$1,"&lt;&gt;"),0,SUMIFS($J:$J,$B:$B,$B907,$A:$A,"&gt;="&amp;COUNTIFS($K$1:O$1,"&lt;&gt;"))),0)</f>
        <v>0.13157894736842107</v>
      </c>
      <c r="P907">
        <f>IFERROR($J907/IF($A907&lt;COUNTIFS($K$1:P$1,"&lt;&gt;"),0,SUMIFS($J:$J,$B:$B,$B907,$A:$A,"&gt;="&amp;COUNTIFS($K$1:P$1,"&lt;&gt;"))),0)</f>
        <v>0.15228426395939088</v>
      </c>
      <c r="Q907">
        <f>IFERROR($J907/IF($A907&lt;COUNTIFS($K$1:Q$1,"&lt;&gt;"),0,SUMIFS($J:$J,$B:$B,$B907,$A:$A,"&gt;="&amp;COUNTIFS($K$1:Q$1,"&lt;&gt;"))),0)</f>
        <v>0.17964071856287425</v>
      </c>
      <c r="R907">
        <f>IFERROR($J907/IF($A907&lt;COUNTIFS($K$1:R$1,"&lt;&gt;"),0,SUMIFS($J:$J,$B:$B,$B907,$A:$A,"&gt;="&amp;COUNTIFS($K$1:R$1,"&lt;&gt;"))),0)</f>
        <v>0.22058823529411764</v>
      </c>
      <c r="S907">
        <f>IFERROR($J907/IF($A907&lt;COUNTIFS($K$1:S$1,"&lt;&gt;"),0,SUMIFS($J:$J,$B:$B,$B907,$A:$A,"&gt;="&amp;COUNTIFS($K$1:S$1,"&lt;&gt;"))),0)</f>
        <v>0</v>
      </c>
      <c r="T907">
        <f>IFERROR($J907/IF($A907&lt;COUNTIFS($K$1:T$1,"&lt;&gt;"),0,SUMIFS($J:$J,$B:$B,$B907,$A:$A,"&gt;="&amp;COUNTIFS($K$1:T$1,"&lt;&gt;"))),0)</f>
        <v>0</v>
      </c>
      <c r="U907">
        <f>IFERROR($J907/IF($A907&lt;COUNTIFS($K$1:U$1,"&lt;&gt;"),0,SUMIFS($J:$J,$B:$B,$B907,$A:$A,"&gt;="&amp;COUNTIFS($K$1:U$1,"&lt;&gt;"))),0)</f>
        <v>0</v>
      </c>
      <c r="V907">
        <f>IFERROR($J907/IF($A907&lt;COUNTIFS($K$1:V$1,"&lt;&gt;"),0,SUMIFS($J:$J,$B:$B,$B907,$A:$A,"&gt;="&amp;COUNTIFS($K$1:V$1,"&lt;&gt;"))),0)</f>
        <v>0</v>
      </c>
      <c r="W907">
        <f t="shared" si="332"/>
        <v>8.2191780821917804E-2</v>
      </c>
      <c r="X907">
        <f t="shared" si="312"/>
        <v>8.2191780821917804E-2</v>
      </c>
      <c r="Y907">
        <f t="shared" si="313"/>
        <v>8.2191780821917804E-2</v>
      </c>
      <c r="Z907">
        <f t="shared" si="314"/>
        <v>8.2191780821917804E-2</v>
      </c>
      <c r="AA907">
        <f t="shared" si="315"/>
        <v>8.2191780821917804E-2</v>
      </c>
      <c r="AB907">
        <f t="shared" si="316"/>
        <v>8.2191780821917804E-2</v>
      </c>
      <c r="AC907">
        <f t="shared" si="317"/>
        <v>8.2191780821917804E-2</v>
      </c>
      <c r="AD907">
        <f t="shared" si="318"/>
        <v>8.2191780821917804E-2</v>
      </c>
      <c r="AE907">
        <f t="shared" si="319"/>
        <v>8.2191780821917804E-2</v>
      </c>
      <c r="AF907">
        <f t="shared" si="320"/>
        <v>0</v>
      </c>
      <c r="AG907">
        <f t="shared" si="321"/>
        <v>0</v>
      </c>
      <c r="AH907">
        <f t="shared" si="322"/>
        <v>0</v>
      </c>
      <c r="AI907">
        <f t="shared" si="323"/>
        <v>0</v>
      </c>
      <c r="AJ907" s="2" t="str">
        <f t="shared" si="333"/>
        <v>845931</v>
      </c>
    </row>
    <row r="908" spans="1:36" x14ac:dyDescent="0.25">
      <c r="A908">
        <v>9</v>
      </c>
      <c r="B908" s="1">
        <v>45931</v>
      </c>
      <c r="C908" s="1">
        <f t="shared" si="324"/>
        <v>46204</v>
      </c>
      <c r="D908" s="1">
        <f t="shared" si="325"/>
        <v>45945</v>
      </c>
      <c r="E908" s="1">
        <f t="shared" si="326"/>
        <v>46204</v>
      </c>
      <c r="F908" s="1">
        <f t="shared" si="327"/>
        <v>46235</v>
      </c>
      <c r="G908" s="1">
        <f t="shared" si="328"/>
        <v>46310</v>
      </c>
      <c r="H908">
        <f t="shared" si="329"/>
        <v>365</v>
      </c>
      <c r="I908">
        <f t="shared" si="330"/>
        <v>31</v>
      </c>
      <c r="J908">
        <f t="shared" si="331"/>
        <v>8.4931506849315067E-2</v>
      </c>
      <c r="K908">
        <f>IFERROR($J908/IF($A908&lt;COUNTIFS($K$1:K$1,"&lt;&gt;"),0,SUMIFS($J:$J,$B:$B,$B908,$A:$A,"&gt;="&amp;COUNTIFS($K$1:K$1,"&lt;&gt;"))),0)</f>
        <v>8.9080459770114959E-2</v>
      </c>
      <c r="L908">
        <f>IFERROR($J908/IF($A908&lt;COUNTIFS($K$1:L$1,"&lt;&gt;"),0,SUMIFS($J:$J,$B:$B,$B908,$A:$A,"&gt;="&amp;COUNTIFS($K$1:L$1,"&lt;&gt;"))),0)</f>
        <v>9.7484276729559768E-2</v>
      </c>
      <c r="M908">
        <f>IFERROR($J908/IF($A908&lt;COUNTIFS($K$1:M$1,"&lt;&gt;"),0,SUMIFS($J:$J,$B:$B,$B908,$A:$A,"&gt;="&amp;COUNTIFS($K$1:M$1,"&lt;&gt;"))),0)</f>
        <v>0.10801393728222998</v>
      </c>
      <c r="N908">
        <f>IFERROR($J908/IF($A908&lt;COUNTIFS($K$1:N$1,"&lt;&gt;"),0,SUMIFS($J:$J,$B:$B,$B908,$A:$A,"&gt;="&amp;COUNTIFS($K$1:N$1,"&lt;&gt;"))),0)</f>
        <v>0.12109375000000001</v>
      </c>
      <c r="O908">
        <f>IFERROR($J908/IF($A908&lt;COUNTIFS($K$1:O$1,"&lt;&gt;"),0,SUMIFS($J:$J,$B:$B,$B908,$A:$A,"&gt;="&amp;COUNTIFS($K$1:O$1,"&lt;&gt;"))),0)</f>
        <v>0.13596491228070179</v>
      </c>
      <c r="P908">
        <f>IFERROR($J908/IF($A908&lt;COUNTIFS($K$1:P$1,"&lt;&gt;"),0,SUMIFS($J:$J,$B:$B,$B908,$A:$A,"&gt;="&amp;COUNTIFS($K$1:P$1,"&lt;&gt;"))),0)</f>
        <v>0.15736040609137059</v>
      </c>
      <c r="Q908">
        <f>IFERROR($J908/IF($A908&lt;COUNTIFS($K$1:Q$1,"&lt;&gt;"),0,SUMIFS($J:$J,$B:$B,$B908,$A:$A,"&gt;="&amp;COUNTIFS($K$1:Q$1,"&lt;&gt;"))),0)</f>
        <v>0.18562874251497008</v>
      </c>
      <c r="R908">
        <f>IFERROR($J908/IF($A908&lt;COUNTIFS($K$1:R$1,"&lt;&gt;"),0,SUMIFS($J:$J,$B:$B,$B908,$A:$A,"&gt;="&amp;COUNTIFS($K$1:R$1,"&lt;&gt;"))),0)</f>
        <v>0.22794117647058826</v>
      </c>
      <c r="S908">
        <f>IFERROR($J908/IF($A908&lt;COUNTIFS($K$1:S$1,"&lt;&gt;"),0,SUMIFS($J:$J,$B:$B,$B908,$A:$A,"&gt;="&amp;COUNTIFS($K$1:S$1,"&lt;&gt;"))),0)</f>
        <v>0.29245283018867929</v>
      </c>
      <c r="T908">
        <f>IFERROR($J908/IF($A908&lt;COUNTIFS($K$1:T$1,"&lt;&gt;"),0,SUMIFS($J:$J,$B:$B,$B908,$A:$A,"&gt;="&amp;COUNTIFS($K$1:T$1,"&lt;&gt;"))),0)</f>
        <v>0</v>
      </c>
      <c r="U908">
        <f>IFERROR($J908/IF($A908&lt;COUNTIFS($K$1:U$1,"&lt;&gt;"),0,SUMIFS($J:$J,$B:$B,$B908,$A:$A,"&gt;="&amp;COUNTIFS($K$1:U$1,"&lt;&gt;"))),0)</f>
        <v>0</v>
      </c>
      <c r="V908">
        <f>IFERROR($J908/IF($A908&lt;COUNTIFS($K$1:V$1,"&lt;&gt;"),0,SUMIFS($J:$J,$B:$B,$B908,$A:$A,"&gt;="&amp;COUNTIFS($K$1:V$1,"&lt;&gt;"))),0)</f>
        <v>0</v>
      </c>
      <c r="W908">
        <f t="shared" si="332"/>
        <v>8.4931506849315067E-2</v>
      </c>
      <c r="X908">
        <f t="shared" si="312"/>
        <v>8.4931506849315067E-2</v>
      </c>
      <c r="Y908">
        <f t="shared" si="313"/>
        <v>8.4931506849315067E-2</v>
      </c>
      <c r="Z908">
        <f t="shared" si="314"/>
        <v>8.4931506849315067E-2</v>
      </c>
      <c r="AA908">
        <f t="shared" si="315"/>
        <v>8.4931506849315067E-2</v>
      </c>
      <c r="AB908">
        <f t="shared" si="316"/>
        <v>8.4931506849315067E-2</v>
      </c>
      <c r="AC908">
        <f t="shared" si="317"/>
        <v>8.4931506849315067E-2</v>
      </c>
      <c r="AD908">
        <f t="shared" si="318"/>
        <v>8.4931506849315067E-2</v>
      </c>
      <c r="AE908">
        <f t="shared" si="319"/>
        <v>8.4931506849315067E-2</v>
      </c>
      <c r="AF908">
        <f t="shared" si="320"/>
        <v>8.4931506849315067E-2</v>
      </c>
      <c r="AG908">
        <f t="shared" si="321"/>
        <v>0</v>
      </c>
      <c r="AH908">
        <f t="shared" si="322"/>
        <v>0</v>
      </c>
      <c r="AI908">
        <f t="shared" si="323"/>
        <v>0</v>
      </c>
      <c r="AJ908" s="2" t="str">
        <f t="shared" si="333"/>
        <v>945931</v>
      </c>
    </row>
    <row r="909" spans="1:36" x14ac:dyDescent="0.25">
      <c r="A909">
        <v>10</v>
      </c>
      <c r="B909" s="1">
        <v>45931</v>
      </c>
      <c r="C909" s="1">
        <f t="shared" si="324"/>
        <v>46235</v>
      </c>
      <c r="D909" s="1">
        <f t="shared" si="325"/>
        <v>45945</v>
      </c>
      <c r="E909" s="1">
        <f t="shared" si="326"/>
        <v>46235</v>
      </c>
      <c r="F909" s="1">
        <f t="shared" si="327"/>
        <v>46266</v>
      </c>
      <c r="G909" s="1">
        <f t="shared" si="328"/>
        <v>46310</v>
      </c>
      <c r="H909">
        <f t="shared" si="329"/>
        <v>365</v>
      </c>
      <c r="I909">
        <f t="shared" si="330"/>
        <v>31</v>
      </c>
      <c r="J909">
        <f t="shared" si="331"/>
        <v>8.4931506849315067E-2</v>
      </c>
      <c r="K909">
        <f>IFERROR($J909/IF($A909&lt;COUNTIFS($K$1:K$1,"&lt;&gt;"),0,SUMIFS($J:$J,$B:$B,$B909,$A:$A,"&gt;="&amp;COUNTIFS($K$1:K$1,"&lt;&gt;"))),0)</f>
        <v>8.9080459770114959E-2</v>
      </c>
      <c r="L909">
        <f>IFERROR($J909/IF($A909&lt;COUNTIFS($K$1:L$1,"&lt;&gt;"),0,SUMIFS($J:$J,$B:$B,$B909,$A:$A,"&gt;="&amp;COUNTIFS($K$1:L$1,"&lt;&gt;"))),0)</f>
        <v>9.7484276729559768E-2</v>
      </c>
      <c r="M909">
        <f>IFERROR($J909/IF($A909&lt;COUNTIFS($K$1:M$1,"&lt;&gt;"),0,SUMIFS($J:$J,$B:$B,$B909,$A:$A,"&gt;="&amp;COUNTIFS($K$1:M$1,"&lt;&gt;"))),0)</f>
        <v>0.10801393728222998</v>
      </c>
      <c r="N909">
        <f>IFERROR($J909/IF($A909&lt;COUNTIFS($K$1:N$1,"&lt;&gt;"),0,SUMIFS($J:$J,$B:$B,$B909,$A:$A,"&gt;="&amp;COUNTIFS($K$1:N$1,"&lt;&gt;"))),0)</f>
        <v>0.12109375000000001</v>
      </c>
      <c r="O909">
        <f>IFERROR($J909/IF($A909&lt;COUNTIFS($K$1:O$1,"&lt;&gt;"),0,SUMIFS($J:$J,$B:$B,$B909,$A:$A,"&gt;="&amp;COUNTIFS($K$1:O$1,"&lt;&gt;"))),0)</f>
        <v>0.13596491228070179</v>
      </c>
      <c r="P909">
        <f>IFERROR($J909/IF($A909&lt;COUNTIFS($K$1:P$1,"&lt;&gt;"),0,SUMIFS($J:$J,$B:$B,$B909,$A:$A,"&gt;="&amp;COUNTIFS($K$1:P$1,"&lt;&gt;"))),0)</f>
        <v>0.15736040609137059</v>
      </c>
      <c r="Q909">
        <f>IFERROR($J909/IF($A909&lt;COUNTIFS($K$1:Q$1,"&lt;&gt;"),0,SUMIFS($J:$J,$B:$B,$B909,$A:$A,"&gt;="&amp;COUNTIFS($K$1:Q$1,"&lt;&gt;"))),0)</f>
        <v>0.18562874251497008</v>
      </c>
      <c r="R909">
        <f>IFERROR($J909/IF($A909&lt;COUNTIFS($K$1:R$1,"&lt;&gt;"),0,SUMIFS($J:$J,$B:$B,$B909,$A:$A,"&gt;="&amp;COUNTIFS($K$1:R$1,"&lt;&gt;"))),0)</f>
        <v>0.22794117647058826</v>
      </c>
      <c r="S909">
        <f>IFERROR($J909/IF($A909&lt;COUNTIFS($K$1:S$1,"&lt;&gt;"),0,SUMIFS($J:$J,$B:$B,$B909,$A:$A,"&gt;="&amp;COUNTIFS($K$1:S$1,"&lt;&gt;"))),0)</f>
        <v>0.29245283018867929</v>
      </c>
      <c r="T909">
        <f>IFERROR($J909/IF($A909&lt;COUNTIFS($K$1:T$1,"&lt;&gt;"),0,SUMIFS($J:$J,$B:$B,$B909,$A:$A,"&gt;="&amp;COUNTIFS($K$1:T$1,"&lt;&gt;"))),0)</f>
        <v>0.41333333333333333</v>
      </c>
      <c r="U909">
        <f>IFERROR($J909/IF($A909&lt;COUNTIFS($K$1:U$1,"&lt;&gt;"),0,SUMIFS($J:$J,$B:$B,$B909,$A:$A,"&gt;="&amp;COUNTIFS($K$1:U$1,"&lt;&gt;"))),0)</f>
        <v>0</v>
      </c>
      <c r="V909">
        <f>IFERROR($J909/IF($A909&lt;COUNTIFS($K$1:V$1,"&lt;&gt;"),0,SUMIFS($J:$J,$B:$B,$B909,$A:$A,"&gt;="&amp;COUNTIFS($K$1:V$1,"&lt;&gt;"))),0)</f>
        <v>0</v>
      </c>
      <c r="W909">
        <f t="shared" si="332"/>
        <v>8.4931506849315067E-2</v>
      </c>
      <c r="X909">
        <f t="shared" si="312"/>
        <v>8.4931506849315067E-2</v>
      </c>
      <c r="Y909">
        <f t="shared" si="313"/>
        <v>8.4931506849315067E-2</v>
      </c>
      <c r="Z909">
        <f t="shared" si="314"/>
        <v>8.4931506849315067E-2</v>
      </c>
      <c r="AA909">
        <f t="shared" si="315"/>
        <v>8.4931506849315067E-2</v>
      </c>
      <c r="AB909">
        <f t="shared" si="316"/>
        <v>8.4931506849315067E-2</v>
      </c>
      <c r="AC909">
        <f t="shared" si="317"/>
        <v>8.4931506849315067E-2</v>
      </c>
      <c r="AD909">
        <f t="shared" si="318"/>
        <v>8.4931506849315067E-2</v>
      </c>
      <c r="AE909">
        <f t="shared" si="319"/>
        <v>8.4931506849315067E-2</v>
      </c>
      <c r="AF909">
        <f t="shared" si="320"/>
        <v>8.4931506849315067E-2</v>
      </c>
      <c r="AG909">
        <f t="shared" si="321"/>
        <v>8.4931506849315067E-2</v>
      </c>
      <c r="AH909">
        <f t="shared" si="322"/>
        <v>0</v>
      </c>
      <c r="AI909">
        <f t="shared" si="323"/>
        <v>0</v>
      </c>
      <c r="AJ909" s="2" t="str">
        <f t="shared" si="333"/>
        <v>1045931</v>
      </c>
    </row>
    <row r="910" spans="1:36" x14ac:dyDescent="0.25">
      <c r="A910">
        <v>11</v>
      </c>
      <c r="B910" s="1">
        <v>45931</v>
      </c>
      <c r="C910" s="1">
        <f t="shared" si="324"/>
        <v>46266</v>
      </c>
      <c r="D910" s="1">
        <f t="shared" si="325"/>
        <v>45945</v>
      </c>
      <c r="E910" s="1">
        <f t="shared" si="326"/>
        <v>46266</v>
      </c>
      <c r="F910" s="1">
        <f t="shared" si="327"/>
        <v>46296</v>
      </c>
      <c r="G910" s="1">
        <f t="shared" si="328"/>
        <v>46310</v>
      </c>
      <c r="H910">
        <f t="shared" si="329"/>
        <v>365</v>
      </c>
      <c r="I910">
        <f t="shared" si="330"/>
        <v>30</v>
      </c>
      <c r="J910">
        <f t="shared" si="331"/>
        <v>8.2191780821917804E-2</v>
      </c>
      <c r="K910">
        <f>IFERROR($J910/IF($A910&lt;COUNTIFS($K$1:K$1,"&lt;&gt;"),0,SUMIFS($J:$J,$B:$B,$B910,$A:$A,"&gt;="&amp;COUNTIFS($K$1:K$1,"&lt;&gt;"))),0)</f>
        <v>8.6206896551724144E-2</v>
      </c>
      <c r="L910">
        <f>IFERROR($J910/IF($A910&lt;COUNTIFS($K$1:L$1,"&lt;&gt;"),0,SUMIFS($J:$J,$B:$B,$B910,$A:$A,"&gt;="&amp;COUNTIFS($K$1:L$1,"&lt;&gt;"))),0)</f>
        <v>9.4339622641509441E-2</v>
      </c>
      <c r="M910">
        <f>IFERROR($J910/IF($A910&lt;COUNTIFS($K$1:M$1,"&lt;&gt;"),0,SUMIFS($J:$J,$B:$B,$B910,$A:$A,"&gt;="&amp;COUNTIFS($K$1:M$1,"&lt;&gt;"))),0)</f>
        <v>0.10452961672473869</v>
      </c>
      <c r="N910">
        <f>IFERROR($J910/IF($A910&lt;COUNTIFS($K$1:N$1,"&lt;&gt;"),0,SUMIFS($J:$J,$B:$B,$B910,$A:$A,"&gt;="&amp;COUNTIFS($K$1:N$1,"&lt;&gt;"))),0)</f>
        <v>0.11718750000000001</v>
      </c>
      <c r="O910">
        <f>IFERROR($J910/IF($A910&lt;COUNTIFS($K$1:O$1,"&lt;&gt;"),0,SUMIFS($J:$J,$B:$B,$B910,$A:$A,"&gt;="&amp;COUNTIFS($K$1:O$1,"&lt;&gt;"))),0)</f>
        <v>0.13157894736842107</v>
      </c>
      <c r="P910">
        <f>IFERROR($J910/IF($A910&lt;COUNTIFS($K$1:P$1,"&lt;&gt;"),0,SUMIFS($J:$J,$B:$B,$B910,$A:$A,"&gt;="&amp;COUNTIFS($K$1:P$1,"&lt;&gt;"))),0)</f>
        <v>0.15228426395939088</v>
      </c>
      <c r="Q910">
        <f>IFERROR($J910/IF($A910&lt;COUNTIFS($K$1:Q$1,"&lt;&gt;"),0,SUMIFS($J:$J,$B:$B,$B910,$A:$A,"&gt;="&amp;COUNTIFS($K$1:Q$1,"&lt;&gt;"))),0)</f>
        <v>0.17964071856287425</v>
      </c>
      <c r="R910">
        <f>IFERROR($J910/IF($A910&lt;COUNTIFS($K$1:R$1,"&lt;&gt;"),0,SUMIFS($J:$J,$B:$B,$B910,$A:$A,"&gt;="&amp;COUNTIFS($K$1:R$1,"&lt;&gt;"))),0)</f>
        <v>0.22058823529411764</v>
      </c>
      <c r="S910">
        <f>IFERROR($J910/IF($A910&lt;COUNTIFS($K$1:S$1,"&lt;&gt;"),0,SUMIFS($J:$J,$B:$B,$B910,$A:$A,"&gt;="&amp;COUNTIFS($K$1:S$1,"&lt;&gt;"))),0)</f>
        <v>0.28301886792452829</v>
      </c>
      <c r="T910">
        <f>IFERROR($J910/IF($A910&lt;COUNTIFS($K$1:T$1,"&lt;&gt;"),0,SUMIFS($J:$J,$B:$B,$B910,$A:$A,"&gt;="&amp;COUNTIFS($K$1:T$1,"&lt;&gt;"))),0)</f>
        <v>0.4</v>
      </c>
      <c r="U910">
        <f>IFERROR($J910/IF($A910&lt;COUNTIFS($K$1:U$1,"&lt;&gt;"),0,SUMIFS($J:$J,$B:$B,$B910,$A:$A,"&gt;="&amp;COUNTIFS($K$1:U$1,"&lt;&gt;"))),0)</f>
        <v>0.68181818181818177</v>
      </c>
      <c r="V910">
        <f>IFERROR($J910/IF($A910&lt;COUNTIFS($K$1:V$1,"&lt;&gt;"),0,SUMIFS($J:$J,$B:$B,$B910,$A:$A,"&gt;="&amp;COUNTIFS($K$1:V$1,"&lt;&gt;"))),0)</f>
        <v>0</v>
      </c>
      <c r="W910">
        <f t="shared" si="332"/>
        <v>8.2191780821917804E-2</v>
      </c>
      <c r="X910">
        <f t="shared" si="312"/>
        <v>8.2191780821917804E-2</v>
      </c>
      <c r="Y910">
        <f t="shared" si="313"/>
        <v>8.2191780821917804E-2</v>
      </c>
      <c r="Z910">
        <f t="shared" si="314"/>
        <v>8.2191780821917804E-2</v>
      </c>
      <c r="AA910">
        <f t="shared" si="315"/>
        <v>8.2191780821917804E-2</v>
      </c>
      <c r="AB910">
        <f t="shared" si="316"/>
        <v>8.2191780821917804E-2</v>
      </c>
      <c r="AC910">
        <f t="shared" si="317"/>
        <v>8.2191780821917804E-2</v>
      </c>
      <c r="AD910">
        <f t="shared" si="318"/>
        <v>8.2191780821917804E-2</v>
      </c>
      <c r="AE910">
        <f t="shared" si="319"/>
        <v>8.2191780821917804E-2</v>
      </c>
      <c r="AF910">
        <f t="shared" si="320"/>
        <v>8.2191780821917804E-2</v>
      </c>
      <c r="AG910">
        <f t="shared" si="321"/>
        <v>8.2191780821917804E-2</v>
      </c>
      <c r="AH910">
        <f t="shared" si="322"/>
        <v>8.2191780821917804E-2</v>
      </c>
      <c r="AI910">
        <f t="shared" si="323"/>
        <v>0</v>
      </c>
      <c r="AJ910" s="2" t="str">
        <f t="shared" si="333"/>
        <v>1145931</v>
      </c>
    </row>
    <row r="911" spans="1:36" x14ac:dyDescent="0.25">
      <c r="A911">
        <v>12</v>
      </c>
      <c r="B911" s="1">
        <v>45931</v>
      </c>
      <c r="C911" s="1">
        <f t="shared" si="324"/>
        <v>46296</v>
      </c>
      <c r="D911" s="1">
        <f t="shared" si="325"/>
        <v>45945</v>
      </c>
      <c r="E911" s="1">
        <f t="shared" si="326"/>
        <v>46296</v>
      </c>
      <c r="F911" s="1">
        <f t="shared" si="327"/>
        <v>46310</v>
      </c>
      <c r="G911" s="1">
        <f t="shared" si="328"/>
        <v>46310</v>
      </c>
      <c r="H911">
        <f t="shared" si="329"/>
        <v>365</v>
      </c>
      <c r="I911">
        <f t="shared" si="330"/>
        <v>14</v>
      </c>
      <c r="J911">
        <f t="shared" si="331"/>
        <v>3.8356164383561646E-2</v>
      </c>
      <c r="K911">
        <f>IFERROR($J911/IF($A911&lt;COUNTIFS($K$1:K$1,"&lt;&gt;"),0,SUMIFS($J:$J,$B:$B,$B911,$A:$A,"&gt;="&amp;COUNTIFS($K$1:K$1,"&lt;&gt;"))),0)</f>
        <v>4.0229885057471271E-2</v>
      </c>
      <c r="L911">
        <f>IFERROR($J911/IF($A911&lt;COUNTIFS($K$1:L$1,"&lt;&gt;"),0,SUMIFS($J:$J,$B:$B,$B911,$A:$A,"&gt;="&amp;COUNTIFS($K$1:L$1,"&lt;&gt;"))),0)</f>
        <v>4.4025157232704414E-2</v>
      </c>
      <c r="M911">
        <f>IFERROR($J911/IF($A911&lt;COUNTIFS($K$1:M$1,"&lt;&gt;"),0,SUMIFS($J:$J,$B:$B,$B911,$A:$A,"&gt;="&amp;COUNTIFS($K$1:M$1,"&lt;&gt;"))),0)</f>
        <v>4.8780487804878057E-2</v>
      </c>
      <c r="N911">
        <f>IFERROR($J911/IF($A911&lt;COUNTIFS($K$1:N$1,"&lt;&gt;"),0,SUMIFS($J:$J,$B:$B,$B911,$A:$A,"&gt;="&amp;COUNTIFS($K$1:N$1,"&lt;&gt;"))),0)</f>
        <v>5.4687500000000014E-2</v>
      </c>
      <c r="O911">
        <f>IFERROR($J911/IF($A911&lt;COUNTIFS($K$1:O$1,"&lt;&gt;"),0,SUMIFS($J:$J,$B:$B,$B911,$A:$A,"&gt;="&amp;COUNTIFS($K$1:O$1,"&lt;&gt;"))),0)</f>
        <v>6.1403508771929842E-2</v>
      </c>
      <c r="P911">
        <f>IFERROR($J911/IF($A911&lt;COUNTIFS($K$1:P$1,"&lt;&gt;"),0,SUMIFS($J:$J,$B:$B,$B911,$A:$A,"&gt;="&amp;COUNTIFS($K$1:P$1,"&lt;&gt;"))),0)</f>
        <v>7.1065989847715755E-2</v>
      </c>
      <c r="Q911">
        <f>IFERROR($J911/IF($A911&lt;COUNTIFS($K$1:Q$1,"&lt;&gt;"),0,SUMIFS($J:$J,$B:$B,$B911,$A:$A,"&gt;="&amp;COUNTIFS($K$1:Q$1,"&lt;&gt;"))),0)</f>
        <v>8.3832335329341326E-2</v>
      </c>
      <c r="R911">
        <f>IFERROR($J911/IF($A911&lt;COUNTIFS($K$1:R$1,"&lt;&gt;"),0,SUMIFS($J:$J,$B:$B,$B911,$A:$A,"&gt;="&amp;COUNTIFS($K$1:R$1,"&lt;&gt;"))),0)</f>
        <v>0.10294117647058824</v>
      </c>
      <c r="S911">
        <f>IFERROR($J911/IF($A911&lt;COUNTIFS($K$1:S$1,"&lt;&gt;"),0,SUMIFS($J:$J,$B:$B,$B911,$A:$A,"&gt;="&amp;COUNTIFS($K$1:S$1,"&lt;&gt;"))),0)</f>
        <v>0.13207547169811323</v>
      </c>
      <c r="T911">
        <f>IFERROR($J911/IF($A911&lt;COUNTIFS($K$1:T$1,"&lt;&gt;"),0,SUMIFS($J:$J,$B:$B,$B911,$A:$A,"&gt;="&amp;COUNTIFS($K$1:T$1,"&lt;&gt;"))),0)</f>
        <v>0.18666666666666668</v>
      </c>
      <c r="U911">
        <f>IFERROR($J911/IF($A911&lt;COUNTIFS($K$1:U$1,"&lt;&gt;"),0,SUMIFS($J:$J,$B:$B,$B911,$A:$A,"&gt;="&amp;COUNTIFS($K$1:U$1,"&lt;&gt;"))),0)</f>
        <v>0.31818181818181818</v>
      </c>
      <c r="V911">
        <f>IFERROR($J911/IF($A911&lt;COUNTIFS($K$1:V$1,"&lt;&gt;"),0,SUMIFS($J:$J,$B:$B,$B911,$A:$A,"&gt;="&amp;COUNTIFS($K$1:V$1,"&lt;&gt;"))),0)</f>
        <v>1</v>
      </c>
      <c r="W911">
        <f t="shared" si="332"/>
        <v>3.8356164383561646E-2</v>
      </c>
      <c r="X911">
        <f t="shared" si="312"/>
        <v>3.8356164383561646E-2</v>
      </c>
      <c r="Y911">
        <f t="shared" si="313"/>
        <v>3.8356164383561646E-2</v>
      </c>
      <c r="Z911">
        <f t="shared" si="314"/>
        <v>3.8356164383561646E-2</v>
      </c>
      <c r="AA911">
        <f t="shared" si="315"/>
        <v>3.8356164383561646E-2</v>
      </c>
      <c r="AB911">
        <f t="shared" si="316"/>
        <v>3.8356164383561646E-2</v>
      </c>
      <c r="AC911">
        <f t="shared" si="317"/>
        <v>3.8356164383561646E-2</v>
      </c>
      <c r="AD911">
        <f t="shared" si="318"/>
        <v>3.8356164383561646E-2</v>
      </c>
      <c r="AE911">
        <f t="shared" si="319"/>
        <v>3.8356164383561646E-2</v>
      </c>
      <c r="AF911">
        <f t="shared" si="320"/>
        <v>3.8356164383561646E-2</v>
      </c>
      <c r="AG911">
        <f t="shared" si="321"/>
        <v>3.8356164383561646E-2</v>
      </c>
      <c r="AH911">
        <f t="shared" si="322"/>
        <v>3.8356164383561646E-2</v>
      </c>
      <c r="AI911">
        <f t="shared" si="323"/>
        <v>3.8356164383561646E-2</v>
      </c>
      <c r="AJ911" s="2" t="str">
        <f t="shared" si="333"/>
        <v>1245931</v>
      </c>
    </row>
    <row r="912" spans="1:36" x14ac:dyDescent="0.25">
      <c r="A912">
        <v>0</v>
      </c>
      <c r="B912" s="1">
        <v>45962</v>
      </c>
      <c r="C912" s="1">
        <f t="shared" si="324"/>
        <v>45962</v>
      </c>
      <c r="D912" s="1">
        <f t="shared" si="325"/>
        <v>45976</v>
      </c>
      <c r="E912" s="1">
        <f t="shared" si="326"/>
        <v>45976</v>
      </c>
      <c r="F912" s="1">
        <f t="shared" si="327"/>
        <v>45992</v>
      </c>
      <c r="G912" s="1">
        <f t="shared" si="328"/>
        <v>46341</v>
      </c>
      <c r="H912">
        <f t="shared" si="329"/>
        <v>365</v>
      </c>
      <c r="I912">
        <f t="shared" si="330"/>
        <v>16</v>
      </c>
      <c r="J912">
        <f t="shared" si="331"/>
        <v>4.3835616438356165E-2</v>
      </c>
      <c r="K912">
        <f>IFERROR($J912/IF($A912&lt;COUNTIFS($K$1:K$1,"&lt;&gt;"),0,SUMIFS($J:$J,$B:$B,$B912,$A:$A,"&gt;="&amp;COUNTIFS($K$1:K$1,"&lt;&gt;"))),0)</f>
        <v>0</v>
      </c>
      <c r="L912">
        <f>IFERROR($J912/IF($A912&lt;COUNTIFS($K$1:L$1,"&lt;&gt;"),0,SUMIFS($J:$J,$B:$B,$B912,$A:$A,"&gt;="&amp;COUNTIFS($K$1:L$1,"&lt;&gt;"))),0)</f>
        <v>0</v>
      </c>
      <c r="M912">
        <f>IFERROR($J912/IF($A912&lt;COUNTIFS($K$1:M$1,"&lt;&gt;"),0,SUMIFS($J:$J,$B:$B,$B912,$A:$A,"&gt;="&amp;COUNTIFS($K$1:M$1,"&lt;&gt;"))),0)</f>
        <v>0</v>
      </c>
      <c r="N912">
        <f>IFERROR($J912/IF($A912&lt;COUNTIFS($K$1:N$1,"&lt;&gt;"),0,SUMIFS($J:$J,$B:$B,$B912,$A:$A,"&gt;="&amp;COUNTIFS($K$1:N$1,"&lt;&gt;"))),0)</f>
        <v>0</v>
      </c>
      <c r="O912">
        <f>IFERROR($J912/IF($A912&lt;COUNTIFS($K$1:O$1,"&lt;&gt;"),0,SUMIFS($J:$J,$B:$B,$B912,$A:$A,"&gt;="&amp;COUNTIFS($K$1:O$1,"&lt;&gt;"))),0)</f>
        <v>0</v>
      </c>
      <c r="P912">
        <f>IFERROR($J912/IF($A912&lt;COUNTIFS($K$1:P$1,"&lt;&gt;"),0,SUMIFS($J:$J,$B:$B,$B912,$A:$A,"&gt;="&amp;COUNTIFS($K$1:P$1,"&lt;&gt;"))),0)</f>
        <v>0</v>
      </c>
      <c r="Q912">
        <f>IFERROR($J912/IF($A912&lt;COUNTIFS($K$1:Q$1,"&lt;&gt;"),0,SUMIFS($J:$J,$B:$B,$B912,$A:$A,"&gt;="&amp;COUNTIFS($K$1:Q$1,"&lt;&gt;"))),0)</f>
        <v>0</v>
      </c>
      <c r="R912">
        <f>IFERROR($J912/IF($A912&lt;COUNTIFS($K$1:R$1,"&lt;&gt;"),0,SUMIFS($J:$J,$B:$B,$B912,$A:$A,"&gt;="&amp;COUNTIFS($K$1:R$1,"&lt;&gt;"))),0)</f>
        <v>0</v>
      </c>
      <c r="S912">
        <f>IFERROR($J912/IF($A912&lt;COUNTIFS($K$1:S$1,"&lt;&gt;"),0,SUMIFS($J:$J,$B:$B,$B912,$A:$A,"&gt;="&amp;COUNTIFS($K$1:S$1,"&lt;&gt;"))),0)</f>
        <v>0</v>
      </c>
      <c r="T912">
        <f>IFERROR($J912/IF($A912&lt;COUNTIFS($K$1:T$1,"&lt;&gt;"),0,SUMIFS($J:$J,$B:$B,$B912,$A:$A,"&gt;="&amp;COUNTIFS($K$1:T$1,"&lt;&gt;"))),0)</f>
        <v>0</v>
      </c>
      <c r="U912">
        <f>IFERROR($J912/IF($A912&lt;COUNTIFS($K$1:U$1,"&lt;&gt;"),0,SUMIFS($J:$J,$B:$B,$B912,$A:$A,"&gt;="&amp;COUNTIFS($K$1:U$1,"&lt;&gt;"))),0)</f>
        <v>0</v>
      </c>
      <c r="V912">
        <f>IFERROR($J912/IF($A912&lt;COUNTIFS($K$1:V$1,"&lt;&gt;"),0,SUMIFS($J:$J,$B:$B,$B912,$A:$A,"&gt;="&amp;COUNTIFS($K$1:V$1,"&lt;&gt;"))),0)</f>
        <v>0</v>
      </c>
      <c r="W912">
        <f t="shared" si="332"/>
        <v>4.3835616438356165E-2</v>
      </c>
      <c r="X912">
        <f t="shared" si="312"/>
        <v>0</v>
      </c>
      <c r="Y912">
        <f t="shared" si="313"/>
        <v>0</v>
      </c>
      <c r="Z912">
        <f t="shared" si="314"/>
        <v>0</v>
      </c>
      <c r="AA912">
        <f t="shared" si="315"/>
        <v>0</v>
      </c>
      <c r="AB912">
        <f t="shared" si="316"/>
        <v>0</v>
      </c>
      <c r="AC912">
        <f t="shared" si="317"/>
        <v>0</v>
      </c>
      <c r="AD912">
        <f t="shared" si="318"/>
        <v>0</v>
      </c>
      <c r="AE912">
        <f t="shared" si="319"/>
        <v>0</v>
      </c>
      <c r="AF912">
        <f t="shared" si="320"/>
        <v>0</v>
      </c>
      <c r="AG912">
        <f t="shared" si="321"/>
        <v>0</v>
      </c>
      <c r="AH912">
        <f t="shared" si="322"/>
        <v>0</v>
      </c>
      <c r="AI912">
        <f t="shared" si="323"/>
        <v>0</v>
      </c>
      <c r="AJ912" s="2" t="str">
        <f t="shared" si="333"/>
        <v>045962</v>
      </c>
    </row>
    <row r="913" spans="1:36" x14ac:dyDescent="0.25">
      <c r="A913">
        <v>1</v>
      </c>
      <c r="B913" s="1">
        <v>45962</v>
      </c>
      <c r="C913" s="1">
        <f t="shared" si="324"/>
        <v>45992</v>
      </c>
      <c r="D913" s="1">
        <f t="shared" si="325"/>
        <v>45976</v>
      </c>
      <c r="E913" s="1">
        <f t="shared" si="326"/>
        <v>45992</v>
      </c>
      <c r="F913" s="1">
        <f t="shared" si="327"/>
        <v>46023</v>
      </c>
      <c r="G913" s="1">
        <f t="shared" si="328"/>
        <v>46341</v>
      </c>
      <c r="H913">
        <f t="shared" si="329"/>
        <v>365</v>
      </c>
      <c r="I913">
        <f t="shared" si="330"/>
        <v>31</v>
      </c>
      <c r="J913">
        <f t="shared" si="331"/>
        <v>8.4931506849315067E-2</v>
      </c>
      <c r="K913">
        <f>IFERROR($J913/IF($A913&lt;COUNTIFS($K$1:K$1,"&lt;&gt;"),0,SUMIFS($J:$J,$B:$B,$B913,$A:$A,"&gt;="&amp;COUNTIFS($K$1:K$1,"&lt;&gt;"))),0)</f>
        <v>8.8825214899713484E-2</v>
      </c>
      <c r="L913">
        <f>IFERROR($J913/IF($A913&lt;COUNTIFS($K$1:L$1,"&lt;&gt;"),0,SUMIFS($J:$J,$B:$B,$B913,$A:$A,"&gt;="&amp;COUNTIFS($K$1:L$1,"&lt;&gt;"))),0)</f>
        <v>0</v>
      </c>
      <c r="M913">
        <f>IFERROR($J913/IF($A913&lt;COUNTIFS($K$1:M$1,"&lt;&gt;"),0,SUMIFS($J:$J,$B:$B,$B913,$A:$A,"&gt;="&amp;COUNTIFS($K$1:M$1,"&lt;&gt;"))),0)</f>
        <v>0</v>
      </c>
      <c r="N913">
        <f>IFERROR($J913/IF($A913&lt;COUNTIFS($K$1:N$1,"&lt;&gt;"),0,SUMIFS($J:$J,$B:$B,$B913,$A:$A,"&gt;="&amp;COUNTIFS($K$1:N$1,"&lt;&gt;"))),0)</f>
        <v>0</v>
      </c>
      <c r="O913">
        <f>IFERROR($J913/IF($A913&lt;COUNTIFS($K$1:O$1,"&lt;&gt;"),0,SUMIFS($J:$J,$B:$B,$B913,$A:$A,"&gt;="&amp;COUNTIFS($K$1:O$1,"&lt;&gt;"))),0)</f>
        <v>0</v>
      </c>
      <c r="P913">
        <f>IFERROR($J913/IF($A913&lt;COUNTIFS($K$1:P$1,"&lt;&gt;"),0,SUMIFS($J:$J,$B:$B,$B913,$A:$A,"&gt;="&amp;COUNTIFS($K$1:P$1,"&lt;&gt;"))),0)</f>
        <v>0</v>
      </c>
      <c r="Q913">
        <f>IFERROR($J913/IF($A913&lt;COUNTIFS($K$1:Q$1,"&lt;&gt;"),0,SUMIFS($J:$J,$B:$B,$B913,$A:$A,"&gt;="&amp;COUNTIFS($K$1:Q$1,"&lt;&gt;"))),0)</f>
        <v>0</v>
      </c>
      <c r="R913">
        <f>IFERROR($J913/IF($A913&lt;COUNTIFS($K$1:R$1,"&lt;&gt;"),0,SUMIFS($J:$J,$B:$B,$B913,$A:$A,"&gt;="&amp;COUNTIFS($K$1:R$1,"&lt;&gt;"))),0)</f>
        <v>0</v>
      </c>
      <c r="S913">
        <f>IFERROR($J913/IF($A913&lt;COUNTIFS($K$1:S$1,"&lt;&gt;"),0,SUMIFS($J:$J,$B:$B,$B913,$A:$A,"&gt;="&amp;COUNTIFS($K$1:S$1,"&lt;&gt;"))),0)</f>
        <v>0</v>
      </c>
      <c r="T913">
        <f>IFERROR($J913/IF($A913&lt;COUNTIFS($K$1:T$1,"&lt;&gt;"),0,SUMIFS($J:$J,$B:$B,$B913,$A:$A,"&gt;="&amp;COUNTIFS($K$1:T$1,"&lt;&gt;"))),0)</f>
        <v>0</v>
      </c>
      <c r="U913">
        <f>IFERROR($J913/IF($A913&lt;COUNTIFS($K$1:U$1,"&lt;&gt;"),0,SUMIFS($J:$J,$B:$B,$B913,$A:$A,"&gt;="&amp;COUNTIFS($K$1:U$1,"&lt;&gt;"))),0)</f>
        <v>0</v>
      </c>
      <c r="V913">
        <f>IFERROR($J913/IF($A913&lt;COUNTIFS($K$1:V$1,"&lt;&gt;"),0,SUMIFS($J:$J,$B:$B,$B913,$A:$A,"&gt;="&amp;COUNTIFS($K$1:V$1,"&lt;&gt;"))),0)</f>
        <v>0</v>
      </c>
      <c r="W913">
        <f t="shared" si="332"/>
        <v>8.4931506849315067E-2</v>
      </c>
      <c r="X913">
        <f t="shared" si="312"/>
        <v>8.4931506849315067E-2</v>
      </c>
      <c r="Y913">
        <f t="shared" si="313"/>
        <v>0</v>
      </c>
      <c r="Z913">
        <f t="shared" si="314"/>
        <v>0</v>
      </c>
      <c r="AA913">
        <f t="shared" si="315"/>
        <v>0</v>
      </c>
      <c r="AB913">
        <f t="shared" si="316"/>
        <v>0</v>
      </c>
      <c r="AC913">
        <f t="shared" si="317"/>
        <v>0</v>
      </c>
      <c r="AD913">
        <f t="shared" si="318"/>
        <v>0</v>
      </c>
      <c r="AE913">
        <f t="shared" si="319"/>
        <v>0</v>
      </c>
      <c r="AF913">
        <f t="shared" si="320"/>
        <v>0</v>
      </c>
      <c r="AG913">
        <f t="shared" si="321"/>
        <v>0</v>
      </c>
      <c r="AH913">
        <f t="shared" si="322"/>
        <v>0</v>
      </c>
      <c r="AI913">
        <f t="shared" si="323"/>
        <v>0</v>
      </c>
      <c r="AJ913" s="2" t="str">
        <f t="shared" si="333"/>
        <v>145962</v>
      </c>
    </row>
    <row r="914" spans="1:36" x14ac:dyDescent="0.25">
      <c r="A914">
        <v>2</v>
      </c>
      <c r="B914" s="1">
        <v>45962</v>
      </c>
      <c r="C914" s="1">
        <f t="shared" si="324"/>
        <v>46023</v>
      </c>
      <c r="D914" s="1">
        <f t="shared" si="325"/>
        <v>45976</v>
      </c>
      <c r="E914" s="1">
        <f t="shared" si="326"/>
        <v>46023</v>
      </c>
      <c r="F914" s="1">
        <f t="shared" si="327"/>
        <v>46054</v>
      </c>
      <c r="G914" s="1">
        <f t="shared" si="328"/>
        <v>46341</v>
      </c>
      <c r="H914">
        <f t="shared" si="329"/>
        <v>365</v>
      </c>
      <c r="I914">
        <f t="shared" si="330"/>
        <v>31</v>
      </c>
      <c r="J914">
        <f t="shared" si="331"/>
        <v>8.4931506849315067E-2</v>
      </c>
      <c r="K914">
        <f>IFERROR($J914/IF($A914&lt;COUNTIFS($K$1:K$1,"&lt;&gt;"),0,SUMIFS($J:$J,$B:$B,$B914,$A:$A,"&gt;="&amp;COUNTIFS($K$1:K$1,"&lt;&gt;"))),0)</f>
        <v>8.8825214899713484E-2</v>
      </c>
      <c r="L914">
        <f>IFERROR($J914/IF($A914&lt;COUNTIFS($K$1:L$1,"&lt;&gt;"),0,SUMIFS($J:$J,$B:$B,$B914,$A:$A,"&gt;="&amp;COUNTIFS($K$1:L$1,"&lt;&gt;"))),0)</f>
        <v>9.7484276729559768E-2</v>
      </c>
      <c r="M914">
        <f>IFERROR($J914/IF($A914&lt;COUNTIFS($K$1:M$1,"&lt;&gt;"),0,SUMIFS($J:$J,$B:$B,$B914,$A:$A,"&gt;="&amp;COUNTIFS($K$1:M$1,"&lt;&gt;"))),0)</f>
        <v>0</v>
      </c>
      <c r="N914">
        <f>IFERROR($J914/IF($A914&lt;COUNTIFS($K$1:N$1,"&lt;&gt;"),0,SUMIFS($J:$J,$B:$B,$B914,$A:$A,"&gt;="&amp;COUNTIFS($K$1:N$1,"&lt;&gt;"))),0)</f>
        <v>0</v>
      </c>
      <c r="O914">
        <f>IFERROR($J914/IF($A914&lt;COUNTIFS($K$1:O$1,"&lt;&gt;"),0,SUMIFS($J:$J,$B:$B,$B914,$A:$A,"&gt;="&amp;COUNTIFS($K$1:O$1,"&lt;&gt;"))),0)</f>
        <v>0</v>
      </c>
      <c r="P914">
        <f>IFERROR($J914/IF($A914&lt;COUNTIFS($K$1:P$1,"&lt;&gt;"),0,SUMIFS($J:$J,$B:$B,$B914,$A:$A,"&gt;="&amp;COUNTIFS($K$1:P$1,"&lt;&gt;"))),0)</f>
        <v>0</v>
      </c>
      <c r="Q914">
        <f>IFERROR($J914/IF($A914&lt;COUNTIFS($K$1:Q$1,"&lt;&gt;"),0,SUMIFS($J:$J,$B:$B,$B914,$A:$A,"&gt;="&amp;COUNTIFS($K$1:Q$1,"&lt;&gt;"))),0)</f>
        <v>0</v>
      </c>
      <c r="R914">
        <f>IFERROR($J914/IF($A914&lt;COUNTIFS($K$1:R$1,"&lt;&gt;"),0,SUMIFS($J:$J,$B:$B,$B914,$A:$A,"&gt;="&amp;COUNTIFS($K$1:R$1,"&lt;&gt;"))),0)</f>
        <v>0</v>
      </c>
      <c r="S914">
        <f>IFERROR($J914/IF($A914&lt;COUNTIFS($K$1:S$1,"&lt;&gt;"),0,SUMIFS($J:$J,$B:$B,$B914,$A:$A,"&gt;="&amp;COUNTIFS($K$1:S$1,"&lt;&gt;"))),0)</f>
        <v>0</v>
      </c>
      <c r="T914">
        <f>IFERROR($J914/IF($A914&lt;COUNTIFS($K$1:T$1,"&lt;&gt;"),0,SUMIFS($J:$J,$B:$B,$B914,$A:$A,"&gt;="&amp;COUNTIFS($K$1:T$1,"&lt;&gt;"))),0)</f>
        <v>0</v>
      </c>
      <c r="U914">
        <f>IFERROR($J914/IF($A914&lt;COUNTIFS($K$1:U$1,"&lt;&gt;"),0,SUMIFS($J:$J,$B:$B,$B914,$A:$A,"&gt;="&amp;COUNTIFS($K$1:U$1,"&lt;&gt;"))),0)</f>
        <v>0</v>
      </c>
      <c r="V914">
        <f>IFERROR($J914/IF($A914&lt;COUNTIFS($K$1:V$1,"&lt;&gt;"),0,SUMIFS($J:$J,$B:$B,$B914,$A:$A,"&gt;="&amp;COUNTIFS($K$1:V$1,"&lt;&gt;"))),0)</f>
        <v>0</v>
      </c>
      <c r="W914">
        <f t="shared" si="332"/>
        <v>8.4931506849315067E-2</v>
      </c>
      <c r="X914">
        <f t="shared" si="312"/>
        <v>8.4931506849315067E-2</v>
      </c>
      <c r="Y914">
        <f t="shared" si="313"/>
        <v>8.4931506849315067E-2</v>
      </c>
      <c r="Z914">
        <f t="shared" si="314"/>
        <v>0</v>
      </c>
      <c r="AA914">
        <f t="shared" si="315"/>
        <v>0</v>
      </c>
      <c r="AB914">
        <f t="shared" si="316"/>
        <v>0</v>
      </c>
      <c r="AC914">
        <f t="shared" si="317"/>
        <v>0</v>
      </c>
      <c r="AD914">
        <f t="shared" si="318"/>
        <v>0</v>
      </c>
      <c r="AE914">
        <f t="shared" si="319"/>
        <v>0</v>
      </c>
      <c r="AF914">
        <f t="shared" si="320"/>
        <v>0</v>
      </c>
      <c r="AG914">
        <f t="shared" si="321"/>
        <v>0</v>
      </c>
      <c r="AH914">
        <f t="shared" si="322"/>
        <v>0</v>
      </c>
      <c r="AI914">
        <f t="shared" si="323"/>
        <v>0</v>
      </c>
      <c r="AJ914" s="2" t="str">
        <f t="shared" si="333"/>
        <v>245962</v>
      </c>
    </row>
    <row r="915" spans="1:36" x14ac:dyDescent="0.25">
      <c r="A915">
        <v>3</v>
      </c>
      <c r="B915" s="1">
        <v>45962</v>
      </c>
      <c r="C915" s="1">
        <f t="shared" si="324"/>
        <v>46054</v>
      </c>
      <c r="D915" s="1">
        <f t="shared" si="325"/>
        <v>45976</v>
      </c>
      <c r="E915" s="1">
        <f t="shared" si="326"/>
        <v>46054</v>
      </c>
      <c r="F915" s="1">
        <f t="shared" si="327"/>
        <v>46082</v>
      </c>
      <c r="G915" s="1">
        <f t="shared" si="328"/>
        <v>46341</v>
      </c>
      <c r="H915">
        <f t="shared" si="329"/>
        <v>365</v>
      </c>
      <c r="I915">
        <f t="shared" si="330"/>
        <v>28</v>
      </c>
      <c r="J915">
        <f t="shared" si="331"/>
        <v>7.6712328767123292E-2</v>
      </c>
      <c r="K915">
        <f>IFERROR($J915/IF($A915&lt;COUNTIFS($K$1:K$1,"&lt;&gt;"),0,SUMIFS($J:$J,$B:$B,$B915,$A:$A,"&gt;="&amp;COUNTIFS($K$1:K$1,"&lt;&gt;"))),0)</f>
        <v>8.0229226361031539E-2</v>
      </c>
      <c r="L915">
        <f>IFERROR($J915/IF($A915&lt;COUNTIFS($K$1:L$1,"&lt;&gt;"),0,SUMIFS($J:$J,$B:$B,$B915,$A:$A,"&gt;="&amp;COUNTIFS($K$1:L$1,"&lt;&gt;"))),0)</f>
        <v>8.8050314465408827E-2</v>
      </c>
      <c r="M915">
        <f>IFERROR($J915/IF($A915&lt;COUNTIFS($K$1:M$1,"&lt;&gt;"),0,SUMIFS($J:$J,$B:$B,$B915,$A:$A,"&gt;="&amp;COUNTIFS($K$1:M$1,"&lt;&gt;"))),0)</f>
        <v>9.7560975609756115E-2</v>
      </c>
      <c r="N915">
        <f>IFERROR($J915/IF($A915&lt;COUNTIFS($K$1:N$1,"&lt;&gt;"),0,SUMIFS($J:$J,$B:$B,$B915,$A:$A,"&gt;="&amp;COUNTIFS($K$1:N$1,"&lt;&gt;"))),0)</f>
        <v>0</v>
      </c>
      <c r="O915">
        <f>IFERROR($J915/IF($A915&lt;COUNTIFS($K$1:O$1,"&lt;&gt;"),0,SUMIFS($J:$J,$B:$B,$B915,$A:$A,"&gt;="&amp;COUNTIFS($K$1:O$1,"&lt;&gt;"))),0)</f>
        <v>0</v>
      </c>
      <c r="P915">
        <f>IFERROR($J915/IF($A915&lt;COUNTIFS($K$1:P$1,"&lt;&gt;"),0,SUMIFS($J:$J,$B:$B,$B915,$A:$A,"&gt;="&amp;COUNTIFS($K$1:P$1,"&lt;&gt;"))),0)</f>
        <v>0</v>
      </c>
      <c r="Q915">
        <f>IFERROR($J915/IF($A915&lt;COUNTIFS($K$1:Q$1,"&lt;&gt;"),0,SUMIFS($J:$J,$B:$B,$B915,$A:$A,"&gt;="&amp;COUNTIFS($K$1:Q$1,"&lt;&gt;"))),0)</f>
        <v>0</v>
      </c>
      <c r="R915">
        <f>IFERROR($J915/IF($A915&lt;COUNTIFS($K$1:R$1,"&lt;&gt;"),0,SUMIFS($J:$J,$B:$B,$B915,$A:$A,"&gt;="&amp;COUNTIFS($K$1:R$1,"&lt;&gt;"))),0)</f>
        <v>0</v>
      </c>
      <c r="S915">
        <f>IFERROR($J915/IF($A915&lt;COUNTIFS($K$1:S$1,"&lt;&gt;"),0,SUMIFS($J:$J,$B:$B,$B915,$A:$A,"&gt;="&amp;COUNTIFS($K$1:S$1,"&lt;&gt;"))),0)</f>
        <v>0</v>
      </c>
      <c r="T915">
        <f>IFERROR($J915/IF($A915&lt;COUNTIFS($K$1:T$1,"&lt;&gt;"),0,SUMIFS($J:$J,$B:$B,$B915,$A:$A,"&gt;="&amp;COUNTIFS($K$1:T$1,"&lt;&gt;"))),0)</f>
        <v>0</v>
      </c>
      <c r="U915">
        <f>IFERROR($J915/IF($A915&lt;COUNTIFS($K$1:U$1,"&lt;&gt;"),0,SUMIFS($J:$J,$B:$B,$B915,$A:$A,"&gt;="&amp;COUNTIFS($K$1:U$1,"&lt;&gt;"))),0)</f>
        <v>0</v>
      </c>
      <c r="V915">
        <f>IFERROR($J915/IF($A915&lt;COUNTIFS($K$1:V$1,"&lt;&gt;"),0,SUMIFS($J:$J,$B:$B,$B915,$A:$A,"&gt;="&amp;COUNTIFS($K$1:V$1,"&lt;&gt;"))),0)</f>
        <v>0</v>
      </c>
      <c r="W915">
        <f t="shared" si="332"/>
        <v>7.6712328767123292E-2</v>
      </c>
      <c r="X915">
        <f t="shared" si="312"/>
        <v>7.6712328767123292E-2</v>
      </c>
      <c r="Y915">
        <f t="shared" si="313"/>
        <v>7.6712328767123292E-2</v>
      </c>
      <c r="Z915">
        <f t="shared" si="314"/>
        <v>7.6712328767123292E-2</v>
      </c>
      <c r="AA915">
        <f t="shared" si="315"/>
        <v>0</v>
      </c>
      <c r="AB915">
        <f t="shared" si="316"/>
        <v>0</v>
      </c>
      <c r="AC915">
        <f t="shared" si="317"/>
        <v>0</v>
      </c>
      <c r="AD915">
        <f t="shared" si="318"/>
        <v>0</v>
      </c>
      <c r="AE915">
        <f t="shared" si="319"/>
        <v>0</v>
      </c>
      <c r="AF915">
        <f t="shared" si="320"/>
        <v>0</v>
      </c>
      <c r="AG915">
        <f t="shared" si="321"/>
        <v>0</v>
      </c>
      <c r="AH915">
        <f t="shared" si="322"/>
        <v>0</v>
      </c>
      <c r="AI915">
        <f t="shared" si="323"/>
        <v>0</v>
      </c>
      <c r="AJ915" s="2" t="str">
        <f t="shared" si="333"/>
        <v>345962</v>
      </c>
    </row>
    <row r="916" spans="1:36" x14ac:dyDescent="0.25">
      <c r="A916">
        <v>4</v>
      </c>
      <c r="B916" s="1">
        <v>45962</v>
      </c>
      <c r="C916" s="1">
        <f t="shared" si="324"/>
        <v>46082</v>
      </c>
      <c r="D916" s="1">
        <f t="shared" si="325"/>
        <v>45976</v>
      </c>
      <c r="E916" s="1">
        <f t="shared" si="326"/>
        <v>46082</v>
      </c>
      <c r="F916" s="1">
        <f t="shared" si="327"/>
        <v>46113</v>
      </c>
      <c r="G916" s="1">
        <f t="shared" si="328"/>
        <v>46341</v>
      </c>
      <c r="H916">
        <f t="shared" si="329"/>
        <v>365</v>
      </c>
      <c r="I916">
        <f t="shared" si="330"/>
        <v>31</v>
      </c>
      <c r="J916">
        <f t="shared" si="331"/>
        <v>8.4931506849315067E-2</v>
      </c>
      <c r="K916">
        <f>IFERROR($J916/IF($A916&lt;COUNTIFS($K$1:K$1,"&lt;&gt;"),0,SUMIFS($J:$J,$B:$B,$B916,$A:$A,"&gt;="&amp;COUNTIFS($K$1:K$1,"&lt;&gt;"))),0)</f>
        <v>8.8825214899713484E-2</v>
      </c>
      <c r="L916">
        <f>IFERROR($J916/IF($A916&lt;COUNTIFS($K$1:L$1,"&lt;&gt;"),0,SUMIFS($J:$J,$B:$B,$B916,$A:$A,"&gt;="&amp;COUNTIFS($K$1:L$1,"&lt;&gt;"))),0)</f>
        <v>9.7484276729559768E-2</v>
      </c>
      <c r="M916">
        <f>IFERROR($J916/IF($A916&lt;COUNTIFS($K$1:M$1,"&lt;&gt;"),0,SUMIFS($J:$J,$B:$B,$B916,$A:$A,"&gt;="&amp;COUNTIFS($K$1:M$1,"&lt;&gt;"))),0)</f>
        <v>0.10801393728222998</v>
      </c>
      <c r="N916">
        <f>IFERROR($J916/IF($A916&lt;COUNTIFS($K$1:N$1,"&lt;&gt;"),0,SUMIFS($J:$J,$B:$B,$B916,$A:$A,"&gt;="&amp;COUNTIFS($K$1:N$1,"&lt;&gt;"))),0)</f>
        <v>0.11969111969111972</v>
      </c>
      <c r="O916">
        <f>IFERROR($J916/IF($A916&lt;COUNTIFS($K$1:O$1,"&lt;&gt;"),0,SUMIFS($J:$J,$B:$B,$B916,$A:$A,"&gt;="&amp;COUNTIFS($K$1:O$1,"&lt;&gt;"))),0)</f>
        <v>0</v>
      </c>
      <c r="P916">
        <f>IFERROR($J916/IF($A916&lt;COUNTIFS($K$1:P$1,"&lt;&gt;"),0,SUMIFS($J:$J,$B:$B,$B916,$A:$A,"&gt;="&amp;COUNTIFS($K$1:P$1,"&lt;&gt;"))),0)</f>
        <v>0</v>
      </c>
      <c r="Q916">
        <f>IFERROR($J916/IF($A916&lt;COUNTIFS($K$1:Q$1,"&lt;&gt;"),0,SUMIFS($J:$J,$B:$B,$B916,$A:$A,"&gt;="&amp;COUNTIFS($K$1:Q$1,"&lt;&gt;"))),0)</f>
        <v>0</v>
      </c>
      <c r="R916">
        <f>IFERROR($J916/IF($A916&lt;COUNTIFS($K$1:R$1,"&lt;&gt;"),0,SUMIFS($J:$J,$B:$B,$B916,$A:$A,"&gt;="&amp;COUNTIFS($K$1:R$1,"&lt;&gt;"))),0)</f>
        <v>0</v>
      </c>
      <c r="S916">
        <f>IFERROR($J916/IF($A916&lt;COUNTIFS($K$1:S$1,"&lt;&gt;"),0,SUMIFS($J:$J,$B:$B,$B916,$A:$A,"&gt;="&amp;COUNTIFS($K$1:S$1,"&lt;&gt;"))),0)</f>
        <v>0</v>
      </c>
      <c r="T916">
        <f>IFERROR($J916/IF($A916&lt;COUNTIFS($K$1:T$1,"&lt;&gt;"),0,SUMIFS($J:$J,$B:$B,$B916,$A:$A,"&gt;="&amp;COUNTIFS($K$1:T$1,"&lt;&gt;"))),0)</f>
        <v>0</v>
      </c>
      <c r="U916">
        <f>IFERROR($J916/IF($A916&lt;COUNTIFS($K$1:U$1,"&lt;&gt;"),0,SUMIFS($J:$J,$B:$B,$B916,$A:$A,"&gt;="&amp;COUNTIFS($K$1:U$1,"&lt;&gt;"))),0)</f>
        <v>0</v>
      </c>
      <c r="V916">
        <f>IFERROR($J916/IF($A916&lt;COUNTIFS($K$1:V$1,"&lt;&gt;"),0,SUMIFS($J:$J,$B:$B,$B916,$A:$A,"&gt;="&amp;COUNTIFS($K$1:V$1,"&lt;&gt;"))),0)</f>
        <v>0</v>
      </c>
      <c r="W916">
        <f t="shared" si="332"/>
        <v>8.4931506849315067E-2</v>
      </c>
      <c r="X916">
        <f t="shared" si="312"/>
        <v>8.4931506849315067E-2</v>
      </c>
      <c r="Y916">
        <f t="shared" si="313"/>
        <v>8.4931506849315067E-2</v>
      </c>
      <c r="Z916">
        <f t="shared" si="314"/>
        <v>8.4931506849315067E-2</v>
      </c>
      <c r="AA916">
        <f t="shared" si="315"/>
        <v>8.4931506849315067E-2</v>
      </c>
      <c r="AB916">
        <f t="shared" si="316"/>
        <v>0</v>
      </c>
      <c r="AC916">
        <f t="shared" si="317"/>
        <v>0</v>
      </c>
      <c r="AD916">
        <f t="shared" si="318"/>
        <v>0</v>
      </c>
      <c r="AE916">
        <f t="shared" si="319"/>
        <v>0</v>
      </c>
      <c r="AF916">
        <f t="shared" si="320"/>
        <v>0</v>
      </c>
      <c r="AG916">
        <f t="shared" si="321"/>
        <v>0</v>
      </c>
      <c r="AH916">
        <f t="shared" si="322"/>
        <v>0</v>
      </c>
      <c r="AI916">
        <f t="shared" si="323"/>
        <v>0</v>
      </c>
      <c r="AJ916" s="2" t="str">
        <f t="shared" si="333"/>
        <v>445962</v>
      </c>
    </row>
    <row r="917" spans="1:36" x14ac:dyDescent="0.25">
      <c r="A917">
        <v>5</v>
      </c>
      <c r="B917" s="1">
        <v>45962</v>
      </c>
      <c r="C917" s="1">
        <f t="shared" si="324"/>
        <v>46113</v>
      </c>
      <c r="D917" s="1">
        <f t="shared" si="325"/>
        <v>45976</v>
      </c>
      <c r="E917" s="1">
        <f t="shared" si="326"/>
        <v>46113</v>
      </c>
      <c r="F917" s="1">
        <f t="shared" si="327"/>
        <v>46143</v>
      </c>
      <c r="G917" s="1">
        <f t="shared" si="328"/>
        <v>46341</v>
      </c>
      <c r="H917">
        <f t="shared" si="329"/>
        <v>365</v>
      </c>
      <c r="I917">
        <f t="shared" si="330"/>
        <v>30</v>
      </c>
      <c r="J917">
        <f t="shared" si="331"/>
        <v>8.2191780821917804E-2</v>
      </c>
      <c r="K917">
        <f>IFERROR($J917/IF($A917&lt;COUNTIFS($K$1:K$1,"&lt;&gt;"),0,SUMIFS($J:$J,$B:$B,$B917,$A:$A,"&gt;="&amp;COUNTIFS($K$1:K$1,"&lt;&gt;"))),0)</f>
        <v>8.5959885386819493E-2</v>
      </c>
      <c r="L917">
        <f>IFERROR($J917/IF($A917&lt;COUNTIFS($K$1:L$1,"&lt;&gt;"),0,SUMIFS($J:$J,$B:$B,$B917,$A:$A,"&gt;="&amp;COUNTIFS($K$1:L$1,"&lt;&gt;"))),0)</f>
        <v>9.4339622641509441E-2</v>
      </c>
      <c r="M917">
        <f>IFERROR($J917/IF($A917&lt;COUNTIFS($K$1:M$1,"&lt;&gt;"),0,SUMIFS($J:$J,$B:$B,$B917,$A:$A,"&gt;="&amp;COUNTIFS($K$1:M$1,"&lt;&gt;"))),0)</f>
        <v>0.10452961672473869</v>
      </c>
      <c r="N917">
        <f>IFERROR($J917/IF($A917&lt;COUNTIFS($K$1:N$1,"&lt;&gt;"),0,SUMIFS($J:$J,$B:$B,$B917,$A:$A,"&gt;="&amp;COUNTIFS($K$1:N$1,"&lt;&gt;"))),0)</f>
        <v>0.11583011583011585</v>
      </c>
      <c r="O917">
        <f>IFERROR($J917/IF($A917&lt;COUNTIFS($K$1:O$1,"&lt;&gt;"),0,SUMIFS($J:$J,$B:$B,$B917,$A:$A,"&gt;="&amp;COUNTIFS($K$1:O$1,"&lt;&gt;"))),0)</f>
        <v>0.13157894736842107</v>
      </c>
      <c r="P917">
        <f>IFERROR($J917/IF($A917&lt;COUNTIFS($K$1:P$1,"&lt;&gt;"),0,SUMIFS($J:$J,$B:$B,$B917,$A:$A,"&gt;="&amp;COUNTIFS($K$1:P$1,"&lt;&gt;"))),0)</f>
        <v>0</v>
      </c>
      <c r="Q917">
        <f>IFERROR($J917/IF($A917&lt;COUNTIFS($K$1:Q$1,"&lt;&gt;"),0,SUMIFS($J:$J,$B:$B,$B917,$A:$A,"&gt;="&amp;COUNTIFS($K$1:Q$1,"&lt;&gt;"))),0)</f>
        <v>0</v>
      </c>
      <c r="R917">
        <f>IFERROR($J917/IF($A917&lt;COUNTIFS($K$1:R$1,"&lt;&gt;"),0,SUMIFS($J:$J,$B:$B,$B917,$A:$A,"&gt;="&amp;COUNTIFS($K$1:R$1,"&lt;&gt;"))),0)</f>
        <v>0</v>
      </c>
      <c r="S917">
        <f>IFERROR($J917/IF($A917&lt;COUNTIFS($K$1:S$1,"&lt;&gt;"),0,SUMIFS($J:$J,$B:$B,$B917,$A:$A,"&gt;="&amp;COUNTIFS($K$1:S$1,"&lt;&gt;"))),0)</f>
        <v>0</v>
      </c>
      <c r="T917">
        <f>IFERROR($J917/IF($A917&lt;COUNTIFS($K$1:T$1,"&lt;&gt;"),0,SUMIFS($J:$J,$B:$B,$B917,$A:$A,"&gt;="&amp;COUNTIFS($K$1:T$1,"&lt;&gt;"))),0)</f>
        <v>0</v>
      </c>
      <c r="U917">
        <f>IFERROR($J917/IF($A917&lt;COUNTIFS($K$1:U$1,"&lt;&gt;"),0,SUMIFS($J:$J,$B:$B,$B917,$A:$A,"&gt;="&amp;COUNTIFS($K$1:U$1,"&lt;&gt;"))),0)</f>
        <v>0</v>
      </c>
      <c r="V917">
        <f>IFERROR($J917/IF($A917&lt;COUNTIFS($K$1:V$1,"&lt;&gt;"),0,SUMIFS($J:$J,$B:$B,$B917,$A:$A,"&gt;="&amp;COUNTIFS($K$1:V$1,"&lt;&gt;"))),0)</f>
        <v>0</v>
      </c>
      <c r="W917">
        <f t="shared" si="332"/>
        <v>8.2191780821917804E-2</v>
      </c>
      <c r="X917">
        <f t="shared" si="312"/>
        <v>8.2191780821917804E-2</v>
      </c>
      <c r="Y917">
        <f t="shared" si="313"/>
        <v>8.2191780821917804E-2</v>
      </c>
      <c r="Z917">
        <f t="shared" si="314"/>
        <v>8.2191780821917804E-2</v>
      </c>
      <c r="AA917">
        <f t="shared" si="315"/>
        <v>8.2191780821917804E-2</v>
      </c>
      <c r="AB917">
        <f t="shared" si="316"/>
        <v>8.2191780821917804E-2</v>
      </c>
      <c r="AC917">
        <f t="shared" si="317"/>
        <v>0</v>
      </c>
      <c r="AD917">
        <f t="shared" si="318"/>
        <v>0</v>
      </c>
      <c r="AE917">
        <f t="shared" si="319"/>
        <v>0</v>
      </c>
      <c r="AF917">
        <f t="shared" si="320"/>
        <v>0</v>
      </c>
      <c r="AG917">
        <f t="shared" si="321"/>
        <v>0</v>
      </c>
      <c r="AH917">
        <f t="shared" si="322"/>
        <v>0</v>
      </c>
      <c r="AI917">
        <f t="shared" si="323"/>
        <v>0</v>
      </c>
      <c r="AJ917" s="2" t="str">
        <f t="shared" si="333"/>
        <v>545962</v>
      </c>
    </row>
    <row r="918" spans="1:36" x14ac:dyDescent="0.25">
      <c r="A918">
        <v>6</v>
      </c>
      <c r="B918" s="1">
        <v>45962</v>
      </c>
      <c r="C918" s="1">
        <f t="shared" si="324"/>
        <v>46143</v>
      </c>
      <c r="D918" s="1">
        <f t="shared" si="325"/>
        <v>45976</v>
      </c>
      <c r="E918" s="1">
        <f t="shared" si="326"/>
        <v>46143</v>
      </c>
      <c r="F918" s="1">
        <f t="shared" si="327"/>
        <v>46174</v>
      </c>
      <c r="G918" s="1">
        <f t="shared" si="328"/>
        <v>46341</v>
      </c>
      <c r="H918">
        <f t="shared" si="329"/>
        <v>365</v>
      </c>
      <c r="I918">
        <f t="shared" si="330"/>
        <v>31</v>
      </c>
      <c r="J918">
        <f t="shared" si="331"/>
        <v>8.4931506849315067E-2</v>
      </c>
      <c r="K918">
        <f>IFERROR($J918/IF($A918&lt;COUNTIFS($K$1:K$1,"&lt;&gt;"),0,SUMIFS($J:$J,$B:$B,$B918,$A:$A,"&gt;="&amp;COUNTIFS($K$1:K$1,"&lt;&gt;"))),0)</f>
        <v>8.8825214899713484E-2</v>
      </c>
      <c r="L918">
        <f>IFERROR($J918/IF($A918&lt;COUNTIFS($K$1:L$1,"&lt;&gt;"),0,SUMIFS($J:$J,$B:$B,$B918,$A:$A,"&gt;="&amp;COUNTIFS($K$1:L$1,"&lt;&gt;"))),0)</f>
        <v>9.7484276729559768E-2</v>
      </c>
      <c r="M918">
        <f>IFERROR($J918/IF($A918&lt;COUNTIFS($K$1:M$1,"&lt;&gt;"),0,SUMIFS($J:$J,$B:$B,$B918,$A:$A,"&gt;="&amp;COUNTIFS($K$1:M$1,"&lt;&gt;"))),0)</f>
        <v>0.10801393728222998</v>
      </c>
      <c r="N918">
        <f>IFERROR($J918/IF($A918&lt;COUNTIFS($K$1:N$1,"&lt;&gt;"),0,SUMIFS($J:$J,$B:$B,$B918,$A:$A,"&gt;="&amp;COUNTIFS($K$1:N$1,"&lt;&gt;"))),0)</f>
        <v>0.11969111969111972</v>
      </c>
      <c r="O918">
        <f>IFERROR($J918/IF($A918&lt;COUNTIFS($K$1:O$1,"&lt;&gt;"),0,SUMIFS($J:$J,$B:$B,$B918,$A:$A,"&gt;="&amp;COUNTIFS($K$1:O$1,"&lt;&gt;"))),0)</f>
        <v>0.13596491228070179</v>
      </c>
      <c r="P918">
        <f>IFERROR($J918/IF($A918&lt;COUNTIFS($K$1:P$1,"&lt;&gt;"),0,SUMIFS($J:$J,$B:$B,$B918,$A:$A,"&gt;="&amp;COUNTIFS($K$1:P$1,"&lt;&gt;"))),0)</f>
        <v>0.1565656565656566</v>
      </c>
      <c r="Q918">
        <f>IFERROR($J918/IF($A918&lt;COUNTIFS($K$1:Q$1,"&lt;&gt;"),0,SUMIFS($J:$J,$B:$B,$B918,$A:$A,"&gt;="&amp;COUNTIFS($K$1:Q$1,"&lt;&gt;"))),0)</f>
        <v>0</v>
      </c>
      <c r="R918">
        <f>IFERROR($J918/IF($A918&lt;COUNTIFS($K$1:R$1,"&lt;&gt;"),0,SUMIFS($J:$J,$B:$B,$B918,$A:$A,"&gt;="&amp;COUNTIFS($K$1:R$1,"&lt;&gt;"))),0)</f>
        <v>0</v>
      </c>
      <c r="S918">
        <f>IFERROR($J918/IF($A918&lt;COUNTIFS($K$1:S$1,"&lt;&gt;"),0,SUMIFS($J:$J,$B:$B,$B918,$A:$A,"&gt;="&amp;COUNTIFS($K$1:S$1,"&lt;&gt;"))),0)</f>
        <v>0</v>
      </c>
      <c r="T918">
        <f>IFERROR($J918/IF($A918&lt;COUNTIFS($K$1:T$1,"&lt;&gt;"),0,SUMIFS($J:$J,$B:$B,$B918,$A:$A,"&gt;="&amp;COUNTIFS($K$1:T$1,"&lt;&gt;"))),0)</f>
        <v>0</v>
      </c>
      <c r="U918">
        <f>IFERROR($J918/IF($A918&lt;COUNTIFS($K$1:U$1,"&lt;&gt;"),0,SUMIFS($J:$J,$B:$B,$B918,$A:$A,"&gt;="&amp;COUNTIFS($K$1:U$1,"&lt;&gt;"))),0)</f>
        <v>0</v>
      </c>
      <c r="V918">
        <f>IFERROR($J918/IF($A918&lt;COUNTIFS($K$1:V$1,"&lt;&gt;"),0,SUMIFS($J:$J,$B:$B,$B918,$A:$A,"&gt;="&amp;COUNTIFS($K$1:V$1,"&lt;&gt;"))),0)</f>
        <v>0</v>
      </c>
      <c r="W918">
        <f t="shared" si="332"/>
        <v>8.4931506849315067E-2</v>
      </c>
      <c r="X918">
        <f t="shared" si="312"/>
        <v>8.4931506849315067E-2</v>
      </c>
      <c r="Y918">
        <f t="shared" si="313"/>
        <v>8.4931506849315067E-2</v>
      </c>
      <c r="Z918">
        <f t="shared" si="314"/>
        <v>8.4931506849315067E-2</v>
      </c>
      <c r="AA918">
        <f t="shared" si="315"/>
        <v>8.4931506849315067E-2</v>
      </c>
      <c r="AB918">
        <f t="shared" si="316"/>
        <v>8.4931506849315067E-2</v>
      </c>
      <c r="AC918">
        <f t="shared" si="317"/>
        <v>8.4931506849315067E-2</v>
      </c>
      <c r="AD918">
        <f t="shared" si="318"/>
        <v>0</v>
      </c>
      <c r="AE918">
        <f t="shared" si="319"/>
        <v>0</v>
      </c>
      <c r="AF918">
        <f t="shared" si="320"/>
        <v>0</v>
      </c>
      <c r="AG918">
        <f t="shared" si="321"/>
        <v>0</v>
      </c>
      <c r="AH918">
        <f t="shared" si="322"/>
        <v>0</v>
      </c>
      <c r="AI918">
        <f t="shared" si="323"/>
        <v>0</v>
      </c>
      <c r="AJ918" s="2" t="str">
        <f t="shared" si="333"/>
        <v>645962</v>
      </c>
    </row>
    <row r="919" spans="1:36" x14ac:dyDescent="0.25">
      <c r="A919">
        <v>7</v>
      </c>
      <c r="B919" s="1">
        <v>45962</v>
      </c>
      <c r="C919" s="1">
        <f t="shared" si="324"/>
        <v>46174</v>
      </c>
      <c r="D919" s="1">
        <f t="shared" si="325"/>
        <v>45976</v>
      </c>
      <c r="E919" s="1">
        <f t="shared" si="326"/>
        <v>46174</v>
      </c>
      <c r="F919" s="1">
        <f t="shared" si="327"/>
        <v>46204</v>
      </c>
      <c r="G919" s="1">
        <f t="shared" si="328"/>
        <v>46341</v>
      </c>
      <c r="H919">
        <f t="shared" si="329"/>
        <v>365</v>
      </c>
      <c r="I919">
        <f t="shared" si="330"/>
        <v>30</v>
      </c>
      <c r="J919">
        <f t="shared" si="331"/>
        <v>8.2191780821917804E-2</v>
      </c>
      <c r="K919">
        <f>IFERROR($J919/IF($A919&lt;COUNTIFS($K$1:K$1,"&lt;&gt;"),0,SUMIFS($J:$J,$B:$B,$B919,$A:$A,"&gt;="&amp;COUNTIFS($K$1:K$1,"&lt;&gt;"))),0)</f>
        <v>8.5959885386819493E-2</v>
      </c>
      <c r="L919">
        <f>IFERROR($J919/IF($A919&lt;COUNTIFS($K$1:L$1,"&lt;&gt;"),0,SUMIFS($J:$J,$B:$B,$B919,$A:$A,"&gt;="&amp;COUNTIFS($K$1:L$1,"&lt;&gt;"))),0)</f>
        <v>9.4339622641509441E-2</v>
      </c>
      <c r="M919">
        <f>IFERROR($J919/IF($A919&lt;COUNTIFS($K$1:M$1,"&lt;&gt;"),0,SUMIFS($J:$J,$B:$B,$B919,$A:$A,"&gt;="&amp;COUNTIFS($K$1:M$1,"&lt;&gt;"))),0)</f>
        <v>0.10452961672473869</v>
      </c>
      <c r="N919">
        <f>IFERROR($J919/IF($A919&lt;COUNTIFS($K$1:N$1,"&lt;&gt;"),0,SUMIFS($J:$J,$B:$B,$B919,$A:$A,"&gt;="&amp;COUNTIFS($K$1:N$1,"&lt;&gt;"))),0)</f>
        <v>0.11583011583011585</v>
      </c>
      <c r="O919">
        <f>IFERROR($J919/IF($A919&lt;COUNTIFS($K$1:O$1,"&lt;&gt;"),0,SUMIFS($J:$J,$B:$B,$B919,$A:$A,"&gt;="&amp;COUNTIFS($K$1:O$1,"&lt;&gt;"))),0)</f>
        <v>0.13157894736842107</v>
      </c>
      <c r="P919">
        <f>IFERROR($J919/IF($A919&lt;COUNTIFS($K$1:P$1,"&lt;&gt;"),0,SUMIFS($J:$J,$B:$B,$B919,$A:$A,"&gt;="&amp;COUNTIFS($K$1:P$1,"&lt;&gt;"))),0)</f>
        <v>0.15151515151515155</v>
      </c>
      <c r="Q919">
        <f>IFERROR($J919/IF($A919&lt;COUNTIFS($K$1:Q$1,"&lt;&gt;"),0,SUMIFS($J:$J,$B:$B,$B919,$A:$A,"&gt;="&amp;COUNTIFS($K$1:Q$1,"&lt;&gt;"))),0)</f>
        <v>0.17964071856287425</v>
      </c>
      <c r="R919">
        <f>IFERROR($J919/IF($A919&lt;COUNTIFS($K$1:R$1,"&lt;&gt;"),0,SUMIFS($J:$J,$B:$B,$B919,$A:$A,"&gt;="&amp;COUNTIFS($K$1:R$1,"&lt;&gt;"))),0)</f>
        <v>0</v>
      </c>
      <c r="S919">
        <f>IFERROR($J919/IF($A919&lt;COUNTIFS($K$1:S$1,"&lt;&gt;"),0,SUMIFS($J:$J,$B:$B,$B919,$A:$A,"&gt;="&amp;COUNTIFS($K$1:S$1,"&lt;&gt;"))),0)</f>
        <v>0</v>
      </c>
      <c r="T919">
        <f>IFERROR($J919/IF($A919&lt;COUNTIFS($K$1:T$1,"&lt;&gt;"),0,SUMIFS($J:$J,$B:$B,$B919,$A:$A,"&gt;="&amp;COUNTIFS($K$1:T$1,"&lt;&gt;"))),0)</f>
        <v>0</v>
      </c>
      <c r="U919">
        <f>IFERROR($J919/IF($A919&lt;COUNTIFS($K$1:U$1,"&lt;&gt;"),0,SUMIFS($J:$J,$B:$B,$B919,$A:$A,"&gt;="&amp;COUNTIFS($K$1:U$1,"&lt;&gt;"))),0)</f>
        <v>0</v>
      </c>
      <c r="V919">
        <f>IFERROR($J919/IF($A919&lt;COUNTIFS($K$1:V$1,"&lt;&gt;"),0,SUMIFS($J:$J,$B:$B,$B919,$A:$A,"&gt;="&amp;COUNTIFS($K$1:V$1,"&lt;&gt;"))),0)</f>
        <v>0</v>
      </c>
      <c r="W919">
        <f t="shared" si="332"/>
        <v>8.2191780821917804E-2</v>
      </c>
      <c r="X919">
        <f t="shared" si="312"/>
        <v>8.2191780821917804E-2</v>
      </c>
      <c r="Y919">
        <f t="shared" si="313"/>
        <v>8.2191780821917804E-2</v>
      </c>
      <c r="Z919">
        <f t="shared" si="314"/>
        <v>8.2191780821917804E-2</v>
      </c>
      <c r="AA919">
        <f t="shared" si="315"/>
        <v>8.2191780821917804E-2</v>
      </c>
      <c r="AB919">
        <f t="shared" si="316"/>
        <v>8.2191780821917804E-2</v>
      </c>
      <c r="AC919">
        <f t="shared" si="317"/>
        <v>8.2191780821917804E-2</v>
      </c>
      <c r="AD919">
        <f t="shared" si="318"/>
        <v>8.2191780821917804E-2</v>
      </c>
      <c r="AE919">
        <f t="shared" si="319"/>
        <v>0</v>
      </c>
      <c r="AF919">
        <f t="shared" si="320"/>
        <v>0</v>
      </c>
      <c r="AG919">
        <f t="shared" si="321"/>
        <v>0</v>
      </c>
      <c r="AH919">
        <f t="shared" si="322"/>
        <v>0</v>
      </c>
      <c r="AI919">
        <f t="shared" si="323"/>
        <v>0</v>
      </c>
      <c r="AJ919" s="2" t="str">
        <f t="shared" si="333"/>
        <v>745962</v>
      </c>
    </row>
    <row r="920" spans="1:36" x14ac:dyDescent="0.25">
      <c r="A920">
        <v>8</v>
      </c>
      <c r="B920" s="1">
        <v>45962</v>
      </c>
      <c r="C920" s="1">
        <f t="shared" si="324"/>
        <v>46204</v>
      </c>
      <c r="D920" s="1">
        <f t="shared" si="325"/>
        <v>45976</v>
      </c>
      <c r="E920" s="1">
        <f t="shared" si="326"/>
        <v>46204</v>
      </c>
      <c r="F920" s="1">
        <f t="shared" si="327"/>
        <v>46235</v>
      </c>
      <c r="G920" s="1">
        <f t="shared" si="328"/>
        <v>46341</v>
      </c>
      <c r="H920">
        <f t="shared" si="329"/>
        <v>365</v>
      </c>
      <c r="I920">
        <f t="shared" si="330"/>
        <v>31</v>
      </c>
      <c r="J920">
        <f t="shared" si="331"/>
        <v>8.4931506849315067E-2</v>
      </c>
      <c r="K920">
        <f>IFERROR($J920/IF($A920&lt;COUNTIFS($K$1:K$1,"&lt;&gt;"),0,SUMIFS($J:$J,$B:$B,$B920,$A:$A,"&gt;="&amp;COUNTIFS($K$1:K$1,"&lt;&gt;"))),0)</f>
        <v>8.8825214899713484E-2</v>
      </c>
      <c r="L920">
        <f>IFERROR($J920/IF($A920&lt;COUNTIFS($K$1:L$1,"&lt;&gt;"),0,SUMIFS($J:$J,$B:$B,$B920,$A:$A,"&gt;="&amp;COUNTIFS($K$1:L$1,"&lt;&gt;"))),0)</f>
        <v>9.7484276729559768E-2</v>
      </c>
      <c r="M920">
        <f>IFERROR($J920/IF($A920&lt;COUNTIFS($K$1:M$1,"&lt;&gt;"),0,SUMIFS($J:$J,$B:$B,$B920,$A:$A,"&gt;="&amp;COUNTIFS($K$1:M$1,"&lt;&gt;"))),0)</f>
        <v>0.10801393728222998</v>
      </c>
      <c r="N920">
        <f>IFERROR($J920/IF($A920&lt;COUNTIFS($K$1:N$1,"&lt;&gt;"),0,SUMIFS($J:$J,$B:$B,$B920,$A:$A,"&gt;="&amp;COUNTIFS($K$1:N$1,"&lt;&gt;"))),0)</f>
        <v>0.11969111969111972</v>
      </c>
      <c r="O920">
        <f>IFERROR($J920/IF($A920&lt;COUNTIFS($K$1:O$1,"&lt;&gt;"),0,SUMIFS($J:$J,$B:$B,$B920,$A:$A,"&gt;="&amp;COUNTIFS($K$1:O$1,"&lt;&gt;"))),0)</f>
        <v>0.13596491228070179</v>
      </c>
      <c r="P920">
        <f>IFERROR($J920/IF($A920&lt;COUNTIFS($K$1:P$1,"&lt;&gt;"),0,SUMIFS($J:$J,$B:$B,$B920,$A:$A,"&gt;="&amp;COUNTIFS($K$1:P$1,"&lt;&gt;"))),0)</f>
        <v>0.1565656565656566</v>
      </c>
      <c r="Q920">
        <f>IFERROR($J920/IF($A920&lt;COUNTIFS($K$1:Q$1,"&lt;&gt;"),0,SUMIFS($J:$J,$B:$B,$B920,$A:$A,"&gt;="&amp;COUNTIFS($K$1:Q$1,"&lt;&gt;"))),0)</f>
        <v>0.18562874251497008</v>
      </c>
      <c r="R920">
        <f>IFERROR($J920/IF($A920&lt;COUNTIFS($K$1:R$1,"&lt;&gt;"),0,SUMIFS($J:$J,$B:$B,$B920,$A:$A,"&gt;="&amp;COUNTIFS($K$1:R$1,"&lt;&gt;"))),0)</f>
        <v>0.22627737226277375</v>
      </c>
      <c r="S920">
        <f>IFERROR($J920/IF($A920&lt;COUNTIFS($K$1:S$1,"&lt;&gt;"),0,SUMIFS($J:$J,$B:$B,$B920,$A:$A,"&gt;="&amp;COUNTIFS($K$1:S$1,"&lt;&gt;"))),0)</f>
        <v>0</v>
      </c>
      <c r="T920">
        <f>IFERROR($J920/IF($A920&lt;COUNTIFS($K$1:T$1,"&lt;&gt;"),0,SUMIFS($J:$J,$B:$B,$B920,$A:$A,"&gt;="&amp;COUNTIFS($K$1:T$1,"&lt;&gt;"))),0)</f>
        <v>0</v>
      </c>
      <c r="U920">
        <f>IFERROR($J920/IF($A920&lt;COUNTIFS($K$1:U$1,"&lt;&gt;"),0,SUMIFS($J:$J,$B:$B,$B920,$A:$A,"&gt;="&amp;COUNTIFS($K$1:U$1,"&lt;&gt;"))),0)</f>
        <v>0</v>
      </c>
      <c r="V920">
        <f>IFERROR($J920/IF($A920&lt;COUNTIFS($K$1:V$1,"&lt;&gt;"),0,SUMIFS($J:$J,$B:$B,$B920,$A:$A,"&gt;="&amp;COUNTIFS($K$1:V$1,"&lt;&gt;"))),0)</f>
        <v>0</v>
      </c>
      <c r="W920">
        <f t="shared" si="332"/>
        <v>8.4931506849315067E-2</v>
      </c>
      <c r="X920">
        <f t="shared" si="312"/>
        <v>8.4931506849315067E-2</v>
      </c>
      <c r="Y920">
        <f t="shared" si="313"/>
        <v>8.4931506849315067E-2</v>
      </c>
      <c r="Z920">
        <f t="shared" si="314"/>
        <v>8.4931506849315067E-2</v>
      </c>
      <c r="AA920">
        <f t="shared" si="315"/>
        <v>8.4931506849315067E-2</v>
      </c>
      <c r="AB920">
        <f t="shared" si="316"/>
        <v>8.4931506849315067E-2</v>
      </c>
      <c r="AC920">
        <f t="shared" si="317"/>
        <v>8.4931506849315067E-2</v>
      </c>
      <c r="AD920">
        <f t="shared" si="318"/>
        <v>8.4931506849315067E-2</v>
      </c>
      <c r="AE920">
        <f t="shared" si="319"/>
        <v>8.4931506849315067E-2</v>
      </c>
      <c r="AF920">
        <f t="shared" si="320"/>
        <v>0</v>
      </c>
      <c r="AG920">
        <f t="shared" si="321"/>
        <v>0</v>
      </c>
      <c r="AH920">
        <f t="shared" si="322"/>
        <v>0</v>
      </c>
      <c r="AI920">
        <f t="shared" si="323"/>
        <v>0</v>
      </c>
      <c r="AJ920" s="2" t="str">
        <f t="shared" si="333"/>
        <v>845962</v>
      </c>
    </row>
    <row r="921" spans="1:36" x14ac:dyDescent="0.25">
      <c r="A921">
        <v>9</v>
      </c>
      <c r="B921" s="1">
        <v>45962</v>
      </c>
      <c r="C921" s="1">
        <f t="shared" si="324"/>
        <v>46235</v>
      </c>
      <c r="D921" s="1">
        <f t="shared" si="325"/>
        <v>45976</v>
      </c>
      <c r="E921" s="1">
        <f t="shared" si="326"/>
        <v>46235</v>
      </c>
      <c r="F921" s="1">
        <f t="shared" si="327"/>
        <v>46266</v>
      </c>
      <c r="G921" s="1">
        <f t="shared" si="328"/>
        <v>46341</v>
      </c>
      <c r="H921">
        <f t="shared" si="329"/>
        <v>365</v>
      </c>
      <c r="I921">
        <f t="shared" si="330"/>
        <v>31</v>
      </c>
      <c r="J921">
        <f t="shared" si="331"/>
        <v>8.4931506849315067E-2</v>
      </c>
      <c r="K921">
        <f>IFERROR($J921/IF($A921&lt;COUNTIFS($K$1:K$1,"&lt;&gt;"),0,SUMIFS($J:$J,$B:$B,$B921,$A:$A,"&gt;="&amp;COUNTIFS($K$1:K$1,"&lt;&gt;"))),0)</f>
        <v>8.8825214899713484E-2</v>
      </c>
      <c r="L921">
        <f>IFERROR($J921/IF($A921&lt;COUNTIFS($K$1:L$1,"&lt;&gt;"),0,SUMIFS($J:$J,$B:$B,$B921,$A:$A,"&gt;="&amp;COUNTIFS($K$1:L$1,"&lt;&gt;"))),0)</f>
        <v>9.7484276729559768E-2</v>
      </c>
      <c r="M921">
        <f>IFERROR($J921/IF($A921&lt;COUNTIFS($K$1:M$1,"&lt;&gt;"),0,SUMIFS($J:$J,$B:$B,$B921,$A:$A,"&gt;="&amp;COUNTIFS($K$1:M$1,"&lt;&gt;"))),0)</f>
        <v>0.10801393728222998</v>
      </c>
      <c r="N921">
        <f>IFERROR($J921/IF($A921&lt;COUNTIFS($K$1:N$1,"&lt;&gt;"),0,SUMIFS($J:$J,$B:$B,$B921,$A:$A,"&gt;="&amp;COUNTIFS($K$1:N$1,"&lt;&gt;"))),0)</f>
        <v>0.11969111969111972</v>
      </c>
      <c r="O921">
        <f>IFERROR($J921/IF($A921&lt;COUNTIFS($K$1:O$1,"&lt;&gt;"),0,SUMIFS($J:$J,$B:$B,$B921,$A:$A,"&gt;="&amp;COUNTIFS($K$1:O$1,"&lt;&gt;"))),0)</f>
        <v>0.13596491228070179</v>
      </c>
      <c r="P921">
        <f>IFERROR($J921/IF($A921&lt;COUNTIFS($K$1:P$1,"&lt;&gt;"),0,SUMIFS($J:$J,$B:$B,$B921,$A:$A,"&gt;="&amp;COUNTIFS($K$1:P$1,"&lt;&gt;"))),0)</f>
        <v>0.1565656565656566</v>
      </c>
      <c r="Q921">
        <f>IFERROR($J921/IF($A921&lt;COUNTIFS($K$1:Q$1,"&lt;&gt;"),0,SUMIFS($J:$J,$B:$B,$B921,$A:$A,"&gt;="&amp;COUNTIFS($K$1:Q$1,"&lt;&gt;"))),0)</f>
        <v>0.18562874251497008</v>
      </c>
      <c r="R921">
        <f>IFERROR($J921/IF($A921&lt;COUNTIFS($K$1:R$1,"&lt;&gt;"),0,SUMIFS($J:$J,$B:$B,$B921,$A:$A,"&gt;="&amp;COUNTIFS($K$1:R$1,"&lt;&gt;"))),0)</f>
        <v>0.22627737226277375</v>
      </c>
      <c r="S921">
        <f>IFERROR($J921/IF($A921&lt;COUNTIFS($K$1:S$1,"&lt;&gt;"),0,SUMIFS($J:$J,$B:$B,$B921,$A:$A,"&gt;="&amp;COUNTIFS($K$1:S$1,"&lt;&gt;"))),0)</f>
        <v>0.29245283018867929</v>
      </c>
      <c r="T921">
        <f>IFERROR($J921/IF($A921&lt;COUNTIFS($K$1:T$1,"&lt;&gt;"),0,SUMIFS($J:$J,$B:$B,$B921,$A:$A,"&gt;="&amp;COUNTIFS($K$1:T$1,"&lt;&gt;"))),0)</f>
        <v>0</v>
      </c>
      <c r="U921">
        <f>IFERROR($J921/IF($A921&lt;COUNTIFS($K$1:U$1,"&lt;&gt;"),0,SUMIFS($J:$J,$B:$B,$B921,$A:$A,"&gt;="&amp;COUNTIFS($K$1:U$1,"&lt;&gt;"))),0)</f>
        <v>0</v>
      </c>
      <c r="V921">
        <f>IFERROR($J921/IF($A921&lt;COUNTIFS($K$1:V$1,"&lt;&gt;"),0,SUMIFS($J:$J,$B:$B,$B921,$A:$A,"&gt;="&amp;COUNTIFS($K$1:V$1,"&lt;&gt;"))),0)</f>
        <v>0</v>
      </c>
      <c r="W921">
        <f t="shared" si="332"/>
        <v>8.4931506849315067E-2</v>
      </c>
      <c r="X921">
        <f t="shared" si="312"/>
        <v>8.4931506849315067E-2</v>
      </c>
      <c r="Y921">
        <f t="shared" si="313"/>
        <v>8.4931506849315067E-2</v>
      </c>
      <c r="Z921">
        <f t="shared" si="314"/>
        <v>8.4931506849315067E-2</v>
      </c>
      <c r="AA921">
        <f t="shared" si="315"/>
        <v>8.4931506849315067E-2</v>
      </c>
      <c r="AB921">
        <f t="shared" si="316"/>
        <v>8.4931506849315067E-2</v>
      </c>
      <c r="AC921">
        <f t="shared" si="317"/>
        <v>8.4931506849315067E-2</v>
      </c>
      <c r="AD921">
        <f t="shared" si="318"/>
        <v>8.4931506849315067E-2</v>
      </c>
      <c r="AE921">
        <f t="shared" si="319"/>
        <v>8.4931506849315067E-2</v>
      </c>
      <c r="AF921">
        <f t="shared" si="320"/>
        <v>8.4931506849315067E-2</v>
      </c>
      <c r="AG921">
        <f t="shared" si="321"/>
        <v>0</v>
      </c>
      <c r="AH921">
        <f t="shared" si="322"/>
        <v>0</v>
      </c>
      <c r="AI921">
        <f t="shared" si="323"/>
        <v>0</v>
      </c>
      <c r="AJ921" s="2" t="str">
        <f t="shared" si="333"/>
        <v>945962</v>
      </c>
    </row>
    <row r="922" spans="1:36" x14ac:dyDescent="0.25">
      <c r="A922">
        <v>10</v>
      </c>
      <c r="B922" s="1">
        <v>45962</v>
      </c>
      <c r="C922" s="1">
        <f t="shared" si="324"/>
        <v>46266</v>
      </c>
      <c r="D922" s="1">
        <f t="shared" si="325"/>
        <v>45976</v>
      </c>
      <c r="E922" s="1">
        <f t="shared" si="326"/>
        <v>46266</v>
      </c>
      <c r="F922" s="1">
        <f t="shared" si="327"/>
        <v>46296</v>
      </c>
      <c r="G922" s="1">
        <f t="shared" si="328"/>
        <v>46341</v>
      </c>
      <c r="H922">
        <f t="shared" si="329"/>
        <v>365</v>
      </c>
      <c r="I922">
        <f t="shared" si="330"/>
        <v>30</v>
      </c>
      <c r="J922">
        <f t="shared" si="331"/>
        <v>8.2191780821917804E-2</v>
      </c>
      <c r="K922">
        <f>IFERROR($J922/IF($A922&lt;COUNTIFS($K$1:K$1,"&lt;&gt;"),0,SUMIFS($J:$J,$B:$B,$B922,$A:$A,"&gt;="&amp;COUNTIFS($K$1:K$1,"&lt;&gt;"))),0)</f>
        <v>8.5959885386819493E-2</v>
      </c>
      <c r="L922">
        <f>IFERROR($J922/IF($A922&lt;COUNTIFS($K$1:L$1,"&lt;&gt;"),0,SUMIFS($J:$J,$B:$B,$B922,$A:$A,"&gt;="&amp;COUNTIFS($K$1:L$1,"&lt;&gt;"))),0)</f>
        <v>9.4339622641509441E-2</v>
      </c>
      <c r="M922">
        <f>IFERROR($J922/IF($A922&lt;COUNTIFS($K$1:M$1,"&lt;&gt;"),0,SUMIFS($J:$J,$B:$B,$B922,$A:$A,"&gt;="&amp;COUNTIFS($K$1:M$1,"&lt;&gt;"))),0)</f>
        <v>0.10452961672473869</v>
      </c>
      <c r="N922">
        <f>IFERROR($J922/IF($A922&lt;COUNTIFS($K$1:N$1,"&lt;&gt;"),0,SUMIFS($J:$J,$B:$B,$B922,$A:$A,"&gt;="&amp;COUNTIFS($K$1:N$1,"&lt;&gt;"))),0)</f>
        <v>0.11583011583011585</v>
      </c>
      <c r="O922">
        <f>IFERROR($J922/IF($A922&lt;COUNTIFS($K$1:O$1,"&lt;&gt;"),0,SUMIFS($J:$J,$B:$B,$B922,$A:$A,"&gt;="&amp;COUNTIFS($K$1:O$1,"&lt;&gt;"))),0)</f>
        <v>0.13157894736842107</v>
      </c>
      <c r="P922">
        <f>IFERROR($J922/IF($A922&lt;COUNTIFS($K$1:P$1,"&lt;&gt;"),0,SUMIFS($J:$J,$B:$B,$B922,$A:$A,"&gt;="&amp;COUNTIFS($K$1:P$1,"&lt;&gt;"))),0)</f>
        <v>0.15151515151515155</v>
      </c>
      <c r="Q922">
        <f>IFERROR($J922/IF($A922&lt;COUNTIFS($K$1:Q$1,"&lt;&gt;"),0,SUMIFS($J:$J,$B:$B,$B922,$A:$A,"&gt;="&amp;COUNTIFS($K$1:Q$1,"&lt;&gt;"))),0)</f>
        <v>0.17964071856287425</v>
      </c>
      <c r="R922">
        <f>IFERROR($J922/IF($A922&lt;COUNTIFS($K$1:R$1,"&lt;&gt;"),0,SUMIFS($J:$J,$B:$B,$B922,$A:$A,"&gt;="&amp;COUNTIFS($K$1:R$1,"&lt;&gt;"))),0)</f>
        <v>0.21897810218978103</v>
      </c>
      <c r="S922">
        <f>IFERROR($J922/IF($A922&lt;COUNTIFS($K$1:S$1,"&lt;&gt;"),0,SUMIFS($J:$J,$B:$B,$B922,$A:$A,"&gt;="&amp;COUNTIFS($K$1:S$1,"&lt;&gt;"))),0)</f>
        <v>0.28301886792452829</v>
      </c>
      <c r="T922">
        <f>IFERROR($J922/IF($A922&lt;COUNTIFS($K$1:T$1,"&lt;&gt;"),0,SUMIFS($J:$J,$B:$B,$B922,$A:$A,"&gt;="&amp;COUNTIFS($K$1:T$1,"&lt;&gt;"))),0)</f>
        <v>0.4</v>
      </c>
      <c r="U922">
        <f>IFERROR($J922/IF($A922&lt;COUNTIFS($K$1:U$1,"&lt;&gt;"),0,SUMIFS($J:$J,$B:$B,$B922,$A:$A,"&gt;="&amp;COUNTIFS($K$1:U$1,"&lt;&gt;"))),0)</f>
        <v>0</v>
      </c>
      <c r="V922">
        <f>IFERROR($J922/IF($A922&lt;COUNTIFS($K$1:V$1,"&lt;&gt;"),0,SUMIFS($J:$J,$B:$B,$B922,$A:$A,"&gt;="&amp;COUNTIFS($K$1:V$1,"&lt;&gt;"))),0)</f>
        <v>0</v>
      </c>
      <c r="W922">
        <f t="shared" si="332"/>
        <v>8.2191780821917804E-2</v>
      </c>
      <c r="X922">
        <f t="shared" si="312"/>
        <v>8.2191780821917804E-2</v>
      </c>
      <c r="Y922">
        <f t="shared" si="313"/>
        <v>8.2191780821917804E-2</v>
      </c>
      <c r="Z922">
        <f t="shared" si="314"/>
        <v>8.2191780821917804E-2</v>
      </c>
      <c r="AA922">
        <f t="shared" si="315"/>
        <v>8.2191780821917804E-2</v>
      </c>
      <c r="AB922">
        <f t="shared" si="316"/>
        <v>8.2191780821917804E-2</v>
      </c>
      <c r="AC922">
        <f t="shared" si="317"/>
        <v>8.2191780821917804E-2</v>
      </c>
      <c r="AD922">
        <f t="shared" si="318"/>
        <v>8.2191780821917804E-2</v>
      </c>
      <c r="AE922">
        <f t="shared" si="319"/>
        <v>8.2191780821917804E-2</v>
      </c>
      <c r="AF922">
        <f t="shared" si="320"/>
        <v>8.2191780821917804E-2</v>
      </c>
      <c r="AG922">
        <f t="shared" si="321"/>
        <v>8.2191780821917804E-2</v>
      </c>
      <c r="AH922">
        <f t="shared" si="322"/>
        <v>0</v>
      </c>
      <c r="AI922">
        <f t="shared" si="323"/>
        <v>0</v>
      </c>
      <c r="AJ922" s="2" t="str">
        <f t="shared" si="333"/>
        <v>1045962</v>
      </c>
    </row>
    <row r="923" spans="1:36" x14ac:dyDescent="0.25">
      <c r="A923">
        <v>11</v>
      </c>
      <c r="B923" s="1">
        <v>45962</v>
      </c>
      <c r="C923" s="1">
        <f t="shared" si="324"/>
        <v>46296</v>
      </c>
      <c r="D923" s="1">
        <f t="shared" si="325"/>
        <v>45976</v>
      </c>
      <c r="E923" s="1">
        <f t="shared" si="326"/>
        <v>46296</v>
      </c>
      <c r="F923" s="1">
        <f t="shared" si="327"/>
        <v>46327</v>
      </c>
      <c r="G923" s="1">
        <f t="shared" si="328"/>
        <v>46341</v>
      </c>
      <c r="H923">
        <f t="shared" si="329"/>
        <v>365</v>
      </c>
      <c r="I923">
        <f t="shared" si="330"/>
        <v>31</v>
      </c>
      <c r="J923">
        <f t="shared" si="331"/>
        <v>8.4931506849315067E-2</v>
      </c>
      <c r="K923">
        <f>IFERROR($J923/IF($A923&lt;COUNTIFS($K$1:K$1,"&lt;&gt;"),0,SUMIFS($J:$J,$B:$B,$B923,$A:$A,"&gt;="&amp;COUNTIFS($K$1:K$1,"&lt;&gt;"))),0)</f>
        <v>8.8825214899713484E-2</v>
      </c>
      <c r="L923">
        <f>IFERROR($J923/IF($A923&lt;COUNTIFS($K$1:L$1,"&lt;&gt;"),0,SUMIFS($J:$J,$B:$B,$B923,$A:$A,"&gt;="&amp;COUNTIFS($K$1:L$1,"&lt;&gt;"))),0)</f>
        <v>9.7484276729559768E-2</v>
      </c>
      <c r="M923">
        <f>IFERROR($J923/IF($A923&lt;COUNTIFS($K$1:M$1,"&lt;&gt;"),0,SUMIFS($J:$J,$B:$B,$B923,$A:$A,"&gt;="&amp;COUNTIFS($K$1:M$1,"&lt;&gt;"))),0)</f>
        <v>0.10801393728222998</v>
      </c>
      <c r="N923">
        <f>IFERROR($J923/IF($A923&lt;COUNTIFS($K$1:N$1,"&lt;&gt;"),0,SUMIFS($J:$J,$B:$B,$B923,$A:$A,"&gt;="&amp;COUNTIFS($K$1:N$1,"&lt;&gt;"))),0)</f>
        <v>0.11969111969111972</v>
      </c>
      <c r="O923">
        <f>IFERROR($J923/IF($A923&lt;COUNTIFS($K$1:O$1,"&lt;&gt;"),0,SUMIFS($J:$J,$B:$B,$B923,$A:$A,"&gt;="&amp;COUNTIFS($K$1:O$1,"&lt;&gt;"))),0)</f>
        <v>0.13596491228070179</v>
      </c>
      <c r="P923">
        <f>IFERROR($J923/IF($A923&lt;COUNTIFS($K$1:P$1,"&lt;&gt;"),0,SUMIFS($J:$J,$B:$B,$B923,$A:$A,"&gt;="&amp;COUNTIFS($K$1:P$1,"&lt;&gt;"))),0)</f>
        <v>0.1565656565656566</v>
      </c>
      <c r="Q923">
        <f>IFERROR($J923/IF($A923&lt;COUNTIFS($K$1:Q$1,"&lt;&gt;"),0,SUMIFS($J:$J,$B:$B,$B923,$A:$A,"&gt;="&amp;COUNTIFS($K$1:Q$1,"&lt;&gt;"))),0)</f>
        <v>0.18562874251497008</v>
      </c>
      <c r="R923">
        <f>IFERROR($J923/IF($A923&lt;COUNTIFS($K$1:R$1,"&lt;&gt;"),0,SUMIFS($J:$J,$B:$B,$B923,$A:$A,"&gt;="&amp;COUNTIFS($K$1:R$1,"&lt;&gt;"))),0)</f>
        <v>0.22627737226277375</v>
      </c>
      <c r="S923">
        <f>IFERROR($J923/IF($A923&lt;COUNTIFS($K$1:S$1,"&lt;&gt;"),0,SUMIFS($J:$J,$B:$B,$B923,$A:$A,"&gt;="&amp;COUNTIFS($K$1:S$1,"&lt;&gt;"))),0)</f>
        <v>0.29245283018867929</v>
      </c>
      <c r="T923">
        <f>IFERROR($J923/IF($A923&lt;COUNTIFS($K$1:T$1,"&lt;&gt;"),0,SUMIFS($J:$J,$B:$B,$B923,$A:$A,"&gt;="&amp;COUNTIFS($K$1:T$1,"&lt;&gt;"))),0)</f>
        <v>0.41333333333333333</v>
      </c>
      <c r="U923">
        <f>IFERROR($J923/IF($A923&lt;COUNTIFS($K$1:U$1,"&lt;&gt;"),0,SUMIFS($J:$J,$B:$B,$B923,$A:$A,"&gt;="&amp;COUNTIFS($K$1:U$1,"&lt;&gt;"))),0)</f>
        <v>0.68888888888888888</v>
      </c>
      <c r="V923">
        <f>IFERROR($J923/IF($A923&lt;COUNTIFS($K$1:V$1,"&lt;&gt;"),0,SUMIFS($J:$J,$B:$B,$B923,$A:$A,"&gt;="&amp;COUNTIFS($K$1:V$1,"&lt;&gt;"))),0)</f>
        <v>0</v>
      </c>
      <c r="W923">
        <f t="shared" si="332"/>
        <v>8.4931506849315067E-2</v>
      </c>
      <c r="X923">
        <f t="shared" si="312"/>
        <v>8.4931506849315067E-2</v>
      </c>
      <c r="Y923">
        <f t="shared" si="313"/>
        <v>8.4931506849315067E-2</v>
      </c>
      <c r="Z923">
        <f t="shared" si="314"/>
        <v>8.4931506849315067E-2</v>
      </c>
      <c r="AA923">
        <f t="shared" si="315"/>
        <v>8.4931506849315067E-2</v>
      </c>
      <c r="AB923">
        <f t="shared" si="316"/>
        <v>8.4931506849315067E-2</v>
      </c>
      <c r="AC923">
        <f t="shared" si="317"/>
        <v>8.4931506849315067E-2</v>
      </c>
      <c r="AD923">
        <f t="shared" si="318"/>
        <v>8.4931506849315067E-2</v>
      </c>
      <c r="AE923">
        <f t="shared" si="319"/>
        <v>8.4931506849315067E-2</v>
      </c>
      <c r="AF923">
        <f t="shared" si="320"/>
        <v>8.4931506849315067E-2</v>
      </c>
      <c r="AG923">
        <f t="shared" si="321"/>
        <v>8.4931506849315067E-2</v>
      </c>
      <c r="AH923">
        <f t="shared" si="322"/>
        <v>8.4931506849315067E-2</v>
      </c>
      <c r="AI923">
        <f t="shared" si="323"/>
        <v>0</v>
      </c>
      <c r="AJ923" s="2" t="str">
        <f t="shared" si="333"/>
        <v>1145962</v>
      </c>
    </row>
    <row r="924" spans="1:36" x14ac:dyDescent="0.25">
      <c r="A924">
        <v>12</v>
      </c>
      <c r="B924" s="1">
        <v>45962</v>
      </c>
      <c r="C924" s="1">
        <f t="shared" si="324"/>
        <v>46327</v>
      </c>
      <c r="D924" s="1">
        <f t="shared" si="325"/>
        <v>45976</v>
      </c>
      <c r="E924" s="1">
        <f t="shared" si="326"/>
        <v>46327</v>
      </c>
      <c r="F924" s="1">
        <f t="shared" si="327"/>
        <v>46341</v>
      </c>
      <c r="G924" s="1">
        <f t="shared" si="328"/>
        <v>46341</v>
      </c>
      <c r="H924">
        <f t="shared" si="329"/>
        <v>365</v>
      </c>
      <c r="I924">
        <f t="shared" si="330"/>
        <v>14</v>
      </c>
      <c r="J924">
        <f t="shared" si="331"/>
        <v>3.8356164383561646E-2</v>
      </c>
      <c r="K924">
        <f>IFERROR($J924/IF($A924&lt;COUNTIFS($K$1:K$1,"&lt;&gt;"),0,SUMIFS($J:$J,$B:$B,$B924,$A:$A,"&gt;="&amp;COUNTIFS($K$1:K$1,"&lt;&gt;"))),0)</f>
        <v>4.0114613180515769E-2</v>
      </c>
      <c r="L924">
        <f>IFERROR($J924/IF($A924&lt;COUNTIFS($K$1:L$1,"&lt;&gt;"),0,SUMIFS($J:$J,$B:$B,$B924,$A:$A,"&gt;="&amp;COUNTIFS($K$1:L$1,"&lt;&gt;"))),0)</f>
        <v>4.4025157232704414E-2</v>
      </c>
      <c r="M924">
        <f>IFERROR($J924/IF($A924&lt;COUNTIFS($K$1:M$1,"&lt;&gt;"),0,SUMIFS($J:$J,$B:$B,$B924,$A:$A,"&gt;="&amp;COUNTIFS($K$1:M$1,"&lt;&gt;"))),0)</f>
        <v>4.8780487804878057E-2</v>
      </c>
      <c r="N924">
        <f>IFERROR($J924/IF($A924&lt;COUNTIFS($K$1:N$1,"&lt;&gt;"),0,SUMIFS($J:$J,$B:$B,$B924,$A:$A,"&gt;="&amp;COUNTIFS($K$1:N$1,"&lt;&gt;"))),0)</f>
        <v>5.4054054054054071E-2</v>
      </c>
      <c r="O924">
        <f>IFERROR($J924/IF($A924&lt;COUNTIFS($K$1:O$1,"&lt;&gt;"),0,SUMIFS($J:$J,$B:$B,$B924,$A:$A,"&gt;="&amp;COUNTIFS($K$1:O$1,"&lt;&gt;"))),0)</f>
        <v>6.1403508771929842E-2</v>
      </c>
      <c r="P924">
        <f>IFERROR($J924/IF($A924&lt;COUNTIFS($K$1:P$1,"&lt;&gt;"),0,SUMIFS($J:$J,$B:$B,$B924,$A:$A,"&gt;="&amp;COUNTIFS($K$1:P$1,"&lt;&gt;"))),0)</f>
        <v>7.0707070707070732E-2</v>
      </c>
      <c r="Q924">
        <f>IFERROR($J924/IF($A924&lt;COUNTIFS($K$1:Q$1,"&lt;&gt;"),0,SUMIFS($J:$J,$B:$B,$B924,$A:$A,"&gt;="&amp;COUNTIFS($K$1:Q$1,"&lt;&gt;"))),0)</f>
        <v>8.3832335329341326E-2</v>
      </c>
      <c r="R924">
        <f>IFERROR($J924/IF($A924&lt;COUNTIFS($K$1:R$1,"&lt;&gt;"),0,SUMIFS($J:$J,$B:$B,$B924,$A:$A,"&gt;="&amp;COUNTIFS($K$1:R$1,"&lt;&gt;"))),0)</f>
        <v>0.10218978102189782</v>
      </c>
      <c r="S924">
        <f>IFERROR($J924/IF($A924&lt;COUNTIFS($K$1:S$1,"&lt;&gt;"),0,SUMIFS($J:$J,$B:$B,$B924,$A:$A,"&gt;="&amp;COUNTIFS($K$1:S$1,"&lt;&gt;"))),0)</f>
        <v>0.13207547169811323</v>
      </c>
      <c r="T924">
        <f>IFERROR($J924/IF($A924&lt;COUNTIFS($K$1:T$1,"&lt;&gt;"),0,SUMIFS($J:$J,$B:$B,$B924,$A:$A,"&gt;="&amp;COUNTIFS($K$1:T$1,"&lt;&gt;"))),0)</f>
        <v>0.18666666666666668</v>
      </c>
      <c r="U924">
        <f>IFERROR($J924/IF($A924&lt;COUNTIFS($K$1:U$1,"&lt;&gt;"),0,SUMIFS($J:$J,$B:$B,$B924,$A:$A,"&gt;="&amp;COUNTIFS($K$1:U$1,"&lt;&gt;"))),0)</f>
        <v>0.31111111111111117</v>
      </c>
      <c r="V924">
        <f>IFERROR($J924/IF($A924&lt;COUNTIFS($K$1:V$1,"&lt;&gt;"),0,SUMIFS($J:$J,$B:$B,$B924,$A:$A,"&gt;="&amp;COUNTIFS($K$1:V$1,"&lt;&gt;"))),0)</f>
        <v>1</v>
      </c>
      <c r="W924">
        <f t="shared" si="332"/>
        <v>3.8356164383561646E-2</v>
      </c>
      <c r="X924">
        <f t="shared" si="312"/>
        <v>3.8356164383561646E-2</v>
      </c>
      <c r="Y924">
        <f t="shared" si="313"/>
        <v>3.8356164383561646E-2</v>
      </c>
      <c r="Z924">
        <f t="shared" si="314"/>
        <v>3.8356164383561646E-2</v>
      </c>
      <c r="AA924">
        <f t="shared" si="315"/>
        <v>3.8356164383561646E-2</v>
      </c>
      <c r="AB924">
        <f t="shared" si="316"/>
        <v>3.8356164383561646E-2</v>
      </c>
      <c r="AC924">
        <f t="shared" si="317"/>
        <v>3.8356164383561646E-2</v>
      </c>
      <c r="AD924">
        <f t="shared" si="318"/>
        <v>3.8356164383561646E-2</v>
      </c>
      <c r="AE924">
        <f t="shared" si="319"/>
        <v>3.8356164383561646E-2</v>
      </c>
      <c r="AF924">
        <f t="shared" si="320"/>
        <v>3.8356164383561646E-2</v>
      </c>
      <c r="AG924">
        <f t="shared" si="321"/>
        <v>3.8356164383561646E-2</v>
      </c>
      <c r="AH924">
        <f t="shared" si="322"/>
        <v>3.8356164383561646E-2</v>
      </c>
      <c r="AI924">
        <f t="shared" si="323"/>
        <v>3.8356164383561646E-2</v>
      </c>
      <c r="AJ924" s="2" t="str">
        <f t="shared" si="333"/>
        <v>1245962</v>
      </c>
    </row>
    <row r="925" spans="1:36" x14ac:dyDescent="0.25">
      <c r="A925">
        <v>0</v>
      </c>
      <c r="B925" s="1">
        <v>45992</v>
      </c>
      <c r="C925" s="1">
        <f t="shared" si="324"/>
        <v>45992</v>
      </c>
      <c r="D925" s="1">
        <f t="shared" si="325"/>
        <v>46006</v>
      </c>
      <c r="E925" s="1">
        <f t="shared" si="326"/>
        <v>46006</v>
      </c>
      <c r="F925" s="1">
        <f t="shared" si="327"/>
        <v>46023</v>
      </c>
      <c r="G925" s="1">
        <f t="shared" si="328"/>
        <v>46371</v>
      </c>
      <c r="H925">
        <f t="shared" si="329"/>
        <v>365</v>
      </c>
      <c r="I925">
        <f t="shared" si="330"/>
        <v>17</v>
      </c>
      <c r="J925">
        <f t="shared" si="331"/>
        <v>4.6575342465753428E-2</v>
      </c>
      <c r="K925">
        <f>IFERROR($J925/IF($A925&lt;COUNTIFS($K$1:K$1,"&lt;&gt;"),0,SUMIFS($J:$J,$B:$B,$B925,$A:$A,"&gt;="&amp;COUNTIFS($K$1:K$1,"&lt;&gt;"))),0)</f>
        <v>0</v>
      </c>
      <c r="L925">
        <f>IFERROR($J925/IF($A925&lt;COUNTIFS($K$1:L$1,"&lt;&gt;"),0,SUMIFS($J:$J,$B:$B,$B925,$A:$A,"&gt;="&amp;COUNTIFS($K$1:L$1,"&lt;&gt;"))),0)</f>
        <v>0</v>
      </c>
      <c r="M925">
        <f>IFERROR($J925/IF($A925&lt;COUNTIFS($K$1:M$1,"&lt;&gt;"),0,SUMIFS($J:$J,$B:$B,$B925,$A:$A,"&gt;="&amp;COUNTIFS($K$1:M$1,"&lt;&gt;"))),0)</f>
        <v>0</v>
      </c>
      <c r="N925">
        <f>IFERROR($J925/IF($A925&lt;COUNTIFS($K$1:N$1,"&lt;&gt;"),0,SUMIFS($J:$J,$B:$B,$B925,$A:$A,"&gt;="&amp;COUNTIFS($K$1:N$1,"&lt;&gt;"))),0)</f>
        <v>0</v>
      </c>
      <c r="O925">
        <f>IFERROR($J925/IF($A925&lt;COUNTIFS($K$1:O$1,"&lt;&gt;"),0,SUMIFS($J:$J,$B:$B,$B925,$A:$A,"&gt;="&amp;COUNTIFS($K$1:O$1,"&lt;&gt;"))),0)</f>
        <v>0</v>
      </c>
      <c r="P925">
        <f>IFERROR($J925/IF($A925&lt;COUNTIFS($K$1:P$1,"&lt;&gt;"),0,SUMIFS($J:$J,$B:$B,$B925,$A:$A,"&gt;="&amp;COUNTIFS($K$1:P$1,"&lt;&gt;"))),0)</f>
        <v>0</v>
      </c>
      <c r="Q925">
        <f>IFERROR($J925/IF($A925&lt;COUNTIFS($K$1:Q$1,"&lt;&gt;"),0,SUMIFS($J:$J,$B:$B,$B925,$A:$A,"&gt;="&amp;COUNTIFS($K$1:Q$1,"&lt;&gt;"))),0)</f>
        <v>0</v>
      </c>
      <c r="R925">
        <f>IFERROR($J925/IF($A925&lt;COUNTIFS($K$1:R$1,"&lt;&gt;"),0,SUMIFS($J:$J,$B:$B,$B925,$A:$A,"&gt;="&amp;COUNTIFS($K$1:R$1,"&lt;&gt;"))),0)</f>
        <v>0</v>
      </c>
      <c r="S925">
        <f>IFERROR($J925/IF($A925&lt;COUNTIFS($K$1:S$1,"&lt;&gt;"),0,SUMIFS($J:$J,$B:$B,$B925,$A:$A,"&gt;="&amp;COUNTIFS($K$1:S$1,"&lt;&gt;"))),0)</f>
        <v>0</v>
      </c>
      <c r="T925">
        <f>IFERROR($J925/IF($A925&lt;COUNTIFS($K$1:T$1,"&lt;&gt;"),0,SUMIFS($J:$J,$B:$B,$B925,$A:$A,"&gt;="&amp;COUNTIFS($K$1:T$1,"&lt;&gt;"))),0)</f>
        <v>0</v>
      </c>
      <c r="U925">
        <f>IFERROR($J925/IF($A925&lt;COUNTIFS($K$1:U$1,"&lt;&gt;"),0,SUMIFS($J:$J,$B:$B,$B925,$A:$A,"&gt;="&amp;COUNTIFS($K$1:U$1,"&lt;&gt;"))),0)</f>
        <v>0</v>
      </c>
      <c r="V925">
        <f>IFERROR($J925/IF($A925&lt;COUNTIFS($K$1:V$1,"&lt;&gt;"),0,SUMIFS($J:$J,$B:$B,$B925,$A:$A,"&gt;="&amp;COUNTIFS($K$1:V$1,"&lt;&gt;"))),0)</f>
        <v>0</v>
      </c>
      <c r="W925">
        <f t="shared" si="332"/>
        <v>4.6575342465753428E-2</v>
      </c>
      <c r="X925">
        <f t="shared" si="312"/>
        <v>0</v>
      </c>
      <c r="Y925">
        <f t="shared" si="313"/>
        <v>0</v>
      </c>
      <c r="Z925">
        <f t="shared" si="314"/>
        <v>0</v>
      </c>
      <c r="AA925">
        <f t="shared" si="315"/>
        <v>0</v>
      </c>
      <c r="AB925">
        <f t="shared" si="316"/>
        <v>0</v>
      </c>
      <c r="AC925">
        <f t="shared" si="317"/>
        <v>0</v>
      </c>
      <c r="AD925">
        <f t="shared" si="318"/>
        <v>0</v>
      </c>
      <c r="AE925">
        <f t="shared" si="319"/>
        <v>0</v>
      </c>
      <c r="AF925">
        <f t="shared" si="320"/>
        <v>0</v>
      </c>
      <c r="AG925">
        <f t="shared" si="321"/>
        <v>0</v>
      </c>
      <c r="AH925">
        <f t="shared" si="322"/>
        <v>0</v>
      </c>
      <c r="AI925">
        <f t="shared" si="323"/>
        <v>0</v>
      </c>
      <c r="AJ925" s="2" t="str">
        <f t="shared" si="333"/>
        <v>045992</v>
      </c>
    </row>
    <row r="926" spans="1:36" x14ac:dyDescent="0.25">
      <c r="A926">
        <v>1</v>
      </c>
      <c r="B926" s="1">
        <v>45992</v>
      </c>
      <c r="C926" s="1">
        <f t="shared" si="324"/>
        <v>46023</v>
      </c>
      <c r="D926" s="1">
        <f t="shared" si="325"/>
        <v>46006</v>
      </c>
      <c r="E926" s="1">
        <f t="shared" si="326"/>
        <v>46023</v>
      </c>
      <c r="F926" s="1">
        <f t="shared" si="327"/>
        <v>46054</v>
      </c>
      <c r="G926" s="1">
        <f t="shared" si="328"/>
        <v>46371</v>
      </c>
      <c r="H926">
        <f t="shared" si="329"/>
        <v>365</v>
      </c>
      <c r="I926">
        <f t="shared" si="330"/>
        <v>31</v>
      </c>
      <c r="J926">
        <f t="shared" si="331"/>
        <v>8.4931506849315067E-2</v>
      </c>
      <c r="K926">
        <f>IFERROR($J926/IF($A926&lt;COUNTIFS($K$1:K$1,"&lt;&gt;"),0,SUMIFS($J:$J,$B:$B,$B926,$A:$A,"&gt;="&amp;COUNTIFS($K$1:K$1,"&lt;&gt;"))),0)</f>
        <v>8.9080459770114959E-2</v>
      </c>
      <c r="L926">
        <f>IFERROR($J926/IF($A926&lt;COUNTIFS($K$1:L$1,"&lt;&gt;"),0,SUMIFS($J:$J,$B:$B,$B926,$A:$A,"&gt;="&amp;COUNTIFS($K$1:L$1,"&lt;&gt;"))),0)</f>
        <v>0</v>
      </c>
      <c r="M926">
        <f>IFERROR($J926/IF($A926&lt;COUNTIFS($K$1:M$1,"&lt;&gt;"),0,SUMIFS($J:$J,$B:$B,$B926,$A:$A,"&gt;="&amp;COUNTIFS($K$1:M$1,"&lt;&gt;"))),0)</f>
        <v>0</v>
      </c>
      <c r="N926">
        <f>IFERROR($J926/IF($A926&lt;COUNTIFS($K$1:N$1,"&lt;&gt;"),0,SUMIFS($J:$J,$B:$B,$B926,$A:$A,"&gt;="&amp;COUNTIFS($K$1:N$1,"&lt;&gt;"))),0)</f>
        <v>0</v>
      </c>
      <c r="O926">
        <f>IFERROR($J926/IF($A926&lt;COUNTIFS($K$1:O$1,"&lt;&gt;"),0,SUMIFS($J:$J,$B:$B,$B926,$A:$A,"&gt;="&amp;COUNTIFS($K$1:O$1,"&lt;&gt;"))),0)</f>
        <v>0</v>
      </c>
      <c r="P926">
        <f>IFERROR($J926/IF($A926&lt;COUNTIFS($K$1:P$1,"&lt;&gt;"),0,SUMIFS($J:$J,$B:$B,$B926,$A:$A,"&gt;="&amp;COUNTIFS($K$1:P$1,"&lt;&gt;"))),0)</f>
        <v>0</v>
      </c>
      <c r="Q926">
        <f>IFERROR($J926/IF($A926&lt;COUNTIFS($K$1:Q$1,"&lt;&gt;"),0,SUMIFS($J:$J,$B:$B,$B926,$A:$A,"&gt;="&amp;COUNTIFS($K$1:Q$1,"&lt;&gt;"))),0)</f>
        <v>0</v>
      </c>
      <c r="R926">
        <f>IFERROR($J926/IF($A926&lt;COUNTIFS($K$1:R$1,"&lt;&gt;"),0,SUMIFS($J:$J,$B:$B,$B926,$A:$A,"&gt;="&amp;COUNTIFS($K$1:R$1,"&lt;&gt;"))),0)</f>
        <v>0</v>
      </c>
      <c r="S926">
        <f>IFERROR($J926/IF($A926&lt;COUNTIFS($K$1:S$1,"&lt;&gt;"),0,SUMIFS($J:$J,$B:$B,$B926,$A:$A,"&gt;="&amp;COUNTIFS($K$1:S$1,"&lt;&gt;"))),0)</f>
        <v>0</v>
      </c>
      <c r="T926">
        <f>IFERROR($J926/IF($A926&lt;COUNTIFS($K$1:T$1,"&lt;&gt;"),0,SUMIFS($J:$J,$B:$B,$B926,$A:$A,"&gt;="&amp;COUNTIFS($K$1:T$1,"&lt;&gt;"))),0)</f>
        <v>0</v>
      </c>
      <c r="U926">
        <f>IFERROR($J926/IF($A926&lt;COUNTIFS($K$1:U$1,"&lt;&gt;"),0,SUMIFS($J:$J,$B:$B,$B926,$A:$A,"&gt;="&amp;COUNTIFS($K$1:U$1,"&lt;&gt;"))),0)</f>
        <v>0</v>
      </c>
      <c r="V926">
        <f>IFERROR($J926/IF($A926&lt;COUNTIFS($K$1:V$1,"&lt;&gt;"),0,SUMIFS($J:$J,$B:$B,$B926,$A:$A,"&gt;="&amp;COUNTIFS($K$1:V$1,"&lt;&gt;"))),0)</f>
        <v>0</v>
      </c>
      <c r="W926">
        <f t="shared" si="332"/>
        <v>8.4931506849315067E-2</v>
      </c>
      <c r="X926">
        <f t="shared" si="312"/>
        <v>8.4931506849315067E-2</v>
      </c>
      <c r="Y926">
        <f t="shared" si="313"/>
        <v>0</v>
      </c>
      <c r="Z926">
        <f t="shared" si="314"/>
        <v>0</v>
      </c>
      <c r="AA926">
        <f t="shared" si="315"/>
        <v>0</v>
      </c>
      <c r="AB926">
        <f t="shared" si="316"/>
        <v>0</v>
      </c>
      <c r="AC926">
        <f t="shared" si="317"/>
        <v>0</v>
      </c>
      <c r="AD926">
        <f t="shared" si="318"/>
        <v>0</v>
      </c>
      <c r="AE926">
        <f t="shared" si="319"/>
        <v>0</v>
      </c>
      <c r="AF926">
        <f t="shared" si="320"/>
        <v>0</v>
      </c>
      <c r="AG926">
        <f t="shared" si="321"/>
        <v>0</v>
      </c>
      <c r="AH926">
        <f t="shared" si="322"/>
        <v>0</v>
      </c>
      <c r="AI926">
        <f t="shared" si="323"/>
        <v>0</v>
      </c>
      <c r="AJ926" s="2" t="str">
        <f t="shared" si="333"/>
        <v>145992</v>
      </c>
    </row>
    <row r="927" spans="1:36" x14ac:dyDescent="0.25">
      <c r="A927">
        <v>2</v>
      </c>
      <c r="B927" s="1">
        <v>45992</v>
      </c>
      <c r="C927" s="1">
        <f t="shared" si="324"/>
        <v>46054</v>
      </c>
      <c r="D927" s="1">
        <f t="shared" si="325"/>
        <v>46006</v>
      </c>
      <c r="E927" s="1">
        <f t="shared" si="326"/>
        <v>46054</v>
      </c>
      <c r="F927" s="1">
        <f t="shared" si="327"/>
        <v>46082</v>
      </c>
      <c r="G927" s="1">
        <f t="shared" si="328"/>
        <v>46371</v>
      </c>
      <c r="H927">
        <f t="shared" si="329"/>
        <v>365</v>
      </c>
      <c r="I927">
        <f t="shared" si="330"/>
        <v>28</v>
      </c>
      <c r="J927">
        <f t="shared" si="331"/>
        <v>7.6712328767123292E-2</v>
      </c>
      <c r="K927">
        <f>IFERROR($J927/IF($A927&lt;COUNTIFS($K$1:K$1,"&lt;&gt;"),0,SUMIFS($J:$J,$B:$B,$B927,$A:$A,"&gt;="&amp;COUNTIFS($K$1:K$1,"&lt;&gt;"))),0)</f>
        <v>8.0459770114942541E-2</v>
      </c>
      <c r="L927">
        <f>IFERROR($J927/IF($A927&lt;COUNTIFS($K$1:L$1,"&lt;&gt;"),0,SUMIFS($J:$J,$B:$B,$B927,$A:$A,"&gt;="&amp;COUNTIFS($K$1:L$1,"&lt;&gt;"))),0)</f>
        <v>8.83280757097792E-2</v>
      </c>
      <c r="M927">
        <f>IFERROR($J927/IF($A927&lt;COUNTIFS($K$1:M$1,"&lt;&gt;"),0,SUMIFS($J:$J,$B:$B,$B927,$A:$A,"&gt;="&amp;COUNTIFS($K$1:M$1,"&lt;&gt;"))),0)</f>
        <v>0</v>
      </c>
      <c r="N927">
        <f>IFERROR($J927/IF($A927&lt;COUNTIFS($K$1:N$1,"&lt;&gt;"),0,SUMIFS($J:$J,$B:$B,$B927,$A:$A,"&gt;="&amp;COUNTIFS($K$1:N$1,"&lt;&gt;"))),0)</f>
        <v>0</v>
      </c>
      <c r="O927">
        <f>IFERROR($J927/IF($A927&lt;COUNTIFS($K$1:O$1,"&lt;&gt;"),0,SUMIFS($J:$J,$B:$B,$B927,$A:$A,"&gt;="&amp;COUNTIFS($K$1:O$1,"&lt;&gt;"))),0)</f>
        <v>0</v>
      </c>
      <c r="P927">
        <f>IFERROR($J927/IF($A927&lt;COUNTIFS($K$1:P$1,"&lt;&gt;"),0,SUMIFS($J:$J,$B:$B,$B927,$A:$A,"&gt;="&amp;COUNTIFS($K$1:P$1,"&lt;&gt;"))),0)</f>
        <v>0</v>
      </c>
      <c r="Q927">
        <f>IFERROR($J927/IF($A927&lt;COUNTIFS($K$1:Q$1,"&lt;&gt;"),0,SUMIFS($J:$J,$B:$B,$B927,$A:$A,"&gt;="&amp;COUNTIFS($K$1:Q$1,"&lt;&gt;"))),0)</f>
        <v>0</v>
      </c>
      <c r="R927">
        <f>IFERROR($J927/IF($A927&lt;COUNTIFS($K$1:R$1,"&lt;&gt;"),0,SUMIFS($J:$J,$B:$B,$B927,$A:$A,"&gt;="&amp;COUNTIFS($K$1:R$1,"&lt;&gt;"))),0)</f>
        <v>0</v>
      </c>
      <c r="S927">
        <f>IFERROR($J927/IF($A927&lt;COUNTIFS($K$1:S$1,"&lt;&gt;"),0,SUMIFS($J:$J,$B:$B,$B927,$A:$A,"&gt;="&amp;COUNTIFS($K$1:S$1,"&lt;&gt;"))),0)</f>
        <v>0</v>
      </c>
      <c r="T927">
        <f>IFERROR($J927/IF($A927&lt;COUNTIFS($K$1:T$1,"&lt;&gt;"),0,SUMIFS($J:$J,$B:$B,$B927,$A:$A,"&gt;="&amp;COUNTIFS($K$1:T$1,"&lt;&gt;"))),0)</f>
        <v>0</v>
      </c>
      <c r="U927">
        <f>IFERROR($J927/IF($A927&lt;COUNTIFS($K$1:U$1,"&lt;&gt;"),0,SUMIFS($J:$J,$B:$B,$B927,$A:$A,"&gt;="&amp;COUNTIFS($K$1:U$1,"&lt;&gt;"))),0)</f>
        <v>0</v>
      </c>
      <c r="V927">
        <f>IFERROR($J927/IF($A927&lt;COUNTIFS($K$1:V$1,"&lt;&gt;"),0,SUMIFS($J:$J,$B:$B,$B927,$A:$A,"&gt;="&amp;COUNTIFS($K$1:V$1,"&lt;&gt;"))),0)</f>
        <v>0</v>
      </c>
      <c r="W927">
        <f t="shared" si="332"/>
        <v>7.6712328767123292E-2</v>
      </c>
      <c r="X927">
        <f t="shared" si="312"/>
        <v>7.6712328767123292E-2</v>
      </c>
      <c r="Y927">
        <f t="shared" si="313"/>
        <v>7.6712328767123292E-2</v>
      </c>
      <c r="Z927">
        <f t="shared" si="314"/>
        <v>0</v>
      </c>
      <c r="AA927">
        <f t="shared" si="315"/>
        <v>0</v>
      </c>
      <c r="AB927">
        <f t="shared" si="316"/>
        <v>0</v>
      </c>
      <c r="AC927">
        <f t="shared" si="317"/>
        <v>0</v>
      </c>
      <c r="AD927">
        <f t="shared" si="318"/>
        <v>0</v>
      </c>
      <c r="AE927">
        <f t="shared" si="319"/>
        <v>0</v>
      </c>
      <c r="AF927">
        <f t="shared" si="320"/>
        <v>0</v>
      </c>
      <c r="AG927">
        <f t="shared" si="321"/>
        <v>0</v>
      </c>
      <c r="AH927">
        <f t="shared" si="322"/>
        <v>0</v>
      </c>
      <c r="AI927">
        <f t="shared" si="323"/>
        <v>0</v>
      </c>
      <c r="AJ927" s="2" t="str">
        <f t="shared" si="333"/>
        <v>245992</v>
      </c>
    </row>
    <row r="928" spans="1:36" x14ac:dyDescent="0.25">
      <c r="A928">
        <v>3</v>
      </c>
      <c r="B928" s="1">
        <v>45992</v>
      </c>
      <c r="C928" s="1">
        <f t="shared" si="324"/>
        <v>46082</v>
      </c>
      <c r="D928" s="1">
        <f t="shared" si="325"/>
        <v>46006</v>
      </c>
      <c r="E928" s="1">
        <f t="shared" si="326"/>
        <v>46082</v>
      </c>
      <c r="F928" s="1">
        <f t="shared" si="327"/>
        <v>46113</v>
      </c>
      <c r="G928" s="1">
        <f t="shared" si="328"/>
        <v>46371</v>
      </c>
      <c r="H928">
        <f t="shared" si="329"/>
        <v>365</v>
      </c>
      <c r="I928">
        <f t="shared" si="330"/>
        <v>31</v>
      </c>
      <c r="J928">
        <f t="shared" si="331"/>
        <v>8.4931506849315067E-2</v>
      </c>
      <c r="K928">
        <f>IFERROR($J928/IF($A928&lt;COUNTIFS($K$1:K$1,"&lt;&gt;"),0,SUMIFS($J:$J,$B:$B,$B928,$A:$A,"&gt;="&amp;COUNTIFS($K$1:K$1,"&lt;&gt;"))),0)</f>
        <v>8.9080459770114959E-2</v>
      </c>
      <c r="L928">
        <f>IFERROR($J928/IF($A928&lt;COUNTIFS($K$1:L$1,"&lt;&gt;"),0,SUMIFS($J:$J,$B:$B,$B928,$A:$A,"&gt;="&amp;COUNTIFS($K$1:L$1,"&lt;&gt;"))),0)</f>
        <v>9.7791798107255537E-2</v>
      </c>
      <c r="M928">
        <f>IFERROR($J928/IF($A928&lt;COUNTIFS($K$1:M$1,"&lt;&gt;"),0,SUMIFS($J:$J,$B:$B,$B928,$A:$A,"&gt;="&amp;COUNTIFS($K$1:M$1,"&lt;&gt;"))),0)</f>
        <v>0.10726643598615919</v>
      </c>
      <c r="N928">
        <f>IFERROR($J928/IF($A928&lt;COUNTIFS($K$1:N$1,"&lt;&gt;"),0,SUMIFS($J:$J,$B:$B,$B928,$A:$A,"&gt;="&amp;COUNTIFS($K$1:N$1,"&lt;&gt;"))),0)</f>
        <v>0</v>
      </c>
      <c r="O928">
        <f>IFERROR($J928/IF($A928&lt;COUNTIFS($K$1:O$1,"&lt;&gt;"),0,SUMIFS($J:$J,$B:$B,$B928,$A:$A,"&gt;="&amp;COUNTIFS($K$1:O$1,"&lt;&gt;"))),0)</f>
        <v>0</v>
      </c>
      <c r="P928">
        <f>IFERROR($J928/IF($A928&lt;COUNTIFS($K$1:P$1,"&lt;&gt;"),0,SUMIFS($J:$J,$B:$B,$B928,$A:$A,"&gt;="&amp;COUNTIFS($K$1:P$1,"&lt;&gt;"))),0)</f>
        <v>0</v>
      </c>
      <c r="Q928">
        <f>IFERROR($J928/IF($A928&lt;COUNTIFS($K$1:Q$1,"&lt;&gt;"),0,SUMIFS($J:$J,$B:$B,$B928,$A:$A,"&gt;="&amp;COUNTIFS($K$1:Q$1,"&lt;&gt;"))),0)</f>
        <v>0</v>
      </c>
      <c r="R928">
        <f>IFERROR($J928/IF($A928&lt;COUNTIFS($K$1:R$1,"&lt;&gt;"),0,SUMIFS($J:$J,$B:$B,$B928,$A:$A,"&gt;="&amp;COUNTIFS($K$1:R$1,"&lt;&gt;"))),0)</f>
        <v>0</v>
      </c>
      <c r="S928">
        <f>IFERROR($J928/IF($A928&lt;COUNTIFS($K$1:S$1,"&lt;&gt;"),0,SUMIFS($J:$J,$B:$B,$B928,$A:$A,"&gt;="&amp;COUNTIFS($K$1:S$1,"&lt;&gt;"))),0)</f>
        <v>0</v>
      </c>
      <c r="T928">
        <f>IFERROR($J928/IF($A928&lt;COUNTIFS($K$1:T$1,"&lt;&gt;"),0,SUMIFS($J:$J,$B:$B,$B928,$A:$A,"&gt;="&amp;COUNTIFS($K$1:T$1,"&lt;&gt;"))),0)</f>
        <v>0</v>
      </c>
      <c r="U928">
        <f>IFERROR($J928/IF($A928&lt;COUNTIFS($K$1:U$1,"&lt;&gt;"),0,SUMIFS($J:$J,$B:$B,$B928,$A:$A,"&gt;="&amp;COUNTIFS($K$1:U$1,"&lt;&gt;"))),0)</f>
        <v>0</v>
      </c>
      <c r="V928">
        <f>IFERROR($J928/IF($A928&lt;COUNTIFS($K$1:V$1,"&lt;&gt;"),0,SUMIFS($J:$J,$B:$B,$B928,$A:$A,"&gt;="&amp;COUNTIFS($K$1:V$1,"&lt;&gt;"))),0)</f>
        <v>0</v>
      </c>
      <c r="W928">
        <f t="shared" si="332"/>
        <v>8.4931506849315067E-2</v>
      </c>
      <c r="X928">
        <f t="shared" si="312"/>
        <v>8.4931506849315067E-2</v>
      </c>
      <c r="Y928">
        <f t="shared" si="313"/>
        <v>8.4931506849315067E-2</v>
      </c>
      <c r="Z928">
        <f t="shared" si="314"/>
        <v>8.4931506849315067E-2</v>
      </c>
      <c r="AA928">
        <f t="shared" si="315"/>
        <v>0</v>
      </c>
      <c r="AB928">
        <f t="shared" si="316"/>
        <v>0</v>
      </c>
      <c r="AC928">
        <f t="shared" si="317"/>
        <v>0</v>
      </c>
      <c r="AD928">
        <f t="shared" si="318"/>
        <v>0</v>
      </c>
      <c r="AE928">
        <f t="shared" si="319"/>
        <v>0</v>
      </c>
      <c r="AF928">
        <f t="shared" si="320"/>
        <v>0</v>
      </c>
      <c r="AG928">
        <f t="shared" si="321"/>
        <v>0</v>
      </c>
      <c r="AH928">
        <f t="shared" si="322"/>
        <v>0</v>
      </c>
      <c r="AI928">
        <f t="shared" si="323"/>
        <v>0</v>
      </c>
      <c r="AJ928" s="2" t="str">
        <f t="shared" si="333"/>
        <v>345992</v>
      </c>
    </row>
    <row r="929" spans="1:36" x14ac:dyDescent="0.25">
      <c r="A929">
        <v>4</v>
      </c>
      <c r="B929" s="1">
        <v>45992</v>
      </c>
      <c r="C929" s="1">
        <f t="shared" si="324"/>
        <v>46113</v>
      </c>
      <c r="D929" s="1">
        <f t="shared" si="325"/>
        <v>46006</v>
      </c>
      <c r="E929" s="1">
        <f t="shared" si="326"/>
        <v>46113</v>
      </c>
      <c r="F929" s="1">
        <f t="shared" si="327"/>
        <v>46143</v>
      </c>
      <c r="G929" s="1">
        <f t="shared" si="328"/>
        <v>46371</v>
      </c>
      <c r="H929">
        <f t="shared" si="329"/>
        <v>365</v>
      </c>
      <c r="I929">
        <f t="shared" si="330"/>
        <v>30</v>
      </c>
      <c r="J929">
        <f t="shared" si="331"/>
        <v>8.2191780821917804E-2</v>
      </c>
      <c r="K929">
        <f>IFERROR($J929/IF($A929&lt;COUNTIFS($K$1:K$1,"&lt;&gt;"),0,SUMIFS($J:$J,$B:$B,$B929,$A:$A,"&gt;="&amp;COUNTIFS($K$1:K$1,"&lt;&gt;"))),0)</f>
        <v>8.6206896551724144E-2</v>
      </c>
      <c r="L929">
        <f>IFERROR($J929/IF($A929&lt;COUNTIFS($K$1:L$1,"&lt;&gt;"),0,SUMIFS($J:$J,$B:$B,$B929,$A:$A,"&gt;="&amp;COUNTIFS($K$1:L$1,"&lt;&gt;"))),0)</f>
        <v>9.4637223974763415E-2</v>
      </c>
      <c r="M929">
        <f>IFERROR($J929/IF($A929&lt;COUNTIFS($K$1:M$1,"&lt;&gt;"),0,SUMIFS($J:$J,$B:$B,$B929,$A:$A,"&gt;="&amp;COUNTIFS($K$1:M$1,"&lt;&gt;"))),0)</f>
        <v>0.10380622837370243</v>
      </c>
      <c r="N929">
        <f>IFERROR($J929/IF($A929&lt;COUNTIFS($K$1:N$1,"&lt;&gt;"),0,SUMIFS($J:$J,$B:$B,$B929,$A:$A,"&gt;="&amp;COUNTIFS($K$1:N$1,"&lt;&gt;"))),0)</f>
        <v>0.11627906976744187</v>
      </c>
      <c r="O929">
        <f>IFERROR($J929/IF($A929&lt;COUNTIFS($K$1:O$1,"&lt;&gt;"),0,SUMIFS($J:$J,$B:$B,$B929,$A:$A,"&gt;="&amp;COUNTIFS($K$1:O$1,"&lt;&gt;"))),0)</f>
        <v>0</v>
      </c>
      <c r="P929">
        <f>IFERROR($J929/IF($A929&lt;COUNTIFS($K$1:P$1,"&lt;&gt;"),0,SUMIFS($J:$J,$B:$B,$B929,$A:$A,"&gt;="&amp;COUNTIFS($K$1:P$1,"&lt;&gt;"))),0)</f>
        <v>0</v>
      </c>
      <c r="Q929">
        <f>IFERROR($J929/IF($A929&lt;COUNTIFS($K$1:Q$1,"&lt;&gt;"),0,SUMIFS($J:$J,$B:$B,$B929,$A:$A,"&gt;="&amp;COUNTIFS($K$1:Q$1,"&lt;&gt;"))),0)</f>
        <v>0</v>
      </c>
      <c r="R929">
        <f>IFERROR($J929/IF($A929&lt;COUNTIFS($K$1:R$1,"&lt;&gt;"),0,SUMIFS($J:$J,$B:$B,$B929,$A:$A,"&gt;="&amp;COUNTIFS($K$1:R$1,"&lt;&gt;"))),0)</f>
        <v>0</v>
      </c>
      <c r="S929">
        <f>IFERROR($J929/IF($A929&lt;COUNTIFS($K$1:S$1,"&lt;&gt;"),0,SUMIFS($J:$J,$B:$B,$B929,$A:$A,"&gt;="&amp;COUNTIFS($K$1:S$1,"&lt;&gt;"))),0)</f>
        <v>0</v>
      </c>
      <c r="T929">
        <f>IFERROR($J929/IF($A929&lt;COUNTIFS($K$1:T$1,"&lt;&gt;"),0,SUMIFS($J:$J,$B:$B,$B929,$A:$A,"&gt;="&amp;COUNTIFS($K$1:T$1,"&lt;&gt;"))),0)</f>
        <v>0</v>
      </c>
      <c r="U929">
        <f>IFERROR($J929/IF($A929&lt;COUNTIFS($K$1:U$1,"&lt;&gt;"),0,SUMIFS($J:$J,$B:$B,$B929,$A:$A,"&gt;="&amp;COUNTIFS($K$1:U$1,"&lt;&gt;"))),0)</f>
        <v>0</v>
      </c>
      <c r="V929">
        <f>IFERROR($J929/IF($A929&lt;COUNTIFS($K$1:V$1,"&lt;&gt;"),0,SUMIFS($J:$J,$B:$B,$B929,$A:$A,"&gt;="&amp;COUNTIFS($K$1:V$1,"&lt;&gt;"))),0)</f>
        <v>0</v>
      </c>
      <c r="W929">
        <f t="shared" si="332"/>
        <v>8.2191780821917804E-2</v>
      </c>
      <c r="X929">
        <f t="shared" si="312"/>
        <v>8.2191780821917804E-2</v>
      </c>
      <c r="Y929">
        <f t="shared" si="313"/>
        <v>8.2191780821917804E-2</v>
      </c>
      <c r="Z929">
        <f t="shared" si="314"/>
        <v>8.2191780821917804E-2</v>
      </c>
      <c r="AA929">
        <f t="shared" si="315"/>
        <v>8.2191780821917804E-2</v>
      </c>
      <c r="AB929">
        <f t="shared" si="316"/>
        <v>0</v>
      </c>
      <c r="AC929">
        <f t="shared" si="317"/>
        <v>0</v>
      </c>
      <c r="AD929">
        <f t="shared" si="318"/>
        <v>0</v>
      </c>
      <c r="AE929">
        <f t="shared" si="319"/>
        <v>0</v>
      </c>
      <c r="AF929">
        <f t="shared" si="320"/>
        <v>0</v>
      </c>
      <c r="AG929">
        <f t="shared" si="321"/>
        <v>0</v>
      </c>
      <c r="AH929">
        <f t="shared" si="322"/>
        <v>0</v>
      </c>
      <c r="AI929">
        <f t="shared" si="323"/>
        <v>0</v>
      </c>
      <c r="AJ929" s="2" t="str">
        <f t="shared" si="333"/>
        <v>445992</v>
      </c>
    </row>
    <row r="930" spans="1:36" x14ac:dyDescent="0.25">
      <c r="A930">
        <v>5</v>
      </c>
      <c r="B930" s="1">
        <v>45992</v>
      </c>
      <c r="C930" s="1">
        <f t="shared" si="324"/>
        <v>46143</v>
      </c>
      <c r="D930" s="1">
        <f t="shared" si="325"/>
        <v>46006</v>
      </c>
      <c r="E930" s="1">
        <f t="shared" si="326"/>
        <v>46143</v>
      </c>
      <c r="F930" s="1">
        <f t="shared" si="327"/>
        <v>46174</v>
      </c>
      <c r="G930" s="1">
        <f t="shared" si="328"/>
        <v>46371</v>
      </c>
      <c r="H930">
        <f t="shared" si="329"/>
        <v>365</v>
      </c>
      <c r="I930">
        <f t="shared" si="330"/>
        <v>31</v>
      </c>
      <c r="J930">
        <f t="shared" si="331"/>
        <v>8.4931506849315067E-2</v>
      </c>
      <c r="K930">
        <f>IFERROR($J930/IF($A930&lt;COUNTIFS($K$1:K$1,"&lt;&gt;"),0,SUMIFS($J:$J,$B:$B,$B930,$A:$A,"&gt;="&amp;COUNTIFS($K$1:K$1,"&lt;&gt;"))),0)</f>
        <v>8.9080459770114959E-2</v>
      </c>
      <c r="L930">
        <f>IFERROR($J930/IF($A930&lt;COUNTIFS($K$1:L$1,"&lt;&gt;"),0,SUMIFS($J:$J,$B:$B,$B930,$A:$A,"&gt;="&amp;COUNTIFS($K$1:L$1,"&lt;&gt;"))),0)</f>
        <v>9.7791798107255537E-2</v>
      </c>
      <c r="M930">
        <f>IFERROR($J930/IF($A930&lt;COUNTIFS($K$1:M$1,"&lt;&gt;"),0,SUMIFS($J:$J,$B:$B,$B930,$A:$A,"&gt;="&amp;COUNTIFS($K$1:M$1,"&lt;&gt;"))),0)</f>
        <v>0.10726643598615919</v>
      </c>
      <c r="N930">
        <f>IFERROR($J930/IF($A930&lt;COUNTIFS($K$1:N$1,"&lt;&gt;"),0,SUMIFS($J:$J,$B:$B,$B930,$A:$A,"&gt;="&amp;COUNTIFS($K$1:N$1,"&lt;&gt;"))),0)</f>
        <v>0.12015503875968994</v>
      </c>
      <c r="O930">
        <f>IFERROR($J930/IF($A930&lt;COUNTIFS($K$1:O$1,"&lt;&gt;"),0,SUMIFS($J:$J,$B:$B,$B930,$A:$A,"&gt;="&amp;COUNTIFS($K$1:O$1,"&lt;&gt;"))),0)</f>
        <v>0.13596491228070179</v>
      </c>
      <c r="P930">
        <f>IFERROR($J930/IF($A930&lt;COUNTIFS($K$1:P$1,"&lt;&gt;"),0,SUMIFS($J:$J,$B:$B,$B930,$A:$A,"&gt;="&amp;COUNTIFS($K$1:P$1,"&lt;&gt;"))),0)</f>
        <v>0</v>
      </c>
      <c r="Q930">
        <f>IFERROR($J930/IF($A930&lt;COUNTIFS($K$1:Q$1,"&lt;&gt;"),0,SUMIFS($J:$J,$B:$B,$B930,$A:$A,"&gt;="&amp;COUNTIFS($K$1:Q$1,"&lt;&gt;"))),0)</f>
        <v>0</v>
      </c>
      <c r="R930">
        <f>IFERROR($J930/IF($A930&lt;COUNTIFS($K$1:R$1,"&lt;&gt;"),0,SUMIFS($J:$J,$B:$B,$B930,$A:$A,"&gt;="&amp;COUNTIFS($K$1:R$1,"&lt;&gt;"))),0)</f>
        <v>0</v>
      </c>
      <c r="S930">
        <f>IFERROR($J930/IF($A930&lt;COUNTIFS($K$1:S$1,"&lt;&gt;"),0,SUMIFS($J:$J,$B:$B,$B930,$A:$A,"&gt;="&amp;COUNTIFS($K$1:S$1,"&lt;&gt;"))),0)</f>
        <v>0</v>
      </c>
      <c r="T930">
        <f>IFERROR($J930/IF($A930&lt;COUNTIFS($K$1:T$1,"&lt;&gt;"),0,SUMIFS($J:$J,$B:$B,$B930,$A:$A,"&gt;="&amp;COUNTIFS($K$1:T$1,"&lt;&gt;"))),0)</f>
        <v>0</v>
      </c>
      <c r="U930">
        <f>IFERROR($J930/IF($A930&lt;COUNTIFS($K$1:U$1,"&lt;&gt;"),0,SUMIFS($J:$J,$B:$B,$B930,$A:$A,"&gt;="&amp;COUNTIFS($K$1:U$1,"&lt;&gt;"))),0)</f>
        <v>0</v>
      </c>
      <c r="V930">
        <f>IFERROR($J930/IF($A930&lt;COUNTIFS($K$1:V$1,"&lt;&gt;"),0,SUMIFS($J:$J,$B:$B,$B930,$A:$A,"&gt;="&amp;COUNTIFS($K$1:V$1,"&lt;&gt;"))),0)</f>
        <v>0</v>
      </c>
      <c r="W930">
        <f t="shared" si="332"/>
        <v>8.4931506849315067E-2</v>
      </c>
      <c r="X930">
        <f t="shared" si="312"/>
        <v>8.4931506849315067E-2</v>
      </c>
      <c r="Y930">
        <f t="shared" si="313"/>
        <v>8.4931506849315067E-2</v>
      </c>
      <c r="Z930">
        <f t="shared" si="314"/>
        <v>8.4931506849315067E-2</v>
      </c>
      <c r="AA930">
        <f t="shared" si="315"/>
        <v>8.4931506849315067E-2</v>
      </c>
      <c r="AB930">
        <f t="shared" si="316"/>
        <v>8.4931506849315067E-2</v>
      </c>
      <c r="AC930">
        <f t="shared" si="317"/>
        <v>0</v>
      </c>
      <c r="AD930">
        <f t="shared" si="318"/>
        <v>0</v>
      </c>
      <c r="AE930">
        <f t="shared" si="319"/>
        <v>0</v>
      </c>
      <c r="AF930">
        <f t="shared" si="320"/>
        <v>0</v>
      </c>
      <c r="AG930">
        <f t="shared" si="321"/>
        <v>0</v>
      </c>
      <c r="AH930">
        <f t="shared" si="322"/>
        <v>0</v>
      </c>
      <c r="AI930">
        <f t="shared" si="323"/>
        <v>0</v>
      </c>
      <c r="AJ930" s="2" t="str">
        <f t="shared" si="333"/>
        <v>545992</v>
      </c>
    </row>
    <row r="931" spans="1:36" x14ac:dyDescent="0.25">
      <c r="A931">
        <v>6</v>
      </c>
      <c r="B931" s="1">
        <v>45992</v>
      </c>
      <c r="C931" s="1">
        <f t="shared" si="324"/>
        <v>46174</v>
      </c>
      <c r="D931" s="1">
        <f t="shared" si="325"/>
        <v>46006</v>
      </c>
      <c r="E931" s="1">
        <f t="shared" si="326"/>
        <v>46174</v>
      </c>
      <c r="F931" s="1">
        <f t="shared" si="327"/>
        <v>46204</v>
      </c>
      <c r="G931" s="1">
        <f t="shared" si="328"/>
        <v>46371</v>
      </c>
      <c r="H931">
        <f t="shared" si="329"/>
        <v>365</v>
      </c>
      <c r="I931">
        <f t="shared" si="330"/>
        <v>30</v>
      </c>
      <c r="J931">
        <f t="shared" si="331"/>
        <v>8.2191780821917804E-2</v>
      </c>
      <c r="K931">
        <f>IFERROR($J931/IF($A931&lt;COUNTIFS($K$1:K$1,"&lt;&gt;"),0,SUMIFS($J:$J,$B:$B,$B931,$A:$A,"&gt;="&amp;COUNTIFS($K$1:K$1,"&lt;&gt;"))),0)</f>
        <v>8.6206896551724144E-2</v>
      </c>
      <c r="L931">
        <f>IFERROR($J931/IF($A931&lt;COUNTIFS($K$1:L$1,"&lt;&gt;"),0,SUMIFS($J:$J,$B:$B,$B931,$A:$A,"&gt;="&amp;COUNTIFS($K$1:L$1,"&lt;&gt;"))),0)</f>
        <v>9.4637223974763415E-2</v>
      </c>
      <c r="M931">
        <f>IFERROR($J931/IF($A931&lt;COUNTIFS($K$1:M$1,"&lt;&gt;"),0,SUMIFS($J:$J,$B:$B,$B931,$A:$A,"&gt;="&amp;COUNTIFS($K$1:M$1,"&lt;&gt;"))),0)</f>
        <v>0.10380622837370243</v>
      </c>
      <c r="N931">
        <f>IFERROR($J931/IF($A931&lt;COUNTIFS($K$1:N$1,"&lt;&gt;"),0,SUMIFS($J:$J,$B:$B,$B931,$A:$A,"&gt;="&amp;COUNTIFS($K$1:N$1,"&lt;&gt;"))),0)</f>
        <v>0.11627906976744187</v>
      </c>
      <c r="O931">
        <f>IFERROR($J931/IF($A931&lt;COUNTIFS($K$1:O$1,"&lt;&gt;"),0,SUMIFS($J:$J,$B:$B,$B931,$A:$A,"&gt;="&amp;COUNTIFS($K$1:O$1,"&lt;&gt;"))),0)</f>
        <v>0.13157894736842107</v>
      </c>
      <c r="P931">
        <f>IFERROR($J931/IF($A931&lt;COUNTIFS($K$1:P$1,"&lt;&gt;"),0,SUMIFS($J:$J,$B:$B,$B931,$A:$A,"&gt;="&amp;COUNTIFS($K$1:P$1,"&lt;&gt;"))),0)</f>
        <v>0.15228426395939088</v>
      </c>
      <c r="Q931">
        <f>IFERROR($J931/IF($A931&lt;COUNTIFS($K$1:Q$1,"&lt;&gt;"),0,SUMIFS($J:$J,$B:$B,$B931,$A:$A,"&gt;="&amp;COUNTIFS($K$1:Q$1,"&lt;&gt;"))),0)</f>
        <v>0</v>
      </c>
      <c r="R931">
        <f>IFERROR($J931/IF($A931&lt;COUNTIFS($K$1:R$1,"&lt;&gt;"),0,SUMIFS($J:$J,$B:$B,$B931,$A:$A,"&gt;="&amp;COUNTIFS($K$1:R$1,"&lt;&gt;"))),0)</f>
        <v>0</v>
      </c>
      <c r="S931">
        <f>IFERROR($J931/IF($A931&lt;COUNTIFS($K$1:S$1,"&lt;&gt;"),0,SUMIFS($J:$J,$B:$B,$B931,$A:$A,"&gt;="&amp;COUNTIFS($K$1:S$1,"&lt;&gt;"))),0)</f>
        <v>0</v>
      </c>
      <c r="T931">
        <f>IFERROR($J931/IF($A931&lt;COUNTIFS($K$1:T$1,"&lt;&gt;"),0,SUMIFS($J:$J,$B:$B,$B931,$A:$A,"&gt;="&amp;COUNTIFS($K$1:T$1,"&lt;&gt;"))),0)</f>
        <v>0</v>
      </c>
      <c r="U931">
        <f>IFERROR($J931/IF($A931&lt;COUNTIFS($K$1:U$1,"&lt;&gt;"),0,SUMIFS($J:$J,$B:$B,$B931,$A:$A,"&gt;="&amp;COUNTIFS($K$1:U$1,"&lt;&gt;"))),0)</f>
        <v>0</v>
      </c>
      <c r="V931">
        <f>IFERROR($J931/IF($A931&lt;COUNTIFS($K$1:V$1,"&lt;&gt;"),0,SUMIFS($J:$J,$B:$B,$B931,$A:$A,"&gt;="&amp;COUNTIFS($K$1:V$1,"&lt;&gt;"))),0)</f>
        <v>0</v>
      </c>
      <c r="W931">
        <f t="shared" si="332"/>
        <v>8.2191780821917804E-2</v>
      </c>
      <c r="X931">
        <f t="shared" si="312"/>
        <v>8.2191780821917804E-2</v>
      </c>
      <c r="Y931">
        <f t="shared" si="313"/>
        <v>8.2191780821917804E-2</v>
      </c>
      <c r="Z931">
        <f t="shared" si="314"/>
        <v>8.2191780821917804E-2</v>
      </c>
      <c r="AA931">
        <f t="shared" si="315"/>
        <v>8.2191780821917804E-2</v>
      </c>
      <c r="AB931">
        <f t="shared" si="316"/>
        <v>8.2191780821917804E-2</v>
      </c>
      <c r="AC931">
        <f t="shared" si="317"/>
        <v>8.2191780821917804E-2</v>
      </c>
      <c r="AD931">
        <f t="shared" si="318"/>
        <v>0</v>
      </c>
      <c r="AE931">
        <f t="shared" si="319"/>
        <v>0</v>
      </c>
      <c r="AF931">
        <f t="shared" si="320"/>
        <v>0</v>
      </c>
      <c r="AG931">
        <f t="shared" si="321"/>
        <v>0</v>
      </c>
      <c r="AH931">
        <f t="shared" si="322"/>
        <v>0</v>
      </c>
      <c r="AI931">
        <f t="shared" si="323"/>
        <v>0</v>
      </c>
      <c r="AJ931" s="2" t="str">
        <f t="shared" si="333"/>
        <v>645992</v>
      </c>
    </row>
    <row r="932" spans="1:36" x14ac:dyDescent="0.25">
      <c r="A932">
        <v>7</v>
      </c>
      <c r="B932" s="1">
        <v>45992</v>
      </c>
      <c r="C932" s="1">
        <f t="shared" si="324"/>
        <v>46204</v>
      </c>
      <c r="D932" s="1">
        <f t="shared" si="325"/>
        <v>46006</v>
      </c>
      <c r="E932" s="1">
        <f t="shared" si="326"/>
        <v>46204</v>
      </c>
      <c r="F932" s="1">
        <f t="shared" si="327"/>
        <v>46235</v>
      </c>
      <c r="G932" s="1">
        <f t="shared" si="328"/>
        <v>46371</v>
      </c>
      <c r="H932">
        <f t="shared" si="329"/>
        <v>365</v>
      </c>
      <c r="I932">
        <f t="shared" si="330"/>
        <v>31</v>
      </c>
      <c r="J932">
        <f t="shared" si="331"/>
        <v>8.4931506849315067E-2</v>
      </c>
      <c r="K932">
        <f>IFERROR($J932/IF($A932&lt;COUNTIFS($K$1:K$1,"&lt;&gt;"),0,SUMIFS($J:$J,$B:$B,$B932,$A:$A,"&gt;="&amp;COUNTIFS($K$1:K$1,"&lt;&gt;"))),0)</f>
        <v>8.9080459770114959E-2</v>
      </c>
      <c r="L932">
        <f>IFERROR($J932/IF($A932&lt;COUNTIFS($K$1:L$1,"&lt;&gt;"),0,SUMIFS($J:$J,$B:$B,$B932,$A:$A,"&gt;="&amp;COUNTIFS($K$1:L$1,"&lt;&gt;"))),0)</f>
        <v>9.7791798107255537E-2</v>
      </c>
      <c r="M932">
        <f>IFERROR($J932/IF($A932&lt;COUNTIFS($K$1:M$1,"&lt;&gt;"),0,SUMIFS($J:$J,$B:$B,$B932,$A:$A,"&gt;="&amp;COUNTIFS($K$1:M$1,"&lt;&gt;"))),0)</f>
        <v>0.10726643598615919</v>
      </c>
      <c r="N932">
        <f>IFERROR($J932/IF($A932&lt;COUNTIFS($K$1:N$1,"&lt;&gt;"),0,SUMIFS($J:$J,$B:$B,$B932,$A:$A,"&gt;="&amp;COUNTIFS($K$1:N$1,"&lt;&gt;"))),0)</f>
        <v>0.12015503875968994</v>
      </c>
      <c r="O932">
        <f>IFERROR($J932/IF($A932&lt;COUNTIFS($K$1:O$1,"&lt;&gt;"),0,SUMIFS($J:$J,$B:$B,$B932,$A:$A,"&gt;="&amp;COUNTIFS($K$1:O$1,"&lt;&gt;"))),0)</f>
        <v>0.13596491228070179</v>
      </c>
      <c r="P932">
        <f>IFERROR($J932/IF($A932&lt;COUNTIFS($K$1:P$1,"&lt;&gt;"),0,SUMIFS($J:$J,$B:$B,$B932,$A:$A,"&gt;="&amp;COUNTIFS($K$1:P$1,"&lt;&gt;"))),0)</f>
        <v>0.15736040609137059</v>
      </c>
      <c r="Q932">
        <f>IFERROR($J932/IF($A932&lt;COUNTIFS($K$1:Q$1,"&lt;&gt;"),0,SUMIFS($J:$J,$B:$B,$B932,$A:$A,"&gt;="&amp;COUNTIFS($K$1:Q$1,"&lt;&gt;"))),0)</f>
        <v>0.18562874251497008</v>
      </c>
      <c r="R932">
        <f>IFERROR($J932/IF($A932&lt;COUNTIFS($K$1:R$1,"&lt;&gt;"),0,SUMIFS($J:$J,$B:$B,$B932,$A:$A,"&gt;="&amp;COUNTIFS($K$1:R$1,"&lt;&gt;"))),0)</f>
        <v>0</v>
      </c>
      <c r="S932">
        <f>IFERROR($J932/IF($A932&lt;COUNTIFS($K$1:S$1,"&lt;&gt;"),0,SUMIFS($J:$J,$B:$B,$B932,$A:$A,"&gt;="&amp;COUNTIFS($K$1:S$1,"&lt;&gt;"))),0)</f>
        <v>0</v>
      </c>
      <c r="T932">
        <f>IFERROR($J932/IF($A932&lt;COUNTIFS($K$1:T$1,"&lt;&gt;"),0,SUMIFS($J:$J,$B:$B,$B932,$A:$A,"&gt;="&amp;COUNTIFS($K$1:T$1,"&lt;&gt;"))),0)</f>
        <v>0</v>
      </c>
      <c r="U932">
        <f>IFERROR($J932/IF($A932&lt;COUNTIFS($K$1:U$1,"&lt;&gt;"),0,SUMIFS($J:$J,$B:$B,$B932,$A:$A,"&gt;="&amp;COUNTIFS($K$1:U$1,"&lt;&gt;"))),0)</f>
        <v>0</v>
      </c>
      <c r="V932">
        <f>IFERROR($J932/IF($A932&lt;COUNTIFS($K$1:V$1,"&lt;&gt;"),0,SUMIFS($J:$J,$B:$B,$B932,$A:$A,"&gt;="&amp;COUNTIFS($K$1:V$1,"&lt;&gt;"))),0)</f>
        <v>0</v>
      </c>
      <c r="W932">
        <f t="shared" si="332"/>
        <v>8.4931506849315067E-2</v>
      </c>
      <c r="X932">
        <f t="shared" si="312"/>
        <v>8.4931506849315067E-2</v>
      </c>
      <c r="Y932">
        <f t="shared" si="313"/>
        <v>8.4931506849315067E-2</v>
      </c>
      <c r="Z932">
        <f t="shared" si="314"/>
        <v>8.4931506849315067E-2</v>
      </c>
      <c r="AA932">
        <f t="shared" si="315"/>
        <v>8.4931506849315067E-2</v>
      </c>
      <c r="AB932">
        <f t="shared" si="316"/>
        <v>8.4931506849315067E-2</v>
      </c>
      <c r="AC932">
        <f t="shared" si="317"/>
        <v>8.4931506849315067E-2</v>
      </c>
      <c r="AD932">
        <f t="shared" si="318"/>
        <v>8.4931506849315067E-2</v>
      </c>
      <c r="AE932">
        <f t="shared" si="319"/>
        <v>0</v>
      </c>
      <c r="AF932">
        <f t="shared" si="320"/>
        <v>0</v>
      </c>
      <c r="AG932">
        <f t="shared" si="321"/>
        <v>0</v>
      </c>
      <c r="AH932">
        <f t="shared" si="322"/>
        <v>0</v>
      </c>
      <c r="AI932">
        <f t="shared" si="323"/>
        <v>0</v>
      </c>
      <c r="AJ932" s="2" t="str">
        <f t="shared" si="333"/>
        <v>745992</v>
      </c>
    </row>
    <row r="933" spans="1:36" x14ac:dyDescent="0.25">
      <c r="A933">
        <v>8</v>
      </c>
      <c r="B933" s="1">
        <v>45992</v>
      </c>
      <c r="C933" s="1">
        <f t="shared" si="324"/>
        <v>46235</v>
      </c>
      <c r="D933" s="1">
        <f t="shared" si="325"/>
        <v>46006</v>
      </c>
      <c r="E933" s="1">
        <f t="shared" si="326"/>
        <v>46235</v>
      </c>
      <c r="F933" s="1">
        <f t="shared" si="327"/>
        <v>46266</v>
      </c>
      <c r="G933" s="1">
        <f t="shared" si="328"/>
        <v>46371</v>
      </c>
      <c r="H933">
        <f t="shared" si="329"/>
        <v>365</v>
      </c>
      <c r="I933">
        <f t="shared" si="330"/>
        <v>31</v>
      </c>
      <c r="J933">
        <f t="shared" si="331"/>
        <v>8.4931506849315067E-2</v>
      </c>
      <c r="K933">
        <f>IFERROR($J933/IF($A933&lt;COUNTIFS($K$1:K$1,"&lt;&gt;"),0,SUMIFS($J:$J,$B:$B,$B933,$A:$A,"&gt;="&amp;COUNTIFS($K$1:K$1,"&lt;&gt;"))),0)</f>
        <v>8.9080459770114959E-2</v>
      </c>
      <c r="L933">
        <f>IFERROR($J933/IF($A933&lt;COUNTIFS($K$1:L$1,"&lt;&gt;"),0,SUMIFS($J:$J,$B:$B,$B933,$A:$A,"&gt;="&amp;COUNTIFS($K$1:L$1,"&lt;&gt;"))),0)</f>
        <v>9.7791798107255537E-2</v>
      </c>
      <c r="M933">
        <f>IFERROR($J933/IF($A933&lt;COUNTIFS($K$1:M$1,"&lt;&gt;"),0,SUMIFS($J:$J,$B:$B,$B933,$A:$A,"&gt;="&amp;COUNTIFS($K$1:M$1,"&lt;&gt;"))),0)</f>
        <v>0.10726643598615919</v>
      </c>
      <c r="N933">
        <f>IFERROR($J933/IF($A933&lt;COUNTIFS($K$1:N$1,"&lt;&gt;"),0,SUMIFS($J:$J,$B:$B,$B933,$A:$A,"&gt;="&amp;COUNTIFS($K$1:N$1,"&lt;&gt;"))),0)</f>
        <v>0.12015503875968994</v>
      </c>
      <c r="O933">
        <f>IFERROR($J933/IF($A933&lt;COUNTIFS($K$1:O$1,"&lt;&gt;"),0,SUMIFS($J:$J,$B:$B,$B933,$A:$A,"&gt;="&amp;COUNTIFS($K$1:O$1,"&lt;&gt;"))),0)</f>
        <v>0.13596491228070179</v>
      </c>
      <c r="P933">
        <f>IFERROR($J933/IF($A933&lt;COUNTIFS($K$1:P$1,"&lt;&gt;"),0,SUMIFS($J:$J,$B:$B,$B933,$A:$A,"&gt;="&amp;COUNTIFS($K$1:P$1,"&lt;&gt;"))),0)</f>
        <v>0.15736040609137059</v>
      </c>
      <c r="Q933">
        <f>IFERROR($J933/IF($A933&lt;COUNTIFS($K$1:Q$1,"&lt;&gt;"),0,SUMIFS($J:$J,$B:$B,$B933,$A:$A,"&gt;="&amp;COUNTIFS($K$1:Q$1,"&lt;&gt;"))),0)</f>
        <v>0.18562874251497008</v>
      </c>
      <c r="R933">
        <f>IFERROR($J933/IF($A933&lt;COUNTIFS($K$1:R$1,"&lt;&gt;"),0,SUMIFS($J:$J,$B:$B,$B933,$A:$A,"&gt;="&amp;COUNTIFS($K$1:R$1,"&lt;&gt;"))),0)</f>
        <v>0.22794117647058826</v>
      </c>
      <c r="S933">
        <f>IFERROR($J933/IF($A933&lt;COUNTIFS($K$1:S$1,"&lt;&gt;"),0,SUMIFS($J:$J,$B:$B,$B933,$A:$A,"&gt;="&amp;COUNTIFS($K$1:S$1,"&lt;&gt;"))),0)</f>
        <v>0</v>
      </c>
      <c r="T933">
        <f>IFERROR($J933/IF($A933&lt;COUNTIFS($K$1:T$1,"&lt;&gt;"),0,SUMIFS($J:$J,$B:$B,$B933,$A:$A,"&gt;="&amp;COUNTIFS($K$1:T$1,"&lt;&gt;"))),0)</f>
        <v>0</v>
      </c>
      <c r="U933">
        <f>IFERROR($J933/IF($A933&lt;COUNTIFS($K$1:U$1,"&lt;&gt;"),0,SUMIFS($J:$J,$B:$B,$B933,$A:$A,"&gt;="&amp;COUNTIFS($K$1:U$1,"&lt;&gt;"))),0)</f>
        <v>0</v>
      </c>
      <c r="V933">
        <f>IFERROR($J933/IF($A933&lt;COUNTIFS($K$1:V$1,"&lt;&gt;"),0,SUMIFS($J:$J,$B:$B,$B933,$A:$A,"&gt;="&amp;COUNTIFS($K$1:V$1,"&lt;&gt;"))),0)</f>
        <v>0</v>
      </c>
      <c r="W933">
        <f t="shared" si="332"/>
        <v>8.4931506849315067E-2</v>
      </c>
      <c r="X933">
        <f t="shared" si="312"/>
        <v>8.4931506849315067E-2</v>
      </c>
      <c r="Y933">
        <f t="shared" si="313"/>
        <v>8.4931506849315067E-2</v>
      </c>
      <c r="Z933">
        <f t="shared" si="314"/>
        <v>8.4931506849315067E-2</v>
      </c>
      <c r="AA933">
        <f t="shared" si="315"/>
        <v>8.4931506849315067E-2</v>
      </c>
      <c r="AB933">
        <f t="shared" si="316"/>
        <v>8.4931506849315067E-2</v>
      </c>
      <c r="AC933">
        <f t="shared" si="317"/>
        <v>8.4931506849315067E-2</v>
      </c>
      <c r="AD933">
        <f t="shared" si="318"/>
        <v>8.4931506849315067E-2</v>
      </c>
      <c r="AE933">
        <f t="shared" si="319"/>
        <v>8.4931506849315067E-2</v>
      </c>
      <c r="AF933">
        <f t="shared" si="320"/>
        <v>0</v>
      </c>
      <c r="AG933">
        <f t="shared" si="321"/>
        <v>0</v>
      </c>
      <c r="AH933">
        <f t="shared" si="322"/>
        <v>0</v>
      </c>
      <c r="AI933">
        <f t="shared" si="323"/>
        <v>0</v>
      </c>
      <c r="AJ933" s="2" t="str">
        <f t="shared" si="333"/>
        <v>845992</v>
      </c>
    </row>
    <row r="934" spans="1:36" x14ac:dyDescent="0.25">
      <c r="A934">
        <v>9</v>
      </c>
      <c r="B934" s="1">
        <v>45992</v>
      </c>
      <c r="C934" s="1">
        <f t="shared" si="324"/>
        <v>46266</v>
      </c>
      <c r="D934" s="1">
        <f t="shared" si="325"/>
        <v>46006</v>
      </c>
      <c r="E934" s="1">
        <f t="shared" si="326"/>
        <v>46266</v>
      </c>
      <c r="F934" s="1">
        <f t="shared" si="327"/>
        <v>46296</v>
      </c>
      <c r="G934" s="1">
        <f t="shared" si="328"/>
        <v>46371</v>
      </c>
      <c r="H934">
        <f t="shared" si="329"/>
        <v>365</v>
      </c>
      <c r="I934">
        <f t="shared" si="330"/>
        <v>30</v>
      </c>
      <c r="J934">
        <f t="shared" si="331"/>
        <v>8.2191780821917804E-2</v>
      </c>
      <c r="K934">
        <f>IFERROR($J934/IF($A934&lt;COUNTIFS($K$1:K$1,"&lt;&gt;"),0,SUMIFS($J:$J,$B:$B,$B934,$A:$A,"&gt;="&amp;COUNTIFS($K$1:K$1,"&lt;&gt;"))),0)</f>
        <v>8.6206896551724144E-2</v>
      </c>
      <c r="L934">
        <f>IFERROR($J934/IF($A934&lt;COUNTIFS($K$1:L$1,"&lt;&gt;"),0,SUMIFS($J:$J,$B:$B,$B934,$A:$A,"&gt;="&amp;COUNTIFS($K$1:L$1,"&lt;&gt;"))),0)</f>
        <v>9.4637223974763415E-2</v>
      </c>
      <c r="M934">
        <f>IFERROR($J934/IF($A934&lt;COUNTIFS($K$1:M$1,"&lt;&gt;"),0,SUMIFS($J:$J,$B:$B,$B934,$A:$A,"&gt;="&amp;COUNTIFS($K$1:M$1,"&lt;&gt;"))),0)</f>
        <v>0.10380622837370243</v>
      </c>
      <c r="N934">
        <f>IFERROR($J934/IF($A934&lt;COUNTIFS($K$1:N$1,"&lt;&gt;"),0,SUMIFS($J:$J,$B:$B,$B934,$A:$A,"&gt;="&amp;COUNTIFS($K$1:N$1,"&lt;&gt;"))),0)</f>
        <v>0.11627906976744187</v>
      </c>
      <c r="O934">
        <f>IFERROR($J934/IF($A934&lt;COUNTIFS($K$1:O$1,"&lt;&gt;"),0,SUMIFS($J:$J,$B:$B,$B934,$A:$A,"&gt;="&amp;COUNTIFS($K$1:O$1,"&lt;&gt;"))),0)</f>
        <v>0.13157894736842107</v>
      </c>
      <c r="P934">
        <f>IFERROR($J934/IF($A934&lt;COUNTIFS($K$1:P$1,"&lt;&gt;"),0,SUMIFS($J:$J,$B:$B,$B934,$A:$A,"&gt;="&amp;COUNTIFS($K$1:P$1,"&lt;&gt;"))),0)</f>
        <v>0.15228426395939088</v>
      </c>
      <c r="Q934">
        <f>IFERROR($J934/IF($A934&lt;COUNTIFS($K$1:Q$1,"&lt;&gt;"),0,SUMIFS($J:$J,$B:$B,$B934,$A:$A,"&gt;="&amp;COUNTIFS($K$1:Q$1,"&lt;&gt;"))),0)</f>
        <v>0.17964071856287425</v>
      </c>
      <c r="R934">
        <f>IFERROR($J934/IF($A934&lt;COUNTIFS($K$1:R$1,"&lt;&gt;"),0,SUMIFS($J:$J,$B:$B,$B934,$A:$A,"&gt;="&amp;COUNTIFS($K$1:R$1,"&lt;&gt;"))),0)</f>
        <v>0.22058823529411764</v>
      </c>
      <c r="S934">
        <f>IFERROR($J934/IF($A934&lt;COUNTIFS($K$1:S$1,"&lt;&gt;"),0,SUMIFS($J:$J,$B:$B,$B934,$A:$A,"&gt;="&amp;COUNTIFS($K$1:S$1,"&lt;&gt;"))),0)</f>
        <v>0.2857142857142857</v>
      </c>
      <c r="T934">
        <f>IFERROR($J934/IF($A934&lt;COUNTIFS($K$1:T$1,"&lt;&gt;"),0,SUMIFS($J:$J,$B:$B,$B934,$A:$A,"&gt;="&amp;COUNTIFS($K$1:T$1,"&lt;&gt;"))),0)</f>
        <v>0</v>
      </c>
      <c r="U934">
        <f>IFERROR($J934/IF($A934&lt;COUNTIFS($K$1:U$1,"&lt;&gt;"),0,SUMIFS($J:$J,$B:$B,$B934,$A:$A,"&gt;="&amp;COUNTIFS($K$1:U$1,"&lt;&gt;"))),0)</f>
        <v>0</v>
      </c>
      <c r="V934">
        <f>IFERROR($J934/IF($A934&lt;COUNTIFS($K$1:V$1,"&lt;&gt;"),0,SUMIFS($J:$J,$B:$B,$B934,$A:$A,"&gt;="&amp;COUNTIFS($K$1:V$1,"&lt;&gt;"))),0)</f>
        <v>0</v>
      </c>
      <c r="W934">
        <f t="shared" si="332"/>
        <v>8.2191780821917804E-2</v>
      </c>
      <c r="X934">
        <f t="shared" si="312"/>
        <v>8.2191780821917804E-2</v>
      </c>
      <c r="Y934">
        <f t="shared" si="313"/>
        <v>8.2191780821917804E-2</v>
      </c>
      <c r="Z934">
        <f t="shared" si="314"/>
        <v>8.2191780821917804E-2</v>
      </c>
      <c r="AA934">
        <f t="shared" si="315"/>
        <v>8.2191780821917804E-2</v>
      </c>
      <c r="AB934">
        <f t="shared" si="316"/>
        <v>8.2191780821917804E-2</v>
      </c>
      <c r="AC934">
        <f t="shared" si="317"/>
        <v>8.2191780821917804E-2</v>
      </c>
      <c r="AD934">
        <f t="shared" si="318"/>
        <v>8.2191780821917804E-2</v>
      </c>
      <c r="AE934">
        <f t="shared" si="319"/>
        <v>8.2191780821917804E-2</v>
      </c>
      <c r="AF934">
        <f t="shared" si="320"/>
        <v>8.2191780821917804E-2</v>
      </c>
      <c r="AG934">
        <f t="shared" si="321"/>
        <v>0</v>
      </c>
      <c r="AH934">
        <f t="shared" si="322"/>
        <v>0</v>
      </c>
      <c r="AI934">
        <f t="shared" si="323"/>
        <v>0</v>
      </c>
      <c r="AJ934" s="2" t="str">
        <f t="shared" si="333"/>
        <v>945992</v>
      </c>
    </row>
    <row r="935" spans="1:36" x14ac:dyDescent="0.25">
      <c r="A935">
        <v>10</v>
      </c>
      <c r="B935" s="1">
        <v>45992</v>
      </c>
      <c r="C935" s="1">
        <f t="shared" si="324"/>
        <v>46296</v>
      </c>
      <c r="D935" s="1">
        <f t="shared" si="325"/>
        <v>46006</v>
      </c>
      <c r="E935" s="1">
        <f t="shared" si="326"/>
        <v>46296</v>
      </c>
      <c r="F935" s="1">
        <f t="shared" si="327"/>
        <v>46327</v>
      </c>
      <c r="G935" s="1">
        <f t="shared" si="328"/>
        <v>46371</v>
      </c>
      <c r="H935">
        <f t="shared" si="329"/>
        <v>365</v>
      </c>
      <c r="I935">
        <f t="shared" si="330"/>
        <v>31</v>
      </c>
      <c r="J935">
        <f t="shared" si="331"/>
        <v>8.4931506849315067E-2</v>
      </c>
      <c r="K935">
        <f>IFERROR($J935/IF($A935&lt;COUNTIFS($K$1:K$1,"&lt;&gt;"),0,SUMIFS($J:$J,$B:$B,$B935,$A:$A,"&gt;="&amp;COUNTIFS($K$1:K$1,"&lt;&gt;"))),0)</f>
        <v>8.9080459770114959E-2</v>
      </c>
      <c r="L935">
        <f>IFERROR($J935/IF($A935&lt;COUNTIFS($K$1:L$1,"&lt;&gt;"),0,SUMIFS($J:$J,$B:$B,$B935,$A:$A,"&gt;="&amp;COUNTIFS($K$1:L$1,"&lt;&gt;"))),0)</f>
        <v>9.7791798107255537E-2</v>
      </c>
      <c r="M935">
        <f>IFERROR($J935/IF($A935&lt;COUNTIFS($K$1:M$1,"&lt;&gt;"),0,SUMIFS($J:$J,$B:$B,$B935,$A:$A,"&gt;="&amp;COUNTIFS($K$1:M$1,"&lt;&gt;"))),0)</f>
        <v>0.10726643598615919</v>
      </c>
      <c r="N935">
        <f>IFERROR($J935/IF($A935&lt;COUNTIFS($K$1:N$1,"&lt;&gt;"),0,SUMIFS($J:$J,$B:$B,$B935,$A:$A,"&gt;="&amp;COUNTIFS($K$1:N$1,"&lt;&gt;"))),0)</f>
        <v>0.12015503875968994</v>
      </c>
      <c r="O935">
        <f>IFERROR($J935/IF($A935&lt;COUNTIFS($K$1:O$1,"&lt;&gt;"),0,SUMIFS($J:$J,$B:$B,$B935,$A:$A,"&gt;="&amp;COUNTIFS($K$1:O$1,"&lt;&gt;"))),0)</f>
        <v>0.13596491228070179</v>
      </c>
      <c r="P935">
        <f>IFERROR($J935/IF($A935&lt;COUNTIFS($K$1:P$1,"&lt;&gt;"),0,SUMIFS($J:$J,$B:$B,$B935,$A:$A,"&gt;="&amp;COUNTIFS($K$1:P$1,"&lt;&gt;"))),0)</f>
        <v>0.15736040609137059</v>
      </c>
      <c r="Q935">
        <f>IFERROR($J935/IF($A935&lt;COUNTIFS($K$1:Q$1,"&lt;&gt;"),0,SUMIFS($J:$J,$B:$B,$B935,$A:$A,"&gt;="&amp;COUNTIFS($K$1:Q$1,"&lt;&gt;"))),0)</f>
        <v>0.18562874251497008</v>
      </c>
      <c r="R935">
        <f>IFERROR($J935/IF($A935&lt;COUNTIFS($K$1:R$1,"&lt;&gt;"),0,SUMIFS($J:$J,$B:$B,$B935,$A:$A,"&gt;="&amp;COUNTIFS($K$1:R$1,"&lt;&gt;"))),0)</f>
        <v>0.22794117647058826</v>
      </c>
      <c r="S935">
        <f>IFERROR($J935/IF($A935&lt;COUNTIFS($K$1:S$1,"&lt;&gt;"),0,SUMIFS($J:$J,$B:$B,$B935,$A:$A,"&gt;="&amp;COUNTIFS($K$1:S$1,"&lt;&gt;"))),0)</f>
        <v>0.29523809523809524</v>
      </c>
      <c r="T935">
        <f>IFERROR($J935/IF($A935&lt;COUNTIFS($K$1:T$1,"&lt;&gt;"),0,SUMIFS($J:$J,$B:$B,$B935,$A:$A,"&gt;="&amp;COUNTIFS($K$1:T$1,"&lt;&gt;"))),0)</f>
        <v>0.41333333333333333</v>
      </c>
      <c r="U935">
        <f>IFERROR($J935/IF($A935&lt;COUNTIFS($K$1:U$1,"&lt;&gt;"),0,SUMIFS($J:$J,$B:$B,$B935,$A:$A,"&gt;="&amp;COUNTIFS($K$1:U$1,"&lt;&gt;"))),0)</f>
        <v>0</v>
      </c>
      <c r="V935">
        <f>IFERROR($J935/IF($A935&lt;COUNTIFS($K$1:V$1,"&lt;&gt;"),0,SUMIFS($J:$J,$B:$B,$B935,$A:$A,"&gt;="&amp;COUNTIFS($K$1:V$1,"&lt;&gt;"))),0)</f>
        <v>0</v>
      </c>
      <c r="W935">
        <f t="shared" si="332"/>
        <v>8.4931506849315067E-2</v>
      </c>
      <c r="X935">
        <f t="shared" si="312"/>
        <v>8.4931506849315067E-2</v>
      </c>
      <c r="Y935">
        <f t="shared" si="313"/>
        <v>8.4931506849315067E-2</v>
      </c>
      <c r="Z935">
        <f t="shared" si="314"/>
        <v>8.4931506849315067E-2</v>
      </c>
      <c r="AA935">
        <f t="shared" si="315"/>
        <v>8.4931506849315067E-2</v>
      </c>
      <c r="AB935">
        <f t="shared" si="316"/>
        <v>8.4931506849315067E-2</v>
      </c>
      <c r="AC935">
        <f t="shared" si="317"/>
        <v>8.4931506849315067E-2</v>
      </c>
      <c r="AD935">
        <f t="shared" si="318"/>
        <v>8.4931506849315067E-2</v>
      </c>
      <c r="AE935">
        <f t="shared" si="319"/>
        <v>8.4931506849315067E-2</v>
      </c>
      <c r="AF935">
        <f t="shared" si="320"/>
        <v>8.4931506849315067E-2</v>
      </c>
      <c r="AG935">
        <f t="shared" si="321"/>
        <v>8.4931506849315067E-2</v>
      </c>
      <c r="AH935">
        <f t="shared" si="322"/>
        <v>0</v>
      </c>
      <c r="AI935">
        <f t="shared" si="323"/>
        <v>0</v>
      </c>
      <c r="AJ935" s="2" t="str">
        <f t="shared" si="333"/>
        <v>1045992</v>
      </c>
    </row>
    <row r="936" spans="1:36" x14ac:dyDescent="0.25">
      <c r="A936">
        <v>11</v>
      </c>
      <c r="B936" s="1">
        <v>45992</v>
      </c>
      <c r="C936" s="1">
        <f t="shared" si="324"/>
        <v>46327</v>
      </c>
      <c r="D936" s="1">
        <f t="shared" si="325"/>
        <v>46006</v>
      </c>
      <c r="E936" s="1">
        <f t="shared" si="326"/>
        <v>46327</v>
      </c>
      <c r="F936" s="1">
        <f t="shared" si="327"/>
        <v>46357</v>
      </c>
      <c r="G936" s="1">
        <f t="shared" si="328"/>
        <v>46371</v>
      </c>
      <c r="H936">
        <f t="shared" si="329"/>
        <v>365</v>
      </c>
      <c r="I936">
        <f t="shared" si="330"/>
        <v>30</v>
      </c>
      <c r="J936">
        <f t="shared" si="331"/>
        <v>8.2191780821917804E-2</v>
      </c>
      <c r="K936">
        <f>IFERROR($J936/IF($A936&lt;COUNTIFS($K$1:K$1,"&lt;&gt;"),0,SUMIFS($J:$J,$B:$B,$B936,$A:$A,"&gt;="&amp;COUNTIFS($K$1:K$1,"&lt;&gt;"))),0)</f>
        <v>8.6206896551724144E-2</v>
      </c>
      <c r="L936">
        <f>IFERROR($J936/IF($A936&lt;COUNTIFS($K$1:L$1,"&lt;&gt;"),0,SUMIFS($J:$J,$B:$B,$B936,$A:$A,"&gt;="&amp;COUNTIFS($K$1:L$1,"&lt;&gt;"))),0)</f>
        <v>9.4637223974763415E-2</v>
      </c>
      <c r="M936">
        <f>IFERROR($J936/IF($A936&lt;COUNTIFS($K$1:M$1,"&lt;&gt;"),0,SUMIFS($J:$J,$B:$B,$B936,$A:$A,"&gt;="&amp;COUNTIFS($K$1:M$1,"&lt;&gt;"))),0)</f>
        <v>0.10380622837370243</v>
      </c>
      <c r="N936">
        <f>IFERROR($J936/IF($A936&lt;COUNTIFS($K$1:N$1,"&lt;&gt;"),0,SUMIFS($J:$J,$B:$B,$B936,$A:$A,"&gt;="&amp;COUNTIFS($K$1:N$1,"&lt;&gt;"))),0)</f>
        <v>0.11627906976744187</v>
      </c>
      <c r="O936">
        <f>IFERROR($J936/IF($A936&lt;COUNTIFS($K$1:O$1,"&lt;&gt;"),0,SUMIFS($J:$J,$B:$B,$B936,$A:$A,"&gt;="&amp;COUNTIFS($K$1:O$1,"&lt;&gt;"))),0)</f>
        <v>0.13157894736842107</v>
      </c>
      <c r="P936">
        <f>IFERROR($J936/IF($A936&lt;COUNTIFS($K$1:P$1,"&lt;&gt;"),0,SUMIFS($J:$J,$B:$B,$B936,$A:$A,"&gt;="&amp;COUNTIFS($K$1:P$1,"&lt;&gt;"))),0)</f>
        <v>0.15228426395939088</v>
      </c>
      <c r="Q936">
        <f>IFERROR($J936/IF($A936&lt;COUNTIFS($K$1:Q$1,"&lt;&gt;"),0,SUMIFS($J:$J,$B:$B,$B936,$A:$A,"&gt;="&amp;COUNTIFS($K$1:Q$1,"&lt;&gt;"))),0)</f>
        <v>0.17964071856287425</v>
      </c>
      <c r="R936">
        <f>IFERROR($J936/IF($A936&lt;COUNTIFS($K$1:R$1,"&lt;&gt;"),0,SUMIFS($J:$J,$B:$B,$B936,$A:$A,"&gt;="&amp;COUNTIFS($K$1:R$1,"&lt;&gt;"))),0)</f>
        <v>0.22058823529411764</v>
      </c>
      <c r="S936">
        <f>IFERROR($J936/IF($A936&lt;COUNTIFS($K$1:S$1,"&lt;&gt;"),0,SUMIFS($J:$J,$B:$B,$B936,$A:$A,"&gt;="&amp;COUNTIFS($K$1:S$1,"&lt;&gt;"))),0)</f>
        <v>0.2857142857142857</v>
      </c>
      <c r="T936">
        <f>IFERROR($J936/IF($A936&lt;COUNTIFS($K$1:T$1,"&lt;&gt;"),0,SUMIFS($J:$J,$B:$B,$B936,$A:$A,"&gt;="&amp;COUNTIFS($K$1:T$1,"&lt;&gt;"))),0)</f>
        <v>0.4</v>
      </c>
      <c r="U936">
        <f>IFERROR($J936/IF($A936&lt;COUNTIFS($K$1:U$1,"&lt;&gt;"),0,SUMIFS($J:$J,$B:$B,$B936,$A:$A,"&gt;="&amp;COUNTIFS($K$1:U$1,"&lt;&gt;"))),0)</f>
        <v>0.68181818181818177</v>
      </c>
      <c r="V936">
        <f>IFERROR($J936/IF($A936&lt;COUNTIFS($K$1:V$1,"&lt;&gt;"),0,SUMIFS($J:$J,$B:$B,$B936,$A:$A,"&gt;="&amp;COUNTIFS($K$1:V$1,"&lt;&gt;"))),0)</f>
        <v>0</v>
      </c>
      <c r="W936">
        <f t="shared" si="332"/>
        <v>8.2191780821917804E-2</v>
      </c>
      <c r="X936">
        <f t="shared" si="312"/>
        <v>8.2191780821917804E-2</v>
      </c>
      <c r="Y936">
        <f t="shared" si="313"/>
        <v>8.2191780821917804E-2</v>
      </c>
      <c r="Z936">
        <f t="shared" si="314"/>
        <v>8.2191780821917804E-2</v>
      </c>
      <c r="AA936">
        <f t="shared" si="315"/>
        <v>8.2191780821917804E-2</v>
      </c>
      <c r="AB936">
        <f t="shared" si="316"/>
        <v>8.2191780821917804E-2</v>
      </c>
      <c r="AC936">
        <f t="shared" si="317"/>
        <v>8.2191780821917804E-2</v>
      </c>
      <c r="AD936">
        <f t="shared" si="318"/>
        <v>8.2191780821917804E-2</v>
      </c>
      <c r="AE936">
        <f t="shared" si="319"/>
        <v>8.2191780821917804E-2</v>
      </c>
      <c r="AF936">
        <f t="shared" si="320"/>
        <v>8.2191780821917804E-2</v>
      </c>
      <c r="AG936">
        <f t="shared" si="321"/>
        <v>8.2191780821917804E-2</v>
      </c>
      <c r="AH936">
        <f t="shared" si="322"/>
        <v>8.2191780821917804E-2</v>
      </c>
      <c r="AI936">
        <f t="shared" si="323"/>
        <v>0</v>
      </c>
      <c r="AJ936" s="2" t="str">
        <f t="shared" si="333"/>
        <v>1145992</v>
      </c>
    </row>
    <row r="937" spans="1:36" x14ac:dyDescent="0.25">
      <c r="A937">
        <v>12</v>
      </c>
      <c r="B937" s="1">
        <v>45992</v>
      </c>
      <c r="C937" s="1">
        <f t="shared" si="324"/>
        <v>46357</v>
      </c>
      <c r="D937" s="1">
        <f t="shared" si="325"/>
        <v>46006</v>
      </c>
      <c r="E937" s="1">
        <f t="shared" si="326"/>
        <v>46357</v>
      </c>
      <c r="F937" s="1">
        <f t="shared" si="327"/>
        <v>46371</v>
      </c>
      <c r="G937" s="1">
        <f t="shared" si="328"/>
        <v>46371</v>
      </c>
      <c r="H937">
        <f t="shared" si="329"/>
        <v>365</v>
      </c>
      <c r="I937">
        <f t="shared" si="330"/>
        <v>14</v>
      </c>
      <c r="J937">
        <f t="shared" si="331"/>
        <v>3.8356164383561646E-2</v>
      </c>
      <c r="K937">
        <f>IFERROR($J937/IF($A937&lt;COUNTIFS($K$1:K$1,"&lt;&gt;"),0,SUMIFS($J:$J,$B:$B,$B937,$A:$A,"&gt;="&amp;COUNTIFS($K$1:K$1,"&lt;&gt;"))),0)</f>
        <v>4.0229885057471271E-2</v>
      </c>
      <c r="L937">
        <f>IFERROR($J937/IF($A937&lt;COUNTIFS($K$1:L$1,"&lt;&gt;"),0,SUMIFS($J:$J,$B:$B,$B937,$A:$A,"&gt;="&amp;COUNTIFS($K$1:L$1,"&lt;&gt;"))),0)</f>
        <v>4.41640378548896E-2</v>
      </c>
      <c r="M937">
        <f>IFERROR($J937/IF($A937&lt;COUNTIFS($K$1:M$1,"&lt;&gt;"),0,SUMIFS($J:$J,$B:$B,$B937,$A:$A,"&gt;="&amp;COUNTIFS($K$1:M$1,"&lt;&gt;"))),0)</f>
        <v>4.8442906574394477E-2</v>
      </c>
      <c r="N937">
        <f>IFERROR($J937/IF($A937&lt;COUNTIFS($K$1:N$1,"&lt;&gt;"),0,SUMIFS($J:$J,$B:$B,$B937,$A:$A,"&gt;="&amp;COUNTIFS($K$1:N$1,"&lt;&gt;"))),0)</f>
        <v>5.4263565891472881E-2</v>
      </c>
      <c r="O937">
        <f>IFERROR($J937/IF($A937&lt;COUNTIFS($K$1:O$1,"&lt;&gt;"),0,SUMIFS($J:$J,$B:$B,$B937,$A:$A,"&gt;="&amp;COUNTIFS($K$1:O$1,"&lt;&gt;"))),0)</f>
        <v>6.1403508771929842E-2</v>
      </c>
      <c r="P937">
        <f>IFERROR($J937/IF($A937&lt;COUNTIFS($K$1:P$1,"&lt;&gt;"),0,SUMIFS($J:$J,$B:$B,$B937,$A:$A,"&gt;="&amp;COUNTIFS($K$1:P$1,"&lt;&gt;"))),0)</f>
        <v>7.1065989847715755E-2</v>
      </c>
      <c r="Q937">
        <f>IFERROR($J937/IF($A937&lt;COUNTIFS($K$1:Q$1,"&lt;&gt;"),0,SUMIFS($J:$J,$B:$B,$B937,$A:$A,"&gt;="&amp;COUNTIFS($K$1:Q$1,"&lt;&gt;"))),0)</f>
        <v>8.3832335329341326E-2</v>
      </c>
      <c r="R937">
        <f>IFERROR($J937/IF($A937&lt;COUNTIFS($K$1:R$1,"&lt;&gt;"),0,SUMIFS($J:$J,$B:$B,$B937,$A:$A,"&gt;="&amp;COUNTIFS($K$1:R$1,"&lt;&gt;"))),0)</f>
        <v>0.10294117647058824</v>
      </c>
      <c r="S937">
        <f>IFERROR($J937/IF($A937&lt;COUNTIFS($K$1:S$1,"&lt;&gt;"),0,SUMIFS($J:$J,$B:$B,$B937,$A:$A,"&gt;="&amp;COUNTIFS($K$1:S$1,"&lt;&gt;"))),0)</f>
        <v>0.13333333333333336</v>
      </c>
      <c r="T937">
        <f>IFERROR($J937/IF($A937&lt;COUNTIFS($K$1:T$1,"&lt;&gt;"),0,SUMIFS($J:$J,$B:$B,$B937,$A:$A,"&gt;="&amp;COUNTIFS($K$1:T$1,"&lt;&gt;"))),0)</f>
        <v>0.18666666666666668</v>
      </c>
      <c r="U937">
        <f>IFERROR($J937/IF($A937&lt;COUNTIFS($K$1:U$1,"&lt;&gt;"),0,SUMIFS($J:$J,$B:$B,$B937,$A:$A,"&gt;="&amp;COUNTIFS($K$1:U$1,"&lt;&gt;"))),0)</f>
        <v>0.31818181818181818</v>
      </c>
      <c r="V937">
        <f>IFERROR($J937/IF($A937&lt;COUNTIFS($K$1:V$1,"&lt;&gt;"),0,SUMIFS($J:$J,$B:$B,$B937,$A:$A,"&gt;="&amp;COUNTIFS($K$1:V$1,"&lt;&gt;"))),0)</f>
        <v>1</v>
      </c>
      <c r="W937">
        <f t="shared" si="332"/>
        <v>3.8356164383561646E-2</v>
      </c>
      <c r="X937">
        <f t="shared" si="312"/>
        <v>3.8356164383561646E-2</v>
      </c>
      <c r="Y937">
        <f t="shared" si="313"/>
        <v>3.8356164383561646E-2</v>
      </c>
      <c r="Z937">
        <f t="shared" si="314"/>
        <v>3.8356164383561646E-2</v>
      </c>
      <c r="AA937">
        <f t="shared" si="315"/>
        <v>3.8356164383561646E-2</v>
      </c>
      <c r="AB937">
        <f t="shared" si="316"/>
        <v>3.8356164383561646E-2</v>
      </c>
      <c r="AC937">
        <f t="shared" si="317"/>
        <v>3.8356164383561646E-2</v>
      </c>
      <c r="AD937">
        <f t="shared" si="318"/>
        <v>3.8356164383561646E-2</v>
      </c>
      <c r="AE937">
        <f t="shared" si="319"/>
        <v>3.8356164383561646E-2</v>
      </c>
      <c r="AF937">
        <f t="shared" si="320"/>
        <v>3.8356164383561646E-2</v>
      </c>
      <c r="AG937">
        <f t="shared" si="321"/>
        <v>3.8356164383561646E-2</v>
      </c>
      <c r="AH937">
        <f t="shared" si="322"/>
        <v>3.8356164383561646E-2</v>
      </c>
      <c r="AI937">
        <f t="shared" si="323"/>
        <v>3.8356164383561646E-2</v>
      </c>
      <c r="AJ937" s="2" t="str">
        <f t="shared" si="333"/>
        <v>1245992</v>
      </c>
    </row>
    <row r="938" spans="1:36" x14ac:dyDescent="0.25">
      <c r="A938">
        <v>0</v>
      </c>
      <c r="B938" s="1">
        <v>46023</v>
      </c>
      <c r="C938" s="1">
        <f t="shared" si="324"/>
        <v>46023</v>
      </c>
      <c r="D938" s="1">
        <f t="shared" si="325"/>
        <v>46037</v>
      </c>
      <c r="E938" s="1">
        <f t="shared" si="326"/>
        <v>46037</v>
      </c>
      <c r="F938" s="1">
        <f t="shared" si="327"/>
        <v>46054</v>
      </c>
      <c r="G938" s="1">
        <f t="shared" si="328"/>
        <v>46402</v>
      </c>
      <c r="H938">
        <f t="shared" si="329"/>
        <v>365</v>
      </c>
      <c r="I938">
        <f t="shared" si="330"/>
        <v>17</v>
      </c>
      <c r="J938">
        <f t="shared" si="331"/>
        <v>4.6575342465753428E-2</v>
      </c>
      <c r="K938">
        <f>IFERROR($J938/IF($A938&lt;COUNTIFS($K$1:K$1,"&lt;&gt;"),0,SUMIFS($J:$J,$B:$B,$B938,$A:$A,"&gt;="&amp;COUNTIFS($K$1:K$1,"&lt;&gt;"))),0)</f>
        <v>0</v>
      </c>
      <c r="L938">
        <f>IFERROR($J938/IF($A938&lt;COUNTIFS($K$1:L$1,"&lt;&gt;"),0,SUMIFS($J:$J,$B:$B,$B938,$A:$A,"&gt;="&amp;COUNTIFS($K$1:L$1,"&lt;&gt;"))),0)</f>
        <v>0</v>
      </c>
      <c r="M938">
        <f>IFERROR($J938/IF($A938&lt;COUNTIFS($K$1:M$1,"&lt;&gt;"),0,SUMIFS($J:$J,$B:$B,$B938,$A:$A,"&gt;="&amp;COUNTIFS($K$1:M$1,"&lt;&gt;"))),0)</f>
        <v>0</v>
      </c>
      <c r="N938">
        <f>IFERROR($J938/IF($A938&lt;COUNTIFS($K$1:N$1,"&lt;&gt;"),0,SUMIFS($J:$J,$B:$B,$B938,$A:$A,"&gt;="&amp;COUNTIFS($K$1:N$1,"&lt;&gt;"))),0)</f>
        <v>0</v>
      </c>
      <c r="O938">
        <f>IFERROR($J938/IF($A938&lt;COUNTIFS($K$1:O$1,"&lt;&gt;"),0,SUMIFS($J:$J,$B:$B,$B938,$A:$A,"&gt;="&amp;COUNTIFS($K$1:O$1,"&lt;&gt;"))),0)</f>
        <v>0</v>
      </c>
      <c r="P938">
        <f>IFERROR($J938/IF($A938&lt;COUNTIFS($K$1:P$1,"&lt;&gt;"),0,SUMIFS($J:$J,$B:$B,$B938,$A:$A,"&gt;="&amp;COUNTIFS($K$1:P$1,"&lt;&gt;"))),0)</f>
        <v>0</v>
      </c>
      <c r="Q938">
        <f>IFERROR($J938/IF($A938&lt;COUNTIFS($K$1:Q$1,"&lt;&gt;"),0,SUMIFS($J:$J,$B:$B,$B938,$A:$A,"&gt;="&amp;COUNTIFS($K$1:Q$1,"&lt;&gt;"))),0)</f>
        <v>0</v>
      </c>
      <c r="R938">
        <f>IFERROR($J938/IF($A938&lt;COUNTIFS($K$1:R$1,"&lt;&gt;"),0,SUMIFS($J:$J,$B:$B,$B938,$A:$A,"&gt;="&amp;COUNTIFS($K$1:R$1,"&lt;&gt;"))),0)</f>
        <v>0</v>
      </c>
      <c r="S938">
        <f>IFERROR($J938/IF($A938&lt;COUNTIFS($K$1:S$1,"&lt;&gt;"),0,SUMIFS($J:$J,$B:$B,$B938,$A:$A,"&gt;="&amp;COUNTIFS($K$1:S$1,"&lt;&gt;"))),0)</f>
        <v>0</v>
      </c>
      <c r="T938">
        <f>IFERROR($J938/IF($A938&lt;COUNTIFS($K$1:T$1,"&lt;&gt;"),0,SUMIFS($J:$J,$B:$B,$B938,$A:$A,"&gt;="&amp;COUNTIFS($K$1:T$1,"&lt;&gt;"))),0)</f>
        <v>0</v>
      </c>
      <c r="U938">
        <f>IFERROR($J938/IF($A938&lt;COUNTIFS($K$1:U$1,"&lt;&gt;"),0,SUMIFS($J:$J,$B:$B,$B938,$A:$A,"&gt;="&amp;COUNTIFS($K$1:U$1,"&lt;&gt;"))),0)</f>
        <v>0</v>
      </c>
      <c r="V938">
        <f>IFERROR($J938/IF($A938&lt;COUNTIFS($K$1:V$1,"&lt;&gt;"),0,SUMIFS($J:$J,$B:$B,$B938,$A:$A,"&gt;="&amp;COUNTIFS($K$1:V$1,"&lt;&gt;"))),0)</f>
        <v>0</v>
      </c>
      <c r="W938">
        <f t="shared" si="332"/>
        <v>4.6575342465753428E-2</v>
      </c>
      <c r="X938">
        <f t="shared" si="312"/>
        <v>0</v>
      </c>
      <c r="Y938">
        <f t="shared" si="313"/>
        <v>0</v>
      </c>
      <c r="Z938">
        <f t="shared" si="314"/>
        <v>0</v>
      </c>
      <c r="AA938">
        <f t="shared" si="315"/>
        <v>0</v>
      </c>
      <c r="AB938">
        <f t="shared" si="316"/>
        <v>0</v>
      </c>
      <c r="AC938">
        <f t="shared" si="317"/>
        <v>0</v>
      </c>
      <c r="AD938">
        <f t="shared" si="318"/>
        <v>0</v>
      </c>
      <c r="AE938">
        <f t="shared" si="319"/>
        <v>0</v>
      </c>
      <c r="AF938">
        <f t="shared" si="320"/>
        <v>0</v>
      </c>
      <c r="AG938">
        <f t="shared" si="321"/>
        <v>0</v>
      </c>
      <c r="AH938">
        <f t="shared" si="322"/>
        <v>0</v>
      </c>
      <c r="AI938">
        <f t="shared" si="323"/>
        <v>0</v>
      </c>
      <c r="AJ938" s="2" t="str">
        <f t="shared" si="333"/>
        <v>046023</v>
      </c>
    </row>
    <row r="939" spans="1:36" x14ac:dyDescent="0.25">
      <c r="A939">
        <v>1</v>
      </c>
      <c r="B939" s="1">
        <v>46023</v>
      </c>
      <c r="C939" s="1">
        <f t="shared" si="324"/>
        <v>46054</v>
      </c>
      <c r="D939" s="1">
        <f t="shared" si="325"/>
        <v>46037</v>
      </c>
      <c r="E939" s="1">
        <f t="shared" si="326"/>
        <v>46054</v>
      </c>
      <c r="F939" s="1">
        <f t="shared" si="327"/>
        <v>46082</v>
      </c>
      <c r="G939" s="1">
        <f t="shared" si="328"/>
        <v>46402</v>
      </c>
      <c r="H939">
        <f t="shared" si="329"/>
        <v>365</v>
      </c>
      <c r="I939">
        <f t="shared" si="330"/>
        <v>28</v>
      </c>
      <c r="J939">
        <f t="shared" si="331"/>
        <v>7.6712328767123292E-2</v>
      </c>
      <c r="K939">
        <f>IFERROR($J939/IF($A939&lt;COUNTIFS($K$1:K$1,"&lt;&gt;"),0,SUMIFS($J:$J,$B:$B,$B939,$A:$A,"&gt;="&amp;COUNTIFS($K$1:K$1,"&lt;&gt;"))),0)</f>
        <v>8.0459770114942541E-2</v>
      </c>
      <c r="L939">
        <f>IFERROR($J939/IF($A939&lt;COUNTIFS($K$1:L$1,"&lt;&gt;"),0,SUMIFS($J:$J,$B:$B,$B939,$A:$A,"&gt;="&amp;COUNTIFS($K$1:L$1,"&lt;&gt;"))),0)</f>
        <v>0</v>
      </c>
      <c r="M939">
        <f>IFERROR($J939/IF($A939&lt;COUNTIFS($K$1:M$1,"&lt;&gt;"),0,SUMIFS($J:$J,$B:$B,$B939,$A:$A,"&gt;="&amp;COUNTIFS($K$1:M$1,"&lt;&gt;"))),0)</f>
        <v>0</v>
      </c>
      <c r="N939">
        <f>IFERROR($J939/IF($A939&lt;COUNTIFS($K$1:N$1,"&lt;&gt;"),0,SUMIFS($J:$J,$B:$B,$B939,$A:$A,"&gt;="&amp;COUNTIFS($K$1:N$1,"&lt;&gt;"))),0)</f>
        <v>0</v>
      </c>
      <c r="O939">
        <f>IFERROR($J939/IF($A939&lt;COUNTIFS($K$1:O$1,"&lt;&gt;"),0,SUMIFS($J:$J,$B:$B,$B939,$A:$A,"&gt;="&amp;COUNTIFS($K$1:O$1,"&lt;&gt;"))),0)</f>
        <v>0</v>
      </c>
      <c r="P939">
        <f>IFERROR($J939/IF($A939&lt;COUNTIFS($K$1:P$1,"&lt;&gt;"),0,SUMIFS($J:$J,$B:$B,$B939,$A:$A,"&gt;="&amp;COUNTIFS($K$1:P$1,"&lt;&gt;"))),0)</f>
        <v>0</v>
      </c>
      <c r="Q939">
        <f>IFERROR($J939/IF($A939&lt;COUNTIFS($K$1:Q$1,"&lt;&gt;"),0,SUMIFS($J:$J,$B:$B,$B939,$A:$A,"&gt;="&amp;COUNTIFS($K$1:Q$1,"&lt;&gt;"))),0)</f>
        <v>0</v>
      </c>
      <c r="R939">
        <f>IFERROR($J939/IF($A939&lt;COUNTIFS($K$1:R$1,"&lt;&gt;"),0,SUMIFS($J:$J,$B:$B,$B939,$A:$A,"&gt;="&amp;COUNTIFS($K$1:R$1,"&lt;&gt;"))),0)</f>
        <v>0</v>
      </c>
      <c r="S939">
        <f>IFERROR($J939/IF($A939&lt;COUNTIFS($K$1:S$1,"&lt;&gt;"),0,SUMIFS($J:$J,$B:$B,$B939,$A:$A,"&gt;="&amp;COUNTIFS($K$1:S$1,"&lt;&gt;"))),0)</f>
        <v>0</v>
      </c>
      <c r="T939">
        <f>IFERROR($J939/IF($A939&lt;COUNTIFS($K$1:T$1,"&lt;&gt;"),0,SUMIFS($J:$J,$B:$B,$B939,$A:$A,"&gt;="&amp;COUNTIFS($K$1:T$1,"&lt;&gt;"))),0)</f>
        <v>0</v>
      </c>
      <c r="U939">
        <f>IFERROR($J939/IF($A939&lt;COUNTIFS($K$1:U$1,"&lt;&gt;"),0,SUMIFS($J:$J,$B:$B,$B939,$A:$A,"&gt;="&amp;COUNTIFS($K$1:U$1,"&lt;&gt;"))),0)</f>
        <v>0</v>
      </c>
      <c r="V939">
        <f>IFERROR($J939/IF($A939&lt;COUNTIFS($K$1:V$1,"&lt;&gt;"),0,SUMIFS($J:$J,$B:$B,$B939,$A:$A,"&gt;="&amp;COUNTIFS($K$1:V$1,"&lt;&gt;"))),0)</f>
        <v>0</v>
      </c>
      <c r="W939">
        <f t="shared" si="332"/>
        <v>7.6712328767123292E-2</v>
      </c>
      <c r="X939">
        <f t="shared" si="312"/>
        <v>7.6712328767123292E-2</v>
      </c>
      <c r="Y939">
        <f t="shared" si="313"/>
        <v>0</v>
      </c>
      <c r="Z939">
        <f t="shared" si="314"/>
        <v>0</v>
      </c>
      <c r="AA939">
        <f t="shared" si="315"/>
        <v>0</v>
      </c>
      <c r="AB939">
        <f t="shared" si="316"/>
        <v>0</v>
      </c>
      <c r="AC939">
        <f t="shared" si="317"/>
        <v>0</v>
      </c>
      <c r="AD939">
        <f t="shared" si="318"/>
        <v>0</v>
      </c>
      <c r="AE939">
        <f t="shared" si="319"/>
        <v>0</v>
      </c>
      <c r="AF939">
        <f t="shared" si="320"/>
        <v>0</v>
      </c>
      <c r="AG939">
        <f t="shared" si="321"/>
        <v>0</v>
      </c>
      <c r="AH939">
        <f t="shared" si="322"/>
        <v>0</v>
      </c>
      <c r="AI939">
        <f t="shared" si="323"/>
        <v>0</v>
      </c>
      <c r="AJ939" s="2" t="str">
        <f t="shared" si="333"/>
        <v>146023</v>
      </c>
    </row>
    <row r="940" spans="1:36" x14ac:dyDescent="0.25">
      <c r="A940">
        <v>2</v>
      </c>
      <c r="B940" s="1">
        <v>46023</v>
      </c>
      <c r="C940" s="1">
        <f t="shared" si="324"/>
        <v>46082</v>
      </c>
      <c r="D940" s="1">
        <f t="shared" si="325"/>
        <v>46037</v>
      </c>
      <c r="E940" s="1">
        <f t="shared" si="326"/>
        <v>46082</v>
      </c>
      <c r="F940" s="1">
        <f t="shared" si="327"/>
        <v>46113</v>
      </c>
      <c r="G940" s="1">
        <f t="shared" si="328"/>
        <v>46402</v>
      </c>
      <c r="H940">
        <f t="shared" si="329"/>
        <v>365</v>
      </c>
      <c r="I940">
        <f t="shared" si="330"/>
        <v>31</v>
      </c>
      <c r="J940">
        <f t="shared" si="331"/>
        <v>8.4931506849315067E-2</v>
      </c>
      <c r="K940">
        <f>IFERROR($J940/IF($A940&lt;COUNTIFS($K$1:K$1,"&lt;&gt;"),0,SUMIFS($J:$J,$B:$B,$B940,$A:$A,"&gt;="&amp;COUNTIFS($K$1:K$1,"&lt;&gt;"))),0)</f>
        <v>8.9080459770114959E-2</v>
      </c>
      <c r="L940">
        <f>IFERROR($J940/IF($A940&lt;COUNTIFS($K$1:L$1,"&lt;&gt;"),0,SUMIFS($J:$J,$B:$B,$B940,$A:$A,"&gt;="&amp;COUNTIFS($K$1:L$1,"&lt;&gt;"))),0)</f>
        <v>9.6875000000000017E-2</v>
      </c>
      <c r="M940">
        <f>IFERROR($J940/IF($A940&lt;COUNTIFS($K$1:M$1,"&lt;&gt;"),0,SUMIFS($J:$J,$B:$B,$B940,$A:$A,"&gt;="&amp;COUNTIFS($K$1:M$1,"&lt;&gt;"))),0)</f>
        <v>0</v>
      </c>
      <c r="N940">
        <f>IFERROR($J940/IF($A940&lt;COUNTIFS($K$1:N$1,"&lt;&gt;"),0,SUMIFS($J:$J,$B:$B,$B940,$A:$A,"&gt;="&amp;COUNTIFS($K$1:N$1,"&lt;&gt;"))),0)</f>
        <v>0</v>
      </c>
      <c r="O940">
        <f>IFERROR($J940/IF($A940&lt;COUNTIFS($K$1:O$1,"&lt;&gt;"),0,SUMIFS($J:$J,$B:$B,$B940,$A:$A,"&gt;="&amp;COUNTIFS($K$1:O$1,"&lt;&gt;"))),0)</f>
        <v>0</v>
      </c>
      <c r="P940">
        <f>IFERROR($J940/IF($A940&lt;COUNTIFS($K$1:P$1,"&lt;&gt;"),0,SUMIFS($J:$J,$B:$B,$B940,$A:$A,"&gt;="&amp;COUNTIFS($K$1:P$1,"&lt;&gt;"))),0)</f>
        <v>0</v>
      </c>
      <c r="Q940">
        <f>IFERROR($J940/IF($A940&lt;COUNTIFS($K$1:Q$1,"&lt;&gt;"),0,SUMIFS($J:$J,$B:$B,$B940,$A:$A,"&gt;="&amp;COUNTIFS($K$1:Q$1,"&lt;&gt;"))),0)</f>
        <v>0</v>
      </c>
      <c r="R940">
        <f>IFERROR($J940/IF($A940&lt;COUNTIFS($K$1:R$1,"&lt;&gt;"),0,SUMIFS($J:$J,$B:$B,$B940,$A:$A,"&gt;="&amp;COUNTIFS($K$1:R$1,"&lt;&gt;"))),0)</f>
        <v>0</v>
      </c>
      <c r="S940">
        <f>IFERROR($J940/IF($A940&lt;COUNTIFS($K$1:S$1,"&lt;&gt;"),0,SUMIFS($J:$J,$B:$B,$B940,$A:$A,"&gt;="&amp;COUNTIFS($K$1:S$1,"&lt;&gt;"))),0)</f>
        <v>0</v>
      </c>
      <c r="T940">
        <f>IFERROR($J940/IF($A940&lt;COUNTIFS($K$1:T$1,"&lt;&gt;"),0,SUMIFS($J:$J,$B:$B,$B940,$A:$A,"&gt;="&amp;COUNTIFS($K$1:T$1,"&lt;&gt;"))),0)</f>
        <v>0</v>
      </c>
      <c r="U940">
        <f>IFERROR($J940/IF($A940&lt;COUNTIFS($K$1:U$1,"&lt;&gt;"),0,SUMIFS($J:$J,$B:$B,$B940,$A:$A,"&gt;="&amp;COUNTIFS($K$1:U$1,"&lt;&gt;"))),0)</f>
        <v>0</v>
      </c>
      <c r="V940">
        <f>IFERROR($J940/IF($A940&lt;COUNTIFS($K$1:V$1,"&lt;&gt;"),0,SUMIFS($J:$J,$B:$B,$B940,$A:$A,"&gt;="&amp;COUNTIFS($K$1:V$1,"&lt;&gt;"))),0)</f>
        <v>0</v>
      </c>
      <c r="W940">
        <f t="shared" si="332"/>
        <v>8.4931506849315067E-2</v>
      </c>
      <c r="X940">
        <f t="shared" si="312"/>
        <v>8.4931506849315067E-2</v>
      </c>
      <c r="Y940">
        <f t="shared" si="313"/>
        <v>8.4931506849315067E-2</v>
      </c>
      <c r="Z940">
        <f t="shared" si="314"/>
        <v>0</v>
      </c>
      <c r="AA940">
        <f t="shared" si="315"/>
        <v>0</v>
      </c>
      <c r="AB940">
        <f t="shared" si="316"/>
        <v>0</v>
      </c>
      <c r="AC940">
        <f t="shared" si="317"/>
        <v>0</v>
      </c>
      <c r="AD940">
        <f t="shared" si="318"/>
        <v>0</v>
      </c>
      <c r="AE940">
        <f t="shared" si="319"/>
        <v>0</v>
      </c>
      <c r="AF940">
        <f t="shared" si="320"/>
        <v>0</v>
      </c>
      <c r="AG940">
        <f t="shared" si="321"/>
        <v>0</v>
      </c>
      <c r="AH940">
        <f t="shared" si="322"/>
        <v>0</v>
      </c>
      <c r="AI940">
        <f t="shared" si="323"/>
        <v>0</v>
      </c>
      <c r="AJ940" s="2" t="str">
        <f t="shared" si="333"/>
        <v>246023</v>
      </c>
    </row>
    <row r="941" spans="1:36" x14ac:dyDescent="0.25">
      <c r="A941">
        <v>3</v>
      </c>
      <c r="B941" s="1">
        <v>46023</v>
      </c>
      <c r="C941" s="1">
        <f t="shared" si="324"/>
        <v>46113</v>
      </c>
      <c r="D941" s="1">
        <f t="shared" si="325"/>
        <v>46037</v>
      </c>
      <c r="E941" s="1">
        <f t="shared" si="326"/>
        <v>46113</v>
      </c>
      <c r="F941" s="1">
        <f t="shared" si="327"/>
        <v>46143</v>
      </c>
      <c r="G941" s="1">
        <f t="shared" si="328"/>
        <v>46402</v>
      </c>
      <c r="H941">
        <f t="shared" si="329"/>
        <v>365</v>
      </c>
      <c r="I941">
        <f t="shared" si="330"/>
        <v>30</v>
      </c>
      <c r="J941">
        <f t="shared" si="331"/>
        <v>8.2191780821917804E-2</v>
      </c>
      <c r="K941">
        <f>IFERROR($J941/IF($A941&lt;COUNTIFS($K$1:K$1,"&lt;&gt;"),0,SUMIFS($J:$J,$B:$B,$B941,$A:$A,"&gt;="&amp;COUNTIFS($K$1:K$1,"&lt;&gt;"))),0)</f>
        <v>8.6206896551724144E-2</v>
      </c>
      <c r="L941">
        <f>IFERROR($J941/IF($A941&lt;COUNTIFS($K$1:L$1,"&lt;&gt;"),0,SUMIFS($J:$J,$B:$B,$B941,$A:$A,"&gt;="&amp;COUNTIFS($K$1:L$1,"&lt;&gt;"))),0)</f>
        <v>9.3750000000000014E-2</v>
      </c>
      <c r="M941">
        <f>IFERROR($J941/IF($A941&lt;COUNTIFS($K$1:M$1,"&lt;&gt;"),0,SUMIFS($J:$J,$B:$B,$B941,$A:$A,"&gt;="&amp;COUNTIFS($K$1:M$1,"&lt;&gt;"))),0)</f>
        <v>0.10380622837370243</v>
      </c>
      <c r="N941">
        <f>IFERROR($J941/IF($A941&lt;COUNTIFS($K$1:N$1,"&lt;&gt;"),0,SUMIFS($J:$J,$B:$B,$B941,$A:$A,"&gt;="&amp;COUNTIFS($K$1:N$1,"&lt;&gt;"))),0)</f>
        <v>0</v>
      </c>
      <c r="O941">
        <f>IFERROR($J941/IF($A941&lt;COUNTIFS($K$1:O$1,"&lt;&gt;"),0,SUMIFS($J:$J,$B:$B,$B941,$A:$A,"&gt;="&amp;COUNTIFS($K$1:O$1,"&lt;&gt;"))),0)</f>
        <v>0</v>
      </c>
      <c r="P941">
        <f>IFERROR($J941/IF($A941&lt;COUNTIFS($K$1:P$1,"&lt;&gt;"),0,SUMIFS($J:$J,$B:$B,$B941,$A:$A,"&gt;="&amp;COUNTIFS($K$1:P$1,"&lt;&gt;"))),0)</f>
        <v>0</v>
      </c>
      <c r="Q941">
        <f>IFERROR($J941/IF($A941&lt;COUNTIFS($K$1:Q$1,"&lt;&gt;"),0,SUMIFS($J:$J,$B:$B,$B941,$A:$A,"&gt;="&amp;COUNTIFS($K$1:Q$1,"&lt;&gt;"))),0)</f>
        <v>0</v>
      </c>
      <c r="R941">
        <f>IFERROR($J941/IF($A941&lt;COUNTIFS($K$1:R$1,"&lt;&gt;"),0,SUMIFS($J:$J,$B:$B,$B941,$A:$A,"&gt;="&amp;COUNTIFS($K$1:R$1,"&lt;&gt;"))),0)</f>
        <v>0</v>
      </c>
      <c r="S941">
        <f>IFERROR($J941/IF($A941&lt;COUNTIFS($K$1:S$1,"&lt;&gt;"),0,SUMIFS($J:$J,$B:$B,$B941,$A:$A,"&gt;="&amp;COUNTIFS($K$1:S$1,"&lt;&gt;"))),0)</f>
        <v>0</v>
      </c>
      <c r="T941">
        <f>IFERROR($J941/IF($A941&lt;COUNTIFS($K$1:T$1,"&lt;&gt;"),0,SUMIFS($J:$J,$B:$B,$B941,$A:$A,"&gt;="&amp;COUNTIFS($K$1:T$1,"&lt;&gt;"))),0)</f>
        <v>0</v>
      </c>
      <c r="U941">
        <f>IFERROR($J941/IF($A941&lt;COUNTIFS($K$1:U$1,"&lt;&gt;"),0,SUMIFS($J:$J,$B:$B,$B941,$A:$A,"&gt;="&amp;COUNTIFS($K$1:U$1,"&lt;&gt;"))),0)</f>
        <v>0</v>
      </c>
      <c r="V941">
        <f>IFERROR($J941/IF($A941&lt;COUNTIFS($K$1:V$1,"&lt;&gt;"),0,SUMIFS($J:$J,$B:$B,$B941,$A:$A,"&gt;="&amp;COUNTIFS($K$1:V$1,"&lt;&gt;"))),0)</f>
        <v>0</v>
      </c>
      <c r="W941">
        <f t="shared" si="332"/>
        <v>8.2191780821917804E-2</v>
      </c>
      <c r="X941">
        <f t="shared" si="312"/>
        <v>8.2191780821917804E-2</v>
      </c>
      <c r="Y941">
        <f t="shared" si="313"/>
        <v>8.2191780821917804E-2</v>
      </c>
      <c r="Z941">
        <f t="shared" si="314"/>
        <v>8.2191780821917804E-2</v>
      </c>
      <c r="AA941">
        <f t="shared" si="315"/>
        <v>0</v>
      </c>
      <c r="AB941">
        <f t="shared" si="316"/>
        <v>0</v>
      </c>
      <c r="AC941">
        <f t="shared" si="317"/>
        <v>0</v>
      </c>
      <c r="AD941">
        <f t="shared" si="318"/>
        <v>0</v>
      </c>
      <c r="AE941">
        <f t="shared" si="319"/>
        <v>0</v>
      </c>
      <c r="AF941">
        <f t="shared" si="320"/>
        <v>0</v>
      </c>
      <c r="AG941">
        <f t="shared" si="321"/>
        <v>0</v>
      </c>
      <c r="AH941">
        <f t="shared" si="322"/>
        <v>0</v>
      </c>
      <c r="AI941">
        <f t="shared" si="323"/>
        <v>0</v>
      </c>
      <c r="AJ941" s="2" t="str">
        <f t="shared" si="333"/>
        <v>346023</v>
      </c>
    </row>
    <row r="942" spans="1:36" x14ac:dyDescent="0.25">
      <c r="A942">
        <v>4</v>
      </c>
      <c r="B942" s="1">
        <v>46023</v>
      </c>
      <c r="C942" s="1">
        <f t="shared" si="324"/>
        <v>46143</v>
      </c>
      <c r="D942" s="1">
        <f t="shared" si="325"/>
        <v>46037</v>
      </c>
      <c r="E942" s="1">
        <f t="shared" si="326"/>
        <v>46143</v>
      </c>
      <c r="F942" s="1">
        <f t="shared" si="327"/>
        <v>46174</v>
      </c>
      <c r="G942" s="1">
        <f t="shared" si="328"/>
        <v>46402</v>
      </c>
      <c r="H942">
        <f t="shared" si="329"/>
        <v>365</v>
      </c>
      <c r="I942">
        <f t="shared" si="330"/>
        <v>31</v>
      </c>
      <c r="J942">
        <f t="shared" si="331"/>
        <v>8.4931506849315067E-2</v>
      </c>
      <c r="K942">
        <f>IFERROR($J942/IF($A942&lt;COUNTIFS($K$1:K$1,"&lt;&gt;"),0,SUMIFS($J:$J,$B:$B,$B942,$A:$A,"&gt;="&amp;COUNTIFS($K$1:K$1,"&lt;&gt;"))),0)</f>
        <v>8.9080459770114959E-2</v>
      </c>
      <c r="L942">
        <f>IFERROR($J942/IF($A942&lt;COUNTIFS($K$1:L$1,"&lt;&gt;"),0,SUMIFS($J:$J,$B:$B,$B942,$A:$A,"&gt;="&amp;COUNTIFS($K$1:L$1,"&lt;&gt;"))),0)</f>
        <v>9.6875000000000017E-2</v>
      </c>
      <c r="M942">
        <f>IFERROR($J942/IF($A942&lt;COUNTIFS($K$1:M$1,"&lt;&gt;"),0,SUMIFS($J:$J,$B:$B,$B942,$A:$A,"&gt;="&amp;COUNTIFS($K$1:M$1,"&lt;&gt;"))),0)</f>
        <v>0.10726643598615919</v>
      </c>
      <c r="N942">
        <f>IFERROR($J942/IF($A942&lt;COUNTIFS($K$1:N$1,"&lt;&gt;"),0,SUMIFS($J:$J,$B:$B,$B942,$A:$A,"&gt;="&amp;COUNTIFS($K$1:N$1,"&lt;&gt;"))),0)</f>
        <v>0.11969111969111972</v>
      </c>
      <c r="O942">
        <f>IFERROR($J942/IF($A942&lt;COUNTIFS($K$1:O$1,"&lt;&gt;"),0,SUMIFS($J:$J,$B:$B,$B942,$A:$A,"&gt;="&amp;COUNTIFS($K$1:O$1,"&lt;&gt;"))),0)</f>
        <v>0</v>
      </c>
      <c r="P942">
        <f>IFERROR($J942/IF($A942&lt;COUNTIFS($K$1:P$1,"&lt;&gt;"),0,SUMIFS($J:$J,$B:$B,$B942,$A:$A,"&gt;="&amp;COUNTIFS($K$1:P$1,"&lt;&gt;"))),0)</f>
        <v>0</v>
      </c>
      <c r="Q942">
        <f>IFERROR($J942/IF($A942&lt;COUNTIFS($K$1:Q$1,"&lt;&gt;"),0,SUMIFS($J:$J,$B:$B,$B942,$A:$A,"&gt;="&amp;COUNTIFS($K$1:Q$1,"&lt;&gt;"))),0)</f>
        <v>0</v>
      </c>
      <c r="R942">
        <f>IFERROR($J942/IF($A942&lt;COUNTIFS($K$1:R$1,"&lt;&gt;"),0,SUMIFS($J:$J,$B:$B,$B942,$A:$A,"&gt;="&amp;COUNTIFS($K$1:R$1,"&lt;&gt;"))),0)</f>
        <v>0</v>
      </c>
      <c r="S942">
        <f>IFERROR($J942/IF($A942&lt;COUNTIFS($K$1:S$1,"&lt;&gt;"),0,SUMIFS($J:$J,$B:$B,$B942,$A:$A,"&gt;="&amp;COUNTIFS($K$1:S$1,"&lt;&gt;"))),0)</f>
        <v>0</v>
      </c>
      <c r="T942">
        <f>IFERROR($J942/IF($A942&lt;COUNTIFS($K$1:T$1,"&lt;&gt;"),0,SUMIFS($J:$J,$B:$B,$B942,$A:$A,"&gt;="&amp;COUNTIFS($K$1:T$1,"&lt;&gt;"))),0)</f>
        <v>0</v>
      </c>
      <c r="U942">
        <f>IFERROR($J942/IF($A942&lt;COUNTIFS($K$1:U$1,"&lt;&gt;"),0,SUMIFS($J:$J,$B:$B,$B942,$A:$A,"&gt;="&amp;COUNTIFS($K$1:U$1,"&lt;&gt;"))),0)</f>
        <v>0</v>
      </c>
      <c r="V942">
        <f>IFERROR($J942/IF($A942&lt;COUNTIFS($K$1:V$1,"&lt;&gt;"),0,SUMIFS($J:$J,$B:$B,$B942,$A:$A,"&gt;="&amp;COUNTIFS($K$1:V$1,"&lt;&gt;"))),0)</f>
        <v>0</v>
      </c>
      <c r="W942">
        <f t="shared" si="332"/>
        <v>8.4931506849315067E-2</v>
      </c>
      <c r="X942">
        <f t="shared" si="312"/>
        <v>8.4931506849315067E-2</v>
      </c>
      <c r="Y942">
        <f t="shared" si="313"/>
        <v>8.4931506849315067E-2</v>
      </c>
      <c r="Z942">
        <f t="shared" si="314"/>
        <v>8.4931506849315067E-2</v>
      </c>
      <c r="AA942">
        <f t="shared" si="315"/>
        <v>8.4931506849315067E-2</v>
      </c>
      <c r="AB942">
        <f t="shared" si="316"/>
        <v>0</v>
      </c>
      <c r="AC942">
        <f t="shared" si="317"/>
        <v>0</v>
      </c>
      <c r="AD942">
        <f t="shared" si="318"/>
        <v>0</v>
      </c>
      <c r="AE942">
        <f t="shared" si="319"/>
        <v>0</v>
      </c>
      <c r="AF942">
        <f t="shared" si="320"/>
        <v>0</v>
      </c>
      <c r="AG942">
        <f t="shared" si="321"/>
        <v>0</v>
      </c>
      <c r="AH942">
        <f t="shared" si="322"/>
        <v>0</v>
      </c>
      <c r="AI942">
        <f t="shared" si="323"/>
        <v>0</v>
      </c>
      <c r="AJ942" s="2" t="str">
        <f t="shared" si="333"/>
        <v>446023</v>
      </c>
    </row>
    <row r="943" spans="1:36" x14ac:dyDescent="0.25">
      <c r="A943">
        <v>5</v>
      </c>
      <c r="B943" s="1">
        <v>46023</v>
      </c>
      <c r="C943" s="1">
        <f t="shared" si="324"/>
        <v>46174</v>
      </c>
      <c r="D943" s="1">
        <f t="shared" si="325"/>
        <v>46037</v>
      </c>
      <c r="E943" s="1">
        <f t="shared" si="326"/>
        <v>46174</v>
      </c>
      <c r="F943" s="1">
        <f t="shared" si="327"/>
        <v>46204</v>
      </c>
      <c r="G943" s="1">
        <f t="shared" si="328"/>
        <v>46402</v>
      </c>
      <c r="H943">
        <f t="shared" si="329"/>
        <v>365</v>
      </c>
      <c r="I943">
        <f t="shared" si="330"/>
        <v>30</v>
      </c>
      <c r="J943">
        <f t="shared" si="331"/>
        <v>8.2191780821917804E-2</v>
      </c>
      <c r="K943">
        <f>IFERROR($J943/IF($A943&lt;COUNTIFS($K$1:K$1,"&lt;&gt;"),0,SUMIFS($J:$J,$B:$B,$B943,$A:$A,"&gt;="&amp;COUNTIFS($K$1:K$1,"&lt;&gt;"))),0)</f>
        <v>8.6206896551724144E-2</v>
      </c>
      <c r="L943">
        <f>IFERROR($J943/IF($A943&lt;COUNTIFS($K$1:L$1,"&lt;&gt;"),0,SUMIFS($J:$J,$B:$B,$B943,$A:$A,"&gt;="&amp;COUNTIFS($K$1:L$1,"&lt;&gt;"))),0)</f>
        <v>9.3750000000000014E-2</v>
      </c>
      <c r="M943">
        <f>IFERROR($J943/IF($A943&lt;COUNTIFS($K$1:M$1,"&lt;&gt;"),0,SUMIFS($J:$J,$B:$B,$B943,$A:$A,"&gt;="&amp;COUNTIFS($K$1:M$1,"&lt;&gt;"))),0)</f>
        <v>0.10380622837370243</v>
      </c>
      <c r="N943">
        <f>IFERROR($J943/IF($A943&lt;COUNTIFS($K$1:N$1,"&lt;&gt;"),0,SUMIFS($J:$J,$B:$B,$B943,$A:$A,"&gt;="&amp;COUNTIFS($K$1:N$1,"&lt;&gt;"))),0)</f>
        <v>0.11583011583011585</v>
      </c>
      <c r="O943">
        <f>IFERROR($J943/IF($A943&lt;COUNTIFS($K$1:O$1,"&lt;&gt;"),0,SUMIFS($J:$J,$B:$B,$B943,$A:$A,"&gt;="&amp;COUNTIFS($K$1:O$1,"&lt;&gt;"))),0)</f>
        <v>0.13157894736842107</v>
      </c>
      <c r="P943">
        <f>IFERROR($J943/IF($A943&lt;COUNTIFS($K$1:P$1,"&lt;&gt;"),0,SUMIFS($J:$J,$B:$B,$B943,$A:$A,"&gt;="&amp;COUNTIFS($K$1:P$1,"&lt;&gt;"))),0)</f>
        <v>0</v>
      </c>
      <c r="Q943">
        <f>IFERROR($J943/IF($A943&lt;COUNTIFS($K$1:Q$1,"&lt;&gt;"),0,SUMIFS($J:$J,$B:$B,$B943,$A:$A,"&gt;="&amp;COUNTIFS($K$1:Q$1,"&lt;&gt;"))),0)</f>
        <v>0</v>
      </c>
      <c r="R943">
        <f>IFERROR($J943/IF($A943&lt;COUNTIFS($K$1:R$1,"&lt;&gt;"),0,SUMIFS($J:$J,$B:$B,$B943,$A:$A,"&gt;="&amp;COUNTIFS($K$1:R$1,"&lt;&gt;"))),0)</f>
        <v>0</v>
      </c>
      <c r="S943">
        <f>IFERROR($J943/IF($A943&lt;COUNTIFS($K$1:S$1,"&lt;&gt;"),0,SUMIFS($J:$J,$B:$B,$B943,$A:$A,"&gt;="&amp;COUNTIFS($K$1:S$1,"&lt;&gt;"))),0)</f>
        <v>0</v>
      </c>
      <c r="T943">
        <f>IFERROR($J943/IF($A943&lt;COUNTIFS($K$1:T$1,"&lt;&gt;"),0,SUMIFS($J:$J,$B:$B,$B943,$A:$A,"&gt;="&amp;COUNTIFS($K$1:T$1,"&lt;&gt;"))),0)</f>
        <v>0</v>
      </c>
      <c r="U943">
        <f>IFERROR($J943/IF($A943&lt;COUNTIFS($K$1:U$1,"&lt;&gt;"),0,SUMIFS($J:$J,$B:$B,$B943,$A:$A,"&gt;="&amp;COUNTIFS($K$1:U$1,"&lt;&gt;"))),0)</f>
        <v>0</v>
      </c>
      <c r="V943">
        <f>IFERROR($J943/IF($A943&lt;COUNTIFS($K$1:V$1,"&lt;&gt;"),0,SUMIFS($J:$J,$B:$B,$B943,$A:$A,"&gt;="&amp;COUNTIFS($K$1:V$1,"&lt;&gt;"))),0)</f>
        <v>0</v>
      </c>
      <c r="W943">
        <f t="shared" si="332"/>
        <v>8.2191780821917804E-2</v>
      </c>
      <c r="X943">
        <f t="shared" si="312"/>
        <v>8.2191780821917804E-2</v>
      </c>
      <c r="Y943">
        <f t="shared" si="313"/>
        <v>8.2191780821917804E-2</v>
      </c>
      <c r="Z943">
        <f t="shared" si="314"/>
        <v>8.2191780821917804E-2</v>
      </c>
      <c r="AA943">
        <f t="shared" si="315"/>
        <v>8.2191780821917804E-2</v>
      </c>
      <c r="AB943">
        <f t="shared" si="316"/>
        <v>8.2191780821917804E-2</v>
      </c>
      <c r="AC943">
        <f t="shared" si="317"/>
        <v>0</v>
      </c>
      <c r="AD943">
        <f t="shared" si="318"/>
        <v>0</v>
      </c>
      <c r="AE943">
        <f t="shared" si="319"/>
        <v>0</v>
      </c>
      <c r="AF943">
        <f t="shared" si="320"/>
        <v>0</v>
      </c>
      <c r="AG943">
        <f t="shared" si="321"/>
        <v>0</v>
      </c>
      <c r="AH943">
        <f t="shared" si="322"/>
        <v>0</v>
      </c>
      <c r="AI943">
        <f t="shared" si="323"/>
        <v>0</v>
      </c>
      <c r="AJ943" s="2" t="str">
        <f t="shared" si="333"/>
        <v>546023</v>
      </c>
    </row>
    <row r="944" spans="1:36" x14ac:dyDescent="0.25">
      <c r="A944">
        <v>6</v>
      </c>
      <c r="B944" s="1">
        <v>46023</v>
      </c>
      <c r="C944" s="1">
        <f t="shared" si="324"/>
        <v>46204</v>
      </c>
      <c r="D944" s="1">
        <f t="shared" si="325"/>
        <v>46037</v>
      </c>
      <c r="E944" s="1">
        <f t="shared" si="326"/>
        <v>46204</v>
      </c>
      <c r="F944" s="1">
        <f t="shared" si="327"/>
        <v>46235</v>
      </c>
      <c r="G944" s="1">
        <f t="shared" si="328"/>
        <v>46402</v>
      </c>
      <c r="H944">
        <f t="shared" si="329"/>
        <v>365</v>
      </c>
      <c r="I944">
        <f t="shared" si="330"/>
        <v>31</v>
      </c>
      <c r="J944">
        <f t="shared" si="331"/>
        <v>8.4931506849315067E-2</v>
      </c>
      <c r="K944">
        <f>IFERROR($J944/IF($A944&lt;COUNTIFS($K$1:K$1,"&lt;&gt;"),0,SUMIFS($J:$J,$B:$B,$B944,$A:$A,"&gt;="&amp;COUNTIFS($K$1:K$1,"&lt;&gt;"))),0)</f>
        <v>8.9080459770114959E-2</v>
      </c>
      <c r="L944">
        <f>IFERROR($J944/IF($A944&lt;COUNTIFS($K$1:L$1,"&lt;&gt;"),0,SUMIFS($J:$J,$B:$B,$B944,$A:$A,"&gt;="&amp;COUNTIFS($K$1:L$1,"&lt;&gt;"))),0)</f>
        <v>9.6875000000000017E-2</v>
      </c>
      <c r="M944">
        <f>IFERROR($J944/IF($A944&lt;COUNTIFS($K$1:M$1,"&lt;&gt;"),0,SUMIFS($J:$J,$B:$B,$B944,$A:$A,"&gt;="&amp;COUNTIFS($K$1:M$1,"&lt;&gt;"))),0)</f>
        <v>0.10726643598615919</v>
      </c>
      <c r="N944">
        <f>IFERROR($J944/IF($A944&lt;COUNTIFS($K$1:N$1,"&lt;&gt;"),0,SUMIFS($J:$J,$B:$B,$B944,$A:$A,"&gt;="&amp;COUNTIFS($K$1:N$1,"&lt;&gt;"))),0)</f>
        <v>0.11969111969111972</v>
      </c>
      <c r="O944">
        <f>IFERROR($J944/IF($A944&lt;COUNTIFS($K$1:O$1,"&lt;&gt;"),0,SUMIFS($J:$J,$B:$B,$B944,$A:$A,"&gt;="&amp;COUNTIFS($K$1:O$1,"&lt;&gt;"))),0)</f>
        <v>0.13596491228070179</v>
      </c>
      <c r="P944">
        <f>IFERROR($J944/IF($A944&lt;COUNTIFS($K$1:P$1,"&lt;&gt;"),0,SUMIFS($J:$J,$B:$B,$B944,$A:$A,"&gt;="&amp;COUNTIFS($K$1:P$1,"&lt;&gt;"))),0)</f>
        <v>0.1565656565656566</v>
      </c>
      <c r="Q944">
        <f>IFERROR($J944/IF($A944&lt;COUNTIFS($K$1:Q$1,"&lt;&gt;"),0,SUMIFS($J:$J,$B:$B,$B944,$A:$A,"&gt;="&amp;COUNTIFS($K$1:Q$1,"&lt;&gt;"))),0)</f>
        <v>0</v>
      </c>
      <c r="R944">
        <f>IFERROR($J944/IF($A944&lt;COUNTIFS($K$1:R$1,"&lt;&gt;"),0,SUMIFS($J:$J,$B:$B,$B944,$A:$A,"&gt;="&amp;COUNTIFS($K$1:R$1,"&lt;&gt;"))),0)</f>
        <v>0</v>
      </c>
      <c r="S944">
        <f>IFERROR($J944/IF($A944&lt;COUNTIFS($K$1:S$1,"&lt;&gt;"),0,SUMIFS($J:$J,$B:$B,$B944,$A:$A,"&gt;="&amp;COUNTIFS($K$1:S$1,"&lt;&gt;"))),0)</f>
        <v>0</v>
      </c>
      <c r="T944">
        <f>IFERROR($J944/IF($A944&lt;COUNTIFS($K$1:T$1,"&lt;&gt;"),0,SUMIFS($J:$J,$B:$B,$B944,$A:$A,"&gt;="&amp;COUNTIFS($K$1:T$1,"&lt;&gt;"))),0)</f>
        <v>0</v>
      </c>
      <c r="U944">
        <f>IFERROR($J944/IF($A944&lt;COUNTIFS($K$1:U$1,"&lt;&gt;"),0,SUMIFS($J:$J,$B:$B,$B944,$A:$A,"&gt;="&amp;COUNTIFS($K$1:U$1,"&lt;&gt;"))),0)</f>
        <v>0</v>
      </c>
      <c r="V944">
        <f>IFERROR($J944/IF($A944&lt;COUNTIFS($K$1:V$1,"&lt;&gt;"),0,SUMIFS($J:$J,$B:$B,$B944,$A:$A,"&gt;="&amp;COUNTIFS($K$1:V$1,"&lt;&gt;"))),0)</f>
        <v>0</v>
      </c>
      <c r="W944">
        <f t="shared" si="332"/>
        <v>8.4931506849315067E-2</v>
      </c>
      <c r="X944">
        <f t="shared" si="312"/>
        <v>8.4931506849315067E-2</v>
      </c>
      <c r="Y944">
        <f t="shared" si="313"/>
        <v>8.4931506849315067E-2</v>
      </c>
      <c r="Z944">
        <f t="shared" si="314"/>
        <v>8.4931506849315067E-2</v>
      </c>
      <c r="AA944">
        <f t="shared" si="315"/>
        <v>8.4931506849315067E-2</v>
      </c>
      <c r="AB944">
        <f t="shared" si="316"/>
        <v>8.4931506849315067E-2</v>
      </c>
      <c r="AC944">
        <f t="shared" si="317"/>
        <v>8.4931506849315067E-2</v>
      </c>
      <c r="AD944">
        <f t="shared" si="318"/>
        <v>0</v>
      </c>
      <c r="AE944">
        <f t="shared" si="319"/>
        <v>0</v>
      </c>
      <c r="AF944">
        <f t="shared" si="320"/>
        <v>0</v>
      </c>
      <c r="AG944">
        <f t="shared" si="321"/>
        <v>0</v>
      </c>
      <c r="AH944">
        <f t="shared" si="322"/>
        <v>0</v>
      </c>
      <c r="AI944">
        <f t="shared" si="323"/>
        <v>0</v>
      </c>
      <c r="AJ944" s="2" t="str">
        <f t="shared" si="333"/>
        <v>646023</v>
      </c>
    </row>
    <row r="945" spans="1:36" x14ac:dyDescent="0.25">
      <c r="A945">
        <v>7</v>
      </c>
      <c r="B945" s="1">
        <v>46023</v>
      </c>
      <c r="C945" s="1">
        <f t="shared" si="324"/>
        <v>46235</v>
      </c>
      <c r="D945" s="1">
        <f t="shared" si="325"/>
        <v>46037</v>
      </c>
      <c r="E945" s="1">
        <f t="shared" si="326"/>
        <v>46235</v>
      </c>
      <c r="F945" s="1">
        <f t="shared" si="327"/>
        <v>46266</v>
      </c>
      <c r="G945" s="1">
        <f t="shared" si="328"/>
        <v>46402</v>
      </c>
      <c r="H945">
        <f t="shared" si="329"/>
        <v>365</v>
      </c>
      <c r="I945">
        <f t="shared" si="330"/>
        <v>31</v>
      </c>
      <c r="J945">
        <f t="shared" si="331"/>
        <v>8.4931506849315067E-2</v>
      </c>
      <c r="K945">
        <f>IFERROR($J945/IF($A945&lt;COUNTIFS($K$1:K$1,"&lt;&gt;"),0,SUMIFS($J:$J,$B:$B,$B945,$A:$A,"&gt;="&amp;COUNTIFS($K$1:K$1,"&lt;&gt;"))),0)</f>
        <v>8.9080459770114959E-2</v>
      </c>
      <c r="L945">
        <f>IFERROR($J945/IF($A945&lt;COUNTIFS($K$1:L$1,"&lt;&gt;"),0,SUMIFS($J:$J,$B:$B,$B945,$A:$A,"&gt;="&amp;COUNTIFS($K$1:L$1,"&lt;&gt;"))),0)</f>
        <v>9.6875000000000017E-2</v>
      </c>
      <c r="M945">
        <f>IFERROR($J945/IF($A945&lt;COUNTIFS($K$1:M$1,"&lt;&gt;"),0,SUMIFS($J:$J,$B:$B,$B945,$A:$A,"&gt;="&amp;COUNTIFS($K$1:M$1,"&lt;&gt;"))),0)</f>
        <v>0.10726643598615919</v>
      </c>
      <c r="N945">
        <f>IFERROR($J945/IF($A945&lt;COUNTIFS($K$1:N$1,"&lt;&gt;"),0,SUMIFS($J:$J,$B:$B,$B945,$A:$A,"&gt;="&amp;COUNTIFS($K$1:N$1,"&lt;&gt;"))),0)</f>
        <v>0.11969111969111972</v>
      </c>
      <c r="O945">
        <f>IFERROR($J945/IF($A945&lt;COUNTIFS($K$1:O$1,"&lt;&gt;"),0,SUMIFS($J:$J,$B:$B,$B945,$A:$A,"&gt;="&amp;COUNTIFS($K$1:O$1,"&lt;&gt;"))),0)</f>
        <v>0.13596491228070179</v>
      </c>
      <c r="P945">
        <f>IFERROR($J945/IF($A945&lt;COUNTIFS($K$1:P$1,"&lt;&gt;"),0,SUMIFS($J:$J,$B:$B,$B945,$A:$A,"&gt;="&amp;COUNTIFS($K$1:P$1,"&lt;&gt;"))),0)</f>
        <v>0.1565656565656566</v>
      </c>
      <c r="Q945">
        <f>IFERROR($J945/IF($A945&lt;COUNTIFS($K$1:Q$1,"&lt;&gt;"),0,SUMIFS($J:$J,$B:$B,$B945,$A:$A,"&gt;="&amp;COUNTIFS($K$1:Q$1,"&lt;&gt;"))),0)</f>
        <v>0.18562874251497008</v>
      </c>
      <c r="R945">
        <f>IFERROR($J945/IF($A945&lt;COUNTIFS($K$1:R$1,"&lt;&gt;"),0,SUMIFS($J:$J,$B:$B,$B945,$A:$A,"&gt;="&amp;COUNTIFS($K$1:R$1,"&lt;&gt;"))),0)</f>
        <v>0</v>
      </c>
      <c r="S945">
        <f>IFERROR($J945/IF($A945&lt;COUNTIFS($K$1:S$1,"&lt;&gt;"),0,SUMIFS($J:$J,$B:$B,$B945,$A:$A,"&gt;="&amp;COUNTIFS($K$1:S$1,"&lt;&gt;"))),0)</f>
        <v>0</v>
      </c>
      <c r="T945">
        <f>IFERROR($J945/IF($A945&lt;COUNTIFS($K$1:T$1,"&lt;&gt;"),0,SUMIFS($J:$J,$B:$B,$B945,$A:$A,"&gt;="&amp;COUNTIFS($K$1:T$1,"&lt;&gt;"))),0)</f>
        <v>0</v>
      </c>
      <c r="U945">
        <f>IFERROR($J945/IF($A945&lt;COUNTIFS($K$1:U$1,"&lt;&gt;"),0,SUMIFS($J:$J,$B:$B,$B945,$A:$A,"&gt;="&amp;COUNTIFS($K$1:U$1,"&lt;&gt;"))),0)</f>
        <v>0</v>
      </c>
      <c r="V945">
        <f>IFERROR($J945/IF($A945&lt;COUNTIFS($K$1:V$1,"&lt;&gt;"),0,SUMIFS($J:$J,$B:$B,$B945,$A:$A,"&gt;="&amp;COUNTIFS($K$1:V$1,"&lt;&gt;"))),0)</f>
        <v>0</v>
      </c>
      <c r="W945">
        <f t="shared" si="332"/>
        <v>8.4931506849315067E-2</v>
      </c>
      <c r="X945">
        <f t="shared" si="312"/>
        <v>8.4931506849315067E-2</v>
      </c>
      <c r="Y945">
        <f t="shared" si="313"/>
        <v>8.4931506849315067E-2</v>
      </c>
      <c r="Z945">
        <f t="shared" si="314"/>
        <v>8.4931506849315067E-2</v>
      </c>
      <c r="AA945">
        <f t="shared" si="315"/>
        <v>8.4931506849315067E-2</v>
      </c>
      <c r="AB945">
        <f t="shared" si="316"/>
        <v>8.4931506849315067E-2</v>
      </c>
      <c r="AC945">
        <f t="shared" si="317"/>
        <v>8.4931506849315067E-2</v>
      </c>
      <c r="AD945">
        <f t="shared" si="318"/>
        <v>8.4931506849315067E-2</v>
      </c>
      <c r="AE945">
        <f t="shared" si="319"/>
        <v>0</v>
      </c>
      <c r="AF945">
        <f t="shared" si="320"/>
        <v>0</v>
      </c>
      <c r="AG945">
        <f t="shared" si="321"/>
        <v>0</v>
      </c>
      <c r="AH945">
        <f t="shared" si="322"/>
        <v>0</v>
      </c>
      <c r="AI945">
        <f t="shared" si="323"/>
        <v>0</v>
      </c>
      <c r="AJ945" s="2" t="str">
        <f t="shared" si="333"/>
        <v>746023</v>
      </c>
    </row>
    <row r="946" spans="1:36" x14ac:dyDescent="0.25">
      <c r="A946">
        <v>8</v>
      </c>
      <c r="B946" s="1">
        <v>46023</v>
      </c>
      <c r="C946" s="1">
        <f t="shared" si="324"/>
        <v>46266</v>
      </c>
      <c r="D946" s="1">
        <f t="shared" si="325"/>
        <v>46037</v>
      </c>
      <c r="E946" s="1">
        <f t="shared" si="326"/>
        <v>46266</v>
      </c>
      <c r="F946" s="1">
        <f t="shared" si="327"/>
        <v>46296</v>
      </c>
      <c r="G946" s="1">
        <f t="shared" si="328"/>
        <v>46402</v>
      </c>
      <c r="H946">
        <f t="shared" si="329"/>
        <v>365</v>
      </c>
      <c r="I946">
        <f t="shared" si="330"/>
        <v>30</v>
      </c>
      <c r="J946">
        <f t="shared" si="331"/>
        <v>8.2191780821917804E-2</v>
      </c>
      <c r="K946">
        <f>IFERROR($J946/IF($A946&lt;COUNTIFS($K$1:K$1,"&lt;&gt;"),0,SUMIFS($J:$J,$B:$B,$B946,$A:$A,"&gt;="&amp;COUNTIFS($K$1:K$1,"&lt;&gt;"))),0)</f>
        <v>8.6206896551724144E-2</v>
      </c>
      <c r="L946">
        <f>IFERROR($J946/IF($A946&lt;COUNTIFS($K$1:L$1,"&lt;&gt;"),0,SUMIFS($J:$J,$B:$B,$B946,$A:$A,"&gt;="&amp;COUNTIFS($K$1:L$1,"&lt;&gt;"))),0)</f>
        <v>9.3750000000000014E-2</v>
      </c>
      <c r="M946">
        <f>IFERROR($J946/IF($A946&lt;COUNTIFS($K$1:M$1,"&lt;&gt;"),0,SUMIFS($J:$J,$B:$B,$B946,$A:$A,"&gt;="&amp;COUNTIFS($K$1:M$1,"&lt;&gt;"))),0)</f>
        <v>0.10380622837370243</v>
      </c>
      <c r="N946">
        <f>IFERROR($J946/IF($A946&lt;COUNTIFS($K$1:N$1,"&lt;&gt;"),0,SUMIFS($J:$J,$B:$B,$B946,$A:$A,"&gt;="&amp;COUNTIFS($K$1:N$1,"&lt;&gt;"))),0)</f>
        <v>0.11583011583011585</v>
      </c>
      <c r="O946">
        <f>IFERROR($J946/IF($A946&lt;COUNTIFS($K$1:O$1,"&lt;&gt;"),0,SUMIFS($J:$J,$B:$B,$B946,$A:$A,"&gt;="&amp;COUNTIFS($K$1:O$1,"&lt;&gt;"))),0)</f>
        <v>0.13157894736842107</v>
      </c>
      <c r="P946">
        <f>IFERROR($J946/IF($A946&lt;COUNTIFS($K$1:P$1,"&lt;&gt;"),0,SUMIFS($J:$J,$B:$B,$B946,$A:$A,"&gt;="&amp;COUNTIFS($K$1:P$1,"&lt;&gt;"))),0)</f>
        <v>0.15151515151515155</v>
      </c>
      <c r="Q946">
        <f>IFERROR($J946/IF($A946&lt;COUNTIFS($K$1:Q$1,"&lt;&gt;"),0,SUMIFS($J:$J,$B:$B,$B946,$A:$A,"&gt;="&amp;COUNTIFS($K$1:Q$1,"&lt;&gt;"))),0)</f>
        <v>0.17964071856287425</v>
      </c>
      <c r="R946">
        <f>IFERROR($J946/IF($A946&lt;COUNTIFS($K$1:R$1,"&lt;&gt;"),0,SUMIFS($J:$J,$B:$B,$B946,$A:$A,"&gt;="&amp;COUNTIFS($K$1:R$1,"&lt;&gt;"))),0)</f>
        <v>0.22058823529411764</v>
      </c>
      <c r="S946">
        <f>IFERROR($J946/IF($A946&lt;COUNTIFS($K$1:S$1,"&lt;&gt;"),0,SUMIFS($J:$J,$B:$B,$B946,$A:$A,"&gt;="&amp;COUNTIFS($K$1:S$1,"&lt;&gt;"))),0)</f>
        <v>0</v>
      </c>
      <c r="T946">
        <f>IFERROR($J946/IF($A946&lt;COUNTIFS($K$1:T$1,"&lt;&gt;"),0,SUMIFS($J:$J,$B:$B,$B946,$A:$A,"&gt;="&amp;COUNTIFS($K$1:T$1,"&lt;&gt;"))),0)</f>
        <v>0</v>
      </c>
      <c r="U946">
        <f>IFERROR($J946/IF($A946&lt;COUNTIFS($K$1:U$1,"&lt;&gt;"),0,SUMIFS($J:$J,$B:$B,$B946,$A:$A,"&gt;="&amp;COUNTIFS($K$1:U$1,"&lt;&gt;"))),0)</f>
        <v>0</v>
      </c>
      <c r="V946">
        <f>IFERROR($J946/IF($A946&lt;COUNTIFS($K$1:V$1,"&lt;&gt;"),0,SUMIFS($J:$J,$B:$B,$B946,$A:$A,"&gt;="&amp;COUNTIFS($K$1:V$1,"&lt;&gt;"))),0)</f>
        <v>0</v>
      </c>
      <c r="W946">
        <f t="shared" si="332"/>
        <v>8.2191780821917804E-2</v>
      </c>
      <c r="X946">
        <f t="shared" si="312"/>
        <v>8.2191780821917804E-2</v>
      </c>
      <c r="Y946">
        <f t="shared" si="313"/>
        <v>8.2191780821917804E-2</v>
      </c>
      <c r="Z946">
        <f t="shared" si="314"/>
        <v>8.2191780821917804E-2</v>
      </c>
      <c r="AA946">
        <f t="shared" si="315"/>
        <v>8.2191780821917804E-2</v>
      </c>
      <c r="AB946">
        <f t="shared" si="316"/>
        <v>8.2191780821917804E-2</v>
      </c>
      <c r="AC946">
        <f t="shared" si="317"/>
        <v>8.2191780821917804E-2</v>
      </c>
      <c r="AD946">
        <f t="shared" si="318"/>
        <v>8.2191780821917804E-2</v>
      </c>
      <c r="AE946">
        <f t="shared" si="319"/>
        <v>8.2191780821917804E-2</v>
      </c>
      <c r="AF946">
        <f t="shared" si="320"/>
        <v>0</v>
      </c>
      <c r="AG946">
        <f t="shared" si="321"/>
        <v>0</v>
      </c>
      <c r="AH946">
        <f t="shared" si="322"/>
        <v>0</v>
      </c>
      <c r="AI946">
        <f t="shared" si="323"/>
        <v>0</v>
      </c>
      <c r="AJ946" s="2" t="str">
        <f t="shared" si="333"/>
        <v>846023</v>
      </c>
    </row>
    <row r="947" spans="1:36" x14ac:dyDescent="0.25">
      <c r="A947">
        <v>9</v>
      </c>
      <c r="B947" s="1">
        <v>46023</v>
      </c>
      <c r="C947" s="1">
        <f t="shared" si="324"/>
        <v>46296</v>
      </c>
      <c r="D947" s="1">
        <f t="shared" si="325"/>
        <v>46037</v>
      </c>
      <c r="E947" s="1">
        <f t="shared" si="326"/>
        <v>46296</v>
      </c>
      <c r="F947" s="1">
        <f t="shared" si="327"/>
        <v>46327</v>
      </c>
      <c r="G947" s="1">
        <f t="shared" si="328"/>
        <v>46402</v>
      </c>
      <c r="H947">
        <f t="shared" si="329"/>
        <v>365</v>
      </c>
      <c r="I947">
        <f t="shared" si="330"/>
        <v>31</v>
      </c>
      <c r="J947">
        <f t="shared" si="331"/>
        <v>8.4931506849315067E-2</v>
      </c>
      <c r="K947">
        <f>IFERROR($J947/IF($A947&lt;COUNTIFS($K$1:K$1,"&lt;&gt;"),0,SUMIFS($J:$J,$B:$B,$B947,$A:$A,"&gt;="&amp;COUNTIFS($K$1:K$1,"&lt;&gt;"))),0)</f>
        <v>8.9080459770114959E-2</v>
      </c>
      <c r="L947">
        <f>IFERROR($J947/IF($A947&lt;COUNTIFS($K$1:L$1,"&lt;&gt;"),0,SUMIFS($J:$J,$B:$B,$B947,$A:$A,"&gt;="&amp;COUNTIFS($K$1:L$1,"&lt;&gt;"))),0)</f>
        <v>9.6875000000000017E-2</v>
      </c>
      <c r="M947">
        <f>IFERROR($J947/IF($A947&lt;COUNTIFS($K$1:M$1,"&lt;&gt;"),0,SUMIFS($J:$J,$B:$B,$B947,$A:$A,"&gt;="&amp;COUNTIFS($K$1:M$1,"&lt;&gt;"))),0)</f>
        <v>0.10726643598615919</v>
      </c>
      <c r="N947">
        <f>IFERROR($J947/IF($A947&lt;COUNTIFS($K$1:N$1,"&lt;&gt;"),0,SUMIFS($J:$J,$B:$B,$B947,$A:$A,"&gt;="&amp;COUNTIFS($K$1:N$1,"&lt;&gt;"))),0)</f>
        <v>0.11969111969111972</v>
      </c>
      <c r="O947">
        <f>IFERROR($J947/IF($A947&lt;COUNTIFS($K$1:O$1,"&lt;&gt;"),0,SUMIFS($J:$J,$B:$B,$B947,$A:$A,"&gt;="&amp;COUNTIFS($K$1:O$1,"&lt;&gt;"))),0)</f>
        <v>0.13596491228070179</v>
      </c>
      <c r="P947">
        <f>IFERROR($J947/IF($A947&lt;COUNTIFS($K$1:P$1,"&lt;&gt;"),0,SUMIFS($J:$J,$B:$B,$B947,$A:$A,"&gt;="&amp;COUNTIFS($K$1:P$1,"&lt;&gt;"))),0)</f>
        <v>0.1565656565656566</v>
      </c>
      <c r="Q947">
        <f>IFERROR($J947/IF($A947&lt;COUNTIFS($K$1:Q$1,"&lt;&gt;"),0,SUMIFS($J:$J,$B:$B,$B947,$A:$A,"&gt;="&amp;COUNTIFS($K$1:Q$1,"&lt;&gt;"))),0)</f>
        <v>0.18562874251497008</v>
      </c>
      <c r="R947">
        <f>IFERROR($J947/IF($A947&lt;COUNTIFS($K$1:R$1,"&lt;&gt;"),0,SUMIFS($J:$J,$B:$B,$B947,$A:$A,"&gt;="&amp;COUNTIFS($K$1:R$1,"&lt;&gt;"))),0)</f>
        <v>0.22794117647058826</v>
      </c>
      <c r="S947">
        <f>IFERROR($J947/IF($A947&lt;COUNTIFS($K$1:S$1,"&lt;&gt;"),0,SUMIFS($J:$J,$B:$B,$B947,$A:$A,"&gt;="&amp;COUNTIFS($K$1:S$1,"&lt;&gt;"))),0)</f>
        <v>0.29245283018867929</v>
      </c>
      <c r="T947">
        <f>IFERROR($J947/IF($A947&lt;COUNTIFS($K$1:T$1,"&lt;&gt;"),0,SUMIFS($J:$J,$B:$B,$B947,$A:$A,"&gt;="&amp;COUNTIFS($K$1:T$1,"&lt;&gt;"))),0)</f>
        <v>0</v>
      </c>
      <c r="U947">
        <f>IFERROR($J947/IF($A947&lt;COUNTIFS($K$1:U$1,"&lt;&gt;"),0,SUMIFS($J:$J,$B:$B,$B947,$A:$A,"&gt;="&amp;COUNTIFS($K$1:U$1,"&lt;&gt;"))),0)</f>
        <v>0</v>
      </c>
      <c r="V947">
        <f>IFERROR($J947/IF($A947&lt;COUNTIFS($K$1:V$1,"&lt;&gt;"),0,SUMIFS($J:$J,$B:$B,$B947,$A:$A,"&gt;="&amp;COUNTIFS($K$1:V$1,"&lt;&gt;"))),0)</f>
        <v>0</v>
      </c>
      <c r="W947">
        <f t="shared" si="332"/>
        <v>8.4931506849315067E-2</v>
      </c>
      <c r="X947">
        <f t="shared" si="312"/>
        <v>8.4931506849315067E-2</v>
      </c>
      <c r="Y947">
        <f t="shared" si="313"/>
        <v>8.4931506849315067E-2</v>
      </c>
      <c r="Z947">
        <f t="shared" si="314"/>
        <v>8.4931506849315067E-2</v>
      </c>
      <c r="AA947">
        <f t="shared" si="315"/>
        <v>8.4931506849315067E-2</v>
      </c>
      <c r="AB947">
        <f t="shared" si="316"/>
        <v>8.4931506849315067E-2</v>
      </c>
      <c r="AC947">
        <f t="shared" si="317"/>
        <v>8.4931506849315067E-2</v>
      </c>
      <c r="AD947">
        <f t="shared" si="318"/>
        <v>8.4931506849315067E-2</v>
      </c>
      <c r="AE947">
        <f t="shared" si="319"/>
        <v>8.4931506849315067E-2</v>
      </c>
      <c r="AF947">
        <f t="shared" si="320"/>
        <v>8.4931506849315067E-2</v>
      </c>
      <c r="AG947">
        <f t="shared" si="321"/>
        <v>0</v>
      </c>
      <c r="AH947">
        <f t="shared" si="322"/>
        <v>0</v>
      </c>
      <c r="AI947">
        <f t="shared" si="323"/>
        <v>0</v>
      </c>
      <c r="AJ947" s="2" t="str">
        <f t="shared" si="333"/>
        <v>946023</v>
      </c>
    </row>
    <row r="948" spans="1:36" x14ac:dyDescent="0.25">
      <c r="A948">
        <v>10</v>
      </c>
      <c r="B948" s="1">
        <v>46023</v>
      </c>
      <c r="C948" s="1">
        <f t="shared" si="324"/>
        <v>46327</v>
      </c>
      <c r="D948" s="1">
        <f t="shared" si="325"/>
        <v>46037</v>
      </c>
      <c r="E948" s="1">
        <f t="shared" si="326"/>
        <v>46327</v>
      </c>
      <c r="F948" s="1">
        <f t="shared" si="327"/>
        <v>46357</v>
      </c>
      <c r="G948" s="1">
        <f t="shared" si="328"/>
        <v>46402</v>
      </c>
      <c r="H948">
        <f t="shared" si="329"/>
        <v>365</v>
      </c>
      <c r="I948">
        <f t="shared" si="330"/>
        <v>30</v>
      </c>
      <c r="J948">
        <f t="shared" si="331"/>
        <v>8.2191780821917804E-2</v>
      </c>
      <c r="K948">
        <f>IFERROR($J948/IF($A948&lt;COUNTIFS($K$1:K$1,"&lt;&gt;"),0,SUMIFS($J:$J,$B:$B,$B948,$A:$A,"&gt;="&amp;COUNTIFS($K$1:K$1,"&lt;&gt;"))),0)</f>
        <v>8.6206896551724144E-2</v>
      </c>
      <c r="L948">
        <f>IFERROR($J948/IF($A948&lt;COUNTIFS($K$1:L$1,"&lt;&gt;"),0,SUMIFS($J:$J,$B:$B,$B948,$A:$A,"&gt;="&amp;COUNTIFS($K$1:L$1,"&lt;&gt;"))),0)</f>
        <v>9.3750000000000014E-2</v>
      </c>
      <c r="M948">
        <f>IFERROR($J948/IF($A948&lt;COUNTIFS($K$1:M$1,"&lt;&gt;"),0,SUMIFS($J:$J,$B:$B,$B948,$A:$A,"&gt;="&amp;COUNTIFS($K$1:M$1,"&lt;&gt;"))),0)</f>
        <v>0.10380622837370243</v>
      </c>
      <c r="N948">
        <f>IFERROR($J948/IF($A948&lt;COUNTIFS($K$1:N$1,"&lt;&gt;"),0,SUMIFS($J:$J,$B:$B,$B948,$A:$A,"&gt;="&amp;COUNTIFS($K$1:N$1,"&lt;&gt;"))),0)</f>
        <v>0.11583011583011585</v>
      </c>
      <c r="O948">
        <f>IFERROR($J948/IF($A948&lt;COUNTIFS($K$1:O$1,"&lt;&gt;"),0,SUMIFS($J:$J,$B:$B,$B948,$A:$A,"&gt;="&amp;COUNTIFS($K$1:O$1,"&lt;&gt;"))),0)</f>
        <v>0.13157894736842107</v>
      </c>
      <c r="P948">
        <f>IFERROR($J948/IF($A948&lt;COUNTIFS($K$1:P$1,"&lt;&gt;"),0,SUMIFS($J:$J,$B:$B,$B948,$A:$A,"&gt;="&amp;COUNTIFS($K$1:P$1,"&lt;&gt;"))),0)</f>
        <v>0.15151515151515155</v>
      </c>
      <c r="Q948">
        <f>IFERROR($J948/IF($A948&lt;COUNTIFS($K$1:Q$1,"&lt;&gt;"),0,SUMIFS($J:$J,$B:$B,$B948,$A:$A,"&gt;="&amp;COUNTIFS($K$1:Q$1,"&lt;&gt;"))),0)</f>
        <v>0.17964071856287425</v>
      </c>
      <c r="R948">
        <f>IFERROR($J948/IF($A948&lt;COUNTIFS($K$1:R$1,"&lt;&gt;"),0,SUMIFS($J:$J,$B:$B,$B948,$A:$A,"&gt;="&amp;COUNTIFS($K$1:R$1,"&lt;&gt;"))),0)</f>
        <v>0.22058823529411764</v>
      </c>
      <c r="S948">
        <f>IFERROR($J948/IF($A948&lt;COUNTIFS($K$1:S$1,"&lt;&gt;"),0,SUMIFS($J:$J,$B:$B,$B948,$A:$A,"&gt;="&amp;COUNTIFS($K$1:S$1,"&lt;&gt;"))),0)</f>
        <v>0.28301886792452829</v>
      </c>
      <c r="T948">
        <f>IFERROR($J948/IF($A948&lt;COUNTIFS($K$1:T$1,"&lt;&gt;"),0,SUMIFS($J:$J,$B:$B,$B948,$A:$A,"&gt;="&amp;COUNTIFS($K$1:T$1,"&lt;&gt;"))),0)</f>
        <v>0.4</v>
      </c>
      <c r="U948">
        <f>IFERROR($J948/IF($A948&lt;COUNTIFS($K$1:U$1,"&lt;&gt;"),0,SUMIFS($J:$J,$B:$B,$B948,$A:$A,"&gt;="&amp;COUNTIFS($K$1:U$1,"&lt;&gt;"))),0)</f>
        <v>0</v>
      </c>
      <c r="V948">
        <f>IFERROR($J948/IF($A948&lt;COUNTIFS($K$1:V$1,"&lt;&gt;"),0,SUMIFS($J:$J,$B:$B,$B948,$A:$A,"&gt;="&amp;COUNTIFS($K$1:V$1,"&lt;&gt;"))),0)</f>
        <v>0</v>
      </c>
      <c r="W948">
        <f t="shared" si="332"/>
        <v>8.2191780821917804E-2</v>
      </c>
      <c r="X948">
        <f t="shared" si="312"/>
        <v>8.2191780821917804E-2</v>
      </c>
      <c r="Y948">
        <f t="shared" si="313"/>
        <v>8.2191780821917804E-2</v>
      </c>
      <c r="Z948">
        <f t="shared" si="314"/>
        <v>8.2191780821917804E-2</v>
      </c>
      <c r="AA948">
        <f t="shared" si="315"/>
        <v>8.2191780821917804E-2</v>
      </c>
      <c r="AB948">
        <f t="shared" si="316"/>
        <v>8.2191780821917804E-2</v>
      </c>
      <c r="AC948">
        <f t="shared" si="317"/>
        <v>8.2191780821917804E-2</v>
      </c>
      <c r="AD948">
        <f t="shared" si="318"/>
        <v>8.2191780821917804E-2</v>
      </c>
      <c r="AE948">
        <f t="shared" si="319"/>
        <v>8.2191780821917804E-2</v>
      </c>
      <c r="AF948">
        <f t="shared" si="320"/>
        <v>8.2191780821917804E-2</v>
      </c>
      <c r="AG948">
        <f t="shared" si="321"/>
        <v>8.2191780821917804E-2</v>
      </c>
      <c r="AH948">
        <f t="shared" si="322"/>
        <v>0</v>
      </c>
      <c r="AI948">
        <f t="shared" si="323"/>
        <v>0</v>
      </c>
      <c r="AJ948" s="2" t="str">
        <f t="shared" si="333"/>
        <v>1046023</v>
      </c>
    </row>
    <row r="949" spans="1:36" x14ac:dyDescent="0.25">
      <c r="A949">
        <v>11</v>
      </c>
      <c r="B949" s="1">
        <v>46023</v>
      </c>
      <c r="C949" s="1">
        <f t="shared" si="324"/>
        <v>46357</v>
      </c>
      <c r="D949" s="1">
        <f t="shared" si="325"/>
        <v>46037</v>
      </c>
      <c r="E949" s="1">
        <f t="shared" si="326"/>
        <v>46357</v>
      </c>
      <c r="F949" s="1">
        <f t="shared" si="327"/>
        <v>46388</v>
      </c>
      <c r="G949" s="1">
        <f t="shared" si="328"/>
        <v>46402</v>
      </c>
      <c r="H949">
        <f t="shared" si="329"/>
        <v>365</v>
      </c>
      <c r="I949">
        <f t="shared" si="330"/>
        <v>31</v>
      </c>
      <c r="J949">
        <f t="shared" si="331"/>
        <v>8.4931506849315067E-2</v>
      </c>
      <c r="K949">
        <f>IFERROR($J949/IF($A949&lt;COUNTIFS($K$1:K$1,"&lt;&gt;"),0,SUMIFS($J:$J,$B:$B,$B949,$A:$A,"&gt;="&amp;COUNTIFS($K$1:K$1,"&lt;&gt;"))),0)</f>
        <v>8.9080459770114959E-2</v>
      </c>
      <c r="L949">
        <f>IFERROR($J949/IF($A949&lt;COUNTIFS($K$1:L$1,"&lt;&gt;"),0,SUMIFS($J:$J,$B:$B,$B949,$A:$A,"&gt;="&amp;COUNTIFS($K$1:L$1,"&lt;&gt;"))),0)</f>
        <v>9.6875000000000017E-2</v>
      </c>
      <c r="M949">
        <f>IFERROR($J949/IF($A949&lt;COUNTIFS($K$1:M$1,"&lt;&gt;"),0,SUMIFS($J:$J,$B:$B,$B949,$A:$A,"&gt;="&amp;COUNTIFS($K$1:M$1,"&lt;&gt;"))),0)</f>
        <v>0.10726643598615919</v>
      </c>
      <c r="N949">
        <f>IFERROR($J949/IF($A949&lt;COUNTIFS($K$1:N$1,"&lt;&gt;"),0,SUMIFS($J:$J,$B:$B,$B949,$A:$A,"&gt;="&amp;COUNTIFS($K$1:N$1,"&lt;&gt;"))),0)</f>
        <v>0.11969111969111972</v>
      </c>
      <c r="O949">
        <f>IFERROR($J949/IF($A949&lt;COUNTIFS($K$1:O$1,"&lt;&gt;"),0,SUMIFS($J:$J,$B:$B,$B949,$A:$A,"&gt;="&amp;COUNTIFS($K$1:O$1,"&lt;&gt;"))),0)</f>
        <v>0.13596491228070179</v>
      </c>
      <c r="P949">
        <f>IFERROR($J949/IF($A949&lt;COUNTIFS($K$1:P$1,"&lt;&gt;"),0,SUMIFS($J:$J,$B:$B,$B949,$A:$A,"&gt;="&amp;COUNTIFS($K$1:P$1,"&lt;&gt;"))),0)</f>
        <v>0.1565656565656566</v>
      </c>
      <c r="Q949">
        <f>IFERROR($J949/IF($A949&lt;COUNTIFS($K$1:Q$1,"&lt;&gt;"),0,SUMIFS($J:$J,$B:$B,$B949,$A:$A,"&gt;="&amp;COUNTIFS($K$1:Q$1,"&lt;&gt;"))),0)</f>
        <v>0.18562874251497008</v>
      </c>
      <c r="R949">
        <f>IFERROR($J949/IF($A949&lt;COUNTIFS($K$1:R$1,"&lt;&gt;"),0,SUMIFS($J:$J,$B:$B,$B949,$A:$A,"&gt;="&amp;COUNTIFS($K$1:R$1,"&lt;&gt;"))),0)</f>
        <v>0.22794117647058826</v>
      </c>
      <c r="S949">
        <f>IFERROR($J949/IF($A949&lt;COUNTIFS($K$1:S$1,"&lt;&gt;"),0,SUMIFS($J:$J,$B:$B,$B949,$A:$A,"&gt;="&amp;COUNTIFS($K$1:S$1,"&lt;&gt;"))),0)</f>
        <v>0.29245283018867929</v>
      </c>
      <c r="T949">
        <f>IFERROR($J949/IF($A949&lt;COUNTIFS($K$1:T$1,"&lt;&gt;"),0,SUMIFS($J:$J,$B:$B,$B949,$A:$A,"&gt;="&amp;COUNTIFS($K$1:T$1,"&lt;&gt;"))),0)</f>
        <v>0.41333333333333333</v>
      </c>
      <c r="U949">
        <f>IFERROR($J949/IF($A949&lt;COUNTIFS($K$1:U$1,"&lt;&gt;"),0,SUMIFS($J:$J,$B:$B,$B949,$A:$A,"&gt;="&amp;COUNTIFS($K$1:U$1,"&lt;&gt;"))),0)</f>
        <v>0.68888888888888888</v>
      </c>
      <c r="V949">
        <f>IFERROR($J949/IF($A949&lt;COUNTIFS($K$1:V$1,"&lt;&gt;"),0,SUMIFS($J:$J,$B:$B,$B949,$A:$A,"&gt;="&amp;COUNTIFS($K$1:V$1,"&lt;&gt;"))),0)</f>
        <v>0</v>
      </c>
      <c r="W949">
        <f t="shared" si="332"/>
        <v>8.4931506849315067E-2</v>
      </c>
      <c r="X949">
        <f t="shared" si="312"/>
        <v>8.4931506849315067E-2</v>
      </c>
      <c r="Y949">
        <f t="shared" si="313"/>
        <v>8.4931506849315067E-2</v>
      </c>
      <c r="Z949">
        <f t="shared" si="314"/>
        <v>8.4931506849315067E-2</v>
      </c>
      <c r="AA949">
        <f t="shared" si="315"/>
        <v>8.4931506849315067E-2</v>
      </c>
      <c r="AB949">
        <f t="shared" si="316"/>
        <v>8.4931506849315067E-2</v>
      </c>
      <c r="AC949">
        <f t="shared" si="317"/>
        <v>8.4931506849315067E-2</v>
      </c>
      <c r="AD949">
        <f t="shared" si="318"/>
        <v>8.4931506849315067E-2</v>
      </c>
      <c r="AE949">
        <f t="shared" si="319"/>
        <v>8.4931506849315067E-2</v>
      </c>
      <c r="AF949">
        <f t="shared" si="320"/>
        <v>8.4931506849315067E-2</v>
      </c>
      <c r="AG949">
        <f t="shared" si="321"/>
        <v>8.4931506849315067E-2</v>
      </c>
      <c r="AH949">
        <f t="shared" si="322"/>
        <v>8.4931506849315067E-2</v>
      </c>
      <c r="AI949">
        <f t="shared" si="323"/>
        <v>0</v>
      </c>
      <c r="AJ949" s="2" t="str">
        <f t="shared" si="333"/>
        <v>1146023</v>
      </c>
    </row>
    <row r="950" spans="1:36" x14ac:dyDescent="0.25">
      <c r="A950">
        <v>12</v>
      </c>
      <c r="B950" s="1">
        <v>46023</v>
      </c>
      <c r="C950" s="1">
        <f t="shared" si="324"/>
        <v>46388</v>
      </c>
      <c r="D950" s="1">
        <f t="shared" si="325"/>
        <v>46037</v>
      </c>
      <c r="E950" s="1">
        <f t="shared" si="326"/>
        <v>46388</v>
      </c>
      <c r="F950" s="1">
        <f t="shared" si="327"/>
        <v>46402</v>
      </c>
      <c r="G950" s="1">
        <f t="shared" si="328"/>
        <v>46402</v>
      </c>
      <c r="H950">
        <f t="shared" si="329"/>
        <v>365</v>
      </c>
      <c r="I950">
        <f t="shared" si="330"/>
        <v>14</v>
      </c>
      <c r="J950">
        <f t="shared" si="331"/>
        <v>3.8356164383561646E-2</v>
      </c>
      <c r="K950">
        <f>IFERROR($J950/IF($A950&lt;COUNTIFS($K$1:K$1,"&lt;&gt;"),0,SUMIFS($J:$J,$B:$B,$B950,$A:$A,"&gt;="&amp;COUNTIFS($K$1:K$1,"&lt;&gt;"))),0)</f>
        <v>4.0229885057471271E-2</v>
      </c>
      <c r="L950">
        <f>IFERROR($J950/IF($A950&lt;COUNTIFS($K$1:L$1,"&lt;&gt;"),0,SUMIFS($J:$J,$B:$B,$B950,$A:$A,"&gt;="&amp;COUNTIFS($K$1:L$1,"&lt;&gt;"))),0)</f>
        <v>4.3750000000000011E-2</v>
      </c>
      <c r="M950">
        <f>IFERROR($J950/IF($A950&lt;COUNTIFS($K$1:M$1,"&lt;&gt;"),0,SUMIFS($J:$J,$B:$B,$B950,$A:$A,"&gt;="&amp;COUNTIFS($K$1:M$1,"&lt;&gt;"))),0)</f>
        <v>4.8442906574394477E-2</v>
      </c>
      <c r="N950">
        <f>IFERROR($J950/IF($A950&lt;COUNTIFS($K$1:N$1,"&lt;&gt;"),0,SUMIFS($J:$J,$B:$B,$B950,$A:$A,"&gt;="&amp;COUNTIFS($K$1:N$1,"&lt;&gt;"))),0)</f>
        <v>5.4054054054054071E-2</v>
      </c>
      <c r="O950">
        <f>IFERROR($J950/IF($A950&lt;COUNTIFS($K$1:O$1,"&lt;&gt;"),0,SUMIFS($J:$J,$B:$B,$B950,$A:$A,"&gt;="&amp;COUNTIFS($K$1:O$1,"&lt;&gt;"))),0)</f>
        <v>6.1403508771929842E-2</v>
      </c>
      <c r="P950">
        <f>IFERROR($J950/IF($A950&lt;COUNTIFS($K$1:P$1,"&lt;&gt;"),0,SUMIFS($J:$J,$B:$B,$B950,$A:$A,"&gt;="&amp;COUNTIFS($K$1:P$1,"&lt;&gt;"))),0)</f>
        <v>7.0707070707070732E-2</v>
      </c>
      <c r="Q950">
        <f>IFERROR($J950/IF($A950&lt;COUNTIFS($K$1:Q$1,"&lt;&gt;"),0,SUMIFS($J:$J,$B:$B,$B950,$A:$A,"&gt;="&amp;COUNTIFS($K$1:Q$1,"&lt;&gt;"))),0)</f>
        <v>8.3832335329341326E-2</v>
      </c>
      <c r="R950">
        <f>IFERROR($J950/IF($A950&lt;COUNTIFS($K$1:R$1,"&lt;&gt;"),0,SUMIFS($J:$J,$B:$B,$B950,$A:$A,"&gt;="&amp;COUNTIFS($K$1:R$1,"&lt;&gt;"))),0)</f>
        <v>0.10294117647058824</v>
      </c>
      <c r="S950">
        <f>IFERROR($J950/IF($A950&lt;COUNTIFS($K$1:S$1,"&lt;&gt;"),0,SUMIFS($J:$J,$B:$B,$B950,$A:$A,"&gt;="&amp;COUNTIFS($K$1:S$1,"&lt;&gt;"))),0)</f>
        <v>0.13207547169811323</v>
      </c>
      <c r="T950">
        <f>IFERROR($J950/IF($A950&lt;COUNTIFS($K$1:T$1,"&lt;&gt;"),0,SUMIFS($J:$J,$B:$B,$B950,$A:$A,"&gt;="&amp;COUNTIFS($K$1:T$1,"&lt;&gt;"))),0)</f>
        <v>0.18666666666666668</v>
      </c>
      <c r="U950">
        <f>IFERROR($J950/IF($A950&lt;COUNTIFS($K$1:U$1,"&lt;&gt;"),0,SUMIFS($J:$J,$B:$B,$B950,$A:$A,"&gt;="&amp;COUNTIFS($K$1:U$1,"&lt;&gt;"))),0)</f>
        <v>0.31111111111111117</v>
      </c>
      <c r="V950">
        <f>IFERROR($J950/IF($A950&lt;COUNTIFS($K$1:V$1,"&lt;&gt;"),0,SUMIFS($J:$J,$B:$B,$B950,$A:$A,"&gt;="&amp;COUNTIFS($K$1:V$1,"&lt;&gt;"))),0)</f>
        <v>1</v>
      </c>
      <c r="W950">
        <f t="shared" si="332"/>
        <v>3.8356164383561646E-2</v>
      </c>
      <c r="X950">
        <f t="shared" si="312"/>
        <v>3.8356164383561646E-2</v>
      </c>
      <c r="Y950">
        <f t="shared" si="313"/>
        <v>3.8356164383561646E-2</v>
      </c>
      <c r="Z950">
        <f t="shared" si="314"/>
        <v>3.8356164383561646E-2</v>
      </c>
      <c r="AA950">
        <f t="shared" si="315"/>
        <v>3.8356164383561646E-2</v>
      </c>
      <c r="AB950">
        <f t="shared" si="316"/>
        <v>3.8356164383561646E-2</v>
      </c>
      <c r="AC950">
        <f t="shared" si="317"/>
        <v>3.8356164383561646E-2</v>
      </c>
      <c r="AD950">
        <f t="shared" si="318"/>
        <v>3.8356164383561646E-2</v>
      </c>
      <c r="AE950">
        <f t="shared" si="319"/>
        <v>3.8356164383561646E-2</v>
      </c>
      <c r="AF950">
        <f t="shared" si="320"/>
        <v>3.8356164383561646E-2</v>
      </c>
      <c r="AG950">
        <f t="shared" si="321"/>
        <v>3.8356164383561646E-2</v>
      </c>
      <c r="AH950">
        <f t="shared" si="322"/>
        <v>3.8356164383561646E-2</v>
      </c>
      <c r="AI950">
        <f t="shared" si="323"/>
        <v>3.8356164383561646E-2</v>
      </c>
      <c r="AJ950" s="2" t="str">
        <f t="shared" si="333"/>
        <v>1246023</v>
      </c>
    </row>
    <row r="951" spans="1:36" x14ac:dyDescent="0.25">
      <c r="A951">
        <v>0</v>
      </c>
      <c r="B951" s="1">
        <v>46054</v>
      </c>
      <c r="C951" s="1">
        <f t="shared" si="324"/>
        <v>46054</v>
      </c>
      <c r="D951" s="1">
        <f t="shared" si="325"/>
        <v>46068</v>
      </c>
      <c r="E951" s="1">
        <f t="shared" si="326"/>
        <v>46068</v>
      </c>
      <c r="F951" s="1">
        <f t="shared" si="327"/>
        <v>46082</v>
      </c>
      <c r="G951" s="1">
        <f t="shared" si="328"/>
        <v>46433</v>
      </c>
      <c r="H951">
        <f t="shared" si="329"/>
        <v>365</v>
      </c>
      <c r="I951">
        <f t="shared" si="330"/>
        <v>14</v>
      </c>
      <c r="J951">
        <f t="shared" si="331"/>
        <v>3.8356164383561646E-2</v>
      </c>
      <c r="K951">
        <f>IFERROR($J951/IF($A951&lt;COUNTIFS($K$1:K$1,"&lt;&gt;"),0,SUMIFS($J:$J,$B:$B,$B951,$A:$A,"&gt;="&amp;COUNTIFS($K$1:K$1,"&lt;&gt;"))),0)</f>
        <v>0</v>
      </c>
      <c r="L951">
        <f>IFERROR($J951/IF($A951&lt;COUNTIFS($K$1:L$1,"&lt;&gt;"),0,SUMIFS($J:$J,$B:$B,$B951,$A:$A,"&gt;="&amp;COUNTIFS($K$1:L$1,"&lt;&gt;"))),0)</f>
        <v>0</v>
      </c>
      <c r="M951">
        <f>IFERROR($J951/IF($A951&lt;COUNTIFS($K$1:M$1,"&lt;&gt;"),0,SUMIFS($J:$J,$B:$B,$B951,$A:$A,"&gt;="&amp;COUNTIFS($K$1:M$1,"&lt;&gt;"))),0)</f>
        <v>0</v>
      </c>
      <c r="N951">
        <f>IFERROR($J951/IF($A951&lt;COUNTIFS($K$1:N$1,"&lt;&gt;"),0,SUMIFS($J:$J,$B:$B,$B951,$A:$A,"&gt;="&amp;COUNTIFS($K$1:N$1,"&lt;&gt;"))),0)</f>
        <v>0</v>
      </c>
      <c r="O951">
        <f>IFERROR($J951/IF($A951&lt;COUNTIFS($K$1:O$1,"&lt;&gt;"),0,SUMIFS($J:$J,$B:$B,$B951,$A:$A,"&gt;="&amp;COUNTIFS($K$1:O$1,"&lt;&gt;"))),0)</f>
        <v>0</v>
      </c>
      <c r="P951">
        <f>IFERROR($J951/IF($A951&lt;COUNTIFS($K$1:P$1,"&lt;&gt;"),0,SUMIFS($J:$J,$B:$B,$B951,$A:$A,"&gt;="&amp;COUNTIFS($K$1:P$1,"&lt;&gt;"))),0)</f>
        <v>0</v>
      </c>
      <c r="Q951">
        <f>IFERROR($J951/IF($A951&lt;COUNTIFS($K$1:Q$1,"&lt;&gt;"),0,SUMIFS($J:$J,$B:$B,$B951,$A:$A,"&gt;="&amp;COUNTIFS($K$1:Q$1,"&lt;&gt;"))),0)</f>
        <v>0</v>
      </c>
      <c r="R951">
        <f>IFERROR($J951/IF($A951&lt;COUNTIFS($K$1:R$1,"&lt;&gt;"),0,SUMIFS($J:$J,$B:$B,$B951,$A:$A,"&gt;="&amp;COUNTIFS($K$1:R$1,"&lt;&gt;"))),0)</f>
        <v>0</v>
      </c>
      <c r="S951">
        <f>IFERROR($J951/IF($A951&lt;COUNTIFS($K$1:S$1,"&lt;&gt;"),0,SUMIFS($J:$J,$B:$B,$B951,$A:$A,"&gt;="&amp;COUNTIFS($K$1:S$1,"&lt;&gt;"))),0)</f>
        <v>0</v>
      </c>
      <c r="T951">
        <f>IFERROR($J951/IF($A951&lt;COUNTIFS($K$1:T$1,"&lt;&gt;"),0,SUMIFS($J:$J,$B:$B,$B951,$A:$A,"&gt;="&amp;COUNTIFS($K$1:T$1,"&lt;&gt;"))),0)</f>
        <v>0</v>
      </c>
      <c r="U951">
        <f>IFERROR($J951/IF($A951&lt;COUNTIFS($K$1:U$1,"&lt;&gt;"),0,SUMIFS($J:$J,$B:$B,$B951,$A:$A,"&gt;="&amp;COUNTIFS($K$1:U$1,"&lt;&gt;"))),0)</f>
        <v>0</v>
      </c>
      <c r="V951">
        <f>IFERROR($J951/IF($A951&lt;COUNTIFS($K$1:V$1,"&lt;&gt;"),0,SUMIFS($J:$J,$B:$B,$B951,$A:$A,"&gt;="&amp;COUNTIFS($K$1:V$1,"&lt;&gt;"))),0)</f>
        <v>0</v>
      </c>
      <c r="W951">
        <f t="shared" si="332"/>
        <v>3.8356164383561646E-2</v>
      </c>
      <c r="X951">
        <f t="shared" si="312"/>
        <v>0</v>
      </c>
      <c r="Y951">
        <f t="shared" si="313"/>
        <v>0</v>
      </c>
      <c r="Z951">
        <f t="shared" si="314"/>
        <v>0</v>
      </c>
      <c r="AA951">
        <f t="shared" si="315"/>
        <v>0</v>
      </c>
      <c r="AB951">
        <f t="shared" si="316"/>
        <v>0</v>
      </c>
      <c r="AC951">
        <f t="shared" si="317"/>
        <v>0</v>
      </c>
      <c r="AD951">
        <f t="shared" si="318"/>
        <v>0</v>
      </c>
      <c r="AE951">
        <f t="shared" si="319"/>
        <v>0</v>
      </c>
      <c r="AF951">
        <f t="shared" si="320"/>
        <v>0</v>
      </c>
      <c r="AG951">
        <f t="shared" si="321"/>
        <v>0</v>
      </c>
      <c r="AH951">
        <f t="shared" si="322"/>
        <v>0</v>
      </c>
      <c r="AI951">
        <f t="shared" si="323"/>
        <v>0</v>
      </c>
      <c r="AJ951" s="2" t="str">
        <f t="shared" si="333"/>
        <v>046054</v>
      </c>
    </row>
    <row r="952" spans="1:36" x14ac:dyDescent="0.25">
      <c r="A952">
        <v>1</v>
      </c>
      <c r="B952" s="1">
        <v>46054</v>
      </c>
      <c r="C952" s="1">
        <f t="shared" si="324"/>
        <v>46082</v>
      </c>
      <c r="D952" s="1">
        <f t="shared" si="325"/>
        <v>46068</v>
      </c>
      <c r="E952" s="1">
        <f t="shared" si="326"/>
        <v>46082</v>
      </c>
      <c r="F952" s="1">
        <f t="shared" si="327"/>
        <v>46113</v>
      </c>
      <c r="G952" s="1">
        <f t="shared" si="328"/>
        <v>46433</v>
      </c>
      <c r="H952">
        <f t="shared" si="329"/>
        <v>365</v>
      </c>
      <c r="I952">
        <f t="shared" si="330"/>
        <v>31</v>
      </c>
      <c r="J952">
        <f t="shared" si="331"/>
        <v>8.4931506849315067E-2</v>
      </c>
      <c r="K952">
        <f>IFERROR($J952/IF($A952&lt;COUNTIFS($K$1:K$1,"&lt;&gt;"),0,SUMIFS($J:$J,$B:$B,$B952,$A:$A,"&gt;="&amp;COUNTIFS($K$1:K$1,"&lt;&gt;"))),0)</f>
        <v>8.8319088319088329E-2</v>
      </c>
      <c r="L952">
        <f>IFERROR($J952/IF($A952&lt;COUNTIFS($K$1:L$1,"&lt;&gt;"),0,SUMIFS($J:$J,$B:$B,$B952,$A:$A,"&gt;="&amp;COUNTIFS($K$1:L$1,"&lt;&gt;"))),0)</f>
        <v>0</v>
      </c>
      <c r="M952">
        <f>IFERROR($J952/IF($A952&lt;COUNTIFS($K$1:M$1,"&lt;&gt;"),0,SUMIFS($J:$J,$B:$B,$B952,$A:$A,"&gt;="&amp;COUNTIFS($K$1:M$1,"&lt;&gt;"))),0)</f>
        <v>0</v>
      </c>
      <c r="N952">
        <f>IFERROR($J952/IF($A952&lt;COUNTIFS($K$1:N$1,"&lt;&gt;"),0,SUMIFS($J:$J,$B:$B,$B952,$A:$A,"&gt;="&amp;COUNTIFS($K$1:N$1,"&lt;&gt;"))),0)</f>
        <v>0</v>
      </c>
      <c r="O952">
        <f>IFERROR($J952/IF($A952&lt;COUNTIFS($K$1:O$1,"&lt;&gt;"),0,SUMIFS($J:$J,$B:$B,$B952,$A:$A,"&gt;="&amp;COUNTIFS($K$1:O$1,"&lt;&gt;"))),0)</f>
        <v>0</v>
      </c>
      <c r="P952">
        <f>IFERROR($J952/IF($A952&lt;COUNTIFS($K$1:P$1,"&lt;&gt;"),0,SUMIFS($J:$J,$B:$B,$B952,$A:$A,"&gt;="&amp;COUNTIFS($K$1:P$1,"&lt;&gt;"))),0)</f>
        <v>0</v>
      </c>
      <c r="Q952">
        <f>IFERROR($J952/IF($A952&lt;COUNTIFS($K$1:Q$1,"&lt;&gt;"),0,SUMIFS($J:$J,$B:$B,$B952,$A:$A,"&gt;="&amp;COUNTIFS($K$1:Q$1,"&lt;&gt;"))),0)</f>
        <v>0</v>
      </c>
      <c r="R952">
        <f>IFERROR($J952/IF($A952&lt;COUNTIFS($K$1:R$1,"&lt;&gt;"),0,SUMIFS($J:$J,$B:$B,$B952,$A:$A,"&gt;="&amp;COUNTIFS($K$1:R$1,"&lt;&gt;"))),0)</f>
        <v>0</v>
      </c>
      <c r="S952">
        <f>IFERROR($J952/IF($A952&lt;COUNTIFS($K$1:S$1,"&lt;&gt;"),0,SUMIFS($J:$J,$B:$B,$B952,$A:$A,"&gt;="&amp;COUNTIFS($K$1:S$1,"&lt;&gt;"))),0)</f>
        <v>0</v>
      </c>
      <c r="T952">
        <f>IFERROR($J952/IF($A952&lt;COUNTIFS($K$1:T$1,"&lt;&gt;"),0,SUMIFS($J:$J,$B:$B,$B952,$A:$A,"&gt;="&amp;COUNTIFS($K$1:T$1,"&lt;&gt;"))),0)</f>
        <v>0</v>
      </c>
      <c r="U952">
        <f>IFERROR($J952/IF($A952&lt;COUNTIFS($K$1:U$1,"&lt;&gt;"),0,SUMIFS($J:$J,$B:$B,$B952,$A:$A,"&gt;="&amp;COUNTIFS($K$1:U$1,"&lt;&gt;"))),0)</f>
        <v>0</v>
      </c>
      <c r="V952">
        <f>IFERROR($J952/IF($A952&lt;COUNTIFS($K$1:V$1,"&lt;&gt;"),0,SUMIFS($J:$J,$B:$B,$B952,$A:$A,"&gt;="&amp;COUNTIFS($K$1:V$1,"&lt;&gt;"))),0)</f>
        <v>0</v>
      </c>
      <c r="W952">
        <f t="shared" si="332"/>
        <v>8.4931506849315067E-2</v>
      </c>
      <c r="X952">
        <f t="shared" si="312"/>
        <v>8.4931506849315067E-2</v>
      </c>
      <c r="Y952">
        <f t="shared" si="313"/>
        <v>0</v>
      </c>
      <c r="Z952">
        <f t="shared" si="314"/>
        <v>0</v>
      </c>
      <c r="AA952">
        <f t="shared" si="315"/>
        <v>0</v>
      </c>
      <c r="AB952">
        <f t="shared" si="316"/>
        <v>0</v>
      </c>
      <c r="AC952">
        <f t="shared" si="317"/>
        <v>0</v>
      </c>
      <c r="AD952">
        <f t="shared" si="318"/>
        <v>0</v>
      </c>
      <c r="AE952">
        <f t="shared" si="319"/>
        <v>0</v>
      </c>
      <c r="AF952">
        <f t="shared" si="320"/>
        <v>0</v>
      </c>
      <c r="AG952">
        <f t="shared" si="321"/>
        <v>0</v>
      </c>
      <c r="AH952">
        <f t="shared" si="322"/>
        <v>0</v>
      </c>
      <c r="AI952">
        <f t="shared" si="323"/>
        <v>0</v>
      </c>
      <c r="AJ952" s="2" t="str">
        <f t="shared" si="333"/>
        <v>146054</v>
      </c>
    </row>
    <row r="953" spans="1:36" x14ac:dyDescent="0.25">
      <c r="A953">
        <v>2</v>
      </c>
      <c r="B953" s="1">
        <v>46054</v>
      </c>
      <c r="C953" s="1">
        <f t="shared" si="324"/>
        <v>46113</v>
      </c>
      <c r="D953" s="1">
        <f t="shared" si="325"/>
        <v>46068</v>
      </c>
      <c r="E953" s="1">
        <f t="shared" si="326"/>
        <v>46113</v>
      </c>
      <c r="F953" s="1">
        <f t="shared" si="327"/>
        <v>46143</v>
      </c>
      <c r="G953" s="1">
        <f t="shared" si="328"/>
        <v>46433</v>
      </c>
      <c r="H953">
        <f t="shared" si="329"/>
        <v>365</v>
      </c>
      <c r="I953">
        <f t="shared" si="330"/>
        <v>30</v>
      </c>
      <c r="J953">
        <f t="shared" si="331"/>
        <v>8.2191780821917804E-2</v>
      </c>
      <c r="K953">
        <f>IFERROR($J953/IF($A953&lt;COUNTIFS($K$1:K$1,"&lt;&gt;"),0,SUMIFS($J:$J,$B:$B,$B953,$A:$A,"&gt;="&amp;COUNTIFS($K$1:K$1,"&lt;&gt;"))),0)</f>
        <v>8.5470085470085486E-2</v>
      </c>
      <c r="L953">
        <f>IFERROR($J953/IF($A953&lt;COUNTIFS($K$1:L$1,"&lt;&gt;"),0,SUMIFS($J:$J,$B:$B,$B953,$A:$A,"&gt;="&amp;COUNTIFS($K$1:L$1,"&lt;&gt;"))),0)</f>
        <v>9.3750000000000014E-2</v>
      </c>
      <c r="M953">
        <f>IFERROR($J953/IF($A953&lt;COUNTIFS($K$1:M$1,"&lt;&gt;"),0,SUMIFS($J:$J,$B:$B,$B953,$A:$A,"&gt;="&amp;COUNTIFS($K$1:M$1,"&lt;&gt;"))),0)</f>
        <v>0</v>
      </c>
      <c r="N953">
        <f>IFERROR($J953/IF($A953&lt;COUNTIFS($K$1:N$1,"&lt;&gt;"),0,SUMIFS($J:$J,$B:$B,$B953,$A:$A,"&gt;="&amp;COUNTIFS($K$1:N$1,"&lt;&gt;"))),0)</f>
        <v>0</v>
      </c>
      <c r="O953">
        <f>IFERROR($J953/IF($A953&lt;COUNTIFS($K$1:O$1,"&lt;&gt;"),0,SUMIFS($J:$J,$B:$B,$B953,$A:$A,"&gt;="&amp;COUNTIFS($K$1:O$1,"&lt;&gt;"))),0)</f>
        <v>0</v>
      </c>
      <c r="P953">
        <f>IFERROR($J953/IF($A953&lt;COUNTIFS($K$1:P$1,"&lt;&gt;"),0,SUMIFS($J:$J,$B:$B,$B953,$A:$A,"&gt;="&amp;COUNTIFS($K$1:P$1,"&lt;&gt;"))),0)</f>
        <v>0</v>
      </c>
      <c r="Q953">
        <f>IFERROR($J953/IF($A953&lt;COUNTIFS($K$1:Q$1,"&lt;&gt;"),0,SUMIFS($J:$J,$B:$B,$B953,$A:$A,"&gt;="&amp;COUNTIFS($K$1:Q$1,"&lt;&gt;"))),0)</f>
        <v>0</v>
      </c>
      <c r="R953">
        <f>IFERROR($J953/IF($A953&lt;COUNTIFS($K$1:R$1,"&lt;&gt;"),0,SUMIFS($J:$J,$B:$B,$B953,$A:$A,"&gt;="&amp;COUNTIFS($K$1:R$1,"&lt;&gt;"))),0)</f>
        <v>0</v>
      </c>
      <c r="S953">
        <f>IFERROR($J953/IF($A953&lt;COUNTIFS($K$1:S$1,"&lt;&gt;"),0,SUMIFS($J:$J,$B:$B,$B953,$A:$A,"&gt;="&amp;COUNTIFS($K$1:S$1,"&lt;&gt;"))),0)</f>
        <v>0</v>
      </c>
      <c r="T953">
        <f>IFERROR($J953/IF($A953&lt;COUNTIFS($K$1:T$1,"&lt;&gt;"),0,SUMIFS($J:$J,$B:$B,$B953,$A:$A,"&gt;="&amp;COUNTIFS($K$1:T$1,"&lt;&gt;"))),0)</f>
        <v>0</v>
      </c>
      <c r="U953">
        <f>IFERROR($J953/IF($A953&lt;COUNTIFS($K$1:U$1,"&lt;&gt;"),0,SUMIFS($J:$J,$B:$B,$B953,$A:$A,"&gt;="&amp;COUNTIFS($K$1:U$1,"&lt;&gt;"))),0)</f>
        <v>0</v>
      </c>
      <c r="V953">
        <f>IFERROR($J953/IF($A953&lt;COUNTIFS($K$1:V$1,"&lt;&gt;"),0,SUMIFS($J:$J,$B:$B,$B953,$A:$A,"&gt;="&amp;COUNTIFS($K$1:V$1,"&lt;&gt;"))),0)</f>
        <v>0</v>
      </c>
      <c r="W953">
        <f t="shared" si="332"/>
        <v>8.2191780821917804E-2</v>
      </c>
      <c r="X953">
        <f t="shared" si="312"/>
        <v>8.2191780821917804E-2</v>
      </c>
      <c r="Y953">
        <f t="shared" si="313"/>
        <v>8.2191780821917804E-2</v>
      </c>
      <c r="Z953">
        <f t="shared" si="314"/>
        <v>0</v>
      </c>
      <c r="AA953">
        <f t="shared" si="315"/>
        <v>0</v>
      </c>
      <c r="AB953">
        <f t="shared" si="316"/>
        <v>0</v>
      </c>
      <c r="AC953">
        <f t="shared" si="317"/>
        <v>0</v>
      </c>
      <c r="AD953">
        <f t="shared" si="318"/>
        <v>0</v>
      </c>
      <c r="AE953">
        <f t="shared" si="319"/>
        <v>0</v>
      </c>
      <c r="AF953">
        <f t="shared" si="320"/>
        <v>0</v>
      </c>
      <c r="AG953">
        <f t="shared" si="321"/>
        <v>0</v>
      </c>
      <c r="AH953">
        <f t="shared" si="322"/>
        <v>0</v>
      </c>
      <c r="AI953">
        <f t="shared" si="323"/>
        <v>0</v>
      </c>
      <c r="AJ953" s="2" t="str">
        <f t="shared" si="333"/>
        <v>246054</v>
      </c>
    </row>
    <row r="954" spans="1:36" x14ac:dyDescent="0.25">
      <c r="A954">
        <v>3</v>
      </c>
      <c r="B954" s="1">
        <v>46054</v>
      </c>
      <c r="C954" s="1">
        <f t="shared" si="324"/>
        <v>46143</v>
      </c>
      <c r="D954" s="1">
        <f t="shared" si="325"/>
        <v>46068</v>
      </c>
      <c r="E954" s="1">
        <f t="shared" si="326"/>
        <v>46143</v>
      </c>
      <c r="F954" s="1">
        <f t="shared" si="327"/>
        <v>46174</v>
      </c>
      <c r="G954" s="1">
        <f t="shared" si="328"/>
        <v>46433</v>
      </c>
      <c r="H954">
        <f t="shared" si="329"/>
        <v>365</v>
      </c>
      <c r="I954">
        <f t="shared" si="330"/>
        <v>31</v>
      </c>
      <c r="J954">
        <f t="shared" si="331"/>
        <v>8.4931506849315067E-2</v>
      </c>
      <c r="K954">
        <f>IFERROR($J954/IF($A954&lt;COUNTIFS($K$1:K$1,"&lt;&gt;"),0,SUMIFS($J:$J,$B:$B,$B954,$A:$A,"&gt;="&amp;COUNTIFS($K$1:K$1,"&lt;&gt;"))),0)</f>
        <v>8.8319088319088329E-2</v>
      </c>
      <c r="L954">
        <f>IFERROR($J954/IF($A954&lt;COUNTIFS($K$1:L$1,"&lt;&gt;"),0,SUMIFS($J:$J,$B:$B,$B954,$A:$A,"&gt;="&amp;COUNTIFS($K$1:L$1,"&lt;&gt;"))),0)</f>
        <v>9.6875000000000017E-2</v>
      </c>
      <c r="M954">
        <f>IFERROR($J954/IF($A954&lt;COUNTIFS($K$1:M$1,"&lt;&gt;"),0,SUMIFS($J:$J,$B:$B,$B954,$A:$A,"&gt;="&amp;COUNTIFS($K$1:M$1,"&lt;&gt;"))),0)</f>
        <v>0.10689655172413795</v>
      </c>
      <c r="N954">
        <f>IFERROR($J954/IF($A954&lt;COUNTIFS($K$1:N$1,"&lt;&gt;"),0,SUMIFS($J:$J,$B:$B,$B954,$A:$A,"&gt;="&amp;COUNTIFS($K$1:N$1,"&lt;&gt;"))),0)</f>
        <v>0</v>
      </c>
      <c r="O954">
        <f>IFERROR($J954/IF($A954&lt;COUNTIFS($K$1:O$1,"&lt;&gt;"),0,SUMIFS($J:$J,$B:$B,$B954,$A:$A,"&gt;="&amp;COUNTIFS($K$1:O$1,"&lt;&gt;"))),0)</f>
        <v>0</v>
      </c>
      <c r="P954">
        <f>IFERROR($J954/IF($A954&lt;COUNTIFS($K$1:P$1,"&lt;&gt;"),0,SUMIFS($J:$J,$B:$B,$B954,$A:$A,"&gt;="&amp;COUNTIFS($K$1:P$1,"&lt;&gt;"))),0)</f>
        <v>0</v>
      </c>
      <c r="Q954">
        <f>IFERROR($J954/IF($A954&lt;COUNTIFS($K$1:Q$1,"&lt;&gt;"),0,SUMIFS($J:$J,$B:$B,$B954,$A:$A,"&gt;="&amp;COUNTIFS($K$1:Q$1,"&lt;&gt;"))),0)</f>
        <v>0</v>
      </c>
      <c r="R954">
        <f>IFERROR($J954/IF($A954&lt;COUNTIFS($K$1:R$1,"&lt;&gt;"),0,SUMIFS($J:$J,$B:$B,$B954,$A:$A,"&gt;="&amp;COUNTIFS($K$1:R$1,"&lt;&gt;"))),0)</f>
        <v>0</v>
      </c>
      <c r="S954">
        <f>IFERROR($J954/IF($A954&lt;COUNTIFS($K$1:S$1,"&lt;&gt;"),0,SUMIFS($J:$J,$B:$B,$B954,$A:$A,"&gt;="&amp;COUNTIFS($K$1:S$1,"&lt;&gt;"))),0)</f>
        <v>0</v>
      </c>
      <c r="T954">
        <f>IFERROR($J954/IF($A954&lt;COUNTIFS($K$1:T$1,"&lt;&gt;"),0,SUMIFS($J:$J,$B:$B,$B954,$A:$A,"&gt;="&amp;COUNTIFS($K$1:T$1,"&lt;&gt;"))),0)</f>
        <v>0</v>
      </c>
      <c r="U954">
        <f>IFERROR($J954/IF($A954&lt;COUNTIFS($K$1:U$1,"&lt;&gt;"),0,SUMIFS($J:$J,$B:$B,$B954,$A:$A,"&gt;="&amp;COUNTIFS($K$1:U$1,"&lt;&gt;"))),0)</f>
        <v>0</v>
      </c>
      <c r="V954">
        <f>IFERROR($J954/IF($A954&lt;COUNTIFS($K$1:V$1,"&lt;&gt;"),0,SUMIFS($J:$J,$B:$B,$B954,$A:$A,"&gt;="&amp;COUNTIFS($K$1:V$1,"&lt;&gt;"))),0)</f>
        <v>0</v>
      </c>
      <c r="W954">
        <f t="shared" si="332"/>
        <v>8.4931506849315067E-2</v>
      </c>
      <c r="X954">
        <f t="shared" si="312"/>
        <v>8.4931506849315067E-2</v>
      </c>
      <c r="Y954">
        <f t="shared" si="313"/>
        <v>8.4931506849315067E-2</v>
      </c>
      <c r="Z954">
        <f t="shared" si="314"/>
        <v>8.4931506849315067E-2</v>
      </c>
      <c r="AA954">
        <f t="shared" si="315"/>
        <v>0</v>
      </c>
      <c r="AB954">
        <f t="shared" si="316"/>
        <v>0</v>
      </c>
      <c r="AC954">
        <f t="shared" si="317"/>
        <v>0</v>
      </c>
      <c r="AD954">
        <f t="shared" si="318"/>
        <v>0</v>
      </c>
      <c r="AE954">
        <f t="shared" si="319"/>
        <v>0</v>
      </c>
      <c r="AF954">
        <f t="shared" si="320"/>
        <v>0</v>
      </c>
      <c r="AG954">
        <f t="shared" si="321"/>
        <v>0</v>
      </c>
      <c r="AH954">
        <f t="shared" si="322"/>
        <v>0</v>
      </c>
      <c r="AI954">
        <f t="shared" si="323"/>
        <v>0</v>
      </c>
      <c r="AJ954" s="2" t="str">
        <f t="shared" si="333"/>
        <v>346054</v>
      </c>
    </row>
    <row r="955" spans="1:36" x14ac:dyDescent="0.25">
      <c r="A955">
        <v>4</v>
      </c>
      <c r="B955" s="1">
        <v>46054</v>
      </c>
      <c r="C955" s="1">
        <f t="shared" si="324"/>
        <v>46174</v>
      </c>
      <c r="D955" s="1">
        <f t="shared" si="325"/>
        <v>46068</v>
      </c>
      <c r="E955" s="1">
        <f t="shared" si="326"/>
        <v>46174</v>
      </c>
      <c r="F955" s="1">
        <f t="shared" si="327"/>
        <v>46204</v>
      </c>
      <c r="G955" s="1">
        <f t="shared" si="328"/>
        <v>46433</v>
      </c>
      <c r="H955">
        <f t="shared" si="329"/>
        <v>365</v>
      </c>
      <c r="I955">
        <f t="shared" si="330"/>
        <v>30</v>
      </c>
      <c r="J955">
        <f t="shared" si="331"/>
        <v>8.2191780821917804E-2</v>
      </c>
      <c r="K955">
        <f>IFERROR($J955/IF($A955&lt;COUNTIFS($K$1:K$1,"&lt;&gt;"),0,SUMIFS($J:$J,$B:$B,$B955,$A:$A,"&gt;="&amp;COUNTIFS($K$1:K$1,"&lt;&gt;"))),0)</f>
        <v>8.5470085470085486E-2</v>
      </c>
      <c r="L955">
        <f>IFERROR($J955/IF($A955&lt;COUNTIFS($K$1:L$1,"&lt;&gt;"),0,SUMIFS($J:$J,$B:$B,$B955,$A:$A,"&gt;="&amp;COUNTIFS($K$1:L$1,"&lt;&gt;"))),0)</f>
        <v>9.3750000000000014E-2</v>
      </c>
      <c r="M955">
        <f>IFERROR($J955/IF($A955&lt;COUNTIFS($K$1:M$1,"&lt;&gt;"),0,SUMIFS($J:$J,$B:$B,$B955,$A:$A,"&gt;="&amp;COUNTIFS($K$1:M$1,"&lt;&gt;"))),0)</f>
        <v>0.10344827586206898</v>
      </c>
      <c r="N955">
        <f>IFERROR($J955/IF($A955&lt;COUNTIFS($K$1:N$1,"&lt;&gt;"),0,SUMIFS($J:$J,$B:$B,$B955,$A:$A,"&gt;="&amp;COUNTIFS($K$1:N$1,"&lt;&gt;"))),0)</f>
        <v>0.11583011583011585</v>
      </c>
      <c r="O955">
        <f>IFERROR($J955/IF($A955&lt;COUNTIFS($K$1:O$1,"&lt;&gt;"),0,SUMIFS($J:$J,$B:$B,$B955,$A:$A,"&gt;="&amp;COUNTIFS($K$1:O$1,"&lt;&gt;"))),0)</f>
        <v>0</v>
      </c>
      <c r="P955">
        <f>IFERROR($J955/IF($A955&lt;COUNTIFS($K$1:P$1,"&lt;&gt;"),0,SUMIFS($J:$J,$B:$B,$B955,$A:$A,"&gt;="&amp;COUNTIFS($K$1:P$1,"&lt;&gt;"))),0)</f>
        <v>0</v>
      </c>
      <c r="Q955">
        <f>IFERROR($J955/IF($A955&lt;COUNTIFS($K$1:Q$1,"&lt;&gt;"),0,SUMIFS($J:$J,$B:$B,$B955,$A:$A,"&gt;="&amp;COUNTIFS($K$1:Q$1,"&lt;&gt;"))),0)</f>
        <v>0</v>
      </c>
      <c r="R955">
        <f>IFERROR($J955/IF($A955&lt;COUNTIFS($K$1:R$1,"&lt;&gt;"),0,SUMIFS($J:$J,$B:$B,$B955,$A:$A,"&gt;="&amp;COUNTIFS($K$1:R$1,"&lt;&gt;"))),0)</f>
        <v>0</v>
      </c>
      <c r="S955">
        <f>IFERROR($J955/IF($A955&lt;COUNTIFS($K$1:S$1,"&lt;&gt;"),0,SUMIFS($J:$J,$B:$B,$B955,$A:$A,"&gt;="&amp;COUNTIFS($K$1:S$1,"&lt;&gt;"))),0)</f>
        <v>0</v>
      </c>
      <c r="T955">
        <f>IFERROR($J955/IF($A955&lt;COUNTIFS($K$1:T$1,"&lt;&gt;"),0,SUMIFS($J:$J,$B:$B,$B955,$A:$A,"&gt;="&amp;COUNTIFS($K$1:T$1,"&lt;&gt;"))),0)</f>
        <v>0</v>
      </c>
      <c r="U955">
        <f>IFERROR($J955/IF($A955&lt;COUNTIFS($K$1:U$1,"&lt;&gt;"),0,SUMIFS($J:$J,$B:$B,$B955,$A:$A,"&gt;="&amp;COUNTIFS($K$1:U$1,"&lt;&gt;"))),0)</f>
        <v>0</v>
      </c>
      <c r="V955">
        <f>IFERROR($J955/IF($A955&lt;COUNTIFS($K$1:V$1,"&lt;&gt;"),0,SUMIFS($J:$J,$B:$B,$B955,$A:$A,"&gt;="&amp;COUNTIFS($K$1:V$1,"&lt;&gt;"))),0)</f>
        <v>0</v>
      </c>
      <c r="W955">
        <f t="shared" si="332"/>
        <v>8.2191780821917804E-2</v>
      </c>
      <c r="X955">
        <f t="shared" si="312"/>
        <v>8.2191780821917804E-2</v>
      </c>
      <c r="Y955">
        <f t="shared" si="313"/>
        <v>8.2191780821917804E-2</v>
      </c>
      <c r="Z955">
        <f t="shared" si="314"/>
        <v>8.2191780821917804E-2</v>
      </c>
      <c r="AA955">
        <f t="shared" si="315"/>
        <v>8.2191780821917804E-2</v>
      </c>
      <c r="AB955">
        <f t="shared" si="316"/>
        <v>0</v>
      </c>
      <c r="AC955">
        <f t="shared" si="317"/>
        <v>0</v>
      </c>
      <c r="AD955">
        <f t="shared" si="318"/>
        <v>0</v>
      </c>
      <c r="AE955">
        <f t="shared" si="319"/>
        <v>0</v>
      </c>
      <c r="AF955">
        <f t="shared" si="320"/>
        <v>0</v>
      </c>
      <c r="AG955">
        <f t="shared" si="321"/>
        <v>0</v>
      </c>
      <c r="AH955">
        <f t="shared" si="322"/>
        <v>0</v>
      </c>
      <c r="AI955">
        <f t="shared" si="323"/>
        <v>0</v>
      </c>
      <c r="AJ955" s="2" t="str">
        <f t="shared" si="333"/>
        <v>446054</v>
      </c>
    </row>
    <row r="956" spans="1:36" x14ac:dyDescent="0.25">
      <c r="A956">
        <v>5</v>
      </c>
      <c r="B956" s="1">
        <v>46054</v>
      </c>
      <c r="C956" s="1">
        <f t="shared" si="324"/>
        <v>46204</v>
      </c>
      <c r="D956" s="1">
        <f t="shared" si="325"/>
        <v>46068</v>
      </c>
      <c r="E956" s="1">
        <f t="shared" si="326"/>
        <v>46204</v>
      </c>
      <c r="F956" s="1">
        <f t="shared" si="327"/>
        <v>46235</v>
      </c>
      <c r="G956" s="1">
        <f t="shared" si="328"/>
        <v>46433</v>
      </c>
      <c r="H956">
        <f t="shared" si="329"/>
        <v>365</v>
      </c>
      <c r="I956">
        <f t="shared" si="330"/>
        <v>31</v>
      </c>
      <c r="J956">
        <f t="shared" si="331"/>
        <v>8.4931506849315067E-2</v>
      </c>
      <c r="K956">
        <f>IFERROR($J956/IF($A956&lt;COUNTIFS($K$1:K$1,"&lt;&gt;"),0,SUMIFS($J:$J,$B:$B,$B956,$A:$A,"&gt;="&amp;COUNTIFS($K$1:K$1,"&lt;&gt;"))),0)</f>
        <v>8.8319088319088329E-2</v>
      </c>
      <c r="L956">
        <f>IFERROR($J956/IF($A956&lt;COUNTIFS($K$1:L$1,"&lt;&gt;"),0,SUMIFS($J:$J,$B:$B,$B956,$A:$A,"&gt;="&amp;COUNTIFS($K$1:L$1,"&lt;&gt;"))),0)</f>
        <v>9.6875000000000017E-2</v>
      </c>
      <c r="M956">
        <f>IFERROR($J956/IF($A956&lt;COUNTIFS($K$1:M$1,"&lt;&gt;"),0,SUMIFS($J:$J,$B:$B,$B956,$A:$A,"&gt;="&amp;COUNTIFS($K$1:M$1,"&lt;&gt;"))),0)</f>
        <v>0.10689655172413795</v>
      </c>
      <c r="N956">
        <f>IFERROR($J956/IF($A956&lt;COUNTIFS($K$1:N$1,"&lt;&gt;"),0,SUMIFS($J:$J,$B:$B,$B956,$A:$A,"&gt;="&amp;COUNTIFS($K$1:N$1,"&lt;&gt;"))),0)</f>
        <v>0.11969111969111972</v>
      </c>
      <c r="O956">
        <f>IFERROR($J956/IF($A956&lt;COUNTIFS($K$1:O$1,"&lt;&gt;"),0,SUMIFS($J:$J,$B:$B,$B956,$A:$A,"&gt;="&amp;COUNTIFS($K$1:O$1,"&lt;&gt;"))),0)</f>
        <v>0.13537117903930135</v>
      </c>
      <c r="P956">
        <f>IFERROR($J956/IF($A956&lt;COUNTIFS($K$1:P$1,"&lt;&gt;"),0,SUMIFS($J:$J,$B:$B,$B956,$A:$A,"&gt;="&amp;COUNTIFS($K$1:P$1,"&lt;&gt;"))),0)</f>
        <v>0</v>
      </c>
      <c r="Q956">
        <f>IFERROR($J956/IF($A956&lt;COUNTIFS($K$1:Q$1,"&lt;&gt;"),0,SUMIFS($J:$J,$B:$B,$B956,$A:$A,"&gt;="&amp;COUNTIFS($K$1:Q$1,"&lt;&gt;"))),0)</f>
        <v>0</v>
      </c>
      <c r="R956">
        <f>IFERROR($J956/IF($A956&lt;COUNTIFS($K$1:R$1,"&lt;&gt;"),0,SUMIFS($J:$J,$B:$B,$B956,$A:$A,"&gt;="&amp;COUNTIFS($K$1:R$1,"&lt;&gt;"))),0)</f>
        <v>0</v>
      </c>
      <c r="S956">
        <f>IFERROR($J956/IF($A956&lt;COUNTIFS($K$1:S$1,"&lt;&gt;"),0,SUMIFS($J:$J,$B:$B,$B956,$A:$A,"&gt;="&amp;COUNTIFS($K$1:S$1,"&lt;&gt;"))),0)</f>
        <v>0</v>
      </c>
      <c r="T956">
        <f>IFERROR($J956/IF($A956&lt;COUNTIFS($K$1:T$1,"&lt;&gt;"),0,SUMIFS($J:$J,$B:$B,$B956,$A:$A,"&gt;="&amp;COUNTIFS($K$1:T$1,"&lt;&gt;"))),0)</f>
        <v>0</v>
      </c>
      <c r="U956">
        <f>IFERROR($J956/IF($A956&lt;COUNTIFS($K$1:U$1,"&lt;&gt;"),0,SUMIFS($J:$J,$B:$B,$B956,$A:$A,"&gt;="&amp;COUNTIFS($K$1:U$1,"&lt;&gt;"))),0)</f>
        <v>0</v>
      </c>
      <c r="V956">
        <f>IFERROR($J956/IF($A956&lt;COUNTIFS($K$1:V$1,"&lt;&gt;"),0,SUMIFS($J:$J,$B:$B,$B956,$A:$A,"&gt;="&amp;COUNTIFS($K$1:V$1,"&lt;&gt;"))),0)</f>
        <v>0</v>
      </c>
      <c r="W956">
        <f t="shared" si="332"/>
        <v>8.4931506849315067E-2</v>
      </c>
      <c r="X956">
        <f t="shared" si="312"/>
        <v>8.4931506849315067E-2</v>
      </c>
      <c r="Y956">
        <f t="shared" si="313"/>
        <v>8.4931506849315067E-2</v>
      </c>
      <c r="Z956">
        <f t="shared" si="314"/>
        <v>8.4931506849315067E-2</v>
      </c>
      <c r="AA956">
        <f t="shared" si="315"/>
        <v>8.4931506849315067E-2</v>
      </c>
      <c r="AB956">
        <f t="shared" si="316"/>
        <v>8.4931506849315067E-2</v>
      </c>
      <c r="AC956">
        <f t="shared" si="317"/>
        <v>0</v>
      </c>
      <c r="AD956">
        <f t="shared" si="318"/>
        <v>0</v>
      </c>
      <c r="AE956">
        <f t="shared" si="319"/>
        <v>0</v>
      </c>
      <c r="AF956">
        <f t="shared" si="320"/>
        <v>0</v>
      </c>
      <c r="AG956">
        <f t="shared" si="321"/>
        <v>0</v>
      </c>
      <c r="AH956">
        <f t="shared" si="322"/>
        <v>0</v>
      </c>
      <c r="AI956">
        <f t="shared" si="323"/>
        <v>0</v>
      </c>
      <c r="AJ956" s="2" t="str">
        <f t="shared" si="333"/>
        <v>546054</v>
      </c>
    </row>
    <row r="957" spans="1:36" x14ac:dyDescent="0.25">
      <c r="A957">
        <v>6</v>
      </c>
      <c r="B957" s="1">
        <v>46054</v>
      </c>
      <c r="C957" s="1">
        <f t="shared" si="324"/>
        <v>46235</v>
      </c>
      <c r="D957" s="1">
        <f t="shared" si="325"/>
        <v>46068</v>
      </c>
      <c r="E957" s="1">
        <f t="shared" si="326"/>
        <v>46235</v>
      </c>
      <c r="F957" s="1">
        <f t="shared" si="327"/>
        <v>46266</v>
      </c>
      <c r="G957" s="1">
        <f t="shared" si="328"/>
        <v>46433</v>
      </c>
      <c r="H957">
        <f t="shared" si="329"/>
        <v>365</v>
      </c>
      <c r="I957">
        <f t="shared" si="330"/>
        <v>31</v>
      </c>
      <c r="J957">
        <f t="shared" si="331"/>
        <v>8.4931506849315067E-2</v>
      </c>
      <c r="K957">
        <f>IFERROR($J957/IF($A957&lt;COUNTIFS($K$1:K$1,"&lt;&gt;"),0,SUMIFS($J:$J,$B:$B,$B957,$A:$A,"&gt;="&amp;COUNTIFS($K$1:K$1,"&lt;&gt;"))),0)</f>
        <v>8.8319088319088329E-2</v>
      </c>
      <c r="L957">
        <f>IFERROR($J957/IF($A957&lt;COUNTIFS($K$1:L$1,"&lt;&gt;"),0,SUMIFS($J:$J,$B:$B,$B957,$A:$A,"&gt;="&amp;COUNTIFS($K$1:L$1,"&lt;&gt;"))),0)</f>
        <v>9.6875000000000017E-2</v>
      </c>
      <c r="M957">
        <f>IFERROR($J957/IF($A957&lt;COUNTIFS($K$1:M$1,"&lt;&gt;"),0,SUMIFS($J:$J,$B:$B,$B957,$A:$A,"&gt;="&amp;COUNTIFS($K$1:M$1,"&lt;&gt;"))),0)</f>
        <v>0.10689655172413795</v>
      </c>
      <c r="N957">
        <f>IFERROR($J957/IF($A957&lt;COUNTIFS($K$1:N$1,"&lt;&gt;"),0,SUMIFS($J:$J,$B:$B,$B957,$A:$A,"&gt;="&amp;COUNTIFS($K$1:N$1,"&lt;&gt;"))),0)</f>
        <v>0.11969111969111972</v>
      </c>
      <c r="O957">
        <f>IFERROR($J957/IF($A957&lt;COUNTIFS($K$1:O$1,"&lt;&gt;"),0,SUMIFS($J:$J,$B:$B,$B957,$A:$A,"&gt;="&amp;COUNTIFS($K$1:O$1,"&lt;&gt;"))),0)</f>
        <v>0.13537117903930135</v>
      </c>
      <c r="P957">
        <f>IFERROR($J957/IF($A957&lt;COUNTIFS($K$1:P$1,"&lt;&gt;"),0,SUMIFS($J:$J,$B:$B,$B957,$A:$A,"&gt;="&amp;COUNTIFS($K$1:P$1,"&lt;&gt;"))),0)</f>
        <v>0.1565656565656566</v>
      </c>
      <c r="Q957">
        <f>IFERROR($J957/IF($A957&lt;COUNTIFS($K$1:Q$1,"&lt;&gt;"),0,SUMIFS($J:$J,$B:$B,$B957,$A:$A,"&gt;="&amp;COUNTIFS($K$1:Q$1,"&lt;&gt;"))),0)</f>
        <v>0</v>
      </c>
      <c r="R957">
        <f>IFERROR($J957/IF($A957&lt;COUNTIFS($K$1:R$1,"&lt;&gt;"),0,SUMIFS($J:$J,$B:$B,$B957,$A:$A,"&gt;="&amp;COUNTIFS($K$1:R$1,"&lt;&gt;"))),0)</f>
        <v>0</v>
      </c>
      <c r="S957">
        <f>IFERROR($J957/IF($A957&lt;COUNTIFS($K$1:S$1,"&lt;&gt;"),0,SUMIFS($J:$J,$B:$B,$B957,$A:$A,"&gt;="&amp;COUNTIFS($K$1:S$1,"&lt;&gt;"))),0)</f>
        <v>0</v>
      </c>
      <c r="T957">
        <f>IFERROR($J957/IF($A957&lt;COUNTIFS($K$1:T$1,"&lt;&gt;"),0,SUMIFS($J:$J,$B:$B,$B957,$A:$A,"&gt;="&amp;COUNTIFS($K$1:T$1,"&lt;&gt;"))),0)</f>
        <v>0</v>
      </c>
      <c r="U957">
        <f>IFERROR($J957/IF($A957&lt;COUNTIFS($K$1:U$1,"&lt;&gt;"),0,SUMIFS($J:$J,$B:$B,$B957,$A:$A,"&gt;="&amp;COUNTIFS($K$1:U$1,"&lt;&gt;"))),0)</f>
        <v>0</v>
      </c>
      <c r="V957">
        <f>IFERROR($J957/IF($A957&lt;COUNTIFS($K$1:V$1,"&lt;&gt;"),0,SUMIFS($J:$J,$B:$B,$B957,$A:$A,"&gt;="&amp;COUNTIFS($K$1:V$1,"&lt;&gt;"))),0)</f>
        <v>0</v>
      </c>
      <c r="W957">
        <f t="shared" si="332"/>
        <v>8.4931506849315067E-2</v>
      </c>
      <c r="X957">
        <f t="shared" si="312"/>
        <v>8.4931506849315067E-2</v>
      </c>
      <c r="Y957">
        <f t="shared" si="313"/>
        <v>8.4931506849315067E-2</v>
      </c>
      <c r="Z957">
        <f t="shared" si="314"/>
        <v>8.4931506849315067E-2</v>
      </c>
      <c r="AA957">
        <f t="shared" si="315"/>
        <v>8.4931506849315067E-2</v>
      </c>
      <c r="AB957">
        <f t="shared" si="316"/>
        <v>8.4931506849315067E-2</v>
      </c>
      <c r="AC957">
        <f t="shared" si="317"/>
        <v>8.4931506849315067E-2</v>
      </c>
      <c r="AD957">
        <f t="shared" si="318"/>
        <v>0</v>
      </c>
      <c r="AE957">
        <f t="shared" si="319"/>
        <v>0</v>
      </c>
      <c r="AF957">
        <f t="shared" si="320"/>
        <v>0</v>
      </c>
      <c r="AG957">
        <f t="shared" si="321"/>
        <v>0</v>
      </c>
      <c r="AH957">
        <f t="shared" si="322"/>
        <v>0</v>
      </c>
      <c r="AI957">
        <f t="shared" si="323"/>
        <v>0</v>
      </c>
      <c r="AJ957" s="2" t="str">
        <f t="shared" si="333"/>
        <v>646054</v>
      </c>
    </row>
    <row r="958" spans="1:36" x14ac:dyDescent="0.25">
      <c r="A958">
        <v>7</v>
      </c>
      <c r="B958" s="1">
        <v>46054</v>
      </c>
      <c r="C958" s="1">
        <f t="shared" si="324"/>
        <v>46266</v>
      </c>
      <c r="D958" s="1">
        <f t="shared" si="325"/>
        <v>46068</v>
      </c>
      <c r="E958" s="1">
        <f t="shared" si="326"/>
        <v>46266</v>
      </c>
      <c r="F958" s="1">
        <f t="shared" si="327"/>
        <v>46296</v>
      </c>
      <c r="G958" s="1">
        <f t="shared" si="328"/>
        <v>46433</v>
      </c>
      <c r="H958">
        <f t="shared" si="329"/>
        <v>365</v>
      </c>
      <c r="I958">
        <f t="shared" si="330"/>
        <v>30</v>
      </c>
      <c r="J958">
        <f t="shared" si="331"/>
        <v>8.2191780821917804E-2</v>
      </c>
      <c r="K958">
        <f>IFERROR($J958/IF($A958&lt;COUNTIFS($K$1:K$1,"&lt;&gt;"),0,SUMIFS($J:$J,$B:$B,$B958,$A:$A,"&gt;="&amp;COUNTIFS($K$1:K$1,"&lt;&gt;"))),0)</f>
        <v>8.5470085470085486E-2</v>
      </c>
      <c r="L958">
        <f>IFERROR($J958/IF($A958&lt;COUNTIFS($K$1:L$1,"&lt;&gt;"),0,SUMIFS($J:$J,$B:$B,$B958,$A:$A,"&gt;="&amp;COUNTIFS($K$1:L$1,"&lt;&gt;"))),0)</f>
        <v>9.3750000000000014E-2</v>
      </c>
      <c r="M958">
        <f>IFERROR($J958/IF($A958&lt;COUNTIFS($K$1:M$1,"&lt;&gt;"),0,SUMIFS($J:$J,$B:$B,$B958,$A:$A,"&gt;="&amp;COUNTIFS($K$1:M$1,"&lt;&gt;"))),0)</f>
        <v>0.10344827586206898</v>
      </c>
      <c r="N958">
        <f>IFERROR($J958/IF($A958&lt;COUNTIFS($K$1:N$1,"&lt;&gt;"),0,SUMIFS($J:$J,$B:$B,$B958,$A:$A,"&gt;="&amp;COUNTIFS($K$1:N$1,"&lt;&gt;"))),0)</f>
        <v>0.11583011583011585</v>
      </c>
      <c r="O958">
        <f>IFERROR($J958/IF($A958&lt;COUNTIFS($K$1:O$1,"&lt;&gt;"),0,SUMIFS($J:$J,$B:$B,$B958,$A:$A,"&gt;="&amp;COUNTIFS($K$1:O$1,"&lt;&gt;"))),0)</f>
        <v>0.1310043668122271</v>
      </c>
      <c r="P958">
        <f>IFERROR($J958/IF($A958&lt;COUNTIFS($K$1:P$1,"&lt;&gt;"),0,SUMIFS($J:$J,$B:$B,$B958,$A:$A,"&gt;="&amp;COUNTIFS($K$1:P$1,"&lt;&gt;"))),0)</f>
        <v>0.15151515151515155</v>
      </c>
      <c r="Q958">
        <f>IFERROR($J958/IF($A958&lt;COUNTIFS($K$1:Q$1,"&lt;&gt;"),0,SUMIFS($J:$J,$B:$B,$B958,$A:$A,"&gt;="&amp;COUNTIFS($K$1:Q$1,"&lt;&gt;"))),0)</f>
        <v>0.17964071856287425</v>
      </c>
      <c r="R958">
        <f>IFERROR($J958/IF($A958&lt;COUNTIFS($K$1:R$1,"&lt;&gt;"),0,SUMIFS($J:$J,$B:$B,$B958,$A:$A,"&gt;="&amp;COUNTIFS($K$1:R$1,"&lt;&gt;"))),0)</f>
        <v>0</v>
      </c>
      <c r="S958">
        <f>IFERROR($J958/IF($A958&lt;COUNTIFS($K$1:S$1,"&lt;&gt;"),0,SUMIFS($J:$J,$B:$B,$B958,$A:$A,"&gt;="&amp;COUNTIFS($K$1:S$1,"&lt;&gt;"))),0)</f>
        <v>0</v>
      </c>
      <c r="T958">
        <f>IFERROR($J958/IF($A958&lt;COUNTIFS($K$1:T$1,"&lt;&gt;"),0,SUMIFS($J:$J,$B:$B,$B958,$A:$A,"&gt;="&amp;COUNTIFS($K$1:T$1,"&lt;&gt;"))),0)</f>
        <v>0</v>
      </c>
      <c r="U958">
        <f>IFERROR($J958/IF($A958&lt;COUNTIFS($K$1:U$1,"&lt;&gt;"),0,SUMIFS($J:$J,$B:$B,$B958,$A:$A,"&gt;="&amp;COUNTIFS($K$1:U$1,"&lt;&gt;"))),0)</f>
        <v>0</v>
      </c>
      <c r="V958">
        <f>IFERROR($J958/IF($A958&lt;COUNTIFS($K$1:V$1,"&lt;&gt;"),0,SUMIFS($J:$J,$B:$B,$B958,$A:$A,"&gt;="&amp;COUNTIFS($K$1:V$1,"&lt;&gt;"))),0)</f>
        <v>0</v>
      </c>
      <c r="W958">
        <f t="shared" si="332"/>
        <v>8.2191780821917804E-2</v>
      </c>
      <c r="X958">
        <f t="shared" si="312"/>
        <v>8.2191780821917804E-2</v>
      </c>
      <c r="Y958">
        <f t="shared" si="313"/>
        <v>8.2191780821917804E-2</v>
      </c>
      <c r="Z958">
        <f t="shared" si="314"/>
        <v>8.2191780821917804E-2</v>
      </c>
      <c r="AA958">
        <f t="shared" si="315"/>
        <v>8.2191780821917804E-2</v>
      </c>
      <c r="AB958">
        <f t="shared" si="316"/>
        <v>8.2191780821917804E-2</v>
      </c>
      <c r="AC958">
        <f t="shared" si="317"/>
        <v>8.2191780821917804E-2</v>
      </c>
      <c r="AD958">
        <f t="shared" si="318"/>
        <v>8.2191780821917804E-2</v>
      </c>
      <c r="AE958">
        <f t="shared" si="319"/>
        <v>0</v>
      </c>
      <c r="AF958">
        <f t="shared" si="320"/>
        <v>0</v>
      </c>
      <c r="AG958">
        <f t="shared" si="321"/>
        <v>0</v>
      </c>
      <c r="AH958">
        <f t="shared" si="322"/>
        <v>0</v>
      </c>
      <c r="AI958">
        <f t="shared" si="323"/>
        <v>0</v>
      </c>
      <c r="AJ958" s="2" t="str">
        <f t="shared" si="333"/>
        <v>746054</v>
      </c>
    </row>
    <row r="959" spans="1:36" x14ac:dyDescent="0.25">
      <c r="A959">
        <v>8</v>
      </c>
      <c r="B959" s="1">
        <v>46054</v>
      </c>
      <c r="C959" s="1">
        <f t="shared" si="324"/>
        <v>46296</v>
      </c>
      <c r="D959" s="1">
        <f t="shared" si="325"/>
        <v>46068</v>
      </c>
      <c r="E959" s="1">
        <f t="shared" si="326"/>
        <v>46296</v>
      </c>
      <c r="F959" s="1">
        <f t="shared" si="327"/>
        <v>46327</v>
      </c>
      <c r="G959" s="1">
        <f t="shared" si="328"/>
        <v>46433</v>
      </c>
      <c r="H959">
        <f t="shared" si="329"/>
        <v>365</v>
      </c>
      <c r="I959">
        <f t="shared" si="330"/>
        <v>31</v>
      </c>
      <c r="J959">
        <f t="shared" si="331"/>
        <v>8.4931506849315067E-2</v>
      </c>
      <c r="K959">
        <f>IFERROR($J959/IF($A959&lt;COUNTIFS($K$1:K$1,"&lt;&gt;"),0,SUMIFS($J:$J,$B:$B,$B959,$A:$A,"&gt;="&amp;COUNTIFS($K$1:K$1,"&lt;&gt;"))),0)</f>
        <v>8.8319088319088329E-2</v>
      </c>
      <c r="L959">
        <f>IFERROR($J959/IF($A959&lt;COUNTIFS($K$1:L$1,"&lt;&gt;"),0,SUMIFS($J:$J,$B:$B,$B959,$A:$A,"&gt;="&amp;COUNTIFS($K$1:L$1,"&lt;&gt;"))),0)</f>
        <v>9.6875000000000017E-2</v>
      </c>
      <c r="M959">
        <f>IFERROR($J959/IF($A959&lt;COUNTIFS($K$1:M$1,"&lt;&gt;"),0,SUMIFS($J:$J,$B:$B,$B959,$A:$A,"&gt;="&amp;COUNTIFS($K$1:M$1,"&lt;&gt;"))),0)</f>
        <v>0.10689655172413795</v>
      </c>
      <c r="N959">
        <f>IFERROR($J959/IF($A959&lt;COUNTIFS($K$1:N$1,"&lt;&gt;"),0,SUMIFS($J:$J,$B:$B,$B959,$A:$A,"&gt;="&amp;COUNTIFS($K$1:N$1,"&lt;&gt;"))),0)</f>
        <v>0.11969111969111972</v>
      </c>
      <c r="O959">
        <f>IFERROR($J959/IF($A959&lt;COUNTIFS($K$1:O$1,"&lt;&gt;"),0,SUMIFS($J:$J,$B:$B,$B959,$A:$A,"&gt;="&amp;COUNTIFS($K$1:O$1,"&lt;&gt;"))),0)</f>
        <v>0.13537117903930135</v>
      </c>
      <c r="P959">
        <f>IFERROR($J959/IF($A959&lt;COUNTIFS($K$1:P$1,"&lt;&gt;"),0,SUMIFS($J:$J,$B:$B,$B959,$A:$A,"&gt;="&amp;COUNTIFS($K$1:P$1,"&lt;&gt;"))),0)</f>
        <v>0.1565656565656566</v>
      </c>
      <c r="Q959">
        <f>IFERROR($J959/IF($A959&lt;COUNTIFS($K$1:Q$1,"&lt;&gt;"),0,SUMIFS($J:$J,$B:$B,$B959,$A:$A,"&gt;="&amp;COUNTIFS($K$1:Q$1,"&lt;&gt;"))),0)</f>
        <v>0.18562874251497008</v>
      </c>
      <c r="R959">
        <f>IFERROR($J959/IF($A959&lt;COUNTIFS($K$1:R$1,"&lt;&gt;"),0,SUMIFS($J:$J,$B:$B,$B959,$A:$A,"&gt;="&amp;COUNTIFS($K$1:R$1,"&lt;&gt;"))),0)</f>
        <v>0.22627737226277375</v>
      </c>
      <c r="S959">
        <f>IFERROR($J959/IF($A959&lt;COUNTIFS($K$1:S$1,"&lt;&gt;"),0,SUMIFS($J:$J,$B:$B,$B959,$A:$A,"&gt;="&amp;COUNTIFS($K$1:S$1,"&lt;&gt;"))),0)</f>
        <v>0</v>
      </c>
      <c r="T959">
        <f>IFERROR($J959/IF($A959&lt;COUNTIFS($K$1:T$1,"&lt;&gt;"),0,SUMIFS($J:$J,$B:$B,$B959,$A:$A,"&gt;="&amp;COUNTIFS($K$1:T$1,"&lt;&gt;"))),0)</f>
        <v>0</v>
      </c>
      <c r="U959">
        <f>IFERROR($J959/IF($A959&lt;COUNTIFS($K$1:U$1,"&lt;&gt;"),0,SUMIFS($J:$J,$B:$B,$B959,$A:$A,"&gt;="&amp;COUNTIFS($K$1:U$1,"&lt;&gt;"))),0)</f>
        <v>0</v>
      </c>
      <c r="V959">
        <f>IFERROR($J959/IF($A959&lt;COUNTIFS($K$1:V$1,"&lt;&gt;"),0,SUMIFS($J:$J,$B:$B,$B959,$A:$A,"&gt;="&amp;COUNTIFS($K$1:V$1,"&lt;&gt;"))),0)</f>
        <v>0</v>
      </c>
      <c r="W959">
        <f t="shared" si="332"/>
        <v>8.4931506849315067E-2</v>
      </c>
      <c r="X959">
        <f t="shared" si="312"/>
        <v>8.4931506849315067E-2</v>
      </c>
      <c r="Y959">
        <f t="shared" si="313"/>
        <v>8.4931506849315067E-2</v>
      </c>
      <c r="Z959">
        <f t="shared" si="314"/>
        <v>8.4931506849315067E-2</v>
      </c>
      <c r="AA959">
        <f t="shared" si="315"/>
        <v>8.4931506849315067E-2</v>
      </c>
      <c r="AB959">
        <f t="shared" si="316"/>
        <v>8.4931506849315067E-2</v>
      </c>
      <c r="AC959">
        <f t="shared" si="317"/>
        <v>8.4931506849315067E-2</v>
      </c>
      <c r="AD959">
        <f t="shared" si="318"/>
        <v>8.4931506849315067E-2</v>
      </c>
      <c r="AE959">
        <f t="shared" si="319"/>
        <v>8.4931506849315067E-2</v>
      </c>
      <c r="AF959">
        <f t="shared" si="320"/>
        <v>0</v>
      </c>
      <c r="AG959">
        <f t="shared" si="321"/>
        <v>0</v>
      </c>
      <c r="AH959">
        <f t="shared" si="322"/>
        <v>0</v>
      </c>
      <c r="AI959">
        <f t="shared" si="323"/>
        <v>0</v>
      </c>
      <c r="AJ959" s="2" t="str">
        <f t="shared" si="333"/>
        <v>846054</v>
      </c>
    </row>
    <row r="960" spans="1:36" x14ac:dyDescent="0.25">
      <c r="A960">
        <v>9</v>
      </c>
      <c r="B960" s="1">
        <v>46054</v>
      </c>
      <c r="C960" s="1">
        <f t="shared" si="324"/>
        <v>46327</v>
      </c>
      <c r="D960" s="1">
        <f t="shared" si="325"/>
        <v>46068</v>
      </c>
      <c r="E960" s="1">
        <f t="shared" si="326"/>
        <v>46327</v>
      </c>
      <c r="F960" s="1">
        <f t="shared" si="327"/>
        <v>46357</v>
      </c>
      <c r="G960" s="1">
        <f t="shared" si="328"/>
        <v>46433</v>
      </c>
      <c r="H960">
        <f t="shared" si="329"/>
        <v>365</v>
      </c>
      <c r="I960">
        <f t="shared" si="330"/>
        <v>30</v>
      </c>
      <c r="J960">
        <f t="shared" si="331"/>
        <v>8.2191780821917804E-2</v>
      </c>
      <c r="K960">
        <f>IFERROR($J960/IF($A960&lt;COUNTIFS($K$1:K$1,"&lt;&gt;"),0,SUMIFS($J:$J,$B:$B,$B960,$A:$A,"&gt;="&amp;COUNTIFS($K$1:K$1,"&lt;&gt;"))),0)</f>
        <v>8.5470085470085486E-2</v>
      </c>
      <c r="L960">
        <f>IFERROR($J960/IF($A960&lt;COUNTIFS($K$1:L$1,"&lt;&gt;"),0,SUMIFS($J:$J,$B:$B,$B960,$A:$A,"&gt;="&amp;COUNTIFS($K$1:L$1,"&lt;&gt;"))),0)</f>
        <v>9.3750000000000014E-2</v>
      </c>
      <c r="M960">
        <f>IFERROR($J960/IF($A960&lt;COUNTIFS($K$1:M$1,"&lt;&gt;"),0,SUMIFS($J:$J,$B:$B,$B960,$A:$A,"&gt;="&amp;COUNTIFS($K$1:M$1,"&lt;&gt;"))),0)</f>
        <v>0.10344827586206898</v>
      </c>
      <c r="N960">
        <f>IFERROR($J960/IF($A960&lt;COUNTIFS($K$1:N$1,"&lt;&gt;"),0,SUMIFS($J:$J,$B:$B,$B960,$A:$A,"&gt;="&amp;COUNTIFS($K$1:N$1,"&lt;&gt;"))),0)</f>
        <v>0.11583011583011585</v>
      </c>
      <c r="O960">
        <f>IFERROR($J960/IF($A960&lt;COUNTIFS($K$1:O$1,"&lt;&gt;"),0,SUMIFS($J:$J,$B:$B,$B960,$A:$A,"&gt;="&amp;COUNTIFS($K$1:O$1,"&lt;&gt;"))),0)</f>
        <v>0.1310043668122271</v>
      </c>
      <c r="P960">
        <f>IFERROR($J960/IF($A960&lt;COUNTIFS($K$1:P$1,"&lt;&gt;"),0,SUMIFS($J:$J,$B:$B,$B960,$A:$A,"&gt;="&amp;COUNTIFS($K$1:P$1,"&lt;&gt;"))),0)</f>
        <v>0.15151515151515155</v>
      </c>
      <c r="Q960">
        <f>IFERROR($J960/IF($A960&lt;COUNTIFS($K$1:Q$1,"&lt;&gt;"),0,SUMIFS($J:$J,$B:$B,$B960,$A:$A,"&gt;="&amp;COUNTIFS($K$1:Q$1,"&lt;&gt;"))),0)</f>
        <v>0.17964071856287425</v>
      </c>
      <c r="R960">
        <f>IFERROR($J960/IF($A960&lt;COUNTIFS($K$1:R$1,"&lt;&gt;"),0,SUMIFS($J:$J,$B:$B,$B960,$A:$A,"&gt;="&amp;COUNTIFS($K$1:R$1,"&lt;&gt;"))),0)</f>
        <v>0.21897810218978103</v>
      </c>
      <c r="S960">
        <f>IFERROR($J960/IF($A960&lt;COUNTIFS($K$1:S$1,"&lt;&gt;"),0,SUMIFS($J:$J,$B:$B,$B960,$A:$A,"&gt;="&amp;COUNTIFS($K$1:S$1,"&lt;&gt;"))),0)</f>
        <v>0.28301886792452829</v>
      </c>
      <c r="T960">
        <f>IFERROR($J960/IF($A960&lt;COUNTIFS($K$1:T$1,"&lt;&gt;"),0,SUMIFS($J:$J,$B:$B,$B960,$A:$A,"&gt;="&amp;COUNTIFS($K$1:T$1,"&lt;&gt;"))),0)</f>
        <v>0</v>
      </c>
      <c r="U960">
        <f>IFERROR($J960/IF($A960&lt;COUNTIFS($K$1:U$1,"&lt;&gt;"),0,SUMIFS($J:$J,$B:$B,$B960,$A:$A,"&gt;="&amp;COUNTIFS($K$1:U$1,"&lt;&gt;"))),0)</f>
        <v>0</v>
      </c>
      <c r="V960">
        <f>IFERROR($J960/IF($A960&lt;COUNTIFS($K$1:V$1,"&lt;&gt;"),0,SUMIFS($J:$J,$B:$B,$B960,$A:$A,"&gt;="&amp;COUNTIFS($K$1:V$1,"&lt;&gt;"))),0)</f>
        <v>0</v>
      </c>
      <c r="W960">
        <f t="shared" si="332"/>
        <v>8.2191780821917804E-2</v>
      </c>
      <c r="X960">
        <f t="shared" si="312"/>
        <v>8.2191780821917804E-2</v>
      </c>
      <c r="Y960">
        <f t="shared" si="313"/>
        <v>8.2191780821917804E-2</v>
      </c>
      <c r="Z960">
        <f t="shared" si="314"/>
        <v>8.2191780821917804E-2</v>
      </c>
      <c r="AA960">
        <f t="shared" si="315"/>
        <v>8.2191780821917804E-2</v>
      </c>
      <c r="AB960">
        <f t="shared" si="316"/>
        <v>8.2191780821917804E-2</v>
      </c>
      <c r="AC960">
        <f t="shared" si="317"/>
        <v>8.2191780821917804E-2</v>
      </c>
      <c r="AD960">
        <f t="shared" si="318"/>
        <v>8.2191780821917804E-2</v>
      </c>
      <c r="AE960">
        <f t="shared" si="319"/>
        <v>8.2191780821917804E-2</v>
      </c>
      <c r="AF960">
        <f t="shared" si="320"/>
        <v>8.2191780821917804E-2</v>
      </c>
      <c r="AG960">
        <f t="shared" si="321"/>
        <v>0</v>
      </c>
      <c r="AH960">
        <f t="shared" si="322"/>
        <v>0</v>
      </c>
      <c r="AI960">
        <f t="shared" si="323"/>
        <v>0</v>
      </c>
      <c r="AJ960" s="2" t="str">
        <f t="shared" si="333"/>
        <v>946054</v>
      </c>
    </row>
    <row r="961" spans="1:36" x14ac:dyDescent="0.25">
      <c r="A961">
        <v>10</v>
      </c>
      <c r="B961" s="1">
        <v>46054</v>
      </c>
      <c r="C961" s="1">
        <f t="shared" si="324"/>
        <v>46357</v>
      </c>
      <c r="D961" s="1">
        <f t="shared" si="325"/>
        <v>46068</v>
      </c>
      <c r="E961" s="1">
        <f t="shared" si="326"/>
        <v>46357</v>
      </c>
      <c r="F961" s="1">
        <f t="shared" si="327"/>
        <v>46388</v>
      </c>
      <c r="G961" s="1">
        <f t="shared" si="328"/>
        <v>46433</v>
      </c>
      <c r="H961">
        <f t="shared" si="329"/>
        <v>365</v>
      </c>
      <c r="I961">
        <f t="shared" si="330"/>
        <v>31</v>
      </c>
      <c r="J961">
        <f t="shared" si="331"/>
        <v>8.4931506849315067E-2</v>
      </c>
      <c r="K961">
        <f>IFERROR($J961/IF($A961&lt;COUNTIFS($K$1:K$1,"&lt;&gt;"),0,SUMIFS($J:$J,$B:$B,$B961,$A:$A,"&gt;="&amp;COUNTIFS($K$1:K$1,"&lt;&gt;"))),0)</f>
        <v>8.8319088319088329E-2</v>
      </c>
      <c r="L961">
        <f>IFERROR($J961/IF($A961&lt;COUNTIFS($K$1:L$1,"&lt;&gt;"),0,SUMIFS($J:$J,$B:$B,$B961,$A:$A,"&gt;="&amp;COUNTIFS($K$1:L$1,"&lt;&gt;"))),0)</f>
        <v>9.6875000000000017E-2</v>
      </c>
      <c r="M961">
        <f>IFERROR($J961/IF($A961&lt;COUNTIFS($K$1:M$1,"&lt;&gt;"),0,SUMIFS($J:$J,$B:$B,$B961,$A:$A,"&gt;="&amp;COUNTIFS($K$1:M$1,"&lt;&gt;"))),0)</f>
        <v>0.10689655172413795</v>
      </c>
      <c r="N961">
        <f>IFERROR($J961/IF($A961&lt;COUNTIFS($K$1:N$1,"&lt;&gt;"),0,SUMIFS($J:$J,$B:$B,$B961,$A:$A,"&gt;="&amp;COUNTIFS($K$1:N$1,"&lt;&gt;"))),0)</f>
        <v>0.11969111969111972</v>
      </c>
      <c r="O961">
        <f>IFERROR($J961/IF($A961&lt;COUNTIFS($K$1:O$1,"&lt;&gt;"),0,SUMIFS($J:$J,$B:$B,$B961,$A:$A,"&gt;="&amp;COUNTIFS($K$1:O$1,"&lt;&gt;"))),0)</f>
        <v>0.13537117903930135</v>
      </c>
      <c r="P961">
        <f>IFERROR($J961/IF($A961&lt;COUNTIFS($K$1:P$1,"&lt;&gt;"),0,SUMIFS($J:$J,$B:$B,$B961,$A:$A,"&gt;="&amp;COUNTIFS($K$1:P$1,"&lt;&gt;"))),0)</f>
        <v>0.1565656565656566</v>
      </c>
      <c r="Q961">
        <f>IFERROR($J961/IF($A961&lt;COUNTIFS($K$1:Q$1,"&lt;&gt;"),0,SUMIFS($J:$J,$B:$B,$B961,$A:$A,"&gt;="&amp;COUNTIFS($K$1:Q$1,"&lt;&gt;"))),0)</f>
        <v>0.18562874251497008</v>
      </c>
      <c r="R961">
        <f>IFERROR($J961/IF($A961&lt;COUNTIFS($K$1:R$1,"&lt;&gt;"),0,SUMIFS($J:$J,$B:$B,$B961,$A:$A,"&gt;="&amp;COUNTIFS($K$1:R$1,"&lt;&gt;"))),0)</f>
        <v>0.22627737226277375</v>
      </c>
      <c r="S961">
        <f>IFERROR($J961/IF($A961&lt;COUNTIFS($K$1:S$1,"&lt;&gt;"),0,SUMIFS($J:$J,$B:$B,$B961,$A:$A,"&gt;="&amp;COUNTIFS($K$1:S$1,"&lt;&gt;"))),0)</f>
        <v>0.29245283018867929</v>
      </c>
      <c r="T961">
        <f>IFERROR($J961/IF($A961&lt;COUNTIFS($K$1:T$1,"&lt;&gt;"),0,SUMIFS($J:$J,$B:$B,$B961,$A:$A,"&gt;="&amp;COUNTIFS($K$1:T$1,"&lt;&gt;"))),0)</f>
        <v>0.40789473684210525</v>
      </c>
      <c r="U961">
        <f>IFERROR($J961/IF($A961&lt;COUNTIFS($K$1:U$1,"&lt;&gt;"),0,SUMIFS($J:$J,$B:$B,$B961,$A:$A,"&gt;="&amp;COUNTIFS($K$1:U$1,"&lt;&gt;"))),0)</f>
        <v>0</v>
      </c>
      <c r="V961">
        <f>IFERROR($J961/IF($A961&lt;COUNTIFS($K$1:V$1,"&lt;&gt;"),0,SUMIFS($J:$J,$B:$B,$B961,$A:$A,"&gt;="&amp;COUNTIFS($K$1:V$1,"&lt;&gt;"))),0)</f>
        <v>0</v>
      </c>
      <c r="W961">
        <f t="shared" si="332"/>
        <v>8.4931506849315067E-2</v>
      </c>
      <c r="X961">
        <f t="shared" si="312"/>
        <v>8.4931506849315067E-2</v>
      </c>
      <c r="Y961">
        <f t="shared" si="313"/>
        <v>8.4931506849315067E-2</v>
      </c>
      <c r="Z961">
        <f t="shared" si="314"/>
        <v>8.4931506849315067E-2</v>
      </c>
      <c r="AA961">
        <f t="shared" si="315"/>
        <v>8.4931506849315067E-2</v>
      </c>
      <c r="AB961">
        <f t="shared" si="316"/>
        <v>8.4931506849315067E-2</v>
      </c>
      <c r="AC961">
        <f t="shared" si="317"/>
        <v>8.4931506849315067E-2</v>
      </c>
      <c r="AD961">
        <f t="shared" si="318"/>
        <v>8.4931506849315067E-2</v>
      </c>
      <c r="AE961">
        <f t="shared" si="319"/>
        <v>8.4931506849315067E-2</v>
      </c>
      <c r="AF961">
        <f t="shared" si="320"/>
        <v>8.4931506849315067E-2</v>
      </c>
      <c r="AG961">
        <f t="shared" si="321"/>
        <v>8.4931506849315067E-2</v>
      </c>
      <c r="AH961">
        <f t="shared" si="322"/>
        <v>0</v>
      </c>
      <c r="AI961">
        <f t="shared" si="323"/>
        <v>0</v>
      </c>
      <c r="AJ961" s="2" t="str">
        <f t="shared" si="333"/>
        <v>1046054</v>
      </c>
    </row>
    <row r="962" spans="1:36" x14ac:dyDescent="0.25">
      <c r="A962">
        <v>11</v>
      </c>
      <c r="B962" s="1">
        <v>46054</v>
      </c>
      <c r="C962" s="1">
        <f t="shared" si="324"/>
        <v>46388</v>
      </c>
      <c r="D962" s="1">
        <f t="shared" si="325"/>
        <v>46068</v>
      </c>
      <c r="E962" s="1">
        <f t="shared" si="326"/>
        <v>46388</v>
      </c>
      <c r="F962" s="1">
        <f t="shared" si="327"/>
        <v>46419</v>
      </c>
      <c r="G962" s="1">
        <f t="shared" si="328"/>
        <v>46433</v>
      </c>
      <c r="H962">
        <f t="shared" si="329"/>
        <v>365</v>
      </c>
      <c r="I962">
        <f t="shared" si="330"/>
        <v>31</v>
      </c>
      <c r="J962">
        <f t="shared" si="331"/>
        <v>8.4931506849315067E-2</v>
      </c>
      <c r="K962">
        <f>IFERROR($J962/IF($A962&lt;COUNTIFS($K$1:K$1,"&lt;&gt;"),0,SUMIFS($J:$J,$B:$B,$B962,$A:$A,"&gt;="&amp;COUNTIFS($K$1:K$1,"&lt;&gt;"))),0)</f>
        <v>8.8319088319088329E-2</v>
      </c>
      <c r="L962">
        <f>IFERROR($J962/IF($A962&lt;COUNTIFS($K$1:L$1,"&lt;&gt;"),0,SUMIFS($J:$J,$B:$B,$B962,$A:$A,"&gt;="&amp;COUNTIFS($K$1:L$1,"&lt;&gt;"))),0)</f>
        <v>9.6875000000000017E-2</v>
      </c>
      <c r="M962">
        <f>IFERROR($J962/IF($A962&lt;COUNTIFS($K$1:M$1,"&lt;&gt;"),0,SUMIFS($J:$J,$B:$B,$B962,$A:$A,"&gt;="&amp;COUNTIFS($K$1:M$1,"&lt;&gt;"))),0)</f>
        <v>0.10689655172413795</v>
      </c>
      <c r="N962">
        <f>IFERROR($J962/IF($A962&lt;COUNTIFS($K$1:N$1,"&lt;&gt;"),0,SUMIFS($J:$J,$B:$B,$B962,$A:$A,"&gt;="&amp;COUNTIFS($K$1:N$1,"&lt;&gt;"))),0)</f>
        <v>0.11969111969111972</v>
      </c>
      <c r="O962">
        <f>IFERROR($J962/IF($A962&lt;COUNTIFS($K$1:O$1,"&lt;&gt;"),0,SUMIFS($J:$J,$B:$B,$B962,$A:$A,"&gt;="&amp;COUNTIFS($K$1:O$1,"&lt;&gt;"))),0)</f>
        <v>0.13537117903930135</v>
      </c>
      <c r="P962">
        <f>IFERROR($J962/IF($A962&lt;COUNTIFS($K$1:P$1,"&lt;&gt;"),0,SUMIFS($J:$J,$B:$B,$B962,$A:$A,"&gt;="&amp;COUNTIFS($K$1:P$1,"&lt;&gt;"))),0)</f>
        <v>0.1565656565656566</v>
      </c>
      <c r="Q962">
        <f>IFERROR($J962/IF($A962&lt;COUNTIFS($K$1:Q$1,"&lt;&gt;"),0,SUMIFS($J:$J,$B:$B,$B962,$A:$A,"&gt;="&amp;COUNTIFS($K$1:Q$1,"&lt;&gt;"))),0)</f>
        <v>0.18562874251497008</v>
      </c>
      <c r="R962">
        <f>IFERROR($J962/IF($A962&lt;COUNTIFS($K$1:R$1,"&lt;&gt;"),0,SUMIFS($J:$J,$B:$B,$B962,$A:$A,"&gt;="&amp;COUNTIFS($K$1:R$1,"&lt;&gt;"))),0)</f>
        <v>0.22627737226277375</v>
      </c>
      <c r="S962">
        <f>IFERROR($J962/IF($A962&lt;COUNTIFS($K$1:S$1,"&lt;&gt;"),0,SUMIFS($J:$J,$B:$B,$B962,$A:$A,"&gt;="&amp;COUNTIFS($K$1:S$1,"&lt;&gt;"))),0)</f>
        <v>0.29245283018867929</v>
      </c>
      <c r="T962">
        <f>IFERROR($J962/IF($A962&lt;COUNTIFS($K$1:T$1,"&lt;&gt;"),0,SUMIFS($J:$J,$B:$B,$B962,$A:$A,"&gt;="&amp;COUNTIFS($K$1:T$1,"&lt;&gt;"))),0)</f>
        <v>0.40789473684210525</v>
      </c>
      <c r="U962">
        <f>IFERROR($J962/IF($A962&lt;COUNTIFS($K$1:U$1,"&lt;&gt;"),0,SUMIFS($J:$J,$B:$B,$B962,$A:$A,"&gt;="&amp;COUNTIFS($K$1:U$1,"&lt;&gt;"))),0)</f>
        <v>0.68888888888888888</v>
      </c>
      <c r="V962">
        <f>IFERROR($J962/IF($A962&lt;COUNTIFS($K$1:V$1,"&lt;&gt;"),0,SUMIFS($J:$J,$B:$B,$B962,$A:$A,"&gt;="&amp;COUNTIFS($K$1:V$1,"&lt;&gt;"))),0)</f>
        <v>0</v>
      </c>
      <c r="W962">
        <f t="shared" si="332"/>
        <v>8.4931506849315067E-2</v>
      </c>
      <c r="X962">
        <f t="shared" ref="X962:X1025" si="334">IF(K962=0,0,$J962)</f>
        <v>8.4931506849315067E-2</v>
      </c>
      <c r="Y962">
        <f t="shared" ref="Y962:Y1025" si="335">IF(L962=0,0,$J962)</f>
        <v>8.4931506849315067E-2</v>
      </c>
      <c r="Z962">
        <f t="shared" ref="Z962:Z1025" si="336">IF(M962=0,0,$J962)</f>
        <v>8.4931506849315067E-2</v>
      </c>
      <c r="AA962">
        <f t="shared" ref="AA962:AA1025" si="337">IF(N962=0,0,$J962)</f>
        <v>8.4931506849315067E-2</v>
      </c>
      <c r="AB962">
        <f t="shared" ref="AB962:AB1025" si="338">IF(O962=0,0,$J962)</f>
        <v>8.4931506849315067E-2</v>
      </c>
      <c r="AC962">
        <f t="shared" ref="AC962:AC1025" si="339">IF(P962=0,0,$J962)</f>
        <v>8.4931506849315067E-2</v>
      </c>
      <c r="AD962">
        <f t="shared" ref="AD962:AD1025" si="340">IF(Q962=0,0,$J962)</f>
        <v>8.4931506849315067E-2</v>
      </c>
      <c r="AE962">
        <f t="shared" ref="AE962:AE1025" si="341">IF(R962=0,0,$J962)</f>
        <v>8.4931506849315067E-2</v>
      </c>
      <c r="AF962">
        <f t="shared" ref="AF962:AF1025" si="342">IF(S962=0,0,$J962)</f>
        <v>8.4931506849315067E-2</v>
      </c>
      <c r="AG962">
        <f t="shared" ref="AG962:AG1025" si="343">IF(T962=0,0,$J962)</f>
        <v>8.4931506849315067E-2</v>
      </c>
      <c r="AH962">
        <f t="shared" ref="AH962:AH1025" si="344">IF(U962=0,0,$J962)</f>
        <v>8.4931506849315067E-2</v>
      </c>
      <c r="AI962">
        <f t="shared" ref="AI962:AI1025" si="345">IF(V962=0,0,$J962)</f>
        <v>0</v>
      </c>
      <c r="AJ962" s="2" t="str">
        <f t="shared" si="333"/>
        <v>1146054</v>
      </c>
    </row>
    <row r="963" spans="1:36" x14ac:dyDescent="0.25">
      <c r="A963">
        <v>12</v>
      </c>
      <c r="B963" s="1">
        <v>46054</v>
      </c>
      <c r="C963" s="1">
        <f t="shared" ref="C963:C1026" si="346">EDATE(B963,A963)</f>
        <v>46419</v>
      </c>
      <c r="D963" s="1">
        <f t="shared" ref="D963:D1026" si="347">B963+14</f>
        <v>46068</v>
      </c>
      <c r="E963" s="1">
        <f t="shared" ref="E963:E1026" si="348">IF($A963=0,C963+14,C963)</f>
        <v>46419</v>
      </c>
      <c r="F963" s="1">
        <f t="shared" ref="F963:F1026" si="349">IF(EDATE(C963,1)&gt;G963,G963,EDATE(C963,1))</f>
        <v>46433</v>
      </c>
      <c r="G963" s="1">
        <f t="shared" ref="G963:G1026" si="350">EDATE(D963,12)</f>
        <v>46433</v>
      </c>
      <c r="H963">
        <f t="shared" ref="H963:H1026" si="351">G963-D963</f>
        <v>365</v>
      </c>
      <c r="I963">
        <f t="shared" ref="I963:I1026" si="352">F963-E963</f>
        <v>14</v>
      </c>
      <c r="J963">
        <f t="shared" ref="J963:J1026" si="353">I963/H963</f>
        <v>3.8356164383561646E-2</v>
      </c>
      <c r="K963">
        <f>IFERROR($J963/IF($A963&lt;COUNTIFS($K$1:K$1,"&lt;&gt;"),0,SUMIFS($J:$J,$B:$B,$B963,$A:$A,"&gt;="&amp;COUNTIFS($K$1:K$1,"&lt;&gt;"))),0)</f>
        <v>3.9886039886039892E-2</v>
      </c>
      <c r="L963">
        <f>IFERROR($J963/IF($A963&lt;COUNTIFS($K$1:L$1,"&lt;&gt;"),0,SUMIFS($J:$J,$B:$B,$B963,$A:$A,"&gt;="&amp;COUNTIFS($K$1:L$1,"&lt;&gt;"))),0)</f>
        <v>4.3750000000000011E-2</v>
      </c>
      <c r="M963">
        <f>IFERROR($J963/IF($A963&lt;COUNTIFS($K$1:M$1,"&lt;&gt;"),0,SUMIFS($J:$J,$B:$B,$B963,$A:$A,"&gt;="&amp;COUNTIFS($K$1:M$1,"&lt;&gt;"))),0)</f>
        <v>4.827586206896553E-2</v>
      </c>
      <c r="N963">
        <f>IFERROR($J963/IF($A963&lt;COUNTIFS($K$1:N$1,"&lt;&gt;"),0,SUMIFS($J:$J,$B:$B,$B963,$A:$A,"&gt;="&amp;COUNTIFS($K$1:N$1,"&lt;&gt;"))),0)</f>
        <v>5.4054054054054071E-2</v>
      </c>
      <c r="O963">
        <f>IFERROR($J963/IF($A963&lt;COUNTIFS($K$1:O$1,"&lt;&gt;"),0,SUMIFS($J:$J,$B:$B,$B963,$A:$A,"&gt;="&amp;COUNTIFS($K$1:O$1,"&lt;&gt;"))),0)</f>
        <v>6.1135371179039319E-2</v>
      </c>
      <c r="P963">
        <f>IFERROR($J963/IF($A963&lt;COUNTIFS($K$1:P$1,"&lt;&gt;"),0,SUMIFS($J:$J,$B:$B,$B963,$A:$A,"&gt;="&amp;COUNTIFS($K$1:P$1,"&lt;&gt;"))),0)</f>
        <v>7.0707070707070732E-2</v>
      </c>
      <c r="Q963">
        <f>IFERROR($J963/IF($A963&lt;COUNTIFS($K$1:Q$1,"&lt;&gt;"),0,SUMIFS($J:$J,$B:$B,$B963,$A:$A,"&gt;="&amp;COUNTIFS($K$1:Q$1,"&lt;&gt;"))),0)</f>
        <v>8.3832335329341326E-2</v>
      </c>
      <c r="R963">
        <f>IFERROR($J963/IF($A963&lt;COUNTIFS($K$1:R$1,"&lt;&gt;"),0,SUMIFS($J:$J,$B:$B,$B963,$A:$A,"&gt;="&amp;COUNTIFS($K$1:R$1,"&lt;&gt;"))),0)</f>
        <v>0.10218978102189782</v>
      </c>
      <c r="S963">
        <f>IFERROR($J963/IF($A963&lt;COUNTIFS($K$1:S$1,"&lt;&gt;"),0,SUMIFS($J:$J,$B:$B,$B963,$A:$A,"&gt;="&amp;COUNTIFS($K$1:S$1,"&lt;&gt;"))),0)</f>
        <v>0.13207547169811323</v>
      </c>
      <c r="T963">
        <f>IFERROR($J963/IF($A963&lt;COUNTIFS($K$1:T$1,"&lt;&gt;"),0,SUMIFS($J:$J,$B:$B,$B963,$A:$A,"&gt;="&amp;COUNTIFS($K$1:T$1,"&lt;&gt;"))),0)</f>
        <v>0.18421052631578949</v>
      </c>
      <c r="U963">
        <f>IFERROR($J963/IF($A963&lt;COUNTIFS($K$1:U$1,"&lt;&gt;"),0,SUMIFS($J:$J,$B:$B,$B963,$A:$A,"&gt;="&amp;COUNTIFS($K$1:U$1,"&lt;&gt;"))),0)</f>
        <v>0.31111111111111117</v>
      </c>
      <c r="V963">
        <f>IFERROR($J963/IF($A963&lt;COUNTIFS($K$1:V$1,"&lt;&gt;"),0,SUMIFS($J:$J,$B:$B,$B963,$A:$A,"&gt;="&amp;COUNTIFS($K$1:V$1,"&lt;&gt;"))),0)</f>
        <v>1</v>
      </c>
      <c r="W963">
        <f t="shared" ref="W963:W1026" si="354">IF(J963=0,0,$J963)</f>
        <v>3.8356164383561646E-2</v>
      </c>
      <c r="X963">
        <f t="shared" si="334"/>
        <v>3.8356164383561646E-2</v>
      </c>
      <c r="Y963">
        <f t="shared" si="335"/>
        <v>3.8356164383561646E-2</v>
      </c>
      <c r="Z963">
        <f t="shared" si="336"/>
        <v>3.8356164383561646E-2</v>
      </c>
      <c r="AA963">
        <f t="shared" si="337"/>
        <v>3.8356164383561646E-2</v>
      </c>
      <c r="AB963">
        <f t="shared" si="338"/>
        <v>3.8356164383561646E-2</v>
      </c>
      <c r="AC963">
        <f t="shared" si="339"/>
        <v>3.8356164383561646E-2</v>
      </c>
      <c r="AD963">
        <f t="shared" si="340"/>
        <v>3.8356164383561646E-2</v>
      </c>
      <c r="AE963">
        <f t="shared" si="341"/>
        <v>3.8356164383561646E-2</v>
      </c>
      <c r="AF963">
        <f t="shared" si="342"/>
        <v>3.8356164383561646E-2</v>
      </c>
      <c r="AG963">
        <f t="shared" si="343"/>
        <v>3.8356164383561646E-2</v>
      </c>
      <c r="AH963">
        <f t="shared" si="344"/>
        <v>3.8356164383561646E-2</v>
      </c>
      <c r="AI963">
        <f t="shared" si="345"/>
        <v>3.8356164383561646E-2</v>
      </c>
      <c r="AJ963" s="2" t="str">
        <f t="shared" ref="AJ963:AJ1026" si="355">A963&amp;B963</f>
        <v>1246054</v>
      </c>
    </row>
    <row r="964" spans="1:36" x14ac:dyDescent="0.25">
      <c r="A964">
        <v>0</v>
      </c>
      <c r="B964" s="1">
        <v>46082</v>
      </c>
      <c r="C964" s="1">
        <f t="shared" si="346"/>
        <v>46082</v>
      </c>
      <c r="D964" s="1">
        <f t="shared" si="347"/>
        <v>46096</v>
      </c>
      <c r="E964" s="1">
        <f t="shared" si="348"/>
        <v>46096</v>
      </c>
      <c r="F964" s="1">
        <f t="shared" si="349"/>
        <v>46113</v>
      </c>
      <c r="G964" s="1">
        <f t="shared" si="350"/>
        <v>46461</v>
      </c>
      <c r="H964">
        <f t="shared" si="351"/>
        <v>365</v>
      </c>
      <c r="I964">
        <f t="shared" si="352"/>
        <v>17</v>
      </c>
      <c r="J964">
        <f t="shared" si="353"/>
        <v>4.6575342465753428E-2</v>
      </c>
      <c r="K964">
        <f>IFERROR($J964/IF($A964&lt;COUNTIFS($K$1:K$1,"&lt;&gt;"),0,SUMIFS($J:$J,$B:$B,$B964,$A:$A,"&gt;="&amp;COUNTIFS($K$1:K$1,"&lt;&gt;"))),0)</f>
        <v>0</v>
      </c>
      <c r="L964">
        <f>IFERROR($J964/IF($A964&lt;COUNTIFS($K$1:L$1,"&lt;&gt;"),0,SUMIFS($J:$J,$B:$B,$B964,$A:$A,"&gt;="&amp;COUNTIFS($K$1:L$1,"&lt;&gt;"))),0)</f>
        <v>0</v>
      </c>
      <c r="M964">
        <f>IFERROR($J964/IF($A964&lt;COUNTIFS($K$1:M$1,"&lt;&gt;"),0,SUMIFS($J:$J,$B:$B,$B964,$A:$A,"&gt;="&amp;COUNTIFS($K$1:M$1,"&lt;&gt;"))),0)</f>
        <v>0</v>
      </c>
      <c r="N964">
        <f>IFERROR($J964/IF($A964&lt;COUNTIFS($K$1:N$1,"&lt;&gt;"),0,SUMIFS($J:$J,$B:$B,$B964,$A:$A,"&gt;="&amp;COUNTIFS($K$1:N$1,"&lt;&gt;"))),0)</f>
        <v>0</v>
      </c>
      <c r="O964">
        <f>IFERROR($J964/IF($A964&lt;COUNTIFS($K$1:O$1,"&lt;&gt;"),0,SUMIFS($J:$J,$B:$B,$B964,$A:$A,"&gt;="&amp;COUNTIFS($K$1:O$1,"&lt;&gt;"))),0)</f>
        <v>0</v>
      </c>
      <c r="P964">
        <f>IFERROR($J964/IF($A964&lt;COUNTIFS($K$1:P$1,"&lt;&gt;"),0,SUMIFS($J:$J,$B:$B,$B964,$A:$A,"&gt;="&amp;COUNTIFS($K$1:P$1,"&lt;&gt;"))),0)</f>
        <v>0</v>
      </c>
      <c r="Q964">
        <f>IFERROR($J964/IF($A964&lt;COUNTIFS($K$1:Q$1,"&lt;&gt;"),0,SUMIFS($J:$J,$B:$B,$B964,$A:$A,"&gt;="&amp;COUNTIFS($K$1:Q$1,"&lt;&gt;"))),0)</f>
        <v>0</v>
      </c>
      <c r="R964">
        <f>IFERROR($J964/IF($A964&lt;COUNTIFS($K$1:R$1,"&lt;&gt;"),0,SUMIFS($J:$J,$B:$B,$B964,$A:$A,"&gt;="&amp;COUNTIFS($K$1:R$1,"&lt;&gt;"))),0)</f>
        <v>0</v>
      </c>
      <c r="S964">
        <f>IFERROR($J964/IF($A964&lt;COUNTIFS($K$1:S$1,"&lt;&gt;"),0,SUMIFS($J:$J,$B:$B,$B964,$A:$A,"&gt;="&amp;COUNTIFS($K$1:S$1,"&lt;&gt;"))),0)</f>
        <v>0</v>
      </c>
      <c r="T964">
        <f>IFERROR($J964/IF($A964&lt;COUNTIFS($K$1:T$1,"&lt;&gt;"),0,SUMIFS($J:$J,$B:$B,$B964,$A:$A,"&gt;="&amp;COUNTIFS($K$1:T$1,"&lt;&gt;"))),0)</f>
        <v>0</v>
      </c>
      <c r="U964">
        <f>IFERROR($J964/IF($A964&lt;COUNTIFS($K$1:U$1,"&lt;&gt;"),0,SUMIFS($J:$J,$B:$B,$B964,$A:$A,"&gt;="&amp;COUNTIFS($K$1:U$1,"&lt;&gt;"))),0)</f>
        <v>0</v>
      </c>
      <c r="V964">
        <f>IFERROR($J964/IF($A964&lt;COUNTIFS($K$1:V$1,"&lt;&gt;"),0,SUMIFS($J:$J,$B:$B,$B964,$A:$A,"&gt;="&amp;COUNTIFS($K$1:V$1,"&lt;&gt;"))),0)</f>
        <v>0</v>
      </c>
      <c r="W964">
        <f t="shared" si="354"/>
        <v>4.6575342465753428E-2</v>
      </c>
      <c r="X964">
        <f t="shared" si="334"/>
        <v>0</v>
      </c>
      <c r="Y964">
        <f t="shared" si="335"/>
        <v>0</v>
      </c>
      <c r="Z964">
        <f t="shared" si="336"/>
        <v>0</v>
      </c>
      <c r="AA964">
        <f t="shared" si="337"/>
        <v>0</v>
      </c>
      <c r="AB964">
        <f t="shared" si="338"/>
        <v>0</v>
      </c>
      <c r="AC964">
        <f t="shared" si="339"/>
        <v>0</v>
      </c>
      <c r="AD964">
        <f t="shared" si="340"/>
        <v>0</v>
      </c>
      <c r="AE964">
        <f t="shared" si="341"/>
        <v>0</v>
      </c>
      <c r="AF964">
        <f t="shared" si="342"/>
        <v>0</v>
      </c>
      <c r="AG964">
        <f t="shared" si="343"/>
        <v>0</v>
      </c>
      <c r="AH964">
        <f t="shared" si="344"/>
        <v>0</v>
      </c>
      <c r="AI964">
        <f t="shared" si="345"/>
        <v>0</v>
      </c>
      <c r="AJ964" s="2" t="str">
        <f t="shared" si="355"/>
        <v>046082</v>
      </c>
    </row>
    <row r="965" spans="1:36" x14ac:dyDescent="0.25">
      <c r="A965">
        <v>1</v>
      </c>
      <c r="B965" s="1">
        <v>46082</v>
      </c>
      <c r="C965" s="1">
        <f t="shared" si="346"/>
        <v>46113</v>
      </c>
      <c r="D965" s="1">
        <f t="shared" si="347"/>
        <v>46096</v>
      </c>
      <c r="E965" s="1">
        <f t="shared" si="348"/>
        <v>46113</v>
      </c>
      <c r="F965" s="1">
        <f t="shared" si="349"/>
        <v>46143</v>
      </c>
      <c r="G965" s="1">
        <f t="shared" si="350"/>
        <v>46461</v>
      </c>
      <c r="H965">
        <f t="shared" si="351"/>
        <v>365</v>
      </c>
      <c r="I965">
        <f t="shared" si="352"/>
        <v>30</v>
      </c>
      <c r="J965">
        <f t="shared" si="353"/>
        <v>8.2191780821917804E-2</v>
      </c>
      <c r="K965">
        <f>IFERROR($J965/IF($A965&lt;COUNTIFS($K$1:K$1,"&lt;&gt;"),0,SUMIFS($J:$J,$B:$B,$B965,$A:$A,"&gt;="&amp;COUNTIFS($K$1:K$1,"&lt;&gt;"))),0)</f>
        <v>8.6206896551724144E-2</v>
      </c>
      <c r="L965">
        <f>IFERROR($J965/IF($A965&lt;COUNTIFS($K$1:L$1,"&lt;&gt;"),0,SUMIFS($J:$J,$B:$B,$B965,$A:$A,"&gt;="&amp;COUNTIFS($K$1:L$1,"&lt;&gt;"))),0)</f>
        <v>0</v>
      </c>
      <c r="M965">
        <f>IFERROR($J965/IF($A965&lt;COUNTIFS($K$1:M$1,"&lt;&gt;"),0,SUMIFS($J:$J,$B:$B,$B965,$A:$A,"&gt;="&amp;COUNTIFS($K$1:M$1,"&lt;&gt;"))),0)</f>
        <v>0</v>
      </c>
      <c r="N965">
        <f>IFERROR($J965/IF($A965&lt;COUNTIFS($K$1:N$1,"&lt;&gt;"),0,SUMIFS($J:$J,$B:$B,$B965,$A:$A,"&gt;="&amp;COUNTIFS($K$1:N$1,"&lt;&gt;"))),0)</f>
        <v>0</v>
      </c>
      <c r="O965">
        <f>IFERROR($J965/IF($A965&lt;COUNTIFS($K$1:O$1,"&lt;&gt;"),0,SUMIFS($J:$J,$B:$B,$B965,$A:$A,"&gt;="&amp;COUNTIFS($K$1:O$1,"&lt;&gt;"))),0)</f>
        <v>0</v>
      </c>
      <c r="P965">
        <f>IFERROR($J965/IF($A965&lt;COUNTIFS($K$1:P$1,"&lt;&gt;"),0,SUMIFS($J:$J,$B:$B,$B965,$A:$A,"&gt;="&amp;COUNTIFS($K$1:P$1,"&lt;&gt;"))),0)</f>
        <v>0</v>
      </c>
      <c r="Q965">
        <f>IFERROR($J965/IF($A965&lt;COUNTIFS($K$1:Q$1,"&lt;&gt;"),0,SUMIFS($J:$J,$B:$B,$B965,$A:$A,"&gt;="&amp;COUNTIFS($K$1:Q$1,"&lt;&gt;"))),0)</f>
        <v>0</v>
      </c>
      <c r="R965">
        <f>IFERROR($J965/IF($A965&lt;COUNTIFS($K$1:R$1,"&lt;&gt;"),0,SUMIFS($J:$J,$B:$B,$B965,$A:$A,"&gt;="&amp;COUNTIFS($K$1:R$1,"&lt;&gt;"))),0)</f>
        <v>0</v>
      </c>
      <c r="S965">
        <f>IFERROR($J965/IF($A965&lt;COUNTIFS($K$1:S$1,"&lt;&gt;"),0,SUMIFS($J:$J,$B:$B,$B965,$A:$A,"&gt;="&amp;COUNTIFS($K$1:S$1,"&lt;&gt;"))),0)</f>
        <v>0</v>
      </c>
      <c r="T965">
        <f>IFERROR($J965/IF($A965&lt;COUNTIFS($K$1:T$1,"&lt;&gt;"),0,SUMIFS($J:$J,$B:$B,$B965,$A:$A,"&gt;="&amp;COUNTIFS($K$1:T$1,"&lt;&gt;"))),0)</f>
        <v>0</v>
      </c>
      <c r="U965">
        <f>IFERROR($J965/IF($A965&lt;COUNTIFS($K$1:U$1,"&lt;&gt;"),0,SUMIFS($J:$J,$B:$B,$B965,$A:$A,"&gt;="&amp;COUNTIFS($K$1:U$1,"&lt;&gt;"))),0)</f>
        <v>0</v>
      </c>
      <c r="V965">
        <f>IFERROR($J965/IF($A965&lt;COUNTIFS($K$1:V$1,"&lt;&gt;"),0,SUMIFS($J:$J,$B:$B,$B965,$A:$A,"&gt;="&amp;COUNTIFS($K$1:V$1,"&lt;&gt;"))),0)</f>
        <v>0</v>
      </c>
      <c r="W965">
        <f t="shared" si="354"/>
        <v>8.2191780821917804E-2</v>
      </c>
      <c r="X965">
        <f t="shared" si="334"/>
        <v>8.2191780821917804E-2</v>
      </c>
      <c r="Y965">
        <f t="shared" si="335"/>
        <v>0</v>
      </c>
      <c r="Z965">
        <f t="shared" si="336"/>
        <v>0</v>
      </c>
      <c r="AA965">
        <f t="shared" si="337"/>
        <v>0</v>
      </c>
      <c r="AB965">
        <f t="shared" si="338"/>
        <v>0</v>
      </c>
      <c r="AC965">
        <f t="shared" si="339"/>
        <v>0</v>
      </c>
      <c r="AD965">
        <f t="shared" si="340"/>
        <v>0</v>
      </c>
      <c r="AE965">
        <f t="shared" si="341"/>
        <v>0</v>
      </c>
      <c r="AF965">
        <f t="shared" si="342"/>
        <v>0</v>
      </c>
      <c r="AG965">
        <f t="shared" si="343"/>
        <v>0</v>
      </c>
      <c r="AH965">
        <f t="shared" si="344"/>
        <v>0</v>
      </c>
      <c r="AI965">
        <f t="shared" si="345"/>
        <v>0</v>
      </c>
      <c r="AJ965" s="2" t="str">
        <f t="shared" si="355"/>
        <v>146082</v>
      </c>
    </row>
    <row r="966" spans="1:36" x14ac:dyDescent="0.25">
      <c r="A966">
        <v>2</v>
      </c>
      <c r="B966" s="1">
        <v>46082</v>
      </c>
      <c r="C966" s="1">
        <f t="shared" si="346"/>
        <v>46143</v>
      </c>
      <c r="D966" s="1">
        <f t="shared" si="347"/>
        <v>46096</v>
      </c>
      <c r="E966" s="1">
        <f t="shared" si="348"/>
        <v>46143</v>
      </c>
      <c r="F966" s="1">
        <f t="shared" si="349"/>
        <v>46174</v>
      </c>
      <c r="G966" s="1">
        <f t="shared" si="350"/>
        <v>46461</v>
      </c>
      <c r="H966">
        <f t="shared" si="351"/>
        <v>365</v>
      </c>
      <c r="I966">
        <f t="shared" si="352"/>
        <v>31</v>
      </c>
      <c r="J966">
        <f t="shared" si="353"/>
        <v>8.4931506849315067E-2</v>
      </c>
      <c r="K966">
        <f>IFERROR($J966/IF($A966&lt;COUNTIFS($K$1:K$1,"&lt;&gt;"),0,SUMIFS($J:$J,$B:$B,$B966,$A:$A,"&gt;="&amp;COUNTIFS($K$1:K$1,"&lt;&gt;"))),0)</f>
        <v>8.9080459770114959E-2</v>
      </c>
      <c r="L966">
        <f>IFERROR($J966/IF($A966&lt;COUNTIFS($K$1:L$1,"&lt;&gt;"),0,SUMIFS($J:$J,$B:$B,$B966,$A:$A,"&gt;="&amp;COUNTIFS($K$1:L$1,"&lt;&gt;"))),0)</f>
        <v>9.7484276729559768E-2</v>
      </c>
      <c r="M966">
        <f>IFERROR($J966/IF($A966&lt;COUNTIFS($K$1:M$1,"&lt;&gt;"),0,SUMIFS($J:$J,$B:$B,$B966,$A:$A,"&gt;="&amp;COUNTIFS($K$1:M$1,"&lt;&gt;"))),0)</f>
        <v>0</v>
      </c>
      <c r="N966">
        <f>IFERROR($J966/IF($A966&lt;COUNTIFS($K$1:N$1,"&lt;&gt;"),0,SUMIFS($J:$J,$B:$B,$B966,$A:$A,"&gt;="&amp;COUNTIFS($K$1:N$1,"&lt;&gt;"))),0)</f>
        <v>0</v>
      </c>
      <c r="O966">
        <f>IFERROR($J966/IF($A966&lt;COUNTIFS($K$1:O$1,"&lt;&gt;"),0,SUMIFS($J:$J,$B:$B,$B966,$A:$A,"&gt;="&amp;COUNTIFS($K$1:O$1,"&lt;&gt;"))),0)</f>
        <v>0</v>
      </c>
      <c r="P966">
        <f>IFERROR($J966/IF($A966&lt;COUNTIFS($K$1:P$1,"&lt;&gt;"),0,SUMIFS($J:$J,$B:$B,$B966,$A:$A,"&gt;="&amp;COUNTIFS($K$1:P$1,"&lt;&gt;"))),0)</f>
        <v>0</v>
      </c>
      <c r="Q966">
        <f>IFERROR($J966/IF($A966&lt;COUNTIFS($K$1:Q$1,"&lt;&gt;"),0,SUMIFS($J:$J,$B:$B,$B966,$A:$A,"&gt;="&amp;COUNTIFS($K$1:Q$1,"&lt;&gt;"))),0)</f>
        <v>0</v>
      </c>
      <c r="R966">
        <f>IFERROR($J966/IF($A966&lt;COUNTIFS($K$1:R$1,"&lt;&gt;"),0,SUMIFS($J:$J,$B:$B,$B966,$A:$A,"&gt;="&amp;COUNTIFS($K$1:R$1,"&lt;&gt;"))),0)</f>
        <v>0</v>
      </c>
      <c r="S966">
        <f>IFERROR($J966/IF($A966&lt;COUNTIFS($K$1:S$1,"&lt;&gt;"),0,SUMIFS($J:$J,$B:$B,$B966,$A:$A,"&gt;="&amp;COUNTIFS($K$1:S$1,"&lt;&gt;"))),0)</f>
        <v>0</v>
      </c>
      <c r="T966">
        <f>IFERROR($J966/IF($A966&lt;COUNTIFS($K$1:T$1,"&lt;&gt;"),0,SUMIFS($J:$J,$B:$B,$B966,$A:$A,"&gt;="&amp;COUNTIFS($K$1:T$1,"&lt;&gt;"))),0)</f>
        <v>0</v>
      </c>
      <c r="U966">
        <f>IFERROR($J966/IF($A966&lt;COUNTIFS($K$1:U$1,"&lt;&gt;"),0,SUMIFS($J:$J,$B:$B,$B966,$A:$A,"&gt;="&amp;COUNTIFS($K$1:U$1,"&lt;&gt;"))),0)</f>
        <v>0</v>
      </c>
      <c r="V966">
        <f>IFERROR($J966/IF($A966&lt;COUNTIFS($K$1:V$1,"&lt;&gt;"),0,SUMIFS($J:$J,$B:$B,$B966,$A:$A,"&gt;="&amp;COUNTIFS($K$1:V$1,"&lt;&gt;"))),0)</f>
        <v>0</v>
      </c>
      <c r="W966">
        <f t="shared" si="354"/>
        <v>8.4931506849315067E-2</v>
      </c>
      <c r="X966">
        <f t="shared" si="334"/>
        <v>8.4931506849315067E-2</v>
      </c>
      <c r="Y966">
        <f t="shared" si="335"/>
        <v>8.4931506849315067E-2</v>
      </c>
      <c r="Z966">
        <f t="shared" si="336"/>
        <v>0</v>
      </c>
      <c r="AA966">
        <f t="shared" si="337"/>
        <v>0</v>
      </c>
      <c r="AB966">
        <f t="shared" si="338"/>
        <v>0</v>
      </c>
      <c r="AC966">
        <f t="shared" si="339"/>
        <v>0</v>
      </c>
      <c r="AD966">
        <f t="shared" si="340"/>
        <v>0</v>
      </c>
      <c r="AE966">
        <f t="shared" si="341"/>
        <v>0</v>
      </c>
      <c r="AF966">
        <f t="shared" si="342"/>
        <v>0</v>
      </c>
      <c r="AG966">
        <f t="shared" si="343"/>
        <v>0</v>
      </c>
      <c r="AH966">
        <f t="shared" si="344"/>
        <v>0</v>
      </c>
      <c r="AI966">
        <f t="shared" si="345"/>
        <v>0</v>
      </c>
      <c r="AJ966" s="2" t="str">
        <f t="shared" si="355"/>
        <v>246082</v>
      </c>
    </row>
    <row r="967" spans="1:36" x14ac:dyDescent="0.25">
      <c r="A967">
        <v>3</v>
      </c>
      <c r="B967" s="1">
        <v>46082</v>
      </c>
      <c r="C967" s="1">
        <f t="shared" si="346"/>
        <v>46174</v>
      </c>
      <c r="D967" s="1">
        <f t="shared" si="347"/>
        <v>46096</v>
      </c>
      <c r="E967" s="1">
        <f t="shared" si="348"/>
        <v>46174</v>
      </c>
      <c r="F967" s="1">
        <f t="shared" si="349"/>
        <v>46204</v>
      </c>
      <c r="G967" s="1">
        <f t="shared" si="350"/>
        <v>46461</v>
      </c>
      <c r="H967">
        <f t="shared" si="351"/>
        <v>365</v>
      </c>
      <c r="I967">
        <f t="shared" si="352"/>
        <v>30</v>
      </c>
      <c r="J967">
        <f t="shared" si="353"/>
        <v>8.2191780821917804E-2</v>
      </c>
      <c r="K967">
        <f>IFERROR($J967/IF($A967&lt;COUNTIFS($K$1:K$1,"&lt;&gt;"),0,SUMIFS($J:$J,$B:$B,$B967,$A:$A,"&gt;="&amp;COUNTIFS($K$1:K$1,"&lt;&gt;"))),0)</f>
        <v>8.6206896551724144E-2</v>
      </c>
      <c r="L967">
        <f>IFERROR($J967/IF($A967&lt;COUNTIFS($K$1:L$1,"&lt;&gt;"),0,SUMIFS($J:$J,$B:$B,$B967,$A:$A,"&gt;="&amp;COUNTIFS($K$1:L$1,"&lt;&gt;"))),0)</f>
        <v>9.4339622641509441E-2</v>
      </c>
      <c r="M967">
        <f>IFERROR($J967/IF($A967&lt;COUNTIFS($K$1:M$1,"&lt;&gt;"),0,SUMIFS($J:$J,$B:$B,$B967,$A:$A,"&gt;="&amp;COUNTIFS($K$1:M$1,"&lt;&gt;"))),0)</f>
        <v>0.10452961672473869</v>
      </c>
      <c r="N967">
        <f>IFERROR($J967/IF($A967&lt;COUNTIFS($K$1:N$1,"&lt;&gt;"),0,SUMIFS($J:$J,$B:$B,$B967,$A:$A,"&gt;="&amp;COUNTIFS($K$1:N$1,"&lt;&gt;"))),0)</f>
        <v>0</v>
      </c>
      <c r="O967">
        <f>IFERROR($J967/IF($A967&lt;COUNTIFS($K$1:O$1,"&lt;&gt;"),0,SUMIFS($J:$J,$B:$B,$B967,$A:$A,"&gt;="&amp;COUNTIFS($K$1:O$1,"&lt;&gt;"))),0)</f>
        <v>0</v>
      </c>
      <c r="P967">
        <f>IFERROR($J967/IF($A967&lt;COUNTIFS($K$1:P$1,"&lt;&gt;"),0,SUMIFS($J:$J,$B:$B,$B967,$A:$A,"&gt;="&amp;COUNTIFS($K$1:P$1,"&lt;&gt;"))),0)</f>
        <v>0</v>
      </c>
      <c r="Q967">
        <f>IFERROR($J967/IF($A967&lt;COUNTIFS($K$1:Q$1,"&lt;&gt;"),0,SUMIFS($J:$J,$B:$B,$B967,$A:$A,"&gt;="&amp;COUNTIFS($K$1:Q$1,"&lt;&gt;"))),0)</f>
        <v>0</v>
      </c>
      <c r="R967">
        <f>IFERROR($J967/IF($A967&lt;COUNTIFS($K$1:R$1,"&lt;&gt;"),0,SUMIFS($J:$J,$B:$B,$B967,$A:$A,"&gt;="&amp;COUNTIFS($K$1:R$1,"&lt;&gt;"))),0)</f>
        <v>0</v>
      </c>
      <c r="S967">
        <f>IFERROR($J967/IF($A967&lt;COUNTIFS($K$1:S$1,"&lt;&gt;"),0,SUMIFS($J:$J,$B:$B,$B967,$A:$A,"&gt;="&amp;COUNTIFS($K$1:S$1,"&lt;&gt;"))),0)</f>
        <v>0</v>
      </c>
      <c r="T967">
        <f>IFERROR($J967/IF($A967&lt;COUNTIFS($K$1:T$1,"&lt;&gt;"),0,SUMIFS($J:$J,$B:$B,$B967,$A:$A,"&gt;="&amp;COUNTIFS($K$1:T$1,"&lt;&gt;"))),0)</f>
        <v>0</v>
      </c>
      <c r="U967">
        <f>IFERROR($J967/IF($A967&lt;COUNTIFS($K$1:U$1,"&lt;&gt;"),0,SUMIFS($J:$J,$B:$B,$B967,$A:$A,"&gt;="&amp;COUNTIFS($K$1:U$1,"&lt;&gt;"))),0)</f>
        <v>0</v>
      </c>
      <c r="V967">
        <f>IFERROR($J967/IF($A967&lt;COUNTIFS($K$1:V$1,"&lt;&gt;"),0,SUMIFS($J:$J,$B:$B,$B967,$A:$A,"&gt;="&amp;COUNTIFS($K$1:V$1,"&lt;&gt;"))),0)</f>
        <v>0</v>
      </c>
      <c r="W967">
        <f t="shared" si="354"/>
        <v>8.2191780821917804E-2</v>
      </c>
      <c r="X967">
        <f t="shared" si="334"/>
        <v>8.2191780821917804E-2</v>
      </c>
      <c r="Y967">
        <f t="shared" si="335"/>
        <v>8.2191780821917804E-2</v>
      </c>
      <c r="Z967">
        <f t="shared" si="336"/>
        <v>8.2191780821917804E-2</v>
      </c>
      <c r="AA967">
        <f t="shared" si="337"/>
        <v>0</v>
      </c>
      <c r="AB967">
        <f t="shared" si="338"/>
        <v>0</v>
      </c>
      <c r="AC967">
        <f t="shared" si="339"/>
        <v>0</v>
      </c>
      <c r="AD967">
        <f t="shared" si="340"/>
        <v>0</v>
      </c>
      <c r="AE967">
        <f t="shared" si="341"/>
        <v>0</v>
      </c>
      <c r="AF967">
        <f t="shared" si="342"/>
        <v>0</v>
      </c>
      <c r="AG967">
        <f t="shared" si="343"/>
        <v>0</v>
      </c>
      <c r="AH967">
        <f t="shared" si="344"/>
        <v>0</v>
      </c>
      <c r="AI967">
        <f t="shared" si="345"/>
        <v>0</v>
      </c>
      <c r="AJ967" s="2" t="str">
        <f t="shared" si="355"/>
        <v>346082</v>
      </c>
    </row>
    <row r="968" spans="1:36" x14ac:dyDescent="0.25">
      <c r="A968">
        <v>4</v>
      </c>
      <c r="B968" s="1">
        <v>46082</v>
      </c>
      <c r="C968" s="1">
        <f t="shared" si="346"/>
        <v>46204</v>
      </c>
      <c r="D968" s="1">
        <f t="shared" si="347"/>
        <v>46096</v>
      </c>
      <c r="E968" s="1">
        <f t="shared" si="348"/>
        <v>46204</v>
      </c>
      <c r="F968" s="1">
        <f t="shared" si="349"/>
        <v>46235</v>
      </c>
      <c r="G968" s="1">
        <f t="shared" si="350"/>
        <v>46461</v>
      </c>
      <c r="H968">
        <f t="shared" si="351"/>
        <v>365</v>
      </c>
      <c r="I968">
        <f t="shared" si="352"/>
        <v>31</v>
      </c>
      <c r="J968">
        <f t="shared" si="353"/>
        <v>8.4931506849315067E-2</v>
      </c>
      <c r="K968">
        <f>IFERROR($J968/IF($A968&lt;COUNTIFS($K$1:K$1,"&lt;&gt;"),0,SUMIFS($J:$J,$B:$B,$B968,$A:$A,"&gt;="&amp;COUNTIFS($K$1:K$1,"&lt;&gt;"))),0)</f>
        <v>8.9080459770114959E-2</v>
      </c>
      <c r="L968">
        <f>IFERROR($J968/IF($A968&lt;COUNTIFS($K$1:L$1,"&lt;&gt;"),0,SUMIFS($J:$J,$B:$B,$B968,$A:$A,"&gt;="&amp;COUNTIFS($K$1:L$1,"&lt;&gt;"))),0)</f>
        <v>9.7484276729559768E-2</v>
      </c>
      <c r="M968">
        <f>IFERROR($J968/IF($A968&lt;COUNTIFS($K$1:M$1,"&lt;&gt;"),0,SUMIFS($J:$J,$B:$B,$B968,$A:$A,"&gt;="&amp;COUNTIFS($K$1:M$1,"&lt;&gt;"))),0)</f>
        <v>0.10801393728222998</v>
      </c>
      <c r="N968">
        <f>IFERROR($J968/IF($A968&lt;COUNTIFS($K$1:N$1,"&lt;&gt;"),0,SUMIFS($J:$J,$B:$B,$B968,$A:$A,"&gt;="&amp;COUNTIFS($K$1:N$1,"&lt;&gt;"))),0)</f>
        <v>0.12062256809338523</v>
      </c>
      <c r="O968">
        <f>IFERROR($J968/IF($A968&lt;COUNTIFS($K$1:O$1,"&lt;&gt;"),0,SUMIFS($J:$J,$B:$B,$B968,$A:$A,"&gt;="&amp;COUNTIFS($K$1:O$1,"&lt;&gt;"))),0)</f>
        <v>0</v>
      </c>
      <c r="P968">
        <f>IFERROR($J968/IF($A968&lt;COUNTIFS($K$1:P$1,"&lt;&gt;"),0,SUMIFS($J:$J,$B:$B,$B968,$A:$A,"&gt;="&amp;COUNTIFS($K$1:P$1,"&lt;&gt;"))),0)</f>
        <v>0</v>
      </c>
      <c r="Q968">
        <f>IFERROR($J968/IF($A968&lt;COUNTIFS($K$1:Q$1,"&lt;&gt;"),0,SUMIFS($J:$J,$B:$B,$B968,$A:$A,"&gt;="&amp;COUNTIFS($K$1:Q$1,"&lt;&gt;"))),0)</f>
        <v>0</v>
      </c>
      <c r="R968">
        <f>IFERROR($J968/IF($A968&lt;COUNTIFS($K$1:R$1,"&lt;&gt;"),0,SUMIFS($J:$J,$B:$B,$B968,$A:$A,"&gt;="&amp;COUNTIFS($K$1:R$1,"&lt;&gt;"))),0)</f>
        <v>0</v>
      </c>
      <c r="S968">
        <f>IFERROR($J968/IF($A968&lt;COUNTIFS($K$1:S$1,"&lt;&gt;"),0,SUMIFS($J:$J,$B:$B,$B968,$A:$A,"&gt;="&amp;COUNTIFS($K$1:S$1,"&lt;&gt;"))),0)</f>
        <v>0</v>
      </c>
      <c r="T968">
        <f>IFERROR($J968/IF($A968&lt;COUNTIFS($K$1:T$1,"&lt;&gt;"),0,SUMIFS($J:$J,$B:$B,$B968,$A:$A,"&gt;="&amp;COUNTIFS($K$1:T$1,"&lt;&gt;"))),0)</f>
        <v>0</v>
      </c>
      <c r="U968">
        <f>IFERROR($J968/IF($A968&lt;COUNTIFS($K$1:U$1,"&lt;&gt;"),0,SUMIFS($J:$J,$B:$B,$B968,$A:$A,"&gt;="&amp;COUNTIFS($K$1:U$1,"&lt;&gt;"))),0)</f>
        <v>0</v>
      </c>
      <c r="V968">
        <f>IFERROR($J968/IF($A968&lt;COUNTIFS($K$1:V$1,"&lt;&gt;"),0,SUMIFS($J:$J,$B:$B,$B968,$A:$A,"&gt;="&amp;COUNTIFS($K$1:V$1,"&lt;&gt;"))),0)</f>
        <v>0</v>
      </c>
      <c r="W968">
        <f t="shared" si="354"/>
        <v>8.4931506849315067E-2</v>
      </c>
      <c r="X968">
        <f t="shared" si="334"/>
        <v>8.4931506849315067E-2</v>
      </c>
      <c r="Y968">
        <f t="shared" si="335"/>
        <v>8.4931506849315067E-2</v>
      </c>
      <c r="Z968">
        <f t="shared" si="336"/>
        <v>8.4931506849315067E-2</v>
      </c>
      <c r="AA968">
        <f t="shared" si="337"/>
        <v>8.4931506849315067E-2</v>
      </c>
      <c r="AB968">
        <f t="shared" si="338"/>
        <v>0</v>
      </c>
      <c r="AC968">
        <f t="shared" si="339"/>
        <v>0</v>
      </c>
      <c r="AD968">
        <f t="shared" si="340"/>
        <v>0</v>
      </c>
      <c r="AE968">
        <f t="shared" si="341"/>
        <v>0</v>
      </c>
      <c r="AF968">
        <f t="shared" si="342"/>
        <v>0</v>
      </c>
      <c r="AG968">
        <f t="shared" si="343"/>
        <v>0</v>
      </c>
      <c r="AH968">
        <f t="shared" si="344"/>
        <v>0</v>
      </c>
      <c r="AI968">
        <f t="shared" si="345"/>
        <v>0</v>
      </c>
      <c r="AJ968" s="2" t="str">
        <f t="shared" si="355"/>
        <v>446082</v>
      </c>
    </row>
    <row r="969" spans="1:36" x14ac:dyDescent="0.25">
      <c r="A969">
        <v>5</v>
      </c>
      <c r="B969" s="1">
        <v>46082</v>
      </c>
      <c r="C969" s="1">
        <f t="shared" si="346"/>
        <v>46235</v>
      </c>
      <c r="D969" s="1">
        <f t="shared" si="347"/>
        <v>46096</v>
      </c>
      <c r="E969" s="1">
        <f t="shared" si="348"/>
        <v>46235</v>
      </c>
      <c r="F969" s="1">
        <f t="shared" si="349"/>
        <v>46266</v>
      </c>
      <c r="G969" s="1">
        <f t="shared" si="350"/>
        <v>46461</v>
      </c>
      <c r="H969">
        <f t="shared" si="351"/>
        <v>365</v>
      </c>
      <c r="I969">
        <f t="shared" si="352"/>
        <v>31</v>
      </c>
      <c r="J969">
        <f t="shared" si="353"/>
        <v>8.4931506849315067E-2</v>
      </c>
      <c r="K969">
        <f>IFERROR($J969/IF($A969&lt;COUNTIFS($K$1:K$1,"&lt;&gt;"),0,SUMIFS($J:$J,$B:$B,$B969,$A:$A,"&gt;="&amp;COUNTIFS($K$1:K$1,"&lt;&gt;"))),0)</f>
        <v>8.9080459770114959E-2</v>
      </c>
      <c r="L969">
        <f>IFERROR($J969/IF($A969&lt;COUNTIFS($K$1:L$1,"&lt;&gt;"),0,SUMIFS($J:$J,$B:$B,$B969,$A:$A,"&gt;="&amp;COUNTIFS($K$1:L$1,"&lt;&gt;"))),0)</f>
        <v>9.7484276729559768E-2</v>
      </c>
      <c r="M969">
        <f>IFERROR($J969/IF($A969&lt;COUNTIFS($K$1:M$1,"&lt;&gt;"),0,SUMIFS($J:$J,$B:$B,$B969,$A:$A,"&gt;="&amp;COUNTIFS($K$1:M$1,"&lt;&gt;"))),0)</f>
        <v>0.10801393728222998</v>
      </c>
      <c r="N969">
        <f>IFERROR($J969/IF($A969&lt;COUNTIFS($K$1:N$1,"&lt;&gt;"),0,SUMIFS($J:$J,$B:$B,$B969,$A:$A,"&gt;="&amp;COUNTIFS($K$1:N$1,"&lt;&gt;"))),0)</f>
        <v>0.12062256809338523</v>
      </c>
      <c r="O969">
        <f>IFERROR($J969/IF($A969&lt;COUNTIFS($K$1:O$1,"&lt;&gt;"),0,SUMIFS($J:$J,$B:$B,$B969,$A:$A,"&gt;="&amp;COUNTIFS($K$1:O$1,"&lt;&gt;"))),0)</f>
        <v>0.13716814159292037</v>
      </c>
      <c r="P969">
        <f>IFERROR($J969/IF($A969&lt;COUNTIFS($K$1:P$1,"&lt;&gt;"),0,SUMIFS($J:$J,$B:$B,$B969,$A:$A,"&gt;="&amp;COUNTIFS($K$1:P$1,"&lt;&gt;"))),0)</f>
        <v>0</v>
      </c>
      <c r="Q969">
        <f>IFERROR($J969/IF($A969&lt;COUNTIFS($K$1:Q$1,"&lt;&gt;"),0,SUMIFS($J:$J,$B:$B,$B969,$A:$A,"&gt;="&amp;COUNTIFS($K$1:Q$1,"&lt;&gt;"))),0)</f>
        <v>0</v>
      </c>
      <c r="R969">
        <f>IFERROR($J969/IF($A969&lt;COUNTIFS($K$1:R$1,"&lt;&gt;"),0,SUMIFS($J:$J,$B:$B,$B969,$A:$A,"&gt;="&amp;COUNTIFS($K$1:R$1,"&lt;&gt;"))),0)</f>
        <v>0</v>
      </c>
      <c r="S969">
        <f>IFERROR($J969/IF($A969&lt;COUNTIFS($K$1:S$1,"&lt;&gt;"),0,SUMIFS($J:$J,$B:$B,$B969,$A:$A,"&gt;="&amp;COUNTIFS($K$1:S$1,"&lt;&gt;"))),0)</f>
        <v>0</v>
      </c>
      <c r="T969">
        <f>IFERROR($J969/IF($A969&lt;COUNTIFS($K$1:T$1,"&lt;&gt;"),0,SUMIFS($J:$J,$B:$B,$B969,$A:$A,"&gt;="&amp;COUNTIFS($K$1:T$1,"&lt;&gt;"))),0)</f>
        <v>0</v>
      </c>
      <c r="U969">
        <f>IFERROR($J969/IF($A969&lt;COUNTIFS($K$1:U$1,"&lt;&gt;"),0,SUMIFS($J:$J,$B:$B,$B969,$A:$A,"&gt;="&amp;COUNTIFS($K$1:U$1,"&lt;&gt;"))),0)</f>
        <v>0</v>
      </c>
      <c r="V969">
        <f>IFERROR($J969/IF($A969&lt;COUNTIFS($K$1:V$1,"&lt;&gt;"),0,SUMIFS($J:$J,$B:$B,$B969,$A:$A,"&gt;="&amp;COUNTIFS($K$1:V$1,"&lt;&gt;"))),0)</f>
        <v>0</v>
      </c>
      <c r="W969">
        <f t="shared" si="354"/>
        <v>8.4931506849315067E-2</v>
      </c>
      <c r="X969">
        <f t="shared" si="334"/>
        <v>8.4931506849315067E-2</v>
      </c>
      <c r="Y969">
        <f t="shared" si="335"/>
        <v>8.4931506849315067E-2</v>
      </c>
      <c r="Z969">
        <f t="shared" si="336"/>
        <v>8.4931506849315067E-2</v>
      </c>
      <c r="AA969">
        <f t="shared" si="337"/>
        <v>8.4931506849315067E-2</v>
      </c>
      <c r="AB969">
        <f t="shared" si="338"/>
        <v>8.4931506849315067E-2</v>
      </c>
      <c r="AC969">
        <f t="shared" si="339"/>
        <v>0</v>
      </c>
      <c r="AD969">
        <f t="shared" si="340"/>
        <v>0</v>
      </c>
      <c r="AE969">
        <f t="shared" si="341"/>
        <v>0</v>
      </c>
      <c r="AF969">
        <f t="shared" si="342"/>
        <v>0</v>
      </c>
      <c r="AG969">
        <f t="shared" si="343"/>
        <v>0</v>
      </c>
      <c r="AH969">
        <f t="shared" si="344"/>
        <v>0</v>
      </c>
      <c r="AI969">
        <f t="shared" si="345"/>
        <v>0</v>
      </c>
      <c r="AJ969" s="2" t="str">
        <f t="shared" si="355"/>
        <v>546082</v>
      </c>
    </row>
    <row r="970" spans="1:36" x14ac:dyDescent="0.25">
      <c r="A970">
        <v>6</v>
      </c>
      <c r="B970" s="1">
        <v>46082</v>
      </c>
      <c r="C970" s="1">
        <f t="shared" si="346"/>
        <v>46266</v>
      </c>
      <c r="D970" s="1">
        <f t="shared" si="347"/>
        <v>46096</v>
      </c>
      <c r="E970" s="1">
        <f t="shared" si="348"/>
        <v>46266</v>
      </c>
      <c r="F970" s="1">
        <f t="shared" si="349"/>
        <v>46296</v>
      </c>
      <c r="G970" s="1">
        <f t="shared" si="350"/>
        <v>46461</v>
      </c>
      <c r="H970">
        <f t="shared" si="351"/>
        <v>365</v>
      </c>
      <c r="I970">
        <f t="shared" si="352"/>
        <v>30</v>
      </c>
      <c r="J970">
        <f t="shared" si="353"/>
        <v>8.2191780821917804E-2</v>
      </c>
      <c r="K970">
        <f>IFERROR($J970/IF($A970&lt;COUNTIFS($K$1:K$1,"&lt;&gt;"),0,SUMIFS($J:$J,$B:$B,$B970,$A:$A,"&gt;="&amp;COUNTIFS($K$1:K$1,"&lt;&gt;"))),0)</f>
        <v>8.6206896551724144E-2</v>
      </c>
      <c r="L970">
        <f>IFERROR($J970/IF($A970&lt;COUNTIFS($K$1:L$1,"&lt;&gt;"),0,SUMIFS($J:$J,$B:$B,$B970,$A:$A,"&gt;="&amp;COUNTIFS($K$1:L$1,"&lt;&gt;"))),0)</f>
        <v>9.4339622641509441E-2</v>
      </c>
      <c r="M970">
        <f>IFERROR($J970/IF($A970&lt;COUNTIFS($K$1:M$1,"&lt;&gt;"),0,SUMIFS($J:$J,$B:$B,$B970,$A:$A,"&gt;="&amp;COUNTIFS($K$1:M$1,"&lt;&gt;"))),0)</f>
        <v>0.10452961672473869</v>
      </c>
      <c r="N970">
        <f>IFERROR($J970/IF($A970&lt;COUNTIFS($K$1:N$1,"&lt;&gt;"),0,SUMIFS($J:$J,$B:$B,$B970,$A:$A,"&gt;="&amp;COUNTIFS($K$1:N$1,"&lt;&gt;"))),0)</f>
        <v>0.11673151750972764</v>
      </c>
      <c r="O970">
        <f>IFERROR($J970/IF($A970&lt;COUNTIFS($K$1:O$1,"&lt;&gt;"),0,SUMIFS($J:$J,$B:$B,$B970,$A:$A,"&gt;="&amp;COUNTIFS($K$1:O$1,"&lt;&gt;"))),0)</f>
        <v>0.13274336283185842</v>
      </c>
      <c r="P970">
        <f>IFERROR($J970/IF($A970&lt;COUNTIFS($K$1:P$1,"&lt;&gt;"),0,SUMIFS($J:$J,$B:$B,$B970,$A:$A,"&gt;="&amp;COUNTIFS($K$1:P$1,"&lt;&gt;"))),0)</f>
        <v>0.15384615384615385</v>
      </c>
      <c r="Q970">
        <f>IFERROR($J970/IF($A970&lt;COUNTIFS($K$1:Q$1,"&lt;&gt;"),0,SUMIFS($J:$J,$B:$B,$B970,$A:$A,"&gt;="&amp;COUNTIFS($K$1:Q$1,"&lt;&gt;"))),0)</f>
        <v>0</v>
      </c>
      <c r="R970">
        <f>IFERROR($J970/IF($A970&lt;COUNTIFS($K$1:R$1,"&lt;&gt;"),0,SUMIFS($J:$J,$B:$B,$B970,$A:$A,"&gt;="&amp;COUNTIFS($K$1:R$1,"&lt;&gt;"))),0)</f>
        <v>0</v>
      </c>
      <c r="S970">
        <f>IFERROR($J970/IF($A970&lt;COUNTIFS($K$1:S$1,"&lt;&gt;"),0,SUMIFS($J:$J,$B:$B,$B970,$A:$A,"&gt;="&amp;COUNTIFS($K$1:S$1,"&lt;&gt;"))),0)</f>
        <v>0</v>
      </c>
      <c r="T970">
        <f>IFERROR($J970/IF($A970&lt;COUNTIFS($K$1:T$1,"&lt;&gt;"),0,SUMIFS($J:$J,$B:$B,$B970,$A:$A,"&gt;="&amp;COUNTIFS($K$1:T$1,"&lt;&gt;"))),0)</f>
        <v>0</v>
      </c>
      <c r="U970">
        <f>IFERROR($J970/IF($A970&lt;COUNTIFS($K$1:U$1,"&lt;&gt;"),0,SUMIFS($J:$J,$B:$B,$B970,$A:$A,"&gt;="&amp;COUNTIFS($K$1:U$1,"&lt;&gt;"))),0)</f>
        <v>0</v>
      </c>
      <c r="V970">
        <f>IFERROR($J970/IF($A970&lt;COUNTIFS($K$1:V$1,"&lt;&gt;"),0,SUMIFS($J:$J,$B:$B,$B970,$A:$A,"&gt;="&amp;COUNTIFS($K$1:V$1,"&lt;&gt;"))),0)</f>
        <v>0</v>
      </c>
      <c r="W970">
        <f t="shared" si="354"/>
        <v>8.2191780821917804E-2</v>
      </c>
      <c r="X970">
        <f t="shared" si="334"/>
        <v>8.2191780821917804E-2</v>
      </c>
      <c r="Y970">
        <f t="shared" si="335"/>
        <v>8.2191780821917804E-2</v>
      </c>
      <c r="Z970">
        <f t="shared" si="336"/>
        <v>8.2191780821917804E-2</v>
      </c>
      <c r="AA970">
        <f t="shared" si="337"/>
        <v>8.2191780821917804E-2</v>
      </c>
      <c r="AB970">
        <f t="shared" si="338"/>
        <v>8.2191780821917804E-2</v>
      </c>
      <c r="AC970">
        <f t="shared" si="339"/>
        <v>8.2191780821917804E-2</v>
      </c>
      <c r="AD970">
        <f t="shared" si="340"/>
        <v>0</v>
      </c>
      <c r="AE970">
        <f t="shared" si="341"/>
        <v>0</v>
      </c>
      <c r="AF970">
        <f t="shared" si="342"/>
        <v>0</v>
      </c>
      <c r="AG970">
        <f t="shared" si="343"/>
        <v>0</v>
      </c>
      <c r="AH970">
        <f t="shared" si="344"/>
        <v>0</v>
      </c>
      <c r="AI970">
        <f t="shared" si="345"/>
        <v>0</v>
      </c>
      <c r="AJ970" s="2" t="str">
        <f t="shared" si="355"/>
        <v>646082</v>
      </c>
    </row>
    <row r="971" spans="1:36" x14ac:dyDescent="0.25">
      <c r="A971">
        <v>7</v>
      </c>
      <c r="B971" s="1">
        <v>46082</v>
      </c>
      <c r="C971" s="1">
        <f t="shared" si="346"/>
        <v>46296</v>
      </c>
      <c r="D971" s="1">
        <f t="shared" si="347"/>
        <v>46096</v>
      </c>
      <c r="E971" s="1">
        <f t="shared" si="348"/>
        <v>46296</v>
      </c>
      <c r="F971" s="1">
        <f t="shared" si="349"/>
        <v>46327</v>
      </c>
      <c r="G971" s="1">
        <f t="shared" si="350"/>
        <v>46461</v>
      </c>
      <c r="H971">
        <f t="shared" si="351"/>
        <v>365</v>
      </c>
      <c r="I971">
        <f t="shared" si="352"/>
        <v>31</v>
      </c>
      <c r="J971">
        <f t="shared" si="353"/>
        <v>8.4931506849315067E-2</v>
      </c>
      <c r="K971">
        <f>IFERROR($J971/IF($A971&lt;COUNTIFS($K$1:K$1,"&lt;&gt;"),0,SUMIFS($J:$J,$B:$B,$B971,$A:$A,"&gt;="&amp;COUNTIFS($K$1:K$1,"&lt;&gt;"))),0)</f>
        <v>8.9080459770114959E-2</v>
      </c>
      <c r="L971">
        <f>IFERROR($J971/IF($A971&lt;COUNTIFS($K$1:L$1,"&lt;&gt;"),0,SUMIFS($J:$J,$B:$B,$B971,$A:$A,"&gt;="&amp;COUNTIFS($K$1:L$1,"&lt;&gt;"))),0)</f>
        <v>9.7484276729559768E-2</v>
      </c>
      <c r="M971">
        <f>IFERROR($J971/IF($A971&lt;COUNTIFS($K$1:M$1,"&lt;&gt;"),0,SUMIFS($J:$J,$B:$B,$B971,$A:$A,"&gt;="&amp;COUNTIFS($K$1:M$1,"&lt;&gt;"))),0)</f>
        <v>0.10801393728222998</v>
      </c>
      <c r="N971">
        <f>IFERROR($J971/IF($A971&lt;COUNTIFS($K$1:N$1,"&lt;&gt;"),0,SUMIFS($J:$J,$B:$B,$B971,$A:$A,"&gt;="&amp;COUNTIFS($K$1:N$1,"&lt;&gt;"))),0)</f>
        <v>0.12062256809338523</v>
      </c>
      <c r="O971">
        <f>IFERROR($J971/IF($A971&lt;COUNTIFS($K$1:O$1,"&lt;&gt;"),0,SUMIFS($J:$J,$B:$B,$B971,$A:$A,"&gt;="&amp;COUNTIFS($K$1:O$1,"&lt;&gt;"))),0)</f>
        <v>0.13716814159292037</v>
      </c>
      <c r="P971">
        <f>IFERROR($J971/IF($A971&lt;COUNTIFS($K$1:P$1,"&lt;&gt;"),0,SUMIFS($J:$J,$B:$B,$B971,$A:$A,"&gt;="&amp;COUNTIFS($K$1:P$1,"&lt;&gt;"))),0)</f>
        <v>0.15897435897435899</v>
      </c>
      <c r="Q971">
        <f>IFERROR($J971/IF($A971&lt;COUNTIFS($K$1:Q$1,"&lt;&gt;"),0,SUMIFS($J:$J,$B:$B,$B971,$A:$A,"&gt;="&amp;COUNTIFS($K$1:Q$1,"&lt;&gt;"))),0)</f>
        <v>0.1878787878787879</v>
      </c>
      <c r="R971">
        <f>IFERROR($J971/IF($A971&lt;COUNTIFS($K$1:R$1,"&lt;&gt;"),0,SUMIFS($J:$J,$B:$B,$B971,$A:$A,"&gt;="&amp;COUNTIFS($K$1:R$1,"&lt;&gt;"))),0)</f>
        <v>0</v>
      </c>
      <c r="S971">
        <f>IFERROR($J971/IF($A971&lt;COUNTIFS($K$1:S$1,"&lt;&gt;"),0,SUMIFS($J:$J,$B:$B,$B971,$A:$A,"&gt;="&amp;COUNTIFS($K$1:S$1,"&lt;&gt;"))),0)</f>
        <v>0</v>
      </c>
      <c r="T971">
        <f>IFERROR($J971/IF($A971&lt;COUNTIFS($K$1:T$1,"&lt;&gt;"),0,SUMIFS($J:$J,$B:$B,$B971,$A:$A,"&gt;="&amp;COUNTIFS($K$1:T$1,"&lt;&gt;"))),0)</f>
        <v>0</v>
      </c>
      <c r="U971">
        <f>IFERROR($J971/IF($A971&lt;COUNTIFS($K$1:U$1,"&lt;&gt;"),0,SUMIFS($J:$J,$B:$B,$B971,$A:$A,"&gt;="&amp;COUNTIFS($K$1:U$1,"&lt;&gt;"))),0)</f>
        <v>0</v>
      </c>
      <c r="V971">
        <f>IFERROR($J971/IF($A971&lt;COUNTIFS($K$1:V$1,"&lt;&gt;"),0,SUMIFS($J:$J,$B:$B,$B971,$A:$A,"&gt;="&amp;COUNTIFS($K$1:V$1,"&lt;&gt;"))),0)</f>
        <v>0</v>
      </c>
      <c r="W971">
        <f t="shared" si="354"/>
        <v>8.4931506849315067E-2</v>
      </c>
      <c r="X971">
        <f t="shared" si="334"/>
        <v>8.4931506849315067E-2</v>
      </c>
      <c r="Y971">
        <f t="shared" si="335"/>
        <v>8.4931506849315067E-2</v>
      </c>
      <c r="Z971">
        <f t="shared" si="336"/>
        <v>8.4931506849315067E-2</v>
      </c>
      <c r="AA971">
        <f t="shared" si="337"/>
        <v>8.4931506849315067E-2</v>
      </c>
      <c r="AB971">
        <f t="shared" si="338"/>
        <v>8.4931506849315067E-2</v>
      </c>
      <c r="AC971">
        <f t="shared" si="339"/>
        <v>8.4931506849315067E-2</v>
      </c>
      <c r="AD971">
        <f t="shared" si="340"/>
        <v>8.4931506849315067E-2</v>
      </c>
      <c r="AE971">
        <f t="shared" si="341"/>
        <v>0</v>
      </c>
      <c r="AF971">
        <f t="shared" si="342"/>
        <v>0</v>
      </c>
      <c r="AG971">
        <f t="shared" si="343"/>
        <v>0</v>
      </c>
      <c r="AH971">
        <f t="shared" si="344"/>
        <v>0</v>
      </c>
      <c r="AI971">
        <f t="shared" si="345"/>
        <v>0</v>
      </c>
      <c r="AJ971" s="2" t="str">
        <f t="shared" si="355"/>
        <v>746082</v>
      </c>
    </row>
    <row r="972" spans="1:36" x14ac:dyDescent="0.25">
      <c r="A972">
        <v>8</v>
      </c>
      <c r="B972" s="1">
        <v>46082</v>
      </c>
      <c r="C972" s="1">
        <f t="shared" si="346"/>
        <v>46327</v>
      </c>
      <c r="D972" s="1">
        <f t="shared" si="347"/>
        <v>46096</v>
      </c>
      <c r="E972" s="1">
        <f t="shared" si="348"/>
        <v>46327</v>
      </c>
      <c r="F972" s="1">
        <f t="shared" si="349"/>
        <v>46357</v>
      </c>
      <c r="G972" s="1">
        <f t="shared" si="350"/>
        <v>46461</v>
      </c>
      <c r="H972">
        <f t="shared" si="351"/>
        <v>365</v>
      </c>
      <c r="I972">
        <f t="shared" si="352"/>
        <v>30</v>
      </c>
      <c r="J972">
        <f t="shared" si="353"/>
        <v>8.2191780821917804E-2</v>
      </c>
      <c r="K972">
        <f>IFERROR($J972/IF($A972&lt;COUNTIFS($K$1:K$1,"&lt;&gt;"),0,SUMIFS($J:$J,$B:$B,$B972,$A:$A,"&gt;="&amp;COUNTIFS($K$1:K$1,"&lt;&gt;"))),0)</f>
        <v>8.6206896551724144E-2</v>
      </c>
      <c r="L972">
        <f>IFERROR($J972/IF($A972&lt;COUNTIFS($K$1:L$1,"&lt;&gt;"),0,SUMIFS($J:$J,$B:$B,$B972,$A:$A,"&gt;="&amp;COUNTIFS($K$1:L$1,"&lt;&gt;"))),0)</f>
        <v>9.4339622641509441E-2</v>
      </c>
      <c r="M972">
        <f>IFERROR($J972/IF($A972&lt;COUNTIFS($K$1:M$1,"&lt;&gt;"),0,SUMIFS($J:$J,$B:$B,$B972,$A:$A,"&gt;="&amp;COUNTIFS($K$1:M$1,"&lt;&gt;"))),0)</f>
        <v>0.10452961672473869</v>
      </c>
      <c r="N972">
        <f>IFERROR($J972/IF($A972&lt;COUNTIFS($K$1:N$1,"&lt;&gt;"),0,SUMIFS($J:$J,$B:$B,$B972,$A:$A,"&gt;="&amp;COUNTIFS($K$1:N$1,"&lt;&gt;"))),0)</f>
        <v>0.11673151750972764</v>
      </c>
      <c r="O972">
        <f>IFERROR($J972/IF($A972&lt;COUNTIFS($K$1:O$1,"&lt;&gt;"),0,SUMIFS($J:$J,$B:$B,$B972,$A:$A,"&gt;="&amp;COUNTIFS($K$1:O$1,"&lt;&gt;"))),0)</f>
        <v>0.13274336283185842</v>
      </c>
      <c r="P972">
        <f>IFERROR($J972/IF($A972&lt;COUNTIFS($K$1:P$1,"&lt;&gt;"),0,SUMIFS($J:$J,$B:$B,$B972,$A:$A,"&gt;="&amp;COUNTIFS($K$1:P$1,"&lt;&gt;"))),0)</f>
        <v>0.15384615384615385</v>
      </c>
      <c r="Q972">
        <f>IFERROR($J972/IF($A972&lt;COUNTIFS($K$1:Q$1,"&lt;&gt;"),0,SUMIFS($J:$J,$B:$B,$B972,$A:$A,"&gt;="&amp;COUNTIFS($K$1:Q$1,"&lt;&gt;"))),0)</f>
        <v>0.18181818181818182</v>
      </c>
      <c r="R972">
        <f>IFERROR($J972/IF($A972&lt;COUNTIFS($K$1:R$1,"&lt;&gt;"),0,SUMIFS($J:$J,$B:$B,$B972,$A:$A,"&gt;="&amp;COUNTIFS($K$1:R$1,"&lt;&gt;"))),0)</f>
        <v>0.22388059701492535</v>
      </c>
      <c r="S972">
        <f>IFERROR($J972/IF($A972&lt;COUNTIFS($K$1:S$1,"&lt;&gt;"),0,SUMIFS($J:$J,$B:$B,$B972,$A:$A,"&gt;="&amp;COUNTIFS($K$1:S$1,"&lt;&gt;"))),0)</f>
        <v>0</v>
      </c>
      <c r="T972">
        <f>IFERROR($J972/IF($A972&lt;COUNTIFS($K$1:T$1,"&lt;&gt;"),0,SUMIFS($J:$J,$B:$B,$B972,$A:$A,"&gt;="&amp;COUNTIFS($K$1:T$1,"&lt;&gt;"))),0)</f>
        <v>0</v>
      </c>
      <c r="U972">
        <f>IFERROR($J972/IF($A972&lt;COUNTIFS($K$1:U$1,"&lt;&gt;"),0,SUMIFS($J:$J,$B:$B,$B972,$A:$A,"&gt;="&amp;COUNTIFS($K$1:U$1,"&lt;&gt;"))),0)</f>
        <v>0</v>
      </c>
      <c r="V972">
        <f>IFERROR($J972/IF($A972&lt;COUNTIFS($K$1:V$1,"&lt;&gt;"),0,SUMIFS($J:$J,$B:$B,$B972,$A:$A,"&gt;="&amp;COUNTIFS($K$1:V$1,"&lt;&gt;"))),0)</f>
        <v>0</v>
      </c>
      <c r="W972">
        <f t="shared" si="354"/>
        <v>8.2191780821917804E-2</v>
      </c>
      <c r="X972">
        <f t="shared" si="334"/>
        <v>8.2191780821917804E-2</v>
      </c>
      <c r="Y972">
        <f t="shared" si="335"/>
        <v>8.2191780821917804E-2</v>
      </c>
      <c r="Z972">
        <f t="shared" si="336"/>
        <v>8.2191780821917804E-2</v>
      </c>
      <c r="AA972">
        <f t="shared" si="337"/>
        <v>8.2191780821917804E-2</v>
      </c>
      <c r="AB972">
        <f t="shared" si="338"/>
        <v>8.2191780821917804E-2</v>
      </c>
      <c r="AC972">
        <f t="shared" si="339"/>
        <v>8.2191780821917804E-2</v>
      </c>
      <c r="AD972">
        <f t="shared" si="340"/>
        <v>8.2191780821917804E-2</v>
      </c>
      <c r="AE972">
        <f t="shared" si="341"/>
        <v>8.2191780821917804E-2</v>
      </c>
      <c r="AF972">
        <f t="shared" si="342"/>
        <v>0</v>
      </c>
      <c r="AG972">
        <f t="shared" si="343"/>
        <v>0</v>
      </c>
      <c r="AH972">
        <f t="shared" si="344"/>
        <v>0</v>
      </c>
      <c r="AI972">
        <f t="shared" si="345"/>
        <v>0</v>
      </c>
      <c r="AJ972" s="2" t="str">
        <f t="shared" si="355"/>
        <v>846082</v>
      </c>
    </row>
    <row r="973" spans="1:36" x14ac:dyDescent="0.25">
      <c r="A973">
        <v>9</v>
      </c>
      <c r="B973" s="1">
        <v>46082</v>
      </c>
      <c r="C973" s="1">
        <f t="shared" si="346"/>
        <v>46357</v>
      </c>
      <c r="D973" s="1">
        <f t="shared" si="347"/>
        <v>46096</v>
      </c>
      <c r="E973" s="1">
        <f t="shared" si="348"/>
        <v>46357</v>
      </c>
      <c r="F973" s="1">
        <f t="shared" si="349"/>
        <v>46388</v>
      </c>
      <c r="G973" s="1">
        <f t="shared" si="350"/>
        <v>46461</v>
      </c>
      <c r="H973">
        <f t="shared" si="351"/>
        <v>365</v>
      </c>
      <c r="I973">
        <f t="shared" si="352"/>
        <v>31</v>
      </c>
      <c r="J973">
        <f t="shared" si="353"/>
        <v>8.4931506849315067E-2</v>
      </c>
      <c r="K973">
        <f>IFERROR($J973/IF($A973&lt;COUNTIFS($K$1:K$1,"&lt;&gt;"),0,SUMIFS($J:$J,$B:$B,$B973,$A:$A,"&gt;="&amp;COUNTIFS($K$1:K$1,"&lt;&gt;"))),0)</f>
        <v>8.9080459770114959E-2</v>
      </c>
      <c r="L973">
        <f>IFERROR($J973/IF($A973&lt;COUNTIFS($K$1:L$1,"&lt;&gt;"),0,SUMIFS($J:$J,$B:$B,$B973,$A:$A,"&gt;="&amp;COUNTIFS($K$1:L$1,"&lt;&gt;"))),0)</f>
        <v>9.7484276729559768E-2</v>
      </c>
      <c r="M973">
        <f>IFERROR($J973/IF($A973&lt;COUNTIFS($K$1:M$1,"&lt;&gt;"),0,SUMIFS($J:$J,$B:$B,$B973,$A:$A,"&gt;="&amp;COUNTIFS($K$1:M$1,"&lt;&gt;"))),0)</f>
        <v>0.10801393728222998</v>
      </c>
      <c r="N973">
        <f>IFERROR($J973/IF($A973&lt;COUNTIFS($K$1:N$1,"&lt;&gt;"),0,SUMIFS($J:$J,$B:$B,$B973,$A:$A,"&gt;="&amp;COUNTIFS($K$1:N$1,"&lt;&gt;"))),0)</f>
        <v>0.12062256809338523</v>
      </c>
      <c r="O973">
        <f>IFERROR($J973/IF($A973&lt;COUNTIFS($K$1:O$1,"&lt;&gt;"),0,SUMIFS($J:$J,$B:$B,$B973,$A:$A,"&gt;="&amp;COUNTIFS($K$1:O$1,"&lt;&gt;"))),0)</f>
        <v>0.13716814159292037</v>
      </c>
      <c r="P973">
        <f>IFERROR($J973/IF($A973&lt;COUNTIFS($K$1:P$1,"&lt;&gt;"),0,SUMIFS($J:$J,$B:$B,$B973,$A:$A,"&gt;="&amp;COUNTIFS($K$1:P$1,"&lt;&gt;"))),0)</f>
        <v>0.15897435897435899</v>
      </c>
      <c r="Q973">
        <f>IFERROR($J973/IF($A973&lt;COUNTIFS($K$1:Q$1,"&lt;&gt;"),0,SUMIFS($J:$J,$B:$B,$B973,$A:$A,"&gt;="&amp;COUNTIFS($K$1:Q$1,"&lt;&gt;"))),0)</f>
        <v>0.1878787878787879</v>
      </c>
      <c r="R973">
        <f>IFERROR($J973/IF($A973&lt;COUNTIFS($K$1:R$1,"&lt;&gt;"),0,SUMIFS($J:$J,$B:$B,$B973,$A:$A,"&gt;="&amp;COUNTIFS($K$1:R$1,"&lt;&gt;"))),0)</f>
        <v>0.23134328358208955</v>
      </c>
      <c r="S973">
        <f>IFERROR($J973/IF($A973&lt;COUNTIFS($K$1:S$1,"&lt;&gt;"),0,SUMIFS($J:$J,$B:$B,$B973,$A:$A,"&gt;="&amp;COUNTIFS($K$1:S$1,"&lt;&gt;"))),0)</f>
        <v>0.29807692307692307</v>
      </c>
      <c r="T973">
        <f>IFERROR($J973/IF($A973&lt;COUNTIFS($K$1:T$1,"&lt;&gt;"),0,SUMIFS($J:$J,$B:$B,$B973,$A:$A,"&gt;="&amp;COUNTIFS($K$1:T$1,"&lt;&gt;"))),0)</f>
        <v>0</v>
      </c>
      <c r="U973">
        <f>IFERROR($J973/IF($A973&lt;COUNTIFS($K$1:U$1,"&lt;&gt;"),0,SUMIFS($J:$J,$B:$B,$B973,$A:$A,"&gt;="&amp;COUNTIFS($K$1:U$1,"&lt;&gt;"))),0)</f>
        <v>0</v>
      </c>
      <c r="V973">
        <f>IFERROR($J973/IF($A973&lt;COUNTIFS($K$1:V$1,"&lt;&gt;"),0,SUMIFS($J:$J,$B:$B,$B973,$A:$A,"&gt;="&amp;COUNTIFS($K$1:V$1,"&lt;&gt;"))),0)</f>
        <v>0</v>
      </c>
      <c r="W973">
        <f t="shared" si="354"/>
        <v>8.4931506849315067E-2</v>
      </c>
      <c r="X973">
        <f t="shared" si="334"/>
        <v>8.4931506849315067E-2</v>
      </c>
      <c r="Y973">
        <f t="shared" si="335"/>
        <v>8.4931506849315067E-2</v>
      </c>
      <c r="Z973">
        <f t="shared" si="336"/>
        <v>8.4931506849315067E-2</v>
      </c>
      <c r="AA973">
        <f t="shared" si="337"/>
        <v>8.4931506849315067E-2</v>
      </c>
      <c r="AB973">
        <f t="shared" si="338"/>
        <v>8.4931506849315067E-2</v>
      </c>
      <c r="AC973">
        <f t="shared" si="339"/>
        <v>8.4931506849315067E-2</v>
      </c>
      <c r="AD973">
        <f t="shared" si="340"/>
        <v>8.4931506849315067E-2</v>
      </c>
      <c r="AE973">
        <f t="shared" si="341"/>
        <v>8.4931506849315067E-2</v>
      </c>
      <c r="AF973">
        <f t="shared" si="342"/>
        <v>8.4931506849315067E-2</v>
      </c>
      <c r="AG973">
        <f t="shared" si="343"/>
        <v>0</v>
      </c>
      <c r="AH973">
        <f t="shared" si="344"/>
        <v>0</v>
      </c>
      <c r="AI973">
        <f t="shared" si="345"/>
        <v>0</v>
      </c>
      <c r="AJ973" s="2" t="str">
        <f t="shared" si="355"/>
        <v>946082</v>
      </c>
    </row>
    <row r="974" spans="1:36" x14ac:dyDescent="0.25">
      <c r="A974">
        <v>10</v>
      </c>
      <c r="B974" s="1">
        <v>46082</v>
      </c>
      <c r="C974" s="1">
        <f t="shared" si="346"/>
        <v>46388</v>
      </c>
      <c r="D974" s="1">
        <f t="shared" si="347"/>
        <v>46096</v>
      </c>
      <c r="E974" s="1">
        <f t="shared" si="348"/>
        <v>46388</v>
      </c>
      <c r="F974" s="1">
        <f t="shared" si="349"/>
        <v>46419</v>
      </c>
      <c r="G974" s="1">
        <f t="shared" si="350"/>
        <v>46461</v>
      </c>
      <c r="H974">
        <f t="shared" si="351"/>
        <v>365</v>
      </c>
      <c r="I974">
        <f t="shared" si="352"/>
        <v>31</v>
      </c>
      <c r="J974">
        <f t="shared" si="353"/>
        <v>8.4931506849315067E-2</v>
      </c>
      <c r="K974">
        <f>IFERROR($J974/IF($A974&lt;COUNTIFS($K$1:K$1,"&lt;&gt;"),0,SUMIFS($J:$J,$B:$B,$B974,$A:$A,"&gt;="&amp;COUNTIFS($K$1:K$1,"&lt;&gt;"))),0)</f>
        <v>8.9080459770114959E-2</v>
      </c>
      <c r="L974">
        <f>IFERROR($J974/IF($A974&lt;COUNTIFS($K$1:L$1,"&lt;&gt;"),0,SUMIFS($J:$J,$B:$B,$B974,$A:$A,"&gt;="&amp;COUNTIFS($K$1:L$1,"&lt;&gt;"))),0)</f>
        <v>9.7484276729559768E-2</v>
      </c>
      <c r="M974">
        <f>IFERROR($J974/IF($A974&lt;COUNTIFS($K$1:M$1,"&lt;&gt;"),0,SUMIFS($J:$J,$B:$B,$B974,$A:$A,"&gt;="&amp;COUNTIFS($K$1:M$1,"&lt;&gt;"))),0)</f>
        <v>0.10801393728222998</v>
      </c>
      <c r="N974">
        <f>IFERROR($J974/IF($A974&lt;COUNTIFS($K$1:N$1,"&lt;&gt;"),0,SUMIFS($J:$J,$B:$B,$B974,$A:$A,"&gt;="&amp;COUNTIFS($K$1:N$1,"&lt;&gt;"))),0)</f>
        <v>0.12062256809338523</v>
      </c>
      <c r="O974">
        <f>IFERROR($J974/IF($A974&lt;COUNTIFS($K$1:O$1,"&lt;&gt;"),0,SUMIFS($J:$J,$B:$B,$B974,$A:$A,"&gt;="&amp;COUNTIFS($K$1:O$1,"&lt;&gt;"))),0)</f>
        <v>0.13716814159292037</v>
      </c>
      <c r="P974">
        <f>IFERROR($J974/IF($A974&lt;COUNTIFS($K$1:P$1,"&lt;&gt;"),0,SUMIFS($J:$J,$B:$B,$B974,$A:$A,"&gt;="&amp;COUNTIFS($K$1:P$1,"&lt;&gt;"))),0)</f>
        <v>0.15897435897435899</v>
      </c>
      <c r="Q974">
        <f>IFERROR($J974/IF($A974&lt;COUNTIFS($K$1:Q$1,"&lt;&gt;"),0,SUMIFS($J:$J,$B:$B,$B974,$A:$A,"&gt;="&amp;COUNTIFS($K$1:Q$1,"&lt;&gt;"))),0)</f>
        <v>0.1878787878787879</v>
      </c>
      <c r="R974">
        <f>IFERROR($J974/IF($A974&lt;COUNTIFS($K$1:R$1,"&lt;&gt;"),0,SUMIFS($J:$J,$B:$B,$B974,$A:$A,"&gt;="&amp;COUNTIFS($K$1:R$1,"&lt;&gt;"))),0)</f>
        <v>0.23134328358208955</v>
      </c>
      <c r="S974">
        <f>IFERROR($J974/IF($A974&lt;COUNTIFS($K$1:S$1,"&lt;&gt;"),0,SUMIFS($J:$J,$B:$B,$B974,$A:$A,"&gt;="&amp;COUNTIFS($K$1:S$1,"&lt;&gt;"))),0)</f>
        <v>0.29807692307692307</v>
      </c>
      <c r="T974">
        <f>IFERROR($J974/IF($A974&lt;COUNTIFS($K$1:T$1,"&lt;&gt;"),0,SUMIFS($J:$J,$B:$B,$B974,$A:$A,"&gt;="&amp;COUNTIFS($K$1:T$1,"&lt;&gt;"))),0)</f>
        <v>0.42465753424657532</v>
      </c>
      <c r="U974">
        <f>IFERROR($J974/IF($A974&lt;COUNTIFS($K$1:U$1,"&lt;&gt;"),0,SUMIFS($J:$J,$B:$B,$B974,$A:$A,"&gt;="&amp;COUNTIFS($K$1:U$1,"&lt;&gt;"))),0)</f>
        <v>0</v>
      </c>
      <c r="V974">
        <f>IFERROR($J974/IF($A974&lt;COUNTIFS($K$1:V$1,"&lt;&gt;"),0,SUMIFS($J:$J,$B:$B,$B974,$A:$A,"&gt;="&amp;COUNTIFS($K$1:V$1,"&lt;&gt;"))),0)</f>
        <v>0</v>
      </c>
      <c r="W974">
        <f t="shared" si="354"/>
        <v>8.4931506849315067E-2</v>
      </c>
      <c r="X974">
        <f t="shared" si="334"/>
        <v>8.4931506849315067E-2</v>
      </c>
      <c r="Y974">
        <f t="shared" si="335"/>
        <v>8.4931506849315067E-2</v>
      </c>
      <c r="Z974">
        <f t="shared" si="336"/>
        <v>8.4931506849315067E-2</v>
      </c>
      <c r="AA974">
        <f t="shared" si="337"/>
        <v>8.4931506849315067E-2</v>
      </c>
      <c r="AB974">
        <f t="shared" si="338"/>
        <v>8.4931506849315067E-2</v>
      </c>
      <c r="AC974">
        <f t="shared" si="339"/>
        <v>8.4931506849315067E-2</v>
      </c>
      <c r="AD974">
        <f t="shared" si="340"/>
        <v>8.4931506849315067E-2</v>
      </c>
      <c r="AE974">
        <f t="shared" si="341"/>
        <v>8.4931506849315067E-2</v>
      </c>
      <c r="AF974">
        <f t="shared" si="342"/>
        <v>8.4931506849315067E-2</v>
      </c>
      <c r="AG974">
        <f t="shared" si="343"/>
        <v>8.4931506849315067E-2</v>
      </c>
      <c r="AH974">
        <f t="shared" si="344"/>
        <v>0</v>
      </c>
      <c r="AI974">
        <f t="shared" si="345"/>
        <v>0</v>
      </c>
      <c r="AJ974" s="2" t="str">
        <f t="shared" si="355"/>
        <v>1046082</v>
      </c>
    </row>
    <row r="975" spans="1:36" x14ac:dyDescent="0.25">
      <c r="A975">
        <v>11</v>
      </c>
      <c r="B975" s="1">
        <v>46082</v>
      </c>
      <c r="C975" s="1">
        <f t="shared" si="346"/>
        <v>46419</v>
      </c>
      <c r="D975" s="1">
        <f t="shared" si="347"/>
        <v>46096</v>
      </c>
      <c r="E975" s="1">
        <f t="shared" si="348"/>
        <v>46419</v>
      </c>
      <c r="F975" s="1">
        <f t="shared" si="349"/>
        <v>46447</v>
      </c>
      <c r="G975" s="1">
        <f t="shared" si="350"/>
        <v>46461</v>
      </c>
      <c r="H975">
        <f t="shared" si="351"/>
        <v>365</v>
      </c>
      <c r="I975">
        <f t="shared" si="352"/>
        <v>28</v>
      </c>
      <c r="J975">
        <f t="shared" si="353"/>
        <v>7.6712328767123292E-2</v>
      </c>
      <c r="K975">
        <f>IFERROR($J975/IF($A975&lt;COUNTIFS($K$1:K$1,"&lt;&gt;"),0,SUMIFS($J:$J,$B:$B,$B975,$A:$A,"&gt;="&amp;COUNTIFS($K$1:K$1,"&lt;&gt;"))),0)</f>
        <v>8.0459770114942541E-2</v>
      </c>
      <c r="L975">
        <f>IFERROR($J975/IF($A975&lt;COUNTIFS($K$1:L$1,"&lt;&gt;"),0,SUMIFS($J:$J,$B:$B,$B975,$A:$A,"&gt;="&amp;COUNTIFS($K$1:L$1,"&lt;&gt;"))),0)</f>
        <v>8.8050314465408827E-2</v>
      </c>
      <c r="M975">
        <f>IFERROR($J975/IF($A975&lt;COUNTIFS($K$1:M$1,"&lt;&gt;"),0,SUMIFS($J:$J,$B:$B,$B975,$A:$A,"&gt;="&amp;COUNTIFS($K$1:M$1,"&lt;&gt;"))),0)</f>
        <v>9.7560975609756115E-2</v>
      </c>
      <c r="N975">
        <f>IFERROR($J975/IF($A975&lt;COUNTIFS($K$1:N$1,"&lt;&gt;"),0,SUMIFS($J:$J,$B:$B,$B975,$A:$A,"&gt;="&amp;COUNTIFS($K$1:N$1,"&lt;&gt;"))),0)</f>
        <v>0.10894941634241248</v>
      </c>
      <c r="O975">
        <f>IFERROR($J975/IF($A975&lt;COUNTIFS($K$1:O$1,"&lt;&gt;"),0,SUMIFS($J:$J,$B:$B,$B975,$A:$A,"&gt;="&amp;COUNTIFS($K$1:O$1,"&lt;&gt;"))),0)</f>
        <v>0.12389380530973454</v>
      </c>
      <c r="P975">
        <f>IFERROR($J975/IF($A975&lt;COUNTIFS($K$1:P$1,"&lt;&gt;"),0,SUMIFS($J:$J,$B:$B,$B975,$A:$A,"&gt;="&amp;COUNTIFS($K$1:P$1,"&lt;&gt;"))),0)</f>
        <v>0.14358974358974361</v>
      </c>
      <c r="Q975">
        <f>IFERROR($J975/IF($A975&lt;COUNTIFS($K$1:Q$1,"&lt;&gt;"),0,SUMIFS($J:$J,$B:$B,$B975,$A:$A,"&gt;="&amp;COUNTIFS($K$1:Q$1,"&lt;&gt;"))),0)</f>
        <v>0.16969696969696971</v>
      </c>
      <c r="R975">
        <f>IFERROR($J975/IF($A975&lt;COUNTIFS($K$1:R$1,"&lt;&gt;"),0,SUMIFS($J:$J,$B:$B,$B975,$A:$A,"&gt;="&amp;COUNTIFS($K$1:R$1,"&lt;&gt;"))),0)</f>
        <v>0.20895522388059704</v>
      </c>
      <c r="S975">
        <f>IFERROR($J975/IF($A975&lt;COUNTIFS($K$1:S$1,"&lt;&gt;"),0,SUMIFS($J:$J,$B:$B,$B975,$A:$A,"&gt;="&amp;COUNTIFS($K$1:S$1,"&lt;&gt;"))),0)</f>
        <v>0.26923076923076927</v>
      </c>
      <c r="T975">
        <f>IFERROR($J975/IF($A975&lt;COUNTIFS($K$1:T$1,"&lt;&gt;"),0,SUMIFS($J:$J,$B:$B,$B975,$A:$A,"&gt;="&amp;COUNTIFS($K$1:T$1,"&lt;&gt;"))),0)</f>
        <v>0.38356164383561642</v>
      </c>
      <c r="U975">
        <f>IFERROR($J975/IF($A975&lt;COUNTIFS($K$1:U$1,"&lt;&gt;"),0,SUMIFS($J:$J,$B:$B,$B975,$A:$A,"&gt;="&amp;COUNTIFS($K$1:U$1,"&lt;&gt;"))),0)</f>
        <v>0.66666666666666674</v>
      </c>
      <c r="V975">
        <f>IFERROR($J975/IF($A975&lt;COUNTIFS($K$1:V$1,"&lt;&gt;"),0,SUMIFS($J:$J,$B:$B,$B975,$A:$A,"&gt;="&amp;COUNTIFS($K$1:V$1,"&lt;&gt;"))),0)</f>
        <v>0</v>
      </c>
      <c r="W975">
        <f t="shared" si="354"/>
        <v>7.6712328767123292E-2</v>
      </c>
      <c r="X975">
        <f t="shared" si="334"/>
        <v>7.6712328767123292E-2</v>
      </c>
      <c r="Y975">
        <f t="shared" si="335"/>
        <v>7.6712328767123292E-2</v>
      </c>
      <c r="Z975">
        <f t="shared" si="336"/>
        <v>7.6712328767123292E-2</v>
      </c>
      <c r="AA975">
        <f t="shared" si="337"/>
        <v>7.6712328767123292E-2</v>
      </c>
      <c r="AB975">
        <f t="shared" si="338"/>
        <v>7.6712328767123292E-2</v>
      </c>
      <c r="AC975">
        <f t="shared" si="339"/>
        <v>7.6712328767123292E-2</v>
      </c>
      <c r="AD975">
        <f t="shared" si="340"/>
        <v>7.6712328767123292E-2</v>
      </c>
      <c r="AE975">
        <f t="shared" si="341"/>
        <v>7.6712328767123292E-2</v>
      </c>
      <c r="AF975">
        <f t="shared" si="342"/>
        <v>7.6712328767123292E-2</v>
      </c>
      <c r="AG975">
        <f t="shared" si="343"/>
        <v>7.6712328767123292E-2</v>
      </c>
      <c r="AH975">
        <f t="shared" si="344"/>
        <v>7.6712328767123292E-2</v>
      </c>
      <c r="AI975">
        <f t="shared" si="345"/>
        <v>0</v>
      </c>
      <c r="AJ975" s="2" t="str">
        <f t="shared" si="355"/>
        <v>1146082</v>
      </c>
    </row>
    <row r="976" spans="1:36" x14ac:dyDescent="0.25">
      <c r="A976">
        <v>12</v>
      </c>
      <c r="B976" s="1">
        <v>46082</v>
      </c>
      <c r="C976" s="1">
        <f t="shared" si="346"/>
        <v>46447</v>
      </c>
      <c r="D976" s="1">
        <f t="shared" si="347"/>
        <v>46096</v>
      </c>
      <c r="E976" s="1">
        <f t="shared" si="348"/>
        <v>46447</v>
      </c>
      <c r="F976" s="1">
        <f t="shared" si="349"/>
        <v>46461</v>
      </c>
      <c r="G976" s="1">
        <f t="shared" si="350"/>
        <v>46461</v>
      </c>
      <c r="H976">
        <f t="shared" si="351"/>
        <v>365</v>
      </c>
      <c r="I976">
        <f t="shared" si="352"/>
        <v>14</v>
      </c>
      <c r="J976">
        <f t="shared" si="353"/>
        <v>3.8356164383561646E-2</v>
      </c>
      <c r="K976">
        <f>IFERROR($J976/IF($A976&lt;COUNTIFS($K$1:K$1,"&lt;&gt;"),0,SUMIFS($J:$J,$B:$B,$B976,$A:$A,"&gt;="&amp;COUNTIFS($K$1:K$1,"&lt;&gt;"))),0)</f>
        <v>4.0229885057471271E-2</v>
      </c>
      <c r="L976">
        <f>IFERROR($J976/IF($A976&lt;COUNTIFS($K$1:L$1,"&lt;&gt;"),0,SUMIFS($J:$J,$B:$B,$B976,$A:$A,"&gt;="&amp;COUNTIFS($K$1:L$1,"&lt;&gt;"))),0)</f>
        <v>4.4025157232704414E-2</v>
      </c>
      <c r="M976">
        <f>IFERROR($J976/IF($A976&lt;COUNTIFS($K$1:M$1,"&lt;&gt;"),0,SUMIFS($J:$J,$B:$B,$B976,$A:$A,"&gt;="&amp;COUNTIFS($K$1:M$1,"&lt;&gt;"))),0)</f>
        <v>4.8780487804878057E-2</v>
      </c>
      <c r="N976">
        <f>IFERROR($J976/IF($A976&lt;COUNTIFS($K$1:N$1,"&lt;&gt;"),0,SUMIFS($J:$J,$B:$B,$B976,$A:$A,"&gt;="&amp;COUNTIFS($K$1:N$1,"&lt;&gt;"))),0)</f>
        <v>5.447470817120624E-2</v>
      </c>
      <c r="O976">
        <f>IFERROR($J976/IF($A976&lt;COUNTIFS($K$1:O$1,"&lt;&gt;"),0,SUMIFS($J:$J,$B:$B,$B976,$A:$A,"&gt;="&amp;COUNTIFS($K$1:O$1,"&lt;&gt;"))),0)</f>
        <v>6.194690265486727E-2</v>
      </c>
      <c r="P976">
        <f>IFERROR($J976/IF($A976&lt;COUNTIFS($K$1:P$1,"&lt;&gt;"),0,SUMIFS($J:$J,$B:$B,$B976,$A:$A,"&gt;="&amp;COUNTIFS($K$1:P$1,"&lt;&gt;"))),0)</f>
        <v>7.1794871794871803E-2</v>
      </c>
      <c r="Q976">
        <f>IFERROR($J976/IF($A976&lt;COUNTIFS($K$1:Q$1,"&lt;&gt;"),0,SUMIFS($J:$J,$B:$B,$B976,$A:$A,"&gt;="&amp;COUNTIFS($K$1:Q$1,"&lt;&gt;"))),0)</f>
        <v>8.4848484848484854E-2</v>
      </c>
      <c r="R976">
        <f>IFERROR($J976/IF($A976&lt;COUNTIFS($K$1:R$1,"&lt;&gt;"),0,SUMIFS($J:$J,$B:$B,$B976,$A:$A,"&gt;="&amp;COUNTIFS($K$1:R$1,"&lt;&gt;"))),0)</f>
        <v>0.10447761194029852</v>
      </c>
      <c r="S976">
        <f>IFERROR($J976/IF($A976&lt;COUNTIFS($K$1:S$1,"&lt;&gt;"),0,SUMIFS($J:$J,$B:$B,$B976,$A:$A,"&gt;="&amp;COUNTIFS($K$1:S$1,"&lt;&gt;"))),0)</f>
        <v>0.13461538461538464</v>
      </c>
      <c r="T976">
        <f>IFERROR($J976/IF($A976&lt;COUNTIFS($K$1:T$1,"&lt;&gt;"),0,SUMIFS($J:$J,$B:$B,$B976,$A:$A,"&gt;="&amp;COUNTIFS($K$1:T$1,"&lt;&gt;"))),0)</f>
        <v>0.19178082191780821</v>
      </c>
      <c r="U976">
        <f>IFERROR($J976/IF($A976&lt;COUNTIFS($K$1:U$1,"&lt;&gt;"),0,SUMIFS($J:$J,$B:$B,$B976,$A:$A,"&gt;="&amp;COUNTIFS($K$1:U$1,"&lt;&gt;"))),0)</f>
        <v>0.33333333333333337</v>
      </c>
      <c r="V976">
        <f>IFERROR($J976/IF($A976&lt;COUNTIFS($K$1:V$1,"&lt;&gt;"),0,SUMIFS($J:$J,$B:$B,$B976,$A:$A,"&gt;="&amp;COUNTIFS($K$1:V$1,"&lt;&gt;"))),0)</f>
        <v>1</v>
      </c>
      <c r="W976">
        <f t="shared" si="354"/>
        <v>3.8356164383561646E-2</v>
      </c>
      <c r="X976">
        <f t="shared" si="334"/>
        <v>3.8356164383561646E-2</v>
      </c>
      <c r="Y976">
        <f t="shared" si="335"/>
        <v>3.8356164383561646E-2</v>
      </c>
      <c r="Z976">
        <f t="shared" si="336"/>
        <v>3.8356164383561646E-2</v>
      </c>
      <c r="AA976">
        <f t="shared" si="337"/>
        <v>3.8356164383561646E-2</v>
      </c>
      <c r="AB976">
        <f t="shared" si="338"/>
        <v>3.8356164383561646E-2</v>
      </c>
      <c r="AC976">
        <f t="shared" si="339"/>
        <v>3.8356164383561646E-2</v>
      </c>
      <c r="AD976">
        <f t="shared" si="340"/>
        <v>3.8356164383561646E-2</v>
      </c>
      <c r="AE976">
        <f t="shared" si="341"/>
        <v>3.8356164383561646E-2</v>
      </c>
      <c r="AF976">
        <f t="shared" si="342"/>
        <v>3.8356164383561646E-2</v>
      </c>
      <c r="AG976">
        <f t="shared" si="343"/>
        <v>3.8356164383561646E-2</v>
      </c>
      <c r="AH976">
        <f t="shared" si="344"/>
        <v>3.8356164383561646E-2</v>
      </c>
      <c r="AI976">
        <f t="shared" si="345"/>
        <v>3.8356164383561646E-2</v>
      </c>
      <c r="AJ976" s="2" t="str">
        <f t="shared" si="355"/>
        <v>1246082</v>
      </c>
    </row>
    <row r="977" spans="1:36" x14ac:dyDescent="0.25">
      <c r="A977">
        <v>0</v>
      </c>
      <c r="B977" s="1">
        <v>46113</v>
      </c>
      <c r="C977" s="1">
        <f t="shared" si="346"/>
        <v>46113</v>
      </c>
      <c r="D977" s="1">
        <f t="shared" si="347"/>
        <v>46127</v>
      </c>
      <c r="E977" s="1">
        <f t="shared" si="348"/>
        <v>46127</v>
      </c>
      <c r="F977" s="1">
        <f t="shared" si="349"/>
        <v>46143</v>
      </c>
      <c r="G977" s="1">
        <f t="shared" si="350"/>
        <v>46492</v>
      </c>
      <c r="H977">
        <f t="shared" si="351"/>
        <v>365</v>
      </c>
      <c r="I977">
        <f t="shared" si="352"/>
        <v>16</v>
      </c>
      <c r="J977">
        <f t="shared" si="353"/>
        <v>4.3835616438356165E-2</v>
      </c>
      <c r="K977">
        <f>IFERROR($J977/IF($A977&lt;COUNTIFS($K$1:K$1,"&lt;&gt;"),0,SUMIFS($J:$J,$B:$B,$B977,$A:$A,"&gt;="&amp;COUNTIFS($K$1:K$1,"&lt;&gt;"))),0)</f>
        <v>0</v>
      </c>
      <c r="L977">
        <f>IFERROR($J977/IF($A977&lt;COUNTIFS($K$1:L$1,"&lt;&gt;"),0,SUMIFS($J:$J,$B:$B,$B977,$A:$A,"&gt;="&amp;COUNTIFS($K$1:L$1,"&lt;&gt;"))),0)</f>
        <v>0</v>
      </c>
      <c r="M977">
        <f>IFERROR($J977/IF($A977&lt;COUNTIFS($K$1:M$1,"&lt;&gt;"),0,SUMIFS($J:$J,$B:$B,$B977,$A:$A,"&gt;="&amp;COUNTIFS($K$1:M$1,"&lt;&gt;"))),0)</f>
        <v>0</v>
      </c>
      <c r="N977">
        <f>IFERROR($J977/IF($A977&lt;COUNTIFS($K$1:N$1,"&lt;&gt;"),0,SUMIFS($J:$J,$B:$B,$B977,$A:$A,"&gt;="&amp;COUNTIFS($K$1:N$1,"&lt;&gt;"))),0)</f>
        <v>0</v>
      </c>
      <c r="O977">
        <f>IFERROR($J977/IF($A977&lt;COUNTIFS($K$1:O$1,"&lt;&gt;"),0,SUMIFS($J:$J,$B:$B,$B977,$A:$A,"&gt;="&amp;COUNTIFS($K$1:O$1,"&lt;&gt;"))),0)</f>
        <v>0</v>
      </c>
      <c r="P977">
        <f>IFERROR($J977/IF($A977&lt;COUNTIFS($K$1:P$1,"&lt;&gt;"),0,SUMIFS($J:$J,$B:$B,$B977,$A:$A,"&gt;="&amp;COUNTIFS($K$1:P$1,"&lt;&gt;"))),0)</f>
        <v>0</v>
      </c>
      <c r="Q977">
        <f>IFERROR($J977/IF($A977&lt;COUNTIFS($K$1:Q$1,"&lt;&gt;"),0,SUMIFS($J:$J,$B:$B,$B977,$A:$A,"&gt;="&amp;COUNTIFS($K$1:Q$1,"&lt;&gt;"))),0)</f>
        <v>0</v>
      </c>
      <c r="R977">
        <f>IFERROR($J977/IF($A977&lt;COUNTIFS($K$1:R$1,"&lt;&gt;"),0,SUMIFS($J:$J,$B:$B,$B977,$A:$A,"&gt;="&amp;COUNTIFS($K$1:R$1,"&lt;&gt;"))),0)</f>
        <v>0</v>
      </c>
      <c r="S977">
        <f>IFERROR($J977/IF($A977&lt;COUNTIFS($K$1:S$1,"&lt;&gt;"),0,SUMIFS($J:$J,$B:$B,$B977,$A:$A,"&gt;="&amp;COUNTIFS($K$1:S$1,"&lt;&gt;"))),0)</f>
        <v>0</v>
      </c>
      <c r="T977">
        <f>IFERROR($J977/IF($A977&lt;COUNTIFS($K$1:T$1,"&lt;&gt;"),0,SUMIFS($J:$J,$B:$B,$B977,$A:$A,"&gt;="&amp;COUNTIFS($K$1:T$1,"&lt;&gt;"))),0)</f>
        <v>0</v>
      </c>
      <c r="U977">
        <f>IFERROR($J977/IF($A977&lt;COUNTIFS($K$1:U$1,"&lt;&gt;"),0,SUMIFS($J:$J,$B:$B,$B977,$A:$A,"&gt;="&amp;COUNTIFS($K$1:U$1,"&lt;&gt;"))),0)</f>
        <v>0</v>
      </c>
      <c r="V977">
        <f>IFERROR($J977/IF($A977&lt;COUNTIFS($K$1:V$1,"&lt;&gt;"),0,SUMIFS($J:$J,$B:$B,$B977,$A:$A,"&gt;="&amp;COUNTIFS($K$1:V$1,"&lt;&gt;"))),0)</f>
        <v>0</v>
      </c>
      <c r="W977">
        <f t="shared" si="354"/>
        <v>4.3835616438356165E-2</v>
      </c>
      <c r="X977">
        <f t="shared" si="334"/>
        <v>0</v>
      </c>
      <c r="Y977">
        <f t="shared" si="335"/>
        <v>0</v>
      </c>
      <c r="Z977">
        <f t="shared" si="336"/>
        <v>0</v>
      </c>
      <c r="AA977">
        <f t="shared" si="337"/>
        <v>0</v>
      </c>
      <c r="AB977">
        <f t="shared" si="338"/>
        <v>0</v>
      </c>
      <c r="AC977">
        <f t="shared" si="339"/>
        <v>0</v>
      </c>
      <c r="AD977">
        <f t="shared" si="340"/>
        <v>0</v>
      </c>
      <c r="AE977">
        <f t="shared" si="341"/>
        <v>0</v>
      </c>
      <c r="AF977">
        <f t="shared" si="342"/>
        <v>0</v>
      </c>
      <c r="AG977">
        <f t="shared" si="343"/>
        <v>0</v>
      </c>
      <c r="AH977">
        <f t="shared" si="344"/>
        <v>0</v>
      </c>
      <c r="AI977">
        <f t="shared" si="345"/>
        <v>0</v>
      </c>
      <c r="AJ977" s="2" t="str">
        <f t="shared" si="355"/>
        <v>046113</v>
      </c>
    </row>
    <row r="978" spans="1:36" x14ac:dyDescent="0.25">
      <c r="A978">
        <v>1</v>
      </c>
      <c r="B978" s="1">
        <v>46113</v>
      </c>
      <c r="C978" s="1">
        <f t="shared" si="346"/>
        <v>46143</v>
      </c>
      <c r="D978" s="1">
        <f t="shared" si="347"/>
        <v>46127</v>
      </c>
      <c r="E978" s="1">
        <f t="shared" si="348"/>
        <v>46143</v>
      </c>
      <c r="F978" s="1">
        <f t="shared" si="349"/>
        <v>46174</v>
      </c>
      <c r="G978" s="1">
        <f t="shared" si="350"/>
        <v>46492</v>
      </c>
      <c r="H978">
        <f t="shared" si="351"/>
        <v>365</v>
      </c>
      <c r="I978">
        <f t="shared" si="352"/>
        <v>31</v>
      </c>
      <c r="J978">
        <f t="shared" si="353"/>
        <v>8.4931506849315067E-2</v>
      </c>
      <c r="K978">
        <f>IFERROR($J978/IF($A978&lt;COUNTIFS($K$1:K$1,"&lt;&gt;"),0,SUMIFS($J:$J,$B:$B,$B978,$A:$A,"&gt;="&amp;COUNTIFS($K$1:K$1,"&lt;&gt;"))),0)</f>
        <v>8.8825214899713484E-2</v>
      </c>
      <c r="L978">
        <f>IFERROR($J978/IF($A978&lt;COUNTIFS($K$1:L$1,"&lt;&gt;"),0,SUMIFS($J:$J,$B:$B,$B978,$A:$A,"&gt;="&amp;COUNTIFS($K$1:L$1,"&lt;&gt;"))),0)</f>
        <v>0</v>
      </c>
      <c r="M978">
        <f>IFERROR($J978/IF($A978&lt;COUNTIFS($K$1:M$1,"&lt;&gt;"),0,SUMIFS($J:$J,$B:$B,$B978,$A:$A,"&gt;="&amp;COUNTIFS($K$1:M$1,"&lt;&gt;"))),0)</f>
        <v>0</v>
      </c>
      <c r="N978">
        <f>IFERROR($J978/IF($A978&lt;COUNTIFS($K$1:N$1,"&lt;&gt;"),0,SUMIFS($J:$J,$B:$B,$B978,$A:$A,"&gt;="&amp;COUNTIFS($K$1:N$1,"&lt;&gt;"))),0)</f>
        <v>0</v>
      </c>
      <c r="O978">
        <f>IFERROR($J978/IF($A978&lt;COUNTIFS($K$1:O$1,"&lt;&gt;"),0,SUMIFS($J:$J,$B:$B,$B978,$A:$A,"&gt;="&amp;COUNTIFS($K$1:O$1,"&lt;&gt;"))),0)</f>
        <v>0</v>
      </c>
      <c r="P978">
        <f>IFERROR($J978/IF($A978&lt;COUNTIFS($K$1:P$1,"&lt;&gt;"),0,SUMIFS($J:$J,$B:$B,$B978,$A:$A,"&gt;="&amp;COUNTIFS($K$1:P$1,"&lt;&gt;"))),0)</f>
        <v>0</v>
      </c>
      <c r="Q978">
        <f>IFERROR($J978/IF($A978&lt;COUNTIFS($K$1:Q$1,"&lt;&gt;"),0,SUMIFS($J:$J,$B:$B,$B978,$A:$A,"&gt;="&amp;COUNTIFS($K$1:Q$1,"&lt;&gt;"))),0)</f>
        <v>0</v>
      </c>
      <c r="R978">
        <f>IFERROR($J978/IF($A978&lt;COUNTIFS($K$1:R$1,"&lt;&gt;"),0,SUMIFS($J:$J,$B:$B,$B978,$A:$A,"&gt;="&amp;COUNTIFS($K$1:R$1,"&lt;&gt;"))),0)</f>
        <v>0</v>
      </c>
      <c r="S978">
        <f>IFERROR($J978/IF($A978&lt;COUNTIFS($K$1:S$1,"&lt;&gt;"),0,SUMIFS($J:$J,$B:$B,$B978,$A:$A,"&gt;="&amp;COUNTIFS($K$1:S$1,"&lt;&gt;"))),0)</f>
        <v>0</v>
      </c>
      <c r="T978">
        <f>IFERROR($J978/IF($A978&lt;COUNTIFS($K$1:T$1,"&lt;&gt;"),0,SUMIFS($J:$J,$B:$B,$B978,$A:$A,"&gt;="&amp;COUNTIFS($K$1:T$1,"&lt;&gt;"))),0)</f>
        <v>0</v>
      </c>
      <c r="U978">
        <f>IFERROR($J978/IF($A978&lt;COUNTIFS($K$1:U$1,"&lt;&gt;"),0,SUMIFS($J:$J,$B:$B,$B978,$A:$A,"&gt;="&amp;COUNTIFS($K$1:U$1,"&lt;&gt;"))),0)</f>
        <v>0</v>
      </c>
      <c r="V978">
        <f>IFERROR($J978/IF($A978&lt;COUNTIFS($K$1:V$1,"&lt;&gt;"),0,SUMIFS($J:$J,$B:$B,$B978,$A:$A,"&gt;="&amp;COUNTIFS($K$1:V$1,"&lt;&gt;"))),0)</f>
        <v>0</v>
      </c>
      <c r="W978">
        <f t="shared" si="354"/>
        <v>8.4931506849315067E-2</v>
      </c>
      <c r="X978">
        <f t="shared" si="334"/>
        <v>8.4931506849315067E-2</v>
      </c>
      <c r="Y978">
        <f t="shared" si="335"/>
        <v>0</v>
      </c>
      <c r="Z978">
        <f t="shared" si="336"/>
        <v>0</v>
      </c>
      <c r="AA978">
        <f t="shared" si="337"/>
        <v>0</v>
      </c>
      <c r="AB978">
        <f t="shared" si="338"/>
        <v>0</v>
      </c>
      <c r="AC978">
        <f t="shared" si="339"/>
        <v>0</v>
      </c>
      <c r="AD978">
        <f t="shared" si="340"/>
        <v>0</v>
      </c>
      <c r="AE978">
        <f t="shared" si="341"/>
        <v>0</v>
      </c>
      <c r="AF978">
        <f t="shared" si="342"/>
        <v>0</v>
      </c>
      <c r="AG978">
        <f t="shared" si="343"/>
        <v>0</v>
      </c>
      <c r="AH978">
        <f t="shared" si="344"/>
        <v>0</v>
      </c>
      <c r="AI978">
        <f t="shared" si="345"/>
        <v>0</v>
      </c>
      <c r="AJ978" s="2" t="str">
        <f t="shared" si="355"/>
        <v>146113</v>
      </c>
    </row>
    <row r="979" spans="1:36" x14ac:dyDescent="0.25">
      <c r="A979">
        <v>2</v>
      </c>
      <c r="B979" s="1">
        <v>46113</v>
      </c>
      <c r="C979" s="1">
        <f t="shared" si="346"/>
        <v>46174</v>
      </c>
      <c r="D979" s="1">
        <f t="shared" si="347"/>
        <v>46127</v>
      </c>
      <c r="E979" s="1">
        <f t="shared" si="348"/>
        <v>46174</v>
      </c>
      <c r="F979" s="1">
        <f t="shared" si="349"/>
        <v>46204</v>
      </c>
      <c r="G979" s="1">
        <f t="shared" si="350"/>
        <v>46492</v>
      </c>
      <c r="H979">
        <f t="shared" si="351"/>
        <v>365</v>
      </c>
      <c r="I979">
        <f t="shared" si="352"/>
        <v>30</v>
      </c>
      <c r="J979">
        <f t="shared" si="353"/>
        <v>8.2191780821917804E-2</v>
      </c>
      <c r="K979">
        <f>IFERROR($J979/IF($A979&lt;COUNTIFS($K$1:K$1,"&lt;&gt;"),0,SUMIFS($J:$J,$B:$B,$B979,$A:$A,"&gt;="&amp;COUNTIFS($K$1:K$1,"&lt;&gt;"))),0)</f>
        <v>8.5959885386819493E-2</v>
      </c>
      <c r="L979">
        <f>IFERROR($J979/IF($A979&lt;COUNTIFS($K$1:L$1,"&lt;&gt;"),0,SUMIFS($J:$J,$B:$B,$B979,$A:$A,"&gt;="&amp;COUNTIFS($K$1:L$1,"&lt;&gt;"))),0)</f>
        <v>9.4339622641509441E-2</v>
      </c>
      <c r="M979">
        <f>IFERROR($J979/IF($A979&lt;COUNTIFS($K$1:M$1,"&lt;&gt;"),0,SUMIFS($J:$J,$B:$B,$B979,$A:$A,"&gt;="&amp;COUNTIFS($K$1:M$1,"&lt;&gt;"))),0)</f>
        <v>0</v>
      </c>
      <c r="N979">
        <f>IFERROR($J979/IF($A979&lt;COUNTIFS($K$1:N$1,"&lt;&gt;"),0,SUMIFS($J:$J,$B:$B,$B979,$A:$A,"&gt;="&amp;COUNTIFS($K$1:N$1,"&lt;&gt;"))),0)</f>
        <v>0</v>
      </c>
      <c r="O979">
        <f>IFERROR($J979/IF($A979&lt;COUNTIFS($K$1:O$1,"&lt;&gt;"),0,SUMIFS($J:$J,$B:$B,$B979,$A:$A,"&gt;="&amp;COUNTIFS($K$1:O$1,"&lt;&gt;"))),0)</f>
        <v>0</v>
      </c>
      <c r="P979">
        <f>IFERROR($J979/IF($A979&lt;COUNTIFS($K$1:P$1,"&lt;&gt;"),0,SUMIFS($J:$J,$B:$B,$B979,$A:$A,"&gt;="&amp;COUNTIFS($K$1:P$1,"&lt;&gt;"))),0)</f>
        <v>0</v>
      </c>
      <c r="Q979">
        <f>IFERROR($J979/IF($A979&lt;COUNTIFS($K$1:Q$1,"&lt;&gt;"),0,SUMIFS($J:$J,$B:$B,$B979,$A:$A,"&gt;="&amp;COUNTIFS($K$1:Q$1,"&lt;&gt;"))),0)</f>
        <v>0</v>
      </c>
      <c r="R979">
        <f>IFERROR($J979/IF($A979&lt;COUNTIFS($K$1:R$1,"&lt;&gt;"),0,SUMIFS($J:$J,$B:$B,$B979,$A:$A,"&gt;="&amp;COUNTIFS($K$1:R$1,"&lt;&gt;"))),0)</f>
        <v>0</v>
      </c>
      <c r="S979">
        <f>IFERROR($J979/IF($A979&lt;COUNTIFS($K$1:S$1,"&lt;&gt;"),0,SUMIFS($J:$J,$B:$B,$B979,$A:$A,"&gt;="&amp;COUNTIFS($K$1:S$1,"&lt;&gt;"))),0)</f>
        <v>0</v>
      </c>
      <c r="T979">
        <f>IFERROR($J979/IF($A979&lt;COUNTIFS($K$1:T$1,"&lt;&gt;"),0,SUMIFS($J:$J,$B:$B,$B979,$A:$A,"&gt;="&amp;COUNTIFS($K$1:T$1,"&lt;&gt;"))),0)</f>
        <v>0</v>
      </c>
      <c r="U979">
        <f>IFERROR($J979/IF($A979&lt;COUNTIFS($K$1:U$1,"&lt;&gt;"),0,SUMIFS($J:$J,$B:$B,$B979,$A:$A,"&gt;="&amp;COUNTIFS($K$1:U$1,"&lt;&gt;"))),0)</f>
        <v>0</v>
      </c>
      <c r="V979">
        <f>IFERROR($J979/IF($A979&lt;COUNTIFS($K$1:V$1,"&lt;&gt;"),0,SUMIFS($J:$J,$B:$B,$B979,$A:$A,"&gt;="&amp;COUNTIFS($K$1:V$1,"&lt;&gt;"))),0)</f>
        <v>0</v>
      </c>
      <c r="W979">
        <f t="shared" si="354"/>
        <v>8.2191780821917804E-2</v>
      </c>
      <c r="X979">
        <f t="shared" si="334"/>
        <v>8.2191780821917804E-2</v>
      </c>
      <c r="Y979">
        <f t="shared" si="335"/>
        <v>8.2191780821917804E-2</v>
      </c>
      <c r="Z979">
        <f t="shared" si="336"/>
        <v>0</v>
      </c>
      <c r="AA979">
        <f t="shared" si="337"/>
        <v>0</v>
      </c>
      <c r="AB979">
        <f t="shared" si="338"/>
        <v>0</v>
      </c>
      <c r="AC979">
        <f t="shared" si="339"/>
        <v>0</v>
      </c>
      <c r="AD979">
        <f t="shared" si="340"/>
        <v>0</v>
      </c>
      <c r="AE979">
        <f t="shared" si="341"/>
        <v>0</v>
      </c>
      <c r="AF979">
        <f t="shared" si="342"/>
        <v>0</v>
      </c>
      <c r="AG979">
        <f t="shared" si="343"/>
        <v>0</v>
      </c>
      <c r="AH979">
        <f t="shared" si="344"/>
        <v>0</v>
      </c>
      <c r="AI979">
        <f t="shared" si="345"/>
        <v>0</v>
      </c>
      <c r="AJ979" s="2" t="str">
        <f t="shared" si="355"/>
        <v>246113</v>
      </c>
    </row>
    <row r="980" spans="1:36" x14ac:dyDescent="0.25">
      <c r="A980">
        <v>3</v>
      </c>
      <c r="B980" s="1">
        <v>46113</v>
      </c>
      <c r="C980" s="1">
        <f t="shared" si="346"/>
        <v>46204</v>
      </c>
      <c r="D980" s="1">
        <f t="shared" si="347"/>
        <v>46127</v>
      </c>
      <c r="E980" s="1">
        <f t="shared" si="348"/>
        <v>46204</v>
      </c>
      <c r="F980" s="1">
        <f t="shared" si="349"/>
        <v>46235</v>
      </c>
      <c r="G980" s="1">
        <f t="shared" si="350"/>
        <v>46492</v>
      </c>
      <c r="H980">
        <f t="shared" si="351"/>
        <v>365</v>
      </c>
      <c r="I980">
        <f t="shared" si="352"/>
        <v>31</v>
      </c>
      <c r="J980">
        <f t="shared" si="353"/>
        <v>8.4931506849315067E-2</v>
      </c>
      <c r="K980">
        <f>IFERROR($J980/IF($A980&lt;COUNTIFS($K$1:K$1,"&lt;&gt;"),0,SUMIFS($J:$J,$B:$B,$B980,$A:$A,"&gt;="&amp;COUNTIFS($K$1:K$1,"&lt;&gt;"))),0)</f>
        <v>8.8825214899713484E-2</v>
      </c>
      <c r="L980">
        <f>IFERROR($J980/IF($A980&lt;COUNTIFS($K$1:L$1,"&lt;&gt;"),0,SUMIFS($J:$J,$B:$B,$B980,$A:$A,"&gt;="&amp;COUNTIFS($K$1:L$1,"&lt;&gt;"))),0)</f>
        <v>9.7484276729559768E-2</v>
      </c>
      <c r="M980">
        <f>IFERROR($J980/IF($A980&lt;COUNTIFS($K$1:M$1,"&lt;&gt;"),0,SUMIFS($J:$J,$B:$B,$B980,$A:$A,"&gt;="&amp;COUNTIFS($K$1:M$1,"&lt;&gt;"))),0)</f>
        <v>0.10763888888888891</v>
      </c>
      <c r="N980">
        <f>IFERROR($J980/IF($A980&lt;COUNTIFS($K$1:N$1,"&lt;&gt;"),0,SUMIFS($J:$J,$B:$B,$B980,$A:$A,"&gt;="&amp;COUNTIFS($K$1:N$1,"&lt;&gt;"))),0)</f>
        <v>0</v>
      </c>
      <c r="O980">
        <f>IFERROR($J980/IF($A980&lt;COUNTIFS($K$1:O$1,"&lt;&gt;"),0,SUMIFS($J:$J,$B:$B,$B980,$A:$A,"&gt;="&amp;COUNTIFS($K$1:O$1,"&lt;&gt;"))),0)</f>
        <v>0</v>
      </c>
      <c r="P980">
        <f>IFERROR($J980/IF($A980&lt;COUNTIFS($K$1:P$1,"&lt;&gt;"),0,SUMIFS($J:$J,$B:$B,$B980,$A:$A,"&gt;="&amp;COUNTIFS($K$1:P$1,"&lt;&gt;"))),0)</f>
        <v>0</v>
      </c>
      <c r="Q980">
        <f>IFERROR($J980/IF($A980&lt;COUNTIFS($K$1:Q$1,"&lt;&gt;"),0,SUMIFS($J:$J,$B:$B,$B980,$A:$A,"&gt;="&amp;COUNTIFS($K$1:Q$1,"&lt;&gt;"))),0)</f>
        <v>0</v>
      </c>
      <c r="R980">
        <f>IFERROR($J980/IF($A980&lt;COUNTIFS($K$1:R$1,"&lt;&gt;"),0,SUMIFS($J:$J,$B:$B,$B980,$A:$A,"&gt;="&amp;COUNTIFS($K$1:R$1,"&lt;&gt;"))),0)</f>
        <v>0</v>
      </c>
      <c r="S980">
        <f>IFERROR($J980/IF($A980&lt;COUNTIFS($K$1:S$1,"&lt;&gt;"),0,SUMIFS($J:$J,$B:$B,$B980,$A:$A,"&gt;="&amp;COUNTIFS($K$1:S$1,"&lt;&gt;"))),0)</f>
        <v>0</v>
      </c>
      <c r="T980">
        <f>IFERROR($J980/IF($A980&lt;COUNTIFS($K$1:T$1,"&lt;&gt;"),0,SUMIFS($J:$J,$B:$B,$B980,$A:$A,"&gt;="&amp;COUNTIFS($K$1:T$1,"&lt;&gt;"))),0)</f>
        <v>0</v>
      </c>
      <c r="U980">
        <f>IFERROR($J980/IF($A980&lt;COUNTIFS($K$1:U$1,"&lt;&gt;"),0,SUMIFS($J:$J,$B:$B,$B980,$A:$A,"&gt;="&amp;COUNTIFS($K$1:U$1,"&lt;&gt;"))),0)</f>
        <v>0</v>
      </c>
      <c r="V980">
        <f>IFERROR($J980/IF($A980&lt;COUNTIFS($K$1:V$1,"&lt;&gt;"),0,SUMIFS($J:$J,$B:$B,$B980,$A:$A,"&gt;="&amp;COUNTIFS($K$1:V$1,"&lt;&gt;"))),0)</f>
        <v>0</v>
      </c>
      <c r="W980">
        <f t="shared" si="354"/>
        <v>8.4931506849315067E-2</v>
      </c>
      <c r="X980">
        <f t="shared" si="334"/>
        <v>8.4931506849315067E-2</v>
      </c>
      <c r="Y980">
        <f t="shared" si="335"/>
        <v>8.4931506849315067E-2</v>
      </c>
      <c r="Z980">
        <f t="shared" si="336"/>
        <v>8.4931506849315067E-2</v>
      </c>
      <c r="AA980">
        <f t="shared" si="337"/>
        <v>0</v>
      </c>
      <c r="AB980">
        <f t="shared" si="338"/>
        <v>0</v>
      </c>
      <c r="AC980">
        <f t="shared" si="339"/>
        <v>0</v>
      </c>
      <c r="AD980">
        <f t="shared" si="340"/>
        <v>0</v>
      </c>
      <c r="AE980">
        <f t="shared" si="341"/>
        <v>0</v>
      </c>
      <c r="AF980">
        <f t="shared" si="342"/>
        <v>0</v>
      </c>
      <c r="AG980">
        <f t="shared" si="343"/>
        <v>0</v>
      </c>
      <c r="AH980">
        <f t="shared" si="344"/>
        <v>0</v>
      </c>
      <c r="AI980">
        <f t="shared" si="345"/>
        <v>0</v>
      </c>
      <c r="AJ980" s="2" t="str">
        <f t="shared" si="355"/>
        <v>346113</v>
      </c>
    </row>
    <row r="981" spans="1:36" x14ac:dyDescent="0.25">
      <c r="A981">
        <v>4</v>
      </c>
      <c r="B981" s="1">
        <v>46113</v>
      </c>
      <c r="C981" s="1">
        <f t="shared" si="346"/>
        <v>46235</v>
      </c>
      <c r="D981" s="1">
        <f t="shared" si="347"/>
        <v>46127</v>
      </c>
      <c r="E981" s="1">
        <f t="shared" si="348"/>
        <v>46235</v>
      </c>
      <c r="F981" s="1">
        <f t="shared" si="349"/>
        <v>46266</v>
      </c>
      <c r="G981" s="1">
        <f t="shared" si="350"/>
        <v>46492</v>
      </c>
      <c r="H981">
        <f t="shared" si="351"/>
        <v>365</v>
      </c>
      <c r="I981">
        <f t="shared" si="352"/>
        <v>31</v>
      </c>
      <c r="J981">
        <f t="shared" si="353"/>
        <v>8.4931506849315067E-2</v>
      </c>
      <c r="K981">
        <f>IFERROR($J981/IF($A981&lt;COUNTIFS($K$1:K$1,"&lt;&gt;"),0,SUMIFS($J:$J,$B:$B,$B981,$A:$A,"&gt;="&amp;COUNTIFS($K$1:K$1,"&lt;&gt;"))),0)</f>
        <v>8.8825214899713484E-2</v>
      </c>
      <c r="L981">
        <f>IFERROR($J981/IF($A981&lt;COUNTIFS($K$1:L$1,"&lt;&gt;"),0,SUMIFS($J:$J,$B:$B,$B981,$A:$A,"&gt;="&amp;COUNTIFS($K$1:L$1,"&lt;&gt;"))),0)</f>
        <v>9.7484276729559768E-2</v>
      </c>
      <c r="M981">
        <f>IFERROR($J981/IF($A981&lt;COUNTIFS($K$1:M$1,"&lt;&gt;"),0,SUMIFS($J:$J,$B:$B,$B981,$A:$A,"&gt;="&amp;COUNTIFS($K$1:M$1,"&lt;&gt;"))),0)</f>
        <v>0.10763888888888891</v>
      </c>
      <c r="N981">
        <f>IFERROR($J981/IF($A981&lt;COUNTIFS($K$1:N$1,"&lt;&gt;"),0,SUMIFS($J:$J,$B:$B,$B981,$A:$A,"&gt;="&amp;COUNTIFS($K$1:N$1,"&lt;&gt;"))),0)</f>
        <v>0.12062256809338523</v>
      </c>
      <c r="O981">
        <f>IFERROR($J981/IF($A981&lt;COUNTIFS($K$1:O$1,"&lt;&gt;"),0,SUMIFS($J:$J,$B:$B,$B981,$A:$A,"&gt;="&amp;COUNTIFS($K$1:O$1,"&lt;&gt;"))),0)</f>
        <v>0</v>
      </c>
      <c r="P981">
        <f>IFERROR($J981/IF($A981&lt;COUNTIFS($K$1:P$1,"&lt;&gt;"),0,SUMIFS($J:$J,$B:$B,$B981,$A:$A,"&gt;="&amp;COUNTIFS($K$1:P$1,"&lt;&gt;"))),0)</f>
        <v>0</v>
      </c>
      <c r="Q981">
        <f>IFERROR($J981/IF($A981&lt;COUNTIFS($K$1:Q$1,"&lt;&gt;"),0,SUMIFS($J:$J,$B:$B,$B981,$A:$A,"&gt;="&amp;COUNTIFS($K$1:Q$1,"&lt;&gt;"))),0)</f>
        <v>0</v>
      </c>
      <c r="R981">
        <f>IFERROR($J981/IF($A981&lt;COUNTIFS($K$1:R$1,"&lt;&gt;"),0,SUMIFS($J:$J,$B:$B,$B981,$A:$A,"&gt;="&amp;COUNTIFS($K$1:R$1,"&lt;&gt;"))),0)</f>
        <v>0</v>
      </c>
      <c r="S981">
        <f>IFERROR($J981/IF($A981&lt;COUNTIFS($K$1:S$1,"&lt;&gt;"),0,SUMIFS($J:$J,$B:$B,$B981,$A:$A,"&gt;="&amp;COUNTIFS($K$1:S$1,"&lt;&gt;"))),0)</f>
        <v>0</v>
      </c>
      <c r="T981">
        <f>IFERROR($J981/IF($A981&lt;COUNTIFS($K$1:T$1,"&lt;&gt;"),0,SUMIFS($J:$J,$B:$B,$B981,$A:$A,"&gt;="&amp;COUNTIFS($K$1:T$1,"&lt;&gt;"))),0)</f>
        <v>0</v>
      </c>
      <c r="U981">
        <f>IFERROR($J981/IF($A981&lt;COUNTIFS($K$1:U$1,"&lt;&gt;"),0,SUMIFS($J:$J,$B:$B,$B981,$A:$A,"&gt;="&amp;COUNTIFS($K$1:U$1,"&lt;&gt;"))),0)</f>
        <v>0</v>
      </c>
      <c r="V981">
        <f>IFERROR($J981/IF($A981&lt;COUNTIFS($K$1:V$1,"&lt;&gt;"),0,SUMIFS($J:$J,$B:$B,$B981,$A:$A,"&gt;="&amp;COUNTIFS($K$1:V$1,"&lt;&gt;"))),0)</f>
        <v>0</v>
      </c>
      <c r="W981">
        <f t="shared" si="354"/>
        <v>8.4931506849315067E-2</v>
      </c>
      <c r="X981">
        <f t="shared" si="334"/>
        <v>8.4931506849315067E-2</v>
      </c>
      <c r="Y981">
        <f t="shared" si="335"/>
        <v>8.4931506849315067E-2</v>
      </c>
      <c r="Z981">
        <f t="shared" si="336"/>
        <v>8.4931506849315067E-2</v>
      </c>
      <c r="AA981">
        <f t="shared" si="337"/>
        <v>8.4931506849315067E-2</v>
      </c>
      <c r="AB981">
        <f t="shared" si="338"/>
        <v>0</v>
      </c>
      <c r="AC981">
        <f t="shared" si="339"/>
        <v>0</v>
      </c>
      <c r="AD981">
        <f t="shared" si="340"/>
        <v>0</v>
      </c>
      <c r="AE981">
        <f t="shared" si="341"/>
        <v>0</v>
      </c>
      <c r="AF981">
        <f t="shared" si="342"/>
        <v>0</v>
      </c>
      <c r="AG981">
        <f t="shared" si="343"/>
        <v>0</v>
      </c>
      <c r="AH981">
        <f t="shared" si="344"/>
        <v>0</v>
      </c>
      <c r="AI981">
        <f t="shared" si="345"/>
        <v>0</v>
      </c>
      <c r="AJ981" s="2" t="str">
        <f t="shared" si="355"/>
        <v>446113</v>
      </c>
    </row>
    <row r="982" spans="1:36" x14ac:dyDescent="0.25">
      <c r="A982">
        <v>5</v>
      </c>
      <c r="B982" s="1">
        <v>46113</v>
      </c>
      <c r="C982" s="1">
        <f t="shared" si="346"/>
        <v>46266</v>
      </c>
      <c r="D982" s="1">
        <f t="shared" si="347"/>
        <v>46127</v>
      </c>
      <c r="E982" s="1">
        <f t="shared" si="348"/>
        <v>46266</v>
      </c>
      <c r="F982" s="1">
        <f t="shared" si="349"/>
        <v>46296</v>
      </c>
      <c r="G982" s="1">
        <f t="shared" si="350"/>
        <v>46492</v>
      </c>
      <c r="H982">
        <f t="shared" si="351"/>
        <v>365</v>
      </c>
      <c r="I982">
        <f t="shared" si="352"/>
        <v>30</v>
      </c>
      <c r="J982">
        <f t="shared" si="353"/>
        <v>8.2191780821917804E-2</v>
      </c>
      <c r="K982">
        <f>IFERROR($J982/IF($A982&lt;COUNTIFS($K$1:K$1,"&lt;&gt;"),0,SUMIFS($J:$J,$B:$B,$B982,$A:$A,"&gt;="&amp;COUNTIFS($K$1:K$1,"&lt;&gt;"))),0)</f>
        <v>8.5959885386819493E-2</v>
      </c>
      <c r="L982">
        <f>IFERROR($J982/IF($A982&lt;COUNTIFS($K$1:L$1,"&lt;&gt;"),0,SUMIFS($J:$J,$B:$B,$B982,$A:$A,"&gt;="&amp;COUNTIFS($K$1:L$1,"&lt;&gt;"))),0)</f>
        <v>9.4339622641509441E-2</v>
      </c>
      <c r="M982">
        <f>IFERROR($J982/IF($A982&lt;COUNTIFS($K$1:M$1,"&lt;&gt;"),0,SUMIFS($J:$J,$B:$B,$B982,$A:$A,"&gt;="&amp;COUNTIFS($K$1:M$1,"&lt;&gt;"))),0)</f>
        <v>0.10416666666666669</v>
      </c>
      <c r="N982">
        <f>IFERROR($J982/IF($A982&lt;COUNTIFS($K$1:N$1,"&lt;&gt;"),0,SUMIFS($J:$J,$B:$B,$B982,$A:$A,"&gt;="&amp;COUNTIFS($K$1:N$1,"&lt;&gt;"))),0)</f>
        <v>0.11673151750972764</v>
      </c>
      <c r="O982">
        <f>IFERROR($J982/IF($A982&lt;COUNTIFS($K$1:O$1,"&lt;&gt;"),0,SUMIFS($J:$J,$B:$B,$B982,$A:$A,"&gt;="&amp;COUNTIFS($K$1:O$1,"&lt;&gt;"))),0)</f>
        <v>0.13274336283185842</v>
      </c>
      <c r="P982">
        <f>IFERROR($J982/IF($A982&lt;COUNTIFS($K$1:P$1,"&lt;&gt;"),0,SUMIFS($J:$J,$B:$B,$B982,$A:$A,"&gt;="&amp;COUNTIFS($K$1:P$1,"&lt;&gt;"))),0)</f>
        <v>0</v>
      </c>
      <c r="Q982">
        <f>IFERROR($J982/IF($A982&lt;COUNTIFS($K$1:Q$1,"&lt;&gt;"),0,SUMIFS($J:$J,$B:$B,$B982,$A:$A,"&gt;="&amp;COUNTIFS($K$1:Q$1,"&lt;&gt;"))),0)</f>
        <v>0</v>
      </c>
      <c r="R982">
        <f>IFERROR($J982/IF($A982&lt;COUNTIFS($K$1:R$1,"&lt;&gt;"),0,SUMIFS($J:$J,$B:$B,$B982,$A:$A,"&gt;="&amp;COUNTIFS($K$1:R$1,"&lt;&gt;"))),0)</f>
        <v>0</v>
      </c>
      <c r="S982">
        <f>IFERROR($J982/IF($A982&lt;COUNTIFS($K$1:S$1,"&lt;&gt;"),0,SUMIFS($J:$J,$B:$B,$B982,$A:$A,"&gt;="&amp;COUNTIFS($K$1:S$1,"&lt;&gt;"))),0)</f>
        <v>0</v>
      </c>
      <c r="T982">
        <f>IFERROR($J982/IF($A982&lt;COUNTIFS($K$1:T$1,"&lt;&gt;"),0,SUMIFS($J:$J,$B:$B,$B982,$A:$A,"&gt;="&amp;COUNTIFS($K$1:T$1,"&lt;&gt;"))),0)</f>
        <v>0</v>
      </c>
      <c r="U982">
        <f>IFERROR($J982/IF($A982&lt;COUNTIFS($K$1:U$1,"&lt;&gt;"),0,SUMIFS($J:$J,$B:$B,$B982,$A:$A,"&gt;="&amp;COUNTIFS($K$1:U$1,"&lt;&gt;"))),0)</f>
        <v>0</v>
      </c>
      <c r="V982">
        <f>IFERROR($J982/IF($A982&lt;COUNTIFS($K$1:V$1,"&lt;&gt;"),0,SUMIFS($J:$J,$B:$B,$B982,$A:$A,"&gt;="&amp;COUNTIFS($K$1:V$1,"&lt;&gt;"))),0)</f>
        <v>0</v>
      </c>
      <c r="W982">
        <f t="shared" si="354"/>
        <v>8.2191780821917804E-2</v>
      </c>
      <c r="X982">
        <f t="shared" si="334"/>
        <v>8.2191780821917804E-2</v>
      </c>
      <c r="Y982">
        <f t="shared" si="335"/>
        <v>8.2191780821917804E-2</v>
      </c>
      <c r="Z982">
        <f t="shared" si="336"/>
        <v>8.2191780821917804E-2</v>
      </c>
      <c r="AA982">
        <f t="shared" si="337"/>
        <v>8.2191780821917804E-2</v>
      </c>
      <c r="AB982">
        <f t="shared" si="338"/>
        <v>8.2191780821917804E-2</v>
      </c>
      <c r="AC982">
        <f t="shared" si="339"/>
        <v>0</v>
      </c>
      <c r="AD982">
        <f t="shared" si="340"/>
        <v>0</v>
      </c>
      <c r="AE982">
        <f t="shared" si="341"/>
        <v>0</v>
      </c>
      <c r="AF982">
        <f t="shared" si="342"/>
        <v>0</v>
      </c>
      <c r="AG982">
        <f t="shared" si="343"/>
        <v>0</v>
      </c>
      <c r="AH982">
        <f t="shared" si="344"/>
        <v>0</v>
      </c>
      <c r="AI982">
        <f t="shared" si="345"/>
        <v>0</v>
      </c>
      <c r="AJ982" s="2" t="str">
        <f t="shared" si="355"/>
        <v>546113</v>
      </c>
    </row>
    <row r="983" spans="1:36" x14ac:dyDescent="0.25">
      <c r="A983">
        <v>6</v>
      </c>
      <c r="B983" s="1">
        <v>46113</v>
      </c>
      <c r="C983" s="1">
        <f t="shared" si="346"/>
        <v>46296</v>
      </c>
      <c r="D983" s="1">
        <f t="shared" si="347"/>
        <v>46127</v>
      </c>
      <c r="E983" s="1">
        <f t="shared" si="348"/>
        <v>46296</v>
      </c>
      <c r="F983" s="1">
        <f t="shared" si="349"/>
        <v>46327</v>
      </c>
      <c r="G983" s="1">
        <f t="shared" si="350"/>
        <v>46492</v>
      </c>
      <c r="H983">
        <f t="shared" si="351"/>
        <v>365</v>
      </c>
      <c r="I983">
        <f t="shared" si="352"/>
        <v>31</v>
      </c>
      <c r="J983">
        <f t="shared" si="353"/>
        <v>8.4931506849315067E-2</v>
      </c>
      <c r="K983">
        <f>IFERROR($J983/IF($A983&lt;COUNTIFS($K$1:K$1,"&lt;&gt;"),0,SUMIFS($J:$J,$B:$B,$B983,$A:$A,"&gt;="&amp;COUNTIFS($K$1:K$1,"&lt;&gt;"))),0)</f>
        <v>8.8825214899713484E-2</v>
      </c>
      <c r="L983">
        <f>IFERROR($J983/IF($A983&lt;COUNTIFS($K$1:L$1,"&lt;&gt;"),0,SUMIFS($J:$J,$B:$B,$B983,$A:$A,"&gt;="&amp;COUNTIFS($K$1:L$1,"&lt;&gt;"))),0)</f>
        <v>9.7484276729559768E-2</v>
      </c>
      <c r="M983">
        <f>IFERROR($J983/IF($A983&lt;COUNTIFS($K$1:M$1,"&lt;&gt;"),0,SUMIFS($J:$J,$B:$B,$B983,$A:$A,"&gt;="&amp;COUNTIFS($K$1:M$1,"&lt;&gt;"))),0)</f>
        <v>0.10763888888888891</v>
      </c>
      <c r="N983">
        <f>IFERROR($J983/IF($A983&lt;COUNTIFS($K$1:N$1,"&lt;&gt;"),0,SUMIFS($J:$J,$B:$B,$B983,$A:$A,"&gt;="&amp;COUNTIFS($K$1:N$1,"&lt;&gt;"))),0)</f>
        <v>0.12062256809338523</v>
      </c>
      <c r="O983">
        <f>IFERROR($J983/IF($A983&lt;COUNTIFS($K$1:O$1,"&lt;&gt;"),0,SUMIFS($J:$J,$B:$B,$B983,$A:$A,"&gt;="&amp;COUNTIFS($K$1:O$1,"&lt;&gt;"))),0)</f>
        <v>0.13716814159292037</v>
      </c>
      <c r="P983">
        <f>IFERROR($J983/IF($A983&lt;COUNTIFS($K$1:P$1,"&lt;&gt;"),0,SUMIFS($J:$J,$B:$B,$B983,$A:$A,"&gt;="&amp;COUNTIFS($K$1:P$1,"&lt;&gt;"))),0)</f>
        <v>0.15816326530612249</v>
      </c>
      <c r="Q983">
        <f>IFERROR($J983/IF($A983&lt;COUNTIFS($K$1:Q$1,"&lt;&gt;"),0,SUMIFS($J:$J,$B:$B,$B983,$A:$A,"&gt;="&amp;COUNTIFS($K$1:Q$1,"&lt;&gt;"))),0)</f>
        <v>0</v>
      </c>
      <c r="R983">
        <f>IFERROR($J983/IF($A983&lt;COUNTIFS($K$1:R$1,"&lt;&gt;"),0,SUMIFS($J:$J,$B:$B,$B983,$A:$A,"&gt;="&amp;COUNTIFS($K$1:R$1,"&lt;&gt;"))),0)</f>
        <v>0</v>
      </c>
      <c r="S983">
        <f>IFERROR($J983/IF($A983&lt;COUNTIFS($K$1:S$1,"&lt;&gt;"),0,SUMIFS($J:$J,$B:$B,$B983,$A:$A,"&gt;="&amp;COUNTIFS($K$1:S$1,"&lt;&gt;"))),0)</f>
        <v>0</v>
      </c>
      <c r="T983">
        <f>IFERROR($J983/IF($A983&lt;COUNTIFS($K$1:T$1,"&lt;&gt;"),0,SUMIFS($J:$J,$B:$B,$B983,$A:$A,"&gt;="&amp;COUNTIFS($K$1:T$1,"&lt;&gt;"))),0)</f>
        <v>0</v>
      </c>
      <c r="U983">
        <f>IFERROR($J983/IF($A983&lt;COUNTIFS($K$1:U$1,"&lt;&gt;"),0,SUMIFS($J:$J,$B:$B,$B983,$A:$A,"&gt;="&amp;COUNTIFS($K$1:U$1,"&lt;&gt;"))),0)</f>
        <v>0</v>
      </c>
      <c r="V983">
        <f>IFERROR($J983/IF($A983&lt;COUNTIFS($K$1:V$1,"&lt;&gt;"),0,SUMIFS($J:$J,$B:$B,$B983,$A:$A,"&gt;="&amp;COUNTIFS($K$1:V$1,"&lt;&gt;"))),0)</f>
        <v>0</v>
      </c>
      <c r="W983">
        <f t="shared" si="354"/>
        <v>8.4931506849315067E-2</v>
      </c>
      <c r="X983">
        <f t="shared" si="334"/>
        <v>8.4931506849315067E-2</v>
      </c>
      <c r="Y983">
        <f t="shared" si="335"/>
        <v>8.4931506849315067E-2</v>
      </c>
      <c r="Z983">
        <f t="shared" si="336"/>
        <v>8.4931506849315067E-2</v>
      </c>
      <c r="AA983">
        <f t="shared" si="337"/>
        <v>8.4931506849315067E-2</v>
      </c>
      <c r="AB983">
        <f t="shared" si="338"/>
        <v>8.4931506849315067E-2</v>
      </c>
      <c r="AC983">
        <f t="shared" si="339"/>
        <v>8.4931506849315067E-2</v>
      </c>
      <c r="AD983">
        <f t="shared" si="340"/>
        <v>0</v>
      </c>
      <c r="AE983">
        <f t="shared" si="341"/>
        <v>0</v>
      </c>
      <c r="AF983">
        <f t="shared" si="342"/>
        <v>0</v>
      </c>
      <c r="AG983">
        <f t="shared" si="343"/>
        <v>0</v>
      </c>
      <c r="AH983">
        <f t="shared" si="344"/>
        <v>0</v>
      </c>
      <c r="AI983">
        <f t="shared" si="345"/>
        <v>0</v>
      </c>
      <c r="AJ983" s="2" t="str">
        <f t="shared" si="355"/>
        <v>646113</v>
      </c>
    </row>
    <row r="984" spans="1:36" x14ac:dyDescent="0.25">
      <c r="A984">
        <v>7</v>
      </c>
      <c r="B984" s="1">
        <v>46113</v>
      </c>
      <c r="C984" s="1">
        <f t="shared" si="346"/>
        <v>46327</v>
      </c>
      <c r="D984" s="1">
        <f t="shared" si="347"/>
        <v>46127</v>
      </c>
      <c r="E984" s="1">
        <f t="shared" si="348"/>
        <v>46327</v>
      </c>
      <c r="F984" s="1">
        <f t="shared" si="349"/>
        <v>46357</v>
      </c>
      <c r="G984" s="1">
        <f t="shared" si="350"/>
        <v>46492</v>
      </c>
      <c r="H984">
        <f t="shared" si="351"/>
        <v>365</v>
      </c>
      <c r="I984">
        <f t="shared" si="352"/>
        <v>30</v>
      </c>
      <c r="J984">
        <f t="shared" si="353"/>
        <v>8.2191780821917804E-2</v>
      </c>
      <c r="K984">
        <f>IFERROR($J984/IF($A984&lt;COUNTIFS($K$1:K$1,"&lt;&gt;"),0,SUMIFS($J:$J,$B:$B,$B984,$A:$A,"&gt;="&amp;COUNTIFS($K$1:K$1,"&lt;&gt;"))),0)</f>
        <v>8.5959885386819493E-2</v>
      </c>
      <c r="L984">
        <f>IFERROR($J984/IF($A984&lt;COUNTIFS($K$1:L$1,"&lt;&gt;"),0,SUMIFS($J:$J,$B:$B,$B984,$A:$A,"&gt;="&amp;COUNTIFS($K$1:L$1,"&lt;&gt;"))),0)</f>
        <v>9.4339622641509441E-2</v>
      </c>
      <c r="M984">
        <f>IFERROR($J984/IF($A984&lt;COUNTIFS($K$1:M$1,"&lt;&gt;"),0,SUMIFS($J:$J,$B:$B,$B984,$A:$A,"&gt;="&amp;COUNTIFS($K$1:M$1,"&lt;&gt;"))),0)</f>
        <v>0.10416666666666669</v>
      </c>
      <c r="N984">
        <f>IFERROR($J984/IF($A984&lt;COUNTIFS($K$1:N$1,"&lt;&gt;"),0,SUMIFS($J:$J,$B:$B,$B984,$A:$A,"&gt;="&amp;COUNTIFS($K$1:N$1,"&lt;&gt;"))),0)</f>
        <v>0.11673151750972764</v>
      </c>
      <c r="O984">
        <f>IFERROR($J984/IF($A984&lt;COUNTIFS($K$1:O$1,"&lt;&gt;"),0,SUMIFS($J:$J,$B:$B,$B984,$A:$A,"&gt;="&amp;COUNTIFS($K$1:O$1,"&lt;&gt;"))),0)</f>
        <v>0.13274336283185842</v>
      </c>
      <c r="P984">
        <f>IFERROR($J984/IF($A984&lt;COUNTIFS($K$1:P$1,"&lt;&gt;"),0,SUMIFS($J:$J,$B:$B,$B984,$A:$A,"&gt;="&amp;COUNTIFS($K$1:P$1,"&lt;&gt;"))),0)</f>
        <v>0.15306122448979595</v>
      </c>
      <c r="Q984">
        <f>IFERROR($J984/IF($A984&lt;COUNTIFS($K$1:Q$1,"&lt;&gt;"),0,SUMIFS($J:$J,$B:$B,$B984,$A:$A,"&gt;="&amp;COUNTIFS($K$1:Q$1,"&lt;&gt;"))),0)</f>
        <v>0.18181818181818182</v>
      </c>
      <c r="R984">
        <f>IFERROR($J984/IF($A984&lt;COUNTIFS($K$1:R$1,"&lt;&gt;"),0,SUMIFS($J:$J,$B:$B,$B984,$A:$A,"&gt;="&amp;COUNTIFS($K$1:R$1,"&lt;&gt;"))),0)</f>
        <v>0</v>
      </c>
      <c r="S984">
        <f>IFERROR($J984/IF($A984&lt;COUNTIFS($K$1:S$1,"&lt;&gt;"),0,SUMIFS($J:$J,$B:$B,$B984,$A:$A,"&gt;="&amp;COUNTIFS($K$1:S$1,"&lt;&gt;"))),0)</f>
        <v>0</v>
      </c>
      <c r="T984">
        <f>IFERROR($J984/IF($A984&lt;COUNTIFS($K$1:T$1,"&lt;&gt;"),0,SUMIFS($J:$J,$B:$B,$B984,$A:$A,"&gt;="&amp;COUNTIFS($K$1:T$1,"&lt;&gt;"))),0)</f>
        <v>0</v>
      </c>
      <c r="U984">
        <f>IFERROR($J984/IF($A984&lt;COUNTIFS($K$1:U$1,"&lt;&gt;"),0,SUMIFS($J:$J,$B:$B,$B984,$A:$A,"&gt;="&amp;COUNTIFS($K$1:U$1,"&lt;&gt;"))),0)</f>
        <v>0</v>
      </c>
      <c r="V984">
        <f>IFERROR($J984/IF($A984&lt;COUNTIFS($K$1:V$1,"&lt;&gt;"),0,SUMIFS($J:$J,$B:$B,$B984,$A:$A,"&gt;="&amp;COUNTIFS($K$1:V$1,"&lt;&gt;"))),0)</f>
        <v>0</v>
      </c>
      <c r="W984">
        <f t="shared" si="354"/>
        <v>8.2191780821917804E-2</v>
      </c>
      <c r="X984">
        <f t="shared" si="334"/>
        <v>8.2191780821917804E-2</v>
      </c>
      <c r="Y984">
        <f t="shared" si="335"/>
        <v>8.2191780821917804E-2</v>
      </c>
      <c r="Z984">
        <f t="shared" si="336"/>
        <v>8.2191780821917804E-2</v>
      </c>
      <c r="AA984">
        <f t="shared" si="337"/>
        <v>8.2191780821917804E-2</v>
      </c>
      <c r="AB984">
        <f t="shared" si="338"/>
        <v>8.2191780821917804E-2</v>
      </c>
      <c r="AC984">
        <f t="shared" si="339"/>
        <v>8.2191780821917804E-2</v>
      </c>
      <c r="AD984">
        <f t="shared" si="340"/>
        <v>8.2191780821917804E-2</v>
      </c>
      <c r="AE984">
        <f t="shared" si="341"/>
        <v>0</v>
      </c>
      <c r="AF984">
        <f t="shared" si="342"/>
        <v>0</v>
      </c>
      <c r="AG984">
        <f t="shared" si="343"/>
        <v>0</v>
      </c>
      <c r="AH984">
        <f t="shared" si="344"/>
        <v>0</v>
      </c>
      <c r="AI984">
        <f t="shared" si="345"/>
        <v>0</v>
      </c>
      <c r="AJ984" s="2" t="str">
        <f t="shared" si="355"/>
        <v>746113</v>
      </c>
    </row>
    <row r="985" spans="1:36" x14ac:dyDescent="0.25">
      <c r="A985">
        <v>8</v>
      </c>
      <c r="B985" s="1">
        <v>46113</v>
      </c>
      <c r="C985" s="1">
        <f t="shared" si="346"/>
        <v>46357</v>
      </c>
      <c r="D985" s="1">
        <f t="shared" si="347"/>
        <v>46127</v>
      </c>
      <c r="E985" s="1">
        <f t="shared" si="348"/>
        <v>46357</v>
      </c>
      <c r="F985" s="1">
        <f t="shared" si="349"/>
        <v>46388</v>
      </c>
      <c r="G985" s="1">
        <f t="shared" si="350"/>
        <v>46492</v>
      </c>
      <c r="H985">
        <f t="shared" si="351"/>
        <v>365</v>
      </c>
      <c r="I985">
        <f t="shared" si="352"/>
        <v>31</v>
      </c>
      <c r="J985">
        <f t="shared" si="353"/>
        <v>8.4931506849315067E-2</v>
      </c>
      <c r="K985">
        <f>IFERROR($J985/IF($A985&lt;COUNTIFS($K$1:K$1,"&lt;&gt;"),0,SUMIFS($J:$J,$B:$B,$B985,$A:$A,"&gt;="&amp;COUNTIFS($K$1:K$1,"&lt;&gt;"))),0)</f>
        <v>8.8825214899713484E-2</v>
      </c>
      <c r="L985">
        <f>IFERROR($J985/IF($A985&lt;COUNTIFS($K$1:L$1,"&lt;&gt;"),0,SUMIFS($J:$J,$B:$B,$B985,$A:$A,"&gt;="&amp;COUNTIFS($K$1:L$1,"&lt;&gt;"))),0)</f>
        <v>9.7484276729559768E-2</v>
      </c>
      <c r="M985">
        <f>IFERROR($J985/IF($A985&lt;COUNTIFS($K$1:M$1,"&lt;&gt;"),0,SUMIFS($J:$J,$B:$B,$B985,$A:$A,"&gt;="&amp;COUNTIFS($K$1:M$1,"&lt;&gt;"))),0)</f>
        <v>0.10763888888888891</v>
      </c>
      <c r="N985">
        <f>IFERROR($J985/IF($A985&lt;COUNTIFS($K$1:N$1,"&lt;&gt;"),0,SUMIFS($J:$J,$B:$B,$B985,$A:$A,"&gt;="&amp;COUNTIFS($K$1:N$1,"&lt;&gt;"))),0)</f>
        <v>0.12062256809338523</v>
      </c>
      <c r="O985">
        <f>IFERROR($J985/IF($A985&lt;COUNTIFS($K$1:O$1,"&lt;&gt;"),0,SUMIFS($J:$J,$B:$B,$B985,$A:$A,"&gt;="&amp;COUNTIFS($K$1:O$1,"&lt;&gt;"))),0)</f>
        <v>0.13716814159292037</v>
      </c>
      <c r="P985">
        <f>IFERROR($J985/IF($A985&lt;COUNTIFS($K$1:P$1,"&lt;&gt;"),0,SUMIFS($J:$J,$B:$B,$B985,$A:$A,"&gt;="&amp;COUNTIFS($K$1:P$1,"&lt;&gt;"))),0)</f>
        <v>0.15816326530612249</v>
      </c>
      <c r="Q985">
        <f>IFERROR($J985/IF($A985&lt;COUNTIFS($K$1:Q$1,"&lt;&gt;"),0,SUMIFS($J:$J,$B:$B,$B985,$A:$A,"&gt;="&amp;COUNTIFS($K$1:Q$1,"&lt;&gt;"))),0)</f>
        <v>0.1878787878787879</v>
      </c>
      <c r="R985">
        <f>IFERROR($J985/IF($A985&lt;COUNTIFS($K$1:R$1,"&lt;&gt;"),0,SUMIFS($J:$J,$B:$B,$B985,$A:$A,"&gt;="&amp;COUNTIFS($K$1:R$1,"&lt;&gt;"))),0)</f>
        <v>0.22962962962962963</v>
      </c>
      <c r="S985">
        <f>IFERROR($J985/IF($A985&lt;COUNTIFS($K$1:S$1,"&lt;&gt;"),0,SUMIFS($J:$J,$B:$B,$B985,$A:$A,"&gt;="&amp;COUNTIFS($K$1:S$1,"&lt;&gt;"))),0)</f>
        <v>0</v>
      </c>
      <c r="T985">
        <f>IFERROR($J985/IF($A985&lt;COUNTIFS($K$1:T$1,"&lt;&gt;"),0,SUMIFS($J:$J,$B:$B,$B985,$A:$A,"&gt;="&amp;COUNTIFS($K$1:T$1,"&lt;&gt;"))),0)</f>
        <v>0</v>
      </c>
      <c r="U985">
        <f>IFERROR($J985/IF($A985&lt;COUNTIFS($K$1:U$1,"&lt;&gt;"),0,SUMIFS($J:$J,$B:$B,$B985,$A:$A,"&gt;="&amp;COUNTIFS($K$1:U$1,"&lt;&gt;"))),0)</f>
        <v>0</v>
      </c>
      <c r="V985">
        <f>IFERROR($J985/IF($A985&lt;COUNTIFS($K$1:V$1,"&lt;&gt;"),0,SUMIFS($J:$J,$B:$B,$B985,$A:$A,"&gt;="&amp;COUNTIFS($K$1:V$1,"&lt;&gt;"))),0)</f>
        <v>0</v>
      </c>
      <c r="W985">
        <f t="shared" si="354"/>
        <v>8.4931506849315067E-2</v>
      </c>
      <c r="X985">
        <f t="shared" si="334"/>
        <v>8.4931506849315067E-2</v>
      </c>
      <c r="Y985">
        <f t="shared" si="335"/>
        <v>8.4931506849315067E-2</v>
      </c>
      <c r="Z985">
        <f t="shared" si="336"/>
        <v>8.4931506849315067E-2</v>
      </c>
      <c r="AA985">
        <f t="shared" si="337"/>
        <v>8.4931506849315067E-2</v>
      </c>
      <c r="AB985">
        <f t="shared" si="338"/>
        <v>8.4931506849315067E-2</v>
      </c>
      <c r="AC985">
        <f t="shared" si="339"/>
        <v>8.4931506849315067E-2</v>
      </c>
      <c r="AD985">
        <f t="shared" si="340"/>
        <v>8.4931506849315067E-2</v>
      </c>
      <c r="AE985">
        <f t="shared" si="341"/>
        <v>8.4931506849315067E-2</v>
      </c>
      <c r="AF985">
        <f t="shared" si="342"/>
        <v>0</v>
      </c>
      <c r="AG985">
        <f t="shared" si="343"/>
        <v>0</v>
      </c>
      <c r="AH985">
        <f t="shared" si="344"/>
        <v>0</v>
      </c>
      <c r="AI985">
        <f t="shared" si="345"/>
        <v>0</v>
      </c>
      <c r="AJ985" s="2" t="str">
        <f t="shared" si="355"/>
        <v>846113</v>
      </c>
    </row>
    <row r="986" spans="1:36" x14ac:dyDescent="0.25">
      <c r="A986">
        <v>9</v>
      </c>
      <c r="B986" s="1">
        <v>46113</v>
      </c>
      <c r="C986" s="1">
        <f t="shared" si="346"/>
        <v>46388</v>
      </c>
      <c r="D986" s="1">
        <f t="shared" si="347"/>
        <v>46127</v>
      </c>
      <c r="E986" s="1">
        <f t="shared" si="348"/>
        <v>46388</v>
      </c>
      <c r="F986" s="1">
        <f t="shared" si="349"/>
        <v>46419</v>
      </c>
      <c r="G986" s="1">
        <f t="shared" si="350"/>
        <v>46492</v>
      </c>
      <c r="H986">
        <f t="shared" si="351"/>
        <v>365</v>
      </c>
      <c r="I986">
        <f t="shared" si="352"/>
        <v>31</v>
      </c>
      <c r="J986">
        <f t="shared" si="353"/>
        <v>8.4931506849315067E-2</v>
      </c>
      <c r="K986">
        <f>IFERROR($J986/IF($A986&lt;COUNTIFS($K$1:K$1,"&lt;&gt;"),0,SUMIFS($J:$J,$B:$B,$B986,$A:$A,"&gt;="&amp;COUNTIFS($K$1:K$1,"&lt;&gt;"))),0)</f>
        <v>8.8825214899713484E-2</v>
      </c>
      <c r="L986">
        <f>IFERROR($J986/IF($A986&lt;COUNTIFS($K$1:L$1,"&lt;&gt;"),0,SUMIFS($J:$J,$B:$B,$B986,$A:$A,"&gt;="&amp;COUNTIFS($K$1:L$1,"&lt;&gt;"))),0)</f>
        <v>9.7484276729559768E-2</v>
      </c>
      <c r="M986">
        <f>IFERROR($J986/IF($A986&lt;COUNTIFS($K$1:M$1,"&lt;&gt;"),0,SUMIFS($J:$J,$B:$B,$B986,$A:$A,"&gt;="&amp;COUNTIFS($K$1:M$1,"&lt;&gt;"))),0)</f>
        <v>0.10763888888888891</v>
      </c>
      <c r="N986">
        <f>IFERROR($J986/IF($A986&lt;COUNTIFS($K$1:N$1,"&lt;&gt;"),0,SUMIFS($J:$J,$B:$B,$B986,$A:$A,"&gt;="&amp;COUNTIFS($K$1:N$1,"&lt;&gt;"))),0)</f>
        <v>0.12062256809338523</v>
      </c>
      <c r="O986">
        <f>IFERROR($J986/IF($A986&lt;COUNTIFS($K$1:O$1,"&lt;&gt;"),0,SUMIFS($J:$J,$B:$B,$B986,$A:$A,"&gt;="&amp;COUNTIFS($K$1:O$1,"&lt;&gt;"))),0)</f>
        <v>0.13716814159292037</v>
      </c>
      <c r="P986">
        <f>IFERROR($J986/IF($A986&lt;COUNTIFS($K$1:P$1,"&lt;&gt;"),0,SUMIFS($J:$J,$B:$B,$B986,$A:$A,"&gt;="&amp;COUNTIFS($K$1:P$1,"&lt;&gt;"))),0)</f>
        <v>0.15816326530612249</v>
      </c>
      <c r="Q986">
        <f>IFERROR($J986/IF($A986&lt;COUNTIFS($K$1:Q$1,"&lt;&gt;"),0,SUMIFS($J:$J,$B:$B,$B986,$A:$A,"&gt;="&amp;COUNTIFS($K$1:Q$1,"&lt;&gt;"))),0)</f>
        <v>0.1878787878787879</v>
      </c>
      <c r="R986">
        <f>IFERROR($J986/IF($A986&lt;COUNTIFS($K$1:R$1,"&lt;&gt;"),0,SUMIFS($J:$J,$B:$B,$B986,$A:$A,"&gt;="&amp;COUNTIFS($K$1:R$1,"&lt;&gt;"))),0)</f>
        <v>0.22962962962962963</v>
      </c>
      <c r="S986">
        <f>IFERROR($J986/IF($A986&lt;COUNTIFS($K$1:S$1,"&lt;&gt;"),0,SUMIFS($J:$J,$B:$B,$B986,$A:$A,"&gt;="&amp;COUNTIFS($K$1:S$1,"&lt;&gt;"))),0)</f>
        <v>0.29807692307692307</v>
      </c>
      <c r="T986">
        <f>IFERROR($J986/IF($A986&lt;COUNTIFS($K$1:T$1,"&lt;&gt;"),0,SUMIFS($J:$J,$B:$B,$B986,$A:$A,"&gt;="&amp;COUNTIFS($K$1:T$1,"&lt;&gt;"))),0)</f>
        <v>0</v>
      </c>
      <c r="U986">
        <f>IFERROR($J986/IF($A986&lt;COUNTIFS($K$1:U$1,"&lt;&gt;"),0,SUMIFS($J:$J,$B:$B,$B986,$A:$A,"&gt;="&amp;COUNTIFS($K$1:U$1,"&lt;&gt;"))),0)</f>
        <v>0</v>
      </c>
      <c r="V986">
        <f>IFERROR($J986/IF($A986&lt;COUNTIFS($K$1:V$1,"&lt;&gt;"),0,SUMIFS($J:$J,$B:$B,$B986,$A:$A,"&gt;="&amp;COUNTIFS($K$1:V$1,"&lt;&gt;"))),0)</f>
        <v>0</v>
      </c>
      <c r="W986">
        <f t="shared" si="354"/>
        <v>8.4931506849315067E-2</v>
      </c>
      <c r="X986">
        <f t="shared" si="334"/>
        <v>8.4931506849315067E-2</v>
      </c>
      <c r="Y986">
        <f t="shared" si="335"/>
        <v>8.4931506849315067E-2</v>
      </c>
      <c r="Z986">
        <f t="shared" si="336"/>
        <v>8.4931506849315067E-2</v>
      </c>
      <c r="AA986">
        <f t="shared" si="337"/>
        <v>8.4931506849315067E-2</v>
      </c>
      <c r="AB986">
        <f t="shared" si="338"/>
        <v>8.4931506849315067E-2</v>
      </c>
      <c r="AC986">
        <f t="shared" si="339"/>
        <v>8.4931506849315067E-2</v>
      </c>
      <c r="AD986">
        <f t="shared" si="340"/>
        <v>8.4931506849315067E-2</v>
      </c>
      <c r="AE986">
        <f t="shared" si="341"/>
        <v>8.4931506849315067E-2</v>
      </c>
      <c r="AF986">
        <f t="shared" si="342"/>
        <v>8.4931506849315067E-2</v>
      </c>
      <c r="AG986">
        <f t="shared" si="343"/>
        <v>0</v>
      </c>
      <c r="AH986">
        <f t="shared" si="344"/>
        <v>0</v>
      </c>
      <c r="AI986">
        <f t="shared" si="345"/>
        <v>0</v>
      </c>
      <c r="AJ986" s="2" t="str">
        <f t="shared" si="355"/>
        <v>946113</v>
      </c>
    </row>
    <row r="987" spans="1:36" x14ac:dyDescent="0.25">
      <c r="A987">
        <v>10</v>
      </c>
      <c r="B987" s="1">
        <v>46113</v>
      </c>
      <c r="C987" s="1">
        <f t="shared" si="346"/>
        <v>46419</v>
      </c>
      <c r="D987" s="1">
        <f t="shared" si="347"/>
        <v>46127</v>
      </c>
      <c r="E987" s="1">
        <f t="shared" si="348"/>
        <v>46419</v>
      </c>
      <c r="F987" s="1">
        <f t="shared" si="349"/>
        <v>46447</v>
      </c>
      <c r="G987" s="1">
        <f t="shared" si="350"/>
        <v>46492</v>
      </c>
      <c r="H987">
        <f t="shared" si="351"/>
        <v>365</v>
      </c>
      <c r="I987">
        <f t="shared" si="352"/>
        <v>28</v>
      </c>
      <c r="J987">
        <f t="shared" si="353"/>
        <v>7.6712328767123292E-2</v>
      </c>
      <c r="K987">
        <f>IFERROR($J987/IF($A987&lt;COUNTIFS($K$1:K$1,"&lt;&gt;"),0,SUMIFS($J:$J,$B:$B,$B987,$A:$A,"&gt;="&amp;COUNTIFS($K$1:K$1,"&lt;&gt;"))),0)</f>
        <v>8.0229226361031539E-2</v>
      </c>
      <c r="L987">
        <f>IFERROR($J987/IF($A987&lt;COUNTIFS($K$1:L$1,"&lt;&gt;"),0,SUMIFS($J:$J,$B:$B,$B987,$A:$A,"&gt;="&amp;COUNTIFS($K$1:L$1,"&lt;&gt;"))),0)</f>
        <v>8.8050314465408827E-2</v>
      </c>
      <c r="M987">
        <f>IFERROR($J987/IF($A987&lt;COUNTIFS($K$1:M$1,"&lt;&gt;"),0,SUMIFS($J:$J,$B:$B,$B987,$A:$A,"&gt;="&amp;COUNTIFS($K$1:M$1,"&lt;&gt;"))),0)</f>
        <v>9.7222222222222238E-2</v>
      </c>
      <c r="N987">
        <f>IFERROR($J987/IF($A987&lt;COUNTIFS($K$1:N$1,"&lt;&gt;"),0,SUMIFS($J:$J,$B:$B,$B987,$A:$A,"&gt;="&amp;COUNTIFS($K$1:N$1,"&lt;&gt;"))),0)</f>
        <v>0.10894941634241248</v>
      </c>
      <c r="O987">
        <f>IFERROR($J987/IF($A987&lt;COUNTIFS($K$1:O$1,"&lt;&gt;"),0,SUMIFS($J:$J,$B:$B,$B987,$A:$A,"&gt;="&amp;COUNTIFS($K$1:O$1,"&lt;&gt;"))),0)</f>
        <v>0.12389380530973454</v>
      </c>
      <c r="P987">
        <f>IFERROR($J987/IF($A987&lt;COUNTIFS($K$1:P$1,"&lt;&gt;"),0,SUMIFS($J:$J,$B:$B,$B987,$A:$A,"&gt;="&amp;COUNTIFS($K$1:P$1,"&lt;&gt;"))),0)</f>
        <v>0.14285714285714288</v>
      </c>
      <c r="Q987">
        <f>IFERROR($J987/IF($A987&lt;COUNTIFS($K$1:Q$1,"&lt;&gt;"),0,SUMIFS($J:$J,$B:$B,$B987,$A:$A,"&gt;="&amp;COUNTIFS($K$1:Q$1,"&lt;&gt;"))),0)</f>
        <v>0.16969696969696971</v>
      </c>
      <c r="R987">
        <f>IFERROR($J987/IF($A987&lt;COUNTIFS($K$1:R$1,"&lt;&gt;"),0,SUMIFS($J:$J,$B:$B,$B987,$A:$A,"&gt;="&amp;COUNTIFS($K$1:R$1,"&lt;&gt;"))),0)</f>
        <v>0.20740740740740743</v>
      </c>
      <c r="S987">
        <f>IFERROR($J987/IF($A987&lt;COUNTIFS($K$1:S$1,"&lt;&gt;"),0,SUMIFS($J:$J,$B:$B,$B987,$A:$A,"&gt;="&amp;COUNTIFS($K$1:S$1,"&lt;&gt;"))),0)</f>
        <v>0.26923076923076927</v>
      </c>
      <c r="T987">
        <f>IFERROR($J987/IF($A987&lt;COUNTIFS($K$1:T$1,"&lt;&gt;"),0,SUMIFS($J:$J,$B:$B,$B987,$A:$A,"&gt;="&amp;COUNTIFS($K$1:T$1,"&lt;&gt;"))),0)</f>
        <v>0.38356164383561642</v>
      </c>
      <c r="U987">
        <f>IFERROR($J987/IF($A987&lt;COUNTIFS($K$1:U$1,"&lt;&gt;"),0,SUMIFS($J:$J,$B:$B,$B987,$A:$A,"&gt;="&amp;COUNTIFS($K$1:U$1,"&lt;&gt;"))),0)</f>
        <v>0</v>
      </c>
      <c r="V987">
        <f>IFERROR($J987/IF($A987&lt;COUNTIFS($K$1:V$1,"&lt;&gt;"),0,SUMIFS($J:$J,$B:$B,$B987,$A:$A,"&gt;="&amp;COUNTIFS($K$1:V$1,"&lt;&gt;"))),0)</f>
        <v>0</v>
      </c>
      <c r="W987">
        <f t="shared" si="354"/>
        <v>7.6712328767123292E-2</v>
      </c>
      <c r="X987">
        <f t="shared" si="334"/>
        <v>7.6712328767123292E-2</v>
      </c>
      <c r="Y987">
        <f t="shared" si="335"/>
        <v>7.6712328767123292E-2</v>
      </c>
      <c r="Z987">
        <f t="shared" si="336"/>
        <v>7.6712328767123292E-2</v>
      </c>
      <c r="AA987">
        <f t="shared" si="337"/>
        <v>7.6712328767123292E-2</v>
      </c>
      <c r="AB987">
        <f t="shared" si="338"/>
        <v>7.6712328767123292E-2</v>
      </c>
      <c r="AC987">
        <f t="shared" si="339"/>
        <v>7.6712328767123292E-2</v>
      </c>
      <c r="AD987">
        <f t="shared" si="340"/>
        <v>7.6712328767123292E-2</v>
      </c>
      <c r="AE987">
        <f t="shared" si="341"/>
        <v>7.6712328767123292E-2</v>
      </c>
      <c r="AF987">
        <f t="shared" si="342"/>
        <v>7.6712328767123292E-2</v>
      </c>
      <c r="AG987">
        <f t="shared" si="343"/>
        <v>7.6712328767123292E-2</v>
      </c>
      <c r="AH987">
        <f t="shared" si="344"/>
        <v>0</v>
      </c>
      <c r="AI987">
        <f t="shared" si="345"/>
        <v>0</v>
      </c>
      <c r="AJ987" s="2" t="str">
        <f t="shared" si="355"/>
        <v>1046113</v>
      </c>
    </row>
    <row r="988" spans="1:36" x14ac:dyDescent="0.25">
      <c r="A988">
        <v>11</v>
      </c>
      <c r="B988" s="1">
        <v>46113</v>
      </c>
      <c r="C988" s="1">
        <f t="shared" si="346"/>
        <v>46447</v>
      </c>
      <c r="D988" s="1">
        <f t="shared" si="347"/>
        <v>46127</v>
      </c>
      <c r="E988" s="1">
        <f t="shared" si="348"/>
        <v>46447</v>
      </c>
      <c r="F988" s="1">
        <f t="shared" si="349"/>
        <v>46478</v>
      </c>
      <c r="G988" s="1">
        <f t="shared" si="350"/>
        <v>46492</v>
      </c>
      <c r="H988">
        <f t="shared" si="351"/>
        <v>365</v>
      </c>
      <c r="I988">
        <f t="shared" si="352"/>
        <v>31</v>
      </c>
      <c r="J988">
        <f t="shared" si="353"/>
        <v>8.4931506849315067E-2</v>
      </c>
      <c r="K988">
        <f>IFERROR($J988/IF($A988&lt;COUNTIFS($K$1:K$1,"&lt;&gt;"),0,SUMIFS($J:$J,$B:$B,$B988,$A:$A,"&gt;="&amp;COUNTIFS($K$1:K$1,"&lt;&gt;"))),0)</f>
        <v>8.8825214899713484E-2</v>
      </c>
      <c r="L988">
        <f>IFERROR($J988/IF($A988&lt;COUNTIFS($K$1:L$1,"&lt;&gt;"),0,SUMIFS($J:$J,$B:$B,$B988,$A:$A,"&gt;="&amp;COUNTIFS($K$1:L$1,"&lt;&gt;"))),0)</f>
        <v>9.7484276729559768E-2</v>
      </c>
      <c r="M988">
        <f>IFERROR($J988/IF($A988&lt;COUNTIFS($K$1:M$1,"&lt;&gt;"),0,SUMIFS($J:$J,$B:$B,$B988,$A:$A,"&gt;="&amp;COUNTIFS($K$1:M$1,"&lt;&gt;"))),0)</f>
        <v>0.10763888888888891</v>
      </c>
      <c r="N988">
        <f>IFERROR($J988/IF($A988&lt;COUNTIFS($K$1:N$1,"&lt;&gt;"),0,SUMIFS($J:$J,$B:$B,$B988,$A:$A,"&gt;="&amp;COUNTIFS($K$1:N$1,"&lt;&gt;"))),0)</f>
        <v>0.12062256809338523</v>
      </c>
      <c r="O988">
        <f>IFERROR($J988/IF($A988&lt;COUNTIFS($K$1:O$1,"&lt;&gt;"),0,SUMIFS($J:$J,$B:$B,$B988,$A:$A,"&gt;="&amp;COUNTIFS($K$1:O$1,"&lt;&gt;"))),0)</f>
        <v>0.13716814159292037</v>
      </c>
      <c r="P988">
        <f>IFERROR($J988/IF($A988&lt;COUNTIFS($K$1:P$1,"&lt;&gt;"),0,SUMIFS($J:$J,$B:$B,$B988,$A:$A,"&gt;="&amp;COUNTIFS($K$1:P$1,"&lt;&gt;"))),0)</f>
        <v>0.15816326530612249</v>
      </c>
      <c r="Q988">
        <f>IFERROR($J988/IF($A988&lt;COUNTIFS($K$1:Q$1,"&lt;&gt;"),0,SUMIFS($J:$J,$B:$B,$B988,$A:$A,"&gt;="&amp;COUNTIFS($K$1:Q$1,"&lt;&gt;"))),0)</f>
        <v>0.1878787878787879</v>
      </c>
      <c r="R988">
        <f>IFERROR($J988/IF($A988&lt;COUNTIFS($K$1:R$1,"&lt;&gt;"),0,SUMIFS($J:$J,$B:$B,$B988,$A:$A,"&gt;="&amp;COUNTIFS($K$1:R$1,"&lt;&gt;"))),0)</f>
        <v>0.22962962962962963</v>
      </c>
      <c r="S988">
        <f>IFERROR($J988/IF($A988&lt;COUNTIFS($K$1:S$1,"&lt;&gt;"),0,SUMIFS($J:$J,$B:$B,$B988,$A:$A,"&gt;="&amp;COUNTIFS($K$1:S$1,"&lt;&gt;"))),0)</f>
        <v>0.29807692307692307</v>
      </c>
      <c r="T988">
        <f>IFERROR($J988/IF($A988&lt;COUNTIFS($K$1:T$1,"&lt;&gt;"),0,SUMIFS($J:$J,$B:$B,$B988,$A:$A,"&gt;="&amp;COUNTIFS($K$1:T$1,"&lt;&gt;"))),0)</f>
        <v>0.42465753424657532</v>
      </c>
      <c r="U988">
        <f>IFERROR($J988/IF($A988&lt;COUNTIFS($K$1:U$1,"&lt;&gt;"),0,SUMIFS($J:$J,$B:$B,$B988,$A:$A,"&gt;="&amp;COUNTIFS($K$1:U$1,"&lt;&gt;"))),0)</f>
        <v>0.68888888888888888</v>
      </c>
      <c r="V988">
        <f>IFERROR($J988/IF($A988&lt;COUNTIFS($K$1:V$1,"&lt;&gt;"),0,SUMIFS($J:$J,$B:$B,$B988,$A:$A,"&gt;="&amp;COUNTIFS($K$1:V$1,"&lt;&gt;"))),0)</f>
        <v>0</v>
      </c>
      <c r="W988">
        <f t="shared" si="354"/>
        <v>8.4931506849315067E-2</v>
      </c>
      <c r="X988">
        <f t="shared" si="334"/>
        <v>8.4931506849315067E-2</v>
      </c>
      <c r="Y988">
        <f t="shared" si="335"/>
        <v>8.4931506849315067E-2</v>
      </c>
      <c r="Z988">
        <f t="shared" si="336"/>
        <v>8.4931506849315067E-2</v>
      </c>
      <c r="AA988">
        <f t="shared" si="337"/>
        <v>8.4931506849315067E-2</v>
      </c>
      <c r="AB988">
        <f t="shared" si="338"/>
        <v>8.4931506849315067E-2</v>
      </c>
      <c r="AC988">
        <f t="shared" si="339"/>
        <v>8.4931506849315067E-2</v>
      </c>
      <c r="AD988">
        <f t="shared" si="340"/>
        <v>8.4931506849315067E-2</v>
      </c>
      <c r="AE988">
        <f t="shared" si="341"/>
        <v>8.4931506849315067E-2</v>
      </c>
      <c r="AF988">
        <f t="shared" si="342"/>
        <v>8.4931506849315067E-2</v>
      </c>
      <c r="AG988">
        <f t="shared" si="343"/>
        <v>8.4931506849315067E-2</v>
      </c>
      <c r="AH988">
        <f t="shared" si="344"/>
        <v>8.4931506849315067E-2</v>
      </c>
      <c r="AI988">
        <f t="shared" si="345"/>
        <v>0</v>
      </c>
      <c r="AJ988" s="2" t="str">
        <f t="shared" si="355"/>
        <v>1146113</v>
      </c>
    </row>
    <row r="989" spans="1:36" x14ac:dyDescent="0.25">
      <c r="A989">
        <v>12</v>
      </c>
      <c r="B989" s="1">
        <v>46113</v>
      </c>
      <c r="C989" s="1">
        <f t="shared" si="346"/>
        <v>46478</v>
      </c>
      <c r="D989" s="1">
        <f t="shared" si="347"/>
        <v>46127</v>
      </c>
      <c r="E989" s="1">
        <f t="shared" si="348"/>
        <v>46478</v>
      </c>
      <c r="F989" s="1">
        <f t="shared" si="349"/>
        <v>46492</v>
      </c>
      <c r="G989" s="1">
        <f t="shared" si="350"/>
        <v>46492</v>
      </c>
      <c r="H989">
        <f t="shared" si="351"/>
        <v>365</v>
      </c>
      <c r="I989">
        <f t="shared" si="352"/>
        <v>14</v>
      </c>
      <c r="J989">
        <f t="shared" si="353"/>
        <v>3.8356164383561646E-2</v>
      </c>
      <c r="K989">
        <f>IFERROR($J989/IF($A989&lt;COUNTIFS($K$1:K$1,"&lt;&gt;"),0,SUMIFS($J:$J,$B:$B,$B989,$A:$A,"&gt;="&amp;COUNTIFS($K$1:K$1,"&lt;&gt;"))),0)</f>
        <v>4.0114613180515769E-2</v>
      </c>
      <c r="L989">
        <f>IFERROR($J989/IF($A989&lt;COUNTIFS($K$1:L$1,"&lt;&gt;"),0,SUMIFS($J:$J,$B:$B,$B989,$A:$A,"&gt;="&amp;COUNTIFS($K$1:L$1,"&lt;&gt;"))),0)</f>
        <v>4.4025157232704414E-2</v>
      </c>
      <c r="M989">
        <f>IFERROR($J989/IF($A989&lt;COUNTIFS($K$1:M$1,"&lt;&gt;"),0,SUMIFS($J:$J,$B:$B,$B989,$A:$A,"&gt;="&amp;COUNTIFS($K$1:M$1,"&lt;&gt;"))),0)</f>
        <v>4.8611111111111119E-2</v>
      </c>
      <c r="N989">
        <f>IFERROR($J989/IF($A989&lt;COUNTIFS($K$1:N$1,"&lt;&gt;"),0,SUMIFS($J:$J,$B:$B,$B989,$A:$A,"&gt;="&amp;COUNTIFS($K$1:N$1,"&lt;&gt;"))),0)</f>
        <v>5.447470817120624E-2</v>
      </c>
      <c r="O989">
        <f>IFERROR($J989/IF($A989&lt;COUNTIFS($K$1:O$1,"&lt;&gt;"),0,SUMIFS($J:$J,$B:$B,$B989,$A:$A,"&gt;="&amp;COUNTIFS($K$1:O$1,"&lt;&gt;"))),0)</f>
        <v>6.194690265486727E-2</v>
      </c>
      <c r="P989">
        <f>IFERROR($J989/IF($A989&lt;COUNTIFS($K$1:P$1,"&lt;&gt;"),0,SUMIFS($J:$J,$B:$B,$B989,$A:$A,"&gt;="&amp;COUNTIFS($K$1:P$1,"&lt;&gt;"))),0)</f>
        <v>7.1428571428571438E-2</v>
      </c>
      <c r="Q989">
        <f>IFERROR($J989/IF($A989&lt;COUNTIFS($K$1:Q$1,"&lt;&gt;"),0,SUMIFS($J:$J,$B:$B,$B989,$A:$A,"&gt;="&amp;COUNTIFS($K$1:Q$1,"&lt;&gt;"))),0)</f>
        <v>8.4848484848484854E-2</v>
      </c>
      <c r="R989">
        <f>IFERROR($J989/IF($A989&lt;COUNTIFS($K$1:R$1,"&lt;&gt;"),0,SUMIFS($J:$J,$B:$B,$B989,$A:$A,"&gt;="&amp;COUNTIFS($K$1:R$1,"&lt;&gt;"))),0)</f>
        <v>0.10370370370370371</v>
      </c>
      <c r="S989">
        <f>IFERROR($J989/IF($A989&lt;COUNTIFS($K$1:S$1,"&lt;&gt;"),0,SUMIFS($J:$J,$B:$B,$B989,$A:$A,"&gt;="&amp;COUNTIFS($K$1:S$1,"&lt;&gt;"))),0)</f>
        <v>0.13461538461538464</v>
      </c>
      <c r="T989">
        <f>IFERROR($J989/IF($A989&lt;COUNTIFS($K$1:T$1,"&lt;&gt;"),0,SUMIFS($J:$J,$B:$B,$B989,$A:$A,"&gt;="&amp;COUNTIFS($K$1:T$1,"&lt;&gt;"))),0)</f>
        <v>0.19178082191780821</v>
      </c>
      <c r="U989">
        <f>IFERROR($J989/IF($A989&lt;COUNTIFS($K$1:U$1,"&lt;&gt;"),0,SUMIFS($J:$J,$B:$B,$B989,$A:$A,"&gt;="&amp;COUNTIFS($K$1:U$1,"&lt;&gt;"))),0)</f>
        <v>0.31111111111111117</v>
      </c>
      <c r="V989">
        <f>IFERROR($J989/IF($A989&lt;COUNTIFS($K$1:V$1,"&lt;&gt;"),0,SUMIFS($J:$J,$B:$B,$B989,$A:$A,"&gt;="&amp;COUNTIFS($K$1:V$1,"&lt;&gt;"))),0)</f>
        <v>1</v>
      </c>
      <c r="W989">
        <f t="shared" si="354"/>
        <v>3.8356164383561646E-2</v>
      </c>
      <c r="X989">
        <f t="shared" si="334"/>
        <v>3.8356164383561646E-2</v>
      </c>
      <c r="Y989">
        <f t="shared" si="335"/>
        <v>3.8356164383561646E-2</v>
      </c>
      <c r="Z989">
        <f t="shared" si="336"/>
        <v>3.8356164383561646E-2</v>
      </c>
      <c r="AA989">
        <f t="shared" si="337"/>
        <v>3.8356164383561646E-2</v>
      </c>
      <c r="AB989">
        <f t="shared" si="338"/>
        <v>3.8356164383561646E-2</v>
      </c>
      <c r="AC989">
        <f t="shared" si="339"/>
        <v>3.8356164383561646E-2</v>
      </c>
      <c r="AD989">
        <f t="shared" si="340"/>
        <v>3.8356164383561646E-2</v>
      </c>
      <c r="AE989">
        <f t="shared" si="341"/>
        <v>3.8356164383561646E-2</v>
      </c>
      <c r="AF989">
        <f t="shared" si="342"/>
        <v>3.8356164383561646E-2</v>
      </c>
      <c r="AG989">
        <f t="shared" si="343"/>
        <v>3.8356164383561646E-2</v>
      </c>
      <c r="AH989">
        <f t="shared" si="344"/>
        <v>3.8356164383561646E-2</v>
      </c>
      <c r="AI989">
        <f t="shared" si="345"/>
        <v>3.8356164383561646E-2</v>
      </c>
      <c r="AJ989" s="2" t="str">
        <f t="shared" si="355"/>
        <v>1246113</v>
      </c>
    </row>
    <row r="990" spans="1:36" x14ac:dyDescent="0.25">
      <c r="A990">
        <v>0</v>
      </c>
      <c r="B990" s="1">
        <v>46143</v>
      </c>
      <c r="C990" s="1">
        <f t="shared" si="346"/>
        <v>46143</v>
      </c>
      <c r="D990" s="1">
        <f t="shared" si="347"/>
        <v>46157</v>
      </c>
      <c r="E990" s="1">
        <f t="shared" si="348"/>
        <v>46157</v>
      </c>
      <c r="F990" s="1">
        <f t="shared" si="349"/>
        <v>46174</v>
      </c>
      <c r="G990" s="1">
        <f t="shared" si="350"/>
        <v>46522</v>
      </c>
      <c r="H990">
        <f t="shared" si="351"/>
        <v>365</v>
      </c>
      <c r="I990">
        <f t="shared" si="352"/>
        <v>17</v>
      </c>
      <c r="J990">
        <f t="shared" si="353"/>
        <v>4.6575342465753428E-2</v>
      </c>
      <c r="K990">
        <f>IFERROR($J990/IF($A990&lt;COUNTIFS($K$1:K$1,"&lt;&gt;"),0,SUMIFS($J:$J,$B:$B,$B990,$A:$A,"&gt;="&amp;COUNTIFS($K$1:K$1,"&lt;&gt;"))),0)</f>
        <v>0</v>
      </c>
      <c r="L990">
        <f>IFERROR($J990/IF($A990&lt;COUNTIFS($K$1:L$1,"&lt;&gt;"),0,SUMIFS($J:$J,$B:$B,$B990,$A:$A,"&gt;="&amp;COUNTIFS($K$1:L$1,"&lt;&gt;"))),0)</f>
        <v>0</v>
      </c>
      <c r="M990">
        <f>IFERROR($J990/IF($A990&lt;COUNTIFS($K$1:M$1,"&lt;&gt;"),0,SUMIFS($J:$J,$B:$B,$B990,$A:$A,"&gt;="&amp;COUNTIFS($K$1:M$1,"&lt;&gt;"))),0)</f>
        <v>0</v>
      </c>
      <c r="N990">
        <f>IFERROR($J990/IF($A990&lt;COUNTIFS($K$1:N$1,"&lt;&gt;"),0,SUMIFS($J:$J,$B:$B,$B990,$A:$A,"&gt;="&amp;COUNTIFS($K$1:N$1,"&lt;&gt;"))),0)</f>
        <v>0</v>
      </c>
      <c r="O990">
        <f>IFERROR($J990/IF($A990&lt;COUNTIFS($K$1:O$1,"&lt;&gt;"),0,SUMIFS($J:$J,$B:$B,$B990,$A:$A,"&gt;="&amp;COUNTIFS($K$1:O$1,"&lt;&gt;"))),0)</f>
        <v>0</v>
      </c>
      <c r="P990">
        <f>IFERROR($J990/IF($A990&lt;COUNTIFS($K$1:P$1,"&lt;&gt;"),0,SUMIFS($J:$J,$B:$B,$B990,$A:$A,"&gt;="&amp;COUNTIFS($K$1:P$1,"&lt;&gt;"))),0)</f>
        <v>0</v>
      </c>
      <c r="Q990">
        <f>IFERROR($J990/IF($A990&lt;COUNTIFS($K$1:Q$1,"&lt;&gt;"),0,SUMIFS($J:$J,$B:$B,$B990,$A:$A,"&gt;="&amp;COUNTIFS($K$1:Q$1,"&lt;&gt;"))),0)</f>
        <v>0</v>
      </c>
      <c r="R990">
        <f>IFERROR($J990/IF($A990&lt;COUNTIFS($K$1:R$1,"&lt;&gt;"),0,SUMIFS($J:$J,$B:$B,$B990,$A:$A,"&gt;="&amp;COUNTIFS($K$1:R$1,"&lt;&gt;"))),0)</f>
        <v>0</v>
      </c>
      <c r="S990">
        <f>IFERROR($J990/IF($A990&lt;COUNTIFS($K$1:S$1,"&lt;&gt;"),0,SUMIFS($J:$J,$B:$B,$B990,$A:$A,"&gt;="&amp;COUNTIFS($K$1:S$1,"&lt;&gt;"))),0)</f>
        <v>0</v>
      </c>
      <c r="T990">
        <f>IFERROR($J990/IF($A990&lt;COUNTIFS($K$1:T$1,"&lt;&gt;"),0,SUMIFS($J:$J,$B:$B,$B990,$A:$A,"&gt;="&amp;COUNTIFS($K$1:T$1,"&lt;&gt;"))),0)</f>
        <v>0</v>
      </c>
      <c r="U990">
        <f>IFERROR($J990/IF($A990&lt;COUNTIFS($K$1:U$1,"&lt;&gt;"),0,SUMIFS($J:$J,$B:$B,$B990,$A:$A,"&gt;="&amp;COUNTIFS($K$1:U$1,"&lt;&gt;"))),0)</f>
        <v>0</v>
      </c>
      <c r="V990">
        <f>IFERROR($J990/IF($A990&lt;COUNTIFS($K$1:V$1,"&lt;&gt;"),0,SUMIFS($J:$J,$B:$B,$B990,$A:$A,"&gt;="&amp;COUNTIFS($K$1:V$1,"&lt;&gt;"))),0)</f>
        <v>0</v>
      </c>
      <c r="W990">
        <f t="shared" si="354"/>
        <v>4.6575342465753428E-2</v>
      </c>
      <c r="X990">
        <f t="shared" si="334"/>
        <v>0</v>
      </c>
      <c r="Y990">
        <f t="shared" si="335"/>
        <v>0</v>
      </c>
      <c r="Z990">
        <f t="shared" si="336"/>
        <v>0</v>
      </c>
      <c r="AA990">
        <f t="shared" si="337"/>
        <v>0</v>
      </c>
      <c r="AB990">
        <f t="shared" si="338"/>
        <v>0</v>
      </c>
      <c r="AC990">
        <f t="shared" si="339"/>
        <v>0</v>
      </c>
      <c r="AD990">
        <f t="shared" si="340"/>
        <v>0</v>
      </c>
      <c r="AE990">
        <f t="shared" si="341"/>
        <v>0</v>
      </c>
      <c r="AF990">
        <f t="shared" si="342"/>
        <v>0</v>
      </c>
      <c r="AG990">
        <f t="shared" si="343"/>
        <v>0</v>
      </c>
      <c r="AH990">
        <f t="shared" si="344"/>
        <v>0</v>
      </c>
      <c r="AI990">
        <f t="shared" si="345"/>
        <v>0</v>
      </c>
      <c r="AJ990" s="2" t="str">
        <f t="shared" si="355"/>
        <v>046143</v>
      </c>
    </row>
    <row r="991" spans="1:36" x14ac:dyDescent="0.25">
      <c r="A991">
        <v>1</v>
      </c>
      <c r="B991" s="1">
        <v>46143</v>
      </c>
      <c r="C991" s="1">
        <f t="shared" si="346"/>
        <v>46174</v>
      </c>
      <c r="D991" s="1">
        <f t="shared" si="347"/>
        <v>46157</v>
      </c>
      <c r="E991" s="1">
        <f t="shared" si="348"/>
        <v>46174</v>
      </c>
      <c r="F991" s="1">
        <f t="shared" si="349"/>
        <v>46204</v>
      </c>
      <c r="G991" s="1">
        <f t="shared" si="350"/>
        <v>46522</v>
      </c>
      <c r="H991">
        <f t="shared" si="351"/>
        <v>365</v>
      </c>
      <c r="I991">
        <f t="shared" si="352"/>
        <v>30</v>
      </c>
      <c r="J991">
        <f t="shared" si="353"/>
        <v>8.2191780821917804E-2</v>
      </c>
      <c r="K991">
        <f>IFERROR($J991/IF($A991&lt;COUNTIFS($K$1:K$1,"&lt;&gt;"),0,SUMIFS($J:$J,$B:$B,$B991,$A:$A,"&gt;="&amp;COUNTIFS($K$1:K$1,"&lt;&gt;"))),0)</f>
        <v>8.6206896551724144E-2</v>
      </c>
      <c r="L991">
        <f>IFERROR($J991/IF($A991&lt;COUNTIFS($K$1:L$1,"&lt;&gt;"),0,SUMIFS($J:$J,$B:$B,$B991,$A:$A,"&gt;="&amp;COUNTIFS($K$1:L$1,"&lt;&gt;"))),0)</f>
        <v>0</v>
      </c>
      <c r="M991">
        <f>IFERROR($J991/IF($A991&lt;COUNTIFS($K$1:M$1,"&lt;&gt;"),0,SUMIFS($J:$J,$B:$B,$B991,$A:$A,"&gt;="&amp;COUNTIFS($K$1:M$1,"&lt;&gt;"))),0)</f>
        <v>0</v>
      </c>
      <c r="N991">
        <f>IFERROR($J991/IF($A991&lt;COUNTIFS($K$1:N$1,"&lt;&gt;"),0,SUMIFS($J:$J,$B:$B,$B991,$A:$A,"&gt;="&amp;COUNTIFS($K$1:N$1,"&lt;&gt;"))),0)</f>
        <v>0</v>
      </c>
      <c r="O991">
        <f>IFERROR($J991/IF($A991&lt;COUNTIFS($K$1:O$1,"&lt;&gt;"),0,SUMIFS($J:$J,$B:$B,$B991,$A:$A,"&gt;="&amp;COUNTIFS($K$1:O$1,"&lt;&gt;"))),0)</f>
        <v>0</v>
      </c>
      <c r="P991">
        <f>IFERROR($J991/IF($A991&lt;COUNTIFS($K$1:P$1,"&lt;&gt;"),0,SUMIFS($J:$J,$B:$B,$B991,$A:$A,"&gt;="&amp;COUNTIFS($K$1:P$1,"&lt;&gt;"))),0)</f>
        <v>0</v>
      </c>
      <c r="Q991">
        <f>IFERROR($J991/IF($A991&lt;COUNTIFS($K$1:Q$1,"&lt;&gt;"),0,SUMIFS($J:$J,$B:$B,$B991,$A:$A,"&gt;="&amp;COUNTIFS($K$1:Q$1,"&lt;&gt;"))),0)</f>
        <v>0</v>
      </c>
      <c r="R991">
        <f>IFERROR($J991/IF($A991&lt;COUNTIFS($K$1:R$1,"&lt;&gt;"),0,SUMIFS($J:$J,$B:$B,$B991,$A:$A,"&gt;="&amp;COUNTIFS($K$1:R$1,"&lt;&gt;"))),0)</f>
        <v>0</v>
      </c>
      <c r="S991">
        <f>IFERROR($J991/IF($A991&lt;COUNTIFS($K$1:S$1,"&lt;&gt;"),0,SUMIFS($J:$J,$B:$B,$B991,$A:$A,"&gt;="&amp;COUNTIFS($K$1:S$1,"&lt;&gt;"))),0)</f>
        <v>0</v>
      </c>
      <c r="T991">
        <f>IFERROR($J991/IF($A991&lt;COUNTIFS($K$1:T$1,"&lt;&gt;"),0,SUMIFS($J:$J,$B:$B,$B991,$A:$A,"&gt;="&amp;COUNTIFS($K$1:T$1,"&lt;&gt;"))),0)</f>
        <v>0</v>
      </c>
      <c r="U991">
        <f>IFERROR($J991/IF($A991&lt;COUNTIFS($K$1:U$1,"&lt;&gt;"),0,SUMIFS($J:$J,$B:$B,$B991,$A:$A,"&gt;="&amp;COUNTIFS($K$1:U$1,"&lt;&gt;"))),0)</f>
        <v>0</v>
      </c>
      <c r="V991">
        <f>IFERROR($J991/IF($A991&lt;COUNTIFS($K$1:V$1,"&lt;&gt;"),0,SUMIFS($J:$J,$B:$B,$B991,$A:$A,"&gt;="&amp;COUNTIFS($K$1:V$1,"&lt;&gt;"))),0)</f>
        <v>0</v>
      </c>
      <c r="W991">
        <f t="shared" si="354"/>
        <v>8.2191780821917804E-2</v>
      </c>
      <c r="X991">
        <f t="shared" si="334"/>
        <v>8.2191780821917804E-2</v>
      </c>
      <c r="Y991">
        <f t="shared" si="335"/>
        <v>0</v>
      </c>
      <c r="Z991">
        <f t="shared" si="336"/>
        <v>0</v>
      </c>
      <c r="AA991">
        <f t="shared" si="337"/>
        <v>0</v>
      </c>
      <c r="AB991">
        <f t="shared" si="338"/>
        <v>0</v>
      </c>
      <c r="AC991">
        <f t="shared" si="339"/>
        <v>0</v>
      </c>
      <c r="AD991">
        <f t="shared" si="340"/>
        <v>0</v>
      </c>
      <c r="AE991">
        <f t="shared" si="341"/>
        <v>0</v>
      </c>
      <c r="AF991">
        <f t="shared" si="342"/>
        <v>0</v>
      </c>
      <c r="AG991">
        <f t="shared" si="343"/>
        <v>0</v>
      </c>
      <c r="AH991">
        <f t="shared" si="344"/>
        <v>0</v>
      </c>
      <c r="AI991">
        <f t="shared" si="345"/>
        <v>0</v>
      </c>
      <c r="AJ991" s="2" t="str">
        <f t="shared" si="355"/>
        <v>146143</v>
      </c>
    </row>
    <row r="992" spans="1:36" x14ac:dyDescent="0.25">
      <c r="A992">
        <v>2</v>
      </c>
      <c r="B992" s="1">
        <v>46143</v>
      </c>
      <c r="C992" s="1">
        <f t="shared" si="346"/>
        <v>46204</v>
      </c>
      <c r="D992" s="1">
        <f t="shared" si="347"/>
        <v>46157</v>
      </c>
      <c r="E992" s="1">
        <f t="shared" si="348"/>
        <v>46204</v>
      </c>
      <c r="F992" s="1">
        <f t="shared" si="349"/>
        <v>46235</v>
      </c>
      <c r="G992" s="1">
        <f t="shared" si="350"/>
        <v>46522</v>
      </c>
      <c r="H992">
        <f t="shared" si="351"/>
        <v>365</v>
      </c>
      <c r="I992">
        <f t="shared" si="352"/>
        <v>31</v>
      </c>
      <c r="J992">
        <f t="shared" si="353"/>
        <v>8.4931506849315067E-2</v>
      </c>
      <c r="K992">
        <f>IFERROR($J992/IF($A992&lt;COUNTIFS($K$1:K$1,"&lt;&gt;"),0,SUMIFS($J:$J,$B:$B,$B992,$A:$A,"&gt;="&amp;COUNTIFS($K$1:K$1,"&lt;&gt;"))),0)</f>
        <v>8.9080459770114959E-2</v>
      </c>
      <c r="L992">
        <f>IFERROR($J992/IF($A992&lt;COUNTIFS($K$1:L$1,"&lt;&gt;"),0,SUMIFS($J:$J,$B:$B,$B992,$A:$A,"&gt;="&amp;COUNTIFS($K$1:L$1,"&lt;&gt;"))),0)</f>
        <v>9.7484276729559768E-2</v>
      </c>
      <c r="M992">
        <f>IFERROR($J992/IF($A992&lt;COUNTIFS($K$1:M$1,"&lt;&gt;"),0,SUMIFS($J:$J,$B:$B,$B992,$A:$A,"&gt;="&amp;COUNTIFS($K$1:M$1,"&lt;&gt;"))),0)</f>
        <v>0</v>
      </c>
      <c r="N992">
        <f>IFERROR($J992/IF($A992&lt;COUNTIFS($K$1:N$1,"&lt;&gt;"),0,SUMIFS($J:$J,$B:$B,$B992,$A:$A,"&gt;="&amp;COUNTIFS($K$1:N$1,"&lt;&gt;"))),0)</f>
        <v>0</v>
      </c>
      <c r="O992">
        <f>IFERROR($J992/IF($A992&lt;COUNTIFS($K$1:O$1,"&lt;&gt;"),0,SUMIFS($J:$J,$B:$B,$B992,$A:$A,"&gt;="&amp;COUNTIFS($K$1:O$1,"&lt;&gt;"))),0)</f>
        <v>0</v>
      </c>
      <c r="P992">
        <f>IFERROR($J992/IF($A992&lt;COUNTIFS($K$1:P$1,"&lt;&gt;"),0,SUMIFS($J:$J,$B:$B,$B992,$A:$A,"&gt;="&amp;COUNTIFS($K$1:P$1,"&lt;&gt;"))),0)</f>
        <v>0</v>
      </c>
      <c r="Q992">
        <f>IFERROR($J992/IF($A992&lt;COUNTIFS($K$1:Q$1,"&lt;&gt;"),0,SUMIFS($J:$J,$B:$B,$B992,$A:$A,"&gt;="&amp;COUNTIFS($K$1:Q$1,"&lt;&gt;"))),0)</f>
        <v>0</v>
      </c>
      <c r="R992">
        <f>IFERROR($J992/IF($A992&lt;COUNTIFS($K$1:R$1,"&lt;&gt;"),0,SUMIFS($J:$J,$B:$B,$B992,$A:$A,"&gt;="&amp;COUNTIFS($K$1:R$1,"&lt;&gt;"))),0)</f>
        <v>0</v>
      </c>
      <c r="S992">
        <f>IFERROR($J992/IF($A992&lt;COUNTIFS($K$1:S$1,"&lt;&gt;"),0,SUMIFS($J:$J,$B:$B,$B992,$A:$A,"&gt;="&amp;COUNTIFS($K$1:S$1,"&lt;&gt;"))),0)</f>
        <v>0</v>
      </c>
      <c r="T992">
        <f>IFERROR($J992/IF($A992&lt;COUNTIFS($K$1:T$1,"&lt;&gt;"),0,SUMIFS($J:$J,$B:$B,$B992,$A:$A,"&gt;="&amp;COUNTIFS($K$1:T$1,"&lt;&gt;"))),0)</f>
        <v>0</v>
      </c>
      <c r="U992">
        <f>IFERROR($J992/IF($A992&lt;COUNTIFS($K$1:U$1,"&lt;&gt;"),0,SUMIFS($J:$J,$B:$B,$B992,$A:$A,"&gt;="&amp;COUNTIFS($K$1:U$1,"&lt;&gt;"))),0)</f>
        <v>0</v>
      </c>
      <c r="V992">
        <f>IFERROR($J992/IF($A992&lt;COUNTIFS($K$1:V$1,"&lt;&gt;"),0,SUMIFS($J:$J,$B:$B,$B992,$A:$A,"&gt;="&amp;COUNTIFS($K$1:V$1,"&lt;&gt;"))),0)</f>
        <v>0</v>
      </c>
      <c r="W992">
        <f t="shared" si="354"/>
        <v>8.4931506849315067E-2</v>
      </c>
      <c r="X992">
        <f t="shared" si="334"/>
        <v>8.4931506849315067E-2</v>
      </c>
      <c r="Y992">
        <f t="shared" si="335"/>
        <v>8.4931506849315067E-2</v>
      </c>
      <c r="Z992">
        <f t="shared" si="336"/>
        <v>0</v>
      </c>
      <c r="AA992">
        <f t="shared" si="337"/>
        <v>0</v>
      </c>
      <c r="AB992">
        <f t="shared" si="338"/>
        <v>0</v>
      </c>
      <c r="AC992">
        <f t="shared" si="339"/>
        <v>0</v>
      </c>
      <c r="AD992">
        <f t="shared" si="340"/>
        <v>0</v>
      </c>
      <c r="AE992">
        <f t="shared" si="341"/>
        <v>0</v>
      </c>
      <c r="AF992">
        <f t="shared" si="342"/>
        <v>0</v>
      </c>
      <c r="AG992">
        <f t="shared" si="343"/>
        <v>0</v>
      </c>
      <c r="AH992">
        <f t="shared" si="344"/>
        <v>0</v>
      </c>
      <c r="AI992">
        <f t="shared" si="345"/>
        <v>0</v>
      </c>
      <c r="AJ992" s="2" t="str">
        <f t="shared" si="355"/>
        <v>246143</v>
      </c>
    </row>
    <row r="993" spans="1:36" x14ac:dyDescent="0.25">
      <c r="A993">
        <v>3</v>
      </c>
      <c r="B993" s="1">
        <v>46143</v>
      </c>
      <c r="C993" s="1">
        <f t="shared" si="346"/>
        <v>46235</v>
      </c>
      <c r="D993" s="1">
        <f t="shared" si="347"/>
        <v>46157</v>
      </c>
      <c r="E993" s="1">
        <f t="shared" si="348"/>
        <v>46235</v>
      </c>
      <c r="F993" s="1">
        <f t="shared" si="349"/>
        <v>46266</v>
      </c>
      <c r="G993" s="1">
        <f t="shared" si="350"/>
        <v>46522</v>
      </c>
      <c r="H993">
        <f t="shared" si="351"/>
        <v>365</v>
      </c>
      <c r="I993">
        <f t="shared" si="352"/>
        <v>31</v>
      </c>
      <c r="J993">
        <f t="shared" si="353"/>
        <v>8.4931506849315067E-2</v>
      </c>
      <c r="K993">
        <f>IFERROR($J993/IF($A993&lt;COUNTIFS($K$1:K$1,"&lt;&gt;"),0,SUMIFS($J:$J,$B:$B,$B993,$A:$A,"&gt;="&amp;COUNTIFS($K$1:K$1,"&lt;&gt;"))),0)</f>
        <v>8.9080459770114959E-2</v>
      </c>
      <c r="L993">
        <f>IFERROR($J993/IF($A993&lt;COUNTIFS($K$1:L$1,"&lt;&gt;"),0,SUMIFS($J:$J,$B:$B,$B993,$A:$A,"&gt;="&amp;COUNTIFS($K$1:L$1,"&lt;&gt;"))),0)</f>
        <v>9.7484276729559768E-2</v>
      </c>
      <c r="M993">
        <f>IFERROR($J993/IF($A993&lt;COUNTIFS($K$1:M$1,"&lt;&gt;"),0,SUMIFS($J:$J,$B:$B,$B993,$A:$A,"&gt;="&amp;COUNTIFS($K$1:M$1,"&lt;&gt;"))),0)</f>
        <v>0.10801393728222998</v>
      </c>
      <c r="N993">
        <f>IFERROR($J993/IF($A993&lt;COUNTIFS($K$1:N$1,"&lt;&gt;"),0,SUMIFS($J:$J,$B:$B,$B993,$A:$A,"&gt;="&amp;COUNTIFS($K$1:N$1,"&lt;&gt;"))),0)</f>
        <v>0</v>
      </c>
      <c r="O993">
        <f>IFERROR($J993/IF($A993&lt;COUNTIFS($K$1:O$1,"&lt;&gt;"),0,SUMIFS($J:$J,$B:$B,$B993,$A:$A,"&gt;="&amp;COUNTIFS($K$1:O$1,"&lt;&gt;"))),0)</f>
        <v>0</v>
      </c>
      <c r="P993">
        <f>IFERROR($J993/IF($A993&lt;COUNTIFS($K$1:P$1,"&lt;&gt;"),0,SUMIFS($J:$J,$B:$B,$B993,$A:$A,"&gt;="&amp;COUNTIFS($K$1:P$1,"&lt;&gt;"))),0)</f>
        <v>0</v>
      </c>
      <c r="Q993">
        <f>IFERROR($J993/IF($A993&lt;COUNTIFS($K$1:Q$1,"&lt;&gt;"),0,SUMIFS($J:$J,$B:$B,$B993,$A:$A,"&gt;="&amp;COUNTIFS($K$1:Q$1,"&lt;&gt;"))),0)</f>
        <v>0</v>
      </c>
      <c r="R993">
        <f>IFERROR($J993/IF($A993&lt;COUNTIFS($K$1:R$1,"&lt;&gt;"),0,SUMIFS($J:$J,$B:$B,$B993,$A:$A,"&gt;="&amp;COUNTIFS($K$1:R$1,"&lt;&gt;"))),0)</f>
        <v>0</v>
      </c>
      <c r="S993">
        <f>IFERROR($J993/IF($A993&lt;COUNTIFS($K$1:S$1,"&lt;&gt;"),0,SUMIFS($J:$J,$B:$B,$B993,$A:$A,"&gt;="&amp;COUNTIFS($K$1:S$1,"&lt;&gt;"))),0)</f>
        <v>0</v>
      </c>
      <c r="T993">
        <f>IFERROR($J993/IF($A993&lt;COUNTIFS($K$1:T$1,"&lt;&gt;"),0,SUMIFS($J:$J,$B:$B,$B993,$A:$A,"&gt;="&amp;COUNTIFS($K$1:T$1,"&lt;&gt;"))),0)</f>
        <v>0</v>
      </c>
      <c r="U993">
        <f>IFERROR($J993/IF($A993&lt;COUNTIFS($K$1:U$1,"&lt;&gt;"),0,SUMIFS($J:$J,$B:$B,$B993,$A:$A,"&gt;="&amp;COUNTIFS($K$1:U$1,"&lt;&gt;"))),0)</f>
        <v>0</v>
      </c>
      <c r="V993">
        <f>IFERROR($J993/IF($A993&lt;COUNTIFS($K$1:V$1,"&lt;&gt;"),0,SUMIFS($J:$J,$B:$B,$B993,$A:$A,"&gt;="&amp;COUNTIFS($K$1:V$1,"&lt;&gt;"))),0)</f>
        <v>0</v>
      </c>
      <c r="W993">
        <f t="shared" si="354"/>
        <v>8.4931506849315067E-2</v>
      </c>
      <c r="X993">
        <f t="shared" si="334"/>
        <v>8.4931506849315067E-2</v>
      </c>
      <c r="Y993">
        <f t="shared" si="335"/>
        <v>8.4931506849315067E-2</v>
      </c>
      <c r="Z993">
        <f t="shared" si="336"/>
        <v>8.4931506849315067E-2</v>
      </c>
      <c r="AA993">
        <f t="shared" si="337"/>
        <v>0</v>
      </c>
      <c r="AB993">
        <f t="shared" si="338"/>
        <v>0</v>
      </c>
      <c r="AC993">
        <f t="shared" si="339"/>
        <v>0</v>
      </c>
      <c r="AD993">
        <f t="shared" si="340"/>
        <v>0</v>
      </c>
      <c r="AE993">
        <f t="shared" si="341"/>
        <v>0</v>
      </c>
      <c r="AF993">
        <f t="shared" si="342"/>
        <v>0</v>
      </c>
      <c r="AG993">
        <f t="shared" si="343"/>
        <v>0</v>
      </c>
      <c r="AH993">
        <f t="shared" si="344"/>
        <v>0</v>
      </c>
      <c r="AI993">
        <f t="shared" si="345"/>
        <v>0</v>
      </c>
      <c r="AJ993" s="2" t="str">
        <f t="shared" si="355"/>
        <v>346143</v>
      </c>
    </row>
    <row r="994" spans="1:36" x14ac:dyDescent="0.25">
      <c r="A994">
        <v>4</v>
      </c>
      <c r="B994" s="1">
        <v>46143</v>
      </c>
      <c r="C994" s="1">
        <f t="shared" si="346"/>
        <v>46266</v>
      </c>
      <c r="D994" s="1">
        <f t="shared" si="347"/>
        <v>46157</v>
      </c>
      <c r="E994" s="1">
        <f t="shared" si="348"/>
        <v>46266</v>
      </c>
      <c r="F994" s="1">
        <f t="shared" si="349"/>
        <v>46296</v>
      </c>
      <c r="G994" s="1">
        <f t="shared" si="350"/>
        <v>46522</v>
      </c>
      <c r="H994">
        <f t="shared" si="351"/>
        <v>365</v>
      </c>
      <c r="I994">
        <f t="shared" si="352"/>
        <v>30</v>
      </c>
      <c r="J994">
        <f t="shared" si="353"/>
        <v>8.2191780821917804E-2</v>
      </c>
      <c r="K994">
        <f>IFERROR($J994/IF($A994&lt;COUNTIFS($K$1:K$1,"&lt;&gt;"),0,SUMIFS($J:$J,$B:$B,$B994,$A:$A,"&gt;="&amp;COUNTIFS($K$1:K$1,"&lt;&gt;"))),0)</f>
        <v>8.6206896551724144E-2</v>
      </c>
      <c r="L994">
        <f>IFERROR($J994/IF($A994&lt;COUNTIFS($K$1:L$1,"&lt;&gt;"),0,SUMIFS($J:$J,$B:$B,$B994,$A:$A,"&gt;="&amp;COUNTIFS($K$1:L$1,"&lt;&gt;"))),0)</f>
        <v>9.4339622641509441E-2</v>
      </c>
      <c r="M994">
        <f>IFERROR($J994/IF($A994&lt;COUNTIFS($K$1:M$1,"&lt;&gt;"),0,SUMIFS($J:$J,$B:$B,$B994,$A:$A,"&gt;="&amp;COUNTIFS($K$1:M$1,"&lt;&gt;"))),0)</f>
        <v>0.10452961672473869</v>
      </c>
      <c r="N994">
        <f>IFERROR($J994/IF($A994&lt;COUNTIFS($K$1:N$1,"&lt;&gt;"),0,SUMIFS($J:$J,$B:$B,$B994,$A:$A,"&gt;="&amp;COUNTIFS($K$1:N$1,"&lt;&gt;"))),0)</f>
        <v>0.11718750000000001</v>
      </c>
      <c r="O994">
        <f>IFERROR($J994/IF($A994&lt;COUNTIFS($K$1:O$1,"&lt;&gt;"),0,SUMIFS($J:$J,$B:$B,$B994,$A:$A,"&gt;="&amp;COUNTIFS($K$1:O$1,"&lt;&gt;"))),0)</f>
        <v>0</v>
      </c>
      <c r="P994">
        <f>IFERROR($J994/IF($A994&lt;COUNTIFS($K$1:P$1,"&lt;&gt;"),0,SUMIFS($J:$J,$B:$B,$B994,$A:$A,"&gt;="&amp;COUNTIFS($K$1:P$1,"&lt;&gt;"))),0)</f>
        <v>0</v>
      </c>
      <c r="Q994">
        <f>IFERROR($J994/IF($A994&lt;COUNTIFS($K$1:Q$1,"&lt;&gt;"),0,SUMIFS($J:$J,$B:$B,$B994,$A:$A,"&gt;="&amp;COUNTIFS($K$1:Q$1,"&lt;&gt;"))),0)</f>
        <v>0</v>
      </c>
      <c r="R994">
        <f>IFERROR($J994/IF($A994&lt;COUNTIFS($K$1:R$1,"&lt;&gt;"),0,SUMIFS($J:$J,$B:$B,$B994,$A:$A,"&gt;="&amp;COUNTIFS($K$1:R$1,"&lt;&gt;"))),0)</f>
        <v>0</v>
      </c>
      <c r="S994">
        <f>IFERROR($J994/IF($A994&lt;COUNTIFS($K$1:S$1,"&lt;&gt;"),0,SUMIFS($J:$J,$B:$B,$B994,$A:$A,"&gt;="&amp;COUNTIFS($K$1:S$1,"&lt;&gt;"))),0)</f>
        <v>0</v>
      </c>
      <c r="T994">
        <f>IFERROR($J994/IF($A994&lt;COUNTIFS($K$1:T$1,"&lt;&gt;"),0,SUMIFS($J:$J,$B:$B,$B994,$A:$A,"&gt;="&amp;COUNTIFS($K$1:T$1,"&lt;&gt;"))),0)</f>
        <v>0</v>
      </c>
      <c r="U994">
        <f>IFERROR($J994/IF($A994&lt;COUNTIFS($K$1:U$1,"&lt;&gt;"),0,SUMIFS($J:$J,$B:$B,$B994,$A:$A,"&gt;="&amp;COUNTIFS($K$1:U$1,"&lt;&gt;"))),0)</f>
        <v>0</v>
      </c>
      <c r="V994">
        <f>IFERROR($J994/IF($A994&lt;COUNTIFS($K$1:V$1,"&lt;&gt;"),0,SUMIFS($J:$J,$B:$B,$B994,$A:$A,"&gt;="&amp;COUNTIFS($K$1:V$1,"&lt;&gt;"))),0)</f>
        <v>0</v>
      </c>
      <c r="W994">
        <f t="shared" si="354"/>
        <v>8.2191780821917804E-2</v>
      </c>
      <c r="X994">
        <f t="shared" si="334"/>
        <v>8.2191780821917804E-2</v>
      </c>
      <c r="Y994">
        <f t="shared" si="335"/>
        <v>8.2191780821917804E-2</v>
      </c>
      <c r="Z994">
        <f t="shared" si="336"/>
        <v>8.2191780821917804E-2</v>
      </c>
      <c r="AA994">
        <f t="shared" si="337"/>
        <v>8.2191780821917804E-2</v>
      </c>
      <c r="AB994">
        <f t="shared" si="338"/>
        <v>0</v>
      </c>
      <c r="AC994">
        <f t="shared" si="339"/>
        <v>0</v>
      </c>
      <c r="AD994">
        <f t="shared" si="340"/>
        <v>0</v>
      </c>
      <c r="AE994">
        <f t="shared" si="341"/>
        <v>0</v>
      </c>
      <c r="AF994">
        <f t="shared" si="342"/>
        <v>0</v>
      </c>
      <c r="AG994">
        <f t="shared" si="343"/>
        <v>0</v>
      </c>
      <c r="AH994">
        <f t="shared" si="344"/>
        <v>0</v>
      </c>
      <c r="AI994">
        <f t="shared" si="345"/>
        <v>0</v>
      </c>
      <c r="AJ994" s="2" t="str">
        <f t="shared" si="355"/>
        <v>446143</v>
      </c>
    </row>
    <row r="995" spans="1:36" x14ac:dyDescent="0.25">
      <c r="A995">
        <v>5</v>
      </c>
      <c r="B995" s="1">
        <v>46143</v>
      </c>
      <c r="C995" s="1">
        <f t="shared" si="346"/>
        <v>46296</v>
      </c>
      <c r="D995" s="1">
        <f t="shared" si="347"/>
        <v>46157</v>
      </c>
      <c r="E995" s="1">
        <f t="shared" si="348"/>
        <v>46296</v>
      </c>
      <c r="F995" s="1">
        <f t="shared" si="349"/>
        <v>46327</v>
      </c>
      <c r="G995" s="1">
        <f t="shared" si="350"/>
        <v>46522</v>
      </c>
      <c r="H995">
        <f t="shared" si="351"/>
        <v>365</v>
      </c>
      <c r="I995">
        <f t="shared" si="352"/>
        <v>31</v>
      </c>
      <c r="J995">
        <f t="shared" si="353"/>
        <v>8.4931506849315067E-2</v>
      </c>
      <c r="K995">
        <f>IFERROR($J995/IF($A995&lt;COUNTIFS($K$1:K$1,"&lt;&gt;"),0,SUMIFS($J:$J,$B:$B,$B995,$A:$A,"&gt;="&amp;COUNTIFS($K$1:K$1,"&lt;&gt;"))),0)</f>
        <v>8.9080459770114959E-2</v>
      </c>
      <c r="L995">
        <f>IFERROR($J995/IF($A995&lt;COUNTIFS($K$1:L$1,"&lt;&gt;"),0,SUMIFS($J:$J,$B:$B,$B995,$A:$A,"&gt;="&amp;COUNTIFS($K$1:L$1,"&lt;&gt;"))),0)</f>
        <v>9.7484276729559768E-2</v>
      </c>
      <c r="M995">
        <f>IFERROR($J995/IF($A995&lt;COUNTIFS($K$1:M$1,"&lt;&gt;"),0,SUMIFS($J:$J,$B:$B,$B995,$A:$A,"&gt;="&amp;COUNTIFS($K$1:M$1,"&lt;&gt;"))),0)</f>
        <v>0.10801393728222998</v>
      </c>
      <c r="N995">
        <f>IFERROR($J995/IF($A995&lt;COUNTIFS($K$1:N$1,"&lt;&gt;"),0,SUMIFS($J:$J,$B:$B,$B995,$A:$A,"&gt;="&amp;COUNTIFS($K$1:N$1,"&lt;&gt;"))),0)</f>
        <v>0.12109375000000001</v>
      </c>
      <c r="O995">
        <f>IFERROR($J995/IF($A995&lt;COUNTIFS($K$1:O$1,"&lt;&gt;"),0,SUMIFS($J:$J,$B:$B,$B995,$A:$A,"&gt;="&amp;COUNTIFS($K$1:O$1,"&lt;&gt;"))),0)</f>
        <v>0.13716814159292037</v>
      </c>
      <c r="P995">
        <f>IFERROR($J995/IF($A995&lt;COUNTIFS($K$1:P$1,"&lt;&gt;"),0,SUMIFS($J:$J,$B:$B,$B995,$A:$A,"&gt;="&amp;COUNTIFS($K$1:P$1,"&lt;&gt;"))),0)</f>
        <v>0</v>
      </c>
      <c r="Q995">
        <f>IFERROR($J995/IF($A995&lt;COUNTIFS($K$1:Q$1,"&lt;&gt;"),0,SUMIFS($J:$J,$B:$B,$B995,$A:$A,"&gt;="&amp;COUNTIFS($K$1:Q$1,"&lt;&gt;"))),0)</f>
        <v>0</v>
      </c>
      <c r="R995">
        <f>IFERROR($J995/IF($A995&lt;COUNTIFS($K$1:R$1,"&lt;&gt;"),0,SUMIFS($J:$J,$B:$B,$B995,$A:$A,"&gt;="&amp;COUNTIFS($K$1:R$1,"&lt;&gt;"))),0)</f>
        <v>0</v>
      </c>
      <c r="S995">
        <f>IFERROR($J995/IF($A995&lt;COUNTIFS($K$1:S$1,"&lt;&gt;"),0,SUMIFS($J:$J,$B:$B,$B995,$A:$A,"&gt;="&amp;COUNTIFS($K$1:S$1,"&lt;&gt;"))),0)</f>
        <v>0</v>
      </c>
      <c r="T995">
        <f>IFERROR($J995/IF($A995&lt;COUNTIFS($K$1:T$1,"&lt;&gt;"),0,SUMIFS($J:$J,$B:$B,$B995,$A:$A,"&gt;="&amp;COUNTIFS($K$1:T$1,"&lt;&gt;"))),0)</f>
        <v>0</v>
      </c>
      <c r="U995">
        <f>IFERROR($J995/IF($A995&lt;COUNTIFS($K$1:U$1,"&lt;&gt;"),0,SUMIFS($J:$J,$B:$B,$B995,$A:$A,"&gt;="&amp;COUNTIFS($K$1:U$1,"&lt;&gt;"))),0)</f>
        <v>0</v>
      </c>
      <c r="V995">
        <f>IFERROR($J995/IF($A995&lt;COUNTIFS($K$1:V$1,"&lt;&gt;"),0,SUMIFS($J:$J,$B:$B,$B995,$A:$A,"&gt;="&amp;COUNTIFS($K$1:V$1,"&lt;&gt;"))),0)</f>
        <v>0</v>
      </c>
      <c r="W995">
        <f t="shared" si="354"/>
        <v>8.4931506849315067E-2</v>
      </c>
      <c r="X995">
        <f t="shared" si="334"/>
        <v>8.4931506849315067E-2</v>
      </c>
      <c r="Y995">
        <f t="shared" si="335"/>
        <v>8.4931506849315067E-2</v>
      </c>
      <c r="Z995">
        <f t="shared" si="336"/>
        <v>8.4931506849315067E-2</v>
      </c>
      <c r="AA995">
        <f t="shared" si="337"/>
        <v>8.4931506849315067E-2</v>
      </c>
      <c r="AB995">
        <f t="shared" si="338"/>
        <v>8.4931506849315067E-2</v>
      </c>
      <c r="AC995">
        <f t="shared" si="339"/>
        <v>0</v>
      </c>
      <c r="AD995">
        <f t="shared" si="340"/>
        <v>0</v>
      </c>
      <c r="AE995">
        <f t="shared" si="341"/>
        <v>0</v>
      </c>
      <c r="AF995">
        <f t="shared" si="342"/>
        <v>0</v>
      </c>
      <c r="AG995">
        <f t="shared" si="343"/>
        <v>0</v>
      </c>
      <c r="AH995">
        <f t="shared" si="344"/>
        <v>0</v>
      </c>
      <c r="AI995">
        <f t="shared" si="345"/>
        <v>0</v>
      </c>
      <c r="AJ995" s="2" t="str">
        <f t="shared" si="355"/>
        <v>546143</v>
      </c>
    </row>
    <row r="996" spans="1:36" x14ac:dyDescent="0.25">
      <c r="A996">
        <v>6</v>
      </c>
      <c r="B996" s="1">
        <v>46143</v>
      </c>
      <c r="C996" s="1">
        <f t="shared" si="346"/>
        <v>46327</v>
      </c>
      <c r="D996" s="1">
        <f t="shared" si="347"/>
        <v>46157</v>
      </c>
      <c r="E996" s="1">
        <f t="shared" si="348"/>
        <v>46327</v>
      </c>
      <c r="F996" s="1">
        <f t="shared" si="349"/>
        <v>46357</v>
      </c>
      <c r="G996" s="1">
        <f t="shared" si="350"/>
        <v>46522</v>
      </c>
      <c r="H996">
        <f t="shared" si="351"/>
        <v>365</v>
      </c>
      <c r="I996">
        <f t="shared" si="352"/>
        <v>30</v>
      </c>
      <c r="J996">
        <f t="shared" si="353"/>
        <v>8.2191780821917804E-2</v>
      </c>
      <c r="K996">
        <f>IFERROR($J996/IF($A996&lt;COUNTIFS($K$1:K$1,"&lt;&gt;"),0,SUMIFS($J:$J,$B:$B,$B996,$A:$A,"&gt;="&amp;COUNTIFS($K$1:K$1,"&lt;&gt;"))),0)</f>
        <v>8.6206896551724144E-2</v>
      </c>
      <c r="L996">
        <f>IFERROR($J996/IF($A996&lt;COUNTIFS($K$1:L$1,"&lt;&gt;"),0,SUMIFS($J:$J,$B:$B,$B996,$A:$A,"&gt;="&amp;COUNTIFS($K$1:L$1,"&lt;&gt;"))),0)</f>
        <v>9.4339622641509441E-2</v>
      </c>
      <c r="M996">
        <f>IFERROR($J996/IF($A996&lt;COUNTIFS($K$1:M$1,"&lt;&gt;"),0,SUMIFS($J:$J,$B:$B,$B996,$A:$A,"&gt;="&amp;COUNTIFS($K$1:M$1,"&lt;&gt;"))),0)</f>
        <v>0.10452961672473869</v>
      </c>
      <c r="N996">
        <f>IFERROR($J996/IF($A996&lt;COUNTIFS($K$1:N$1,"&lt;&gt;"),0,SUMIFS($J:$J,$B:$B,$B996,$A:$A,"&gt;="&amp;COUNTIFS($K$1:N$1,"&lt;&gt;"))),0)</f>
        <v>0.11718750000000001</v>
      </c>
      <c r="O996">
        <f>IFERROR($J996/IF($A996&lt;COUNTIFS($K$1:O$1,"&lt;&gt;"),0,SUMIFS($J:$J,$B:$B,$B996,$A:$A,"&gt;="&amp;COUNTIFS($K$1:O$1,"&lt;&gt;"))),0)</f>
        <v>0.13274336283185842</v>
      </c>
      <c r="P996">
        <f>IFERROR($J996/IF($A996&lt;COUNTIFS($K$1:P$1,"&lt;&gt;"),0,SUMIFS($J:$J,$B:$B,$B996,$A:$A,"&gt;="&amp;COUNTIFS($K$1:P$1,"&lt;&gt;"))),0)</f>
        <v>0.15384615384615385</v>
      </c>
      <c r="Q996">
        <f>IFERROR($J996/IF($A996&lt;COUNTIFS($K$1:Q$1,"&lt;&gt;"),0,SUMIFS($J:$J,$B:$B,$B996,$A:$A,"&gt;="&amp;COUNTIFS($K$1:Q$1,"&lt;&gt;"))),0)</f>
        <v>0</v>
      </c>
      <c r="R996">
        <f>IFERROR($J996/IF($A996&lt;COUNTIFS($K$1:R$1,"&lt;&gt;"),0,SUMIFS($J:$J,$B:$B,$B996,$A:$A,"&gt;="&amp;COUNTIFS($K$1:R$1,"&lt;&gt;"))),0)</f>
        <v>0</v>
      </c>
      <c r="S996">
        <f>IFERROR($J996/IF($A996&lt;COUNTIFS($K$1:S$1,"&lt;&gt;"),0,SUMIFS($J:$J,$B:$B,$B996,$A:$A,"&gt;="&amp;COUNTIFS($K$1:S$1,"&lt;&gt;"))),0)</f>
        <v>0</v>
      </c>
      <c r="T996">
        <f>IFERROR($J996/IF($A996&lt;COUNTIFS($K$1:T$1,"&lt;&gt;"),0,SUMIFS($J:$J,$B:$B,$B996,$A:$A,"&gt;="&amp;COUNTIFS($K$1:T$1,"&lt;&gt;"))),0)</f>
        <v>0</v>
      </c>
      <c r="U996">
        <f>IFERROR($J996/IF($A996&lt;COUNTIFS($K$1:U$1,"&lt;&gt;"),0,SUMIFS($J:$J,$B:$B,$B996,$A:$A,"&gt;="&amp;COUNTIFS($K$1:U$1,"&lt;&gt;"))),0)</f>
        <v>0</v>
      </c>
      <c r="V996">
        <f>IFERROR($J996/IF($A996&lt;COUNTIFS($K$1:V$1,"&lt;&gt;"),0,SUMIFS($J:$J,$B:$B,$B996,$A:$A,"&gt;="&amp;COUNTIFS($K$1:V$1,"&lt;&gt;"))),0)</f>
        <v>0</v>
      </c>
      <c r="W996">
        <f t="shared" si="354"/>
        <v>8.2191780821917804E-2</v>
      </c>
      <c r="X996">
        <f t="shared" si="334"/>
        <v>8.2191780821917804E-2</v>
      </c>
      <c r="Y996">
        <f t="shared" si="335"/>
        <v>8.2191780821917804E-2</v>
      </c>
      <c r="Z996">
        <f t="shared" si="336"/>
        <v>8.2191780821917804E-2</v>
      </c>
      <c r="AA996">
        <f t="shared" si="337"/>
        <v>8.2191780821917804E-2</v>
      </c>
      <c r="AB996">
        <f t="shared" si="338"/>
        <v>8.2191780821917804E-2</v>
      </c>
      <c r="AC996">
        <f t="shared" si="339"/>
        <v>8.2191780821917804E-2</v>
      </c>
      <c r="AD996">
        <f t="shared" si="340"/>
        <v>0</v>
      </c>
      <c r="AE996">
        <f t="shared" si="341"/>
        <v>0</v>
      </c>
      <c r="AF996">
        <f t="shared" si="342"/>
        <v>0</v>
      </c>
      <c r="AG996">
        <f t="shared" si="343"/>
        <v>0</v>
      </c>
      <c r="AH996">
        <f t="shared" si="344"/>
        <v>0</v>
      </c>
      <c r="AI996">
        <f t="shared" si="345"/>
        <v>0</v>
      </c>
      <c r="AJ996" s="2" t="str">
        <f t="shared" si="355"/>
        <v>646143</v>
      </c>
    </row>
    <row r="997" spans="1:36" x14ac:dyDescent="0.25">
      <c r="A997">
        <v>7</v>
      </c>
      <c r="B997" s="1">
        <v>46143</v>
      </c>
      <c r="C997" s="1">
        <f t="shared" si="346"/>
        <v>46357</v>
      </c>
      <c r="D997" s="1">
        <f t="shared" si="347"/>
        <v>46157</v>
      </c>
      <c r="E997" s="1">
        <f t="shared" si="348"/>
        <v>46357</v>
      </c>
      <c r="F997" s="1">
        <f t="shared" si="349"/>
        <v>46388</v>
      </c>
      <c r="G997" s="1">
        <f t="shared" si="350"/>
        <v>46522</v>
      </c>
      <c r="H997">
        <f t="shared" si="351"/>
        <v>365</v>
      </c>
      <c r="I997">
        <f t="shared" si="352"/>
        <v>31</v>
      </c>
      <c r="J997">
        <f t="shared" si="353"/>
        <v>8.4931506849315067E-2</v>
      </c>
      <c r="K997">
        <f>IFERROR($J997/IF($A997&lt;COUNTIFS($K$1:K$1,"&lt;&gt;"),0,SUMIFS($J:$J,$B:$B,$B997,$A:$A,"&gt;="&amp;COUNTIFS($K$1:K$1,"&lt;&gt;"))),0)</f>
        <v>8.9080459770114959E-2</v>
      </c>
      <c r="L997">
        <f>IFERROR($J997/IF($A997&lt;COUNTIFS($K$1:L$1,"&lt;&gt;"),0,SUMIFS($J:$J,$B:$B,$B997,$A:$A,"&gt;="&amp;COUNTIFS($K$1:L$1,"&lt;&gt;"))),0)</f>
        <v>9.7484276729559768E-2</v>
      </c>
      <c r="M997">
        <f>IFERROR($J997/IF($A997&lt;COUNTIFS($K$1:M$1,"&lt;&gt;"),0,SUMIFS($J:$J,$B:$B,$B997,$A:$A,"&gt;="&amp;COUNTIFS($K$1:M$1,"&lt;&gt;"))),0)</f>
        <v>0.10801393728222998</v>
      </c>
      <c r="N997">
        <f>IFERROR($J997/IF($A997&lt;COUNTIFS($K$1:N$1,"&lt;&gt;"),0,SUMIFS($J:$J,$B:$B,$B997,$A:$A,"&gt;="&amp;COUNTIFS($K$1:N$1,"&lt;&gt;"))),0)</f>
        <v>0.12109375000000001</v>
      </c>
      <c r="O997">
        <f>IFERROR($J997/IF($A997&lt;COUNTIFS($K$1:O$1,"&lt;&gt;"),0,SUMIFS($J:$J,$B:$B,$B997,$A:$A,"&gt;="&amp;COUNTIFS($K$1:O$1,"&lt;&gt;"))),0)</f>
        <v>0.13716814159292037</v>
      </c>
      <c r="P997">
        <f>IFERROR($J997/IF($A997&lt;COUNTIFS($K$1:P$1,"&lt;&gt;"),0,SUMIFS($J:$J,$B:$B,$B997,$A:$A,"&gt;="&amp;COUNTIFS($K$1:P$1,"&lt;&gt;"))),0)</f>
        <v>0.15897435897435899</v>
      </c>
      <c r="Q997">
        <f>IFERROR($J997/IF($A997&lt;COUNTIFS($K$1:Q$1,"&lt;&gt;"),0,SUMIFS($J:$J,$B:$B,$B997,$A:$A,"&gt;="&amp;COUNTIFS($K$1:Q$1,"&lt;&gt;"))),0)</f>
        <v>0.1878787878787879</v>
      </c>
      <c r="R997">
        <f>IFERROR($J997/IF($A997&lt;COUNTIFS($K$1:R$1,"&lt;&gt;"),0,SUMIFS($J:$J,$B:$B,$B997,$A:$A,"&gt;="&amp;COUNTIFS($K$1:R$1,"&lt;&gt;"))),0)</f>
        <v>0</v>
      </c>
      <c r="S997">
        <f>IFERROR($J997/IF($A997&lt;COUNTIFS($K$1:S$1,"&lt;&gt;"),0,SUMIFS($J:$J,$B:$B,$B997,$A:$A,"&gt;="&amp;COUNTIFS($K$1:S$1,"&lt;&gt;"))),0)</f>
        <v>0</v>
      </c>
      <c r="T997">
        <f>IFERROR($J997/IF($A997&lt;COUNTIFS($K$1:T$1,"&lt;&gt;"),0,SUMIFS($J:$J,$B:$B,$B997,$A:$A,"&gt;="&amp;COUNTIFS($K$1:T$1,"&lt;&gt;"))),0)</f>
        <v>0</v>
      </c>
      <c r="U997">
        <f>IFERROR($J997/IF($A997&lt;COUNTIFS($K$1:U$1,"&lt;&gt;"),0,SUMIFS($J:$J,$B:$B,$B997,$A:$A,"&gt;="&amp;COUNTIFS($K$1:U$1,"&lt;&gt;"))),0)</f>
        <v>0</v>
      </c>
      <c r="V997">
        <f>IFERROR($J997/IF($A997&lt;COUNTIFS($K$1:V$1,"&lt;&gt;"),0,SUMIFS($J:$J,$B:$B,$B997,$A:$A,"&gt;="&amp;COUNTIFS($K$1:V$1,"&lt;&gt;"))),0)</f>
        <v>0</v>
      </c>
      <c r="W997">
        <f t="shared" si="354"/>
        <v>8.4931506849315067E-2</v>
      </c>
      <c r="X997">
        <f t="shared" si="334"/>
        <v>8.4931506849315067E-2</v>
      </c>
      <c r="Y997">
        <f t="shared" si="335"/>
        <v>8.4931506849315067E-2</v>
      </c>
      <c r="Z997">
        <f t="shared" si="336"/>
        <v>8.4931506849315067E-2</v>
      </c>
      <c r="AA997">
        <f t="shared" si="337"/>
        <v>8.4931506849315067E-2</v>
      </c>
      <c r="AB997">
        <f t="shared" si="338"/>
        <v>8.4931506849315067E-2</v>
      </c>
      <c r="AC997">
        <f t="shared" si="339"/>
        <v>8.4931506849315067E-2</v>
      </c>
      <c r="AD997">
        <f t="shared" si="340"/>
        <v>8.4931506849315067E-2</v>
      </c>
      <c r="AE997">
        <f t="shared" si="341"/>
        <v>0</v>
      </c>
      <c r="AF997">
        <f t="shared" si="342"/>
        <v>0</v>
      </c>
      <c r="AG997">
        <f t="shared" si="343"/>
        <v>0</v>
      </c>
      <c r="AH997">
        <f t="shared" si="344"/>
        <v>0</v>
      </c>
      <c r="AI997">
        <f t="shared" si="345"/>
        <v>0</v>
      </c>
      <c r="AJ997" s="2" t="str">
        <f t="shared" si="355"/>
        <v>746143</v>
      </c>
    </row>
    <row r="998" spans="1:36" x14ac:dyDescent="0.25">
      <c r="A998">
        <v>8</v>
      </c>
      <c r="B998" s="1">
        <v>46143</v>
      </c>
      <c r="C998" s="1">
        <f t="shared" si="346"/>
        <v>46388</v>
      </c>
      <c r="D998" s="1">
        <f t="shared" si="347"/>
        <v>46157</v>
      </c>
      <c r="E998" s="1">
        <f t="shared" si="348"/>
        <v>46388</v>
      </c>
      <c r="F998" s="1">
        <f t="shared" si="349"/>
        <v>46419</v>
      </c>
      <c r="G998" s="1">
        <f t="shared" si="350"/>
        <v>46522</v>
      </c>
      <c r="H998">
        <f t="shared" si="351"/>
        <v>365</v>
      </c>
      <c r="I998">
        <f t="shared" si="352"/>
        <v>31</v>
      </c>
      <c r="J998">
        <f t="shared" si="353"/>
        <v>8.4931506849315067E-2</v>
      </c>
      <c r="K998">
        <f>IFERROR($J998/IF($A998&lt;COUNTIFS($K$1:K$1,"&lt;&gt;"),0,SUMIFS($J:$J,$B:$B,$B998,$A:$A,"&gt;="&amp;COUNTIFS($K$1:K$1,"&lt;&gt;"))),0)</f>
        <v>8.9080459770114959E-2</v>
      </c>
      <c r="L998">
        <f>IFERROR($J998/IF($A998&lt;COUNTIFS($K$1:L$1,"&lt;&gt;"),0,SUMIFS($J:$J,$B:$B,$B998,$A:$A,"&gt;="&amp;COUNTIFS($K$1:L$1,"&lt;&gt;"))),0)</f>
        <v>9.7484276729559768E-2</v>
      </c>
      <c r="M998">
        <f>IFERROR($J998/IF($A998&lt;COUNTIFS($K$1:M$1,"&lt;&gt;"),0,SUMIFS($J:$J,$B:$B,$B998,$A:$A,"&gt;="&amp;COUNTIFS($K$1:M$1,"&lt;&gt;"))),0)</f>
        <v>0.10801393728222998</v>
      </c>
      <c r="N998">
        <f>IFERROR($J998/IF($A998&lt;COUNTIFS($K$1:N$1,"&lt;&gt;"),0,SUMIFS($J:$J,$B:$B,$B998,$A:$A,"&gt;="&amp;COUNTIFS($K$1:N$1,"&lt;&gt;"))),0)</f>
        <v>0.12109375000000001</v>
      </c>
      <c r="O998">
        <f>IFERROR($J998/IF($A998&lt;COUNTIFS($K$1:O$1,"&lt;&gt;"),0,SUMIFS($J:$J,$B:$B,$B998,$A:$A,"&gt;="&amp;COUNTIFS($K$1:O$1,"&lt;&gt;"))),0)</f>
        <v>0.13716814159292037</v>
      </c>
      <c r="P998">
        <f>IFERROR($J998/IF($A998&lt;COUNTIFS($K$1:P$1,"&lt;&gt;"),0,SUMIFS($J:$J,$B:$B,$B998,$A:$A,"&gt;="&amp;COUNTIFS($K$1:P$1,"&lt;&gt;"))),0)</f>
        <v>0.15897435897435899</v>
      </c>
      <c r="Q998">
        <f>IFERROR($J998/IF($A998&lt;COUNTIFS($K$1:Q$1,"&lt;&gt;"),0,SUMIFS($J:$J,$B:$B,$B998,$A:$A,"&gt;="&amp;COUNTIFS($K$1:Q$1,"&lt;&gt;"))),0)</f>
        <v>0.1878787878787879</v>
      </c>
      <c r="R998">
        <f>IFERROR($J998/IF($A998&lt;COUNTIFS($K$1:R$1,"&lt;&gt;"),0,SUMIFS($J:$J,$B:$B,$B998,$A:$A,"&gt;="&amp;COUNTIFS($K$1:R$1,"&lt;&gt;"))),0)</f>
        <v>0.23134328358208955</v>
      </c>
      <c r="S998">
        <f>IFERROR($J998/IF($A998&lt;COUNTIFS($K$1:S$1,"&lt;&gt;"),0,SUMIFS($J:$J,$B:$B,$B998,$A:$A,"&gt;="&amp;COUNTIFS($K$1:S$1,"&lt;&gt;"))),0)</f>
        <v>0</v>
      </c>
      <c r="T998">
        <f>IFERROR($J998/IF($A998&lt;COUNTIFS($K$1:T$1,"&lt;&gt;"),0,SUMIFS($J:$J,$B:$B,$B998,$A:$A,"&gt;="&amp;COUNTIFS($K$1:T$1,"&lt;&gt;"))),0)</f>
        <v>0</v>
      </c>
      <c r="U998">
        <f>IFERROR($J998/IF($A998&lt;COUNTIFS($K$1:U$1,"&lt;&gt;"),0,SUMIFS($J:$J,$B:$B,$B998,$A:$A,"&gt;="&amp;COUNTIFS($K$1:U$1,"&lt;&gt;"))),0)</f>
        <v>0</v>
      </c>
      <c r="V998">
        <f>IFERROR($J998/IF($A998&lt;COUNTIFS($K$1:V$1,"&lt;&gt;"),0,SUMIFS($J:$J,$B:$B,$B998,$A:$A,"&gt;="&amp;COUNTIFS($K$1:V$1,"&lt;&gt;"))),0)</f>
        <v>0</v>
      </c>
      <c r="W998">
        <f t="shared" si="354"/>
        <v>8.4931506849315067E-2</v>
      </c>
      <c r="X998">
        <f t="shared" si="334"/>
        <v>8.4931506849315067E-2</v>
      </c>
      <c r="Y998">
        <f t="shared" si="335"/>
        <v>8.4931506849315067E-2</v>
      </c>
      <c r="Z998">
        <f t="shared" si="336"/>
        <v>8.4931506849315067E-2</v>
      </c>
      <c r="AA998">
        <f t="shared" si="337"/>
        <v>8.4931506849315067E-2</v>
      </c>
      <c r="AB998">
        <f t="shared" si="338"/>
        <v>8.4931506849315067E-2</v>
      </c>
      <c r="AC998">
        <f t="shared" si="339"/>
        <v>8.4931506849315067E-2</v>
      </c>
      <c r="AD998">
        <f t="shared" si="340"/>
        <v>8.4931506849315067E-2</v>
      </c>
      <c r="AE998">
        <f t="shared" si="341"/>
        <v>8.4931506849315067E-2</v>
      </c>
      <c r="AF998">
        <f t="shared" si="342"/>
        <v>0</v>
      </c>
      <c r="AG998">
        <f t="shared" si="343"/>
        <v>0</v>
      </c>
      <c r="AH998">
        <f t="shared" si="344"/>
        <v>0</v>
      </c>
      <c r="AI998">
        <f t="shared" si="345"/>
        <v>0</v>
      </c>
      <c r="AJ998" s="2" t="str">
        <f t="shared" si="355"/>
        <v>846143</v>
      </c>
    </row>
    <row r="999" spans="1:36" x14ac:dyDescent="0.25">
      <c r="A999">
        <v>9</v>
      </c>
      <c r="B999" s="1">
        <v>46143</v>
      </c>
      <c r="C999" s="1">
        <f t="shared" si="346"/>
        <v>46419</v>
      </c>
      <c r="D999" s="1">
        <f t="shared" si="347"/>
        <v>46157</v>
      </c>
      <c r="E999" s="1">
        <f t="shared" si="348"/>
        <v>46419</v>
      </c>
      <c r="F999" s="1">
        <f t="shared" si="349"/>
        <v>46447</v>
      </c>
      <c r="G999" s="1">
        <f t="shared" si="350"/>
        <v>46522</v>
      </c>
      <c r="H999">
        <f t="shared" si="351"/>
        <v>365</v>
      </c>
      <c r="I999">
        <f t="shared" si="352"/>
        <v>28</v>
      </c>
      <c r="J999">
        <f t="shared" si="353"/>
        <v>7.6712328767123292E-2</v>
      </c>
      <c r="K999">
        <f>IFERROR($J999/IF($A999&lt;COUNTIFS($K$1:K$1,"&lt;&gt;"),0,SUMIFS($J:$J,$B:$B,$B999,$A:$A,"&gt;="&amp;COUNTIFS($K$1:K$1,"&lt;&gt;"))),0)</f>
        <v>8.0459770114942541E-2</v>
      </c>
      <c r="L999">
        <f>IFERROR($J999/IF($A999&lt;COUNTIFS($K$1:L$1,"&lt;&gt;"),0,SUMIFS($J:$J,$B:$B,$B999,$A:$A,"&gt;="&amp;COUNTIFS($K$1:L$1,"&lt;&gt;"))),0)</f>
        <v>8.8050314465408827E-2</v>
      </c>
      <c r="M999">
        <f>IFERROR($J999/IF($A999&lt;COUNTIFS($K$1:M$1,"&lt;&gt;"),0,SUMIFS($J:$J,$B:$B,$B999,$A:$A,"&gt;="&amp;COUNTIFS($K$1:M$1,"&lt;&gt;"))),0)</f>
        <v>9.7560975609756115E-2</v>
      </c>
      <c r="N999">
        <f>IFERROR($J999/IF($A999&lt;COUNTIFS($K$1:N$1,"&lt;&gt;"),0,SUMIFS($J:$J,$B:$B,$B999,$A:$A,"&gt;="&amp;COUNTIFS($K$1:N$1,"&lt;&gt;"))),0)</f>
        <v>0.10937500000000003</v>
      </c>
      <c r="O999">
        <f>IFERROR($J999/IF($A999&lt;COUNTIFS($K$1:O$1,"&lt;&gt;"),0,SUMIFS($J:$J,$B:$B,$B999,$A:$A,"&gt;="&amp;COUNTIFS($K$1:O$1,"&lt;&gt;"))),0)</f>
        <v>0.12389380530973454</v>
      </c>
      <c r="P999">
        <f>IFERROR($J999/IF($A999&lt;COUNTIFS($K$1:P$1,"&lt;&gt;"),0,SUMIFS($J:$J,$B:$B,$B999,$A:$A,"&gt;="&amp;COUNTIFS($K$1:P$1,"&lt;&gt;"))),0)</f>
        <v>0.14358974358974361</v>
      </c>
      <c r="Q999">
        <f>IFERROR($J999/IF($A999&lt;COUNTIFS($K$1:Q$1,"&lt;&gt;"),0,SUMIFS($J:$J,$B:$B,$B999,$A:$A,"&gt;="&amp;COUNTIFS($K$1:Q$1,"&lt;&gt;"))),0)</f>
        <v>0.16969696969696971</v>
      </c>
      <c r="R999">
        <f>IFERROR($J999/IF($A999&lt;COUNTIFS($K$1:R$1,"&lt;&gt;"),0,SUMIFS($J:$J,$B:$B,$B999,$A:$A,"&gt;="&amp;COUNTIFS($K$1:R$1,"&lt;&gt;"))),0)</f>
        <v>0.20895522388059704</v>
      </c>
      <c r="S999">
        <f>IFERROR($J999/IF($A999&lt;COUNTIFS($K$1:S$1,"&lt;&gt;"),0,SUMIFS($J:$J,$B:$B,$B999,$A:$A,"&gt;="&amp;COUNTIFS($K$1:S$1,"&lt;&gt;"))),0)</f>
        <v>0.27184466019417475</v>
      </c>
      <c r="T999">
        <f>IFERROR($J999/IF($A999&lt;COUNTIFS($K$1:T$1,"&lt;&gt;"),0,SUMIFS($J:$J,$B:$B,$B999,$A:$A,"&gt;="&amp;COUNTIFS($K$1:T$1,"&lt;&gt;"))),0)</f>
        <v>0</v>
      </c>
      <c r="U999">
        <f>IFERROR($J999/IF($A999&lt;COUNTIFS($K$1:U$1,"&lt;&gt;"),0,SUMIFS($J:$J,$B:$B,$B999,$A:$A,"&gt;="&amp;COUNTIFS($K$1:U$1,"&lt;&gt;"))),0)</f>
        <v>0</v>
      </c>
      <c r="V999">
        <f>IFERROR($J999/IF($A999&lt;COUNTIFS($K$1:V$1,"&lt;&gt;"),0,SUMIFS($J:$J,$B:$B,$B999,$A:$A,"&gt;="&amp;COUNTIFS($K$1:V$1,"&lt;&gt;"))),0)</f>
        <v>0</v>
      </c>
      <c r="W999">
        <f t="shared" si="354"/>
        <v>7.6712328767123292E-2</v>
      </c>
      <c r="X999">
        <f t="shared" si="334"/>
        <v>7.6712328767123292E-2</v>
      </c>
      <c r="Y999">
        <f t="shared" si="335"/>
        <v>7.6712328767123292E-2</v>
      </c>
      <c r="Z999">
        <f t="shared" si="336"/>
        <v>7.6712328767123292E-2</v>
      </c>
      <c r="AA999">
        <f t="shared" si="337"/>
        <v>7.6712328767123292E-2</v>
      </c>
      <c r="AB999">
        <f t="shared" si="338"/>
        <v>7.6712328767123292E-2</v>
      </c>
      <c r="AC999">
        <f t="shared" si="339"/>
        <v>7.6712328767123292E-2</v>
      </c>
      <c r="AD999">
        <f t="shared" si="340"/>
        <v>7.6712328767123292E-2</v>
      </c>
      <c r="AE999">
        <f t="shared" si="341"/>
        <v>7.6712328767123292E-2</v>
      </c>
      <c r="AF999">
        <f t="shared" si="342"/>
        <v>7.6712328767123292E-2</v>
      </c>
      <c r="AG999">
        <f t="shared" si="343"/>
        <v>0</v>
      </c>
      <c r="AH999">
        <f t="shared" si="344"/>
        <v>0</v>
      </c>
      <c r="AI999">
        <f t="shared" si="345"/>
        <v>0</v>
      </c>
      <c r="AJ999" s="2" t="str">
        <f t="shared" si="355"/>
        <v>946143</v>
      </c>
    </row>
    <row r="1000" spans="1:36" x14ac:dyDescent="0.25">
      <c r="A1000">
        <v>10</v>
      </c>
      <c r="B1000" s="1">
        <v>46143</v>
      </c>
      <c r="C1000" s="1">
        <f t="shared" si="346"/>
        <v>46447</v>
      </c>
      <c r="D1000" s="1">
        <f t="shared" si="347"/>
        <v>46157</v>
      </c>
      <c r="E1000" s="1">
        <f t="shared" si="348"/>
        <v>46447</v>
      </c>
      <c r="F1000" s="1">
        <f t="shared" si="349"/>
        <v>46478</v>
      </c>
      <c r="G1000" s="1">
        <f t="shared" si="350"/>
        <v>46522</v>
      </c>
      <c r="H1000">
        <f t="shared" si="351"/>
        <v>365</v>
      </c>
      <c r="I1000">
        <f t="shared" si="352"/>
        <v>31</v>
      </c>
      <c r="J1000">
        <f t="shared" si="353"/>
        <v>8.4931506849315067E-2</v>
      </c>
      <c r="K1000">
        <f>IFERROR($J1000/IF($A1000&lt;COUNTIFS($K$1:K$1,"&lt;&gt;"),0,SUMIFS($J:$J,$B:$B,$B1000,$A:$A,"&gt;="&amp;COUNTIFS($K$1:K$1,"&lt;&gt;"))),0)</f>
        <v>8.9080459770114959E-2</v>
      </c>
      <c r="L1000">
        <f>IFERROR($J1000/IF($A1000&lt;COUNTIFS($K$1:L$1,"&lt;&gt;"),0,SUMIFS($J:$J,$B:$B,$B1000,$A:$A,"&gt;="&amp;COUNTIFS($K$1:L$1,"&lt;&gt;"))),0)</f>
        <v>9.7484276729559768E-2</v>
      </c>
      <c r="M1000">
        <f>IFERROR($J1000/IF($A1000&lt;COUNTIFS($K$1:M$1,"&lt;&gt;"),0,SUMIFS($J:$J,$B:$B,$B1000,$A:$A,"&gt;="&amp;COUNTIFS($K$1:M$1,"&lt;&gt;"))),0)</f>
        <v>0.10801393728222998</v>
      </c>
      <c r="N1000">
        <f>IFERROR($J1000/IF($A1000&lt;COUNTIFS($K$1:N$1,"&lt;&gt;"),0,SUMIFS($J:$J,$B:$B,$B1000,$A:$A,"&gt;="&amp;COUNTIFS($K$1:N$1,"&lt;&gt;"))),0)</f>
        <v>0.12109375000000001</v>
      </c>
      <c r="O1000">
        <f>IFERROR($J1000/IF($A1000&lt;COUNTIFS($K$1:O$1,"&lt;&gt;"),0,SUMIFS($J:$J,$B:$B,$B1000,$A:$A,"&gt;="&amp;COUNTIFS($K$1:O$1,"&lt;&gt;"))),0)</f>
        <v>0.13716814159292037</v>
      </c>
      <c r="P1000">
        <f>IFERROR($J1000/IF($A1000&lt;COUNTIFS($K$1:P$1,"&lt;&gt;"),0,SUMIFS($J:$J,$B:$B,$B1000,$A:$A,"&gt;="&amp;COUNTIFS($K$1:P$1,"&lt;&gt;"))),0)</f>
        <v>0.15897435897435899</v>
      </c>
      <c r="Q1000">
        <f>IFERROR($J1000/IF($A1000&lt;COUNTIFS($K$1:Q$1,"&lt;&gt;"),0,SUMIFS($J:$J,$B:$B,$B1000,$A:$A,"&gt;="&amp;COUNTIFS($K$1:Q$1,"&lt;&gt;"))),0)</f>
        <v>0.1878787878787879</v>
      </c>
      <c r="R1000">
        <f>IFERROR($J1000/IF($A1000&lt;COUNTIFS($K$1:R$1,"&lt;&gt;"),0,SUMIFS($J:$J,$B:$B,$B1000,$A:$A,"&gt;="&amp;COUNTIFS($K$1:R$1,"&lt;&gt;"))),0)</f>
        <v>0.23134328358208955</v>
      </c>
      <c r="S1000">
        <f>IFERROR($J1000/IF($A1000&lt;COUNTIFS($K$1:S$1,"&lt;&gt;"),0,SUMIFS($J:$J,$B:$B,$B1000,$A:$A,"&gt;="&amp;COUNTIFS($K$1:S$1,"&lt;&gt;"))),0)</f>
        <v>0.30097087378640774</v>
      </c>
      <c r="T1000">
        <f>IFERROR($J1000/IF($A1000&lt;COUNTIFS($K$1:T$1,"&lt;&gt;"),0,SUMIFS($J:$J,$B:$B,$B1000,$A:$A,"&gt;="&amp;COUNTIFS($K$1:T$1,"&lt;&gt;"))),0)</f>
        <v>0.41333333333333333</v>
      </c>
      <c r="U1000">
        <f>IFERROR($J1000/IF($A1000&lt;COUNTIFS($K$1:U$1,"&lt;&gt;"),0,SUMIFS($J:$J,$B:$B,$B1000,$A:$A,"&gt;="&amp;COUNTIFS($K$1:U$1,"&lt;&gt;"))),0)</f>
        <v>0</v>
      </c>
      <c r="V1000">
        <f>IFERROR($J1000/IF($A1000&lt;COUNTIFS($K$1:V$1,"&lt;&gt;"),0,SUMIFS($J:$J,$B:$B,$B1000,$A:$A,"&gt;="&amp;COUNTIFS($K$1:V$1,"&lt;&gt;"))),0)</f>
        <v>0</v>
      </c>
      <c r="W1000">
        <f t="shared" si="354"/>
        <v>8.4931506849315067E-2</v>
      </c>
      <c r="X1000">
        <f t="shared" si="334"/>
        <v>8.4931506849315067E-2</v>
      </c>
      <c r="Y1000">
        <f t="shared" si="335"/>
        <v>8.4931506849315067E-2</v>
      </c>
      <c r="Z1000">
        <f t="shared" si="336"/>
        <v>8.4931506849315067E-2</v>
      </c>
      <c r="AA1000">
        <f t="shared" si="337"/>
        <v>8.4931506849315067E-2</v>
      </c>
      <c r="AB1000">
        <f t="shared" si="338"/>
        <v>8.4931506849315067E-2</v>
      </c>
      <c r="AC1000">
        <f t="shared" si="339"/>
        <v>8.4931506849315067E-2</v>
      </c>
      <c r="AD1000">
        <f t="shared" si="340"/>
        <v>8.4931506849315067E-2</v>
      </c>
      <c r="AE1000">
        <f t="shared" si="341"/>
        <v>8.4931506849315067E-2</v>
      </c>
      <c r="AF1000">
        <f t="shared" si="342"/>
        <v>8.4931506849315067E-2</v>
      </c>
      <c r="AG1000">
        <f t="shared" si="343"/>
        <v>8.4931506849315067E-2</v>
      </c>
      <c r="AH1000">
        <f t="shared" si="344"/>
        <v>0</v>
      </c>
      <c r="AI1000">
        <f t="shared" si="345"/>
        <v>0</v>
      </c>
      <c r="AJ1000" s="2" t="str">
        <f t="shared" si="355"/>
        <v>1046143</v>
      </c>
    </row>
    <row r="1001" spans="1:36" x14ac:dyDescent="0.25">
      <c r="A1001">
        <v>11</v>
      </c>
      <c r="B1001" s="1">
        <v>46143</v>
      </c>
      <c r="C1001" s="1">
        <f t="shared" si="346"/>
        <v>46478</v>
      </c>
      <c r="D1001" s="1">
        <f t="shared" si="347"/>
        <v>46157</v>
      </c>
      <c r="E1001" s="1">
        <f t="shared" si="348"/>
        <v>46478</v>
      </c>
      <c r="F1001" s="1">
        <f t="shared" si="349"/>
        <v>46508</v>
      </c>
      <c r="G1001" s="1">
        <f t="shared" si="350"/>
        <v>46522</v>
      </c>
      <c r="H1001">
        <f t="shared" si="351"/>
        <v>365</v>
      </c>
      <c r="I1001">
        <f t="shared" si="352"/>
        <v>30</v>
      </c>
      <c r="J1001">
        <f t="shared" si="353"/>
        <v>8.2191780821917804E-2</v>
      </c>
      <c r="K1001">
        <f>IFERROR($J1001/IF($A1001&lt;COUNTIFS($K$1:K$1,"&lt;&gt;"),0,SUMIFS($J:$J,$B:$B,$B1001,$A:$A,"&gt;="&amp;COUNTIFS($K$1:K$1,"&lt;&gt;"))),0)</f>
        <v>8.6206896551724144E-2</v>
      </c>
      <c r="L1001">
        <f>IFERROR($J1001/IF($A1001&lt;COUNTIFS($K$1:L$1,"&lt;&gt;"),0,SUMIFS($J:$J,$B:$B,$B1001,$A:$A,"&gt;="&amp;COUNTIFS($K$1:L$1,"&lt;&gt;"))),0)</f>
        <v>9.4339622641509441E-2</v>
      </c>
      <c r="M1001">
        <f>IFERROR($J1001/IF($A1001&lt;COUNTIFS($K$1:M$1,"&lt;&gt;"),0,SUMIFS($J:$J,$B:$B,$B1001,$A:$A,"&gt;="&amp;COUNTIFS($K$1:M$1,"&lt;&gt;"))),0)</f>
        <v>0.10452961672473869</v>
      </c>
      <c r="N1001">
        <f>IFERROR($J1001/IF($A1001&lt;COUNTIFS($K$1:N$1,"&lt;&gt;"),0,SUMIFS($J:$J,$B:$B,$B1001,$A:$A,"&gt;="&amp;COUNTIFS($K$1:N$1,"&lt;&gt;"))),0)</f>
        <v>0.11718750000000001</v>
      </c>
      <c r="O1001">
        <f>IFERROR($J1001/IF($A1001&lt;COUNTIFS($K$1:O$1,"&lt;&gt;"),0,SUMIFS($J:$J,$B:$B,$B1001,$A:$A,"&gt;="&amp;COUNTIFS($K$1:O$1,"&lt;&gt;"))),0)</f>
        <v>0.13274336283185842</v>
      </c>
      <c r="P1001">
        <f>IFERROR($J1001/IF($A1001&lt;COUNTIFS($K$1:P$1,"&lt;&gt;"),0,SUMIFS($J:$J,$B:$B,$B1001,$A:$A,"&gt;="&amp;COUNTIFS($K$1:P$1,"&lt;&gt;"))),0)</f>
        <v>0.15384615384615385</v>
      </c>
      <c r="Q1001">
        <f>IFERROR($J1001/IF($A1001&lt;COUNTIFS($K$1:Q$1,"&lt;&gt;"),0,SUMIFS($J:$J,$B:$B,$B1001,$A:$A,"&gt;="&amp;COUNTIFS($K$1:Q$1,"&lt;&gt;"))),0)</f>
        <v>0.18181818181818182</v>
      </c>
      <c r="R1001">
        <f>IFERROR($J1001/IF($A1001&lt;COUNTIFS($K$1:R$1,"&lt;&gt;"),0,SUMIFS($J:$J,$B:$B,$B1001,$A:$A,"&gt;="&amp;COUNTIFS($K$1:R$1,"&lt;&gt;"))),0)</f>
        <v>0.22388059701492535</v>
      </c>
      <c r="S1001">
        <f>IFERROR($J1001/IF($A1001&lt;COUNTIFS($K$1:S$1,"&lt;&gt;"),0,SUMIFS($J:$J,$B:$B,$B1001,$A:$A,"&gt;="&amp;COUNTIFS($K$1:S$1,"&lt;&gt;"))),0)</f>
        <v>0.29126213592233008</v>
      </c>
      <c r="T1001">
        <f>IFERROR($J1001/IF($A1001&lt;COUNTIFS($K$1:T$1,"&lt;&gt;"),0,SUMIFS($J:$J,$B:$B,$B1001,$A:$A,"&gt;="&amp;COUNTIFS($K$1:T$1,"&lt;&gt;"))),0)</f>
        <v>0.4</v>
      </c>
      <c r="U1001">
        <f>IFERROR($J1001/IF($A1001&lt;COUNTIFS($K$1:U$1,"&lt;&gt;"),0,SUMIFS($J:$J,$B:$B,$B1001,$A:$A,"&gt;="&amp;COUNTIFS($K$1:U$1,"&lt;&gt;"))),0)</f>
        <v>0.68181818181818177</v>
      </c>
      <c r="V1001">
        <f>IFERROR($J1001/IF($A1001&lt;COUNTIFS($K$1:V$1,"&lt;&gt;"),0,SUMIFS($J:$J,$B:$B,$B1001,$A:$A,"&gt;="&amp;COUNTIFS($K$1:V$1,"&lt;&gt;"))),0)</f>
        <v>0</v>
      </c>
      <c r="W1001">
        <f t="shared" si="354"/>
        <v>8.2191780821917804E-2</v>
      </c>
      <c r="X1001">
        <f t="shared" si="334"/>
        <v>8.2191780821917804E-2</v>
      </c>
      <c r="Y1001">
        <f t="shared" si="335"/>
        <v>8.2191780821917804E-2</v>
      </c>
      <c r="Z1001">
        <f t="shared" si="336"/>
        <v>8.2191780821917804E-2</v>
      </c>
      <c r="AA1001">
        <f t="shared" si="337"/>
        <v>8.2191780821917804E-2</v>
      </c>
      <c r="AB1001">
        <f t="shared" si="338"/>
        <v>8.2191780821917804E-2</v>
      </c>
      <c r="AC1001">
        <f t="shared" si="339"/>
        <v>8.2191780821917804E-2</v>
      </c>
      <c r="AD1001">
        <f t="shared" si="340"/>
        <v>8.2191780821917804E-2</v>
      </c>
      <c r="AE1001">
        <f t="shared" si="341"/>
        <v>8.2191780821917804E-2</v>
      </c>
      <c r="AF1001">
        <f t="shared" si="342"/>
        <v>8.2191780821917804E-2</v>
      </c>
      <c r="AG1001">
        <f t="shared" si="343"/>
        <v>8.2191780821917804E-2</v>
      </c>
      <c r="AH1001">
        <f t="shared" si="344"/>
        <v>8.2191780821917804E-2</v>
      </c>
      <c r="AI1001">
        <f t="shared" si="345"/>
        <v>0</v>
      </c>
      <c r="AJ1001" s="2" t="str">
        <f t="shared" si="355"/>
        <v>1146143</v>
      </c>
    </row>
    <row r="1002" spans="1:36" x14ac:dyDescent="0.25">
      <c r="A1002">
        <v>12</v>
      </c>
      <c r="B1002" s="1">
        <v>46143</v>
      </c>
      <c r="C1002" s="1">
        <f t="shared" si="346"/>
        <v>46508</v>
      </c>
      <c r="D1002" s="1">
        <f t="shared" si="347"/>
        <v>46157</v>
      </c>
      <c r="E1002" s="1">
        <f t="shared" si="348"/>
        <v>46508</v>
      </c>
      <c r="F1002" s="1">
        <f t="shared" si="349"/>
        <v>46522</v>
      </c>
      <c r="G1002" s="1">
        <f t="shared" si="350"/>
        <v>46522</v>
      </c>
      <c r="H1002">
        <f t="shared" si="351"/>
        <v>365</v>
      </c>
      <c r="I1002">
        <f t="shared" si="352"/>
        <v>14</v>
      </c>
      <c r="J1002">
        <f t="shared" si="353"/>
        <v>3.8356164383561646E-2</v>
      </c>
      <c r="K1002">
        <f>IFERROR($J1002/IF($A1002&lt;COUNTIFS($K$1:K$1,"&lt;&gt;"),0,SUMIFS($J:$J,$B:$B,$B1002,$A:$A,"&gt;="&amp;COUNTIFS($K$1:K$1,"&lt;&gt;"))),0)</f>
        <v>4.0229885057471271E-2</v>
      </c>
      <c r="L1002">
        <f>IFERROR($J1002/IF($A1002&lt;COUNTIFS($K$1:L$1,"&lt;&gt;"),0,SUMIFS($J:$J,$B:$B,$B1002,$A:$A,"&gt;="&amp;COUNTIFS($K$1:L$1,"&lt;&gt;"))),0)</f>
        <v>4.4025157232704414E-2</v>
      </c>
      <c r="M1002">
        <f>IFERROR($J1002/IF($A1002&lt;COUNTIFS($K$1:M$1,"&lt;&gt;"),0,SUMIFS($J:$J,$B:$B,$B1002,$A:$A,"&gt;="&amp;COUNTIFS($K$1:M$1,"&lt;&gt;"))),0)</f>
        <v>4.8780487804878057E-2</v>
      </c>
      <c r="N1002">
        <f>IFERROR($J1002/IF($A1002&lt;COUNTIFS($K$1:N$1,"&lt;&gt;"),0,SUMIFS($J:$J,$B:$B,$B1002,$A:$A,"&gt;="&amp;COUNTIFS($K$1:N$1,"&lt;&gt;"))),0)</f>
        <v>5.4687500000000014E-2</v>
      </c>
      <c r="O1002">
        <f>IFERROR($J1002/IF($A1002&lt;COUNTIFS($K$1:O$1,"&lt;&gt;"),0,SUMIFS($J:$J,$B:$B,$B1002,$A:$A,"&gt;="&amp;COUNTIFS($K$1:O$1,"&lt;&gt;"))),0)</f>
        <v>6.194690265486727E-2</v>
      </c>
      <c r="P1002">
        <f>IFERROR($J1002/IF($A1002&lt;COUNTIFS($K$1:P$1,"&lt;&gt;"),0,SUMIFS($J:$J,$B:$B,$B1002,$A:$A,"&gt;="&amp;COUNTIFS($K$1:P$1,"&lt;&gt;"))),0)</f>
        <v>7.1794871794871803E-2</v>
      </c>
      <c r="Q1002">
        <f>IFERROR($J1002/IF($A1002&lt;COUNTIFS($K$1:Q$1,"&lt;&gt;"),0,SUMIFS($J:$J,$B:$B,$B1002,$A:$A,"&gt;="&amp;COUNTIFS($K$1:Q$1,"&lt;&gt;"))),0)</f>
        <v>8.4848484848484854E-2</v>
      </c>
      <c r="R1002">
        <f>IFERROR($J1002/IF($A1002&lt;COUNTIFS($K$1:R$1,"&lt;&gt;"),0,SUMIFS($J:$J,$B:$B,$B1002,$A:$A,"&gt;="&amp;COUNTIFS($K$1:R$1,"&lt;&gt;"))),0)</f>
        <v>0.10447761194029852</v>
      </c>
      <c r="S1002">
        <f>IFERROR($J1002/IF($A1002&lt;COUNTIFS($K$1:S$1,"&lt;&gt;"),0,SUMIFS($J:$J,$B:$B,$B1002,$A:$A,"&gt;="&amp;COUNTIFS($K$1:S$1,"&lt;&gt;"))),0)</f>
        <v>0.13592233009708737</v>
      </c>
      <c r="T1002">
        <f>IFERROR($J1002/IF($A1002&lt;COUNTIFS($K$1:T$1,"&lt;&gt;"),0,SUMIFS($J:$J,$B:$B,$B1002,$A:$A,"&gt;="&amp;COUNTIFS($K$1:T$1,"&lt;&gt;"))),0)</f>
        <v>0.18666666666666668</v>
      </c>
      <c r="U1002">
        <f>IFERROR($J1002/IF($A1002&lt;COUNTIFS($K$1:U$1,"&lt;&gt;"),0,SUMIFS($J:$J,$B:$B,$B1002,$A:$A,"&gt;="&amp;COUNTIFS($K$1:U$1,"&lt;&gt;"))),0)</f>
        <v>0.31818181818181818</v>
      </c>
      <c r="V1002">
        <f>IFERROR($J1002/IF($A1002&lt;COUNTIFS($K$1:V$1,"&lt;&gt;"),0,SUMIFS($J:$J,$B:$B,$B1002,$A:$A,"&gt;="&amp;COUNTIFS($K$1:V$1,"&lt;&gt;"))),0)</f>
        <v>1</v>
      </c>
      <c r="W1002">
        <f t="shared" si="354"/>
        <v>3.8356164383561646E-2</v>
      </c>
      <c r="X1002">
        <f t="shared" si="334"/>
        <v>3.8356164383561646E-2</v>
      </c>
      <c r="Y1002">
        <f t="shared" si="335"/>
        <v>3.8356164383561646E-2</v>
      </c>
      <c r="Z1002">
        <f t="shared" si="336"/>
        <v>3.8356164383561646E-2</v>
      </c>
      <c r="AA1002">
        <f t="shared" si="337"/>
        <v>3.8356164383561646E-2</v>
      </c>
      <c r="AB1002">
        <f t="shared" si="338"/>
        <v>3.8356164383561646E-2</v>
      </c>
      <c r="AC1002">
        <f t="shared" si="339"/>
        <v>3.8356164383561646E-2</v>
      </c>
      <c r="AD1002">
        <f t="shared" si="340"/>
        <v>3.8356164383561646E-2</v>
      </c>
      <c r="AE1002">
        <f t="shared" si="341"/>
        <v>3.8356164383561646E-2</v>
      </c>
      <c r="AF1002">
        <f t="shared" si="342"/>
        <v>3.8356164383561646E-2</v>
      </c>
      <c r="AG1002">
        <f t="shared" si="343"/>
        <v>3.8356164383561646E-2</v>
      </c>
      <c r="AH1002">
        <f t="shared" si="344"/>
        <v>3.8356164383561646E-2</v>
      </c>
      <c r="AI1002">
        <f t="shared" si="345"/>
        <v>3.8356164383561646E-2</v>
      </c>
      <c r="AJ1002" s="2" t="str">
        <f t="shared" si="355"/>
        <v>1246143</v>
      </c>
    </row>
    <row r="1003" spans="1:36" x14ac:dyDescent="0.25">
      <c r="A1003">
        <v>0</v>
      </c>
      <c r="B1003" s="1">
        <v>46174</v>
      </c>
      <c r="C1003" s="1">
        <f t="shared" si="346"/>
        <v>46174</v>
      </c>
      <c r="D1003" s="1">
        <f t="shared" si="347"/>
        <v>46188</v>
      </c>
      <c r="E1003" s="1">
        <f t="shared" si="348"/>
        <v>46188</v>
      </c>
      <c r="F1003" s="1">
        <f t="shared" si="349"/>
        <v>46204</v>
      </c>
      <c r="G1003" s="1">
        <f t="shared" si="350"/>
        <v>46553</v>
      </c>
      <c r="H1003">
        <f t="shared" si="351"/>
        <v>365</v>
      </c>
      <c r="I1003">
        <f t="shared" si="352"/>
        <v>16</v>
      </c>
      <c r="J1003">
        <f t="shared" si="353"/>
        <v>4.3835616438356165E-2</v>
      </c>
      <c r="K1003">
        <f>IFERROR($J1003/IF($A1003&lt;COUNTIFS($K$1:K$1,"&lt;&gt;"),0,SUMIFS($J:$J,$B:$B,$B1003,$A:$A,"&gt;="&amp;COUNTIFS($K$1:K$1,"&lt;&gt;"))),0)</f>
        <v>0</v>
      </c>
      <c r="L1003">
        <f>IFERROR($J1003/IF($A1003&lt;COUNTIFS($K$1:L$1,"&lt;&gt;"),0,SUMIFS($J:$J,$B:$B,$B1003,$A:$A,"&gt;="&amp;COUNTIFS($K$1:L$1,"&lt;&gt;"))),0)</f>
        <v>0</v>
      </c>
      <c r="M1003">
        <f>IFERROR($J1003/IF($A1003&lt;COUNTIFS($K$1:M$1,"&lt;&gt;"),0,SUMIFS($J:$J,$B:$B,$B1003,$A:$A,"&gt;="&amp;COUNTIFS($K$1:M$1,"&lt;&gt;"))),0)</f>
        <v>0</v>
      </c>
      <c r="N1003">
        <f>IFERROR($J1003/IF($A1003&lt;COUNTIFS($K$1:N$1,"&lt;&gt;"),0,SUMIFS($J:$J,$B:$B,$B1003,$A:$A,"&gt;="&amp;COUNTIFS($K$1:N$1,"&lt;&gt;"))),0)</f>
        <v>0</v>
      </c>
      <c r="O1003">
        <f>IFERROR($J1003/IF($A1003&lt;COUNTIFS($K$1:O$1,"&lt;&gt;"),0,SUMIFS($J:$J,$B:$B,$B1003,$A:$A,"&gt;="&amp;COUNTIFS($K$1:O$1,"&lt;&gt;"))),0)</f>
        <v>0</v>
      </c>
      <c r="P1003">
        <f>IFERROR($J1003/IF($A1003&lt;COUNTIFS($K$1:P$1,"&lt;&gt;"),0,SUMIFS($J:$J,$B:$B,$B1003,$A:$A,"&gt;="&amp;COUNTIFS($K$1:P$1,"&lt;&gt;"))),0)</f>
        <v>0</v>
      </c>
      <c r="Q1003">
        <f>IFERROR($J1003/IF($A1003&lt;COUNTIFS($K$1:Q$1,"&lt;&gt;"),0,SUMIFS($J:$J,$B:$B,$B1003,$A:$A,"&gt;="&amp;COUNTIFS($K$1:Q$1,"&lt;&gt;"))),0)</f>
        <v>0</v>
      </c>
      <c r="R1003">
        <f>IFERROR($J1003/IF($A1003&lt;COUNTIFS($K$1:R$1,"&lt;&gt;"),0,SUMIFS($J:$J,$B:$B,$B1003,$A:$A,"&gt;="&amp;COUNTIFS($K$1:R$1,"&lt;&gt;"))),0)</f>
        <v>0</v>
      </c>
      <c r="S1003">
        <f>IFERROR($J1003/IF($A1003&lt;COUNTIFS($K$1:S$1,"&lt;&gt;"),0,SUMIFS($J:$J,$B:$B,$B1003,$A:$A,"&gt;="&amp;COUNTIFS($K$1:S$1,"&lt;&gt;"))),0)</f>
        <v>0</v>
      </c>
      <c r="T1003">
        <f>IFERROR($J1003/IF($A1003&lt;COUNTIFS($K$1:T$1,"&lt;&gt;"),0,SUMIFS($J:$J,$B:$B,$B1003,$A:$A,"&gt;="&amp;COUNTIFS($K$1:T$1,"&lt;&gt;"))),0)</f>
        <v>0</v>
      </c>
      <c r="U1003">
        <f>IFERROR($J1003/IF($A1003&lt;COUNTIFS($K$1:U$1,"&lt;&gt;"),0,SUMIFS($J:$J,$B:$B,$B1003,$A:$A,"&gt;="&amp;COUNTIFS($K$1:U$1,"&lt;&gt;"))),0)</f>
        <v>0</v>
      </c>
      <c r="V1003">
        <f>IFERROR($J1003/IF($A1003&lt;COUNTIFS($K$1:V$1,"&lt;&gt;"),0,SUMIFS($J:$J,$B:$B,$B1003,$A:$A,"&gt;="&amp;COUNTIFS($K$1:V$1,"&lt;&gt;"))),0)</f>
        <v>0</v>
      </c>
      <c r="W1003">
        <f t="shared" si="354"/>
        <v>4.3835616438356165E-2</v>
      </c>
      <c r="X1003">
        <f t="shared" si="334"/>
        <v>0</v>
      </c>
      <c r="Y1003">
        <f t="shared" si="335"/>
        <v>0</v>
      </c>
      <c r="Z1003">
        <f t="shared" si="336"/>
        <v>0</v>
      </c>
      <c r="AA1003">
        <f t="shared" si="337"/>
        <v>0</v>
      </c>
      <c r="AB1003">
        <f t="shared" si="338"/>
        <v>0</v>
      </c>
      <c r="AC1003">
        <f t="shared" si="339"/>
        <v>0</v>
      </c>
      <c r="AD1003">
        <f t="shared" si="340"/>
        <v>0</v>
      </c>
      <c r="AE1003">
        <f t="shared" si="341"/>
        <v>0</v>
      </c>
      <c r="AF1003">
        <f t="shared" si="342"/>
        <v>0</v>
      </c>
      <c r="AG1003">
        <f t="shared" si="343"/>
        <v>0</v>
      </c>
      <c r="AH1003">
        <f t="shared" si="344"/>
        <v>0</v>
      </c>
      <c r="AI1003">
        <f t="shared" si="345"/>
        <v>0</v>
      </c>
      <c r="AJ1003" s="2" t="str">
        <f t="shared" si="355"/>
        <v>046174</v>
      </c>
    </row>
    <row r="1004" spans="1:36" x14ac:dyDescent="0.25">
      <c r="A1004">
        <v>1</v>
      </c>
      <c r="B1004" s="1">
        <v>46174</v>
      </c>
      <c r="C1004" s="1">
        <f t="shared" si="346"/>
        <v>46204</v>
      </c>
      <c r="D1004" s="1">
        <f t="shared" si="347"/>
        <v>46188</v>
      </c>
      <c r="E1004" s="1">
        <f t="shared" si="348"/>
        <v>46204</v>
      </c>
      <c r="F1004" s="1">
        <f t="shared" si="349"/>
        <v>46235</v>
      </c>
      <c r="G1004" s="1">
        <f t="shared" si="350"/>
        <v>46553</v>
      </c>
      <c r="H1004">
        <f t="shared" si="351"/>
        <v>365</v>
      </c>
      <c r="I1004">
        <f t="shared" si="352"/>
        <v>31</v>
      </c>
      <c r="J1004">
        <f t="shared" si="353"/>
        <v>8.4931506849315067E-2</v>
      </c>
      <c r="K1004">
        <f>IFERROR($J1004/IF($A1004&lt;COUNTIFS($K$1:K$1,"&lt;&gt;"),0,SUMIFS($J:$J,$B:$B,$B1004,$A:$A,"&gt;="&amp;COUNTIFS($K$1:K$1,"&lt;&gt;"))),0)</f>
        <v>8.8825214899713484E-2</v>
      </c>
      <c r="L1004">
        <f>IFERROR($J1004/IF($A1004&lt;COUNTIFS($K$1:L$1,"&lt;&gt;"),0,SUMIFS($J:$J,$B:$B,$B1004,$A:$A,"&gt;="&amp;COUNTIFS($K$1:L$1,"&lt;&gt;"))),0)</f>
        <v>0</v>
      </c>
      <c r="M1004">
        <f>IFERROR($J1004/IF($A1004&lt;COUNTIFS($K$1:M$1,"&lt;&gt;"),0,SUMIFS($J:$J,$B:$B,$B1004,$A:$A,"&gt;="&amp;COUNTIFS($K$1:M$1,"&lt;&gt;"))),0)</f>
        <v>0</v>
      </c>
      <c r="N1004">
        <f>IFERROR($J1004/IF($A1004&lt;COUNTIFS($K$1:N$1,"&lt;&gt;"),0,SUMIFS($J:$J,$B:$B,$B1004,$A:$A,"&gt;="&amp;COUNTIFS($K$1:N$1,"&lt;&gt;"))),0)</f>
        <v>0</v>
      </c>
      <c r="O1004">
        <f>IFERROR($J1004/IF($A1004&lt;COUNTIFS($K$1:O$1,"&lt;&gt;"),0,SUMIFS($J:$J,$B:$B,$B1004,$A:$A,"&gt;="&amp;COUNTIFS($K$1:O$1,"&lt;&gt;"))),0)</f>
        <v>0</v>
      </c>
      <c r="P1004">
        <f>IFERROR($J1004/IF($A1004&lt;COUNTIFS($K$1:P$1,"&lt;&gt;"),0,SUMIFS($J:$J,$B:$B,$B1004,$A:$A,"&gt;="&amp;COUNTIFS($K$1:P$1,"&lt;&gt;"))),0)</f>
        <v>0</v>
      </c>
      <c r="Q1004">
        <f>IFERROR($J1004/IF($A1004&lt;COUNTIFS($K$1:Q$1,"&lt;&gt;"),0,SUMIFS($J:$J,$B:$B,$B1004,$A:$A,"&gt;="&amp;COUNTIFS($K$1:Q$1,"&lt;&gt;"))),0)</f>
        <v>0</v>
      </c>
      <c r="R1004">
        <f>IFERROR($J1004/IF($A1004&lt;COUNTIFS($K$1:R$1,"&lt;&gt;"),0,SUMIFS($J:$J,$B:$B,$B1004,$A:$A,"&gt;="&amp;COUNTIFS($K$1:R$1,"&lt;&gt;"))),0)</f>
        <v>0</v>
      </c>
      <c r="S1004">
        <f>IFERROR($J1004/IF($A1004&lt;COUNTIFS($K$1:S$1,"&lt;&gt;"),0,SUMIFS($J:$J,$B:$B,$B1004,$A:$A,"&gt;="&amp;COUNTIFS($K$1:S$1,"&lt;&gt;"))),0)</f>
        <v>0</v>
      </c>
      <c r="T1004">
        <f>IFERROR($J1004/IF($A1004&lt;COUNTIFS($K$1:T$1,"&lt;&gt;"),0,SUMIFS($J:$J,$B:$B,$B1004,$A:$A,"&gt;="&amp;COUNTIFS($K$1:T$1,"&lt;&gt;"))),0)</f>
        <v>0</v>
      </c>
      <c r="U1004">
        <f>IFERROR($J1004/IF($A1004&lt;COUNTIFS($K$1:U$1,"&lt;&gt;"),0,SUMIFS($J:$J,$B:$B,$B1004,$A:$A,"&gt;="&amp;COUNTIFS($K$1:U$1,"&lt;&gt;"))),0)</f>
        <v>0</v>
      </c>
      <c r="V1004">
        <f>IFERROR($J1004/IF($A1004&lt;COUNTIFS($K$1:V$1,"&lt;&gt;"),0,SUMIFS($J:$J,$B:$B,$B1004,$A:$A,"&gt;="&amp;COUNTIFS($K$1:V$1,"&lt;&gt;"))),0)</f>
        <v>0</v>
      </c>
      <c r="W1004">
        <f t="shared" si="354"/>
        <v>8.4931506849315067E-2</v>
      </c>
      <c r="X1004">
        <f t="shared" si="334"/>
        <v>8.4931506849315067E-2</v>
      </c>
      <c r="Y1004">
        <f t="shared" si="335"/>
        <v>0</v>
      </c>
      <c r="Z1004">
        <f t="shared" si="336"/>
        <v>0</v>
      </c>
      <c r="AA1004">
        <f t="shared" si="337"/>
        <v>0</v>
      </c>
      <c r="AB1004">
        <f t="shared" si="338"/>
        <v>0</v>
      </c>
      <c r="AC1004">
        <f t="shared" si="339"/>
        <v>0</v>
      </c>
      <c r="AD1004">
        <f t="shared" si="340"/>
        <v>0</v>
      </c>
      <c r="AE1004">
        <f t="shared" si="341"/>
        <v>0</v>
      </c>
      <c r="AF1004">
        <f t="shared" si="342"/>
        <v>0</v>
      </c>
      <c r="AG1004">
        <f t="shared" si="343"/>
        <v>0</v>
      </c>
      <c r="AH1004">
        <f t="shared" si="344"/>
        <v>0</v>
      </c>
      <c r="AI1004">
        <f t="shared" si="345"/>
        <v>0</v>
      </c>
      <c r="AJ1004" s="2" t="str">
        <f t="shared" si="355"/>
        <v>146174</v>
      </c>
    </row>
    <row r="1005" spans="1:36" x14ac:dyDescent="0.25">
      <c r="A1005">
        <v>2</v>
      </c>
      <c r="B1005" s="1">
        <v>46174</v>
      </c>
      <c r="C1005" s="1">
        <f t="shared" si="346"/>
        <v>46235</v>
      </c>
      <c r="D1005" s="1">
        <f t="shared" si="347"/>
        <v>46188</v>
      </c>
      <c r="E1005" s="1">
        <f t="shared" si="348"/>
        <v>46235</v>
      </c>
      <c r="F1005" s="1">
        <f t="shared" si="349"/>
        <v>46266</v>
      </c>
      <c r="G1005" s="1">
        <f t="shared" si="350"/>
        <v>46553</v>
      </c>
      <c r="H1005">
        <f t="shared" si="351"/>
        <v>365</v>
      </c>
      <c r="I1005">
        <f t="shared" si="352"/>
        <v>31</v>
      </c>
      <c r="J1005">
        <f t="shared" si="353"/>
        <v>8.4931506849315067E-2</v>
      </c>
      <c r="K1005">
        <f>IFERROR($J1005/IF($A1005&lt;COUNTIFS($K$1:K$1,"&lt;&gt;"),0,SUMIFS($J:$J,$B:$B,$B1005,$A:$A,"&gt;="&amp;COUNTIFS($K$1:K$1,"&lt;&gt;"))),0)</f>
        <v>8.8825214899713484E-2</v>
      </c>
      <c r="L1005">
        <f>IFERROR($J1005/IF($A1005&lt;COUNTIFS($K$1:L$1,"&lt;&gt;"),0,SUMIFS($J:$J,$B:$B,$B1005,$A:$A,"&gt;="&amp;COUNTIFS($K$1:L$1,"&lt;&gt;"))),0)</f>
        <v>9.7484276729559768E-2</v>
      </c>
      <c r="M1005">
        <f>IFERROR($J1005/IF($A1005&lt;COUNTIFS($K$1:M$1,"&lt;&gt;"),0,SUMIFS($J:$J,$B:$B,$B1005,$A:$A,"&gt;="&amp;COUNTIFS($K$1:M$1,"&lt;&gt;"))),0)</f>
        <v>0</v>
      </c>
      <c r="N1005">
        <f>IFERROR($J1005/IF($A1005&lt;COUNTIFS($K$1:N$1,"&lt;&gt;"),0,SUMIFS($J:$J,$B:$B,$B1005,$A:$A,"&gt;="&amp;COUNTIFS($K$1:N$1,"&lt;&gt;"))),0)</f>
        <v>0</v>
      </c>
      <c r="O1005">
        <f>IFERROR($J1005/IF($A1005&lt;COUNTIFS($K$1:O$1,"&lt;&gt;"),0,SUMIFS($J:$J,$B:$B,$B1005,$A:$A,"&gt;="&amp;COUNTIFS($K$1:O$1,"&lt;&gt;"))),0)</f>
        <v>0</v>
      </c>
      <c r="P1005">
        <f>IFERROR($J1005/IF($A1005&lt;COUNTIFS($K$1:P$1,"&lt;&gt;"),0,SUMIFS($J:$J,$B:$B,$B1005,$A:$A,"&gt;="&amp;COUNTIFS($K$1:P$1,"&lt;&gt;"))),0)</f>
        <v>0</v>
      </c>
      <c r="Q1005">
        <f>IFERROR($J1005/IF($A1005&lt;COUNTIFS($K$1:Q$1,"&lt;&gt;"),0,SUMIFS($J:$J,$B:$B,$B1005,$A:$A,"&gt;="&amp;COUNTIFS($K$1:Q$1,"&lt;&gt;"))),0)</f>
        <v>0</v>
      </c>
      <c r="R1005">
        <f>IFERROR($J1005/IF($A1005&lt;COUNTIFS($K$1:R$1,"&lt;&gt;"),0,SUMIFS($J:$J,$B:$B,$B1005,$A:$A,"&gt;="&amp;COUNTIFS($K$1:R$1,"&lt;&gt;"))),0)</f>
        <v>0</v>
      </c>
      <c r="S1005">
        <f>IFERROR($J1005/IF($A1005&lt;COUNTIFS($K$1:S$1,"&lt;&gt;"),0,SUMIFS($J:$J,$B:$B,$B1005,$A:$A,"&gt;="&amp;COUNTIFS($K$1:S$1,"&lt;&gt;"))),0)</f>
        <v>0</v>
      </c>
      <c r="T1005">
        <f>IFERROR($J1005/IF($A1005&lt;COUNTIFS($K$1:T$1,"&lt;&gt;"),0,SUMIFS($J:$J,$B:$B,$B1005,$A:$A,"&gt;="&amp;COUNTIFS($K$1:T$1,"&lt;&gt;"))),0)</f>
        <v>0</v>
      </c>
      <c r="U1005">
        <f>IFERROR($J1005/IF($A1005&lt;COUNTIFS($K$1:U$1,"&lt;&gt;"),0,SUMIFS($J:$J,$B:$B,$B1005,$A:$A,"&gt;="&amp;COUNTIFS($K$1:U$1,"&lt;&gt;"))),0)</f>
        <v>0</v>
      </c>
      <c r="V1005">
        <f>IFERROR($J1005/IF($A1005&lt;COUNTIFS($K$1:V$1,"&lt;&gt;"),0,SUMIFS($J:$J,$B:$B,$B1005,$A:$A,"&gt;="&amp;COUNTIFS($K$1:V$1,"&lt;&gt;"))),0)</f>
        <v>0</v>
      </c>
      <c r="W1005">
        <f t="shared" si="354"/>
        <v>8.4931506849315067E-2</v>
      </c>
      <c r="X1005">
        <f t="shared" si="334"/>
        <v>8.4931506849315067E-2</v>
      </c>
      <c r="Y1005">
        <f t="shared" si="335"/>
        <v>8.4931506849315067E-2</v>
      </c>
      <c r="Z1005">
        <f t="shared" si="336"/>
        <v>0</v>
      </c>
      <c r="AA1005">
        <f t="shared" si="337"/>
        <v>0</v>
      </c>
      <c r="AB1005">
        <f t="shared" si="338"/>
        <v>0</v>
      </c>
      <c r="AC1005">
        <f t="shared" si="339"/>
        <v>0</v>
      </c>
      <c r="AD1005">
        <f t="shared" si="340"/>
        <v>0</v>
      </c>
      <c r="AE1005">
        <f t="shared" si="341"/>
        <v>0</v>
      </c>
      <c r="AF1005">
        <f t="shared" si="342"/>
        <v>0</v>
      </c>
      <c r="AG1005">
        <f t="shared" si="343"/>
        <v>0</v>
      </c>
      <c r="AH1005">
        <f t="shared" si="344"/>
        <v>0</v>
      </c>
      <c r="AI1005">
        <f t="shared" si="345"/>
        <v>0</v>
      </c>
      <c r="AJ1005" s="2" t="str">
        <f t="shared" si="355"/>
        <v>246174</v>
      </c>
    </row>
    <row r="1006" spans="1:36" x14ac:dyDescent="0.25">
      <c r="A1006">
        <v>3</v>
      </c>
      <c r="B1006" s="1">
        <v>46174</v>
      </c>
      <c r="C1006" s="1">
        <f t="shared" si="346"/>
        <v>46266</v>
      </c>
      <c r="D1006" s="1">
        <f t="shared" si="347"/>
        <v>46188</v>
      </c>
      <c r="E1006" s="1">
        <f t="shared" si="348"/>
        <v>46266</v>
      </c>
      <c r="F1006" s="1">
        <f t="shared" si="349"/>
        <v>46296</v>
      </c>
      <c r="G1006" s="1">
        <f t="shared" si="350"/>
        <v>46553</v>
      </c>
      <c r="H1006">
        <f t="shared" si="351"/>
        <v>365</v>
      </c>
      <c r="I1006">
        <f t="shared" si="352"/>
        <v>30</v>
      </c>
      <c r="J1006">
        <f t="shared" si="353"/>
        <v>8.2191780821917804E-2</v>
      </c>
      <c r="K1006">
        <f>IFERROR($J1006/IF($A1006&lt;COUNTIFS($K$1:K$1,"&lt;&gt;"),0,SUMIFS($J:$J,$B:$B,$B1006,$A:$A,"&gt;="&amp;COUNTIFS($K$1:K$1,"&lt;&gt;"))),0)</f>
        <v>8.5959885386819493E-2</v>
      </c>
      <c r="L1006">
        <f>IFERROR($J1006/IF($A1006&lt;COUNTIFS($K$1:L$1,"&lt;&gt;"),0,SUMIFS($J:$J,$B:$B,$B1006,$A:$A,"&gt;="&amp;COUNTIFS($K$1:L$1,"&lt;&gt;"))),0)</f>
        <v>9.4339622641509441E-2</v>
      </c>
      <c r="M1006">
        <f>IFERROR($J1006/IF($A1006&lt;COUNTIFS($K$1:M$1,"&lt;&gt;"),0,SUMIFS($J:$J,$B:$B,$B1006,$A:$A,"&gt;="&amp;COUNTIFS($K$1:M$1,"&lt;&gt;"))),0)</f>
        <v>0.10452961672473869</v>
      </c>
      <c r="N1006">
        <f>IFERROR($J1006/IF($A1006&lt;COUNTIFS($K$1:N$1,"&lt;&gt;"),0,SUMIFS($J:$J,$B:$B,$B1006,$A:$A,"&gt;="&amp;COUNTIFS($K$1:N$1,"&lt;&gt;"))),0)</f>
        <v>0</v>
      </c>
      <c r="O1006">
        <f>IFERROR($J1006/IF($A1006&lt;COUNTIFS($K$1:O$1,"&lt;&gt;"),0,SUMIFS($J:$J,$B:$B,$B1006,$A:$A,"&gt;="&amp;COUNTIFS($K$1:O$1,"&lt;&gt;"))),0)</f>
        <v>0</v>
      </c>
      <c r="P1006">
        <f>IFERROR($J1006/IF($A1006&lt;COUNTIFS($K$1:P$1,"&lt;&gt;"),0,SUMIFS($J:$J,$B:$B,$B1006,$A:$A,"&gt;="&amp;COUNTIFS($K$1:P$1,"&lt;&gt;"))),0)</f>
        <v>0</v>
      </c>
      <c r="Q1006">
        <f>IFERROR($J1006/IF($A1006&lt;COUNTIFS($K$1:Q$1,"&lt;&gt;"),0,SUMIFS($J:$J,$B:$B,$B1006,$A:$A,"&gt;="&amp;COUNTIFS($K$1:Q$1,"&lt;&gt;"))),0)</f>
        <v>0</v>
      </c>
      <c r="R1006">
        <f>IFERROR($J1006/IF($A1006&lt;COUNTIFS($K$1:R$1,"&lt;&gt;"),0,SUMIFS($J:$J,$B:$B,$B1006,$A:$A,"&gt;="&amp;COUNTIFS($K$1:R$1,"&lt;&gt;"))),0)</f>
        <v>0</v>
      </c>
      <c r="S1006">
        <f>IFERROR($J1006/IF($A1006&lt;COUNTIFS($K$1:S$1,"&lt;&gt;"),0,SUMIFS($J:$J,$B:$B,$B1006,$A:$A,"&gt;="&amp;COUNTIFS($K$1:S$1,"&lt;&gt;"))),0)</f>
        <v>0</v>
      </c>
      <c r="T1006">
        <f>IFERROR($J1006/IF($A1006&lt;COUNTIFS($K$1:T$1,"&lt;&gt;"),0,SUMIFS($J:$J,$B:$B,$B1006,$A:$A,"&gt;="&amp;COUNTIFS($K$1:T$1,"&lt;&gt;"))),0)</f>
        <v>0</v>
      </c>
      <c r="U1006">
        <f>IFERROR($J1006/IF($A1006&lt;COUNTIFS($K$1:U$1,"&lt;&gt;"),0,SUMIFS($J:$J,$B:$B,$B1006,$A:$A,"&gt;="&amp;COUNTIFS($K$1:U$1,"&lt;&gt;"))),0)</f>
        <v>0</v>
      </c>
      <c r="V1006">
        <f>IFERROR($J1006/IF($A1006&lt;COUNTIFS($K$1:V$1,"&lt;&gt;"),0,SUMIFS($J:$J,$B:$B,$B1006,$A:$A,"&gt;="&amp;COUNTIFS($K$1:V$1,"&lt;&gt;"))),0)</f>
        <v>0</v>
      </c>
      <c r="W1006">
        <f t="shared" si="354"/>
        <v>8.2191780821917804E-2</v>
      </c>
      <c r="X1006">
        <f t="shared" si="334"/>
        <v>8.2191780821917804E-2</v>
      </c>
      <c r="Y1006">
        <f t="shared" si="335"/>
        <v>8.2191780821917804E-2</v>
      </c>
      <c r="Z1006">
        <f t="shared" si="336"/>
        <v>8.2191780821917804E-2</v>
      </c>
      <c r="AA1006">
        <f t="shared" si="337"/>
        <v>0</v>
      </c>
      <c r="AB1006">
        <f t="shared" si="338"/>
        <v>0</v>
      </c>
      <c r="AC1006">
        <f t="shared" si="339"/>
        <v>0</v>
      </c>
      <c r="AD1006">
        <f t="shared" si="340"/>
        <v>0</v>
      </c>
      <c r="AE1006">
        <f t="shared" si="341"/>
        <v>0</v>
      </c>
      <c r="AF1006">
        <f t="shared" si="342"/>
        <v>0</v>
      </c>
      <c r="AG1006">
        <f t="shared" si="343"/>
        <v>0</v>
      </c>
      <c r="AH1006">
        <f t="shared" si="344"/>
        <v>0</v>
      </c>
      <c r="AI1006">
        <f t="shared" si="345"/>
        <v>0</v>
      </c>
      <c r="AJ1006" s="2" t="str">
        <f t="shared" si="355"/>
        <v>346174</v>
      </c>
    </row>
    <row r="1007" spans="1:36" x14ac:dyDescent="0.25">
      <c r="A1007">
        <v>4</v>
      </c>
      <c r="B1007" s="1">
        <v>46174</v>
      </c>
      <c r="C1007" s="1">
        <f t="shared" si="346"/>
        <v>46296</v>
      </c>
      <c r="D1007" s="1">
        <f t="shared" si="347"/>
        <v>46188</v>
      </c>
      <c r="E1007" s="1">
        <f t="shared" si="348"/>
        <v>46296</v>
      </c>
      <c r="F1007" s="1">
        <f t="shared" si="349"/>
        <v>46327</v>
      </c>
      <c r="G1007" s="1">
        <f t="shared" si="350"/>
        <v>46553</v>
      </c>
      <c r="H1007">
        <f t="shared" si="351"/>
        <v>365</v>
      </c>
      <c r="I1007">
        <f t="shared" si="352"/>
        <v>31</v>
      </c>
      <c r="J1007">
        <f t="shared" si="353"/>
        <v>8.4931506849315067E-2</v>
      </c>
      <c r="K1007">
        <f>IFERROR($J1007/IF($A1007&lt;COUNTIFS($K$1:K$1,"&lt;&gt;"),0,SUMIFS($J:$J,$B:$B,$B1007,$A:$A,"&gt;="&amp;COUNTIFS($K$1:K$1,"&lt;&gt;"))),0)</f>
        <v>8.8825214899713484E-2</v>
      </c>
      <c r="L1007">
        <f>IFERROR($J1007/IF($A1007&lt;COUNTIFS($K$1:L$1,"&lt;&gt;"),0,SUMIFS($J:$J,$B:$B,$B1007,$A:$A,"&gt;="&amp;COUNTIFS($K$1:L$1,"&lt;&gt;"))),0)</f>
        <v>9.7484276729559768E-2</v>
      </c>
      <c r="M1007">
        <f>IFERROR($J1007/IF($A1007&lt;COUNTIFS($K$1:M$1,"&lt;&gt;"),0,SUMIFS($J:$J,$B:$B,$B1007,$A:$A,"&gt;="&amp;COUNTIFS($K$1:M$1,"&lt;&gt;"))),0)</f>
        <v>0.10801393728222998</v>
      </c>
      <c r="N1007">
        <f>IFERROR($J1007/IF($A1007&lt;COUNTIFS($K$1:N$1,"&lt;&gt;"),0,SUMIFS($J:$J,$B:$B,$B1007,$A:$A,"&gt;="&amp;COUNTIFS($K$1:N$1,"&lt;&gt;"))),0)</f>
        <v>0.12062256809338523</v>
      </c>
      <c r="O1007">
        <f>IFERROR($J1007/IF($A1007&lt;COUNTIFS($K$1:O$1,"&lt;&gt;"),0,SUMIFS($J:$J,$B:$B,$B1007,$A:$A,"&gt;="&amp;COUNTIFS($K$1:O$1,"&lt;&gt;"))),0)</f>
        <v>0</v>
      </c>
      <c r="P1007">
        <f>IFERROR($J1007/IF($A1007&lt;COUNTIFS($K$1:P$1,"&lt;&gt;"),0,SUMIFS($J:$J,$B:$B,$B1007,$A:$A,"&gt;="&amp;COUNTIFS($K$1:P$1,"&lt;&gt;"))),0)</f>
        <v>0</v>
      </c>
      <c r="Q1007">
        <f>IFERROR($J1007/IF($A1007&lt;COUNTIFS($K$1:Q$1,"&lt;&gt;"),0,SUMIFS($J:$J,$B:$B,$B1007,$A:$A,"&gt;="&amp;COUNTIFS($K$1:Q$1,"&lt;&gt;"))),0)</f>
        <v>0</v>
      </c>
      <c r="R1007">
        <f>IFERROR($J1007/IF($A1007&lt;COUNTIFS($K$1:R$1,"&lt;&gt;"),0,SUMIFS($J:$J,$B:$B,$B1007,$A:$A,"&gt;="&amp;COUNTIFS($K$1:R$1,"&lt;&gt;"))),0)</f>
        <v>0</v>
      </c>
      <c r="S1007">
        <f>IFERROR($J1007/IF($A1007&lt;COUNTIFS($K$1:S$1,"&lt;&gt;"),0,SUMIFS($J:$J,$B:$B,$B1007,$A:$A,"&gt;="&amp;COUNTIFS($K$1:S$1,"&lt;&gt;"))),0)</f>
        <v>0</v>
      </c>
      <c r="T1007">
        <f>IFERROR($J1007/IF($A1007&lt;COUNTIFS($K$1:T$1,"&lt;&gt;"),0,SUMIFS($J:$J,$B:$B,$B1007,$A:$A,"&gt;="&amp;COUNTIFS($K$1:T$1,"&lt;&gt;"))),0)</f>
        <v>0</v>
      </c>
      <c r="U1007">
        <f>IFERROR($J1007/IF($A1007&lt;COUNTIFS($K$1:U$1,"&lt;&gt;"),0,SUMIFS($J:$J,$B:$B,$B1007,$A:$A,"&gt;="&amp;COUNTIFS($K$1:U$1,"&lt;&gt;"))),0)</f>
        <v>0</v>
      </c>
      <c r="V1007">
        <f>IFERROR($J1007/IF($A1007&lt;COUNTIFS($K$1:V$1,"&lt;&gt;"),0,SUMIFS($J:$J,$B:$B,$B1007,$A:$A,"&gt;="&amp;COUNTIFS($K$1:V$1,"&lt;&gt;"))),0)</f>
        <v>0</v>
      </c>
      <c r="W1007">
        <f t="shared" si="354"/>
        <v>8.4931506849315067E-2</v>
      </c>
      <c r="X1007">
        <f t="shared" si="334"/>
        <v>8.4931506849315067E-2</v>
      </c>
      <c r="Y1007">
        <f t="shared" si="335"/>
        <v>8.4931506849315067E-2</v>
      </c>
      <c r="Z1007">
        <f t="shared" si="336"/>
        <v>8.4931506849315067E-2</v>
      </c>
      <c r="AA1007">
        <f t="shared" si="337"/>
        <v>8.4931506849315067E-2</v>
      </c>
      <c r="AB1007">
        <f t="shared" si="338"/>
        <v>0</v>
      </c>
      <c r="AC1007">
        <f t="shared" si="339"/>
        <v>0</v>
      </c>
      <c r="AD1007">
        <f t="shared" si="340"/>
        <v>0</v>
      </c>
      <c r="AE1007">
        <f t="shared" si="341"/>
        <v>0</v>
      </c>
      <c r="AF1007">
        <f t="shared" si="342"/>
        <v>0</v>
      </c>
      <c r="AG1007">
        <f t="shared" si="343"/>
        <v>0</v>
      </c>
      <c r="AH1007">
        <f t="shared" si="344"/>
        <v>0</v>
      </c>
      <c r="AI1007">
        <f t="shared" si="345"/>
        <v>0</v>
      </c>
      <c r="AJ1007" s="2" t="str">
        <f t="shared" si="355"/>
        <v>446174</v>
      </c>
    </row>
    <row r="1008" spans="1:36" x14ac:dyDescent="0.25">
      <c r="A1008">
        <v>5</v>
      </c>
      <c r="B1008" s="1">
        <v>46174</v>
      </c>
      <c r="C1008" s="1">
        <f t="shared" si="346"/>
        <v>46327</v>
      </c>
      <c r="D1008" s="1">
        <f t="shared" si="347"/>
        <v>46188</v>
      </c>
      <c r="E1008" s="1">
        <f t="shared" si="348"/>
        <v>46327</v>
      </c>
      <c r="F1008" s="1">
        <f t="shared" si="349"/>
        <v>46357</v>
      </c>
      <c r="G1008" s="1">
        <f t="shared" si="350"/>
        <v>46553</v>
      </c>
      <c r="H1008">
        <f t="shared" si="351"/>
        <v>365</v>
      </c>
      <c r="I1008">
        <f t="shared" si="352"/>
        <v>30</v>
      </c>
      <c r="J1008">
        <f t="shared" si="353"/>
        <v>8.2191780821917804E-2</v>
      </c>
      <c r="K1008">
        <f>IFERROR($J1008/IF($A1008&lt;COUNTIFS($K$1:K$1,"&lt;&gt;"),0,SUMIFS($J:$J,$B:$B,$B1008,$A:$A,"&gt;="&amp;COUNTIFS($K$1:K$1,"&lt;&gt;"))),0)</f>
        <v>8.5959885386819493E-2</v>
      </c>
      <c r="L1008">
        <f>IFERROR($J1008/IF($A1008&lt;COUNTIFS($K$1:L$1,"&lt;&gt;"),0,SUMIFS($J:$J,$B:$B,$B1008,$A:$A,"&gt;="&amp;COUNTIFS($K$1:L$1,"&lt;&gt;"))),0)</f>
        <v>9.4339622641509441E-2</v>
      </c>
      <c r="M1008">
        <f>IFERROR($J1008/IF($A1008&lt;COUNTIFS($K$1:M$1,"&lt;&gt;"),0,SUMIFS($J:$J,$B:$B,$B1008,$A:$A,"&gt;="&amp;COUNTIFS($K$1:M$1,"&lt;&gt;"))),0)</f>
        <v>0.10452961672473869</v>
      </c>
      <c r="N1008">
        <f>IFERROR($J1008/IF($A1008&lt;COUNTIFS($K$1:N$1,"&lt;&gt;"),0,SUMIFS($J:$J,$B:$B,$B1008,$A:$A,"&gt;="&amp;COUNTIFS($K$1:N$1,"&lt;&gt;"))),0)</f>
        <v>0.11673151750972764</v>
      </c>
      <c r="O1008">
        <f>IFERROR($J1008/IF($A1008&lt;COUNTIFS($K$1:O$1,"&lt;&gt;"),0,SUMIFS($J:$J,$B:$B,$B1008,$A:$A,"&gt;="&amp;COUNTIFS($K$1:O$1,"&lt;&gt;"))),0)</f>
        <v>0.13274336283185842</v>
      </c>
      <c r="P1008">
        <f>IFERROR($J1008/IF($A1008&lt;COUNTIFS($K$1:P$1,"&lt;&gt;"),0,SUMIFS($J:$J,$B:$B,$B1008,$A:$A,"&gt;="&amp;COUNTIFS($K$1:P$1,"&lt;&gt;"))),0)</f>
        <v>0</v>
      </c>
      <c r="Q1008">
        <f>IFERROR($J1008/IF($A1008&lt;COUNTIFS($K$1:Q$1,"&lt;&gt;"),0,SUMIFS($J:$J,$B:$B,$B1008,$A:$A,"&gt;="&amp;COUNTIFS($K$1:Q$1,"&lt;&gt;"))),0)</f>
        <v>0</v>
      </c>
      <c r="R1008">
        <f>IFERROR($J1008/IF($A1008&lt;COUNTIFS($K$1:R$1,"&lt;&gt;"),0,SUMIFS($J:$J,$B:$B,$B1008,$A:$A,"&gt;="&amp;COUNTIFS($K$1:R$1,"&lt;&gt;"))),0)</f>
        <v>0</v>
      </c>
      <c r="S1008">
        <f>IFERROR($J1008/IF($A1008&lt;COUNTIFS($K$1:S$1,"&lt;&gt;"),0,SUMIFS($J:$J,$B:$B,$B1008,$A:$A,"&gt;="&amp;COUNTIFS($K$1:S$1,"&lt;&gt;"))),0)</f>
        <v>0</v>
      </c>
      <c r="T1008">
        <f>IFERROR($J1008/IF($A1008&lt;COUNTIFS($K$1:T$1,"&lt;&gt;"),0,SUMIFS($J:$J,$B:$B,$B1008,$A:$A,"&gt;="&amp;COUNTIFS($K$1:T$1,"&lt;&gt;"))),0)</f>
        <v>0</v>
      </c>
      <c r="U1008">
        <f>IFERROR($J1008/IF($A1008&lt;COUNTIFS($K$1:U$1,"&lt;&gt;"),0,SUMIFS($J:$J,$B:$B,$B1008,$A:$A,"&gt;="&amp;COUNTIFS($K$1:U$1,"&lt;&gt;"))),0)</f>
        <v>0</v>
      </c>
      <c r="V1008">
        <f>IFERROR($J1008/IF($A1008&lt;COUNTIFS($K$1:V$1,"&lt;&gt;"),0,SUMIFS($J:$J,$B:$B,$B1008,$A:$A,"&gt;="&amp;COUNTIFS($K$1:V$1,"&lt;&gt;"))),0)</f>
        <v>0</v>
      </c>
      <c r="W1008">
        <f t="shared" si="354"/>
        <v>8.2191780821917804E-2</v>
      </c>
      <c r="X1008">
        <f t="shared" si="334"/>
        <v>8.2191780821917804E-2</v>
      </c>
      <c r="Y1008">
        <f t="shared" si="335"/>
        <v>8.2191780821917804E-2</v>
      </c>
      <c r="Z1008">
        <f t="shared" si="336"/>
        <v>8.2191780821917804E-2</v>
      </c>
      <c r="AA1008">
        <f t="shared" si="337"/>
        <v>8.2191780821917804E-2</v>
      </c>
      <c r="AB1008">
        <f t="shared" si="338"/>
        <v>8.2191780821917804E-2</v>
      </c>
      <c r="AC1008">
        <f t="shared" si="339"/>
        <v>0</v>
      </c>
      <c r="AD1008">
        <f t="shared" si="340"/>
        <v>0</v>
      </c>
      <c r="AE1008">
        <f t="shared" si="341"/>
        <v>0</v>
      </c>
      <c r="AF1008">
        <f t="shared" si="342"/>
        <v>0</v>
      </c>
      <c r="AG1008">
        <f t="shared" si="343"/>
        <v>0</v>
      </c>
      <c r="AH1008">
        <f t="shared" si="344"/>
        <v>0</v>
      </c>
      <c r="AI1008">
        <f t="shared" si="345"/>
        <v>0</v>
      </c>
      <c r="AJ1008" s="2" t="str">
        <f t="shared" si="355"/>
        <v>546174</v>
      </c>
    </row>
    <row r="1009" spans="1:36" x14ac:dyDescent="0.25">
      <c r="A1009">
        <v>6</v>
      </c>
      <c r="B1009" s="1">
        <v>46174</v>
      </c>
      <c r="C1009" s="1">
        <f t="shared" si="346"/>
        <v>46357</v>
      </c>
      <c r="D1009" s="1">
        <f t="shared" si="347"/>
        <v>46188</v>
      </c>
      <c r="E1009" s="1">
        <f t="shared" si="348"/>
        <v>46357</v>
      </c>
      <c r="F1009" s="1">
        <f t="shared" si="349"/>
        <v>46388</v>
      </c>
      <c r="G1009" s="1">
        <f t="shared" si="350"/>
        <v>46553</v>
      </c>
      <c r="H1009">
        <f t="shared" si="351"/>
        <v>365</v>
      </c>
      <c r="I1009">
        <f t="shared" si="352"/>
        <v>31</v>
      </c>
      <c r="J1009">
        <f t="shared" si="353"/>
        <v>8.4931506849315067E-2</v>
      </c>
      <c r="K1009">
        <f>IFERROR($J1009/IF($A1009&lt;COUNTIFS($K$1:K$1,"&lt;&gt;"),0,SUMIFS($J:$J,$B:$B,$B1009,$A:$A,"&gt;="&amp;COUNTIFS($K$1:K$1,"&lt;&gt;"))),0)</f>
        <v>8.8825214899713484E-2</v>
      </c>
      <c r="L1009">
        <f>IFERROR($J1009/IF($A1009&lt;COUNTIFS($K$1:L$1,"&lt;&gt;"),0,SUMIFS($J:$J,$B:$B,$B1009,$A:$A,"&gt;="&amp;COUNTIFS($K$1:L$1,"&lt;&gt;"))),0)</f>
        <v>9.7484276729559768E-2</v>
      </c>
      <c r="M1009">
        <f>IFERROR($J1009/IF($A1009&lt;COUNTIFS($K$1:M$1,"&lt;&gt;"),0,SUMIFS($J:$J,$B:$B,$B1009,$A:$A,"&gt;="&amp;COUNTIFS($K$1:M$1,"&lt;&gt;"))),0)</f>
        <v>0.10801393728222998</v>
      </c>
      <c r="N1009">
        <f>IFERROR($J1009/IF($A1009&lt;COUNTIFS($K$1:N$1,"&lt;&gt;"),0,SUMIFS($J:$J,$B:$B,$B1009,$A:$A,"&gt;="&amp;COUNTIFS($K$1:N$1,"&lt;&gt;"))),0)</f>
        <v>0.12062256809338523</v>
      </c>
      <c r="O1009">
        <f>IFERROR($J1009/IF($A1009&lt;COUNTIFS($K$1:O$1,"&lt;&gt;"),0,SUMIFS($J:$J,$B:$B,$B1009,$A:$A,"&gt;="&amp;COUNTIFS($K$1:O$1,"&lt;&gt;"))),0)</f>
        <v>0.13716814159292037</v>
      </c>
      <c r="P1009">
        <f>IFERROR($J1009/IF($A1009&lt;COUNTIFS($K$1:P$1,"&lt;&gt;"),0,SUMIFS($J:$J,$B:$B,$B1009,$A:$A,"&gt;="&amp;COUNTIFS($K$1:P$1,"&lt;&gt;"))),0)</f>
        <v>0.15816326530612249</v>
      </c>
      <c r="Q1009">
        <f>IFERROR($J1009/IF($A1009&lt;COUNTIFS($K$1:Q$1,"&lt;&gt;"),0,SUMIFS($J:$J,$B:$B,$B1009,$A:$A,"&gt;="&amp;COUNTIFS($K$1:Q$1,"&lt;&gt;"))),0)</f>
        <v>0</v>
      </c>
      <c r="R1009">
        <f>IFERROR($J1009/IF($A1009&lt;COUNTIFS($K$1:R$1,"&lt;&gt;"),0,SUMIFS($J:$J,$B:$B,$B1009,$A:$A,"&gt;="&amp;COUNTIFS($K$1:R$1,"&lt;&gt;"))),0)</f>
        <v>0</v>
      </c>
      <c r="S1009">
        <f>IFERROR($J1009/IF($A1009&lt;COUNTIFS($K$1:S$1,"&lt;&gt;"),0,SUMIFS($J:$J,$B:$B,$B1009,$A:$A,"&gt;="&amp;COUNTIFS($K$1:S$1,"&lt;&gt;"))),0)</f>
        <v>0</v>
      </c>
      <c r="T1009">
        <f>IFERROR($J1009/IF($A1009&lt;COUNTIFS($K$1:T$1,"&lt;&gt;"),0,SUMIFS($J:$J,$B:$B,$B1009,$A:$A,"&gt;="&amp;COUNTIFS($K$1:T$1,"&lt;&gt;"))),0)</f>
        <v>0</v>
      </c>
      <c r="U1009">
        <f>IFERROR($J1009/IF($A1009&lt;COUNTIFS($K$1:U$1,"&lt;&gt;"),0,SUMIFS($J:$J,$B:$B,$B1009,$A:$A,"&gt;="&amp;COUNTIFS($K$1:U$1,"&lt;&gt;"))),0)</f>
        <v>0</v>
      </c>
      <c r="V1009">
        <f>IFERROR($J1009/IF($A1009&lt;COUNTIFS($K$1:V$1,"&lt;&gt;"),0,SUMIFS($J:$J,$B:$B,$B1009,$A:$A,"&gt;="&amp;COUNTIFS($K$1:V$1,"&lt;&gt;"))),0)</f>
        <v>0</v>
      </c>
      <c r="W1009">
        <f t="shared" si="354"/>
        <v>8.4931506849315067E-2</v>
      </c>
      <c r="X1009">
        <f t="shared" si="334"/>
        <v>8.4931506849315067E-2</v>
      </c>
      <c r="Y1009">
        <f t="shared" si="335"/>
        <v>8.4931506849315067E-2</v>
      </c>
      <c r="Z1009">
        <f t="shared" si="336"/>
        <v>8.4931506849315067E-2</v>
      </c>
      <c r="AA1009">
        <f t="shared" si="337"/>
        <v>8.4931506849315067E-2</v>
      </c>
      <c r="AB1009">
        <f t="shared" si="338"/>
        <v>8.4931506849315067E-2</v>
      </c>
      <c r="AC1009">
        <f t="shared" si="339"/>
        <v>8.4931506849315067E-2</v>
      </c>
      <c r="AD1009">
        <f t="shared" si="340"/>
        <v>0</v>
      </c>
      <c r="AE1009">
        <f t="shared" si="341"/>
        <v>0</v>
      </c>
      <c r="AF1009">
        <f t="shared" si="342"/>
        <v>0</v>
      </c>
      <c r="AG1009">
        <f t="shared" si="343"/>
        <v>0</v>
      </c>
      <c r="AH1009">
        <f t="shared" si="344"/>
        <v>0</v>
      </c>
      <c r="AI1009">
        <f t="shared" si="345"/>
        <v>0</v>
      </c>
      <c r="AJ1009" s="2" t="str">
        <f t="shared" si="355"/>
        <v>646174</v>
      </c>
    </row>
    <row r="1010" spans="1:36" x14ac:dyDescent="0.25">
      <c r="A1010">
        <v>7</v>
      </c>
      <c r="B1010" s="1">
        <v>46174</v>
      </c>
      <c r="C1010" s="1">
        <f t="shared" si="346"/>
        <v>46388</v>
      </c>
      <c r="D1010" s="1">
        <f t="shared" si="347"/>
        <v>46188</v>
      </c>
      <c r="E1010" s="1">
        <f t="shared" si="348"/>
        <v>46388</v>
      </c>
      <c r="F1010" s="1">
        <f t="shared" si="349"/>
        <v>46419</v>
      </c>
      <c r="G1010" s="1">
        <f t="shared" si="350"/>
        <v>46553</v>
      </c>
      <c r="H1010">
        <f t="shared" si="351"/>
        <v>365</v>
      </c>
      <c r="I1010">
        <f t="shared" si="352"/>
        <v>31</v>
      </c>
      <c r="J1010">
        <f t="shared" si="353"/>
        <v>8.4931506849315067E-2</v>
      </c>
      <c r="K1010">
        <f>IFERROR($J1010/IF($A1010&lt;COUNTIFS($K$1:K$1,"&lt;&gt;"),0,SUMIFS($J:$J,$B:$B,$B1010,$A:$A,"&gt;="&amp;COUNTIFS($K$1:K$1,"&lt;&gt;"))),0)</f>
        <v>8.8825214899713484E-2</v>
      </c>
      <c r="L1010">
        <f>IFERROR($J1010/IF($A1010&lt;COUNTIFS($K$1:L$1,"&lt;&gt;"),0,SUMIFS($J:$J,$B:$B,$B1010,$A:$A,"&gt;="&amp;COUNTIFS($K$1:L$1,"&lt;&gt;"))),0)</f>
        <v>9.7484276729559768E-2</v>
      </c>
      <c r="M1010">
        <f>IFERROR($J1010/IF($A1010&lt;COUNTIFS($K$1:M$1,"&lt;&gt;"),0,SUMIFS($J:$J,$B:$B,$B1010,$A:$A,"&gt;="&amp;COUNTIFS($K$1:M$1,"&lt;&gt;"))),0)</f>
        <v>0.10801393728222998</v>
      </c>
      <c r="N1010">
        <f>IFERROR($J1010/IF($A1010&lt;COUNTIFS($K$1:N$1,"&lt;&gt;"),0,SUMIFS($J:$J,$B:$B,$B1010,$A:$A,"&gt;="&amp;COUNTIFS($K$1:N$1,"&lt;&gt;"))),0)</f>
        <v>0.12062256809338523</v>
      </c>
      <c r="O1010">
        <f>IFERROR($J1010/IF($A1010&lt;COUNTIFS($K$1:O$1,"&lt;&gt;"),0,SUMIFS($J:$J,$B:$B,$B1010,$A:$A,"&gt;="&amp;COUNTIFS($K$1:O$1,"&lt;&gt;"))),0)</f>
        <v>0.13716814159292037</v>
      </c>
      <c r="P1010">
        <f>IFERROR($J1010/IF($A1010&lt;COUNTIFS($K$1:P$1,"&lt;&gt;"),0,SUMIFS($J:$J,$B:$B,$B1010,$A:$A,"&gt;="&amp;COUNTIFS($K$1:P$1,"&lt;&gt;"))),0)</f>
        <v>0.15816326530612249</v>
      </c>
      <c r="Q1010">
        <f>IFERROR($J1010/IF($A1010&lt;COUNTIFS($K$1:Q$1,"&lt;&gt;"),0,SUMIFS($J:$J,$B:$B,$B1010,$A:$A,"&gt;="&amp;COUNTIFS($K$1:Q$1,"&lt;&gt;"))),0)</f>
        <v>0.1878787878787879</v>
      </c>
      <c r="R1010">
        <f>IFERROR($J1010/IF($A1010&lt;COUNTIFS($K$1:R$1,"&lt;&gt;"),0,SUMIFS($J:$J,$B:$B,$B1010,$A:$A,"&gt;="&amp;COUNTIFS($K$1:R$1,"&lt;&gt;"))),0)</f>
        <v>0</v>
      </c>
      <c r="S1010">
        <f>IFERROR($J1010/IF($A1010&lt;COUNTIFS($K$1:S$1,"&lt;&gt;"),0,SUMIFS($J:$J,$B:$B,$B1010,$A:$A,"&gt;="&amp;COUNTIFS($K$1:S$1,"&lt;&gt;"))),0)</f>
        <v>0</v>
      </c>
      <c r="T1010">
        <f>IFERROR($J1010/IF($A1010&lt;COUNTIFS($K$1:T$1,"&lt;&gt;"),0,SUMIFS($J:$J,$B:$B,$B1010,$A:$A,"&gt;="&amp;COUNTIFS($K$1:T$1,"&lt;&gt;"))),0)</f>
        <v>0</v>
      </c>
      <c r="U1010">
        <f>IFERROR($J1010/IF($A1010&lt;COUNTIFS($K$1:U$1,"&lt;&gt;"),0,SUMIFS($J:$J,$B:$B,$B1010,$A:$A,"&gt;="&amp;COUNTIFS($K$1:U$1,"&lt;&gt;"))),0)</f>
        <v>0</v>
      </c>
      <c r="V1010">
        <f>IFERROR($J1010/IF($A1010&lt;COUNTIFS($K$1:V$1,"&lt;&gt;"),0,SUMIFS($J:$J,$B:$B,$B1010,$A:$A,"&gt;="&amp;COUNTIFS($K$1:V$1,"&lt;&gt;"))),0)</f>
        <v>0</v>
      </c>
      <c r="W1010">
        <f t="shared" si="354"/>
        <v>8.4931506849315067E-2</v>
      </c>
      <c r="X1010">
        <f t="shared" si="334"/>
        <v>8.4931506849315067E-2</v>
      </c>
      <c r="Y1010">
        <f t="shared" si="335"/>
        <v>8.4931506849315067E-2</v>
      </c>
      <c r="Z1010">
        <f t="shared" si="336"/>
        <v>8.4931506849315067E-2</v>
      </c>
      <c r="AA1010">
        <f t="shared" si="337"/>
        <v>8.4931506849315067E-2</v>
      </c>
      <c r="AB1010">
        <f t="shared" si="338"/>
        <v>8.4931506849315067E-2</v>
      </c>
      <c r="AC1010">
        <f t="shared" si="339"/>
        <v>8.4931506849315067E-2</v>
      </c>
      <c r="AD1010">
        <f t="shared" si="340"/>
        <v>8.4931506849315067E-2</v>
      </c>
      <c r="AE1010">
        <f t="shared" si="341"/>
        <v>0</v>
      </c>
      <c r="AF1010">
        <f t="shared" si="342"/>
        <v>0</v>
      </c>
      <c r="AG1010">
        <f t="shared" si="343"/>
        <v>0</v>
      </c>
      <c r="AH1010">
        <f t="shared" si="344"/>
        <v>0</v>
      </c>
      <c r="AI1010">
        <f t="shared" si="345"/>
        <v>0</v>
      </c>
      <c r="AJ1010" s="2" t="str">
        <f t="shared" si="355"/>
        <v>746174</v>
      </c>
    </row>
    <row r="1011" spans="1:36" x14ac:dyDescent="0.25">
      <c r="A1011">
        <v>8</v>
      </c>
      <c r="B1011" s="1">
        <v>46174</v>
      </c>
      <c r="C1011" s="1">
        <f t="shared" si="346"/>
        <v>46419</v>
      </c>
      <c r="D1011" s="1">
        <f t="shared" si="347"/>
        <v>46188</v>
      </c>
      <c r="E1011" s="1">
        <f t="shared" si="348"/>
        <v>46419</v>
      </c>
      <c r="F1011" s="1">
        <f t="shared" si="349"/>
        <v>46447</v>
      </c>
      <c r="G1011" s="1">
        <f t="shared" si="350"/>
        <v>46553</v>
      </c>
      <c r="H1011">
        <f t="shared" si="351"/>
        <v>365</v>
      </c>
      <c r="I1011">
        <f t="shared" si="352"/>
        <v>28</v>
      </c>
      <c r="J1011">
        <f t="shared" si="353"/>
        <v>7.6712328767123292E-2</v>
      </c>
      <c r="K1011">
        <f>IFERROR($J1011/IF($A1011&lt;COUNTIFS($K$1:K$1,"&lt;&gt;"),0,SUMIFS($J:$J,$B:$B,$B1011,$A:$A,"&gt;="&amp;COUNTIFS($K$1:K$1,"&lt;&gt;"))),0)</f>
        <v>8.0229226361031539E-2</v>
      </c>
      <c r="L1011">
        <f>IFERROR($J1011/IF($A1011&lt;COUNTIFS($K$1:L$1,"&lt;&gt;"),0,SUMIFS($J:$J,$B:$B,$B1011,$A:$A,"&gt;="&amp;COUNTIFS($K$1:L$1,"&lt;&gt;"))),0)</f>
        <v>8.8050314465408827E-2</v>
      </c>
      <c r="M1011">
        <f>IFERROR($J1011/IF($A1011&lt;COUNTIFS($K$1:M$1,"&lt;&gt;"),0,SUMIFS($J:$J,$B:$B,$B1011,$A:$A,"&gt;="&amp;COUNTIFS($K$1:M$1,"&lt;&gt;"))),0)</f>
        <v>9.7560975609756115E-2</v>
      </c>
      <c r="N1011">
        <f>IFERROR($J1011/IF($A1011&lt;COUNTIFS($K$1:N$1,"&lt;&gt;"),0,SUMIFS($J:$J,$B:$B,$B1011,$A:$A,"&gt;="&amp;COUNTIFS($K$1:N$1,"&lt;&gt;"))),0)</f>
        <v>0.10894941634241248</v>
      </c>
      <c r="O1011">
        <f>IFERROR($J1011/IF($A1011&lt;COUNTIFS($K$1:O$1,"&lt;&gt;"),0,SUMIFS($J:$J,$B:$B,$B1011,$A:$A,"&gt;="&amp;COUNTIFS($K$1:O$1,"&lt;&gt;"))),0)</f>
        <v>0.12389380530973454</v>
      </c>
      <c r="P1011">
        <f>IFERROR($J1011/IF($A1011&lt;COUNTIFS($K$1:P$1,"&lt;&gt;"),0,SUMIFS($J:$J,$B:$B,$B1011,$A:$A,"&gt;="&amp;COUNTIFS($K$1:P$1,"&lt;&gt;"))),0)</f>
        <v>0.14285714285714288</v>
      </c>
      <c r="Q1011">
        <f>IFERROR($J1011/IF($A1011&lt;COUNTIFS($K$1:Q$1,"&lt;&gt;"),0,SUMIFS($J:$J,$B:$B,$B1011,$A:$A,"&gt;="&amp;COUNTIFS($K$1:Q$1,"&lt;&gt;"))),0)</f>
        <v>0.16969696969696971</v>
      </c>
      <c r="R1011">
        <f>IFERROR($J1011/IF($A1011&lt;COUNTIFS($K$1:R$1,"&lt;&gt;"),0,SUMIFS($J:$J,$B:$B,$B1011,$A:$A,"&gt;="&amp;COUNTIFS($K$1:R$1,"&lt;&gt;"))),0)</f>
        <v>0.20895522388059704</v>
      </c>
      <c r="S1011">
        <f>IFERROR($J1011/IF($A1011&lt;COUNTIFS($K$1:S$1,"&lt;&gt;"),0,SUMIFS($J:$J,$B:$B,$B1011,$A:$A,"&gt;="&amp;COUNTIFS($K$1:S$1,"&lt;&gt;"))),0)</f>
        <v>0</v>
      </c>
      <c r="T1011">
        <f>IFERROR($J1011/IF($A1011&lt;COUNTIFS($K$1:T$1,"&lt;&gt;"),0,SUMIFS($J:$J,$B:$B,$B1011,$A:$A,"&gt;="&amp;COUNTIFS($K$1:T$1,"&lt;&gt;"))),0)</f>
        <v>0</v>
      </c>
      <c r="U1011">
        <f>IFERROR($J1011/IF($A1011&lt;COUNTIFS($K$1:U$1,"&lt;&gt;"),0,SUMIFS($J:$J,$B:$B,$B1011,$A:$A,"&gt;="&amp;COUNTIFS($K$1:U$1,"&lt;&gt;"))),0)</f>
        <v>0</v>
      </c>
      <c r="V1011">
        <f>IFERROR($J1011/IF($A1011&lt;COUNTIFS($K$1:V$1,"&lt;&gt;"),0,SUMIFS($J:$J,$B:$B,$B1011,$A:$A,"&gt;="&amp;COUNTIFS($K$1:V$1,"&lt;&gt;"))),0)</f>
        <v>0</v>
      </c>
      <c r="W1011">
        <f t="shared" si="354"/>
        <v>7.6712328767123292E-2</v>
      </c>
      <c r="X1011">
        <f t="shared" si="334"/>
        <v>7.6712328767123292E-2</v>
      </c>
      <c r="Y1011">
        <f t="shared" si="335"/>
        <v>7.6712328767123292E-2</v>
      </c>
      <c r="Z1011">
        <f t="shared" si="336"/>
        <v>7.6712328767123292E-2</v>
      </c>
      <c r="AA1011">
        <f t="shared" si="337"/>
        <v>7.6712328767123292E-2</v>
      </c>
      <c r="AB1011">
        <f t="shared" si="338"/>
        <v>7.6712328767123292E-2</v>
      </c>
      <c r="AC1011">
        <f t="shared" si="339"/>
        <v>7.6712328767123292E-2</v>
      </c>
      <c r="AD1011">
        <f t="shared" si="340"/>
        <v>7.6712328767123292E-2</v>
      </c>
      <c r="AE1011">
        <f t="shared" si="341"/>
        <v>7.6712328767123292E-2</v>
      </c>
      <c r="AF1011">
        <f t="shared" si="342"/>
        <v>0</v>
      </c>
      <c r="AG1011">
        <f t="shared" si="343"/>
        <v>0</v>
      </c>
      <c r="AH1011">
        <f t="shared" si="344"/>
        <v>0</v>
      </c>
      <c r="AI1011">
        <f t="shared" si="345"/>
        <v>0</v>
      </c>
      <c r="AJ1011" s="2" t="str">
        <f t="shared" si="355"/>
        <v>846174</v>
      </c>
    </row>
    <row r="1012" spans="1:36" x14ac:dyDescent="0.25">
      <c r="A1012">
        <v>9</v>
      </c>
      <c r="B1012" s="1">
        <v>46174</v>
      </c>
      <c r="C1012" s="1">
        <f t="shared" si="346"/>
        <v>46447</v>
      </c>
      <c r="D1012" s="1">
        <f t="shared" si="347"/>
        <v>46188</v>
      </c>
      <c r="E1012" s="1">
        <f t="shared" si="348"/>
        <v>46447</v>
      </c>
      <c r="F1012" s="1">
        <f t="shared" si="349"/>
        <v>46478</v>
      </c>
      <c r="G1012" s="1">
        <f t="shared" si="350"/>
        <v>46553</v>
      </c>
      <c r="H1012">
        <f t="shared" si="351"/>
        <v>365</v>
      </c>
      <c r="I1012">
        <f t="shared" si="352"/>
        <v>31</v>
      </c>
      <c r="J1012">
        <f t="shared" si="353"/>
        <v>8.4931506849315067E-2</v>
      </c>
      <c r="K1012">
        <f>IFERROR($J1012/IF($A1012&lt;COUNTIFS($K$1:K$1,"&lt;&gt;"),0,SUMIFS($J:$J,$B:$B,$B1012,$A:$A,"&gt;="&amp;COUNTIFS($K$1:K$1,"&lt;&gt;"))),0)</f>
        <v>8.8825214899713484E-2</v>
      </c>
      <c r="L1012">
        <f>IFERROR($J1012/IF($A1012&lt;COUNTIFS($K$1:L$1,"&lt;&gt;"),0,SUMIFS($J:$J,$B:$B,$B1012,$A:$A,"&gt;="&amp;COUNTIFS($K$1:L$1,"&lt;&gt;"))),0)</f>
        <v>9.7484276729559768E-2</v>
      </c>
      <c r="M1012">
        <f>IFERROR($J1012/IF($A1012&lt;COUNTIFS($K$1:M$1,"&lt;&gt;"),0,SUMIFS($J:$J,$B:$B,$B1012,$A:$A,"&gt;="&amp;COUNTIFS($K$1:M$1,"&lt;&gt;"))),0)</f>
        <v>0.10801393728222998</v>
      </c>
      <c r="N1012">
        <f>IFERROR($J1012/IF($A1012&lt;COUNTIFS($K$1:N$1,"&lt;&gt;"),0,SUMIFS($J:$J,$B:$B,$B1012,$A:$A,"&gt;="&amp;COUNTIFS($K$1:N$1,"&lt;&gt;"))),0)</f>
        <v>0.12062256809338523</v>
      </c>
      <c r="O1012">
        <f>IFERROR($J1012/IF($A1012&lt;COUNTIFS($K$1:O$1,"&lt;&gt;"),0,SUMIFS($J:$J,$B:$B,$B1012,$A:$A,"&gt;="&amp;COUNTIFS($K$1:O$1,"&lt;&gt;"))),0)</f>
        <v>0.13716814159292037</v>
      </c>
      <c r="P1012">
        <f>IFERROR($J1012/IF($A1012&lt;COUNTIFS($K$1:P$1,"&lt;&gt;"),0,SUMIFS($J:$J,$B:$B,$B1012,$A:$A,"&gt;="&amp;COUNTIFS($K$1:P$1,"&lt;&gt;"))),0)</f>
        <v>0.15816326530612249</v>
      </c>
      <c r="Q1012">
        <f>IFERROR($J1012/IF($A1012&lt;COUNTIFS($K$1:Q$1,"&lt;&gt;"),0,SUMIFS($J:$J,$B:$B,$B1012,$A:$A,"&gt;="&amp;COUNTIFS($K$1:Q$1,"&lt;&gt;"))),0)</f>
        <v>0.1878787878787879</v>
      </c>
      <c r="R1012">
        <f>IFERROR($J1012/IF($A1012&lt;COUNTIFS($K$1:R$1,"&lt;&gt;"),0,SUMIFS($J:$J,$B:$B,$B1012,$A:$A,"&gt;="&amp;COUNTIFS($K$1:R$1,"&lt;&gt;"))),0)</f>
        <v>0.23134328358208955</v>
      </c>
      <c r="S1012">
        <f>IFERROR($J1012/IF($A1012&lt;COUNTIFS($K$1:S$1,"&lt;&gt;"),0,SUMIFS($J:$J,$B:$B,$B1012,$A:$A,"&gt;="&amp;COUNTIFS($K$1:S$1,"&lt;&gt;"))),0)</f>
        <v>0.29245283018867929</v>
      </c>
      <c r="T1012">
        <f>IFERROR($J1012/IF($A1012&lt;COUNTIFS($K$1:T$1,"&lt;&gt;"),0,SUMIFS($J:$J,$B:$B,$B1012,$A:$A,"&gt;="&amp;COUNTIFS($K$1:T$1,"&lt;&gt;"))),0)</f>
        <v>0</v>
      </c>
      <c r="U1012">
        <f>IFERROR($J1012/IF($A1012&lt;COUNTIFS($K$1:U$1,"&lt;&gt;"),0,SUMIFS($J:$J,$B:$B,$B1012,$A:$A,"&gt;="&amp;COUNTIFS($K$1:U$1,"&lt;&gt;"))),0)</f>
        <v>0</v>
      </c>
      <c r="V1012">
        <f>IFERROR($J1012/IF($A1012&lt;COUNTIFS($K$1:V$1,"&lt;&gt;"),0,SUMIFS($J:$J,$B:$B,$B1012,$A:$A,"&gt;="&amp;COUNTIFS($K$1:V$1,"&lt;&gt;"))),0)</f>
        <v>0</v>
      </c>
      <c r="W1012">
        <f t="shared" si="354"/>
        <v>8.4931506849315067E-2</v>
      </c>
      <c r="X1012">
        <f t="shared" si="334"/>
        <v>8.4931506849315067E-2</v>
      </c>
      <c r="Y1012">
        <f t="shared" si="335"/>
        <v>8.4931506849315067E-2</v>
      </c>
      <c r="Z1012">
        <f t="shared" si="336"/>
        <v>8.4931506849315067E-2</v>
      </c>
      <c r="AA1012">
        <f t="shared" si="337"/>
        <v>8.4931506849315067E-2</v>
      </c>
      <c r="AB1012">
        <f t="shared" si="338"/>
        <v>8.4931506849315067E-2</v>
      </c>
      <c r="AC1012">
        <f t="shared" si="339"/>
        <v>8.4931506849315067E-2</v>
      </c>
      <c r="AD1012">
        <f t="shared" si="340"/>
        <v>8.4931506849315067E-2</v>
      </c>
      <c r="AE1012">
        <f t="shared" si="341"/>
        <v>8.4931506849315067E-2</v>
      </c>
      <c r="AF1012">
        <f t="shared" si="342"/>
        <v>8.4931506849315067E-2</v>
      </c>
      <c r="AG1012">
        <f t="shared" si="343"/>
        <v>0</v>
      </c>
      <c r="AH1012">
        <f t="shared" si="344"/>
        <v>0</v>
      </c>
      <c r="AI1012">
        <f t="shared" si="345"/>
        <v>0</v>
      </c>
      <c r="AJ1012" s="2" t="str">
        <f t="shared" si="355"/>
        <v>946174</v>
      </c>
    </row>
    <row r="1013" spans="1:36" x14ac:dyDescent="0.25">
      <c r="A1013">
        <v>10</v>
      </c>
      <c r="B1013" s="1">
        <v>46174</v>
      </c>
      <c r="C1013" s="1">
        <f t="shared" si="346"/>
        <v>46478</v>
      </c>
      <c r="D1013" s="1">
        <f t="shared" si="347"/>
        <v>46188</v>
      </c>
      <c r="E1013" s="1">
        <f t="shared" si="348"/>
        <v>46478</v>
      </c>
      <c r="F1013" s="1">
        <f t="shared" si="349"/>
        <v>46508</v>
      </c>
      <c r="G1013" s="1">
        <f t="shared" si="350"/>
        <v>46553</v>
      </c>
      <c r="H1013">
        <f t="shared" si="351"/>
        <v>365</v>
      </c>
      <c r="I1013">
        <f t="shared" si="352"/>
        <v>30</v>
      </c>
      <c r="J1013">
        <f t="shared" si="353"/>
        <v>8.2191780821917804E-2</v>
      </c>
      <c r="K1013">
        <f>IFERROR($J1013/IF($A1013&lt;COUNTIFS($K$1:K$1,"&lt;&gt;"),0,SUMIFS($J:$J,$B:$B,$B1013,$A:$A,"&gt;="&amp;COUNTIFS($K$1:K$1,"&lt;&gt;"))),0)</f>
        <v>8.5959885386819493E-2</v>
      </c>
      <c r="L1013">
        <f>IFERROR($J1013/IF($A1013&lt;COUNTIFS($K$1:L$1,"&lt;&gt;"),0,SUMIFS($J:$J,$B:$B,$B1013,$A:$A,"&gt;="&amp;COUNTIFS($K$1:L$1,"&lt;&gt;"))),0)</f>
        <v>9.4339622641509441E-2</v>
      </c>
      <c r="M1013">
        <f>IFERROR($J1013/IF($A1013&lt;COUNTIFS($K$1:M$1,"&lt;&gt;"),0,SUMIFS($J:$J,$B:$B,$B1013,$A:$A,"&gt;="&amp;COUNTIFS($K$1:M$1,"&lt;&gt;"))),0)</f>
        <v>0.10452961672473869</v>
      </c>
      <c r="N1013">
        <f>IFERROR($J1013/IF($A1013&lt;COUNTIFS($K$1:N$1,"&lt;&gt;"),0,SUMIFS($J:$J,$B:$B,$B1013,$A:$A,"&gt;="&amp;COUNTIFS($K$1:N$1,"&lt;&gt;"))),0)</f>
        <v>0.11673151750972764</v>
      </c>
      <c r="O1013">
        <f>IFERROR($J1013/IF($A1013&lt;COUNTIFS($K$1:O$1,"&lt;&gt;"),0,SUMIFS($J:$J,$B:$B,$B1013,$A:$A,"&gt;="&amp;COUNTIFS($K$1:O$1,"&lt;&gt;"))),0)</f>
        <v>0.13274336283185842</v>
      </c>
      <c r="P1013">
        <f>IFERROR($J1013/IF($A1013&lt;COUNTIFS($K$1:P$1,"&lt;&gt;"),0,SUMIFS($J:$J,$B:$B,$B1013,$A:$A,"&gt;="&amp;COUNTIFS($K$1:P$1,"&lt;&gt;"))),0)</f>
        <v>0.15306122448979595</v>
      </c>
      <c r="Q1013">
        <f>IFERROR($J1013/IF($A1013&lt;COUNTIFS($K$1:Q$1,"&lt;&gt;"),0,SUMIFS($J:$J,$B:$B,$B1013,$A:$A,"&gt;="&amp;COUNTIFS($K$1:Q$1,"&lt;&gt;"))),0)</f>
        <v>0.18181818181818182</v>
      </c>
      <c r="R1013">
        <f>IFERROR($J1013/IF($A1013&lt;COUNTIFS($K$1:R$1,"&lt;&gt;"),0,SUMIFS($J:$J,$B:$B,$B1013,$A:$A,"&gt;="&amp;COUNTIFS($K$1:R$1,"&lt;&gt;"))),0)</f>
        <v>0.22388059701492535</v>
      </c>
      <c r="S1013">
        <f>IFERROR($J1013/IF($A1013&lt;COUNTIFS($K$1:S$1,"&lt;&gt;"),0,SUMIFS($J:$J,$B:$B,$B1013,$A:$A,"&gt;="&amp;COUNTIFS($K$1:S$1,"&lt;&gt;"))),0)</f>
        <v>0.28301886792452829</v>
      </c>
      <c r="T1013">
        <f>IFERROR($J1013/IF($A1013&lt;COUNTIFS($K$1:T$1,"&lt;&gt;"),0,SUMIFS($J:$J,$B:$B,$B1013,$A:$A,"&gt;="&amp;COUNTIFS($K$1:T$1,"&lt;&gt;"))),0)</f>
        <v>0.4</v>
      </c>
      <c r="U1013">
        <f>IFERROR($J1013/IF($A1013&lt;COUNTIFS($K$1:U$1,"&lt;&gt;"),0,SUMIFS($J:$J,$B:$B,$B1013,$A:$A,"&gt;="&amp;COUNTIFS($K$1:U$1,"&lt;&gt;"))),0)</f>
        <v>0</v>
      </c>
      <c r="V1013">
        <f>IFERROR($J1013/IF($A1013&lt;COUNTIFS($K$1:V$1,"&lt;&gt;"),0,SUMIFS($J:$J,$B:$B,$B1013,$A:$A,"&gt;="&amp;COUNTIFS($K$1:V$1,"&lt;&gt;"))),0)</f>
        <v>0</v>
      </c>
      <c r="W1013">
        <f t="shared" si="354"/>
        <v>8.2191780821917804E-2</v>
      </c>
      <c r="X1013">
        <f t="shared" si="334"/>
        <v>8.2191780821917804E-2</v>
      </c>
      <c r="Y1013">
        <f t="shared" si="335"/>
        <v>8.2191780821917804E-2</v>
      </c>
      <c r="Z1013">
        <f t="shared" si="336"/>
        <v>8.2191780821917804E-2</v>
      </c>
      <c r="AA1013">
        <f t="shared" si="337"/>
        <v>8.2191780821917804E-2</v>
      </c>
      <c r="AB1013">
        <f t="shared" si="338"/>
        <v>8.2191780821917804E-2</v>
      </c>
      <c r="AC1013">
        <f t="shared" si="339"/>
        <v>8.2191780821917804E-2</v>
      </c>
      <c r="AD1013">
        <f t="shared" si="340"/>
        <v>8.2191780821917804E-2</v>
      </c>
      <c r="AE1013">
        <f t="shared" si="341"/>
        <v>8.2191780821917804E-2</v>
      </c>
      <c r="AF1013">
        <f t="shared" si="342"/>
        <v>8.2191780821917804E-2</v>
      </c>
      <c r="AG1013">
        <f t="shared" si="343"/>
        <v>8.2191780821917804E-2</v>
      </c>
      <c r="AH1013">
        <f t="shared" si="344"/>
        <v>0</v>
      </c>
      <c r="AI1013">
        <f t="shared" si="345"/>
        <v>0</v>
      </c>
      <c r="AJ1013" s="2" t="str">
        <f t="shared" si="355"/>
        <v>1046174</v>
      </c>
    </row>
    <row r="1014" spans="1:36" x14ac:dyDescent="0.25">
      <c r="A1014">
        <v>11</v>
      </c>
      <c r="B1014" s="1">
        <v>46174</v>
      </c>
      <c r="C1014" s="1">
        <f t="shared" si="346"/>
        <v>46508</v>
      </c>
      <c r="D1014" s="1">
        <f t="shared" si="347"/>
        <v>46188</v>
      </c>
      <c r="E1014" s="1">
        <f t="shared" si="348"/>
        <v>46508</v>
      </c>
      <c r="F1014" s="1">
        <f t="shared" si="349"/>
        <v>46539</v>
      </c>
      <c r="G1014" s="1">
        <f t="shared" si="350"/>
        <v>46553</v>
      </c>
      <c r="H1014">
        <f t="shared" si="351"/>
        <v>365</v>
      </c>
      <c r="I1014">
        <f t="shared" si="352"/>
        <v>31</v>
      </c>
      <c r="J1014">
        <f t="shared" si="353"/>
        <v>8.4931506849315067E-2</v>
      </c>
      <c r="K1014">
        <f>IFERROR($J1014/IF($A1014&lt;COUNTIFS($K$1:K$1,"&lt;&gt;"),0,SUMIFS($J:$J,$B:$B,$B1014,$A:$A,"&gt;="&amp;COUNTIFS($K$1:K$1,"&lt;&gt;"))),0)</f>
        <v>8.8825214899713484E-2</v>
      </c>
      <c r="L1014">
        <f>IFERROR($J1014/IF($A1014&lt;COUNTIFS($K$1:L$1,"&lt;&gt;"),0,SUMIFS($J:$J,$B:$B,$B1014,$A:$A,"&gt;="&amp;COUNTIFS($K$1:L$1,"&lt;&gt;"))),0)</f>
        <v>9.7484276729559768E-2</v>
      </c>
      <c r="M1014">
        <f>IFERROR($J1014/IF($A1014&lt;COUNTIFS($K$1:M$1,"&lt;&gt;"),0,SUMIFS($J:$J,$B:$B,$B1014,$A:$A,"&gt;="&amp;COUNTIFS($K$1:M$1,"&lt;&gt;"))),0)</f>
        <v>0.10801393728222998</v>
      </c>
      <c r="N1014">
        <f>IFERROR($J1014/IF($A1014&lt;COUNTIFS($K$1:N$1,"&lt;&gt;"),0,SUMIFS($J:$J,$B:$B,$B1014,$A:$A,"&gt;="&amp;COUNTIFS($K$1:N$1,"&lt;&gt;"))),0)</f>
        <v>0.12062256809338523</v>
      </c>
      <c r="O1014">
        <f>IFERROR($J1014/IF($A1014&lt;COUNTIFS($K$1:O$1,"&lt;&gt;"),0,SUMIFS($J:$J,$B:$B,$B1014,$A:$A,"&gt;="&amp;COUNTIFS($K$1:O$1,"&lt;&gt;"))),0)</f>
        <v>0.13716814159292037</v>
      </c>
      <c r="P1014">
        <f>IFERROR($J1014/IF($A1014&lt;COUNTIFS($K$1:P$1,"&lt;&gt;"),0,SUMIFS($J:$J,$B:$B,$B1014,$A:$A,"&gt;="&amp;COUNTIFS($K$1:P$1,"&lt;&gt;"))),0)</f>
        <v>0.15816326530612249</v>
      </c>
      <c r="Q1014">
        <f>IFERROR($J1014/IF($A1014&lt;COUNTIFS($K$1:Q$1,"&lt;&gt;"),0,SUMIFS($J:$J,$B:$B,$B1014,$A:$A,"&gt;="&amp;COUNTIFS($K$1:Q$1,"&lt;&gt;"))),0)</f>
        <v>0.1878787878787879</v>
      </c>
      <c r="R1014">
        <f>IFERROR($J1014/IF($A1014&lt;COUNTIFS($K$1:R$1,"&lt;&gt;"),0,SUMIFS($J:$J,$B:$B,$B1014,$A:$A,"&gt;="&amp;COUNTIFS($K$1:R$1,"&lt;&gt;"))),0)</f>
        <v>0.23134328358208955</v>
      </c>
      <c r="S1014">
        <f>IFERROR($J1014/IF($A1014&lt;COUNTIFS($K$1:S$1,"&lt;&gt;"),0,SUMIFS($J:$J,$B:$B,$B1014,$A:$A,"&gt;="&amp;COUNTIFS($K$1:S$1,"&lt;&gt;"))),0)</f>
        <v>0.29245283018867929</v>
      </c>
      <c r="T1014">
        <f>IFERROR($J1014/IF($A1014&lt;COUNTIFS($K$1:T$1,"&lt;&gt;"),0,SUMIFS($J:$J,$B:$B,$B1014,$A:$A,"&gt;="&amp;COUNTIFS($K$1:T$1,"&lt;&gt;"))),0)</f>
        <v>0.41333333333333333</v>
      </c>
      <c r="U1014">
        <f>IFERROR($J1014/IF($A1014&lt;COUNTIFS($K$1:U$1,"&lt;&gt;"),0,SUMIFS($J:$J,$B:$B,$B1014,$A:$A,"&gt;="&amp;COUNTIFS($K$1:U$1,"&lt;&gt;"))),0)</f>
        <v>0.68888888888888888</v>
      </c>
      <c r="V1014">
        <f>IFERROR($J1014/IF($A1014&lt;COUNTIFS($K$1:V$1,"&lt;&gt;"),0,SUMIFS($J:$J,$B:$B,$B1014,$A:$A,"&gt;="&amp;COUNTIFS($K$1:V$1,"&lt;&gt;"))),0)</f>
        <v>0</v>
      </c>
      <c r="W1014">
        <f t="shared" si="354"/>
        <v>8.4931506849315067E-2</v>
      </c>
      <c r="X1014">
        <f t="shared" si="334"/>
        <v>8.4931506849315067E-2</v>
      </c>
      <c r="Y1014">
        <f t="shared" si="335"/>
        <v>8.4931506849315067E-2</v>
      </c>
      <c r="Z1014">
        <f t="shared" si="336"/>
        <v>8.4931506849315067E-2</v>
      </c>
      <c r="AA1014">
        <f t="shared" si="337"/>
        <v>8.4931506849315067E-2</v>
      </c>
      <c r="AB1014">
        <f t="shared" si="338"/>
        <v>8.4931506849315067E-2</v>
      </c>
      <c r="AC1014">
        <f t="shared" si="339"/>
        <v>8.4931506849315067E-2</v>
      </c>
      <c r="AD1014">
        <f t="shared" si="340"/>
        <v>8.4931506849315067E-2</v>
      </c>
      <c r="AE1014">
        <f t="shared" si="341"/>
        <v>8.4931506849315067E-2</v>
      </c>
      <c r="AF1014">
        <f t="shared" si="342"/>
        <v>8.4931506849315067E-2</v>
      </c>
      <c r="AG1014">
        <f t="shared" si="343"/>
        <v>8.4931506849315067E-2</v>
      </c>
      <c r="AH1014">
        <f t="shared" si="344"/>
        <v>8.4931506849315067E-2</v>
      </c>
      <c r="AI1014">
        <f t="shared" si="345"/>
        <v>0</v>
      </c>
      <c r="AJ1014" s="2" t="str">
        <f t="shared" si="355"/>
        <v>1146174</v>
      </c>
    </row>
    <row r="1015" spans="1:36" x14ac:dyDescent="0.25">
      <c r="A1015">
        <v>12</v>
      </c>
      <c r="B1015" s="1">
        <v>46174</v>
      </c>
      <c r="C1015" s="1">
        <f t="shared" si="346"/>
        <v>46539</v>
      </c>
      <c r="D1015" s="1">
        <f t="shared" si="347"/>
        <v>46188</v>
      </c>
      <c r="E1015" s="1">
        <f t="shared" si="348"/>
        <v>46539</v>
      </c>
      <c r="F1015" s="1">
        <f t="shared" si="349"/>
        <v>46553</v>
      </c>
      <c r="G1015" s="1">
        <f t="shared" si="350"/>
        <v>46553</v>
      </c>
      <c r="H1015">
        <f t="shared" si="351"/>
        <v>365</v>
      </c>
      <c r="I1015">
        <f t="shared" si="352"/>
        <v>14</v>
      </c>
      <c r="J1015">
        <f t="shared" si="353"/>
        <v>3.8356164383561646E-2</v>
      </c>
      <c r="K1015">
        <f>IFERROR($J1015/IF($A1015&lt;COUNTIFS($K$1:K$1,"&lt;&gt;"),0,SUMIFS($J:$J,$B:$B,$B1015,$A:$A,"&gt;="&amp;COUNTIFS($K$1:K$1,"&lt;&gt;"))),0)</f>
        <v>4.0114613180515769E-2</v>
      </c>
      <c r="L1015">
        <f>IFERROR($J1015/IF($A1015&lt;COUNTIFS($K$1:L$1,"&lt;&gt;"),0,SUMIFS($J:$J,$B:$B,$B1015,$A:$A,"&gt;="&amp;COUNTIFS($K$1:L$1,"&lt;&gt;"))),0)</f>
        <v>4.4025157232704414E-2</v>
      </c>
      <c r="M1015">
        <f>IFERROR($J1015/IF($A1015&lt;COUNTIFS($K$1:M$1,"&lt;&gt;"),0,SUMIFS($J:$J,$B:$B,$B1015,$A:$A,"&gt;="&amp;COUNTIFS($K$1:M$1,"&lt;&gt;"))),0)</f>
        <v>4.8780487804878057E-2</v>
      </c>
      <c r="N1015">
        <f>IFERROR($J1015/IF($A1015&lt;COUNTIFS($K$1:N$1,"&lt;&gt;"),0,SUMIFS($J:$J,$B:$B,$B1015,$A:$A,"&gt;="&amp;COUNTIFS($K$1:N$1,"&lt;&gt;"))),0)</f>
        <v>5.447470817120624E-2</v>
      </c>
      <c r="O1015">
        <f>IFERROR($J1015/IF($A1015&lt;COUNTIFS($K$1:O$1,"&lt;&gt;"),0,SUMIFS($J:$J,$B:$B,$B1015,$A:$A,"&gt;="&amp;COUNTIFS($K$1:O$1,"&lt;&gt;"))),0)</f>
        <v>6.194690265486727E-2</v>
      </c>
      <c r="P1015">
        <f>IFERROR($J1015/IF($A1015&lt;COUNTIFS($K$1:P$1,"&lt;&gt;"),0,SUMIFS($J:$J,$B:$B,$B1015,$A:$A,"&gt;="&amp;COUNTIFS($K$1:P$1,"&lt;&gt;"))),0)</f>
        <v>7.1428571428571438E-2</v>
      </c>
      <c r="Q1015">
        <f>IFERROR($J1015/IF($A1015&lt;COUNTIFS($K$1:Q$1,"&lt;&gt;"),0,SUMIFS($J:$J,$B:$B,$B1015,$A:$A,"&gt;="&amp;COUNTIFS($K$1:Q$1,"&lt;&gt;"))),0)</f>
        <v>8.4848484848484854E-2</v>
      </c>
      <c r="R1015">
        <f>IFERROR($J1015/IF($A1015&lt;COUNTIFS($K$1:R$1,"&lt;&gt;"),0,SUMIFS($J:$J,$B:$B,$B1015,$A:$A,"&gt;="&amp;COUNTIFS($K$1:R$1,"&lt;&gt;"))),0)</f>
        <v>0.10447761194029852</v>
      </c>
      <c r="S1015">
        <f>IFERROR($J1015/IF($A1015&lt;COUNTIFS($K$1:S$1,"&lt;&gt;"),0,SUMIFS($J:$J,$B:$B,$B1015,$A:$A,"&gt;="&amp;COUNTIFS($K$1:S$1,"&lt;&gt;"))),0)</f>
        <v>0.13207547169811323</v>
      </c>
      <c r="T1015">
        <f>IFERROR($J1015/IF($A1015&lt;COUNTIFS($K$1:T$1,"&lt;&gt;"),0,SUMIFS($J:$J,$B:$B,$B1015,$A:$A,"&gt;="&amp;COUNTIFS($K$1:T$1,"&lt;&gt;"))),0)</f>
        <v>0.18666666666666668</v>
      </c>
      <c r="U1015">
        <f>IFERROR($J1015/IF($A1015&lt;COUNTIFS($K$1:U$1,"&lt;&gt;"),0,SUMIFS($J:$J,$B:$B,$B1015,$A:$A,"&gt;="&amp;COUNTIFS($K$1:U$1,"&lt;&gt;"))),0)</f>
        <v>0.31111111111111117</v>
      </c>
      <c r="V1015">
        <f>IFERROR($J1015/IF($A1015&lt;COUNTIFS($K$1:V$1,"&lt;&gt;"),0,SUMIFS($J:$J,$B:$B,$B1015,$A:$A,"&gt;="&amp;COUNTIFS($K$1:V$1,"&lt;&gt;"))),0)</f>
        <v>1</v>
      </c>
      <c r="W1015">
        <f t="shared" si="354"/>
        <v>3.8356164383561646E-2</v>
      </c>
      <c r="X1015">
        <f t="shared" si="334"/>
        <v>3.8356164383561646E-2</v>
      </c>
      <c r="Y1015">
        <f t="shared" si="335"/>
        <v>3.8356164383561646E-2</v>
      </c>
      <c r="Z1015">
        <f t="shared" si="336"/>
        <v>3.8356164383561646E-2</v>
      </c>
      <c r="AA1015">
        <f t="shared" si="337"/>
        <v>3.8356164383561646E-2</v>
      </c>
      <c r="AB1015">
        <f t="shared" si="338"/>
        <v>3.8356164383561646E-2</v>
      </c>
      <c r="AC1015">
        <f t="shared" si="339"/>
        <v>3.8356164383561646E-2</v>
      </c>
      <c r="AD1015">
        <f t="shared" si="340"/>
        <v>3.8356164383561646E-2</v>
      </c>
      <c r="AE1015">
        <f t="shared" si="341"/>
        <v>3.8356164383561646E-2</v>
      </c>
      <c r="AF1015">
        <f t="shared" si="342"/>
        <v>3.8356164383561646E-2</v>
      </c>
      <c r="AG1015">
        <f t="shared" si="343"/>
        <v>3.8356164383561646E-2</v>
      </c>
      <c r="AH1015">
        <f t="shared" si="344"/>
        <v>3.8356164383561646E-2</v>
      </c>
      <c r="AI1015">
        <f t="shared" si="345"/>
        <v>3.8356164383561646E-2</v>
      </c>
      <c r="AJ1015" s="2" t="str">
        <f t="shared" si="355"/>
        <v>1246174</v>
      </c>
    </row>
    <row r="1016" spans="1:36" x14ac:dyDescent="0.25">
      <c r="A1016">
        <v>0</v>
      </c>
      <c r="B1016" s="1">
        <v>46204</v>
      </c>
      <c r="C1016" s="1">
        <f t="shared" si="346"/>
        <v>46204</v>
      </c>
      <c r="D1016" s="1">
        <f t="shared" si="347"/>
        <v>46218</v>
      </c>
      <c r="E1016" s="1">
        <f t="shared" si="348"/>
        <v>46218</v>
      </c>
      <c r="F1016" s="1">
        <f t="shared" si="349"/>
        <v>46235</v>
      </c>
      <c r="G1016" s="1">
        <f t="shared" si="350"/>
        <v>46583</v>
      </c>
      <c r="H1016">
        <f t="shared" si="351"/>
        <v>365</v>
      </c>
      <c r="I1016">
        <f t="shared" si="352"/>
        <v>17</v>
      </c>
      <c r="J1016">
        <f t="shared" si="353"/>
        <v>4.6575342465753428E-2</v>
      </c>
      <c r="K1016">
        <f>IFERROR($J1016/IF($A1016&lt;COUNTIFS($K$1:K$1,"&lt;&gt;"),0,SUMIFS($J:$J,$B:$B,$B1016,$A:$A,"&gt;="&amp;COUNTIFS($K$1:K$1,"&lt;&gt;"))),0)</f>
        <v>0</v>
      </c>
      <c r="L1016">
        <f>IFERROR($J1016/IF($A1016&lt;COUNTIFS($K$1:L$1,"&lt;&gt;"),0,SUMIFS($J:$J,$B:$B,$B1016,$A:$A,"&gt;="&amp;COUNTIFS($K$1:L$1,"&lt;&gt;"))),0)</f>
        <v>0</v>
      </c>
      <c r="M1016">
        <f>IFERROR($J1016/IF($A1016&lt;COUNTIFS($K$1:M$1,"&lt;&gt;"),0,SUMIFS($J:$J,$B:$B,$B1016,$A:$A,"&gt;="&amp;COUNTIFS($K$1:M$1,"&lt;&gt;"))),0)</f>
        <v>0</v>
      </c>
      <c r="N1016">
        <f>IFERROR($J1016/IF($A1016&lt;COUNTIFS($K$1:N$1,"&lt;&gt;"),0,SUMIFS($J:$J,$B:$B,$B1016,$A:$A,"&gt;="&amp;COUNTIFS($K$1:N$1,"&lt;&gt;"))),0)</f>
        <v>0</v>
      </c>
      <c r="O1016">
        <f>IFERROR($J1016/IF($A1016&lt;COUNTIFS($K$1:O$1,"&lt;&gt;"),0,SUMIFS($J:$J,$B:$B,$B1016,$A:$A,"&gt;="&amp;COUNTIFS($K$1:O$1,"&lt;&gt;"))),0)</f>
        <v>0</v>
      </c>
      <c r="P1016">
        <f>IFERROR($J1016/IF($A1016&lt;COUNTIFS($K$1:P$1,"&lt;&gt;"),0,SUMIFS($J:$J,$B:$B,$B1016,$A:$A,"&gt;="&amp;COUNTIFS($K$1:P$1,"&lt;&gt;"))),0)</f>
        <v>0</v>
      </c>
      <c r="Q1016">
        <f>IFERROR($J1016/IF($A1016&lt;COUNTIFS($K$1:Q$1,"&lt;&gt;"),0,SUMIFS($J:$J,$B:$B,$B1016,$A:$A,"&gt;="&amp;COUNTIFS($K$1:Q$1,"&lt;&gt;"))),0)</f>
        <v>0</v>
      </c>
      <c r="R1016">
        <f>IFERROR($J1016/IF($A1016&lt;COUNTIFS($K$1:R$1,"&lt;&gt;"),0,SUMIFS($J:$J,$B:$B,$B1016,$A:$A,"&gt;="&amp;COUNTIFS($K$1:R$1,"&lt;&gt;"))),0)</f>
        <v>0</v>
      </c>
      <c r="S1016">
        <f>IFERROR($J1016/IF($A1016&lt;COUNTIFS($K$1:S$1,"&lt;&gt;"),0,SUMIFS($J:$J,$B:$B,$B1016,$A:$A,"&gt;="&amp;COUNTIFS($K$1:S$1,"&lt;&gt;"))),0)</f>
        <v>0</v>
      </c>
      <c r="T1016">
        <f>IFERROR($J1016/IF($A1016&lt;COUNTIFS($K$1:T$1,"&lt;&gt;"),0,SUMIFS($J:$J,$B:$B,$B1016,$A:$A,"&gt;="&amp;COUNTIFS($K$1:T$1,"&lt;&gt;"))),0)</f>
        <v>0</v>
      </c>
      <c r="U1016">
        <f>IFERROR($J1016/IF($A1016&lt;COUNTIFS($K$1:U$1,"&lt;&gt;"),0,SUMIFS($J:$J,$B:$B,$B1016,$A:$A,"&gt;="&amp;COUNTIFS($K$1:U$1,"&lt;&gt;"))),0)</f>
        <v>0</v>
      </c>
      <c r="V1016">
        <f>IFERROR($J1016/IF($A1016&lt;COUNTIFS($K$1:V$1,"&lt;&gt;"),0,SUMIFS($J:$J,$B:$B,$B1016,$A:$A,"&gt;="&amp;COUNTIFS($K$1:V$1,"&lt;&gt;"))),0)</f>
        <v>0</v>
      </c>
      <c r="W1016">
        <f t="shared" si="354"/>
        <v>4.6575342465753428E-2</v>
      </c>
      <c r="X1016">
        <f t="shared" si="334"/>
        <v>0</v>
      </c>
      <c r="Y1016">
        <f t="shared" si="335"/>
        <v>0</v>
      </c>
      <c r="Z1016">
        <f t="shared" si="336"/>
        <v>0</v>
      </c>
      <c r="AA1016">
        <f t="shared" si="337"/>
        <v>0</v>
      </c>
      <c r="AB1016">
        <f t="shared" si="338"/>
        <v>0</v>
      </c>
      <c r="AC1016">
        <f t="shared" si="339"/>
        <v>0</v>
      </c>
      <c r="AD1016">
        <f t="shared" si="340"/>
        <v>0</v>
      </c>
      <c r="AE1016">
        <f t="shared" si="341"/>
        <v>0</v>
      </c>
      <c r="AF1016">
        <f t="shared" si="342"/>
        <v>0</v>
      </c>
      <c r="AG1016">
        <f t="shared" si="343"/>
        <v>0</v>
      </c>
      <c r="AH1016">
        <f t="shared" si="344"/>
        <v>0</v>
      </c>
      <c r="AI1016">
        <f t="shared" si="345"/>
        <v>0</v>
      </c>
      <c r="AJ1016" s="2" t="str">
        <f t="shared" si="355"/>
        <v>046204</v>
      </c>
    </row>
    <row r="1017" spans="1:36" x14ac:dyDescent="0.25">
      <c r="A1017">
        <v>1</v>
      </c>
      <c r="B1017" s="1">
        <v>46204</v>
      </c>
      <c r="C1017" s="1">
        <f t="shared" si="346"/>
        <v>46235</v>
      </c>
      <c r="D1017" s="1">
        <f t="shared" si="347"/>
        <v>46218</v>
      </c>
      <c r="E1017" s="1">
        <f t="shared" si="348"/>
        <v>46235</v>
      </c>
      <c r="F1017" s="1">
        <f t="shared" si="349"/>
        <v>46266</v>
      </c>
      <c r="G1017" s="1">
        <f t="shared" si="350"/>
        <v>46583</v>
      </c>
      <c r="H1017">
        <f t="shared" si="351"/>
        <v>365</v>
      </c>
      <c r="I1017">
        <f t="shared" si="352"/>
        <v>31</v>
      </c>
      <c r="J1017">
        <f t="shared" si="353"/>
        <v>8.4931506849315067E-2</v>
      </c>
      <c r="K1017">
        <f>IFERROR($J1017/IF($A1017&lt;COUNTIFS($K$1:K$1,"&lt;&gt;"),0,SUMIFS($J:$J,$B:$B,$B1017,$A:$A,"&gt;="&amp;COUNTIFS($K$1:K$1,"&lt;&gt;"))),0)</f>
        <v>8.9080459770114959E-2</v>
      </c>
      <c r="L1017">
        <f>IFERROR($J1017/IF($A1017&lt;COUNTIFS($K$1:L$1,"&lt;&gt;"),0,SUMIFS($J:$J,$B:$B,$B1017,$A:$A,"&gt;="&amp;COUNTIFS($K$1:L$1,"&lt;&gt;"))),0)</f>
        <v>0</v>
      </c>
      <c r="M1017">
        <f>IFERROR($J1017/IF($A1017&lt;COUNTIFS($K$1:M$1,"&lt;&gt;"),0,SUMIFS($J:$J,$B:$B,$B1017,$A:$A,"&gt;="&amp;COUNTIFS($K$1:M$1,"&lt;&gt;"))),0)</f>
        <v>0</v>
      </c>
      <c r="N1017">
        <f>IFERROR($J1017/IF($A1017&lt;COUNTIFS($K$1:N$1,"&lt;&gt;"),0,SUMIFS($J:$J,$B:$B,$B1017,$A:$A,"&gt;="&amp;COUNTIFS($K$1:N$1,"&lt;&gt;"))),0)</f>
        <v>0</v>
      </c>
      <c r="O1017">
        <f>IFERROR($J1017/IF($A1017&lt;COUNTIFS($K$1:O$1,"&lt;&gt;"),0,SUMIFS($J:$J,$B:$B,$B1017,$A:$A,"&gt;="&amp;COUNTIFS($K$1:O$1,"&lt;&gt;"))),0)</f>
        <v>0</v>
      </c>
      <c r="P1017">
        <f>IFERROR($J1017/IF($A1017&lt;COUNTIFS($K$1:P$1,"&lt;&gt;"),0,SUMIFS($J:$J,$B:$B,$B1017,$A:$A,"&gt;="&amp;COUNTIFS($K$1:P$1,"&lt;&gt;"))),0)</f>
        <v>0</v>
      </c>
      <c r="Q1017">
        <f>IFERROR($J1017/IF($A1017&lt;COUNTIFS($K$1:Q$1,"&lt;&gt;"),0,SUMIFS($J:$J,$B:$B,$B1017,$A:$A,"&gt;="&amp;COUNTIFS($K$1:Q$1,"&lt;&gt;"))),0)</f>
        <v>0</v>
      </c>
      <c r="R1017">
        <f>IFERROR($J1017/IF($A1017&lt;COUNTIFS($K$1:R$1,"&lt;&gt;"),0,SUMIFS($J:$J,$B:$B,$B1017,$A:$A,"&gt;="&amp;COUNTIFS($K$1:R$1,"&lt;&gt;"))),0)</f>
        <v>0</v>
      </c>
      <c r="S1017">
        <f>IFERROR($J1017/IF($A1017&lt;COUNTIFS($K$1:S$1,"&lt;&gt;"),0,SUMIFS($J:$J,$B:$B,$B1017,$A:$A,"&gt;="&amp;COUNTIFS($K$1:S$1,"&lt;&gt;"))),0)</f>
        <v>0</v>
      </c>
      <c r="T1017">
        <f>IFERROR($J1017/IF($A1017&lt;COUNTIFS($K$1:T$1,"&lt;&gt;"),0,SUMIFS($J:$J,$B:$B,$B1017,$A:$A,"&gt;="&amp;COUNTIFS($K$1:T$1,"&lt;&gt;"))),0)</f>
        <v>0</v>
      </c>
      <c r="U1017">
        <f>IFERROR($J1017/IF($A1017&lt;COUNTIFS($K$1:U$1,"&lt;&gt;"),0,SUMIFS($J:$J,$B:$B,$B1017,$A:$A,"&gt;="&amp;COUNTIFS($K$1:U$1,"&lt;&gt;"))),0)</f>
        <v>0</v>
      </c>
      <c r="V1017">
        <f>IFERROR($J1017/IF($A1017&lt;COUNTIFS($K$1:V$1,"&lt;&gt;"),0,SUMIFS($J:$J,$B:$B,$B1017,$A:$A,"&gt;="&amp;COUNTIFS($K$1:V$1,"&lt;&gt;"))),0)</f>
        <v>0</v>
      </c>
      <c r="W1017">
        <f t="shared" si="354"/>
        <v>8.4931506849315067E-2</v>
      </c>
      <c r="X1017">
        <f t="shared" si="334"/>
        <v>8.4931506849315067E-2</v>
      </c>
      <c r="Y1017">
        <f t="shared" si="335"/>
        <v>0</v>
      </c>
      <c r="Z1017">
        <f t="shared" si="336"/>
        <v>0</v>
      </c>
      <c r="AA1017">
        <f t="shared" si="337"/>
        <v>0</v>
      </c>
      <c r="AB1017">
        <f t="shared" si="338"/>
        <v>0</v>
      </c>
      <c r="AC1017">
        <f t="shared" si="339"/>
        <v>0</v>
      </c>
      <c r="AD1017">
        <f t="shared" si="340"/>
        <v>0</v>
      </c>
      <c r="AE1017">
        <f t="shared" si="341"/>
        <v>0</v>
      </c>
      <c r="AF1017">
        <f t="shared" si="342"/>
        <v>0</v>
      </c>
      <c r="AG1017">
        <f t="shared" si="343"/>
        <v>0</v>
      </c>
      <c r="AH1017">
        <f t="shared" si="344"/>
        <v>0</v>
      </c>
      <c r="AI1017">
        <f t="shared" si="345"/>
        <v>0</v>
      </c>
      <c r="AJ1017" s="2" t="str">
        <f t="shared" si="355"/>
        <v>146204</v>
      </c>
    </row>
    <row r="1018" spans="1:36" x14ac:dyDescent="0.25">
      <c r="A1018">
        <v>2</v>
      </c>
      <c r="B1018" s="1">
        <v>46204</v>
      </c>
      <c r="C1018" s="1">
        <f t="shared" si="346"/>
        <v>46266</v>
      </c>
      <c r="D1018" s="1">
        <f t="shared" si="347"/>
        <v>46218</v>
      </c>
      <c r="E1018" s="1">
        <f t="shared" si="348"/>
        <v>46266</v>
      </c>
      <c r="F1018" s="1">
        <f t="shared" si="349"/>
        <v>46296</v>
      </c>
      <c r="G1018" s="1">
        <f t="shared" si="350"/>
        <v>46583</v>
      </c>
      <c r="H1018">
        <f t="shared" si="351"/>
        <v>365</v>
      </c>
      <c r="I1018">
        <f t="shared" si="352"/>
        <v>30</v>
      </c>
      <c r="J1018">
        <f t="shared" si="353"/>
        <v>8.2191780821917804E-2</v>
      </c>
      <c r="K1018">
        <f>IFERROR($J1018/IF($A1018&lt;COUNTIFS($K$1:K$1,"&lt;&gt;"),0,SUMIFS($J:$J,$B:$B,$B1018,$A:$A,"&gt;="&amp;COUNTIFS($K$1:K$1,"&lt;&gt;"))),0)</f>
        <v>8.6206896551724144E-2</v>
      </c>
      <c r="L1018">
        <f>IFERROR($J1018/IF($A1018&lt;COUNTIFS($K$1:L$1,"&lt;&gt;"),0,SUMIFS($J:$J,$B:$B,$B1018,$A:$A,"&gt;="&amp;COUNTIFS($K$1:L$1,"&lt;&gt;"))),0)</f>
        <v>9.4637223974763415E-2</v>
      </c>
      <c r="M1018">
        <f>IFERROR($J1018/IF($A1018&lt;COUNTIFS($K$1:M$1,"&lt;&gt;"),0,SUMIFS($J:$J,$B:$B,$B1018,$A:$A,"&gt;="&amp;COUNTIFS($K$1:M$1,"&lt;&gt;"))),0)</f>
        <v>0</v>
      </c>
      <c r="N1018">
        <f>IFERROR($J1018/IF($A1018&lt;COUNTIFS($K$1:N$1,"&lt;&gt;"),0,SUMIFS($J:$J,$B:$B,$B1018,$A:$A,"&gt;="&amp;COUNTIFS($K$1:N$1,"&lt;&gt;"))),0)</f>
        <v>0</v>
      </c>
      <c r="O1018">
        <f>IFERROR($J1018/IF($A1018&lt;COUNTIFS($K$1:O$1,"&lt;&gt;"),0,SUMIFS($J:$J,$B:$B,$B1018,$A:$A,"&gt;="&amp;COUNTIFS($K$1:O$1,"&lt;&gt;"))),0)</f>
        <v>0</v>
      </c>
      <c r="P1018">
        <f>IFERROR($J1018/IF($A1018&lt;COUNTIFS($K$1:P$1,"&lt;&gt;"),0,SUMIFS($J:$J,$B:$B,$B1018,$A:$A,"&gt;="&amp;COUNTIFS($K$1:P$1,"&lt;&gt;"))),0)</f>
        <v>0</v>
      </c>
      <c r="Q1018">
        <f>IFERROR($J1018/IF($A1018&lt;COUNTIFS($K$1:Q$1,"&lt;&gt;"),0,SUMIFS($J:$J,$B:$B,$B1018,$A:$A,"&gt;="&amp;COUNTIFS($K$1:Q$1,"&lt;&gt;"))),0)</f>
        <v>0</v>
      </c>
      <c r="R1018">
        <f>IFERROR($J1018/IF($A1018&lt;COUNTIFS($K$1:R$1,"&lt;&gt;"),0,SUMIFS($J:$J,$B:$B,$B1018,$A:$A,"&gt;="&amp;COUNTIFS($K$1:R$1,"&lt;&gt;"))),0)</f>
        <v>0</v>
      </c>
      <c r="S1018">
        <f>IFERROR($J1018/IF($A1018&lt;COUNTIFS($K$1:S$1,"&lt;&gt;"),0,SUMIFS($J:$J,$B:$B,$B1018,$A:$A,"&gt;="&amp;COUNTIFS($K$1:S$1,"&lt;&gt;"))),0)</f>
        <v>0</v>
      </c>
      <c r="T1018">
        <f>IFERROR($J1018/IF($A1018&lt;COUNTIFS($K$1:T$1,"&lt;&gt;"),0,SUMIFS($J:$J,$B:$B,$B1018,$A:$A,"&gt;="&amp;COUNTIFS($K$1:T$1,"&lt;&gt;"))),0)</f>
        <v>0</v>
      </c>
      <c r="U1018">
        <f>IFERROR($J1018/IF($A1018&lt;COUNTIFS($K$1:U$1,"&lt;&gt;"),0,SUMIFS($J:$J,$B:$B,$B1018,$A:$A,"&gt;="&amp;COUNTIFS($K$1:U$1,"&lt;&gt;"))),0)</f>
        <v>0</v>
      </c>
      <c r="V1018">
        <f>IFERROR($J1018/IF($A1018&lt;COUNTIFS($K$1:V$1,"&lt;&gt;"),0,SUMIFS($J:$J,$B:$B,$B1018,$A:$A,"&gt;="&amp;COUNTIFS($K$1:V$1,"&lt;&gt;"))),0)</f>
        <v>0</v>
      </c>
      <c r="W1018">
        <f t="shared" si="354"/>
        <v>8.2191780821917804E-2</v>
      </c>
      <c r="X1018">
        <f t="shared" si="334"/>
        <v>8.2191780821917804E-2</v>
      </c>
      <c r="Y1018">
        <f t="shared" si="335"/>
        <v>8.2191780821917804E-2</v>
      </c>
      <c r="Z1018">
        <f t="shared" si="336"/>
        <v>0</v>
      </c>
      <c r="AA1018">
        <f t="shared" si="337"/>
        <v>0</v>
      </c>
      <c r="AB1018">
        <f t="shared" si="338"/>
        <v>0</v>
      </c>
      <c r="AC1018">
        <f t="shared" si="339"/>
        <v>0</v>
      </c>
      <c r="AD1018">
        <f t="shared" si="340"/>
        <v>0</v>
      </c>
      <c r="AE1018">
        <f t="shared" si="341"/>
        <v>0</v>
      </c>
      <c r="AF1018">
        <f t="shared" si="342"/>
        <v>0</v>
      </c>
      <c r="AG1018">
        <f t="shared" si="343"/>
        <v>0</v>
      </c>
      <c r="AH1018">
        <f t="shared" si="344"/>
        <v>0</v>
      </c>
      <c r="AI1018">
        <f t="shared" si="345"/>
        <v>0</v>
      </c>
      <c r="AJ1018" s="2" t="str">
        <f t="shared" si="355"/>
        <v>246204</v>
      </c>
    </row>
    <row r="1019" spans="1:36" x14ac:dyDescent="0.25">
      <c r="A1019">
        <v>3</v>
      </c>
      <c r="B1019" s="1">
        <v>46204</v>
      </c>
      <c r="C1019" s="1">
        <f t="shared" si="346"/>
        <v>46296</v>
      </c>
      <c r="D1019" s="1">
        <f t="shared" si="347"/>
        <v>46218</v>
      </c>
      <c r="E1019" s="1">
        <f t="shared" si="348"/>
        <v>46296</v>
      </c>
      <c r="F1019" s="1">
        <f t="shared" si="349"/>
        <v>46327</v>
      </c>
      <c r="G1019" s="1">
        <f t="shared" si="350"/>
        <v>46583</v>
      </c>
      <c r="H1019">
        <f t="shared" si="351"/>
        <v>365</v>
      </c>
      <c r="I1019">
        <f t="shared" si="352"/>
        <v>31</v>
      </c>
      <c r="J1019">
        <f t="shared" si="353"/>
        <v>8.4931506849315067E-2</v>
      </c>
      <c r="K1019">
        <f>IFERROR($J1019/IF($A1019&lt;COUNTIFS($K$1:K$1,"&lt;&gt;"),0,SUMIFS($J:$J,$B:$B,$B1019,$A:$A,"&gt;="&amp;COUNTIFS($K$1:K$1,"&lt;&gt;"))),0)</f>
        <v>8.9080459770114959E-2</v>
      </c>
      <c r="L1019">
        <f>IFERROR($J1019/IF($A1019&lt;COUNTIFS($K$1:L$1,"&lt;&gt;"),0,SUMIFS($J:$J,$B:$B,$B1019,$A:$A,"&gt;="&amp;COUNTIFS($K$1:L$1,"&lt;&gt;"))),0)</f>
        <v>9.7791798107255537E-2</v>
      </c>
      <c r="M1019">
        <f>IFERROR($J1019/IF($A1019&lt;COUNTIFS($K$1:M$1,"&lt;&gt;"),0,SUMIFS($J:$J,$B:$B,$B1019,$A:$A,"&gt;="&amp;COUNTIFS($K$1:M$1,"&lt;&gt;"))),0)</f>
        <v>0.10801393728222998</v>
      </c>
      <c r="N1019">
        <f>IFERROR($J1019/IF($A1019&lt;COUNTIFS($K$1:N$1,"&lt;&gt;"),0,SUMIFS($J:$J,$B:$B,$B1019,$A:$A,"&gt;="&amp;COUNTIFS($K$1:N$1,"&lt;&gt;"))),0)</f>
        <v>0</v>
      </c>
      <c r="O1019">
        <f>IFERROR($J1019/IF($A1019&lt;COUNTIFS($K$1:O$1,"&lt;&gt;"),0,SUMIFS($J:$J,$B:$B,$B1019,$A:$A,"&gt;="&amp;COUNTIFS($K$1:O$1,"&lt;&gt;"))),0)</f>
        <v>0</v>
      </c>
      <c r="P1019">
        <f>IFERROR($J1019/IF($A1019&lt;COUNTIFS($K$1:P$1,"&lt;&gt;"),0,SUMIFS($J:$J,$B:$B,$B1019,$A:$A,"&gt;="&amp;COUNTIFS($K$1:P$1,"&lt;&gt;"))),0)</f>
        <v>0</v>
      </c>
      <c r="Q1019">
        <f>IFERROR($J1019/IF($A1019&lt;COUNTIFS($K$1:Q$1,"&lt;&gt;"),0,SUMIFS($J:$J,$B:$B,$B1019,$A:$A,"&gt;="&amp;COUNTIFS($K$1:Q$1,"&lt;&gt;"))),0)</f>
        <v>0</v>
      </c>
      <c r="R1019">
        <f>IFERROR($J1019/IF($A1019&lt;COUNTIFS($K$1:R$1,"&lt;&gt;"),0,SUMIFS($J:$J,$B:$B,$B1019,$A:$A,"&gt;="&amp;COUNTIFS($K$1:R$1,"&lt;&gt;"))),0)</f>
        <v>0</v>
      </c>
      <c r="S1019">
        <f>IFERROR($J1019/IF($A1019&lt;COUNTIFS($K$1:S$1,"&lt;&gt;"),0,SUMIFS($J:$J,$B:$B,$B1019,$A:$A,"&gt;="&amp;COUNTIFS($K$1:S$1,"&lt;&gt;"))),0)</f>
        <v>0</v>
      </c>
      <c r="T1019">
        <f>IFERROR($J1019/IF($A1019&lt;COUNTIFS($K$1:T$1,"&lt;&gt;"),0,SUMIFS($J:$J,$B:$B,$B1019,$A:$A,"&gt;="&amp;COUNTIFS($K$1:T$1,"&lt;&gt;"))),0)</f>
        <v>0</v>
      </c>
      <c r="U1019">
        <f>IFERROR($J1019/IF($A1019&lt;COUNTIFS($K$1:U$1,"&lt;&gt;"),0,SUMIFS($J:$J,$B:$B,$B1019,$A:$A,"&gt;="&amp;COUNTIFS($K$1:U$1,"&lt;&gt;"))),0)</f>
        <v>0</v>
      </c>
      <c r="V1019">
        <f>IFERROR($J1019/IF($A1019&lt;COUNTIFS($K$1:V$1,"&lt;&gt;"),0,SUMIFS($J:$J,$B:$B,$B1019,$A:$A,"&gt;="&amp;COUNTIFS($K$1:V$1,"&lt;&gt;"))),0)</f>
        <v>0</v>
      </c>
      <c r="W1019">
        <f t="shared" si="354"/>
        <v>8.4931506849315067E-2</v>
      </c>
      <c r="X1019">
        <f t="shared" si="334"/>
        <v>8.4931506849315067E-2</v>
      </c>
      <c r="Y1019">
        <f t="shared" si="335"/>
        <v>8.4931506849315067E-2</v>
      </c>
      <c r="Z1019">
        <f t="shared" si="336"/>
        <v>8.4931506849315067E-2</v>
      </c>
      <c r="AA1019">
        <f t="shared" si="337"/>
        <v>0</v>
      </c>
      <c r="AB1019">
        <f t="shared" si="338"/>
        <v>0</v>
      </c>
      <c r="AC1019">
        <f t="shared" si="339"/>
        <v>0</v>
      </c>
      <c r="AD1019">
        <f t="shared" si="340"/>
        <v>0</v>
      </c>
      <c r="AE1019">
        <f t="shared" si="341"/>
        <v>0</v>
      </c>
      <c r="AF1019">
        <f t="shared" si="342"/>
        <v>0</v>
      </c>
      <c r="AG1019">
        <f t="shared" si="343"/>
        <v>0</v>
      </c>
      <c r="AH1019">
        <f t="shared" si="344"/>
        <v>0</v>
      </c>
      <c r="AI1019">
        <f t="shared" si="345"/>
        <v>0</v>
      </c>
      <c r="AJ1019" s="2" t="str">
        <f t="shared" si="355"/>
        <v>346204</v>
      </c>
    </row>
    <row r="1020" spans="1:36" x14ac:dyDescent="0.25">
      <c r="A1020">
        <v>4</v>
      </c>
      <c r="B1020" s="1">
        <v>46204</v>
      </c>
      <c r="C1020" s="1">
        <f t="shared" si="346"/>
        <v>46327</v>
      </c>
      <c r="D1020" s="1">
        <f t="shared" si="347"/>
        <v>46218</v>
      </c>
      <c r="E1020" s="1">
        <f t="shared" si="348"/>
        <v>46327</v>
      </c>
      <c r="F1020" s="1">
        <f t="shared" si="349"/>
        <v>46357</v>
      </c>
      <c r="G1020" s="1">
        <f t="shared" si="350"/>
        <v>46583</v>
      </c>
      <c r="H1020">
        <f t="shared" si="351"/>
        <v>365</v>
      </c>
      <c r="I1020">
        <f t="shared" si="352"/>
        <v>30</v>
      </c>
      <c r="J1020">
        <f t="shared" si="353"/>
        <v>8.2191780821917804E-2</v>
      </c>
      <c r="K1020">
        <f>IFERROR($J1020/IF($A1020&lt;COUNTIFS($K$1:K$1,"&lt;&gt;"),0,SUMIFS($J:$J,$B:$B,$B1020,$A:$A,"&gt;="&amp;COUNTIFS($K$1:K$1,"&lt;&gt;"))),0)</f>
        <v>8.6206896551724144E-2</v>
      </c>
      <c r="L1020">
        <f>IFERROR($J1020/IF($A1020&lt;COUNTIFS($K$1:L$1,"&lt;&gt;"),0,SUMIFS($J:$J,$B:$B,$B1020,$A:$A,"&gt;="&amp;COUNTIFS($K$1:L$1,"&lt;&gt;"))),0)</f>
        <v>9.4637223974763415E-2</v>
      </c>
      <c r="M1020">
        <f>IFERROR($J1020/IF($A1020&lt;COUNTIFS($K$1:M$1,"&lt;&gt;"),0,SUMIFS($J:$J,$B:$B,$B1020,$A:$A,"&gt;="&amp;COUNTIFS($K$1:M$1,"&lt;&gt;"))),0)</f>
        <v>0.10452961672473869</v>
      </c>
      <c r="N1020">
        <f>IFERROR($J1020/IF($A1020&lt;COUNTIFS($K$1:N$1,"&lt;&gt;"),0,SUMIFS($J:$J,$B:$B,$B1020,$A:$A,"&gt;="&amp;COUNTIFS($K$1:N$1,"&lt;&gt;"))),0)</f>
        <v>0.11718750000000001</v>
      </c>
      <c r="O1020">
        <f>IFERROR($J1020/IF($A1020&lt;COUNTIFS($K$1:O$1,"&lt;&gt;"),0,SUMIFS($J:$J,$B:$B,$B1020,$A:$A,"&gt;="&amp;COUNTIFS($K$1:O$1,"&lt;&gt;"))),0)</f>
        <v>0</v>
      </c>
      <c r="P1020">
        <f>IFERROR($J1020/IF($A1020&lt;COUNTIFS($K$1:P$1,"&lt;&gt;"),0,SUMIFS($J:$J,$B:$B,$B1020,$A:$A,"&gt;="&amp;COUNTIFS($K$1:P$1,"&lt;&gt;"))),0)</f>
        <v>0</v>
      </c>
      <c r="Q1020">
        <f>IFERROR($J1020/IF($A1020&lt;COUNTIFS($K$1:Q$1,"&lt;&gt;"),0,SUMIFS($J:$J,$B:$B,$B1020,$A:$A,"&gt;="&amp;COUNTIFS($K$1:Q$1,"&lt;&gt;"))),0)</f>
        <v>0</v>
      </c>
      <c r="R1020">
        <f>IFERROR($J1020/IF($A1020&lt;COUNTIFS($K$1:R$1,"&lt;&gt;"),0,SUMIFS($J:$J,$B:$B,$B1020,$A:$A,"&gt;="&amp;COUNTIFS($K$1:R$1,"&lt;&gt;"))),0)</f>
        <v>0</v>
      </c>
      <c r="S1020">
        <f>IFERROR($J1020/IF($A1020&lt;COUNTIFS($K$1:S$1,"&lt;&gt;"),0,SUMIFS($J:$J,$B:$B,$B1020,$A:$A,"&gt;="&amp;COUNTIFS($K$1:S$1,"&lt;&gt;"))),0)</f>
        <v>0</v>
      </c>
      <c r="T1020">
        <f>IFERROR($J1020/IF($A1020&lt;COUNTIFS($K$1:T$1,"&lt;&gt;"),0,SUMIFS($J:$J,$B:$B,$B1020,$A:$A,"&gt;="&amp;COUNTIFS($K$1:T$1,"&lt;&gt;"))),0)</f>
        <v>0</v>
      </c>
      <c r="U1020">
        <f>IFERROR($J1020/IF($A1020&lt;COUNTIFS($K$1:U$1,"&lt;&gt;"),0,SUMIFS($J:$J,$B:$B,$B1020,$A:$A,"&gt;="&amp;COUNTIFS($K$1:U$1,"&lt;&gt;"))),0)</f>
        <v>0</v>
      </c>
      <c r="V1020">
        <f>IFERROR($J1020/IF($A1020&lt;COUNTIFS($K$1:V$1,"&lt;&gt;"),0,SUMIFS($J:$J,$B:$B,$B1020,$A:$A,"&gt;="&amp;COUNTIFS($K$1:V$1,"&lt;&gt;"))),0)</f>
        <v>0</v>
      </c>
      <c r="W1020">
        <f t="shared" si="354"/>
        <v>8.2191780821917804E-2</v>
      </c>
      <c r="X1020">
        <f t="shared" si="334"/>
        <v>8.2191780821917804E-2</v>
      </c>
      <c r="Y1020">
        <f t="shared" si="335"/>
        <v>8.2191780821917804E-2</v>
      </c>
      <c r="Z1020">
        <f t="shared" si="336"/>
        <v>8.2191780821917804E-2</v>
      </c>
      <c r="AA1020">
        <f t="shared" si="337"/>
        <v>8.2191780821917804E-2</v>
      </c>
      <c r="AB1020">
        <f t="shared" si="338"/>
        <v>0</v>
      </c>
      <c r="AC1020">
        <f t="shared" si="339"/>
        <v>0</v>
      </c>
      <c r="AD1020">
        <f t="shared" si="340"/>
        <v>0</v>
      </c>
      <c r="AE1020">
        <f t="shared" si="341"/>
        <v>0</v>
      </c>
      <c r="AF1020">
        <f t="shared" si="342"/>
        <v>0</v>
      </c>
      <c r="AG1020">
        <f t="shared" si="343"/>
        <v>0</v>
      </c>
      <c r="AH1020">
        <f t="shared" si="344"/>
        <v>0</v>
      </c>
      <c r="AI1020">
        <f t="shared" si="345"/>
        <v>0</v>
      </c>
      <c r="AJ1020" s="2" t="str">
        <f t="shared" si="355"/>
        <v>446204</v>
      </c>
    </row>
    <row r="1021" spans="1:36" x14ac:dyDescent="0.25">
      <c r="A1021">
        <v>5</v>
      </c>
      <c r="B1021" s="1">
        <v>46204</v>
      </c>
      <c r="C1021" s="1">
        <f t="shared" si="346"/>
        <v>46357</v>
      </c>
      <c r="D1021" s="1">
        <f t="shared" si="347"/>
        <v>46218</v>
      </c>
      <c r="E1021" s="1">
        <f t="shared" si="348"/>
        <v>46357</v>
      </c>
      <c r="F1021" s="1">
        <f t="shared" si="349"/>
        <v>46388</v>
      </c>
      <c r="G1021" s="1">
        <f t="shared" si="350"/>
        <v>46583</v>
      </c>
      <c r="H1021">
        <f t="shared" si="351"/>
        <v>365</v>
      </c>
      <c r="I1021">
        <f t="shared" si="352"/>
        <v>31</v>
      </c>
      <c r="J1021">
        <f t="shared" si="353"/>
        <v>8.4931506849315067E-2</v>
      </c>
      <c r="K1021">
        <f>IFERROR($J1021/IF($A1021&lt;COUNTIFS($K$1:K$1,"&lt;&gt;"),0,SUMIFS($J:$J,$B:$B,$B1021,$A:$A,"&gt;="&amp;COUNTIFS($K$1:K$1,"&lt;&gt;"))),0)</f>
        <v>8.9080459770114959E-2</v>
      </c>
      <c r="L1021">
        <f>IFERROR($J1021/IF($A1021&lt;COUNTIFS($K$1:L$1,"&lt;&gt;"),0,SUMIFS($J:$J,$B:$B,$B1021,$A:$A,"&gt;="&amp;COUNTIFS($K$1:L$1,"&lt;&gt;"))),0)</f>
        <v>9.7791798107255537E-2</v>
      </c>
      <c r="M1021">
        <f>IFERROR($J1021/IF($A1021&lt;COUNTIFS($K$1:M$1,"&lt;&gt;"),0,SUMIFS($J:$J,$B:$B,$B1021,$A:$A,"&gt;="&amp;COUNTIFS($K$1:M$1,"&lt;&gt;"))),0)</f>
        <v>0.10801393728222998</v>
      </c>
      <c r="N1021">
        <f>IFERROR($J1021/IF($A1021&lt;COUNTIFS($K$1:N$1,"&lt;&gt;"),0,SUMIFS($J:$J,$B:$B,$B1021,$A:$A,"&gt;="&amp;COUNTIFS($K$1:N$1,"&lt;&gt;"))),0)</f>
        <v>0.12109375000000001</v>
      </c>
      <c r="O1021">
        <f>IFERROR($J1021/IF($A1021&lt;COUNTIFS($K$1:O$1,"&lt;&gt;"),0,SUMIFS($J:$J,$B:$B,$B1021,$A:$A,"&gt;="&amp;COUNTIFS($K$1:O$1,"&lt;&gt;"))),0)</f>
        <v>0.13716814159292037</v>
      </c>
      <c r="P1021">
        <f>IFERROR($J1021/IF($A1021&lt;COUNTIFS($K$1:P$1,"&lt;&gt;"),0,SUMIFS($J:$J,$B:$B,$B1021,$A:$A,"&gt;="&amp;COUNTIFS($K$1:P$1,"&lt;&gt;"))),0)</f>
        <v>0</v>
      </c>
      <c r="Q1021">
        <f>IFERROR($J1021/IF($A1021&lt;COUNTIFS($K$1:Q$1,"&lt;&gt;"),0,SUMIFS($J:$J,$B:$B,$B1021,$A:$A,"&gt;="&amp;COUNTIFS($K$1:Q$1,"&lt;&gt;"))),0)</f>
        <v>0</v>
      </c>
      <c r="R1021">
        <f>IFERROR($J1021/IF($A1021&lt;COUNTIFS($K$1:R$1,"&lt;&gt;"),0,SUMIFS($J:$J,$B:$B,$B1021,$A:$A,"&gt;="&amp;COUNTIFS($K$1:R$1,"&lt;&gt;"))),0)</f>
        <v>0</v>
      </c>
      <c r="S1021">
        <f>IFERROR($J1021/IF($A1021&lt;COUNTIFS($K$1:S$1,"&lt;&gt;"),0,SUMIFS($J:$J,$B:$B,$B1021,$A:$A,"&gt;="&amp;COUNTIFS($K$1:S$1,"&lt;&gt;"))),0)</f>
        <v>0</v>
      </c>
      <c r="T1021">
        <f>IFERROR($J1021/IF($A1021&lt;COUNTIFS($K$1:T$1,"&lt;&gt;"),0,SUMIFS($J:$J,$B:$B,$B1021,$A:$A,"&gt;="&amp;COUNTIFS($K$1:T$1,"&lt;&gt;"))),0)</f>
        <v>0</v>
      </c>
      <c r="U1021">
        <f>IFERROR($J1021/IF($A1021&lt;COUNTIFS($K$1:U$1,"&lt;&gt;"),0,SUMIFS($J:$J,$B:$B,$B1021,$A:$A,"&gt;="&amp;COUNTIFS($K$1:U$1,"&lt;&gt;"))),0)</f>
        <v>0</v>
      </c>
      <c r="V1021">
        <f>IFERROR($J1021/IF($A1021&lt;COUNTIFS($K$1:V$1,"&lt;&gt;"),0,SUMIFS($J:$J,$B:$B,$B1021,$A:$A,"&gt;="&amp;COUNTIFS($K$1:V$1,"&lt;&gt;"))),0)</f>
        <v>0</v>
      </c>
      <c r="W1021">
        <f t="shared" si="354"/>
        <v>8.4931506849315067E-2</v>
      </c>
      <c r="X1021">
        <f t="shared" si="334"/>
        <v>8.4931506849315067E-2</v>
      </c>
      <c r="Y1021">
        <f t="shared" si="335"/>
        <v>8.4931506849315067E-2</v>
      </c>
      <c r="Z1021">
        <f t="shared" si="336"/>
        <v>8.4931506849315067E-2</v>
      </c>
      <c r="AA1021">
        <f t="shared" si="337"/>
        <v>8.4931506849315067E-2</v>
      </c>
      <c r="AB1021">
        <f t="shared" si="338"/>
        <v>8.4931506849315067E-2</v>
      </c>
      <c r="AC1021">
        <f t="shared" si="339"/>
        <v>0</v>
      </c>
      <c r="AD1021">
        <f t="shared" si="340"/>
        <v>0</v>
      </c>
      <c r="AE1021">
        <f t="shared" si="341"/>
        <v>0</v>
      </c>
      <c r="AF1021">
        <f t="shared" si="342"/>
        <v>0</v>
      </c>
      <c r="AG1021">
        <f t="shared" si="343"/>
        <v>0</v>
      </c>
      <c r="AH1021">
        <f t="shared" si="344"/>
        <v>0</v>
      </c>
      <c r="AI1021">
        <f t="shared" si="345"/>
        <v>0</v>
      </c>
      <c r="AJ1021" s="2" t="str">
        <f t="shared" si="355"/>
        <v>546204</v>
      </c>
    </row>
    <row r="1022" spans="1:36" x14ac:dyDescent="0.25">
      <c r="A1022">
        <v>6</v>
      </c>
      <c r="B1022" s="1">
        <v>46204</v>
      </c>
      <c r="C1022" s="1">
        <f t="shared" si="346"/>
        <v>46388</v>
      </c>
      <c r="D1022" s="1">
        <f t="shared" si="347"/>
        <v>46218</v>
      </c>
      <c r="E1022" s="1">
        <f t="shared" si="348"/>
        <v>46388</v>
      </c>
      <c r="F1022" s="1">
        <f t="shared" si="349"/>
        <v>46419</v>
      </c>
      <c r="G1022" s="1">
        <f t="shared" si="350"/>
        <v>46583</v>
      </c>
      <c r="H1022">
        <f t="shared" si="351"/>
        <v>365</v>
      </c>
      <c r="I1022">
        <f t="shared" si="352"/>
        <v>31</v>
      </c>
      <c r="J1022">
        <f t="shared" si="353"/>
        <v>8.4931506849315067E-2</v>
      </c>
      <c r="K1022">
        <f>IFERROR($J1022/IF($A1022&lt;COUNTIFS($K$1:K$1,"&lt;&gt;"),0,SUMIFS($J:$J,$B:$B,$B1022,$A:$A,"&gt;="&amp;COUNTIFS($K$1:K$1,"&lt;&gt;"))),0)</f>
        <v>8.9080459770114959E-2</v>
      </c>
      <c r="L1022">
        <f>IFERROR($J1022/IF($A1022&lt;COUNTIFS($K$1:L$1,"&lt;&gt;"),0,SUMIFS($J:$J,$B:$B,$B1022,$A:$A,"&gt;="&amp;COUNTIFS($K$1:L$1,"&lt;&gt;"))),0)</f>
        <v>9.7791798107255537E-2</v>
      </c>
      <c r="M1022">
        <f>IFERROR($J1022/IF($A1022&lt;COUNTIFS($K$1:M$1,"&lt;&gt;"),0,SUMIFS($J:$J,$B:$B,$B1022,$A:$A,"&gt;="&amp;COUNTIFS($K$1:M$1,"&lt;&gt;"))),0)</f>
        <v>0.10801393728222998</v>
      </c>
      <c r="N1022">
        <f>IFERROR($J1022/IF($A1022&lt;COUNTIFS($K$1:N$1,"&lt;&gt;"),0,SUMIFS($J:$J,$B:$B,$B1022,$A:$A,"&gt;="&amp;COUNTIFS($K$1:N$1,"&lt;&gt;"))),0)</f>
        <v>0.12109375000000001</v>
      </c>
      <c r="O1022">
        <f>IFERROR($J1022/IF($A1022&lt;COUNTIFS($K$1:O$1,"&lt;&gt;"),0,SUMIFS($J:$J,$B:$B,$B1022,$A:$A,"&gt;="&amp;COUNTIFS($K$1:O$1,"&lt;&gt;"))),0)</f>
        <v>0.13716814159292037</v>
      </c>
      <c r="P1022">
        <f>IFERROR($J1022/IF($A1022&lt;COUNTIFS($K$1:P$1,"&lt;&gt;"),0,SUMIFS($J:$J,$B:$B,$B1022,$A:$A,"&gt;="&amp;COUNTIFS($K$1:P$1,"&lt;&gt;"))),0)</f>
        <v>0.15897435897435899</v>
      </c>
      <c r="Q1022">
        <f>IFERROR($J1022/IF($A1022&lt;COUNTIFS($K$1:Q$1,"&lt;&gt;"),0,SUMIFS($J:$J,$B:$B,$B1022,$A:$A,"&gt;="&amp;COUNTIFS($K$1:Q$1,"&lt;&gt;"))),0)</f>
        <v>0</v>
      </c>
      <c r="R1022">
        <f>IFERROR($J1022/IF($A1022&lt;COUNTIFS($K$1:R$1,"&lt;&gt;"),0,SUMIFS($J:$J,$B:$B,$B1022,$A:$A,"&gt;="&amp;COUNTIFS($K$1:R$1,"&lt;&gt;"))),0)</f>
        <v>0</v>
      </c>
      <c r="S1022">
        <f>IFERROR($J1022/IF($A1022&lt;COUNTIFS($K$1:S$1,"&lt;&gt;"),0,SUMIFS($J:$J,$B:$B,$B1022,$A:$A,"&gt;="&amp;COUNTIFS($K$1:S$1,"&lt;&gt;"))),0)</f>
        <v>0</v>
      </c>
      <c r="T1022">
        <f>IFERROR($J1022/IF($A1022&lt;COUNTIFS($K$1:T$1,"&lt;&gt;"),0,SUMIFS($J:$J,$B:$B,$B1022,$A:$A,"&gt;="&amp;COUNTIFS($K$1:T$1,"&lt;&gt;"))),0)</f>
        <v>0</v>
      </c>
      <c r="U1022">
        <f>IFERROR($J1022/IF($A1022&lt;COUNTIFS($K$1:U$1,"&lt;&gt;"),0,SUMIFS($J:$J,$B:$B,$B1022,$A:$A,"&gt;="&amp;COUNTIFS($K$1:U$1,"&lt;&gt;"))),0)</f>
        <v>0</v>
      </c>
      <c r="V1022">
        <f>IFERROR($J1022/IF($A1022&lt;COUNTIFS($K$1:V$1,"&lt;&gt;"),0,SUMIFS($J:$J,$B:$B,$B1022,$A:$A,"&gt;="&amp;COUNTIFS($K$1:V$1,"&lt;&gt;"))),0)</f>
        <v>0</v>
      </c>
      <c r="W1022">
        <f t="shared" si="354"/>
        <v>8.4931506849315067E-2</v>
      </c>
      <c r="X1022">
        <f t="shared" si="334"/>
        <v>8.4931506849315067E-2</v>
      </c>
      <c r="Y1022">
        <f t="shared" si="335"/>
        <v>8.4931506849315067E-2</v>
      </c>
      <c r="Z1022">
        <f t="shared" si="336"/>
        <v>8.4931506849315067E-2</v>
      </c>
      <c r="AA1022">
        <f t="shared" si="337"/>
        <v>8.4931506849315067E-2</v>
      </c>
      <c r="AB1022">
        <f t="shared" si="338"/>
        <v>8.4931506849315067E-2</v>
      </c>
      <c r="AC1022">
        <f t="shared" si="339"/>
        <v>8.4931506849315067E-2</v>
      </c>
      <c r="AD1022">
        <f t="shared" si="340"/>
        <v>0</v>
      </c>
      <c r="AE1022">
        <f t="shared" si="341"/>
        <v>0</v>
      </c>
      <c r="AF1022">
        <f t="shared" si="342"/>
        <v>0</v>
      </c>
      <c r="AG1022">
        <f t="shared" si="343"/>
        <v>0</v>
      </c>
      <c r="AH1022">
        <f t="shared" si="344"/>
        <v>0</v>
      </c>
      <c r="AI1022">
        <f t="shared" si="345"/>
        <v>0</v>
      </c>
      <c r="AJ1022" s="2" t="str">
        <f t="shared" si="355"/>
        <v>646204</v>
      </c>
    </row>
    <row r="1023" spans="1:36" x14ac:dyDescent="0.25">
      <c r="A1023">
        <v>7</v>
      </c>
      <c r="B1023" s="1">
        <v>46204</v>
      </c>
      <c r="C1023" s="1">
        <f t="shared" si="346"/>
        <v>46419</v>
      </c>
      <c r="D1023" s="1">
        <f t="shared" si="347"/>
        <v>46218</v>
      </c>
      <c r="E1023" s="1">
        <f t="shared" si="348"/>
        <v>46419</v>
      </c>
      <c r="F1023" s="1">
        <f t="shared" si="349"/>
        <v>46447</v>
      </c>
      <c r="G1023" s="1">
        <f t="shared" si="350"/>
        <v>46583</v>
      </c>
      <c r="H1023">
        <f t="shared" si="351"/>
        <v>365</v>
      </c>
      <c r="I1023">
        <f t="shared" si="352"/>
        <v>28</v>
      </c>
      <c r="J1023">
        <f t="shared" si="353"/>
        <v>7.6712328767123292E-2</v>
      </c>
      <c r="K1023">
        <f>IFERROR($J1023/IF($A1023&lt;COUNTIFS($K$1:K$1,"&lt;&gt;"),0,SUMIFS($J:$J,$B:$B,$B1023,$A:$A,"&gt;="&amp;COUNTIFS($K$1:K$1,"&lt;&gt;"))),0)</f>
        <v>8.0459770114942541E-2</v>
      </c>
      <c r="L1023">
        <f>IFERROR($J1023/IF($A1023&lt;COUNTIFS($K$1:L$1,"&lt;&gt;"),0,SUMIFS($J:$J,$B:$B,$B1023,$A:$A,"&gt;="&amp;COUNTIFS($K$1:L$1,"&lt;&gt;"))),0)</f>
        <v>8.83280757097792E-2</v>
      </c>
      <c r="M1023">
        <f>IFERROR($J1023/IF($A1023&lt;COUNTIFS($K$1:M$1,"&lt;&gt;"),0,SUMIFS($J:$J,$B:$B,$B1023,$A:$A,"&gt;="&amp;COUNTIFS($K$1:M$1,"&lt;&gt;"))),0)</f>
        <v>9.7560975609756115E-2</v>
      </c>
      <c r="N1023">
        <f>IFERROR($J1023/IF($A1023&lt;COUNTIFS($K$1:N$1,"&lt;&gt;"),0,SUMIFS($J:$J,$B:$B,$B1023,$A:$A,"&gt;="&amp;COUNTIFS($K$1:N$1,"&lt;&gt;"))),0)</f>
        <v>0.10937500000000003</v>
      </c>
      <c r="O1023">
        <f>IFERROR($J1023/IF($A1023&lt;COUNTIFS($K$1:O$1,"&lt;&gt;"),0,SUMIFS($J:$J,$B:$B,$B1023,$A:$A,"&gt;="&amp;COUNTIFS($K$1:O$1,"&lt;&gt;"))),0)</f>
        <v>0.12389380530973454</v>
      </c>
      <c r="P1023">
        <f>IFERROR($J1023/IF($A1023&lt;COUNTIFS($K$1:P$1,"&lt;&gt;"),0,SUMIFS($J:$J,$B:$B,$B1023,$A:$A,"&gt;="&amp;COUNTIFS($K$1:P$1,"&lt;&gt;"))),0)</f>
        <v>0.14358974358974361</v>
      </c>
      <c r="Q1023">
        <f>IFERROR($J1023/IF($A1023&lt;COUNTIFS($K$1:Q$1,"&lt;&gt;"),0,SUMIFS($J:$J,$B:$B,$B1023,$A:$A,"&gt;="&amp;COUNTIFS($K$1:Q$1,"&lt;&gt;"))),0)</f>
        <v>0.17073170731707318</v>
      </c>
      <c r="R1023">
        <f>IFERROR($J1023/IF($A1023&lt;COUNTIFS($K$1:R$1,"&lt;&gt;"),0,SUMIFS($J:$J,$B:$B,$B1023,$A:$A,"&gt;="&amp;COUNTIFS($K$1:R$1,"&lt;&gt;"))),0)</f>
        <v>0</v>
      </c>
      <c r="S1023">
        <f>IFERROR($J1023/IF($A1023&lt;COUNTIFS($K$1:S$1,"&lt;&gt;"),0,SUMIFS($J:$J,$B:$B,$B1023,$A:$A,"&gt;="&amp;COUNTIFS($K$1:S$1,"&lt;&gt;"))),0)</f>
        <v>0</v>
      </c>
      <c r="T1023">
        <f>IFERROR($J1023/IF($A1023&lt;COUNTIFS($K$1:T$1,"&lt;&gt;"),0,SUMIFS($J:$J,$B:$B,$B1023,$A:$A,"&gt;="&amp;COUNTIFS($K$1:T$1,"&lt;&gt;"))),0)</f>
        <v>0</v>
      </c>
      <c r="U1023">
        <f>IFERROR($J1023/IF($A1023&lt;COUNTIFS($K$1:U$1,"&lt;&gt;"),0,SUMIFS($J:$J,$B:$B,$B1023,$A:$A,"&gt;="&amp;COUNTIFS($K$1:U$1,"&lt;&gt;"))),0)</f>
        <v>0</v>
      </c>
      <c r="V1023">
        <f>IFERROR($J1023/IF($A1023&lt;COUNTIFS($K$1:V$1,"&lt;&gt;"),0,SUMIFS($J:$J,$B:$B,$B1023,$A:$A,"&gt;="&amp;COUNTIFS($K$1:V$1,"&lt;&gt;"))),0)</f>
        <v>0</v>
      </c>
      <c r="W1023">
        <f t="shared" si="354"/>
        <v>7.6712328767123292E-2</v>
      </c>
      <c r="X1023">
        <f t="shared" si="334"/>
        <v>7.6712328767123292E-2</v>
      </c>
      <c r="Y1023">
        <f t="shared" si="335"/>
        <v>7.6712328767123292E-2</v>
      </c>
      <c r="Z1023">
        <f t="shared" si="336"/>
        <v>7.6712328767123292E-2</v>
      </c>
      <c r="AA1023">
        <f t="shared" si="337"/>
        <v>7.6712328767123292E-2</v>
      </c>
      <c r="AB1023">
        <f t="shared" si="338"/>
        <v>7.6712328767123292E-2</v>
      </c>
      <c r="AC1023">
        <f t="shared" si="339"/>
        <v>7.6712328767123292E-2</v>
      </c>
      <c r="AD1023">
        <f t="shared" si="340"/>
        <v>7.6712328767123292E-2</v>
      </c>
      <c r="AE1023">
        <f t="shared" si="341"/>
        <v>0</v>
      </c>
      <c r="AF1023">
        <f t="shared" si="342"/>
        <v>0</v>
      </c>
      <c r="AG1023">
        <f t="shared" si="343"/>
        <v>0</v>
      </c>
      <c r="AH1023">
        <f t="shared" si="344"/>
        <v>0</v>
      </c>
      <c r="AI1023">
        <f t="shared" si="345"/>
        <v>0</v>
      </c>
      <c r="AJ1023" s="2" t="str">
        <f t="shared" si="355"/>
        <v>746204</v>
      </c>
    </row>
    <row r="1024" spans="1:36" x14ac:dyDescent="0.25">
      <c r="A1024">
        <v>8</v>
      </c>
      <c r="B1024" s="1">
        <v>46204</v>
      </c>
      <c r="C1024" s="1">
        <f t="shared" si="346"/>
        <v>46447</v>
      </c>
      <c r="D1024" s="1">
        <f t="shared" si="347"/>
        <v>46218</v>
      </c>
      <c r="E1024" s="1">
        <f t="shared" si="348"/>
        <v>46447</v>
      </c>
      <c r="F1024" s="1">
        <f t="shared" si="349"/>
        <v>46478</v>
      </c>
      <c r="G1024" s="1">
        <f t="shared" si="350"/>
        <v>46583</v>
      </c>
      <c r="H1024">
        <f t="shared" si="351"/>
        <v>365</v>
      </c>
      <c r="I1024">
        <f t="shared" si="352"/>
        <v>31</v>
      </c>
      <c r="J1024">
        <f t="shared" si="353"/>
        <v>8.4931506849315067E-2</v>
      </c>
      <c r="K1024">
        <f>IFERROR($J1024/IF($A1024&lt;COUNTIFS($K$1:K$1,"&lt;&gt;"),0,SUMIFS($J:$J,$B:$B,$B1024,$A:$A,"&gt;="&amp;COUNTIFS($K$1:K$1,"&lt;&gt;"))),0)</f>
        <v>8.9080459770114959E-2</v>
      </c>
      <c r="L1024">
        <f>IFERROR($J1024/IF($A1024&lt;COUNTIFS($K$1:L$1,"&lt;&gt;"),0,SUMIFS($J:$J,$B:$B,$B1024,$A:$A,"&gt;="&amp;COUNTIFS($K$1:L$1,"&lt;&gt;"))),0)</f>
        <v>9.7791798107255537E-2</v>
      </c>
      <c r="M1024">
        <f>IFERROR($J1024/IF($A1024&lt;COUNTIFS($K$1:M$1,"&lt;&gt;"),0,SUMIFS($J:$J,$B:$B,$B1024,$A:$A,"&gt;="&amp;COUNTIFS($K$1:M$1,"&lt;&gt;"))),0)</f>
        <v>0.10801393728222998</v>
      </c>
      <c r="N1024">
        <f>IFERROR($J1024/IF($A1024&lt;COUNTIFS($K$1:N$1,"&lt;&gt;"),0,SUMIFS($J:$J,$B:$B,$B1024,$A:$A,"&gt;="&amp;COUNTIFS($K$1:N$1,"&lt;&gt;"))),0)</f>
        <v>0.12109375000000001</v>
      </c>
      <c r="O1024">
        <f>IFERROR($J1024/IF($A1024&lt;COUNTIFS($K$1:O$1,"&lt;&gt;"),0,SUMIFS($J:$J,$B:$B,$B1024,$A:$A,"&gt;="&amp;COUNTIFS($K$1:O$1,"&lt;&gt;"))),0)</f>
        <v>0.13716814159292037</v>
      </c>
      <c r="P1024">
        <f>IFERROR($J1024/IF($A1024&lt;COUNTIFS($K$1:P$1,"&lt;&gt;"),0,SUMIFS($J:$J,$B:$B,$B1024,$A:$A,"&gt;="&amp;COUNTIFS($K$1:P$1,"&lt;&gt;"))),0)</f>
        <v>0.15897435897435899</v>
      </c>
      <c r="Q1024">
        <f>IFERROR($J1024/IF($A1024&lt;COUNTIFS($K$1:Q$1,"&lt;&gt;"),0,SUMIFS($J:$J,$B:$B,$B1024,$A:$A,"&gt;="&amp;COUNTIFS($K$1:Q$1,"&lt;&gt;"))),0)</f>
        <v>0.18902439024390244</v>
      </c>
      <c r="R1024">
        <f>IFERROR($J1024/IF($A1024&lt;COUNTIFS($K$1:R$1,"&lt;&gt;"),0,SUMIFS($J:$J,$B:$B,$B1024,$A:$A,"&gt;="&amp;COUNTIFS($K$1:R$1,"&lt;&gt;"))),0)</f>
        <v>0.22794117647058826</v>
      </c>
      <c r="S1024">
        <f>IFERROR($J1024/IF($A1024&lt;COUNTIFS($K$1:S$1,"&lt;&gt;"),0,SUMIFS($J:$J,$B:$B,$B1024,$A:$A,"&gt;="&amp;COUNTIFS($K$1:S$1,"&lt;&gt;"))),0)</f>
        <v>0</v>
      </c>
      <c r="T1024">
        <f>IFERROR($J1024/IF($A1024&lt;COUNTIFS($K$1:T$1,"&lt;&gt;"),0,SUMIFS($J:$J,$B:$B,$B1024,$A:$A,"&gt;="&amp;COUNTIFS($K$1:T$1,"&lt;&gt;"))),0)</f>
        <v>0</v>
      </c>
      <c r="U1024">
        <f>IFERROR($J1024/IF($A1024&lt;COUNTIFS($K$1:U$1,"&lt;&gt;"),0,SUMIFS($J:$J,$B:$B,$B1024,$A:$A,"&gt;="&amp;COUNTIFS($K$1:U$1,"&lt;&gt;"))),0)</f>
        <v>0</v>
      </c>
      <c r="V1024">
        <f>IFERROR($J1024/IF($A1024&lt;COUNTIFS($K$1:V$1,"&lt;&gt;"),0,SUMIFS($J:$J,$B:$B,$B1024,$A:$A,"&gt;="&amp;COUNTIFS($K$1:V$1,"&lt;&gt;"))),0)</f>
        <v>0</v>
      </c>
      <c r="W1024">
        <f t="shared" si="354"/>
        <v>8.4931506849315067E-2</v>
      </c>
      <c r="X1024">
        <f t="shared" si="334"/>
        <v>8.4931506849315067E-2</v>
      </c>
      <c r="Y1024">
        <f t="shared" si="335"/>
        <v>8.4931506849315067E-2</v>
      </c>
      <c r="Z1024">
        <f t="shared" si="336"/>
        <v>8.4931506849315067E-2</v>
      </c>
      <c r="AA1024">
        <f t="shared" si="337"/>
        <v>8.4931506849315067E-2</v>
      </c>
      <c r="AB1024">
        <f t="shared" si="338"/>
        <v>8.4931506849315067E-2</v>
      </c>
      <c r="AC1024">
        <f t="shared" si="339"/>
        <v>8.4931506849315067E-2</v>
      </c>
      <c r="AD1024">
        <f t="shared" si="340"/>
        <v>8.4931506849315067E-2</v>
      </c>
      <c r="AE1024">
        <f t="shared" si="341"/>
        <v>8.4931506849315067E-2</v>
      </c>
      <c r="AF1024">
        <f t="shared" si="342"/>
        <v>0</v>
      </c>
      <c r="AG1024">
        <f t="shared" si="343"/>
        <v>0</v>
      </c>
      <c r="AH1024">
        <f t="shared" si="344"/>
        <v>0</v>
      </c>
      <c r="AI1024">
        <f t="shared" si="345"/>
        <v>0</v>
      </c>
      <c r="AJ1024" s="2" t="str">
        <f t="shared" si="355"/>
        <v>846204</v>
      </c>
    </row>
    <row r="1025" spans="1:36" x14ac:dyDescent="0.25">
      <c r="A1025">
        <v>9</v>
      </c>
      <c r="B1025" s="1">
        <v>46204</v>
      </c>
      <c r="C1025" s="1">
        <f t="shared" si="346"/>
        <v>46478</v>
      </c>
      <c r="D1025" s="1">
        <f t="shared" si="347"/>
        <v>46218</v>
      </c>
      <c r="E1025" s="1">
        <f t="shared" si="348"/>
        <v>46478</v>
      </c>
      <c r="F1025" s="1">
        <f t="shared" si="349"/>
        <v>46508</v>
      </c>
      <c r="G1025" s="1">
        <f t="shared" si="350"/>
        <v>46583</v>
      </c>
      <c r="H1025">
        <f t="shared" si="351"/>
        <v>365</v>
      </c>
      <c r="I1025">
        <f t="shared" si="352"/>
        <v>30</v>
      </c>
      <c r="J1025">
        <f t="shared" si="353"/>
        <v>8.2191780821917804E-2</v>
      </c>
      <c r="K1025">
        <f>IFERROR($J1025/IF($A1025&lt;COUNTIFS($K$1:K$1,"&lt;&gt;"),0,SUMIFS($J:$J,$B:$B,$B1025,$A:$A,"&gt;="&amp;COUNTIFS($K$1:K$1,"&lt;&gt;"))),0)</f>
        <v>8.6206896551724144E-2</v>
      </c>
      <c r="L1025">
        <f>IFERROR($J1025/IF($A1025&lt;COUNTIFS($K$1:L$1,"&lt;&gt;"),0,SUMIFS($J:$J,$B:$B,$B1025,$A:$A,"&gt;="&amp;COUNTIFS($K$1:L$1,"&lt;&gt;"))),0)</f>
        <v>9.4637223974763415E-2</v>
      </c>
      <c r="M1025">
        <f>IFERROR($J1025/IF($A1025&lt;COUNTIFS($K$1:M$1,"&lt;&gt;"),0,SUMIFS($J:$J,$B:$B,$B1025,$A:$A,"&gt;="&amp;COUNTIFS($K$1:M$1,"&lt;&gt;"))),0)</f>
        <v>0.10452961672473869</v>
      </c>
      <c r="N1025">
        <f>IFERROR($J1025/IF($A1025&lt;COUNTIFS($K$1:N$1,"&lt;&gt;"),0,SUMIFS($J:$J,$B:$B,$B1025,$A:$A,"&gt;="&amp;COUNTIFS($K$1:N$1,"&lt;&gt;"))),0)</f>
        <v>0.11718750000000001</v>
      </c>
      <c r="O1025">
        <f>IFERROR($J1025/IF($A1025&lt;COUNTIFS($K$1:O$1,"&lt;&gt;"),0,SUMIFS($J:$J,$B:$B,$B1025,$A:$A,"&gt;="&amp;COUNTIFS($K$1:O$1,"&lt;&gt;"))),0)</f>
        <v>0.13274336283185842</v>
      </c>
      <c r="P1025">
        <f>IFERROR($J1025/IF($A1025&lt;COUNTIFS($K$1:P$1,"&lt;&gt;"),0,SUMIFS($J:$J,$B:$B,$B1025,$A:$A,"&gt;="&amp;COUNTIFS($K$1:P$1,"&lt;&gt;"))),0)</f>
        <v>0.15384615384615385</v>
      </c>
      <c r="Q1025">
        <f>IFERROR($J1025/IF($A1025&lt;COUNTIFS($K$1:Q$1,"&lt;&gt;"),0,SUMIFS($J:$J,$B:$B,$B1025,$A:$A,"&gt;="&amp;COUNTIFS($K$1:Q$1,"&lt;&gt;"))),0)</f>
        <v>0.18292682926829268</v>
      </c>
      <c r="R1025">
        <f>IFERROR($J1025/IF($A1025&lt;COUNTIFS($K$1:R$1,"&lt;&gt;"),0,SUMIFS($J:$J,$B:$B,$B1025,$A:$A,"&gt;="&amp;COUNTIFS($K$1:R$1,"&lt;&gt;"))),0)</f>
        <v>0.22058823529411764</v>
      </c>
      <c r="S1025">
        <f>IFERROR($J1025/IF($A1025&lt;COUNTIFS($K$1:S$1,"&lt;&gt;"),0,SUMIFS($J:$J,$B:$B,$B1025,$A:$A,"&gt;="&amp;COUNTIFS($K$1:S$1,"&lt;&gt;"))),0)</f>
        <v>0.2857142857142857</v>
      </c>
      <c r="T1025">
        <f>IFERROR($J1025/IF($A1025&lt;COUNTIFS($K$1:T$1,"&lt;&gt;"),0,SUMIFS($J:$J,$B:$B,$B1025,$A:$A,"&gt;="&amp;COUNTIFS($K$1:T$1,"&lt;&gt;"))),0)</f>
        <v>0</v>
      </c>
      <c r="U1025">
        <f>IFERROR($J1025/IF($A1025&lt;COUNTIFS($K$1:U$1,"&lt;&gt;"),0,SUMIFS($J:$J,$B:$B,$B1025,$A:$A,"&gt;="&amp;COUNTIFS($K$1:U$1,"&lt;&gt;"))),0)</f>
        <v>0</v>
      </c>
      <c r="V1025">
        <f>IFERROR($J1025/IF($A1025&lt;COUNTIFS($K$1:V$1,"&lt;&gt;"),0,SUMIFS($J:$J,$B:$B,$B1025,$A:$A,"&gt;="&amp;COUNTIFS($K$1:V$1,"&lt;&gt;"))),0)</f>
        <v>0</v>
      </c>
      <c r="W1025">
        <f t="shared" si="354"/>
        <v>8.2191780821917804E-2</v>
      </c>
      <c r="X1025">
        <f t="shared" si="334"/>
        <v>8.2191780821917804E-2</v>
      </c>
      <c r="Y1025">
        <f t="shared" si="335"/>
        <v>8.2191780821917804E-2</v>
      </c>
      <c r="Z1025">
        <f t="shared" si="336"/>
        <v>8.2191780821917804E-2</v>
      </c>
      <c r="AA1025">
        <f t="shared" si="337"/>
        <v>8.2191780821917804E-2</v>
      </c>
      <c r="AB1025">
        <f t="shared" si="338"/>
        <v>8.2191780821917804E-2</v>
      </c>
      <c r="AC1025">
        <f t="shared" si="339"/>
        <v>8.2191780821917804E-2</v>
      </c>
      <c r="AD1025">
        <f t="shared" si="340"/>
        <v>8.2191780821917804E-2</v>
      </c>
      <c r="AE1025">
        <f t="shared" si="341"/>
        <v>8.2191780821917804E-2</v>
      </c>
      <c r="AF1025">
        <f t="shared" si="342"/>
        <v>8.2191780821917804E-2</v>
      </c>
      <c r="AG1025">
        <f t="shared" si="343"/>
        <v>0</v>
      </c>
      <c r="AH1025">
        <f t="shared" si="344"/>
        <v>0</v>
      </c>
      <c r="AI1025">
        <f t="shared" si="345"/>
        <v>0</v>
      </c>
      <c r="AJ1025" s="2" t="str">
        <f t="shared" si="355"/>
        <v>946204</v>
      </c>
    </row>
    <row r="1026" spans="1:36" x14ac:dyDescent="0.25">
      <c r="A1026">
        <v>10</v>
      </c>
      <c r="B1026" s="1">
        <v>46204</v>
      </c>
      <c r="C1026" s="1">
        <f t="shared" si="346"/>
        <v>46508</v>
      </c>
      <c r="D1026" s="1">
        <f t="shared" si="347"/>
        <v>46218</v>
      </c>
      <c r="E1026" s="1">
        <f t="shared" si="348"/>
        <v>46508</v>
      </c>
      <c r="F1026" s="1">
        <f t="shared" si="349"/>
        <v>46539</v>
      </c>
      <c r="G1026" s="1">
        <f t="shared" si="350"/>
        <v>46583</v>
      </c>
      <c r="H1026">
        <f t="shared" si="351"/>
        <v>365</v>
      </c>
      <c r="I1026">
        <f t="shared" si="352"/>
        <v>31</v>
      </c>
      <c r="J1026">
        <f t="shared" si="353"/>
        <v>8.4931506849315067E-2</v>
      </c>
      <c r="K1026">
        <f>IFERROR($J1026/IF($A1026&lt;COUNTIFS($K$1:K$1,"&lt;&gt;"),0,SUMIFS($J:$J,$B:$B,$B1026,$A:$A,"&gt;="&amp;COUNTIFS($K$1:K$1,"&lt;&gt;"))),0)</f>
        <v>8.9080459770114959E-2</v>
      </c>
      <c r="L1026">
        <f>IFERROR($J1026/IF($A1026&lt;COUNTIFS($K$1:L$1,"&lt;&gt;"),0,SUMIFS($J:$J,$B:$B,$B1026,$A:$A,"&gt;="&amp;COUNTIFS($K$1:L$1,"&lt;&gt;"))),0)</f>
        <v>9.7791798107255537E-2</v>
      </c>
      <c r="M1026">
        <f>IFERROR($J1026/IF($A1026&lt;COUNTIFS($K$1:M$1,"&lt;&gt;"),0,SUMIFS($J:$J,$B:$B,$B1026,$A:$A,"&gt;="&amp;COUNTIFS($K$1:M$1,"&lt;&gt;"))),0)</f>
        <v>0.10801393728222998</v>
      </c>
      <c r="N1026">
        <f>IFERROR($J1026/IF($A1026&lt;COUNTIFS($K$1:N$1,"&lt;&gt;"),0,SUMIFS($J:$J,$B:$B,$B1026,$A:$A,"&gt;="&amp;COUNTIFS($K$1:N$1,"&lt;&gt;"))),0)</f>
        <v>0.12109375000000001</v>
      </c>
      <c r="O1026">
        <f>IFERROR($J1026/IF($A1026&lt;COUNTIFS($K$1:O$1,"&lt;&gt;"),0,SUMIFS($J:$J,$B:$B,$B1026,$A:$A,"&gt;="&amp;COUNTIFS($K$1:O$1,"&lt;&gt;"))),0)</f>
        <v>0.13716814159292037</v>
      </c>
      <c r="P1026">
        <f>IFERROR($J1026/IF($A1026&lt;COUNTIFS($K$1:P$1,"&lt;&gt;"),0,SUMIFS($J:$J,$B:$B,$B1026,$A:$A,"&gt;="&amp;COUNTIFS($K$1:P$1,"&lt;&gt;"))),0)</f>
        <v>0.15897435897435899</v>
      </c>
      <c r="Q1026">
        <f>IFERROR($J1026/IF($A1026&lt;COUNTIFS($K$1:Q$1,"&lt;&gt;"),0,SUMIFS($J:$J,$B:$B,$B1026,$A:$A,"&gt;="&amp;COUNTIFS($K$1:Q$1,"&lt;&gt;"))),0)</f>
        <v>0.18902439024390244</v>
      </c>
      <c r="R1026">
        <f>IFERROR($J1026/IF($A1026&lt;COUNTIFS($K$1:R$1,"&lt;&gt;"),0,SUMIFS($J:$J,$B:$B,$B1026,$A:$A,"&gt;="&amp;COUNTIFS($K$1:R$1,"&lt;&gt;"))),0)</f>
        <v>0.22794117647058826</v>
      </c>
      <c r="S1026">
        <f>IFERROR($J1026/IF($A1026&lt;COUNTIFS($K$1:S$1,"&lt;&gt;"),0,SUMIFS($J:$J,$B:$B,$B1026,$A:$A,"&gt;="&amp;COUNTIFS($K$1:S$1,"&lt;&gt;"))),0)</f>
        <v>0.29523809523809524</v>
      </c>
      <c r="T1026">
        <f>IFERROR($J1026/IF($A1026&lt;COUNTIFS($K$1:T$1,"&lt;&gt;"),0,SUMIFS($J:$J,$B:$B,$B1026,$A:$A,"&gt;="&amp;COUNTIFS($K$1:T$1,"&lt;&gt;"))),0)</f>
        <v>0.41333333333333333</v>
      </c>
      <c r="U1026">
        <f>IFERROR($J1026/IF($A1026&lt;COUNTIFS($K$1:U$1,"&lt;&gt;"),0,SUMIFS($J:$J,$B:$B,$B1026,$A:$A,"&gt;="&amp;COUNTIFS($K$1:U$1,"&lt;&gt;"))),0)</f>
        <v>0</v>
      </c>
      <c r="V1026">
        <f>IFERROR($J1026/IF($A1026&lt;COUNTIFS($K$1:V$1,"&lt;&gt;"),0,SUMIFS($J:$J,$B:$B,$B1026,$A:$A,"&gt;="&amp;COUNTIFS($K$1:V$1,"&lt;&gt;"))),0)</f>
        <v>0</v>
      </c>
      <c r="W1026">
        <f t="shared" si="354"/>
        <v>8.4931506849315067E-2</v>
      </c>
      <c r="X1026">
        <f t="shared" ref="X1026:X1089" si="356">IF(K1026=0,0,$J1026)</f>
        <v>8.4931506849315067E-2</v>
      </c>
      <c r="Y1026">
        <f t="shared" ref="Y1026:Y1089" si="357">IF(L1026=0,0,$J1026)</f>
        <v>8.4931506849315067E-2</v>
      </c>
      <c r="Z1026">
        <f t="shared" ref="Z1026:Z1089" si="358">IF(M1026=0,0,$J1026)</f>
        <v>8.4931506849315067E-2</v>
      </c>
      <c r="AA1026">
        <f t="shared" ref="AA1026:AA1089" si="359">IF(N1026=0,0,$J1026)</f>
        <v>8.4931506849315067E-2</v>
      </c>
      <c r="AB1026">
        <f t="shared" ref="AB1026:AB1089" si="360">IF(O1026=0,0,$J1026)</f>
        <v>8.4931506849315067E-2</v>
      </c>
      <c r="AC1026">
        <f t="shared" ref="AC1026:AC1089" si="361">IF(P1026=0,0,$J1026)</f>
        <v>8.4931506849315067E-2</v>
      </c>
      <c r="AD1026">
        <f t="shared" ref="AD1026:AD1089" si="362">IF(Q1026=0,0,$J1026)</f>
        <v>8.4931506849315067E-2</v>
      </c>
      <c r="AE1026">
        <f t="shared" ref="AE1026:AE1089" si="363">IF(R1026=0,0,$J1026)</f>
        <v>8.4931506849315067E-2</v>
      </c>
      <c r="AF1026">
        <f t="shared" ref="AF1026:AF1089" si="364">IF(S1026=0,0,$J1026)</f>
        <v>8.4931506849315067E-2</v>
      </c>
      <c r="AG1026">
        <f t="shared" ref="AG1026:AG1089" si="365">IF(T1026=0,0,$J1026)</f>
        <v>8.4931506849315067E-2</v>
      </c>
      <c r="AH1026">
        <f t="shared" ref="AH1026:AH1089" si="366">IF(U1026=0,0,$J1026)</f>
        <v>0</v>
      </c>
      <c r="AI1026">
        <f t="shared" ref="AI1026:AI1089" si="367">IF(V1026=0,0,$J1026)</f>
        <v>0</v>
      </c>
      <c r="AJ1026" s="2" t="str">
        <f t="shared" si="355"/>
        <v>1046204</v>
      </c>
    </row>
    <row r="1027" spans="1:36" x14ac:dyDescent="0.25">
      <c r="A1027">
        <v>11</v>
      </c>
      <c r="B1027" s="1">
        <v>46204</v>
      </c>
      <c r="C1027" s="1">
        <f t="shared" ref="C1027:C1090" si="368">EDATE(B1027,A1027)</f>
        <v>46539</v>
      </c>
      <c r="D1027" s="1">
        <f t="shared" ref="D1027:D1090" si="369">B1027+14</f>
        <v>46218</v>
      </c>
      <c r="E1027" s="1">
        <f t="shared" ref="E1027:E1090" si="370">IF($A1027=0,C1027+14,C1027)</f>
        <v>46539</v>
      </c>
      <c r="F1027" s="1">
        <f t="shared" ref="F1027:F1090" si="371">IF(EDATE(C1027,1)&gt;G1027,G1027,EDATE(C1027,1))</f>
        <v>46569</v>
      </c>
      <c r="G1027" s="1">
        <f t="shared" ref="G1027:G1090" si="372">EDATE(D1027,12)</f>
        <v>46583</v>
      </c>
      <c r="H1027">
        <f t="shared" ref="H1027:H1090" si="373">G1027-D1027</f>
        <v>365</v>
      </c>
      <c r="I1027">
        <f t="shared" ref="I1027:I1090" si="374">F1027-E1027</f>
        <v>30</v>
      </c>
      <c r="J1027">
        <f t="shared" ref="J1027:J1090" si="375">I1027/H1027</f>
        <v>8.2191780821917804E-2</v>
      </c>
      <c r="K1027">
        <f>IFERROR($J1027/IF($A1027&lt;COUNTIFS($K$1:K$1,"&lt;&gt;"),0,SUMIFS($J:$J,$B:$B,$B1027,$A:$A,"&gt;="&amp;COUNTIFS($K$1:K$1,"&lt;&gt;"))),0)</f>
        <v>8.6206896551724144E-2</v>
      </c>
      <c r="L1027">
        <f>IFERROR($J1027/IF($A1027&lt;COUNTIFS($K$1:L$1,"&lt;&gt;"),0,SUMIFS($J:$J,$B:$B,$B1027,$A:$A,"&gt;="&amp;COUNTIFS($K$1:L$1,"&lt;&gt;"))),0)</f>
        <v>9.4637223974763415E-2</v>
      </c>
      <c r="M1027">
        <f>IFERROR($J1027/IF($A1027&lt;COUNTIFS($K$1:M$1,"&lt;&gt;"),0,SUMIFS($J:$J,$B:$B,$B1027,$A:$A,"&gt;="&amp;COUNTIFS($K$1:M$1,"&lt;&gt;"))),0)</f>
        <v>0.10452961672473869</v>
      </c>
      <c r="N1027">
        <f>IFERROR($J1027/IF($A1027&lt;COUNTIFS($K$1:N$1,"&lt;&gt;"),0,SUMIFS($J:$J,$B:$B,$B1027,$A:$A,"&gt;="&amp;COUNTIFS($K$1:N$1,"&lt;&gt;"))),0)</f>
        <v>0.11718750000000001</v>
      </c>
      <c r="O1027">
        <f>IFERROR($J1027/IF($A1027&lt;COUNTIFS($K$1:O$1,"&lt;&gt;"),0,SUMIFS($J:$J,$B:$B,$B1027,$A:$A,"&gt;="&amp;COUNTIFS($K$1:O$1,"&lt;&gt;"))),0)</f>
        <v>0.13274336283185842</v>
      </c>
      <c r="P1027">
        <f>IFERROR($J1027/IF($A1027&lt;COUNTIFS($K$1:P$1,"&lt;&gt;"),0,SUMIFS($J:$J,$B:$B,$B1027,$A:$A,"&gt;="&amp;COUNTIFS($K$1:P$1,"&lt;&gt;"))),0)</f>
        <v>0.15384615384615385</v>
      </c>
      <c r="Q1027">
        <f>IFERROR($J1027/IF($A1027&lt;COUNTIFS($K$1:Q$1,"&lt;&gt;"),0,SUMIFS($J:$J,$B:$B,$B1027,$A:$A,"&gt;="&amp;COUNTIFS($K$1:Q$1,"&lt;&gt;"))),0)</f>
        <v>0.18292682926829268</v>
      </c>
      <c r="R1027">
        <f>IFERROR($J1027/IF($A1027&lt;COUNTIFS($K$1:R$1,"&lt;&gt;"),0,SUMIFS($J:$J,$B:$B,$B1027,$A:$A,"&gt;="&amp;COUNTIFS($K$1:R$1,"&lt;&gt;"))),0)</f>
        <v>0.22058823529411764</v>
      </c>
      <c r="S1027">
        <f>IFERROR($J1027/IF($A1027&lt;COUNTIFS($K$1:S$1,"&lt;&gt;"),0,SUMIFS($J:$J,$B:$B,$B1027,$A:$A,"&gt;="&amp;COUNTIFS($K$1:S$1,"&lt;&gt;"))),0)</f>
        <v>0.2857142857142857</v>
      </c>
      <c r="T1027">
        <f>IFERROR($J1027/IF($A1027&lt;COUNTIFS($K$1:T$1,"&lt;&gt;"),0,SUMIFS($J:$J,$B:$B,$B1027,$A:$A,"&gt;="&amp;COUNTIFS($K$1:T$1,"&lt;&gt;"))),0)</f>
        <v>0.4</v>
      </c>
      <c r="U1027">
        <f>IFERROR($J1027/IF($A1027&lt;COUNTIFS($K$1:U$1,"&lt;&gt;"),0,SUMIFS($J:$J,$B:$B,$B1027,$A:$A,"&gt;="&amp;COUNTIFS($K$1:U$1,"&lt;&gt;"))),0)</f>
        <v>0.68181818181818177</v>
      </c>
      <c r="V1027">
        <f>IFERROR($J1027/IF($A1027&lt;COUNTIFS($K$1:V$1,"&lt;&gt;"),0,SUMIFS($J:$J,$B:$B,$B1027,$A:$A,"&gt;="&amp;COUNTIFS($K$1:V$1,"&lt;&gt;"))),0)</f>
        <v>0</v>
      </c>
      <c r="W1027">
        <f t="shared" ref="W1027:W1090" si="376">IF(J1027=0,0,$J1027)</f>
        <v>8.2191780821917804E-2</v>
      </c>
      <c r="X1027">
        <f t="shared" si="356"/>
        <v>8.2191780821917804E-2</v>
      </c>
      <c r="Y1027">
        <f t="shared" si="357"/>
        <v>8.2191780821917804E-2</v>
      </c>
      <c r="Z1027">
        <f t="shared" si="358"/>
        <v>8.2191780821917804E-2</v>
      </c>
      <c r="AA1027">
        <f t="shared" si="359"/>
        <v>8.2191780821917804E-2</v>
      </c>
      <c r="AB1027">
        <f t="shared" si="360"/>
        <v>8.2191780821917804E-2</v>
      </c>
      <c r="AC1027">
        <f t="shared" si="361"/>
        <v>8.2191780821917804E-2</v>
      </c>
      <c r="AD1027">
        <f t="shared" si="362"/>
        <v>8.2191780821917804E-2</v>
      </c>
      <c r="AE1027">
        <f t="shared" si="363"/>
        <v>8.2191780821917804E-2</v>
      </c>
      <c r="AF1027">
        <f t="shared" si="364"/>
        <v>8.2191780821917804E-2</v>
      </c>
      <c r="AG1027">
        <f t="shared" si="365"/>
        <v>8.2191780821917804E-2</v>
      </c>
      <c r="AH1027">
        <f t="shared" si="366"/>
        <v>8.2191780821917804E-2</v>
      </c>
      <c r="AI1027">
        <f t="shared" si="367"/>
        <v>0</v>
      </c>
      <c r="AJ1027" s="2" t="str">
        <f t="shared" ref="AJ1027:AJ1090" si="377">A1027&amp;B1027</f>
        <v>1146204</v>
      </c>
    </row>
    <row r="1028" spans="1:36" x14ac:dyDescent="0.25">
      <c r="A1028">
        <v>12</v>
      </c>
      <c r="B1028" s="1">
        <v>46204</v>
      </c>
      <c r="C1028" s="1">
        <f t="shared" si="368"/>
        <v>46569</v>
      </c>
      <c r="D1028" s="1">
        <f t="shared" si="369"/>
        <v>46218</v>
      </c>
      <c r="E1028" s="1">
        <f t="shared" si="370"/>
        <v>46569</v>
      </c>
      <c r="F1028" s="1">
        <f t="shared" si="371"/>
        <v>46583</v>
      </c>
      <c r="G1028" s="1">
        <f t="shared" si="372"/>
        <v>46583</v>
      </c>
      <c r="H1028">
        <f t="shared" si="373"/>
        <v>365</v>
      </c>
      <c r="I1028">
        <f t="shared" si="374"/>
        <v>14</v>
      </c>
      <c r="J1028">
        <f t="shared" si="375"/>
        <v>3.8356164383561646E-2</v>
      </c>
      <c r="K1028">
        <f>IFERROR($J1028/IF($A1028&lt;COUNTIFS($K$1:K$1,"&lt;&gt;"),0,SUMIFS($J:$J,$B:$B,$B1028,$A:$A,"&gt;="&amp;COUNTIFS($K$1:K$1,"&lt;&gt;"))),0)</f>
        <v>4.0229885057471271E-2</v>
      </c>
      <c r="L1028">
        <f>IFERROR($J1028/IF($A1028&lt;COUNTIFS($K$1:L$1,"&lt;&gt;"),0,SUMIFS($J:$J,$B:$B,$B1028,$A:$A,"&gt;="&amp;COUNTIFS($K$1:L$1,"&lt;&gt;"))),0)</f>
        <v>4.41640378548896E-2</v>
      </c>
      <c r="M1028">
        <f>IFERROR($J1028/IF($A1028&lt;COUNTIFS($K$1:M$1,"&lt;&gt;"),0,SUMIFS($J:$J,$B:$B,$B1028,$A:$A,"&gt;="&amp;COUNTIFS($K$1:M$1,"&lt;&gt;"))),0)</f>
        <v>4.8780487804878057E-2</v>
      </c>
      <c r="N1028">
        <f>IFERROR($J1028/IF($A1028&lt;COUNTIFS($K$1:N$1,"&lt;&gt;"),0,SUMIFS($J:$J,$B:$B,$B1028,$A:$A,"&gt;="&amp;COUNTIFS($K$1:N$1,"&lt;&gt;"))),0)</f>
        <v>5.4687500000000014E-2</v>
      </c>
      <c r="O1028">
        <f>IFERROR($J1028/IF($A1028&lt;COUNTIFS($K$1:O$1,"&lt;&gt;"),0,SUMIFS($J:$J,$B:$B,$B1028,$A:$A,"&gt;="&amp;COUNTIFS($K$1:O$1,"&lt;&gt;"))),0)</f>
        <v>6.194690265486727E-2</v>
      </c>
      <c r="P1028">
        <f>IFERROR($J1028/IF($A1028&lt;COUNTIFS($K$1:P$1,"&lt;&gt;"),0,SUMIFS($J:$J,$B:$B,$B1028,$A:$A,"&gt;="&amp;COUNTIFS($K$1:P$1,"&lt;&gt;"))),0)</f>
        <v>7.1794871794871803E-2</v>
      </c>
      <c r="Q1028">
        <f>IFERROR($J1028/IF($A1028&lt;COUNTIFS($K$1:Q$1,"&lt;&gt;"),0,SUMIFS($J:$J,$B:$B,$B1028,$A:$A,"&gt;="&amp;COUNTIFS($K$1:Q$1,"&lt;&gt;"))),0)</f>
        <v>8.5365853658536592E-2</v>
      </c>
      <c r="R1028">
        <f>IFERROR($J1028/IF($A1028&lt;COUNTIFS($K$1:R$1,"&lt;&gt;"),0,SUMIFS($J:$J,$B:$B,$B1028,$A:$A,"&gt;="&amp;COUNTIFS($K$1:R$1,"&lt;&gt;"))),0)</f>
        <v>0.10294117647058824</v>
      </c>
      <c r="S1028">
        <f>IFERROR($J1028/IF($A1028&lt;COUNTIFS($K$1:S$1,"&lt;&gt;"),0,SUMIFS($J:$J,$B:$B,$B1028,$A:$A,"&gt;="&amp;COUNTIFS($K$1:S$1,"&lt;&gt;"))),0)</f>
        <v>0.13333333333333336</v>
      </c>
      <c r="T1028">
        <f>IFERROR($J1028/IF($A1028&lt;COUNTIFS($K$1:T$1,"&lt;&gt;"),0,SUMIFS($J:$J,$B:$B,$B1028,$A:$A,"&gt;="&amp;COUNTIFS($K$1:T$1,"&lt;&gt;"))),0)</f>
        <v>0.18666666666666668</v>
      </c>
      <c r="U1028">
        <f>IFERROR($J1028/IF($A1028&lt;COUNTIFS($K$1:U$1,"&lt;&gt;"),0,SUMIFS($J:$J,$B:$B,$B1028,$A:$A,"&gt;="&amp;COUNTIFS($K$1:U$1,"&lt;&gt;"))),0)</f>
        <v>0.31818181818181818</v>
      </c>
      <c r="V1028">
        <f>IFERROR($J1028/IF($A1028&lt;COUNTIFS($K$1:V$1,"&lt;&gt;"),0,SUMIFS($J:$J,$B:$B,$B1028,$A:$A,"&gt;="&amp;COUNTIFS($K$1:V$1,"&lt;&gt;"))),0)</f>
        <v>1</v>
      </c>
      <c r="W1028">
        <f t="shared" si="376"/>
        <v>3.8356164383561646E-2</v>
      </c>
      <c r="X1028">
        <f t="shared" si="356"/>
        <v>3.8356164383561646E-2</v>
      </c>
      <c r="Y1028">
        <f t="shared" si="357"/>
        <v>3.8356164383561646E-2</v>
      </c>
      <c r="Z1028">
        <f t="shared" si="358"/>
        <v>3.8356164383561646E-2</v>
      </c>
      <c r="AA1028">
        <f t="shared" si="359"/>
        <v>3.8356164383561646E-2</v>
      </c>
      <c r="AB1028">
        <f t="shared" si="360"/>
        <v>3.8356164383561646E-2</v>
      </c>
      <c r="AC1028">
        <f t="shared" si="361"/>
        <v>3.8356164383561646E-2</v>
      </c>
      <c r="AD1028">
        <f t="shared" si="362"/>
        <v>3.8356164383561646E-2</v>
      </c>
      <c r="AE1028">
        <f t="shared" si="363"/>
        <v>3.8356164383561646E-2</v>
      </c>
      <c r="AF1028">
        <f t="shared" si="364"/>
        <v>3.8356164383561646E-2</v>
      </c>
      <c r="AG1028">
        <f t="shared" si="365"/>
        <v>3.8356164383561646E-2</v>
      </c>
      <c r="AH1028">
        <f t="shared" si="366"/>
        <v>3.8356164383561646E-2</v>
      </c>
      <c r="AI1028">
        <f t="shared" si="367"/>
        <v>3.8356164383561646E-2</v>
      </c>
      <c r="AJ1028" s="2" t="str">
        <f t="shared" si="377"/>
        <v>1246204</v>
      </c>
    </row>
    <row r="1029" spans="1:36" x14ac:dyDescent="0.25">
      <c r="A1029">
        <v>0</v>
      </c>
      <c r="B1029" s="1">
        <v>46235</v>
      </c>
      <c r="C1029" s="1">
        <f t="shared" si="368"/>
        <v>46235</v>
      </c>
      <c r="D1029" s="1">
        <f t="shared" si="369"/>
        <v>46249</v>
      </c>
      <c r="E1029" s="1">
        <f t="shared" si="370"/>
        <v>46249</v>
      </c>
      <c r="F1029" s="1">
        <f t="shared" si="371"/>
        <v>46266</v>
      </c>
      <c r="G1029" s="1">
        <f t="shared" si="372"/>
        <v>46614</v>
      </c>
      <c r="H1029">
        <f t="shared" si="373"/>
        <v>365</v>
      </c>
      <c r="I1029">
        <f t="shared" si="374"/>
        <v>17</v>
      </c>
      <c r="J1029">
        <f t="shared" si="375"/>
        <v>4.6575342465753428E-2</v>
      </c>
      <c r="K1029">
        <f>IFERROR($J1029/IF($A1029&lt;COUNTIFS($K$1:K$1,"&lt;&gt;"),0,SUMIFS($J:$J,$B:$B,$B1029,$A:$A,"&gt;="&amp;COUNTIFS($K$1:K$1,"&lt;&gt;"))),0)</f>
        <v>0</v>
      </c>
      <c r="L1029">
        <f>IFERROR($J1029/IF($A1029&lt;COUNTIFS($K$1:L$1,"&lt;&gt;"),0,SUMIFS($J:$J,$B:$B,$B1029,$A:$A,"&gt;="&amp;COUNTIFS($K$1:L$1,"&lt;&gt;"))),0)</f>
        <v>0</v>
      </c>
      <c r="M1029">
        <f>IFERROR($J1029/IF($A1029&lt;COUNTIFS($K$1:M$1,"&lt;&gt;"),0,SUMIFS($J:$J,$B:$B,$B1029,$A:$A,"&gt;="&amp;COUNTIFS($K$1:M$1,"&lt;&gt;"))),0)</f>
        <v>0</v>
      </c>
      <c r="N1029">
        <f>IFERROR($J1029/IF($A1029&lt;COUNTIFS($K$1:N$1,"&lt;&gt;"),0,SUMIFS($J:$J,$B:$B,$B1029,$A:$A,"&gt;="&amp;COUNTIFS($K$1:N$1,"&lt;&gt;"))),0)</f>
        <v>0</v>
      </c>
      <c r="O1029">
        <f>IFERROR($J1029/IF($A1029&lt;COUNTIFS($K$1:O$1,"&lt;&gt;"),0,SUMIFS($J:$J,$B:$B,$B1029,$A:$A,"&gt;="&amp;COUNTIFS($K$1:O$1,"&lt;&gt;"))),0)</f>
        <v>0</v>
      </c>
      <c r="P1029">
        <f>IFERROR($J1029/IF($A1029&lt;COUNTIFS($K$1:P$1,"&lt;&gt;"),0,SUMIFS($J:$J,$B:$B,$B1029,$A:$A,"&gt;="&amp;COUNTIFS($K$1:P$1,"&lt;&gt;"))),0)</f>
        <v>0</v>
      </c>
      <c r="Q1029">
        <f>IFERROR($J1029/IF($A1029&lt;COUNTIFS($K$1:Q$1,"&lt;&gt;"),0,SUMIFS($J:$J,$B:$B,$B1029,$A:$A,"&gt;="&amp;COUNTIFS($K$1:Q$1,"&lt;&gt;"))),0)</f>
        <v>0</v>
      </c>
      <c r="R1029">
        <f>IFERROR($J1029/IF($A1029&lt;COUNTIFS($K$1:R$1,"&lt;&gt;"),0,SUMIFS($J:$J,$B:$B,$B1029,$A:$A,"&gt;="&amp;COUNTIFS($K$1:R$1,"&lt;&gt;"))),0)</f>
        <v>0</v>
      </c>
      <c r="S1029">
        <f>IFERROR($J1029/IF($A1029&lt;COUNTIFS($K$1:S$1,"&lt;&gt;"),0,SUMIFS($J:$J,$B:$B,$B1029,$A:$A,"&gt;="&amp;COUNTIFS($K$1:S$1,"&lt;&gt;"))),0)</f>
        <v>0</v>
      </c>
      <c r="T1029">
        <f>IFERROR($J1029/IF($A1029&lt;COUNTIFS($K$1:T$1,"&lt;&gt;"),0,SUMIFS($J:$J,$B:$B,$B1029,$A:$A,"&gt;="&amp;COUNTIFS($K$1:T$1,"&lt;&gt;"))),0)</f>
        <v>0</v>
      </c>
      <c r="U1029">
        <f>IFERROR($J1029/IF($A1029&lt;COUNTIFS($K$1:U$1,"&lt;&gt;"),0,SUMIFS($J:$J,$B:$B,$B1029,$A:$A,"&gt;="&amp;COUNTIFS($K$1:U$1,"&lt;&gt;"))),0)</f>
        <v>0</v>
      </c>
      <c r="V1029">
        <f>IFERROR($J1029/IF($A1029&lt;COUNTIFS($K$1:V$1,"&lt;&gt;"),0,SUMIFS($J:$J,$B:$B,$B1029,$A:$A,"&gt;="&amp;COUNTIFS($K$1:V$1,"&lt;&gt;"))),0)</f>
        <v>0</v>
      </c>
      <c r="W1029">
        <f t="shared" si="376"/>
        <v>4.6575342465753428E-2</v>
      </c>
      <c r="X1029">
        <f t="shared" si="356"/>
        <v>0</v>
      </c>
      <c r="Y1029">
        <f t="shared" si="357"/>
        <v>0</v>
      </c>
      <c r="Z1029">
        <f t="shared" si="358"/>
        <v>0</v>
      </c>
      <c r="AA1029">
        <f t="shared" si="359"/>
        <v>0</v>
      </c>
      <c r="AB1029">
        <f t="shared" si="360"/>
        <v>0</v>
      </c>
      <c r="AC1029">
        <f t="shared" si="361"/>
        <v>0</v>
      </c>
      <c r="AD1029">
        <f t="shared" si="362"/>
        <v>0</v>
      </c>
      <c r="AE1029">
        <f t="shared" si="363"/>
        <v>0</v>
      </c>
      <c r="AF1029">
        <f t="shared" si="364"/>
        <v>0</v>
      </c>
      <c r="AG1029">
        <f t="shared" si="365"/>
        <v>0</v>
      </c>
      <c r="AH1029">
        <f t="shared" si="366"/>
        <v>0</v>
      </c>
      <c r="AI1029">
        <f t="shared" si="367"/>
        <v>0</v>
      </c>
      <c r="AJ1029" s="2" t="str">
        <f t="shared" si="377"/>
        <v>046235</v>
      </c>
    </row>
    <row r="1030" spans="1:36" x14ac:dyDescent="0.25">
      <c r="A1030">
        <v>1</v>
      </c>
      <c r="B1030" s="1">
        <v>46235</v>
      </c>
      <c r="C1030" s="1">
        <f t="shared" si="368"/>
        <v>46266</v>
      </c>
      <c r="D1030" s="1">
        <f t="shared" si="369"/>
        <v>46249</v>
      </c>
      <c r="E1030" s="1">
        <f t="shared" si="370"/>
        <v>46266</v>
      </c>
      <c r="F1030" s="1">
        <f t="shared" si="371"/>
        <v>46296</v>
      </c>
      <c r="G1030" s="1">
        <f t="shared" si="372"/>
        <v>46614</v>
      </c>
      <c r="H1030">
        <f t="shared" si="373"/>
        <v>365</v>
      </c>
      <c r="I1030">
        <f t="shared" si="374"/>
        <v>30</v>
      </c>
      <c r="J1030">
        <f t="shared" si="375"/>
        <v>8.2191780821917804E-2</v>
      </c>
      <c r="K1030">
        <f>IFERROR($J1030/IF($A1030&lt;COUNTIFS($K$1:K$1,"&lt;&gt;"),0,SUMIFS($J:$J,$B:$B,$B1030,$A:$A,"&gt;="&amp;COUNTIFS($K$1:K$1,"&lt;&gt;"))),0)</f>
        <v>8.6206896551724144E-2</v>
      </c>
      <c r="L1030">
        <f>IFERROR($J1030/IF($A1030&lt;COUNTIFS($K$1:L$1,"&lt;&gt;"),0,SUMIFS($J:$J,$B:$B,$B1030,$A:$A,"&gt;="&amp;COUNTIFS($K$1:L$1,"&lt;&gt;"))),0)</f>
        <v>0</v>
      </c>
      <c r="M1030">
        <f>IFERROR($J1030/IF($A1030&lt;COUNTIFS($K$1:M$1,"&lt;&gt;"),0,SUMIFS($J:$J,$B:$B,$B1030,$A:$A,"&gt;="&amp;COUNTIFS($K$1:M$1,"&lt;&gt;"))),0)</f>
        <v>0</v>
      </c>
      <c r="N1030">
        <f>IFERROR($J1030/IF($A1030&lt;COUNTIFS($K$1:N$1,"&lt;&gt;"),0,SUMIFS($J:$J,$B:$B,$B1030,$A:$A,"&gt;="&amp;COUNTIFS($K$1:N$1,"&lt;&gt;"))),0)</f>
        <v>0</v>
      </c>
      <c r="O1030">
        <f>IFERROR($J1030/IF($A1030&lt;COUNTIFS($K$1:O$1,"&lt;&gt;"),0,SUMIFS($J:$J,$B:$B,$B1030,$A:$A,"&gt;="&amp;COUNTIFS($K$1:O$1,"&lt;&gt;"))),0)</f>
        <v>0</v>
      </c>
      <c r="P1030">
        <f>IFERROR($J1030/IF($A1030&lt;COUNTIFS($K$1:P$1,"&lt;&gt;"),0,SUMIFS($J:$J,$B:$B,$B1030,$A:$A,"&gt;="&amp;COUNTIFS($K$1:P$1,"&lt;&gt;"))),0)</f>
        <v>0</v>
      </c>
      <c r="Q1030">
        <f>IFERROR($J1030/IF($A1030&lt;COUNTIFS($K$1:Q$1,"&lt;&gt;"),0,SUMIFS($J:$J,$B:$B,$B1030,$A:$A,"&gt;="&amp;COUNTIFS($K$1:Q$1,"&lt;&gt;"))),0)</f>
        <v>0</v>
      </c>
      <c r="R1030">
        <f>IFERROR($J1030/IF($A1030&lt;COUNTIFS($K$1:R$1,"&lt;&gt;"),0,SUMIFS($J:$J,$B:$B,$B1030,$A:$A,"&gt;="&amp;COUNTIFS($K$1:R$1,"&lt;&gt;"))),0)</f>
        <v>0</v>
      </c>
      <c r="S1030">
        <f>IFERROR($J1030/IF($A1030&lt;COUNTIFS($K$1:S$1,"&lt;&gt;"),0,SUMIFS($J:$J,$B:$B,$B1030,$A:$A,"&gt;="&amp;COUNTIFS($K$1:S$1,"&lt;&gt;"))),0)</f>
        <v>0</v>
      </c>
      <c r="T1030">
        <f>IFERROR($J1030/IF($A1030&lt;COUNTIFS($K$1:T$1,"&lt;&gt;"),0,SUMIFS($J:$J,$B:$B,$B1030,$A:$A,"&gt;="&amp;COUNTIFS($K$1:T$1,"&lt;&gt;"))),0)</f>
        <v>0</v>
      </c>
      <c r="U1030">
        <f>IFERROR($J1030/IF($A1030&lt;COUNTIFS($K$1:U$1,"&lt;&gt;"),0,SUMIFS($J:$J,$B:$B,$B1030,$A:$A,"&gt;="&amp;COUNTIFS($K$1:U$1,"&lt;&gt;"))),0)</f>
        <v>0</v>
      </c>
      <c r="V1030">
        <f>IFERROR($J1030/IF($A1030&lt;COUNTIFS($K$1:V$1,"&lt;&gt;"),0,SUMIFS($J:$J,$B:$B,$B1030,$A:$A,"&gt;="&amp;COUNTIFS($K$1:V$1,"&lt;&gt;"))),0)</f>
        <v>0</v>
      </c>
      <c r="W1030">
        <f t="shared" si="376"/>
        <v>8.2191780821917804E-2</v>
      </c>
      <c r="X1030">
        <f t="shared" si="356"/>
        <v>8.2191780821917804E-2</v>
      </c>
      <c r="Y1030">
        <f t="shared" si="357"/>
        <v>0</v>
      </c>
      <c r="Z1030">
        <f t="shared" si="358"/>
        <v>0</v>
      </c>
      <c r="AA1030">
        <f t="shared" si="359"/>
        <v>0</v>
      </c>
      <c r="AB1030">
        <f t="shared" si="360"/>
        <v>0</v>
      </c>
      <c r="AC1030">
        <f t="shared" si="361"/>
        <v>0</v>
      </c>
      <c r="AD1030">
        <f t="shared" si="362"/>
        <v>0</v>
      </c>
      <c r="AE1030">
        <f t="shared" si="363"/>
        <v>0</v>
      </c>
      <c r="AF1030">
        <f t="shared" si="364"/>
        <v>0</v>
      </c>
      <c r="AG1030">
        <f t="shared" si="365"/>
        <v>0</v>
      </c>
      <c r="AH1030">
        <f t="shared" si="366"/>
        <v>0</v>
      </c>
      <c r="AI1030">
        <f t="shared" si="367"/>
        <v>0</v>
      </c>
      <c r="AJ1030" s="2" t="str">
        <f t="shared" si="377"/>
        <v>146235</v>
      </c>
    </row>
    <row r="1031" spans="1:36" x14ac:dyDescent="0.25">
      <c r="A1031">
        <v>2</v>
      </c>
      <c r="B1031" s="1">
        <v>46235</v>
      </c>
      <c r="C1031" s="1">
        <f t="shared" si="368"/>
        <v>46296</v>
      </c>
      <c r="D1031" s="1">
        <f t="shared" si="369"/>
        <v>46249</v>
      </c>
      <c r="E1031" s="1">
        <f t="shared" si="370"/>
        <v>46296</v>
      </c>
      <c r="F1031" s="1">
        <f t="shared" si="371"/>
        <v>46327</v>
      </c>
      <c r="G1031" s="1">
        <f t="shared" si="372"/>
        <v>46614</v>
      </c>
      <c r="H1031">
        <f t="shared" si="373"/>
        <v>365</v>
      </c>
      <c r="I1031">
        <f t="shared" si="374"/>
        <v>31</v>
      </c>
      <c r="J1031">
        <f t="shared" si="375"/>
        <v>8.4931506849315067E-2</v>
      </c>
      <c r="K1031">
        <f>IFERROR($J1031/IF($A1031&lt;COUNTIFS($K$1:K$1,"&lt;&gt;"),0,SUMIFS($J:$J,$B:$B,$B1031,$A:$A,"&gt;="&amp;COUNTIFS($K$1:K$1,"&lt;&gt;"))),0)</f>
        <v>8.9080459770114959E-2</v>
      </c>
      <c r="L1031">
        <f>IFERROR($J1031/IF($A1031&lt;COUNTIFS($K$1:L$1,"&lt;&gt;"),0,SUMIFS($J:$J,$B:$B,$B1031,$A:$A,"&gt;="&amp;COUNTIFS($K$1:L$1,"&lt;&gt;"))),0)</f>
        <v>9.7484276729559768E-2</v>
      </c>
      <c r="M1031">
        <f>IFERROR($J1031/IF($A1031&lt;COUNTIFS($K$1:M$1,"&lt;&gt;"),0,SUMIFS($J:$J,$B:$B,$B1031,$A:$A,"&gt;="&amp;COUNTIFS($K$1:M$1,"&lt;&gt;"))),0)</f>
        <v>0</v>
      </c>
      <c r="N1031">
        <f>IFERROR($J1031/IF($A1031&lt;COUNTIFS($K$1:N$1,"&lt;&gt;"),0,SUMIFS($J:$J,$B:$B,$B1031,$A:$A,"&gt;="&amp;COUNTIFS($K$1:N$1,"&lt;&gt;"))),0)</f>
        <v>0</v>
      </c>
      <c r="O1031">
        <f>IFERROR($J1031/IF($A1031&lt;COUNTIFS($K$1:O$1,"&lt;&gt;"),0,SUMIFS($J:$J,$B:$B,$B1031,$A:$A,"&gt;="&amp;COUNTIFS($K$1:O$1,"&lt;&gt;"))),0)</f>
        <v>0</v>
      </c>
      <c r="P1031">
        <f>IFERROR($J1031/IF($A1031&lt;COUNTIFS($K$1:P$1,"&lt;&gt;"),0,SUMIFS($J:$J,$B:$B,$B1031,$A:$A,"&gt;="&amp;COUNTIFS($K$1:P$1,"&lt;&gt;"))),0)</f>
        <v>0</v>
      </c>
      <c r="Q1031">
        <f>IFERROR($J1031/IF($A1031&lt;COUNTIFS($K$1:Q$1,"&lt;&gt;"),0,SUMIFS($J:$J,$B:$B,$B1031,$A:$A,"&gt;="&amp;COUNTIFS($K$1:Q$1,"&lt;&gt;"))),0)</f>
        <v>0</v>
      </c>
      <c r="R1031">
        <f>IFERROR($J1031/IF($A1031&lt;COUNTIFS($K$1:R$1,"&lt;&gt;"),0,SUMIFS($J:$J,$B:$B,$B1031,$A:$A,"&gt;="&amp;COUNTIFS($K$1:R$1,"&lt;&gt;"))),0)</f>
        <v>0</v>
      </c>
      <c r="S1031">
        <f>IFERROR($J1031/IF($A1031&lt;COUNTIFS($K$1:S$1,"&lt;&gt;"),0,SUMIFS($J:$J,$B:$B,$B1031,$A:$A,"&gt;="&amp;COUNTIFS($K$1:S$1,"&lt;&gt;"))),0)</f>
        <v>0</v>
      </c>
      <c r="T1031">
        <f>IFERROR($J1031/IF($A1031&lt;COUNTIFS($K$1:T$1,"&lt;&gt;"),0,SUMIFS($J:$J,$B:$B,$B1031,$A:$A,"&gt;="&amp;COUNTIFS($K$1:T$1,"&lt;&gt;"))),0)</f>
        <v>0</v>
      </c>
      <c r="U1031">
        <f>IFERROR($J1031/IF($A1031&lt;COUNTIFS($K$1:U$1,"&lt;&gt;"),0,SUMIFS($J:$J,$B:$B,$B1031,$A:$A,"&gt;="&amp;COUNTIFS($K$1:U$1,"&lt;&gt;"))),0)</f>
        <v>0</v>
      </c>
      <c r="V1031">
        <f>IFERROR($J1031/IF($A1031&lt;COUNTIFS($K$1:V$1,"&lt;&gt;"),0,SUMIFS($J:$J,$B:$B,$B1031,$A:$A,"&gt;="&amp;COUNTIFS($K$1:V$1,"&lt;&gt;"))),0)</f>
        <v>0</v>
      </c>
      <c r="W1031">
        <f t="shared" si="376"/>
        <v>8.4931506849315067E-2</v>
      </c>
      <c r="X1031">
        <f t="shared" si="356"/>
        <v>8.4931506849315067E-2</v>
      </c>
      <c r="Y1031">
        <f t="shared" si="357"/>
        <v>8.4931506849315067E-2</v>
      </c>
      <c r="Z1031">
        <f t="shared" si="358"/>
        <v>0</v>
      </c>
      <c r="AA1031">
        <f t="shared" si="359"/>
        <v>0</v>
      </c>
      <c r="AB1031">
        <f t="shared" si="360"/>
        <v>0</v>
      </c>
      <c r="AC1031">
        <f t="shared" si="361"/>
        <v>0</v>
      </c>
      <c r="AD1031">
        <f t="shared" si="362"/>
        <v>0</v>
      </c>
      <c r="AE1031">
        <f t="shared" si="363"/>
        <v>0</v>
      </c>
      <c r="AF1031">
        <f t="shared" si="364"/>
        <v>0</v>
      </c>
      <c r="AG1031">
        <f t="shared" si="365"/>
        <v>0</v>
      </c>
      <c r="AH1031">
        <f t="shared" si="366"/>
        <v>0</v>
      </c>
      <c r="AI1031">
        <f t="shared" si="367"/>
        <v>0</v>
      </c>
      <c r="AJ1031" s="2" t="str">
        <f t="shared" si="377"/>
        <v>246235</v>
      </c>
    </row>
    <row r="1032" spans="1:36" x14ac:dyDescent="0.25">
      <c r="A1032">
        <v>3</v>
      </c>
      <c r="B1032" s="1">
        <v>46235</v>
      </c>
      <c r="C1032" s="1">
        <f t="shared" si="368"/>
        <v>46327</v>
      </c>
      <c r="D1032" s="1">
        <f t="shared" si="369"/>
        <v>46249</v>
      </c>
      <c r="E1032" s="1">
        <f t="shared" si="370"/>
        <v>46327</v>
      </c>
      <c r="F1032" s="1">
        <f t="shared" si="371"/>
        <v>46357</v>
      </c>
      <c r="G1032" s="1">
        <f t="shared" si="372"/>
        <v>46614</v>
      </c>
      <c r="H1032">
        <f t="shared" si="373"/>
        <v>365</v>
      </c>
      <c r="I1032">
        <f t="shared" si="374"/>
        <v>30</v>
      </c>
      <c r="J1032">
        <f t="shared" si="375"/>
        <v>8.2191780821917804E-2</v>
      </c>
      <c r="K1032">
        <f>IFERROR($J1032/IF($A1032&lt;COUNTIFS($K$1:K$1,"&lt;&gt;"),0,SUMIFS($J:$J,$B:$B,$B1032,$A:$A,"&gt;="&amp;COUNTIFS($K$1:K$1,"&lt;&gt;"))),0)</f>
        <v>8.6206896551724144E-2</v>
      </c>
      <c r="L1032">
        <f>IFERROR($J1032/IF($A1032&lt;COUNTIFS($K$1:L$1,"&lt;&gt;"),0,SUMIFS($J:$J,$B:$B,$B1032,$A:$A,"&gt;="&amp;COUNTIFS($K$1:L$1,"&lt;&gt;"))),0)</f>
        <v>9.4339622641509441E-2</v>
      </c>
      <c r="M1032">
        <f>IFERROR($J1032/IF($A1032&lt;COUNTIFS($K$1:M$1,"&lt;&gt;"),0,SUMIFS($J:$J,$B:$B,$B1032,$A:$A,"&gt;="&amp;COUNTIFS($K$1:M$1,"&lt;&gt;"))),0)</f>
        <v>0.10452961672473869</v>
      </c>
      <c r="N1032">
        <f>IFERROR($J1032/IF($A1032&lt;COUNTIFS($K$1:N$1,"&lt;&gt;"),0,SUMIFS($J:$J,$B:$B,$B1032,$A:$A,"&gt;="&amp;COUNTIFS($K$1:N$1,"&lt;&gt;"))),0)</f>
        <v>0</v>
      </c>
      <c r="O1032">
        <f>IFERROR($J1032/IF($A1032&lt;COUNTIFS($K$1:O$1,"&lt;&gt;"),0,SUMIFS($J:$J,$B:$B,$B1032,$A:$A,"&gt;="&amp;COUNTIFS($K$1:O$1,"&lt;&gt;"))),0)</f>
        <v>0</v>
      </c>
      <c r="P1032">
        <f>IFERROR($J1032/IF($A1032&lt;COUNTIFS($K$1:P$1,"&lt;&gt;"),0,SUMIFS($J:$J,$B:$B,$B1032,$A:$A,"&gt;="&amp;COUNTIFS($K$1:P$1,"&lt;&gt;"))),0)</f>
        <v>0</v>
      </c>
      <c r="Q1032">
        <f>IFERROR($J1032/IF($A1032&lt;COUNTIFS($K$1:Q$1,"&lt;&gt;"),0,SUMIFS($J:$J,$B:$B,$B1032,$A:$A,"&gt;="&amp;COUNTIFS($K$1:Q$1,"&lt;&gt;"))),0)</f>
        <v>0</v>
      </c>
      <c r="R1032">
        <f>IFERROR($J1032/IF($A1032&lt;COUNTIFS($K$1:R$1,"&lt;&gt;"),0,SUMIFS($J:$J,$B:$B,$B1032,$A:$A,"&gt;="&amp;COUNTIFS($K$1:R$1,"&lt;&gt;"))),0)</f>
        <v>0</v>
      </c>
      <c r="S1032">
        <f>IFERROR($J1032/IF($A1032&lt;COUNTIFS($K$1:S$1,"&lt;&gt;"),0,SUMIFS($J:$J,$B:$B,$B1032,$A:$A,"&gt;="&amp;COUNTIFS($K$1:S$1,"&lt;&gt;"))),0)</f>
        <v>0</v>
      </c>
      <c r="T1032">
        <f>IFERROR($J1032/IF($A1032&lt;COUNTIFS($K$1:T$1,"&lt;&gt;"),0,SUMIFS($J:$J,$B:$B,$B1032,$A:$A,"&gt;="&amp;COUNTIFS($K$1:T$1,"&lt;&gt;"))),0)</f>
        <v>0</v>
      </c>
      <c r="U1032">
        <f>IFERROR($J1032/IF($A1032&lt;COUNTIFS($K$1:U$1,"&lt;&gt;"),0,SUMIFS($J:$J,$B:$B,$B1032,$A:$A,"&gt;="&amp;COUNTIFS($K$1:U$1,"&lt;&gt;"))),0)</f>
        <v>0</v>
      </c>
      <c r="V1032">
        <f>IFERROR($J1032/IF($A1032&lt;COUNTIFS($K$1:V$1,"&lt;&gt;"),0,SUMIFS($J:$J,$B:$B,$B1032,$A:$A,"&gt;="&amp;COUNTIFS($K$1:V$1,"&lt;&gt;"))),0)</f>
        <v>0</v>
      </c>
      <c r="W1032">
        <f t="shared" si="376"/>
        <v>8.2191780821917804E-2</v>
      </c>
      <c r="X1032">
        <f t="shared" si="356"/>
        <v>8.2191780821917804E-2</v>
      </c>
      <c r="Y1032">
        <f t="shared" si="357"/>
        <v>8.2191780821917804E-2</v>
      </c>
      <c r="Z1032">
        <f t="shared" si="358"/>
        <v>8.2191780821917804E-2</v>
      </c>
      <c r="AA1032">
        <f t="shared" si="359"/>
        <v>0</v>
      </c>
      <c r="AB1032">
        <f t="shared" si="360"/>
        <v>0</v>
      </c>
      <c r="AC1032">
        <f t="shared" si="361"/>
        <v>0</v>
      </c>
      <c r="AD1032">
        <f t="shared" si="362"/>
        <v>0</v>
      </c>
      <c r="AE1032">
        <f t="shared" si="363"/>
        <v>0</v>
      </c>
      <c r="AF1032">
        <f t="shared" si="364"/>
        <v>0</v>
      </c>
      <c r="AG1032">
        <f t="shared" si="365"/>
        <v>0</v>
      </c>
      <c r="AH1032">
        <f t="shared" si="366"/>
        <v>0</v>
      </c>
      <c r="AI1032">
        <f t="shared" si="367"/>
        <v>0</v>
      </c>
      <c r="AJ1032" s="2" t="str">
        <f t="shared" si="377"/>
        <v>346235</v>
      </c>
    </row>
    <row r="1033" spans="1:36" x14ac:dyDescent="0.25">
      <c r="A1033">
        <v>4</v>
      </c>
      <c r="B1033" s="1">
        <v>46235</v>
      </c>
      <c r="C1033" s="1">
        <f t="shared" si="368"/>
        <v>46357</v>
      </c>
      <c r="D1033" s="1">
        <f t="shared" si="369"/>
        <v>46249</v>
      </c>
      <c r="E1033" s="1">
        <f t="shared" si="370"/>
        <v>46357</v>
      </c>
      <c r="F1033" s="1">
        <f t="shared" si="371"/>
        <v>46388</v>
      </c>
      <c r="G1033" s="1">
        <f t="shared" si="372"/>
        <v>46614</v>
      </c>
      <c r="H1033">
        <f t="shared" si="373"/>
        <v>365</v>
      </c>
      <c r="I1033">
        <f t="shared" si="374"/>
        <v>31</v>
      </c>
      <c r="J1033">
        <f t="shared" si="375"/>
        <v>8.4931506849315067E-2</v>
      </c>
      <c r="K1033">
        <f>IFERROR($J1033/IF($A1033&lt;COUNTIFS($K$1:K$1,"&lt;&gt;"),0,SUMIFS($J:$J,$B:$B,$B1033,$A:$A,"&gt;="&amp;COUNTIFS($K$1:K$1,"&lt;&gt;"))),0)</f>
        <v>8.9080459770114959E-2</v>
      </c>
      <c r="L1033">
        <f>IFERROR($J1033/IF($A1033&lt;COUNTIFS($K$1:L$1,"&lt;&gt;"),0,SUMIFS($J:$J,$B:$B,$B1033,$A:$A,"&gt;="&amp;COUNTIFS($K$1:L$1,"&lt;&gt;"))),0)</f>
        <v>9.7484276729559768E-2</v>
      </c>
      <c r="M1033">
        <f>IFERROR($J1033/IF($A1033&lt;COUNTIFS($K$1:M$1,"&lt;&gt;"),0,SUMIFS($J:$J,$B:$B,$B1033,$A:$A,"&gt;="&amp;COUNTIFS($K$1:M$1,"&lt;&gt;"))),0)</f>
        <v>0.10801393728222998</v>
      </c>
      <c r="N1033">
        <f>IFERROR($J1033/IF($A1033&lt;COUNTIFS($K$1:N$1,"&lt;&gt;"),0,SUMIFS($J:$J,$B:$B,$B1033,$A:$A,"&gt;="&amp;COUNTIFS($K$1:N$1,"&lt;&gt;"))),0)</f>
        <v>0.12062256809338523</v>
      </c>
      <c r="O1033">
        <f>IFERROR($J1033/IF($A1033&lt;COUNTIFS($K$1:O$1,"&lt;&gt;"),0,SUMIFS($J:$J,$B:$B,$B1033,$A:$A,"&gt;="&amp;COUNTIFS($K$1:O$1,"&lt;&gt;"))),0)</f>
        <v>0</v>
      </c>
      <c r="P1033">
        <f>IFERROR($J1033/IF($A1033&lt;COUNTIFS($K$1:P$1,"&lt;&gt;"),0,SUMIFS($J:$J,$B:$B,$B1033,$A:$A,"&gt;="&amp;COUNTIFS($K$1:P$1,"&lt;&gt;"))),0)</f>
        <v>0</v>
      </c>
      <c r="Q1033">
        <f>IFERROR($J1033/IF($A1033&lt;COUNTIFS($K$1:Q$1,"&lt;&gt;"),0,SUMIFS($J:$J,$B:$B,$B1033,$A:$A,"&gt;="&amp;COUNTIFS($K$1:Q$1,"&lt;&gt;"))),0)</f>
        <v>0</v>
      </c>
      <c r="R1033">
        <f>IFERROR($J1033/IF($A1033&lt;COUNTIFS($K$1:R$1,"&lt;&gt;"),0,SUMIFS($J:$J,$B:$B,$B1033,$A:$A,"&gt;="&amp;COUNTIFS($K$1:R$1,"&lt;&gt;"))),0)</f>
        <v>0</v>
      </c>
      <c r="S1033">
        <f>IFERROR($J1033/IF($A1033&lt;COUNTIFS($K$1:S$1,"&lt;&gt;"),0,SUMIFS($J:$J,$B:$B,$B1033,$A:$A,"&gt;="&amp;COUNTIFS($K$1:S$1,"&lt;&gt;"))),0)</f>
        <v>0</v>
      </c>
      <c r="T1033">
        <f>IFERROR($J1033/IF($A1033&lt;COUNTIFS($K$1:T$1,"&lt;&gt;"),0,SUMIFS($J:$J,$B:$B,$B1033,$A:$A,"&gt;="&amp;COUNTIFS($K$1:T$1,"&lt;&gt;"))),0)</f>
        <v>0</v>
      </c>
      <c r="U1033">
        <f>IFERROR($J1033/IF($A1033&lt;COUNTIFS($K$1:U$1,"&lt;&gt;"),0,SUMIFS($J:$J,$B:$B,$B1033,$A:$A,"&gt;="&amp;COUNTIFS($K$1:U$1,"&lt;&gt;"))),0)</f>
        <v>0</v>
      </c>
      <c r="V1033">
        <f>IFERROR($J1033/IF($A1033&lt;COUNTIFS($K$1:V$1,"&lt;&gt;"),0,SUMIFS($J:$J,$B:$B,$B1033,$A:$A,"&gt;="&amp;COUNTIFS($K$1:V$1,"&lt;&gt;"))),0)</f>
        <v>0</v>
      </c>
      <c r="W1033">
        <f t="shared" si="376"/>
        <v>8.4931506849315067E-2</v>
      </c>
      <c r="X1033">
        <f t="shared" si="356"/>
        <v>8.4931506849315067E-2</v>
      </c>
      <c r="Y1033">
        <f t="shared" si="357"/>
        <v>8.4931506849315067E-2</v>
      </c>
      <c r="Z1033">
        <f t="shared" si="358"/>
        <v>8.4931506849315067E-2</v>
      </c>
      <c r="AA1033">
        <f t="shared" si="359"/>
        <v>8.4931506849315067E-2</v>
      </c>
      <c r="AB1033">
        <f t="shared" si="360"/>
        <v>0</v>
      </c>
      <c r="AC1033">
        <f t="shared" si="361"/>
        <v>0</v>
      </c>
      <c r="AD1033">
        <f t="shared" si="362"/>
        <v>0</v>
      </c>
      <c r="AE1033">
        <f t="shared" si="363"/>
        <v>0</v>
      </c>
      <c r="AF1033">
        <f t="shared" si="364"/>
        <v>0</v>
      </c>
      <c r="AG1033">
        <f t="shared" si="365"/>
        <v>0</v>
      </c>
      <c r="AH1033">
        <f t="shared" si="366"/>
        <v>0</v>
      </c>
      <c r="AI1033">
        <f t="shared" si="367"/>
        <v>0</v>
      </c>
      <c r="AJ1033" s="2" t="str">
        <f t="shared" si="377"/>
        <v>446235</v>
      </c>
    </row>
    <row r="1034" spans="1:36" x14ac:dyDescent="0.25">
      <c r="A1034">
        <v>5</v>
      </c>
      <c r="B1034" s="1">
        <v>46235</v>
      </c>
      <c r="C1034" s="1">
        <f t="shared" si="368"/>
        <v>46388</v>
      </c>
      <c r="D1034" s="1">
        <f t="shared" si="369"/>
        <v>46249</v>
      </c>
      <c r="E1034" s="1">
        <f t="shared" si="370"/>
        <v>46388</v>
      </c>
      <c r="F1034" s="1">
        <f t="shared" si="371"/>
        <v>46419</v>
      </c>
      <c r="G1034" s="1">
        <f t="shared" si="372"/>
        <v>46614</v>
      </c>
      <c r="H1034">
        <f t="shared" si="373"/>
        <v>365</v>
      </c>
      <c r="I1034">
        <f t="shared" si="374"/>
        <v>31</v>
      </c>
      <c r="J1034">
        <f t="shared" si="375"/>
        <v>8.4931506849315067E-2</v>
      </c>
      <c r="K1034">
        <f>IFERROR($J1034/IF($A1034&lt;COUNTIFS($K$1:K$1,"&lt;&gt;"),0,SUMIFS($J:$J,$B:$B,$B1034,$A:$A,"&gt;="&amp;COUNTIFS($K$1:K$1,"&lt;&gt;"))),0)</f>
        <v>8.9080459770114959E-2</v>
      </c>
      <c r="L1034">
        <f>IFERROR($J1034/IF($A1034&lt;COUNTIFS($K$1:L$1,"&lt;&gt;"),0,SUMIFS($J:$J,$B:$B,$B1034,$A:$A,"&gt;="&amp;COUNTIFS($K$1:L$1,"&lt;&gt;"))),0)</f>
        <v>9.7484276729559768E-2</v>
      </c>
      <c r="M1034">
        <f>IFERROR($J1034/IF($A1034&lt;COUNTIFS($K$1:M$1,"&lt;&gt;"),0,SUMIFS($J:$J,$B:$B,$B1034,$A:$A,"&gt;="&amp;COUNTIFS($K$1:M$1,"&lt;&gt;"))),0)</f>
        <v>0.10801393728222998</v>
      </c>
      <c r="N1034">
        <f>IFERROR($J1034/IF($A1034&lt;COUNTIFS($K$1:N$1,"&lt;&gt;"),0,SUMIFS($J:$J,$B:$B,$B1034,$A:$A,"&gt;="&amp;COUNTIFS($K$1:N$1,"&lt;&gt;"))),0)</f>
        <v>0.12062256809338523</v>
      </c>
      <c r="O1034">
        <f>IFERROR($J1034/IF($A1034&lt;COUNTIFS($K$1:O$1,"&lt;&gt;"),0,SUMIFS($J:$J,$B:$B,$B1034,$A:$A,"&gt;="&amp;COUNTIFS($K$1:O$1,"&lt;&gt;"))),0)</f>
        <v>0.13716814159292037</v>
      </c>
      <c r="P1034">
        <f>IFERROR($J1034/IF($A1034&lt;COUNTIFS($K$1:P$1,"&lt;&gt;"),0,SUMIFS($J:$J,$B:$B,$B1034,$A:$A,"&gt;="&amp;COUNTIFS($K$1:P$1,"&lt;&gt;"))),0)</f>
        <v>0</v>
      </c>
      <c r="Q1034">
        <f>IFERROR($J1034/IF($A1034&lt;COUNTIFS($K$1:Q$1,"&lt;&gt;"),0,SUMIFS($J:$J,$B:$B,$B1034,$A:$A,"&gt;="&amp;COUNTIFS($K$1:Q$1,"&lt;&gt;"))),0)</f>
        <v>0</v>
      </c>
      <c r="R1034">
        <f>IFERROR($J1034/IF($A1034&lt;COUNTIFS($K$1:R$1,"&lt;&gt;"),0,SUMIFS($J:$J,$B:$B,$B1034,$A:$A,"&gt;="&amp;COUNTIFS($K$1:R$1,"&lt;&gt;"))),0)</f>
        <v>0</v>
      </c>
      <c r="S1034">
        <f>IFERROR($J1034/IF($A1034&lt;COUNTIFS($K$1:S$1,"&lt;&gt;"),0,SUMIFS($J:$J,$B:$B,$B1034,$A:$A,"&gt;="&amp;COUNTIFS($K$1:S$1,"&lt;&gt;"))),0)</f>
        <v>0</v>
      </c>
      <c r="T1034">
        <f>IFERROR($J1034/IF($A1034&lt;COUNTIFS($K$1:T$1,"&lt;&gt;"),0,SUMIFS($J:$J,$B:$B,$B1034,$A:$A,"&gt;="&amp;COUNTIFS($K$1:T$1,"&lt;&gt;"))),0)</f>
        <v>0</v>
      </c>
      <c r="U1034">
        <f>IFERROR($J1034/IF($A1034&lt;COUNTIFS($K$1:U$1,"&lt;&gt;"),0,SUMIFS($J:$J,$B:$B,$B1034,$A:$A,"&gt;="&amp;COUNTIFS($K$1:U$1,"&lt;&gt;"))),0)</f>
        <v>0</v>
      </c>
      <c r="V1034">
        <f>IFERROR($J1034/IF($A1034&lt;COUNTIFS($K$1:V$1,"&lt;&gt;"),0,SUMIFS($J:$J,$B:$B,$B1034,$A:$A,"&gt;="&amp;COUNTIFS($K$1:V$1,"&lt;&gt;"))),0)</f>
        <v>0</v>
      </c>
      <c r="W1034">
        <f t="shared" si="376"/>
        <v>8.4931506849315067E-2</v>
      </c>
      <c r="X1034">
        <f t="shared" si="356"/>
        <v>8.4931506849315067E-2</v>
      </c>
      <c r="Y1034">
        <f t="shared" si="357"/>
        <v>8.4931506849315067E-2</v>
      </c>
      <c r="Z1034">
        <f t="shared" si="358"/>
        <v>8.4931506849315067E-2</v>
      </c>
      <c r="AA1034">
        <f t="shared" si="359"/>
        <v>8.4931506849315067E-2</v>
      </c>
      <c r="AB1034">
        <f t="shared" si="360"/>
        <v>8.4931506849315067E-2</v>
      </c>
      <c r="AC1034">
        <f t="shared" si="361"/>
        <v>0</v>
      </c>
      <c r="AD1034">
        <f t="shared" si="362"/>
        <v>0</v>
      </c>
      <c r="AE1034">
        <f t="shared" si="363"/>
        <v>0</v>
      </c>
      <c r="AF1034">
        <f t="shared" si="364"/>
        <v>0</v>
      </c>
      <c r="AG1034">
        <f t="shared" si="365"/>
        <v>0</v>
      </c>
      <c r="AH1034">
        <f t="shared" si="366"/>
        <v>0</v>
      </c>
      <c r="AI1034">
        <f t="shared" si="367"/>
        <v>0</v>
      </c>
      <c r="AJ1034" s="2" t="str">
        <f t="shared" si="377"/>
        <v>546235</v>
      </c>
    </row>
    <row r="1035" spans="1:36" x14ac:dyDescent="0.25">
      <c r="A1035">
        <v>6</v>
      </c>
      <c r="B1035" s="1">
        <v>46235</v>
      </c>
      <c r="C1035" s="1">
        <f t="shared" si="368"/>
        <v>46419</v>
      </c>
      <c r="D1035" s="1">
        <f t="shared" si="369"/>
        <v>46249</v>
      </c>
      <c r="E1035" s="1">
        <f t="shared" si="370"/>
        <v>46419</v>
      </c>
      <c r="F1035" s="1">
        <f t="shared" si="371"/>
        <v>46447</v>
      </c>
      <c r="G1035" s="1">
        <f t="shared" si="372"/>
        <v>46614</v>
      </c>
      <c r="H1035">
        <f t="shared" si="373"/>
        <v>365</v>
      </c>
      <c r="I1035">
        <f t="shared" si="374"/>
        <v>28</v>
      </c>
      <c r="J1035">
        <f t="shared" si="375"/>
        <v>7.6712328767123292E-2</v>
      </c>
      <c r="K1035">
        <f>IFERROR($J1035/IF($A1035&lt;COUNTIFS($K$1:K$1,"&lt;&gt;"),0,SUMIFS($J:$J,$B:$B,$B1035,$A:$A,"&gt;="&amp;COUNTIFS($K$1:K$1,"&lt;&gt;"))),0)</f>
        <v>8.0459770114942541E-2</v>
      </c>
      <c r="L1035">
        <f>IFERROR($J1035/IF($A1035&lt;COUNTIFS($K$1:L$1,"&lt;&gt;"),0,SUMIFS($J:$J,$B:$B,$B1035,$A:$A,"&gt;="&amp;COUNTIFS($K$1:L$1,"&lt;&gt;"))),0)</f>
        <v>8.8050314465408827E-2</v>
      </c>
      <c r="M1035">
        <f>IFERROR($J1035/IF($A1035&lt;COUNTIFS($K$1:M$1,"&lt;&gt;"),0,SUMIFS($J:$J,$B:$B,$B1035,$A:$A,"&gt;="&amp;COUNTIFS($K$1:M$1,"&lt;&gt;"))),0)</f>
        <v>9.7560975609756115E-2</v>
      </c>
      <c r="N1035">
        <f>IFERROR($J1035/IF($A1035&lt;COUNTIFS($K$1:N$1,"&lt;&gt;"),0,SUMIFS($J:$J,$B:$B,$B1035,$A:$A,"&gt;="&amp;COUNTIFS($K$1:N$1,"&lt;&gt;"))),0)</f>
        <v>0.10894941634241248</v>
      </c>
      <c r="O1035">
        <f>IFERROR($J1035/IF($A1035&lt;COUNTIFS($K$1:O$1,"&lt;&gt;"),0,SUMIFS($J:$J,$B:$B,$B1035,$A:$A,"&gt;="&amp;COUNTIFS($K$1:O$1,"&lt;&gt;"))),0)</f>
        <v>0.12389380530973454</v>
      </c>
      <c r="P1035">
        <f>IFERROR($J1035/IF($A1035&lt;COUNTIFS($K$1:P$1,"&lt;&gt;"),0,SUMIFS($J:$J,$B:$B,$B1035,$A:$A,"&gt;="&amp;COUNTIFS($K$1:P$1,"&lt;&gt;"))),0)</f>
        <v>0.14358974358974361</v>
      </c>
      <c r="Q1035">
        <f>IFERROR($J1035/IF($A1035&lt;COUNTIFS($K$1:Q$1,"&lt;&gt;"),0,SUMIFS($J:$J,$B:$B,$B1035,$A:$A,"&gt;="&amp;COUNTIFS($K$1:Q$1,"&lt;&gt;"))),0)</f>
        <v>0</v>
      </c>
      <c r="R1035">
        <f>IFERROR($J1035/IF($A1035&lt;COUNTIFS($K$1:R$1,"&lt;&gt;"),0,SUMIFS($J:$J,$B:$B,$B1035,$A:$A,"&gt;="&amp;COUNTIFS($K$1:R$1,"&lt;&gt;"))),0)</f>
        <v>0</v>
      </c>
      <c r="S1035">
        <f>IFERROR($J1035/IF($A1035&lt;COUNTIFS($K$1:S$1,"&lt;&gt;"),0,SUMIFS($J:$J,$B:$B,$B1035,$A:$A,"&gt;="&amp;COUNTIFS($K$1:S$1,"&lt;&gt;"))),0)</f>
        <v>0</v>
      </c>
      <c r="T1035">
        <f>IFERROR($J1035/IF($A1035&lt;COUNTIFS($K$1:T$1,"&lt;&gt;"),0,SUMIFS($J:$J,$B:$B,$B1035,$A:$A,"&gt;="&amp;COUNTIFS($K$1:T$1,"&lt;&gt;"))),0)</f>
        <v>0</v>
      </c>
      <c r="U1035">
        <f>IFERROR($J1035/IF($A1035&lt;COUNTIFS($K$1:U$1,"&lt;&gt;"),0,SUMIFS($J:$J,$B:$B,$B1035,$A:$A,"&gt;="&amp;COUNTIFS($K$1:U$1,"&lt;&gt;"))),0)</f>
        <v>0</v>
      </c>
      <c r="V1035">
        <f>IFERROR($J1035/IF($A1035&lt;COUNTIFS($K$1:V$1,"&lt;&gt;"),0,SUMIFS($J:$J,$B:$B,$B1035,$A:$A,"&gt;="&amp;COUNTIFS($K$1:V$1,"&lt;&gt;"))),0)</f>
        <v>0</v>
      </c>
      <c r="W1035">
        <f t="shared" si="376"/>
        <v>7.6712328767123292E-2</v>
      </c>
      <c r="X1035">
        <f t="shared" si="356"/>
        <v>7.6712328767123292E-2</v>
      </c>
      <c r="Y1035">
        <f t="shared" si="357"/>
        <v>7.6712328767123292E-2</v>
      </c>
      <c r="Z1035">
        <f t="shared" si="358"/>
        <v>7.6712328767123292E-2</v>
      </c>
      <c r="AA1035">
        <f t="shared" si="359"/>
        <v>7.6712328767123292E-2</v>
      </c>
      <c r="AB1035">
        <f t="shared" si="360"/>
        <v>7.6712328767123292E-2</v>
      </c>
      <c r="AC1035">
        <f t="shared" si="361"/>
        <v>7.6712328767123292E-2</v>
      </c>
      <c r="AD1035">
        <f t="shared" si="362"/>
        <v>0</v>
      </c>
      <c r="AE1035">
        <f t="shared" si="363"/>
        <v>0</v>
      </c>
      <c r="AF1035">
        <f t="shared" si="364"/>
        <v>0</v>
      </c>
      <c r="AG1035">
        <f t="shared" si="365"/>
        <v>0</v>
      </c>
      <c r="AH1035">
        <f t="shared" si="366"/>
        <v>0</v>
      </c>
      <c r="AI1035">
        <f t="shared" si="367"/>
        <v>0</v>
      </c>
      <c r="AJ1035" s="2" t="str">
        <f t="shared" si="377"/>
        <v>646235</v>
      </c>
    </row>
    <row r="1036" spans="1:36" x14ac:dyDescent="0.25">
      <c r="A1036">
        <v>7</v>
      </c>
      <c r="B1036" s="1">
        <v>46235</v>
      </c>
      <c r="C1036" s="1">
        <f t="shared" si="368"/>
        <v>46447</v>
      </c>
      <c r="D1036" s="1">
        <f t="shared" si="369"/>
        <v>46249</v>
      </c>
      <c r="E1036" s="1">
        <f t="shared" si="370"/>
        <v>46447</v>
      </c>
      <c r="F1036" s="1">
        <f t="shared" si="371"/>
        <v>46478</v>
      </c>
      <c r="G1036" s="1">
        <f t="shared" si="372"/>
        <v>46614</v>
      </c>
      <c r="H1036">
        <f t="shared" si="373"/>
        <v>365</v>
      </c>
      <c r="I1036">
        <f t="shared" si="374"/>
        <v>31</v>
      </c>
      <c r="J1036">
        <f t="shared" si="375"/>
        <v>8.4931506849315067E-2</v>
      </c>
      <c r="K1036">
        <f>IFERROR($J1036/IF($A1036&lt;COUNTIFS($K$1:K$1,"&lt;&gt;"),0,SUMIFS($J:$J,$B:$B,$B1036,$A:$A,"&gt;="&amp;COUNTIFS($K$1:K$1,"&lt;&gt;"))),0)</f>
        <v>8.9080459770114959E-2</v>
      </c>
      <c r="L1036">
        <f>IFERROR($J1036/IF($A1036&lt;COUNTIFS($K$1:L$1,"&lt;&gt;"),0,SUMIFS($J:$J,$B:$B,$B1036,$A:$A,"&gt;="&amp;COUNTIFS($K$1:L$1,"&lt;&gt;"))),0)</f>
        <v>9.7484276729559768E-2</v>
      </c>
      <c r="M1036">
        <f>IFERROR($J1036/IF($A1036&lt;COUNTIFS($K$1:M$1,"&lt;&gt;"),0,SUMIFS($J:$J,$B:$B,$B1036,$A:$A,"&gt;="&amp;COUNTIFS($K$1:M$1,"&lt;&gt;"))),0)</f>
        <v>0.10801393728222998</v>
      </c>
      <c r="N1036">
        <f>IFERROR($J1036/IF($A1036&lt;COUNTIFS($K$1:N$1,"&lt;&gt;"),0,SUMIFS($J:$J,$B:$B,$B1036,$A:$A,"&gt;="&amp;COUNTIFS($K$1:N$1,"&lt;&gt;"))),0)</f>
        <v>0.12062256809338523</v>
      </c>
      <c r="O1036">
        <f>IFERROR($J1036/IF($A1036&lt;COUNTIFS($K$1:O$1,"&lt;&gt;"),0,SUMIFS($J:$J,$B:$B,$B1036,$A:$A,"&gt;="&amp;COUNTIFS($K$1:O$1,"&lt;&gt;"))),0)</f>
        <v>0.13716814159292037</v>
      </c>
      <c r="P1036">
        <f>IFERROR($J1036/IF($A1036&lt;COUNTIFS($K$1:P$1,"&lt;&gt;"),0,SUMIFS($J:$J,$B:$B,$B1036,$A:$A,"&gt;="&amp;COUNTIFS($K$1:P$1,"&lt;&gt;"))),0)</f>
        <v>0.15897435897435899</v>
      </c>
      <c r="Q1036">
        <f>IFERROR($J1036/IF($A1036&lt;COUNTIFS($K$1:Q$1,"&lt;&gt;"),0,SUMIFS($J:$J,$B:$B,$B1036,$A:$A,"&gt;="&amp;COUNTIFS($K$1:Q$1,"&lt;&gt;"))),0)</f>
        <v>0.18562874251497008</v>
      </c>
      <c r="R1036">
        <f>IFERROR($J1036/IF($A1036&lt;COUNTIFS($K$1:R$1,"&lt;&gt;"),0,SUMIFS($J:$J,$B:$B,$B1036,$A:$A,"&gt;="&amp;COUNTIFS($K$1:R$1,"&lt;&gt;"))),0)</f>
        <v>0</v>
      </c>
      <c r="S1036">
        <f>IFERROR($J1036/IF($A1036&lt;COUNTIFS($K$1:S$1,"&lt;&gt;"),0,SUMIFS($J:$J,$B:$B,$B1036,$A:$A,"&gt;="&amp;COUNTIFS($K$1:S$1,"&lt;&gt;"))),0)</f>
        <v>0</v>
      </c>
      <c r="T1036">
        <f>IFERROR($J1036/IF($A1036&lt;COUNTIFS($K$1:T$1,"&lt;&gt;"),0,SUMIFS($J:$J,$B:$B,$B1036,$A:$A,"&gt;="&amp;COUNTIFS($K$1:T$1,"&lt;&gt;"))),0)</f>
        <v>0</v>
      </c>
      <c r="U1036">
        <f>IFERROR($J1036/IF($A1036&lt;COUNTIFS($K$1:U$1,"&lt;&gt;"),0,SUMIFS($J:$J,$B:$B,$B1036,$A:$A,"&gt;="&amp;COUNTIFS($K$1:U$1,"&lt;&gt;"))),0)</f>
        <v>0</v>
      </c>
      <c r="V1036">
        <f>IFERROR($J1036/IF($A1036&lt;COUNTIFS($K$1:V$1,"&lt;&gt;"),0,SUMIFS($J:$J,$B:$B,$B1036,$A:$A,"&gt;="&amp;COUNTIFS($K$1:V$1,"&lt;&gt;"))),0)</f>
        <v>0</v>
      </c>
      <c r="W1036">
        <f t="shared" si="376"/>
        <v>8.4931506849315067E-2</v>
      </c>
      <c r="X1036">
        <f t="shared" si="356"/>
        <v>8.4931506849315067E-2</v>
      </c>
      <c r="Y1036">
        <f t="shared" si="357"/>
        <v>8.4931506849315067E-2</v>
      </c>
      <c r="Z1036">
        <f t="shared" si="358"/>
        <v>8.4931506849315067E-2</v>
      </c>
      <c r="AA1036">
        <f t="shared" si="359"/>
        <v>8.4931506849315067E-2</v>
      </c>
      <c r="AB1036">
        <f t="shared" si="360"/>
        <v>8.4931506849315067E-2</v>
      </c>
      <c r="AC1036">
        <f t="shared" si="361"/>
        <v>8.4931506849315067E-2</v>
      </c>
      <c r="AD1036">
        <f t="shared" si="362"/>
        <v>8.4931506849315067E-2</v>
      </c>
      <c r="AE1036">
        <f t="shared" si="363"/>
        <v>0</v>
      </c>
      <c r="AF1036">
        <f t="shared" si="364"/>
        <v>0</v>
      </c>
      <c r="AG1036">
        <f t="shared" si="365"/>
        <v>0</v>
      </c>
      <c r="AH1036">
        <f t="shared" si="366"/>
        <v>0</v>
      </c>
      <c r="AI1036">
        <f t="shared" si="367"/>
        <v>0</v>
      </c>
      <c r="AJ1036" s="2" t="str">
        <f t="shared" si="377"/>
        <v>746235</v>
      </c>
    </row>
    <row r="1037" spans="1:36" x14ac:dyDescent="0.25">
      <c r="A1037">
        <v>8</v>
      </c>
      <c r="B1037" s="1">
        <v>46235</v>
      </c>
      <c r="C1037" s="1">
        <f t="shared" si="368"/>
        <v>46478</v>
      </c>
      <c r="D1037" s="1">
        <f t="shared" si="369"/>
        <v>46249</v>
      </c>
      <c r="E1037" s="1">
        <f t="shared" si="370"/>
        <v>46478</v>
      </c>
      <c r="F1037" s="1">
        <f t="shared" si="371"/>
        <v>46508</v>
      </c>
      <c r="G1037" s="1">
        <f t="shared" si="372"/>
        <v>46614</v>
      </c>
      <c r="H1037">
        <f t="shared" si="373"/>
        <v>365</v>
      </c>
      <c r="I1037">
        <f t="shared" si="374"/>
        <v>30</v>
      </c>
      <c r="J1037">
        <f t="shared" si="375"/>
        <v>8.2191780821917804E-2</v>
      </c>
      <c r="K1037">
        <f>IFERROR($J1037/IF($A1037&lt;COUNTIFS($K$1:K$1,"&lt;&gt;"),0,SUMIFS($J:$J,$B:$B,$B1037,$A:$A,"&gt;="&amp;COUNTIFS($K$1:K$1,"&lt;&gt;"))),0)</f>
        <v>8.6206896551724144E-2</v>
      </c>
      <c r="L1037">
        <f>IFERROR($J1037/IF($A1037&lt;COUNTIFS($K$1:L$1,"&lt;&gt;"),0,SUMIFS($J:$J,$B:$B,$B1037,$A:$A,"&gt;="&amp;COUNTIFS($K$1:L$1,"&lt;&gt;"))),0)</f>
        <v>9.4339622641509441E-2</v>
      </c>
      <c r="M1037">
        <f>IFERROR($J1037/IF($A1037&lt;COUNTIFS($K$1:M$1,"&lt;&gt;"),0,SUMIFS($J:$J,$B:$B,$B1037,$A:$A,"&gt;="&amp;COUNTIFS($K$1:M$1,"&lt;&gt;"))),0)</f>
        <v>0.10452961672473869</v>
      </c>
      <c r="N1037">
        <f>IFERROR($J1037/IF($A1037&lt;COUNTIFS($K$1:N$1,"&lt;&gt;"),0,SUMIFS($J:$J,$B:$B,$B1037,$A:$A,"&gt;="&amp;COUNTIFS($K$1:N$1,"&lt;&gt;"))),0)</f>
        <v>0.11673151750972764</v>
      </c>
      <c r="O1037">
        <f>IFERROR($J1037/IF($A1037&lt;COUNTIFS($K$1:O$1,"&lt;&gt;"),0,SUMIFS($J:$J,$B:$B,$B1037,$A:$A,"&gt;="&amp;COUNTIFS($K$1:O$1,"&lt;&gt;"))),0)</f>
        <v>0.13274336283185842</v>
      </c>
      <c r="P1037">
        <f>IFERROR($J1037/IF($A1037&lt;COUNTIFS($K$1:P$1,"&lt;&gt;"),0,SUMIFS($J:$J,$B:$B,$B1037,$A:$A,"&gt;="&amp;COUNTIFS($K$1:P$1,"&lt;&gt;"))),0)</f>
        <v>0.15384615384615385</v>
      </c>
      <c r="Q1037">
        <f>IFERROR($J1037/IF($A1037&lt;COUNTIFS($K$1:Q$1,"&lt;&gt;"),0,SUMIFS($J:$J,$B:$B,$B1037,$A:$A,"&gt;="&amp;COUNTIFS($K$1:Q$1,"&lt;&gt;"))),0)</f>
        <v>0.17964071856287425</v>
      </c>
      <c r="R1037">
        <f>IFERROR($J1037/IF($A1037&lt;COUNTIFS($K$1:R$1,"&lt;&gt;"),0,SUMIFS($J:$J,$B:$B,$B1037,$A:$A,"&gt;="&amp;COUNTIFS($K$1:R$1,"&lt;&gt;"))),0)</f>
        <v>0.22058823529411764</v>
      </c>
      <c r="S1037">
        <f>IFERROR($J1037/IF($A1037&lt;COUNTIFS($K$1:S$1,"&lt;&gt;"),0,SUMIFS($J:$J,$B:$B,$B1037,$A:$A,"&gt;="&amp;COUNTIFS($K$1:S$1,"&lt;&gt;"))),0)</f>
        <v>0</v>
      </c>
      <c r="T1037">
        <f>IFERROR($J1037/IF($A1037&lt;COUNTIFS($K$1:T$1,"&lt;&gt;"),0,SUMIFS($J:$J,$B:$B,$B1037,$A:$A,"&gt;="&amp;COUNTIFS($K$1:T$1,"&lt;&gt;"))),0)</f>
        <v>0</v>
      </c>
      <c r="U1037">
        <f>IFERROR($J1037/IF($A1037&lt;COUNTIFS($K$1:U$1,"&lt;&gt;"),0,SUMIFS($J:$J,$B:$B,$B1037,$A:$A,"&gt;="&amp;COUNTIFS($K$1:U$1,"&lt;&gt;"))),0)</f>
        <v>0</v>
      </c>
      <c r="V1037">
        <f>IFERROR($J1037/IF($A1037&lt;COUNTIFS($K$1:V$1,"&lt;&gt;"),0,SUMIFS($J:$J,$B:$B,$B1037,$A:$A,"&gt;="&amp;COUNTIFS($K$1:V$1,"&lt;&gt;"))),0)</f>
        <v>0</v>
      </c>
      <c r="W1037">
        <f t="shared" si="376"/>
        <v>8.2191780821917804E-2</v>
      </c>
      <c r="X1037">
        <f t="shared" si="356"/>
        <v>8.2191780821917804E-2</v>
      </c>
      <c r="Y1037">
        <f t="shared" si="357"/>
        <v>8.2191780821917804E-2</v>
      </c>
      <c r="Z1037">
        <f t="shared" si="358"/>
        <v>8.2191780821917804E-2</v>
      </c>
      <c r="AA1037">
        <f t="shared" si="359"/>
        <v>8.2191780821917804E-2</v>
      </c>
      <c r="AB1037">
        <f t="shared" si="360"/>
        <v>8.2191780821917804E-2</v>
      </c>
      <c r="AC1037">
        <f t="shared" si="361"/>
        <v>8.2191780821917804E-2</v>
      </c>
      <c r="AD1037">
        <f t="shared" si="362"/>
        <v>8.2191780821917804E-2</v>
      </c>
      <c r="AE1037">
        <f t="shared" si="363"/>
        <v>8.2191780821917804E-2</v>
      </c>
      <c r="AF1037">
        <f t="shared" si="364"/>
        <v>0</v>
      </c>
      <c r="AG1037">
        <f t="shared" si="365"/>
        <v>0</v>
      </c>
      <c r="AH1037">
        <f t="shared" si="366"/>
        <v>0</v>
      </c>
      <c r="AI1037">
        <f t="shared" si="367"/>
        <v>0</v>
      </c>
      <c r="AJ1037" s="2" t="str">
        <f t="shared" si="377"/>
        <v>846235</v>
      </c>
    </row>
    <row r="1038" spans="1:36" x14ac:dyDescent="0.25">
      <c r="A1038">
        <v>9</v>
      </c>
      <c r="B1038" s="1">
        <v>46235</v>
      </c>
      <c r="C1038" s="1">
        <f t="shared" si="368"/>
        <v>46508</v>
      </c>
      <c r="D1038" s="1">
        <f t="shared" si="369"/>
        <v>46249</v>
      </c>
      <c r="E1038" s="1">
        <f t="shared" si="370"/>
        <v>46508</v>
      </c>
      <c r="F1038" s="1">
        <f t="shared" si="371"/>
        <v>46539</v>
      </c>
      <c r="G1038" s="1">
        <f t="shared" si="372"/>
        <v>46614</v>
      </c>
      <c r="H1038">
        <f t="shared" si="373"/>
        <v>365</v>
      </c>
      <c r="I1038">
        <f t="shared" si="374"/>
        <v>31</v>
      </c>
      <c r="J1038">
        <f t="shared" si="375"/>
        <v>8.4931506849315067E-2</v>
      </c>
      <c r="K1038">
        <f>IFERROR($J1038/IF($A1038&lt;COUNTIFS($K$1:K$1,"&lt;&gt;"),0,SUMIFS($J:$J,$B:$B,$B1038,$A:$A,"&gt;="&amp;COUNTIFS($K$1:K$1,"&lt;&gt;"))),0)</f>
        <v>8.9080459770114959E-2</v>
      </c>
      <c r="L1038">
        <f>IFERROR($J1038/IF($A1038&lt;COUNTIFS($K$1:L$1,"&lt;&gt;"),0,SUMIFS($J:$J,$B:$B,$B1038,$A:$A,"&gt;="&amp;COUNTIFS($K$1:L$1,"&lt;&gt;"))),0)</f>
        <v>9.7484276729559768E-2</v>
      </c>
      <c r="M1038">
        <f>IFERROR($J1038/IF($A1038&lt;COUNTIFS($K$1:M$1,"&lt;&gt;"),0,SUMIFS($J:$J,$B:$B,$B1038,$A:$A,"&gt;="&amp;COUNTIFS($K$1:M$1,"&lt;&gt;"))),0)</f>
        <v>0.10801393728222998</v>
      </c>
      <c r="N1038">
        <f>IFERROR($J1038/IF($A1038&lt;COUNTIFS($K$1:N$1,"&lt;&gt;"),0,SUMIFS($J:$J,$B:$B,$B1038,$A:$A,"&gt;="&amp;COUNTIFS($K$1:N$1,"&lt;&gt;"))),0)</f>
        <v>0.12062256809338523</v>
      </c>
      <c r="O1038">
        <f>IFERROR($J1038/IF($A1038&lt;COUNTIFS($K$1:O$1,"&lt;&gt;"),0,SUMIFS($J:$J,$B:$B,$B1038,$A:$A,"&gt;="&amp;COUNTIFS($K$1:O$1,"&lt;&gt;"))),0)</f>
        <v>0.13716814159292037</v>
      </c>
      <c r="P1038">
        <f>IFERROR($J1038/IF($A1038&lt;COUNTIFS($K$1:P$1,"&lt;&gt;"),0,SUMIFS($J:$J,$B:$B,$B1038,$A:$A,"&gt;="&amp;COUNTIFS($K$1:P$1,"&lt;&gt;"))),0)</f>
        <v>0.15897435897435899</v>
      </c>
      <c r="Q1038">
        <f>IFERROR($J1038/IF($A1038&lt;COUNTIFS($K$1:Q$1,"&lt;&gt;"),0,SUMIFS($J:$J,$B:$B,$B1038,$A:$A,"&gt;="&amp;COUNTIFS($K$1:Q$1,"&lt;&gt;"))),0)</f>
        <v>0.18562874251497008</v>
      </c>
      <c r="R1038">
        <f>IFERROR($J1038/IF($A1038&lt;COUNTIFS($K$1:R$1,"&lt;&gt;"),0,SUMIFS($J:$J,$B:$B,$B1038,$A:$A,"&gt;="&amp;COUNTIFS($K$1:R$1,"&lt;&gt;"))),0)</f>
        <v>0.22794117647058826</v>
      </c>
      <c r="S1038">
        <f>IFERROR($J1038/IF($A1038&lt;COUNTIFS($K$1:S$1,"&lt;&gt;"),0,SUMIFS($J:$J,$B:$B,$B1038,$A:$A,"&gt;="&amp;COUNTIFS($K$1:S$1,"&lt;&gt;"))),0)</f>
        <v>0.29245283018867929</v>
      </c>
      <c r="T1038">
        <f>IFERROR($J1038/IF($A1038&lt;COUNTIFS($K$1:T$1,"&lt;&gt;"),0,SUMIFS($J:$J,$B:$B,$B1038,$A:$A,"&gt;="&amp;COUNTIFS($K$1:T$1,"&lt;&gt;"))),0)</f>
        <v>0</v>
      </c>
      <c r="U1038">
        <f>IFERROR($J1038/IF($A1038&lt;COUNTIFS($K$1:U$1,"&lt;&gt;"),0,SUMIFS($J:$J,$B:$B,$B1038,$A:$A,"&gt;="&amp;COUNTIFS($K$1:U$1,"&lt;&gt;"))),0)</f>
        <v>0</v>
      </c>
      <c r="V1038">
        <f>IFERROR($J1038/IF($A1038&lt;COUNTIFS($K$1:V$1,"&lt;&gt;"),0,SUMIFS($J:$J,$B:$B,$B1038,$A:$A,"&gt;="&amp;COUNTIFS($K$1:V$1,"&lt;&gt;"))),0)</f>
        <v>0</v>
      </c>
      <c r="W1038">
        <f t="shared" si="376"/>
        <v>8.4931506849315067E-2</v>
      </c>
      <c r="X1038">
        <f t="shared" si="356"/>
        <v>8.4931506849315067E-2</v>
      </c>
      <c r="Y1038">
        <f t="shared" si="357"/>
        <v>8.4931506849315067E-2</v>
      </c>
      <c r="Z1038">
        <f t="shared" si="358"/>
        <v>8.4931506849315067E-2</v>
      </c>
      <c r="AA1038">
        <f t="shared" si="359"/>
        <v>8.4931506849315067E-2</v>
      </c>
      <c r="AB1038">
        <f t="shared" si="360"/>
        <v>8.4931506849315067E-2</v>
      </c>
      <c r="AC1038">
        <f t="shared" si="361"/>
        <v>8.4931506849315067E-2</v>
      </c>
      <c r="AD1038">
        <f t="shared" si="362"/>
        <v>8.4931506849315067E-2</v>
      </c>
      <c r="AE1038">
        <f t="shared" si="363"/>
        <v>8.4931506849315067E-2</v>
      </c>
      <c r="AF1038">
        <f t="shared" si="364"/>
        <v>8.4931506849315067E-2</v>
      </c>
      <c r="AG1038">
        <f t="shared" si="365"/>
        <v>0</v>
      </c>
      <c r="AH1038">
        <f t="shared" si="366"/>
        <v>0</v>
      </c>
      <c r="AI1038">
        <f t="shared" si="367"/>
        <v>0</v>
      </c>
      <c r="AJ1038" s="2" t="str">
        <f t="shared" si="377"/>
        <v>946235</v>
      </c>
    </row>
    <row r="1039" spans="1:36" x14ac:dyDescent="0.25">
      <c r="A1039">
        <v>10</v>
      </c>
      <c r="B1039" s="1">
        <v>46235</v>
      </c>
      <c r="C1039" s="1">
        <f t="shared" si="368"/>
        <v>46539</v>
      </c>
      <c r="D1039" s="1">
        <f t="shared" si="369"/>
        <v>46249</v>
      </c>
      <c r="E1039" s="1">
        <f t="shared" si="370"/>
        <v>46539</v>
      </c>
      <c r="F1039" s="1">
        <f t="shared" si="371"/>
        <v>46569</v>
      </c>
      <c r="G1039" s="1">
        <f t="shared" si="372"/>
        <v>46614</v>
      </c>
      <c r="H1039">
        <f t="shared" si="373"/>
        <v>365</v>
      </c>
      <c r="I1039">
        <f t="shared" si="374"/>
        <v>30</v>
      </c>
      <c r="J1039">
        <f t="shared" si="375"/>
        <v>8.2191780821917804E-2</v>
      </c>
      <c r="K1039">
        <f>IFERROR($J1039/IF($A1039&lt;COUNTIFS($K$1:K$1,"&lt;&gt;"),0,SUMIFS($J:$J,$B:$B,$B1039,$A:$A,"&gt;="&amp;COUNTIFS($K$1:K$1,"&lt;&gt;"))),0)</f>
        <v>8.6206896551724144E-2</v>
      </c>
      <c r="L1039">
        <f>IFERROR($J1039/IF($A1039&lt;COUNTIFS($K$1:L$1,"&lt;&gt;"),0,SUMIFS($J:$J,$B:$B,$B1039,$A:$A,"&gt;="&amp;COUNTIFS($K$1:L$1,"&lt;&gt;"))),0)</f>
        <v>9.4339622641509441E-2</v>
      </c>
      <c r="M1039">
        <f>IFERROR($J1039/IF($A1039&lt;COUNTIFS($K$1:M$1,"&lt;&gt;"),0,SUMIFS($J:$J,$B:$B,$B1039,$A:$A,"&gt;="&amp;COUNTIFS($K$1:M$1,"&lt;&gt;"))),0)</f>
        <v>0.10452961672473869</v>
      </c>
      <c r="N1039">
        <f>IFERROR($J1039/IF($A1039&lt;COUNTIFS($K$1:N$1,"&lt;&gt;"),0,SUMIFS($J:$J,$B:$B,$B1039,$A:$A,"&gt;="&amp;COUNTIFS($K$1:N$1,"&lt;&gt;"))),0)</f>
        <v>0.11673151750972764</v>
      </c>
      <c r="O1039">
        <f>IFERROR($J1039/IF($A1039&lt;COUNTIFS($K$1:O$1,"&lt;&gt;"),0,SUMIFS($J:$J,$B:$B,$B1039,$A:$A,"&gt;="&amp;COUNTIFS($K$1:O$1,"&lt;&gt;"))),0)</f>
        <v>0.13274336283185842</v>
      </c>
      <c r="P1039">
        <f>IFERROR($J1039/IF($A1039&lt;COUNTIFS($K$1:P$1,"&lt;&gt;"),0,SUMIFS($J:$J,$B:$B,$B1039,$A:$A,"&gt;="&amp;COUNTIFS($K$1:P$1,"&lt;&gt;"))),0)</f>
        <v>0.15384615384615385</v>
      </c>
      <c r="Q1039">
        <f>IFERROR($J1039/IF($A1039&lt;COUNTIFS($K$1:Q$1,"&lt;&gt;"),0,SUMIFS($J:$J,$B:$B,$B1039,$A:$A,"&gt;="&amp;COUNTIFS($K$1:Q$1,"&lt;&gt;"))),0)</f>
        <v>0.17964071856287425</v>
      </c>
      <c r="R1039">
        <f>IFERROR($J1039/IF($A1039&lt;COUNTIFS($K$1:R$1,"&lt;&gt;"),0,SUMIFS($J:$J,$B:$B,$B1039,$A:$A,"&gt;="&amp;COUNTIFS($K$1:R$1,"&lt;&gt;"))),0)</f>
        <v>0.22058823529411764</v>
      </c>
      <c r="S1039">
        <f>IFERROR($J1039/IF($A1039&lt;COUNTIFS($K$1:S$1,"&lt;&gt;"),0,SUMIFS($J:$J,$B:$B,$B1039,$A:$A,"&gt;="&amp;COUNTIFS($K$1:S$1,"&lt;&gt;"))),0)</f>
        <v>0.28301886792452829</v>
      </c>
      <c r="T1039">
        <f>IFERROR($J1039/IF($A1039&lt;COUNTIFS($K$1:T$1,"&lt;&gt;"),0,SUMIFS($J:$J,$B:$B,$B1039,$A:$A,"&gt;="&amp;COUNTIFS($K$1:T$1,"&lt;&gt;"))),0)</f>
        <v>0.4</v>
      </c>
      <c r="U1039">
        <f>IFERROR($J1039/IF($A1039&lt;COUNTIFS($K$1:U$1,"&lt;&gt;"),0,SUMIFS($J:$J,$B:$B,$B1039,$A:$A,"&gt;="&amp;COUNTIFS($K$1:U$1,"&lt;&gt;"))),0)</f>
        <v>0</v>
      </c>
      <c r="V1039">
        <f>IFERROR($J1039/IF($A1039&lt;COUNTIFS($K$1:V$1,"&lt;&gt;"),0,SUMIFS($J:$J,$B:$B,$B1039,$A:$A,"&gt;="&amp;COUNTIFS($K$1:V$1,"&lt;&gt;"))),0)</f>
        <v>0</v>
      </c>
      <c r="W1039">
        <f t="shared" si="376"/>
        <v>8.2191780821917804E-2</v>
      </c>
      <c r="X1039">
        <f t="shared" si="356"/>
        <v>8.2191780821917804E-2</v>
      </c>
      <c r="Y1039">
        <f t="shared" si="357"/>
        <v>8.2191780821917804E-2</v>
      </c>
      <c r="Z1039">
        <f t="shared" si="358"/>
        <v>8.2191780821917804E-2</v>
      </c>
      <c r="AA1039">
        <f t="shared" si="359"/>
        <v>8.2191780821917804E-2</v>
      </c>
      <c r="AB1039">
        <f t="shared" si="360"/>
        <v>8.2191780821917804E-2</v>
      </c>
      <c r="AC1039">
        <f t="shared" si="361"/>
        <v>8.2191780821917804E-2</v>
      </c>
      <c r="AD1039">
        <f t="shared" si="362"/>
        <v>8.2191780821917804E-2</v>
      </c>
      <c r="AE1039">
        <f t="shared" si="363"/>
        <v>8.2191780821917804E-2</v>
      </c>
      <c r="AF1039">
        <f t="shared" si="364"/>
        <v>8.2191780821917804E-2</v>
      </c>
      <c r="AG1039">
        <f t="shared" si="365"/>
        <v>8.2191780821917804E-2</v>
      </c>
      <c r="AH1039">
        <f t="shared" si="366"/>
        <v>0</v>
      </c>
      <c r="AI1039">
        <f t="shared" si="367"/>
        <v>0</v>
      </c>
      <c r="AJ1039" s="2" t="str">
        <f t="shared" si="377"/>
        <v>1046235</v>
      </c>
    </row>
    <row r="1040" spans="1:36" x14ac:dyDescent="0.25">
      <c r="A1040">
        <v>11</v>
      </c>
      <c r="B1040" s="1">
        <v>46235</v>
      </c>
      <c r="C1040" s="1">
        <f t="shared" si="368"/>
        <v>46569</v>
      </c>
      <c r="D1040" s="1">
        <f t="shared" si="369"/>
        <v>46249</v>
      </c>
      <c r="E1040" s="1">
        <f t="shared" si="370"/>
        <v>46569</v>
      </c>
      <c r="F1040" s="1">
        <f t="shared" si="371"/>
        <v>46600</v>
      </c>
      <c r="G1040" s="1">
        <f t="shared" si="372"/>
        <v>46614</v>
      </c>
      <c r="H1040">
        <f t="shared" si="373"/>
        <v>365</v>
      </c>
      <c r="I1040">
        <f t="shared" si="374"/>
        <v>31</v>
      </c>
      <c r="J1040">
        <f t="shared" si="375"/>
        <v>8.4931506849315067E-2</v>
      </c>
      <c r="K1040">
        <f>IFERROR($J1040/IF($A1040&lt;COUNTIFS($K$1:K$1,"&lt;&gt;"),0,SUMIFS($J:$J,$B:$B,$B1040,$A:$A,"&gt;="&amp;COUNTIFS($K$1:K$1,"&lt;&gt;"))),0)</f>
        <v>8.9080459770114959E-2</v>
      </c>
      <c r="L1040">
        <f>IFERROR($J1040/IF($A1040&lt;COUNTIFS($K$1:L$1,"&lt;&gt;"),0,SUMIFS($J:$J,$B:$B,$B1040,$A:$A,"&gt;="&amp;COUNTIFS($K$1:L$1,"&lt;&gt;"))),0)</f>
        <v>9.7484276729559768E-2</v>
      </c>
      <c r="M1040">
        <f>IFERROR($J1040/IF($A1040&lt;COUNTIFS($K$1:M$1,"&lt;&gt;"),0,SUMIFS($J:$J,$B:$B,$B1040,$A:$A,"&gt;="&amp;COUNTIFS($K$1:M$1,"&lt;&gt;"))),0)</f>
        <v>0.10801393728222998</v>
      </c>
      <c r="N1040">
        <f>IFERROR($J1040/IF($A1040&lt;COUNTIFS($K$1:N$1,"&lt;&gt;"),0,SUMIFS($J:$J,$B:$B,$B1040,$A:$A,"&gt;="&amp;COUNTIFS($K$1:N$1,"&lt;&gt;"))),0)</f>
        <v>0.12062256809338523</v>
      </c>
      <c r="O1040">
        <f>IFERROR($J1040/IF($A1040&lt;COUNTIFS($K$1:O$1,"&lt;&gt;"),0,SUMIFS($J:$J,$B:$B,$B1040,$A:$A,"&gt;="&amp;COUNTIFS($K$1:O$1,"&lt;&gt;"))),0)</f>
        <v>0.13716814159292037</v>
      </c>
      <c r="P1040">
        <f>IFERROR($J1040/IF($A1040&lt;COUNTIFS($K$1:P$1,"&lt;&gt;"),0,SUMIFS($J:$J,$B:$B,$B1040,$A:$A,"&gt;="&amp;COUNTIFS($K$1:P$1,"&lt;&gt;"))),0)</f>
        <v>0.15897435897435899</v>
      </c>
      <c r="Q1040">
        <f>IFERROR($J1040/IF($A1040&lt;COUNTIFS($K$1:Q$1,"&lt;&gt;"),0,SUMIFS($J:$J,$B:$B,$B1040,$A:$A,"&gt;="&amp;COUNTIFS($K$1:Q$1,"&lt;&gt;"))),0)</f>
        <v>0.18562874251497008</v>
      </c>
      <c r="R1040">
        <f>IFERROR($J1040/IF($A1040&lt;COUNTIFS($K$1:R$1,"&lt;&gt;"),0,SUMIFS($J:$J,$B:$B,$B1040,$A:$A,"&gt;="&amp;COUNTIFS($K$1:R$1,"&lt;&gt;"))),0)</f>
        <v>0.22794117647058826</v>
      </c>
      <c r="S1040">
        <f>IFERROR($J1040/IF($A1040&lt;COUNTIFS($K$1:S$1,"&lt;&gt;"),0,SUMIFS($J:$J,$B:$B,$B1040,$A:$A,"&gt;="&amp;COUNTIFS($K$1:S$1,"&lt;&gt;"))),0)</f>
        <v>0.29245283018867929</v>
      </c>
      <c r="T1040">
        <f>IFERROR($J1040/IF($A1040&lt;COUNTIFS($K$1:T$1,"&lt;&gt;"),0,SUMIFS($J:$J,$B:$B,$B1040,$A:$A,"&gt;="&amp;COUNTIFS($K$1:T$1,"&lt;&gt;"))),0)</f>
        <v>0.41333333333333333</v>
      </c>
      <c r="U1040">
        <f>IFERROR($J1040/IF($A1040&lt;COUNTIFS($K$1:U$1,"&lt;&gt;"),0,SUMIFS($J:$J,$B:$B,$B1040,$A:$A,"&gt;="&amp;COUNTIFS($K$1:U$1,"&lt;&gt;"))),0)</f>
        <v>0.68888888888888888</v>
      </c>
      <c r="V1040">
        <f>IFERROR($J1040/IF($A1040&lt;COUNTIFS($K$1:V$1,"&lt;&gt;"),0,SUMIFS($J:$J,$B:$B,$B1040,$A:$A,"&gt;="&amp;COUNTIFS($K$1:V$1,"&lt;&gt;"))),0)</f>
        <v>0</v>
      </c>
      <c r="W1040">
        <f t="shared" si="376"/>
        <v>8.4931506849315067E-2</v>
      </c>
      <c r="X1040">
        <f t="shared" si="356"/>
        <v>8.4931506849315067E-2</v>
      </c>
      <c r="Y1040">
        <f t="shared" si="357"/>
        <v>8.4931506849315067E-2</v>
      </c>
      <c r="Z1040">
        <f t="shared" si="358"/>
        <v>8.4931506849315067E-2</v>
      </c>
      <c r="AA1040">
        <f t="shared" si="359"/>
        <v>8.4931506849315067E-2</v>
      </c>
      <c r="AB1040">
        <f t="shared" si="360"/>
        <v>8.4931506849315067E-2</v>
      </c>
      <c r="AC1040">
        <f t="shared" si="361"/>
        <v>8.4931506849315067E-2</v>
      </c>
      <c r="AD1040">
        <f t="shared" si="362"/>
        <v>8.4931506849315067E-2</v>
      </c>
      <c r="AE1040">
        <f t="shared" si="363"/>
        <v>8.4931506849315067E-2</v>
      </c>
      <c r="AF1040">
        <f t="shared" si="364"/>
        <v>8.4931506849315067E-2</v>
      </c>
      <c r="AG1040">
        <f t="shared" si="365"/>
        <v>8.4931506849315067E-2</v>
      </c>
      <c r="AH1040">
        <f t="shared" si="366"/>
        <v>8.4931506849315067E-2</v>
      </c>
      <c r="AI1040">
        <f t="shared" si="367"/>
        <v>0</v>
      </c>
      <c r="AJ1040" s="2" t="str">
        <f t="shared" si="377"/>
        <v>1146235</v>
      </c>
    </row>
    <row r="1041" spans="1:36" x14ac:dyDescent="0.25">
      <c r="A1041">
        <v>12</v>
      </c>
      <c r="B1041" s="1">
        <v>46235</v>
      </c>
      <c r="C1041" s="1">
        <f t="shared" si="368"/>
        <v>46600</v>
      </c>
      <c r="D1041" s="1">
        <f t="shared" si="369"/>
        <v>46249</v>
      </c>
      <c r="E1041" s="1">
        <f t="shared" si="370"/>
        <v>46600</v>
      </c>
      <c r="F1041" s="1">
        <f t="shared" si="371"/>
        <v>46614</v>
      </c>
      <c r="G1041" s="1">
        <f t="shared" si="372"/>
        <v>46614</v>
      </c>
      <c r="H1041">
        <f t="shared" si="373"/>
        <v>365</v>
      </c>
      <c r="I1041">
        <f t="shared" si="374"/>
        <v>14</v>
      </c>
      <c r="J1041">
        <f t="shared" si="375"/>
        <v>3.8356164383561646E-2</v>
      </c>
      <c r="K1041">
        <f>IFERROR($J1041/IF($A1041&lt;COUNTIFS($K$1:K$1,"&lt;&gt;"),0,SUMIFS($J:$J,$B:$B,$B1041,$A:$A,"&gt;="&amp;COUNTIFS($K$1:K$1,"&lt;&gt;"))),0)</f>
        <v>4.0229885057471271E-2</v>
      </c>
      <c r="L1041">
        <f>IFERROR($J1041/IF($A1041&lt;COUNTIFS($K$1:L$1,"&lt;&gt;"),0,SUMIFS($J:$J,$B:$B,$B1041,$A:$A,"&gt;="&amp;COUNTIFS($K$1:L$1,"&lt;&gt;"))),0)</f>
        <v>4.4025157232704414E-2</v>
      </c>
      <c r="M1041">
        <f>IFERROR($J1041/IF($A1041&lt;COUNTIFS($K$1:M$1,"&lt;&gt;"),0,SUMIFS($J:$J,$B:$B,$B1041,$A:$A,"&gt;="&amp;COUNTIFS($K$1:M$1,"&lt;&gt;"))),0)</f>
        <v>4.8780487804878057E-2</v>
      </c>
      <c r="N1041">
        <f>IFERROR($J1041/IF($A1041&lt;COUNTIFS($K$1:N$1,"&lt;&gt;"),0,SUMIFS($J:$J,$B:$B,$B1041,$A:$A,"&gt;="&amp;COUNTIFS($K$1:N$1,"&lt;&gt;"))),0)</f>
        <v>5.447470817120624E-2</v>
      </c>
      <c r="O1041">
        <f>IFERROR($J1041/IF($A1041&lt;COUNTIFS($K$1:O$1,"&lt;&gt;"),0,SUMIFS($J:$J,$B:$B,$B1041,$A:$A,"&gt;="&amp;COUNTIFS($K$1:O$1,"&lt;&gt;"))),0)</f>
        <v>6.194690265486727E-2</v>
      </c>
      <c r="P1041">
        <f>IFERROR($J1041/IF($A1041&lt;COUNTIFS($K$1:P$1,"&lt;&gt;"),0,SUMIFS($J:$J,$B:$B,$B1041,$A:$A,"&gt;="&amp;COUNTIFS($K$1:P$1,"&lt;&gt;"))),0)</f>
        <v>7.1794871794871803E-2</v>
      </c>
      <c r="Q1041">
        <f>IFERROR($J1041/IF($A1041&lt;COUNTIFS($K$1:Q$1,"&lt;&gt;"),0,SUMIFS($J:$J,$B:$B,$B1041,$A:$A,"&gt;="&amp;COUNTIFS($K$1:Q$1,"&lt;&gt;"))),0)</f>
        <v>8.3832335329341326E-2</v>
      </c>
      <c r="R1041">
        <f>IFERROR($J1041/IF($A1041&lt;COUNTIFS($K$1:R$1,"&lt;&gt;"),0,SUMIFS($J:$J,$B:$B,$B1041,$A:$A,"&gt;="&amp;COUNTIFS($K$1:R$1,"&lt;&gt;"))),0)</f>
        <v>0.10294117647058824</v>
      </c>
      <c r="S1041">
        <f>IFERROR($J1041/IF($A1041&lt;COUNTIFS($K$1:S$1,"&lt;&gt;"),0,SUMIFS($J:$J,$B:$B,$B1041,$A:$A,"&gt;="&amp;COUNTIFS($K$1:S$1,"&lt;&gt;"))),0)</f>
        <v>0.13207547169811323</v>
      </c>
      <c r="T1041">
        <f>IFERROR($J1041/IF($A1041&lt;COUNTIFS($K$1:T$1,"&lt;&gt;"),0,SUMIFS($J:$J,$B:$B,$B1041,$A:$A,"&gt;="&amp;COUNTIFS($K$1:T$1,"&lt;&gt;"))),0)</f>
        <v>0.18666666666666668</v>
      </c>
      <c r="U1041">
        <f>IFERROR($J1041/IF($A1041&lt;COUNTIFS($K$1:U$1,"&lt;&gt;"),0,SUMIFS($J:$J,$B:$B,$B1041,$A:$A,"&gt;="&amp;COUNTIFS($K$1:U$1,"&lt;&gt;"))),0)</f>
        <v>0.31111111111111117</v>
      </c>
      <c r="V1041">
        <f>IFERROR($J1041/IF($A1041&lt;COUNTIFS($K$1:V$1,"&lt;&gt;"),0,SUMIFS($J:$J,$B:$B,$B1041,$A:$A,"&gt;="&amp;COUNTIFS($K$1:V$1,"&lt;&gt;"))),0)</f>
        <v>1</v>
      </c>
      <c r="W1041">
        <f t="shared" si="376"/>
        <v>3.8356164383561646E-2</v>
      </c>
      <c r="X1041">
        <f t="shared" si="356"/>
        <v>3.8356164383561646E-2</v>
      </c>
      <c r="Y1041">
        <f t="shared" si="357"/>
        <v>3.8356164383561646E-2</v>
      </c>
      <c r="Z1041">
        <f t="shared" si="358"/>
        <v>3.8356164383561646E-2</v>
      </c>
      <c r="AA1041">
        <f t="shared" si="359"/>
        <v>3.8356164383561646E-2</v>
      </c>
      <c r="AB1041">
        <f t="shared" si="360"/>
        <v>3.8356164383561646E-2</v>
      </c>
      <c r="AC1041">
        <f t="shared" si="361"/>
        <v>3.8356164383561646E-2</v>
      </c>
      <c r="AD1041">
        <f t="shared" si="362"/>
        <v>3.8356164383561646E-2</v>
      </c>
      <c r="AE1041">
        <f t="shared" si="363"/>
        <v>3.8356164383561646E-2</v>
      </c>
      <c r="AF1041">
        <f t="shared" si="364"/>
        <v>3.8356164383561646E-2</v>
      </c>
      <c r="AG1041">
        <f t="shared" si="365"/>
        <v>3.8356164383561646E-2</v>
      </c>
      <c r="AH1041">
        <f t="shared" si="366"/>
        <v>3.8356164383561646E-2</v>
      </c>
      <c r="AI1041">
        <f t="shared" si="367"/>
        <v>3.8356164383561646E-2</v>
      </c>
      <c r="AJ1041" s="2" t="str">
        <f t="shared" si="377"/>
        <v>1246235</v>
      </c>
    </row>
    <row r="1042" spans="1:36" x14ac:dyDescent="0.25">
      <c r="A1042">
        <v>0</v>
      </c>
      <c r="B1042" s="1">
        <v>46266</v>
      </c>
      <c r="C1042" s="1">
        <f t="shared" si="368"/>
        <v>46266</v>
      </c>
      <c r="D1042" s="1">
        <f t="shared" si="369"/>
        <v>46280</v>
      </c>
      <c r="E1042" s="1">
        <f t="shared" si="370"/>
        <v>46280</v>
      </c>
      <c r="F1042" s="1">
        <f t="shared" si="371"/>
        <v>46296</v>
      </c>
      <c r="G1042" s="1">
        <f t="shared" si="372"/>
        <v>46645</v>
      </c>
      <c r="H1042">
        <f t="shared" si="373"/>
        <v>365</v>
      </c>
      <c r="I1042">
        <f t="shared" si="374"/>
        <v>16</v>
      </c>
      <c r="J1042">
        <f t="shared" si="375"/>
        <v>4.3835616438356165E-2</v>
      </c>
      <c r="K1042">
        <f>IFERROR($J1042/IF($A1042&lt;COUNTIFS($K$1:K$1,"&lt;&gt;"),0,SUMIFS($J:$J,$B:$B,$B1042,$A:$A,"&gt;="&amp;COUNTIFS($K$1:K$1,"&lt;&gt;"))),0)</f>
        <v>0</v>
      </c>
      <c r="L1042">
        <f>IFERROR($J1042/IF($A1042&lt;COUNTIFS($K$1:L$1,"&lt;&gt;"),0,SUMIFS($J:$J,$B:$B,$B1042,$A:$A,"&gt;="&amp;COUNTIFS($K$1:L$1,"&lt;&gt;"))),0)</f>
        <v>0</v>
      </c>
      <c r="M1042">
        <f>IFERROR($J1042/IF($A1042&lt;COUNTIFS($K$1:M$1,"&lt;&gt;"),0,SUMIFS($J:$J,$B:$B,$B1042,$A:$A,"&gt;="&amp;COUNTIFS($K$1:M$1,"&lt;&gt;"))),0)</f>
        <v>0</v>
      </c>
      <c r="N1042">
        <f>IFERROR($J1042/IF($A1042&lt;COUNTIFS($K$1:N$1,"&lt;&gt;"),0,SUMIFS($J:$J,$B:$B,$B1042,$A:$A,"&gt;="&amp;COUNTIFS($K$1:N$1,"&lt;&gt;"))),0)</f>
        <v>0</v>
      </c>
      <c r="O1042">
        <f>IFERROR($J1042/IF($A1042&lt;COUNTIFS($K$1:O$1,"&lt;&gt;"),0,SUMIFS($J:$J,$B:$B,$B1042,$A:$A,"&gt;="&amp;COUNTIFS($K$1:O$1,"&lt;&gt;"))),0)</f>
        <v>0</v>
      </c>
      <c r="P1042">
        <f>IFERROR($J1042/IF($A1042&lt;COUNTIFS($K$1:P$1,"&lt;&gt;"),0,SUMIFS($J:$J,$B:$B,$B1042,$A:$A,"&gt;="&amp;COUNTIFS($K$1:P$1,"&lt;&gt;"))),0)</f>
        <v>0</v>
      </c>
      <c r="Q1042">
        <f>IFERROR($J1042/IF($A1042&lt;COUNTIFS($K$1:Q$1,"&lt;&gt;"),0,SUMIFS($J:$J,$B:$B,$B1042,$A:$A,"&gt;="&amp;COUNTIFS($K$1:Q$1,"&lt;&gt;"))),0)</f>
        <v>0</v>
      </c>
      <c r="R1042">
        <f>IFERROR($J1042/IF($A1042&lt;COUNTIFS($K$1:R$1,"&lt;&gt;"),0,SUMIFS($J:$J,$B:$B,$B1042,$A:$A,"&gt;="&amp;COUNTIFS($K$1:R$1,"&lt;&gt;"))),0)</f>
        <v>0</v>
      </c>
      <c r="S1042">
        <f>IFERROR($J1042/IF($A1042&lt;COUNTIFS($K$1:S$1,"&lt;&gt;"),0,SUMIFS($J:$J,$B:$B,$B1042,$A:$A,"&gt;="&amp;COUNTIFS($K$1:S$1,"&lt;&gt;"))),0)</f>
        <v>0</v>
      </c>
      <c r="T1042">
        <f>IFERROR($J1042/IF($A1042&lt;COUNTIFS($K$1:T$1,"&lt;&gt;"),0,SUMIFS($J:$J,$B:$B,$B1042,$A:$A,"&gt;="&amp;COUNTIFS($K$1:T$1,"&lt;&gt;"))),0)</f>
        <v>0</v>
      </c>
      <c r="U1042">
        <f>IFERROR($J1042/IF($A1042&lt;COUNTIFS($K$1:U$1,"&lt;&gt;"),0,SUMIFS($J:$J,$B:$B,$B1042,$A:$A,"&gt;="&amp;COUNTIFS($K$1:U$1,"&lt;&gt;"))),0)</f>
        <v>0</v>
      </c>
      <c r="V1042">
        <f>IFERROR($J1042/IF($A1042&lt;COUNTIFS($K$1:V$1,"&lt;&gt;"),0,SUMIFS($J:$J,$B:$B,$B1042,$A:$A,"&gt;="&amp;COUNTIFS($K$1:V$1,"&lt;&gt;"))),0)</f>
        <v>0</v>
      </c>
      <c r="W1042">
        <f t="shared" si="376"/>
        <v>4.3835616438356165E-2</v>
      </c>
      <c r="X1042">
        <f t="shared" si="356"/>
        <v>0</v>
      </c>
      <c r="Y1042">
        <f t="shared" si="357"/>
        <v>0</v>
      </c>
      <c r="Z1042">
        <f t="shared" si="358"/>
        <v>0</v>
      </c>
      <c r="AA1042">
        <f t="shared" si="359"/>
        <v>0</v>
      </c>
      <c r="AB1042">
        <f t="shared" si="360"/>
        <v>0</v>
      </c>
      <c r="AC1042">
        <f t="shared" si="361"/>
        <v>0</v>
      </c>
      <c r="AD1042">
        <f t="shared" si="362"/>
        <v>0</v>
      </c>
      <c r="AE1042">
        <f t="shared" si="363"/>
        <v>0</v>
      </c>
      <c r="AF1042">
        <f t="shared" si="364"/>
        <v>0</v>
      </c>
      <c r="AG1042">
        <f t="shared" si="365"/>
        <v>0</v>
      </c>
      <c r="AH1042">
        <f t="shared" si="366"/>
        <v>0</v>
      </c>
      <c r="AI1042">
        <f t="shared" si="367"/>
        <v>0</v>
      </c>
      <c r="AJ1042" s="2" t="str">
        <f t="shared" si="377"/>
        <v>046266</v>
      </c>
    </row>
    <row r="1043" spans="1:36" x14ac:dyDescent="0.25">
      <c r="A1043">
        <v>1</v>
      </c>
      <c r="B1043" s="1">
        <v>46266</v>
      </c>
      <c r="C1043" s="1">
        <f t="shared" si="368"/>
        <v>46296</v>
      </c>
      <c r="D1043" s="1">
        <f t="shared" si="369"/>
        <v>46280</v>
      </c>
      <c r="E1043" s="1">
        <f t="shared" si="370"/>
        <v>46296</v>
      </c>
      <c r="F1043" s="1">
        <f t="shared" si="371"/>
        <v>46327</v>
      </c>
      <c r="G1043" s="1">
        <f t="shared" si="372"/>
        <v>46645</v>
      </c>
      <c r="H1043">
        <f t="shared" si="373"/>
        <v>365</v>
      </c>
      <c r="I1043">
        <f t="shared" si="374"/>
        <v>31</v>
      </c>
      <c r="J1043">
        <f t="shared" si="375"/>
        <v>8.4931506849315067E-2</v>
      </c>
      <c r="K1043">
        <f>IFERROR($J1043/IF($A1043&lt;COUNTIFS($K$1:K$1,"&lt;&gt;"),0,SUMIFS($J:$J,$B:$B,$B1043,$A:$A,"&gt;="&amp;COUNTIFS($K$1:K$1,"&lt;&gt;"))),0)</f>
        <v>8.8825214899713484E-2</v>
      </c>
      <c r="L1043">
        <f>IFERROR($J1043/IF($A1043&lt;COUNTIFS($K$1:L$1,"&lt;&gt;"),0,SUMIFS($J:$J,$B:$B,$B1043,$A:$A,"&gt;="&amp;COUNTIFS($K$1:L$1,"&lt;&gt;"))),0)</f>
        <v>0</v>
      </c>
      <c r="M1043">
        <f>IFERROR($J1043/IF($A1043&lt;COUNTIFS($K$1:M$1,"&lt;&gt;"),0,SUMIFS($J:$J,$B:$B,$B1043,$A:$A,"&gt;="&amp;COUNTIFS($K$1:M$1,"&lt;&gt;"))),0)</f>
        <v>0</v>
      </c>
      <c r="N1043">
        <f>IFERROR($J1043/IF($A1043&lt;COUNTIFS($K$1:N$1,"&lt;&gt;"),0,SUMIFS($J:$J,$B:$B,$B1043,$A:$A,"&gt;="&amp;COUNTIFS($K$1:N$1,"&lt;&gt;"))),0)</f>
        <v>0</v>
      </c>
      <c r="O1043">
        <f>IFERROR($J1043/IF($A1043&lt;COUNTIFS($K$1:O$1,"&lt;&gt;"),0,SUMIFS($J:$J,$B:$B,$B1043,$A:$A,"&gt;="&amp;COUNTIFS($K$1:O$1,"&lt;&gt;"))),0)</f>
        <v>0</v>
      </c>
      <c r="P1043">
        <f>IFERROR($J1043/IF($A1043&lt;COUNTIFS($K$1:P$1,"&lt;&gt;"),0,SUMIFS($J:$J,$B:$B,$B1043,$A:$A,"&gt;="&amp;COUNTIFS($K$1:P$1,"&lt;&gt;"))),0)</f>
        <v>0</v>
      </c>
      <c r="Q1043">
        <f>IFERROR($J1043/IF($A1043&lt;COUNTIFS($K$1:Q$1,"&lt;&gt;"),0,SUMIFS($J:$J,$B:$B,$B1043,$A:$A,"&gt;="&amp;COUNTIFS($K$1:Q$1,"&lt;&gt;"))),0)</f>
        <v>0</v>
      </c>
      <c r="R1043">
        <f>IFERROR($J1043/IF($A1043&lt;COUNTIFS($K$1:R$1,"&lt;&gt;"),0,SUMIFS($J:$J,$B:$B,$B1043,$A:$A,"&gt;="&amp;COUNTIFS($K$1:R$1,"&lt;&gt;"))),0)</f>
        <v>0</v>
      </c>
      <c r="S1043">
        <f>IFERROR($J1043/IF($A1043&lt;COUNTIFS($K$1:S$1,"&lt;&gt;"),0,SUMIFS($J:$J,$B:$B,$B1043,$A:$A,"&gt;="&amp;COUNTIFS($K$1:S$1,"&lt;&gt;"))),0)</f>
        <v>0</v>
      </c>
      <c r="T1043">
        <f>IFERROR($J1043/IF($A1043&lt;COUNTIFS($K$1:T$1,"&lt;&gt;"),0,SUMIFS($J:$J,$B:$B,$B1043,$A:$A,"&gt;="&amp;COUNTIFS($K$1:T$1,"&lt;&gt;"))),0)</f>
        <v>0</v>
      </c>
      <c r="U1043">
        <f>IFERROR($J1043/IF($A1043&lt;COUNTIFS($K$1:U$1,"&lt;&gt;"),0,SUMIFS($J:$J,$B:$B,$B1043,$A:$A,"&gt;="&amp;COUNTIFS($K$1:U$1,"&lt;&gt;"))),0)</f>
        <v>0</v>
      </c>
      <c r="V1043">
        <f>IFERROR($J1043/IF($A1043&lt;COUNTIFS($K$1:V$1,"&lt;&gt;"),0,SUMIFS($J:$J,$B:$B,$B1043,$A:$A,"&gt;="&amp;COUNTIFS($K$1:V$1,"&lt;&gt;"))),0)</f>
        <v>0</v>
      </c>
      <c r="W1043">
        <f t="shared" si="376"/>
        <v>8.4931506849315067E-2</v>
      </c>
      <c r="X1043">
        <f t="shared" si="356"/>
        <v>8.4931506849315067E-2</v>
      </c>
      <c r="Y1043">
        <f t="shared" si="357"/>
        <v>0</v>
      </c>
      <c r="Z1043">
        <f t="shared" si="358"/>
        <v>0</v>
      </c>
      <c r="AA1043">
        <f t="shared" si="359"/>
        <v>0</v>
      </c>
      <c r="AB1043">
        <f t="shared" si="360"/>
        <v>0</v>
      </c>
      <c r="AC1043">
        <f t="shared" si="361"/>
        <v>0</v>
      </c>
      <c r="AD1043">
        <f t="shared" si="362"/>
        <v>0</v>
      </c>
      <c r="AE1043">
        <f t="shared" si="363"/>
        <v>0</v>
      </c>
      <c r="AF1043">
        <f t="shared" si="364"/>
        <v>0</v>
      </c>
      <c r="AG1043">
        <f t="shared" si="365"/>
        <v>0</v>
      </c>
      <c r="AH1043">
        <f t="shared" si="366"/>
        <v>0</v>
      </c>
      <c r="AI1043">
        <f t="shared" si="367"/>
        <v>0</v>
      </c>
      <c r="AJ1043" s="2" t="str">
        <f t="shared" si="377"/>
        <v>146266</v>
      </c>
    </row>
    <row r="1044" spans="1:36" x14ac:dyDescent="0.25">
      <c r="A1044">
        <v>2</v>
      </c>
      <c r="B1044" s="1">
        <v>46266</v>
      </c>
      <c r="C1044" s="1">
        <f t="shared" si="368"/>
        <v>46327</v>
      </c>
      <c r="D1044" s="1">
        <f t="shared" si="369"/>
        <v>46280</v>
      </c>
      <c r="E1044" s="1">
        <f t="shared" si="370"/>
        <v>46327</v>
      </c>
      <c r="F1044" s="1">
        <f t="shared" si="371"/>
        <v>46357</v>
      </c>
      <c r="G1044" s="1">
        <f t="shared" si="372"/>
        <v>46645</v>
      </c>
      <c r="H1044">
        <f t="shared" si="373"/>
        <v>365</v>
      </c>
      <c r="I1044">
        <f t="shared" si="374"/>
        <v>30</v>
      </c>
      <c r="J1044">
        <f t="shared" si="375"/>
        <v>8.2191780821917804E-2</v>
      </c>
      <c r="K1044">
        <f>IFERROR($J1044/IF($A1044&lt;COUNTIFS($K$1:K$1,"&lt;&gt;"),0,SUMIFS($J:$J,$B:$B,$B1044,$A:$A,"&gt;="&amp;COUNTIFS($K$1:K$1,"&lt;&gt;"))),0)</f>
        <v>8.5959885386819493E-2</v>
      </c>
      <c r="L1044">
        <f>IFERROR($J1044/IF($A1044&lt;COUNTIFS($K$1:L$1,"&lt;&gt;"),0,SUMIFS($J:$J,$B:$B,$B1044,$A:$A,"&gt;="&amp;COUNTIFS($K$1:L$1,"&lt;&gt;"))),0)</f>
        <v>9.4339622641509441E-2</v>
      </c>
      <c r="M1044">
        <f>IFERROR($J1044/IF($A1044&lt;COUNTIFS($K$1:M$1,"&lt;&gt;"),0,SUMIFS($J:$J,$B:$B,$B1044,$A:$A,"&gt;="&amp;COUNTIFS($K$1:M$1,"&lt;&gt;"))),0)</f>
        <v>0</v>
      </c>
      <c r="N1044">
        <f>IFERROR($J1044/IF($A1044&lt;COUNTIFS($K$1:N$1,"&lt;&gt;"),0,SUMIFS($J:$J,$B:$B,$B1044,$A:$A,"&gt;="&amp;COUNTIFS($K$1:N$1,"&lt;&gt;"))),0)</f>
        <v>0</v>
      </c>
      <c r="O1044">
        <f>IFERROR($J1044/IF($A1044&lt;COUNTIFS($K$1:O$1,"&lt;&gt;"),0,SUMIFS($J:$J,$B:$B,$B1044,$A:$A,"&gt;="&amp;COUNTIFS($K$1:O$1,"&lt;&gt;"))),0)</f>
        <v>0</v>
      </c>
      <c r="P1044">
        <f>IFERROR($J1044/IF($A1044&lt;COUNTIFS($K$1:P$1,"&lt;&gt;"),0,SUMIFS($J:$J,$B:$B,$B1044,$A:$A,"&gt;="&amp;COUNTIFS($K$1:P$1,"&lt;&gt;"))),0)</f>
        <v>0</v>
      </c>
      <c r="Q1044">
        <f>IFERROR($J1044/IF($A1044&lt;COUNTIFS($K$1:Q$1,"&lt;&gt;"),0,SUMIFS($J:$J,$B:$B,$B1044,$A:$A,"&gt;="&amp;COUNTIFS($K$1:Q$1,"&lt;&gt;"))),0)</f>
        <v>0</v>
      </c>
      <c r="R1044">
        <f>IFERROR($J1044/IF($A1044&lt;COUNTIFS($K$1:R$1,"&lt;&gt;"),0,SUMIFS($J:$J,$B:$B,$B1044,$A:$A,"&gt;="&amp;COUNTIFS($K$1:R$1,"&lt;&gt;"))),0)</f>
        <v>0</v>
      </c>
      <c r="S1044">
        <f>IFERROR($J1044/IF($A1044&lt;COUNTIFS($K$1:S$1,"&lt;&gt;"),0,SUMIFS($J:$J,$B:$B,$B1044,$A:$A,"&gt;="&amp;COUNTIFS($K$1:S$1,"&lt;&gt;"))),0)</f>
        <v>0</v>
      </c>
      <c r="T1044">
        <f>IFERROR($J1044/IF($A1044&lt;COUNTIFS($K$1:T$1,"&lt;&gt;"),0,SUMIFS($J:$J,$B:$B,$B1044,$A:$A,"&gt;="&amp;COUNTIFS($K$1:T$1,"&lt;&gt;"))),0)</f>
        <v>0</v>
      </c>
      <c r="U1044">
        <f>IFERROR($J1044/IF($A1044&lt;COUNTIFS($K$1:U$1,"&lt;&gt;"),0,SUMIFS($J:$J,$B:$B,$B1044,$A:$A,"&gt;="&amp;COUNTIFS($K$1:U$1,"&lt;&gt;"))),0)</f>
        <v>0</v>
      </c>
      <c r="V1044">
        <f>IFERROR($J1044/IF($A1044&lt;COUNTIFS($K$1:V$1,"&lt;&gt;"),0,SUMIFS($J:$J,$B:$B,$B1044,$A:$A,"&gt;="&amp;COUNTIFS($K$1:V$1,"&lt;&gt;"))),0)</f>
        <v>0</v>
      </c>
      <c r="W1044">
        <f t="shared" si="376"/>
        <v>8.2191780821917804E-2</v>
      </c>
      <c r="X1044">
        <f t="shared" si="356"/>
        <v>8.2191780821917804E-2</v>
      </c>
      <c r="Y1044">
        <f t="shared" si="357"/>
        <v>8.2191780821917804E-2</v>
      </c>
      <c r="Z1044">
        <f t="shared" si="358"/>
        <v>0</v>
      </c>
      <c r="AA1044">
        <f t="shared" si="359"/>
        <v>0</v>
      </c>
      <c r="AB1044">
        <f t="shared" si="360"/>
        <v>0</v>
      </c>
      <c r="AC1044">
        <f t="shared" si="361"/>
        <v>0</v>
      </c>
      <c r="AD1044">
        <f t="shared" si="362"/>
        <v>0</v>
      </c>
      <c r="AE1044">
        <f t="shared" si="363"/>
        <v>0</v>
      </c>
      <c r="AF1044">
        <f t="shared" si="364"/>
        <v>0</v>
      </c>
      <c r="AG1044">
        <f t="shared" si="365"/>
        <v>0</v>
      </c>
      <c r="AH1044">
        <f t="shared" si="366"/>
        <v>0</v>
      </c>
      <c r="AI1044">
        <f t="shared" si="367"/>
        <v>0</v>
      </c>
      <c r="AJ1044" s="2" t="str">
        <f t="shared" si="377"/>
        <v>246266</v>
      </c>
    </row>
    <row r="1045" spans="1:36" x14ac:dyDescent="0.25">
      <c r="A1045">
        <v>3</v>
      </c>
      <c r="B1045" s="1">
        <v>46266</v>
      </c>
      <c r="C1045" s="1">
        <f t="shared" si="368"/>
        <v>46357</v>
      </c>
      <c r="D1045" s="1">
        <f t="shared" si="369"/>
        <v>46280</v>
      </c>
      <c r="E1045" s="1">
        <f t="shared" si="370"/>
        <v>46357</v>
      </c>
      <c r="F1045" s="1">
        <f t="shared" si="371"/>
        <v>46388</v>
      </c>
      <c r="G1045" s="1">
        <f t="shared" si="372"/>
        <v>46645</v>
      </c>
      <c r="H1045">
        <f t="shared" si="373"/>
        <v>365</v>
      </c>
      <c r="I1045">
        <f t="shared" si="374"/>
        <v>31</v>
      </c>
      <c r="J1045">
        <f t="shared" si="375"/>
        <v>8.4931506849315067E-2</v>
      </c>
      <c r="K1045">
        <f>IFERROR($J1045/IF($A1045&lt;COUNTIFS($K$1:K$1,"&lt;&gt;"),0,SUMIFS($J:$J,$B:$B,$B1045,$A:$A,"&gt;="&amp;COUNTIFS($K$1:K$1,"&lt;&gt;"))),0)</f>
        <v>8.8825214899713484E-2</v>
      </c>
      <c r="L1045">
        <f>IFERROR($J1045/IF($A1045&lt;COUNTIFS($K$1:L$1,"&lt;&gt;"),0,SUMIFS($J:$J,$B:$B,$B1045,$A:$A,"&gt;="&amp;COUNTIFS($K$1:L$1,"&lt;&gt;"))),0)</f>
        <v>9.7484276729559768E-2</v>
      </c>
      <c r="M1045">
        <f>IFERROR($J1045/IF($A1045&lt;COUNTIFS($K$1:M$1,"&lt;&gt;"),0,SUMIFS($J:$J,$B:$B,$B1045,$A:$A,"&gt;="&amp;COUNTIFS($K$1:M$1,"&lt;&gt;"))),0)</f>
        <v>0.10763888888888891</v>
      </c>
      <c r="N1045">
        <f>IFERROR($J1045/IF($A1045&lt;COUNTIFS($K$1:N$1,"&lt;&gt;"),0,SUMIFS($J:$J,$B:$B,$B1045,$A:$A,"&gt;="&amp;COUNTIFS($K$1:N$1,"&lt;&gt;"))),0)</f>
        <v>0</v>
      </c>
      <c r="O1045">
        <f>IFERROR($J1045/IF($A1045&lt;COUNTIFS($K$1:O$1,"&lt;&gt;"),0,SUMIFS($J:$J,$B:$B,$B1045,$A:$A,"&gt;="&amp;COUNTIFS($K$1:O$1,"&lt;&gt;"))),0)</f>
        <v>0</v>
      </c>
      <c r="P1045">
        <f>IFERROR($J1045/IF($A1045&lt;COUNTIFS($K$1:P$1,"&lt;&gt;"),0,SUMIFS($J:$J,$B:$B,$B1045,$A:$A,"&gt;="&amp;COUNTIFS($K$1:P$1,"&lt;&gt;"))),0)</f>
        <v>0</v>
      </c>
      <c r="Q1045">
        <f>IFERROR($J1045/IF($A1045&lt;COUNTIFS($K$1:Q$1,"&lt;&gt;"),0,SUMIFS($J:$J,$B:$B,$B1045,$A:$A,"&gt;="&amp;COUNTIFS($K$1:Q$1,"&lt;&gt;"))),0)</f>
        <v>0</v>
      </c>
      <c r="R1045">
        <f>IFERROR($J1045/IF($A1045&lt;COUNTIFS($K$1:R$1,"&lt;&gt;"),0,SUMIFS($J:$J,$B:$B,$B1045,$A:$A,"&gt;="&amp;COUNTIFS($K$1:R$1,"&lt;&gt;"))),0)</f>
        <v>0</v>
      </c>
      <c r="S1045">
        <f>IFERROR($J1045/IF($A1045&lt;COUNTIFS($K$1:S$1,"&lt;&gt;"),0,SUMIFS($J:$J,$B:$B,$B1045,$A:$A,"&gt;="&amp;COUNTIFS($K$1:S$1,"&lt;&gt;"))),0)</f>
        <v>0</v>
      </c>
      <c r="T1045">
        <f>IFERROR($J1045/IF($A1045&lt;COUNTIFS($K$1:T$1,"&lt;&gt;"),0,SUMIFS($J:$J,$B:$B,$B1045,$A:$A,"&gt;="&amp;COUNTIFS($K$1:T$1,"&lt;&gt;"))),0)</f>
        <v>0</v>
      </c>
      <c r="U1045">
        <f>IFERROR($J1045/IF($A1045&lt;COUNTIFS($K$1:U$1,"&lt;&gt;"),0,SUMIFS($J:$J,$B:$B,$B1045,$A:$A,"&gt;="&amp;COUNTIFS($K$1:U$1,"&lt;&gt;"))),0)</f>
        <v>0</v>
      </c>
      <c r="V1045">
        <f>IFERROR($J1045/IF($A1045&lt;COUNTIFS($K$1:V$1,"&lt;&gt;"),0,SUMIFS($J:$J,$B:$B,$B1045,$A:$A,"&gt;="&amp;COUNTIFS($K$1:V$1,"&lt;&gt;"))),0)</f>
        <v>0</v>
      </c>
      <c r="W1045">
        <f t="shared" si="376"/>
        <v>8.4931506849315067E-2</v>
      </c>
      <c r="X1045">
        <f t="shared" si="356"/>
        <v>8.4931506849315067E-2</v>
      </c>
      <c r="Y1045">
        <f t="shared" si="357"/>
        <v>8.4931506849315067E-2</v>
      </c>
      <c r="Z1045">
        <f t="shared" si="358"/>
        <v>8.4931506849315067E-2</v>
      </c>
      <c r="AA1045">
        <f t="shared" si="359"/>
        <v>0</v>
      </c>
      <c r="AB1045">
        <f t="shared" si="360"/>
        <v>0</v>
      </c>
      <c r="AC1045">
        <f t="shared" si="361"/>
        <v>0</v>
      </c>
      <c r="AD1045">
        <f t="shared" si="362"/>
        <v>0</v>
      </c>
      <c r="AE1045">
        <f t="shared" si="363"/>
        <v>0</v>
      </c>
      <c r="AF1045">
        <f t="shared" si="364"/>
        <v>0</v>
      </c>
      <c r="AG1045">
        <f t="shared" si="365"/>
        <v>0</v>
      </c>
      <c r="AH1045">
        <f t="shared" si="366"/>
        <v>0</v>
      </c>
      <c r="AI1045">
        <f t="shared" si="367"/>
        <v>0</v>
      </c>
      <c r="AJ1045" s="2" t="str">
        <f t="shared" si="377"/>
        <v>346266</v>
      </c>
    </row>
    <row r="1046" spans="1:36" x14ac:dyDescent="0.25">
      <c r="A1046">
        <v>4</v>
      </c>
      <c r="B1046" s="1">
        <v>46266</v>
      </c>
      <c r="C1046" s="1">
        <f t="shared" si="368"/>
        <v>46388</v>
      </c>
      <c r="D1046" s="1">
        <f t="shared" si="369"/>
        <v>46280</v>
      </c>
      <c r="E1046" s="1">
        <f t="shared" si="370"/>
        <v>46388</v>
      </c>
      <c r="F1046" s="1">
        <f t="shared" si="371"/>
        <v>46419</v>
      </c>
      <c r="G1046" s="1">
        <f t="shared" si="372"/>
        <v>46645</v>
      </c>
      <c r="H1046">
        <f t="shared" si="373"/>
        <v>365</v>
      </c>
      <c r="I1046">
        <f t="shared" si="374"/>
        <v>31</v>
      </c>
      <c r="J1046">
        <f t="shared" si="375"/>
        <v>8.4931506849315067E-2</v>
      </c>
      <c r="K1046">
        <f>IFERROR($J1046/IF($A1046&lt;COUNTIFS($K$1:K$1,"&lt;&gt;"),0,SUMIFS($J:$J,$B:$B,$B1046,$A:$A,"&gt;="&amp;COUNTIFS($K$1:K$1,"&lt;&gt;"))),0)</f>
        <v>8.8825214899713484E-2</v>
      </c>
      <c r="L1046">
        <f>IFERROR($J1046/IF($A1046&lt;COUNTIFS($K$1:L$1,"&lt;&gt;"),0,SUMIFS($J:$J,$B:$B,$B1046,$A:$A,"&gt;="&amp;COUNTIFS($K$1:L$1,"&lt;&gt;"))),0)</f>
        <v>9.7484276729559768E-2</v>
      </c>
      <c r="M1046">
        <f>IFERROR($J1046/IF($A1046&lt;COUNTIFS($K$1:M$1,"&lt;&gt;"),0,SUMIFS($J:$J,$B:$B,$B1046,$A:$A,"&gt;="&amp;COUNTIFS($K$1:M$1,"&lt;&gt;"))),0)</f>
        <v>0.10763888888888891</v>
      </c>
      <c r="N1046">
        <f>IFERROR($J1046/IF($A1046&lt;COUNTIFS($K$1:N$1,"&lt;&gt;"),0,SUMIFS($J:$J,$B:$B,$B1046,$A:$A,"&gt;="&amp;COUNTIFS($K$1:N$1,"&lt;&gt;"))),0)</f>
        <v>0.12062256809338523</v>
      </c>
      <c r="O1046">
        <f>IFERROR($J1046/IF($A1046&lt;COUNTIFS($K$1:O$1,"&lt;&gt;"),0,SUMIFS($J:$J,$B:$B,$B1046,$A:$A,"&gt;="&amp;COUNTIFS($K$1:O$1,"&lt;&gt;"))),0)</f>
        <v>0</v>
      </c>
      <c r="P1046">
        <f>IFERROR($J1046/IF($A1046&lt;COUNTIFS($K$1:P$1,"&lt;&gt;"),0,SUMIFS($J:$J,$B:$B,$B1046,$A:$A,"&gt;="&amp;COUNTIFS($K$1:P$1,"&lt;&gt;"))),0)</f>
        <v>0</v>
      </c>
      <c r="Q1046">
        <f>IFERROR($J1046/IF($A1046&lt;COUNTIFS($K$1:Q$1,"&lt;&gt;"),0,SUMIFS($J:$J,$B:$B,$B1046,$A:$A,"&gt;="&amp;COUNTIFS($K$1:Q$1,"&lt;&gt;"))),0)</f>
        <v>0</v>
      </c>
      <c r="R1046">
        <f>IFERROR($J1046/IF($A1046&lt;COUNTIFS($K$1:R$1,"&lt;&gt;"),0,SUMIFS($J:$J,$B:$B,$B1046,$A:$A,"&gt;="&amp;COUNTIFS($K$1:R$1,"&lt;&gt;"))),0)</f>
        <v>0</v>
      </c>
      <c r="S1046">
        <f>IFERROR($J1046/IF($A1046&lt;COUNTIFS($K$1:S$1,"&lt;&gt;"),0,SUMIFS($J:$J,$B:$B,$B1046,$A:$A,"&gt;="&amp;COUNTIFS($K$1:S$1,"&lt;&gt;"))),0)</f>
        <v>0</v>
      </c>
      <c r="T1046">
        <f>IFERROR($J1046/IF($A1046&lt;COUNTIFS($K$1:T$1,"&lt;&gt;"),0,SUMIFS($J:$J,$B:$B,$B1046,$A:$A,"&gt;="&amp;COUNTIFS($K$1:T$1,"&lt;&gt;"))),0)</f>
        <v>0</v>
      </c>
      <c r="U1046">
        <f>IFERROR($J1046/IF($A1046&lt;COUNTIFS($K$1:U$1,"&lt;&gt;"),0,SUMIFS($J:$J,$B:$B,$B1046,$A:$A,"&gt;="&amp;COUNTIFS($K$1:U$1,"&lt;&gt;"))),0)</f>
        <v>0</v>
      </c>
      <c r="V1046">
        <f>IFERROR($J1046/IF($A1046&lt;COUNTIFS($K$1:V$1,"&lt;&gt;"),0,SUMIFS($J:$J,$B:$B,$B1046,$A:$A,"&gt;="&amp;COUNTIFS($K$1:V$1,"&lt;&gt;"))),0)</f>
        <v>0</v>
      </c>
      <c r="W1046">
        <f t="shared" si="376"/>
        <v>8.4931506849315067E-2</v>
      </c>
      <c r="X1046">
        <f t="shared" si="356"/>
        <v>8.4931506849315067E-2</v>
      </c>
      <c r="Y1046">
        <f t="shared" si="357"/>
        <v>8.4931506849315067E-2</v>
      </c>
      <c r="Z1046">
        <f t="shared" si="358"/>
        <v>8.4931506849315067E-2</v>
      </c>
      <c r="AA1046">
        <f t="shared" si="359"/>
        <v>8.4931506849315067E-2</v>
      </c>
      <c r="AB1046">
        <f t="shared" si="360"/>
        <v>0</v>
      </c>
      <c r="AC1046">
        <f t="shared" si="361"/>
        <v>0</v>
      </c>
      <c r="AD1046">
        <f t="shared" si="362"/>
        <v>0</v>
      </c>
      <c r="AE1046">
        <f t="shared" si="363"/>
        <v>0</v>
      </c>
      <c r="AF1046">
        <f t="shared" si="364"/>
        <v>0</v>
      </c>
      <c r="AG1046">
        <f t="shared" si="365"/>
        <v>0</v>
      </c>
      <c r="AH1046">
        <f t="shared" si="366"/>
        <v>0</v>
      </c>
      <c r="AI1046">
        <f t="shared" si="367"/>
        <v>0</v>
      </c>
      <c r="AJ1046" s="2" t="str">
        <f t="shared" si="377"/>
        <v>446266</v>
      </c>
    </row>
    <row r="1047" spans="1:36" x14ac:dyDescent="0.25">
      <c r="A1047">
        <v>5</v>
      </c>
      <c r="B1047" s="1">
        <v>46266</v>
      </c>
      <c r="C1047" s="1">
        <f t="shared" si="368"/>
        <v>46419</v>
      </c>
      <c r="D1047" s="1">
        <f t="shared" si="369"/>
        <v>46280</v>
      </c>
      <c r="E1047" s="1">
        <f t="shared" si="370"/>
        <v>46419</v>
      </c>
      <c r="F1047" s="1">
        <f t="shared" si="371"/>
        <v>46447</v>
      </c>
      <c r="G1047" s="1">
        <f t="shared" si="372"/>
        <v>46645</v>
      </c>
      <c r="H1047">
        <f t="shared" si="373"/>
        <v>365</v>
      </c>
      <c r="I1047">
        <f t="shared" si="374"/>
        <v>28</v>
      </c>
      <c r="J1047">
        <f t="shared" si="375"/>
        <v>7.6712328767123292E-2</v>
      </c>
      <c r="K1047">
        <f>IFERROR($J1047/IF($A1047&lt;COUNTIFS($K$1:K$1,"&lt;&gt;"),0,SUMIFS($J:$J,$B:$B,$B1047,$A:$A,"&gt;="&amp;COUNTIFS($K$1:K$1,"&lt;&gt;"))),0)</f>
        <v>8.0229226361031539E-2</v>
      </c>
      <c r="L1047">
        <f>IFERROR($J1047/IF($A1047&lt;COUNTIFS($K$1:L$1,"&lt;&gt;"),0,SUMIFS($J:$J,$B:$B,$B1047,$A:$A,"&gt;="&amp;COUNTIFS($K$1:L$1,"&lt;&gt;"))),0)</f>
        <v>8.8050314465408827E-2</v>
      </c>
      <c r="M1047">
        <f>IFERROR($J1047/IF($A1047&lt;COUNTIFS($K$1:M$1,"&lt;&gt;"),0,SUMIFS($J:$J,$B:$B,$B1047,$A:$A,"&gt;="&amp;COUNTIFS($K$1:M$1,"&lt;&gt;"))),0)</f>
        <v>9.7222222222222238E-2</v>
      </c>
      <c r="N1047">
        <f>IFERROR($J1047/IF($A1047&lt;COUNTIFS($K$1:N$1,"&lt;&gt;"),0,SUMIFS($J:$J,$B:$B,$B1047,$A:$A,"&gt;="&amp;COUNTIFS($K$1:N$1,"&lt;&gt;"))),0)</f>
        <v>0.10894941634241248</v>
      </c>
      <c r="O1047">
        <f>IFERROR($J1047/IF($A1047&lt;COUNTIFS($K$1:O$1,"&lt;&gt;"),0,SUMIFS($J:$J,$B:$B,$B1047,$A:$A,"&gt;="&amp;COUNTIFS($K$1:O$1,"&lt;&gt;"))),0)</f>
        <v>0.12389380530973454</v>
      </c>
      <c r="P1047">
        <f>IFERROR($J1047/IF($A1047&lt;COUNTIFS($K$1:P$1,"&lt;&gt;"),0,SUMIFS($J:$J,$B:$B,$B1047,$A:$A,"&gt;="&amp;COUNTIFS($K$1:P$1,"&lt;&gt;"))),0)</f>
        <v>0</v>
      </c>
      <c r="Q1047">
        <f>IFERROR($J1047/IF($A1047&lt;COUNTIFS($K$1:Q$1,"&lt;&gt;"),0,SUMIFS($J:$J,$B:$B,$B1047,$A:$A,"&gt;="&amp;COUNTIFS($K$1:Q$1,"&lt;&gt;"))),0)</f>
        <v>0</v>
      </c>
      <c r="R1047">
        <f>IFERROR($J1047/IF($A1047&lt;COUNTIFS($K$1:R$1,"&lt;&gt;"),0,SUMIFS($J:$J,$B:$B,$B1047,$A:$A,"&gt;="&amp;COUNTIFS($K$1:R$1,"&lt;&gt;"))),0)</f>
        <v>0</v>
      </c>
      <c r="S1047">
        <f>IFERROR($J1047/IF($A1047&lt;COUNTIFS($K$1:S$1,"&lt;&gt;"),0,SUMIFS($J:$J,$B:$B,$B1047,$A:$A,"&gt;="&amp;COUNTIFS($K$1:S$1,"&lt;&gt;"))),0)</f>
        <v>0</v>
      </c>
      <c r="T1047">
        <f>IFERROR($J1047/IF($A1047&lt;COUNTIFS($K$1:T$1,"&lt;&gt;"),0,SUMIFS($J:$J,$B:$B,$B1047,$A:$A,"&gt;="&amp;COUNTIFS($K$1:T$1,"&lt;&gt;"))),0)</f>
        <v>0</v>
      </c>
      <c r="U1047">
        <f>IFERROR($J1047/IF($A1047&lt;COUNTIFS($K$1:U$1,"&lt;&gt;"),0,SUMIFS($J:$J,$B:$B,$B1047,$A:$A,"&gt;="&amp;COUNTIFS($K$1:U$1,"&lt;&gt;"))),0)</f>
        <v>0</v>
      </c>
      <c r="V1047">
        <f>IFERROR($J1047/IF($A1047&lt;COUNTIFS($K$1:V$1,"&lt;&gt;"),0,SUMIFS($J:$J,$B:$B,$B1047,$A:$A,"&gt;="&amp;COUNTIFS($K$1:V$1,"&lt;&gt;"))),0)</f>
        <v>0</v>
      </c>
      <c r="W1047">
        <f t="shared" si="376"/>
        <v>7.6712328767123292E-2</v>
      </c>
      <c r="X1047">
        <f t="shared" si="356"/>
        <v>7.6712328767123292E-2</v>
      </c>
      <c r="Y1047">
        <f t="shared" si="357"/>
        <v>7.6712328767123292E-2</v>
      </c>
      <c r="Z1047">
        <f t="shared" si="358"/>
        <v>7.6712328767123292E-2</v>
      </c>
      <c r="AA1047">
        <f t="shared" si="359"/>
        <v>7.6712328767123292E-2</v>
      </c>
      <c r="AB1047">
        <f t="shared" si="360"/>
        <v>7.6712328767123292E-2</v>
      </c>
      <c r="AC1047">
        <f t="shared" si="361"/>
        <v>0</v>
      </c>
      <c r="AD1047">
        <f t="shared" si="362"/>
        <v>0</v>
      </c>
      <c r="AE1047">
        <f t="shared" si="363"/>
        <v>0</v>
      </c>
      <c r="AF1047">
        <f t="shared" si="364"/>
        <v>0</v>
      </c>
      <c r="AG1047">
        <f t="shared" si="365"/>
        <v>0</v>
      </c>
      <c r="AH1047">
        <f t="shared" si="366"/>
        <v>0</v>
      </c>
      <c r="AI1047">
        <f t="shared" si="367"/>
        <v>0</v>
      </c>
      <c r="AJ1047" s="2" t="str">
        <f t="shared" si="377"/>
        <v>546266</v>
      </c>
    </row>
    <row r="1048" spans="1:36" x14ac:dyDescent="0.25">
      <c r="A1048">
        <v>6</v>
      </c>
      <c r="B1048" s="1">
        <v>46266</v>
      </c>
      <c r="C1048" s="1">
        <f t="shared" si="368"/>
        <v>46447</v>
      </c>
      <c r="D1048" s="1">
        <f t="shared" si="369"/>
        <v>46280</v>
      </c>
      <c r="E1048" s="1">
        <f t="shared" si="370"/>
        <v>46447</v>
      </c>
      <c r="F1048" s="1">
        <f t="shared" si="371"/>
        <v>46478</v>
      </c>
      <c r="G1048" s="1">
        <f t="shared" si="372"/>
        <v>46645</v>
      </c>
      <c r="H1048">
        <f t="shared" si="373"/>
        <v>365</v>
      </c>
      <c r="I1048">
        <f t="shared" si="374"/>
        <v>31</v>
      </c>
      <c r="J1048">
        <f t="shared" si="375"/>
        <v>8.4931506849315067E-2</v>
      </c>
      <c r="K1048">
        <f>IFERROR($J1048/IF($A1048&lt;COUNTIFS($K$1:K$1,"&lt;&gt;"),0,SUMIFS($J:$J,$B:$B,$B1048,$A:$A,"&gt;="&amp;COUNTIFS($K$1:K$1,"&lt;&gt;"))),0)</f>
        <v>8.8825214899713484E-2</v>
      </c>
      <c r="L1048">
        <f>IFERROR($J1048/IF($A1048&lt;COUNTIFS($K$1:L$1,"&lt;&gt;"),0,SUMIFS($J:$J,$B:$B,$B1048,$A:$A,"&gt;="&amp;COUNTIFS($K$1:L$1,"&lt;&gt;"))),0)</f>
        <v>9.7484276729559768E-2</v>
      </c>
      <c r="M1048">
        <f>IFERROR($J1048/IF($A1048&lt;COUNTIFS($K$1:M$1,"&lt;&gt;"),0,SUMIFS($J:$J,$B:$B,$B1048,$A:$A,"&gt;="&amp;COUNTIFS($K$1:M$1,"&lt;&gt;"))),0)</f>
        <v>0.10763888888888891</v>
      </c>
      <c r="N1048">
        <f>IFERROR($J1048/IF($A1048&lt;COUNTIFS($K$1:N$1,"&lt;&gt;"),0,SUMIFS($J:$J,$B:$B,$B1048,$A:$A,"&gt;="&amp;COUNTIFS($K$1:N$1,"&lt;&gt;"))),0)</f>
        <v>0.12062256809338523</v>
      </c>
      <c r="O1048">
        <f>IFERROR($J1048/IF($A1048&lt;COUNTIFS($K$1:O$1,"&lt;&gt;"),0,SUMIFS($J:$J,$B:$B,$B1048,$A:$A,"&gt;="&amp;COUNTIFS($K$1:O$1,"&lt;&gt;"))),0)</f>
        <v>0.13716814159292037</v>
      </c>
      <c r="P1048">
        <f>IFERROR($J1048/IF($A1048&lt;COUNTIFS($K$1:P$1,"&lt;&gt;"),0,SUMIFS($J:$J,$B:$B,$B1048,$A:$A,"&gt;="&amp;COUNTIFS($K$1:P$1,"&lt;&gt;"))),0)</f>
        <v>0.1565656565656566</v>
      </c>
      <c r="Q1048">
        <f>IFERROR($J1048/IF($A1048&lt;COUNTIFS($K$1:Q$1,"&lt;&gt;"),0,SUMIFS($J:$J,$B:$B,$B1048,$A:$A,"&gt;="&amp;COUNTIFS($K$1:Q$1,"&lt;&gt;"))),0)</f>
        <v>0</v>
      </c>
      <c r="R1048">
        <f>IFERROR($J1048/IF($A1048&lt;COUNTIFS($K$1:R$1,"&lt;&gt;"),0,SUMIFS($J:$J,$B:$B,$B1048,$A:$A,"&gt;="&amp;COUNTIFS($K$1:R$1,"&lt;&gt;"))),0)</f>
        <v>0</v>
      </c>
      <c r="S1048">
        <f>IFERROR($J1048/IF($A1048&lt;COUNTIFS($K$1:S$1,"&lt;&gt;"),0,SUMIFS($J:$J,$B:$B,$B1048,$A:$A,"&gt;="&amp;COUNTIFS($K$1:S$1,"&lt;&gt;"))),0)</f>
        <v>0</v>
      </c>
      <c r="T1048">
        <f>IFERROR($J1048/IF($A1048&lt;COUNTIFS($K$1:T$1,"&lt;&gt;"),0,SUMIFS($J:$J,$B:$B,$B1048,$A:$A,"&gt;="&amp;COUNTIFS($K$1:T$1,"&lt;&gt;"))),0)</f>
        <v>0</v>
      </c>
      <c r="U1048">
        <f>IFERROR($J1048/IF($A1048&lt;COUNTIFS($K$1:U$1,"&lt;&gt;"),0,SUMIFS($J:$J,$B:$B,$B1048,$A:$A,"&gt;="&amp;COUNTIFS($K$1:U$1,"&lt;&gt;"))),0)</f>
        <v>0</v>
      </c>
      <c r="V1048">
        <f>IFERROR($J1048/IF($A1048&lt;COUNTIFS($K$1:V$1,"&lt;&gt;"),0,SUMIFS($J:$J,$B:$B,$B1048,$A:$A,"&gt;="&amp;COUNTIFS($K$1:V$1,"&lt;&gt;"))),0)</f>
        <v>0</v>
      </c>
      <c r="W1048">
        <f t="shared" si="376"/>
        <v>8.4931506849315067E-2</v>
      </c>
      <c r="X1048">
        <f t="shared" si="356"/>
        <v>8.4931506849315067E-2</v>
      </c>
      <c r="Y1048">
        <f t="shared" si="357"/>
        <v>8.4931506849315067E-2</v>
      </c>
      <c r="Z1048">
        <f t="shared" si="358"/>
        <v>8.4931506849315067E-2</v>
      </c>
      <c r="AA1048">
        <f t="shared" si="359"/>
        <v>8.4931506849315067E-2</v>
      </c>
      <c r="AB1048">
        <f t="shared" si="360"/>
        <v>8.4931506849315067E-2</v>
      </c>
      <c r="AC1048">
        <f t="shared" si="361"/>
        <v>8.4931506849315067E-2</v>
      </c>
      <c r="AD1048">
        <f t="shared" si="362"/>
        <v>0</v>
      </c>
      <c r="AE1048">
        <f t="shared" si="363"/>
        <v>0</v>
      </c>
      <c r="AF1048">
        <f t="shared" si="364"/>
        <v>0</v>
      </c>
      <c r="AG1048">
        <f t="shared" si="365"/>
        <v>0</v>
      </c>
      <c r="AH1048">
        <f t="shared" si="366"/>
        <v>0</v>
      </c>
      <c r="AI1048">
        <f t="shared" si="367"/>
        <v>0</v>
      </c>
      <c r="AJ1048" s="2" t="str">
        <f t="shared" si="377"/>
        <v>646266</v>
      </c>
    </row>
    <row r="1049" spans="1:36" x14ac:dyDescent="0.25">
      <c r="A1049">
        <v>7</v>
      </c>
      <c r="B1049" s="1">
        <v>46266</v>
      </c>
      <c r="C1049" s="1">
        <f t="shared" si="368"/>
        <v>46478</v>
      </c>
      <c r="D1049" s="1">
        <f t="shared" si="369"/>
        <v>46280</v>
      </c>
      <c r="E1049" s="1">
        <f t="shared" si="370"/>
        <v>46478</v>
      </c>
      <c r="F1049" s="1">
        <f t="shared" si="371"/>
        <v>46508</v>
      </c>
      <c r="G1049" s="1">
        <f t="shared" si="372"/>
        <v>46645</v>
      </c>
      <c r="H1049">
        <f t="shared" si="373"/>
        <v>365</v>
      </c>
      <c r="I1049">
        <f t="shared" si="374"/>
        <v>30</v>
      </c>
      <c r="J1049">
        <f t="shared" si="375"/>
        <v>8.2191780821917804E-2</v>
      </c>
      <c r="K1049">
        <f>IFERROR($J1049/IF($A1049&lt;COUNTIFS($K$1:K$1,"&lt;&gt;"),0,SUMIFS($J:$J,$B:$B,$B1049,$A:$A,"&gt;="&amp;COUNTIFS($K$1:K$1,"&lt;&gt;"))),0)</f>
        <v>8.5959885386819493E-2</v>
      </c>
      <c r="L1049">
        <f>IFERROR($J1049/IF($A1049&lt;COUNTIFS($K$1:L$1,"&lt;&gt;"),0,SUMIFS($J:$J,$B:$B,$B1049,$A:$A,"&gt;="&amp;COUNTIFS($K$1:L$1,"&lt;&gt;"))),0)</f>
        <v>9.4339622641509441E-2</v>
      </c>
      <c r="M1049">
        <f>IFERROR($J1049/IF($A1049&lt;COUNTIFS($K$1:M$1,"&lt;&gt;"),0,SUMIFS($J:$J,$B:$B,$B1049,$A:$A,"&gt;="&amp;COUNTIFS($K$1:M$1,"&lt;&gt;"))),0)</f>
        <v>0.10416666666666669</v>
      </c>
      <c r="N1049">
        <f>IFERROR($J1049/IF($A1049&lt;COUNTIFS($K$1:N$1,"&lt;&gt;"),0,SUMIFS($J:$J,$B:$B,$B1049,$A:$A,"&gt;="&amp;COUNTIFS($K$1:N$1,"&lt;&gt;"))),0)</f>
        <v>0.11673151750972764</v>
      </c>
      <c r="O1049">
        <f>IFERROR($J1049/IF($A1049&lt;COUNTIFS($K$1:O$1,"&lt;&gt;"),0,SUMIFS($J:$J,$B:$B,$B1049,$A:$A,"&gt;="&amp;COUNTIFS($K$1:O$1,"&lt;&gt;"))),0)</f>
        <v>0.13274336283185842</v>
      </c>
      <c r="P1049">
        <f>IFERROR($J1049/IF($A1049&lt;COUNTIFS($K$1:P$1,"&lt;&gt;"),0,SUMIFS($J:$J,$B:$B,$B1049,$A:$A,"&gt;="&amp;COUNTIFS($K$1:P$1,"&lt;&gt;"))),0)</f>
        <v>0.15151515151515155</v>
      </c>
      <c r="Q1049">
        <f>IFERROR($J1049/IF($A1049&lt;COUNTIFS($K$1:Q$1,"&lt;&gt;"),0,SUMIFS($J:$J,$B:$B,$B1049,$A:$A,"&gt;="&amp;COUNTIFS($K$1:Q$1,"&lt;&gt;"))),0)</f>
        <v>0.17964071856287425</v>
      </c>
      <c r="R1049">
        <f>IFERROR($J1049/IF($A1049&lt;COUNTIFS($K$1:R$1,"&lt;&gt;"),0,SUMIFS($J:$J,$B:$B,$B1049,$A:$A,"&gt;="&amp;COUNTIFS($K$1:R$1,"&lt;&gt;"))),0)</f>
        <v>0</v>
      </c>
      <c r="S1049">
        <f>IFERROR($J1049/IF($A1049&lt;COUNTIFS($K$1:S$1,"&lt;&gt;"),0,SUMIFS($J:$J,$B:$B,$B1049,$A:$A,"&gt;="&amp;COUNTIFS($K$1:S$1,"&lt;&gt;"))),0)</f>
        <v>0</v>
      </c>
      <c r="T1049">
        <f>IFERROR($J1049/IF($A1049&lt;COUNTIFS($K$1:T$1,"&lt;&gt;"),0,SUMIFS($J:$J,$B:$B,$B1049,$A:$A,"&gt;="&amp;COUNTIFS($K$1:T$1,"&lt;&gt;"))),0)</f>
        <v>0</v>
      </c>
      <c r="U1049">
        <f>IFERROR($J1049/IF($A1049&lt;COUNTIFS($K$1:U$1,"&lt;&gt;"),0,SUMIFS($J:$J,$B:$B,$B1049,$A:$A,"&gt;="&amp;COUNTIFS($K$1:U$1,"&lt;&gt;"))),0)</f>
        <v>0</v>
      </c>
      <c r="V1049">
        <f>IFERROR($J1049/IF($A1049&lt;COUNTIFS($K$1:V$1,"&lt;&gt;"),0,SUMIFS($J:$J,$B:$B,$B1049,$A:$A,"&gt;="&amp;COUNTIFS($K$1:V$1,"&lt;&gt;"))),0)</f>
        <v>0</v>
      </c>
      <c r="W1049">
        <f t="shared" si="376"/>
        <v>8.2191780821917804E-2</v>
      </c>
      <c r="X1049">
        <f t="shared" si="356"/>
        <v>8.2191780821917804E-2</v>
      </c>
      <c r="Y1049">
        <f t="shared" si="357"/>
        <v>8.2191780821917804E-2</v>
      </c>
      <c r="Z1049">
        <f t="shared" si="358"/>
        <v>8.2191780821917804E-2</v>
      </c>
      <c r="AA1049">
        <f t="shared" si="359"/>
        <v>8.2191780821917804E-2</v>
      </c>
      <c r="AB1049">
        <f t="shared" si="360"/>
        <v>8.2191780821917804E-2</v>
      </c>
      <c r="AC1049">
        <f t="shared" si="361"/>
        <v>8.2191780821917804E-2</v>
      </c>
      <c r="AD1049">
        <f t="shared" si="362"/>
        <v>8.2191780821917804E-2</v>
      </c>
      <c r="AE1049">
        <f t="shared" si="363"/>
        <v>0</v>
      </c>
      <c r="AF1049">
        <f t="shared" si="364"/>
        <v>0</v>
      </c>
      <c r="AG1049">
        <f t="shared" si="365"/>
        <v>0</v>
      </c>
      <c r="AH1049">
        <f t="shared" si="366"/>
        <v>0</v>
      </c>
      <c r="AI1049">
        <f t="shared" si="367"/>
        <v>0</v>
      </c>
      <c r="AJ1049" s="2" t="str">
        <f t="shared" si="377"/>
        <v>746266</v>
      </c>
    </row>
    <row r="1050" spans="1:36" x14ac:dyDescent="0.25">
      <c r="A1050">
        <v>8</v>
      </c>
      <c r="B1050" s="1">
        <v>46266</v>
      </c>
      <c r="C1050" s="1">
        <f t="shared" si="368"/>
        <v>46508</v>
      </c>
      <c r="D1050" s="1">
        <f t="shared" si="369"/>
        <v>46280</v>
      </c>
      <c r="E1050" s="1">
        <f t="shared" si="370"/>
        <v>46508</v>
      </c>
      <c r="F1050" s="1">
        <f t="shared" si="371"/>
        <v>46539</v>
      </c>
      <c r="G1050" s="1">
        <f t="shared" si="372"/>
        <v>46645</v>
      </c>
      <c r="H1050">
        <f t="shared" si="373"/>
        <v>365</v>
      </c>
      <c r="I1050">
        <f t="shared" si="374"/>
        <v>31</v>
      </c>
      <c r="J1050">
        <f t="shared" si="375"/>
        <v>8.4931506849315067E-2</v>
      </c>
      <c r="K1050">
        <f>IFERROR($J1050/IF($A1050&lt;COUNTIFS($K$1:K$1,"&lt;&gt;"),0,SUMIFS($J:$J,$B:$B,$B1050,$A:$A,"&gt;="&amp;COUNTIFS($K$1:K$1,"&lt;&gt;"))),0)</f>
        <v>8.8825214899713484E-2</v>
      </c>
      <c r="L1050">
        <f>IFERROR($J1050/IF($A1050&lt;COUNTIFS($K$1:L$1,"&lt;&gt;"),0,SUMIFS($J:$J,$B:$B,$B1050,$A:$A,"&gt;="&amp;COUNTIFS($K$1:L$1,"&lt;&gt;"))),0)</f>
        <v>9.7484276729559768E-2</v>
      </c>
      <c r="M1050">
        <f>IFERROR($J1050/IF($A1050&lt;COUNTIFS($K$1:M$1,"&lt;&gt;"),0,SUMIFS($J:$J,$B:$B,$B1050,$A:$A,"&gt;="&amp;COUNTIFS($K$1:M$1,"&lt;&gt;"))),0)</f>
        <v>0.10763888888888891</v>
      </c>
      <c r="N1050">
        <f>IFERROR($J1050/IF($A1050&lt;COUNTIFS($K$1:N$1,"&lt;&gt;"),0,SUMIFS($J:$J,$B:$B,$B1050,$A:$A,"&gt;="&amp;COUNTIFS($K$1:N$1,"&lt;&gt;"))),0)</f>
        <v>0.12062256809338523</v>
      </c>
      <c r="O1050">
        <f>IFERROR($J1050/IF($A1050&lt;COUNTIFS($K$1:O$1,"&lt;&gt;"),0,SUMIFS($J:$J,$B:$B,$B1050,$A:$A,"&gt;="&amp;COUNTIFS($K$1:O$1,"&lt;&gt;"))),0)</f>
        <v>0.13716814159292037</v>
      </c>
      <c r="P1050">
        <f>IFERROR($J1050/IF($A1050&lt;COUNTIFS($K$1:P$1,"&lt;&gt;"),0,SUMIFS($J:$J,$B:$B,$B1050,$A:$A,"&gt;="&amp;COUNTIFS($K$1:P$1,"&lt;&gt;"))),0)</f>
        <v>0.1565656565656566</v>
      </c>
      <c r="Q1050">
        <f>IFERROR($J1050/IF($A1050&lt;COUNTIFS($K$1:Q$1,"&lt;&gt;"),0,SUMIFS($J:$J,$B:$B,$B1050,$A:$A,"&gt;="&amp;COUNTIFS($K$1:Q$1,"&lt;&gt;"))),0)</f>
        <v>0.18562874251497008</v>
      </c>
      <c r="R1050">
        <f>IFERROR($J1050/IF($A1050&lt;COUNTIFS($K$1:R$1,"&lt;&gt;"),0,SUMIFS($J:$J,$B:$B,$B1050,$A:$A,"&gt;="&amp;COUNTIFS($K$1:R$1,"&lt;&gt;"))),0)</f>
        <v>0.22627737226277375</v>
      </c>
      <c r="S1050">
        <f>IFERROR($J1050/IF($A1050&lt;COUNTIFS($K$1:S$1,"&lt;&gt;"),0,SUMIFS($J:$J,$B:$B,$B1050,$A:$A,"&gt;="&amp;COUNTIFS($K$1:S$1,"&lt;&gt;"))),0)</f>
        <v>0</v>
      </c>
      <c r="T1050">
        <f>IFERROR($J1050/IF($A1050&lt;COUNTIFS($K$1:T$1,"&lt;&gt;"),0,SUMIFS($J:$J,$B:$B,$B1050,$A:$A,"&gt;="&amp;COUNTIFS($K$1:T$1,"&lt;&gt;"))),0)</f>
        <v>0</v>
      </c>
      <c r="U1050">
        <f>IFERROR($J1050/IF($A1050&lt;COUNTIFS($K$1:U$1,"&lt;&gt;"),0,SUMIFS($J:$J,$B:$B,$B1050,$A:$A,"&gt;="&amp;COUNTIFS($K$1:U$1,"&lt;&gt;"))),0)</f>
        <v>0</v>
      </c>
      <c r="V1050">
        <f>IFERROR($J1050/IF($A1050&lt;COUNTIFS($K$1:V$1,"&lt;&gt;"),0,SUMIFS($J:$J,$B:$B,$B1050,$A:$A,"&gt;="&amp;COUNTIFS($K$1:V$1,"&lt;&gt;"))),0)</f>
        <v>0</v>
      </c>
      <c r="W1050">
        <f t="shared" si="376"/>
        <v>8.4931506849315067E-2</v>
      </c>
      <c r="X1050">
        <f t="shared" si="356"/>
        <v>8.4931506849315067E-2</v>
      </c>
      <c r="Y1050">
        <f t="shared" si="357"/>
        <v>8.4931506849315067E-2</v>
      </c>
      <c r="Z1050">
        <f t="shared" si="358"/>
        <v>8.4931506849315067E-2</v>
      </c>
      <c r="AA1050">
        <f t="shared" si="359"/>
        <v>8.4931506849315067E-2</v>
      </c>
      <c r="AB1050">
        <f t="shared" si="360"/>
        <v>8.4931506849315067E-2</v>
      </c>
      <c r="AC1050">
        <f t="shared" si="361"/>
        <v>8.4931506849315067E-2</v>
      </c>
      <c r="AD1050">
        <f t="shared" si="362"/>
        <v>8.4931506849315067E-2</v>
      </c>
      <c r="AE1050">
        <f t="shared" si="363"/>
        <v>8.4931506849315067E-2</v>
      </c>
      <c r="AF1050">
        <f t="shared" si="364"/>
        <v>0</v>
      </c>
      <c r="AG1050">
        <f t="shared" si="365"/>
        <v>0</v>
      </c>
      <c r="AH1050">
        <f t="shared" si="366"/>
        <v>0</v>
      </c>
      <c r="AI1050">
        <f t="shared" si="367"/>
        <v>0</v>
      </c>
      <c r="AJ1050" s="2" t="str">
        <f t="shared" si="377"/>
        <v>846266</v>
      </c>
    </row>
    <row r="1051" spans="1:36" x14ac:dyDescent="0.25">
      <c r="A1051">
        <v>9</v>
      </c>
      <c r="B1051" s="1">
        <v>46266</v>
      </c>
      <c r="C1051" s="1">
        <f t="shared" si="368"/>
        <v>46539</v>
      </c>
      <c r="D1051" s="1">
        <f t="shared" si="369"/>
        <v>46280</v>
      </c>
      <c r="E1051" s="1">
        <f t="shared" si="370"/>
        <v>46539</v>
      </c>
      <c r="F1051" s="1">
        <f t="shared" si="371"/>
        <v>46569</v>
      </c>
      <c r="G1051" s="1">
        <f t="shared" si="372"/>
        <v>46645</v>
      </c>
      <c r="H1051">
        <f t="shared" si="373"/>
        <v>365</v>
      </c>
      <c r="I1051">
        <f t="shared" si="374"/>
        <v>30</v>
      </c>
      <c r="J1051">
        <f t="shared" si="375"/>
        <v>8.2191780821917804E-2</v>
      </c>
      <c r="K1051">
        <f>IFERROR($J1051/IF($A1051&lt;COUNTIFS($K$1:K$1,"&lt;&gt;"),0,SUMIFS($J:$J,$B:$B,$B1051,$A:$A,"&gt;="&amp;COUNTIFS($K$1:K$1,"&lt;&gt;"))),0)</f>
        <v>8.5959885386819493E-2</v>
      </c>
      <c r="L1051">
        <f>IFERROR($J1051/IF($A1051&lt;COUNTIFS($K$1:L$1,"&lt;&gt;"),0,SUMIFS($J:$J,$B:$B,$B1051,$A:$A,"&gt;="&amp;COUNTIFS($K$1:L$1,"&lt;&gt;"))),0)</f>
        <v>9.4339622641509441E-2</v>
      </c>
      <c r="M1051">
        <f>IFERROR($J1051/IF($A1051&lt;COUNTIFS($K$1:M$1,"&lt;&gt;"),0,SUMIFS($J:$J,$B:$B,$B1051,$A:$A,"&gt;="&amp;COUNTIFS($K$1:M$1,"&lt;&gt;"))),0)</f>
        <v>0.10416666666666669</v>
      </c>
      <c r="N1051">
        <f>IFERROR($J1051/IF($A1051&lt;COUNTIFS($K$1:N$1,"&lt;&gt;"),0,SUMIFS($J:$J,$B:$B,$B1051,$A:$A,"&gt;="&amp;COUNTIFS($K$1:N$1,"&lt;&gt;"))),0)</f>
        <v>0.11673151750972764</v>
      </c>
      <c r="O1051">
        <f>IFERROR($J1051/IF($A1051&lt;COUNTIFS($K$1:O$1,"&lt;&gt;"),0,SUMIFS($J:$J,$B:$B,$B1051,$A:$A,"&gt;="&amp;COUNTIFS($K$1:O$1,"&lt;&gt;"))),0)</f>
        <v>0.13274336283185842</v>
      </c>
      <c r="P1051">
        <f>IFERROR($J1051/IF($A1051&lt;COUNTIFS($K$1:P$1,"&lt;&gt;"),0,SUMIFS($J:$J,$B:$B,$B1051,$A:$A,"&gt;="&amp;COUNTIFS($K$1:P$1,"&lt;&gt;"))),0)</f>
        <v>0.15151515151515155</v>
      </c>
      <c r="Q1051">
        <f>IFERROR($J1051/IF($A1051&lt;COUNTIFS($K$1:Q$1,"&lt;&gt;"),0,SUMIFS($J:$J,$B:$B,$B1051,$A:$A,"&gt;="&amp;COUNTIFS($K$1:Q$1,"&lt;&gt;"))),0)</f>
        <v>0.17964071856287425</v>
      </c>
      <c r="R1051">
        <f>IFERROR($J1051/IF($A1051&lt;COUNTIFS($K$1:R$1,"&lt;&gt;"),0,SUMIFS($J:$J,$B:$B,$B1051,$A:$A,"&gt;="&amp;COUNTIFS($K$1:R$1,"&lt;&gt;"))),0)</f>
        <v>0.21897810218978103</v>
      </c>
      <c r="S1051">
        <f>IFERROR($J1051/IF($A1051&lt;COUNTIFS($K$1:S$1,"&lt;&gt;"),0,SUMIFS($J:$J,$B:$B,$B1051,$A:$A,"&gt;="&amp;COUNTIFS($K$1:S$1,"&lt;&gt;"))),0)</f>
        <v>0.28301886792452829</v>
      </c>
      <c r="T1051">
        <f>IFERROR($J1051/IF($A1051&lt;COUNTIFS($K$1:T$1,"&lt;&gt;"),0,SUMIFS($J:$J,$B:$B,$B1051,$A:$A,"&gt;="&amp;COUNTIFS($K$1:T$1,"&lt;&gt;"))),0)</f>
        <v>0</v>
      </c>
      <c r="U1051">
        <f>IFERROR($J1051/IF($A1051&lt;COUNTIFS($K$1:U$1,"&lt;&gt;"),0,SUMIFS($J:$J,$B:$B,$B1051,$A:$A,"&gt;="&amp;COUNTIFS($K$1:U$1,"&lt;&gt;"))),0)</f>
        <v>0</v>
      </c>
      <c r="V1051">
        <f>IFERROR($J1051/IF($A1051&lt;COUNTIFS($K$1:V$1,"&lt;&gt;"),0,SUMIFS($J:$J,$B:$B,$B1051,$A:$A,"&gt;="&amp;COUNTIFS($K$1:V$1,"&lt;&gt;"))),0)</f>
        <v>0</v>
      </c>
      <c r="W1051">
        <f t="shared" si="376"/>
        <v>8.2191780821917804E-2</v>
      </c>
      <c r="X1051">
        <f t="shared" si="356"/>
        <v>8.2191780821917804E-2</v>
      </c>
      <c r="Y1051">
        <f t="shared" si="357"/>
        <v>8.2191780821917804E-2</v>
      </c>
      <c r="Z1051">
        <f t="shared" si="358"/>
        <v>8.2191780821917804E-2</v>
      </c>
      <c r="AA1051">
        <f t="shared" si="359"/>
        <v>8.2191780821917804E-2</v>
      </c>
      <c r="AB1051">
        <f t="shared" si="360"/>
        <v>8.2191780821917804E-2</v>
      </c>
      <c r="AC1051">
        <f t="shared" si="361"/>
        <v>8.2191780821917804E-2</v>
      </c>
      <c r="AD1051">
        <f t="shared" si="362"/>
        <v>8.2191780821917804E-2</v>
      </c>
      <c r="AE1051">
        <f t="shared" si="363"/>
        <v>8.2191780821917804E-2</v>
      </c>
      <c r="AF1051">
        <f t="shared" si="364"/>
        <v>8.2191780821917804E-2</v>
      </c>
      <c r="AG1051">
        <f t="shared" si="365"/>
        <v>0</v>
      </c>
      <c r="AH1051">
        <f t="shared" si="366"/>
        <v>0</v>
      </c>
      <c r="AI1051">
        <f t="shared" si="367"/>
        <v>0</v>
      </c>
      <c r="AJ1051" s="2" t="str">
        <f t="shared" si="377"/>
        <v>946266</v>
      </c>
    </row>
    <row r="1052" spans="1:36" x14ac:dyDescent="0.25">
      <c r="A1052">
        <v>10</v>
      </c>
      <c r="B1052" s="1">
        <v>46266</v>
      </c>
      <c r="C1052" s="1">
        <f t="shared" si="368"/>
        <v>46569</v>
      </c>
      <c r="D1052" s="1">
        <f t="shared" si="369"/>
        <v>46280</v>
      </c>
      <c r="E1052" s="1">
        <f t="shared" si="370"/>
        <v>46569</v>
      </c>
      <c r="F1052" s="1">
        <f t="shared" si="371"/>
        <v>46600</v>
      </c>
      <c r="G1052" s="1">
        <f t="shared" si="372"/>
        <v>46645</v>
      </c>
      <c r="H1052">
        <f t="shared" si="373"/>
        <v>365</v>
      </c>
      <c r="I1052">
        <f t="shared" si="374"/>
        <v>31</v>
      </c>
      <c r="J1052">
        <f t="shared" si="375"/>
        <v>8.4931506849315067E-2</v>
      </c>
      <c r="K1052">
        <f>IFERROR($J1052/IF($A1052&lt;COUNTIFS($K$1:K$1,"&lt;&gt;"),0,SUMIFS($J:$J,$B:$B,$B1052,$A:$A,"&gt;="&amp;COUNTIFS($K$1:K$1,"&lt;&gt;"))),0)</f>
        <v>8.8825214899713484E-2</v>
      </c>
      <c r="L1052">
        <f>IFERROR($J1052/IF($A1052&lt;COUNTIFS($K$1:L$1,"&lt;&gt;"),0,SUMIFS($J:$J,$B:$B,$B1052,$A:$A,"&gt;="&amp;COUNTIFS($K$1:L$1,"&lt;&gt;"))),0)</f>
        <v>9.7484276729559768E-2</v>
      </c>
      <c r="M1052">
        <f>IFERROR($J1052/IF($A1052&lt;COUNTIFS($K$1:M$1,"&lt;&gt;"),0,SUMIFS($J:$J,$B:$B,$B1052,$A:$A,"&gt;="&amp;COUNTIFS($K$1:M$1,"&lt;&gt;"))),0)</f>
        <v>0.10763888888888891</v>
      </c>
      <c r="N1052">
        <f>IFERROR($J1052/IF($A1052&lt;COUNTIFS($K$1:N$1,"&lt;&gt;"),0,SUMIFS($J:$J,$B:$B,$B1052,$A:$A,"&gt;="&amp;COUNTIFS($K$1:N$1,"&lt;&gt;"))),0)</f>
        <v>0.12062256809338523</v>
      </c>
      <c r="O1052">
        <f>IFERROR($J1052/IF($A1052&lt;COUNTIFS($K$1:O$1,"&lt;&gt;"),0,SUMIFS($J:$J,$B:$B,$B1052,$A:$A,"&gt;="&amp;COUNTIFS($K$1:O$1,"&lt;&gt;"))),0)</f>
        <v>0.13716814159292037</v>
      </c>
      <c r="P1052">
        <f>IFERROR($J1052/IF($A1052&lt;COUNTIFS($K$1:P$1,"&lt;&gt;"),0,SUMIFS($J:$J,$B:$B,$B1052,$A:$A,"&gt;="&amp;COUNTIFS($K$1:P$1,"&lt;&gt;"))),0)</f>
        <v>0.1565656565656566</v>
      </c>
      <c r="Q1052">
        <f>IFERROR($J1052/IF($A1052&lt;COUNTIFS($K$1:Q$1,"&lt;&gt;"),0,SUMIFS($J:$J,$B:$B,$B1052,$A:$A,"&gt;="&amp;COUNTIFS($K$1:Q$1,"&lt;&gt;"))),0)</f>
        <v>0.18562874251497008</v>
      </c>
      <c r="R1052">
        <f>IFERROR($J1052/IF($A1052&lt;COUNTIFS($K$1:R$1,"&lt;&gt;"),0,SUMIFS($J:$J,$B:$B,$B1052,$A:$A,"&gt;="&amp;COUNTIFS($K$1:R$1,"&lt;&gt;"))),0)</f>
        <v>0.22627737226277375</v>
      </c>
      <c r="S1052">
        <f>IFERROR($J1052/IF($A1052&lt;COUNTIFS($K$1:S$1,"&lt;&gt;"),0,SUMIFS($J:$J,$B:$B,$B1052,$A:$A,"&gt;="&amp;COUNTIFS($K$1:S$1,"&lt;&gt;"))),0)</f>
        <v>0.29245283018867929</v>
      </c>
      <c r="T1052">
        <f>IFERROR($J1052/IF($A1052&lt;COUNTIFS($K$1:T$1,"&lt;&gt;"),0,SUMIFS($J:$J,$B:$B,$B1052,$A:$A,"&gt;="&amp;COUNTIFS($K$1:T$1,"&lt;&gt;"))),0)</f>
        <v>0.40789473684210525</v>
      </c>
      <c r="U1052">
        <f>IFERROR($J1052/IF($A1052&lt;COUNTIFS($K$1:U$1,"&lt;&gt;"),0,SUMIFS($J:$J,$B:$B,$B1052,$A:$A,"&gt;="&amp;COUNTIFS($K$1:U$1,"&lt;&gt;"))),0)</f>
        <v>0</v>
      </c>
      <c r="V1052">
        <f>IFERROR($J1052/IF($A1052&lt;COUNTIFS($K$1:V$1,"&lt;&gt;"),0,SUMIFS($J:$J,$B:$B,$B1052,$A:$A,"&gt;="&amp;COUNTIFS($K$1:V$1,"&lt;&gt;"))),0)</f>
        <v>0</v>
      </c>
      <c r="W1052">
        <f t="shared" si="376"/>
        <v>8.4931506849315067E-2</v>
      </c>
      <c r="X1052">
        <f t="shared" si="356"/>
        <v>8.4931506849315067E-2</v>
      </c>
      <c r="Y1052">
        <f t="shared" si="357"/>
        <v>8.4931506849315067E-2</v>
      </c>
      <c r="Z1052">
        <f t="shared" si="358"/>
        <v>8.4931506849315067E-2</v>
      </c>
      <c r="AA1052">
        <f t="shared" si="359"/>
        <v>8.4931506849315067E-2</v>
      </c>
      <c r="AB1052">
        <f t="shared" si="360"/>
        <v>8.4931506849315067E-2</v>
      </c>
      <c r="AC1052">
        <f t="shared" si="361"/>
        <v>8.4931506849315067E-2</v>
      </c>
      <c r="AD1052">
        <f t="shared" si="362"/>
        <v>8.4931506849315067E-2</v>
      </c>
      <c r="AE1052">
        <f t="shared" si="363"/>
        <v>8.4931506849315067E-2</v>
      </c>
      <c r="AF1052">
        <f t="shared" si="364"/>
        <v>8.4931506849315067E-2</v>
      </c>
      <c r="AG1052">
        <f t="shared" si="365"/>
        <v>8.4931506849315067E-2</v>
      </c>
      <c r="AH1052">
        <f t="shared" si="366"/>
        <v>0</v>
      </c>
      <c r="AI1052">
        <f t="shared" si="367"/>
        <v>0</v>
      </c>
      <c r="AJ1052" s="2" t="str">
        <f t="shared" si="377"/>
        <v>1046266</v>
      </c>
    </row>
    <row r="1053" spans="1:36" x14ac:dyDescent="0.25">
      <c r="A1053">
        <v>11</v>
      </c>
      <c r="B1053" s="1">
        <v>46266</v>
      </c>
      <c r="C1053" s="1">
        <f t="shared" si="368"/>
        <v>46600</v>
      </c>
      <c r="D1053" s="1">
        <f t="shared" si="369"/>
        <v>46280</v>
      </c>
      <c r="E1053" s="1">
        <f t="shared" si="370"/>
        <v>46600</v>
      </c>
      <c r="F1053" s="1">
        <f t="shared" si="371"/>
        <v>46631</v>
      </c>
      <c r="G1053" s="1">
        <f t="shared" si="372"/>
        <v>46645</v>
      </c>
      <c r="H1053">
        <f t="shared" si="373"/>
        <v>365</v>
      </c>
      <c r="I1053">
        <f t="shared" si="374"/>
        <v>31</v>
      </c>
      <c r="J1053">
        <f t="shared" si="375"/>
        <v>8.4931506849315067E-2</v>
      </c>
      <c r="K1053">
        <f>IFERROR($J1053/IF($A1053&lt;COUNTIFS($K$1:K$1,"&lt;&gt;"),0,SUMIFS($J:$J,$B:$B,$B1053,$A:$A,"&gt;="&amp;COUNTIFS($K$1:K$1,"&lt;&gt;"))),0)</f>
        <v>8.8825214899713484E-2</v>
      </c>
      <c r="L1053">
        <f>IFERROR($J1053/IF($A1053&lt;COUNTIFS($K$1:L$1,"&lt;&gt;"),0,SUMIFS($J:$J,$B:$B,$B1053,$A:$A,"&gt;="&amp;COUNTIFS($K$1:L$1,"&lt;&gt;"))),0)</f>
        <v>9.7484276729559768E-2</v>
      </c>
      <c r="M1053">
        <f>IFERROR($J1053/IF($A1053&lt;COUNTIFS($K$1:M$1,"&lt;&gt;"),0,SUMIFS($J:$J,$B:$B,$B1053,$A:$A,"&gt;="&amp;COUNTIFS($K$1:M$1,"&lt;&gt;"))),0)</f>
        <v>0.10763888888888891</v>
      </c>
      <c r="N1053">
        <f>IFERROR($J1053/IF($A1053&lt;COUNTIFS($K$1:N$1,"&lt;&gt;"),0,SUMIFS($J:$J,$B:$B,$B1053,$A:$A,"&gt;="&amp;COUNTIFS($K$1:N$1,"&lt;&gt;"))),0)</f>
        <v>0.12062256809338523</v>
      </c>
      <c r="O1053">
        <f>IFERROR($J1053/IF($A1053&lt;COUNTIFS($K$1:O$1,"&lt;&gt;"),0,SUMIFS($J:$J,$B:$B,$B1053,$A:$A,"&gt;="&amp;COUNTIFS($K$1:O$1,"&lt;&gt;"))),0)</f>
        <v>0.13716814159292037</v>
      </c>
      <c r="P1053">
        <f>IFERROR($J1053/IF($A1053&lt;COUNTIFS($K$1:P$1,"&lt;&gt;"),0,SUMIFS($J:$J,$B:$B,$B1053,$A:$A,"&gt;="&amp;COUNTIFS($K$1:P$1,"&lt;&gt;"))),0)</f>
        <v>0.1565656565656566</v>
      </c>
      <c r="Q1053">
        <f>IFERROR($J1053/IF($A1053&lt;COUNTIFS($K$1:Q$1,"&lt;&gt;"),0,SUMIFS($J:$J,$B:$B,$B1053,$A:$A,"&gt;="&amp;COUNTIFS($K$1:Q$1,"&lt;&gt;"))),0)</f>
        <v>0.18562874251497008</v>
      </c>
      <c r="R1053">
        <f>IFERROR($J1053/IF($A1053&lt;COUNTIFS($K$1:R$1,"&lt;&gt;"),0,SUMIFS($J:$J,$B:$B,$B1053,$A:$A,"&gt;="&amp;COUNTIFS($K$1:R$1,"&lt;&gt;"))),0)</f>
        <v>0.22627737226277375</v>
      </c>
      <c r="S1053">
        <f>IFERROR($J1053/IF($A1053&lt;COUNTIFS($K$1:S$1,"&lt;&gt;"),0,SUMIFS($J:$J,$B:$B,$B1053,$A:$A,"&gt;="&amp;COUNTIFS($K$1:S$1,"&lt;&gt;"))),0)</f>
        <v>0.29245283018867929</v>
      </c>
      <c r="T1053">
        <f>IFERROR($J1053/IF($A1053&lt;COUNTIFS($K$1:T$1,"&lt;&gt;"),0,SUMIFS($J:$J,$B:$B,$B1053,$A:$A,"&gt;="&amp;COUNTIFS($K$1:T$1,"&lt;&gt;"))),0)</f>
        <v>0.40789473684210525</v>
      </c>
      <c r="U1053">
        <f>IFERROR($J1053/IF($A1053&lt;COUNTIFS($K$1:U$1,"&lt;&gt;"),0,SUMIFS($J:$J,$B:$B,$B1053,$A:$A,"&gt;="&amp;COUNTIFS($K$1:U$1,"&lt;&gt;"))),0)</f>
        <v>0.68888888888888888</v>
      </c>
      <c r="V1053">
        <f>IFERROR($J1053/IF($A1053&lt;COUNTIFS($K$1:V$1,"&lt;&gt;"),0,SUMIFS($J:$J,$B:$B,$B1053,$A:$A,"&gt;="&amp;COUNTIFS($K$1:V$1,"&lt;&gt;"))),0)</f>
        <v>0</v>
      </c>
      <c r="W1053">
        <f t="shared" si="376"/>
        <v>8.4931506849315067E-2</v>
      </c>
      <c r="X1053">
        <f t="shared" si="356"/>
        <v>8.4931506849315067E-2</v>
      </c>
      <c r="Y1053">
        <f t="shared" si="357"/>
        <v>8.4931506849315067E-2</v>
      </c>
      <c r="Z1053">
        <f t="shared" si="358"/>
        <v>8.4931506849315067E-2</v>
      </c>
      <c r="AA1053">
        <f t="shared" si="359"/>
        <v>8.4931506849315067E-2</v>
      </c>
      <c r="AB1053">
        <f t="shared" si="360"/>
        <v>8.4931506849315067E-2</v>
      </c>
      <c r="AC1053">
        <f t="shared" si="361"/>
        <v>8.4931506849315067E-2</v>
      </c>
      <c r="AD1053">
        <f t="shared" si="362"/>
        <v>8.4931506849315067E-2</v>
      </c>
      <c r="AE1053">
        <f t="shared" si="363"/>
        <v>8.4931506849315067E-2</v>
      </c>
      <c r="AF1053">
        <f t="shared" si="364"/>
        <v>8.4931506849315067E-2</v>
      </c>
      <c r="AG1053">
        <f t="shared" si="365"/>
        <v>8.4931506849315067E-2</v>
      </c>
      <c r="AH1053">
        <f t="shared" si="366"/>
        <v>8.4931506849315067E-2</v>
      </c>
      <c r="AI1053">
        <f t="shared" si="367"/>
        <v>0</v>
      </c>
      <c r="AJ1053" s="2" t="str">
        <f t="shared" si="377"/>
        <v>1146266</v>
      </c>
    </row>
    <row r="1054" spans="1:36" x14ac:dyDescent="0.25">
      <c r="A1054">
        <v>12</v>
      </c>
      <c r="B1054" s="1">
        <v>46266</v>
      </c>
      <c r="C1054" s="1">
        <f t="shared" si="368"/>
        <v>46631</v>
      </c>
      <c r="D1054" s="1">
        <f t="shared" si="369"/>
        <v>46280</v>
      </c>
      <c r="E1054" s="1">
        <f t="shared" si="370"/>
        <v>46631</v>
      </c>
      <c r="F1054" s="1">
        <f t="shared" si="371"/>
        <v>46645</v>
      </c>
      <c r="G1054" s="1">
        <f t="shared" si="372"/>
        <v>46645</v>
      </c>
      <c r="H1054">
        <f t="shared" si="373"/>
        <v>365</v>
      </c>
      <c r="I1054">
        <f t="shared" si="374"/>
        <v>14</v>
      </c>
      <c r="J1054">
        <f t="shared" si="375"/>
        <v>3.8356164383561646E-2</v>
      </c>
      <c r="K1054">
        <f>IFERROR($J1054/IF($A1054&lt;COUNTIFS($K$1:K$1,"&lt;&gt;"),0,SUMIFS($J:$J,$B:$B,$B1054,$A:$A,"&gt;="&amp;COUNTIFS($K$1:K$1,"&lt;&gt;"))),0)</f>
        <v>4.0114613180515769E-2</v>
      </c>
      <c r="L1054">
        <f>IFERROR($J1054/IF($A1054&lt;COUNTIFS($K$1:L$1,"&lt;&gt;"),0,SUMIFS($J:$J,$B:$B,$B1054,$A:$A,"&gt;="&amp;COUNTIFS($K$1:L$1,"&lt;&gt;"))),0)</f>
        <v>4.4025157232704414E-2</v>
      </c>
      <c r="M1054">
        <f>IFERROR($J1054/IF($A1054&lt;COUNTIFS($K$1:M$1,"&lt;&gt;"),0,SUMIFS($J:$J,$B:$B,$B1054,$A:$A,"&gt;="&amp;COUNTIFS($K$1:M$1,"&lt;&gt;"))),0)</f>
        <v>4.8611111111111119E-2</v>
      </c>
      <c r="N1054">
        <f>IFERROR($J1054/IF($A1054&lt;COUNTIFS($K$1:N$1,"&lt;&gt;"),0,SUMIFS($J:$J,$B:$B,$B1054,$A:$A,"&gt;="&amp;COUNTIFS($K$1:N$1,"&lt;&gt;"))),0)</f>
        <v>5.447470817120624E-2</v>
      </c>
      <c r="O1054">
        <f>IFERROR($J1054/IF($A1054&lt;COUNTIFS($K$1:O$1,"&lt;&gt;"),0,SUMIFS($J:$J,$B:$B,$B1054,$A:$A,"&gt;="&amp;COUNTIFS($K$1:O$1,"&lt;&gt;"))),0)</f>
        <v>6.194690265486727E-2</v>
      </c>
      <c r="P1054">
        <f>IFERROR($J1054/IF($A1054&lt;COUNTIFS($K$1:P$1,"&lt;&gt;"),0,SUMIFS($J:$J,$B:$B,$B1054,$A:$A,"&gt;="&amp;COUNTIFS($K$1:P$1,"&lt;&gt;"))),0)</f>
        <v>7.0707070707070732E-2</v>
      </c>
      <c r="Q1054">
        <f>IFERROR($J1054/IF($A1054&lt;COUNTIFS($K$1:Q$1,"&lt;&gt;"),0,SUMIFS($J:$J,$B:$B,$B1054,$A:$A,"&gt;="&amp;COUNTIFS($K$1:Q$1,"&lt;&gt;"))),0)</f>
        <v>8.3832335329341326E-2</v>
      </c>
      <c r="R1054">
        <f>IFERROR($J1054/IF($A1054&lt;COUNTIFS($K$1:R$1,"&lt;&gt;"),0,SUMIFS($J:$J,$B:$B,$B1054,$A:$A,"&gt;="&amp;COUNTIFS($K$1:R$1,"&lt;&gt;"))),0)</f>
        <v>0.10218978102189782</v>
      </c>
      <c r="S1054">
        <f>IFERROR($J1054/IF($A1054&lt;COUNTIFS($K$1:S$1,"&lt;&gt;"),0,SUMIFS($J:$J,$B:$B,$B1054,$A:$A,"&gt;="&amp;COUNTIFS($K$1:S$1,"&lt;&gt;"))),0)</f>
        <v>0.13207547169811323</v>
      </c>
      <c r="T1054">
        <f>IFERROR($J1054/IF($A1054&lt;COUNTIFS($K$1:T$1,"&lt;&gt;"),0,SUMIFS($J:$J,$B:$B,$B1054,$A:$A,"&gt;="&amp;COUNTIFS($K$1:T$1,"&lt;&gt;"))),0)</f>
        <v>0.18421052631578949</v>
      </c>
      <c r="U1054">
        <f>IFERROR($J1054/IF($A1054&lt;COUNTIFS($K$1:U$1,"&lt;&gt;"),0,SUMIFS($J:$J,$B:$B,$B1054,$A:$A,"&gt;="&amp;COUNTIFS($K$1:U$1,"&lt;&gt;"))),0)</f>
        <v>0.31111111111111117</v>
      </c>
      <c r="V1054">
        <f>IFERROR($J1054/IF($A1054&lt;COUNTIFS($K$1:V$1,"&lt;&gt;"),0,SUMIFS($J:$J,$B:$B,$B1054,$A:$A,"&gt;="&amp;COUNTIFS($K$1:V$1,"&lt;&gt;"))),0)</f>
        <v>1</v>
      </c>
      <c r="W1054">
        <f t="shared" si="376"/>
        <v>3.8356164383561646E-2</v>
      </c>
      <c r="X1054">
        <f t="shared" si="356"/>
        <v>3.8356164383561646E-2</v>
      </c>
      <c r="Y1054">
        <f t="shared" si="357"/>
        <v>3.8356164383561646E-2</v>
      </c>
      <c r="Z1054">
        <f t="shared" si="358"/>
        <v>3.8356164383561646E-2</v>
      </c>
      <c r="AA1054">
        <f t="shared" si="359"/>
        <v>3.8356164383561646E-2</v>
      </c>
      <c r="AB1054">
        <f t="shared" si="360"/>
        <v>3.8356164383561646E-2</v>
      </c>
      <c r="AC1054">
        <f t="shared" si="361"/>
        <v>3.8356164383561646E-2</v>
      </c>
      <c r="AD1054">
        <f t="shared" si="362"/>
        <v>3.8356164383561646E-2</v>
      </c>
      <c r="AE1054">
        <f t="shared" si="363"/>
        <v>3.8356164383561646E-2</v>
      </c>
      <c r="AF1054">
        <f t="shared" si="364"/>
        <v>3.8356164383561646E-2</v>
      </c>
      <c r="AG1054">
        <f t="shared" si="365"/>
        <v>3.8356164383561646E-2</v>
      </c>
      <c r="AH1054">
        <f t="shared" si="366"/>
        <v>3.8356164383561646E-2</v>
      </c>
      <c r="AI1054">
        <f t="shared" si="367"/>
        <v>3.8356164383561646E-2</v>
      </c>
      <c r="AJ1054" s="2" t="str">
        <f t="shared" si="377"/>
        <v>1246266</v>
      </c>
    </row>
    <row r="1055" spans="1:36" x14ac:dyDescent="0.25">
      <c r="A1055">
        <v>0</v>
      </c>
      <c r="B1055" s="1">
        <v>46296</v>
      </c>
      <c r="C1055" s="1">
        <f t="shared" si="368"/>
        <v>46296</v>
      </c>
      <c r="D1055" s="1">
        <f t="shared" si="369"/>
        <v>46310</v>
      </c>
      <c r="E1055" s="1">
        <f t="shared" si="370"/>
        <v>46310</v>
      </c>
      <c r="F1055" s="1">
        <f t="shared" si="371"/>
        <v>46327</v>
      </c>
      <c r="G1055" s="1">
        <f t="shared" si="372"/>
        <v>46675</v>
      </c>
      <c r="H1055">
        <f t="shared" si="373"/>
        <v>365</v>
      </c>
      <c r="I1055">
        <f t="shared" si="374"/>
        <v>17</v>
      </c>
      <c r="J1055">
        <f t="shared" si="375"/>
        <v>4.6575342465753428E-2</v>
      </c>
      <c r="K1055">
        <f>IFERROR($J1055/IF($A1055&lt;COUNTIFS($K$1:K$1,"&lt;&gt;"),0,SUMIFS($J:$J,$B:$B,$B1055,$A:$A,"&gt;="&amp;COUNTIFS($K$1:K$1,"&lt;&gt;"))),0)</f>
        <v>0</v>
      </c>
      <c r="L1055">
        <f>IFERROR($J1055/IF($A1055&lt;COUNTIFS($K$1:L$1,"&lt;&gt;"),0,SUMIFS($J:$J,$B:$B,$B1055,$A:$A,"&gt;="&amp;COUNTIFS($K$1:L$1,"&lt;&gt;"))),0)</f>
        <v>0</v>
      </c>
      <c r="M1055">
        <f>IFERROR($J1055/IF($A1055&lt;COUNTIFS($K$1:M$1,"&lt;&gt;"),0,SUMIFS($J:$J,$B:$B,$B1055,$A:$A,"&gt;="&amp;COUNTIFS($K$1:M$1,"&lt;&gt;"))),0)</f>
        <v>0</v>
      </c>
      <c r="N1055">
        <f>IFERROR($J1055/IF($A1055&lt;COUNTIFS($K$1:N$1,"&lt;&gt;"),0,SUMIFS($J:$J,$B:$B,$B1055,$A:$A,"&gt;="&amp;COUNTIFS($K$1:N$1,"&lt;&gt;"))),0)</f>
        <v>0</v>
      </c>
      <c r="O1055">
        <f>IFERROR($J1055/IF($A1055&lt;COUNTIFS($K$1:O$1,"&lt;&gt;"),0,SUMIFS($J:$J,$B:$B,$B1055,$A:$A,"&gt;="&amp;COUNTIFS($K$1:O$1,"&lt;&gt;"))),0)</f>
        <v>0</v>
      </c>
      <c r="P1055">
        <f>IFERROR($J1055/IF($A1055&lt;COUNTIFS($K$1:P$1,"&lt;&gt;"),0,SUMIFS($J:$J,$B:$B,$B1055,$A:$A,"&gt;="&amp;COUNTIFS($K$1:P$1,"&lt;&gt;"))),0)</f>
        <v>0</v>
      </c>
      <c r="Q1055">
        <f>IFERROR($J1055/IF($A1055&lt;COUNTIFS($K$1:Q$1,"&lt;&gt;"),0,SUMIFS($J:$J,$B:$B,$B1055,$A:$A,"&gt;="&amp;COUNTIFS($K$1:Q$1,"&lt;&gt;"))),0)</f>
        <v>0</v>
      </c>
      <c r="R1055">
        <f>IFERROR($J1055/IF($A1055&lt;COUNTIFS($K$1:R$1,"&lt;&gt;"),0,SUMIFS($J:$J,$B:$B,$B1055,$A:$A,"&gt;="&amp;COUNTIFS($K$1:R$1,"&lt;&gt;"))),0)</f>
        <v>0</v>
      </c>
      <c r="S1055">
        <f>IFERROR($J1055/IF($A1055&lt;COUNTIFS($K$1:S$1,"&lt;&gt;"),0,SUMIFS($J:$J,$B:$B,$B1055,$A:$A,"&gt;="&amp;COUNTIFS($K$1:S$1,"&lt;&gt;"))),0)</f>
        <v>0</v>
      </c>
      <c r="T1055">
        <f>IFERROR($J1055/IF($A1055&lt;COUNTIFS($K$1:T$1,"&lt;&gt;"),0,SUMIFS($J:$J,$B:$B,$B1055,$A:$A,"&gt;="&amp;COUNTIFS($K$1:T$1,"&lt;&gt;"))),0)</f>
        <v>0</v>
      </c>
      <c r="U1055">
        <f>IFERROR($J1055/IF($A1055&lt;COUNTIFS($K$1:U$1,"&lt;&gt;"),0,SUMIFS($J:$J,$B:$B,$B1055,$A:$A,"&gt;="&amp;COUNTIFS($K$1:U$1,"&lt;&gt;"))),0)</f>
        <v>0</v>
      </c>
      <c r="V1055">
        <f>IFERROR($J1055/IF($A1055&lt;COUNTIFS($K$1:V$1,"&lt;&gt;"),0,SUMIFS($J:$J,$B:$B,$B1055,$A:$A,"&gt;="&amp;COUNTIFS($K$1:V$1,"&lt;&gt;"))),0)</f>
        <v>0</v>
      </c>
      <c r="W1055">
        <f t="shared" si="376"/>
        <v>4.6575342465753428E-2</v>
      </c>
      <c r="X1055">
        <f t="shared" si="356"/>
        <v>0</v>
      </c>
      <c r="Y1055">
        <f t="shared" si="357"/>
        <v>0</v>
      </c>
      <c r="Z1055">
        <f t="shared" si="358"/>
        <v>0</v>
      </c>
      <c r="AA1055">
        <f t="shared" si="359"/>
        <v>0</v>
      </c>
      <c r="AB1055">
        <f t="shared" si="360"/>
        <v>0</v>
      </c>
      <c r="AC1055">
        <f t="shared" si="361"/>
        <v>0</v>
      </c>
      <c r="AD1055">
        <f t="shared" si="362"/>
        <v>0</v>
      </c>
      <c r="AE1055">
        <f t="shared" si="363"/>
        <v>0</v>
      </c>
      <c r="AF1055">
        <f t="shared" si="364"/>
        <v>0</v>
      </c>
      <c r="AG1055">
        <f t="shared" si="365"/>
        <v>0</v>
      </c>
      <c r="AH1055">
        <f t="shared" si="366"/>
        <v>0</v>
      </c>
      <c r="AI1055">
        <f t="shared" si="367"/>
        <v>0</v>
      </c>
      <c r="AJ1055" s="2" t="str">
        <f t="shared" si="377"/>
        <v>046296</v>
      </c>
    </row>
    <row r="1056" spans="1:36" x14ac:dyDescent="0.25">
      <c r="A1056">
        <v>1</v>
      </c>
      <c r="B1056" s="1">
        <v>46296</v>
      </c>
      <c r="C1056" s="1">
        <f t="shared" si="368"/>
        <v>46327</v>
      </c>
      <c r="D1056" s="1">
        <f t="shared" si="369"/>
        <v>46310</v>
      </c>
      <c r="E1056" s="1">
        <f t="shared" si="370"/>
        <v>46327</v>
      </c>
      <c r="F1056" s="1">
        <f t="shared" si="371"/>
        <v>46357</v>
      </c>
      <c r="G1056" s="1">
        <f t="shared" si="372"/>
        <v>46675</v>
      </c>
      <c r="H1056">
        <f t="shared" si="373"/>
        <v>365</v>
      </c>
      <c r="I1056">
        <f t="shared" si="374"/>
        <v>30</v>
      </c>
      <c r="J1056">
        <f t="shared" si="375"/>
        <v>8.2191780821917804E-2</v>
      </c>
      <c r="K1056">
        <f>IFERROR($J1056/IF($A1056&lt;COUNTIFS($K$1:K$1,"&lt;&gt;"),0,SUMIFS($J:$J,$B:$B,$B1056,$A:$A,"&gt;="&amp;COUNTIFS($K$1:K$1,"&lt;&gt;"))),0)</f>
        <v>8.6206896551724144E-2</v>
      </c>
      <c r="L1056">
        <f>IFERROR($J1056/IF($A1056&lt;COUNTIFS($K$1:L$1,"&lt;&gt;"),0,SUMIFS($J:$J,$B:$B,$B1056,$A:$A,"&gt;="&amp;COUNTIFS($K$1:L$1,"&lt;&gt;"))),0)</f>
        <v>0</v>
      </c>
      <c r="M1056">
        <f>IFERROR($J1056/IF($A1056&lt;COUNTIFS($K$1:M$1,"&lt;&gt;"),0,SUMIFS($J:$J,$B:$B,$B1056,$A:$A,"&gt;="&amp;COUNTIFS($K$1:M$1,"&lt;&gt;"))),0)</f>
        <v>0</v>
      </c>
      <c r="N1056">
        <f>IFERROR($J1056/IF($A1056&lt;COUNTIFS($K$1:N$1,"&lt;&gt;"),0,SUMIFS($J:$J,$B:$B,$B1056,$A:$A,"&gt;="&amp;COUNTIFS($K$1:N$1,"&lt;&gt;"))),0)</f>
        <v>0</v>
      </c>
      <c r="O1056">
        <f>IFERROR($J1056/IF($A1056&lt;COUNTIFS($K$1:O$1,"&lt;&gt;"),0,SUMIFS($J:$J,$B:$B,$B1056,$A:$A,"&gt;="&amp;COUNTIFS($K$1:O$1,"&lt;&gt;"))),0)</f>
        <v>0</v>
      </c>
      <c r="P1056">
        <f>IFERROR($J1056/IF($A1056&lt;COUNTIFS($K$1:P$1,"&lt;&gt;"),0,SUMIFS($J:$J,$B:$B,$B1056,$A:$A,"&gt;="&amp;COUNTIFS($K$1:P$1,"&lt;&gt;"))),0)</f>
        <v>0</v>
      </c>
      <c r="Q1056">
        <f>IFERROR($J1056/IF($A1056&lt;COUNTIFS($K$1:Q$1,"&lt;&gt;"),0,SUMIFS($J:$J,$B:$B,$B1056,$A:$A,"&gt;="&amp;COUNTIFS($K$1:Q$1,"&lt;&gt;"))),0)</f>
        <v>0</v>
      </c>
      <c r="R1056">
        <f>IFERROR($J1056/IF($A1056&lt;COUNTIFS($K$1:R$1,"&lt;&gt;"),0,SUMIFS($J:$J,$B:$B,$B1056,$A:$A,"&gt;="&amp;COUNTIFS($K$1:R$1,"&lt;&gt;"))),0)</f>
        <v>0</v>
      </c>
      <c r="S1056">
        <f>IFERROR($J1056/IF($A1056&lt;COUNTIFS($K$1:S$1,"&lt;&gt;"),0,SUMIFS($J:$J,$B:$B,$B1056,$A:$A,"&gt;="&amp;COUNTIFS($K$1:S$1,"&lt;&gt;"))),0)</f>
        <v>0</v>
      </c>
      <c r="T1056">
        <f>IFERROR($J1056/IF($A1056&lt;COUNTIFS($K$1:T$1,"&lt;&gt;"),0,SUMIFS($J:$J,$B:$B,$B1056,$A:$A,"&gt;="&amp;COUNTIFS($K$1:T$1,"&lt;&gt;"))),0)</f>
        <v>0</v>
      </c>
      <c r="U1056">
        <f>IFERROR($J1056/IF($A1056&lt;COUNTIFS($K$1:U$1,"&lt;&gt;"),0,SUMIFS($J:$J,$B:$B,$B1056,$A:$A,"&gt;="&amp;COUNTIFS($K$1:U$1,"&lt;&gt;"))),0)</f>
        <v>0</v>
      </c>
      <c r="V1056">
        <f>IFERROR($J1056/IF($A1056&lt;COUNTIFS($K$1:V$1,"&lt;&gt;"),0,SUMIFS($J:$J,$B:$B,$B1056,$A:$A,"&gt;="&amp;COUNTIFS($K$1:V$1,"&lt;&gt;"))),0)</f>
        <v>0</v>
      </c>
      <c r="W1056">
        <f t="shared" si="376"/>
        <v>8.2191780821917804E-2</v>
      </c>
      <c r="X1056">
        <f t="shared" si="356"/>
        <v>8.2191780821917804E-2</v>
      </c>
      <c r="Y1056">
        <f t="shared" si="357"/>
        <v>0</v>
      </c>
      <c r="Z1056">
        <f t="shared" si="358"/>
        <v>0</v>
      </c>
      <c r="AA1056">
        <f t="shared" si="359"/>
        <v>0</v>
      </c>
      <c r="AB1056">
        <f t="shared" si="360"/>
        <v>0</v>
      </c>
      <c r="AC1056">
        <f t="shared" si="361"/>
        <v>0</v>
      </c>
      <c r="AD1056">
        <f t="shared" si="362"/>
        <v>0</v>
      </c>
      <c r="AE1056">
        <f t="shared" si="363"/>
        <v>0</v>
      </c>
      <c r="AF1056">
        <f t="shared" si="364"/>
        <v>0</v>
      </c>
      <c r="AG1056">
        <f t="shared" si="365"/>
        <v>0</v>
      </c>
      <c r="AH1056">
        <f t="shared" si="366"/>
        <v>0</v>
      </c>
      <c r="AI1056">
        <f t="shared" si="367"/>
        <v>0</v>
      </c>
      <c r="AJ1056" s="2" t="str">
        <f t="shared" si="377"/>
        <v>146296</v>
      </c>
    </row>
    <row r="1057" spans="1:36" x14ac:dyDescent="0.25">
      <c r="A1057">
        <v>2</v>
      </c>
      <c r="B1057" s="1">
        <v>46296</v>
      </c>
      <c r="C1057" s="1">
        <f t="shared" si="368"/>
        <v>46357</v>
      </c>
      <c r="D1057" s="1">
        <f t="shared" si="369"/>
        <v>46310</v>
      </c>
      <c r="E1057" s="1">
        <f t="shared" si="370"/>
        <v>46357</v>
      </c>
      <c r="F1057" s="1">
        <f t="shared" si="371"/>
        <v>46388</v>
      </c>
      <c r="G1057" s="1">
        <f t="shared" si="372"/>
        <v>46675</v>
      </c>
      <c r="H1057">
        <f t="shared" si="373"/>
        <v>365</v>
      </c>
      <c r="I1057">
        <f t="shared" si="374"/>
        <v>31</v>
      </c>
      <c r="J1057">
        <f t="shared" si="375"/>
        <v>8.4931506849315067E-2</v>
      </c>
      <c r="K1057">
        <f>IFERROR($J1057/IF($A1057&lt;COUNTIFS($K$1:K$1,"&lt;&gt;"),0,SUMIFS($J:$J,$B:$B,$B1057,$A:$A,"&gt;="&amp;COUNTIFS($K$1:K$1,"&lt;&gt;"))),0)</f>
        <v>8.9080459770114959E-2</v>
      </c>
      <c r="L1057">
        <f>IFERROR($J1057/IF($A1057&lt;COUNTIFS($K$1:L$1,"&lt;&gt;"),0,SUMIFS($J:$J,$B:$B,$B1057,$A:$A,"&gt;="&amp;COUNTIFS($K$1:L$1,"&lt;&gt;"))),0)</f>
        <v>9.7484276729559768E-2</v>
      </c>
      <c r="M1057">
        <f>IFERROR($J1057/IF($A1057&lt;COUNTIFS($K$1:M$1,"&lt;&gt;"),0,SUMIFS($J:$J,$B:$B,$B1057,$A:$A,"&gt;="&amp;COUNTIFS($K$1:M$1,"&lt;&gt;"))),0)</f>
        <v>0</v>
      </c>
      <c r="N1057">
        <f>IFERROR($J1057/IF($A1057&lt;COUNTIFS($K$1:N$1,"&lt;&gt;"),0,SUMIFS($J:$J,$B:$B,$B1057,$A:$A,"&gt;="&amp;COUNTIFS($K$1:N$1,"&lt;&gt;"))),0)</f>
        <v>0</v>
      </c>
      <c r="O1057">
        <f>IFERROR($J1057/IF($A1057&lt;COUNTIFS($K$1:O$1,"&lt;&gt;"),0,SUMIFS($J:$J,$B:$B,$B1057,$A:$A,"&gt;="&amp;COUNTIFS($K$1:O$1,"&lt;&gt;"))),0)</f>
        <v>0</v>
      </c>
      <c r="P1057">
        <f>IFERROR($J1057/IF($A1057&lt;COUNTIFS($K$1:P$1,"&lt;&gt;"),0,SUMIFS($J:$J,$B:$B,$B1057,$A:$A,"&gt;="&amp;COUNTIFS($K$1:P$1,"&lt;&gt;"))),0)</f>
        <v>0</v>
      </c>
      <c r="Q1057">
        <f>IFERROR($J1057/IF($A1057&lt;COUNTIFS($K$1:Q$1,"&lt;&gt;"),0,SUMIFS($J:$J,$B:$B,$B1057,$A:$A,"&gt;="&amp;COUNTIFS($K$1:Q$1,"&lt;&gt;"))),0)</f>
        <v>0</v>
      </c>
      <c r="R1057">
        <f>IFERROR($J1057/IF($A1057&lt;COUNTIFS($K$1:R$1,"&lt;&gt;"),0,SUMIFS($J:$J,$B:$B,$B1057,$A:$A,"&gt;="&amp;COUNTIFS($K$1:R$1,"&lt;&gt;"))),0)</f>
        <v>0</v>
      </c>
      <c r="S1057">
        <f>IFERROR($J1057/IF($A1057&lt;COUNTIFS($K$1:S$1,"&lt;&gt;"),0,SUMIFS($J:$J,$B:$B,$B1057,$A:$A,"&gt;="&amp;COUNTIFS($K$1:S$1,"&lt;&gt;"))),0)</f>
        <v>0</v>
      </c>
      <c r="T1057">
        <f>IFERROR($J1057/IF($A1057&lt;COUNTIFS($K$1:T$1,"&lt;&gt;"),0,SUMIFS($J:$J,$B:$B,$B1057,$A:$A,"&gt;="&amp;COUNTIFS($K$1:T$1,"&lt;&gt;"))),0)</f>
        <v>0</v>
      </c>
      <c r="U1057">
        <f>IFERROR($J1057/IF($A1057&lt;COUNTIFS($K$1:U$1,"&lt;&gt;"),0,SUMIFS($J:$J,$B:$B,$B1057,$A:$A,"&gt;="&amp;COUNTIFS($K$1:U$1,"&lt;&gt;"))),0)</f>
        <v>0</v>
      </c>
      <c r="V1057">
        <f>IFERROR($J1057/IF($A1057&lt;COUNTIFS($K$1:V$1,"&lt;&gt;"),0,SUMIFS($J:$J,$B:$B,$B1057,$A:$A,"&gt;="&amp;COUNTIFS($K$1:V$1,"&lt;&gt;"))),0)</f>
        <v>0</v>
      </c>
      <c r="W1057">
        <f t="shared" si="376"/>
        <v>8.4931506849315067E-2</v>
      </c>
      <c r="X1057">
        <f t="shared" si="356"/>
        <v>8.4931506849315067E-2</v>
      </c>
      <c r="Y1057">
        <f t="shared" si="357"/>
        <v>8.4931506849315067E-2</v>
      </c>
      <c r="Z1057">
        <f t="shared" si="358"/>
        <v>0</v>
      </c>
      <c r="AA1057">
        <f t="shared" si="359"/>
        <v>0</v>
      </c>
      <c r="AB1057">
        <f t="shared" si="360"/>
        <v>0</v>
      </c>
      <c r="AC1057">
        <f t="shared" si="361"/>
        <v>0</v>
      </c>
      <c r="AD1057">
        <f t="shared" si="362"/>
        <v>0</v>
      </c>
      <c r="AE1057">
        <f t="shared" si="363"/>
        <v>0</v>
      </c>
      <c r="AF1057">
        <f t="shared" si="364"/>
        <v>0</v>
      </c>
      <c r="AG1057">
        <f t="shared" si="365"/>
        <v>0</v>
      </c>
      <c r="AH1057">
        <f t="shared" si="366"/>
        <v>0</v>
      </c>
      <c r="AI1057">
        <f t="shared" si="367"/>
        <v>0</v>
      </c>
      <c r="AJ1057" s="2" t="str">
        <f t="shared" si="377"/>
        <v>246296</v>
      </c>
    </row>
    <row r="1058" spans="1:36" x14ac:dyDescent="0.25">
      <c r="A1058">
        <v>3</v>
      </c>
      <c r="B1058" s="1">
        <v>46296</v>
      </c>
      <c r="C1058" s="1">
        <f t="shared" si="368"/>
        <v>46388</v>
      </c>
      <c r="D1058" s="1">
        <f t="shared" si="369"/>
        <v>46310</v>
      </c>
      <c r="E1058" s="1">
        <f t="shared" si="370"/>
        <v>46388</v>
      </c>
      <c r="F1058" s="1">
        <f t="shared" si="371"/>
        <v>46419</v>
      </c>
      <c r="G1058" s="1">
        <f t="shared" si="372"/>
        <v>46675</v>
      </c>
      <c r="H1058">
        <f t="shared" si="373"/>
        <v>365</v>
      </c>
      <c r="I1058">
        <f t="shared" si="374"/>
        <v>31</v>
      </c>
      <c r="J1058">
        <f t="shared" si="375"/>
        <v>8.4931506849315067E-2</v>
      </c>
      <c r="K1058">
        <f>IFERROR($J1058/IF($A1058&lt;COUNTIFS($K$1:K$1,"&lt;&gt;"),0,SUMIFS($J:$J,$B:$B,$B1058,$A:$A,"&gt;="&amp;COUNTIFS($K$1:K$1,"&lt;&gt;"))),0)</f>
        <v>8.9080459770114959E-2</v>
      </c>
      <c r="L1058">
        <f>IFERROR($J1058/IF($A1058&lt;COUNTIFS($K$1:L$1,"&lt;&gt;"),0,SUMIFS($J:$J,$B:$B,$B1058,$A:$A,"&gt;="&amp;COUNTIFS($K$1:L$1,"&lt;&gt;"))),0)</f>
        <v>9.7484276729559768E-2</v>
      </c>
      <c r="M1058">
        <f>IFERROR($J1058/IF($A1058&lt;COUNTIFS($K$1:M$1,"&lt;&gt;"),0,SUMIFS($J:$J,$B:$B,$B1058,$A:$A,"&gt;="&amp;COUNTIFS($K$1:M$1,"&lt;&gt;"))),0)</f>
        <v>0.10801393728222998</v>
      </c>
      <c r="N1058">
        <f>IFERROR($J1058/IF($A1058&lt;COUNTIFS($K$1:N$1,"&lt;&gt;"),0,SUMIFS($J:$J,$B:$B,$B1058,$A:$A,"&gt;="&amp;COUNTIFS($K$1:N$1,"&lt;&gt;"))),0)</f>
        <v>0</v>
      </c>
      <c r="O1058">
        <f>IFERROR($J1058/IF($A1058&lt;COUNTIFS($K$1:O$1,"&lt;&gt;"),0,SUMIFS($J:$J,$B:$B,$B1058,$A:$A,"&gt;="&amp;COUNTIFS($K$1:O$1,"&lt;&gt;"))),0)</f>
        <v>0</v>
      </c>
      <c r="P1058">
        <f>IFERROR($J1058/IF($A1058&lt;COUNTIFS($K$1:P$1,"&lt;&gt;"),0,SUMIFS($J:$J,$B:$B,$B1058,$A:$A,"&gt;="&amp;COUNTIFS($K$1:P$1,"&lt;&gt;"))),0)</f>
        <v>0</v>
      </c>
      <c r="Q1058">
        <f>IFERROR($J1058/IF($A1058&lt;COUNTIFS($K$1:Q$1,"&lt;&gt;"),0,SUMIFS($J:$J,$B:$B,$B1058,$A:$A,"&gt;="&amp;COUNTIFS($K$1:Q$1,"&lt;&gt;"))),0)</f>
        <v>0</v>
      </c>
      <c r="R1058">
        <f>IFERROR($J1058/IF($A1058&lt;COUNTIFS($K$1:R$1,"&lt;&gt;"),0,SUMIFS($J:$J,$B:$B,$B1058,$A:$A,"&gt;="&amp;COUNTIFS($K$1:R$1,"&lt;&gt;"))),0)</f>
        <v>0</v>
      </c>
      <c r="S1058">
        <f>IFERROR($J1058/IF($A1058&lt;COUNTIFS($K$1:S$1,"&lt;&gt;"),0,SUMIFS($J:$J,$B:$B,$B1058,$A:$A,"&gt;="&amp;COUNTIFS($K$1:S$1,"&lt;&gt;"))),0)</f>
        <v>0</v>
      </c>
      <c r="T1058">
        <f>IFERROR($J1058/IF($A1058&lt;COUNTIFS($K$1:T$1,"&lt;&gt;"),0,SUMIFS($J:$J,$B:$B,$B1058,$A:$A,"&gt;="&amp;COUNTIFS($K$1:T$1,"&lt;&gt;"))),0)</f>
        <v>0</v>
      </c>
      <c r="U1058">
        <f>IFERROR($J1058/IF($A1058&lt;COUNTIFS($K$1:U$1,"&lt;&gt;"),0,SUMIFS($J:$J,$B:$B,$B1058,$A:$A,"&gt;="&amp;COUNTIFS($K$1:U$1,"&lt;&gt;"))),0)</f>
        <v>0</v>
      </c>
      <c r="V1058">
        <f>IFERROR($J1058/IF($A1058&lt;COUNTIFS($K$1:V$1,"&lt;&gt;"),0,SUMIFS($J:$J,$B:$B,$B1058,$A:$A,"&gt;="&amp;COUNTIFS($K$1:V$1,"&lt;&gt;"))),0)</f>
        <v>0</v>
      </c>
      <c r="W1058">
        <f t="shared" si="376"/>
        <v>8.4931506849315067E-2</v>
      </c>
      <c r="X1058">
        <f t="shared" si="356"/>
        <v>8.4931506849315067E-2</v>
      </c>
      <c r="Y1058">
        <f t="shared" si="357"/>
        <v>8.4931506849315067E-2</v>
      </c>
      <c r="Z1058">
        <f t="shared" si="358"/>
        <v>8.4931506849315067E-2</v>
      </c>
      <c r="AA1058">
        <f t="shared" si="359"/>
        <v>0</v>
      </c>
      <c r="AB1058">
        <f t="shared" si="360"/>
        <v>0</v>
      </c>
      <c r="AC1058">
        <f t="shared" si="361"/>
        <v>0</v>
      </c>
      <c r="AD1058">
        <f t="shared" si="362"/>
        <v>0</v>
      </c>
      <c r="AE1058">
        <f t="shared" si="363"/>
        <v>0</v>
      </c>
      <c r="AF1058">
        <f t="shared" si="364"/>
        <v>0</v>
      </c>
      <c r="AG1058">
        <f t="shared" si="365"/>
        <v>0</v>
      </c>
      <c r="AH1058">
        <f t="shared" si="366"/>
        <v>0</v>
      </c>
      <c r="AI1058">
        <f t="shared" si="367"/>
        <v>0</v>
      </c>
      <c r="AJ1058" s="2" t="str">
        <f t="shared" si="377"/>
        <v>346296</v>
      </c>
    </row>
    <row r="1059" spans="1:36" x14ac:dyDescent="0.25">
      <c r="A1059">
        <v>4</v>
      </c>
      <c r="B1059" s="1">
        <v>46296</v>
      </c>
      <c r="C1059" s="1">
        <f t="shared" si="368"/>
        <v>46419</v>
      </c>
      <c r="D1059" s="1">
        <f t="shared" si="369"/>
        <v>46310</v>
      </c>
      <c r="E1059" s="1">
        <f t="shared" si="370"/>
        <v>46419</v>
      </c>
      <c r="F1059" s="1">
        <f t="shared" si="371"/>
        <v>46447</v>
      </c>
      <c r="G1059" s="1">
        <f t="shared" si="372"/>
        <v>46675</v>
      </c>
      <c r="H1059">
        <f t="shared" si="373"/>
        <v>365</v>
      </c>
      <c r="I1059">
        <f t="shared" si="374"/>
        <v>28</v>
      </c>
      <c r="J1059">
        <f t="shared" si="375"/>
        <v>7.6712328767123292E-2</v>
      </c>
      <c r="K1059">
        <f>IFERROR($J1059/IF($A1059&lt;COUNTIFS($K$1:K$1,"&lt;&gt;"),0,SUMIFS($J:$J,$B:$B,$B1059,$A:$A,"&gt;="&amp;COUNTIFS($K$1:K$1,"&lt;&gt;"))),0)</f>
        <v>8.0459770114942541E-2</v>
      </c>
      <c r="L1059">
        <f>IFERROR($J1059/IF($A1059&lt;COUNTIFS($K$1:L$1,"&lt;&gt;"),0,SUMIFS($J:$J,$B:$B,$B1059,$A:$A,"&gt;="&amp;COUNTIFS($K$1:L$1,"&lt;&gt;"))),0)</f>
        <v>8.8050314465408827E-2</v>
      </c>
      <c r="M1059">
        <f>IFERROR($J1059/IF($A1059&lt;COUNTIFS($K$1:M$1,"&lt;&gt;"),0,SUMIFS($J:$J,$B:$B,$B1059,$A:$A,"&gt;="&amp;COUNTIFS($K$1:M$1,"&lt;&gt;"))),0)</f>
        <v>9.7560975609756115E-2</v>
      </c>
      <c r="N1059">
        <f>IFERROR($J1059/IF($A1059&lt;COUNTIFS($K$1:N$1,"&lt;&gt;"),0,SUMIFS($J:$J,$B:$B,$B1059,$A:$A,"&gt;="&amp;COUNTIFS($K$1:N$1,"&lt;&gt;"))),0)</f>
        <v>0.10937500000000003</v>
      </c>
      <c r="O1059">
        <f>IFERROR($J1059/IF($A1059&lt;COUNTIFS($K$1:O$1,"&lt;&gt;"),0,SUMIFS($J:$J,$B:$B,$B1059,$A:$A,"&gt;="&amp;COUNTIFS($K$1:O$1,"&lt;&gt;"))),0)</f>
        <v>0</v>
      </c>
      <c r="P1059">
        <f>IFERROR($J1059/IF($A1059&lt;COUNTIFS($K$1:P$1,"&lt;&gt;"),0,SUMIFS($J:$J,$B:$B,$B1059,$A:$A,"&gt;="&amp;COUNTIFS($K$1:P$1,"&lt;&gt;"))),0)</f>
        <v>0</v>
      </c>
      <c r="Q1059">
        <f>IFERROR($J1059/IF($A1059&lt;COUNTIFS($K$1:Q$1,"&lt;&gt;"),0,SUMIFS($J:$J,$B:$B,$B1059,$A:$A,"&gt;="&amp;COUNTIFS($K$1:Q$1,"&lt;&gt;"))),0)</f>
        <v>0</v>
      </c>
      <c r="R1059">
        <f>IFERROR($J1059/IF($A1059&lt;COUNTIFS($K$1:R$1,"&lt;&gt;"),0,SUMIFS($J:$J,$B:$B,$B1059,$A:$A,"&gt;="&amp;COUNTIFS($K$1:R$1,"&lt;&gt;"))),0)</f>
        <v>0</v>
      </c>
      <c r="S1059">
        <f>IFERROR($J1059/IF($A1059&lt;COUNTIFS($K$1:S$1,"&lt;&gt;"),0,SUMIFS($J:$J,$B:$B,$B1059,$A:$A,"&gt;="&amp;COUNTIFS($K$1:S$1,"&lt;&gt;"))),0)</f>
        <v>0</v>
      </c>
      <c r="T1059">
        <f>IFERROR($J1059/IF($A1059&lt;COUNTIFS($K$1:T$1,"&lt;&gt;"),0,SUMIFS($J:$J,$B:$B,$B1059,$A:$A,"&gt;="&amp;COUNTIFS($K$1:T$1,"&lt;&gt;"))),0)</f>
        <v>0</v>
      </c>
      <c r="U1059">
        <f>IFERROR($J1059/IF($A1059&lt;COUNTIFS($K$1:U$1,"&lt;&gt;"),0,SUMIFS($J:$J,$B:$B,$B1059,$A:$A,"&gt;="&amp;COUNTIFS($K$1:U$1,"&lt;&gt;"))),0)</f>
        <v>0</v>
      </c>
      <c r="V1059">
        <f>IFERROR($J1059/IF($A1059&lt;COUNTIFS($K$1:V$1,"&lt;&gt;"),0,SUMIFS($J:$J,$B:$B,$B1059,$A:$A,"&gt;="&amp;COUNTIFS($K$1:V$1,"&lt;&gt;"))),0)</f>
        <v>0</v>
      </c>
      <c r="W1059">
        <f t="shared" si="376"/>
        <v>7.6712328767123292E-2</v>
      </c>
      <c r="X1059">
        <f t="shared" si="356"/>
        <v>7.6712328767123292E-2</v>
      </c>
      <c r="Y1059">
        <f t="shared" si="357"/>
        <v>7.6712328767123292E-2</v>
      </c>
      <c r="Z1059">
        <f t="shared" si="358"/>
        <v>7.6712328767123292E-2</v>
      </c>
      <c r="AA1059">
        <f t="shared" si="359"/>
        <v>7.6712328767123292E-2</v>
      </c>
      <c r="AB1059">
        <f t="shared" si="360"/>
        <v>0</v>
      </c>
      <c r="AC1059">
        <f t="shared" si="361"/>
        <v>0</v>
      </c>
      <c r="AD1059">
        <f t="shared" si="362"/>
        <v>0</v>
      </c>
      <c r="AE1059">
        <f t="shared" si="363"/>
        <v>0</v>
      </c>
      <c r="AF1059">
        <f t="shared" si="364"/>
        <v>0</v>
      </c>
      <c r="AG1059">
        <f t="shared" si="365"/>
        <v>0</v>
      </c>
      <c r="AH1059">
        <f t="shared" si="366"/>
        <v>0</v>
      </c>
      <c r="AI1059">
        <f t="shared" si="367"/>
        <v>0</v>
      </c>
      <c r="AJ1059" s="2" t="str">
        <f t="shared" si="377"/>
        <v>446296</v>
      </c>
    </row>
    <row r="1060" spans="1:36" x14ac:dyDescent="0.25">
      <c r="A1060">
        <v>5</v>
      </c>
      <c r="B1060" s="1">
        <v>46296</v>
      </c>
      <c r="C1060" s="1">
        <f t="shared" si="368"/>
        <v>46447</v>
      </c>
      <c r="D1060" s="1">
        <f t="shared" si="369"/>
        <v>46310</v>
      </c>
      <c r="E1060" s="1">
        <f t="shared" si="370"/>
        <v>46447</v>
      </c>
      <c r="F1060" s="1">
        <f t="shared" si="371"/>
        <v>46478</v>
      </c>
      <c r="G1060" s="1">
        <f t="shared" si="372"/>
        <v>46675</v>
      </c>
      <c r="H1060">
        <f t="shared" si="373"/>
        <v>365</v>
      </c>
      <c r="I1060">
        <f t="shared" si="374"/>
        <v>31</v>
      </c>
      <c r="J1060">
        <f t="shared" si="375"/>
        <v>8.4931506849315067E-2</v>
      </c>
      <c r="K1060">
        <f>IFERROR($J1060/IF($A1060&lt;COUNTIFS($K$1:K$1,"&lt;&gt;"),0,SUMIFS($J:$J,$B:$B,$B1060,$A:$A,"&gt;="&amp;COUNTIFS($K$1:K$1,"&lt;&gt;"))),0)</f>
        <v>8.9080459770114959E-2</v>
      </c>
      <c r="L1060">
        <f>IFERROR($J1060/IF($A1060&lt;COUNTIFS($K$1:L$1,"&lt;&gt;"),0,SUMIFS($J:$J,$B:$B,$B1060,$A:$A,"&gt;="&amp;COUNTIFS($K$1:L$1,"&lt;&gt;"))),0)</f>
        <v>9.7484276729559768E-2</v>
      </c>
      <c r="M1060">
        <f>IFERROR($J1060/IF($A1060&lt;COUNTIFS($K$1:M$1,"&lt;&gt;"),0,SUMIFS($J:$J,$B:$B,$B1060,$A:$A,"&gt;="&amp;COUNTIFS($K$1:M$1,"&lt;&gt;"))),0)</f>
        <v>0.10801393728222998</v>
      </c>
      <c r="N1060">
        <f>IFERROR($J1060/IF($A1060&lt;COUNTIFS($K$1:N$1,"&lt;&gt;"),0,SUMIFS($J:$J,$B:$B,$B1060,$A:$A,"&gt;="&amp;COUNTIFS($K$1:N$1,"&lt;&gt;"))),0)</f>
        <v>0.12109375000000001</v>
      </c>
      <c r="O1060">
        <f>IFERROR($J1060/IF($A1060&lt;COUNTIFS($K$1:O$1,"&lt;&gt;"),0,SUMIFS($J:$J,$B:$B,$B1060,$A:$A,"&gt;="&amp;COUNTIFS($K$1:O$1,"&lt;&gt;"))),0)</f>
        <v>0.13596491228070179</v>
      </c>
      <c r="P1060">
        <f>IFERROR($J1060/IF($A1060&lt;COUNTIFS($K$1:P$1,"&lt;&gt;"),0,SUMIFS($J:$J,$B:$B,$B1060,$A:$A,"&gt;="&amp;COUNTIFS($K$1:P$1,"&lt;&gt;"))),0)</f>
        <v>0</v>
      </c>
      <c r="Q1060">
        <f>IFERROR($J1060/IF($A1060&lt;COUNTIFS($K$1:Q$1,"&lt;&gt;"),0,SUMIFS($J:$J,$B:$B,$B1060,$A:$A,"&gt;="&amp;COUNTIFS($K$1:Q$1,"&lt;&gt;"))),0)</f>
        <v>0</v>
      </c>
      <c r="R1060">
        <f>IFERROR($J1060/IF($A1060&lt;COUNTIFS($K$1:R$1,"&lt;&gt;"),0,SUMIFS($J:$J,$B:$B,$B1060,$A:$A,"&gt;="&amp;COUNTIFS($K$1:R$1,"&lt;&gt;"))),0)</f>
        <v>0</v>
      </c>
      <c r="S1060">
        <f>IFERROR($J1060/IF($A1060&lt;COUNTIFS($K$1:S$1,"&lt;&gt;"),0,SUMIFS($J:$J,$B:$B,$B1060,$A:$A,"&gt;="&amp;COUNTIFS($K$1:S$1,"&lt;&gt;"))),0)</f>
        <v>0</v>
      </c>
      <c r="T1060">
        <f>IFERROR($J1060/IF($A1060&lt;COUNTIFS($K$1:T$1,"&lt;&gt;"),0,SUMIFS($J:$J,$B:$B,$B1060,$A:$A,"&gt;="&amp;COUNTIFS($K$1:T$1,"&lt;&gt;"))),0)</f>
        <v>0</v>
      </c>
      <c r="U1060">
        <f>IFERROR($J1060/IF($A1060&lt;COUNTIFS($K$1:U$1,"&lt;&gt;"),0,SUMIFS($J:$J,$B:$B,$B1060,$A:$A,"&gt;="&amp;COUNTIFS($K$1:U$1,"&lt;&gt;"))),0)</f>
        <v>0</v>
      </c>
      <c r="V1060">
        <f>IFERROR($J1060/IF($A1060&lt;COUNTIFS($K$1:V$1,"&lt;&gt;"),0,SUMIFS($J:$J,$B:$B,$B1060,$A:$A,"&gt;="&amp;COUNTIFS($K$1:V$1,"&lt;&gt;"))),0)</f>
        <v>0</v>
      </c>
      <c r="W1060">
        <f t="shared" si="376"/>
        <v>8.4931506849315067E-2</v>
      </c>
      <c r="X1060">
        <f t="shared" si="356"/>
        <v>8.4931506849315067E-2</v>
      </c>
      <c r="Y1060">
        <f t="shared" si="357"/>
        <v>8.4931506849315067E-2</v>
      </c>
      <c r="Z1060">
        <f t="shared" si="358"/>
        <v>8.4931506849315067E-2</v>
      </c>
      <c r="AA1060">
        <f t="shared" si="359"/>
        <v>8.4931506849315067E-2</v>
      </c>
      <c r="AB1060">
        <f t="shared" si="360"/>
        <v>8.4931506849315067E-2</v>
      </c>
      <c r="AC1060">
        <f t="shared" si="361"/>
        <v>0</v>
      </c>
      <c r="AD1060">
        <f t="shared" si="362"/>
        <v>0</v>
      </c>
      <c r="AE1060">
        <f t="shared" si="363"/>
        <v>0</v>
      </c>
      <c r="AF1060">
        <f t="shared" si="364"/>
        <v>0</v>
      </c>
      <c r="AG1060">
        <f t="shared" si="365"/>
        <v>0</v>
      </c>
      <c r="AH1060">
        <f t="shared" si="366"/>
        <v>0</v>
      </c>
      <c r="AI1060">
        <f t="shared" si="367"/>
        <v>0</v>
      </c>
      <c r="AJ1060" s="2" t="str">
        <f t="shared" si="377"/>
        <v>546296</v>
      </c>
    </row>
    <row r="1061" spans="1:36" x14ac:dyDescent="0.25">
      <c r="A1061">
        <v>6</v>
      </c>
      <c r="B1061" s="1">
        <v>46296</v>
      </c>
      <c r="C1061" s="1">
        <f t="shared" si="368"/>
        <v>46478</v>
      </c>
      <c r="D1061" s="1">
        <f t="shared" si="369"/>
        <v>46310</v>
      </c>
      <c r="E1061" s="1">
        <f t="shared" si="370"/>
        <v>46478</v>
      </c>
      <c r="F1061" s="1">
        <f t="shared" si="371"/>
        <v>46508</v>
      </c>
      <c r="G1061" s="1">
        <f t="shared" si="372"/>
        <v>46675</v>
      </c>
      <c r="H1061">
        <f t="shared" si="373"/>
        <v>365</v>
      </c>
      <c r="I1061">
        <f t="shared" si="374"/>
        <v>30</v>
      </c>
      <c r="J1061">
        <f t="shared" si="375"/>
        <v>8.2191780821917804E-2</v>
      </c>
      <c r="K1061">
        <f>IFERROR($J1061/IF($A1061&lt;COUNTIFS($K$1:K$1,"&lt;&gt;"),0,SUMIFS($J:$J,$B:$B,$B1061,$A:$A,"&gt;="&amp;COUNTIFS($K$1:K$1,"&lt;&gt;"))),0)</f>
        <v>8.6206896551724144E-2</v>
      </c>
      <c r="L1061">
        <f>IFERROR($J1061/IF($A1061&lt;COUNTIFS($K$1:L$1,"&lt;&gt;"),0,SUMIFS($J:$J,$B:$B,$B1061,$A:$A,"&gt;="&amp;COUNTIFS($K$1:L$1,"&lt;&gt;"))),0)</f>
        <v>9.4339622641509441E-2</v>
      </c>
      <c r="M1061">
        <f>IFERROR($J1061/IF($A1061&lt;COUNTIFS($K$1:M$1,"&lt;&gt;"),0,SUMIFS($J:$J,$B:$B,$B1061,$A:$A,"&gt;="&amp;COUNTIFS($K$1:M$1,"&lt;&gt;"))),0)</f>
        <v>0.10452961672473869</v>
      </c>
      <c r="N1061">
        <f>IFERROR($J1061/IF($A1061&lt;COUNTIFS($K$1:N$1,"&lt;&gt;"),0,SUMIFS($J:$J,$B:$B,$B1061,$A:$A,"&gt;="&amp;COUNTIFS($K$1:N$1,"&lt;&gt;"))),0)</f>
        <v>0.11718750000000001</v>
      </c>
      <c r="O1061">
        <f>IFERROR($J1061/IF($A1061&lt;COUNTIFS($K$1:O$1,"&lt;&gt;"),0,SUMIFS($J:$J,$B:$B,$B1061,$A:$A,"&gt;="&amp;COUNTIFS($K$1:O$1,"&lt;&gt;"))),0)</f>
        <v>0.13157894736842107</v>
      </c>
      <c r="P1061">
        <f>IFERROR($J1061/IF($A1061&lt;COUNTIFS($K$1:P$1,"&lt;&gt;"),0,SUMIFS($J:$J,$B:$B,$B1061,$A:$A,"&gt;="&amp;COUNTIFS($K$1:P$1,"&lt;&gt;"))),0)</f>
        <v>0.15228426395939088</v>
      </c>
      <c r="Q1061">
        <f>IFERROR($J1061/IF($A1061&lt;COUNTIFS($K$1:Q$1,"&lt;&gt;"),0,SUMIFS($J:$J,$B:$B,$B1061,$A:$A,"&gt;="&amp;COUNTIFS($K$1:Q$1,"&lt;&gt;"))),0)</f>
        <v>0</v>
      </c>
      <c r="R1061">
        <f>IFERROR($J1061/IF($A1061&lt;COUNTIFS($K$1:R$1,"&lt;&gt;"),0,SUMIFS($J:$J,$B:$B,$B1061,$A:$A,"&gt;="&amp;COUNTIFS($K$1:R$1,"&lt;&gt;"))),0)</f>
        <v>0</v>
      </c>
      <c r="S1061">
        <f>IFERROR($J1061/IF($A1061&lt;COUNTIFS($K$1:S$1,"&lt;&gt;"),0,SUMIFS($J:$J,$B:$B,$B1061,$A:$A,"&gt;="&amp;COUNTIFS($K$1:S$1,"&lt;&gt;"))),0)</f>
        <v>0</v>
      </c>
      <c r="T1061">
        <f>IFERROR($J1061/IF($A1061&lt;COUNTIFS($K$1:T$1,"&lt;&gt;"),0,SUMIFS($J:$J,$B:$B,$B1061,$A:$A,"&gt;="&amp;COUNTIFS($K$1:T$1,"&lt;&gt;"))),0)</f>
        <v>0</v>
      </c>
      <c r="U1061">
        <f>IFERROR($J1061/IF($A1061&lt;COUNTIFS($K$1:U$1,"&lt;&gt;"),0,SUMIFS($J:$J,$B:$B,$B1061,$A:$A,"&gt;="&amp;COUNTIFS($K$1:U$1,"&lt;&gt;"))),0)</f>
        <v>0</v>
      </c>
      <c r="V1061">
        <f>IFERROR($J1061/IF($A1061&lt;COUNTIFS($K$1:V$1,"&lt;&gt;"),0,SUMIFS($J:$J,$B:$B,$B1061,$A:$A,"&gt;="&amp;COUNTIFS($K$1:V$1,"&lt;&gt;"))),0)</f>
        <v>0</v>
      </c>
      <c r="W1061">
        <f t="shared" si="376"/>
        <v>8.2191780821917804E-2</v>
      </c>
      <c r="X1061">
        <f t="shared" si="356"/>
        <v>8.2191780821917804E-2</v>
      </c>
      <c r="Y1061">
        <f t="shared" si="357"/>
        <v>8.2191780821917804E-2</v>
      </c>
      <c r="Z1061">
        <f t="shared" si="358"/>
        <v>8.2191780821917804E-2</v>
      </c>
      <c r="AA1061">
        <f t="shared" si="359"/>
        <v>8.2191780821917804E-2</v>
      </c>
      <c r="AB1061">
        <f t="shared" si="360"/>
        <v>8.2191780821917804E-2</v>
      </c>
      <c r="AC1061">
        <f t="shared" si="361"/>
        <v>8.2191780821917804E-2</v>
      </c>
      <c r="AD1061">
        <f t="shared" si="362"/>
        <v>0</v>
      </c>
      <c r="AE1061">
        <f t="shared" si="363"/>
        <v>0</v>
      </c>
      <c r="AF1061">
        <f t="shared" si="364"/>
        <v>0</v>
      </c>
      <c r="AG1061">
        <f t="shared" si="365"/>
        <v>0</v>
      </c>
      <c r="AH1061">
        <f t="shared" si="366"/>
        <v>0</v>
      </c>
      <c r="AI1061">
        <f t="shared" si="367"/>
        <v>0</v>
      </c>
      <c r="AJ1061" s="2" t="str">
        <f t="shared" si="377"/>
        <v>646296</v>
      </c>
    </row>
    <row r="1062" spans="1:36" x14ac:dyDescent="0.25">
      <c r="A1062">
        <v>7</v>
      </c>
      <c r="B1062" s="1">
        <v>46296</v>
      </c>
      <c r="C1062" s="1">
        <f t="shared" si="368"/>
        <v>46508</v>
      </c>
      <c r="D1062" s="1">
        <f t="shared" si="369"/>
        <v>46310</v>
      </c>
      <c r="E1062" s="1">
        <f t="shared" si="370"/>
        <v>46508</v>
      </c>
      <c r="F1062" s="1">
        <f t="shared" si="371"/>
        <v>46539</v>
      </c>
      <c r="G1062" s="1">
        <f t="shared" si="372"/>
        <v>46675</v>
      </c>
      <c r="H1062">
        <f t="shared" si="373"/>
        <v>365</v>
      </c>
      <c r="I1062">
        <f t="shared" si="374"/>
        <v>31</v>
      </c>
      <c r="J1062">
        <f t="shared" si="375"/>
        <v>8.4931506849315067E-2</v>
      </c>
      <c r="K1062">
        <f>IFERROR($J1062/IF($A1062&lt;COUNTIFS($K$1:K$1,"&lt;&gt;"),0,SUMIFS($J:$J,$B:$B,$B1062,$A:$A,"&gt;="&amp;COUNTIFS($K$1:K$1,"&lt;&gt;"))),0)</f>
        <v>8.9080459770114959E-2</v>
      </c>
      <c r="L1062">
        <f>IFERROR($J1062/IF($A1062&lt;COUNTIFS($K$1:L$1,"&lt;&gt;"),0,SUMIFS($J:$J,$B:$B,$B1062,$A:$A,"&gt;="&amp;COUNTIFS($K$1:L$1,"&lt;&gt;"))),0)</f>
        <v>9.7484276729559768E-2</v>
      </c>
      <c r="M1062">
        <f>IFERROR($J1062/IF($A1062&lt;COUNTIFS($K$1:M$1,"&lt;&gt;"),0,SUMIFS($J:$J,$B:$B,$B1062,$A:$A,"&gt;="&amp;COUNTIFS($K$1:M$1,"&lt;&gt;"))),0)</f>
        <v>0.10801393728222998</v>
      </c>
      <c r="N1062">
        <f>IFERROR($J1062/IF($A1062&lt;COUNTIFS($K$1:N$1,"&lt;&gt;"),0,SUMIFS($J:$J,$B:$B,$B1062,$A:$A,"&gt;="&amp;COUNTIFS($K$1:N$1,"&lt;&gt;"))),0)</f>
        <v>0.12109375000000001</v>
      </c>
      <c r="O1062">
        <f>IFERROR($J1062/IF($A1062&lt;COUNTIFS($K$1:O$1,"&lt;&gt;"),0,SUMIFS($J:$J,$B:$B,$B1062,$A:$A,"&gt;="&amp;COUNTIFS($K$1:O$1,"&lt;&gt;"))),0)</f>
        <v>0.13596491228070179</v>
      </c>
      <c r="P1062">
        <f>IFERROR($J1062/IF($A1062&lt;COUNTIFS($K$1:P$1,"&lt;&gt;"),0,SUMIFS($J:$J,$B:$B,$B1062,$A:$A,"&gt;="&amp;COUNTIFS($K$1:P$1,"&lt;&gt;"))),0)</f>
        <v>0.15736040609137059</v>
      </c>
      <c r="Q1062">
        <f>IFERROR($J1062/IF($A1062&lt;COUNTIFS($K$1:Q$1,"&lt;&gt;"),0,SUMIFS($J:$J,$B:$B,$B1062,$A:$A,"&gt;="&amp;COUNTIFS($K$1:Q$1,"&lt;&gt;"))),0)</f>
        <v>0.18562874251497008</v>
      </c>
      <c r="R1062">
        <f>IFERROR($J1062/IF($A1062&lt;COUNTIFS($K$1:R$1,"&lt;&gt;"),0,SUMIFS($J:$J,$B:$B,$B1062,$A:$A,"&gt;="&amp;COUNTIFS($K$1:R$1,"&lt;&gt;"))),0)</f>
        <v>0</v>
      </c>
      <c r="S1062">
        <f>IFERROR($J1062/IF($A1062&lt;COUNTIFS($K$1:S$1,"&lt;&gt;"),0,SUMIFS($J:$J,$B:$B,$B1062,$A:$A,"&gt;="&amp;COUNTIFS($K$1:S$1,"&lt;&gt;"))),0)</f>
        <v>0</v>
      </c>
      <c r="T1062">
        <f>IFERROR($J1062/IF($A1062&lt;COUNTIFS($K$1:T$1,"&lt;&gt;"),0,SUMIFS($J:$J,$B:$B,$B1062,$A:$A,"&gt;="&amp;COUNTIFS($K$1:T$1,"&lt;&gt;"))),0)</f>
        <v>0</v>
      </c>
      <c r="U1062">
        <f>IFERROR($J1062/IF($A1062&lt;COUNTIFS($K$1:U$1,"&lt;&gt;"),0,SUMIFS($J:$J,$B:$B,$B1062,$A:$A,"&gt;="&amp;COUNTIFS($K$1:U$1,"&lt;&gt;"))),0)</f>
        <v>0</v>
      </c>
      <c r="V1062">
        <f>IFERROR($J1062/IF($A1062&lt;COUNTIFS($K$1:V$1,"&lt;&gt;"),0,SUMIFS($J:$J,$B:$B,$B1062,$A:$A,"&gt;="&amp;COUNTIFS($K$1:V$1,"&lt;&gt;"))),0)</f>
        <v>0</v>
      </c>
      <c r="W1062">
        <f t="shared" si="376"/>
        <v>8.4931506849315067E-2</v>
      </c>
      <c r="X1062">
        <f t="shared" si="356"/>
        <v>8.4931506849315067E-2</v>
      </c>
      <c r="Y1062">
        <f t="shared" si="357"/>
        <v>8.4931506849315067E-2</v>
      </c>
      <c r="Z1062">
        <f t="shared" si="358"/>
        <v>8.4931506849315067E-2</v>
      </c>
      <c r="AA1062">
        <f t="shared" si="359"/>
        <v>8.4931506849315067E-2</v>
      </c>
      <c r="AB1062">
        <f t="shared" si="360"/>
        <v>8.4931506849315067E-2</v>
      </c>
      <c r="AC1062">
        <f t="shared" si="361"/>
        <v>8.4931506849315067E-2</v>
      </c>
      <c r="AD1062">
        <f t="shared" si="362"/>
        <v>8.4931506849315067E-2</v>
      </c>
      <c r="AE1062">
        <f t="shared" si="363"/>
        <v>0</v>
      </c>
      <c r="AF1062">
        <f t="shared" si="364"/>
        <v>0</v>
      </c>
      <c r="AG1062">
        <f t="shared" si="365"/>
        <v>0</v>
      </c>
      <c r="AH1062">
        <f t="shared" si="366"/>
        <v>0</v>
      </c>
      <c r="AI1062">
        <f t="shared" si="367"/>
        <v>0</v>
      </c>
      <c r="AJ1062" s="2" t="str">
        <f t="shared" si="377"/>
        <v>746296</v>
      </c>
    </row>
    <row r="1063" spans="1:36" x14ac:dyDescent="0.25">
      <c r="A1063">
        <v>8</v>
      </c>
      <c r="B1063" s="1">
        <v>46296</v>
      </c>
      <c r="C1063" s="1">
        <f t="shared" si="368"/>
        <v>46539</v>
      </c>
      <c r="D1063" s="1">
        <f t="shared" si="369"/>
        <v>46310</v>
      </c>
      <c r="E1063" s="1">
        <f t="shared" si="370"/>
        <v>46539</v>
      </c>
      <c r="F1063" s="1">
        <f t="shared" si="371"/>
        <v>46569</v>
      </c>
      <c r="G1063" s="1">
        <f t="shared" si="372"/>
        <v>46675</v>
      </c>
      <c r="H1063">
        <f t="shared" si="373"/>
        <v>365</v>
      </c>
      <c r="I1063">
        <f t="shared" si="374"/>
        <v>30</v>
      </c>
      <c r="J1063">
        <f t="shared" si="375"/>
        <v>8.2191780821917804E-2</v>
      </c>
      <c r="K1063">
        <f>IFERROR($J1063/IF($A1063&lt;COUNTIFS($K$1:K$1,"&lt;&gt;"),0,SUMIFS($J:$J,$B:$B,$B1063,$A:$A,"&gt;="&amp;COUNTIFS($K$1:K$1,"&lt;&gt;"))),0)</f>
        <v>8.6206896551724144E-2</v>
      </c>
      <c r="L1063">
        <f>IFERROR($J1063/IF($A1063&lt;COUNTIFS($K$1:L$1,"&lt;&gt;"),0,SUMIFS($J:$J,$B:$B,$B1063,$A:$A,"&gt;="&amp;COUNTIFS($K$1:L$1,"&lt;&gt;"))),0)</f>
        <v>9.4339622641509441E-2</v>
      </c>
      <c r="M1063">
        <f>IFERROR($J1063/IF($A1063&lt;COUNTIFS($K$1:M$1,"&lt;&gt;"),0,SUMIFS($J:$J,$B:$B,$B1063,$A:$A,"&gt;="&amp;COUNTIFS($K$1:M$1,"&lt;&gt;"))),0)</f>
        <v>0.10452961672473869</v>
      </c>
      <c r="N1063">
        <f>IFERROR($J1063/IF($A1063&lt;COUNTIFS($K$1:N$1,"&lt;&gt;"),0,SUMIFS($J:$J,$B:$B,$B1063,$A:$A,"&gt;="&amp;COUNTIFS($K$1:N$1,"&lt;&gt;"))),0)</f>
        <v>0.11718750000000001</v>
      </c>
      <c r="O1063">
        <f>IFERROR($J1063/IF($A1063&lt;COUNTIFS($K$1:O$1,"&lt;&gt;"),0,SUMIFS($J:$J,$B:$B,$B1063,$A:$A,"&gt;="&amp;COUNTIFS($K$1:O$1,"&lt;&gt;"))),0)</f>
        <v>0.13157894736842107</v>
      </c>
      <c r="P1063">
        <f>IFERROR($J1063/IF($A1063&lt;COUNTIFS($K$1:P$1,"&lt;&gt;"),0,SUMIFS($J:$J,$B:$B,$B1063,$A:$A,"&gt;="&amp;COUNTIFS($K$1:P$1,"&lt;&gt;"))),0)</f>
        <v>0.15228426395939088</v>
      </c>
      <c r="Q1063">
        <f>IFERROR($J1063/IF($A1063&lt;COUNTIFS($K$1:Q$1,"&lt;&gt;"),0,SUMIFS($J:$J,$B:$B,$B1063,$A:$A,"&gt;="&amp;COUNTIFS($K$1:Q$1,"&lt;&gt;"))),0)</f>
        <v>0.17964071856287425</v>
      </c>
      <c r="R1063">
        <f>IFERROR($J1063/IF($A1063&lt;COUNTIFS($K$1:R$1,"&lt;&gt;"),0,SUMIFS($J:$J,$B:$B,$B1063,$A:$A,"&gt;="&amp;COUNTIFS($K$1:R$1,"&lt;&gt;"))),0)</f>
        <v>0.22058823529411764</v>
      </c>
      <c r="S1063">
        <f>IFERROR($J1063/IF($A1063&lt;COUNTIFS($K$1:S$1,"&lt;&gt;"),0,SUMIFS($J:$J,$B:$B,$B1063,$A:$A,"&gt;="&amp;COUNTIFS($K$1:S$1,"&lt;&gt;"))),0)</f>
        <v>0</v>
      </c>
      <c r="T1063">
        <f>IFERROR($J1063/IF($A1063&lt;COUNTIFS($K$1:T$1,"&lt;&gt;"),0,SUMIFS($J:$J,$B:$B,$B1063,$A:$A,"&gt;="&amp;COUNTIFS($K$1:T$1,"&lt;&gt;"))),0)</f>
        <v>0</v>
      </c>
      <c r="U1063">
        <f>IFERROR($J1063/IF($A1063&lt;COUNTIFS($K$1:U$1,"&lt;&gt;"),0,SUMIFS($J:$J,$B:$B,$B1063,$A:$A,"&gt;="&amp;COUNTIFS($K$1:U$1,"&lt;&gt;"))),0)</f>
        <v>0</v>
      </c>
      <c r="V1063">
        <f>IFERROR($J1063/IF($A1063&lt;COUNTIFS($K$1:V$1,"&lt;&gt;"),0,SUMIFS($J:$J,$B:$B,$B1063,$A:$A,"&gt;="&amp;COUNTIFS($K$1:V$1,"&lt;&gt;"))),0)</f>
        <v>0</v>
      </c>
      <c r="W1063">
        <f t="shared" si="376"/>
        <v>8.2191780821917804E-2</v>
      </c>
      <c r="X1063">
        <f t="shared" si="356"/>
        <v>8.2191780821917804E-2</v>
      </c>
      <c r="Y1063">
        <f t="shared" si="357"/>
        <v>8.2191780821917804E-2</v>
      </c>
      <c r="Z1063">
        <f t="shared" si="358"/>
        <v>8.2191780821917804E-2</v>
      </c>
      <c r="AA1063">
        <f t="shared" si="359"/>
        <v>8.2191780821917804E-2</v>
      </c>
      <c r="AB1063">
        <f t="shared" si="360"/>
        <v>8.2191780821917804E-2</v>
      </c>
      <c r="AC1063">
        <f t="shared" si="361"/>
        <v>8.2191780821917804E-2</v>
      </c>
      <c r="AD1063">
        <f t="shared" si="362"/>
        <v>8.2191780821917804E-2</v>
      </c>
      <c r="AE1063">
        <f t="shared" si="363"/>
        <v>8.2191780821917804E-2</v>
      </c>
      <c r="AF1063">
        <f t="shared" si="364"/>
        <v>0</v>
      </c>
      <c r="AG1063">
        <f t="shared" si="365"/>
        <v>0</v>
      </c>
      <c r="AH1063">
        <f t="shared" si="366"/>
        <v>0</v>
      </c>
      <c r="AI1063">
        <f t="shared" si="367"/>
        <v>0</v>
      </c>
      <c r="AJ1063" s="2" t="str">
        <f t="shared" si="377"/>
        <v>846296</v>
      </c>
    </row>
    <row r="1064" spans="1:36" x14ac:dyDescent="0.25">
      <c r="A1064">
        <v>9</v>
      </c>
      <c r="B1064" s="1">
        <v>46296</v>
      </c>
      <c r="C1064" s="1">
        <f t="shared" si="368"/>
        <v>46569</v>
      </c>
      <c r="D1064" s="1">
        <f t="shared" si="369"/>
        <v>46310</v>
      </c>
      <c r="E1064" s="1">
        <f t="shared" si="370"/>
        <v>46569</v>
      </c>
      <c r="F1064" s="1">
        <f t="shared" si="371"/>
        <v>46600</v>
      </c>
      <c r="G1064" s="1">
        <f t="shared" si="372"/>
        <v>46675</v>
      </c>
      <c r="H1064">
        <f t="shared" si="373"/>
        <v>365</v>
      </c>
      <c r="I1064">
        <f t="shared" si="374"/>
        <v>31</v>
      </c>
      <c r="J1064">
        <f t="shared" si="375"/>
        <v>8.4931506849315067E-2</v>
      </c>
      <c r="K1064">
        <f>IFERROR($J1064/IF($A1064&lt;COUNTIFS($K$1:K$1,"&lt;&gt;"),0,SUMIFS($J:$J,$B:$B,$B1064,$A:$A,"&gt;="&amp;COUNTIFS($K$1:K$1,"&lt;&gt;"))),0)</f>
        <v>8.9080459770114959E-2</v>
      </c>
      <c r="L1064">
        <f>IFERROR($J1064/IF($A1064&lt;COUNTIFS($K$1:L$1,"&lt;&gt;"),0,SUMIFS($J:$J,$B:$B,$B1064,$A:$A,"&gt;="&amp;COUNTIFS($K$1:L$1,"&lt;&gt;"))),0)</f>
        <v>9.7484276729559768E-2</v>
      </c>
      <c r="M1064">
        <f>IFERROR($J1064/IF($A1064&lt;COUNTIFS($K$1:M$1,"&lt;&gt;"),0,SUMIFS($J:$J,$B:$B,$B1064,$A:$A,"&gt;="&amp;COUNTIFS($K$1:M$1,"&lt;&gt;"))),0)</f>
        <v>0.10801393728222998</v>
      </c>
      <c r="N1064">
        <f>IFERROR($J1064/IF($A1064&lt;COUNTIFS($K$1:N$1,"&lt;&gt;"),0,SUMIFS($J:$J,$B:$B,$B1064,$A:$A,"&gt;="&amp;COUNTIFS($K$1:N$1,"&lt;&gt;"))),0)</f>
        <v>0.12109375000000001</v>
      </c>
      <c r="O1064">
        <f>IFERROR($J1064/IF($A1064&lt;COUNTIFS($K$1:O$1,"&lt;&gt;"),0,SUMIFS($J:$J,$B:$B,$B1064,$A:$A,"&gt;="&amp;COUNTIFS($K$1:O$1,"&lt;&gt;"))),0)</f>
        <v>0.13596491228070179</v>
      </c>
      <c r="P1064">
        <f>IFERROR($J1064/IF($A1064&lt;COUNTIFS($K$1:P$1,"&lt;&gt;"),0,SUMIFS($J:$J,$B:$B,$B1064,$A:$A,"&gt;="&amp;COUNTIFS($K$1:P$1,"&lt;&gt;"))),0)</f>
        <v>0.15736040609137059</v>
      </c>
      <c r="Q1064">
        <f>IFERROR($J1064/IF($A1064&lt;COUNTIFS($K$1:Q$1,"&lt;&gt;"),0,SUMIFS($J:$J,$B:$B,$B1064,$A:$A,"&gt;="&amp;COUNTIFS($K$1:Q$1,"&lt;&gt;"))),0)</f>
        <v>0.18562874251497008</v>
      </c>
      <c r="R1064">
        <f>IFERROR($J1064/IF($A1064&lt;COUNTIFS($K$1:R$1,"&lt;&gt;"),0,SUMIFS($J:$J,$B:$B,$B1064,$A:$A,"&gt;="&amp;COUNTIFS($K$1:R$1,"&lt;&gt;"))),0)</f>
        <v>0.22794117647058826</v>
      </c>
      <c r="S1064">
        <f>IFERROR($J1064/IF($A1064&lt;COUNTIFS($K$1:S$1,"&lt;&gt;"),0,SUMIFS($J:$J,$B:$B,$B1064,$A:$A,"&gt;="&amp;COUNTIFS($K$1:S$1,"&lt;&gt;"))),0)</f>
        <v>0.29245283018867929</v>
      </c>
      <c r="T1064">
        <f>IFERROR($J1064/IF($A1064&lt;COUNTIFS($K$1:T$1,"&lt;&gt;"),0,SUMIFS($J:$J,$B:$B,$B1064,$A:$A,"&gt;="&amp;COUNTIFS($K$1:T$1,"&lt;&gt;"))),0)</f>
        <v>0</v>
      </c>
      <c r="U1064">
        <f>IFERROR($J1064/IF($A1064&lt;COUNTIFS($K$1:U$1,"&lt;&gt;"),0,SUMIFS($J:$J,$B:$B,$B1064,$A:$A,"&gt;="&amp;COUNTIFS($K$1:U$1,"&lt;&gt;"))),0)</f>
        <v>0</v>
      </c>
      <c r="V1064">
        <f>IFERROR($J1064/IF($A1064&lt;COUNTIFS($K$1:V$1,"&lt;&gt;"),0,SUMIFS($J:$J,$B:$B,$B1064,$A:$A,"&gt;="&amp;COUNTIFS($K$1:V$1,"&lt;&gt;"))),0)</f>
        <v>0</v>
      </c>
      <c r="W1064">
        <f t="shared" si="376"/>
        <v>8.4931506849315067E-2</v>
      </c>
      <c r="X1064">
        <f t="shared" si="356"/>
        <v>8.4931506849315067E-2</v>
      </c>
      <c r="Y1064">
        <f t="shared" si="357"/>
        <v>8.4931506849315067E-2</v>
      </c>
      <c r="Z1064">
        <f t="shared" si="358"/>
        <v>8.4931506849315067E-2</v>
      </c>
      <c r="AA1064">
        <f t="shared" si="359"/>
        <v>8.4931506849315067E-2</v>
      </c>
      <c r="AB1064">
        <f t="shared" si="360"/>
        <v>8.4931506849315067E-2</v>
      </c>
      <c r="AC1064">
        <f t="shared" si="361"/>
        <v>8.4931506849315067E-2</v>
      </c>
      <c r="AD1064">
        <f t="shared" si="362"/>
        <v>8.4931506849315067E-2</v>
      </c>
      <c r="AE1064">
        <f t="shared" si="363"/>
        <v>8.4931506849315067E-2</v>
      </c>
      <c r="AF1064">
        <f t="shared" si="364"/>
        <v>8.4931506849315067E-2</v>
      </c>
      <c r="AG1064">
        <f t="shared" si="365"/>
        <v>0</v>
      </c>
      <c r="AH1064">
        <f t="shared" si="366"/>
        <v>0</v>
      </c>
      <c r="AI1064">
        <f t="shared" si="367"/>
        <v>0</v>
      </c>
      <c r="AJ1064" s="2" t="str">
        <f t="shared" si="377"/>
        <v>946296</v>
      </c>
    </row>
    <row r="1065" spans="1:36" x14ac:dyDescent="0.25">
      <c r="A1065">
        <v>10</v>
      </c>
      <c r="B1065" s="1">
        <v>46296</v>
      </c>
      <c r="C1065" s="1">
        <f t="shared" si="368"/>
        <v>46600</v>
      </c>
      <c r="D1065" s="1">
        <f t="shared" si="369"/>
        <v>46310</v>
      </c>
      <c r="E1065" s="1">
        <f t="shared" si="370"/>
        <v>46600</v>
      </c>
      <c r="F1065" s="1">
        <f t="shared" si="371"/>
        <v>46631</v>
      </c>
      <c r="G1065" s="1">
        <f t="shared" si="372"/>
        <v>46675</v>
      </c>
      <c r="H1065">
        <f t="shared" si="373"/>
        <v>365</v>
      </c>
      <c r="I1065">
        <f t="shared" si="374"/>
        <v>31</v>
      </c>
      <c r="J1065">
        <f t="shared" si="375"/>
        <v>8.4931506849315067E-2</v>
      </c>
      <c r="K1065">
        <f>IFERROR($J1065/IF($A1065&lt;COUNTIFS($K$1:K$1,"&lt;&gt;"),0,SUMIFS($J:$J,$B:$B,$B1065,$A:$A,"&gt;="&amp;COUNTIFS($K$1:K$1,"&lt;&gt;"))),0)</f>
        <v>8.9080459770114959E-2</v>
      </c>
      <c r="L1065">
        <f>IFERROR($J1065/IF($A1065&lt;COUNTIFS($K$1:L$1,"&lt;&gt;"),0,SUMIFS($J:$J,$B:$B,$B1065,$A:$A,"&gt;="&amp;COUNTIFS($K$1:L$1,"&lt;&gt;"))),0)</f>
        <v>9.7484276729559768E-2</v>
      </c>
      <c r="M1065">
        <f>IFERROR($J1065/IF($A1065&lt;COUNTIFS($K$1:M$1,"&lt;&gt;"),0,SUMIFS($J:$J,$B:$B,$B1065,$A:$A,"&gt;="&amp;COUNTIFS($K$1:M$1,"&lt;&gt;"))),0)</f>
        <v>0.10801393728222998</v>
      </c>
      <c r="N1065">
        <f>IFERROR($J1065/IF($A1065&lt;COUNTIFS($K$1:N$1,"&lt;&gt;"),0,SUMIFS($J:$J,$B:$B,$B1065,$A:$A,"&gt;="&amp;COUNTIFS($K$1:N$1,"&lt;&gt;"))),0)</f>
        <v>0.12109375000000001</v>
      </c>
      <c r="O1065">
        <f>IFERROR($J1065/IF($A1065&lt;COUNTIFS($K$1:O$1,"&lt;&gt;"),0,SUMIFS($J:$J,$B:$B,$B1065,$A:$A,"&gt;="&amp;COUNTIFS($K$1:O$1,"&lt;&gt;"))),0)</f>
        <v>0.13596491228070179</v>
      </c>
      <c r="P1065">
        <f>IFERROR($J1065/IF($A1065&lt;COUNTIFS($K$1:P$1,"&lt;&gt;"),0,SUMIFS($J:$J,$B:$B,$B1065,$A:$A,"&gt;="&amp;COUNTIFS($K$1:P$1,"&lt;&gt;"))),0)</f>
        <v>0.15736040609137059</v>
      </c>
      <c r="Q1065">
        <f>IFERROR($J1065/IF($A1065&lt;COUNTIFS($K$1:Q$1,"&lt;&gt;"),0,SUMIFS($J:$J,$B:$B,$B1065,$A:$A,"&gt;="&amp;COUNTIFS($K$1:Q$1,"&lt;&gt;"))),0)</f>
        <v>0.18562874251497008</v>
      </c>
      <c r="R1065">
        <f>IFERROR($J1065/IF($A1065&lt;COUNTIFS($K$1:R$1,"&lt;&gt;"),0,SUMIFS($J:$J,$B:$B,$B1065,$A:$A,"&gt;="&amp;COUNTIFS($K$1:R$1,"&lt;&gt;"))),0)</f>
        <v>0.22794117647058826</v>
      </c>
      <c r="S1065">
        <f>IFERROR($J1065/IF($A1065&lt;COUNTIFS($K$1:S$1,"&lt;&gt;"),0,SUMIFS($J:$J,$B:$B,$B1065,$A:$A,"&gt;="&amp;COUNTIFS($K$1:S$1,"&lt;&gt;"))),0)</f>
        <v>0.29245283018867929</v>
      </c>
      <c r="T1065">
        <f>IFERROR($J1065/IF($A1065&lt;COUNTIFS($K$1:T$1,"&lt;&gt;"),0,SUMIFS($J:$J,$B:$B,$B1065,$A:$A,"&gt;="&amp;COUNTIFS($K$1:T$1,"&lt;&gt;"))),0)</f>
        <v>0.41333333333333333</v>
      </c>
      <c r="U1065">
        <f>IFERROR($J1065/IF($A1065&lt;COUNTIFS($K$1:U$1,"&lt;&gt;"),0,SUMIFS($J:$J,$B:$B,$B1065,$A:$A,"&gt;="&amp;COUNTIFS($K$1:U$1,"&lt;&gt;"))),0)</f>
        <v>0</v>
      </c>
      <c r="V1065">
        <f>IFERROR($J1065/IF($A1065&lt;COUNTIFS($K$1:V$1,"&lt;&gt;"),0,SUMIFS($J:$J,$B:$B,$B1065,$A:$A,"&gt;="&amp;COUNTIFS($K$1:V$1,"&lt;&gt;"))),0)</f>
        <v>0</v>
      </c>
      <c r="W1065">
        <f t="shared" si="376"/>
        <v>8.4931506849315067E-2</v>
      </c>
      <c r="X1065">
        <f t="shared" si="356"/>
        <v>8.4931506849315067E-2</v>
      </c>
      <c r="Y1065">
        <f t="shared" si="357"/>
        <v>8.4931506849315067E-2</v>
      </c>
      <c r="Z1065">
        <f t="shared" si="358"/>
        <v>8.4931506849315067E-2</v>
      </c>
      <c r="AA1065">
        <f t="shared" si="359"/>
        <v>8.4931506849315067E-2</v>
      </c>
      <c r="AB1065">
        <f t="shared" si="360"/>
        <v>8.4931506849315067E-2</v>
      </c>
      <c r="AC1065">
        <f t="shared" si="361"/>
        <v>8.4931506849315067E-2</v>
      </c>
      <c r="AD1065">
        <f t="shared" si="362"/>
        <v>8.4931506849315067E-2</v>
      </c>
      <c r="AE1065">
        <f t="shared" si="363"/>
        <v>8.4931506849315067E-2</v>
      </c>
      <c r="AF1065">
        <f t="shared" si="364"/>
        <v>8.4931506849315067E-2</v>
      </c>
      <c r="AG1065">
        <f t="shared" si="365"/>
        <v>8.4931506849315067E-2</v>
      </c>
      <c r="AH1065">
        <f t="shared" si="366"/>
        <v>0</v>
      </c>
      <c r="AI1065">
        <f t="shared" si="367"/>
        <v>0</v>
      </c>
      <c r="AJ1065" s="2" t="str">
        <f t="shared" si="377"/>
        <v>1046296</v>
      </c>
    </row>
    <row r="1066" spans="1:36" x14ac:dyDescent="0.25">
      <c r="A1066">
        <v>11</v>
      </c>
      <c r="B1066" s="1">
        <v>46296</v>
      </c>
      <c r="C1066" s="1">
        <f t="shared" si="368"/>
        <v>46631</v>
      </c>
      <c r="D1066" s="1">
        <f t="shared" si="369"/>
        <v>46310</v>
      </c>
      <c r="E1066" s="1">
        <f t="shared" si="370"/>
        <v>46631</v>
      </c>
      <c r="F1066" s="1">
        <f t="shared" si="371"/>
        <v>46661</v>
      </c>
      <c r="G1066" s="1">
        <f t="shared" si="372"/>
        <v>46675</v>
      </c>
      <c r="H1066">
        <f t="shared" si="373"/>
        <v>365</v>
      </c>
      <c r="I1066">
        <f t="shared" si="374"/>
        <v>30</v>
      </c>
      <c r="J1066">
        <f t="shared" si="375"/>
        <v>8.2191780821917804E-2</v>
      </c>
      <c r="K1066">
        <f>IFERROR($J1066/IF($A1066&lt;COUNTIFS($K$1:K$1,"&lt;&gt;"),0,SUMIFS($J:$J,$B:$B,$B1066,$A:$A,"&gt;="&amp;COUNTIFS($K$1:K$1,"&lt;&gt;"))),0)</f>
        <v>8.6206896551724144E-2</v>
      </c>
      <c r="L1066">
        <f>IFERROR($J1066/IF($A1066&lt;COUNTIFS($K$1:L$1,"&lt;&gt;"),0,SUMIFS($J:$J,$B:$B,$B1066,$A:$A,"&gt;="&amp;COUNTIFS($K$1:L$1,"&lt;&gt;"))),0)</f>
        <v>9.4339622641509441E-2</v>
      </c>
      <c r="M1066">
        <f>IFERROR($J1066/IF($A1066&lt;COUNTIFS($K$1:M$1,"&lt;&gt;"),0,SUMIFS($J:$J,$B:$B,$B1066,$A:$A,"&gt;="&amp;COUNTIFS($K$1:M$1,"&lt;&gt;"))),0)</f>
        <v>0.10452961672473869</v>
      </c>
      <c r="N1066">
        <f>IFERROR($J1066/IF($A1066&lt;COUNTIFS($K$1:N$1,"&lt;&gt;"),0,SUMIFS($J:$J,$B:$B,$B1066,$A:$A,"&gt;="&amp;COUNTIFS($K$1:N$1,"&lt;&gt;"))),0)</f>
        <v>0.11718750000000001</v>
      </c>
      <c r="O1066">
        <f>IFERROR($J1066/IF($A1066&lt;COUNTIFS($K$1:O$1,"&lt;&gt;"),0,SUMIFS($J:$J,$B:$B,$B1066,$A:$A,"&gt;="&amp;COUNTIFS($K$1:O$1,"&lt;&gt;"))),0)</f>
        <v>0.13157894736842107</v>
      </c>
      <c r="P1066">
        <f>IFERROR($J1066/IF($A1066&lt;COUNTIFS($K$1:P$1,"&lt;&gt;"),0,SUMIFS($J:$J,$B:$B,$B1066,$A:$A,"&gt;="&amp;COUNTIFS($K$1:P$1,"&lt;&gt;"))),0)</f>
        <v>0.15228426395939088</v>
      </c>
      <c r="Q1066">
        <f>IFERROR($J1066/IF($A1066&lt;COUNTIFS($K$1:Q$1,"&lt;&gt;"),0,SUMIFS($J:$J,$B:$B,$B1066,$A:$A,"&gt;="&amp;COUNTIFS($K$1:Q$1,"&lt;&gt;"))),0)</f>
        <v>0.17964071856287425</v>
      </c>
      <c r="R1066">
        <f>IFERROR($J1066/IF($A1066&lt;COUNTIFS($K$1:R$1,"&lt;&gt;"),0,SUMIFS($J:$J,$B:$B,$B1066,$A:$A,"&gt;="&amp;COUNTIFS($K$1:R$1,"&lt;&gt;"))),0)</f>
        <v>0.22058823529411764</v>
      </c>
      <c r="S1066">
        <f>IFERROR($J1066/IF($A1066&lt;COUNTIFS($K$1:S$1,"&lt;&gt;"),0,SUMIFS($J:$J,$B:$B,$B1066,$A:$A,"&gt;="&amp;COUNTIFS($K$1:S$1,"&lt;&gt;"))),0)</f>
        <v>0.28301886792452829</v>
      </c>
      <c r="T1066">
        <f>IFERROR($J1066/IF($A1066&lt;COUNTIFS($K$1:T$1,"&lt;&gt;"),0,SUMIFS($J:$J,$B:$B,$B1066,$A:$A,"&gt;="&amp;COUNTIFS($K$1:T$1,"&lt;&gt;"))),0)</f>
        <v>0.4</v>
      </c>
      <c r="U1066">
        <f>IFERROR($J1066/IF($A1066&lt;COUNTIFS($K$1:U$1,"&lt;&gt;"),0,SUMIFS($J:$J,$B:$B,$B1066,$A:$A,"&gt;="&amp;COUNTIFS($K$1:U$1,"&lt;&gt;"))),0)</f>
        <v>0.68181818181818177</v>
      </c>
      <c r="V1066">
        <f>IFERROR($J1066/IF($A1066&lt;COUNTIFS($K$1:V$1,"&lt;&gt;"),0,SUMIFS($J:$J,$B:$B,$B1066,$A:$A,"&gt;="&amp;COUNTIFS($K$1:V$1,"&lt;&gt;"))),0)</f>
        <v>0</v>
      </c>
      <c r="W1066">
        <f t="shared" si="376"/>
        <v>8.2191780821917804E-2</v>
      </c>
      <c r="X1066">
        <f t="shared" si="356"/>
        <v>8.2191780821917804E-2</v>
      </c>
      <c r="Y1066">
        <f t="shared" si="357"/>
        <v>8.2191780821917804E-2</v>
      </c>
      <c r="Z1066">
        <f t="shared" si="358"/>
        <v>8.2191780821917804E-2</v>
      </c>
      <c r="AA1066">
        <f t="shared" si="359"/>
        <v>8.2191780821917804E-2</v>
      </c>
      <c r="AB1066">
        <f t="shared" si="360"/>
        <v>8.2191780821917804E-2</v>
      </c>
      <c r="AC1066">
        <f t="shared" si="361"/>
        <v>8.2191780821917804E-2</v>
      </c>
      <c r="AD1066">
        <f t="shared" si="362"/>
        <v>8.2191780821917804E-2</v>
      </c>
      <c r="AE1066">
        <f t="shared" si="363"/>
        <v>8.2191780821917804E-2</v>
      </c>
      <c r="AF1066">
        <f t="shared" si="364"/>
        <v>8.2191780821917804E-2</v>
      </c>
      <c r="AG1066">
        <f t="shared" si="365"/>
        <v>8.2191780821917804E-2</v>
      </c>
      <c r="AH1066">
        <f t="shared" si="366"/>
        <v>8.2191780821917804E-2</v>
      </c>
      <c r="AI1066">
        <f t="shared" si="367"/>
        <v>0</v>
      </c>
      <c r="AJ1066" s="2" t="str">
        <f t="shared" si="377"/>
        <v>1146296</v>
      </c>
    </row>
    <row r="1067" spans="1:36" x14ac:dyDescent="0.25">
      <c r="A1067">
        <v>12</v>
      </c>
      <c r="B1067" s="1">
        <v>46296</v>
      </c>
      <c r="C1067" s="1">
        <f t="shared" si="368"/>
        <v>46661</v>
      </c>
      <c r="D1067" s="1">
        <f t="shared" si="369"/>
        <v>46310</v>
      </c>
      <c r="E1067" s="1">
        <f t="shared" si="370"/>
        <v>46661</v>
      </c>
      <c r="F1067" s="1">
        <f t="shared" si="371"/>
        <v>46675</v>
      </c>
      <c r="G1067" s="1">
        <f t="shared" si="372"/>
        <v>46675</v>
      </c>
      <c r="H1067">
        <f t="shared" si="373"/>
        <v>365</v>
      </c>
      <c r="I1067">
        <f t="shared" si="374"/>
        <v>14</v>
      </c>
      <c r="J1067">
        <f t="shared" si="375"/>
        <v>3.8356164383561646E-2</v>
      </c>
      <c r="K1067">
        <f>IFERROR($J1067/IF($A1067&lt;COUNTIFS($K$1:K$1,"&lt;&gt;"),0,SUMIFS($J:$J,$B:$B,$B1067,$A:$A,"&gt;="&amp;COUNTIFS($K$1:K$1,"&lt;&gt;"))),0)</f>
        <v>4.0229885057471271E-2</v>
      </c>
      <c r="L1067">
        <f>IFERROR($J1067/IF($A1067&lt;COUNTIFS($K$1:L$1,"&lt;&gt;"),0,SUMIFS($J:$J,$B:$B,$B1067,$A:$A,"&gt;="&amp;COUNTIFS($K$1:L$1,"&lt;&gt;"))),0)</f>
        <v>4.4025157232704414E-2</v>
      </c>
      <c r="M1067">
        <f>IFERROR($J1067/IF($A1067&lt;COUNTIFS($K$1:M$1,"&lt;&gt;"),0,SUMIFS($J:$J,$B:$B,$B1067,$A:$A,"&gt;="&amp;COUNTIFS($K$1:M$1,"&lt;&gt;"))),0)</f>
        <v>4.8780487804878057E-2</v>
      </c>
      <c r="N1067">
        <f>IFERROR($J1067/IF($A1067&lt;COUNTIFS($K$1:N$1,"&lt;&gt;"),0,SUMIFS($J:$J,$B:$B,$B1067,$A:$A,"&gt;="&amp;COUNTIFS($K$1:N$1,"&lt;&gt;"))),0)</f>
        <v>5.4687500000000014E-2</v>
      </c>
      <c r="O1067">
        <f>IFERROR($J1067/IF($A1067&lt;COUNTIFS($K$1:O$1,"&lt;&gt;"),0,SUMIFS($J:$J,$B:$B,$B1067,$A:$A,"&gt;="&amp;COUNTIFS($K$1:O$1,"&lt;&gt;"))),0)</f>
        <v>6.1403508771929842E-2</v>
      </c>
      <c r="P1067">
        <f>IFERROR($J1067/IF($A1067&lt;COUNTIFS($K$1:P$1,"&lt;&gt;"),0,SUMIFS($J:$J,$B:$B,$B1067,$A:$A,"&gt;="&amp;COUNTIFS($K$1:P$1,"&lt;&gt;"))),0)</f>
        <v>7.1065989847715755E-2</v>
      </c>
      <c r="Q1067">
        <f>IFERROR($J1067/IF($A1067&lt;COUNTIFS($K$1:Q$1,"&lt;&gt;"),0,SUMIFS($J:$J,$B:$B,$B1067,$A:$A,"&gt;="&amp;COUNTIFS($K$1:Q$1,"&lt;&gt;"))),0)</f>
        <v>8.3832335329341326E-2</v>
      </c>
      <c r="R1067">
        <f>IFERROR($J1067/IF($A1067&lt;COUNTIFS($K$1:R$1,"&lt;&gt;"),0,SUMIFS($J:$J,$B:$B,$B1067,$A:$A,"&gt;="&amp;COUNTIFS($K$1:R$1,"&lt;&gt;"))),0)</f>
        <v>0.10294117647058824</v>
      </c>
      <c r="S1067">
        <f>IFERROR($J1067/IF($A1067&lt;COUNTIFS($K$1:S$1,"&lt;&gt;"),0,SUMIFS($J:$J,$B:$B,$B1067,$A:$A,"&gt;="&amp;COUNTIFS($K$1:S$1,"&lt;&gt;"))),0)</f>
        <v>0.13207547169811323</v>
      </c>
      <c r="T1067">
        <f>IFERROR($J1067/IF($A1067&lt;COUNTIFS($K$1:T$1,"&lt;&gt;"),0,SUMIFS($J:$J,$B:$B,$B1067,$A:$A,"&gt;="&amp;COUNTIFS($K$1:T$1,"&lt;&gt;"))),0)</f>
        <v>0.18666666666666668</v>
      </c>
      <c r="U1067">
        <f>IFERROR($J1067/IF($A1067&lt;COUNTIFS($K$1:U$1,"&lt;&gt;"),0,SUMIFS($J:$J,$B:$B,$B1067,$A:$A,"&gt;="&amp;COUNTIFS($K$1:U$1,"&lt;&gt;"))),0)</f>
        <v>0.31818181818181818</v>
      </c>
      <c r="V1067">
        <f>IFERROR($J1067/IF($A1067&lt;COUNTIFS($K$1:V$1,"&lt;&gt;"),0,SUMIFS($J:$J,$B:$B,$B1067,$A:$A,"&gt;="&amp;COUNTIFS($K$1:V$1,"&lt;&gt;"))),0)</f>
        <v>1</v>
      </c>
      <c r="W1067">
        <f t="shared" si="376"/>
        <v>3.8356164383561646E-2</v>
      </c>
      <c r="X1067">
        <f t="shared" si="356"/>
        <v>3.8356164383561646E-2</v>
      </c>
      <c r="Y1067">
        <f t="shared" si="357"/>
        <v>3.8356164383561646E-2</v>
      </c>
      <c r="Z1067">
        <f t="shared" si="358"/>
        <v>3.8356164383561646E-2</v>
      </c>
      <c r="AA1067">
        <f t="shared" si="359"/>
        <v>3.8356164383561646E-2</v>
      </c>
      <c r="AB1067">
        <f t="shared" si="360"/>
        <v>3.8356164383561646E-2</v>
      </c>
      <c r="AC1067">
        <f t="shared" si="361"/>
        <v>3.8356164383561646E-2</v>
      </c>
      <c r="AD1067">
        <f t="shared" si="362"/>
        <v>3.8356164383561646E-2</v>
      </c>
      <c r="AE1067">
        <f t="shared" si="363"/>
        <v>3.8356164383561646E-2</v>
      </c>
      <c r="AF1067">
        <f t="shared" si="364"/>
        <v>3.8356164383561646E-2</v>
      </c>
      <c r="AG1067">
        <f t="shared" si="365"/>
        <v>3.8356164383561646E-2</v>
      </c>
      <c r="AH1067">
        <f t="shared" si="366"/>
        <v>3.8356164383561646E-2</v>
      </c>
      <c r="AI1067">
        <f t="shared" si="367"/>
        <v>3.8356164383561646E-2</v>
      </c>
      <c r="AJ1067" s="2" t="str">
        <f t="shared" si="377"/>
        <v>1246296</v>
      </c>
    </row>
    <row r="1068" spans="1:36" x14ac:dyDescent="0.25">
      <c r="A1068">
        <v>0</v>
      </c>
      <c r="B1068" s="1">
        <v>46327</v>
      </c>
      <c r="C1068" s="1">
        <f t="shared" si="368"/>
        <v>46327</v>
      </c>
      <c r="D1068" s="1">
        <f t="shared" si="369"/>
        <v>46341</v>
      </c>
      <c r="E1068" s="1">
        <f t="shared" si="370"/>
        <v>46341</v>
      </c>
      <c r="F1068" s="1">
        <f t="shared" si="371"/>
        <v>46357</v>
      </c>
      <c r="G1068" s="1">
        <f t="shared" si="372"/>
        <v>46706</v>
      </c>
      <c r="H1068">
        <f t="shared" si="373"/>
        <v>365</v>
      </c>
      <c r="I1068">
        <f t="shared" si="374"/>
        <v>16</v>
      </c>
      <c r="J1068">
        <f t="shared" si="375"/>
        <v>4.3835616438356165E-2</v>
      </c>
      <c r="K1068">
        <f>IFERROR($J1068/IF($A1068&lt;COUNTIFS($K$1:K$1,"&lt;&gt;"),0,SUMIFS($J:$J,$B:$B,$B1068,$A:$A,"&gt;="&amp;COUNTIFS($K$1:K$1,"&lt;&gt;"))),0)</f>
        <v>0</v>
      </c>
      <c r="L1068">
        <f>IFERROR($J1068/IF($A1068&lt;COUNTIFS($K$1:L$1,"&lt;&gt;"),0,SUMIFS($J:$J,$B:$B,$B1068,$A:$A,"&gt;="&amp;COUNTIFS($K$1:L$1,"&lt;&gt;"))),0)</f>
        <v>0</v>
      </c>
      <c r="M1068">
        <f>IFERROR($J1068/IF($A1068&lt;COUNTIFS($K$1:M$1,"&lt;&gt;"),0,SUMIFS($J:$J,$B:$B,$B1068,$A:$A,"&gt;="&amp;COUNTIFS($K$1:M$1,"&lt;&gt;"))),0)</f>
        <v>0</v>
      </c>
      <c r="N1068">
        <f>IFERROR($J1068/IF($A1068&lt;COUNTIFS($K$1:N$1,"&lt;&gt;"),0,SUMIFS($J:$J,$B:$B,$B1068,$A:$A,"&gt;="&amp;COUNTIFS($K$1:N$1,"&lt;&gt;"))),0)</f>
        <v>0</v>
      </c>
      <c r="O1068">
        <f>IFERROR($J1068/IF($A1068&lt;COUNTIFS($K$1:O$1,"&lt;&gt;"),0,SUMIFS($J:$J,$B:$B,$B1068,$A:$A,"&gt;="&amp;COUNTIFS($K$1:O$1,"&lt;&gt;"))),0)</f>
        <v>0</v>
      </c>
      <c r="P1068">
        <f>IFERROR($J1068/IF($A1068&lt;COUNTIFS($K$1:P$1,"&lt;&gt;"),0,SUMIFS($J:$J,$B:$B,$B1068,$A:$A,"&gt;="&amp;COUNTIFS($K$1:P$1,"&lt;&gt;"))),0)</f>
        <v>0</v>
      </c>
      <c r="Q1068">
        <f>IFERROR($J1068/IF($A1068&lt;COUNTIFS($K$1:Q$1,"&lt;&gt;"),0,SUMIFS($J:$J,$B:$B,$B1068,$A:$A,"&gt;="&amp;COUNTIFS($K$1:Q$1,"&lt;&gt;"))),0)</f>
        <v>0</v>
      </c>
      <c r="R1068">
        <f>IFERROR($J1068/IF($A1068&lt;COUNTIFS($K$1:R$1,"&lt;&gt;"),0,SUMIFS($J:$J,$B:$B,$B1068,$A:$A,"&gt;="&amp;COUNTIFS($K$1:R$1,"&lt;&gt;"))),0)</f>
        <v>0</v>
      </c>
      <c r="S1068">
        <f>IFERROR($J1068/IF($A1068&lt;COUNTIFS($K$1:S$1,"&lt;&gt;"),0,SUMIFS($J:$J,$B:$B,$B1068,$A:$A,"&gt;="&amp;COUNTIFS($K$1:S$1,"&lt;&gt;"))),0)</f>
        <v>0</v>
      </c>
      <c r="T1068">
        <f>IFERROR($J1068/IF($A1068&lt;COUNTIFS($K$1:T$1,"&lt;&gt;"),0,SUMIFS($J:$J,$B:$B,$B1068,$A:$A,"&gt;="&amp;COUNTIFS($K$1:T$1,"&lt;&gt;"))),0)</f>
        <v>0</v>
      </c>
      <c r="U1068">
        <f>IFERROR($J1068/IF($A1068&lt;COUNTIFS($K$1:U$1,"&lt;&gt;"),0,SUMIFS($J:$J,$B:$B,$B1068,$A:$A,"&gt;="&amp;COUNTIFS($K$1:U$1,"&lt;&gt;"))),0)</f>
        <v>0</v>
      </c>
      <c r="V1068">
        <f>IFERROR($J1068/IF($A1068&lt;COUNTIFS($K$1:V$1,"&lt;&gt;"),0,SUMIFS($J:$J,$B:$B,$B1068,$A:$A,"&gt;="&amp;COUNTIFS($K$1:V$1,"&lt;&gt;"))),0)</f>
        <v>0</v>
      </c>
      <c r="W1068">
        <f t="shared" si="376"/>
        <v>4.3835616438356165E-2</v>
      </c>
      <c r="X1068">
        <f t="shared" si="356"/>
        <v>0</v>
      </c>
      <c r="Y1068">
        <f t="shared" si="357"/>
        <v>0</v>
      </c>
      <c r="Z1068">
        <f t="shared" si="358"/>
        <v>0</v>
      </c>
      <c r="AA1068">
        <f t="shared" si="359"/>
        <v>0</v>
      </c>
      <c r="AB1068">
        <f t="shared" si="360"/>
        <v>0</v>
      </c>
      <c r="AC1068">
        <f t="shared" si="361"/>
        <v>0</v>
      </c>
      <c r="AD1068">
        <f t="shared" si="362"/>
        <v>0</v>
      </c>
      <c r="AE1068">
        <f t="shared" si="363"/>
        <v>0</v>
      </c>
      <c r="AF1068">
        <f t="shared" si="364"/>
        <v>0</v>
      </c>
      <c r="AG1068">
        <f t="shared" si="365"/>
        <v>0</v>
      </c>
      <c r="AH1068">
        <f t="shared" si="366"/>
        <v>0</v>
      </c>
      <c r="AI1068">
        <f t="shared" si="367"/>
        <v>0</v>
      </c>
      <c r="AJ1068" s="2" t="str">
        <f t="shared" si="377"/>
        <v>046327</v>
      </c>
    </row>
    <row r="1069" spans="1:36" x14ac:dyDescent="0.25">
      <c r="A1069">
        <v>1</v>
      </c>
      <c r="B1069" s="1">
        <v>46327</v>
      </c>
      <c r="C1069" s="1">
        <f t="shared" si="368"/>
        <v>46357</v>
      </c>
      <c r="D1069" s="1">
        <f t="shared" si="369"/>
        <v>46341</v>
      </c>
      <c r="E1069" s="1">
        <f t="shared" si="370"/>
        <v>46357</v>
      </c>
      <c r="F1069" s="1">
        <f t="shared" si="371"/>
        <v>46388</v>
      </c>
      <c r="G1069" s="1">
        <f t="shared" si="372"/>
        <v>46706</v>
      </c>
      <c r="H1069">
        <f t="shared" si="373"/>
        <v>365</v>
      </c>
      <c r="I1069">
        <f t="shared" si="374"/>
        <v>31</v>
      </c>
      <c r="J1069">
        <f t="shared" si="375"/>
        <v>8.4931506849315067E-2</v>
      </c>
      <c r="K1069">
        <f>IFERROR($J1069/IF($A1069&lt;COUNTIFS($K$1:K$1,"&lt;&gt;"),0,SUMIFS($J:$J,$B:$B,$B1069,$A:$A,"&gt;="&amp;COUNTIFS($K$1:K$1,"&lt;&gt;"))),0)</f>
        <v>8.8825214899713484E-2</v>
      </c>
      <c r="L1069">
        <f>IFERROR($J1069/IF($A1069&lt;COUNTIFS($K$1:L$1,"&lt;&gt;"),0,SUMIFS($J:$J,$B:$B,$B1069,$A:$A,"&gt;="&amp;COUNTIFS($K$1:L$1,"&lt;&gt;"))),0)</f>
        <v>0</v>
      </c>
      <c r="M1069">
        <f>IFERROR($J1069/IF($A1069&lt;COUNTIFS($K$1:M$1,"&lt;&gt;"),0,SUMIFS($J:$J,$B:$B,$B1069,$A:$A,"&gt;="&amp;COUNTIFS($K$1:M$1,"&lt;&gt;"))),0)</f>
        <v>0</v>
      </c>
      <c r="N1069">
        <f>IFERROR($J1069/IF($A1069&lt;COUNTIFS($K$1:N$1,"&lt;&gt;"),0,SUMIFS($J:$J,$B:$B,$B1069,$A:$A,"&gt;="&amp;COUNTIFS($K$1:N$1,"&lt;&gt;"))),0)</f>
        <v>0</v>
      </c>
      <c r="O1069">
        <f>IFERROR($J1069/IF($A1069&lt;COUNTIFS($K$1:O$1,"&lt;&gt;"),0,SUMIFS($J:$J,$B:$B,$B1069,$A:$A,"&gt;="&amp;COUNTIFS($K$1:O$1,"&lt;&gt;"))),0)</f>
        <v>0</v>
      </c>
      <c r="P1069">
        <f>IFERROR($J1069/IF($A1069&lt;COUNTIFS($K$1:P$1,"&lt;&gt;"),0,SUMIFS($J:$J,$B:$B,$B1069,$A:$A,"&gt;="&amp;COUNTIFS($K$1:P$1,"&lt;&gt;"))),0)</f>
        <v>0</v>
      </c>
      <c r="Q1069">
        <f>IFERROR($J1069/IF($A1069&lt;COUNTIFS($K$1:Q$1,"&lt;&gt;"),0,SUMIFS($J:$J,$B:$B,$B1069,$A:$A,"&gt;="&amp;COUNTIFS($K$1:Q$1,"&lt;&gt;"))),0)</f>
        <v>0</v>
      </c>
      <c r="R1069">
        <f>IFERROR($J1069/IF($A1069&lt;COUNTIFS($K$1:R$1,"&lt;&gt;"),0,SUMIFS($J:$J,$B:$B,$B1069,$A:$A,"&gt;="&amp;COUNTIFS($K$1:R$1,"&lt;&gt;"))),0)</f>
        <v>0</v>
      </c>
      <c r="S1069">
        <f>IFERROR($J1069/IF($A1069&lt;COUNTIFS($K$1:S$1,"&lt;&gt;"),0,SUMIFS($J:$J,$B:$B,$B1069,$A:$A,"&gt;="&amp;COUNTIFS($K$1:S$1,"&lt;&gt;"))),0)</f>
        <v>0</v>
      </c>
      <c r="T1069">
        <f>IFERROR($J1069/IF($A1069&lt;COUNTIFS($K$1:T$1,"&lt;&gt;"),0,SUMIFS($J:$J,$B:$B,$B1069,$A:$A,"&gt;="&amp;COUNTIFS($K$1:T$1,"&lt;&gt;"))),0)</f>
        <v>0</v>
      </c>
      <c r="U1069">
        <f>IFERROR($J1069/IF($A1069&lt;COUNTIFS($K$1:U$1,"&lt;&gt;"),0,SUMIFS($J:$J,$B:$B,$B1069,$A:$A,"&gt;="&amp;COUNTIFS($K$1:U$1,"&lt;&gt;"))),0)</f>
        <v>0</v>
      </c>
      <c r="V1069">
        <f>IFERROR($J1069/IF($A1069&lt;COUNTIFS($K$1:V$1,"&lt;&gt;"),0,SUMIFS($J:$J,$B:$B,$B1069,$A:$A,"&gt;="&amp;COUNTIFS($K$1:V$1,"&lt;&gt;"))),0)</f>
        <v>0</v>
      </c>
      <c r="W1069">
        <f t="shared" si="376"/>
        <v>8.4931506849315067E-2</v>
      </c>
      <c r="X1069">
        <f t="shared" si="356"/>
        <v>8.4931506849315067E-2</v>
      </c>
      <c r="Y1069">
        <f t="shared" si="357"/>
        <v>0</v>
      </c>
      <c r="Z1069">
        <f t="shared" si="358"/>
        <v>0</v>
      </c>
      <c r="AA1069">
        <f t="shared" si="359"/>
        <v>0</v>
      </c>
      <c r="AB1069">
        <f t="shared" si="360"/>
        <v>0</v>
      </c>
      <c r="AC1069">
        <f t="shared" si="361"/>
        <v>0</v>
      </c>
      <c r="AD1069">
        <f t="shared" si="362"/>
        <v>0</v>
      </c>
      <c r="AE1069">
        <f t="shared" si="363"/>
        <v>0</v>
      </c>
      <c r="AF1069">
        <f t="shared" si="364"/>
        <v>0</v>
      </c>
      <c r="AG1069">
        <f t="shared" si="365"/>
        <v>0</v>
      </c>
      <c r="AH1069">
        <f t="shared" si="366"/>
        <v>0</v>
      </c>
      <c r="AI1069">
        <f t="shared" si="367"/>
        <v>0</v>
      </c>
      <c r="AJ1069" s="2" t="str">
        <f t="shared" si="377"/>
        <v>146327</v>
      </c>
    </row>
    <row r="1070" spans="1:36" x14ac:dyDescent="0.25">
      <c r="A1070">
        <v>2</v>
      </c>
      <c r="B1070" s="1">
        <v>46327</v>
      </c>
      <c r="C1070" s="1">
        <f t="shared" si="368"/>
        <v>46388</v>
      </c>
      <c r="D1070" s="1">
        <f t="shared" si="369"/>
        <v>46341</v>
      </c>
      <c r="E1070" s="1">
        <f t="shared" si="370"/>
        <v>46388</v>
      </c>
      <c r="F1070" s="1">
        <f t="shared" si="371"/>
        <v>46419</v>
      </c>
      <c r="G1070" s="1">
        <f t="shared" si="372"/>
        <v>46706</v>
      </c>
      <c r="H1070">
        <f t="shared" si="373"/>
        <v>365</v>
      </c>
      <c r="I1070">
        <f t="shared" si="374"/>
        <v>31</v>
      </c>
      <c r="J1070">
        <f t="shared" si="375"/>
        <v>8.4931506849315067E-2</v>
      </c>
      <c r="K1070">
        <f>IFERROR($J1070/IF($A1070&lt;COUNTIFS($K$1:K$1,"&lt;&gt;"),0,SUMIFS($J:$J,$B:$B,$B1070,$A:$A,"&gt;="&amp;COUNTIFS($K$1:K$1,"&lt;&gt;"))),0)</f>
        <v>8.8825214899713484E-2</v>
      </c>
      <c r="L1070">
        <f>IFERROR($J1070/IF($A1070&lt;COUNTIFS($K$1:L$1,"&lt;&gt;"),0,SUMIFS($J:$J,$B:$B,$B1070,$A:$A,"&gt;="&amp;COUNTIFS($K$1:L$1,"&lt;&gt;"))),0)</f>
        <v>9.7484276729559768E-2</v>
      </c>
      <c r="M1070">
        <f>IFERROR($J1070/IF($A1070&lt;COUNTIFS($K$1:M$1,"&lt;&gt;"),0,SUMIFS($J:$J,$B:$B,$B1070,$A:$A,"&gt;="&amp;COUNTIFS($K$1:M$1,"&lt;&gt;"))),0)</f>
        <v>0</v>
      </c>
      <c r="N1070">
        <f>IFERROR($J1070/IF($A1070&lt;COUNTIFS($K$1:N$1,"&lt;&gt;"),0,SUMIFS($J:$J,$B:$B,$B1070,$A:$A,"&gt;="&amp;COUNTIFS($K$1:N$1,"&lt;&gt;"))),0)</f>
        <v>0</v>
      </c>
      <c r="O1070">
        <f>IFERROR($J1070/IF($A1070&lt;COUNTIFS($K$1:O$1,"&lt;&gt;"),0,SUMIFS($J:$J,$B:$B,$B1070,$A:$A,"&gt;="&amp;COUNTIFS($K$1:O$1,"&lt;&gt;"))),0)</f>
        <v>0</v>
      </c>
      <c r="P1070">
        <f>IFERROR($J1070/IF($A1070&lt;COUNTIFS($K$1:P$1,"&lt;&gt;"),0,SUMIFS($J:$J,$B:$B,$B1070,$A:$A,"&gt;="&amp;COUNTIFS($K$1:P$1,"&lt;&gt;"))),0)</f>
        <v>0</v>
      </c>
      <c r="Q1070">
        <f>IFERROR($J1070/IF($A1070&lt;COUNTIFS($K$1:Q$1,"&lt;&gt;"),0,SUMIFS($J:$J,$B:$B,$B1070,$A:$A,"&gt;="&amp;COUNTIFS($K$1:Q$1,"&lt;&gt;"))),0)</f>
        <v>0</v>
      </c>
      <c r="R1070">
        <f>IFERROR($J1070/IF($A1070&lt;COUNTIFS($K$1:R$1,"&lt;&gt;"),0,SUMIFS($J:$J,$B:$B,$B1070,$A:$A,"&gt;="&amp;COUNTIFS($K$1:R$1,"&lt;&gt;"))),0)</f>
        <v>0</v>
      </c>
      <c r="S1070">
        <f>IFERROR($J1070/IF($A1070&lt;COUNTIFS($K$1:S$1,"&lt;&gt;"),0,SUMIFS($J:$J,$B:$B,$B1070,$A:$A,"&gt;="&amp;COUNTIFS($K$1:S$1,"&lt;&gt;"))),0)</f>
        <v>0</v>
      </c>
      <c r="T1070">
        <f>IFERROR($J1070/IF($A1070&lt;COUNTIFS($K$1:T$1,"&lt;&gt;"),0,SUMIFS($J:$J,$B:$B,$B1070,$A:$A,"&gt;="&amp;COUNTIFS($K$1:T$1,"&lt;&gt;"))),0)</f>
        <v>0</v>
      </c>
      <c r="U1070">
        <f>IFERROR($J1070/IF($A1070&lt;COUNTIFS($K$1:U$1,"&lt;&gt;"),0,SUMIFS($J:$J,$B:$B,$B1070,$A:$A,"&gt;="&amp;COUNTIFS($K$1:U$1,"&lt;&gt;"))),0)</f>
        <v>0</v>
      </c>
      <c r="V1070">
        <f>IFERROR($J1070/IF($A1070&lt;COUNTIFS($K$1:V$1,"&lt;&gt;"),0,SUMIFS($J:$J,$B:$B,$B1070,$A:$A,"&gt;="&amp;COUNTIFS($K$1:V$1,"&lt;&gt;"))),0)</f>
        <v>0</v>
      </c>
      <c r="W1070">
        <f t="shared" si="376"/>
        <v>8.4931506849315067E-2</v>
      </c>
      <c r="X1070">
        <f t="shared" si="356"/>
        <v>8.4931506849315067E-2</v>
      </c>
      <c r="Y1070">
        <f t="shared" si="357"/>
        <v>8.4931506849315067E-2</v>
      </c>
      <c r="Z1070">
        <f t="shared" si="358"/>
        <v>0</v>
      </c>
      <c r="AA1070">
        <f t="shared" si="359"/>
        <v>0</v>
      </c>
      <c r="AB1070">
        <f t="shared" si="360"/>
        <v>0</v>
      </c>
      <c r="AC1070">
        <f t="shared" si="361"/>
        <v>0</v>
      </c>
      <c r="AD1070">
        <f t="shared" si="362"/>
        <v>0</v>
      </c>
      <c r="AE1070">
        <f t="shared" si="363"/>
        <v>0</v>
      </c>
      <c r="AF1070">
        <f t="shared" si="364"/>
        <v>0</v>
      </c>
      <c r="AG1070">
        <f t="shared" si="365"/>
        <v>0</v>
      </c>
      <c r="AH1070">
        <f t="shared" si="366"/>
        <v>0</v>
      </c>
      <c r="AI1070">
        <f t="shared" si="367"/>
        <v>0</v>
      </c>
      <c r="AJ1070" s="2" t="str">
        <f t="shared" si="377"/>
        <v>246327</v>
      </c>
    </row>
    <row r="1071" spans="1:36" x14ac:dyDescent="0.25">
      <c r="A1071">
        <v>3</v>
      </c>
      <c r="B1071" s="1">
        <v>46327</v>
      </c>
      <c r="C1071" s="1">
        <f t="shared" si="368"/>
        <v>46419</v>
      </c>
      <c r="D1071" s="1">
        <f t="shared" si="369"/>
        <v>46341</v>
      </c>
      <c r="E1071" s="1">
        <f t="shared" si="370"/>
        <v>46419</v>
      </c>
      <c r="F1071" s="1">
        <f t="shared" si="371"/>
        <v>46447</v>
      </c>
      <c r="G1071" s="1">
        <f t="shared" si="372"/>
        <v>46706</v>
      </c>
      <c r="H1071">
        <f t="shared" si="373"/>
        <v>365</v>
      </c>
      <c r="I1071">
        <f t="shared" si="374"/>
        <v>28</v>
      </c>
      <c r="J1071">
        <f t="shared" si="375"/>
        <v>7.6712328767123292E-2</v>
      </c>
      <c r="K1071">
        <f>IFERROR($J1071/IF($A1071&lt;COUNTIFS($K$1:K$1,"&lt;&gt;"),0,SUMIFS($J:$J,$B:$B,$B1071,$A:$A,"&gt;="&amp;COUNTIFS($K$1:K$1,"&lt;&gt;"))),0)</f>
        <v>8.0229226361031539E-2</v>
      </c>
      <c r="L1071">
        <f>IFERROR($J1071/IF($A1071&lt;COUNTIFS($K$1:L$1,"&lt;&gt;"),0,SUMIFS($J:$J,$B:$B,$B1071,$A:$A,"&gt;="&amp;COUNTIFS($K$1:L$1,"&lt;&gt;"))),0)</f>
        <v>8.8050314465408827E-2</v>
      </c>
      <c r="M1071">
        <f>IFERROR($J1071/IF($A1071&lt;COUNTIFS($K$1:M$1,"&lt;&gt;"),0,SUMIFS($J:$J,$B:$B,$B1071,$A:$A,"&gt;="&amp;COUNTIFS($K$1:M$1,"&lt;&gt;"))),0)</f>
        <v>9.7560975609756115E-2</v>
      </c>
      <c r="N1071">
        <f>IFERROR($J1071/IF($A1071&lt;COUNTIFS($K$1:N$1,"&lt;&gt;"),0,SUMIFS($J:$J,$B:$B,$B1071,$A:$A,"&gt;="&amp;COUNTIFS($K$1:N$1,"&lt;&gt;"))),0)</f>
        <v>0</v>
      </c>
      <c r="O1071">
        <f>IFERROR($J1071/IF($A1071&lt;COUNTIFS($K$1:O$1,"&lt;&gt;"),0,SUMIFS($J:$J,$B:$B,$B1071,$A:$A,"&gt;="&amp;COUNTIFS($K$1:O$1,"&lt;&gt;"))),0)</f>
        <v>0</v>
      </c>
      <c r="P1071">
        <f>IFERROR($J1071/IF($A1071&lt;COUNTIFS($K$1:P$1,"&lt;&gt;"),0,SUMIFS($J:$J,$B:$B,$B1071,$A:$A,"&gt;="&amp;COUNTIFS($K$1:P$1,"&lt;&gt;"))),0)</f>
        <v>0</v>
      </c>
      <c r="Q1071">
        <f>IFERROR($J1071/IF($A1071&lt;COUNTIFS($K$1:Q$1,"&lt;&gt;"),0,SUMIFS($J:$J,$B:$B,$B1071,$A:$A,"&gt;="&amp;COUNTIFS($K$1:Q$1,"&lt;&gt;"))),0)</f>
        <v>0</v>
      </c>
      <c r="R1071">
        <f>IFERROR($J1071/IF($A1071&lt;COUNTIFS($K$1:R$1,"&lt;&gt;"),0,SUMIFS($J:$J,$B:$B,$B1071,$A:$A,"&gt;="&amp;COUNTIFS($K$1:R$1,"&lt;&gt;"))),0)</f>
        <v>0</v>
      </c>
      <c r="S1071">
        <f>IFERROR($J1071/IF($A1071&lt;COUNTIFS($K$1:S$1,"&lt;&gt;"),0,SUMIFS($J:$J,$B:$B,$B1071,$A:$A,"&gt;="&amp;COUNTIFS($K$1:S$1,"&lt;&gt;"))),0)</f>
        <v>0</v>
      </c>
      <c r="T1071">
        <f>IFERROR($J1071/IF($A1071&lt;COUNTIFS($K$1:T$1,"&lt;&gt;"),0,SUMIFS($J:$J,$B:$B,$B1071,$A:$A,"&gt;="&amp;COUNTIFS($K$1:T$1,"&lt;&gt;"))),0)</f>
        <v>0</v>
      </c>
      <c r="U1071">
        <f>IFERROR($J1071/IF($A1071&lt;COUNTIFS($K$1:U$1,"&lt;&gt;"),0,SUMIFS($J:$J,$B:$B,$B1071,$A:$A,"&gt;="&amp;COUNTIFS($K$1:U$1,"&lt;&gt;"))),0)</f>
        <v>0</v>
      </c>
      <c r="V1071">
        <f>IFERROR($J1071/IF($A1071&lt;COUNTIFS($K$1:V$1,"&lt;&gt;"),0,SUMIFS($J:$J,$B:$B,$B1071,$A:$A,"&gt;="&amp;COUNTIFS($K$1:V$1,"&lt;&gt;"))),0)</f>
        <v>0</v>
      </c>
      <c r="W1071">
        <f t="shared" si="376"/>
        <v>7.6712328767123292E-2</v>
      </c>
      <c r="X1071">
        <f t="shared" si="356"/>
        <v>7.6712328767123292E-2</v>
      </c>
      <c r="Y1071">
        <f t="shared" si="357"/>
        <v>7.6712328767123292E-2</v>
      </c>
      <c r="Z1071">
        <f t="shared" si="358"/>
        <v>7.6712328767123292E-2</v>
      </c>
      <c r="AA1071">
        <f t="shared" si="359"/>
        <v>0</v>
      </c>
      <c r="AB1071">
        <f t="shared" si="360"/>
        <v>0</v>
      </c>
      <c r="AC1071">
        <f t="shared" si="361"/>
        <v>0</v>
      </c>
      <c r="AD1071">
        <f t="shared" si="362"/>
        <v>0</v>
      </c>
      <c r="AE1071">
        <f t="shared" si="363"/>
        <v>0</v>
      </c>
      <c r="AF1071">
        <f t="shared" si="364"/>
        <v>0</v>
      </c>
      <c r="AG1071">
        <f t="shared" si="365"/>
        <v>0</v>
      </c>
      <c r="AH1071">
        <f t="shared" si="366"/>
        <v>0</v>
      </c>
      <c r="AI1071">
        <f t="shared" si="367"/>
        <v>0</v>
      </c>
      <c r="AJ1071" s="2" t="str">
        <f t="shared" si="377"/>
        <v>346327</v>
      </c>
    </row>
    <row r="1072" spans="1:36" x14ac:dyDescent="0.25">
      <c r="A1072">
        <v>4</v>
      </c>
      <c r="B1072" s="1">
        <v>46327</v>
      </c>
      <c r="C1072" s="1">
        <f t="shared" si="368"/>
        <v>46447</v>
      </c>
      <c r="D1072" s="1">
        <f t="shared" si="369"/>
        <v>46341</v>
      </c>
      <c r="E1072" s="1">
        <f t="shared" si="370"/>
        <v>46447</v>
      </c>
      <c r="F1072" s="1">
        <f t="shared" si="371"/>
        <v>46478</v>
      </c>
      <c r="G1072" s="1">
        <f t="shared" si="372"/>
        <v>46706</v>
      </c>
      <c r="H1072">
        <f t="shared" si="373"/>
        <v>365</v>
      </c>
      <c r="I1072">
        <f t="shared" si="374"/>
        <v>31</v>
      </c>
      <c r="J1072">
        <f t="shared" si="375"/>
        <v>8.4931506849315067E-2</v>
      </c>
      <c r="K1072">
        <f>IFERROR($J1072/IF($A1072&lt;COUNTIFS($K$1:K$1,"&lt;&gt;"),0,SUMIFS($J:$J,$B:$B,$B1072,$A:$A,"&gt;="&amp;COUNTIFS($K$1:K$1,"&lt;&gt;"))),0)</f>
        <v>8.8825214899713484E-2</v>
      </c>
      <c r="L1072">
        <f>IFERROR($J1072/IF($A1072&lt;COUNTIFS($K$1:L$1,"&lt;&gt;"),0,SUMIFS($J:$J,$B:$B,$B1072,$A:$A,"&gt;="&amp;COUNTIFS($K$1:L$1,"&lt;&gt;"))),0)</f>
        <v>9.7484276729559768E-2</v>
      </c>
      <c r="M1072">
        <f>IFERROR($J1072/IF($A1072&lt;COUNTIFS($K$1:M$1,"&lt;&gt;"),0,SUMIFS($J:$J,$B:$B,$B1072,$A:$A,"&gt;="&amp;COUNTIFS($K$1:M$1,"&lt;&gt;"))),0)</f>
        <v>0.10801393728222998</v>
      </c>
      <c r="N1072">
        <f>IFERROR($J1072/IF($A1072&lt;COUNTIFS($K$1:N$1,"&lt;&gt;"),0,SUMIFS($J:$J,$B:$B,$B1072,$A:$A,"&gt;="&amp;COUNTIFS($K$1:N$1,"&lt;&gt;"))),0)</f>
        <v>0.11969111969111972</v>
      </c>
      <c r="O1072">
        <f>IFERROR($J1072/IF($A1072&lt;COUNTIFS($K$1:O$1,"&lt;&gt;"),0,SUMIFS($J:$J,$B:$B,$B1072,$A:$A,"&gt;="&amp;COUNTIFS($K$1:O$1,"&lt;&gt;"))),0)</f>
        <v>0</v>
      </c>
      <c r="P1072">
        <f>IFERROR($J1072/IF($A1072&lt;COUNTIFS($K$1:P$1,"&lt;&gt;"),0,SUMIFS($J:$J,$B:$B,$B1072,$A:$A,"&gt;="&amp;COUNTIFS($K$1:P$1,"&lt;&gt;"))),0)</f>
        <v>0</v>
      </c>
      <c r="Q1072">
        <f>IFERROR($J1072/IF($A1072&lt;COUNTIFS($K$1:Q$1,"&lt;&gt;"),0,SUMIFS($J:$J,$B:$B,$B1072,$A:$A,"&gt;="&amp;COUNTIFS($K$1:Q$1,"&lt;&gt;"))),0)</f>
        <v>0</v>
      </c>
      <c r="R1072">
        <f>IFERROR($J1072/IF($A1072&lt;COUNTIFS($K$1:R$1,"&lt;&gt;"),0,SUMIFS($J:$J,$B:$B,$B1072,$A:$A,"&gt;="&amp;COUNTIFS($K$1:R$1,"&lt;&gt;"))),0)</f>
        <v>0</v>
      </c>
      <c r="S1072">
        <f>IFERROR($J1072/IF($A1072&lt;COUNTIFS($K$1:S$1,"&lt;&gt;"),0,SUMIFS($J:$J,$B:$B,$B1072,$A:$A,"&gt;="&amp;COUNTIFS($K$1:S$1,"&lt;&gt;"))),0)</f>
        <v>0</v>
      </c>
      <c r="T1072">
        <f>IFERROR($J1072/IF($A1072&lt;COUNTIFS($K$1:T$1,"&lt;&gt;"),0,SUMIFS($J:$J,$B:$B,$B1072,$A:$A,"&gt;="&amp;COUNTIFS($K$1:T$1,"&lt;&gt;"))),0)</f>
        <v>0</v>
      </c>
      <c r="U1072">
        <f>IFERROR($J1072/IF($A1072&lt;COUNTIFS($K$1:U$1,"&lt;&gt;"),0,SUMIFS($J:$J,$B:$B,$B1072,$A:$A,"&gt;="&amp;COUNTIFS($K$1:U$1,"&lt;&gt;"))),0)</f>
        <v>0</v>
      </c>
      <c r="V1072">
        <f>IFERROR($J1072/IF($A1072&lt;COUNTIFS($K$1:V$1,"&lt;&gt;"),0,SUMIFS($J:$J,$B:$B,$B1072,$A:$A,"&gt;="&amp;COUNTIFS($K$1:V$1,"&lt;&gt;"))),0)</f>
        <v>0</v>
      </c>
      <c r="W1072">
        <f t="shared" si="376"/>
        <v>8.4931506849315067E-2</v>
      </c>
      <c r="X1072">
        <f t="shared" si="356"/>
        <v>8.4931506849315067E-2</v>
      </c>
      <c r="Y1072">
        <f t="shared" si="357"/>
        <v>8.4931506849315067E-2</v>
      </c>
      <c r="Z1072">
        <f t="shared" si="358"/>
        <v>8.4931506849315067E-2</v>
      </c>
      <c r="AA1072">
        <f t="shared" si="359"/>
        <v>8.4931506849315067E-2</v>
      </c>
      <c r="AB1072">
        <f t="shared" si="360"/>
        <v>0</v>
      </c>
      <c r="AC1072">
        <f t="shared" si="361"/>
        <v>0</v>
      </c>
      <c r="AD1072">
        <f t="shared" si="362"/>
        <v>0</v>
      </c>
      <c r="AE1072">
        <f t="shared" si="363"/>
        <v>0</v>
      </c>
      <c r="AF1072">
        <f t="shared" si="364"/>
        <v>0</v>
      </c>
      <c r="AG1072">
        <f t="shared" si="365"/>
        <v>0</v>
      </c>
      <c r="AH1072">
        <f t="shared" si="366"/>
        <v>0</v>
      </c>
      <c r="AI1072">
        <f t="shared" si="367"/>
        <v>0</v>
      </c>
      <c r="AJ1072" s="2" t="str">
        <f t="shared" si="377"/>
        <v>446327</v>
      </c>
    </row>
    <row r="1073" spans="1:36" x14ac:dyDescent="0.25">
      <c r="A1073">
        <v>5</v>
      </c>
      <c r="B1073" s="1">
        <v>46327</v>
      </c>
      <c r="C1073" s="1">
        <f t="shared" si="368"/>
        <v>46478</v>
      </c>
      <c r="D1073" s="1">
        <f t="shared" si="369"/>
        <v>46341</v>
      </c>
      <c r="E1073" s="1">
        <f t="shared" si="370"/>
        <v>46478</v>
      </c>
      <c r="F1073" s="1">
        <f t="shared" si="371"/>
        <v>46508</v>
      </c>
      <c r="G1073" s="1">
        <f t="shared" si="372"/>
        <v>46706</v>
      </c>
      <c r="H1073">
        <f t="shared" si="373"/>
        <v>365</v>
      </c>
      <c r="I1073">
        <f t="shared" si="374"/>
        <v>30</v>
      </c>
      <c r="J1073">
        <f t="shared" si="375"/>
        <v>8.2191780821917804E-2</v>
      </c>
      <c r="K1073">
        <f>IFERROR($J1073/IF($A1073&lt;COUNTIFS($K$1:K$1,"&lt;&gt;"),0,SUMIFS($J:$J,$B:$B,$B1073,$A:$A,"&gt;="&amp;COUNTIFS($K$1:K$1,"&lt;&gt;"))),0)</f>
        <v>8.5959885386819493E-2</v>
      </c>
      <c r="L1073">
        <f>IFERROR($J1073/IF($A1073&lt;COUNTIFS($K$1:L$1,"&lt;&gt;"),0,SUMIFS($J:$J,$B:$B,$B1073,$A:$A,"&gt;="&amp;COUNTIFS($K$1:L$1,"&lt;&gt;"))),0)</f>
        <v>9.4339622641509441E-2</v>
      </c>
      <c r="M1073">
        <f>IFERROR($J1073/IF($A1073&lt;COUNTIFS($K$1:M$1,"&lt;&gt;"),0,SUMIFS($J:$J,$B:$B,$B1073,$A:$A,"&gt;="&amp;COUNTIFS($K$1:M$1,"&lt;&gt;"))),0)</f>
        <v>0.10452961672473869</v>
      </c>
      <c r="N1073">
        <f>IFERROR($J1073/IF($A1073&lt;COUNTIFS($K$1:N$1,"&lt;&gt;"),0,SUMIFS($J:$J,$B:$B,$B1073,$A:$A,"&gt;="&amp;COUNTIFS($K$1:N$1,"&lt;&gt;"))),0)</f>
        <v>0.11583011583011585</v>
      </c>
      <c r="O1073">
        <f>IFERROR($J1073/IF($A1073&lt;COUNTIFS($K$1:O$1,"&lt;&gt;"),0,SUMIFS($J:$J,$B:$B,$B1073,$A:$A,"&gt;="&amp;COUNTIFS($K$1:O$1,"&lt;&gt;"))),0)</f>
        <v>0.13157894736842107</v>
      </c>
      <c r="P1073">
        <f>IFERROR($J1073/IF($A1073&lt;COUNTIFS($K$1:P$1,"&lt;&gt;"),0,SUMIFS($J:$J,$B:$B,$B1073,$A:$A,"&gt;="&amp;COUNTIFS($K$1:P$1,"&lt;&gt;"))),0)</f>
        <v>0</v>
      </c>
      <c r="Q1073">
        <f>IFERROR($J1073/IF($A1073&lt;COUNTIFS($K$1:Q$1,"&lt;&gt;"),0,SUMIFS($J:$J,$B:$B,$B1073,$A:$A,"&gt;="&amp;COUNTIFS($K$1:Q$1,"&lt;&gt;"))),0)</f>
        <v>0</v>
      </c>
      <c r="R1073">
        <f>IFERROR($J1073/IF($A1073&lt;COUNTIFS($K$1:R$1,"&lt;&gt;"),0,SUMIFS($J:$J,$B:$B,$B1073,$A:$A,"&gt;="&amp;COUNTIFS($K$1:R$1,"&lt;&gt;"))),0)</f>
        <v>0</v>
      </c>
      <c r="S1073">
        <f>IFERROR($J1073/IF($A1073&lt;COUNTIFS($K$1:S$1,"&lt;&gt;"),0,SUMIFS($J:$J,$B:$B,$B1073,$A:$A,"&gt;="&amp;COUNTIFS($K$1:S$1,"&lt;&gt;"))),0)</f>
        <v>0</v>
      </c>
      <c r="T1073">
        <f>IFERROR($J1073/IF($A1073&lt;COUNTIFS($K$1:T$1,"&lt;&gt;"),0,SUMIFS($J:$J,$B:$B,$B1073,$A:$A,"&gt;="&amp;COUNTIFS($K$1:T$1,"&lt;&gt;"))),0)</f>
        <v>0</v>
      </c>
      <c r="U1073">
        <f>IFERROR($J1073/IF($A1073&lt;COUNTIFS($K$1:U$1,"&lt;&gt;"),0,SUMIFS($J:$J,$B:$B,$B1073,$A:$A,"&gt;="&amp;COUNTIFS($K$1:U$1,"&lt;&gt;"))),0)</f>
        <v>0</v>
      </c>
      <c r="V1073">
        <f>IFERROR($J1073/IF($A1073&lt;COUNTIFS($K$1:V$1,"&lt;&gt;"),0,SUMIFS($J:$J,$B:$B,$B1073,$A:$A,"&gt;="&amp;COUNTIFS($K$1:V$1,"&lt;&gt;"))),0)</f>
        <v>0</v>
      </c>
      <c r="W1073">
        <f t="shared" si="376"/>
        <v>8.2191780821917804E-2</v>
      </c>
      <c r="X1073">
        <f t="shared" si="356"/>
        <v>8.2191780821917804E-2</v>
      </c>
      <c r="Y1073">
        <f t="shared" si="357"/>
        <v>8.2191780821917804E-2</v>
      </c>
      <c r="Z1073">
        <f t="shared" si="358"/>
        <v>8.2191780821917804E-2</v>
      </c>
      <c r="AA1073">
        <f t="shared" si="359"/>
        <v>8.2191780821917804E-2</v>
      </c>
      <c r="AB1073">
        <f t="shared" si="360"/>
        <v>8.2191780821917804E-2</v>
      </c>
      <c r="AC1073">
        <f t="shared" si="361"/>
        <v>0</v>
      </c>
      <c r="AD1073">
        <f t="shared" si="362"/>
        <v>0</v>
      </c>
      <c r="AE1073">
        <f t="shared" si="363"/>
        <v>0</v>
      </c>
      <c r="AF1073">
        <f t="shared" si="364"/>
        <v>0</v>
      </c>
      <c r="AG1073">
        <f t="shared" si="365"/>
        <v>0</v>
      </c>
      <c r="AH1073">
        <f t="shared" si="366"/>
        <v>0</v>
      </c>
      <c r="AI1073">
        <f t="shared" si="367"/>
        <v>0</v>
      </c>
      <c r="AJ1073" s="2" t="str">
        <f t="shared" si="377"/>
        <v>546327</v>
      </c>
    </row>
    <row r="1074" spans="1:36" x14ac:dyDescent="0.25">
      <c r="A1074">
        <v>6</v>
      </c>
      <c r="B1074" s="1">
        <v>46327</v>
      </c>
      <c r="C1074" s="1">
        <f t="shared" si="368"/>
        <v>46508</v>
      </c>
      <c r="D1074" s="1">
        <f t="shared" si="369"/>
        <v>46341</v>
      </c>
      <c r="E1074" s="1">
        <f t="shared" si="370"/>
        <v>46508</v>
      </c>
      <c r="F1074" s="1">
        <f t="shared" si="371"/>
        <v>46539</v>
      </c>
      <c r="G1074" s="1">
        <f t="shared" si="372"/>
        <v>46706</v>
      </c>
      <c r="H1074">
        <f t="shared" si="373"/>
        <v>365</v>
      </c>
      <c r="I1074">
        <f t="shared" si="374"/>
        <v>31</v>
      </c>
      <c r="J1074">
        <f t="shared" si="375"/>
        <v>8.4931506849315067E-2</v>
      </c>
      <c r="K1074">
        <f>IFERROR($J1074/IF($A1074&lt;COUNTIFS($K$1:K$1,"&lt;&gt;"),0,SUMIFS($J:$J,$B:$B,$B1074,$A:$A,"&gt;="&amp;COUNTIFS($K$1:K$1,"&lt;&gt;"))),0)</f>
        <v>8.8825214899713484E-2</v>
      </c>
      <c r="L1074">
        <f>IFERROR($J1074/IF($A1074&lt;COUNTIFS($K$1:L$1,"&lt;&gt;"),0,SUMIFS($J:$J,$B:$B,$B1074,$A:$A,"&gt;="&amp;COUNTIFS($K$1:L$1,"&lt;&gt;"))),0)</f>
        <v>9.7484276729559768E-2</v>
      </c>
      <c r="M1074">
        <f>IFERROR($J1074/IF($A1074&lt;COUNTIFS($K$1:M$1,"&lt;&gt;"),0,SUMIFS($J:$J,$B:$B,$B1074,$A:$A,"&gt;="&amp;COUNTIFS($K$1:M$1,"&lt;&gt;"))),0)</f>
        <v>0.10801393728222998</v>
      </c>
      <c r="N1074">
        <f>IFERROR($J1074/IF($A1074&lt;COUNTIFS($K$1:N$1,"&lt;&gt;"),0,SUMIFS($J:$J,$B:$B,$B1074,$A:$A,"&gt;="&amp;COUNTIFS($K$1:N$1,"&lt;&gt;"))),0)</f>
        <v>0.11969111969111972</v>
      </c>
      <c r="O1074">
        <f>IFERROR($J1074/IF($A1074&lt;COUNTIFS($K$1:O$1,"&lt;&gt;"),0,SUMIFS($J:$J,$B:$B,$B1074,$A:$A,"&gt;="&amp;COUNTIFS($K$1:O$1,"&lt;&gt;"))),0)</f>
        <v>0.13596491228070179</v>
      </c>
      <c r="P1074">
        <f>IFERROR($J1074/IF($A1074&lt;COUNTIFS($K$1:P$1,"&lt;&gt;"),0,SUMIFS($J:$J,$B:$B,$B1074,$A:$A,"&gt;="&amp;COUNTIFS($K$1:P$1,"&lt;&gt;"))),0)</f>
        <v>0.1565656565656566</v>
      </c>
      <c r="Q1074">
        <f>IFERROR($J1074/IF($A1074&lt;COUNTIFS($K$1:Q$1,"&lt;&gt;"),0,SUMIFS($J:$J,$B:$B,$B1074,$A:$A,"&gt;="&amp;COUNTIFS($K$1:Q$1,"&lt;&gt;"))),0)</f>
        <v>0</v>
      </c>
      <c r="R1074">
        <f>IFERROR($J1074/IF($A1074&lt;COUNTIFS($K$1:R$1,"&lt;&gt;"),0,SUMIFS($J:$J,$B:$B,$B1074,$A:$A,"&gt;="&amp;COUNTIFS($K$1:R$1,"&lt;&gt;"))),0)</f>
        <v>0</v>
      </c>
      <c r="S1074">
        <f>IFERROR($J1074/IF($A1074&lt;COUNTIFS($K$1:S$1,"&lt;&gt;"),0,SUMIFS($J:$J,$B:$B,$B1074,$A:$A,"&gt;="&amp;COUNTIFS($K$1:S$1,"&lt;&gt;"))),0)</f>
        <v>0</v>
      </c>
      <c r="T1074">
        <f>IFERROR($J1074/IF($A1074&lt;COUNTIFS($K$1:T$1,"&lt;&gt;"),0,SUMIFS($J:$J,$B:$B,$B1074,$A:$A,"&gt;="&amp;COUNTIFS($K$1:T$1,"&lt;&gt;"))),0)</f>
        <v>0</v>
      </c>
      <c r="U1074">
        <f>IFERROR($J1074/IF($A1074&lt;COUNTIFS($K$1:U$1,"&lt;&gt;"),0,SUMIFS($J:$J,$B:$B,$B1074,$A:$A,"&gt;="&amp;COUNTIFS($K$1:U$1,"&lt;&gt;"))),0)</f>
        <v>0</v>
      </c>
      <c r="V1074">
        <f>IFERROR($J1074/IF($A1074&lt;COUNTIFS($K$1:V$1,"&lt;&gt;"),0,SUMIFS($J:$J,$B:$B,$B1074,$A:$A,"&gt;="&amp;COUNTIFS($K$1:V$1,"&lt;&gt;"))),0)</f>
        <v>0</v>
      </c>
      <c r="W1074">
        <f t="shared" si="376"/>
        <v>8.4931506849315067E-2</v>
      </c>
      <c r="X1074">
        <f t="shared" si="356"/>
        <v>8.4931506849315067E-2</v>
      </c>
      <c r="Y1074">
        <f t="shared" si="357"/>
        <v>8.4931506849315067E-2</v>
      </c>
      <c r="Z1074">
        <f t="shared" si="358"/>
        <v>8.4931506849315067E-2</v>
      </c>
      <c r="AA1074">
        <f t="shared" si="359"/>
        <v>8.4931506849315067E-2</v>
      </c>
      <c r="AB1074">
        <f t="shared" si="360"/>
        <v>8.4931506849315067E-2</v>
      </c>
      <c r="AC1074">
        <f t="shared" si="361"/>
        <v>8.4931506849315067E-2</v>
      </c>
      <c r="AD1074">
        <f t="shared" si="362"/>
        <v>0</v>
      </c>
      <c r="AE1074">
        <f t="shared" si="363"/>
        <v>0</v>
      </c>
      <c r="AF1074">
        <f t="shared" si="364"/>
        <v>0</v>
      </c>
      <c r="AG1074">
        <f t="shared" si="365"/>
        <v>0</v>
      </c>
      <c r="AH1074">
        <f t="shared" si="366"/>
        <v>0</v>
      </c>
      <c r="AI1074">
        <f t="shared" si="367"/>
        <v>0</v>
      </c>
      <c r="AJ1074" s="2" t="str">
        <f t="shared" si="377"/>
        <v>646327</v>
      </c>
    </row>
    <row r="1075" spans="1:36" x14ac:dyDescent="0.25">
      <c r="A1075">
        <v>7</v>
      </c>
      <c r="B1075" s="1">
        <v>46327</v>
      </c>
      <c r="C1075" s="1">
        <f t="shared" si="368"/>
        <v>46539</v>
      </c>
      <c r="D1075" s="1">
        <f t="shared" si="369"/>
        <v>46341</v>
      </c>
      <c r="E1075" s="1">
        <f t="shared" si="370"/>
        <v>46539</v>
      </c>
      <c r="F1075" s="1">
        <f t="shared" si="371"/>
        <v>46569</v>
      </c>
      <c r="G1075" s="1">
        <f t="shared" si="372"/>
        <v>46706</v>
      </c>
      <c r="H1075">
        <f t="shared" si="373"/>
        <v>365</v>
      </c>
      <c r="I1075">
        <f t="shared" si="374"/>
        <v>30</v>
      </c>
      <c r="J1075">
        <f t="shared" si="375"/>
        <v>8.2191780821917804E-2</v>
      </c>
      <c r="K1075">
        <f>IFERROR($J1075/IF($A1075&lt;COUNTIFS($K$1:K$1,"&lt;&gt;"),0,SUMIFS($J:$J,$B:$B,$B1075,$A:$A,"&gt;="&amp;COUNTIFS($K$1:K$1,"&lt;&gt;"))),0)</f>
        <v>8.5959885386819493E-2</v>
      </c>
      <c r="L1075">
        <f>IFERROR($J1075/IF($A1075&lt;COUNTIFS($K$1:L$1,"&lt;&gt;"),0,SUMIFS($J:$J,$B:$B,$B1075,$A:$A,"&gt;="&amp;COUNTIFS($K$1:L$1,"&lt;&gt;"))),0)</f>
        <v>9.4339622641509441E-2</v>
      </c>
      <c r="M1075">
        <f>IFERROR($J1075/IF($A1075&lt;COUNTIFS($K$1:M$1,"&lt;&gt;"),0,SUMIFS($J:$J,$B:$B,$B1075,$A:$A,"&gt;="&amp;COUNTIFS($K$1:M$1,"&lt;&gt;"))),0)</f>
        <v>0.10452961672473869</v>
      </c>
      <c r="N1075">
        <f>IFERROR($J1075/IF($A1075&lt;COUNTIFS($K$1:N$1,"&lt;&gt;"),0,SUMIFS($J:$J,$B:$B,$B1075,$A:$A,"&gt;="&amp;COUNTIFS($K$1:N$1,"&lt;&gt;"))),0)</f>
        <v>0.11583011583011585</v>
      </c>
      <c r="O1075">
        <f>IFERROR($J1075/IF($A1075&lt;COUNTIFS($K$1:O$1,"&lt;&gt;"),0,SUMIFS($J:$J,$B:$B,$B1075,$A:$A,"&gt;="&amp;COUNTIFS($K$1:O$1,"&lt;&gt;"))),0)</f>
        <v>0.13157894736842107</v>
      </c>
      <c r="P1075">
        <f>IFERROR($J1075/IF($A1075&lt;COUNTIFS($K$1:P$1,"&lt;&gt;"),0,SUMIFS($J:$J,$B:$B,$B1075,$A:$A,"&gt;="&amp;COUNTIFS($K$1:P$1,"&lt;&gt;"))),0)</f>
        <v>0.15151515151515155</v>
      </c>
      <c r="Q1075">
        <f>IFERROR($J1075/IF($A1075&lt;COUNTIFS($K$1:Q$1,"&lt;&gt;"),0,SUMIFS($J:$J,$B:$B,$B1075,$A:$A,"&gt;="&amp;COUNTIFS($K$1:Q$1,"&lt;&gt;"))),0)</f>
        <v>0.17964071856287425</v>
      </c>
      <c r="R1075">
        <f>IFERROR($J1075/IF($A1075&lt;COUNTIFS($K$1:R$1,"&lt;&gt;"),0,SUMIFS($J:$J,$B:$B,$B1075,$A:$A,"&gt;="&amp;COUNTIFS($K$1:R$1,"&lt;&gt;"))),0)</f>
        <v>0</v>
      </c>
      <c r="S1075">
        <f>IFERROR($J1075/IF($A1075&lt;COUNTIFS($K$1:S$1,"&lt;&gt;"),0,SUMIFS($J:$J,$B:$B,$B1075,$A:$A,"&gt;="&amp;COUNTIFS($K$1:S$1,"&lt;&gt;"))),0)</f>
        <v>0</v>
      </c>
      <c r="T1075">
        <f>IFERROR($J1075/IF($A1075&lt;COUNTIFS($K$1:T$1,"&lt;&gt;"),0,SUMIFS($J:$J,$B:$B,$B1075,$A:$A,"&gt;="&amp;COUNTIFS($K$1:T$1,"&lt;&gt;"))),0)</f>
        <v>0</v>
      </c>
      <c r="U1075">
        <f>IFERROR($J1075/IF($A1075&lt;COUNTIFS($K$1:U$1,"&lt;&gt;"),0,SUMIFS($J:$J,$B:$B,$B1075,$A:$A,"&gt;="&amp;COUNTIFS($K$1:U$1,"&lt;&gt;"))),0)</f>
        <v>0</v>
      </c>
      <c r="V1075">
        <f>IFERROR($J1075/IF($A1075&lt;COUNTIFS($K$1:V$1,"&lt;&gt;"),0,SUMIFS($J:$J,$B:$B,$B1075,$A:$A,"&gt;="&amp;COUNTIFS($K$1:V$1,"&lt;&gt;"))),0)</f>
        <v>0</v>
      </c>
      <c r="W1075">
        <f t="shared" si="376"/>
        <v>8.2191780821917804E-2</v>
      </c>
      <c r="X1075">
        <f t="shared" si="356"/>
        <v>8.2191780821917804E-2</v>
      </c>
      <c r="Y1075">
        <f t="shared" si="357"/>
        <v>8.2191780821917804E-2</v>
      </c>
      <c r="Z1075">
        <f t="shared" si="358"/>
        <v>8.2191780821917804E-2</v>
      </c>
      <c r="AA1075">
        <f t="shared" si="359"/>
        <v>8.2191780821917804E-2</v>
      </c>
      <c r="AB1075">
        <f t="shared" si="360"/>
        <v>8.2191780821917804E-2</v>
      </c>
      <c r="AC1075">
        <f t="shared" si="361"/>
        <v>8.2191780821917804E-2</v>
      </c>
      <c r="AD1075">
        <f t="shared" si="362"/>
        <v>8.2191780821917804E-2</v>
      </c>
      <c r="AE1075">
        <f t="shared" si="363"/>
        <v>0</v>
      </c>
      <c r="AF1075">
        <f t="shared" si="364"/>
        <v>0</v>
      </c>
      <c r="AG1075">
        <f t="shared" si="365"/>
        <v>0</v>
      </c>
      <c r="AH1075">
        <f t="shared" si="366"/>
        <v>0</v>
      </c>
      <c r="AI1075">
        <f t="shared" si="367"/>
        <v>0</v>
      </c>
      <c r="AJ1075" s="2" t="str">
        <f t="shared" si="377"/>
        <v>746327</v>
      </c>
    </row>
    <row r="1076" spans="1:36" x14ac:dyDescent="0.25">
      <c r="A1076">
        <v>8</v>
      </c>
      <c r="B1076" s="1">
        <v>46327</v>
      </c>
      <c r="C1076" s="1">
        <f t="shared" si="368"/>
        <v>46569</v>
      </c>
      <c r="D1076" s="1">
        <f t="shared" si="369"/>
        <v>46341</v>
      </c>
      <c r="E1076" s="1">
        <f t="shared" si="370"/>
        <v>46569</v>
      </c>
      <c r="F1076" s="1">
        <f t="shared" si="371"/>
        <v>46600</v>
      </c>
      <c r="G1076" s="1">
        <f t="shared" si="372"/>
        <v>46706</v>
      </c>
      <c r="H1076">
        <f t="shared" si="373"/>
        <v>365</v>
      </c>
      <c r="I1076">
        <f t="shared" si="374"/>
        <v>31</v>
      </c>
      <c r="J1076">
        <f t="shared" si="375"/>
        <v>8.4931506849315067E-2</v>
      </c>
      <c r="K1076">
        <f>IFERROR($J1076/IF($A1076&lt;COUNTIFS($K$1:K$1,"&lt;&gt;"),0,SUMIFS($J:$J,$B:$B,$B1076,$A:$A,"&gt;="&amp;COUNTIFS($K$1:K$1,"&lt;&gt;"))),0)</f>
        <v>8.8825214899713484E-2</v>
      </c>
      <c r="L1076">
        <f>IFERROR($J1076/IF($A1076&lt;COUNTIFS($K$1:L$1,"&lt;&gt;"),0,SUMIFS($J:$J,$B:$B,$B1076,$A:$A,"&gt;="&amp;COUNTIFS($K$1:L$1,"&lt;&gt;"))),0)</f>
        <v>9.7484276729559768E-2</v>
      </c>
      <c r="M1076">
        <f>IFERROR($J1076/IF($A1076&lt;COUNTIFS($K$1:M$1,"&lt;&gt;"),0,SUMIFS($J:$J,$B:$B,$B1076,$A:$A,"&gt;="&amp;COUNTIFS($K$1:M$1,"&lt;&gt;"))),0)</f>
        <v>0.10801393728222998</v>
      </c>
      <c r="N1076">
        <f>IFERROR($J1076/IF($A1076&lt;COUNTIFS($K$1:N$1,"&lt;&gt;"),0,SUMIFS($J:$J,$B:$B,$B1076,$A:$A,"&gt;="&amp;COUNTIFS($K$1:N$1,"&lt;&gt;"))),0)</f>
        <v>0.11969111969111972</v>
      </c>
      <c r="O1076">
        <f>IFERROR($J1076/IF($A1076&lt;COUNTIFS($K$1:O$1,"&lt;&gt;"),0,SUMIFS($J:$J,$B:$B,$B1076,$A:$A,"&gt;="&amp;COUNTIFS($K$1:O$1,"&lt;&gt;"))),0)</f>
        <v>0.13596491228070179</v>
      </c>
      <c r="P1076">
        <f>IFERROR($J1076/IF($A1076&lt;COUNTIFS($K$1:P$1,"&lt;&gt;"),0,SUMIFS($J:$J,$B:$B,$B1076,$A:$A,"&gt;="&amp;COUNTIFS($K$1:P$1,"&lt;&gt;"))),0)</f>
        <v>0.1565656565656566</v>
      </c>
      <c r="Q1076">
        <f>IFERROR($J1076/IF($A1076&lt;COUNTIFS($K$1:Q$1,"&lt;&gt;"),0,SUMIFS($J:$J,$B:$B,$B1076,$A:$A,"&gt;="&amp;COUNTIFS($K$1:Q$1,"&lt;&gt;"))),0)</f>
        <v>0.18562874251497008</v>
      </c>
      <c r="R1076">
        <f>IFERROR($J1076/IF($A1076&lt;COUNTIFS($K$1:R$1,"&lt;&gt;"),0,SUMIFS($J:$J,$B:$B,$B1076,$A:$A,"&gt;="&amp;COUNTIFS($K$1:R$1,"&lt;&gt;"))),0)</f>
        <v>0.22627737226277375</v>
      </c>
      <c r="S1076">
        <f>IFERROR($J1076/IF($A1076&lt;COUNTIFS($K$1:S$1,"&lt;&gt;"),0,SUMIFS($J:$J,$B:$B,$B1076,$A:$A,"&gt;="&amp;COUNTIFS($K$1:S$1,"&lt;&gt;"))),0)</f>
        <v>0</v>
      </c>
      <c r="T1076">
        <f>IFERROR($J1076/IF($A1076&lt;COUNTIFS($K$1:T$1,"&lt;&gt;"),0,SUMIFS($J:$J,$B:$B,$B1076,$A:$A,"&gt;="&amp;COUNTIFS($K$1:T$1,"&lt;&gt;"))),0)</f>
        <v>0</v>
      </c>
      <c r="U1076">
        <f>IFERROR($J1076/IF($A1076&lt;COUNTIFS($K$1:U$1,"&lt;&gt;"),0,SUMIFS($J:$J,$B:$B,$B1076,$A:$A,"&gt;="&amp;COUNTIFS($K$1:U$1,"&lt;&gt;"))),0)</f>
        <v>0</v>
      </c>
      <c r="V1076">
        <f>IFERROR($J1076/IF($A1076&lt;COUNTIFS($K$1:V$1,"&lt;&gt;"),0,SUMIFS($J:$J,$B:$B,$B1076,$A:$A,"&gt;="&amp;COUNTIFS($K$1:V$1,"&lt;&gt;"))),0)</f>
        <v>0</v>
      </c>
      <c r="W1076">
        <f t="shared" si="376"/>
        <v>8.4931506849315067E-2</v>
      </c>
      <c r="X1076">
        <f t="shared" si="356"/>
        <v>8.4931506849315067E-2</v>
      </c>
      <c r="Y1076">
        <f t="shared" si="357"/>
        <v>8.4931506849315067E-2</v>
      </c>
      <c r="Z1076">
        <f t="shared" si="358"/>
        <v>8.4931506849315067E-2</v>
      </c>
      <c r="AA1076">
        <f t="shared" si="359"/>
        <v>8.4931506849315067E-2</v>
      </c>
      <c r="AB1076">
        <f t="shared" si="360"/>
        <v>8.4931506849315067E-2</v>
      </c>
      <c r="AC1076">
        <f t="shared" si="361"/>
        <v>8.4931506849315067E-2</v>
      </c>
      <c r="AD1076">
        <f t="shared" si="362"/>
        <v>8.4931506849315067E-2</v>
      </c>
      <c r="AE1076">
        <f t="shared" si="363"/>
        <v>8.4931506849315067E-2</v>
      </c>
      <c r="AF1076">
        <f t="shared" si="364"/>
        <v>0</v>
      </c>
      <c r="AG1076">
        <f t="shared" si="365"/>
        <v>0</v>
      </c>
      <c r="AH1076">
        <f t="shared" si="366"/>
        <v>0</v>
      </c>
      <c r="AI1076">
        <f t="shared" si="367"/>
        <v>0</v>
      </c>
      <c r="AJ1076" s="2" t="str">
        <f t="shared" si="377"/>
        <v>846327</v>
      </c>
    </row>
    <row r="1077" spans="1:36" x14ac:dyDescent="0.25">
      <c r="A1077">
        <v>9</v>
      </c>
      <c r="B1077" s="1">
        <v>46327</v>
      </c>
      <c r="C1077" s="1">
        <f t="shared" si="368"/>
        <v>46600</v>
      </c>
      <c r="D1077" s="1">
        <f t="shared" si="369"/>
        <v>46341</v>
      </c>
      <c r="E1077" s="1">
        <f t="shared" si="370"/>
        <v>46600</v>
      </c>
      <c r="F1077" s="1">
        <f t="shared" si="371"/>
        <v>46631</v>
      </c>
      <c r="G1077" s="1">
        <f t="shared" si="372"/>
        <v>46706</v>
      </c>
      <c r="H1077">
        <f t="shared" si="373"/>
        <v>365</v>
      </c>
      <c r="I1077">
        <f t="shared" si="374"/>
        <v>31</v>
      </c>
      <c r="J1077">
        <f t="shared" si="375"/>
        <v>8.4931506849315067E-2</v>
      </c>
      <c r="K1077">
        <f>IFERROR($J1077/IF($A1077&lt;COUNTIFS($K$1:K$1,"&lt;&gt;"),0,SUMIFS($J:$J,$B:$B,$B1077,$A:$A,"&gt;="&amp;COUNTIFS($K$1:K$1,"&lt;&gt;"))),0)</f>
        <v>8.8825214899713484E-2</v>
      </c>
      <c r="L1077">
        <f>IFERROR($J1077/IF($A1077&lt;COUNTIFS($K$1:L$1,"&lt;&gt;"),0,SUMIFS($J:$J,$B:$B,$B1077,$A:$A,"&gt;="&amp;COUNTIFS($K$1:L$1,"&lt;&gt;"))),0)</f>
        <v>9.7484276729559768E-2</v>
      </c>
      <c r="M1077">
        <f>IFERROR($J1077/IF($A1077&lt;COUNTIFS($K$1:M$1,"&lt;&gt;"),0,SUMIFS($J:$J,$B:$B,$B1077,$A:$A,"&gt;="&amp;COUNTIFS($K$1:M$1,"&lt;&gt;"))),0)</f>
        <v>0.10801393728222998</v>
      </c>
      <c r="N1077">
        <f>IFERROR($J1077/IF($A1077&lt;COUNTIFS($K$1:N$1,"&lt;&gt;"),0,SUMIFS($J:$J,$B:$B,$B1077,$A:$A,"&gt;="&amp;COUNTIFS($K$1:N$1,"&lt;&gt;"))),0)</f>
        <v>0.11969111969111972</v>
      </c>
      <c r="O1077">
        <f>IFERROR($J1077/IF($A1077&lt;COUNTIFS($K$1:O$1,"&lt;&gt;"),0,SUMIFS($J:$J,$B:$B,$B1077,$A:$A,"&gt;="&amp;COUNTIFS($K$1:O$1,"&lt;&gt;"))),0)</f>
        <v>0.13596491228070179</v>
      </c>
      <c r="P1077">
        <f>IFERROR($J1077/IF($A1077&lt;COUNTIFS($K$1:P$1,"&lt;&gt;"),0,SUMIFS($J:$J,$B:$B,$B1077,$A:$A,"&gt;="&amp;COUNTIFS($K$1:P$1,"&lt;&gt;"))),0)</f>
        <v>0.1565656565656566</v>
      </c>
      <c r="Q1077">
        <f>IFERROR($J1077/IF($A1077&lt;COUNTIFS($K$1:Q$1,"&lt;&gt;"),0,SUMIFS($J:$J,$B:$B,$B1077,$A:$A,"&gt;="&amp;COUNTIFS($K$1:Q$1,"&lt;&gt;"))),0)</f>
        <v>0.18562874251497008</v>
      </c>
      <c r="R1077">
        <f>IFERROR($J1077/IF($A1077&lt;COUNTIFS($K$1:R$1,"&lt;&gt;"),0,SUMIFS($J:$J,$B:$B,$B1077,$A:$A,"&gt;="&amp;COUNTIFS($K$1:R$1,"&lt;&gt;"))),0)</f>
        <v>0.22627737226277375</v>
      </c>
      <c r="S1077">
        <f>IFERROR($J1077/IF($A1077&lt;COUNTIFS($K$1:S$1,"&lt;&gt;"),0,SUMIFS($J:$J,$B:$B,$B1077,$A:$A,"&gt;="&amp;COUNTIFS($K$1:S$1,"&lt;&gt;"))),0)</f>
        <v>0.29245283018867929</v>
      </c>
      <c r="T1077">
        <f>IFERROR($J1077/IF($A1077&lt;COUNTIFS($K$1:T$1,"&lt;&gt;"),0,SUMIFS($J:$J,$B:$B,$B1077,$A:$A,"&gt;="&amp;COUNTIFS($K$1:T$1,"&lt;&gt;"))),0)</f>
        <v>0</v>
      </c>
      <c r="U1077">
        <f>IFERROR($J1077/IF($A1077&lt;COUNTIFS($K$1:U$1,"&lt;&gt;"),0,SUMIFS($J:$J,$B:$B,$B1077,$A:$A,"&gt;="&amp;COUNTIFS($K$1:U$1,"&lt;&gt;"))),0)</f>
        <v>0</v>
      </c>
      <c r="V1077">
        <f>IFERROR($J1077/IF($A1077&lt;COUNTIFS($K$1:V$1,"&lt;&gt;"),0,SUMIFS($J:$J,$B:$B,$B1077,$A:$A,"&gt;="&amp;COUNTIFS($K$1:V$1,"&lt;&gt;"))),0)</f>
        <v>0</v>
      </c>
      <c r="W1077">
        <f t="shared" si="376"/>
        <v>8.4931506849315067E-2</v>
      </c>
      <c r="X1077">
        <f t="shared" si="356"/>
        <v>8.4931506849315067E-2</v>
      </c>
      <c r="Y1077">
        <f t="shared" si="357"/>
        <v>8.4931506849315067E-2</v>
      </c>
      <c r="Z1077">
        <f t="shared" si="358"/>
        <v>8.4931506849315067E-2</v>
      </c>
      <c r="AA1077">
        <f t="shared" si="359"/>
        <v>8.4931506849315067E-2</v>
      </c>
      <c r="AB1077">
        <f t="shared" si="360"/>
        <v>8.4931506849315067E-2</v>
      </c>
      <c r="AC1077">
        <f t="shared" si="361"/>
        <v>8.4931506849315067E-2</v>
      </c>
      <c r="AD1077">
        <f t="shared" si="362"/>
        <v>8.4931506849315067E-2</v>
      </c>
      <c r="AE1077">
        <f t="shared" si="363"/>
        <v>8.4931506849315067E-2</v>
      </c>
      <c r="AF1077">
        <f t="shared" si="364"/>
        <v>8.4931506849315067E-2</v>
      </c>
      <c r="AG1077">
        <f t="shared" si="365"/>
        <v>0</v>
      </c>
      <c r="AH1077">
        <f t="shared" si="366"/>
        <v>0</v>
      </c>
      <c r="AI1077">
        <f t="shared" si="367"/>
        <v>0</v>
      </c>
      <c r="AJ1077" s="2" t="str">
        <f t="shared" si="377"/>
        <v>946327</v>
      </c>
    </row>
    <row r="1078" spans="1:36" x14ac:dyDescent="0.25">
      <c r="A1078">
        <v>10</v>
      </c>
      <c r="B1078" s="1">
        <v>46327</v>
      </c>
      <c r="C1078" s="1">
        <f t="shared" si="368"/>
        <v>46631</v>
      </c>
      <c r="D1078" s="1">
        <f t="shared" si="369"/>
        <v>46341</v>
      </c>
      <c r="E1078" s="1">
        <f t="shared" si="370"/>
        <v>46631</v>
      </c>
      <c r="F1078" s="1">
        <f t="shared" si="371"/>
        <v>46661</v>
      </c>
      <c r="G1078" s="1">
        <f t="shared" si="372"/>
        <v>46706</v>
      </c>
      <c r="H1078">
        <f t="shared" si="373"/>
        <v>365</v>
      </c>
      <c r="I1078">
        <f t="shared" si="374"/>
        <v>30</v>
      </c>
      <c r="J1078">
        <f t="shared" si="375"/>
        <v>8.2191780821917804E-2</v>
      </c>
      <c r="K1078">
        <f>IFERROR($J1078/IF($A1078&lt;COUNTIFS($K$1:K$1,"&lt;&gt;"),0,SUMIFS($J:$J,$B:$B,$B1078,$A:$A,"&gt;="&amp;COUNTIFS($K$1:K$1,"&lt;&gt;"))),0)</f>
        <v>8.5959885386819493E-2</v>
      </c>
      <c r="L1078">
        <f>IFERROR($J1078/IF($A1078&lt;COUNTIFS($K$1:L$1,"&lt;&gt;"),0,SUMIFS($J:$J,$B:$B,$B1078,$A:$A,"&gt;="&amp;COUNTIFS($K$1:L$1,"&lt;&gt;"))),0)</f>
        <v>9.4339622641509441E-2</v>
      </c>
      <c r="M1078">
        <f>IFERROR($J1078/IF($A1078&lt;COUNTIFS($K$1:M$1,"&lt;&gt;"),0,SUMIFS($J:$J,$B:$B,$B1078,$A:$A,"&gt;="&amp;COUNTIFS($K$1:M$1,"&lt;&gt;"))),0)</f>
        <v>0.10452961672473869</v>
      </c>
      <c r="N1078">
        <f>IFERROR($J1078/IF($A1078&lt;COUNTIFS($K$1:N$1,"&lt;&gt;"),0,SUMIFS($J:$J,$B:$B,$B1078,$A:$A,"&gt;="&amp;COUNTIFS($K$1:N$1,"&lt;&gt;"))),0)</f>
        <v>0.11583011583011585</v>
      </c>
      <c r="O1078">
        <f>IFERROR($J1078/IF($A1078&lt;COUNTIFS($K$1:O$1,"&lt;&gt;"),0,SUMIFS($J:$J,$B:$B,$B1078,$A:$A,"&gt;="&amp;COUNTIFS($K$1:O$1,"&lt;&gt;"))),0)</f>
        <v>0.13157894736842107</v>
      </c>
      <c r="P1078">
        <f>IFERROR($J1078/IF($A1078&lt;COUNTIFS($K$1:P$1,"&lt;&gt;"),0,SUMIFS($J:$J,$B:$B,$B1078,$A:$A,"&gt;="&amp;COUNTIFS($K$1:P$1,"&lt;&gt;"))),0)</f>
        <v>0.15151515151515155</v>
      </c>
      <c r="Q1078">
        <f>IFERROR($J1078/IF($A1078&lt;COUNTIFS($K$1:Q$1,"&lt;&gt;"),0,SUMIFS($J:$J,$B:$B,$B1078,$A:$A,"&gt;="&amp;COUNTIFS($K$1:Q$1,"&lt;&gt;"))),0)</f>
        <v>0.17964071856287425</v>
      </c>
      <c r="R1078">
        <f>IFERROR($J1078/IF($A1078&lt;COUNTIFS($K$1:R$1,"&lt;&gt;"),0,SUMIFS($J:$J,$B:$B,$B1078,$A:$A,"&gt;="&amp;COUNTIFS($K$1:R$1,"&lt;&gt;"))),0)</f>
        <v>0.21897810218978103</v>
      </c>
      <c r="S1078">
        <f>IFERROR($J1078/IF($A1078&lt;COUNTIFS($K$1:S$1,"&lt;&gt;"),0,SUMIFS($J:$J,$B:$B,$B1078,$A:$A,"&gt;="&amp;COUNTIFS($K$1:S$1,"&lt;&gt;"))),0)</f>
        <v>0.28301886792452829</v>
      </c>
      <c r="T1078">
        <f>IFERROR($J1078/IF($A1078&lt;COUNTIFS($K$1:T$1,"&lt;&gt;"),0,SUMIFS($J:$J,$B:$B,$B1078,$A:$A,"&gt;="&amp;COUNTIFS($K$1:T$1,"&lt;&gt;"))),0)</f>
        <v>0.4</v>
      </c>
      <c r="U1078">
        <f>IFERROR($J1078/IF($A1078&lt;COUNTIFS($K$1:U$1,"&lt;&gt;"),0,SUMIFS($J:$J,$B:$B,$B1078,$A:$A,"&gt;="&amp;COUNTIFS($K$1:U$1,"&lt;&gt;"))),0)</f>
        <v>0</v>
      </c>
      <c r="V1078">
        <f>IFERROR($J1078/IF($A1078&lt;COUNTIFS($K$1:V$1,"&lt;&gt;"),0,SUMIFS($J:$J,$B:$B,$B1078,$A:$A,"&gt;="&amp;COUNTIFS($K$1:V$1,"&lt;&gt;"))),0)</f>
        <v>0</v>
      </c>
      <c r="W1078">
        <f t="shared" si="376"/>
        <v>8.2191780821917804E-2</v>
      </c>
      <c r="X1078">
        <f t="shared" si="356"/>
        <v>8.2191780821917804E-2</v>
      </c>
      <c r="Y1078">
        <f t="shared" si="357"/>
        <v>8.2191780821917804E-2</v>
      </c>
      <c r="Z1078">
        <f t="shared" si="358"/>
        <v>8.2191780821917804E-2</v>
      </c>
      <c r="AA1078">
        <f t="shared" si="359"/>
        <v>8.2191780821917804E-2</v>
      </c>
      <c r="AB1078">
        <f t="shared" si="360"/>
        <v>8.2191780821917804E-2</v>
      </c>
      <c r="AC1078">
        <f t="shared" si="361"/>
        <v>8.2191780821917804E-2</v>
      </c>
      <c r="AD1078">
        <f t="shared" si="362"/>
        <v>8.2191780821917804E-2</v>
      </c>
      <c r="AE1078">
        <f t="shared" si="363"/>
        <v>8.2191780821917804E-2</v>
      </c>
      <c r="AF1078">
        <f t="shared" si="364"/>
        <v>8.2191780821917804E-2</v>
      </c>
      <c r="AG1078">
        <f t="shared" si="365"/>
        <v>8.2191780821917804E-2</v>
      </c>
      <c r="AH1078">
        <f t="shared" si="366"/>
        <v>0</v>
      </c>
      <c r="AI1078">
        <f t="shared" si="367"/>
        <v>0</v>
      </c>
      <c r="AJ1078" s="2" t="str">
        <f t="shared" si="377"/>
        <v>1046327</v>
      </c>
    </row>
    <row r="1079" spans="1:36" x14ac:dyDescent="0.25">
      <c r="A1079">
        <v>11</v>
      </c>
      <c r="B1079" s="1">
        <v>46327</v>
      </c>
      <c r="C1079" s="1">
        <f t="shared" si="368"/>
        <v>46661</v>
      </c>
      <c r="D1079" s="1">
        <f t="shared" si="369"/>
        <v>46341</v>
      </c>
      <c r="E1079" s="1">
        <f t="shared" si="370"/>
        <v>46661</v>
      </c>
      <c r="F1079" s="1">
        <f t="shared" si="371"/>
        <v>46692</v>
      </c>
      <c r="G1079" s="1">
        <f t="shared" si="372"/>
        <v>46706</v>
      </c>
      <c r="H1079">
        <f t="shared" si="373"/>
        <v>365</v>
      </c>
      <c r="I1079">
        <f t="shared" si="374"/>
        <v>31</v>
      </c>
      <c r="J1079">
        <f t="shared" si="375"/>
        <v>8.4931506849315067E-2</v>
      </c>
      <c r="K1079">
        <f>IFERROR($J1079/IF($A1079&lt;COUNTIFS($K$1:K$1,"&lt;&gt;"),0,SUMIFS($J:$J,$B:$B,$B1079,$A:$A,"&gt;="&amp;COUNTIFS($K$1:K$1,"&lt;&gt;"))),0)</f>
        <v>8.8825214899713484E-2</v>
      </c>
      <c r="L1079">
        <f>IFERROR($J1079/IF($A1079&lt;COUNTIFS($K$1:L$1,"&lt;&gt;"),0,SUMIFS($J:$J,$B:$B,$B1079,$A:$A,"&gt;="&amp;COUNTIFS($K$1:L$1,"&lt;&gt;"))),0)</f>
        <v>9.7484276729559768E-2</v>
      </c>
      <c r="M1079">
        <f>IFERROR($J1079/IF($A1079&lt;COUNTIFS($K$1:M$1,"&lt;&gt;"),0,SUMIFS($J:$J,$B:$B,$B1079,$A:$A,"&gt;="&amp;COUNTIFS($K$1:M$1,"&lt;&gt;"))),0)</f>
        <v>0.10801393728222998</v>
      </c>
      <c r="N1079">
        <f>IFERROR($J1079/IF($A1079&lt;COUNTIFS($K$1:N$1,"&lt;&gt;"),0,SUMIFS($J:$J,$B:$B,$B1079,$A:$A,"&gt;="&amp;COUNTIFS($K$1:N$1,"&lt;&gt;"))),0)</f>
        <v>0.11969111969111972</v>
      </c>
      <c r="O1079">
        <f>IFERROR($J1079/IF($A1079&lt;COUNTIFS($K$1:O$1,"&lt;&gt;"),0,SUMIFS($J:$J,$B:$B,$B1079,$A:$A,"&gt;="&amp;COUNTIFS($K$1:O$1,"&lt;&gt;"))),0)</f>
        <v>0.13596491228070179</v>
      </c>
      <c r="P1079">
        <f>IFERROR($J1079/IF($A1079&lt;COUNTIFS($K$1:P$1,"&lt;&gt;"),0,SUMIFS($J:$J,$B:$B,$B1079,$A:$A,"&gt;="&amp;COUNTIFS($K$1:P$1,"&lt;&gt;"))),0)</f>
        <v>0.1565656565656566</v>
      </c>
      <c r="Q1079">
        <f>IFERROR($J1079/IF($A1079&lt;COUNTIFS($K$1:Q$1,"&lt;&gt;"),0,SUMIFS($J:$J,$B:$B,$B1079,$A:$A,"&gt;="&amp;COUNTIFS($K$1:Q$1,"&lt;&gt;"))),0)</f>
        <v>0.18562874251497008</v>
      </c>
      <c r="R1079">
        <f>IFERROR($J1079/IF($A1079&lt;COUNTIFS($K$1:R$1,"&lt;&gt;"),0,SUMIFS($J:$J,$B:$B,$B1079,$A:$A,"&gt;="&amp;COUNTIFS($K$1:R$1,"&lt;&gt;"))),0)</f>
        <v>0.22627737226277375</v>
      </c>
      <c r="S1079">
        <f>IFERROR($J1079/IF($A1079&lt;COUNTIFS($K$1:S$1,"&lt;&gt;"),0,SUMIFS($J:$J,$B:$B,$B1079,$A:$A,"&gt;="&amp;COUNTIFS($K$1:S$1,"&lt;&gt;"))),0)</f>
        <v>0.29245283018867929</v>
      </c>
      <c r="T1079">
        <f>IFERROR($J1079/IF($A1079&lt;COUNTIFS($K$1:T$1,"&lt;&gt;"),0,SUMIFS($J:$J,$B:$B,$B1079,$A:$A,"&gt;="&amp;COUNTIFS($K$1:T$1,"&lt;&gt;"))),0)</f>
        <v>0.41333333333333333</v>
      </c>
      <c r="U1079">
        <f>IFERROR($J1079/IF($A1079&lt;COUNTIFS($K$1:U$1,"&lt;&gt;"),0,SUMIFS($J:$J,$B:$B,$B1079,$A:$A,"&gt;="&amp;COUNTIFS($K$1:U$1,"&lt;&gt;"))),0)</f>
        <v>0.68888888888888888</v>
      </c>
      <c r="V1079">
        <f>IFERROR($J1079/IF($A1079&lt;COUNTIFS($K$1:V$1,"&lt;&gt;"),0,SUMIFS($J:$J,$B:$B,$B1079,$A:$A,"&gt;="&amp;COUNTIFS($K$1:V$1,"&lt;&gt;"))),0)</f>
        <v>0</v>
      </c>
      <c r="W1079">
        <f t="shared" si="376"/>
        <v>8.4931506849315067E-2</v>
      </c>
      <c r="X1079">
        <f t="shared" si="356"/>
        <v>8.4931506849315067E-2</v>
      </c>
      <c r="Y1079">
        <f t="shared" si="357"/>
        <v>8.4931506849315067E-2</v>
      </c>
      <c r="Z1079">
        <f t="shared" si="358"/>
        <v>8.4931506849315067E-2</v>
      </c>
      <c r="AA1079">
        <f t="shared" si="359"/>
        <v>8.4931506849315067E-2</v>
      </c>
      <c r="AB1079">
        <f t="shared" si="360"/>
        <v>8.4931506849315067E-2</v>
      </c>
      <c r="AC1079">
        <f t="shared" si="361"/>
        <v>8.4931506849315067E-2</v>
      </c>
      <c r="AD1079">
        <f t="shared" si="362"/>
        <v>8.4931506849315067E-2</v>
      </c>
      <c r="AE1079">
        <f t="shared" si="363"/>
        <v>8.4931506849315067E-2</v>
      </c>
      <c r="AF1079">
        <f t="shared" si="364"/>
        <v>8.4931506849315067E-2</v>
      </c>
      <c r="AG1079">
        <f t="shared" si="365"/>
        <v>8.4931506849315067E-2</v>
      </c>
      <c r="AH1079">
        <f t="shared" si="366"/>
        <v>8.4931506849315067E-2</v>
      </c>
      <c r="AI1079">
        <f t="shared" si="367"/>
        <v>0</v>
      </c>
      <c r="AJ1079" s="2" t="str">
        <f t="shared" si="377"/>
        <v>1146327</v>
      </c>
    </row>
    <row r="1080" spans="1:36" x14ac:dyDescent="0.25">
      <c r="A1080">
        <v>12</v>
      </c>
      <c r="B1080" s="1">
        <v>46327</v>
      </c>
      <c r="C1080" s="1">
        <f t="shared" si="368"/>
        <v>46692</v>
      </c>
      <c r="D1080" s="1">
        <f t="shared" si="369"/>
        <v>46341</v>
      </c>
      <c r="E1080" s="1">
        <f t="shared" si="370"/>
        <v>46692</v>
      </c>
      <c r="F1080" s="1">
        <f t="shared" si="371"/>
        <v>46706</v>
      </c>
      <c r="G1080" s="1">
        <f t="shared" si="372"/>
        <v>46706</v>
      </c>
      <c r="H1080">
        <f t="shared" si="373"/>
        <v>365</v>
      </c>
      <c r="I1080">
        <f t="shared" si="374"/>
        <v>14</v>
      </c>
      <c r="J1080">
        <f t="shared" si="375"/>
        <v>3.8356164383561646E-2</v>
      </c>
      <c r="K1080">
        <f>IFERROR($J1080/IF($A1080&lt;COUNTIFS($K$1:K$1,"&lt;&gt;"),0,SUMIFS($J:$J,$B:$B,$B1080,$A:$A,"&gt;="&amp;COUNTIFS($K$1:K$1,"&lt;&gt;"))),0)</f>
        <v>4.0114613180515769E-2</v>
      </c>
      <c r="L1080">
        <f>IFERROR($J1080/IF($A1080&lt;COUNTIFS($K$1:L$1,"&lt;&gt;"),0,SUMIFS($J:$J,$B:$B,$B1080,$A:$A,"&gt;="&amp;COUNTIFS($K$1:L$1,"&lt;&gt;"))),0)</f>
        <v>4.4025157232704414E-2</v>
      </c>
      <c r="M1080">
        <f>IFERROR($J1080/IF($A1080&lt;COUNTIFS($K$1:M$1,"&lt;&gt;"),0,SUMIFS($J:$J,$B:$B,$B1080,$A:$A,"&gt;="&amp;COUNTIFS($K$1:M$1,"&lt;&gt;"))),0)</f>
        <v>4.8780487804878057E-2</v>
      </c>
      <c r="N1080">
        <f>IFERROR($J1080/IF($A1080&lt;COUNTIFS($K$1:N$1,"&lt;&gt;"),0,SUMIFS($J:$J,$B:$B,$B1080,$A:$A,"&gt;="&amp;COUNTIFS($K$1:N$1,"&lt;&gt;"))),0)</f>
        <v>5.4054054054054071E-2</v>
      </c>
      <c r="O1080">
        <f>IFERROR($J1080/IF($A1080&lt;COUNTIFS($K$1:O$1,"&lt;&gt;"),0,SUMIFS($J:$J,$B:$B,$B1080,$A:$A,"&gt;="&amp;COUNTIFS($K$1:O$1,"&lt;&gt;"))),0)</f>
        <v>6.1403508771929842E-2</v>
      </c>
      <c r="P1080">
        <f>IFERROR($J1080/IF($A1080&lt;COUNTIFS($K$1:P$1,"&lt;&gt;"),0,SUMIFS($J:$J,$B:$B,$B1080,$A:$A,"&gt;="&amp;COUNTIFS($K$1:P$1,"&lt;&gt;"))),0)</f>
        <v>7.0707070707070732E-2</v>
      </c>
      <c r="Q1080">
        <f>IFERROR($J1080/IF($A1080&lt;COUNTIFS($K$1:Q$1,"&lt;&gt;"),0,SUMIFS($J:$J,$B:$B,$B1080,$A:$A,"&gt;="&amp;COUNTIFS($K$1:Q$1,"&lt;&gt;"))),0)</f>
        <v>8.3832335329341326E-2</v>
      </c>
      <c r="R1080">
        <f>IFERROR($J1080/IF($A1080&lt;COUNTIFS($K$1:R$1,"&lt;&gt;"),0,SUMIFS($J:$J,$B:$B,$B1080,$A:$A,"&gt;="&amp;COUNTIFS($K$1:R$1,"&lt;&gt;"))),0)</f>
        <v>0.10218978102189782</v>
      </c>
      <c r="S1080">
        <f>IFERROR($J1080/IF($A1080&lt;COUNTIFS($K$1:S$1,"&lt;&gt;"),0,SUMIFS($J:$J,$B:$B,$B1080,$A:$A,"&gt;="&amp;COUNTIFS($K$1:S$1,"&lt;&gt;"))),0)</f>
        <v>0.13207547169811323</v>
      </c>
      <c r="T1080">
        <f>IFERROR($J1080/IF($A1080&lt;COUNTIFS($K$1:T$1,"&lt;&gt;"),0,SUMIFS($J:$J,$B:$B,$B1080,$A:$A,"&gt;="&amp;COUNTIFS($K$1:T$1,"&lt;&gt;"))),0)</f>
        <v>0.18666666666666668</v>
      </c>
      <c r="U1080">
        <f>IFERROR($J1080/IF($A1080&lt;COUNTIFS($K$1:U$1,"&lt;&gt;"),0,SUMIFS($J:$J,$B:$B,$B1080,$A:$A,"&gt;="&amp;COUNTIFS($K$1:U$1,"&lt;&gt;"))),0)</f>
        <v>0.31111111111111117</v>
      </c>
      <c r="V1080">
        <f>IFERROR($J1080/IF($A1080&lt;COUNTIFS($K$1:V$1,"&lt;&gt;"),0,SUMIFS($J:$J,$B:$B,$B1080,$A:$A,"&gt;="&amp;COUNTIFS($K$1:V$1,"&lt;&gt;"))),0)</f>
        <v>1</v>
      </c>
      <c r="W1080">
        <f t="shared" si="376"/>
        <v>3.8356164383561646E-2</v>
      </c>
      <c r="X1080">
        <f t="shared" si="356"/>
        <v>3.8356164383561646E-2</v>
      </c>
      <c r="Y1080">
        <f t="shared" si="357"/>
        <v>3.8356164383561646E-2</v>
      </c>
      <c r="Z1080">
        <f t="shared" si="358"/>
        <v>3.8356164383561646E-2</v>
      </c>
      <c r="AA1080">
        <f t="shared" si="359"/>
        <v>3.8356164383561646E-2</v>
      </c>
      <c r="AB1080">
        <f t="shared" si="360"/>
        <v>3.8356164383561646E-2</v>
      </c>
      <c r="AC1080">
        <f t="shared" si="361"/>
        <v>3.8356164383561646E-2</v>
      </c>
      <c r="AD1080">
        <f t="shared" si="362"/>
        <v>3.8356164383561646E-2</v>
      </c>
      <c r="AE1080">
        <f t="shared" si="363"/>
        <v>3.8356164383561646E-2</v>
      </c>
      <c r="AF1080">
        <f t="shared" si="364"/>
        <v>3.8356164383561646E-2</v>
      </c>
      <c r="AG1080">
        <f t="shared" si="365"/>
        <v>3.8356164383561646E-2</v>
      </c>
      <c r="AH1080">
        <f t="shared" si="366"/>
        <v>3.8356164383561646E-2</v>
      </c>
      <c r="AI1080">
        <f t="shared" si="367"/>
        <v>3.8356164383561646E-2</v>
      </c>
      <c r="AJ1080" s="2" t="str">
        <f t="shared" si="377"/>
        <v>1246327</v>
      </c>
    </row>
    <row r="1081" spans="1:36" x14ac:dyDescent="0.25">
      <c r="A1081">
        <v>0</v>
      </c>
      <c r="B1081" s="1">
        <v>46357</v>
      </c>
      <c r="C1081" s="1">
        <f t="shared" si="368"/>
        <v>46357</v>
      </c>
      <c r="D1081" s="1">
        <f t="shared" si="369"/>
        <v>46371</v>
      </c>
      <c r="E1081" s="1">
        <f t="shared" si="370"/>
        <v>46371</v>
      </c>
      <c r="F1081" s="1">
        <f t="shared" si="371"/>
        <v>46388</v>
      </c>
      <c r="G1081" s="1">
        <f t="shared" si="372"/>
        <v>46736</v>
      </c>
      <c r="H1081">
        <f t="shared" si="373"/>
        <v>365</v>
      </c>
      <c r="I1081">
        <f t="shared" si="374"/>
        <v>17</v>
      </c>
      <c r="J1081">
        <f t="shared" si="375"/>
        <v>4.6575342465753428E-2</v>
      </c>
      <c r="K1081">
        <f>IFERROR($J1081/IF($A1081&lt;COUNTIFS($K$1:K$1,"&lt;&gt;"),0,SUMIFS($J:$J,$B:$B,$B1081,$A:$A,"&gt;="&amp;COUNTIFS($K$1:K$1,"&lt;&gt;"))),0)</f>
        <v>0</v>
      </c>
      <c r="L1081">
        <f>IFERROR($J1081/IF($A1081&lt;COUNTIFS($K$1:L$1,"&lt;&gt;"),0,SUMIFS($J:$J,$B:$B,$B1081,$A:$A,"&gt;="&amp;COUNTIFS($K$1:L$1,"&lt;&gt;"))),0)</f>
        <v>0</v>
      </c>
      <c r="M1081">
        <f>IFERROR($J1081/IF($A1081&lt;COUNTIFS($K$1:M$1,"&lt;&gt;"),0,SUMIFS($J:$J,$B:$B,$B1081,$A:$A,"&gt;="&amp;COUNTIFS($K$1:M$1,"&lt;&gt;"))),0)</f>
        <v>0</v>
      </c>
      <c r="N1081">
        <f>IFERROR($J1081/IF($A1081&lt;COUNTIFS($K$1:N$1,"&lt;&gt;"),0,SUMIFS($J:$J,$B:$B,$B1081,$A:$A,"&gt;="&amp;COUNTIFS($K$1:N$1,"&lt;&gt;"))),0)</f>
        <v>0</v>
      </c>
      <c r="O1081">
        <f>IFERROR($J1081/IF($A1081&lt;COUNTIFS($K$1:O$1,"&lt;&gt;"),0,SUMIFS($J:$J,$B:$B,$B1081,$A:$A,"&gt;="&amp;COUNTIFS($K$1:O$1,"&lt;&gt;"))),0)</f>
        <v>0</v>
      </c>
      <c r="P1081">
        <f>IFERROR($J1081/IF($A1081&lt;COUNTIFS($K$1:P$1,"&lt;&gt;"),0,SUMIFS($J:$J,$B:$B,$B1081,$A:$A,"&gt;="&amp;COUNTIFS($K$1:P$1,"&lt;&gt;"))),0)</f>
        <v>0</v>
      </c>
      <c r="Q1081">
        <f>IFERROR($J1081/IF($A1081&lt;COUNTIFS($K$1:Q$1,"&lt;&gt;"),0,SUMIFS($J:$J,$B:$B,$B1081,$A:$A,"&gt;="&amp;COUNTIFS($K$1:Q$1,"&lt;&gt;"))),0)</f>
        <v>0</v>
      </c>
      <c r="R1081">
        <f>IFERROR($J1081/IF($A1081&lt;COUNTIFS($K$1:R$1,"&lt;&gt;"),0,SUMIFS($J:$J,$B:$B,$B1081,$A:$A,"&gt;="&amp;COUNTIFS($K$1:R$1,"&lt;&gt;"))),0)</f>
        <v>0</v>
      </c>
      <c r="S1081">
        <f>IFERROR($J1081/IF($A1081&lt;COUNTIFS($K$1:S$1,"&lt;&gt;"),0,SUMIFS($J:$J,$B:$B,$B1081,$A:$A,"&gt;="&amp;COUNTIFS($K$1:S$1,"&lt;&gt;"))),0)</f>
        <v>0</v>
      </c>
      <c r="T1081">
        <f>IFERROR($J1081/IF($A1081&lt;COUNTIFS($K$1:T$1,"&lt;&gt;"),0,SUMIFS($J:$J,$B:$B,$B1081,$A:$A,"&gt;="&amp;COUNTIFS($K$1:T$1,"&lt;&gt;"))),0)</f>
        <v>0</v>
      </c>
      <c r="U1081">
        <f>IFERROR($J1081/IF($A1081&lt;COUNTIFS($K$1:U$1,"&lt;&gt;"),0,SUMIFS($J:$J,$B:$B,$B1081,$A:$A,"&gt;="&amp;COUNTIFS($K$1:U$1,"&lt;&gt;"))),0)</f>
        <v>0</v>
      </c>
      <c r="V1081">
        <f>IFERROR($J1081/IF($A1081&lt;COUNTIFS($K$1:V$1,"&lt;&gt;"),0,SUMIFS($J:$J,$B:$B,$B1081,$A:$A,"&gt;="&amp;COUNTIFS($K$1:V$1,"&lt;&gt;"))),0)</f>
        <v>0</v>
      </c>
      <c r="W1081">
        <f t="shared" si="376"/>
        <v>4.6575342465753428E-2</v>
      </c>
      <c r="X1081">
        <f t="shared" si="356"/>
        <v>0</v>
      </c>
      <c r="Y1081">
        <f t="shared" si="357"/>
        <v>0</v>
      </c>
      <c r="Z1081">
        <f t="shared" si="358"/>
        <v>0</v>
      </c>
      <c r="AA1081">
        <f t="shared" si="359"/>
        <v>0</v>
      </c>
      <c r="AB1081">
        <f t="shared" si="360"/>
        <v>0</v>
      </c>
      <c r="AC1081">
        <f t="shared" si="361"/>
        <v>0</v>
      </c>
      <c r="AD1081">
        <f t="shared" si="362"/>
        <v>0</v>
      </c>
      <c r="AE1081">
        <f t="shared" si="363"/>
        <v>0</v>
      </c>
      <c r="AF1081">
        <f t="shared" si="364"/>
        <v>0</v>
      </c>
      <c r="AG1081">
        <f t="shared" si="365"/>
        <v>0</v>
      </c>
      <c r="AH1081">
        <f t="shared" si="366"/>
        <v>0</v>
      </c>
      <c r="AI1081">
        <f t="shared" si="367"/>
        <v>0</v>
      </c>
      <c r="AJ1081" s="2" t="str">
        <f t="shared" si="377"/>
        <v>046357</v>
      </c>
    </row>
    <row r="1082" spans="1:36" x14ac:dyDescent="0.25">
      <c r="A1082">
        <v>1</v>
      </c>
      <c r="B1082" s="1">
        <v>46357</v>
      </c>
      <c r="C1082" s="1">
        <f t="shared" si="368"/>
        <v>46388</v>
      </c>
      <c r="D1082" s="1">
        <f t="shared" si="369"/>
        <v>46371</v>
      </c>
      <c r="E1082" s="1">
        <f t="shared" si="370"/>
        <v>46388</v>
      </c>
      <c r="F1082" s="1">
        <f t="shared" si="371"/>
        <v>46419</v>
      </c>
      <c r="G1082" s="1">
        <f t="shared" si="372"/>
        <v>46736</v>
      </c>
      <c r="H1082">
        <f t="shared" si="373"/>
        <v>365</v>
      </c>
      <c r="I1082">
        <f t="shared" si="374"/>
        <v>31</v>
      </c>
      <c r="J1082">
        <f t="shared" si="375"/>
        <v>8.4931506849315067E-2</v>
      </c>
      <c r="K1082">
        <f>IFERROR($J1082/IF($A1082&lt;COUNTIFS($K$1:K$1,"&lt;&gt;"),0,SUMIFS($J:$J,$B:$B,$B1082,$A:$A,"&gt;="&amp;COUNTIFS($K$1:K$1,"&lt;&gt;"))),0)</f>
        <v>8.9080459770114959E-2</v>
      </c>
      <c r="L1082">
        <f>IFERROR($J1082/IF($A1082&lt;COUNTIFS($K$1:L$1,"&lt;&gt;"),0,SUMIFS($J:$J,$B:$B,$B1082,$A:$A,"&gt;="&amp;COUNTIFS($K$1:L$1,"&lt;&gt;"))),0)</f>
        <v>0</v>
      </c>
      <c r="M1082">
        <f>IFERROR($J1082/IF($A1082&lt;COUNTIFS($K$1:M$1,"&lt;&gt;"),0,SUMIFS($J:$J,$B:$B,$B1082,$A:$A,"&gt;="&amp;COUNTIFS($K$1:M$1,"&lt;&gt;"))),0)</f>
        <v>0</v>
      </c>
      <c r="N1082">
        <f>IFERROR($J1082/IF($A1082&lt;COUNTIFS($K$1:N$1,"&lt;&gt;"),0,SUMIFS($J:$J,$B:$B,$B1082,$A:$A,"&gt;="&amp;COUNTIFS($K$1:N$1,"&lt;&gt;"))),0)</f>
        <v>0</v>
      </c>
      <c r="O1082">
        <f>IFERROR($J1082/IF($A1082&lt;COUNTIFS($K$1:O$1,"&lt;&gt;"),0,SUMIFS($J:$J,$B:$B,$B1082,$A:$A,"&gt;="&amp;COUNTIFS($K$1:O$1,"&lt;&gt;"))),0)</f>
        <v>0</v>
      </c>
      <c r="P1082">
        <f>IFERROR($J1082/IF($A1082&lt;COUNTIFS($K$1:P$1,"&lt;&gt;"),0,SUMIFS($J:$J,$B:$B,$B1082,$A:$A,"&gt;="&amp;COUNTIFS($K$1:P$1,"&lt;&gt;"))),0)</f>
        <v>0</v>
      </c>
      <c r="Q1082">
        <f>IFERROR($J1082/IF($A1082&lt;COUNTIFS($K$1:Q$1,"&lt;&gt;"),0,SUMIFS($J:$J,$B:$B,$B1082,$A:$A,"&gt;="&amp;COUNTIFS($K$1:Q$1,"&lt;&gt;"))),0)</f>
        <v>0</v>
      </c>
      <c r="R1082">
        <f>IFERROR($J1082/IF($A1082&lt;COUNTIFS($K$1:R$1,"&lt;&gt;"),0,SUMIFS($J:$J,$B:$B,$B1082,$A:$A,"&gt;="&amp;COUNTIFS($K$1:R$1,"&lt;&gt;"))),0)</f>
        <v>0</v>
      </c>
      <c r="S1082">
        <f>IFERROR($J1082/IF($A1082&lt;COUNTIFS($K$1:S$1,"&lt;&gt;"),0,SUMIFS($J:$J,$B:$B,$B1082,$A:$A,"&gt;="&amp;COUNTIFS($K$1:S$1,"&lt;&gt;"))),0)</f>
        <v>0</v>
      </c>
      <c r="T1082">
        <f>IFERROR($J1082/IF($A1082&lt;COUNTIFS($K$1:T$1,"&lt;&gt;"),0,SUMIFS($J:$J,$B:$B,$B1082,$A:$A,"&gt;="&amp;COUNTIFS($K$1:T$1,"&lt;&gt;"))),0)</f>
        <v>0</v>
      </c>
      <c r="U1082">
        <f>IFERROR($J1082/IF($A1082&lt;COUNTIFS($K$1:U$1,"&lt;&gt;"),0,SUMIFS($J:$J,$B:$B,$B1082,$A:$A,"&gt;="&amp;COUNTIFS($K$1:U$1,"&lt;&gt;"))),0)</f>
        <v>0</v>
      </c>
      <c r="V1082">
        <f>IFERROR($J1082/IF($A1082&lt;COUNTIFS($K$1:V$1,"&lt;&gt;"),0,SUMIFS($J:$J,$B:$B,$B1082,$A:$A,"&gt;="&amp;COUNTIFS($K$1:V$1,"&lt;&gt;"))),0)</f>
        <v>0</v>
      </c>
      <c r="W1082">
        <f t="shared" si="376"/>
        <v>8.4931506849315067E-2</v>
      </c>
      <c r="X1082">
        <f t="shared" si="356"/>
        <v>8.4931506849315067E-2</v>
      </c>
      <c r="Y1082">
        <f t="shared" si="357"/>
        <v>0</v>
      </c>
      <c r="Z1082">
        <f t="shared" si="358"/>
        <v>0</v>
      </c>
      <c r="AA1082">
        <f t="shared" si="359"/>
        <v>0</v>
      </c>
      <c r="AB1082">
        <f t="shared" si="360"/>
        <v>0</v>
      </c>
      <c r="AC1082">
        <f t="shared" si="361"/>
        <v>0</v>
      </c>
      <c r="AD1082">
        <f t="shared" si="362"/>
        <v>0</v>
      </c>
      <c r="AE1082">
        <f t="shared" si="363"/>
        <v>0</v>
      </c>
      <c r="AF1082">
        <f t="shared" si="364"/>
        <v>0</v>
      </c>
      <c r="AG1082">
        <f t="shared" si="365"/>
        <v>0</v>
      </c>
      <c r="AH1082">
        <f t="shared" si="366"/>
        <v>0</v>
      </c>
      <c r="AI1082">
        <f t="shared" si="367"/>
        <v>0</v>
      </c>
      <c r="AJ1082" s="2" t="str">
        <f t="shared" si="377"/>
        <v>146357</v>
      </c>
    </row>
    <row r="1083" spans="1:36" x14ac:dyDescent="0.25">
      <c r="A1083">
        <v>2</v>
      </c>
      <c r="B1083" s="1">
        <v>46357</v>
      </c>
      <c r="C1083" s="1">
        <f t="shared" si="368"/>
        <v>46419</v>
      </c>
      <c r="D1083" s="1">
        <f t="shared" si="369"/>
        <v>46371</v>
      </c>
      <c r="E1083" s="1">
        <f t="shared" si="370"/>
        <v>46419</v>
      </c>
      <c r="F1083" s="1">
        <f t="shared" si="371"/>
        <v>46447</v>
      </c>
      <c r="G1083" s="1">
        <f t="shared" si="372"/>
        <v>46736</v>
      </c>
      <c r="H1083">
        <f t="shared" si="373"/>
        <v>365</v>
      </c>
      <c r="I1083">
        <f t="shared" si="374"/>
        <v>28</v>
      </c>
      <c r="J1083">
        <f t="shared" si="375"/>
        <v>7.6712328767123292E-2</v>
      </c>
      <c r="K1083">
        <f>IFERROR($J1083/IF($A1083&lt;COUNTIFS($K$1:K$1,"&lt;&gt;"),0,SUMIFS($J:$J,$B:$B,$B1083,$A:$A,"&gt;="&amp;COUNTIFS($K$1:K$1,"&lt;&gt;"))),0)</f>
        <v>8.0459770114942541E-2</v>
      </c>
      <c r="L1083">
        <f>IFERROR($J1083/IF($A1083&lt;COUNTIFS($K$1:L$1,"&lt;&gt;"),0,SUMIFS($J:$J,$B:$B,$B1083,$A:$A,"&gt;="&amp;COUNTIFS($K$1:L$1,"&lt;&gt;"))),0)</f>
        <v>8.83280757097792E-2</v>
      </c>
      <c r="M1083">
        <f>IFERROR($J1083/IF($A1083&lt;COUNTIFS($K$1:M$1,"&lt;&gt;"),0,SUMIFS($J:$J,$B:$B,$B1083,$A:$A,"&gt;="&amp;COUNTIFS($K$1:M$1,"&lt;&gt;"))),0)</f>
        <v>0</v>
      </c>
      <c r="N1083">
        <f>IFERROR($J1083/IF($A1083&lt;COUNTIFS($K$1:N$1,"&lt;&gt;"),0,SUMIFS($J:$J,$B:$B,$B1083,$A:$A,"&gt;="&amp;COUNTIFS($K$1:N$1,"&lt;&gt;"))),0)</f>
        <v>0</v>
      </c>
      <c r="O1083">
        <f>IFERROR($J1083/IF($A1083&lt;COUNTIFS($K$1:O$1,"&lt;&gt;"),0,SUMIFS($J:$J,$B:$B,$B1083,$A:$A,"&gt;="&amp;COUNTIFS($K$1:O$1,"&lt;&gt;"))),0)</f>
        <v>0</v>
      </c>
      <c r="P1083">
        <f>IFERROR($J1083/IF($A1083&lt;COUNTIFS($K$1:P$1,"&lt;&gt;"),0,SUMIFS($J:$J,$B:$B,$B1083,$A:$A,"&gt;="&amp;COUNTIFS($K$1:P$1,"&lt;&gt;"))),0)</f>
        <v>0</v>
      </c>
      <c r="Q1083">
        <f>IFERROR($J1083/IF($A1083&lt;COUNTIFS($K$1:Q$1,"&lt;&gt;"),0,SUMIFS($J:$J,$B:$B,$B1083,$A:$A,"&gt;="&amp;COUNTIFS($K$1:Q$1,"&lt;&gt;"))),0)</f>
        <v>0</v>
      </c>
      <c r="R1083">
        <f>IFERROR($J1083/IF($A1083&lt;COUNTIFS($K$1:R$1,"&lt;&gt;"),0,SUMIFS($J:$J,$B:$B,$B1083,$A:$A,"&gt;="&amp;COUNTIFS($K$1:R$1,"&lt;&gt;"))),0)</f>
        <v>0</v>
      </c>
      <c r="S1083">
        <f>IFERROR($J1083/IF($A1083&lt;COUNTIFS($K$1:S$1,"&lt;&gt;"),0,SUMIFS($J:$J,$B:$B,$B1083,$A:$A,"&gt;="&amp;COUNTIFS($K$1:S$1,"&lt;&gt;"))),0)</f>
        <v>0</v>
      </c>
      <c r="T1083">
        <f>IFERROR($J1083/IF($A1083&lt;COUNTIFS($K$1:T$1,"&lt;&gt;"),0,SUMIFS($J:$J,$B:$B,$B1083,$A:$A,"&gt;="&amp;COUNTIFS($K$1:T$1,"&lt;&gt;"))),0)</f>
        <v>0</v>
      </c>
      <c r="U1083">
        <f>IFERROR($J1083/IF($A1083&lt;COUNTIFS($K$1:U$1,"&lt;&gt;"),0,SUMIFS($J:$J,$B:$B,$B1083,$A:$A,"&gt;="&amp;COUNTIFS($K$1:U$1,"&lt;&gt;"))),0)</f>
        <v>0</v>
      </c>
      <c r="V1083">
        <f>IFERROR($J1083/IF($A1083&lt;COUNTIFS($K$1:V$1,"&lt;&gt;"),0,SUMIFS($J:$J,$B:$B,$B1083,$A:$A,"&gt;="&amp;COUNTIFS($K$1:V$1,"&lt;&gt;"))),0)</f>
        <v>0</v>
      </c>
      <c r="W1083">
        <f t="shared" si="376"/>
        <v>7.6712328767123292E-2</v>
      </c>
      <c r="X1083">
        <f t="shared" si="356"/>
        <v>7.6712328767123292E-2</v>
      </c>
      <c r="Y1083">
        <f t="shared" si="357"/>
        <v>7.6712328767123292E-2</v>
      </c>
      <c r="Z1083">
        <f t="shared" si="358"/>
        <v>0</v>
      </c>
      <c r="AA1083">
        <f t="shared" si="359"/>
        <v>0</v>
      </c>
      <c r="AB1083">
        <f t="shared" si="360"/>
        <v>0</v>
      </c>
      <c r="AC1083">
        <f t="shared" si="361"/>
        <v>0</v>
      </c>
      <c r="AD1083">
        <f t="shared" si="362"/>
        <v>0</v>
      </c>
      <c r="AE1083">
        <f t="shared" si="363"/>
        <v>0</v>
      </c>
      <c r="AF1083">
        <f t="shared" si="364"/>
        <v>0</v>
      </c>
      <c r="AG1083">
        <f t="shared" si="365"/>
        <v>0</v>
      </c>
      <c r="AH1083">
        <f t="shared" si="366"/>
        <v>0</v>
      </c>
      <c r="AI1083">
        <f t="shared" si="367"/>
        <v>0</v>
      </c>
      <c r="AJ1083" s="2" t="str">
        <f t="shared" si="377"/>
        <v>246357</v>
      </c>
    </row>
    <row r="1084" spans="1:36" x14ac:dyDescent="0.25">
      <c r="A1084">
        <v>3</v>
      </c>
      <c r="B1084" s="1">
        <v>46357</v>
      </c>
      <c r="C1084" s="1">
        <f t="shared" si="368"/>
        <v>46447</v>
      </c>
      <c r="D1084" s="1">
        <f t="shared" si="369"/>
        <v>46371</v>
      </c>
      <c r="E1084" s="1">
        <f t="shared" si="370"/>
        <v>46447</v>
      </c>
      <c r="F1084" s="1">
        <f t="shared" si="371"/>
        <v>46478</v>
      </c>
      <c r="G1084" s="1">
        <f t="shared" si="372"/>
        <v>46736</v>
      </c>
      <c r="H1084">
        <f t="shared" si="373"/>
        <v>365</v>
      </c>
      <c r="I1084">
        <f t="shared" si="374"/>
        <v>31</v>
      </c>
      <c r="J1084">
        <f t="shared" si="375"/>
        <v>8.4931506849315067E-2</v>
      </c>
      <c r="K1084">
        <f>IFERROR($J1084/IF($A1084&lt;COUNTIFS($K$1:K$1,"&lt;&gt;"),0,SUMIFS($J:$J,$B:$B,$B1084,$A:$A,"&gt;="&amp;COUNTIFS($K$1:K$1,"&lt;&gt;"))),0)</f>
        <v>8.9080459770114959E-2</v>
      </c>
      <c r="L1084">
        <f>IFERROR($J1084/IF($A1084&lt;COUNTIFS($K$1:L$1,"&lt;&gt;"),0,SUMIFS($J:$J,$B:$B,$B1084,$A:$A,"&gt;="&amp;COUNTIFS($K$1:L$1,"&lt;&gt;"))),0)</f>
        <v>9.7791798107255537E-2</v>
      </c>
      <c r="M1084">
        <f>IFERROR($J1084/IF($A1084&lt;COUNTIFS($K$1:M$1,"&lt;&gt;"),0,SUMIFS($J:$J,$B:$B,$B1084,$A:$A,"&gt;="&amp;COUNTIFS($K$1:M$1,"&lt;&gt;"))),0)</f>
        <v>0.10726643598615919</v>
      </c>
      <c r="N1084">
        <f>IFERROR($J1084/IF($A1084&lt;COUNTIFS($K$1:N$1,"&lt;&gt;"),0,SUMIFS($J:$J,$B:$B,$B1084,$A:$A,"&gt;="&amp;COUNTIFS($K$1:N$1,"&lt;&gt;"))),0)</f>
        <v>0</v>
      </c>
      <c r="O1084">
        <f>IFERROR($J1084/IF($A1084&lt;COUNTIFS($K$1:O$1,"&lt;&gt;"),0,SUMIFS($J:$J,$B:$B,$B1084,$A:$A,"&gt;="&amp;COUNTIFS($K$1:O$1,"&lt;&gt;"))),0)</f>
        <v>0</v>
      </c>
      <c r="P1084">
        <f>IFERROR($J1084/IF($A1084&lt;COUNTIFS($K$1:P$1,"&lt;&gt;"),0,SUMIFS($J:$J,$B:$B,$B1084,$A:$A,"&gt;="&amp;COUNTIFS($K$1:P$1,"&lt;&gt;"))),0)</f>
        <v>0</v>
      </c>
      <c r="Q1084">
        <f>IFERROR($J1084/IF($A1084&lt;COUNTIFS($K$1:Q$1,"&lt;&gt;"),0,SUMIFS($J:$J,$B:$B,$B1084,$A:$A,"&gt;="&amp;COUNTIFS($K$1:Q$1,"&lt;&gt;"))),0)</f>
        <v>0</v>
      </c>
      <c r="R1084">
        <f>IFERROR($J1084/IF($A1084&lt;COUNTIFS($K$1:R$1,"&lt;&gt;"),0,SUMIFS($J:$J,$B:$B,$B1084,$A:$A,"&gt;="&amp;COUNTIFS($K$1:R$1,"&lt;&gt;"))),0)</f>
        <v>0</v>
      </c>
      <c r="S1084">
        <f>IFERROR($J1084/IF($A1084&lt;COUNTIFS($K$1:S$1,"&lt;&gt;"),0,SUMIFS($J:$J,$B:$B,$B1084,$A:$A,"&gt;="&amp;COUNTIFS($K$1:S$1,"&lt;&gt;"))),0)</f>
        <v>0</v>
      </c>
      <c r="T1084">
        <f>IFERROR($J1084/IF($A1084&lt;COUNTIFS($K$1:T$1,"&lt;&gt;"),0,SUMIFS($J:$J,$B:$B,$B1084,$A:$A,"&gt;="&amp;COUNTIFS($K$1:T$1,"&lt;&gt;"))),0)</f>
        <v>0</v>
      </c>
      <c r="U1084">
        <f>IFERROR($J1084/IF($A1084&lt;COUNTIFS($K$1:U$1,"&lt;&gt;"),0,SUMIFS($J:$J,$B:$B,$B1084,$A:$A,"&gt;="&amp;COUNTIFS($K$1:U$1,"&lt;&gt;"))),0)</f>
        <v>0</v>
      </c>
      <c r="V1084">
        <f>IFERROR($J1084/IF($A1084&lt;COUNTIFS($K$1:V$1,"&lt;&gt;"),0,SUMIFS($J:$J,$B:$B,$B1084,$A:$A,"&gt;="&amp;COUNTIFS($K$1:V$1,"&lt;&gt;"))),0)</f>
        <v>0</v>
      </c>
      <c r="W1084">
        <f t="shared" si="376"/>
        <v>8.4931506849315067E-2</v>
      </c>
      <c r="X1084">
        <f t="shared" si="356"/>
        <v>8.4931506849315067E-2</v>
      </c>
      <c r="Y1084">
        <f t="shared" si="357"/>
        <v>8.4931506849315067E-2</v>
      </c>
      <c r="Z1084">
        <f t="shared" si="358"/>
        <v>8.4931506849315067E-2</v>
      </c>
      <c r="AA1084">
        <f t="shared" si="359"/>
        <v>0</v>
      </c>
      <c r="AB1084">
        <f t="shared" si="360"/>
        <v>0</v>
      </c>
      <c r="AC1084">
        <f t="shared" si="361"/>
        <v>0</v>
      </c>
      <c r="AD1084">
        <f t="shared" si="362"/>
        <v>0</v>
      </c>
      <c r="AE1084">
        <f t="shared" si="363"/>
        <v>0</v>
      </c>
      <c r="AF1084">
        <f t="shared" si="364"/>
        <v>0</v>
      </c>
      <c r="AG1084">
        <f t="shared" si="365"/>
        <v>0</v>
      </c>
      <c r="AH1084">
        <f t="shared" si="366"/>
        <v>0</v>
      </c>
      <c r="AI1084">
        <f t="shared" si="367"/>
        <v>0</v>
      </c>
      <c r="AJ1084" s="2" t="str">
        <f t="shared" si="377"/>
        <v>346357</v>
      </c>
    </row>
    <row r="1085" spans="1:36" x14ac:dyDescent="0.25">
      <c r="A1085">
        <v>4</v>
      </c>
      <c r="B1085" s="1">
        <v>46357</v>
      </c>
      <c r="C1085" s="1">
        <f t="shared" si="368"/>
        <v>46478</v>
      </c>
      <c r="D1085" s="1">
        <f t="shared" si="369"/>
        <v>46371</v>
      </c>
      <c r="E1085" s="1">
        <f t="shared" si="370"/>
        <v>46478</v>
      </c>
      <c r="F1085" s="1">
        <f t="shared" si="371"/>
        <v>46508</v>
      </c>
      <c r="G1085" s="1">
        <f t="shared" si="372"/>
        <v>46736</v>
      </c>
      <c r="H1085">
        <f t="shared" si="373"/>
        <v>365</v>
      </c>
      <c r="I1085">
        <f t="shared" si="374"/>
        <v>30</v>
      </c>
      <c r="J1085">
        <f t="shared" si="375"/>
        <v>8.2191780821917804E-2</v>
      </c>
      <c r="K1085">
        <f>IFERROR($J1085/IF($A1085&lt;COUNTIFS($K$1:K$1,"&lt;&gt;"),0,SUMIFS($J:$J,$B:$B,$B1085,$A:$A,"&gt;="&amp;COUNTIFS($K$1:K$1,"&lt;&gt;"))),0)</f>
        <v>8.6206896551724144E-2</v>
      </c>
      <c r="L1085">
        <f>IFERROR($J1085/IF($A1085&lt;COUNTIFS($K$1:L$1,"&lt;&gt;"),0,SUMIFS($J:$J,$B:$B,$B1085,$A:$A,"&gt;="&amp;COUNTIFS($K$1:L$1,"&lt;&gt;"))),0)</f>
        <v>9.4637223974763415E-2</v>
      </c>
      <c r="M1085">
        <f>IFERROR($J1085/IF($A1085&lt;COUNTIFS($K$1:M$1,"&lt;&gt;"),0,SUMIFS($J:$J,$B:$B,$B1085,$A:$A,"&gt;="&amp;COUNTIFS($K$1:M$1,"&lt;&gt;"))),0)</f>
        <v>0.10380622837370243</v>
      </c>
      <c r="N1085">
        <f>IFERROR($J1085/IF($A1085&lt;COUNTIFS($K$1:N$1,"&lt;&gt;"),0,SUMIFS($J:$J,$B:$B,$B1085,$A:$A,"&gt;="&amp;COUNTIFS($K$1:N$1,"&lt;&gt;"))),0)</f>
        <v>0.11627906976744187</v>
      </c>
      <c r="O1085">
        <f>IFERROR($J1085/IF($A1085&lt;COUNTIFS($K$1:O$1,"&lt;&gt;"),0,SUMIFS($J:$J,$B:$B,$B1085,$A:$A,"&gt;="&amp;COUNTIFS($K$1:O$1,"&lt;&gt;"))),0)</f>
        <v>0</v>
      </c>
      <c r="P1085">
        <f>IFERROR($J1085/IF($A1085&lt;COUNTIFS($K$1:P$1,"&lt;&gt;"),0,SUMIFS($J:$J,$B:$B,$B1085,$A:$A,"&gt;="&amp;COUNTIFS($K$1:P$1,"&lt;&gt;"))),0)</f>
        <v>0</v>
      </c>
      <c r="Q1085">
        <f>IFERROR($J1085/IF($A1085&lt;COUNTIFS($K$1:Q$1,"&lt;&gt;"),0,SUMIFS($J:$J,$B:$B,$B1085,$A:$A,"&gt;="&amp;COUNTIFS($K$1:Q$1,"&lt;&gt;"))),0)</f>
        <v>0</v>
      </c>
      <c r="R1085">
        <f>IFERROR($J1085/IF($A1085&lt;COUNTIFS($K$1:R$1,"&lt;&gt;"),0,SUMIFS($J:$J,$B:$B,$B1085,$A:$A,"&gt;="&amp;COUNTIFS($K$1:R$1,"&lt;&gt;"))),0)</f>
        <v>0</v>
      </c>
      <c r="S1085">
        <f>IFERROR($J1085/IF($A1085&lt;COUNTIFS($K$1:S$1,"&lt;&gt;"),0,SUMIFS($J:$J,$B:$B,$B1085,$A:$A,"&gt;="&amp;COUNTIFS($K$1:S$1,"&lt;&gt;"))),0)</f>
        <v>0</v>
      </c>
      <c r="T1085">
        <f>IFERROR($J1085/IF($A1085&lt;COUNTIFS($K$1:T$1,"&lt;&gt;"),0,SUMIFS($J:$J,$B:$B,$B1085,$A:$A,"&gt;="&amp;COUNTIFS($K$1:T$1,"&lt;&gt;"))),0)</f>
        <v>0</v>
      </c>
      <c r="U1085">
        <f>IFERROR($J1085/IF($A1085&lt;COUNTIFS($K$1:U$1,"&lt;&gt;"),0,SUMIFS($J:$J,$B:$B,$B1085,$A:$A,"&gt;="&amp;COUNTIFS($K$1:U$1,"&lt;&gt;"))),0)</f>
        <v>0</v>
      </c>
      <c r="V1085">
        <f>IFERROR($J1085/IF($A1085&lt;COUNTIFS($K$1:V$1,"&lt;&gt;"),0,SUMIFS($J:$J,$B:$B,$B1085,$A:$A,"&gt;="&amp;COUNTIFS($K$1:V$1,"&lt;&gt;"))),0)</f>
        <v>0</v>
      </c>
      <c r="W1085">
        <f t="shared" si="376"/>
        <v>8.2191780821917804E-2</v>
      </c>
      <c r="X1085">
        <f t="shared" si="356"/>
        <v>8.2191780821917804E-2</v>
      </c>
      <c r="Y1085">
        <f t="shared" si="357"/>
        <v>8.2191780821917804E-2</v>
      </c>
      <c r="Z1085">
        <f t="shared" si="358"/>
        <v>8.2191780821917804E-2</v>
      </c>
      <c r="AA1085">
        <f t="shared" si="359"/>
        <v>8.2191780821917804E-2</v>
      </c>
      <c r="AB1085">
        <f t="shared" si="360"/>
        <v>0</v>
      </c>
      <c r="AC1085">
        <f t="shared" si="361"/>
        <v>0</v>
      </c>
      <c r="AD1085">
        <f t="shared" si="362"/>
        <v>0</v>
      </c>
      <c r="AE1085">
        <f t="shared" si="363"/>
        <v>0</v>
      </c>
      <c r="AF1085">
        <f t="shared" si="364"/>
        <v>0</v>
      </c>
      <c r="AG1085">
        <f t="shared" si="365"/>
        <v>0</v>
      </c>
      <c r="AH1085">
        <f t="shared" si="366"/>
        <v>0</v>
      </c>
      <c r="AI1085">
        <f t="shared" si="367"/>
        <v>0</v>
      </c>
      <c r="AJ1085" s="2" t="str">
        <f t="shared" si="377"/>
        <v>446357</v>
      </c>
    </row>
    <row r="1086" spans="1:36" x14ac:dyDescent="0.25">
      <c r="A1086">
        <v>5</v>
      </c>
      <c r="B1086" s="1">
        <v>46357</v>
      </c>
      <c r="C1086" s="1">
        <f t="shared" si="368"/>
        <v>46508</v>
      </c>
      <c r="D1086" s="1">
        <f t="shared" si="369"/>
        <v>46371</v>
      </c>
      <c r="E1086" s="1">
        <f t="shared" si="370"/>
        <v>46508</v>
      </c>
      <c r="F1086" s="1">
        <f t="shared" si="371"/>
        <v>46539</v>
      </c>
      <c r="G1086" s="1">
        <f t="shared" si="372"/>
        <v>46736</v>
      </c>
      <c r="H1086">
        <f t="shared" si="373"/>
        <v>365</v>
      </c>
      <c r="I1086">
        <f t="shared" si="374"/>
        <v>31</v>
      </c>
      <c r="J1086">
        <f t="shared" si="375"/>
        <v>8.4931506849315067E-2</v>
      </c>
      <c r="K1086">
        <f>IFERROR($J1086/IF($A1086&lt;COUNTIFS($K$1:K$1,"&lt;&gt;"),0,SUMIFS($J:$J,$B:$B,$B1086,$A:$A,"&gt;="&amp;COUNTIFS($K$1:K$1,"&lt;&gt;"))),0)</f>
        <v>8.9080459770114959E-2</v>
      </c>
      <c r="L1086">
        <f>IFERROR($J1086/IF($A1086&lt;COUNTIFS($K$1:L$1,"&lt;&gt;"),0,SUMIFS($J:$J,$B:$B,$B1086,$A:$A,"&gt;="&amp;COUNTIFS($K$1:L$1,"&lt;&gt;"))),0)</f>
        <v>9.7791798107255537E-2</v>
      </c>
      <c r="M1086">
        <f>IFERROR($J1086/IF($A1086&lt;COUNTIFS($K$1:M$1,"&lt;&gt;"),0,SUMIFS($J:$J,$B:$B,$B1086,$A:$A,"&gt;="&amp;COUNTIFS($K$1:M$1,"&lt;&gt;"))),0)</f>
        <v>0.10726643598615919</v>
      </c>
      <c r="N1086">
        <f>IFERROR($J1086/IF($A1086&lt;COUNTIFS($K$1:N$1,"&lt;&gt;"),0,SUMIFS($J:$J,$B:$B,$B1086,$A:$A,"&gt;="&amp;COUNTIFS($K$1:N$1,"&lt;&gt;"))),0)</f>
        <v>0.12015503875968994</v>
      </c>
      <c r="O1086">
        <f>IFERROR($J1086/IF($A1086&lt;COUNTIFS($K$1:O$1,"&lt;&gt;"),0,SUMIFS($J:$J,$B:$B,$B1086,$A:$A,"&gt;="&amp;COUNTIFS($K$1:O$1,"&lt;&gt;"))),0)</f>
        <v>0.13596491228070179</v>
      </c>
      <c r="P1086">
        <f>IFERROR($J1086/IF($A1086&lt;COUNTIFS($K$1:P$1,"&lt;&gt;"),0,SUMIFS($J:$J,$B:$B,$B1086,$A:$A,"&gt;="&amp;COUNTIFS($K$1:P$1,"&lt;&gt;"))),0)</f>
        <v>0</v>
      </c>
      <c r="Q1086">
        <f>IFERROR($J1086/IF($A1086&lt;COUNTIFS($K$1:Q$1,"&lt;&gt;"),0,SUMIFS($J:$J,$B:$B,$B1086,$A:$A,"&gt;="&amp;COUNTIFS($K$1:Q$1,"&lt;&gt;"))),0)</f>
        <v>0</v>
      </c>
      <c r="R1086">
        <f>IFERROR($J1086/IF($A1086&lt;COUNTIFS($K$1:R$1,"&lt;&gt;"),0,SUMIFS($J:$J,$B:$B,$B1086,$A:$A,"&gt;="&amp;COUNTIFS($K$1:R$1,"&lt;&gt;"))),0)</f>
        <v>0</v>
      </c>
      <c r="S1086">
        <f>IFERROR($J1086/IF($A1086&lt;COUNTIFS($K$1:S$1,"&lt;&gt;"),0,SUMIFS($J:$J,$B:$B,$B1086,$A:$A,"&gt;="&amp;COUNTIFS($K$1:S$1,"&lt;&gt;"))),0)</f>
        <v>0</v>
      </c>
      <c r="T1086">
        <f>IFERROR($J1086/IF($A1086&lt;COUNTIFS($K$1:T$1,"&lt;&gt;"),0,SUMIFS($J:$J,$B:$B,$B1086,$A:$A,"&gt;="&amp;COUNTIFS($K$1:T$1,"&lt;&gt;"))),0)</f>
        <v>0</v>
      </c>
      <c r="U1086">
        <f>IFERROR($J1086/IF($A1086&lt;COUNTIFS($K$1:U$1,"&lt;&gt;"),0,SUMIFS($J:$J,$B:$B,$B1086,$A:$A,"&gt;="&amp;COUNTIFS($K$1:U$1,"&lt;&gt;"))),0)</f>
        <v>0</v>
      </c>
      <c r="V1086">
        <f>IFERROR($J1086/IF($A1086&lt;COUNTIFS($K$1:V$1,"&lt;&gt;"),0,SUMIFS($J:$J,$B:$B,$B1086,$A:$A,"&gt;="&amp;COUNTIFS($K$1:V$1,"&lt;&gt;"))),0)</f>
        <v>0</v>
      </c>
      <c r="W1086">
        <f t="shared" si="376"/>
        <v>8.4931506849315067E-2</v>
      </c>
      <c r="X1086">
        <f t="shared" si="356"/>
        <v>8.4931506849315067E-2</v>
      </c>
      <c r="Y1086">
        <f t="shared" si="357"/>
        <v>8.4931506849315067E-2</v>
      </c>
      <c r="Z1086">
        <f t="shared" si="358"/>
        <v>8.4931506849315067E-2</v>
      </c>
      <c r="AA1086">
        <f t="shared" si="359"/>
        <v>8.4931506849315067E-2</v>
      </c>
      <c r="AB1086">
        <f t="shared" si="360"/>
        <v>8.4931506849315067E-2</v>
      </c>
      <c r="AC1086">
        <f t="shared" si="361"/>
        <v>0</v>
      </c>
      <c r="AD1086">
        <f t="shared" si="362"/>
        <v>0</v>
      </c>
      <c r="AE1086">
        <f t="shared" si="363"/>
        <v>0</v>
      </c>
      <c r="AF1086">
        <f t="shared" si="364"/>
        <v>0</v>
      </c>
      <c r="AG1086">
        <f t="shared" si="365"/>
        <v>0</v>
      </c>
      <c r="AH1086">
        <f t="shared" si="366"/>
        <v>0</v>
      </c>
      <c r="AI1086">
        <f t="shared" si="367"/>
        <v>0</v>
      </c>
      <c r="AJ1086" s="2" t="str">
        <f t="shared" si="377"/>
        <v>546357</v>
      </c>
    </row>
    <row r="1087" spans="1:36" x14ac:dyDescent="0.25">
      <c r="A1087">
        <v>6</v>
      </c>
      <c r="B1087" s="1">
        <v>46357</v>
      </c>
      <c r="C1087" s="1">
        <f t="shared" si="368"/>
        <v>46539</v>
      </c>
      <c r="D1087" s="1">
        <f t="shared" si="369"/>
        <v>46371</v>
      </c>
      <c r="E1087" s="1">
        <f t="shared" si="370"/>
        <v>46539</v>
      </c>
      <c r="F1087" s="1">
        <f t="shared" si="371"/>
        <v>46569</v>
      </c>
      <c r="G1087" s="1">
        <f t="shared" si="372"/>
        <v>46736</v>
      </c>
      <c r="H1087">
        <f t="shared" si="373"/>
        <v>365</v>
      </c>
      <c r="I1087">
        <f t="shared" si="374"/>
        <v>30</v>
      </c>
      <c r="J1087">
        <f t="shared" si="375"/>
        <v>8.2191780821917804E-2</v>
      </c>
      <c r="K1087">
        <f>IFERROR($J1087/IF($A1087&lt;COUNTIFS($K$1:K$1,"&lt;&gt;"),0,SUMIFS($J:$J,$B:$B,$B1087,$A:$A,"&gt;="&amp;COUNTIFS($K$1:K$1,"&lt;&gt;"))),0)</f>
        <v>8.6206896551724144E-2</v>
      </c>
      <c r="L1087">
        <f>IFERROR($J1087/IF($A1087&lt;COUNTIFS($K$1:L$1,"&lt;&gt;"),0,SUMIFS($J:$J,$B:$B,$B1087,$A:$A,"&gt;="&amp;COUNTIFS($K$1:L$1,"&lt;&gt;"))),0)</f>
        <v>9.4637223974763415E-2</v>
      </c>
      <c r="M1087">
        <f>IFERROR($J1087/IF($A1087&lt;COUNTIFS($K$1:M$1,"&lt;&gt;"),0,SUMIFS($J:$J,$B:$B,$B1087,$A:$A,"&gt;="&amp;COUNTIFS($K$1:M$1,"&lt;&gt;"))),0)</f>
        <v>0.10380622837370243</v>
      </c>
      <c r="N1087">
        <f>IFERROR($J1087/IF($A1087&lt;COUNTIFS($K$1:N$1,"&lt;&gt;"),0,SUMIFS($J:$J,$B:$B,$B1087,$A:$A,"&gt;="&amp;COUNTIFS($K$1:N$1,"&lt;&gt;"))),0)</f>
        <v>0.11627906976744187</v>
      </c>
      <c r="O1087">
        <f>IFERROR($J1087/IF($A1087&lt;COUNTIFS($K$1:O$1,"&lt;&gt;"),0,SUMIFS($J:$J,$B:$B,$B1087,$A:$A,"&gt;="&amp;COUNTIFS($K$1:O$1,"&lt;&gt;"))),0)</f>
        <v>0.13157894736842107</v>
      </c>
      <c r="P1087">
        <f>IFERROR($J1087/IF($A1087&lt;COUNTIFS($K$1:P$1,"&lt;&gt;"),0,SUMIFS($J:$J,$B:$B,$B1087,$A:$A,"&gt;="&amp;COUNTIFS($K$1:P$1,"&lt;&gt;"))),0)</f>
        <v>0.15228426395939088</v>
      </c>
      <c r="Q1087">
        <f>IFERROR($J1087/IF($A1087&lt;COUNTIFS($K$1:Q$1,"&lt;&gt;"),0,SUMIFS($J:$J,$B:$B,$B1087,$A:$A,"&gt;="&amp;COUNTIFS($K$1:Q$1,"&lt;&gt;"))),0)</f>
        <v>0</v>
      </c>
      <c r="R1087">
        <f>IFERROR($J1087/IF($A1087&lt;COUNTIFS($K$1:R$1,"&lt;&gt;"),0,SUMIFS($J:$J,$B:$B,$B1087,$A:$A,"&gt;="&amp;COUNTIFS($K$1:R$1,"&lt;&gt;"))),0)</f>
        <v>0</v>
      </c>
      <c r="S1087">
        <f>IFERROR($J1087/IF($A1087&lt;COUNTIFS($K$1:S$1,"&lt;&gt;"),0,SUMIFS($J:$J,$B:$B,$B1087,$A:$A,"&gt;="&amp;COUNTIFS($K$1:S$1,"&lt;&gt;"))),0)</f>
        <v>0</v>
      </c>
      <c r="T1087">
        <f>IFERROR($J1087/IF($A1087&lt;COUNTIFS($K$1:T$1,"&lt;&gt;"),0,SUMIFS($J:$J,$B:$B,$B1087,$A:$A,"&gt;="&amp;COUNTIFS($K$1:T$1,"&lt;&gt;"))),0)</f>
        <v>0</v>
      </c>
      <c r="U1087">
        <f>IFERROR($J1087/IF($A1087&lt;COUNTIFS($K$1:U$1,"&lt;&gt;"),0,SUMIFS($J:$J,$B:$B,$B1087,$A:$A,"&gt;="&amp;COUNTIFS($K$1:U$1,"&lt;&gt;"))),0)</f>
        <v>0</v>
      </c>
      <c r="V1087">
        <f>IFERROR($J1087/IF($A1087&lt;COUNTIFS($K$1:V$1,"&lt;&gt;"),0,SUMIFS($J:$J,$B:$B,$B1087,$A:$A,"&gt;="&amp;COUNTIFS($K$1:V$1,"&lt;&gt;"))),0)</f>
        <v>0</v>
      </c>
      <c r="W1087">
        <f t="shared" si="376"/>
        <v>8.2191780821917804E-2</v>
      </c>
      <c r="X1087">
        <f t="shared" si="356"/>
        <v>8.2191780821917804E-2</v>
      </c>
      <c r="Y1087">
        <f t="shared" si="357"/>
        <v>8.2191780821917804E-2</v>
      </c>
      <c r="Z1087">
        <f t="shared" si="358"/>
        <v>8.2191780821917804E-2</v>
      </c>
      <c r="AA1087">
        <f t="shared" si="359"/>
        <v>8.2191780821917804E-2</v>
      </c>
      <c r="AB1087">
        <f t="shared" si="360"/>
        <v>8.2191780821917804E-2</v>
      </c>
      <c r="AC1087">
        <f t="shared" si="361"/>
        <v>8.2191780821917804E-2</v>
      </c>
      <c r="AD1087">
        <f t="shared" si="362"/>
        <v>0</v>
      </c>
      <c r="AE1087">
        <f t="shared" si="363"/>
        <v>0</v>
      </c>
      <c r="AF1087">
        <f t="shared" si="364"/>
        <v>0</v>
      </c>
      <c r="AG1087">
        <f t="shared" si="365"/>
        <v>0</v>
      </c>
      <c r="AH1087">
        <f t="shared" si="366"/>
        <v>0</v>
      </c>
      <c r="AI1087">
        <f t="shared" si="367"/>
        <v>0</v>
      </c>
      <c r="AJ1087" s="2" t="str">
        <f t="shared" si="377"/>
        <v>646357</v>
      </c>
    </row>
    <row r="1088" spans="1:36" x14ac:dyDescent="0.25">
      <c r="A1088">
        <v>7</v>
      </c>
      <c r="B1088" s="1">
        <v>46357</v>
      </c>
      <c r="C1088" s="1">
        <f t="shared" si="368"/>
        <v>46569</v>
      </c>
      <c r="D1088" s="1">
        <f t="shared" si="369"/>
        <v>46371</v>
      </c>
      <c r="E1088" s="1">
        <f t="shared" si="370"/>
        <v>46569</v>
      </c>
      <c r="F1088" s="1">
        <f t="shared" si="371"/>
        <v>46600</v>
      </c>
      <c r="G1088" s="1">
        <f t="shared" si="372"/>
        <v>46736</v>
      </c>
      <c r="H1088">
        <f t="shared" si="373"/>
        <v>365</v>
      </c>
      <c r="I1088">
        <f t="shared" si="374"/>
        <v>31</v>
      </c>
      <c r="J1088">
        <f t="shared" si="375"/>
        <v>8.4931506849315067E-2</v>
      </c>
      <c r="K1088">
        <f>IFERROR($J1088/IF($A1088&lt;COUNTIFS($K$1:K$1,"&lt;&gt;"),0,SUMIFS($J:$J,$B:$B,$B1088,$A:$A,"&gt;="&amp;COUNTIFS($K$1:K$1,"&lt;&gt;"))),0)</f>
        <v>8.9080459770114959E-2</v>
      </c>
      <c r="L1088">
        <f>IFERROR($J1088/IF($A1088&lt;COUNTIFS($K$1:L$1,"&lt;&gt;"),0,SUMIFS($J:$J,$B:$B,$B1088,$A:$A,"&gt;="&amp;COUNTIFS($K$1:L$1,"&lt;&gt;"))),0)</f>
        <v>9.7791798107255537E-2</v>
      </c>
      <c r="M1088">
        <f>IFERROR($J1088/IF($A1088&lt;COUNTIFS($K$1:M$1,"&lt;&gt;"),0,SUMIFS($J:$J,$B:$B,$B1088,$A:$A,"&gt;="&amp;COUNTIFS($K$1:M$1,"&lt;&gt;"))),0)</f>
        <v>0.10726643598615919</v>
      </c>
      <c r="N1088">
        <f>IFERROR($J1088/IF($A1088&lt;COUNTIFS($K$1:N$1,"&lt;&gt;"),0,SUMIFS($J:$J,$B:$B,$B1088,$A:$A,"&gt;="&amp;COUNTIFS($K$1:N$1,"&lt;&gt;"))),0)</f>
        <v>0.12015503875968994</v>
      </c>
      <c r="O1088">
        <f>IFERROR($J1088/IF($A1088&lt;COUNTIFS($K$1:O$1,"&lt;&gt;"),0,SUMIFS($J:$J,$B:$B,$B1088,$A:$A,"&gt;="&amp;COUNTIFS($K$1:O$1,"&lt;&gt;"))),0)</f>
        <v>0.13596491228070179</v>
      </c>
      <c r="P1088">
        <f>IFERROR($J1088/IF($A1088&lt;COUNTIFS($K$1:P$1,"&lt;&gt;"),0,SUMIFS($J:$J,$B:$B,$B1088,$A:$A,"&gt;="&amp;COUNTIFS($K$1:P$1,"&lt;&gt;"))),0)</f>
        <v>0.15736040609137059</v>
      </c>
      <c r="Q1088">
        <f>IFERROR($J1088/IF($A1088&lt;COUNTIFS($K$1:Q$1,"&lt;&gt;"),0,SUMIFS($J:$J,$B:$B,$B1088,$A:$A,"&gt;="&amp;COUNTIFS($K$1:Q$1,"&lt;&gt;"))),0)</f>
        <v>0.18562874251497008</v>
      </c>
      <c r="R1088">
        <f>IFERROR($J1088/IF($A1088&lt;COUNTIFS($K$1:R$1,"&lt;&gt;"),0,SUMIFS($J:$J,$B:$B,$B1088,$A:$A,"&gt;="&amp;COUNTIFS($K$1:R$1,"&lt;&gt;"))),0)</f>
        <v>0</v>
      </c>
      <c r="S1088">
        <f>IFERROR($J1088/IF($A1088&lt;COUNTIFS($K$1:S$1,"&lt;&gt;"),0,SUMIFS($J:$J,$B:$B,$B1088,$A:$A,"&gt;="&amp;COUNTIFS($K$1:S$1,"&lt;&gt;"))),0)</f>
        <v>0</v>
      </c>
      <c r="T1088">
        <f>IFERROR($J1088/IF($A1088&lt;COUNTIFS($K$1:T$1,"&lt;&gt;"),0,SUMIFS($J:$J,$B:$B,$B1088,$A:$A,"&gt;="&amp;COUNTIFS($K$1:T$1,"&lt;&gt;"))),0)</f>
        <v>0</v>
      </c>
      <c r="U1088">
        <f>IFERROR($J1088/IF($A1088&lt;COUNTIFS($K$1:U$1,"&lt;&gt;"),0,SUMIFS($J:$J,$B:$B,$B1088,$A:$A,"&gt;="&amp;COUNTIFS($K$1:U$1,"&lt;&gt;"))),0)</f>
        <v>0</v>
      </c>
      <c r="V1088">
        <f>IFERROR($J1088/IF($A1088&lt;COUNTIFS($K$1:V$1,"&lt;&gt;"),0,SUMIFS($J:$J,$B:$B,$B1088,$A:$A,"&gt;="&amp;COUNTIFS($K$1:V$1,"&lt;&gt;"))),0)</f>
        <v>0</v>
      </c>
      <c r="W1088">
        <f t="shared" si="376"/>
        <v>8.4931506849315067E-2</v>
      </c>
      <c r="X1088">
        <f t="shared" si="356"/>
        <v>8.4931506849315067E-2</v>
      </c>
      <c r="Y1088">
        <f t="shared" si="357"/>
        <v>8.4931506849315067E-2</v>
      </c>
      <c r="Z1088">
        <f t="shared" si="358"/>
        <v>8.4931506849315067E-2</v>
      </c>
      <c r="AA1088">
        <f t="shared" si="359"/>
        <v>8.4931506849315067E-2</v>
      </c>
      <c r="AB1088">
        <f t="shared" si="360"/>
        <v>8.4931506849315067E-2</v>
      </c>
      <c r="AC1088">
        <f t="shared" si="361"/>
        <v>8.4931506849315067E-2</v>
      </c>
      <c r="AD1088">
        <f t="shared" si="362"/>
        <v>8.4931506849315067E-2</v>
      </c>
      <c r="AE1088">
        <f t="shared" si="363"/>
        <v>0</v>
      </c>
      <c r="AF1088">
        <f t="shared" si="364"/>
        <v>0</v>
      </c>
      <c r="AG1088">
        <f t="shared" si="365"/>
        <v>0</v>
      </c>
      <c r="AH1088">
        <f t="shared" si="366"/>
        <v>0</v>
      </c>
      <c r="AI1088">
        <f t="shared" si="367"/>
        <v>0</v>
      </c>
      <c r="AJ1088" s="2" t="str">
        <f t="shared" si="377"/>
        <v>746357</v>
      </c>
    </row>
    <row r="1089" spans="1:36" x14ac:dyDescent="0.25">
      <c r="A1089">
        <v>8</v>
      </c>
      <c r="B1089" s="1">
        <v>46357</v>
      </c>
      <c r="C1089" s="1">
        <f t="shared" si="368"/>
        <v>46600</v>
      </c>
      <c r="D1089" s="1">
        <f t="shared" si="369"/>
        <v>46371</v>
      </c>
      <c r="E1089" s="1">
        <f t="shared" si="370"/>
        <v>46600</v>
      </c>
      <c r="F1089" s="1">
        <f t="shared" si="371"/>
        <v>46631</v>
      </c>
      <c r="G1089" s="1">
        <f t="shared" si="372"/>
        <v>46736</v>
      </c>
      <c r="H1089">
        <f t="shared" si="373"/>
        <v>365</v>
      </c>
      <c r="I1089">
        <f t="shared" si="374"/>
        <v>31</v>
      </c>
      <c r="J1089">
        <f t="shared" si="375"/>
        <v>8.4931506849315067E-2</v>
      </c>
      <c r="K1089">
        <f>IFERROR($J1089/IF($A1089&lt;COUNTIFS($K$1:K$1,"&lt;&gt;"),0,SUMIFS($J:$J,$B:$B,$B1089,$A:$A,"&gt;="&amp;COUNTIFS($K$1:K$1,"&lt;&gt;"))),0)</f>
        <v>8.9080459770114959E-2</v>
      </c>
      <c r="L1089">
        <f>IFERROR($J1089/IF($A1089&lt;COUNTIFS($K$1:L$1,"&lt;&gt;"),0,SUMIFS($J:$J,$B:$B,$B1089,$A:$A,"&gt;="&amp;COUNTIFS($K$1:L$1,"&lt;&gt;"))),0)</f>
        <v>9.7791798107255537E-2</v>
      </c>
      <c r="M1089">
        <f>IFERROR($J1089/IF($A1089&lt;COUNTIFS($K$1:M$1,"&lt;&gt;"),0,SUMIFS($J:$J,$B:$B,$B1089,$A:$A,"&gt;="&amp;COUNTIFS($K$1:M$1,"&lt;&gt;"))),0)</f>
        <v>0.10726643598615919</v>
      </c>
      <c r="N1089">
        <f>IFERROR($J1089/IF($A1089&lt;COUNTIFS($K$1:N$1,"&lt;&gt;"),0,SUMIFS($J:$J,$B:$B,$B1089,$A:$A,"&gt;="&amp;COUNTIFS($K$1:N$1,"&lt;&gt;"))),0)</f>
        <v>0.12015503875968994</v>
      </c>
      <c r="O1089">
        <f>IFERROR($J1089/IF($A1089&lt;COUNTIFS($K$1:O$1,"&lt;&gt;"),0,SUMIFS($J:$J,$B:$B,$B1089,$A:$A,"&gt;="&amp;COUNTIFS($K$1:O$1,"&lt;&gt;"))),0)</f>
        <v>0.13596491228070179</v>
      </c>
      <c r="P1089">
        <f>IFERROR($J1089/IF($A1089&lt;COUNTIFS($K$1:P$1,"&lt;&gt;"),0,SUMIFS($J:$J,$B:$B,$B1089,$A:$A,"&gt;="&amp;COUNTIFS($K$1:P$1,"&lt;&gt;"))),0)</f>
        <v>0.15736040609137059</v>
      </c>
      <c r="Q1089">
        <f>IFERROR($J1089/IF($A1089&lt;COUNTIFS($K$1:Q$1,"&lt;&gt;"),0,SUMIFS($J:$J,$B:$B,$B1089,$A:$A,"&gt;="&amp;COUNTIFS($K$1:Q$1,"&lt;&gt;"))),0)</f>
        <v>0.18562874251497008</v>
      </c>
      <c r="R1089">
        <f>IFERROR($J1089/IF($A1089&lt;COUNTIFS($K$1:R$1,"&lt;&gt;"),0,SUMIFS($J:$J,$B:$B,$B1089,$A:$A,"&gt;="&amp;COUNTIFS($K$1:R$1,"&lt;&gt;"))),0)</f>
        <v>0.22794117647058826</v>
      </c>
      <c r="S1089">
        <f>IFERROR($J1089/IF($A1089&lt;COUNTIFS($K$1:S$1,"&lt;&gt;"),0,SUMIFS($J:$J,$B:$B,$B1089,$A:$A,"&gt;="&amp;COUNTIFS($K$1:S$1,"&lt;&gt;"))),0)</f>
        <v>0</v>
      </c>
      <c r="T1089">
        <f>IFERROR($J1089/IF($A1089&lt;COUNTIFS($K$1:T$1,"&lt;&gt;"),0,SUMIFS($J:$J,$B:$B,$B1089,$A:$A,"&gt;="&amp;COUNTIFS($K$1:T$1,"&lt;&gt;"))),0)</f>
        <v>0</v>
      </c>
      <c r="U1089">
        <f>IFERROR($J1089/IF($A1089&lt;COUNTIFS($K$1:U$1,"&lt;&gt;"),0,SUMIFS($J:$J,$B:$B,$B1089,$A:$A,"&gt;="&amp;COUNTIFS($K$1:U$1,"&lt;&gt;"))),0)</f>
        <v>0</v>
      </c>
      <c r="V1089">
        <f>IFERROR($J1089/IF($A1089&lt;COUNTIFS($K$1:V$1,"&lt;&gt;"),0,SUMIFS($J:$J,$B:$B,$B1089,$A:$A,"&gt;="&amp;COUNTIFS($K$1:V$1,"&lt;&gt;"))),0)</f>
        <v>0</v>
      </c>
      <c r="W1089">
        <f t="shared" si="376"/>
        <v>8.4931506849315067E-2</v>
      </c>
      <c r="X1089">
        <f t="shared" si="356"/>
        <v>8.4931506849315067E-2</v>
      </c>
      <c r="Y1089">
        <f t="shared" si="357"/>
        <v>8.4931506849315067E-2</v>
      </c>
      <c r="Z1089">
        <f t="shared" si="358"/>
        <v>8.4931506849315067E-2</v>
      </c>
      <c r="AA1089">
        <f t="shared" si="359"/>
        <v>8.4931506849315067E-2</v>
      </c>
      <c r="AB1089">
        <f t="shared" si="360"/>
        <v>8.4931506849315067E-2</v>
      </c>
      <c r="AC1089">
        <f t="shared" si="361"/>
        <v>8.4931506849315067E-2</v>
      </c>
      <c r="AD1089">
        <f t="shared" si="362"/>
        <v>8.4931506849315067E-2</v>
      </c>
      <c r="AE1089">
        <f t="shared" si="363"/>
        <v>8.4931506849315067E-2</v>
      </c>
      <c r="AF1089">
        <f t="shared" si="364"/>
        <v>0</v>
      </c>
      <c r="AG1089">
        <f t="shared" si="365"/>
        <v>0</v>
      </c>
      <c r="AH1089">
        <f t="shared" si="366"/>
        <v>0</v>
      </c>
      <c r="AI1089">
        <f t="shared" si="367"/>
        <v>0</v>
      </c>
      <c r="AJ1089" s="2" t="str">
        <f t="shared" si="377"/>
        <v>846357</v>
      </c>
    </row>
    <row r="1090" spans="1:36" x14ac:dyDescent="0.25">
      <c r="A1090">
        <v>9</v>
      </c>
      <c r="B1090" s="1">
        <v>46357</v>
      </c>
      <c r="C1090" s="1">
        <f t="shared" si="368"/>
        <v>46631</v>
      </c>
      <c r="D1090" s="1">
        <f t="shared" si="369"/>
        <v>46371</v>
      </c>
      <c r="E1090" s="1">
        <f t="shared" si="370"/>
        <v>46631</v>
      </c>
      <c r="F1090" s="1">
        <f t="shared" si="371"/>
        <v>46661</v>
      </c>
      <c r="G1090" s="1">
        <f t="shared" si="372"/>
        <v>46736</v>
      </c>
      <c r="H1090">
        <f t="shared" si="373"/>
        <v>365</v>
      </c>
      <c r="I1090">
        <f t="shared" si="374"/>
        <v>30</v>
      </c>
      <c r="J1090">
        <f t="shared" si="375"/>
        <v>8.2191780821917804E-2</v>
      </c>
      <c r="K1090">
        <f>IFERROR($J1090/IF($A1090&lt;COUNTIFS($K$1:K$1,"&lt;&gt;"),0,SUMIFS($J:$J,$B:$B,$B1090,$A:$A,"&gt;="&amp;COUNTIFS($K$1:K$1,"&lt;&gt;"))),0)</f>
        <v>8.6206896551724144E-2</v>
      </c>
      <c r="L1090">
        <f>IFERROR($J1090/IF($A1090&lt;COUNTIFS($K$1:L$1,"&lt;&gt;"),0,SUMIFS($J:$J,$B:$B,$B1090,$A:$A,"&gt;="&amp;COUNTIFS($K$1:L$1,"&lt;&gt;"))),0)</f>
        <v>9.4637223974763415E-2</v>
      </c>
      <c r="M1090">
        <f>IFERROR($J1090/IF($A1090&lt;COUNTIFS($K$1:M$1,"&lt;&gt;"),0,SUMIFS($J:$J,$B:$B,$B1090,$A:$A,"&gt;="&amp;COUNTIFS($K$1:M$1,"&lt;&gt;"))),0)</f>
        <v>0.10380622837370243</v>
      </c>
      <c r="N1090">
        <f>IFERROR($J1090/IF($A1090&lt;COUNTIFS($K$1:N$1,"&lt;&gt;"),0,SUMIFS($J:$J,$B:$B,$B1090,$A:$A,"&gt;="&amp;COUNTIFS($K$1:N$1,"&lt;&gt;"))),0)</f>
        <v>0.11627906976744187</v>
      </c>
      <c r="O1090">
        <f>IFERROR($J1090/IF($A1090&lt;COUNTIFS($K$1:O$1,"&lt;&gt;"),0,SUMIFS($J:$J,$B:$B,$B1090,$A:$A,"&gt;="&amp;COUNTIFS($K$1:O$1,"&lt;&gt;"))),0)</f>
        <v>0.13157894736842107</v>
      </c>
      <c r="P1090">
        <f>IFERROR($J1090/IF($A1090&lt;COUNTIFS($K$1:P$1,"&lt;&gt;"),0,SUMIFS($J:$J,$B:$B,$B1090,$A:$A,"&gt;="&amp;COUNTIFS($K$1:P$1,"&lt;&gt;"))),0)</f>
        <v>0.15228426395939088</v>
      </c>
      <c r="Q1090">
        <f>IFERROR($J1090/IF($A1090&lt;COUNTIFS($K$1:Q$1,"&lt;&gt;"),0,SUMIFS($J:$J,$B:$B,$B1090,$A:$A,"&gt;="&amp;COUNTIFS($K$1:Q$1,"&lt;&gt;"))),0)</f>
        <v>0.17964071856287425</v>
      </c>
      <c r="R1090">
        <f>IFERROR($J1090/IF($A1090&lt;COUNTIFS($K$1:R$1,"&lt;&gt;"),0,SUMIFS($J:$J,$B:$B,$B1090,$A:$A,"&gt;="&amp;COUNTIFS($K$1:R$1,"&lt;&gt;"))),0)</f>
        <v>0.22058823529411764</v>
      </c>
      <c r="S1090">
        <f>IFERROR($J1090/IF($A1090&lt;COUNTIFS($K$1:S$1,"&lt;&gt;"),0,SUMIFS($J:$J,$B:$B,$B1090,$A:$A,"&gt;="&amp;COUNTIFS($K$1:S$1,"&lt;&gt;"))),0)</f>
        <v>0.2857142857142857</v>
      </c>
      <c r="T1090">
        <f>IFERROR($J1090/IF($A1090&lt;COUNTIFS($K$1:T$1,"&lt;&gt;"),0,SUMIFS($J:$J,$B:$B,$B1090,$A:$A,"&gt;="&amp;COUNTIFS($K$1:T$1,"&lt;&gt;"))),0)</f>
        <v>0</v>
      </c>
      <c r="U1090">
        <f>IFERROR($J1090/IF($A1090&lt;COUNTIFS($K$1:U$1,"&lt;&gt;"),0,SUMIFS($J:$J,$B:$B,$B1090,$A:$A,"&gt;="&amp;COUNTIFS($K$1:U$1,"&lt;&gt;"))),0)</f>
        <v>0</v>
      </c>
      <c r="V1090">
        <f>IFERROR($J1090/IF($A1090&lt;COUNTIFS($K$1:V$1,"&lt;&gt;"),0,SUMIFS($J:$J,$B:$B,$B1090,$A:$A,"&gt;="&amp;COUNTIFS($K$1:V$1,"&lt;&gt;"))),0)</f>
        <v>0</v>
      </c>
      <c r="W1090">
        <f t="shared" si="376"/>
        <v>8.2191780821917804E-2</v>
      </c>
      <c r="X1090">
        <f t="shared" ref="X1090:X1153" si="378">IF(K1090=0,0,$J1090)</f>
        <v>8.2191780821917804E-2</v>
      </c>
      <c r="Y1090">
        <f t="shared" ref="Y1090:Y1153" si="379">IF(L1090=0,0,$J1090)</f>
        <v>8.2191780821917804E-2</v>
      </c>
      <c r="Z1090">
        <f t="shared" ref="Z1090:Z1153" si="380">IF(M1090=0,0,$J1090)</f>
        <v>8.2191780821917804E-2</v>
      </c>
      <c r="AA1090">
        <f t="shared" ref="AA1090:AA1153" si="381">IF(N1090=0,0,$J1090)</f>
        <v>8.2191780821917804E-2</v>
      </c>
      <c r="AB1090">
        <f t="shared" ref="AB1090:AB1153" si="382">IF(O1090=0,0,$J1090)</f>
        <v>8.2191780821917804E-2</v>
      </c>
      <c r="AC1090">
        <f t="shared" ref="AC1090:AC1153" si="383">IF(P1090=0,0,$J1090)</f>
        <v>8.2191780821917804E-2</v>
      </c>
      <c r="AD1090">
        <f t="shared" ref="AD1090:AD1153" si="384">IF(Q1090=0,0,$J1090)</f>
        <v>8.2191780821917804E-2</v>
      </c>
      <c r="AE1090">
        <f t="shared" ref="AE1090:AE1153" si="385">IF(R1090=0,0,$J1090)</f>
        <v>8.2191780821917804E-2</v>
      </c>
      <c r="AF1090">
        <f t="shared" ref="AF1090:AF1153" si="386">IF(S1090=0,0,$J1090)</f>
        <v>8.2191780821917804E-2</v>
      </c>
      <c r="AG1090">
        <f t="shared" ref="AG1090:AG1153" si="387">IF(T1090=0,0,$J1090)</f>
        <v>0</v>
      </c>
      <c r="AH1090">
        <f t="shared" ref="AH1090:AH1153" si="388">IF(U1090=0,0,$J1090)</f>
        <v>0</v>
      </c>
      <c r="AI1090">
        <f t="shared" ref="AI1090:AI1153" si="389">IF(V1090=0,0,$J1090)</f>
        <v>0</v>
      </c>
      <c r="AJ1090" s="2" t="str">
        <f t="shared" si="377"/>
        <v>946357</v>
      </c>
    </row>
    <row r="1091" spans="1:36" x14ac:dyDescent="0.25">
      <c r="A1091">
        <v>10</v>
      </c>
      <c r="B1091" s="1">
        <v>46357</v>
      </c>
      <c r="C1091" s="1">
        <f t="shared" ref="C1091:C1154" si="390">EDATE(B1091,A1091)</f>
        <v>46661</v>
      </c>
      <c r="D1091" s="1">
        <f t="shared" ref="D1091:D1154" si="391">B1091+14</f>
        <v>46371</v>
      </c>
      <c r="E1091" s="1">
        <f t="shared" ref="E1091:E1154" si="392">IF($A1091=0,C1091+14,C1091)</f>
        <v>46661</v>
      </c>
      <c r="F1091" s="1">
        <f t="shared" ref="F1091:F1154" si="393">IF(EDATE(C1091,1)&gt;G1091,G1091,EDATE(C1091,1))</f>
        <v>46692</v>
      </c>
      <c r="G1091" s="1">
        <f t="shared" ref="G1091:G1154" si="394">EDATE(D1091,12)</f>
        <v>46736</v>
      </c>
      <c r="H1091">
        <f t="shared" ref="H1091:H1154" si="395">G1091-D1091</f>
        <v>365</v>
      </c>
      <c r="I1091">
        <f t="shared" ref="I1091:I1154" si="396">F1091-E1091</f>
        <v>31</v>
      </c>
      <c r="J1091">
        <f t="shared" ref="J1091:J1154" si="397">I1091/H1091</f>
        <v>8.4931506849315067E-2</v>
      </c>
      <c r="K1091">
        <f>IFERROR($J1091/IF($A1091&lt;COUNTIFS($K$1:K$1,"&lt;&gt;"),0,SUMIFS($J:$J,$B:$B,$B1091,$A:$A,"&gt;="&amp;COUNTIFS($K$1:K$1,"&lt;&gt;"))),0)</f>
        <v>8.9080459770114959E-2</v>
      </c>
      <c r="L1091">
        <f>IFERROR($J1091/IF($A1091&lt;COUNTIFS($K$1:L$1,"&lt;&gt;"),0,SUMIFS($J:$J,$B:$B,$B1091,$A:$A,"&gt;="&amp;COUNTIFS($K$1:L$1,"&lt;&gt;"))),0)</f>
        <v>9.7791798107255537E-2</v>
      </c>
      <c r="M1091">
        <f>IFERROR($J1091/IF($A1091&lt;COUNTIFS($K$1:M$1,"&lt;&gt;"),0,SUMIFS($J:$J,$B:$B,$B1091,$A:$A,"&gt;="&amp;COUNTIFS($K$1:M$1,"&lt;&gt;"))),0)</f>
        <v>0.10726643598615919</v>
      </c>
      <c r="N1091">
        <f>IFERROR($J1091/IF($A1091&lt;COUNTIFS($K$1:N$1,"&lt;&gt;"),0,SUMIFS($J:$J,$B:$B,$B1091,$A:$A,"&gt;="&amp;COUNTIFS($K$1:N$1,"&lt;&gt;"))),0)</f>
        <v>0.12015503875968994</v>
      </c>
      <c r="O1091">
        <f>IFERROR($J1091/IF($A1091&lt;COUNTIFS($K$1:O$1,"&lt;&gt;"),0,SUMIFS($J:$J,$B:$B,$B1091,$A:$A,"&gt;="&amp;COUNTIFS($K$1:O$1,"&lt;&gt;"))),0)</f>
        <v>0.13596491228070179</v>
      </c>
      <c r="P1091">
        <f>IFERROR($J1091/IF($A1091&lt;COUNTIFS($K$1:P$1,"&lt;&gt;"),0,SUMIFS($J:$J,$B:$B,$B1091,$A:$A,"&gt;="&amp;COUNTIFS($K$1:P$1,"&lt;&gt;"))),0)</f>
        <v>0.15736040609137059</v>
      </c>
      <c r="Q1091">
        <f>IFERROR($J1091/IF($A1091&lt;COUNTIFS($K$1:Q$1,"&lt;&gt;"),0,SUMIFS($J:$J,$B:$B,$B1091,$A:$A,"&gt;="&amp;COUNTIFS($K$1:Q$1,"&lt;&gt;"))),0)</f>
        <v>0.18562874251497008</v>
      </c>
      <c r="R1091">
        <f>IFERROR($J1091/IF($A1091&lt;COUNTIFS($K$1:R$1,"&lt;&gt;"),0,SUMIFS($J:$J,$B:$B,$B1091,$A:$A,"&gt;="&amp;COUNTIFS($K$1:R$1,"&lt;&gt;"))),0)</f>
        <v>0.22794117647058826</v>
      </c>
      <c r="S1091">
        <f>IFERROR($J1091/IF($A1091&lt;COUNTIFS($K$1:S$1,"&lt;&gt;"),0,SUMIFS($J:$J,$B:$B,$B1091,$A:$A,"&gt;="&amp;COUNTIFS($K$1:S$1,"&lt;&gt;"))),0)</f>
        <v>0.29523809523809524</v>
      </c>
      <c r="T1091">
        <f>IFERROR($J1091/IF($A1091&lt;COUNTIFS($K$1:T$1,"&lt;&gt;"),0,SUMIFS($J:$J,$B:$B,$B1091,$A:$A,"&gt;="&amp;COUNTIFS($K$1:T$1,"&lt;&gt;"))),0)</f>
        <v>0.41333333333333333</v>
      </c>
      <c r="U1091">
        <f>IFERROR($J1091/IF($A1091&lt;COUNTIFS($K$1:U$1,"&lt;&gt;"),0,SUMIFS($J:$J,$B:$B,$B1091,$A:$A,"&gt;="&amp;COUNTIFS($K$1:U$1,"&lt;&gt;"))),0)</f>
        <v>0</v>
      </c>
      <c r="V1091">
        <f>IFERROR($J1091/IF($A1091&lt;COUNTIFS($K$1:V$1,"&lt;&gt;"),0,SUMIFS($J:$J,$B:$B,$B1091,$A:$A,"&gt;="&amp;COUNTIFS($K$1:V$1,"&lt;&gt;"))),0)</f>
        <v>0</v>
      </c>
      <c r="W1091">
        <f t="shared" ref="W1091:W1154" si="398">IF(J1091=0,0,$J1091)</f>
        <v>8.4931506849315067E-2</v>
      </c>
      <c r="X1091">
        <f t="shared" si="378"/>
        <v>8.4931506849315067E-2</v>
      </c>
      <c r="Y1091">
        <f t="shared" si="379"/>
        <v>8.4931506849315067E-2</v>
      </c>
      <c r="Z1091">
        <f t="shared" si="380"/>
        <v>8.4931506849315067E-2</v>
      </c>
      <c r="AA1091">
        <f t="shared" si="381"/>
        <v>8.4931506849315067E-2</v>
      </c>
      <c r="AB1091">
        <f t="shared" si="382"/>
        <v>8.4931506849315067E-2</v>
      </c>
      <c r="AC1091">
        <f t="shared" si="383"/>
        <v>8.4931506849315067E-2</v>
      </c>
      <c r="AD1091">
        <f t="shared" si="384"/>
        <v>8.4931506849315067E-2</v>
      </c>
      <c r="AE1091">
        <f t="shared" si="385"/>
        <v>8.4931506849315067E-2</v>
      </c>
      <c r="AF1091">
        <f t="shared" si="386"/>
        <v>8.4931506849315067E-2</v>
      </c>
      <c r="AG1091">
        <f t="shared" si="387"/>
        <v>8.4931506849315067E-2</v>
      </c>
      <c r="AH1091">
        <f t="shared" si="388"/>
        <v>0</v>
      </c>
      <c r="AI1091">
        <f t="shared" si="389"/>
        <v>0</v>
      </c>
      <c r="AJ1091" s="2" t="str">
        <f t="shared" ref="AJ1091:AJ1154" si="399">A1091&amp;B1091</f>
        <v>1046357</v>
      </c>
    </row>
    <row r="1092" spans="1:36" x14ac:dyDescent="0.25">
      <c r="A1092">
        <v>11</v>
      </c>
      <c r="B1092" s="1">
        <v>46357</v>
      </c>
      <c r="C1092" s="1">
        <f t="shared" si="390"/>
        <v>46692</v>
      </c>
      <c r="D1092" s="1">
        <f t="shared" si="391"/>
        <v>46371</v>
      </c>
      <c r="E1092" s="1">
        <f t="shared" si="392"/>
        <v>46692</v>
      </c>
      <c r="F1092" s="1">
        <f t="shared" si="393"/>
        <v>46722</v>
      </c>
      <c r="G1092" s="1">
        <f t="shared" si="394"/>
        <v>46736</v>
      </c>
      <c r="H1092">
        <f t="shared" si="395"/>
        <v>365</v>
      </c>
      <c r="I1092">
        <f t="shared" si="396"/>
        <v>30</v>
      </c>
      <c r="J1092">
        <f t="shared" si="397"/>
        <v>8.2191780821917804E-2</v>
      </c>
      <c r="K1092">
        <f>IFERROR($J1092/IF($A1092&lt;COUNTIFS($K$1:K$1,"&lt;&gt;"),0,SUMIFS($J:$J,$B:$B,$B1092,$A:$A,"&gt;="&amp;COUNTIFS($K$1:K$1,"&lt;&gt;"))),0)</f>
        <v>8.6206896551724144E-2</v>
      </c>
      <c r="L1092">
        <f>IFERROR($J1092/IF($A1092&lt;COUNTIFS($K$1:L$1,"&lt;&gt;"),0,SUMIFS($J:$J,$B:$B,$B1092,$A:$A,"&gt;="&amp;COUNTIFS($K$1:L$1,"&lt;&gt;"))),0)</f>
        <v>9.4637223974763415E-2</v>
      </c>
      <c r="M1092">
        <f>IFERROR($J1092/IF($A1092&lt;COUNTIFS($K$1:M$1,"&lt;&gt;"),0,SUMIFS($J:$J,$B:$B,$B1092,$A:$A,"&gt;="&amp;COUNTIFS($K$1:M$1,"&lt;&gt;"))),0)</f>
        <v>0.10380622837370243</v>
      </c>
      <c r="N1092">
        <f>IFERROR($J1092/IF($A1092&lt;COUNTIFS($K$1:N$1,"&lt;&gt;"),0,SUMIFS($J:$J,$B:$B,$B1092,$A:$A,"&gt;="&amp;COUNTIFS($K$1:N$1,"&lt;&gt;"))),0)</f>
        <v>0.11627906976744187</v>
      </c>
      <c r="O1092">
        <f>IFERROR($J1092/IF($A1092&lt;COUNTIFS($K$1:O$1,"&lt;&gt;"),0,SUMIFS($J:$J,$B:$B,$B1092,$A:$A,"&gt;="&amp;COUNTIFS($K$1:O$1,"&lt;&gt;"))),0)</f>
        <v>0.13157894736842107</v>
      </c>
      <c r="P1092">
        <f>IFERROR($J1092/IF($A1092&lt;COUNTIFS($K$1:P$1,"&lt;&gt;"),0,SUMIFS($J:$J,$B:$B,$B1092,$A:$A,"&gt;="&amp;COUNTIFS($K$1:P$1,"&lt;&gt;"))),0)</f>
        <v>0.15228426395939088</v>
      </c>
      <c r="Q1092">
        <f>IFERROR($J1092/IF($A1092&lt;COUNTIFS($K$1:Q$1,"&lt;&gt;"),0,SUMIFS($J:$J,$B:$B,$B1092,$A:$A,"&gt;="&amp;COUNTIFS($K$1:Q$1,"&lt;&gt;"))),0)</f>
        <v>0.17964071856287425</v>
      </c>
      <c r="R1092">
        <f>IFERROR($J1092/IF($A1092&lt;COUNTIFS($K$1:R$1,"&lt;&gt;"),0,SUMIFS($J:$J,$B:$B,$B1092,$A:$A,"&gt;="&amp;COUNTIFS($K$1:R$1,"&lt;&gt;"))),0)</f>
        <v>0.22058823529411764</v>
      </c>
      <c r="S1092">
        <f>IFERROR($J1092/IF($A1092&lt;COUNTIFS($K$1:S$1,"&lt;&gt;"),0,SUMIFS($J:$J,$B:$B,$B1092,$A:$A,"&gt;="&amp;COUNTIFS($K$1:S$1,"&lt;&gt;"))),0)</f>
        <v>0.2857142857142857</v>
      </c>
      <c r="T1092">
        <f>IFERROR($J1092/IF($A1092&lt;COUNTIFS($K$1:T$1,"&lt;&gt;"),0,SUMIFS($J:$J,$B:$B,$B1092,$A:$A,"&gt;="&amp;COUNTIFS($K$1:T$1,"&lt;&gt;"))),0)</f>
        <v>0.4</v>
      </c>
      <c r="U1092">
        <f>IFERROR($J1092/IF($A1092&lt;COUNTIFS($K$1:U$1,"&lt;&gt;"),0,SUMIFS($J:$J,$B:$B,$B1092,$A:$A,"&gt;="&amp;COUNTIFS($K$1:U$1,"&lt;&gt;"))),0)</f>
        <v>0.68181818181818177</v>
      </c>
      <c r="V1092">
        <f>IFERROR($J1092/IF($A1092&lt;COUNTIFS($K$1:V$1,"&lt;&gt;"),0,SUMIFS($J:$J,$B:$B,$B1092,$A:$A,"&gt;="&amp;COUNTIFS($K$1:V$1,"&lt;&gt;"))),0)</f>
        <v>0</v>
      </c>
      <c r="W1092">
        <f t="shared" si="398"/>
        <v>8.2191780821917804E-2</v>
      </c>
      <c r="X1092">
        <f t="shared" si="378"/>
        <v>8.2191780821917804E-2</v>
      </c>
      <c r="Y1092">
        <f t="shared" si="379"/>
        <v>8.2191780821917804E-2</v>
      </c>
      <c r="Z1092">
        <f t="shared" si="380"/>
        <v>8.2191780821917804E-2</v>
      </c>
      <c r="AA1092">
        <f t="shared" si="381"/>
        <v>8.2191780821917804E-2</v>
      </c>
      <c r="AB1092">
        <f t="shared" si="382"/>
        <v>8.2191780821917804E-2</v>
      </c>
      <c r="AC1092">
        <f t="shared" si="383"/>
        <v>8.2191780821917804E-2</v>
      </c>
      <c r="AD1092">
        <f t="shared" si="384"/>
        <v>8.2191780821917804E-2</v>
      </c>
      <c r="AE1092">
        <f t="shared" si="385"/>
        <v>8.2191780821917804E-2</v>
      </c>
      <c r="AF1092">
        <f t="shared" si="386"/>
        <v>8.2191780821917804E-2</v>
      </c>
      <c r="AG1092">
        <f t="shared" si="387"/>
        <v>8.2191780821917804E-2</v>
      </c>
      <c r="AH1092">
        <f t="shared" si="388"/>
        <v>8.2191780821917804E-2</v>
      </c>
      <c r="AI1092">
        <f t="shared" si="389"/>
        <v>0</v>
      </c>
      <c r="AJ1092" s="2" t="str">
        <f t="shared" si="399"/>
        <v>1146357</v>
      </c>
    </row>
    <row r="1093" spans="1:36" x14ac:dyDescent="0.25">
      <c r="A1093">
        <v>12</v>
      </c>
      <c r="B1093" s="1">
        <v>46357</v>
      </c>
      <c r="C1093" s="1">
        <f t="shared" si="390"/>
        <v>46722</v>
      </c>
      <c r="D1093" s="1">
        <f t="shared" si="391"/>
        <v>46371</v>
      </c>
      <c r="E1093" s="1">
        <f t="shared" si="392"/>
        <v>46722</v>
      </c>
      <c r="F1093" s="1">
        <f t="shared" si="393"/>
        <v>46736</v>
      </c>
      <c r="G1093" s="1">
        <f t="shared" si="394"/>
        <v>46736</v>
      </c>
      <c r="H1093">
        <f t="shared" si="395"/>
        <v>365</v>
      </c>
      <c r="I1093">
        <f t="shared" si="396"/>
        <v>14</v>
      </c>
      <c r="J1093">
        <f t="shared" si="397"/>
        <v>3.8356164383561646E-2</v>
      </c>
      <c r="K1093">
        <f>IFERROR($J1093/IF($A1093&lt;COUNTIFS($K$1:K$1,"&lt;&gt;"),0,SUMIFS($J:$J,$B:$B,$B1093,$A:$A,"&gt;="&amp;COUNTIFS($K$1:K$1,"&lt;&gt;"))),0)</f>
        <v>4.0229885057471271E-2</v>
      </c>
      <c r="L1093">
        <f>IFERROR($J1093/IF($A1093&lt;COUNTIFS($K$1:L$1,"&lt;&gt;"),0,SUMIFS($J:$J,$B:$B,$B1093,$A:$A,"&gt;="&amp;COUNTIFS($K$1:L$1,"&lt;&gt;"))),0)</f>
        <v>4.41640378548896E-2</v>
      </c>
      <c r="M1093">
        <f>IFERROR($J1093/IF($A1093&lt;COUNTIFS($K$1:M$1,"&lt;&gt;"),0,SUMIFS($J:$J,$B:$B,$B1093,$A:$A,"&gt;="&amp;COUNTIFS($K$1:M$1,"&lt;&gt;"))),0)</f>
        <v>4.8442906574394477E-2</v>
      </c>
      <c r="N1093">
        <f>IFERROR($J1093/IF($A1093&lt;COUNTIFS($K$1:N$1,"&lt;&gt;"),0,SUMIFS($J:$J,$B:$B,$B1093,$A:$A,"&gt;="&amp;COUNTIFS($K$1:N$1,"&lt;&gt;"))),0)</f>
        <v>5.4263565891472881E-2</v>
      </c>
      <c r="O1093">
        <f>IFERROR($J1093/IF($A1093&lt;COUNTIFS($K$1:O$1,"&lt;&gt;"),0,SUMIFS($J:$J,$B:$B,$B1093,$A:$A,"&gt;="&amp;COUNTIFS($K$1:O$1,"&lt;&gt;"))),0)</f>
        <v>6.1403508771929842E-2</v>
      </c>
      <c r="P1093">
        <f>IFERROR($J1093/IF($A1093&lt;COUNTIFS($K$1:P$1,"&lt;&gt;"),0,SUMIFS($J:$J,$B:$B,$B1093,$A:$A,"&gt;="&amp;COUNTIFS($K$1:P$1,"&lt;&gt;"))),0)</f>
        <v>7.1065989847715755E-2</v>
      </c>
      <c r="Q1093">
        <f>IFERROR($J1093/IF($A1093&lt;COUNTIFS($K$1:Q$1,"&lt;&gt;"),0,SUMIFS($J:$J,$B:$B,$B1093,$A:$A,"&gt;="&amp;COUNTIFS($K$1:Q$1,"&lt;&gt;"))),0)</f>
        <v>8.3832335329341326E-2</v>
      </c>
      <c r="R1093">
        <f>IFERROR($J1093/IF($A1093&lt;COUNTIFS($K$1:R$1,"&lt;&gt;"),0,SUMIFS($J:$J,$B:$B,$B1093,$A:$A,"&gt;="&amp;COUNTIFS($K$1:R$1,"&lt;&gt;"))),0)</f>
        <v>0.10294117647058824</v>
      </c>
      <c r="S1093">
        <f>IFERROR($J1093/IF($A1093&lt;COUNTIFS($K$1:S$1,"&lt;&gt;"),0,SUMIFS($J:$J,$B:$B,$B1093,$A:$A,"&gt;="&amp;COUNTIFS($K$1:S$1,"&lt;&gt;"))),0)</f>
        <v>0.13333333333333336</v>
      </c>
      <c r="T1093">
        <f>IFERROR($J1093/IF($A1093&lt;COUNTIFS($K$1:T$1,"&lt;&gt;"),0,SUMIFS($J:$J,$B:$B,$B1093,$A:$A,"&gt;="&amp;COUNTIFS($K$1:T$1,"&lt;&gt;"))),0)</f>
        <v>0.18666666666666668</v>
      </c>
      <c r="U1093">
        <f>IFERROR($J1093/IF($A1093&lt;COUNTIFS($K$1:U$1,"&lt;&gt;"),0,SUMIFS($J:$J,$B:$B,$B1093,$A:$A,"&gt;="&amp;COUNTIFS($K$1:U$1,"&lt;&gt;"))),0)</f>
        <v>0.31818181818181818</v>
      </c>
      <c r="V1093">
        <f>IFERROR($J1093/IF($A1093&lt;COUNTIFS($K$1:V$1,"&lt;&gt;"),0,SUMIFS($J:$J,$B:$B,$B1093,$A:$A,"&gt;="&amp;COUNTIFS($K$1:V$1,"&lt;&gt;"))),0)</f>
        <v>1</v>
      </c>
      <c r="W1093">
        <f t="shared" si="398"/>
        <v>3.8356164383561646E-2</v>
      </c>
      <c r="X1093">
        <f t="shared" si="378"/>
        <v>3.8356164383561646E-2</v>
      </c>
      <c r="Y1093">
        <f t="shared" si="379"/>
        <v>3.8356164383561646E-2</v>
      </c>
      <c r="Z1093">
        <f t="shared" si="380"/>
        <v>3.8356164383561646E-2</v>
      </c>
      <c r="AA1093">
        <f t="shared" si="381"/>
        <v>3.8356164383561646E-2</v>
      </c>
      <c r="AB1093">
        <f t="shared" si="382"/>
        <v>3.8356164383561646E-2</v>
      </c>
      <c r="AC1093">
        <f t="shared" si="383"/>
        <v>3.8356164383561646E-2</v>
      </c>
      <c r="AD1093">
        <f t="shared" si="384"/>
        <v>3.8356164383561646E-2</v>
      </c>
      <c r="AE1093">
        <f t="shared" si="385"/>
        <v>3.8356164383561646E-2</v>
      </c>
      <c r="AF1093">
        <f t="shared" si="386"/>
        <v>3.8356164383561646E-2</v>
      </c>
      <c r="AG1093">
        <f t="shared" si="387"/>
        <v>3.8356164383561646E-2</v>
      </c>
      <c r="AH1093">
        <f t="shared" si="388"/>
        <v>3.8356164383561646E-2</v>
      </c>
      <c r="AI1093">
        <f t="shared" si="389"/>
        <v>3.8356164383561646E-2</v>
      </c>
      <c r="AJ1093" s="2" t="str">
        <f t="shared" si="399"/>
        <v>1246357</v>
      </c>
    </row>
    <row r="1094" spans="1:36" x14ac:dyDescent="0.25">
      <c r="A1094">
        <v>0</v>
      </c>
      <c r="B1094" s="1">
        <v>46388</v>
      </c>
      <c r="C1094" s="1">
        <f t="shared" si="390"/>
        <v>46388</v>
      </c>
      <c r="D1094" s="1">
        <f t="shared" si="391"/>
        <v>46402</v>
      </c>
      <c r="E1094" s="1">
        <f t="shared" si="392"/>
        <v>46402</v>
      </c>
      <c r="F1094" s="1">
        <f t="shared" si="393"/>
        <v>46419</v>
      </c>
      <c r="G1094" s="1">
        <f t="shared" si="394"/>
        <v>46767</v>
      </c>
      <c r="H1094">
        <f t="shared" si="395"/>
        <v>365</v>
      </c>
      <c r="I1094">
        <f t="shared" si="396"/>
        <v>17</v>
      </c>
      <c r="J1094">
        <f t="shared" si="397"/>
        <v>4.6575342465753428E-2</v>
      </c>
      <c r="K1094">
        <f>IFERROR($J1094/IF($A1094&lt;COUNTIFS($K$1:K$1,"&lt;&gt;"),0,SUMIFS($J:$J,$B:$B,$B1094,$A:$A,"&gt;="&amp;COUNTIFS($K$1:K$1,"&lt;&gt;"))),0)</f>
        <v>0</v>
      </c>
      <c r="L1094">
        <f>IFERROR($J1094/IF($A1094&lt;COUNTIFS($K$1:L$1,"&lt;&gt;"),0,SUMIFS($J:$J,$B:$B,$B1094,$A:$A,"&gt;="&amp;COUNTIFS($K$1:L$1,"&lt;&gt;"))),0)</f>
        <v>0</v>
      </c>
      <c r="M1094">
        <f>IFERROR($J1094/IF($A1094&lt;COUNTIFS($K$1:M$1,"&lt;&gt;"),0,SUMIFS($J:$J,$B:$B,$B1094,$A:$A,"&gt;="&amp;COUNTIFS($K$1:M$1,"&lt;&gt;"))),0)</f>
        <v>0</v>
      </c>
      <c r="N1094">
        <f>IFERROR($J1094/IF($A1094&lt;COUNTIFS($K$1:N$1,"&lt;&gt;"),0,SUMIFS($J:$J,$B:$B,$B1094,$A:$A,"&gt;="&amp;COUNTIFS($K$1:N$1,"&lt;&gt;"))),0)</f>
        <v>0</v>
      </c>
      <c r="O1094">
        <f>IFERROR($J1094/IF($A1094&lt;COUNTIFS($K$1:O$1,"&lt;&gt;"),0,SUMIFS($J:$J,$B:$B,$B1094,$A:$A,"&gt;="&amp;COUNTIFS($K$1:O$1,"&lt;&gt;"))),0)</f>
        <v>0</v>
      </c>
      <c r="P1094">
        <f>IFERROR($J1094/IF($A1094&lt;COUNTIFS($K$1:P$1,"&lt;&gt;"),0,SUMIFS($J:$J,$B:$B,$B1094,$A:$A,"&gt;="&amp;COUNTIFS($K$1:P$1,"&lt;&gt;"))),0)</f>
        <v>0</v>
      </c>
      <c r="Q1094">
        <f>IFERROR($J1094/IF($A1094&lt;COUNTIFS($K$1:Q$1,"&lt;&gt;"),0,SUMIFS($J:$J,$B:$B,$B1094,$A:$A,"&gt;="&amp;COUNTIFS($K$1:Q$1,"&lt;&gt;"))),0)</f>
        <v>0</v>
      </c>
      <c r="R1094">
        <f>IFERROR($J1094/IF($A1094&lt;COUNTIFS($K$1:R$1,"&lt;&gt;"),0,SUMIFS($J:$J,$B:$B,$B1094,$A:$A,"&gt;="&amp;COUNTIFS($K$1:R$1,"&lt;&gt;"))),0)</f>
        <v>0</v>
      </c>
      <c r="S1094">
        <f>IFERROR($J1094/IF($A1094&lt;COUNTIFS($K$1:S$1,"&lt;&gt;"),0,SUMIFS($J:$J,$B:$B,$B1094,$A:$A,"&gt;="&amp;COUNTIFS($K$1:S$1,"&lt;&gt;"))),0)</f>
        <v>0</v>
      </c>
      <c r="T1094">
        <f>IFERROR($J1094/IF($A1094&lt;COUNTIFS($K$1:T$1,"&lt;&gt;"),0,SUMIFS($J:$J,$B:$B,$B1094,$A:$A,"&gt;="&amp;COUNTIFS($K$1:T$1,"&lt;&gt;"))),0)</f>
        <v>0</v>
      </c>
      <c r="U1094">
        <f>IFERROR($J1094/IF($A1094&lt;COUNTIFS($K$1:U$1,"&lt;&gt;"),0,SUMIFS($J:$J,$B:$B,$B1094,$A:$A,"&gt;="&amp;COUNTIFS($K$1:U$1,"&lt;&gt;"))),0)</f>
        <v>0</v>
      </c>
      <c r="V1094">
        <f>IFERROR($J1094/IF($A1094&lt;COUNTIFS($K$1:V$1,"&lt;&gt;"),0,SUMIFS($J:$J,$B:$B,$B1094,$A:$A,"&gt;="&amp;COUNTIFS($K$1:V$1,"&lt;&gt;"))),0)</f>
        <v>0</v>
      </c>
      <c r="W1094">
        <f t="shared" si="398"/>
        <v>4.6575342465753428E-2</v>
      </c>
      <c r="X1094">
        <f t="shared" si="378"/>
        <v>0</v>
      </c>
      <c r="Y1094">
        <f t="shared" si="379"/>
        <v>0</v>
      </c>
      <c r="Z1094">
        <f t="shared" si="380"/>
        <v>0</v>
      </c>
      <c r="AA1094">
        <f t="shared" si="381"/>
        <v>0</v>
      </c>
      <c r="AB1094">
        <f t="shared" si="382"/>
        <v>0</v>
      </c>
      <c r="AC1094">
        <f t="shared" si="383"/>
        <v>0</v>
      </c>
      <c r="AD1094">
        <f t="shared" si="384"/>
        <v>0</v>
      </c>
      <c r="AE1094">
        <f t="shared" si="385"/>
        <v>0</v>
      </c>
      <c r="AF1094">
        <f t="shared" si="386"/>
        <v>0</v>
      </c>
      <c r="AG1094">
        <f t="shared" si="387"/>
        <v>0</v>
      </c>
      <c r="AH1094">
        <f t="shared" si="388"/>
        <v>0</v>
      </c>
      <c r="AI1094">
        <f t="shared" si="389"/>
        <v>0</v>
      </c>
      <c r="AJ1094" s="2" t="str">
        <f t="shared" si="399"/>
        <v>046388</v>
      </c>
    </row>
    <row r="1095" spans="1:36" x14ac:dyDescent="0.25">
      <c r="A1095">
        <v>1</v>
      </c>
      <c r="B1095" s="1">
        <v>46388</v>
      </c>
      <c r="C1095" s="1">
        <f t="shared" si="390"/>
        <v>46419</v>
      </c>
      <c r="D1095" s="1">
        <f t="shared" si="391"/>
        <v>46402</v>
      </c>
      <c r="E1095" s="1">
        <f t="shared" si="392"/>
        <v>46419</v>
      </c>
      <c r="F1095" s="1">
        <f t="shared" si="393"/>
        <v>46447</v>
      </c>
      <c r="G1095" s="1">
        <f t="shared" si="394"/>
        <v>46767</v>
      </c>
      <c r="H1095">
        <f t="shared" si="395"/>
        <v>365</v>
      </c>
      <c r="I1095">
        <f t="shared" si="396"/>
        <v>28</v>
      </c>
      <c r="J1095">
        <f t="shared" si="397"/>
        <v>7.6712328767123292E-2</v>
      </c>
      <c r="K1095">
        <f>IFERROR($J1095/IF($A1095&lt;COUNTIFS($K$1:K$1,"&lt;&gt;"),0,SUMIFS($J:$J,$B:$B,$B1095,$A:$A,"&gt;="&amp;COUNTIFS($K$1:K$1,"&lt;&gt;"))),0)</f>
        <v>8.0459770114942541E-2</v>
      </c>
      <c r="L1095">
        <f>IFERROR($J1095/IF($A1095&lt;COUNTIFS($K$1:L$1,"&lt;&gt;"),0,SUMIFS($J:$J,$B:$B,$B1095,$A:$A,"&gt;="&amp;COUNTIFS($K$1:L$1,"&lt;&gt;"))),0)</f>
        <v>0</v>
      </c>
      <c r="M1095">
        <f>IFERROR($J1095/IF($A1095&lt;COUNTIFS($K$1:M$1,"&lt;&gt;"),0,SUMIFS($J:$J,$B:$B,$B1095,$A:$A,"&gt;="&amp;COUNTIFS($K$1:M$1,"&lt;&gt;"))),0)</f>
        <v>0</v>
      </c>
      <c r="N1095">
        <f>IFERROR($J1095/IF($A1095&lt;COUNTIFS($K$1:N$1,"&lt;&gt;"),0,SUMIFS($J:$J,$B:$B,$B1095,$A:$A,"&gt;="&amp;COUNTIFS($K$1:N$1,"&lt;&gt;"))),0)</f>
        <v>0</v>
      </c>
      <c r="O1095">
        <f>IFERROR($J1095/IF($A1095&lt;COUNTIFS($K$1:O$1,"&lt;&gt;"),0,SUMIFS($J:$J,$B:$B,$B1095,$A:$A,"&gt;="&amp;COUNTIFS($K$1:O$1,"&lt;&gt;"))),0)</f>
        <v>0</v>
      </c>
      <c r="P1095">
        <f>IFERROR($J1095/IF($A1095&lt;COUNTIFS($K$1:P$1,"&lt;&gt;"),0,SUMIFS($J:$J,$B:$B,$B1095,$A:$A,"&gt;="&amp;COUNTIFS($K$1:P$1,"&lt;&gt;"))),0)</f>
        <v>0</v>
      </c>
      <c r="Q1095">
        <f>IFERROR($J1095/IF($A1095&lt;COUNTIFS($K$1:Q$1,"&lt;&gt;"),0,SUMIFS($J:$J,$B:$B,$B1095,$A:$A,"&gt;="&amp;COUNTIFS($K$1:Q$1,"&lt;&gt;"))),0)</f>
        <v>0</v>
      </c>
      <c r="R1095">
        <f>IFERROR($J1095/IF($A1095&lt;COUNTIFS($K$1:R$1,"&lt;&gt;"),0,SUMIFS($J:$J,$B:$B,$B1095,$A:$A,"&gt;="&amp;COUNTIFS($K$1:R$1,"&lt;&gt;"))),0)</f>
        <v>0</v>
      </c>
      <c r="S1095">
        <f>IFERROR($J1095/IF($A1095&lt;COUNTIFS($K$1:S$1,"&lt;&gt;"),0,SUMIFS($J:$J,$B:$B,$B1095,$A:$A,"&gt;="&amp;COUNTIFS($K$1:S$1,"&lt;&gt;"))),0)</f>
        <v>0</v>
      </c>
      <c r="T1095">
        <f>IFERROR($J1095/IF($A1095&lt;COUNTIFS($K$1:T$1,"&lt;&gt;"),0,SUMIFS($J:$J,$B:$B,$B1095,$A:$A,"&gt;="&amp;COUNTIFS($K$1:T$1,"&lt;&gt;"))),0)</f>
        <v>0</v>
      </c>
      <c r="U1095">
        <f>IFERROR($J1095/IF($A1095&lt;COUNTIFS($K$1:U$1,"&lt;&gt;"),0,SUMIFS($J:$J,$B:$B,$B1095,$A:$A,"&gt;="&amp;COUNTIFS($K$1:U$1,"&lt;&gt;"))),0)</f>
        <v>0</v>
      </c>
      <c r="V1095">
        <f>IFERROR($J1095/IF($A1095&lt;COUNTIFS($K$1:V$1,"&lt;&gt;"),0,SUMIFS($J:$J,$B:$B,$B1095,$A:$A,"&gt;="&amp;COUNTIFS($K$1:V$1,"&lt;&gt;"))),0)</f>
        <v>0</v>
      </c>
      <c r="W1095">
        <f t="shared" si="398"/>
        <v>7.6712328767123292E-2</v>
      </c>
      <c r="X1095">
        <f t="shared" si="378"/>
        <v>7.6712328767123292E-2</v>
      </c>
      <c r="Y1095">
        <f t="shared" si="379"/>
        <v>0</v>
      </c>
      <c r="Z1095">
        <f t="shared" si="380"/>
        <v>0</v>
      </c>
      <c r="AA1095">
        <f t="shared" si="381"/>
        <v>0</v>
      </c>
      <c r="AB1095">
        <f t="shared" si="382"/>
        <v>0</v>
      </c>
      <c r="AC1095">
        <f t="shared" si="383"/>
        <v>0</v>
      </c>
      <c r="AD1095">
        <f t="shared" si="384"/>
        <v>0</v>
      </c>
      <c r="AE1095">
        <f t="shared" si="385"/>
        <v>0</v>
      </c>
      <c r="AF1095">
        <f t="shared" si="386"/>
        <v>0</v>
      </c>
      <c r="AG1095">
        <f t="shared" si="387"/>
        <v>0</v>
      </c>
      <c r="AH1095">
        <f t="shared" si="388"/>
        <v>0</v>
      </c>
      <c r="AI1095">
        <f t="shared" si="389"/>
        <v>0</v>
      </c>
      <c r="AJ1095" s="2" t="str">
        <f t="shared" si="399"/>
        <v>146388</v>
      </c>
    </row>
    <row r="1096" spans="1:36" x14ac:dyDescent="0.25">
      <c r="A1096">
        <v>2</v>
      </c>
      <c r="B1096" s="1">
        <v>46388</v>
      </c>
      <c r="C1096" s="1">
        <f t="shared" si="390"/>
        <v>46447</v>
      </c>
      <c r="D1096" s="1">
        <f t="shared" si="391"/>
        <v>46402</v>
      </c>
      <c r="E1096" s="1">
        <f t="shared" si="392"/>
        <v>46447</v>
      </c>
      <c r="F1096" s="1">
        <f t="shared" si="393"/>
        <v>46478</v>
      </c>
      <c r="G1096" s="1">
        <f t="shared" si="394"/>
        <v>46767</v>
      </c>
      <c r="H1096">
        <f t="shared" si="395"/>
        <v>365</v>
      </c>
      <c r="I1096">
        <f t="shared" si="396"/>
        <v>31</v>
      </c>
      <c r="J1096">
        <f t="shared" si="397"/>
        <v>8.4931506849315067E-2</v>
      </c>
      <c r="K1096">
        <f>IFERROR($J1096/IF($A1096&lt;COUNTIFS($K$1:K$1,"&lt;&gt;"),0,SUMIFS($J:$J,$B:$B,$B1096,$A:$A,"&gt;="&amp;COUNTIFS($K$1:K$1,"&lt;&gt;"))),0)</f>
        <v>8.9080459770114959E-2</v>
      </c>
      <c r="L1096">
        <f>IFERROR($J1096/IF($A1096&lt;COUNTIFS($K$1:L$1,"&lt;&gt;"),0,SUMIFS($J:$J,$B:$B,$B1096,$A:$A,"&gt;="&amp;COUNTIFS($K$1:L$1,"&lt;&gt;"))),0)</f>
        <v>9.6875000000000017E-2</v>
      </c>
      <c r="M1096">
        <f>IFERROR($J1096/IF($A1096&lt;COUNTIFS($K$1:M$1,"&lt;&gt;"),0,SUMIFS($J:$J,$B:$B,$B1096,$A:$A,"&gt;="&amp;COUNTIFS($K$1:M$1,"&lt;&gt;"))),0)</f>
        <v>0</v>
      </c>
      <c r="N1096">
        <f>IFERROR($J1096/IF($A1096&lt;COUNTIFS($K$1:N$1,"&lt;&gt;"),0,SUMIFS($J:$J,$B:$B,$B1096,$A:$A,"&gt;="&amp;COUNTIFS($K$1:N$1,"&lt;&gt;"))),0)</f>
        <v>0</v>
      </c>
      <c r="O1096">
        <f>IFERROR($J1096/IF($A1096&lt;COUNTIFS($K$1:O$1,"&lt;&gt;"),0,SUMIFS($J:$J,$B:$B,$B1096,$A:$A,"&gt;="&amp;COUNTIFS($K$1:O$1,"&lt;&gt;"))),0)</f>
        <v>0</v>
      </c>
      <c r="P1096">
        <f>IFERROR($J1096/IF($A1096&lt;COUNTIFS($K$1:P$1,"&lt;&gt;"),0,SUMIFS($J:$J,$B:$B,$B1096,$A:$A,"&gt;="&amp;COUNTIFS($K$1:P$1,"&lt;&gt;"))),0)</f>
        <v>0</v>
      </c>
      <c r="Q1096">
        <f>IFERROR($J1096/IF($A1096&lt;COUNTIFS($K$1:Q$1,"&lt;&gt;"),0,SUMIFS($J:$J,$B:$B,$B1096,$A:$A,"&gt;="&amp;COUNTIFS($K$1:Q$1,"&lt;&gt;"))),0)</f>
        <v>0</v>
      </c>
      <c r="R1096">
        <f>IFERROR($J1096/IF($A1096&lt;COUNTIFS($K$1:R$1,"&lt;&gt;"),0,SUMIFS($J:$J,$B:$B,$B1096,$A:$A,"&gt;="&amp;COUNTIFS($K$1:R$1,"&lt;&gt;"))),0)</f>
        <v>0</v>
      </c>
      <c r="S1096">
        <f>IFERROR($J1096/IF($A1096&lt;COUNTIFS($K$1:S$1,"&lt;&gt;"),0,SUMIFS($J:$J,$B:$B,$B1096,$A:$A,"&gt;="&amp;COUNTIFS($K$1:S$1,"&lt;&gt;"))),0)</f>
        <v>0</v>
      </c>
      <c r="T1096">
        <f>IFERROR($J1096/IF($A1096&lt;COUNTIFS($K$1:T$1,"&lt;&gt;"),0,SUMIFS($J:$J,$B:$B,$B1096,$A:$A,"&gt;="&amp;COUNTIFS($K$1:T$1,"&lt;&gt;"))),0)</f>
        <v>0</v>
      </c>
      <c r="U1096">
        <f>IFERROR($J1096/IF($A1096&lt;COUNTIFS($K$1:U$1,"&lt;&gt;"),0,SUMIFS($J:$J,$B:$B,$B1096,$A:$A,"&gt;="&amp;COUNTIFS($K$1:U$1,"&lt;&gt;"))),0)</f>
        <v>0</v>
      </c>
      <c r="V1096">
        <f>IFERROR($J1096/IF($A1096&lt;COUNTIFS($K$1:V$1,"&lt;&gt;"),0,SUMIFS($J:$J,$B:$B,$B1096,$A:$A,"&gt;="&amp;COUNTIFS($K$1:V$1,"&lt;&gt;"))),0)</f>
        <v>0</v>
      </c>
      <c r="W1096">
        <f t="shared" si="398"/>
        <v>8.4931506849315067E-2</v>
      </c>
      <c r="X1096">
        <f t="shared" si="378"/>
        <v>8.4931506849315067E-2</v>
      </c>
      <c r="Y1096">
        <f t="shared" si="379"/>
        <v>8.4931506849315067E-2</v>
      </c>
      <c r="Z1096">
        <f t="shared" si="380"/>
        <v>0</v>
      </c>
      <c r="AA1096">
        <f t="shared" si="381"/>
        <v>0</v>
      </c>
      <c r="AB1096">
        <f t="shared" si="382"/>
        <v>0</v>
      </c>
      <c r="AC1096">
        <f t="shared" si="383"/>
        <v>0</v>
      </c>
      <c r="AD1096">
        <f t="shared" si="384"/>
        <v>0</v>
      </c>
      <c r="AE1096">
        <f t="shared" si="385"/>
        <v>0</v>
      </c>
      <c r="AF1096">
        <f t="shared" si="386"/>
        <v>0</v>
      </c>
      <c r="AG1096">
        <f t="shared" si="387"/>
        <v>0</v>
      </c>
      <c r="AH1096">
        <f t="shared" si="388"/>
        <v>0</v>
      </c>
      <c r="AI1096">
        <f t="shared" si="389"/>
        <v>0</v>
      </c>
      <c r="AJ1096" s="2" t="str">
        <f t="shared" si="399"/>
        <v>246388</v>
      </c>
    </row>
    <row r="1097" spans="1:36" x14ac:dyDescent="0.25">
      <c r="A1097">
        <v>3</v>
      </c>
      <c r="B1097" s="1">
        <v>46388</v>
      </c>
      <c r="C1097" s="1">
        <f t="shared" si="390"/>
        <v>46478</v>
      </c>
      <c r="D1097" s="1">
        <f t="shared" si="391"/>
        <v>46402</v>
      </c>
      <c r="E1097" s="1">
        <f t="shared" si="392"/>
        <v>46478</v>
      </c>
      <c r="F1097" s="1">
        <f t="shared" si="393"/>
        <v>46508</v>
      </c>
      <c r="G1097" s="1">
        <f t="shared" si="394"/>
        <v>46767</v>
      </c>
      <c r="H1097">
        <f t="shared" si="395"/>
        <v>365</v>
      </c>
      <c r="I1097">
        <f t="shared" si="396"/>
        <v>30</v>
      </c>
      <c r="J1097">
        <f t="shared" si="397"/>
        <v>8.2191780821917804E-2</v>
      </c>
      <c r="K1097">
        <f>IFERROR($J1097/IF($A1097&lt;COUNTIFS($K$1:K$1,"&lt;&gt;"),0,SUMIFS($J:$J,$B:$B,$B1097,$A:$A,"&gt;="&amp;COUNTIFS($K$1:K$1,"&lt;&gt;"))),0)</f>
        <v>8.6206896551724144E-2</v>
      </c>
      <c r="L1097">
        <f>IFERROR($J1097/IF($A1097&lt;COUNTIFS($K$1:L$1,"&lt;&gt;"),0,SUMIFS($J:$J,$B:$B,$B1097,$A:$A,"&gt;="&amp;COUNTIFS($K$1:L$1,"&lt;&gt;"))),0)</f>
        <v>9.3750000000000014E-2</v>
      </c>
      <c r="M1097">
        <f>IFERROR($J1097/IF($A1097&lt;COUNTIFS($K$1:M$1,"&lt;&gt;"),0,SUMIFS($J:$J,$B:$B,$B1097,$A:$A,"&gt;="&amp;COUNTIFS($K$1:M$1,"&lt;&gt;"))),0)</f>
        <v>0.10380622837370243</v>
      </c>
      <c r="N1097">
        <f>IFERROR($J1097/IF($A1097&lt;COUNTIFS($K$1:N$1,"&lt;&gt;"),0,SUMIFS($J:$J,$B:$B,$B1097,$A:$A,"&gt;="&amp;COUNTIFS($K$1:N$1,"&lt;&gt;"))),0)</f>
        <v>0</v>
      </c>
      <c r="O1097">
        <f>IFERROR($J1097/IF($A1097&lt;COUNTIFS($K$1:O$1,"&lt;&gt;"),0,SUMIFS($J:$J,$B:$B,$B1097,$A:$A,"&gt;="&amp;COUNTIFS($K$1:O$1,"&lt;&gt;"))),0)</f>
        <v>0</v>
      </c>
      <c r="P1097">
        <f>IFERROR($J1097/IF($A1097&lt;COUNTIFS($K$1:P$1,"&lt;&gt;"),0,SUMIFS($J:$J,$B:$B,$B1097,$A:$A,"&gt;="&amp;COUNTIFS($K$1:P$1,"&lt;&gt;"))),0)</f>
        <v>0</v>
      </c>
      <c r="Q1097">
        <f>IFERROR($J1097/IF($A1097&lt;COUNTIFS($K$1:Q$1,"&lt;&gt;"),0,SUMIFS($J:$J,$B:$B,$B1097,$A:$A,"&gt;="&amp;COUNTIFS($K$1:Q$1,"&lt;&gt;"))),0)</f>
        <v>0</v>
      </c>
      <c r="R1097">
        <f>IFERROR($J1097/IF($A1097&lt;COUNTIFS($K$1:R$1,"&lt;&gt;"),0,SUMIFS($J:$J,$B:$B,$B1097,$A:$A,"&gt;="&amp;COUNTIFS($K$1:R$1,"&lt;&gt;"))),0)</f>
        <v>0</v>
      </c>
      <c r="S1097">
        <f>IFERROR($J1097/IF($A1097&lt;COUNTIFS($K$1:S$1,"&lt;&gt;"),0,SUMIFS($J:$J,$B:$B,$B1097,$A:$A,"&gt;="&amp;COUNTIFS($K$1:S$1,"&lt;&gt;"))),0)</f>
        <v>0</v>
      </c>
      <c r="T1097">
        <f>IFERROR($J1097/IF($A1097&lt;COUNTIFS($K$1:T$1,"&lt;&gt;"),0,SUMIFS($J:$J,$B:$B,$B1097,$A:$A,"&gt;="&amp;COUNTIFS($K$1:T$1,"&lt;&gt;"))),0)</f>
        <v>0</v>
      </c>
      <c r="U1097">
        <f>IFERROR($J1097/IF($A1097&lt;COUNTIFS($K$1:U$1,"&lt;&gt;"),0,SUMIFS($J:$J,$B:$B,$B1097,$A:$A,"&gt;="&amp;COUNTIFS($K$1:U$1,"&lt;&gt;"))),0)</f>
        <v>0</v>
      </c>
      <c r="V1097">
        <f>IFERROR($J1097/IF($A1097&lt;COUNTIFS($K$1:V$1,"&lt;&gt;"),0,SUMIFS($J:$J,$B:$B,$B1097,$A:$A,"&gt;="&amp;COUNTIFS($K$1:V$1,"&lt;&gt;"))),0)</f>
        <v>0</v>
      </c>
      <c r="W1097">
        <f t="shared" si="398"/>
        <v>8.2191780821917804E-2</v>
      </c>
      <c r="X1097">
        <f t="shared" si="378"/>
        <v>8.2191780821917804E-2</v>
      </c>
      <c r="Y1097">
        <f t="shared" si="379"/>
        <v>8.2191780821917804E-2</v>
      </c>
      <c r="Z1097">
        <f t="shared" si="380"/>
        <v>8.2191780821917804E-2</v>
      </c>
      <c r="AA1097">
        <f t="shared" si="381"/>
        <v>0</v>
      </c>
      <c r="AB1097">
        <f t="shared" si="382"/>
        <v>0</v>
      </c>
      <c r="AC1097">
        <f t="shared" si="383"/>
        <v>0</v>
      </c>
      <c r="AD1097">
        <f t="shared" si="384"/>
        <v>0</v>
      </c>
      <c r="AE1097">
        <f t="shared" si="385"/>
        <v>0</v>
      </c>
      <c r="AF1097">
        <f t="shared" si="386"/>
        <v>0</v>
      </c>
      <c r="AG1097">
        <f t="shared" si="387"/>
        <v>0</v>
      </c>
      <c r="AH1097">
        <f t="shared" si="388"/>
        <v>0</v>
      </c>
      <c r="AI1097">
        <f t="shared" si="389"/>
        <v>0</v>
      </c>
      <c r="AJ1097" s="2" t="str">
        <f t="shared" si="399"/>
        <v>346388</v>
      </c>
    </row>
    <row r="1098" spans="1:36" x14ac:dyDescent="0.25">
      <c r="A1098">
        <v>4</v>
      </c>
      <c r="B1098" s="1">
        <v>46388</v>
      </c>
      <c r="C1098" s="1">
        <f t="shared" si="390"/>
        <v>46508</v>
      </c>
      <c r="D1098" s="1">
        <f t="shared" si="391"/>
        <v>46402</v>
      </c>
      <c r="E1098" s="1">
        <f t="shared" si="392"/>
        <v>46508</v>
      </c>
      <c r="F1098" s="1">
        <f t="shared" si="393"/>
        <v>46539</v>
      </c>
      <c r="G1098" s="1">
        <f t="shared" si="394"/>
        <v>46767</v>
      </c>
      <c r="H1098">
        <f t="shared" si="395"/>
        <v>365</v>
      </c>
      <c r="I1098">
        <f t="shared" si="396"/>
        <v>31</v>
      </c>
      <c r="J1098">
        <f t="shared" si="397"/>
        <v>8.4931506849315067E-2</v>
      </c>
      <c r="K1098">
        <f>IFERROR($J1098/IF($A1098&lt;COUNTIFS($K$1:K$1,"&lt;&gt;"),0,SUMIFS($J:$J,$B:$B,$B1098,$A:$A,"&gt;="&amp;COUNTIFS($K$1:K$1,"&lt;&gt;"))),0)</f>
        <v>8.9080459770114959E-2</v>
      </c>
      <c r="L1098">
        <f>IFERROR($J1098/IF($A1098&lt;COUNTIFS($K$1:L$1,"&lt;&gt;"),0,SUMIFS($J:$J,$B:$B,$B1098,$A:$A,"&gt;="&amp;COUNTIFS($K$1:L$1,"&lt;&gt;"))),0)</f>
        <v>9.6875000000000017E-2</v>
      </c>
      <c r="M1098">
        <f>IFERROR($J1098/IF($A1098&lt;COUNTIFS($K$1:M$1,"&lt;&gt;"),0,SUMIFS($J:$J,$B:$B,$B1098,$A:$A,"&gt;="&amp;COUNTIFS($K$1:M$1,"&lt;&gt;"))),0)</f>
        <v>0.10726643598615919</v>
      </c>
      <c r="N1098">
        <f>IFERROR($J1098/IF($A1098&lt;COUNTIFS($K$1:N$1,"&lt;&gt;"),0,SUMIFS($J:$J,$B:$B,$B1098,$A:$A,"&gt;="&amp;COUNTIFS($K$1:N$1,"&lt;&gt;"))),0)</f>
        <v>0.11969111969111972</v>
      </c>
      <c r="O1098">
        <f>IFERROR($J1098/IF($A1098&lt;COUNTIFS($K$1:O$1,"&lt;&gt;"),0,SUMIFS($J:$J,$B:$B,$B1098,$A:$A,"&gt;="&amp;COUNTIFS($K$1:O$1,"&lt;&gt;"))),0)</f>
        <v>0</v>
      </c>
      <c r="P1098">
        <f>IFERROR($J1098/IF($A1098&lt;COUNTIFS($K$1:P$1,"&lt;&gt;"),0,SUMIFS($J:$J,$B:$B,$B1098,$A:$A,"&gt;="&amp;COUNTIFS($K$1:P$1,"&lt;&gt;"))),0)</f>
        <v>0</v>
      </c>
      <c r="Q1098">
        <f>IFERROR($J1098/IF($A1098&lt;COUNTIFS($K$1:Q$1,"&lt;&gt;"),0,SUMIFS($J:$J,$B:$B,$B1098,$A:$A,"&gt;="&amp;COUNTIFS($K$1:Q$1,"&lt;&gt;"))),0)</f>
        <v>0</v>
      </c>
      <c r="R1098">
        <f>IFERROR($J1098/IF($A1098&lt;COUNTIFS($K$1:R$1,"&lt;&gt;"),0,SUMIFS($J:$J,$B:$B,$B1098,$A:$A,"&gt;="&amp;COUNTIFS($K$1:R$1,"&lt;&gt;"))),0)</f>
        <v>0</v>
      </c>
      <c r="S1098">
        <f>IFERROR($J1098/IF($A1098&lt;COUNTIFS($K$1:S$1,"&lt;&gt;"),0,SUMIFS($J:$J,$B:$B,$B1098,$A:$A,"&gt;="&amp;COUNTIFS($K$1:S$1,"&lt;&gt;"))),0)</f>
        <v>0</v>
      </c>
      <c r="T1098">
        <f>IFERROR($J1098/IF($A1098&lt;COUNTIFS($K$1:T$1,"&lt;&gt;"),0,SUMIFS($J:$J,$B:$B,$B1098,$A:$A,"&gt;="&amp;COUNTIFS($K$1:T$1,"&lt;&gt;"))),0)</f>
        <v>0</v>
      </c>
      <c r="U1098">
        <f>IFERROR($J1098/IF($A1098&lt;COUNTIFS($K$1:U$1,"&lt;&gt;"),0,SUMIFS($J:$J,$B:$B,$B1098,$A:$A,"&gt;="&amp;COUNTIFS($K$1:U$1,"&lt;&gt;"))),0)</f>
        <v>0</v>
      </c>
      <c r="V1098">
        <f>IFERROR($J1098/IF($A1098&lt;COUNTIFS($K$1:V$1,"&lt;&gt;"),0,SUMIFS($J:$J,$B:$B,$B1098,$A:$A,"&gt;="&amp;COUNTIFS($K$1:V$1,"&lt;&gt;"))),0)</f>
        <v>0</v>
      </c>
      <c r="W1098">
        <f t="shared" si="398"/>
        <v>8.4931506849315067E-2</v>
      </c>
      <c r="X1098">
        <f t="shared" si="378"/>
        <v>8.4931506849315067E-2</v>
      </c>
      <c r="Y1098">
        <f t="shared" si="379"/>
        <v>8.4931506849315067E-2</v>
      </c>
      <c r="Z1098">
        <f t="shared" si="380"/>
        <v>8.4931506849315067E-2</v>
      </c>
      <c r="AA1098">
        <f t="shared" si="381"/>
        <v>8.4931506849315067E-2</v>
      </c>
      <c r="AB1098">
        <f t="shared" si="382"/>
        <v>0</v>
      </c>
      <c r="AC1098">
        <f t="shared" si="383"/>
        <v>0</v>
      </c>
      <c r="AD1098">
        <f t="shared" si="384"/>
        <v>0</v>
      </c>
      <c r="AE1098">
        <f t="shared" si="385"/>
        <v>0</v>
      </c>
      <c r="AF1098">
        <f t="shared" si="386"/>
        <v>0</v>
      </c>
      <c r="AG1098">
        <f t="shared" si="387"/>
        <v>0</v>
      </c>
      <c r="AH1098">
        <f t="shared" si="388"/>
        <v>0</v>
      </c>
      <c r="AI1098">
        <f t="shared" si="389"/>
        <v>0</v>
      </c>
      <c r="AJ1098" s="2" t="str">
        <f t="shared" si="399"/>
        <v>446388</v>
      </c>
    </row>
    <row r="1099" spans="1:36" x14ac:dyDescent="0.25">
      <c r="A1099">
        <v>5</v>
      </c>
      <c r="B1099" s="1">
        <v>46388</v>
      </c>
      <c r="C1099" s="1">
        <f t="shared" si="390"/>
        <v>46539</v>
      </c>
      <c r="D1099" s="1">
        <f t="shared" si="391"/>
        <v>46402</v>
      </c>
      <c r="E1099" s="1">
        <f t="shared" si="392"/>
        <v>46539</v>
      </c>
      <c r="F1099" s="1">
        <f t="shared" si="393"/>
        <v>46569</v>
      </c>
      <c r="G1099" s="1">
        <f t="shared" si="394"/>
        <v>46767</v>
      </c>
      <c r="H1099">
        <f t="shared" si="395"/>
        <v>365</v>
      </c>
      <c r="I1099">
        <f t="shared" si="396"/>
        <v>30</v>
      </c>
      <c r="J1099">
        <f t="shared" si="397"/>
        <v>8.2191780821917804E-2</v>
      </c>
      <c r="K1099">
        <f>IFERROR($J1099/IF($A1099&lt;COUNTIFS($K$1:K$1,"&lt;&gt;"),0,SUMIFS($J:$J,$B:$B,$B1099,$A:$A,"&gt;="&amp;COUNTIFS($K$1:K$1,"&lt;&gt;"))),0)</f>
        <v>8.6206896551724144E-2</v>
      </c>
      <c r="L1099">
        <f>IFERROR($J1099/IF($A1099&lt;COUNTIFS($K$1:L$1,"&lt;&gt;"),0,SUMIFS($J:$J,$B:$B,$B1099,$A:$A,"&gt;="&amp;COUNTIFS($K$1:L$1,"&lt;&gt;"))),0)</f>
        <v>9.3750000000000014E-2</v>
      </c>
      <c r="M1099">
        <f>IFERROR($J1099/IF($A1099&lt;COUNTIFS($K$1:M$1,"&lt;&gt;"),0,SUMIFS($J:$J,$B:$B,$B1099,$A:$A,"&gt;="&amp;COUNTIFS($K$1:M$1,"&lt;&gt;"))),0)</f>
        <v>0.10380622837370243</v>
      </c>
      <c r="N1099">
        <f>IFERROR($J1099/IF($A1099&lt;COUNTIFS($K$1:N$1,"&lt;&gt;"),0,SUMIFS($J:$J,$B:$B,$B1099,$A:$A,"&gt;="&amp;COUNTIFS($K$1:N$1,"&lt;&gt;"))),0)</f>
        <v>0.11583011583011585</v>
      </c>
      <c r="O1099">
        <f>IFERROR($J1099/IF($A1099&lt;COUNTIFS($K$1:O$1,"&lt;&gt;"),0,SUMIFS($J:$J,$B:$B,$B1099,$A:$A,"&gt;="&amp;COUNTIFS($K$1:O$1,"&lt;&gt;"))),0)</f>
        <v>0.13157894736842107</v>
      </c>
      <c r="P1099">
        <f>IFERROR($J1099/IF($A1099&lt;COUNTIFS($K$1:P$1,"&lt;&gt;"),0,SUMIFS($J:$J,$B:$B,$B1099,$A:$A,"&gt;="&amp;COUNTIFS($K$1:P$1,"&lt;&gt;"))),0)</f>
        <v>0</v>
      </c>
      <c r="Q1099">
        <f>IFERROR($J1099/IF($A1099&lt;COUNTIFS($K$1:Q$1,"&lt;&gt;"),0,SUMIFS($J:$J,$B:$B,$B1099,$A:$A,"&gt;="&amp;COUNTIFS($K$1:Q$1,"&lt;&gt;"))),0)</f>
        <v>0</v>
      </c>
      <c r="R1099">
        <f>IFERROR($J1099/IF($A1099&lt;COUNTIFS($K$1:R$1,"&lt;&gt;"),0,SUMIFS($J:$J,$B:$B,$B1099,$A:$A,"&gt;="&amp;COUNTIFS($K$1:R$1,"&lt;&gt;"))),0)</f>
        <v>0</v>
      </c>
      <c r="S1099">
        <f>IFERROR($J1099/IF($A1099&lt;COUNTIFS($K$1:S$1,"&lt;&gt;"),0,SUMIFS($J:$J,$B:$B,$B1099,$A:$A,"&gt;="&amp;COUNTIFS($K$1:S$1,"&lt;&gt;"))),0)</f>
        <v>0</v>
      </c>
      <c r="T1099">
        <f>IFERROR($J1099/IF($A1099&lt;COUNTIFS($K$1:T$1,"&lt;&gt;"),0,SUMIFS($J:$J,$B:$B,$B1099,$A:$A,"&gt;="&amp;COUNTIFS($K$1:T$1,"&lt;&gt;"))),0)</f>
        <v>0</v>
      </c>
      <c r="U1099">
        <f>IFERROR($J1099/IF($A1099&lt;COUNTIFS($K$1:U$1,"&lt;&gt;"),0,SUMIFS($J:$J,$B:$B,$B1099,$A:$A,"&gt;="&amp;COUNTIFS($K$1:U$1,"&lt;&gt;"))),0)</f>
        <v>0</v>
      </c>
      <c r="V1099">
        <f>IFERROR($J1099/IF($A1099&lt;COUNTIFS($K$1:V$1,"&lt;&gt;"),0,SUMIFS($J:$J,$B:$B,$B1099,$A:$A,"&gt;="&amp;COUNTIFS($K$1:V$1,"&lt;&gt;"))),0)</f>
        <v>0</v>
      </c>
      <c r="W1099">
        <f t="shared" si="398"/>
        <v>8.2191780821917804E-2</v>
      </c>
      <c r="X1099">
        <f t="shared" si="378"/>
        <v>8.2191780821917804E-2</v>
      </c>
      <c r="Y1099">
        <f t="shared" si="379"/>
        <v>8.2191780821917804E-2</v>
      </c>
      <c r="Z1099">
        <f t="shared" si="380"/>
        <v>8.2191780821917804E-2</v>
      </c>
      <c r="AA1099">
        <f t="shared" si="381"/>
        <v>8.2191780821917804E-2</v>
      </c>
      <c r="AB1099">
        <f t="shared" si="382"/>
        <v>8.2191780821917804E-2</v>
      </c>
      <c r="AC1099">
        <f t="shared" si="383"/>
        <v>0</v>
      </c>
      <c r="AD1099">
        <f t="shared" si="384"/>
        <v>0</v>
      </c>
      <c r="AE1099">
        <f t="shared" si="385"/>
        <v>0</v>
      </c>
      <c r="AF1099">
        <f t="shared" si="386"/>
        <v>0</v>
      </c>
      <c r="AG1099">
        <f t="shared" si="387"/>
        <v>0</v>
      </c>
      <c r="AH1099">
        <f t="shared" si="388"/>
        <v>0</v>
      </c>
      <c r="AI1099">
        <f t="shared" si="389"/>
        <v>0</v>
      </c>
      <c r="AJ1099" s="2" t="str">
        <f t="shared" si="399"/>
        <v>546388</v>
      </c>
    </row>
    <row r="1100" spans="1:36" x14ac:dyDescent="0.25">
      <c r="A1100">
        <v>6</v>
      </c>
      <c r="B1100" s="1">
        <v>46388</v>
      </c>
      <c r="C1100" s="1">
        <f t="shared" si="390"/>
        <v>46569</v>
      </c>
      <c r="D1100" s="1">
        <f t="shared" si="391"/>
        <v>46402</v>
      </c>
      <c r="E1100" s="1">
        <f t="shared" si="392"/>
        <v>46569</v>
      </c>
      <c r="F1100" s="1">
        <f t="shared" si="393"/>
        <v>46600</v>
      </c>
      <c r="G1100" s="1">
        <f t="shared" si="394"/>
        <v>46767</v>
      </c>
      <c r="H1100">
        <f t="shared" si="395"/>
        <v>365</v>
      </c>
      <c r="I1100">
        <f t="shared" si="396"/>
        <v>31</v>
      </c>
      <c r="J1100">
        <f t="shared" si="397"/>
        <v>8.4931506849315067E-2</v>
      </c>
      <c r="K1100">
        <f>IFERROR($J1100/IF($A1100&lt;COUNTIFS($K$1:K$1,"&lt;&gt;"),0,SUMIFS($J:$J,$B:$B,$B1100,$A:$A,"&gt;="&amp;COUNTIFS($K$1:K$1,"&lt;&gt;"))),0)</f>
        <v>8.9080459770114959E-2</v>
      </c>
      <c r="L1100">
        <f>IFERROR($J1100/IF($A1100&lt;COUNTIFS($K$1:L$1,"&lt;&gt;"),0,SUMIFS($J:$J,$B:$B,$B1100,$A:$A,"&gt;="&amp;COUNTIFS($K$1:L$1,"&lt;&gt;"))),0)</f>
        <v>9.6875000000000017E-2</v>
      </c>
      <c r="M1100">
        <f>IFERROR($J1100/IF($A1100&lt;COUNTIFS($K$1:M$1,"&lt;&gt;"),0,SUMIFS($J:$J,$B:$B,$B1100,$A:$A,"&gt;="&amp;COUNTIFS($K$1:M$1,"&lt;&gt;"))),0)</f>
        <v>0.10726643598615919</v>
      </c>
      <c r="N1100">
        <f>IFERROR($J1100/IF($A1100&lt;COUNTIFS($K$1:N$1,"&lt;&gt;"),0,SUMIFS($J:$J,$B:$B,$B1100,$A:$A,"&gt;="&amp;COUNTIFS($K$1:N$1,"&lt;&gt;"))),0)</f>
        <v>0.11969111969111972</v>
      </c>
      <c r="O1100">
        <f>IFERROR($J1100/IF($A1100&lt;COUNTIFS($K$1:O$1,"&lt;&gt;"),0,SUMIFS($J:$J,$B:$B,$B1100,$A:$A,"&gt;="&amp;COUNTIFS($K$1:O$1,"&lt;&gt;"))),0)</f>
        <v>0.13596491228070179</v>
      </c>
      <c r="P1100">
        <f>IFERROR($J1100/IF($A1100&lt;COUNTIFS($K$1:P$1,"&lt;&gt;"),0,SUMIFS($J:$J,$B:$B,$B1100,$A:$A,"&gt;="&amp;COUNTIFS($K$1:P$1,"&lt;&gt;"))),0)</f>
        <v>0.1565656565656566</v>
      </c>
      <c r="Q1100">
        <f>IFERROR($J1100/IF($A1100&lt;COUNTIFS($K$1:Q$1,"&lt;&gt;"),0,SUMIFS($J:$J,$B:$B,$B1100,$A:$A,"&gt;="&amp;COUNTIFS($K$1:Q$1,"&lt;&gt;"))),0)</f>
        <v>0</v>
      </c>
      <c r="R1100">
        <f>IFERROR($J1100/IF($A1100&lt;COUNTIFS($K$1:R$1,"&lt;&gt;"),0,SUMIFS($J:$J,$B:$B,$B1100,$A:$A,"&gt;="&amp;COUNTIFS($K$1:R$1,"&lt;&gt;"))),0)</f>
        <v>0</v>
      </c>
      <c r="S1100">
        <f>IFERROR($J1100/IF($A1100&lt;COUNTIFS($K$1:S$1,"&lt;&gt;"),0,SUMIFS($J:$J,$B:$B,$B1100,$A:$A,"&gt;="&amp;COUNTIFS($K$1:S$1,"&lt;&gt;"))),0)</f>
        <v>0</v>
      </c>
      <c r="T1100">
        <f>IFERROR($J1100/IF($A1100&lt;COUNTIFS($K$1:T$1,"&lt;&gt;"),0,SUMIFS($J:$J,$B:$B,$B1100,$A:$A,"&gt;="&amp;COUNTIFS($K$1:T$1,"&lt;&gt;"))),0)</f>
        <v>0</v>
      </c>
      <c r="U1100">
        <f>IFERROR($J1100/IF($A1100&lt;COUNTIFS($K$1:U$1,"&lt;&gt;"),0,SUMIFS($J:$J,$B:$B,$B1100,$A:$A,"&gt;="&amp;COUNTIFS($K$1:U$1,"&lt;&gt;"))),0)</f>
        <v>0</v>
      </c>
      <c r="V1100">
        <f>IFERROR($J1100/IF($A1100&lt;COUNTIFS($K$1:V$1,"&lt;&gt;"),0,SUMIFS($J:$J,$B:$B,$B1100,$A:$A,"&gt;="&amp;COUNTIFS($K$1:V$1,"&lt;&gt;"))),0)</f>
        <v>0</v>
      </c>
      <c r="W1100">
        <f t="shared" si="398"/>
        <v>8.4931506849315067E-2</v>
      </c>
      <c r="X1100">
        <f t="shared" si="378"/>
        <v>8.4931506849315067E-2</v>
      </c>
      <c r="Y1100">
        <f t="shared" si="379"/>
        <v>8.4931506849315067E-2</v>
      </c>
      <c r="Z1100">
        <f t="shared" si="380"/>
        <v>8.4931506849315067E-2</v>
      </c>
      <c r="AA1100">
        <f t="shared" si="381"/>
        <v>8.4931506849315067E-2</v>
      </c>
      <c r="AB1100">
        <f t="shared" si="382"/>
        <v>8.4931506849315067E-2</v>
      </c>
      <c r="AC1100">
        <f t="shared" si="383"/>
        <v>8.4931506849315067E-2</v>
      </c>
      <c r="AD1100">
        <f t="shared" si="384"/>
        <v>0</v>
      </c>
      <c r="AE1100">
        <f t="shared" si="385"/>
        <v>0</v>
      </c>
      <c r="AF1100">
        <f t="shared" si="386"/>
        <v>0</v>
      </c>
      <c r="AG1100">
        <f t="shared" si="387"/>
        <v>0</v>
      </c>
      <c r="AH1100">
        <f t="shared" si="388"/>
        <v>0</v>
      </c>
      <c r="AI1100">
        <f t="shared" si="389"/>
        <v>0</v>
      </c>
      <c r="AJ1100" s="2" t="str">
        <f t="shared" si="399"/>
        <v>646388</v>
      </c>
    </row>
    <row r="1101" spans="1:36" x14ac:dyDescent="0.25">
      <c r="A1101">
        <v>7</v>
      </c>
      <c r="B1101" s="1">
        <v>46388</v>
      </c>
      <c r="C1101" s="1">
        <f t="shared" si="390"/>
        <v>46600</v>
      </c>
      <c r="D1101" s="1">
        <f t="shared" si="391"/>
        <v>46402</v>
      </c>
      <c r="E1101" s="1">
        <f t="shared" si="392"/>
        <v>46600</v>
      </c>
      <c r="F1101" s="1">
        <f t="shared" si="393"/>
        <v>46631</v>
      </c>
      <c r="G1101" s="1">
        <f t="shared" si="394"/>
        <v>46767</v>
      </c>
      <c r="H1101">
        <f t="shared" si="395"/>
        <v>365</v>
      </c>
      <c r="I1101">
        <f t="shared" si="396"/>
        <v>31</v>
      </c>
      <c r="J1101">
        <f t="shared" si="397"/>
        <v>8.4931506849315067E-2</v>
      </c>
      <c r="K1101">
        <f>IFERROR($J1101/IF($A1101&lt;COUNTIFS($K$1:K$1,"&lt;&gt;"),0,SUMIFS($J:$J,$B:$B,$B1101,$A:$A,"&gt;="&amp;COUNTIFS($K$1:K$1,"&lt;&gt;"))),0)</f>
        <v>8.9080459770114959E-2</v>
      </c>
      <c r="L1101">
        <f>IFERROR($J1101/IF($A1101&lt;COUNTIFS($K$1:L$1,"&lt;&gt;"),0,SUMIFS($J:$J,$B:$B,$B1101,$A:$A,"&gt;="&amp;COUNTIFS($K$1:L$1,"&lt;&gt;"))),0)</f>
        <v>9.6875000000000017E-2</v>
      </c>
      <c r="M1101">
        <f>IFERROR($J1101/IF($A1101&lt;COUNTIFS($K$1:M$1,"&lt;&gt;"),0,SUMIFS($J:$J,$B:$B,$B1101,$A:$A,"&gt;="&amp;COUNTIFS($K$1:M$1,"&lt;&gt;"))),0)</f>
        <v>0.10726643598615919</v>
      </c>
      <c r="N1101">
        <f>IFERROR($J1101/IF($A1101&lt;COUNTIFS($K$1:N$1,"&lt;&gt;"),0,SUMIFS($J:$J,$B:$B,$B1101,$A:$A,"&gt;="&amp;COUNTIFS($K$1:N$1,"&lt;&gt;"))),0)</f>
        <v>0.11969111969111972</v>
      </c>
      <c r="O1101">
        <f>IFERROR($J1101/IF($A1101&lt;COUNTIFS($K$1:O$1,"&lt;&gt;"),0,SUMIFS($J:$J,$B:$B,$B1101,$A:$A,"&gt;="&amp;COUNTIFS($K$1:O$1,"&lt;&gt;"))),0)</f>
        <v>0.13596491228070179</v>
      </c>
      <c r="P1101">
        <f>IFERROR($J1101/IF($A1101&lt;COUNTIFS($K$1:P$1,"&lt;&gt;"),0,SUMIFS($J:$J,$B:$B,$B1101,$A:$A,"&gt;="&amp;COUNTIFS($K$1:P$1,"&lt;&gt;"))),0)</f>
        <v>0.1565656565656566</v>
      </c>
      <c r="Q1101">
        <f>IFERROR($J1101/IF($A1101&lt;COUNTIFS($K$1:Q$1,"&lt;&gt;"),0,SUMIFS($J:$J,$B:$B,$B1101,$A:$A,"&gt;="&amp;COUNTIFS($K$1:Q$1,"&lt;&gt;"))),0)</f>
        <v>0.18562874251497008</v>
      </c>
      <c r="R1101">
        <f>IFERROR($J1101/IF($A1101&lt;COUNTIFS($K$1:R$1,"&lt;&gt;"),0,SUMIFS($J:$J,$B:$B,$B1101,$A:$A,"&gt;="&amp;COUNTIFS($K$1:R$1,"&lt;&gt;"))),0)</f>
        <v>0</v>
      </c>
      <c r="S1101">
        <f>IFERROR($J1101/IF($A1101&lt;COUNTIFS($K$1:S$1,"&lt;&gt;"),0,SUMIFS($J:$J,$B:$B,$B1101,$A:$A,"&gt;="&amp;COUNTIFS($K$1:S$1,"&lt;&gt;"))),0)</f>
        <v>0</v>
      </c>
      <c r="T1101">
        <f>IFERROR($J1101/IF($A1101&lt;COUNTIFS($K$1:T$1,"&lt;&gt;"),0,SUMIFS($J:$J,$B:$B,$B1101,$A:$A,"&gt;="&amp;COUNTIFS($K$1:T$1,"&lt;&gt;"))),0)</f>
        <v>0</v>
      </c>
      <c r="U1101">
        <f>IFERROR($J1101/IF($A1101&lt;COUNTIFS($K$1:U$1,"&lt;&gt;"),0,SUMIFS($J:$J,$B:$B,$B1101,$A:$A,"&gt;="&amp;COUNTIFS($K$1:U$1,"&lt;&gt;"))),0)</f>
        <v>0</v>
      </c>
      <c r="V1101">
        <f>IFERROR($J1101/IF($A1101&lt;COUNTIFS($K$1:V$1,"&lt;&gt;"),0,SUMIFS($J:$J,$B:$B,$B1101,$A:$A,"&gt;="&amp;COUNTIFS($K$1:V$1,"&lt;&gt;"))),0)</f>
        <v>0</v>
      </c>
      <c r="W1101">
        <f t="shared" si="398"/>
        <v>8.4931506849315067E-2</v>
      </c>
      <c r="X1101">
        <f t="shared" si="378"/>
        <v>8.4931506849315067E-2</v>
      </c>
      <c r="Y1101">
        <f t="shared" si="379"/>
        <v>8.4931506849315067E-2</v>
      </c>
      <c r="Z1101">
        <f t="shared" si="380"/>
        <v>8.4931506849315067E-2</v>
      </c>
      <c r="AA1101">
        <f t="shared" si="381"/>
        <v>8.4931506849315067E-2</v>
      </c>
      <c r="AB1101">
        <f t="shared" si="382"/>
        <v>8.4931506849315067E-2</v>
      </c>
      <c r="AC1101">
        <f t="shared" si="383"/>
        <v>8.4931506849315067E-2</v>
      </c>
      <c r="AD1101">
        <f t="shared" si="384"/>
        <v>8.4931506849315067E-2</v>
      </c>
      <c r="AE1101">
        <f t="shared" si="385"/>
        <v>0</v>
      </c>
      <c r="AF1101">
        <f t="shared" si="386"/>
        <v>0</v>
      </c>
      <c r="AG1101">
        <f t="shared" si="387"/>
        <v>0</v>
      </c>
      <c r="AH1101">
        <f t="shared" si="388"/>
        <v>0</v>
      </c>
      <c r="AI1101">
        <f t="shared" si="389"/>
        <v>0</v>
      </c>
      <c r="AJ1101" s="2" t="str">
        <f t="shared" si="399"/>
        <v>746388</v>
      </c>
    </row>
    <row r="1102" spans="1:36" x14ac:dyDescent="0.25">
      <c r="A1102">
        <v>8</v>
      </c>
      <c r="B1102" s="1">
        <v>46388</v>
      </c>
      <c r="C1102" s="1">
        <f t="shared" si="390"/>
        <v>46631</v>
      </c>
      <c r="D1102" s="1">
        <f t="shared" si="391"/>
        <v>46402</v>
      </c>
      <c r="E1102" s="1">
        <f t="shared" si="392"/>
        <v>46631</v>
      </c>
      <c r="F1102" s="1">
        <f t="shared" si="393"/>
        <v>46661</v>
      </c>
      <c r="G1102" s="1">
        <f t="shared" si="394"/>
        <v>46767</v>
      </c>
      <c r="H1102">
        <f t="shared" si="395"/>
        <v>365</v>
      </c>
      <c r="I1102">
        <f t="shared" si="396"/>
        <v>30</v>
      </c>
      <c r="J1102">
        <f t="shared" si="397"/>
        <v>8.2191780821917804E-2</v>
      </c>
      <c r="K1102">
        <f>IFERROR($J1102/IF($A1102&lt;COUNTIFS($K$1:K$1,"&lt;&gt;"),0,SUMIFS($J:$J,$B:$B,$B1102,$A:$A,"&gt;="&amp;COUNTIFS($K$1:K$1,"&lt;&gt;"))),0)</f>
        <v>8.6206896551724144E-2</v>
      </c>
      <c r="L1102">
        <f>IFERROR($J1102/IF($A1102&lt;COUNTIFS($K$1:L$1,"&lt;&gt;"),0,SUMIFS($J:$J,$B:$B,$B1102,$A:$A,"&gt;="&amp;COUNTIFS($K$1:L$1,"&lt;&gt;"))),0)</f>
        <v>9.3750000000000014E-2</v>
      </c>
      <c r="M1102">
        <f>IFERROR($J1102/IF($A1102&lt;COUNTIFS($K$1:M$1,"&lt;&gt;"),0,SUMIFS($J:$J,$B:$B,$B1102,$A:$A,"&gt;="&amp;COUNTIFS($K$1:M$1,"&lt;&gt;"))),0)</f>
        <v>0.10380622837370243</v>
      </c>
      <c r="N1102">
        <f>IFERROR($J1102/IF($A1102&lt;COUNTIFS($K$1:N$1,"&lt;&gt;"),0,SUMIFS($J:$J,$B:$B,$B1102,$A:$A,"&gt;="&amp;COUNTIFS($K$1:N$1,"&lt;&gt;"))),0)</f>
        <v>0.11583011583011585</v>
      </c>
      <c r="O1102">
        <f>IFERROR($J1102/IF($A1102&lt;COUNTIFS($K$1:O$1,"&lt;&gt;"),0,SUMIFS($J:$J,$B:$B,$B1102,$A:$A,"&gt;="&amp;COUNTIFS($K$1:O$1,"&lt;&gt;"))),0)</f>
        <v>0.13157894736842107</v>
      </c>
      <c r="P1102">
        <f>IFERROR($J1102/IF($A1102&lt;COUNTIFS($K$1:P$1,"&lt;&gt;"),0,SUMIFS($J:$J,$B:$B,$B1102,$A:$A,"&gt;="&amp;COUNTIFS($K$1:P$1,"&lt;&gt;"))),0)</f>
        <v>0.15151515151515155</v>
      </c>
      <c r="Q1102">
        <f>IFERROR($J1102/IF($A1102&lt;COUNTIFS($K$1:Q$1,"&lt;&gt;"),0,SUMIFS($J:$J,$B:$B,$B1102,$A:$A,"&gt;="&amp;COUNTIFS($K$1:Q$1,"&lt;&gt;"))),0)</f>
        <v>0.17964071856287425</v>
      </c>
      <c r="R1102">
        <f>IFERROR($J1102/IF($A1102&lt;COUNTIFS($K$1:R$1,"&lt;&gt;"),0,SUMIFS($J:$J,$B:$B,$B1102,$A:$A,"&gt;="&amp;COUNTIFS($K$1:R$1,"&lt;&gt;"))),0)</f>
        <v>0.22058823529411764</v>
      </c>
      <c r="S1102">
        <f>IFERROR($J1102/IF($A1102&lt;COUNTIFS($K$1:S$1,"&lt;&gt;"),0,SUMIFS($J:$J,$B:$B,$B1102,$A:$A,"&gt;="&amp;COUNTIFS($K$1:S$1,"&lt;&gt;"))),0)</f>
        <v>0</v>
      </c>
      <c r="T1102">
        <f>IFERROR($J1102/IF($A1102&lt;COUNTIFS($K$1:T$1,"&lt;&gt;"),0,SUMIFS($J:$J,$B:$B,$B1102,$A:$A,"&gt;="&amp;COUNTIFS($K$1:T$1,"&lt;&gt;"))),0)</f>
        <v>0</v>
      </c>
      <c r="U1102">
        <f>IFERROR($J1102/IF($A1102&lt;COUNTIFS($K$1:U$1,"&lt;&gt;"),0,SUMIFS($J:$J,$B:$B,$B1102,$A:$A,"&gt;="&amp;COUNTIFS($K$1:U$1,"&lt;&gt;"))),0)</f>
        <v>0</v>
      </c>
      <c r="V1102">
        <f>IFERROR($J1102/IF($A1102&lt;COUNTIFS($K$1:V$1,"&lt;&gt;"),0,SUMIFS($J:$J,$B:$B,$B1102,$A:$A,"&gt;="&amp;COUNTIFS($K$1:V$1,"&lt;&gt;"))),0)</f>
        <v>0</v>
      </c>
      <c r="W1102">
        <f t="shared" si="398"/>
        <v>8.2191780821917804E-2</v>
      </c>
      <c r="X1102">
        <f t="shared" si="378"/>
        <v>8.2191780821917804E-2</v>
      </c>
      <c r="Y1102">
        <f t="shared" si="379"/>
        <v>8.2191780821917804E-2</v>
      </c>
      <c r="Z1102">
        <f t="shared" si="380"/>
        <v>8.2191780821917804E-2</v>
      </c>
      <c r="AA1102">
        <f t="shared" si="381"/>
        <v>8.2191780821917804E-2</v>
      </c>
      <c r="AB1102">
        <f t="shared" si="382"/>
        <v>8.2191780821917804E-2</v>
      </c>
      <c r="AC1102">
        <f t="shared" si="383"/>
        <v>8.2191780821917804E-2</v>
      </c>
      <c r="AD1102">
        <f t="shared" si="384"/>
        <v>8.2191780821917804E-2</v>
      </c>
      <c r="AE1102">
        <f t="shared" si="385"/>
        <v>8.2191780821917804E-2</v>
      </c>
      <c r="AF1102">
        <f t="shared" si="386"/>
        <v>0</v>
      </c>
      <c r="AG1102">
        <f t="shared" si="387"/>
        <v>0</v>
      </c>
      <c r="AH1102">
        <f t="shared" si="388"/>
        <v>0</v>
      </c>
      <c r="AI1102">
        <f t="shared" si="389"/>
        <v>0</v>
      </c>
      <c r="AJ1102" s="2" t="str">
        <f t="shared" si="399"/>
        <v>846388</v>
      </c>
    </row>
    <row r="1103" spans="1:36" x14ac:dyDescent="0.25">
      <c r="A1103">
        <v>9</v>
      </c>
      <c r="B1103" s="1">
        <v>46388</v>
      </c>
      <c r="C1103" s="1">
        <f t="shared" si="390"/>
        <v>46661</v>
      </c>
      <c r="D1103" s="1">
        <f t="shared" si="391"/>
        <v>46402</v>
      </c>
      <c r="E1103" s="1">
        <f t="shared" si="392"/>
        <v>46661</v>
      </c>
      <c r="F1103" s="1">
        <f t="shared" si="393"/>
        <v>46692</v>
      </c>
      <c r="G1103" s="1">
        <f t="shared" si="394"/>
        <v>46767</v>
      </c>
      <c r="H1103">
        <f t="shared" si="395"/>
        <v>365</v>
      </c>
      <c r="I1103">
        <f t="shared" si="396"/>
        <v>31</v>
      </c>
      <c r="J1103">
        <f t="shared" si="397"/>
        <v>8.4931506849315067E-2</v>
      </c>
      <c r="K1103">
        <f>IFERROR($J1103/IF($A1103&lt;COUNTIFS($K$1:K$1,"&lt;&gt;"),0,SUMIFS($J:$J,$B:$B,$B1103,$A:$A,"&gt;="&amp;COUNTIFS($K$1:K$1,"&lt;&gt;"))),0)</f>
        <v>8.9080459770114959E-2</v>
      </c>
      <c r="L1103">
        <f>IFERROR($J1103/IF($A1103&lt;COUNTIFS($K$1:L$1,"&lt;&gt;"),0,SUMIFS($J:$J,$B:$B,$B1103,$A:$A,"&gt;="&amp;COUNTIFS($K$1:L$1,"&lt;&gt;"))),0)</f>
        <v>9.6875000000000017E-2</v>
      </c>
      <c r="M1103">
        <f>IFERROR($J1103/IF($A1103&lt;COUNTIFS($K$1:M$1,"&lt;&gt;"),0,SUMIFS($J:$J,$B:$B,$B1103,$A:$A,"&gt;="&amp;COUNTIFS($K$1:M$1,"&lt;&gt;"))),0)</f>
        <v>0.10726643598615919</v>
      </c>
      <c r="N1103">
        <f>IFERROR($J1103/IF($A1103&lt;COUNTIFS($K$1:N$1,"&lt;&gt;"),0,SUMIFS($J:$J,$B:$B,$B1103,$A:$A,"&gt;="&amp;COUNTIFS($K$1:N$1,"&lt;&gt;"))),0)</f>
        <v>0.11969111969111972</v>
      </c>
      <c r="O1103">
        <f>IFERROR($J1103/IF($A1103&lt;COUNTIFS($K$1:O$1,"&lt;&gt;"),0,SUMIFS($J:$J,$B:$B,$B1103,$A:$A,"&gt;="&amp;COUNTIFS($K$1:O$1,"&lt;&gt;"))),0)</f>
        <v>0.13596491228070179</v>
      </c>
      <c r="P1103">
        <f>IFERROR($J1103/IF($A1103&lt;COUNTIFS($K$1:P$1,"&lt;&gt;"),0,SUMIFS($J:$J,$B:$B,$B1103,$A:$A,"&gt;="&amp;COUNTIFS($K$1:P$1,"&lt;&gt;"))),0)</f>
        <v>0.1565656565656566</v>
      </c>
      <c r="Q1103">
        <f>IFERROR($J1103/IF($A1103&lt;COUNTIFS($K$1:Q$1,"&lt;&gt;"),0,SUMIFS($J:$J,$B:$B,$B1103,$A:$A,"&gt;="&amp;COUNTIFS($K$1:Q$1,"&lt;&gt;"))),0)</f>
        <v>0.18562874251497008</v>
      </c>
      <c r="R1103">
        <f>IFERROR($J1103/IF($A1103&lt;COUNTIFS($K$1:R$1,"&lt;&gt;"),0,SUMIFS($J:$J,$B:$B,$B1103,$A:$A,"&gt;="&amp;COUNTIFS($K$1:R$1,"&lt;&gt;"))),0)</f>
        <v>0.22794117647058826</v>
      </c>
      <c r="S1103">
        <f>IFERROR($J1103/IF($A1103&lt;COUNTIFS($K$1:S$1,"&lt;&gt;"),0,SUMIFS($J:$J,$B:$B,$B1103,$A:$A,"&gt;="&amp;COUNTIFS($K$1:S$1,"&lt;&gt;"))),0)</f>
        <v>0.29245283018867929</v>
      </c>
      <c r="T1103">
        <f>IFERROR($J1103/IF($A1103&lt;COUNTIFS($K$1:T$1,"&lt;&gt;"),0,SUMIFS($J:$J,$B:$B,$B1103,$A:$A,"&gt;="&amp;COUNTIFS($K$1:T$1,"&lt;&gt;"))),0)</f>
        <v>0</v>
      </c>
      <c r="U1103">
        <f>IFERROR($J1103/IF($A1103&lt;COUNTIFS($K$1:U$1,"&lt;&gt;"),0,SUMIFS($J:$J,$B:$B,$B1103,$A:$A,"&gt;="&amp;COUNTIFS($K$1:U$1,"&lt;&gt;"))),0)</f>
        <v>0</v>
      </c>
      <c r="V1103">
        <f>IFERROR($J1103/IF($A1103&lt;COUNTIFS($K$1:V$1,"&lt;&gt;"),0,SUMIFS($J:$J,$B:$B,$B1103,$A:$A,"&gt;="&amp;COUNTIFS($K$1:V$1,"&lt;&gt;"))),0)</f>
        <v>0</v>
      </c>
      <c r="W1103">
        <f t="shared" si="398"/>
        <v>8.4931506849315067E-2</v>
      </c>
      <c r="X1103">
        <f t="shared" si="378"/>
        <v>8.4931506849315067E-2</v>
      </c>
      <c r="Y1103">
        <f t="shared" si="379"/>
        <v>8.4931506849315067E-2</v>
      </c>
      <c r="Z1103">
        <f t="shared" si="380"/>
        <v>8.4931506849315067E-2</v>
      </c>
      <c r="AA1103">
        <f t="shared" si="381"/>
        <v>8.4931506849315067E-2</v>
      </c>
      <c r="AB1103">
        <f t="shared" si="382"/>
        <v>8.4931506849315067E-2</v>
      </c>
      <c r="AC1103">
        <f t="shared" si="383"/>
        <v>8.4931506849315067E-2</v>
      </c>
      <c r="AD1103">
        <f t="shared" si="384"/>
        <v>8.4931506849315067E-2</v>
      </c>
      <c r="AE1103">
        <f t="shared" si="385"/>
        <v>8.4931506849315067E-2</v>
      </c>
      <c r="AF1103">
        <f t="shared" si="386"/>
        <v>8.4931506849315067E-2</v>
      </c>
      <c r="AG1103">
        <f t="shared" si="387"/>
        <v>0</v>
      </c>
      <c r="AH1103">
        <f t="shared" si="388"/>
        <v>0</v>
      </c>
      <c r="AI1103">
        <f t="shared" si="389"/>
        <v>0</v>
      </c>
      <c r="AJ1103" s="2" t="str">
        <f t="shared" si="399"/>
        <v>946388</v>
      </c>
    </row>
    <row r="1104" spans="1:36" x14ac:dyDescent="0.25">
      <c r="A1104">
        <v>10</v>
      </c>
      <c r="B1104" s="1">
        <v>46388</v>
      </c>
      <c r="C1104" s="1">
        <f t="shared" si="390"/>
        <v>46692</v>
      </c>
      <c r="D1104" s="1">
        <f t="shared" si="391"/>
        <v>46402</v>
      </c>
      <c r="E1104" s="1">
        <f t="shared" si="392"/>
        <v>46692</v>
      </c>
      <c r="F1104" s="1">
        <f t="shared" si="393"/>
        <v>46722</v>
      </c>
      <c r="G1104" s="1">
        <f t="shared" si="394"/>
        <v>46767</v>
      </c>
      <c r="H1104">
        <f t="shared" si="395"/>
        <v>365</v>
      </c>
      <c r="I1104">
        <f t="shared" si="396"/>
        <v>30</v>
      </c>
      <c r="J1104">
        <f t="shared" si="397"/>
        <v>8.2191780821917804E-2</v>
      </c>
      <c r="K1104">
        <f>IFERROR($J1104/IF($A1104&lt;COUNTIFS($K$1:K$1,"&lt;&gt;"),0,SUMIFS($J:$J,$B:$B,$B1104,$A:$A,"&gt;="&amp;COUNTIFS($K$1:K$1,"&lt;&gt;"))),0)</f>
        <v>8.6206896551724144E-2</v>
      </c>
      <c r="L1104">
        <f>IFERROR($J1104/IF($A1104&lt;COUNTIFS($K$1:L$1,"&lt;&gt;"),0,SUMIFS($J:$J,$B:$B,$B1104,$A:$A,"&gt;="&amp;COUNTIFS($K$1:L$1,"&lt;&gt;"))),0)</f>
        <v>9.3750000000000014E-2</v>
      </c>
      <c r="M1104">
        <f>IFERROR($J1104/IF($A1104&lt;COUNTIFS($K$1:M$1,"&lt;&gt;"),0,SUMIFS($J:$J,$B:$B,$B1104,$A:$A,"&gt;="&amp;COUNTIFS($K$1:M$1,"&lt;&gt;"))),0)</f>
        <v>0.10380622837370243</v>
      </c>
      <c r="N1104">
        <f>IFERROR($J1104/IF($A1104&lt;COUNTIFS($K$1:N$1,"&lt;&gt;"),0,SUMIFS($J:$J,$B:$B,$B1104,$A:$A,"&gt;="&amp;COUNTIFS($K$1:N$1,"&lt;&gt;"))),0)</f>
        <v>0.11583011583011585</v>
      </c>
      <c r="O1104">
        <f>IFERROR($J1104/IF($A1104&lt;COUNTIFS($K$1:O$1,"&lt;&gt;"),0,SUMIFS($J:$J,$B:$B,$B1104,$A:$A,"&gt;="&amp;COUNTIFS($K$1:O$1,"&lt;&gt;"))),0)</f>
        <v>0.13157894736842107</v>
      </c>
      <c r="P1104">
        <f>IFERROR($J1104/IF($A1104&lt;COUNTIFS($K$1:P$1,"&lt;&gt;"),0,SUMIFS($J:$J,$B:$B,$B1104,$A:$A,"&gt;="&amp;COUNTIFS($K$1:P$1,"&lt;&gt;"))),0)</f>
        <v>0.15151515151515155</v>
      </c>
      <c r="Q1104">
        <f>IFERROR($J1104/IF($A1104&lt;COUNTIFS($K$1:Q$1,"&lt;&gt;"),0,SUMIFS($J:$J,$B:$B,$B1104,$A:$A,"&gt;="&amp;COUNTIFS($K$1:Q$1,"&lt;&gt;"))),0)</f>
        <v>0.17964071856287425</v>
      </c>
      <c r="R1104">
        <f>IFERROR($J1104/IF($A1104&lt;COUNTIFS($K$1:R$1,"&lt;&gt;"),0,SUMIFS($J:$J,$B:$B,$B1104,$A:$A,"&gt;="&amp;COUNTIFS($K$1:R$1,"&lt;&gt;"))),0)</f>
        <v>0.22058823529411764</v>
      </c>
      <c r="S1104">
        <f>IFERROR($J1104/IF($A1104&lt;COUNTIFS($K$1:S$1,"&lt;&gt;"),0,SUMIFS($J:$J,$B:$B,$B1104,$A:$A,"&gt;="&amp;COUNTIFS($K$1:S$1,"&lt;&gt;"))),0)</f>
        <v>0.28301886792452829</v>
      </c>
      <c r="T1104">
        <f>IFERROR($J1104/IF($A1104&lt;COUNTIFS($K$1:T$1,"&lt;&gt;"),0,SUMIFS($J:$J,$B:$B,$B1104,$A:$A,"&gt;="&amp;COUNTIFS($K$1:T$1,"&lt;&gt;"))),0)</f>
        <v>0.4</v>
      </c>
      <c r="U1104">
        <f>IFERROR($J1104/IF($A1104&lt;COUNTIFS($K$1:U$1,"&lt;&gt;"),0,SUMIFS($J:$J,$B:$B,$B1104,$A:$A,"&gt;="&amp;COUNTIFS($K$1:U$1,"&lt;&gt;"))),0)</f>
        <v>0</v>
      </c>
      <c r="V1104">
        <f>IFERROR($J1104/IF($A1104&lt;COUNTIFS($K$1:V$1,"&lt;&gt;"),0,SUMIFS($J:$J,$B:$B,$B1104,$A:$A,"&gt;="&amp;COUNTIFS($K$1:V$1,"&lt;&gt;"))),0)</f>
        <v>0</v>
      </c>
      <c r="W1104">
        <f t="shared" si="398"/>
        <v>8.2191780821917804E-2</v>
      </c>
      <c r="X1104">
        <f t="shared" si="378"/>
        <v>8.2191780821917804E-2</v>
      </c>
      <c r="Y1104">
        <f t="shared" si="379"/>
        <v>8.2191780821917804E-2</v>
      </c>
      <c r="Z1104">
        <f t="shared" si="380"/>
        <v>8.2191780821917804E-2</v>
      </c>
      <c r="AA1104">
        <f t="shared" si="381"/>
        <v>8.2191780821917804E-2</v>
      </c>
      <c r="AB1104">
        <f t="shared" si="382"/>
        <v>8.2191780821917804E-2</v>
      </c>
      <c r="AC1104">
        <f t="shared" si="383"/>
        <v>8.2191780821917804E-2</v>
      </c>
      <c r="AD1104">
        <f t="shared" si="384"/>
        <v>8.2191780821917804E-2</v>
      </c>
      <c r="AE1104">
        <f t="shared" si="385"/>
        <v>8.2191780821917804E-2</v>
      </c>
      <c r="AF1104">
        <f t="shared" si="386"/>
        <v>8.2191780821917804E-2</v>
      </c>
      <c r="AG1104">
        <f t="shared" si="387"/>
        <v>8.2191780821917804E-2</v>
      </c>
      <c r="AH1104">
        <f t="shared" si="388"/>
        <v>0</v>
      </c>
      <c r="AI1104">
        <f t="shared" si="389"/>
        <v>0</v>
      </c>
      <c r="AJ1104" s="2" t="str">
        <f t="shared" si="399"/>
        <v>1046388</v>
      </c>
    </row>
    <row r="1105" spans="1:36" x14ac:dyDescent="0.25">
      <c r="A1105">
        <v>11</v>
      </c>
      <c r="B1105" s="1">
        <v>46388</v>
      </c>
      <c r="C1105" s="1">
        <f t="shared" si="390"/>
        <v>46722</v>
      </c>
      <c r="D1105" s="1">
        <f t="shared" si="391"/>
        <v>46402</v>
      </c>
      <c r="E1105" s="1">
        <f t="shared" si="392"/>
        <v>46722</v>
      </c>
      <c r="F1105" s="1">
        <f t="shared" si="393"/>
        <v>46753</v>
      </c>
      <c r="G1105" s="1">
        <f t="shared" si="394"/>
        <v>46767</v>
      </c>
      <c r="H1105">
        <f t="shared" si="395"/>
        <v>365</v>
      </c>
      <c r="I1105">
        <f t="shared" si="396"/>
        <v>31</v>
      </c>
      <c r="J1105">
        <f t="shared" si="397"/>
        <v>8.4931506849315067E-2</v>
      </c>
      <c r="K1105">
        <f>IFERROR($J1105/IF($A1105&lt;COUNTIFS($K$1:K$1,"&lt;&gt;"),0,SUMIFS($J:$J,$B:$B,$B1105,$A:$A,"&gt;="&amp;COUNTIFS($K$1:K$1,"&lt;&gt;"))),0)</f>
        <v>8.9080459770114959E-2</v>
      </c>
      <c r="L1105">
        <f>IFERROR($J1105/IF($A1105&lt;COUNTIFS($K$1:L$1,"&lt;&gt;"),0,SUMIFS($J:$J,$B:$B,$B1105,$A:$A,"&gt;="&amp;COUNTIFS($K$1:L$1,"&lt;&gt;"))),0)</f>
        <v>9.6875000000000017E-2</v>
      </c>
      <c r="M1105">
        <f>IFERROR($J1105/IF($A1105&lt;COUNTIFS($K$1:M$1,"&lt;&gt;"),0,SUMIFS($J:$J,$B:$B,$B1105,$A:$A,"&gt;="&amp;COUNTIFS($K$1:M$1,"&lt;&gt;"))),0)</f>
        <v>0.10726643598615919</v>
      </c>
      <c r="N1105">
        <f>IFERROR($J1105/IF($A1105&lt;COUNTIFS($K$1:N$1,"&lt;&gt;"),0,SUMIFS($J:$J,$B:$B,$B1105,$A:$A,"&gt;="&amp;COUNTIFS($K$1:N$1,"&lt;&gt;"))),0)</f>
        <v>0.11969111969111972</v>
      </c>
      <c r="O1105">
        <f>IFERROR($J1105/IF($A1105&lt;COUNTIFS($K$1:O$1,"&lt;&gt;"),0,SUMIFS($J:$J,$B:$B,$B1105,$A:$A,"&gt;="&amp;COUNTIFS($K$1:O$1,"&lt;&gt;"))),0)</f>
        <v>0.13596491228070179</v>
      </c>
      <c r="P1105">
        <f>IFERROR($J1105/IF($A1105&lt;COUNTIFS($K$1:P$1,"&lt;&gt;"),0,SUMIFS($J:$J,$B:$B,$B1105,$A:$A,"&gt;="&amp;COUNTIFS($K$1:P$1,"&lt;&gt;"))),0)</f>
        <v>0.1565656565656566</v>
      </c>
      <c r="Q1105">
        <f>IFERROR($J1105/IF($A1105&lt;COUNTIFS($K$1:Q$1,"&lt;&gt;"),0,SUMIFS($J:$J,$B:$B,$B1105,$A:$A,"&gt;="&amp;COUNTIFS($K$1:Q$1,"&lt;&gt;"))),0)</f>
        <v>0.18562874251497008</v>
      </c>
      <c r="R1105">
        <f>IFERROR($J1105/IF($A1105&lt;COUNTIFS($K$1:R$1,"&lt;&gt;"),0,SUMIFS($J:$J,$B:$B,$B1105,$A:$A,"&gt;="&amp;COUNTIFS($K$1:R$1,"&lt;&gt;"))),0)</f>
        <v>0.22794117647058826</v>
      </c>
      <c r="S1105">
        <f>IFERROR($J1105/IF($A1105&lt;COUNTIFS($K$1:S$1,"&lt;&gt;"),0,SUMIFS($J:$J,$B:$B,$B1105,$A:$A,"&gt;="&amp;COUNTIFS($K$1:S$1,"&lt;&gt;"))),0)</f>
        <v>0.29245283018867929</v>
      </c>
      <c r="T1105">
        <f>IFERROR($J1105/IF($A1105&lt;COUNTIFS($K$1:T$1,"&lt;&gt;"),0,SUMIFS($J:$J,$B:$B,$B1105,$A:$A,"&gt;="&amp;COUNTIFS($K$1:T$1,"&lt;&gt;"))),0)</f>
        <v>0.41333333333333333</v>
      </c>
      <c r="U1105">
        <f>IFERROR($J1105/IF($A1105&lt;COUNTIFS($K$1:U$1,"&lt;&gt;"),0,SUMIFS($J:$J,$B:$B,$B1105,$A:$A,"&gt;="&amp;COUNTIFS($K$1:U$1,"&lt;&gt;"))),0)</f>
        <v>0.68888888888888888</v>
      </c>
      <c r="V1105">
        <f>IFERROR($J1105/IF($A1105&lt;COUNTIFS($K$1:V$1,"&lt;&gt;"),0,SUMIFS($J:$J,$B:$B,$B1105,$A:$A,"&gt;="&amp;COUNTIFS($K$1:V$1,"&lt;&gt;"))),0)</f>
        <v>0</v>
      </c>
      <c r="W1105">
        <f t="shared" si="398"/>
        <v>8.4931506849315067E-2</v>
      </c>
      <c r="X1105">
        <f t="shared" si="378"/>
        <v>8.4931506849315067E-2</v>
      </c>
      <c r="Y1105">
        <f t="shared" si="379"/>
        <v>8.4931506849315067E-2</v>
      </c>
      <c r="Z1105">
        <f t="shared" si="380"/>
        <v>8.4931506849315067E-2</v>
      </c>
      <c r="AA1105">
        <f t="shared" si="381"/>
        <v>8.4931506849315067E-2</v>
      </c>
      <c r="AB1105">
        <f t="shared" si="382"/>
        <v>8.4931506849315067E-2</v>
      </c>
      <c r="AC1105">
        <f t="shared" si="383"/>
        <v>8.4931506849315067E-2</v>
      </c>
      <c r="AD1105">
        <f t="shared" si="384"/>
        <v>8.4931506849315067E-2</v>
      </c>
      <c r="AE1105">
        <f t="shared" si="385"/>
        <v>8.4931506849315067E-2</v>
      </c>
      <c r="AF1105">
        <f t="shared" si="386"/>
        <v>8.4931506849315067E-2</v>
      </c>
      <c r="AG1105">
        <f t="shared" si="387"/>
        <v>8.4931506849315067E-2</v>
      </c>
      <c r="AH1105">
        <f t="shared" si="388"/>
        <v>8.4931506849315067E-2</v>
      </c>
      <c r="AI1105">
        <f t="shared" si="389"/>
        <v>0</v>
      </c>
      <c r="AJ1105" s="2" t="str">
        <f t="shared" si="399"/>
        <v>1146388</v>
      </c>
    </row>
    <row r="1106" spans="1:36" x14ac:dyDescent="0.25">
      <c r="A1106">
        <v>12</v>
      </c>
      <c r="B1106" s="1">
        <v>46388</v>
      </c>
      <c r="C1106" s="1">
        <f t="shared" si="390"/>
        <v>46753</v>
      </c>
      <c r="D1106" s="1">
        <f t="shared" si="391"/>
        <v>46402</v>
      </c>
      <c r="E1106" s="1">
        <f t="shared" si="392"/>
        <v>46753</v>
      </c>
      <c r="F1106" s="1">
        <f t="shared" si="393"/>
        <v>46767</v>
      </c>
      <c r="G1106" s="1">
        <f t="shared" si="394"/>
        <v>46767</v>
      </c>
      <c r="H1106">
        <f t="shared" si="395"/>
        <v>365</v>
      </c>
      <c r="I1106">
        <f t="shared" si="396"/>
        <v>14</v>
      </c>
      <c r="J1106">
        <f t="shared" si="397"/>
        <v>3.8356164383561646E-2</v>
      </c>
      <c r="K1106">
        <f>IFERROR($J1106/IF($A1106&lt;COUNTIFS($K$1:K$1,"&lt;&gt;"),0,SUMIFS($J:$J,$B:$B,$B1106,$A:$A,"&gt;="&amp;COUNTIFS($K$1:K$1,"&lt;&gt;"))),0)</f>
        <v>4.0229885057471271E-2</v>
      </c>
      <c r="L1106">
        <f>IFERROR($J1106/IF($A1106&lt;COUNTIFS($K$1:L$1,"&lt;&gt;"),0,SUMIFS($J:$J,$B:$B,$B1106,$A:$A,"&gt;="&amp;COUNTIFS($K$1:L$1,"&lt;&gt;"))),0)</f>
        <v>4.3750000000000011E-2</v>
      </c>
      <c r="M1106">
        <f>IFERROR($J1106/IF($A1106&lt;COUNTIFS($K$1:M$1,"&lt;&gt;"),0,SUMIFS($J:$J,$B:$B,$B1106,$A:$A,"&gt;="&amp;COUNTIFS($K$1:M$1,"&lt;&gt;"))),0)</f>
        <v>4.8442906574394477E-2</v>
      </c>
      <c r="N1106">
        <f>IFERROR($J1106/IF($A1106&lt;COUNTIFS($K$1:N$1,"&lt;&gt;"),0,SUMIFS($J:$J,$B:$B,$B1106,$A:$A,"&gt;="&amp;COUNTIFS($K$1:N$1,"&lt;&gt;"))),0)</f>
        <v>5.4054054054054071E-2</v>
      </c>
      <c r="O1106">
        <f>IFERROR($J1106/IF($A1106&lt;COUNTIFS($K$1:O$1,"&lt;&gt;"),0,SUMIFS($J:$J,$B:$B,$B1106,$A:$A,"&gt;="&amp;COUNTIFS($K$1:O$1,"&lt;&gt;"))),0)</f>
        <v>6.1403508771929842E-2</v>
      </c>
      <c r="P1106">
        <f>IFERROR($J1106/IF($A1106&lt;COUNTIFS($K$1:P$1,"&lt;&gt;"),0,SUMIFS($J:$J,$B:$B,$B1106,$A:$A,"&gt;="&amp;COUNTIFS($K$1:P$1,"&lt;&gt;"))),0)</f>
        <v>7.0707070707070732E-2</v>
      </c>
      <c r="Q1106">
        <f>IFERROR($J1106/IF($A1106&lt;COUNTIFS($K$1:Q$1,"&lt;&gt;"),0,SUMIFS($J:$J,$B:$B,$B1106,$A:$A,"&gt;="&amp;COUNTIFS($K$1:Q$1,"&lt;&gt;"))),0)</f>
        <v>8.3832335329341326E-2</v>
      </c>
      <c r="R1106">
        <f>IFERROR($J1106/IF($A1106&lt;COUNTIFS($K$1:R$1,"&lt;&gt;"),0,SUMIFS($J:$J,$B:$B,$B1106,$A:$A,"&gt;="&amp;COUNTIFS($K$1:R$1,"&lt;&gt;"))),0)</f>
        <v>0.10294117647058824</v>
      </c>
      <c r="S1106">
        <f>IFERROR($J1106/IF($A1106&lt;COUNTIFS($K$1:S$1,"&lt;&gt;"),0,SUMIFS($J:$J,$B:$B,$B1106,$A:$A,"&gt;="&amp;COUNTIFS($K$1:S$1,"&lt;&gt;"))),0)</f>
        <v>0.13207547169811323</v>
      </c>
      <c r="T1106">
        <f>IFERROR($J1106/IF($A1106&lt;COUNTIFS($K$1:T$1,"&lt;&gt;"),0,SUMIFS($J:$J,$B:$B,$B1106,$A:$A,"&gt;="&amp;COUNTIFS($K$1:T$1,"&lt;&gt;"))),0)</f>
        <v>0.18666666666666668</v>
      </c>
      <c r="U1106">
        <f>IFERROR($J1106/IF($A1106&lt;COUNTIFS($K$1:U$1,"&lt;&gt;"),0,SUMIFS($J:$J,$B:$B,$B1106,$A:$A,"&gt;="&amp;COUNTIFS($K$1:U$1,"&lt;&gt;"))),0)</f>
        <v>0.31111111111111117</v>
      </c>
      <c r="V1106">
        <f>IFERROR($J1106/IF($A1106&lt;COUNTIFS($K$1:V$1,"&lt;&gt;"),0,SUMIFS($J:$J,$B:$B,$B1106,$A:$A,"&gt;="&amp;COUNTIFS($K$1:V$1,"&lt;&gt;"))),0)</f>
        <v>1</v>
      </c>
      <c r="W1106">
        <f t="shared" si="398"/>
        <v>3.8356164383561646E-2</v>
      </c>
      <c r="X1106">
        <f t="shared" si="378"/>
        <v>3.8356164383561646E-2</v>
      </c>
      <c r="Y1106">
        <f t="shared" si="379"/>
        <v>3.8356164383561646E-2</v>
      </c>
      <c r="Z1106">
        <f t="shared" si="380"/>
        <v>3.8356164383561646E-2</v>
      </c>
      <c r="AA1106">
        <f t="shared" si="381"/>
        <v>3.8356164383561646E-2</v>
      </c>
      <c r="AB1106">
        <f t="shared" si="382"/>
        <v>3.8356164383561646E-2</v>
      </c>
      <c r="AC1106">
        <f t="shared" si="383"/>
        <v>3.8356164383561646E-2</v>
      </c>
      <c r="AD1106">
        <f t="shared" si="384"/>
        <v>3.8356164383561646E-2</v>
      </c>
      <c r="AE1106">
        <f t="shared" si="385"/>
        <v>3.8356164383561646E-2</v>
      </c>
      <c r="AF1106">
        <f t="shared" si="386"/>
        <v>3.8356164383561646E-2</v>
      </c>
      <c r="AG1106">
        <f t="shared" si="387"/>
        <v>3.8356164383561646E-2</v>
      </c>
      <c r="AH1106">
        <f t="shared" si="388"/>
        <v>3.8356164383561646E-2</v>
      </c>
      <c r="AI1106">
        <f t="shared" si="389"/>
        <v>3.8356164383561646E-2</v>
      </c>
      <c r="AJ1106" s="2" t="str">
        <f t="shared" si="399"/>
        <v>1246388</v>
      </c>
    </row>
    <row r="1107" spans="1:36" x14ac:dyDescent="0.25">
      <c r="A1107">
        <v>0</v>
      </c>
      <c r="B1107" s="1">
        <v>46419</v>
      </c>
      <c r="C1107" s="1">
        <f t="shared" si="390"/>
        <v>46419</v>
      </c>
      <c r="D1107" s="1">
        <f t="shared" si="391"/>
        <v>46433</v>
      </c>
      <c r="E1107" s="1">
        <f t="shared" si="392"/>
        <v>46433</v>
      </c>
      <c r="F1107" s="1">
        <f t="shared" si="393"/>
        <v>46447</v>
      </c>
      <c r="G1107" s="1">
        <f t="shared" si="394"/>
        <v>46798</v>
      </c>
      <c r="H1107">
        <f t="shared" si="395"/>
        <v>365</v>
      </c>
      <c r="I1107">
        <f t="shared" si="396"/>
        <v>14</v>
      </c>
      <c r="J1107">
        <f t="shared" si="397"/>
        <v>3.8356164383561646E-2</v>
      </c>
      <c r="K1107">
        <f>IFERROR($J1107/IF($A1107&lt;COUNTIFS($K$1:K$1,"&lt;&gt;"),0,SUMIFS($J:$J,$B:$B,$B1107,$A:$A,"&gt;="&amp;COUNTIFS($K$1:K$1,"&lt;&gt;"))),0)</f>
        <v>0</v>
      </c>
      <c r="L1107">
        <f>IFERROR($J1107/IF($A1107&lt;COUNTIFS($K$1:L$1,"&lt;&gt;"),0,SUMIFS($J:$J,$B:$B,$B1107,$A:$A,"&gt;="&amp;COUNTIFS($K$1:L$1,"&lt;&gt;"))),0)</f>
        <v>0</v>
      </c>
      <c r="M1107">
        <f>IFERROR($J1107/IF($A1107&lt;COUNTIFS($K$1:M$1,"&lt;&gt;"),0,SUMIFS($J:$J,$B:$B,$B1107,$A:$A,"&gt;="&amp;COUNTIFS($K$1:M$1,"&lt;&gt;"))),0)</f>
        <v>0</v>
      </c>
      <c r="N1107">
        <f>IFERROR($J1107/IF($A1107&lt;COUNTIFS($K$1:N$1,"&lt;&gt;"),0,SUMIFS($J:$J,$B:$B,$B1107,$A:$A,"&gt;="&amp;COUNTIFS($K$1:N$1,"&lt;&gt;"))),0)</f>
        <v>0</v>
      </c>
      <c r="O1107">
        <f>IFERROR($J1107/IF($A1107&lt;COUNTIFS($K$1:O$1,"&lt;&gt;"),0,SUMIFS($J:$J,$B:$B,$B1107,$A:$A,"&gt;="&amp;COUNTIFS($K$1:O$1,"&lt;&gt;"))),0)</f>
        <v>0</v>
      </c>
      <c r="P1107">
        <f>IFERROR($J1107/IF($A1107&lt;COUNTIFS($K$1:P$1,"&lt;&gt;"),0,SUMIFS($J:$J,$B:$B,$B1107,$A:$A,"&gt;="&amp;COUNTIFS($K$1:P$1,"&lt;&gt;"))),0)</f>
        <v>0</v>
      </c>
      <c r="Q1107">
        <f>IFERROR($J1107/IF($A1107&lt;COUNTIFS($K$1:Q$1,"&lt;&gt;"),0,SUMIFS($J:$J,$B:$B,$B1107,$A:$A,"&gt;="&amp;COUNTIFS($K$1:Q$1,"&lt;&gt;"))),0)</f>
        <v>0</v>
      </c>
      <c r="R1107">
        <f>IFERROR($J1107/IF($A1107&lt;COUNTIFS($K$1:R$1,"&lt;&gt;"),0,SUMIFS($J:$J,$B:$B,$B1107,$A:$A,"&gt;="&amp;COUNTIFS($K$1:R$1,"&lt;&gt;"))),0)</f>
        <v>0</v>
      </c>
      <c r="S1107">
        <f>IFERROR($J1107/IF($A1107&lt;COUNTIFS($K$1:S$1,"&lt;&gt;"),0,SUMIFS($J:$J,$B:$B,$B1107,$A:$A,"&gt;="&amp;COUNTIFS($K$1:S$1,"&lt;&gt;"))),0)</f>
        <v>0</v>
      </c>
      <c r="T1107">
        <f>IFERROR($J1107/IF($A1107&lt;COUNTIFS($K$1:T$1,"&lt;&gt;"),0,SUMIFS($J:$J,$B:$B,$B1107,$A:$A,"&gt;="&amp;COUNTIFS($K$1:T$1,"&lt;&gt;"))),0)</f>
        <v>0</v>
      </c>
      <c r="U1107">
        <f>IFERROR($J1107/IF($A1107&lt;COUNTIFS($K$1:U$1,"&lt;&gt;"),0,SUMIFS($J:$J,$B:$B,$B1107,$A:$A,"&gt;="&amp;COUNTIFS($K$1:U$1,"&lt;&gt;"))),0)</f>
        <v>0</v>
      </c>
      <c r="V1107">
        <f>IFERROR($J1107/IF($A1107&lt;COUNTIFS($K$1:V$1,"&lt;&gt;"),0,SUMIFS($J:$J,$B:$B,$B1107,$A:$A,"&gt;="&amp;COUNTIFS($K$1:V$1,"&lt;&gt;"))),0)</f>
        <v>0</v>
      </c>
      <c r="W1107">
        <f t="shared" si="398"/>
        <v>3.8356164383561646E-2</v>
      </c>
      <c r="X1107">
        <f t="shared" si="378"/>
        <v>0</v>
      </c>
      <c r="Y1107">
        <f t="shared" si="379"/>
        <v>0</v>
      </c>
      <c r="Z1107">
        <f t="shared" si="380"/>
        <v>0</v>
      </c>
      <c r="AA1107">
        <f t="shared" si="381"/>
        <v>0</v>
      </c>
      <c r="AB1107">
        <f t="shared" si="382"/>
        <v>0</v>
      </c>
      <c r="AC1107">
        <f t="shared" si="383"/>
        <v>0</v>
      </c>
      <c r="AD1107">
        <f t="shared" si="384"/>
        <v>0</v>
      </c>
      <c r="AE1107">
        <f t="shared" si="385"/>
        <v>0</v>
      </c>
      <c r="AF1107">
        <f t="shared" si="386"/>
        <v>0</v>
      </c>
      <c r="AG1107">
        <f t="shared" si="387"/>
        <v>0</v>
      </c>
      <c r="AH1107">
        <f t="shared" si="388"/>
        <v>0</v>
      </c>
      <c r="AI1107">
        <f t="shared" si="389"/>
        <v>0</v>
      </c>
      <c r="AJ1107" s="2" t="str">
        <f t="shared" si="399"/>
        <v>046419</v>
      </c>
    </row>
    <row r="1108" spans="1:36" x14ac:dyDescent="0.25">
      <c r="A1108">
        <v>1</v>
      </c>
      <c r="B1108" s="1">
        <v>46419</v>
      </c>
      <c r="C1108" s="1">
        <f t="shared" si="390"/>
        <v>46447</v>
      </c>
      <c r="D1108" s="1">
        <f t="shared" si="391"/>
        <v>46433</v>
      </c>
      <c r="E1108" s="1">
        <f t="shared" si="392"/>
        <v>46447</v>
      </c>
      <c r="F1108" s="1">
        <f t="shared" si="393"/>
        <v>46478</v>
      </c>
      <c r="G1108" s="1">
        <f t="shared" si="394"/>
        <v>46798</v>
      </c>
      <c r="H1108">
        <f t="shared" si="395"/>
        <v>365</v>
      </c>
      <c r="I1108">
        <f t="shared" si="396"/>
        <v>31</v>
      </c>
      <c r="J1108">
        <f t="shared" si="397"/>
        <v>8.4931506849315067E-2</v>
      </c>
      <c r="K1108">
        <f>IFERROR($J1108/IF($A1108&lt;COUNTIFS($K$1:K$1,"&lt;&gt;"),0,SUMIFS($J:$J,$B:$B,$B1108,$A:$A,"&gt;="&amp;COUNTIFS($K$1:K$1,"&lt;&gt;"))),0)</f>
        <v>8.8319088319088329E-2</v>
      </c>
      <c r="L1108">
        <f>IFERROR($J1108/IF($A1108&lt;COUNTIFS($K$1:L$1,"&lt;&gt;"),0,SUMIFS($J:$J,$B:$B,$B1108,$A:$A,"&gt;="&amp;COUNTIFS($K$1:L$1,"&lt;&gt;"))),0)</f>
        <v>0</v>
      </c>
      <c r="M1108">
        <f>IFERROR($J1108/IF($A1108&lt;COUNTIFS($K$1:M$1,"&lt;&gt;"),0,SUMIFS($J:$J,$B:$B,$B1108,$A:$A,"&gt;="&amp;COUNTIFS($K$1:M$1,"&lt;&gt;"))),0)</f>
        <v>0</v>
      </c>
      <c r="N1108">
        <f>IFERROR($J1108/IF($A1108&lt;COUNTIFS($K$1:N$1,"&lt;&gt;"),0,SUMIFS($J:$J,$B:$B,$B1108,$A:$A,"&gt;="&amp;COUNTIFS($K$1:N$1,"&lt;&gt;"))),0)</f>
        <v>0</v>
      </c>
      <c r="O1108">
        <f>IFERROR($J1108/IF($A1108&lt;COUNTIFS($K$1:O$1,"&lt;&gt;"),0,SUMIFS($J:$J,$B:$B,$B1108,$A:$A,"&gt;="&amp;COUNTIFS($K$1:O$1,"&lt;&gt;"))),0)</f>
        <v>0</v>
      </c>
      <c r="P1108">
        <f>IFERROR($J1108/IF($A1108&lt;COUNTIFS($K$1:P$1,"&lt;&gt;"),0,SUMIFS($J:$J,$B:$B,$B1108,$A:$A,"&gt;="&amp;COUNTIFS($K$1:P$1,"&lt;&gt;"))),0)</f>
        <v>0</v>
      </c>
      <c r="Q1108">
        <f>IFERROR($J1108/IF($A1108&lt;COUNTIFS($K$1:Q$1,"&lt;&gt;"),0,SUMIFS($J:$J,$B:$B,$B1108,$A:$A,"&gt;="&amp;COUNTIFS($K$1:Q$1,"&lt;&gt;"))),0)</f>
        <v>0</v>
      </c>
      <c r="R1108">
        <f>IFERROR($J1108/IF($A1108&lt;COUNTIFS($K$1:R$1,"&lt;&gt;"),0,SUMIFS($J:$J,$B:$B,$B1108,$A:$A,"&gt;="&amp;COUNTIFS($K$1:R$1,"&lt;&gt;"))),0)</f>
        <v>0</v>
      </c>
      <c r="S1108">
        <f>IFERROR($J1108/IF($A1108&lt;COUNTIFS($K$1:S$1,"&lt;&gt;"),0,SUMIFS($J:$J,$B:$B,$B1108,$A:$A,"&gt;="&amp;COUNTIFS($K$1:S$1,"&lt;&gt;"))),0)</f>
        <v>0</v>
      </c>
      <c r="T1108">
        <f>IFERROR($J1108/IF($A1108&lt;COUNTIFS($K$1:T$1,"&lt;&gt;"),0,SUMIFS($J:$J,$B:$B,$B1108,$A:$A,"&gt;="&amp;COUNTIFS($K$1:T$1,"&lt;&gt;"))),0)</f>
        <v>0</v>
      </c>
      <c r="U1108">
        <f>IFERROR($J1108/IF($A1108&lt;COUNTIFS($K$1:U$1,"&lt;&gt;"),0,SUMIFS($J:$J,$B:$B,$B1108,$A:$A,"&gt;="&amp;COUNTIFS($K$1:U$1,"&lt;&gt;"))),0)</f>
        <v>0</v>
      </c>
      <c r="V1108">
        <f>IFERROR($J1108/IF($A1108&lt;COUNTIFS($K$1:V$1,"&lt;&gt;"),0,SUMIFS($J:$J,$B:$B,$B1108,$A:$A,"&gt;="&amp;COUNTIFS($K$1:V$1,"&lt;&gt;"))),0)</f>
        <v>0</v>
      </c>
      <c r="W1108">
        <f t="shared" si="398"/>
        <v>8.4931506849315067E-2</v>
      </c>
      <c r="X1108">
        <f t="shared" si="378"/>
        <v>8.4931506849315067E-2</v>
      </c>
      <c r="Y1108">
        <f t="shared" si="379"/>
        <v>0</v>
      </c>
      <c r="Z1108">
        <f t="shared" si="380"/>
        <v>0</v>
      </c>
      <c r="AA1108">
        <f t="shared" si="381"/>
        <v>0</v>
      </c>
      <c r="AB1108">
        <f t="shared" si="382"/>
        <v>0</v>
      </c>
      <c r="AC1108">
        <f t="shared" si="383"/>
        <v>0</v>
      </c>
      <c r="AD1108">
        <f t="shared" si="384"/>
        <v>0</v>
      </c>
      <c r="AE1108">
        <f t="shared" si="385"/>
        <v>0</v>
      </c>
      <c r="AF1108">
        <f t="shared" si="386"/>
        <v>0</v>
      </c>
      <c r="AG1108">
        <f t="shared" si="387"/>
        <v>0</v>
      </c>
      <c r="AH1108">
        <f t="shared" si="388"/>
        <v>0</v>
      </c>
      <c r="AI1108">
        <f t="shared" si="389"/>
        <v>0</v>
      </c>
      <c r="AJ1108" s="2" t="str">
        <f t="shared" si="399"/>
        <v>146419</v>
      </c>
    </row>
    <row r="1109" spans="1:36" x14ac:dyDescent="0.25">
      <c r="A1109">
        <v>2</v>
      </c>
      <c r="B1109" s="1">
        <v>46419</v>
      </c>
      <c r="C1109" s="1">
        <f t="shared" si="390"/>
        <v>46478</v>
      </c>
      <c r="D1109" s="1">
        <f t="shared" si="391"/>
        <v>46433</v>
      </c>
      <c r="E1109" s="1">
        <f t="shared" si="392"/>
        <v>46478</v>
      </c>
      <c r="F1109" s="1">
        <f t="shared" si="393"/>
        <v>46508</v>
      </c>
      <c r="G1109" s="1">
        <f t="shared" si="394"/>
        <v>46798</v>
      </c>
      <c r="H1109">
        <f t="shared" si="395"/>
        <v>365</v>
      </c>
      <c r="I1109">
        <f t="shared" si="396"/>
        <v>30</v>
      </c>
      <c r="J1109">
        <f t="shared" si="397"/>
        <v>8.2191780821917804E-2</v>
      </c>
      <c r="K1109">
        <f>IFERROR($J1109/IF($A1109&lt;COUNTIFS($K$1:K$1,"&lt;&gt;"),0,SUMIFS($J:$J,$B:$B,$B1109,$A:$A,"&gt;="&amp;COUNTIFS($K$1:K$1,"&lt;&gt;"))),0)</f>
        <v>8.5470085470085486E-2</v>
      </c>
      <c r="L1109">
        <f>IFERROR($J1109/IF($A1109&lt;COUNTIFS($K$1:L$1,"&lt;&gt;"),0,SUMIFS($J:$J,$B:$B,$B1109,$A:$A,"&gt;="&amp;COUNTIFS($K$1:L$1,"&lt;&gt;"))),0)</f>
        <v>9.3750000000000014E-2</v>
      </c>
      <c r="M1109">
        <f>IFERROR($J1109/IF($A1109&lt;COUNTIFS($K$1:M$1,"&lt;&gt;"),0,SUMIFS($J:$J,$B:$B,$B1109,$A:$A,"&gt;="&amp;COUNTIFS($K$1:M$1,"&lt;&gt;"))),0)</f>
        <v>0</v>
      </c>
      <c r="N1109">
        <f>IFERROR($J1109/IF($A1109&lt;COUNTIFS($K$1:N$1,"&lt;&gt;"),0,SUMIFS($J:$J,$B:$B,$B1109,$A:$A,"&gt;="&amp;COUNTIFS($K$1:N$1,"&lt;&gt;"))),0)</f>
        <v>0</v>
      </c>
      <c r="O1109">
        <f>IFERROR($J1109/IF($A1109&lt;COUNTIFS($K$1:O$1,"&lt;&gt;"),0,SUMIFS($J:$J,$B:$B,$B1109,$A:$A,"&gt;="&amp;COUNTIFS($K$1:O$1,"&lt;&gt;"))),0)</f>
        <v>0</v>
      </c>
      <c r="P1109">
        <f>IFERROR($J1109/IF($A1109&lt;COUNTIFS($K$1:P$1,"&lt;&gt;"),0,SUMIFS($J:$J,$B:$B,$B1109,$A:$A,"&gt;="&amp;COUNTIFS($K$1:P$1,"&lt;&gt;"))),0)</f>
        <v>0</v>
      </c>
      <c r="Q1109">
        <f>IFERROR($J1109/IF($A1109&lt;COUNTIFS($K$1:Q$1,"&lt;&gt;"),0,SUMIFS($J:$J,$B:$B,$B1109,$A:$A,"&gt;="&amp;COUNTIFS($K$1:Q$1,"&lt;&gt;"))),0)</f>
        <v>0</v>
      </c>
      <c r="R1109">
        <f>IFERROR($J1109/IF($A1109&lt;COUNTIFS($K$1:R$1,"&lt;&gt;"),0,SUMIFS($J:$J,$B:$B,$B1109,$A:$A,"&gt;="&amp;COUNTIFS($K$1:R$1,"&lt;&gt;"))),0)</f>
        <v>0</v>
      </c>
      <c r="S1109">
        <f>IFERROR($J1109/IF($A1109&lt;COUNTIFS($K$1:S$1,"&lt;&gt;"),0,SUMIFS($J:$J,$B:$B,$B1109,$A:$A,"&gt;="&amp;COUNTIFS($K$1:S$1,"&lt;&gt;"))),0)</f>
        <v>0</v>
      </c>
      <c r="T1109">
        <f>IFERROR($J1109/IF($A1109&lt;COUNTIFS($K$1:T$1,"&lt;&gt;"),0,SUMIFS($J:$J,$B:$B,$B1109,$A:$A,"&gt;="&amp;COUNTIFS($K$1:T$1,"&lt;&gt;"))),0)</f>
        <v>0</v>
      </c>
      <c r="U1109">
        <f>IFERROR($J1109/IF($A1109&lt;COUNTIFS($K$1:U$1,"&lt;&gt;"),0,SUMIFS($J:$J,$B:$B,$B1109,$A:$A,"&gt;="&amp;COUNTIFS($K$1:U$1,"&lt;&gt;"))),0)</f>
        <v>0</v>
      </c>
      <c r="V1109">
        <f>IFERROR($J1109/IF($A1109&lt;COUNTIFS($K$1:V$1,"&lt;&gt;"),0,SUMIFS($J:$J,$B:$B,$B1109,$A:$A,"&gt;="&amp;COUNTIFS($K$1:V$1,"&lt;&gt;"))),0)</f>
        <v>0</v>
      </c>
      <c r="W1109">
        <f t="shared" si="398"/>
        <v>8.2191780821917804E-2</v>
      </c>
      <c r="X1109">
        <f t="shared" si="378"/>
        <v>8.2191780821917804E-2</v>
      </c>
      <c r="Y1109">
        <f t="shared" si="379"/>
        <v>8.2191780821917804E-2</v>
      </c>
      <c r="Z1109">
        <f t="shared" si="380"/>
        <v>0</v>
      </c>
      <c r="AA1109">
        <f t="shared" si="381"/>
        <v>0</v>
      </c>
      <c r="AB1109">
        <f t="shared" si="382"/>
        <v>0</v>
      </c>
      <c r="AC1109">
        <f t="shared" si="383"/>
        <v>0</v>
      </c>
      <c r="AD1109">
        <f t="shared" si="384"/>
        <v>0</v>
      </c>
      <c r="AE1109">
        <f t="shared" si="385"/>
        <v>0</v>
      </c>
      <c r="AF1109">
        <f t="shared" si="386"/>
        <v>0</v>
      </c>
      <c r="AG1109">
        <f t="shared" si="387"/>
        <v>0</v>
      </c>
      <c r="AH1109">
        <f t="shared" si="388"/>
        <v>0</v>
      </c>
      <c r="AI1109">
        <f t="shared" si="389"/>
        <v>0</v>
      </c>
      <c r="AJ1109" s="2" t="str">
        <f t="shared" si="399"/>
        <v>246419</v>
      </c>
    </row>
    <row r="1110" spans="1:36" x14ac:dyDescent="0.25">
      <c r="A1110">
        <v>3</v>
      </c>
      <c r="B1110" s="1">
        <v>46419</v>
      </c>
      <c r="C1110" s="1">
        <f t="shared" si="390"/>
        <v>46508</v>
      </c>
      <c r="D1110" s="1">
        <f t="shared" si="391"/>
        <v>46433</v>
      </c>
      <c r="E1110" s="1">
        <f t="shared" si="392"/>
        <v>46508</v>
      </c>
      <c r="F1110" s="1">
        <f t="shared" si="393"/>
        <v>46539</v>
      </c>
      <c r="G1110" s="1">
        <f t="shared" si="394"/>
        <v>46798</v>
      </c>
      <c r="H1110">
        <f t="shared" si="395"/>
        <v>365</v>
      </c>
      <c r="I1110">
        <f t="shared" si="396"/>
        <v>31</v>
      </c>
      <c r="J1110">
        <f t="shared" si="397"/>
        <v>8.4931506849315067E-2</v>
      </c>
      <c r="K1110">
        <f>IFERROR($J1110/IF($A1110&lt;COUNTIFS($K$1:K$1,"&lt;&gt;"),0,SUMIFS($J:$J,$B:$B,$B1110,$A:$A,"&gt;="&amp;COUNTIFS($K$1:K$1,"&lt;&gt;"))),0)</f>
        <v>8.8319088319088329E-2</v>
      </c>
      <c r="L1110">
        <f>IFERROR($J1110/IF($A1110&lt;COUNTIFS($K$1:L$1,"&lt;&gt;"),0,SUMIFS($J:$J,$B:$B,$B1110,$A:$A,"&gt;="&amp;COUNTIFS($K$1:L$1,"&lt;&gt;"))),0)</f>
        <v>9.6875000000000017E-2</v>
      </c>
      <c r="M1110">
        <f>IFERROR($J1110/IF($A1110&lt;COUNTIFS($K$1:M$1,"&lt;&gt;"),0,SUMIFS($J:$J,$B:$B,$B1110,$A:$A,"&gt;="&amp;COUNTIFS($K$1:M$1,"&lt;&gt;"))),0)</f>
        <v>0.10689655172413795</v>
      </c>
      <c r="N1110">
        <f>IFERROR($J1110/IF($A1110&lt;COUNTIFS($K$1:N$1,"&lt;&gt;"),0,SUMIFS($J:$J,$B:$B,$B1110,$A:$A,"&gt;="&amp;COUNTIFS($K$1:N$1,"&lt;&gt;"))),0)</f>
        <v>0</v>
      </c>
      <c r="O1110">
        <f>IFERROR($J1110/IF($A1110&lt;COUNTIFS($K$1:O$1,"&lt;&gt;"),0,SUMIFS($J:$J,$B:$B,$B1110,$A:$A,"&gt;="&amp;COUNTIFS($K$1:O$1,"&lt;&gt;"))),0)</f>
        <v>0</v>
      </c>
      <c r="P1110">
        <f>IFERROR($J1110/IF($A1110&lt;COUNTIFS($K$1:P$1,"&lt;&gt;"),0,SUMIFS($J:$J,$B:$B,$B1110,$A:$A,"&gt;="&amp;COUNTIFS($K$1:P$1,"&lt;&gt;"))),0)</f>
        <v>0</v>
      </c>
      <c r="Q1110">
        <f>IFERROR($J1110/IF($A1110&lt;COUNTIFS($K$1:Q$1,"&lt;&gt;"),0,SUMIFS($J:$J,$B:$B,$B1110,$A:$A,"&gt;="&amp;COUNTIFS($K$1:Q$1,"&lt;&gt;"))),0)</f>
        <v>0</v>
      </c>
      <c r="R1110">
        <f>IFERROR($J1110/IF($A1110&lt;COUNTIFS($K$1:R$1,"&lt;&gt;"),0,SUMIFS($J:$J,$B:$B,$B1110,$A:$A,"&gt;="&amp;COUNTIFS($K$1:R$1,"&lt;&gt;"))),0)</f>
        <v>0</v>
      </c>
      <c r="S1110">
        <f>IFERROR($J1110/IF($A1110&lt;COUNTIFS($K$1:S$1,"&lt;&gt;"),0,SUMIFS($J:$J,$B:$B,$B1110,$A:$A,"&gt;="&amp;COUNTIFS($K$1:S$1,"&lt;&gt;"))),0)</f>
        <v>0</v>
      </c>
      <c r="T1110">
        <f>IFERROR($J1110/IF($A1110&lt;COUNTIFS($K$1:T$1,"&lt;&gt;"),0,SUMIFS($J:$J,$B:$B,$B1110,$A:$A,"&gt;="&amp;COUNTIFS($K$1:T$1,"&lt;&gt;"))),0)</f>
        <v>0</v>
      </c>
      <c r="U1110">
        <f>IFERROR($J1110/IF($A1110&lt;COUNTIFS($K$1:U$1,"&lt;&gt;"),0,SUMIFS($J:$J,$B:$B,$B1110,$A:$A,"&gt;="&amp;COUNTIFS($K$1:U$1,"&lt;&gt;"))),0)</f>
        <v>0</v>
      </c>
      <c r="V1110">
        <f>IFERROR($J1110/IF($A1110&lt;COUNTIFS($K$1:V$1,"&lt;&gt;"),0,SUMIFS($J:$J,$B:$B,$B1110,$A:$A,"&gt;="&amp;COUNTIFS($K$1:V$1,"&lt;&gt;"))),0)</f>
        <v>0</v>
      </c>
      <c r="W1110">
        <f t="shared" si="398"/>
        <v>8.4931506849315067E-2</v>
      </c>
      <c r="X1110">
        <f t="shared" si="378"/>
        <v>8.4931506849315067E-2</v>
      </c>
      <c r="Y1110">
        <f t="shared" si="379"/>
        <v>8.4931506849315067E-2</v>
      </c>
      <c r="Z1110">
        <f t="shared" si="380"/>
        <v>8.4931506849315067E-2</v>
      </c>
      <c r="AA1110">
        <f t="shared" si="381"/>
        <v>0</v>
      </c>
      <c r="AB1110">
        <f t="shared" si="382"/>
        <v>0</v>
      </c>
      <c r="AC1110">
        <f t="shared" si="383"/>
        <v>0</v>
      </c>
      <c r="AD1110">
        <f t="shared" si="384"/>
        <v>0</v>
      </c>
      <c r="AE1110">
        <f t="shared" si="385"/>
        <v>0</v>
      </c>
      <c r="AF1110">
        <f t="shared" si="386"/>
        <v>0</v>
      </c>
      <c r="AG1110">
        <f t="shared" si="387"/>
        <v>0</v>
      </c>
      <c r="AH1110">
        <f t="shared" si="388"/>
        <v>0</v>
      </c>
      <c r="AI1110">
        <f t="shared" si="389"/>
        <v>0</v>
      </c>
      <c r="AJ1110" s="2" t="str">
        <f t="shared" si="399"/>
        <v>346419</v>
      </c>
    </row>
    <row r="1111" spans="1:36" x14ac:dyDescent="0.25">
      <c r="A1111">
        <v>4</v>
      </c>
      <c r="B1111" s="1">
        <v>46419</v>
      </c>
      <c r="C1111" s="1">
        <f t="shared" si="390"/>
        <v>46539</v>
      </c>
      <c r="D1111" s="1">
        <f t="shared" si="391"/>
        <v>46433</v>
      </c>
      <c r="E1111" s="1">
        <f t="shared" si="392"/>
        <v>46539</v>
      </c>
      <c r="F1111" s="1">
        <f t="shared" si="393"/>
        <v>46569</v>
      </c>
      <c r="G1111" s="1">
        <f t="shared" si="394"/>
        <v>46798</v>
      </c>
      <c r="H1111">
        <f t="shared" si="395"/>
        <v>365</v>
      </c>
      <c r="I1111">
        <f t="shared" si="396"/>
        <v>30</v>
      </c>
      <c r="J1111">
        <f t="shared" si="397"/>
        <v>8.2191780821917804E-2</v>
      </c>
      <c r="K1111">
        <f>IFERROR($J1111/IF($A1111&lt;COUNTIFS($K$1:K$1,"&lt;&gt;"),0,SUMIFS($J:$J,$B:$B,$B1111,$A:$A,"&gt;="&amp;COUNTIFS($K$1:K$1,"&lt;&gt;"))),0)</f>
        <v>8.5470085470085486E-2</v>
      </c>
      <c r="L1111">
        <f>IFERROR($J1111/IF($A1111&lt;COUNTIFS($K$1:L$1,"&lt;&gt;"),0,SUMIFS($J:$J,$B:$B,$B1111,$A:$A,"&gt;="&amp;COUNTIFS($K$1:L$1,"&lt;&gt;"))),0)</f>
        <v>9.3750000000000014E-2</v>
      </c>
      <c r="M1111">
        <f>IFERROR($J1111/IF($A1111&lt;COUNTIFS($K$1:M$1,"&lt;&gt;"),0,SUMIFS($J:$J,$B:$B,$B1111,$A:$A,"&gt;="&amp;COUNTIFS($K$1:M$1,"&lt;&gt;"))),0)</f>
        <v>0.10344827586206898</v>
      </c>
      <c r="N1111">
        <f>IFERROR($J1111/IF($A1111&lt;COUNTIFS($K$1:N$1,"&lt;&gt;"),0,SUMIFS($J:$J,$B:$B,$B1111,$A:$A,"&gt;="&amp;COUNTIFS($K$1:N$1,"&lt;&gt;"))),0)</f>
        <v>0.11583011583011585</v>
      </c>
      <c r="O1111">
        <f>IFERROR($J1111/IF($A1111&lt;COUNTIFS($K$1:O$1,"&lt;&gt;"),0,SUMIFS($J:$J,$B:$B,$B1111,$A:$A,"&gt;="&amp;COUNTIFS($K$1:O$1,"&lt;&gt;"))),0)</f>
        <v>0</v>
      </c>
      <c r="P1111">
        <f>IFERROR($J1111/IF($A1111&lt;COUNTIFS($K$1:P$1,"&lt;&gt;"),0,SUMIFS($J:$J,$B:$B,$B1111,$A:$A,"&gt;="&amp;COUNTIFS($K$1:P$1,"&lt;&gt;"))),0)</f>
        <v>0</v>
      </c>
      <c r="Q1111">
        <f>IFERROR($J1111/IF($A1111&lt;COUNTIFS($K$1:Q$1,"&lt;&gt;"),0,SUMIFS($J:$J,$B:$B,$B1111,$A:$A,"&gt;="&amp;COUNTIFS($K$1:Q$1,"&lt;&gt;"))),0)</f>
        <v>0</v>
      </c>
      <c r="R1111">
        <f>IFERROR($J1111/IF($A1111&lt;COUNTIFS($K$1:R$1,"&lt;&gt;"),0,SUMIFS($J:$J,$B:$B,$B1111,$A:$A,"&gt;="&amp;COUNTIFS($K$1:R$1,"&lt;&gt;"))),0)</f>
        <v>0</v>
      </c>
      <c r="S1111">
        <f>IFERROR($J1111/IF($A1111&lt;COUNTIFS($K$1:S$1,"&lt;&gt;"),0,SUMIFS($J:$J,$B:$B,$B1111,$A:$A,"&gt;="&amp;COUNTIFS($K$1:S$1,"&lt;&gt;"))),0)</f>
        <v>0</v>
      </c>
      <c r="T1111">
        <f>IFERROR($J1111/IF($A1111&lt;COUNTIFS($K$1:T$1,"&lt;&gt;"),0,SUMIFS($J:$J,$B:$B,$B1111,$A:$A,"&gt;="&amp;COUNTIFS($K$1:T$1,"&lt;&gt;"))),0)</f>
        <v>0</v>
      </c>
      <c r="U1111">
        <f>IFERROR($J1111/IF($A1111&lt;COUNTIFS($K$1:U$1,"&lt;&gt;"),0,SUMIFS($J:$J,$B:$B,$B1111,$A:$A,"&gt;="&amp;COUNTIFS($K$1:U$1,"&lt;&gt;"))),0)</f>
        <v>0</v>
      </c>
      <c r="V1111">
        <f>IFERROR($J1111/IF($A1111&lt;COUNTIFS($K$1:V$1,"&lt;&gt;"),0,SUMIFS($J:$J,$B:$B,$B1111,$A:$A,"&gt;="&amp;COUNTIFS($K$1:V$1,"&lt;&gt;"))),0)</f>
        <v>0</v>
      </c>
      <c r="W1111">
        <f t="shared" si="398"/>
        <v>8.2191780821917804E-2</v>
      </c>
      <c r="X1111">
        <f t="shared" si="378"/>
        <v>8.2191780821917804E-2</v>
      </c>
      <c r="Y1111">
        <f t="shared" si="379"/>
        <v>8.2191780821917804E-2</v>
      </c>
      <c r="Z1111">
        <f t="shared" si="380"/>
        <v>8.2191780821917804E-2</v>
      </c>
      <c r="AA1111">
        <f t="shared" si="381"/>
        <v>8.2191780821917804E-2</v>
      </c>
      <c r="AB1111">
        <f t="shared" si="382"/>
        <v>0</v>
      </c>
      <c r="AC1111">
        <f t="shared" si="383"/>
        <v>0</v>
      </c>
      <c r="AD1111">
        <f t="shared" si="384"/>
        <v>0</v>
      </c>
      <c r="AE1111">
        <f t="shared" si="385"/>
        <v>0</v>
      </c>
      <c r="AF1111">
        <f t="shared" si="386"/>
        <v>0</v>
      </c>
      <c r="AG1111">
        <f t="shared" si="387"/>
        <v>0</v>
      </c>
      <c r="AH1111">
        <f t="shared" si="388"/>
        <v>0</v>
      </c>
      <c r="AI1111">
        <f t="shared" si="389"/>
        <v>0</v>
      </c>
      <c r="AJ1111" s="2" t="str">
        <f t="shared" si="399"/>
        <v>446419</v>
      </c>
    </row>
    <row r="1112" spans="1:36" x14ac:dyDescent="0.25">
      <c r="A1112">
        <v>5</v>
      </c>
      <c r="B1112" s="1">
        <v>46419</v>
      </c>
      <c r="C1112" s="1">
        <f t="shared" si="390"/>
        <v>46569</v>
      </c>
      <c r="D1112" s="1">
        <f t="shared" si="391"/>
        <v>46433</v>
      </c>
      <c r="E1112" s="1">
        <f t="shared" si="392"/>
        <v>46569</v>
      </c>
      <c r="F1112" s="1">
        <f t="shared" si="393"/>
        <v>46600</v>
      </c>
      <c r="G1112" s="1">
        <f t="shared" si="394"/>
        <v>46798</v>
      </c>
      <c r="H1112">
        <f t="shared" si="395"/>
        <v>365</v>
      </c>
      <c r="I1112">
        <f t="shared" si="396"/>
        <v>31</v>
      </c>
      <c r="J1112">
        <f t="shared" si="397"/>
        <v>8.4931506849315067E-2</v>
      </c>
      <c r="K1112">
        <f>IFERROR($J1112/IF($A1112&lt;COUNTIFS($K$1:K$1,"&lt;&gt;"),0,SUMIFS($J:$J,$B:$B,$B1112,$A:$A,"&gt;="&amp;COUNTIFS($K$1:K$1,"&lt;&gt;"))),0)</f>
        <v>8.8319088319088329E-2</v>
      </c>
      <c r="L1112">
        <f>IFERROR($J1112/IF($A1112&lt;COUNTIFS($K$1:L$1,"&lt;&gt;"),0,SUMIFS($J:$J,$B:$B,$B1112,$A:$A,"&gt;="&amp;COUNTIFS($K$1:L$1,"&lt;&gt;"))),0)</f>
        <v>9.6875000000000017E-2</v>
      </c>
      <c r="M1112">
        <f>IFERROR($J1112/IF($A1112&lt;COUNTIFS($K$1:M$1,"&lt;&gt;"),0,SUMIFS($J:$J,$B:$B,$B1112,$A:$A,"&gt;="&amp;COUNTIFS($K$1:M$1,"&lt;&gt;"))),0)</f>
        <v>0.10689655172413795</v>
      </c>
      <c r="N1112">
        <f>IFERROR($J1112/IF($A1112&lt;COUNTIFS($K$1:N$1,"&lt;&gt;"),0,SUMIFS($J:$J,$B:$B,$B1112,$A:$A,"&gt;="&amp;COUNTIFS($K$1:N$1,"&lt;&gt;"))),0)</f>
        <v>0.11969111969111972</v>
      </c>
      <c r="O1112">
        <f>IFERROR($J1112/IF($A1112&lt;COUNTIFS($K$1:O$1,"&lt;&gt;"),0,SUMIFS($J:$J,$B:$B,$B1112,$A:$A,"&gt;="&amp;COUNTIFS($K$1:O$1,"&lt;&gt;"))),0)</f>
        <v>0.13537117903930135</v>
      </c>
      <c r="P1112">
        <f>IFERROR($J1112/IF($A1112&lt;COUNTIFS($K$1:P$1,"&lt;&gt;"),0,SUMIFS($J:$J,$B:$B,$B1112,$A:$A,"&gt;="&amp;COUNTIFS($K$1:P$1,"&lt;&gt;"))),0)</f>
        <v>0</v>
      </c>
      <c r="Q1112">
        <f>IFERROR($J1112/IF($A1112&lt;COUNTIFS($K$1:Q$1,"&lt;&gt;"),0,SUMIFS($J:$J,$B:$B,$B1112,$A:$A,"&gt;="&amp;COUNTIFS($K$1:Q$1,"&lt;&gt;"))),0)</f>
        <v>0</v>
      </c>
      <c r="R1112">
        <f>IFERROR($J1112/IF($A1112&lt;COUNTIFS($K$1:R$1,"&lt;&gt;"),0,SUMIFS($J:$J,$B:$B,$B1112,$A:$A,"&gt;="&amp;COUNTIFS($K$1:R$1,"&lt;&gt;"))),0)</f>
        <v>0</v>
      </c>
      <c r="S1112">
        <f>IFERROR($J1112/IF($A1112&lt;COUNTIFS($K$1:S$1,"&lt;&gt;"),0,SUMIFS($J:$J,$B:$B,$B1112,$A:$A,"&gt;="&amp;COUNTIFS($K$1:S$1,"&lt;&gt;"))),0)</f>
        <v>0</v>
      </c>
      <c r="T1112">
        <f>IFERROR($J1112/IF($A1112&lt;COUNTIFS($K$1:T$1,"&lt;&gt;"),0,SUMIFS($J:$J,$B:$B,$B1112,$A:$A,"&gt;="&amp;COUNTIFS($K$1:T$1,"&lt;&gt;"))),0)</f>
        <v>0</v>
      </c>
      <c r="U1112">
        <f>IFERROR($J1112/IF($A1112&lt;COUNTIFS($K$1:U$1,"&lt;&gt;"),0,SUMIFS($J:$J,$B:$B,$B1112,$A:$A,"&gt;="&amp;COUNTIFS($K$1:U$1,"&lt;&gt;"))),0)</f>
        <v>0</v>
      </c>
      <c r="V1112">
        <f>IFERROR($J1112/IF($A1112&lt;COUNTIFS($K$1:V$1,"&lt;&gt;"),0,SUMIFS($J:$J,$B:$B,$B1112,$A:$A,"&gt;="&amp;COUNTIFS($K$1:V$1,"&lt;&gt;"))),0)</f>
        <v>0</v>
      </c>
      <c r="W1112">
        <f t="shared" si="398"/>
        <v>8.4931506849315067E-2</v>
      </c>
      <c r="X1112">
        <f t="shared" si="378"/>
        <v>8.4931506849315067E-2</v>
      </c>
      <c r="Y1112">
        <f t="shared" si="379"/>
        <v>8.4931506849315067E-2</v>
      </c>
      <c r="Z1112">
        <f t="shared" si="380"/>
        <v>8.4931506849315067E-2</v>
      </c>
      <c r="AA1112">
        <f t="shared" si="381"/>
        <v>8.4931506849315067E-2</v>
      </c>
      <c r="AB1112">
        <f t="shared" si="382"/>
        <v>8.4931506849315067E-2</v>
      </c>
      <c r="AC1112">
        <f t="shared" si="383"/>
        <v>0</v>
      </c>
      <c r="AD1112">
        <f t="shared" si="384"/>
        <v>0</v>
      </c>
      <c r="AE1112">
        <f t="shared" si="385"/>
        <v>0</v>
      </c>
      <c r="AF1112">
        <f t="shared" si="386"/>
        <v>0</v>
      </c>
      <c r="AG1112">
        <f t="shared" si="387"/>
        <v>0</v>
      </c>
      <c r="AH1112">
        <f t="shared" si="388"/>
        <v>0</v>
      </c>
      <c r="AI1112">
        <f t="shared" si="389"/>
        <v>0</v>
      </c>
      <c r="AJ1112" s="2" t="str">
        <f t="shared" si="399"/>
        <v>546419</v>
      </c>
    </row>
    <row r="1113" spans="1:36" x14ac:dyDescent="0.25">
      <c r="A1113">
        <v>6</v>
      </c>
      <c r="B1113" s="1">
        <v>46419</v>
      </c>
      <c r="C1113" s="1">
        <f t="shared" si="390"/>
        <v>46600</v>
      </c>
      <c r="D1113" s="1">
        <f t="shared" si="391"/>
        <v>46433</v>
      </c>
      <c r="E1113" s="1">
        <f t="shared" si="392"/>
        <v>46600</v>
      </c>
      <c r="F1113" s="1">
        <f t="shared" si="393"/>
        <v>46631</v>
      </c>
      <c r="G1113" s="1">
        <f t="shared" si="394"/>
        <v>46798</v>
      </c>
      <c r="H1113">
        <f t="shared" si="395"/>
        <v>365</v>
      </c>
      <c r="I1113">
        <f t="shared" si="396"/>
        <v>31</v>
      </c>
      <c r="J1113">
        <f t="shared" si="397"/>
        <v>8.4931506849315067E-2</v>
      </c>
      <c r="K1113">
        <f>IFERROR($J1113/IF($A1113&lt;COUNTIFS($K$1:K$1,"&lt;&gt;"),0,SUMIFS($J:$J,$B:$B,$B1113,$A:$A,"&gt;="&amp;COUNTIFS($K$1:K$1,"&lt;&gt;"))),0)</f>
        <v>8.8319088319088329E-2</v>
      </c>
      <c r="L1113">
        <f>IFERROR($J1113/IF($A1113&lt;COUNTIFS($K$1:L$1,"&lt;&gt;"),0,SUMIFS($J:$J,$B:$B,$B1113,$A:$A,"&gt;="&amp;COUNTIFS($K$1:L$1,"&lt;&gt;"))),0)</f>
        <v>9.6875000000000017E-2</v>
      </c>
      <c r="M1113">
        <f>IFERROR($J1113/IF($A1113&lt;COUNTIFS($K$1:M$1,"&lt;&gt;"),0,SUMIFS($J:$J,$B:$B,$B1113,$A:$A,"&gt;="&amp;COUNTIFS($K$1:M$1,"&lt;&gt;"))),0)</f>
        <v>0.10689655172413795</v>
      </c>
      <c r="N1113">
        <f>IFERROR($J1113/IF($A1113&lt;COUNTIFS($K$1:N$1,"&lt;&gt;"),0,SUMIFS($J:$J,$B:$B,$B1113,$A:$A,"&gt;="&amp;COUNTIFS($K$1:N$1,"&lt;&gt;"))),0)</f>
        <v>0.11969111969111972</v>
      </c>
      <c r="O1113">
        <f>IFERROR($J1113/IF($A1113&lt;COUNTIFS($K$1:O$1,"&lt;&gt;"),0,SUMIFS($J:$J,$B:$B,$B1113,$A:$A,"&gt;="&amp;COUNTIFS($K$1:O$1,"&lt;&gt;"))),0)</f>
        <v>0.13537117903930135</v>
      </c>
      <c r="P1113">
        <f>IFERROR($J1113/IF($A1113&lt;COUNTIFS($K$1:P$1,"&lt;&gt;"),0,SUMIFS($J:$J,$B:$B,$B1113,$A:$A,"&gt;="&amp;COUNTIFS($K$1:P$1,"&lt;&gt;"))),0)</f>
        <v>0.1565656565656566</v>
      </c>
      <c r="Q1113">
        <f>IFERROR($J1113/IF($A1113&lt;COUNTIFS($K$1:Q$1,"&lt;&gt;"),0,SUMIFS($J:$J,$B:$B,$B1113,$A:$A,"&gt;="&amp;COUNTIFS($K$1:Q$1,"&lt;&gt;"))),0)</f>
        <v>0</v>
      </c>
      <c r="R1113">
        <f>IFERROR($J1113/IF($A1113&lt;COUNTIFS($K$1:R$1,"&lt;&gt;"),0,SUMIFS($J:$J,$B:$B,$B1113,$A:$A,"&gt;="&amp;COUNTIFS($K$1:R$1,"&lt;&gt;"))),0)</f>
        <v>0</v>
      </c>
      <c r="S1113">
        <f>IFERROR($J1113/IF($A1113&lt;COUNTIFS($K$1:S$1,"&lt;&gt;"),0,SUMIFS($J:$J,$B:$B,$B1113,$A:$A,"&gt;="&amp;COUNTIFS($K$1:S$1,"&lt;&gt;"))),0)</f>
        <v>0</v>
      </c>
      <c r="T1113">
        <f>IFERROR($J1113/IF($A1113&lt;COUNTIFS($K$1:T$1,"&lt;&gt;"),0,SUMIFS($J:$J,$B:$B,$B1113,$A:$A,"&gt;="&amp;COUNTIFS($K$1:T$1,"&lt;&gt;"))),0)</f>
        <v>0</v>
      </c>
      <c r="U1113">
        <f>IFERROR($J1113/IF($A1113&lt;COUNTIFS($K$1:U$1,"&lt;&gt;"),0,SUMIFS($J:$J,$B:$B,$B1113,$A:$A,"&gt;="&amp;COUNTIFS($K$1:U$1,"&lt;&gt;"))),0)</f>
        <v>0</v>
      </c>
      <c r="V1113">
        <f>IFERROR($J1113/IF($A1113&lt;COUNTIFS($K$1:V$1,"&lt;&gt;"),0,SUMIFS($J:$J,$B:$B,$B1113,$A:$A,"&gt;="&amp;COUNTIFS($K$1:V$1,"&lt;&gt;"))),0)</f>
        <v>0</v>
      </c>
      <c r="W1113">
        <f t="shared" si="398"/>
        <v>8.4931506849315067E-2</v>
      </c>
      <c r="X1113">
        <f t="shared" si="378"/>
        <v>8.4931506849315067E-2</v>
      </c>
      <c r="Y1113">
        <f t="shared" si="379"/>
        <v>8.4931506849315067E-2</v>
      </c>
      <c r="Z1113">
        <f t="shared" si="380"/>
        <v>8.4931506849315067E-2</v>
      </c>
      <c r="AA1113">
        <f t="shared" si="381"/>
        <v>8.4931506849315067E-2</v>
      </c>
      <c r="AB1113">
        <f t="shared" si="382"/>
        <v>8.4931506849315067E-2</v>
      </c>
      <c r="AC1113">
        <f t="shared" si="383"/>
        <v>8.4931506849315067E-2</v>
      </c>
      <c r="AD1113">
        <f t="shared" si="384"/>
        <v>0</v>
      </c>
      <c r="AE1113">
        <f t="shared" si="385"/>
        <v>0</v>
      </c>
      <c r="AF1113">
        <f t="shared" si="386"/>
        <v>0</v>
      </c>
      <c r="AG1113">
        <f t="shared" si="387"/>
        <v>0</v>
      </c>
      <c r="AH1113">
        <f t="shared" si="388"/>
        <v>0</v>
      </c>
      <c r="AI1113">
        <f t="shared" si="389"/>
        <v>0</v>
      </c>
      <c r="AJ1113" s="2" t="str">
        <f t="shared" si="399"/>
        <v>646419</v>
      </c>
    </row>
    <row r="1114" spans="1:36" x14ac:dyDescent="0.25">
      <c r="A1114">
        <v>7</v>
      </c>
      <c r="B1114" s="1">
        <v>46419</v>
      </c>
      <c r="C1114" s="1">
        <f t="shared" si="390"/>
        <v>46631</v>
      </c>
      <c r="D1114" s="1">
        <f t="shared" si="391"/>
        <v>46433</v>
      </c>
      <c r="E1114" s="1">
        <f t="shared" si="392"/>
        <v>46631</v>
      </c>
      <c r="F1114" s="1">
        <f t="shared" si="393"/>
        <v>46661</v>
      </c>
      <c r="G1114" s="1">
        <f t="shared" si="394"/>
        <v>46798</v>
      </c>
      <c r="H1114">
        <f t="shared" si="395"/>
        <v>365</v>
      </c>
      <c r="I1114">
        <f t="shared" si="396"/>
        <v>30</v>
      </c>
      <c r="J1114">
        <f t="shared" si="397"/>
        <v>8.2191780821917804E-2</v>
      </c>
      <c r="K1114">
        <f>IFERROR($J1114/IF($A1114&lt;COUNTIFS($K$1:K$1,"&lt;&gt;"),0,SUMIFS($J:$J,$B:$B,$B1114,$A:$A,"&gt;="&amp;COUNTIFS($K$1:K$1,"&lt;&gt;"))),0)</f>
        <v>8.5470085470085486E-2</v>
      </c>
      <c r="L1114">
        <f>IFERROR($J1114/IF($A1114&lt;COUNTIFS($K$1:L$1,"&lt;&gt;"),0,SUMIFS($J:$J,$B:$B,$B1114,$A:$A,"&gt;="&amp;COUNTIFS($K$1:L$1,"&lt;&gt;"))),0)</f>
        <v>9.3750000000000014E-2</v>
      </c>
      <c r="M1114">
        <f>IFERROR($J1114/IF($A1114&lt;COUNTIFS($K$1:M$1,"&lt;&gt;"),0,SUMIFS($J:$J,$B:$B,$B1114,$A:$A,"&gt;="&amp;COUNTIFS($K$1:M$1,"&lt;&gt;"))),0)</f>
        <v>0.10344827586206898</v>
      </c>
      <c r="N1114">
        <f>IFERROR($J1114/IF($A1114&lt;COUNTIFS($K$1:N$1,"&lt;&gt;"),0,SUMIFS($J:$J,$B:$B,$B1114,$A:$A,"&gt;="&amp;COUNTIFS($K$1:N$1,"&lt;&gt;"))),0)</f>
        <v>0.11583011583011585</v>
      </c>
      <c r="O1114">
        <f>IFERROR($J1114/IF($A1114&lt;COUNTIFS($K$1:O$1,"&lt;&gt;"),0,SUMIFS($J:$J,$B:$B,$B1114,$A:$A,"&gt;="&amp;COUNTIFS($K$1:O$1,"&lt;&gt;"))),0)</f>
        <v>0.1310043668122271</v>
      </c>
      <c r="P1114">
        <f>IFERROR($J1114/IF($A1114&lt;COUNTIFS($K$1:P$1,"&lt;&gt;"),0,SUMIFS($J:$J,$B:$B,$B1114,$A:$A,"&gt;="&amp;COUNTIFS($K$1:P$1,"&lt;&gt;"))),0)</f>
        <v>0.15151515151515155</v>
      </c>
      <c r="Q1114">
        <f>IFERROR($J1114/IF($A1114&lt;COUNTIFS($K$1:Q$1,"&lt;&gt;"),0,SUMIFS($J:$J,$B:$B,$B1114,$A:$A,"&gt;="&amp;COUNTIFS($K$1:Q$1,"&lt;&gt;"))),0)</f>
        <v>0.17964071856287425</v>
      </c>
      <c r="R1114">
        <f>IFERROR($J1114/IF($A1114&lt;COUNTIFS($K$1:R$1,"&lt;&gt;"),0,SUMIFS($J:$J,$B:$B,$B1114,$A:$A,"&gt;="&amp;COUNTIFS($K$1:R$1,"&lt;&gt;"))),0)</f>
        <v>0</v>
      </c>
      <c r="S1114">
        <f>IFERROR($J1114/IF($A1114&lt;COUNTIFS($K$1:S$1,"&lt;&gt;"),0,SUMIFS($J:$J,$B:$B,$B1114,$A:$A,"&gt;="&amp;COUNTIFS($K$1:S$1,"&lt;&gt;"))),0)</f>
        <v>0</v>
      </c>
      <c r="T1114">
        <f>IFERROR($J1114/IF($A1114&lt;COUNTIFS($K$1:T$1,"&lt;&gt;"),0,SUMIFS($J:$J,$B:$B,$B1114,$A:$A,"&gt;="&amp;COUNTIFS($K$1:T$1,"&lt;&gt;"))),0)</f>
        <v>0</v>
      </c>
      <c r="U1114">
        <f>IFERROR($J1114/IF($A1114&lt;COUNTIFS($K$1:U$1,"&lt;&gt;"),0,SUMIFS($J:$J,$B:$B,$B1114,$A:$A,"&gt;="&amp;COUNTIFS($K$1:U$1,"&lt;&gt;"))),0)</f>
        <v>0</v>
      </c>
      <c r="V1114">
        <f>IFERROR($J1114/IF($A1114&lt;COUNTIFS($K$1:V$1,"&lt;&gt;"),0,SUMIFS($J:$J,$B:$B,$B1114,$A:$A,"&gt;="&amp;COUNTIFS($K$1:V$1,"&lt;&gt;"))),0)</f>
        <v>0</v>
      </c>
      <c r="W1114">
        <f t="shared" si="398"/>
        <v>8.2191780821917804E-2</v>
      </c>
      <c r="X1114">
        <f t="shared" si="378"/>
        <v>8.2191780821917804E-2</v>
      </c>
      <c r="Y1114">
        <f t="shared" si="379"/>
        <v>8.2191780821917804E-2</v>
      </c>
      <c r="Z1114">
        <f t="shared" si="380"/>
        <v>8.2191780821917804E-2</v>
      </c>
      <c r="AA1114">
        <f t="shared" si="381"/>
        <v>8.2191780821917804E-2</v>
      </c>
      <c r="AB1114">
        <f t="shared" si="382"/>
        <v>8.2191780821917804E-2</v>
      </c>
      <c r="AC1114">
        <f t="shared" si="383"/>
        <v>8.2191780821917804E-2</v>
      </c>
      <c r="AD1114">
        <f t="shared" si="384"/>
        <v>8.2191780821917804E-2</v>
      </c>
      <c r="AE1114">
        <f t="shared" si="385"/>
        <v>0</v>
      </c>
      <c r="AF1114">
        <f t="shared" si="386"/>
        <v>0</v>
      </c>
      <c r="AG1114">
        <f t="shared" si="387"/>
        <v>0</v>
      </c>
      <c r="AH1114">
        <f t="shared" si="388"/>
        <v>0</v>
      </c>
      <c r="AI1114">
        <f t="shared" si="389"/>
        <v>0</v>
      </c>
      <c r="AJ1114" s="2" t="str">
        <f t="shared" si="399"/>
        <v>746419</v>
      </c>
    </row>
    <row r="1115" spans="1:36" x14ac:dyDescent="0.25">
      <c r="A1115">
        <v>8</v>
      </c>
      <c r="B1115" s="1">
        <v>46419</v>
      </c>
      <c r="C1115" s="1">
        <f t="shared" si="390"/>
        <v>46661</v>
      </c>
      <c r="D1115" s="1">
        <f t="shared" si="391"/>
        <v>46433</v>
      </c>
      <c r="E1115" s="1">
        <f t="shared" si="392"/>
        <v>46661</v>
      </c>
      <c r="F1115" s="1">
        <f t="shared" si="393"/>
        <v>46692</v>
      </c>
      <c r="G1115" s="1">
        <f t="shared" si="394"/>
        <v>46798</v>
      </c>
      <c r="H1115">
        <f t="shared" si="395"/>
        <v>365</v>
      </c>
      <c r="I1115">
        <f t="shared" si="396"/>
        <v>31</v>
      </c>
      <c r="J1115">
        <f t="shared" si="397"/>
        <v>8.4931506849315067E-2</v>
      </c>
      <c r="K1115">
        <f>IFERROR($J1115/IF($A1115&lt;COUNTIFS($K$1:K$1,"&lt;&gt;"),0,SUMIFS($J:$J,$B:$B,$B1115,$A:$A,"&gt;="&amp;COUNTIFS($K$1:K$1,"&lt;&gt;"))),0)</f>
        <v>8.8319088319088329E-2</v>
      </c>
      <c r="L1115">
        <f>IFERROR($J1115/IF($A1115&lt;COUNTIFS($K$1:L$1,"&lt;&gt;"),0,SUMIFS($J:$J,$B:$B,$B1115,$A:$A,"&gt;="&amp;COUNTIFS($K$1:L$1,"&lt;&gt;"))),0)</f>
        <v>9.6875000000000017E-2</v>
      </c>
      <c r="M1115">
        <f>IFERROR($J1115/IF($A1115&lt;COUNTIFS($K$1:M$1,"&lt;&gt;"),0,SUMIFS($J:$J,$B:$B,$B1115,$A:$A,"&gt;="&amp;COUNTIFS($K$1:M$1,"&lt;&gt;"))),0)</f>
        <v>0.10689655172413795</v>
      </c>
      <c r="N1115">
        <f>IFERROR($J1115/IF($A1115&lt;COUNTIFS($K$1:N$1,"&lt;&gt;"),0,SUMIFS($J:$J,$B:$B,$B1115,$A:$A,"&gt;="&amp;COUNTIFS($K$1:N$1,"&lt;&gt;"))),0)</f>
        <v>0.11969111969111972</v>
      </c>
      <c r="O1115">
        <f>IFERROR($J1115/IF($A1115&lt;COUNTIFS($K$1:O$1,"&lt;&gt;"),0,SUMIFS($J:$J,$B:$B,$B1115,$A:$A,"&gt;="&amp;COUNTIFS($K$1:O$1,"&lt;&gt;"))),0)</f>
        <v>0.13537117903930135</v>
      </c>
      <c r="P1115">
        <f>IFERROR($J1115/IF($A1115&lt;COUNTIFS($K$1:P$1,"&lt;&gt;"),0,SUMIFS($J:$J,$B:$B,$B1115,$A:$A,"&gt;="&amp;COUNTIFS($K$1:P$1,"&lt;&gt;"))),0)</f>
        <v>0.1565656565656566</v>
      </c>
      <c r="Q1115">
        <f>IFERROR($J1115/IF($A1115&lt;COUNTIFS($K$1:Q$1,"&lt;&gt;"),0,SUMIFS($J:$J,$B:$B,$B1115,$A:$A,"&gt;="&amp;COUNTIFS($K$1:Q$1,"&lt;&gt;"))),0)</f>
        <v>0.18562874251497008</v>
      </c>
      <c r="R1115">
        <f>IFERROR($J1115/IF($A1115&lt;COUNTIFS($K$1:R$1,"&lt;&gt;"),0,SUMIFS($J:$J,$B:$B,$B1115,$A:$A,"&gt;="&amp;COUNTIFS($K$1:R$1,"&lt;&gt;"))),0)</f>
        <v>0.22627737226277375</v>
      </c>
      <c r="S1115">
        <f>IFERROR($J1115/IF($A1115&lt;COUNTIFS($K$1:S$1,"&lt;&gt;"),0,SUMIFS($J:$J,$B:$B,$B1115,$A:$A,"&gt;="&amp;COUNTIFS($K$1:S$1,"&lt;&gt;"))),0)</f>
        <v>0</v>
      </c>
      <c r="T1115">
        <f>IFERROR($J1115/IF($A1115&lt;COUNTIFS($K$1:T$1,"&lt;&gt;"),0,SUMIFS($J:$J,$B:$B,$B1115,$A:$A,"&gt;="&amp;COUNTIFS($K$1:T$1,"&lt;&gt;"))),0)</f>
        <v>0</v>
      </c>
      <c r="U1115">
        <f>IFERROR($J1115/IF($A1115&lt;COUNTIFS($K$1:U$1,"&lt;&gt;"),0,SUMIFS($J:$J,$B:$B,$B1115,$A:$A,"&gt;="&amp;COUNTIFS($K$1:U$1,"&lt;&gt;"))),0)</f>
        <v>0</v>
      </c>
      <c r="V1115">
        <f>IFERROR($J1115/IF($A1115&lt;COUNTIFS($K$1:V$1,"&lt;&gt;"),0,SUMIFS($J:$J,$B:$B,$B1115,$A:$A,"&gt;="&amp;COUNTIFS($K$1:V$1,"&lt;&gt;"))),0)</f>
        <v>0</v>
      </c>
      <c r="W1115">
        <f t="shared" si="398"/>
        <v>8.4931506849315067E-2</v>
      </c>
      <c r="X1115">
        <f t="shared" si="378"/>
        <v>8.4931506849315067E-2</v>
      </c>
      <c r="Y1115">
        <f t="shared" si="379"/>
        <v>8.4931506849315067E-2</v>
      </c>
      <c r="Z1115">
        <f t="shared" si="380"/>
        <v>8.4931506849315067E-2</v>
      </c>
      <c r="AA1115">
        <f t="shared" si="381"/>
        <v>8.4931506849315067E-2</v>
      </c>
      <c r="AB1115">
        <f t="shared" si="382"/>
        <v>8.4931506849315067E-2</v>
      </c>
      <c r="AC1115">
        <f t="shared" si="383"/>
        <v>8.4931506849315067E-2</v>
      </c>
      <c r="AD1115">
        <f t="shared" si="384"/>
        <v>8.4931506849315067E-2</v>
      </c>
      <c r="AE1115">
        <f t="shared" si="385"/>
        <v>8.4931506849315067E-2</v>
      </c>
      <c r="AF1115">
        <f t="shared" si="386"/>
        <v>0</v>
      </c>
      <c r="AG1115">
        <f t="shared" si="387"/>
        <v>0</v>
      </c>
      <c r="AH1115">
        <f t="shared" si="388"/>
        <v>0</v>
      </c>
      <c r="AI1115">
        <f t="shared" si="389"/>
        <v>0</v>
      </c>
      <c r="AJ1115" s="2" t="str">
        <f t="shared" si="399"/>
        <v>846419</v>
      </c>
    </row>
    <row r="1116" spans="1:36" x14ac:dyDescent="0.25">
      <c r="A1116">
        <v>9</v>
      </c>
      <c r="B1116" s="1">
        <v>46419</v>
      </c>
      <c r="C1116" s="1">
        <f t="shared" si="390"/>
        <v>46692</v>
      </c>
      <c r="D1116" s="1">
        <f t="shared" si="391"/>
        <v>46433</v>
      </c>
      <c r="E1116" s="1">
        <f t="shared" si="392"/>
        <v>46692</v>
      </c>
      <c r="F1116" s="1">
        <f t="shared" si="393"/>
        <v>46722</v>
      </c>
      <c r="G1116" s="1">
        <f t="shared" si="394"/>
        <v>46798</v>
      </c>
      <c r="H1116">
        <f t="shared" si="395"/>
        <v>365</v>
      </c>
      <c r="I1116">
        <f t="shared" si="396"/>
        <v>30</v>
      </c>
      <c r="J1116">
        <f t="shared" si="397"/>
        <v>8.2191780821917804E-2</v>
      </c>
      <c r="K1116">
        <f>IFERROR($J1116/IF($A1116&lt;COUNTIFS($K$1:K$1,"&lt;&gt;"),0,SUMIFS($J:$J,$B:$B,$B1116,$A:$A,"&gt;="&amp;COUNTIFS($K$1:K$1,"&lt;&gt;"))),0)</f>
        <v>8.5470085470085486E-2</v>
      </c>
      <c r="L1116">
        <f>IFERROR($J1116/IF($A1116&lt;COUNTIFS($K$1:L$1,"&lt;&gt;"),0,SUMIFS($J:$J,$B:$B,$B1116,$A:$A,"&gt;="&amp;COUNTIFS($K$1:L$1,"&lt;&gt;"))),0)</f>
        <v>9.3750000000000014E-2</v>
      </c>
      <c r="M1116">
        <f>IFERROR($J1116/IF($A1116&lt;COUNTIFS($K$1:M$1,"&lt;&gt;"),0,SUMIFS($J:$J,$B:$B,$B1116,$A:$A,"&gt;="&amp;COUNTIFS($K$1:M$1,"&lt;&gt;"))),0)</f>
        <v>0.10344827586206898</v>
      </c>
      <c r="N1116">
        <f>IFERROR($J1116/IF($A1116&lt;COUNTIFS($K$1:N$1,"&lt;&gt;"),0,SUMIFS($J:$J,$B:$B,$B1116,$A:$A,"&gt;="&amp;COUNTIFS($K$1:N$1,"&lt;&gt;"))),0)</f>
        <v>0.11583011583011585</v>
      </c>
      <c r="O1116">
        <f>IFERROR($J1116/IF($A1116&lt;COUNTIFS($K$1:O$1,"&lt;&gt;"),0,SUMIFS($J:$J,$B:$B,$B1116,$A:$A,"&gt;="&amp;COUNTIFS($K$1:O$1,"&lt;&gt;"))),0)</f>
        <v>0.1310043668122271</v>
      </c>
      <c r="P1116">
        <f>IFERROR($J1116/IF($A1116&lt;COUNTIFS($K$1:P$1,"&lt;&gt;"),0,SUMIFS($J:$J,$B:$B,$B1116,$A:$A,"&gt;="&amp;COUNTIFS($K$1:P$1,"&lt;&gt;"))),0)</f>
        <v>0.15151515151515155</v>
      </c>
      <c r="Q1116">
        <f>IFERROR($J1116/IF($A1116&lt;COUNTIFS($K$1:Q$1,"&lt;&gt;"),0,SUMIFS($J:$J,$B:$B,$B1116,$A:$A,"&gt;="&amp;COUNTIFS($K$1:Q$1,"&lt;&gt;"))),0)</f>
        <v>0.17964071856287425</v>
      </c>
      <c r="R1116">
        <f>IFERROR($J1116/IF($A1116&lt;COUNTIFS($K$1:R$1,"&lt;&gt;"),0,SUMIFS($J:$J,$B:$B,$B1116,$A:$A,"&gt;="&amp;COUNTIFS($K$1:R$1,"&lt;&gt;"))),0)</f>
        <v>0.21897810218978103</v>
      </c>
      <c r="S1116">
        <f>IFERROR($J1116/IF($A1116&lt;COUNTIFS($K$1:S$1,"&lt;&gt;"),0,SUMIFS($J:$J,$B:$B,$B1116,$A:$A,"&gt;="&amp;COUNTIFS($K$1:S$1,"&lt;&gt;"))),0)</f>
        <v>0.28301886792452829</v>
      </c>
      <c r="T1116">
        <f>IFERROR($J1116/IF($A1116&lt;COUNTIFS($K$1:T$1,"&lt;&gt;"),0,SUMIFS($J:$J,$B:$B,$B1116,$A:$A,"&gt;="&amp;COUNTIFS($K$1:T$1,"&lt;&gt;"))),0)</f>
        <v>0</v>
      </c>
      <c r="U1116">
        <f>IFERROR($J1116/IF($A1116&lt;COUNTIFS($K$1:U$1,"&lt;&gt;"),0,SUMIFS($J:$J,$B:$B,$B1116,$A:$A,"&gt;="&amp;COUNTIFS($K$1:U$1,"&lt;&gt;"))),0)</f>
        <v>0</v>
      </c>
      <c r="V1116">
        <f>IFERROR($J1116/IF($A1116&lt;COUNTIFS($K$1:V$1,"&lt;&gt;"),0,SUMIFS($J:$J,$B:$B,$B1116,$A:$A,"&gt;="&amp;COUNTIFS($K$1:V$1,"&lt;&gt;"))),0)</f>
        <v>0</v>
      </c>
      <c r="W1116">
        <f t="shared" si="398"/>
        <v>8.2191780821917804E-2</v>
      </c>
      <c r="X1116">
        <f t="shared" si="378"/>
        <v>8.2191780821917804E-2</v>
      </c>
      <c r="Y1116">
        <f t="shared" si="379"/>
        <v>8.2191780821917804E-2</v>
      </c>
      <c r="Z1116">
        <f t="shared" si="380"/>
        <v>8.2191780821917804E-2</v>
      </c>
      <c r="AA1116">
        <f t="shared" si="381"/>
        <v>8.2191780821917804E-2</v>
      </c>
      <c r="AB1116">
        <f t="shared" si="382"/>
        <v>8.2191780821917804E-2</v>
      </c>
      <c r="AC1116">
        <f t="shared" si="383"/>
        <v>8.2191780821917804E-2</v>
      </c>
      <c r="AD1116">
        <f t="shared" si="384"/>
        <v>8.2191780821917804E-2</v>
      </c>
      <c r="AE1116">
        <f t="shared" si="385"/>
        <v>8.2191780821917804E-2</v>
      </c>
      <c r="AF1116">
        <f t="shared" si="386"/>
        <v>8.2191780821917804E-2</v>
      </c>
      <c r="AG1116">
        <f t="shared" si="387"/>
        <v>0</v>
      </c>
      <c r="AH1116">
        <f t="shared" si="388"/>
        <v>0</v>
      </c>
      <c r="AI1116">
        <f t="shared" si="389"/>
        <v>0</v>
      </c>
      <c r="AJ1116" s="2" t="str">
        <f t="shared" si="399"/>
        <v>946419</v>
      </c>
    </row>
    <row r="1117" spans="1:36" x14ac:dyDescent="0.25">
      <c r="A1117">
        <v>10</v>
      </c>
      <c r="B1117" s="1">
        <v>46419</v>
      </c>
      <c r="C1117" s="1">
        <f t="shared" si="390"/>
        <v>46722</v>
      </c>
      <c r="D1117" s="1">
        <f t="shared" si="391"/>
        <v>46433</v>
      </c>
      <c r="E1117" s="1">
        <f t="shared" si="392"/>
        <v>46722</v>
      </c>
      <c r="F1117" s="1">
        <f t="shared" si="393"/>
        <v>46753</v>
      </c>
      <c r="G1117" s="1">
        <f t="shared" si="394"/>
        <v>46798</v>
      </c>
      <c r="H1117">
        <f t="shared" si="395"/>
        <v>365</v>
      </c>
      <c r="I1117">
        <f t="shared" si="396"/>
        <v>31</v>
      </c>
      <c r="J1117">
        <f t="shared" si="397"/>
        <v>8.4931506849315067E-2</v>
      </c>
      <c r="K1117">
        <f>IFERROR($J1117/IF($A1117&lt;COUNTIFS($K$1:K$1,"&lt;&gt;"),0,SUMIFS($J:$J,$B:$B,$B1117,$A:$A,"&gt;="&amp;COUNTIFS($K$1:K$1,"&lt;&gt;"))),0)</f>
        <v>8.8319088319088329E-2</v>
      </c>
      <c r="L1117">
        <f>IFERROR($J1117/IF($A1117&lt;COUNTIFS($K$1:L$1,"&lt;&gt;"),0,SUMIFS($J:$J,$B:$B,$B1117,$A:$A,"&gt;="&amp;COUNTIFS($K$1:L$1,"&lt;&gt;"))),0)</f>
        <v>9.6875000000000017E-2</v>
      </c>
      <c r="M1117">
        <f>IFERROR($J1117/IF($A1117&lt;COUNTIFS($K$1:M$1,"&lt;&gt;"),0,SUMIFS($J:$J,$B:$B,$B1117,$A:$A,"&gt;="&amp;COUNTIFS($K$1:M$1,"&lt;&gt;"))),0)</f>
        <v>0.10689655172413795</v>
      </c>
      <c r="N1117">
        <f>IFERROR($J1117/IF($A1117&lt;COUNTIFS($K$1:N$1,"&lt;&gt;"),0,SUMIFS($J:$J,$B:$B,$B1117,$A:$A,"&gt;="&amp;COUNTIFS($K$1:N$1,"&lt;&gt;"))),0)</f>
        <v>0.11969111969111972</v>
      </c>
      <c r="O1117">
        <f>IFERROR($J1117/IF($A1117&lt;COUNTIFS($K$1:O$1,"&lt;&gt;"),0,SUMIFS($J:$J,$B:$B,$B1117,$A:$A,"&gt;="&amp;COUNTIFS($K$1:O$1,"&lt;&gt;"))),0)</f>
        <v>0.13537117903930135</v>
      </c>
      <c r="P1117">
        <f>IFERROR($J1117/IF($A1117&lt;COUNTIFS($K$1:P$1,"&lt;&gt;"),0,SUMIFS($J:$J,$B:$B,$B1117,$A:$A,"&gt;="&amp;COUNTIFS($K$1:P$1,"&lt;&gt;"))),0)</f>
        <v>0.1565656565656566</v>
      </c>
      <c r="Q1117">
        <f>IFERROR($J1117/IF($A1117&lt;COUNTIFS($K$1:Q$1,"&lt;&gt;"),0,SUMIFS($J:$J,$B:$B,$B1117,$A:$A,"&gt;="&amp;COUNTIFS($K$1:Q$1,"&lt;&gt;"))),0)</f>
        <v>0.18562874251497008</v>
      </c>
      <c r="R1117">
        <f>IFERROR($J1117/IF($A1117&lt;COUNTIFS($K$1:R$1,"&lt;&gt;"),0,SUMIFS($J:$J,$B:$B,$B1117,$A:$A,"&gt;="&amp;COUNTIFS($K$1:R$1,"&lt;&gt;"))),0)</f>
        <v>0.22627737226277375</v>
      </c>
      <c r="S1117">
        <f>IFERROR($J1117/IF($A1117&lt;COUNTIFS($K$1:S$1,"&lt;&gt;"),0,SUMIFS($J:$J,$B:$B,$B1117,$A:$A,"&gt;="&amp;COUNTIFS($K$1:S$1,"&lt;&gt;"))),0)</f>
        <v>0.29245283018867929</v>
      </c>
      <c r="T1117">
        <f>IFERROR($J1117/IF($A1117&lt;COUNTIFS($K$1:T$1,"&lt;&gt;"),0,SUMIFS($J:$J,$B:$B,$B1117,$A:$A,"&gt;="&amp;COUNTIFS($K$1:T$1,"&lt;&gt;"))),0)</f>
        <v>0.40789473684210525</v>
      </c>
      <c r="U1117">
        <f>IFERROR($J1117/IF($A1117&lt;COUNTIFS($K$1:U$1,"&lt;&gt;"),0,SUMIFS($J:$J,$B:$B,$B1117,$A:$A,"&gt;="&amp;COUNTIFS($K$1:U$1,"&lt;&gt;"))),0)</f>
        <v>0</v>
      </c>
      <c r="V1117">
        <f>IFERROR($J1117/IF($A1117&lt;COUNTIFS($K$1:V$1,"&lt;&gt;"),0,SUMIFS($J:$J,$B:$B,$B1117,$A:$A,"&gt;="&amp;COUNTIFS($K$1:V$1,"&lt;&gt;"))),0)</f>
        <v>0</v>
      </c>
      <c r="W1117">
        <f t="shared" si="398"/>
        <v>8.4931506849315067E-2</v>
      </c>
      <c r="X1117">
        <f t="shared" si="378"/>
        <v>8.4931506849315067E-2</v>
      </c>
      <c r="Y1117">
        <f t="shared" si="379"/>
        <v>8.4931506849315067E-2</v>
      </c>
      <c r="Z1117">
        <f t="shared" si="380"/>
        <v>8.4931506849315067E-2</v>
      </c>
      <c r="AA1117">
        <f t="shared" si="381"/>
        <v>8.4931506849315067E-2</v>
      </c>
      <c r="AB1117">
        <f t="shared" si="382"/>
        <v>8.4931506849315067E-2</v>
      </c>
      <c r="AC1117">
        <f t="shared" si="383"/>
        <v>8.4931506849315067E-2</v>
      </c>
      <c r="AD1117">
        <f t="shared" si="384"/>
        <v>8.4931506849315067E-2</v>
      </c>
      <c r="AE1117">
        <f t="shared" si="385"/>
        <v>8.4931506849315067E-2</v>
      </c>
      <c r="AF1117">
        <f t="shared" si="386"/>
        <v>8.4931506849315067E-2</v>
      </c>
      <c r="AG1117">
        <f t="shared" si="387"/>
        <v>8.4931506849315067E-2</v>
      </c>
      <c r="AH1117">
        <f t="shared" si="388"/>
        <v>0</v>
      </c>
      <c r="AI1117">
        <f t="shared" si="389"/>
        <v>0</v>
      </c>
      <c r="AJ1117" s="2" t="str">
        <f t="shared" si="399"/>
        <v>1046419</v>
      </c>
    </row>
    <row r="1118" spans="1:36" x14ac:dyDescent="0.25">
      <c r="A1118">
        <v>11</v>
      </c>
      <c r="B1118" s="1">
        <v>46419</v>
      </c>
      <c r="C1118" s="1">
        <f t="shared" si="390"/>
        <v>46753</v>
      </c>
      <c r="D1118" s="1">
        <f t="shared" si="391"/>
        <v>46433</v>
      </c>
      <c r="E1118" s="1">
        <f t="shared" si="392"/>
        <v>46753</v>
      </c>
      <c r="F1118" s="1">
        <f t="shared" si="393"/>
        <v>46784</v>
      </c>
      <c r="G1118" s="1">
        <f t="shared" si="394"/>
        <v>46798</v>
      </c>
      <c r="H1118">
        <f t="shared" si="395"/>
        <v>365</v>
      </c>
      <c r="I1118">
        <f t="shared" si="396"/>
        <v>31</v>
      </c>
      <c r="J1118">
        <f t="shared" si="397"/>
        <v>8.4931506849315067E-2</v>
      </c>
      <c r="K1118">
        <f>IFERROR($J1118/IF($A1118&lt;COUNTIFS($K$1:K$1,"&lt;&gt;"),0,SUMIFS($J:$J,$B:$B,$B1118,$A:$A,"&gt;="&amp;COUNTIFS($K$1:K$1,"&lt;&gt;"))),0)</f>
        <v>8.8319088319088329E-2</v>
      </c>
      <c r="L1118">
        <f>IFERROR($J1118/IF($A1118&lt;COUNTIFS($K$1:L$1,"&lt;&gt;"),0,SUMIFS($J:$J,$B:$B,$B1118,$A:$A,"&gt;="&amp;COUNTIFS($K$1:L$1,"&lt;&gt;"))),0)</f>
        <v>9.6875000000000017E-2</v>
      </c>
      <c r="M1118">
        <f>IFERROR($J1118/IF($A1118&lt;COUNTIFS($K$1:M$1,"&lt;&gt;"),0,SUMIFS($J:$J,$B:$B,$B1118,$A:$A,"&gt;="&amp;COUNTIFS($K$1:M$1,"&lt;&gt;"))),0)</f>
        <v>0.10689655172413795</v>
      </c>
      <c r="N1118">
        <f>IFERROR($J1118/IF($A1118&lt;COUNTIFS($K$1:N$1,"&lt;&gt;"),0,SUMIFS($J:$J,$B:$B,$B1118,$A:$A,"&gt;="&amp;COUNTIFS($K$1:N$1,"&lt;&gt;"))),0)</f>
        <v>0.11969111969111972</v>
      </c>
      <c r="O1118">
        <f>IFERROR($J1118/IF($A1118&lt;COUNTIFS($K$1:O$1,"&lt;&gt;"),0,SUMIFS($J:$J,$B:$B,$B1118,$A:$A,"&gt;="&amp;COUNTIFS($K$1:O$1,"&lt;&gt;"))),0)</f>
        <v>0.13537117903930135</v>
      </c>
      <c r="P1118">
        <f>IFERROR($J1118/IF($A1118&lt;COUNTIFS($K$1:P$1,"&lt;&gt;"),0,SUMIFS($J:$J,$B:$B,$B1118,$A:$A,"&gt;="&amp;COUNTIFS($K$1:P$1,"&lt;&gt;"))),0)</f>
        <v>0.1565656565656566</v>
      </c>
      <c r="Q1118">
        <f>IFERROR($J1118/IF($A1118&lt;COUNTIFS($K$1:Q$1,"&lt;&gt;"),0,SUMIFS($J:$J,$B:$B,$B1118,$A:$A,"&gt;="&amp;COUNTIFS($K$1:Q$1,"&lt;&gt;"))),0)</f>
        <v>0.18562874251497008</v>
      </c>
      <c r="R1118">
        <f>IFERROR($J1118/IF($A1118&lt;COUNTIFS($K$1:R$1,"&lt;&gt;"),0,SUMIFS($J:$J,$B:$B,$B1118,$A:$A,"&gt;="&amp;COUNTIFS($K$1:R$1,"&lt;&gt;"))),0)</f>
        <v>0.22627737226277375</v>
      </c>
      <c r="S1118">
        <f>IFERROR($J1118/IF($A1118&lt;COUNTIFS($K$1:S$1,"&lt;&gt;"),0,SUMIFS($J:$J,$B:$B,$B1118,$A:$A,"&gt;="&amp;COUNTIFS($K$1:S$1,"&lt;&gt;"))),0)</f>
        <v>0.29245283018867929</v>
      </c>
      <c r="T1118">
        <f>IFERROR($J1118/IF($A1118&lt;COUNTIFS($K$1:T$1,"&lt;&gt;"),0,SUMIFS($J:$J,$B:$B,$B1118,$A:$A,"&gt;="&amp;COUNTIFS($K$1:T$1,"&lt;&gt;"))),0)</f>
        <v>0.40789473684210525</v>
      </c>
      <c r="U1118">
        <f>IFERROR($J1118/IF($A1118&lt;COUNTIFS($K$1:U$1,"&lt;&gt;"),0,SUMIFS($J:$J,$B:$B,$B1118,$A:$A,"&gt;="&amp;COUNTIFS($K$1:U$1,"&lt;&gt;"))),0)</f>
        <v>0.68888888888888888</v>
      </c>
      <c r="V1118">
        <f>IFERROR($J1118/IF($A1118&lt;COUNTIFS($K$1:V$1,"&lt;&gt;"),0,SUMIFS($J:$J,$B:$B,$B1118,$A:$A,"&gt;="&amp;COUNTIFS($K$1:V$1,"&lt;&gt;"))),0)</f>
        <v>0</v>
      </c>
      <c r="W1118">
        <f t="shared" si="398"/>
        <v>8.4931506849315067E-2</v>
      </c>
      <c r="X1118">
        <f t="shared" si="378"/>
        <v>8.4931506849315067E-2</v>
      </c>
      <c r="Y1118">
        <f t="shared" si="379"/>
        <v>8.4931506849315067E-2</v>
      </c>
      <c r="Z1118">
        <f t="shared" si="380"/>
        <v>8.4931506849315067E-2</v>
      </c>
      <c r="AA1118">
        <f t="shared" si="381"/>
        <v>8.4931506849315067E-2</v>
      </c>
      <c r="AB1118">
        <f t="shared" si="382"/>
        <v>8.4931506849315067E-2</v>
      </c>
      <c r="AC1118">
        <f t="shared" si="383"/>
        <v>8.4931506849315067E-2</v>
      </c>
      <c r="AD1118">
        <f t="shared" si="384"/>
        <v>8.4931506849315067E-2</v>
      </c>
      <c r="AE1118">
        <f t="shared" si="385"/>
        <v>8.4931506849315067E-2</v>
      </c>
      <c r="AF1118">
        <f t="shared" si="386"/>
        <v>8.4931506849315067E-2</v>
      </c>
      <c r="AG1118">
        <f t="shared" si="387"/>
        <v>8.4931506849315067E-2</v>
      </c>
      <c r="AH1118">
        <f t="shared" si="388"/>
        <v>8.4931506849315067E-2</v>
      </c>
      <c r="AI1118">
        <f t="shared" si="389"/>
        <v>0</v>
      </c>
      <c r="AJ1118" s="2" t="str">
        <f t="shared" si="399"/>
        <v>1146419</v>
      </c>
    </row>
    <row r="1119" spans="1:36" x14ac:dyDescent="0.25">
      <c r="A1119">
        <v>12</v>
      </c>
      <c r="B1119" s="1">
        <v>46419</v>
      </c>
      <c r="C1119" s="1">
        <f t="shared" si="390"/>
        <v>46784</v>
      </c>
      <c r="D1119" s="1">
        <f t="shared" si="391"/>
        <v>46433</v>
      </c>
      <c r="E1119" s="1">
        <f t="shared" si="392"/>
        <v>46784</v>
      </c>
      <c r="F1119" s="1">
        <f t="shared" si="393"/>
        <v>46798</v>
      </c>
      <c r="G1119" s="1">
        <f t="shared" si="394"/>
        <v>46798</v>
      </c>
      <c r="H1119">
        <f t="shared" si="395"/>
        <v>365</v>
      </c>
      <c r="I1119">
        <f t="shared" si="396"/>
        <v>14</v>
      </c>
      <c r="J1119">
        <f t="shared" si="397"/>
        <v>3.8356164383561646E-2</v>
      </c>
      <c r="K1119">
        <f>IFERROR($J1119/IF($A1119&lt;COUNTIFS($K$1:K$1,"&lt;&gt;"),0,SUMIFS($J:$J,$B:$B,$B1119,$A:$A,"&gt;="&amp;COUNTIFS($K$1:K$1,"&lt;&gt;"))),0)</f>
        <v>3.9886039886039892E-2</v>
      </c>
      <c r="L1119">
        <f>IFERROR($J1119/IF($A1119&lt;COUNTIFS($K$1:L$1,"&lt;&gt;"),0,SUMIFS($J:$J,$B:$B,$B1119,$A:$A,"&gt;="&amp;COUNTIFS($K$1:L$1,"&lt;&gt;"))),0)</f>
        <v>4.3750000000000011E-2</v>
      </c>
      <c r="M1119">
        <f>IFERROR($J1119/IF($A1119&lt;COUNTIFS($K$1:M$1,"&lt;&gt;"),0,SUMIFS($J:$J,$B:$B,$B1119,$A:$A,"&gt;="&amp;COUNTIFS($K$1:M$1,"&lt;&gt;"))),0)</f>
        <v>4.827586206896553E-2</v>
      </c>
      <c r="N1119">
        <f>IFERROR($J1119/IF($A1119&lt;COUNTIFS($K$1:N$1,"&lt;&gt;"),0,SUMIFS($J:$J,$B:$B,$B1119,$A:$A,"&gt;="&amp;COUNTIFS($K$1:N$1,"&lt;&gt;"))),0)</f>
        <v>5.4054054054054071E-2</v>
      </c>
      <c r="O1119">
        <f>IFERROR($J1119/IF($A1119&lt;COUNTIFS($K$1:O$1,"&lt;&gt;"),0,SUMIFS($J:$J,$B:$B,$B1119,$A:$A,"&gt;="&amp;COUNTIFS($K$1:O$1,"&lt;&gt;"))),0)</f>
        <v>6.1135371179039319E-2</v>
      </c>
      <c r="P1119">
        <f>IFERROR($J1119/IF($A1119&lt;COUNTIFS($K$1:P$1,"&lt;&gt;"),0,SUMIFS($J:$J,$B:$B,$B1119,$A:$A,"&gt;="&amp;COUNTIFS($K$1:P$1,"&lt;&gt;"))),0)</f>
        <v>7.0707070707070732E-2</v>
      </c>
      <c r="Q1119">
        <f>IFERROR($J1119/IF($A1119&lt;COUNTIFS($K$1:Q$1,"&lt;&gt;"),0,SUMIFS($J:$J,$B:$B,$B1119,$A:$A,"&gt;="&amp;COUNTIFS($K$1:Q$1,"&lt;&gt;"))),0)</f>
        <v>8.3832335329341326E-2</v>
      </c>
      <c r="R1119">
        <f>IFERROR($J1119/IF($A1119&lt;COUNTIFS($K$1:R$1,"&lt;&gt;"),0,SUMIFS($J:$J,$B:$B,$B1119,$A:$A,"&gt;="&amp;COUNTIFS($K$1:R$1,"&lt;&gt;"))),0)</f>
        <v>0.10218978102189782</v>
      </c>
      <c r="S1119">
        <f>IFERROR($J1119/IF($A1119&lt;COUNTIFS($K$1:S$1,"&lt;&gt;"),0,SUMIFS($J:$J,$B:$B,$B1119,$A:$A,"&gt;="&amp;COUNTIFS($K$1:S$1,"&lt;&gt;"))),0)</f>
        <v>0.13207547169811323</v>
      </c>
      <c r="T1119">
        <f>IFERROR($J1119/IF($A1119&lt;COUNTIFS($K$1:T$1,"&lt;&gt;"),0,SUMIFS($J:$J,$B:$B,$B1119,$A:$A,"&gt;="&amp;COUNTIFS($K$1:T$1,"&lt;&gt;"))),0)</f>
        <v>0.18421052631578949</v>
      </c>
      <c r="U1119">
        <f>IFERROR($J1119/IF($A1119&lt;COUNTIFS($K$1:U$1,"&lt;&gt;"),0,SUMIFS($J:$J,$B:$B,$B1119,$A:$A,"&gt;="&amp;COUNTIFS($K$1:U$1,"&lt;&gt;"))),0)</f>
        <v>0.31111111111111117</v>
      </c>
      <c r="V1119">
        <f>IFERROR($J1119/IF($A1119&lt;COUNTIFS($K$1:V$1,"&lt;&gt;"),0,SUMIFS($J:$J,$B:$B,$B1119,$A:$A,"&gt;="&amp;COUNTIFS($K$1:V$1,"&lt;&gt;"))),0)</f>
        <v>1</v>
      </c>
      <c r="W1119">
        <f t="shared" si="398"/>
        <v>3.8356164383561646E-2</v>
      </c>
      <c r="X1119">
        <f t="shared" si="378"/>
        <v>3.8356164383561646E-2</v>
      </c>
      <c r="Y1119">
        <f t="shared" si="379"/>
        <v>3.8356164383561646E-2</v>
      </c>
      <c r="Z1119">
        <f t="shared" si="380"/>
        <v>3.8356164383561646E-2</v>
      </c>
      <c r="AA1119">
        <f t="shared" si="381"/>
        <v>3.8356164383561646E-2</v>
      </c>
      <c r="AB1119">
        <f t="shared" si="382"/>
        <v>3.8356164383561646E-2</v>
      </c>
      <c r="AC1119">
        <f t="shared" si="383"/>
        <v>3.8356164383561646E-2</v>
      </c>
      <c r="AD1119">
        <f t="shared" si="384"/>
        <v>3.8356164383561646E-2</v>
      </c>
      <c r="AE1119">
        <f t="shared" si="385"/>
        <v>3.8356164383561646E-2</v>
      </c>
      <c r="AF1119">
        <f t="shared" si="386"/>
        <v>3.8356164383561646E-2</v>
      </c>
      <c r="AG1119">
        <f t="shared" si="387"/>
        <v>3.8356164383561646E-2</v>
      </c>
      <c r="AH1119">
        <f t="shared" si="388"/>
        <v>3.8356164383561646E-2</v>
      </c>
      <c r="AI1119">
        <f t="shared" si="389"/>
        <v>3.8356164383561646E-2</v>
      </c>
      <c r="AJ1119" s="2" t="str">
        <f t="shared" si="399"/>
        <v>1246419</v>
      </c>
    </row>
    <row r="1120" spans="1:36" x14ac:dyDescent="0.25">
      <c r="A1120">
        <v>0</v>
      </c>
      <c r="B1120" s="1">
        <v>46447</v>
      </c>
      <c r="C1120" s="1">
        <f t="shared" si="390"/>
        <v>46447</v>
      </c>
      <c r="D1120" s="1">
        <f t="shared" si="391"/>
        <v>46461</v>
      </c>
      <c r="E1120" s="1">
        <f t="shared" si="392"/>
        <v>46461</v>
      </c>
      <c r="F1120" s="1">
        <f t="shared" si="393"/>
        <v>46478</v>
      </c>
      <c r="G1120" s="1">
        <f t="shared" si="394"/>
        <v>46827</v>
      </c>
      <c r="H1120">
        <f t="shared" si="395"/>
        <v>366</v>
      </c>
      <c r="I1120">
        <f t="shared" si="396"/>
        <v>17</v>
      </c>
      <c r="J1120">
        <f t="shared" si="397"/>
        <v>4.6448087431693992E-2</v>
      </c>
      <c r="K1120">
        <f>IFERROR($J1120/IF($A1120&lt;COUNTIFS($K$1:K$1,"&lt;&gt;"),0,SUMIFS($J:$J,$B:$B,$B1120,$A:$A,"&gt;="&amp;COUNTIFS($K$1:K$1,"&lt;&gt;"))),0)</f>
        <v>0</v>
      </c>
      <c r="L1120">
        <f>IFERROR($J1120/IF($A1120&lt;COUNTIFS($K$1:L$1,"&lt;&gt;"),0,SUMIFS($J:$J,$B:$B,$B1120,$A:$A,"&gt;="&amp;COUNTIFS($K$1:L$1,"&lt;&gt;"))),0)</f>
        <v>0</v>
      </c>
      <c r="M1120">
        <f>IFERROR($J1120/IF($A1120&lt;COUNTIFS($K$1:M$1,"&lt;&gt;"),0,SUMIFS($J:$J,$B:$B,$B1120,$A:$A,"&gt;="&amp;COUNTIFS($K$1:M$1,"&lt;&gt;"))),0)</f>
        <v>0</v>
      </c>
      <c r="N1120">
        <f>IFERROR($J1120/IF($A1120&lt;COUNTIFS($K$1:N$1,"&lt;&gt;"),0,SUMIFS($J:$J,$B:$B,$B1120,$A:$A,"&gt;="&amp;COUNTIFS($K$1:N$1,"&lt;&gt;"))),0)</f>
        <v>0</v>
      </c>
      <c r="O1120">
        <f>IFERROR($J1120/IF($A1120&lt;COUNTIFS($K$1:O$1,"&lt;&gt;"),0,SUMIFS($J:$J,$B:$B,$B1120,$A:$A,"&gt;="&amp;COUNTIFS($K$1:O$1,"&lt;&gt;"))),0)</f>
        <v>0</v>
      </c>
      <c r="P1120">
        <f>IFERROR($J1120/IF($A1120&lt;COUNTIFS($K$1:P$1,"&lt;&gt;"),0,SUMIFS($J:$J,$B:$B,$B1120,$A:$A,"&gt;="&amp;COUNTIFS($K$1:P$1,"&lt;&gt;"))),0)</f>
        <v>0</v>
      </c>
      <c r="Q1120">
        <f>IFERROR($J1120/IF($A1120&lt;COUNTIFS($K$1:Q$1,"&lt;&gt;"),0,SUMIFS($J:$J,$B:$B,$B1120,$A:$A,"&gt;="&amp;COUNTIFS($K$1:Q$1,"&lt;&gt;"))),0)</f>
        <v>0</v>
      </c>
      <c r="R1120">
        <f>IFERROR($J1120/IF($A1120&lt;COUNTIFS($K$1:R$1,"&lt;&gt;"),0,SUMIFS($J:$J,$B:$B,$B1120,$A:$A,"&gt;="&amp;COUNTIFS($K$1:R$1,"&lt;&gt;"))),0)</f>
        <v>0</v>
      </c>
      <c r="S1120">
        <f>IFERROR($J1120/IF($A1120&lt;COUNTIFS($K$1:S$1,"&lt;&gt;"),0,SUMIFS($J:$J,$B:$B,$B1120,$A:$A,"&gt;="&amp;COUNTIFS($K$1:S$1,"&lt;&gt;"))),0)</f>
        <v>0</v>
      </c>
      <c r="T1120">
        <f>IFERROR($J1120/IF($A1120&lt;COUNTIFS($K$1:T$1,"&lt;&gt;"),0,SUMIFS($J:$J,$B:$B,$B1120,$A:$A,"&gt;="&amp;COUNTIFS($K$1:T$1,"&lt;&gt;"))),0)</f>
        <v>0</v>
      </c>
      <c r="U1120">
        <f>IFERROR($J1120/IF($A1120&lt;COUNTIFS($K$1:U$1,"&lt;&gt;"),0,SUMIFS($J:$J,$B:$B,$B1120,$A:$A,"&gt;="&amp;COUNTIFS($K$1:U$1,"&lt;&gt;"))),0)</f>
        <v>0</v>
      </c>
      <c r="V1120">
        <f>IFERROR($J1120/IF($A1120&lt;COUNTIFS($K$1:V$1,"&lt;&gt;"),0,SUMIFS($J:$J,$B:$B,$B1120,$A:$A,"&gt;="&amp;COUNTIFS($K$1:V$1,"&lt;&gt;"))),0)</f>
        <v>0</v>
      </c>
      <c r="W1120">
        <f t="shared" si="398"/>
        <v>4.6448087431693992E-2</v>
      </c>
      <c r="X1120">
        <f t="shared" si="378"/>
        <v>0</v>
      </c>
      <c r="Y1120">
        <f t="shared" si="379"/>
        <v>0</v>
      </c>
      <c r="Z1120">
        <f t="shared" si="380"/>
        <v>0</v>
      </c>
      <c r="AA1120">
        <f t="shared" si="381"/>
        <v>0</v>
      </c>
      <c r="AB1120">
        <f t="shared" si="382"/>
        <v>0</v>
      </c>
      <c r="AC1120">
        <f t="shared" si="383"/>
        <v>0</v>
      </c>
      <c r="AD1120">
        <f t="shared" si="384"/>
        <v>0</v>
      </c>
      <c r="AE1120">
        <f t="shared" si="385"/>
        <v>0</v>
      </c>
      <c r="AF1120">
        <f t="shared" si="386"/>
        <v>0</v>
      </c>
      <c r="AG1120">
        <f t="shared" si="387"/>
        <v>0</v>
      </c>
      <c r="AH1120">
        <f t="shared" si="388"/>
        <v>0</v>
      </c>
      <c r="AI1120">
        <f t="shared" si="389"/>
        <v>0</v>
      </c>
      <c r="AJ1120" s="2" t="str">
        <f t="shared" si="399"/>
        <v>046447</v>
      </c>
    </row>
    <row r="1121" spans="1:36" x14ac:dyDescent="0.25">
      <c r="A1121">
        <v>1</v>
      </c>
      <c r="B1121" s="1">
        <v>46447</v>
      </c>
      <c r="C1121" s="1">
        <f t="shared" si="390"/>
        <v>46478</v>
      </c>
      <c r="D1121" s="1">
        <f t="shared" si="391"/>
        <v>46461</v>
      </c>
      <c r="E1121" s="1">
        <f t="shared" si="392"/>
        <v>46478</v>
      </c>
      <c r="F1121" s="1">
        <f t="shared" si="393"/>
        <v>46508</v>
      </c>
      <c r="G1121" s="1">
        <f t="shared" si="394"/>
        <v>46827</v>
      </c>
      <c r="H1121">
        <f t="shared" si="395"/>
        <v>366</v>
      </c>
      <c r="I1121">
        <f t="shared" si="396"/>
        <v>30</v>
      </c>
      <c r="J1121">
        <f t="shared" si="397"/>
        <v>8.1967213114754092E-2</v>
      </c>
      <c r="K1121">
        <f>IFERROR($J1121/IF($A1121&lt;COUNTIFS($K$1:K$1,"&lt;&gt;"),0,SUMIFS($J:$J,$B:$B,$B1121,$A:$A,"&gt;="&amp;COUNTIFS($K$1:K$1,"&lt;&gt;"))),0)</f>
        <v>8.5959885386819479E-2</v>
      </c>
      <c r="L1121">
        <f>IFERROR($J1121/IF($A1121&lt;COUNTIFS($K$1:L$1,"&lt;&gt;"),0,SUMIFS($J:$J,$B:$B,$B1121,$A:$A,"&gt;="&amp;COUNTIFS($K$1:L$1,"&lt;&gt;"))),0)</f>
        <v>0</v>
      </c>
      <c r="M1121">
        <f>IFERROR($J1121/IF($A1121&lt;COUNTIFS($K$1:M$1,"&lt;&gt;"),0,SUMIFS($J:$J,$B:$B,$B1121,$A:$A,"&gt;="&amp;COUNTIFS($K$1:M$1,"&lt;&gt;"))),0)</f>
        <v>0</v>
      </c>
      <c r="N1121">
        <f>IFERROR($J1121/IF($A1121&lt;COUNTIFS($K$1:N$1,"&lt;&gt;"),0,SUMIFS($J:$J,$B:$B,$B1121,$A:$A,"&gt;="&amp;COUNTIFS($K$1:N$1,"&lt;&gt;"))),0)</f>
        <v>0</v>
      </c>
      <c r="O1121">
        <f>IFERROR($J1121/IF($A1121&lt;COUNTIFS($K$1:O$1,"&lt;&gt;"),0,SUMIFS($J:$J,$B:$B,$B1121,$A:$A,"&gt;="&amp;COUNTIFS($K$1:O$1,"&lt;&gt;"))),0)</f>
        <v>0</v>
      </c>
      <c r="P1121">
        <f>IFERROR($J1121/IF($A1121&lt;COUNTIFS($K$1:P$1,"&lt;&gt;"),0,SUMIFS($J:$J,$B:$B,$B1121,$A:$A,"&gt;="&amp;COUNTIFS($K$1:P$1,"&lt;&gt;"))),0)</f>
        <v>0</v>
      </c>
      <c r="Q1121">
        <f>IFERROR($J1121/IF($A1121&lt;COUNTIFS($K$1:Q$1,"&lt;&gt;"),0,SUMIFS($J:$J,$B:$B,$B1121,$A:$A,"&gt;="&amp;COUNTIFS($K$1:Q$1,"&lt;&gt;"))),0)</f>
        <v>0</v>
      </c>
      <c r="R1121">
        <f>IFERROR($J1121/IF($A1121&lt;COUNTIFS($K$1:R$1,"&lt;&gt;"),0,SUMIFS($J:$J,$B:$B,$B1121,$A:$A,"&gt;="&amp;COUNTIFS($K$1:R$1,"&lt;&gt;"))),0)</f>
        <v>0</v>
      </c>
      <c r="S1121">
        <f>IFERROR($J1121/IF($A1121&lt;COUNTIFS($K$1:S$1,"&lt;&gt;"),0,SUMIFS($J:$J,$B:$B,$B1121,$A:$A,"&gt;="&amp;COUNTIFS($K$1:S$1,"&lt;&gt;"))),0)</f>
        <v>0</v>
      </c>
      <c r="T1121">
        <f>IFERROR($J1121/IF($A1121&lt;COUNTIFS($K$1:T$1,"&lt;&gt;"),0,SUMIFS($J:$J,$B:$B,$B1121,$A:$A,"&gt;="&amp;COUNTIFS($K$1:T$1,"&lt;&gt;"))),0)</f>
        <v>0</v>
      </c>
      <c r="U1121">
        <f>IFERROR($J1121/IF($A1121&lt;COUNTIFS($K$1:U$1,"&lt;&gt;"),0,SUMIFS($J:$J,$B:$B,$B1121,$A:$A,"&gt;="&amp;COUNTIFS($K$1:U$1,"&lt;&gt;"))),0)</f>
        <v>0</v>
      </c>
      <c r="V1121">
        <f>IFERROR($J1121/IF($A1121&lt;COUNTIFS($K$1:V$1,"&lt;&gt;"),0,SUMIFS($J:$J,$B:$B,$B1121,$A:$A,"&gt;="&amp;COUNTIFS($K$1:V$1,"&lt;&gt;"))),0)</f>
        <v>0</v>
      </c>
      <c r="W1121">
        <f t="shared" si="398"/>
        <v>8.1967213114754092E-2</v>
      </c>
      <c r="X1121">
        <f t="shared" si="378"/>
        <v>8.1967213114754092E-2</v>
      </c>
      <c r="Y1121">
        <f t="shared" si="379"/>
        <v>0</v>
      </c>
      <c r="Z1121">
        <f t="shared" si="380"/>
        <v>0</v>
      </c>
      <c r="AA1121">
        <f t="shared" si="381"/>
        <v>0</v>
      </c>
      <c r="AB1121">
        <f t="shared" si="382"/>
        <v>0</v>
      </c>
      <c r="AC1121">
        <f t="shared" si="383"/>
        <v>0</v>
      </c>
      <c r="AD1121">
        <f t="shared" si="384"/>
        <v>0</v>
      </c>
      <c r="AE1121">
        <f t="shared" si="385"/>
        <v>0</v>
      </c>
      <c r="AF1121">
        <f t="shared" si="386"/>
        <v>0</v>
      </c>
      <c r="AG1121">
        <f t="shared" si="387"/>
        <v>0</v>
      </c>
      <c r="AH1121">
        <f t="shared" si="388"/>
        <v>0</v>
      </c>
      <c r="AI1121">
        <f t="shared" si="389"/>
        <v>0</v>
      </c>
      <c r="AJ1121" s="2" t="str">
        <f t="shared" si="399"/>
        <v>146447</v>
      </c>
    </row>
    <row r="1122" spans="1:36" x14ac:dyDescent="0.25">
      <c r="A1122">
        <v>2</v>
      </c>
      <c r="B1122" s="1">
        <v>46447</v>
      </c>
      <c r="C1122" s="1">
        <f t="shared" si="390"/>
        <v>46508</v>
      </c>
      <c r="D1122" s="1">
        <f t="shared" si="391"/>
        <v>46461</v>
      </c>
      <c r="E1122" s="1">
        <f t="shared" si="392"/>
        <v>46508</v>
      </c>
      <c r="F1122" s="1">
        <f t="shared" si="393"/>
        <v>46539</v>
      </c>
      <c r="G1122" s="1">
        <f t="shared" si="394"/>
        <v>46827</v>
      </c>
      <c r="H1122">
        <f t="shared" si="395"/>
        <v>366</v>
      </c>
      <c r="I1122">
        <f t="shared" si="396"/>
        <v>31</v>
      </c>
      <c r="J1122">
        <f t="shared" si="397"/>
        <v>8.4699453551912565E-2</v>
      </c>
      <c r="K1122">
        <f>IFERROR($J1122/IF($A1122&lt;COUNTIFS($K$1:K$1,"&lt;&gt;"),0,SUMIFS($J:$J,$B:$B,$B1122,$A:$A,"&gt;="&amp;COUNTIFS($K$1:K$1,"&lt;&gt;"))),0)</f>
        <v>8.882521489971347E-2</v>
      </c>
      <c r="L1122">
        <f>IFERROR($J1122/IF($A1122&lt;COUNTIFS($K$1:L$1,"&lt;&gt;"),0,SUMIFS($J:$J,$B:$B,$B1122,$A:$A,"&gt;="&amp;COUNTIFS($K$1:L$1,"&lt;&gt;"))),0)</f>
        <v>9.7178683385579931E-2</v>
      </c>
      <c r="M1122">
        <f>IFERROR($J1122/IF($A1122&lt;COUNTIFS($K$1:M$1,"&lt;&gt;"),0,SUMIFS($J:$J,$B:$B,$B1122,$A:$A,"&gt;="&amp;COUNTIFS($K$1:M$1,"&lt;&gt;"))),0)</f>
        <v>0</v>
      </c>
      <c r="N1122">
        <f>IFERROR($J1122/IF($A1122&lt;COUNTIFS($K$1:N$1,"&lt;&gt;"),0,SUMIFS($J:$J,$B:$B,$B1122,$A:$A,"&gt;="&amp;COUNTIFS($K$1:N$1,"&lt;&gt;"))),0)</f>
        <v>0</v>
      </c>
      <c r="O1122">
        <f>IFERROR($J1122/IF($A1122&lt;COUNTIFS($K$1:O$1,"&lt;&gt;"),0,SUMIFS($J:$J,$B:$B,$B1122,$A:$A,"&gt;="&amp;COUNTIFS($K$1:O$1,"&lt;&gt;"))),0)</f>
        <v>0</v>
      </c>
      <c r="P1122">
        <f>IFERROR($J1122/IF($A1122&lt;COUNTIFS($K$1:P$1,"&lt;&gt;"),0,SUMIFS($J:$J,$B:$B,$B1122,$A:$A,"&gt;="&amp;COUNTIFS($K$1:P$1,"&lt;&gt;"))),0)</f>
        <v>0</v>
      </c>
      <c r="Q1122">
        <f>IFERROR($J1122/IF($A1122&lt;COUNTIFS($K$1:Q$1,"&lt;&gt;"),0,SUMIFS($J:$J,$B:$B,$B1122,$A:$A,"&gt;="&amp;COUNTIFS($K$1:Q$1,"&lt;&gt;"))),0)</f>
        <v>0</v>
      </c>
      <c r="R1122">
        <f>IFERROR($J1122/IF($A1122&lt;COUNTIFS($K$1:R$1,"&lt;&gt;"),0,SUMIFS($J:$J,$B:$B,$B1122,$A:$A,"&gt;="&amp;COUNTIFS($K$1:R$1,"&lt;&gt;"))),0)</f>
        <v>0</v>
      </c>
      <c r="S1122">
        <f>IFERROR($J1122/IF($A1122&lt;COUNTIFS($K$1:S$1,"&lt;&gt;"),0,SUMIFS($J:$J,$B:$B,$B1122,$A:$A,"&gt;="&amp;COUNTIFS($K$1:S$1,"&lt;&gt;"))),0)</f>
        <v>0</v>
      </c>
      <c r="T1122">
        <f>IFERROR($J1122/IF($A1122&lt;COUNTIFS($K$1:T$1,"&lt;&gt;"),0,SUMIFS($J:$J,$B:$B,$B1122,$A:$A,"&gt;="&amp;COUNTIFS($K$1:T$1,"&lt;&gt;"))),0)</f>
        <v>0</v>
      </c>
      <c r="U1122">
        <f>IFERROR($J1122/IF($A1122&lt;COUNTIFS($K$1:U$1,"&lt;&gt;"),0,SUMIFS($J:$J,$B:$B,$B1122,$A:$A,"&gt;="&amp;COUNTIFS($K$1:U$1,"&lt;&gt;"))),0)</f>
        <v>0</v>
      </c>
      <c r="V1122">
        <f>IFERROR($J1122/IF($A1122&lt;COUNTIFS($K$1:V$1,"&lt;&gt;"),0,SUMIFS($J:$J,$B:$B,$B1122,$A:$A,"&gt;="&amp;COUNTIFS($K$1:V$1,"&lt;&gt;"))),0)</f>
        <v>0</v>
      </c>
      <c r="W1122">
        <f t="shared" si="398"/>
        <v>8.4699453551912565E-2</v>
      </c>
      <c r="X1122">
        <f t="shared" si="378"/>
        <v>8.4699453551912565E-2</v>
      </c>
      <c r="Y1122">
        <f t="shared" si="379"/>
        <v>8.4699453551912565E-2</v>
      </c>
      <c r="Z1122">
        <f t="shared" si="380"/>
        <v>0</v>
      </c>
      <c r="AA1122">
        <f t="shared" si="381"/>
        <v>0</v>
      </c>
      <c r="AB1122">
        <f t="shared" si="382"/>
        <v>0</v>
      </c>
      <c r="AC1122">
        <f t="shared" si="383"/>
        <v>0</v>
      </c>
      <c r="AD1122">
        <f t="shared" si="384"/>
        <v>0</v>
      </c>
      <c r="AE1122">
        <f t="shared" si="385"/>
        <v>0</v>
      </c>
      <c r="AF1122">
        <f t="shared" si="386"/>
        <v>0</v>
      </c>
      <c r="AG1122">
        <f t="shared" si="387"/>
        <v>0</v>
      </c>
      <c r="AH1122">
        <f t="shared" si="388"/>
        <v>0</v>
      </c>
      <c r="AI1122">
        <f t="shared" si="389"/>
        <v>0</v>
      </c>
      <c r="AJ1122" s="2" t="str">
        <f t="shared" si="399"/>
        <v>246447</v>
      </c>
    </row>
    <row r="1123" spans="1:36" x14ac:dyDescent="0.25">
      <c r="A1123">
        <v>3</v>
      </c>
      <c r="B1123" s="1">
        <v>46447</v>
      </c>
      <c r="C1123" s="1">
        <f t="shared" si="390"/>
        <v>46539</v>
      </c>
      <c r="D1123" s="1">
        <f t="shared" si="391"/>
        <v>46461</v>
      </c>
      <c r="E1123" s="1">
        <f t="shared" si="392"/>
        <v>46539</v>
      </c>
      <c r="F1123" s="1">
        <f t="shared" si="393"/>
        <v>46569</v>
      </c>
      <c r="G1123" s="1">
        <f t="shared" si="394"/>
        <v>46827</v>
      </c>
      <c r="H1123">
        <f t="shared" si="395"/>
        <v>366</v>
      </c>
      <c r="I1123">
        <f t="shared" si="396"/>
        <v>30</v>
      </c>
      <c r="J1123">
        <f t="shared" si="397"/>
        <v>8.1967213114754092E-2</v>
      </c>
      <c r="K1123">
        <f>IFERROR($J1123/IF($A1123&lt;COUNTIFS($K$1:K$1,"&lt;&gt;"),0,SUMIFS($J:$J,$B:$B,$B1123,$A:$A,"&gt;="&amp;COUNTIFS($K$1:K$1,"&lt;&gt;"))),0)</f>
        <v>8.5959885386819479E-2</v>
      </c>
      <c r="L1123">
        <f>IFERROR($J1123/IF($A1123&lt;COUNTIFS($K$1:L$1,"&lt;&gt;"),0,SUMIFS($J:$J,$B:$B,$B1123,$A:$A,"&gt;="&amp;COUNTIFS($K$1:L$1,"&lt;&gt;"))),0)</f>
        <v>9.4043887147335414E-2</v>
      </c>
      <c r="M1123">
        <f>IFERROR($J1123/IF($A1123&lt;COUNTIFS($K$1:M$1,"&lt;&gt;"),0,SUMIFS($J:$J,$B:$B,$B1123,$A:$A,"&gt;="&amp;COUNTIFS($K$1:M$1,"&lt;&gt;"))),0)</f>
        <v>0.10416666666666666</v>
      </c>
      <c r="N1123">
        <f>IFERROR($J1123/IF($A1123&lt;COUNTIFS($K$1:N$1,"&lt;&gt;"),0,SUMIFS($J:$J,$B:$B,$B1123,$A:$A,"&gt;="&amp;COUNTIFS($K$1:N$1,"&lt;&gt;"))),0)</f>
        <v>0</v>
      </c>
      <c r="O1123">
        <f>IFERROR($J1123/IF($A1123&lt;COUNTIFS($K$1:O$1,"&lt;&gt;"),0,SUMIFS($J:$J,$B:$B,$B1123,$A:$A,"&gt;="&amp;COUNTIFS($K$1:O$1,"&lt;&gt;"))),0)</f>
        <v>0</v>
      </c>
      <c r="P1123">
        <f>IFERROR($J1123/IF($A1123&lt;COUNTIFS($K$1:P$1,"&lt;&gt;"),0,SUMIFS($J:$J,$B:$B,$B1123,$A:$A,"&gt;="&amp;COUNTIFS($K$1:P$1,"&lt;&gt;"))),0)</f>
        <v>0</v>
      </c>
      <c r="Q1123">
        <f>IFERROR($J1123/IF($A1123&lt;COUNTIFS($K$1:Q$1,"&lt;&gt;"),0,SUMIFS($J:$J,$B:$B,$B1123,$A:$A,"&gt;="&amp;COUNTIFS($K$1:Q$1,"&lt;&gt;"))),0)</f>
        <v>0</v>
      </c>
      <c r="R1123">
        <f>IFERROR($J1123/IF($A1123&lt;COUNTIFS($K$1:R$1,"&lt;&gt;"),0,SUMIFS($J:$J,$B:$B,$B1123,$A:$A,"&gt;="&amp;COUNTIFS($K$1:R$1,"&lt;&gt;"))),0)</f>
        <v>0</v>
      </c>
      <c r="S1123">
        <f>IFERROR($J1123/IF($A1123&lt;COUNTIFS($K$1:S$1,"&lt;&gt;"),0,SUMIFS($J:$J,$B:$B,$B1123,$A:$A,"&gt;="&amp;COUNTIFS($K$1:S$1,"&lt;&gt;"))),0)</f>
        <v>0</v>
      </c>
      <c r="T1123">
        <f>IFERROR($J1123/IF($A1123&lt;COUNTIFS($K$1:T$1,"&lt;&gt;"),0,SUMIFS($J:$J,$B:$B,$B1123,$A:$A,"&gt;="&amp;COUNTIFS($K$1:T$1,"&lt;&gt;"))),0)</f>
        <v>0</v>
      </c>
      <c r="U1123">
        <f>IFERROR($J1123/IF($A1123&lt;COUNTIFS($K$1:U$1,"&lt;&gt;"),0,SUMIFS($J:$J,$B:$B,$B1123,$A:$A,"&gt;="&amp;COUNTIFS($K$1:U$1,"&lt;&gt;"))),0)</f>
        <v>0</v>
      </c>
      <c r="V1123">
        <f>IFERROR($J1123/IF($A1123&lt;COUNTIFS($K$1:V$1,"&lt;&gt;"),0,SUMIFS($J:$J,$B:$B,$B1123,$A:$A,"&gt;="&amp;COUNTIFS($K$1:V$1,"&lt;&gt;"))),0)</f>
        <v>0</v>
      </c>
      <c r="W1123">
        <f t="shared" si="398"/>
        <v>8.1967213114754092E-2</v>
      </c>
      <c r="X1123">
        <f t="shared" si="378"/>
        <v>8.1967213114754092E-2</v>
      </c>
      <c r="Y1123">
        <f t="shared" si="379"/>
        <v>8.1967213114754092E-2</v>
      </c>
      <c r="Z1123">
        <f t="shared" si="380"/>
        <v>8.1967213114754092E-2</v>
      </c>
      <c r="AA1123">
        <f t="shared" si="381"/>
        <v>0</v>
      </c>
      <c r="AB1123">
        <f t="shared" si="382"/>
        <v>0</v>
      </c>
      <c r="AC1123">
        <f t="shared" si="383"/>
        <v>0</v>
      </c>
      <c r="AD1123">
        <f t="shared" si="384"/>
        <v>0</v>
      </c>
      <c r="AE1123">
        <f t="shared" si="385"/>
        <v>0</v>
      </c>
      <c r="AF1123">
        <f t="shared" si="386"/>
        <v>0</v>
      </c>
      <c r="AG1123">
        <f t="shared" si="387"/>
        <v>0</v>
      </c>
      <c r="AH1123">
        <f t="shared" si="388"/>
        <v>0</v>
      </c>
      <c r="AI1123">
        <f t="shared" si="389"/>
        <v>0</v>
      </c>
      <c r="AJ1123" s="2" t="str">
        <f t="shared" si="399"/>
        <v>346447</v>
      </c>
    </row>
    <row r="1124" spans="1:36" x14ac:dyDescent="0.25">
      <c r="A1124">
        <v>4</v>
      </c>
      <c r="B1124" s="1">
        <v>46447</v>
      </c>
      <c r="C1124" s="1">
        <f t="shared" si="390"/>
        <v>46569</v>
      </c>
      <c r="D1124" s="1">
        <f t="shared" si="391"/>
        <v>46461</v>
      </c>
      <c r="E1124" s="1">
        <f t="shared" si="392"/>
        <v>46569</v>
      </c>
      <c r="F1124" s="1">
        <f t="shared" si="393"/>
        <v>46600</v>
      </c>
      <c r="G1124" s="1">
        <f t="shared" si="394"/>
        <v>46827</v>
      </c>
      <c r="H1124">
        <f t="shared" si="395"/>
        <v>366</v>
      </c>
      <c r="I1124">
        <f t="shared" si="396"/>
        <v>31</v>
      </c>
      <c r="J1124">
        <f t="shared" si="397"/>
        <v>8.4699453551912565E-2</v>
      </c>
      <c r="K1124">
        <f>IFERROR($J1124/IF($A1124&lt;COUNTIFS($K$1:K$1,"&lt;&gt;"),0,SUMIFS($J:$J,$B:$B,$B1124,$A:$A,"&gt;="&amp;COUNTIFS($K$1:K$1,"&lt;&gt;"))),0)</f>
        <v>8.882521489971347E-2</v>
      </c>
      <c r="L1124">
        <f>IFERROR($J1124/IF($A1124&lt;COUNTIFS($K$1:L$1,"&lt;&gt;"),0,SUMIFS($J:$J,$B:$B,$B1124,$A:$A,"&gt;="&amp;COUNTIFS($K$1:L$1,"&lt;&gt;"))),0)</f>
        <v>9.7178683385579931E-2</v>
      </c>
      <c r="M1124">
        <f>IFERROR($J1124/IF($A1124&lt;COUNTIFS($K$1:M$1,"&lt;&gt;"),0,SUMIFS($J:$J,$B:$B,$B1124,$A:$A,"&gt;="&amp;COUNTIFS($K$1:M$1,"&lt;&gt;"))),0)</f>
        <v>0.10763888888888888</v>
      </c>
      <c r="N1124">
        <f>IFERROR($J1124/IF($A1124&lt;COUNTIFS($K$1:N$1,"&lt;&gt;"),0,SUMIFS($J:$J,$B:$B,$B1124,$A:$A,"&gt;="&amp;COUNTIFS($K$1:N$1,"&lt;&gt;"))),0)</f>
        <v>0.12015503875968991</v>
      </c>
      <c r="O1124">
        <f>IFERROR($J1124/IF($A1124&lt;COUNTIFS($K$1:O$1,"&lt;&gt;"),0,SUMIFS($J:$J,$B:$B,$B1124,$A:$A,"&gt;="&amp;COUNTIFS($K$1:O$1,"&lt;&gt;"))),0)</f>
        <v>0</v>
      </c>
      <c r="P1124">
        <f>IFERROR($J1124/IF($A1124&lt;COUNTIFS($K$1:P$1,"&lt;&gt;"),0,SUMIFS($J:$J,$B:$B,$B1124,$A:$A,"&gt;="&amp;COUNTIFS($K$1:P$1,"&lt;&gt;"))),0)</f>
        <v>0</v>
      </c>
      <c r="Q1124">
        <f>IFERROR($J1124/IF($A1124&lt;COUNTIFS($K$1:Q$1,"&lt;&gt;"),0,SUMIFS($J:$J,$B:$B,$B1124,$A:$A,"&gt;="&amp;COUNTIFS($K$1:Q$1,"&lt;&gt;"))),0)</f>
        <v>0</v>
      </c>
      <c r="R1124">
        <f>IFERROR($J1124/IF($A1124&lt;COUNTIFS($K$1:R$1,"&lt;&gt;"),0,SUMIFS($J:$J,$B:$B,$B1124,$A:$A,"&gt;="&amp;COUNTIFS($K$1:R$1,"&lt;&gt;"))),0)</f>
        <v>0</v>
      </c>
      <c r="S1124">
        <f>IFERROR($J1124/IF($A1124&lt;COUNTIFS($K$1:S$1,"&lt;&gt;"),0,SUMIFS($J:$J,$B:$B,$B1124,$A:$A,"&gt;="&amp;COUNTIFS($K$1:S$1,"&lt;&gt;"))),0)</f>
        <v>0</v>
      </c>
      <c r="T1124">
        <f>IFERROR($J1124/IF($A1124&lt;COUNTIFS($K$1:T$1,"&lt;&gt;"),0,SUMIFS($J:$J,$B:$B,$B1124,$A:$A,"&gt;="&amp;COUNTIFS($K$1:T$1,"&lt;&gt;"))),0)</f>
        <v>0</v>
      </c>
      <c r="U1124">
        <f>IFERROR($J1124/IF($A1124&lt;COUNTIFS($K$1:U$1,"&lt;&gt;"),0,SUMIFS($J:$J,$B:$B,$B1124,$A:$A,"&gt;="&amp;COUNTIFS($K$1:U$1,"&lt;&gt;"))),0)</f>
        <v>0</v>
      </c>
      <c r="V1124">
        <f>IFERROR($J1124/IF($A1124&lt;COUNTIFS($K$1:V$1,"&lt;&gt;"),0,SUMIFS($J:$J,$B:$B,$B1124,$A:$A,"&gt;="&amp;COUNTIFS($K$1:V$1,"&lt;&gt;"))),0)</f>
        <v>0</v>
      </c>
      <c r="W1124">
        <f t="shared" si="398"/>
        <v>8.4699453551912565E-2</v>
      </c>
      <c r="X1124">
        <f t="shared" si="378"/>
        <v>8.4699453551912565E-2</v>
      </c>
      <c r="Y1124">
        <f t="shared" si="379"/>
        <v>8.4699453551912565E-2</v>
      </c>
      <c r="Z1124">
        <f t="shared" si="380"/>
        <v>8.4699453551912565E-2</v>
      </c>
      <c r="AA1124">
        <f t="shared" si="381"/>
        <v>8.4699453551912565E-2</v>
      </c>
      <c r="AB1124">
        <f t="shared" si="382"/>
        <v>0</v>
      </c>
      <c r="AC1124">
        <f t="shared" si="383"/>
        <v>0</v>
      </c>
      <c r="AD1124">
        <f t="shared" si="384"/>
        <v>0</v>
      </c>
      <c r="AE1124">
        <f t="shared" si="385"/>
        <v>0</v>
      </c>
      <c r="AF1124">
        <f t="shared" si="386"/>
        <v>0</v>
      </c>
      <c r="AG1124">
        <f t="shared" si="387"/>
        <v>0</v>
      </c>
      <c r="AH1124">
        <f t="shared" si="388"/>
        <v>0</v>
      </c>
      <c r="AI1124">
        <f t="shared" si="389"/>
        <v>0</v>
      </c>
      <c r="AJ1124" s="2" t="str">
        <f t="shared" si="399"/>
        <v>446447</v>
      </c>
    </row>
    <row r="1125" spans="1:36" x14ac:dyDescent="0.25">
      <c r="A1125">
        <v>5</v>
      </c>
      <c r="B1125" s="1">
        <v>46447</v>
      </c>
      <c r="C1125" s="1">
        <f t="shared" si="390"/>
        <v>46600</v>
      </c>
      <c r="D1125" s="1">
        <f t="shared" si="391"/>
        <v>46461</v>
      </c>
      <c r="E1125" s="1">
        <f t="shared" si="392"/>
        <v>46600</v>
      </c>
      <c r="F1125" s="1">
        <f t="shared" si="393"/>
        <v>46631</v>
      </c>
      <c r="G1125" s="1">
        <f t="shared" si="394"/>
        <v>46827</v>
      </c>
      <c r="H1125">
        <f t="shared" si="395"/>
        <v>366</v>
      </c>
      <c r="I1125">
        <f t="shared" si="396"/>
        <v>31</v>
      </c>
      <c r="J1125">
        <f t="shared" si="397"/>
        <v>8.4699453551912565E-2</v>
      </c>
      <c r="K1125">
        <f>IFERROR($J1125/IF($A1125&lt;COUNTIFS($K$1:K$1,"&lt;&gt;"),0,SUMIFS($J:$J,$B:$B,$B1125,$A:$A,"&gt;="&amp;COUNTIFS($K$1:K$1,"&lt;&gt;"))),0)</f>
        <v>8.882521489971347E-2</v>
      </c>
      <c r="L1125">
        <f>IFERROR($J1125/IF($A1125&lt;COUNTIFS($K$1:L$1,"&lt;&gt;"),0,SUMIFS($J:$J,$B:$B,$B1125,$A:$A,"&gt;="&amp;COUNTIFS($K$1:L$1,"&lt;&gt;"))),0)</f>
        <v>9.7178683385579931E-2</v>
      </c>
      <c r="M1125">
        <f>IFERROR($J1125/IF($A1125&lt;COUNTIFS($K$1:M$1,"&lt;&gt;"),0,SUMIFS($J:$J,$B:$B,$B1125,$A:$A,"&gt;="&amp;COUNTIFS($K$1:M$1,"&lt;&gt;"))),0)</f>
        <v>0.10763888888888888</v>
      </c>
      <c r="N1125">
        <f>IFERROR($J1125/IF($A1125&lt;COUNTIFS($K$1:N$1,"&lt;&gt;"),0,SUMIFS($J:$J,$B:$B,$B1125,$A:$A,"&gt;="&amp;COUNTIFS($K$1:N$1,"&lt;&gt;"))),0)</f>
        <v>0.12015503875968991</v>
      </c>
      <c r="O1125">
        <f>IFERROR($J1125/IF($A1125&lt;COUNTIFS($K$1:O$1,"&lt;&gt;"),0,SUMIFS($J:$J,$B:$B,$B1125,$A:$A,"&gt;="&amp;COUNTIFS($K$1:O$1,"&lt;&gt;"))),0)</f>
        <v>0.13656387665198236</v>
      </c>
      <c r="P1125">
        <f>IFERROR($J1125/IF($A1125&lt;COUNTIFS($K$1:P$1,"&lt;&gt;"),0,SUMIFS($J:$J,$B:$B,$B1125,$A:$A,"&gt;="&amp;COUNTIFS($K$1:P$1,"&lt;&gt;"))),0)</f>
        <v>0</v>
      </c>
      <c r="Q1125">
        <f>IFERROR($J1125/IF($A1125&lt;COUNTIFS($K$1:Q$1,"&lt;&gt;"),0,SUMIFS($J:$J,$B:$B,$B1125,$A:$A,"&gt;="&amp;COUNTIFS($K$1:Q$1,"&lt;&gt;"))),0)</f>
        <v>0</v>
      </c>
      <c r="R1125">
        <f>IFERROR($J1125/IF($A1125&lt;COUNTIFS($K$1:R$1,"&lt;&gt;"),0,SUMIFS($J:$J,$B:$B,$B1125,$A:$A,"&gt;="&amp;COUNTIFS($K$1:R$1,"&lt;&gt;"))),0)</f>
        <v>0</v>
      </c>
      <c r="S1125">
        <f>IFERROR($J1125/IF($A1125&lt;COUNTIFS($K$1:S$1,"&lt;&gt;"),0,SUMIFS($J:$J,$B:$B,$B1125,$A:$A,"&gt;="&amp;COUNTIFS($K$1:S$1,"&lt;&gt;"))),0)</f>
        <v>0</v>
      </c>
      <c r="T1125">
        <f>IFERROR($J1125/IF($A1125&lt;COUNTIFS($K$1:T$1,"&lt;&gt;"),0,SUMIFS($J:$J,$B:$B,$B1125,$A:$A,"&gt;="&amp;COUNTIFS($K$1:T$1,"&lt;&gt;"))),0)</f>
        <v>0</v>
      </c>
      <c r="U1125">
        <f>IFERROR($J1125/IF($A1125&lt;COUNTIFS($K$1:U$1,"&lt;&gt;"),0,SUMIFS($J:$J,$B:$B,$B1125,$A:$A,"&gt;="&amp;COUNTIFS($K$1:U$1,"&lt;&gt;"))),0)</f>
        <v>0</v>
      </c>
      <c r="V1125">
        <f>IFERROR($J1125/IF($A1125&lt;COUNTIFS($K$1:V$1,"&lt;&gt;"),0,SUMIFS($J:$J,$B:$B,$B1125,$A:$A,"&gt;="&amp;COUNTIFS($K$1:V$1,"&lt;&gt;"))),0)</f>
        <v>0</v>
      </c>
      <c r="W1125">
        <f t="shared" si="398"/>
        <v>8.4699453551912565E-2</v>
      </c>
      <c r="X1125">
        <f t="shared" si="378"/>
        <v>8.4699453551912565E-2</v>
      </c>
      <c r="Y1125">
        <f t="shared" si="379"/>
        <v>8.4699453551912565E-2</v>
      </c>
      <c r="Z1125">
        <f t="shared" si="380"/>
        <v>8.4699453551912565E-2</v>
      </c>
      <c r="AA1125">
        <f t="shared" si="381"/>
        <v>8.4699453551912565E-2</v>
      </c>
      <c r="AB1125">
        <f t="shared" si="382"/>
        <v>8.4699453551912565E-2</v>
      </c>
      <c r="AC1125">
        <f t="shared" si="383"/>
        <v>0</v>
      </c>
      <c r="AD1125">
        <f t="shared" si="384"/>
        <v>0</v>
      </c>
      <c r="AE1125">
        <f t="shared" si="385"/>
        <v>0</v>
      </c>
      <c r="AF1125">
        <f t="shared" si="386"/>
        <v>0</v>
      </c>
      <c r="AG1125">
        <f t="shared" si="387"/>
        <v>0</v>
      </c>
      <c r="AH1125">
        <f t="shared" si="388"/>
        <v>0</v>
      </c>
      <c r="AI1125">
        <f t="shared" si="389"/>
        <v>0</v>
      </c>
      <c r="AJ1125" s="2" t="str">
        <f t="shared" si="399"/>
        <v>546447</v>
      </c>
    </row>
    <row r="1126" spans="1:36" x14ac:dyDescent="0.25">
      <c r="A1126">
        <v>6</v>
      </c>
      <c r="B1126" s="1">
        <v>46447</v>
      </c>
      <c r="C1126" s="1">
        <f t="shared" si="390"/>
        <v>46631</v>
      </c>
      <c r="D1126" s="1">
        <f t="shared" si="391"/>
        <v>46461</v>
      </c>
      <c r="E1126" s="1">
        <f t="shared" si="392"/>
        <v>46631</v>
      </c>
      <c r="F1126" s="1">
        <f t="shared" si="393"/>
        <v>46661</v>
      </c>
      <c r="G1126" s="1">
        <f t="shared" si="394"/>
        <v>46827</v>
      </c>
      <c r="H1126">
        <f t="shared" si="395"/>
        <v>366</v>
      </c>
      <c r="I1126">
        <f t="shared" si="396"/>
        <v>30</v>
      </c>
      <c r="J1126">
        <f t="shared" si="397"/>
        <v>8.1967213114754092E-2</v>
      </c>
      <c r="K1126">
        <f>IFERROR($J1126/IF($A1126&lt;COUNTIFS($K$1:K$1,"&lt;&gt;"),0,SUMIFS($J:$J,$B:$B,$B1126,$A:$A,"&gt;="&amp;COUNTIFS($K$1:K$1,"&lt;&gt;"))),0)</f>
        <v>8.5959885386819479E-2</v>
      </c>
      <c r="L1126">
        <f>IFERROR($J1126/IF($A1126&lt;COUNTIFS($K$1:L$1,"&lt;&gt;"),0,SUMIFS($J:$J,$B:$B,$B1126,$A:$A,"&gt;="&amp;COUNTIFS($K$1:L$1,"&lt;&gt;"))),0)</f>
        <v>9.4043887147335414E-2</v>
      </c>
      <c r="M1126">
        <f>IFERROR($J1126/IF($A1126&lt;COUNTIFS($K$1:M$1,"&lt;&gt;"),0,SUMIFS($J:$J,$B:$B,$B1126,$A:$A,"&gt;="&amp;COUNTIFS($K$1:M$1,"&lt;&gt;"))),0)</f>
        <v>0.10416666666666666</v>
      </c>
      <c r="N1126">
        <f>IFERROR($J1126/IF($A1126&lt;COUNTIFS($K$1:N$1,"&lt;&gt;"),0,SUMIFS($J:$J,$B:$B,$B1126,$A:$A,"&gt;="&amp;COUNTIFS($K$1:N$1,"&lt;&gt;"))),0)</f>
        <v>0.11627906976744184</v>
      </c>
      <c r="O1126">
        <f>IFERROR($J1126/IF($A1126&lt;COUNTIFS($K$1:O$1,"&lt;&gt;"),0,SUMIFS($J:$J,$B:$B,$B1126,$A:$A,"&gt;="&amp;COUNTIFS($K$1:O$1,"&lt;&gt;"))),0)</f>
        <v>0.13215859030837002</v>
      </c>
      <c r="P1126">
        <f>IFERROR($J1126/IF($A1126&lt;COUNTIFS($K$1:P$1,"&lt;&gt;"),0,SUMIFS($J:$J,$B:$B,$B1126,$A:$A,"&gt;="&amp;COUNTIFS($K$1:P$1,"&lt;&gt;"))),0)</f>
        <v>0.15306122448979589</v>
      </c>
      <c r="Q1126">
        <f>IFERROR($J1126/IF($A1126&lt;COUNTIFS($K$1:Q$1,"&lt;&gt;"),0,SUMIFS($J:$J,$B:$B,$B1126,$A:$A,"&gt;="&amp;COUNTIFS($K$1:Q$1,"&lt;&gt;"))),0)</f>
        <v>0</v>
      </c>
      <c r="R1126">
        <f>IFERROR($J1126/IF($A1126&lt;COUNTIFS($K$1:R$1,"&lt;&gt;"),0,SUMIFS($J:$J,$B:$B,$B1126,$A:$A,"&gt;="&amp;COUNTIFS($K$1:R$1,"&lt;&gt;"))),0)</f>
        <v>0</v>
      </c>
      <c r="S1126">
        <f>IFERROR($J1126/IF($A1126&lt;COUNTIFS($K$1:S$1,"&lt;&gt;"),0,SUMIFS($J:$J,$B:$B,$B1126,$A:$A,"&gt;="&amp;COUNTIFS($K$1:S$1,"&lt;&gt;"))),0)</f>
        <v>0</v>
      </c>
      <c r="T1126">
        <f>IFERROR($J1126/IF($A1126&lt;COUNTIFS($K$1:T$1,"&lt;&gt;"),0,SUMIFS($J:$J,$B:$B,$B1126,$A:$A,"&gt;="&amp;COUNTIFS($K$1:T$1,"&lt;&gt;"))),0)</f>
        <v>0</v>
      </c>
      <c r="U1126">
        <f>IFERROR($J1126/IF($A1126&lt;COUNTIFS($K$1:U$1,"&lt;&gt;"),0,SUMIFS($J:$J,$B:$B,$B1126,$A:$A,"&gt;="&amp;COUNTIFS($K$1:U$1,"&lt;&gt;"))),0)</f>
        <v>0</v>
      </c>
      <c r="V1126">
        <f>IFERROR($J1126/IF($A1126&lt;COUNTIFS($K$1:V$1,"&lt;&gt;"),0,SUMIFS($J:$J,$B:$B,$B1126,$A:$A,"&gt;="&amp;COUNTIFS($K$1:V$1,"&lt;&gt;"))),0)</f>
        <v>0</v>
      </c>
      <c r="W1126">
        <f t="shared" si="398"/>
        <v>8.1967213114754092E-2</v>
      </c>
      <c r="X1126">
        <f t="shared" si="378"/>
        <v>8.1967213114754092E-2</v>
      </c>
      <c r="Y1126">
        <f t="shared" si="379"/>
        <v>8.1967213114754092E-2</v>
      </c>
      <c r="Z1126">
        <f t="shared" si="380"/>
        <v>8.1967213114754092E-2</v>
      </c>
      <c r="AA1126">
        <f t="shared" si="381"/>
        <v>8.1967213114754092E-2</v>
      </c>
      <c r="AB1126">
        <f t="shared" si="382"/>
        <v>8.1967213114754092E-2</v>
      </c>
      <c r="AC1126">
        <f t="shared" si="383"/>
        <v>8.1967213114754092E-2</v>
      </c>
      <c r="AD1126">
        <f t="shared" si="384"/>
        <v>0</v>
      </c>
      <c r="AE1126">
        <f t="shared" si="385"/>
        <v>0</v>
      </c>
      <c r="AF1126">
        <f t="shared" si="386"/>
        <v>0</v>
      </c>
      <c r="AG1126">
        <f t="shared" si="387"/>
        <v>0</v>
      </c>
      <c r="AH1126">
        <f t="shared" si="388"/>
        <v>0</v>
      </c>
      <c r="AI1126">
        <f t="shared" si="389"/>
        <v>0</v>
      </c>
      <c r="AJ1126" s="2" t="str">
        <f t="shared" si="399"/>
        <v>646447</v>
      </c>
    </row>
    <row r="1127" spans="1:36" x14ac:dyDescent="0.25">
      <c r="A1127">
        <v>7</v>
      </c>
      <c r="B1127" s="1">
        <v>46447</v>
      </c>
      <c r="C1127" s="1">
        <f t="shared" si="390"/>
        <v>46661</v>
      </c>
      <c r="D1127" s="1">
        <f t="shared" si="391"/>
        <v>46461</v>
      </c>
      <c r="E1127" s="1">
        <f t="shared" si="392"/>
        <v>46661</v>
      </c>
      <c r="F1127" s="1">
        <f t="shared" si="393"/>
        <v>46692</v>
      </c>
      <c r="G1127" s="1">
        <f t="shared" si="394"/>
        <v>46827</v>
      </c>
      <c r="H1127">
        <f t="shared" si="395"/>
        <v>366</v>
      </c>
      <c r="I1127">
        <f t="shared" si="396"/>
        <v>31</v>
      </c>
      <c r="J1127">
        <f t="shared" si="397"/>
        <v>8.4699453551912565E-2</v>
      </c>
      <c r="K1127">
        <f>IFERROR($J1127/IF($A1127&lt;COUNTIFS($K$1:K$1,"&lt;&gt;"),0,SUMIFS($J:$J,$B:$B,$B1127,$A:$A,"&gt;="&amp;COUNTIFS($K$1:K$1,"&lt;&gt;"))),0)</f>
        <v>8.882521489971347E-2</v>
      </c>
      <c r="L1127">
        <f>IFERROR($J1127/IF($A1127&lt;COUNTIFS($K$1:L$1,"&lt;&gt;"),0,SUMIFS($J:$J,$B:$B,$B1127,$A:$A,"&gt;="&amp;COUNTIFS($K$1:L$1,"&lt;&gt;"))),0)</f>
        <v>9.7178683385579931E-2</v>
      </c>
      <c r="M1127">
        <f>IFERROR($J1127/IF($A1127&lt;COUNTIFS($K$1:M$1,"&lt;&gt;"),0,SUMIFS($J:$J,$B:$B,$B1127,$A:$A,"&gt;="&amp;COUNTIFS($K$1:M$1,"&lt;&gt;"))),0)</f>
        <v>0.10763888888888888</v>
      </c>
      <c r="N1127">
        <f>IFERROR($J1127/IF($A1127&lt;COUNTIFS($K$1:N$1,"&lt;&gt;"),0,SUMIFS($J:$J,$B:$B,$B1127,$A:$A,"&gt;="&amp;COUNTIFS($K$1:N$1,"&lt;&gt;"))),0)</f>
        <v>0.12015503875968991</v>
      </c>
      <c r="O1127">
        <f>IFERROR($J1127/IF($A1127&lt;COUNTIFS($K$1:O$1,"&lt;&gt;"),0,SUMIFS($J:$J,$B:$B,$B1127,$A:$A,"&gt;="&amp;COUNTIFS($K$1:O$1,"&lt;&gt;"))),0)</f>
        <v>0.13656387665198236</v>
      </c>
      <c r="P1127">
        <f>IFERROR($J1127/IF($A1127&lt;COUNTIFS($K$1:P$1,"&lt;&gt;"),0,SUMIFS($J:$J,$B:$B,$B1127,$A:$A,"&gt;="&amp;COUNTIFS($K$1:P$1,"&lt;&gt;"))),0)</f>
        <v>0.15816326530612243</v>
      </c>
      <c r="Q1127">
        <f>IFERROR($J1127/IF($A1127&lt;COUNTIFS($K$1:Q$1,"&lt;&gt;"),0,SUMIFS($J:$J,$B:$B,$B1127,$A:$A,"&gt;="&amp;COUNTIFS($K$1:Q$1,"&lt;&gt;"))),0)</f>
        <v>0.18674698795180722</v>
      </c>
      <c r="R1127">
        <f>IFERROR($J1127/IF($A1127&lt;COUNTIFS($K$1:R$1,"&lt;&gt;"),0,SUMIFS($J:$J,$B:$B,$B1127,$A:$A,"&gt;="&amp;COUNTIFS($K$1:R$1,"&lt;&gt;"))),0)</f>
        <v>0</v>
      </c>
      <c r="S1127">
        <f>IFERROR($J1127/IF($A1127&lt;COUNTIFS($K$1:S$1,"&lt;&gt;"),0,SUMIFS($J:$J,$B:$B,$B1127,$A:$A,"&gt;="&amp;COUNTIFS($K$1:S$1,"&lt;&gt;"))),0)</f>
        <v>0</v>
      </c>
      <c r="T1127">
        <f>IFERROR($J1127/IF($A1127&lt;COUNTIFS($K$1:T$1,"&lt;&gt;"),0,SUMIFS($J:$J,$B:$B,$B1127,$A:$A,"&gt;="&amp;COUNTIFS($K$1:T$1,"&lt;&gt;"))),0)</f>
        <v>0</v>
      </c>
      <c r="U1127">
        <f>IFERROR($J1127/IF($A1127&lt;COUNTIFS($K$1:U$1,"&lt;&gt;"),0,SUMIFS($J:$J,$B:$B,$B1127,$A:$A,"&gt;="&amp;COUNTIFS($K$1:U$1,"&lt;&gt;"))),0)</f>
        <v>0</v>
      </c>
      <c r="V1127">
        <f>IFERROR($J1127/IF($A1127&lt;COUNTIFS($K$1:V$1,"&lt;&gt;"),0,SUMIFS($J:$J,$B:$B,$B1127,$A:$A,"&gt;="&amp;COUNTIFS($K$1:V$1,"&lt;&gt;"))),0)</f>
        <v>0</v>
      </c>
      <c r="W1127">
        <f t="shared" si="398"/>
        <v>8.4699453551912565E-2</v>
      </c>
      <c r="X1127">
        <f t="shared" si="378"/>
        <v>8.4699453551912565E-2</v>
      </c>
      <c r="Y1127">
        <f t="shared" si="379"/>
        <v>8.4699453551912565E-2</v>
      </c>
      <c r="Z1127">
        <f t="shared" si="380"/>
        <v>8.4699453551912565E-2</v>
      </c>
      <c r="AA1127">
        <f t="shared" si="381"/>
        <v>8.4699453551912565E-2</v>
      </c>
      <c r="AB1127">
        <f t="shared" si="382"/>
        <v>8.4699453551912565E-2</v>
      </c>
      <c r="AC1127">
        <f t="shared" si="383"/>
        <v>8.4699453551912565E-2</v>
      </c>
      <c r="AD1127">
        <f t="shared" si="384"/>
        <v>8.4699453551912565E-2</v>
      </c>
      <c r="AE1127">
        <f t="shared" si="385"/>
        <v>0</v>
      </c>
      <c r="AF1127">
        <f t="shared" si="386"/>
        <v>0</v>
      </c>
      <c r="AG1127">
        <f t="shared" si="387"/>
        <v>0</v>
      </c>
      <c r="AH1127">
        <f t="shared" si="388"/>
        <v>0</v>
      </c>
      <c r="AI1127">
        <f t="shared" si="389"/>
        <v>0</v>
      </c>
      <c r="AJ1127" s="2" t="str">
        <f t="shared" si="399"/>
        <v>746447</v>
      </c>
    </row>
    <row r="1128" spans="1:36" x14ac:dyDescent="0.25">
      <c r="A1128">
        <v>8</v>
      </c>
      <c r="B1128" s="1">
        <v>46447</v>
      </c>
      <c r="C1128" s="1">
        <f t="shared" si="390"/>
        <v>46692</v>
      </c>
      <c r="D1128" s="1">
        <f t="shared" si="391"/>
        <v>46461</v>
      </c>
      <c r="E1128" s="1">
        <f t="shared" si="392"/>
        <v>46692</v>
      </c>
      <c r="F1128" s="1">
        <f t="shared" si="393"/>
        <v>46722</v>
      </c>
      <c r="G1128" s="1">
        <f t="shared" si="394"/>
        <v>46827</v>
      </c>
      <c r="H1128">
        <f t="shared" si="395"/>
        <v>366</v>
      </c>
      <c r="I1128">
        <f t="shared" si="396"/>
        <v>30</v>
      </c>
      <c r="J1128">
        <f t="shared" si="397"/>
        <v>8.1967213114754092E-2</v>
      </c>
      <c r="K1128">
        <f>IFERROR($J1128/IF($A1128&lt;COUNTIFS($K$1:K$1,"&lt;&gt;"),0,SUMIFS($J:$J,$B:$B,$B1128,$A:$A,"&gt;="&amp;COUNTIFS($K$1:K$1,"&lt;&gt;"))),0)</f>
        <v>8.5959885386819479E-2</v>
      </c>
      <c r="L1128">
        <f>IFERROR($J1128/IF($A1128&lt;COUNTIFS($K$1:L$1,"&lt;&gt;"),0,SUMIFS($J:$J,$B:$B,$B1128,$A:$A,"&gt;="&amp;COUNTIFS($K$1:L$1,"&lt;&gt;"))),0)</f>
        <v>9.4043887147335414E-2</v>
      </c>
      <c r="M1128">
        <f>IFERROR($J1128/IF($A1128&lt;COUNTIFS($K$1:M$1,"&lt;&gt;"),0,SUMIFS($J:$J,$B:$B,$B1128,$A:$A,"&gt;="&amp;COUNTIFS($K$1:M$1,"&lt;&gt;"))),0)</f>
        <v>0.10416666666666666</v>
      </c>
      <c r="N1128">
        <f>IFERROR($J1128/IF($A1128&lt;COUNTIFS($K$1:N$1,"&lt;&gt;"),0,SUMIFS($J:$J,$B:$B,$B1128,$A:$A,"&gt;="&amp;COUNTIFS($K$1:N$1,"&lt;&gt;"))),0)</f>
        <v>0.11627906976744184</v>
      </c>
      <c r="O1128">
        <f>IFERROR($J1128/IF($A1128&lt;COUNTIFS($K$1:O$1,"&lt;&gt;"),0,SUMIFS($J:$J,$B:$B,$B1128,$A:$A,"&gt;="&amp;COUNTIFS($K$1:O$1,"&lt;&gt;"))),0)</f>
        <v>0.13215859030837002</v>
      </c>
      <c r="P1128">
        <f>IFERROR($J1128/IF($A1128&lt;COUNTIFS($K$1:P$1,"&lt;&gt;"),0,SUMIFS($J:$J,$B:$B,$B1128,$A:$A,"&gt;="&amp;COUNTIFS($K$1:P$1,"&lt;&gt;"))),0)</f>
        <v>0.15306122448979589</v>
      </c>
      <c r="Q1128">
        <f>IFERROR($J1128/IF($A1128&lt;COUNTIFS($K$1:Q$1,"&lt;&gt;"),0,SUMIFS($J:$J,$B:$B,$B1128,$A:$A,"&gt;="&amp;COUNTIFS($K$1:Q$1,"&lt;&gt;"))),0)</f>
        <v>0.18072289156626503</v>
      </c>
      <c r="R1128">
        <f>IFERROR($J1128/IF($A1128&lt;COUNTIFS($K$1:R$1,"&lt;&gt;"),0,SUMIFS($J:$J,$B:$B,$B1128,$A:$A,"&gt;="&amp;COUNTIFS($K$1:R$1,"&lt;&gt;"))),0)</f>
        <v>0.22222222222222218</v>
      </c>
      <c r="S1128">
        <f>IFERROR($J1128/IF($A1128&lt;COUNTIFS($K$1:S$1,"&lt;&gt;"),0,SUMIFS($J:$J,$B:$B,$B1128,$A:$A,"&gt;="&amp;COUNTIFS($K$1:S$1,"&lt;&gt;"))),0)</f>
        <v>0</v>
      </c>
      <c r="T1128">
        <f>IFERROR($J1128/IF($A1128&lt;COUNTIFS($K$1:T$1,"&lt;&gt;"),0,SUMIFS($J:$J,$B:$B,$B1128,$A:$A,"&gt;="&amp;COUNTIFS($K$1:T$1,"&lt;&gt;"))),0)</f>
        <v>0</v>
      </c>
      <c r="U1128">
        <f>IFERROR($J1128/IF($A1128&lt;COUNTIFS($K$1:U$1,"&lt;&gt;"),0,SUMIFS($J:$J,$B:$B,$B1128,$A:$A,"&gt;="&amp;COUNTIFS($K$1:U$1,"&lt;&gt;"))),0)</f>
        <v>0</v>
      </c>
      <c r="V1128">
        <f>IFERROR($J1128/IF($A1128&lt;COUNTIFS($K$1:V$1,"&lt;&gt;"),0,SUMIFS($J:$J,$B:$B,$B1128,$A:$A,"&gt;="&amp;COUNTIFS($K$1:V$1,"&lt;&gt;"))),0)</f>
        <v>0</v>
      </c>
      <c r="W1128">
        <f t="shared" si="398"/>
        <v>8.1967213114754092E-2</v>
      </c>
      <c r="X1128">
        <f t="shared" si="378"/>
        <v>8.1967213114754092E-2</v>
      </c>
      <c r="Y1128">
        <f t="shared" si="379"/>
        <v>8.1967213114754092E-2</v>
      </c>
      <c r="Z1128">
        <f t="shared" si="380"/>
        <v>8.1967213114754092E-2</v>
      </c>
      <c r="AA1128">
        <f t="shared" si="381"/>
        <v>8.1967213114754092E-2</v>
      </c>
      <c r="AB1128">
        <f t="shared" si="382"/>
        <v>8.1967213114754092E-2</v>
      </c>
      <c r="AC1128">
        <f t="shared" si="383"/>
        <v>8.1967213114754092E-2</v>
      </c>
      <c r="AD1128">
        <f t="shared" si="384"/>
        <v>8.1967213114754092E-2</v>
      </c>
      <c r="AE1128">
        <f t="shared" si="385"/>
        <v>8.1967213114754092E-2</v>
      </c>
      <c r="AF1128">
        <f t="shared" si="386"/>
        <v>0</v>
      </c>
      <c r="AG1128">
        <f t="shared" si="387"/>
        <v>0</v>
      </c>
      <c r="AH1128">
        <f t="shared" si="388"/>
        <v>0</v>
      </c>
      <c r="AI1128">
        <f t="shared" si="389"/>
        <v>0</v>
      </c>
      <c r="AJ1128" s="2" t="str">
        <f t="shared" si="399"/>
        <v>846447</v>
      </c>
    </row>
    <row r="1129" spans="1:36" x14ac:dyDescent="0.25">
      <c r="A1129">
        <v>9</v>
      </c>
      <c r="B1129" s="1">
        <v>46447</v>
      </c>
      <c r="C1129" s="1">
        <f t="shared" si="390"/>
        <v>46722</v>
      </c>
      <c r="D1129" s="1">
        <f t="shared" si="391"/>
        <v>46461</v>
      </c>
      <c r="E1129" s="1">
        <f t="shared" si="392"/>
        <v>46722</v>
      </c>
      <c r="F1129" s="1">
        <f t="shared" si="393"/>
        <v>46753</v>
      </c>
      <c r="G1129" s="1">
        <f t="shared" si="394"/>
        <v>46827</v>
      </c>
      <c r="H1129">
        <f t="shared" si="395"/>
        <v>366</v>
      </c>
      <c r="I1129">
        <f t="shared" si="396"/>
        <v>31</v>
      </c>
      <c r="J1129">
        <f t="shared" si="397"/>
        <v>8.4699453551912565E-2</v>
      </c>
      <c r="K1129">
        <f>IFERROR($J1129/IF($A1129&lt;COUNTIFS($K$1:K$1,"&lt;&gt;"),0,SUMIFS($J:$J,$B:$B,$B1129,$A:$A,"&gt;="&amp;COUNTIFS($K$1:K$1,"&lt;&gt;"))),0)</f>
        <v>8.882521489971347E-2</v>
      </c>
      <c r="L1129">
        <f>IFERROR($J1129/IF($A1129&lt;COUNTIFS($K$1:L$1,"&lt;&gt;"),0,SUMIFS($J:$J,$B:$B,$B1129,$A:$A,"&gt;="&amp;COUNTIFS($K$1:L$1,"&lt;&gt;"))),0)</f>
        <v>9.7178683385579931E-2</v>
      </c>
      <c r="M1129">
        <f>IFERROR($J1129/IF($A1129&lt;COUNTIFS($K$1:M$1,"&lt;&gt;"),0,SUMIFS($J:$J,$B:$B,$B1129,$A:$A,"&gt;="&amp;COUNTIFS($K$1:M$1,"&lt;&gt;"))),0)</f>
        <v>0.10763888888888888</v>
      </c>
      <c r="N1129">
        <f>IFERROR($J1129/IF($A1129&lt;COUNTIFS($K$1:N$1,"&lt;&gt;"),0,SUMIFS($J:$J,$B:$B,$B1129,$A:$A,"&gt;="&amp;COUNTIFS($K$1:N$1,"&lt;&gt;"))),0)</f>
        <v>0.12015503875968991</v>
      </c>
      <c r="O1129">
        <f>IFERROR($J1129/IF($A1129&lt;COUNTIFS($K$1:O$1,"&lt;&gt;"),0,SUMIFS($J:$J,$B:$B,$B1129,$A:$A,"&gt;="&amp;COUNTIFS($K$1:O$1,"&lt;&gt;"))),0)</f>
        <v>0.13656387665198236</v>
      </c>
      <c r="P1129">
        <f>IFERROR($J1129/IF($A1129&lt;COUNTIFS($K$1:P$1,"&lt;&gt;"),0,SUMIFS($J:$J,$B:$B,$B1129,$A:$A,"&gt;="&amp;COUNTIFS($K$1:P$1,"&lt;&gt;"))),0)</f>
        <v>0.15816326530612243</v>
      </c>
      <c r="Q1129">
        <f>IFERROR($J1129/IF($A1129&lt;COUNTIFS($K$1:Q$1,"&lt;&gt;"),0,SUMIFS($J:$J,$B:$B,$B1129,$A:$A,"&gt;="&amp;COUNTIFS($K$1:Q$1,"&lt;&gt;"))),0)</f>
        <v>0.18674698795180722</v>
      </c>
      <c r="R1129">
        <f>IFERROR($J1129/IF($A1129&lt;COUNTIFS($K$1:R$1,"&lt;&gt;"),0,SUMIFS($J:$J,$B:$B,$B1129,$A:$A,"&gt;="&amp;COUNTIFS($K$1:R$1,"&lt;&gt;"))),0)</f>
        <v>0.2296296296296296</v>
      </c>
      <c r="S1129">
        <f>IFERROR($J1129/IF($A1129&lt;COUNTIFS($K$1:S$1,"&lt;&gt;"),0,SUMIFS($J:$J,$B:$B,$B1129,$A:$A,"&gt;="&amp;COUNTIFS($K$1:S$1,"&lt;&gt;"))),0)</f>
        <v>0.29523809523809524</v>
      </c>
      <c r="T1129">
        <f>IFERROR($J1129/IF($A1129&lt;COUNTIFS($K$1:T$1,"&lt;&gt;"),0,SUMIFS($J:$J,$B:$B,$B1129,$A:$A,"&gt;="&amp;COUNTIFS($K$1:T$1,"&lt;&gt;"))),0)</f>
        <v>0</v>
      </c>
      <c r="U1129">
        <f>IFERROR($J1129/IF($A1129&lt;COUNTIFS($K$1:U$1,"&lt;&gt;"),0,SUMIFS($J:$J,$B:$B,$B1129,$A:$A,"&gt;="&amp;COUNTIFS($K$1:U$1,"&lt;&gt;"))),0)</f>
        <v>0</v>
      </c>
      <c r="V1129">
        <f>IFERROR($J1129/IF($A1129&lt;COUNTIFS($K$1:V$1,"&lt;&gt;"),0,SUMIFS($J:$J,$B:$B,$B1129,$A:$A,"&gt;="&amp;COUNTIFS($K$1:V$1,"&lt;&gt;"))),0)</f>
        <v>0</v>
      </c>
      <c r="W1129">
        <f t="shared" si="398"/>
        <v>8.4699453551912565E-2</v>
      </c>
      <c r="X1129">
        <f t="shared" si="378"/>
        <v>8.4699453551912565E-2</v>
      </c>
      <c r="Y1129">
        <f t="shared" si="379"/>
        <v>8.4699453551912565E-2</v>
      </c>
      <c r="Z1129">
        <f t="shared" si="380"/>
        <v>8.4699453551912565E-2</v>
      </c>
      <c r="AA1129">
        <f t="shared" si="381"/>
        <v>8.4699453551912565E-2</v>
      </c>
      <c r="AB1129">
        <f t="shared" si="382"/>
        <v>8.4699453551912565E-2</v>
      </c>
      <c r="AC1129">
        <f t="shared" si="383"/>
        <v>8.4699453551912565E-2</v>
      </c>
      <c r="AD1129">
        <f t="shared" si="384"/>
        <v>8.4699453551912565E-2</v>
      </c>
      <c r="AE1129">
        <f t="shared" si="385"/>
        <v>8.4699453551912565E-2</v>
      </c>
      <c r="AF1129">
        <f t="shared" si="386"/>
        <v>8.4699453551912565E-2</v>
      </c>
      <c r="AG1129">
        <f t="shared" si="387"/>
        <v>0</v>
      </c>
      <c r="AH1129">
        <f t="shared" si="388"/>
        <v>0</v>
      </c>
      <c r="AI1129">
        <f t="shared" si="389"/>
        <v>0</v>
      </c>
      <c r="AJ1129" s="2" t="str">
        <f t="shared" si="399"/>
        <v>946447</v>
      </c>
    </row>
    <row r="1130" spans="1:36" x14ac:dyDescent="0.25">
      <c r="A1130">
        <v>10</v>
      </c>
      <c r="B1130" s="1">
        <v>46447</v>
      </c>
      <c r="C1130" s="1">
        <f t="shared" si="390"/>
        <v>46753</v>
      </c>
      <c r="D1130" s="1">
        <f t="shared" si="391"/>
        <v>46461</v>
      </c>
      <c r="E1130" s="1">
        <f t="shared" si="392"/>
        <v>46753</v>
      </c>
      <c r="F1130" s="1">
        <f t="shared" si="393"/>
        <v>46784</v>
      </c>
      <c r="G1130" s="1">
        <f t="shared" si="394"/>
        <v>46827</v>
      </c>
      <c r="H1130">
        <f t="shared" si="395"/>
        <v>366</v>
      </c>
      <c r="I1130">
        <f t="shared" si="396"/>
        <v>31</v>
      </c>
      <c r="J1130">
        <f t="shared" si="397"/>
        <v>8.4699453551912565E-2</v>
      </c>
      <c r="K1130">
        <f>IFERROR($J1130/IF($A1130&lt;COUNTIFS($K$1:K$1,"&lt;&gt;"),0,SUMIFS($J:$J,$B:$B,$B1130,$A:$A,"&gt;="&amp;COUNTIFS($K$1:K$1,"&lt;&gt;"))),0)</f>
        <v>8.882521489971347E-2</v>
      </c>
      <c r="L1130">
        <f>IFERROR($J1130/IF($A1130&lt;COUNTIFS($K$1:L$1,"&lt;&gt;"),0,SUMIFS($J:$J,$B:$B,$B1130,$A:$A,"&gt;="&amp;COUNTIFS($K$1:L$1,"&lt;&gt;"))),0)</f>
        <v>9.7178683385579931E-2</v>
      </c>
      <c r="M1130">
        <f>IFERROR($J1130/IF($A1130&lt;COUNTIFS($K$1:M$1,"&lt;&gt;"),0,SUMIFS($J:$J,$B:$B,$B1130,$A:$A,"&gt;="&amp;COUNTIFS($K$1:M$1,"&lt;&gt;"))),0)</f>
        <v>0.10763888888888888</v>
      </c>
      <c r="N1130">
        <f>IFERROR($J1130/IF($A1130&lt;COUNTIFS($K$1:N$1,"&lt;&gt;"),0,SUMIFS($J:$J,$B:$B,$B1130,$A:$A,"&gt;="&amp;COUNTIFS($K$1:N$1,"&lt;&gt;"))),0)</f>
        <v>0.12015503875968991</v>
      </c>
      <c r="O1130">
        <f>IFERROR($J1130/IF($A1130&lt;COUNTIFS($K$1:O$1,"&lt;&gt;"),0,SUMIFS($J:$J,$B:$B,$B1130,$A:$A,"&gt;="&amp;COUNTIFS($K$1:O$1,"&lt;&gt;"))),0)</f>
        <v>0.13656387665198236</v>
      </c>
      <c r="P1130">
        <f>IFERROR($J1130/IF($A1130&lt;COUNTIFS($K$1:P$1,"&lt;&gt;"),0,SUMIFS($J:$J,$B:$B,$B1130,$A:$A,"&gt;="&amp;COUNTIFS($K$1:P$1,"&lt;&gt;"))),0)</f>
        <v>0.15816326530612243</v>
      </c>
      <c r="Q1130">
        <f>IFERROR($J1130/IF($A1130&lt;COUNTIFS($K$1:Q$1,"&lt;&gt;"),0,SUMIFS($J:$J,$B:$B,$B1130,$A:$A,"&gt;="&amp;COUNTIFS($K$1:Q$1,"&lt;&gt;"))),0)</f>
        <v>0.18674698795180722</v>
      </c>
      <c r="R1130">
        <f>IFERROR($J1130/IF($A1130&lt;COUNTIFS($K$1:R$1,"&lt;&gt;"),0,SUMIFS($J:$J,$B:$B,$B1130,$A:$A,"&gt;="&amp;COUNTIFS($K$1:R$1,"&lt;&gt;"))),0)</f>
        <v>0.2296296296296296</v>
      </c>
      <c r="S1130">
        <f>IFERROR($J1130/IF($A1130&lt;COUNTIFS($K$1:S$1,"&lt;&gt;"),0,SUMIFS($J:$J,$B:$B,$B1130,$A:$A,"&gt;="&amp;COUNTIFS($K$1:S$1,"&lt;&gt;"))),0)</f>
        <v>0.29523809523809524</v>
      </c>
      <c r="T1130">
        <f>IFERROR($J1130/IF($A1130&lt;COUNTIFS($K$1:T$1,"&lt;&gt;"),0,SUMIFS($J:$J,$B:$B,$B1130,$A:$A,"&gt;="&amp;COUNTIFS($K$1:T$1,"&lt;&gt;"))),0)</f>
        <v>0.41891891891891891</v>
      </c>
      <c r="U1130">
        <f>IFERROR($J1130/IF($A1130&lt;COUNTIFS($K$1:U$1,"&lt;&gt;"),0,SUMIFS($J:$J,$B:$B,$B1130,$A:$A,"&gt;="&amp;COUNTIFS($K$1:U$1,"&lt;&gt;"))),0)</f>
        <v>0</v>
      </c>
      <c r="V1130">
        <f>IFERROR($J1130/IF($A1130&lt;COUNTIFS($K$1:V$1,"&lt;&gt;"),0,SUMIFS($J:$J,$B:$B,$B1130,$A:$A,"&gt;="&amp;COUNTIFS($K$1:V$1,"&lt;&gt;"))),0)</f>
        <v>0</v>
      </c>
      <c r="W1130">
        <f t="shared" si="398"/>
        <v>8.4699453551912565E-2</v>
      </c>
      <c r="X1130">
        <f t="shared" si="378"/>
        <v>8.4699453551912565E-2</v>
      </c>
      <c r="Y1130">
        <f t="shared" si="379"/>
        <v>8.4699453551912565E-2</v>
      </c>
      <c r="Z1130">
        <f t="shared" si="380"/>
        <v>8.4699453551912565E-2</v>
      </c>
      <c r="AA1130">
        <f t="shared" si="381"/>
        <v>8.4699453551912565E-2</v>
      </c>
      <c r="AB1130">
        <f t="shared" si="382"/>
        <v>8.4699453551912565E-2</v>
      </c>
      <c r="AC1130">
        <f t="shared" si="383"/>
        <v>8.4699453551912565E-2</v>
      </c>
      <c r="AD1130">
        <f t="shared" si="384"/>
        <v>8.4699453551912565E-2</v>
      </c>
      <c r="AE1130">
        <f t="shared" si="385"/>
        <v>8.4699453551912565E-2</v>
      </c>
      <c r="AF1130">
        <f t="shared" si="386"/>
        <v>8.4699453551912565E-2</v>
      </c>
      <c r="AG1130">
        <f t="shared" si="387"/>
        <v>8.4699453551912565E-2</v>
      </c>
      <c r="AH1130">
        <f t="shared" si="388"/>
        <v>0</v>
      </c>
      <c r="AI1130">
        <f t="shared" si="389"/>
        <v>0</v>
      </c>
      <c r="AJ1130" s="2" t="str">
        <f t="shared" si="399"/>
        <v>1046447</v>
      </c>
    </row>
    <row r="1131" spans="1:36" x14ac:dyDescent="0.25">
      <c r="A1131">
        <v>11</v>
      </c>
      <c r="B1131" s="1">
        <v>46447</v>
      </c>
      <c r="C1131" s="1">
        <f t="shared" si="390"/>
        <v>46784</v>
      </c>
      <c r="D1131" s="1">
        <f t="shared" si="391"/>
        <v>46461</v>
      </c>
      <c r="E1131" s="1">
        <f t="shared" si="392"/>
        <v>46784</v>
      </c>
      <c r="F1131" s="1">
        <f t="shared" si="393"/>
        <v>46813</v>
      </c>
      <c r="G1131" s="1">
        <f t="shared" si="394"/>
        <v>46827</v>
      </c>
      <c r="H1131">
        <f t="shared" si="395"/>
        <v>366</v>
      </c>
      <c r="I1131">
        <f t="shared" si="396"/>
        <v>29</v>
      </c>
      <c r="J1131">
        <f t="shared" si="397"/>
        <v>7.9234972677595633E-2</v>
      </c>
      <c r="K1131">
        <f>IFERROR($J1131/IF($A1131&lt;COUNTIFS($K$1:K$1,"&lt;&gt;"),0,SUMIFS($J:$J,$B:$B,$B1131,$A:$A,"&gt;="&amp;COUNTIFS($K$1:K$1,"&lt;&gt;"))),0)</f>
        <v>8.3094555873925516E-2</v>
      </c>
      <c r="L1131">
        <f>IFERROR($J1131/IF($A1131&lt;COUNTIFS($K$1:L$1,"&lt;&gt;"),0,SUMIFS($J:$J,$B:$B,$B1131,$A:$A,"&gt;="&amp;COUNTIFS($K$1:L$1,"&lt;&gt;"))),0)</f>
        <v>9.0909090909090912E-2</v>
      </c>
      <c r="M1131">
        <f>IFERROR($J1131/IF($A1131&lt;COUNTIFS($K$1:M$1,"&lt;&gt;"),0,SUMIFS($J:$J,$B:$B,$B1131,$A:$A,"&gt;="&amp;COUNTIFS($K$1:M$1,"&lt;&gt;"))),0)</f>
        <v>0.10069444444444445</v>
      </c>
      <c r="N1131">
        <f>IFERROR($J1131/IF($A1131&lt;COUNTIFS($K$1:N$1,"&lt;&gt;"),0,SUMIFS($J:$J,$B:$B,$B1131,$A:$A,"&gt;="&amp;COUNTIFS($K$1:N$1,"&lt;&gt;"))),0)</f>
        <v>0.1124031007751938</v>
      </c>
      <c r="O1131">
        <f>IFERROR($J1131/IF($A1131&lt;COUNTIFS($K$1:O$1,"&lt;&gt;"),0,SUMIFS($J:$J,$B:$B,$B1131,$A:$A,"&gt;="&amp;COUNTIFS($K$1:O$1,"&lt;&gt;"))),0)</f>
        <v>0.1277533039647577</v>
      </c>
      <c r="P1131">
        <f>IFERROR($J1131/IF($A1131&lt;COUNTIFS($K$1:P$1,"&lt;&gt;"),0,SUMIFS($J:$J,$B:$B,$B1131,$A:$A,"&gt;="&amp;COUNTIFS($K$1:P$1,"&lt;&gt;"))),0)</f>
        <v>0.14795918367346939</v>
      </c>
      <c r="Q1131">
        <f>IFERROR($J1131/IF($A1131&lt;COUNTIFS($K$1:Q$1,"&lt;&gt;"),0,SUMIFS($J:$J,$B:$B,$B1131,$A:$A,"&gt;="&amp;COUNTIFS($K$1:Q$1,"&lt;&gt;"))),0)</f>
        <v>0.1746987951807229</v>
      </c>
      <c r="R1131">
        <f>IFERROR($J1131/IF($A1131&lt;COUNTIFS($K$1:R$1,"&lt;&gt;"),0,SUMIFS($J:$J,$B:$B,$B1131,$A:$A,"&gt;="&amp;COUNTIFS($K$1:R$1,"&lt;&gt;"))),0)</f>
        <v>0.21481481481481482</v>
      </c>
      <c r="S1131">
        <f>IFERROR($J1131/IF($A1131&lt;COUNTIFS($K$1:S$1,"&lt;&gt;"),0,SUMIFS($J:$J,$B:$B,$B1131,$A:$A,"&gt;="&amp;COUNTIFS($K$1:S$1,"&lt;&gt;"))),0)</f>
        <v>0.27619047619047621</v>
      </c>
      <c r="T1131">
        <f>IFERROR($J1131/IF($A1131&lt;COUNTIFS($K$1:T$1,"&lt;&gt;"),0,SUMIFS($J:$J,$B:$B,$B1131,$A:$A,"&gt;="&amp;COUNTIFS($K$1:T$1,"&lt;&gt;"))),0)</f>
        <v>0.39189189189189189</v>
      </c>
      <c r="U1131">
        <f>IFERROR($J1131/IF($A1131&lt;COUNTIFS($K$1:U$1,"&lt;&gt;"),0,SUMIFS($J:$J,$B:$B,$B1131,$A:$A,"&gt;="&amp;COUNTIFS($K$1:U$1,"&lt;&gt;"))),0)</f>
        <v>0.67441860465116277</v>
      </c>
      <c r="V1131">
        <f>IFERROR($J1131/IF($A1131&lt;COUNTIFS($K$1:V$1,"&lt;&gt;"),0,SUMIFS($J:$J,$B:$B,$B1131,$A:$A,"&gt;="&amp;COUNTIFS($K$1:V$1,"&lt;&gt;"))),0)</f>
        <v>0</v>
      </c>
      <c r="W1131">
        <f t="shared" si="398"/>
        <v>7.9234972677595633E-2</v>
      </c>
      <c r="X1131">
        <f t="shared" si="378"/>
        <v>7.9234972677595633E-2</v>
      </c>
      <c r="Y1131">
        <f t="shared" si="379"/>
        <v>7.9234972677595633E-2</v>
      </c>
      <c r="Z1131">
        <f t="shared" si="380"/>
        <v>7.9234972677595633E-2</v>
      </c>
      <c r="AA1131">
        <f t="shared" si="381"/>
        <v>7.9234972677595633E-2</v>
      </c>
      <c r="AB1131">
        <f t="shared" si="382"/>
        <v>7.9234972677595633E-2</v>
      </c>
      <c r="AC1131">
        <f t="shared" si="383"/>
        <v>7.9234972677595633E-2</v>
      </c>
      <c r="AD1131">
        <f t="shared" si="384"/>
        <v>7.9234972677595633E-2</v>
      </c>
      <c r="AE1131">
        <f t="shared" si="385"/>
        <v>7.9234972677595633E-2</v>
      </c>
      <c r="AF1131">
        <f t="shared" si="386"/>
        <v>7.9234972677595633E-2</v>
      </c>
      <c r="AG1131">
        <f t="shared" si="387"/>
        <v>7.9234972677595633E-2</v>
      </c>
      <c r="AH1131">
        <f t="shared" si="388"/>
        <v>7.9234972677595633E-2</v>
      </c>
      <c r="AI1131">
        <f t="shared" si="389"/>
        <v>0</v>
      </c>
      <c r="AJ1131" s="2" t="str">
        <f t="shared" si="399"/>
        <v>1146447</v>
      </c>
    </row>
    <row r="1132" spans="1:36" x14ac:dyDescent="0.25">
      <c r="A1132">
        <v>12</v>
      </c>
      <c r="B1132" s="1">
        <v>46447</v>
      </c>
      <c r="C1132" s="1">
        <f t="shared" si="390"/>
        <v>46813</v>
      </c>
      <c r="D1132" s="1">
        <f t="shared" si="391"/>
        <v>46461</v>
      </c>
      <c r="E1132" s="1">
        <f t="shared" si="392"/>
        <v>46813</v>
      </c>
      <c r="F1132" s="1">
        <f t="shared" si="393"/>
        <v>46827</v>
      </c>
      <c r="G1132" s="1">
        <f t="shared" si="394"/>
        <v>46827</v>
      </c>
      <c r="H1132">
        <f t="shared" si="395"/>
        <v>366</v>
      </c>
      <c r="I1132">
        <f t="shared" si="396"/>
        <v>14</v>
      </c>
      <c r="J1132">
        <f t="shared" si="397"/>
        <v>3.825136612021858E-2</v>
      </c>
      <c r="K1132">
        <f>IFERROR($J1132/IF($A1132&lt;COUNTIFS($K$1:K$1,"&lt;&gt;"),0,SUMIFS($J:$J,$B:$B,$B1132,$A:$A,"&gt;="&amp;COUNTIFS($K$1:K$1,"&lt;&gt;"))),0)</f>
        <v>4.0114613180515762E-2</v>
      </c>
      <c r="L1132">
        <f>IFERROR($J1132/IF($A1132&lt;COUNTIFS($K$1:L$1,"&lt;&gt;"),0,SUMIFS($J:$J,$B:$B,$B1132,$A:$A,"&gt;="&amp;COUNTIFS($K$1:L$1,"&lt;&gt;"))),0)</f>
        <v>4.3887147335423198E-2</v>
      </c>
      <c r="M1132">
        <f>IFERROR($J1132/IF($A1132&lt;COUNTIFS($K$1:M$1,"&lt;&gt;"),0,SUMIFS($J:$J,$B:$B,$B1132,$A:$A,"&gt;="&amp;COUNTIFS($K$1:M$1,"&lt;&gt;"))),0)</f>
        <v>4.8611111111111112E-2</v>
      </c>
      <c r="N1132">
        <f>IFERROR($J1132/IF($A1132&lt;COUNTIFS($K$1:N$1,"&lt;&gt;"),0,SUMIFS($J:$J,$B:$B,$B1132,$A:$A,"&gt;="&amp;COUNTIFS($K$1:N$1,"&lt;&gt;"))),0)</f>
        <v>5.4263565891472867E-2</v>
      </c>
      <c r="O1132">
        <f>IFERROR($J1132/IF($A1132&lt;COUNTIFS($K$1:O$1,"&lt;&gt;"),0,SUMIFS($J:$J,$B:$B,$B1132,$A:$A,"&gt;="&amp;COUNTIFS($K$1:O$1,"&lt;&gt;"))),0)</f>
        <v>6.1674008810572688E-2</v>
      </c>
      <c r="P1132">
        <f>IFERROR($J1132/IF($A1132&lt;COUNTIFS($K$1:P$1,"&lt;&gt;"),0,SUMIFS($J:$J,$B:$B,$B1132,$A:$A,"&gt;="&amp;COUNTIFS($K$1:P$1,"&lt;&gt;"))),0)</f>
        <v>7.1428571428571425E-2</v>
      </c>
      <c r="Q1132">
        <f>IFERROR($J1132/IF($A1132&lt;COUNTIFS($K$1:Q$1,"&lt;&gt;"),0,SUMIFS($J:$J,$B:$B,$B1132,$A:$A,"&gt;="&amp;COUNTIFS($K$1:Q$1,"&lt;&gt;"))),0)</f>
        <v>8.4337349397590369E-2</v>
      </c>
      <c r="R1132">
        <f>IFERROR($J1132/IF($A1132&lt;COUNTIFS($K$1:R$1,"&lt;&gt;"),0,SUMIFS($J:$J,$B:$B,$B1132,$A:$A,"&gt;="&amp;COUNTIFS($K$1:R$1,"&lt;&gt;"))),0)</f>
        <v>0.1037037037037037</v>
      </c>
      <c r="S1132">
        <f>IFERROR($J1132/IF($A1132&lt;COUNTIFS($K$1:S$1,"&lt;&gt;"),0,SUMIFS($J:$J,$B:$B,$B1132,$A:$A,"&gt;="&amp;COUNTIFS($K$1:S$1,"&lt;&gt;"))),0)</f>
        <v>0.13333333333333333</v>
      </c>
      <c r="T1132">
        <f>IFERROR($J1132/IF($A1132&lt;COUNTIFS($K$1:T$1,"&lt;&gt;"),0,SUMIFS($J:$J,$B:$B,$B1132,$A:$A,"&gt;="&amp;COUNTIFS($K$1:T$1,"&lt;&gt;"))),0)</f>
        <v>0.1891891891891892</v>
      </c>
      <c r="U1132">
        <f>IFERROR($J1132/IF($A1132&lt;COUNTIFS($K$1:U$1,"&lt;&gt;"),0,SUMIFS($J:$J,$B:$B,$B1132,$A:$A,"&gt;="&amp;COUNTIFS($K$1:U$1,"&lt;&gt;"))),0)</f>
        <v>0.32558139534883718</v>
      </c>
      <c r="V1132">
        <f>IFERROR($J1132/IF($A1132&lt;COUNTIFS($K$1:V$1,"&lt;&gt;"),0,SUMIFS($J:$J,$B:$B,$B1132,$A:$A,"&gt;="&amp;COUNTIFS($K$1:V$1,"&lt;&gt;"))),0)</f>
        <v>1</v>
      </c>
      <c r="W1132">
        <f t="shared" si="398"/>
        <v>3.825136612021858E-2</v>
      </c>
      <c r="X1132">
        <f t="shared" si="378"/>
        <v>3.825136612021858E-2</v>
      </c>
      <c r="Y1132">
        <f t="shared" si="379"/>
        <v>3.825136612021858E-2</v>
      </c>
      <c r="Z1132">
        <f t="shared" si="380"/>
        <v>3.825136612021858E-2</v>
      </c>
      <c r="AA1132">
        <f t="shared" si="381"/>
        <v>3.825136612021858E-2</v>
      </c>
      <c r="AB1132">
        <f t="shared" si="382"/>
        <v>3.825136612021858E-2</v>
      </c>
      <c r="AC1132">
        <f t="shared" si="383"/>
        <v>3.825136612021858E-2</v>
      </c>
      <c r="AD1132">
        <f t="shared" si="384"/>
        <v>3.825136612021858E-2</v>
      </c>
      <c r="AE1132">
        <f t="shared" si="385"/>
        <v>3.825136612021858E-2</v>
      </c>
      <c r="AF1132">
        <f t="shared" si="386"/>
        <v>3.825136612021858E-2</v>
      </c>
      <c r="AG1132">
        <f t="shared" si="387"/>
        <v>3.825136612021858E-2</v>
      </c>
      <c r="AH1132">
        <f t="shared" si="388"/>
        <v>3.825136612021858E-2</v>
      </c>
      <c r="AI1132">
        <f t="shared" si="389"/>
        <v>3.825136612021858E-2</v>
      </c>
      <c r="AJ1132" s="2" t="str">
        <f t="shared" si="399"/>
        <v>1246447</v>
      </c>
    </row>
    <row r="1133" spans="1:36" x14ac:dyDescent="0.25">
      <c r="A1133">
        <v>0</v>
      </c>
      <c r="B1133" s="1">
        <v>46478</v>
      </c>
      <c r="C1133" s="1">
        <f t="shared" si="390"/>
        <v>46478</v>
      </c>
      <c r="D1133" s="1">
        <f t="shared" si="391"/>
        <v>46492</v>
      </c>
      <c r="E1133" s="1">
        <f t="shared" si="392"/>
        <v>46492</v>
      </c>
      <c r="F1133" s="1">
        <f t="shared" si="393"/>
        <v>46508</v>
      </c>
      <c r="G1133" s="1">
        <f t="shared" si="394"/>
        <v>46858</v>
      </c>
      <c r="H1133">
        <f t="shared" si="395"/>
        <v>366</v>
      </c>
      <c r="I1133">
        <f t="shared" si="396"/>
        <v>16</v>
      </c>
      <c r="J1133">
        <f t="shared" si="397"/>
        <v>4.3715846994535519E-2</v>
      </c>
      <c r="K1133">
        <f>IFERROR($J1133/IF($A1133&lt;COUNTIFS($K$1:K$1,"&lt;&gt;"),0,SUMIFS($J:$J,$B:$B,$B1133,$A:$A,"&gt;="&amp;COUNTIFS($K$1:K$1,"&lt;&gt;"))),0)</f>
        <v>0</v>
      </c>
      <c r="L1133">
        <f>IFERROR($J1133/IF($A1133&lt;COUNTIFS($K$1:L$1,"&lt;&gt;"),0,SUMIFS($J:$J,$B:$B,$B1133,$A:$A,"&gt;="&amp;COUNTIFS($K$1:L$1,"&lt;&gt;"))),0)</f>
        <v>0</v>
      </c>
      <c r="M1133">
        <f>IFERROR($J1133/IF($A1133&lt;COUNTIFS($K$1:M$1,"&lt;&gt;"),0,SUMIFS($J:$J,$B:$B,$B1133,$A:$A,"&gt;="&amp;COUNTIFS($K$1:M$1,"&lt;&gt;"))),0)</f>
        <v>0</v>
      </c>
      <c r="N1133">
        <f>IFERROR($J1133/IF($A1133&lt;COUNTIFS($K$1:N$1,"&lt;&gt;"),0,SUMIFS($J:$J,$B:$B,$B1133,$A:$A,"&gt;="&amp;COUNTIFS($K$1:N$1,"&lt;&gt;"))),0)</f>
        <v>0</v>
      </c>
      <c r="O1133">
        <f>IFERROR($J1133/IF($A1133&lt;COUNTIFS($K$1:O$1,"&lt;&gt;"),0,SUMIFS($J:$J,$B:$B,$B1133,$A:$A,"&gt;="&amp;COUNTIFS($K$1:O$1,"&lt;&gt;"))),0)</f>
        <v>0</v>
      </c>
      <c r="P1133">
        <f>IFERROR($J1133/IF($A1133&lt;COUNTIFS($K$1:P$1,"&lt;&gt;"),0,SUMIFS($J:$J,$B:$B,$B1133,$A:$A,"&gt;="&amp;COUNTIFS($K$1:P$1,"&lt;&gt;"))),0)</f>
        <v>0</v>
      </c>
      <c r="Q1133">
        <f>IFERROR($J1133/IF($A1133&lt;COUNTIFS($K$1:Q$1,"&lt;&gt;"),0,SUMIFS($J:$J,$B:$B,$B1133,$A:$A,"&gt;="&amp;COUNTIFS($K$1:Q$1,"&lt;&gt;"))),0)</f>
        <v>0</v>
      </c>
      <c r="R1133">
        <f>IFERROR($J1133/IF($A1133&lt;COUNTIFS($K$1:R$1,"&lt;&gt;"),0,SUMIFS($J:$J,$B:$B,$B1133,$A:$A,"&gt;="&amp;COUNTIFS($K$1:R$1,"&lt;&gt;"))),0)</f>
        <v>0</v>
      </c>
      <c r="S1133">
        <f>IFERROR($J1133/IF($A1133&lt;COUNTIFS($K$1:S$1,"&lt;&gt;"),0,SUMIFS($J:$J,$B:$B,$B1133,$A:$A,"&gt;="&amp;COUNTIFS($K$1:S$1,"&lt;&gt;"))),0)</f>
        <v>0</v>
      </c>
      <c r="T1133">
        <f>IFERROR($J1133/IF($A1133&lt;COUNTIFS($K$1:T$1,"&lt;&gt;"),0,SUMIFS($J:$J,$B:$B,$B1133,$A:$A,"&gt;="&amp;COUNTIFS($K$1:T$1,"&lt;&gt;"))),0)</f>
        <v>0</v>
      </c>
      <c r="U1133">
        <f>IFERROR($J1133/IF($A1133&lt;COUNTIFS($K$1:U$1,"&lt;&gt;"),0,SUMIFS($J:$J,$B:$B,$B1133,$A:$A,"&gt;="&amp;COUNTIFS($K$1:U$1,"&lt;&gt;"))),0)</f>
        <v>0</v>
      </c>
      <c r="V1133">
        <f>IFERROR($J1133/IF($A1133&lt;COUNTIFS($K$1:V$1,"&lt;&gt;"),0,SUMIFS($J:$J,$B:$B,$B1133,$A:$A,"&gt;="&amp;COUNTIFS($K$1:V$1,"&lt;&gt;"))),0)</f>
        <v>0</v>
      </c>
      <c r="W1133">
        <f t="shared" si="398"/>
        <v>4.3715846994535519E-2</v>
      </c>
      <c r="X1133">
        <f t="shared" si="378"/>
        <v>0</v>
      </c>
      <c r="Y1133">
        <f t="shared" si="379"/>
        <v>0</v>
      </c>
      <c r="Z1133">
        <f t="shared" si="380"/>
        <v>0</v>
      </c>
      <c r="AA1133">
        <f t="shared" si="381"/>
        <v>0</v>
      </c>
      <c r="AB1133">
        <f t="shared" si="382"/>
        <v>0</v>
      </c>
      <c r="AC1133">
        <f t="shared" si="383"/>
        <v>0</v>
      </c>
      <c r="AD1133">
        <f t="shared" si="384"/>
        <v>0</v>
      </c>
      <c r="AE1133">
        <f t="shared" si="385"/>
        <v>0</v>
      </c>
      <c r="AF1133">
        <f t="shared" si="386"/>
        <v>0</v>
      </c>
      <c r="AG1133">
        <f t="shared" si="387"/>
        <v>0</v>
      </c>
      <c r="AH1133">
        <f t="shared" si="388"/>
        <v>0</v>
      </c>
      <c r="AI1133">
        <f t="shared" si="389"/>
        <v>0</v>
      </c>
      <c r="AJ1133" s="2" t="str">
        <f t="shared" si="399"/>
        <v>046478</v>
      </c>
    </row>
    <row r="1134" spans="1:36" x14ac:dyDescent="0.25">
      <c r="A1134">
        <v>1</v>
      </c>
      <c r="B1134" s="1">
        <v>46478</v>
      </c>
      <c r="C1134" s="1">
        <f t="shared" si="390"/>
        <v>46508</v>
      </c>
      <c r="D1134" s="1">
        <f t="shared" si="391"/>
        <v>46492</v>
      </c>
      <c r="E1134" s="1">
        <f t="shared" si="392"/>
        <v>46508</v>
      </c>
      <c r="F1134" s="1">
        <f t="shared" si="393"/>
        <v>46539</v>
      </c>
      <c r="G1134" s="1">
        <f t="shared" si="394"/>
        <v>46858</v>
      </c>
      <c r="H1134">
        <f t="shared" si="395"/>
        <v>366</v>
      </c>
      <c r="I1134">
        <f t="shared" si="396"/>
        <v>31</v>
      </c>
      <c r="J1134">
        <f t="shared" si="397"/>
        <v>8.4699453551912565E-2</v>
      </c>
      <c r="K1134">
        <f>IFERROR($J1134/IF($A1134&lt;COUNTIFS($K$1:K$1,"&lt;&gt;"),0,SUMIFS($J:$J,$B:$B,$B1134,$A:$A,"&gt;="&amp;COUNTIFS($K$1:K$1,"&lt;&gt;"))),0)</f>
        <v>8.8571428571428579E-2</v>
      </c>
      <c r="L1134">
        <f>IFERROR($J1134/IF($A1134&lt;COUNTIFS($K$1:L$1,"&lt;&gt;"),0,SUMIFS($J:$J,$B:$B,$B1134,$A:$A,"&gt;="&amp;COUNTIFS($K$1:L$1,"&lt;&gt;"))),0)</f>
        <v>0</v>
      </c>
      <c r="M1134">
        <f>IFERROR($J1134/IF($A1134&lt;COUNTIFS($K$1:M$1,"&lt;&gt;"),0,SUMIFS($J:$J,$B:$B,$B1134,$A:$A,"&gt;="&amp;COUNTIFS($K$1:M$1,"&lt;&gt;"))),0)</f>
        <v>0</v>
      </c>
      <c r="N1134">
        <f>IFERROR($J1134/IF($A1134&lt;COUNTIFS($K$1:N$1,"&lt;&gt;"),0,SUMIFS($J:$J,$B:$B,$B1134,$A:$A,"&gt;="&amp;COUNTIFS($K$1:N$1,"&lt;&gt;"))),0)</f>
        <v>0</v>
      </c>
      <c r="O1134">
        <f>IFERROR($J1134/IF($A1134&lt;COUNTIFS($K$1:O$1,"&lt;&gt;"),0,SUMIFS($J:$J,$B:$B,$B1134,$A:$A,"&gt;="&amp;COUNTIFS($K$1:O$1,"&lt;&gt;"))),0)</f>
        <v>0</v>
      </c>
      <c r="P1134">
        <f>IFERROR($J1134/IF($A1134&lt;COUNTIFS($K$1:P$1,"&lt;&gt;"),0,SUMIFS($J:$J,$B:$B,$B1134,$A:$A,"&gt;="&amp;COUNTIFS($K$1:P$1,"&lt;&gt;"))),0)</f>
        <v>0</v>
      </c>
      <c r="Q1134">
        <f>IFERROR($J1134/IF($A1134&lt;COUNTIFS($K$1:Q$1,"&lt;&gt;"),0,SUMIFS($J:$J,$B:$B,$B1134,$A:$A,"&gt;="&amp;COUNTIFS($K$1:Q$1,"&lt;&gt;"))),0)</f>
        <v>0</v>
      </c>
      <c r="R1134">
        <f>IFERROR($J1134/IF($A1134&lt;COUNTIFS($K$1:R$1,"&lt;&gt;"),0,SUMIFS($J:$J,$B:$B,$B1134,$A:$A,"&gt;="&amp;COUNTIFS($K$1:R$1,"&lt;&gt;"))),0)</f>
        <v>0</v>
      </c>
      <c r="S1134">
        <f>IFERROR($J1134/IF($A1134&lt;COUNTIFS($K$1:S$1,"&lt;&gt;"),0,SUMIFS($J:$J,$B:$B,$B1134,$A:$A,"&gt;="&amp;COUNTIFS($K$1:S$1,"&lt;&gt;"))),0)</f>
        <v>0</v>
      </c>
      <c r="T1134">
        <f>IFERROR($J1134/IF($A1134&lt;COUNTIFS($K$1:T$1,"&lt;&gt;"),0,SUMIFS($J:$J,$B:$B,$B1134,$A:$A,"&gt;="&amp;COUNTIFS($K$1:T$1,"&lt;&gt;"))),0)</f>
        <v>0</v>
      </c>
      <c r="U1134">
        <f>IFERROR($J1134/IF($A1134&lt;COUNTIFS($K$1:U$1,"&lt;&gt;"),0,SUMIFS($J:$J,$B:$B,$B1134,$A:$A,"&gt;="&amp;COUNTIFS($K$1:U$1,"&lt;&gt;"))),0)</f>
        <v>0</v>
      </c>
      <c r="V1134">
        <f>IFERROR($J1134/IF($A1134&lt;COUNTIFS($K$1:V$1,"&lt;&gt;"),0,SUMIFS($J:$J,$B:$B,$B1134,$A:$A,"&gt;="&amp;COUNTIFS($K$1:V$1,"&lt;&gt;"))),0)</f>
        <v>0</v>
      </c>
      <c r="W1134">
        <f t="shared" si="398"/>
        <v>8.4699453551912565E-2</v>
      </c>
      <c r="X1134">
        <f t="shared" si="378"/>
        <v>8.4699453551912565E-2</v>
      </c>
      <c r="Y1134">
        <f t="shared" si="379"/>
        <v>0</v>
      </c>
      <c r="Z1134">
        <f t="shared" si="380"/>
        <v>0</v>
      </c>
      <c r="AA1134">
        <f t="shared" si="381"/>
        <v>0</v>
      </c>
      <c r="AB1134">
        <f t="shared" si="382"/>
        <v>0</v>
      </c>
      <c r="AC1134">
        <f t="shared" si="383"/>
        <v>0</v>
      </c>
      <c r="AD1134">
        <f t="shared" si="384"/>
        <v>0</v>
      </c>
      <c r="AE1134">
        <f t="shared" si="385"/>
        <v>0</v>
      </c>
      <c r="AF1134">
        <f t="shared" si="386"/>
        <v>0</v>
      </c>
      <c r="AG1134">
        <f t="shared" si="387"/>
        <v>0</v>
      </c>
      <c r="AH1134">
        <f t="shared" si="388"/>
        <v>0</v>
      </c>
      <c r="AI1134">
        <f t="shared" si="389"/>
        <v>0</v>
      </c>
      <c r="AJ1134" s="2" t="str">
        <f t="shared" si="399"/>
        <v>146478</v>
      </c>
    </row>
    <row r="1135" spans="1:36" x14ac:dyDescent="0.25">
      <c r="A1135">
        <v>2</v>
      </c>
      <c r="B1135" s="1">
        <v>46478</v>
      </c>
      <c r="C1135" s="1">
        <f t="shared" si="390"/>
        <v>46539</v>
      </c>
      <c r="D1135" s="1">
        <f t="shared" si="391"/>
        <v>46492</v>
      </c>
      <c r="E1135" s="1">
        <f t="shared" si="392"/>
        <v>46539</v>
      </c>
      <c r="F1135" s="1">
        <f t="shared" si="393"/>
        <v>46569</v>
      </c>
      <c r="G1135" s="1">
        <f t="shared" si="394"/>
        <v>46858</v>
      </c>
      <c r="H1135">
        <f t="shared" si="395"/>
        <v>366</v>
      </c>
      <c r="I1135">
        <f t="shared" si="396"/>
        <v>30</v>
      </c>
      <c r="J1135">
        <f t="shared" si="397"/>
        <v>8.1967213114754092E-2</v>
      </c>
      <c r="K1135">
        <f>IFERROR($J1135/IF($A1135&lt;COUNTIFS($K$1:K$1,"&lt;&gt;"),0,SUMIFS($J:$J,$B:$B,$B1135,$A:$A,"&gt;="&amp;COUNTIFS($K$1:K$1,"&lt;&gt;"))),0)</f>
        <v>8.5714285714285715E-2</v>
      </c>
      <c r="L1135">
        <f>IFERROR($J1135/IF($A1135&lt;COUNTIFS($K$1:L$1,"&lt;&gt;"),0,SUMIFS($J:$J,$B:$B,$B1135,$A:$A,"&gt;="&amp;COUNTIFS($K$1:L$1,"&lt;&gt;"))),0)</f>
        <v>9.4043887147335414E-2</v>
      </c>
      <c r="M1135">
        <f>IFERROR($J1135/IF($A1135&lt;COUNTIFS($K$1:M$1,"&lt;&gt;"),0,SUMIFS($J:$J,$B:$B,$B1135,$A:$A,"&gt;="&amp;COUNTIFS($K$1:M$1,"&lt;&gt;"))),0)</f>
        <v>0</v>
      </c>
      <c r="N1135">
        <f>IFERROR($J1135/IF($A1135&lt;COUNTIFS($K$1:N$1,"&lt;&gt;"),0,SUMIFS($J:$J,$B:$B,$B1135,$A:$A,"&gt;="&amp;COUNTIFS($K$1:N$1,"&lt;&gt;"))),0)</f>
        <v>0</v>
      </c>
      <c r="O1135">
        <f>IFERROR($J1135/IF($A1135&lt;COUNTIFS($K$1:O$1,"&lt;&gt;"),0,SUMIFS($J:$J,$B:$B,$B1135,$A:$A,"&gt;="&amp;COUNTIFS($K$1:O$1,"&lt;&gt;"))),0)</f>
        <v>0</v>
      </c>
      <c r="P1135">
        <f>IFERROR($J1135/IF($A1135&lt;COUNTIFS($K$1:P$1,"&lt;&gt;"),0,SUMIFS($J:$J,$B:$B,$B1135,$A:$A,"&gt;="&amp;COUNTIFS($K$1:P$1,"&lt;&gt;"))),0)</f>
        <v>0</v>
      </c>
      <c r="Q1135">
        <f>IFERROR($J1135/IF($A1135&lt;COUNTIFS($K$1:Q$1,"&lt;&gt;"),0,SUMIFS($J:$J,$B:$B,$B1135,$A:$A,"&gt;="&amp;COUNTIFS($K$1:Q$1,"&lt;&gt;"))),0)</f>
        <v>0</v>
      </c>
      <c r="R1135">
        <f>IFERROR($J1135/IF($A1135&lt;COUNTIFS($K$1:R$1,"&lt;&gt;"),0,SUMIFS($J:$J,$B:$B,$B1135,$A:$A,"&gt;="&amp;COUNTIFS($K$1:R$1,"&lt;&gt;"))),0)</f>
        <v>0</v>
      </c>
      <c r="S1135">
        <f>IFERROR($J1135/IF($A1135&lt;COUNTIFS($K$1:S$1,"&lt;&gt;"),0,SUMIFS($J:$J,$B:$B,$B1135,$A:$A,"&gt;="&amp;COUNTIFS($K$1:S$1,"&lt;&gt;"))),0)</f>
        <v>0</v>
      </c>
      <c r="T1135">
        <f>IFERROR($J1135/IF($A1135&lt;COUNTIFS($K$1:T$1,"&lt;&gt;"),0,SUMIFS($J:$J,$B:$B,$B1135,$A:$A,"&gt;="&amp;COUNTIFS($K$1:T$1,"&lt;&gt;"))),0)</f>
        <v>0</v>
      </c>
      <c r="U1135">
        <f>IFERROR($J1135/IF($A1135&lt;COUNTIFS($K$1:U$1,"&lt;&gt;"),0,SUMIFS($J:$J,$B:$B,$B1135,$A:$A,"&gt;="&amp;COUNTIFS($K$1:U$1,"&lt;&gt;"))),0)</f>
        <v>0</v>
      </c>
      <c r="V1135">
        <f>IFERROR($J1135/IF($A1135&lt;COUNTIFS($K$1:V$1,"&lt;&gt;"),0,SUMIFS($J:$J,$B:$B,$B1135,$A:$A,"&gt;="&amp;COUNTIFS($K$1:V$1,"&lt;&gt;"))),0)</f>
        <v>0</v>
      </c>
      <c r="W1135">
        <f t="shared" si="398"/>
        <v>8.1967213114754092E-2</v>
      </c>
      <c r="X1135">
        <f t="shared" si="378"/>
        <v>8.1967213114754092E-2</v>
      </c>
      <c r="Y1135">
        <f t="shared" si="379"/>
        <v>8.1967213114754092E-2</v>
      </c>
      <c r="Z1135">
        <f t="shared" si="380"/>
        <v>0</v>
      </c>
      <c r="AA1135">
        <f t="shared" si="381"/>
        <v>0</v>
      </c>
      <c r="AB1135">
        <f t="shared" si="382"/>
        <v>0</v>
      </c>
      <c r="AC1135">
        <f t="shared" si="383"/>
        <v>0</v>
      </c>
      <c r="AD1135">
        <f t="shared" si="384"/>
        <v>0</v>
      </c>
      <c r="AE1135">
        <f t="shared" si="385"/>
        <v>0</v>
      </c>
      <c r="AF1135">
        <f t="shared" si="386"/>
        <v>0</v>
      </c>
      <c r="AG1135">
        <f t="shared" si="387"/>
        <v>0</v>
      </c>
      <c r="AH1135">
        <f t="shared" si="388"/>
        <v>0</v>
      </c>
      <c r="AI1135">
        <f t="shared" si="389"/>
        <v>0</v>
      </c>
      <c r="AJ1135" s="2" t="str">
        <f t="shared" si="399"/>
        <v>246478</v>
      </c>
    </row>
    <row r="1136" spans="1:36" x14ac:dyDescent="0.25">
      <c r="A1136">
        <v>3</v>
      </c>
      <c r="B1136" s="1">
        <v>46478</v>
      </c>
      <c r="C1136" s="1">
        <f t="shared" si="390"/>
        <v>46569</v>
      </c>
      <c r="D1136" s="1">
        <f t="shared" si="391"/>
        <v>46492</v>
      </c>
      <c r="E1136" s="1">
        <f t="shared" si="392"/>
        <v>46569</v>
      </c>
      <c r="F1136" s="1">
        <f t="shared" si="393"/>
        <v>46600</v>
      </c>
      <c r="G1136" s="1">
        <f t="shared" si="394"/>
        <v>46858</v>
      </c>
      <c r="H1136">
        <f t="shared" si="395"/>
        <v>366</v>
      </c>
      <c r="I1136">
        <f t="shared" si="396"/>
        <v>31</v>
      </c>
      <c r="J1136">
        <f t="shared" si="397"/>
        <v>8.4699453551912565E-2</v>
      </c>
      <c r="K1136">
        <f>IFERROR($J1136/IF($A1136&lt;COUNTIFS($K$1:K$1,"&lt;&gt;"),0,SUMIFS($J:$J,$B:$B,$B1136,$A:$A,"&gt;="&amp;COUNTIFS($K$1:K$1,"&lt;&gt;"))),0)</f>
        <v>8.8571428571428579E-2</v>
      </c>
      <c r="L1136">
        <f>IFERROR($J1136/IF($A1136&lt;COUNTIFS($K$1:L$1,"&lt;&gt;"),0,SUMIFS($J:$J,$B:$B,$B1136,$A:$A,"&gt;="&amp;COUNTIFS($K$1:L$1,"&lt;&gt;"))),0)</f>
        <v>9.7178683385579931E-2</v>
      </c>
      <c r="M1136">
        <f>IFERROR($J1136/IF($A1136&lt;COUNTIFS($K$1:M$1,"&lt;&gt;"),0,SUMIFS($J:$J,$B:$B,$B1136,$A:$A,"&gt;="&amp;COUNTIFS($K$1:M$1,"&lt;&gt;"))),0)</f>
        <v>0.10726643598615916</v>
      </c>
      <c r="N1136">
        <f>IFERROR($J1136/IF($A1136&lt;COUNTIFS($K$1:N$1,"&lt;&gt;"),0,SUMIFS($J:$J,$B:$B,$B1136,$A:$A,"&gt;="&amp;COUNTIFS($K$1:N$1,"&lt;&gt;"))),0)</f>
        <v>0</v>
      </c>
      <c r="O1136">
        <f>IFERROR($J1136/IF($A1136&lt;COUNTIFS($K$1:O$1,"&lt;&gt;"),0,SUMIFS($J:$J,$B:$B,$B1136,$A:$A,"&gt;="&amp;COUNTIFS($K$1:O$1,"&lt;&gt;"))),0)</f>
        <v>0</v>
      </c>
      <c r="P1136">
        <f>IFERROR($J1136/IF($A1136&lt;COUNTIFS($K$1:P$1,"&lt;&gt;"),0,SUMIFS($J:$J,$B:$B,$B1136,$A:$A,"&gt;="&amp;COUNTIFS($K$1:P$1,"&lt;&gt;"))),0)</f>
        <v>0</v>
      </c>
      <c r="Q1136">
        <f>IFERROR($J1136/IF($A1136&lt;COUNTIFS($K$1:Q$1,"&lt;&gt;"),0,SUMIFS($J:$J,$B:$B,$B1136,$A:$A,"&gt;="&amp;COUNTIFS($K$1:Q$1,"&lt;&gt;"))),0)</f>
        <v>0</v>
      </c>
      <c r="R1136">
        <f>IFERROR($J1136/IF($A1136&lt;COUNTIFS($K$1:R$1,"&lt;&gt;"),0,SUMIFS($J:$J,$B:$B,$B1136,$A:$A,"&gt;="&amp;COUNTIFS($K$1:R$1,"&lt;&gt;"))),0)</f>
        <v>0</v>
      </c>
      <c r="S1136">
        <f>IFERROR($J1136/IF($A1136&lt;COUNTIFS($K$1:S$1,"&lt;&gt;"),0,SUMIFS($J:$J,$B:$B,$B1136,$A:$A,"&gt;="&amp;COUNTIFS($K$1:S$1,"&lt;&gt;"))),0)</f>
        <v>0</v>
      </c>
      <c r="T1136">
        <f>IFERROR($J1136/IF($A1136&lt;COUNTIFS($K$1:T$1,"&lt;&gt;"),0,SUMIFS($J:$J,$B:$B,$B1136,$A:$A,"&gt;="&amp;COUNTIFS($K$1:T$1,"&lt;&gt;"))),0)</f>
        <v>0</v>
      </c>
      <c r="U1136">
        <f>IFERROR($J1136/IF($A1136&lt;COUNTIFS($K$1:U$1,"&lt;&gt;"),0,SUMIFS($J:$J,$B:$B,$B1136,$A:$A,"&gt;="&amp;COUNTIFS($K$1:U$1,"&lt;&gt;"))),0)</f>
        <v>0</v>
      </c>
      <c r="V1136">
        <f>IFERROR($J1136/IF($A1136&lt;COUNTIFS($K$1:V$1,"&lt;&gt;"),0,SUMIFS($J:$J,$B:$B,$B1136,$A:$A,"&gt;="&amp;COUNTIFS($K$1:V$1,"&lt;&gt;"))),0)</f>
        <v>0</v>
      </c>
      <c r="W1136">
        <f t="shared" si="398"/>
        <v>8.4699453551912565E-2</v>
      </c>
      <c r="X1136">
        <f t="shared" si="378"/>
        <v>8.4699453551912565E-2</v>
      </c>
      <c r="Y1136">
        <f t="shared" si="379"/>
        <v>8.4699453551912565E-2</v>
      </c>
      <c r="Z1136">
        <f t="shared" si="380"/>
        <v>8.4699453551912565E-2</v>
      </c>
      <c r="AA1136">
        <f t="shared" si="381"/>
        <v>0</v>
      </c>
      <c r="AB1136">
        <f t="shared" si="382"/>
        <v>0</v>
      </c>
      <c r="AC1136">
        <f t="shared" si="383"/>
        <v>0</v>
      </c>
      <c r="AD1136">
        <f t="shared" si="384"/>
        <v>0</v>
      </c>
      <c r="AE1136">
        <f t="shared" si="385"/>
        <v>0</v>
      </c>
      <c r="AF1136">
        <f t="shared" si="386"/>
        <v>0</v>
      </c>
      <c r="AG1136">
        <f t="shared" si="387"/>
        <v>0</v>
      </c>
      <c r="AH1136">
        <f t="shared" si="388"/>
        <v>0</v>
      </c>
      <c r="AI1136">
        <f t="shared" si="389"/>
        <v>0</v>
      </c>
      <c r="AJ1136" s="2" t="str">
        <f t="shared" si="399"/>
        <v>346478</v>
      </c>
    </row>
    <row r="1137" spans="1:36" x14ac:dyDescent="0.25">
      <c r="A1137">
        <v>4</v>
      </c>
      <c r="B1137" s="1">
        <v>46478</v>
      </c>
      <c r="C1137" s="1">
        <f t="shared" si="390"/>
        <v>46600</v>
      </c>
      <c r="D1137" s="1">
        <f t="shared" si="391"/>
        <v>46492</v>
      </c>
      <c r="E1137" s="1">
        <f t="shared" si="392"/>
        <v>46600</v>
      </c>
      <c r="F1137" s="1">
        <f t="shared" si="393"/>
        <v>46631</v>
      </c>
      <c r="G1137" s="1">
        <f t="shared" si="394"/>
        <v>46858</v>
      </c>
      <c r="H1137">
        <f t="shared" si="395"/>
        <v>366</v>
      </c>
      <c r="I1137">
        <f t="shared" si="396"/>
        <v>31</v>
      </c>
      <c r="J1137">
        <f t="shared" si="397"/>
        <v>8.4699453551912565E-2</v>
      </c>
      <c r="K1137">
        <f>IFERROR($J1137/IF($A1137&lt;COUNTIFS($K$1:K$1,"&lt;&gt;"),0,SUMIFS($J:$J,$B:$B,$B1137,$A:$A,"&gt;="&amp;COUNTIFS($K$1:K$1,"&lt;&gt;"))),0)</f>
        <v>8.8571428571428579E-2</v>
      </c>
      <c r="L1137">
        <f>IFERROR($J1137/IF($A1137&lt;COUNTIFS($K$1:L$1,"&lt;&gt;"),0,SUMIFS($J:$J,$B:$B,$B1137,$A:$A,"&gt;="&amp;COUNTIFS($K$1:L$1,"&lt;&gt;"))),0)</f>
        <v>9.7178683385579931E-2</v>
      </c>
      <c r="M1137">
        <f>IFERROR($J1137/IF($A1137&lt;COUNTIFS($K$1:M$1,"&lt;&gt;"),0,SUMIFS($J:$J,$B:$B,$B1137,$A:$A,"&gt;="&amp;COUNTIFS($K$1:M$1,"&lt;&gt;"))),0)</f>
        <v>0.10726643598615916</v>
      </c>
      <c r="N1137">
        <f>IFERROR($J1137/IF($A1137&lt;COUNTIFS($K$1:N$1,"&lt;&gt;"),0,SUMIFS($J:$J,$B:$B,$B1137,$A:$A,"&gt;="&amp;COUNTIFS($K$1:N$1,"&lt;&gt;"))),0)</f>
        <v>0.12015503875968991</v>
      </c>
      <c r="O1137">
        <f>IFERROR($J1137/IF($A1137&lt;COUNTIFS($K$1:O$1,"&lt;&gt;"),0,SUMIFS($J:$J,$B:$B,$B1137,$A:$A,"&gt;="&amp;COUNTIFS($K$1:O$1,"&lt;&gt;"))),0)</f>
        <v>0</v>
      </c>
      <c r="P1137">
        <f>IFERROR($J1137/IF($A1137&lt;COUNTIFS($K$1:P$1,"&lt;&gt;"),0,SUMIFS($J:$J,$B:$B,$B1137,$A:$A,"&gt;="&amp;COUNTIFS($K$1:P$1,"&lt;&gt;"))),0)</f>
        <v>0</v>
      </c>
      <c r="Q1137">
        <f>IFERROR($J1137/IF($A1137&lt;COUNTIFS($K$1:Q$1,"&lt;&gt;"),0,SUMIFS($J:$J,$B:$B,$B1137,$A:$A,"&gt;="&amp;COUNTIFS($K$1:Q$1,"&lt;&gt;"))),0)</f>
        <v>0</v>
      </c>
      <c r="R1137">
        <f>IFERROR($J1137/IF($A1137&lt;COUNTIFS($K$1:R$1,"&lt;&gt;"),0,SUMIFS($J:$J,$B:$B,$B1137,$A:$A,"&gt;="&amp;COUNTIFS($K$1:R$1,"&lt;&gt;"))),0)</f>
        <v>0</v>
      </c>
      <c r="S1137">
        <f>IFERROR($J1137/IF($A1137&lt;COUNTIFS($K$1:S$1,"&lt;&gt;"),0,SUMIFS($J:$J,$B:$B,$B1137,$A:$A,"&gt;="&amp;COUNTIFS($K$1:S$1,"&lt;&gt;"))),0)</f>
        <v>0</v>
      </c>
      <c r="T1137">
        <f>IFERROR($J1137/IF($A1137&lt;COUNTIFS($K$1:T$1,"&lt;&gt;"),0,SUMIFS($J:$J,$B:$B,$B1137,$A:$A,"&gt;="&amp;COUNTIFS($K$1:T$1,"&lt;&gt;"))),0)</f>
        <v>0</v>
      </c>
      <c r="U1137">
        <f>IFERROR($J1137/IF($A1137&lt;COUNTIFS($K$1:U$1,"&lt;&gt;"),0,SUMIFS($J:$J,$B:$B,$B1137,$A:$A,"&gt;="&amp;COUNTIFS($K$1:U$1,"&lt;&gt;"))),0)</f>
        <v>0</v>
      </c>
      <c r="V1137">
        <f>IFERROR($J1137/IF($A1137&lt;COUNTIFS($K$1:V$1,"&lt;&gt;"),0,SUMIFS($J:$J,$B:$B,$B1137,$A:$A,"&gt;="&amp;COUNTIFS($K$1:V$1,"&lt;&gt;"))),0)</f>
        <v>0</v>
      </c>
      <c r="W1137">
        <f t="shared" si="398"/>
        <v>8.4699453551912565E-2</v>
      </c>
      <c r="X1137">
        <f t="shared" si="378"/>
        <v>8.4699453551912565E-2</v>
      </c>
      <c r="Y1137">
        <f t="shared" si="379"/>
        <v>8.4699453551912565E-2</v>
      </c>
      <c r="Z1137">
        <f t="shared" si="380"/>
        <v>8.4699453551912565E-2</v>
      </c>
      <c r="AA1137">
        <f t="shared" si="381"/>
        <v>8.4699453551912565E-2</v>
      </c>
      <c r="AB1137">
        <f t="shared" si="382"/>
        <v>0</v>
      </c>
      <c r="AC1137">
        <f t="shared" si="383"/>
        <v>0</v>
      </c>
      <c r="AD1137">
        <f t="shared" si="384"/>
        <v>0</v>
      </c>
      <c r="AE1137">
        <f t="shared" si="385"/>
        <v>0</v>
      </c>
      <c r="AF1137">
        <f t="shared" si="386"/>
        <v>0</v>
      </c>
      <c r="AG1137">
        <f t="shared" si="387"/>
        <v>0</v>
      </c>
      <c r="AH1137">
        <f t="shared" si="388"/>
        <v>0</v>
      </c>
      <c r="AI1137">
        <f t="shared" si="389"/>
        <v>0</v>
      </c>
      <c r="AJ1137" s="2" t="str">
        <f t="shared" si="399"/>
        <v>446478</v>
      </c>
    </row>
    <row r="1138" spans="1:36" x14ac:dyDescent="0.25">
      <c r="A1138">
        <v>5</v>
      </c>
      <c r="B1138" s="1">
        <v>46478</v>
      </c>
      <c r="C1138" s="1">
        <f t="shared" si="390"/>
        <v>46631</v>
      </c>
      <c r="D1138" s="1">
        <f t="shared" si="391"/>
        <v>46492</v>
      </c>
      <c r="E1138" s="1">
        <f t="shared" si="392"/>
        <v>46631</v>
      </c>
      <c r="F1138" s="1">
        <f t="shared" si="393"/>
        <v>46661</v>
      </c>
      <c r="G1138" s="1">
        <f t="shared" si="394"/>
        <v>46858</v>
      </c>
      <c r="H1138">
        <f t="shared" si="395"/>
        <v>366</v>
      </c>
      <c r="I1138">
        <f t="shared" si="396"/>
        <v>30</v>
      </c>
      <c r="J1138">
        <f t="shared" si="397"/>
        <v>8.1967213114754092E-2</v>
      </c>
      <c r="K1138">
        <f>IFERROR($J1138/IF($A1138&lt;COUNTIFS($K$1:K$1,"&lt;&gt;"),0,SUMIFS($J:$J,$B:$B,$B1138,$A:$A,"&gt;="&amp;COUNTIFS($K$1:K$1,"&lt;&gt;"))),0)</f>
        <v>8.5714285714285715E-2</v>
      </c>
      <c r="L1138">
        <f>IFERROR($J1138/IF($A1138&lt;COUNTIFS($K$1:L$1,"&lt;&gt;"),0,SUMIFS($J:$J,$B:$B,$B1138,$A:$A,"&gt;="&amp;COUNTIFS($K$1:L$1,"&lt;&gt;"))),0)</f>
        <v>9.4043887147335414E-2</v>
      </c>
      <c r="M1138">
        <f>IFERROR($J1138/IF($A1138&lt;COUNTIFS($K$1:M$1,"&lt;&gt;"),0,SUMIFS($J:$J,$B:$B,$B1138,$A:$A,"&gt;="&amp;COUNTIFS($K$1:M$1,"&lt;&gt;"))),0)</f>
        <v>0.10380622837370242</v>
      </c>
      <c r="N1138">
        <f>IFERROR($J1138/IF($A1138&lt;COUNTIFS($K$1:N$1,"&lt;&gt;"),0,SUMIFS($J:$J,$B:$B,$B1138,$A:$A,"&gt;="&amp;COUNTIFS($K$1:N$1,"&lt;&gt;"))),0)</f>
        <v>0.11627906976744184</v>
      </c>
      <c r="O1138">
        <f>IFERROR($J1138/IF($A1138&lt;COUNTIFS($K$1:O$1,"&lt;&gt;"),0,SUMIFS($J:$J,$B:$B,$B1138,$A:$A,"&gt;="&amp;COUNTIFS($K$1:O$1,"&lt;&gt;"))),0)</f>
        <v>0.13215859030837002</v>
      </c>
      <c r="P1138">
        <f>IFERROR($J1138/IF($A1138&lt;COUNTIFS($K$1:P$1,"&lt;&gt;"),0,SUMIFS($J:$J,$B:$B,$B1138,$A:$A,"&gt;="&amp;COUNTIFS($K$1:P$1,"&lt;&gt;"))),0)</f>
        <v>0</v>
      </c>
      <c r="Q1138">
        <f>IFERROR($J1138/IF($A1138&lt;COUNTIFS($K$1:Q$1,"&lt;&gt;"),0,SUMIFS($J:$J,$B:$B,$B1138,$A:$A,"&gt;="&amp;COUNTIFS($K$1:Q$1,"&lt;&gt;"))),0)</f>
        <v>0</v>
      </c>
      <c r="R1138">
        <f>IFERROR($J1138/IF($A1138&lt;COUNTIFS($K$1:R$1,"&lt;&gt;"),0,SUMIFS($J:$J,$B:$B,$B1138,$A:$A,"&gt;="&amp;COUNTIFS($K$1:R$1,"&lt;&gt;"))),0)</f>
        <v>0</v>
      </c>
      <c r="S1138">
        <f>IFERROR($J1138/IF($A1138&lt;COUNTIFS($K$1:S$1,"&lt;&gt;"),0,SUMIFS($J:$J,$B:$B,$B1138,$A:$A,"&gt;="&amp;COUNTIFS($K$1:S$1,"&lt;&gt;"))),0)</f>
        <v>0</v>
      </c>
      <c r="T1138">
        <f>IFERROR($J1138/IF($A1138&lt;COUNTIFS($K$1:T$1,"&lt;&gt;"),0,SUMIFS($J:$J,$B:$B,$B1138,$A:$A,"&gt;="&amp;COUNTIFS($K$1:T$1,"&lt;&gt;"))),0)</f>
        <v>0</v>
      </c>
      <c r="U1138">
        <f>IFERROR($J1138/IF($A1138&lt;COUNTIFS($K$1:U$1,"&lt;&gt;"),0,SUMIFS($J:$J,$B:$B,$B1138,$A:$A,"&gt;="&amp;COUNTIFS($K$1:U$1,"&lt;&gt;"))),0)</f>
        <v>0</v>
      </c>
      <c r="V1138">
        <f>IFERROR($J1138/IF($A1138&lt;COUNTIFS($K$1:V$1,"&lt;&gt;"),0,SUMIFS($J:$J,$B:$B,$B1138,$A:$A,"&gt;="&amp;COUNTIFS($K$1:V$1,"&lt;&gt;"))),0)</f>
        <v>0</v>
      </c>
      <c r="W1138">
        <f t="shared" si="398"/>
        <v>8.1967213114754092E-2</v>
      </c>
      <c r="X1138">
        <f t="shared" si="378"/>
        <v>8.1967213114754092E-2</v>
      </c>
      <c r="Y1138">
        <f t="shared" si="379"/>
        <v>8.1967213114754092E-2</v>
      </c>
      <c r="Z1138">
        <f t="shared" si="380"/>
        <v>8.1967213114754092E-2</v>
      </c>
      <c r="AA1138">
        <f t="shared" si="381"/>
        <v>8.1967213114754092E-2</v>
      </c>
      <c r="AB1138">
        <f t="shared" si="382"/>
        <v>8.1967213114754092E-2</v>
      </c>
      <c r="AC1138">
        <f t="shared" si="383"/>
        <v>0</v>
      </c>
      <c r="AD1138">
        <f t="shared" si="384"/>
        <v>0</v>
      </c>
      <c r="AE1138">
        <f t="shared" si="385"/>
        <v>0</v>
      </c>
      <c r="AF1138">
        <f t="shared" si="386"/>
        <v>0</v>
      </c>
      <c r="AG1138">
        <f t="shared" si="387"/>
        <v>0</v>
      </c>
      <c r="AH1138">
        <f t="shared" si="388"/>
        <v>0</v>
      </c>
      <c r="AI1138">
        <f t="shared" si="389"/>
        <v>0</v>
      </c>
      <c r="AJ1138" s="2" t="str">
        <f t="shared" si="399"/>
        <v>546478</v>
      </c>
    </row>
    <row r="1139" spans="1:36" x14ac:dyDescent="0.25">
      <c r="A1139">
        <v>6</v>
      </c>
      <c r="B1139" s="1">
        <v>46478</v>
      </c>
      <c r="C1139" s="1">
        <f t="shared" si="390"/>
        <v>46661</v>
      </c>
      <c r="D1139" s="1">
        <f t="shared" si="391"/>
        <v>46492</v>
      </c>
      <c r="E1139" s="1">
        <f t="shared" si="392"/>
        <v>46661</v>
      </c>
      <c r="F1139" s="1">
        <f t="shared" si="393"/>
        <v>46692</v>
      </c>
      <c r="G1139" s="1">
        <f t="shared" si="394"/>
        <v>46858</v>
      </c>
      <c r="H1139">
        <f t="shared" si="395"/>
        <v>366</v>
      </c>
      <c r="I1139">
        <f t="shared" si="396"/>
        <v>31</v>
      </c>
      <c r="J1139">
        <f t="shared" si="397"/>
        <v>8.4699453551912565E-2</v>
      </c>
      <c r="K1139">
        <f>IFERROR($J1139/IF($A1139&lt;COUNTIFS($K$1:K$1,"&lt;&gt;"),0,SUMIFS($J:$J,$B:$B,$B1139,$A:$A,"&gt;="&amp;COUNTIFS($K$1:K$1,"&lt;&gt;"))),0)</f>
        <v>8.8571428571428579E-2</v>
      </c>
      <c r="L1139">
        <f>IFERROR($J1139/IF($A1139&lt;COUNTIFS($K$1:L$1,"&lt;&gt;"),0,SUMIFS($J:$J,$B:$B,$B1139,$A:$A,"&gt;="&amp;COUNTIFS($K$1:L$1,"&lt;&gt;"))),0)</f>
        <v>9.7178683385579931E-2</v>
      </c>
      <c r="M1139">
        <f>IFERROR($J1139/IF($A1139&lt;COUNTIFS($K$1:M$1,"&lt;&gt;"),0,SUMIFS($J:$J,$B:$B,$B1139,$A:$A,"&gt;="&amp;COUNTIFS($K$1:M$1,"&lt;&gt;"))),0)</f>
        <v>0.10726643598615916</v>
      </c>
      <c r="N1139">
        <f>IFERROR($J1139/IF($A1139&lt;COUNTIFS($K$1:N$1,"&lt;&gt;"),0,SUMIFS($J:$J,$B:$B,$B1139,$A:$A,"&gt;="&amp;COUNTIFS($K$1:N$1,"&lt;&gt;"))),0)</f>
        <v>0.12015503875968991</v>
      </c>
      <c r="O1139">
        <f>IFERROR($J1139/IF($A1139&lt;COUNTIFS($K$1:O$1,"&lt;&gt;"),0,SUMIFS($J:$J,$B:$B,$B1139,$A:$A,"&gt;="&amp;COUNTIFS($K$1:O$1,"&lt;&gt;"))),0)</f>
        <v>0.13656387665198236</v>
      </c>
      <c r="P1139">
        <f>IFERROR($J1139/IF($A1139&lt;COUNTIFS($K$1:P$1,"&lt;&gt;"),0,SUMIFS($J:$J,$B:$B,$B1139,$A:$A,"&gt;="&amp;COUNTIFS($K$1:P$1,"&lt;&gt;"))),0)</f>
        <v>0.15736040609137053</v>
      </c>
      <c r="Q1139">
        <f>IFERROR($J1139/IF($A1139&lt;COUNTIFS($K$1:Q$1,"&lt;&gt;"),0,SUMIFS($J:$J,$B:$B,$B1139,$A:$A,"&gt;="&amp;COUNTIFS($K$1:Q$1,"&lt;&gt;"))),0)</f>
        <v>0</v>
      </c>
      <c r="R1139">
        <f>IFERROR($J1139/IF($A1139&lt;COUNTIFS($K$1:R$1,"&lt;&gt;"),0,SUMIFS($J:$J,$B:$B,$B1139,$A:$A,"&gt;="&amp;COUNTIFS($K$1:R$1,"&lt;&gt;"))),0)</f>
        <v>0</v>
      </c>
      <c r="S1139">
        <f>IFERROR($J1139/IF($A1139&lt;COUNTIFS($K$1:S$1,"&lt;&gt;"),0,SUMIFS($J:$J,$B:$B,$B1139,$A:$A,"&gt;="&amp;COUNTIFS($K$1:S$1,"&lt;&gt;"))),0)</f>
        <v>0</v>
      </c>
      <c r="T1139">
        <f>IFERROR($J1139/IF($A1139&lt;COUNTIFS($K$1:T$1,"&lt;&gt;"),0,SUMIFS($J:$J,$B:$B,$B1139,$A:$A,"&gt;="&amp;COUNTIFS($K$1:T$1,"&lt;&gt;"))),0)</f>
        <v>0</v>
      </c>
      <c r="U1139">
        <f>IFERROR($J1139/IF($A1139&lt;COUNTIFS($K$1:U$1,"&lt;&gt;"),0,SUMIFS($J:$J,$B:$B,$B1139,$A:$A,"&gt;="&amp;COUNTIFS($K$1:U$1,"&lt;&gt;"))),0)</f>
        <v>0</v>
      </c>
      <c r="V1139">
        <f>IFERROR($J1139/IF($A1139&lt;COUNTIFS($K$1:V$1,"&lt;&gt;"),0,SUMIFS($J:$J,$B:$B,$B1139,$A:$A,"&gt;="&amp;COUNTIFS($K$1:V$1,"&lt;&gt;"))),0)</f>
        <v>0</v>
      </c>
      <c r="W1139">
        <f t="shared" si="398"/>
        <v>8.4699453551912565E-2</v>
      </c>
      <c r="X1139">
        <f t="shared" si="378"/>
        <v>8.4699453551912565E-2</v>
      </c>
      <c r="Y1139">
        <f t="shared" si="379"/>
        <v>8.4699453551912565E-2</v>
      </c>
      <c r="Z1139">
        <f t="shared" si="380"/>
        <v>8.4699453551912565E-2</v>
      </c>
      <c r="AA1139">
        <f t="shared" si="381"/>
        <v>8.4699453551912565E-2</v>
      </c>
      <c r="AB1139">
        <f t="shared" si="382"/>
        <v>8.4699453551912565E-2</v>
      </c>
      <c r="AC1139">
        <f t="shared" si="383"/>
        <v>8.4699453551912565E-2</v>
      </c>
      <c r="AD1139">
        <f t="shared" si="384"/>
        <v>0</v>
      </c>
      <c r="AE1139">
        <f t="shared" si="385"/>
        <v>0</v>
      </c>
      <c r="AF1139">
        <f t="shared" si="386"/>
        <v>0</v>
      </c>
      <c r="AG1139">
        <f t="shared" si="387"/>
        <v>0</v>
      </c>
      <c r="AH1139">
        <f t="shared" si="388"/>
        <v>0</v>
      </c>
      <c r="AI1139">
        <f t="shared" si="389"/>
        <v>0</v>
      </c>
      <c r="AJ1139" s="2" t="str">
        <f t="shared" si="399"/>
        <v>646478</v>
      </c>
    </row>
    <row r="1140" spans="1:36" x14ac:dyDescent="0.25">
      <c r="A1140">
        <v>7</v>
      </c>
      <c r="B1140" s="1">
        <v>46478</v>
      </c>
      <c r="C1140" s="1">
        <f t="shared" si="390"/>
        <v>46692</v>
      </c>
      <c r="D1140" s="1">
        <f t="shared" si="391"/>
        <v>46492</v>
      </c>
      <c r="E1140" s="1">
        <f t="shared" si="392"/>
        <v>46692</v>
      </c>
      <c r="F1140" s="1">
        <f t="shared" si="393"/>
        <v>46722</v>
      </c>
      <c r="G1140" s="1">
        <f t="shared" si="394"/>
        <v>46858</v>
      </c>
      <c r="H1140">
        <f t="shared" si="395"/>
        <v>366</v>
      </c>
      <c r="I1140">
        <f t="shared" si="396"/>
        <v>30</v>
      </c>
      <c r="J1140">
        <f t="shared" si="397"/>
        <v>8.1967213114754092E-2</v>
      </c>
      <c r="K1140">
        <f>IFERROR($J1140/IF($A1140&lt;COUNTIFS($K$1:K$1,"&lt;&gt;"),0,SUMIFS($J:$J,$B:$B,$B1140,$A:$A,"&gt;="&amp;COUNTIFS($K$1:K$1,"&lt;&gt;"))),0)</f>
        <v>8.5714285714285715E-2</v>
      </c>
      <c r="L1140">
        <f>IFERROR($J1140/IF($A1140&lt;COUNTIFS($K$1:L$1,"&lt;&gt;"),0,SUMIFS($J:$J,$B:$B,$B1140,$A:$A,"&gt;="&amp;COUNTIFS($K$1:L$1,"&lt;&gt;"))),0)</f>
        <v>9.4043887147335414E-2</v>
      </c>
      <c r="M1140">
        <f>IFERROR($J1140/IF($A1140&lt;COUNTIFS($K$1:M$1,"&lt;&gt;"),0,SUMIFS($J:$J,$B:$B,$B1140,$A:$A,"&gt;="&amp;COUNTIFS($K$1:M$1,"&lt;&gt;"))),0)</f>
        <v>0.10380622837370242</v>
      </c>
      <c r="N1140">
        <f>IFERROR($J1140/IF($A1140&lt;COUNTIFS($K$1:N$1,"&lt;&gt;"),0,SUMIFS($J:$J,$B:$B,$B1140,$A:$A,"&gt;="&amp;COUNTIFS($K$1:N$1,"&lt;&gt;"))),0)</f>
        <v>0.11627906976744184</v>
      </c>
      <c r="O1140">
        <f>IFERROR($J1140/IF($A1140&lt;COUNTIFS($K$1:O$1,"&lt;&gt;"),0,SUMIFS($J:$J,$B:$B,$B1140,$A:$A,"&gt;="&amp;COUNTIFS($K$1:O$1,"&lt;&gt;"))),0)</f>
        <v>0.13215859030837002</v>
      </c>
      <c r="P1140">
        <f>IFERROR($J1140/IF($A1140&lt;COUNTIFS($K$1:P$1,"&lt;&gt;"),0,SUMIFS($J:$J,$B:$B,$B1140,$A:$A,"&gt;="&amp;COUNTIFS($K$1:P$1,"&lt;&gt;"))),0)</f>
        <v>0.15228426395939085</v>
      </c>
      <c r="Q1140">
        <f>IFERROR($J1140/IF($A1140&lt;COUNTIFS($K$1:Q$1,"&lt;&gt;"),0,SUMIFS($J:$J,$B:$B,$B1140,$A:$A,"&gt;="&amp;COUNTIFS($K$1:Q$1,"&lt;&gt;"))),0)</f>
        <v>0.18072289156626503</v>
      </c>
      <c r="R1140">
        <f>IFERROR($J1140/IF($A1140&lt;COUNTIFS($K$1:R$1,"&lt;&gt;"),0,SUMIFS($J:$J,$B:$B,$B1140,$A:$A,"&gt;="&amp;COUNTIFS($K$1:R$1,"&lt;&gt;"))),0)</f>
        <v>0</v>
      </c>
      <c r="S1140">
        <f>IFERROR($J1140/IF($A1140&lt;COUNTIFS($K$1:S$1,"&lt;&gt;"),0,SUMIFS($J:$J,$B:$B,$B1140,$A:$A,"&gt;="&amp;COUNTIFS($K$1:S$1,"&lt;&gt;"))),0)</f>
        <v>0</v>
      </c>
      <c r="T1140">
        <f>IFERROR($J1140/IF($A1140&lt;COUNTIFS($K$1:T$1,"&lt;&gt;"),0,SUMIFS($J:$J,$B:$B,$B1140,$A:$A,"&gt;="&amp;COUNTIFS($K$1:T$1,"&lt;&gt;"))),0)</f>
        <v>0</v>
      </c>
      <c r="U1140">
        <f>IFERROR($J1140/IF($A1140&lt;COUNTIFS($K$1:U$1,"&lt;&gt;"),0,SUMIFS($J:$J,$B:$B,$B1140,$A:$A,"&gt;="&amp;COUNTIFS($K$1:U$1,"&lt;&gt;"))),0)</f>
        <v>0</v>
      </c>
      <c r="V1140">
        <f>IFERROR($J1140/IF($A1140&lt;COUNTIFS($K$1:V$1,"&lt;&gt;"),0,SUMIFS($J:$J,$B:$B,$B1140,$A:$A,"&gt;="&amp;COUNTIFS($K$1:V$1,"&lt;&gt;"))),0)</f>
        <v>0</v>
      </c>
      <c r="W1140">
        <f t="shared" si="398"/>
        <v>8.1967213114754092E-2</v>
      </c>
      <c r="X1140">
        <f t="shared" si="378"/>
        <v>8.1967213114754092E-2</v>
      </c>
      <c r="Y1140">
        <f t="shared" si="379"/>
        <v>8.1967213114754092E-2</v>
      </c>
      <c r="Z1140">
        <f t="shared" si="380"/>
        <v>8.1967213114754092E-2</v>
      </c>
      <c r="AA1140">
        <f t="shared" si="381"/>
        <v>8.1967213114754092E-2</v>
      </c>
      <c r="AB1140">
        <f t="shared" si="382"/>
        <v>8.1967213114754092E-2</v>
      </c>
      <c r="AC1140">
        <f t="shared" si="383"/>
        <v>8.1967213114754092E-2</v>
      </c>
      <c r="AD1140">
        <f t="shared" si="384"/>
        <v>8.1967213114754092E-2</v>
      </c>
      <c r="AE1140">
        <f t="shared" si="385"/>
        <v>0</v>
      </c>
      <c r="AF1140">
        <f t="shared" si="386"/>
        <v>0</v>
      </c>
      <c r="AG1140">
        <f t="shared" si="387"/>
        <v>0</v>
      </c>
      <c r="AH1140">
        <f t="shared" si="388"/>
        <v>0</v>
      </c>
      <c r="AI1140">
        <f t="shared" si="389"/>
        <v>0</v>
      </c>
      <c r="AJ1140" s="2" t="str">
        <f t="shared" si="399"/>
        <v>746478</v>
      </c>
    </row>
    <row r="1141" spans="1:36" x14ac:dyDescent="0.25">
      <c r="A1141">
        <v>8</v>
      </c>
      <c r="B1141" s="1">
        <v>46478</v>
      </c>
      <c r="C1141" s="1">
        <f t="shared" si="390"/>
        <v>46722</v>
      </c>
      <c r="D1141" s="1">
        <f t="shared" si="391"/>
        <v>46492</v>
      </c>
      <c r="E1141" s="1">
        <f t="shared" si="392"/>
        <v>46722</v>
      </c>
      <c r="F1141" s="1">
        <f t="shared" si="393"/>
        <v>46753</v>
      </c>
      <c r="G1141" s="1">
        <f t="shared" si="394"/>
        <v>46858</v>
      </c>
      <c r="H1141">
        <f t="shared" si="395"/>
        <v>366</v>
      </c>
      <c r="I1141">
        <f t="shared" si="396"/>
        <v>31</v>
      </c>
      <c r="J1141">
        <f t="shared" si="397"/>
        <v>8.4699453551912565E-2</v>
      </c>
      <c r="K1141">
        <f>IFERROR($J1141/IF($A1141&lt;COUNTIFS($K$1:K$1,"&lt;&gt;"),0,SUMIFS($J:$J,$B:$B,$B1141,$A:$A,"&gt;="&amp;COUNTIFS($K$1:K$1,"&lt;&gt;"))),0)</f>
        <v>8.8571428571428579E-2</v>
      </c>
      <c r="L1141">
        <f>IFERROR($J1141/IF($A1141&lt;COUNTIFS($K$1:L$1,"&lt;&gt;"),0,SUMIFS($J:$J,$B:$B,$B1141,$A:$A,"&gt;="&amp;COUNTIFS($K$1:L$1,"&lt;&gt;"))),0)</f>
        <v>9.7178683385579931E-2</v>
      </c>
      <c r="M1141">
        <f>IFERROR($J1141/IF($A1141&lt;COUNTIFS($K$1:M$1,"&lt;&gt;"),0,SUMIFS($J:$J,$B:$B,$B1141,$A:$A,"&gt;="&amp;COUNTIFS($K$1:M$1,"&lt;&gt;"))),0)</f>
        <v>0.10726643598615916</v>
      </c>
      <c r="N1141">
        <f>IFERROR($J1141/IF($A1141&lt;COUNTIFS($K$1:N$1,"&lt;&gt;"),0,SUMIFS($J:$J,$B:$B,$B1141,$A:$A,"&gt;="&amp;COUNTIFS($K$1:N$1,"&lt;&gt;"))),0)</f>
        <v>0.12015503875968991</v>
      </c>
      <c r="O1141">
        <f>IFERROR($J1141/IF($A1141&lt;COUNTIFS($K$1:O$1,"&lt;&gt;"),0,SUMIFS($J:$J,$B:$B,$B1141,$A:$A,"&gt;="&amp;COUNTIFS($K$1:O$1,"&lt;&gt;"))),0)</f>
        <v>0.13656387665198236</v>
      </c>
      <c r="P1141">
        <f>IFERROR($J1141/IF($A1141&lt;COUNTIFS($K$1:P$1,"&lt;&gt;"),0,SUMIFS($J:$J,$B:$B,$B1141,$A:$A,"&gt;="&amp;COUNTIFS($K$1:P$1,"&lt;&gt;"))),0)</f>
        <v>0.15736040609137053</v>
      </c>
      <c r="Q1141">
        <f>IFERROR($J1141/IF($A1141&lt;COUNTIFS($K$1:Q$1,"&lt;&gt;"),0,SUMIFS($J:$J,$B:$B,$B1141,$A:$A,"&gt;="&amp;COUNTIFS($K$1:Q$1,"&lt;&gt;"))),0)</f>
        <v>0.18674698795180722</v>
      </c>
      <c r="R1141">
        <f>IFERROR($J1141/IF($A1141&lt;COUNTIFS($K$1:R$1,"&lt;&gt;"),0,SUMIFS($J:$J,$B:$B,$B1141,$A:$A,"&gt;="&amp;COUNTIFS($K$1:R$1,"&lt;&gt;"))),0)</f>
        <v>0.22794117647058826</v>
      </c>
      <c r="S1141">
        <f>IFERROR($J1141/IF($A1141&lt;COUNTIFS($K$1:S$1,"&lt;&gt;"),0,SUMIFS($J:$J,$B:$B,$B1141,$A:$A,"&gt;="&amp;COUNTIFS($K$1:S$1,"&lt;&gt;"))),0)</f>
        <v>0</v>
      </c>
      <c r="T1141">
        <f>IFERROR($J1141/IF($A1141&lt;COUNTIFS($K$1:T$1,"&lt;&gt;"),0,SUMIFS($J:$J,$B:$B,$B1141,$A:$A,"&gt;="&amp;COUNTIFS($K$1:T$1,"&lt;&gt;"))),0)</f>
        <v>0</v>
      </c>
      <c r="U1141">
        <f>IFERROR($J1141/IF($A1141&lt;COUNTIFS($K$1:U$1,"&lt;&gt;"),0,SUMIFS($J:$J,$B:$B,$B1141,$A:$A,"&gt;="&amp;COUNTIFS($K$1:U$1,"&lt;&gt;"))),0)</f>
        <v>0</v>
      </c>
      <c r="V1141">
        <f>IFERROR($J1141/IF($A1141&lt;COUNTIFS($K$1:V$1,"&lt;&gt;"),0,SUMIFS($J:$J,$B:$B,$B1141,$A:$A,"&gt;="&amp;COUNTIFS($K$1:V$1,"&lt;&gt;"))),0)</f>
        <v>0</v>
      </c>
      <c r="W1141">
        <f t="shared" si="398"/>
        <v>8.4699453551912565E-2</v>
      </c>
      <c r="X1141">
        <f t="shared" si="378"/>
        <v>8.4699453551912565E-2</v>
      </c>
      <c r="Y1141">
        <f t="shared" si="379"/>
        <v>8.4699453551912565E-2</v>
      </c>
      <c r="Z1141">
        <f t="shared" si="380"/>
        <v>8.4699453551912565E-2</v>
      </c>
      <c r="AA1141">
        <f t="shared" si="381"/>
        <v>8.4699453551912565E-2</v>
      </c>
      <c r="AB1141">
        <f t="shared" si="382"/>
        <v>8.4699453551912565E-2</v>
      </c>
      <c r="AC1141">
        <f t="shared" si="383"/>
        <v>8.4699453551912565E-2</v>
      </c>
      <c r="AD1141">
        <f t="shared" si="384"/>
        <v>8.4699453551912565E-2</v>
      </c>
      <c r="AE1141">
        <f t="shared" si="385"/>
        <v>8.4699453551912565E-2</v>
      </c>
      <c r="AF1141">
        <f t="shared" si="386"/>
        <v>0</v>
      </c>
      <c r="AG1141">
        <f t="shared" si="387"/>
        <v>0</v>
      </c>
      <c r="AH1141">
        <f t="shared" si="388"/>
        <v>0</v>
      </c>
      <c r="AI1141">
        <f t="shared" si="389"/>
        <v>0</v>
      </c>
      <c r="AJ1141" s="2" t="str">
        <f t="shared" si="399"/>
        <v>846478</v>
      </c>
    </row>
    <row r="1142" spans="1:36" x14ac:dyDescent="0.25">
      <c r="A1142">
        <v>9</v>
      </c>
      <c r="B1142" s="1">
        <v>46478</v>
      </c>
      <c r="C1142" s="1">
        <f t="shared" si="390"/>
        <v>46753</v>
      </c>
      <c r="D1142" s="1">
        <f t="shared" si="391"/>
        <v>46492</v>
      </c>
      <c r="E1142" s="1">
        <f t="shared" si="392"/>
        <v>46753</v>
      </c>
      <c r="F1142" s="1">
        <f t="shared" si="393"/>
        <v>46784</v>
      </c>
      <c r="G1142" s="1">
        <f t="shared" si="394"/>
        <v>46858</v>
      </c>
      <c r="H1142">
        <f t="shared" si="395"/>
        <v>366</v>
      </c>
      <c r="I1142">
        <f t="shared" si="396"/>
        <v>31</v>
      </c>
      <c r="J1142">
        <f t="shared" si="397"/>
        <v>8.4699453551912565E-2</v>
      </c>
      <c r="K1142">
        <f>IFERROR($J1142/IF($A1142&lt;COUNTIFS($K$1:K$1,"&lt;&gt;"),0,SUMIFS($J:$J,$B:$B,$B1142,$A:$A,"&gt;="&amp;COUNTIFS($K$1:K$1,"&lt;&gt;"))),0)</f>
        <v>8.8571428571428579E-2</v>
      </c>
      <c r="L1142">
        <f>IFERROR($J1142/IF($A1142&lt;COUNTIFS($K$1:L$1,"&lt;&gt;"),0,SUMIFS($J:$J,$B:$B,$B1142,$A:$A,"&gt;="&amp;COUNTIFS($K$1:L$1,"&lt;&gt;"))),0)</f>
        <v>9.7178683385579931E-2</v>
      </c>
      <c r="M1142">
        <f>IFERROR($J1142/IF($A1142&lt;COUNTIFS($K$1:M$1,"&lt;&gt;"),0,SUMIFS($J:$J,$B:$B,$B1142,$A:$A,"&gt;="&amp;COUNTIFS($K$1:M$1,"&lt;&gt;"))),0)</f>
        <v>0.10726643598615916</v>
      </c>
      <c r="N1142">
        <f>IFERROR($J1142/IF($A1142&lt;COUNTIFS($K$1:N$1,"&lt;&gt;"),0,SUMIFS($J:$J,$B:$B,$B1142,$A:$A,"&gt;="&amp;COUNTIFS($K$1:N$1,"&lt;&gt;"))),0)</f>
        <v>0.12015503875968991</v>
      </c>
      <c r="O1142">
        <f>IFERROR($J1142/IF($A1142&lt;COUNTIFS($K$1:O$1,"&lt;&gt;"),0,SUMIFS($J:$J,$B:$B,$B1142,$A:$A,"&gt;="&amp;COUNTIFS($K$1:O$1,"&lt;&gt;"))),0)</f>
        <v>0.13656387665198236</v>
      </c>
      <c r="P1142">
        <f>IFERROR($J1142/IF($A1142&lt;COUNTIFS($K$1:P$1,"&lt;&gt;"),0,SUMIFS($J:$J,$B:$B,$B1142,$A:$A,"&gt;="&amp;COUNTIFS($K$1:P$1,"&lt;&gt;"))),0)</f>
        <v>0.15736040609137053</v>
      </c>
      <c r="Q1142">
        <f>IFERROR($J1142/IF($A1142&lt;COUNTIFS($K$1:Q$1,"&lt;&gt;"),0,SUMIFS($J:$J,$B:$B,$B1142,$A:$A,"&gt;="&amp;COUNTIFS($K$1:Q$1,"&lt;&gt;"))),0)</f>
        <v>0.18674698795180722</v>
      </c>
      <c r="R1142">
        <f>IFERROR($J1142/IF($A1142&lt;COUNTIFS($K$1:R$1,"&lt;&gt;"),0,SUMIFS($J:$J,$B:$B,$B1142,$A:$A,"&gt;="&amp;COUNTIFS($K$1:R$1,"&lt;&gt;"))),0)</f>
        <v>0.22794117647058826</v>
      </c>
      <c r="S1142">
        <f>IFERROR($J1142/IF($A1142&lt;COUNTIFS($K$1:S$1,"&lt;&gt;"),0,SUMIFS($J:$J,$B:$B,$B1142,$A:$A,"&gt;="&amp;COUNTIFS($K$1:S$1,"&lt;&gt;"))),0)</f>
        <v>0.29523809523809524</v>
      </c>
      <c r="T1142">
        <f>IFERROR($J1142/IF($A1142&lt;COUNTIFS($K$1:T$1,"&lt;&gt;"),0,SUMIFS($J:$J,$B:$B,$B1142,$A:$A,"&gt;="&amp;COUNTIFS($K$1:T$1,"&lt;&gt;"))),0)</f>
        <v>0</v>
      </c>
      <c r="U1142">
        <f>IFERROR($J1142/IF($A1142&lt;COUNTIFS($K$1:U$1,"&lt;&gt;"),0,SUMIFS($J:$J,$B:$B,$B1142,$A:$A,"&gt;="&amp;COUNTIFS($K$1:U$1,"&lt;&gt;"))),0)</f>
        <v>0</v>
      </c>
      <c r="V1142">
        <f>IFERROR($J1142/IF($A1142&lt;COUNTIFS($K$1:V$1,"&lt;&gt;"),0,SUMIFS($J:$J,$B:$B,$B1142,$A:$A,"&gt;="&amp;COUNTIFS($K$1:V$1,"&lt;&gt;"))),0)</f>
        <v>0</v>
      </c>
      <c r="W1142">
        <f t="shared" si="398"/>
        <v>8.4699453551912565E-2</v>
      </c>
      <c r="X1142">
        <f t="shared" si="378"/>
        <v>8.4699453551912565E-2</v>
      </c>
      <c r="Y1142">
        <f t="shared" si="379"/>
        <v>8.4699453551912565E-2</v>
      </c>
      <c r="Z1142">
        <f t="shared" si="380"/>
        <v>8.4699453551912565E-2</v>
      </c>
      <c r="AA1142">
        <f t="shared" si="381"/>
        <v>8.4699453551912565E-2</v>
      </c>
      <c r="AB1142">
        <f t="shared" si="382"/>
        <v>8.4699453551912565E-2</v>
      </c>
      <c r="AC1142">
        <f t="shared" si="383"/>
        <v>8.4699453551912565E-2</v>
      </c>
      <c r="AD1142">
        <f t="shared" si="384"/>
        <v>8.4699453551912565E-2</v>
      </c>
      <c r="AE1142">
        <f t="shared" si="385"/>
        <v>8.4699453551912565E-2</v>
      </c>
      <c r="AF1142">
        <f t="shared" si="386"/>
        <v>8.4699453551912565E-2</v>
      </c>
      <c r="AG1142">
        <f t="shared" si="387"/>
        <v>0</v>
      </c>
      <c r="AH1142">
        <f t="shared" si="388"/>
        <v>0</v>
      </c>
      <c r="AI1142">
        <f t="shared" si="389"/>
        <v>0</v>
      </c>
      <c r="AJ1142" s="2" t="str">
        <f t="shared" si="399"/>
        <v>946478</v>
      </c>
    </row>
    <row r="1143" spans="1:36" x14ac:dyDescent="0.25">
      <c r="A1143">
        <v>10</v>
      </c>
      <c r="B1143" s="1">
        <v>46478</v>
      </c>
      <c r="C1143" s="1">
        <f t="shared" si="390"/>
        <v>46784</v>
      </c>
      <c r="D1143" s="1">
        <f t="shared" si="391"/>
        <v>46492</v>
      </c>
      <c r="E1143" s="1">
        <f t="shared" si="392"/>
        <v>46784</v>
      </c>
      <c r="F1143" s="1">
        <f t="shared" si="393"/>
        <v>46813</v>
      </c>
      <c r="G1143" s="1">
        <f t="shared" si="394"/>
        <v>46858</v>
      </c>
      <c r="H1143">
        <f t="shared" si="395"/>
        <v>366</v>
      </c>
      <c r="I1143">
        <f t="shared" si="396"/>
        <v>29</v>
      </c>
      <c r="J1143">
        <f t="shared" si="397"/>
        <v>7.9234972677595633E-2</v>
      </c>
      <c r="K1143">
        <f>IFERROR($J1143/IF($A1143&lt;COUNTIFS($K$1:K$1,"&lt;&gt;"),0,SUMIFS($J:$J,$B:$B,$B1143,$A:$A,"&gt;="&amp;COUNTIFS($K$1:K$1,"&lt;&gt;"))),0)</f>
        <v>8.2857142857142865E-2</v>
      </c>
      <c r="L1143">
        <f>IFERROR($J1143/IF($A1143&lt;COUNTIFS($K$1:L$1,"&lt;&gt;"),0,SUMIFS($J:$J,$B:$B,$B1143,$A:$A,"&gt;="&amp;COUNTIFS($K$1:L$1,"&lt;&gt;"))),0)</f>
        <v>9.0909090909090912E-2</v>
      </c>
      <c r="M1143">
        <f>IFERROR($J1143/IF($A1143&lt;COUNTIFS($K$1:M$1,"&lt;&gt;"),0,SUMIFS($J:$J,$B:$B,$B1143,$A:$A,"&gt;="&amp;COUNTIFS($K$1:M$1,"&lt;&gt;"))),0)</f>
        <v>0.10034602076124569</v>
      </c>
      <c r="N1143">
        <f>IFERROR($J1143/IF($A1143&lt;COUNTIFS($K$1:N$1,"&lt;&gt;"),0,SUMIFS($J:$J,$B:$B,$B1143,$A:$A,"&gt;="&amp;COUNTIFS($K$1:N$1,"&lt;&gt;"))),0)</f>
        <v>0.1124031007751938</v>
      </c>
      <c r="O1143">
        <f>IFERROR($J1143/IF($A1143&lt;COUNTIFS($K$1:O$1,"&lt;&gt;"),0,SUMIFS($J:$J,$B:$B,$B1143,$A:$A,"&gt;="&amp;COUNTIFS($K$1:O$1,"&lt;&gt;"))),0)</f>
        <v>0.1277533039647577</v>
      </c>
      <c r="P1143">
        <f>IFERROR($J1143/IF($A1143&lt;COUNTIFS($K$1:P$1,"&lt;&gt;"),0,SUMIFS($J:$J,$B:$B,$B1143,$A:$A,"&gt;="&amp;COUNTIFS($K$1:P$1,"&lt;&gt;"))),0)</f>
        <v>0.14720812182741116</v>
      </c>
      <c r="Q1143">
        <f>IFERROR($J1143/IF($A1143&lt;COUNTIFS($K$1:Q$1,"&lt;&gt;"),0,SUMIFS($J:$J,$B:$B,$B1143,$A:$A,"&gt;="&amp;COUNTIFS($K$1:Q$1,"&lt;&gt;"))),0)</f>
        <v>0.1746987951807229</v>
      </c>
      <c r="R1143">
        <f>IFERROR($J1143/IF($A1143&lt;COUNTIFS($K$1:R$1,"&lt;&gt;"),0,SUMIFS($J:$J,$B:$B,$B1143,$A:$A,"&gt;="&amp;COUNTIFS($K$1:R$1,"&lt;&gt;"))),0)</f>
        <v>0.21323529411764708</v>
      </c>
      <c r="S1143">
        <f>IFERROR($J1143/IF($A1143&lt;COUNTIFS($K$1:S$1,"&lt;&gt;"),0,SUMIFS($J:$J,$B:$B,$B1143,$A:$A,"&gt;="&amp;COUNTIFS($K$1:S$1,"&lt;&gt;"))),0)</f>
        <v>0.27619047619047621</v>
      </c>
      <c r="T1143">
        <f>IFERROR($J1143/IF($A1143&lt;COUNTIFS($K$1:T$1,"&lt;&gt;"),0,SUMIFS($J:$J,$B:$B,$B1143,$A:$A,"&gt;="&amp;COUNTIFS($K$1:T$1,"&lt;&gt;"))),0)</f>
        <v>0.39189189189189189</v>
      </c>
      <c r="U1143">
        <f>IFERROR($J1143/IF($A1143&lt;COUNTIFS($K$1:U$1,"&lt;&gt;"),0,SUMIFS($J:$J,$B:$B,$B1143,$A:$A,"&gt;="&amp;COUNTIFS($K$1:U$1,"&lt;&gt;"))),0)</f>
        <v>0</v>
      </c>
      <c r="V1143">
        <f>IFERROR($J1143/IF($A1143&lt;COUNTIFS($K$1:V$1,"&lt;&gt;"),0,SUMIFS($J:$J,$B:$B,$B1143,$A:$A,"&gt;="&amp;COUNTIFS($K$1:V$1,"&lt;&gt;"))),0)</f>
        <v>0</v>
      </c>
      <c r="W1143">
        <f t="shared" si="398"/>
        <v>7.9234972677595633E-2</v>
      </c>
      <c r="X1143">
        <f t="shared" si="378"/>
        <v>7.9234972677595633E-2</v>
      </c>
      <c r="Y1143">
        <f t="shared" si="379"/>
        <v>7.9234972677595633E-2</v>
      </c>
      <c r="Z1143">
        <f t="shared" si="380"/>
        <v>7.9234972677595633E-2</v>
      </c>
      <c r="AA1143">
        <f t="shared" si="381"/>
        <v>7.9234972677595633E-2</v>
      </c>
      <c r="AB1143">
        <f t="shared" si="382"/>
        <v>7.9234972677595633E-2</v>
      </c>
      <c r="AC1143">
        <f t="shared" si="383"/>
        <v>7.9234972677595633E-2</v>
      </c>
      <c r="AD1143">
        <f t="shared" si="384"/>
        <v>7.9234972677595633E-2</v>
      </c>
      <c r="AE1143">
        <f t="shared" si="385"/>
        <v>7.9234972677595633E-2</v>
      </c>
      <c r="AF1143">
        <f t="shared" si="386"/>
        <v>7.9234972677595633E-2</v>
      </c>
      <c r="AG1143">
        <f t="shared" si="387"/>
        <v>7.9234972677595633E-2</v>
      </c>
      <c r="AH1143">
        <f t="shared" si="388"/>
        <v>0</v>
      </c>
      <c r="AI1143">
        <f t="shared" si="389"/>
        <v>0</v>
      </c>
      <c r="AJ1143" s="2" t="str">
        <f t="shared" si="399"/>
        <v>1046478</v>
      </c>
    </row>
    <row r="1144" spans="1:36" x14ac:dyDescent="0.25">
      <c r="A1144">
        <v>11</v>
      </c>
      <c r="B1144" s="1">
        <v>46478</v>
      </c>
      <c r="C1144" s="1">
        <f t="shared" si="390"/>
        <v>46813</v>
      </c>
      <c r="D1144" s="1">
        <f t="shared" si="391"/>
        <v>46492</v>
      </c>
      <c r="E1144" s="1">
        <f t="shared" si="392"/>
        <v>46813</v>
      </c>
      <c r="F1144" s="1">
        <f t="shared" si="393"/>
        <v>46844</v>
      </c>
      <c r="G1144" s="1">
        <f t="shared" si="394"/>
        <v>46858</v>
      </c>
      <c r="H1144">
        <f t="shared" si="395"/>
        <v>366</v>
      </c>
      <c r="I1144">
        <f t="shared" si="396"/>
        <v>31</v>
      </c>
      <c r="J1144">
        <f t="shared" si="397"/>
        <v>8.4699453551912565E-2</v>
      </c>
      <c r="K1144">
        <f>IFERROR($J1144/IF($A1144&lt;COUNTIFS($K$1:K$1,"&lt;&gt;"),0,SUMIFS($J:$J,$B:$B,$B1144,$A:$A,"&gt;="&amp;COUNTIFS($K$1:K$1,"&lt;&gt;"))),0)</f>
        <v>8.8571428571428579E-2</v>
      </c>
      <c r="L1144">
        <f>IFERROR($J1144/IF($A1144&lt;COUNTIFS($K$1:L$1,"&lt;&gt;"),0,SUMIFS($J:$J,$B:$B,$B1144,$A:$A,"&gt;="&amp;COUNTIFS($K$1:L$1,"&lt;&gt;"))),0)</f>
        <v>9.7178683385579931E-2</v>
      </c>
      <c r="M1144">
        <f>IFERROR($J1144/IF($A1144&lt;COUNTIFS($K$1:M$1,"&lt;&gt;"),0,SUMIFS($J:$J,$B:$B,$B1144,$A:$A,"&gt;="&amp;COUNTIFS($K$1:M$1,"&lt;&gt;"))),0)</f>
        <v>0.10726643598615916</v>
      </c>
      <c r="N1144">
        <f>IFERROR($J1144/IF($A1144&lt;COUNTIFS($K$1:N$1,"&lt;&gt;"),0,SUMIFS($J:$J,$B:$B,$B1144,$A:$A,"&gt;="&amp;COUNTIFS($K$1:N$1,"&lt;&gt;"))),0)</f>
        <v>0.12015503875968991</v>
      </c>
      <c r="O1144">
        <f>IFERROR($J1144/IF($A1144&lt;COUNTIFS($K$1:O$1,"&lt;&gt;"),0,SUMIFS($J:$J,$B:$B,$B1144,$A:$A,"&gt;="&amp;COUNTIFS($K$1:O$1,"&lt;&gt;"))),0)</f>
        <v>0.13656387665198236</v>
      </c>
      <c r="P1144">
        <f>IFERROR($J1144/IF($A1144&lt;COUNTIFS($K$1:P$1,"&lt;&gt;"),0,SUMIFS($J:$J,$B:$B,$B1144,$A:$A,"&gt;="&amp;COUNTIFS($K$1:P$1,"&lt;&gt;"))),0)</f>
        <v>0.15736040609137053</v>
      </c>
      <c r="Q1144">
        <f>IFERROR($J1144/IF($A1144&lt;COUNTIFS($K$1:Q$1,"&lt;&gt;"),0,SUMIFS($J:$J,$B:$B,$B1144,$A:$A,"&gt;="&amp;COUNTIFS($K$1:Q$1,"&lt;&gt;"))),0)</f>
        <v>0.18674698795180722</v>
      </c>
      <c r="R1144">
        <f>IFERROR($J1144/IF($A1144&lt;COUNTIFS($K$1:R$1,"&lt;&gt;"),0,SUMIFS($J:$J,$B:$B,$B1144,$A:$A,"&gt;="&amp;COUNTIFS($K$1:R$1,"&lt;&gt;"))),0)</f>
        <v>0.22794117647058826</v>
      </c>
      <c r="S1144">
        <f>IFERROR($J1144/IF($A1144&lt;COUNTIFS($K$1:S$1,"&lt;&gt;"),0,SUMIFS($J:$J,$B:$B,$B1144,$A:$A,"&gt;="&amp;COUNTIFS($K$1:S$1,"&lt;&gt;"))),0)</f>
        <v>0.29523809523809524</v>
      </c>
      <c r="T1144">
        <f>IFERROR($J1144/IF($A1144&lt;COUNTIFS($K$1:T$1,"&lt;&gt;"),0,SUMIFS($J:$J,$B:$B,$B1144,$A:$A,"&gt;="&amp;COUNTIFS($K$1:T$1,"&lt;&gt;"))),0)</f>
        <v>0.41891891891891891</v>
      </c>
      <c r="U1144">
        <f>IFERROR($J1144/IF($A1144&lt;COUNTIFS($K$1:U$1,"&lt;&gt;"),0,SUMIFS($J:$J,$B:$B,$B1144,$A:$A,"&gt;="&amp;COUNTIFS($K$1:U$1,"&lt;&gt;"))),0)</f>
        <v>0.68888888888888888</v>
      </c>
      <c r="V1144">
        <f>IFERROR($J1144/IF($A1144&lt;COUNTIFS($K$1:V$1,"&lt;&gt;"),0,SUMIFS($J:$J,$B:$B,$B1144,$A:$A,"&gt;="&amp;COUNTIFS($K$1:V$1,"&lt;&gt;"))),0)</f>
        <v>0</v>
      </c>
      <c r="W1144">
        <f t="shared" si="398"/>
        <v>8.4699453551912565E-2</v>
      </c>
      <c r="X1144">
        <f t="shared" si="378"/>
        <v>8.4699453551912565E-2</v>
      </c>
      <c r="Y1144">
        <f t="shared" si="379"/>
        <v>8.4699453551912565E-2</v>
      </c>
      <c r="Z1144">
        <f t="shared" si="380"/>
        <v>8.4699453551912565E-2</v>
      </c>
      <c r="AA1144">
        <f t="shared" si="381"/>
        <v>8.4699453551912565E-2</v>
      </c>
      <c r="AB1144">
        <f t="shared" si="382"/>
        <v>8.4699453551912565E-2</v>
      </c>
      <c r="AC1144">
        <f t="shared" si="383"/>
        <v>8.4699453551912565E-2</v>
      </c>
      <c r="AD1144">
        <f t="shared" si="384"/>
        <v>8.4699453551912565E-2</v>
      </c>
      <c r="AE1144">
        <f t="shared" si="385"/>
        <v>8.4699453551912565E-2</v>
      </c>
      <c r="AF1144">
        <f t="shared" si="386"/>
        <v>8.4699453551912565E-2</v>
      </c>
      <c r="AG1144">
        <f t="shared" si="387"/>
        <v>8.4699453551912565E-2</v>
      </c>
      <c r="AH1144">
        <f t="shared" si="388"/>
        <v>8.4699453551912565E-2</v>
      </c>
      <c r="AI1144">
        <f t="shared" si="389"/>
        <v>0</v>
      </c>
      <c r="AJ1144" s="2" t="str">
        <f t="shared" si="399"/>
        <v>1146478</v>
      </c>
    </row>
    <row r="1145" spans="1:36" x14ac:dyDescent="0.25">
      <c r="A1145">
        <v>12</v>
      </c>
      <c r="B1145" s="1">
        <v>46478</v>
      </c>
      <c r="C1145" s="1">
        <f t="shared" si="390"/>
        <v>46844</v>
      </c>
      <c r="D1145" s="1">
        <f t="shared" si="391"/>
        <v>46492</v>
      </c>
      <c r="E1145" s="1">
        <f t="shared" si="392"/>
        <v>46844</v>
      </c>
      <c r="F1145" s="1">
        <f t="shared" si="393"/>
        <v>46858</v>
      </c>
      <c r="G1145" s="1">
        <f t="shared" si="394"/>
        <v>46858</v>
      </c>
      <c r="H1145">
        <f t="shared" si="395"/>
        <v>366</v>
      </c>
      <c r="I1145">
        <f t="shared" si="396"/>
        <v>14</v>
      </c>
      <c r="J1145">
        <f t="shared" si="397"/>
        <v>3.825136612021858E-2</v>
      </c>
      <c r="K1145">
        <f>IFERROR($J1145/IF($A1145&lt;COUNTIFS($K$1:K$1,"&lt;&gt;"),0,SUMIFS($J:$J,$B:$B,$B1145,$A:$A,"&gt;="&amp;COUNTIFS($K$1:K$1,"&lt;&gt;"))),0)</f>
        <v>0.04</v>
      </c>
      <c r="L1145">
        <f>IFERROR($J1145/IF($A1145&lt;COUNTIFS($K$1:L$1,"&lt;&gt;"),0,SUMIFS($J:$J,$B:$B,$B1145,$A:$A,"&gt;="&amp;COUNTIFS($K$1:L$1,"&lt;&gt;"))),0)</f>
        <v>4.3887147335423198E-2</v>
      </c>
      <c r="M1145">
        <f>IFERROR($J1145/IF($A1145&lt;COUNTIFS($K$1:M$1,"&lt;&gt;"),0,SUMIFS($J:$J,$B:$B,$B1145,$A:$A,"&gt;="&amp;COUNTIFS($K$1:M$1,"&lt;&gt;"))),0)</f>
        <v>4.8442906574394463E-2</v>
      </c>
      <c r="N1145">
        <f>IFERROR($J1145/IF($A1145&lt;COUNTIFS($K$1:N$1,"&lt;&gt;"),0,SUMIFS($J:$J,$B:$B,$B1145,$A:$A,"&gt;="&amp;COUNTIFS($K$1:N$1,"&lt;&gt;"))),0)</f>
        <v>5.4263565891472867E-2</v>
      </c>
      <c r="O1145">
        <f>IFERROR($J1145/IF($A1145&lt;COUNTIFS($K$1:O$1,"&lt;&gt;"),0,SUMIFS($J:$J,$B:$B,$B1145,$A:$A,"&gt;="&amp;COUNTIFS($K$1:O$1,"&lt;&gt;"))),0)</f>
        <v>6.1674008810572688E-2</v>
      </c>
      <c r="P1145">
        <f>IFERROR($J1145/IF($A1145&lt;COUNTIFS($K$1:P$1,"&lt;&gt;"),0,SUMIFS($J:$J,$B:$B,$B1145,$A:$A,"&gt;="&amp;COUNTIFS($K$1:P$1,"&lt;&gt;"))),0)</f>
        <v>7.1065989847715727E-2</v>
      </c>
      <c r="Q1145">
        <f>IFERROR($J1145/IF($A1145&lt;COUNTIFS($K$1:Q$1,"&lt;&gt;"),0,SUMIFS($J:$J,$B:$B,$B1145,$A:$A,"&gt;="&amp;COUNTIFS($K$1:Q$1,"&lt;&gt;"))),0)</f>
        <v>8.4337349397590369E-2</v>
      </c>
      <c r="R1145">
        <f>IFERROR($J1145/IF($A1145&lt;COUNTIFS($K$1:R$1,"&lt;&gt;"),0,SUMIFS($J:$J,$B:$B,$B1145,$A:$A,"&gt;="&amp;COUNTIFS($K$1:R$1,"&lt;&gt;"))),0)</f>
        <v>0.10294117647058824</v>
      </c>
      <c r="S1145">
        <f>IFERROR($J1145/IF($A1145&lt;COUNTIFS($K$1:S$1,"&lt;&gt;"),0,SUMIFS($J:$J,$B:$B,$B1145,$A:$A,"&gt;="&amp;COUNTIFS($K$1:S$1,"&lt;&gt;"))),0)</f>
        <v>0.13333333333333333</v>
      </c>
      <c r="T1145">
        <f>IFERROR($J1145/IF($A1145&lt;COUNTIFS($K$1:T$1,"&lt;&gt;"),0,SUMIFS($J:$J,$B:$B,$B1145,$A:$A,"&gt;="&amp;COUNTIFS($K$1:T$1,"&lt;&gt;"))),0)</f>
        <v>0.1891891891891892</v>
      </c>
      <c r="U1145">
        <f>IFERROR($J1145/IF($A1145&lt;COUNTIFS($K$1:U$1,"&lt;&gt;"),0,SUMIFS($J:$J,$B:$B,$B1145,$A:$A,"&gt;="&amp;COUNTIFS($K$1:U$1,"&lt;&gt;"))),0)</f>
        <v>0.31111111111111112</v>
      </c>
      <c r="V1145">
        <f>IFERROR($J1145/IF($A1145&lt;COUNTIFS($K$1:V$1,"&lt;&gt;"),0,SUMIFS($J:$J,$B:$B,$B1145,$A:$A,"&gt;="&amp;COUNTIFS($K$1:V$1,"&lt;&gt;"))),0)</f>
        <v>1</v>
      </c>
      <c r="W1145">
        <f t="shared" si="398"/>
        <v>3.825136612021858E-2</v>
      </c>
      <c r="X1145">
        <f t="shared" si="378"/>
        <v>3.825136612021858E-2</v>
      </c>
      <c r="Y1145">
        <f t="shared" si="379"/>
        <v>3.825136612021858E-2</v>
      </c>
      <c r="Z1145">
        <f t="shared" si="380"/>
        <v>3.825136612021858E-2</v>
      </c>
      <c r="AA1145">
        <f t="shared" si="381"/>
        <v>3.825136612021858E-2</v>
      </c>
      <c r="AB1145">
        <f t="shared" si="382"/>
        <v>3.825136612021858E-2</v>
      </c>
      <c r="AC1145">
        <f t="shared" si="383"/>
        <v>3.825136612021858E-2</v>
      </c>
      <c r="AD1145">
        <f t="shared" si="384"/>
        <v>3.825136612021858E-2</v>
      </c>
      <c r="AE1145">
        <f t="shared" si="385"/>
        <v>3.825136612021858E-2</v>
      </c>
      <c r="AF1145">
        <f t="shared" si="386"/>
        <v>3.825136612021858E-2</v>
      </c>
      <c r="AG1145">
        <f t="shared" si="387"/>
        <v>3.825136612021858E-2</v>
      </c>
      <c r="AH1145">
        <f t="shared" si="388"/>
        <v>3.825136612021858E-2</v>
      </c>
      <c r="AI1145">
        <f t="shared" si="389"/>
        <v>3.825136612021858E-2</v>
      </c>
      <c r="AJ1145" s="2" t="str">
        <f t="shared" si="399"/>
        <v>1246478</v>
      </c>
    </row>
    <row r="1146" spans="1:36" x14ac:dyDescent="0.25">
      <c r="A1146">
        <v>0</v>
      </c>
      <c r="B1146" s="1">
        <v>46508</v>
      </c>
      <c r="C1146" s="1">
        <f t="shared" si="390"/>
        <v>46508</v>
      </c>
      <c r="D1146" s="1">
        <f t="shared" si="391"/>
        <v>46522</v>
      </c>
      <c r="E1146" s="1">
        <f t="shared" si="392"/>
        <v>46522</v>
      </c>
      <c r="F1146" s="1">
        <f t="shared" si="393"/>
        <v>46539</v>
      </c>
      <c r="G1146" s="1">
        <f t="shared" si="394"/>
        <v>46888</v>
      </c>
      <c r="H1146">
        <f t="shared" si="395"/>
        <v>366</v>
      </c>
      <c r="I1146">
        <f t="shared" si="396"/>
        <v>17</v>
      </c>
      <c r="J1146">
        <f t="shared" si="397"/>
        <v>4.6448087431693992E-2</v>
      </c>
      <c r="K1146">
        <f>IFERROR($J1146/IF($A1146&lt;COUNTIFS($K$1:K$1,"&lt;&gt;"),0,SUMIFS($J:$J,$B:$B,$B1146,$A:$A,"&gt;="&amp;COUNTIFS($K$1:K$1,"&lt;&gt;"))),0)</f>
        <v>0</v>
      </c>
      <c r="L1146">
        <f>IFERROR($J1146/IF($A1146&lt;COUNTIFS($K$1:L$1,"&lt;&gt;"),0,SUMIFS($J:$J,$B:$B,$B1146,$A:$A,"&gt;="&amp;COUNTIFS($K$1:L$1,"&lt;&gt;"))),0)</f>
        <v>0</v>
      </c>
      <c r="M1146">
        <f>IFERROR($J1146/IF($A1146&lt;COUNTIFS($K$1:M$1,"&lt;&gt;"),0,SUMIFS($J:$J,$B:$B,$B1146,$A:$A,"&gt;="&amp;COUNTIFS($K$1:M$1,"&lt;&gt;"))),0)</f>
        <v>0</v>
      </c>
      <c r="N1146">
        <f>IFERROR($J1146/IF($A1146&lt;COUNTIFS($K$1:N$1,"&lt;&gt;"),0,SUMIFS($J:$J,$B:$B,$B1146,$A:$A,"&gt;="&amp;COUNTIFS($K$1:N$1,"&lt;&gt;"))),0)</f>
        <v>0</v>
      </c>
      <c r="O1146">
        <f>IFERROR($J1146/IF($A1146&lt;COUNTIFS($K$1:O$1,"&lt;&gt;"),0,SUMIFS($J:$J,$B:$B,$B1146,$A:$A,"&gt;="&amp;COUNTIFS($K$1:O$1,"&lt;&gt;"))),0)</f>
        <v>0</v>
      </c>
      <c r="P1146">
        <f>IFERROR($J1146/IF($A1146&lt;COUNTIFS($K$1:P$1,"&lt;&gt;"),0,SUMIFS($J:$J,$B:$B,$B1146,$A:$A,"&gt;="&amp;COUNTIFS($K$1:P$1,"&lt;&gt;"))),0)</f>
        <v>0</v>
      </c>
      <c r="Q1146">
        <f>IFERROR($J1146/IF($A1146&lt;COUNTIFS($K$1:Q$1,"&lt;&gt;"),0,SUMIFS($J:$J,$B:$B,$B1146,$A:$A,"&gt;="&amp;COUNTIFS($K$1:Q$1,"&lt;&gt;"))),0)</f>
        <v>0</v>
      </c>
      <c r="R1146">
        <f>IFERROR($J1146/IF($A1146&lt;COUNTIFS($K$1:R$1,"&lt;&gt;"),0,SUMIFS($J:$J,$B:$B,$B1146,$A:$A,"&gt;="&amp;COUNTIFS($K$1:R$1,"&lt;&gt;"))),0)</f>
        <v>0</v>
      </c>
      <c r="S1146">
        <f>IFERROR($J1146/IF($A1146&lt;COUNTIFS($K$1:S$1,"&lt;&gt;"),0,SUMIFS($J:$J,$B:$B,$B1146,$A:$A,"&gt;="&amp;COUNTIFS($K$1:S$1,"&lt;&gt;"))),0)</f>
        <v>0</v>
      </c>
      <c r="T1146">
        <f>IFERROR($J1146/IF($A1146&lt;COUNTIFS($K$1:T$1,"&lt;&gt;"),0,SUMIFS($J:$J,$B:$B,$B1146,$A:$A,"&gt;="&amp;COUNTIFS($K$1:T$1,"&lt;&gt;"))),0)</f>
        <v>0</v>
      </c>
      <c r="U1146">
        <f>IFERROR($J1146/IF($A1146&lt;COUNTIFS($K$1:U$1,"&lt;&gt;"),0,SUMIFS($J:$J,$B:$B,$B1146,$A:$A,"&gt;="&amp;COUNTIFS($K$1:U$1,"&lt;&gt;"))),0)</f>
        <v>0</v>
      </c>
      <c r="V1146">
        <f>IFERROR($J1146/IF($A1146&lt;COUNTIFS($K$1:V$1,"&lt;&gt;"),0,SUMIFS($J:$J,$B:$B,$B1146,$A:$A,"&gt;="&amp;COUNTIFS($K$1:V$1,"&lt;&gt;"))),0)</f>
        <v>0</v>
      </c>
      <c r="W1146">
        <f t="shared" si="398"/>
        <v>4.6448087431693992E-2</v>
      </c>
      <c r="X1146">
        <f t="shared" si="378"/>
        <v>0</v>
      </c>
      <c r="Y1146">
        <f t="shared" si="379"/>
        <v>0</v>
      </c>
      <c r="Z1146">
        <f t="shared" si="380"/>
        <v>0</v>
      </c>
      <c r="AA1146">
        <f t="shared" si="381"/>
        <v>0</v>
      </c>
      <c r="AB1146">
        <f t="shared" si="382"/>
        <v>0</v>
      </c>
      <c r="AC1146">
        <f t="shared" si="383"/>
        <v>0</v>
      </c>
      <c r="AD1146">
        <f t="shared" si="384"/>
        <v>0</v>
      </c>
      <c r="AE1146">
        <f t="shared" si="385"/>
        <v>0</v>
      </c>
      <c r="AF1146">
        <f t="shared" si="386"/>
        <v>0</v>
      </c>
      <c r="AG1146">
        <f t="shared" si="387"/>
        <v>0</v>
      </c>
      <c r="AH1146">
        <f t="shared" si="388"/>
        <v>0</v>
      </c>
      <c r="AI1146">
        <f t="shared" si="389"/>
        <v>0</v>
      </c>
      <c r="AJ1146" s="2" t="str">
        <f t="shared" si="399"/>
        <v>046508</v>
      </c>
    </row>
    <row r="1147" spans="1:36" x14ac:dyDescent="0.25">
      <c r="A1147">
        <v>1</v>
      </c>
      <c r="B1147" s="1">
        <v>46508</v>
      </c>
      <c r="C1147" s="1">
        <f t="shared" si="390"/>
        <v>46539</v>
      </c>
      <c r="D1147" s="1">
        <f t="shared" si="391"/>
        <v>46522</v>
      </c>
      <c r="E1147" s="1">
        <f t="shared" si="392"/>
        <v>46539</v>
      </c>
      <c r="F1147" s="1">
        <f t="shared" si="393"/>
        <v>46569</v>
      </c>
      <c r="G1147" s="1">
        <f t="shared" si="394"/>
        <v>46888</v>
      </c>
      <c r="H1147">
        <f t="shared" si="395"/>
        <v>366</v>
      </c>
      <c r="I1147">
        <f t="shared" si="396"/>
        <v>30</v>
      </c>
      <c r="J1147">
        <f t="shared" si="397"/>
        <v>8.1967213114754092E-2</v>
      </c>
      <c r="K1147">
        <f>IFERROR($J1147/IF($A1147&lt;COUNTIFS($K$1:K$1,"&lt;&gt;"),0,SUMIFS($J:$J,$B:$B,$B1147,$A:$A,"&gt;="&amp;COUNTIFS($K$1:K$1,"&lt;&gt;"))),0)</f>
        <v>8.5959885386819479E-2</v>
      </c>
      <c r="L1147">
        <f>IFERROR($J1147/IF($A1147&lt;COUNTIFS($K$1:L$1,"&lt;&gt;"),0,SUMIFS($J:$J,$B:$B,$B1147,$A:$A,"&gt;="&amp;COUNTIFS($K$1:L$1,"&lt;&gt;"))),0)</f>
        <v>0</v>
      </c>
      <c r="M1147">
        <f>IFERROR($J1147/IF($A1147&lt;COUNTIFS($K$1:M$1,"&lt;&gt;"),0,SUMIFS($J:$J,$B:$B,$B1147,$A:$A,"&gt;="&amp;COUNTIFS($K$1:M$1,"&lt;&gt;"))),0)</f>
        <v>0</v>
      </c>
      <c r="N1147">
        <f>IFERROR($J1147/IF($A1147&lt;COUNTIFS($K$1:N$1,"&lt;&gt;"),0,SUMIFS($J:$J,$B:$B,$B1147,$A:$A,"&gt;="&amp;COUNTIFS($K$1:N$1,"&lt;&gt;"))),0)</f>
        <v>0</v>
      </c>
      <c r="O1147">
        <f>IFERROR($J1147/IF($A1147&lt;COUNTIFS($K$1:O$1,"&lt;&gt;"),0,SUMIFS($J:$J,$B:$B,$B1147,$A:$A,"&gt;="&amp;COUNTIFS($K$1:O$1,"&lt;&gt;"))),0)</f>
        <v>0</v>
      </c>
      <c r="P1147">
        <f>IFERROR($J1147/IF($A1147&lt;COUNTIFS($K$1:P$1,"&lt;&gt;"),0,SUMIFS($J:$J,$B:$B,$B1147,$A:$A,"&gt;="&amp;COUNTIFS($K$1:P$1,"&lt;&gt;"))),0)</f>
        <v>0</v>
      </c>
      <c r="Q1147">
        <f>IFERROR($J1147/IF($A1147&lt;COUNTIFS($K$1:Q$1,"&lt;&gt;"),0,SUMIFS($J:$J,$B:$B,$B1147,$A:$A,"&gt;="&amp;COUNTIFS($K$1:Q$1,"&lt;&gt;"))),0)</f>
        <v>0</v>
      </c>
      <c r="R1147">
        <f>IFERROR($J1147/IF($A1147&lt;COUNTIFS($K$1:R$1,"&lt;&gt;"),0,SUMIFS($J:$J,$B:$B,$B1147,$A:$A,"&gt;="&amp;COUNTIFS($K$1:R$1,"&lt;&gt;"))),0)</f>
        <v>0</v>
      </c>
      <c r="S1147">
        <f>IFERROR($J1147/IF($A1147&lt;COUNTIFS($K$1:S$1,"&lt;&gt;"),0,SUMIFS($J:$J,$B:$B,$B1147,$A:$A,"&gt;="&amp;COUNTIFS($K$1:S$1,"&lt;&gt;"))),0)</f>
        <v>0</v>
      </c>
      <c r="T1147">
        <f>IFERROR($J1147/IF($A1147&lt;COUNTIFS($K$1:T$1,"&lt;&gt;"),0,SUMIFS($J:$J,$B:$B,$B1147,$A:$A,"&gt;="&amp;COUNTIFS($K$1:T$1,"&lt;&gt;"))),0)</f>
        <v>0</v>
      </c>
      <c r="U1147">
        <f>IFERROR($J1147/IF($A1147&lt;COUNTIFS($K$1:U$1,"&lt;&gt;"),0,SUMIFS($J:$J,$B:$B,$B1147,$A:$A,"&gt;="&amp;COUNTIFS($K$1:U$1,"&lt;&gt;"))),0)</f>
        <v>0</v>
      </c>
      <c r="V1147">
        <f>IFERROR($J1147/IF($A1147&lt;COUNTIFS($K$1:V$1,"&lt;&gt;"),0,SUMIFS($J:$J,$B:$B,$B1147,$A:$A,"&gt;="&amp;COUNTIFS($K$1:V$1,"&lt;&gt;"))),0)</f>
        <v>0</v>
      </c>
      <c r="W1147">
        <f t="shared" si="398"/>
        <v>8.1967213114754092E-2</v>
      </c>
      <c r="X1147">
        <f t="shared" si="378"/>
        <v>8.1967213114754092E-2</v>
      </c>
      <c r="Y1147">
        <f t="shared" si="379"/>
        <v>0</v>
      </c>
      <c r="Z1147">
        <f t="shared" si="380"/>
        <v>0</v>
      </c>
      <c r="AA1147">
        <f t="shared" si="381"/>
        <v>0</v>
      </c>
      <c r="AB1147">
        <f t="shared" si="382"/>
        <v>0</v>
      </c>
      <c r="AC1147">
        <f t="shared" si="383"/>
        <v>0</v>
      </c>
      <c r="AD1147">
        <f t="shared" si="384"/>
        <v>0</v>
      </c>
      <c r="AE1147">
        <f t="shared" si="385"/>
        <v>0</v>
      </c>
      <c r="AF1147">
        <f t="shared" si="386"/>
        <v>0</v>
      </c>
      <c r="AG1147">
        <f t="shared" si="387"/>
        <v>0</v>
      </c>
      <c r="AH1147">
        <f t="shared" si="388"/>
        <v>0</v>
      </c>
      <c r="AI1147">
        <f t="shared" si="389"/>
        <v>0</v>
      </c>
      <c r="AJ1147" s="2" t="str">
        <f t="shared" si="399"/>
        <v>146508</v>
      </c>
    </row>
    <row r="1148" spans="1:36" x14ac:dyDescent="0.25">
      <c r="A1148">
        <v>2</v>
      </c>
      <c r="B1148" s="1">
        <v>46508</v>
      </c>
      <c r="C1148" s="1">
        <f t="shared" si="390"/>
        <v>46569</v>
      </c>
      <c r="D1148" s="1">
        <f t="shared" si="391"/>
        <v>46522</v>
      </c>
      <c r="E1148" s="1">
        <f t="shared" si="392"/>
        <v>46569</v>
      </c>
      <c r="F1148" s="1">
        <f t="shared" si="393"/>
        <v>46600</v>
      </c>
      <c r="G1148" s="1">
        <f t="shared" si="394"/>
        <v>46888</v>
      </c>
      <c r="H1148">
        <f t="shared" si="395"/>
        <v>366</v>
      </c>
      <c r="I1148">
        <f t="shared" si="396"/>
        <v>31</v>
      </c>
      <c r="J1148">
        <f t="shared" si="397"/>
        <v>8.4699453551912565E-2</v>
      </c>
      <c r="K1148">
        <f>IFERROR($J1148/IF($A1148&lt;COUNTIFS($K$1:K$1,"&lt;&gt;"),0,SUMIFS($J:$J,$B:$B,$B1148,$A:$A,"&gt;="&amp;COUNTIFS($K$1:K$1,"&lt;&gt;"))),0)</f>
        <v>8.882521489971347E-2</v>
      </c>
      <c r="L1148">
        <f>IFERROR($J1148/IF($A1148&lt;COUNTIFS($K$1:L$1,"&lt;&gt;"),0,SUMIFS($J:$J,$B:$B,$B1148,$A:$A,"&gt;="&amp;COUNTIFS($K$1:L$1,"&lt;&gt;"))),0)</f>
        <v>9.7178683385579931E-2</v>
      </c>
      <c r="M1148">
        <f>IFERROR($J1148/IF($A1148&lt;COUNTIFS($K$1:M$1,"&lt;&gt;"),0,SUMIFS($J:$J,$B:$B,$B1148,$A:$A,"&gt;="&amp;COUNTIFS($K$1:M$1,"&lt;&gt;"))),0)</f>
        <v>0</v>
      </c>
      <c r="N1148">
        <f>IFERROR($J1148/IF($A1148&lt;COUNTIFS($K$1:N$1,"&lt;&gt;"),0,SUMIFS($J:$J,$B:$B,$B1148,$A:$A,"&gt;="&amp;COUNTIFS($K$1:N$1,"&lt;&gt;"))),0)</f>
        <v>0</v>
      </c>
      <c r="O1148">
        <f>IFERROR($J1148/IF($A1148&lt;COUNTIFS($K$1:O$1,"&lt;&gt;"),0,SUMIFS($J:$J,$B:$B,$B1148,$A:$A,"&gt;="&amp;COUNTIFS($K$1:O$1,"&lt;&gt;"))),0)</f>
        <v>0</v>
      </c>
      <c r="P1148">
        <f>IFERROR($J1148/IF($A1148&lt;COUNTIFS($K$1:P$1,"&lt;&gt;"),0,SUMIFS($J:$J,$B:$B,$B1148,$A:$A,"&gt;="&amp;COUNTIFS($K$1:P$1,"&lt;&gt;"))),0)</f>
        <v>0</v>
      </c>
      <c r="Q1148">
        <f>IFERROR($J1148/IF($A1148&lt;COUNTIFS($K$1:Q$1,"&lt;&gt;"),0,SUMIFS($J:$J,$B:$B,$B1148,$A:$A,"&gt;="&amp;COUNTIFS($K$1:Q$1,"&lt;&gt;"))),0)</f>
        <v>0</v>
      </c>
      <c r="R1148">
        <f>IFERROR($J1148/IF($A1148&lt;COUNTIFS($K$1:R$1,"&lt;&gt;"),0,SUMIFS($J:$J,$B:$B,$B1148,$A:$A,"&gt;="&amp;COUNTIFS($K$1:R$1,"&lt;&gt;"))),0)</f>
        <v>0</v>
      </c>
      <c r="S1148">
        <f>IFERROR($J1148/IF($A1148&lt;COUNTIFS($K$1:S$1,"&lt;&gt;"),0,SUMIFS($J:$J,$B:$B,$B1148,$A:$A,"&gt;="&amp;COUNTIFS($K$1:S$1,"&lt;&gt;"))),0)</f>
        <v>0</v>
      </c>
      <c r="T1148">
        <f>IFERROR($J1148/IF($A1148&lt;COUNTIFS($K$1:T$1,"&lt;&gt;"),0,SUMIFS($J:$J,$B:$B,$B1148,$A:$A,"&gt;="&amp;COUNTIFS($K$1:T$1,"&lt;&gt;"))),0)</f>
        <v>0</v>
      </c>
      <c r="U1148">
        <f>IFERROR($J1148/IF($A1148&lt;COUNTIFS($K$1:U$1,"&lt;&gt;"),0,SUMIFS($J:$J,$B:$B,$B1148,$A:$A,"&gt;="&amp;COUNTIFS($K$1:U$1,"&lt;&gt;"))),0)</f>
        <v>0</v>
      </c>
      <c r="V1148">
        <f>IFERROR($J1148/IF($A1148&lt;COUNTIFS($K$1:V$1,"&lt;&gt;"),0,SUMIFS($J:$J,$B:$B,$B1148,$A:$A,"&gt;="&amp;COUNTIFS($K$1:V$1,"&lt;&gt;"))),0)</f>
        <v>0</v>
      </c>
      <c r="W1148">
        <f t="shared" si="398"/>
        <v>8.4699453551912565E-2</v>
      </c>
      <c r="X1148">
        <f t="shared" si="378"/>
        <v>8.4699453551912565E-2</v>
      </c>
      <c r="Y1148">
        <f t="shared" si="379"/>
        <v>8.4699453551912565E-2</v>
      </c>
      <c r="Z1148">
        <f t="shared" si="380"/>
        <v>0</v>
      </c>
      <c r="AA1148">
        <f t="shared" si="381"/>
        <v>0</v>
      </c>
      <c r="AB1148">
        <f t="shared" si="382"/>
        <v>0</v>
      </c>
      <c r="AC1148">
        <f t="shared" si="383"/>
        <v>0</v>
      </c>
      <c r="AD1148">
        <f t="shared" si="384"/>
        <v>0</v>
      </c>
      <c r="AE1148">
        <f t="shared" si="385"/>
        <v>0</v>
      </c>
      <c r="AF1148">
        <f t="shared" si="386"/>
        <v>0</v>
      </c>
      <c r="AG1148">
        <f t="shared" si="387"/>
        <v>0</v>
      </c>
      <c r="AH1148">
        <f t="shared" si="388"/>
        <v>0</v>
      </c>
      <c r="AI1148">
        <f t="shared" si="389"/>
        <v>0</v>
      </c>
      <c r="AJ1148" s="2" t="str">
        <f t="shared" si="399"/>
        <v>246508</v>
      </c>
    </row>
    <row r="1149" spans="1:36" x14ac:dyDescent="0.25">
      <c r="A1149">
        <v>3</v>
      </c>
      <c r="B1149" s="1">
        <v>46508</v>
      </c>
      <c r="C1149" s="1">
        <f t="shared" si="390"/>
        <v>46600</v>
      </c>
      <c r="D1149" s="1">
        <f t="shared" si="391"/>
        <v>46522</v>
      </c>
      <c r="E1149" s="1">
        <f t="shared" si="392"/>
        <v>46600</v>
      </c>
      <c r="F1149" s="1">
        <f t="shared" si="393"/>
        <v>46631</v>
      </c>
      <c r="G1149" s="1">
        <f t="shared" si="394"/>
        <v>46888</v>
      </c>
      <c r="H1149">
        <f t="shared" si="395"/>
        <v>366</v>
      </c>
      <c r="I1149">
        <f t="shared" si="396"/>
        <v>31</v>
      </c>
      <c r="J1149">
        <f t="shared" si="397"/>
        <v>8.4699453551912565E-2</v>
      </c>
      <c r="K1149">
        <f>IFERROR($J1149/IF($A1149&lt;COUNTIFS($K$1:K$1,"&lt;&gt;"),0,SUMIFS($J:$J,$B:$B,$B1149,$A:$A,"&gt;="&amp;COUNTIFS($K$1:K$1,"&lt;&gt;"))),0)</f>
        <v>8.882521489971347E-2</v>
      </c>
      <c r="L1149">
        <f>IFERROR($J1149/IF($A1149&lt;COUNTIFS($K$1:L$1,"&lt;&gt;"),0,SUMIFS($J:$J,$B:$B,$B1149,$A:$A,"&gt;="&amp;COUNTIFS($K$1:L$1,"&lt;&gt;"))),0)</f>
        <v>9.7178683385579931E-2</v>
      </c>
      <c r="M1149">
        <f>IFERROR($J1149/IF($A1149&lt;COUNTIFS($K$1:M$1,"&lt;&gt;"),0,SUMIFS($J:$J,$B:$B,$B1149,$A:$A,"&gt;="&amp;COUNTIFS($K$1:M$1,"&lt;&gt;"))),0)</f>
        <v>0.10763888888888888</v>
      </c>
      <c r="N1149">
        <f>IFERROR($J1149/IF($A1149&lt;COUNTIFS($K$1:N$1,"&lt;&gt;"),0,SUMIFS($J:$J,$B:$B,$B1149,$A:$A,"&gt;="&amp;COUNTIFS($K$1:N$1,"&lt;&gt;"))),0)</f>
        <v>0</v>
      </c>
      <c r="O1149">
        <f>IFERROR($J1149/IF($A1149&lt;COUNTIFS($K$1:O$1,"&lt;&gt;"),0,SUMIFS($J:$J,$B:$B,$B1149,$A:$A,"&gt;="&amp;COUNTIFS($K$1:O$1,"&lt;&gt;"))),0)</f>
        <v>0</v>
      </c>
      <c r="P1149">
        <f>IFERROR($J1149/IF($A1149&lt;COUNTIFS($K$1:P$1,"&lt;&gt;"),0,SUMIFS($J:$J,$B:$B,$B1149,$A:$A,"&gt;="&amp;COUNTIFS($K$1:P$1,"&lt;&gt;"))),0)</f>
        <v>0</v>
      </c>
      <c r="Q1149">
        <f>IFERROR($J1149/IF($A1149&lt;COUNTIFS($K$1:Q$1,"&lt;&gt;"),0,SUMIFS($J:$J,$B:$B,$B1149,$A:$A,"&gt;="&amp;COUNTIFS($K$1:Q$1,"&lt;&gt;"))),0)</f>
        <v>0</v>
      </c>
      <c r="R1149">
        <f>IFERROR($J1149/IF($A1149&lt;COUNTIFS($K$1:R$1,"&lt;&gt;"),0,SUMIFS($J:$J,$B:$B,$B1149,$A:$A,"&gt;="&amp;COUNTIFS($K$1:R$1,"&lt;&gt;"))),0)</f>
        <v>0</v>
      </c>
      <c r="S1149">
        <f>IFERROR($J1149/IF($A1149&lt;COUNTIFS($K$1:S$1,"&lt;&gt;"),0,SUMIFS($J:$J,$B:$B,$B1149,$A:$A,"&gt;="&amp;COUNTIFS($K$1:S$1,"&lt;&gt;"))),0)</f>
        <v>0</v>
      </c>
      <c r="T1149">
        <f>IFERROR($J1149/IF($A1149&lt;COUNTIFS($K$1:T$1,"&lt;&gt;"),0,SUMIFS($J:$J,$B:$B,$B1149,$A:$A,"&gt;="&amp;COUNTIFS($K$1:T$1,"&lt;&gt;"))),0)</f>
        <v>0</v>
      </c>
      <c r="U1149">
        <f>IFERROR($J1149/IF($A1149&lt;COUNTIFS($K$1:U$1,"&lt;&gt;"),0,SUMIFS($J:$J,$B:$B,$B1149,$A:$A,"&gt;="&amp;COUNTIFS($K$1:U$1,"&lt;&gt;"))),0)</f>
        <v>0</v>
      </c>
      <c r="V1149">
        <f>IFERROR($J1149/IF($A1149&lt;COUNTIFS($K$1:V$1,"&lt;&gt;"),0,SUMIFS($J:$J,$B:$B,$B1149,$A:$A,"&gt;="&amp;COUNTIFS($K$1:V$1,"&lt;&gt;"))),0)</f>
        <v>0</v>
      </c>
      <c r="W1149">
        <f t="shared" si="398"/>
        <v>8.4699453551912565E-2</v>
      </c>
      <c r="X1149">
        <f t="shared" si="378"/>
        <v>8.4699453551912565E-2</v>
      </c>
      <c r="Y1149">
        <f t="shared" si="379"/>
        <v>8.4699453551912565E-2</v>
      </c>
      <c r="Z1149">
        <f t="shared" si="380"/>
        <v>8.4699453551912565E-2</v>
      </c>
      <c r="AA1149">
        <f t="shared" si="381"/>
        <v>0</v>
      </c>
      <c r="AB1149">
        <f t="shared" si="382"/>
        <v>0</v>
      </c>
      <c r="AC1149">
        <f t="shared" si="383"/>
        <v>0</v>
      </c>
      <c r="AD1149">
        <f t="shared" si="384"/>
        <v>0</v>
      </c>
      <c r="AE1149">
        <f t="shared" si="385"/>
        <v>0</v>
      </c>
      <c r="AF1149">
        <f t="shared" si="386"/>
        <v>0</v>
      </c>
      <c r="AG1149">
        <f t="shared" si="387"/>
        <v>0</v>
      </c>
      <c r="AH1149">
        <f t="shared" si="388"/>
        <v>0</v>
      </c>
      <c r="AI1149">
        <f t="shared" si="389"/>
        <v>0</v>
      </c>
      <c r="AJ1149" s="2" t="str">
        <f t="shared" si="399"/>
        <v>346508</v>
      </c>
    </row>
    <row r="1150" spans="1:36" x14ac:dyDescent="0.25">
      <c r="A1150">
        <v>4</v>
      </c>
      <c r="B1150" s="1">
        <v>46508</v>
      </c>
      <c r="C1150" s="1">
        <f t="shared" si="390"/>
        <v>46631</v>
      </c>
      <c r="D1150" s="1">
        <f t="shared" si="391"/>
        <v>46522</v>
      </c>
      <c r="E1150" s="1">
        <f t="shared" si="392"/>
        <v>46631</v>
      </c>
      <c r="F1150" s="1">
        <f t="shared" si="393"/>
        <v>46661</v>
      </c>
      <c r="G1150" s="1">
        <f t="shared" si="394"/>
        <v>46888</v>
      </c>
      <c r="H1150">
        <f t="shared" si="395"/>
        <v>366</v>
      </c>
      <c r="I1150">
        <f t="shared" si="396"/>
        <v>30</v>
      </c>
      <c r="J1150">
        <f t="shared" si="397"/>
        <v>8.1967213114754092E-2</v>
      </c>
      <c r="K1150">
        <f>IFERROR($J1150/IF($A1150&lt;COUNTIFS($K$1:K$1,"&lt;&gt;"),0,SUMIFS($J:$J,$B:$B,$B1150,$A:$A,"&gt;="&amp;COUNTIFS($K$1:K$1,"&lt;&gt;"))),0)</f>
        <v>8.5959885386819479E-2</v>
      </c>
      <c r="L1150">
        <f>IFERROR($J1150/IF($A1150&lt;COUNTIFS($K$1:L$1,"&lt;&gt;"),0,SUMIFS($J:$J,$B:$B,$B1150,$A:$A,"&gt;="&amp;COUNTIFS($K$1:L$1,"&lt;&gt;"))),0)</f>
        <v>9.4043887147335414E-2</v>
      </c>
      <c r="M1150">
        <f>IFERROR($J1150/IF($A1150&lt;COUNTIFS($K$1:M$1,"&lt;&gt;"),0,SUMIFS($J:$J,$B:$B,$B1150,$A:$A,"&gt;="&amp;COUNTIFS($K$1:M$1,"&lt;&gt;"))),0)</f>
        <v>0.10416666666666666</v>
      </c>
      <c r="N1150">
        <f>IFERROR($J1150/IF($A1150&lt;COUNTIFS($K$1:N$1,"&lt;&gt;"),0,SUMIFS($J:$J,$B:$B,$B1150,$A:$A,"&gt;="&amp;COUNTIFS($K$1:N$1,"&lt;&gt;"))),0)</f>
        <v>0.11673151750972761</v>
      </c>
      <c r="O1150">
        <f>IFERROR($J1150/IF($A1150&lt;COUNTIFS($K$1:O$1,"&lt;&gt;"),0,SUMIFS($J:$J,$B:$B,$B1150,$A:$A,"&gt;="&amp;COUNTIFS($K$1:O$1,"&lt;&gt;"))),0)</f>
        <v>0</v>
      </c>
      <c r="P1150">
        <f>IFERROR($J1150/IF($A1150&lt;COUNTIFS($K$1:P$1,"&lt;&gt;"),0,SUMIFS($J:$J,$B:$B,$B1150,$A:$A,"&gt;="&amp;COUNTIFS($K$1:P$1,"&lt;&gt;"))),0)</f>
        <v>0</v>
      </c>
      <c r="Q1150">
        <f>IFERROR($J1150/IF($A1150&lt;COUNTIFS($K$1:Q$1,"&lt;&gt;"),0,SUMIFS($J:$J,$B:$B,$B1150,$A:$A,"&gt;="&amp;COUNTIFS($K$1:Q$1,"&lt;&gt;"))),0)</f>
        <v>0</v>
      </c>
      <c r="R1150">
        <f>IFERROR($J1150/IF($A1150&lt;COUNTIFS($K$1:R$1,"&lt;&gt;"),0,SUMIFS($J:$J,$B:$B,$B1150,$A:$A,"&gt;="&amp;COUNTIFS($K$1:R$1,"&lt;&gt;"))),0)</f>
        <v>0</v>
      </c>
      <c r="S1150">
        <f>IFERROR($J1150/IF($A1150&lt;COUNTIFS($K$1:S$1,"&lt;&gt;"),0,SUMIFS($J:$J,$B:$B,$B1150,$A:$A,"&gt;="&amp;COUNTIFS($K$1:S$1,"&lt;&gt;"))),0)</f>
        <v>0</v>
      </c>
      <c r="T1150">
        <f>IFERROR($J1150/IF($A1150&lt;COUNTIFS($K$1:T$1,"&lt;&gt;"),0,SUMIFS($J:$J,$B:$B,$B1150,$A:$A,"&gt;="&amp;COUNTIFS($K$1:T$1,"&lt;&gt;"))),0)</f>
        <v>0</v>
      </c>
      <c r="U1150">
        <f>IFERROR($J1150/IF($A1150&lt;COUNTIFS($K$1:U$1,"&lt;&gt;"),0,SUMIFS($J:$J,$B:$B,$B1150,$A:$A,"&gt;="&amp;COUNTIFS($K$1:U$1,"&lt;&gt;"))),0)</f>
        <v>0</v>
      </c>
      <c r="V1150">
        <f>IFERROR($J1150/IF($A1150&lt;COUNTIFS($K$1:V$1,"&lt;&gt;"),0,SUMIFS($J:$J,$B:$B,$B1150,$A:$A,"&gt;="&amp;COUNTIFS($K$1:V$1,"&lt;&gt;"))),0)</f>
        <v>0</v>
      </c>
      <c r="W1150">
        <f t="shared" si="398"/>
        <v>8.1967213114754092E-2</v>
      </c>
      <c r="X1150">
        <f t="shared" si="378"/>
        <v>8.1967213114754092E-2</v>
      </c>
      <c r="Y1150">
        <f t="shared" si="379"/>
        <v>8.1967213114754092E-2</v>
      </c>
      <c r="Z1150">
        <f t="shared" si="380"/>
        <v>8.1967213114754092E-2</v>
      </c>
      <c r="AA1150">
        <f t="shared" si="381"/>
        <v>8.1967213114754092E-2</v>
      </c>
      <c r="AB1150">
        <f t="shared" si="382"/>
        <v>0</v>
      </c>
      <c r="AC1150">
        <f t="shared" si="383"/>
        <v>0</v>
      </c>
      <c r="AD1150">
        <f t="shared" si="384"/>
        <v>0</v>
      </c>
      <c r="AE1150">
        <f t="shared" si="385"/>
        <v>0</v>
      </c>
      <c r="AF1150">
        <f t="shared" si="386"/>
        <v>0</v>
      </c>
      <c r="AG1150">
        <f t="shared" si="387"/>
        <v>0</v>
      </c>
      <c r="AH1150">
        <f t="shared" si="388"/>
        <v>0</v>
      </c>
      <c r="AI1150">
        <f t="shared" si="389"/>
        <v>0</v>
      </c>
      <c r="AJ1150" s="2" t="str">
        <f t="shared" si="399"/>
        <v>446508</v>
      </c>
    </row>
    <row r="1151" spans="1:36" x14ac:dyDescent="0.25">
      <c r="A1151">
        <v>5</v>
      </c>
      <c r="B1151" s="1">
        <v>46508</v>
      </c>
      <c r="C1151" s="1">
        <f t="shared" si="390"/>
        <v>46661</v>
      </c>
      <c r="D1151" s="1">
        <f t="shared" si="391"/>
        <v>46522</v>
      </c>
      <c r="E1151" s="1">
        <f t="shared" si="392"/>
        <v>46661</v>
      </c>
      <c r="F1151" s="1">
        <f t="shared" si="393"/>
        <v>46692</v>
      </c>
      <c r="G1151" s="1">
        <f t="shared" si="394"/>
        <v>46888</v>
      </c>
      <c r="H1151">
        <f t="shared" si="395"/>
        <v>366</v>
      </c>
      <c r="I1151">
        <f t="shared" si="396"/>
        <v>31</v>
      </c>
      <c r="J1151">
        <f t="shared" si="397"/>
        <v>8.4699453551912565E-2</v>
      </c>
      <c r="K1151">
        <f>IFERROR($J1151/IF($A1151&lt;COUNTIFS($K$1:K$1,"&lt;&gt;"),0,SUMIFS($J:$J,$B:$B,$B1151,$A:$A,"&gt;="&amp;COUNTIFS($K$1:K$1,"&lt;&gt;"))),0)</f>
        <v>8.882521489971347E-2</v>
      </c>
      <c r="L1151">
        <f>IFERROR($J1151/IF($A1151&lt;COUNTIFS($K$1:L$1,"&lt;&gt;"),0,SUMIFS($J:$J,$B:$B,$B1151,$A:$A,"&gt;="&amp;COUNTIFS($K$1:L$1,"&lt;&gt;"))),0)</f>
        <v>9.7178683385579931E-2</v>
      </c>
      <c r="M1151">
        <f>IFERROR($J1151/IF($A1151&lt;COUNTIFS($K$1:M$1,"&lt;&gt;"),0,SUMIFS($J:$J,$B:$B,$B1151,$A:$A,"&gt;="&amp;COUNTIFS($K$1:M$1,"&lt;&gt;"))),0)</f>
        <v>0.10763888888888888</v>
      </c>
      <c r="N1151">
        <f>IFERROR($J1151/IF($A1151&lt;COUNTIFS($K$1:N$1,"&lt;&gt;"),0,SUMIFS($J:$J,$B:$B,$B1151,$A:$A,"&gt;="&amp;COUNTIFS($K$1:N$1,"&lt;&gt;"))),0)</f>
        <v>0.12062256809338522</v>
      </c>
      <c r="O1151">
        <f>IFERROR($J1151/IF($A1151&lt;COUNTIFS($K$1:O$1,"&lt;&gt;"),0,SUMIFS($J:$J,$B:$B,$B1151,$A:$A,"&gt;="&amp;COUNTIFS($K$1:O$1,"&lt;&gt;"))),0)</f>
        <v>0.13656387665198236</v>
      </c>
      <c r="P1151">
        <f>IFERROR($J1151/IF($A1151&lt;COUNTIFS($K$1:P$1,"&lt;&gt;"),0,SUMIFS($J:$J,$B:$B,$B1151,$A:$A,"&gt;="&amp;COUNTIFS($K$1:P$1,"&lt;&gt;"))),0)</f>
        <v>0</v>
      </c>
      <c r="Q1151">
        <f>IFERROR($J1151/IF($A1151&lt;COUNTIFS($K$1:Q$1,"&lt;&gt;"),0,SUMIFS($J:$J,$B:$B,$B1151,$A:$A,"&gt;="&amp;COUNTIFS($K$1:Q$1,"&lt;&gt;"))),0)</f>
        <v>0</v>
      </c>
      <c r="R1151">
        <f>IFERROR($J1151/IF($A1151&lt;COUNTIFS($K$1:R$1,"&lt;&gt;"),0,SUMIFS($J:$J,$B:$B,$B1151,$A:$A,"&gt;="&amp;COUNTIFS($K$1:R$1,"&lt;&gt;"))),0)</f>
        <v>0</v>
      </c>
      <c r="S1151">
        <f>IFERROR($J1151/IF($A1151&lt;COUNTIFS($K$1:S$1,"&lt;&gt;"),0,SUMIFS($J:$J,$B:$B,$B1151,$A:$A,"&gt;="&amp;COUNTIFS($K$1:S$1,"&lt;&gt;"))),0)</f>
        <v>0</v>
      </c>
      <c r="T1151">
        <f>IFERROR($J1151/IF($A1151&lt;COUNTIFS($K$1:T$1,"&lt;&gt;"),0,SUMIFS($J:$J,$B:$B,$B1151,$A:$A,"&gt;="&amp;COUNTIFS($K$1:T$1,"&lt;&gt;"))),0)</f>
        <v>0</v>
      </c>
      <c r="U1151">
        <f>IFERROR($J1151/IF($A1151&lt;COUNTIFS($K$1:U$1,"&lt;&gt;"),0,SUMIFS($J:$J,$B:$B,$B1151,$A:$A,"&gt;="&amp;COUNTIFS($K$1:U$1,"&lt;&gt;"))),0)</f>
        <v>0</v>
      </c>
      <c r="V1151">
        <f>IFERROR($J1151/IF($A1151&lt;COUNTIFS($K$1:V$1,"&lt;&gt;"),0,SUMIFS($J:$J,$B:$B,$B1151,$A:$A,"&gt;="&amp;COUNTIFS($K$1:V$1,"&lt;&gt;"))),0)</f>
        <v>0</v>
      </c>
      <c r="W1151">
        <f t="shared" si="398"/>
        <v>8.4699453551912565E-2</v>
      </c>
      <c r="X1151">
        <f t="shared" si="378"/>
        <v>8.4699453551912565E-2</v>
      </c>
      <c r="Y1151">
        <f t="shared" si="379"/>
        <v>8.4699453551912565E-2</v>
      </c>
      <c r="Z1151">
        <f t="shared" si="380"/>
        <v>8.4699453551912565E-2</v>
      </c>
      <c r="AA1151">
        <f t="shared" si="381"/>
        <v>8.4699453551912565E-2</v>
      </c>
      <c r="AB1151">
        <f t="shared" si="382"/>
        <v>8.4699453551912565E-2</v>
      </c>
      <c r="AC1151">
        <f t="shared" si="383"/>
        <v>0</v>
      </c>
      <c r="AD1151">
        <f t="shared" si="384"/>
        <v>0</v>
      </c>
      <c r="AE1151">
        <f t="shared" si="385"/>
        <v>0</v>
      </c>
      <c r="AF1151">
        <f t="shared" si="386"/>
        <v>0</v>
      </c>
      <c r="AG1151">
        <f t="shared" si="387"/>
        <v>0</v>
      </c>
      <c r="AH1151">
        <f t="shared" si="388"/>
        <v>0</v>
      </c>
      <c r="AI1151">
        <f t="shared" si="389"/>
        <v>0</v>
      </c>
      <c r="AJ1151" s="2" t="str">
        <f t="shared" si="399"/>
        <v>546508</v>
      </c>
    </row>
    <row r="1152" spans="1:36" x14ac:dyDescent="0.25">
      <c r="A1152">
        <v>6</v>
      </c>
      <c r="B1152" s="1">
        <v>46508</v>
      </c>
      <c r="C1152" s="1">
        <f t="shared" si="390"/>
        <v>46692</v>
      </c>
      <c r="D1152" s="1">
        <f t="shared" si="391"/>
        <v>46522</v>
      </c>
      <c r="E1152" s="1">
        <f t="shared" si="392"/>
        <v>46692</v>
      </c>
      <c r="F1152" s="1">
        <f t="shared" si="393"/>
        <v>46722</v>
      </c>
      <c r="G1152" s="1">
        <f t="shared" si="394"/>
        <v>46888</v>
      </c>
      <c r="H1152">
        <f t="shared" si="395"/>
        <v>366</v>
      </c>
      <c r="I1152">
        <f t="shared" si="396"/>
        <v>30</v>
      </c>
      <c r="J1152">
        <f t="shared" si="397"/>
        <v>8.1967213114754092E-2</v>
      </c>
      <c r="K1152">
        <f>IFERROR($J1152/IF($A1152&lt;COUNTIFS($K$1:K$1,"&lt;&gt;"),0,SUMIFS($J:$J,$B:$B,$B1152,$A:$A,"&gt;="&amp;COUNTIFS($K$1:K$1,"&lt;&gt;"))),0)</f>
        <v>8.5959885386819479E-2</v>
      </c>
      <c r="L1152">
        <f>IFERROR($J1152/IF($A1152&lt;COUNTIFS($K$1:L$1,"&lt;&gt;"),0,SUMIFS($J:$J,$B:$B,$B1152,$A:$A,"&gt;="&amp;COUNTIFS($K$1:L$1,"&lt;&gt;"))),0)</f>
        <v>9.4043887147335414E-2</v>
      </c>
      <c r="M1152">
        <f>IFERROR($J1152/IF($A1152&lt;COUNTIFS($K$1:M$1,"&lt;&gt;"),0,SUMIFS($J:$J,$B:$B,$B1152,$A:$A,"&gt;="&amp;COUNTIFS($K$1:M$1,"&lt;&gt;"))),0)</f>
        <v>0.10416666666666666</v>
      </c>
      <c r="N1152">
        <f>IFERROR($J1152/IF($A1152&lt;COUNTIFS($K$1:N$1,"&lt;&gt;"),0,SUMIFS($J:$J,$B:$B,$B1152,$A:$A,"&gt;="&amp;COUNTIFS($K$1:N$1,"&lt;&gt;"))),0)</f>
        <v>0.11673151750972761</v>
      </c>
      <c r="O1152">
        <f>IFERROR($J1152/IF($A1152&lt;COUNTIFS($K$1:O$1,"&lt;&gt;"),0,SUMIFS($J:$J,$B:$B,$B1152,$A:$A,"&gt;="&amp;COUNTIFS($K$1:O$1,"&lt;&gt;"))),0)</f>
        <v>0.13215859030837002</v>
      </c>
      <c r="P1152">
        <f>IFERROR($J1152/IF($A1152&lt;COUNTIFS($K$1:P$1,"&lt;&gt;"),0,SUMIFS($J:$J,$B:$B,$B1152,$A:$A,"&gt;="&amp;COUNTIFS($K$1:P$1,"&lt;&gt;"))),0)</f>
        <v>0.15306122448979589</v>
      </c>
      <c r="Q1152">
        <f>IFERROR($J1152/IF($A1152&lt;COUNTIFS($K$1:Q$1,"&lt;&gt;"),0,SUMIFS($J:$J,$B:$B,$B1152,$A:$A,"&gt;="&amp;COUNTIFS($K$1:Q$1,"&lt;&gt;"))),0)</f>
        <v>0</v>
      </c>
      <c r="R1152">
        <f>IFERROR($J1152/IF($A1152&lt;COUNTIFS($K$1:R$1,"&lt;&gt;"),0,SUMIFS($J:$J,$B:$B,$B1152,$A:$A,"&gt;="&amp;COUNTIFS($K$1:R$1,"&lt;&gt;"))),0)</f>
        <v>0</v>
      </c>
      <c r="S1152">
        <f>IFERROR($J1152/IF($A1152&lt;COUNTIFS($K$1:S$1,"&lt;&gt;"),0,SUMIFS($J:$J,$B:$B,$B1152,$A:$A,"&gt;="&amp;COUNTIFS($K$1:S$1,"&lt;&gt;"))),0)</f>
        <v>0</v>
      </c>
      <c r="T1152">
        <f>IFERROR($J1152/IF($A1152&lt;COUNTIFS($K$1:T$1,"&lt;&gt;"),0,SUMIFS($J:$J,$B:$B,$B1152,$A:$A,"&gt;="&amp;COUNTIFS($K$1:T$1,"&lt;&gt;"))),0)</f>
        <v>0</v>
      </c>
      <c r="U1152">
        <f>IFERROR($J1152/IF($A1152&lt;COUNTIFS($K$1:U$1,"&lt;&gt;"),0,SUMIFS($J:$J,$B:$B,$B1152,$A:$A,"&gt;="&amp;COUNTIFS($K$1:U$1,"&lt;&gt;"))),0)</f>
        <v>0</v>
      </c>
      <c r="V1152">
        <f>IFERROR($J1152/IF($A1152&lt;COUNTIFS($K$1:V$1,"&lt;&gt;"),0,SUMIFS($J:$J,$B:$B,$B1152,$A:$A,"&gt;="&amp;COUNTIFS($K$1:V$1,"&lt;&gt;"))),0)</f>
        <v>0</v>
      </c>
      <c r="W1152">
        <f t="shared" si="398"/>
        <v>8.1967213114754092E-2</v>
      </c>
      <c r="X1152">
        <f t="shared" si="378"/>
        <v>8.1967213114754092E-2</v>
      </c>
      <c r="Y1152">
        <f t="shared" si="379"/>
        <v>8.1967213114754092E-2</v>
      </c>
      <c r="Z1152">
        <f t="shared" si="380"/>
        <v>8.1967213114754092E-2</v>
      </c>
      <c r="AA1152">
        <f t="shared" si="381"/>
        <v>8.1967213114754092E-2</v>
      </c>
      <c r="AB1152">
        <f t="shared" si="382"/>
        <v>8.1967213114754092E-2</v>
      </c>
      <c r="AC1152">
        <f t="shared" si="383"/>
        <v>8.1967213114754092E-2</v>
      </c>
      <c r="AD1152">
        <f t="shared" si="384"/>
        <v>0</v>
      </c>
      <c r="AE1152">
        <f t="shared" si="385"/>
        <v>0</v>
      </c>
      <c r="AF1152">
        <f t="shared" si="386"/>
        <v>0</v>
      </c>
      <c r="AG1152">
        <f t="shared" si="387"/>
        <v>0</v>
      </c>
      <c r="AH1152">
        <f t="shared" si="388"/>
        <v>0</v>
      </c>
      <c r="AI1152">
        <f t="shared" si="389"/>
        <v>0</v>
      </c>
      <c r="AJ1152" s="2" t="str">
        <f t="shared" si="399"/>
        <v>646508</v>
      </c>
    </row>
    <row r="1153" spans="1:36" x14ac:dyDescent="0.25">
      <c r="A1153">
        <v>7</v>
      </c>
      <c r="B1153" s="1">
        <v>46508</v>
      </c>
      <c r="C1153" s="1">
        <f t="shared" si="390"/>
        <v>46722</v>
      </c>
      <c r="D1153" s="1">
        <f t="shared" si="391"/>
        <v>46522</v>
      </c>
      <c r="E1153" s="1">
        <f t="shared" si="392"/>
        <v>46722</v>
      </c>
      <c r="F1153" s="1">
        <f t="shared" si="393"/>
        <v>46753</v>
      </c>
      <c r="G1153" s="1">
        <f t="shared" si="394"/>
        <v>46888</v>
      </c>
      <c r="H1153">
        <f t="shared" si="395"/>
        <v>366</v>
      </c>
      <c r="I1153">
        <f t="shared" si="396"/>
        <v>31</v>
      </c>
      <c r="J1153">
        <f t="shared" si="397"/>
        <v>8.4699453551912565E-2</v>
      </c>
      <c r="K1153">
        <f>IFERROR($J1153/IF($A1153&lt;COUNTIFS($K$1:K$1,"&lt;&gt;"),0,SUMIFS($J:$J,$B:$B,$B1153,$A:$A,"&gt;="&amp;COUNTIFS($K$1:K$1,"&lt;&gt;"))),0)</f>
        <v>8.882521489971347E-2</v>
      </c>
      <c r="L1153">
        <f>IFERROR($J1153/IF($A1153&lt;COUNTIFS($K$1:L$1,"&lt;&gt;"),0,SUMIFS($J:$J,$B:$B,$B1153,$A:$A,"&gt;="&amp;COUNTIFS($K$1:L$1,"&lt;&gt;"))),0)</f>
        <v>9.7178683385579931E-2</v>
      </c>
      <c r="M1153">
        <f>IFERROR($J1153/IF($A1153&lt;COUNTIFS($K$1:M$1,"&lt;&gt;"),0,SUMIFS($J:$J,$B:$B,$B1153,$A:$A,"&gt;="&amp;COUNTIFS($K$1:M$1,"&lt;&gt;"))),0)</f>
        <v>0.10763888888888888</v>
      </c>
      <c r="N1153">
        <f>IFERROR($J1153/IF($A1153&lt;COUNTIFS($K$1:N$1,"&lt;&gt;"),0,SUMIFS($J:$J,$B:$B,$B1153,$A:$A,"&gt;="&amp;COUNTIFS($K$1:N$1,"&lt;&gt;"))),0)</f>
        <v>0.12062256809338522</v>
      </c>
      <c r="O1153">
        <f>IFERROR($J1153/IF($A1153&lt;COUNTIFS($K$1:O$1,"&lt;&gt;"),0,SUMIFS($J:$J,$B:$B,$B1153,$A:$A,"&gt;="&amp;COUNTIFS($K$1:O$1,"&lt;&gt;"))),0)</f>
        <v>0.13656387665198236</v>
      </c>
      <c r="P1153">
        <f>IFERROR($J1153/IF($A1153&lt;COUNTIFS($K$1:P$1,"&lt;&gt;"),0,SUMIFS($J:$J,$B:$B,$B1153,$A:$A,"&gt;="&amp;COUNTIFS($K$1:P$1,"&lt;&gt;"))),0)</f>
        <v>0.15816326530612243</v>
      </c>
      <c r="Q1153">
        <f>IFERROR($J1153/IF($A1153&lt;COUNTIFS($K$1:Q$1,"&lt;&gt;"),0,SUMIFS($J:$J,$B:$B,$B1153,$A:$A,"&gt;="&amp;COUNTIFS($K$1:Q$1,"&lt;&gt;"))),0)</f>
        <v>0.18674698795180725</v>
      </c>
      <c r="R1153">
        <f>IFERROR($J1153/IF($A1153&lt;COUNTIFS($K$1:R$1,"&lt;&gt;"),0,SUMIFS($J:$J,$B:$B,$B1153,$A:$A,"&gt;="&amp;COUNTIFS($K$1:R$1,"&lt;&gt;"))),0)</f>
        <v>0</v>
      </c>
      <c r="S1153">
        <f>IFERROR($J1153/IF($A1153&lt;COUNTIFS($K$1:S$1,"&lt;&gt;"),0,SUMIFS($J:$J,$B:$B,$B1153,$A:$A,"&gt;="&amp;COUNTIFS($K$1:S$1,"&lt;&gt;"))),0)</f>
        <v>0</v>
      </c>
      <c r="T1153">
        <f>IFERROR($J1153/IF($A1153&lt;COUNTIFS($K$1:T$1,"&lt;&gt;"),0,SUMIFS($J:$J,$B:$B,$B1153,$A:$A,"&gt;="&amp;COUNTIFS($K$1:T$1,"&lt;&gt;"))),0)</f>
        <v>0</v>
      </c>
      <c r="U1153">
        <f>IFERROR($J1153/IF($A1153&lt;COUNTIFS($K$1:U$1,"&lt;&gt;"),0,SUMIFS($J:$J,$B:$B,$B1153,$A:$A,"&gt;="&amp;COUNTIFS($K$1:U$1,"&lt;&gt;"))),0)</f>
        <v>0</v>
      </c>
      <c r="V1153">
        <f>IFERROR($J1153/IF($A1153&lt;COUNTIFS($K$1:V$1,"&lt;&gt;"),0,SUMIFS($J:$J,$B:$B,$B1153,$A:$A,"&gt;="&amp;COUNTIFS($K$1:V$1,"&lt;&gt;"))),0)</f>
        <v>0</v>
      </c>
      <c r="W1153">
        <f t="shared" si="398"/>
        <v>8.4699453551912565E-2</v>
      </c>
      <c r="X1153">
        <f t="shared" si="378"/>
        <v>8.4699453551912565E-2</v>
      </c>
      <c r="Y1153">
        <f t="shared" si="379"/>
        <v>8.4699453551912565E-2</v>
      </c>
      <c r="Z1153">
        <f t="shared" si="380"/>
        <v>8.4699453551912565E-2</v>
      </c>
      <c r="AA1153">
        <f t="shared" si="381"/>
        <v>8.4699453551912565E-2</v>
      </c>
      <c r="AB1153">
        <f t="shared" si="382"/>
        <v>8.4699453551912565E-2</v>
      </c>
      <c r="AC1153">
        <f t="shared" si="383"/>
        <v>8.4699453551912565E-2</v>
      </c>
      <c r="AD1153">
        <f t="shared" si="384"/>
        <v>8.4699453551912565E-2</v>
      </c>
      <c r="AE1153">
        <f t="shared" si="385"/>
        <v>0</v>
      </c>
      <c r="AF1153">
        <f t="shared" si="386"/>
        <v>0</v>
      </c>
      <c r="AG1153">
        <f t="shared" si="387"/>
        <v>0</v>
      </c>
      <c r="AH1153">
        <f t="shared" si="388"/>
        <v>0</v>
      </c>
      <c r="AI1153">
        <f t="shared" si="389"/>
        <v>0</v>
      </c>
      <c r="AJ1153" s="2" t="str">
        <f t="shared" si="399"/>
        <v>746508</v>
      </c>
    </row>
    <row r="1154" spans="1:36" x14ac:dyDescent="0.25">
      <c r="A1154">
        <v>8</v>
      </c>
      <c r="B1154" s="1">
        <v>46508</v>
      </c>
      <c r="C1154" s="1">
        <f t="shared" si="390"/>
        <v>46753</v>
      </c>
      <c r="D1154" s="1">
        <f t="shared" si="391"/>
        <v>46522</v>
      </c>
      <c r="E1154" s="1">
        <f t="shared" si="392"/>
        <v>46753</v>
      </c>
      <c r="F1154" s="1">
        <f t="shared" si="393"/>
        <v>46784</v>
      </c>
      <c r="G1154" s="1">
        <f t="shared" si="394"/>
        <v>46888</v>
      </c>
      <c r="H1154">
        <f t="shared" si="395"/>
        <v>366</v>
      </c>
      <c r="I1154">
        <f t="shared" si="396"/>
        <v>31</v>
      </c>
      <c r="J1154">
        <f t="shared" si="397"/>
        <v>8.4699453551912565E-2</v>
      </c>
      <c r="K1154">
        <f>IFERROR($J1154/IF($A1154&lt;COUNTIFS($K$1:K$1,"&lt;&gt;"),0,SUMIFS($J:$J,$B:$B,$B1154,$A:$A,"&gt;="&amp;COUNTIFS($K$1:K$1,"&lt;&gt;"))),0)</f>
        <v>8.882521489971347E-2</v>
      </c>
      <c r="L1154">
        <f>IFERROR($J1154/IF($A1154&lt;COUNTIFS($K$1:L$1,"&lt;&gt;"),0,SUMIFS($J:$J,$B:$B,$B1154,$A:$A,"&gt;="&amp;COUNTIFS($K$1:L$1,"&lt;&gt;"))),0)</f>
        <v>9.7178683385579931E-2</v>
      </c>
      <c r="M1154">
        <f>IFERROR($J1154/IF($A1154&lt;COUNTIFS($K$1:M$1,"&lt;&gt;"),0,SUMIFS($J:$J,$B:$B,$B1154,$A:$A,"&gt;="&amp;COUNTIFS($K$1:M$1,"&lt;&gt;"))),0)</f>
        <v>0.10763888888888888</v>
      </c>
      <c r="N1154">
        <f>IFERROR($J1154/IF($A1154&lt;COUNTIFS($K$1:N$1,"&lt;&gt;"),0,SUMIFS($J:$J,$B:$B,$B1154,$A:$A,"&gt;="&amp;COUNTIFS($K$1:N$1,"&lt;&gt;"))),0)</f>
        <v>0.12062256809338522</v>
      </c>
      <c r="O1154">
        <f>IFERROR($J1154/IF($A1154&lt;COUNTIFS($K$1:O$1,"&lt;&gt;"),0,SUMIFS($J:$J,$B:$B,$B1154,$A:$A,"&gt;="&amp;COUNTIFS($K$1:O$1,"&lt;&gt;"))),0)</f>
        <v>0.13656387665198236</v>
      </c>
      <c r="P1154">
        <f>IFERROR($J1154/IF($A1154&lt;COUNTIFS($K$1:P$1,"&lt;&gt;"),0,SUMIFS($J:$J,$B:$B,$B1154,$A:$A,"&gt;="&amp;COUNTIFS($K$1:P$1,"&lt;&gt;"))),0)</f>
        <v>0.15816326530612243</v>
      </c>
      <c r="Q1154">
        <f>IFERROR($J1154/IF($A1154&lt;COUNTIFS($K$1:Q$1,"&lt;&gt;"),0,SUMIFS($J:$J,$B:$B,$B1154,$A:$A,"&gt;="&amp;COUNTIFS($K$1:Q$1,"&lt;&gt;"))),0)</f>
        <v>0.18674698795180725</v>
      </c>
      <c r="R1154">
        <f>IFERROR($J1154/IF($A1154&lt;COUNTIFS($K$1:R$1,"&lt;&gt;"),0,SUMIFS($J:$J,$B:$B,$B1154,$A:$A,"&gt;="&amp;COUNTIFS($K$1:R$1,"&lt;&gt;"))),0)</f>
        <v>0.22962962962962966</v>
      </c>
      <c r="S1154">
        <f>IFERROR($J1154/IF($A1154&lt;COUNTIFS($K$1:S$1,"&lt;&gt;"),0,SUMIFS($J:$J,$B:$B,$B1154,$A:$A,"&gt;="&amp;COUNTIFS($K$1:S$1,"&lt;&gt;"))),0)</f>
        <v>0</v>
      </c>
      <c r="T1154">
        <f>IFERROR($J1154/IF($A1154&lt;COUNTIFS($K$1:T$1,"&lt;&gt;"),0,SUMIFS($J:$J,$B:$B,$B1154,$A:$A,"&gt;="&amp;COUNTIFS($K$1:T$1,"&lt;&gt;"))),0)</f>
        <v>0</v>
      </c>
      <c r="U1154">
        <f>IFERROR($J1154/IF($A1154&lt;COUNTIFS($K$1:U$1,"&lt;&gt;"),0,SUMIFS($J:$J,$B:$B,$B1154,$A:$A,"&gt;="&amp;COUNTIFS($K$1:U$1,"&lt;&gt;"))),0)</f>
        <v>0</v>
      </c>
      <c r="V1154">
        <f>IFERROR($J1154/IF($A1154&lt;COUNTIFS($K$1:V$1,"&lt;&gt;"),0,SUMIFS($J:$J,$B:$B,$B1154,$A:$A,"&gt;="&amp;COUNTIFS($K$1:V$1,"&lt;&gt;"))),0)</f>
        <v>0</v>
      </c>
      <c r="W1154">
        <f t="shared" si="398"/>
        <v>8.4699453551912565E-2</v>
      </c>
      <c r="X1154">
        <f t="shared" ref="X1154:X1217" si="400">IF(K1154=0,0,$J1154)</f>
        <v>8.4699453551912565E-2</v>
      </c>
      <c r="Y1154">
        <f t="shared" ref="Y1154:Y1217" si="401">IF(L1154=0,0,$J1154)</f>
        <v>8.4699453551912565E-2</v>
      </c>
      <c r="Z1154">
        <f t="shared" ref="Z1154:Z1217" si="402">IF(M1154=0,0,$J1154)</f>
        <v>8.4699453551912565E-2</v>
      </c>
      <c r="AA1154">
        <f t="shared" ref="AA1154:AA1217" si="403">IF(N1154=0,0,$J1154)</f>
        <v>8.4699453551912565E-2</v>
      </c>
      <c r="AB1154">
        <f t="shared" ref="AB1154:AB1217" si="404">IF(O1154=0,0,$J1154)</f>
        <v>8.4699453551912565E-2</v>
      </c>
      <c r="AC1154">
        <f t="shared" ref="AC1154:AC1217" si="405">IF(P1154=0,0,$J1154)</f>
        <v>8.4699453551912565E-2</v>
      </c>
      <c r="AD1154">
        <f t="shared" ref="AD1154:AD1217" si="406">IF(Q1154=0,0,$J1154)</f>
        <v>8.4699453551912565E-2</v>
      </c>
      <c r="AE1154">
        <f t="shared" ref="AE1154:AE1217" si="407">IF(R1154=0,0,$J1154)</f>
        <v>8.4699453551912565E-2</v>
      </c>
      <c r="AF1154">
        <f t="shared" ref="AF1154:AF1217" si="408">IF(S1154=0,0,$J1154)</f>
        <v>0</v>
      </c>
      <c r="AG1154">
        <f t="shared" ref="AG1154:AG1217" si="409">IF(T1154=0,0,$J1154)</f>
        <v>0</v>
      </c>
      <c r="AH1154">
        <f t="shared" ref="AH1154:AH1217" si="410">IF(U1154=0,0,$J1154)</f>
        <v>0</v>
      </c>
      <c r="AI1154">
        <f t="shared" ref="AI1154:AI1217" si="411">IF(V1154=0,0,$J1154)</f>
        <v>0</v>
      </c>
      <c r="AJ1154" s="2" t="str">
        <f t="shared" si="399"/>
        <v>846508</v>
      </c>
    </row>
    <row r="1155" spans="1:36" x14ac:dyDescent="0.25">
      <c r="A1155">
        <v>9</v>
      </c>
      <c r="B1155" s="1">
        <v>46508</v>
      </c>
      <c r="C1155" s="1">
        <f t="shared" ref="C1155:C1218" si="412">EDATE(B1155,A1155)</f>
        <v>46784</v>
      </c>
      <c r="D1155" s="1">
        <f t="shared" ref="D1155:D1218" si="413">B1155+14</f>
        <v>46522</v>
      </c>
      <c r="E1155" s="1">
        <f t="shared" ref="E1155:E1218" si="414">IF($A1155=0,C1155+14,C1155)</f>
        <v>46784</v>
      </c>
      <c r="F1155" s="1">
        <f t="shared" ref="F1155:F1218" si="415">IF(EDATE(C1155,1)&gt;G1155,G1155,EDATE(C1155,1))</f>
        <v>46813</v>
      </c>
      <c r="G1155" s="1">
        <f t="shared" ref="G1155:G1218" si="416">EDATE(D1155,12)</f>
        <v>46888</v>
      </c>
      <c r="H1155">
        <f t="shared" ref="H1155:H1218" si="417">G1155-D1155</f>
        <v>366</v>
      </c>
      <c r="I1155">
        <f t="shared" ref="I1155:I1218" si="418">F1155-E1155</f>
        <v>29</v>
      </c>
      <c r="J1155">
        <f t="shared" ref="J1155:J1218" si="419">I1155/H1155</f>
        <v>7.9234972677595633E-2</v>
      </c>
      <c r="K1155">
        <f>IFERROR($J1155/IF($A1155&lt;COUNTIFS($K$1:K$1,"&lt;&gt;"),0,SUMIFS($J:$J,$B:$B,$B1155,$A:$A,"&gt;="&amp;COUNTIFS($K$1:K$1,"&lt;&gt;"))),0)</f>
        <v>8.3094555873925516E-2</v>
      </c>
      <c r="L1155">
        <f>IFERROR($J1155/IF($A1155&lt;COUNTIFS($K$1:L$1,"&lt;&gt;"),0,SUMIFS($J:$J,$B:$B,$B1155,$A:$A,"&gt;="&amp;COUNTIFS($K$1:L$1,"&lt;&gt;"))),0)</f>
        <v>9.0909090909090912E-2</v>
      </c>
      <c r="M1155">
        <f>IFERROR($J1155/IF($A1155&lt;COUNTIFS($K$1:M$1,"&lt;&gt;"),0,SUMIFS($J:$J,$B:$B,$B1155,$A:$A,"&gt;="&amp;COUNTIFS($K$1:M$1,"&lt;&gt;"))),0)</f>
        <v>0.10069444444444445</v>
      </c>
      <c r="N1155">
        <f>IFERROR($J1155/IF($A1155&lt;COUNTIFS($K$1:N$1,"&lt;&gt;"),0,SUMIFS($J:$J,$B:$B,$B1155,$A:$A,"&gt;="&amp;COUNTIFS($K$1:N$1,"&lt;&gt;"))),0)</f>
        <v>0.11284046692607004</v>
      </c>
      <c r="O1155">
        <f>IFERROR($J1155/IF($A1155&lt;COUNTIFS($K$1:O$1,"&lt;&gt;"),0,SUMIFS($J:$J,$B:$B,$B1155,$A:$A,"&gt;="&amp;COUNTIFS($K$1:O$1,"&lt;&gt;"))),0)</f>
        <v>0.1277533039647577</v>
      </c>
      <c r="P1155">
        <f>IFERROR($J1155/IF($A1155&lt;COUNTIFS($K$1:P$1,"&lt;&gt;"),0,SUMIFS($J:$J,$B:$B,$B1155,$A:$A,"&gt;="&amp;COUNTIFS($K$1:P$1,"&lt;&gt;"))),0)</f>
        <v>0.14795918367346939</v>
      </c>
      <c r="Q1155">
        <f>IFERROR($J1155/IF($A1155&lt;COUNTIFS($K$1:Q$1,"&lt;&gt;"),0,SUMIFS($J:$J,$B:$B,$B1155,$A:$A,"&gt;="&amp;COUNTIFS($K$1:Q$1,"&lt;&gt;"))),0)</f>
        <v>0.17469879518072293</v>
      </c>
      <c r="R1155">
        <f>IFERROR($J1155/IF($A1155&lt;COUNTIFS($K$1:R$1,"&lt;&gt;"),0,SUMIFS($J:$J,$B:$B,$B1155,$A:$A,"&gt;="&amp;COUNTIFS($K$1:R$1,"&lt;&gt;"))),0)</f>
        <v>0.21481481481481485</v>
      </c>
      <c r="S1155">
        <f>IFERROR($J1155/IF($A1155&lt;COUNTIFS($K$1:S$1,"&lt;&gt;"),0,SUMIFS($J:$J,$B:$B,$B1155,$A:$A,"&gt;="&amp;COUNTIFS($K$1:S$1,"&lt;&gt;"))),0)</f>
        <v>0.27884615384615385</v>
      </c>
      <c r="T1155">
        <f>IFERROR($J1155/IF($A1155&lt;COUNTIFS($K$1:T$1,"&lt;&gt;"),0,SUMIFS($J:$J,$B:$B,$B1155,$A:$A,"&gt;="&amp;COUNTIFS($K$1:T$1,"&lt;&gt;"))),0)</f>
        <v>0</v>
      </c>
      <c r="U1155">
        <f>IFERROR($J1155/IF($A1155&lt;COUNTIFS($K$1:U$1,"&lt;&gt;"),0,SUMIFS($J:$J,$B:$B,$B1155,$A:$A,"&gt;="&amp;COUNTIFS($K$1:U$1,"&lt;&gt;"))),0)</f>
        <v>0</v>
      </c>
      <c r="V1155">
        <f>IFERROR($J1155/IF($A1155&lt;COUNTIFS($K$1:V$1,"&lt;&gt;"),0,SUMIFS($J:$J,$B:$B,$B1155,$A:$A,"&gt;="&amp;COUNTIFS($K$1:V$1,"&lt;&gt;"))),0)</f>
        <v>0</v>
      </c>
      <c r="W1155">
        <f t="shared" ref="W1155:W1218" si="420">IF(J1155=0,0,$J1155)</f>
        <v>7.9234972677595633E-2</v>
      </c>
      <c r="X1155">
        <f t="shared" si="400"/>
        <v>7.9234972677595633E-2</v>
      </c>
      <c r="Y1155">
        <f t="shared" si="401"/>
        <v>7.9234972677595633E-2</v>
      </c>
      <c r="Z1155">
        <f t="shared" si="402"/>
        <v>7.9234972677595633E-2</v>
      </c>
      <c r="AA1155">
        <f t="shared" si="403"/>
        <v>7.9234972677595633E-2</v>
      </c>
      <c r="AB1155">
        <f t="shared" si="404"/>
        <v>7.9234972677595633E-2</v>
      </c>
      <c r="AC1155">
        <f t="shared" si="405"/>
        <v>7.9234972677595633E-2</v>
      </c>
      <c r="AD1155">
        <f t="shared" si="406"/>
        <v>7.9234972677595633E-2</v>
      </c>
      <c r="AE1155">
        <f t="shared" si="407"/>
        <v>7.9234972677595633E-2</v>
      </c>
      <c r="AF1155">
        <f t="shared" si="408"/>
        <v>7.9234972677595633E-2</v>
      </c>
      <c r="AG1155">
        <f t="shared" si="409"/>
        <v>0</v>
      </c>
      <c r="AH1155">
        <f t="shared" si="410"/>
        <v>0</v>
      </c>
      <c r="AI1155">
        <f t="shared" si="411"/>
        <v>0</v>
      </c>
      <c r="AJ1155" s="2" t="str">
        <f t="shared" ref="AJ1155:AJ1218" si="421">A1155&amp;B1155</f>
        <v>946508</v>
      </c>
    </row>
    <row r="1156" spans="1:36" x14ac:dyDescent="0.25">
      <c r="A1156">
        <v>10</v>
      </c>
      <c r="B1156" s="1">
        <v>46508</v>
      </c>
      <c r="C1156" s="1">
        <f t="shared" si="412"/>
        <v>46813</v>
      </c>
      <c r="D1156" s="1">
        <f t="shared" si="413"/>
        <v>46522</v>
      </c>
      <c r="E1156" s="1">
        <f t="shared" si="414"/>
        <v>46813</v>
      </c>
      <c r="F1156" s="1">
        <f t="shared" si="415"/>
        <v>46844</v>
      </c>
      <c r="G1156" s="1">
        <f t="shared" si="416"/>
        <v>46888</v>
      </c>
      <c r="H1156">
        <f t="shared" si="417"/>
        <v>366</v>
      </c>
      <c r="I1156">
        <f t="shared" si="418"/>
        <v>31</v>
      </c>
      <c r="J1156">
        <f t="shared" si="419"/>
        <v>8.4699453551912565E-2</v>
      </c>
      <c r="K1156">
        <f>IFERROR($J1156/IF($A1156&lt;COUNTIFS($K$1:K$1,"&lt;&gt;"),0,SUMIFS($J:$J,$B:$B,$B1156,$A:$A,"&gt;="&amp;COUNTIFS($K$1:K$1,"&lt;&gt;"))),0)</f>
        <v>8.882521489971347E-2</v>
      </c>
      <c r="L1156">
        <f>IFERROR($J1156/IF($A1156&lt;COUNTIFS($K$1:L$1,"&lt;&gt;"),0,SUMIFS($J:$J,$B:$B,$B1156,$A:$A,"&gt;="&amp;COUNTIFS($K$1:L$1,"&lt;&gt;"))),0)</f>
        <v>9.7178683385579931E-2</v>
      </c>
      <c r="M1156">
        <f>IFERROR($J1156/IF($A1156&lt;COUNTIFS($K$1:M$1,"&lt;&gt;"),0,SUMIFS($J:$J,$B:$B,$B1156,$A:$A,"&gt;="&amp;COUNTIFS($K$1:M$1,"&lt;&gt;"))),0)</f>
        <v>0.10763888888888888</v>
      </c>
      <c r="N1156">
        <f>IFERROR($J1156/IF($A1156&lt;COUNTIFS($K$1:N$1,"&lt;&gt;"),0,SUMIFS($J:$J,$B:$B,$B1156,$A:$A,"&gt;="&amp;COUNTIFS($K$1:N$1,"&lt;&gt;"))),0)</f>
        <v>0.12062256809338522</v>
      </c>
      <c r="O1156">
        <f>IFERROR($J1156/IF($A1156&lt;COUNTIFS($K$1:O$1,"&lt;&gt;"),0,SUMIFS($J:$J,$B:$B,$B1156,$A:$A,"&gt;="&amp;COUNTIFS($K$1:O$1,"&lt;&gt;"))),0)</f>
        <v>0.13656387665198236</v>
      </c>
      <c r="P1156">
        <f>IFERROR($J1156/IF($A1156&lt;COUNTIFS($K$1:P$1,"&lt;&gt;"),0,SUMIFS($J:$J,$B:$B,$B1156,$A:$A,"&gt;="&amp;COUNTIFS($K$1:P$1,"&lt;&gt;"))),0)</f>
        <v>0.15816326530612243</v>
      </c>
      <c r="Q1156">
        <f>IFERROR($J1156/IF($A1156&lt;COUNTIFS($K$1:Q$1,"&lt;&gt;"),0,SUMIFS($J:$J,$B:$B,$B1156,$A:$A,"&gt;="&amp;COUNTIFS($K$1:Q$1,"&lt;&gt;"))),0)</f>
        <v>0.18674698795180725</v>
      </c>
      <c r="R1156">
        <f>IFERROR($J1156/IF($A1156&lt;COUNTIFS($K$1:R$1,"&lt;&gt;"),0,SUMIFS($J:$J,$B:$B,$B1156,$A:$A,"&gt;="&amp;COUNTIFS($K$1:R$1,"&lt;&gt;"))),0)</f>
        <v>0.22962962962962966</v>
      </c>
      <c r="S1156">
        <f>IFERROR($J1156/IF($A1156&lt;COUNTIFS($K$1:S$1,"&lt;&gt;"),0,SUMIFS($J:$J,$B:$B,$B1156,$A:$A,"&gt;="&amp;COUNTIFS($K$1:S$1,"&lt;&gt;"))),0)</f>
        <v>0.29807692307692307</v>
      </c>
      <c r="T1156">
        <f>IFERROR($J1156/IF($A1156&lt;COUNTIFS($K$1:T$1,"&lt;&gt;"),0,SUMIFS($J:$J,$B:$B,$B1156,$A:$A,"&gt;="&amp;COUNTIFS($K$1:T$1,"&lt;&gt;"))),0)</f>
        <v>0.41333333333333333</v>
      </c>
      <c r="U1156">
        <f>IFERROR($J1156/IF($A1156&lt;COUNTIFS($K$1:U$1,"&lt;&gt;"),0,SUMIFS($J:$J,$B:$B,$B1156,$A:$A,"&gt;="&amp;COUNTIFS($K$1:U$1,"&lt;&gt;"))),0)</f>
        <v>0</v>
      </c>
      <c r="V1156">
        <f>IFERROR($J1156/IF($A1156&lt;COUNTIFS($K$1:V$1,"&lt;&gt;"),0,SUMIFS($J:$J,$B:$B,$B1156,$A:$A,"&gt;="&amp;COUNTIFS($K$1:V$1,"&lt;&gt;"))),0)</f>
        <v>0</v>
      </c>
      <c r="W1156">
        <f t="shared" si="420"/>
        <v>8.4699453551912565E-2</v>
      </c>
      <c r="X1156">
        <f t="shared" si="400"/>
        <v>8.4699453551912565E-2</v>
      </c>
      <c r="Y1156">
        <f t="shared" si="401"/>
        <v>8.4699453551912565E-2</v>
      </c>
      <c r="Z1156">
        <f t="shared" si="402"/>
        <v>8.4699453551912565E-2</v>
      </c>
      <c r="AA1156">
        <f t="shared" si="403"/>
        <v>8.4699453551912565E-2</v>
      </c>
      <c r="AB1156">
        <f t="shared" si="404"/>
        <v>8.4699453551912565E-2</v>
      </c>
      <c r="AC1156">
        <f t="shared" si="405"/>
        <v>8.4699453551912565E-2</v>
      </c>
      <c r="AD1156">
        <f t="shared" si="406"/>
        <v>8.4699453551912565E-2</v>
      </c>
      <c r="AE1156">
        <f t="shared" si="407"/>
        <v>8.4699453551912565E-2</v>
      </c>
      <c r="AF1156">
        <f t="shared" si="408"/>
        <v>8.4699453551912565E-2</v>
      </c>
      <c r="AG1156">
        <f t="shared" si="409"/>
        <v>8.4699453551912565E-2</v>
      </c>
      <c r="AH1156">
        <f t="shared" si="410"/>
        <v>0</v>
      </c>
      <c r="AI1156">
        <f t="shared" si="411"/>
        <v>0</v>
      </c>
      <c r="AJ1156" s="2" t="str">
        <f t="shared" si="421"/>
        <v>1046508</v>
      </c>
    </row>
    <row r="1157" spans="1:36" x14ac:dyDescent="0.25">
      <c r="A1157">
        <v>11</v>
      </c>
      <c r="B1157" s="1">
        <v>46508</v>
      </c>
      <c r="C1157" s="1">
        <f t="shared" si="412"/>
        <v>46844</v>
      </c>
      <c r="D1157" s="1">
        <f t="shared" si="413"/>
        <v>46522</v>
      </c>
      <c r="E1157" s="1">
        <f t="shared" si="414"/>
        <v>46844</v>
      </c>
      <c r="F1157" s="1">
        <f t="shared" si="415"/>
        <v>46874</v>
      </c>
      <c r="G1157" s="1">
        <f t="shared" si="416"/>
        <v>46888</v>
      </c>
      <c r="H1157">
        <f t="shared" si="417"/>
        <v>366</v>
      </c>
      <c r="I1157">
        <f t="shared" si="418"/>
        <v>30</v>
      </c>
      <c r="J1157">
        <f t="shared" si="419"/>
        <v>8.1967213114754092E-2</v>
      </c>
      <c r="K1157">
        <f>IFERROR($J1157/IF($A1157&lt;COUNTIFS($K$1:K$1,"&lt;&gt;"),0,SUMIFS($J:$J,$B:$B,$B1157,$A:$A,"&gt;="&amp;COUNTIFS($K$1:K$1,"&lt;&gt;"))),0)</f>
        <v>8.5959885386819479E-2</v>
      </c>
      <c r="L1157">
        <f>IFERROR($J1157/IF($A1157&lt;COUNTIFS($K$1:L$1,"&lt;&gt;"),0,SUMIFS($J:$J,$B:$B,$B1157,$A:$A,"&gt;="&amp;COUNTIFS($K$1:L$1,"&lt;&gt;"))),0)</f>
        <v>9.4043887147335414E-2</v>
      </c>
      <c r="M1157">
        <f>IFERROR($J1157/IF($A1157&lt;COUNTIFS($K$1:M$1,"&lt;&gt;"),0,SUMIFS($J:$J,$B:$B,$B1157,$A:$A,"&gt;="&amp;COUNTIFS($K$1:M$1,"&lt;&gt;"))),0)</f>
        <v>0.10416666666666666</v>
      </c>
      <c r="N1157">
        <f>IFERROR($J1157/IF($A1157&lt;COUNTIFS($K$1:N$1,"&lt;&gt;"),0,SUMIFS($J:$J,$B:$B,$B1157,$A:$A,"&gt;="&amp;COUNTIFS($K$1:N$1,"&lt;&gt;"))),0)</f>
        <v>0.11673151750972761</v>
      </c>
      <c r="O1157">
        <f>IFERROR($J1157/IF($A1157&lt;COUNTIFS($K$1:O$1,"&lt;&gt;"),0,SUMIFS($J:$J,$B:$B,$B1157,$A:$A,"&gt;="&amp;COUNTIFS($K$1:O$1,"&lt;&gt;"))),0)</f>
        <v>0.13215859030837002</v>
      </c>
      <c r="P1157">
        <f>IFERROR($J1157/IF($A1157&lt;COUNTIFS($K$1:P$1,"&lt;&gt;"),0,SUMIFS($J:$J,$B:$B,$B1157,$A:$A,"&gt;="&amp;COUNTIFS($K$1:P$1,"&lt;&gt;"))),0)</f>
        <v>0.15306122448979589</v>
      </c>
      <c r="Q1157">
        <f>IFERROR($J1157/IF($A1157&lt;COUNTIFS($K$1:Q$1,"&lt;&gt;"),0,SUMIFS($J:$J,$B:$B,$B1157,$A:$A,"&gt;="&amp;COUNTIFS($K$1:Q$1,"&lt;&gt;"))),0)</f>
        <v>0.18072289156626506</v>
      </c>
      <c r="R1157">
        <f>IFERROR($J1157/IF($A1157&lt;COUNTIFS($K$1:R$1,"&lt;&gt;"),0,SUMIFS($J:$J,$B:$B,$B1157,$A:$A,"&gt;="&amp;COUNTIFS($K$1:R$1,"&lt;&gt;"))),0)</f>
        <v>0.22222222222222224</v>
      </c>
      <c r="S1157">
        <f>IFERROR($J1157/IF($A1157&lt;COUNTIFS($K$1:S$1,"&lt;&gt;"),0,SUMIFS($J:$J,$B:$B,$B1157,$A:$A,"&gt;="&amp;COUNTIFS($K$1:S$1,"&lt;&gt;"))),0)</f>
        <v>0.28846153846153844</v>
      </c>
      <c r="T1157">
        <f>IFERROR($J1157/IF($A1157&lt;COUNTIFS($K$1:T$1,"&lt;&gt;"),0,SUMIFS($J:$J,$B:$B,$B1157,$A:$A,"&gt;="&amp;COUNTIFS($K$1:T$1,"&lt;&gt;"))),0)</f>
        <v>0.39999999999999997</v>
      </c>
      <c r="U1157">
        <f>IFERROR($J1157/IF($A1157&lt;COUNTIFS($K$1:U$1,"&lt;&gt;"),0,SUMIFS($J:$J,$B:$B,$B1157,$A:$A,"&gt;="&amp;COUNTIFS($K$1:U$1,"&lt;&gt;"))),0)</f>
        <v>0.68181818181818177</v>
      </c>
      <c r="V1157">
        <f>IFERROR($J1157/IF($A1157&lt;COUNTIFS($K$1:V$1,"&lt;&gt;"),0,SUMIFS($J:$J,$B:$B,$B1157,$A:$A,"&gt;="&amp;COUNTIFS($K$1:V$1,"&lt;&gt;"))),0)</f>
        <v>0</v>
      </c>
      <c r="W1157">
        <f t="shared" si="420"/>
        <v>8.1967213114754092E-2</v>
      </c>
      <c r="X1157">
        <f t="shared" si="400"/>
        <v>8.1967213114754092E-2</v>
      </c>
      <c r="Y1157">
        <f t="shared" si="401"/>
        <v>8.1967213114754092E-2</v>
      </c>
      <c r="Z1157">
        <f t="shared" si="402"/>
        <v>8.1967213114754092E-2</v>
      </c>
      <c r="AA1157">
        <f t="shared" si="403"/>
        <v>8.1967213114754092E-2</v>
      </c>
      <c r="AB1157">
        <f t="shared" si="404"/>
        <v>8.1967213114754092E-2</v>
      </c>
      <c r="AC1157">
        <f t="shared" si="405"/>
        <v>8.1967213114754092E-2</v>
      </c>
      <c r="AD1157">
        <f t="shared" si="406"/>
        <v>8.1967213114754092E-2</v>
      </c>
      <c r="AE1157">
        <f t="shared" si="407"/>
        <v>8.1967213114754092E-2</v>
      </c>
      <c r="AF1157">
        <f t="shared" si="408"/>
        <v>8.1967213114754092E-2</v>
      </c>
      <c r="AG1157">
        <f t="shared" si="409"/>
        <v>8.1967213114754092E-2</v>
      </c>
      <c r="AH1157">
        <f t="shared" si="410"/>
        <v>8.1967213114754092E-2</v>
      </c>
      <c r="AI1157">
        <f t="shared" si="411"/>
        <v>0</v>
      </c>
      <c r="AJ1157" s="2" t="str">
        <f t="shared" si="421"/>
        <v>1146508</v>
      </c>
    </row>
    <row r="1158" spans="1:36" x14ac:dyDescent="0.25">
      <c r="A1158">
        <v>12</v>
      </c>
      <c r="B1158" s="1">
        <v>46508</v>
      </c>
      <c r="C1158" s="1">
        <f t="shared" si="412"/>
        <v>46874</v>
      </c>
      <c r="D1158" s="1">
        <f t="shared" si="413"/>
        <v>46522</v>
      </c>
      <c r="E1158" s="1">
        <f t="shared" si="414"/>
        <v>46874</v>
      </c>
      <c r="F1158" s="1">
        <f t="shared" si="415"/>
        <v>46888</v>
      </c>
      <c r="G1158" s="1">
        <f t="shared" si="416"/>
        <v>46888</v>
      </c>
      <c r="H1158">
        <f t="shared" si="417"/>
        <v>366</v>
      </c>
      <c r="I1158">
        <f t="shared" si="418"/>
        <v>14</v>
      </c>
      <c r="J1158">
        <f t="shared" si="419"/>
        <v>3.825136612021858E-2</v>
      </c>
      <c r="K1158">
        <f>IFERROR($J1158/IF($A1158&lt;COUNTIFS($K$1:K$1,"&lt;&gt;"),0,SUMIFS($J:$J,$B:$B,$B1158,$A:$A,"&gt;="&amp;COUNTIFS($K$1:K$1,"&lt;&gt;"))),0)</f>
        <v>4.0114613180515762E-2</v>
      </c>
      <c r="L1158">
        <f>IFERROR($J1158/IF($A1158&lt;COUNTIFS($K$1:L$1,"&lt;&gt;"),0,SUMIFS($J:$J,$B:$B,$B1158,$A:$A,"&gt;="&amp;COUNTIFS($K$1:L$1,"&lt;&gt;"))),0)</f>
        <v>4.3887147335423198E-2</v>
      </c>
      <c r="M1158">
        <f>IFERROR($J1158/IF($A1158&lt;COUNTIFS($K$1:M$1,"&lt;&gt;"),0,SUMIFS($J:$J,$B:$B,$B1158,$A:$A,"&gt;="&amp;COUNTIFS($K$1:M$1,"&lt;&gt;"))),0)</f>
        <v>4.8611111111111112E-2</v>
      </c>
      <c r="N1158">
        <f>IFERROR($J1158/IF($A1158&lt;COUNTIFS($K$1:N$1,"&lt;&gt;"),0,SUMIFS($J:$J,$B:$B,$B1158,$A:$A,"&gt;="&amp;COUNTIFS($K$1:N$1,"&lt;&gt;"))),0)</f>
        <v>5.4474708171206226E-2</v>
      </c>
      <c r="O1158">
        <f>IFERROR($J1158/IF($A1158&lt;COUNTIFS($K$1:O$1,"&lt;&gt;"),0,SUMIFS($J:$J,$B:$B,$B1158,$A:$A,"&gt;="&amp;COUNTIFS($K$1:O$1,"&lt;&gt;"))),0)</f>
        <v>6.1674008810572688E-2</v>
      </c>
      <c r="P1158">
        <f>IFERROR($J1158/IF($A1158&lt;COUNTIFS($K$1:P$1,"&lt;&gt;"),0,SUMIFS($J:$J,$B:$B,$B1158,$A:$A,"&gt;="&amp;COUNTIFS($K$1:P$1,"&lt;&gt;"))),0)</f>
        <v>7.1428571428571425E-2</v>
      </c>
      <c r="Q1158">
        <f>IFERROR($J1158/IF($A1158&lt;COUNTIFS($K$1:Q$1,"&lt;&gt;"),0,SUMIFS($J:$J,$B:$B,$B1158,$A:$A,"&gt;="&amp;COUNTIFS($K$1:Q$1,"&lt;&gt;"))),0)</f>
        <v>8.4337349397590369E-2</v>
      </c>
      <c r="R1158">
        <f>IFERROR($J1158/IF($A1158&lt;COUNTIFS($K$1:R$1,"&lt;&gt;"),0,SUMIFS($J:$J,$B:$B,$B1158,$A:$A,"&gt;="&amp;COUNTIFS($K$1:R$1,"&lt;&gt;"))),0)</f>
        <v>0.10370370370370371</v>
      </c>
      <c r="S1158">
        <f>IFERROR($J1158/IF($A1158&lt;COUNTIFS($K$1:S$1,"&lt;&gt;"),0,SUMIFS($J:$J,$B:$B,$B1158,$A:$A,"&gt;="&amp;COUNTIFS($K$1:S$1,"&lt;&gt;"))),0)</f>
        <v>0.13461538461538464</v>
      </c>
      <c r="T1158">
        <f>IFERROR($J1158/IF($A1158&lt;COUNTIFS($K$1:T$1,"&lt;&gt;"),0,SUMIFS($J:$J,$B:$B,$B1158,$A:$A,"&gt;="&amp;COUNTIFS($K$1:T$1,"&lt;&gt;"))),0)</f>
        <v>0.18666666666666668</v>
      </c>
      <c r="U1158">
        <f>IFERROR($J1158/IF($A1158&lt;COUNTIFS($K$1:U$1,"&lt;&gt;"),0,SUMIFS($J:$J,$B:$B,$B1158,$A:$A,"&gt;="&amp;COUNTIFS($K$1:U$1,"&lt;&gt;"))),0)</f>
        <v>0.31818181818181818</v>
      </c>
      <c r="V1158">
        <f>IFERROR($J1158/IF($A1158&lt;COUNTIFS($K$1:V$1,"&lt;&gt;"),0,SUMIFS($J:$J,$B:$B,$B1158,$A:$A,"&gt;="&amp;COUNTIFS($K$1:V$1,"&lt;&gt;"))),0)</f>
        <v>1</v>
      </c>
      <c r="W1158">
        <f t="shared" si="420"/>
        <v>3.825136612021858E-2</v>
      </c>
      <c r="X1158">
        <f t="shared" si="400"/>
        <v>3.825136612021858E-2</v>
      </c>
      <c r="Y1158">
        <f t="shared" si="401"/>
        <v>3.825136612021858E-2</v>
      </c>
      <c r="Z1158">
        <f t="shared" si="402"/>
        <v>3.825136612021858E-2</v>
      </c>
      <c r="AA1158">
        <f t="shared" si="403"/>
        <v>3.825136612021858E-2</v>
      </c>
      <c r="AB1158">
        <f t="shared" si="404"/>
        <v>3.825136612021858E-2</v>
      </c>
      <c r="AC1158">
        <f t="shared" si="405"/>
        <v>3.825136612021858E-2</v>
      </c>
      <c r="AD1158">
        <f t="shared" si="406"/>
        <v>3.825136612021858E-2</v>
      </c>
      <c r="AE1158">
        <f t="shared" si="407"/>
        <v>3.825136612021858E-2</v>
      </c>
      <c r="AF1158">
        <f t="shared" si="408"/>
        <v>3.825136612021858E-2</v>
      </c>
      <c r="AG1158">
        <f t="shared" si="409"/>
        <v>3.825136612021858E-2</v>
      </c>
      <c r="AH1158">
        <f t="shared" si="410"/>
        <v>3.825136612021858E-2</v>
      </c>
      <c r="AI1158">
        <f t="shared" si="411"/>
        <v>3.825136612021858E-2</v>
      </c>
      <c r="AJ1158" s="2" t="str">
        <f t="shared" si="421"/>
        <v>1246508</v>
      </c>
    </row>
    <row r="1159" spans="1:36" x14ac:dyDescent="0.25">
      <c r="A1159">
        <v>0</v>
      </c>
      <c r="B1159" s="1">
        <v>46539</v>
      </c>
      <c r="C1159" s="1">
        <f t="shared" si="412"/>
        <v>46539</v>
      </c>
      <c r="D1159" s="1">
        <f t="shared" si="413"/>
        <v>46553</v>
      </c>
      <c r="E1159" s="1">
        <f t="shared" si="414"/>
        <v>46553</v>
      </c>
      <c r="F1159" s="1">
        <f t="shared" si="415"/>
        <v>46569</v>
      </c>
      <c r="G1159" s="1">
        <f t="shared" si="416"/>
        <v>46919</v>
      </c>
      <c r="H1159">
        <f t="shared" si="417"/>
        <v>366</v>
      </c>
      <c r="I1159">
        <f t="shared" si="418"/>
        <v>16</v>
      </c>
      <c r="J1159">
        <f t="shared" si="419"/>
        <v>4.3715846994535519E-2</v>
      </c>
      <c r="K1159">
        <f>IFERROR($J1159/IF($A1159&lt;COUNTIFS($K$1:K$1,"&lt;&gt;"),0,SUMIFS($J:$J,$B:$B,$B1159,$A:$A,"&gt;="&amp;COUNTIFS($K$1:K$1,"&lt;&gt;"))),0)</f>
        <v>0</v>
      </c>
      <c r="L1159">
        <f>IFERROR($J1159/IF($A1159&lt;COUNTIFS($K$1:L$1,"&lt;&gt;"),0,SUMIFS($J:$J,$B:$B,$B1159,$A:$A,"&gt;="&amp;COUNTIFS($K$1:L$1,"&lt;&gt;"))),0)</f>
        <v>0</v>
      </c>
      <c r="M1159">
        <f>IFERROR($J1159/IF($A1159&lt;COUNTIFS($K$1:M$1,"&lt;&gt;"),0,SUMIFS($J:$J,$B:$B,$B1159,$A:$A,"&gt;="&amp;COUNTIFS($K$1:M$1,"&lt;&gt;"))),0)</f>
        <v>0</v>
      </c>
      <c r="N1159">
        <f>IFERROR($J1159/IF($A1159&lt;COUNTIFS($K$1:N$1,"&lt;&gt;"),0,SUMIFS($J:$J,$B:$B,$B1159,$A:$A,"&gt;="&amp;COUNTIFS($K$1:N$1,"&lt;&gt;"))),0)</f>
        <v>0</v>
      </c>
      <c r="O1159">
        <f>IFERROR($J1159/IF($A1159&lt;COUNTIFS($K$1:O$1,"&lt;&gt;"),0,SUMIFS($J:$J,$B:$B,$B1159,$A:$A,"&gt;="&amp;COUNTIFS($K$1:O$1,"&lt;&gt;"))),0)</f>
        <v>0</v>
      </c>
      <c r="P1159">
        <f>IFERROR($J1159/IF($A1159&lt;COUNTIFS($K$1:P$1,"&lt;&gt;"),0,SUMIFS($J:$J,$B:$B,$B1159,$A:$A,"&gt;="&amp;COUNTIFS($K$1:P$1,"&lt;&gt;"))),0)</f>
        <v>0</v>
      </c>
      <c r="Q1159">
        <f>IFERROR($J1159/IF($A1159&lt;COUNTIFS($K$1:Q$1,"&lt;&gt;"),0,SUMIFS($J:$J,$B:$B,$B1159,$A:$A,"&gt;="&amp;COUNTIFS($K$1:Q$1,"&lt;&gt;"))),0)</f>
        <v>0</v>
      </c>
      <c r="R1159">
        <f>IFERROR($J1159/IF($A1159&lt;COUNTIFS($K$1:R$1,"&lt;&gt;"),0,SUMIFS($J:$J,$B:$B,$B1159,$A:$A,"&gt;="&amp;COUNTIFS($K$1:R$1,"&lt;&gt;"))),0)</f>
        <v>0</v>
      </c>
      <c r="S1159">
        <f>IFERROR($J1159/IF($A1159&lt;COUNTIFS($K$1:S$1,"&lt;&gt;"),0,SUMIFS($J:$J,$B:$B,$B1159,$A:$A,"&gt;="&amp;COUNTIFS($K$1:S$1,"&lt;&gt;"))),0)</f>
        <v>0</v>
      </c>
      <c r="T1159">
        <f>IFERROR($J1159/IF($A1159&lt;COUNTIFS($K$1:T$1,"&lt;&gt;"),0,SUMIFS($J:$J,$B:$B,$B1159,$A:$A,"&gt;="&amp;COUNTIFS($K$1:T$1,"&lt;&gt;"))),0)</f>
        <v>0</v>
      </c>
      <c r="U1159">
        <f>IFERROR($J1159/IF($A1159&lt;COUNTIFS($K$1:U$1,"&lt;&gt;"),0,SUMIFS($J:$J,$B:$B,$B1159,$A:$A,"&gt;="&amp;COUNTIFS($K$1:U$1,"&lt;&gt;"))),0)</f>
        <v>0</v>
      </c>
      <c r="V1159">
        <f>IFERROR($J1159/IF($A1159&lt;COUNTIFS($K$1:V$1,"&lt;&gt;"),0,SUMIFS($J:$J,$B:$B,$B1159,$A:$A,"&gt;="&amp;COUNTIFS($K$1:V$1,"&lt;&gt;"))),0)</f>
        <v>0</v>
      </c>
      <c r="W1159">
        <f t="shared" si="420"/>
        <v>4.3715846994535519E-2</v>
      </c>
      <c r="X1159">
        <f t="shared" si="400"/>
        <v>0</v>
      </c>
      <c r="Y1159">
        <f t="shared" si="401"/>
        <v>0</v>
      </c>
      <c r="Z1159">
        <f t="shared" si="402"/>
        <v>0</v>
      </c>
      <c r="AA1159">
        <f t="shared" si="403"/>
        <v>0</v>
      </c>
      <c r="AB1159">
        <f t="shared" si="404"/>
        <v>0</v>
      </c>
      <c r="AC1159">
        <f t="shared" si="405"/>
        <v>0</v>
      </c>
      <c r="AD1159">
        <f t="shared" si="406"/>
        <v>0</v>
      </c>
      <c r="AE1159">
        <f t="shared" si="407"/>
        <v>0</v>
      </c>
      <c r="AF1159">
        <f t="shared" si="408"/>
        <v>0</v>
      </c>
      <c r="AG1159">
        <f t="shared" si="409"/>
        <v>0</v>
      </c>
      <c r="AH1159">
        <f t="shared" si="410"/>
        <v>0</v>
      </c>
      <c r="AI1159">
        <f t="shared" si="411"/>
        <v>0</v>
      </c>
      <c r="AJ1159" s="2" t="str">
        <f t="shared" si="421"/>
        <v>046539</v>
      </c>
    </row>
    <row r="1160" spans="1:36" x14ac:dyDescent="0.25">
      <c r="A1160">
        <v>1</v>
      </c>
      <c r="B1160" s="1">
        <v>46539</v>
      </c>
      <c r="C1160" s="1">
        <f t="shared" si="412"/>
        <v>46569</v>
      </c>
      <c r="D1160" s="1">
        <f t="shared" si="413"/>
        <v>46553</v>
      </c>
      <c r="E1160" s="1">
        <f t="shared" si="414"/>
        <v>46569</v>
      </c>
      <c r="F1160" s="1">
        <f t="shared" si="415"/>
        <v>46600</v>
      </c>
      <c r="G1160" s="1">
        <f t="shared" si="416"/>
        <v>46919</v>
      </c>
      <c r="H1160">
        <f t="shared" si="417"/>
        <v>366</v>
      </c>
      <c r="I1160">
        <f t="shared" si="418"/>
        <v>31</v>
      </c>
      <c r="J1160">
        <f t="shared" si="419"/>
        <v>8.4699453551912565E-2</v>
      </c>
      <c r="K1160">
        <f>IFERROR($J1160/IF($A1160&lt;COUNTIFS($K$1:K$1,"&lt;&gt;"),0,SUMIFS($J:$J,$B:$B,$B1160,$A:$A,"&gt;="&amp;COUNTIFS($K$1:K$1,"&lt;&gt;"))),0)</f>
        <v>8.8571428571428579E-2</v>
      </c>
      <c r="L1160">
        <f>IFERROR($J1160/IF($A1160&lt;COUNTIFS($K$1:L$1,"&lt;&gt;"),0,SUMIFS($J:$J,$B:$B,$B1160,$A:$A,"&gt;="&amp;COUNTIFS($K$1:L$1,"&lt;&gt;"))),0)</f>
        <v>0</v>
      </c>
      <c r="M1160">
        <f>IFERROR($J1160/IF($A1160&lt;COUNTIFS($K$1:M$1,"&lt;&gt;"),0,SUMIFS($J:$J,$B:$B,$B1160,$A:$A,"&gt;="&amp;COUNTIFS($K$1:M$1,"&lt;&gt;"))),0)</f>
        <v>0</v>
      </c>
      <c r="N1160">
        <f>IFERROR($J1160/IF($A1160&lt;COUNTIFS($K$1:N$1,"&lt;&gt;"),0,SUMIFS($J:$J,$B:$B,$B1160,$A:$A,"&gt;="&amp;COUNTIFS($K$1:N$1,"&lt;&gt;"))),0)</f>
        <v>0</v>
      </c>
      <c r="O1160">
        <f>IFERROR($J1160/IF($A1160&lt;COUNTIFS($K$1:O$1,"&lt;&gt;"),0,SUMIFS($J:$J,$B:$B,$B1160,$A:$A,"&gt;="&amp;COUNTIFS($K$1:O$1,"&lt;&gt;"))),0)</f>
        <v>0</v>
      </c>
      <c r="P1160">
        <f>IFERROR($J1160/IF($A1160&lt;COUNTIFS($K$1:P$1,"&lt;&gt;"),0,SUMIFS($J:$J,$B:$B,$B1160,$A:$A,"&gt;="&amp;COUNTIFS($K$1:P$1,"&lt;&gt;"))),0)</f>
        <v>0</v>
      </c>
      <c r="Q1160">
        <f>IFERROR($J1160/IF($A1160&lt;COUNTIFS($K$1:Q$1,"&lt;&gt;"),0,SUMIFS($J:$J,$B:$B,$B1160,$A:$A,"&gt;="&amp;COUNTIFS($K$1:Q$1,"&lt;&gt;"))),0)</f>
        <v>0</v>
      </c>
      <c r="R1160">
        <f>IFERROR($J1160/IF($A1160&lt;COUNTIFS($K$1:R$1,"&lt;&gt;"),0,SUMIFS($J:$J,$B:$B,$B1160,$A:$A,"&gt;="&amp;COUNTIFS($K$1:R$1,"&lt;&gt;"))),0)</f>
        <v>0</v>
      </c>
      <c r="S1160">
        <f>IFERROR($J1160/IF($A1160&lt;COUNTIFS($K$1:S$1,"&lt;&gt;"),0,SUMIFS($J:$J,$B:$B,$B1160,$A:$A,"&gt;="&amp;COUNTIFS($K$1:S$1,"&lt;&gt;"))),0)</f>
        <v>0</v>
      </c>
      <c r="T1160">
        <f>IFERROR($J1160/IF($A1160&lt;COUNTIFS($K$1:T$1,"&lt;&gt;"),0,SUMIFS($J:$J,$B:$B,$B1160,$A:$A,"&gt;="&amp;COUNTIFS($K$1:T$1,"&lt;&gt;"))),0)</f>
        <v>0</v>
      </c>
      <c r="U1160">
        <f>IFERROR($J1160/IF($A1160&lt;COUNTIFS($K$1:U$1,"&lt;&gt;"),0,SUMIFS($J:$J,$B:$B,$B1160,$A:$A,"&gt;="&amp;COUNTIFS($K$1:U$1,"&lt;&gt;"))),0)</f>
        <v>0</v>
      </c>
      <c r="V1160">
        <f>IFERROR($J1160/IF($A1160&lt;COUNTIFS($K$1:V$1,"&lt;&gt;"),0,SUMIFS($J:$J,$B:$B,$B1160,$A:$A,"&gt;="&amp;COUNTIFS($K$1:V$1,"&lt;&gt;"))),0)</f>
        <v>0</v>
      </c>
      <c r="W1160">
        <f t="shared" si="420"/>
        <v>8.4699453551912565E-2</v>
      </c>
      <c r="X1160">
        <f t="shared" si="400"/>
        <v>8.4699453551912565E-2</v>
      </c>
      <c r="Y1160">
        <f t="shared" si="401"/>
        <v>0</v>
      </c>
      <c r="Z1160">
        <f t="shared" si="402"/>
        <v>0</v>
      </c>
      <c r="AA1160">
        <f t="shared" si="403"/>
        <v>0</v>
      </c>
      <c r="AB1160">
        <f t="shared" si="404"/>
        <v>0</v>
      </c>
      <c r="AC1160">
        <f t="shared" si="405"/>
        <v>0</v>
      </c>
      <c r="AD1160">
        <f t="shared" si="406"/>
        <v>0</v>
      </c>
      <c r="AE1160">
        <f t="shared" si="407"/>
        <v>0</v>
      </c>
      <c r="AF1160">
        <f t="shared" si="408"/>
        <v>0</v>
      </c>
      <c r="AG1160">
        <f t="shared" si="409"/>
        <v>0</v>
      </c>
      <c r="AH1160">
        <f t="shared" si="410"/>
        <v>0</v>
      </c>
      <c r="AI1160">
        <f t="shared" si="411"/>
        <v>0</v>
      </c>
      <c r="AJ1160" s="2" t="str">
        <f t="shared" si="421"/>
        <v>146539</v>
      </c>
    </row>
    <row r="1161" spans="1:36" x14ac:dyDescent="0.25">
      <c r="A1161">
        <v>2</v>
      </c>
      <c r="B1161" s="1">
        <v>46539</v>
      </c>
      <c r="C1161" s="1">
        <f t="shared" si="412"/>
        <v>46600</v>
      </c>
      <c r="D1161" s="1">
        <f t="shared" si="413"/>
        <v>46553</v>
      </c>
      <c r="E1161" s="1">
        <f t="shared" si="414"/>
        <v>46600</v>
      </c>
      <c r="F1161" s="1">
        <f t="shared" si="415"/>
        <v>46631</v>
      </c>
      <c r="G1161" s="1">
        <f t="shared" si="416"/>
        <v>46919</v>
      </c>
      <c r="H1161">
        <f t="shared" si="417"/>
        <v>366</v>
      </c>
      <c r="I1161">
        <f t="shared" si="418"/>
        <v>31</v>
      </c>
      <c r="J1161">
        <f t="shared" si="419"/>
        <v>8.4699453551912565E-2</v>
      </c>
      <c r="K1161">
        <f>IFERROR($J1161/IF($A1161&lt;COUNTIFS($K$1:K$1,"&lt;&gt;"),0,SUMIFS($J:$J,$B:$B,$B1161,$A:$A,"&gt;="&amp;COUNTIFS($K$1:K$1,"&lt;&gt;"))),0)</f>
        <v>8.8571428571428579E-2</v>
      </c>
      <c r="L1161">
        <f>IFERROR($J1161/IF($A1161&lt;COUNTIFS($K$1:L$1,"&lt;&gt;"),0,SUMIFS($J:$J,$B:$B,$B1161,$A:$A,"&gt;="&amp;COUNTIFS($K$1:L$1,"&lt;&gt;"))),0)</f>
        <v>9.7178683385579931E-2</v>
      </c>
      <c r="M1161">
        <f>IFERROR($J1161/IF($A1161&lt;COUNTIFS($K$1:M$1,"&lt;&gt;"),0,SUMIFS($J:$J,$B:$B,$B1161,$A:$A,"&gt;="&amp;COUNTIFS($K$1:M$1,"&lt;&gt;"))),0)</f>
        <v>0</v>
      </c>
      <c r="N1161">
        <f>IFERROR($J1161/IF($A1161&lt;COUNTIFS($K$1:N$1,"&lt;&gt;"),0,SUMIFS($J:$J,$B:$B,$B1161,$A:$A,"&gt;="&amp;COUNTIFS($K$1:N$1,"&lt;&gt;"))),0)</f>
        <v>0</v>
      </c>
      <c r="O1161">
        <f>IFERROR($J1161/IF($A1161&lt;COUNTIFS($K$1:O$1,"&lt;&gt;"),0,SUMIFS($J:$J,$B:$B,$B1161,$A:$A,"&gt;="&amp;COUNTIFS($K$1:O$1,"&lt;&gt;"))),0)</f>
        <v>0</v>
      </c>
      <c r="P1161">
        <f>IFERROR($J1161/IF($A1161&lt;COUNTIFS($K$1:P$1,"&lt;&gt;"),0,SUMIFS($J:$J,$B:$B,$B1161,$A:$A,"&gt;="&amp;COUNTIFS($K$1:P$1,"&lt;&gt;"))),0)</f>
        <v>0</v>
      </c>
      <c r="Q1161">
        <f>IFERROR($J1161/IF($A1161&lt;COUNTIFS($K$1:Q$1,"&lt;&gt;"),0,SUMIFS($J:$J,$B:$B,$B1161,$A:$A,"&gt;="&amp;COUNTIFS($K$1:Q$1,"&lt;&gt;"))),0)</f>
        <v>0</v>
      </c>
      <c r="R1161">
        <f>IFERROR($J1161/IF($A1161&lt;COUNTIFS($K$1:R$1,"&lt;&gt;"),0,SUMIFS($J:$J,$B:$B,$B1161,$A:$A,"&gt;="&amp;COUNTIFS($K$1:R$1,"&lt;&gt;"))),0)</f>
        <v>0</v>
      </c>
      <c r="S1161">
        <f>IFERROR($J1161/IF($A1161&lt;COUNTIFS($K$1:S$1,"&lt;&gt;"),0,SUMIFS($J:$J,$B:$B,$B1161,$A:$A,"&gt;="&amp;COUNTIFS($K$1:S$1,"&lt;&gt;"))),0)</f>
        <v>0</v>
      </c>
      <c r="T1161">
        <f>IFERROR($J1161/IF($A1161&lt;COUNTIFS($K$1:T$1,"&lt;&gt;"),0,SUMIFS($J:$J,$B:$B,$B1161,$A:$A,"&gt;="&amp;COUNTIFS($K$1:T$1,"&lt;&gt;"))),0)</f>
        <v>0</v>
      </c>
      <c r="U1161">
        <f>IFERROR($J1161/IF($A1161&lt;COUNTIFS($K$1:U$1,"&lt;&gt;"),0,SUMIFS($J:$J,$B:$B,$B1161,$A:$A,"&gt;="&amp;COUNTIFS($K$1:U$1,"&lt;&gt;"))),0)</f>
        <v>0</v>
      </c>
      <c r="V1161">
        <f>IFERROR($J1161/IF($A1161&lt;COUNTIFS($K$1:V$1,"&lt;&gt;"),0,SUMIFS($J:$J,$B:$B,$B1161,$A:$A,"&gt;="&amp;COUNTIFS($K$1:V$1,"&lt;&gt;"))),0)</f>
        <v>0</v>
      </c>
      <c r="W1161">
        <f t="shared" si="420"/>
        <v>8.4699453551912565E-2</v>
      </c>
      <c r="X1161">
        <f t="shared" si="400"/>
        <v>8.4699453551912565E-2</v>
      </c>
      <c r="Y1161">
        <f t="shared" si="401"/>
        <v>8.4699453551912565E-2</v>
      </c>
      <c r="Z1161">
        <f t="shared" si="402"/>
        <v>0</v>
      </c>
      <c r="AA1161">
        <f t="shared" si="403"/>
        <v>0</v>
      </c>
      <c r="AB1161">
        <f t="shared" si="404"/>
        <v>0</v>
      </c>
      <c r="AC1161">
        <f t="shared" si="405"/>
        <v>0</v>
      </c>
      <c r="AD1161">
        <f t="shared" si="406"/>
        <v>0</v>
      </c>
      <c r="AE1161">
        <f t="shared" si="407"/>
        <v>0</v>
      </c>
      <c r="AF1161">
        <f t="shared" si="408"/>
        <v>0</v>
      </c>
      <c r="AG1161">
        <f t="shared" si="409"/>
        <v>0</v>
      </c>
      <c r="AH1161">
        <f t="shared" si="410"/>
        <v>0</v>
      </c>
      <c r="AI1161">
        <f t="shared" si="411"/>
        <v>0</v>
      </c>
      <c r="AJ1161" s="2" t="str">
        <f t="shared" si="421"/>
        <v>246539</v>
      </c>
    </row>
    <row r="1162" spans="1:36" x14ac:dyDescent="0.25">
      <c r="A1162">
        <v>3</v>
      </c>
      <c r="B1162" s="1">
        <v>46539</v>
      </c>
      <c r="C1162" s="1">
        <f t="shared" si="412"/>
        <v>46631</v>
      </c>
      <c r="D1162" s="1">
        <f t="shared" si="413"/>
        <v>46553</v>
      </c>
      <c r="E1162" s="1">
        <f t="shared" si="414"/>
        <v>46631</v>
      </c>
      <c r="F1162" s="1">
        <f t="shared" si="415"/>
        <v>46661</v>
      </c>
      <c r="G1162" s="1">
        <f t="shared" si="416"/>
        <v>46919</v>
      </c>
      <c r="H1162">
        <f t="shared" si="417"/>
        <v>366</v>
      </c>
      <c r="I1162">
        <f t="shared" si="418"/>
        <v>30</v>
      </c>
      <c r="J1162">
        <f t="shared" si="419"/>
        <v>8.1967213114754092E-2</v>
      </c>
      <c r="K1162">
        <f>IFERROR($J1162/IF($A1162&lt;COUNTIFS($K$1:K$1,"&lt;&gt;"),0,SUMIFS($J:$J,$B:$B,$B1162,$A:$A,"&gt;="&amp;COUNTIFS($K$1:K$1,"&lt;&gt;"))),0)</f>
        <v>8.5714285714285715E-2</v>
      </c>
      <c r="L1162">
        <f>IFERROR($J1162/IF($A1162&lt;COUNTIFS($K$1:L$1,"&lt;&gt;"),0,SUMIFS($J:$J,$B:$B,$B1162,$A:$A,"&gt;="&amp;COUNTIFS($K$1:L$1,"&lt;&gt;"))),0)</f>
        <v>9.4043887147335414E-2</v>
      </c>
      <c r="M1162">
        <f>IFERROR($J1162/IF($A1162&lt;COUNTIFS($K$1:M$1,"&lt;&gt;"),0,SUMIFS($J:$J,$B:$B,$B1162,$A:$A,"&gt;="&amp;COUNTIFS($K$1:M$1,"&lt;&gt;"))),0)</f>
        <v>0.10416666666666666</v>
      </c>
      <c r="N1162">
        <f>IFERROR($J1162/IF($A1162&lt;COUNTIFS($K$1:N$1,"&lt;&gt;"),0,SUMIFS($J:$J,$B:$B,$B1162,$A:$A,"&gt;="&amp;COUNTIFS($K$1:N$1,"&lt;&gt;"))),0)</f>
        <v>0</v>
      </c>
      <c r="O1162">
        <f>IFERROR($J1162/IF($A1162&lt;COUNTIFS($K$1:O$1,"&lt;&gt;"),0,SUMIFS($J:$J,$B:$B,$B1162,$A:$A,"&gt;="&amp;COUNTIFS($K$1:O$1,"&lt;&gt;"))),0)</f>
        <v>0</v>
      </c>
      <c r="P1162">
        <f>IFERROR($J1162/IF($A1162&lt;COUNTIFS($K$1:P$1,"&lt;&gt;"),0,SUMIFS($J:$J,$B:$B,$B1162,$A:$A,"&gt;="&amp;COUNTIFS($K$1:P$1,"&lt;&gt;"))),0)</f>
        <v>0</v>
      </c>
      <c r="Q1162">
        <f>IFERROR($J1162/IF($A1162&lt;COUNTIFS($K$1:Q$1,"&lt;&gt;"),0,SUMIFS($J:$J,$B:$B,$B1162,$A:$A,"&gt;="&amp;COUNTIFS($K$1:Q$1,"&lt;&gt;"))),0)</f>
        <v>0</v>
      </c>
      <c r="R1162">
        <f>IFERROR($J1162/IF($A1162&lt;COUNTIFS($K$1:R$1,"&lt;&gt;"),0,SUMIFS($J:$J,$B:$B,$B1162,$A:$A,"&gt;="&amp;COUNTIFS($K$1:R$1,"&lt;&gt;"))),0)</f>
        <v>0</v>
      </c>
      <c r="S1162">
        <f>IFERROR($J1162/IF($A1162&lt;COUNTIFS($K$1:S$1,"&lt;&gt;"),0,SUMIFS($J:$J,$B:$B,$B1162,$A:$A,"&gt;="&amp;COUNTIFS($K$1:S$1,"&lt;&gt;"))),0)</f>
        <v>0</v>
      </c>
      <c r="T1162">
        <f>IFERROR($J1162/IF($A1162&lt;COUNTIFS($K$1:T$1,"&lt;&gt;"),0,SUMIFS($J:$J,$B:$B,$B1162,$A:$A,"&gt;="&amp;COUNTIFS($K$1:T$1,"&lt;&gt;"))),0)</f>
        <v>0</v>
      </c>
      <c r="U1162">
        <f>IFERROR($J1162/IF($A1162&lt;COUNTIFS($K$1:U$1,"&lt;&gt;"),0,SUMIFS($J:$J,$B:$B,$B1162,$A:$A,"&gt;="&amp;COUNTIFS($K$1:U$1,"&lt;&gt;"))),0)</f>
        <v>0</v>
      </c>
      <c r="V1162">
        <f>IFERROR($J1162/IF($A1162&lt;COUNTIFS($K$1:V$1,"&lt;&gt;"),0,SUMIFS($J:$J,$B:$B,$B1162,$A:$A,"&gt;="&amp;COUNTIFS($K$1:V$1,"&lt;&gt;"))),0)</f>
        <v>0</v>
      </c>
      <c r="W1162">
        <f t="shared" si="420"/>
        <v>8.1967213114754092E-2</v>
      </c>
      <c r="X1162">
        <f t="shared" si="400"/>
        <v>8.1967213114754092E-2</v>
      </c>
      <c r="Y1162">
        <f t="shared" si="401"/>
        <v>8.1967213114754092E-2</v>
      </c>
      <c r="Z1162">
        <f t="shared" si="402"/>
        <v>8.1967213114754092E-2</v>
      </c>
      <c r="AA1162">
        <f t="shared" si="403"/>
        <v>0</v>
      </c>
      <c r="AB1162">
        <f t="shared" si="404"/>
        <v>0</v>
      </c>
      <c r="AC1162">
        <f t="shared" si="405"/>
        <v>0</v>
      </c>
      <c r="AD1162">
        <f t="shared" si="406"/>
        <v>0</v>
      </c>
      <c r="AE1162">
        <f t="shared" si="407"/>
        <v>0</v>
      </c>
      <c r="AF1162">
        <f t="shared" si="408"/>
        <v>0</v>
      </c>
      <c r="AG1162">
        <f t="shared" si="409"/>
        <v>0</v>
      </c>
      <c r="AH1162">
        <f t="shared" si="410"/>
        <v>0</v>
      </c>
      <c r="AI1162">
        <f t="shared" si="411"/>
        <v>0</v>
      </c>
      <c r="AJ1162" s="2" t="str">
        <f t="shared" si="421"/>
        <v>346539</v>
      </c>
    </row>
    <row r="1163" spans="1:36" x14ac:dyDescent="0.25">
      <c r="A1163">
        <v>4</v>
      </c>
      <c r="B1163" s="1">
        <v>46539</v>
      </c>
      <c r="C1163" s="1">
        <f t="shared" si="412"/>
        <v>46661</v>
      </c>
      <c r="D1163" s="1">
        <f t="shared" si="413"/>
        <v>46553</v>
      </c>
      <c r="E1163" s="1">
        <f t="shared" si="414"/>
        <v>46661</v>
      </c>
      <c r="F1163" s="1">
        <f t="shared" si="415"/>
        <v>46692</v>
      </c>
      <c r="G1163" s="1">
        <f t="shared" si="416"/>
        <v>46919</v>
      </c>
      <c r="H1163">
        <f t="shared" si="417"/>
        <v>366</v>
      </c>
      <c r="I1163">
        <f t="shared" si="418"/>
        <v>31</v>
      </c>
      <c r="J1163">
        <f t="shared" si="419"/>
        <v>8.4699453551912565E-2</v>
      </c>
      <c r="K1163">
        <f>IFERROR($J1163/IF($A1163&lt;COUNTIFS($K$1:K$1,"&lt;&gt;"),0,SUMIFS($J:$J,$B:$B,$B1163,$A:$A,"&gt;="&amp;COUNTIFS($K$1:K$1,"&lt;&gt;"))),0)</f>
        <v>8.8571428571428579E-2</v>
      </c>
      <c r="L1163">
        <f>IFERROR($J1163/IF($A1163&lt;COUNTIFS($K$1:L$1,"&lt;&gt;"),0,SUMIFS($J:$J,$B:$B,$B1163,$A:$A,"&gt;="&amp;COUNTIFS($K$1:L$1,"&lt;&gt;"))),0)</f>
        <v>9.7178683385579931E-2</v>
      </c>
      <c r="M1163">
        <f>IFERROR($J1163/IF($A1163&lt;COUNTIFS($K$1:M$1,"&lt;&gt;"),0,SUMIFS($J:$J,$B:$B,$B1163,$A:$A,"&gt;="&amp;COUNTIFS($K$1:M$1,"&lt;&gt;"))),0)</f>
        <v>0.10763888888888888</v>
      </c>
      <c r="N1163">
        <f>IFERROR($J1163/IF($A1163&lt;COUNTIFS($K$1:N$1,"&lt;&gt;"),0,SUMIFS($J:$J,$B:$B,$B1163,$A:$A,"&gt;="&amp;COUNTIFS($K$1:N$1,"&lt;&gt;"))),0)</f>
        <v>0.12015503875968991</v>
      </c>
      <c r="O1163">
        <f>IFERROR($J1163/IF($A1163&lt;COUNTIFS($K$1:O$1,"&lt;&gt;"),0,SUMIFS($J:$J,$B:$B,$B1163,$A:$A,"&gt;="&amp;COUNTIFS($K$1:O$1,"&lt;&gt;"))),0)</f>
        <v>0</v>
      </c>
      <c r="P1163">
        <f>IFERROR($J1163/IF($A1163&lt;COUNTIFS($K$1:P$1,"&lt;&gt;"),0,SUMIFS($J:$J,$B:$B,$B1163,$A:$A,"&gt;="&amp;COUNTIFS($K$1:P$1,"&lt;&gt;"))),0)</f>
        <v>0</v>
      </c>
      <c r="Q1163">
        <f>IFERROR($J1163/IF($A1163&lt;COUNTIFS($K$1:Q$1,"&lt;&gt;"),0,SUMIFS($J:$J,$B:$B,$B1163,$A:$A,"&gt;="&amp;COUNTIFS($K$1:Q$1,"&lt;&gt;"))),0)</f>
        <v>0</v>
      </c>
      <c r="R1163">
        <f>IFERROR($J1163/IF($A1163&lt;COUNTIFS($K$1:R$1,"&lt;&gt;"),0,SUMIFS($J:$J,$B:$B,$B1163,$A:$A,"&gt;="&amp;COUNTIFS($K$1:R$1,"&lt;&gt;"))),0)</f>
        <v>0</v>
      </c>
      <c r="S1163">
        <f>IFERROR($J1163/IF($A1163&lt;COUNTIFS($K$1:S$1,"&lt;&gt;"),0,SUMIFS($J:$J,$B:$B,$B1163,$A:$A,"&gt;="&amp;COUNTIFS($K$1:S$1,"&lt;&gt;"))),0)</f>
        <v>0</v>
      </c>
      <c r="T1163">
        <f>IFERROR($J1163/IF($A1163&lt;COUNTIFS($K$1:T$1,"&lt;&gt;"),0,SUMIFS($J:$J,$B:$B,$B1163,$A:$A,"&gt;="&amp;COUNTIFS($K$1:T$1,"&lt;&gt;"))),0)</f>
        <v>0</v>
      </c>
      <c r="U1163">
        <f>IFERROR($J1163/IF($A1163&lt;COUNTIFS($K$1:U$1,"&lt;&gt;"),0,SUMIFS($J:$J,$B:$B,$B1163,$A:$A,"&gt;="&amp;COUNTIFS($K$1:U$1,"&lt;&gt;"))),0)</f>
        <v>0</v>
      </c>
      <c r="V1163">
        <f>IFERROR($J1163/IF($A1163&lt;COUNTIFS($K$1:V$1,"&lt;&gt;"),0,SUMIFS($J:$J,$B:$B,$B1163,$A:$A,"&gt;="&amp;COUNTIFS($K$1:V$1,"&lt;&gt;"))),0)</f>
        <v>0</v>
      </c>
      <c r="W1163">
        <f t="shared" si="420"/>
        <v>8.4699453551912565E-2</v>
      </c>
      <c r="X1163">
        <f t="shared" si="400"/>
        <v>8.4699453551912565E-2</v>
      </c>
      <c r="Y1163">
        <f t="shared" si="401"/>
        <v>8.4699453551912565E-2</v>
      </c>
      <c r="Z1163">
        <f t="shared" si="402"/>
        <v>8.4699453551912565E-2</v>
      </c>
      <c r="AA1163">
        <f t="shared" si="403"/>
        <v>8.4699453551912565E-2</v>
      </c>
      <c r="AB1163">
        <f t="shared" si="404"/>
        <v>0</v>
      </c>
      <c r="AC1163">
        <f t="shared" si="405"/>
        <v>0</v>
      </c>
      <c r="AD1163">
        <f t="shared" si="406"/>
        <v>0</v>
      </c>
      <c r="AE1163">
        <f t="shared" si="407"/>
        <v>0</v>
      </c>
      <c r="AF1163">
        <f t="shared" si="408"/>
        <v>0</v>
      </c>
      <c r="AG1163">
        <f t="shared" si="409"/>
        <v>0</v>
      </c>
      <c r="AH1163">
        <f t="shared" si="410"/>
        <v>0</v>
      </c>
      <c r="AI1163">
        <f t="shared" si="411"/>
        <v>0</v>
      </c>
      <c r="AJ1163" s="2" t="str">
        <f t="shared" si="421"/>
        <v>446539</v>
      </c>
    </row>
    <row r="1164" spans="1:36" x14ac:dyDescent="0.25">
      <c r="A1164">
        <v>5</v>
      </c>
      <c r="B1164" s="1">
        <v>46539</v>
      </c>
      <c r="C1164" s="1">
        <f t="shared" si="412"/>
        <v>46692</v>
      </c>
      <c r="D1164" s="1">
        <f t="shared" si="413"/>
        <v>46553</v>
      </c>
      <c r="E1164" s="1">
        <f t="shared" si="414"/>
        <v>46692</v>
      </c>
      <c r="F1164" s="1">
        <f t="shared" si="415"/>
        <v>46722</v>
      </c>
      <c r="G1164" s="1">
        <f t="shared" si="416"/>
        <v>46919</v>
      </c>
      <c r="H1164">
        <f t="shared" si="417"/>
        <v>366</v>
      </c>
      <c r="I1164">
        <f t="shared" si="418"/>
        <v>30</v>
      </c>
      <c r="J1164">
        <f t="shared" si="419"/>
        <v>8.1967213114754092E-2</v>
      </c>
      <c r="K1164">
        <f>IFERROR($J1164/IF($A1164&lt;COUNTIFS($K$1:K$1,"&lt;&gt;"),0,SUMIFS($J:$J,$B:$B,$B1164,$A:$A,"&gt;="&amp;COUNTIFS($K$1:K$1,"&lt;&gt;"))),0)</f>
        <v>8.5714285714285715E-2</v>
      </c>
      <c r="L1164">
        <f>IFERROR($J1164/IF($A1164&lt;COUNTIFS($K$1:L$1,"&lt;&gt;"),0,SUMIFS($J:$J,$B:$B,$B1164,$A:$A,"&gt;="&amp;COUNTIFS($K$1:L$1,"&lt;&gt;"))),0)</f>
        <v>9.4043887147335414E-2</v>
      </c>
      <c r="M1164">
        <f>IFERROR($J1164/IF($A1164&lt;COUNTIFS($K$1:M$1,"&lt;&gt;"),0,SUMIFS($J:$J,$B:$B,$B1164,$A:$A,"&gt;="&amp;COUNTIFS($K$1:M$1,"&lt;&gt;"))),0)</f>
        <v>0.10416666666666666</v>
      </c>
      <c r="N1164">
        <f>IFERROR($J1164/IF($A1164&lt;COUNTIFS($K$1:N$1,"&lt;&gt;"),0,SUMIFS($J:$J,$B:$B,$B1164,$A:$A,"&gt;="&amp;COUNTIFS($K$1:N$1,"&lt;&gt;"))),0)</f>
        <v>0.11627906976744184</v>
      </c>
      <c r="O1164">
        <f>IFERROR($J1164/IF($A1164&lt;COUNTIFS($K$1:O$1,"&lt;&gt;"),0,SUMIFS($J:$J,$B:$B,$B1164,$A:$A,"&gt;="&amp;COUNTIFS($K$1:O$1,"&lt;&gt;"))),0)</f>
        <v>0.13215859030837002</v>
      </c>
      <c r="P1164">
        <f>IFERROR($J1164/IF($A1164&lt;COUNTIFS($K$1:P$1,"&lt;&gt;"),0,SUMIFS($J:$J,$B:$B,$B1164,$A:$A,"&gt;="&amp;COUNTIFS($K$1:P$1,"&lt;&gt;"))),0)</f>
        <v>0</v>
      </c>
      <c r="Q1164">
        <f>IFERROR($J1164/IF($A1164&lt;COUNTIFS($K$1:Q$1,"&lt;&gt;"),0,SUMIFS($J:$J,$B:$B,$B1164,$A:$A,"&gt;="&amp;COUNTIFS($K$1:Q$1,"&lt;&gt;"))),0)</f>
        <v>0</v>
      </c>
      <c r="R1164">
        <f>IFERROR($J1164/IF($A1164&lt;COUNTIFS($K$1:R$1,"&lt;&gt;"),0,SUMIFS($J:$J,$B:$B,$B1164,$A:$A,"&gt;="&amp;COUNTIFS($K$1:R$1,"&lt;&gt;"))),0)</f>
        <v>0</v>
      </c>
      <c r="S1164">
        <f>IFERROR($J1164/IF($A1164&lt;COUNTIFS($K$1:S$1,"&lt;&gt;"),0,SUMIFS($J:$J,$B:$B,$B1164,$A:$A,"&gt;="&amp;COUNTIFS($K$1:S$1,"&lt;&gt;"))),0)</f>
        <v>0</v>
      </c>
      <c r="T1164">
        <f>IFERROR($J1164/IF($A1164&lt;COUNTIFS($K$1:T$1,"&lt;&gt;"),0,SUMIFS($J:$J,$B:$B,$B1164,$A:$A,"&gt;="&amp;COUNTIFS($K$1:T$1,"&lt;&gt;"))),0)</f>
        <v>0</v>
      </c>
      <c r="U1164">
        <f>IFERROR($J1164/IF($A1164&lt;COUNTIFS($K$1:U$1,"&lt;&gt;"),0,SUMIFS($J:$J,$B:$B,$B1164,$A:$A,"&gt;="&amp;COUNTIFS($K$1:U$1,"&lt;&gt;"))),0)</f>
        <v>0</v>
      </c>
      <c r="V1164">
        <f>IFERROR($J1164/IF($A1164&lt;COUNTIFS($K$1:V$1,"&lt;&gt;"),0,SUMIFS($J:$J,$B:$B,$B1164,$A:$A,"&gt;="&amp;COUNTIFS($K$1:V$1,"&lt;&gt;"))),0)</f>
        <v>0</v>
      </c>
      <c r="W1164">
        <f t="shared" si="420"/>
        <v>8.1967213114754092E-2</v>
      </c>
      <c r="X1164">
        <f t="shared" si="400"/>
        <v>8.1967213114754092E-2</v>
      </c>
      <c r="Y1164">
        <f t="shared" si="401"/>
        <v>8.1967213114754092E-2</v>
      </c>
      <c r="Z1164">
        <f t="shared" si="402"/>
        <v>8.1967213114754092E-2</v>
      </c>
      <c r="AA1164">
        <f t="shared" si="403"/>
        <v>8.1967213114754092E-2</v>
      </c>
      <c r="AB1164">
        <f t="shared" si="404"/>
        <v>8.1967213114754092E-2</v>
      </c>
      <c r="AC1164">
        <f t="shared" si="405"/>
        <v>0</v>
      </c>
      <c r="AD1164">
        <f t="shared" si="406"/>
        <v>0</v>
      </c>
      <c r="AE1164">
        <f t="shared" si="407"/>
        <v>0</v>
      </c>
      <c r="AF1164">
        <f t="shared" si="408"/>
        <v>0</v>
      </c>
      <c r="AG1164">
        <f t="shared" si="409"/>
        <v>0</v>
      </c>
      <c r="AH1164">
        <f t="shared" si="410"/>
        <v>0</v>
      </c>
      <c r="AI1164">
        <f t="shared" si="411"/>
        <v>0</v>
      </c>
      <c r="AJ1164" s="2" t="str">
        <f t="shared" si="421"/>
        <v>546539</v>
      </c>
    </row>
    <row r="1165" spans="1:36" x14ac:dyDescent="0.25">
      <c r="A1165">
        <v>6</v>
      </c>
      <c r="B1165" s="1">
        <v>46539</v>
      </c>
      <c r="C1165" s="1">
        <f t="shared" si="412"/>
        <v>46722</v>
      </c>
      <c r="D1165" s="1">
        <f t="shared" si="413"/>
        <v>46553</v>
      </c>
      <c r="E1165" s="1">
        <f t="shared" si="414"/>
        <v>46722</v>
      </c>
      <c r="F1165" s="1">
        <f t="shared" si="415"/>
        <v>46753</v>
      </c>
      <c r="G1165" s="1">
        <f t="shared" si="416"/>
        <v>46919</v>
      </c>
      <c r="H1165">
        <f t="shared" si="417"/>
        <v>366</v>
      </c>
      <c r="I1165">
        <f t="shared" si="418"/>
        <v>31</v>
      </c>
      <c r="J1165">
        <f t="shared" si="419"/>
        <v>8.4699453551912565E-2</v>
      </c>
      <c r="K1165">
        <f>IFERROR($J1165/IF($A1165&lt;COUNTIFS($K$1:K$1,"&lt;&gt;"),0,SUMIFS($J:$J,$B:$B,$B1165,$A:$A,"&gt;="&amp;COUNTIFS($K$1:K$1,"&lt;&gt;"))),0)</f>
        <v>8.8571428571428579E-2</v>
      </c>
      <c r="L1165">
        <f>IFERROR($J1165/IF($A1165&lt;COUNTIFS($K$1:L$1,"&lt;&gt;"),0,SUMIFS($J:$J,$B:$B,$B1165,$A:$A,"&gt;="&amp;COUNTIFS($K$1:L$1,"&lt;&gt;"))),0)</f>
        <v>9.7178683385579931E-2</v>
      </c>
      <c r="M1165">
        <f>IFERROR($J1165/IF($A1165&lt;COUNTIFS($K$1:M$1,"&lt;&gt;"),0,SUMIFS($J:$J,$B:$B,$B1165,$A:$A,"&gt;="&amp;COUNTIFS($K$1:M$1,"&lt;&gt;"))),0)</f>
        <v>0.10763888888888888</v>
      </c>
      <c r="N1165">
        <f>IFERROR($J1165/IF($A1165&lt;COUNTIFS($K$1:N$1,"&lt;&gt;"),0,SUMIFS($J:$J,$B:$B,$B1165,$A:$A,"&gt;="&amp;COUNTIFS($K$1:N$1,"&lt;&gt;"))),0)</f>
        <v>0.12015503875968991</v>
      </c>
      <c r="O1165">
        <f>IFERROR($J1165/IF($A1165&lt;COUNTIFS($K$1:O$1,"&lt;&gt;"),0,SUMIFS($J:$J,$B:$B,$B1165,$A:$A,"&gt;="&amp;COUNTIFS($K$1:O$1,"&lt;&gt;"))),0)</f>
        <v>0.13656387665198236</v>
      </c>
      <c r="P1165">
        <f>IFERROR($J1165/IF($A1165&lt;COUNTIFS($K$1:P$1,"&lt;&gt;"),0,SUMIFS($J:$J,$B:$B,$B1165,$A:$A,"&gt;="&amp;COUNTIFS($K$1:P$1,"&lt;&gt;"))),0)</f>
        <v>0.15736040609137059</v>
      </c>
      <c r="Q1165">
        <f>IFERROR($J1165/IF($A1165&lt;COUNTIFS($K$1:Q$1,"&lt;&gt;"),0,SUMIFS($J:$J,$B:$B,$B1165,$A:$A,"&gt;="&amp;COUNTIFS($K$1:Q$1,"&lt;&gt;"))),0)</f>
        <v>0</v>
      </c>
      <c r="R1165">
        <f>IFERROR($J1165/IF($A1165&lt;COUNTIFS($K$1:R$1,"&lt;&gt;"),0,SUMIFS($J:$J,$B:$B,$B1165,$A:$A,"&gt;="&amp;COUNTIFS($K$1:R$1,"&lt;&gt;"))),0)</f>
        <v>0</v>
      </c>
      <c r="S1165">
        <f>IFERROR($J1165/IF($A1165&lt;COUNTIFS($K$1:S$1,"&lt;&gt;"),0,SUMIFS($J:$J,$B:$B,$B1165,$A:$A,"&gt;="&amp;COUNTIFS($K$1:S$1,"&lt;&gt;"))),0)</f>
        <v>0</v>
      </c>
      <c r="T1165">
        <f>IFERROR($J1165/IF($A1165&lt;COUNTIFS($K$1:T$1,"&lt;&gt;"),0,SUMIFS($J:$J,$B:$B,$B1165,$A:$A,"&gt;="&amp;COUNTIFS($K$1:T$1,"&lt;&gt;"))),0)</f>
        <v>0</v>
      </c>
      <c r="U1165">
        <f>IFERROR($J1165/IF($A1165&lt;COUNTIFS($K$1:U$1,"&lt;&gt;"),0,SUMIFS($J:$J,$B:$B,$B1165,$A:$A,"&gt;="&amp;COUNTIFS($K$1:U$1,"&lt;&gt;"))),0)</f>
        <v>0</v>
      </c>
      <c r="V1165">
        <f>IFERROR($J1165/IF($A1165&lt;COUNTIFS($K$1:V$1,"&lt;&gt;"),0,SUMIFS($J:$J,$B:$B,$B1165,$A:$A,"&gt;="&amp;COUNTIFS($K$1:V$1,"&lt;&gt;"))),0)</f>
        <v>0</v>
      </c>
      <c r="W1165">
        <f t="shared" si="420"/>
        <v>8.4699453551912565E-2</v>
      </c>
      <c r="X1165">
        <f t="shared" si="400"/>
        <v>8.4699453551912565E-2</v>
      </c>
      <c r="Y1165">
        <f t="shared" si="401"/>
        <v>8.4699453551912565E-2</v>
      </c>
      <c r="Z1165">
        <f t="shared" si="402"/>
        <v>8.4699453551912565E-2</v>
      </c>
      <c r="AA1165">
        <f t="shared" si="403"/>
        <v>8.4699453551912565E-2</v>
      </c>
      <c r="AB1165">
        <f t="shared" si="404"/>
        <v>8.4699453551912565E-2</v>
      </c>
      <c r="AC1165">
        <f t="shared" si="405"/>
        <v>8.4699453551912565E-2</v>
      </c>
      <c r="AD1165">
        <f t="shared" si="406"/>
        <v>0</v>
      </c>
      <c r="AE1165">
        <f t="shared" si="407"/>
        <v>0</v>
      </c>
      <c r="AF1165">
        <f t="shared" si="408"/>
        <v>0</v>
      </c>
      <c r="AG1165">
        <f t="shared" si="409"/>
        <v>0</v>
      </c>
      <c r="AH1165">
        <f t="shared" si="410"/>
        <v>0</v>
      </c>
      <c r="AI1165">
        <f t="shared" si="411"/>
        <v>0</v>
      </c>
      <c r="AJ1165" s="2" t="str">
        <f t="shared" si="421"/>
        <v>646539</v>
      </c>
    </row>
    <row r="1166" spans="1:36" x14ac:dyDescent="0.25">
      <c r="A1166">
        <v>7</v>
      </c>
      <c r="B1166" s="1">
        <v>46539</v>
      </c>
      <c r="C1166" s="1">
        <f t="shared" si="412"/>
        <v>46753</v>
      </c>
      <c r="D1166" s="1">
        <f t="shared" si="413"/>
        <v>46553</v>
      </c>
      <c r="E1166" s="1">
        <f t="shared" si="414"/>
        <v>46753</v>
      </c>
      <c r="F1166" s="1">
        <f t="shared" si="415"/>
        <v>46784</v>
      </c>
      <c r="G1166" s="1">
        <f t="shared" si="416"/>
        <v>46919</v>
      </c>
      <c r="H1166">
        <f t="shared" si="417"/>
        <v>366</v>
      </c>
      <c r="I1166">
        <f t="shared" si="418"/>
        <v>31</v>
      </c>
      <c r="J1166">
        <f t="shared" si="419"/>
        <v>8.4699453551912565E-2</v>
      </c>
      <c r="K1166">
        <f>IFERROR($J1166/IF($A1166&lt;COUNTIFS($K$1:K$1,"&lt;&gt;"),0,SUMIFS($J:$J,$B:$B,$B1166,$A:$A,"&gt;="&amp;COUNTIFS($K$1:K$1,"&lt;&gt;"))),0)</f>
        <v>8.8571428571428579E-2</v>
      </c>
      <c r="L1166">
        <f>IFERROR($J1166/IF($A1166&lt;COUNTIFS($K$1:L$1,"&lt;&gt;"),0,SUMIFS($J:$J,$B:$B,$B1166,$A:$A,"&gt;="&amp;COUNTIFS($K$1:L$1,"&lt;&gt;"))),0)</f>
        <v>9.7178683385579931E-2</v>
      </c>
      <c r="M1166">
        <f>IFERROR($J1166/IF($A1166&lt;COUNTIFS($K$1:M$1,"&lt;&gt;"),0,SUMIFS($J:$J,$B:$B,$B1166,$A:$A,"&gt;="&amp;COUNTIFS($K$1:M$1,"&lt;&gt;"))),0)</f>
        <v>0.10763888888888888</v>
      </c>
      <c r="N1166">
        <f>IFERROR($J1166/IF($A1166&lt;COUNTIFS($K$1:N$1,"&lt;&gt;"),0,SUMIFS($J:$J,$B:$B,$B1166,$A:$A,"&gt;="&amp;COUNTIFS($K$1:N$1,"&lt;&gt;"))),0)</f>
        <v>0.12015503875968991</v>
      </c>
      <c r="O1166">
        <f>IFERROR($J1166/IF($A1166&lt;COUNTIFS($K$1:O$1,"&lt;&gt;"),0,SUMIFS($J:$J,$B:$B,$B1166,$A:$A,"&gt;="&amp;COUNTIFS($K$1:O$1,"&lt;&gt;"))),0)</f>
        <v>0.13656387665198236</v>
      </c>
      <c r="P1166">
        <f>IFERROR($J1166/IF($A1166&lt;COUNTIFS($K$1:P$1,"&lt;&gt;"),0,SUMIFS($J:$J,$B:$B,$B1166,$A:$A,"&gt;="&amp;COUNTIFS($K$1:P$1,"&lt;&gt;"))),0)</f>
        <v>0.15736040609137059</v>
      </c>
      <c r="Q1166">
        <f>IFERROR($J1166/IF($A1166&lt;COUNTIFS($K$1:Q$1,"&lt;&gt;"),0,SUMIFS($J:$J,$B:$B,$B1166,$A:$A,"&gt;="&amp;COUNTIFS($K$1:Q$1,"&lt;&gt;"))),0)</f>
        <v>0.18674698795180725</v>
      </c>
      <c r="R1166">
        <f>IFERROR($J1166/IF($A1166&lt;COUNTIFS($K$1:R$1,"&lt;&gt;"),0,SUMIFS($J:$J,$B:$B,$B1166,$A:$A,"&gt;="&amp;COUNTIFS($K$1:R$1,"&lt;&gt;"))),0)</f>
        <v>0</v>
      </c>
      <c r="S1166">
        <f>IFERROR($J1166/IF($A1166&lt;COUNTIFS($K$1:S$1,"&lt;&gt;"),0,SUMIFS($J:$J,$B:$B,$B1166,$A:$A,"&gt;="&amp;COUNTIFS($K$1:S$1,"&lt;&gt;"))),0)</f>
        <v>0</v>
      </c>
      <c r="T1166">
        <f>IFERROR($J1166/IF($A1166&lt;COUNTIFS($K$1:T$1,"&lt;&gt;"),0,SUMIFS($J:$J,$B:$B,$B1166,$A:$A,"&gt;="&amp;COUNTIFS($K$1:T$1,"&lt;&gt;"))),0)</f>
        <v>0</v>
      </c>
      <c r="U1166">
        <f>IFERROR($J1166/IF($A1166&lt;COUNTIFS($K$1:U$1,"&lt;&gt;"),0,SUMIFS($J:$J,$B:$B,$B1166,$A:$A,"&gt;="&amp;COUNTIFS($K$1:U$1,"&lt;&gt;"))),0)</f>
        <v>0</v>
      </c>
      <c r="V1166">
        <f>IFERROR($J1166/IF($A1166&lt;COUNTIFS($K$1:V$1,"&lt;&gt;"),0,SUMIFS($J:$J,$B:$B,$B1166,$A:$A,"&gt;="&amp;COUNTIFS($K$1:V$1,"&lt;&gt;"))),0)</f>
        <v>0</v>
      </c>
      <c r="W1166">
        <f t="shared" si="420"/>
        <v>8.4699453551912565E-2</v>
      </c>
      <c r="X1166">
        <f t="shared" si="400"/>
        <v>8.4699453551912565E-2</v>
      </c>
      <c r="Y1166">
        <f t="shared" si="401"/>
        <v>8.4699453551912565E-2</v>
      </c>
      <c r="Z1166">
        <f t="shared" si="402"/>
        <v>8.4699453551912565E-2</v>
      </c>
      <c r="AA1166">
        <f t="shared" si="403"/>
        <v>8.4699453551912565E-2</v>
      </c>
      <c r="AB1166">
        <f t="shared" si="404"/>
        <v>8.4699453551912565E-2</v>
      </c>
      <c r="AC1166">
        <f t="shared" si="405"/>
        <v>8.4699453551912565E-2</v>
      </c>
      <c r="AD1166">
        <f t="shared" si="406"/>
        <v>8.4699453551912565E-2</v>
      </c>
      <c r="AE1166">
        <f t="shared" si="407"/>
        <v>0</v>
      </c>
      <c r="AF1166">
        <f t="shared" si="408"/>
        <v>0</v>
      </c>
      <c r="AG1166">
        <f t="shared" si="409"/>
        <v>0</v>
      </c>
      <c r="AH1166">
        <f t="shared" si="410"/>
        <v>0</v>
      </c>
      <c r="AI1166">
        <f t="shared" si="411"/>
        <v>0</v>
      </c>
      <c r="AJ1166" s="2" t="str">
        <f t="shared" si="421"/>
        <v>746539</v>
      </c>
    </row>
    <row r="1167" spans="1:36" x14ac:dyDescent="0.25">
      <c r="A1167">
        <v>8</v>
      </c>
      <c r="B1167" s="1">
        <v>46539</v>
      </c>
      <c r="C1167" s="1">
        <f t="shared" si="412"/>
        <v>46784</v>
      </c>
      <c r="D1167" s="1">
        <f t="shared" si="413"/>
        <v>46553</v>
      </c>
      <c r="E1167" s="1">
        <f t="shared" si="414"/>
        <v>46784</v>
      </c>
      <c r="F1167" s="1">
        <f t="shared" si="415"/>
        <v>46813</v>
      </c>
      <c r="G1167" s="1">
        <f t="shared" si="416"/>
        <v>46919</v>
      </c>
      <c r="H1167">
        <f t="shared" si="417"/>
        <v>366</v>
      </c>
      <c r="I1167">
        <f t="shared" si="418"/>
        <v>29</v>
      </c>
      <c r="J1167">
        <f t="shared" si="419"/>
        <v>7.9234972677595633E-2</v>
      </c>
      <c r="K1167">
        <f>IFERROR($J1167/IF($A1167&lt;COUNTIFS($K$1:K$1,"&lt;&gt;"),0,SUMIFS($J:$J,$B:$B,$B1167,$A:$A,"&gt;="&amp;COUNTIFS($K$1:K$1,"&lt;&gt;"))),0)</f>
        <v>8.2857142857142865E-2</v>
      </c>
      <c r="L1167">
        <f>IFERROR($J1167/IF($A1167&lt;COUNTIFS($K$1:L$1,"&lt;&gt;"),0,SUMIFS($J:$J,$B:$B,$B1167,$A:$A,"&gt;="&amp;COUNTIFS($K$1:L$1,"&lt;&gt;"))),0)</f>
        <v>9.0909090909090912E-2</v>
      </c>
      <c r="M1167">
        <f>IFERROR($J1167/IF($A1167&lt;COUNTIFS($K$1:M$1,"&lt;&gt;"),0,SUMIFS($J:$J,$B:$B,$B1167,$A:$A,"&gt;="&amp;COUNTIFS($K$1:M$1,"&lt;&gt;"))),0)</f>
        <v>0.10069444444444445</v>
      </c>
      <c r="N1167">
        <f>IFERROR($J1167/IF($A1167&lt;COUNTIFS($K$1:N$1,"&lt;&gt;"),0,SUMIFS($J:$J,$B:$B,$B1167,$A:$A,"&gt;="&amp;COUNTIFS($K$1:N$1,"&lt;&gt;"))),0)</f>
        <v>0.1124031007751938</v>
      </c>
      <c r="O1167">
        <f>IFERROR($J1167/IF($A1167&lt;COUNTIFS($K$1:O$1,"&lt;&gt;"),0,SUMIFS($J:$J,$B:$B,$B1167,$A:$A,"&gt;="&amp;COUNTIFS($K$1:O$1,"&lt;&gt;"))),0)</f>
        <v>0.1277533039647577</v>
      </c>
      <c r="P1167">
        <f>IFERROR($J1167/IF($A1167&lt;COUNTIFS($K$1:P$1,"&lt;&gt;"),0,SUMIFS($J:$J,$B:$B,$B1167,$A:$A,"&gt;="&amp;COUNTIFS($K$1:P$1,"&lt;&gt;"))),0)</f>
        <v>0.14720812182741119</v>
      </c>
      <c r="Q1167">
        <f>IFERROR($J1167/IF($A1167&lt;COUNTIFS($K$1:Q$1,"&lt;&gt;"),0,SUMIFS($J:$J,$B:$B,$B1167,$A:$A,"&gt;="&amp;COUNTIFS($K$1:Q$1,"&lt;&gt;"))),0)</f>
        <v>0.17469879518072293</v>
      </c>
      <c r="R1167">
        <f>IFERROR($J1167/IF($A1167&lt;COUNTIFS($K$1:R$1,"&lt;&gt;"),0,SUMIFS($J:$J,$B:$B,$B1167,$A:$A,"&gt;="&amp;COUNTIFS($K$1:R$1,"&lt;&gt;"))),0)</f>
        <v>0.21481481481481485</v>
      </c>
      <c r="S1167">
        <f>IFERROR($J1167/IF($A1167&lt;COUNTIFS($K$1:S$1,"&lt;&gt;"),0,SUMIFS($J:$J,$B:$B,$B1167,$A:$A,"&gt;="&amp;COUNTIFS($K$1:S$1,"&lt;&gt;"))),0)</f>
        <v>0</v>
      </c>
      <c r="T1167">
        <f>IFERROR($J1167/IF($A1167&lt;COUNTIFS($K$1:T$1,"&lt;&gt;"),0,SUMIFS($J:$J,$B:$B,$B1167,$A:$A,"&gt;="&amp;COUNTIFS($K$1:T$1,"&lt;&gt;"))),0)</f>
        <v>0</v>
      </c>
      <c r="U1167">
        <f>IFERROR($J1167/IF($A1167&lt;COUNTIFS($K$1:U$1,"&lt;&gt;"),0,SUMIFS($J:$J,$B:$B,$B1167,$A:$A,"&gt;="&amp;COUNTIFS($K$1:U$1,"&lt;&gt;"))),0)</f>
        <v>0</v>
      </c>
      <c r="V1167">
        <f>IFERROR($J1167/IF($A1167&lt;COUNTIFS($K$1:V$1,"&lt;&gt;"),0,SUMIFS($J:$J,$B:$B,$B1167,$A:$A,"&gt;="&amp;COUNTIFS($K$1:V$1,"&lt;&gt;"))),0)</f>
        <v>0</v>
      </c>
      <c r="W1167">
        <f t="shared" si="420"/>
        <v>7.9234972677595633E-2</v>
      </c>
      <c r="X1167">
        <f t="shared" si="400"/>
        <v>7.9234972677595633E-2</v>
      </c>
      <c r="Y1167">
        <f t="shared" si="401"/>
        <v>7.9234972677595633E-2</v>
      </c>
      <c r="Z1167">
        <f t="shared" si="402"/>
        <v>7.9234972677595633E-2</v>
      </c>
      <c r="AA1167">
        <f t="shared" si="403"/>
        <v>7.9234972677595633E-2</v>
      </c>
      <c r="AB1167">
        <f t="shared" si="404"/>
        <v>7.9234972677595633E-2</v>
      </c>
      <c r="AC1167">
        <f t="shared" si="405"/>
        <v>7.9234972677595633E-2</v>
      </c>
      <c r="AD1167">
        <f t="shared" si="406"/>
        <v>7.9234972677595633E-2</v>
      </c>
      <c r="AE1167">
        <f t="shared" si="407"/>
        <v>7.9234972677595633E-2</v>
      </c>
      <c r="AF1167">
        <f t="shared" si="408"/>
        <v>0</v>
      </c>
      <c r="AG1167">
        <f t="shared" si="409"/>
        <v>0</v>
      </c>
      <c r="AH1167">
        <f t="shared" si="410"/>
        <v>0</v>
      </c>
      <c r="AI1167">
        <f t="shared" si="411"/>
        <v>0</v>
      </c>
      <c r="AJ1167" s="2" t="str">
        <f t="shared" si="421"/>
        <v>846539</v>
      </c>
    </row>
    <row r="1168" spans="1:36" x14ac:dyDescent="0.25">
      <c r="A1168">
        <v>9</v>
      </c>
      <c r="B1168" s="1">
        <v>46539</v>
      </c>
      <c r="C1168" s="1">
        <f t="shared" si="412"/>
        <v>46813</v>
      </c>
      <c r="D1168" s="1">
        <f t="shared" si="413"/>
        <v>46553</v>
      </c>
      <c r="E1168" s="1">
        <f t="shared" si="414"/>
        <v>46813</v>
      </c>
      <c r="F1168" s="1">
        <f t="shared" si="415"/>
        <v>46844</v>
      </c>
      <c r="G1168" s="1">
        <f t="shared" si="416"/>
        <v>46919</v>
      </c>
      <c r="H1168">
        <f t="shared" si="417"/>
        <v>366</v>
      </c>
      <c r="I1168">
        <f t="shared" si="418"/>
        <v>31</v>
      </c>
      <c r="J1168">
        <f t="shared" si="419"/>
        <v>8.4699453551912565E-2</v>
      </c>
      <c r="K1168">
        <f>IFERROR($J1168/IF($A1168&lt;COUNTIFS($K$1:K$1,"&lt;&gt;"),0,SUMIFS($J:$J,$B:$B,$B1168,$A:$A,"&gt;="&amp;COUNTIFS($K$1:K$1,"&lt;&gt;"))),0)</f>
        <v>8.8571428571428579E-2</v>
      </c>
      <c r="L1168">
        <f>IFERROR($J1168/IF($A1168&lt;COUNTIFS($K$1:L$1,"&lt;&gt;"),0,SUMIFS($J:$J,$B:$B,$B1168,$A:$A,"&gt;="&amp;COUNTIFS($K$1:L$1,"&lt;&gt;"))),0)</f>
        <v>9.7178683385579931E-2</v>
      </c>
      <c r="M1168">
        <f>IFERROR($J1168/IF($A1168&lt;COUNTIFS($K$1:M$1,"&lt;&gt;"),0,SUMIFS($J:$J,$B:$B,$B1168,$A:$A,"&gt;="&amp;COUNTIFS($K$1:M$1,"&lt;&gt;"))),0)</f>
        <v>0.10763888888888888</v>
      </c>
      <c r="N1168">
        <f>IFERROR($J1168/IF($A1168&lt;COUNTIFS($K$1:N$1,"&lt;&gt;"),0,SUMIFS($J:$J,$B:$B,$B1168,$A:$A,"&gt;="&amp;COUNTIFS($K$1:N$1,"&lt;&gt;"))),0)</f>
        <v>0.12015503875968991</v>
      </c>
      <c r="O1168">
        <f>IFERROR($J1168/IF($A1168&lt;COUNTIFS($K$1:O$1,"&lt;&gt;"),0,SUMIFS($J:$J,$B:$B,$B1168,$A:$A,"&gt;="&amp;COUNTIFS($K$1:O$1,"&lt;&gt;"))),0)</f>
        <v>0.13656387665198236</v>
      </c>
      <c r="P1168">
        <f>IFERROR($J1168/IF($A1168&lt;COUNTIFS($K$1:P$1,"&lt;&gt;"),0,SUMIFS($J:$J,$B:$B,$B1168,$A:$A,"&gt;="&amp;COUNTIFS($K$1:P$1,"&lt;&gt;"))),0)</f>
        <v>0.15736040609137059</v>
      </c>
      <c r="Q1168">
        <f>IFERROR($J1168/IF($A1168&lt;COUNTIFS($K$1:Q$1,"&lt;&gt;"),0,SUMIFS($J:$J,$B:$B,$B1168,$A:$A,"&gt;="&amp;COUNTIFS($K$1:Q$1,"&lt;&gt;"))),0)</f>
        <v>0.18674698795180725</v>
      </c>
      <c r="R1168">
        <f>IFERROR($J1168/IF($A1168&lt;COUNTIFS($K$1:R$1,"&lt;&gt;"),0,SUMIFS($J:$J,$B:$B,$B1168,$A:$A,"&gt;="&amp;COUNTIFS($K$1:R$1,"&lt;&gt;"))),0)</f>
        <v>0.22962962962962966</v>
      </c>
      <c r="S1168">
        <f>IFERROR($J1168/IF($A1168&lt;COUNTIFS($K$1:S$1,"&lt;&gt;"),0,SUMIFS($J:$J,$B:$B,$B1168,$A:$A,"&gt;="&amp;COUNTIFS($K$1:S$1,"&lt;&gt;"))),0)</f>
        <v>0.29245283018867924</v>
      </c>
      <c r="T1168">
        <f>IFERROR($J1168/IF($A1168&lt;COUNTIFS($K$1:T$1,"&lt;&gt;"),0,SUMIFS($J:$J,$B:$B,$B1168,$A:$A,"&gt;="&amp;COUNTIFS($K$1:T$1,"&lt;&gt;"))),0)</f>
        <v>0</v>
      </c>
      <c r="U1168">
        <f>IFERROR($J1168/IF($A1168&lt;COUNTIFS($K$1:U$1,"&lt;&gt;"),0,SUMIFS($J:$J,$B:$B,$B1168,$A:$A,"&gt;="&amp;COUNTIFS($K$1:U$1,"&lt;&gt;"))),0)</f>
        <v>0</v>
      </c>
      <c r="V1168">
        <f>IFERROR($J1168/IF($A1168&lt;COUNTIFS($K$1:V$1,"&lt;&gt;"),0,SUMIFS($J:$J,$B:$B,$B1168,$A:$A,"&gt;="&amp;COUNTIFS($K$1:V$1,"&lt;&gt;"))),0)</f>
        <v>0</v>
      </c>
      <c r="W1168">
        <f t="shared" si="420"/>
        <v>8.4699453551912565E-2</v>
      </c>
      <c r="X1168">
        <f t="shared" si="400"/>
        <v>8.4699453551912565E-2</v>
      </c>
      <c r="Y1168">
        <f t="shared" si="401"/>
        <v>8.4699453551912565E-2</v>
      </c>
      <c r="Z1168">
        <f t="shared" si="402"/>
        <v>8.4699453551912565E-2</v>
      </c>
      <c r="AA1168">
        <f t="shared" si="403"/>
        <v>8.4699453551912565E-2</v>
      </c>
      <c r="AB1168">
        <f t="shared" si="404"/>
        <v>8.4699453551912565E-2</v>
      </c>
      <c r="AC1168">
        <f t="shared" si="405"/>
        <v>8.4699453551912565E-2</v>
      </c>
      <c r="AD1168">
        <f t="shared" si="406"/>
        <v>8.4699453551912565E-2</v>
      </c>
      <c r="AE1168">
        <f t="shared" si="407"/>
        <v>8.4699453551912565E-2</v>
      </c>
      <c r="AF1168">
        <f t="shared" si="408"/>
        <v>8.4699453551912565E-2</v>
      </c>
      <c r="AG1168">
        <f t="shared" si="409"/>
        <v>0</v>
      </c>
      <c r="AH1168">
        <f t="shared" si="410"/>
        <v>0</v>
      </c>
      <c r="AI1168">
        <f t="shared" si="411"/>
        <v>0</v>
      </c>
      <c r="AJ1168" s="2" t="str">
        <f t="shared" si="421"/>
        <v>946539</v>
      </c>
    </row>
    <row r="1169" spans="1:36" x14ac:dyDescent="0.25">
      <c r="A1169">
        <v>10</v>
      </c>
      <c r="B1169" s="1">
        <v>46539</v>
      </c>
      <c r="C1169" s="1">
        <f t="shared" si="412"/>
        <v>46844</v>
      </c>
      <c r="D1169" s="1">
        <f t="shared" si="413"/>
        <v>46553</v>
      </c>
      <c r="E1169" s="1">
        <f t="shared" si="414"/>
        <v>46844</v>
      </c>
      <c r="F1169" s="1">
        <f t="shared" si="415"/>
        <v>46874</v>
      </c>
      <c r="G1169" s="1">
        <f t="shared" si="416"/>
        <v>46919</v>
      </c>
      <c r="H1169">
        <f t="shared" si="417"/>
        <v>366</v>
      </c>
      <c r="I1169">
        <f t="shared" si="418"/>
        <v>30</v>
      </c>
      <c r="J1169">
        <f t="shared" si="419"/>
        <v>8.1967213114754092E-2</v>
      </c>
      <c r="K1169">
        <f>IFERROR($J1169/IF($A1169&lt;COUNTIFS($K$1:K$1,"&lt;&gt;"),0,SUMIFS($J:$J,$B:$B,$B1169,$A:$A,"&gt;="&amp;COUNTIFS($K$1:K$1,"&lt;&gt;"))),0)</f>
        <v>8.5714285714285715E-2</v>
      </c>
      <c r="L1169">
        <f>IFERROR($J1169/IF($A1169&lt;COUNTIFS($K$1:L$1,"&lt;&gt;"),0,SUMIFS($J:$J,$B:$B,$B1169,$A:$A,"&gt;="&amp;COUNTIFS($K$1:L$1,"&lt;&gt;"))),0)</f>
        <v>9.4043887147335414E-2</v>
      </c>
      <c r="M1169">
        <f>IFERROR($J1169/IF($A1169&lt;COUNTIFS($K$1:M$1,"&lt;&gt;"),0,SUMIFS($J:$J,$B:$B,$B1169,$A:$A,"&gt;="&amp;COUNTIFS($K$1:M$1,"&lt;&gt;"))),0)</f>
        <v>0.10416666666666666</v>
      </c>
      <c r="N1169">
        <f>IFERROR($J1169/IF($A1169&lt;COUNTIFS($K$1:N$1,"&lt;&gt;"),0,SUMIFS($J:$J,$B:$B,$B1169,$A:$A,"&gt;="&amp;COUNTIFS($K$1:N$1,"&lt;&gt;"))),0)</f>
        <v>0.11627906976744184</v>
      </c>
      <c r="O1169">
        <f>IFERROR($J1169/IF($A1169&lt;COUNTIFS($K$1:O$1,"&lt;&gt;"),0,SUMIFS($J:$J,$B:$B,$B1169,$A:$A,"&gt;="&amp;COUNTIFS($K$1:O$1,"&lt;&gt;"))),0)</f>
        <v>0.13215859030837002</v>
      </c>
      <c r="P1169">
        <f>IFERROR($J1169/IF($A1169&lt;COUNTIFS($K$1:P$1,"&lt;&gt;"),0,SUMIFS($J:$J,$B:$B,$B1169,$A:$A,"&gt;="&amp;COUNTIFS($K$1:P$1,"&lt;&gt;"))),0)</f>
        <v>0.15228426395939088</v>
      </c>
      <c r="Q1169">
        <f>IFERROR($J1169/IF($A1169&lt;COUNTIFS($K$1:Q$1,"&lt;&gt;"),0,SUMIFS($J:$J,$B:$B,$B1169,$A:$A,"&gt;="&amp;COUNTIFS($K$1:Q$1,"&lt;&gt;"))),0)</f>
        <v>0.18072289156626506</v>
      </c>
      <c r="R1169">
        <f>IFERROR($J1169/IF($A1169&lt;COUNTIFS($K$1:R$1,"&lt;&gt;"),0,SUMIFS($J:$J,$B:$B,$B1169,$A:$A,"&gt;="&amp;COUNTIFS($K$1:R$1,"&lt;&gt;"))),0)</f>
        <v>0.22222222222222224</v>
      </c>
      <c r="S1169">
        <f>IFERROR($J1169/IF($A1169&lt;COUNTIFS($K$1:S$1,"&lt;&gt;"),0,SUMIFS($J:$J,$B:$B,$B1169,$A:$A,"&gt;="&amp;COUNTIFS($K$1:S$1,"&lt;&gt;"))),0)</f>
        <v>0.28301886792452829</v>
      </c>
      <c r="T1169">
        <f>IFERROR($J1169/IF($A1169&lt;COUNTIFS($K$1:T$1,"&lt;&gt;"),0,SUMIFS($J:$J,$B:$B,$B1169,$A:$A,"&gt;="&amp;COUNTIFS($K$1:T$1,"&lt;&gt;"))),0)</f>
        <v>0.39999999999999997</v>
      </c>
      <c r="U1169">
        <f>IFERROR($J1169/IF($A1169&lt;COUNTIFS($K$1:U$1,"&lt;&gt;"),0,SUMIFS($J:$J,$B:$B,$B1169,$A:$A,"&gt;="&amp;COUNTIFS($K$1:U$1,"&lt;&gt;"))),0)</f>
        <v>0</v>
      </c>
      <c r="V1169">
        <f>IFERROR($J1169/IF($A1169&lt;COUNTIFS($K$1:V$1,"&lt;&gt;"),0,SUMIFS($J:$J,$B:$B,$B1169,$A:$A,"&gt;="&amp;COUNTIFS($K$1:V$1,"&lt;&gt;"))),0)</f>
        <v>0</v>
      </c>
      <c r="W1169">
        <f t="shared" si="420"/>
        <v>8.1967213114754092E-2</v>
      </c>
      <c r="X1169">
        <f t="shared" si="400"/>
        <v>8.1967213114754092E-2</v>
      </c>
      <c r="Y1169">
        <f t="shared" si="401"/>
        <v>8.1967213114754092E-2</v>
      </c>
      <c r="Z1169">
        <f t="shared" si="402"/>
        <v>8.1967213114754092E-2</v>
      </c>
      <c r="AA1169">
        <f t="shared" si="403"/>
        <v>8.1967213114754092E-2</v>
      </c>
      <c r="AB1169">
        <f t="shared" si="404"/>
        <v>8.1967213114754092E-2</v>
      </c>
      <c r="AC1169">
        <f t="shared" si="405"/>
        <v>8.1967213114754092E-2</v>
      </c>
      <c r="AD1169">
        <f t="shared" si="406"/>
        <v>8.1967213114754092E-2</v>
      </c>
      <c r="AE1169">
        <f t="shared" si="407"/>
        <v>8.1967213114754092E-2</v>
      </c>
      <c r="AF1169">
        <f t="shared" si="408"/>
        <v>8.1967213114754092E-2</v>
      </c>
      <c r="AG1169">
        <f t="shared" si="409"/>
        <v>8.1967213114754092E-2</v>
      </c>
      <c r="AH1169">
        <f t="shared" si="410"/>
        <v>0</v>
      </c>
      <c r="AI1169">
        <f t="shared" si="411"/>
        <v>0</v>
      </c>
      <c r="AJ1169" s="2" t="str">
        <f t="shared" si="421"/>
        <v>1046539</v>
      </c>
    </row>
    <row r="1170" spans="1:36" x14ac:dyDescent="0.25">
      <c r="A1170">
        <v>11</v>
      </c>
      <c r="B1170" s="1">
        <v>46539</v>
      </c>
      <c r="C1170" s="1">
        <f t="shared" si="412"/>
        <v>46874</v>
      </c>
      <c r="D1170" s="1">
        <f t="shared" si="413"/>
        <v>46553</v>
      </c>
      <c r="E1170" s="1">
        <f t="shared" si="414"/>
        <v>46874</v>
      </c>
      <c r="F1170" s="1">
        <f t="shared" si="415"/>
        <v>46905</v>
      </c>
      <c r="G1170" s="1">
        <f t="shared" si="416"/>
        <v>46919</v>
      </c>
      <c r="H1170">
        <f t="shared" si="417"/>
        <v>366</v>
      </c>
      <c r="I1170">
        <f t="shared" si="418"/>
        <v>31</v>
      </c>
      <c r="J1170">
        <f t="shared" si="419"/>
        <v>8.4699453551912565E-2</v>
      </c>
      <c r="K1170">
        <f>IFERROR($J1170/IF($A1170&lt;COUNTIFS($K$1:K$1,"&lt;&gt;"),0,SUMIFS($J:$J,$B:$B,$B1170,$A:$A,"&gt;="&amp;COUNTIFS($K$1:K$1,"&lt;&gt;"))),0)</f>
        <v>8.8571428571428579E-2</v>
      </c>
      <c r="L1170">
        <f>IFERROR($J1170/IF($A1170&lt;COUNTIFS($K$1:L$1,"&lt;&gt;"),0,SUMIFS($J:$J,$B:$B,$B1170,$A:$A,"&gt;="&amp;COUNTIFS($K$1:L$1,"&lt;&gt;"))),0)</f>
        <v>9.7178683385579931E-2</v>
      </c>
      <c r="M1170">
        <f>IFERROR($J1170/IF($A1170&lt;COUNTIFS($K$1:M$1,"&lt;&gt;"),0,SUMIFS($J:$J,$B:$B,$B1170,$A:$A,"&gt;="&amp;COUNTIFS($K$1:M$1,"&lt;&gt;"))),0)</f>
        <v>0.10763888888888888</v>
      </c>
      <c r="N1170">
        <f>IFERROR($J1170/IF($A1170&lt;COUNTIFS($K$1:N$1,"&lt;&gt;"),0,SUMIFS($J:$J,$B:$B,$B1170,$A:$A,"&gt;="&amp;COUNTIFS($K$1:N$1,"&lt;&gt;"))),0)</f>
        <v>0.12015503875968991</v>
      </c>
      <c r="O1170">
        <f>IFERROR($J1170/IF($A1170&lt;COUNTIFS($K$1:O$1,"&lt;&gt;"),0,SUMIFS($J:$J,$B:$B,$B1170,$A:$A,"&gt;="&amp;COUNTIFS($K$1:O$1,"&lt;&gt;"))),0)</f>
        <v>0.13656387665198236</v>
      </c>
      <c r="P1170">
        <f>IFERROR($J1170/IF($A1170&lt;COUNTIFS($K$1:P$1,"&lt;&gt;"),0,SUMIFS($J:$J,$B:$B,$B1170,$A:$A,"&gt;="&amp;COUNTIFS($K$1:P$1,"&lt;&gt;"))),0)</f>
        <v>0.15736040609137059</v>
      </c>
      <c r="Q1170">
        <f>IFERROR($J1170/IF($A1170&lt;COUNTIFS($K$1:Q$1,"&lt;&gt;"),0,SUMIFS($J:$J,$B:$B,$B1170,$A:$A,"&gt;="&amp;COUNTIFS($K$1:Q$1,"&lt;&gt;"))),0)</f>
        <v>0.18674698795180725</v>
      </c>
      <c r="R1170">
        <f>IFERROR($J1170/IF($A1170&lt;COUNTIFS($K$1:R$1,"&lt;&gt;"),0,SUMIFS($J:$J,$B:$B,$B1170,$A:$A,"&gt;="&amp;COUNTIFS($K$1:R$1,"&lt;&gt;"))),0)</f>
        <v>0.22962962962962966</v>
      </c>
      <c r="S1170">
        <f>IFERROR($J1170/IF($A1170&lt;COUNTIFS($K$1:S$1,"&lt;&gt;"),0,SUMIFS($J:$J,$B:$B,$B1170,$A:$A,"&gt;="&amp;COUNTIFS($K$1:S$1,"&lt;&gt;"))),0)</f>
        <v>0.29245283018867924</v>
      </c>
      <c r="T1170">
        <f>IFERROR($J1170/IF($A1170&lt;COUNTIFS($K$1:T$1,"&lt;&gt;"),0,SUMIFS($J:$J,$B:$B,$B1170,$A:$A,"&gt;="&amp;COUNTIFS($K$1:T$1,"&lt;&gt;"))),0)</f>
        <v>0.41333333333333333</v>
      </c>
      <c r="U1170">
        <f>IFERROR($J1170/IF($A1170&lt;COUNTIFS($K$1:U$1,"&lt;&gt;"),0,SUMIFS($J:$J,$B:$B,$B1170,$A:$A,"&gt;="&amp;COUNTIFS($K$1:U$1,"&lt;&gt;"))),0)</f>
        <v>0.68888888888888888</v>
      </c>
      <c r="V1170">
        <f>IFERROR($J1170/IF($A1170&lt;COUNTIFS($K$1:V$1,"&lt;&gt;"),0,SUMIFS($J:$J,$B:$B,$B1170,$A:$A,"&gt;="&amp;COUNTIFS($K$1:V$1,"&lt;&gt;"))),0)</f>
        <v>0</v>
      </c>
      <c r="W1170">
        <f t="shared" si="420"/>
        <v>8.4699453551912565E-2</v>
      </c>
      <c r="X1170">
        <f t="shared" si="400"/>
        <v>8.4699453551912565E-2</v>
      </c>
      <c r="Y1170">
        <f t="shared" si="401"/>
        <v>8.4699453551912565E-2</v>
      </c>
      <c r="Z1170">
        <f t="shared" si="402"/>
        <v>8.4699453551912565E-2</v>
      </c>
      <c r="AA1170">
        <f t="shared" si="403"/>
        <v>8.4699453551912565E-2</v>
      </c>
      <c r="AB1170">
        <f t="shared" si="404"/>
        <v>8.4699453551912565E-2</v>
      </c>
      <c r="AC1170">
        <f t="shared" si="405"/>
        <v>8.4699453551912565E-2</v>
      </c>
      <c r="AD1170">
        <f t="shared" si="406"/>
        <v>8.4699453551912565E-2</v>
      </c>
      <c r="AE1170">
        <f t="shared" si="407"/>
        <v>8.4699453551912565E-2</v>
      </c>
      <c r="AF1170">
        <f t="shared" si="408"/>
        <v>8.4699453551912565E-2</v>
      </c>
      <c r="AG1170">
        <f t="shared" si="409"/>
        <v>8.4699453551912565E-2</v>
      </c>
      <c r="AH1170">
        <f t="shared" si="410"/>
        <v>8.4699453551912565E-2</v>
      </c>
      <c r="AI1170">
        <f t="shared" si="411"/>
        <v>0</v>
      </c>
      <c r="AJ1170" s="2" t="str">
        <f t="shared" si="421"/>
        <v>1146539</v>
      </c>
    </row>
    <row r="1171" spans="1:36" x14ac:dyDescent="0.25">
      <c r="A1171">
        <v>12</v>
      </c>
      <c r="B1171" s="1">
        <v>46539</v>
      </c>
      <c r="C1171" s="1">
        <f t="shared" si="412"/>
        <v>46905</v>
      </c>
      <c r="D1171" s="1">
        <f t="shared" si="413"/>
        <v>46553</v>
      </c>
      <c r="E1171" s="1">
        <f t="shared" si="414"/>
        <v>46905</v>
      </c>
      <c r="F1171" s="1">
        <f t="shared" si="415"/>
        <v>46919</v>
      </c>
      <c r="G1171" s="1">
        <f t="shared" si="416"/>
        <v>46919</v>
      </c>
      <c r="H1171">
        <f t="shared" si="417"/>
        <v>366</v>
      </c>
      <c r="I1171">
        <f t="shared" si="418"/>
        <v>14</v>
      </c>
      <c r="J1171">
        <f t="shared" si="419"/>
        <v>3.825136612021858E-2</v>
      </c>
      <c r="K1171">
        <f>IFERROR($J1171/IF($A1171&lt;COUNTIFS($K$1:K$1,"&lt;&gt;"),0,SUMIFS($J:$J,$B:$B,$B1171,$A:$A,"&gt;="&amp;COUNTIFS($K$1:K$1,"&lt;&gt;"))),0)</f>
        <v>0.04</v>
      </c>
      <c r="L1171">
        <f>IFERROR($J1171/IF($A1171&lt;COUNTIFS($K$1:L$1,"&lt;&gt;"),0,SUMIFS($J:$J,$B:$B,$B1171,$A:$A,"&gt;="&amp;COUNTIFS($K$1:L$1,"&lt;&gt;"))),0)</f>
        <v>4.3887147335423198E-2</v>
      </c>
      <c r="M1171">
        <f>IFERROR($J1171/IF($A1171&lt;COUNTIFS($K$1:M$1,"&lt;&gt;"),0,SUMIFS($J:$J,$B:$B,$B1171,$A:$A,"&gt;="&amp;COUNTIFS($K$1:M$1,"&lt;&gt;"))),0)</f>
        <v>4.8611111111111112E-2</v>
      </c>
      <c r="N1171">
        <f>IFERROR($J1171/IF($A1171&lt;COUNTIFS($K$1:N$1,"&lt;&gt;"),0,SUMIFS($J:$J,$B:$B,$B1171,$A:$A,"&gt;="&amp;COUNTIFS($K$1:N$1,"&lt;&gt;"))),0)</f>
        <v>5.4263565891472867E-2</v>
      </c>
      <c r="O1171">
        <f>IFERROR($J1171/IF($A1171&lt;COUNTIFS($K$1:O$1,"&lt;&gt;"),0,SUMIFS($J:$J,$B:$B,$B1171,$A:$A,"&gt;="&amp;COUNTIFS($K$1:O$1,"&lt;&gt;"))),0)</f>
        <v>6.1674008810572688E-2</v>
      </c>
      <c r="P1171">
        <f>IFERROR($J1171/IF($A1171&lt;COUNTIFS($K$1:P$1,"&lt;&gt;"),0,SUMIFS($J:$J,$B:$B,$B1171,$A:$A,"&gt;="&amp;COUNTIFS($K$1:P$1,"&lt;&gt;"))),0)</f>
        <v>7.1065989847715741E-2</v>
      </c>
      <c r="Q1171">
        <f>IFERROR($J1171/IF($A1171&lt;COUNTIFS($K$1:Q$1,"&lt;&gt;"),0,SUMIFS($J:$J,$B:$B,$B1171,$A:$A,"&gt;="&amp;COUNTIFS($K$1:Q$1,"&lt;&gt;"))),0)</f>
        <v>8.4337349397590369E-2</v>
      </c>
      <c r="R1171">
        <f>IFERROR($J1171/IF($A1171&lt;COUNTIFS($K$1:R$1,"&lt;&gt;"),0,SUMIFS($J:$J,$B:$B,$B1171,$A:$A,"&gt;="&amp;COUNTIFS($K$1:R$1,"&lt;&gt;"))),0)</f>
        <v>0.10370370370370371</v>
      </c>
      <c r="S1171">
        <f>IFERROR($J1171/IF($A1171&lt;COUNTIFS($K$1:S$1,"&lt;&gt;"),0,SUMIFS($J:$J,$B:$B,$B1171,$A:$A,"&gt;="&amp;COUNTIFS($K$1:S$1,"&lt;&gt;"))),0)</f>
        <v>0.13207547169811321</v>
      </c>
      <c r="T1171">
        <f>IFERROR($J1171/IF($A1171&lt;COUNTIFS($K$1:T$1,"&lt;&gt;"),0,SUMIFS($J:$J,$B:$B,$B1171,$A:$A,"&gt;="&amp;COUNTIFS($K$1:T$1,"&lt;&gt;"))),0)</f>
        <v>0.18666666666666668</v>
      </c>
      <c r="U1171">
        <f>IFERROR($J1171/IF($A1171&lt;COUNTIFS($K$1:U$1,"&lt;&gt;"),0,SUMIFS($J:$J,$B:$B,$B1171,$A:$A,"&gt;="&amp;COUNTIFS($K$1:U$1,"&lt;&gt;"))),0)</f>
        <v>0.31111111111111112</v>
      </c>
      <c r="V1171">
        <f>IFERROR($J1171/IF($A1171&lt;COUNTIFS($K$1:V$1,"&lt;&gt;"),0,SUMIFS($J:$J,$B:$B,$B1171,$A:$A,"&gt;="&amp;COUNTIFS($K$1:V$1,"&lt;&gt;"))),0)</f>
        <v>1</v>
      </c>
      <c r="W1171">
        <f t="shared" si="420"/>
        <v>3.825136612021858E-2</v>
      </c>
      <c r="X1171">
        <f t="shared" si="400"/>
        <v>3.825136612021858E-2</v>
      </c>
      <c r="Y1171">
        <f t="shared" si="401"/>
        <v>3.825136612021858E-2</v>
      </c>
      <c r="Z1171">
        <f t="shared" si="402"/>
        <v>3.825136612021858E-2</v>
      </c>
      <c r="AA1171">
        <f t="shared" si="403"/>
        <v>3.825136612021858E-2</v>
      </c>
      <c r="AB1171">
        <f t="shared" si="404"/>
        <v>3.825136612021858E-2</v>
      </c>
      <c r="AC1171">
        <f t="shared" si="405"/>
        <v>3.825136612021858E-2</v>
      </c>
      <c r="AD1171">
        <f t="shared" si="406"/>
        <v>3.825136612021858E-2</v>
      </c>
      <c r="AE1171">
        <f t="shared" si="407"/>
        <v>3.825136612021858E-2</v>
      </c>
      <c r="AF1171">
        <f t="shared" si="408"/>
        <v>3.825136612021858E-2</v>
      </c>
      <c r="AG1171">
        <f t="shared" si="409"/>
        <v>3.825136612021858E-2</v>
      </c>
      <c r="AH1171">
        <f t="shared" si="410"/>
        <v>3.825136612021858E-2</v>
      </c>
      <c r="AI1171">
        <f t="shared" si="411"/>
        <v>3.825136612021858E-2</v>
      </c>
      <c r="AJ1171" s="2" t="str">
        <f t="shared" si="421"/>
        <v>1246539</v>
      </c>
    </row>
    <row r="1172" spans="1:36" x14ac:dyDescent="0.25">
      <c r="A1172">
        <v>0</v>
      </c>
      <c r="B1172" s="1">
        <v>46569</v>
      </c>
      <c r="C1172" s="1">
        <f t="shared" si="412"/>
        <v>46569</v>
      </c>
      <c r="D1172" s="1">
        <f t="shared" si="413"/>
        <v>46583</v>
      </c>
      <c r="E1172" s="1">
        <f t="shared" si="414"/>
        <v>46583</v>
      </c>
      <c r="F1172" s="1">
        <f t="shared" si="415"/>
        <v>46600</v>
      </c>
      <c r="G1172" s="1">
        <f t="shared" si="416"/>
        <v>46949</v>
      </c>
      <c r="H1172">
        <f t="shared" si="417"/>
        <v>366</v>
      </c>
      <c r="I1172">
        <f t="shared" si="418"/>
        <v>17</v>
      </c>
      <c r="J1172">
        <f t="shared" si="419"/>
        <v>4.6448087431693992E-2</v>
      </c>
      <c r="K1172">
        <f>IFERROR($J1172/IF($A1172&lt;COUNTIFS($K$1:K$1,"&lt;&gt;"),0,SUMIFS($J:$J,$B:$B,$B1172,$A:$A,"&gt;="&amp;COUNTIFS($K$1:K$1,"&lt;&gt;"))),0)</f>
        <v>0</v>
      </c>
      <c r="L1172">
        <f>IFERROR($J1172/IF($A1172&lt;COUNTIFS($K$1:L$1,"&lt;&gt;"),0,SUMIFS($J:$J,$B:$B,$B1172,$A:$A,"&gt;="&amp;COUNTIFS($K$1:L$1,"&lt;&gt;"))),0)</f>
        <v>0</v>
      </c>
      <c r="M1172">
        <f>IFERROR($J1172/IF($A1172&lt;COUNTIFS($K$1:M$1,"&lt;&gt;"),0,SUMIFS($J:$J,$B:$B,$B1172,$A:$A,"&gt;="&amp;COUNTIFS($K$1:M$1,"&lt;&gt;"))),0)</f>
        <v>0</v>
      </c>
      <c r="N1172">
        <f>IFERROR($J1172/IF($A1172&lt;COUNTIFS($K$1:N$1,"&lt;&gt;"),0,SUMIFS($J:$J,$B:$B,$B1172,$A:$A,"&gt;="&amp;COUNTIFS($K$1:N$1,"&lt;&gt;"))),0)</f>
        <v>0</v>
      </c>
      <c r="O1172">
        <f>IFERROR($J1172/IF($A1172&lt;COUNTIFS($K$1:O$1,"&lt;&gt;"),0,SUMIFS($J:$J,$B:$B,$B1172,$A:$A,"&gt;="&amp;COUNTIFS($K$1:O$1,"&lt;&gt;"))),0)</f>
        <v>0</v>
      </c>
      <c r="P1172">
        <f>IFERROR($J1172/IF($A1172&lt;COUNTIFS($K$1:P$1,"&lt;&gt;"),0,SUMIFS($J:$J,$B:$B,$B1172,$A:$A,"&gt;="&amp;COUNTIFS($K$1:P$1,"&lt;&gt;"))),0)</f>
        <v>0</v>
      </c>
      <c r="Q1172">
        <f>IFERROR($J1172/IF($A1172&lt;COUNTIFS($K$1:Q$1,"&lt;&gt;"),0,SUMIFS($J:$J,$B:$B,$B1172,$A:$A,"&gt;="&amp;COUNTIFS($K$1:Q$1,"&lt;&gt;"))),0)</f>
        <v>0</v>
      </c>
      <c r="R1172">
        <f>IFERROR($J1172/IF($A1172&lt;COUNTIFS($K$1:R$1,"&lt;&gt;"),0,SUMIFS($J:$J,$B:$B,$B1172,$A:$A,"&gt;="&amp;COUNTIFS($K$1:R$1,"&lt;&gt;"))),0)</f>
        <v>0</v>
      </c>
      <c r="S1172">
        <f>IFERROR($J1172/IF($A1172&lt;COUNTIFS($K$1:S$1,"&lt;&gt;"),0,SUMIFS($J:$J,$B:$B,$B1172,$A:$A,"&gt;="&amp;COUNTIFS($K$1:S$1,"&lt;&gt;"))),0)</f>
        <v>0</v>
      </c>
      <c r="T1172">
        <f>IFERROR($J1172/IF($A1172&lt;COUNTIFS($K$1:T$1,"&lt;&gt;"),0,SUMIFS($J:$J,$B:$B,$B1172,$A:$A,"&gt;="&amp;COUNTIFS($K$1:T$1,"&lt;&gt;"))),0)</f>
        <v>0</v>
      </c>
      <c r="U1172">
        <f>IFERROR($J1172/IF($A1172&lt;COUNTIFS($K$1:U$1,"&lt;&gt;"),0,SUMIFS($J:$J,$B:$B,$B1172,$A:$A,"&gt;="&amp;COUNTIFS($K$1:U$1,"&lt;&gt;"))),0)</f>
        <v>0</v>
      </c>
      <c r="V1172">
        <f>IFERROR($J1172/IF($A1172&lt;COUNTIFS($K$1:V$1,"&lt;&gt;"),0,SUMIFS($J:$J,$B:$B,$B1172,$A:$A,"&gt;="&amp;COUNTIFS($K$1:V$1,"&lt;&gt;"))),0)</f>
        <v>0</v>
      </c>
      <c r="W1172">
        <f t="shared" si="420"/>
        <v>4.6448087431693992E-2</v>
      </c>
      <c r="X1172">
        <f t="shared" si="400"/>
        <v>0</v>
      </c>
      <c r="Y1172">
        <f t="shared" si="401"/>
        <v>0</v>
      </c>
      <c r="Z1172">
        <f t="shared" si="402"/>
        <v>0</v>
      </c>
      <c r="AA1172">
        <f t="shared" si="403"/>
        <v>0</v>
      </c>
      <c r="AB1172">
        <f t="shared" si="404"/>
        <v>0</v>
      </c>
      <c r="AC1172">
        <f t="shared" si="405"/>
        <v>0</v>
      </c>
      <c r="AD1172">
        <f t="shared" si="406"/>
        <v>0</v>
      </c>
      <c r="AE1172">
        <f t="shared" si="407"/>
        <v>0</v>
      </c>
      <c r="AF1172">
        <f t="shared" si="408"/>
        <v>0</v>
      </c>
      <c r="AG1172">
        <f t="shared" si="409"/>
        <v>0</v>
      </c>
      <c r="AH1172">
        <f t="shared" si="410"/>
        <v>0</v>
      </c>
      <c r="AI1172">
        <f t="shared" si="411"/>
        <v>0</v>
      </c>
      <c r="AJ1172" s="2" t="str">
        <f t="shared" si="421"/>
        <v>046569</v>
      </c>
    </row>
    <row r="1173" spans="1:36" x14ac:dyDescent="0.25">
      <c r="A1173">
        <v>1</v>
      </c>
      <c r="B1173" s="1">
        <v>46569</v>
      </c>
      <c r="C1173" s="1">
        <f t="shared" si="412"/>
        <v>46600</v>
      </c>
      <c r="D1173" s="1">
        <f t="shared" si="413"/>
        <v>46583</v>
      </c>
      <c r="E1173" s="1">
        <f t="shared" si="414"/>
        <v>46600</v>
      </c>
      <c r="F1173" s="1">
        <f t="shared" si="415"/>
        <v>46631</v>
      </c>
      <c r="G1173" s="1">
        <f t="shared" si="416"/>
        <v>46949</v>
      </c>
      <c r="H1173">
        <f t="shared" si="417"/>
        <v>366</v>
      </c>
      <c r="I1173">
        <f t="shared" si="418"/>
        <v>31</v>
      </c>
      <c r="J1173">
        <f t="shared" si="419"/>
        <v>8.4699453551912565E-2</v>
      </c>
      <c r="K1173">
        <f>IFERROR($J1173/IF($A1173&lt;COUNTIFS($K$1:K$1,"&lt;&gt;"),0,SUMIFS($J:$J,$B:$B,$B1173,$A:$A,"&gt;="&amp;COUNTIFS($K$1:K$1,"&lt;&gt;"))),0)</f>
        <v>8.882521489971347E-2</v>
      </c>
      <c r="L1173">
        <f>IFERROR($J1173/IF($A1173&lt;COUNTIFS($K$1:L$1,"&lt;&gt;"),0,SUMIFS($J:$J,$B:$B,$B1173,$A:$A,"&gt;="&amp;COUNTIFS($K$1:L$1,"&lt;&gt;"))),0)</f>
        <v>0</v>
      </c>
      <c r="M1173">
        <f>IFERROR($J1173/IF($A1173&lt;COUNTIFS($K$1:M$1,"&lt;&gt;"),0,SUMIFS($J:$J,$B:$B,$B1173,$A:$A,"&gt;="&amp;COUNTIFS($K$1:M$1,"&lt;&gt;"))),0)</f>
        <v>0</v>
      </c>
      <c r="N1173">
        <f>IFERROR($J1173/IF($A1173&lt;COUNTIFS($K$1:N$1,"&lt;&gt;"),0,SUMIFS($J:$J,$B:$B,$B1173,$A:$A,"&gt;="&amp;COUNTIFS($K$1:N$1,"&lt;&gt;"))),0)</f>
        <v>0</v>
      </c>
      <c r="O1173">
        <f>IFERROR($J1173/IF($A1173&lt;COUNTIFS($K$1:O$1,"&lt;&gt;"),0,SUMIFS($J:$J,$B:$B,$B1173,$A:$A,"&gt;="&amp;COUNTIFS($K$1:O$1,"&lt;&gt;"))),0)</f>
        <v>0</v>
      </c>
      <c r="P1173">
        <f>IFERROR($J1173/IF($A1173&lt;COUNTIFS($K$1:P$1,"&lt;&gt;"),0,SUMIFS($J:$J,$B:$B,$B1173,$A:$A,"&gt;="&amp;COUNTIFS($K$1:P$1,"&lt;&gt;"))),0)</f>
        <v>0</v>
      </c>
      <c r="Q1173">
        <f>IFERROR($J1173/IF($A1173&lt;COUNTIFS($K$1:Q$1,"&lt;&gt;"),0,SUMIFS($J:$J,$B:$B,$B1173,$A:$A,"&gt;="&amp;COUNTIFS($K$1:Q$1,"&lt;&gt;"))),0)</f>
        <v>0</v>
      </c>
      <c r="R1173">
        <f>IFERROR($J1173/IF($A1173&lt;COUNTIFS($K$1:R$1,"&lt;&gt;"),0,SUMIFS($J:$J,$B:$B,$B1173,$A:$A,"&gt;="&amp;COUNTIFS($K$1:R$1,"&lt;&gt;"))),0)</f>
        <v>0</v>
      </c>
      <c r="S1173">
        <f>IFERROR($J1173/IF($A1173&lt;COUNTIFS($K$1:S$1,"&lt;&gt;"),0,SUMIFS($J:$J,$B:$B,$B1173,$A:$A,"&gt;="&amp;COUNTIFS($K$1:S$1,"&lt;&gt;"))),0)</f>
        <v>0</v>
      </c>
      <c r="T1173">
        <f>IFERROR($J1173/IF($A1173&lt;COUNTIFS($K$1:T$1,"&lt;&gt;"),0,SUMIFS($J:$J,$B:$B,$B1173,$A:$A,"&gt;="&amp;COUNTIFS($K$1:T$1,"&lt;&gt;"))),0)</f>
        <v>0</v>
      </c>
      <c r="U1173">
        <f>IFERROR($J1173/IF($A1173&lt;COUNTIFS($K$1:U$1,"&lt;&gt;"),0,SUMIFS($J:$J,$B:$B,$B1173,$A:$A,"&gt;="&amp;COUNTIFS($K$1:U$1,"&lt;&gt;"))),0)</f>
        <v>0</v>
      </c>
      <c r="V1173">
        <f>IFERROR($J1173/IF($A1173&lt;COUNTIFS($K$1:V$1,"&lt;&gt;"),0,SUMIFS($J:$J,$B:$B,$B1173,$A:$A,"&gt;="&amp;COUNTIFS($K$1:V$1,"&lt;&gt;"))),0)</f>
        <v>0</v>
      </c>
      <c r="W1173">
        <f t="shared" si="420"/>
        <v>8.4699453551912565E-2</v>
      </c>
      <c r="X1173">
        <f t="shared" si="400"/>
        <v>8.4699453551912565E-2</v>
      </c>
      <c r="Y1173">
        <f t="shared" si="401"/>
        <v>0</v>
      </c>
      <c r="Z1173">
        <f t="shared" si="402"/>
        <v>0</v>
      </c>
      <c r="AA1173">
        <f t="shared" si="403"/>
        <v>0</v>
      </c>
      <c r="AB1173">
        <f t="shared" si="404"/>
        <v>0</v>
      </c>
      <c r="AC1173">
        <f t="shared" si="405"/>
        <v>0</v>
      </c>
      <c r="AD1173">
        <f t="shared" si="406"/>
        <v>0</v>
      </c>
      <c r="AE1173">
        <f t="shared" si="407"/>
        <v>0</v>
      </c>
      <c r="AF1173">
        <f t="shared" si="408"/>
        <v>0</v>
      </c>
      <c r="AG1173">
        <f t="shared" si="409"/>
        <v>0</v>
      </c>
      <c r="AH1173">
        <f t="shared" si="410"/>
        <v>0</v>
      </c>
      <c r="AI1173">
        <f t="shared" si="411"/>
        <v>0</v>
      </c>
      <c r="AJ1173" s="2" t="str">
        <f t="shared" si="421"/>
        <v>146569</v>
      </c>
    </row>
    <row r="1174" spans="1:36" x14ac:dyDescent="0.25">
      <c r="A1174">
        <v>2</v>
      </c>
      <c r="B1174" s="1">
        <v>46569</v>
      </c>
      <c r="C1174" s="1">
        <f t="shared" si="412"/>
        <v>46631</v>
      </c>
      <c r="D1174" s="1">
        <f t="shared" si="413"/>
        <v>46583</v>
      </c>
      <c r="E1174" s="1">
        <f t="shared" si="414"/>
        <v>46631</v>
      </c>
      <c r="F1174" s="1">
        <f t="shared" si="415"/>
        <v>46661</v>
      </c>
      <c r="G1174" s="1">
        <f t="shared" si="416"/>
        <v>46949</v>
      </c>
      <c r="H1174">
        <f t="shared" si="417"/>
        <v>366</v>
      </c>
      <c r="I1174">
        <f t="shared" si="418"/>
        <v>30</v>
      </c>
      <c r="J1174">
        <f t="shared" si="419"/>
        <v>8.1967213114754092E-2</v>
      </c>
      <c r="K1174">
        <f>IFERROR($J1174/IF($A1174&lt;COUNTIFS($K$1:K$1,"&lt;&gt;"),0,SUMIFS($J:$J,$B:$B,$B1174,$A:$A,"&gt;="&amp;COUNTIFS($K$1:K$1,"&lt;&gt;"))),0)</f>
        <v>8.5959885386819479E-2</v>
      </c>
      <c r="L1174">
        <f>IFERROR($J1174/IF($A1174&lt;COUNTIFS($K$1:L$1,"&lt;&gt;"),0,SUMIFS($J:$J,$B:$B,$B1174,$A:$A,"&gt;="&amp;COUNTIFS($K$1:L$1,"&lt;&gt;"))),0)</f>
        <v>9.4339622641509427E-2</v>
      </c>
      <c r="M1174">
        <f>IFERROR($J1174/IF($A1174&lt;COUNTIFS($K$1:M$1,"&lt;&gt;"),0,SUMIFS($J:$J,$B:$B,$B1174,$A:$A,"&gt;="&amp;COUNTIFS($K$1:M$1,"&lt;&gt;"))),0)</f>
        <v>0</v>
      </c>
      <c r="N1174">
        <f>IFERROR($J1174/IF($A1174&lt;COUNTIFS($K$1:N$1,"&lt;&gt;"),0,SUMIFS($J:$J,$B:$B,$B1174,$A:$A,"&gt;="&amp;COUNTIFS($K$1:N$1,"&lt;&gt;"))),0)</f>
        <v>0</v>
      </c>
      <c r="O1174">
        <f>IFERROR($J1174/IF($A1174&lt;COUNTIFS($K$1:O$1,"&lt;&gt;"),0,SUMIFS($J:$J,$B:$B,$B1174,$A:$A,"&gt;="&amp;COUNTIFS($K$1:O$1,"&lt;&gt;"))),0)</f>
        <v>0</v>
      </c>
      <c r="P1174">
        <f>IFERROR($J1174/IF($A1174&lt;COUNTIFS($K$1:P$1,"&lt;&gt;"),0,SUMIFS($J:$J,$B:$B,$B1174,$A:$A,"&gt;="&amp;COUNTIFS($K$1:P$1,"&lt;&gt;"))),0)</f>
        <v>0</v>
      </c>
      <c r="Q1174">
        <f>IFERROR($J1174/IF($A1174&lt;COUNTIFS($K$1:Q$1,"&lt;&gt;"),0,SUMIFS($J:$J,$B:$B,$B1174,$A:$A,"&gt;="&amp;COUNTIFS($K$1:Q$1,"&lt;&gt;"))),0)</f>
        <v>0</v>
      </c>
      <c r="R1174">
        <f>IFERROR($J1174/IF($A1174&lt;COUNTIFS($K$1:R$1,"&lt;&gt;"),0,SUMIFS($J:$J,$B:$B,$B1174,$A:$A,"&gt;="&amp;COUNTIFS($K$1:R$1,"&lt;&gt;"))),0)</f>
        <v>0</v>
      </c>
      <c r="S1174">
        <f>IFERROR($J1174/IF($A1174&lt;COUNTIFS($K$1:S$1,"&lt;&gt;"),0,SUMIFS($J:$J,$B:$B,$B1174,$A:$A,"&gt;="&amp;COUNTIFS($K$1:S$1,"&lt;&gt;"))),0)</f>
        <v>0</v>
      </c>
      <c r="T1174">
        <f>IFERROR($J1174/IF($A1174&lt;COUNTIFS($K$1:T$1,"&lt;&gt;"),0,SUMIFS($J:$J,$B:$B,$B1174,$A:$A,"&gt;="&amp;COUNTIFS($K$1:T$1,"&lt;&gt;"))),0)</f>
        <v>0</v>
      </c>
      <c r="U1174">
        <f>IFERROR($J1174/IF($A1174&lt;COUNTIFS($K$1:U$1,"&lt;&gt;"),0,SUMIFS($J:$J,$B:$B,$B1174,$A:$A,"&gt;="&amp;COUNTIFS($K$1:U$1,"&lt;&gt;"))),0)</f>
        <v>0</v>
      </c>
      <c r="V1174">
        <f>IFERROR($J1174/IF($A1174&lt;COUNTIFS($K$1:V$1,"&lt;&gt;"),0,SUMIFS($J:$J,$B:$B,$B1174,$A:$A,"&gt;="&amp;COUNTIFS($K$1:V$1,"&lt;&gt;"))),0)</f>
        <v>0</v>
      </c>
      <c r="W1174">
        <f t="shared" si="420"/>
        <v>8.1967213114754092E-2</v>
      </c>
      <c r="X1174">
        <f t="shared" si="400"/>
        <v>8.1967213114754092E-2</v>
      </c>
      <c r="Y1174">
        <f t="shared" si="401"/>
        <v>8.1967213114754092E-2</v>
      </c>
      <c r="Z1174">
        <f t="shared" si="402"/>
        <v>0</v>
      </c>
      <c r="AA1174">
        <f t="shared" si="403"/>
        <v>0</v>
      </c>
      <c r="AB1174">
        <f t="shared" si="404"/>
        <v>0</v>
      </c>
      <c r="AC1174">
        <f t="shared" si="405"/>
        <v>0</v>
      </c>
      <c r="AD1174">
        <f t="shared" si="406"/>
        <v>0</v>
      </c>
      <c r="AE1174">
        <f t="shared" si="407"/>
        <v>0</v>
      </c>
      <c r="AF1174">
        <f t="shared" si="408"/>
        <v>0</v>
      </c>
      <c r="AG1174">
        <f t="shared" si="409"/>
        <v>0</v>
      </c>
      <c r="AH1174">
        <f t="shared" si="410"/>
        <v>0</v>
      </c>
      <c r="AI1174">
        <f t="shared" si="411"/>
        <v>0</v>
      </c>
      <c r="AJ1174" s="2" t="str">
        <f t="shared" si="421"/>
        <v>246569</v>
      </c>
    </row>
    <row r="1175" spans="1:36" x14ac:dyDescent="0.25">
      <c r="A1175">
        <v>3</v>
      </c>
      <c r="B1175" s="1">
        <v>46569</v>
      </c>
      <c r="C1175" s="1">
        <f t="shared" si="412"/>
        <v>46661</v>
      </c>
      <c r="D1175" s="1">
        <f t="shared" si="413"/>
        <v>46583</v>
      </c>
      <c r="E1175" s="1">
        <f t="shared" si="414"/>
        <v>46661</v>
      </c>
      <c r="F1175" s="1">
        <f t="shared" si="415"/>
        <v>46692</v>
      </c>
      <c r="G1175" s="1">
        <f t="shared" si="416"/>
        <v>46949</v>
      </c>
      <c r="H1175">
        <f t="shared" si="417"/>
        <v>366</v>
      </c>
      <c r="I1175">
        <f t="shared" si="418"/>
        <v>31</v>
      </c>
      <c r="J1175">
        <f t="shared" si="419"/>
        <v>8.4699453551912565E-2</v>
      </c>
      <c r="K1175">
        <f>IFERROR($J1175/IF($A1175&lt;COUNTIFS($K$1:K$1,"&lt;&gt;"),0,SUMIFS($J:$J,$B:$B,$B1175,$A:$A,"&gt;="&amp;COUNTIFS($K$1:K$1,"&lt;&gt;"))),0)</f>
        <v>8.882521489971347E-2</v>
      </c>
      <c r="L1175">
        <f>IFERROR($J1175/IF($A1175&lt;COUNTIFS($K$1:L$1,"&lt;&gt;"),0,SUMIFS($J:$J,$B:$B,$B1175,$A:$A,"&gt;="&amp;COUNTIFS($K$1:L$1,"&lt;&gt;"))),0)</f>
        <v>9.7484276729559755E-2</v>
      </c>
      <c r="M1175">
        <f>IFERROR($J1175/IF($A1175&lt;COUNTIFS($K$1:M$1,"&lt;&gt;"),0,SUMIFS($J:$J,$B:$B,$B1175,$A:$A,"&gt;="&amp;COUNTIFS($K$1:M$1,"&lt;&gt;"))),0)</f>
        <v>0.10763888888888888</v>
      </c>
      <c r="N1175">
        <f>IFERROR($J1175/IF($A1175&lt;COUNTIFS($K$1:N$1,"&lt;&gt;"),0,SUMIFS($J:$J,$B:$B,$B1175,$A:$A,"&gt;="&amp;COUNTIFS($K$1:N$1,"&lt;&gt;"))),0)</f>
        <v>0</v>
      </c>
      <c r="O1175">
        <f>IFERROR($J1175/IF($A1175&lt;COUNTIFS($K$1:O$1,"&lt;&gt;"),0,SUMIFS($J:$J,$B:$B,$B1175,$A:$A,"&gt;="&amp;COUNTIFS($K$1:O$1,"&lt;&gt;"))),0)</f>
        <v>0</v>
      </c>
      <c r="P1175">
        <f>IFERROR($J1175/IF($A1175&lt;COUNTIFS($K$1:P$1,"&lt;&gt;"),0,SUMIFS($J:$J,$B:$B,$B1175,$A:$A,"&gt;="&amp;COUNTIFS($K$1:P$1,"&lt;&gt;"))),0)</f>
        <v>0</v>
      </c>
      <c r="Q1175">
        <f>IFERROR($J1175/IF($A1175&lt;COUNTIFS($K$1:Q$1,"&lt;&gt;"),0,SUMIFS($J:$J,$B:$B,$B1175,$A:$A,"&gt;="&amp;COUNTIFS($K$1:Q$1,"&lt;&gt;"))),0)</f>
        <v>0</v>
      </c>
      <c r="R1175">
        <f>IFERROR($J1175/IF($A1175&lt;COUNTIFS($K$1:R$1,"&lt;&gt;"),0,SUMIFS($J:$J,$B:$B,$B1175,$A:$A,"&gt;="&amp;COUNTIFS($K$1:R$1,"&lt;&gt;"))),0)</f>
        <v>0</v>
      </c>
      <c r="S1175">
        <f>IFERROR($J1175/IF($A1175&lt;COUNTIFS($K$1:S$1,"&lt;&gt;"),0,SUMIFS($J:$J,$B:$B,$B1175,$A:$A,"&gt;="&amp;COUNTIFS($K$1:S$1,"&lt;&gt;"))),0)</f>
        <v>0</v>
      </c>
      <c r="T1175">
        <f>IFERROR($J1175/IF($A1175&lt;COUNTIFS($K$1:T$1,"&lt;&gt;"),0,SUMIFS($J:$J,$B:$B,$B1175,$A:$A,"&gt;="&amp;COUNTIFS($K$1:T$1,"&lt;&gt;"))),0)</f>
        <v>0</v>
      </c>
      <c r="U1175">
        <f>IFERROR($J1175/IF($A1175&lt;COUNTIFS($K$1:U$1,"&lt;&gt;"),0,SUMIFS($J:$J,$B:$B,$B1175,$A:$A,"&gt;="&amp;COUNTIFS($K$1:U$1,"&lt;&gt;"))),0)</f>
        <v>0</v>
      </c>
      <c r="V1175">
        <f>IFERROR($J1175/IF($A1175&lt;COUNTIFS($K$1:V$1,"&lt;&gt;"),0,SUMIFS($J:$J,$B:$B,$B1175,$A:$A,"&gt;="&amp;COUNTIFS($K$1:V$1,"&lt;&gt;"))),0)</f>
        <v>0</v>
      </c>
      <c r="W1175">
        <f t="shared" si="420"/>
        <v>8.4699453551912565E-2</v>
      </c>
      <c r="X1175">
        <f t="shared" si="400"/>
        <v>8.4699453551912565E-2</v>
      </c>
      <c r="Y1175">
        <f t="shared" si="401"/>
        <v>8.4699453551912565E-2</v>
      </c>
      <c r="Z1175">
        <f t="shared" si="402"/>
        <v>8.4699453551912565E-2</v>
      </c>
      <c r="AA1175">
        <f t="shared" si="403"/>
        <v>0</v>
      </c>
      <c r="AB1175">
        <f t="shared" si="404"/>
        <v>0</v>
      </c>
      <c r="AC1175">
        <f t="shared" si="405"/>
        <v>0</v>
      </c>
      <c r="AD1175">
        <f t="shared" si="406"/>
        <v>0</v>
      </c>
      <c r="AE1175">
        <f t="shared" si="407"/>
        <v>0</v>
      </c>
      <c r="AF1175">
        <f t="shared" si="408"/>
        <v>0</v>
      </c>
      <c r="AG1175">
        <f t="shared" si="409"/>
        <v>0</v>
      </c>
      <c r="AH1175">
        <f t="shared" si="410"/>
        <v>0</v>
      </c>
      <c r="AI1175">
        <f t="shared" si="411"/>
        <v>0</v>
      </c>
      <c r="AJ1175" s="2" t="str">
        <f t="shared" si="421"/>
        <v>346569</v>
      </c>
    </row>
    <row r="1176" spans="1:36" x14ac:dyDescent="0.25">
      <c r="A1176">
        <v>4</v>
      </c>
      <c r="B1176" s="1">
        <v>46569</v>
      </c>
      <c r="C1176" s="1">
        <f t="shared" si="412"/>
        <v>46692</v>
      </c>
      <c r="D1176" s="1">
        <f t="shared" si="413"/>
        <v>46583</v>
      </c>
      <c r="E1176" s="1">
        <f t="shared" si="414"/>
        <v>46692</v>
      </c>
      <c r="F1176" s="1">
        <f t="shared" si="415"/>
        <v>46722</v>
      </c>
      <c r="G1176" s="1">
        <f t="shared" si="416"/>
        <v>46949</v>
      </c>
      <c r="H1176">
        <f t="shared" si="417"/>
        <v>366</v>
      </c>
      <c r="I1176">
        <f t="shared" si="418"/>
        <v>30</v>
      </c>
      <c r="J1176">
        <f t="shared" si="419"/>
        <v>8.1967213114754092E-2</v>
      </c>
      <c r="K1176">
        <f>IFERROR($J1176/IF($A1176&lt;COUNTIFS($K$1:K$1,"&lt;&gt;"),0,SUMIFS($J:$J,$B:$B,$B1176,$A:$A,"&gt;="&amp;COUNTIFS($K$1:K$1,"&lt;&gt;"))),0)</f>
        <v>8.5959885386819479E-2</v>
      </c>
      <c r="L1176">
        <f>IFERROR($J1176/IF($A1176&lt;COUNTIFS($K$1:L$1,"&lt;&gt;"),0,SUMIFS($J:$J,$B:$B,$B1176,$A:$A,"&gt;="&amp;COUNTIFS($K$1:L$1,"&lt;&gt;"))),0)</f>
        <v>9.4339622641509427E-2</v>
      </c>
      <c r="M1176">
        <f>IFERROR($J1176/IF($A1176&lt;COUNTIFS($K$1:M$1,"&lt;&gt;"),0,SUMIFS($J:$J,$B:$B,$B1176,$A:$A,"&gt;="&amp;COUNTIFS($K$1:M$1,"&lt;&gt;"))),0)</f>
        <v>0.10416666666666666</v>
      </c>
      <c r="N1176">
        <f>IFERROR($J1176/IF($A1176&lt;COUNTIFS($K$1:N$1,"&lt;&gt;"),0,SUMIFS($J:$J,$B:$B,$B1176,$A:$A,"&gt;="&amp;COUNTIFS($K$1:N$1,"&lt;&gt;"))),0)</f>
        <v>0.11673151750972761</v>
      </c>
      <c r="O1176">
        <f>IFERROR($J1176/IF($A1176&lt;COUNTIFS($K$1:O$1,"&lt;&gt;"),0,SUMIFS($J:$J,$B:$B,$B1176,$A:$A,"&gt;="&amp;COUNTIFS($K$1:O$1,"&lt;&gt;"))),0)</f>
        <v>0</v>
      </c>
      <c r="P1176">
        <f>IFERROR($J1176/IF($A1176&lt;COUNTIFS($K$1:P$1,"&lt;&gt;"),0,SUMIFS($J:$J,$B:$B,$B1176,$A:$A,"&gt;="&amp;COUNTIFS($K$1:P$1,"&lt;&gt;"))),0)</f>
        <v>0</v>
      </c>
      <c r="Q1176">
        <f>IFERROR($J1176/IF($A1176&lt;COUNTIFS($K$1:Q$1,"&lt;&gt;"),0,SUMIFS($J:$J,$B:$B,$B1176,$A:$A,"&gt;="&amp;COUNTIFS($K$1:Q$1,"&lt;&gt;"))),0)</f>
        <v>0</v>
      </c>
      <c r="R1176">
        <f>IFERROR($J1176/IF($A1176&lt;COUNTIFS($K$1:R$1,"&lt;&gt;"),0,SUMIFS($J:$J,$B:$B,$B1176,$A:$A,"&gt;="&amp;COUNTIFS($K$1:R$1,"&lt;&gt;"))),0)</f>
        <v>0</v>
      </c>
      <c r="S1176">
        <f>IFERROR($J1176/IF($A1176&lt;COUNTIFS($K$1:S$1,"&lt;&gt;"),0,SUMIFS($J:$J,$B:$B,$B1176,$A:$A,"&gt;="&amp;COUNTIFS($K$1:S$1,"&lt;&gt;"))),0)</f>
        <v>0</v>
      </c>
      <c r="T1176">
        <f>IFERROR($J1176/IF($A1176&lt;COUNTIFS($K$1:T$1,"&lt;&gt;"),0,SUMIFS($J:$J,$B:$B,$B1176,$A:$A,"&gt;="&amp;COUNTIFS($K$1:T$1,"&lt;&gt;"))),0)</f>
        <v>0</v>
      </c>
      <c r="U1176">
        <f>IFERROR($J1176/IF($A1176&lt;COUNTIFS($K$1:U$1,"&lt;&gt;"),0,SUMIFS($J:$J,$B:$B,$B1176,$A:$A,"&gt;="&amp;COUNTIFS($K$1:U$1,"&lt;&gt;"))),0)</f>
        <v>0</v>
      </c>
      <c r="V1176">
        <f>IFERROR($J1176/IF($A1176&lt;COUNTIFS($K$1:V$1,"&lt;&gt;"),0,SUMIFS($J:$J,$B:$B,$B1176,$A:$A,"&gt;="&amp;COUNTIFS($K$1:V$1,"&lt;&gt;"))),0)</f>
        <v>0</v>
      </c>
      <c r="W1176">
        <f t="shared" si="420"/>
        <v>8.1967213114754092E-2</v>
      </c>
      <c r="X1176">
        <f t="shared" si="400"/>
        <v>8.1967213114754092E-2</v>
      </c>
      <c r="Y1176">
        <f t="shared" si="401"/>
        <v>8.1967213114754092E-2</v>
      </c>
      <c r="Z1176">
        <f t="shared" si="402"/>
        <v>8.1967213114754092E-2</v>
      </c>
      <c r="AA1176">
        <f t="shared" si="403"/>
        <v>8.1967213114754092E-2</v>
      </c>
      <c r="AB1176">
        <f t="shared" si="404"/>
        <v>0</v>
      </c>
      <c r="AC1176">
        <f t="shared" si="405"/>
        <v>0</v>
      </c>
      <c r="AD1176">
        <f t="shared" si="406"/>
        <v>0</v>
      </c>
      <c r="AE1176">
        <f t="shared" si="407"/>
        <v>0</v>
      </c>
      <c r="AF1176">
        <f t="shared" si="408"/>
        <v>0</v>
      </c>
      <c r="AG1176">
        <f t="shared" si="409"/>
        <v>0</v>
      </c>
      <c r="AH1176">
        <f t="shared" si="410"/>
        <v>0</v>
      </c>
      <c r="AI1176">
        <f t="shared" si="411"/>
        <v>0</v>
      </c>
      <c r="AJ1176" s="2" t="str">
        <f t="shared" si="421"/>
        <v>446569</v>
      </c>
    </row>
    <row r="1177" spans="1:36" x14ac:dyDescent="0.25">
      <c r="A1177">
        <v>5</v>
      </c>
      <c r="B1177" s="1">
        <v>46569</v>
      </c>
      <c r="C1177" s="1">
        <f t="shared" si="412"/>
        <v>46722</v>
      </c>
      <c r="D1177" s="1">
        <f t="shared" si="413"/>
        <v>46583</v>
      </c>
      <c r="E1177" s="1">
        <f t="shared" si="414"/>
        <v>46722</v>
      </c>
      <c r="F1177" s="1">
        <f t="shared" si="415"/>
        <v>46753</v>
      </c>
      <c r="G1177" s="1">
        <f t="shared" si="416"/>
        <v>46949</v>
      </c>
      <c r="H1177">
        <f t="shared" si="417"/>
        <v>366</v>
      </c>
      <c r="I1177">
        <f t="shared" si="418"/>
        <v>31</v>
      </c>
      <c r="J1177">
        <f t="shared" si="419"/>
        <v>8.4699453551912565E-2</v>
      </c>
      <c r="K1177">
        <f>IFERROR($J1177/IF($A1177&lt;COUNTIFS($K$1:K$1,"&lt;&gt;"),0,SUMIFS($J:$J,$B:$B,$B1177,$A:$A,"&gt;="&amp;COUNTIFS($K$1:K$1,"&lt;&gt;"))),0)</f>
        <v>8.882521489971347E-2</v>
      </c>
      <c r="L1177">
        <f>IFERROR($J1177/IF($A1177&lt;COUNTIFS($K$1:L$1,"&lt;&gt;"),0,SUMIFS($J:$J,$B:$B,$B1177,$A:$A,"&gt;="&amp;COUNTIFS($K$1:L$1,"&lt;&gt;"))),0)</f>
        <v>9.7484276729559755E-2</v>
      </c>
      <c r="M1177">
        <f>IFERROR($J1177/IF($A1177&lt;COUNTIFS($K$1:M$1,"&lt;&gt;"),0,SUMIFS($J:$J,$B:$B,$B1177,$A:$A,"&gt;="&amp;COUNTIFS($K$1:M$1,"&lt;&gt;"))),0)</f>
        <v>0.10763888888888888</v>
      </c>
      <c r="N1177">
        <f>IFERROR($J1177/IF($A1177&lt;COUNTIFS($K$1:N$1,"&lt;&gt;"),0,SUMIFS($J:$J,$B:$B,$B1177,$A:$A,"&gt;="&amp;COUNTIFS($K$1:N$1,"&lt;&gt;"))),0)</f>
        <v>0.12062256809338522</v>
      </c>
      <c r="O1177">
        <f>IFERROR($J1177/IF($A1177&lt;COUNTIFS($K$1:O$1,"&lt;&gt;"),0,SUMIFS($J:$J,$B:$B,$B1177,$A:$A,"&gt;="&amp;COUNTIFS($K$1:O$1,"&lt;&gt;"))),0)</f>
        <v>0.13656387665198236</v>
      </c>
      <c r="P1177">
        <f>IFERROR($J1177/IF($A1177&lt;COUNTIFS($K$1:P$1,"&lt;&gt;"),0,SUMIFS($J:$J,$B:$B,$B1177,$A:$A,"&gt;="&amp;COUNTIFS($K$1:P$1,"&lt;&gt;"))),0)</f>
        <v>0</v>
      </c>
      <c r="Q1177">
        <f>IFERROR($J1177/IF($A1177&lt;COUNTIFS($K$1:Q$1,"&lt;&gt;"),0,SUMIFS($J:$J,$B:$B,$B1177,$A:$A,"&gt;="&amp;COUNTIFS($K$1:Q$1,"&lt;&gt;"))),0)</f>
        <v>0</v>
      </c>
      <c r="R1177">
        <f>IFERROR($J1177/IF($A1177&lt;COUNTIFS($K$1:R$1,"&lt;&gt;"),0,SUMIFS($J:$J,$B:$B,$B1177,$A:$A,"&gt;="&amp;COUNTIFS($K$1:R$1,"&lt;&gt;"))),0)</f>
        <v>0</v>
      </c>
      <c r="S1177">
        <f>IFERROR($J1177/IF($A1177&lt;COUNTIFS($K$1:S$1,"&lt;&gt;"),0,SUMIFS($J:$J,$B:$B,$B1177,$A:$A,"&gt;="&amp;COUNTIFS($K$1:S$1,"&lt;&gt;"))),0)</f>
        <v>0</v>
      </c>
      <c r="T1177">
        <f>IFERROR($J1177/IF($A1177&lt;COUNTIFS($K$1:T$1,"&lt;&gt;"),0,SUMIFS($J:$J,$B:$B,$B1177,$A:$A,"&gt;="&amp;COUNTIFS($K$1:T$1,"&lt;&gt;"))),0)</f>
        <v>0</v>
      </c>
      <c r="U1177">
        <f>IFERROR($J1177/IF($A1177&lt;COUNTIFS($K$1:U$1,"&lt;&gt;"),0,SUMIFS($J:$J,$B:$B,$B1177,$A:$A,"&gt;="&amp;COUNTIFS($K$1:U$1,"&lt;&gt;"))),0)</f>
        <v>0</v>
      </c>
      <c r="V1177">
        <f>IFERROR($J1177/IF($A1177&lt;COUNTIFS($K$1:V$1,"&lt;&gt;"),0,SUMIFS($J:$J,$B:$B,$B1177,$A:$A,"&gt;="&amp;COUNTIFS($K$1:V$1,"&lt;&gt;"))),0)</f>
        <v>0</v>
      </c>
      <c r="W1177">
        <f t="shared" si="420"/>
        <v>8.4699453551912565E-2</v>
      </c>
      <c r="X1177">
        <f t="shared" si="400"/>
        <v>8.4699453551912565E-2</v>
      </c>
      <c r="Y1177">
        <f t="shared" si="401"/>
        <v>8.4699453551912565E-2</v>
      </c>
      <c r="Z1177">
        <f t="shared" si="402"/>
        <v>8.4699453551912565E-2</v>
      </c>
      <c r="AA1177">
        <f t="shared" si="403"/>
        <v>8.4699453551912565E-2</v>
      </c>
      <c r="AB1177">
        <f t="shared" si="404"/>
        <v>8.4699453551912565E-2</v>
      </c>
      <c r="AC1177">
        <f t="shared" si="405"/>
        <v>0</v>
      </c>
      <c r="AD1177">
        <f t="shared" si="406"/>
        <v>0</v>
      </c>
      <c r="AE1177">
        <f t="shared" si="407"/>
        <v>0</v>
      </c>
      <c r="AF1177">
        <f t="shared" si="408"/>
        <v>0</v>
      </c>
      <c r="AG1177">
        <f t="shared" si="409"/>
        <v>0</v>
      </c>
      <c r="AH1177">
        <f t="shared" si="410"/>
        <v>0</v>
      </c>
      <c r="AI1177">
        <f t="shared" si="411"/>
        <v>0</v>
      </c>
      <c r="AJ1177" s="2" t="str">
        <f t="shared" si="421"/>
        <v>546569</v>
      </c>
    </row>
    <row r="1178" spans="1:36" x14ac:dyDescent="0.25">
      <c r="A1178">
        <v>6</v>
      </c>
      <c r="B1178" s="1">
        <v>46569</v>
      </c>
      <c r="C1178" s="1">
        <f t="shared" si="412"/>
        <v>46753</v>
      </c>
      <c r="D1178" s="1">
        <f t="shared" si="413"/>
        <v>46583</v>
      </c>
      <c r="E1178" s="1">
        <f t="shared" si="414"/>
        <v>46753</v>
      </c>
      <c r="F1178" s="1">
        <f t="shared" si="415"/>
        <v>46784</v>
      </c>
      <c r="G1178" s="1">
        <f t="shared" si="416"/>
        <v>46949</v>
      </c>
      <c r="H1178">
        <f t="shared" si="417"/>
        <v>366</v>
      </c>
      <c r="I1178">
        <f t="shared" si="418"/>
        <v>31</v>
      </c>
      <c r="J1178">
        <f t="shared" si="419"/>
        <v>8.4699453551912565E-2</v>
      </c>
      <c r="K1178">
        <f>IFERROR($J1178/IF($A1178&lt;COUNTIFS($K$1:K$1,"&lt;&gt;"),0,SUMIFS($J:$J,$B:$B,$B1178,$A:$A,"&gt;="&amp;COUNTIFS($K$1:K$1,"&lt;&gt;"))),0)</f>
        <v>8.882521489971347E-2</v>
      </c>
      <c r="L1178">
        <f>IFERROR($J1178/IF($A1178&lt;COUNTIFS($K$1:L$1,"&lt;&gt;"),0,SUMIFS($J:$J,$B:$B,$B1178,$A:$A,"&gt;="&amp;COUNTIFS($K$1:L$1,"&lt;&gt;"))),0)</f>
        <v>9.7484276729559755E-2</v>
      </c>
      <c r="M1178">
        <f>IFERROR($J1178/IF($A1178&lt;COUNTIFS($K$1:M$1,"&lt;&gt;"),0,SUMIFS($J:$J,$B:$B,$B1178,$A:$A,"&gt;="&amp;COUNTIFS($K$1:M$1,"&lt;&gt;"))),0)</f>
        <v>0.10763888888888888</v>
      </c>
      <c r="N1178">
        <f>IFERROR($J1178/IF($A1178&lt;COUNTIFS($K$1:N$1,"&lt;&gt;"),0,SUMIFS($J:$J,$B:$B,$B1178,$A:$A,"&gt;="&amp;COUNTIFS($K$1:N$1,"&lt;&gt;"))),0)</f>
        <v>0.12062256809338522</v>
      </c>
      <c r="O1178">
        <f>IFERROR($J1178/IF($A1178&lt;COUNTIFS($K$1:O$1,"&lt;&gt;"),0,SUMIFS($J:$J,$B:$B,$B1178,$A:$A,"&gt;="&amp;COUNTIFS($K$1:O$1,"&lt;&gt;"))),0)</f>
        <v>0.13656387665198236</v>
      </c>
      <c r="P1178">
        <f>IFERROR($J1178/IF($A1178&lt;COUNTIFS($K$1:P$1,"&lt;&gt;"),0,SUMIFS($J:$J,$B:$B,$B1178,$A:$A,"&gt;="&amp;COUNTIFS($K$1:P$1,"&lt;&gt;"))),0)</f>
        <v>0.15816326530612246</v>
      </c>
      <c r="Q1178">
        <f>IFERROR($J1178/IF($A1178&lt;COUNTIFS($K$1:Q$1,"&lt;&gt;"),0,SUMIFS($J:$J,$B:$B,$B1178,$A:$A,"&gt;="&amp;COUNTIFS($K$1:Q$1,"&lt;&gt;"))),0)</f>
        <v>0</v>
      </c>
      <c r="R1178">
        <f>IFERROR($J1178/IF($A1178&lt;COUNTIFS($K$1:R$1,"&lt;&gt;"),0,SUMIFS($J:$J,$B:$B,$B1178,$A:$A,"&gt;="&amp;COUNTIFS($K$1:R$1,"&lt;&gt;"))),0)</f>
        <v>0</v>
      </c>
      <c r="S1178">
        <f>IFERROR($J1178/IF($A1178&lt;COUNTIFS($K$1:S$1,"&lt;&gt;"),0,SUMIFS($J:$J,$B:$B,$B1178,$A:$A,"&gt;="&amp;COUNTIFS($K$1:S$1,"&lt;&gt;"))),0)</f>
        <v>0</v>
      </c>
      <c r="T1178">
        <f>IFERROR($J1178/IF($A1178&lt;COUNTIFS($K$1:T$1,"&lt;&gt;"),0,SUMIFS($J:$J,$B:$B,$B1178,$A:$A,"&gt;="&amp;COUNTIFS($K$1:T$1,"&lt;&gt;"))),0)</f>
        <v>0</v>
      </c>
      <c r="U1178">
        <f>IFERROR($J1178/IF($A1178&lt;COUNTIFS($K$1:U$1,"&lt;&gt;"),0,SUMIFS($J:$J,$B:$B,$B1178,$A:$A,"&gt;="&amp;COUNTIFS($K$1:U$1,"&lt;&gt;"))),0)</f>
        <v>0</v>
      </c>
      <c r="V1178">
        <f>IFERROR($J1178/IF($A1178&lt;COUNTIFS($K$1:V$1,"&lt;&gt;"),0,SUMIFS($J:$J,$B:$B,$B1178,$A:$A,"&gt;="&amp;COUNTIFS($K$1:V$1,"&lt;&gt;"))),0)</f>
        <v>0</v>
      </c>
      <c r="W1178">
        <f t="shared" si="420"/>
        <v>8.4699453551912565E-2</v>
      </c>
      <c r="X1178">
        <f t="shared" si="400"/>
        <v>8.4699453551912565E-2</v>
      </c>
      <c r="Y1178">
        <f t="shared" si="401"/>
        <v>8.4699453551912565E-2</v>
      </c>
      <c r="Z1178">
        <f t="shared" si="402"/>
        <v>8.4699453551912565E-2</v>
      </c>
      <c r="AA1178">
        <f t="shared" si="403"/>
        <v>8.4699453551912565E-2</v>
      </c>
      <c r="AB1178">
        <f t="shared" si="404"/>
        <v>8.4699453551912565E-2</v>
      </c>
      <c r="AC1178">
        <f t="shared" si="405"/>
        <v>8.4699453551912565E-2</v>
      </c>
      <c r="AD1178">
        <f t="shared" si="406"/>
        <v>0</v>
      </c>
      <c r="AE1178">
        <f t="shared" si="407"/>
        <v>0</v>
      </c>
      <c r="AF1178">
        <f t="shared" si="408"/>
        <v>0</v>
      </c>
      <c r="AG1178">
        <f t="shared" si="409"/>
        <v>0</v>
      </c>
      <c r="AH1178">
        <f t="shared" si="410"/>
        <v>0</v>
      </c>
      <c r="AI1178">
        <f t="shared" si="411"/>
        <v>0</v>
      </c>
      <c r="AJ1178" s="2" t="str">
        <f t="shared" si="421"/>
        <v>646569</v>
      </c>
    </row>
    <row r="1179" spans="1:36" x14ac:dyDescent="0.25">
      <c r="A1179">
        <v>7</v>
      </c>
      <c r="B1179" s="1">
        <v>46569</v>
      </c>
      <c r="C1179" s="1">
        <f t="shared" si="412"/>
        <v>46784</v>
      </c>
      <c r="D1179" s="1">
        <f t="shared" si="413"/>
        <v>46583</v>
      </c>
      <c r="E1179" s="1">
        <f t="shared" si="414"/>
        <v>46784</v>
      </c>
      <c r="F1179" s="1">
        <f t="shared" si="415"/>
        <v>46813</v>
      </c>
      <c r="G1179" s="1">
        <f t="shared" si="416"/>
        <v>46949</v>
      </c>
      <c r="H1179">
        <f t="shared" si="417"/>
        <v>366</v>
      </c>
      <c r="I1179">
        <f t="shared" si="418"/>
        <v>29</v>
      </c>
      <c r="J1179">
        <f t="shared" si="419"/>
        <v>7.9234972677595633E-2</v>
      </c>
      <c r="K1179">
        <f>IFERROR($J1179/IF($A1179&lt;COUNTIFS($K$1:K$1,"&lt;&gt;"),0,SUMIFS($J:$J,$B:$B,$B1179,$A:$A,"&gt;="&amp;COUNTIFS($K$1:K$1,"&lt;&gt;"))),0)</f>
        <v>8.3094555873925516E-2</v>
      </c>
      <c r="L1179">
        <f>IFERROR($J1179/IF($A1179&lt;COUNTIFS($K$1:L$1,"&lt;&gt;"),0,SUMIFS($J:$J,$B:$B,$B1179,$A:$A,"&gt;="&amp;COUNTIFS($K$1:L$1,"&lt;&gt;"))),0)</f>
        <v>9.1194968553459127E-2</v>
      </c>
      <c r="M1179">
        <f>IFERROR($J1179/IF($A1179&lt;COUNTIFS($K$1:M$1,"&lt;&gt;"),0,SUMIFS($J:$J,$B:$B,$B1179,$A:$A,"&gt;="&amp;COUNTIFS($K$1:M$1,"&lt;&gt;"))),0)</f>
        <v>0.10069444444444445</v>
      </c>
      <c r="N1179">
        <f>IFERROR($J1179/IF($A1179&lt;COUNTIFS($K$1:N$1,"&lt;&gt;"),0,SUMIFS($J:$J,$B:$B,$B1179,$A:$A,"&gt;="&amp;COUNTIFS($K$1:N$1,"&lt;&gt;"))),0)</f>
        <v>0.11284046692607004</v>
      </c>
      <c r="O1179">
        <f>IFERROR($J1179/IF($A1179&lt;COUNTIFS($K$1:O$1,"&lt;&gt;"),0,SUMIFS($J:$J,$B:$B,$B1179,$A:$A,"&gt;="&amp;COUNTIFS($K$1:O$1,"&lt;&gt;"))),0)</f>
        <v>0.1277533039647577</v>
      </c>
      <c r="P1179">
        <f>IFERROR($J1179/IF($A1179&lt;COUNTIFS($K$1:P$1,"&lt;&gt;"),0,SUMIFS($J:$J,$B:$B,$B1179,$A:$A,"&gt;="&amp;COUNTIFS($K$1:P$1,"&lt;&gt;"))),0)</f>
        <v>0.14795918367346941</v>
      </c>
      <c r="Q1179">
        <f>IFERROR($J1179/IF($A1179&lt;COUNTIFS($K$1:Q$1,"&lt;&gt;"),0,SUMIFS($J:$J,$B:$B,$B1179,$A:$A,"&gt;="&amp;COUNTIFS($K$1:Q$1,"&lt;&gt;"))),0)</f>
        <v>0.17575757575757578</v>
      </c>
      <c r="R1179">
        <f>IFERROR($J1179/IF($A1179&lt;COUNTIFS($K$1:R$1,"&lt;&gt;"),0,SUMIFS($J:$J,$B:$B,$B1179,$A:$A,"&gt;="&amp;COUNTIFS($K$1:R$1,"&lt;&gt;"))),0)</f>
        <v>0</v>
      </c>
      <c r="S1179">
        <f>IFERROR($J1179/IF($A1179&lt;COUNTIFS($K$1:S$1,"&lt;&gt;"),0,SUMIFS($J:$J,$B:$B,$B1179,$A:$A,"&gt;="&amp;COUNTIFS($K$1:S$1,"&lt;&gt;"))),0)</f>
        <v>0</v>
      </c>
      <c r="T1179">
        <f>IFERROR($J1179/IF($A1179&lt;COUNTIFS($K$1:T$1,"&lt;&gt;"),0,SUMIFS($J:$J,$B:$B,$B1179,$A:$A,"&gt;="&amp;COUNTIFS($K$1:T$1,"&lt;&gt;"))),0)</f>
        <v>0</v>
      </c>
      <c r="U1179">
        <f>IFERROR($J1179/IF($A1179&lt;COUNTIFS($K$1:U$1,"&lt;&gt;"),0,SUMIFS($J:$J,$B:$B,$B1179,$A:$A,"&gt;="&amp;COUNTIFS($K$1:U$1,"&lt;&gt;"))),0)</f>
        <v>0</v>
      </c>
      <c r="V1179">
        <f>IFERROR($J1179/IF($A1179&lt;COUNTIFS($K$1:V$1,"&lt;&gt;"),0,SUMIFS($J:$J,$B:$B,$B1179,$A:$A,"&gt;="&amp;COUNTIFS($K$1:V$1,"&lt;&gt;"))),0)</f>
        <v>0</v>
      </c>
      <c r="W1179">
        <f t="shared" si="420"/>
        <v>7.9234972677595633E-2</v>
      </c>
      <c r="X1179">
        <f t="shared" si="400"/>
        <v>7.9234972677595633E-2</v>
      </c>
      <c r="Y1179">
        <f t="shared" si="401"/>
        <v>7.9234972677595633E-2</v>
      </c>
      <c r="Z1179">
        <f t="shared" si="402"/>
        <v>7.9234972677595633E-2</v>
      </c>
      <c r="AA1179">
        <f t="shared" si="403"/>
        <v>7.9234972677595633E-2</v>
      </c>
      <c r="AB1179">
        <f t="shared" si="404"/>
        <v>7.9234972677595633E-2</v>
      </c>
      <c r="AC1179">
        <f t="shared" si="405"/>
        <v>7.9234972677595633E-2</v>
      </c>
      <c r="AD1179">
        <f t="shared" si="406"/>
        <v>7.9234972677595633E-2</v>
      </c>
      <c r="AE1179">
        <f t="shared" si="407"/>
        <v>0</v>
      </c>
      <c r="AF1179">
        <f t="shared" si="408"/>
        <v>0</v>
      </c>
      <c r="AG1179">
        <f t="shared" si="409"/>
        <v>0</v>
      </c>
      <c r="AH1179">
        <f t="shared" si="410"/>
        <v>0</v>
      </c>
      <c r="AI1179">
        <f t="shared" si="411"/>
        <v>0</v>
      </c>
      <c r="AJ1179" s="2" t="str">
        <f t="shared" si="421"/>
        <v>746569</v>
      </c>
    </row>
    <row r="1180" spans="1:36" x14ac:dyDescent="0.25">
      <c r="A1180">
        <v>8</v>
      </c>
      <c r="B1180" s="1">
        <v>46569</v>
      </c>
      <c r="C1180" s="1">
        <f t="shared" si="412"/>
        <v>46813</v>
      </c>
      <c r="D1180" s="1">
        <f t="shared" si="413"/>
        <v>46583</v>
      </c>
      <c r="E1180" s="1">
        <f t="shared" si="414"/>
        <v>46813</v>
      </c>
      <c r="F1180" s="1">
        <f t="shared" si="415"/>
        <v>46844</v>
      </c>
      <c r="G1180" s="1">
        <f t="shared" si="416"/>
        <v>46949</v>
      </c>
      <c r="H1180">
        <f t="shared" si="417"/>
        <v>366</v>
      </c>
      <c r="I1180">
        <f t="shared" si="418"/>
        <v>31</v>
      </c>
      <c r="J1180">
        <f t="shared" si="419"/>
        <v>8.4699453551912565E-2</v>
      </c>
      <c r="K1180">
        <f>IFERROR($J1180/IF($A1180&lt;COUNTIFS($K$1:K$1,"&lt;&gt;"),0,SUMIFS($J:$J,$B:$B,$B1180,$A:$A,"&gt;="&amp;COUNTIFS($K$1:K$1,"&lt;&gt;"))),0)</f>
        <v>8.882521489971347E-2</v>
      </c>
      <c r="L1180">
        <f>IFERROR($J1180/IF($A1180&lt;COUNTIFS($K$1:L$1,"&lt;&gt;"),0,SUMIFS($J:$J,$B:$B,$B1180,$A:$A,"&gt;="&amp;COUNTIFS($K$1:L$1,"&lt;&gt;"))),0)</f>
        <v>9.7484276729559755E-2</v>
      </c>
      <c r="M1180">
        <f>IFERROR($J1180/IF($A1180&lt;COUNTIFS($K$1:M$1,"&lt;&gt;"),0,SUMIFS($J:$J,$B:$B,$B1180,$A:$A,"&gt;="&amp;COUNTIFS($K$1:M$1,"&lt;&gt;"))),0)</f>
        <v>0.10763888888888888</v>
      </c>
      <c r="N1180">
        <f>IFERROR($J1180/IF($A1180&lt;COUNTIFS($K$1:N$1,"&lt;&gt;"),0,SUMIFS($J:$J,$B:$B,$B1180,$A:$A,"&gt;="&amp;COUNTIFS($K$1:N$1,"&lt;&gt;"))),0)</f>
        <v>0.12062256809338522</v>
      </c>
      <c r="O1180">
        <f>IFERROR($J1180/IF($A1180&lt;COUNTIFS($K$1:O$1,"&lt;&gt;"),0,SUMIFS($J:$J,$B:$B,$B1180,$A:$A,"&gt;="&amp;COUNTIFS($K$1:O$1,"&lt;&gt;"))),0)</f>
        <v>0.13656387665198236</v>
      </c>
      <c r="P1180">
        <f>IFERROR($J1180/IF($A1180&lt;COUNTIFS($K$1:P$1,"&lt;&gt;"),0,SUMIFS($J:$J,$B:$B,$B1180,$A:$A,"&gt;="&amp;COUNTIFS($K$1:P$1,"&lt;&gt;"))),0)</f>
        <v>0.15816326530612246</v>
      </c>
      <c r="Q1180">
        <f>IFERROR($J1180/IF($A1180&lt;COUNTIFS($K$1:Q$1,"&lt;&gt;"),0,SUMIFS($J:$J,$B:$B,$B1180,$A:$A,"&gt;="&amp;COUNTIFS($K$1:Q$1,"&lt;&gt;"))),0)</f>
        <v>0.1878787878787879</v>
      </c>
      <c r="R1180">
        <f>IFERROR($J1180/IF($A1180&lt;COUNTIFS($K$1:R$1,"&lt;&gt;"),0,SUMIFS($J:$J,$B:$B,$B1180,$A:$A,"&gt;="&amp;COUNTIFS($K$1:R$1,"&lt;&gt;"))),0)</f>
        <v>0.22794117647058826</v>
      </c>
      <c r="S1180">
        <f>IFERROR($J1180/IF($A1180&lt;COUNTIFS($K$1:S$1,"&lt;&gt;"),0,SUMIFS($J:$J,$B:$B,$B1180,$A:$A,"&gt;="&amp;COUNTIFS($K$1:S$1,"&lt;&gt;"))),0)</f>
        <v>0</v>
      </c>
      <c r="T1180">
        <f>IFERROR($J1180/IF($A1180&lt;COUNTIFS($K$1:T$1,"&lt;&gt;"),0,SUMIFS($J:$J,$B:$B,$B1180,$A:$A,"&gt;="&amp;COUNTIFS($K$1:T$1,"&lt;&gt;"))),0)</f>
        <v>0</v>
      </c>
      <c r="U1180">
        <f>IFERROR($J1180/IF($A1180&lt;COUNTIFS($K$1:U$1,"&lt;&gt;"),0,SUMIFS($J:$J,$B:$B,$B1180,$A:$A,"&gt;="&amp;COUNTIFS($K$1:U$1,"&lt;&gt;"))),0)</f>
        <v>0</v>
      </c>
      <c r="V1180">
        <f>IFERROR($J1180/IF($A1180&lt;COUNTIFS($K$1:V$1,"&lt;&gt;"),0,SUMIFS($J:$J,$B:$B,$B1180,$A:$A,"&gt;="&amp;COUNTIFS($K$1:V$1,"&lt;&gt;"))),0)</f>
        <v>0</v>
      </c>
      <c r="W1180">
        <f t="shared" si="420"/>
        <v>8.4699453551912565E-2</v>
      </c>
      <c r="X1180">
        <f t="shared" si="400"/>
        <v>8.4699453551912565E-2</v>
      </c>
      <c r="Y1180">
        <f t="shared" si="401"/>
        <v>8.4699453551912565E-2</v>
      </c>
      <c r="Z1180">
        <f t="shared" si="402"/>
        <v>8.4699453551912565E-2</v>
      </c>
      <c r="AA1180">
        <f t="shared" si="403"/>
        <v>8.4699453551912565E-2</v>
      </c>
      <c r="AB1180">
        <f t="shared" si="404"/>
        <v>8.4699453551912565E-2</v>
      </c>
      <c r="AC1180">
        <f t="shared" si="405"/>
        <v>8.4699453551912565E-2</v>
      </c>
      <c r="AD1180">
        <f t="shared" si="406"/>
        <v>8.4699453551912565E-2</v>
      </c>
      <c r="AE1180">
        <f t="shared" si="407"/>
        <v>8.4699453551912565E-2</v>
      </c>
      <c r="AF1180">
        <f t="shared" si="408"/>
        <v>0</v>
      </c>
      <c r="AG1180">
        <f t="shared" si="409"/>
        <v>0</v>
      </c>
      <c r="AH1180">
        <f t="shared" si="410"/>
        <v>0</v>
      </c>
      <c r="AI1180">
        <f t="shared" si="411"/>
        <v>0</v>
      </c>
      <c r="AJ1180" s="2" t="str">
        <f t="shared" si="421"/>
        <v>846569</v>
      </c>
    </row>
    <row r="1181" spans="1:36" x14ac:dyDescent="0.25">
      <c r="A1181">
        <v>9</v>
      </c>
      <c r="B1181" s="1">
        <v>46569</v>
      </c>
      <c r="C1181" s="1">
        <f t="shared" si="412"/>
        <v>46844</v>
      </c>
      <c r="D1181" s="1">
        <f t="shared" si="413"/>
        <v>46583</v>
      </c>
      <c r="E1181" s="1">
        <f t="shared" si="414"/>
        <v>46844</v>
      </c>
      <c r="F1181" s="1">
        <f t="shared" si="415"/>
        <v>46874</v>
      </c>
      <c r="G1181" s="1">
        <f t="shared" si="416"/>
        <v>46949</v>
      </c>
      <c r="H1181">
        <f t="shared" si="417"/>
        <v>366</v>
      </c>
      <c r="I1181">
        <f t="shared" si="418"/>
        <v>30</v>
      </c>
      <c r="J1181">
        <f t="shared" si="419"/>
        <v>8.1967213114754092E-2</v>
      </c>
      <c r="K1181">
        <f>IFERROR($J1181/IF($A1181&lt;COUNTIFS($K$1:K$1,"&lt;&gt;"),0,SUMIFS($J:$J,$B:$B,$B1181,$A:$A,"&gt;="&amp;COUNTIFS($K$1:K$1,"&lt;&gt;"))),0)</f>
        <v>8.5959885386819479E-2</v>
      </c>
      <c r="L1181">
        <f>IFERROR($J1181/IF($A1181&lt;COUNTIFS($K$1:L$1,"&lt;&gt;"),0,SUMIFS($J:$J,$B:$B,$B1181,$A:$A,"&gt;="&amp;COUNTIFS($K$1:L$1,"&lt;&gt;"))),0)</f>
        <v>9.4339622641509427E-2</v>
      </c>
      <c r="M1181">
        <f>IFERROR($J1181/IF($A1181&lt;COUNTIFS($K$1:M$1,"&lt;&gt;"),0,SUMIFS($J:$J,$B:$B,$B1181,$A:$A,"&gt;="&amp;COUNTIFS($K$1:M$1,"&lt;&gt;"))),0)</f>
        <v>0.10416666666666666</v>
      </c>
      <c r="N1181">
        <f>IFERROR($J1181/IF($A1181&lt;COUNTIFS($K$1:N$1,"&lt;&gt;"),0,SUMIFS($J:$J,$B:$B,$B1181,$A:$A,"&gt;="&amp;COUNTIFS($K$1:N$1,"&lt;&gt;"))),0)</f>
        <v>0.11673151750972761</v>
      </c>
      <c r="O1181">
        <f>IFERROR($J1181/IF($A1181&lt;COUNTIFS($K$1:O$1,"&lt;&gt;"),0,SUMIFS($J:$J,$B:$B,$B1181,$A:$A,"&gt;="&amp;COUNTIFS($K$1:O$1,"&lt;&gt;"))),0)</f>
        <v>0.13215859030837002</v>
      </c>
      <c r="P1181">
        <f>IFERROR($J1181/IF($A1181&lt;COUNTIFS($K$1:P$1,"&lt;&gt;"),0,SUMIFS($J:$J,$B:$B,$B1181,$A:$A,"&gt;="&amp;COUNTIFS($K$1:P$1,"&lt;&gt;"))),0)</f>
        <v>0.15306122448979592</v>
      </c>
      <c r="Q1181">
        <f>IFERROR($J1181/IF($A1181&lt;COUNTIFS($K$1:Q$1,"&lt;&gt;"),0,SUMIFS($J:$J,$B:$B,$B1181,$A:$A,"&gt;="&amp;COUNTIFS($K$1:Q$1,"&lt;&gt;"))),0)</f>
        <v>0.18181818181818182</v>
      </c>
      <c r="R1181">
        <f>IFERROR($J1181/IF($A1181&lt;COUNTIFS($K$1:R$1,"&lt;&gt;"),0,SUMIFS($J:$J,$B:$B,$B1181,$A:$A,"&gt;="&amp;COUNTIFS($K$1:R$1,"&lt;&gt;"))),0)</f>
        <v>0.22058823529411764</v>
      </c>
      <c r="S1181">
        <f>IFERROR($J1181/IF($A1181&lt;COUNTIFS($K$1:S$1,"&lt;&gt;"),0,SUMIFS($J:$J,$B:$B,$B1181,$A:$A,"&gt;="&amp;COUNTIFS($K$1:S$1,"&lt;&gt;"))),0)</f>
        <v>0.2857142857142857</v>
      </c>
      <c r="T1181">
        <f>IFERROR($J1181/IF($A1181&lt;COUNTIFS($K$1:T$1,"&lt;&gt;"),0,SUMIFS($J:$J,$B:$B,$B1181,$A:$A,"&gt;="&amp;COUNTIFS($K$1:T$1,"&lt;&gt;"))),0)</f>
        <v>0</v>
      </c>
      <c r="U1181">
        <f>IFERROR($J1181/IF($A1181&lt;COUNTIFS($K$1:U$1,"&lt;&gt;"),0,SUMIFS($J:$J,$B:$B,$B1181,$A:$A,"&gt;="&amp;COUNTIFS($K$1:U$1,"&lt;&gt;"))),0)</f>
        <v>0</v>
      </c>
      <c r="V1181">
        <f>IFERROR($J1181/IF($A1181&lt;COUNTIFS($K$1:V$1,"&lt;&gt;"),0,SUMIFS($J:$J,$B:$B,$B1181,$A:$A,"&gt;="&amp;COUNTIFS($K$1:V$1,"&lt;&gt;"))),0)</f>
        <v>0</v>
      </c>
      <c r="W1181">
        <f t="shared" si="420"/>
        <v>8.1967213114754092E-2</v>
      </c>
      <c r="X1181">
        <f t="shared" si="400"/>
        <v>8.1967213114754092E-2</v>
      </c>
      <c r="Y1181">
        <f t="shared" si="401"/>
        <v>8.1967213114754092E-2</v>
      </c>
      <c r="Z1181">
        <f t="shared" si="402"/>
        <v>8.1967213114754092E-2</v>
      </c>
      <c r="AA1181">
        <f t="shared" si="403"/>
        <v>8.1967213114754092E-2</v>
      </c>
      <c r="AB1181">
        <f t="shared" si="404"/>
        <v>8.1967213114754092E-2</v>
      </c>
      <c r="AC1181">
        <f t="shared" si="405"/>
        <v>8.1967213114754092E-2</v>
      </c>
      <c r="AD1181">
        <f t="shared" si="406"/>
        <v>8.1967213114754092E-2</v>
      </c>
      <c r="AE1181">
        <f t="shared" si="407"/>
        <v>8.1967213114754092E-2</v>
      </c>
      <c r="AF1181">
        <f t="shared" si="408"/>
        <v>8.1967213114754092E-2</v>
      </c>
      <c r="AG1181">
        <f t="shared" si="409"/>
        <v>0</v>
      </c>
      <c r="AH1181">
        <f t="shared" si="410"/>
        <v>0</v>
      </c>
      <c r="AI1181">
        <f t="shared" si="411"/>
        <v>0</v>
      </c>
      <c r="AJ1181" s="2" t="str">
        <f t="shared" si="421"/>
        <v>946569</v>
      </c>
    </row>
    <row r="1182" spans="1:36" x14ac:dyDescent="0.25">
      <c r="A1182">
        <v>10</v>
      </c>
      <c r="B1182" s="1">
        <v>46569</v>
      </c>
      <c r="C1182" s="1">
        <f t="shared" si="412"/>
        <v>46874</v>
      </c>
      <c r="D1182" s="1">
        <f t="shared" si="413"/>
        <v>46583</v>
      </c>
      <c r="E1182" s="1">
        <f t="shared" si="414"/>
        <v>46874</v>
      </c>
      <c r="F1182" s="1">
        <f t="shared" si="415"/>
        <v>46905</v>
      </c>
      <c r="G1182" s="1">
        <f t="shared" si="416"/>
        <v>46949</v>
      </c>
      <c r="H1182">
        <f t="shared" si="417"/>
        <v>366</v>
      </c>
      <c r="I1182">
        <f t="shared" si="418"/>
        <v>31</v>
      </c>
      <c r="J1182">
        <f t="shared" si="419"/>
        <v>8.4699453551912565E-2</v>
      </c>
      <c r="K1182">
        <f>IFERROR($J1182/IF($A1182&lt;COUNTIFS($K$1:K$1,"&lt;&gt;"),0,SUMIFS($J:$J,$B:$B,$B1182,$A:$A,"&gt;="&amp;COUNTIFS($K$1:K$1,"&lt;&gt;"))),0)</f>
        <v>8.882521489971347E-2</v>
      </c>
      <c r="L1182">
        <f>IFERROR($J1182/IF($A1182&lt;COUNTIFS($K$1:L$1,"&lt;&gt;"),0,SUMIFS($J:$J,$B:$B,$B1182,$A:$A,"&gt;="&amp;COUNTIFS($K$1:L$1,"&lt;&gt;"))),0)</f>
        <v>9.7484276729559755E-2</v>
      </c>
      <c r="M1182">
        <f>IFERROR($J1182/IF($A1182&lt;COUNTIFS($K$1:M$1,"&lt;&gt;"),0,SUMIFS($J:$J,$B:$B,$B1182,$A:$A,"&gt;="&amp;COUNTIFS($K$1:M$1,"&lt;&gt;"))),0)</f>
        <v>0.10763888888888888</v>
      </c>
      <c r="N1182">
        <f>IFERROR($J1182/IF($A1182&lt;COUNTIFS($K$1:N$1,"&lt;&gt;"),0,SUMIFS($J:$J,$B:$B,$B1182,$A:$A,"&gt;="&amp;COUNTIFS($K$1:N$1,"&lt;&gt;"))),0)</f>
        <v>0.12062256809338522</v>
      </c>
      <c r="O1182">
        <f>IFERROR($J1182/IF($A1182&lt;COUNTIFS($K$1:O$1,"&lt;&gt;"),0,SUMIFS($J:$J,$B:$B,$B1182,$A:$A,"&gt;="&amp;COUNTIFS($K$1:O$1,"&lt;&gt;"))),0)</f>
        <v>0.13656387665198236</v>
      </c>
      <c r="P1182">
        <f>IFERROR($J1182/IF($A1182&lt;COUNTIFS($K$1:P$1,"&lt;&gt;"),0,SUMIFS($J:$J,$B:$B,$B1182,$A:$A,"&gt;="&amp;COUNTIFS($K$1:P$1,"&lt;&gt;"))),0)</f>
        <v>0.15816326530612246</v>
      </c>
      <c r="Q1182">
        <f>IFERROR($J1182/IF($A1182&lt;COUNTIFS($K$1:Q$1,"&lt;&gt;"),0,SUMIFS($J:$J,$B:$B,$B1182,$A:$A,"&gt;="&amp;COUNTIFS($K$1:Q$1,"&lt;&gt;"))),0)</f>
        <v>0.1878787878787879</v>
      </c>
      <c r="R1182">
        <f>IFERROR($J1182/IF($A1182&lt;COUNTIFS($K$1:R$1,"&lt;&gt;"),0,SUMIFS($J:$J,$B:$B,$B1182,$A:$A,"&gt;="&amp;COUNTIFS($K$1:R$1,"&lt;&gt;"))),0)</f>
        <v>0.22794117647058826</v>
      </c>
      <c r="S1182">
        <f>IFERROR($J1182/IF($A1182&lt;COUNTIFS($K$1:S$1,"&lt;&gt;"),0,SUMIFS($J:$J,$B:$B,$B1182,$A:$A,"&gt;="&amp;COUNTIFS($K$1:S$1,"&lt;&gt;"))),0)</f>
        <v>0.29523809523809524</v>
      </c>
      <c r="T1182">
        <f>IFERROR($J1182/IF($A1182&lt;COUNTIFS($K$1:T$1,"&lt;&gt;"),0,SUMIFS($J:$J,$B:$B,$B1182,$A:$A,"&gt;="&amp;COUNTIFS($K$1:T$1,"&lt;&gt;"))),0)</f>
        <v>0.41333333333333333</v>
      </c>
      <c r="U1182">
        <f>IFERROR($J1182/IF($A1182&lt;COUNTIFS($K$1:U$1,"&lt;&gt;"),0,SUMIFS($J:$J,$B:$B,$B1182,$A:$A,"&gt;="&amp;COUNTIFS($K$1:U$1,"&lt;&gt;"))),0)</f>
        <v>0</v>
      </c>
      <c r="V1182">
        <f>IFERROR($J1182/IF($A1182&lt;COUNTIFS($K$1:V$1,"&lt;&gt;"),0,SUMIFS($J:$J,$B:$B,$B1182,$A:$A,"&gt;="&amp;COUNTIFS($K$1:V$1,"&lt;&gt;"))),0)</f>
        <v>0</v>
      </c>
      <c r="W1182">
        <f t="shared" si="420"/>
        <v>8.4699453551912565E-2</v>
      </c>
      <c r="X1182">
        <f t="shared" si="400"/>
        <v>8.4699453551912565E-2</v>
      </c>
      <c r="Y1182">
        <f t="shared" si="401"/>
        <v>8.4699453551912565E-2</v>
      </c>
      <c r="Z1182">
        <f t="shared" si="402"/>
        <v>8.4699453551912565E-2</v>
      </c>
      <c r="AA1182">
        <f t="shared" si="403"/>
        <v>8.4699453551912565E-2</v>
      </c>
      <c r="AB1182">
        <f t="shared" si="404"/>
        <v>8.4699453551912565E-2</v>
      </c>
      <c r="AC1182">
        <f t="shared" si="405"/>
        <v>8.4699453551912565E-2</v>
      </c>
      <c r="AD1182">
        <f t="shared" si="406"/>
        <v>8.4699453551912565E-2</v>
      </c>
      <c r="AE1182">
        <f t="shared" si="407"/>
        <v>8.4699453551912565E-2</v>
      </c>
      <c r="AF1182">
        <f t="shared" si="408"/>
        <v>8.4699453551912565E-2</v>
      </c>
      <c r="AG1182">
        <f t="shared" si="409"/>
        <v>8.4699453551912565E-2</v>
      </c>
      <c r="AH1182">
        <f t="shared" si="410"/>
        <v>0</v>
      </c>
      <c r="AI1182">
        <f t="shared" si="411"/>
        <v>0</v>
      </c>
      <c r="AJ1182" s="2" t="str">
        <f t="shared" si="421"/>
        <v>1046569</v>
      </c>
    </row>
    <row r="1183" spans="1:36" x14ac:dyDescent="0.25">
      <c r="A1183">
        <v>11</v>
      </c>
      <c r="B1183" s="1">
        <v>46569</v>
      </c>
      <c r="C1183" s="1">
        <f t="shared" si="412"/>
        <v>46905</v>
      </c>
      <c r="D1183" s="1">
        <f t="shared" si="413"/>
        <v>46583</v>
      </c>
      <c r="E1183" s="1">
        <f t="shared" si="414"/>
        <v>46905</v>
      </c>
      <c r="F1183" s="1">
        <f t="shared" si="415"/>
        <v>46935</v>
      </c>
      <c r="G1183" s="1">
        <f t="shared" si="416"/>
        <v>46949</v>
      </c>
      <c r="H1183">
        <f t="shared" si="417"/>
        <v>366</v>
      </c>
      <c r="I1183">
        <f t="shared" si="418"/>
        <v>30</v>
      </c>
      <c r="J1183">
        <f t="shared" si="419"/>
        <v>8.1967213114754092E-2</v>
      </c>
      <c r="K1183">
        <f>IFERROR($J1183/IF($A1183&lt;COUNTIFS($K$1:K$1,"&lt;&gt;"),0,SUMIFS($J:$J,$B:$B,$B1183,$A:$A,"&gt;="&amp;COUNTIFS($K$1:K$1,"&lt;&gt;"))),0)</f>
        <v>8.5959885386819479E-2</v>
      </c>
      <c r="L1183">
        <f>IFERROR($J1183/IF($A1183&lt;COUNTIFS($K$1:L$1,"&lt;&gt;"),0,SUMIFS($J:$J,$B:$B,$B1183,$A:$A,"&gt;="&amp;COUNTIFS($K$1:L$1,"&lt;&gt;"))),0)</f>
        <v>9.4339622641509427E-2</v>
      </c>
      <c r="M1183">
        <f>IFERROR($J1183/IF($A1183&lt;COUNTIFS($K$1:M$1,"&lt;&gt;"),0,SUMIFS($J:$J,$B:$B,$B1183,$A:$A,"&gt;="&amp;COUNTIFS($K$1:M$1,"&lt;&gt;"))),0)</f>
        <v>0.10416666666666666</v>
      </c>
      <c r="N1183">
        <f>IFERROR($J1183/IF($A1183&lt;COUNTIFS($K$1:N$1,"&lt;&gt;"),0,SUMIFS($J:$J,$B:$B,$B1183,$A:$A,"&gt;="&amp;COUNTIFS($K$1:N$1,"&lt;&gt;"))),0)</f>
        <v>0.11673151750972761</v>
      </c>
      <c r="O1183">
        <f>IFERROR($J1183/IF($A1183&lt;COUNTIFS($K$1:O$1,"&lt;&gt;"),0,SUMIFS($J:$J,$B:$B,$B1183,$A:$A,"&gt;="&amp;COUNTIFS($K$1:O$1,"&lt;&gt;"))),0)</f>
        <v>0.13215859030837002</v>
      </c>
      <c r="P1183">
        <f>IFERROR($J1183/IF($A1183&lt;COUNTIFS($K$1:P$1,"&lt;&gt;"),0,SUMIFS($J:$J,$B:$B,$B1183,$A:$A,"&gt;="&amp;COUNTIFS($K$1:P$1,"&lt;&gt;"))),0)</f>
        <v>0.15306122448979592</v>
      </c>
      <c r="Q1183">
        <f>IFERROR($J1183/IF($A1183&lt;COUNTIFS($K$1:Q$1,"&lt;&gt;"),0,SUMIFS($J:$J,$B:$B,$B1183,$A:$A,"&gt;="&amp;COUNTIFS($K$1:Q$1,"&lt;&gt;"))),0)</f>
        <v>0.18181818181818182</v>
      </c>
      <c r="R1183">
        <f>IFERROR($J1183/IF($A1183&lt;COUNTIFS($K$1:R$1,"&lt;&gt;"),0,SUMIFS($J:$J,$B:$B,$B1183,$A:$A,"&gt;="&amp;COUNTIFS($K$1:R$1,"&lt;&gt;"))),0)</f>
        <v>0.22058823529411764</v>
      </c>
      <c r="S1183">
        <f>IFERROR($J1183/IF($A1183&lt;COUNTIFS($K$1:S$1,"&lt;&gt;"),0,SUMIFS($J:$J,$B:$B,$B1183,$A:$A,"&gt;="&amp;COUNTIFS($K$1:S$1,"&lt;&gt;"))),0)</f>
        <v>0.2857142857142857</v>
      </c>
      <c r="T1183">
        <f>IFERROR($J1183/IF($A1183&lt;COUNTIFS($K$1:T$1,"&lt;&gt;"),0,SUMIFS($J:$J,$B:$B,$B1183,$A:$A,"&gt;="&amp;COUNTIFS($K$1:T$1,"&lt;&gt;"))),0)</f>
        <v>0.39999999999999997</v>
      </c>
      <c r="U1183">
        <f>IFERROR($J1183/IF($A1183&lt;COUNTIFS($K$1:U$1,"&lt;&gt;"),0,SUMIFS($J:$J,$B:$B,$B1183,$A:$A,"&gt;="&amp;COUNTIFS($K$1:U$1,"&lt;&gt;"))),0)</f>
        <v>0.68181818181818177</v>
      </c>
      <c r="V1183">
        <f>IFERROR($J1183/IF($A1183&lt;COUNTIFS($K$1:V$1,"&lt;&gt;"),0,SUMIFS($J:$J,$B:$B,$B1183,$A:$A,"&gt;="&amp;COUNTIFS($K$1:V$1,"&lt;&gt;"))),0)</f>
        <v>0</v>
      </c>
      <c r="W1183">
        <f t="shared" si="420"/>
        <v>8.1967213114754092E-2</v>
      </c>
      <c r="X1183">
        <f t="shared" si="400"/>
        <v>8.1967213114754092E-2</v>
      </c>
      <c r="Y1183">
        <f t="shared" si="401"/>
        <v>8.1967213114754092E-2</v>
      </c>
      <c r="Z1183">
        <f t="shared" si="402"/>
        <v>8.1967213114754092E-2</v>
      </c>
      <c r="AA1183">
        <f t="shared" si="403"/>
        <v>8.1967213114754092E-2</v>
      </c>
      <c r="AB1183">
        <f t="shared" si="404"/>
        <v>8.1967213114754092E-2</v>
      </c>
      <c r="AC1183">
        <f t="shared" si="405"/>
        <v>8.1967213114754092E-2</v>
      </c>
      <c r="AD1183">
        <f t="shared" si="406"/>
        <v>8.1967213114754092E-2</v>
      </c>
      <c r="AE1183">
        <f t="shared" si="407"/>
        <v>8.1967213114754092E-2</v>
      </c>
      <c r="AF1183">
        <f t="shared" si="408"/>
        <v>8.1967213114754092E-2</v>
      </c>
      <c r="AG1183">
        <f t="shared" si="409"/>
        <v>8.1967213114754092E-2</v>
      </c>
      <c r="AH1183">
        <f t="shared" si="410"/>
        <v>8.1967213114754092E-2</v>
      </c>
      <c r="AI1183">
        <f t="shared" si="411"/>
        <v>0</v>
      </c>
      <c r="AJ1183" s="2" t="str">
        <f t="shared" si="421"/>
        <v>1146569</v>
      </c>
    </row>
    <row r="1184" spans="1:36" x14ac:dyDescent="0.25">
      <c r="A1184">
        <v>12</v>
      </c>
      <c r="B1184" s="1">
        <v>46569</v>
      </c>
      <c r="C1184" s="1">
        <f t="shared" si="412"/>
        <v>46935</v>
      </c>
      <c r="D1184" s="1">
        <f t="shared" si="413"/>
        <v>46583</v>
      </c>
      <c r="E1184" s="1">
        <f t="shared" si="414"/>
        <v>46935</v>
      </c>
      <c r="F1184" s="1">
        <f t="shared" si="415"/>
        <v>46949</v>
      </c>
      <c r="G1184" s="1">
        <f t="shared" si="416"/>
        <v>46949</v>
      </c>
      <c r="H1184">
        <f t="shared" si="417"/>
        <v>366</v>
      </c>
      <c r="I1184">
        <f t="shared" si="418"/>
        <v>14</v>
      </c>
      <c r="J1184">
        <f t="shared" si="419"/>
        <v>3.825136612021858E-2</v>
      </c>
      <c r="K1184">
        <f>IFERROR($J1184/IF($A1184&lt;COUNTIFS($K$1:K$1,"&lt;&gt;"),0,SUMIFS($J:$J,$B:$B,$B1184,$A:$A,"&gt;="&amp;COUNTIFS($K$1:K$1,"&lt;&gt;"))),0)</f>
        <v>4.0114613180515762E-2</v>
      </c>
      <c r="L1184">
        <f>IFERROR($J1184/IF($A1184&lt;COUNTIFS($K$1:L$1,"&lt;&gt;"),0,SUMIFS($J:$J,$B:$B,$B1184,$A:$A,"&gt;="&amp;COUNTIFS($K$1:L$1,"&lt;&gt;"))),0)</f>
        <v>4.4025157232704407E-2</v>
      </c>
      <c r="M1184">
        <f>IFERROR($J1184/IF($A1184&lt;COUNTIFS($K$1:M$1,"&lt;&gt;"),0,SUMIFS($J:$J,$B:$B,$B1184,$A:$A,"&gt;="&amp;COUNTIFS($K$1:M$1,"&lt;&gt;"))),0)</f>
        <v>4.8611111111111112E-2</v>
      </c>
      <c r="N1184">
        <f>IFERROR($J1184/IF($A1184&lt;COUNTIFS($K$1:N$1,"&lt;&gt;"),0,SUMIFS($J:$J,$B:$B,$B1184,$A:$A,"&gt;="&amp;COUNTIFS($K$1:N$1,"&lt;&gt;"))),0)</f>
        <v>5.4474708171206226E-2</v>
      </c>
      <c r="O1184">
        <f>IFERROR($J1184/IF($A1184&lt;COUNTIFS($K$1:O$1,"&lt;&gt;"),0,SUMIFS($J:$J,$B:$B,$B1184,$A:$A,"&gt;="&amp;COUNTIFS($K$1:O$1,"&lt;&gt;"))),0)</f>
        <v>6.1674008810572688E-2</v>
      </c>
      <c r="P1184">
        <f>IFERROR($J1184/IF($A1184&lt;COUNTIFS($K$1:P$1,"&lt;&gt;"),0,SUMIFS($J:$J,$B:$B,$B1184,$A:$A,"&gt;="&amp;COUNTIFS($K$1:P$1,"&lt;&gt;"))),0)</f>
        <v>7.1428571428571438E-2</v>
      </c>
      <c r="Q1184">
        <f>IFERROR($J1184/IF($A1184&lt;COUNTIFS($K$1:Q$1,"&lt;&gt;"),0,SUMIFS($J:$J,$B:$B,$B1184,$A:$A,"&gt;="&amp;COUNTIFS($K$1:Q$1,"&lt;&gt;"))),0)</f>
        <v>8.4848484848484867E-2</v>
      </c>
      <c r="R1184">
        <f>IFERROR($J1184/IF($A1184&lt;COUNTIFS($K$1:R$1,"&lt;&gt;"),0,SUMIFS($J:$J,$B:$B,$B1184,$A:$A,"&gt;="&amp;COUNTIFS($K$1:R$1,"&lt;&gt;"))),0)</f>
        <v>0.10294117647058824</v>
      </c>
      <c r="S1184">
        <f>IFERROR($J1184/IF($A1184&lt;COUNTIFS($K$1:S$1,"&lt;&gt;"),0,SUMIFS($J:$J,$B:$B,$B1184,$A:$A,"&gt;="&amp;COUNTIFS($K$1:S$1,"&lt;&gt;"))),0)</f>
        <v>0.13333333333333333</v>
      </c>
      <c r="T1184">
        <f>IFERROR($J1184/IF($A1184&lt;COUNTIFS($K$1:T$1,"&lt;&gt;"),0,SUMIFS($J:$J,$B:$B,$B1184,$A:$A,"&gt;="&amp;COUNTIFS($K$1:T$1,"&lt;&gt;"))),0)</f>
        <v>0.18666666666666668</v>
      </c>
      <c r="U1184">
        <f>IFERROR($J1184/IF($A1184&lt;COUNTIFS($K$1:U$1,"&lt;&gt;"),0,SUMIFS($J:$J,$B:$B,$B1184,$A:$A,"&gt;="&amp;COUNTIFS($K$1:U$1,"&lt;&gt;"))),0)</f>
        <v>0.31818181818181818</v>
      </c>
      <c r="V1184">
        <f>IFERROR($J1184/IF($A1184&lt;COUNTIFS($K$1:V$1,"&lt;&gt;"),0,SUMIFS($J:$J,$B:$B,$B1184,$A:$A,"&gt;="&amp;COUNTIFS($K$1:V$1,"&lt;&gt;"))),0)</f>
        <v>1</v>
      </c>
      <c r="W1184">
        <f t="shared" si="420"/>
        <v>3.825136612021858E-2</v>
      </c>
      <c r="X1184">
        <f t="shared" si="400"/>
        <v>3.825136612021858E-2</v>
      </c>
      <c r="Y1184">
        <f t="shared" si="401"/>
        <v>3.825136612021858E-2</v>
      </c>
      <c r="Z1184">
        <f t="shared" si="402"/>
        <v>3.825136612021858E-2</v>
      </c>
      <c r="AA1184">
        <f t="shared" si="403"/>
        <v>3.825136612021858E-2</v>
      </c>
      <c r="AB1184">
        <f t="shared" si="404"/>
        <v>3.825136612021858E-2</v>
      </c>
      <c r="AC1184">
        <f t="shared" si="405"/>
        <v>3.825136612021858E-2</v>
      </c>
      <c r="AD1184">
        <f t="shared" si="406"/>
        <v>3.825136612021858E-2</v>
      </c>
      <c r="AE1184">
        <f t="shared" si="407"/>
        <v>3.825136612021858E-2</v>
      </c>
      <c r="AF1184">
        <f t="shared" si="408"/>
        <v>3.825136612021858E-2</v>
      </c>
      <c r="AG1184">
        <f t="shared" si="409"/>
        <v>3.825136612021858E-2</v>
      </c>
      <c r="AH1184">
        <f t="shared" si="410"/>
        <v>3.825136612021858E-2</v>
      </c>
      <c r="AI1184">
        <f t="shared" si="411"/>
        <v>3.825136612021858E-2</v>
      </c>
      <c r="AJ1184" s="2" t="str">
        <f t="shared" si="421"/>
        <v>1246569</v>
      </c>
    </row>
    <row r="1185" spans="1:36" x14ac:dyDescent="0.25">
      <c r="A1185">
        <v>0</v>
      </c>
      <c r="B1185" s="1">
        <v>46600</v>
      </c>
      <c r="C1185" s="1">
        <f t="shared" si="412"/>
        <v>46600</v>
      </c>
      <c r="D1185" s="1">
        <f t="shared" si="413"/>
        <v>46614</v>
      </c>
      <c r="E1185" s="1">
        <f t="shared" si="414"/>
        <v>46614</v>
      </c>
      <c r="F1185" s="1">
        <f t="shared" si="415"/>
        <v>46631</v>
      </c>
      <c r="G1185" s="1">
        <f t="shared" si="416"/>
        <v>46980</v>
      </c>
      <c r="H1185">
        <f t="shared" si="417"/>
        <v>366</v>
      </c>
      <c r="I1185">
        <f t="shared" si="418"/>
        <v>17</v>
      </c>
      <c r="J1185">
        <f t="shared" si="419"/>
        <v>4.6448087431693992E-2</v>
      </c>
      <c r="K1185">
        <f>IFERROR($J1185/IF($A1185&lt;COUNTIFS($K$1:K$1,"&lt;&gt;"),0,SUMIFS($J:$J,$B:$B,$B1185,$A:$A,"&gt;="&amp;COUNTIFS($K$1:K$1,"&lt;&gt;"))),0)</f>
        <v>0</v>
      </c>
      <c r="L1185">
        <f>IFERROR($J1185/IF($A1185&lt;COUNTIFS($K$1:L$1,"&lt;&gt;"),0,SUMIFS($J:$J,$B:$B,$B1185,$A:$A,"&gt;="&amp;COUNTIFS($K$1:L$1,"&lt;&gt;"))),0)</f>
        <v>0</v>
      </c>
      <c r="M1185">
        <f>IFERROR($J1185/IF($A1185&lt;COUNTIFS($K$1:M$1,"&lt;&gt;"),0,SUMIFS($J:$J,$B:$B,$B1185,$A:$A,"&gt;="&amp;COUNTIFS($K$1:M$1,"&lt;&gt;"))),0)</f>
        <v>0</v>
      </c>
      <c r="N1185">
        <f>IFERROR($J1185/IF($A1185&lt;COUNTIFS($K$1:N$1,"&lt;&gt;"),0,SUMIFS($J:$J,$B:$B,$B1185,$A:$A,"&gt;="&amp;COUNTIFS($K$1:N$1,"&lt;&gt;"))),0)</f>
        <v>0</v>
      </c>
      <c r="O1185">
        <f>IFERROR($J1185/IF($A1185&lt;COUNTIFS($K$1:O$1,"&lt;&gt;"),0,SUMIFS($J:$J,$B:$B,$B1185,$A:$A,"&gt;="&amp;COUNTIFS($K$1:O$1,"&lt;&gt;"))),0)</f>
        <v>0</v>
      </c>
      <c r="P1185">
        <f>IFERROR($J1185/IF($A1185&lt;COUNTIFS($K$1:P$1,"&lt;&gt;"),0,SUMIFS($J:$J,$B:$B,$B1185,$A:$A,"&gt;="&amp;COUNTIFS($K$1:P$1,"&lt;&gt;"))),0)</f>
        <v>0</v>
      </c>
      <c r="Q1185">
        <f>IFERROR($J1185/IF($A1185&lt;COUNTIFS($K$1:Q$1,"&lt;&gt;"),0,SUMIFS($J:$J,$B:$B,$B1185,$A:$A,"&gt;="&amp;COUNTIFS($K$1:Q$1,"&lt;&gt;"))),0)</f>
        <v>0</v>
      </c>
      <c r="R1185">
        <f>IFERROR($J1185/IF($A1185&lt;COUNTIFS($K$1:R$1,"&lt;&gt;"),0,SUMIFS($J:$J,$B:$B,$B1185,$A:$A,"&gt;="&amp;COUNTIFS($K$1:R$1,"&lt;&gt;"))),0)</f>
        <v>0</v>
      </c>
      <c r="S1185">
        <f>IFERROR($J1185/IF($A1185&lt;COUNTIFS($K$1:S$1,"&lt;&gt;"),0,SUMIFS($J:$J,$B:$B,$B1185,$A:$A,"&gt;="&amp;COUNTIFS($K$1:S$1,"&lt;&gt;"))),0)</f>
        <v>0</v>
      </c>
      <c r="T1185">
        <f>IFERROR($J1185/IF($A1185&lt;COUNTIFS($K$1:T$1,"&lt;&gt;"),0,SUMIFS($J:$J,$B:$B,$B1185,$A:$A,"&gt;="&amp;COUNTIFS($K$1:T$1,"&lt;&gt;"))),0)</f>
        <v>0</v>
      </c>
      <c r="U1185">
        <f>IFERROR($J1185/IF($A1185&lt;COUNTIFS($K$1:U$1,"&lt;&gt;"),0,SUMIFS($J:$J,$B:$B,$B1185,$A:$A,"&gt;="&amp;COUNTIFS($K$1:U$1,"&lt;&gt;"))),0)</f>
        <v>0</v>
      </c>
      <c r="V1185">
        <f>IFERROR($J1185/IF($A1185&lt;COUNTIFS($K$1:V$1,"&lt;&gt;"),0,SUMIFS($J:$J,$B:$B,$B1185,$A:$A,"&gt;="&amp;COUNTIFS($K$1:V$1,"&lt;&gt;"))),0)</f>
        <v>0</v>
      </c>
      <c r="W1185">
        <f t="shared" si="420"/>
        <v>4.6448087431693992E-2</v>
      </c>
      <c r="X1185">
        <f t="shared" si="400"/>
        <v>0</v>
      </c>
      <c r="Y1185">
        <f t="shared" si="401"/>
        <v>0</v>
      </c>
      <c r="Z1185">
        <f t="shared" si="402"/>
        <v>0</v>
      </c>
      <c r="AA1185">
        <f t="shared" si="403"/>
        <v>0</v>
      </c>
      <c r="AB1185">
        <f t="shared" si="404"/>
        <v>0</v>
      </c>
      <c r="AC1185">
        <f t="shared" si="405"/>
        <v>0</v>
      </c>
      <c r="AD1185">
        <f t="shared" si="406"/>
        <v>0</v>
      </c>
      <c r="AE1185">
        <f t="shared" si="407"/>
        <v>0</v>
      </c>
      <c r="AF1185">
        <f t="shared" si="408"/>
        <v>0</v>
      </c>
      <c r="AG1185">
        <f t="shared" si="409"/>
        <v>0</v>
      </c>
      <c r="AH1185">
        <f t="shared" si="410"/>
        <v>0</v>
      </c>
      <c r="AI1185">
        <f t="shared" si="411"/>
        <v>0</v>
      </c>
      <c r="AJ1185" s="2" t="str">
        <f t="shared" si="421"/>
        <v>046600</v>
      </c>
    </row>
    <row r="1186" spans="1:36" x14ac:dyDescent="0.25">
      <c r="A1186">
        <v>1</v>
      </c>
      <c r="B1186" s="1">
        <v>46600</v>
      </c>
      <c r="C1186" s="1">
        <f t="shared" si="412"/>
        <v>46631</v>
      </c>
      <c r="D1186" s="1">
        <f t="shared" si="413"/>
        <v>46614</v>
      </c>
      <c r="E1186" s="1">
        <f t="shared" si="414"/>
        <v>46631</v>
      </c>
      <c r="F1186" s="1">
        <f t="shared" si="415"/>
        <v>46661</v>
      </c>
      <c r="G1186" s="1">
        <f t="shared" si="416"/>
        <v>46980</v>
      </c>
      <c r="H1186">
        <f t="shared" si="417"/>
        <v>366</v>
      </c>
      <c r="I1186">
        <f t="shared" si="418"/>
        <v>30</v>
      </c>
      <c r="J1186">
        <f t="shared" si="419"/>
        <v>8.1967213114754092E-2</v>
      </c>
      <c r="K1186">
        <f>IFERROR($J1186/IF($A1186&lt;COUNTIFS($K$1:K$1,"&lt;&gt;"),0,SUMIFS($J:$J,$B:$B,$B1186,$A:$A,"&gt;="&amp;COUNTIFS($K$1:K$1,"&lt;&gt;"))),0)</f>
        <v>8.5959885386819479E-2</v>
      </c>
      <c r="L1186">
        <f>IFERROR($J1186/IF($A1186&lt;COUNTIFS($K$1:L$1,"&lt;&gt;"),0,SUMIFS($J:$J,$B:$B,$B1186,$A:$A,"&gt;="&amp;COUNTIFS($K$1:L$1,"&lt;&gt;"))),0)</f>
        <v>0</v>
      </c>
      <c r="M1186">
        <f>IFERROR($J1186/IF($A1186&lt;COUNTIFS($K$1:M$1,"&lt;&gt;"),0,SUMIFS($J:$J,$B:$B,$B1186,$A:$A,"&gt;="&amp;COUNTIFS($K$1:M$1,"&lt;&gt;"))),0)</f>
        <v>0</v>
      </c>
      <c r="N1186">
        <f>IFERROR($J1186/IF($A1186&lt;COUNTIFS($K$1:N$1,"&lt;&gt;"),0,SUMIFS($J:$J,$B:$B,$B1186,$A:$A,"&gt;="&amp;COUNTIFS($K$1:N$1,"&lt;&gt;"))),0)</f>
        <v>0</v>
      </c>
      <c r="O1186">
        <f>IFERROR($J1186/IF($A1186&lt;COUNTIFS($K$1:O$1,"&lt;&gt;"),0,SUMIFS($J:$J,$B:$B,$B1186,$A:$A,"&gt;="&amp;COUNTIFS($K$1:O$1,"&lt;&gt;"))),0)</f>
        <v>0</v>
      </c>
      <c r="P1186">
        <f>IFERROR($J1186/IF($A1186&lt;COUNTIFS($K$1:P$1,"&lt;&gt;"),0,SUMIFS($J:$J,$B:$B,$B1186,$A:$A,"&gt;="&amp;COUNTIFS($K$1:P$1,"&lt;&gt;"))),0)</f>
        <v>0</v>
      </c>
      <c r="Q1186">
        <f>IFERROR($J1186/IF($A1186&lt;COUNTIFS($K$1:Q$1,"&lt;&gt;"),0,SUMIFS($J:$J,$B:$B,$B1186,$A:$A,"&gt;="&amp;COUNTIFS($K$1:Q$1,"&lt;&gt;"))),0)</f>
        <v>0</v>
      </c>
      <c r="R1186">
        <f>IFERROR($J1186/IF($A1186&lt;COUNTIFS($K$1:R$1,"&lt;&gt;"),0,SUMIFS($J:$J,$B:$B,$B1186,$A:$A,"&gt;="&amp;COUNTIFS($K$1:R$1,"&lt;&gt;"))),0)</f>
        <v>0</v>
      </c>
      <c r="S1186">
        <f>IFERROR($J1186/IF($A1186&lt;COUNTIFS($K$1:S$1,"&lt;&gt;"),0,SUMIFS($J:$J,$B:$B,$B1186,$A:$A,"&gt;="&amp;COUNTIFS($K$1:S$1,"&lt;&gt;"))),0)</f>
        <v>0</v>
      </c>
      <c r="T1186">
        <f>IFERROR($J1186/IF($A1186&lt;COUNTIFS($K$1:T$1,"&lt;&gt;"),0,SUMIFS($J:$J,$B:$B,$B1186,$A:$A,"&gt;="&amp;COUNTIFS($K$1:T$1,"&lt;&gt;"))),0)</f>
        <v>0</v>
      </c>
      <c r="U1186">
        <f>IFERROR($J1186/IF($A1186&lt;COUNTIFS($K$1:U$1,"&lt;&gt;"),0,SUMIFS($J:$J,$B:$B,$B1186,$A:$A,"&gt;="&amp;COUNTIFS($K$1:U$1,"&lt;&gt;"))),0)</f>
        <v>0</v>
      </c>
      <c r="V1186">
        <f>IFERROR($J1186/IF($A1186&lt;COUNTIFS($K$1:V$1,"&lt;&gt;"),0,SUMIFS($J:$J,$B:$B,$B1186,$A:$A,"&gt;="&amp;COUNTIFS($K$1:V$1,"&lt;&gt;"))),0)</f>
        <v>0</v>
      </c>
      <c r="W1186">
        <f t="shared" si="420"/>
        <v>8.1967213114754092E-2</v>
      </c>
      <c r="X1186">
        <f t="shared" si="400"/>
        <v>8.1967213114754092E-2</v>
      </c>
      <c r="Y1186">
        <f t="shared" si="401"/>
        <v>0</v>
      </c>
      <c r="Z1186">
        <f t="shared" si="402"/>
        <v>0</v>
      </c>
      <c r="AA1186">
        <f t="shared" si="403"/>
        <v>0</v>
      </c>
      <c r="AB1186">
        <f t="shared" si="404"/>
        <v>0</v>
      </c>
      <c r="AC1186">
        <f t="shared" si="405"/>
        <v>0</v>
      </c>
      <c r="AD1186">
        <f t="shared" si="406"/>
        <v>0</v>
      </c>
      <c r="AE1186">
        <f t="shared" si="407"/>
        <v>0</v>
      </c>
      <c r="AF1186">
        <f t="shared" si="408"/>
        <v>0</v>
      </c>
      <c r="AG1186">
        <f t="shared" si="409"/>
        <v>0</v>
      </c>
      <c r="AH1186">
        <f t="shared" si="410"/>
        <v>0</v>
      </c>
      <c r="AI1186">
        <f t="shared" si="411"/>
        <v>0</v>
      </c>
      <c r="AJ1186" s="2" t="str">
        <f t="shared" si="421"/>
        <v>146600</v>
      </c>
    </row>
    <row r="1187" spans="1:36" x14ac:dyDescent="0.25">
      <c r="A1187">
        <v>2</v>
      </c>
      <c r="B1187" s="1">
        <v>46600</v>
      </c>
      <c r="C1187" s="1">
        <f t="shared" si="412"/>
        <v>46661</v>
      </c>
      <c r="D1187" s="1">
        <f t="shared" si="413"/>
        <v>46614</v>
      </c>
      <c r="E1187" s="1">
        <f t="shared" si="414"/>
        <v>46661</v>
      </c>
      <c r="F1187" s="1">
        <f t="shared" si="415"/>
        <v>46692</v>
      </c>
      <c r="G1187" s="1">
        <f t="shared" si="416"/>
        <v>46980</v>
      </c>
      <c r="H1187">
        <f t="shared" si="417"/>
        <v>366</v>
      </c>
      <c r="I1187">
        <f t="shared" si="418"/>
        <v>31</v>
      </c>
      <c r="J1187">
        <f t="shared" si="419"/>
        <v>8.4699453551912565E-2</v>
      </c>
      <c r="K1187">
        <f>IFERROR($J1187/IF($A1187&lt;COUNTIFS($K$1:K$1,"&lt;&gt;"),0,SUMIFS($J:$J,$B:$B,$B1187,$A:$A,"&gt;="&amp;COUNTIFS($K$1:K$1,"&lt;&gt;"))),0)</f>
        <v>8.882521489971347E-2</v>
      </c>
      <c r="L1187">
        <f>IFERROR($J1187/IF($A1187&lt;COUNTIFS($K$1:L$1,"&lt;&gt;"),0,SUMIFS($J:$J,$B:$B,$B1187,$A:$A,"&gt;="&amp;COUNTIFS($K$1:L$1,"&lt;&gt;"))),0)</f>
        <v>9.7178683385579931E-2</v>
      </c>
      <c r="M1187">
        <f>IFERROR($J1187/IF($A1187&lt;COUNTIFS($K$1:M$1,"&lt;&gt;"),0,SUMIFS($J:$J,$B:$B,$B1187,$A:$A,"&gt;="&amp;COUNTIFS($K$1:M$1,"&lt;&gt;"))),0)</f>
        <v>0</v>
      </c>
      <c r="N1187">
        <f>IFERROR($J1187/IF($A1187&lt;COUNTIFS($K$1:N$1,"&lt;&gt;"),0,SUMIFS($J:$J,$B:$B,$B1187,$A:$A,"&gt;="&amp;COUNTIFS($K$1:N$1,"&lt;&gt;"))),0)</f>
        <v>0</v>
      </c>
      <c r="O1187">
        <f>IFERROR($J1187/IF($A1187&lt;COUNTIFS($K$1:O$1,"&lt;&gt;"),0,SUMIFS($J:$J,$B:$B,$B1187,$A:$A,"&gt;="&amp;COUNTIFS($K$1:O$1,"&lt;&gt;"))),0)</f>
        <v>0</v>
      </c>
      <c r="P1187">
        <f>IFERROR($J1187/IF($A1187&lt;COUNTIFS($K$1:P$1,"&lt;&gt;"),0,SUMIFS($J:$J,$B:$B,$B1187,$A:$A,"&gt;="&amp;COUNTIFS($K$1:P$1,"&lt;&gt;"))),0)</f>
        <v>0</v>
      </c>
      <c r="Q1187">
        <f>IFERROR($J1187/IF($A1187&lt;COUNTIFS($K$1:Q$1,"&lt;&gt;"),0,SUMIFS($J:$J,$B:$B,$B1187,$A:$A,"&gt;="&amp;COUNTIFS($K$1:Q$1,"&lt;&gt;"))),0)</f>
        <v>0</v>
      </c>
      <c r="R1187">
        <f>IFERROR($J1187/IF($A1187&lt;COUNTIFS($K$1:R$1,"&lt;&gt;"),0,SUMIFS($J:$J,$B:$B,$B1187,$A:$A,"&gt;="&amp;COUNTIFS($K$1:R$1,"&lt;&gt;"))),0)</f>
        <v>0</v>
      </c>
      <c r="S1187">
        <f>IFERROR($J1187/IF($A1187&lt;COUNTIFS($K$1:S$1,"&lt;&gt;"),0,SUMIFS($J:$J,$B:$B,$B1187,$A:$A,"&gt;="&amp;COUNTIFS($K$1:S$1,"&lt;&gt;"))),0)</f>
        <v>0</v>
      </c>
      <c r="T1187">
        <f>IFERROR($J1187/IF($A1187&lt;COUNTIFS($K$1:T$1,"&lt;&gt;"),0,SUMIFS($J:$J,$B:$B,$B1187,$A:$A,"&gt;="&amp;COUNTIFS($K$1:T$1,"&lt;&gt;"))),0)</f>
        <v>0</v>
      </c>
      <c r="U1187">
        <f>IFERROR($J1187/IF($A1187&lt;COUNTIFS($K$1:U$1,"&lt;&gt;"),0,SUMIFS($J:$J,$B:$B,$B1187,$A:$A,"&gt;="&amp;COUNTIFS($K$1:U$1,"&lt;&gt;"))),0)</f>
        <v>0</v>
      </c>
      <c r="V1187">
        <f>IFERROR($J1187/IF($A1187&lt;COUNTIFS($K$1:V$1,"&lt;&gt;"),0,SUMIFS($J:$J,$B:$B,$B1187,$A:$A,"&gt;="&amp;COUNTIFS($K$1:V$1,"&lt;&gt;"))),0)</f>
        <v>0</v>
      </c>
      <c r="W1187">
        <f t="shared" si="420"/>
        <v>8.4699453551912565E-2</v>
      </c>
      <c r="X1187">
        <f t="shared" si="400"/>
        <v>8.4699453551912565E-2</v>
      </c>
      <c r="Y1187">
        <f t="shared" si="401"/>
        <v>8.4699453551912565E-2</v>
      </c>
      <c r="Z1187">
        <f t="shared" si="402"/>
        <v>0</v>
      </c>
      <c r="AA1187">
        <f t="shared" si="403"/>
        <v>0</v>
      </c>
      <c r="AB1187">
        <f t="shared" si="404"/>
        <v>0</v>
      </c>
      <c r="AC1187">
        <f t="shared" si="405"/>
        <v>0</v>
      </c>
      <c r="AD1187">
        <f t="shared" si="406"/>
        <v>0</v>
      </c>
      <c r="AE1187">
        <f t="shared" si="407"/>
        <v>0</v>
      </c>
      <c r="AF1187">
        <f t="shared" si="408"/>
        <v>0</v>
      </c>
      <c r="AG1187">
        <f t="shared" si="409"/>
        <v>0</v>
      </c>
      <c r="AH1187">
        <f t="shared" si="410"/>
        <v>0</v>
      </c>
      <c r="AI1187">
        <f t="shared" si="411"/>
        <v>0</v>
      </c>
      <c r="AJ1187" s="2" t="str">
        <f t="shared" si="421"/>
        <v>246600</v>
      </c>
    </row>
    <row r="1188" spans="1:36" x14ac:dyDescent="0.25">
      <c r="A1188">
        <v>3</v>
      </c>
      <c r="B1188" s="1">
        <v>46600</v>
      </c>
      <c r="C1188" s="1">
        <f t="shared" si="412"/>
        <v>46692</v>
      </c>
      <c r="D1188" s="1">
        <f t="shared" si="413"/>
        <v>46614</v>
      </c>
      <c r="E1188" s="1">
        <f t="shared" si="414"/>
        <v>46692</v>
      </c>
      <c r="F1188" s="1">
        <f t="shared" si="415"/>
        <v>46722</v>
      </c>
      <c r="G1188" s="1">
        <f t="shared" si="416"/>
        <v>46980</v>
      </c>
      <c r="H1188">
        <f t="shared" si="417"/>
        <v>366</v>
      </c>
      <c r="I1188">
        <f t="shared" si="418"/>
        <v>30</v>
      </c>
      <c r="J1188">
        <f t="shared" si="419"/>
        <v>8.1967213114754092E-2</v>
      </c>
      <c r="K1188">
        <f>IFERROR($J1188/IF($A1188&lt;COUNTIFS($K$1:K$1,"&lt;&gt;"),0,SUMIFS($J:$J,$B:$B,$B1188,$A:$A,"&gt;="&amp;COUNTIFS($K$1:K$1,"&lt;&gt;"))),0)</f>
        <v>8.5959885386819479E-2</v>
      </c>
      <c r="L1188">
        <f>IFERROR($J1188/IF($A1188&lt;COUNTIFS($K$1:L$1,"&lt;&gt;"),0,SUMIFS($J:$J,$B:$B,$B1188,$A:$A,"&gt;="&amp;COUNTIFS($K$1:L$1,"&lt;&gt;"))),0)</f>
        <v>9.4043887147335414E-2</v>
      </c>
      <c r="M1188">
        <f>IFERROR($J1188/IF($A1188&lt;COUNTIFS($K$1:M$1,"&lt;&gt;"),0,SUMIFS($J:$J,$B:$B,$B1188,$A:$A,"&gt;="&amp;COUNTIFS($K$1:M$1,"&lt;&gt;"))),0)</f>
        <v>0.10416666666666666</v>
      </c>
      <c r="N1188">
        <f>IFERROR($J1188/IF($A1188&lt;COUNTIFS($K$1:N$1,"&lt;&gt;"),0,SUMIFS($J:$J,$B:$B,$B1188,$A:$A,"&gt;="&amp;COUNTIFS($K$1:N$1,"&lt;&gt;"))),0)</f>
        <v>0</v>
      </c>
      <c r="O1188">
        <f>IFERROR($J1188/IF($A1188&lt;COUNTIFS($K$1:O$1,"&lt;&gt;"),0,SUMIFS($J:$J,$B:$B,$B1188,$A:$A,"&gt;="&amp;COUNTIFS($K$1:O$1,"&lt;&gt;"))),0)</f>
        <v>0</v>
      </c>
      <c r="P1188">
        <f>IFERROR($J1188/IF($A1188&lt;COUNTIFS($K$1:P$1,"&lt;&gt;"),0,SUMIFS($J:$J,$B:$B,$B1188,$A:$A,"&gt;="&amp;COUNTIFS($K$1:P$1,"&lt;&gt;"))),0)</f>
        <v>0</v>
      </c>
      <c r="Q1188">
        <f>IFERROR($J1188/IF($A1188&lt;COUNTIFS($K$1:Q$1,"&lt;&gt;"),0,SUMIFS($J:$J,$B:$B,$B1188,$A:$A,"&gt;="&amp;COUNTIFS($K$1:Q$1,"&lt;&gt;"))),0)</f>
        <v>0</v>
      </c>
      <c r="R1188">
        <f>IFERROR($J1188/IF($A1188&lt;COUNTIFS($K$1:R$1,"&lt;&gt;"),0,SUMIFS($J:$J,$B:$B,$B1188,$A:$A,"&gt;="&amp;COUNTIFS($K$1:R$1,"&lt;&gt;"))),0)</f>
        <v>0</v>
      </c>
      <c r="S1188">
        <f>IFERROR($J1188/IF($A1188&lt;COUNTIFS($K$1:S$1,"&lt;&gt;"),0,SUMIFS($J:$J,$B:$B,$B1188,$A:$A,"&gt;="&amp;COUNTIFS($K$1:S$1,"&lt;&gt;"))),0)</f>
        <v>0</v>
      </c>
      <c r="T1188">
        <f>IFERROR($J1188/IF($A1188&lt;COUNTIFS($K$1:T$1,"&lt;&gt;"),0,SUMIFS($J:$J,$B:$B,$B1188,$A:$A,"&gt;="&amp;COUNTIFS($K$1:T$1,"&lt;&gt;"))),0)</f>
        <v>0</v>
      </c>
      <c r="U1188">
        <f>IFERROR($J1188/IF($A1188&lt;COUNTIFS($K$1:U$1,"&lt;&gt;"),0,SUMIFS($J:$J,$B:$B,$B1188,$A:$A,"&gt;="&amp;COUNTIFS($K$1:U$1,"&lt;&gt;"))),0)</f>
        <v>0</v>
      </c>
      <c r="V1188">
        <f>IFERROR($J1188/IF($A1188&lt;COUNTIFS($K$1:V$1,"&lt;&gt;"),0,SUMIFS($J:$J,$B:$B,$B1188,$A:$A,"&gt;="&amp;COUNTIFS($K$1:V$1,"&lt;&gt;"))),0)</f>
        <v>0</v>
      </c>
      <c r="W1188">
        <f t="shared" si="420"/>
        <v>8.1967213114754092E-2</v>
      </c>
      <c r="X1188">
        <f t="shared" si="400"/>
        <v>8.1967213114754092E-2</v>
      </c>
      <c r="Y1188">
        <f t="shared" si="401"/>
        <v>8.1967213114754092E-2</v>
      </c>
      <c r="Z1188">
        <f t="shared" si="402"/>
        <v>8.1967213114754092E-2</v>
      </c>
      <c r="AA1188">
        <f t="shared" si="403"/>
        <v>0</v>
      </c>
      <c r="AB1188">
        <f t="shared" si="404"/>
        <v>0</v>
      </c>
      <c r="AC1188">
        <f t="shared" si="405"/>
        <v>0</v>
      </c>
      <c r="AD1188">
        <f t="shared" si="406"/>
        <v>0</v>
      </c>
      <c r="AE1188">
        <f t="shared" si="407"/>
        <v>0</v>
      </c>
      <c r="AF1188">
        <f t="shared" si="408"/>
        <v>0</v>
      </c>
      <c r="AG1188">
        <f t="shared" si="409"/>
        <v>0</v>
      </c>
      <c r="AH1188">
        <f t="shared" si="410"/>
        <v>0</v>
      </c>
      <c r="AI1188">
        <f t="shared" si="411"/>
        <v>0</v>
      </c>
      <c r="AJ1188" s="2" t="str">
        <f t="shared" si="421"/>
        <v>346600</v>
      </c>
    </row>
    <row r="1189" spans="1:36" x14ac:dyDescent="0.25">
      <c r="A1189">
        <v>4</v>
      </c>
      <c r="B1189" s="1">
        <v>46600</v>
      </c>
      <c r="C1189" s="1">
        <f t="shared" si="412"/>
        <v>46722</v>
      </c>
      <c r="D1189" s="1">
        <f t="shared" si="413"/>
        <v>46614</v>
      </c>
      <c r="E1189" s="1">
        <f t="shared" si="414"/>
        <v>46722</v>
      </c>
      <c r="F1189" s="1">
        <f t="shared" si="415"/>
        <v>46753</v>
      </c>
      <c r="G1189" s="1">
        <f t="shared" si="416"/>
        <v>46980</v>
      </c>
      <c r="H1189">
        <f t="shared" si="417"/>
        <v>366</v>
      </c>
      <c r="I1189">
        <f t="shared" si="418"/>
        <v>31</v>
      </c>
      <c r="J1189">
        <f t="shared" si="419"/>
        <v>8.4699453551912565E-2</v>
      </c>
      <c r="K1189">
        <f>IFERROR($J1189/IF($A1189&lt;COUNTIFS($K$1:K$1,"&lt;&gt;"),0,SUMIFS($J:$J,$B:$B,$B1189,$A:$A,"&gt;="&amp;COUNTIFS($K$1:K$1,"&lt;&gt;"))),0)</f>
        <v>8.882521489971347E-2</v>
      </c>
      <c r="L1189">
        <f>IFERROR($J1189/IF($A1189&lt;COUNTIFS($K$1:L$1,"&lt;&gt;"),0,SUMIFS($J:$J,$B:$B,$B1189,$A:$A,"&gt;="&amp;COUNTIFS($K$1:L$1,"&lt;&gt;"))),0)</f>
        <v>9.7178683385579931E-2</v>
      </c>
      <c r="M1189">
        <f>IFERROR($J1189/IF($A1189&lt;COUNTIFS($K$1:M$1,"&lt;&gt;"),0,SUMIFS($J:$J,$B:$B,$B1189,$A:$A,"&gt;="&amp;COUNTIFS($K$1:M$1,"&lt;&gt;"))),0)</f>
        <v>0.10763888888888888</v>
      </c>
      <c r="N1189">
        <f>IFERROR($J1189/IF($A1189&lt;COUNTIFS($K$1:N$1,"&lt;&gt;"),0,SUMIFS($J:$J,$B:$B,$B1189,$A:$A,"&gt;="&amp;COUNTIFS($K$1:N$1,"&lt;&gt;"))),0)</f>
        <v>0.12015503875968991</v>
      </c>
      <c r="O1189">
        <f>IFERROR($J1189/IF($A1189&lt;COUNTIFS($K$1:O$1,"&lt;&gt;"),0,SUMIFS($J:$J,$B:$B,$B1189,$A:$A,"&gt;="&amp;COUNTIFS($K$1:O$1,"&lt;&gt;"))),0)</f>
        <v>0</v>
      </c>
      <c r="P1189">
        <f>IFERROR($J1189/IF($A1189&lt;COUNTIFS($K$1:P$1,"&lt;&gt;"),0,SUMIFS($J:$J,$B:$B,$B1189,$A:$A,"&gt;="&amp;COUNTIFS($K$1:P$1,"&lt;&gt;"))),0)</f>
        <v>0</v>
      </c>
      <c r="Q1189">
        <f>IFERROR($J1189/IF($A1189&lt;COUNTIFS($K$1:Q$1,"&lt;&gt;"),0,SUMIFS($J:$J,$B:$B,$B1189,$A:$A,"&gt;="&amp;COUNTIFS($K$1:Q$1,"&lt;&gt;"))),0)</f>
        <v>0</v>
      </c>
      <c r="R1189">
        <f>IFERROR($J1189/IF($A1189&lt;COUNTIFS($K$1:R$1,"&lt;&gt;"),0,SUMIFS($J:$J,$B:$B,$B1189,$A:$A,"&gt;="&amp;COUNTIFS($K$1:R$1,"&lt;&gt;"))),0)</f>
        <v>0</v>
      </c>
      <c r="S1189">
        <f>IFERROR($J1189/IF($A1189&lt;COUNTIFS($K$1:S$1,"&lt;&gt;"),0,SUMIFS($J:$J,$B:$B,$B1189,$A:$A,"&gt;="&amp;COUNTIFS($K$1:S$1,"&lt;&gt;"))),0)</f>
        <v>0</v>
      </c>
      <c r="T1189">
        <f>IFERROR($J1189/IF($A1189&lt;COUNTIFS($K$1:T$1,"&lt;&gt;"),0,SUMIFS($J:$J,$B:$B,$B1189,$A:$A,"&gt;="&amp;COUNTIFS($K$1:T$1,"&lt;&gt;"))),0)</f>
        <v>0</v>
      </c>
      <c r="U1189">
        <f>IFERROR($J1189/IF($A1189&lt;COUNTIFS($K$1:U$1,"&lt;&gt;"),0,SUMIFS($J:$J,$B:$B,$B1189,$A:$A,"&gt;="&amp;COUNTIFS($K$1:U$1,"&lt;&gt;"))),0)</f>
        <v>0</v>
      </c>
      <c r="V1189">
        <f>IFERROR($J1189/IF($A1189&lt;COUNTIFS($K$1:V$1,"&lt;&gt;"),0,SUMIFS($J:$J,$B:$B,$B1189,$A:$A,"&gt;="&amp;COUNTIFS($K$1:V$1,"&lt;&gt;"))),0)</f>
        <v>0</v>
      </c>
      <c r="W1189">
        <f t="shared" si="420"/>
        <v>8.4699453551912565E-2</v>
      </c>
      <c r="X1189">
        <f t="shared" si="400"/>
        <v>8.4699453551912565E-2</v>
      </c>
      <c r="Y1189">
        <f t="shared" si="401"/>
        <v>8.4699453551912565E-2</v>
      </c>
      <c r="Z1189">
        <f t="shared" si="402"/>
        <v>8.4699453551912565E-2</v>
      </c>
      <c r="AA1189">
        <f t="shared" si="403"/>
        <v>8.4699453551912565E-2</v>
      </c>
      <c r="AB1189">
        <f t="shared" si="404"/>
        <v>0</v>
      </c>
      <c r="AC1189">
        <f t="shared" si="405"/>
        <v>0</v>
      </c>
      <c r="AD1189">
        <f t="shared" si="406"/>
        <v>0</v>
      </c>
      <c r="AE1189">
        <f t="shared" si="407"/>
        <v>0</v>
      </c>
      <c r="AF1189">
        <f t="shared" si="408"/>
        <v>0</v>
      </c>
      <c r="AG1189">
        <f t="shared" si="409"/>
        <v>0</v>
      </c>
      <c r="AH1189">
        <f t="shared" si="410"/>
        <v>0</v>
      </c>
      <c r="AI1189">
        <f t="shared" si="411"/>
        <v>0</v>
      </c>
      <c r="AJ1189" s="2" t="str">
        <f t="shared" si="421"/>
        <v>446600</v>
      </c>
    </row>
    <row r="1190" spans="1:36" x14ac:dyDescent="0.25">
      <c r="A1190">
        <v>5</v>
      </c>
      <c r="B1190" s="1">
        <v>46600</v>
      </c>
      <c r="C1190" s="1">
        <f t="shared" si="412"/>
        <v>46753</v>
      </c>
      <c r="D1190" s="1">
        <f t="shared" si="413"/>
        <v>46614</v>
      </c>
      <c r="E1190" s="1">
        <f t="shared" si="414"/>
        <v>46753</v>
      </c>
      <c r="F1190" s="1">
        <f t="shared" si="415"/>
        <v>46784</v>
      </c>
      <c r="G1190" s="1">
        <f t="shared" si="416"/>
        <v>46980</v>
      </c>
      <c r="H1190">
        <f t="shared" si="417"/>
        <v>366</v>
      </c>
      <c r="I1190">
        <f t="shared" si="418"/>
        <v>31</v>
      </c>
      <c r="J1190">
        <f t="shared" si="419"/>
        <v>8.4699453551912565E-2</v>
      </c>
      <c r="K1190">
        <f>IFERROR($J1190/IF($A1190&lt;COUNTIFS($K$1:K$1,"&lt;&gt;"),0,SUMIFS($J:$J,$B:$B,$B1190,$A:$A,"&gt;="&amp;COUNTIFS($K$1:K$1,"&lt;&gt;"))),0)</f>
        <v>8.882521489971347E-2</v>
      </c>
      <c r="L1190">
        <f>IFERROR($J1190/IF($A1190&lt;COUNTIFS($K$1:L$1,"&lt;&gt;"),0,SUMIFS($J:$J,$B:$B,$B1190,$A:$A,"&gt;="&amp;COUNTIFS($K$1:L$1,"&lt;&gt;"))),0)</f>
        <v>9.7178683385579931E-2</v>
      </c>
      <c r="M1190">
        <f>IFERROR($J1190/IF($A1190&lt;COUNTIFS($K$1:M$1,"&lt;&gt;"),0,SUMIFS($J:$J,$B:$B,$B1190,$A:$A,"&gt;="&amp;COUNTIFS($K$1:M$1,"&lt;&gt;"))),0)</f>
        <v>0.10763888888888888</v>
      </c>
      <c r="N1190">
        <f>IFERROR($J1190/IF($A1190&lt;COUNTIFS($K$1:N$1,"&lt;&gt;"),0,SUMIFS($J:$J,$B:$B,$B1190,$A:$A,"&gt;="&amp;COUNTIFS($K$1:N$1,"&lt;&gt;"))),0)</f>
        <v>0.12015503875968991</v>
      </c>
      <c r="O1190">
        <f>IFERROR($J1190/IF($A1190&lt;COUNTIFS($K$1:O$1,"&lt;&gt;"),0,SUMIFS($J:$J,$B:$B,$B1190,$A:$A,"&gt;="&amp;COUNTIFS($K$1:O$1,"&lt;&gt;"))),0)</f>
        <v>0.13656387665198236</v>
      </c>
      <c r="P1190">
        <f>IFERROR($J1190/IF($A1190&lt;COUNTIFS($K$1:P$1,"&lt;&gt;"),0,SUMIFS($J:$J,$B:$B,$B1190,$A:$A,"&gt;="&amp;COUNTIFS($K$1:P$1,"&lt;&gt;"))),0)</f>
        <v>0</v>
      </c>
      <c r="Q1190">
        <f>IFERROR($J1190/IF($A1190&lt;COUNTIFS($K$1:Q$1,"&lt;&gt;"),0,SUMIFS($J:$J,$B:$B,$B1190,$A:$A,"&gt;="&amp;COUNTIFS($K$1:Q$1,"&lt;&gt;"))),0)</f>
        <v>0</v>
      </c>
      <c r="R1190">
        <f>IFERROR($J1190/IF($A1190&lt;COUNTIFS($K$1:R$1,"&lt;&gt;"),0,SUMIFS($J:$J,$B:$B,$B1190,$A:$A,"&gt;="&amp;COUNTIFS($K$1:R$1,"&lt;&gt;"))),0)</f>
        <v>0</v>
      </c>
      <c r="S1190">
        <f>IFERROR($J1190/IF($A1190&lt;COUNTIFS($K$1:S$1,"&lt;&gt;"),0,SUMIFS($J:$J,$B:$B,$B1190,$A:$A,"&gt;="&amp;COUNTIFS($K$1:S$1,"&lt;&gt;"))),0)</f>
        <v>0</v>
      </c>
      <c r="T1190">
        <f>IFERROR($J1190/IF($A1190&lt;COUNTIFS($K$1:T$1,"&lt;&gt;"),0,SUMIFS($J:$J,$B:$B,$B1190,$A:$A,"&gt;="&amp;COUNTIFS($K$1:T$1,"&lt;&gt;"))),0)</f>
        <v>0</v>
      </c>
      <c r="U1190">
        <f>IFERROR($J1190/IF($A1190&lt;COUNTIFS($K$1:U$1,"&lt;&gt;"),0,SUMIFS($J:$J,$B:$B,$B1190,$A:$A,"&gt;="&amp;COUNTIFS($K$1:U$1,"&lt;&gt;"))),0)</f>
        <v>0</v>
      </c>
      <c r="V1190">
        <f>IFERROR($J1190/IF($A1190&lt;COUNTIFS($K$1:V$1,"&lt;&gt;"),0,SUMIFS($J:$J,$B:$B,$B1190,$A:$A,"&gt;="&amp;COUNTIFS($K$1:V$1,"&lt;&gt;"))),0)</f>
        <v>0</v>
      </c>
      <c r="W1190">
        <f t="shared" si="420"/>
        <v>8.4699453551912565E-2</v>
      </c>
      <c r="X1190">
        <f t="shared" si="400"/>
        <v>8.4699453551912565E-2</v>
      </c>
      <c r="Y1190">
        <f t="shared" si="401"/>
        <v>8.4699453551912565E-2</v>
      </c>
      <c r="Z1190">
        <f t="shared" si="402"/>
        <v>8.4699453551912565E-2</v>
      </c>
      <c r="AA1190">
        <f t="shared" si="403"/>
        <v>8.4699453551912565E-2</v>
      </c>
      <c r="AB1190">
        <f t="shared" si="404"/>
        <v>8.4699453551912565E-2</v>
      </c>
      <c r="AC1190">
        <f t="shared" si="405"/>
        <v>0</v>
      </c>
      <c r="AD1190">
        <f t="shared" si="406"/>
        <v>0</v>
      </c>
      <c r="AE1190">
        <f t="shared" si="407"/>
        <v>0</v>
      </c>
      <c r="AF1190">
        <f t="shared" si="408"/>
        <v>0</v>
      </c>
      <c r="AG1190">
        <f t="shared" si="409"/>
        <v>0</v>
      </c>
      <c r="AH1190">
        <f t="shared" si="410"/>
        <v>0</v>
      </c>
      <c r="AI1190">
        <f t="shared" si="411"/>
        <v>0</v>
      </c>
      <c r="AJ1190" s="2" t="str">
        <f t="shared" si="421"/>
        <v>546600</v>
      </c>
    </row>
    <row r="1191" spans="1:36" x14ac:dyDescent="0.25">
      <c r="A1191">
        <v>6</v>
      </c>
      <c r="B1191" s="1">
        <v>46600</v>
      </c>
      <c r="C1191" s="1">
        <f t="shared" si="412"/>
        <v>46784</v>
      </c>
      <c r="D1191" s="1">
        <f t="shared" si="413"/>
        <v>46614</v>
      </c>
      <c r="E1191" s="1">
        <f t="shared" si="414"/>
        <v>46784</v>
      </c>
      <c r="F1191" s="1">
        <f t="shared" si="415"/>
        <v>46813</v>
      </c>
      <c r="G1191" s="1">
        <f t="shared" si="416"/>
        <v>46980</v>
      </c>
      <c r="H1191">
        <f t="shared" si="417"/>
        <v>366</v>
      </c>
      <c r="I1191">
        <f t="shared" si="418"/>
        <v>29</v>
      </c>
      <c r="J1191">
        <f t="shared" si="419"/>
        <v>7.9234972677595633E-2</v>
      </c>
      <c r="K1191">
        <f>IFERROR($J1191/IF($A1191&lt;COUNTIFS($K$1:K$1,"&lt;&gt;"),0,SUMIFS($J:$J,$B:$B,$B1191,$A:$A,"&gt;="&amp;COUNTIFS($K$1:K$1,"&lt;&gt;"))),0)</f>
        <v>8.3094555873925516E-2</v>
      </c>
      <c r="L1191">
        <f>IFERROR($J1191/IF($A1191&lt;COUNTIFS($K$1:L$1,"&lt;&gt;"),0,SUMIFS($J:$J,$B:$B,$B1191,$A:$A,"&gt;="&amp;COUNTIFS($K$1:L$1,"&lt;&gt;"))),0)</f>
        <v>9.0909090909090912E-2</v>
      </c>
      <c r="M1191">
        <f>IFERROR($J1191/IF($A1191&lt;COUNTIFS($K$1:M$1,"&lt;&gt;"),0,SUMIFS($J:$J,$B:$B,$B1191,$A:$A,"&gt;="&amp;COUNTIFS($K$1:M$1,"&lt;&gt;"))),0)</f>
        <v>0.10069444444444445</v>
      </c>
      <c r="N1191">
        <f>IFERROR($J1191/IF($A1191&lt;COUNTIFS($K$1:N$1,"&lt;&gt;"),0,SUMIFS($J:$J,$B:$B,$B1191,$A:$A,"&gt;="&amp;COUNTIFS($K$1:N$1,"&lt;&gt;"))),0)</f>
        <v>0.1124031007751938</v>
      </c>
      <c r="O1191">
        <f>IFERROR($J1191/IF($A1191&lt;COUNTIFS($K$1:O$1,"&lt;&gt;"),0,SUMIFS($J:$J,$B:$B,$B1191,$A:$A,"&gt;="&amp;COUNTIFS($K$1:O$1,"&lt;&gt;"))),0)</f>
        <v>0.1277533039647577</v>
      </c>
      <c r="P1191">
        <f>IFERROR($J1191/IF($A1191&lt;COUNTIFS($K$1:P$1,"&lt;&gt;"),0,SUMIFS($J:$J,$B:$B,$B1191,$A:$A,"&gt;="&amp;COUNTIFS($K$1:P$1,"&lt;&gt;"))),0)</f>
        <v>0.14795918367346941</v>
      </c>
      <c r="Q1191">
        <f>IFERROR($J1191/IF($A1191&lt;COUNTIFS($K$1:Q$1,"&lt;&gt;"),0,SUMIFS($J:$J,$B:$B,$B1191,$A:$A,"&gt;="&amp;COUNTIFS($K$1:Q$1,"&lt;&gt;"))),0)</f>
        <v>0</v>
      </c>
      <c r="R1191">
        <f>IFERROR($J1191/IF($A1191&lt;COUNTIFS($K$1:R$1,"&lt;&gt;"),0,SUMIFS($J:$J,$B:$B,$B1191,$A:$A,"&gt;="&amp;COUNTIFS($K$1:R$1,"&lt;&gt;"))),0)</f>
        <v>0</v>
      </c>
      <c r="S1191">
        <f>IFERROR($J1191/IF($A1191&lt;COUNTIFS($K$1:S$1,"&lt;&gt;"),0,SUMIFS($J:$J,$B:$B,$B1191,$A:$A,"&gt;="&amp;COUNTIFS($K$1:S$1,"&lt;&gt;"))),0)</f>
        <v>0</v>
      </c>
      <c r="T1191">
        <f>IFERROR($J1191/IF($A1191&lt;COUNTIFS($K$1:T$1,"&lt;&gt;"),0,SUMIFS($J:$J,$B:$B,$B1191,$A:$A,"&gt;="&amp;COUNTIFS($K$1:T$1,"&lt;&gt;"))),0)</f>
        <v>0</v>
      </c>
      <c r="U1191">
        <f>IFERROR($J1191/IF($A1191&lt;COUNTIFS($K$1:U$1,"&lt;&gt;"),0,SUMIFS($J:$J,$B:$B,$B1191,$A:$A,"&gt;="&amp;COUNTIFS($K$1:U$1,"&lt;&gt;"))),0)</f>
        <v>0</v>
      </c>
      <c r="V1191">
        <f>IFERROR($J1191/IF($A1191&lt;COUNTIFS($K$1:V$1,"&lt;&gt;"),0,SUMIFS($J:$J,$B:$B,$B1191,$A:$A,"&gt;="&amp;COUNTIFS($K$1:V$1,"&lt;&gt;"))),0)</f>
        <v>0</v>
      </c>
      <c r="W1191">
        <f t="shared" si="420"/>
        <v>7.9234972677595633E-2</v>
      </c>
      <c r="X1191">
        <f t="shared" si="400"/>
        <v>7.9234972677595633E-2</v>
      </c>
      <c r="Y1191">
        <f t="shared" si="401"/>
        <v>7.9234972677595633E-2</v>
      </c>
      <c r="Z1191">
        <f t="shared" si="402"/>
        <v>7.9234972677595633E-2</v>
      </c>
      <c r="AA1191">
        <f t="shared" si="403"/>
        <v>7.9234972677595633E-2</v>
      </c>
      <c r="AB1191">
        <f t="shared" si="404"/>
        <v>7.9234972677595633E-2</v>
      </c>
      <c r="AC1191">
        <f t="shared" si="405"/>
        <v>7.9234972677595633E-2</v>
      </c>
      <c r="AD1191">
        <f t="shared" si="406"/>
        <v>0</v>
      </c>
      <c r="AE1191">
        <f t="shared" si="407"/>
        <v>0</v>
      </c>
      <c r="AF1191">
        <f t="shared" si="408"/>
        <v>0</v>
      </c>
      <c r="AG1191">
        <f t="shared" si="409"/>
        <v>0</v>
      </c>
      <c r="AH1191">
        <f t="shared" si="410"/>
        <v>0</v>
      </c>
      <c r="AI1191">
        <f t="shared" si="411"/>
        <v>0</v>
      </c>
      <c r="AJ1191" s="2" t="str">
        <f t="shared" si="421"/>
        <v>646600</v>
      </c>
    </row>
    <row r="1192" spans="1:36" x14ac:dyDescent="0.25">
      <c r="A1192">
        <v>7</v>
      </c>
      <c r="B1192" s="1">
        <v>46600</v>
      </c>
      <c r="C1192" s="1">
        <f t="shared" si="412"/>
        <v>46813</v>
      </c>
      <c r="D1192" s="1">
        <f t="shared" si="413"/>
        <v>46614</v>
      </c>
      <c r="E1192" s="1">
        <f t="shared" si="414"/>
        <v>46813</v>
      </c>
      <c r="F1192" s="1">
        <f t="shared" si="415"/>
        <v>46844</v>
      </c>
      <c r="G1192" s="1">
        <f t="shared" si="416"/>
        <v>46980</v>
      </c>
      <c r="H1192">
        <f t="shared" si="417"/>
        <v>366</v>
      </c>
      <c r="I1192">
        <f t="shared" si="418"/>
        <v>31</v>
      </c>
      <c r="J1192">
        <f t="shared" si="419"/>
        <v>8.4699453551912565E-2</v>
      </c>
      <c r="K1192">
        <f>IFERROR($J1192/IF($A1192&lt;COUNTIFS($K$1:K$1,"&lt;&gt;"),0,SUMIFS($J:$J,$B:$B,$B1192,$A:$A,"&gt;="&amp;COUNTIFS($K$1:K$1,"&lt;&gt;"))),0)</f>
        <v>8.882521489971347E-2</v>
      </c>
      <c r="L1192">
        <f>IFERROR($J1192/IF($A1192&lt;COUNTIFS($K$1:L$1,"&lt;&gt;"),0,SUMIFS($J:$J,$B:$B,$B1192,$A:$A,"&gt;="&amp;COUNTIFS($K$1:L$1,"&lt;&gt;"))),0)</f>
        <v>9.7178683385579931E-2</v>
      </c>
      <c r="M1192">
        <f>IFERROR($J1192/IF($A1192&lt;COUNTIFS($K$1:M$1,"&lt;&gt;"),0,SUMIFS($J:$J,$B:$B,$B1192,$A:$A,"&gt;="&amp;COUNTIFS($K$1:M$1,"&lt;&gt;"))),0)</f>
        <v>0.10763888888888888</v>
      </c>
      <c r="N1192">
        <f>IFERROR($J1192/IF($A1192&lt;COUNTIFS($K$1:N$1,"&lt;&gt;"),0,SUMIFS($J:$J,$B:$B,$B1192,$A:$A,"&gt;="&amp;COUNTIFS($K$1:N$1,"&lt;&gt;"))),0)</f>
        <v>0.12015503875968991</v>
      </c>
      <c r="O1192">
        <f>IFERROR($J1192/IF($A1192&lt;COUNTIFS($K$1:O$1,"&lt;&gt;"),0,SUMIFS($J:$J,$B:$B,$B1192,$A:$A,"&gt;="&amp;COUNTIFS($K$1:O$1,"&lt;&gt;"))),0)</f>
        <v>0.13656387665198236</v>
      </c>
      <c r="P1192">
        <f>IFERROR($J1192/IF($A1192&lt;COUNTIFS($K$1:P$1,"&lt;&gt;"),0,SUMIFS($J:$J,$B:$B,$B1192,$A:$A,"&gt;="&amp;COUNTIFS($K$1:P$1,"&lt;&gt;"))),0)</f>
        <v>0.15816326530612246</v>
      </c>
      <c r="Q1192">
        <f>IFERROR($J1192/IF($A1192&lt;COUNTIFS($K$1:Q$1,"&lt;&gt;"),0,SUMIFS($J:$J,$B:$B,$B1192,$A:$A,"&gt;="&amp;COUNTIFS($K$1:Q$1,"&lt;&gt;"))),0)</f>
        <v>0.18562874251497008</v>
      </c>
      <c r="R1192">
        <f>IFERROR($J1192/IF($A1192&lt;COUNTIFS($K$1:R$1,"&lt;&gt;"),0,SUMIFS($J:$J,$B:$B,$B1192,$A:$A,"&gt;="&amp;COUNTIFS($K$1:R$1,"&lt;&gt;"))),0)</f>
        <v>0</v>
      </c>
      <c r="S1192">
        <f>IFERROR($J1192/IF($A1192&lt;COUNTIFS($K$1:S$1,"&lt;&gt;"),0,SUMIFS($J:$J,$B:$B,$B1192,$A:$A,"&gt;="&amp;COUNTIFS($K$1:S$1,"&lt;&gt;"))),0)</f>
        <v>0</v>
      </c>
      <c r="T1192">
        <f>IFERROR($J1192/IF($A1192&lt;COUNTIFS($K$1:T$1,"&lt;&gt;"),0,SUMIFS($J:$J,$B:$B,$B1192,$A:$A,"&gt;="&amp;COUNTIFS($K$1:T$1,"&lt;&gt;"))),0)</f>
        <v>0</v>
      </c>
      <c r="U1192">
        <f>IFERROR($J1192/IF($A1192&lt;COUNTIFS($K$1:U$1,"&lt;&gt;"),0,SUMIFS($J:$J,$B:$B,$B1192,$A:$A,"&gt;="&amp;COUNTIFS($K$1:U$1,"&lt;&gt;"))),0)</f>
        <v>0</v>
      </c>
      <c r="V1192">
        <f>IFERROR($J1192/IF($A1192&lt;COUNTIFS($K$1:V$1,"&lt;&gt;"),0,SUMIFS($J:$J,$B:$B,$B1192,$A:$A,"&gt;="&amp;COUNTIFS($K$1:V$1,"&lt;&gt;"))),0)</f>
        <v>0</v>
      </c>
      <c r="W1192">
        <f t="shared" si="420"/>
        <v>8.4699453551912565E-2</v>
      </c>
      <c r="X1192">
        <f t="shared" si="400"/>
        <v>8.4699453551912565E-2</v>
      </c>
      <c r="Y1192">
        <f t="shared" si="401"/>
        <v>8.4699453551912565E-2</v>
      </c>
      <c r="Z1192">
        <f t="shared" si="402"/>
        <v>8.4699453551912565E-2</v>
      </c>
      <c r="AA1192">
        <f t="shared" si="403"/>
        <v>8.4699453551912565E-2</v>
      </c>
      <c r="AB1192">
        <f t="shared" si="404"/>
        <v>8.4699453551912565E-2</v>
      </c>
      <c r="AC1192">
        <f t="shared" si="405"/>
        <v>8.4699453551912565E-2</v>
      </c>
      <c r="AD1192">
        <f t="shared" si="406"/>
        <v>8.4699453551912565E-2</v>
      </c>
      <c r="AE1192">
        <f t="shared" si="407"/>
        <v>0</v>
      </c>
      <c r="AF1192">
        <f t="shared" si="408"/>
        <v>0</v>
      </c>
      <c r="AG1192">
        <f t="shared" si="409"/>
        <v>0</v>
      </c>
      <c r="AH1192">
        <f t="shared" si="410"/>
        <v>0</v>
      </c>
      <c r="AI1192">
        <f t="shared" si="411"/>
        <v>0</v>
      </c>
      <c r="AJ1192" s="2" t="str">
        <f t="shared" si="421"/>
        <v>746600</v>
      </c>
    </row>
    <row r="1193" spans="1:36" x14ac:dyDescent="0.25">
      <c r="A1193">
        <v>8</v>
      </c>
      <c r="B1193" s="1">
        <v>46600</v>
      </c>
      <c r="C1193" s="1">
        <f t="shared" si="412"/>
        <v>46844</v>
      </c>
      <c r="D1193" s="1">
        <f t="shared" si="413"/>
        <v>46614</v>
      </c>
      <c r="E1193" s="1">
        <f t="shared" si="414"/>
        <v>46844</v>
      </c>
      <c r="F1193" s="1">
        <f t="shared" si="415"/>
        <v>46874</v>
      </c>
      <c r="G1193" s="1">
        <f t="shared" si="416"/>
        <v>46980</v>
      </c>
      <c r="H1193">
        <f t="shared" si="417"/>
        <v>366</v>
      </c>
      <c r="I1193">
        <f t="shared" si="418"/>
        <v>30</v>
      </c>
      <c r="J1193">
        <f t="shared" si="419"/>
        <v>8.1967213114754092E-2</v>
      </c>
      <c r="K1193">
        <f>IFERROR($J1193/IF($A1193&lt;COUNTIFS($K$1:K$1,"&lt;&gt;"),0,SUMIFS($J:$J,$B:$B,$B1193,$A:$A,"&gt;="&amp;COUNTIFS($K$1:K$1,"&lt;&gt;"))),0)</f>
        <v>8.5959885386819479E-2</v>
      </c>
      <c r="L1193">
        <f>IFERROR($J1193/IF($A1193&lt;COUNTIFS($K$1:L$1,"&lt;&gt;"),0,SUMIFS($J:$J,$B:$B,$B1193,$A:$A,"&gt;="&amp;COUNTIFS($K$1:L$1,"&lt;&gt;"))),0)</f>
        <v>9.4043887147335414E-2</v>
      </c>
      <c r="M1193">
        <f>IFERROR($J1193/IF($A1193&lt;COUNTIFS($K$1:M$1,"&lt;&gt;"),0,SUMIFS($J:$J,$B:$B,$B1193,$A:$A,"&gt;="&amp;COUNTIFS($K$1:M$1,"&lt;&gt;"))),0)</f>
        <v>0.10416666666666666</v>
      </c>
      <c r="N1193">
        <f>IFERROR($J1193/IF($A1193&lt;COUNTIFS($K$1:N$1,"&lt;&gt;"),0,SUMIFS($J:$J,$B:$B,$B1193,$A:$A,"&gt;="&amp;COUNTIFS($K$1:N$1,"&lt;&gt;"))),0)</f>
        <v>0.11627906976744184</v>
      </c>
      <c r="O1193">
        <f>IFERROR($J1193/IF($A1193&lt;COUNTIFS($K$1:O$1,"&lt;&gt;"),0,SUMIFS($J:$J,$B:$B,$B1193,$A:$A,"&gt;="&amp;COUNTIFS($K$1:O$1,"&lt;&gt;"))),0)</f>
        <v>0.13215859030837002</v>
      </c>
      <c r="P1193">
        <f>IFERROR($J1193/IF($A1193&lt;COUNTIFS($K$1:P$1,"&lt;&gt;"),0,SUMIFS($J:$J,$B:$B,$B1193,$A:$A,"&gt;="&amp;COUNTIFS($K$1:P$1,"&lt;&gt;"))),0)</f>
        <v>0.15306122448979592</v>
      </c>
      <c r="Q1193">
        <f>IFERROR($J1193/IF($A1193&lt;COUNTIFS($K$1:Q$1,"&lt;&gt;"),0,SUMIFS($J:$J,$B:$B,$B1193,$A:$A,"&gt;="&amp;COUNTIFS($K$1:Q$1,"&lt;&gt;"))),0)</f>
        <v>0.17964071856287425</v>
      </c>
      <c r="R1193">
        <f>IFERROR($J1193/IF($A1193&lt;COUNTIFS($K$1:R$1,"&lt;&gt;"),0,SUMIFS($J:$J,$B:$B,$B1193,$A:$A,"&gt;="&amp;COUNTIFS($K$1:R$1,"&lt;&gt;"))),0)</f>
        <v>0.22058823529411764</v>
      </c>
      <c r="S1193">
        <f>IFERROR($J1193/IF($A1193&lt;COUNTIFS($K$1:S$1,"&lt;&gt;"),0,SUMIFS($J:$J,$B:$B,$B1193,$A:$A,"&gt;="&amp;COUNTIFS($K$1:S$1,"&lt;&gt;"))),0)</f>
        <v>0</v>
      </c>
      <c r="T1193">
        <f>IFERROR($J1193/IF($A1193&lt;COUNTIFS($K$1:T$1,"&lt;&gt;"),0,SUMIFS($J:$J,$B:$B,$B1193,$A:$A,"&gt;="&amp;COUNTIFS($K$1:T$1,"&lt;&gt;"))),0)</f>
        <v>0</v>
      </c>
      <c r="U1193">
        <f>IFERROR($J1193/IF($A1193&lt;COUNTIFS($K$1:U$1,"&lt;&gt;"),0,SUMIFS($J:$J,$B:$B,$B1193,$A:$A,"&gt;="&amp;COUNTIFS($K$1:U$1,"&lt;&gt;"))),0)</f>
        <v>0</v>
      </c>
      <c r="V1193">
        <f>IFERROR($J1193/IF($A1193&lt;COUNTIFS($K$1:V$1,"&lt;&gt;"),0,SUMIFS($J:$J,$B:$B,$B1193,$A:$A,"&gt;="&amp;COUNTIFS($K$1:V$1,"&lt;&gt;"))),0)</f>
        <v>0</v>
      </c>
      <c r="W1193">
        <f t="shared" si="420"/>
        <v>8.1967213114754092E-2</v>
      </c>
      <c r="X1193">
        <f t="shared" si="400"/>
        <v>8.1967213114754092E-2</v>
      </c>
      <c r="Y1193">
        <f t="shared" si="401"/>
        <v>8.1967213114754092E-2</v>
      </c>
      <c r="Z1193">
        <f t="shared" si="402"/>
        <v>8.1967213114754092E-2</v>
      </c>
      <c r="AA1193">
        <f t="shared" si="403"/>
        <v>8.1967213114754092E-2</v>
      </c>
      <c r="AB1193">
        <f t="shared" si="404"/>
        <v>8.1967213114754092E-2</v>
      </c>
      <c r="AC1193">
        <f t="shared" si="405"/>
        <v>8.1967213114754092E-2</v>
      </c>
      <c r="AD1193">
        <f t="shared" si="406"/>
        <v>8.1967213114754092E-2</v>
      </c>
      <c r="AE1193">
        <f t="shared" si="407"/>
        <v>8.1967213114754092E-2</v>
      </c>
      <c r="AF1193">
        <f t="shared" si="408"/>
        <v>0</v>
      </c>
      <c r="AG1193">
        <f t="shared" si="409"/>
        <v>0</v>
      </c>
      <c r="AH1193">
        <f t="shared" si="410"/>
        <v>0</v>
      </c>
      <c r="AI1193">
        <f t="shared" si="411"/>
        <v>0</v>
      </c>
      <c r="AJ1193" s="2" t="str">
        <f t="shared" si="421"/>
        <v>846600</v>
      </c>
    </row>
    <row r="1194" spans="1:36" x14ac:dyDescent="0.25">
      <c r="A1194">
        <v>9</v>
      </c>
      <c r="B1194" s="1">
        <v>46600</v>
      </c>
      <c r="C1194" s="1">
        <f t="shared" si="412"/>
        <v>46874</v>
      </c>
      <c r="D1194" s="1">
        <f t="shared" si="413"/>
        <v>46614</v>
      </c>
      <c r="E1194" s="1">
        <f t="shared" si="414"/>
        <v>46874</v>
      </c>
      <c r="F1194" s="1">
        <f t="shared" si="415"/>
        <v>46905</v>
      </c>
      <c r="G1194" s="1">
        <f t="shared" si="416"/>
        <v>46980</v>
      </c>
      <c r="H1194">
        <f t="shared" si="417"/>
        <v>366</v>
      </c>
      <c r="I1194">
        <f t="shared" si="418"/>
        <v>31</v>
      </c>
      <c r="J1194">
        <f t="shared" si="419"/>
        <v>8.4699453551912565E-2</v>
      </c>
      <c r="K1194">
        <f>IFERROR($J1194/IF($A1194&lt;COUNTIFS($K$1:K$1,"&lt;&gt;"),0,SUMIFS($J:$J,$B:$B,$B1194,$A:$A,"&gt;="&amp;COUNTIFS($K$1:K$1,"&lt;&gt;"))),0)</f>
        <v>8.882521489971347E-2</v>
      </c>
      <c r="L1194">
        <f>IFERROR($J1194/IF($A1194&lt;COUNTIFS($K$1:L$1,"&lt;&gt;"),0,SUMIFS($J:$J,$B:$B,$B1194,$A:$A,"&gt;="&amp;COUNTIFS($K$1:L$1,"&lt;&gt;"))),0)</f>
        <v>9.7178683385579931E-2</v>
      </c>
      <c r="M1194">
        <f>IFERROR($J1194/IF($A1194&lt;COUNTIFS($K$1:M$1,"&lt;&gt;"),0,SUMIFS($J:$J,$B:$B,$B1194,$A:$A,"&gt;="&amp;COUNTIFS($K$1:M$1,"&lt;&gt;"))),0)</f>
        <v>0.10763888888888888</v>
      </c>
      <c r="N1194">
        <f>IFERROR($J1194/IF($A1194&lt;COUNTIFS($K$1:N$1,"&lt;&gt;"),0,SUMIFS($J:$J,$B:$B,$B1194,$A:$A,"&gt;="&amp;COUNTIFS($K$1:N$1,"&lt;&gt;"))),0)</f>
        <v>0.12015503875968991</v>
      </c>
      <c r="O1194">
        <f>IFERROR($J1194/IF($A1194&lt;COUNTIFS($K$1:O$1,"&lt;&gt;"),0,SUMIFS($J:$J,$B:$B,$B1194,$A:$A,"&gt;="&amp;COUNTIFS($K$1:O$1,"&lt;&gt;"))),0)</f>
        <v>0.13656387665198236</v>
      </c>
      <c r="P1194">
        <f>IFERROR($J1194/IF($A1194&lt;COUNTIFS($K$1:P$1,"&lt;&gt;"),0,SUMIFS($J:$J,$B:$B,$B1194,$A:$A,"&gt;="&amp;COUNTIFS($K$1:P$1,"&lt;&gt;"))),0)</f>
        <v>0.15816326530612246</v>
      </c>
      <c r="Q1194">
        <f>IFERROR($J1194/IF($A1194&lt;COUNTIFS($K$1:Q$1,"&lt;&gt;"),0,SUMIFS($J:$J,$B:$B,$B1194,$A:$A,"&gt;="&amp;COUNTIFS($K$1:Q$1,"&lt;&gt;"))),0)</f>
        <v>0.18562874251497008</v>
      </c>
      <c r="R1194">
        <f>IFERROR($J1194/IF($A1194&lt;COUNTIFS($K$1:R$1,"&lt;&gt;"),0,SUMIFS($J:$J,$B:$B,$B1194,$A:$A,"&gt;="&amp;COUNTIFS($K$1:R$1,"&lt;&gt;"))),0)</f>
        <v>0.22794117647058826</v>
      </c>
      <c r="S1194">
        <f>IFERROR($J1194/IF($A1194&lt;COUNTIFS($K$1:S$1,"&lt;&gt;"),0,SUMIFS($J:$J,$B:$B,$B1194,$A:$A,"&gt;="&amp;COUNTIFS($K$1:S$1,"&lt;&gt;"))),0)</f>
        <v>0.29245283018867924</v>
      </c>
      <c r="T1194">
        <f>IFERROR($J1194/IF($A1194&lt;COUNTIFS($K$1:T$1,"&lt;&gt;"),0,SUMIFS($J:$J,$B:$B,$B1194,$A:$A,"&gt;="&amp;COUNTIFS($K$1:T$1,"&lt;&gt;"))),0)</f>
        <v>0</v>
      </c>
      <c r="U1194">
        <f>IFERROR($J1194/IF($A1194&lt;COUNTIFS($K$1:U$1,"&lt;&gt;"),0,SUMIFS($J:$J,$B:$B,$B1194,$A:$A,"&gt;="&amp;COUNTIFS($K$1:U$1,"&lt;&gt;"))),0)</f>
        <v>0</v>
      </c>
      <c r="V1194">
        <f>IFERROR($J1194/IF($A1194&lt;COUNTIFS($K$1:V$1,"&lt;&gt;"),0,SUMIFS($J:$J,$B:$B,$B1194,$A:$A,"&gt;="&amp;COUNTIFS($K$1:V$1,"&lt;&gt;"))),0)</f>
        <v>0</v>
      </c>
      <c r="W1194">
        <f t="shared" si="420"/>
        <v>8.4699453551912565E-2</v>
      </c>
      <c r="X1194">
        <f t="shared" si="400"/>
        <v>8.4699453551912565E-2</v>
      </c>
      <c r="Y1194">
        <f t="shared" si="401"/>
        <v>8.4699453551912565E-2</v>
      </c>
      <c r="Z1194">
        <f t="shared" si="402"/>
        <v>8.4699453551912565E-2</v>
      </c>
      <c r="AA1194">
        <f t="shared" si="403"/>
        <v>8.4699453551912565E-2</v>
      </c>
      <c r="AB1194">
        <f t="shared" si="404"/>
        <v>8.4699453551912565E-2</v>
      </c>
      <c r="AC1194">
        <f t="shared" si="405"/>
        <v>8.4699453551912565E-2</v>
      </c>
      <c r="AD1194">
        <f t="shared" si="406"/>
        <v>8.4699453551912565E-2</v>
      </c>
      <c r="AE1194">
        <f t="shared" si="407"/>
        <v>8.4699453551912565E-2</v>
      </c>
      <c r="AF1194">
        <f t="shared" si="408"/>
        <v>8.4699453551912565E-2</v>
      </c>
      <c r="AG1194">
        <f t="shared" si="409"/>
        <v>0</v>
      </c>
      <c r="AH1194">
        <f t="shared" si="410"/>
        <v>0</v>
      </c>
      <c r="AI1194">
        <f t="shared" si="411"/>
        <v>0</v>
      </c>
      <c r="AJ1194" s="2" t="str">
        <f t="shared" si="421"/>
        <v>946600</v>
      </c>
    </row>
    <row r="1195" spans="1:36" x14ac:dyDescent="0.25">
      <c r="A1195">
        <v>10</v>
      </c>
      <c r="B1195" s="1">
        <v>46600</v>
      </c>
      <c r="C1195" s="1">
        <f t="shared" si="412"/>
        <v>46905</v>
      </c>
      <c r="D1195" s="1">
        <f t="shared" si="413"/>
        <v>46614</v>
      </c>
      <c r="E1195" s="1">
        <f t="shared" si="414"/>
        <v>46905</v>
      </c>
      <c r="F1195" s="1">
        <f t="shared" si="415"/>
        <v>46935</v>
      </c>
      <c r="G1195" s="1">
        <f t="shared" si="416"/>
        <v>46980</v>
      </c>
      <c r="H1195">
        <f t="shared" si="417"/>
        <v>366</v>
      </c>
      <c r="I1195">
        <f t="shared" si="418"/>
        <v>30</v>
      </c>
      <c r="J1195">
        <f t="shared" si="419"/>
        <v>8.1967213114754092E-2</v>
      </c>
      <c r="K1195">
        <f>IFERROR($J1195/IF($A1195&lt;COUNTIFS($K$1:K$1,"&lt;&gt;"),0,SUMIFS($J:$J,$B:$B,$B1195,$A:$A,"&gt;="&amp;COUNTIFS($K$1:K$1,"&lt;&gt;"))),0)</f>
        <v>8.5959885386819479E-2</v>
      </c>
      <c r="L1195">
        <f>IFERROR($J1195/IF($A1195&lt;COUNTIFS($K$1:L$1,"&lt;&gt;"),0,SUMIFS($J:$J,$B:$B,$B1195,$A:$A,"&gt;="&amp;COUNTIFS($K$1:L$1,"&lt;&gt;"))),0)</f>
        <v>9.4043887147335414E-2</v>
      </c>
      <c r="M1195">
        <f>IFERROR($J1195/IF($A1195&lt;COUNTIFS($K$1:M$1,"&lt;&gt;"),0,SUMIFS($J:$J,$B:$B,$B1195,$A:$A,"&gt;="&amp;COUNTIFS($K$1:M$1,"&lt;&gt;"))),0)</f>
        <v>0.10416666666666666</v>
      </c>
      <c r="N1195">
        <f>IFERROR($J1195/IF($A1195&lt;COUNTIFS($K$1:N$1,"&lt;&gt;"),0,SUMIFS($J:$J,$B:$B,$B1195,$A:$A,"&gt;="&amp;COUNTIFS($K$1:N$1,"&lt;&gt;"))),0)</f>
        <v>0.11627906976744184</v>
      </c>
      <c r="O1195">
        <f>IFERROR($J1195/IF($A1195&lt;COUNTIFS($K$1:O$1,"&lt;&gt;"),0,SUMIFS($J:$J,$B:$B,$B1195,$A:$A,"&gt;="&amp;COUNTIFS($K$1:O$1,"&lt;&gt;"))),0)</f>
        <v>0.13215859030837002</v>
      </c>
      <c r="P1195">
        <f>IFERROR($J1195/IF($A1195&lt;COUNTIFS($K$1:P$1,"&lt;&gt;"),0,SUMIFS($J:$J,$B:$B,$B1195,$A:$A,"&gt;="&amp;COUNTIFS($K$1:P$1,"&lt;&gt;"))),0)</f>
        <v>0.15306122448979592</v>
      </c>
      <c r="Q1195">
        <f>IFERROR($J1195/IF($A1195&lt;COUNTIFS($K$1:Q$1,"&lt;&gt;"),0,SUMIFS($J:$J,$B:$B,$B1195,$A:$A,"&gt;="&amp;COUNTIFS($K$1:Q$1,"&lt;&gt;"))),0)</f>
        <v>0.17964071856287425</v>
      </c>
      <c r="R1195">
        <f>IFERROR($J1195/IF($A1195&lt;COUNTIFS($K$1:R$1,"&lt;&gt;"),0,SUMIFS($J:$J,$B:$B,$B1195,$A:$A,"&gt;="&amp;COUNTIFS($K$1:R$1,"&lt;&gt;"))),0)</f>
        <v>0.22058823529411764</v>
      </c>
      <c r="S1195">
        <f>IFERROR($J1195/IF($A1195&lt;COUNTIFS($K$1:S$1,"&lt;&gt;"),0,SUMIFS($J:$J,$B:$B,$B1195,$A:$A,"&gt;="&amp;COUNTIFS($K$1:S$1,"&lt;&gt;"))),0)</f>
        <v>0.28301886792452829</v>
      </c>
      <c r="T1195">
        <f>IFERROR($J1195/IF($A1195&lt;COUNTIFS($K$1:T$1,"&lt;&gt;"),0,SUMIFS($J:$J,$B:$B,$B1195,$A:$A,"&gt;="&amp;COUNTIFS($K$1:T$1,"&lt;&gt;"))),0)</f>
        <v>0.39999999999999997</v>
      </c>
      <c r="U1195">
        <f>IFERROR($J1195/IF($A1195&lt;COUNTIFS($K$1:U$1,"&lt;&gt;"),0,SUMIFS($J:$J,$B:$B,$B1195,$A:$A,"&gt;="&amp;COUNTIFS($K$1:U$1,"&lt;&gt;"))),0)</f>
        <v>0</v>
      </c>
      <c r="V1195">
        <f>IFERROR($J1195/IF($A1195&lt;COUNTIFS($K$1:V$1,"&lt;&gt;"),0,SUMIFS($J:$J,$B:$B,$B1195,$A:$A,"&gt;="&amp;COUNTIFS($K$1:V$1,"&lt;&gt;"))),0)</f>
        <v>0</v>
      </c>
      <c r="W1195">
        <f t="shared" si="420"/>
        <v>8.1967213114754092E-2</v>
      </c>
      <c r="X1195">
        <f t="shared" si="400"/>
        <v>8.1967213114754092E-2</v>
      </c>
      <c r="Y1195">
        <f t="shared" si="401"/>
        <v>8.1967213114754092E-2</v>
      </c>
      <c r="Z1195">
        <f t="shared" si="402"/>
        <v>8.1967213114754092E-2</v>
      </c>
      <c r="AA1195">
        <f t="shared" si="403"/>
        <v>8.1967213114754092E-2</v>
      </c>
      <c r="AB1195">
        <f t="shared" si="404"/>
        <v>8.1967213114754092E-2</v>
      </c>
      <c r="AC1195">
        <f t="shared" si="405"/>
        <v>8.1967213114754092E-2</v>
      </c>
      <c r="AD1195">
        <f t="shared" si="406"/>
        <v>8.1967213114754092E-2</v>
      </c>
      <c r="AE1195">
        <f t="shared" si="407"/>
        <v>8.1967213114754092E-2</v>
      </c>
      <c r="AF1195">
        <f t="shared" si="408"/>
        <v>8.1967213114754092E-2</v>
      </c>
      <c r="AG1195">
        <f t="shared" si="409"/>
        <v>8.1967213114754092E-2</v>
      </c>
      <c r="AH1195">
        <f t="shared" si="410"/>
        <v>0</v>
      </c>
      <c r="AI1195">
        <f t="shared" si="411"/>
        <v>0</v>
      </c>
      <c r="AJ1195" s="2" t="str">
        <f t="shared" si="421"/>
        <v>1046600</v>
      </c>
    </row>
    <row r="1196" spans="1:36" x14ac:dyDescent="0.25">
      <c r="A1196">
        <v>11</v>
      </c>
      <c r="B1196" s="1">
        <v>46600</v>
      </c>
      <c r="C1196" s="1">
        <f t="shared" si="412"/>
        <v>46935</v>
      </c>
      <c r="D1196" s="1">
        <f t="shared" si="413"/>
        <v>46614</v>
      </c>
      <c r="E1196" s="1">
        <f t="shared" si="414"/>
        <v>46935</v>
      </c>
      <c r="F1196" s="1">
        <f t="shared" si="415"/>
        <v>46966</v>
      </c>
      <c r="G1196" s="1">
        <f t="shared" si="416"/>
        <v>46980</v>
      </c>
      <c r="H1196">
        <f t="shared" si="417"/>
        <v>366</v>
      </c>
      <c r="I1196">
        <f t="shared" si="418"/>
        <v>31</v>
      </c>
      <c r="J1196">
        <f t="shared" si="419"/>
        <v>8.4699453551912565E-2</v>
      </c>
      <c r="K1196">
        <f>IFERROR($J1196/IF($A1196&lt;COUNTIFS($K$1:K$1,"&lt;&gt;"),0,SUMIFS($J:$J,$B:$B,$B1196,$A:$A,"&gt;="&amp;COUNTIFS($K$1:K$1,"&lt;&gt;"))),0)</f>
        <v>8.882521489971347E-2</v>
      </c>
      <c r="L1196">
        <f>IFERROR($J1196/IF($A1196&lt;COUNTIFS($K$1:L$1,"&lt;&gt;"),0,SUMIFS($J:$J,$B:$B,$B1196,$A:$A,"&gt;="&amp;COUNTIFS($K$1:L$1,"&lt;&gt;"))),0)</f>
        <v>9.7178683385579931E-2</v>
      </c>
      <c r="M1196">
        <f>IFERROR($J1196/IF($A1196&lt;COUNTIFS($K$1:M$1,"&lt;&gt;"),0,SUMIFS($J:$J,$B:$B,$B1196,$A:$A,"&gt;="&amp;COUNTIFS($K$1:M$1,"&lt;&gt;"))),0)</f>
        <v>0.10763888888888888</v>
      </c>
      <c r="N1196">
        <f>IFERROR($J1196/IF($A1196&lt;COUNTIFS($K$1:N$1,"&lt;&gt;"),0,SUMIFS($J:$J,$B:$B,$B1196,$A:$A,"&gt;="&amp;COUNTIFS($K$1:N$1,"&lt;&gt;"))),0)</f>
        <v>0.12015503875968991</v>
      </c>
      <c r="O1196">
        <f>IFERROR($J1196/IF($A1196&lt;COUNTIFS($K$1:O$1,"&lt;&gt;"),0,SUMIFS($J:$J,$B:$B,$B1196,$A:$A,"&gt;="&amp;COUNTIFS($K$1:O$1,"&lt;&gt;"))),0)</f>
        <v>0.13656387665198236</v>
      </c>
      <c r="P1196">
        <f>IFERROR($J1196/IF($A1196&lt;COUNTIFS($K$1:P$1,"&lt;&gt;"),0,SUMIFS($J:$J,$B:$B,$B1196,$A:$A,"&gt;="&amp;COUNTIFS($K$1:P$1,"&lt;&gt;"))),0)</f>
        <v>0.15816326530612246</v>
      </c>
      <c r="Q1196">
        <f>IFERROR($J1196/IF($A1196&lt;COUNTIFS($K$1:Q$1,"&lt;&gt;"),0,SUMIFS($J:$J,$B:$B,$B1196,$A:$A,"&gt;="&amp;COUNTIFS($K$1:Q$1,"&lt;&gt;"))),0)</f>
        <v>0.18562874251497008</v>
      </c>
      <c r="R1196">
        <f>IFERROR($J1196/IF($A1196&lt;COUNTIFS($K$1:R$1,"&lt;&gt;"),0,SUMIFS($J:$J,$B:$B,$B1196,$A:$A,"&gt;="&amp;COUNTIFS($K$1:R$1,"&lt;&gt;"))),0)</f>
        <v>0.22794117647058826</v>
      </c>
      <c r="S1196">
        <f>IFERROR($J1196/IF($A1196&lt;COUNTIFS($K$1:S$1,"&lt;&gt;"),0,SUMIFS($J:$J,$B:$B,$B1196,$A:$A,"&gt;="&amp;COUNTIFS($K$1:S$1,"&lt;&gt;"))),0)</f>
        <v>0.29245283018867924</v>
      </c>
      <c r="T1196">
        <f>IFERROR($J1196/IF($A1196&lt;COUNTIFS($K$1:T$1,"&lt;&gt;"),0,SUMIFS($J:$J,$B:$B,$B1196,$A:$A,"&gt;="&amp;COUNTIFS($K$1:T$1,"&lt;&gt;"))),0)</f>
        <v>0.41333333333333333</v>
      </c>
      <c r="U1196">
        <f>IFERROR($J1196/IF($A1196&lt;COUNTIFS($K$1:U$1,"&lt;&gt;"),0,SUMIFS($J:$J,$B:$B,$B1196,$A:$A,"&gt;="&amp;COUNTIFS($K$1:U$1,"&lt;&gt;"))),0)</f>
        <v>0.68888888888888888</v>
      </c>
      <c r="V1196">
        <f>IFERROR($J1196/IF($A1196&lt;COUNTIFS($K$1:V$1,"&lt;&gt;"),0,SUMIFS($J:$J,$B:$B,$B1196,$A:$A,"&gt;="&amp;COUNTIFS($K$1:V$1,"&lt;&gt;"))),0)</f>
        <v>0</v>
      </c>
      <c r="W1196">
        <f t="shared" si="420"/>
        <v>8.4699453551912565E-2</v>
      </c>
      <c r="X1196">
        <f t="shared" si="400"/>
        <v>8.4699453551912565E-2</v>
      </c>
      <c r="Y1196">
        <f t="shared" si="401"/>
        <v>8.4699453551912565E-2</v>
      </c>
      <c r="Z1196">
        <f t="shared" si="402"/>
        <v>8.4699453551912565E-2</v>
      </c>
      <c r="AA1196">
        <f t="shared" si="403"/>
        <v>8.4699453551912565E-2</v>
      </c>
      <c r="AB1196">
        <f t="shared" si="404"/>
        <v>8.4699453551912565E-2</v>
      </c>
      <c r="AC1196">
        <f t="shared" si="405"/>
        <v>8.4699453551912565E-2</v>
      </c>
      <c r="AD1196">
        <f t="shared" si="406"/>
        <v>8.4699453551912565E-2</v>
      </c>
      <c r="AE1196">
        <f t="shared" si="407"/>
        <v>8.4699453551912565E-2</v>
      </c>
      <c r="AF1196">
        <f t="shared" si="408"/>
        <v>8.4699453551912565E-2</v>
      </c>
      <c r="AG1196">
        <f t="shared" si="409"/>
        <v>8.4699453551912565E-2</v>
      </c>
      <c r="AH1196">
        <f t="shared" si="410"/>
        <v>8.4699453551912565E-2</v>
      </c>
      <c r="AI1196">
        <f t="shared" si="411"/>
        <v>0</v>
      </c>
      <c r="AJ1196" s="2" t="str">
        <f t="shared" si="421"/>
        <v>1146600</v>
      </c>
    </row>
    <row r="1197" spans="1:36" x14ac:dyDescent="0.25">
      <c r="A1197">
        <v>12</v>
      </c>
      <c r="B1197" s="1">
        <v>46600</v>
      </c>
      <c r="C1197" s="1">
        <f t="shared" si="412"/>
        <v>46966</v>
      </c>
      <c r="D1197" s="1">
        <f t="shared" si="413"/>
        <v>46614</v>
      </c>
      <c r="E1197" s="1">
        <f t="shared" si="414"/>
        <v>46966</v>
      </c>
      <c r="F1197" s="1">
        <f t="shared" si="415"/>
        <v>46980</v>
      </c>
      <c r="G1197" s="1">
        <f t="shared" si="416"/>
        <v>46980</v>
      </c>
      <c r="H1197">
        <f t="shared" si="417"/>
        <v>366</v>
      </c>
      <c r="I1197">
        <f t="shared" si="418"/>
        <v>14</v>
      </c>
      <c r="J1197">
        <f t="shared" si="419"/>
        <v>3.825136612021858E-2</v>
      </c>
      <c r="K1197">
        <f>IFERROR($J1197/IF($A1197&lt;COUNTIFS($K$1:K$1,"&lt;&gt;"),0,SUMIFS($J:$J,$B:$B,$B1197,$A:$A,"&gt;="&amp;COUNTIFS($K$1:K$1,"&lt;&gt;"))),0)</f>
        <v>4.0114613180515762E-2</v>
      </c>
      <c r="L1197">
        <f>IFERROR($J1197/IF($A1197&lt;COUNTIFS($K$1:L$1,"&lt;&gt;"),0,SUMIFS($J:$J,$B:$B,$B1197,$A:$A,"&gt;="&amp;COUNTIFS($K$1:L$1,"&lt;&gt;"))),0)</f>
        <v>4.3887147335423198E-2</v>
      </c>
      <c r="M1197">
        <f>IFERROR($J1197/IF($A1197&lt;COUNTIFS($K$1:M$1,"&lt;&gt;"),0,SUMIFS($J:$J,$B:$B,$B1197,$A:$A,"&gt;="&amp;COUNTIFS($K$1:M$1,"&lt;&gt;"))),0)</f>
        <v>4.8611111111111112E-2</v>
      </c>
      <c r="N1197">
        <f>IFERROR($J1197/IF($A1197&lt;COUNTIFS($K$1:N$1,"&lt;&gt;"),0,SUMIFS($J:$J,$B:$B,$B1197,$A:$A,"&gt;="&amp;COUNTIFS($K$1:N$1,"&lt;&gt;"))),0)</f>
        <v>5.4263565891472867E-2</v>
      </c>
      <c r="O1197">
        <f>IFERROR($J1197/IF($A1197&lt;COUNTIFS($K$1:O$1,"&lt;&gt;"),0,SUMIFS($J:$J,$B:$B,$B1197,$A:$A,"&gt;="&amp;COUNTIFS($K$1:O$1,"&lt;&gt;"))),0)</f>
        <v>6.1674008810572688E-2</v>
      </c>
      <c r="P1197">
        <f>IFERROR($J1197/IF($A1197&lt;COUNTIFS($K$1:P$1,"&lt;&gt;"),0,SUMIFS($J:$J,$B:$B,$B1197,$A:$A,"&gt;="&amp;COUNTIFS($K$1:P$1,"&lt;&gt;"))),0)</f>
        <v>7.1428571428571438E-2</v>
      </c>
      <c r="Q1197">
        <f>IFERROR($J1197/IF($A1197&lt;COUNTIFS($K$1:Q$1,"&lt;&gt;"),0,SUMIFS($J:$J,$B:$B,$B1197,$A:$A,"&gt;="&amp;COUNTIFS($K$1:Q$1,"&lt;&gt;"))),0)</f>
        <v>8.3832335329341326E-2</v>
      </c>
      <c r="R1197">
        <f>IFERROR($J1197/IF($A1197&lt;COUNTIFS($K$1:R$1,"&lt;&gt;"),0,SUMIFS($J:$J,$B:$B,$B1197,$A:$A,"&gt;="&amp;COUNTIFS($K$1:R$1,"&lt;&gt;"))),0)</f>
        <v>0.10294117647058824</v>
      </c>
      <c r="S1197">
        <f>IFERROR($J1197/IF($A1197&lt;COUNTIFS($K$1:S$1,"&lt;&gt;"),0,SUMIFS($J:$J,$B:$B,$B1197,$A:$A,"&gt;="&amp;COUNTIFS($K$1:S$1,"&lt;&gt;"))),0)</f>
        <v>0.13207547169811321</v>
      </c>
      <c r="T1197">
        <f>IFERROR($J1197/IF($A1197&lt;COUNTIFS($K$1:T$1,"&lt;&gt;"),0,SUMIFS($J:$J,$B:$B,$B1197,$A:$A,"&gt;="&amp;COUNTIFS($K$1:T$1,"&lt;&gt;"))),0)</f>
        <v>0.18666666666666668</v>
      </c>
      <c r="U1197">
        <f>IFERROR($J1197/IF($A1197&lt;COUNTIFS($K$1:U$1,"&lt;&gt;"),0,SUMIFS($J:$J,$B:$B,$B1197,$A:$A,"&gt;="&amp;COUNTIFS($K$1:U$1,"&lt;&gt;"))),0)</f>
        <v>0.31111111111111112</v>
      </c>
      <c r="V1197">
        <f>IFERROR($J1197/IF($A1197&lt;COUNTIFS($K$1:V$1,"&lt;&gt;"),0,SUMIFS($J:$J,$B:$B,$B1197,$A:$A,"&gt;="&amp;COUNTIFS($K$1:V$1,"&lt;&gt;"))),0)</f>
        <v>1</v>
      </c>
      <c r="W1197">
        <f t="shared" si="420"/>
        <v>3.825136612021858E-2</v>
      </c>
      <c r="X1197">
        <f t="shared" si="400"/>
        <v>3.825136612021858E-2</v>
      </c>
      <c r="Y1197">
        <f t="shared" si="401"/>
        <v>3.825136612021858E-2</v>
      </c>
      <c r="Z1197">
        <f t="shared" si="402"/>
        <v>3.825136612021858E-2</v>
      </c>
      <c r="AA1197">
        <f t="shared" si="403"/>
        <v>3.825136612021858E-2</v>
      </c>
      <c r="AB1197">
        <f t="shared" si="404"/>
        <v>3.825136612021858E-2</v>
      </c>
      <c r="AC1197">
        <f t="shared" si="405"/>
        <v>3.825136612021858E-2</v>
      </c>
      <c r="AD1197">
        <f t="shared" si="406"/>
        <v>3.825136612021858E-2</v>
      </c>
      <c r="AE1197">
        <f t="shared" si="407"/>
        <v>3.825136612021858E-2</v>
      </c>
      <c r="AF1197">
        <f t="shared" si="408"/>
        <v>3.825136612021858E-2</v>
      </c>
      <c r="AG1197">
        <f t="shared" si="409"/>
        <v>3.825136612021858E-2</v>
      </c>
      <c r="AH1197">
        <f t="shared" si="410"/>
        <v>3.825136612021858E-2</v>
      </c>
      <c r="AI1197">
        <f t="shared" si="411"/>
        <v>3.825136612021858E-2</v>
      </c>
      <c r="AJ1197" s="2" t="str">
        <f t="shared" si="421"/>
        <v>1246600</v>
      </c>
    </row>
    <row r="1198" spans="1:36" x14ac:dyDescent="0.25">
      <c r="A1198">
        <v>0</v>
      </c>
      <c r="B1198" s="1">
        <v>46631</v>
      </c>
      <c r="C1198" s="1">
        <f t="shared" si="412"/>
        <v>46631</v>
      </c>
      <c r="D1198" s="1">
        <f t="shared" si="413"/>
        <v>46645</v>
      </c>
      <c r="E1198" s="1">
        <f t="shared" si="414"/>
        <v>46645</v>
      </c>
      <c r="F1198" s="1">
        <f t="shared" si="415"/>
        <v>46661</v>
      </c>
      <c r="G1198" s="1">
        <f t="shared" si="416"/>
        <v>47011</v>
      </c>
      <c r="H1198">
        <f t="shared" si="417"/>
        <v>366</v>
      </c>
      <c r="I1198">
        <f t="shared" si="418"/>
        <v>16</v>
      </c>
      <c r="J1198">
        <f t="shared" si="419"/>
        <v>4.3715846994535519E-2</v>
      </c>
      <c r="K1198">
        <f>IFERROR($J1198/IF($A1198&lt;COUNTIFS($K$1:K$1,"&lt;&gt;"),0,SUMIFS($J:$J,$B:$B,$B1198,$A:$A,"&gt;="&amp;COUNTIFS($K$1:K$1,"&lt;&gt;"))),0)</f>
        <v>0</v>
      </c>
      <c r="L1198">
        <f>IFERROR($J1198/IF($A1198&lt;COUNTIFS($K$1:L$1,"&lt;&gt;"),0,SUMIFS($J:$J,$B:$B,$B1198,$A:$A,"&gt;="&amp;COUNTIFS($K$1:L$1,"&lt;&gt;"))),0)</f>
        <v>0</v>
      </c>
      <c r="M1198">
        <f>IFERROR($J1198/IF($A1198&lt;COUNTIFS($K$1:M$1,"&lt;&gt;"),0,SUMIFS($J:$J,$B:$B,$B1198,$A:$A,"&gt;="&amp;COUNTIFS($K$1:M$1,"&lt;&gt;"))),0)</f>
        <v>0</v>
      </c>
      <c r="N1198">
        <f>IFERROR($J1198/IF($A1198&lt;COUNTIFS($K$1:N$1,"&lt;&gt;"),0,SUMIFS($J:$J,$B:$B,$B1198,$A:$A,"&gt;="&amp;COUNTIFS($K$1:N$1,"&lt;&gt;"))),0)</f>
        <v>0</v>
      </c>
      <c r="O1198">
        <f>IFERROR($J1198/IF($A1198&lt;COUNTIFS($K$1:O$1,"&lt;&gt;"),0,SUMIFS($J:$J,$B:$B,$B1198,$A:$A,"&gt;="&amp;COUNTIFS($K$1:O$1,"&lt;&gt;"))),0)</f>
        <v>0</v>
      </c>
      <c r="P1198">
        <f>IFERROR($J1198/IF($A1198&lt;COUNTIFS($K$1:P$1,"&lt;&gt;"),0,SUMIFS($J:$J,$B:$B,$B1198,$A:$A,"&gt;="&amp;COUNTIFS($K$1:P$1,"&lt;&gt;"))),0)</f>
        <v>0</v>
      </c>
      <c r="Q1198">
        <f>IFERROR($J1198/IF($A1198&lt;COUNTIFS($K$1:Q$1,"&lt;&gt;"),0,SUMIFS($J:$J,$B:$B,$B1198,$A:$A,"&gt;="&amp;COUNTIFS($K$1:Q$1,"&lt;&gt;"))),0)</f>
        <v>0</v>
      </c>
      <c r="R1198">
        <f>IFERROR($J1198/IF($A1198&lt;COUNTIFS($K$1:R$1,"&lt;&gt;"),0,SUMIFS($J:$J,$B:$B,$B1198,$A:$A,"&gt;="&amp;COUNTIFS($K$1:R$1,"&lt;&gt;"))),0)</f>
        <v>0</v>
      </c>
      <c r="S1198">
        <f>IFERROR($J1198/IF($A1198&lt;COUNTIFS($K$1:S$1,"&lt;&gt;"),0,SUMIFS($J:$J,$B:$B,$B1198,$A:$A,"&gt;="&amp;COUNTIFS($K$1:S$1,"&lt;&gt;"))),0)</f>
        <v>0</v>
      </c>
      <c r="T1198">
        <f>IFERROR($J1198/IF($A1198&lt;COUNTIFS($K$1:T$1,"&lt;&gt;"),0,SUMIFS($J:$J,$B:$B,$B1198,$A:$A,"&gt;="&amp;COUNTIFS($K$1:T$1,"&lt;&gt;"))),0)</f>
        <v>0</v>
      </c>
      <c r="U1198">
        <f>IFERROR($J1198/IF($A1198&lt;COUNTIFS($K$1:U$1,"&lt;&gt;"),0,SUMIFS($J:$J,$B:$B,$B1198,$A:$A,"&gt;="&amp;COUNTIFS($K$1:U$1,"&lt;&gt;"))),0)</f>
        <v>0</v>
      </c>
      <c r="V1198">
        <f>IFERROR($J1198/IF($A1198&lt;COUNTIFS($K$1:V$1,"&lt;&gt;"),0,SUMIFS($J:$J,$B:$B,$B1198,$A:$A,"&gt;="&amp;COUNTIFS($K$1:V$1,"&lt;&gt;"))),0)</f>
        <v>0</v>
      </c>
      <c r="W1198">
        <f t="shared" si="420"/>
        <v>4.3715846994535519E-2</v>
      </c>
      <c r="X1198">
        <f t="shared" si="400"/>
        <v>0</v>
      </c>
      <c r="Y1198">
        <f t="shared" si="401"/>
        <v>0</v>
      </c>
      <c r="Z1198">
        <f t="shared" si="402"/>
        <v>0</v>
      </c>
      <c r="AA1198">
        <f t="shared" si="403"/>
        <v>0</v>
      </c>
      <c r="AB1198">
        <f t="shared" si="404"/>
        <v>0</v>
      </c>
      <c r="AC1198">
        <f t="shared" si="405"/>
        <v>0</v>
      </c>
      <c r="AD1198">
        <f t="shared" si="406"/>
        <v>0</v>
      </c>
      <c r="AE1198">
        <f t="shared" si="407"/>
        <v>0</v>
      </c>
      <c r="AF1198">
        <f t="shared" si="408"/>
        <v>0</v>
      </c>
      <c r="AG1198">
        <f t="shared" si="409"/>
        <v>0</v>
      </c>
      <c r="AH1198">
        <f t="shared" si="410"/>
        <v>0</v>
      </c>
      <c r="AI1198">
        <f t="shared" si="411"/>
        <v>0</v>
      </c>
      <c r="AJ1198" s="2" t="str">
        <f t="shared" si="421"/>
        <v>046631</v>
      </c>
    </row>
    <row r="1199" spans="1:36" x14ac:dyDescent="0.25">
      <c r="A1199">
        <v>1</v>
      </c>
      <c r="B1199" s="1">
        <v>46631</v>
      </c>
      <c r="C1199" s="1">
        <f t="shared" si="412"/>
        <v>46661</v>
      </c>
      <c r="D1199" s="1">
        <f t="shared" si="413"/>
        <v>46645</v>
      </c>
      <c r="E1199" s="1">
        <f t="shared" si="414"/>
        <v>46661</v>
      </c>
      <c r="F1199" s="1">
        <f t="shared" si="415"/>
        <v>46692</v>
      </c>
      <c r="G1199" s="1">
        <f t="shared" si="416"/>
        <v>47011</v>
      </c>
      <c r="H1199">
        <f t="shared" si="417"/>
        <v>366</v>
      </c>
      <c r="I1199">
        <f t="shared" si="418"/>
        <v>31</v>
      </c>
      <c r="J1199">
        <f t="shared" si="419"/>
        <v>8.4699453551912565E-2</v>
      </c>
      <c r="K1199">
        <f>IFERROR($J1199/IF($A1199&lt;COUNTIFS($K$1:K$1,"&lt;&gt;"),0,SUMIFS($J:$J,$B:$B,$B1199,$A:$A,"&gt;="&amp;COUNTIFS($K$1:K$1,"&lt;&gt;"))),0)</f>
        <v>8.8571428571428579E-2</v>
      </c>
      <c r="L1199">
        <f>IFERROR($J1199/IF($A1199&lt;COUNTIFS($K$1:L$1,"&lt;&gt;"),0,SUMIFS($J:$J,$B:$B,$B1199,$A:$A,"&gt;="&amp;COUNTIFS($K$1:L$1,"&lt;&gt;"))),0)</f>
        <v>0</v>
      </c>
      <c r="M1199">
        <f>IFERROR($J1199/IF($A1199&lt;COUNTIFS($K$1:M$1,"&lt;&gt;"),0,SUMIFS($J:$J,$B:$B,$B1199,$A:$A,"&gt;="&amp;COUNTIFS($K$1:M$1,"&lt;&gt;"))),0)</f>
        <v>0</v>
      </c>
      <c r="N1199">
        <f>IFERROR($J1199/IF($A1199&lt;COUNTIFS($K$1:N$1,"&lt;&gt;"),0,SUMIFS($J:$J,$B:$B,$B1199,$A:$A,"&gt;="&amp;COUNTIFS($K$1:N$1,"&lt;&gt;"))),0)</f>
        <v>0</v>
      </c>
      <c r="O1199">
        <f>IFERROR($J1199/IF($A1199&lt;COUNTIFS($K$1:O$1,"&lt;&gt;"),0,SUMIFS($J:$J,$B:$B,$B1199,$A:$A,"&gt;="&amp;COUNTIFS($K$1:O$1,"&lt;&gt;"))),0)</f>
        <v>0</v>
      </c>
      <c r="P1199">
        <f>IFERROR($J1199/IF($A1199&lt;COUNTIFS($K$1:P$1,"&lt;&gt;"),0,SUMIFS($J:$J,$B:$B,$B1199,$A:$A,"&gt;="&amp;COUNTIFS($K$1:P$1,"&lt;&gt;"))),0)</f>
        <v>0</v>
      </c>
      <c r="Q1199">
        <f>IFERROR($J1199/IF($A1199&lt;COUNTIFS($K$1:Q$1,"&lt;&gt;"),0,SUMIFS($J:$J,$B:$B,$B1199,$A:$A,"&gt;="&amp;COUNTIFS($K$1:Q$1,"&lt;&gt;"))),0)</f>
        <v>0</v>
      </c>
      <c r="R1199">
        <f>IFERROR($J1199/IF($A1199&lt;COUNTIFS($K$1:R$1,"&lt;&gt;"),0,SUMIFS($J:$J,$B:$B,$B1199,$A:$A,"&gt;="&amp;COUNTIFS($K$1:R$1,"&lt;&gt;"))),0)</f>
        <v>0</v>
      </c>
      <c r="S1199">
        <f>IFERROR($J1199/IF($A1199&lt;COUNTIFS($K$1:S$1,"&lt;&gt;"),0,SUMIFS($J:$J,$B:$B,$B1199,$A:$A,"&gt;="&amp;COUNTIFS($K$1:S$1,"&lt;&gt;"))),0)</f>
        <v>0</v>
      </c>
      <c r="T1199">
        <f>IFERROR($J1199/IF($A1199&lt;COUNTIFS($K$1:T$1,"&lt;&gt;"),0,SUMIFS($J:$J,$B:$B,$B1199,$A:$A,"&gt;="&amp;COUNTIFS($K$1:T$1,"&lt;&gt;"))),0)</f>
        <v>0</v>
      </c>
      <c r="U1199">
        <f>IFERROR($J1199/IF($A1199&lt;COUNTIFS($K$1:U$1,"&lt;&gt;"),0,SUMIFS($J:$J,$B:$B,$B1199,$A:$A,"&gt;="&amp;COUNTIFS($K$1:U$1,"&lt;&gt;"))),0)</f>
        <v>0</v>
      </c>
      <c r="V1199">
        <f>IFERROR($J1199/IF($A1199&lt;COUNTIFS($K$1:V$1,"&lt;&gt;"),0,SUMIFS($J:$J,$B:$B,$B1199,$A:$A,"&gt;="&amp;COUNTIFS($K$1:V$1,"&lt;&gt;"))),0)</f>
        <v>0</v>
      </c>
      <c r="W1199">
        <f t="shared" si="420"/>
        <v>8.4699453551912565E-2</v>
      </c>
      <c r="X1199">
        <f t="shared" si="400"/>
        <v>8.4699453551912565E-2</v>
      </c>
      <c r="Y1199">
        <f t="shared" si="401"/>
        <v>0</v>
      </c>
      <c r="Z1199">
        <f t="shared" si="402"/>
        <v>0</v>
      </c>
      <c r="AA1199">
        <f t="shared" si="403"/>
        <v>0</v>
      </c>
      <c r="AB1199">
        <f t="shared" si="404"/>
        <v>0</v>
      </c>
      <c r="AC1199">
        <f t="shared" si="405"/>
        <v>0</v>
      </c>
      <c r="AD1199">
        <f t="shared" si="406"/>
        <v>0</v>
      </c>
      <c r="AE1199">
        <f t="shared" si="407"/>
        <v>0</v>
      </c>
      <c r="AF1199">
        <f t="shared" si="408"/>
        <v>0</v>
      </c>
      <c r="AG1199">
        <f t="shared" si="409"/>
        <v>0</v>
      </c>
      <c r="AH1199">
        <f t="shared" si="410"/>
        <v>0</v>
      </c>
      <c r="AI1199">
        <f t="shared" si="411"/>
        <v>0</v>
      </c>
      <c r="AJ1199" s="2" t="str">
        <f t="shared" si="421"/>
        <v>146631</v>
      </c>
    </row>
    <row r="1200" spans="1:36" x14ac:dyDescent="0.25">
      <c r="A1200">
        <v>2</v>
      </c>
      <c r="B1200" s="1">
        <v>46631</v>
      </c>
      <c r="C1200" s="1">
        <f t="shared" si="412"/>
        <v>46692</v>
      </c>
      <c r="D1200" s="1">
        <f t="shared" si="413"/>
        <v>46645</v>
      </c>
      <c r="E1200" s="1">
        <f t="shared" si="414"/>
        <v>46692</v>
      </c>
      <c r="F1200" s="1">
        <f t="shared" si="415"/>
        <v>46722</v>
      </c>
      <c r="G1200" s="1">
        <f t="shared" si="416"/>
        <v>47011</v>
      </c>
      <c r="H1200">
        <f t="shared" si="417"/>
        <v>366</v>
      </c>
      <c r="I1200">
        <f t="shared" si="418"/>
        <v>30</v>
      </c>
      <c r="J1200">
        <f t="shared" si="419"/>
        <v>8.1967213114754092E-2</v>
      </c>
      <c r="K1200">
        <f>IFERROR($J1200/IF($A1200&lt;COUNTIFS($K$1:K$1,"&lt;&gt;"),0,SUMIFS($J:$J,$B:$B,$B1200,$A:$A,"&gt;="&amp;COUNTIFS($K$1:K$1,"&lt;&gt;"))),0)</f>
        <v>8.5714285714285715E-2</v>
      </c>
      <c r="L1200">
        <f>IFERROR($J1200/IF($A1200&lt;COUNTIFS($K$1:L$1,"&lt;&gt;"),0,SUMIFS($J:$J,$B:$B,$B1200,$A:$A,"&gt;="&amp;COUNTIFS($K$1:L$1,"&lt;&gt;"))),0)</f>
        <v>9.4043887147335414E-2</v>
      </c>
      <c r="M1200">
        <f>IFERROR($J1200/IF($A1200&lt;COUNTIFS($K$1:M$1,"&lt;&gt;"),0,SUMIFS($J:$J,$B:$B,$B1200,$A:$A,"&gt;="&amp;COUNTIFS($K$1:M$1,"&lt;&gt;"))),0)</f>
        <v>0</v>
      </c>
      <c r="N1200">
        <f>IFERROR($J1200/IF($A1200&lt;COUNTIFS($K$1:N$1,"&lt;&gt;"),0,SUMIFS($J:$J,$B:$B,$B1200,$A:$A,"&gt;="&amp;COUNTIFS($K$1:N$1,"&lt;&gt;"))),0)</f>
        <v>0</v>
      </c>
      <c r="O1200">
        <f>IFERROR($J1200/IF($A1200&lt;COUNTIFS($K$1:O$1,"&lt;&gt;"),0,SUMIFS($J:$J,$B:$B,$B1200,$A:$A,"&gt;="&amp;COUNTIFS($K$1:O$1,"&lt;&gt;"))),0)</f>
        <v>0</v>
      </c>
      <c r="P1200">
        <f>IFERROR($J1200/IF($A1200&lt;COUNTIFS($K$1:P$1,"&lt;&gt;"),0,SUMIFS($J:$J,$B:$B,$B1200,$A:$A,"&gt;="&amp;COUNTIFS($K$1:P$1,"&lt;&gt;"))),0)</f>
        <v>0</v>
      </c>
      <c r="Q1200">
        <f>IFERROR($J1200/IF($A1200&lt;COUNTIFS($K$1:Q$1,"&lt;&gt;"),0,SUMIFS($J:$J,$B:$B,$B1200,$A:$A,"&gt;="&amp;COUNTIFS($K$1:Q$1,"&lt;&gt;"))),0)</f>
        <v>0</v>
      </c>
      <c r="R1200">
        <f>IFERROR($J1200/IF($A1200&lt;COUNTIFS($K$1:R$1,"&lt;&gt;"),0,SUMIFS($J:$J,$B:$B,$B1200,$A:$A,"&gt;="&amp;COUNTIFS($K$1:R$1,"&lt;&gt;"))),0)</f>
        <v>0</v>
      </c>
      <c r="S1200">
        <f>IFERROR($J1200/IF($A1200&lt;COUNTIFS($K$1:S$1,"&lt;&gt;"),0,SUMIFS($J:$J,$B:$B,$B1200,$A:$A,"&gt;="&amp;COUNTIFS($K$1:S$1,"&lt;&gt;"))),0)</f>
        <v>0</v>
      </c>
      <c r="T1200">
        <f>IFERROR($J1200/IF($A1200&lt;COUNTIFS($K$1:T$1,"&lt;&gt;"),0,SUMIFS($J:$J,$B:$B,$B1200,$A:$A,"&gt;="&amp;COUNTIFS($K$1:T$1,"&lt;&gt;"))),0)</f>
        <v>0</v>
      </c>
      <c r="U1200">
        <f>IFERROR($J1200/IF($A1200&lt;COUNTIFS($K$1:U$1,"&lt;&gt;"),0,SUMIFS($J:$J,$B:$B,$B1200,$A:$A,"&gt;="&amp;COUNTIFS($K$1:U$1,"&lt;&gt;"))),0)</f>
        <v>0</v>
      </c>
      <c r="V1200">
        <f>IFERROR($J1200/IF($A1200&lt;COUNTIFS($K$1:V$1,"&lt;&gt;"),0,SUMIFS($J:$J,$B:$B,$B1200,$A:$A,"&gt;="&amp;COUNTIFS($K$1:V$1,"&lt;&gt;"))),0)</f>
        <v>0</v>
      </c>
      <c r="W1200">
        <f t="shared" si="420"/>
        <v>8.1967213114754092E-2</v>
      </c>
      <c r="X1200">
        <f t="shared" si="400"/>
        <v>8.1967213114754092E-2</v>
      </c>
      <c r="Y1200">
        <f t="shared" si="401"/>
        <v>8.1967213114754092E-2</v>
      </c>
      <c r="Z1200">
        <f t="shared" si="402"/>
        <v>0</v>
      </c>
      <c r="AA1200">
        <f t="shared" si="403"/>
        <v>0</v>
      </c>
      <c r="AB1200">
        <f t="shared" si="404"/>
        <v>0</v>
      </c>
      <c r="AC1200">
        <f t="shared" si="405"/>
        <v>0</v>
      </c>
      <c r="AD1200">
        <f t="shared" si="406"/>
        <v>0</v>
      </c>
      <c r="AE1200">
        <f t="shared" si="407"/>
        <v>0</v>
      </c>
      <c r="AF1200">
        <f t="shared" si="408"/>
        <v>0</v>
      </c>
      <c r="AG1200">
        <f t="shared" si="409"/>
        <v>0</v>
      </c>
      <c r="AH1200">
        <f t="shared" si="410"/>
        <v>0</v>
      </c>
      <c r="AI1200">
        <f t="shared" si="411"/>
        <v>0</v>
      </c>
      <c r="AJ1200" s="2" t="str">
        <f t="shared" si="421"/>
        <v>246631</v>
      </c>
    </row>
    <row r="1201" spans="1:36" x14ac:dyDescent="0.25">
      <c r="A1201">
        <v>3</v>
      </c>
      <c r="B1201" s="1">
        <v>46631</v>
      </c>
      <c r="C1201" s="1">
        <f t="shared" si="412"/>
        <v>46722</v>
      </c>
      <c r="D1201" s="1">
        <f t="shared" si="413"/>
        <v>46645</v>
      </c>
      <c r="E1201" s="1">
        <f t="shared" si="414"/>
        <v>46722</v>
      </c>
      <c r="F1201" s="1">
        <f t="shared" si="415"/>
        <v>46753</v>
      </c>
      <c r="G1201" s="1">
        <f t="shared" si="416"/>
        <v>47011</v>
      </c>
      <c r="H1201">
        <f t="shared" si="417"/>
        <v>366</v>
      </c>
      <c r="I1201">
        <f t="shared" si="418"/>
        <v>31</v>
      </c>
      <c r="J1201">
        <f t="shared" si="419"/>
        <v>8.4699453551912565E-2</v>
      </c>
      <c r="K1201">
        <f>IFERROR($J1201/IF($A1201&lt;COUNTIFS($K$1:K$1,"&lt;&gt;"),0,SUMIFS($J:$J,$B:$B,$B1201,$A:$A,"&gt;="&amp;COUNTIFS($K$1:K$1,"&lt;&gt;"))),0)</f>
        <v>8.8571428571428579E-2</v>
      </c>
      <c r="L1201">
        <f>IFERROR($J1201/IF($A1201&lt;COUNTIFS($K$1:L$1,"&lt;&gt;"),0,SUMIFS($J:$J,$B:$B,$B1201,$A:$A,"&gt;="&amp;COUNTIFS($K$1:L$1,"&lt;&gt;"))),0)</f>
        <v>9.7178683385579931E-2</v>
      </c>
      <c r="M1201">
        <f>IFERROR($J1201/IF($A1201&lt;COUNTIFS($K$1:M$1,"&lt;&gt;"),0,SUMIFS($J:$J,$B:$B,$B1201,$A:$A,"&gt;="&amp;COUNTIFS($K$1:M$1,"&lt;&gt;"))),0)</f>
        <v>0.10726643598615916</v>
      </c>
      <c r="N1201">
        <f>IFERROR($J1201/IF($A1201&lt;COUNTIFS($K$1:N$1,"&lt;&gt;"),0,SUMIFS($J:$J,$B:$B,$B1201,$A:$A,"&gt;="&amp;COUNTIFS($K$1:N$1,"&lt;&gt;"))),0)</f>
        <v>0</v>
      </c>
      <c r="O1201">
        <f>IFERROR($J1201/IF($A1201&lt;COUNTIFS($K$1:O$1,"&lt;&gt;"),0,SUMIFS($J:$J,$B:$B,$B1201,$A:$A,"&gt;="&amp;COUNTIFS($K$1:O$1,"&lt;&gt;"))),0)</f>
        <v>0</v>
      </c>
      <c r="P1201">
        <f>IFERROR($J1201/IF($A1201&lt;COUNTIFS($K$1:P$1,"&lt;&gt;"),0,SUMIFS($J:$J,$B:$B,$B1201,$A:$A,"&gt;="&amp;COUNTIFS($K$1:P$1,"&lt;&gt;"))),0)</f>
        <v>0</v>
      </c>
      <c r="Q1201">
        <f>IFERROR($J1201/IF($A1201&lt;COUNTIFS($K$1:Q$1,"&lt;&gt;"),0,SUMIFS($J:$J,$B:$B,$B1201,$A:$A,"&gt;="&amp;COUNTIFS($K$1:Q$1,"&lt;&gt;"))),0)</f>
        <v>0</v>
      </c>
      <c r="R1201">
        <f>IFERROR($J1201/IF($A1201&lt;COUNTIFS($K$1:R$1,"&lt;&gt;"),0,SUMIFS($J:$J,$B:$B,$B1201,$A:$A,"&gt;="&amp;COUNTIFS($K$1:R$1,"&lt;&gt;"))),0)</f>
        <v>0</v>
      </c>
      <c r="S1201">
        <f>IFERROR($J1201/IF($A1201&lt;COUNTIFS($K$1:S$1,"&lt;&gt;"),0,SUMIFS($J:$J,$B:$B,$B1201,$A:$A,"&gt;="&amp;COUNTIFS($K$1:S$1,"&lt;&gt;"))),0)</f>
        <v>0</v>
      </c>
      <c r="T1201">
        <f>IFERROR($J1201/IF($A1201&lt;COUNTIFS($K$1:T$1,"&lt;&gt;"),0,SUMIFS($J:$J,$B:$B,$B1201,$A:$A,"&gt;="&amp;COUNTIFS($K$1:T$1,"&lt;&gt;"))),0)</f>
        <v>0</v>
      </c>
      <c r="U1201">
        <f>IFERROR($J1201/IF($A1201&lt;COUNTIFS($K$1:U$1,"&lt;&gt;"),0,SUMIFS($J:$J,$B:$B,$B1201,$A:$A,"&gt;="&amp;COUNTIFS($K$1:U$1,"&lt;&gt;"))),0)</f>
        <v>0</v>
      </c>
      <c r="V1201">
        <f>IFERROR($J1201/IF($A1201&lt;COUNTIFS($K$1:V$1,"&lt;&gt;"),0,SUMIFS($J:$J,$B:$B,$B1201,$A:$A,"&gt;="&amp;COUNTIFS($K$1:V$1,"&lt;&gt;"))),0)</f>
        <v>0</v>
      </c>
      <c r="W1201">
        <f t="shared" si="420"/>
        <v>8.4699453551912565E-2</v>
      </c>
      <c r="X1201">
        <f t="shared" si="400"/>
        <v>8.4699453551912565E-2</v>
      </c>
      <c r="Y1201">
        <f t="shared" si="401"/>
        <v>8.4699453551912565E-2</v>
      </c>
      <c r="Z1201">
        <f t="shared" si="402"/>
        <v>8.4699453551912565E-2</v>
      </c>
      <c r="AA1201">
        <f t="shared" si="403"/>
        <v>0</v>
      </c>
      <c r="AB1201">
        <f t="shared" si="404"/>
        <v>0</v>
      </c>
      <c r="AC1201">
        <f t="shared" si="405"/>
        <v>0</v>
      </c>
      <c r="AD1201">
        <f t="shared" si="406"/>
        <v>0</v>
      </c>
      <c r="AE1201">
        <f t="shared" si="407"/>
        <v>0</v>
      </c>
      <c r="AF1201">
        <f t="shared" si="408"/>
        <v>0</v>
      </c>
      <c r="AG1201">
        <f t="shared" si="409"/>
        <v>0</v>
      </c>
      <c r="AH1201">
        <f t="shared" si="410"/>
        <v>0</v>
      </c>
      <c r="AI1201">
        <f t="shared" si="411"/>
        <v>0</v>
      </c>
      <c r="AJ1201" s="2" t="str">
        <f t="shared" si="421"/>
        <v>346631</v>
      </c>
    </row>
    <row r="1202" spans="1:36" x14ac:dyDescent="0.25">
      <c r="A1202">
        <v>4</v>
      </c>
      <c r="B1202" s="1">
        <v>46631</v>
      </c>
      <c r="C1202" s="1">
        <f t="shared" si="412"/>
        <v>46753</v>
      </c>
      <c r="D1202" s="1">
        <f t="shared" si="413"/>
        <v>46645</v>
      </c>
      <c r="E1202" s="1">
        <f t="shared" si="414"/>
        <v>46753</v>
      </c>
      <c r="F1202" s="1">
        <f t="shared" si="415"/>
        <v>46784</v>
      </c>
      <c r="G1202" s="1">
        <f t="shared" si="416"/>
        <v>47011</v>
      </c>
      <c r="H1202">
        <f t="shared" si="417"/>
        <v>366</v>
      </c>
      <c r="I1202">
        <f t="shared" si="418"/>
        <v>31</v>
      </c>
      <c r="J1202">
        <f t="shared" si="419"/>
        <v>8.4699453551912565E-2</v>
      </c>
      <c r="K1202">
        <f>IFERROR($J1202/IF($A1202&lt;COUNTIFS($K$1:K$1,"&lt;&gt;"),0,SUMIFS($J:$J,$B:$B,$B1202,$A:$A,"&gt;="&amp;COUNTIFS($K$1:K$1,"&lt;&gt;"))),0)</f>
        <v>8.8571428571428579E-2</v>
      </c>
      <c r="L1202">
        <f>IFERROR($J1202/IF($A1202&lt;COUNTIFS($K$1:L$1,"&lt;&gt;"),0,SUMIFS($J:$J,$B:$B,$B1202,$A:$A,"&gt;="&amp;COUNTIFS($K$1:L$1,"&lt;&gt;"))),0)</f>
        <v>9.7178683385579931E-2</v>
      </c>
      <c r="M1202">
        <f>IFERROR($J1202/IF($A1202&lt;COUNTIFS($K$1:M$1,"&lt;&gt;"),0,SUMIFS($J:$J,$B:$B,$B1202,$A:$A,"&gt;="&amp;COUNTIFS($K$1:M$1,"&lt;&gt;"))),0)</f>
        <v>0.10726643598615916</v>
      </c>
      <c r="N1202">
        <f>IFERROR($J1202/IF($A1202&lt;COUNTIFS($K$1:N$1,"&lt;&gt;"),0,SUMIFS($J:$J,$B:$B,$B1202,$A:$A,"&gt;="&amp;COUNTIFS($K$1:N$1,"&lt;&gt;"))),0)</f>
        <v>0.12015503875968991</v>
      </c>
      <c r="O1202">
        <f>IFERROR($J1202/IF($A1202&lt;COUNTIFS($K$1:O$1,"&lt;&gt;"),0,SUMIFS($J:$J,$B:$B,$B1202,$A:$A,"&gt;="&amp;COUNTIFS($K$1:O$1,"&lt;&gt;"))),0)</f>
        <v>0</v>
      </c>
      <c r="P1202">
        <f>IFERROR($J1202/IF($A1202&lt;COUNTIFS($K$1:P$1,"&lt;&gt;"),0,SUMIFS($J:$J,$B:$B,$B1202,$A:$A,"&gt;="&amp;COUNTIFS($K$1:P$1,"&lt;&gt;"))),0)</f>
        <v>0</v>
      </c>
      <c r="Q1202">
        <f>IFERROR($J1202/IF($A1202&lt;COUNTIFS($K$1:Q$1,"&lt;&gt;"),0,SUMIFS($J:$J,$B:$B,$B1202,$A:$A,"&gt;="&amp;COUNTIFS($K$1:Q$1,"&lt;&gt;"))),0)</f>
        <v>0</v>
      </c>
      <c r="R1202">
        <f>IFERROR($J1202/IF($A1202&lt;COUNTIFS($K$1:R$1,"&lt;&gt;"),0,SUMIFS($J:$J,$B:$B,$B1202,$A:$A,"&gt;="&amp;COUNTIFS($K$1:R$1,"&lt;&gt;"))),0)</f>
        <v>0</v>
      </c>
      <c r="S1202">
        <f>IFERROR($J1202/IF($A1202&lt;COUNTIFS($K$1:S$1,"&lt;&gt;"),0,SUMIFS($J:$J,$B:$B,$B1202,$A:$A,"&gt;="&amp;COUNTIFS($K$1:S$1,"&lt;&gt;"))),0)</f>
        <v>0</v>
      </c>
      <c r="T1202">
        <f>IFERROR($J1202/IF($A1202&lt;COUNTIFS($K$1:T$1,"&lt;&gt;"),0,SUMIFS($J:$J,$B:$B,$B1202,$A:$A,"&gt;="&amp;COUNTIFS($K$1:T$1,"&lt;&gt;"))),0)</f>
        <v>0</v>
      </c>
      <c r="U1202">
        <f>IFERROR($J1202/IF($A1202&lt;COUNTIFS($K$1:U$1,"&lt;&gt;"),0,SUMIFS($J:$J,$B:$B,$B1202,$A:$A,"&gt;="&amp;COUNTIFS($K$1:U$1,"&lt;&gt;"))),0)</f>
        <v>0</v>
      </c>
      <c r="V1202">
        <f>IFERROR($J1202/IF($A1202&lt;COUNTIFS($K$1:V$1,"&lt;&gt;"),0,SUMIFS($J:$J,$B:$B,$B1202,$A:$A,"&gt;="&amp;COUNTIFS($K$1:V$1,"&lt;&gt;"))),0)</f>
        <v>0</v>
      </c>
      <c r="W1202">
        <f t="shared" si="420"/>
        <v>8.4699453551912565E-2</v>
      </c>
      <c r="X1202">
        <f t="shared" si="400"/>
        <v>8.4699453551912565E-2</v>
      </c>
      <c r="Y1202">
        <f t="shared" si="401"/>
        <v>8.4699453551912565E-2</v>
      </c>
      <c r="Z1202">
        <f t="shared" si="402"/>
        <v>8.4699453551912565E-2</v>
      </c>
      <c r="AA1202">
        <f t="shared" si="403"/>
        <v>8.4699453551912565E-2</v>
      </c>
      <c r="AB1202">
        <f t="shared" si="404"/>
        <v>0</v>
      </c>
      <c r="AC1202">
        <f t="shared" si="405"/>
        <v>0</v>
      </c>
      <c r="AD1202">
        <f t="shared" si="406"/>
        <v>0</v>
      </c>
      <c r="AE1202">
        <f t="shared" si="407"/>
        <v>0</v>
      </c>
      <c r="AF1202">
        <f t="shared" si="408"/>
        <v>0</v>
      </c>
      <c r="AG1202">
        <f t="shared" si="409"/>
        <v>0</v>
      </c>
      <c r="AH1202">
        <f t="shared" si="410"/>
        <v>0</v>
      </c>
      <c r="AI1202">
        <f t="shared" si="411"/>
        <v>0</v>
      </c>
      <c r="AJ1202" s="2" t="str">
        <f t="shared" si="421"/>
        <v>446631</v>
      </c>
    </row>
    <row r="1203" spans="1:36" x14ac:dyDescent="0.25">
      <c r="A1203">
        <v>5</v>
      </c>
      <c r="B1203" s="1">
        <v>46631</v>
      </c>
      <c r="C1203" s="1">
        <f t="shared" si="412"/>
        <v>46784</v>
      </c>
      <c r="D1203" s="1">
        <f t="shared" si="413"/>
        <v>46645</v>
      </c>
      <c r="E1203" s="1">
        <f t="shared" si="414"/>
        <v>46784</v>
      </c>
      <c r="F1203" s="1">
        <f t="shared" si="415"/>
        <v>46813</v>
      </c>
      <c r="G1203" s="1">
        <f t="shared" si="416"/>
        <v>47011</v>
      </c>
      <c r="H1203">
        <f t="shared" si="417"/>
        <v>366</v>
      </c>
      <c r="I1203">
        <f t="shared" si="418"/>
        <v>29</v>
      </c>
      <c r="J1203">
        <f t="shared" si="419"/>
        <v>7.9234972677595633E-2</v>
      </c>
      <c r="K1203">
        <f>IFERROR($J1203/IF($A1203&lt;COUNTIFS($K$1:K$1,"&lt;&gt;"),0,SUMIFS($J:$J,$B:$B,$B1203,$A:$A,"&gt;="&amp;COUNTIFS($K$1:K$1,"&lt;&gt;"))),0)</f>
        <v>8.2857142857142865E-2</v>
      </c>
      <c r="L1203">
        <f>IFERROR($J1203/IF($A1203&lt;COUNTIFS($K$1:L$1,"&lt;&gt;"),0,SUMIFS($J:$J,$B:$B,$B1203,$A:$A,"&gt;="&amp;COUNTIFS($K$1:L$1,"&lt;&gt;"))),0)</f>
        <v>9.0909090909090912E-2</v>
      </c>
      <c r="M1203">
        <f>IFERROR($J1203/IF($A1203&lt;COUNTIFS($K$1:M$1,"&lt;&gt;"),0,SUMIFS($J:$J,$B:$B,$B1203,$A:$A,"&gt;="&amp;COUNTIFS($K$1:M$1,"&lt;&gt;"))),0)</f>
        <v>0.10034602076124569</v>
      </c>
      <c r="N1203">
        <f>IFERROR($J1203/IF($A1203&lt;COUNTIFS($K$1:N$1,"&lt;&gt;"),0,SUMIFS($J:$J,$B:$B,$B1203,$A:$A,"&gt;="&amp;COUNTIFS($K$1:N$1,"&lt;&gt;"))),0)</f>
        <v>0.1124031007751938</v>
      </c>
      <c r="O1203">
        <f>IFERROR($J1203/IF($A1203&lt;COUNTIFS($K$1:O$1,"&lt;&gt;"),0,SUMIFS($J:$J,$B:$B,$B1203,$A:$A,"&gt;="&amp;COUNTIFS($K$1:O$1,"&lt;&gt;"))),0)</f>
        <v>0.1277533039647577</v>
      </c>
      <c r="P1203">
        <f>IFERROR($J1203/IF($A1203&lt;COUNTIFS($K$1:P$1,"&lt;&gt;"),0,SUMIFS($J:$J,$B:$B,$B1203,$A:$A,"&gt;="&amp;COUNTIFS($K$1:P$1,"&lt;&gt;"))),0)</f>
        <v>0</v>
      </c>
      <c r="Q1203">
        <f>IFERROR($J1203/IF($A1203&lt;COUNTIFS($K$1:Q$1,"&lt;&gt;"),0,SUMIFS($J:$J,$B:$B,$B1203,$A:$A,"&gt;="&amp;COUNTIFS($K$1:Q$1,"&lt;&gt;"))),0)</f>
        <v>0</v>
      </c>
      <c r="R1203">
        <f>IFERROR($J1203/IF($A1203&lt;COUNTIFS($K$1:R$1,"&lt;&gt;"),0,SUMIFS($J:$J,$B:$B,$B1203,$A:$A,"&gt;="&amp;COUNTIFS($K$1:R$1,"&lt;&gt;"))),0)</f>
        <v>0</v>
      </c>
      <c r="S1203">
        <f>IFERROR($J1203/IF($A1203&lt;COUNTIFS($K$1:S$1,"&lt;&gt;"),0,SUMIFS($J:$J,$B:$B,$B1203,$A:$A,"&gt;="&amp;COUNTIFS($K$1:S$1,"&lt;&gt;"))),0)</f>
        <v>0</v>
      </c>
      <c r="T1203">
        <f>IFERROR($J1203/IF($A1203&lt;COUNTIFS($K$1:T$1,"&lt;&gt;"),0,SUMIFS($J:$J,$B:$B,$B1203,$A:$A,"&gt;="&amp;COUNTIFS($K$1:T$1,"&lt;&gt;"))),0)</f>
        <v>0</v>
      </c>
      <c r="U1203">
        <f>IFERROR($J1203/IF($A1203&lt;COUNTIFS($K$1:U$1,"&lt;&gt;"),0,SUMIFS($J:$J,$B:$B,$B1203,$A:$A,"&gt;="&amp;COUNTIFS($K$1:U$1,"&lt;&gt;"))),0)</f>
        <v>0</v>
      </c>
      <c r="V1203">
        <f>IFERROR($J1203/IF($A1203&lt;COUNTIFS($K$1:V$1,"&lt;&gt;"),0,SUMIFS($J:$J,$B:$B,$B1203,$A:$A,"&gt;="&amp;COUNTIFS($K$1:V$1,"&lt;&gt;"))),0)</f>
        <v>0</v>
      </c>
      <c r="W1203">
        <f t="shared" si="420"/>
        <v>7.9234972677595633E-2</v>
      </c>
      <c r="X1203">
        <f t="shared" si="400"/>
        <v>7.9234972677595633E-2</v>
      </c>
      <c r="Y1203">
        <f t="shared" si="401"/>
        <v>7.9234972677595633E-2</v>
      </c>
      <c r="Z1203">
        <f t="shared" si="402"/>
        <v>7.9234972677595633E-2</v>
      </c>
      <c r="AA1203">
        <f t="shared" si="403"/>
        <v>7.9234972677595633E-2</v>
      </c>
      <c r="AB1203">
        <f t="shared" si="404"/>
        <v>7.9234972677595633E-2</v>
      </c>
      <c r="AC1203">
        <f t="shared" si="405"/>
        <v>0</v>
      </c>
      <c r="AD1203">
        <f t="shared" si="406"/>
        <v>0</v>
      </c>
      <c r="AE1203">
        <f t="shared" si="407"/>
        <v>0</v>
      </c>
      <c r="AF1203">
        <f t="shared" si="408"/>
        <v>0</v>
      </c>
      <c r="AG1203">
        <f t="shared" si="409"/>
        <v>0</v>
      </c>
      <c r="AH1203">
        <f t="shared" si="410"/>
        <v>0</v>
      </c>
      <c r="AI1203">
        <f t="shared" si="411"/>
        <v>0</v>
      </c>
      <c r="AJ1203" s="2" t="str">
        <f t="shared" si="421"/>
        <v>546631</v>
      </c>
    </row>
    <row r="1204" spans="1:36" x14ac:dyDescent="0.25">
      <c r="A1204">
        <v>6</v>
      </c>
      <c r="B1204" s="1">
        <v>46631</v>
      </c>
      <c r="C1204" s="1">
        <f t="shared" si="412"/>
        <v>46813</v>
      </c>
      <c r="D1204" s="1">
        <f t="shared" si="413"/>
        <v>46645</v>
      </c>
      <c r="E1204" s="1">
        <f t="shared" si="414"/>
        <v>46813</v>
      </c>
      <c r="F1204" s="1">
        <f t="shared" si="415"/>
        <v>46844</v>
      </c>
      <c r="G1204" s="1">
        <f t="shared" si="416"/>
        <v>47011</v>
      </c>
      <c r="H1204">
        <f t="shared" si="417"/>
        <v>366</v>
      </c>
      <c r="I1204">
        <f t="shared" si="418"/>
        <v>31</v>
      </c>
      <c r="J1204">
        <f t="shared" si="419"/>
        <v>8.4699453551912565E-2</v>
      </c>
      <c r="K1204">
        <f>IFERROR($J1204/IF($A1204&lt;COUNTIFS($K$1:K$1,"&lt;&gt;"),0,SUMIFS($J:$J,$B:$B,$B1204,$A:$A,"&gt;="&amp;COUNTIFS($K$1:K$1,"&lt;&gt;"))),0)</f>
        <v>8.8571428571428579E-2</v>
      </c>
      <c r="L1204">
        <f>IFERROR($J1204/IF($A1204&lt;COUNTIFS($K$1:L$1,"&lt;&gt;"),0,SUMIFS($J:$J,$B:$B,$B1204,$A:$A,"&gt;="&amp;COUNTIFS($K$1:L$1,"&lt;&gt;"))),0)</f>
        <v>9.7178683385579931E-2</v>
      </c>
      <c r="M1204">
        <f>IFERROR($J1204/IF($A1204&lt;COUNTIFS($K$1:M$1,"&lt;&gt;"),0,SUMIFS($J:$J,$B:$B,$B1204,$A:$A,"&gt;="&amp;COUNTIFS($K$1:M$1,"&lt;&gt;"))),0)</f>
        <v>0.10726643598615916</v>
      </c>
      <c r="N1204">
        <f>IFERROR($J1204/IF($A1204&lt;COUNTIFS($K$1:N$1,"&lt;&gt;"),0,SUMIFS($J:$J,$B:$B,$B1204,$A:$A,"&gt;="&amp;COUNTIFS($K$1:N$1,"&lt;&gt;"))),0)</f>
        <v>0.12015503875968991</v>
      </c>
      <c r="O1204">
        <f>IFERROR($J1204/IF($A1204&lt;COUNTIFS($K$1:O$1,"&lt;&gt;"),0,SUMIFS($J:$J,$B:$B,$B1204,$A:$A,"&gt;="&amp;COUNTIFS($K$1:O$1,"&lt;&gt;"))),0)</f>
        <v>0.13656387665198236</v>
      </c>
      <c r="P1204">
        <f>IFERROR($J1204/IF($A1204&lt;COUNTIFS($K$1:P$1,"&lt;&gt;"),0,SUMIFS($J:$J,$B:$B,$B1204,$A:$A,"&gt;="&amp;COUNTIFS($K$1:P$1,"&lt;&gt;"))),0)</f>
        <v>0.15656565656565655</v>
      </c>
      <c r="Q1204">
        <f>IFERROR($J1204/IF($A1204&lt;COUNTIFS($K$1:Q$1,"&lt;&gt;"),0,SUMIFS($J:$J,$B:$B,$B1204,$A:$A,"&gt;="&amp;COUNTIFS($K$1:Q$1,"&lt;&gt;"))),0)</f>
        <v>0</v>
      </c>
      <c r="R1204">
        <f>IFERROR($J1204/IF($A1204&lt;COUNTIFS($K$1:R$1,"&lt;&gt;"),0,SUMIFS($J:$J,$B:$B,$B1204,$A:$A,"&gt;="&amp;COUNTIFS($K$1:R$1,"&lt;&gt;"))),0)</f>
        <v>0</v>
      </c>
      <c r="S1204">
        <f>IFERROR($J1204/IF($A1204&lt;COUNTIFS($K$1:S$1,"&lt;&gt;"),0,SUMIFS($J:$J,$B:$B,$B1204,$A:$A,"&gt;="&amp;COUNTIFS($K$1:S$1,"&lt;&gt;"))),0)</f>
        <v>0</v>
      </c>
      <c r="T1204">
        <f>IFERROR($J1204/IF($A1204&lt;COUNTIFS($K$1:T$1,"&lt;&gt;"),0,SUMIFS($J:$J,$B:$B,$B1204,$A:$A,"&gt;="&amp;COUNTIFS($K$1:T$1,"&lt;&gt;"))),0)</f>
        <v>0</v>
      </c>
      <c r="U1204">
        <f>IFERROR($J1204/IF($A1204&lt;COUNTIFS($K$1:U$1,"&lt;&gt;"),0,SUMIFS($J:$J,$B:$B,$B1204,$A:$A,"&gt;="&amp;COUNTIFS($K$1:U$1,"&lt;&gt;"))),0)</f>
        <v>0</v>
      </c>
      <c r="V1204">
        <f>IFERROR($J1204/IF($A1204&lt;COUNTIFS($K$1:V$1,"&lt;&gt;"),0,SUMIFS($J:$J,$B:$B,$B1204,$A:$A,"&gt;="&amp;COUNTIFS($K$1:V$1,"&lt;&gt;"))),0)</f>
        <v>0</v>
      </c>
      <c r="W1204">
        <f t="shared" si="420"/>
        <v>8.4699453551912565E-2</v>
      </c>
      <c r="X1204">
        <f t="shared" si="400"/>
        <v>8.4699453551912565E-2</v>
      </c>
      <c r="Y1204">
        <f t="shared" si="401"/>
        <v>8.4699453551912565E-2</v>
      </c>
      <c r="Z1204">
        <f t="shared" si="402"/>
        <v>8.4699453551912565E-2</v>
      </c>
      <c r="AA1204">
        <f t="shared" si="403"/>
        <v>8.4699453551912565E-2</v>
      </c>
      <c r="AB1204">
        <f t="shared" si="404"/>
        <v>8.4699453551912565E-2</v>
      </c>
      <c r="AC1204">
        <f t="shared" si="405"/>
        <v>8.4699453551912565E-2</v>
      </c>
      <c r="AD1204">
        <f t="shared" si="406"/>
        <v>0</v>
      </c>
      <c r="AE1204">
        <f t="shared" si="407"/>
        <v>0</v>
      </c>
      <c r="AF1204">
        <f t="shared" si="408"/>
        <v>0</v>
      </c>
      <c r="AG1204">
        <f t="shared" si="409"/>
        <v>0</v>
      </c>
      <c r="AH1204">
        <f t="shared" si="410"/>
        <v>0</v>
      </c>
      <c r="AI1204">
        <f t="shared" si="411"/>
        <v>0</v>
      </c>
      <c r="AJ1204" s="2" t="str">
        <f t="shared" si="421"/>
        <v>646631</v>
      </c>
    </row>
    <row r="1205" spans="1:36" x14ac:dyDescent="0.25">
      <c r="A1205">
        <v>7</v>
      </c>
      <c r="B1205" s="1">
        <v>46631</v>
      </c>
      <c r="C1205" s="1">
        <f t="shared" si="412"/>
        <v>46844</v>
      </c>
      <c r="D1205" s="1">
        <f t="shared" si="413"/>
        <v>46645</v>
      </c>
      <c r="E1205" s="1">
        <f t="shared" si="414"/>
        <v>46844</v>
      </c>
      <c r="F1205" s="1">
        <f t="shared" si="415"/>
        <v>46874</v>
      </c>
      <c r="G1205" s="1">
        <f t="shared" si="416"/>
        <v>47011</v>
      </c>
      <c r="H1205">
        <f t="shared" si="417"/>
        <v>366</v>
      </c>
      <c r="I1205">
        <f t="shared" si="418"/>
        <v>30</v>
      </c>
      <c r="J1205">
        <f t="shared" si="419"/>
        <v>8.1967213114754092E-2</v>
      </c>
      <c r="K1205">
        <f>IFERROR($J1205/IF($A1205&lt;COUNTIFS($K$1:K$1,"&lt;&gt;"),0,SUMIFS($J:$J,$B:$B,$B1205,$A:$A,"&gt;="&amp;COUNTIFS($K$1:K$1,"&lt;&gt;"))),0)</f>
        <v>8.5714285714285715E-2</v>
      </c>
      <c r="L1205">
        <f>IFERROR($J1205/IF($A1205&lt;COUNTIFS($K$1:L$1,"&lt;&gt;"),0,SUMIFS($J:$J,$B:$B,$B1205,$A:$A,"&gt;="&amp;COUNTIFS($K$1:L$1,"&lt;&gt;"))),0)</f>
        <v>9.4043887147335414E-2</v>
      </c>
      <c r="M1205">
        <f>IFERROR($J1205/IF($A1205&lt;COUNTIFS($K$1:M$1,"&lt;&gt;"),0,SUMIFS($J:$J,$B:$B,$B1205,$A:$A,"&gt;="&amp;COUNTIFS($K$1:M$1,"&lt;&gt;"))),0)</f>
        <v>0.10380622837370242</v>
      </c>
      <c r="N1205">
        <f>IFERROR($J1205/IF($A1205&lt;COUNTIFS($K$1:N$1,"&lt;&gt;"),0,SUMIFS($J:$J,$B:$B,$B1205,$A:$A,"&gt;="&amp;COUNTIFS($K$1:N$1,"&lt;&gt;"))),0)</f>
        <v>0.11627906976744184</v>
      </c>
      <c r="O1205">
        <f>IFERROR($J1205/IF($A1205&lt;COUNTIFS($K$1:O$1,"&lt;&gt;"),0,SUMIFS($J:$J,$B:$B,$B1205,$A:$A,"&gt;="&amp;COUNTIFS($K$1:O$1,"&lt;&gt;"))),0)</f>
        <v>0.13215859030837002</v>
      </c>
      <c r="P1205">
        <f>IFERROR($J1205/IF($A1205&lt;COUNTIFS($K$1:P$1,"&lt;&gt;"),0,SUMIFS($J:$J,$B:$B,$B1205,$A:$A,"&gt;="&amp;COUNTIFS($K$1:P$1,"&lt;&gt;"))),0)</f>
        <v>0.15151515151515149</v>
      </c>
      <c r="Q1205">
        <f>IFERROR($J1205/IF($A1205&lt;COUNTIFS($K$1:Q$1,"&lt;&gt;"),0,SUMIFS($J:$J,$B:$B,$B1205,$A:$A,"&gt;="&amp;COUNTIFS($K$1:Q$1,"&lt;&gt;"))),0)</f>
        <v>0.17964071856287425</v>
      </c>
      <c r="R1205">
        <f>IFERROR($J1205/IF($A1205&lt;COUNTIFS($K$1:R$1,"&lt;&gt;"),0,SUMIFS($J:$J,$B:$B,$B1205,$A:$A,"&gt;="&amp;COUNTIFS($K$1:R$1,"&lt;&gt;"))),0)</f>
        <v>0</v>
      </c>
      <c r="S1205">
        <f>IFERROR($J1205/IF($A1205&lt;COUNTIFS($K$1:S$1,"&lt;&gt;"),0,SUMIFS($J:$J,$B:$B,$B1205,$A:$A,"&gt;="&amp;COUNTIFS($K$1:S$1,"&lt;&gt;"))),0)</f>
        <v>0</v>
      </c>
      <c r="T1205">
        <f>IFERROR($J1205/IF($A1205&lt;COUNTIFS($K$1:T$1,"&lt;&gt;"),0,SUMIFS($J:$J,$B:$B,$B1205,$A:$A,"&gt;="&amp;COUNTIFS($K$1:T$1,"&lt;&gt;"))),0)</f>
        <v>0</v>
      </c>
      <c r="U1205">
        <f>IFERROR($J1205/IF($A1205&lt;COUNTIFS($K$1:U$1,"&lt;&gt;"),0,SUMIFS($J:$J,$B:$B,$B1205,$A:$A,"&gt;="&amp;COUNTIFS($K$1:U$1,"&lt;&gt;"))),0)</f>
        <v>0</v>
      </c>
      <c r="V1205">
        <f>IFERROR($J1205/IF($A1205&lt;COUNTIFS($K$1:V$1,"&lt;&gt;"),0,SUMIFS($J:$J,$B:$B,$B1205,$A:$A,"&gt;="&amp;COUNTIFS($K$1:V$1,"&lt;&gt;"))),0)</f>
        <v>0</v>
      </c>
      <c r="W1205">
        <f t="shared" si="420"/>
        <v>8.1967213114754092E-2</v>
      </c>
      <c r="X1205">
        <f t="shared" si="400"/>
        <v>8.1967213114754092E-2</v>
      </c>
      <c r="Y1205">
        <f t="shared" si="401"/>
        <v>8.1967213114754092E-2</v>
      </c>
      <c r="Z1205">
        <f t="shared" si="402"/>
        <v>8.1967213114754092E-2</v>
      </c>
      <c r="AA1205">
        <f t="shared" si="403"/>
        <v>8.1967213114754092E-2</v>
      </c>
      <c r="AB1205">
        <f t="shared" si="404"/>
        <v>8.1967213114754092E-2</v>
      </c>
      <c r="AC1205">
        <f t="shared" si="405"/>
        <v>8.1967213114754092E-2</v>
      </c>
      <c r="AD1205">
        <f t="shared" si="406"/>
        <v>8.1967213114754092E-2</v>
      </c>
      <c r="AE1205">
        <f t="shared" si="407"/>
        <v>0</v>
      </c>
      <c r="AF1205">
        <f t="shared" si="408"/>
        <v>0</v>
      </c>
      <c r="AG1205">
        <f t="shared" si="409"/>
        <v>0</v>
      </c>
      <c r="AH1205">
        <f t="shared" si="410"/>
        <v>0</v>
      </c>
      <c r="AI1205">
        <f t="shared" si="411"/>
        <v>0</v>
      </c>
      <c r="AJ1205" s="2" t="str">
        <f t="shared" si="421"/>
        <v>746631</v>
      </c>
    </row>
    <row r="1206" spans="1:36" x14ac:dyDescent="0.25">
      <c r="A1206">
        <v>8</v>
      </c>
      <c r="B1206" s="1">
        <v>46631</v>
      </c>
      <c r="C1206" s="1">
        <f t="shared" si="412"/>
        <v>46874</v>
      </c>
      <c r="D1206" s="1">
        <f t="shared" si="413"/>
        <v>46645</v>
      </c>
      <c r="E1206" s="1">
        <f t="shared" si="414"/>
        <v>46874</v>
      </c>
      <c r="F1206" s="1">
        <f t="shared" si="415"/>
        <v>46905</v>
      </c>
      <c r="G1206" s="1">
        <f t="shared" si="416"/>
        <v>47011</v>
      </c>
      <c r="H1206">
        <f t="shared" si="417"/>
        <v>366</v>
      </c>
      <c r="I1206">
        <f t="shared" si="418"/>
        <v>31</v>
      </c>
      <c r="J1206">
        <f t="shared" si="419"/>
        <v>8.4699453551912565E-2</v>
      </c>
      <c r="K1206">
        <f>IFERROR($J1206/IF($A1206&lt;COUNTIFS($K$1:K$1,"&lt;&gt;"),0,SUMIFS($J:$J,$B:$B,$B1206,$A:$A,"&gt;="&amp;COUNTIFS($K$1:K$1,"&lt;&gt;"))),0)</f>
        <v>8.8571428571428579E-2</v>
      </c>
      <c r="L1206">
        <f>IFERROR($J1206/IF($A1206&lt;COUNTIFS($K$1:L$1,"&lt;&gt;"),0,SUMIFS($J:$J,$B:$B,$B1206,$A:$A,"&gt;="&amp;COUNTIFS($K$1:L$1,"&lt;&gt;"))),0)</f>
        <v>9.7178683385579931E-2</v>
      </c>
      <c r="M1206">
        <f>IFERROR($J1206/IF($A1206&lt;COUNTIFS($K$1:M$1,"&lt;&gt;"),0,SUMIFS($J:$J,$B:$B,$B1206,$A:$A,"&gt;="&amp;COUNTIFS($K$1:M$1,"&lt;&gt;"))),0)</f>
        <v>0.10726643598615916</v>
      </c>
      <c r="N1206">
        <f>IFERROR($J1206/IF($A1206&lt;COUNTIFS($K$1:N$1,"&lt;&gt;"),0,SUMIFS($J:$J,$B:$B,$B1206,$A:$A,"&gt;="&amp;COUNTIFS($K$1:N$1,"&lt;&gt;"))),0)</f>
        <v>0.12015503875968991</v>
      </c>
      <c r="O1206">
        <f>IFERROR($J1206/IF($A1206&lt;COUNTIFS($K$1:O$1,"&lt;&gt;"),0,SUMIFS($J:$J,$B:$B,$B1206,$A:$A,"&gt;="&amp;COUNTIFS($K$1:O$1,"&lt;&gt;"))),0)</f>
        <v>0.13656387665198236</v>
      </c>
      <c r="P1206">
        <f>IFERROR($J1206/IF($A1206&lt;COUNTIFS($K$1:P$1,"&lt;&gt;"),0,SUMIFS($J:$J,$B:$B,$B1206,$A:$A,"&gt;="&amp;COUNTIFS($K$1:P$1,"&lt;&gt;"))),0)</f>
        <v>0.15656565656565655</v>
      </c>
      <c r="Q1206">
        <f>IFERROR($J1206/IF($A1206&lt;COUNTIFS($K$1:Q$1,"&lt;&gt;"),0,SUMIFS($J:$J,$B:$B,$B1206,$A:$A,"&gt;="&amp;COUNTIFS($K$1:Q$1,"&lt;&gt;"))),0)</f>
        <v>0.18562874251497008</v>
      </c>
      <c r="R1206">
        <f>IFERROR($J1206/IF($A1206&lt;COUNTIFS($K$1:R$1,"&lt;&gt;"),0,SUMIFS($J:$J,$B:$B,$B1206,$A:$A,"&gt;="&amp;COUNTIFS($K$1:R$1,"&lt;&gt;"))),0)</f>
        <v>0.22627737226277372</v>
      </c>
      <c r="S1206">
        <f>IFERROR($J1206/IF($A1206&lt;COUNTIFS($K$1:S$1,"&lt;&gt;"),0,SUMIFS($J:$J,$B:$B,$B1206,$A:$A,"&gt;="&amp;COUNTIFS($K$1:S$1,"&lt;&gt;"))),0)</f>
        <v>0</v>
      </c>
      <c r="T1206">
        <f>IFERROR($J1206/IF($A1206&lt;COUNTIFS($K$1:T$1,"&lt;&gt;"),0,SUMIFS($J:$J,$B:$B,$B1206,$A:$A,"&gt;="&amp;COUNTIFS($K$1:T$1,"&lt;&gt;"))),0)</f>
        <v>0</v>
      </c>
      <c r="U1206">
        <f>IFERROR($J1206/IF($A1206&lt;COUNTIFS($K$1:U$1,"&lt;&gt;"),0,SUMIFS($J:$J,$B:$B,$B1206,$A:$A,"&gt;="&amp;COUNTIFS($K$1:U$1,"&lt;&gt;"))),0)</f>
        <v>0</v>
      </c>
      <c r="V1206">
        <f>IFERROR($J1206/IF($A1206&lt;COUNTIFS($K$1:V$1,"&lt;&gt;"),0,SUMIFS($J:$J,$B:$B,$B1206,$A:$A,"&gt;="&amp;COUNTIFS($K$1:V$1,"&lt;&gt;"))),0)</f>
        <v>0</v>
      </c>
      <c r="W1206">
        <f t="shared" si="420"/>
        <v>8.4699453551912565E-2</v>
      </c>
      <c r="X1206">
        <f t="shared" si="400"/>
        <v>8.4699453551912565E-2</v>
      </c>
      <c r="Y1206">
        <f t="shared" si="401"/>
        <v>8.4699453551912565E-2</v>
      </c>
      <c r="Z1206">
        <f t="shared" si="402"/>
        <v>8.4699453551912565E-2</v>
      </c>
      <c r="AA1206">
        <f t="shared" si="403"/>
        <v>8.4699453551912565E-2</v>
      </c>
      <c r="AB1206">
        <f t="shared" si="404"/>
        <v>8.4699453551912565E-2</v>
      </c>
      <c r="AC1206">
        <f t="shared" si="405"/>
        <v>8.4699453551912565E-2</v>
      </c>
      <c r="AD1206">
        <f t="shared" si="406"/>
        <v>8.4699453551912565E-2</v>
      </c>
      <c r="AE1206">
        <f t="shared" si="407"/>
        <v>8.4699453551912565E-2</v>
      </c>
      <c r="AF1206">
        <f t="shared" si="408"/>
        <v>0</v>
      </c>
      <c r="AG1206">
        <f t="shared" si="409"/>
        <v>0</v>
      </c>
      <c r="AH1206">
        <f t="shared" si="410"/>
        <v>0</v>
      </c>
      <c r="AI1206">
        <f t="shared" si="411"/>
        <v>0</v>
      </c>
      <c r="AJ1206" s="2" t="str">
        <f t="shared" si="421"/>
        <v>846631</v>
      </c>
    </row>
    <row r="1207" spans="1:36" x14ac:dyDescent="0.25">
      <c r="A1207">
        <v>9</v>
      </c>
      <c r="B1207" s="1">
        <v>46631</v>
      </c>
      <c r="C1207" s="1">
        <f t="shared" si="412"/>
        <v>46905</v>
      </c>
      <c r="D1207" s="1">
        <f t="shared" si="413"/>
        <v>46645</v>
      </c>
      <c r="E1207" s="1">
        <f t="shared" si="414"/>
        <v>46905</v>
      </c>
      <c r="F1207" s="1">
        <f t="shared" si="415"/>
        <v>46935</v>
      </c>
      <c r="G1207" s="1">
        <f t="shared" si="416"/>
        <v>47011</v>
      </c>
      <c r="H1207">
        <f t="shared" si="417"/>
        <v>366</v>
      </c>
      <c r="I1207">
        <f t="shared" si="418"/>
        <v>30</v>
      </c>
      <c r="J1207">
        <f t="shared" si="419"/>
        <v>8.1967213114754092E-2</v>
      </c>
      <c r="K1207">
        <f>IFERROR($J1207/IF($A1207&lt;COUNTIFS($K$1:K$1,"&lt;&gt;"),0,SUMIFS($J:$J,$B:$B,$B1207,$A:$A,"&gt;="&amp;COUNTIFS($K$1:K$1,"&lt;&gt;"))),0)</f>
        <v>8.5714285714285715E-2</v>
      </c>
      <c r="L1207">
        <f>IFERROR($J1207/IF($A1207&lt;COUNTIFS($K$1:L$1,"&lt;&gt;"),0,SUMIFS($J:$J,$B:$B,$B1207,$A:$A,"&gt;="&amp;COUNTIFS($K$1:L$1,"&lt;&gt;"))),0)</f>
        <v>9.4043887147335414E-2</v>
      </c>
      <c r="M1207">
        <f>IFERROR($J1207/IF($A1207&lt;COUNTIFS($K$1:M$1,"&lt;&gt;"),0,SUMIFS($J:$J,$B:$B,$B1207,$A:$A,"&gt;="&amp;COUNTIFS($K$1:M$1,"&lt;&gt;"))),0)</f>
        <v>0.10380622837370242</v>
      </c>
      <c r="N1207">
        <f>IFERROR($J1207/IF($A1207&lt;COUNTIFS($K$1:N$1,"&lt;&gt;"),0,SUMIFS($J:$J,$B:$B,$B1207,$A:$A,"&gt;="&amp;COUNTIFS($K$1:N$1,"&lt;&gt;"))),0)</f>
        <v>0.11627906976744184</v>
      </c>
      <c r="O1207">
        <f>IFERROR($J1207/IF($A1207&lt;COUNTIFS($K$1:O$1,"&lt;&gt;"),0,SUMIFS($J:$J,$B:$B,$B1207,$A:$A,"&gt;="&amp;COUNTIFS($K$1:O$1,"&lt;&gt;"))),0)</f>
        <v>0.13215859030837002</v>
      </c>
      <c r="P1207">
        <f>IFERROR($J1207/IF($A1207&lt;COUNTIFS($K$1:P$1,"&lt;&gt;"),0,SUMIFS($J:$J,$B:$B,$B1207,$A:$A,"&gt;="&amp;COUNTIFS($K$1:P$1,"&lt;&gt;"))),0)</f>
        <v>0.15151515151515149</v>
      </c>
      <c r="Q1207">
        <f>IFERROR($J1207/IF($A1207&lt;COUNTIFS($K$1:Q$1,"&lt;&gt;"),0,SUMIFS($J:$J,$B:$B,$B1207,$A:$A,"&gt;="&amp;COUNTIFS($K$1:Q$1,"&lt;&gt;"))),0)</f>
        <v>0.17964071856287425</v>
      </c>
      <c r="R1207">
        <f>IFERROR($J1207/IF($A1207&lt;COUNTIFS($K$1:R$1,"&lt;&gt;"),0,SUMIFS($J:$J,$B:$B,$B1207,$A:$A,"&gt;="&amp;COUNTIFS($K$1:R$1,"&lt;&gt;"))),0)</f>
        <v>0.21897810218978103</v>
      </c>
      <c r="S1207">
        <f>IFERROR($J1207/IF($A1207&lt;COUNTIFS($K$1:S$1,"&lt;&gt;"),0,SUMIFS($J:$J,$B:$B,$B1207,$A:$A,"&gt;="&amp;COUNTIFS($K$1:S$1,"&lt;&gt;"))),0)</f>
        <v>0.28301886792452829</v>
      </c>
      <c r="T1207">
        <f>IFERROR($J1207/IF($A1207&lt;COUNTIFS($K$1:T$1,"&lt;&gt;"),0,SUMIFS($J:$J,$B:$B,$B1207,$A:$A,"&gt;="&amp;COUNTIFS($K$1:T$1,"&lt;&gt;"))),0)</f>
        <v>0</v>
      </c>
      <c r="U1207">
        <f>IFERROR($J1207/IF($A1207&lt;COUNTIFS($K$1:U$1,"&lt;&gt;"),0,SUMIFS($J:$J,$B:$B,$B1207,$A:$A,"&gt;="&amp;COUNTIFS($K$1:U$1,"&lt;&gt;"))),0)</f>
        <v>0</v>
      </c>
      <c r="V1207">
        <f>IFERROR($J1207/IF($A1207&lt;COUNTIFS($K$1:V$1,"&lt;&gt;"),0,SUMIFS($J:$J,$B:$B,$B1207,$A:$A,"&gt;="&amp;COUNTIFS($K$1:V$1,"&lt;&gt;"))),0)</f>
        <v>0</v>
      </c>
      <c r="W1207">
        <f t="shared" si="420"/>
        <v>8.1967213114754092E-2</v>
      </c>
      <c r="X1207">
        <f t="shared" si="400"/>
        <v>8.1967213114754092E-2</v>
      </c>
      <c r="Y1207">
        <f t="shared" si="401"/>
        <v>8.1967213114754092E-2</v>
      </c>
      <c r="Z1207">
        <f t="shared" si="402"/>
        <v>8.1967213114754092E-2</v>
      </c>
      <c r="AA1207">
        <f t="shared" si="403"/>
        <v>8.1967213114754092E-2</v>
      </c>
      <c r="AB1207">
        <f t="shared" si="404"/>
        <v>8.1967213114754092E-2</v>
      </c>
      <c r="AC1207">
        <f t="shared" si="405"/>
        <v>8.1967213114754092E-2</v>
      </c>
      <c r="AD1207">
        <f t="shared" si="406"/>
        <v>8.1967213114754092E-2</v>
      </c>
      <c r="AE1207">
        <f t="shared" si="407"/>
        <v>8.1967213114754092E-2</v>
      </c>
      <c r="AF1207">
        <f t="shared" si="408"/>
        <v>8.1967213114754092E-2</v>
      </c>
      <c r="AG1207">
        <f t="shared" si="409"/>
        <v>0</v>
      </c>
      <c r="AH1207">
        <f t="shared" si="410"/>
        <v>0</v>
      </c>
      <c r="AI1207">
        <f t="shared" si="411"/>
        <v>0</v>
      </c>
      <c r="AJ1207" s="2" t="str">
        <f t="shared" si="421"/>
        <v>946631</v>
      </c>
    </row>
    <row r="1208" spans="1:36" x14ac:dyDescent="0.25">
      <c r="A1208">
        <v>10</v>
      </c>
      <c r="B1208" s="1">
        <v>46631</v>
      </c>
      <c r="C1208" s="1">
        <f t="shared" si="412"/>
        <v>46935</v>
      </c>
      <c r="D1208" s="1">
        <f t="shared" si="413"/>
        <v>46645</v>
      </c>
      <c r="E1208" s="1">
        <f t="shared" si="414"/>
        <v>46935</v>
      </c>
      <c r="F1208" s="1">
        <f t="shared" si="415"/>
        <v>46966</v>
      </c>
      <c r="G1208" s="1">
        <f t="shared" si="416"/>
        <v>47011</v>
      </c>
      <c r="H1208">
        <f t="shared" si="417"/>
        <v>366</v>
      </c>
      <c r="I1208">
        <f t="shared" si="418"/>
        <v>31</v>
      </c>
      <c r="J1208">
        <f t="shared" si="419"/>
        <v>8.4699453551912565E-2</v>
      </c>
      <c r="K1208">
        <f>IFERROR($J1208/IF($A1208&lt;COUNTIFS($K$1:K$1,"&lt;&gt;"),0,SUMIFS($J:$J,$B:$B,$B1208,$A:$A,"&gt;="&amp;COUNTIFS($K$1:K$1,"&lt;&gt;"))),0)</f>
        <v>8.8571428571428579E-2</v>
      </c>
      <c r="L1208">
        <f>IFERROR($J1208/IF($A1208&lt;COUNTIFS($K$1:L$1,"&lt;&gt;"),0,SUMIFS($J:$J,$B:$B,$B1208,$A:$A,"&gt;="&amp;COUNTIFS($K$1:L$1,"&lt;&gt;"))),0)</f>
        <v>9.7178683385579931E-2</v>
      </c>
      <c r="M1208">
        <f>IFERROR($J1208/IF($A1208&lt;COUNTIFS($K$1:M$1,"&lt;&gt;"),0,SUMIFS($J:$J,$B:$B,$B1208,$A:$A,"&gt;="&amp;COUNTIFS($K$1:M$1,"&lt;&gt;"))),0)</f>
        <v>0.10726643598615916</v>
      </c>
      <c r="N1208">
        <f>IFERROR($J1208/IF($A1208&lt;COUNTIFS($K$1:N$1,"&lt;&gt;"),0,SUMIFS($J:$J,$B:$B,$B1208,$A:$A,"&gt;="&amp;COUNTIFS($K$1:N$1,"&lt;&gt;"))),0)</f>
        <v>0.12015503875968991</v>
      </c>
      <c r="O1208">
        <f>IFERROR($J1208/IF($A1208&lt;COUNTIFS($K$1:O$1,"&lt;&gt;"),0,SUMIFS($J:$J,$B:$B,$B1208,$A:$A,"&gt;="&amp;COUNTIFS($K$1:O$1,"&lt;&gt;"))),0)</f>
        <v>0.13656387665198236</v>
      </c>
      <c r="P1208">
        <f>IFERROR($J1208/IF($A1208&lt;COUNTIFS($K$1:P$1,"&lt;&gt;"),0,SUMIFS($J:$J,$B:$B,$B1208,$A:$A,"&gt;="&amp;COUNTIFS($K$1:P$1,"&lt;&gt;"))),0)</f>
        <v>0.15656565656565655</v>
      </c>
      <c r="Q1208">
        <f>IFERROR($J1208/IF($A1208&lt;COUNTIFS($K$1:Q$1,"&lt;&gt;"),0,SUMIFS($J:$J,$B:$B,$B1208,$A:$A,"&gt;="&amp;COUNTIFS($K$1:Q$1,"&lt;&gt;"))),0)</f>
        <v>0.18562874251497008</v>
      </c>
      <c r="R1208">
        <f>IFERROR($J1208/IF($A1208&lt;COUNTIFS($K$1:R$1,"&lt;&gt;"),0,SUMIFS($J:$J,$B:$B,$B1208,$A:$A,"&gt;="&amp;COUNTIFS($K$1:R$1,"&lt;&gt;"))),0)</f>
        <v>0.22627737226277372</v>
      </c>
      <c r="S1208">
        <f>IFERROR($J1208/IF($A1208&lt;COUNTIFS($K$1:S$1,"&lt;&gt;"),0,SUMIFS($J:$J,$B:$B,$B1208,$A:$A,"&gt;="&amp;COUNTIFS($K$1:S$1,"&lt;&gt;"))),0)</f>
        <v>0.29245283018867924</v>
      </c>
      <c r="T1208">
        <f>IFERROR($J1208/IF($A1208&lt;COUNTIFS($K$1:T$1,"&lt;&gt;"),0,SUMIFS($J:$J,$B:$B,$B1208,$A:$A,"&gt;="&amp;COUNTIFS($K$1:T$1,"&lt;&gt;"))),0)</f>
        <v>0.40789473684210525</v>
      </c>
      <c r="U1208">
        <f>IFERROR($J1208/IF($A1208&lt;COUNTIFS($K$1:U$1,"&lt;&gt;"),0,SUMIFS($J:$J,$B:$B,$B1208,$A:$A,"&gt;="&amp;COUNTIFS($K$1:U$1,"&lt;&gt;"))),0)</f>
        <v>0</v>
      </c>
      <c r="V1208">
        <f>IFERROR($J1208/IF($A1208&lt;COUNTIFS($K$1:V$1,"&lt;&gt;"),0,SUMIFS($J:$J,$B:$B,$B1208,$A:$A,"&gt;="&amp;COUNTIFS($K$1:V$1,"&lt;&gt;"))),0)</f>
        <v>0</v>
      </c>
      <c r="W1208">
        <f t="shared" si="420"/>
        <v>8.4699453551912565E-2</v>
      </c>
      <c r="X1208">
        <f t="shared" si="400"/>
        <v>8.4699453551912565E-2</v>
      </c>
      <c r="Y1208">
        <f t="shared" si="401"/>
        <v>8.4699453551912565E-2</v>
      </c>
      <c r="Z1208">
        <f t="shared" si="402"/>
        <v>8.4699453551912565E-2</v>
      </c>
      <c r="AA1208">
        <f t="shared" si="403"/>
        <v>8.4699453551912565E-2</v>
      </c>
      <c r="AB1208">
        <f t="shared" si="404"/>
        <v>8.4699453551912565E-2</v>
      </c>
      <c r="AC1208">
        <f t="shared" si="405"/>
        <v>8.4699453551912565E-2</v>
      </c>
      <c r="AD1208">
        <f t="shared" si="406"/>
        <v>8.4699453551912565E-2</v>
      </c>
      <c r="AE1208">
        <f t="shared" si="407"/>
        <v>8.4699453551912565E-2</v>
      </c>
      <c r="AF1208">
        <f t="shared" si="408"/>
        <v>8.4699453551912565E-2</v>
      </c>
      <c r="AG1208">
        <f t="shared" si="409"/>
        <v>8.4699453551912565E-2</v>
      </c>
      <c r="AH1208">
        <f t="shared" si="410"/>
        <v>0</v>
      </c>
      <c r="AI1208">
        <f t="shared" si="411"/>
        <v>0</v>
      </c>
      <c r="AJ1208" s="2" t="str">
        <f t="shared" si="421"/>
        <v>1046631</v>
      </c>
    </row>
    <row r="1209" spans="1:36" x14ac:dyDescent="0.25">
      <c r="A1209">
        <v>11</v>
      </c>
      <c r="B1209" s="1">
        <v>46631</v>
      </c>
      <c r="C1209" s="1">
        <f t="shared" si="412"/>
        <v>46966</v>
      </c>
      <c r="D1209" s="1">
        <f t="shared" si="413"/>
        <v>46645</v>
      </c>
      <c r="E1209" s="1">
        <f t="shared" si="414"/>
        <v>46966</v>
      </c>
      <c r="F1209" s="1">
        <f t="shared" si="415"/>
        <v>46997</v>
      </c>
      <c r="G1209" s="1">
        <f t="shared" si="416"/>
        <v>47011</v>
      </c>
      <c r="H1209">
        <f t="shared" si="417"/>
        <v>366</v>
      </c>
      <c r="I1209">
        <f t="shared" si="418"/>
        <v>31</v>
      </c>
      <c r="J1209">
        <f t="shared" si="419"/>
        <v>8.4699453551912565E-2</v>
      </c>
      <c r="K1209">
        <f>IFERROR($J1209/IF($A1209&lt;COUNTIFS($K$1:K$1,"&lt;&gt;"),0,SUMIFS($J:$J,$B:$B,$B1209,$A:$A,"&gt;="&amp;COUNTIFS($K$1:K$1,"&lt;&gt;"))),0)</f>
        <v>8.8571428571428579E-2</v>
      </c>
      <c r="L1209">
        <f>IFERROR($J1209/IF($A1209&lt;COUNTIFS($K$1:L$1,"&lt;&gt;"),0,SUMIFS($J:$J,$B:$B,$B1209,$A:$A,"&gt;="&amp;COUNTIFS($K$1:L$1,"&lt;&gt;"))),0)</f>
        <v>9.7178683385579931E-2</v>
      </c>
      <c r="M1209">
        <f>IFERROR($J1209/IF($A1209&lt;COUNTIFS($K$1:M$1,"&lt;&gt;"),0,SUMIFS($J:$J,$B:$B,$B1209,$A:$A,"&gt;="&amp;COUNTIFS($K$1:M$1,"&lt;&gt;"))),0)</f>
        <v>0.10726643598615916</v>
      </c>
      <c r="N1209">
        <f>IFERROR($J1209/IF($A1209&lt;COUNTIFS($K$1:N$1,"&lt;&gt;"),0,SUMIFS($J:$J,$B:$B,$B1209,$A:$A,"&gt;="&amp;COUNTIFS($K$1:N$1,"&lt;&gt;"))),0)</f>
        <v>0.12015503875968991</v>
      </c>
      <c r="O1209">
        <f>IFERROR($J1209/IF($A1209&lt;COUNTIFS($K$1:O$1,"&lt;&gt;"),0,SUMIFS($J:$J,$B:$B,$B1209,$A:$A,"&gt;="&amp;COUNTIFS($K$1:O$1,"&lt;&gt;"))),0)</f>
        <v>0.13656387665198236</v>
      </c>
      <c r="P1209">
        <f>IFERROR($J1209/IF($A1209&lt;COUNTIFS($K$1:P$1,"&lt;&gt;"),0,SUMIFS($J:$J,$B:$B,$B1209,$A:$A,"&gt;="&amp;COUNTIFS($K$1:P$1,"&lt;&gt;"))),0)</f>
        <v>0.15656565656565655</v>
      </c>
      <c r="Q1209">
        <f>IFERROR($J1209/IF($A1209&lt;COUNTIFS($K$1:Q$1,"&lt;&gt;"),0,SUMIFS($J:$J,$B:$B,$B1209,$A:$A,"&gt;="&amp;COUNTIFS($K$1:Q$1,"&lt;&gt;"))),0)</f>
        <v>0.18562874251497008</v>
      </c>
      <c r="R1209">
        <f>IFERROR($J1209/IF($A1209&lt;COUNTIFS($K$1:R$1,"&lt;&gt;"),0,SUMIFS($J:$J,$B:$B,$B1209,$A:$A,"&gt;="&amp;COUNTIFS($K$1:R$1,"&lt;&gt;"))),0)</f>
        <v>0.22627737226277372</v>
      </c>
      <c r="S1209">
        <f>IFERROR($J1209/IF($A1209&lt;COUNTIFS($K$1:S$1,"&lt;&gt;"),0,SUMIFS($J:$J,$B:$B,$B1209,$A:$A,"&gt;="&amp;COUNTIFS($K$1:S$1,"&lt;&gt;"))),0)</f>
        <v>0.29245283018867924</v>
      </c>
      <c r="T1209">
        <f>IFERROR($J1209/IF($A1209&lt;COUNTIFS($K$1:T$1,"&lt;&gt;"),0,SUMIFS($J:$J,$B:$B,$B1209,$A:$A,"&gt;="&amp;COUNTIFS($K$1:T$1,"&lt;&gt;"))),0)</f>
        <v>0.40789473684210525</v>
      </c>
      <c r="U1209">
        <f>IFERROR($J1209/IF($A1209&lt;COUNTIFS($K$1:U$1,"&lt;&gt;"),0,SUMIFS($J:$J,$B:$B,$B1209,$A:$A,"&gt;="&amp;COUNTIFS($K$1:U$1,"&lt;&gt;"))),0)</f>
        <v>0.68888888888888888</v>
      </c>
      <c r="V1209">
        <f>IFERROR($J1209/IF($A1209&lt;COUNTIFS($K$1:V$1,"&lt;&gt;"),0,SUMIFS($J:$J,$B:$B,$B1209,$A:$A,"&gt;="&amp;COUNTIFS($K$1:V$1,"&lt;&gt;"))),0)</f>
        <v>0</v>
      </c>
      <c r="W1209">
        <f t="shared" si="420"/>
        <v>8.4699453551912565E-2</v>
      </c>
      <c r="X1209">
        <f t="shared" si="400"/>
        <v>8.4699453551912565E-2</v>
      </c>
      <c r="Y1209">
        <f t="shared" si="401"/>
        <v>8.4699453551912565E-2</v>
      </c>
      <c r="Z1209">
        <f t="shared" si="402"/>
        <v>8.4699453551912565E-2</v>
      </c>
      <c r="AA1209">
        <f t="shared" si="403"/>
        <v>8.4699453551912565E-2</v>
      </c>
      <c r="AB1209">
        <f t="shared" si="404"/>
        <v>8.4699453551912565E-2</v>
      </c>
      <c r="AC1209">
        <f t="shared" si="405"/>
        <v>8.4699453551912565E-2</v>
      </c>
      <c r="AD1209">
        <f t="shared" si="406"/>
        <v>8.4699453551912565E-2</v>
      </c>
      <c r="AE1209">
        <f t="shared" si="407"/>
        <v>8.4699453551912565E-2</v>
      </c>
      <c r="AF1209">
        <f t="shared" si="408"/>
        <v>8.4699453551912565E-2</v>
      </c>
      <c r="AG1209">
        <f t="shared" si="409"/>
        <v>8.4699453551912565E-2</v>
      </c>
      <c r="AH1209">
        <f t="shared" si="410"/>
        <v>8.4699453551912565E-2</v>
      </c>
      <c r="AI1209">
        <f t="shared" si="411"/>
        <v>0</v>
      </c>
      <c r="AJ1209" s="2" t="str">
        <f t="shared" si="421"/>
        <v>1146631</v>
      </c>
    </row>
    <row r="1210" spans="1:36" x14ac:dyDescent="0.25">
      <c r="A1210">
        <v>12</v>
      </c>
      <c r="B1210" s="1">
        <v>46631</v>
      </c>
      <c r="C1210" s="1">
        <f t="shared" si="412"/>
        <v>46997</v>
      </c>
      <c r="D1210" s="1">
        <f t="shared" si="413"/>
        <v>46645</v>
      </c>
      <c r="E1210" s="1">
        <f t="shared" si="414"/>
        <v>46997</v>
      </c>
      <c r="F1210" s="1">
        <f t="shared" si="415"/>
        <v>47011</v>
      </c>
      <c r="G1210" s="1">
        <f t="shared" si="416"/>
        <v>47011</v>
      </c>
      <c r="H1210">
        <f t="shared" si="417"/>
        <v>366</v>
      </c>
      <c r="I1210">
        <f t="shared" si="418"/>
        <v>14</v>
      </c>
      <c r="J1210">
        <f t="shared" si="419"/>
        <v>3.825136612021858E-2</v>
      </c>
      <c r="K1210">
        <f>IFERROR($J1210/IF($A1210&lt;COUNTIFS($K$1:K$1,"&lt;&gt;"),0,SUMIFS($J:$J,$B:$B,$B1210,$A:$A,"&gt;="&amp;COUNTIFS($K$1:K$1,"&lt;&gt;"))),0)</f>
        <v>0.04</v>
      </c>
      <c r="L1210">
        <f>IFERROR($J1210/IF($A1210&lt;COUNTIFS($K$1:L$1,"&lt;&gt;"),0,SUMIFS($J:$J,$B:$B,$B1210,$A:$A,"&gt;="&amp;COUNTIFS($K$1:L$1,"&lt;&gt;"))),0)</f>
        <v>4.3887147335423198E-2</v>
      </c>
      <c r="M1210">
        <f>IFERROR($J1210/IF($A1210&lt;COUNTIFS($K$1:M$1,"&lt;&gt;"),0,SUMIFS($J:$J,$B:$B,$B1210,$A:$A,"&gt;="&amp;COUNTIFS($K$1:M$1,"&lt;&gt;"))),0)</f>
        <v>4.8442906574394463E-2</v>
      </c>
      <c r="N1210">
        <f>IFERROR($J1210/IF($A1210&lt;COUNTIFS($K$1:N$1,"&lt;&gt;"),0,SUMIFS($J:$J,$B:$B,$B1210,$A:$A,"&gt;="&amp;COUNTIFS($K$1:N$1,"&lt;&gt;"))),0)</f>
        <v>5.4263565891472867E-2</v>
      </c>
      <c r="O1210">
        <f>IFERROR($J1210/IF($A1210&lt;COUNTIFS($K$1:O$1,"&lt;&gt;"),0,SUMIFS($J:$J,$B:$B,$B1210,$A:$A,"&gt;="&amp;COUNTIFS($K$1:O$1,"&lt;&gt;"))),0)</f>
        <v>6.1674008810572688E-2</v>
      </c>
      <c r="P1210">
        <f>IFERROR($J1210/IF($A1210&lt;COUNTIFS($K$1:P$1,"&lt;&gt;"),0,SUMIFS($J:$J,$B:$B,$B1210,$A:$A,"&gt;="&amp;COUNTIFS($K$1:P$1,"&lt;&gt;"))),0)</f>
        <v>7.0707070707070704E-2</v>
      </c>
      <c r="Q1210">
        <f>IFERROR($J1210/IF($A1210&lt;COUNTIFS($K$1:Q$1,"&lt;&gt;"),0,SUMIFS($J:$J,$B:$B,$B1210,$A:$A,"&gt;="&amp;COUNTIFS($K$1:Q$1,"&lt;&gt;"))),0)</f>
        <v>8.3832335329341326E-2</v>
      </c>
      <c r="R1210">
        <f>IFERROR($J1210/IF($A1210&lt;COUNTIFS($K$1:R$1,"&lt;&gt;"),0,SUMIFS($J:$J,$B:$B,$B1210,$A:$A,"&gt;="&amp;COUNTIFS($K$1:R$1,"&lt;&gt;"))),0)</f>
        <v>0.10218978102189782</v>
      </c>
      <c r="S1210">
        <f>IFERROR($J1210/IF($A1210&lt;COUNTIFS($K$1:S$1,"&lt;&gt;"),0,SUMIFS($J:$J,$B:$B,$B1210,$A:$A,"&gt;="&amp;COUNTIFS($K$1:S$1,"&lt;&gt;"))),0)</f>
        <v>0.13207547169811321</v>
      </c>
      <c r="T1210">
        <f>IFERROR($J1210/IF($A1210&lt;COUNTIFS($K$1:T$1,"&lt;&gt;"),0,SUMIFS($J:$J,$B:$B,$B1210,$A:$A,"&gt;="&amp;COUNTIFS($K$1:T$1,"&lt;&gt;"))),0)</f>
        <v>0.18421052631578946</v>
      </c>
      <c r="U1210">
        <f>IFERROR($J1210/IF($A1210&lt;COUNTIFS($K$1:U$1,"&lt;&gt;"),0,SUMIFS($J:$J,$B:$B,$B1210,$A:$A,"&gt;="&amp;COUNTIFS($K$1:U$1,"&lt;&gt;"))),0)</f>
        <v>0.31111111111111112</v>
      </c>
      <c r="V1210">
        <f>IFERROR($J1210/IF($A1210&lt;COUNTIFS($K$1:V$1,"&lt;&gt;"),0,SUMIFS($J:$J,$B:$B,$B1210,$A:$A,"&gt;="&amp;COUNTIFS($K$1:V$1,"&lt;&gt;"))),0)</f>
        <v>1</v>
      </c>
      <c r="W1210">
        <f t="shared" si="420"/>
        <v>3.825136612021858E-2</v>
      </c>
      <c r="X1210">
        <f t="shared" si="400"/>
        <v>3.825136612021858E-2</v>
      </c>
      <c r="Y1210">
        <f t="shared" si="401"/>
        <v>3.825136612021858E-2</v>
      </c>
      <c r="Z1210">
        <f t="shared" si="402"/>
        <v>3.825136612021858E-2</v>
      </c>
      <c r="AA1210">
        <f t="shared" si="403"/>
        <v>3.825136612021858E-2</v>
      </c>
      <c r="AB1210">
        <f t="shared" si="404"/>
        <v>3.825136612021858E-2</v>
      </c>
      <c r="AC1210">
        <f t="shared" si="405"/>
        <v>3.825136612021858E-2</v>
      </c>
      <c r="AD1210">
        <f t="shared" si="406"/>
        <v>3.825136612021858E-2</v>
      </c>
      <c r="AE1210">
        <f t="shared" si="407"/>
        <v>3.825136612021858E-2</v>
      </c>
      <c r="AF1210">
        <f t="shared" si="408"/>
        <v>3.825136612021858E-2</v>
      </c>
      <c r="AG1210">
        <f t="shared" si="409"/>
        <v>3.825136612021858E-2</v>
      </c>
      <c r="AH1210">
        <f t="shared" si="410"/>
        <v>3.825136612021858E-2</v>
      </c>
      <c r="AI1210">
        <f t="shared" si="411"/>
        <v>3.825136612021858E-2</v>
      </c>
      <c r="AJ1210" s="2" t="str">
        <f t="shared" si="421"/>
        <v>1246631</v>
      </c>
    </row>
    <row r="1211" spans="1:36" x14ac:dyDescent="0.25">
      <c r="A1211">
        <v>0</v>
      </c>
      <c r="B1211" s="1">
        <v>46661</v>
      </c>
      <c r="C1211" s="1">
        <f t="shared" si="412"/>
        <v>46661</v>
      </c>
      <c r="D1211" s="1">
        <f t="shared" si="413"/>
        <v>46675</v>
      </c>
      <c r="E1211" s="1">
        <f t="shared" si="414"/>
        <v>46675</v>
      </c>
      <c r="F1211" s="1">
        <f t="shared" si="415"/>
        <v>46692</v>
      </c>
      <c r="G1211" s="1">
        <f t="shared" si="416"/>
        <v>47041</v>
      </c>
      <c r="H1211">
        <f t="shared" si="417"/>
        <v>366</v>
      </c>
      <c r="I1211">
        <f t="shared" si="418"/>
        <v>17</v>
      </c>
      <c r="J1211">
        <f t="shared" si="419"/>
        <v>4.6448087431693992E-2</v>
      </c>
      <c r="K1211">
        <f>IFERROR($J1211/IF($A1211&lt;COUNTIFS($K$1:K$1,"&lt;&gt;"),0,SUMIFS($J:$J,$B:$B,$B1211,$A:$A,"&gt;="&amp;COUNTIFS($K$1:K$1,"&lt;&gt;"))),0)</f>
        <v>0</v>
      </c>
      <c r="L1211">
        <f>IFERROR($J1211/IF($A1211&lt;COUNTIFS($K$1:L$1,"&lt;&gt;"),0,SUMIFS($J:$J,$B:$B,$B1211,$A:$A,"&gt;="&amp;COUNTIFS($K$1:L$1,"&lt;&gt;"))),0)</f>
        <v>0</v>
      </c>
      <c r="M1211">
        <f>IFERROR($J1211/IF($A1211&lt;COUNTIFS($K$1:M$1,"&lt;&gt;"),0,SUMIFS($J:$J,$B:$B,$B1211,$A:$A,"&gt;="&amp;COUNTIFS($K$1:M$1,"&lt;&gt;"))),0)</f>
        <v>0</v>
      </c>
      <c r="N1211">
        <f>IFERROR($J1211/IF($A1211&lt;COUNTIFS($K$1:N$1,"&lt;&gt;"),0,SUMIFS($J:$J,$B:$B,$B1211,$A:$A,"&gt;="&amp;COUNTIFS($K$1:N$1,"&lt;&gt;"))),0)</f>
        <v>0</v>
      </c>
      <c r="O1211">
        <f>IFERROR($J1211/IF($A1211&lt;COUNTIFS($K$1:O$1,"&lt;&gt;"),0,SUMIFS($J:$J,$B:$B,$B1211,$A:$A,"&gt;="&amp;COUNTIFS($K$1:O$1,"&lt;&gt;"))),0)</f>
        <v>0</v>
      </c>
      <c r="P1211">
        <f>IFERROR($J1211/IF($A1211&lt;COUNTIFS($K$1:P$1,"&lt;&gt;"),0,SUMIFS($J:$J,$B:$B,$B1211,$A:$A,"&gt;="&amp;COUNTIFS($K$1:P$1,"&lt;&gt;"))),0)</f>
        <v>0</v>
      </c>
      <c r="Q1211">
        <f>IFERROR($J1211/IF($A1211&lt;COUNTIFS($K$1:Q$1,"&lt;&gt;"),0,SUMIFS($J:$J,$B:$B,$B1211,$A:$A,"&gt;="&amp;COUNTIFS($K$1:Q$1,"&lt;&gt;"))),0)</f>
        <v>0</v>
      </c>
      <c r="R1211">
        <f>IFERROR($J1211/IF($A1211&lt;COUNTIFS($K$1:R$1,"&lt;&gt;"),0,SUMIFS($J:$J,$B:$B,$B1211,$A:$A,"&gt;="&amp;COUNTIFS($K$1:R$1,"&lt;&gt;"))),0)</f>
        <v>0</v>
      </c>
      <c r="S1211">
        <f>IFERROR($J1211/IF($A1211&lt;COUNTIFS($K$1:S$1,"&lt;&gt;"),0,SUMIFS($J:$J,$B:$B,$B1211,$A:$A,"&gt;="&amp;COUNTIFS($K$1:S$1,"&lt;&gt;"))),0)</f>
        <v>0</v>
      </c>
      <c r="T1211">
        <f>IFERROR($J1211/IF($A1211&lt;COUNTIFS($K$1:T$1,"&lt;&gt;"),0,SUMIFS($J:$J,$B:$B,$B1211,$A:$A,"&gt;="&amp;COUNTIFS($K$1:T$1,"&lt;&gt;"))),0)</f>
        <v>0</v>
      </c>
      <c r="U1211">
        <f>IFERROR($J1211/IF($A1211&lt;COUNTIFS($K$1:U$1,"&lt;&gt;"),0,SUMIFS($J:$J,$B:$B,$B1211,$A:$A,"&gt;="&amp;COUNTIFS($K$1:U$1,"&lt;&gt;"))),0)</f>
        <v>0</v>
      </c>
      <c r="V1211">
        <f>IFERROR($J1211/IF($A1211&lt;COUNTIFS($K$1:V$1,"&lt;&gt;"),0,SUMIFS($J:$J,$B:$B,$B1211,$A:$A,"&gt;="&amp;COUNTIFS($K$1:V$1,"&lt;&gt;"))),0)</f>
        <v>0</v>
      </c>
      <c r="W1211">
        <f t="shared" si="420"/>
        <v>4.6448087431693992E-2</v>
      </c>
      <c r="X1211">
        <f t="shared" si="400"/>
        <v>0</v>
      </c>
      <c r="Y1211">
        <f t="shared" si="401"/>
        <v>0</v>
      </c>
      <c r="Z1211">
        <f t="shared" si="402"/>
        <v>0</v>
      </c>
      <c r="AA1211">
        <f t="shared" si="403"/>
        <v>0</v>
      </c>
      <c r="AB1211">
        <f t="shared" si="404"/>
        <v>0</v>
      </c>
      <c r="AC1211">
        <f t="shared" si="405"/>
        <v>0</v>
      </c>
      <c r="AD1211">
        <f t="shared" si="406"/>
        <v>0</v>
      </c>
      <c r="AE1211">
        <f t="shared" si="407"/>
        <v>0</v>
      </c>
      <c r="AF1211">
        <f t="shared" si="408"/>
        <v>0</v>
      </c>
      <c r="AG1211">
        <f t="shared" si="409"/>
        <v>0</v>
      </c>
      <c r="AH1211">
        <f t="shared" si="410"/>
        <v>0</v>
      </c>
      <c r="AI1211">
        <f t="shared" si="411"/>
        <v>0</v>
      </c>
      <c r="AJ1211" s="2" t="str">
        <f t="shared" si="421"/>
        <v>046661</v>
      </c>
    </row>
    <row r="1212" spans="1:36" x14ac:dyDescent="0.25">
      <c r="A1212">
        <v>1</v>
      </c>
      <c r="B1212" s="1">
        <v>46661</v>
      </c>
      <c r="C1212" s="1">
        <f t="shared" si="412"/>
        <v>46692</v>
      </c>
      <c r="D1212" s="1">
        <f t="shared" si="413"/>
        <v>46675</v>
      </c>
      <c r="E1212" s="1">
        <f t="shared" si="414"/>
        <v>46692</v>
      </c>
      <c r="F1212" s="1">
        <f t="shared" si="415"/>
        <v>46722</v>
      </c>
      <c r="G1212" s="1">
        <f t="shared" si="416"/>
        <v>47041</v>
      </c>
      <c r="H1212">
        <f t="shared" si="417"/>
        <v>366</v>
      </c>
      <c r="I1212">
        <f t="shared" si="418"/>
        <v>30</v>
      </c>
      <c r="J1212">
        <f t="shared" si="419"/>
        <v>8.1967213114754092E-2</v>
      </c>
      <c r="K1212">
        <f>IFERROR($J1212/IF($A1212&lt;COUNTIFS($K$1:K$1,"&lt;&gt;"),0,SUMIFS($J:$J,$B:$B,$B1212,$A:$A,"&gt;="&amp;COUNTIFS($K$1:K$1,"&lt;&gt;"))),0)</f>
        <v>8.5959885386819479E-2</v>
      </c>
      <c r="L1212">
        <f>IFERROR($J1212/IF($A1212&lt;COUNTIFS($K$1:L$1,"&lt;&gt;"),0,SUMIFS($J:$J,$B:$B,$B1212,$A:$A,"&gt;="&amp;COUNTIFS($K$1:L$1,"&lt;&gt;"))),0)</f>
        <v>0</v>
      </c>
      <c r="M1212">
        <f>IFERROR($J1212/IF($A1212&lt;COUNTIFS($K$1:M$1,"&lt;&gt;"),0,SUMIFS($J:$J,$B:$B,$B1212,$A:$A,"&gt;="&amp;COUNTIFS($K$1:M$1,"&lt;&gt;"))),0)</f>
        <v>0</v>
      </c>
      <c r="N1212">
        <f>IFERROR($J1212/IF($A1212&lt;COUNTIFS($K$1:N$1,"&lt;&gt;"),0,SUMIFS($J:$J,$B:$B,$B1212,$A:$A,"&gt;="&amp;COUNTIFS($K$1:N$1,"&lt;&gt;"))),0)</f>
        <v>0</v>
      </c>
      <c r="O1212">
        <f>IFERROR($J1212/IF($A1212&lt;COUNTIFS($K$1:O$1,"&lt;&gt;"),0,SUMIFS($J:$J,$B:$B,$B1212,$A:$A,"&gt;="&amp;COUNTIFS($K$1:O$1,"&lt;&gt;"))),0)</f>
        <v>0</v>
      </c>
      <c r="P1212">
        <f>IFERROR($J1212/IF($A1212&lt;COUNTIFS($K$1:P$1,"&lt;&gt;"),0,SUMIFS($J:$J,$B:$B,$B1212,$A:$A,"&gt;="&amp;COUNTIFS($K$1:P$1,"&lt;&gt;"))),0)</f>
        <v>0</v>
      </c>
      <c r="Q1212">
        <f>IFERROR($J1212/IF($A1212&lt;COUNTIFS($K$1:Q$1,"&lt;&gt;"),0,SUMIFS($J:$J,$B:$B,$B1212,$A:$A,"&gt;="&amp;COUNTIFS($K$1:Q$1,"&lt;&gt;"))),0)</f>
        <v>0</v>
      </c>
      <c r="R1212">
        <f>IFERROR($J1212/IF($A1212&lt;COUNTIFS($K$1:R$1,"&lt;&gt;"),0,SUMIFS($J:$J,$B:$B,$B1212,$A:$A,"&gt;="&amp;COUNTIFS($K$1:R$1,"&lt;&gt;"))),0)</f>
        <v>0</v>
      </c>
      <c r="S1212">
        <f>IFERROR($J1212/IF($A1212&lt;COUNTIFS($K$1:S$1,"&lt;&gt;"),0,SUMIFS($J:$J,$B:$B,$B1212,$A:$A,"&gt;="&amp;COUNTIFS($K$1:S$1,"&lt;&gt;"))),0)</f>
        <v>0</v>
      </c>
      <c r="T1212">
        <f>IFERROR($J1212/IF($A1212&lt;COUNTIFS($K$1:T$1,"&lt;&gt;"),0,SUMIFS($J:$J,$B:$B,$B1212,$A:$A,"&gt;="&amp;COUNTIFS($K$1:T$1,"&lt;&gt;"))),0)</f>
        <v>0</v>
      </c>
      <c r="U1212">
        <f>IFERROR($J1212/IF($A1212&lt;COUNTIFS($K$1:U$1,"&lt;&gt;"),0,SUMIFS($J:$J,$B:$B,$B1212,$A:$A,"&gt;="&amp;COUNTIFS($K$1:U$1,"&lt;&gt;"))),0)</f>
        <v>0</v>
      </c>
      <c r="V1212">
        <f>IFERROR($J1212/IF($A1212&lt;COUNTIFS($K$1:V$1,"&lt;&gt;"),0,SUMIFS($J:$J,$B:$B,$B1212,$A:$A,"&gt;="&amp;COUNTIFS($K$1:V$1,"&lt;&gt;"))),0)</f>
        <v>0</v>
      </c>
      <c r="W1212">
        <f t="shared" si="420"/>
        <v>8.1967213114754092E-2</v>
      </c>
      <c r="X1212">
        <f t="shared" si="400"/>
        <v>8.1967213114754092E-2</v>
      </c>
      <c r="Y1212">
        <f t="shared" si="401"/>
        <v>0</v>
      </c>
      <c r="Z1212">
        <f t="shared" si="402"/>
        <v>0</v>
      </c>
      <c r="AA1212">
        <f t="shared" si="403"/>
        <v>0</v>
      </c>
      <c r="AB1212">
        <f t="shared" si="404"/>
        <v>0</v>
      </c>
      <c r="AC1212">
        <f t="shared" si="405"/>
        <v>0</v>
      </c>
      <c r="AD1212">
        <f t="shared" si="406"/>
        <v>0</v>
      </c>
      <c r="AE1212">
        <f t="shared" si="407"/>
        <v>0</v>
      </c>
      <c r="AF1212">
        <f t="shared" si="408"/>
        <v>0</v>
      </c>
      <c r="AG1212">
        <f t="shared" si="409"/>
        <v>0</v>
      </c>
      <c r="AH1212">
        <f t="shared" si="410"/>
        <v>0</v>
      </c>
      <c r="AI1212">
        <f t="shared" si="411"/>
        <v>0</v>
      </c>
      <c r="AJ1212" s="2" t="str">
        <f t="shared" si="421"/>
        <v>146661</v>
      </c>
    </row>
    <row r="1213" spans="1:36" x14ac:dyDescent="0.25">
      <c r="A1213">
        <v>2</v>
      </c>
      <c r="B1213" s="1">
        <v>46661</v>
      </c>
      <c r="C1213" s="1">
        <f t="shared" si="412"/>
        <v>46722</v>
      </c>
      <c r="D1213" s="1">
        <f t="shared" si="413"/>
        <v>46675</v>
      </c>
      <c r="E1213" s="1">
        <f t="shared" si="414"/>
        <v>46722</v>
      </c>
      <c r="F1213" s="1">
        <f t="shared" si="415"/>
        <v>46753</v>
      </c>
      <c r="G1213" s="1">
        <f t="shared" si="416"/>
        <v>47041</v>
      </c>
      <c r="H1213">
        <f t="shared" si="417"/>
        <v>366</v>
      </c>
      <c r="I1213">
        <f t="shared" si="418"/>
        <v>31</v>
      </c>
      <c r="J1213">
        <f t="shared" si="419"/>
        <v>8.4699453551912565E-2</v>
      </c>
      <c r="K1213">
        <f>IFERROR($J1213/IF($A1213&lt;COUNTIFS($K$1:K$1,"&lt;&gt;"),0,SUMIFS($J:$J,$B:$B,$B1213,$A:$A,"&gt;="&amp;COUNTIFS($K$1:K$1,"&lt;&gt;"))),0)</f>
        <v>8.882521489971347E-2</v>
      </c>
      <c r="L1213">
        <f>IFERROR($J1213/IF($A1213&lt;COUNTIFS($K$1:L$1,"&lt;&gt;"),0,SUMIFS($J:$J,$B:$B,$B1213,$A:$A,"&gt;="&amp;COUNTIFS($K$1:L$1,"&lt;&gt;"))),0)</f>
        <v>9.7178683385579931E-2</v>
      </c>
      <c r="M1213">
        <f>IFERROR($J1213/IF($A1213&lt;COUNTIFS($K$1:M$1,"&lt;&gt;"),0,SUMIFS($J:$J,$B:$B,$B1213,$A:$A,"&gt;="&amp;COUNTIFS($K$1:M$1,"&lt;&gt;"))),0)</f>
        <v>0</v>
      </c>
      <c r="N1213">
        <f>IFERROR($J1213/IF($A1213&lt;COUNTIFS($K$1:N$1,"&lt;&gt;"),0,SUMIFS($J:$J,$B:$B,$B1213,$A:$A,"&gt;="&amp;COUNTIFS($K$1:N$1,"&lt;&gt;"))),0)</f>
        <v>0</v>
      </c>
      <c r="O1213">
        <f>IFERROR($J1213/IF($A1213&lt;COUNTIFS($K$1:O$1,"&lt;&gt;"),0,SUMIFS($J:$J,$B:$B,$B1213,$A:$A,"&gt;="&amp;COUNTIFS($K$1:O$1,"&lt;&gt;"))),0)</f>
        <v>0</v>
      </c>
      <c r="P1213">
        <f>IFERROR($J1213/IF($A1213&lt;COUNTIFS($K$1:P$1,"&lt;&gt;"),0,SUMIFS($J:$J,$B:$B,$B1213,$A:$A,"&gt;="&amp;COUNTIFS($K$1:P$1,"&lt;&gt;"))),0)</f>
        <v>0</v>
      </c>
      <c r="Q1213">
        <f>IFERROR($J1213/IF($A1213&lt;COUNTIFS($K$1:Q$1,"&lt;&gt;"),0,SUMIFS($J:$J,$B:$B,$B1213,$A:$A,"&gt;="&amp;COUNTIFS($K$1:Q$1,"&lt;&gt;"))),0)</f>
        <v>0</v>
      </c>
      <c r="R1213">
        <f>IFERROR($J1213/IF($A1213&lt;COUNTIFS($K$1:R$1,"&lt;&gt;"),0,SUMIFS($J:$J,$B:$B,$B1213,$A:$A,"&gt;="&amp;COUNTIFS($K$1:R$1,"&lt;&gt;"))),0)</f>
        <v>0</v>
      </c>
      <c r="S1213">
        <f>IFERROR($J1213/IF($A1213&lt;COUNTIFS($K$1:S$1,"&lt;&gt;"),0,SUMIFS($J:$J,$B:$B,$B1213,$A:$A,"&gt;="&amp;COUNTIFS($K$1:S$1,"&lt;&gt;"))),0)</f>
        <v>0</v>
      </c>
      <c r="T1213">
        <f>IFERROR($J1213/IF($A1213&lt;COUNTIFS($K$1:T$1,"&lt;&gt;"),0,SUMIFS($J:$J,$B:$B,$B1213,$A:$A,"&gt;="&amp;COUNTIFS($K$1:T$1,"&lt;&gt;"))),0)</f>
        <v>0</v>
      </c>
      <c r="U1213">
        <f>IFERROR($J1213/IF($A1213&lt;COUNTIFS($K$1:U$1,"&lt;&gt;"),0,SUMIFS($J:$J,$B:$B,$B1213,$A:$A,"&gt;="&amp;COUNTIFS($K$1:U$1,"&lt;&gt;"))),0)</f>
        <v>0</v>
      </c>
      <c r="V1213">
        <f>IFERROR($J1213/IF($A1213&lt;COUNTIFS($K$1:V$1,"&lt;&gt;"),0,SUMIFS($J:$J,$B:$B,$B1213,$A:$A,"&gt;="&amp;COUNTIFS($K$1:V$1,"&lt;&gt;"))),0)</f>
        <v>0</v>
      </c>
      <c r="W1213">
        <f t="shared" si="420"/>
        <v>8.4699453551912565E-2</v>
      </c>
      <c r="X1213">
        <f t="shared" si="400"/>
        <v>8.4699453551912565E-2</v>
      </c>
      <c r="Y1213">
        <f t="shared" si="401"/>
        <v>8.4699453551912565E-2</v>
      </c>
      <c r="Z1213">
        <f t="shared" si="402"/>
        <v>0</v>
      </c>
      <c r="AA1213">
        <f t="shared" si="403"/>
        <v>0</v>
      </c>
      <c r="AB1213">
        <f t="shared" si="404"/>
        <v>0</v>
      </c>
      <c r="AC1213">
        <f t="shared" si="405"/>
        <v>0</v>
      </c>
      <c r="AD1213">
        <f t="shared" si="406"/>
        <v>0</v>
      </c>
      <c r="AE1213">
        <f t="shared" si="407"/>
        <v>0</v>
      </c>
      <c r="AF1213">
        <f t="shared" si="408"/>
        <v>0</v>
      </c>
      <c r="AG1213">
        <f t="shared" si="409"/>
        <v>0</v>
      </c>
      <c r="AH1213">
        <f t="shared" si="410"/>
        <v>0</v>
      </c>
      <c r="AI1213">
        <f t="shared" si="411"/>
        <v>0</v>
      </c>
      <c r="AJ1213" s="2" t="str">
        <f t="shared" si="421"/>
        <v>246661</v>
      </c>
    </row>
    <row r="1214" spans="1:36" x14ac:dyDescent="0.25">
      <c r="A1214">
        <v>3</v>
      </c>
      <c r="B1214" s="1">
        <v>46661</v>
      </c>
      <c r="C1214" s="1">
        <f t="shared" si="412"/>
        <v>46753</v>
      </c>
      <c r="D1214" s="1">
        <f t="shared" si="413"/>
        <v>46675</v>
      </c>
      <c r="E1214" s="1">
        <f t="shared" si="414"/>
        <v>46753</v>
      </c>
      <c r="F1214" s="1">
        <f t="shared" si="415"/>
        <v>46784</v>
      </c>
      <c r="G1214" s="1">
        <f t="shared" si="416"/>
        <v>47041</v>
      </c>
      <c r="H1214">
        <f t="shared" si="417"/>
        <v>366</v>
      </c>
      <c r="I1214">
        <f t="shared" si="418"/>
        <v>31</v>
      </c>
      <c r="J1214">
        <f t="shared" si="419"/>
        <v>8.4699453551912565E-2</v>
      </c>
      <c r="K1214">
        <f>IFERROR($J1214/IF($A1214&lt;COUNTIFS($K$1:K$1,"&lt;&gt;"),0,SUMIFS($J:$J,$B:$B,$B1214,$A:$A,"&gt;="&amp;COUNTIFS($K$1:K$1,"&lt;&gt;"))),0)</f>
        <v>8.882521489971347E-2</v>
      </c>
      <c r="L1214">
        <f>IFERROR($J1214/IF($A1214&lt;COUNTIFS($K$1:L$1,"&lt;&gt;"),0,SUMIFS($J:$J,$B:$B,$B1214,$A:$A,"&gt;="&amp;COUNTIFS($K$1:L$1,"&lt;&gt;"))),0)</f>
        <v>9.7178683385579931E-2</v>
      </c>
      <c r="M1214">
        <f>IFERROR($J1214/IF($A1214&lt;COUNTIFS($K$1:M$1,"&lt;&gt;"),0,SUMIFS($J:$J,$B:$B,$B1214,$A:$A,"&gt;="&amp;COUNTIFS($K$1:M$1,"&lt;&gt;"))),0)</f>
        <v>0.10763888888888888</v>
      </c>
      <c r="N1214">
        <f>IFERROR($J1214/IF($A1214&lt;COUNTIFS($K$1:N$1,"&lt;&gt;"),0,SUMIFS($J:$J,$B:$B,$B1214,$A:$A,"&gt;="&amp;COUNTIFS($K$1:N$1,"&lt;&gt;"))),0)</f>
        <v>0</v>
      </c>
      <c r="O1214">
        <f>IFERROR($J1214/IF($A1214&lt;COUNTIFS($K$1:O$1,"&lt;&gt;"),0,SUMIFS($J:$J,$B:$B,$B1214,$A:$A,"&gt;="&amp;COUNTIFS($K$1:O$1,"&lt;&gt;"))),0)</f>
        <v>0</v>
      </c>
      <c r="P1214">
        <f>IFERROR($J1214/IF($A1214&lt;COUNTIFS($K$1:P$1,"&lt;&gt;"),0,SUMIFS($J:$J,$B:$B,$B1214,$A:$A,"&gt;="&amp;COUNTIFS($K$1:P$1,"&lt;&gt;"))),0)</f>
        <v>0</v>
      </c>
      <c r="Q1214">
        <f>IFERROR($J1214/IF($A1214&lt;COUNTIFS($K$1:Q$1,"&lt;&gt;"),0,SUMIFS($J:$J,$B:$B,$B1214,$A:$A,"&gt;="&amp;COUNTIFS($K$1:Q$1,"&lt;&gt;"))),0)</f>
        <v>0</v>
      </c>
      <c r="R1214">
        <f>IFERROR($J1214/IF($A1214&lt;COUNTIFS($K$1:R$1,"&lt;&gt;"),0,SUMIFS($J:$J,$B:$B,$B1214,$A:$A,"&gt;="&amp;COUNTIFS($K$1:R$1,"&lt;&gt;"))),0)</f>
        <v>0</v>
      </c>
      <c r="S1214">
        <f>IFERROR($J1214/IF($A1214&lt;COUNTIFS($K$1:S$1,"&lt;&gt;"),0,SUMIFS($J:$J,$B:$B,$B1214,$A:$A,"&gt;="&amp;COUNTIFS($K$1:S$1,"&lt;&gt;"))),0)</f>
        <v>0</v>
      </c>
      <c r="T1214">
        <f>IFERROR($J1214/IF($A1214&lt;COUNTIFS($K$1:T$1,"&lt;&gt;"),0,SUMIFS($J:$J,$B:$B,$B1214,$A:$A,"&gt;="&amp;COUNTIFS($K$1:T$1,"&lt;&gt;"))),0)</f>
        <v>0</v>
      </c>
      <c r="U1214">
        <f>IFERROR($J1214/IF($A1214&lt;COUNTIFS($K$1:U$1,"&lt;&gt;"),0,SUMIFS($J:$J,$B:$B,$B1214,$A:$A,"&gt;="&amp;COUNTIFS($K$1:U$1,"&lt;&gt;"))),0)</f>
        <v>0</v>
      </c>
      <c r="V1214">
        <f>IFERROR($J1214/IF($A1214&lt;COUNTIFS($K$1:V$1,"&lt;&gt;"),0,SUMIFS($J:$J,$B:$B,$B1214,$A:$A,"&gt;="&amp;COUNTIFS($K$1:V$1,"&lt;&gt;"))),0)</f>
        <v>0</v>
      </c>
      <c r="W1214">
        <f t="shared" si="420"/>
        <v>8.4699453551912565E-2</v>
      </c>
      <c r="X1214">
        <f t="shared" si="400"/>
        <v>8.4699453551912565E-2</v>
      </c>
      <c r="Y1214">
        <f t="shared" si="401"/>
        <v>8.4699453551912565E-2</v>
      </c>
      <c r="Z1214">
        <f t="shared" si="402"/>
        <v>8.4699453551912565E-2</v>
      </c>
      <c r="AA1214">
        <f t="shared" si="403"/>
        <v>0</v>
      </c>
      <c r="AB1214">
        <f t="shared" si="404"/>
        <v>0</v>
      </c>
      <c r="AC1214">
        <f t="shared" si="405"/>
        <v>0</v>
      </c>
      <c r="AD1214">
        <f t="shared" si="406"/>
        <v>0</v>
      </c>
      <c r="AE1214">
        <f t="shared" si="407"/>
        <v>0</v>
      </c>
      <c r="AF1214">
        <f t="shared" si="408"/>
        <v>0</v>
      </c>
      <c r="AG1214">
        <f t="shared" si="409"/>
        <v>0</v>
      </c>
      <c r="AH1214">
        <f t="shared" si="410"/>
        <v>0</v>
      </c>
      <c r="AI1214">
        <f t="shared" si="411"/>
        <v>0</v>
      </c>
      <c r="AJ1214" s="2" t="str">
        <f t="shared" si="421"/>
        <v>346661</v>
      </c>
    </row>
    <row r="1215" spans="1:36" x14ac:dyDescent="0.25">
      <c r="A1215">
        <v>4</v>
      </c>
      <c r="B1215" s="1">
        <v>46661</v>
      </c>
      <c r="C1215" s="1">
        <f t="shared" si="412"/>
        <v>46784</v>
      </c>
      <c r="D1215" s="1">
        <f t="shared" si="413"/>
        <v>46675</v>
      </c>
      <c r="E1215" s="1">
        <f t="shared" si="414"/>
        <v>46784</v>
      </c>
      <c r="F1215" s="1">
        <f t="shared" si="415"/>
        <v>46813</v>
      </c>
      <c r="G1215" s="1">
        <f t="shared" si="416"/>
        <v>47041</v>
      </c>
      <c r="H1215">
        <f t="shared" si="417"/>
        <v>366</v>
      </c>
      <c r="I1215">
        <f t="shared" si="418"/>
        <v>29</v>
      </c>
      <c r="J1215">
        <f t="shared" si="419"/>
        <v>7.9234972677595633E-2</v>
      </c>
      <c r="K1215">
        <f>IFERROR($J1215/IF($A1215&lt;COUNTIFS($K$1:K$1,"&lt;&gt;"),0,SUMIFS($J:$J,$B:$B,$B1215,$A:$A,"&gt;="&amp;COUNTIFS($K$1:K$1,"&lt;&gt;"))),0)</f>
        <v>8.3094555873925516E-2</v>
      </c>
      <c r="L1215">
        <f>IFERROR($J1215/IF($A1215&lt;COUNTIFS($K$1:L$1,"&lt;&gt;"),0,SUMIFS($J:$J,$B:$B,$B1215,$A:$A,"&gt;="&amp;COUNTIFS($K$1:L$1,"&lt;&gt;"))),0)</f>
        <v>9.0909090909090912E-2</v>
      </c>
      <c r="M1215">
        <f>IFERROR($J1215/IF($A1215&lt;COUNTIFS($K$1:M$1,"&lt;&gt;"),0,SUMIFS($J:$J,$B:$B,$B1215,$A:$A,"&gt;="&amp;COUNTIFS($K$1:M$1,"&lt;&gt;"))),0)</f>
        <v>0.10069444444444445</v>
      </c>
      <c r="N1215">
        <f>IFERROR($J1215/IF($A1215&lt;COUNTIFS($K$1:N$1,"&lt;&gt;"),0,SUMIFS($J:$J,$B:$B,$B1215,$A:$A,"&gt;="&amp;COUNTIFS($K$1:N$1,"&lt;&gt;"))),0)</f>
        <v>0.11284046692607004</v>
      </c>
      <c r="O1215">
        <f>IFERROR($J1215/IF($A1215&lt;COUNTIFS($K$1:O$1,"&lt;&gt;"),0,SUMIFS($J:$J,$B:$B,$B1215,$A:$A,"&gt;="&amp;COUNTIFS($K$1:O$1,"&lt;&gt;"))),0)</f>
        <v>0</v>
      </c>
      <c r="P1215">
        <f>IFERROR($J1215/IF($A1215&lt;COUNTIFS($K$1:P$1,"&lt;&gt;"),0,SUMIFS($J:$J,$B:$B,$B1215,$A:$A,"&gt;="&amp;COUNTIFS($K$1:P$1,"&lt;&gt;"))),0)</f>
        <v>0</v>
      </c>
      <c r="Q1215">
        <f>IFERROR($J1215/IF($A1215&lt;COUNTIFS($K$1:Q$1,"&lt;&gt;"),0,SUMIFS($J:$J,$B:$B,$B1215,$A:$A,"&gt;="&amp;COUNTIFS($K$1:Q$1,"&lt;&gt;"))),0)</f>
        <v>0</v>
      </c>
      <c r="R1215">
        <f>IFERROR($J1215/IF($A1215&lt;COUNTIFS($K$1:R$1,"&lt;&gt;"),0,SUMIFS($J:$J,$B:$B,$B1215,$A:$A,"&gt;="&amp;COUNTIFS($K$1:R$1,"&lt;&gt;"))),0)</f>
        <v>0</v>
      </c>
      <c r="S1215">
        <f>IFERROR($J1215/IF($A1215&lt;COUNTIFS($K$1:S$1,"&lt;&gt;"),0,SUMIFS($J:$J,$B:$B,$B1215,$A:$A,"&gt;="&amp;COUNTIFS($K$1:S$1,"&lt;&gt;"))),0)</f>
        <v>0</v>
      </c>
      <c r="T1215">
        <f>IFERROR($J1215/IF($A1215&lt;COUNTIFS($K$1:T$1,"&lt;&gt;"),0,SUMIFS($J:$J,$B:$B,$B1215,$A:$A,"&gt;="&amp;COUNTIFS($K$1:T$1,"&lt;&gt;"))),0)</f>
        <v>0</v>
      </c>
      <c r="U1215">
        <f>IFERROR($J1215/IF($A1215&lt;COUNTIFS($K$1:U$1,"&lt;&gt;"),0,SUMIFS($J:$J,$B:$B,$B1215,$A:$A,"&gt;="&amp;COUNTIFS($K$1:U$1,"&lt;&gt;"))),0)</f>
        <v>0</v>
      </c>
      <c r="V1215">
        <f>IFERROR($J1215/IF($A1215&lt;COUNTIFS($K$1:V$1,"&lt;&gt;"),0,SUMIFS($J:$J,$B:$B,$B1215,$A:$A,"&gt;="&amp;COUNTIFS($K$1:V$1,"&lt;&gt;"))),0)</f>
        <v>0</v>
      </c>
      <c r="W1215">
        <f t="shared" si="420"/>
        <v>7.9234972677595633E-2</v>
      </c>
      <c r="X1215">
        <f t="shared" si="400"/>
        <v>7.9234972677595633E-2</v>
      </c>
      <c r="Y1215">
        <f t="shared" si="401"/>
        <v>7.9234972677595633E-2</v>
      </c>
      <c r="Z1215">
        <f t="shared" si="402"/>
        <v>7.9234972677595633E-2</v>
      </c>
      <c r="AA1215">
        <f t="shared" si="403"/>
        <v>7.9234972677595633E-2</v>
      </c>
      <c r="AB1215">
        <f t="shared" si="404"/>
        <v>0</v>
      </c>
      <c r="AC1215">
        <f t="shared" si="405"/>
        <v>0</v>
      </c>
      <c r="AD1215">
        <f t="shared" si="406"/>
        <v>0</v>
      </c>
      <c r="AE1215">
        <f t="shared" si="407"/>
        <v>0</v>
      </c>
      <c r="AF1215">
        <f t="shared" si="408"/>
        <v>0</v>
      </c>
      <c r="AG1215">
        <f t="shared" si="409"/>
        <v>0</v>
      </c>
      <c r="AH1215">
        <f t="shared" si="410"/>
        <v>0</v>
      </c>
      <c r="AI1215">
        <f t="shared" si="411"/>
        <v>0</v>
      </c>
      <c r="AJ1215" s="2" t="str">
        <f t="shared" si="421"/>
        <v>446661</v>
      </c>
    </row>
    <row r="1216" spans="1:36" x14ac:dyDescent="0.25">
      <c r="A1216">
        <v>5</v>
      </c>
      <c r="B1216" s="1">
        <v>46661</v>
      </c>
      <c r="C1216" s="1">
        <f t="shared" si="412"/>
        <v>46813</v>
      </c>
      <c r="D1216" s="1">
        <f t="shared" si="413"/>
        <v>46675</v>
      </c>
      <c r="E1216" s="1">
        <f t="shared" si="414"/>
        <v>46813</v>
      </c>
      <c r="F1216" s="1">
        <f t="shared" si="415"/>
        <v>46844</v>
      </c>
      <c r="G1216" s="1">
        <f t="shared" si="416"/>
        <v>47041</v>
      </c>
      <c r="H1216">
        <f t="shared" si="417"/>
        <v>366</v>
      </c>
      <c r="I1216">
        <f t="shared" si="418"/>
        <v>31</v>
      </c>
      <c r="J1216">
        <f t="shared" si="419"/>
        <v>8.4699453551912565E-2</v>
      </c>
      <c r="K1216">
        <f>IFERROR($J1216/IF($A1216&lt;COUNTIFS($K$1:K$1,"&lt;&gt;"),0,SUMIFS($J:$J,$B:$B,$B1216,$A:$A,"&gt;="&amp;COUNTIFS($K$1:K$1,"&lt;&gt;"))),0)</f>
        <v>8.882521489971347E-2</v>
      </c>
      <c r="L1216">
        <f>IFERROR($J1216/IF($A1216&lt;COUNTIFS($K$1:L$1,"&lt;&gt;"),0,SUMIFS($J:$J,$B:$B,$B1216,$A:$A,"&gt;="&amp;COUNTIFS($K$1:L$1,"&lt;&gt;"))),0)</f>
        <v>9.7178683385579931E-2</v>
      </c>
      <c r="M1216">
        <f>IFERROR($J1216/IF($A1216&lt;COUNTIFS($K$1:M$1,"&lt;&gt;"),0,SUMIFS($J:$J,$B:$B,$B1216,$A:$A,"&gt;="&amp;COUNTIFS($K$1:M$1,"&lt;&gt;"))),0)</f>
        <v>0.10763888888888888</v>
      </c>
      <c r="N1216">
        <f>IFERROR($J1216/IF($A1216&lt;COUNTIFS($K$1:N$1,"&lt;&gt;"),0,SUMIFS($J:$J,$B:$B,$B1216,$A:$A,"&gt;="&amp;COUNTIFS($K$1:N$1,"&lt;&gt;"))),0)</f>
        <v>0.12062256809338522</v>
      </c>
      <c r="O1216">
        <f>IFERROR($J1216/IF($A1216&lt;COUNTIFS($K$1:O$1,"&lt;&gt;"),0,SUMIFS($J:$J,$B:$B,$B1216,$A:$A,"&gt;="&amp;COUNTIFS($K$1:O$1,"&lt;&gt;"))),0)</f>
        <v>0.13596491228070173</v>
      </c>
      <c r="P1216">
        <f>IFERROR($J1216/IF($A1216&lt;COUNTIFS($K$1:P$1,"&lt;&gt;"),0,SUMIFS($J:$J,$B:$B,$B1216,$A:$A,"&gt;="&amp;COUNTIFS($K$1:P$1,"&lt;&gt;"))),0)</f>
        <v>0</v>
      </c>
      <c r="Q1216">
        <f>IFERROR($J1216/IF($A1216&lt;COUNTIFS($K$1:Q$1,"&lt;&gt;"),0,SUMIFS($J:$J,$B:$B,$B1216,$A:$A,"&gt;="&amp;COUNTIFS($K$1:Q$1,"&lt;&gt;"))),0)</f>
        <v>0</v>
      </c>
      <c r="R1216">
        <f>IFERROR($J1216/IF($A1216&lt;COUNTIFS($K$1:R$1,"&lt;&gt;"),0,SUMIFS($J:$J,$B:$B,$B1216,$A:$A,"&gt;="&amp;COUNTIFS($K$1:R$1,"&lt;&gt;"))),0)</f>
        <v>0</v>
      </c>
      <c r="S1216">
        <f>IFERROR($J1216/IF($A1216&lt;COUNTIFS($K$1:S$1,"&lt;&gt;"),0,SUMIFS($J:$J,$B:$B,$B1216,$A:$A,"&gt;="&amp;COUNTIFS($K$1:S$1,"&lt;&gt;"))),0)</f>
        <v>0</v>
      </c>
      <c r="T1216">
        <f>IFERROR($J1216/IF($A1216&lt;COUNTIFS($K$1:T$1,"&lt;&gt;"),0,SUMIFS($J:$J,$B:$B,$B1216,$A:$A,"&gt;="&amp;COUNTIFS($K$1:T$1,"&lt;&gt;"))),0)</f>
        <v>0</v>
      </c>
      <c r="U1216">
        <f>IFERROR($J1216/IF($A1216&lt;COUNTIFS($K$1:U$1,"&lt;&gt;"),0,SUMIFS($J:$J,$B:$B,$B1216,$A:$A,"&gt;="&amp;COUNTIFS($K$1:U$1,"&lt;&gt;"))),0)</f>
        <v>0</v>
      </c>
      <c r="V1216">
        <f>IFERROR($J1216/IF($A1216&lt;COUNTIFS($K$1:V$1,"&lt;&gt;"),0,SUMIFS($J:$J,$B:$B,$B1216,$A:$A,"&gt;="&amp;COUNTIFS($K$1:V$1,"&lt;&gt;"))),0)</f>
        <v>0</v>
      </c>
      <c r="W1216">
        <f t="shared" si="420"/>
        <v>8.4699453551912565E-2</v>
      </c>
      <c r="X1216">
        <f t="shared" si="400"/>
        <v>8.4699453551912565E-2</v>
      </c>
      <c r="Y1216">
        <f t="shared" si="401"/>
        <v>8.4699453551912565E-2</v>
      </c>
      <c r="Z1216">
        <f t="shared" si="402"/>
        <v>8.4699453551912565E-2</v>
      </c>
      <c r="AA1216">
        <f t="shared" si="403"/>
        <v>8.4699453551912565E-2</v>
      </c>
      <c r="AB1216">
        <f t="shared" si="404"/>
        <v>8.4699453551912565E-2</v>
      </c>
      <c r="AC1216">
        <f t="shared" si="405"/>
        <v>0</v>
      </c>
      <c r="AD1216">
        <f t="shared" si="406"/>
        <v>0</v>
      </c>
      <c r="AE1216">
        <f t="shared" si="407"/>
        <v>0</v>
      </c>
      <c r="AF1216">
        <f t="shared" si="408"/>
        <v>0</v>
      </c>
      <c r="AG1216">
        <f t="shared" si="409"/>
        <v>0</v>
      </c>
      <c r="AH1216">
        <f t="shared" si="410"/>
        <v>0</v>
      </c>
      <c r="AI1216">
        <f t="shared" si="411"/>
        <v>0</v>
      </c>
      <c r="AJ1216" s="2" t="str">
        <f t="shared" si="421"/>
        <v>546661</v>
      </c>
    </row>
    <row r="1217" spans="1:36" x14ac:dyDescent="0.25">
      <c r="A1217">
        <v>6</v>
      </c>
      <c r="B1217" s="1">
        <v>46661</v>
      </c>
      <c r="C1217" s="1">
        <f t="shared" si="412"/>
        <v>46844</v>
      </c>
      <c r="D1217" s="1">
        <f t="shared" si="413"/>
        <v>46675</v>
      </c>
      <c r="E1217" s="1">
        <f t="shared" si="414"/>
        <v>46844</v>
      </c>
      <c r="F1217" s="1">
        <f t="shared" si="415"/>
        <v>46874</v>
      </c>
      <c r="G1217" s="1">
        <f t="shared" si="416"/>
        <v>47041</v>
      </c>
      <c r="H1217">
        <f t="shared" si="417"/>
        <v>366</v>
      </c>
      <c r="I1217">
        <f t="shared" si="418"/>
        <v>30</v>
      </c>
      <c r="J1217">
        <f t="shared" si="419"/>
        <v>8.1967213114754092E-2</v>
      </c>
      <c r="K1217">
        <f>IFERROR($J1217/IF($A1217&lt;COUNTIFS($K$1:K$1,"&lt;&gt;"),0,SUMIFS($J:$J,$B:$B,$B1217,$A:$A,"&gt;="&amp;COUNTIFS($K$1:K$1,"&lt;&gt;"))),0)</f>
        <v>8.5959885386819479E-2</v>
      </c>
      <c r="L1217">
        <f>IFERROR($J1217/IF($A1217&lt;COUNTIFS($K$1:L$1,"&lt;&gt;"),0,SUMIFS($J:$J,$B:$B,$B1217,$A:$A,"&gt;="&amp;COUNTIFS($K$1:L$1,"&lt;&gt;"))),0)</f>
        <v>9.4043887147335414E-2</v>
      </c>
      <c r="M1217">
        <f>IFERROR($J1217/IF($A1217&lt;COUNTIFS($K$1:M$1,"&lt;&gt;"),0,SUMIFS($J:$J,$B:$B,$B1217,$A:$A,"&gt;="&amp;COUNTIFS($K$1:M$1,"&lt;&gt;"))),0)</f>
        <v>0.10416666666666666</v>
      </c>
      <c r="N1217">
        <f>IFERROR($J1217/IF($A1217&lt;COUNTIFS($K$1:N$1,"&lt;&gt;"),0,SUMIFS($J:$J,$B:$B,$B1217,$A:$A,"&gt;="&amp;COUNTIFS($K$1:N$1,"&lt;&gt;"))),0)</f>
        <v>0.11673151750972761</v>
      </c>
      <c r="O1217">
        <f>IFERROR($J1217/IF($A1217&lt;COUNTIFS($K$1:O$1,"&lt;&gt;"),0,SUMIFS($J:$J,$B:$B,$B1217,$A:$A,"&gt;="&amp;COUNTIFS($K$1:O$1,"&lt;&gt;"))),0)</f>
        <v>0.13157894736842105</v>
      </c>
      <c r="P1217">
        <f>IFERROR($J1217/IF($A1217&lt;COUNTIFS($K$1:P$1,"&lt;&gt;"),0,SUMIFS($J:$J,$B:$B,$B1217,$A:$A,"&gt;="&amp;COUNTIFS($K$1:P$1,"&lt;&gt;"))),0)</f>
        <v>0.15228426395939088</v>
      </c>
      <c r="Q1217">
        <f>IFERROR($J1217/IF($A1217&lt;COUNTIFS($K$1:Q$1,"&lt;&gt;"),0,SUMIFS($J:$J,$B:$B,$B1217,$A:$A,"&gt;="&amp;COUNTIFS($K$1:Q$1,"&lt;&gt;"))),0)</f>
        <v>0</v>
      </c>
      <c r="R1217">
        <f>IFERROR($J1217/IF($A1217&lt;COUNTIFS($K$1:R$1,"&lt;&gt;"),0,SUMIFS($J:$J,$B:$B,$B1217,$A:$A,"&gt;="&amp;COUNTIFS($K$1:R$1,"&lt;&gt;"))),0)</f>
        <v>0</v>
      </c>
      <c r="S1217">
        <f>IFERROR($J1217/IF($A1217&lt;COUNTIFS($K$1:S$1,"&lt;&gt;"),0,SUMIFS($J:$J,$B:$B,$B1217,$A:$A,"&gt;="&amp;COUNTIFS($K$1:S$1,"&lt;&gt;"))),0)</f>
        <v>0</v>
      </c>
      <c r="T1217">
        <f>IFERROR($J1217/IF($A1217&lt;COUNTIFS($K$1:T$1,"&lt;&gt;"),0,SUMIFS($J:$J,$B:$B,$B1217,$A:$A,"&gt;="&amp;COUNTIFS($K$1:T$1,"&lt;&gt;"))),0)</f>
        <v>0</v>
      </c>
      <c r="U1217">
        <f>IFERROR($J1217/IF($A1217&lt;COUNTIFS($K$1:U$1,"&lt;&gt;"),0,SUMIFS($J:$J,$B:$B,$B1217,$A:$A,"&gt;="&amp;COUNTIFS($K$1:U$1,"&lt;&gt;"))),0)</f>
        <v>0</v>
      </c>
      <c r="V1217">
        <f>IFERROR($J1217/IF($A1217&lt;COUNTIFS($K$1:V$1,"&lt;&gt;"),0,SUMIFS($J:$J,$B:$B,$B1217,$A:$A,"&gt;="&amp;COUNTIFS($K$1:V$1,"&lt;&gt;"))),0)</f>
        <v>0</v>
      </c>
      <c r="W1217">
        <f t="shared" si="420"/>
        <v>8.1967213114754092E-2</v>
      </c>
      <c r="X1217">
        <f t="shared" si="400"/>
        <v>8.1967213114754092E-2</v>
      </c>
      <c r="Y1217">
        <f t="shared" si="401"/>
        <v>8.1967213114754092E-2</v>
      </c>
      <c r="Z1217">
        <f t="shared" si="402"/>
        <v>8.1967213114754092E-2</v>
      </c>
      <c r="AA1217">
        <f t="shared" si="403"/>
        <v>8.1967213114754092E-2</v>
      </c>
      <c r="AB1217">
        <f t="shared" si="404"/>
        <v>8.1967213114754092E-2</v>
      </c>
      <c r="AC1217">
        <f t="shared" si="405"/>
        <v>8.1967213114754092E-2</v>
      </c>
      <c r="AD1217">
        <f t="shared" si="406"/>
        <v>0</v>
      </c>
      <c r="AE1217">
        <f t="shared" si="407"/>
        <v>0</v>
      </c>
      <c r="AF1217">
        <f t="shared" si="408"/>
        <v>0</v>
      </c>
      <c r="AG1217">
        <f t="shared" si="409"/>
        <v>0</v>
      </c>
      <c r="AH1217">
        <f t="shared" si="410"/>
        <v>0</v>
      </c>
      <c r="AI1217">
        <f t="shared" si="411"/>
        <v>0</v>
      </c>
      <c r="AJ1217" s="2" t="str">
        <f t="shared" si="421"/>
        <v>646661</v>
      </c>
    </row>
    <row r="1218" spans="1:36" x14ac:dyDescent="0.25">
      <c r="A1218">
        <v>7</v>
      </c>
      <c r="B1218" s="1">
        <v>46661</v>
      </c>
      <c r="C1218" s="1">
        <f t="shared" si="412"/>
        <v>46874</v>
      </c>
      <c r="D1218" s="1">
        <f t="shared" si="413"/>
        <v>46675</v>
      </c>
      <c r="E1218" s="1">
        <f t="shared" si="414"/>
        <v>46874</v>
      </c>
      <c r="F1218" s="1">
        <f t="shared" si="415"/>
        <v>46905</v>
      </c>
      <c r="G1218" s="1">
        <f t="shared" si="416"/>
        <v>47041</v>
      </c>
      <c r="H1218">
        <f t="shared" si="417"/>
        <v>366</v>
      </c>
      <c r="I1218">
        <f t="shared" si="418"/>
        <v>31</v>
      </c>
      <c r="J1218">
        <f t="shared" si="419"/>
        <v>8.4699453551912565E-2</v>
      </c>
      <c r="K1218">
        <f>IFERROR($J1218/IF($A1218&lt;COUNTIFS($K$1:K$1,"&lt;&gt;"),0,SUMIFS($J:$J,$B:$B,$B1218,$A:$A,"&gt;="&amp;COUNTIFS($K$1:K$1,"&lt;&gt;"))),0)</f>
        <v>8.882521489971347E-2</v>
      </c>
      <c r="L1218">
        <f>IFERROR($J1218/IF($A1218&lt;COUNTIFS($K$1:L$1,"&lt;&gt;"),0,SUMIFS($J:$J,$B:$B,$B1218,$A:$A,"&gt;="&amp;COUNTIFS($K$1:L$1,"&lt;&gt;"))),0)</f>
        <v>9.7178683385579931E-2</v>
      </c>
      <c r="M1218">
        <f>IFERROR($J1218/IF($A1218&lt;COUNTIFS($K$1:M$1,"&lt;&gt;"),0,SUMIFS($J:$J,$B:$B,$B1218,$A:$A,"&gt;="&amp;COUNTIFS($K$1:M$1,"&lt;&gt;"))),0)</f>
        <v>0.10763888888888888</v>
      </c>
      <c r="N1218">
        <f>IFERROR($J1218/IF($A1218&lt;COUNTIFS($K$1:N$1,"&lt;&gt;"),0,SUMIFS($J:$J,$B:$B,$B1218,$A:$A,"&gt;="&amp;COUNTIFS($K$1:N$1,"&lt;&gt;"))),0)</f>
        <v>0.12062256809338522</v>
      </c>
      <c r="O1218">
        <f>IFERROR($J1218/IF($A1218&lt;COUNTIFS($K$1:O$1,"&lt;&gt;"),0,SUMIFS($J:$J,$B:$B,$B1218,$A:$A,"&gt;="&amp;COUNTIFS($K$1:O$1,"&lt;&gt;"))),0)</f>
        <v>0.13596491228070173</v>
      </c>
      <c r="P1218">
        <f>IFERROR($J1218/IF($A1218&lt;COUNTIFS($K$1:P$1,"&lt;&gt;"),0,SUMIFS($J:$J,$B:$B,$B1218,$A:$A,"&gt;="&amp;COUNTIFS($K$1:P$1,"&lt;&gt;"))),0)</f>
        <v>0.15736040609137059</v>
      </c>
      <c r="Q1218">
        <f>IFERROR($J1218/IF($A1218&lt;COUNTIFS($K$1:Q$1,"&lt;&gt;"),0,SUMIFS($J:$J,$B:$B,$B1218,$A:$A,"&gt;="&amp;COUNTIFS($K$1:Q$1,"&lt;&gt;"))),0)</f>
        <v>0.18562874251497008</v>
      </c>
      <c r="R1218">
        <f>IFERROR($J1218/IF($A1218&lt;COUNTIFS($K$1:R$1,"&lt;&gt;"),0,SUMIFS($J:$J,$B:$B,$B1218,$A:$A,"&gt;="&amp;COUNTIFS($K$1:R$1,"&lt;&gt;"))),0)</f>
        <v>0</v>
      </c>
      <c r="S1218">
        <f>IFERROR($J1218/IF($A1218&lt;COUNTIFS($K$1:S$1,"&lt;&gt;"),0,SUMIFS($J:$J,$B:$B,$B1218,$A:$A,"&gt;="&amp;COUNTIFS($K$1:S$1,"&lt;&gt;"))),0)</f>
        <v>0</v>
      </c>
      <c r="T1218">
        <f>IFERROR($J1218/IF($A1218&lt;COUNTIFS($K$1:T$1,"&lt;&gt;"),0,SUMIFS($J:$J,$B:$B,$B1218,$A:$A,"&gt;="&amp;COUNTIFS($K$1:T$1,"&lt;&gt;"))),0)</f>
        <v>0</v>
      </c>
      <c r="U1218">
        <f>IFERROR($J1218/IF($A1218&lt;COUNTIFS($K$1:U$1,"&lt;&gt;"),0,SUMIFS($J:$J,$B:$B,$B1218,$A:$A,"&gt;="&amp;COUNTIFS($K$1:U$1,"&lt;&gt;"))),0)</f>
        <v>0</v>
      </c>
      <c r="V1218">
        <f>IFERROR($J1218/IF($A1218&lt;COUNTIFS($K$1:V$1,"&lt;&gt;"),0,SUMIFS($J:$J,$B:$B,$B1218,$A:$A,"&gt;="&amp;COUNTIFS($K$1:V$1,"&lt;&gt;"))),0)</f>
        <v>0</v>
      </c>
      <c r="W1218">
        <f t="shared" si="420"/>
        <v>8.4699453551912565E-2</v>
      </c>
      <c r="X1218">
        <f t="shared" ref="X1218:X1281" si="422">IF(K1218=0,0,$J1218)</f>
        <v>8.4699453551912565E-2</v>
      </c>
      <c r="Y1218">
        <f t="shared" ref="Y1218:Y1281" si="423">IF(L1218=0,0,$J1218)</f>
        <v>8.4699453551912565E-2</v>
      </c>
      <c r="Z1218">
        <f t="shared" ref="Z1218:Z1281" si="424">IF(M1218=0,0,$J1218)</f>
        <v>8.4699453551912565E-2</v>
      </c>
      <c r="AA1218">
        <f t="shared" ref="AA1218:AA1281" si="425">IF(N1218=0,0,$J1218)</f>
        <v>8.4699453551912565E-2</v>
      </c>
      <c r="AB1218">
        <f t="shared" ref="AB1218:AB1281" si="426">IF(O1218=0,0,$J1218)</f>
        <v>8.4699453551912565E-2</v>
      </c>
      <c r="AC1218">
        <f t="shared" ref="AC1218:AC1281" si="427">IF(P1218=0,0,$J1218)</f>
        <v>8.4699453551912565E-2</v>
      </c>
      <c r="AD1218">
        <f t="shared" ref="AD1218:AD1281" si="428">IF(Q1218=0,0,$J1218)</f>
        <v>8.4699453551912565E-2</v>
      </c>
      <c r="AE1218">
        <f t="shared" ref="AE1218:AE1281" si="429">IF(R1218=0,0,$J1218)</f>
        <v>0</v>
      </c>
      <c r="AF1218">
        <f t="shared" ref="AF1218:AF1281" si="430">IF(S1218=0,0,$J1218)</f>
        <v>0</v>
      </c>
      <c r="AG1218">
        <f t="shared" ref="AG1218:AG1281" si="431">IF(T1218=0,0,$J1218)</f>
        <v>0</v>
      </c>
      <c r="AH1218">
        <f t="shared" ref="AH1218:AH1281" si="432">IF(U1218=0,0,$J1218)</f>
        <v>0</v>
      </c>
      <c r="AI1218">
        <f t="shared" ref="AI1218:AI1281" si="433">IF(V1218=0,0,$J1218)</f>
        <v>0</v>
      </c>
      <c r="AJ1218" s="2" t="str">
        <f t="shared" si="421"/>
        <v>746661</v>
      </c>
    </row>
    <row r="1219" spans="1:36" x14ac:dyDescent="0.25">
      <c r="A1219">
        <v>8</v>
      </c>
      <c r="B1219" s="1">
        <v>46661</v>
      </c>
      <c r="C1219" s="1">
        <f t="shared" ref="C1219:C1282" si="434">EDATE(B1219,A1219)</f>
        <v>46905</v>
      </c>
      <c r="D1219" s="1">
        <f t="shared" ref="D1219:D1282" si="435">B1219+14</f>
        <v>46675</v>
      </c>
      <c r="E1219" s="1">
        <f t="shared" ref="E1219:E1282" si="436">IF($A1219=0,C1219+14,C1219)</f>
        <v>46905</v>
      </c>
      <c r="F1219" s="1">
        <f t="shared" ref="F1219:F1282" si="437">IF(EDATE(C1219,1)&gt;G1219,G1219,EDATE(C1219,1))</f>
        <v>46935</v>
      </c>
      <c r="G1219" s="1">
        <f t="shared" ref="G1219:G1282" si="438">EDATE(D1219,12)</f>
        <v>47041</v>
      </c>
      <c r="H1219">
        <f t="shared" ref="H1219:H1282" si="439">G1219-D1219</f>
        <v>366</v>
      </c>
      <c r="I1219">
        <f t="shared" ref="I1219:I1282" si="440">F1219-E1219</f>
        <v>30</v>
      </c>
      <c r="J1219">
        <f t="shared" ref="J1219:J1282" si="441">I1219/H1219</f>
        <v>8.1967213114754092E-2</v>
      </c>
      <c r="K1219">
        <f>IFERROR($J1219/IF($A1219&lt;COUNTIFS($K$1:K$1,"&lt;&gt;"),0,SUMIFS($J:$J,$B:$B,$B1219,$A:$A,"&gt;="&amp;COUNTIFS($K$1:K$1,"&lt;&gt;"))),0)</f>
        <v>8.5959885386819479E-2</v>
      </c>
      <c r="L1219">
        <f>IFERROR($J1219/IF($A1219&lt;COUNTIFS($K$1:L$1,"&lt;&gt;"),0,SUMIFS($J:$J,$B:$B,$B1219,$A:$A,"&gt;="&amp;COUNTIFS($K$1:L$1,"&lt;&gt;"))),0)</f>
        <v>9.4043887147335414E-2</v>
      </c>
      <c r="M1219">
        <f>IFERROR($J1219/IF($A1219&lt;COUNTIFS($K$1:M$1,"&lt;&gt;"),0,SUMIFS($J:$J,$B:$B,$B1219,$A:$A,"&gt;="&amp;COUNTIFS($K$1:M$1,"&lt;&gt;"))),0)</f>
        <v>0.10416666666666666</v>
      </c>
      <c r="N1219">
        <f>IFERROR($J1219/IF($A1219&lt;COUNTIFS($K$1:N$1,"&lt;&gt;"),0,SUMIFS($J:$J,$B:$B,$B1219,$A:$A,"&gt;="&amp;COUNTIFS($K$1:N$1,"&lt;&gt;"))),0)</f>
        <v>0.11673151750972761</v>
      </c>
      <c r="O1219">
        <f>IFERROR($J1219/IF($A1219&lt;COUNTIFS($K$1:O$1,"&lt;&gt;"),0,SUMIFS($J:$J,$B:$B,$B1219,$A:$A,"&gt;="&amp;COUNTIFS($K$1:O$1,"&lt;&gt;"))),0)</f>
        <v>0.13157894736842105</v>
      </c>
      <c r="P1219">
        <f>IFERROR($J1219/IF($A1219&lt;COUNTIFS($K$1:P$1,"&lt;&gt;"),0,SUMIFS($J:$J,$B:$B,$B1219,$A:$A,"&gt;="&amp;COUNTIFS($K$1:P$1,"&lt;&gt;"))),0)</f>
        <v>0.15228426395939088</v>
      </c>
      <c r="Q1219">
        <f>IFERROR($J1219/IF($A1219&lt;COUNTIFS($K$1:Q$1,"&lt;&gt;"),0,SUMIFS($J:$J,$B:$B,$B1219,$A:$A,"&gt;="&amp;COUNTIFS($K$1:Q$1,"&lt;&gt;"))),0)</f>
        <v>0.17964071856287425</v>
      </c>
      <c r="R1219">
        <f>IFERROR($J1219/IF($A1219&lt;COUNTIFS($K$1:R$1,"&lt;&gt;"),0,SUMIFS($J:$J,$B:$B,$B1219,$A:$A,"&gt;="&amp;COUNTIFS($K$1:R$1,"&lt;&gt;"))),0)</f>
        <v>0.22058823529411764</v>
      </c>
      <c r="S1219">
        <f>IFERROR($J1219/IF($A1219&lt;COUNTIFS($K$1:S$1,"&lt;&gt;"),0,SUMIFS($J:$J,$B:$B,$B1219,$A:$A,"&gt;="&amp;COUNTIFS($K$1:S$1,"&lt;&gt;"))),0)</f>
        <v>0</v>
      </c>
      <c r="T1219">
        <f>IFERROR($J1219/IF($A1219&lt;COUNTIFS($K$1:T$1,"&lt;&gt;"),0,SUMIFS($J:$J,$B:$B,$B1219,$A:$A,"&gt;="&amp;COUNTIFS($K$1:T$1,"&lt;&gt;"))),0)</f>
        <v>0</v>
      </c>
      <c r="U1219">
        <f>IFERROR($J1219/IF($A1219&lt;COUNTIFS($K$1:U$1,"&lt;&gt;"),0,SUMIFS($J:$J,$B:$B,$B1219,$A:$A,"&gt;="&amp;COUNTIFS($K$1:U$1,"&lt;&gt;"))),0)</f>
        <v>0</v>
      </c>
      <c r="V1219">
        <f>IFERROR($J1219/IF($A1219&lt;COUNTIFS($K$1:V$1,"&lt;&gt;"),0,SUMIFS($J:$J,$B:$B,$B1219,$A:$A,"&gt;="&amp;COUNTIFS($K$1:V$1,"&lt;&gt;"))),0)</f>
        <v>0</v>
      </c>
      <c r="W1219">
        <f t="shared" ref="W1219:W1282" si="442">IF(J1219=0,0,$J1219)</f>
        <v>8.1967213114754092E-2</v>
      </c>
      <c r="X1219">
        <f t="shared" si="422"/>
        <v>8.1967213114754092E-2</v>
      </c>
      <c r="Y1219">
        <f t="shared" si="423"/>
        <v>8.1967213114754092E-2</v>
      </c>
      <c r="Z1219">
        <f t="shared" si="424"/>
        <v>8.1967213114754092E-2</v>
      </c>
      <c r="AA1219">
        <f t="shared" si="425"/>
        <v>8.1967213114754092E-2</v>
      </c>
      <c r="AB1219">
        <f t="shared" si="426"/>
        <v>8.1967213114754092E-2</v>
      </c>
      <c r="AC1219">
        <f t="shared" si="427"/>
        <v>8.1967213114754092E-2</v>
      </c>
      <c r="AD1219">
        <f t="shared" si="428"/>
        <v>8.1967213114754092E-2</v>
      </c>
      <c r="AE1219">
        <f t="shared" si="429"/>
        <v>8.1967213114754092E-2</v>
      </c>
      <c r="AF1219">
        <f t="shared" si="430"/>
        <v>0</v>
      </c>
      <c r="AG1219">
        <f t="shared" si="431"/>
        <v>0</v>
      </c>
      <c r="AH1219">
        <f t="shared" si="432"/>
        <v>0</v>
      </c>
      <c r="AI1219">
        <f t="shared" si="433"/>
        <v>0</v>
      </c>
      <c r="AJ1219" s="2" t="str">
        <f t="shared" ref="AJ1219:AJ1282" si="443">A1219&amp;B1219</f>
        <v>846661</v>
      </c>
    </row>
    <row r="1220" spans="1:36" x14ac:dyDescent="0.25">
      <c r="A1220">
        <v>9</v>
      </c>
      <c r="B1220" s="1">
        <v>46661</v>
      </c>
      <c r="C1220" s="1">
        <f t="shared" si="434"/>
        <v>46935</v>
      </c>
      <c r="D1220" s="1">
        <f t="shared" si="435"/>
        <v>46675</v>
      </c>
      <c r="E1220" s="1">
        <f t="shared" si="436"/>
        <v>46935</v>
      </c>
      <c r="F1220" s="1">
        <f t="shared" si="437"/>
        <v>46966</v>
      </c>
      <c r="G1220" s="1">
        <f t="shared" si="438"/>
        <v>47041</v>
      </c>
      <c r="H1220">
        <f t="shared" si="439"/>
        <v>366</v>
      </c>
      <c r="I1220">
        <f t="shared" si="440"/>
        <v>31</v>
      </c>
      <c r="J1220">
        <f t="shared" si="441"/>
        <v>8.4699453551912565E-2</v>
      </c>
      <c r="K1220">
        <f>IFERROR($J1220/IF($A1220&lt;COUNTIFS($K$1:K$1,"&lt;&gt;"),0,SUMIFS($J:$J,$B:$B,$B1220,$A:$A,"&gt;="&amp;COUNTIFS($K$1:K$1,"&lt;&gt;"))),0)</f>
        <v>8.882521489971347E-2</v>
      </c>
      <c r="L1220">
        <f>IFERROR($J1220/IF($A1220&lt;COUNTIFS($K$1:L$1,"&lt;&gt;"),0,SUMIFS($J:$J,$B:$B,$B1220,$A:$A,"&gt;="&amp;COUNTIFS($K$1:L$1,"&lt;&gt;"))),0)</f>
        <v>9.7178683385579931E-2</v>
      </c>
      <c r="M1220">
        <f>IFERROR($J1220/IF($A1220&lt;COUNTIFS($K$1:M$1,"&lt;&gt;"),0,SUMIFS($J:$J,$B:$B,$B1220,$A:$A,"&gt;="&amp;COUNTIFS($K$1:M$1,"&lt;&gt;"))),0)</f>
        <v>0.10763888888888888</v>
      </c>
      <c r="N1220">
        <f>IFERROR($J1220/IF($A1220&lt;COUNTIFS($K$1:N$1,"&lt;&gt;"),0,SUMIFS($J:$J,$B:$B,$B1220,$A:$A,"&gt;="&amp;COUNTIFS($K$1:N$1,"&lt;&gt;"))),0)</f>
        <v>0.12062256809338522</v>
      </c>
      <c r="O1220">
        <f>IFERROR($J1220/IF($A1220&lt;COUNTIFS($K$1:O$1,"&lt;&gt;"),0,SUMIFS($J:$J,$B:$B,$B1220,$A:$A,"&gt;="&amp;COUNTIFS($K$1:O$1,"&lt;&gt;"))),0)</f>
        <v>0.13596491228070173</v>
      </c>
      <c r="P1220">
        <f>IFERROR($J1220/IF($A1220&lt;COUNTIFS($K$1:P$1,"&lt;&gt;"),0,SUMIFS($J:$J,$B:$B,$B1220,$A:$A,"&gt;="&amp;COUNTIFS($K$1:P$1,"&lt;&gt;"))),0)</f>
        <v>0.15736040609137059</v>
      </c>
      <c r="Q1220">
        <f>IFERROR($J1220/IF($A1220&lt;COUNTIFS($K$1:Q$1,"&lt;&gt;"),0,SUMIFS($J:$J,$B:$B,$B1220,$A:$A,"&gt;="&amp;COUNTIFS($K$1:Q$1,"&lt;&gt;"))),0)</f>
        <v>0.18562874251497008</v>
      </c>
      <c r="R1220">
        <f>IFERROR($J1220/IF($A1220&lt;COUNTIFS($K$1:R$1,"&lt;&gt;"),0,SUMIFS($J:$J,$B:$B,$B1220,$A:$A,"&gt;="&amp;COUNTIFS($K$1:R$1,"&lt;&gt;"))),0)</f>
        <v>0.22794117647058826</v>
      </c>
      <c r="S1220">
        <f>IFERROR($J1220/IF($A1220&lt;COUNTIFS($K$1:S$1,"&lt;&gt;"),0,SUMIFS($J:$J,$B:$B,$B1220,$A:$A,"&gt;="&amp;COUNTIFS($K$1:S$1,"&lt;&gt;"))),0)</f>
        <v>0.29245283018867924</v>
      </c>
      <c r="T1220">
        <f>IFERROR($J1220/IF($A1220&lt;COUNTIFS($K$1:T$1,"&lt;&gt;"),0,SUMIFS($J:$J,$B:$B,$B1220,$A:$A,"&gt;="&amp;COUNTIFS($K$1:T$1,"&lt;&gt;"))),0)</f>
        <v>0</v>
      </c>
      <c r="U1220">
        <f>IFERROR($J1220/IF($A1220&lt;COUNTIFS($K$1:U$1,"&lt;&gt;"),0,SUMIFS($J:$J,$B:$B,$B1220,$A:$A,"&gt;="&amp;COUNTIFS($K$1:U$1,"&lt;&gt;"))),0)</f>
        <v>0</v>
      </c>
      <c r="V1220">
        <f>IFERROR($J1220/IF($A1220&lt;COUNTIFS($K$1:V$1,"&lt;&gt;"),0,SUMIFS($J:$J,$B:$B,$B1220,$A:$A,"&gt;="&amp;COUNTIFS($K$1:V$1,"&lt;&gt;"))),0)</f>
        <v>0</v>
      </c>
      <c r="W1220">
        <f t="shared" si="442"/>
        <v>8.4699453551912565E-2</v>
      </c>
      <c r="X1220">
        <f t="shared" si="422"/>
        <v>8.4699453551912565E-2</v>
      </c>
      <c r="Y1220">
        <f t="shared" si="423"/>
        <v>8.4699453551912565E-2</v>
      </c>
      <c r="Z1220">
        <f t="shared" si="424"/>
        <v>8.4699453551912565E-2</v>
      </c>
      <c r="AA1220">
        <f t="shared" si="425"/>
        <v>8.4699453551912565E-2</v>
      </c>
      <c r="AB1220">
        <f t="shared" si="426"/>
        <v>8.4699453551912565E-2</v>
      </c>
      <c r="AC1220">
        <f t="shared" si="427"/>
        <v>8.4699453551912565E-2</v>
      </c>
      <c r="AD1220">
        <f t="shared" si="428"/>
        <v>8.4699453551912565E-2</v>
      </c>
      <c r="AE1220">
        <f t="shared" si="429"/>
        <v>8.4699453551912565E-2</v>
      </c>
      <c r="AF1220">
        <f t="shared" si="430"/>
        <v>8.4699453551912565E-2</v>
      </c>
      <c r="AG1220">
        <f t="shared" si="431"/>
        <v>0</v>
      </c>
      <c r="AH1220">
        <f t="shared" si="432"/>
        <v>0</v>
      </c>
      <c r="AI1220">
        <f t="shared" si="433"/>
        <v>0</v>
      </c>
      <c r="AJ1220" s="2" t="str">
        <f t="shared" si="443"/>
        <v>946661</v>
      </c>
    </row>
    <row r="1221" spans="1:36" x14ac:dyDescent="0.25">
      <c r="A1221">
        <v>10</v>
      </c>
      <c r="B1221" s="1">
        <v>46661</v>
      </c>
      <c r="C1221" s="1">
        <f t="shared" si="434"/>
        <v>46966</v>
      </c>
      <c r="D1221" s="1">
        <f t="shared" si="435"/>
        <v>46675</v>
      </c>
      <c r="E1221" s="1">
        <f t="shared" si="436"/>
        <v>46966</v>
      </c>
      <c r="F1221" s="1">
        <f t="shared" si="437"/>
        <v>46997</v>
      </c>
      <c r="G1221" s="1">
        <f t="shared" si="438"/>
        <v>47041</v>
      </c>
      <c r="H1221">
        <f t="shared" si="439"/>
        <v>366</v>
      </c>
      <c r="I1221">
        <f t="shared" si="440"/>
        <v>31</v>
      </c>
      <c r="J1221">
        <f t="shared" si="441"/>
        <v>8.4699453551912565E-2</v>
      </c>
      <c r="K1221">
        <f>IFERROR($J1221/IF($A1221&lt;COUNTIFS($K$1:K$1,"&lt;&gt;"),0,SUMIFS($J:$J,$B:$B,$B1221,$A:$A,"&gt;="&amp;COUNTIFS($K$1:K$1,"&lt;&gt;"))),0)</f>
        <v>8.882521489971347E-2</v>
      </c>
      <c r="L1221">
        <f>IFERROR($J1221/IF($A1221&lt;COUNTIFS($K$1:L$1,"&lt;&gt;"),0,SUMIFS($J:$J,$B:$B,$B1221,$A:$A,"&gt;="&amp;COUNTIFS($K$1:L$1,"&lt;&gt;"))),0)</f>
        <v>9.7178683385579931E-2</v>
      </c>
      <c r="M1221">
        <f>IFERROR($J1221/IF($A1221&lt;COUNTIFS($K$1:M$1,"&lt;&gt;"),0,SUMIFS($J:$J,$B:$B,$B1221,$A:$A,"&gt;="&amp;COUNTIFS($K$1:M$1,"&lt;&gt;"))),0)</f>
        <v>0.10763888888888888</v>
      </c>
      <c r="N1221">
        <f>IFERROR($J1221/IF($A1221&lt;COUNTIFS($K$1:N$1,"&lt;&gt;"),0,SUMIFS($J:$J,$B:$B,$B1221,$A:$A,"&gt;="&amp;COUNTIFS($K$1:N$1,"&lt;&gt;"))),0)</f>
        <v>0.12062256809338522</v>
      </c>
      <c r="O1221">
        <f>IFERROR($J1221/IF($A1221&lt;COUNTIFS($K$1:O$1,"&lt;&gt;"),0,SUMIFS($J:$J,$B:$B,$B1221,$A:$A,"&gt;="&amp;COUNTIFS($K$1:O$1,"&lt;&gt;"))),0)</f>
        <v>0.13596491228070173</v>
      </c>
      <c r="P1221">
        <f>IFERROR($J1221/IF($A1221&lt;COUNTIFS($K$1:P$1,"&lt;&gt;"),0,SUMIFS($J:$J,$B:$B,$B1221,$A:$A,"&gt;="&amp;COUNTIFS($K$1:P$1,"&lt;&gt;"))),0)</f>
        <v>0.15736040609137059</v>
      </c>
      <c r="Q1221">
        <f>IFERROR($J1221/IF($A1221&lt;COUNTIFS($K$1:Q$1,"&lt;&gt;"),0,SUMIFS($J:$J,$B:$B,$B1221,$A:$A,"&gt;="&amp;COUNTIFS($K$1:Q$1,"&lt;&gt;"))),0)</f>
        <v>0.18562874251497008</v>
      </c>
      <c r="R1221">
        <f>IFERROR($J1221/IF($A1221&lt;COUNTIFS($K$1:R$1,"&lt;&gt;"),0,SUMIFS($J:$J,$B:$B,$B1221,$A:$A,"&gt;="&amp;COUNTIFS($K$1:R$1,"&lt;&gt;"))),0)</f>
        <v>0.22794117647058826</v>
      </c>
      <c r="S1221">
        <f>IFERROR($J1221/IF($A1221&lt;COUNTIFS($K$1:S$1,"&lt;&gt;"),0,SUMIFS($J:$J,$B:$B,$B1221,$A:$A,"&gt;="&amp;COUNTIFS($K$1:S$1,"&lt;&gt;"))),0)</f>
        <v>0.29245283018867924</v>
      </c>
      <c r="T1221">
        <f>IFERROR($J1221/IF($A1221&lt;COUNTIFS($K$1:T$1,"&lt;&gt;"),0,SUMIFS($J:$J,$B:$B,$B1221,$A:$A,"&gt;="&amp;COUNTIFS($K$1:T$1,"&lt;&gt;"))),0)</f>
        <v>0.41333333333333333</v>
      </c>
      <c r="U1221">
        <f>IFERROR($J1221/IF($A1221&lt;COUNTIFS($K$1:U$1,"&lt;&gt;"),0,SUMIFS($J:$J,$B:$B,$B1221,$A:$A,"&gt;="&amp;COUNTIFS($K$1:U$1,"&lt;&gt;"))),0)</f>
        <v>0</v>
      </c>
      <c r="V1221">
        <f>IFERROR($J1221/IF($A1221&lt;COUNTIFS($K$1:V$1,"&lt;&gt;"),0,SUMIFS($J:$J,$B:$B,$B1221,$A:$A,"&gt;="&amp;COUNTIFS($K$1:V$1,"&lt;&gt;"))),0)</f>
        <v>0</v>
      </c>
      <c r="W1221">
        <f t="shared" si="442"/>
        <v>8.4699453551912565E-2</v>
      </c>
      <c r="X1221">
        <f t="shared" si="422"/>
        <v>8.4699453551912565E-2</v>
      </c>
      <c r="Y1221">
        <f t="shared" si="423"/>
        <v>8.4699453551912565E-2</v>
      </c>
      <c r="Z1221">
        <f t="shared" si="424"/>
        <v>8.4699453551912565E-2</v>
      </c>
      <c r="AA1221">
        <f t="shared" si="425"/>
        <v>8.4699453551912565E-2</v>
      </c>
      <c r="AB1221">
        <f t="shared" si="426"/>
        <v>8.4699453551912565E-2</v>
      </c>
      <c r="AC1221">
        <f t="shared" si="427"/>
        <v>8.4699453551912565E-2</v>
      </c>
      <c r="AD1221">
        <f t="shared" si="428"/>
        <v>8.4699453551912565E-2</v>
      </c>
      <c r="AE1221">
        <f t="shared" si="429"/>
        <v>8.4699453551912565E-2</v>
      </c>
      <c r="AF1221">
        <f t="shared" si="430"/>
        <v>8.4699453551912565E-2</v>
      </c>
      <c r="AG1221">
        <f t="shared" si="431"/>
        <v>8.4699453551912565E-2</v>
      </c>
      <c r="AH1221">
        <f t="shared" si="432"/>
        <v>0</v>
      </c>
      <c r="AI1221">
        <f t="shared" si="433"/>
        <v>0</v>
      </c>
      <c r="AJ1221" s="2" t="str">
        <f t="shared" si="443"/>
        <v>1046661</v>
      </c>
    </row>
    <row r="1222" spans="1:36" x14ac:dyDescent="0.25">
      <c r="A1222">
        <v>11</v>
      </c>
      <c r="B1222" s="1">
        <v>46661</v>
      </c>
      <c r="C1222" s="1">
        <f t="shared" si="434"/>
        <v>46997</v>
      </c>
      <c r="D1222" s="1">
        <f t="shared" si="435"/>
        <v>46675</v>
      </c>
      <c r="E1222" s="1">
        <f t="shared" si="436"/>
        <v>46997</v>
      </c>
      <c r="F1222" s="1">
        <f t="shared" si="437"/>
        <v>47027</v>
      </c>
      <c r="G1222" s="1">
        <f t="shared" si="438"/>
        <v>47041</v>
      </c>
      <c r="H1222">
        <f t="shared" si="439"/>
        <v>366</v>
      </c>
      <c r="I1222">
        <f t="shared" si="440"/>
        <v>30</v>
      </c>
      <c r="J1222">
        <f t="shared" si="441"/>
        <v>8.1967213114754092E-2</v>
      </c>
      <c r="K1222">
        <f>IFERROR($J1222/IF($A1222&lt;COUNTIFS($K$1:K$1,"&lt;&gt;"),0,SUMIFS($J:$J,$B:$B,$B1222,$A:$A,"&gt;="&amp;COUNTIFS($K$1:K$1,"&lt;&gt;"))),0)</f>
        <v>8.5959885386819479E-2</v>
      </c>
      <c r="L1222">
        <f>IFERROR($J1222/IF($A1222&lt;COUNTIFS($K$1:L$1,"&lt;&gt;"),0,SUMIFS($J:$J,$B:$B,$B1222,$A:$A,"&gt;="&amp;COUNTIFS($K$1:L$1,"&lt;&gt;"))),0)</f>
        <v>9.4043887147335414E-2</v>
      </c>
      <c r="M1222">
        <f>IFERROR($J1222/IF($A1222&lt;COUNTIFS($K$1:M$1,"&lt;&gt;"),0,SUMIFS($J:$J,$B:$B,$B1222,$A:$A,"&gt;="&amp;COUNTIFS($K$1:M$1,"&lt;&gt;"))),0)</f>
        <v>0.10416666666666666</v>
      </c>
      <c r="N1222">
        <f>IFERROR($J1222/IF($A1222&lt;COUNTIFS($K$1:N$1,"&lt;&gt;"),0,SUMIFS($J:$J,$B:$B,$B1222,$A:$A,"&gt;="&amp;COUNTIFS($K$1:N$1,"&lt;&gt;"))),0)</f>
        <v>0.11673151750972761</v>
      </c>
      <c r="O1222">
        <f>IFERROR($J1222/IF($A1222&lt;COUNTIFS($K$1:O$1,"&lt;&gt;"),0,SUMIFS($J:$J,$B:$B,$B1222,$A:$A,"&gt;="&amp;COUNTIFS($K$1:O$1,"&lt;&gt;"))),0)</f>
        <v>0.13157894736842105</v>
      </c>
      <c r="P1222">
        <f>IFERROR($J1222/IF($A1222&lt;COUNTIFS($K$1:P$1,"&lt;&gt;"),0,SUMIFS($J:$J,$B:$B,$B1222,$A:$A,"&gt;="&amp;COUNTIFS($K$1:P$1,"&lt;&gt;"))),0)</f>
        <v>0.15228426395939088</v>
      </c>
      <c r="Q1222">
        <f>IFERROR($J1222/IF($A1222&lt;COUNTIFS($K$1:Q$1,"&lt;&gt;"),0,SUMIFS($J:$J,$B:$B,$B1222,$A:$A,"&gt;="&amp;COUNTIFS($K$1:Q$1,"&lt;&gt;"))),0)</f>
        <v>0.17964071856287425</v>
      </c>
      <c r="R1222">
        <f>IFERROR($J1222/IF($A1222&lt;COUNTIFS($K$1:R$1,"&lt;&gt;"),0,SUMIFS($J:$J,$B:$B,$B1222,$A:$A,"&gt;="&amp;COUNTIFS($K$1:R$1,"&lt;&gt;"))),0)</f>
        <v>0.22058823529411764</v>
      </c>
      <c r="S1222">
        <f>IFERROR($J1222/IF($A1222&lt;COUNTIFS($K$1:S$1,"&lt;&gt;"),0,SUMIFS($J:$J,$B:$B,$B1222,$A:$A,"&gt;="&amp;COUNTIFS($K$1:S$1,"&lt;&gt;"))),0)</f>
        <v>0.28301886792452829</v>
      </c>
      <c r="T1222">
        <f>IFERROR($J1222/IF($A1222&lt;COUNTIFS($K$1:T$1,"&lt;&gt;"),0,SUMIFS($J:$J,$B:$B,$B1222,$A:$A,"&gt;="&amp;COUNTIFS($K$1:T$1,"&lt;&gt;"))),0)</f>
        <v>0.39999999999999997</v>
      </c>
      <c r="U1222">
        <f>IFERROR($J1222/IF($A1222&lt;COUNTIFS($K$1:U$1,"&lt;&gt;"),0,SUMIFS($J:$J,$B:$B,$B1222,$A:$A,"&gt;="&amp;COUNTIFS($K$1:U$1,"&lt;&gt;"))),0)</f>
        <v>0.68181818181818177</v>
      </c>
      <c r="V1222">
        <f>IFERROR($J1222/IF($A1222&lt;COUNTIFS($K$1:V$1,"&lt;&gt;"),0,SUMIFS($J:$J,$B:$B,$B1222,$A:$A,"&gt;="&amp;COUNTIFS($K$1:V$1,"&lt;&gt;"))),0)</f>
        <v>0</v>
      </c>
      <c r="W1222">
        <f t="shared" si="442"/>
        <v>8.1967213114754092E-2</v>
      </c>
      <c r="X1222">
        <f t="shared" si="422"/>
        <v>8.1967213114754092E-2</v>
      </c>
      <c r="Y1222">
        <f t="shared" si="423"/>
        <v>8.1967213114754092E-2</v>
      </c>
      <c r="Z1222">
        <f t="shared" si="424"/>
        <v>8.1967213114754092E-2</v>
      </c>
      <c r="AA1222">
        <f t="shared" si="425"/>
        <v>8.1967213114754092E-2</v>
      </c>
      <c r="AB1222">
        <f t="shared" si="426"/>
        <v>8.1967213114754092E-2</v>
      </c>
      <c r="AC1222">
        <f t="shared" si="427"/>
        <v>8.1967213114754092E-2</v>
      </c>
      <c r="AD1222">
        <f t="shared" si="428"/>
        <v>8.1967213114754092E-2</v>
      </c>
      <c r="AE1222">
        <f t="shared" si="429"/>
        <v>8.1967213114754092E-2</v>
      </c>
      <c r="AF1222">
        <f t="shared" si="430"/>
        <v>8.1967213114754092E-2</v>
      </c>
      <c r="AG1222">
        <f t="shared" si="431"/>
        <v>8.1967213114754092E-2</v>
      </c>
      <c r="AH1222">
        <f t="shared" si="432"/>
        <v>8.1967213114754092E-2</v>
      </c>
      <c r="AI1222">
        <f t="shared" si="433"/>
        <v>0</v>
      </c>
      <c r="AJ1222" s="2" t="str">
        <f t="shared" si="443"/>
        <v>1146661</v>
      </c>
    </row>
    <row r="1223" spans="1:36" x14ac:dyDescent="0.25">
      <c r="A1223">
        <v>12</v>
      </c>
      <c r="B1223" s="1">
        <v>46661</v>
      </c>
      <c r="C1223" s="1">
        <f t="shared" si="434"/>
        <v>47027</v>
      </c>
      <c r="D1223" s="1">
        <f t="shared" si="435"/>
        <v>46675</v>
      </c>
      <c r="E1223" s="1">
        <f t="shared" si="436"/>
        <v>47027</v>
      </c>
      <c r="F1223" s="1">
        <f t="shared" si="437"/>
        <v>47041</v>
      </c>
      <c r="G1223" s="1">
        <f t="shared" si="438"/>
        <v>47041</v>
      </c>
      <c r="H1223">
        <f t="shared" si="439"/>
        <v>366</v>
      </c>
      <c r="I1223">
        <f t="shared" si="440"/>
        <v>14</v>
      </c>
      <c r="J1223">
        <f t="shared" si="441"/>
        <v>3.825136612021858E-2</v>
      </c>
      <c r="K1223">
        <f>IFERROR($J1223/IF($A1223&lt;COUNTIFS($K$1:K$1,"&lt;&gt;"),0,SUMIFS($J:$J,$B:$B,$B1223,$A:$A,"&gt;="&amp;COUNTIFS($K$1:K$1,"&lt;&gt;"))),0)</f>
        <v>4.0114613180515762E-2</v>
      </c>
      <c r="L1223">
        <f>IFERROR($J1223/IF($A1223&lt;COUNTIFS($K$1:L$1,"&lt;&gt;"),0,SUMIFS($J:$J,$B:$B,$B1223,$A:$A,"&gt;="&amp;COUNTIFS($K$1:L$1,"&lt;&gt;"))),0)</f>
        <v>4.3887147335423198E-2</v>
      </c>
      <c r="M1223">
        <f>IFERROR($J1223/IF($A1223&lt;COUNTIFS($K$1:M$1,"&lt;&gt;"),0,SUMIFS($J:$J,$B:$B,$B1223,$A:$A,"&gt;="&amp;COUNTIFS($K$1:M$1,"&lt;&gt;"))),0)</f>
        <v>4.8611111111111112E-2</v>
      </c>
      <c r="N1223">
        <f>IFERROR($J1223/IF($A1223&lt;COUNTIFS($K$1:N$1,"&lt;&gt;"),0,SUMIFS($J:$J,$B:$B,$B1223,$A:$A,"&gt;="&amp;COUNTIFS($K$1:N$1,"&lt;&gt;"))),0)</f>
        <v>5.4474708171206226E-2</v>
      </c>
      <c r="O1223">
        <f>IFERROR($J1223/IF($A1223&lt;COUNTIFS($K$1:O$1,"&lt;&gt;"),0,SUMIFS($J:$J,$B:$B,$B1223,$A:$A,"&gt;="&amp;COUNTIFS($K$1:O$1,"&lt;&gt;"))),0)</f>
        <v>6.1403508771929821E-2</v>
      </c>
      <c r="P1223">
        <f>IFERROR($J1223/IF($A1223&lt;COUNTIFS($K$1:P$1,"&lt;&gt;"),0,SUMIFS($J:$J,$B:$B,$B1223,$A:$A,"&gt;="&amp;COUNTIFS($K$1:P$1,"&lt;&gt;"))),0)</f>
        <v>7.1065989847715741E-2</v>
      </c>
      <c r="Q1223">
        <f>IFERROR($J1223/IF($A1223&lt;COUNTIFS($K$1:Q$1,"&lt;&gt;"),0,SUMIFS($J:$J,$B:$B,$B1223,$A:$A,"&gt;="&amp;COUNTIFS($K$1:Q$1,"&lt;&gt;"))),0)</f>
        <v>8.3832335329341326E-2</v>
      </c>
      <c r="R1223">
        <f>IFERROR($J1223/IF($A1223&lt;COUNTIFS($K$1:R$1,"&lt;&gt;"),0,SUMIFS($J:$J,$B:$B,$B1223,$A:$A,"&gt;="&amp;COUNTIFS($K$1:R$1,"&lt;&gt;"))),0)</f>
        <v>0.10294117647058824</v>
      </c>
      <c r="S1223">
        <f>IFERROR($J1223/IF($A1223&lt;COUNTIFS($K$1:S$1,"&lt;&gt;"),0,SUMIFS($J:$J,$B:$B,$B1223,$A:$A,"&gt;="&amp;COUNTIFS($K$1:S$1,"&lt;&gt;"))),0)</f>
        <v>0.13207547169811321</v>
      </c>
      <c r="T1223">
        <f>IFERROR($J1223/IF($A1223&lt;COUNTIFS($K$1:T$1,"&lt;&gt;"),0,SUMIFS($J:$J,$B:$B,$B1223,$A:$A,"&gt;="&amp;COUNTIFS($K$1:T$1,"&lt;&gt;"))),0)</f>
        <v>0.18666666666666668</v>
      </c>
      <c r="U1223">
        <f>IFERROR($J1223/IF($A1223&lt;COUNTIFS($K$1:U$1,"&lt;&gt;"),0,SUMIFS($J:$J,$B:$B,$B1223,$A:$A,"&gt;="&amp;COUNTIFS($K$1:U$1,"&lt;&gt;"))),0)</f>
        <v>0.31818181818181818</v>
      </c>
      <c r="V1223">
        <f>IFERROR($J1223/IF($A1223&lt;COUNTIFS($K$1:V$1,"&lt;&gt;"),0,SUMIFS($J:$J,$B:$B,$B1223,$A:$A,"&gt;="&amp;COUNTIFS($K$1:V$1,"&lt;&gt;"))),0)</f>
        <v>1</v>
      </c>
      <c r="W1223">
        <f t="shared" si="442"/>
        <v>3.825136612021858E-2</v>
      </c>
      <c r="X1223">
        <f t="shared" si="422"/>
        <v>3.825136612021858E-2</v>
      </c>
      <c r="Y1223">
        <f t="shared" si="423"/>
        <v>3.825136612021858E-2</v>
      </c>
      <c r="Z1223">
        <f t="shared" si="424"/>
        <v>3.825136612021858E-2</v>
      </c>
      <c r="AA1223">
        <f t="shared" si="425"/>
        <v>3.825136612021858E-2</v>
      </c>
      <c r="AB1223">
        <f t="shared" si="426"/>
        <v>3.825136612021858E-2</v>
      </c>
      <c r="AC1223">
        <f t="shared" si="427"/>
        <v>3.825136612021858E-2</v>
      </c>
      <c r="AD1223">
        <f t="shared" si="428"/>
        <v>3.825136612021858E-2</v>
      </c>
      <c r="AE1223">
        <f t="shared" si="429"/>
        <v>3.825136612021858E-2</v>
      </c>
      <c r="AF1223">
        <f t="shared" si="430"/>
        <v>3.825136612021858E-2</v>
      </c>
      <c r="AG1223">
        <f t="shared" si="431"/>
        <v>3.825136612021858E-2</v>
      </c>
      <c r="AH1223">
        <f t="shared" si="432"/>
        <v>3.825136612021858E-2</v>
      </c>
      <c r="AI1223">
        <f t="shared" si="433"/>
        <v>3.825136612021858E-2</v>
      </c>
      <c r="AJ1223" s="2" t="str">
        <f t="shared" si="443"/>
        <v>1246661</v>
      </c>
    </row>
    <row r="1224" spans="1:36" x14ac:dyDescent="0.25">
      <c r="A1224">
        <v>0</v>
      </c>
      <c r="B1224" s="1">
        <v>46692</v>
      </c>
      <c r="C1224" s="1">
        <f t="shared" si="434"/>
        <v>46692</v>
      </c>
      <c r="D1224" s="1">
        <f t="shared" si="435"/>
        <v>46706</v>
      </c>
      <c r="E1224" s="1">
        <f t="shared" si="436"/>
        <v>46706</v>
      </c>
      <c r="F1224" s="1">
        <f t="shared" si="437"/>
        <v>46722</v>
      </c>
      <c r="G1224" s="1">
        <f t="shared" si="438"/>
        <v>47072</v>
      </c>
      <c r="H1224">
        <f t="shared" si="439"/>
        <v>366</v>
      </c>
      <c r="I1224">
        <f t="shared" si="440"/>
        <v>16</v>
      </c>
      <c r="J1224">
        <f t="shared" si="441"/>
        <v>4.3715846994535519E-2</v>
      </c>
      <c r="K1224">
        <f>IFERROR($J1224/IF($A1224&lt;COUNTIFS($K$1:K$1,"&lt;&gt;"),0,SUMIFS($J:$J,$B:$B,$B1224,$A:$A,"&gt;="&amp;COUNTIFS($K$1:K$1,"&lt;&gt;"))),0)</f>
        <v>0</v>
      </c>
      <c r="L1224">
        <f>IFERROR($J1224/IF($A1224&lt;COUNTIFS($K$1:L$1,"&lt;&gt;"),0,SUMIFS($J:$J,$B:$B,$B1224,$A:$A,"&gt;="&amp;COUNTIFS($K$1:L$1,"&lt;&gt;"))),0)</f>
        <v>0</v>
      </c>
      <c r="M1224">
        <f>IFERROR($J1224/IF($A1224&lt;COUNTIFS($K$1:M$1,"&lt;&gt;"),0,SUMIFS($J:$J,$B:$B,$B1224,$A:$A,"&gt;="&amp;COUNTIFS($K$1:M$1,"&lt;&gt;"))),0)</f>
        <v>0</v>
      </c>
      <c r="N1224">
        <f>IFERROR($J1224/IF($A1224&lt;COUNTIFS($K$1:N$1,"&lt;&gt;"),0,SUMIFS($J:$J,$B:$B,$B1224,$A:$A,"&gt;="&amp;COUNTIFS($K$1:N$1,"&lt;&gt;"))),0)</f>
        <v>0</v>
      </c>
      <c r="O1224">
        <f>IFERROR($J1224/IF($A1224&lt;COUNTIFS($K$1:O$1,"&lt;&gt;"),0,SUMIFS($J:$J,$B:$B,$B1224,$A:$A,"&gt;="&amp;COUNTIFS($K$1:O$1,"&lt;&gt;"))),0)</f>
        <v>0</v>
      </c>
      <c r="P1224">
        <f>IFERROR($J1224/IF($A1224&lt;COUNTIFS($K$1:P$1,"&lt;&gt;"),0,SUMIFS($J:$J,$B:$B,$B1224,$A:$A,"&gt;="&amp;COUNTIFS($K$1:P$1,"&lt;&gt;"))),0)</f>
        <v>0</v>
      </c>
      <c r="Q1224">
        <f>IFERROR($J1224/IF($A1224&lt;COUNTIFS($K$1:Q$1,"&lt;&gt;"),0,SUMIFS($J:$J,$B:$B,$B1224,$A:$A,"&gt;="&amp;COUNTIFS($K$1:Q$1,"&lt;&gt;"))),0)</f>
        <v>0</v>
      </c>
      <c r="R1224">
        <f>IFERROR($J1224/IF($A1224&lt;COUNTIFS($K$1:R$1,"&lt;&gt;"),0,SUMIFS($J:$J,$B:$B,$B1224,$A:$A,"&gt;="&amp;COUNTIFS($K$1:R$1,"&lt;&gt;"))),0)</f>
        <v>0</v>
      </c>
      <c r="S1224">
        <f>IFERROR($J1224/IF($A1224&lt;COUNTIFS($K$1:S$1,"&lt;&gt;"),0,SUMIFS($J:$J,$B:$B,$B1224,$A:$A,"&gt;="&amp;COUNTIFS($K$1:S$1,"&lt;&gt;"))),0)</f>
        <v>0</v>
      </c>
      <c r="T1224">
        <f>IFERROR($J1224/IF($A1224&lt;COUNTIFS($K$1:T$1,"&lt;&gt;"),0,SUMIFS($J:$J,$B:$B,$B1224,$A:$A,"&gt;="&amp;COUNTIFS($K$1:T$1,"&lt;&gt;"))),0)</f>
        <v>0</v>
      </c>
      <c r="U1224">
        <f>IFERROR($J1224/IF($A1224&lt;COUNTIFS($K$1:U$1,"&lt;&gt;"),0,SUMIFS($J:$J,$B:$B,$B1224,$A:$A,"&gt;="&amp;COUNTIFS($K$1:U$1,"&lt;&gt;"))),0)</f>
        <v>0</v>
      </c>
      <c r="V1224">
        <f>IFERROR($J1224/IF($A1224&lt;COUNTIFS($K$1:V$1,"&lt;&gt;"),0,SUMIFS($J:$J,$B:$B,$B1224,$A:$A,"&gt;="&amp;COUNTIFS($K$1:V$1,"&lt;&gt;"))),0)</f>
        <v>0</v>
      </c>
      <c r="W1224">
        <f t="shared" si="442"/>
        <v>4.3715846994535519E-2</v>
      </c>
      <c r="X1224">
        <f t="shared" si="422"/>
        <v>0</v>
      </c>
      <c r="Y1224">
        <f t="shared" si="423"/>
        <v>0</v>
      </c>
      <c r="Z1224">
        <f t="shared" si="424"/>
        <v>0</v>
      </c>
      <c r="AA1224">
        <f t="shared" si="425"/>
        <v>0</v>
      </c>
      <c r="AB1224">
        <f t="shared" si="426"/>
        <v>0</v>
      </c>
      <c r="AC1224">
        <f t="shared" si="427"/>
        <v>0</v>
      </c>
      <c r="AD1224">
        <f t="shared" si="428"/>
        <v>0</v>
      </c>
      <c r="AE1224">
        <f t="shared" si="429"/>
        <v>0</v>
      </c>
      <c r="AF1224">
        <f t="shared" si="430"/>
        <v>0</v>
      </c>
      <c r="AG1224">
        <f t="shared" si="431"/>
        <v>0</v>
      </c>
      <c r="AH1224">
        <f t="shared" si="432"/>
        <v>0</v>
      </c>
      <c r="AI1224">
        <f t="shared" si="433"/>
        <v>0</v>
      </c>
      <c r="AJ1224" s="2" t="str">
        <f t="shared" si="443"/>
        <v>046692</v>
      </c>
    </row>
    <row r="1225" spans="1:36" x14ac:dyDescent="0.25">
      <c r="A1225">
        <v>1</v>
      </c>
      <c r="B1225" s="1">
        <v>46692</v>
      </c>
      <c r="C1225" s="1">
        <f t="shared" si="434"/>
        <v>46722</v>
      </c>
      <c r="D1225" s="1">
        <f t="shared" si="435"/>
        <v>46706</v>
      </c>
      <c r="E1225" s="1">
        <f t="shared" si="436"/>
        <v>46722</v>
      </c>
      <c r="F1225" s="1">
        <f t="shared" si="437"/>
        <v>46753</v>
      </c>
      <c r="G1225" s="1">
        <f t="shared" si="438"/>
        <v>47072</v>
      </c>
      <c r="H1225">
        <f t="shared" si="439"/>
        <v>366</v>
      </c>
      <c r="I1225">
        <f t="shared" si="440"/>
        <v>31</v>
      </c>
      <c r="J1225">
        <f t="shared" si="441"/>
        <v>8.4699453551912565E-2</v>
      </c>
      <c r="K1225">
        <f>IFERROR($J1225/IF($A1225&lt;COUNTIFS($K$1:K$1,"&lt;&gt;"),0,SUMIFS($J:$J,$B:$B,$B1225,$A:$A,"&gt;="&amp;COUNTIFS($K$1:K$1,"&lt;&gt;"))),0)</f>
        <v>8.8571428571428579E-2</v>
      </c>
      <c r="L1225">
        <f>IFERROR($J1225/IF($A1225&lt;COUNTIFS($K$1:L$1,"&lt;&gt;"),0,SUMIFS($J:$J,$B:$B,$B1225,$A:$A,"&gt;="&amp;COUNTIFS($K$1:L$1,"&lt;&gt;"))),0)</f>
        <v>0</v>
      </c>
      <c r="M1225">
        <f>IFERROR($J1225/IF($A1225&lt;COUNTIFS($K$1:M$1,"&lt;&gt;"),0,SUMIFS($J:$J,$B:$B,$B1225,$A:$A,"&gt;="&amp;COUNTIFS($K$1:M$1,"&lt;&gt;"))),0)</f>
        <v>0</v>
      </c>
      <c r="N1225">
        <f>IFERROR($J1225/IF($A1225&lt;COUNTIFS($K$1:N$1,"&lt;&gt;"),0,SUMIFS($J:$J,$B:$B,$B1225,$A:$A,"&gt;="&amp;COUNTIFS($K$1:N$1,"&lt;&gt;"))),0)</f>
        <v>0</v>
      </c>
      <c r="O1225">
        <f>IFERROR($J1225/IF($A1225&lt;COUNTIFS($K$1:O$1,"&lt;&gt;"),0,SUMIFS($J:$J,$B:$B,$B1225,$A:$A,"&gt;="&amp;COUNTIFS($K$1:O$1,"&lt;&gt;"))),0)</f>
        <v>0</v>
      </c>
      <c r="P1225">
        <f>IFERROR($J1225/IF($A1225&lt;COUNTIFS($K$1:P$1,"&lt;&gt;"),0,SUMIFS($J:$J,$B:$B,$B1225,$A:$A,"&gt;="&amp;COUNTIFS($K$1:P$1,"&lt;&gt;"))),0)</f>
        <v>0</v>
      </c>
      <c r="Q1225">
        <f>IFERROR($J1225/IF($A1225&lt;COUNTIFS($K$1:Q$1,"&lt;&gt;"),0,SUMIFS($J:$J,$B:$B,$B1225,$A:$A,"&gt;="&amp;COUNTIFS($K$1:Q$1,"&lt;&gt;"))),0)</f>
        <v>0</v>
      </c>
      <c r="R1225">
        <f>IFERROR($J1225/IF($A1225&lt;COUNTIFS($K$1:R$1,"&lt;&gt;"),0,SUMIFS($J:$J,$B:$B,$B1225,$A:$A,"&gt;="&amp;COUNTIFS($K$1:R$1,"&lt;&gt;"))),0)</f>
        <v>0</v>
      </c>
      <c r="S1225">
        <f>IFERROR($J1225/IF($A1225&lt;COUNTIFS($K$1:S$1,"&lt;&gt;"),0,SUMIFS($J:$J,$B:$B,$B1225,$A:$A,"&gt;="&amp;COUNTIFS($K$1:S$1,"&lt;&gt;"))),0)</f>
        <v>0</v>
      </c>
      <c r="T1225">
        <f>IFERROR($J1225/IF($A1225&lt;COUNTIFS($K$1:T$1,"&lt;&gt;"),0,SUMIFS($J:$J,$B:$B,$B1225,$A:$A,"&gt;="&amp;COUNTIFS($K$1:T$1,"&lt;&gt;"))),0)</f>
        <v>0</v>
      </c>
      <c r="U1225">
        <f>IFERROR($J1225/IF($A1225&lt;COUNTIFS($K$1:U$1,"&lt;&gt;"),0,SUMIFS($J:$J,$B:$B,$B1225,$A:$A,"&gt;="&amp;COUNTIFS($K$1:U$1,"&lt;&gt;"))),0)</f>
        <v>0</v>
      </c>
      <c r="V1225">
        <f>IFERROR($J1225/IF($A1225&lt;COUNTIFS($K$1:V$1,"&lt;&gt;"),0,SUMIFS($J:$J,$B:$B,$B1225,$A:$A,"&gt;="&amp;COUNTIFS($K$1:V$1,"&lt;&gt;"))),0)</f>
        <v>0</v>
      </c>
      <c r="W1225">
        <f t="shared" si="442"/>
        <v>8.4699453551912565E-2</v>
      </c>
      <c r="X1225">
        <f t="shared" si="422"/>
        <v>8.4699453551912565E-2</v>
      </c>
      <c r="Y1225">
        <f t="shared" si="423"/>
        <v>0</v>
      </c>
      <c r="Z1225">
        <f t="shared" si="424"/>
        <v>0</v>
      </c>
      <c r="AA1225">
        <f t="shared" si="425"/>
        <v>0</v>
      </c>
      <c r="AB1225">
        <f t="shared" si="426"/>
        <v>0</v>
      </c>
      <c r="AC1225">
        <f t="shared" si="427"/>
        <v>0</v>
      </c>
      <c r="AD1225">
        <f t="shared" si="428"/>
        <v>0</v>
      </c>
      <c r="AE1225">
        <f t="shared" si="429"/>
        <v>0</v>
      </c>
      <c r="AF1225">
        <f t="shared" si="430"/>
        <v>0</v>
      </c>
      <c r="AG1225">
        <f t="shared" si="431"/>
        <v>0</v>
      </c>
      <c r="AH1225">
        <f t="shared" si="432"/>
        <v>0</v>
      </c>
      <c r="AI1225">
        <f t="shared" si="433"/>
        <v>0</v>
      </c>
      <c r="AJ1225" s="2" t="str">
        <f t="shared" si="443"/>
        <v>146692</v>
      </c>
    </row>
    <row r="1226" spans="1:36" x14ac:dyDescent="0.25">
      <c r="A1226">
        <v>2</v>
      </c>
      <c r="B1226" s="1">
        <v>46692</v>
      </c>
      <c r="C1226" s="1">
        <f t="shared" si="434"/>
        <v>46753</v>
      </c>
      <c r="D1226" s="1">
        <f t="shared" si="435"/>
        <v>46706</v>
      </c>
      <c r="E1226" s="1">
        <f t="shared" si="436"/>
        <v>46753</v>
      </c>
      <c r="F1226" s="1">
        <f t="shared" si="437"/>
        <v>46784</v>
      </c>
      <c r="G1226" s="1">
        <f t="shared" si="438"/>
        <v>47072</v>
      </c>
      <c r="H1226">
        <f t="shared" si="439"/>
        <v>366</v>
      </c>
      <c r="I1226">
        <f t="shared" si="440"/>
        <v>31</v>
      </c>
      <c r="J1226">
        <f t="shared" si="441"/>
        <v>8.4699453551912565E-2</v>
      </c>
      <c r="K1226">
        <f>IFERROR($J1226/IF($A1226&lt;COUNTIFS($K$1:K$1,"&lt;&gt;"),0,SUMIFS($J:$J,$B:$B,$B1226,$A:$A,"&gt;="&amp;COUNTIFS($K$1:K$1,"&lt;&gt;"))),0)</f>
        <v>8.8571428571428579E-2</v>
      </c>
      <c r="L1226">
        <f>IFERROR($J1226/IF($A1226&lt;COUNTIFS($K$1:L$1,"&lt;&gt;"),0,SUMIFS($J:$J,$B:$B,$B1226,$A:$A,"&gt;="&amp;COUNTIFS($K$1:L$1,"&lt;&gt;"))),0)</f>
        <v>9.7178683385579931E-2</v>
      </c>
      <c r="M1226">
        <f>IFERROR($J1226/IF($A1226&lt;COUNTIFS($K$1:M$1,"&lt;&gt;"),0,SUMIFS($J:$J,$B:$B,$B1226,$A:$A,"&gt;="&amp;COUNTIFS($K$1:M$1,"&lt;&gt;"))),0)</f>
        <v>0</v>
      </c>
      <c r="N1226">
        <f>IFERROR($J1226/IF($A1226&lt;COUNTIFS($K$1:N$1,"&lt;&gt;"),0,SUMIFS($J:$J,$B:$B,$B1226,$A:$A,"&gt;="&amp;COUNTIFS($K$1:N$1,"&lt;&gt;"))),0)</f>
        <v>0</v>
      </c>
      <c r="O1226">
        <f>IFERROR($J1226/IF($A1226&lt;COUNTIFS($K$1:O$1,"&lt;&gt;"),0,SUMIFS($J:$J,$B:$B,$B1226,$A:$A,"&gt;="&amp;COUNTIFS($K$1:O$1,"&lt;&gt;"))),0)</f>
        <v>0</v>
      </c>
      <c r="P1226">
        <f>IFERROR($J1226/IF($A1226&lt;COUNTIFS($K$1:P$1,"&lt;&gt;"),0,SUMIFS($J:$J,$B:$B,$B1226,$A:$A,"&gt;="&amp;COUNTIFS($K$1:P$1,"&lt;&gt;"))),0)</f>
        <v>0</v>
      </c>
      <c r="Q1226">
        <f>IFERROR($J1226/IF($A1226&lt;COUNTIFS($K$1:Q$1,"&lt;&gt;"),0,SUMIFS($J:$J,$B:$B,$B1226,$A:$A,"&gt;="&amp;COUNTIFS($K$1:Q$1,"&lt;&gt;"))),0)</f>
        <v>0</v>
      </c>
      <c r="R1226">
        <f>IFERROR($J1226/IF($A1226&lt;COUNTIFS($K$1:R$1,"&lt;&gt;"),0,SUMIFS($J:$J,$B:$B,$B1226,$A:$A,"&gt;="&amp;COUNTIFS($K$1:R$1,"&lt;&gt;"))),0)</f>
        <v>0</v>
      </c>
      <c r="S1226">
        <f>IFERROR($J1226/IF($A1226&lt;COUNTIFS($K$1:S$1,"&lt;&gt;"),0,SUMIFS($J:$J,$B:$B,$B1226,$A:$A,"&gt;="&amp;COUNTIFS($K$1:S$1,"&lt;&gt;"))),0)</f>
        <v>0</v>
      </c>
      <c r="T1226">
        <f>IFERROR($J1226/IF($A1226&lt;COUNTIFS($K$1:T$1,"&lt;&gt;"),0,SUMIFS($J:$J,$B:$B,$B1226,$A:$A,"&gt;="&amp;COUNTIFS($K$1:T$1,"&lt;&gt;"))),0)</f>
        <v>0</v>
      </c>
      <c r="U1226">
        <f>IFERROR($J1226/IF($A1226&lt;COUNTIFS($K$1:U$1,"&lt;&gt;"),0,SUMIFS($J:$J,$B:$B,$B1226,$A:$A,"&gt;="&amp;COUNTIFS($K$1:U$1,"&lt;&gt;"))),0)</f>
        <v>0</v>
      </c>
      <c r="V1226">
        <f>IFERROR($J1226/IF($A1226&lt;COUNTIFS($K$1:V$1,"&lt;&gt;"),0,SUMIFS($J:$J,$B:$B,$B1226,$A:$A,"&gt;="&amp;COUNTIFS($K$1:V$1,"&lt;&gt;"))),0)</f>
        <v>0</v>
      </c>
      <c r="W1226">
        <f t="shared" si="442"/>
        <v>8.4699453551912565E-2</v>
      </c>
      <c r="X1226">
        <f t="shared" si="422"/>
        <v>8.4699453551912565E-2</v>
      </c>
      <c r="Y1226">
        <f t="shared" si="423"/>
        <v>8.4699453551912565E-2</v>
      </c>
      <c r="Z1226">
        <f t="shared" si="424"/>
        <v>0</v>
      </c>
      <c r="AA1226">
        <f t="shared" si="425"/>
        <v>0</v>
      </c>
      <c r="AB1226">
        <f t="shared" si="426"/>
        <v>0</v>
      </c>
      <c r="AC1226">
        <f t="shared" si="427"/>
        <v>0</v>
      </c>
      <c r="AD1226">
        <f t="shared" si="428"/>
        <v>0</v>
      </c>
      <c r="AE1226">
        <f t="shared" si="429"/>
        <v>0</v>
      </c>
      <c r="AF1226">
        <f t="shared" si="430"/>
        <v>0</v>
      </c>
      <c r="AG1226">
        <f t="shared" si="431"/>
        <v>0</v>
      </c>
      <c r="AH1226">
        <f t="shared" si="432"/>
        <v>0</v>
      </c>
      <c r="AI1226">
        <f t="shared" si="433"/>
        <v>0</v>
      </c>
      <c r="AJ1226" s="2" t="str">
        <f t="shared" si="443"/>
        <v>246692</v>
      </c>
    </row>
    <row r="1227" spans="1:36" x14ac:dyDescent="0.25">
      <c r="A1227">
        <v>3</v>
      </c>
      <c r="B1227" s="1">
        <v>46692</v>
      </c>
      <c r="C1227" s="1">
        <f t="shared" si="434"/>
        <v>46784</v>
      </c>
      <c r="D1227" s="1">
        <f t="shared" si="435"/>
        <v>46706</v>
      </c>
      <c r="E1227" s="1">
        <f t="shared" si="436"/>
        <v>46784</v>
      </c>
      <c r="F1227" s="1">
        <f t="shared" si="437"/>
        <v>46813</v>
      </c>
      <c r="G1227" s="1">
        <f t="shared" si="438"/>
        <v>47072</v>
      </c>
      <c r="H1227">
        <f t="shared" si="439"/>
        <v>366</v>
      </c>
      <c r="I1227">
        <f t="shared" si="440"/>
        <v>29</v>
      </c>
      <c r="J1227">
        <f t="shared" si="441"/>
        <v>7.9234972677595633E-2</v>
      </c>
      <c r="K1227">
        <f>IFERROR($J1227/IF($A1227&lt;COUNTIFS($K$1:K$1,"&lt;&gt;"),0,SUMIFS($J:$J,$B:$B,$B1227,$A:$A,"&gt;="&amp;COUNTIFS($K$1:K$1,"&lt;&gt;"))),0)</f>
        <v>8.2857142857142865E-2</v>
      </c>
      <c r="L1227">
        <f>IFERROR($J1227/IF($A1227&lt;COUNTIFS($K$1:L$1,"&lt;&gt;"),0,SUMIFS($J:$J,$B:$B,$B1227,$A:$A,"&gt;="&amp;COUNTIFS($K$1:L$1,"&lt;&gt;"))),0)</f>
        <v>9.0909090909090912E-2</v>
      </c>
      <c r="M1227">
        <f>IFERROR($J1227/IF($A1227&lt;COUNTIFS($K$1:M$1,"&lt;&gt;"),0,SUMIFS($J:$J,$B:$B,$B1227,$A:$A,"&gt;="&amp;COUNTIFS($K$1:M$1,"&lt;&gt;"))),0)</f>
        <v>0.10069444444444445</v>
      </c>
      <c r="N1227">
        <f>IFERROR($J1227/IF($A1227&lt;COUNTIFS($K$1:N$1,"&lt;&gt;"),0,SUMIFS($J:$J,$B:$B,$B1227,$A:$A,"&gt;="&amp;COUNTIFS($K$1:N$1,"&lt;&gt;"))),0)</f>
        <v>0</v>
      </c>
      <c r="O1227">
        <f>IFERROR($J1227/IF($A1227&lt;COUNTIFS($K$1:O$1,"&lt;&gt;"),0,SUMIFS($J:$J,$B:$B,$B1227,$A:$A,"&gt;="&amp;COUNTIFS($K$1:O$1,"&lt;&gt;"))),0)</f>
        <v>0</v>
      </c>
      <c r="P1227">
        <f>IFERROR($J1227/IF($A1227&lt;COUNTIFS($K$1:P$1,"&lt;&gt;"),0,SUMIFS($J:$J,$B:$B,$B1227,$A:$A,"&gt;="&amp;COUNTIFS($K$1:P$1,"&lt;&gt;"))),0)</f>
        <v>0</v>
      </c>
      <c r="Q1227">
        <f>IFERROR($J1227/IF($A1227&lt;COUNTIFS($K$1:Q$1,"&lt;&gt;"),0,SUMIFS($J:$J,$B:$B,$B1227,$A:$A,"&gt;="&amp;COUNTIFS($K$1:Q$1,"&lt;&gt;"))),0)</f>
        <v>0</v>
      </c>
      <c r="R1227">
        <f>IFERROR($J1227/IF($A1227&lt;COUNTIFS($K$1:R$1,"&lt;&gt;"),0,SUMIFS($J:$J,$B:$B,$B1227,$A:$A,"&gt;="&amp;COUNTIFS($K$1:R$1,"&lt;&gt;"))),0)</f>
        <v>0</v>
      </c>
      <c r="S1227">
        <f>IFERROR($J1227/IF($A1227&lt;COUNTIFS($K$1:S$1,"&lt;&gt;"),0,SUMIFS($J:$J,$B:$B,$B1227,$A:$A,"&gt;="&amp;COUNTIFS($K$1:S$1,"&lt;&gt;"))),0)</f>
        <v>0</v>
      </c>
      <c r="T1227">
        <f>IFERROR($J1227/IF($A1227&lt;COUNTIFS($K$1:T$1,"&lt;&gt;"),0,SUMIFS($J:$J,$B:$B,$B1227,$A:$A,"&gt;="&amp;COUNTIFS($K$1:T$1,"&lt;&gt;"))),0)</f>
        <v>0</v>
      </c>
      <c r="U1227">
        <f>IFERROR($J1227/IF($A1227&lt;COUNTIFS($K$1:U$1,"&lt;&gt;"),0,SUMIFS($J:$J,$B:$B,$B1227,$A:$A,"&gt;="&amp;COUNTIFS($K$1:U$1,"&lt;&gt;"))),0)</f>
        <v>0</v>
      </c>
      <c r="V1227">
        <f>IFERROR($J1227/IF($A1227&lt;COUNTIFS($K$1:V$1,"&lt;&gt;"),0,SUMIFS($J:$J,$B:$B,$B1227,$A:$A,"&gt;="&amp;COUNTIFS($K$1:V$1,"&lt;&gt;"))),0)</f>
        <v>0</v>
      </c>
      <c r="W1227">
        <f t="shared" si="442"/>
        <v>7.9234972677595633E-2</v>
      </c>
      <c r="X1227">
        <f t="shared" si="422"/>
        <v>7.9234972677595633E-2</v>
      </c>
      <c r="Y1227">
        <f t="shared" si="423"/>
        <v>7.9234972677595633E-2</v>
      </c>
      <c r="Z1227">
        <f t="shared" si="424"/>
        <v>7.9234972677595633E-2</v>
      </c>
      <c r="AA1227">
        <f t="shared" si="425"/>
        <v>0</v>
      </c>
      <c r="AB1227">
        <f t="shared" si="426"/>
        <v>0</v>
      </c>
      <c r="AC1227">
        <f t="shared" si="427"/>
        <v>0</v>
      </c>
      <c r="AD1227">
        <f t="shared" si="428"/>
        <v>0</v>
      </c>
      <c r="AE1227">
        <f t="shared" si="429"/>
        <v>0</v>
      </c>
      <c r="AF1227">
        <f t="shared" si="430"/>
        <v>0</v>
      </c>
      <c r="AG1227">
        <f t="shared" si="431"/>
        <v>0</v>
      </c>
      <c r="AH1227">
        <f t="shared" si="432"/>
        <v>0</v>
      </c>
      <c r="AI1227">
        <f t="shared" si="433"/>
        <v>0</v>
      </c>
      <c r="AJ1227" s="2" t="str">
        <f t="shared" si="443"/>
        <v>346692</v>
      </c>
    </row>
    <row r="1228" spans="1:36" x14ac:dyDescent="0.25">
      <c r="A1228">
        <v>4</v>
      </c>
      <c r="B1228" s="1">
        <v>46692</v>
      </c>
      <c r="C1228" s="1">
        <f t="shared" si="434"/>
        <v>46813</v>
      </c>
      <c r="D1228" s="1">
        <f t="shared" si="435"/>
        <v>46706</v>
      </c>
      <c r="E1228" s="1">
        <f t="shared" si="436"/>
        <v>46813</v>
      </c>
      <c r="F1228" s="1">
        <f t="shared" si="437"/>
        <v>46844</v>
      </c>
      <c r="G1228" s="1">
        <f t="shared" si="438"/>
        <v>47072</v>
      </c>
      <c r="H1228">
        <f t="shared" si="439"/>
        <v>366</v>
      </c>
      <c r="I1228">
        <f t="shared" si="440"/>
        <v>31</v>
      </c>
      <c r="J1228">
        <f t="shared" si="441"/>
        <v>8.4699453551912565E-2</v>
      </c>
      <c r="K1228">
        <f>IFERROR($J1228/IF($A1228&lt;COUNTIFS($K$1:K$1,"&lt;&gt;"),0,SUMIFS($J:$J,$B:$B,$B1228,$A:$A,"&gt;="&amp;COUNTIFS($K$1:K$1,"&lt;&gt;"))),0)</f>
        <v>8.8571428571428579E-2</v>
      </c>
      <c r="L1228">
        <f>IFERROR($J1228/IF($A1228&lt;COUNTIFS($K$1:L$1,"&lt;&gt;"),0,SUMIFS($J:$J,$B:$B,$B1228,$A:$A,"&gt;="&amp;COUNTIFS($K$1:L$1,"&lt;&gt;"))),0)</f>
        <v>9.7178683385579931E-2</v>
      </c>
      <c r="M1228">
        <f>IFERROR($J1228/IF($A1228&lt;COUNTIFS($K$1:M$1,"&lt;&gt;"),0,SUMIFS($J:$J,$B:$B,$B1228,$A:$A,"&gt;="&amp;COUNTIFS($K$1:M$1,"&lt;&gt;"))),0)</f>
        <v>0.10763888888888888</v>
      </c>
      <c r="N1228">
        <f>IFERROR($J1228/IF($A1228&lt;COUNTIFS($K$1:N$1,"&lt;&gt;"),0,SUMIFS($J:$J,$B:$B,$B1228,$A:$A,"&gt;="&amp;COUNTIFS($K$1:N$1,"&lt;&gt;"))),0)</f>
        <v>0.11969111969111969</v>
      </c>
      <c r="O1228">
        <f>IFERROR($J1228/IF($A1228&lt;COUNTIFS($K$1:O$1,"&lt;&gt;"),0,SUMIFS($J:$J,$B:$B,$B1228,$A:$A,"&gt;="&amp;COUNTIFS($K$1:O$1,"&lt;&gt;"))),0)</f>
        <v>0</v>
      </c>
      <c r="P1228">
        <f>IFERROR($J1228/IF($A1228&lt;COUNTIFS($K$1:P$1,"&lt;&gt;"),0,SUMIFS($J:$J,$B:$B,$B1228,$A:$A,"&gt;="&amp;COUNTIFS($K$1:P$1,"&lt;&gt;"))),0)</f>
        <v>0</v>
      </c>
      <c r="Q1228">
        <f>IFERROR($J1228/IF($A1228&lt;COUNTIFS($K$1:Q$1,"&lt;&gt;"),0,SUMIFS($J:$J,$B:$B,$B1228,$A:$A,"&gt;="&amp;COUNTIFS($K$1:Q$1,"&lt;&gt;"))),0)</f>
        <v>0</v>
      </c>
      <c r="R1228">
        <f>IFERROR($J1228/IF($A1228&lt;COUNTIFS($K$1:R$1,"&lt;&gt;"),0,SUMIFS($J:$J,$B:$B,$B1228,$A:$A,"&gt;="&amp;COUNTIFS($K$1:R$1,"&lt;&gt;"))),0)</f>
        <v>0</v>
      </c>
      <c r="S1228">
        <f>IFERROR($J1228/IF($A1228&lt;COUNTIFS($K$1:S$1,"&lt;&gt;"),0,SUMIFS($J:$J,$B:$B,$B1228,$A:$A,"&gt;="&amp;COUNTIFS($K$1:S$1,"&lt;&gt;"))),0)</f>
        <v>0</v>
      </c>
      <c r="T1228">
        <f>IFERROR($J1228/IF($A1228&lt;COUNTIFS($K$1:T$1,"&lt;&gt;"),0,SUMIFS($J:$J,$B:$B,$B1228,$A:$A,"&gt;="&amp;COUNTIFS($K$1:T$1,"&lt;&gt;"))),0)</f>
        <v>0</v>
      </c>
      <c r="U1228">
        <f>IFERROR($J1228/IF($A1228&lt;COUNTIFS($K$1:U$1,"&lt;&gt;"),0,SUMIFS($J:$J,$B:$B,$B1228,$A:$A,"&gt;="&amp;COUNTIFS($K$1:U$1,"&lt;&gt;"))),0)</f>
        <v>0</v>
      </c>
      <c r="V1228">
        <f>IFERROR($J1228/IF($A1228&lt;COUNTIFS($K$1:V$1,"&lt;&gt;"),0,SUMIFS($J:$J,$B:$B,$B1228,$A:$A,"&gt;="&amp;COUNTIFS($K$1:V$1,"&lt;&gt;"))),0)</f>
        <v>0</v>
      </c>
      <c r="W1228">
        <f t="shared" si="442"/>
        <v>8.4699453551912565E-2</v>
      </c>
      <c r="X1228">
        <f t="shared" si="422"/>
        <v>8.4699453551912565E-2</v>
      </c>
      <c r="Y1228">
        <f t="shared" si="423"/>
        <v>8.4699453551912565E-2</v>
      </c>
      <c r="Z1228">
        <f t="shared" si="424"/>
        <v>8.4699453551912565E-2</v>
      </c>
      <c r="AA1228">
        <f t="shared" si="425"/>
        <v>8.4699453551912565E-2</v>
      </c>
      <c r="AB1228">
        <f t="shared" si="426"/>
        <v>0</v>
      </c>
      <c r="AC1228">
        <f t="shared" si="427"/>
        <v>0</v>
      </c>
      <c r="AD1228">
        <f t="shared" si="428"/>
        <v>0</v>
      </c>
      <c r="AE1228">
        <f t="shared" si="429"/>
        <v>0</v>
      </c>
      <c r="AF1228">
        <f t="shared" si="430"/>
        <v>0</v>
      </c>
      <c r="AG1228">
        <f t="shared" si="431"/>
        <v>0</v>
      </c>
      <c r="AH1228">
        <f t="shared" si="432"/>
        <v>0</v>
      </c>
      <c r="AI1228">
        <f t="shared" si="433"/>
        <v>0</v>
      </c>
      <c r="AJ1228" s="2" t="str">
        <f t="shared" si="443"/>
        <v>446692</v>
      </c>
    </row>
    <row r="1229" spans="1:36" x14ac:dyDescent="0.25">
      <c r="A1229">
        <v>5</v>
      </c>
      <c r="B1229" s="1">
        <v>46692</v>
      </c>
      <c r="C1229" s="1">
        <f t="shared" si="434"/>
        <v>46844</v>
      </c>
      <c r="D1229" s="1">
        <f t="shared" si="435"/>
        <v>46706</v>
      </c>
      <c r="E1229" s="1">
        <f t="shared" si="436"/>
        <v>46844</v>
      </c>
      <c r="F1229" s="1">
        <f t="shared" si="437"/>
        <v>46874</v>
      </c>
      <c r="G1229" s="1">
        <f t="shared" si="438"/>
        <v>47072</v>
      </c>
      <c r="H1229">
        <f t="shared" si="439"/>
        <v>366</v>
      </c>
      <c r="I1229">
        <f t="shared" si="440"/>
        <v>30</v>
      </c>
      <c r="J1229">
        <f t="shared" si="441"/>
        <v>8.1967213114754092E-2</v>
      </c>
      <c r="K1229">
        <f>IFERROR($J1229/IF($A1229&lt;COUNTIFS($K$1:K$1,"&lt;&gt;"),0,SUMIFS($J:$J,$B:$B,$B1229,$A:$A,"&gt;="&amp;COUNTIFS($K$1:K$1,"&lt;&gt;"))),0)</f>
        <v>8.5714285714285715E-2</v>
      </c>
      <c r="L1229">
        <f>IFERROR($J1229/IF($A1229&lt;COUNTIFS($K$1:L$1,"&lt;&gt;"),0,SUMIFS($J:$J,$B:$B,$B1229,$A:$A,"&gt;="&amp;COUNTIFS($K$1:L$1,"&lt;&gt;"))),0)</f>
        <v>9.4043887147335414E-2</v>
      </c>
      <c r="M1229">
        <f>IFERROR($J1229/IF($A1229&lt;COUNTIFS($K$1:M$1,"&lt;&gt;"),0,SUMIFS($J:$J,$B:$B,$B1229,$A:$A,"&gt;="&amp;COUNTIFS($K$1:M$1,"&lt;&gt;"))),0)</f>
        <v>0.10416666666666666</v>
      </c>
      <c r="N1229">
        <f>IFERROR($J1229/IF($A1229&lt;COUNTIFS($K$1:N$1,"&lt;&gt;"),0,SUMIFS($J:$J,$B:$B,$B1229,$A:$A,"&gt;="&amp;COUNTIFS($K$1:N$1,"&lt;&gt;"))),0)</f>
        <v>0.11583011583011582</v>
      </c>
      <c r="O1229">
        <f>IFERROR($J1229/IF($A1229&lt;COUNTIFS($K$1:O$1,"&lt;&gt;"),0,SUMIFS($J:$J,$B:$B,$B1229,$A:$A,"&gt;="&amp;COUNTIFS($K$1:O$1,"&lt;&gt;"))),0)</f>
        <v>0.13157894736842105</v>
      </c>
      <c r="P1229">
        <f>IFERROR($J1229/IF($A1229&lt;COUNTIFS($K$1:P$1,"&lt;&gt;"),0,SUMIFS($J:$J,$B:$B,$B1229,$A:$A,"&gt;="&amp;COUNTIFS($K$1:P$1,"&lt;&gt;"))),0)</f>
        <v>0</v>
      </c>
      <c r="Q1229">
        <f>IFERROR($J1229/IF($A1229&lt;COUNTIFS($K$1:Q$1,"&lt;&gt;"),0,SUMIFS($J:$J,$B:$B,$B1229,$A:$A,"&gt;="&amp;COUNTIFS($K$1:Q$1,"&lt;&gt;"))),0)</f>
        <v>0</v>
      </c>
      <c r="R1229">
        <f>IFERROR($J1229/IF($A1229&lt;COUNTIFS($K$1:R$1,"&lt;&gt;"),0,SUMIFS($J:$J,$B:$B,$B1229,$A:$A,"&gt;="&amp;COUNTIFS($K$1:R$1,"&lt;&gt;"))),0)</f>
        <v>0</v>
      </c>
      <c r="S1229">
        <f>IFERROR($J1229/IF($A1229&lt;COUNTIFS($K$1:S$1,"&lt;&gt;"),0,SUMIFS($J:$J,$B:$B,$B1229,$A:$A,"&gt;="&amp;COUNTIFS($K$1:S$1,"&lt;&gt;"))),0)</f>
        <v>0</v>
      </c>
      <c r="T1229">
        <f>IFERROR($J1229/IF($A1229&lt;COUNTIFS($K$1:T$1,"&lt;&gt;"),0,SUMIFS($J:$J,$B:$B,$B1229,$A:$A,"&gt;="&amp;COUNTIFS($K$1:T$1,"&lt;&gt;"))),0)</f>
        <v>0</v>
      </c>
      <c r="U1229">
        <f>IFERROR($J1229/IF($A1229&lt;COUNTIFS($K$1:U$1,"&lt;&gt;"),0,SUMIFS($J:$J,$B:$B,$B1229,$A:$A,"&gt;="&amp;COUNTIFS($K$1:U$1,"&lt;&gt;"))),0)</f>
        <v>0</v>
      </c>
      <c r="V1229">
        <f>IFERROR($J1229/IF($A1229&lt;COUNTIFS($K$1:V$1,"&lt;&gt;"),0,SUMIFS($J:$J,$B:$B,$B1229,$A:$A,"&gt;="&amp;COUNTIFS($K$1:V$1,"&lt;&gt;"))),0)</f>
        <v>0</v>
      </c>
      <c r="W1229">
        <f t="shared" si="442"/>
        <v>8.1967213114754092E-2</v>
      </c>
      <c r="X1229">
        <f t="shared" si="422"/>
        <v>8.1967213114754092E-2</v>
      </c>
      <c r="Y1229">
        <f t="shared" si="423"/>
        <v>8.1967213114754092E-2</v>
      </c>
      <c r="Z1229">
        <f t="shared" si="424"/>
        <v>8.1967213114754092E-2</v>
      </c>
      <c r="AA1229">
        <f t="shared" si="425"/>
        <v>8.1967213114754092E-2</v>
      </c>
      <c r="AB1229">
        <f t="shared" si="426"/>
        <v>8.1967213114754092E-2</v>
      </c>
      <c r="AC1229">
        <f t="shared" si="427"/>
        <v>0</v>
      </c>
      <c r="AD1229">
        <f t="shared" si="428"/>
        <v>0</v>
      </c>
      <c r="AE1229">
        <f t="shared" si="429"/>
        <v>0</v>
      </c>
      <c r="AF1229">
        <f t="shared" si="430"/>
        <v>0</v>
      </c>
      <c r="AG1229">
        <f t="shared" si="431"/>
        <v>0</v>
      </c>
      <c r="AH1229">
        <f t="shared" si="432"/>
        <v>0</v>
      </c>
      <c r="AI1229">
        <f t="shared" si="433"/>
        <v>0</v>
      </c>
      <c r="AJ1229" s="2" t="str">
        <f t="shared" si="443"/>
        <v>546692</v>
      </c>
    </row>
    <row r="1230" spans="1:36" x14ac:dyDescent="0.25">
      <c r="A1230">
        <v>6</v>
      </c>
      <c r="B1230" s="1">
        <v>46692</v>
      </c>
      <c r="C1230" s="1">
        <f t="shared" si="434"/>
        <v>46874</v>
      </c>
      <c r="D1230" s="1">
        <f t="shared" si="435"/>
        <v>46706</v>
      </c>
      <c r="E1230" s="1">
        <f t="shared" si="436"/>
        <v>46874</v>
      </c>
      <c r="F1230" s="1">
        <f t="shared" si="437"/>
        <v>46905</v>
      </c>
      <c r="G1230" s="1">
        <f t="shared" si="438"/>
        <v>47072</v>
      </c>
      <c r="H1230">
        <f t="shared" si="439"/>
        <v>366</v>
      </c>
      <c r="I1230">
        <f t="shared" si="440"/>
        <v>31</v>
      </c>
      <c r="J1230">
        <f t="shared" si="441"/>
        <v>8.4699453551912565E-2</v>
      </c>
      <c r="K1230">
        <f>IFERROR($J1230/IF($A1230&lt;COUNTIFS($K$1:K$1,"&lt;&gt;"),0,SUMIFS($J:$J,$B:$B,$B1230,$A:$A,"&gt;="&amp;COUNTIFS($K$1:K$1,"&lt;&gt;"))),0)</f>
        <v>8.8571428571428579E-2</v>
      </c>
      <c r="L1230">
        <f>IFERROR($J1230/IF($A1230&lt;COUNTIFS($K$1:L$1,"&lt;&gt;"),0,SUMIFS($J:$J,$B:$B,$B1230,$A:$A,"&gt;="&amp;COUNTIFS($K$1:L$1,"&lt;&gt;"))),0)</f>
        <v>9.7178683385579931E-2</v>
      </c>
      <c r="M1230">
        <f>IFERROR($J1230/IF($A1230&lt;COUNTIFS($K$1:M$1,"&lt;&gt;"),0,SUMIFS($J:$J,$B:$B,$B1230,$A:$A,"&gt;="&amp;COUNTIFS($K$1:M$1,"&lt;&gt;"))),0)</f>
        <v>0.10763888888888888</v>
      </c>
      <c r="N1230">
        <f>IFERROR($J1230/IF($A1230&lt;COUNTIFS($K$1:N$1,"&lt;&gt;"),0,SUMIFS($J:$J,$B:$B,$B1230,$A:$A,"&gt;="&amp;COUNTIFS($K$1:N$1,"&lt;&gt;"))),0)</f>
        <v>0.11969111969111969</v>
      </c>
      <c r="O1230">
        <f>IFERROR($J1230/IF($A1230&lt;COUNTIFS($K$1:O$1,"&lt;&gt;"),0,SUMIFS($J:$J,$B:$B,$B1230,$A:$A,"&gt;="&amp;COUNTIFS($K$1:O$1,"&lt;&gt;"))),0)</f>
        <v>0.13596491228070173</v>
      </c>
      <c r="P1230">
        <f>IFERROR($J1230/IF($A1230&lt;COUNTIFS($K$1:P$1,"&lt;&gt;"),0,SUMIFS($J:$J,$B:$B,$B1230,$A:$A,"&gt;="&amp;COUNTIFS($K$1:P$1,"&lt;&gt;"))),0)</f>
        <v>0.15656565656565655</v>
      </c>
      <c r="Q1230">
        <f>IFERROR($J1230/IF($A1230&lt;COUNTIFS($K$1:Q$1,"&lt;&gt;"),0,SUMIFS($J:$J,$B:$B,$B1230,$A:$A,"&gt;="&amp;COUNTIFS($K$1:Q$1,"&lt;&gt;"))),0)</f>
        <v>0</v>
      </c>
      <c r="R1230">
        <f>IFERROR($J1230/IF($A1230&lt;COUNTIFS($K$1:R$1,"&lt;&gt;"),0,SUMIFS($J:$J,$B:$B,$B1230,$A:$A,"&gt;="&amp;COUNTIFS($K$1:R$1,"&lt;&gt;"))),0)</f>
        <v>0</v>
      </c>
      <c r="S1230">
        <f>IFERROR($J1230/IF($A1230&lt;COUNTIFS($K$1:S$1,"&lt;&gt;"),0,SUMIFS($J:$J,$B:$B,$B1230,$A:$A,"&gt;="&amp;COUNTIFS($K$1:S$1,"&lt;&gt;"))),0)</f>
        <v>0</v>
      </c>
      <c r="T1230">
        <f>IFERROR($J1230/IF($A1230&lt;COUNTIFS($K$1:T$1,"&lt;&gt;"),0,SUMIFS($J:$J,$B:$B,$B1230,$A:$A,"&gt;="&amp;COUNTIFS($K$1:T$1,"&lt;&gt;"))),0)</f>
        <v>0</v>
      </c>
      <c r="U1230">
        <f>IFERROR($J1230/IF($A1230&lt;COUNTIFS($K$1:U$1,"&lt;&gt;"),0,SUMIFS($J:$J,$B:$B,$B1230,$A:$A,"&gt;="&amp;COUNTIFS($K$1:U$1,"&lt;&gt;"))),0)</f>
        <v>0</v>
      </c>
      <c r="V1230">
        <f>IFERROR($J1230/IF($A1230&lt;COUNTIFS($K$1:V$1,"&lt;&gt;"),0,SUMIFS($J:$J,$B:$B,$B1230,$A:$A,"&gt;="&amp;COUNTIFS($K$1:V$1,"&lt;&gt;"))),0)</f>
        <v>0</v>
      </c>
      <c r="W1230">
        <f t="shared" si="442"/>
        <v>8.4699453551912565E-2</v>
      </c>
      <c r="X1230">
        <f t="shared" si="422"/>
        <v>8.4699453551912565E-2</v>
      </c>
      <c r="Y1230">
        <f t="shared" si="423"/>
        <v>8.4699453551912565E-2</v>
      </c>
      <c r="Z1230">
        <f t="shared" si="424"/>
        <v>8.4699453551912565E-2</v>
      </c>
      <c r="AA1230">
        <f t="shared" si="425"/>
        <v>8.4699453551912565E-2</v>
      </c>
      <c r="AB1230">
        <f t="shared" si="426"/>
        <v>8.4699453551912565E-2</v>
      </c>
      <c r="AC1230">
        <f t="shared" si="427"/>
        <v>8.4699453551912565E-2</v>
      </c>
      <c r="AD1230">
        <f t="shared" si="428"/>
        <v>0</v>
      </c>
      <c r="AE1230">
        <f t="shared" si="429"/>
        <v>0</v>
      </c>
      <c r="AF1230">
        <f t="shared" si="430"/>
        <v>0</v>
      </c>
      <c r="AG1230">
        <f t="shared" si="431"/>
        <v>0</v>
      </c>
      <c r="AH1230">
        <f t="shared" si="432"/>
        <v>0</v>
      </c>
      <c r="AI1230">
        <f t="shared" si="433"/>
        <v>0</v>
      </c>
      <c r="AJ1230" s="2" t="str">
        <f t="shared" si="443"/>
        <v>646692</v>
      </c>
    </row>
    <row r="1231" spans="1:36" x14ac:dyDescent="0.25">
      <c r="A1231">
        <v>7</v>
      </c>
      <c r="B1231" s="1">
        <v>46692</v>
      </c>
      <c r="C1231" s="1">
        <f t="shared" si="434"/>
        <v>46905</v>
      </c>
      <c r="D1231" s="1">
        <f t="shared" si="435"/>
        <v>46706</v>
      </c>
      <c r="E1231" s="1">
        <f t="shared" si="436"/>
        <v>46905</v>
      </c>
      <c r="F1231" s="1">
        <f t="shared" si="437"/>
        <v>46935</v>
      </c>
      <c r="G1231" s="1">
        <f t="shared" si="438"/>
        <v>47072</v>
      </c>
      <c r="H1231">
        <f t="shared" si="439"/>
        <v>366</v>
      </c>
      <c r="I1231">
        <f t="shared" si="440"/>
        <v>30</v>
      </c>
      <c r="J1231">
        <f t="shared" si="441"/>
        <v>8.1967213114754092E-2</v>
      </c>
      <c r="K1231">
        <f>IFERROR($J1231/IF($A1231&lt;COUNTIFS($K$1:K$1,"&lt;&gt;"),0,SUMIFS($J:$J,$B:$B,$B1231,$A:$A,"&gt;="&amp;COUNTIFS($K$1:K$1,"&lt;&gt;"))),0)</f>
        <v>8.5714285714285715E-2</v>
      </c>
      <c r="L1231">
        <f>IFERROR($J1231/IF($A1231&lt;COUNTIFS($K$1:L$1,"&lt;&gt;"),0,SUMIFS($J:$J,$B:$B,$B1231,$A:$A,"&gt;="&amp;COUNTIFS($K$1:L$1,"&lt;&gt;"))),0)</f>
        <v>9.4043887147335414E-2</v>
      </c>
      <c r="M1231">
        <f>IFERROR($J1231/IF($A1231&lt;COUNTIFS($K$1:M$1,"&lt;&gt;"),0,SUMIFS($J:$J,$B:$B,$B1231,$A:$A,"&gt;="&amp;COUNTIFS($K$1:M$1,"&lt;&gt;"))),0)</f>
        <v>0.10416666666666666</v>
      </c>
      <c r="N1231">
        <f>IFERROR($J1231/IF($A1231&lt;COUNTIFS($K$1:N$1,"&lt;&gt;"),0,SUMIFS($J:$J,$B:$B,$B1231,$A:$A,"&gt;="&amp;COUNTIFS($K$1:N$1,"&lt;&gt;"))),0)</f>
        <v>0.11583011583011582</v>
      </c>
      <c r="O1231">
        <f>IFERROR($J1231/IF($A1231&lt;COUNTIFS($K$1:O$1,"&lt;&gt;"),0,SUMIFS($J:$J,$B:$B,$B1231,$A:$A,"&gt;="&amp;COUNTIFS($K$1:O$1,"&lt;&gt;"))),0)</f>
        <v>0.13157894736842105</v>
      </c>
      <c r="P1231">
        <f>IFERROR($J1231/IF($A1231&lt;COUNTIFS($K$1:P$1,"&lt;&gt;"),0,SUMIFS($J:$J,$B:$B,$B1231,$A:$A,"&gt;="&amp;COUNTIFS($K$1:P$1,"&lt;&gt;"))),0)</f>
        <v>0.15151515151515149</v>
      </c>
      <c r="Q1231">
        <f>IFERROR($J1231/IF($A1231&lt;COUNTIFS($K$1:Q$1,"&lt;&gt;"),0,SUMIFS($J:$J,$B:$B,$B1231,$A:$A,"&gt;="&amp;COUNTIFS($K$1:Q$1,"&lt;&gt;"))),0)</f>
        <v>0.17964071856287425</v>
      </c>
      <c r="R1231">
        <f>IFERROR($J1231/IF($A1231&lt;COUNTIFS($K$1:R$1,"&lt;&gt;"),0,SUMIFS($J:$J,$B:$B,$B1231,$A:$A,"&gt;="&amp;COUNTIFS($K$1:R$1,"&lt;&gt;"))),0)</f>
        <v>0</v>
      </c>
      <c r="S1231">
        <f>IFERROR($J1231/IF($A1231&lt;COUNTIFS($K$1:S$1,"&lt;&gt;"),0,SUMIFS($J:$J,$B:$B,$B1231,$A:$A,"&gt;="&amp;COUNTIFS($K$1:S$1,"&lt;&gt;"))),0)</f>
        <v>0</v>
      </c>
      <c r="T1231">
        <f>IFERROR($J1231/IF($A1231&lt;COUNTIFS($K$1:T$1,"&lt;&gt;"),0,SUMIFS($J:$J,$B:$B,$B1231,$A:$A,"&gt;="&amp;COUNTIFS($K$1:T$1,"&lt;&gt;"))),0)</f>
        <v>0</v>
      </c>
      <c r="U1231">
        <f>IFERROR($J1231/IF($A1231&lt;COUNTIFS($K$1:U$1,"&lt;&gt;"),0,SUMIFS($J:$J,$B:$B,$B1231,$A:$A,"&gt;="&amp;COUNTIFS($K$1:U$1,"&lt;&gt;"))),0)</f>
        <v>0</v>
      </c>
      <c r="V1231">
        <f>IFERROR($J1231/IF($A1231&lt;COUNTIFS($K$1:V$1,"&lt;&gt;"),0,SUMIFS($J:$J,$B:$B,$B1231,$A:$A,"&gt;="&amp;COUNTIFS($K$1:V$1,"&lt;&gt;"))),0)</f>
        <v>0</v>
      </c>
      <c r="W1231">
        <f t="shared" si="442"/>
        <v>8.1967213114754092E-2</v>
      </c>
      <c r="X1231">
        <f t="shared" si="422"/>
        <v>8.1967213114754092E-2</v>
      </c>
      <c r="Y1231">
        <f t="shared" si="423"/>
        <v>8.1967213114754092E-2</v>
      </c>
      <c r="Z1231">
        <f t="shared" si="424"/>
        <v>8.1967213114754092E-2</v>
      </c>
      <c r="AA1231">
        <f t="shared" si="425"/>
        <v>8.1967213114754092E-2</v>
      </c>
      <c r="AB1231">
        <f t="shared" si="426"/>
        <v>8.1967213114754092E-2</v>
      </c>
      <c r="AC1231">
        <f t="shared" si="427"/>
        <v>8.1967213114754092E-2</v>
      </c>
      <c r="AD1231">
        <f t="shared" si="428"/>
        <v>8.1967213114754092E-2</v>
      </c>
      <c r="AE1231">
        <f t="shared" si="429"/>
        <v>0</v>
      </c>
      <c r="AF1231">
        <f t="shared" si="430"/>
        <v>0</v>
      </c>
      <c r="AG1231">
        <f t="shared" si="431"/>
        <v>0</v>
      </c>
      <c r="AH1231">
        <f t="shared" si="432"/>
        <v>0</v>
      </c>
      <c r="AI1231">
        <f t="shared" si="433"/>
        <v>0</v>
      </c>
      <c r="AJ1231" s="2" t="str">
        <f t="shared" si="443"/>
        <v>746692</v>
      </c>
    </row>
    <row r="1232" spans="1:36" x14ac:dyDescent="0.25">
      <c r="A1232">
        <v>8</v>
      </c>
      <c r="B1232" s="1">
        <v>46692</v>
      </c>
      <c r="C1232" s="1">
        <f t="shared" si="434"/>
        <v>46935</v>
      </c>
      <c r="D1232" s="1">
        <f t="shared" si="435"/>
        <v>46706</v>
      </c>
      <c r="E1232" s="1">
        <f t="shared" si="436"/>
        <v>46935</v>
      </c>
      <c r="F1232" s="1">
        <f t="shared" si="437"/>
        <v>46966</v>
      </c>
      <c r="G1232" s="1">
        <f t="shared" si="438"/>
        <v>47072</v>
      </c>
      <c r="H1232">
        <f t="shared" si="439"/>
        <v>366</v>
      </c>
      <c r="I1232">
        <f t="shared" si="440"/>
        <v>31</v>
      </c>
      <c r="J1232">
        <f t="shared" si="441"/>
        <v>8.4699453551912565E-2</v>
      </c>
      <c r="K1232">
        <f>IFERROR($J1232/IF($A1232&lt;COUNTIFS($K$1:K$1,"&lt;&gt;"),0,SUMIFS($J:$J,$B:$B,$B1232,$A:$A,"&gt;="&amp;COUNTIFS($K$1:K$1,"&lt;&gt;"))),0)</f>
        <v>8.8571428571428579E-2</v>
      </c>
      <c r="L1232">
        <f>IFERROR($J1232/IF($A1232&lt;COUNTIFS($K$1:L$1,"&lt;&gt;"),0,SUMIFS($J:$J,$B:$B,$B1232,$A:$A,"&gt;="&amp;COUNTIFS($K$1:L$1,"&lt;&gt;"))),0)</f>
        <v>9.7178683385579931E-2</v>
      </c>
      <c r="M1232">
        <f>IFERROR($J1232/IF($A1232&lt;COUNTIFS($K$1:M$1,"&lt;&gt;"),0,SUMIFS($J:$J,$B:$B,$B1232,$A:$A,"&gt;="&amp;COUNTIFS($K$1:M$1,"&lt;&gt;"))),0)</f>
        <v>0.10763888888888888</v>
      </c>
      <c r="N1232">
        <f>IFERROR($J1232/IF($A1232&lt;COUNTIFS($K$1:N$1,"&lt;&gt;"),0,SUMIFS($J:$J,$B:$B,$B1232,$A:$A,"&gt;="&amp;COUNTIFS($K$1:N$1,"&lt;&gt;"))),0)</f>
        <v>0.11969111969111969</v>
      </c>
      <c r="O1232">
        <f>IFERROR($J1232/IF($A1232&lt;COUNTIFS($K$1:O$1,"&lt;&gt;"),0,SUMIFS($J:$J,$B:$B,$B1232,$A:$A,"&gt;="&amp;COUNTIFS($K$1:O$1,"&lt;&gt;"))),0)</f>
        <v>0.13596491228070173</v>
      </c>
      <c r="P1232">
        <f>IFERROR($J1232/IF($A1232&lt;COUNTIFS($K$1:P$1,"&lt;&gt;"),0,SUMIFS($J:$J,$B:$B,$B1232,$A:$A,"&gt;="&amp;COUNTIFS($K$1:P$1,"&lt;&gt;"))),0)</f>
        <v>0.15656565656565655</v>
      </c>
      <c r="Q1232">
        <f>IFERROR($J1232/IF($A1232&lt;COUNTIFS($K$1:Q$1,"&lt;&gt;"),0,SUMIFS($J:$J,$B:$B,$B1232,$A:$A,"&gt;="&amp;COUNTIFS($K$1:Q$1,"&lt;&gt;"))),0)</f>
        <v>0.18562874251497008</v>
      </c>
      <c r="R1232">
        <f>IFERROR($J1232/IF($A1232&lt;COUNTIFS($K$1:R$1,"&lt;&gt;"),0,SUMIFS($J:$J,$B:$B,$B1232,$A:$A,"&gt;="&amp;COUNTIFS($K$1:R$1,"&lt;&gt;"))),0)</f>
        <v>0.22627737226277372</v>
      </c>
      <c r="S1232">
        <f>IFERROR($J1232/IF($A1232&lt;COUNTIFS($K$1:S$1,"&lt;&gt;"),0,SUMIFS($J:$J,$B:$B,$B1232,$A:$A,"&gt;="&amp;COUNTIFS($K$1:S$1,"&lt;&gt;"))),0)</f>
        <v>0</v>
      </c>
      <c r="T1232">
        <f>IFERROR($J1232/IF($A1232&lt;COUNTIFS($K$1:T$1,"&lt;&gt;"),0,SUMIFS($J:$J,$B:$B,$B1232,$A:$A,"&gt;="&amp;COUNTIFS($K$1:T$1,"&lt;&gt;"))),0)</f>
        <v>0</v>
      </c>
      <c r="U1232">
        <f>IFERROR($J1232/IF($A1232&lt;COUNTIFS($K$1:U$1,"&lt;&gt;"),0,SUMIFS($J:$J,$B:$B,$B1232,$A:$A,"&gt;="&amp;COUNTIFS($K$1:U$1,"&lt;&gt;"))),0)</f>
        <v>0</v>
      </c>
      <c r="V1232">
        <f>IFERROR($J1232/IF($A1232&lt;COUNTIFS($K$1:V$1,"&lt;&gt;"),0,SUMIFS($J:$J,$B:$B,$B1232,$A:$A,"&gt;="&amp;COUNTIFS($K$1:V$1,"&lt;&gt;"))),0)</f>
        <v>0</v>
      </c>
      <c r="W1232">
        <f t="shared" si="442"/>
        <v>8.4699453551912565E-2</v>
      </c>
      <c r="X1232">
        <f t="shared" si="422"/>
        <v>8.4699453551912565E-2</v>
      </c>
      <c r="Y1232">
        <f t="shared" si="423"/>
        <v>8.4699453551912565E-2</v>
      </c>
      <c r="Z1232">
        <f t="shared" si="424"/>
        <v>8.4699453551912565E-2</v>
      </c>
      <c r="AA1232">
        <f t="shared" si="425"/>
        <v>8.4699453551912565E-2</v>
      </c>
      <c r="AB1232">
        <f t="shared" si="426"/>
        <v>8.4699453551912565E-2</v>
      </c>
      <c r="AC1232">
        <f t="shared" si="427"/>
        <v>8.4699453551912565E-2</v>
      </c>
      <c r="AD1232">
        <f t="shared" si="428"/>
        <v>8.4699453551912565E-2</v>
      </c>
      <c r="AE1232">
        <f t="shared" si="429"/>
        <v>8.4699453551912565E-2</v>
      </c>
      <c r="AF1232">
        <f t="shared" si="430"/>
        <v>0</v>
      </c>
      <c r="AG1232">
        <f t="shared" si="431"/>
        <v>0</v>
      </c>
      <c r="AH1232">
        <f t="shared" si="432"/>
        <v>0</v>
      </c>
      <c r="AI1232">
        <f t="shared" si="433"/>
        <v>0</v>
      </c>
      <c r="AJ1232" s="2" t="str">
        <f t="shared" si="443"/>
        <v>846692</v>
      </c>
    </row>
    <row r="1233" spans="1:36" x14ac:dyDescent="0.25">
      <c r="A1233">
        <v>9</v>
      </c>
      <c r="B1233" s="1">
        <v>46692</v>
      </c>
      <c r="C1233" s="1">
        <f t="shared" si="434"/>
        <v>46966</v>
      </c>
      <c r="D1233" s="1">
        <f t="shared" si="435"/>
        <v>46706</v>
      </c>
      <c r="E1233" s="1">
        <f t="shared" si="436"/>
        <v>46966</v>
      </c>
      <c r="F1233" s="1">
        <f t="shared" si="437"/>
        <v>46997</v>
      </c>
      <c r="G1233" s="1">
        <f t="shared" si="438"/>
        <v>47072</v>
      </c>
      <c r="H1233">
        <f t="shared" si="439"/>
        <v>366</v>
      </c>
      <c r="I1233">
        <f t="shared" si="440"/>
        <v>31</v>
      </c>
      <c r="J1233">
        <f t="shared" si="441"/>
        <v>8.4699453551912565E-2</v>
      </c>
      <c r="K1233">
        <f>IFERROR($J1233/IF($A1233&lt;COUNTIFS($K$1:K$1,"&lt;&gt;"),0,SUMIFS($J:$J,$B:$B,$B1233,$A:$A,"&gt;="&amp;COUNTIFS($K$1:K$1,"&lt;&gt;"))),0)</f>
        <v>8.8571428571428579E-2</v>
      </c>
      <c r="L1233">
        <f>IFERROR($J1233/IF($A1233&lt;COUNTIFS($K$1:L$1,"&lt;&gt;"),0,SUMIFS($J:$J,$B:$B,$B1233,$A:$A,"&gt;="&amp;COUNTIFS($K$1:L$1,"&lt;&gt;"))),0)</f>
        <v>9.7178683385579931E-2</v>
      </c>
      <c r="M1233">
        <f>IFERROR($J1233/IF($A1233&lt;COUNTIFS($K$1:M$1,"&lt;&gt;"),0,SUMIFS($J:$J,$B:$B,$B1233,$A:$A,"&gt;="&amp;COUNTIFS($K$1:M$1,"&lt;&gt;"))),0)</f>
        <v>0.10763888888888888</v>
      </c>
      <c r="N1233">
        <f>IFERROR($J1233/IF($A1233&lt;COUNTIFS($K$1:N$1,"&lt;&gt;"),0,SUMIFS($J:$J,$B:$B,$B1233,$A:$A,"&gt;="&amp;COUNTIFS($K$1:N$1,"&lt;&gt;"))),0)</f>
        <v>0.11969111969111969</v>
      </c>
      <c r="O1233">
        <f>IFERROR($J1233/IF($A1233&lt;COUNTIFS($K$1:O$1,"&lt;&gt;"),0,SUMIFS($J:$J,$B:$B,$B1233,$A:$A,"&gt;="&amp;COUNTIFS($K$1:O$1,"&lt;&gt;"))),0)</f>
        <v>0.13596491228070173</v>
      </c>
      <c r="P1233">
        <f>IFERROR($J1233/IF($A1233&lt;COUNTIFS($K$1:P$1,"&lt;&gt;"),0,SUMIFS($J:$J,$B:$B,$B1233,$A:$A,"&gt;="&amp;COUNTIFS($K$1:P$1,"&lt;&gt;"))),0)</f>
        <v>0.15656565656565655</v>
      </c>
      <c r="Q1233">
        <f>IFERROR($J1233/IF($A1233&lt;COUNTIFS($K$1:Q$1,"&lt;&gt;"),0,SUMIFS($J:$J,$B:$B,$B1233,$A:$A,"&gt;="&amp;COUNTIFS($K$1:Q$1,"&lt;&gt;"))),0)</f>
        <v>0.18562874251497008</v>
      </c>
      <c r="R1233">
        <f>IFERROR($J1233/IF($A1233&lt;COUNTIFS($K$1:R$1,"&lt;&gt;"),0,SUMIFS($J:$J,$B:$B,$B1233,$A:$A,"&gt;="&amp;COUNTIFS($K$1:R$1,"&lt;&gt;"))),0)</f>
        <v>0.22627737226277372</v>
      </c>
      <c r="S1233">
        <f>IFERROR($J1233/IF($A1233&lt;COUNTIFS($K$1:S$1,"&lt;&gt;"),0,SUMIFS($J:$J,$B:$B,$B1233,$A:$A,"&gt;="&amp;COUNTIFS($K$1:S$1,"&lt;&gt;"))),0)</f>
        <v>0.29245283018867924</v>
      </c>
      <c r="T1233">
        <f>IFERROR($J1233/IF($A1233&lt;COUNTIFS($K$1:T$1,"&lt;&gt;"),0,SUMIFS($J:$J,$B:$B,$B1233,$A:$A,"&gt;="&amp;COUNTIFS($K$1:T$1,"&lt;&gt;"))),0)</f>
        <v>0</v>
      </c>
      <c r="U1233">
        <f>IFERROR($J1233/IF($A1233&lt;COUNTIFS($K$1:U$1,"&lt;&gt;"),0,SUMIFS($J:$J,$B:$B,$B1233,$A:$A,"&gt;="&amp;COUNTIFS($K$1:U$1,"&lt;&gt;"))),0)</f>
        <v>0</v>
      </c>
      <c r="V1233">
        <f>IFERROR($J1233/IF($A1233&lt;COUNTIFS($K$1:V$1,"&lt;&gt;"),0,SUMIFS($J:$J,$B:$B,$B1233,$A:$A,"&gt;="&amp;COUNTIFS($K$1:V$1,"&lt;&gt;"))),0)</f>
        <v>0</v>
      </c>
      <c r="W1233">
        <f t="shared" si="442"/>
        <v>8.4699453551912565E-2</v>
      </c>
      <c r="X1233">
        <f t="shared" si="422"/>
        <v>8.4699453551912565E-2</v>
      </c>
      <c r="Y1233">
        <f t="shared" si="423"/>
        <v>8.4699453551912565E-2</v>
      </c>
      <c r="Z1233">
        <f t="shared" si="424"/>
        <v>8.4699453551912565E-2</v>
      </c>
      <c r="AA1233">
        <f t="shared" si="425"/>
        <v>8.4699453551912565E-2</v>
      </c>
      <c r="AB1233">
        <f t="shared" si="426"/>
        <v>8.4699453551912565E-2</v>
      </c>
      <c r="AC1233">
        <f t="shared" si="427"/>
        <v>8.4699453551912565E-2</v>
      </c>
      <c r="AD1233">
        <f t="shared" si="428"/>
        <v>8.4699453551912565E-2</v>
      </c>
      <c r="AE1233">
        <f t="shared" si="429"/>
        <v>8.4699453551912565E-2</v>
      </c>
      <c r="AF1233">
        <f t="shared" si="430"/>
        <v>8.4699453551912565E-2</v>
      </c>
      <c r="AG1233">
        <f t="shared" si="431"/>
        <v>0</v>
      </c>
      <c r="AH1233">
        <f t="shared" si="432"/>
        <v>0</v>
      </c>
      <c r="AI1233">
        <f t="shared" si="433"/>
        <v>0</v>
      </c>
      <c r="AJ1233" s="2" t="str">
        <f t="shared" si="443"/>
        <v>946692</v>
      </c>
    </row>
    <row r="1234" spans="1:36" x14ac:dyDescent="0.25">
      <c r="A1234">
        <v>10</v>
      </c>
      <c r="B1234" s="1">
        <v>46692</v>
      </c>
      <c r="C1234" s="1">
        <f t="shared" si="434"/>
        <v>46997</v>
      </c>
      <c r="D1234" s="1">
        <f t="shared" si="435"/>
        <v>46706</v>
      </c>
      <c r="E1234" s="1">
        <f t="shared" si="436"/>
        <v>46997</v>
      </c>
      <c r="F1234" s="1">
        <f t="shared" si="437"/>
        <v>47027</v>
      </c>
      <c r="G1234" s="1">
        <f t="shared" si="438"/>
        <v>47072</v>
      </c>
      <c r="H1234">
        <f t="shared" si="439"/>
        <v>366</v>
      </c>
      <c r="I1234">
        <f t="shared" si="440"/>
        <v>30</v>
      </c>
      <c r="J1234">
        <f t="shared" si="441"/>
        <v>8.1967213114754092E-2</v>
      </c>
      <c r="K1234">
        <f>IFERROR($J1234/IF($A1234&lt;COUNTIFS($K$1:K$1,"&lt;&gt;"),0,SUMIFS($J:$J,$B:$B,$B1234,$A:$A,"&gt;="&amp;COUNTIFS($K$1:K$1,"&lt;&gt;"))),0)</f>
        <v>8.5714285714285715E-2</v>
      </c>
      <c r="L1234">
        <f>IFERROR($J1234/IF($A1234&lt;COUNTIFS($K$1:L$1,"&lt;&gt;"),0,SUMIFS($J:$J,$B:$B,$B1234,$A:$A,"&gt;="&amp;COUNTIFS($K$1:L$1,"&lt;&gt;"))),0)</f>
        <v>9.4043887147335414E-2</v>
      </c>
      <c r="M1234">
        <f>IFERROR($J1234/IF($A1234&lt;COUNTIFS($K$1:M$1,"&lt;&gt;"),0,SUMIFS($J:$J,$B:$B,$B1234,$A:$A,"&gt;="&amp;COUNTIFS($K$1:M$1,"&lt;&gt;"))),0)</f>
        <v>0.10416666666666666</v>
      </c>
      <c r="N1234">
        <f>IFERROR($J1234/IF($A1234&lt;COUNTIFS($K$1:N$1,"&lt;&gt;"),0,SUMIFS($J:$J,$B:$B,$B1234,$A:$A,"&gt;="&amp;COUNTIFS($K$1:N$1,"&lt;&gt;"))),0)</f>
        <v>0.11583011583011582</v>
      </c>
      <c r="O1234">
        <f>IFERROR($J1234/IF($A1234&lt;COUNTIFS($K$1:O$1,"&lt;&gt;"),0,SUMIFS($J:$J,$B:$B,$B1234,$A:$A,"&gt;="&amp;COUNTIFS($K$1:O$1,"&lt;&gt;"))),0)</f>
        <v>0.13157894736842105</v>
      </c>
      <c r="P1234">
        <f>IFERROR($J1234/IF($A1234&lt;COUNTIFS($K$1:P$1,"&lt;&gt;"),0,SUMIFS($J:$J,$B:$B,$B1234,$A:$A,"&gt;="&amp;COUNTIFS($K$1:P$1,"&lt;&gt;"))),0)</f>
        <v>0.15151515151515149</v>
      </c>
      <c r="Q1234">
        <f>IFERROR($J1234/IF($A1234&lt;COUNTIFS($K$1:Q$1,"&lt;&gt;"),0,SUMIFS($J:$J,$B:$B,$B1234,$A:$A,"&gt;="&amp;COUNTIFS($K$1:Q$1,"&lt;&gt;"))),0)</f>
        <v>0.17964071856287425</v>
      </c>
      <c r="R1234">
        <f>IFERROR($J1234/IF($A1234&lt;COUNTIFS($K$1:R$1,"&lt;&gt;"),0,SUMIFS($J:$J,$B:$B,$B1234,$A:$A,"&gt;="&amp;COUNTIFS($K$1:R$1,"&lt;&gt;"))),0)</f>
        <v>0.21897810218978103</v>
      </c>
      <c r="S1234">
        <f>IFERROR($J1234/IF($A1234&lt;COUNTIFS($K$1:S$1,"&lt;&gt;"),0,SUMIFS($J:$J,$B:$B,$B1234,$A:$A,"&gt;="&amp;COUNTIFS($K$1:S$1,"&lt;&gt;"))),0)</f>
        <v>0.28301886792452829</v>
      </c>
      <c r="T1234">
        <f>IFERROR($J1234/IF($A1234&lt;COUNTIFS($K$1:T$1,"&lt;&gt;"),0,SUMIFS($J:$J,$B:$B,$B1234,$A:$A,"&gt;="&amp;COUNTIFS($K$1:T$1,"&lt;&gt;"))),0)</f>
        <v>0.39999999999999997</v>
      </c>
      <c r="U1234">
        <f>IFERROR($J1234/IF($A1234&lt;COUNTIFS($K$1:U$1,"&lt;&gt;"),0,SUMIFS($J:$J,$B:$B,$B1234,$A:$A,"&gt;="&amp;COUNTIFS($K$1:U$1,"&lt;&gt;"))),0)</f>
        <v>0</v>
      </c>
      <c r="V1234">
        <f>IFERROR($J1234/IF($A1234&lt;COUNTIFS($K$1:V$1,"&lt;&gt;"),0,SUMIFS($J:$J,$B:$B,$B1234,$A:$A,"&gt;="&amp;COUNTIFS($K$1:V$1,"&lt;&gt;"))),0)</f>
        <v>0</v>
      </c>
      <c r="W1234">
        <f t="shared" si="442"/>
        <v>8.1967213114754092E-2</v>
      </c>
      <c r="X1234">
        <f t="shared" si="422"/>
        <v>8.1967213114754092E-2</v>
      </c>
      <c r="Y1234">
        <f t="shared" si="423"/>
        <v>8.1967213114754092E-2</v>
      </c>
      <c r="Z1234">
        <f t="shared" si="424"/>
        <v>8.1967213114754092E-2</v>
      </c>
      <c r="AA1234">
        <f t="shared" si="425"/>
        <v>8.1967213114754092E-2</v>
      </c>
      <c r="AB1234">
        <f t="shared" si="426"/>
        <v>8.1967213114754092E-2</v>
      </c>
      <c r="AC1234">
        <f t="shared" si="427"/>
        <v>8.1967213114754092E-2</v>
      </c>
      <c r="AD1234">
        <f t="shared" si="428"/>
        <v>8.1967213114754092E-2</v>
      </c>
      <c r="AE1234">
        <f t="shared" si="429"/>
        <v>8.1967213114754092E-2</v>
      </c>
      <c r="AF1234">
        <f t="shared" si="430"/>
        <v>8.1967213114754092E-2</v>
      </c>
      <c r="AG1234">
        <f t="shared" si="431"/>
        <v>8.1967213114754092E-2</v>
      </c>
      <c r="AH1234">
        <f t="shared" si="432"/>
        <v>0</v>
      </c>
      <c r="AI1234">
        <f t="shared" si="433"/>
        <v>0</v>
      </c>
      <c r="AJ1234" s="2" t="str">
        <f t="shared" si="443"/>
        <v>1046692</v>
      </c>
    </row>
    <row r="1235" spans="1:36" x14ac:dyDescent="0.25">
      <c r="A1235">
        <v>11</v>
      </c>
      <c r="B1235" s="1">
        <v>46692</v>
      </c>
      <c r="C1235" s="1">
        <f t="shared" si="434"/>
        <v>47027</v>
      </c>
      <c r="D1235" s="1">
        <f t="shared" si="435"/>
        <v>46706</v>
      </c>
      <c r="E1235" s="1">
        <f t="shared" si="436"/>
        <v>47027</v>
      </c>
      <c r="F1235" s="1">
        <f t="shared" si="437"/>
        <v>47058</v>
      </c>
      <c r="G1235" s="1">
        <f t="shared" si="438"/>
        <v>47072</v>
      </c>
      <c r="H1235">
        <f t="shared" si="439"/>
        <v>366</v>
      </c>
      <c r="I1235">
        <f t="shared" si="440"/>
        <v>31</v>
      </c>
      <c r="J1235">
        <f t="shared" si="441"/>
        <v>8.4699453551912565E-2</v>
      </c>
      <c r="K1235">
        <f>IFERROR($J1235/IF($A1235&lt;COUNTIFS($K$1:K$1,"&lt;&gt;"),0,SUMIFS($J:$J,$B:$B,$B1235,$A:$A,"&gt;="&amp;COUNTIFS($K$1:K$1,"&lt;&gt;"))),0)</f>
        <v>8.8571428571428579E-2</v>
      </c>
      <c r="L1235">
        <f>IFERROR($J1235/IF($A1235&lt;COUNTIFS($K$1:L$1,"&lt;&gt;"),0,SUMIFS($J:$J,$B:$B,$B1235,$A:$A,"&gt;="&amp;COUNTIFS($K$1:L$1,"&lt;&gt;"))),0)</f>
        <v>9.7178683385579931E-2</v>
      </c>
      <c r="M1235">
        <f>IFERROR($J1235/IF($A1235&lt;COUNTIFS($K$1:M$1,"&lt;&gt;"),0,SUMIFS($J:$J,$B:$B,$B1235,$A:$A,"&gt;="&amp;COUNTIFS($K$1:M$1,"&lt;&gt;"))),0)</f>
        <v>0.10763888888888888</v>
      </c>
      <c r="N1235">
        <f>IFERROR($J1235/IF($A1235&lt;COUNTIFS($K$1:N$1,"&lt;&gt;"),0,SUMIFS($J:$J,$B:$B,$B1235,$A:$A,"&gt;="&amp;COUNTIFS($K$1:N$1,"&lt;&gt;"))),0)</f>
        <v>0.11969111969111969</v>
      </c>
      <c r="O1235">
        <f>IFERROR($J1235/IF($A1235&lt;COUNTIFS($K$1:O$1,"&lt;&gt;"),0,SUMIFS($J:$J,$B:$B,$B1235,$A:$A,"&gt;="&amp;COUNTIFS($K$1:O$1,"&lt;&gt;"))),0)</f>
        <v>0.13596491228070173</v>
      </c>
      <c r="P1235">
        <f>IFERROR($J1235/IF($A1235&lt;COUNTIFS($K$1:P$1,"&lt;&gt;"),0,SUMIFS($J:$J,$B:$B,$B1235,$A:$A,"&gt;="&amp;COUNTIFS($K$1:P$1,"&lt;&gt;"))),0)</f>
        <v>0.15656565656565655</v>
      </c>
      <c r="Q1235">
        <f>IFERROR($J1235/IF($A1235&lt;COUNTIFS($K$1:Q$1,"&lt;&gt;"),0,SUMIFS($J:$J,$B:$B,$B1235,$A:$A,"&gt;="&amp;COUNTIFS($K$1:Q$1,"&lt;&gt;"))),0)</f>
        <v>0.18562874251497008</v>
      </c>
      <c r="R1235">
        <f>IFERROR($J1235/IF($A1235&lt;COUNTIFS($K$1:R$1,"&lt;&gt;"),0,SUMIFS($J:$J,$B:$B,$B1235,$A:$A,"&gt;="&amp;COUNTIFS($K$1:R$1,"&lt;&gt;"))),0)</f>
        <v>0.22627737226277372</v>
      </c>
      <c r="S1235">
        <f>IFERROR($J1235/IF($A1235&lt;COUNTIFS($K$1:S$1,"&lt;&gt;"),0,SUMIFS($J:$J,$B:$B,$B1235,$A:$A,"&gt;="&amp;COUNTIFS($K$1:S$1,"&lt;&gt;"))),0)</f>
        <v>0.29245283018867924</v>
      </c>
      <c r="T1235">
        <f>IFERROR($J1235/IF($A1235&lt;COUNTIFS($K$1:T$1,"&lt;&gt;"),0,SUMIFS($J:$J,$B:$B,$B1235,$A:$A,"&gt;="&amp;COUNTIFS($K$1:T$1,"&lt;&gt;"))),0)</f>
        <v>0.41333333333333333</v>
      </c>
      <c r="U1235">
        <f>IFERROR($J1235/IF($A1235&lt;COUNTIFS($K$1:U$1,"&lt;&gt;"),0,SUMIFS($J:$J,$B:$B,$B1235,$A:$A,"&gt;="&amp;COUNTIFS($K$1:U$1,"&lt;&gt;"))),0)</f>
        <v>0.68888888888888888</v>
      </c>
      <c r="V1235">
        <f>IFERROR($J1235/IF($A1235&lt;COUNTIFS($K$1:V$1,"&lt;&gt;"),0,SUMIFS($J:$J,$B:$B,$B1235,$A:$A,"&gt;="&amp;COUNTIFS($K$1:V$1,"&lt;&gt;"))),0)</f>
        <v>0</v>
      </c>
      <c r="W1235">
        <f t="shared" si="442"/>
        <v>8.4699453551912565E-2</v>
      </c>
      <c r="X1235">
        <f t="shared" si="422"/>
        <v>8.4699453551912565E-2</v>
      </c>
      <c r="Y1235">
        <f t="shared" si="423"/>
        <v>8.4699453551912565E-2</v>
      </c>
      <c r="Z1235">
        <f t="shared" si="424"/>
        <v>8.4699453551912565E-2</v>
      </c>
      <c r="AA1235">
        <f t="shared" si="425"/>
        <v>8.4699453551912565E-2</v>
      </c>
      <c r="AB1235">
        <f t="shared" si="426"/>
        <v>8.4699453551912565E-2</v>
      </c>
      <c r="AC1235">
        <f t="shared" si="427"/>
        <v>8.4699453551912565E-2</v>
      </c>
      <c r="AD1235">
        <f t="shared" si="428"/>
        <v>8.4699453551912565E-2</v>
      </c>
      <c r="AE1235">
        <f t="shared" si="429"/>
        <v>8.4699453551912565E-2</v>
      </c>
      <c r="AF1235">
        <f t="shared" si="430"/>
        <v>8.4699453551912565E-2</v>
      </c>
      <c r="AG1235">
        <f t="shared" si="431"/>
        <v>8.4699453551912565E-2</v>
      </c>
      <c r="AH1235">
        <f t="shared" si="432"/>
        <v>8.4699453551912565E-2</v>
      </c>
      <c r="AI1235">
        <f t="shared" si="433"/>
        <v>0</v>
      </c>
      <c r="AJ1235" s="2" t="str">
        <f t="shared" si="443"/>
        <v>1146692</v>
      </c>
    </row>
    <row r="1236" spans="1:36" x14ac:dyDescent="0.25">
      <c r="A1236">
        <v>12</v>
      </c>
      <c r="B1236" s="1">
        <v>46692</v>
      </c>
      <c r="C1236" s="1">
        <f t="shared" si="434"/>
        <v>47058</v>
      </c>
      <c r="D1236" s="1">
        <f t="shared" si="435"/>
        <v>46706</v>
      </c>
      <c r="E1236" s="1">
        <f t="shared" si="436"/>
        <v>47058</v>
      </c>
      <c r="F1236" s="1">
        <f t="shared" si="437"/>
        <v>47072</v>
      </c>
      <c r="G1236" s="1">
        <f t="shared" si="438"/>
        <v>47072</v>
      </c>
      <c r="H1236">
        <f t="shared" si="439"/>
        <v>366</v>
      </c>
      <c r="I1236">
        <f t="shared" si="440"/>
        <v>14</v>
      </c>
      <c r="J1236">
        <f t="shared" si="441"/>
        <v>3.825136612021858E-2</v>
      </c>
      <c r="K1236">
        <f>IFERROR($J1236/IF($A1236&lt;COUNTIFS($K$1:K$1,"&lt;&gt;"),0,SUMIFS($J:$J,$B:$B,$B1236,$A:$A,"&gt;="&amp;COUNTIFS($K$1:K$1,"&lt;&gt;"))),0)</f>
        <v>0.04</v>
      </c>
      <c r="L1236">
        <f>IFERROR($J1236/IF($A1236&lt;COUNTIFS($K$1:L$1,"&lt;&gt;"),0,SUMIFS($J:$J,$B:$B,$B1236,$A:$A,"&gt;="&amp;COUNTIFS($K$1:L$1,"&lt;&gt;"))),0)</f>
        <v>4.3887147335423198E-2</v>
      </c>
      <c r="M1236">
        <f>IFERROR($J1236/IF($A1236&lt;COUNTIFS($K$1:M$1,"&lt;&gt;"),0,SUMIFS($J:$J,$B:$B,$B1236,$A:$A,"&gt;="&amp;COUNTIFS($K$1:M$1,"&lt;&gt;"))),0)</f>
        <v>4.8611111111111112E-2</v>
      </c>
      <c r="N1236">
        <f>IFERROR($J1236/IF($A1236&lt;COUNTIFS($K$1:N$1,"&lt;&gt;"),0,SUMIFS($J:$J,$B:$B,$B1236,$A:$A,"&gt;="&amp;COUNTIFS($K$1:N$1,"&lt;&gt;"))),0)</f>
        <v>5.4054054054054057E-2</v>
      </c>
      <c r="O1236">
        <f>IFERROR($J1236/IF($A1236&lt;COUNTIFS($K$1:O$1,"&lt;&gt;"),0,SUMIFS($J:$J,$B:$B,$B1236,$A:$A,"&gt;="&amp;COUNTIFS($K$1:O$1,"&lt;&gt;"))),0)</f>
        <v>6.1403508771929821E-2</v>
      </c>
      <c r="P1236">
        <f>IFERROR($J1236/IF($A1236&lt;COUNTIFS($K$1:P$1,"&lt;&gt;"),0,SUMIFS($J:$J,$B:$B,$B1236,$A:$A,"&gt;="&amp;COUNTIFS($K$1:P$1,"&lt;&gt;"))),0)</f>
        <v>7.0707070707070704E-2</v>
      </c>
      <c r="Q1236">
        <f>IFERROR($J1236/IF($A1236&lt;COUNTIFS($K$1:Q$1,"&lt;&gt;"),0,SUMIFS($J:$J,$B:$B,$B1236,$A:$A,"&gt;="&amp;COUNTIFS($K$1:Q$1,"&lt;&gt;"))),0)</f>
        <v>8.3832335329341326E-2</v>
      </c>
      <c r="R1236">
        <f>IFERROR($J1236/IF($A1236&lt;COUNTIFS($K$1:R$1,"&lt;&gt;"),0,SUMIFS($J:$J,$B:$B,$B1236,$A:$A,"&gt;="&amp;COUNTIFS($K$1:R$1,"&lt;&gt;"))),0)</f>
        <v>0.10218978102189782</v>
      </c>
      <c r="S1236">
        <f>IFERROR($J1236/IF($A1236&lt;COUNTIFS($K$1:S$1,"&lt;&gt;"),0,SUMIFS($J:$J,$B:$B,$B1236,$A:$A,"&gt;="&amp;COUNTIFS($K$1:S$1,"&lt;&gt;"))),0)</f>
        <v>0.13207547169811321</v>
      </c>
      <c r="T1236">
        <f>IFERROR($J1236/IF($A1236&lt;COUNTIFS($K$1:T$1,"&lt;&gt;"),0,SUMIFS($J:$J,$B:$B,$B1236,$A:$A,"&gt;="&amp;COUNTIFS($K$1:T$1,"&lt;&gt;"))),0)</f>
        <v>0.18666666666666668</v>
      </c>
      <c r="U1236">
        <f>IFERROR($J1236/IF($A1236&lt;COUNTIFS($K$1:U$1,"&lt;&gt;"),0,SUMIFS($J:$J,$B:$B,$B1236,$A:$A,"&gt;="&amp;COUNTIFS($K$1:U$1,"&lt;&gt;"))),0)</f>
        <v>0.31111111111111112</v>
      </c>
      <c r="V1236">
        <f>IFERROR($J1236/IF($A1236&lt;COUNTIFS($K$1:V$1,"&lt;&gt;"),0,SUMIFS($J:$J,$B:$B,$B1236,$A:$A,"&gt;="&amp;COUNTIFS($K$1:V$1,"&lt;&gt;"))),0)</f>
        <v>1</v>
      </c>
      <c r="W1236">
        <f t="shared" si="442"/>
        <v>3.825136612021858E-2</v>
      </c>
      <c r="X1236">
        <f t="shared" si="422"/>
        <v>3.825136612021858E-2</v>
      </c>
      <c r="Y1236">
        <f t="shared" si="423"/>
        <v>3.825136612021858E-2</v>
      </c>
      <c r="Z1236">
        <f t="shared" si="424"/>
        <v>3.825136612021858E-2</v>
      </c>
      <c r="AA1236">
        <f t="shared" si="425"/>
        <v>3.825136612021858E-2</v>
      </c>
      <c r="AB1236">
        <f t="shared" si="426"/>
        <v>3.825136612021858E-2</v>
      </c>
      <c r="AC1236">
        <f t="shared" si="427"/>
        <v>3.825136612021858E-2</v>
      </c>
      <c r="AD1236">
        <f t="shared" si="428"/>
        <v>3.825136612021858E-2</v>
      </c>
      <c r="AE1236">
        <f t="shared" si="429"/>
        <v>3.825136612021858E-2</v>
      </c>
      <c r="AF1236">
        <f t="shared" si="430"/>
        <v>3.825136612021858E-2</v>
      </c>
      <c r="AG1236">
        <f t="shared" si="431"/>
        <v>3.825136612021858E-2</v>
      </c>
      <c r="AH1236">
        <f t="shared" si="432"/>
        <v>3.825136612021858E-2</v>
      </c>
      <c r="AI1236">
        <f t="shared" si="433"/>
        <v>3.825136612021858E-2</v>
      </c>
      <c r="AJ1236" s="2" t="str">
        <f t="shared" si="443"/>
        <v>1246692</v>
      </c>
    </row>
    <row r="1237" spans="1:36" x14ac:dyDescent="0.25">
      <c r="A1237">
        <v>0</v>
      </c>
      <c r="B1237" s="1">
        <v>46722</v>
      </c>
      <c r="C1237" s="1">
        <f t="shared" si="434"/>
        <v>46722</v>
      </c>
      <c r="D1237" s="1">
        <f t="shared" si="435"/>
        <v>46736</v>
      </c>
      <c r="E1237" s="1">
        <f t="shared" si="436"/>
        <v>46736</v>
      </c>
      <c r="F1237" s="1">
        <f t="shared" si="437"/>
        <v>46753</v>
      </c>
      <c r="G1237" s="1">
        <f t="shared" si="438"/>
        <v>47102</v>
      </c>
      <c r="H1237">
        <f t="shared" si="439"/>
        <v>366</v>
      </c>
      <c r="I1237">
        <f t="shared" si="440"/>
        <v>17</v>
      </c>
      <c r="J1237">
        <f t="shared" si="441"/>
        <v>4.6448087431693992E-2</v>
      </c>
      <c r="K1237">
        <f>IFERROR($J1237/IF($A1237&lt;COUNTIFS($K$1:K$1,"&lt;&gt;"),0,SUMIFS($J:$J,$B:$B,$B1237,$A:$A,"&gt;="&amp;COUNTIFS($K$1:K$1,"&lt;&gt;"))),0)</f>
        <v>0</v>
      </c>
      <c r="L1237">
        <f>IFERROR($J1237/IF($A1237&lt;COUNTIFS($K$1:L$1,"&lt;&gt;"),0,SUMIFS($J:$J,$B:$B,$B1237,$A:$A,"&gt;="&amp;COUNTIFS($K$1:L$1,"&lt;&gt;"))),0)</f>
        <v>0</v>
      </c>
      <c r="M1237">
        <f>IFERROR($J1237/IF($A1237&lt;COUNTIFS($K$1:M$1,"&lt;&gt;"),0,SUMIFS($J:$J,$B:$B,$B1237,$A:$A,"&gt;="&amp;COUNTIFS($K$1:M$1,"&lt;&gt;"))),0)</f>
        <v>0</v>
      </c>
      <c r="N1237">
        <f>IFERROR($J1237/IF($A1237&lt;COUNTIFS($K$1:N$1,"&lt;&gt;"),0,SUMIFS($J:$J,$B:$B,$B1237,$A:$A,"&gt;="&amp;COUNTIFS($K$1:N$1,"&lt;&gt;"))),0)</f>
        <v>0</v>
      </c>
      <c r="O1237">
        <f>IFERROR($J1237/IF($A1237&lt;COUNTIFS($K$1:O$1,"&lt;&gt;"),0,SUMIFS($J:$J,$B:$B,$B1237,$A:$A,"&gt;="&amp;COUNTIFS($K$1:O$1,"&lt;&gt;"))),0)</f>
        <v>0</v>
      </c>
      <c r="P1237">
        <f>IFERROR($J1237/IF($A1237&lt;COUNTIFS($K$1:P$1,"&lt;&gt;"),0,SUMIFS($J:$J,$B:$B,$B1237,$A:$A,"&gt;="&amp;COUNTIFS($K$1:P$1,"&lt;&gt;"))),0)</f>
        <v>0</v>
      </c>
      <c r="Q1237">
        <f>IFERROR($J1237/IF($A1237&lt;COUNTIFS($K$1:Q$1,"&lt;&gt;"),0,SUMIFS($J:$J,$B:$B,$B1237,$A:$A,"&gt;="&amp;COUNTIFS($K$1:Q$1,"&lt;&gt;"))),0)</f>
        <v>0</v>
      </c>
      <c r="R1237">
        <f>IFERROR($J1237/IF($A1237&lt;COUNTIFS($K$1:R$1,"&lt;&gt;"),0,SUMIFS($J:$J,$B:$B,$B1237,$A:$A,"&gt;="&amp;COUNTIFS($K$1:R$1,"&lt;&gt;"))),0)</f>
        <v>0</v>
      </c>
      <c r="S1237">
        <f>IFERROR($J1237/IF($A1237&lt;COUNTIFS($K$1:S$1,"&lt;&gt;"),0,SUMIFS($J:$J,$B:$B,$B1237,$A:$A,"&gt;="&amp;COUNTIFS($K$1:S$1,"&lt;&gt;"))),0)</f>
        <v>0</v>
      </c>
      <c r="T1237">
        <f>IFERROR($J1237/IF($A1237&lt;COUNTIFS($K$1:T$1,"&lt;&gt;"),0,SUMIFS($J:$J,$B:$B,$B1237,$A:$A,"&gt;="&amp;COUNTIFS($K$1:T$1,"&lt;&gt;"))),0)</f>
        <v>0</v>
      </c>
      <c r="U1237">
        <f>IFERROR($J1237/IF($A1237&lt;COUNTIFS($K$1:U$1,"&lt;&gt;"),0,SUMIFS($J:$J,$B:$B,$B1237,$A:$A,"&gt;="&amp;COUNTIFS($K$1:U$1,"&lt;&gt;"))),0)</f>
        <v>0</v>
      </c>
      <c r="V1237">
        <f>IFERROR($J1237/IF($A1237&lt;COUNTIFS($K$1:V$1,"&lt;&gt;"),0,SUMIFS($J:$J,$B:$B,$B1237,$A:$A,"&gt;="&amp;COUNTIFS($K$1:V$1,"&lt;&gt;"))),0)</f>
        <v>0</v>
      </c>
      <c r="W1237">
        <f t="shared" si="442"/>
        <v>4.6448087431693992E-2</v>
      </c>
      <c r="X1237">
        <f t="shared" si="422"/>
        <v>0</v>
      </c>
      <c r="Y1237">
        <f t="shared" si="423"/>
        <v>0</v>
      </c>
      <c r="Z1237">
        <f t="shared" si="424"/>
        <v>0</v>
      </c>
      <c r="AA1237">
        <f t="shared" si="425"/>
        <v>0</v>
      </c>
      <c r="AB1237">
        <f t="shared" si="426"/>
        <v>0</v>
      </c>
      <c r="AC1237">
        <f t="shared" si="427"/>
        <v>0</v>
      </c>
      <c r="AD1237">
        <f t="shared" si="428"/>
        <v>0</v>
      </c>
      <c r="AE1237">
        <f t="shared" si="429"/>
        <v>0</v>
      </c>
      <c r="AF1237">
        <f t="shared" si="430"/>
        <v>0</v>
      </c>
      <c r="AG1237">
        <f t="shared" si="431"/>
        <v>0</v>
      </c>
      <c r="AH1237">
        <f t="shared" si="432"/>
        <v>0</v>
      </c>
      <c r="AI1237">
        <f t="shared" si="433"/>
        <v>0</v>
      </c>
      <c r="AJ1237" s="2" t="str">
        <f t="shared" si="443"/>
        <v>046722</v>
      </c>
    </row>
    <row r="1238" spans="1:36" x14ac:dyDescent="0.25">
      <c r="A1238">
        <v>1</v>
      </c>
      <c r="B1238" s="1">
        <v>46722</v>
      </c>
      <c r="C1238" s="1">
        <f t="shared" si="434"/>
        <v>46753</v>
      </c>
      <c r="D1238" s="1">
        <f t="shared" si="435"/>
        <v>46736</v>
      </c>
      <c r="E1238" s="1">
        <f t="shared" si="436"/>
        <v>46753</v>
      </c>
      <c r="F1238" s="1">
        <f t="shared" si="437"/>
        <v>46784</v>
      </c>
      <c r="G1238" s="1">
        <f t="shared" si="438"/>
        <v>47102</v>
      </c>
      <c r="H1238">
        <f t="shared" si="439"/>
        <v>366</v>
      </c>
      <c r="I1238">
        <f t="shared" si="440"/>
        <v>31</v>
      </c>
      <c r="J1238">
        <f t="shared" si="441"/>
        <v>8.4699453551912565E-2</v>
      </c>
      <c r="K1238">
        <f>IFERROR($J1238/IF($A1238&lt;COUNTIFS($K$1:K$1,"&lt;&gt;"),0,SUMIFS($J:$J,$B:$B,$B1238,$A:$A,"&gt;="&amp;COUNTIFS($K$1:K$1,"&lt;&gt;"))),0)</f>
        <v>8.882521489971347E-2</v>
      </c>
      <c r="L1238">
        <f>IFERROR($J1238/IF($A1238&lt;COUNTIFS($K$1:L$1,"&lt;&gt;"),0,SUMIFS($J:$J,$B:$B,$B1238,$A:$A,"&gt;="&amp;COUNTIFS($K$1:L$1,"&lt;&gt;"))),0)</f>
        <v>0</v>
      </c>
      <c r="M1238">
        <f>IFERROR($J1238/IF($A1238&lt;COUNTIFS($K$1:M$1,"&lt;&gt;"),0,SUMIFS($J:$J,$B:$B,$B1238,$A:$A,"&gt;="&amp;COUNTIFS($K$1:M$1,"&lt;&gt;"))),0)</f>
        <v>0</v>
      </c>
      <c r="N1238">
        <f>IFERROR($J1238/IF($A1238&lt;COUNTIFS($K$1:N$1,"&lt;&gt;"),0,SUMIFS($J:$J,$B:$B,$B1238,$A:$A,"&gt;="&amp;COUNTIFS($K$1:N$1,"&lt;&gt;"))),0)</f>
        <v>0</v>
      </c>
      <c r="O1238">
        <f>IFERROR($J1238/IF($A1238&lt;COUNTIFS($K$1:O$1,"&lt;&gt;"),0,SUMIFS($J:$J,$B:$B,$B1238,$A:$A,"&gt;="&amp;COUNTIFS($K$1:O$1,"&lt;&gt;"))),0)</f>
        <v>0</v>
      </c>
      <c r="P1238">
        <f>IFERROR($J1238/IF($A1238&lt;COUNTIFS($K$1:P$1,"&lt;&gt;"),0,SUMIFS($J:$J,$B:$B,$B1238,$A:$A,"&gt;="&amp;COUNTIFS($K$1:P$1,"&lt;&gt;"))),0)</f>
        <v>0</v>
      </c>
      <c r="Q1238">
        <f>IFERROR($J1238/IF($A1238&lt;COUNTIFS($K$1:Q$1,"&lt;&gt;"),0,SUMIFS($J:$J,$B:$B,$B1238,$A:$A,"&gt;="&amp;COUNTIFS($K$1:Q$1,"&lt;&gt;"))),0)</f>
        <v>0</v>
      </c>
      <c r="R1238">
        <f>IFERROR($J1238/IF($A1238&lt;COUNTIFS($K$1:R$1,"&lt;&gt;"),0,SUMIFS($J:$J,$B:$B,$B1238,$A:$A,"&gt;="&amp;COUNTIFS($K$1:R$1,"&lt;&gt;"))),0)</f>
        <v>0</v>
      </c>
      <c r="S1238">
        <f>IFERROR($J1238/IF($A1238&lt;COUNTIFS($K$1:S$1,"&lt;&gt;"),0,SUMIFS($J:$J,$B:$B,$B1238,$A:$A,"&gt;="&amp;COUNTIFS($K$1:S$1,"&lt;&gt;"))),0)</f>
        <v>0</v>
      </c>
      <c r="T1238">
        <f>IFERROR($J1238/IF($A1238&lt;COUNTIFS($K$1:T$1,"&lt;&gt;"),0,SUMIFS($J:$J,$B:$B,$B1238,$A:$A,"&gt;="&amp;COUNTIFS($K$1:T$1,"&lt;&gt;"))),0)</f>
        <v>0</v>
      </c>
      <c r="U1238">
        <f>IFERROR($J1238/IF($A1238&lt;COUNTIFS($K$1:U$1,"&lt;&gt;"),0,SUMIFS($J:$J,$B:$B,$B1238,$A:$A,"&gt;="&amp;COUNTIFS($K$1:U$1,"&lt;&gt;"))),0)</f>
        <v>0</v>
      </c>
      <c r="V1238">
        <f>IFERROR($J1238/IF($A1238&lt;COUNTIFS($K$1:V$1,"&lt;&gt;"),0,SUMIFS($J:$J,$B:$B,$B1238,$A:$A,"&gt;="&amp;COUNTIFS($K$1:V$1,"&lt;&gt;"))),0)</f>
        <v>0</v>
      </c>
      <c r="W1238">
        <f t="shared" si="442"/>
        <v>8.4699453551912565E-2</v>
      </c>
      <c r="X1238">
        <f t="shared" si="422"/>
        <v>8.4699453551912565E-2</v>
      </c>
      <c r="Y1238">
        <f t="shared" si="423"/>
        <v>0</v>
      </c>
      <c r="Z1238">
        <f t="shared" si="424"/>
        <v>0</v>
      </c>
      <c r="AA1238">
        <f t="shared" si="425"/>
        <v>0</v>
      </c>
      <c r="AB1238">
        <f t="shared" si="426"/>
        <v>0</v>
      </c>
      <c r="AC1238">
        <f t="shared" si="427"/>
        <v>0</v>
      </c>
      <c r="AD1238">
        <f t="shared" si="428"/>
        <v>0</v>
      </c>
      <c r="AE1238">
        <f t="shared" si="429"/>
        <v>0</v>
      </c>
      <c r="AF1238">
        <f t="shared" si="430"/>
        <v>0</v>
      </c>
      <c r="AG1238">
        <f t="shared" si="431"/>
        <v>0</v>
      </c>
      <c r="AH1238">
        <f t="shared" si="432"/>
        <v>0</v>
      </c>
      <c r="AI1238">
        <f t="shared" si="433"/>
        <v>0</v>
      </c>
      <c r="AJ1238" s="2" t="str">
        <f t="shared" si="443"/>
        <v>146722</v>
      </c>
    </row>
    <row r="1239" spans="1:36" x14ac:dyDescent="0.25">
      <c r="A1239">
        <v>2</v>
      </c>
      <c r="B1239" s="1">
        <v>46722</v>
      </c>
      <c r="C1239" s="1">
        <f t="shared" si="434"/>
        <v>46784</v>
      </c>
      <c r="D1239" s="1">
        <f t="shared" si="435"/>
        <v>46736</v>
      </c>
      <c r="E1239" s="1">
        <f t="shared" si="436"/>
        <v>46784</v>
      </c>
      <c r="F1239" s="1">
        <f t="shared" si="437"/>
        <v>46813</v>
      </c>
      <c r="G1239" s="1">
        <f t="shared" si="438"/>
        <v>47102</v>
      </c>
      <c r="H1239">
        <f t="shared" si="439"/>
        <v>366</v>
      </c>
      <c r="I1239">
        <f t="shared" si="440"/>
        <v>29</v>
      </c>
      <c r="J1239">
        <f t="shared" si="441"/>
        <v>7.9234972677595633E-2</v>
      </c>
      <c r="K1239">
        <f>IFERROR($J1239/IF($A1239&lt;COUNTIFS($K$1:K$1,"&lt;&gt;"),0,SUMIFS($J:$J,$B:$B,$B1239,$A:$A,"&gt;="&amp;COUNTIFS($K$1:K$1,"&lt;&gt;"))),0)</f>
        <v>8.3094555873925516E-2</v>
      </c>
      <c r="L1239">
        <f>IFERROR($J1239/IF($A1239&lt;COUNTIFS($K$1:L$1,"&lt;&gt;"),0,SUMIFS($J:$J,$B:$B,$B1239,$A:$A,"&gt;="&amp;COUNTIFS($K$1:L$1,"&lt;&gt;"))),0)</f>
        <v>9.1194968553459127E-2</v>
      </c>
      <c r="M1239">
        <f>IFERROR($J1239/IF($A1239&lt;COUNTIFS($K$1:M$1,"&lt;&gt;"),0,SUMIFS($J:$J,$B:$B,$B1239,$A:$A,"&gt;="&amp;COUNTIFS($K$1:M$1,"&lt;&gt;"))),0)</f>
        <v>0</v>
      </c>
      <c r="N1239">
        <f>IFERROR($J1239/IF($A1239&lt;COUNTIFS($K$1:N$1,"&lt;&gt;"),0,SUMIFS($J:$J,$B:$B,$B1239,$A:$A,"&gt;="&amp;COUNTIFS($K$1:N$1,"&lt;&gt;"))),0)</f>
        <v>0</v>
      </c>
      <c r="O1239">
        <f>IFERROR($J1239/IF($A1239&lt;COUNTIFS($K$1:O$1,"&lt;&gt;"),0,SUMIFS($J:$J,$B:$B,$B1239,$A:$A,"&gt;="&amp;COUNTIFS($K$1:O$1,"&lt;&gt;"))),0)</f>
        <v>0</v>
      </c>
      <c r="P1239">
        <f>IFERROR($J1239/IF($A1239&lt;COUNTIFS($K$1:P$1,"&lt;&gt;"),0,SUMIFS($J:$J,$B:$B,$B1239,$A:$A,"&gt;="&amp;COUNTIFS($K$1:P$1,"&lt;&gt;"))),0)</f>
        <v>0</v>
      </c>
      <c r="Q1239">
        <f>IFERROR($J1239/IF($A1239&lt;COUNTIFS($K$1:Q$1,"&lt;&gt;"),0,SUMIFS($J:$J,$B:$B,$B1239,$A:$A,"&gt;="&amp;COUNTIFS($K$1:Q$1,"&lt;&gt;"))),0)</f>
        <v>0</v>
      </c>
      <c r="R1239">
        <f>IFERROR($J1239/IF($A1239&lt;COUNTIFS($K$1:R$1,"&lt;&gt;"),0,SUMIFS($J:$J,$B:$B,$B1239,$A:$A,"&gt;="&amp;COUNTIFS($K$1:R$1,"&lt;&gt;"))),0)</f>
        <v>0</v>
      </c>
      <c r="S1239">
        <f>IFERROR($J1239/IF($A1239&lt;COUNTIFS($K$1:S$1,"&lt;&gt;"),0,SUMIFS($J:$J,$B:$B,$B1239,$A:$A,"&gt;="&amp;COUNTIFS($K$1:S$1,"&lt;&gt;"))),0)</f>
        <v>0</v>
      </c>
      <c r="T1239">
        <f>IFERROR($J1239/IF($A1239&lt;COUNTIFS($K$1:T$1,"&lt;&gt;"),0,SUMIFS($J:$J,$B:$B,$B1239,$A:$A,"&gt;="&amp;COUNTIFS($K$1:T$1,"&lt;&gt;"))),0)</f>
        <v>0</v>
      </c>
      <c r="U1239">
        <f>IFERROR($J1239/IF($A1239&lt;COUNTIFS($K$1:U$1,"&lt;&gt;"),0,SUMIFS($J:$J,$B:$B,$B1239,$A:$A,"&gt;="&amp;COUNTIFS($K$1:U$1,"&lt;&gt;"))),0)</f>
        <v>0</v>
      </c>
      <c r="V1239">
        <f>IFERROR($J1239/IF($A1239&lt;COUNTIFS($K$1:V$1,"&lt;&gt;"),0,SUMIFS($J:$J,$B:$B,$B1239,$A:$A,"&gt;="&amp;COUNTIFS($K$1:V$1,"&lt;&gt;"))),0)</f>
        <v>0</v>
      </c>
      <c r="W1239">
        <f t="shared" si="442"/>
        <v>7.9234972677595633E-2</v>
      </c>
      <c r="X1239">
        <f t="shared" si="422"/>
        <v>7.9234972677595633E-2</v>
      </c>
      <c r="Y1239">
        <f t="shared" si="423"/>
        <v>7.9234972677595633E-2</v>
      </c>
      <c r="Z1239">
        <f t="shared" si="424"/>
        <v>0</v>
      </c>
      <c r="AA1239">
        <f t="shared" si="425"/>
        <v>0</v>
      </c>
      <c r="AB1239">
        <f t="shared" si="426"/>
        <v>0</v>
      </c>
      <c r="AC1239">
        <f t="shared" si="427"/>
        <v>0</v>
      </c>
      <c r="AD1239">
        <f t="shared" si="428"/>
        <v>0</v>
      </c>
      <c r="AE1239">
        <f t="shared" si="429"/>
        <v>0</v>
      </c>
      <c r="AF1239">
        <f t="shared" si="430"/>
        <v>0</v>
      </c>
      <c r="AG1239">
        <f t="shared" si="431"/>
        <v>0</v>
      </c>
      <c r="AH1239">
        <f t="shared" si="432"/>
        <v>0</v>
      </c>
      <c r="AI1239">
        <f t="shared" si="433"/>
        <v>0</v>
      </c>
      <c r="AJ1239" s="2" t="str">
        <f t="shared" si="443"/>
        <v>246722</v>
      </c>
    </row>
    <row r="1240" spans="1:36" x14ac:dyDescent="0.25">
      <c r="A1240">
        <v>3</v>
      </c>
      <c r="B1240" s="1">
        <v>46722</v>
      </c>
      <c r="C1240" s="1">
        <f t="shared" si="434"/>
        <v>46813</v>
      </c>
      <c r="D1240" s="1">
        <f t="shared" si="435"/>
        <v>46736</v>
      </c>
      <c r="E1240" s="1">
        <f t="shared" si="436"/>
        <v>46813</v>
      </c>
      <c r="F1240" s="1">
        <f t="shared" si="437"/>
        <v>46844</v>
      </c>
      <c r="G1240" s="1">
        <f t="shared" si="438"/>
        <v>47102</v>
      </c>
      <c r="H1240">
        <f t="shared" si="439"/>
        <v>366</v>
      </c>
      <c r="I1240">
        <f t="shared" si="440"/>
        <v>31</v>
      </c>
      <c r="J1240">
        <f t="shared" si="441"/>
        <v>8.4699453551912565E-2</v>
      </c>
      <c r="K1240">
        <f>IFERROR($J1240/IF($A1240&lt;COUNTIFS($K$1:K$1,"&lt;&gt;"),0,SUMIFS($J:$J,$B:$B,$B1240,$A:$A,"&gt;="&amp;COUNTIFS($K$1:K$1,"&lt;&gt;"))),0)</f>
        <v>8.882521489971347E-2</v>
      </c>
      <c r="L1240">
        <f>IFERROR($J1240/IF($A1240&lt;COUNTIFS($K$1:L$1,"&lt;&gt;"),0,SUMIFS($J:$J,$B:$B,$B1240,$A:$A,"&gt;="&amp;COUNTIFS($K$1:L$1,"&lt;&gt;"))),0)</f>
        <v>9.7484276729559755E-2</v>
      </c>
      <c r="M1240">
        <f>IFERROR($J1240/IF($A1240&lt;COUNTIFS($K$1:M$1,"&lt;&gt;"),0,SUMIFS($J:$J,$B:$B,$B1240,$A:$A,"&gt;="&amp;COUNTIFS($K$1:M$1,"&lt;&gt;"))),0)</f>
        <v>0.10726643598615916</v>
      </c>
      <c r="N1240">
        <f>IFERROR($J1240/IF($A1240&lt;COUNTIFS($K$1:N$1,"&lt;&gt;"),0,SUMIFS($J:$J,$B:$B,$B1240,$A:$A,"&gt;="&amp;COUNTIFS($K$1:N$1,"&lt;&gt;"))),0)</f>
        <v>0</v>
      </c>
      <c r="O1240">
        <f>IFERROR($J1240/IF($A1240&lt;COUNTIFS($K$1:O$1,"&lt;&gt;"),0,SUMIFS($J:$J,$B:$B,$B1240,$A:$A,"&gt;="&amp;COUNTIFS($K$1:O$1,"&lt;&gt;"))),0)</f>
        <v>0</v>
      </c>
      <c r="P1240">
        <f>IFERROR($J1240/IF($A1240&lt;COUNTIFS($K$1:P$1,"&lt;&gt;"),0,SUMIFS($J:$J,$B:$B,$B1240,$A:$A,"&gt;="&amp;COUNTIFS($K$1:P$1,"&lt;&gt;"))),0)</f>
        <v>0</v>
      </c>
      <c r="Q1240">
        <f>IFERROR($J1240/IF($A1240&lt;COUNTIFS($K$1:Q$1,"&lt;&gt;"),0,SUMIFS($J:$J,$B:$B,$B1240,$A:$A,"&gt;="&amp;COUNTIFS($K$1:Q$1,"&lt;&gt;"))),0)</f>
        <v>0</v>
      </c>
      <c r="R1240">
        <f>IFERROR($J1240/IF($A1240&lt;COUNTIFS($K$1:R$1,"&lt;&gt;"),0,SUMIFS($J:$J,$B:$B,$B1240,$A:$A,"&gt;="&amp;COUNTIFS($K$1:R$1,"&lt;&gt;"))),0)</f>
        <v>0</v>
      </c>
      <c r="S1240">
        <f>IFERROR($J1240/IF($A1240&lt;COUNTIFS($K$1:S$1,"&lt;&gt;"),0,SUMIFS($J:$J,$B:$B,$B1240,$A:$A,"&gt;="&amp;COUNTIFS($K$1:S$1,"&lt;&gt;"))),0)</f>
        <v>0</v>
      </c>
      <c r="T1240">
        <f>IFERROR($J1240/IF($A1240&lt;COUNTIFS($K$1:T$1,"&lt;&gt;"),0,SUMIFS($J:$J,$B:$B,$B1240,$A:$A,"&gt;="&amp;COUNTIFS($K$1:T$1,"&lt;&gt;"))),0)</f>
        <v>0</v>
      </c>
      <c r="U1240">
        <f>IFERROR($J1240/IF($A1240&lt;COUNTIFS($K$1:U$1,"&lt;&gt;"),0,SUMIFS($J:$J,$B:$B,$B1240,$A:$A,"&gt;="&amp;COUNTIFS($K$1:U$1,"&lt;&gt;"))),0)</f>
        <v>0</v>
      </c>
      <c r="V1240">
        <f>IFERROR($J1240/IF($A1240&lt;COUNTIFS($K$1:V$1,"&lt;&gt;"),0,SUMIFS($J:$J,$B:$B,$B1240,$A:$A,"&gt;="&amp;COUNTIFS($K$1:V$1,"&lt;&gt;"))),0)</f>
        <v>0</v>
      </c>
      <c r="W1240">
        <f t="shared" si="442"/>
        <v>8.4699453551912565E-2</v>
      </c>
      <c r="X1240">
        <f t="shared" si="422"/>
        <v>8.4699453551912565E-2</v>
      </c>
      <c r="Y1240">
        <f t="shared" si="423"/>
        <v>8.4699453551912565E-2</v>
      </c>
      <c r="Z1240">
        <f t="shared" si="424"/>
        <v>8.4699453551912565E-2</v>
      </c>
      <c r="AA1240">
        <f t="shared" si="425"/>
        <v>0</v>
      </c>
      <c r="AB1240">
        <f t="shared" si="426"/>
        <v>0</v>
      </c>
      <c r="AC1240">
        <f t="shared" si="427"/>
        <v>0</v>
      </c>
      <c r="AD1240">
        <f t="shared" si="428"/>
        <v>0</v>
      </c>
      <c r="AE1240">
        <f t="shared" si="429"/>
        <v>0</v>
      </c>
      <c r="AF1240">
        <f t="shared" si="430"/>
        <v>0</v>
      </c>
      <c r="AG1240">
        <f t="shared" si="431"/>
        <v>0</v>
      </c>
      <c r="AH1240">
        <f t="shared" si="432"/>
        <v>0</v>
      </c>
      <c r="AI1240">
        <f t="shared" si="433"/>
        <v>0</v>
      </c>
      <c r="AJ1240" s="2" t="str">
        <f t="shared" si="443"/>
        <v>346722</v>
      </c>
    </row>
    <row r="1241" spans="1:36" x14ac:dyDescent="0.25">
      <c r="A1241">
        <v>4</v>
      </c>
      <c r="B1241" s="1">
        <v>46722</v>
      </c>
      <c r="C1241" s="1">
        <f t="shared" si="434"/>
        <v>46844</v>
      </c>
      <c r="D1241" s="1">
        <f t="shared" si="435"/>
        <v>46736</v>
      </c>
      <c r="E1241" s="1">
        <f t="shared" si="436"/>
        <v>46844</v>
      </c>
      <c r="F1241" s="1">
        <f t="shared" si="437"/>
        <v>46874</v>
      </c>
      <c r="G1241" s="1">
        <f t="shared" si="438"/>
        <v>47102</v>
      </c>
      <c r="H1241">
        <f t="shared" si="439"/>
        <v>366</v>
      </c>
      <c r="I1241">
        <f t="shared" si="440"/>
        <v>30</v>
      </c>
      <c r="J1241">
        <f t="shared" si="441"/>
        <v>8.1967213114754092E-2</v>
      </c>
      <c r="K1241">
        <f>IFERROR($J1241/IF($A1241&lt;COUNTIFS($K$1:K$1,"&lt;&gt;"),0,SUMIFS($J:$J,$B:$B,$B1241,$A:$A,"&gt;="&amp;COUNTIFS($K$1:K$1,"&lt;&gt;"))),0)</f>
        <v>8.5959885386819479E-2</v>
      </c>
      <c r="L1241">
        <f>IFERROR($J1241/IF($A1241&lt;COUNTIFS($K$1:L$1,"&lt;&gt;"),0,SUMIFS($J:$J,$B:$B,$B1241,$A:$A,"&gt;="&amp;COUNTIFS($K$1:L$1,"&lt;&gt;"))),0)</f>
        <v>9.4339622641509427E-2</v>
      </c>
      <c r="M1241">
        <f>IFERROR($J1241/IF($A1241&lt;COUNTIFS($K$1:M$1,"&lt;&gt;"),0,SUMIFS($J:$J,$B:$B,$B1241,$A:$A,"&gt;="&amp;COUNTIFS($K$1:M$1,"&lt;&gt;"))),0)</f>
        <v>0.10380622837370242</v>
      </c>
      <c r="N1241">
        <f>IFERROR($J1241/IF($A1241&lt;COUNTIFS($K$1:N$1,"&lt;&gt;"),0,SUMIFS($J:$J,$B:$B,$B1241,$A:$A,"&gt;="&amp;COUNTIFS($K$1:N$1,"&lt;&gt;"))),0)</f>
        <v>0.11627906976744184</v>
      </c>
      <c r="O1241">
        <f>IFERROR($J1241/IF($A1241&lt;COUNTIFS($K$1:O$1,"&lt;&gt;"),0,SUMIFS($J:$J,$B:$B,$B1241,$A:$A,"&gt;="&amp;COUNTIFS($K$1:O$1,"&lt;&gt;"))),0)</f>
        <v>0</v>
      </c>
      <c r="P1241">
        <f>IFERROR($J1241/IF($A1241&lt;COUNTIFS($K$1:P$1,"&lt;&gt;"),0,SUMIFS($J:$J,$B:$B,$B1241,$A:$A,"&gt;="&amp;COUNTIFS($K$1:P$1,"&lt;&gt;"))),0)</f>
        <v>0</v>
      </c>
      <c r="Q1241">
        <f>IFERROR($J1241/IF($A1241&lt;COUNTIFS($K$1:Q$1,"&lt;&gt;"),0,SUMIFS($J:$J,$B:$B,$B1241,$A:$A,"&gt;="&amp;COUNTIFS($K$1:Q$1,"&lt;&gt;"))),0)</f>
        <v>0</v>
      </c>
      <c r="R1241">
        <f>IFERROR($J1241/IF($A1241&lt;COUNTIFS($K$1:R$1,"&lt;&gt;"),0,SUMIFS($J:$J,$B:$B,$B1241,$A:$A,"&gt;="&amp;COUNTIFS($K$1:R$1,"&lt;&gt;"))),0)</f>
        <v>0</v>
      </c>
      <c r="S1241">
        <f>IFERROR($J1241/IF($A1241&lt;COUNTIFS($K$1:S$1,"&lt;&gt;"),0,SUMIFS($J:$J,$B:$B,$B1241,$A:$A,"&gt;="&amp;COUNTIFS($K$1:S$1,"&lt;&gt;"))),0)</f>
        <v>0</v>
      </c>
      <c r="T1241">
        <f>IFERROR($J1241/IF($A1241&lt;COUNTIFS($K$1:T$1,"&lt;&gt;"),0,SUMIFS($J:$J,$B:$B,$B1241,$A:$A,"&gt;="&amp;COUNTIFS($K$1:T$1,"&lt;&gt;"))),0)</f>
        <v>0</v>
      </c>
      <c r="U1241">
        <f>IFERROR($J1241/IF($A1241&lt;COUNTIFS($K$1:U$1,"&lt;&gt;"),0,SUMIFS($J:$J,$B:$B,$B1241,$A:$A,"&gt;="&amp;COUNTIFS($K$1:U$1,"&lt;&gt;"))),0)</f>
        <v>0</v>
      </c>
      <c r="V1241">
        <f>IFERROR($J1241/IF($A1241&lt;COUNTIFS($K$1:V$1,"&lt;&gt;"),0,SUMIFS($J:$J,$B:$B,$B1241,$A:$A,"&gt;="&amp;COUNTIFS($K$1:V$1,"&lt;&gt;"))),0)</f>
        <v>0</v>
      </c>
      <c r="W1241">
        <f t="shared" si="442"/>
        <v>8.1967213114754092E-2</v>
      </c>
      <c r="X1241">
        <f t="shared" si="422"/>
        <v>8.1967213114754092E-2</v>
      </c>
      <c r="Y1241">
        <f t="shared" si="423"/>
        <v>8.1967213114754092E-2</v>
      </c>
      <c r="Z1241">
        <f t="shared" si="424"/>
        <v>8.1967213114754092E-2</v>
      </c>
      <c r="AA1241">
        <f t="shared" si="425"/>
        <v>8.1967213114754092E-2</v>
      </c>
      <c r="AB1241">
        <f t="shared" si="426"/>
        <v>0</v>
      </c>
      <c r="AC1241">
        <f t="shared" si="427"/>
        <v>0</v>
      </c>
      <c r="AD1241">
        <f t="shared" si="428"/>
        <v>0</v>
      </c>
      <c r="AE1241">
        <f t="shared" si="429"/>
        <v>0</v>
      </c>
      <c r="AF1241">
        <f t="shared" si="430"/>
        <v>0</v>
      </c>
      <c r="AG1241">
        <f t="shared" si="431"/>
        <v>0</v>
      </c>
      <c r="AH1241">
        <f t="shared" si="432"/>
        <v>0</v>
      </c>
      <c r="AI1241">
        <f t="shared" si="433"/>
        <v>0</v>
      </c>
      <c r="AJ1241" s="2" t="str">
        <f t="shared" si="443"/>
        <v>446722</v>
      </c>
    </row>
    <row r="1242" spans="1:36" x14ac:dyDescent="0.25">
      <c r="A1242">
        <v>5</v>
      </c>
      <c r="B1242" s="1">
        <v>46722</v>
      </c>
      <c r="C1242" s="1">
        <f t="shared" si="434"/>
        <v>46874</v>
      </c>
      <c r="D1242" s="1">
        <f t="shared" si="435"/>
        <v>46736</v>
      </c>
      <c r="E1242" s="1">
        <f t="shared" si="436"/>
        <v>46874</v>
      </c>
      <c r="F1242" s="1">
        <f t="shared" si="437"/>
        <v>46905</v>
      </c>
      <c r="G1242" s="1">
        <f t="shared" si="438"/>
        <v>47102</v>
      </c>
      <c r="H1242">
        <f t="shared" si="439"/>
        <v>366</v>
      </c>
      <c r="I1242">
        <f t="shared" si="440"/>
        <v>31</v>
      </c>
      <c r="J1242">
        <f t="shared" si="441"/>
        <v>8.4699453551912565E-2</v>
      </c>
      <c r="K1242">
        <f>IFERROR($J1242/IF($A1242&lt;COUNTIFS($K$1:K$1,"&lt;&gt;"),0,SUMIFS($J:$J,$B:$B,$B1242,$A:$A,"&gt;="&amp;COUNTIFS($K$1:K$1,"&lt;&gt;"))),0)</f>
        <v>8.882521489971347E-2</v>
      </c>
      <c r="L1242">
        <f>IFERROR($J1242/IF($A1242&lt;COUNTIFS($K$1:L$1,"&lt;&gt;"),0,SUMIFS($J:$J,$B:$B,$B1242,$A:$A,"&gt;="&amp;COUNTIFS($K$1:L$1,"&lt;&gt;"))),0)</f>
        <v>9.7484276729559755E-2</v>
      </c>
      <c r="M1242">
        <f>IFERROR($J1242/IF($A1242&lt;COUNTIFS($K$1:M$1,"&lt;&gt;"),0,SUMIFS($J:$J,$B:$B,$B1242,$A:$A,"&gt;="&amp;COUNTIFS($K$1:M$1,"&lt;&gt;"))),0)</f>
        <v>0.10726643598615916</v>
      </c>
      <c r="N1242">
        <f>IFERROR($J1242/IF($A1242&lt;COUNTIFS($K$1:N$1,"&lt;&gt;"),0,SUMIFS($J:$J,$B:$B,$B1242,$A:$A,"&gt;="&amp;COUNTIFS($K$1:N$1,"&lt;&gt;"))),0)</f>
        <v>0.12015503875968991</v>
      </c>
      <c r="O1242">
        <f>IFERROR($J1242/IF($A1242&lt;COUNTIFS($K$1:O$1,"&lt;&gt;"),0,SUMIFS($J:$J,$B:$B,$B1242,$A:$A,"&gt;="&amp;COUNTIFS($K$1:O$1,"&lt;&gt;"))),0)</f>
        <v>0.13596491228070173</v>
      </c>
      <c r="P1242">
        <f>IFERROR($J1242/IF($A1242&lt;COUNTIFS($K$1:P$1,"&lt;&gt;"),0,SUMIFS($J:$J,$B:$B,$B1242,$A:$A,"&gt;="&amp;COUNTIFS($K$1:P$1,"&lt;&gt;"))),0)</f>
        <v>0</v>
      </c>
      <c r="Q1242">
        <f>IFERROR($J1242/IF($A1242&lt;COUNTIFS($K$1:Q$1,"&lt;&gt;"),0,SUMIFS($J:$J,$B:$B,$B1242,$A:$A,"&gt;="&amp;COUNTIFS($K$1:Q$1,"&lt;&gt;"))),0)</f>
        <v>0</v>
      </c>
      <c r="R1242">
        <f>IFERROR($J1242/IF($A1242&lt;COUNTIFS($K$1:R$1,"&lt;&gt;"),0,SUMIFS($J:$J,$B:$B,$B1242,$A:$A,"&gt;="&amp;COUNTIFS($K$1:R$1,"&lt;&gt;"))),0)</f>
        <v>0</v>
      </c>
      <c r="S1242">
        <f>IFERROR($J1242/IF($A1242&lt;COUNTIFS($K$1:S$1,"&lt;&gt;"),0,SUMIFS($J:$J,$B:$B,$B1242,$A:$A,"&gt;="&amp;COUNTIFS($K$1:S$1,"&lt;&gt;"))),0)</f>
        <v>0</v>
      </c>
      <c r="T1242">
        <f>IFERROR($J1242/IF($A1242&lt;COUNTIFS($K$1:T$1,"&lt;&gt;"),0,SUMIFS($J:$J,$B:$B,$B1242,$A:$A,"&gt;="&amp;COUNTIFS($K$1:T$1,"&lt;&gt;"))),0)</f>
        <v>0</v>
      </c>
      <c r="U1242">
        <f>IFERROR($J1242/IF($A1242&lt;COUNTIFS($K$1:U$1,"&lt;&gt;"),0,SUMIFS($J:$J,$B:$B,$B1242,$A:$A,"&gt;="&amp;COUNTIFS($K$1:U$1,"&lt;&gt;"))),0)</f>
        <v>0</v>
      </c>
      <c r="V1242">
        <f>IFERROR($J1242/IF($A1242&lt;COUNTIFS($K$1:V$1,"&lt;&gt;"),0,SUMIFS($J:$J,$B:$B,$B1242,$A:$A,"&gt;="&amp;COUNTIFS($K$1:V$1,"&lt;&gt;"))),0)</f>
        <v>0</v>
      </c>
      <c r="W1242">
        <f t="shared" si="442"/>
        <v>8.4699453551912565E-2</v>
      </c>
      <c r="X1242">
        <f t="shared" si="422"/>
        <v>8.4699453551912565E-2</v>
      </c>
      <c r="Y1242">
        <f t="shared" si="423"/>
        <v>8.4699453551912565E-2</v>
      </c>
      <c r="Z1242">
        <f t="shared" si="424"/>
        <v>8.4699453551912565E-2</v>
      </c>
      <c r="AA1242">
        <f t="shared" si="425"/>
        <v>8.4699453551912565E-2</v>
      </c>
      <c r="AB1242">
        <f t="shared" si="426"/>
        <v>8.4699453551912565E-2</v>
      </c>
      <c r="AC1242">
        <f t="shared" si="427"/>
        <v>0</v>
      </c>
      <c r="AD1242">
        <f t="shared" si="428"/>
        <v>0</v>
      </c>
      <c r="AE1242">
        <f t="shared" si="429"/>
        <v>0</v>
      </c>
      <c r="AF1242">
        <f t="shared" si="430"/>
        <v>0</v>
      </c>
      <c r="AG1242">
        <f t="shared" si="431"/>
        <v>0</v>
      </c>
      <c r="AH1242">
        <f t="shared" si="432"/>
        <v>0</v>
      </c>
      <c r="AI1242">
        <f t="shared" si="433"/>
        <v>0</v>
      </c>
      <c r="AJ1242" s="2" t="str">
        <f t="shared" si="443"/>
        <v>546722</v>
      </c>
    </row>
    <row r="1243" spans="1:36" x14ac:dyDescent="0.25">
      <c r="A1243">
        <v>6</v>
      </c>
      <c r="B1243" s="1">
        <v>46722</v>
      </c>
      <c r="C1243" s="1">
        <f t="shared" si="434"/>
        <v>46905</v>
      </c>
      <c r="D1243" s="1">
        <f t="shared" si="435"/>
        <v>46736</v>
      </c>
      <c r="E1243" s="1">
        <f t="shared" si="436"/>
        <v>46905</v>
      </c>
      <c r="F1243" s="1">
        <f t="shared" si="437"/>
        <v>46935</v>
      </c>
      <c r="G1243" s="1">
        <f t="shared" si="438"/>
        <v>47102</v>
      </c>
      <c r="H1243">
        <f t="shared" si="439"/>
        <v>366</v>
      </c>
      <c r="I1243">
        <f t="shared" si="440"/>
        <v>30</v>
      </c>
      <c r="J1243">
        <f t="shared" si="441"/>
        <v>8.1967213114754092E-2</v>
      </c>
      <c r="K1243">
        <f>IFERROR($J1243/IF($A1243&lt;COUNTIFS($K$1:K$1,"&lt;&gt;"),0,SUMIFS($J:$J,$B:$B,$B1243,$A:$A,"&gt;="&amp;COUNTIFS($K$1:K$1,"&lt;&gt;"))),0)</f>
        <v>8.5959885386819479E-2</v>
      </c>
      <c r="L1243">
        <f>IFERROR($J1243/IF($A1243&lt;COUNTIFS($K$1:L$1,"&lt;&gt;"),0,SUMIFS($J:$J,$B:$B,$B1243,$A:$A,"&gt;="&amp;COUNTIFS($K$1:L$1,"&lt;&gt;"))),0)</f>
        <v>9.4339622641509427E-2</v>
      </c>
      <c r="M1243">
        <f>IFERROR($J1243/IF($A1243&lt;COUNTIFS($K$1:M$1,"&lt;&gt;"),0,SUMIFS($J:$J,$B:$B,$B1243,$A:$A,"&gt;="&amp;COUNTIFS($K$1:M$1,"&lt;&gt;"))),0)</f>
        <v>0.10380622837370242</v>
      </c>
      <c r="N1243">
        <f>IFERROR($J1243/IF($A1243&lt;COUNTIFS($K$1:N$1,"&lt;&gt;"),0,SUMIFS($J:$J,$B:$B,$B1243,$A:$A,"&gt;="&amp;COUNTIFS($K$1:N$1,"&lt;&gt;"))),0)</f>
        <v>0.11627906976744184</v>
      </c>
      <c r="O1243">
        <f>IFERROR($J1243/IF($A1243&lt;COUNTIFS($K$1:O$1,"&lt;&gt;"),0,SUMIFS($J:$J,$B:$B,$B1243,$A:$A,"&gt;="&amp;COUNTIFS($K$1:O$1,"&lt;&gt;"))),0)</f>
        <v>0.13157894736842105</v>
      </c>
      <c r="P1243">
        <f>IFERROR($J1243/IF($A1243&lt;COUNTIFS($K$1:P$1,"&lt;&gt;"),0,SUMIFS($J:$J,$B:$B,$B1243,$A:$A,"&gt;="&amp;COUNTIFS($K$1:P$1,"&lt;&gt;"))),0)</f>
        <v>0.15228426395939088</v>
      </c>
      <c r="Q1243">
        <f>IFERROR($J1243/IF($A1243&lt;COUNTIFS($K$1:Q$1,"&lt;&gt;"),0,SUMIFS($J:$J,$B:$B,$B1243,$A:$A,"&gt;="&amp;COUNTIFS($K$1:Q$1,"&lt;&gt;"))),0)</f>
        <v>0</v>
      </c>
      <c r="R1243">
        <f>IFERROR($J1243/IF($A1243&lt;COUNTIFS($K$1:R$1,"&lt;&gt;"),0,SUMIFS($J:$J,$B:$B,$B1243,$A:$A,"&gt;="&amp;COUNTIFS($K$1:R$1,"&lt;&gt;"))),0)</f>
        <v>0</v>
      </c>
      <c r="S1243">
        <f>IFERROR($J1243/IF($A1243&lt;COUNTIFS($K$1:S$1,"&lt;&gt;"),0,SUMIFS($J:$J,$B:$B,$B1243,$A:$A,"&gt;="&amp;COUNTIFS($K$1:S$1,"&lt;&gt;"))),0)</f>
        <v>0</v>
      </c>
      <c r="T1243">
        <f>IFERROR($J1243/IF($A1243&lt;COUNTIFS($K$1:T$1,"&lt;&gt;"),0,SUMIFS($J:$J,$B:$B,$B1243,$A:$A,"&gt;="&amp;COUNTIFS($K$1:T$1,"&lt;&gt;"))),0)</f>
        <v>0</v>
      </c>
      <c r="U1243">
        <f>IFERROR($J1243/IF($A1243&lt;COUNTIFS($K$1:U$1,"&lt;&gt;"),0,SUMIFS($J:$J,$B:$B,$B1243,$A:$A,"&gt;="&amp;COUNTIFS($K$1:U$1,"&lt;&gt;"))),0)</f>
        <v>0</v>
      </c>
      <c r="V1243">
        <f>IFERROR($J1243/IF($A1243&lt;COUNTIFS($K$1:V$1,"&lt;&gt;"),0,SUMIFS($J:$J,$B:$B,$B1243,$A:$A,"&gt;="&amp;COUNTIFS($K$1:V$1,"&lt;&gt;"))),0)</f>
        <v>0</v>
      </c>
      <c r="W1243">
        <f t="shared" si="442"/>
        <v>8.1967213114754092E-2</v>
      </c>
      <c r="X1243">
        <f t="shared" si="422"/>
        <v>8.1967213114754092E-2</v>
      </c>
      <c r="Y1243">
        <f t="shared" si="423"/>
        <v>8.1967213114754092E-2</v>
      </c>
      <c r="Z1243">
        <f t="shared" si="424"/>
        <v>8.1967213114754092E-2</v>
      </c>
      <c r="AA1243">
        <f t="shared" si="425"/>
        <v>8.1967213114754092E-2</v>
      </c>
      <c r="AB1243">
        <f t="shared" si="426"/>
        <v>8.1967213114754092E-2</v>
      </c>
      <c r="AC1243">
        <f t="shared" si="427"/>
        <v>8.1967213114754092E-2</v>
      </c>
      <c r="AD1243">
        <f t="shared" si="428"/>
        <v>0</v>
      </c>
      <c r="AE1243">
        <f t="shared" si="429"/>
        <v>0</v>
      </c>
      <c r="AF1243">
        <f t="shared" si="430"/>
        <v>0</v>
      </c>
      <c r="AG1243">
        <f t="shared" si="431"/>
        <v>0</v>
      </c>
      <c r="AH1243">
        <f t="shared" si="432"/>
        <v>0</v>
      </c>
      <c r="AI1243">
        <f t="shared" si="433"/>
        <v>0</v>
      </c>
      <c r="AJ1243" s="2" t="str">
        <f t="shared" si="443"/>
        <v>646722</v>
      </c>
    </row>
    <row r="1244" spans="1:36" x14ac:dyDescent="0.25">
      <c r="A1244">
        <v>7</v>
      </c>
      <c r="B1244" s="1">
        <v>46722</v>
      </c>
      <c r="C1244" s="1">
        <f t="shared" si="434"/>
        <v>46935</v>
      </c>
      <c r="D1244" s="1">
        <f t="shared" si="435"/>
        <v>46736</v>
      </c>
      <c r="E1244" s="1">
        <f t="shared" si="436"/>
        <v>46935</v>
      </c>
      <c r="F1244" s="1">
        <f t="shared" si="437"/>
        <v>46966</v>
      </c>
      <c r="G1244" s="1">
        <f t="shared" si="438"/>
        <v>47102</v>
      </c>
      <c r="H1244">
        <f t="shared" si="439"/>
        <v>366</v>
      </c>
      <c r="I1244">
        <f t="shared" si="440"/>
        <v>31</v>
      </c>
      <c r="J1244">
        <f t="shared" si="441"/>
        <v>8.4699453551912565E-2</v>
      </c>
      <c r="K1244">
        <f>IFERROR($J1244/IF($A1244&lt;COUNTIFS($K$1:K$1,"&lt;&gt;"),0,SUMIFS($J:$J,$B:$B,$B1244,$A:$A,"&gt;="&amp;COUNTIFS($K$1:K$1,"&lt;&gt;"))),0)</f>
        <v>8.882521489971347E-2</v>
      </c>
      <c r="L1244">
        <f>IFERROR($J1244/IF($A1244&lt;COUNTIFS($K$1:L$1,"&lt;&gt;"),0,SUMIFS($J:$J,$B:$B,$B1244,$A:$A,"&gt;="&amp;COUNTIFS($K$1:L$1,"&lt;&gt;"))),0)</f>
        <v>9.7484276729559755E-2</v>
      </c>
      <c r="M1244">
        <f>IFERROR($J1244/IF($A1244&lt;COUNTIFS($K$1:M$1,"&lt;&gt;"),0,SUMIFS($J:$J,$B:$B,$B1244,$A:$A,"&gt;="&amp;COUNTIFS($K$1:M$1,"&lt;&gt;"))),0)</f>
        <v>0.10726643598615916</v>
      </c>
      <c r="N1244">
        <f>IFERROR($J1244/IF($A1244&lt;COUNTIFS($K$1:N$1,"&lt;&gt;"),0,SUMIFS($J:$J,$B:$B,$B1244,$A:$A,"&gt;="&amp;COUNTIFS($K$1:N$1,"&lt;&gt;"))),0)</f>
        <v>0.12015503875968991</v>
      </c>
      <c r="O1244">
        <f>IFERROR($J1244/IF($A1244&lt;COUNTIFS($K$1:O$1,"&lt;&gt;"),0,SUMIFS($J:$J,$B:$B,$B1244,$A:$A,"&gt;="&amp;COUNTIFS($K$1:O$1,"&lt;&gt;"))),0)</f>
        <v>0.13596491228070173</v>
      </c>
      <c r="P1244">
        <f>IFERROR($J1244/IF($A1244&lt;COUNTIFS($K$1:P$1,"&lt;&gt;"),0,SUMIFS($J:$J,$B:$B,$B1244,$A:$A,"&gt;="&amp;COUNTIFS($K$1:P$1,"&lt;&gt;"))),0)</f>
        <v>0.15736040609137059</v>
      </c>
      <c r="Q1244">
        <f>IFERROR($J1244/IF($A1244&lt;COUNTIFS($K$1:Q$1,"&lt;&gt;"),0,SUMIFS($J:$J,$B:$B,$B1244,$A:$A,"&gt;="&amp;COUNTIFS($K$1:Q$1,"&lt;&gt;"))),0)</f>
        <v>0.18562874251497008</v>
      </c>
      <c r="R1244">
        <f>IFERROR($J1244/IF($A1244&lt;COUNTIFS($K$1:R$1,"&lt;&gt;"),0,SUMIFS($J:$J,$B:$B,$B1244,$A:$A,"&gt;="&amp;COUNTIFS($K$1:R$1,"&lt;&gt;"))),0)</f>
        <v>0</v>
      </c>
      <c r="S1244">
        <f>IFERROR($J1244/IF($A1244&lt;COUNTIFS($K$1:S$1,"&lt;&gt;"),0,SUMIFS($J:$J,$B:$B,$B1244,$A:$A,"&gt;="&amp;COUNTIFS($K$1:S$1,"&lt;&gt;"))),0)</f>
        <v>0</v>
      </c>
      <c r="T1244">
        <f>IFERROR($J1244/IF($A1244&lt;COUNTIFS($K$1:T$1,"&lt;&gt;"),0,SUMIFS($J:$J,$B:$B,$B1244,$A:$A,"&gt;="&amp;COUNTIFS($K$1:T$1,"&lt;&gt;"))),0)</f>
        <v>0</v>
      </c>
      <c r="U1244">
        <f>IFERROR($J1244/IF($A1244&lt;COUNTIFS($K$1:U$1,"&lt;&gt;"),0,SUMIFS($J:$J,$B:$B,$B1244,$A:$A,"&gt;="&amp;COUNTIFS($K$1:U$1,"&lt;&gt;"))),0)</f>
        <v>0</v>
      </c>
      <c r="V1244">
        <f>IFERROR($J1244/IF($A1244&lt;COUNTIFS($K$1:V$1,"&lt;&gt;"),0,SUMIFS($J:$J,$B:$B,$B1244,$A:$A,"&gt;="&amp;COUNTIFS($K$1:V$1,"&lt;&gt;"))),0)</f>
        <v>0</v>
      </c>
      <c r="W1244">
        <f t="shared" si="442"/>
        <v>8.4699453551912565E-2</v>
      </c>
      <c r="X1244">
        <f t="shared" si="422"/>
        <v>8.4699453551912565E-2</v>
      </c>
      <c r="Y1244">
        <f t="shared" si="423"/>
        <v>8.4699453551912565E-2</v>
      </c>
      <c r="Z1244">
        <f t="shared" si="424"/>
        <v>8.4699453551912565E-2</v>
      </c>
      <c r="AA1244">
        <f t="shared" si="425"/>
        <v>8.4699453551912565E-2</v>
      </c>
      <c r="AB1244">
        <f t="shared" si="426"/>
        <v>8.4699453551912565E-2</v>
      </c>
      <c r="AC1244">
        <f t="shared" si="427"/>
        <v>8.4699453551912565E-2</v>
      </c>
      <c r="AD1244">
        <f t="shared" si="428"/>
        <v>8.4699453551912565E-2</v>
      </c>
      <c r="AE1244">
        <f t="shared" si="429"/>
        <v>0</v>
      </c>
      <c r="AF1244">
        <f t="shared" si="430"/>
        <v>0</v>
      </c>
      <c r="AG1244">
        <f t="shared" si="431"/>
        <v>0</v>
      </c>
      <c r="AH1244">
        <f t="shared" si="432"/>
        <v>0</v>
      </c>
      <c r="AI1244">
        <f t="shared" si="433"/>
        <v>0</v>
      </c>
      <c r="AJ1244" s="2" t="str">
        <f t="shared" si="443"/>
        <v>746722</v>
      </c>
    </row>
    <row r="1245" spans="1:36" x14ac:dyDescent="0.25">
      <c r="A1245">
        <v>8</v>
      </c>
      <c r="B1245" s="1">
        <v>46722</v>
      </c>
      <c r="C1245" s="1">
        <f t="shared" si="434"/>
        <v>46966</v>
      </c>
      <c r="D1245" s="1">
        <f t="shared" si="435"/>
        <v>46736</v>
      </c>
      <c r="E1245" s="1">
        <f t="shared" si="436"/>
        <v>46966</v>
      </c>
      <c r="F1245" s="1">
        <f t="shared" si="437"/>
        <v>46997</v>
      </c>
      <c r="G1245" s="1">
        <f t="shared" si="438"/>
        <v>47102</v>
      </c>
      <c r="H1245">
        <f t="shared" si="439"/>
        <v>366</v>
      </c>
      <c r="I1245">
        <f t="shared" si="440"/>
        <v>31</v>
      </c>
      <c r="J1245">
        <f t="shared" si="441"/>
        <v>8.4699453551912565E-2</v>
      </c>
      <c r="K1245">
        <f>IFERROR($J1245/IF($A1245&lt;COUNTIFS($K$1:K$1,"&lt;&gt;"),0,SUMIFS($J:$J,$B:$B,$B1245,$A:$A,"&gt;="&amp;COUNTIFS($K$1:K$1,"&lt;&gt;"))),0)</f>
        <v>8.882521489971347E-2</v>
      </c>
      <c r="L1245">
        <f>IFERROR($J1245/IF($A1245&lt;COUNTIFS($K$1:L$1,"&lt;&gt;"),0,SUMIFS($J:$J,$B:$B,$B1245,$A:$A,"&gt;="&amp;COUNTIFS($K$1:L$1,"&lt;&gt;"))),0)</f>
        <v>9.7484276729559755E-2</v>
      </c>
      <c r="M1245">
        <f>IFERROR($J1245/IF($A1245&lt;COUNTIFS($K$1:M$1,"&lt;&gt;"),0,SUMIFS($J:$J,$B:$B,$B1245,$A:$A,"&gt;="&amp;COUNTIFS($K$1:M$1,"&lt;&gt;"))),0)</f>
        <v>0.10726643598615916</v>
      </c>
      <c r="N1245">
        <f>IFERROR($J1245/IF($A1245&lt;COUNTIFS($K$1:N$1,"&lt;&gt;"),0,SUMIFS($J:$J,$B:$B,$B1245,$A:$A,"&gt;="&amp;COUNTIFS($K$1:N$1,"&lt;&gt;"))),0)</f>
        <v>0.12015503875968991</v>
      </c>
      <c r="O1245">
        <f>IFERROR($J1245/IF($A1245&lt;COUNTIFS($K$1:O$1,"&lt;&gt;"),0,SUMIFS($J:$J,$B:$B,$B1245,$A:$A,"&gt;="&amp;COUNTIFS($K$1:O$1,"&lt;&gt;"))),0)</f>
        <v>0.13596491228070173</v>
      </c>
      <c r="P1245">
        <f>IFERROR($J1245/IF($A1245&lt;COUNTIFS($K$1:P$1,"&lt;&gt;"),0,SUMIFS($J:$J,$B:$B,$B1245,$A:$A,"&gt;="&amp;COUNTIFS($K$1:P$1,"&lt;&gt;"))),0)</f>
        <v>0.15736040609137059</v>
      </c>
      <c r="Q1245">
        <f>IFERROR($J1245/IF($A1245&lt;COUNTIFS($K$1:Q$1,"&lt;&gt;"),0,SUMIFS($J:$J,$B:$B,$B1245,$A:$A,"&gt;="&amp;COUNTIFS($K$1:Q$1,"&lt;&gt;"))),0)</f>
        <v>0.18562874251497008</v>
      </c>
      <c r="R1245">
        <f>IFERROR($J1245/IF($A1245&lt;COUNTIFS($K$1:R$1,"&lt;&gt;"),0,SUMIFS($J:$J,$B:$B,$B1245,$A:$A,"&gt;="&amp;COUNTIFS($K$1:R$1,"&lt;&gt;"))),0)</f>
        <v>0.22794117647058826</v>
      </c>
      <c r="S1245">
        <f>IFERROR($J1245/IF($A1245&lt;COUNTIFS($K$1:S$1,"&lt;&gt;"),0,SUMIFS($J:$J,$B:$B,$B1245,$A:$A,"&gt;="&amp;COUNTIFS($K$1:S$1,"&lt;&gt;"))),0)</f>
        <v>0</v>
      </c>
      <c r="T1245">
        <f>IFERROR($J1245/IF($A1245&lt;COUNTIFS($K$1:T$1,"&lt;&gt;"),0,SUMIFS($J:$J,$B:$B,$B1245,$A:$A,"&gt;="&amp;COUNTIFS($K$1:T$1,"&lt;&gt;"))),0)</f>
        <v>0</v>
      </c>
      <c r="U1245">
        <f>IFERROR($J1245/IF($A1245&lt;COUNTIFS($K$1:U$1,"&lt;&gt;"),0,SUMIFS($J:$J,$B:$B,$B1245,$A:$A,"&gt;="&amp;COUNTIFS($K$1:U$1,"&lt;&gt;"))),0)</f>
        <v>0</v>
      </c>
      <c r="V1245">
        <f>IFERROR($J1245/IF($A1245&lt;COUNTIFS($K$1:V$1,"&lt;&gt;"),0,SUMIFS($J:$J,$B:$B,$B1245,$A:$A,"&gt;="&amp;COUNTIFS($K$1:V$1,"&lt;&gt;"))),0)</f>
        <v>0</v>
      </c>
      <c r="W1245">
        <f t="shared" si="442"/>
        <v>8.4699453551912565E-2</v>
      </c>
      <c r="X1245">
        <f t="shared" si="422"/>
        <v>8.4699453551912565E-2</v>
      </c>
      <c r="Y1245">
        <f t="shared" si="423"/>
        <v>8.4699453551912565E-2</v>
      </c>
      <c r="Z1245">
        <f t="shared" si="424"/>
        <v>8.4699453551912565E-2</v>
      </c>
      <c r="AA1245">
        <f t="shared" si="425"/>
        <v>8.4699453551912565E-2</v>
      </c>
      <c r="AB1245">
        <f t="shared" si="426"/>
        <v>8.4699453551912565E-2</v>
      </c>
      <c r="AC1245">
        <f t="shared" si="427"/>
        <v>8.4699453551912565E-2</v>
      </c>
      <c r="AD1245">
        <f t="shared" si="428"/>
        <v>8.4699453551912565E-2</v>
      </c>
      <c r="AE1245">
        <f t="shared" si="429"/>
        <v>8.4699453551912565E-2</v>
      </c>
      <c r="AF1245">
        <f t="shared" si="430"/>
        <v>0</v>
      </c>
      <c r="AG1245">
        <f t="shared" si="431"/>
        <v>0</v>
      </c>
      <c r="AH1245">
        <f t="shared" si="432"/>
        <v>0</v>
      </c>
      <c r="AI1245">
        <f t="shared" si="433"/>
        <v>0</v>
      </c>
      <c r="AJ1245" s="2" t="str">
        <f t="shared" si="443"/>
        <v>846722</v>
      </c>
    </row>
    <row r="1246" spans="1:36" x14ac:dyDescent="0.25">
      <c r="A1246">
        <v>9</v>
      </c>
      <c r="B1246" s="1">
        <v>46722</v>
      </c>
      <c r="C1246" s="1">
        <f t="shared" si="434"/>
        <v>46997</v>
      </c>
      <c r="D1246" s="1">
        <f t="shared" si="435"/>
        <v>46736</v>
      </c>
      <c r="E1246" s="1">
        <f t="shared" si="436"/>
        <v>46997</v>
      </c>
      <c r="F1246" s="1">
        <f t="shared" si="437"/>
        <v>47027</v>
      </c>
      <c r="G1246" s="1">
        <f t="shared" si="438"/>
        <v>47102</v>
      </c>
      <c r="H1246">
        <f t="shared" si="439"/>
        <v>366</v>
      </c>
      <c r="I1246">
        <f t="shared" si="440"/>
        <v>30</v>
      </c>
      <c r="J1246">
        <f t="shared" si="441"/>
        <v>8.1967213114754092E-2</v>
      </c>
      <c r="K1246">
        <f>IFERROR($J1246/IF($A1246&lt;COUNTIFS($K$1:K$1,"&lt;&gt;"),0,SUMIFS($J:$J,$B:$B,$B1246,$A:$A,"&gt;="&amp;COUNTIFS($K$1:K$1,"&lt;&gt;"))),0)</f>
        <v>8.5959885386819479E-2</v>
      </c>
      <c r="L1246">
        <f>IFERROR($J1246/IF($A1246&lt;COUNTIFS($K$1:L$1,"&lt;&gt;"),0,SUMIFS($J:$J,$B:$B,$B1246,$A:$A,"&gt;="&amp;COUNTIFS($K$1:L$1,"&lt;&gt;"))),0)</f>
        <v>9.4339622641509427E-2</v>
      </c>
      <c r="M1246">
        <f>IFERROR($J1246/IF($A1246&lt;COUNTIFS($K$1:M$1,"&lt;&gt;"),0,SUMIFS($J:$J,$B:$B,$B1246,$A:$A,"&gt;="&amp;COUNTIFS($K$1:M$1,"&lt;&gt;"))),0)</f>
        <v>0.10380622837370242</v>
      </c>
      <c r="N1246">
        <f>IFERROR($J1246/IF($A1246&lt;COUNTIFS($K$1:N$1,"&lt;&gt;"),0,SUMIFS($J:$J,$B:$B,$B1246,$A:$A,"&gt;="&amp;COUNTIFS($K$1:N$1,"&lt;&gt;"))),0)</f>
        <v>0.11627906976744184</v>
      </c>
      <c r="O1246">
        <f>IFERROR($J1246/IF($A1246&lt;COUNTIFS($K$1:O$1,"&lt;&gt;"),0,SUMIFS($J:$J,$B:$B,$B1246,$A:$A,"&gt;="&amp;COUNTIFS($K$1:O$1,"&lt;&gt;"))),0)</f>
        <v>0.13157894736842105</v>
      </c>
      <c r="P1246">
        <f>IFERROR($J1246/IF($A1246&lt;COUNTIFS($K$1:P$1,"&lt;&gt;"),0,SUMIFS($J:$J,$B:$B,$B1246,$A:$A,"&gt;="&amp;COUNTIFS($K$1:P$1,"&lt;&gt;"))),0)</f>
        <v>0.15228426395939088</v>
      </c>
      <c r="Q1246">
        <f>IFERROR($J1246/IF($A1246&lt;COUNTIFS($K$1:Q$1,"&lt;&gt;"),0,SUMIFS($J:$J,$B:$B,$B1246,$A:$A,"&gt;="&amp;COUNTIFS($K$1:Q$1,"&lt;&gt;"))),0)</f>
        <v>0.17964071856287425</v>
      </c>
      <c r="R1246">
        <f>IFERROR($J1246/IF($A1246&lt;COUNTIFS($K$1:R$1,"&lt;&gt;"),0,SUMIFS($J:$J,$B:$B,$B1246,$A:$A,"&gt;="&amp;COUNTIFS($K$1:R$1,"&lt;&gt;"))),0)</f>
        <v>0.22058823529411764</v>
      </c>
      <c r="S1246">
        <f>IFERROR($J1246/IF($A1246&lt;COUNTIFS($K$1:S$1,"&lt;&gt;"),0,SUMIFS($J:$J,$B:$B,$B1246,$A:$A,"&gt;="&amp;COUNTIFS($K$1:S$1,"&lt;&gt;"))),0)</f>
        <v>0.2857142857142857</v>
      </c>
      <c r="T1246">
        <f>IFERROR($J1246/IF($A1246&lt;COUNTIFS($K$1:T$1,"&lt;&gt;"),0,SUMIFS($J:$J,$B:$B,$B1246,$A:$A,"&gt;="&amp;COUNTIFS($K$1:T$1,"&lt;&gt;"))),0)</f>
        <v>0</v>
      </c>
      <c r="U1246">
        <f>IFERROR($J1246/IF($A1246&lt;COUNTIFS($K$1:U$1,"&lt;&gt;"),0,SUMIFS($J:$J,$B:$B,$B1246,$A:$A,"&gt;="&amp;COUNTIFS($K$1:U$1,"&lt;&gt;"))),0)</f>
        <v>0</v>
      </c>
      <c r="V1246">
        <f>IFERROR($J1246/IF($A1246&lt;COUNTIFS($K$1:V$1,"&lt;&gt;"),0,SUMIFS($J:$J,$B:$B,$B1246,$A:$A,"&gt;="&amp;COUNTIFS($K$1:V$1,"&lt;&gt;"))),0)</f>
        <v>0</v>
      </c>
      <c r="W1246">
        <f t="shared" si="442"/>
        <v>8.1967213114754092E-2</v>
      </c>
      <c r="X1246">
        <f t="shared" si="422"/>
        <v>8.1967213114754092E-2</v>
      </c>
      <c r="Y1246">
        <f t="shared" si="423"/>
        <v>8.1967213114754092E-2</v>
      </c>
      <c r="Z1246">
        <f t="shared" si="424"/>
        <v>8.1967213114754092E-2</v>
      </c>
      <c r="AA1246">
        <f t="shared" si="425"/>
        <v>8.1967213114754092E-2</v>
      </c>
      <c r="AB1246">
        <f t="shared" si="426"/>
        <v>8.1967213114754092E-2</v>
      </c>
      <c r="AC1246">
        <f t="shared" si="427"/>
        <v>8.1967213114754092E-2</v>
      </c>
      <c r="AD1246">
        <f t="shared" si="428"/>
        <v>8.1967213114754092E-2</v>
      </c>
      <c r="AE1246">
        <f t="shared" si="429"/>
        <v>8.1967213114754092E-2</v>
      </c>
      <c r="AF1246">
        <f t="shared" si="430"/>
        <v>8.1967213114754092E-2</v>
      </c>
      <c r="AG1246">
        <f t="shared" si="431"/>
        <v>0</v>
      </c>
      <c r="AH1246">
        <f t="shared" si="432"/>
        <v>0</v>
      </c>
      <c r="AI1246">
        <f t="shared" si="433"/>
        <v>0</v>
      </c>
      <c r="AJ1246" s="2" t="str">
        <f t="shared" si="443"/>
        <v>946722</v>
      </c>
    </row>
    <row r="1247" spans="1:36" x14ac:dyDescent="0.25">
      <c r="A1247">
        <v>10</v>
      </c>
      <c r="B1247" s="1">
        <v>46722</v>
      </c>
      <c r="C1247" s="1">
        <f t="shared" si="434"/>
        <v>47027</v>
      </c>
      <c r="D1247" s="1">
        <f t="shared" si="435"/>
        <v>46736</v>
      </c>
      <c r="E1247" s="1">
        <f t="shared" si="436"/>
        <v>47027</v>
      </c>
      <c r="F1247" s="1">
        <f t="shared" si="437"/>
        <v>47058</v>
      </c>
      <c r="G1247" s="1">
        <f t="shared" si="438"/>
        <v>47102</v>
      </c>
      <c r="H1247">
        <f t="shared" si="439"/>
        <v>366</v>
      </c>
      <c r="I1247">
        <f t="shared" si="440"/>
        <v>31</v>
      </c>
      <c r="J1247">
        <f t="shared" si="441"/>
        <v>8.4699453551912565E-2</v>
      </c>
      <c r="K1247">
        <f>IFERROR($J1247/IF($A1247&lt;COUNTIFS($K$1:K$1,"&lt;&gt;"),0,SUMIFS($J:$J,$B:$B,$B1247,$A:$A,"&gt;="&amp;COUNTIFS($K$1:K$1,"&lt;&gt;"))),0)</f>
        <v>8.882521489971347E-2</v>
      </c>
      <c r="L1247">
        <f>IFERROR($J1247/IF($A1247&lt;COUNTIFS($K$1:L$1,"&lt;&gt;"),0,SUMIFS($J:$J,$B:$B,$B1247,$A:$A,"&gt;="&amp;COUNTIFS($K$1:L$1,"&lt;&gt;"))),0)</f>
        <v>9.7484276729559755E-2</v>
      </c>
      <c r="M1247">
        <f>IFERROR($J1247/IF($A1247&lt;COUNTIFS($K$1:M$1,"&lt;&gt;"),0,SUMIFS($J:$J,$B:$B,$B1247,$A:$A,"&gt;="&amp;COUNTIFS($K$1:M$1,"&lt;&gt;"))),0)</f>
        <v>0.10726643598615916</v>
      </c>
      <c r="N1247">
        <f>IFERROR($J1247/IF($A1247&lt;COUNTIFS($K$1:N$1,"&lt;&gt;"),0,SUMIFS($J:$J,$B:$B,$B1247,$A:$A,"&gt;="&amp;COUNTIFS($K$1:N$1,"&lt;&gt;"))),0)</f>
        <v>0.12015503875968991</v>
      </c>
      <c r="O1247">
        <f>IFERROR($J1247/IF($A1247&lt;COUNTIFS($K$1:O$1,"&lt;&gt;"),0,SUMIFS($J:$J,$B:$B,$B1247,$A:$A,"&gt;="&amp;COUNTIFS($K$1:O$1,"&lt;&gt;"))),0)</f>
        <v>0.13596491228070173</v>
      </c>
      <c r="P1247">
        <f>IFERROR($J1247/IF($A1247&lt;COUNTIFS($K$1:P$1,"&lt;&gt;"),0,SUMIFS($J:$J,$B:$B,$B1247,$A:$A,"&gt;="&amp;COUNTIFS($K$1:P$1,"&lt;&gt;"))),0)</f>
        <v>0.15736040609137059</v>
      </c>
      <c r="Q1247">
        <f>IFERROR($J1247/IF($A1247&lt;COUNTIFS($K$1:Q$1,"&lt;&gt;"),0,SUMIFS($J:$J,$B:$B,$B1247,$A:$A,"&gt;="&amp;COUNTIFS($K$1:Q$1,"&lt;&gt;"))),0)</f>
        <v>0.18562874251497008</v>
      </c>
      <c r="R1247">
        <f>IFERROR($J1247/IF($A1247&lt;COUNTIFS($K$1:R$1,"&lt;&gt;"),0,SUMIFS($J:$J,$B:$B,$B1247,$A:$A,"&gt;="&amp;COUNTIFS($K$1:R$1,"&lt;&gt;"))),0)</f>
        <v>0.22794117647058826</v>
      </c>
      <c r="S1247">
        <f>IFERROR($J1247/IF($A1247&lt;COUNTIFS($K$1:S$1,"&lt;&gt;"),0,SUMIFS($J:$J,$B:$B,$B1247,$A:$A,"&gt;="&amp;COUNTIFS($K$1:S$1,"&lt;&gt;"))),0)</f>
        <v>0.29523809523809524</v>
      </c>
      <c r="T1247">
        <f>IFERROR($J1247/IF($A1247&lt;COUNTIFS($K$1:T$1,"&lt;&gt;"),0,SUMIFS($J:$J,$B:$B,$B1247,$A:$A,"&gt;="&amp;COUNTIFS($K$1:T$1,"&lt;&gt;"))),0)</f>
        <v>0.41333333333333333</v>
      </c>
      <c r="U1247">
        <f>IFERROR($J1247/IF($A1247&lt;COUNTIFS($K$1:U$1,"&lt;&gt;"),0,SUMIFS($J:$J,$B:$B,$B1247,$A:$A,"&gt;="&amp;COUNTIFS($K$1:U$1,"&lt;&gt;"))),0)</f>
        <v>0</v>
      </c>
      <c r="V1247">
        <f>IFERROR($J1247/IF($A1247&lt;COUNTIFS($K$1:V$1,"&lt;&gt;"),0,SUMIFS($J:$J,$B:$B,$B1247,$A:$A,"&gt;="&amp;COUNTIFS($K$1:V$1,"&lt;&gt;"))),0)</f>
        <v>0</v>
      </c>
      <c r="W1247">
        <f t="shared" si="442"/>
        <v>8.4699453551912565E-2</v>
      </c>
      <c r="X1247">
        <f t="shared" si="422"/>
        <v>8.4699453551912565E-2</v>
      </c>
      <c r="Y1247">
        <f t="shared" si="423"/>
        <v>8.4699453551912565E-2</v>
      </c>
      <c r="Z1247">
        <f t="shared" si="424"/>
        <v>8.4699453551912565E-2</v>
      </c>
      <c r="AA1247">
        <f t="shared" si="425"/>
        <v>8.4699453551912565E-2</v>
      </c>
      <c r="AB1247">
        <f t="shared" si="426"/>
        <v>8.4699453551912565E-2</v>
      </c>
      <c r="AC1247">
        <f t="shared" si="427"/>
        <v>8.4699453551912565E-2</v>
      </c>
      <c r="AD1247">
        <f t="shared" si="428"/>
        <v>8.4699453551912565E-2</v>
      </c>
      <c r="AE1247">
        <f t="shared" si="429"/>
        <v>8.4699453551912565E-2</v>
      </c>
      <c r="AF1247">
        <f t="shared" si="430"/>
        <v>8.4699453551912565E-2</v>
      </c>
      <c r="AG1247">
        <f t="shared" si="431"/>
        <v>8.4699453551912565E-2</v>
      </c>
      <c r="AH1247">
        <f t="shared" si="432"/>
        <v>0</v>
      </c>
      <c r="AI1247">
        <f t="shared" si="433"/>
        <v>0</v>
      </c>
      <c r="AJ1247" s="2" t="str">
        <f t="shared" si="443"/>
        <v>1046722</v>
      </c>
    </row>
    <row r="1248" spans="1:36" x14ac:dyDescent="0.25">
      <c r="A1248">
        <v>11</v>
      </c>
      <c r="B1248" s="1">
        <v>46722</v>
      </c>
      <c r="C1248" s="1">
        <f t="shared" si="434"/>
        <v>47058</v>
      </c>
      <c r="D1248" s="1">
        <f t="shared" si="435"/>
        <v>46736</v>
      </c>
      <c r="E1248" s="1">
        <f t="shared" si="436"/>
        <v>47058</v>
      </c>
      <c r="F1248" s="1">
        <f t="shared" si="437"/>
        <v>47088</v>
      </c>
      <c r="G1248" s="1">
        <f t="shared" si="438"/>
        <v>47102</v>
      </c>
      <c r="H1248">
        <f t="shared" si="439"/>
        <v>366</v>
      </c>
      <c r="I1248">
        <f t="shared" si="440"/>
        <v>30</v>
      </c>
      <c r="J1248">
        <f t="shared" si="441"/>
        <v>8.1967213114754092E-2</v>
      </c>
      <c r="K1248">
        <f>IFERROR($J1248/IF($A1248&lt;COUNTIFS($K$1:K$1,"&lt;&gt;"),0,SUMIFS($J:$J,$B:$B,$B1248,$A:$A,"&gt;="&amp;COUNTIFS($K$1:K$1,"&lt;&gt;"))),0)</f>
        <v>8.5959885386819479E-2</v>
      </c>
      <c r="L1248">
        <f>IFERROR($J1248/IF($A1248&lt;COUNTIFS($K$1:L$1,"&lt;&gt;"),0,SUMIFS($J:$J,$B:$B,$B1248,$A:$A,"&gt;="&amp;COUNTIFS($K$1:L$1,"&lt;&gt;"))),0)</f>
        <v>9.4339622641509427E-2</v>
      </c>
      <c r="M1248">
        <f>IFERROR($J1248/IF($A1248&lt;COUNTIFS($K$1:M$1,"&lt;&gt;"),0,SUMIFS($J:$J,$B:$B,$B1248,$A:$A,"&gt;="&amp;COUNTIFS($K$1:M$1,"&lt;&gt;"))),0)</f>
        <v>0.10380622837370242</v>
      </c>
      <c r="N1248">
        <f>IFERROR($J1248/IF($A1248&lt;COUNTIFS($K$1:N$1,"&lt;&gt;"),0,SUMIFS($J:$J,$B:$B,$B1248,$A:$A,"&gt;="&amp;COUNTIFS($K$1:N$1,"&lt;&gt;"))),0)</f>
        <v>0.11627906976744184</v>
      </c>
      <c r="O1248">
        <f>IFERROR($J1248/IF($A1248&lt;COUNTIFS($K$1:O$1,"&lt;&gt;"),0,SUMIFS($J:$J,$B:$B,$B1248,$A:$A,"&gt;="&amp;COUNTIFS($K$1:O$1,"&lt;&gt;"))),0)</f>
        <v>0.13157894736842105</v>
      </c>
      <c r="P1248">
        <f>IFERROR($J1248/IF($A1248&lt;COUNTIFS($K$1:P$1,"&lt;&gt;"),0,SUMIFS($J:$J,$B:$B,$B1248,$A:$A,"&gt;="&amp;COUNTIFS($K$1:P$1,"&lt;&gt;"))),0)</f>
        <v>0.15228426395939088</v>
      </c>
      <c r="Q1248">
        <f>IFERROR($J1248/IF($A1248&lt;COUNTIFS($K$1:Q$1,"&lt;&gt;"),0,SUMIFS($J:$J,$B:$B,$B1248,$A:$A,"&gt;="&amp;COUNTIFS($K$1:Q$1,"&lt;&gt;"))),0)</f>
        <v>0.17964071856287425</v>
      </c>
      <c r="R1248">
        <f>IFERROR($J1248/IF($A1248&lt;COUNTIFS($K$1:R$1,"&lt;&gt;"),0,SUMIFS($J:$J,$B:$B,$B1248,$A:$A,"&gt;="&amp;COUNTIFS($K$1:R$1,"&lt;&gt;"))),0)</f>
        <v>0.22058823529411764</v>
      </c>
      <c r="S1248">
        <f>IFERROR($J1248/IF($A1248&lt;COUNTIFS($K$1:S$1,"&lt;&gt;"),0,SUMIFS($J:$J,$B:$B,$B1248,$A:$A,"&gt;="&amp;COUNTIFS($K$1:S$1,"&lt;&gt;"))),0)</f>
        <v>0.2857142857142857</v>
      </c>
      <c r="T1248">
        <f>IFERROR($J1248/IF($A1248&lt;COUNTIFS($K$1:T$1,"&lt;&gt;"),0,SUMIFS($J:$J,$B:$B,$B1248,$A:$A,"&gt;="&amp;COUNTIFS($K$1:T$1,"&lt;&gt;"))),0)</f>
        <v>0.39999999999999997</v>
      </c>
      <c r="U1248">
        <f>IFERROR($J1248/IF($A1248&lt;COUNTIFS($K$1:U$1,"&lt;&gt;"),0,SUMIFS($J:$J,$B:$B,$B1248,$A:$A,"&gt;="&amp;COUNTIFS($K$1:U$1,"&lt;&gt;"))),0)</f>
        <v>0.68181818181818177</v>
      </c>
      <c r="V1248">
        <f>IFERROR($J1248/IF($A1248&lt;COUNTIFS($K$1:V$1,"&lt;&gt;"),0,SUMIFS($J:$J,$B:$B,$B1248,$A:$A,"&gt;="&amp;COUNTIFS($K$1:V$1,"&lt;&gt;"))),0)</f>
        <v>0</v>
      </c>
      <c r="W1248">
        <f t="shared" si="442"/>
        <v>8.1967213114754092E-2</v>
      </c>
      <c r="X1248">
        <f t="shared" si="422"/>
        <v>8.1967213114754092E-2</v>
      </c>
      <c r="Y1248">
        <f t="shared" si="423"/>
        <v>8.1967213114754092E-2</v>
      </c>
      <c r="Z1248">
        <f t="shared" si="424"/>
        <v>8.1967213114754092E-2</v>
      </c>
      <c r="AA1248">
        <f t="shared" si="425"/>
        <v>8.1967213114754092E-2</v>
      </c>
      <c r="AB1248">
        <f t="shared" si="426"/>
        <v>8.1967213114754092E-2</v>
      </c>
      <c r="AC1248">
        <f t="shared" si="427"/>
        <v>8.1967213114754092E-2</v>
      </c>
      <c r="AD1248">
        <f t="shared" si="428"/>
        <v>8.1967213114754092E-2</v>
      </c>
      <c r="AE1248">
        <f t="shared" si="429"/>
        <v>8.1967213114754092E-2</v>
      </c>
      <c r="AF1248">
        <f t="shared" si="430"/>
        <v>8.1967213114754092E-2</v>
      </c>
      <c r="AG1248">
        <f t="shared" si="431"/>
        <v>8.1967213114754092E-2</v>
      </c>
      <c r="AH1248">
        <f t="shared" si="432"/>
        <v>8.1967213114754092E-2</v>
      </c>
      <c r="AI1248">
        <f t="shared" si="433"/>
        <v>0</v>
      </c>
      <c r="AJ1248" s="2" t="str">
        <f t="shared" si="443"/>
        <v>1146722</v>
      </c>
    </row>
    <row r="1249" spans="1:36" x14ac:dyDescent="0.25">
      <c r="A1249">
        <v>12</v>
      </c>
      <c r="B1249" s="1">
        <v>46722</v>
      </c>
      <c r="C1249" s="1">
        <f t="shared" si="434"/>
        <v>47088</v>
      </c>
      <c r="D1249" s="1">
        <f t="shared" si="435"/>
        <v>46736</v>
      </c>
      <c r="E1249" s="1">
        <f t="shared" si="436"/>
        <v>47088</v>
      </c>
      <c r="F1249" s="1">
        <f t="shared" si="437"/>
        <v>47102</v>
      </c>
      <c r="G1249" s="1">
        <f t="shared" si="438"/>
        <v>47102</v>
      </c>
      <c r="H1249">
        <f t="shared" si="439"/>
        <v>366</v>
      </c>
      <c r="I1249">
        <f t="shared" si="440"/>
        <v>14</v>
      </c>
      <c r="J1249">
        <f t="shared" si="441"/>
        <v>3.825136612021858E-2</v>
      </c>
      <c r="K1249">
        <f>IFERROR($J1249/IF($A1249&lt;COUNTIFS($K$1:K$1,"&lt;&gt;"),0,SUMIFS($J:$J,$B:$B,$B1249,$A:$A,"&gt;="&amp;COUNTIFS($K$1:K$1,"&lt;&gt;"))),0)</f>
        <v>4.0114613180515762E-2</v>
      </c>
      <c r="L1249">
        <f>IFERROR($J1249/IF($A1249&lt;COUNTIFS($K$1:L$1,"&lt;&gt;"),0,SUMIFS($J:$J,$B:$B,$B1249,$A:$A,"&gt;="&amp;COUNTIFS($K$1:L$1,"&lt;&gt;"))),0)</f>
        <v>4.4025157232704407E-2</v>
      </c>
      <c r="M1249">
        <f>IFERROR($J1249/IF($A1249&lt;COUNTIFS($K$1:M$1,"&lt;&gt;"),0,SUMIFS($J:$J,$B:$B,$B1249,$A:$A,"&gt;="&amp;COUNTIFS($K$1:M$1,"&lt;&gt;"))),0)</f>
        <v>4.8442906574394463E-2</v>
      </c>
      <c r="N1249">
        <f>IFERROR($J1249/IF($A1249&lt;COUNTIFS($K$1:N$1,"&lt;&gt;"),0,SUMIFS($J:$J,$B:$B,$B1249,$A:$A,"&gt;="&amp;COUNTIFS($K$1:N$1,"&lt;&gt;"))),0)</f>
        <v>5.4263565891472867E-2</v>
      </c>
      <c r="O1249">
        <f>IFERROR($J1249/IF($A1249&lt;COUNTIFS($K$1:O$1,"&lt;&gt;"),0,SUMIFS($J:$J,$B:$B,$B1249,$A:$A,"&gt;="&amp;COUNTIFS($K$1:O$1,"&lt;&gt;"))),0)</f>
        <v>6.1403508771929821E-2</v>
      </c>
      <c r="P1249">
        <f>IFERROR($J1249/IF($A1249&lt;COUNTIFS($K$1:P$1,"&lt;&gt;"),0,SUMIFS($J:$J,$B:$B,$B1249,$A:$A,"&gt;="&amp;COUNTIFS($K$1:P$1,"&lt;&gt;"))),0)</f>
        <v>7.1065989847715741E-2</v>
      </c>
      <c r="Q1249">
        <f>IFERROR($J1249/IF($A1249&lt;COUNTIFS($K$1:Q$1,"&lt;&gt;"),0,SUMIFS($J:$J,$B:$B,$B1249,$A:$A,"&gt;="&amp;COUNTIFS($K$1:Q$1,"&lt;&gt;"))),0)</f>
        <v>8.3832335329341326E-2</v>
      </c>
      <c r="R1249">
        <f>IFERROR($J1249/IF($A1249&lt;COUNTIFS($K$1:R$1,"&lt;&gt;"),0,SUMIFS($J:$J,$B:$B,$B1249,$A:$A,"&gt;="&amp;COUNTIFS($K$1:R$1,"&lt;&gt;"))),0)</f>
        <v>0.10294117647058824</v>
      </c>
      <c r="S1249">
        <f>IFERROR($J1249/IF($A1249&lt;COUNTIFS($K$1:S$1,"&lt;&gt;"),0,SUMIFS($J:$J,$B:$B,$B1249,$A:$A,"&gt;="&amp;COUNTIFS($K$1:S$1,"&lt;&gt;"))),0)</f>
        <v>0.13333333333333333</v>
      </c>
      <c r="T1249">
        <f>IFERROR($J1249/IF($A1249&lt;COUNTIFS($K$1:T$1,"&lt;&gt;"),0,SUMIFS($J:$J,$B:$B,$B1249,$A:$A,"&gt;="&amp;COUNTIFS($K$1:T$1,"&lt;&gt;"))),0)</f>
        <v>0.18666666666666668</v>
      </c>
      <c r="U1249">
        <f>IFERROR($J1249/IF($A1249&lt;COUNTIFS($K$1:U$1,"&lt;&gt;"),0,SUMIFS($J:$J,$B:$B,$B1249,$A:$A,"&gt;="&amp;COUNTIFS($K$1:U$1,"&lt;&gt;"))),0)</f>
        <v>0.31818181818181818</v>
      </c>
      <c r="V1249">
        <f>IFERROR($J1249/IF($A1249&lt;COUNTIFS($K$1:V$1,"&lt;&gt;"),0,SUMIFS($J:$J,$B:$B,$B1249,$A:$A,"&gt;="&amp;COUNTIFS($K$1:V$1,"&lt;&gt;"))),0)</f>
        <v>1</v>
      </c>
      <c r="W1249">
        <f t="shared" si="442"/>
        <v>3.825136612021858E-2</v>
      </c>
      <c r="X1249">
        <f t="shared" si="422"/>
        <v>3.825136612021858E-2</v>
      </c>
      <c r="Y1249">
        <f t="shared" si="423"/>
        <v>3.825136612021858E-2</v>
      </c>
      <c r="Z1249">
        <f t="shared" si="424"/>
        <v>3.825136612021858E-2</v>
      </c>
      <c r="AA1249">
        <f t="shared" si="425"/>
        <v>3.825136612021858E-2</v>
      </c>
      <c r="AB1249">
        <f t="shared" si="426"/>
        <v>3.825136612021858E-2</v>
      </c>
      <c r="AC1249">
        <f t="shared" si="427"/>
        <v>3.825136612021858E-2</v>
      </c>
      <c r="AD1249">
        <f t="shared" si="428"/>
        <v>3.825136612021858E-2</v>
      </c>
      <c r="AE1249">
        <f t="shared" si="429"/>
        <v>3.825136612021858E-2</v>
      </c>
      <c r="AF1249">
        <f t="shared" si="430"/>
        <v>3.825136612021858E-2</v>
      </c>
      <c r="AG1249">
        <f t="shared" si="431"/>
        <v>3.825136612021858E-2</v>
      </c>
      <c r="AH1249">
        <f t="shared" si="432"/>
        <v>3.825136612021858E-2</v>
      </c>
      <c r="AI1249">
        <f t="shared" si="433"/>
        <v>3.825136612021858E-2</v>
      </c>
      <c r="AJ1249" s="2" t="str">
        <f t="shared" si="443"/>
        <v>1246722</v>
      </c>
    </row>
    <row r="1250" spans="1:36" x14ac:dyDescent="0.25">
      <c r="A1250">
        <v>0</v>
      </c>
      <c r="B1250" s="1">
        <v>46753</v>
      </c>
      <c r="C1250" s="1">
        <f t="shared" si="434"/>
        <v>46753</v>
      </c>
      <c r="D1250" s="1">
        <f t="shared" si="435"/>
        <v>46767</v>
      </c>
      <c r="E1250" s="1">
        <f t="shared" si="436"/>
        <v>46767</v>
      </c>
      <c r="F1250" s="1">
        <f t="shared" si="437"/>
        <v>46784</v>
      </c>
      <c r="G1250" s="1">
        <f t="shared" si="438"/>
        <v>47133</v>
      </c>
      <c r="H1250">
        <f t="shared" si="439"/>
        <v>366</v>
      </c>
      <c r="I1250">
        <f t="shared" si="440"/>
        <v>17</v>
      </c>
      <c r="J1250">
        <f t="shared" si="441"/>
        <v>4.6448087431693992E-2</v>
      </c>
      <c r="K1250">
        <f>IFERROR($J1250/IF($A1250&lt;COUNTIFS($K$1:K$1,"&lt;&gt;"),0,SUMIFS($J:$J,$B:$B,$B1250,$A:$A,"&gt;="&amp;COUNTIFS($K$1:K$1,"&lt;&gt;"))),0)</f>
        <v>0</v>
      </c>
      <c r="L1250">
        <f>IFERROR($J1250/IF($A1250&lt;COUNTIFS($K$1:L$1,"&lt;&gt;"),0,SUMIFS($J:$J,$B:$B,$B1250,$A:$A,"&gt;="&amp;COUNTIFS($K$1:L$1,"&lt;&gt;"))),0)</f>
        <v>0</v>
      </c>
      <c r="M1250">
        <f>IFERROR($J1250/IF($A1250&lt;COUNTIFS($K$1:M$1,"&lt;&gt;"),0,SUMIFS($J:$J,$B:$B,$B1250,$A:$A,"&gt;="&amp;COUNTIFS($K$1:M$1,"&lt;&gt;"))),0)</f>
        <v>0</v>
      </c>
      <c r="N1250">
        <f>IFERROR($J1250/IF($A1250&lt;COUNTIFS($K$1:N$1,"&lt;&gt;"),0,SUMIFS($J:$J,$B:$B,$B1250,$A:$A,"&gt;="&amp;COUNTIFS($K$1:N$1,"&lt;&gt;"))),0)</f>
        <v>0</v>
      </c>
      <c r="O1250">
        <f>IFERROR($J1250/IF($A1250&lt;COUNTIFS($K$1:O$1,"&lt;&gt;"),0,SUMIFS($J:$J,$B:$B,$B1250,$A:$A,"&gt;="&amp;COUNTIFS($K$1:O$1,"&lt;&gt;"))),0)</f>
        <v>0</v>
      </c>
      <c r="P1250">
        <f>IFERROR($J1250/IF($A1250&lt;COUNTIFS($K$1:P$1,"&lt;&gt;"),0,SUMIFS($J:$J,$B:$B,$B1250,$A:$A,"&gt;="&amp;COUNTIFS($K$1:P$1,"&lt;&gt;"))),0)</f>
        <v>0</v>
      </c>
      <c r="Q1250">
        <f>IFERROR($J1250/IF($A1250&lt;COUNTIFS($K$1:Q$1,"&lt;&gt;"),0,SUMIFS($J:$J,$B:$B,$B1250,$A:$A,"&gt;="&amp;COUNTIFS($K$1:Q$1,"&lt;&gt;"))),0)</f>
        <v>0</v>
      </c>
      <c r="R1250">
        <f>IFERROR($J1250/IF($A1250&lt;COUNTIFS($K$1:R$1,"&lt;&gt;"),0,SUMIFS($J:$J,$B:$B,$B1250,$A:$A,"&gt;="&amp;COUNTIFS($K$1:R$1,"&lt;&gt;"))),0)</f>
        <v>0</v>
      </c>
      <c r="S1250">
        <f>IFERROR($J1250/IF($A1250&lt;COUNTIFS($K$1:S$1,"&lt;&gt;"),0,SUMIFS($J:$J,$B:$B,$B1250,$A:$A,"&gt;="&amp;COUNTIFS($K$1:S$1,"&lt;&gt;"))),0)</f>
        <v>0</v>
      </c>
      <c r="T1250">
        <f>IFERROR($J1250/IF($A1250&lt;COUNTIFS($K$1:T$1,"&lt;&gt;"),0,SUMIFS($J:$J,$B:$B,$B1250,$A:$A,"&gt;="&amp;COUNTIFS($K$1:T$1,"&lt;&gt;"))),0)</f>
        <v>0</v>
      </c>
      <c r="U1250">
        <f>IFERROR($J1250/IF($A1250&lt;COUNTIFS($K$1:U$1,"&lt;&gt;"),0,SUMIFS($J:$J,$B:$B,$B1250,$A:$A,"&gt;="&amp;COUNTIFS($K$1:U$1,"&lt;&gt;"))),0)</f>
        <v>0</v>
      </c>
      <c r="V1250">
        <f>IFERROR($J1250/IF($A1250&lt;COUNTIFS($K$1:V$1,"&lt;&gt;"),0,SUMIFS($J:$J,$B:$B,$B1250,$A:$A,"&gt;="&amp;COUNTIFS($K$1:V$1,"&lt;&gt;"))),0)</f>
        <v>0</v>
      </c>
      <c r="W1250">
        <f t="shared" si="442"/>
        <v>4.6448087431693992E-2</v>
      </c>
      <c r="X1250">
        <f t="shared" si="422"/>
        <v>0</v>
      </c>
      <c r="Y1250">
        <f t="shared" si="423"/>
        <v>0</v>
      </c>
      <c r="Z1250">
        <f t="shared" si="424"/>
        <v>0</v>
      </c>
      <c r="AA1250">
        <f t="shared" si="425"/>
        <v>0</v>
      </c>
      <c r="AB1250">
        <f t="shared" si="426"/>
        <v>0</v>
      </c>
      <c r="AC1250">
        <f t="shared" si="427"/>
        <v>0</v>
      </c>
      <c r="AD1250">
        <f t="shared" si="428"/>
        <v>0</v>
      </c>
      <c r="AE1250">
        <f t="shared" si="429"/>
        <v>0</v>
      </c>
      <c r="AF1250">
        <f t="shared" si="430"/>
        <v>0</v>
      </c>
      <c r="AG1250">
        <f t="shared" si="431"/>
        <v>0</v>
      </c>
      <c r="AH1250">
        <f t="shared" si="432"/>
        <v>0</v>
      </c>
      <c r="AI1250">
        <f t="shared" si="433"/>
        <v>0</v>
      </c>
      <c r="AJ1250" s="2" t="str">
        <f t="shared" si="443"/>
        <v>046753</v>
      </c>
    </row>
    <row r="1251" spans="1:36" x14ac:dyDescent="0.25">
      <c r="A1251">
        <v>1</v>
      </c>
      <c r="B1251" s="1">
        <v>46753</v>
      </c>
      <c r="C1251" s="1">
        <f t="shared" si="434"/>
        <v>46784</v>
      </c>
      <c r="D1251" s="1">
        <f t="shared" si="435"/>
        <v>46767</v>
      </c>
      <c r="E1251" s="1">
        <f t="shared" si="436"/>
        <v>46784</v>
      </c>
      <c r="F1251" s="1">
        <f t="shared" si="437"/>
        <v>46813</v>
      </c>
      <c r="G1251" s="1">
        <f t="shared" si="438"/>
        <v>47133</v>
      </c>
      <c r="H1251">
        <f t="shared" si="439"/>
        <v>366</v>
      </c>
      <c r="I1251">
        <f t="shared" si="440"/>
        <v>29</v>
      </c>
      <c r="J1251">
        <f t="shared" si="441"/>
        <v>7.9234972677595633E-2</v>
      </c>
      <c r="K1251">
        <f>IFERROR($J1251/IF($A1251&lt;COUNTIFS($K$1:K$1,"&lt;&gt;"),0,SUMIFS($J:$J,$B:$B,$B1251,$A:$A,"&gt;="&amp;COUNTIFS($K$1:K$1,"&lt;&gt;"))),0)</f>
        <v>8.3094555873925516E-2</v>
      </c>
      <c r="L1251">
        <f>IFERROR($J1251/IF($A1251&lt;COUNTIFS($K$1:L$1,"&lt;&gt;"),0,SUMIFS($J:$J,$B:$B,$B1251,$A:$A,"&gt;="&amp;COUNTIFS($K$1:L$1,"&lt;&gt;"))),0)</f>
        <v>0</v>
      </c>
      <c r="M1251">
        <f>IFERROR($J1251/IF($A1251&lt;COUNTIFS($K$1:M$1,"&lt;&gt;"),0,SUMIFS($J:$J,$B:$B,$B1251,$A:$A,"&gt;="&amp;COUNTIFS($K$1:M$1,"&lt;&gt;"))),0)</f>
        <v>0</v>
      </c>
      <c r="N1251">
        <f>IFERROR($J1251/IF($A1251&lt;COUNTIFS($K$1:N$1,"&lt;&gt;"),0,SUMIFS($J:$J,$B:$B,$B1251,$A:$A,"&gt;="&amp;COUNTIFS($K$1:N$1,"&lt;&gt;"))),0)</f>
        <v>0</v>
      </c>
      <c r="O1251">
        <f>IFERROR($J1251/IF($A1251&lt;COUNTIFS($K$1:O$1,"&lt;&gt;"),0,SUMIFS($J:$J,$B:$B,$B1251,$A:$A,"&gt;="&amp;COUNTIFS($K$1:O$1,"&lt;&gt;"))),0)</f>
        <v>0</v>
      </c>
      <c r="P1251">
        <f>IFERROR($J1251/IF($A1251&lt;COUNTIFS($K$1:P$1,"&lt;&gt;"),0,SUMIFS($J:$J,$B:$B,$B1251,$A:$A,"&gt;="&amp;COUNTIFS($K$1:P$1,"&lt;&gt;"))),0)</f>
        <v>0</v>
      </c>
      <c r="Q1251">
        <f>IFERROR($J1251/IF($A1251&lt;COUNTIFS($K$1:Q$1,"&lt;&gt;"),0,SUMIFS($J:$J,$B:$B,$B1251,$A:$A,"&gt;="&amp;COUNTIFS($K$1:Q$1,"&lt;&gt;"))),0)</f>
        <v>0</v>
      </c>
      <c r="R1251">
        <f>IFERROR($J1251/IF($A1251&lt;COUNTIFS($K$1:R$1,"&lt;&gt;"),0,SUMIFS($J:$J,$B:$B,$B1251,$A:$A,"&gt;="&amp;COUNTIFS($K$1:R$1,"&lt;&gt;"))),0)</f>
        <v>0</v>
      </c>
      <c r="S1251">
        <f>IFERROR($J1251/IF($A1251&lt;COUNTIFS($K$1:S$1,"&lt;&gt;"),0,SUMIFS($J:$J,$B:$B,$B1251,$A:$A,"&gt;="&amp;COUNTIFS($K$1:S$1,"&lt;&gt;"))),0)</f>
        <v>0</v>
      </c>
      <c r="T1251">
        <f>IFERROR($J1251/IF($A1251&lt;COUNTIFS($K$1:T$1,"&lt;&gt;"),0,SUMIFS($J:$J,$B:$B,$B1251,$A:$A,"&gt;="&amp;COUNTIFS($K$1:T$1,"&lt;&gt;"))),0)</f>
        <v>0</v>
      </c>
      <c r="U1251">
        <f>IFERROR($J1251/IF($A1251&lt;COUNTIFS($K$1:U$1,"&lt;&gt;"),0,SUMIFS($J:$J,$B:$B,$B1251,$A:$A,"&gt;="&amp;COUNTIFS($K$1:U$1,"&lt;&gt;"))),0)</f>
        <v>0</v>
      </c>
      <c r="V1251">
        <f>IFERROR($J1251/IF($A1251&lt;COUNTIFS($K$1:V$1,"&lt;&gt;"),0,SUMIFS($J:$J,$B:$B,$B1251,$A:$A,"&gt;="&amp;COUNTIFS($K$1:V$1,"&lt;&gt;"))),0)</f>
        <v>0</v>
      </c>
      <c r="W1251">
        <f t="shared" si="442"/>
        <v>7.9234972677595633E-2</v>
      </c>
      <c r="X1251">
        <f t="shared" si="422"/>
        <v>7.9234972677595633E-2</v>
      </c>
      <c r="Y1251">
        <f t="shared" si="423"/>
        <v>0</v>
      </c>
      <c r="Z1251">
        <f t="shared" si="424"/>
        <v>0</v>
      </c>
      <c r="AA1251">
        <f t="shared" si="425"/>
        <v>0</v>
      </c>
      <c r="AB1251">
        <f t="shared" si="426"/>
        <v>0</v>
      </c>
      <c r="AC1251">
        <f t="shared" si="427"/>
        <v>0</v>
      </c>
      <c r="AD1251">
        <f t="shared" si="428"/>
        <v>0</v>
      </c>
      <c r="AE1251">
        <f t="shared" si="429"/>
        <v>0</v>
      </c>
      <c r="AF1251">
        <f t="shared" si="430"/>
        <v>0</v>
      </c>
      <c r="AG1251">
        <f t="shared" si="431"/>
        <v>0</v>
      </c>
      <c r="AH1251">
        <f t="shared" si="432"/>
        <v>0</v>
      </c>
      <c r="AI1251">
        <f t="shared" si="433"/>
        <v>0</v>
      </c>
      <c r="AJ1251" s="2" t="str">
        <f t="shared" si="443"/>
        <v>146753</v>
      </c>
    </row>
    <row r="1252" spans="1:36" x14ac:dyDescent="0.25">
      <c r="A1252">
        <v>2</v>
      </c>
      <c r="B1252" s="1">
        <v>46753</v>
      </c>
      <c r="C1252" s="1">
        <f t="shared" si="434"/>
        <v>46813</v>
      </c>
      <c r="D1252" s="1">
        <f t="shared" si="435"/>
        <v>46767</v>
      </c>
      <c r="E1252" s="1">
        <f t="shared" si="436"/>
        <v>46813</v>
      </c>
      <c r="F1252" s="1">
        <f t="shared" si="437"/>
        <v>46844</v>
      </c>
      <c r="G1252" s="1">
        <f t="shared" si="438"/>
        <v>47133</v>
      </c>
      <c r="H1252">
        <f t="shared" si="439"/>
        <v>366</v>
      </c>
      <c r="I1252">
        <f t="shared" si="440"/>
        <v>31</v>
      </c>
      <c r="J1252">
        <f t="shared" si="441"/>
        <v>8.4699453551912565E-2</v>
      </c>
      <c r="K1252">
        <f>IFERROR($J1252/IF($A1252&lt;COUNTIFS($K$1:K$1,"&lt;&gt;"),0,SUMIFS($J:$J,$B:$B,$B1252,$A:$A,"&gt;="&amp;COUNTIFS($K$1:K$1,"&lt;&gt;"))),0)</f>
        <v>8.882521489971347E-2</v>
      </c>
      <c r="L1252">
        <f>IFERROR($J1252/IF($A1252&lt;COUNTIFS($K$1:L$1,"&lt;&gt;"),0,SUMIFS($J:$J,$B:$B,$B1252,$A:$A,"&gt;="&amp;COUNTIFS($K$1:L$1,"&lt;&gt;"))),0)</f>
        <v>9.6875000000000003E-2</v>
      </c>
      <c r="M1252">
        <f>IFERROR($J1252/IF($A1252&lt;COUNTIFS($K$1:M$1,"&lt;&gt;"),0,SUMIFS($J:$J,$B:$B,$B1252,$A:$A,"&gt;="&amp;COUNTIFS($K$1:M$1,"&lt;&gt;"))),0)</f>
        <v>0</v>
      </c>
      <c r="N1252">
        <f>IFERROR($J1252/IF($A1252&lt;COUNTIFS($K$1:N$1,"&lt;&gt;"),0,SUMIFS($J:$J,$B:$B,$B1252,$A:$A,"&gt;="&amp;COUNTIFS($K$1:N$1,"&lt;&gt;"))),0)</f>
        <v>0</v>
      </c>
      <c r="O1252">
        <f>IFERROR($J1252/IF($A1252&lt;COUNTIFS($K$1:O$1,"&lt;&gt;"),0,SUMIFS($J:$J,$B:$B,$B1252,$A:$A,"&gt;="&amp;COUNTIFS($K$1:O$1,"&lt;&gt;"))),0)</f>
        <v>0</v>
      </c>
      <c r="P1252">
        <f>IFERROR($J1252/IF($A1252&lt;COUNTIFS($K$1:P$1,"&lt;&gt;"),0,SUMIFS($J:$J,$B:$B,$B1252,$A:$A,"&gt;="&amp;COUNTIFS($K$1:P$1,"&lt;&gt;"))),0)</f>
        <v>0</v>
      </c>
      <c r="Q1252">
        <f>IFERROR($J1252/IF($A1252&lt;COUNTIFS($K$1:Q$1,"&lt;&gt;"),0,SUMIFS($J:$J,$B:$B,$B1252,$A:$A,"&gt;="&amp;COUNTIFS($K$1:Q$1,"&lt;&gt;"))),0)</f>
        <v>0</v>
      </c>
      <c r="R1252">
        <f>IFERROR($J1252/IF($A1252&lt;COUNTIFS($K$1:R$1,"&lt;&gt;"),0,SUMIFS($J:$J,$B:$B,$B1252,$A:$A,"&gt;="&amp;COUNTIFS($K$1:R$1,"&lt;&gt;"))),0)</f>
        <v>0</v>
      </c>
      <c r="S1252">
        <f>IFERROR($J1252/IF($A1252&lt;COUNTIFS($K$1:S$1,"&lt;&gt;"),0,SUMIFS($J:$J,$B:$B,$B1252,$A:$A,"&gt;="&amp;COUNTIFS($K$1:S$1,"&lt;&gt;"))),0)</f>
        <v>0</v>
      </c>
      <c r="T1252">
        <f>IFERROR($J1252/IF($A1252&lt;COUNTIFS($K$1:T$1,"&lt;&gt;"),0,SUMIFS($J:$J,$B:$B,$B1252,$A:$A,"&gt;="&amp;COUNTIFS($K$1:T$1,"&lt;&gt;"))),0)</f>
        <v>0</v>
      </c>
      <c r="U1252">
        <f>IFERROR($J1252/IF($A1252&lt;COUNTIFS($K$1:U$1,"&lt;&gt;"),0,SUMIFS($J:$J,$B:$B,$B1252,$A:$A,"&gt;="&amp;COUNTIFS($K$1:U$1,"&lt;&gt;"))),0)</f>
        <v>0</v>
      </c>
      <c r="V1252">
        <f>IFERROR($J1252/IF($A1252&lt;COUNTIFS($K$1:V$1,"&lt;&gt;"),0,SUMIFS($J:$J,$B:$B,$B1252,$A:$A,"&gt;="&amp;COUNTIFS($K$1:V$1,"&lt;&gt;"))),0)</f>
        <v>0</v>
      </c>
      <c r="W1252">
        <f t="shared" si="442"/>
        <v>8.4699453551912565E-2</v>
      </c>
      <c r="X1252">
        <f t="shared" si="422"/>
        <v>8.4699453551912565E-2</v>
      </c>
      <c r="Y1252">
        <f t="shared" si="423"/>
        <v>8.4699453551912565E-2</v>
      </c>
      <c r="Z1252">
        <f t="shared" si="424"/>
        <v>0</v>
      </c>
      <c r="AA1252">
        <f t="shared" si="425"/>
        <v>0</v>
      </c>
      <c r="AB1252">
        <f t="shared" si="426"/>
        <v>0</v>
      </c>
      <c r="AC1252">
        <f t="shared" si="427"/>
        <v>0</v>
      </c>
      <c r="AD1252">
        <f t="shared" si="428"/>
        <v>0</v>
      </c>
      <c r="AE1252">
        <f t="shared" si="429"/>
        <v>0</v>
      </c>
      <c r="AF1252">
        <f t="shared" si="430"/>
        <v>0</v>
      </c>
      <c r="AG1252">
        <f t="shared" si="431"/>
        <v>0</v>
      </c>
      <c r="AH1252">
        <f t="shared" si="432"/>
        <v>0</v>
      </c>
      <c r="AI1252">
        <f t="shared" si="433"/>
        <v>0</v>
      </c>
      <c r="AJ1252" s="2" t="str">
        <f t="shared" si="443"/>
        <v>246753</v>
      </c>
    </row>
    <row r="1253" spans="1:36" x14ac:dyDescent="0.25">
      <c r="A1253">
        <v>3</v>
      </c>
      <c r="B1253" s="1">
        <v>46753</v>
      </c>
      <c r="C1253" s="1">
        <f t="shared" si="434"/>
        <v>46844</v>
      </c>
      <c r="D1253" s="1">
        <f t="shared" si="435"/>
        <v>46767</v>
      </c>
      <c r="E1253" s="1">
        <f t="shared" si="436"/>
        <v>46844</v>
      </c>
      <c r="F1253" s="1">
        <f t="shared" si="437"/>
        <v>46874</v>
      </c>
      <c r="G1253" s="1">
        <f t="shared" si="438"/>
        <v>47133</v>
      </c>
      <c r="H1253">
        <f t="shared" si="439"/>
        <v>366</v>
      </c>
      <c r="I1253">
        <f t="shared" si="440"/>
        <v>30</v>
      </c>
      <c r="J1253">
        <f t="shared" si="441"/>
        <v>8.1967213114754092E-2</v>
      </c>
      <c r="K1253">
        <f>IFERROR($J1253/IF($A1253&lt;COUNTIFS($K$1:K$1,"&lt;&gt;"),0,SUMIFS($J:$J,$B:$B,$B1253,$A:$A,"&gt;="&amp;COUNTIFS($K$1:K$1,"&lt;&gt;"))),0)</f>
        <v>8.5959885386819479E-2</v>
      </c>
      <c r="L1253">
        <f>IFERROR($J1253/IF($A1253&lt;COUNTIFS($K$1:L$1,"&lt;&gt;"),0,SUMIFS($J:$J,$B:$B,$B1253,$A:$A,"&gt;="&amp;COUNTIFS($K$1:L$1,"&lt;&gt;"))),0)</f>
        <v>9.375E-2</v>
      </c>
      <c r="M1253">
        <f>IFERROR($J1253/IF($A1253&lt;COUNTIFS($K$1:M$1,"&lt;&gt;"),0,SUMIFS($J:$J,$B:$B,$B1253,$A:$A,"&gt;="&amp;COUNTIFS($K$1:M$1,"&lt;&gt;"))),0)</f>
        <v>0.10380622837370242</v>
      </c>
      <c r="N1253">
        <f>IFERROR($J1253/IF($A1253&lt;COUNTIFS($K$1:N$1,"&lt;&gt;"),0,SUMIFS($J:$J,$B:$B,$B1253,$A:$A,"&gt;="&amp;COUNTIFS($K$1:N$1,"&lt;&gt;"))),0)</f>
        <v>0</v>
      </c>
      <c r="O1253">
        <f>IFERROR($J1253/IF($A1253&lt;COUNTIFS($K$1:O$1,"&lt;&gt;"),0,SUMIFS($J:$J,$B:$B,$B1253,$A:$A,"&gt;="&amp;COUNTIFS($K$1:O$1,"&lt;&gt;"))),0)</f>
        <v>0</v>
      </c>
      <c r="P1253">
        <f>IFERROR($J1253/IF($A1253&lt;COUNTIFS($K$1:P$1,"&lt;&gt;"),0,SUMIFS($J:$J,$B:$B,$B1253,$A:$A,"&gt;="&amp;COUNTIFS($K$1:P$1,"&lt;&gt;"))),0)</f>
        <v>0</v>
      </c>
      <c r="Q1253">
        <f>IFERROR($J1253/IF($A1253&lt;COUNTIFS($K$1:Q$1,"&lt;&gt;"),0,SUMIFS($J:$J,$B:$B,$B1253,$A:$A,"&gt;="&amp;COUNTIFS($K$1:Q$1,"&lt;&gt;"))),0)</f>
        <v>0</v>
      </c>
      <c r="R1253">
        <f>IFERROR($J1253/IF($A1253&lt;COUNTIFS($K$1:R$1,"&lt;&gt;"),0,SUMIFS($J:$J,$B:$B,$B1253,$A:$A,"&gt;="&amp;COUNTIFS($K$1:R$1,"&lt;&gt;"))),0)</f>
        <v>0</v>
      </c>
      <c r="S1253">
        <f>IFERROR($J1253/IF($A1253&lt;COUNTIFS($K$1:S$1,"&lt;&gt;"),0,SUMIFS($J:$J,$B:$B,$B1253,$A:$A,"&gt;="&amp;COUNTIFS($K$1:S$1,"&lt;&gt;"))),0)</f>
        <v>0</v>
      </c>
      <c r="T1253">
        <f>IFERROR($J1253/IF($A1253&lt;COUNTIFS($K$1:T$1,"&lt;&gt;"),0,SUMIFS($J:$J,$B:$B,$B1253,$A:$A,"&gt;="&amp;COUNTIFS($K$1:T$1,"&lt;&gt;"))),0)</f>
        <v>0</v>
      </c>
      <c r="U1253">
        <f>IFERROR($J1253/IF($A1253&lt;COUNTIFS($K$1:U$1,"&lt;&gt;"),0,SUMIFS($J:$J,$B:$B,$B1253,$A:$A,"&gt;="&amp;COUNTIFS($K$1:U$1,"&lt;&gt;"))),0)</f>
        <v>0</v>
      </c>
      <c r="V1253">
        <f>IFERROR($J1253/IF($A1253&lt;COUNTIFS($K$1:V$1,"&lt;&gt;"),0,SUMIFS($J:$J,$B:$B,$B1253,$A:$A,"&gt;="&amp;COUNTIFS($K$1:V$1,"&lt;&gt;"))),0)</f>
        <v>0</v>
      </c>
      <c r="W1253">
        <f t="shared" si="442"/>
        <v>8.1967213114754092E-2</v>
      </c>
      <c r="X1253">
        <f t="shared" si="422"/>
        <v>8.1967213114754092E-2</v>
      </c>
      <c r="Y1253">
        <f t="shared" si="423"/>
        <v>8.1967213114754092E-2</v>
      </c>
      <c r="Z1253">
        <f t="shared" si="424"/>
        <v>8.1967213114754092E-2</v>
      </c>
      <c r="AA1253">
        <f t="shared" si="425"/>
        <v>0</v>
      </c>
      <c r="AB1253">
        <f t="shared" si="426"/>
        <v>0</v>
      </c>
      <c r="AC1253">
        <f t="shared" si="427"/>
        <v>0</v>
      </c>
      <c r="AD1253">
        <f t="shared" si="428"/>
        <v>0</v>
      </c>
      <c r="AE1253">
        <f t="shared" si="429"/>
        <v>0</v>
      </c>
      <c r="AF1253">
        <f t="shared" si="430"/>
        <v>0</v>
      </c>
      <c r="AG1253">
        <f t="shared" si="431"/>
        <v>0</v>
      </c>
      <c r="AH1253">
        <f t="shared" si="432"/>
        <v>0</v>
      </c>
      <c r="AI1253">
        <f t="shared" si="433"/>
        <v>0</v>
      </c>
      <c r="AJ1253" s="2" t="str">
        <f t="shared" si="443"/>
        <v>346753</v>
      </c>
    </row>
    <row r="1254" spans="1:36" x14ac:dyDescent="0.25">
      <c r="A1254">
        <v>4</v>
      </c>
      <c r="B1254" s="1">
        <v>46753</v>
      </c>
      <c r="C1254" s="1">
        <f t="shared" si="434"/>
        <v>46874</v>
      </c>
      <c r="D1254" s="1">
        <f t="shared" si="435"/>
        <v>46767</v>
      </c>
      <c r="E1254" s="1">
        <f t="shared" si="436"/>
        <v>46874</v>
      </c>
      <c r="F1254" s="1">
        <f t="shared" si="437"/>
        <v>46905</v>
      </c>
      <c r="G1254" s="1">
        <f t="shared" si="438"/>
        <v>47133</v>
      </c>
      <c r="H1254">
        <f t="shared" si="439"/>
        <v>366</v>
      </c>
      <c r="I1254">
        <f t="shared" si="440"/>
        <v>31</v>
      </c>
      <c r="J1254">
        <f t="shared" si="441"/>
        <v>8.4699453551912565E-2</v>
      </c>
      <c r="K1254">
        <f>IFERROR($J1254/IF($A1254&lt;COUNTIFS($K$1:K$1,"&lt;&gt;"),0,SUMIFS($J:$J,$B:$B,$B1254,$A:$A,"&gt;="&amp;COUNTIFS($K$1:K$1,"&lt;&gt;"))),0)</f>
        <v>8.882521489971347E-2</v>
      </c>
      <c r="L1254">
        <f>IFERROR($J1254/IF($A1254&lt;COUNTIFS($K$1:L$1,"&lt;&gt;"),0,SUMIFS($J:$J,$B:$B,$B1254,$A:$A,"&gt;="&amp;COUNTIFS($K$1:L$1,"&lt;&gt;"))),0)</f>
        <v>9.6875000000000003E-2</v>
      </c>
      <c r="M1254">
        <f>IFERROR($J1254/IF($A1254&lt;COUNTIFS($K$1:M$1,"&lt;&gt;"),0,SUMIFS($J:$J,$B:$B,$B1254,$A:$A,"&gt;="&amp;COUNTIFS($K$1:M$1,"&lt;&gt;"))),0)</f>
        <v>0.10726643598615916</v>
      </c>
      <c r="N1254">
        <f>IFERROR($J1254/IF($A1254&lt;COUNTIFS($K$1:N$1,"&lt;&gt;"),0,SUMIFS($J:$J,$B:$B,$B1254,$A:$A,"&gt;="&amp;COUNTIFS($K$1:N$1,"&lt;&gt;"))),0)</f>
        <v>0.11969111969111969</v>
      </c>
      <c r="O1254">
        <f>IFERROR($J1254/IF($A1254&lt;COUNTIFS($K$1:O$1,"&lt;&gt;"),0,SUMIFS($J:$J,$B:$B,$B1254,$A:$A,"&gt;="&amp;COUNTIFS($K$1:O$1,"&lt;&gt;"))),0)</f>
        <v>0</v>
      </c>
      <c r="P1254">
        <f>IFERROR($J1254/IF($A1254&lt;COUNTIFS($K$1:P$1,"&lt;&gt;"),0,SUMIFS($J:$J,$B:$B,$B1254,$A:$A,"&gt;="&amp;COUNTIFS($K$1:P$1,"&lt;&gt;"))),0)</f>
        <v>0</v>
      </c>
      <c r="Q1254">
        <f>IFERROR($J1254/IF($A1254&lt;COUNTIFS($K$1:Q$1,"&lt;&gt;"),0,SUMIFS($J:$J,$B:$B,$B1254,$A:$A,"&gt;="&amp;COUNTIFS($K$1:Q$1,"&lt;&gt;"))),0)</f>
        <v>0</v>
      </c>
      <c r="R1254">
        <f>IFERROR($J1254/IF($A1254&lt;COUNTIFS($K$1:R$1,"&lt;&gt;"),0,SUMIFS($J:$J,$B:$B,$B1254,$A:$A,"&gt;="&amp;COUNTIFS($K$1:R$1,"&lt;&gt;"))),0)</f>
        <v>0</v>
      </c>
      <c r="S1254">
        <f>IFERROR($J1254/IF($A1254&lt;COUNTIFS($K$1:S$1,"&lt;&gt;"),0,SUMIFS($J:$J,$B:$B,$B1254,$A:$A,"&gt;="&amp;COUNTIFS($K$1:S$1,"&lt;&gt;"))),0)</f>
        <v>0</v>
      </c>
      <c r="T1254">
        <f>IFERROR($J1254/IF($A1254&lt;COUNTIFS($K$1:T$1,"&lt;&gt;"),0,SUMIFS($J:$J,$B:$B,$B1254,$A:$A,"&gt;="&amp;COUNTIFS($K$1:T$1,"&lt;&gt;"))),0)</f>
        <v>0</v>
      </c>
      <c r="U1254">
        <f>IFERROR($J1254/IF($A1254&lt;COUNTIFS($K$1:U$1,"&lt;&gt;"),0,SUMIFS($J:$J,$B:$B,$B1254,$A:$A,"&gt;="&amp;COUNTIFS($K$1:U$1,"&lt;&gt;"))),0)</f>
        <v>0</v>
      </c>
      <c r="V1254">
        <f>IFERROR($J1254/IF($A1254&lt;COUNTIFS($K$1:V$1,"&lt;&gt;"),0,SUMIFS($J:$J,$B:$B,$B1254,$A:$A,"&gt;="&amp;COUNTIFS($K$1:V$1,"&lt;&gt;"))),0)</f>
        <v>0</v>
      </c>
      <c r="W1254">
        <f t="shared" si="442"/>
        <v>8.4699453551912565E-2</v>
      </c>
      <c r="X1254">
        <f t="shared" si="422"/>
        <v>8.4699453551912565E-2</v>
      </c>
      <c r="Y1254">
        <f t="shared" si="423"/>
        <v>8.4699453551912565E-2</v>
      </c>
      <c r="Z1254">
        <f t="shared" si="424"/>
        <v>8.4699453551912565E-2</v>
      </c>
      <c r="AA1254">
        <f t="shared" si="425"/>
        <v>8.4699453551912565E-2</v>
      </c>
      <c r="AB1254">
        <f t="shared" si="426"/>
        <v>0</v>
      </c>
      <c r="AC1254">
        <f t="shared" si="427"/>
        <v>0</v>
      </c>
      <c r="AD1254">
        <f t="shared" si="428"/>
        <v>0</v>
      </c>
      <c r="AE1254">
        <f t="shared" si="429"/>
        <v>0</v>
      </c>
      <c r="AF1254">
        <f t="shared" si="430"/>
        <v>0</v>
      </c>
      <c r="AG1254">
        <f t="shared" si="431"/>
        <v>0</v>
      </c>
      <c r="AH1254">
        <f t="shared" si="432"/>
        <v>0</v>
      </c>
      <c r="AI1254">
        <f t="shared" si="433"/>
        <v>0</v>
      </c>
      <c r="AJ1254" s="2" t="str">
        <f t="shared" si="443"/>
        <v>446753</v>
      </c>
    </row>
    <row r="1255" spans="1:36" x14ac:dyDescent="0.25">
      <c r="A1255">
        <v>5</v>
      </c>
      <c r="B1255" s="1">
        <v>46753</v>
      </c>
      <c r="C1255" s="1">
        <f t="shared" si="434"/>
        <v>46905</v>
      </c>
      <c r="D1255" s="1">
        <f t="shared" si="435"/>
        <v>46767</v>
      </c>
      <c r="E1255" s="1">
        <f t="shared" si="436"/>
        <v>46905</v>
      </c>
      <c r="F1255" s="1">
        <f t="shared" si="437"/>
        <v>46935</v>
      </c>
      <c r="G1255" s="1">
        <f t="shared" si="438"/>
        <v>47133</v>
      </c>
      <c r="H1255">
        <f t="shared" si="439"/>
        <v>366</v>
      </c>
      <c r="I1255">
        <f t="shared" si="440"/>
        <v>30</v>
      </c>
      <c r="J1255">
        <f t="shared" si="441"/>
        <v>8.1967213114754092E-2</v>
      </c>
      <c r="K1255">
        <f>IFERROR($J1255/IF($A1255&lt;COUNTIFS($K$1:K$1,"&lt;&gt;"),0,SUMIFS($J:$J,$B:$B,$B1255,$A:$A,"&gt;="&amp;COUNTIFS($K$1:K$1,"&lt;&gt;"))),0)</f>
        <v>8.5959885386819479E-2</v>
      </c>
      <c r="L1255">
        <f>IFERROR($J1255/IF($A1255&lt;COUNTIFS($K$1:L$1,"&lt;&gt;"),0,SUMIFS($J:$J,$B:$B,$B1255,$A:$A,"&gt;="&amp;COUNTIFS($K$1:L$1,"&lt;&gt;"))),0)</f>
        <v>9.375E-2</v>
      </c>
      <c r="M1255">
        <f>IFERROR($J1255/IF($A1255&lt;COUNTIFS($K$1:M$1,"&lt;&gt;"),0,SUMIFS($J:$J,$B:$B,$B1255,$A:$A,"&gt;="&amp;COUNTIFS($K$1:M$1,"&lt;&gt;"))),0)</f>
        <v>0.10380622837370242</v>
      </c>
      <c r="N1255">
        <f>IFERROR($J1255/IF($A1255&lt;COUNTIFS($K$1:N$1,"&lt;&gt;"),0,SUMIFS($J:$J,$B:$B,$B1255,$A:$A,"&gt;="&amp;COUNTIFS($K$1:N$1,"&lt;&gt;"))),0)</f>
        <v>0.11583011583011582</v>
      </c>
      <c r="O1255">
        <f>IFERROR($J1255/IF($A1255&lt;COUNTIFS($K$1:O$1,"&lt;&gt;"),0,SUMIFS($J:$J,$B:$B,$B1255,$A:$A,"&gt;="&amp;COUNTIFS($K$1:O$1,"&lt;&gt;"))),0)</f>
        <v>0.13157894736842105</v>
      </c>
      <c r="P1255">
        <f>IFERROR($J1255/IF($A1255&lt;COUNTIFS($K$1:P$1,"&lt;&gt;"),0,SUMIFS($J:$J,$B:$B,$B1255,$A:$A,"&gt;="&amp;COUNTIFS($K$1:P$1,"&lt;&gt;"))),0)</f>
        <v>0</v>
      </c>
      <c r="Q1255">
        <f>IFERROR($J1255/IF($A1255&lt;COUNTIFS($K$1:Q$1,"&lt;&gt;"),0,SUMIFS($J:$J,$B:$B,$B1255,$A:$A,"&gt;="&amp;COUNTIFS($K$1:Q$1,"&lt;&gt;"))),0)</f>
        <v>0</v>
      </c>
      <c r="R1255">
        <f>IFERROR($J1255/IF($A1255&lt;COUNTIFS($K$1:R$1,"&lt;&gt;"),0,SUMIFS($J:$J,$B:$B,$B1255,$A:$A,"&gt;="&amp;COUNTIFS($K$1:R$1,"&lt;&gt;"))),0)</f>
        <v>0</v>
      </c>
      <c r="S1255">
        <f>IFERROR($J1255/IF($A1255&lt;COUNTIFS($K$1:S$1,"&lt;&gt;"),0,SUMIFS($J:$J,$B:$B,$B1255,$A:$A,"&gt;="&amp;COUNTIFS($K$1:S$1,"&lt;&gt;"))),0)</f>
        <v>0</v>
      </c>
      <c r="T1255">
        <f>IFERROR($J1255/IF($A1255&lt;COUNTIFS($K$1:T$1,"&lt;&gt;"),0,SUMIFS($J:$J,$B:$B,$B1255,$A:$A,"&gt;="&amp;COUNTIFS($K$1:T$1,"&lt;&gt;"))),0)</f>
        <v>0</v>
      </c>
      <c r="U1255">
        <f>IFERROR($J1255/IF($A1255&lt;COUNTIFS($K$1:U$1,"&lt;&gt;"),0,SUMIFS($J:$J,$B:$B,$B1255,$A:$A,"&gt;="&amp;COUNTIFS($K$1:U$1,"&lt;&gt;"))),0)</f>
        <v>0</v>
      </c>
      <c r="V1255">
        <f>IFERROR($J1255/IF($A1255&lt;COUNTIFS($K$1:V$1,"&lt;&gt;"),0,SUMIFS($J:$J,$B:$B,$B1255,$A:$A,"&gt;="&amp;COUNTIFS($K$1:V$1,"&lt;&gt;"))),0)</f>
        <v>0</v>
      </c>
      <c r="W1255">
        <f t="shared" si="442"/>
        <v>8.1967213114754092E-2</v>
      </c>
      <c r="X1255">
        <f t="shared" si="422"/>
        <v>8.1967213114754092E-2</v>
      </c>
      <c r="Y1255">
        <f t="shared" si="423"/>
        <v>8.1967213114754092E-2</v>
      </c>
      <c r="Z1255">
        <f t="shared" si="424"/>
        <v>8.1967213114754092E-2</v>
      </c>
      <c r="AA1255">
        <f t="shared" si="425"/>
        <v>8.1967213114754092E-2</v>
      </c>
      <c r="AB1255">
        <f t="shared" si="426"/>
        <v>8.1967213114754092E-2</v>
      </c>
      <c r="AC1255">
        <f t="shared" si="427"/>
        <v>0</v>
      </c>
      <c r="AD1255">
        <f t="shared" si="428"/>
        <v>0</v>
      </c>
      <c r="AE1255">
        <f t="shared" si="429"/>
        <v>0</v>
      </c>
      <c r="AF1255">
        <f t="shared" si="430"/>
        <v>0</v>
      </c>
      <c r="AG1255">
        <f t="shared" si="431"/>
        <v>0</v>
      </c>
      <c r="AH1255">
        <f t="shared" si="432"/>
        <v>0</v>
      </c>
      <c r="AI1255">
        <f t="shared" si="433"/>
        <v>0</v>
      </c>
      <c r="AJ1255" s="2" t="str">
        <f t="shared" si="443"/>
        <v>546753</v>
      </c>
    </row>
    <row r="1256" spans="1:36" x14ac:dyDescent="0.25">
      <c r="A1256">
        <v>6</v>
      </c>
      <c r="B1256" s="1">
        <v>46753</v>
      </c>
      <c r="C1256" s="1">
        <f t="shared" si="434"/>
        <v>46935</v>
      </c>
      <c r="D1256" s="1">
        <f t="shared" si="435"/>
        <v>46767</v>
      </c>
      <c r="E1256" s="1">
        <f t="shared" si="436"/>
        <v>46935</v>
      </c>
      <c r="F1256" s="1">
        <f t="shared" si="437"/>
        <v>46966</v>
      </c>
      <c r="G1256" s="1">
        <f t="shared" si="438"/>
        <v>47133</v>
      </c>
      <c r="H1256">
        <f t="shared" si="439"/>
        <v>366</v>
      </c>
      <c r="I1256">
        <f t="shared" si="440"/>
        <v>31</v>
      </c>
      <c r="J1256">
        <f t="shared" si="441"/>
        <v>8.4699453551912565E-2</v>
      </c>
      <c r="K1256">
        <f>IFERROR($J1256/IF($A1256&lt;COUNTIFS($K$1:K$1,"&lt;&gt;"),0,SUMIFS($J:$J,$B:$B,$B1256,$A:$A,"&gt;="&amp;COUNTIFS($K$1:K$1,"&lt;&gt;"))),0)</f>
        <v>8.882521489971347E-2</v>
      </c>
      <c r="L1256">
        <f>IFERROR($J1256/IF($A1256&lt;COUNTIFS($K$1:L$1,"&lt;&gt;"),0,SUMIFS($J:$J,$B:$B,$B1256,$A:$A,"&gt;="&amp;COUNTIFS($K$1:L$1,"&lt;&gt;"))),0)</f>
        <v>9.6875000000000003E-2</v>
      </c>
      <c r="M1256">
        <f>IFERROR($J1256/IF($A1256&lt;COUNTIFS($K$1:M$1,"&lt;&gt;"),0,SUMIFS($J:$J,$B:$B,$B1256,$A:$A,"&gt;="&amp;COUNTIFS($K$1:M$1,"&lt;&gt;"))),0)</f>
        <v>0.10726643598615916</v>
      </c>
      <c r="N1256">
        <f>IFERROR($J1256/IF($A1256&lt;COUNTIFS($K$1:N$1,"&lt;&gt;"),0,SUMIFS($J:$J,$B:$B,$B1256,$A:$A,"&gt;="&amp;COUNTIFS($K$1:N$1,"&lt;&gt;"))),0)</f>
        <v>0.11969111969111969</v>
      </c>
      <c r="O1256">
        <f>IFERROR($J1256/IF($A1256&lt;COUNTIFS($K$1:O$1,"&lt;&gt;"),0,SUMIFS($J:$J,$B:$B,$B1256,$A:$A,"&gt;="&amp;COUNTIFS($K$1:O$1,"&lt;&gt;"))),0)</f>
        <v>0.13596491228070173</v>
      </c>
      <c r="P1256">
        <f>IFERROR($J1256/IF($A1256&lt;COUNTIFS($K$1:P$1,"&lt;&gt;"),0,SUMIFS($J:$J,$B:$B,$B1256,$A:$A,"&gt;="&amp;COUNTIFS($K$1:P$1,"&lt;&gt;"))),0)</f>
        <v>0.15656565656565655</v>
      </c>
      <c r="Q1256">
        <f>IFERROR($J1256/IF($A1256&lt;COUNTIFS($K$1:Q$1,"&lt;&gt;"),0,SUMIFS($J:$J,$B:$B,$B1256,$A:$A,"&gt;="&amp;COUNTIFS($K$1:Q$1,"&lt;&gt;"))),0)</f>
        <v>0</v>
      </c>
      <c r="R1256">
        <f>IFERROR($J1256/IF($A1256&lt;COUNTIFS($K$1:R$1,"&lt;&gt;"),0,SUMIFS($J:$J,$B:$B,$B1256,$A:$A,"&gt;="&amp;COUNTIFS($K$1:R$1,"&lt;&gt;"))),0)</f>
        <v>0</v>
      </c>
      <c r="S1256">
        <f>IFERROR($J1256/IF($A1256&lt;COUNTIFS($K$1:S$1,"&lt;&gt;"),0,SUMIFS($J:$J,$B:$B,$B1256,$A:$A,"&gt;="&amp;COUNTIFS($K$1:S$1,"&lt;&gt;"))),0)</f>
        <v>0</v>
      </c>
      <c r="T1256">
        <f>IFERROR($J1256/IF($A1256&lt;COUNTIFS($K$1:T$1,"&lt;&gt;"),0,SUMIFS($J:$J,$B:$B,$B1256,$A:$A,"&gt;="&amp;COUNTIFS($K$1:T$1,"&lt;&gt;"))),0)</f>
        <v>0</v>
      </c>
      <c r="U1256">
        <f>IFERROR($J1256/IF($A1256&lt;COUNTIFS($K$1:U$1,"&lt;&gt;"),0,SUMIFS($J:$J,$B:$B,$B1256,$A:$A,"&gt;="&amp;COUNTIFS($K$1:U$1,"&lt;&gt;"))),0)</f>
        <v>0</v>
      </c>
      <c r="V1256">
        <f>IFERROR($J1256/IF($A1256&lt;COUNTIFS($K$1:V$1,"&lt;&gt;"),0,SUMIFS($J:$J,$B:$B,$B1256,$A:$A,"&gt;="&amp;COUNTIFS($K$1:V$1,"&lt;&gt;"))),0)</f>
        <v>0</v>
      </c>
      <c r="W1256">
        <f t="shared" si="442"/>
        <v>8.4699453551912565E-2</v>
      </c>
      <c r="X1256">
        <f t="shared" si="422"/>
        <v>8.4699453551912565E-2</v>
      </c>
      <c r="Y1256">
        <f t="shared" si="423"/>
        <v>8.4699453551912565E-2</v>
      </c>
      <c r="Z1256">
        <f t="shared" si="424"/>
        <v>8.4699453551912565E-2</v>
      </c>
      <c r="AA1256">
        <f t="shared" si="425"/>
        <v>8.4699453551912565E-2</v>
      </c>
      <c r="AB1256">
        <f t="shared" si="426"/>
        <v>8.4699453551912565E-2</v>
      </c>
      <c r="AC1256">
        <f t="shared" si="427"/>
        <v>8.4699453551912565E-2</v>
      </c>
      <c r="AD1256">
        <f t="shared" si="428"/>
        <v>0</v>
      </c>
      <c r="AE1256">
        <f t="shared" si="429"/>
        <v>0</v>
      </c>
      <c r="AF1256">
        <f t="shared" si="430"/>
        <v>0</v>
      </c>
      <c r="AG1256">
        <f t="shared" si="431"/>
        <v>0</v>
      </c>
      <c r="AH1256">
        <f t="shared" si="432"/>
        <v>0</v>
      </c>
      <c r="AI1256">
        <f t="shared" si="433"/>
        <v>0</v>
      </c>
      <c r="AJ1256" s="2" t="str">
        <f t="shared" si="443"/>
        <v>646753</v>
      </c>
    </row>
    <row r="1257" spans="1:36" x14ac:dyDescent="0.25">
      <c r="A1257">
        <v>7</v>
      </c>
      <c r="B1257" s="1">
        <v>46753</v>
      </c>
      <c r="C1257" s="1">
        <f t="shared" si="434"/>
        <v>46966</v>
      </c>
      <c r="D1257" s="1">
        <f t="shared" si="435"/>
        <v>46767</v>
      </c>
      <c r="E1257" s="1">
        <f t="shared" si="436"/>
        <v>46966</v>
      </c>
      <c r="F1257" s="1">
        <f t="shared" si="437"/>
        <v>46997</v>
      </c>
      <c r="G1257" s="1">
        <f t="shared" si="438"/>
        <v>47133</v>
      </c>
      <c r="H1257">
        <f t="shared" si="439"/>
        <v>366</v>
      </c>
      <c r="I1257">
        <f t="shared" si="440"/>
        <v>31</v>
      </c>
      <c r="J1257">
        <f t="shared" si="441"/>
        <v>8.4699453551912565E-2</v>
      </c>
      <c r="K1257">
        <f>IFERROR($J1257/IF($A1257&lt;COUNTIFS($K$1:K$1,"&lt;&gt;"),0,SUMIFS($J:$J,$B:$B,$B1257,$A:$A,"&gt;="&amp;COUNTIFS($K$1:K$1,"&lt;&gt;"))),0)</f>
        <v>8.882521489971347E-2</v>
      </c>
      <c r="L1257">
        <f>IFERROR($J1257/IF($A1257&lt;COUNTIFS($K$1:L$1,"&lt;&gt;"),0,SUMIFS($J:$J,$B:$B,$B1257,$A:$A,"&gt;="&amp;COUNTIFS($K$1:L$1,"&lt;&gt;"))),0)</f>
        <v>9.6875000000000003E-2</v>
      </c>
      <c r="M1257">
        <f>IFERROR($J1257/IF($A1257&lt;COUNTIFS($K$1:M$1,"&lt;&gt;"),0,SUMIFS($J:$J,$B:$B,$B1257,$A:$A,"&gt;="&amp;COUNTIFS($K$1:M$1,"&lt;&gt;"))),0)</f>
        <v>0.10726643598615916</v>
      </c>
      <c r="N1257">
        <f>IFERROR($J1257/IF($A1257&lt;COUNTIFS($K$1:N$1,"&lt;&gt;"),0,SUMIFS($J:$J,$B:$B,$B1257,$A:$A,"&gt;="&amp;COUNTIFS($K$1:N$1,"&lt;&gt;"))),0)</f>
        <v>0.11969111969111969</v>
      </c>
      <c r="O1257">
        <f>IFERROR($J1257/IF($A1257&lt;COUNTIFS($K$1:O$1,"&lt;&gt;"),0,SUMIFS($J:$J,$B:$B,$B1257,$A:$A,"&gt;="&amp;COUNTIFS($K$1:O$1,"&lt;&gt;"))),0)</f>
        <v>0.13596491228070173</v>
      </c>
      <c r="P1257">
        <f>IFERROR($J1257/IF($A1257&lt;COUNTIFS($K$1:P$1,"&lt;&gt;"),0,SUMIFS($J:$J,$B:$B,$B1257,$A:$A,"&gt;="&amp;COUNTIFS($K$1:P$1,"&lt;&gt;"))),0)</f>
        <v>0.15656565656565655</v>
      </c>
      <c r="Q1257">
        <f>IFERROR($J1257/IF($A1257&lt;COUNTIFS($K$1:Q$1,"&lt;&gt;"),0,SUMIFS($J:$J,$B:$B,$B1257,$A:$A,"&gt;="&amp;COUNTIFS($K$1:Q$1,"&lt;&gt;"))),0)</f>
        <v>0.18562874251497008</v>
      </c>
      <c r="R1257">
        <f>IFERROR($J1257/IF($A1257&lt;COUNTIFS($K$1:R$1,"&lt;&gt;"),0,SUMIFS($J:$J,$B:$B,$B1257,$A:$A,"&gt;="&amp;COUNTIFS($K$1:R$1,"&lt;&gt;"))),0)</f>
        <v>0</v>
      </c>
      <c r="S1257">
        <f>IFERROR($J1257/IF($A1257&lt;COUNTIFS($K$1:S$1,"&lt;&gt;"),0,SUMIFS($J:$J,$B:$B,$B1257,$A:$A,"&gt;="&amp;COUNTIFS($K$1:S$1,"&lt;&gt;"))),0)</f>
        <v>0</v>
      </c>
      <c r="T1257">
        <f>IFERROR($J1257/IF($A1257&lt;COUNTIFS($K$1:T$1,"&lt;&gt;"),0,SUMIFS($J:$J,$B:$B,$B1257,$A:$A,"&gt;="&amp;COUNTIFS($K$1:T$1,"&lt;&gt;"))),0)</f>
        <v>0</v>
      </c>
      <c r="U1257">
        <f>IFERROR($J1257/IF($A1257&lt;COUNTIFS($K$1:U$1,"&lt;&gt;"),0,SUMIFS($J:$J,$B:$B,$B1257,$A:$A,"&gt;="&amp;COUNTIFS($K$1:U$1,"&lt;&gt;"))),0)</f>
        <v>0</v>
      </c>
      <c r="V1257">
        <f>IFERROR($J1257/IF($A1257&lt;COUNTIFS($K$1:V$1,"&lt;&gt;"),0,SUMIFS($J:$J,$B:$B,$B1257,$A:$A,"&gt;="&amp;COUNTIFS($K$1:V$1,"&lt;&gt;"))),0)</f>
        <v>0</v>
      </c>
      <c r="W1257">
        <f t="shared" si="442"/>
        <v>8.4699453551912565E-2</v>
      </c>
      <c r="X1257">
        <f t="shared" si="422"/>
        <v>8.4699453551912565E-2</v>
      </c>
      <c r="Y1257">
        <f t="shared" si="423"/>
        <v>8.4699453551912565E-2</v>
      </c>
      <c r="Z1257">
        <f t="shared" si="424"/>
        <v>8.4699453551912565E-2</v>
      </c>
      <c r="AA1257">
        <f t="shared" si="425"/>
        <v>8.4699453551912565E-2</v>
      </c>
      <c r="AB1257">
        <f t="shared" si="426"/>
        <v>8.4699453551912565E-2</v>
      </c>
      <c r="AC1257">
        <f t="shared" si="427"/>
        <v>8.4699453551912565E-2</v>
      </c>
      <c r="AD1257">
        <f t="shared" si="428"/>
        <v>8.4699453551912565E-2</v>
      </c>
      <c r="AE1257">
        <f t="shared" si="429"/>
        <v>0</v>
      </c>
      <c r="AF1257">
        <f t="shared" si="430"/>
        <v>0</v>
      </c>
      <c r="AG1257">
        <f t="shared" si="431"/>
        <v>0</v>
      </c>
      <c r="AH1257">
        <f t="shared" si="432"/>
        <v>0</v>
      </c>
      <c r="AI1257">
        <f t="shared" si="433"/>
        <v>0</v>
      </c>
      <c r="AJ1257" s="2" t="str">
        <f t="shared" si="443"/>
        <v>746753</v>
      </c>
    </row>
    <row r="1258" spans="1:36" x14ac:dyDescent="0.25">
      <c r="A1258">
        <v>8</v>
      </c>
      <c r="B1258" s="1">
        <v>46753</v>
      </c>
      <c r="C1258" s="1">
        <f t="shared" si="434"/>
        <v>46997</v>
      </c>
      <c r="D1258" s="1">
        <f t="shared" si="435"/>
        <v>46767</v>
      </c>
      <c r="E1258" s="1">
        <f t="shared" si="436"/>
        <v>46997</v>
      </c>
      <c r="F1258" s="1">
        <f t="shared" si="437"/>
        <v>47027</v>
      </c>
      <c r="G1258" s="1">
        <f t="shared" si="438"/>
        <v>47133</v>
      </c>
      <c r="H1258">
        <f t="shared" si="439"/>
        <v>366</v>
      </c>
      <c r="I1258">
        <f t="shared" si="440"/>
        <v>30</v>
      </c>
      <c r="J1258">
        <f t="shared" si="441"/>
        <v>8.1967213114754092E-2</v>
      </c>
      <c r="K1258">
        <f>IFERROR($J1258/IF($A1258&lt;COUNTIFS($K$1:K$1,"&lt;&gt;"),0,SUMIFS($J:$J,$B:$B,$B1258,$A:$A,"&gt;="&amp;COUNTIFS($K$1:K$1,"&lt;&gt;"))),0)</f>
        <v>8.5959885386819479E-2</v>
      </c>
      <c r="L1258">
        <f>IFERROR($J1258/IF($A1258&lt;COUNTIFS($K$1:L$1,"&lt;&gt;"),0,SUMIFS($J:$J,$B:$B,$B1258,$A:$A,"&gt;="&amp;COUNTIFS($K$1:L$1,"&lt;&gt;"))),0)</f>
        <v>9.375E-2</v>
      </c>
      <c r="M1258">
        <f>IFERROR($J1258/IF($A1258&lt;COUNTIFS($K$1:M$1,"&lt;&gt;"),0,SUMIFS($J:$J,$B:$B,$B1258,$A:$A,"&gt;="&amp;COUNTIFS($K$1:M$1,"&lt;&gt;"))),0)</f>
        <v>0.10380622837370242</v>
      </c>
      <c r="N1258">
        <f>IFERROR($J1258/IF($A1258&lt;COUNTIFS($K$1:N$1,"&lt;&gt;"),0,SUMIFS($J:$J,$B:$B,$B1258,$A:$A,"&gt;="&amp;COUNTIFS($K$1:N$1,"&lt;&gt;"))),0)</f>
        <v>0.11583011583011582</v>
      </c>
      <c r="O1258">
        <f>IFERROR($J1258/IF($A1258&lt;COUNTIFS($K$1:O$1,"&lt;&gt;"),0,SUMIFS($J:$J,$B:$B,$B1258,$A:$A,"&gt;="&amp;COUNTIFS($K$1:O$1,"&lt;&gt;"))),0)</f>
        <v>0.13157894736842105</v>
      </c>
      <c r="P1258">
        <f>IFERROR($J1258/IF($A1258&lt;COUNTIFS($K$1:P$1,"&lt;&gt;"),0,SUMIFS($J:$J,$B:$B,$B1258,$A:$A,"&gt;="&amp;COUNTIFS($K$1:P$1,"&lt;&gt;"))),0)</f>
        <v>0.15151515151515149</v>
      </c>
      <c r="Q1258">
        <f>IFERROR($J1258/IF($A1258&lt;COUNTIFS($K$1:Q$1,"&lt;&gt;"),0,SUMIFS($J:$J,$B:$B,$B1258,$A:$A,"&gt;="&amp;COUNTIFS($K$1:Q$1,"&lt;&gt;"))),0)</f>
        <v>0.17964071856287425</v>
      </c>
      <c r="R1258">
        <f>IFERROR($J1258/IF($A1258&lt;COUNTIFS($K$1:R$1,"&lt;&gt;"),0,SUMIFS($J:$J,$B:$B,$B1258,$A:$A,"&gt;="&amp;COUNTIFS($K$1:R$1,"&lt;&gt;"))),0)</f>
        <v>0.22058823529411764</v>
      </c>
      <c r="S1258">
        <f>IFERROR($J1258/IF($A1258&lt;COUNTIFS($K$1:S$1,"&lt;&gt;"),0,SUMIFS($J:$J,$B:$B,$B1258,$A:$A,"&gt;="&amp;COUNTIFS($K$1:S$1,"&lt;&gt;"))),0)</f>
        <v>0</v>
      </c>
      <c r="T1258">
        <f>IFERROR($J1258/IF($A1258&lt;COUNTIFS($K$1:T$1,"&lt;&gt;"),0,SUMIFS($J:$J,$B:$B,$B1258,$A:$A,"&gt;="&amp;COUNTIFS($K$1:T$1,"&lt;&gt;"))),0)</f>
        <v>0</v>
      </c>
      <c r="U1258">
        <f>IFERROR($J1258/IF($A1258&lt;COUNTIFS($K$1:U$1,"&lt;&gt;"),0,SUMIFS($J:$J,$B:$B,$B1258,$A:$A,"&gt;="&amp;COUNTIFS($K$1:U$1,"&lt;&gt;"))),0)</f>
        <v>0</v>
      </c>
      <c r="V1258">
        <f>IFERROR($J1258/IF($A1258&lt;COUNTIFS($K$1:V$1,"&lt;&gt;"),0,SUMIFS($J:$J,$B:$B,$B1258,$A:$A,"&gt;="&amp;COUNTIFS($K$1:V$1,"&lt;&gt;"))),0)</f>
        <v>0</v>
      </c>
      <c r="W1258">
        <f t="shared" si="442"/>
        <v>8.1967213114754092E-2</v>
      </c>
      <c r="X1258">
        <f t="shared" si="422"/>
        <v>8.1967213114754092E-2</v>
      </c>
      <c r="Y1258">
        <f t="shared" si="423"/>
        <v>8.1967213114754092E-2</v>
      </c>
      <c r="Z1258">
        <f t="shared" si="424"/>
        <v>8.1967213114754092E-2</v>
      </c>
      <c r="AA1258">
        <f t="shared" si="425"/>
        <v>8.1967213114754092E-2</v>
      </c>
      <c r="AB1258">
        <f t="shared" si="426"/>
        <v>8.1967213114754092E-2</v>
      </c>
      <c r="AC1258">
        <f t="shared" si="427"/>
        <v>8.1967213114754092E-2</v>
      </c>
      <c r="AD1258">
        <f t="shared" si="428"/>
        <v>8.1967213114754092E-2</v>
      </c>
      <c r="AE1258">
        <f t="shared" si="429"/>
        <v>8.1967213114754092E-2</v>
      </c>
      <c r="AF1258">
        <f t="shared" si="430"/>
        <v>0</v>
      </c>
      <c r="AG1258">
        <f t="shared" si="431"/>
        <v>0</v>
      </c>
      <c r="AH1258">
        <f t="shared" si="432"/>
        <v>0</v>
      </c>
      <c r="AI1258">
        <f t="shared" si="433"/>
        <v>0</v>
      </c>
      <c r="AJ1258" s="2" t="str">
        <f t="shared" si="443"/>
        <v>846753</v>
      </c>
    </row>
    <row r="1259" spans="1:36" x14ac:dyDescent="0.25">
      <c r="A1259">
        <v>9</v>
      </c>
      <c r="B1259" s="1">
        <v>46753</v>
      </c>
      <c r="C1259" s="1">
        <f t="shared" si="434"/>
        <v>47027</v>
      </c>
      <c r="D1259" s="1">
        <f t="shared" si="435"/>
        <v>46767</v>
      </c>
      <c r="E1259" s="1">
        <f t="shared" si="436"/>
        <v>47027</v>
      </c>
      <c r="F1259" s="1">
        <f t="shared" si="437"/>
        <v>47058</v>
      </c>
      <c r="G1259" s="1">
        <f t="shared" si="438"/>
        <v>47133</v>
      </c>
      <c r="H1259">
        <f t="shared" si="439"/>
        <v>366</v>
      </c>
      <c r="I1259">
        <f t="shared" si="440"/>
        <v>31</v>
      </c>
      <c r="J1259">
        <f t="shared" si="441"/>
        <v>8.4699453551912565E-2</v>
      </c>
      <c r="K1259">
        <f>IFERROR($J1259/IF($A1259&lt;COUNTIFS($K$1:K$1,"&lt;&gt;"),0,SUMIFS($J:$J,$B:$B,$B1259,$A:$A,"&gt;="&amp;COUNTIFS($K$1:K$1,"&lt;&gt;"))),0)</f>
        <v>8.882521489971347E-2</v>
      </c>
      <c r="L1259">
        <f>IFERROR($J1259/IF($A1259&lt;COUNTIFS($K$1:L$1,"&lt;&gt;"),0,SUMIFS($J:$J,$B:$B,$B1259,$A:$A,"&gt;="&amp;COUNTIFS($K$1:L$1,"&lt;&gt;"))),0)</f>
        <v>9.6875000000000003E-2</v>
      </c>
      <c r="M1259">
        <f>IFERROR($J1259/IF($A1259&lt;COUNTIFS($K$1:M$1,"&lt;&gt;"),0,SUMIFS($J:$J,$B:$B,$B1259,$A:$A,"&gt;="&amp;COUNTIFS($K$1:M$1,"&lt;&gt;"))),0)</f>
        <v>0.10726643598615916</v>
      </c>
      <c r="N1259">
        <f>IFERROR($J1259/IF($A1259&lt;COUNTIFS($K$1:N$1,"&lt;&gt;"),0,SUMIFS($J:$J,$B:$B,$B1259,$A:$A,"&gt;="&amp;COUNTIFS($K$1:N$1,"&lt;&gt;"))),0)</f>
        <v>0.11969111969111969</v>
      </c>
      <c r="O1259">
        <f>IFERROR($J1259/IF($A1259&lt;COUNTIFS($K$1:O$1,"&lt;&gt;"),0,SUMIFS($J:$J,$B:$B,$B1259,$A:$A,"&gt;="&amp;COUNTIFS($K$1:O$1,"&lt;&gt;"))),0)</f>
        <v>0.13596491228070173</v>
      </c>
      <c r="P1259">
        <f>IFERROR($J1259/IF($A1259&lt;COUNTIFS($K$1:P$1,"&lt;&gt;"),0,SUMIFS($J:$J,$B:$B,$B1259,$A:$A,"&gt;="&amp;COUNTIFS($K$1:P$1,"&lt;&gt;"))),0)</f>
        <v>0.15656565656565655</v>
      </c>
      <c r="Q1259">
        <f>IFERROR($J1259/IF($A1259&lt;COUNTIFS($K$1:Q$1,"&lt;&gt;"),0,SUMIFS($J:$J,$B:$B,$B1259,$A:$A,"&gt;="&amp;COUNTIFS($K$1:Q$1,"&lt;&gt;"))),0)</f>
        <v>0.18562874251497008</v>
      </c>
      <c r="R1259">
        <f>IFERROR($J1259/IF($A1259&lt;COUNTIFS($K$1:R$1,"&lt;&gt;"),0,SUMIFS($J:$J,$B:$B,$B1259,$A:$A,"&gt;="&amp;COUNTIFS($K$1:R$1,"&lt;&gt;"))),0)</f>
        <v>0.22794117647058826</v>
      </c>
      <c r="S1259">
        <f>IFERROR($J1259/IF($A1259&lt;COUNTIFS($K$1:S$1,"&lt;&gt;"),0,SUMIFS($J:$J,$B:$B,$B1259,$A:$A,"&gt;="&amp;COUNTIFS($K$1:S$1,"&lt;&gt;"))),0)</f>
        <v>0.29245283018867924</v>
      </c>
      <c r="T1259">
        <f>IFERROR($J1259/IF($A1259&lt;COUNTIFS($K$1:T$1,"&lt;&gt;"),0,SUMIFS($J:$J,$B:$B,$B1259,$A:$A,"&gt;="&amp;COUNTIFS($K$1:T$1,"&lt;&gt;"))),0)</f>
        <v>0</v>
      </c>
      <c r="U1259">
        <f>IFERROR($J1259/IF($A1259&lt;COUNTIFS($K$1:U$1,"&lt;&gt;"),0,SUMIFS($J:$J,$B:$B,$B1259,$A:$A,"&gt;="&amp;COUNTIFS($K$1:U$1,"&lt;&gt;"))),0)</f>
        <v>0</v>
      </c>
      <c r="V1259">
        <f>IFERROR($J1259/IF($A1259&lt;COUNTIFS($K$1:V$1,"&lt;&gt;"),0,SUMIFS($J:$J,$B:$B,$B1259,$A:$A,"&gt;="&amp;COUNTIFS($K$1:V$1,"&lt;&gt;"))),0)</f>
        <v>0</v>
      </c>
      <c r="W1259">
        <f t="shared" si="442"/>
        <v>8.4699453551912565E-2</v>
      </c>
      <c r="X1259">
        <f t="shared" si="422"/>
        <v>8.4699453551912565E-2</v>
      </c>
      <c r="Y1259">
        <f t="shared" si="423"/>
        <v>8.4699453551912565E-2</v>
      </c>
      <c r="Z1259">
        <f t="shared" si="424"/>
        <v>8.4699453551912565E-2</v>
      </c>
      <c r="AA1259">
        <f t="shared" si="425"/>
        <v>8.4699453551912565E-2</v>
      </c>
      <c r="AB1259">
        <f t="shared" si="426"/>
        <v>8.4699453551912565E-2</v>
      </c>
      <c r="AC1259">
        <f t="shared" si="427"/>
        <v>8.4699453551912565E-2</v>
      </c>
      <c r="AD1259">
        <f t="shared" si="428"/>
        <v>8.4699453551912565E-2</v>
      </c>
      <c r="AE1259">
        <f t="shared" si="429"/>
        <v>8.4699453551912565E-2</v>
      </c>
      <c r="AF1259">
        <f t="shared" si="430"/>
        <v>8.4699453551912565E-2</v>
      </c>
      <c r="AG1259">
        <f t="shared" si="431"/>
        <v>0</v>
      </c>
      <c r="AH1259">
        <f t="shared" si="432"/>
        <v>0</v>
      </c>
      <c r="AI1259">
        <f t="shared" si="433"/>
        <v>0</v>
      </c>
      <c r="AJ1259" s="2" t="str">
        <f t="shared" si="443"/>
        <v>946753</v>
      </c>
    </row>
    <row r="1260" spans="1:36" x14ac:dyDescent="0.25">
      <c r="A1260">
        <v>10</v>
      </c>
      <c r="B1260" s="1">
        <v>46753</v>
      </c>
      <c r="C1260" s="1">
        <f t="shared" si="434"/>
        <v>47058</v>
      </c>
      <c r="D1260" s="1">
        <f t="shared" si="435"/>
        <v>46767</v>
      </c>
      <c r="E1260" s="1">
        <f t="shared" si="436"/>
        <v>47058</v>
      </c>
      <c r="F1260" s="1">
        <f t="shared" si="437"/>
        <v>47088</v>
      </c>
      <c r="G1260" s="1">
        <f t="shared" si="438"/>
        <v>47133</v>
      </c>
      <c r="H1260">
        <f t="shared" si="439"/>
        <v>366</v>
      </c>
      <c r="I1260">
        <f t="shared" si="440"/>
        <v>30</v>
      </c>
      <c r="J1260">
        <f t="shared" si="441"/>
        <v>8.1967213114754092E-2</v>
      </c>
      <c r="K1260">
        <f>IFERROR($J1260/IF($A1260&lt;COUNTIFS($K$1:K$1,"&lt;&gt;"),0,SUMIFS($J:$J,$B:$B,$B1260,$A:$A,"&gt;="&amp;COUNTIFS($K$1:K$1,"&lt;&gt;"))),0)</f>
        <v>8.5959885386819479E-2</v>
      </c>
      <c r="L1260">
        <f>IFERROR($J1260/IF($A1260&lt;COUNTIFS($K$1:L$1,"&lt;&gt;"),0,SUMIFS($J:$J,$B:$B,$B1260,$A:$A,"&gt;="&amp;COUNTIFS($K$1:L$1,"&lt;&gt;"))),0)</f>
        <v>9.375E-2</v>
      </c>
      <c r="M1260">
        <f>IFERROR($J1260/IF($A1260&lt;COUNTIFS($K$1:M$1,"&lt;&gt;"),0,SUMIFS($J:$J,$B:$B,$B1260,$A:$A,"&gt;="&amp;COUNTIFS($K$1:M$1,"&lt;&gt;"))),0)</f>
        <v>0.10380622837370242</v>
      </c>
      <c r="N1260">
        <f>IFERROR($J1260/IF($A1260&lt;COUNTIFS($K$1:N$1,"&lt;&gt;"),0,SUMIFS($J:$J,$B:$B,$B1260,$A:$A,"&gt;="&amp;COUNTIFS($K$1:N$1,"&lt;&gt;"))),0)</f>
        <v>0.11583011583011582</v>
      </c>
      <c r="O1260">
        <f>IFERROR($J1260/IF($A1260&lt;COUNTIFS($K$1:O$1,"&lt;&gt;"),0,SUMIFS($J:$J,$B:$B,$B1260,$A:$A,"&gt;="&amp;COUNTIFS($K$1:O$1,"&lt;&gt;"))),0)</f>
        <v>0.13157894736842105</v>
      </c>
      <c r="P1260">
        <f>IFERROR($J1260/IF($A1260&lt;COUNTIFS($K$1:P$1,"&lt;&gt;"),0,SUMIFS($J:$J,$B:$B,$B1260,$A:$A,"&gt;="&amp;COUNTIFS($K$1:P$1,"&lt;&gt;"))),0)</f>
        <v>0.15151515151515149</v>
      </c>
      <c r="Q1260">
        <f>IFERROR($J1260/IF($A1260&lt;COUNTIFS($K$1:Q$1,"&lt;&gt;"),0,SUMIFS($J:$J,$B:$B,$B1260,$A:$A,"&gt;="&amp;COUNTIFS($K$1:Q$1,"&lt;&gt;"))),0)</f>
        <v>0.17964071856287425</v>
      </c>
      <c r="R1260">
        <f>IFERROR($J1260/IF($A1260&lt;COUNTIFS($K$1:R$1,"&lt;&gt;"),0,SUMIFS($J:$J,$B:$B,$B1260,$A:$A,"&gt;="&amp;COUNTIFS($K$1:R$1,"&lt;&gt;"))),0)</f>
        <v>0.22058823529411764</v>
      </c>
      <c r="S1260">
        <f>IFERROR($J1260/IF($A1260&lt;COUNTIFS($K$1:S$1,"&lt;&gt;"),0,SUMIFS($J:$J,$B:$B,$B1260,$A:$A,"&gt;="&amp;COUNTIFS($K$1:S$1,"&lt;&gt;"))),0)</f>
        <v>0.28301886792452829</v>
      </c>
      <c r="T1260">
        <f>IFERROR($J1260/IF($A1260&lt;COUNTIFS($K$1:T$1,"&lt;&gt;"),0,SUMIFS($J:$J,$B:$B,$B1260,$A:$A,"&gt;="&amp;COUNTIFS($K$1:T$1,"&lt;&gt;"))),0)</f>
        <v>0.39999999999999997</v>
      </c>
      <c r="U1260">
        <f>IFERROR($J1260/IF($A1260&lt;COUNTIFS($K$1:U$1,"&lt;&gt;"),0,SUMIFS($J:$J,$B:$B,$B1260,$A:$A,"&gt;="&amp;COUNTIFS($K$1:U$1,"&lt;&gt;"))),0)</f>
        <v>0</v>
      </c>
      <c r="V1260">
        <f>IFERROR($J1260/IF($A1260&lt;COUNTIFS($K$1:V$1,"&lt;&gt;"),0,SUMIFS($J:$J,$B:$B,$B1260,$A:$A,"&gt;="&amp;COUNTIFS($K$1:V$1,"&lt;&gt;"))),0)</f>
        <v>0</v>
      </c>
      <c r="W1260">
        <f t="shared" si="442"/>
        <v>8.1967213114754092E-2</v>
      </c>
      <c r="X1260">
        <f t="shared" si="422"/>
        <v>8.1967213114754092E-2</v>
      </c>
      <c r="Y1260">
        <f t="shared" si="423"/>
        <v>8.1967213114754092E-2</v>
      </c>
      <c r="Z1260">
        <f t="shared" si="424"/>
        <v>8.1967213114754092E-2</v>
      </c>
      <c r="AA1260">
        <f t="shared" si="425"/>
        <v>8.1967213114754092E-2</v>
      </c>
      <c r="AB1260">
        <f t="shared" si="426"/>
        <v>8.1967213114754092E-2</v>
      </c>
      <c r="AC1260">
        <f t="shared" si="427"/>
        <v>8.1967213114754092E-2</v>
      </c>
      <c r="AD1260">
        <f t="shared" si="428"/>
        <v>8.1967213114754092E-2</v>
      </c>
      <c r="AE1260">
        <f t="shared" si="429"/>
        <v>8.1967213114754092E-2</v>
      </c>
      <c r="AF1260">
        <f t="shared" si="430"/>
        <v>8.1967213114754092E-2</v>
      </c>
      <c r="AG1260">
        <f t="shared" si="431"/>
        <v>8.1967213114754092E-2</v>
      </c>
      <c r="AH1260">
        <f t="shared" si="432"/>
        <v>0</v>
      </c>
      <c r="AI1260">
        <f t="shared" si="433"/>
        <v>0</v>
      </c>
      <c r="AJ1260" s="2" t="str">
        <f t="shared" si="443"/>
        <v>1046753</v>
      </c>
    </row>
    <row r="1261" spans="1:36" x14ac:dyDescent="0.25">
      <c r="A1261">
        <v>11</v>
      </c>
      <c r="B1261" s="1">
        <v>46753</v>
      </c>
      <c r="C1261" s="1">
        <f t="shared" si="434"/>
        <v>47088</v>
      </c>
      <c r="D1261" s="1">
        <f t="shared" si="435"/>
        <v>46767</v>
      </c>
      <c r="E1261" s="1">
        <f t="shared" si="436"/>
        <v>47088</v>
      </c>
      <c r="F1261" s="1">
        <f t="shared" si="437"/>
        <v>47119</v>
      </c>
      <c r="G1261" s="1">
        <f t="shared" si="438"/>
        <v>47133</v>
      </c>
      <c r="H1261">
        <f t="shared" si="439"/>
        <v>366</v>
      </c>
      <c r="I1261">
        <f t="shared" si="440"/>
        <v>31</v>
      </c>
      <c r="J1261">
        <f t="shared" si="441"/>
        <v>8.4699453551912565E-2</v>
      </c>
      <c r="K1261">
        <f>IFERROR($J1261/IF($A1261&lt;COUNTIFS($K$1:K$1,"&lt;&gt;"),0,SUMIFS($J:$J,$B:$B,$B1261,$A:$A,"&gt;="&amp;COUNTIFS($K$1:K$1,"&lt;&gt;"))),0)</f>
        <v>8.882521489971347E-2</v>
      </c>
      <c r="L1261">
        <f>IFERROR($J1261/IF($A1261&lt;COUNTIFS($K$1:L$1,"&lt;&gt;"),0,SUMIFS($J:$J,$B:$B,$B1261,$A:$A,"&gt;="&amp;COUNTIFS($K$1:L$1,"&lt;&gt;"))),0)</f>
        <v>9.6875000000000003E-2</v>
      </c>
      <c r="M1261">
        <f>IFERROR($J1261/IF($A1261&lt;COUNTIFS($K$1:M$1,"&lt;&gt;"),0,SUMIFS($J:$J,$B:$B,$B1261,$A:$A,"&gt;="&amp;COUNTIFS($K$1:M$1,"&lt;&gt;"))),0)</f>
        <v>0.10726643598615916</v>
      </c>
      <c r="N1261">
        <f>IFERROR($J1261/IF($A1261&lt;COUNTIFS($K$1:N$1,"&lt;&gt;"),0,SUMIFS($J:$J,$B:$B,$B1261,$A:$A,"&gt;="&amp;COUNTIFS($K$1:N$1,"&lt;&gt;"))),0)</f>
        <v>0.11969111969111969</v>
      </c>
      <c r="O1261">
        <f>IFERROR($J1261/IF($A1261&lt;COUNTIFS($K$1:O$1,"&lt;&gt;"),0,SUMIFS($J:$J,$B:$B,$B1261,$A:$A,"&gt;="&amp;COUNTIFS($K$1:O$1,"&lt;&gt;"))),0)</f>
        <v>0.13596491228070173</v>
      </c>
      <c r="P1261">
        <f>IFERROR($J1261/IF($A1261&lt;COUNTIFS($K$1:P$1,"&lt;&gt;"),0,SUMIFS($J:$J,$B:$B,$B1261,$A:$A,"&gt;="&amp;COUNTIFS($K$1:P$1,"&lt;&gt;"))),0)</f>
        <v>0.15656565656565655</v>
      </c>
      <c r="Q1261">
        <f>IFERROR($J1261/IF($A1261&lt;COUNTIFS($K$1:Q$1,"&lt;&gt;"),0,SUMIFS($J:$J,$B:$B,$B1261,$A:$A,"&gt;="&amp;COUNTIFS($K$1:Q$1,"&lt;&gt;"))),0)</f>
        <v>0.18562874251497008</v>
      </c>
      <c r="R1261">
        <f>IFERROR($J1261/IF($A1261&lt;COUNTIFS($K$1:R$1,"&lt;&gt;"),0,SUMIFS($J:$J,$B:$B,$B1261,$A:$A,"&gt;="&amp;COUNTIFS($K$1:R$1,"&lt;&gt;"))),0)</f>
        <v>0.22794117647058826</v>
      </c>
      <c r="S1261">
        <f>IFERROR($J1261/IF($A1261&lt;COUNTIFS($K$1:S$1,"&lt;&gt;"),0,SUMIFS($J:$J,$B:$B,$B1261,$A:$A,"&gt;="&amp;COUNTIFS($K$1:S$1,"&lt;&gt;"))),0)</f>
        <v>0.29245283018867924</v>
      </c>
      <c r="T1261">
        <f>IFERROR($J1261/IF($A1261&lt;COUNTIFS($K$1:T$1,"&lt;&gt;"),0,SUMIFS($J:$J,$B:$B,$B1261,$A:$A,"&gt;="&amp;COUNTIFS($K$1:T$1,"&lt;&gt;"))),0)</f>
        <v>0.41333333333333333</v>
      </c>
      <c r="U1261">
        <f>IFERROR($J1261/IF($A1261&lt;COUNTIFS($K$1:U$1,"&lt;&gt;"),0,SUMIFS($J:$J,$B:$B,$B1261,$A:$A,"&gt;="&amp;COUNTIFS($K$1:U$1,"&lt;&gt;"))),0)</f>
        <v>0.68888888888888888</v>
      </c>
      <c r="V1261">
        <f>IFERROR($J1261/IF($A1261&lt;COUNTIFS($K$1:V$1,"&lt;&gt;"),0,SUMIFS($J:$J,$B:$B,$B1261,$A:$A,"&gt;="&amp;COUNTIFS($K$1:V$1,"&lt;&gt;"))),0)</f>
        <v>0</v>
      </c>
      <c r="W1261">
        <f t="shared" si="442"/>
        <v>8.4699453551912565E-2</v>
      </c>
      <c r="X1261">
        <f t="shared" si="422"/>
        <v>8.4699453551912565E-2</v>
      </c>
      <c r="Y1261">
        <f t="shared" si="423"/>
        <v>8.4699453551912565E-2</v>
      </c>
      <c r="Z1261">
        <f t="shared" si="424"/>
        <v>8.4699453551912565E-2</v>
      </c>
      <c r="AA1261">
        <f t="shared" si="425"/>
        <v>8.4699453551912565E-2</v>
      </c>
      <c r="AB1261">
        <f t="shared" si="426"/>
        <v>8.4699453551912565E-2</v>
      </c>
      <c r="AC1261">
        <f t="shared" si="427"/>
        <v>8.4699453551912565E-2</v>
      </c>
      <c r="AD1261">
        <f t="shared" si="428"/>
        <v>8.4699453551912565E-2</v>
      </c>
      <c r="AE1261">
        <f t="shared" si="429"/>
        <v>8.4699453551912565E-2</v>
      </c>
      <c r="AF1261">
        <f t="shared" si="430"/>
        <v>8.4699453551912565E-2</v>
      </c>
      <c r="AG1261">
        <f t="shared" si="431"/>
        <v>8.4699453551912565E-2</v>
      </c>
      <c r="AH1261">
        <f t="shared" si="432"/>
        <v>8.4699453551912565E-2</v>
      </c>
      <c r="AI1261">
        <f t="shared" si="433"/>
        <v>0</v>
      </c>
      <c r="AJ1261" s="2" t="str">
        <f t="shared" si="443"/>
        <v>1146753</v>
      </c>
    </row>
    <row r="1262" spans="1:36" x14ac:dyDescent="0.25">
      <c r="A1262">
        <v>12</v>
      </c>
      <c r="B1262" s="1">
        <v>46753</v>
      </c>
      <c r="C1262" s="1">
        <f t="shared" si="434"/>
        <v>47119</v>
      </c>
      <c r="D1262" s="1">
        <f t="shared" si="435"/>
        <v>46767</v>
      </c>
      <c r="E1262" s="1">
        <f t="shared" si="436"/>
        <v>47119</v>
      </c>
      <c r="F1262" s="1">
        <f t="shared" si="437"/>
        <v>47133</v>
      </c>
      <c r="G1262" s="1">
        <f t="shared" si="438"/>
        <v>47133</v>
      </c>
      <c r="H1262">
        <f t="shared" si="439"/>
        <v>366</v>
      </c>
      <c r="I1262">
        <f t="shared" si="440"/>
        <v>14</v>
      </c>
      <c r="J1262">
        <f t="shared" si="441"/>
        <v>3.825136612021858E-2</v>
      </c>
      <c r="K1262">
        <f>IFERROR($J1262/IF($A1262&lt;COUNTIFS($K$1:K$1,"&lt;&gt;"),0,SUMIFS($J:$J,$B:$B,$B1262,$A:$A,"&gt;="&amp;COUNTIFS($K$1:K$1,"&lt;&gt;"))),0)</f>
        <v>4.0114613180515762E-2</v>
      </c>
      <c r="L1262">
        <f>IFERROR($J1262/IF($A1262&lt;COUNTIFS($K$1:L$1,"&lt;&gt;"),0,SUMIFS($J:$J,$B:$B,$B1262,$A:$A,"&gt;="&amp;COUNTIFS($K$1:L$1,"&lt;&gt;"))),0)</f>
        <v>4.3750000000000004E-2</v>
      </c>
      <c r="M1262">
        <f>IFERROR($J1262/IF($A1262&lt;COUNTIFS($K$1:M$1,"&lt;&gt;"),0,SUMIFS($J:$J,$B:$B,$B1262,$A:$A,"&gt;="&amp;COUNTIFS($K$1:M$1,"&lt;&gt;"))),0)</f>
        <v>4.8442906574394463E-2</v>
      </c>
      <c r="N1262">
        <f>IFERROR($J1262/IF($A1262&lt;COUNTIFS($K$1:N$1,"&lt;&gt;"),0,SUMIFS($J:$J,$B:$B,$B1262,$A:$A,"&gt;="&amp;COUNTIFS($K$1:N$1,"&lt;&gt;"))),0)</f>
        <v>5.4054054054054057E-2</v>
      </c>
      <c r="O1262">
        <f>IFERROR($J1262/IF($A1262&lt;COUNTIFS($K$1:O$1,"&lt;&gt;"),0,SUMIFS($J:$J,$B:$B,$B1262,$A:$A,"&gt;="&amp;COUNTIFS($K$1:O$1,"&lt;&gt;"))),0)</f>
        <v>6.1403508771929821E-2</v>
      </c>
      <c r="P1262">
        <f>IFERROR($J1262/IF($A1262&lt;COUNTIFS($K$1:P$1,"&lt;&gt;"),0,SUMIFS($J:$J,$B:$B,$B1262,$A:$A,"&gt;="&amp;COUNTIFS($K$1:P$1,"&lt;&gt;"))),0)</f>
        <v>7.0707070707070704E-2</v>
      </c>
      <c r="Q1262">
        <f>IFERROR($J1262/IF($A1262&lt;COUNTIFS($K$1:Q$1,"&lt;&gt;"),0,SUMIFS($J:$J,$B:$B,$B1262,$A:$A,"&gt;="&amp;COUNTIFS($K$1:Q$1,"&lt;&gt;"))),0)</f>
        <v>8.3832335329341326E-2</v>
      </c>
      <c r="R1262">
        <f>IFERROR($J1262/IF($A1262&lt;COUNTIFS($K$1:R$1,"&lt;&gt;"),0,SUMIFS($J:$J,$B:$B,$B1262,$A:$A,"&gt;="&amp;COUNTIFS($K$1:R$1,"&lt;&gt;"))),0)</f>
        <v>0.10294117647058824</v>
      </c>
      <c r="S1262">
        <f>IFERROR($J1262/IF($A1262&lt;COUNTIFS($K$1:S$1,"&lt;&gt;"),0,SUMIFS($J:$J,$B:$B,$B1262,$A:$A,"&gt;="&amp;COUNTIFS($K$1:S$1,"&lt;&gt;"))),0)</f>
        <v>0.13207547169811321</v>
      </c>
      <c r="T1262">
        <f>IFERROR($J1262/IF($A1262&lt;COUNTIFS($K$1:T$1,"&lt;&gt;"),0,SUMIFS($J:$J,$B:$B,$B1262,$A:$A,"&gt;="&amp;COUNTIFS($K$1:T$1,"&lt;&gt;"))),0)</f>
        <v>0.18666666666666668</v>
      </c>
      <c r="U1262">
        <f>IFERROR($J1262/IF($A1262&lt;COUNTIFS($K$1:U$1,"&lt;&gt;"),0,SUMIFS($J:$J,$B:$B,$B1262,$A:$A,"&gt;="&amp;COUNTIFS($K$1:U$1,"&lt;&gt;"))),0)</f>
        <v>0.31111111111111112</v>
      </c>
      <c r="V1262">
        <f>IFERROR($J1262/IF($A1262&lt;COUNTIFS($K$1:V$1,"&lt;&gt;"),0,SUMIFS($J:$J,$B:$B,$B1262,$A:$A,"&gt;="&amp;COUNTIFS($K$1:V$1,"&lt;&gt;"))),0)</f>
        <v>1</v>
      </c>
      <c r="W1262">
        <f t="shared" si="442"/>
        <v>3.825136612021858E-2</v>
      </c>
      <c r="X1262">
        <f t="shared" si="422"/>
        <v>3.825136612021858E-2</v>
      </c>
      <c r="Y1262">
        <f t="shared" si="423"/>
        <v>3.825136612021858E-2</v>
      </c>
      <c r="Z1262">
        <f t="shared" si="424"/>
        <v>3.825136612021858E-2</v>
      </c>
      <c r="AA1262">
        <f t="shared" si="425"/>
        <v>3.825136612021858E-2</v>
      </c>
      <c r="AB1262">
        <f t="shared" si="426"/>
        <v>3.825136612021858E-2</v>
      </c>
      <c r="AC1262">
        <f t="shared" si="427"/>
        <v>3.825136612021858E-2</v>
      </c>
      <c r="AD1262">
        <f t="shared" si="428"/>
        <v>3.825136612021858E-2</v>
      </c>
      <c r="AE1262">
        <f t="shared" si="429"/>
        <v>3.825136612021858E-2</v>
      </c>
      <c r="AF1262">
        <f t="shared" si="430"/>
        <v>3.825136612021858E-2</v>
      </c>
      <c r="AG1262">
        <f t="shared" si="431"/>
        <v>3.825136612021858E-2</v>
      </c>
      <c r="AH1262">
        <f t="shared" si="432"/>
        <v>3.825136612021858E-2</v>
      </c>
      <c r="AI1262">
        <f t="shared" si="433"/>
        <v>3.825136612021858E-2</v>
      </c>
      <c r="AJ1262" s="2" t="str">
        <f t="shared" si="443"/>
        <v>1246753</v>
      </c>
    </row>
    <row r="1263" spans="1:36" x14ac:dyDescent="0.25">
      <c r="A1263">
        <v>0</v>
      </c>
      <c r="B1263" s="1">
        <v>46784</v>
      </c>
      <c r="C1263" s="1">
        <f t="shared" si="434"/>
        <v>46784</v>
      </c>
      <c r="D1263" s="1">
        <f t="shared" si="435"/>
        <v>46798</v>
      </c>
      <c r="E1263" s="1">
        <f t="shared" si="436"/>
        <v>46798</v>
      </c>
      <c r="F1263" s="1">
        <f t="shared" si="437"/>
        <v>46813</v>
      </c>
      <c r="G1263" s="1">
        <f t="shared" si="438"/>
        <v>47164</v>
      </c>
      <c r="H1263">
        <f t="shared" si="439"/>
        <v>366</v>
      </c>
      <c r="I1263">
        <f t="shared" si="440"/>
        <v>15</v>
      </c>
      <c r="J1263">
        <f t="shared" si="441"/>
        <v>4.0983606557377046E-2</v>
      </c>
      <c r="K1263">
        <f>IFERROR($J1263/IF($A1263&lt;COUNTIFS($K$1:K$1,"&lt;&gt;"),0,SUMIFS($J:$J,$B:$B,$B1263,$A:$A,"&gt;="&amp;COUNTIFS($K$1:K$1,"&lt;&gt;"))),0)</f>
        <v>0</v>
      </c>
      <c r="L1263">
        <f>IFERROR($J1263/IF($A1263&lt;COUNTIFS($K$1:L$1,"&lt;&gt;"),0,SUMIFS($J:$J,$B:$B,$B1263,$A:$A,"&gt;="&amp;COUNTIFS($K$1:L$1,"&lt;&gt;"))),0)</f>
        <v>0</v>
      </c>
      <c r="M1263">
        <f>IFERROR($J1263/IF($A1263&lt;COUNTIFS($K$1:M$1,"&lt;&gt;"),0,SUMIFS($J:$J,$B:$B,$B1263,$A:$A,"&gt;="&amp;COUNTIFS($K$1:M$1,"&lt;&gt;"))),0)</f>
        <v>0</v>
      </c>
      <c r="N1263">
        <f>IFERROR($J1263/IF($A1263&lt;COUNTIFS($K$1:N$1,"&lt;&gt;"),0,SUMIFS($J:$J,$B:$B,$B1263,$A:$A,"&gt;="&amp;COUNTIFS($K$1:N$1,"&lt;&gt;"))),0)</f>
        <v>0</v>
      </c>
      <c r="O1263">
        <f>IFERROR($J1263/IF($A1263&lt;COUNTIFS($K$1:O$1,"&lt;&gt;"),0,SUMIFS($J:$J,$B:$B,$B1263,$A:$A,"&gt;="&amp;COUNTIFS($K$1:O$1,"&lt;&gt;"))),0)</f>
        <v>0</v>
      </c>
      <c r="P1263">
        <f>IFERROR($J1263/IF($A1263&lt;COUNTIFS($K$1:P$1,"&lt;&gt;"),0,SUMIFS($J:$J,$B:$B,$B1263,$A:$A,"&gt;="&amp;COUNTIFS($K$1:P$1,"&lt;&gt;"))),0)</f>
        <v>0</v>
      </c>
      <c r="Q1263">
        <f>IFERROR($J1263/IF($A1263&lt;COUNTIFS($K$1:Q$1,"&lt;&gt;"),0,SUMIFS($J:$J,$B:$B,$B1263,$A:$A,"&gt;="&amp;COUNTIFS($K$1:Q$1,"&lt;&gt;"))),0)</f>
        <v>0</v>
      </c>
      <c r="R1263">
        <f>IFERROR($J1263/IF($A1263&lt;COUNTIFS($K$1:R$1,"&lt;&gt;"),0,SUMIFS($J:$J,$B:$B,$B1263,$A:$A,"&gt;="&amp;COUNTIFS($K$1:R$1,"&lt;&gt;"))),0)</f>
        <v>0</v>
      </c>
      <c r="S1263">
        <f>IFERROR($J1263/IF($A1263&lt;COUNTIFS($K$1:S$1,"&lt;&gt;"),0,SUMIFS($J:$J,$B:$B,$B1263,$A:$A,"&gt;="&amp;COUNTIFS($K$1:S$1,"&lt;&gt;"))),0)</f>
        <v>0</v>
      </c>
      <c r="T1263">
        <f>IFERROR($J1263/IF($A1263&lt;COUNTIFS($K$1:T$1,"&lt;&gt;"),0,SUMIFS($J:$J,$B:$B,$B1263,$A:$A,"&gt;="&amp;COUNTIFS($K$1:T$1,"&lt;&gt;"))),0)</f>
        <v>0</v>
      </c>
      <c r="U1263">
        <f>IFERROR($J1263/IF($A1263&lt;COUNTIFS($K$1:U$1,"&lt;&gt;"),0,SUMIFS($J:$J,$B:$B,$B1263,$A:$A,"&gt;="&amp;COUNTIFS($K$1:U$1,"&lt;&gt;"))),0)</f>
        <v>0</v>
      </c>
      <c r="V1263">
        <f>IFERROR($J1263/IF($A1263&lt;COUNTIFS($K$1:V$1,"&lt;&gt;"),0,SUMIFS($J:$J,$B:$B,$B1263,$A:$A,"&gt;="&amp;COUNTIFS($K$1:V$1,"&lt;&gt;"))),0)</f>
        <v>0</v>
      </c>
      <c r="W1263">
        <f t="shared" si="442"/>
        <v>4.0983606557377046E-2</v>
      </c>
      <c r="X1263">
        <f t="shared" si="422"/>
        <v>0</v>
      </c>
      <c r="Y1263">
        <f t="shared" si="423"/>
        <v>0</v>
      </c>
      <c r="Z1263">
        <f t="shared" si="424"/>
        <v>0</v>
      </c>
      <c r="AA1263">
        <f t="shared" si="425"/>
        <v>0</v>
      </c>
      <c r="AB1263">
        <f t="shared" si="426"/>
        <v>0</v>
      </c>
      <c r="AC1263">
        <f t="shared" si="427"/>
        <v>0</v>
      </c>
      <c r="AD1263">
        <f t="shared" si="428"/>
        <v>0</v>
      </c>
      <c r="AE1263">
        <f t="shared" si="429"/>
        <v>0</v>
      </c>
      <c r="AF1263">
        <f t="shared" si="430"/>
        <v>0</v>
      </c>
      <c r="AG1263">
        <f t="shared" si="431"/>
        <v>0</v>
      </c>
      <c r="AH1263">
        <f t="shared" si="432"/>
        <v>0</v>
      </c>
      <c r="AI1263">
        <f t="shared" si="433"/>
        <v>0</v>
      </c>
      <c r="AJ1263" s="2" t="str">
        <f t="shared" si="443"/>
        <v>046784</v>
      </c>
    </row>
    <row r="1264" spans="1:36" x14ac:dyDescent="0.25">
      <c r="A1264">
        <v>1</v>
      </c>
      <c r="B1264" s="1">
        <v>46784</v>
      </c>
      <c r="C1264" s="1">
        <f t="shared" si="434"/>
        <v>46813</v>
      </c>
      <c r="D1264" s="1">
        <f t="shared" si="435"/>
        <v>46798</v>
      </c>
      <c r="E1264" s="1">
        <f t="shared" si="436"/>
        <v>46813</v>
      </c>
      <c r="F1264" s="1">
        <f t="shared" si="437"/>
        <v>46844</v>
      </c>
      <c r="G1264" s="1">
        <f t="shared" si="438"/>
        <v>47164</v>
      </c>
      <c r="H1264">
        <f t="shared" si="439"/>
        <v>366</v>
      </c>
      <c r="I1264">
        <f t="shared" si="440"/>
        <v>31</v>
      </c>
      <c r="J1264">
        <f t="shared" si="441"/>
        <v>8.4699453551912565E-2</v>
      </c>
      <c r="K1264">
        <f>IFERROR($J1264/IF($A1264&lt;COUNTIFS($K$1:K$1,"&lt;&gt;"),0,SUMIFS($J:$J,$B:$B,$B1264,$A:$A,"&gt;="&amp;COUNTIFS($K$1:K$1,"&lt;&gt;"))),0)</f>
        <v>8.8319088319088315E-2</v>
      </c>
      <c r="L1264">
        <f>IFERROR($J1264/IF($A1264&lt;COUNTIFS($K$1:L$1,"&lt;&gt;"),0,SUMIFS($J:$J,$B:$B,$B1264,$A:$A,"&gt;="&amp;COUNTIFS($K$1:L$1,"&lt;&gt;"))),0)</f>
        <v>0</v>
      </c>
      <c r="M1264">
        <f>IFERROR($J1264/IF($A1264&lt;COUNTIFS($K$1:M$1,"&lt;&gt;"),0,SUMIFS($J:$J,$B:$B,$B1264,$A:$A,"&gt;="&amp;COUNTIFS($K$1:M$1,"&lt;&gt;"))),0)</f>
        <v>0</v>
      </c>
      <c r="N1264">
        <f>IFERROR($J1264/IF($A1264&lt;COUNTIFS($K$1:N$1,"&lt;&gt;"),0,SUMIFS($J:$J,$B:$B,$B1264,$A:$A,"&gt;="&amp;COUNTIFS($K$1:N$1,"&lt;&gt;"))),0)</f>
        <v>0</v>
      </c>
      <c r="O1264">
        <f>IFERROR($J1264/IF($A1264&lt;COUNTIFS($K$1:O$1,"&lt;&gt;"),0,SUMIFS($J:$J,$B:$B,$B1264,$A:$A,"&gt;="&amp;COUNTIFS($K$1:O$1,"&lt;&gt;"))),0)</f>
        <v>0</v>
      </c>
      <c r="P1264">
        <f>IFERROR($J1264/IF($A1264&lt;COUNTIFS($K$1:P$1,"&lt;&gt;"),0,SUMIFS($J:$J,$B:$B,$B1264,$A:$A,"&gt;="&amp;COUNTIFS($K$1:P$1,"&lt;&gt;"))),0)</f>
        <v>0</v>
      </c>
      <c r="Q1264">
        <f>IFERROR($J1264/IF($A1264&lt;COUNTIFS($K$1:Q$1,"&lt;&gt;"),0,SUMIFS($J:$J,$B:$B,$B1264,$A:$A,"&gt;="&amp;COUNTIFS($K$1:Q$1,"&lt;&gt;"))),0)</f>
        <v>0</v>
      </c>
      <c r="R1264">
        <f>IFERROR($J1264/IF($A1264&lt;COUNTIFS($K$1:R$1,"&lt;&gt;"),0,SUMIFS($J:$J,$B:$B,$B1264,$A:$A,"&gt;="&amp;COUNTIFS($K$1:R$1,"&lt;&gt;"))),0)</f>
        <v>0</v>
      </c>
      <c r="S1264">
        <f>IFERROR($J1264/IF($A1264&lt;COUNTIFS($K$1:S$1,"&lt;&gt;"),0,SUMIFS($J:$J,$B:$B,$B1264,$A:$A,"&gt;="&amp;COUNTIFS($K$1:S$1,"&lt;&gt;"))),0)</f>
        <v>0</v>
      </c>
      <c r="T1264">
        <f>IFERROR($J1264/IF($A1264&lt;COUNTIFS($K$1:T$1,"&lt;&gt;"),0,SUMIFS($J:$J,$B:$B,$B1264,$A:$A,"&gt;="&amp;COUNTIFS($K$1:T$1,"&lt;&gt;"))),0)</f>
        <v>0</v>
      </c>
      <c r="U1264">
        <f>IFERROR($J1264/IF($A1264&lt;COUNTIFS($K$1:U$1,"&lt;&gt;"),0,SUMIFS($J:$J,$B:$B,$B1264,$A:$A,"&gt;="&amp;COUNTIFS($K$1:U$1,"&lt;&gt;"))),0)</f>
        <v>0</v>
      </c>
      <c r="V1264">
        <f>IFERROR($J1264/IF($A1264&lt;COUNTIFS($K$1:V$1,"&lt;&gt;"),0,SUMIFS($J:$J,$B:$B,$B1264,$A:$A,"&gt;="&amp;COUNTIFS($K$1:V$1,"&lt;&gt;"))),0)</f>
        <v>0</v>
      </c>
      <c r="W1264">
        <f t="shared" si="442"/>
        <v>8.4699453551912565E-2</v>
      </c>
      <c r="X1264">
        <f t="shared" si="422"/>
        <v>8.4699453551912565E-2</v>
      </c>
      <c r="Y1264">
        <f t="shared" si="423"/>
        <v>0</v>
      </c>
      <c r="Z1264">
        <f t="shared" si="424"/>
        <v>0</v>
      </c>
      <c r="AA1264">
        <f t="shared" si="425"/>
        <v>0</v>
      </c>
      <c r="AB1264">
        <f t="shared" si="426"/>
        <v>0</v>
      </c>
      <c r="AC1264">
        <f t="shared" si="427"/>
        <v>0</v>
      </c>
      <c r="AD1264">
        <f t="shared" si="428"/>
        <v>0</v>
      </c>
      <c r="AE1264">
        <f t="shared" si="429"/>
        <v>0</v>
      </c>
      <c r="AF1264">
        <f t="shared" si="430"/>
        <v>0</v>
      </c>
      <c r="AG1264">
        <f t="shared" si="431"/>
        <v>0</v>
      </c>
      <c r="AH1264">
        <f t="shared" si="432"/>
        <v>0</v>
      </c>
      <c r="AI1264">
        <f t="shared" si="433"/>
        <v>0</v>
      </c>
      <c r="AJ1264" s="2" t="str">
        <f t="shared" si="443"/>
        <v>146784</v>
      </c>
    </row>
    <row r="1265" spans="1:36" x14ac:dyDescent="0.25">
      <c r="A1265">
        <v>2</v>
      </c>
      <c r="B1265" s="1">
        <v>46784</v>
      </c>
      <c r="C1265" s="1">
        <f t="shared" si="434"/>
        <v>46844</v>
      </c>
      <c r="D1265" s="1">
        <f t="shared" si="435"/>
        <v>46798</v>
      </c>
      <c r="E1265" s="1">
        <f t="shared" si="436"/>
        <v>46844</v>
      </c>
      <c r="F1265" s="1">
        <f t="shared" si="437"/>
        <v>46874</v>
      </c>
      <c r="G1265" s="1">
        <f t="shared" si="438"/>
        <v>47164</v>
      </c>
      <c r="H1265">
        <f t="shared" si="439"/>
        <v>366</v>
      </c>
      <c r="I1265">
        <f t="shared" si="440"/>
        <v>30</v>
      </c>
      <c r="J1265">
        <f t="shared" si="441"/>
        <v>8.1967213114754092E-2</v>
      </c>
      <c r="K1265">
        <f>IFERROR($J1265/IF($A1265&lt;COUNTIFS($K$1:K$1,"&lt;&gt;"),0,SUMIFS($J:$J,$B:$B,$B1265,$A:$A,"&gt;="&amp;COUNTIFS($K$1:K$1,"&lt;&gt;"))),0)</f>
        <v>8.5470085470085472E-2</v>
      </c>
      <c r="L1265">
        <f>IFERROR($J1265/IF($A1265&lt;COUNTIFS($K$1:L$1,"&lt;&gt;"),0,SUMIFS($J:$J,$B:$B,$B1265,$A:$A,"&gt;="&amp;COUNTIFS($K$1:L$1,"&lt;&gt;"))),0)</f>
        <v>9.375E-2</v>
      </c>
      <c r="M1265">
        <f>IFERROR($J1265/IF($A1265&lt;COUNTIFS($K$1:M$1,"&lt;&gt;"),0,SUMIFS($J:$J,$B:$B,$B1265,$A:$A,"&gt;="&amp;COUNTIFS($K$1:M$1,"&lt;&gt;"))),0)</f>
        <v>0</v>
      </c>
      <c r="N1265">
        <f>IFERROR($J1265/IF($A1265&lt;COUNTIFS($K$1:N$1,"&lt;&gt;"),0,SUMIFS($J:$J,$B:$B,$B1265,$A:$A,"&gt;="&amp;COUNTIFS($K$1:N$1,"&lt;&gt;"))),0)</f>
        <v>0</v>
      </c>
      <c r="O1265">
        <f>IFERROR($J1265/IF($A1265&lt;COUNTIFS($K$1:O$1,"&lt;&gt;"),0,SUMIFS($J:$J,$B:$B,$B1265,$A:$A,"&gt;="&amp;COUNTIFS($K$1:O$1,"&lt;&gt;"))),0)</f>
        <v>0</v>
      </c>
      <c r="P1265">
        <f>IFERROR($J1265/IF($A1265&lt;COUNTIFS($K$1:P$1,"&lt;&gt;"),0,SUMIFS($J:$J,$B:$B,$B1265,$A:$A,"&gt;="&amp;COUNTIFS($K$1:P$1,"&lt;&gt;"))),0)</f>
        <v>0</v>
      </c>
      <c r="Q1265">
        <f>IFERROR($J1265/IF($A1265&lt;COUNTIFS($K$1:Q$1,"&lt;&gt;"),0,SUMIFS($J:$J,$B:$B,$B1265,$A:$A,"&gt;="&amp;COUNTIFS($K$1:Q$1,"&lt;&gt;"))),0)</f>
        <v>0</v>
      </c>
      <c r="R1265">
        <f>IFERROR($J1265/IF($A1265&lt;COUNTIFS($K$1:R$1,"&lt;&gt;"),0,SUMIFS($J:$J,$B:$B,$B1265,$A:$A,"&gt;="&amp;COUNTIFS($K$1:R$1,"&lt;&gt;"))),0)</f>
        <v>0</v>
      </c>
      <c r="S1265">
        <f>IFERROR($J1265/IF($A1265&lt;COUNTIFS($K$1:S$1,"&lt;&gt;"),0,SUMIFS($J:$J,$B:$B,$B1265,$A:$A,"&gt;="&amp;COUNTIFS($K$1:S$1,"&lt;&gt;"))),0)</f>
        <v>0</v>
      </c>
      <c r="T1265">
        <f>IFERROR($J1265/IF($A1265&lt;COUNTIFS($K$1:T$1,"&lt;&gt;"),0,SUMIFS($J:$J,$B:$B,$B1265,$A:$A,"&gt;="&amp;COUNTIFS($K$1:T$1,"&lt;&gt;"))),0)</f>
        <v>0</v>
      </c>
      <c r="U1265">
        <f>IFERROR($J1265/IF($A1265&lt;COUNTIFS($K$1:U$1,"&lt;&gt;"),0,SUMIFS($J:$J,$B:$B,$B1265,$A:$A,"&gt;="&amp;COUNTIFS($K$1:U$1,"&lt;&gt;"))),0)</f>
        <v>0</v>
      </c>
      <c r="V1265">
        <f>IFERROR($J1265/IF($A1265&lt;COUNTIFS($K$1:V$1,"&lt;&gt;"),0,SUMIFS($J:$J,$B:$B,$B1265,$A:$A,"&gt;="&amp;COUNTIFS($K$1:V$1,"&lt;&gt;"))),0)</f>
        <v>0</v>
      </c>
      <c r="W1265">
        <f t="shared" si="442"/>
        <v>8.1967213114754092E-2</v>
      </c>
      <c r="X1265">
        <f t="shared" si="422"/>
        <v>8.1967213114754092E-2</v>
      </c>
      <c r="Y1265">
        <f t="shared" si="423"/>
        <v>8.1967213114754092E-2</v>
      </c>
      <c r="Z1265">
        <f t="shared" si="424"/>
        <v>0</v>
      </c>
      <c r="AA1265">
        <f t="shared" si="425"/>
        <v>0</v>
      </c>
      <c r="AB1265">
        <f t="shared" si="426"/>
        <v>0</v>
      </c>
      <c r="AC1265">
        <f t="shared" si="427"/>
        <v>0</v>
      </c>
      <c r="AD1265">
        <f t="shared" si="428"/>
        <v>0</v>
      </c>
      <c r="AE1265">
        <f t="shared" si="429"/>
        <v>0</v>
      </c>
      <c r="AF1265">
        <f t="shared" si="430"/>
        <v>0</v>
      </c>
      <c r="AG1265">
        <f t="shared" si="431"/>
        <v>0</v>
      </c>
      <c r="AH1265">
        <f t="shared" si="432"/>
        <v>0</v>
      </c>
      <c r="AI1265">
        <f t="shared" si="433"/>
        <v>0</v>
      </c>
      <c r="AJ1265" s="2" t="str">
        <f t="shared" si="443"/>
        <v>246784</v>
      </c>
    </row>
    <row r="1266" spans="1:36" x14ac:dyDescent="0.25">
      <c r="A1266">
        <v>3</v>
      </c>
      <c r="B1266" s="1">
        <v>46784</v>
      </c>
      <c r="C1266" s="1">
        <f t="shared" si="434"/>
        <v>46874</v>
      </c>
      <c r="D1266" s="1">
        <f t="shared" si="435"/>
        <v>46798</v>
      </c>
      <c r="E1266" s="1">
        <f t="shared" si="436"/>
        <v>46874</v>
      </c>
      <c r="F1266" s="1">
        <f t="shared" si="437"/>
        <v>46905</v>
      </c>
      <c r="G1266" s="1">
        <f t="shared" si="438"/>
        <v>47164</v>
      </c>
      <c r="H1266">
        <f t="shared" si="439"/>
        <v>366</v>
      </c>
      <c r="I1266">
        <f t="shared" si="440"/>
        <v>31</v>
      </c>
      <c r="J1266">
        <f t="shared" si="441"/>
        <v>8.4699453551912565E-2</v>
      </c>
      <c r="K1266">
        <f>IFERROR($J1266/IF($A1266&lt;COUNTIFS($K$1:K$1,"&lt;&gt;"),0,SUMIFS($J:$J,$B:$B,$B1266,$A:$A,"&gt;="&amp;COUNTIFS($K$1:K$1,"&lt;&gt;"))),0)</f>
        <v>8.8319088319088315E-2</v>
      </c>
      <c r="L1266">
        <f>IFERROR($J1266/IF($A1266&lt;COUNTIFS($K$1:L$1,"&lt;&gt;"),0,SUMIFS($J:$J,$B:$B,$B1266,$A:$A,"&gt;="&amp;COUNTIFS($K$1:L$1,"&lt;&gt;"))),0)</f>
        <v>9.6875000000000003E-2</v>
      </c>
      <c r="M1266">
        <f>IFERROR($J1266/IF($A1266&lt;COUNTIFS($K$1:M$1,"&lt;&gt;"),0,SUMIFS($J:$J,$B:$B,$B1266,$A:$A,"&gt;="&amp;COUNTIFS($K$1:M$1,"&lt;&gt;"))),0)</f>
        <v>0.10689655172413792</v>
      </c>
      <c r="N1266">
        <f>IFERROR($J1266/IF($A1266&lt;COUNTIFS($K$1:N$1,"&lt;&gt;"),0,SUMIFS($J:$J,$B:$B,$B1266,$A:$A,"&gt;="&amp;COUNTIFS($K$1:N$1,"&lt;&gt;"))),0)</f>
        <v>0</v>
      </c>
      <c r="O1266">
        <f>IFERROR($J1266/IF($A1266&lt;COUNTIFS($K$1:O$1,"&lt;&gt;"),0,SUMIFS($J:$J,$B:$B,$B1266,$A:$A,"&gt;="&amp;COUNTIFS($K$1:O$1,"&lt;&gt;"))),0)</f>
        <v>0</v>
      </c>
      <c r="P1266">
        <f>IFERROR($J1266/IF($A1266&lt;COUNTIFS($K$1:P$1,"&lt;&gt;"),0,SUMIFS($J:$J,$B:$B,$B1266,$A:$A,"&gt;="&amp;COUNTIFS($K$1:P$1,"&lt;&gt;"))),0)</f>
        <v>0</v>
      </c>
      <c r="Q1266">
        <f>IFERROR($J1266/IF($A1266&lt;COUNTIFS($K$1:Q$1,"&lt;&gt;"),0,SUMIFS($J:$J,$B:$B,$B1266,$A:$A,"&gt;="&amp;COUNTIFS($K$1:Q$1,"&lt;&gt;"))),0)</f>
        <v>0</v>
      </c>
      <c r="R1266">
        <f>IFERROR($J1266/IF($A1266&lt;COUNTIFS($K$1:R$1,"&lt;&gt;"),0,SUMIFS($J:$J,$B:$B,$B1266,$A:$A,"&gt;="&amp;COUNTIFS($K$1:R$1,"&lt;&gt;"))),0)</f>
        <v>0</v>
      </c>
      <c r="S1266">
        <f>IFERROR($J1266/IF($A1266&lt;COUNTIFS($K$1:S$1,"&lt;&gt;"),0,SUMIFS($J:$J,$B:$B,$B1266,$A:$A,"&gt;="&amp;COUNTIFS($K$1:S$1,"&lt;&gt;"))),0)</f>
        <v>0</v>
      </c>
      <c r="T1266">
        <f>IFERROR($J1266/IF($A1266&lt;COUNTIFS($K$1:T$1,"&lt;&gt;"),0,SUMIFS($J:$J,$B:$B,$B1266,$A:$A,"&gt;="&amp;COUNTIFS($K$1:T$1,"&lt;&gt;"))),0)</f>
        <v>0</v>
      </c>
      <c r="U1266">
        <f>IFERROR($J1266/IF($A1266&lt;COUNTIFS($K$1:U$1,"&lt;&gt;"),0,SUMIFS($J:$J,$B:$B,$B1266,$A:$A,"&gt;="&amp;COUNTIFS($K$1:U$1,"&lt;&gt;"))),0)</f>
        <v>0</v>
      </c>
      <c r="V1266">
        <f>IFERROR($J1266/IF($A1266&lt;COUNTIFS($K$1:V$1,"&lt;&gt;"),0,SUMIFS($J:$J,$B:$B,$B1266,$A:$A,"&gt;="&amp;COUNTIFS($K$1:V$1,"&lt;&gt;"))),0)</f>
        <v>0</v>
      </c>
      <c r="W1266">
        <f t="shared" si="442"/>
        <v>8.4699453551912565E-2</v>
      </c>
      <c r="X1266">
        <f t="shared" si="422"/>
        <v>8.4699453551912565E-2</v>
      </c>
      <c r="Y1266">
        <f t="shared" si="423"/>
        <v>8.4699453551912565E-2</v>
      </c>
      <c r="Z1266">
        <f t="shared" si="424"/>
        <v>8.4699453551912565E-2</v>
      </c>
      <c r="AA1266">
        <f t="shared" si="425"/>
        <v>0</v>
      </c>
      <c r="AB1266">
        <f t="shared" si="426"/>
        <v>0</v>
      </c>
      <c r="AC1266">
        <f t="shared" si="427"/>
        <v>0</v>
      </c>
      <c r="AD1266">
        <f t="shared" si="428"/>
        <v>0</v>
      </c>
      <c r="AE1266">
        <f t="shared" si="429"/>
        <v>0</v>
      </c>
      <c r="AF1266">
        <f t="shared" si="430"/>
        <v>0</v>
      </c>
      <c r="AG1266">
        <f t="shared" si="431"/>
        <v>0</v>
      </c>
      <c r="AH1266">
        <f t="shared" si="432"/>
        <v>0</v>
      </c>
      <c r="AI1266">
        <f t="shared" si="433"/>
        <v>0</v>
      </c>
      <c r="AJ1266" s="2" t="str">
        <f t="shared" si="443"/>
        <v>346784</v>
      </c>
    </row>
    <row r="1267" spans="1:36" x14ac:dyDescent="0.25">
      <c r="A1267">
        <v>4</v>
      </c>
      <c r="B1267" s="1">
        <v>46784</v>
      </c>
      <c r="C1267" s="1">
        <f t="shared" si="434"/>
        <v>46905</v>
      </c>
      <c r="D1267" s="1">
        <f t="shared" si="435"/>
        <v>46798</v>
      </c>
      <c r="E1267" s="1">
        <f t="shared" si="436"/>
        <v>46905</v>
      </c>
      <c r="F1267" s="1">
        <f t="shared" si="437"/>
        <v>46935</v>
      </c>
      <c r="G1267" s="1">
        <f t="shared" si="438"/>
        <v>47164</v>
      </c>
      <c r="H1267">
        <f t="shared" si="439"/>
        <v>366</v>
      </c>
      <c r="I1267">
        <f t="shared" si="440"/>
        <v>30</v>
      </c>
      <c r="J1267">
        <f t="shared" si="441"/>
        <v>8.1967213114754092E-2</v>
      </c>
      <c r="K1267">
        <f>IFERROR($J1267/IF($A1267&lt;COUNTIFS($K$1:K$1,"&lt;&gt;"),0,SUMIFS($J:$J,$B:$B,$B1267,$A:$A,"&gt;="&amp;COUNTIFS($K$1:K$1,"&lt;&gt;"))),0)</f>
        <v>8.5470085470085472E-2</v>
      </c>
      <c r="L1267">
        <f>IFERROR($J1267/IF($A1267&lt;COUNTIFS($K$1:L$1,"&lt;&gt;"),0,SUMIFS($J:$J,$B:$B,$B1267,$A:$A,"&gt;="&amp;COUNTIFS($K$1:L$1,"&lt;&gt;"))),0)</f>
        <v>9.375E-2</v>
      </c>
      <c r="M1267">
        <f>IFERROR($J1267/IF($A1267&lt;COUNTIFS($K$1:M$1,"&lt;&gt;"),0,SUMIFS($J:$J,$B:$B,$B1267,$A:$A,"&gt;="&amp;COUNTIFS($K$1:M$1,"&lt;&gt;"))),0)</f>
        <v>0.10344827586206896</v>
      </c>
      <c r="N1267">
        <f>IFERROR($J1267/IF($A1267&lt;COUNTIFS($K$1:N$1,"&lt;&gt;"),0,SUMIFS($J:$J,$B:$B,$B1267,$A:$A,"&gt;="&amp;COUNTIFS($K$1:N$1,"&lt;&gt;"))),0)</f>
        <v>0.11583011583011582</v>
      </c>
      <c r="O1267">
        <f>IFERROR($J1267/IF($A1267&lt;COUNTIFS($K$1:O$1,"&lt;&gt;"),0,SUMIFS($J:$J,$B:$B,$B1267,$A:$A,"&gt;="&amp;COUNTIFS($K$1:O$1,"&lt;&gt;"))),0)</f>
        <v>0</v>
      </c>
      <c r="P1267">
        <f>IFERROR($J1267/IF($A1267&lt;COUNTIFS($K$1:P$1,"&lt;&gt;"),0,SUMIFS($J:$J,$B:$B,$B1267,$A:$A,"&gt;="&amp;COUNTIFS($K$1:P$1,"&lt;&gt;"))),0)</f>
        <v>0</v>
      </c>
      <c r="Q1267">
        <f>IFERROR($J1267/IF($A1267&lt;COUNTIFS($K$1:Q$1,"&lt;&gt;"),0,SUMIFS($J:$J,$B:$B,$B1267,$A:$A,"&gt;="&amp;COUNTIFS($K$1:Q$1,"&lt;&gt;"))),0)</f>
        <v>0</v>
      </c>
      <c r="R1267">
        <f>IFERROR($J1267/IF($A1267&lt;COUNTIFS($K$1:R$1,"&lt;&gt;"),0,SUMIFS($J:$J,$B:$B,$B1267,$A:$A,"&gt;="&amp;COUNTIFS($K$1:R$1,"&lt;&gt;"))),0)</f>
        <v>0</v>
      </c>
      <c r="S1267">
        <f>IFERROR($J1267/IF($A1267&lt;COUNTIFS($K$1:S$1,"&lt;&gt;"),0,SUMIFS($J:$J,$B:$B,$B1267,$A:$A,"&gt;="&amp;COUNTIFS($K$1:S$1,"&lt;&gt;"))),0)</f>
        <v>0</v>
      </c>
      <c r="T1267">
        <f>IFERROR($J1267/IF($A1267&lt;COUNTIFS($K$1:T$1,"&lt;&gt;"),0,SUMIFS($J:$J,$B:$B,$B1267,$A:$A,"&gt;="&amp;COUNTIFS($K$1:T$1,"&lt;&gt;"))),0)</f>
        <v>0</v>
      </c>
      <c r="U1267">
        <f>IFERROR($J1267/IF($A1267&lt;COUNTIFS($K$1:U$1,"&lt;&gt;"),0,SUMIFS($J:$J,$B:$B,$B1267,$A:$A,"&gt;="&amp;COUNTIFS($K$1:U$1,"&lt;&gt;"))),0)</f>
        <v>0</v>
      </c>
      <c r="V1267">
        <f>IFERROR($J1267/IF($A1267&lt;COUNTIFS($K$1:V$1,"&lt;&gt;"),0,SUMIFS($J:$J,$B:$B,$B1267,$A:$A,"&gt;="&amp;COUNTIFS($K$1:V$1,"&lt;&gt;"))),0)</f>
        <v>0</v>
      </c>
      <c r="W1267">
        <f t="shared" si="442"/>
        <v>8.1967213114754092E-2</v>
      </c>
      <c r="X1267">
        <f t="shared" si="422"/>
        <v>8.1967213114754092E-2</v>
      </c>
      <c r="Y1267">
        <f t="shared" si="423"/>
        <v>8.1967213114754092E-2</v>
      </c>
      <c r="Z1267">
        <f t="shared" si="424"/>
        <v>8.1967213114754092E-2</v>
      </c>
      <c r="AA1267">
        <f t="shared" si="425"/>
        <v>8.1967213114754092E-2</v>
      </c>
      <c r="AB1267">
        <f t="shared" si="426"/>
        <v>0</v>
      </c>
      <c r="AC1267">
        <f t="shared" si="427"/>
        <v>0</v>
      </c>
      <c r="AD1267">
        <f t="shared" si="428"/>
        <v>0</v>
      </c>
      <c r="AE1267">
        <f t="shared" si="429"/>
        <v>0</v>
      </c>
      <c r="AF1267">
        <f t="shared" si="430"/>
        <v>0</v>
      </c>
      <c r="AG1267">
        <f t="shared" si="431"/>
        <v>0</v>
      </c>
      <c r="AH1267">
        <f t="shared" si="432"/>
        <v>0</v>
      </c>
      <c r="AI1267">
        <f t="shared" si="433"/>
        <v>0</v>
      </c>
      <c r="AJ1267" s="2" t="str">
        <f t="shared" si="443"/>
        <v>446784</v>
      </c>
    </row>
    <row r="1268" spans="1:36" x14ac:dyDescent="0.25">
      <c r="A1268">
        <v>5</v>
      </c>
      <c r="B1268" s="1">
        <v>46784</v>
      </c>
      <c r="C1268" s="1">
        <f t="shared" si="434"/>
        <v>46935</v>
      </c>
      <c r="D1268" s="1">
        <f t="shared" si="435"/>
        <v>46798</v>
      </c>
      <c r="E1268" s="1">
        <f t="shared" si="436"/>
        <v>46935</v>
      </c>
      <c r="F1268" s="1">
        <f t="shared" si="437"/>
        <v>46966</v>
      </c>
      <c r="G1268" s="1">
        <f t="shared" si="438"/>
        <v>47164</v>
      </c>
      <c r="H1268">
        <f t="shared" si="439"/>
        <v>366</v>
      </c>
      <c r="I1268">
        <f t="shared" si="440"/>
        <v>31</v>
      </c>
      <c r="J1268">
        <f t="shared" si="441"/>
        <v>8.4699453551912565E-2</v>
      </c>
      <c r="K1268">
        <f>IFERROR($J1268/IF($A1268&lt;COUNTIFS($K$1:K$1,"&lt;&gt;"),0,SUMIFS($J:$J,$B:$B,$B1268,$A:$A,"&gt;="&amp;COUNTIFS($K$1:K$1,"&lt;&gt;"))),0)</f>
        <v>8.8319088319088315E-2</v>
      </c>
      <c r="L1268">
        <f>IFERROR($J1268/IF($A1268&lt;COUNTIFS($K$1:L$1,"&lt;&gt;"),0,SUMIFS($J:$J,$B:$B,$B1268,$A:$A,"&gt;="&amp;COUNTIFS($K$1:L$1,"&lt;&gt;"))),0)</f>
        <v>9.6875000000000003E-2</v>
      </c>
      <c r="M1268">
        <f>IFERROR($J1268/IF($A1268&lt;COUNTIFS($K$1:M$1,"&lt;&gt;"),0,SUMIFS($J:$J,$B:$B,$B1268,$A:$A,"&gt;="&amp;COUNTIFS($K$1:M$1,"&lt;&gt;"))),0)</f>
        <v>0.10689655172413792</v>
      </c>
      <c r="N1268">
        <f>IFERROR($J1268/IF($A1268&lt;COUNTIFS($K$1:N$1,"&lt;&gt;"),0,SUMIFS($J:$J,$B:$B,$B1268,$A:$A,"&gt;="&amp;COUNTIFS($K$1:N$1,"&lt;&gt;"))),0)</f>
        <v>0.11969111969111969</v>
      </c>
      <c r="O1268">
        <f>IFERROR($J1268/IF($A1268&lt;COUNTIFS($K$1:O$1,"&lt;&gt;"),0,SUMIFS($J:$J,$B:$B,$B1268,$A:$A,"&gt;="&amp;COUNTIFS($K$1:O$1,"&lt;&gt;"))),0)</f>
        <v>0.13537117903930129</v>
      </c>
      <c r="P1268">
        <f>IFERROR($J1268/IF($A1268&lt;COUNTIFS($K$1:P$1,"&lt;&gt;"),0,SUMIFS($J:$J,$B:$B,$B1268,$A:$A,"&gt;="&amp;COUNTIFS($K$1:P$1,"&lt;&gt;"))),0)</f>
        <v>0</v>
      </c>
      <c r="Q1268">
        <f>IFERROR($J1268/IF($A1268&lt;COUNTIFS($K$1:Q$1,"&lt;&gt;"),0,SUMIFS($J:$J,$B:$B,$B1268,$A:$A,"&gt;="&amp;COUNTIFS($K$1:Q$1,"&lt;&gt;"))),0)</f>
        <v>0</v>
      </c>
      <c r="R1268">
        <f>IFERROR($J1268/IF($A1268&lt;COUNTIFS($K$1:R$1,"&lt;&gt;"),0,SUMIFS($J:$J,$B:$B,$B1268,$A:$A,"&gt;="&amp;COUNTIFS($K$1:R$1,"&lt;&gt;"))),0)</f>
        <v>0</v>
      </c>
      <c r="S1268">
        <f>IFERROR($J1268/IF($A1268&lt;COUNTIFS($K$1:S$1,"&lt;&gt;"),0,SUMIFS($J:$J,$B:$B,$B1268,$A:$A,"&gt;="&amp;COUNTIFS($K$1:S$1,"&lt;&gt;"))),0)</f>
        <v>0</v>
      </c>
      <c r="T1268">
        <f>IFERROR($J1268/IF($A1268&lt;COUNTIFS($K$1:T$1,"&lt;&gt;"),0,SUMIFS($J:$J,$B:$B,$B1268,$A:$A,"&gt;="&amp;COUNTIFS($K$1:T$1,"&lt;&gt;"))),0)</f>
        <v>0</v>
      </c>
      <c r="U1268">
        <f>IFERROR($J1268/IF($A1268&lt;COUNTIFS($K$1:U$1,"&lt;&gt;"),0,SUMIFS($J:$J,$B:$B,$B1268,$A:$A,"&gt;="&amp;COUNTIFS($K$1:U$1,"&lt;&gt;"))),0)</f>
        <v>0</v>
      </c>
      <c r="V1268">
        <f>IFERROR($J1268/IF($A1268&lt;COUNTIFS($K$1:V$1,"&lt;&gt;"),0,SUMIFS($J:$J,$B:$B,$B1268,$A:$A,"&gt;="&amp;COUNTIFS($K$1:V$1,"&lt;&gt;"))),0)</f>
        <v>0</v>
      </c>
      <c r="W1268">
        <f t="shared" si="442"/>
        <v>8.4699453551912565E-2</v>
      </c>
      <c r="X1268">
        <f t="shared" si="422"/>
        <v>8.4699453551912565E-2</v>
      </c>
      <c r="Y1268">
        <f t="shared" si="423"/>
        <v>8.4699453551912565E-2</v>
      </c>
      <c r="Z1268">
        <f t="shared" si="424"/>
        <v>8.4699453551912565E-2</v>
      </c>
      <c r="AA1268">
        <f t="shared" si="425"/>
        <v>8.4699453551912565E-2</v>
      </c>
      <c r="AB1268">
        <f t="shared" si="426"/>
        <v>8.4699453551912565E-2</v>
      </c>
      <c r="AC1268">
        <f t="shared" si="427"/>
        <v>0</v>
      </c>
      <c r="AD1268">
        <f t="shared" si="428"/>
        <v>0</v>
      </c>
      <c r="AE1268">
        <f t="shared" si="429"/>
        <v>0</v>
      </c>
      <c r="AF1268">
        <f t="shared" si="430"/>
        <v>0</v>
      </c>
      <c r="AG1268">
        <f t="shared" si="431"/>
        <v>0</v>
      </c>
      <c r="AH1268">
        <f t="shared" si="432"/>
        <v>0</v>
      </c>
      <c r="AI1268">
        <f t="shared" si="433"/>
        <v>0</v>
      </c>
      <c r="AJ1268" s="2" t="str">
        <f t="shared" si="443"/>
        <v>546784</v>
      </c>
    </row>
    <row r="1269" spans="1:36" x14ac:dyDescent="0.25">
      <c r="A1269">
        <v>6</v>
      </c>
      <c r="B1269" s="1">
        <v>46784</v>
      </c>
      <c r="C1269" s="1">
        <f t="shared" si="434"/>
        <v>46966</v>
      </c>
      <c r="D1269" s="1">
        <f t="shared" si="435"/>
        <v>46798</v>
      </c>
      <c r="E1269" s="1">
        <f t="shared" si="436"/>
        <v>46966</v>
      </c>
      <c r="F1269" s="1">
        <f t="shared" si="437"/>
        <v>46997</v>
      </c>
      <c r="G1269" s="1">
        <f t="shared" si="438"/>
        <v>47164</v>
      </c>
      <c r="H1269">
        <f t="shared" si="439"/>
        <v>366</v>
      </c>
      <c r="I1269">
        <f t="shared" si="440"/>
        <v>31</v>
      </c>
      <c r="J1269">
        <f t="shared" si="441"/>
        <v>8.4699453551912565E-2</v>
      </c>
      <c r="K1269">
        <f>IFERROR($J1269/IF($A1269&lt;COUNTIFS($K$1:K$1,"&lt;&gt;"),0,SUMIFS($J:$J,$B:$B,$B1269,$A:$A,"&gt;="&amp;COUNTIFS($K$1:K$1,"&lt;&gt;"))),0)</f>
        <v>8.8319088319088315E-2</v>
      </c>
      <c r="L1269">
        <f>IFERROR($J1269/IF($A1269&lt;COUNTIFS($K$1:L$1,"&lt;&gt;"),0,SUMIFS($J:$J,$B:$B,$B1269,$A:$A,"&gt;="&amp;COUNTIFS($K$1:L$1,"&lt;&gt;"))),0)</f>
        <v>9.6875000000000003E-2</v>
      </c>
      <c r="M1269">
        <f>IFERROR($J1269/IF($A1269&lt;COUNTIFS($K$1:M$1,"&lt;&gt;"),0,SUMIFS($J:$J,$B:$B,$B1269,$A:$A,"&gt;="&amp;COUNTIFS($K$1:M$1,"&lt;&gt;"))),0)</f>
        <v>0.10689655172413792</v>
      </c>
      <c r="N1269">
        <f>IFERROR($J1269/IF($A1269&lt;COUNTIFS($K$1:N$1,"&lt;&gt;"),0,SUMIFS($J:$J,$B:$B,$B1269,$A:$A,"&gt;="&amp;COUNTIFS($K$1:N$1,"&lt;&gt;"))),0)</f>
        <v>0.11969111969111969</v>
      </c>
      <c r="O1269">
        <f>IFERROR($J1269/IF($A1269&lt;COUNTIFS($K$1:O$1,"&lt;&gt;"),0,SUMIFS($J:$J,$B:$B,$B1269,$A:$A,"&gt;="&amp;COUNTIFS($K$1:O$1,"&lt;&gt;"))),0)</f>
        <v>0.13537117903930129</v>
      </c>
      <c r="P1269">
        <f>IFERROR($J1269/IF($A1269&lt;COUNTIFS($K$1:P$1,"&lt;&gt;"),0,SUMIFS($J:$J,$B:$B,$B1269,$A:$A,"&gt;="&amp;COUNTIFS($K$1:P$1,"&lt;&gt;"))),0)</f>
        <v>0.15656565656565655</v>
      </c>
      <c r="Q1269">
        <f>IFERROR($J1269/IF($A1269&lt;COUNTIFS($K$1:Q$1,"&lt;&gt;"),0,SUMIFS($J:$J,$B:$B,$B1269,$A:$A,"&gt;="&amp;COUNTIFS($K$1:Q$1,"&lt;&gt;"))),0)</f>
        <v>0</v>
      </c>
      <c r="R1269">
        <f>IFERROR($J1269/IF($A1269&lt;COUNTIFS($K$1:R$1,"&lt;&gt;"),0,SUMIFS($J:$J,$B:$B,$B1269,$A:$A,"&gt;="&amp;COUNTIFS($K$1:R$1,"&lt;&gt;"))),0)</f>
        <v>0</v>
      </c>
      <c r="S1269">
        <f>IFERROR($J1269/IF($A1269&lt;COUNTIFS($K$1:S$1,"&lt;&gt;"),0,SUMIFS($J:$J,$B:$B,$B1269,$A:$A,"&gt;="&amp;COUNTIFS($K$1:S$1,"&lt;&gt;"))),0)</f>
        <v>0</v>
      </c>
      <c r="T1269">
        <f>IFERROR($J1269/IF($A1269&lt;COUNTIFS($K$1:T$1,"&lt;&gt;"),0,SUMIFS($J:$J,$B:$B,$B1269,$A:$A,"&gt;="&amp;COUNTIFS($K$1:T$1,"&lt;&gt;"))),0)</f>
        <v>0</v>
      </c>
      <c r="U1269">
        <f>IFERROR($J1269/IF($A1269&lt;COUNTIFS($K$1:U$1,"&lt;&gt;"),0,SUMIFS($J:$J,$B:$B,$B1269,$A:$A,"&gt;="&amp;COUNTIFS($K$1:U$1,"&lt;&gt;"))),0)</f>
        <v>0</v>
      </c>
      <c r="V1269">
        <f>IFERROR($J1269/IF($A1269&lt;COUNTIFS($K$1:V$1,"&lt;&gt;"),0,SUMIFS($J:$J,$B:$B,$B1269,$A:$A,"&gt;="&amp;COUNTIFS($K$1:V$1,"&lt;&gt;"))),0)</f>
        <v>0</v>
      </c>
      <c r="W1269">
        <f t="shared" si="442"/>
        <v>8.4699453551912565E-2</v>
      </c>
      <c r="X1269">
        <f t="shared" si="422"/>
        <v>8.4699453551912565E-2</v>
      </c>
      <c r="Y1269">
        <f t="shared" si="423"/>
        <v>8.4699453551912565E-2</v>
      </c>
      <c r="Z1269">
        <f t="shared" si="424"/>
        <v>8.4699453551912565E-2</v>
      </c>
      <c r="AA1269">
        <f t="shared" si="425"/>
        <v>8.4699453551912565E-2</v>
      </c>
      <c r="AB1269">
        <f t="shared" si="426"/>
        <v>8.4699453551912565E-2</v>
      </c>
      <c r="AC1269">
        <f t="shared" si="427"/>
        <v>8.4699453551912565E-2</v>
      </c>
      <c r="AD1269">
        <f t="shared" si="428"/>
        <v>0</v>
      </c>
      <c r="AE1269">
        <f t="shared" si="429"/>
        <v>0</v>
      </c>
      <c r="AF1269">
        <f t="shared" si="430"/>
        <v>0</v>
      </c>
      <c r="AG1269">
        <f t="shared" si="431"/>
        <v>0</v>
      </c>
      <c r="AH1269">
        <f t="shared" si="432"/>
        <v>0</v>
      </c>
      <c r="AI1269">
        <f t="shared" si="433"/>
        <v>0</v>
      </c>
      <c r="AJ1269" s="2" t="str">
        <f t="shared" si="443"/>
        <v>646784</v>
      </c>
    </row>
    <row r="1270" spans="1:36" x14ac:dyDescent="0.25">
      <c r="A1270">
        <v>7</v>
      </c>
      <c r="B1270" s="1">
        <v>46784</v>
      </c>
      <c r="C1270" s="1">
        <f t="shared" si="434"/>
        <v>46997</v>
      </c>
      <c r="D1270" s="1">
        <f t="shared" si="435"/>
        <v>46798</v>
      </c>
      <c r="E1270" s="1">
        <f t="shared" si="436"/>
        <v>46997</v>
      </c>
      <c r="F1270" s="1">
        <f t="shared" si="437"/>
        <v>47027</v>
      </c>
      <c r="G1270" s="1">
        <f t="shared" si="438"/>
        <v>47164</v>
      </c>
      <c r="H1270">
        <f t="shared" si="439"/>
        <v>366</v>
      </c>
      <c r="I1270">
        <f t="shared" si="440"/>
        <v>30</v>
      </c>
      <c r="J1270">
        <f t="shared" si="441"/>
        <v>8.1967213114754092E-2</v>
      </c>
      <c r="K1270">
        <f>IFERROR($J1270/IF($A1270&lt;COUNTIFS($K$1:K$1,"&lt;&gt;"),0,SUMIFS($J:$J,$B:$B,$B1270,$A:$A,"&gt;="&amp;COUNTIFS($K$1:K$1,"&lt;&gt;"))),0)</f>
        <v>8.5470085470085472E-2</v>
      </c>
      <c r="L1270">
        <f>IFERROR($J1270/IF($A1270&lt;COUNTIFS($K$1:L$1,"&lt;&gt;"),0,SUMIFS($J:$J,$B:$B,$B1270,$A:$A,"&gt;="&amp;COUNTIFS($K$1:L$1,"&lt;&gt;"))),0)</f>
        <v>9.375E-2</v>
      </c>
      <c r="M1270">
        <f>IFERROR($J1270/IF($A1270&lt;COUNTIFS($K$1:M$1,"&lt;&gt;"),0,SUMIFS($J:$J,$B:$B,$B1270,$A:$A,"&gt;="&amp;COUNTIFS($K$1:M$1,"&lt;&gt;"))),0)</f>
        <v>0.10344827586206896</v>
      </c>
      <c r="N1270">
        <f>IFERROR($J1270/IF($A1270&lt;COUNTIFS($K$1:N$1,"&lt;&gt;"),0,SUMIFS($J:$J,$B:$B,$B1270,$A:$A,"&gt;="&amp;COUNTIFS($K$1:N$1,"&lt;&gt;"))),0)</f>
        <v>0.11583011583011582</v>
      </c>
      <c r="O1270">
        <f>IFERROR($J1270/IF($A1270&lt;COUNTIFS($K$1:O$1,"&lt;&gt;"),0,SUMIFS($J:$J,$B:$B,$B1270,$A:$A,"&gt;="&amp;COUNTIFS($K$1:O$1,"&lt;&gt;"))),0)</f>
        <v>0.13100436681222705</v>
      </c>
      <c r="P1270">
        <f>IFERROR($J1270/IF($A1270&lt;COUNTIFS($K$1:P$1,"&lt;&gt;"),0,SUMIFS($J:$J,$B:$B,$B1270,$A:$A,"&gt;="&amp;COUNTIFS($K$1:P$1,"&lt;&gt;"))),0)</f>
        <v>0.15151515151515149</v>
      </c>
      <c r="Q1270">
        <f>IFERROR($J1270/IF($A1270&lt;COUNTIFS($K$1:Q$1,"&lt;&gt;"),0,SUMIFS($J:$J,$B:$B,$B1270,$A:$A,"&gt;="&amp;COUNTIFS($K$1:Q$1,"&lt;&gt;"))),0)</f>
        <v>0.17964071856287425</v>
      </c>
      <c r="R1270">
        <f>IFERROR($J1270/IF($A1270&lt;COUNTIFS($K$1:R$1,"&lt;&gt;"),0,SUMIFS($J:$J,$B:$B,$B1270,$A:$A,"&gt;="&amp;COUNTIFS($K$1:R$1,"&lt;&gt;"))),0)</f>
        <v>0</v>
      </c>
      <c r="S1270">
        <f>IFERROR($J1270/IF($A1270&lt;COUNTIFS($K$1:S$1,"&lt;&gt;"),0,SUMIFS($J:$J,$B:$B,$B1270,$A:$A,"&gt;="&amp;COUNTIFS($K$1:S$1,"&lt;&gt;"))),0)</f>
        <v>0</v>
      </c>
      <c r="T1270">
        <f>IFERROR($J1270/IF($A1270&lt;COUNTIFS($K$1:T$1,"&lt;&gt;"),0,SUMIFS($J:$J,$B:$B,$B1270,$A:$A,"&gt;="&amp;COUNTIFS($K$1:T$1,"&lt;&gt;"))),0)</f>
        <v>0</v>
      </c>
      <c r="U1270">
        <f>IFERROR($J1270/IF($A1270&lt;COUNTIFS($K$1:U$1,"&lt;&gt;"),0,SUMIFS($J:$J,$B:$B,$B1270,$A:$A,"&gt;="&amp;COUNTIFS($K$1:U$1,"&lt;&gt;"))),0)</f>
        <v>0</v>
      </c>
      <c r="V1270">
        <f>IFERROR($J1270/IF($A1270&lt;COUNTIFS($K$1:V$1,"&lt;&gt;"),0,SUMIFS($J:$J,$B:$B,$B1270,$A:$A,"&gt;="&amp;COUNTIFS($K$1:V$1,"&lt;&gt;"))),0)</f>
        <v>0</v>
      </c>
      <c r="W1270">
        <f t="shared" si="442"/>
        <v>8.1967213114754092E-2</v>
      </c>
      <c r="X1270">
        <f t="shared" si="422"/>
        <v>8.1967213114754092E-2</v>
      </c>
      <c r="Y1270">
        <f t="shared" si="423"/>
        <v>8.1967213114754092E-2</v>
      </c>
      <c r="Z1270">
        <f t="shared" si="424"/>
        <v>8.1967213114754092E-2</v>
      </c>
      <c r="AA1270">
        <f t="shared" si="425"/>
        <v>8.1967213114754092E-2</v>
      </c>
      <c r="AB1270">
        <f t="shared" si="426"/>
        <v>8.1967213114754092E-2</v>
      </c>
      <c r="AC1270">
        <f t="shared" si="427"/>
        <v>8.1967213114754092E-2</v>
      </c>
      <c r="AD1270">
        <f t="shared" si="428"/>
        <v>8.1967213114754092E-2</v>
      </c>
      <c r="AE1270">
        <f t="shared" si="429"/>
        <v>0</v>
      </c>
      <c r="AF1270">
        <f t="shared" si="430"/>
        <v>0</v>
      </c>
      <c r="AG1270">
        <f t="shared" si="431"/>
        <v>0</v>
      </c>
      <c r="AH1270">
        <f t="shared" si="432"/>
        <v>0</v>
      </c>
      <c r="AI1270">
        <f t="shared" si="433"/>
        <v>0</v>
      </c>
      <c r="AJ1270" s="2" t="str">
        <f t="shared" si="443"/>
        <v>746784</v>
      </c>
    </row>
    <row r="1271" spans="1:36" x14ac:dyDescent="0.25">
      <c r="A1271">
        <v>8</v>
      </c>
      <c r="B1271" s="1">
        <v>46784</v>
      </c>
      <c r="C1271" s="1">
        <f t="shared" si="434"/>
        <v>47027</v>
      </c>
      <c r="D1271" s="1">
        <f t="shared" si="435"/>
        <v>46798</v>
      </c>
      <c r="E1271" s="1">
        <f t="shared" si="436"/>
        <v>47027</v>
      </c>
      <c r="F1271" s="1">
        <f t="shared" si="437"/>
        <v>47058</v>
      </c>
      <c r="G1271" s="1">
        <f t="shared" si="438"/>
        <v>47164</v>
      </c>
      <c r="H1271">
        <f t="shared" si="439"/>
        <v>366</v>
      </c>
      <c r="I1271">
        <f t="shared" si="440"/>
        <v>31</v>
      </c>
      <c r="J1271">
        <f t="shared" si="441"/>
        <v>8.4699453551912565E-2</v>
      </c>
      <c r="K1271">
        <f>IFERROR($J1271/IF($A1271&lt;COUNTIFS($K$1:K$1,"&lt;&gt;"),0,SUMIFS($J:$J,$B:$B,$B1271,$A:$A,"&gt;="&amp;COUNTIFS($K$1:K$1,"&lt;&gt;"))),0)</f>
        <v>8.8319088319088315E-2</v>
      </c>
      <c r="L1271">
        <f>IFERROR($J1271/IF($A1271&lt;COUNTIFS($K$1:L$1,"&lt;&gt;"),0,SUMIFS($J:$J,$B:$B,$B1271,$A:$A,"&gt;="&amp;COUNTIFS($K$1:L$1,"&lt;&gt;"))),0)</f>
        <v>9.6875000000000003E-2</v>
      </c>
      <c r="M1271">
        <f>IFERROR($J1271/IF($A1271&lt;COUNTIFS($K$1:M$1,"&lt;&gt;"),0,SUMIFS($J:$J,$B:$B,$B1271,$A:$A,"&gt;="&amp;COUNTIFS($K$1:M$1,"&lt;&gt;"))),0)</f>
        <v>0.10689655172413792</v>
      </c>
      <c r="N1271">
        <f>IFERROR($J1271/IF($A1271&lt;COUNTIFS($K$1:N$1,"&lt;&gt;"),0,SUMIFS($J:$J,$B:$B,$B1271,$A:$A,"&gt;="&amp;COUNTIFS($K$1:N$1,"&lt;&gt;"))),0)</f>
        <v>0.11969111969111969</v>
      </c>
      <c r="O1271">
        <f>IFERROR($J1271/IF($A1271&lt;COUNTIFS($K$1:O$1,"&lt;&gt;"),0,SUMIFS($J:$J,$B:$B,$B1271,$A:$A,"&gt;="&amp;COUNTIFS($K$1:O$1,"&lt;&gt;"))),0)</f>
        <v>0.13537117903930129</v>
      </c>
      <c r="P1271">
        <f>IFERROR($J1271/IF($A1271&lt;COUNTIFS($K$1:P$1,"&lt;&gt;"),0,SUMIFS($J:$J,$B:$B,$B1271,$A:$A,"&gt;="&amp;COUNTIFS($K$1:P$1,"&lt;&gt;"))),0)</f>
        <v>0.15656565656565655</v>
      </c>
      <c r="Q1271">
        <f>IFERROR($J1271/IF($A1271&lt;COUNTIFS($K$1:Q$1,"&lt;&gt;"),0,SUMIFS($J:$J,$B:$B,$B1271,$A:$A,"&gt;="&amp;COUNTIFS($K$1:Q$1,"&lt;&gt;"))),0)</f>
        <v>0.18562874251497008</v>
      </c>
      <c r="R1271">
        <f>IFERROR($J1271/IF($A1271&lt;COUNTIFS($K$1:R$1,"&lt;&gt;"),0,SUMIFS($J:$J,$B:$B,$B1271,$A:$A,"&gt;="&amp;COUNTIFS($K$1:R$1,"&lt;&gt;"))),0)</f>
        <v>0.22627737226277372</v>
      </c>
      <c r="S1271">
        <f>IFERROR($J1271/IF($A1271&lt;COUNTIFS($K$1:S$1,"&lt;&gt;"),0,SUMIFS($J:$J,$B:$B,$B1271,$A:$A,"&gt;="&amp;COUNTIFS($K$1:S$1,"&lt;&gt;"))),0)</f>
        <v>0</v>
      </c>
      <c r="T1271">
        <f>IFERROR($J1271/IF($A1271&lt;COUNTIFS($K$1:T$1,"&lt;&gt;"),0,SUMIFS($J:$J,$B:$B,$B1271,$A:$A,"&gt;="&amp;COUNTIFS($K$1:T$1,"&lt;&gt;"))),0)</f>
        <v>0</v>
      </c>
      <c r="U1271">
        <f>IFERROR($J1271/IF($A1271&lt;COUNTIFS($K$1:U$1,"&lt;&gt;"),0,SUMIFS($J:$J,$B:$B,$B1271,$A:$A,"&gt;="&amp;COUNTIFS($K$1:U$1,"&lt;&gt;"))),0)</f>
        <v>0</v>
      </c>
      <c r="V1271">
        <f>IFERROR($J1271/IF($A1271&lt;COUNTIFS($K$1:V$1,"&lt;&gt;"),0,SUMIFS($J:$J,$B:$B,$B1271,$A:$A,"&gt;="&amp;COUNTIFS($K$1:V$1,"&lt;&gt;"))),0)</f>
        <v>0</v>
      </c>
      <c r="W1271">
        <f t="shared" si="442"/>
        <v>8.4699453551912565E-2</v>
      </c>
      <c r="X1271">
        <f t="shared" si="422"/>
        <v>8.4699453551912565E-2</v>
      </c>
      <c r="Y1271">
        <f t="shared" si="423"/>
        <v>8.4699453551912565E-2</v>
      </c>
      <c r="Z1271">
        <f t="shared" si="424"/>
        <v>8.4699453551912565E-2</v>
      </c>
      <c r="AA1271">
        <f t="shared" si="425"/>
        <v>8.4699453551912565E-2</v>
      </c>
      <c r="AB1271">
        <f t="shared" si="426"/>
        <v>8.4699453551912565E-2</v>
      </c>
      <c r="AC1271">
        <f t="shared" si="427"/>
        <v>8.4699453551912565E-2</v>
      </c>
      <c r="AD1271">
        <f t="shared" si="428"/>
        <v>8.4699453551912565E-2</v>
      </c>
      <c r="AE1271">
        <f t="shared" si="429"/>
        <v>8.4699453551912565E-2</v>
      </c>
      <c r="AF1271">
        <f t="shared" si="430"/>
        <v>0</v>
      </c>
      <c r="AG1271">
        <f t="shared" si="431"/>
        <v>0</v>
      </c>
      <c r="AH1271">
        <f t="shared" si="432"/>
        <v>0</v>
      </c>
      <c r="AI1271">
        <f t="shared" si="433"/>
        <v>0</v>
      </c>
      <c r="AJ1271" s="2" t="str">
        <f t="shared" si="443"/>
        <v>846784</v>
      </c>
    </row>
    <row r="1272" spans="1:36" x14ac:dyDescent="0.25">
      <c r="A1272">
        <v>9</v>
      </c>
      <c r="B1272" s="1">
        <v>46784</v>
      </c>
      <c r="C1272" s="1">
        <f t="shared" si="434"/>
        <v>47058</v>
      </c>
      <c r="D1272" s="1">
        <f t="shared" si="435"/>
        <v>46798</v>
      </c>
      <c r="E1272" s="1">
        <f t="shared" si="436"/>
        <v>47058</v>
      </c>
      <c r="F1272" s="1">
        <f t="shared" si="437"/>
        <v>47088</v>
      </c>
      <c r="G1272" s="1">
        <f t="shared" si="438"/>
        <v>47164</v>
      </c>
      <c r="H1272">
        <f t="shared" si="439"/>
        <v>366</v>
      </c>
      <c r="I1272">
        <f t="shared" si="440"/>
        <v>30</v>
      </c>
      <c r="J1272">
        <f t="shared" si="441"/>
        <v>8.1967213114754092E-2</v>
      </c>
      <c r="K1272">
        <f>IFERROR($J1272/IF($A1272&lt;COUNTIFS($K$1:K$1,"&lt;&gt;"),0,SUMIFS($J:$J,$B:$B,$B1272,$A:$A,"&gt;="&amp;COUNTIFS($K$1:K$1,"&lt;&gt;"))),0)</f>
        <v>8.5470085470085472E-2</v>
      </c>
      <c r="L1272">
        <f>IFERROR($J1272/IF($A1272&lt;COUNTIFS($K$1:L$1,"&lt;&gt;"),0,SUMIFS($J:$J,$B:$B,$B1272,$A:$A,"&gt;="&amp;COUNTIFS($K$1:L$1,"&lt;&gt;"))),0)</f>
        <v>9.375E-2</v>
      </c>
      <c r="M1272">
        <f>IFERROR($J1272/IF($A1272&lt;COUNTIFS($K$1:M$1,"&lt;&gt;"),0,SUMIFS($J:$J,$B:$B,$B1272,$A:$A,"&gt;="&amp;COUNTIFS($K$1:M$1,"&lt;&gt;"))),0)</f>
        <v>0.10344827586206896</v>
      </c>
      <c r="N1272">
        <f>IFERROR($J1272/IF($A1272&lt;COUNTIFS($K$1:N$1,"&lt;&gt;"),0,SUMIFS($J:$J,$B:$B,$B1272,$A:$A,"&gt;="&amp;COUNTIFS($K$1:N$1,"&lt;&gt;"))),0)</f>
        <v>0.11583011583011582</v>
      </c>
      <c r="O1272">
        <f>IFERROR($J1272/IF($A1272&lt;COUNTIFS($K$1:O$1,"&lt;&gt;"),0,SUMIFS($J:$J,$B:$B,$B1272,$A:$A,"&gt;="&amp;COUNTIFS($K$1:O$1,"&lt;&gt;"))),0)</f>
        <v>0.13100436681222705</v>
      </c>
      <c r="P1272">
        <f>IFERROR($J1272/IF($A1272&lt;COUNTIFS($K$1:P$1,"&lt;&gt;"),0,SUMIFS($J:$J,$B:$B,$B1272,$A:$A,"&gt;="&amp;COUNTIFS($K$1:P$1,"&lt;&gt;"))),0)</f>
        <v>0.15151515151515149</v>
      </c>
      <c r="Q1272">
        <f>IFERROR($J1272/IF($A1272&lt;COUNTIFS($K$1:Q$1,"&lt;&gt;"),0,SUMIFS($J:$J,$B:$B,$B1272,$A:$A,"&gt;="&amp;COUNTIFS($K$1:Q$1,"&lt;&gt;"))),0)</f>
        <v>0.17964071856287425</v>
      </c>
      <c r="R1272">
        <f>IFERROR($J1272/IF($A1272&lt;COUNTIFS($K$1:R$1,"&lt;&gt;"),0,SUMIFS($J:$J,$B:$B,$B1272,$A:$A,"&gt;="&amp;COUNTIFS($K$1:R$1,"&lt;&gt;"))),0)</f>
        <v>0.21897810218978103</v>
      </c>
      <c r="S1272">
        <f>IFERROR($J1272/IF($A1272&lt;COUNTIFS($K$1:S$1,"&lt;&gt;"),0,SUMIFS($J:$J,$B:$B,$B1272,$A:$A,"&gt;="&amp;COUNTIFS($K$1:S$1,"&lt;&gt;"))),0)</f>
        <v>0.28301886792452829</v>
      </c>
      <c r="T1272">
        <f>IFERROR($J1272/IF($A1272&lt;COUNTIFS($K$1:T$1,"&lt;&gt;"),0,SUMIFS($J:$J,$B:$B,$B1272,$A:$A,"&gt;="&amp;COUNTIFS($K$1:T$1,"&lt;&gt;"))),0)</f>
        <v>0</v>
      </c>
      <c r="U1272">
        <f>IFERROR($J1272/IF($A1272&lt;COUNTIFS($K$1:U$1,"&lt;&gt;"),0,SUMIFS($J:$J,$B:$B,$B1272,$A:$A,"&gt;="&amp;COUNTIFS($K$1:U$1,"&lt;&gt;"))),0)</f>
        <v>0</v>
      </c>
      <c r="V1272">
        <f>IFERROR($J1272/IF($A1272&lt;COUNTIFS($K$1:V$1,"&lt;&gt;"),0,SUMIFS($J:$J,$B:$B,$B1272,$A:$A,"&gt;="&amp;COUNTIFS($K$1:V$1,"&lt;&gt;"))),0)</f>
        <v>0</v>
      </c>
      <c r="W1272">
        <f t="shared" si="442"/>
        <v>8.1967213114754092E-2</v>
      </c>
      <c r="X1272">
        <f t="shared" si="422"/>
        <v>8.1967213114754092E-2</v>
      </c>
      <c r="Y1272">
        <f t="shared" si="423"/>
        <v>8.1967213114754092E-2</v>
      </c>
      <c r="Z1272">
        <f t="shared" si="424"/>
        <v>8.1967213114754092E-2</v>
      </c>
      <c r="AA1272">
        <f t="shared" si="425"/>
        <v>8.1967213114754092E-2</v>
      </c>
      <c r="AB1272">
        <f t="shared" si="426"/>
        <v>8.1967213114754092E-2</v>
      </c>
      <c r="AC1272">
        <f t="shared" si="427"/>
        <v>8.1967213114754092E-2</v>
      </c>
      <c r="AD1272">
        <f t="shared" si="428"/>
        <v>8.1967213114754092E-2</v>
      </c>
      <c r="AE1272">
        <f t="shared" si="429"/>
        <v>8.1967213114754092E-2</v>
      </c>
      <c r="AF1272">
        <f t="shared" si="430"/>
        <v>8.1967213114754092E-2</v>
      </c>
      <c r="AG1272">
        <f t="shared" si="431"/>
        <v>0</v>
      </c>
      <c r="AH1272">
        <f t="shared" si="432"/>
        <v>0</v>
      </c>
      <c r="AI1272">
        <f t="shared" si="433"/>
        <v>0</v>
      </c>
      <c r="AJ1272" s="2" t="str">
        <f t="shared" si="443"/>
        <v>946784</v>
      </c>
    </row>
    <row r="1273" spans="1:36" x14ac:dyDescent="0.25">
      <c r="A1273">
        <v>10</v>
      </c>
      <c r="B1273" s="1">
        <v>46784</v>
      </c>
      <c r="C1273" s="1">
        <f t="shared" si="434"/>
        <v>47088</v>
      </c>
      <c r="D1273" s="1">
        <f t="shared" si="435"/>
        <v>46798</v>
      </c>
      <c r="E1273" s="1">
        <f t="shared" si="436"/>
        <v>47088</v>
      </c>
      <c r="F1273" s="1">
        <f t="shared" si="437"/>
        <v>47119</v>
      </c>
      <c r="G1273" s="1">
        <f t="shared" si="438"/>
        <v>47164</v>
      </c>
      <c r="H1273">
        <f t="shared" si="439"/>
        <v>366</v>
      </c>
      <c r="I1273">
        <f t="shared" si="440"/>
        <v>31</v>
      </c>
      <c r="J1273">
        <f t="shared" si="441"/>
        <v>8.4699453551912565E-2</v>
      </c>
      <c r="K1273">
        <f>IFERROR($J1273/IF($A1273&lt;COUNTIFS($K$1:K$1,"&lt;&gt;"),0,SUMIFS($J:$J,$B:$B,$B1273,$A:$A,"&gt;="&amp;COUNTIFS($K$1:K$1,"&lt;&gt;"))),0)</f>
        <v>8.8319088319088315E-2</v>
      </c>
      <c r="L1273">
        <f>IFERROR($J1273/IF($A1273&lt;COUNTIFS($K$1:L$1,"&lt;&gt;"),0,SUMIFS($J:$J,$B:$B,$B1273,$A:$A,"&gt;="&amp;COUNTIFS($K$1:L$1,"&lt;&gt;"))),0)</f>
        <v>9.6875000000000003E-2</v>
      </c>
      <c r="M1273">
        <f>IFERROR($J1273/IF($A1273&lt;COUNTIFS($K$1:M$1,"&lt;&gt;"),0,SUMIFS($J:$J,$B:$B,$B1273,$A:$A,"&gt;="&amp;COUNTIFS($K$1:M$1,"&lt;&gt;"))),0)</f>
        <v>0.10689655172413792</v>
      </c>
      <c r="N1273">
        <f>IFERROR($J1273/IF($A1273&lt;COUNTIFS($K$1:N$1,"&lt;&gt;"),0,SUMIFS($J:$J,$B:$B,$B1273,$A:$A,"&gt;="&amp;COUNTIFS($K$1:N$1,"&lt;&gt;"))),0)</f>
        <v>0.11969111969111969</v>
      </c>
      <c r="O1273">
        <f>IFERROR($J1273/IF($A1273&lt;COUNTIFS($K$1:O$1,"&lt;&gt;"),0,SUMIFS($J:$J,$B:$B,$B1273,$A:$A,"&gt;="&amp;COUNTIFS($K$1:O$1,"&lt;&gt;"))),0)</f>
        <v>0.13537117903930129</v>
      </c>
      <c r="P1273">
        <f>IFERROR($J1273/IF($A1273&lt;COUNTIFS($K$1:P$1,"&lt;&gt;"),0,SUMIFS($J:$J,$B:$B,$B1273,$A:$A,"&gt;="&amp;COUNTIFS($K$1:P$1,"&lt;&gt;"))),0)</f>
        <v>0.15656565656565655</v>
      </c>
      <c r="Q1273">
        <f>IFERROR($J1273/IF($A1273&lt;COUNTIFS($K$1:Q$1,"&lt;&gt;"),0,SUMIFS($J:$J,$B:$B,$B1273,$A:$A,"&gt;="&amp;COUNTIFS($K$1:Q$1,"&lt;&gt;"))),0)</f>
        <v>0.18562874251497008</v>
      </c>
      <c r="R1273">
        <f>IFERROR($J1273/IF($A1273&lt;COUNTIFS($K$1:R$1,"&lt;&gt;"),0,SUMIFS($J:$J,$B:$B,$B1273,$A:$A,"&gt;="&amp;COUNTIFS($K$1:R$1,"&lt;&gt;"))),0)</f>
        <v>0.22627737226277372</v>
      </c>
      <c r="S1273">
        <f>IFERROR($J1273/IF($A1273&lt;COUNTIFS($K$1:S$1,"&lt;&gt;"),0,SUMIFS($J:$J,$B:$B,$B1273,$A:$A,"&gt;="&amp;COUNTIFS($K$1:S$1,"&lt;&gt;"))),0)</f>
        <v>0.29245283018867924</v>
      </c>
      <c r="T1273">
        <f>IFERROR($J1273/IF($A1273&lt;COUNTIFS($K$1:T$1,"&lt;&gt;"),0,SUMIFS($J:$J,$B:$B,$B1273,$A:$A,"&gt;="&amp;COUNTIFS($K$1:T$1,"&lt;&gt;"))),0)</f>
        <v>0.40789473684210525</v>
      </c>
      <c r="U1273">
        <f>IFERROR($J1273/IF($A1273&lt;COUNTIFS($K$1:U$1,"&lt;&gt;"),0,SUMIFS($J:$J,$B:$B,$B1273,$A:$A,"&gt;="&amp;COUNTIFS($K$1:U$1,"&lt;&gt;"))),0)</f>
        <v>0</v>
      </c>
      <c r="V1273">
        <f>IFERROR($J1273/IF($A1273&lt;COUNTIFS($K$1:V$1,"&lt;&gt;"),0,SUMIFS($J:$J,$B:$B,$B1273,$A:$A,"&gt;="&amp;COUNTIFS($K$1:V$1,"&lt;&gt;"))),0)</f>
        <v>0</v>
      </c>
      <c r="W1273">
        <f t="shared" si="442"/>
        <v>8.4699453551912565E-2</v>
      </c>
      <c r="X1273">
        <f t="shared" si="422"/>
        <v>8.4699453551912565E-2</v>
      </c>
      <c r="Y1273">
        <f t="shared" si="423"/>
        <v>8.4699453551912565E-2</v>
      </c>
      <c r="Z1273">
        <f t="shared" si="424"/>
        <v>8.4699453551912565E-2</v>
      </c>
      <c r="AA1273">
        <f t="shared" si="425"/>
        <v>8.4699453551912565E-2</v>
      </c>
      <c r="AB1273">
        <f t="shared" si="426"/>
        <v>8.4699453551912565E-2</v>
      </c>
      <c r="AC1273">
        <f t="shared" si="427"/>
        <v>8.4699453551912565E-2</v>
      </c>
      <c r="AD1273">
        <f t="shared" si="428"/>
        <v>8.4699453551912565E-2</v>
      </c>
      <c r="AE1273">
        <f t="shared" si="429"/>
        <v>8.4699453551912565E-2</v>
      </c>
      <c r="AF1273">
        <f t="shared" si="430"/>
        <v>8.4699453551912565E-2</v>
      </c>
      <c r="AG1273">
        <f t="shared" si="431"/>
        <v>8.4699453551912565E-2</v>
      </c>
      <c r="AH1273">
        <f t="shared" si="432"/>
        <v>0</v>
      </c>
      <c r="AI1273">
        <f t="shared" si="433"/>
        <v>0</v>
      </c>
      <c r="AJ1273" s="2" t="str">
        <f t="shared" si="443"/>
        <v>1046784</v>
      </c>
    </row>
    <row r="1274" spans="1:36" x14ac:dyDescent="0.25">
      <c r="A1274">
        <v>11</v>
      </c>
      <c r="B1274" s="1">
        <v>46784</v>
      </c>
      <c r="C1274" s="1">
        <f t="shared" si="434"/>
        <v>47119</v>
      </c>
      <c r="D1274" s="1">
        <f t="shared" si="435"/>
        <v>46798</v>
      </c>
      <c r="E1274" s="1">
        <f t="shared" si="436"/>
        <v>47119</v>
      </c>
      <c r="F1274" s="1">
        <f t="shared" si="437"/>
        <v>47150</v>
      </c>
      <c r="G1274" s="1">
        <f t="shared" si="438"/>
        <v>47164</v>
      </c>
      <c r="H1274">
        <f t="shared" si="439"/>
        <v>366</v>
      </c>
      <c r="I1274">
        <f t="shared" si="440"/>
        <v>31</v>
      </c>
      <c r="J1274">
        <f t="shared" si="441"/>
        <v>8.4699453551912565E-2</v>
      </c>
      <c r="K1274">
        <f>IFERROR($J1274/IF($A1274&lt;COUNTIFS($K$1:K$1,"&lt;&gt;"),0,SUMIFS($J:$J,$B:$B,$B1274,$A:$A,"&gt;="&amp;COUNTIFS($K$1:K$1,"&lt;&gt;"))),0)</f>
        <v>8.8319088319088315E-2</v>
      </c>
      <c r="L1274">
        <f>IFERROR($J1274/IF($A1274&lt;COUNTIFS($K$1:L$1,"&lt;&gt;"),0,SUMIFS($J:$J,$B:$B,$B1274,$A:$A,"&gt;="&amp;COUNTIFS($K$1:L$1,"&lt;&gt;"))),0)</f>
        <v>9.6875000000000003E-2</v>
      </c>
      <c r="M1274">
        <f>IFERROR($J1274/IF($A1274&lt;COUNTIFS($K$1:M$1,"&lt;&gt;"),0,SUMIFS($J:$J,$B:$B,$B1274,$A:$A,"&gt;="&amp;COUNTIFS($K$1:M$1,"&lt;&gt;"))),0)</f>
        <v>0.10689655172413792</v>
      </c>
      <c r="N1274">
        <f>IFERROR($J1274/IF($A1274&lt;COUNTIFS($K$1:N$1,"&lt;&gt;"),0,SUMIFS($J:$J,$B:$B,$B1274,$A:$A,"&gt;="&amp;COUNTIFS($K$1:N$1,"&lt;&gt;"))),0)</f>
        <v>0.11969111969111969</v>
      </c>
      <c r="O1274">
        <f>IFERROR($J1274/IF($A1274&lt;COUNTIFS($K$1:O$1,"&lt;&gt;"),0,SUMIFS($J:$J,$B:$B,$B1274,$A:$A,"&gt;="&amp;COUNTIFS($K$1:O$1,"&lt;&gt;"))),0)</f>
        <v>0.13537117903930129</v>
      </c>
      <c r="P1274">
        <f>IFERROR($J1274/IF($A1274&lt;COUNTIFS($K$1:P$1,"&lt;&gt;"),0,SUMIFS($J:$J,$B:$B,$B1274,$A:$A,"&gt;="&amp;COUNTIFS($K$1:P$1,"&lt;&gt;"))),0)</f>
        <v>0.15656565656565655</v>
      </c>
      <c r="Q1274">
        <f>IFERROR($J1274/IF($A1274&lt;COUNTIFS($K$1:Q$1,"&lt;&gt;"),0,SUMIFS($J:$J,$B:$B,$B1274,$A:$A,"&gt;="&amp;COUNTIFS($K$1:Q$1,"&lt;&gt;"))),0)</f>
        <v>0.18562874251497008</v>
      </c>
      <c r="R1274">
        <f>IFERROR($J1274/IF($A1274&lt;COUNTIFS($K$1:R$1,"&lt;&gt;"),0,SUMIFS($J:$J,$B:$B,$B1274,$A:$A,"&gt;="&amp;COUNTIFS($K$1:R$1,"&lt;&gt;"))),0)</f>
        <v>0.22627737226277372</v>
      </c>
      <c r="S1274">
        <f>IFERROR($J1274/IF($A1274&lt;COUNTIFS($K$1:S$1,"&lt;&gt;"),0,SUMIFS($J:$J,$B:$B,$B1274,$A:$A,"&gt;="&amp;COUNTIFS($K$1:S$1,"&lt;&gt;"))),0)</f>
        <v>0.29245283018867924</v>
      </c>
      <c r="T1274">
        <f>IFERROR($J1274/IF($A1274&lt;COUNTIFS($K$1:T$1,"&lt;&gt;"),0,SUMIFS($J:$J,$B:$B,$B1274,$A:$A,"&gt;="&amp;COUNTIFS($K$1:T$1,"&lt;&gt;"))),0)</f>
        <v>0.40789473684210525</v>
      </c>
      <c r="U1274">
        <f>IFERROR($J1274/IF($A1274&lt;COUNTIFS($K$1:U$1,"&lt;&gt;"),0,SUMIFS($J:$J,$B:$B,$B1274,$A:$A,"&gt;="&amp;COUNTIFS($K$1:U$1,"&lt;&gt;"))),0)</f>
        <v>0.68888888888888888</v>
      </c>
      <c r="V1274">
        <f>IFERROR($J1274/IF($A1274&lt;COUNTIFS($K$1:V$1,"&lt;&gt;"),0,SUMIFS($J:$J,$B:$B,$B1274,$A:$A,"&gt;="&amp;COUNTIFS($K$1:V$1,"&lt;&gt;"))),0)</f>
        <v>0</v>
      </c>
      <c r="W1274">
        <f t="shared" si="442"/>
        <v>8.4699453551912565E-2</v>
      </c>
      <c r="X1274">
        <f t="shared" si="422"/>
        <v>8.4699453551912565E-2</v>
      </c>
      <c r="Y1274">
        <f t="shared" si="423"/>
        <v>8.4699453551912565E-2</v>
      </c>
      <c r="Z1274">
        <f t="shared" si="424"/>
        <v>8.4699453551912565E-2</v>
      </c>
      <c r="AA1274">
        <f t="shared" si="425"/>
        <v>8.4699453551912565E-2</v>
      </c>
      <c r="AB1274">
        <f t="shared" si="426"/>
        <v>8.4699453551912565E-2</v>
      </c>
      <c r="AC1274">
        <f t="shared" si="427"/>
        <v>8.4699453551912565E-2</v>
      </c>
      <c r="AD1274">
        <f t="shared" si="428"/>
        <v>8.4699453551912565E-2</v>
      </c>
      <c r="AE1274">
        <f t="shared" si="429"/>
        <v>8.4699453551912565E-2</v>
      </c>
      <c r="AF1274">
        <f t="shared" si="430"/>
        <v>8.4699453551912565E-2</v>
      </c>
      <c r="AG1274">
        <f t="shared" si="431"/>
        <v>8.4699453551912565E-2</v>
      </c>
      <c r="AH1274">
        <f t="shared" si="432"/>
        <v>8.4699453551912565E-2</v>
      </c>
      <c r="AI1274">
        <f t="shared" si="433"/>
        <v>0</v>
      </c>
      <c r="AJ1274" s="2" t="str">
        <f t="shared" si="443"/>
        <v>1146784</v>
      </c>
    </row>
    <row r="1275" spans="1:36" x14ac:dyDescent="0.25">
      <c r="A1275">
        <v>12</v>
      </c>
      <c r="B1275" s="1">
        <v>46784</v>
      </c>
      <c r="C1275" s="1">
        <f t="shared" si="434"/>
        <v>47150</v>
      </c>
      <c r="D1275" s="1">
        <f t="shared" si="435"/>
        <v>46798</v>
      </c>
      <c r="E1275" s="1">
        <f t="shared" si="436"/>
        <v>47150</v>
      </c>
      <c r="F1275" s="1">
        <f t="shared" si="437"/>
        <v>47164</v>
      </c>
      <c r="G1275" s="1">
        <f t="shared" si="438"/>
        <v>47164</v>
      </c>
      <c r="H1275">
        <f t="shared" si="439"/>
        <v>366</v>
      </c>
      <c r="I1275">
        <f t="shared" si="440"/>
        <v>14</v>
      </c>
      <c r="J1275">
        <f t="shared" si="441"/>
        <v>3.825136612021858E-2</v>
      </c>
      <c r="K1275">
        <f>IFERROR($J1275/IF($A1275&lt;COUNTIFS($K$1:K$1,"&lt;&gt;"),0,SUMIFS($J:$J,$B:$B,$B1275,$A:$A,"&gt;="&amp;COUNTIFS($K$1:K$1,"&lt;&gt;"))),0)</f>
        <v>3.9886039886039885E-2</v>
      </c>
      <c r="L1275">
        <f>IFERROR($J1275/IF($A1275&lt;COUNTIFS($K$1:L$1,"&lt;&gt;"),0,SUMIFS($J:$J,$B:$B,$B1275,$A:$A,"&gt;="&amp;COUNTIFS($K$1:L$1,"&lt;&gt;"))),0)</f>
        <v>4.3750000000000004E-2</v>
      </c>
      <c r="M1275">
        <f>IFERROR($J1275/IF($A1275&lt;COUNTIFS($K$1:M$1,"&lt;&gt;"),0,SUMIFS($J:$J,$B:$B,$B1275,$A:$A,"&gt;="&amp;COUNTIFS($K$1:M$1,"&lt;&gt;"))),0)</f>
        <v>4.8275862068965517E-2</v>
      </c>
      <c r="N1275">
        <f>IFERROR($J1275/IF($A1275&lt;COUNTIFS($K$1:N$1,"&lt;&gt;"),0,SUMIFS($J:$J,$B:$B,$B1275,$A:$A,"&gt;="&amp;COUNTIFS($K$1:N$1,"&lt;&gt;"))),0)</f>
        <v>5.4054054054054057E-2</v>
      </c>
      <c r="O1275">
        <f>IFERROR($J1275/IF($A1275&lt;COUNTIFS($K$1:O$1,"&lt;&gt;"),0,SUMIFS($J:$J,$B:$B,$B1275,$A:$A,"&gt;="&amp;COUNTIFS($K$1:O$1,"&lt;&gt;"))),0)</f>
        <v>6.1135371179039298E-2</v>
      </c>
      <c r="P1275">
        <f>IFERROR($J1275/IF($A1275&lt;COUNTIFS($K$1:P$1,"&lt;&gt;"),0,SUMIFS($J:$J,$B:$B,$B1275,$A:$A,"&gt;="&amp;COUNTIFS($K$1:P$1,"&lt;&gt;"))),0)</f>
        <v>7.0707070707070704E-2</v>
      </c>
      <c r="Q1275">
        <f>IFERROR($J1275/IF($A1275&lt;COUNTIFS($K$1:Q$1,"&lt;&gt;"),0,SUMIFS($J:$J,$B:$B,$B1275,$A:$A,"&gt;="&amp;COUNTIFS($K$1:Q$1,"&lt;&gt;"))),0)</f>
        <v>8.3832335329341326E-2</v>
      </c>
      <c r="R1275">
        <f>IFERROR($J1275/IF($A1275&lt;COUNTIFS($K$1:R$1,"&lt;&gt;"),0,SUMIFS($J:$J,$B:$B,$B1275,$A:$A,"&gt;="&amp;COUNTIFS($K$1:R$1,"&lt;&gt;"))),0)</f>
        <v>0.10218978102189782</v>
      </c>
      <c r="S1275">
        <f>IFERROR($J1275/IF($A1275&lt;COUNTIFS($K$1:S$1,"&lt;&gt;"),0,SUMIFS($J:$J,$B:$B,$B1275,$A:$A,"&gt;="&amp;COUNTIFS($K$1:S$1,"&lt;&gt;"))),0)</f>
        <v>0.13207547169811321</v>
      </c>
      <c r="T1275">
        <f>IFERROR($J1275/IF($A1275&lt;COUNTIFS($K$1:T$1,"&lt;&gt;"),0,SUMIFS($J:$J,$B:$B,$B1275,$A:$A,"&gt;="&amp;COUNTIFS($K$1:T$1,"&lt;&gt;"))),0)</f>
        <v>0.18421052631578946</v>
      </c>
      <c r="U1275">
        <f>IFERROR($J1275/IF($A1275&lt;COUNTIFS($K$1:U$1,"&lt;&gt;"),0,SUMIFS($J:$J,$B:$B,$B1275,$A:$A,"&gt;="&amp;COUNTIFS($K$1:U$1,"&lt;&gt;"))),0)</f>
        <v>0.31111111111111112</v>
      </c>
      <c r="V1275">
        <f>IFERROR($J1275/IF($A1275&lt;COUNTIFS($K$1:V$1,"&lt;&gt;"),0,SUMIFS($J:$J,$B:$B,$B1275,$A:$A,"&gt;="&amp;COUNTIFS($K$1:V$1,"&lt;&gt;"))),0)</f>
        <v>1</v>
      </c>
      <c r="W1275">
        <f t="shared" si="442"/>
        <v>3.825136612021858E-2</v>
      </c>
      <c r="X1275">
        <f t="shared" si="422"/>
        <v>3.825136612021858E-2</v>
      </c>
      <c r="Y1275">
        <f t="shared" si="423"/>
        <v>3.825136612021858E-2</v>
      </c>
      <c r="Z1275">
        <f t="shared" si="424"/>
        <v>3.825136612021858E-2</v>
      </c>
      <c r="AA1275">
        <f t="shared" si="425"/>
        <v>3.825136612021858E-2</v>
      </c>
      <c r="AB1275">
        <f t="shared" si="426"/>
        <v>3.825136612021858E-2</v>
      </c>
      <c r="AC1275">
        <f t="shared" si="427"/>
        <v>3.825136612021858E-2</v>
      </c>
      <c r="AD1275">
        <f t="shared" si="428"/>
        <v>3.825136612021858E-2</v>
      </c>
      <c r="AE1275">
        <f t="shared" si="429"/>
        <v>3.825136612021858E-2</v>
      </c>
      <c r="AF1275">
        <f t="shared" si="430"/>
        <v>3.825136612021858E-2</v>
      </c>
      <c r="AG1275">
        <f t="shared" si="431"/>
        <v>3.825136612021858E-2</v>
      </c>
      <c r="AH1275">
        <f t="shared" si="432"/>
        <v>3.825136612021858E-2</v>
      </c>
      <c r="AI1275">
        <f t="shared" si="433"/>
        <v>3.825136612021858E-2</v>
      </c>
      <c r="AJ1275" s="2" t="str">
        <f t="shared" si="443"/>
        <v>1246784</v>
      </c>
    </row>
    <row r="1276" spans="1:36" x14ac:dyDescent="0.25">
      <c r="A1276">
        <v>0</v>
      </c>
      <c r="B1276" s="1">
        <v>46813</v>
      </c>
      <c r="C1276" s="1">
        <f t="shared" si="434"/>
        <v>46813</v>
      </c>
      <c r="D1276" s="1">
        <f t="shared" si="435"/>
        <v>46827</v>
      </c>
      <c r="E1276" s="1">
        <f t="shared" si="436"/>
        <v>46827</v>
      </c>
      <c r="F1276" s="1">
        <f t="shared" si="437"/>
        <v>46844</v>
      </c>
      <c r="G1276" s="1">
        <f t="shared" si="438"/>
        <v>47192</v>
      </c>
      <c r="H1276">
        <f t="shared" si="439"/>
        <v>365</v>
      </c>
      <c r="I1276">
        <f t="shared" si="440"/>
        <v>17</v>
      </c>
      <c r="J1276">
        <f t="shared" si="441"/>
        <v>4.6575342465753428E-2</v>
      </c>
      <c r="K1276">
        <f>IFERROR($J1276/IF($A1276&lt;COUNTIFS($K$1:K$1,"&lt;&gt;"),0,SUMIFS($J:$J,$B:$B,$B1276,$A:$A,"&gt;="&amp;COUNTIFS($K$1:K$1,"&lt;&gt;"))),0)</f>
        <v>0</v>
      </c>
      <c r="L1276">
        <f>IFERROR($J1276/IF($A1276&lt;COUNTIFS($K$1:L$1,"&lt;&gt;"),0,SUMIFS($J:$J,$B:$B,$B1276,$A:$A,"&gt;="&amp;COUNTIFS($K$1:L$1,"&lt;&gt;"))),0)</f>
        <v>0</v>
      </c>
      <c r="M1276">
        <f>IFERROR($J1276/IF($A1276&lt;COUNTIFS($K$1:M$1,"&lt;&gt;"),0,SUMIFS($J:$J,$B:$B,$B1276,$A:$A,"&gt;="&amp;COUNTIFS($K$1:M$1,"&lt;&gt;"))),0)</f>
        <v>0</v>
      </c>
      <c r="N1276">
        <f>IFERROR($J1276/IF($A1276&lt;COUNTIFS($K$1:N$1,"&lt;&gt;"),0,SUMIFS($J:$J,$B:$B,$B1276,$A:$A,"&gt;="&amp;COUNTIFS($K$1:N$1,"&lt;&gt;"))),0)</f>
        <v>0</v>
      </c>
      <c r="O1276">
        <f>IFERROR($J1276/IF($A1276&lt;COUNTIFS($K$1:O$1,"&lt;&gt;"),0,SUMIFS($J:$J,$B:$B,$B1276,$A:$A,"&gt;="&amp;COUNTIFS($K$1:O$1,"&lt;&gt;"))),0)</f>
        <v>0</v>
      </c>
      <c r="P1276">
        <f>IFERROR($J1276/IF($A1276&lt;COUNTIFS($K$1:P$1,"&lt;&gt;"),0,SUMIFS($J:$J,$B:$B,$B1276,$A:$A,"&gt;="&amp;COUNTIFS($K$1:P$1,"&lt;&gt;"))),0)</f>
        <v>0</v>
      </c>
      <c r="Q1276">
        <f>IFERROR($J1276/IF($A1276&lt;COUNTIFS($K$1:Q$1,"&lt;&gt;"),0,SUMIFS($J:$J,$B:$B,$B1276,$A:$A,"&gt;="&amp;COUNTIFS($K$1:Q$1,"&lt;&gt;"))),0)</f>
        <v>0</v>
      </c>
      <c r="R1276">
        <f>IFERROR($J1276/IF($A1276&lt;COUNTIFS($K$1:R$1,"&lt;&gt;"),0,SUMIFS($J:$J,$B:$B,$B1276,$A:$A,"&gt;="&amp;COUNTIFS($K$1:R$1,"&lt;&gt;"))),0)</f>
        <v>0</v>
      </c>
      <c r="S1276">
        <f>IFERROR($J1276/IF($A1276&lt;COUNTIFS($K$1:S$1,"&lt;&gt;"),0,SUMIFS($J:$J,$B:$B,$B1276,$A:$A,"&gt;="&amp;COUNTIFS($K$1:S$1,"&lt;&gt;"))),0)</f>
        <v>0</v>
      </c>
      <c r="T1276">
        <f>IFERROR($J1276/IF($A1276&lt;COUNTIFS($K$1:T$1,"&lt;&gt;"),0,SUMIFS($J:$J,$B:$B,$B1276,$A:$A,"&gt;="&amp;COUNTIFS($K$1:T$1,"&lt;&gt;"))),0)</f>
        <v>0</v>
      </c>
      <c r="U1276">
        <f>IFERROR($J1276/IF($A1276&lt;COUNTIFS($K$1:U$1,"&lt;&gt;"),0,SUMIFS($J:$J,$B:$B,$B1276,$A:$A,"&gt;="&amp;COUNTIFS($K$1:U$1,"&lt;&gt;"))),0)</f>
        <v>0</v>
      </c>
      <c r="V1276">
        <f>IFERROR($J1276/IF($A1276&lt;COUNTIFS($K$1:V$1,"&lt;&gt;"),0,SUMIFS($J:$J,$B:$B,$B1276,$A:$A,"&gt;="&amp;COUNTIFS($K$1:V$1,"&lt;&gt;"))),0)</f>
        <v>0</v>
      </c>
      <c r="W1276">
        <f t="shared" si="442"/>
        <v>4.6575342465753428E-2</v>
      </c>
      <c r="X1276">
        <f t="shared" si="422"/>
        <v>0</v>
      </c>
      <c r="Y1276">
        <f t="shared" si="423"/>
        <v>0</v>
      </c>
      <c r="Z1276">
        <f t="shared" si="424"/>
        <v>0</v>
      </c>
      <c r="AA1276">
        <f t="shared" si="425"/>
        <v>0</v>
      </c>
      <c r="AB1276">
        <f t="shared" si="426"/>
        <v>0</v>
      </c>
      <c r="AC1276">
        <f t="shared" si="427"/>
        <v>0</v>
      </c>
      <c r="AD1276">
        <f t="shared" si="428"/>
        <v>0</v>
      </c>
      <c r="AE1276">
        <f t="shared" si="429"/>
        <v>0</v>
      </c>
      <c r="AF1276">
        <f t="shared" si="430"/>
        <v>0</v>
      </c>
      <c r="AG1276">
        <f t="shared" si="431"/>
        <v>0</v>
      </c>
      <c r="AH1276">
        <f t="shared" si="432"/>
        <v>0</v>
      </c>
      <c r="AI1276">
        <f t="shared" si="433"/>
        <v>0</v>
      </c>
      <c r="AJ1276" s="2" t="str">
        <f t="shared" si="443"/>
        <v>046813</v>
      </c>
    </row>
    <row r="1277" spans="1:36" x14ac:dyDescent="0.25">
      <c r="A1277">
        <v>1</v>
      </c>
      <c r="B1277" s="1">
        <v>46813</v>
      </c>
      <c r="C1277" s="1">
        <f t="shared" si="434"/>
        <v>46844</v>
      </c>
      <c r="D1277" s="1">
        <f t="shared" si="435"/>
        <v>46827</v>
      </c>
      <c r="E1277" s="1">
        <f t="shared" si="436"/>
        <v>46844</v>
      </c>
      <c r="F1277" s="1">
        <f t="shared" si="437"/>
        <v>46874</v>
      </c>
      <c r="G1277" s="1">
        <f t="shared" si="438"/>
        <v>47192</v>
      </c>
      <c r="H1277">
        <f t="shared" si="439"/>
        <v>365</v>
      </c>
      <c r="I1277">
        <f t="shared" si="440"/>
        <v>30</v>
      </c>
      <c r="J1277">
        <f t="shared" si="441"/>
        <v>8.2191780821917804E-2</v>
      </c>
      <c r="K1277">
        <f>IFERROR($J1277/IF($A1277&lt;COUNTIFS($K$1:K$1,"&lt;&gt;"),0,SUMIFS($J:$J,$B:$B,$B1277,$A:$A,"&gt;="&amp;COUNTIFS($K$1:K$1,"&lt;&gt;"))),0)</f>
        <v>8.6206896551724144E-2</v>
      </c>
      <c r="L1277">
        <f>IFERROR($J1277/IF($A1277&lt;COUNTIFS($K$1:L$1,"&lt;&gt;"),0,SUMIFS($J:$J,$B:$B,$B1277,$A:$A,"&gt;="&amp;COUNTIFS($K$1:L$1,"&lt;&gt;"))),0)</f>
        <v>0</v>
      </c>
      <c r="M1277">
        <f>IFERROR($J1277/IF($A1277&lt;COUNTIFS($K$1:M$1,"&lt;&gt;"),0,SUMIFS($J:$J,$B:$B,$B1277,$A:$A,"&gt;="&amp;COUNTIFS($K$1:M$1,"&lt;&gt;"))),0)</f>
        <v>0</v>
      </c>
      <c r="N1277">
        <f>IFERROR($J1277/IF($A1277&lt;COUNTIFS($K$1:N$1,"&lt;&gt;"),0,SUMIFS($J:$J,$B:$B,$B1277,$A:$A,"&gt;="&amp;COUNTIFS($K$1:N$1,"&lt;&gt;"))),0)</f>
        <v>0</v>
      </c>
      <c r="O1277">
        <f>IFERROR($J1277/IF($A1277&lt;COUNTIFS($K$1:O$1,"&lt;&gt;"),0,SUMIFS($J:$J,$B:$B,$B1277,$A:$A,"&gt;="&amp;COUNTIFS($K$1:O$1,"&lt;&gt;"))),0)</f>
        <v>0</v>
      </c>
      <c r="P1277">
        <f>IFERROR($J1277/IF($A1277&lt;COUNTIFS($K$1:P$1,"&lt;&gt;"),0,SUMIFS($J:$J,$B:$B,$B1277,$A:$A,"&gt;="&amp;COUNTIFS($K$1:P$1,"&lt;&gt;"))),0)</f>
        <v>0</v>
      </c>
      <c r="Q1277">
        <f>IFERROR($J1277/IF($A1277&lt;COUNTIFS($K$1:Q$1,"&lt;&gt;"),0,SUMIFS($J:$J,$B:$B,$B1277,$A:$A,"&gt;="&amp;COUNTIFS($K$1:Q$1,"&lt;&gt;"))),0)</f>
        <v>0</v>
      </c>
      <c r="R1277">
        <f>IFERROR($J1277/IF($A1277&lt;COUNTIFS($K$1:R$1,"&lt;&gt;"),0,SUMIFS($J:$J,$B:$B,$B1277,$A:$A,"&gt;="&amp;COUNTIFS($K$1:R$1,"&lt;&gt;"))),0)</f>
        <v>0</v>
      </c>
      <c r="S1277">
        <f>IFERROR($J1277/IF($A1277&lt;COUNTIFS($K$1:S$1,"&lt;&gt;"),0,SUMIFS($J:$J,$B:$B,$B1277,$A:$A,"&gt;="&amp;COUNTIFS($K$1:S$1,"&lt;&gt;"))),0)</f>
        <v>0</v>
      </c>
      <c r="T1277">
        <f>IFERROR($J1277/IF($A1277&lt;COUNTIFS($K$1:T$1,"&lt;&gt;"),0,SUMIFS($J:$J,$B:$B,$B1277,$A:$A,"&gt;="&amp;COUNTIFS($K$1:T$1,"&lt;&gt;"))),0)</f>
        <v>0</v>
      </c>
      <c r="U1277">
        <f>IFERROR($J1277/IF($A1277&lt;COUNTIFS($K$1:U$1,"&lt;&gt;"),0,SUMIFS($J:$J,$B:$B,$B1277,$A:$A,"&gt;="&amp;COUNTIFS($K$1:U$1,"&lt;&gt;"))),0)</f>
        <v>0</v>
      </c>
      <c r="V1277">
        <f>IFERROR($J1277/IF($A1277&lt;COUNTIFS($K$1:V$1,"&lt;&gt;"),0,SUMIFS($J:$J,$B:$B,$B1277,$A:$A,"&gt;="&amp;COUNTIFS($K$1:V$1,"&lt;&gt;"))),0)</f>
        <v>0</v>
      </c>
      <c r="W1277">
        <f t="shared" si="442"/>
        <v>8.2191780821917804E-2</v>
      </c>
      <c r="X1277">
        <f t="shared" si="422"/>
        <v>8.2191780821917804E-2</v>
      </c>
      <c r="Y1277">
        <f t="shared" si="423"/>
        <v>0</v>
      </c>
      <c r="Z1277">
        <f t="shared" si="424"/>
        <v>0</v>
      </c>
      <c r="AA1277">
        <f t="shared" si="425"/>
        <v>0</v>
      </c>
      <c r="AB1277">
        <f t="shared" si="426"/>
        <v>0</v>
      </c>
      <c r="AC1277">
        <f t="shared" si="427"/>
        <v>0</v>
      </c>
      <c r="AD1277">
        <f t="shared" si="428"/>
        <v>0</v>
      </c>
      <c r="AE1277">
        <f t="shared" si="429"/>
        <v>0</v>
      </c>
      <c r="AF1277">
        <f t="shared" si="430"/>
        <v>0</v>
      </c>
      <c r="AG1277">
        <f t="shared" si="431"/>
        <v>0</v>
      </c>
      <c r="AH1277">
        <f t="shared" si="432"/>
        <v>0</v>
      </c>
      <c r="AI1277">
        <f t="shared" si="433"/>
        <v>0</v>
      </c>
      <c r="AJ1277" s="2" t="str">
        <f t="shared" si="443"/>
        <v>146813</v>
      </c>
    </row>
    <row r="1278" spans="1:36" x14ac:dyDescent="0.25">
      <c r="A1278">
        <v>2</v>
      </c>
      <c r="B1278" s="1">
        <v>46813</v>
      </c>
      <c r="C1278" s="1">
        <f t="shared" si="434"/>
        <v>46874</v>
      </c>
      <c r="D1278" s="1">
        <f t="shared" si="435"/>
        <v>46827</v>
      </c>
      <c r="E1278" s="1">
        <f t="shared" si="436"/>
        <v>46874</v>
      </c>
      <c r="F1278" s="1">
        <f t="shared" si="437"/>
        <v>46905</v>
      </c>
      <c r="G1278" s="1">
        <f t="shared" si="438"/>
        <v>47192</v>
      </c>
      <c r="H1278">
        <f t="shared" si="439"/>
        <v>365</v>
      </c>
      <c r="I1278">
        <f t="shared" si="440"/>
        <v>31</v>
      </c>
      <c r="J1278">
        <f t="shared" si="441"/>
        <v>8.4931506849315067E-2</v>
      </c>
      <c r="K1278">
        <f>IFERROR($J1278/IF($A1278&lt;COUNTIFS($K$1:K$1,"&lt;&gt;"),0,SUMIFS($J:$J,$B:$B,$B1278,$A:$A,"&gt;="&amp;COUNTIFS($K$1:K$1,"&lt;&gt;"))),0)</f>
        <v>8.9080459770114959E-2</v>
      </c>
      <c r="L1278">
        <f>IFERROR($J1278/IF($A1278&lt;COUNTIFS($K$1:L$1,"&lt;&gt;"),0,SUMIFS($J:$J,$B:$B,$B1278,$A:$A,"&gt;="&amp;COUNTIFS($K$1:L$1,"&lt;&gt;"))),0)</f>
        <v>9.7484276729559768E-2</v>
      </c>
      <c r="M1278">
        <f>IFERROR($J1278/IF($A1278&lt;COUNTIFS($K$1:M$1,"&lt;&gt;"),0,SUMIFS($J:$J,$B:$B,$B1278,$A:$A,"&gt;="&amp;COUNTIFS($K$1:M$1,"&lt;&gt;"))),0)</f>
        <v>0</v>
      </c>
      <c r="N1278">
        <f>IFERROR($J1278/IF($A1278&lt;COUNTIFS($K$1:N$1,"&lt;&gt;"),0,SUMIFS($J:$J,$B:$B,$B1278,$A:$A,"&gt;="&amp;COUNTIFS($K$1:N$1,"&lt;&gt;"))),0)</f>
        <v>0</v>
      </c>
      <c r="O1278">
        <f>IFERROR($J1278/IF($A1278&lt;COUNTIFS($K$1:O$1,"&lt;&gt;"),0,SUMIFS($J:$J,$B:$B,$B1278,$A:$A,"&gt;="&amp;COUNTIFS($K$1:O$1,"&lt;&gt;"))),0)</f>
        <v>0</v>
      </c>
      <c r="P1278">
        <f>IFERROR($J1278/IF($A1278&lt;COUNTIFS($K$1:P$1,"&lt;&gt;"),0,SUMIFS($J:$J,$B:$B,$B1278,$A:$A,"&gt;="&amp;COUNTIFS($K$1:P$1,"&lt;&gt;"))),0)</f>
        <v>0</v>
      </c>
      <c r="Q1278">
        <f>IFERROR($J1278/IF($A1278&lt;COUNTIFS($K$1:Q$1,"&lt;&gt;"),0,SUMIFS($J:$J,$B:$B,$B1278,$A:$A,"&gt;="&amp;COUNTIFS($K$1:Q$1,"&lt;&gt;"))),0)</f>
        <v>0</v>
      </c>
      <c r="R1278">
        <f>IFERROR($J1278/IF($A1278&lt;COUNTIFS($K$1:R$1,"&lt;&gt;"),0,SUMIFS($J:$J,$B:$B,$B1278,$A:$A,"&gt;="&amp;COUNTIFS($K$1:R$1,"&lt;&gt;"))),0)</f>
        <v>0</v>
      </c>
      <c r="S1278">
        <f>IFERROR($J1278/IF($A1278&lt;COUNTIFS($K$1:S$1,"&lt;&gt;"),0,SUMIFS($J:$J,$B:$B,$B1278,$A:$A,"&gt;="&amp;COUNTIFS($K$1:S$1,"&lt;&gt;"))),0)</f>
        <v>0</v>
      </c>
      <c r="T1278">
        <f>IFERROR($J1278/IF($A1278&lt;COUNTIFS($K$1:T$1,"&lt;&gt;"),0,SUMIFS($J:$J,$B:$B,$B1278,$A:$A,"&gt;="&amp;COUNTIFS($K$1:T$1,"&lt;&gt;"))),0)</f>
        <v>0</v>
      </c>
      <c r="U1278">
        <f>IFERROR($J1278/IF($A1278&lt;COUNTIFS($K$1:U$1,"&lt;&gt;"),0,SUMIFS($J:$J,$B:$B,$B1278,$A:$A,"&gt;="&amp;COUNTIFS($K$1:U$1,"&lt;&gt;"))),0)</f>
        <v>0</v>
      </c>
      <c r="V1278">
        <f>IFERROR($J1278/IF($A1278&lt;COUNTIFS($K$1:V$1,"&lt;&gt;"),0,SUMIFS($J:$J,$B:$B,$B1278,$A:$A,"&gt;="&amp;COUNTIFS($K$1:V$1,"&lt;&gt;"))),0)</f>
        <v>0</v>
      </c>
      <c r="W1278">
        <f t="shared" si="442"/>
        <v>8.4931506849315067E-2</v>
      </c>
      <c r="X1278">
        <f t="shared" si="422"/>
        <v>8.4931506849315067E-2</v>
      </c>
      <c r="Y1278">
        <f t="shared" si="423"/>
        <v>8.4931506849315067E-2</v>
      </c>
      <c r="Z1278">
        <f t="shared" si="424"/>
        <v>0</v>
      </c>
      <c r="AA1278">
        <f t="shared" si="425"/>
        <v>0</v>
      </c>
      <c r="AB1278">
        <f t="shared" si="426"/>
        <v>0</v>
      </c>
      <c r="AC1278">
        <f t="shared" si="427"/>
        <v>0</v>
      </c>
      <c r="AD1278">
        <f t="shared" si="428"/>
        <v>0</v>
      </c>
      <c r="AE1278">
        <f t="shared" si="429"/>
        <v>0</v>
      </c>
      <c r="AF1278">
        <f t="shared" si="430"/>
        <v>0</v>
      </c>
      <c r="AG1278">
        <f t="shared" si="431"/>
        <v>0</v>
      </c>
      <c r="AH1278">
        <f t="shared" si="432"/>
        <v>0</v>
      </c>
      <c r="AI1278">
        <f t="shared" si="433"/>
        <v>0</v>
      </c>
      <c r="AJ1278" s="2" t="str">
        <f t="shared" si="443"/>
        <v>246813</v>
      </c>
    </row>
    <row r="1279" spans="1:36" x14ac:dyDescent="0.25">
      <c r="A1279">
        <v>3</v>
      </c>
      <c r="B1279" s="1">
        <v>46813</v>
      </c>
      <c r="C1279" s="1">
        <f t="shared" si="434"/>
        <v>46905</v>
      </c>
      <c r="D1279" s="1">
        <f t="shared" si="435"/>
        <v>46827</v>
      </c>
      <c r="E1279" s="1">
        <f t="shared" si="436"/>
        <v>46905</v>
      </c>
      <c r="F1279" s="1">
        <f t="shared" si="437"/>
        <v>46935</v>
      </c>
      <c r="G1279" s="1">
        <f t="shared" si="438"/>
        <v>47192</v>
      </c>
      <c r="H1279">
        <f t="shared" si="439"/>
        <v>365</v>
      </c>
      <c r="I1279">
        <f t="shared" si="440"/>
        <v>30</v>
      </c>
      <c r="J1279">
        <f t="shared" si="441"/>
        <v>8.2191780821917804E-2</v>
      </c>
      <c r="K1279">
        <f>IFERROR($J1279/IF($A1279&lt;COUNTIFS($K$1:K$1,"&lt;&gt;"),0,SUMIFS($J:$J,$B:$B,$B1279,$A:$A,"&gt;="&amp;COUNTIFS($K$1:K$1,"&lt;&gt;"))),0)</f>
        <v>8.6206896551724144E-2</v>
      </c>
      <c r="L1279">
        <f>IFERROR($J1279/IF($A1279&lt;COUNTIFS($K$1:L$1,"&lt;&gt;"),0,SUMIFS($J:$J,$B:$B,$B1279,$A:$A,"&gt;="&amp;COUNTIFS($K$1:L$1,"&lt;&gt;"))),0)</f>
        <v>9.4339622641509441E-2</v>
      </c>
      <c r="M1279">
        <f>IFERROR($J1279/IF($A1279&lt;COUNTIFS($K$1:M$1,"&lt;&gt;"),0,SUMIFS($J:$J,$B:$B,$B1279,$A:$A,"&gt;="&amp;COUNTIFS($K$1:M$1,"&lt;&gt;"))),0)</f>
        <v>0.10452961672473869</v>
      </c>
      <c r="N1279">
        <f>IFERROR($J1279/IF($A1279&lt;COUNTIFS($K$1:N$1,"&lt;&gt;"),0,SUMIFS($J:$J,$B:$B,$B1279,$A:$A,"&gt;="&amp;COUNTIFS($K$1:N$1,"&lt;&gt;"))),0)</f>
        <v>0</v>
      </c>
      <c r="O1279">
        <f>IFERROR($J1279/IF($A1279&lt;COUNTIFS($K$1:O$1,"&lt;&gt;"),0,SUMIFS($J:$J,$B:$B,$B1279,$A:$A,"&gt;="&amp;COUNTIFS($K$1:O$1,"&lt;&gt;"))),0)</f>
        <v>0</v>
      </c>
      <c r="P1279">
        <f>IFERROR($J1279/IF($A1279&lt;COUNTIFS($K$1:P$1,"&lt;&gt;"),0,SUMIFS($J:$J,$B:$B,$B1279,$A:$A,"&gt;="&amp;COUNTIFS($K$1:P$1,"&lt;&gt;"))),0)</f>
        <v>0</v>
      </c>
      <c r="Q1279">
        <f>IFERROR($J1279/IF($A1279&lt;COUNTIFS($K$1:Q$1,"&lt;&gt;"),0,SUMIFS($J:$J,$B:$B,$B1279,$A:$A,"&gt;="&amp;COUNTIFS($K$1:Q$1,"&lt;&gt;"))),0)</f>
        <v>0</v>
      </c>
      <c r="R1279">
        <f>IFERROR($J1279/IF($A1279&lt;COUNTIFS($K$1:R$1,"&lt;&gt;"),0,SUMIFS($J:$J,$B:$B,$B1279,$A:$A,"&gt;="&amp;COUNTIFS($K$1:R$1,"&lt;&gt;"))),0)</f>
        <v>0</v>
      </c>
      <c r="S1279">
        <f>IFERROR($J1279/IF($A1279&lt;COUNTIFS($K$1:S$1,"&lt;&gt;"),0,SUMIFS($J:$J,$B:$B,$B1279,$A:$A,"&gt;="&amp;COUNTIFS($K$1:S$1,"&lt;&gt;"))),0)</f>
        <v>0</v>
      </c>
      <c r="T1279">
        <f>IFERROR($J1279/IF($A1279&lt;COUNTIFS($K$1:T$1,"&lt;&gt;"),0,SUMIFS($J:$J,$B:$B,$B1279,$A:$A,"&gt;="&amp;COUNTIFS($K$1:T$1,"&lt;&gt;"))),0)</f>
        <v>0</v>
      </c>
      <c r="U1279">
        <f>IFERROR($J1279/IF($A1279&lt;COUNTIFS($K$1:U$1,"&lt;&gt;"),0,SUMIFS($J:$J,$B:$B,$B1279,$A:$A,"&gt;="&amp;COUNTIFS($K$1:U$1,"&lt;&gt;"))),0)</f>
        <v>0</v>
      </c>
      <c r="V1279">
        <f>IFERROR($J1279/IF($A1279&lt;COUNTIFS($K$1:V$1,"&lt;&gt;"),0,SUMIFS($J:$J,$B:$B,$B1279,$A:$A,"&gt;="&amp;COUNTIFS($K$1:V$1,"&lt;&gt;"))),0)</f>
        <v>0</v>
      </c>
      <c r="W1279">
        <f t="shared" si="442"/>
        <v>8.2191780821917804E-2</v>
      </c>
      <c r="X1279">
        <f t="shared" si="422"/>
        <v>8.2191780821917804E-2</v>
      </c>
      <c r="Y1279">
        <f t="shared" si="423"/>
        <v>8.2191780821917804E-2</v>
      </c>
      <c r="Z1279">
        <f t="shared" si="424"/>
        <v>8.2191780821917804E-2</v>
      </c>
      <c r="AA1279">
        <f t="shared" si="425"/>
        <v>0</v>
      </c>
      <c r="AB1279">
        <f t="shared" si="426"/>
        <v>0</v>
      </c>
      <c r="AC1279">
        <f t="shared" si="427"/>
        <v>0</v>
      </c>
      <c r="AD1279">
        <f t="shared" si="428"/>
        <v>0</v>
      </c>
      <c r="AE1279">
        <f t="shared" si="429"/>
        <v>0</v>
      </c>
      <c r="AF1279">
        <f t="shared" si="430"/>
        <v>0</v>
      </c>
      <c r="AG1279">
        <f t="shared" si="431"/>
        <v>0</v>
      </c>
      <c r="AH1279">
        <f t="shared" si="432"/>
        <v>0</v>
      </c>
      <c r="AI1279">
        <f t="shared" si="433"/>
        <v>0</v>
      </c>
      <c r="AJ1279" s="2" t="str">
        <f t="shared" si="443"/>
        <v>346813</v>
      </c>
    </row>
    <row r="1280" spans="1:36" x14ac:dyDescent="0.25">
      <c r="A1280">
        <v>4</v>
      </c>
      <c r="B1280" s="1">
        <v>46813</v>
      </c>
      <c r="C1280" s="1">
        <f t="shared" si="434"/>
        <v>46935</v>
      </c>
      <c r="D1280" s="1">
        <f t="shared" si="435"/>
        <v>46827</v>
      </c>
      <c r="E1280" s="1">
        <f t="shared" si="436"/>
        <v>46935</v>
      </c>
      <c r="F1280" s="1">
        <f t="shared" si="437"/>
        <v>46966</v>
      </c>
      <c r="G1280" s="1">
        <f t="shared" si="438"/>
        <v>47192</v>
      </c>
      <c r="H1280">
        <f t="shared" si="439"/>
        <v>365</v>
      </c>
      <c r="I1280">
        <f t="shared" si="440"/>
        <v>31</v>
      </c>
      <c r="J1280">
        <f t="shared" si="441"/>
        <v>8.4931506849315067E-2</v>
      </c>
      <c r="K1280">
        <f>IFERROR($J1280/IF($A1280&lt;COUNTIFS($K$1:K$1,"&lt;&gt;"),0,SUMIFS($J:$J,$B:$B,$B1280,$A:$A,"&gt;="&amp;COUNTIFS($K$1:K$1,"&lt;&gt;"))),0)</f>
        <v>8.9080459770114959E-2</v>
      </c>
      <c r="L1280">
        <f>IFERROR($J1280/IF($A1280&lt;COUNTIFS($K$1:L$1,"&lt;&gt;"),0,SUMIFS($J:$J,$B:$B,$B1280,$A:$A,"&gt;="&amp;COUNTIFS($K$1:L$1,"&lt;&gt;"))),0)</f>
        <v>9.7484276729559768E-2</v>
      </c>
      <c r="M1280">
        <f>IFERROR($J1280/IF($A1280&lt;COUNTIFS($K$1:M$1,"&lt;&gt;"),0,SUMIFS($J:$J,$B:$B,$B1280,$A:$A,"&gt;="&amp;COUNTIFS($K$1:M$1,"&lt;&gt;"))),0)</f>
        <v>0.10801393728222998</v>
      </c>
      <c r="N1280">
        <f>IFERROR($J1280/IF($A1280&lt;COUNTIFS($K$1:N$1,"&lt;&gt;"),0,SUMIFS($J:$J,$B:$B,$B1280,$A:$A,"&gt;="&amp;COUNTIFS($K$1:N$1,"&lt;&gt;"))),0)</f>
        <v>0.12062256809338523</v>
      </c>
      <c r="O1280">
        <f>IFERROR($J1280/IF($A1280&lt;COUNTIFS($K$1:O$1,"&lt;&gt;"),0,SUMIFS($J:$J,$B:$B,$B1280,$A:$A,"&gt;="&amp;COUNTIFS($K$1:O$1,"&lt;&gt;"))),0)</f>
        <v>0</v>
      </c>
      <c r="P1280">
        <f>IFERROR($J1280/IF($A1280&lt;COUNTIFS($K$1:P$1,"&lt;&gt;"),0,SUMIFS($J:$J,$B:$B,$B1280,$A:$A,"&gt;="&amp;COUNTIFS($K$1:P$1,"&lt;&gt;"))),0)</f>
        <v>0</v>
      </c>
      <c r="Q1280">
        <f>IFERROR($J1280/IF($A1280&lt;COUNTIFS($K$1:Q$1,"&lt;&gt;"),0,SUMIFS($J:$J,$B:$B,$B1280,$A:$A,"&gt;="&amp;COUNTIFS($K$1:Q$1,"&lt;&gt;"))),0)</f>
        <v>0</v>
      </c>
      <c r="R1280">
        <f>IFERROR($J1280/IF($A1280&lt;COUNTIFS($K$1:R$1,"&lt;&gt;"),0,SUMIFS($J:$J,$B:$B,$B1280,$A:$A,"&gt;="&amp;COUNTIFS($K$1:R$1,"&lt;&gt;"))),0)</f>
        <v>0</v>
      </c>
      <c r="S1280">
        <f>IFERROR($J1280/IF($A1280&lt;COUNTIFS($K$1:S$1,"&lt;&gt;"),0,SUMIFS($J:$J,$B:$B,$B1280,$A:$A,"&gt;="&amp;COUNTIFS($K$1:S$1,"&lt;&gt;"))),0)</f>
        <v>0</v>
      </c>
      <c r="T1280">
        <f>IFERROR($J1280/IF($A1280&lt;COUNTIFS($K$1:T$1,"&lt;&gt;"),0,SUMIFS($J:$J,$B:$B,$B1280,$A:$A,"&gt;="&amp;COUNTIFS($K$1:T$1,"&lt;&gt;"))),0)</f>
        <v>0</v>
      </c>
      <c r="U1280">
        <f>IFERROR($J1280/IF($A1280&lt;COUNTIFS($K$1:U$1,"&lt;&gt;"),0,SUMIFS($J:$J,$B:$B,$B1280,$A:$A,"&gt;="&amp;COUNTIFS($K$1:U$1,"&lt;&gt;"))),0)</f>
        <v>0</v>
      </c>
      <c r="V1280">
        <f>IFERROR($J1280/IF($A1280&lt;COUNTIFS($K$1:V$1,"&lt;&gt;"),0,SUMIFS($J:$J,$B:$B,$B1280,$A:$A,"&gt;="&amp;COUNTIFS($K$1:V$1,"&lt;&gt;"))),0)</f>
        <v>0</v>
      </c>
      <c r="W1280">
        <f t="shared" si="442"/>
        <v>8.4931506849315067E-2</v>
      </c>
      <c r="X1280">
        <f t="shared" si="422"/>
        <v>8.4931506849315067E-2</v>
      </c>
      <c r="Y1280">
        <f t="shared" si="423"/>
        <v>8.4931506849315067E-2</v>
      </c>
      <c r="Z1280">
        <f t="shared" si="424"/>
        <v>8.4931506849315067E-2</v>
      </c>
      <c r="AA1280">
        <f t="shared" si="425"/>
        <v>8.4931506849315067E-2</v>
      </c>
      <c r="AB1280">
        <f t="shared" si="426"/>
        <v>0</v>
      </c>
      <c r="AC1280">
        <f t="shared" si="427"/>
        <v>0</v>
      </c>
      <c r="AD1280">
        <f t="shared" si="428"/>
        <v>0</v>
      </c>
      <c r="AE1280">
        <f t="shared" si="429"/>
        <v>0</v>
      </c>
      <c r="AF1280">
        <f t="shared" si="430"/>
        <v>0</v>
      </c>
      <c r="AG1280">
        <f t="shared" si="431"/>
        <v>0</v>
      </c>
      <c r="AH1280">
        <f t="shared" si="432"/>
        <v>0</v>
      </c>
      <c r="AI1280">
        <f t="shared" si="433"/>
        <v>0</v>
      </c>
      <c r="AJ1280" s="2" t="str">
        <f t="shared" si="443"/>
        <v>446813</v>
      </c>
    </row>
    <row r="1281" spans="1:36" x14ac:dyDescent="0.25">
      <c r="A1281">
        <v>5</v>
      </c>
      <c r="B1281" s="1">
        <v>46813</v>
      </c>
      <c r="C1281" s="1">
        <f t="shared" si="434"/>
        <v>46966</v>
      </c>
      <c r="D1281" s="1">
        <f t="shared" si="435"/>
        <v>46827</v>
      </c>
      <c r="E1281" s="1">
        <f t="shared" si="436"/>
        <v>46966</v>
      </c>
      <c r="F1281" s="1">
        <f t="shared" si="437"/>
        <v>46997</v>
      </c>
      <c r="G1281" s="1">
        <f t="shared" si="438"/>
        <v>47192</v>
      </c>
      <c r="H1281">
        <f t="shared" si="439"/>
        <v>365</v>
      </c>
      <c r="I1281">
        <f t="shared" si="440"/>
        <v>31</v>
      </c>
      <c r="J1281">
        <f t="shared" si="441"/>
        <v>8.4931506849315067E-2</v>
      </c>
      <c r="K1281">
        <f>IFERROR($J1281/IF($A1281&lt;COUNTIFS($K$1:K$1,"&lt;&gt;"),0,SUMIFS($J:$J,$B:$B,$B1281,$A:$A,"&gt;="&amp;COUNTIFS($K$1:K$1,"&lt;&gt;"))),0)</f>
        <v>8.9080459770114959E-2</v>
      </c>
      <c r="L1281">
        <f>IFERROR($J1281/IF($A1281&lt;COUNTIFS($K$1:L$1,"&lt;&gt;"),0,SUMIFS($J:$J,$B:$B,$B1281,$A:$A,"&gt;="&amp;COUNTIFS($K$1:L$1,"&lt;&gt;"))),0)</f>
        <v>9.7484276729559768E-2</v>
      </c>
      <c r="M1281">
        <f>IFERROR($J1281/IF($A1281&lt;COUNTIFS($K$1:M$1,"&lt;&gt;"),0,SUMIFS($J:$J,$B:$B,$B1281,$A:$A,"&gt;="&amp;COUNTIFS($K$1:M$1,"&lt;&gt;"))),0)</f>
        <v>0.10801393728222998</v>
      </c>
      <c r="N1281">
        <f>IFERROR($J1281/IF($A1281&lt;COUNTIFS($K$1:N$1,"&lt;&gt;"),0,SUMIFS($J:$J,$B:$B,$B1281,$A:$A,"&gt;="&amp;COUNTIFS($K$1:N$1,"&lt;&gt;"))),0)</f>
        <v>0.12062256809338523</v>
      </c>
      <c r="O1281">
        <f>IFERROR($J1281/IF($A1281&lt;COUNTIFS($K$1:O$1,"&lt;&gt;"),0,SUMIFS($J:$J,$B:$B,$B1281,$A:$A,"&gt;="&amp;COUNTIFS($K$1:O$1,"&lt;&gt;"))),0)</f>
        <v>0.13716814159292037</v>
      </c>
      <c r="P1281">
        <f>IFERROR($J1281/IF($A1281&lt;COUNTIFS($K$1:P$1,"&lt;&gt;"),0,SUMIFS($J:$J,$B:$B,$B1281,$A:$A,"&gt;="&amp;COUNTIFS($K$1:P$1,"&lt;&gt;"))),0)</f>
        <v>0</v>
      </c>
      <c r="Q1281">
        <f>IFERROR($J1281/IF($A1281&lt;COUNTIFS($K$1:Q$1,"&lt;&gt;"),0,SUMIFS($J:$J,$B:$B,$B1281,$A:$A,"&gt;="&amp;COUNTIFS($K$1:Q$1,"&lt;&gt;"))),0)</f>
        <v>0</v>
      </c>
      <c r="R1281">
        <f>IFERROR($J1281/IF($A1281&lt;COUNTIFS($K$1:R$1,"&lt;&gt;"),0,SUMIFS($J:$J,$B:$B,$B1281,$A:$A,"&gt;="&amp;COUNTIFS($K$1:R$1,"&lt;&gt;"))),0)</f>
        <v>0</v>
      </c>
      <c r="S1281">
        <f>IFERROR($J1281/IF($A1281&lt;COUNTIFS($K$1:S$1,"&lt;&gt;"),0,SUMIFS($J:$J,$B:$B,$B1281,$A:$A,"&gt;="&amp;COUNTIFS($K$1:S$1,"&lt;&gt;"))),0)</f>
        <v>0</v>
      </c>
      <c r="T1281">
        <f>IFERROR($J1281/IF($A1281&lt;COUNTIFS($K$1:T$1,"&lt;&gt;"),0,SUMIFS($J:$J,$B:$B,$B1281,$A:$A,"&gt;="&amp;COUNTIFS($K$1:T$1,"&lt;&gt;"))),0)</f>
        <v>0</v>
      </c>
      <c r="U1281">
        <f>IFERROR($J1281/IF($A1281&lt;COUNTIFS($K$1:U$1,"&lt;&gt;"),0,SUMIFS($J:$J,$B:$B,$B1281,$A:$A,"&gt;="&amp;COUNTIFS($K$1:U$1,"&lt;&gt;"))),0)</f>
        <v>0</v>
      </c>
      <c r="V1281">
        <f>IFERROR($J1281/IF($A1281&lt;COUNTIFS($K$1:V$1,"&lt;&gt;"),0,SUMIFS($J:$J,$B:$B,$B1281,$A:$A,"&gt;="&amp;COUNTIFS($K$1:V$1,"&lt;&gt;"))),0)</f>
        <v>0</v>
      </c>
      <c r="W1281">
        <f t="shared" si="442"/>
        <v>8.4931506849315067E-2</v>
      </c>
      <c r="X1281">
        <f t="shared" si="422"/>
        <v>8.4931506849315067E-2</v>
      </c>
      <c r="Y1281">
        <f t="shared" si="423"/>
        <v>8.4931506849315067E-2</v>
      </c>
      <c r="Z1281">
        <f t="shared" si="424"/>
        <v>8.4931506849315067E-2</v>
      </c>
      <c r="AA1281">
        <f t="shared" si="425"/>
        <v>8.4931506849315067E-2</v>
      </c>
      <c r="AB1281">
        <f t="shared" si="426"/>
        <v>8.4931506849315067E-2</v>
      </c>
      <c r="AC1281">
        <f t="shared" si="427"/>
        <v>0</v>
      </c>
      <c r="AD1281">
        <f t="shared" si="428"/>
        <v>0</v>
      </c>
      <c r="AE1281">
        <f t="shared" si="429"/>
        <v>0</v>
      </c>
      <c r="AF1281">
        <f t="shared" si="430"/>
        <v>0</v>
      </c>
      <c r="AG1281">
        <f t="shared" si="431"/>
        <v>0</v>
      </c>
      <c r="AH1281">
        <f t="shared" si="432"/>
        <v>0</v>
      </c>
      <c r="AI1281">
        <f t="shared" si="433"/>
        <v>0</v>
      </c>
      <c r="AJ1281" s="2" t="str">
        <f t="shared" si="443"/>
        <v>546813</v>
      </c>
    </row>
    <row r="1282" spans="1:36" x14ac:dyDescent="0.25">
      <c r="A1282">
        <v>6</v>
      </c>
      <c r="B1282" s="1">
        <v>46813</v>
      </c>
      <c r="C1282" s="1">
        <f t="shared" si="434"/>
        <v>46997</v>
      </c>
      <c r="D1282" s="1">
        <f t="shared" si="435"/>
        <v>46827</v>
      </c>
      <c r="E1282" s="1">
        <f t="shared" si="436"/>
        <v>46997</v>
      </c>
      <c r="F1282" s="1">
        <f t="shared" si="437"/>
        <v>47027</v>
      </c>
      <c r="G1282" s="1">
        <f t="shared" si="438"/>
        <v>47192</v>
      </c>
      <c r="H1282">
        <f t="shared" si="439"/>
        <v>365</v>
      </c>
      <c r="I1282">
        <f t="shared" si="440"/>
        <v>30</v>
      </c>
      <c r="J1282">
        <f t="shared" si="441"/>
        <v>8.2191780821917804E-2</v>
      </c>
      <c r="K1282">
        <f>IFERROR($J1282/IF($A1282&lt;COUNTIFS($K$1:K$1,"&lt;&gt;"),0,SUMIFS($J:$J,$B:$B,$B1282,$A:$A,"&gt;="&amp;COUNTIFS($K$1:K$1,"&lt;&gt;"))),0)</f>
        <v>8.6206896551724144E-2</v>
      </c>
      <c r="L1282">
        <f>IFERROR($J1282/IF($A1282&lt;COUNTIFS($K$1:L$1,"&lt;&gt;"),0,SUMIFS($J:$J,$B:$B,$B1282,$A:$A,"&gt;="&amp;COUNTIFS($K$1:L$1,"&lt;&gt;"))),0)</f>
        <v>9.4339622641509441E-2</v>
      </c>
      <c r="M1282">
        <f>IFERROR($J1282/IF($A1282&lt;COUNTIFS($K$1:M$1,"&lt;&gt;"),0,SUMIFS($J:$J,$B:$B,$B1282,$A:$A,"&gt;="&amp;COUNTIFS($K$1:M$1,"&lt;&gt;"))),0)</f>
        <v>0.10452961672473869</v>
      </c>
      <c r="N1282">
        <f>IFERROR($J1282/IF($A1282&lt;COUNTIFS($K$1:N$1,"&lt;&gt;"),0,SUMIFS($J:$J,$B:$B,$B1282,$A:$A,"&gt;="&amp;COUNTIFS($K$1:N$1,"&lt;&gt;"))),0)</f>
        <v>0.11673151750972764</v>
      </c>
      <c r="O1282">
        <f>IFERROR($J1282/IF($A1282&lt;COUNTIFS($K$1:O$1,"&lt;&gt;"),0,SUMIFS($J:$J,$B:$B,$B1282,$A:$A,"&gt;="&amp;COUNTIFS($K$1:O$1,"&lt;&gt;"))),0)</f>
        <v>0.13274336283185842</v>
      </c>
      <c r="P1282">
        <f>IFERROR($J1282/IF($A1282&lt;COUNTIFS($K$1:P$1,"&lt;&gt;"),0,SUMIFS($J:$J,$B:$B,$B1282,$A:$A,"&gt;="&amp;COUNTIFS($K$1:P$1,"&lt;&gt;"))),0)</f>
        <v>0.15384615384615385</v>
      </c>
      <c r="Q1282">
        <f>IFERROR($J1282/IF($A1282&lt;COUNTIFS($K$1:Q$1,"&lt;&gt;"),0,SUMIFS($J:$J,$B:$B,$B1282,$A:$A,"&gt;="&amp;COUNTIFS($K$1:Q$1,"&lt;&gt;"))),0)</f>
        <v>0</v>
      </c>
      <c r="R1282">
        <f>IFERROR($J1282/IF($A1282&lt;COUNTIFS($K$1:R$1,"&lt;&gt;"),0,SUMIFS($J:$J,$B:$B,$B1282,$A:$A,"&gt;="&amp;COUNTIFS($K$1:R$1,"&lt;&gt;"))),0)</f>
        <v>0</v>
      </c>
      <c r="S1282">
        <f>IFERROR($J1282/IF($A1282&lt;COUNTIFS($K$1:S$1,"&lt;&gt;"),0,SUMIFS($J:$J,$B:$B,$B1282,$A:$A,"&gt;="&amp;COUNTIFS($K$1:S$1,"&lt;&gt;"))),0)</f>
        <v>0</v>
      </c>
      <c r="T1282">
        <f>IFERROR($J1282/IF($A1282&lt;COUNTIFS($K$1:T$1,"&lt;&gt;"),0,SUMIFS($J:$J,$B:$B,$B1282,$A:$A,"&gt;="&amp;COUNTIFS($K$1:T$1,"&lt;&gt;"))),0)</f>
        <v>0</v>
      </c>
      <c r="U1282">
        <f>IFERROR($J1282/IF($A1282&lt;COUNTIFS($K$1:U$1,"&lt;&gt;"),0,SUMIFS($J:$J,$B:$B,$B1282,$A:$A,"&gt;="&amp;COUNTIFS($K$1:U$1,"&lt;&gt;"))),0)</f>
        <v>0</v>
      </c>
      <c r="V1282">
        <f>IFERROR($J1282/IF($A1282&lt;COUNTIFS($K$1:V$1,"&lt;&gt;"),0,SUMIFS($J:$J,$B:$B,$B1282,$A:$A,"&gt;="&amp;COUNTIFS($K$1:V$1,"&lt;&gt;"))),0)</f>
        <v>0</v>
      </c>
      <c r="W1282">
        <f t="shared" si="442"/>
        <v>8.2191780821917804E-2</v>
      </c>
      <c r="X1282">
        <f t="shared" ref="X1282:X1345" si="444">IF(K1282=0,0,$J1282)</f>
        <v>8.2191780821917804E-2</v>
      </c>
      <c r="Y1282">
        <f t="shared" ref="Y1282:Y1345" si="445">IF(L1282=0,0,$J1282)</f>
        <v>8.2191780821917804E-2</v>
      </c>
      <c r="Z1282">
        <f t="shared" ref="Z1282:Z1345" si="446">IF(M1282=0,0,$J1282)</f>
        <v>8.2191780821917804E-2</v>
      </c>
      <c r="AA1282">
        <f t="shared" ref="AA1282:AA1345" si="447">IF(N1282=0,0,$J1282)</f>
        <v>8.2191780821917804E-2</v>
      </c>
      <c r="AB1282">
        <f t="shared" ref="AB1282:AB1345" si="448">IF(O1282=0,0,$J1282)</f>
        <v>8.2191780821917804E-2</v>
      </c>
      <c r="AC1282">
        <f t="shared" ref="AC1282:AC1345" si="449">IF(P1282=0,0,$J1282)</f>
        <v>8.2191780821917804E-2</v>
      </c>
      <c r="AD1282">
        <f t="shared" ref="AD1282:AD1345" si="450">IF(Q1282=0,0,$J1282)</f>
        <v>0</v>
      </c>
      <c r="AE1282">
        <f t="shared" ref="AE1282:AE1345" si="451">IF(R1282=0,0,$J1282)</f>
        <v>0</v>
      </c>
      <c r="AF1282">
        <f t="shared" ref="AF1282:AF1345" si="452">IF(S1282=0,0,$J1282)</f>
        <v>0</v>
      </c>
      <c r="AG1282">
        <f t="shared" ref="AG1282:AG1345" si="453">IF(T1282=0,0,$J1282)</f>
        <v>0</v>
      </c>
      <c r="AH1282">
        <f t="shared" ref="AH1282:AH1345" si="454">IF(U1282=0,0,$J1282)</f>
        <v>0</v>
      </c>
      <c r="AI1282">
        <f t="shared" ref="AI1282:AI1345" si="455">IF(V1282=0,0,$J1282)</f>
        <v>0</v>
      </c>
      <c r="AJ1282" s="2" t="str">
        <f t="shared" si="443"/>
        <v>646813</v>
      </c>
    </row>
    <row r="1283" spans="1:36" x14ac:dyDescent="0.25">
      <c r="A1283">
        <v>7</v>
      </c>
      <c r="B1283" s="1">
        <v>46813</v>
      </c>
      <c r="C1283" s="1">
        <f t="shared" ref="C1283:C1346" si="456">EDATE(B1283,A1283)</f>
        <v>47027</v>
      </c>
      <c r="D1283" s="1">
        <f t="shared" ref="D1283:D1346" si="457">B1283+14</f>
        <v>46827</v>
      </c>
      <c r="E1283" s="1">
        <f t="shared" ref="E1283:E1346" si="458">IF($A1283=0,C1283+14,C1283)</f>
        <v>47027</v>
      </c>
      <c r="F1283" s="1">
        <f t="shared" ref="F1283:F1346" si="459">IF(EDATE(C1283,1)&gt;G1283,G1283,EDATE(C1283,1))</f>
        <v>47058</v>
      </c>
      <c r="G1283" s="1">
        <f t="shared" ref="G1283:G1346" si="460">EDATE(D1283,12)</f>
        <v>47192</v>
      </c>
      <c r="H1283">
        <f t="shared" ref="H1283:H1346" si="461">G1283-D1283</f>
        <v>365</v>
      </c>
      <c r="I1283">
        <f t="shared" ref="I1283:I1346" si="462">F1283-E1283</f>
        <v>31</v>
      </c>
      <c r="J1283">
        <f t="shared" ref="J1283:J1346" si="463">I1283/H1283</f>
        <v>8.4931506849315067E-2</v>
      </c>
      <c r="K1283">
        <f>IFERROR($J1283/IF($A1283&lt;COUNTIFS($K$1:K$1,"&lt;&gt;"),0,SUMIFS($J:$J,$B:$B,$B1283,$A:$A,"&gt;="&amp;COUNTIFS($K$1:K$1,"&lt;&gt;"))),0)</f>
        <v>8.9080459770114959E-2</v>
      </c>
      <c r="L1283">
        <f>IFERROR($J1283/IF($A1283&lt;COUNTIFS($K$1:L$1,"&lt;&gt;"),0,SUMIFS($J:$J,$B:$B,$B1283,$A:$A,"&gt;="&amp;COUNTIFS($K$1:L$1,"&lt;&gt;"))),0)</f>
        <v>9.7484276729559768E-2</v>
      </c>
      <c r="M1283">
        <f>IFERROR($J1283/IF($A1283&lt;COUNTIFS($K$1:M$1,"&lt;&gt;"),0,SUMIFS($J:$J,$B:$B,$B1283,$A:$A,"&gt;="&amp;COUNTIFS($K$1:M$1,"&lt;&gt;"))),0)</f>
        <v>0.10801393728222998</v>
      </c>
      <c r="N1283">
        <f>IFERROR($J1283/IF($A1283&lt;COUNTIFS($K$1:N$1,"&lt;&gt;"),0,SUMIFS($J:$J,$B:$B,$B1283,$A:$A,"&gt;="&amp;COUNTIFS($K$1:N$1,"&lt;&gt;"))),0)</f>
        <v>0.12062256809338523</v>
      </c>
      <c r="O1283">
        <f>IFERROR($J1283/IF($A1283&lt;COUNTIFS($K$1:O$1,"&lt;&gt;"),0,SUMIFS($J:$J,$B:$B,$B1283,$A:$A,"&gt;="&amp;COUNTIFS($K$1:O$1,"&lt;&gt;"))),0)</f>
        <v>0.13716814159292037</v>
      </c>
      <c r="P1283">
        <f>IFERROR($J1283/IF($A1283&lt;COUNTIFS($K$1:P$1,"&lt;&gt;"),0,SUMIFS($J:$J,$B:$B,$B1283,$A:$A,"&gt;="&amp;COUNTIFS($K$1:P$1,"&lt;&gt;"))),0)</f>
        <v>0.15897435897435899</v>
      </c>
      <c r="Q1283">
        <f>IFERROR($J1283/IF($A1283&lt;COUNTIFS($K$1:Q$1,"&lt;&gt;"),0,SUMIFS($J:$J,$B:$B,$B1283,$A:$A,"&gt;="&amp;COUNTIFS($K$1:Q$1,"&lt;&gt;"))),0)</f>
        <v>0.1878787878787879</v>
      </c>
      <c r="R1283">
        <f>IFERROR($J1283/IF($A1283&lt;COUNTIFS($K$1:R$1,"&lt;&gt;"),0,SUMIFS($J:$J,$B:$B,$B1283,$A:$A,"&gt;="&amp;COUNTIFS($K$1:R$1,"&lt;&gt;"))),0)</f>
        <v>0</v>
      </c>
      <c r="S1283">
        <f>IFERROR($J1283/IF($A1283&lt;COUNTIFS($K$1:S$1,"&lt;&gt;"),0,SUMIFS($J:$J,$B:$B,$B1283,$A:$A,"&gt;="&amp;COUNTIFS($K$1:S$1,"&lt;&gt;"))),0)</f>
        <v>0</v>
      </c>
      <c r="T1283">
        <f>IFERROR($J1283/IF($A1283&lt;COUNTIFS($K$1:T$1,"&lt;&gt;"),0,SUMIFS($J:$J,$B:$B,$B1283,$A:$A,"&gt;="&amp;COUNTIFS($K$1:T$1,"&lt;&gt;"))),0)</f>
        <v>0</v>
      </c>
      <c r="U1283">
        <f>IFERROR($J1283/IF($A1283&lt;COUNTIFS($K$1:U$1,"&lt;&gt;"),0,SUMIFS($J:$J,$B:$B,$B1283,$A:$A,"&gt;="&amp;COUNTIFS($K$1:U$1,"&lt;&gt;"))),0)</f>
        <v>0</v>
      </c>
      <c r="V1283">
        <f>IFERROR($J1283/IF($A1283&lt;COUNTIFS($K$1:V$1,"&lt;&gt;"),0,SUMIFS($J:$J,$B:$B,$B1283,$A:$A,"&gt;="&amp;COUNTIFS($K$1:V$1,"&lt;&gt;"))),0)</f>
        <v>0</v>
      </c>
      <c r="W1283">
        <f t="shared" ref="W1283:W1346" si="464">IF(J1283=0,0,$J1283)</f>
        <v>8.4931506849315067E-2</v>
      </c>
      <c r="X1283">
        <f t="shared" si="444"/>
        <v>8.4931506849315067E-2</v>
      </c>
      <c r="Y1283">
        <f t="shared" si="445"/>
        <v>8.4931506849315067E-2</v>
      </c>
      <c r="Z1283">
        <f t="shared" si="446"/>
        <v>8.4931506849315067E-2</v>
      </c>
      <c r="AA1283">
        <f t="shared" si="447"/>
        <v>8.4931506849315067E-2</v>
      </c>
      <c r="AB1283">
        <f t="shared" si="448"/>
        <v>8.4931506849315067E-2</v>
      </c>
      <c r="AC1283">
        <f t="shared" si="449"/>
        <v>8.4931506849315067E-2</v>
      </c>
      <c r="AD1283">
        <f t="shared" si="450"/>
        <v>8.4931506849315067E-2</v>
      </c>
      <c r="AE1283">
        <f t="shared" si="451"/>
        <v>0</v>
      </c>
      <c r="AF1283">
        <f t="shared" si="452"/>
        <v>0</v>
      </c>
      <c r="AG1283">
        <f t="shared" si="453"/>
        <v>0</v>
      </c>
      <c r="AH1283">
        <f t="shared" si="454"/>
        <v>0</v>
      </c>
      <c r="AI1283">
        <f t="shared" si="455"/>
        <v>0</v>
      </c>
      <c r="AJ1283" s="2" t="str">
        <f t="shared" ref="AJ1283:AJ1346" si="465">A1283&amp;B1283</f>
        <v>746813</v>
      </c>
    </row>
    <row r="1284" spans="1:36" x14ac:dyDescent="0.25">
      <c r="A1284">
        <v>8</v>
      </c>
      <c r="B1284" s="1">
        <v>46813</v>
      </c>
      <c r="C1284" s="1">
        <f t="shared" si="456"/>
        <v>47058</v>
      </c>
      <c r="D1284" s="1">
        <f t="shared" si="457"/>
        <v>46827</v>
      </c>
      <c r="E1284" s="1">
        <f t="shared" si="458"/>
        <v>47058</v>
      </c>
      <c r="F1284" s="1">
        <f t="shared" si="459"/>
        <v>47088</v>
      </c>
      <c r="G1284" s="1">
        <f t="shared" si="460"/>
        <v>47192</v>
      </c>
      <c r="H1284">
        <f t="shared" si="461"/>
        <v>365</v>
      </c>
      <c r="I1284">
        <f t="shared" si="462"/>
        <v>30</v>
      </c>
      <c r="J1284">
        <f t="shared" si="463"/>
        <v>8.2191780821917804E-2</v>
      </c>
      <c r="K1284">
        <f>IFERROR($J1284/IF($A1284&lt;COUNTIFS($K$1:K$1,"&lt;&gt;"),0,SUMIFS($J:$J,$B:$B,$B1284,$A:$A,"&gt;="&amp;COUNTIFS($K$1:K$1,"&lt;&gt;"))),0)</f>
        <v>8.6206896551724144E-2</v>
      </c>
      <c r="L1284">
        <f>IFERROR($J1284/IF($A1284&lt;COUNTIFS($K$1:L$1,"&lt;&gt;"),0,SUMIFS($J:$J,$B:$B,$B1284,$A:$A,"&gt;="&amp;COUNTIFS($K$1:L$1,"&lt;&gt;"))),0)</f>
        <v>9.4339622641509441E-2</v>
      </c>
      <c r="M1284">
        <f>IFERROR($J1284/IF($A1284&lt;COUNTIFS($K$1:M$1,"&lt;&gt;"),0,SUMIFS($J:$J,$B:$B,$B1284,$A:$A,"&gt;="&amp;COUNTIFS($K$1:M$1,"&lt;&gt;"))),0)</f>
        <v>0.10452961672473869</v>
      </c>
      <c r="N1284">
        <f>IFERROR($J1284/IF($A1284&lt;COUNTIFS($K$1:N$1,"&lt;&gt;"),0,SUMIFS($J:$J,$B:$B,$B1284,$A:$A,"&gt;="&amp;COUNTIFS($K$1:N$1,"&lt;&gt;"))),0)</f>
        <v>0.11673151750972764</v>
      </c>
      <c r="O1284">
        <f>IFERROR($J1284/IF($A1284&lt;COUNTIFS($K$1:O$1,"&lt;&gt;"),0,SUMIFS($J:$J,$B:$B,$B1284,$A:$A,"&gt;="&amp;COUNTIFS($K$1:O$1,"&lt;&gt;"))),0)</f>
        <v>0.13274336283185842</v>
      </c>
      <c r="P1284">
        <f>IFERROR($J1284/IF($A1284&lt;COUNTIFS($K$1:P$1,"&lt;&gt;"),0,SUMIFS($J:$J,$B:$B,$B1284,$A:$A,"&gt;="&amp;COUNTIFS($K$1:P$1,"&lt;&gt;"))),0)</f>
        <v>0.15384615384615385</v>
      </c>
      <c r="Q1284">
        <f>IFERROR($J1284/IF($A1284&lt;COUNTIFS($K$1:Q$1,"&lt;&gt;"),0,SUMIFS($J:$J,$B:$B,$B1284,$A:$A,"&gt;="&amp;COUNTIFS($K$1:Q$1,"&lt;&gt;"))),0)</f>
        <v>0.18181818181818182</v>
      </c>
      <c r="R1284">
        <f>IFERROR($J1284/IF($A1284&lt;COUNTIFS($K$1:R$1,"&lt;&gt;"),0,SUMIFS($J:$J,$B:$B,$B1284,$A:$A,"&gt;="&amp;COUNTIFS($K$1:R$1,"&lt;&gt;"))),0)</f>
        <v>0.22388059701492535</v>
      </c>
      <c r="S1284">
        <f>IFERROR($J1284/IF($A1284&lt;COUNTIFS($K$1:S$1,"&lt;&gt;"),0,SUMIFS($J:$J,$B:$B,$B1284,$A:$A,"&gt;="&amp;COUNTIFS($K$1:S$1,"&lt;&gt;"))),0)</f>
        <v>0</v>
      </c>
      <c r="T1284">
        <f>IFERROR($J1284/IF($A1284&lt;COUNTIFS($K$1:T$1,"&lt;&gt;"),0,SUMIFS($J:$J,$B:$B,$B1284,$A:$A,"&gt;="&amp;COUNTIFS($K$1:T$1,"&lt;&gt;"))),0)</f>
        <v>0</v>
      </c>
      <c r="U1284">
        <f>IFERROR($J1284/IF($A1284&lt;COUNTIFS($K$1:U$1,"&lt;&gt;"),0,SUMIFS($J:$J,$B:$B,$B1284,$A:$A,"&gt;="&amp;COUNTIFS($K$1:U$1,"&lt;&gt;"))),0)</f>
        <v>0</v>
      </c>
      <c r="V1284">
        <f>IFERROR($J1284/IF($A1284&lt;COUNTIFS($K$1:V$1,"&lt;&gt;"),0,SUMIFS($J:$J,$B:$B,$B1284,$A:$A,"&gt;="&amp;COUNTIFS($K$1:V$1,"&lt;&gt;"))),0)</f>
        <v>0</v>
      </c>
      <c r="W1284">
        <f t="shared" si="464"/>
        <v>8.2191780821917804E-2</v>
      </c>
      <c r="X1284">
        <f t="shared" si="444"/>
        <v>8.2191780821917804E-2</v>
      </c>
      <c r="Y1284">
        <f t="shared" si="445"/>
        <v>8.2191780821917804E-2</v>
      </c>
      <c r="Z1284">
        <f t="shared" si="446"/>
        <v>8.2191780821917804E-2</v>
      </c>
      <c r="AA1284">
        <f t="shared" si="447"/>
        <v>8.2191780821917804E-2</v>
      </c>
      <c r="AB1284">
        <f t="shared" si="448"/>
        <v>8.2191780821917804E-2</v>
      </c>
      <c r="AC1284">
        <f t="shared" si="449"/>
        <v>8.2191780821917804E-2</v>
      </c>
      <c r="AD1284">
        <f t="shared" si="450"/>
        <v>8.2191780821917804E-2</v>
      </c>
      <c r="AE1284">
        <f t="shared" si="451"/>
        <v>8.2191780821917804E-2</v>
      </c>
      <c r="AF1284">
        <f t="shared" si="452"/>
        <v>0</v>
      </c>
      <c r="AG1284">
        <f t="shared" si="453"/>
        <v>0</v>
      </c>
      <c r="AH1284">
        <f t="shared" si="454"/>
        <v>0</v>
      </c>
      <c r="AI1284">
        <f t="shared" si="455"/>
        <v>0</v>
      </c>
      <c r="AJ1284" s="2" t="str">
        <f t="shared" si="465"/>
        <v>846813</v>
      </c>
    </row>
    <row r="1285" spans="1:36" x14ac:dyDescent="0.25">
      <c r="A1285">
        <v>9</v>
      </c>
      <c r="B1285" s="1">
        <v>46813</v>
      </c>
      <c r="C1285" s="1">
        <f t="shared" si="456"/>
        <v>47088</v>
      </c>
      <c r="D1285" s="1">
        <f t="shared" si="457"/>
        <v>46827</v>
      </c>
      <c r="E1285" s="1">
        <f t="shared" si="458"/>
        <v>47088</v>
      </c>
      <c r="F1285" s="1">
        <f t="shared" si="459"/>
        <v>47119</v>
      </c>
      <c r="G1285" s="1">
        <f t="shared" si="460"/>
        <v>47192</v>
      </c>
      <c r="H1285">
        <f t="shared" si="461"/>
        <v>365</v>
      </c>
      <c r="I1285">
        <f t="shared" si="462"/>
        <v>31</v>
      </c>
      <c r="J1285">
        <f t="shared" si="463"/>
        <v>8.4931506849315067E-2</v>
      </c>
      <c r="K1285">
        <f>IFERROR($J1285/IF($A1285&lt;COUNTIFS($K$1:K$1,"&lt;&gt;"),0,SUMIFS($J:$J,$B:$B,$B1285,$A:$A,"&gt;="&amp;COUNTIFS($K$1:K$1,"&lt;&gt;"))),0)</f>
        <v>8.9080459770114959E-2</v>
      </c>
      <c r="L1285">
        <f>IFERROR($J1285/IF($A1285&lt;COUNTIFS($K$1:L$1,"&lt;&gt;"),0,SUMIFS($J:$J,$B:$B,$B1285,$A:$A,"&gt;="&amp;COUNTIFS($K$1:L$1,"&lt;&gt;"))),0)</f>
        <v>9.7484276729559768E-2</v>
      </c>
      <c r="M1285">
        <f>IFERROR($J1285/IF($A1285&lt;COUNTIFS($K$1:M$1,"&lt;&gt;"),0,SUMIFS($J:$J,$B:$B,$B1285,$A:$A,"&gt;="&amp;COUNTIFS($K$1:M$1,"&lt;&gt;"))),0)</f>
        <v>0.10801393728222998</v>
      </c>
      <c r="N1285">
        <f>IFERROR($J1285/IF($A1285&lt;COUNTIFS($K$1:N$1,"&lt;&gt;"),0,SUMIFS($J:$J,$B:$B,$B1285,$A:$A,"&gt;="&amp;COUNTIFS($K$1:N$1,"&lt;&gt;"))),0)</f>
        <v>0.12062256809338523</v>
      </c>
      <c r="O1285">
        <f>IFERROR($J1285/IF($A1285&lt;COUNTIFS($K$1:O$1,"&lt;&gt;"),0,SUMIFS($J:$J,$B:$B,$B1285,$A:$A,"&gt;="&amp;COUNTIFS($K$1:O$1,"&lt;&gt;"))),0)</f>
        <v>0.13716814159292037</v>
      </c>
      <c r="P1285">
        <f>IFERROR($J1285/IF($A1285&lt;COUNTIFS($K$1:P$1,"&lt;&gt;"),0,SUMIFS($J:$J,$B:$B,$B1285,$A:$A,"&gt;="&amp;COUNTIFS($K$1:P$1,"&lt;&gt;"))),0)</f>
        <v>0.15897435897435899</v>
      </c>
      <c r="Q1285">
        <f>IFERROR($J1285/IF($A1285&lt;COUNTIFS($K$1:Q$1,"&lt;&gt;"),0,SUMIFS($J:$J,$B:$B,$B1285,$A:$A,"&gt;="&amp;COUNTIFS($K$1:Q$1,"&lt;&gt;"))),0)</f>
        <v>0.1878787878787879</v>
      </c>
      <c r="R1285">
        <f>IFERROR($J1285/IF($A1285&lt;COUNTIFS($K$1:R$1,"&lt;&gt;"),0,SUMIFS($J:$J,$B:$B,$B1285,$A:$A,"&gt;="&amp;COUNTIFS($K$1:R$1,"&lt;&gt;"))),0)</f>
        <v>0.23134328358208955</v>
      </c>
      <c r="S1285">
        <f>IFERROR($J1285/IF($A1285&lt;COUNTIFS($K$1:S$1,"&lt;&gt;"),0,SUMIFS($J:$J,$B:$B,$B1285,$A:$A,"&gt;="&amp;COUNTIFS($K$1:S$1,"&lt;&gt;"))),0)</f>
        <v>0.29807692307692307</v>
      </c>
      <c r="T1285">
        <f>IFERROR($J1285/IF($A1285&lt;COUNTIFS($K$1:T$1,"&lt;&gt;"),0,SUMIFS($J:$J,$B:$B,$B1285,$A:$A,"&gt;="&amp;COUNTIFS($K$1:T$1,"&lt;&gt;"))),0)</f>
        <v>0</v>
      </c>
      <c r="U1285">
        <f>IFERROR($J1285/IF($A1285&lt;COUNTIFS($K$1:U$1,"&lt;&gt;"),0,SUMIFS($J:$J,$B:$B,$B1285,$A:$A,"&gt;="&amp;COUNTIFS($K$1:U$1,"&lt;&gt;"))),0)</f>
        <v>0</v>
      </c>
      <c r="V1285">
        <f>IFERROR($J1285/IF($A1285&lt;COUNTIFS($K$1:V$1,"&lt;&gt;"),0,SUMIFS($J:$J,$B:$B,$B1285,$A:$A,"&gt;="&amp;COUNTIFS($K$1:V$1,"&lt;&gt;"))),0)</f>
        <v>0</v>
      </c>
      <c r="W1285">
        <f t="shared" si="464"/>
        <v>8.4931506849315067E-2</v>
      </c>
      <c r="X1285">
        <f t="shared" si="444"/>
        <v>8.4931506849315067E-2</v>
      </c>
      <c r="Y1285">
        <f t="shared" si="445"/>
        <v>8.4931506849315067E-2</v>
      </c>
      <c r="Z1285">
        <f t="shared" si="446"/>
        <v>8.4931506849315067E-2</v>
      </c>
      <c r="AA1285">
        <f t="shared" si="447"/>
        <v>8.4931506849315067E-2</v>
      </c>
      <c r="AB1285">
        <f t="shared" si="448"/>
        <v>8.4931506849315067E-2</v>
      </c>
      <c r="AC1285">
        <f t="shared" si="449"/>
        <v>8.4931506849315067E-2</v>
      </c>
      <c r="AD1285">
        <f t="shared" si="450"/>
        <v>8.4931506849315067E-2</v>
      </c>
      <c r="AE1285">
        <f t="shared" si="451"/>
        <v>8.4931506849315067E-2</v>
      </c>
      <c r="AF1285">
        <f t="shared" si="452"/>
        <v>8.4931506849315067E-2</v>
      </c>
      <c r="AG1285">
        <f t="shared" si="453"/>
        <v>0</v>
      </c>
      <c r="AH1285">
        <f t="shared" si="454"/>
        <v>0</v>
      </c>
      <c r="AI1285">
        <f t="shared" si="455"/>
        <v>0</v>
      </c>
      <c r="AJ1285" s="2" t="str">
        <f t="shared" si="465"/>
        <v>946813</v>
      </c>
    </row>
    <row r="1286" spans="1:36" x14ac:dyDescent="0.25">
      <c r="A1286">
        <v>10</v>
      </c>
      <c r="B1286" s="1">
        <v>46813</v>
      </c>
      <c r="C1286" s="1">
        <f t="shared" si="456"/>
        <v>47119</v>
      </c>
      <c r="D1286" s="1">
        <f t="shared" si="457"/>
        <v>46827</v>
      </c>
      <c r="E1286" s="1">
        <f t="shared" si="458"/>
        <v>47119</v>
      </c>
      <c r="F1286" s="1">
        <f t="shared" si="459"/>
        <v>47150</v>
      </c>
      <c r="G1286" s="1">
        <f t="shared" si="460"/>
        <v>47192</v>
      </c>
      <c r="H1286">
        <f t="shared" si="461"/>
        <v>365</v>
      </c>
      <c r="I1286">
        <f t="shared" si="462"/>
        <v>31</v>
      </c>
      <c r="J1286">
        <f t="shared" si="463"/>
        <v>8.4931506849315067E-2</v>
      </c>
      <c r="K1286">
        <f>IFERROR($J1286/IF($A1286&lt;COUNTIFS($K$1:K$1,"&lt;&gt;"),0,SUMIFS($J:$J,$B:$B,$B1286,$A:$A,"&gt;="&amp;COUNTIFS($K$1:K$1,"&lt;&gt;"))),0)</f>
        <v>8.9080459770114959E-2</v>
      </c>
      <c r="L1286">
        <f>IFERROR($J1286/IF($A1286&lt;COUNTIFS($K$1:L$1,"&lt;&gt;"),0,SUMIFS($J:$J,$B:$B,$B1286,$A:$A,"&gt;="&amp;COUNTIFS($K$1:L$1,"&lt;&gt;"))),0)</f>
        <v>9.7484276729559768E-2</v>
      </c>
      <c r="M1286">
        <f>IFERROR($J1286/IF($A1286&lt;COUNTIFS($K$1:M$1,"&lt;&gt;"),0,SUMIFS($J:$J,$B:$B,$B1286,$A:$A,"&gt;="&amp;COUNTIFS($K$1:M$1,"&lt;&gt;"))),0)</f>
        <v>0.10801393728222998</v>
      </c>
      <c r="N1286">
        <f>IFERROR($J1286/IF($A1286&lt;COUNTIFS($K$1:N$1,"&lt;&gt;"),0,SUMIFS($J:$J,$B:$B,$B1286,$A:$A,"&gt;="&amp;COUNTIFS($K$1:N$1,"&lt;&gt;"))),0)</f>
        <v>0.12062256809338523</v>
      </c>
      <c r="O1286">
        <f>IFERROR($J1286/IF($A1286&lt;COUNTIFS($K$1:O$1,"&lt;&gt;"),0,SUMIFS($J:$J,$B:$B,$B1286,$A:$A,"&gt;="&amp;COUNTIFS($K$1:O$1,"&lt;&gt;"))),0)</f>
        <v>0.13716814159292037</v>
      </c>
      <c r="P1286">
        <f>IFERROR($J1286/IF($A1286&lt;COUNTIFS($K$1:P$1,"&lt;&gt;"),0,SUMIFS($J:$J,$B:$B,$B1286,$A:$A,"&gt;="&amp;COUNTIFS($K$1:P$1,"&lt;&gt;"))),0)</f>
        <v>0.15897435897435899</v>
      </c>
      <c r="Q1286">
        <f>IFERROR($J1286/IF($A1286&lt;COUNTIFS($K$1:Q$1,"&lt;&gt;"),0,SUMIFS($J:$J,$B:$B,$B1286,$A:$A,"&gt;="&amp;COUNTIFS($K$1:Q$1,"&lt;&gt;"))),0)</f>
        <v>0.1878787878787879</v>
      </c>
      <c r="R1286">
        <f>IFERROR($J1286/IF($A1286&lt;COUNTIFS($K$1:R$1,"&lt;&gt;"),0,SUMIFS($J:$J,$B:$B,$B1286,$A:$A,"&gt;="&amp;COUNTIFS($K$1:R$1,"&lt;&gt;"))),0)</f>
        <v>0.23134328358208955</v>
      </c>
      <c r="S1286">
        <f>IFERROR($J1286/IF($A1286&lt;COUNTIFS($K$1:S$1,"&lt;&gt;"),0,SUMIFS($J:$J,$B:$B,$B1286,$A:$A,"&gt;="&amp;COUNTIFS($K$1:S$1,"&lt;&gt;"))),0)</f>
        <v>0.29807692307692307</v>
      </c>
      <c r="T1286">
        <f>IFERROR($J1286/IF($A1286&lt;COUNTIFS($K$1:T$1,"&lt;&gt;"),0,SUMIFS($J:$J,$B:$B,$B1286,$A:$A,"&gt;="&amp;COUNTIFS($K$1:T$1,"&lt;&gt;"))),0)</f>
        <v>0.42465753424657532</v>
      </c>
      <c r="U1286">
        <f>IFERROR($J1286/IF($A1286&lt;COUNTIFS($K$1:U$1,"&lt;&gt;"),0,SUMIFS($J:$J,$B:$B,$B1286,$A:$A,"&gt;="&amp;COUNTIFS($K$1:U$1,"&lt;&gt;"))),0)</f>
        <v>0</v>
      </c>
      <c r="V1286">
        <f>IFERROR($J1286/IF($A1286&lt;COUNTIFS($K$1:V$1,"&lt;&gt;"),0,SUMIFS($J:$J,$B:$B,$B1286,$A:$A,"&gt;="&amp;COUNTIFS($K$1:V$1,"&lt;&gt;"))),0)</f>
        <v>0</v>
      </c>
      <c r="W1286">
        <f t="shared" si="464"/>
        <v>8.4931506849315067E-2</v>
      </c>
      <c r="X1286">
        <f t="shared" si="444"/>
        <v>8.4931506849315067E-2</v>
      </c>
      <c r="Y1286">
        <f t="shared" si="445"/>
        <v>8.4931506849315067E-2</v>
      </c>
      <c r="Z1286">
        <f t="shared" si="446"/>
        <v>8.4931506849315067E-2</v>
      </c>
      <c r="AA1286">
        <f t="shared" si="447"/>
        <v>8.4931506849315067E-2</v>
      </c>
      <c r="AB1286">
        <f t="shared" si="448"/>
        <v>8.4931506849315067E-2</v>
      </c>
      <c r="AC1286">
        <f t="shared" si="449"/>
        <v>8.4931506849315067E-2</v>
      </c>
      <c r="AD1286">
        <f t="shared" si="450"/>
        <v>8.4931506849315067E-2</v>
      </c>
      <c r="AE1286">
        <f t="shared" si="451"/>
        <v>8.4931506849315067E-2</v>
      </c>
      <c r="AF1286">
        <f t="shared" si="452"/>
        <v>8.4931506849315067E-2</v>
      </c>
      <c r="AG1286">
        <f t="shared" si="453"/>
        <v>8.4931506849315067E-2</v>
      </c>
      <c r="AH1286">
        <f t="shared" si="454"/>
        <v>0</v>
      </c>
      <c r="AI1286">
        <f t="shared" si="455"/>
        <v>0</v>
      </c>
      <c r="AJ1286" s="2" t="str">
        <f t="shared" si="465"/>
        <v>1046813</v>
      </c>
    </row>
    <row r="1287" spans="1:36" x14ac:dyDescent="0.25">
      <c r="A1287">
        <v>11</v>
      </c>
      <c r="B1287" s="1">
        <v>46813</v>
      </c>
      <c r="C1287" s="1">
        <f t="shared" si="456"/>
        <v>47150</v>
      </c>
      <c r="D1287" s="1">
        <f t="shared" si="457"/>
        <v>46827</v>
      </c>
      <c r="E1287" s="1">
        <f t="shared" si="458"/>
        <v>47150</v>
      </c>
      <c r="F1287" s="1">
        <f t="shared" si="459"/>
        <v>47178</v>
      </c>
      <c r="G1287" s="1">
        <f t="shared" si="460"/>
        <v>47192</v>
      </c>
      <c r="H1287">
        <f t="shared" si="461"/>
        <v>365</v>
      </c>
      <c r="I1287">
        <f t="shared" si="462"/>
        <v>28</v>
      </c>
      <c r="J1287">
        <f t="shared" si="463"/>
        <v>7.6712328767123292E-2</v>
      </c>
      <c r="K1287">
        <f>IFERROR($J1287/IF($A1287&lt;COUNTIFS($K$1:K$1,"&lt;&gt;"),0,SUMIFS($J:$J,$B:$B,$B1287,$A:$A,"&gt;="&amp;COUNTIFS($K$1:K$1,"&lt;&gt;"))),0)</f>
        <v>8.0459770114942541E-2</v>
      </c>
      <c r="L1287">
        <f>IFERROR($J1287/IF($A1287&lt;COUNTIFS($K$1:L$1,"&lt;&gt;"),0,SUMIFS($J:$J,$B:$B,$B1287,$A:$A,"&gt;="&amp;COUNTIFS($K$1:L$1,"&lt;&gt;"))),0)</f>
        <v>8.8050314465408827E-2</v>
      </c>
      <c r="M1287">
        <f>IFERROR($J1287/IF($A1287&lt;COUNTIFS($K$1:M$1,"&lt;&gt;"),0,SUMIFS($J:$J,$B:$B,$B1287,$A:$A,"&gt;="&amp;COUNTIFS($K$1:M$1,"&lt;&gt;"))),0)</f>
        <v>9.7560975609756115E-2</v>
      </c>
      <c r="N1287">
        <f>IFERROR($J1287/IF($A1287&lt;COUNTIFS($K$1:N$1,"&lt;&gt;"),0,SUMIFS($J:$J,$B:$B,$B1287,$A:$A,"&gt;="&amp;COUNTIFS($K$1:N$1,"&lt;&gt;"))),0)</f>
        <v>0.10894941634241248</v>
      </c>
      <c r="O1287">
        <f>IFERROR($J1287/IF($A1287&lt;COUNTIFS($K$1:O$1,"&lt;&gt;"),0,SUMIFS($J:$J,$B:$B,$B1287,$A:$A,"&gt;="&amp;COUNTIFS($K$1:O$1,"&lt;&gt;"))),0)</f>
        <v>0.12389380530973454</v>
      </c>
      <c r="P1287">
        <f>IFERROR($J1287/IF($A1287&lt;COUNTIFS($K$1:P$1,"&lt;&gt;"),0,SUMIFS($J:$J,$B:$B,$B1287,$A:$A,"&gt;="&amp;COUNTIFS($K$1:P$1,"&lt;&gt;"))),0)</f>
        <v>0.14358974358974361</v>
      </c>
      <c r="Q1287">
        <f>IFERROR($J1287/IF($A1287&lt;COUNTIFS($K$1:Q$1,"&lt;&gt;"),0,SUMIFS($J:$J,$B:$B,$B1287,$A:$A,"&gt;="&amp;COUNTIFS($K$1:Q$1,"&lt;&gt;"))),0)</f>
        <v>0.16969696969696971</v>
      </c>
      <c r="R1287">
        <f>IFERROR($J1287/IF($A1287&lt;COUNTIFS($K$1:R$1,"&lt;&gt;"),0,SUMIFS($J:$J,$B:$B,$B1287,$A:$A,"&gt;="&amp;COUNTIFS($K$1:R$1,"&lt;&gt;"))),0)</f>
        <v>0.20895522388059704</v>
      </c>
      <c r="S1287">
        <f>IFERROR($J1287/IF($A1287&lt;COUNTIFS($K$1:S$1,"&lt;&gt;"),0,SUMIFS($J:$J,$B:$B,$B1287,$A:$A,"&gt;="&amp;COUNTIFS($K$1:S$1,"&lt;&gt;"))),0)</f>
        <v>0.26923076923076927</v>
      </c>
      <c r="T1287">
        <f>IFERROR($J1287/IF($A1287&lt;COUNTIFS($K$1:T$1,"&lt;&gt;"),0,SUMIFS($J:$J,$B:$B,$B1287,$A:$A,"&gt;="&amp;COUNTIFS($K$1:T$1,"&lt;&gt;"))),0)</f>
        <v>0.38356164383561642</v>
      </c>
      <c r="U1287">
        <f>IFERROR($J1287/IF($A1287&lt;COUNTIFS($K$1:U$1,"&lt;&gt;"),0,SUMIFS($J:$J,$B:$B,$B1287,$A:$A,"&gt;="&amp;COUNTIFS($K$1:U$1,"&lt;&gt;"))),0)</f>
        <v>0.66666666666666674</v>
      </c>
      <c r="V1287">
        <f>IFERROR($J1287/IF($A1287&lt;COUNTIFS($K$1:V$1,"&lt;&gt;"),0,SUMIFS($J:$J,$B:$B,$B1287,$A:$A,"&gt;="&amp;COUNTIFS($K$1:V$1,"&lt;&gt;"))),0)</f>
        <v>0</v>
      </c>
      <c r="W1287">
        <f t="shared" si="464"/>
        <v>7.6712328767123292E-2</v>
      </c>
      <c r="X1287">
        <f t="shared" si="444"/>
        <v>7.6712328767123292E-2</v>
      </c>
      <c r="Y1287">
        <f t="shared" si="445"/>
        <v>7.6712328767123292E-2</v>
      </c>
      <c r="Z1287">
        <f t="shared" si="446"/>
        <v>7.6712328767123292E-2</v>
      </c>
      <c r="AA1287">
        <f t="shared" si="447"/>
        <v>7.6712328767123292E-2</v>
      </c>
      <c r="AB1287">
        <f t="shared" si="448"/>
        <v>7.6712328767123292E-2</v>
      </c>
      <c r="AC1287">
        <f t="shared" si="449"/>
        <v>7.6712328767123292E-2</v>
      </c>
      <c r="AD1287">
        <f t="shared" si="450"/>
        <v>7.6712328767123292E-2</v>
      </c>
      <c r="AE1287">
        <f t="shared" si="451"/>
        <v>7.6712328767123292E-2</v>
      </c>
      <c r="AF1287">
        <f t="shared" si="452"/>
        <v>7.6712328767123292E-2</v>
      </c>
      <c r="AG1287">
        <f t="shared" si="453"/>
        <v>7.6712328767123292E-2</v>
      </c>
      <c r="AH1287">
        <f t="shared" si="454"/>
        <v>7.6712328767123292E-2</v>
      </c>
      <c r="AI1287">
        <f t="shared" si="455"/>
        <v>0</v>
      </c>
      <c r="AJ1287" s="2" t="str">
        <f t="shared" si="465"/>
        <v>1146813</v>
      </c>
    </row>
    <row r="1288" spans="1:36" x14ac:dyDescent="0.25">
      <c r="A1288">
        <v>12</v>
      </c>
      <c r="B1288" s="1">
        <v>46813</v>
      </c>
      <c r="C1288" s="1">
        <f t="shared" si="456"/>
        <v>47178</v>
      </c>
      <c r="D1288" s="1">
        <f t="shared" si="457"/>
        <v>46827</v>
      </c>
      <c r="E1288" s="1">
        <f t="shared" si="458"/>
        <v>47178</v>
      </c>
      <c r="F1288" s="1">
        <f t="shared" si="459"/>
        <v>47192</v>
      </c>
      <c r="G1288" s="1">
        <f t="shared" si="460"/>
        <v>47192</v>
      </c>
      <c r="H1288">
        <f t="shared" si="461"/>
        <v>365</v>
      </c>
      <c r="I1288">
        <f t="shared" si="462"/>
        <v>14</v>
      </c>
      <c r="J1288">
        <f t="shared" si="463"/>
        <v>3.8356164383561646E-2</v>
      </c>
      <c r="K1288">
        <f>IFERROR($J1288/IF($A1288&lt;COUNTIFS($K$1:K$1,"&lt;&gt;"),0,SUMIFS($J:$J,$B:$B,$B1288,$A:$A,"&gt;="&amp;COUNTIFS($K$1:K$1,"&lt;&gt;"))),0)</f>
        <v>4.0229885057471271E-2</v>
      </c>
      <c r="L1288">
        <f>IFERROR($J1288/IF($A1288&lt;COUNTIFS($K$1:L$1,"&lt;&gt;"),0,SUMIFS($J:$J,$B:$B,$B1288,$A:$A,"&gt;="&amp;COUNTIFS($K$1:L$1,"&lt;&gt;"))),0)</f>
        <v>4.4025157232704414E-2</v>
      </c>
      <c r="M1288">
        <f>IFERROR($J1288/IF($A1288&lt;COUNTIFS($K$1:M$1,"&lt;&gt;"),0,SUMIFS($J:$J,$B:$B,$B1288,$A:$A,"&gt;="&amp;COUNTIFS($K$1:M$1,"&lt;&gt;"))),0)</f>
        <v>4.8780487804878057E-2</v>
      </c>
      <c r="N1288">
        <f>IFERROR($J1288/IF($A1288&lt;COUNTIFS($K$1:N$1,"&lt;&gt;"),0,SUMIFS($J:$J,$B:$B,$B1288,$A:$A,"&gt;="&amp;COUNTIFS($K$1:N$1,"&lt;&gt;"))),0)</f>
        <v>5.447470817120624E-2</v>
      </c>
      <c r="O1288">
        <f>IFERROR($J1288/IF($A1288&lt;COUNTIFS($K$1:O$1,"&lt;&gt;"),0,SUMIFS($J:$J,$B:$B,$B1288,$A:$A,"&gt;="&amp;COUNTIFS($K$1:O$1,"&lt;&gt;"))),0)</f>
        <v>6.194690265486727E-2</v>
      </c>
      <c r="P1288">
        <f>IFERROR($J1288/IF($A1288&lt;COUNTIFS($K$1:P$1,"&lt;&gt;"),0,SUMIFS($J:$J,$B:$B,$B1288,$A:$A,"&gt;="&amp;COUNTIFS($K$1:P$1,"&lt;&gt;"))),0)</f>
        <v>7.1794871794871803E-2</v>
      </c>
      <c r="Q1288">
        <f>IFERROR($J1288/IF($A1288&lt;COUNTIFS($K$1:Q$1,"&lt;&gt;"),0,SUMIFS($J:$J,$B:$B,$B1288,$A:$A,"&gt;="&amp;COUNTIFS($K$1:Q$1,"&lt;&gt;"))),0)</f>
        <v>8.4848484848484854E-2</v>
      </c>
      <c r="R1288">
        <f>IFERROR($J1288/IF($A1288&lt;COUNTIFS($K$1:R$1,"&lt;&gt;"),0,SUMIFS($J:$J,$B:$B,$B1288,$A:$A,"&gt;="&amp;COUNTIFS($K$1:R$1,"&lt;&gt;"))),0)</f>
        <v>0.10447761194029852</v>
      </c>
      <c r="S1288">
        <f>IFERROR($J1288/IF($A1288&lt;COUNTIFS($K$1:S$1,"&lt;&gt;"),0,SUMIFS($J:$J,$B:$B,$B1288,$A:$A,"&gt;="&amp;COUNTIFS($K$1:S$1,"&lt;&gt;"))),0)</f>
        <v>0.13461538461538464</v>
      </c>
      <c r="T1288">
        <f>IFERROR($J1288/IF($A1288&lt;COUNTIFS($K$1:T$1,"&lt;&gt;"),0,SUMIFS($J:$J,$B:$B,$B1288,$A:$A,"&gt;="&amp;COUNTIFS($K$1:T$1,"&lt;&gt;"))),0)</f>
        <v>0.19178082191780821</v>
      </c>
      <c r="U1288">
        <f>IFERROR($J1288/IF($A1288&lt;COUNTIFS($K$1:U$1,"&lt;&gt;"),0,SUMIFS($J:$J,$B:$B,$B1288,$A:$A,"&gt;="&amp;COUNTIFS($K$1:U$1,"&lt;&gt;"))),0)</f>
        <v>0.33333333333333337</v>
      </c>
      <c r="V1288">
        <f>IFERROR($J1288/IF($A1288&lt;COUNTIFS($K$1:V$1,"&lt;&gt;"),0,SUMIFS($J:$J,$B:$B,$B1288,$A:$A,"&gt;="&amp;COUNTIFS($K$1:V$1,"&lt;&gt;"))),0)</f>
        <v>1</v>
      </c>
      <c r="W1288">
        <f t="shared" si="464"/>
        <v>3.8356164383561646E-2</v>
      </c>
      <c r="X1288">
        <f t="shared" si="444"/>
        <v>3.8356164383561646E-2</v>
      </c>
      <c r="Y1288">
        <f t="shared" si="445"/>
        <v>3.8356164383561646E-2</v>
      </c>
      <c r="Z1288">
        <f t="shared" si="446"/>
        <v>3.8356164383561646E-2</v>
      </c>
      <c r="AA1288">
        <f t="shared" si="447"/>
        <v>3.8356164383561646E-2</v>
      </c>
      <c r="AB1288">
        <f t="shared" si="448"/>
        <v>3.8356164383561646E-2</v>
      </c>
      <c r="AC1288">
        <f t="shared" si="449"/>
        <v>3.8356164383561646E-2</v>
      </c>
      <c r="AD1288">
        <f t="shared" si="450"/>
        <v>3.8356164383561646E-2</v>
      </c>
      <c r="AE1288">
        <f t="shared" si="451"/>
        <v>3.8356164383561646E-2</v>
      </c>
      <c r="AF1288">
        <f t="shared" si="452"/>
        <v>3.8356164383561646E-2</v>
      </c>
      <c r="AG1288">
        <f t="shared" si="453"/>
        <v>3.8356164383561646E-2</v>
      </c>
      <c r="AH1288">
        <f t="shared" si="454"/>
        <v>3.8356164383561646E-2</v>
      </c>
      <c r="AI1288">
        <f t="shared" si="455"/>
        <v>3.8356164383561646E-2</v>
      </c>
      <c r="AJ1288" s="2" t="str">
        <f t="shared" si="465"/>
        <v>1246813</v>
      </c>
    </row>
    <row r="1289" spans="1:36" x14ac:dyDescent="0.25">
      <c r="A1289">
        <v>0</v>
      </c>
      <c r="B1289" s="1">
        <v>46844</v>
      </c>
      <c r="C1289" s="1">
        <f t="shared" si="456"/>
        <v>46844</v>
      </c>
      <c r="D1289" s="1">
        <f t="shared" si="457"/>
        <v>46858</v>
      </c>
      <c r="E1289" s="1">
        <f t="shared" si="458"/>
        <v>46858</v>
      </c>
      <c r="F1289" s="1">
        <f t="shared" si="459"/>
        <v>46874</v>
      </c>
      <c r="G1289" s="1">
        <f t="shared" si="460"/>
        <v>47223</v>
      </c>
      <c r="H1289">
        <f t="shared" si="461"/>
        <v>365</v>
      </c>
      <c r="I1289">
        <f t="shared" si="462"/>
        <v>16</v>
      </c>
      <c r="J1289">
        <f t="shared" si="463"/>
        <v>4.3835616438356165E-2</v>
      </c>
      <c r="K1289">
        <f>IFERROR($J1289/IF($A1289&lt;COUNTIFS($K$1:K$1,"&lt;&gt;"),0,SUMIFS($J:$J,$B:$B,$B1289,$A:$A,"&gt;="&amp;COUNTIFS($K$1:K$1,"&lt;&gt;"))),0)</f>
        <v>0</v>
      </c>
      <c r="L1289">
        <f>IFERROR($J1289/IF($A1289&lt;COUNTIFS($K$1:L$1,"&lt;&gt;"),0,SUMIFS($J:$J,$B:$B,$B1289,$A:$A,"&gt;="&amp;COUNTIFS($K$1:L$1,"&lt;&gt;"))),0)</f>
        <v>0</v>
      </c>
      <c r="M1289">
        <f>IFERROR($J1289/IF($A1289&lt;COUNTIFS($K$1:M$1,"&lt;&gt;"),0,SUMIFS($J:$J,$B:$B,$B1289,$A:$A,"&gt;="&amp;COUNTIFS($K$1:M$1,"&lt;&gt;"))),0)</f>
        <v>0</v>
      </c>
      <c r="N1289">
        <f>IFERROR($J1289/IF($A1289&lt;COUNTIFS($K$1:N$1,"&lt;&gt;"),0,SUMIFS($J:$J,$B:$B,$B1289,$A:$A,"&gt;="&amp;COUNTIFS($K$1:N$1,"&lt;&gt;"))),0)</f>
        <v>0</v>
      </c>
      <c r="O1289">
        <f>IFERROR($J1289/IF($A1289&lt;COUNTIFS($K$1:O$1,"&lt;&gt;"),0,SUMIFS($J:$J,$B:$B,$B1289,$A:$A,"&gt;="&amp;COUNTIFS($K$1:O$1,"&lt;&gt;"))),0)</f>
        <v>0</v>
      </c>
      <c r="P1289">
        <f>IFERROR($J1289/IF($A1289&lt;COUNTIFS($K$1:P$1,"&lt;&gt;"),0,SUMIFS($J:$J,$B:$B,$B1289,$A:$A,"&gt;="&amp;COUNTIFS($K$1:P$1,"&lt;&gt;"))),0)</f>
        <v>0</v>
      </c>
      <c r="Q1289">
        <f>IFERROR($J1289/IF($A1289&lt;COUNTIFS($K$1:Q$1,"&lt;&gt;"),0,SUMIFS($J:$J,$B:$B,$B1289,$A:$A,"&gt;="&amp;COUNTIFS($K$1:Q$1,"&lt;&gt;"))),0)</f>
        <v>0</v>
      </c>
      <c r="R1289">
        <f>IFERROR($J1289/IF($A1289&lt;COUNTIFS($K$1:R$1,"&lt;&gt;"),0,SUMIFS($J:$J,$B:$B,$B1289,$A:$A,"&gt;="&amp;COUNTIFS($K$1:R$1,"&lt;&gt;"))),0)</f>
        <v>0</v>
      </c>
      <c r="S1289">
        <f>IFERROR($J1289/IF($A1289&lt;COUNTIFS($K$1:S$1,"&lt;&gt;"),0,SUMIFS($J:$J,$B:$B,$B1289,$A:$A,"&gt;="&amp;COUNTIFS($K$1:S$1,"&lt;&gt;"))),0)</f>
        <v>0</v>
      </c>
      <c r="T1289">
        <f>IFERROR($J1289/IF($A1289&lt;COUNTIFS($K$1:T$1,"&lt;&gt;"),0,SUMIFS($J:$J,$B:$B,$B1289,$A:$A,"&gt;="&amp;COUNTIFS($K$1:T$1,"&lt;&gt;"))),0)</f>
        <v>0</v>
      </c>
      <c r="U1289">
        <f>IFERROR($J1289/IF($A1289&lt;COUNTIFS($K$1:U$1,"&lt;&gt;"),0,SUMIFS($J:$J,$B:$B,$B1289,$A:$A,"&gt;="&amp;COUNTIFS($K$1:U$1,"&lt;&gt;"))),0)</f>
        <v>0</v>
      </c>
      <c r="V1289">
        <f>IFERROR($J1289/IF($A1289&lt;COUNTIFS($K$1:V$1,"&lt;&gt;"),0,SUMIFS($J:$J,$B:$B,$B1289,$A:$A,"&gt;="&amp;COUNTIFS($K$1:V$1,"&lt;&gt;"))),0)</f>
        <v>0</v>
      </c>
      <c r="W1289">
        <f t="shared" si="464"/>
        <v>4.3835616438356165E-2</v>
      </c>
      <c r="X1289">
        <f t="shared" si="444"/>
        <v>0</v>
      </c>
      <c r="Y1289">
        <f t="shared" si="445"/>
        <v>0</v>
      </c>
      <c r="Z1289">
        <f t="shared" si="446"/>
        <v>0</v>
      </c>
      <c r="AA1289">
        <f t="shared" si="447"/>
        <v>0</v>
      </c>
      <c r="AB1289">
        <f t="shared" si="448"/>
        <v>0</v>
      </c>
      <c r="AC1289">
        <f t="shared" si="449"/>
        <v>0</v>
      </c>
      <c r="AD1289">
        <f t="shared" si="450"/>
        <v>0</v>
      </c>
      <c r="AE1289">
        <f t="shared" si="451"/>
        <v>0</v>
      </c>
      <c r="AF1289">
        <f t="shared" si="452"/>
        <v>0</v>
      </c>
      <c r="AG1289">
        <f t="shared" si="453"/>
        <v>0</v>
      </c>
      <c r="AH1289">
        <f t="shared" si="454"/>
        <v>0</v>
      </c>
      <c r="AI1289">
        <f t="shared" si="455"/>
        <v>0</v>
      </c>
      <c r="AJ1289" s="2" t="str">
        <f t="shared" si="465"/>
        <v>046844</v>
      </c>
    </row>
    <row r="1290" spans="1:36" x14ac:dyDescent="0.25">
      <c r="A1290">
        <v>1</v>
      </c>
      <c r="B1290" s="1">
        <v>46844</v>
      </c>
      <c r="C1290" s="1">
        <f t="shared" si="456"/>
        <v>46874</v>
      </c>
      <c r="D1290" s="1">
        <f t="shared" si="457"/>
        <v>46858</v>
      </c>
      <c r="E1290" s="1">
        <f t="shared" si="458"/>
        <v>46874</v>
      </c>
      <c r="F1290" s="1">
        <f t="shared" si="459"/>
        <v>46905</v>
      </c>
      <c r="G1290" s="1">
        <f t="shared" si="460"/>
        <v>47223</v>
      </c>
      <c r="H1290">
        <f t="shared" si="461"/>
        <v>365</v>
      </c>
      <c r="I1290">
        <f t="shared" si="462"/>
        <v>31</v>
      </c>
      <c r="J1290">
        <f t="shared" si="463"/>
        <v>8.4931506849315067E-2</v>
      </c>
      <c r="K1290">
        <f>IFERROR($J1290/IF($A1290&lt;COUNTIFS($K$1:K$1,"&lt;&gt;"),0,SUMIFS($J:$J,$B:$B,$B1290,$A:$A,"&gt;="&amp;COUNTIFS($K$1:K$1,"&lt;&gt;"))),0)</f>
        <v>8.8825214899713484E-2</v>
      </c>
      <c r="L1290">
        <f>IFERROR($J1290/IF($A1290&lt;COUNTIFS($K$1:L$1,"&lt;&gt;"),0,SUMIFS($J:$J,$B:$B,$B1290,$A:$A,"&gt;="&amp;COUNTIFS($K$1:L$1,"&lt;&gt;"))),0)</f>
        <v>0</v>
      </c>
      <c r="M1290">
        <f>IFERROR($J1290/IF($A1290&lt;COUNTIFS($K$1:M$1,"&lt;&gt;"),0,SUMIFS($J:$J,$B:$B,$B1290,$A:$A,"&gt;="&amp;COUNTIFS($K$1:M$1,"&lt;&gt;"))),0)</f>
        <v>0</v>
      </c>
      <c r="N1290">
        <f>IFERROR($J1290/IF($A1290&lt;COUNTIFS($K$1:N$1,"&lt;&gt;"),0,SUMIFS($J:$J,$B:$B,$B1290,$A:$A,"&gt;="&amp;COUNTIFS($K$1:N$1,"&lt;&gt;"))),0)</f>
        <v>0</v>
      </c>
      <c r="O1290">
        <f>IFERROR($J1290/IF($A1290&lt;COUNTIFS($K$1:O$1,"&lt;&gt;"),0,SUMIFS($J:$J,$B:$B,$B1290,$A:$A,"&gt;="&amp;COUNTIFS($K$1:O$1,"&lt;&gt;"))),0)</f>
        <v>0</v>
      </c>
      <c r="P1290">
        <f>IFERROR($J1290/IF($A1290&lt;COUNTIFS($K$1:P$1,"&lt;&gt;"),0,SUMIFS($J:$J,$B:$B,$B1290,$A:$A,"&gt;="&amp;COUNTIFS($K$1:P$1,"&lt;&gt;"))),0)</f>
        <v>0</v>
      </c>
      <c r="Q1290">
        <f>IFERROR($J1290/IF($A1290&lt;COUNTIFS($K$1:Q$1,"&lt;&gt;"),0,SUMIFS($J:$J,$B:$B,$B1290,$A:$A,"&gt;="&amp;COUNTIFS($K$1:Q$1,"&lt;&gt;"))),0)</f>
        <v>0</v>
      </c>
      <c r="R1290">
        <f>IFERROR($J1290/IF($A1290&lt;COUNTIFS($K$1:R$1,"&lt;&gt;"),0,SUMIFS($J:$J,$B:$B,$B1290,$A:$A,"&gt;="&amp;COUNTIFS($K$1:R$1,"&lt;&gt;"))),0)</f>
        <v>0</v>
      </c>
      <c r="S1290">
        <f>IFERROR($J1290/IF($A1290&lt;COUNTIFS($K$1:S$1,"&lt;&gt;"),0,SUMIFS($J:$J,$B:$B,$B1290,$A:$A,"&gt;="&amp;COUNTIFS($K$1:S$1,"&lt;&gt;"))),0)</f>
        <v>0</v>
      </c>
      <c r="T1290">
        <f>IFERROR($J1290/IF($A1290&lt;COUNTIFS($K$1:T$1,"&lt;&gt;"),0,SUMIFS($J:$J,$B:$B,$B1290,$A:$A,"&gt;="&amp;COUNTIFS($K$1:T$1,"&lt;&gt;"))),0)</f>
        <v>0</v>
      </c>
      <c r="U1290">
        <f>IFERROR($J1290/IF($A1290&lt;COUNTIFS($K$1:U$1,"&lt;&gt;"),0,SUMIFS($J:$J,$B:$B,$B1290,$A:$A,"&gt;="&amp;COUNTIFS($K$1:U$1,"&lt;&gt;"))),0)</f>
        <v>0</v>
      </c>
      <c r="V1290">
        <f>IFERROR($J1290/IF($A1290&lt;COUNTIFS($K$1:V$1,"&lt;&gt;"),0,SUMIFS($J:$J,$B:$B,$B1290,$A:$A,"&gt;="&amp;COUNTIFS($K$1:V$1,"&lt;&gt;"))),0)</f>
        <v>0</v>
      </c>
      <c r="W1290">
        <f t="shared" si="464"/>
        <v>8.4931506849315067E-2</v>
      </c>
      <c r="X1290">
        <f t="shared" si="444"/>
        <v>8.4931506849315067E-2</v>
      </c>
      <c r="Y1290">
        <f t="shared" si="445"/>
        <v>0</v>
      </c>
      <c r="Z1290">
        <f t="shared" si="446"/>
        <v>0</v>
      </c>
      <c r="AA1290">
        <f t="shared" si="447"/>
        <v>0</v>
      </c>
      <c r="AB1290">
        <f t="shared" si="448"/>
        <v>0</v>
      </c>
      <c r="AC1290">
        <f t="shared" si="449"/>
        <v>0</v>
      </c>
      <c r="AD1290">
        <f t="shared" si="450"/>
        <v>0</v>
      </c>
      <c r="AE1290">
        <f t="shared" si="451"/>
        <v>0</v>
      </c>
      <c r="AF1290">
        <f t="shared" si="452"/>
        <v>0</v>
      </c>
      <c r="AG1290">
        <f t="shared" si="453"/>
        <v>0</v>
      </c>
      <c r="AH1290">
        <f t="shared" si="454"/>
        <v>0</v>
      </c>
      <c r="AI1290">
        <f t="shared" si="455"/>
        <v>0</v>
      </c>
      <c r="AJ1290" s="2" t="str">
        <f t="shared" si="465"/>
        <v>146844</v>
      </c>
    </row>
    <row r="1291" spans="1:36" x14ac:dyDescent="0.25">
      <c r="A1291">
        <v>2</v>
      </c>
      <c r="B1291" s="1">
        <v>46844</v>
      </c>
      <c r="C1291" s="1">
        <f t="shared" si="456"/>
        <v>46905</v>
      </c>
      <c r="D1291" s="1">
        <f t="shared" si="457"/>
        <v>46858</v>
      </c>
      <c r="E1291" s="1">
        <f t="shared" si="458"/>
        <v>46905</v>
      </c>
      <c r="F1291" s="1">
        <f t="shared" si="459"/>
        <v>46935</v>
      </c>
      <c r="G1291" s="1">
        <f t="shared" si="460"/>
        <v>47223</v>
      </c>
      <c r="H1291">
        <f t="shared" si="461"/>
        <v>365</v>
      </c>
      <c r="I1291">
        <f t="shared" si="462"/>
        <v>30</v>
      </c>
      <c r="J1291">
        <f t="shared" si="463"/>
        <v>8.2191780821917804E-2</v>
      </c>
      <c r="K1291">
        <f>IFERROR($J1291/IF($A1291&lt;COUNTIFS($K$1:K$1,"&lt;&gt;"),0,SUMIFS($J:$J,$B:$B,$B1291,$A:$A,"&gt;="&amp;COUNTIFS($K$1:K$1,"&lt;&gt;"))),0)</f>
        <v>8.5959885386819493E-2</v>
      </c>
      <c r="L1291">
        <f>IFERROR($J1291/IF($A1291&lt;COUNTIFS($K$1:L$1,"&lt;&gt;"),0,SUMIFS($J:$J,$B:$B,$B1291,$A:$A,"&gt;="&amp;COUNTIFS($K$1:L$1,"&lt;&gt;"))),0)</f>
        <v>9.4339622641509441E-2</v>
      </c>
      <c r="M1291">
        <f>IFERROR($J1291/IF($A1291&lt;COUNTIFS($K$1:M$1,"&lt;&gt;"),0,SUMIFS($J:$J,$B:$B,$B1291,$A:$A,"&gt;="&amp;COUNTIFS($K$1:M$1,"&lt;&gt;"))),0)</f>
        <v>0</v>
      </c>
      <c r="N1291">
        <f>IFERROR($J1291/IF($A1291&lt;COUNTIFS($K$1:N$1,"&lt;&gt;"),0,SUMIFS($J:$J,$B:$B,$B1291,$A:$A,"&gt;="&amp;COUNTIFS($K$1:N$1,"&lt;&gt;"))),0)</f>
        <v>0</v>
      </c>
      <c r="O1291">
        <f>IFERROR($J1291/IF($A1291&lt;COUNTIFS($K$1:O$1,"&lt;&gt;"),0,SUMIFS($J:$J,$B:$B,$B1291,$A:$A,"&gt;="&amp;COUNTIFS($K$1:O$1,"&lt;&gt;"))),0)</f>
        <v>0</v>
      </c>
      <c r="P1291">
        <f>IFERROR($J1291/IF($A1291&lt;COUNTIFS($K$1:P$1,"&lt;&gt;"),0,SUMIFS($J:$J,$B:$B,$B1291,$A:$A,"&gt;="&amp;COUNTIFS($K$1:P$1,"&lt;&gt;"))),0)</f>
        <v>0</v>
      </c>
      <c r="Q1291">
        <f>IFERROR($J1291/IF($A1291&lt;COUNTIFS($K$1:Q$1,"&lt;&gt;"),0,SUMIFS($J:$J,$B:$B,$B1291,$A:$A,"&gt;="&amp;COUNTIFS($K$1:Q$1,"&lt;&gt;"))),0)</f>
        <v>0</v>
      </c>
      <c r="R1291">
        <f>IFERROR($J1291/IF($A1291&lt;COUNTIFS($K$1:R$1,"&lt;&gt;"),0,SUMIFS($J:$J,$B:$B,$B1291,$A:$A,"&gt;="&amp;COUNTIFS($K$1:R$1,"&lt;&gt;"))),0)</f>
        <v>0</v>
      </c>
      <c r="S1291">
        <f>IFERROR($J1291/IF($A1291&lt;COUNTIFS($K$1:S$1,"&lt;&gt;"),0,SUMIFS($J:$J,$B:$B,$B1291,$A:$A,"&gt;="&amp;COUNTIFS($K$1:S$1,"&lt;&gt;"))),0)</f>
        <v>0</v>
      </c>
      <c r="T1291">
        <f>IFERROR($J1291/IF($A1291&lt;COUNTIFS($K$1:T$1,"&lt;&gt;"),0,SUMIFS($J:$J,$B:$B,$B1291,$A:$A,"&gt;="&amp;COUNTIFS($K$1:T$1,"&lt;&gt;"))),0)</f>
        <v>0</v>
      </c>
      <c r="U1291">
        <f>IFERROR($J1291/IF($A1291&lt;COUNTIFS($K$1:U$1,"&lt;&gt;"),0,SUMIFS($J:$J,$B:$B,$B1291,$A:$A,"&gt;="&amp;COUNTIFS($K$1:U$1,"&lt;&gt;"))),0)</f>
        <v>0</v>
      </c>
      <c r="V1291">
        <f>IFERROR($J1291/IF($A1291&lt;COUNTIFS($K$1:V$1,"&lt;&gt;"),0,SUMIFS($J:$J,$B:$B,$B1291,$A:$A,"&gt;="&amp;COUNTIFS($K$1:V$1,"&lt;&gt;"))),0)</f>
        <v>0</v>
      </c>
      <c r="W1291">
        <f t="shared" si="464"/>
        <v>8.2191780821917804E-2</v>
      </c>
      <c r="X1291">
        <f t="shared" si="444"/>
        <v>8.2191780821917804E-2</v>
      </c>
      <c r="Y1291">
        <f t="shared" si="445"/>
        <v>8.2191780821917804E-2</v>
      </c>
      <c r="Z1291">
        <f t="shared" si="446"/>
        <v>0</v>
      </c>
      <c r="AA1291">
        <f t="shared" si="447"/>
        <v>0</v>
      </c>
      <c r="AB1291">
        <f t="shared" si="448"/>
        <v>0</v>
      </c>
      <c r="AC1291">
        <f t="shared" si="449"/>
        <v>0</v>
      </c>
      <c r="AD1291">
        <f t="shared" si="450"/>
        <v>0</v>
      </c>
      <c r="AE1291">
        <f t="shared" si="451"/>
        <v>0</v>
      </c>
      <c r="AF1291">
        <f t="shared" si="452"/>
        <v>0</v>
      </c>
      <c r="AG1291">
        <f t="shared" si="453"/>
        <v>0</v>
      </c>
      <c r="AH1291">
        <f t="shared" si="454"/>
        <v>0</v>
      </c>
      <c r="AI1291">
        <f t="shared" si="455"/>
        <v>0</v>
      </c>
      <c r="AJ1291" s="2" t="str">
        <f t="shared" si="465"/>
        <v>246844</v>
      </c>
    </row>
    <row r="1292" spans="1:36" x14ac:dyDescent="0.25">
      <c r="A1292">
        <v>3</v>
      </c>
      <c r="B1292" s="1">
        <v>46844</v>
      </c>
      <c r="C1292" s="1">
        <f t="shared" si="456"/>
        <v>46935</v>
      </c>
      <c r="D1292" s="1">
        <f t="shared" si="457"/>
        <v>46858</v>
      </c>
      <c r="E1292" s="1">
        <f t="shared" si="458"/>
        <v>46935</v>
      </c>
      <c r="F1292" s="1">
        <f t="shared" si="459"/>
        <v>46966</v>
      </c>
      <c r="G1292" s="1">
        <f t="shared" si="460"/>
        <v>47223</v>
      </c>
      <c r="H1292">
        <f t="shared" si="461"/>
        <v>365</v>
      </c>
      <c r="I1292">
        <f t="shared" si="462"/>
        <v>31</v>
      </c>
      <c r="J1292">
        <f t="shared" si="463"/>
        <v>8.4931506849315067E-2</v>
      </c>
      <c r="K1292">
        <f>IFERROR($J1292/IF($A1292&lt;COUNTIFS($K$1:K$1,"&lt;&gt;"),0,SUMIFS($J:$J,$B:$B,$B1292,$A:$A,"&gt;="&amp;COUNTIFS($K$1:K$1,"&lt;&gt;"))),0)</f>
        <v>8.8825214899713484E-2</v>
      </c>
      <c r="L1292">
        <f>IFERROR($J1292/IF($A1292&lt;COUNTIFS($K$1:L$1,"&lt;&gt;"),0,SUMIFS($J:$J,$B:$B,$B1292,$A:$A,"&gt;="&amp;COUNTIFS($K$1:L$1,"&lt;&gt;"))),0)</f>
        <v>9.7484276729559768E-2</v>
      </c>
      <c r="M1292">
        <f>IFERROR($J1292/IF($A1292&lt;COUNTIFS($K$1:M$1,"&lt;&gt;"),0,SUMIFS($J:$J,$B:$B,$B1292,$A:$A,"&gt;="&amp;COUNTIFS($K$1:M$1,"&lt;&gt;"))),0)</f>
        <v>0.10763888888888891</v>
      </c>
      <c r="N1292">
        <f>IFERROR($J1292/IF($A1292&lt;COUNTIFS($K$1:N$1,"&lt;&gt;"),0,SUMIFS($J:$J,$B:$B,$B1292,$A:$A,"&gt;="&amp;COUNTIFS($K$1:N$1,"&lt;&gt;"))),0)</f>
        <v>0</v>
      </c>
      <c r="O1292">
        <f>IFERROR($J1292/IF($A1292&lt;COUNTIFS($K$1:O$1,"&lt;&gt;"),0,SUMIFS($J:$J,$B:$B,$B1292,$A:$A,"&gt;="&amp;COUNTIFS($K$1:O$1,"&lt;&gt;"))),0)</f>
        <v>0</v>
      </c>
      <c r="P1292">
        <f>IFERROR($J1292/IF($A1292&lt;COUNTIFS($K$1:P$1,"&lt;&gt;"),0,SUMIFS($J:$J,$B:$B,$B1292,$A:$A,"&gt;="&amp;COUNTIFS($K$1:P$1,"&lt;&gt;"))),0)</f>
        <v>0</v>
      </c>
      <c r="Q1292">
        <f>IFERROR($J1292/IF($A1292&lt;COUNTIFS($K$1:Q$1,"&lt;&gt;"),0,SUMIFS($J:$J,$B:$B,$B1292,$A:$A,"&gt;="&amp;COUNTIFS($K$1:Q$1,"&lt;&gt;"))),0)</f>
        <v>0</v>
      </c>
      <c r="R1292">
        <f>IFERROR($J1292/IF($A1292&lt;COUNTIFS($K$1:R$1,"&lt;&gt;"),0,SUMIFS($J:$J,$B:$B,$B1292,$A:$A,"&gt;="&amp;COUNTIFS($K$1:R$1,"&lt;&gt;"))),0)</f>
        <v>0</v>
      </c>
      <c r="S1292">
        <f>IFERROR($J1292/IF($A1292&lt;COUNTIFS($K$1:S$1,"&lt;&gt;"),0,SUMIFS($J:$J,$B:$B,$B1292,$A:$A,"&gt;="&amp;COUNTIFS($K$1:S$1,"&lt;&gt;"))),0)</f>
        <v>0</v>
      </c>
      <c r="T1292">
        <f>IFERROR($J1292/IF($A1292&lt;COUNTIFS($K$1:T$1,"&lt;&gt;"),0,SUMIFS($J:$J,$B:$B,$B1292,$A:$A,"&gt;="&amp;COUNTIFS($K$1:T$1,"&lt;&gt;"))),0)</f>
        <v>0</v>
      </c>
      <c r="U1292">
        <f>IFERROR($J1292/IF($A1292&lt;COUNTIFS($K$1:U$1,"&lt;&gt;"),0,SUMIFS($J:$J,$B:$B,$B1292,$A:$A,"&gt;="&amp;COUNTIFS($K$1:U$1,"&lt;&gt;"))),0)</f>
        <v>0</v>
      </c>
      <c r="V1292">
        <f>IFERROR($J1292/IF($A1292&lt;COUNTIFS($K$1:V$1,"&lt;&gt;"),0,SUMIFS($J:$J,$B:$B,$B1292,$A:$A,"&gt;="&amp;COUNTIFS($K$1:V$1,"&lt;&gt;"))),0)</f>
        <v>0</v>
      </c>
      <c r="W1292">
        <f t="shared" si="464"/>
        <v>8.4931506849315067E-2</v>
      </c>
      <c r="X1292">
        <f t="shared" si="444"/>
        <v>8.4931506849315067E-2</v>
      </c>
      <c r="Y1292">
        <f t="shared" si="445"/>
        <v>8.4931506849315067E-2</v>
      </c>
      <c r="Z1292">
        <f t="shared" si="446"/>
        <v>8.4931506849315067E-2</v>
      </c>
      <c r="AA1292">
        <f t="shared" si="447"/>
        <v>0</v>
      </c>
      <c r="AB1292">
        <f t="shared" si="448"/>
        <v>0</v>
      </c>
      <c r="AC1292">
        <f t="shared" si="449"/>
        <v>0</v>
      </c>
      <c r="AD1292">
        <f t="shared" si="450"/>
        <v>0</v>
      </c>
      <c r="AE1292">
        <f t="shared" si="451"/>
        <v>0</v>
      </c>
      <c r="AF1292">
        <f t="shared" si="452"/>
        <v>0</v>
      </c>
      <c r="AG1292">
        <f t="shared" si="453"/>
        <v>0</v>
      </c>
      <c r="AH1292">
        <f t="shared" si="454"/>
        <v>0</v>
      </c>
      <c r="AI1292">
        <f t="shared" si="455"/>
        <v>0</v>
      </c>
      <c r="AJ1292" s="2" t="str">
        <f t="shared" si="465"/>
        <v>346844</v>
      </c>
    </row>
    <row r="1293" spans="1:36" x14ac:dyDescent="0.25">
      <c r="A1293">
        <v>4</v>
      </c>
      <c r="B1293" s="1">
        <v>46844</v>
      </c>
      <c r="C1293" s="1">
        <f t="shared" si="456"/>
        <v>46966</v>
      </c>
      <c r="D1293" s="1">
        <f t="shared" si="457"/>
        <v>46858</v>
      </c>
      <c r="E1293" s="1">
        <f t="shared" si="458"/>
        <v>46966</v>
      </c>
      <c r="F1293" s="1">
        <f t="shared" si="459"/>
        <v>46997</v>
      </c>
      <c r="G1293" s="1">
        <f t="shared" si="460"/>
        <v>47223</v>
      </c>
      <c r="H1293">
        <f t="shared" si="461"/>
        <v>365</v>
      </c>
      <c r="I1293">
        <f t="shared" si="462"/>
        <v>31</v>
      </c>
      <c r="J1293">
        <f t="shared" si="463"/>
        <v>8.4931506849315067E-2</v>
      </c>
      <c r="K1293">
        <f>IFERROR($J1293/IF($A1293&lt;COUNTIFS($K$1:K$1,"&lt;&gt;"),0,SUMIFS($J:$J,$B:$B,$B1293,$A:$A,"&gt;="&amp;COUNTIFS($K$1:K$1,"&lt;&gt;"))),0)</f>
        <v>8.8825214899713484E-2</v>
      </c>
      <c r="L1293">
        <f>IFERROR($J1293/IF($A1293&lt;COUNTIFS($K$1:L$1,"&lt;&gt;"),0,SUMIFS($J:$J,$B:$B,$B1293,$A:$A,"&gt;="&amp;COUNTIFS($K$1:L$1,"&lt;&gt;"))),0)</f>
        <v>9.7484276729559768E-2</v>
      </c>
      <c r="M1293">
        <f>IFERROR($J1293/IF($A1293&lt;COUNTIFS($K$1:M$1,"&lt;&gt;"),0,SUMIFS($J:$J,$B:$B,$B1293,$A:$A,"&gt;="&amp;COUNTIFS($K$1:M$1,"&lt;&gt;"))),0)</f>
        <v>0.10763888888888891</v>
      </c>
      <c r="N1293">
        <f>IFERROR($J1293/IF($A1293&lt;COUNTIFS($K$1:N$1,"&lt;&gt;"),0,SUMIFS($J:$J,$B:$B,$B1293,$A:$A,"&gt;="&amp;COUNTIFS($K$1:N$1,"&lt;&gt;"))),0)</f>
        <v>0.12062256809338523</v>
      </c>
      <c r="O1293">
        <f>IFERROR($J1293/IF($A1293&lt;COUNTIFS($K$1:O$1,"&lt;&gt;"),0,SUMIFS($J:$J,$B:$B,$B1293,$A:$A,"&gt;="&amp;COUNTIFS($K$1:O$1,"&lt;&gt;"))),0)</f>
        <v>0</v>
      </c>
      <c r="P1293">
        <f>IFERROR($J1293/IF($A1293&lt;COUNTIFS($K$1:P$1,"&lt;&gt;"),0,SUMIFS($J:$J,$B:$B,$B1293,$A:$A,"&gt;="&amp;COUNTIFS($K$1:P$1,"&lt;&gt;"))),0)</f>
        <v>0</v>
      </c>
      <c r="Q1293">
        <f>IFERROR($J1293/IF($A1293&lt;COUNTIFS($K$1:Q$1,"&lt;&gt;"),0,SUMIFS($J:$J,$B:$B,$B1293,$A:$A,"&gt;="&amp;COUNTIFS($K$1:Q$1,"&lt;&gt;"))),0)</f>
        <v>0</v>
      </c>
      <c r="R1293">
        <f>IFERROR($J1293/IF($A1293&lt;COUNTIFS($K$1:R$1,"&lt;&gt;"),0,SUMIFS($J:$J,$B:$B,$B1293,$A:$A,"&gt;="&amp;COUNTIFS($K$1:R$1,"&lt;&gt;"))),0)</f>
        <v>0</v>
      </c>
      <c r="S1293">
        <f>IFERROR($J1293/IF($A1293&lt;COUNTIFS($K$1:S$1,"&lt;&gt;"),0,SUMIFS($J:$J,$B:$B,$B1293,$A:$A,"&gt;="&amp;COUNTIFS($K$1:S$1,"&lt;&gt;"))),0)</f>
        <v>0</v>
      </c>
      <c r="T1293">
        <f>IFERROR($J1293/IF($A1293&lt;COUNTIFS($K$1:T$1,"&lt;&gt;"),0,SUMIFS($J:$J,$B:$B,$B1293,$A:$A,"&gt;="&amp;COUNTIFS($K$1:T$1,"&lt;&gt;"))),0)</f>
        <v>0</v>
      </c>
      <c r="U1293">
        <f>IFERROR($J1293/IF($A1293&lt;COUNTIFS($K$1:U$1,"&lt;&gt;"),0,SUMIFS($J:$J,$B:$B,$B1293,$A:$A,"&gt;="&amp;COUNTIFS($K$1:U$1,"&lt;&gt;"))),0)</f>
        <v>0</v>
      </c>
      <c r="V1293">
        <f>IFERROR($J1293/IF($A1293&lt;COUNTIFS($K$1:V$1,"&lt;&gt;"),0,SUMIFS($J:$J,$B:$B,$B1293,$A:$A,"&gt;="&amp;COUNTIFS($K$1:V$1,"&lt;&gt;"))),0)</f>
        <v>0</v>
      </c>
      <c r="W1293">
        <f t="shared" si="464"/>
        <v>8.4931506849315067E-2</v>
      </c>
      <c r="X1293">
        <f t="shared" si="444"/>
        <v>8.4931506849315067E-2</v>
      </c>
      <c r="Y1293">
        <f t="shared" si="445"/>
        <v>8.4931506849315067E-2</v>
      </c>
      <c r="Z1293">
        <f t="shared" si="446"/>
        <v>8.4931506849315067E-2</v>
      </c>
      <c r="AA1293">
        <f t="shared" si="447"/>
        <v>8.4931506849315067E-2</v>
      </c>
      <c r="AB1293">
        <f t="shared" si="448"/>
        <v>0</v>
      </c>
      <c r="AC1293">
        <f t="shared" si="449"/>
        <v>0</v>
      </c>
      <c r="AD1293">
        <f t="shared" si="450"/>
        <v>0</v>
      </c>
      <c r="AE1293">
        <f t="shared" si="451"/>
        <v>0</v>
      </c>
      <c r="AF1293">
        <f t="shared" si="452"/>
        <v>0</v>
      </c>
      <c r="AG1293">
        <f t="shared" si="453"/>
        <v>0</v>
      </c>
      <c r="AH1293">
        <f t="shared" si="454"/>
        <v>0</v>
      </c>
      <c r="AI1293">
        <f t="shared" si="455"/>
        <v>0</v>
      </c>
      <c r="AJ1293" s="2" t="str">
        <f t="shared" si="465"/>
        <v>446844</v>
      </c>
    </row>
    <row r="1294" spans="1:36" x14ac:dyDescent="0.25">
      <c r="A1294">
        <v>5</v>
      </c>
      <c r="B1294" s="1">
        <v>46844</v>
      </c>
      <c r="C1294" s="1">
        <f t="shared" si="456"/>
        <v>46997</v>
      </c>
      <c r="D1294" s="1">
        <f t="shared" si="457"/>
        <v>46858</v>
      </c>
      <c r="E1294" s="1">
        <f t="shared" si="458"/>
        <v>46997</v>
      </c>
      <c r="F1294" s="1">
        <f t="shared" si="459"/>
        <v>47027</v>
      </c>
      <c r="G1294" s="1">
        <f t="shared" si="460"/>
        <v>47223</v>
      </c>
      <c r="H1294">
        <f t="shared" si="461"/>
        <v>365</v>
      </c>
      <c r="I1294">
        <f t="shared" si="462"/>
        <v>30</v>
      </c>
      <c r="J1294">
        <f t="shared" si="463"/>
        <v>8.2191780821917804E-2</v>
      </c>
      <c r="K1294">
        <f>IFERROR($J1294/IF($A1294&lt;COUNTIFS($K$1:K$1,"&lt;&gt;"),0,SUMIFS($J:$J,$B:$B,$B1294,$A:$A,"&gt;="&amp;COUNTIFS($K$1:K$1,"&lt;&gt;"))),0)</f>
        <v>8.5959885386819493E-2</v>
      </c>
      <c r="L1294">
        <f>IFERROR($J1294/IF($A1294&lt;COUNTIFS($K$1:L$1,"&lt;&gt;"),0,SUMIFS($J:$J,$B:$B,$B1294,$A:$A,"&gt;="&amp;COUNTIFS($K$1:L$1,"&lt;&gt;"))),0)</f>
        <v>9.4339622641509441E-2</v>
      </c>
      <c r="M1294">
        <f>IFERROR($J1294/IF($A1294&lt;COUNTIFS($K$1:M$1,"&lt;&gt;"),0,SUMIFS($J:$J,$B:$B,$B1294,$A:$A,"&gt;="&amp;COUNTIFS($K$1:M$1,"&lt;&gt;"))),0)</f>
        <v>0.10416666666666669</v>
      </c>
      <c r="N1294">
        <f>IFERROR($J1294/IF($A1294&lt;COUNTIFS($K$1:N$1,"&lt;&gt;"),0,SUMIFS($J:$J,$B:$B,$B1294,$A:$A,"&gt;="&amp;COUNTIFS($K$1:N$1,"&lt;&gt;"))),0)</f>
        <v>0.11673151750972764</v>
      </c>
      <c r="O1294">
        <f>IFERROR($J1294/IF($A1294&lt;COUNTIFS($K$1:O$1,"&lt;&gt;"),0,SUMIFS($J:$J,$B:$B,$B1294,$A:$A,"&gt;="&amp;COUNTIFS($K$1:O$1,"&lt;&gt;"))),0)</f>
        <v>0.13274336283185842</v>
      </c>
      <c r="P1294">
        <f>IFERROR($J1294/IF($A1294&lt;COUNTIFS($K$1:P$1,"&lt;&gt;"),0,SUMIFS($J:$J,$B:$B,$B1294,$A:$A,"&gt;="&amp;COUNTIFS($K$1:P$1,"&lt;&gt;"))),0)</f>
        <v>0</v>
      </c>
      <c r="Q1294">
        <f>IFERROR($J1294/IF($A1294&lt;COUNTIFS($K$1:Q$1,"&lt;&gt;"),0,SUMIFS($J:$J,$B:$B,$B1294,$A:$A,"&gt;="&amp;COUNTIFS($K$1:Q$1,"&lt;&gt;"))),0)</f>
        <v>0</v>
      </c>
      <c r="R1294">
        <f>IFERROR($J1294/IF($A1294&lt;COUNTIFS($K$1:R$1,"&lt;&gt;"),0,SUMIFS($J:$J,$B:$B,$B1294,$A:$A,"&gt;="&amp;COUNTIFS($K$1:R$1,"&lt;&gt;"))),0)</f>
        <v>0</v>
      </c>
      <c r="S1294">
        <f>IFERROR($J1294/IF($A1294&lt;COUNTIFS($K$1:S$1,"&lt;&gt;"),0,SUMIFS($J:$J,$B:$B,$B1294,$A:$A,"&gt;="&amp;COUNTIFS($K$1:S$1,"&lt;&gt;"))),0)</f>
        <v>0</v>
      </c>
      <c r="T1294">
        <f>IFERROR($J1294/IF($A1294&lt;COUNTIFS($K$1:T$1,"&lt;&gt;"),0,SUMIFS($J:$J,$B:$B,$B1294,$A:$A,"&gt;="&amp;COUNTIFS($K$1:T$1,"&lt;&gt;"))),0)</f>
        <v>0</v>
      </c>
      <c r="U1294">
        <f>IFERROR($J1294/IF($A1294&lt;COUNTIFS($K$1:U$1,"&lt;&gt;"),0,SUMIFS($J:$J,$B:$B,$B1294,$A:$A,"&gt;="&amp;COUNTIFS($K$1:U$1,"&lt;&gt;"))),0)</f>
        <v>0</v>
      </c>
      <c r="V1294">
        <f>IFERROR($J1294/IF($A1294&lt;COUNTIFS($K$1:V$1,"&lt;&gt;"),0,SUMIFS($J:$J,$B:$B,$B1294,$A:$A,"&gt;="&amp;COUNTIFS($K$1:V$1,"&lt;&gt;"))),0)</f>
        <v>0</v>
      </c>
      <c r="W1294">
        <f t="shared" si="464"/>
        <v>8.2191780821917804E-2</v>
      </c>
      <c r="X1294">
        <f t="shared" si="444"/>
        <v>8.2191780821917804E-2</v>
      </c>
      <c r="Y1294">
        <f t="shared" si="445"/>
        <v>8.2191780821917804E-2</v>
      </c>
      <c r="Z1294">
        <f t="shared" si="446"/>
        <v>8.2191780821917804E-2</v>
      </c>
      <c r="AA1294">
        <f t="shared" si="447"/>
        <v>8.2191780821917804E-2</v>
      </c>
      <c r="AB1294">
        <f t="shared" si="448"/>
        <v>8.2191780821917804E-2</v>
      </c>
      <c r="AC1294">
        <f t="shared" si="449"/>
        <v>0</v>
      </c>
      <c r="AD1294">
        <f t="shared" si="450"/>
        <v>0</v>
      </c>
      <c r="AE1294">
        <f t="shared" si="451"/>
        <v>0</v>
      </c>
      <c r="AF1294">
        <f t="shared" si="452"/>
        <v>0</v>
      </c>
      <c r="AG1294">
        <f t="shared" si="453"/>
        <v>0</v>
      </c>
      <c r="AH1294">
        <f t="shared" si="454"/>
        <v>0</v>
      </c>
      <c r="AI1294">
        <f t="shared" si="455"/>
        <v>0</v>
      </c>
      <c r="AJ1294" s="2" t="str">
        <f t="shared" si="465"/>
        <v>546844</v>
      </c>
    </row>
    <row r="1295" spans="1:36" x14ac:dyDescent="0.25">
      <c r="A1295">
        <v>6</v>
      </c>
      <c r="B1295" s="1">
        <v>46844</v>
      </c>
      <c r="C1295" s="1">
        <f t="shared" si="456"/>
        <v>47027</v>
      </c>
      <c r="D1295" s="1">
        <f t="shared" si="457"/>
        <v>46858</v>
      </c>
      <c r="E1295" s="1">
        <f t="shared" si="458"/>
        <v>47027</v>
      </c>
      <c r="F1295" s="1">
        <f t="shared" si="459"/>
        <v>47058</v>
      </c>
      <c r="G1295" s="1">
        <f t="shared" si="460"/>
        <v>47223</v>
      </c>
      <c r="H1295">
        <f t="shared" si="461"/>
        <v>365</v>
      </c>
      <c r="I1295">
        <f t="shared" si="462"/>
        <v>31</v>
      </c>
      <c r="J1295">
        <f t="shared" si="463"/>
        <v>8.4931506849315067E-2</v>
      </c>
      <c r="K1295">
        <f>IFERROR($J1295/IF($A1295&lt;COUNTIFS($K$1:K$1,"&lt;&gt;"),0,SUMIFS($J:$J,$B:$B,$B1295,$A:$A,"&gt;="&amp;COUNTIFS($K$1:K$1,"&lt;&gt;"))),0)</f>
        <v>8.8825214899713484E-2</v>
      </c>
      <c r="L1295">
        <f>IFERROR($J1295/IF($A1295&lt;COUNTIFS($K$1:L$1,"&lt;&gt;"),0,SUMIFS($J:$J,$B:$B,$B1295,$A:$A,"&gt;="&amp;COUNTIFS($K$1:L$1,"&lt;&gt;"))),0)</f>
        <v>9.7484276729559768E-2</v>
      </c>
      <c r="M1295">
        <f>IFERROR($J1295/IF($A1295&lt;COUNTIFS($K$1:M$1,"&lt;&gt;"),0,SUMIFS($J:$J,$B:$B,$B1295,$A:$A,"&gt;="&amp;COUNTIFS($K$1:M$1,"&lt;&gt;"))),0)</f>
        <v>0.10763888888888891</v>
      </c>
      <c r="N1295">
        <f>IFERROR($J1295/IF($A1295&lt;COUNTIFS($K$1:N$1,"&lt;&gt;"),0,SUMIFS($J:$J,$B:$B,$B1295,$A:$A,"&gt;="&amp;COUNTIFS($K$1:N$1,"&lt;&gt;"))),0)</f>
        <v>0.12062256809338523</v>
      </c>
      <c r="O1295">
        <f>IFERROR($J1295/IF($A1295&lt;COUNTIFS($K$1:O$1,"&lt;&gt;"),0,SUMIFS($J:$J,$B:$B,$B1295,$A:$A,"&gt;="&amp;COUNTIFS($K$1:O$1,"&lt;&gt;"))),0)</f>
        <v>0.13716814159292037</v>
      </c>
      <c r="P1295">
        <f>IFERROR($J1295/IF($A1295&lt;COUNTIFS($K$1:P$1,"&lt;&gt;"),0,SUMIFS($J:$J,$B:$B,$B1295,$A:$A,"&gt;="&amp;COUNTIFS($K$1:P$1,"&lt;&gt;"))),0)</f>
        <v>0.15816326530612249</v>
      </c>
      <c r="Q1295">
        <f>IFERROR($J1295/IF($A1295&lt;COUNTIFS($K$1:Q$1,"&lt;&gt;"),0,SUMIFS($J:$J,$B:$B,$B1295,$A:$A,"&gt;="&amp;COUNTIFS($K$1:Q$1,"&lt;&gt;"))),0)</f>
        <v>0</v>
      </c>
      <c r="R1295">
        <f>IFERROR($J1295/IF($A1295&lt;COUNTIFS($K$1:R$1,"&lt;&gt;"),0,SUMIFS($J:$J,$B:$B,$B1295,$A:$A,"&gt;="&amp;COUNTIFS($K$1:R$1,"&lt;&gt;"))),0)</f>
        <v>0</v>
      </c>
      <c r="S1295">
        <f>IFERROR($J1295/IF($A1295&lt;COUNTIFS($K$1:S$1,"&lt;&gt;"),0,SUMIFS($J:$J,$B:$B,$B1295,$A:$A,"&gt;="&amp;COUNTIFS($K$1:S$1,"&lt;&gt;"))),0)</f>
        <v>0</v>
      </c>
      <c r="T1295">
        <f>IFERROR($J1295/IF($A1295&lt;COUNTIFS($K$1:T$1,"&lt;&gt;"),0,SUMIFS($J:$J,$B:$B,$B1295,$A:$A,"&gt;="&amp;COUNTIFS($K$1:T$1,"&lt;&gt;"))),0)</f>
        <v>0</v>
      </c>
      <c r="U1295">
        <f>IFERROR($J1295/IF($A1295&lt;COUNTIFS($K$1:U$1,"&lt;&gt;"),0,SUMIFS($J:$J,$B:$B,$B1295,$A:$A,"&gt;="&amp;COUNTIFS($K$1:U$1,"&lt;&gt;"))),0)</f>
        <v>0</v>
      </c>
      <c r="V1295">
        <f>IFERROR($J1295/IF($A1295&lt;COUNTIFS($K$1:V$1,"&lt;&gt;"),0,SUMIFS($J:$J,$B:$B,$B1295,$A:$A,"&gt;="&amp;COUNTIFS($K$1:V$1,"&lt;&gt;"))),0)</f>
        <v>0</v>
      </c>
      <c r="W1295">
        <f t="shared" si="464"/>
        <v>8.4931506849315067E-2</v>
      </c>
      <c r="X1295">
        <f t="shared" si="444"/>
        <v>8.4931506849315067E-2</v>
      </c>
      <c r="Y1295">
        <f t="shared" si="445"/>
        <v>8.4931506849315067E-2</v>
      </c>
      <c r="Z1295">
        <f t="shared" si="446"/>
        <v>8.4931506849315067E-2</v>
      </c>
      <c r="AA1295">
        <f t="shared" si="447"/>
        <v>8.4931506849315067E-2</v>
      </c>
      <c r="AB1295">
        <f t="shared" si="448"/>
        <v>8.4931506849315067E-2</v>
      </c>
      <c r="AC1295">
        <f t="shared" si="449"/>
        <v>8.4931506849315067E-2</v>
      </c>
      <c r="AD1295">
        <f t="shared" si="450"/>
        <v>0</v>
      </c>
      <c r="AE1295">
        <f t="shared" si="451"/>
        <v>0</v>
      </c>
      <c r="AF1295">
        <f t="shared" si="452"/>
        <v>0</v>
      </c>
      <c r="AG1295">
        <f t="shared" si="453"/>
        <v>0</v>
      </c>
      <c r="AH1295">
        <f t="shared" si="454"/>
        <v>0</v>
      </c>
      <c r="AI1295">
        <f t="shared" si="455"/>
        <v>0</v>
      </c>
      <c r="AJ1295" s="2" t="str">
        <f t="shared" si="465"/>
        <v>646844</v>
      </c>
    </row>
    <row r="1296" spans="1:36" x14ac:dyDescent="0.25">
      <c r="A1296">
        <v>7</v>
      </c>
      <c r="B1296" s="1">
        <v>46844</v>
      </c>
      <c r="C1296" s="1">
        <f t="shared" si="456"/>
        <v>47058</v>
      </c>
      <c r="D1296" s="1">
        <f t="shared" si="457"/>
        <v>46858</v>
      </c>
      <c r="E1296" s="1">
        <f t="shared" si="458"/>
        <v>47058</v>
      </c>
      <c r="F1296" s="1">
        <f t="shared" si="459"/>
        <v>47088</v>
      </c>
      <c r="G1296" s="1">
        <f t="shared" si="460"/>
        <v>47223</v>
      </c>
      <c r="H1296">
        <f t="shared" si="461"/>
        <v>365</v>
      </c>
      <c r="I1296">
        <f t="shared" si="462"/>
        <v>30</v>
      </c>
      <c r="J1296">
        <f t="shared" si="463"/>
        <v>8.2191780821917804E-2</v>
      </c>
      <c r="K1296">
        <f>IFERROR($J1296/IF($A1296&lt;COUNTIFS($K$1:K$1,"&lt;&gt;"),0,SUMIFS($J:$J,$B:$B,$B1296,$A:$A,"&gt;="&amp;COUNTIFS($K$1:K$1,"&lt;&gt;"))),0)</f>
        <v>8.5959885386819493E-2</v>
      </c>
      <c r="L1296">
        <f>IFERROR($J1296/IF($A1296&lt;COUNTIFS($K$1:L$1,"&lt;&gt;"),0,SUMIFS($J:$J,$B:$B,$B1296,$A:$A,"&gt;="&amp;COUNTIFS($K$1:L$1,"&lt;&gt;"))),0)</f>
        <v>9.4339622641509441E-2</v>
      </c>
      <c r="M1296">
        <f>IFERROR($J1296/IF($A1296&lt;COUNTIFS($K$1:M$1,"&lt;&gt;"),0,SUMIFS($J:$J,$B:$B,$B1296,$A:$A,"&gt;="&amp;COUNTIFS($K$1:M$1,"&lt;&gt;"))),0)</f>
        <v>0.10416666666666669</v>
      </c>
      <c r="N1296">
        <f>IFERROR($J1296/IF($A1296&lt;COUNTIFS($K$1:N$1,"&lt;&gt;"),0,SUMIFS($J:$J,$B:$B,$B1296,$A:$A,"&gt;="&amp;COUNTIFS($K$1:N$1,"&lt;&gt;"))),0)</f>
        <v>0.11673151750972764</v>
      </c>
      <c r="O1296">
        <f>IFERROR($J1296/IF($A1296&lt;COUNTIFS($K$1:O$1,"&lt;&gt;"),0,SUMIFS($J:$J,$B:$B,$B1296,$A:$A,"&gt;="&amp;COUNTIFS($K$1:O$1,"&lt;&gt;"))),0)</f>
        <v>0.13274336283185842</v>
      </c>
      <c r="P1296">
        <f>IFERROR($J1296/IF($A1296&lt;COUNTIFS($K$1:P$1,"&lt;&gt;"),0,SUMIFS($J:$J,$B:$B,$B1296,$A:$A,"&gt;="&amp;COUNTIFS($K$1:P$1,"&lt;&gt;"))),0)</f>
        <v>0.15306122448979595</v>
      </c>
      <c r="Q1296">
        <f>IFERROR($J1296/IF($A1296&lt;COUNTIFS($K$1:Q$1,"&lt;&gt;"),0,SUMIFS($J:$J,$B:$B,$B1296,$A:$A,"&gt;="&amp;COUNTIFS($K$1:Q$1,"&lt;&gt;"))),0)</f>
        <v>0.18181818181818182</v>
      </c>
      <c r="R1296">
        <f>IFERROR($J1296/IF($A1296&lt;COUNTIFS($K$1:R$1,"&lt;&gt;"),0,SUMIFS($J:$J,$B:$B,$B1296,$A:$A,"&gt;="&amp;COUNTIFS($K$1:R$1,"&lt;&gt;"))),0)</f>
        <v>0</v>
      </c>
      <c r="S1296">
        <f>IFERROR($J1296/IF($A1296&lt;COUNTIFS($K$1:S$1,"&lt;&gt;"),0,SUMIFS($J:$J,$B:$B,$B1296,$A:$A,"&gt;="&amp;COUNTIFS($K$1:S$1,"&lt;&gt;"))),0)</f>
        <v>0</v>
      </c>
      <c r="T1296">
        <f>IFERROR($J1296/IF($A1296&lt;COUNTIFS($K$1:T$1,"&lt;&gt;"),0,SUMIFS($J:$J,$B:$B,$B1296,$A:$A,"&gt;="&amp;COUNTIFS($K$1:T$1,"&lt;&gt;"))),0)</f>
        <v>0</v>
      </c>
      <c r="U1296">
        <f>IFERROR($J1296/IF($A1296&lt;COUNTIFS($K$1:U$1,"&lt;&gt;"),0,SUMIFS($J:$J,$B:$B,$B1296,$A:$A,"&gt;="&amp;COUNTIFS($K$1:U$1,"&lt;&gt;"))),0)</f>
        <v>0</v>
      </c>
      <c r="V1296">
        <f>IFERROR($J1296/IF($A1296&lt;COUNTIFS($K$1:V$1,"&lt;&gt;"),0,SUMIFS($J:$J,$B:$B,$B1296,$A:$A,"&gt;="&amp;COUNTIFS($K$1:V$1,"&lt;&gt;"))),0)</f>
        <v>0</v>
      </c>
      <c r="W1296">
        <f t="shared" si="464"/>
        <v>8.2191780821917804E-2</v>
      </c>
      <c r="X1296">
        <f t="shared" si="444"/>
        <v>8.2191780821917804E-2</v>
      </c>
      <c r="Y1296">
        <f t="shared" si="445"/>
        <v>8.2191780821917804E-2</v>
      </c>
      <c r="Z1296">
        <f t="shared" si="446"/>
        <v>8.2191780821917804E-2</v>
      </c>
      <c r="AA1296">
        <f t="shared" si="447"/>
        <v>8.2191780821917804E-2</v>
      </c>
      <c r="AB1296">
        <f t="shared" si="448"/>
        <v>8.2191780821917804E-2</v>
      </c>
      <c r="AC1296">
        <f t="shared" si="449"/>
        <v>8.2191780821917804E-2</v>
      </c>
      <c r="AD1296">
        <f t="shared" si="450"/>
        <v>8.2191780821917804E-2</v>
      </c>
      <c r="AE1296">
        <f t="shared" si="451"/>
        <v>0</v>
      </c>
      <c r="AF1296">
        <f t="shared" si="452"/>
        <v>0</v>
      </c>
      <c r="AG1296">
        <f t="shared" si="453"/>
        <v>0</v>
      </c>
      <c r="AH1296">
        <f t="shared" si="454"/>
        <v>0</v>
      </c>
      <c r="AI1296">
        <f t="shared" si="455"/>
        <v>0</v>
      </c>
      <c r="AJ1296" s="2" t="str">
        <f t="shared" si="465"/>
        <v>746844</v>
      </c>
    </row>
    <row r="1297" spans="1:36" x14ac:dyDescent="0.25">
      <c r="A1297">
        <v>8</v>
      </c>
      <c r="B1297" s="1">
        <v>46844</v>
      </c>
      <c r="C1297" s="1">
        <f t="shared" si="456"/>
        <v>47088</v>
      </c>
      <c r="D1297" s="1">
        <f t="shared" si="457"/>
        <v>46858</v>
      </c>
      <c r="E1297" s="1">
        <f t="shared" si="458"/>
        <v>47088</v>
      </c>
      <c r="F1297" s="1">
        <f t="shared" si="459"/>
        <v>47119</v>
      </c>
      <c r="G1297" s="1">
        <f t="shared" si="460"/>
        <v>47223</v>
      </c>
      <c r="H1297">
        <f t="shared" si="461"/>
        <v>365</v>
      </c>
      <c r="I1297">
        <f t="shared" si="462"/>
        <v>31</v>
      </c>
      <c r="J1297">
        <f t="shared" si="463"/>
        <v>8.4931506849315067E-2</v>
      </c>
      <c r="K1297">
        <f>IFERROR($J1297/IF($A1297&lt;COUNTIFS($K$1:K$1,"&lt;&gt;"),0,SUMIFS($J:$J,$B:$B,$B1297,$A:$A,"&gt;="&amp;COUNTIFS($K$1:K$1,"&lt;&gt;"))),0)</f>
        <v>8.8825214899713484E-2</v>
      </c>
      <c r="L1297">
        <f>IFERROR($J1297/IF($A1297&lt;COUNTIFS($K$1:L$1,"&lt;&gt;"),0,SUMIFS($J:$J,$B:$B,$B1297,$A:$A,"&gt;="&amp;COUNTIFS($K$1:L$1,"&lt;&gt;"))),0)</f>
        <v>9.7484276729559768E-2</v>
      </c>
      <c r="M1297">
        <f>IFERROR($J1297/IF($A1297&lt;COUNTIFS($K$1:M$1,"&lt;&gt;"),0,SUMIFS($J:$J,$B:$B,$B1297,$A:$A,"&gt;="&amp;COUNTIFS($K$1:M$1,"&lt;&gt;"))),0)</f>
        <v>0.10763888888888891</v>
      </c>
      <c r="N1297">
        <f>IFERROR($J1297/IF($A1297&lt;COUNTIFS($K$1:N$1,"&lt;&gt;"),0,SUMIFS($J:$J,$B:$B,$B1297,$A:$A,"&gt;="&amp;COUNTIFS($K$1:N$1,"&lt;&gt;"))),0)</f>
        <v>0.12062256809338523</v>
      </c>
      <c r="O1297">
        <f>IFERROR($J1297/IF($A1297&lt;COUNTIFS($K$1:O$1,"&lt;&gt;"),0,SUMIFS($J:$J,$B:$B,$B1297,$A:$A,"&gt;="&amp;COUNTIFS($K$1:O$1,"&lt;&gt;"))),0)</f>
        <v>0.13716814159292037</v>
      </c>
      <c r="P1297">
        <f>IFERROR($J1297/IF($A1297&lt;COUNTIFS($K$1:P$1,"&lt;&gt;"),0,SUMIFS($J:$J,$B:$B,$B1297,$A:$A,"&gt;="&amp;COUNTIFS($K$1:P$1,"&lt;&gt;"))),0)</f>
        <v>0.15816326530612249</v>
      </c>
      <c r="Q1297">
        <f>IFERROR($J1297/IF($A1297&lt;COUNTIFS($K$1:Q$1,"&lt;&gt;"),0,SUMIFS($J:$J,$B:$B,$B1297,$A:$A,"&gt;="&amp;COUNTIFS($K$1:Q$1,"&lt;&gt;"))),0)</f>
        <v>0.1878787878787879</v>
      </c>
      <c r="R1297">
        <f>IFERROR($J1297/IF($A1297&lt;COUNTIFS($K$1:R$1,"&lt;&gt;"),0,SUMIFS($J:$J,$B:$B,$B1297,$A:$A,"&gt;="&amp;COUNTIFS($K$1:R$1,"&lt;&gt;"))),0)</f>
        <v>0.22962962962962963</v>
      </c>
      <c r="S1297">
        <f>IFERROR($J1297/IF($A1297&lt;COUNTIFS($K$1:S$1,"&lt;&gt;"),0,SUMIFS($J:$J,$B:$B,$B1297,$A:$A,"&gt;="&amp;COUNTIFS($K$1:S$1,"&lt;&gt;"))),0)</f>
        <v>0</v>
      </c>
      <c r="T1297">
        <f>IFERROR($J1297/IF($A1297&lt;COUNTIFS($K$1:T$1,"&lt;&gt;"),0,SUMIFS($J:$J,$B:$B,$B1297,$A:$A,"&gt;="&amp;COUNTIFS($K$1:T$1,"&lt;&gt;"))),0)</f>
        <v>0</v>
      </c>
      <c r="U1297">
        <f>IFERROR($J1297/IF($A1297&lt;COUNTIFS($K$1:U$1,"&lt;&gt;"),0,SUMIFS($J:$J,$B:$B,$B1297,$A:$A,"&gt;="&amp;COUNTIFS($K$1:U$1,"&lt;&gt;"))),0)</f>
        <v>0</v>
      </c>
      <c r="V1297">
        <f>IFERROR($J1297/IF($A1297&lt;COUNTIFS($K$1:V$1,"&lt;&gt;"),0,SUMIFS($J:$J,$B:$B,$B1297,$A:$A,"&gt;="&amp;COUNTIFS($K$1:V$1,"&lt;&gt;"))),0)</f>
        <v>0</v>
      </c>
      <c r="W1297">
        <f t="shared" si="464"/>
        <v>8.4931506849315067E-2</v>
      </c>
      <c r="X1297">
        <f t="shared" si="444"/>
        <v>8.4931506849315067E-2</v>
      </c>
      <c r="Y1297">
        <f t="shared" si="445"/>
        <v>8.4931506849315067E-2</v>
      </c>
      <c r="Z1297">
        <f t="shared" si="446"/>
        <v>8.4931506849315067E-2</v>
      </c>
      <c r="AA1297">
        <f t="shared" si="447"/>
        <v>8.4931506849315067E-2</v>
      </c>
      <c r="AB1297">
        <f t="shared" si="448"/>
        <v>8.4931506849315067E-2</v>
      </c>
      <c r="AC1297">
        <f t="shared" si="449"/>
        <v>8.4931506849315067E-2</v>
      </c>
      <c r="AD1297">
        <f t="shared" si="450"/>
        <v>8.4931506849315067E-2</v>
      </c>
      <c r="AE1297">
        <f t="shared" si="451"/>
        <v>8.4931506849315067E-2</v>
      </c>
      <c r="AF1297">
        <f t="shared" si="452"/>
        <v>0</v>
      </c>
      <c r="AG1297">
        <f t="shared" si="453"/>
        <v>0</v>
      </c>
      <c r="AH1297">
        <f t="shared" si="454"/>
        <v>0</v>
      </c>
      <c r="AI1297">
        <f t="shared" si="455"/>
        <v>0</v>
      </c>
      <c r="AJ1297" s="2" t="str">
        <f t="shared" si="465"/>
        <v>846844</v>
      </c>
    </row>
    <row r="1298" spans="1:36" x14ac:dyDescent="0.25">
      <c r="A1298">
        <v>9</v>
      </c>
      <c r="B1298" s="1">
        <v>46844</v>
      </c>
      <c r="C1298" s="1">
        <f t="shared" si="456"/>
        <v>47119</v>
      </c>
      <c r="D1298" s="1">
        <f t="shared" si="457"/>
        <v>46858</v>
      </c>
      <c r="E1298" s="1">
        <f t="shared" si="458"/>
        <v>47119</v>
      </c>
      <c r="F1298" s="1">
        <f t="shared" si="459"/>
        <v>47150</v>
      </c>
      <c r="G1298" s="1">
        <f t="shared" si="460"/>
        <v>47223</v>
      </c>
      <c r="H1298">
        <f t="shared" si="461"/>
        <v>365</v>
      </c>
      <c r="I1298">
        <f t="shared" si="462"/>
        <v>31</v>
      </c>
      <c r="J1298">
        <f t="shared" si="463"/>
        <v>8.4931506849315067E-2</v>
      </c>
      <c r="K1298">
        <f>IFERROR($J1298/IF($A1298&lt;COUNTIFS($K$1:K$1,"&lt;&gt;"),0,SUMIFS($J:$J,$B:$B,$B1298,$A:$A,"&gt;="&amp;COUNTIFS($K$1:K$1,"&lt;&gt;"))),0)</f>
        <v>8.8825214899713484E-2</v>
      </c>
      <c r="L1298">
        <f>IFERROR($J1298/IF($A1298&lt;COUNTIFS($K$1:L$1,"&lt;&gt;"),0,SUMIFS($J:$J,$B:$B,$B1298,$A:$A,"&gt;="&amp;COUNTIFS($K$1:L$1,"&lt;&gt;"))),0)</f>
        <v>9.7484276729559768E-2</v>
      </c>
      <c r="M1298">
        <f>IFERROR($J1298/IF($A1298&lt;COUNTIFS($K$1:M$1,"&lt;&gt;"),0,SUMIFS($J:$J,$B:$B,$B1298,$A:$A,"&gt;="&amp;COUNTIFS($K$1:M$1,"&lt;&gt;"))),0)</f>
        <v>0.10763888888888891</v>
      </c>
      <c r="N1298">
        <f>IFERROR($J1298/IF($A1298&lt;COUNTIFS($K$1:N$1,"&lt;&gt;"),0,SUMIFS($J:$J,$B:$B,$B1298,$A:$A,"&gt;="&amp;COUNTIFS($K$1:N$1,"&lt;&gt;"))),0)</f>
        <v>0.12062256809338523</v>
      </c>
      <c r="O1298">
        <f>IFERROR($J1298/IF($A1298&lt;COUNTIFS($K$1:O$1,"&lt;&gt;"),0,SUMIFS($J:$J,$B:$B,$B1298,$A:$A,"&gt;="&amp;COUNTIFS($K$1:O$1,"&lt;&gt;"))),0)</f>
        <v>0.13716814159292037</v>
      </c>
      <c r="P1298">
        <f>IFERROR($J1298/IF($A1298&lt;COUNTIFS($K$1:P$1,"&lt;&gt;"),0,SUMIFS($J:$J,$B:$B,$B1298,$A:$A,"&gt;="&amp;COUNTIFS($K$1:P$1,"&lt;&gt;"))),0)</f>
        <v>0.15816326530612249</v>
      </c>
      <c r="Q1298">
        <f>IFERROR($J1298/IF($A1298&lt;COUNTIFS($K$1:Q$1,"&lt;&gt;"),0,SUMIFS($J:$J,$B:$B,$B1298,$A:$A,"&gt;="&amp;COUNTIFS($K$1:Q$1,"&lt;&gt;"))),0)</f>
        <v>0.1878787878787879</v>
      </c>
      <c r="R1298">
        <f>IFERROR($J1298/IF($A1298&lt;COUNTIFS($K$1:R$1,"&lt;&gt;"),0,SUMIFS($J:$J,$B:$B,$B1298,$A:$A,"&gt;="&amp;COUNTIFS($K$1:R$1,"&lt;&gt;"))),0)</f>
        <v>0.22962962962962963</v>
      </c>
      <c r="S1298">
        <f>IFERROR($J1298/IF($A1298&lt;COUNTIFS($K$1:S$1,"&lt;&gt;"),0,SUMIFS($J:$J,$B:$B,$B1298,$A:$A,"&gt;="&amp;COUNTIFS($K$1:S$1,"&lt;&gt;"))),0)</f>
        <v>0.29807692307692307</v>
      </c>
      <c r="T1298">
        <f>IFERROR($J1298/IF($A1298&lt;COUNTIFS($K$1:T$1,"&lt;&gt;"),0,SUMIFS($J:$J,$B:$B,$B1298,$A:$A,"&gt;="&amp;COUNTIFS($K$1:T$1,"&lt;&gt;"))),0)</f>
        <v>0</v>
      </c>
      <c r="U1298">
        <f>IFERROR($J1298/IF($A1298&lt;COUNTIFS($K$1:U$1,"&lt;&gt;"),0,SUMIFS($J:$J,$B:$B,$B1298,$A:$A,"&gt;="&amp;COUNTIFS($K$1:U$1,"&lt;&gt;"))),0)</f>
        <v>0</v>
      </c>
      <c r="V1298">
        <f>IFERROR($J1298/IF($A1298&lt;COUNTIFS($K$1:V$1,"&lt;&gt;"),0,SUMIFS($J:$J,$B:$B,$B1298,$A:$A,"&gt;="&amp;COUNTIFS($K$1:V$1,"&lt;&gt;"))),0)</f>
        <v>0</v>
      </c>
      <c r="W1298">
        <f t="shared" si="464"/>
        <v>8.4931506849315067E-2</v>
      </c>
      <c r="X1298">
        <f t="shared" si="444"/>
        <v>8.4931506849315067E-2</v>
      </c>
      <c r="Y1298">
        <f t="shared" si="445"/>
        <v>8.4931506849315067E-2</v>
      </c>
      <c r="Z1298">
        <f t="shared" si="446"/>
        <v>8.4931506849315067E-2</v>
      </c>
      <c r="AA1298">
        <f t="shared" si="447"/>
        <v>8.4931506849315067E-2</v>
      </c>
      <c r="AB1298">
        <f t="shared" si="448"/>
        <v>8.4931506849315067E-2</v>
      </c>
      <c r="AC1298">
        <f t="shared" si="449"/>
        <v>8.4931506849315067E-2</v>
      </c>
      <c r="AD1298">
        <f t="shared" si="450"/>
        <v>8.4931506849315067E-2</v>
      </c>
      <c r="AE1298">
        <f t="shared" si="451"/>
        <v>8.4931506849315067E-2</v>
      </c>
      <c r="AF1298">
        <f t="shared" si="452"/>
        <v>8.4931506849315067E-2</v>
      </c>
      <c r="AG1298">
        <f t="shared" si="453"/>
        <v>0</v>
      </c>
      <c r="AH1298">
        <f t="shared" si="454"/>
        <v>0</v>
      </c>
      <c r="AI1298">
        <f t="shared" si="455"/>
        <v>0</v>
      </c>
      <c r="AJ1298" s="2" t="str">
        <f t="shared" si="465"/>
        <v>946844</v>
      </c>
    </row>
    <row r="1299" spans="1:36" x14ac:dyDescent="0.25">
      <c r="A1299">
        <v>10</v>
      </c>
      <c r="B1299" s="1">
        <v>46844</v>
      </c>
      <c r="C1299" s="1">
        <f t="shared" si="456"/>
        <v>47150</v>
      </c>
      <c r="D1299" s="1">
        <f t="shared" si="457"/>
        <v>46858</v>
      </c>
      <c r="E1299" s="1">
        <f t="shared" si="458"/>
        <v>47150</v>
      </c>
      <c r="F1299" s="1">
        <f t="shared" si="459"/>
        <v>47178</v>
      </c>
      <c r="G1299" s="1">
        <f t="shared" si="460"/>
        <v>47223</v>
      </c>
      <c r="H1299">
        <f t="shared" si="461"/>
        <v>365</v>
      </c>
      <c r="I1299">
        <f t="shared" si="462"/>
        <v>28</v>
      </c>
      <c r="J1299">
        <f t="shared" si="463"/>
        <v>7.6712328767123292E-2</v>
      </c>
      <c r="K1299">
        <f>IFERROR($J1299/IF($A1299&lt;COUNTIFS($K$1:K$1,"&lt;&gt;"),0,SUMIFS($J:$J,$B:$B,$B1299,$A:$A,"&gt;="&amp;COUNTIFS($K$1:K$1,"&lt;&gt;"))),0)</f>
        <v>8.0229226361031539E-2</v>
      </c>
      <c r="L1299">
        <f>IFERROR($J1299/IF($A1299&lt;COUNTIFS($K$1:L$1,"&lt;&gt;"),0,SUMIFS($J:$J,$B:$B,$B1299,$A:$A,"&gt;="&amp;COUNTIFS($K$1:L$1,"&lt;&gt;"))),0)</f>
        <v>8.8050314465408827E-2</v>
      </c>
      <c r="M1299">
        <f>IFERROR($J1299/IF($A1299&lt;COUNTIFS($K$1:M$1,"&lt;&gt;"),0,SUMIFS($J:$J,$B:$B,$B1299,$A:$A,"&gt;="&amp;COUNTIFS($K$1:M$1,"&lt;&gt;"))),0)</f>
        <v>9.7222222222222238E-2</v>
      </c>
      <c r="N1299">
        <f>IFERROR($J1299/IF($A1299&lt;COUNTIFS($K$1:N$1,"&lt;&gt;"),0,SUMIFS($J:$J,$B:$B,$B1299,$A:$A,"&gt;="&amp;COUNTIFS($K$1:N$1,"&lt;&gt;"))),0)</f>
        <v>0.10894941634241248</v>
      </c>
      <c r="O1299">
        <f>IFERROR($J1299/IF($A1299&lt;COUNTIFS($K$1:O$1,"&lt;&gt;"),0,SUMIFS($J:$J,$B:$B,$B1299,$A:$A,"&gt;="&amp;COUNTIFS($K$1:O$1,"&lt;&gt;"))),0)</f>
        <v>0.12389380530973454</v>
      </c>
      <c r="P1299">
        <f>IFERROR($J1299/IF($A1299&lt;COUNTIFS($K$1:P$1,"&lt;&gt;"),0,SUMIFS($J:$J,$B:$B,$B1299,$A:$A,"&gt;="&amp;COUNTIFS($K$1:P$1,"&lt;&gt;"))),0)</f>
        <v>0.14285714285714288</v>
      </c>
      <c r="Q1299">
        <f>IFERROR($J1299/IF($A1299&lt;COUNTIFS($K$1:Q$1,"&lt;&gt;"),0,SUMIFS($J:$J,$B:$B,$B1299,$A:$A,"&gt;="&amp;COUNTIFS($K$1:Q$1,"&lt;&gt;"))),0)</f>
        <v>0.16969696969696971</v>
      </c>
      <c r="R1299">
        <f>IFERROR($J1299/IF($A1299&lt;COUNTIFS($K$1:R$1,"&lt;&gt;"),0,SUMIFS($J:$J,$B:$B,$B1299,$A:$A,"&gt;="&amp;COUNTIFS($K$1:R$1,"&lt;&gt;"))),0)</f>
        <v>0.20740740740740743</v>
      </c>
      <c r="S1299">
        <f>IFERROR($J1299/IF($A1299&lt;COUNTIFS($K$1:S$1,"&lt;&gt;"),0,SUMIFS($J:$J,$B:$B,$B1299,$A:$A,"&gt;="&amp;COUNTIFS($K$1:S$1,"&lt;&gt;"))),0)</f>
        <v>0.26923076923076927</v>
      </c>
      <c r="T1299">
        <f>IFERROR($J1299/IF($A1299&lt;COUNTIFS($K$1:T$1,"&lt;&gt;"),0,SUMIFS($J:$J,$B:$B,$B1299,$A:$A,"&gt;="&amp;COUNTIFS($K$1:T$1,"&lt;&gt;"))),0)</f>
        <v>0.38356164383561642</v>
      </c>
      <c r="U1299">
        <f>IFERROR($J1299/IF($A1299&lt;COUNTIFS($K$1:U$1,"&lt;&gt;"),0,SUMIFS($J:$J,$B:$B,$B1299,$A:$A,"&gt;="&amp;COUNTIFS($K$1:U$1,"&lt;&gt;"))),0)</f>
        <v>0</v>
      </c>
      <c r="V1299">
        <f>IFERROR($J1299/IF($A1299&lt;COUNTIFS($K$1:V$1,"&lt;&gt;"),0,SUMIFS($J:$J,$B:$B,$B1299,$A:$A,"&gt;="&amp;COUNTIFS($K$1:V$1,"&lt;&gt;"))),0)</f>
        <v>0</v>
      </c>
      <c r="W1299">
        <f t="shared" si="464"/>
        <v>7.6712328767123292E-2</v>
      </c>
      <c r="X1299">
        <f t="shared" si="444"/>
        <v>7.6712328767123292E-2</v>
      </c>
      <c r="Y1299">
        <f t="shared" si="445"/>
        <v>7.6712328767123292E-2</v>
      </c>
      <c r="Z1299">
        <f t="shared" si="446"/>
        <v>7.6712328767123292E-2</v>
      </c>
      <c r="AA1299">
        <f t="shared" si="447"/>
        <v>7.6712328767123292E-2</v>
      </c>
      <c r="AB1299">
        <f t="shared" si="448"/>
        <v>7.6712328767123292E-2</v>
      </c>
      <c r="AC1299">
        <f t="shared" si="449"/>
        <v>7.6712328767123292E-2</v>
      </c>
      <c r="AD1299">
        <f t="shared" si="450"/>
        <v>7.6712328767123292E-2</v>
      </c>
      <c r="AE1299">
        <f t="shared" si="451"/>
        <v>7.6712328767123292E-2</v>
      </c>
      <c r="AF1299">
        <f t="shared" si="452"/>
        <v>7.6712328767123292E-2</v>
      </c>
      <c r="AG1299">
        <f t="shared" si="453"/>
        <v>7.6712328767123292E-2</v>
      </c>
      <c r="AH1299">
        <f t="shared" si="454"/>
        <v>0</v>
      </c>
      <c r="AI1299">
        <f t="shared" si="455"/>
        <v>0</v>
      </c>
      <c r="AJ1299" s="2" t="str">
        <f t="shared" si="465"/>
        <v>1046844</v>
      </c>
    </row>
    <row r="1300" spans="1:36" x14ac:dyDescent="0.25">
      <c r="A1300">
        <v>11</v>
      </c>
      <c r="B1300" s="1">
        <v>46844</v>
      </c>
      <c r="C1300" s="1">
        <f t="shared" si="456"/>
        <v>47178</v>
      </c>
      <c r="D1300" s="1">
        <f t="shared" si="457"/>
        <v>46858</v>
      </c>
      <c r="E1300" s="1">
        <f t="shared" si="458"/>
        <v>47178</v>
      </c>
      <c r="F1300" s="1">
        <f t="shared" si="459"/>
        <v>47209</v>
      </c>
      <c r="G1300" s="1">
        <f t="shared" si="460"/>
        <v>47223</v>
      </c>
      <c r="H1300">
        <f t="shared" si="461"/>
        <v>365</v>
      </c>
      <c r="I1300">
        <f t="shared" si="462"/>
        <v>31</v>
      </c>
      <c r="J1300">
        <f t="shared" si="463"/>
        <v>8.4931506849315067E-2</v>
      </c>
      <c r="K1300">
        <f>IFERROR($J1300/IF($A1300&lt;COUNTIFS($K$1:K$1,"&lt;&gt;"),0,SUMIFS($J:$J,$B:$B,$B1300,$A:$A,"&gt;="&amp;COUNTIFS($K$1:K$1,"&lt;&gt;"))),0)</f>
        <v>8.8825214899713484E-2</v>
      </c>
      <c r="L1300">
        <f>IFERROR($J1300/IF($A1300&lt;COUNTIFS($K$1:L$1,"&lt;&gt;"),0,SUMIFS($J:$J,$B:$B,$B1300,$A:$A,"&gt;="&amp;COUNTIFS($K$1:L$1,"&lt;&gt;"))),0)</f>
        <v>9.7484276729559768E-2</v>
      </c>
      <c r="M1300">
        <f>IFERROR($J1300/IF($A1300&lt;COUNTIFS($K$1:M$1,"&lt;&gt;"),0,SUMIFS($J:$J,$B:$B,$B1300,$A:$A,"&gt;="&amp;COUNTIFS($K$1:M$1,"&lt;&gt;"))),0)</f>
        <v>0.10763888888888891</v>
      </c>
      <c r="N1300">
        <f>IFERROR($J1300/IF($A1300&lt;COUNTIFS($K$1:N$1,"&lt;&gt;"),0,SUMIFS($J:$J,$B:$B,$B1300,$A:$A,"&gt;="&amp;COUNTIFS($K$1:N$1,"&lt;&gt;"))),0)</f>
        <v>0.12062256809338523</v>
      </c>
      <c r="O1300">
        <f>IFERROR($J1300/IF($A1300&lt;COUNTIFS($K$1:O$1,"&lt;&gt;"),0,SUMIFS($J:$J,$B:$B,$B1300,$A:$A,"&gt;="&amp;COUNTIFS($K$1:O$1,"&lt;&gt;"))),0)</f>
        <v>0.13716814159292037</v>
      </c>
      <c r="P1300">
        <f>IFERROR($J1300/IF($A1300&lt;COUNTIFS($K$1:P$1,"&lt;&gt;"),0,SUMIFS($J:$J,$B:$B,$B1300,$A:$A,"&gt;="&amp;COUNTIFS($K$1:P$1,"&lt;&gt;"))),0)</f>
        <v>0.15816326530612249</v>
      </c>
      <c r="Q1300">
        <f>IFERROR($J1300/IF($A1300&lt;COUNTIFS($K$1:Q$1,"&lt;&gt;"),0,SUMIFS($J:$J,$B:$B,$B1300,$A:$A,"&gt;="&amp;COUNTIFS($K$1:Q$1,"&lt;&gt;"))),0)</f>
        <v>0.1878787878787879</v>
      </c>
      <c r="R1300">
        <f>IFERROR($J1300/IF($A1300&lt;COUNTIFS($K$1:R$1,"&lt;&gt;"),0,SUMIFS($J:$J,$B:$B,$B1300,$A:$A,"&gt;="&amp;COUNTIFS($K$1:R$1,"&lt;&gt;"))),0)</f>
        <v>0.22962962962962963</v>
      </c>
      <c r="S1300">
        <f>IFERROR($J1300/IF($A1300&lt;COUNTIFS($K$1:S$1,"&lt;&gt;"),0,SUMIFS($J:$J,$B:$B,$B1300,$A:$A,"&gt;="&amp;COUNTIFS($K$1:S$1,"&lt;&gt;"))),0)</f>
        <v>0.29807692307692307</v>
      </c>
      <c r="T1300">
        <f>IFERROR($J1300/IF($A1300&lt;COUNTIFS($K$1:T$1,"&lt;&gt;"),0,SUMIFS($J:$J,$B:$B,$B1300,$A:$A,"&gt;="&amp;COUNTIFS($K$1:T$1,"&lt;&gt;"))),0)</f>
        <v>0.42465753424657532</v>
      </c>
      <c r="U1300">
        <f>IFERROR($J1300/IF($A1300&lt;COUNTIFS($K$1:U$1,"&lt;&gt;"),0,SUMIFS($J:$J,$B:$B,$B1300,$A:$A,"&gt;="&amp;COUNTIFS($K$1:U$1,"&lt;&gt;"))),0)</f>
        <v>0.68888888888888888</v>
      </c>
      <c r="V1300">
        <f>IFERROR($J1300/IF($A1300&lt;COUNTIFS($K$1:V$1,"&lt;&gt;"),0,SUMIFS($J:$J,$B:$B,$B1300,$A:$A,"&gt;="&amp;COUNTIFS($K$1:V$1,"&lt;&gt;"))),0)</f>
        <v>0</v>
      </c>
      <c r="W1300">
        <f t="shared" si="464"/>
        <v>8.4931506849315067E-2</v>
      </c>
      <c r="X1300">
        <f t="shared" si="444"/>
        <v>8.4931506849315067E-2</v>
      </c>
      <c r="Y1300">
        <f t="shared" si="445"/>
        <v>8.4931506849315067E-2</v>
      </c>
      <c r="Z1300">
        <f t="shared" si="446"/>
        <v>8.4931506849315067E-2</v>
      </c>
      <c r="AA1300">
        <f t="shared" si="447"/>
        <v>8.4931506849315067E-2</v>
      </c>
      <c r="AB1300">
        <f t="shared" si="448"/>
        <v>8.4931506849315067E-2</v>
      </c>
      <c r="AC1300">
        <f t="shared" si="449"/>
        <v>8.4931506849315067E-2</v>
      </c>
      <c r="AD1300">
        <f t="shared" si="450"/>
        <v>8.4931506849315067E-2</v>
      </c>
      <c r="AE1300">
        <f t="shared" si="451"/>
        <v>8.4931506849315067E-2</v>
      </c>
      <c r="AF1300">
        <f t="shared" si="452"/>
        <v>8.4931506849315067E-2</v>
      </c>
      <c r="AG1300">
        <f t="shared" si="453"/>
        <v>8.4931506849315067E-2</v>
      </c>
      <c r="AH1300">
        <f t="shared" si="454"/>
        <v>8.4931506849315067E-2</v>
      </c>
      <c r="AI1300">
        <f t="shared" si="455"/>
        <v>0</v>
      </c>
      <c r="AJ1300" s="2" t="str">
        <f t="shared" si="465"/>
        <v>1146844</v>
      </c>
    </row>
    <row r="1301" spans="1:36" x14ac:dyDescent="0.25">
      <c r="A1301">
        <v>12</v>
      </c>
      <c r="B1301" s="1">
        <v>46844</v>
      </c>
      <c r="C1301" s="1">
        <f t="shared" si="456"/>
        <v>47209</v>
      </c>
      <c r="D1301" s="1">
        <f t="shared" si="457"/>
        <v>46858</v>
      </c>
      <c r="E1301" s="1">
        <f t="shared" si="458"/>
        <v>47209</v>
      </c>
      <c r="F1301" s="1">
        <f t="shared" si="459"/>
        <v>47223</v>
      </c>
      <c r="G1301" s="1">
        <f t="shared" si="460"/>
        <v>47223</v>
      </c>
      <c r="H1301">
        <f t="shared" si="461"/>
        <v>365</v>
      </c>
      <c r="I1301">
        <f t="shared" si="462"/>
        <v>14</v>
      </c>
      <c r="J1301">
        <f t="shared" si="463"/>
        <v>3.8356164383561646E-2</v>
      </c>
      <c r="K1301">
        <f>IFERROR($J1301/IF($A1301&lt;COUNTIFS($K$1:K$1,"&lt;&gt;"),0,SUMIFS($J:$J,$B:$B,$B1301,$A:$A,"&gt;="&amp;COUNTIFS($K$1:K$1,"&lt;&gt;"))),0)</f>
        <v>4.0114613180515769E-2</v>
      </c>
      <c r="L1301">
        <f>IFERROR($J1301/IF($A1301&lt;COUNTIFS($K$1:L$1,"&lt;&gt;"),0,SUMIFS($J:$J,$B:$B,$B1301,$A:$A,"&gt;="&amp;COUNTIFS($K$1:L$1,"&lt;&gt;"))),0)</f>
        <v>4.4025157232704414E-2</v>
      </c>
      <c r="M1301">
        <f>IFERROR($J1301/IF($A1301&lt;COUNTIFS($K$1:M$1,"&lt;&gt;"),0,SUMIFS($J:$J,$B:$B,$B1301,$A:$A,"&gt;="&amp;COUNTIFS($K$1:M$1,"&lt;&gt;"))),0)</f>
        <v>4.8611111111111119E-2</v>
      </c>
      <c r="N1301">
        <f>IFERROR($J1301/IF($A1301&lt;COUNTIFS($K$1:N$1,"&lt;&gt;"),0,SUMIFS($J:$J,$B:$B,$B1301,$A:$A,"&gt;="&amp;COUNTIFS($K$1:N$1,"&lt;&gt;"))),0)</f>
        <v>5.447470817120624E-2</v>
      </c>
      <c r="O1301">
        <f>IFERROR($J1301/IF($A1301&lt;COUNTIFS($K$1:O$1,"&lt;&gt;"),0,SUMIFS($J:$J,$B:$B,$B1301,$A:$A,"&gt;="&amp;COUNTIFS($K$1:O$1,"&lt;&gt;"))),0)</f>
        <v>6.194690265486727E-2</v>
      </c>
      <c r="P1301">
        <f>IFERROR($J1301/IF($A1301&lt;COUNTIFS($K$1:P$1,"&lt;&gt;"),0,SUMIFS($J:$J,$B:$B,$B1301,$A:$A,"&gt;="&amp;COUNTIFS($K$1:P$1,"&lt;&gt;"))),0)</f>
        <v>7.1428571428571438E-2</v>
      </c>
      <c r="Q1301">
        <f>IFERROR($J1301/IF($A1301&lt;COUNTIFS($K$1:Q$1,"&lt;&gt;"),0,SUMIFS($J:$J,$B:$B,$B1301,$A:$A,"&gt;="&amp;COUNTIFS($K$1:Q$1,"&lt;&gt;"))),0)</f>
        <v>8.4848484848484854E-2</v>
      </c>
      <c r="R1301">
        <f>IFERROR($J1301/IF($A1301&lt;COUNTIFS($K$1:R$1,"&lt;&gt;"),0,SUMIFS($J:$J,$B:$B,$B1301,$A:$A,"&gt;="&amp;COUNTIFS($K$1:R$1,"&lt;&gt;"))),0)</f>
        <v>0.10370370370370371</v>
      </c>
      <c r="S1301">
        <f>IFERROR($J1301/IF($A1301&lt;COUNTIFS($K$1:S$1,"&lt;&gt;"),0,SUMIFS($J:$J,$B:$B,$B1301,$A:$A,"&gt;="&amp;COUNTIFS($K$1:S$1,"&lt;&gt;"))),0)</f>
        <v>0.13461538461538464</v>
      </c>
      <c r="T1301">
        <f>IFERROR($J1301/IF($A1301&lt;COUNTIFS($K$1:T$1,"&lt;&gt;"),0,SUMIFS($J:$J,$B:$B,$B1301,$A:$A,"&gt;="&amp;COUNTIFS($K$1:T$1,"&lt;&gt;"))),0)</f>
        <v>0.19178082191780821</v>
      </c>
      <c r="U1301">
        <f>IFERROR($J1301/IF($A1301&lt;COUNTIFS($K$1:U$1,"&lt;&gt;"),0,SUMIFS($J:$J,$B:$B,$B1301,$A:$A,"&gt;="&amp;COUNTIFS($K$1:U$1,"&lt;&gt;"))),0)</f>
        <v>0.31111111111111117</v>
      </c>
      <c r="V1301">
        <f>IFERROR($J1301/IF($A1301&lt;COUNTIFS($K$1:V$1,"&lt;&gt;"),0,SUMIFS($J:$J,$B:$B,$B1301,$A:$A,"&gt;="&amp;COUNTIFS($K$1:V$1,"&lt;&gt;"))),0)</f>
        <v>1</v>
      </c>
      <c r="W1301">
        <f t="shared" si="464"/>
        <v>3.8356164383561646E-2</v>
      </c>
      <c r="X1301">
        <f t="shared" si="444"/>
        <v>3.8356164383561646E-2</v>
      </c>
      <c r="Y1301">
        <f t="shared" si="445"/>
        <v>3.8356164383561646E-2</v>
      </c>
      <c r="Z1301">
        <f t="shared" si="446"/>
        <v>3.8356164383561646E-2</v>
      </c>
      <c r="AA1301">
        <f t="shared" si="447"/>
        <v>3.8356164383561646E-2</v>
      </c>
      <c r="AB1301">
        <f t="shared" si="448"/>
        <v>3.8356164383561646E-2</v>
      </c>
      <c r="AC1301">
        <f t="shared" si="449"/>
        <v>3.8356164383561646E-2</v>
      </c>
      <c r="AD1301">
        <f t="shared" si="450"/>
        <v>3.8356164383561646E-2</v>
      </c>
      <c r="AE1301">
        <f t="shared" si="451"/>
        <v>3.8356164383561646E-2</v>
      </c>
      <c r="AF1301">
        <f t="shared" si="452"/>
        <v>3.8356164383561646E-2</v>
      </c>
      <c r="AG1301">
        <f t="shared" si="453"/>
        <v>3.8356164383561646E-2</v>
      </c>
      <c r="AH1301">
        <f t="shared" si="454"/>
        <v>3.8356164383561646E-2</v>
      </c>
      <c r="AI1301">
        <f t="shared" si="455"/>
        <v>3.8356164383561646E-2</v>
      </c>
      <c r="AJ1301" s="2" t="str">
        <f t="shared" si="465"/>
        <v>1246844</v>
      </c>
    </row>
    <row r="1302" spans="1:36" x14ac:dyDescent="0.25">
      <c r="A1302">
        <v>0</v>
      </c>
      <c r="B1302" s="1">
        <v>46874</v>
      </c>
      <c r="C1302" s="1">
        <f t="shared" si="456"/>
        <v>46874</v>
      </c>
      <c r="D1302" s="1">
        <f t="shared" si="457"/>
        <v>46888</v>
      </c>
      <c r="E1302" s="1">
        <f t="shared" si="458"/>
        <v>46888</v>
      </c>
      <c r="F1302" s="1">
        <f t="shared" si="459"/>
        <v>46905</v>
      </c>
      <c r="G1302" s="1">
        <f t="shared" si="460"/>
        <v>47253</v>
      </c>
      <c r="H1302">
        <f t="shared" si="461"/>
        <v>365</v>
      </c>
      <c r="I1302">
        <f t="shared" si="462"/>
        <v>17</v>
      </c>
      <c r="J1302">
        <f t="shared" si="463"/>
        <v>4.6575342465753428E-2</v>
      </c>
      <c r="K1302">
        <f>IFERROR($J1302/IF($A1302&lt;COUNTIFS($K$1:K$1,"&lt;&gt;"),0,SUMIFS($J:$J,$B:$B,$B1302,$A:$A,"&gt;="&amp;COUNTIFS($K$1:K$1,"&lt;&gt;"))),0)</f>
        <v>0</v>
      </c>
      <c r="L1302">
        <f>IFERROR($J1302/IF($A1302&lt;COUNTIFS($K$1:L$1,"&lt;&gt;"),0,SUMIFS($J:$J,$B:$B,$B1302,$A:$A,"&gt;="&amp;COUNTIFS($K$1:L$1,"&lt;&gt;"))),0)</f>
        <v>0</v>
      </c>
      <c r="M1302">
        <f>IFERROR($J1302/IF($A1302&lt;COUNTIFS($K$1:M$1,"&lt;&gt;"),0,SUMIFS($J:$J,$B:$B,$B1302,$A:$A,"&gt;="&amp;COUNTIFS($K$1:M$1,"&lt;&gt;"))),0)</f>
        <v>0</v>
      </c>
      <c r="N1302">
        <f>IFERROR($J1302/IF($A1302&lt;COUNTIFS($K$1:N$1,"&lt;&gt;"),0,SUMIFS($J:$J,$B:$B,$B1302,$A:$A,"&gt;="&amp;COUNTIFS($K$1:N$1,"&lt;&gt;"))),0)</f>
        <v>0</v>
      </c>
      <c r="O1302">
        <f>IFERROR($J1302/IF($A1302&lt;COUNTIFS($K$1:O$1,"&lt;&gt;"),0,SUMIFS($J:$J,$B:$B,$B1302,$A:$A,"&gt;="&amp;COUNTIFS($K$1:O$1,"&lt;&gt;"))),0)</f>
        <v>0</v>
      </c>
      <c r="P1302">
        <f>IFERROR($J1302/IF($A1302&lt;COUNTIFS($K$1:P$1,"&lt;&gt;"),0,SUMIFS($J:$J,$B:$B,$B1302,$A:$A,"&gt;="&amp;COUNTIFS($K$1:P$1,"&lt;&gt;"))),0)</f>
        <v>0</v>
      </c>
      <c r="Q1302">
        <f>IFERROR($J1302/IF($A1302&lt;COUNTIFS($K$1:Q$1,"&lt;&gt;"),0,SUMIFS($J:$J,$B:$B,$B1302,$A:$A,"&gt;="&amp;COUNTIFS($K$1:Q$1,"&lt;&gt;"))),0)</f>
        <v>0</v>
      </c>
      <c r="R1302">
        <f>IFERROR($J1302/IF($A1302&lt;COUNTIFS($K$1:R$1,"&lt;&gt;"),0,SUMIFS($J:$J,$B:$B,$B1302,$A:$A,"&gt;="&amp;COUNTIFS($K$1:R$1,"&lt;&gt;"))),0)</f>
        <v>0</v>
      </c>
      <c r="S1302">
        <f>IFERROR($J1302/IF($A1302&lt;COUNTIFS($K$1:S$1,"&lt;&gt;"),0,SUMIFS($J:$J,$B:$B,$B1302,$A:$A,"&gt;="&amp;COUNTIFS($K$1:S$1,"&lt;&gt;"))),0)</f>
        <v>0</v>
      </c>
      <c r="T1302">
        <f>IFERROR($J1302/IF($A1302&lt;COUNTIFS($K$1:T$1,"&lt;&gt;"),0,SUMIFS($J:$J,$B:$B,$B1302,$A:$A,"&gt;="&amp;COUNTIFS($K$1:T$1,"&lt;&gt;"))),0)</f>
        <v>0</v>
      </c>
      <c r="U1302">
        <f>IFERROR($J1302/IF($A1302&lt;COUNTIFS($K$1:U$1,"&lt;&gt;"),0,SUMIFS($J:$J,$B:$B,$B1302,$A:$A,"&gt;="&amp;COUNTIFS($K$1:U$1,"&lt;&gt;"))),0)</f>
        <v>0</v>
      </c>
      <c r="V1302">
        <f>IFERROR($J1302/IF($A1302&lt;COUNTIFS($K$1:V$1,"&lt;&gt;"),0,SUMIFS($J:$J,$B:$B,$B1302,$A:$A,"&gt;="&amp;COUNTIFS($K$1:V$1,"&lt;&gt;"))),0)</f>
        <v>0</v>
      </c>
      <c r="W1302">
        <f t="shared" si="464"/>
        <v>4.6575342465753428E-2</v>
      </c>
      <c r="X1302">
        <f t="shared" si="444"/>
        <v>0</v>
      </c>
      <c r="Y1302">
        <f t="shared" si="445"/>
        <v>0</v>
      </c>
      <c r="Z1302">
        <f t="shared" si="446"/>
        <v>0</v>
      </c>
      <c r="AA1302">
        <f t="shared" si="447"/>
        <v>0</v>
      </c>
      <c r="AB1302">
        <f t="shared" si="448"/>
        <v>0</v>
      </c>
      <c r="AC1302">
        <f t="shared" si="449"/>
        <v>0</v>
      </c>
      <c r="AD1302">
        <f t="shared" si="450"/>
        <v>0</v>
      </c>
      <c r="AE1302">
        <f t="shared" si="451"/>
        <v>0</v>
      </c>
      <c r="AF1302">
        <f t="shared" si="452"/>
        <v>0</v>
      </c>
      <c r="AG1302">
        <f t="shared" si="453"/>
        <v>0</v>
      </c>
      <c r="AH1302">
        <f t="shared" si="454"/>
        <v>0</v>
      </c>
      <c r="AI1302">
        <f t="shared" si="455"/>
        <v>0</v>
      </c>
      <c r="AJ1302" s="2" t="str">
        <f t="shared" si="465"/>
        <v>046874</v>
      </c>
    </row>
    <row r="1303" spans="1:36" x14ac:dyDescent="0.25">
      <c r="A1303">
        <v>1</v>
      </c>
      <c r="B1303" s="1">
        <v>46874</v>
      </c>
      <c r="C1303" s="1">
        <f t="shared" si="456"/>
        <v>46905</v>
      </c>
      <c r="D1303" s="1">
        <f t="shared" si="457"/>
        <v>46888</v>
      </c>
      <c r="E1303" s="1">
        <f t="shared" si="458"/>
        <v>46905</v>
      </c>
      <c r="F1303" s="1">
        <f t="shared" si="459"/>
        <v>46935</v>
      </c>
      <c r="G1303" s="1">
        <f t="shared" si="460"/>
        <v>47253</v>
      </c>
      <c r="H1303">
        <f t="shared" si="461"/>
        <v>365</v>
      </c>
      <c r="I1303">
        <f t="shared" si="462"/>
        <v>30</v>
      </c>
      <c r="J1303">
        <f t="shared" si="463"/>
        <v>8.2191780821917804E-2</v>
      </c>
      <c r="K1303">
        <f>IFERROR($J1303/IF($A1303&lt;COUNTIFS($K$1:K$1,"&lt;&gt;"),0,SUMIFS($J:$J,$B:$B,$B1303,$A:$A,"&gt;="&amp;COUNTIFS($K$1:K$1,"&lt;&gt;"))),0)</f>
        <v>8.6206896551724144E-2</v>
      </c>
      <c r="L1303">
        <f>IFERROR($J1303/IF($A1303&lt;COUNTIFS($K$1:L$1,"&lt;&gt;"),0,SUMIFS($J:$J,$B:$B,$B1303,$A:$A,"&gt;="&amp;COUNTIFS($K$1:L$1,"&lt;&gt;"))),0)</f>
        <v>0</v>
      </c>
      <c r="M1303">
        <f>IFERROR($J1303/IF($A1303&lt;COUNTIFS($K$1:M$1,"&lt;&gt;"),0,SUMIFS($J:$J,$B:$B,$B1303,$A:$A,"&gt;="&amp;COUNTIFS($K$1:M$1,"&lt;&gt;"))),0)</f>
        <v>0</v>
      </c>
      <c r="N1303">
        <f>IFERROR($J1303/IF($A1303&lt;COUNTIFS($K$1:N$1,"&lt;&gt;"),0,SUMIFS($J:$J,$B:$B,$B1303,$A:$A,"&gt;="&amp;COUNTIFS($K$1:N$1,"&lt;&gt;"))),0)</f>
        <v>0</v>
      </c>
      <c r="O1303">
        <f>IFERROR($J1303/IF($A1303&lt;COUNTIFS($K$1:O$1,"&lt;&gt;"),0,SUMIFS($J:$J,$B:$B,$B1303,$A:$A,"&gt;="&amp;COUNTIFS($K$1:O$1,"&lt;&gt;"))),0)</f>
        <v>0</v>
      </c>
      <c r="P1303">
        <f>IFERROR($J1303/IF($A1303&lt;COUNTIFS($K$1:P$1,"&lt;&gt;"),0,SUMIFS($J:$J,$B:$B,$B1303,$A:$A,"&gt;="&amp;COUNTIFS($K$1:P$1,"&lt;&gt;"))),0)</f>
        <v>0</v>
      </c>
      <c r="Q1303">
        <f>IFERROR($J1303/IF($A1303&lt;COUNTIFS($K$1:Q$1,"&lt;&gt;"),0,SUMIFS($J:$J,$B:$B,$B1303,$A:$A,"&gt;="&amp;COUNTIFS($K$1:Q$1,"&lt;&gt;"))),0)</f>
        <v>0</v>
      </c>
      <c r="R1303">
        <f>IFERROR($J1303/IF($A1303&lt;COUNTIFS($K$1:R$1,"&lt;&gt;"),0,SUMIFS($J:$J,$B:$B,$B1303,$A:$A,"&gt;="&amp;COUNTIFS($K$1:R$1,"&lt;&gt;"))),0)</f>
        <v>0</v>
      </c>
      <c r="S1303">
        <f>IFERROR($J1303/IF($A1303&lt;COUNTIFS($K$1:S$1,"&lt;&gt;"),0,SUMIFS($J:$J,$B:$B,$B1303,$A:$A,"&gt;="&amp;COUNTIFS($K$1:S$1,"&lt;&gt;"))),0)</f>
        <v>0</v>
      </c>
      <c r="T1303">
        <f>IFERROR($J1303/IF($A1303&lt;COUNTIFS($K$1:T$1,"&lt;&gt;"),0,SUMIFS($J:$J,$B:$B,$B1303,$A:$A,"&gt;="&amp;COUNTIFS($K$1:T$1,"&lt;&gt;"))),0)</f>
        <v>0</v>
      </c>
      <c r="U1303">
        <f>IFERROR($J1303/IF($A1303&lt;COUNTIFS($K$1:U$1,"&lt;&gt;"),0,SUMIFS($J:$J,$B:$B,$B1303,$A:$A,"&gt;="&amp;COUNTIFS($K$1:U$1,"&lt;&gt;"))),0)</f>
        <v>0</v>
      </c>
      <c r="V1303">
        <f>IFERROR($J1303/IF($A1303&lt;COUNTIFS($K$1:V$1,"&lt;&gt;"),0,SUMIFS($J:$J,$B:$B,$B1303,$A:$A,"&gt;="&amp;COUNTIFS($K$1:V$1,"&lt;&gt;"))),0)</f>
        <v>0</v>
      </c>
      <c r="W1303">
        <f t="shared" si="464"/>
        <v>8.2191780821917804E-2</v>
      </c>
      <c r="X1303">
        <f t="shared" si="444"/>
        <v>8.2191780821917804E-2</v>
      </c>
      <c r="Y1303">
        <f t="shared" si="445"/>
        <v>0</v>
      </c>
      <c r="Z1303">
        <f t="shared" si="446"/>
        <v>0</v>
      </c>
      <c r="AA1303">
        <f t="shared" si="447"/>
        <v>0</v>
      </c>
      <c r="AB1303">
        <f t="shared" si="448"/>
        <v>0</v>
      </c>
      <c r="AC1303">
        <f t="shared" si="449"/>
        <v>0</v>
      </c>
      <c r="AD1303">
        <f t="shared" si="450"/>
        <v>0</v>
      </c>
      <c r="AE1303">
        <f t="shared" si="451"/>
        <v>0</v>
      </c>
      <c r="AF1303">
        <f t="shared" si="452"/>
        <v>0</v>
      </c>
      <c r="AG1303">
        <f t="shared" si="453"/>
        <v>0</v>
      </c>
      <c r="AH1303">
        <f t="shared" si="454"/>
        <v>0</v>
      </c>
      <c r="AI1303">
        <f t="shared" si="455"/>
        <v>0</v>
      </c>
      <c r="AJ1303" s="2" t="str">
        <f t="shared" si="465"/>
        <v>146874</v>
      </c>
    </row>
    <row r="1304" spans="1:36" x14ac:dyDescent="0.25">
      <c r="A1304">
        <v>2</v>
      </c>
      <c r="B1304" s="1">
        <v>46874</v>
      </c>
      <c r="C1304" s="1">
        <f t="shared" si="456"/>
        <v>46935</v>
      </c>
      <c r="D1304" s="1">
        <f t="shared" si="457"/>
        <v>46888</v>
      </c>
      <c r="E1304" s="1">
        <f t="shared" si="458"/>
        <v>46935</v>
      </c>
      <c r="F1304" s="1">
        <f t="shared" si="459"/>
        <v>46966</v>
      </c>
      <c r="G1304" s="1">
        <f t="shared" si="460"/>
        <v>47253</v>
      </c>
      <c r="H1304">
        <f t="shared" si="461"/>
        <v>365</v>
      </c>
      <c r="I1304">
        <f t="shared" si="462"/>
        <v>31</v>
      </c>
      <c r="J1304">
        <f t="shared" si="463"/>
        <v>8.4931506849315067E-2</v>
      </c>
      <c r="K1304">
        <f>IFERROR($J1304/IF($A1304&lt;COUNTIFS($K$1:K$1,"&lt;&gt;"),0,SUMIFS($J:$J,$B:$B,$B1304,$A:$A,"&gt;="&amp;COUNTIFS($K$1:K$1,"&lt;&gt;"))),0)</f>
        <v>8.9080459770114959E-2</v>
      </c>
      <c r="L1304">
        <f>IFERROR($J1304/IF($A1304&lt;COUNTIFS($K$1:L$1,"&lt;&gt;"),0,SUMIFS($J:$J,$B:$B,$B1304,$A:$A,"&gt;="&amp;COUNTIFS($K$1:L$1,"&lt;&gt;"))),0)</f>
        <v>9.7484276729559768E-2</v>
      </c>
      <c r="M1304">
        <f>IFERROR($J1304/IF($A1304&lt;COUNTIFS($K$1:M$1,"&lt;&gt;"),0,SUMIFS($J:$J,$B:$B,$B1304,$A:$A,"&gt;="&amp;COUNTIFS($K$1:M$1,"&lt;&gt;"))),0)</f>
        <v>0</v>
      </c>
      <c r="N1304">
        <f>IFERROR($J1304/IF($A1304&lt;COUNTIFS($K$1:N$1,"&lt;&gt;"),0,SUMIFS($J:$J,$B:$B,$B1304,$A:$A,"&gt;="&amp;COUNTIFS($K$1:N$1,"&lt;&gt;"))),0)</f>
        <v>0</v>
      </c>
      <c r="O1304">
        <f>IFERROR($J1304/IF($A1304&lt;COUNTIFS($K$1:O$1,"&lt;&gt;"),0,SUMIFS($J:$J,$B:$B,$B1304,$A:$A,"&gt;="&amp;COUNTIFS($K$1:O$1,"&lt;&gt;"))),0)</f>
        <v>0</v>
      </c>
      <c r="P1304">
        <f>IFERROR($J1304/IF($A1304&lt;COUNTIFS($K$1:P$1,"&lt;&gt;"),0,SUMIFS($J:$J,$B:$B,$B1304,$A:$A,"&gt;="&amp;COUNTIFS($K$1:P$1,"&lt;&gt;"))),0)</f>
        <v>0</v>
      </c>
      <c r="Q1304">
        <f>IFERROR($J1304/IF($A1304&lt;COUNTIFS($K$1:Q$1,"&lt;&gt;"),0,SUMIFS($J:$J,$B:$B,$B1304,$A:$A,"&gt;="&amp;COUNTIFS($K$1:Q$1,"&lt;&gt;"))),0)</f>
        <v>0</v>
      </c>
      <c r="R1304">
        <f>IFERROR($J1304/IF($A1304&lt;COUNTIFS($K$1:R$1,"&lt;&gt;"),0,SUMIFS($J:$J,$B:$B,$B1304,$A:$A,"&gt;="&amp;COUNTIFS($K$1:R$1,"&lt;&gt;"))),0)</f>
        <v>0</v>
      </c>
      <c r="S1304">
        <f>IFERROR($J1304/IF($A1304&lt;COUNTIFS($K$1:S$1,"&lt;&gt;"),0,SUMIFS($J:$J,$B:$B,$B1304,$A:$A,"&gt;="&amp;COUNTIFS($K$1:S$1,"&lt;&gt;"))),0)</f>
        <v>0</v>
      </c>
      <c r="T1304">
        <f>IFERROR($J1304/IF($A1304&lt;COUNTIFS($K$1:T$1,"&lt;&gt;"),0,SUMIFS($J:$J,$B:$B,$B1304,$A:$A,"&gt;="&amp;COUNTIFS($K$1:T$1,"&lt;&gt;"))),0)</f>
        <v>0</v>
      </c>
      <c r="U1304">
        <f>IFERROR($J1304/IF($A1304&lt;COUNTIFS($K$1:U$1,"&lt;&gt;"),0,SUMIFS($J:$J,$B:$B,$B1304,$A:$A,"&gt;="&amp;COUNTIFS($K$1:U$1,"&lt;&gt;"))),0)</f>
        <v>0</v>
      </c>
      <c r="V1304">
        <f>IFERROR($J1304/IF($A1304&lt;COUNTIFS($K$1:V$1,"&lt;&gt;"),0,SUMIFS($J:$J,$B:$B,$B1304,$A:$A,"&gt;="&amp;COUNTIFS($K$1:V$1,"&lt;&gt;"))),0)</f>
        <v>0</v>
      </c>
      <c r="W1304">
        <f t="shared" si="464"/>
        <v>8.4931506849315067E-2</v>
      </c>
      <c r="X1304">
        <f t="shared" si="444"/>
        <v>8.4931506849315067E-2</v>
      </c>
      <c r="Y1304">
        <f t="shared" si="445"/>
        <v>8.4931506849315067E-2</v>
      </c>
      <c r="Z1304">
        <f t="shared" si="446"/>
        <v>0</v>
      </c>
      <c r="AA1304">
        <f t="shared" si="447"/>
        <v>0</v>
      </c>
      <c r="AB1304">
        <f t="shared" si="448"/>
        <v>0</v>
      </c>
      <c r="AC1304">
        <f t="shared" si="449"/>
        <v>0</v>
      </c>
      <c r="AD1304">
        <f t="shared" si="450"/>
        <v>0</v>
      </c>
      <c r="AE1304">
        <f t="shared" si="451"/>
        <v>0</v>
      </c>
      <c r="AF1304">
        <f t="shared" si="452"/>
        <v>0</v>
      </c>
      <c r="AG1304">
        <f t="shared" si="453"/>
        <v>0</v>
      </c>
      <c r="AH1304">
        <f t="shared" si="454"/>
        <v>0</v>
      </c>
      <c r="AI1304">
        <f t="shared" si="455"/>
        <v>0</v>
      </c>
      <c r="AJ1304" s="2" t="str">
        <f t="shared" si="465"/>
        <v>246874</v>
      </c>
    </row>
    <row r="1305" spans="1:36" x14ac:dyDescent="0.25">
      <c r="A1305">
        <v>3</v>
      </c>
      <c r="B1305" s="1">
        <v>46874</v>
      </c>
      <c r="C1305" s="1">
        <f t="shared" si="456"/>
        <v>46966</v>
      </c>
      <c r="D1305" s="1">
        <f t="shared" si="457"/>
        <v>46888</v>
      </c>
      <c r="E1305" s="1">
        <f t="shared" si="458"/>
        <v>46966</v>
      </c>
      <c r="F1305" s="1">
        <f t="shared" si="459"/>
        <v>46997</v>
      </c>
      <c r="G1305" s="1">
        <f t="shared" si="460"/>
        <v>47253</v>
      </c>
      <c r="H1305">
        <f t="shared" si="461"/>
        <v>365</v>
      </c>
      <c r="I1305">
        <f t="shared" si="462"/>
        <v>31</v>
      </c>
      <c r="J1305">
        <f t="shared" si="463"/>
        <v>8.4931506849315067E-2</v>
      </c>
      <c r="K1305">
        <f>IFERROR($J1305/IF($A1305&lt;COUNTIFS($K$1:K$1,"&lt;&gt;"),0,SUMIFS($J:$J,$B:$B,$B1305,$A:$A,"&gt;="&amp;COUNTIFS($K$1:K$1,"&lt;&gt;"))),0)</f>
        <v>8.9080459770114959E-2</v>
      </c>
      <c r="L1305">
        <f>IFERROR($J1305/IF($A1305&lt;COUNTIFS($K$1:L$1,"&lt;&gt;"),0,SUMIFS($J:$J,$B:$B,$B1305,$A:$A,"&gt;="&amp;COUNTIFS($K$1:L$1,"&lt;&gt;"))),0)</f>
        <v>9.7484276729559768E-2</v>
      </c>
      <c r="M1305">
        <f>IFERROR($J1305/IF($A1305&lt;COUNTIFS($K$1:M$1,"&lt;&gt;"),0,SUMIFS($J:$J,$B:$B,$B1305,$A:$A,"&gt;="&amp;COUNTIFS($K$1:M$1,"&lt;&gt;"))),0)</f>
        <v>0.10801393728222998</v>
      </c>
      <c r="N1305">
        <f>IFERROR($J1305/IF($A1305&lt;COUNTIFS($K$1:N$1,"&lt;&gt;"),0,SUMIFS($J:$J,$B:$B,$B1305,$A:$A,"&gt;="&amp;COUNTIFS($K$1:N$1,"&lt;&gt;"))),0)</f>
        <v>0</v>
      </c>
      <c r="O1305">
        <f>IFERROR($J1305/IF($A1305&lt;COUNTIFS($K$1:O$1,"&lt;&gt;"),0,SUMIFS($J:$J,$B:$B,$B1305,$A:$A,"&gt;="&amp;COUNTIFS($K$1:O$1,"&lt;&gt;"))),0)</f>
        <v>0</v>
      </c>
      <c r="P1305">
        <f>IFERROR($J1305/IF($A1305&lt;COUNTIFS($K$1:P$1,"&lt;&gt;"),0,SUMIFS($J:$J,$B:$B,$B1305,$A:$A,"&gt;="&amp;COUNTIFS($K$1:P$1,"&lt;&gt;"))),0)</f>
        <v>0</v>
      </c>
      <c r="Q1305">
        <f>IFERROR($J1305/IF($A1305&lt;COUNTIFS($K$1:Q$1,"&lt;&gt;"),0,SUMIFS($J:$J,$B:$B,$B1305,$A:$A,"&gt;="&amp;COUNTIFS($K$1:Q$1,"&lt;&gt;"))),0)</f>
        <v>0</v>
      </c>
      <c r="R1305">
        <f>IFERROR($J1305/IF($A1305&lt;COUNTIFS($K$1:R$1,"&lt;&gt;"),0,SUMIFS($J:$J,$B:$B,$B1305,$A:$A,"&gt;="&amp;COUNTIFS($K$1:R$1,"&lt;&gt;"))),0)</f>
        <v>0</v>
      </c>
      <c r="S1305">
        <f>IFERROR($J1305/IF($A1305&lt;COUNTIFS($K$1:S$1,"&lt;&gt;"),0,SUMIFS($J:$J,$B:$B,$B1305,$A:$A,"&gt;="&amp;COUNTIFS($K$1:S$1,"&lt;&gt;"))),0)</f>
        <v>0</v>
      </c>
      <c r="T1305">
        <f>IFERROR($J1305/IF($A1305&lt;COUNTIFS($K$1:T$1,"&lt;&gt;"),0,SUMIFS($J:$J,$B:$B,$B1305,$A:$A,"&gt;="&amp;COUNTIFS($K$1:T$1,"&lt;&gt;"))),0)</f>
        <v>0</v>
      </c>
      <c r="U1305">
        <f>IFERROR($J1305/IF($A1305&lt;COUNTIFS($K$1:U$1,"&lt;&gt;"),0,SUMIFS($J:$J,$B:$B,$B1305,$A:$A,"&gt;="&amp;COUNTIFS($K$1:U$1,"&lt;&gt;"))),0)</f>
        <v>0</v>
      </c>
      <c r="V1305">
        <f>IFERROR($J1305/IF($A1305&lt;COUNTIFS($K$1:V$1,"&lt;&gt;"),0,SUMIFS($J:$J,$B:$B,$B1305,$A:$A,"&gt;="&amp;COUNTIFS($K$1:V$1,"&lt;&gt;"))),0)</f>
        <v>0</v>
      </c>
      <c r="W1305">
        <f t="shared" si="464"/>
        <v>8.4931506849315067E-2</v>
      </c>
      <c r="X1305">
        <f t="shared" si="444"/>
        <v>8.4931506849315067E-2</v>
      </c>
      <c r="Y1305">
        <f t="shared" si="445"/>
        <v>8.4931506849315067E-2</v>
      </c>
      <c r="Z1305">
        <f t="shared" si="446"/>
        <v>8.4931506849315067E-2</v>
      </c>
      <c r="AA1305">
        <f t="shared" si="447"/>
        <v>0</v>
      </c>
      <c r="AB1305">
        <f t="shared" si="448"/>
        <v>0</v>
      </c>
      <c r="AC1305">
        <f t="shared" si="449"/>
        <v>0</v>
      </c>
      <c r="AD1305">
        <f t="shared" si="450"/>
        <v>0</v>
      </c>
      <c r="AE1305">
        <f t="shared" si="451"/>
        <v>0</v>
      </c>
      <c r="AF1305">
        <f t="shared" si="452"/>
        <v>0</v>
      </c>
      <c r="AG1305">
        <f t="shared" si="453"/>
        <v>0</v>
      </c>
      <c r="AH1305">
        <f t="shared" si="454"/>
        <v>0</v>
      </c>
      <c r="AI1305">
        <f t="shared" si="455"/>
        <v>0</v>
      </c>
      <c r="AJ1305" s="2" t="str">
        <f t="shared" si="465"/>
        <v>346874</v>
      </c>
    </row>
    <row r="1306" spans="1:36" x14ac:dyDescent="0.25">
      <c r="A1306">
        <v>4</v>
      </c>
      <c r="B1306" s="1">
        <v>46874</v>
      </c>
      <c r="C1306" s="1">
        <f t="shared" si="456"/>
        <v>46997</v>
      </c>
      <c r="D1306" s="1">
        <f t="shared" si="457"/>
        <v>46888</v>
      </c>
      <c r="E1306" s="1">
        <f t="shared" si="458"/>
        <v>46997</v>
      </c>
      <c r="F1306" s="1">
        <f t="shared" si="459"/>
        <v>47027</v>
      </c>
      <c r="G1306" s="1">
        <f t="shared" si="460"/>
        <v>47253</v>
      </c>
      <c r="H1306">
        <f t="shared" si="461"/>
        <v>365</v>
      </c>
      <c r="I1306">
        <f t="shared" si="462"/>
        <v>30</v>
      </c>
      <c r="J1306">
        <f t="shared" si="463"/>
        <v>8.2191780821917804E-2</v>
      </c>
      <c r="K1306">
        <f>IFERROR($J1306/IF($A1306&lt;COUNTIFS($K$1:K$1,"&lt;&gt;"),0,SUMIFS($J:$J,$B:$B,$B1306,$A:$A,"&gt;="&amp;COUNTIFS($K$1:K$1,"&lt;&gt;"))),0)</f>
        <v>8.6206896551724144E-2</v>
      </c>
      <c r="L1306">
        <f>IFERROR($J1306/IF($A1306&lt;COUNTIFS($K$1:L$1,"&lt;&gt;"),0,SUMIFS($J:$J,$B:$B,$B1306,$A:$A,"&gt;="&amp;COUNTIFS($K$1:L$1,"&lt;&gt;"))),0)</f>
        <v>9.4339622641509441E-2</v>
      </c>
      <c r="M1306">
        <f>IFERROR($J1306/IF($A1306&lt;COUNTIFS($K$1:M$1,"&lt;&gt;"),0,SUMIFS($J:$J,$B:$B,$B1306,$A:$A,"&gt;="&amp;COUNTIFS($K$1:M$1,"&lt;&gt;"))),0)</f>
        <v>0.10452961672473869</v>
      </c>
      <c r="N1306">
        <f>IFERROR($J1306/IF($A1306&lt;COUNTIFS($K$1:N$1,"&lt;&gt;"),0,SUMIFS($J:$J,$B:$B,$B1306,$A:$A,"&gt;="&amp;COUNTIFS($K$1:N$1,"&lt;&gt;"))),0)</f>
        <v>0.11718750000000001</v>
      </c>
      <c r="O1306">
        <f>IFERROR($J1306/IF($A1306&lt;COUNTIFS($K$1:O$1,"&lt;&gt;"),0,SUMIFS($J:$J,$B:$B,$B1306,$A:$A,"&gt;="&amp;COUNTIFS($K$1:O$1,"&lt;&gt;"))),0)</f>
        <v>0</v>
      </c>
      <c r="P1306">
        <f>IFERROR($J1306/IF($A1306&lt;COUNTIFS($K$1:P$1,"&lt;&gt;"),0,SUMIFS($J:$J,$B:$B,$B1306,$A:$A,"&gt;="&amp;COUNTIFS($K$1:P$1,"&lt;&gt;"))),0)</f>
        <v>0</v>
      </c>
      <c r="Q1306">
        <f>IFERROR($J1306/IF($A1306&lt;COUNTIFS($K$1:Q$1,"&lt;&gt;"),0,SUMIFS($J:$J,$B:$B,$B1306,$A:$A,"&gt;="&amp;COUNTIFS($K$1:Q$1,"&lt;&gt;"))),0)</f>
        <v>0</v>
      </c>
      <c r="R1306">
        <f>IFERROR($J1306/IF($A1306&lt;COUNTIFS($K$1:R$1,"&lt;&gt;"),0,SUMIFS($J:$J,$B:$B,$B1306,$A:$A,"&gt;="&amp;COUNTIFS($K$1:R$1,"&lt;&gt;"))),0)</f>
        <v>0</v>
      </c>
      <c r="S1306">
        <f>IFERROR($J1306/IF($A1306&lt;COUNTIFS($K$1:S$1,"&lt;&gt;"),0,SUMIFS($J:$J,$B:$B,$B1306,$A:$A,"&gt;="&amp;COUNTIFS($K$1:S$1,"&lt;&gt;"))),0)</f>
        <v>0</v>
      </c>
      <c r="T1306">
        <f>IFERROR($J1306/IF($A1306&lt;COUNTIFS($K$1:T$1,"&lt;&gt;"),0,SUMIFS($J:$J,$B:$B,$B1306,$A:$A,"&gt;="&amp;COUNTIFS($K$1:T$1,"&lt;&gt;"))),0)</f>
        <v>0</v>
      </c>
      <c r="U1306">
        <f>IFERROR($J1306/IF($A1306&lt;COUNTIFS($K$1:U$1,"&lt;&gt;"),0,SUMIFS($J:$J,$B:$B,$B1306,$A:$A,"&gt;="&amp;COUNTIFS($K$1:U$1,"&lt;&gt;"))),0)</f>
        <v>0</v>
      </c>
      <c r="V1306">
        <f>IFERROR($J1306/IF($A1306&lt;COUNTIFS($K$1:V$1,"&lt;&gt;"),0,SUMIFS($J:$J,$B:$B,$B1306,$A:$A,"&gt;="&amp;COUNTIFS($K$1:V$1,"&lt;&gt;"))),0)</f>
        <v>0</v>
      </c>
      <c r="W1306">
        <f t="shared" si="464"/>
        <v>8.2191780821917804E-2</v>
      </c>
      <c r="X1306">
        <f t="shared" si="444"/>
        <v>8.2191780821917804E-2</v>
      </c>
      <c r="Y1306">
        <f t="shared" si="445"/>
        <v>8.2191780821917804E-2</v>
      </c>
      <c r="Z1306">
        <f t="shared" si="446"/>
        <v>8.2191780821917804E-2</v>
      </c>
      <c r="AA1306">
        <f t="shared" si="447"/>
        <v>8.2191780821917804E-2</v>
      </c>
      <c r="AB1306">
        <f t="shared" si="448"/>
        <v>0</v>
      </c>
      <c r="AC1306">
        <f t="shared" si="449"/>
        <v>0</v>
      </c>
      <c r="AD1306">
        <f t="shared" si="450"/>
        <v>0</v>
      </c>
      <c r="AE1306">
        <f t="shared" si="451"/>
        <v>0</v>
      </c>
      <c r="AF1306">
        <f t="shared" si="452"/>
        <v>0</v>
      </c>
      <c r="AG1306">
        <f t="shared" si="453"/>
        <v>0</v>
      </c>
      <c r="AH1306">
        <f t="shared" si="454"/>
        <v>0</v>
      </c>
      <c r="AI1306">
        <f t="shared" si="455"/>
        <v>0</v>
      </c>
      <c r="AJ1306" s="2" t="str">
        <f t="shared" si="465"/>
        <v>446874</v>
      </c>
    </row>
    <row r="1307" spans="1:36" x14ac:dyDescent="0.25">
      <c r="A1307">
        <v>5</v>
      </c>
      <c r="B1307" s="1">
        <v>46874</v>
      </c>
      <c r="C1307" s="1">
        <f t="shared" si="456"/>
        <v>47027</v>
      </c>
      <c r="D1307" s="1">
        <f t="shared" si="457"/>
        <v>46888</v>
      </c>
      <c r="E1307" s="1">
        <f t="shared" si="458"/>
        <v>47027</v>
      </c>
      <c r="F1307" s="1">
        <f t="shared" si="459"/>
        <v>47058</v>
      </c>
      <c r="G1307" s="1">
        <f t="shared" si="460"/>
        <v>47253</v>
      </c>
      <c r="H1307">
        <f t="shared" si="461"/>
        <v>365</v>
      </c>
      <c r="I1307">
        <f t="shared" si="462"/>
        <v>31</v>
      </c>
      <c r="J1307">
        <f t="shared" si="463"/>
        <v>8.4931506849315067E-2</v>
      </c>
      <c r="K1307">
        <f>IFERROR($J1307/IF($A1307&lt;COUNTIFS($K$1:K$1,"&lt;&gt;"),0,SUMIFS($J:$J,$B:$B,$B1307,$A:$A,"&gt;="&amp;COUNTIFS($K$1:K$1,"&lt;&gt;"))),0)</f>
        <v>8.9080459770114959E-2</v>
      </c>
      <c r="L1307">
        <f>IFERROR($J1307/IF($A1307&lt;COUNTIFS($K$1:L$1,"&lt;&gt;"),0,SUMIFS($J:$J,$B:$B,$B1307,$A:$A,"&gt;="&amp;COUNTIFS($K$1:L$1,"&lt;&gt;"))),0)</f>
        <v>9.7484276729559768E-2</v>
      </c>
      <c r="M1307">
        <f>IFERROR($J1307/IF($A1307&lt;COUNTIFS($K$1:M$1,"&lt;&gt;"),0,SUMIFS($J:$J,$B:$B,$B1307,$A:$A,"&gt;="&amp;COUNTIFS($K$1:M$1,"&lt;&gt;"))),0)</f>
        <v>0.10801393728222998</v>
      </c>
      <c r="N1307">
        <f>IFERROR($J1307/IF($A1307&lt;COUNTIFS($K$1:N$1,"&lt;&gt;"),0,SUMIFS($J:$J,$B:$B,$B1307,$A:$A,"&gt;="&amp;COUNTIFS($K$1:N$1,"&lt;&gt;"))),0)</f>
        <v>0.12109375000000001</v>
      </c>
      <c r="O1307">
        <f>IFERROR($J1307/IF($A1307&lt;COUNTIFS($K$1:O$1,"&lt;&gt;"),0,SUMIFS($J:$J,$B:$B,$B1307,$A:$A,"&gt;="&amp;COUNTIFS($K$1:O$1,"&lt;&gt;"))),0)</f>
        <v>0.13716814159292037</v>
      </c>
      <c r="P1307">
        <f>IFERROR($J1307/IF($A1307&lt;COUNTIFS($K$1:P$1,"&lt;&gt;"),0,SUMIFS($J:$J,$B:$B,$B1307,$A:$A,"&gt;="&amp;COUNTIFS($K$1:P$1,"&lt;&gt;"))),0)</f>
        <v>0</v>
      </c>
      <c r="Q1307">
        <f>IFERROR($J1307/IF($A1307&lt;COUNTIFS($K$1:Q$1,"&lt;&gt;"),0,SUMIFS($J:$J,$B:$B,$B1307,$A:$A,"&gt;="&amp;COUNTIFS($K$1:Q$1,"&lt;&gt;"))),0)</f>
        <v>0</v>
      </c>
      <c r="R1307">
        <f>IFERROR($J1307/IF($A1307&lt;COUNTIFS($K$1:R$1,"&lt;&gt;"),0,SUMIFS($J:$J,$B:$B,$B1307,$A:$A,"&gt;="&amp;COUNTIFS($K$1:R$1,"&lt;&gt;"))),0)</f>
        <v>0</v>
      </c>
      <c r="S1307">
        <f>IFERROR($J1307/IF($A1307&lt;COUNTIFS($K$1:S$1,"&lt;&gt;"),0,SUMIFS($J:$J,$B:$B,$B1307,$A:$A,"&gt;="&amp;COUNTIFS($K$1:S$1,"&lt;&gt;"))),0)</f>
        <v>0</v>
      </c>
      <c r="T1307">
        <f>IFERROR($J1307/IF($A1307&lt;COUNTIFS($K$1:T$1,"&lt;&gt;"),0,SUMIFS($J:$J,$B:$B,$B1307,$A:$A,"&gt;="&amp;COUNTIFS($K$1:T$1,"&lt;&gt;"))),0)</f>
        <v>0</v>
      </c>
      <c r="U1307">
        <f>IFERROR($J1307/IF($A1307&lt;COUNTIFS($K$1:U$1,"&lt;&gt;"),0,SUMIFS($J:$J,$B:$B,$B1307,$A:$A,"&gt;="&amp;COUNTIFS($K$1:U$1,"&lt;&gt;"))),0)</f>
        <v>0</v>
      </c>
      <c r="V1307">
        <f>IFERROR($J1307/IF($A1307&lt;COUNTIFS($K$1:V$1,"&lt;&gt;"),0,SUMIFS($J:$J,$B:$B,$B1307,$A:$A,"&gt;="&amp;COUNTIFS($K$1:V$1,"&lt;&gt;"))),0)</f>
        <v>0</v>
      </c>
      <c r="W1307">
        <f t="shared" si="464"/>
        <v>8.4931506849315067E-2</v>
      </c>
      <c r="X1307">
        <f t="shared" si="444"/>
        <v>8.4931506849315067E-2</v>
      </c>
      <c r="Y1307">
        <f t="shared" si="445"/>
        <v>8.4931506849315067E-2</v>
      </c>
      <c r="Z1307">
        <f t="shared" si="446"/>
        <v>8.4931506849315067E-2</v>
      </c>
      <c r="AA1307">
        <f t="shared" si="447"/>
        <v>8.4931506849315067E-2</v>
      </c>
      <c r="AB1307">
        <f t="shared" si="448"/>
        <v>8.4931506849315067E-2</v>
      </c>
      <c r="AC1307">
        <f t="shared" si="449"/>
        <v>0</v>
      </c>
      <c r="AD1307">
        <f t="shared" si="450"/>
        <v>0</v>
      </c>
      <c r="AE1307">
        <f t="shared" si="451"/>
        <v>0</v>
      </c>
      <c r="AF1307">
        <f t="shared" si="452"/>
        <v>0</v>
      </c>
      <c r="AG1307">
        <f t="shared" si="453"/>
        <v>0</v>
      </c>
      <c r="AH1307">
        <f t="shared" si="454"/>
        <v>0</v>
      </c>
      <c r="AI1307">
        <f t="shared" si="455"/>
        <v>0</v>
      </c>
      <c r="AJ1307" s="2" t="str">
        <f t="shared" si="465"/>
        <v>546874</v>
      </c>
    </row>
    <row r="1308" spans="1:36" x14ac:dyDescent="0.25">
      <c r="A1308">
        <v>6</v>
      </c>
      <c r="B1308" s="1">
        <v>46874</v>
      </c>
      <c r="C1308" s="1">
        <f t="shared" si="456"/>
        <v>47058</v>
      </c>
      <c r="D1308" s="1">
        <f t="shared" si="457"/>
        <v>46888</v>
      </c>
      <c r="E1308" s="1">
        <f t="shared" si="458"/>
        <v>47058</v>
      </c>
      <c r="F1308" s="1">
        <f t="shared" si="459"/>
        <v>47088</v>
      </c>
      <c r="G1308" s="1">
        <f t="shared" si="460"/>
        <v>47253</v>
      </c>
      <c r="H1308">
        <f t="shared" si="461"/>
        <v>365</v>
      </c>
      <c r="I1308">
        <f t="shared" si="462"/>
        <v>30</v>
      </c>
      <c r="J1308">
        <f t="shared" si="463"/>
        <v>8.2191780821917804E-2</v>
      </c>
      <c r="K1308">
        <f>IFERROR($J1308/IF($A1308&lt;COUNTIFS($K$1:K$1,"&lt;&gt;"),0,SUMIFS($J:$J,$B:$B,$B1308,$A:$A,"&gt;="&amp;COUNTIFS($K$1:K$1,"&lt;&gt;"))),0)</f>
        <v>8.6206896551724144E-2</v>
      </c>
      <c r="L1308">
        <f>IFERROR($J1308/IF($A1308&lt;COUNTIFS($K$1:L$1,"&lt;&gt;"),0,SUMIFS($J:$J,$B:$B,$B1308,$A:$A,"&gt;="&amp;COUNTIFS($K$1:L$1,"&lt;&gt;"))),0)</f>
        <v>9.4339622641509441E-2</v>
      </c>
      <c r="M1308">
        <f>IFERROR($J1308/IF($A1308&lt;COUNTIFS($K$1:M$1,"&lt;&gt;"),0,SUMIFS($J:$J,$B:$B,$B1308,$A:$A,"&gt;="&amp;COUNTIFS($K$1:M$1,"&lt;&gt;"))),0)</f>
        <v>0.10452961672473869</v>
      </c>
      <c r="N1308">
        <f>IFERROR($J1308/IF($A1308&lt;COUNTIFS($K$1:N$1,"&lt;&gt;"),0,SUMIFS($J:$J,$B:$B,$B1308,$A:$A,"&gt;="&amp;COUNTIFS($K$1:N$1,"&lt;&gt;"))),0)</f>
        <v>0.11718750000000001</v>
      </c>
      <c r="O1308">
        <f>IFERROR($J1308/IF($A1308&lt;COUNTIFS($K$1:O$1,"&lt;&gt;"),0,SUMIFS($J:$J,$B:$B,$B1308,$A:$A,"&gt;="&amp;COUNTIFS($K$1:O$1,"&lt;&gt;"))),0)</f>
        <v>0.13274336283185842</v>
      </c>
      <c r="P1308">
        <f>IFERROR($J1308/IF($A1308&lt;COUNTIFS($K$1:P$1,"&lt;&gt;"),0,SUMIFS($J:$J,$B:$B,$B1308,$A:$A,"&gt;="&amp;COUNTIFS($K$1:P$1,"&lt;&gt;"))),0)</f>
        <v>0.15384615384615385</v>
      </c>
      <c r="Q1308">
        <f>IFERROR($J1308/IF($A1308&lt;COUNTIFS($K$1:Q$1,"&lt;&gt;"),0,SUMIFS($J:$J,$B:$B,$B1308,$A:$A,"&gt;="&amp;COUNTIFS($K$1:Q$1,"&lt;&gt;"))),0)</f>
        <v>0</v>
      </c>
      <c r="R1308">
        <f>IFERROR($J1308/IF($A1308&lt;COUNTIFS($K$1:R$1,"&lt;&gt;"),0,SUMIFS($J:$J,$B:$B,$B1308,$A:$A,"&gt;="&amp;COUNTIFS($K$1:R$1,"&lt;&gt;"))),0)</f>
        <v>0</v>
      </c>
      <c r="S1308">
        <f>IFERROR($J1308/IF($A1308&lt;COUNTIFS($K$1:S$1,"&lt;&gt;"),0,SUMIFS($J:$J,$B:$B,$B1308,$A:$A,"&gt;="&amp;COUNTIFS($K$1:S$1,"&lt;&gt;"))),0)</f>
        <v>0</v>
      </c>
      <c r="T1308">
        <f>IFERROR($J1308/IF($A1308&lt;COUNTIFS($K$1:T$1,"&lt;&gt;"),0,SUMIFS($J:$J,$B:$B,$B1308,$A:$A,"&gt;="&amp;COUNTIFS($K$1:T$1,"&lt;&gt;"))),0)</f>
        <v>0</v>
      </c>
      <c r="U1308">
        <f>IFERROR($J1308/IF($A1308&lt;COUNTIFS($K$1:U$1,"&lt;&gt;"),0,SUMIFS($J:$J,$B:$B,$B1308,$A:$A,"&gt;="&amp;COUNTIFS($K$1:U$1,"&lt;&gt;"))),0)</f>
        <v>0</v>
      </c>
      <c r="V1308">
        <f>IFERROR($J1308/IF($A1308&lt;COUNTIFS($K$1:V$1,"&lt;&gt;"),0,SUMIFS($J:$J,$B:$B,$B1308,$A:$A,"&gt;="&amp;COUNTIFS($K$1:V$1,"&lt;&gt;"))),0)</f>
        <v>0</v>
      </c>
      <c r="W1308">
        <f t="shared" si="464"/>
        <v>8.2191780821917804E-2</v>
      </c>
      <c r="X1308">
        <f t="shared" si="444"/>
        <v>8.2191780821917804E-2</v>
      </c>
      <c r="Y1308">
        <f t="shared" si="445"/>
        <v>8.2191780821917804E-2</v>
      </c>
      <c r="Z1308">
        <f t="shared" si="446"/>
        <v>8.2191780821917804E-2</v>
      </c>
      <c r="AA1308">
        <f t="shared" si="447"/>
        <v>8.2191780821917804E-2</v>
      </c>
      <c r="AB1308">
        <f t="shared" si="448"/>
        <v>8.2191780821917804E-2</v>
      </c>
      <c r="AC1308">
        <f t="shared" si="449"/>
        <v>8.2191780821917804E-2</v>
      </c>
      <c r="AD1308">
        <f t="shared" si="450"/>
        <v>0</v>
      </c>
      <c r="AE1308">
        <f t="shared" si="451"/>
        <v>0</v>
      </c>
      <c r="AF1308">
        <f t="shared" si="452"/>
        <v>0</v>
      </c>
      <c r="AG1308">
        <f t="shared" si="453"/>
        <v>0</v>
      </c>
      <c r="AH1308">
        <f t="shared" si="454"/>
        <v>0</v>
      </c>
      <c r="AI1308">
        <f t="shared" si="455"/>
        <v>0</v>
      </c>
      <c r="AJ1308" s="2" t="str">
        <f t="shared" si="465"/>
        <v>646874</v>
      </c>
    </row>
    <row r="1309" spans="1:36" x14ac:dyDescent="0.25">
      <c r="A1309">
        <v>7</v>
      </c>
      <c r="B1309" s="1">
        <v>46874</v>
      </c>
      <c r="C1309" s="1">
        <f t="shared" si="456"/>
        <v>47088</v>
      </c>
      <c r="D1309" s="1">
        <f t="shared" si="457"/>
        <v>46888</v>
      </c>
      <c r="E1309" s="1">
        <f t="shared" si="458"/>
        <v>47088</v>
      </c>
      <c r="F1309" s="1">
        <f t="shared" si="459"/>
        <v>47119</v>
      </c>
      <c r="G1309" s="1">
        <f t="shared" si="460"/>
        <v>47253</v>
      </c>
      <c r="H1309">
        <f t="shared" si="461"/>
        <v>365</v>
      </c>
      <c r="I1309">
        <f t="shared" si="462"/>
        <v>31</v>
      </c>
      <c r="J1309">
        <f t="shared" si="463"/>
        <v>8.4931506849315067E-2</v>
      </c>
      <c r="K1309">
        <f>IFERROR($J1309/IF($A1309&lt;COUNTIFS($K$1:K$1,"&lt;&gt;"),0,SUMIFS($J:$J,$B:$B,$B1309,$A:$A,"&gt;="&amp;COUNTIFS($K$1:K$1,"&lt;&gt;"))),0)</f>
        <v>8.9080459770114959E-2</v>
      </c>
      <c r="L1309">
        <f>IFERROR($J1309/IF($A1309&lt;COUNTIFS($K$1:L$1,"&lt;&gt;"),0,SUMIFS($J:$J,$B:$B,$B1309,$A:$A,"&gt;="&amp;COUNTIFS($K$1:L$1,"&lt;&gt;"))),0)</f>
        <v>9.7484276729559768E-2</v>
      </c>
      <c r="M1309">
        <f>IFERROR($J1309/IF($A1309&lt;COUNTIFS($K$1:M$1,"&lt;&gt;"),0,SUMIFS($J:$J,$B:$B,$B1309,$A:$A,"&gt;="&amp;COUNTIFS($K$1:M$1,"&lt;&gt;"))),0)</f>
        <v>0.10801393728222998</v>
      </c>
      <c r="N1309">
        <f>IFERROR($J1309/IF($A1309&lt;COUNTIFS($K$1:N$1,"&lt;&gt;"),0,SUMIFS($J:$J,$B:$B,$B1309,$A:$A,"&gt;="&amp;COUNTIFS($K$1:N$1,"&lt;&gt;"))),0)</f>
        <v>0.12109375000000001</v>
      </c>
      <c r="O1309">
        <f>IFERROR($J1309/IF($A1309&lt;COUNTIFS($K$1:O$1,"&lt;&gt;"),0,SUMIFS($J:$J,$B:$B,$B1309,$A:$A,"&gt;="&amp;COUNTIFS($K$1:O$1,"&lt;&gt;"))),0)</f>
        <v>0.13716814159292037</v>
      </c>
      <c r="P1309">
        <f>IFERROR($J1309/IF($A1309&lt;COUNTIFS($K$1:P$1,"&lt;&gt;"),0,SUMIFS($J:$J,$B:$B,$B1309,$A:$A,"&gt;="&amp;COUNTIFS($K$1:P$1,"&lt;&gt;"))),0)</f>
        <v>0.15897435897435899</v>
      </c>
      <c r="Q1309">
        <f>IFERROR($J1309/IF($A1309&lt;COUNTIFS($K$1:Q$1,"&lt;&gt;"),0,SUMIFS($J:$J,$B:$B,$B1309,$A:$A,"&gt;="&amp;COUNTIFS($K$1:Q$1,"&lt;&gt;"))),0)</f>
        <v>0.1878787878787879</v>
      </c>
      <c r="R1309">
        <f>IFERROR($J1309/IF($A1309&lt;COUNTIFS($K$1:R$1,"&lt;&gt;"),0,SUMIFS($J:$J,$B:$B,$B1309,$A:$A,"&gt;="&amp;COUNTIFS($K$1:R$1,"&lt;&gt;"))),0)</f>
        <v>0</v>
      </c>
      <c r="S1309">
        <f>IFERROR($J1309/IF($A1309&lt;COUNTIFS($K$1:S$1,"&lt;&gt;"),0,SUMIFS($J:$J,$B:$B,$B1309,$A:$A,"&gt;="&amp;COUNTIFS($K$1:S$1,"&lt;&gt;"))),0)</f>
        <v>0</v>
      </c>
      <c r="T1309">
        <f>IFERROR($J1309/IF($A1309&lt;COUNTIFS($K$1:T$1,"&lt;&gt;"),0,SUMIFS($J:$J,$B:$B,$B1309,$A:$A,"&gt;="&amp;COUNTIFS($K$1:T$1,"&lt;&gt;"))),0)</f>
        <v>0</v>
      </c>
      <c r="U1309">
        <f>IFERROR($J1309/IF($A1309&lt;COUNTIFS($K$1:U$1,"&lt;&gt;"),0,SUMIFS($J:$J,$B:$B,$B1309,$A:$A,"&gt;="&amp;COUNTIFS($K$1:U$1,"&lt;&gt;"))),0)</f>
        <v>0</v>
      </c>
      <c r="V1309">
        <f>IFERROR($J1309/IF($A1309&lt;COUNTIFS($K$1:V$1,"&lt;&gt;"),0,SUMIFS($J:$J,$B:$B,$B1309,$A:$A,"&gt;="&amp;COUNTIFS($K$1:V$1,"&lt;&gt;"))),0)</f>
        <v>0</v>
      </c>
      <c r="W1309">
        <f t="shared" si="464"/>
        <v>8.4931506849315067E-2</v>
      </c>
      <c r="X1309">
        <f t="shared" si="444"/>
        <v>8.4931506849315067E-2</v>
      </c>
      <c r="Y1309">
        <f t="shared" si="445"/>
        <v>8.4931506849315067E-2</v>
      </c>
      <c r="Z1309">
        <f t="shared" si="446"/>
        <v>8.4931506849315067E-2</v>
      </c>
      <c r="AA1309">
        <f t="shared" si="447"/>
        <v>8.4931506849315067E-2</v>
      </c>
      <c r="AB1309">
        <f t="shared" si="448"/>
        <v>8.4931506849315067E-2</v>
      </c>
      <c r="AC1309">
        <f t="shared" si="449"/>
        <v>8.4931506849315067E-2</v>
      </c>
      <c r="AD1309">
        <f t="shared" si="450"/>
        <v>8.4931506849315067E-2</v>
      </c>
      <c r="AE1309">
        <f t="shared" si="451"/>
        <v>0</v>
      </c>
      <c r="AF1309">
        <f t="shared" si="452"/>
        <v>0</v>
      </c>
      <c r="AG1309">
        <f t="shared" si="453"/>
        <v>0</v>
      </c>
      <c r="AH1309">
        <f t="shared" si="454"/>
        <v>0</v>
      </c>
      <c r="AI1309">
        <f t="shared" si="455"/>
        <v>0</v>
      </c>
      <c r="AJ1309" s="2" t="str">
        <f t="shared" si="465"/>
        <v>746874</v>
      </c>
    </row>
    <row r="1310" spans="1:36" x14ac:dyDescent="0.25">
      <c r="A1310">
        <v>8</v>
      </c>
      <c r="B1310" s="1">
        <v>46874</v>
      </c>
      <c r="C1310" s="1">
        <f t="shared" si="456"/>
        <v>47119</v>
      </c>
      <c r="D1310" s="1">
        <f t="shared" si="457"/>
        <v>46888</v>
      </c>
      <c r="E1310" s="1">
        <f t="shared" si="458"/>
        <v>47119</v>
      </c>
      <c r="F1310" s="1">
        <f t="shared" si="459"/>
        <v>47150</v>
      </c>
      <c r="G1310" s="1">
        <f t="shared" si="460"/>
        <v>47253</v>
      </c>
      <c r="H1310">
        <f t="shared" si="461"/>
        <v>365</v>
      </c>
      <c r="I1310">
        <f t="shared" si="462"/>
        <v>31</v>
      </c>
      <c r="J1310">
        <f t="shared" si="463"/>
        <v>8.4931506849315067E-2</v>
      </c>
      <c r="K1310">
        <f>IFERROR($J1310/IF($A1310&lt;COUNTIFS($K$1:K$1,"&lt;&gt;"),0,SUMIFS($J:$J,$B:$B,$B1310,$A:$A,"&gt;="&amp;COUNTIFS($K$1:K$1,"&lt;&gt;"))),0)</f>
        <v>8.9080459770114959E-2</v>
      </c>
      <c r="L1310">
        <f>IFERROR($J1310/IF($A1310&lt;COUNTIFS($K$1:L$1,"&lt;&gt;"),0,SUMIFS($J:$J,$B:$B,$B1310,$A:$A,"&gt;="&amp;COUNTIFS($K$1:L$1,"&lt;&gt;"))),0)</f>
        <v>9.7484276729559768E-2</v>
      </c>
      <c r="M1310">
        <f>IFERROR($J1310/IF($A1310&lt;COUNTIFS($K$1:M$1,"&lt;&gt;"),0,SUMIFS($J:$J,$B:$B,$B1310,$A:$A,"&gt;="&amp;COUNTIFS($K$1:M$1,"&lt;&gt;"))),0)</f>
        <v>0.10801393728222998</v>
      </c>
      <c r="N1310">
        <f>IFERROR($J1310/IF($A1310&lt;COUNTIFS($K$1:N$1,"&lt;&gt;"),0,SUMIFS($J:$J,$B:$B,$B1310,$A:$A,"&gt;="&amp;COUNTIFS($K$1:N$1,"&lt;&gt;"))),0)</f>
        <v>0.12109375000000001</v>
      </c>
      <c r="O1310">
        <f>IFERROR($J1310/IF($A1310&lt;COUNTIFS($K$1:O$1,"&lt;&gt;"),0,SUMIFS($J:$J,$B:$B,$B1310,$A:$A,"&gt;="&amp;COUNTIFS($K$1:O$1,"&lt;&gt;"))),0)</f>
        <v>0.13716814159292037</v>
      </c>
      <c r="P1310">
        <f>IFERROR($J1310/IF($A1310&lt;COUNTIFS($K$1:P$1,"&lt;&gt;"),0,SUMIFS($J:$J,$B:$B,$B1310,$A:$A,"&gt;="&amp;COUNTIFS($K$1:P$1,"&lt;&gt;"))),0)</f>
        <v>0.15897435897435899</v>
      </c>
      <c r="Q1310">
        <f>IFERROR($J1310/IF($A1310&lt;COUNTIFS($K$1:Q$1,"&lt;&gt;"),0,SUMIFS($J:$J,$B:$B,$B1310,$A:$A,"&gt;="&amp;COUNTIFS($K$1:Q$1,"&lt;&gt;"))),0)</f>
        <v>0.1878787878787879</v>
      </c>
      <c r="R1310">
        <f>IFERROR($J1310/IF($A1310&lt;COUNTIFS($K$1:R$1,"&lt;&gt;"),0,SUMIFS($J:$J,$B:$B,$B1310,$A:$A,"&gt;="&amp;COUNTIFS($K$1:R$1,"&lt;&gt;"))),0)</f>
        <v>0.23134328358208955</v>
      </c>
      <c r="S1310">
        <f>IFERROR($J1310/IF($A1310&lt;COUNTIFS($K$1:S$1,"&lt;&gt;"),0,SUMIFS($J:$J,$B:$B,$B1310,$A:$A,"&gt;="&amp;COUNTIFS($K$1:S$1,"&lt;&gt;"))),0)</f>
        <v>0</v>
      </c>
      <c r="T1310">
        <f>IFERROR($J1310/IF($A1310&lt;COUNTIFS($K$1:T$1,"&lt;&gt;"),0,SUMIFS($J:$J,$B:$B,$B1310,$A:$A,"&gt;="&amp;COUNTIFS($K$1:T$1,"&lt;&gt;"))),0)</f>
        <v>0</v>
      </c>
      <c r="U1310">
        <f>IFERROR($J1310/IF($A1310&lt;COUNTIFS($K$1:U$1,"&lt;&gt;"),0,SUMIFS($J:$J,$B:$B,$B1310,$A:$A,"&gt;="&amp;COUNTIFS($K$1:U$1,"&lt;&gt;"))),0)</f>
        <v>0</v>
      </c>
      <c r="V1310">
        <f>IFERROR($J1310/IF($A1310&lt;COUNTIFS($K$1:V$1,"&lt;&gt;"),0,SUMIFS($J:$J,$B:$B,$B1310,$A:$A,"&gt;="&amp;COUNTIFS($K$1:V$1,"&lt;&gt;"))),0)</f>
        <v>0</v>
      </c>
      <c r="W1310">
        <f t="shared" si="464"/>
        <v>8.4931506849315067E-2</v>
      </c>
      <c r="X1310">
        <f t="shared" si="444"/>
        <v>8.4931506849315067E-2</v>
      </c>
      <c r="Y1310">
        <f t="shared" si="445"/>
        <v>8.4931506849315067E-2</v>
      </c>
      <c r="Z1310">
        <f t="shared" si="446"/>
        <v>8.4931506849315067E-2</v>
      </c>
      <c r="AA1310">
        <f t="shared" si="447"/>
        <v>8.4931506849315067E-2</v>
      </c>
      <c r="AB1310">
        <f t="shared" si="448"/>
        <v>8.4931506849315067E-2</v>
      </c>
      <c r="AC1310">
        <f t="shared" si="449"/>
        <v>8.4931506849315067E-2</v>
      </c>
      <c r="AD1310">
        <f t="shared" si="450"/>
        <v>8.4931506849315067E-2</v>
      </c>
      <c r="AE1310">
        <f t="shared" si="451"/>
        <v>8.4931506849315067E-2</v>
      </c>
      <c r="AF1310">
        <f t="shared" si="452"/>
        <v>0</v>
      </c>
      <c r="AG1310">
        <f t="shared" si="453"/>
        <v>0</v>
      </c>
      <c r="AH1310">
        <f t="shared" si="454"/>
        <v>0</v>
      </c>
      <c r="AI1310">
        <f t="shared" si="455"/>
        <v>0</v>
      </c>
      <c r="AJ1310" s="2" t="str">
        <f t="shared" si="465"/>
        <v>846874</v>
      </c>
    </row>
    <row r="1311" spans="1:36" x14ac:dyDescent="0.25">
      <c r="A1311">
        <v>9</v>
      </c>
      <c r="B1311" s="1">
        <v>46874</v>
      </c>
      <c r="C1311" s="1">
        <f t="shared" si="456"/>
        <v>47150</v>
      </c>
      <c r="D1311" s="1">
        <f t="shared" si="457"/>
        <v>46888</v>
      </c>
      <c r="E1311" s="1">
        <f t="shared" si="458"/>
        <v>47150</v>
      </c>
      <c r="F1311" s="1">
        <f t="shared" si="459"/>
        <v>47178</v>
      </c>
      <c r="G1311" s="1">
        <f t="shared" si="460"/>
        <v>47253</v>
      </c>
      <c r="H1311">
        <f t="shared" si="461"/>
        <v>365</v>
      </c>
      <c r="I1311">
        <f t="shared" si="462"/>
        <v>28</v>
      </c>
      <c r="J1311">
        <f t="shared" si="463"/>
        <v>7.6712328767123292E-2</v>
      </c>
      <c r="K1311">
        <f>IFERROR($J1311/IF($A1311&lt;COUNTIFS($K$1:K$1,"&lt;&gt;"),0,SUMIFS($J:$J,$B:$B,$B1311,$A:$A,"&gt;="&amp;COUNTIFS($K$1:K$1,"&lt;&gt;"))),0)</f>
        <v>8.0459770114942541E-2</v>
      </c>
      <c r="L1311">
        <f>IFERROR($J1311/IF($A1311&lt;COUNTIFS($K$1:L$1,"&lt;&gt;"),0,SUMIFS($J:$J,$B:$B,$B1311,$A:$A,"&gt;="&amp;COUNTIFS($K$1:L$1,"&lt;&gt;"))),0)</f>
        <v>8.8050314465408827E-2</v>
      </c>
      <c r="M1311">
        <f>IFERROR($J1311/IF($A1311&lt;COUNTIFS($K$1:M$1,"&lt;&gt;"),0,SUMIFS($J:$J,$B:$B,$B1311,$A:$A,"&gt;="&amp;COUNTIFS($K$1:M$1,"&lt;&gt;"))),0)</f>
        <v>9.7560975609756115E-2</v>
      </c>
      <c r="N1311">
        <f>IFERROR($J1311/IF($A1311&lt;COUNTIFS($K$1:N$1,"&lt;&gt;"),0,SUMIFS($J:$J,$B:$B,$B1311,$A:$A,"&gt;="&amp;COUNTIFS($K$1:N$1,"&lt;&gt;"))),0)</f>
        <v>0.10937500000000003</v>
      </c>
      <c r="O1311">
        <f>IFERROR($J1311/IF($A1311&lt;COUNTIFS($K$1:O$1,"&lt;&gt;"),0,SUMIFS($J:$J,$B:$B,$B1311,$A:$A,"&gt;="&amp;COUNTIFS($K$1:O$1,"&lt;&gt;"))),0)</f>
        <v>0.12389380530973454</v>
      </c>
      <c r="P1311">
        <f>IFERROR($J1311/IF($A1311&lt;COUNTIFS($K$1:P$1,"&lt;&gt;"),0,SUMIFS($J:$J,$B:$B,$B1311,$A:$A,"&gt;="&amp;COUNTIFS($K$1:P$1,"&lt;&gt;"))),0)</f>
        <v>0.14358974358974361</v>
      </c>
      <c r="Q1311">
        <f>IFERROR($J1311/IF($A1311&lt;COUNTIFS($K$1:Q$1,"&lt;&gt;"),0,SUMIFS($J:$J,$B:$B,$B1311,$A:$A,"&gt;="&amp;COUNTIFS($K$1:Q$1,"&lt;&gt;"))),0)</f>
        <v>0.16969696969696971</v>
      </c>
      <c r="R1311">
        <f>IFERROR($J1311/IF($A1311&lt;COUNTIFS($K$1:R$1,"&lt;&gt;"),0,SUMIFS($J:$J,$B:$B,$B1311,$A:$A,"&gt;="&amp;COUNTIFS($K$1:R$1,"&lt;&gt;"))),0)</f>
        <v>0.20895522388059704</v>
      </c>
      <c r="S1311">
        <f>IFERROR($J1311/IF($A1311&lt;COUNTIFS($K$1:S$1,"&lt;&gt;"),0,SUMIFS($J:$J,$B:$B,$B1311,$A:$A,"&gt;="&amp;COUNTIFS($K$1:S$1,"&lt;&gt;"))),0)</f>
        <v>0.27184466019417475</v>
      </c>
      <c r="T1311">
        <f>IFERROR($J1311/IF($A1311&lt;COUNTIFS($K$1:T$1,"&lt;&gt;"),0,SUMIFS($J:$J,$B:$B,$B1311,$A:$A,"&gt;="&amp;COUNTIFS($K$1:T$1,"&lt;&gt;"))),0)</f>
        <v>0</v>
      </c>
      <c r="U1311">
        <f>IFERROR($J1311/IF($A1311&lt;COUNTIFS($K$1:U$1,"&lt;&gt;"),0,SUMIFS($J:$J,$B:$B,$B1311,$A:$A,"&gt;="&amp;COUNTIFS($K$1:U$1,"&lt;&gt;"))),0)</f>
        <v>0</v>
      </c>
      <c r="V1311">
        <f>IFERROR($J1311/IF($A1311&lt;COUNTIFS($K$1:V$1,"&lt;&gt;"),0,SUMIFS($J:$J,$B:$B,$B1311,$A:$A,"&gt;="&amp;COUNTIFS($K$1:V$1,"&lt;&gt;"))),0)</f>
        <v>0</v>
      </c>
      <c r="W1311">
        <f t="shared" si="464"/>
        <v>7.6712328767123292E-2</v>
      </c>
      <c r="X1311">
        <f t="shared" si="444"/>
        <v>7.6712328767123292E-2</v>
      </c>
      <c r="Y1311">
        <f t="shared" si="445"/>
        <v>7.6712328767123292E-2</v>
      </c>
      <c r="Z1311">
        <f t="shared" si="446"/>
        <v>7.6712328767123292E-2</v>
      </c>
      <c r="AA1311">
        <f t="shared" si="447"/>
        <v>7.6712328767123292E-2</v>
      </c>
      <c r="AB1311">
        <f t="shared" si="448"/>
        <v>7.6712328767123292E-2</v>
      </c>
      <c r="AC1311">
        <f t="shared" si="449"/>
        <v>7.6712328767123292E-2</v>
      </c>
      <c r="AD1311">
        <f t="shared" si="450"/>
        <v>7.6712328767123292E-2</v>
      </c>
      <c r="AE1311">
        <f t="shared" si="451"/>
        <v>7.6712328767123292E-2</v>
      </c>
      <c r="AF1311">
        <f t="shared" si="452"/>
        <v>7.6712328767123292E-2</v>
      </c>
      <c r="AG1311">
        <f t="shared" si="453"/>
        <v>0</v>
      </c>
      <c r="AH1311">
        <f t="shared" si="454"/>
        <v>0</v>
      </c>
      <c r="AI1311">
        <f t="shared" si="455"/>
        <v>0</v>
      </c>
      <c r="AJ1311" s="2" t="str">
        <f t="shared" si="465"/>
        <v>946874</v>
      </c>
    </row>
    <row r="1312" spans="1:36" x14ac:dyDescent="0.25">
      <c r="A1312">
        <v>10</v>
      </c>
      <c r="B1312" s="1">
        <v>46874</v>
      </c>
      <c r="C1312" s="1">
        <f t="shared" si="456"/>
        <v>47178</v>
      </c>
      <c r="D1312" s="1">
        <f t="shared" si="457"/>
        <v>46888</v>
      </c>
      <c r="E1312" s="1">
        <f t="shared" si="458"/>
        <v>47178</v>
      </c>
      <c r="F1312" s="1">
        <f t="shared" si="459"/>
        <v>47209</v>
      </c>
      <c r="G1312" s="1">
        <f t="shared" si="460"/>
        <v>47253</v>
      </c>
      <c r="H1312">
        <f t="shared" si="461"/>
        <v>365</v>
      </c>
      <c r="I1312">
        <f t="shared" si="462"/>
        <v>31</v>
      </c>
      <c r="J1312">
        <f t="shared" si="463"/>
        <v>8.4931506849315067E-2</v>
      </c>
      <c r="K1312">
        <f>IFERROR($J1312/IF($A1312&lt;COUNTIFS($K$1:K$1,"&lt;&gt;"),0,SUMIFS($J:$J,$B:$B,$B1312,$A:$A,"&gt;="&amp;COUNTIFS($K$1:K$1,"&lt;&gt;"))),0)</f>
        <v>8.9080459770114959E-2</v>
      </c>
      <c r="L1312">
        <f>IFERROR($J1312/IF($A1312&lt;COUNTIFS($K$1:L$1,"&lt;&gt;"),0,SUMIFS($J:$J,$B:$B,$B1312,$A:$A,"&gt;="&amp;COUNTIFS($K$1:L$1,"&lt;&gt;"))),0)</f>
        <v>9.7484276729559768E-2</v>
      </c>
      <c r="M1312">
        <f>IFERROR($J1312/IF($A1312&lt;COUNTIFS($K$1:M$1,"&lt;&gt;"),0,SUMIFS($J:$J,$B:$B,$B1312,$A:$A,"&gt;="&amp;COUNTIFS($K$1:M$1,"&lt;&gt;"))),0)</f>
        <v>0.10801393728222998</v>
      </c>
      <c r="N1312">
        <f>IFERROR($J1312/IF($A1312&lt;COUNTIFS($K$1:N$1,"&lt;&gt;"),0,SUMIFS($J:$J,$B:$B,$B1312,$A:$A,"&gt;="&amp;COUNTIFS($K$1:N$1,"&lt;&gt;"))),0)</f>
        <v>0.12109375000000001</v>
      </c>
      <c r="O1312">
        <f>IFERROR($J1312/IF($A1312&lt;COUNTIFS($K$1:O$1,"&lt;&gt;"),0,SUMIFS($J:$J,$B:$B,$B1312,$A:$A,"&gt;="&amp;COUNTIFS($K$1:O$1,"&lt;&gt;"))),0)</f>
        <v>0.13716814159292037</v>
      </c>
      <c r="P1312">
        <f>IFERROR($J1312/IF($A1312&lt;COUNTIFS($K$1:P$1,"&lt;&gt;"),0,SUMIFS($J:$J,$B:$B,$B1312,$A:$A,"&gt;="&amp;COUNTIFS($K$1:P$1,"&lt;&gt;"))),0)</f>
        <v>0.15897435897435899</v>
      </c>
      <c r="Q1312">
        <f>IFERROR($J1312/IF($A1312&lt;COUNTIFS($K$1:Q$1,"&lt;&gt;"),0,SUMIFS($J:$J,$B:$B,$B1312,$A:$A,"&gt;="&amp;COUNTIFS($K$1:Q$1,"&lt;&gt;"))),0)</f>
        <v>0.1878787878787879</v>
      </c>
      <c r="R1312">
        <f>IFERROR($J1312/IF($A1312&lt;COUNTIFS($K$1:R$1,"&lt;&gt;"),0,SUMIFS($J:$J,$B:$B,$B1312,$A:$A,"&gt;="&amp;COUNTIFS($K$1:R$1,"&lt;&gt;"))),0)</f>
        <v>0.23134328358208955</v>
      </c>
      <c r="S1312">
        <f>IFERROR($J1312/IF($A1312&lt;COUNTIFS($K$1:S$1,"&lt;&gt;"),0,SUMIFS($J:$J,$B:$B,$B1312,$A:$A,"&gt;="&amp;COUNTIFS($K$1:S$1,"&lt;&gt;"))),0)</f>
        <v>0.30097087378640774</v>
      </c>
      <c r="T1312">
        <f>IFERROR($J1312/IF($A1312&lt;COUNTIFS($K$1:T$1,"&lt;&gt;"),0,SUMIFS($J:$J,$B:$B,$B1312,$A:$A,"&gt;="&amp;COUNTIFS($K$1:T$1,"&lt;&gt;"))),0)</f>
        <v>0.41333333333333333</v>
      </c>
      <c r="U1312">
        <f>IFERROR($J1312/IF($A1312&lt;COUNTIFS($K$1:U$1,"&lt;&gt;"),0,SUMIFS($J:$J,$B:$B,$B1312,$A:$A,"&gt;="&amp;COUNTIFS($K$1:U$1,"&lt;&gt;"))),0)</f>
        <v>0</v>
      </c>
      <c r="V1312">
        <f>IFERROR($J1312/IF($A1312&lt;COUNTIFS($K$1:V$1,"&lt;&gt;"),0,SUMIFS($J:$J,$B:$B,$B1312,$A:$A,"&gt;="&amp;COUNTIFS($K$1:V$1,"&lt;&gt;"))),0)</f>
        <v>0</v>
      </c>
      <c r="W1312">
        <f t="shared" si="464"/>
        <v>8.4931506849315067E-2</v>
      </c>
      <c r="X1312">
        <f t="shared" si="444"/>
        <v>8.4931506849315067E-2</v>
      </c>
      <c r="Y1312">
        <f t="shared" si="445"/>
        <v>8.4931506849315067E-2</v>
      </c>
      <c r="Z1312">
        <f t="shared" si="446"/>
        <v>8.4931506849315067E-2</v>
      </c>
      <c r="AA1312">
        <f t="shared" si="447"/>
        <v>8.4931506849315067E-2</v>
      </c>
      <c r="AB1312">
        <f t="shared" si="448"/>
        <v>8.4931506849315067E-2</v>
      </c>
      <c r="AC1312">
        <f t="shared" si="449"/>
        <v>8.4931506849315067E-2</v>
      </c>
      <c r="AD1312">
        <f t="shared" si="450"/>
        <v>8.4931506849315067E-2</v>
      </c>
      <c r="AE1312">
        <f t="shared" si="451"/>
        <v>8.4931506849315067E-2</v>
      </c>
      <c r="AF1312">
        <f t="shared" si="452"/>
        <v>8.4931506849315067E-2</v>
      </c>
      <c r="AG1312">
        <f t="shared" si="453"/>
        <v>8.4931506849315067E-2</v>
      </c>
      <c r="AH1312">
        <f t="shared" si="454"/>
        <v>0</v>
      </c>
      <c r="AI1312">
        <f t="shared" si="455"/>
        <v>0</v>
      </c>
      <c r="AJ1312" s="2" t="str">
        <f t="shared" si="465"/>
        <v>1046874</v>
      </c>
    </row>
    <row r="1313" spans="1:36" x14ac:dyDescent="0.25">
      <c r="A1313">
        <v>11</v>
      </c>
      <c r="B1313" s="1">
        <v>46874</v>
      </c>
      <c r="C1313" s="1">
        <f t="shared" si="456"/>
        <v>47209</v>
      </c>
      <c r="D1313" s="1">
        <f t="shared" si="457"/>
        <v>46888</v>
      </c>
      <c r="E1313" s="1">
        <f t="shared" si="458"/>
        <v>47209</v>
      </c>
      <c r="F1313" s="1">
        <f t="shared" si="459"/>
        <v>47239</v>
      </c>
      <c r="G1313" s="1">
        <f t="shared" si="460"/>
        <v>47253</v>
      </c>
      <c r="H1313">
        <f t="shared" si="461"/>
        <v>365</v>
      </c>
      <c r="I1313">
        <f t="shared" si="462"/>
        <v>30</v>
      </c>
      <c r="J1313">
        <f t="shared" si="463"/>
        <v>8.2191780821917804E-2</v>
      </c>
      <c r="K1313">
        <f>IFERROR($J1313/IF($A1313&lt;COUNTIFS($K$1:K$1,"&lt;&gt;"),0,SUMIFS($J:$J,$B:$B,$B1313,$A:$A,"&gt;="&amp;COUNTIFS($K$1:K$1,"&lt;&gt;"))),0)</f>
        <v>8.6206896551724144E-2</v>
      </c>
      <c r="L1313">
        <f>IFERROR($J1313/IF($A1313&lt;COUNTIFS($K$1:L$1,"&lt;&gt;"),0,SUMIFS($J:$J,$B:$B,$B1313,$A:$A,"&gt;="&amp;COUNTIFS($K$1:L$1,"&lt;&gt;"))),0)</f>
        <v>9.4339622641509441E-2</v>
      </c>
      <c r="M1313">
        <f>IFERROR($J1313/IF($A1313&lt;COUNTIFS($K$1:M$1,"&lt;&gt;"),0,SUMIFS($J:$J,$B:$B,$B1313,$A:$A,"&gt;="&amp;COUNTIFS($K$1:M$1,"&lt;&gt;"))),0)</f>
        <v>0.10452961672473869</v>
      </c>
      <c r="N1313">
        <f>IFERROR($J1313/IF($A1313&lt;COUNTIFS($K$1:N$1,"&lt;&gt;"),0,SUMIFS($J:$J,$B:$B,$B1313,$A:$A,"&gt;="&amp;COUNTIFS($K$1:N$1,"&lt;&gt;"))),0)</f>
        <v>0.11718750000000001</v>
      </c>
      <c r="O1313">
        <f>IFERROR($J1313/IF($A1313&lt;COUNTIFS($K$1:O$1,"&lt;&gt;"),0,SUMIFS($J:$J,$B:$B,$B1313,$A:$A,"&gt;="&amp;COUNTIFS($K$1:O$1,"&lt;&gt;"))),0)</f>
        <v>0.13274336283185842</v>
      </c>
      <c r="P1313">
        <f>IFERROR($J1313/IF($A1313&lt;COUNTIFS($K$1:P$1,"&lt;&gt;"),0,SUMIFS($J:$J,$B:$B,$B1313,$A:$A,"&gt;="&amp;COUNTIFS($K$1:P$1,"&lt;&gt;"))),0)</f>
        <v>0.15384615384615385</v>
      </c>
      <c r="Q1313">
        <f>IFERROR($J1313/IF($A1313&lt;COUNTIFS($K$1:Q$1,"&lt;&gt;"),0,SUMIFS($J:$J,$B:$B,$B1313,$A:$A,"&gt;="&amp;COUNTIFS($K$1:Q$1,"&lt;&gt;"))),0)</f>
        <v>0.18181818181818182</v>
      </c>
      <c r="R1313">
        <f>IFERROR($J1313/IF($A1313&lt;COUNTIFS($K$1:R$1,"&lt;&gt;"),0,SUMIFS($J:$J,$B:$B,$B1313,$A:$A,"&gt;="&amp;COUNTIFS($K$1:R$1,"&lt;&gt;"))),0)</f>
        <v>0.22388059701492535</v>
      </c>
      <c r="S1313">
        <f>IFERROR($J1313/IF($A1313&lt;COUNTIFS($K$1:S$1,"&lt;&gt;"),0,SUMIFS($J:$J,$B:$B,$B1313,$A:$A,"&gt;="&amp;COUNTIFS($K$1:S$1,"&lt;&gt;"))),0)</f>
        <v>0.29126213592233008</v>
      </c>
      <c r="T1313">
        <f>IFERROR($J1313/IF($A1313&lt;COUNTIFS($K$1:T$1,"&lt;&gt;"),0,SUMIFS($J:$J,$B:$B,$B1313,$A:$A,"&gt;="&amp;COUNTIFS($K$1:T$1,"&lt;&gt;"))),0)</f>
        <v>0.4</v>
      </c>
      <c r="U1313">
        <f>IFERROR($J1313/IF($A1313&lt;COUNTIFS($K$1:U$1,"&lt;&gt;"),0,SUMIFS($J:$J,$B:$B,$B1313,$A:$A,"&gt;="&amp;COUNTIFS($K$1:U$1,"&lt;&gt;"))),0)</f>
        <v>0.68181818181818177</v>
      </c>
      <c r="V1313">
        <f>IFERROR($J1313/IF($A1313&lt;COUNTIFS($K$1:V$1,"&lt;&gt;"),0,SUMIFS($J:$J,$B:$B,$B1313,$A:$A,"&gt;="&amp;COUNTIFS($K$1:V$1,"&lt;&gt;"))),0)</f>
        <v>0</v>
      </c>
      <c r="W1313">
        <f t="shared" si="464"/>
        <v>8.2191780821917804E-2</v>
      </c>
      <c r="X1313">
        <f t="shared" si="444"/>
        <v>8.2191780821917804E-2</v>
      </c>
      <c r="Y1313">
        <f t="shared" si="445"/>
        <v>8.2191780821917804E-2</v>
      </c>
      <c r="Z1313">
        <f t="shared" si="446"/>
        <v>8.2191780821917804E-2</v>
      </c>
      <c r="AA1313">
        <f t="shared" si="447"/>
        <v>8.2191780821917804E-2</v>
      </c>
      <c r="AB1313">
        <f t="shared" si="448"/>
        <v>8.2191780821917804E-2</v>
      </c>
      <c r="AC1313">
        <f t="shared" si="449"/>
        <v>8.2191780821917804E-2</v>
      </c>
      <c r="AD1313">
        <f t="shared" si="450"/>
        <v>8.2191780821917804E-2</v>
      </c>
      <c r="AE1313">
        <f t="shared" si="451"/>
        <v>8.2191780821917804E-2</v>
      </c>
      <c r="AF1313">
        <f t="shared" si="452"/>
        <v>8.2191780821917804E-2</v>
      </c>
      <c r="AG1313">
        <f t="shared" si="453"/>
        <v>8.2191780821917804E-2</v>
      </c>
      <c r="AH1313">
        <f t="shared" si="454"/>
        <v>8.2191780821917804E-2</v>
      </c>
      <c r="AI1313">
        <f t="shared" si="455"/>
        <v>0</v>
      </c>
      <c r="AJ1313" s="2" t="str">
        <f t="shared" si="465"/>
        <v>1146874</v>
      </c>
    </row>
    <row r="1314" spans="1:36" x14ac:dyDescent="0.25">
      <c r="A1314">
        <v>12</v>
      </c>
      <c r="B1314" s="1">
        <v>46874</v>
      </c>
      <c r="C1314" s="1">
        <f t="shared" si="456"/>
        <v>47239</v>
      </c>
      <c r="D1314" s="1">
        <f t="shared" si="457"/>
        <v>46888</v>
      </c>
      <c r="E1314" s="1">
        <f t="shared" si="458"/>
        <v>47239</v>
      </c>
      <c r="F1314" s="1">
        <f t="shared" si="459"/>
        <v>47253</v>
      </c>
      <c r="G1314" s="1">
        <f t="shared" si="460"/>
        <v>47253</v>
      </c>
      <c r="H1314">
        <f t="shared" si="461"/>
        <v>365</v>
      </c>
      <c r="I1314">
        <f t="shared" si="462"/>
        <v>14</v>
      </c>
      <c r="J1314">
        <f t="shared" si="463"/>
        <v>3.8356164383561646E-2</v>
      </c>
      <c r="K1314">
        <f>IFERROR($J1314/IF($A1314&lt;COUNTIFS($K$1:K$1,"&lt;&gt;"),0,SUMIFS($J:$J,$B:$B,$B1314,$A:$A,"&gt;="&amp;COUNTIFS($K$1:K$1,"&lt;&gt;"))),0)</f>
        <v>4.0229885057471271E-2</v>
      </c>
      <c r="L1314">
        <f>IFERROR($J1314/IF($A1314&lt;COUNTIFS($K$1:L$1,"&lt;&gt;"),0,SUMIFS($J:$J,$B:$B,$B1314,$A:$A,"&gt;="&amp;COUNTIFS($K$1:L$1,"&lt;&gt;"))),0)</f>
        <v>4.4025157232704414E-2</v>
      </c>
      <c r="M1314">
        <f>IFERROR($J1314/IF($A1314&lt;COUNTIFS($K$1:M$1,"&lt;&gt;"),0,SUMIFS($J:$J,$B:$B,$B1314,$A:$A,"&gt;="&amp;COUNTIFS($K$1:M$1,"&lt;&gt;"))),0)</f>
        <v>4.8780487804878057E-2</v>
      </c>
      <c r="N1314">
        <f>IFERROR($J1314/IF($A1314&lt;COUNTIFS($K$1:N$1,"&lt;&gt;"),0,SUMIFS($J:$J,$B:$B,$B1314,$A:$A,"&gt;="&amp;COUNTIFS($K$1:N$1,"&lt;&gt;"))),0)</f>
        <v>5.4687500000000014E-2</v>
      </c>
      <c r="O1314">
        <f>IFERROR($J1314/IF($A1314&lt;COUNTIFS($K$1:O$1,"&lt;&gt;"),0,SUMIFS($J:$J,$B:$B,$B1314,$A:$A,"&gt;="&amp;COUNTIFS($K$1:O$1,"&lt;&gt;"))),0)</f>
        <v>6.194690265486727E-2</v>
      </c>
      <c r="P1314">
        <f>IFERROR($J1314/IF($A1314&lt;COUNTIFS($K$1:P$1,"&lt;&gt;"),0,SUMIFS($J:$J,$B:$B,$B1314,$A:$A,"&gt;="&amp;COUNTIFS($K$1:P$1,"&lt;&gt;"))),0)</f>
        <v>7.1794871794871803E-2</v>
      </c>
      <c r="Q1314">
        <f>IFERROR($J1314/IF($A1314&lt;COUNTIFS($K$1:Q$1,"&lt;&gt;"),0,SUMIFS($J:$J,$B:$B,$B1314,$A:$A,"&gt;="&amp;COUNTIFS($K$1:Q$1,"&lt;&gt;"))),0)</f>
        <v>8.4848484848484854E-2</v>
      </c>
      <c r="R1314">
        <f>IFERROR($J1314/IF($A1314&lt;COUNTIFS($K$1:R$1,"&lt;&gt;"),0,SUMIFS($J:$J,$B:$B,$B1314,$A:$A,"&gt;="&amp;COUNTIFS($K$1:R$1,"&lt;&gt;"))),0)</f>
        <v>0.10447761194029852</v>
      </c>
      <c r="S1314">
        <f>IFERROR($J1314/IF($A1314&lt;COUNTIFS($K$1:S$1,"&lt;&gt;"),0,SUMIFS($J:$J,$B:$B,$B1314,$A:$A,"&gt;="&amp;COUNTIFS($K$1:S$1,"&lt;&gt;"))),0)</f>
        <v>0.13592233009708737</v>
      </c>
      <c r="T1314">
        <f>IFERROR($J1314/IF($A1314&lt;COUNTIFS($K$1:T$1,"&lt;&gt;"),0,SUMIFS($J:$J,$B:$B,$B1314,$A:$A,"&gt;="&amp;COUNTIFS($K$1:T$1,"&lt;&gt;"))),0)</f>
        <v>0.18666666666666668</v>
      </c>
      <c r="U1314">
        <f>IFERROR($J1314/IF($A1314&lt;COUNTIFS($K$1:U$1,"&lt;&gt;"),0,SUMIFS($J:$J,$B:$B,$B1314,$A:$A,"&gt;="&amp;COUNTIFS($K$1:U$1,"&lt;&gt;"))),0)</f>
        <v>0.31818181818181818</v>
      </c>
      <c r="V1314">
        <f>IFERROR($J1314/IF($A1314&lt;COUNTIFS($K$1:V$1,"&lt;&gt;"),0,SUMIFS($J:$J,$B:$B,$B1314,$A:$A,"&gt;="&amp;COUNTIFS($K$1:V$1,"&lt;&gt;"))),0)</f>
        <v>1</v>
      </c>
      <c r="W1314">
        <f t="shared" si="464"/>
        <v>3.8356164383561646E-2</v>
      </c>
      <c r="X1314">
        <f t="shared" si="444"/>
        <v>3.8356164383561646E-2</v>
      </c>
      <c r="Y1314">
        <f t="shared" si="445"/>
        <v>3.8356164383561646E-2</v>
      </c>
      <c r="Z1314">
        <f t="shared" si="446"/>
        <v>3.8356164383561646E-2</v>
      </c>
      <c r="AA1314">
        <f t="shared" si="447"/>
        <v>3.8356164383561646E-2</v>
      </c>
      <c r="AB1314">
        <f t="shared" si="448"/>
        <v>3.8356164383561646E-2</v>
      </c>
      <c r="AC1314">
        <f t="shared" si="449"/>
        <v>3.8356164383561646E-2</v>
      </c>
      <c r="AD1314">
        <f t="shared" si="450"/>
        <v>3.8356164383561646E-2</v>
      </c>
      <c r="AE1314">
        <f t="shared" si="451"/>
        <v>3.8356164383561646E-2</v>
      </c>
      <c r="AF1314">
        <f t="shared" si="452"/>
        <v>3.8356164383561646E-2</v>
      </c>
      <c r="AG1314">
        <f t="shared" si="453"/>
        <v>3.8356164383561646E-2</v>
      </c>
      <c r="AH1314">
        <f t="shared" si="454"/>
        <v>3.8356164383561646E-2</v>
      </c>
      <c r="AI1314">
        <f t="shared" si="455"/>
        <v>3.8356164383561646E-2</v>
      </c>
      <c r="AJ1314" s="2" t="str">
        <f t="shared" si="465"/>
        <v>1246874</v>
      </c>
    </row>
    <row r="1315" spans="1:36" x14ac:dyDescent="0.25">
      <c r="A1315">
        <v>0</v>
      </c>
      <c r="B1315" s="1">
        <v>46905</v>
      </c>
      <c r="C1315" s="1">
        <f t="shared" si="456"/>
        <v>46905</v>
      </c>
      <c r="D1315" s="1">
        <f t="shared" si="457"/>
        <v>46919</v>
      </c>
      <c r="E1315" s="1">
        <f t="shared" si="458"/>
        <v>46919</v>
      </c>
      <c r="F1315" s="1">
        <f t="shared" si="459"/>
        <v>46935</v>
      </c>
      <c r="G1315" s="1">
        <f t="shared" si="460"/>
        <v>47284</v>
      </c>
      <c r="H1315">
        <f t="shared" si="461"/>
        <v>365</v>
      </c>
      <c r="I1315">
        <f t="shared" si="462"/>
        <v>16</v>
      </c>
      <c r="J1315">
        <f t="shared" si="463"/>
        <v>4.3835616438356165E-2</v>
      </c>
      <c r="K1315">
        <f>IFERROR($J1315/IF($A1315&lt;COUNTIFS($K$1:K$1,"&lt;&gt;"),0,SUMIFS($J:$J,$B:$B,$B1315,$A:$A,"&gt;="&amp;COUNTIFS($K$1:K$1,"&lt;&gt;"))),0)</f>
        <v>0</v>
      </c>
      <c r="L1315">
        <f>IFERROR($J1315/IF($A1315&lt;COUNTIFS($K$1:L$1,"&lt;&gt;"),0,SUMIFS($J:$J,$B:$B,$B1315,$A:$A,"&gt;="&amp;COUNTIFS($K$1:L$1,"&lt;&gt;"))),0)</f>
        <v>0</v>
      </c>
      <c r="M1315">
        <f>IFERROR($J1315/IF($A1315&lt;COUNTIFS($K$1:M$1,"&lt;&gt;"),0,SUMIFS($J:$J,$B:$B,$B1315,$A:$A,"&gt;="&amp;COUNTIFS($K$1:M$1,"&lt;&gt;"))),0)</f>
        <v>0</v>
      </c>
      <c r="N1315">
        <f>IFERROR($J1315/IF($A1315&lt;COUNTIFS($K$1:N$1,"&lt;&gt;"),0,SUMIFS($J:$J,$B:$B,$B1315,$A:$A,"&gt;="&amp;COUNTIFS($K$1:N$1,"&lt;&gt;"))),0)</f>
        <v>0</v>
      </c>
      <c r="O1315">
        <f>IFERROR($J1315/IF($A1315&lt;COUNTIFS($K$1:O$1,"&lt;&gt;"),0,SUMIFS($J:$J,$B:$B,$B1315,$A:$A,"&gt;="&amp;COUNTIFS($K$1:O$1,"&lt;&gt;"))),0)</f>
        <v>0</v>
      </c>
      <c r="P1315">
        <f>IFERROR($J1315/IF($A1315&lt;COUNTIFS($K$1:P$1,"&lt;&gt;"),0,SUMIFS($J:$J,$B:$B,$B1315,$A:$A,"&gt;="&amp;COUNTIFS($K$1:P$1,"&lt;&gt;"))),0)</f>
        <v>0</v>
      </c>
      <c r="Q1315">
        <f>IFERROR($J1315/IF($A1315&lt;COUNTIFS($K$1:Q$1,"&lt;&gt;"),0,SUMIFS($J:$J,$B:$B,$B1315,$A:$A,"&gt;="&amp;COUNTIFS($K$1:Q$1,"&lt;&gt;"))),0)</f>
        <v>0</v>
      </c>
      <c r="R1315">
        <f>IFERROR($J1315/IF($A1315&lt;COUNTIFS($K$1:R$1,"&lt;&gt;"),0,SUMIFS($J:$J,$B:$B,$B1315,$A:$A,"&gt;="&amp;COUNTIFS($K$1:R$1,"&lt;&gt;"))),0)</f>
        <v>0</v>
      </c>
      <c r="S1315">
        <f>IFERROR($J1315/IF($A1315&lt;COUNTIFS($K$1:S$1,"&lt;&gt;"),0,SUMIFS($J:$J,$B:$B,$B1315,$A:$A,"&gt;="&amp;COUNTIFS($K$1:S$1,"&lt;&gt;"))),0)</f>
        <v>0</v>
      </c>
      <c r="T1315">
        <f>IFERROR($J1315/IF($A1315&lt;COUNTIFS($K$1:T$1,"&lt;&gt;"),0,SUMIFS($J:$J,$B:$B,$B1315,$A:$A,"&gt;="&amp;COUNTIFS($K$1:T$1,"&lt;&gt;"))),0)</f>
        <v>0</v>
      </c>
      <c r="U1315">
        <f>IFERROR($J1315/IF($A1315&lt;COUNTIFS($K$1:U$1,"&lt;&gt;"),0,SUMIFS($J:$J,$B:$B,$B1315,$A:$A,"&gt;="&amp;COUNTIFS($K$1:U$1,"&lt;&gt;"))),0)</f>
        <v>0</v>
      </c>
      <c r="V1315">
        <f>IFERROR($J1315/IF($A1315&lt;COUNTIFS($K$1:V$1,"&lt;&gt;"),0,SUMIFS($J:$J,$B:$B,$B1315,$A:$A,"&gt;="&amp;COUNTIFS($K$1:V$1,"&lt;&gt;"))),0)</f>
        <v>0</v>
      </c>
      <c r="W1315">
        <f t="shared" si="464"/>
        <v>4.3835616438356165E-2</v>
      </c>
      <c r="X1315">
        <f t="shared" si="444"/>
        <v>0</v>
      </c>
      <c r="Y1315">
        <f t="shared" si="445"/>
        <v>0</v>
      </c>
      <c r="Z1315">
        <f t="shared" si="446"/>
        <v>0</v>
      </c>
      <c r="AA1315">
        <f t="shared" si="447"/>
        <v>0</v>
      </c>
      <c r="AB1315">
        <f t="shared" si="448"/>
        <v>0</v>
      </c>
      <c r="AC1315">
        <f t="shared" si="449"/>
        <v>0</v>
      </c>
      <c r="AD1315">
        <f t="shared" si="450"/>
        <v>0</v>
      </c>
      <c r="AE1315">
        <f t="shared" si="451"/>
        <v>0</v>
      </c>
      <c r="AF1315">
        <f t="shared" si="452"/>
        <v>0</v>
      </c>
      <c r="AG1315">
        <f t="shared" si="453"/>
        <v>0</v>
      </c>
      <c r="AH1315">
        <f t="shared" si="454"/>
        <v>0</v>
      </c>
      <c r="AI1315">
        <f t="shared" si="455"/>
        <v>0</v>
      </c>
      <c r="AJ1315" s="2" t="str">
        <f t="shared" si="465"/>
        <v>046905</v>
      </c>
    </row>
    <row r="1316" spans="1:36" x14ac:dyDescent="0.25">
      <c r="A1316">
        <v>1</v>
      </c>
      <c r="B1316" s="1">
        <v>46905</v>
      </c>
      <c r="C1316" s="1">
        <f t="shared" si="456"/>
        <v>46935</v>
      </c>
      <c r="D1316" s="1">
        <f t="shared" si="457"/>
        <v>46919</v>
      </c>
      <c r="E1316" s="1">
        <f t="shared" si="458"/>
        <v>46935</v>
      </c>
      <c r="F1316" s="1">
        <f t="shared" si="459"/>
        <v>46966</v>
      </c>
      <c r="G1316" s="1">
        <f t="shared" si="460"/>
        <v>47284</v>
      </c>
      <c r="H1316">
        <f t="shared" si="461"/>
        <v>365</v>
      </c>
      <c r="I1316">
        <f t="shared" si="462"/>
        <v>31</v>
      </c>
      <c r="J1316">
        <f t="shared" si="463"/>
        <v>8.4931506849315067E-2</v>
      </c>
      <c r="K1316">
        <f>IFERROR($J1316/IF($A1316&lt;COUNTIFS($K$1:K$1,"&lt;&gt;"),0,SUMIFS($J:$J,$B:$B,$B1316,$A:$A,"&gt;="&amp;COUNTIFS($K$1:K$1,"&lt;&gt;"))),0)</f>
        <v>8.8825214899713484E-2</v>
      </c>
      <c r="L1316">
        <f>IFERROR($J1316/IF($A1316&lt;COUNTIFS($K$1:L$1,"&lt;&gt;"),0,SUMIFS($J:$J,$B:$B,$B1316,$A:$A,"&gt;="&amp;COUNTIFS($K$1:L$1,"&lt;&gt;"))),0)</f>
        <v>0</v>
      </c>
      <c r="M1316">
        <f>IFERROR($J1316/IF($A1316&lt;COUNTIFS($K$1:M$1,"&lt;&gt;"),0,SUMIFS($J:$J,$B:$B,$B1316,$A:$A,"&gt;="&amp;COUNTIFS($K$1:M$1,"&lt;&gt;"))),0)</f>
        <v>0</v>
      </c>
      <c r="N1316">
        <f>IFERROR($J1316/IF($A1316&lt;COUNTIFS($K$1:N$1,"&lt;&gt;"),0,SUMIFS($J:$J,$B:$B,$B1316,$A:$A,"&gt;="&amp;COUNTIFS($K$1:N$1,"&lt;&gt;"))),0)</f>
        <v>0</v>
      </c>
      <c r="O1316">
        <f>IFERROR($J1316/IF($A1316&lt;COUNTIFS($K$1:O$1,"&lt;&gt;"),0,SUMIFS($J:$J,$B:$B,$B1316,$A:$A,"&gt;="&amp;COUNTIFS($K$1:O$1,"&lt;&gt;"))),0)</f>
        <v>0</v>
      </c>
      <c r="P1316">
        <f>IFERROR($J1316/IF($A1316&lt;COUNTIFS($K$1:P$1,"&lt;&gt;"),0,SUMIFS($J:$J,$B:$B,$B1316,$A:$A,"&gt;="&amp;COUNTIFS($K$1:P$1,"&lt;&gt;"))),0)</f>
        <v>0</v>
      </c>
      <c r="Q1316">
        <f>IFERROR($J1316/IF($A1316&lt;COUNTIFS($K$1:Q$1,"&lt;&gt;"),0,SUMIFS($J:$J,$B:$B,$B1316,$A:$A,"&gt;="&amp;COUNTIFS($K$1:Q$1,"&lt;&gt;"))),0)</f>
        <v>0</v>
      </c>
      <c r="R1316">
        <f>IFERROR($J1316/IF($A1316&lt;COUNTIFS($K$1:R$1,"&lt;&gt;"),0,SUMIFS($J:$J,$B:$B,$B1316,$A:$A,"&gt;="&amp;COUNTIFS($K$1:R$1,"&lt;&gt;"))),0)</f>
        <v>0</v>
      </c>
      <c r="S1316">
        <f>IFERROR($J1316/IF($A1316&lt;COUNTIFS($K$1:S$1,"&lt;&gt;"),0,SUMIFS($J:$J,$B:$B,$B1316,$A:$A,"&gt;="&amp;COUNTIFS($K$1:S$1,"&lt;&gt;"))),0)</f>
        <v>0</v>
      </c>
      <c r="T1316">
        <f>IFERROR($J1316/IF($A1316&lt;COUNTIFS($K$1:T$1,"&lt;&gt;"),0,SUMIFS($J:$J,$B:$B,$B1316,$A:$A,"&gt;="&amp;COUNTIFS($K$1:T$1,"&lt;&gt;"))),0)</f>
        <v>0</v>
      </c>
      <c r="U1316">
        <f>IFERROR($J1316/IF($A1316&lt;COUNTIFS($K$1:U$1,"&lt;&gt;"),0,SUMIFS($J:$J,$B:$B,$B1316,$A:$A,"&gt;="&amp;COUNTIFS($K$1:U$1,"&lt;&gt;"))),0)</f>
        <v>0</v>
      </c>
      <c r="V1316">
        <f>IFERROR($J1316/IF($A1316&lt;COUNTIFS($K$1:V$1,"&lt;&gt;"),0,SUMIFS($J:$J,$B:$B,$B1316,$A:$A,"&gt;="&amp;COUNTIFS($K$1:V$1,"&lt;&gt;"))),0)</f>
        <v>0</v>
      </c>
      <c r="W1316">
        <f t="shared" si="464"/>
        <v>8.4931506849315067E-2</v>
      </c>
      <c r="X1316">
        <f t="shared" si="444"/>
        <v>8.4931506849315067E-2</v>
      </c>
      <c r="Y1316">
        <f t="shared" si="445"/>
        <v>0</v>
      </c>
      <c r="Z1316">
        <f t="shared" si="446"/>
        <v>0</v>
      </c>
      <c r="AA1316">
        <f t="shared" si="447"/>
        <v>0</v>
      </c>
      <c r="AB1316">
        <f t="shared" si="448"/>
        <v>0</v>
      </c>
      <c r="AC1316">
        <f t="shared" si="449"/>
        <v>0</v>
      </c>
      <c r="AD1316">
        <f t="shared" si="450"/>
        <v>0</v>
      </c>
      <c r="AE1316">
        <f t="shared" si="451"/>
        <v>0</v>
      </c>
      <c r="AF1316">
        <f t="shared" si="452"/>
        <v>0</v>
      </c>
      <c r="AG1316">
        <f t="shared" si="453"/>
        <v>0</v>
      </c>
      <c r="AH1316">
        <f t="shared" si="454"/>
        <v>0</v>
      </c>
      <c r="AI1316">
        <f t="shared" si="455"/>
        <v>0</v>
      </c>
      <c r="AJ1316" s="2" t="str">
        <f t="shared" si="465"/>
        <v>146905</v>
      </c>
    </row>
    <row r="1317" spans="1:36" x14ac:dyDescent="0.25">
      <c r="A1317">
        <v>2</v>
      </c>
      <c r="B1317" s="1">
        <v>46905</v>
      </c>
      <c r="C1317" s="1">
        <f t="shared" si="456"/>
        <v>46966</v>
      </c>
      <c r="D1317" s="1">
        <f t="shared" si="457"/>
        <v>46919</v>
      </c>
      <c r="E1317" s="1">
        <f t="shared" si="458"/>
        <v>46966</v>
      </c>
      <c r="F1317" s="1">
        <f t="shared" si="459"/>
        <v>46997</v>
      </c>
      <c r="G1317" s="1">
        <f t="shared" si="460"/>
        <v>47284</v>
      </c>
      <c r="H1317">
        <f t="shared" si="461"/>
        <v>365</v>
      </c>
      <c r="I1317">
        <f t="shared" si="462"/>
        <v>31</v>
      </c>
      <c r="J1317">
        <f t="shared" si="463"/>
        <v>8.4931506849315067E-2</v>
      </c>
      <c r="K1317">
        <f>IFERROR($J1317/IF($A1317&lt;COUNTIFS($K$1:K$1,"&lt;&gt;"),0,SUMIFS($J:$J,$B:$B,$B1317,$A:$A,"&gt;="&amp;COUNTIFS($K$1:K$1,"&lt;&gt;"))),0)</f>
        <v>8.8825214899713484E-2</v>
      </c>
      <c r="L1317">
        <f>IFERROR($J1317/IF($A1317&lt;COUNTIFS($K$1:L$1,"&lt;&gt;"),0,SUMIFS($J:$J,$B:$B,$B1317,$A:$A,"&gt;="&amp;COUNTIFS($K$1:L$1,"&lt;&gt;"))),0)</f>
        <v>9.7484276729559768E-2</v>
      </c>
      <c r="M1317">
        <f>IFERROR($J1317/IF($A1317&lt;COUNTIFS($K$1:M$1,"&lt;&gt;"),0,SUMIFS($J:$J,$B:$B,$B1317,$A:$A,"&gt;="&amp;COUNTIFS($K$1:M$1,"&lt;&gt;"))),0)</f>
        <v>0</v>
      </c>
      <c r="N1317">
        <f>IFERROR($J1317/IF($A1317&lt;COUNTIFS($K$1:N$1,"&lt;&gt;"),0,SUMIFS($J:$J,$B:$B,$B1317,$A:$A,"&gt;="&amp;COUNTIFS($K$1:N$1,"&lt;&gt;"))),0)</f>
        <v>0</v>
      </c>
      <c r="O1317">
        <f>IFERROR($J1317/IF($A1317&lt;COUNTIFS($K$1:O$1,"&lt;&gt;"),0,SUMIFS($J:$J,$B:$B,$B1317,$A:$A,"&gt;="&amp;COUNTIFS($K$1:O$1,"&lt;&gt;"))),0)</f>
        <v>0</v>
      </c>
      <c r="P1317">
        <f>IFERROR($J1317/IF($A1317&lt;COUNTIFS($K$1:P$1,"&lt;&gt;"),0,SUMIFS($J:$J,$B:$B,$B1317,$A:$A,"&gt;="&amp;COUNTIFS($K$1:P$1,"&lt;&gt;"))),0)</f>
        <v>0</v>
      </c>
      <c r="Q1317">
        <f>IFERROR($J1317/IF($A1317&lt;COUNTIFS($K$1:Q$1,"&lt;&gt;"),0,SUMIFS($J:$J,$B:$B,$B1317,$A:$A,"&gt;="&amp;COUNTIFS($K$1:Q$1,"&lt;&gt;"))),0)</f>
        <v>0</v>
      </c>
      <c r="R1317">
        <f>IFERROR($J1317/IF($A1317&lt;COUNTIFS($K$1:R$1,"&lt;&gt;"),0,SUMIFS($J:$J,$B:$B,$B1317,$A:$A,"&gt;="&amp;COUNTIFS($K$1:R$1,"&lt;&gt;"))),0)</f>
        <v>0</v>
      </c>
      <c r="S1317">
        <f>IFERROR($J1317/IF($A1317&lt;COUNTIFS($K$1:S$1,"&lt;&gt;"),0,SUMIFS($J:$J,$B:$B,$B1317,$A:$A,"&gt;="&amp;COUNTIFS($K$1:S$1,"&lt;&gt;"))),0)</f>
        <v>0</v>
      </c>
      <c r="T1317">
        <f>IFERROR($J1317/IF($A1317&lt;COUNTIFS($K$1:T$1,"&lt;&gt;"),0,SUMIFS($J:$J,$B:$B,$B1317,$A:$A,"&gt;="&amp;COUNTIFS($K$1:T$1,"&lt;&gt;"))),0)</f>
        <v>0</v>
      </c>
      <c r="U1317">
        <f>IFERROR($J1317/IF($A1317&lt;COUNTIFS($K$1:U$1,"&lt;&gt;"),0,SUMIFS($J:$J,$B:$B,$B1317,$A:$A,"&gt;="&amp;COUNTIFS($K$1:U$1,"&lt;&gt;"))),0)</f>
        <v>0</v>
      </c>
      <c r="V1317">
        <f>IFERROR($J1317/IF($A1317&lt;COUNTIFS($K$1:V$1,"&lt;&gt;"),0,SUMIFS($J:$J,$B:$B,$B1317,$A:$A,"&gt;="&amp;COUNTIFS($K$1:V$1,"&lt;&gt;"))),0)</f>
        <v>0</v>
      </c>
      <c r="W1317">
        <f t="shared" si="464"/>
        <v>8.4931506849315067E-2</v>
      </c>
      <c r="X1317">
        <f t="shared" si="444"/>
        <v>8.4931506849315067E-2</v>
      </c>
      <c r="Y1317">
        <f t="shared" si="445"/>
        <v>8.4931506849315067E-2</v>
      </c>
      <c r="Z1317">
        <f t="shared" si="446"/>
        <v>0</v>
      </c>
      <c r="AA1317">
        <f t="shared" si="447"/>
        <v>0</v>
      </c>
      <c r="AB1317">
        <f t="shared" si="448"/>
        <v>0</v>
      </c>
      <c r="AC1317">
        <f t="shared" si="449"/>
        <v>0</v>
      </c>
      <c r="AD1317">
        <f t="shared" si="450"/>
        <v>0</v>
      </c>
      <c r="AE1317">
        <f t="shared" si="451"/>
        <v>0</v>
      </c>
      <c r="AF1317">
        <f t="shared" si="452"/>
        <v>0</v>
      </c>
      <c r="AG1317">
        <f t="shared" si="453"/>
        <v>0</v>
      </c>
      <c r="AH1317">
        <f t="shared" si="454"/>
        <v>0</v>
      </c>
      <c r="AI1317">
        <f t="shared" si="455"/>
        <v>0</v>
      </c>
      <c r="AJ1317" s="2" t="str">
        <f t="shared" si="465"/>
        <v>246905</v>
      </c>
    </row>
    <row r="1318" spans="1:36" x14ac:dyDescent="0.25">
      <c r="A1318">
        <v>3</v>
      </c>
      <c r="B1318" s="1">
        <v>46905</v>
      </c>
      <c r="C1318" s="1">
        <f t="shared" si="456"/>
        <v>46997</v>
      </c>
      <c r="D1318" s="1">
        <f t="shared" si="457"/>
        <v>46919</v>
      </c>
      <c r="E1318" s="1">
        <f t="shared" si="458"/>
        <v>46997</v>
      </c>
      <c r="F1318" s="1">
        <f t="shared" si="459"/>
        <v>47027</v>
      </c>
      <c r="G1318" s="1">
        <f t="shared" si="460"/>
        <v>47284</v>
      </c>
      <c r="H1318">
        <f t="shared" si="461"/>
        <v>365</v>
      </c>
      <c r="I1318">
        <f t="shared" si="462"/>
        <v>30</v>
      </c>
      <c r="J1318">
        <f t="shared" si="463"/>
        <v>8.2191780821917804E-2</v>
      </c>
      <c r="K1318">
        <f>IFERROR($J1318/IF($A1318&lt;COUNTIFS($K$1:K$1,"&lt;&gt;"),0,SUMIFS($J:$J,$B:$B,$B1318,$A:$A,"&gt;="&amp;COUNTIFS($K$1:K$1,"&lt;&gt;"))),0)</f>
        <v>8.5959885386819493E-2</v>
      </c>
      <c r="L1318">
        <f>IFERROR($J1318/IF($A1318&lt;COUNTIFS($K$1:L$1,"&lt;&gt;"),0,SUMIFS($J:$J,$B:$B,$B1318,$A:$A,"&gt;="&amp;COUNTIFS($K$1:L$1,"&lt;&gt;"))),0)</f>
        <v>9.4339622641509441E-2</v>
      </c>
      <c r="M1318">
        <f>IFERROR($J1318/IF($A1318&lt;COUNTIFS($K$1:M$1,"&lt;&gt;"),0,SUMIFS($J:$J,$B:$B,$B1318,$A:$A,"&gt;="&amp;COUNTIFS($K$1:M$1,"&lt;&gt;"))),0)</f>
        <v>0.10452961672473869</v>
      </c>
      <c r="N1318">
        <f>IFERROR($J1318/IF($A1318&lt;COUNTIFS($K$1:N$1,"&lt;&gt;"),0,SUMIFS($J:$J,$B:$B,$B1318,$A:$A,"&gt;="&amp;COUNTIFS($K$1:N$1,"&lt;&gt;"))),0)</f>
        <v>0</v>
      </c>
      <c r="O1318">
        <f>IFERROR($J1318/IF($A1318&lt;COUNTIFS($K$1:O$1,"&lt;&gt;"),0,SUMIFS($J:$J,$B:$B,$B1318,$A:$A,"&gt;="&amp;COUNTIFS($K$1:O$1,"&lt;&gt;"))),0)</f>
        <v>0</v>
      </c>
      <c r="P1318">
        <f>IFERROR($J1318/IF($A1318&lt;COUNTIFS($K$1:P$1,"&lt;&gt;"),0,SUMIFS($J:$J,$B:$B,$B1318,$A:$A,"&gt;="&amp;COUNTIFS($K$1:P$1,"&lt;&gt;"))),0)</f>
        <v>0</v>
      </c>
      <c r="Q1318">
        <f>IFERROR($J1318/IF($A1318&lt;COUNTIFS($K$1:Q$1,"&lt;&gt;"),0,SUMIFS($J:$J,$B:$B,$B1318,$A:$A,"&gt;="&amp;COUNTIFS($K$1:Q$1,"&lt;&gt;"))),0)</f>
        <v>0</v>
      </c>
      <c r="R1318">
        <f>IFERROR($J1318/IF($A1318&lt;COUNTIFS($K$1:R$1,"&lt;&gt;"),0,SUMIFS($J:$J,$B:$B,$B1318,$A:$A,"&gt;="&amp;COUNTIFS($K$1:R$1,"&lt;&gt;"))),0)</f>
        <v>0</v>
      </c>
      <c r="S1318">
        <f>IFERROR($J1318/IF($A1318&lt;COUNTIFS($K$1:S$1,"&lt;&gt;"),0,SUMIFS($J:$J,$B:$B,$B1318,$A:$A,"&gt;="&amp;COUNTIFS($K$1:S$1,"&lt;&gt;"))),0)</f>
        <v>0</v>
      </c>
      <c r="T1318">
        <f>IFERROR($J1318/IF($A1318&lt;COUNTIFS($K$1:T$1,"&lt;&gt;"),0,SUMIFS($J:$J,$B:$B,$B1318,$A:$A,"&gt;="&amp;COUNTIFS($K$1:T$1,"&lt;&gt;"))),0)</f>
        <v>0</v>
      </c>
      <c r="U1318">
        <f>IFERROR($J1318/IF($A1318&lt;COUNTIFS($K$1:U$1,"&lt;&gt;"),0,SUMIFS($J:$J,$B:$B,$B1318,$A:$A,"&gt;="&amp;COUNTIFS($K$1:U$1,"&lt;&gt;"))),0)</f>
        <v>0</v>
      </c>
      <c r="V1318">
        <f>IFERROR($J1318/IF($A1318&lt;COUNTIFS($K$1:V$1,"&lt;&gt;"),0,SUMIFS($J:$J,$B:$B,$B1318,$A:$A,"&gt;="&amp;COUNTIFS($K$1:V$1,"&lt;&gt;"))),0)</f>
        <v>0</v>
      </c>
      <c r="W1318">
        <f t="shared" si="464"/>
        <v>8.2191780821917804E-2</v>
      </c>
      <c r="X1318">
        <f t="shared" si="444"/>
        <v>8.2191780821917804E-2</v>
      </c>
      <c r="Y1318">
        <f t="shared" si="445"/>
        <v>8.2191780821917804E-2</v>
      </c>
      <c r="Z1318">
        <f t="shared" si="446"/>
        <v>8.2191780821917804E-2</v>
      </c>
      <c r="AA1318">
        <f t="shared" si="447"/>
        <v>0</v>
      </c>
      <c r="AB1318">
        <f t="shared" si="448"/>
        <v>0</v>
      </c>
      <c r="AC1318">
        <f t="shared" si="449"/>
        <v>0</v>
      </c>
      <c r="AD1318">
        <f t="shared" si="450"/>
        <v>0</v>
      </c>
      <c r="AE1318">
        <f t="shared" si="451"/>
        <v>0</v>
      </c>
      <c r="AF1318">
        <f t="shared" si="452"/>
        <v>0</v>
      </c>
      <c r="AG1318">
        <f t="shared" si="453"/>
        <v>0</v>
      </c>
      <c r="AH1318">
        <f t="shared" si="454"/>
        <v>0</v>
      </c>
      <c r="AI1318">
        <f t="shared" si="455"/>
        <v>0</v>
      </c>
      <c r="AJ1318" s="2" t="str">
        <f t="shared" si="465"/>
        <v>346905</v>
      </c>
    </row>
    <row r="1319" spans="1:36" x14ac:dyDescent="0.25">
      <c r="A1319">
        <v>4</v>
      </c>
      <c r="B1319" s="1">
        <v>46905</v>
      </c>
      <c r="C1319" s="1">
        <f t="shared" si="456"/>
        <v>47027</v>
      </c>
      <c r="D1319" s="1">
        <f t="shared" si="457"/>
        <v>46919</v>
      </c>
      <c r="E1319" s="1">
        <f t="shared" si="458"/>
        <v>47027</v>
      </c>
      <c r="F1319" s="1">
        <f t="shared" si="459"/>
        <v>47058</v>
      </c>
      <c r="G1319" s="1">
        <f t="shared" si="460"/>
        <v>47284</v>
      </c>
      <c r="H1319">
        <f t="shared" si="461"/>
        <v>365</v>
      </c>
      <c r="I1319">
        <f t="shared" si="462"/>
        <v>31</v>
      </c>
      <c r="J1319">
        <f t="shared" si="463"/>
        <v>8.4931506849315067E-2</v>
      </c>
      <c r="K1319">
        <f>IFERROR($J1319/IF($A1319&lt;COUNTIFS($K$1:K$1,"&lt;&gt;"),0,SUMIFS($J:$J,$B:$B,$B1319,$A:$A,"&gt;="&amp;COUNTIFS($K$1:K$1,"&lt;&gt;"))),0)</f>
        <v>8.8825214899713484E-2</v>
      </c>
      <c r="L1319">
        <f>IFERROR($J1319/IF($A1319&lt;COUNTIFS($K$1:L$1,"&lt;&gt;"),0,SUMIFS($J:$J,$B:$B,$B1319,$A:$A,"&gt;="&amp;COUNTIFS($K$1:L$1,"&lt;&gt;"))),0)</f>
        <v>9.7484276729559768E-2</v>
      </c>
      <c r="M1319">
        <f>IFERROR($J1319/IF($A1319&lt;COUNTIFS($K$1:M$1,"&lt;&gt;"),0,SUMIFS($J:$J,$B:$B,$B1319,$A:$A,"&gt;="&amp;COUNTIFS($K$1:M$1,"&lt;&gt;"))),0)</f>
        <v>0.10801393728222998</v>
      </c>
      <c r="N1319">
        <f>IFERROR($J1319/IF($A1319&lt;COUNTIFS($K$1:N$1,"&lt;&gt;"),0,SUMIFS($J:$J,$B:$B,$B1319,$A:$A,"&gt;="&amp;COUNTIFS($K$1:N$1,"&lt;&gt;"))),0)</f>
        <v>0.12062256809338523</v>
      </c>
      <c r="O1319">
        <f>IFERROR($J1319/IF($A1319&lt;COUNTIFS($K$1:O$1,"&lt;&gt;"),0,SUMIFS($J:$J,$B:$B,$B1319,$A:$A,"&gt;="&amp;COUNTIFS($K$1:O$1,"&lt;&gt;"))),0)</f>
        <v>0</v>
      </c>
      <c r="P1319">
        <f>IFERROR($J1319/IF($A1319&lt;COUNTIFS($K$1:P$1,"&lt;&gt;"),0,SUMIFS($J:$J,$B:$B,$B1319,$A:$A,"&gt;="&amp;COUNTIFS($K$1:P$1,"&lt;&gt;"))),0)</f>
        <v>0</v>
      </c>
      <c r="Q1319">
        <f>IFERROR($J1319/IF($A1319&lt;COUNTIFS($K$1:Q$1,"&lt;&gt;"),0,SUMIFS($J:$J,$B:$B,$B1319,$A:$A,"&gt;="&amp;COUNTIFS($K$1:Q$1,"&lt;&gt;"))),0)</f>
        <v>0</v>
      </c>
      <c r="R1319">
        <f>IFERROR($J1319/IF($A1319&lt;COUNTIFS($K$1:R$1,"&lt;&gt;"),0,SUMIFS($J:$J,$B:$B,$B1319,$A:$A,"&gt;="&amp;COUNTIFS($K$1:R$1,"&lt;&gt;"))),0)</f>
        <v>0</v>
      </c>
      <c r="S1319">
        <f>IFERROR($J1319/IF($A1319&lt;COUNTIFS($K$1:S$1,"&lt;&gt;"),0,SUMIFS($J:$J,$B:$B,$B1319,$A:$A,"&gt;="&amp;COUNTIFS($K$1:S$1,"&lt;&gt;"))),0)</f>
        <v>0</v>
      </c>
      <c r="T1319">
        <f>IFERROR($J1319/IF($A1319&lt;COUNTIFS($K$1:T$1,"&lt;&gt;"),0,SUMIFS($J:$J,$B:$B,$B1319,$A:$A,"&gt;="&amp;COUNTIFS($K$1:T$1,"&lt;&gt;"))),0)</f>
        <v>0</v>
      </c>
      <c r="U1319">
        <f>IFERROR($J1319/IF($A1319&lt;COUNTIFS($K$1:U$1,"&lt;&gt;"),0,SUMIFS($J:$J,$B:$B,$B1319,$A:$A,"&gt;="&amp;COUNTIFS($K$1:U$1,"&lt;&gt;"))),0)</f>
        <v>0</v>
      </c>
      <c r="V1319">
        <f>IFERROR($J1319/IF($A1319&lt;COUNTIFS($K$1:V$1,"&lt;&gt;"),0,SUMIFS($J:$J,$B:$B,$B1319,$A:$A,"&gt;="&amp;COUNTIFS($K$1:V$1,"&lt;&gt;"))),0)</f>
        <v>0</v>
      </c>
      <c r="W1319">
        <f t="shared" si="464"/>
        <v>8.4931506849315067E-2</v>
      </c>
      <c r="X1319">
        <f t="shared" si="444"/>
        <v>8.4931506849315067E-2</v>
      </c>
      <c r="Y1319">
        <f t="shared" si="445"/>
        <v>8.4931506849315067E-2</v>
      </c>
      <c r="Z1319">
        <f t="shared" si="446"/>
        <v>8.4931506849315067E-2</v>
      </c>
      <c r="AA1319">
        <f t="shared" si="447"/>
        <v>8.4931506849315067E-2</v>
      </c>
      <c r="AB1319">
        <f t="shared" si="448"/>
        <v>0</v>
      </c>
      <c r="AC1319">
        <f t="shared" si="449"/>
        <v>0</v>
      </c>
      <c r="AD1319">
        <f t="shared" si="450"/>
        <v>0</v>
      </c>
      <c r="AE1319">
        <f t="shared" si="451"/>
        <v>0</v>
      </c>
      <c r="AF1319">
        <f t="shared" si="452"/>
        <v>0</v>
      </c>
      <c r="AG1319">
        <f t="shared" si="453"/>
        <v>0</v>
      </c>
      <c r="AH1319">
        <f t="shared" si="454"/>
        <v>0</v>
      </c>
      <c r="AI1319">
        <f t="shared" si="455"/>
        <v>0</v>
      </c>
      <c r="AJ1319" s="2" t="str">
        <f t="shared" si="465"/>
        <v>446905</v>
      </c>
    </row>
    <row r="1320" spans="1:36" x14ac:dyDescent="0.25">
      <c r="A1320">
        <v>5</v>
      </c>
      <c r="B1320" s="1">
        <v>46905</v>
      </c>
      <c r="C1320" s="1">
        <f t="shared" si="456"/>
        <v>47058</v>
      </c>
      <c r="D1320" s="1">
        <f t="shared" si="457"/>
        <v>46919</v>
      </c>
      <c r="E1320" s="1">
        <f t="shared" si="458"/>
        <v>47058</v>
      </c>
      <c r="F1320" s="1">
        <f t="shared" si="459"/>
        <v>47088</v>
      </c>
      <c r="G1320" s="1">
        <f t="shared" si="460"/>
        <v>47284</v>
      </c>
      <c r="H1320">
        <f t="shared" si="461"/>
        <v>365</v>
      </c>
      <c r="I1320">
        <f t="shared" si="462"/>
        <v>30</v>
      </c>
      <c r="J1320">
        <f t="shared" si="463"/>
        <v>8.2191780821917804E-2</v>
      </c>
      <c r="K1320">
        <f>IFERROR($J1320/IF($A1320&lt;COUNTIFS($K$1:K$1,"&lt;&gt;"),0,SUMIFS($J:$J,$B:$B,$B1320,$A:$A,"&gt;="&amp;COUNTIFS($K$1:K$1,"&lt;&gt;"))),0)</f>
        <v>8.5959885386819493E-2</v>
      </c>
      <c r="L1320">
        <f>IFERROR($J1320/IF($A1320&lt;COUNTIFS($K$1:L$1,"&lt;&gt;"),0,SUMIFS($J:$J,$B:$B,$B1320,$A:$A,"&gt;="&amp;COUNTIFS($K$1:L$1,"&lt;&gt;"))),0)</f>
        <v>9.4339622641509441E-2</v>
      </c>
      <c r="M1320">
        <f>IFERROR($J1320/IF($A1320&lt;COUNTIFS($K$1:M$1,"&lt;&gt;"),0,SUMIFS($J:$J,$B:$B,$B1320,$A:$A,"&gt;="&amp;COUNTIFS($K$1:M$1,"&lt;&gt;"))),0)</f>
        <v>0.10452961672473869</v>
      </c>
      <c r="N1320">
        <f>IFERROR($J1320/IF($A1320&lt;COUNTIFS($K$1:N$1,"&lt;&gt;"),0,SUMIFS($J:$J,$B:$B,$B1320,$A:$A,"&gt;="&amp;COUNTIFS($K$1:N$1,"&lt;&gt;"))),0)</f>
        <v>0.11673151750972764</v>
      </c>
      <c r="O1320">
        <f>IFERROR($J1320/IF($A1320&lt;COUNTIFS($K$1:O$1,"&lt;&gt;"),0,SUMIFS($J:$J,$B:$B,$B1320,$A:$A,"&gt;="&amp;COUNTIFS($K$1:O$1,"&lt;&gt;"))),0)</f>
        <v>0.13274336283185842</v>
      </c>
      <c r="P1320">
        <f>IFERROR($J1320/IF($A1320&lt;COUNTIFS($K$1:P$1,"&lt;&gt;"),0,SUMIFS($J:$J,$B:$B,$B1320,$A:$A,"&gt;="&amp;COUNTIFS($K$1:P$1,"&lt;&gt;"))),0)</f>
        <v>0</v>
      </c>
      <c r="Q1320">
        <f>IFERROR($J1320/IF($A1320&lt;COUNTIFS($K$1:Q$1,"&lt;&gt;"),0,SUMIFS($J:$J,$B:$B,$B1320,$A:$A,"&gt;="&amp;COUNTIFS($K$1:Q$1,"&lt;&gt;"))),0)</f>
        <v>0</v>
      </c>
      <c r="R1320">
        <f>IFERROR($J1320/IF($A1320&lt;COUNTIFS($K$1:R$1,"&lt;&gt;"),0,SUMIFS($J:$J,$B:$B,$B1320,$A:$A,"&gt;="&amp;COUNTIFS($K$1:R$1,"&lt;&gt;"))),0)</f>
        <v>0</v>
      </c>
      <c r="S1320">
        <f>IFERROR($J1320/IF($A1320&lt;COUNTIFS($K$1:S$1,"&lt;&gt;"),0,SUMIFS($J:$J,$B:$B,$B1320,$A:$A,"&gt;="&amp;COUNTIFS($K$1:S$1,"&lt;&gt;"))),0)</f>
        <v>0</v>
      </c>
      <c r="T1320">
        <f>IFERROR($J1320/IF($A1320&lt;COUNTIFS($K$1:T$1,"&lt;&gt;"),0,SUMIFS($J:$J,$B:$B,$B1320,$A:$A,"&gt;="&amp;COUNTIFS($K$1:T$1,"&lt;&gt;"))),0)</f>
        <v>0</v>
      </c>
      <c r="U1320">
        <f>IFERROR($J1320/IF($A1320&lt;COUNTIFS($K$1:U$1,"&lt;&gt;"),0,SUMIFS($J:$J,$B:$B,$B1320,$A:$A,"&gt;="&amp;COUNTIFS($K$1:U$1,"&lt;&gt;"))),0)</f>
        <v>0</v>
      </c>
      <c r="V1320">
        <f>IFERROR($J1320/IF($A1320&lt;COUNTIFS($K$1:V$1,"&lt;&gt;"),0,SUMIFS($J:$J,$B:$B,$B1320,$A:$A,"&gt;="&amp;COUNTIFS($K$1:V$1,"&lt;&gt;"))),0)</f>
        <v>0</v>
      </c>
      <c r="W1320">
        <f t="shared" si="464"/>
        <v>8.2191780821917804E-2</v>
      </c>
      <c r="X1320">
        <f t="shared" si="444"/>
        <v>8.2191780821917804E-2</v>
      </c>
      <c r="Y1320">
        <f t="shared" si="445"/>
        <v>8.2191780821917804E-2</v>
      </c>
      <c r="Z1320">
        <f t="shared" si="446"/>
        <v>8.2191780821917804E-2</v>
      </c>
      <c r="AA1320">
        <f t="shared" si="447"/>
        <v>8.2191780821917804E-2</v>
      </c>
      <c r="AB1320">
        <f t="shared" si="448"/>
        <v>8.2191780821917804E-2</v>
      </c>
      <c r="AC1320">
        <f t="shared" si="449"/>
        <v>0</v>
      </c>
      <c r="AD1320">
        <f t="shared" si="450"/>
        <v>0</v>
      </c>
      <c r="AE1320">
        <f t="shared" si="451"/>
        <v>0</v>
      </c>
      <c r="AF1320">
        <f t="shared" si="452"/>
        <v>0</v>
      </c>
      <c r="AG1320">
        <f t="shared" si="453"/>
        <v>0</v>
      </c>
      <c r="AH1320">
        <f t="shared" si="454"/>
        <v>0</v>
      </c>
      <c r="AI1320">
        <f t="shared" si="455"/>
        <v>0</v>
      </c>
      <c r="AJ1320" s="2" t="str">
        <f t="shared" si="465"/>
        <v>546905</v>
      </c>
    </row>
    <row r="1321" spans="1:36" x14ac:dyDescent="0.25">
      <c r="A1321">
        <v>6</v>
      </c>
      <c r="B1321" s="1">
        <v>46905</v>
      </c>
      <c r="C1321" s="1">
        <f t="shared" si="456"/>
        <v>47088</v>
      </c>
      <c r="D1321" s="1">
        <f t="shared" si="457"/>
        <v>46919</v>
      </c>
      <c r="E1321" s="1">
        <f t="shared" si="458"/>
        <v>47088</v>
      </c>
      <c r="F1321" s="1">
        <f t="shared" si="459"/>
        <v>47119</v>
      </c>
      <c r="G1321" s="1">
        <f t="shared" si="460"/>
        <v>47284</v>
      </c>
      <c r="H1321">
        <f t="shared" si="461"/>
        <v>365</v>
      </c>
      <c r="I1321">
        <f t="shared" si="462"/>
        <v>31</v>
      </c>
      <c r="J1321">
        <f t="shared" si="463"/>
        <v>8.4931506849315067E-2</v>
      </c>
      <c r="K1321">
        <f>IFERROR($J1321/IF($A1321&lt;COUNTIFS($K$1:K$1,"&lt;&gt;"),0,SUMIFS($J:$J,$B:$B,$B1321,$A:$A,"&gt;="&amp;COUNTIFS($K$1:K$1,"&lt;&gt;"))),0)</f>
        <v>8.8825214899713484E-2</v>
      </c>
      <c r="L1321">
        <f>IFERROR($J1321/IF($A1321&lt;COUNTIFS($K$1:L$1,"&lt;&gt;"),0,SUMIFS($J:$J,$B:$B,$B1321,$A:$A,"&gt;="&amp;COUNTIFS($K$1:L$1,"&lt;&gt;"))),0)</f>
        <v>9.7484276729559768E-2</v>
      </c>
      <c r="M1321">
        <f>IFERROR($J1321/IF($A1321&lt;COUNTIFS($K$1:M$1,"&lt;&gt;"),0,SUMIFS($J:$J,$B:$B,$B1321,$A:$A,"&gt;="&amp;COUNTIFS($K$1:M$1,"&lt;&gt;"))),0)</f>
        <v>0.10801393728222998</v>
      </c>
      <c r="N1321">
        <f>IFERROR($J1321/IF($A1321&lt;COUNTIFS($K$1:N$1,"&lt;&gt;"),0,SUMIFS($J:$J,$B:$B,$B1321,$A:$A,"&gt;="&amp;COUNTIFS($K$1:N$1,"&lt;&gt;"))),0)</f>
        <v>0.12062256809338523</v>
      </c>
      <c r="O1321">
        <f>IFERROR($J1321/IF($A1321&lt;COUNTIFS($K$1:O$1,"&lt;&gt;"),0,SUMIFS($J:$J,$B:$B,$B1321,$A:$A,"&gt;="&amp;COUNTIFS($K$1:O$1,"&lt;&gt;"))),0)</f>
        <v>0.13716814159292037</v>
      </c>
      <c r="P1321">
        <f>IFERROR($J1321/IF($A1321&lt;COUNTIFS($K$1:P$1,"&lt;&gt;"),0,SUMIFS($J:$J,$B:$B,$B1321,$A:$A,"&gt;="&amp;COUNTIFS($K$1:P$1,"&lt;&gt;"))),0)</f>
        <v>0.15816326530612249</v>
      </c>
      <c r="Q1321">
        <f>IFERROR($J1321/IF($A1321&lt;COUNTIFS($K$1:Q$1,"&lt;&gt;"),0,SUMIFS($J:$J,$B:$B,$B1321,$A:$A,"&gt;="&amp;COUNTIFS($K$1:Q$1,"&lt;&gt;"))),0)</f>
        <v>0</v>
      </c>
      <c r="R1321">
        <f>IFERROR($J1321/IF($A1321&lt;COUNTIFS($K$1:R$1,"&lt;&gt;"),0,SUMIFS($J:$J,$B:$B,$B1321,$A:$A,"&gt;="&amp;COUNTIFS($K$1:R$1,"&lt;&gt;"))),0)</f>
        <v>0</v>
      </c>
      <c r="S1321">
        <f>IFERROR($J1321/IF($A1321&lt;COUNTIFS($K$1:S$1,"&lt;&gt;"),0,SUMIFS($J:$J,$B:$B,$B1321,$A:$A,"&gt;="&amp;COUNTIFS($K$1:S$1,"&lt;&gt;"))),0)</f>
        <v>0</v>
      </c>
      <c r="T1321">
        <f>IFERROR($J1321/IF($A1321&lt;COUNTIFS($K$1:T$1,"&lt;&gt;"),0,SUMIFS($J:$J,$B:$B,$B1321,$A:$A,"&gt;="&amp;COUNTIFS($K$1:T$1,"&lt;&gt;"))),0)</f>
        <v>0</v>
      </c>
      <c r="U1321">
        <f>IFERROR($J1321/IF($A1321&lt;COUNTIFS($K$1:U$1,"&lt;&gt;"),0,SUMIFS($J:$J,$B:$B,$B1321,$A:$A,"&gt;="&amp;COUNTIFS($K$1:U$1,"&lt;&gt;"))),0)</f>
        <v>0</v>
      </c>
      <c r="V1321">
        <f>IFERROR($J1321/IF($A1321&lt;COUNTIFS($K$1:V$1,"&lt;&gt;"),0,SUMIFS($J:$J,$B:$B,$B1321,$A:$A,"&gt;="&amp;COUNTIFS($K$1:V$1,"&lt;&gt;"))),0)</f>
        <v>0</v>
      </c>
      <c r="W1321">
        <f t="shared" si="464"/>
        <v>8.4931506849315067E-2</v>
      </c>
      <c r="X1321">
        <f t="shared" si="444"/>
        <v>8.4931506849315067E-2</v>
      </c>
      <c r="Y1321">
        <f t="shared" si="445"/>
        <v>8.4931506849315067E-2</v>
      </c>
      <c r="Z1321">
        <f t="shared" si="446"/>
        <v>8.4931506849315067E-2</v>
      </c>
      <c r="AA1321">
        <f t="shared" si="447"/>
        <v>8.4931506849315067E-2</v>
      </c>
      <c r="AB1321">
        <f t="shared" si="448"/>
        <v>8.4931506849315067E-2</v>
      </c>
      <c r="AC1321">
        <f t="shared" si="449"/>
        <v>8.4931506849315067E-2</v>
      </c>
      <c r="AD1321">
        <f t="shared" si="450"/>
        <v>0</v>
      </c>
      <c r="AE1321">
        <f t="shared" si="451"/>
        <v>0</v>
      </c>
      <c r="AF1321">
        <f t="shared" si="452"/>
        <v>0</v>
      </c>
      <c r="AG1321">
        <f t="shared" si="453"/>
        <v>0</v>
      </c>
      <c r="AH1321">
        <f t="shared" si="454"/>
        <v>0</v>
      </c>
      <c r="AI1321">
        <f t="shared" si="455"/>
        <v>0</v>
      </c>
      <c r="AJ1321" s="2" t="str">
        <f t="shared" si="465"/>
        <v>646905</v>
      </c>
    </row>
    <row r="1322" spans="1:36" x14ac:dyDescent="0.25">
      <c r="A1322">
        <v>7</v>
      </c>
      <c r="B1322" s="1">
        <v>46905</v>
      </c>
      <c r="C1322" s="1">
        <f t="shared" si="456"/>
        <v>47119</v>
      </c>
      <c r="D1322" s="1">
        <f t="shared" si="457"/>
        <v>46919</v>
      </c>
      <c r="E1322" s="1">
        <f t="shared" si="458"/>
        <v>47119</v>
      </c>
      <c r="F1322" s="1">
        <f t="shared" si="459"/>
        <v>47150</v>
      </c>
      <c r="G1322" s="1">
        <f t="shared" si="460"/>
        <v>47284</v>
      </c>
      <c r="H1322">
        <f t="shared" si="461"/>
        <v>365</v>
      </c>
      <c r="I1322">
        <f t="shared" si="462"/>
        <v>31</v>
      </c>
      <c r="J1322">
        <f t="shared" si="463"/>
        <v>8.4931506849315067E-2</v>
      </c>
      <c r="K1322">
        <f>IFERROR($J1322/IF($A1322&lt;COUNTIFS($K$1:K$1,"&lt;&gt;"),0,SUMIFS($J:$J,$B:$B,$B1322,$A:$A,"&gt;="&amp;COUNTIFS($K$1:K$1,"&lt;&gt;"))),0)</f>
        <v>8.8825214899713484E-2</v>
      </c>
      <c r="L1322">
        <f>IFERROR($J1322/IF($A1322&lt;COUNTIFS($K$1:L$1,"&lt;&gt;"),0,SUMIFS($J:$J,$B:$B,$B1322,$A:$A,"&gt;="&amp;COUNTIFS($K$1:L$1,"&lt;&gt;"))),0)</f>
        <v>9.7484276729559768E-2</v>
      </c>
      <c r="M1322">
        <f>IFERROR($J1322/IF($A1322&lt;COUNTIFS($K$1:M$1,"&lt;&gt;"),0,SUMIFS($J:$J,$B:$B,$B1322,$A:$A,"&gt;="&amp;COUNTIFS($K$1:M$1,"&lt;&gt;"))),0)</f>
        <v>0.10801393728222998</v>
      </c>
      <c r="N1322">
        <f>IFERROR($J1322/IF($A1322&lt;COUNTIFS($K$1:N$1,"&lt;&gt;"),0,SUMIFS($J:$J,$B:$B,$B1322,$A:$A,"&gt;="&amp;COUNTIFS($K$1:N$1,"&lt;&gt;"))),0)</f>
        <v>0.12062256809338523</v>
      </c>
      <c r="O1322">
        <f>IFERROR($J1322/IF($A1322&lt;COUNTIFS($K$1:O$1,"&lt;&gt;"),0,SUMIFS($J:$J,$B:$B,$B1322,$A:$A,"&gt;="&amp;COUNTIFS($K$1:O$1,"&lt;&gt;"))),0)</f>
        <v>0.13716814159292037</v>
      </c>
      <c r="P1322">
        <f>IFERROR($J1322/IF($A1322&lt;COUNTIFS($K$1:P$1,"&lt;&gt;"),0,SUMIFS($J:$J,$B:$B,$B1322,$A:$A,"&gt;="&amp;COUNTIFS($K$1:P$1,"&lt;&gt;"))),0)</f>
        <v>0.15816326530612249</v>
      </c>
      <c r="Q1322">
        <f>IFERROR($J1322/IF($A1322&lt;COUNTIFS($K$1:Q$1,"&lt;&gt;"),0,SUMIFS($J:$J,$B:$B,$B1322,$A:$A,"&gt;="&amp;COUNTIFS($K$1:Q$1,"&lt;&gt;"))),0)</f>
        <v>0.1878787878787879</v>
      </c>
      <c r="R1322">
        <f>IFERROR($J1322/IF($A1322&lt;COUNTIFS($K$1:R$1,"&lt;&gt;"),0,SUMIFS($J:$J,$B:$B,$B1322,$A:$A,"&gt;="&amp;COUNTIFS($K$1:R$1,"&lt;&gt;"))),0)</f>
        <v>0</v>
      </c>
      <c r="S1322">
        <f>IFERROR($J1322/IF($A1322&lt;COUNTIFS($K$1:S$1,"&lt;&gt;"),0,SUMIFS($J:$J,$B:$B,$B1322,$A:$A,"&gt;="&amp;COUNTIFS($K$1:S$1,"&lt;&gt;"))),0)</f>
        <v>0</v>
      </c>
      <c r="T1322">
        <f>IFERROR($J1322/IF($A1322&lt;COUNTIFS($K$1:T$1,"&lt;&gt;"),0,SUMIFS($J:$J,$B:$B,$B1322,$A:$A,"&gt;="&amp;COUNTIFS($K$1:T$1,"&lt;&gt;"))),0)</f>
        <v>0</v>
      </c>
      <c r="U1322">
        <f>IFERROR($J1322/IF($A1322&lt;COUNTIFS($K$1:U$1,"&lt;&gt;"),0,SUMIFS($J:$J,$B:$B,$B1322,$A:$A,"&gt;="&amp;COUNTIFS($K$1:U$1,"&lt;&gt;"))),0)</f>
        <v>0</v>
      </c>
      <c r="V1322">
        <f>IFERROR($J1322/IF($A1322&lt;COUNTIFS($K$1:V$1,"&lt;&gt;"),0,SUMIFS($J:$J,$B:$B,$B1322,$A:$A,"&gt;="&amp;COUNTIFS($K$1:V$1,"&lt;&gt;"))),0)</f>
        <v>0</v>
      </c>
      <c r="W1322">
        <f t="shared" si="464"/>
        <v>8.4931506849315067E-2</v>
      </c>
      <c r="X1322">
        <f t="shared" si="444"/>
        <v>8.4931506849315067E-2</v>
      </c>
      <c r="Y1322">
        <f t="shared" si="445"/>
        <v>8.4931506849315067E-2</v>
      </c>
      <c r="Z1322">
        <f t="shared" si="446"/>
        <v>8.4931506849315067E-2</v>
      </c>
      <c r="AA1322">
        <f t="shared" si="447"/>
        <v>8.4931506849315067E-2</v>
      </c>
      <c r="AB1322">
        <f t="shared" si="448"/>
        <v>8.4931506849315067E-2</v>
      </c>
      <c r="AC1322">
        <f t="shared" si="449"/>
        <v>8.4931506849315067E-2</v>
      </c>
      <c r="AD1322">
        <f t="shared" si="450"/>
        <v>8.4931506849315067E-2</v>
      </c>
      <c r="AE1322">
        <f t="shared" si="451"/>
        <v>0</v>
      </c>
      <c r="AF1322">
        <f t="shared" si="452"/>
        <v>0</v>
      </c>
      <c r="AG1322">
        <f t="shared" si="453"/>
        <v>0</v>
      </c>
      <c r="AH1322">
        <f t="shared" si="454"/>
        <v>0</v>
      </c>
      <c r="AI1322">
        <f t="shared" si="455"/>
        <v>0</v>
      </c>
      <c r="AJ1322" s="2" t="str">
        <f t="shared" si="465"/>
        <v>746905</v>
      </c>
    </row>
    <row r="1323" spans="1:36" x14ac:dyDescent="0.25">
      <c r="A1323">
        <v>8</v>
      </c>
      <c r="B1323" s="1">
        <v>46905</v>
      </c>
      <c r="C1323" s="1">
        <f t="shared" si="456"/>
        <v>47150</v>
      </c>
      <c r="D1323" s="1">
        <f t="shared" si="457"/>
        <v>46919</v>
      </c>
      <c r="E1323" s="1">
        <f t="shared" si="458"/>
        <v>47150</v>
      </c>
      <c r="F1323" s="1">
        <f t="shared" si="459"/>
        <v>47178</v>
      </c>
      <c r="G1323" s="1">
        <f t="shared" si="460"/>
        <v>47284</v>
      </c>
      <c r="H1323">
        <f t="shared" si="461"/>
        <v>365</v>
      </c>
      <c r="I1323">
        <f t="shared" si="462"/>
        <v>28</v>
      </c>
      <c r="J1323">
        <f t="shared" si="463"/>
        <v>7.6712328767123292E-2</v>
      </c>
      <c r="K1323">
        <f>IFERROR($J1323/IF($A1323&lt;COUNTIFS($K$1:K$1,"&lt;&gt;"),0,SUMIFS($J:$J,$B:$B,$B1323,$A:$A,"&gt;="&amp;COUNTIFS($K$1:K$1,"&lt;&gt;"))),0)</f>
        <v>8.0229226361031539E-2</v>
      </c>
      <c r="L1323">
        <f>IFERROR($J1323/IF($A1323&lt;COUNTIFS($K$1:L$1,"&lt;&gt;"),0,SUMIFS($J:$J,$B:$B,$B1323,$A:$A,"&gt;="&amp;COUNTIFS($K$1:L$1,"&lt;&gt;"))),0)</f>
        <v>8.8050314465408827E-2</v>
      </c>
      <c r="M1323">
        <f>IFERROR($J1323/IF($A1323&lt;COUNTIFS($K$1:M$1,"&lt;&gt;"),0,SUMIFS($J:$J,$B:$B,$B1323,$A:$A,"&gt;="&amp;COUNTIFS($K$1:M$1,"&lt;&gt;"))),0)</f>
        <v>9.7560975609756115E-2</v>
      </c>
      <c r="N1323">
        <f>IFERROR($J1323/IF($A1323&lt;COUNTIFS($K$1:N$1,"&lt;&gt;"),0,SUMIFS($J:$J,$B:$B,$B1323,$A:$A,"&gt;="&amp;COUNTIFS($K$1:N$1,"&lt;&gt;"))),0)</f>
        <v>0.10894941634241248</v>
      </c>
      <c r="O1323">
        <f>IFERROR($J1323/IF($A1323&lt;COUNTIFS($K$1:O$1,"&lt;&gt;"),0,SUMIFS($J:$J,$B:$B,$B1323,$A:$A,"&gt;="&amp;COUNTIFS($K$1:O$1,"&lt;&gt;"))),0)</f>
        <v>0.12389380530973454</v>
      </c>
      <c r="P1323">
        <f>IFERROR($J1323/IF($A1323&lt;COUNTIFS($K$1:P$1,"&lt;&gt;"),0,SUMIFS($J:$J,$B:$B,$B1323,$A:$A,"&gt;="&amp;COUNTIFS($K$1:P$1,"&lt;&gt;"))),0)</f>
        <v>0.14285714285714288</v>
      </c>
      <c r="Q1323">
        <f>IFERROR($J1323/IF($A1323&lt;COUNTIFS($K$1:Q$1,"&lt;&gt;"),0,SUMIFS($J:$J,$B:$B,$B1323,$A:$A,"&gt;="&amp;COUNTIFS($K$1:Q$1,"&lt;&gt;"))),0)</f>
        <v>0.16969696969696971</v>
      </c>
      <c r="R1323">
        <f>IFERROR($J1323/IF($A1323&lt;COUNTIFS($K$1:R$1,"&lt;&gt;"),0,SUMIFS($J:$J,$B:$B,$B1323,$A:$A,"&gt;="&amp;COUNTIFS($K$1:R$1,"&lt;&gt;"))),0)</f>
        <v>0.20895522388059704</v>
      </c>
      <c r="S1323">
        <f>IFERROR($J1323/IF($A1323&lt;COUNTIFS($K$1:S$1,"&lt;&gt;"),0,SUMIFS($J:$J,$B:$B,$B1323,$A:$A,"&gt;="&amp;COUNTIFS($K$1:S$1,"&lt;&gt;"))),0)</f>
        <v>0</v>
      </c>
      <c r="T1323">
        <f>IFERROR($J1323/IF($A1323&lt;COUNTIFS($K$1:T$1,"&lt;&gt;"),0,SUMIFS($J:$J,$B:$B,$B1323,$A:$A,"&gt;="&amp;COUNTIFS($K$1:T$1,"&lt;&gt;"))),0)</f>
        <v>0</v>
      </c>
      <c r="U1323">
        <f>IFERROR($J1323/IF($A1323&lt;COUNTIFS($K$1:U$1,"&lt;&gt;"),0,SUMIFS($J:$J,$B:$B,$B1323,$A:$A,"&gt;="&amp;COUNTIFS($K$1:U$1,"&lt;&gt;"))),0)</f>
        <v>0</v>
      </c>
      <c r="V1323">
        <f>IFERROR($J1323/IF($A1323&lt;COUNTIFS($K$1:V$1,"&lt;&gt;"),0,SUMIFS($J:$J,$B:$B,$B1323,$A:$A,"&gt;="&amp;COUNTIFS($K$1:V$1,"&lt;&gt;"))),0)</f>
        <v>0</v>
      </c>
      <c r="W1323">
        <f t="shared" si="464"/>
        <v>7.6712328767123292E-2</v>
      </c>
      <c r="X1323">
        <f t="shared" si="444"/>
        <v>7.6712328767123292E-2</v>
      </c>
      <c r="Y1323">
        <f t="shared" si="445"/>
        <v>7.6712328767123292E-2</v>
      </c>
      <c r="Z1323">
        <f t="shared" si="446"/>
        <v>7.6712328767123292E-2</v>
      </c>
      <c r="AA1323">
        <f t="shared" si="447"/>
        <v>7.6712328767123292E-2</v>
      </c>
      <c r="AB1323">
        <f t="shared" si="448"/>
        <v>7.6712328767123292E-2</v>
      </c>
      <c r="AC1323">
        <f t="shared" si="449"/>
        <v>7.6712328767123292E-2</v>
      </c>
      <c r="AD1323">
        <f t="shared" si="450"/>
        <v>7.6712328767123292E-2</v>
      </c>
      <c r="AE1323">
        <f t="shared" si="451"/>
        <v>7.6712328767123292E-2</v>
      </c>
      <c r="AF1323">
        <f t="shared" si="452"/>
        <v>0</v>
      </c>
      <c r="AG1323">
        <f t="shared" si="453"/>
        <v>0</v>
      </c>
      <c r="AH1323">
        <f t="shared" si="454"/>
        <v>0</v>
      </c>
      <c r="AI1323">
        <f t="shared" si="455"/>
        <v>0</v>
      </c>
      <c r="AJ1323" s="2" t="str">
        <f t="shared" si="465"/>
        <v>846905</v>
      </c>
    </row>
    <row r="1324" spans="1:36" x14ac:dyDescent="0.25">
      <c r="A1324">
        <v>9</v>
      </c>
      <c r="B1324" s="1">
        <v>46905</v>
      </c>
      <c r="C1324" s="1">
        <f t="shared" si="456"/>
        <v>47178</v>
      </c>
      <c r="D1324" s="1">
        <f t="shared" si="457"/>
        <v>46919</v>
      </c>
      <c r="E1324" s="1">
        <f t="shared" si="458"/>
        <v>47178</v>
      </c>
      <c r="F1324" s="1">
        <f t="shared" si="459"/>
        <v>47209</v>
      </c>
      <c r="G1324" s="1">
        <f t="shared" si="460"/>
        <v>47284</v>
      </c>
      <c r="H1324">
        <f t="shared" si="461"/>
        <v>365</v>
      </c>
      <c r="I1324">
        <f t="shared" si="462"/>
        <v>31</v>
      </c>
      <c r="J1324">
        <f t="shared" si="463"/>
        <v>8.4931506849315067E-2</v>
      </c>
      <c r="K1324">
        <f>IFERROR($J1324/IF($A1324&lt;COUNTIFS($K$1:K$1,"&lt;&gt;"),0,SUMIFS($J:$J,$B:$B,$B1324,$A:$A,"&gt;="&amp;COUNTIFS($K$1:K$1,"&lt;&gt;"))),0)</f>
        <v>8.8825214899713484E-2</v>
      </c>
      <c r="L1324">
        <f>IFERROR($J1324/IF($A1324&lt;COUNTIFS($K$1:L$1,"&lt;&gt;"),0,SUMIFS($J:$J,$B:$B,$B1324,$A:$A,"&gt;="&amp;COUNTIFS($K$1:L$1,"&lt;&gt;"))),0)</f>
        <v>9.7484276729559768E-2</v>
      </c>
      <c r="M1324">
        <f>IFERROR($J1324/IF($A1324&lt;COUNTIFS($K$1:M$1,"&lt;&gt;"),0,SUMIFS($J:$J,$B:$B,$B1324,$A:$A,"&gt;="&amp;COUNTIFS($K$1:M$1,"&lt;&gt;"))),0)</f>
        <v>0.10801393728222998</v>
      </c>
      <c r="N1324">
        <f>IFERROR($J1324/IF($A1324&lt;COUNTIFS($K$1:N$1,"&lt;&gt;"),0,SUMIFS($J:$J,$B:$B,$B1324,$A:$A,"&gt;="&amp;COUNTIFS($K$1:N$1,"&lt;&gt;"))),0)</f>
        <v>0.12062256809338523</v>
      </c>
      <c r="O1324">
        <f>IFERROR($J1324/IF($A1324&lt;COUNTIFS($K$1:O$1,"&lt;&gt;"),0,SUMIFS($J:$J,$B:$B,$B1324,$A:$A,"&gt;="&amp;COUNTIFS($K$1:O$1,"&lt;&gt;"))),0)</f>
        <v>0.13716814159292037</v>
      </c>
      <c r="P1324">
        <f>IFERROR($J1324/IF($A1324&lt;COUNTIFS($K$1:P$1,"&lt;&gt;"),0,SUMIFS($J:$J,$B:$B,$B1324,$A:$A,"&gt;="&amp;COUNTIFS($K$1:P$1,"&lt;&gt;"))),0)</f>
        <v>0.15816326530612249</v>
      </c>
      <c r="Q1324">
        <f>IFERROR($J1324/IF($A1324&lt;COUNTIFS($K$1:Q$1,"&lt;&gt;"),0,SUMIFS($J:$J,$B:$B,$B1324,$A:$A,"&gt;="&amp;COUNTIFS($K$1:Q$1,"&lt;&gt;"))),0)</f>
        <v>0.1878787878787879</v>
      </c>
      <c r="R1324">
        <f>IFERROR($J1324/IF($A1324&lt;COUNTIFS($K$1:R$1,"&lt;&gt;"),0,SUMIFS($J:$J,$B:$B,$B1324,$A:$A,"&gt;="&amp;COUNTIFS($K$1:R$1,"&lt;&gt;"))),0)</f>
        <v>0.23134328358208955</v>
      </c>
      <c r="S1324">
        <f>IFERROR($J1324/IF($A1324&lt;COUNTIFS($K$1:S$1,"&lt;&gt;"),0,SUMIFS($J:$J,$B:$B,$B1324,$A:$A,"&gt;="&amp;COUNTIFS($K$1:S$1,"&lt;&gt;"))),0)</f>
        <v>0.29245283018867929</v>
      </c>
      <c r="T1324">
        <f>IFERROR($J1324/IF($A1324&lt;COUNTIFS($K$1:T$1,"&lt;&gt;"),0,SUMIFS($J:$J,$B:$B,$B1324,$A:$A,"&gt;="&amp;COUNTIFS($K$1:T$1,"&lt;&gt;"))),0)</f>
        <v>0</v>
      </c>
      <c r="U1324">
        <f>IFERROR($J1324/IF($A1324&lt;COUNTIFS($K$1:U$1,"&lt;&gt;"),0,SUMIFS($J:$J,$B:$B,$B1324,$A:$A,"&gt;="&amp;COUNTIFS($K$1:U$1,"&lt;&gt;"))),0)</f>
        <v>0</v>
      </c>
      <c r="V1324">
        <f>IFERROR($J1324/IF($A1324&lt;COUNTIFS($K$1:V$1,"&lt;&gt;"),0,SUMIFS($J:$J,$B:$B,$B1324,$A:$A,"&gt;="&amp;COUNTIFS($K$1:V$1,"&lt;&gt;"))),0)</f>
        <v>0</v>
      </c>
      <c r="W1324">
        <f t="shared" si="464"/>
        <v>8.4931506849315067E-2</v>
      </c>
      <c r="X1324">
        <f t="shared" si="444"/>
        <v>8.4931506849315067E-2</v>
      </c>
      <c r="Y1324">
        <f t="shared" si="445"/>
        <v>8.4931506849315067E-2</v>
      </c>
      <c r="Z1324">
        <f t="shared" si="446"/>
        <v>8.4931506849315067E-2</v>
      </c>
      <c r="AA1324">
        <f t="shared" si="447"/>
        <v>8.4931506849315067E-2</v>
      </c>
      <c r="AB1324">
        <f t="shared" si="448"/>
        <v>8.4931506849315067E-2</v>
      </c>
      <c r="AC1324">
        <f t="shared" si="449"/>
        <v>8.4931506849315067E-2</v>
      </c>
      <c r="AD1324">
        <f t="shared" si="450"/>
        <v>8.4931506849315067E-2</v>
      </c>
      <c r="AE1324">
        <f t="shared" si="451"/>
        <v>8.4931506849315067E-2</v>
      </c>
      <c r="AF1324">
        <f t="shared" si="452"/>
        <v>8.4931506849315067E-2</v>
      </c>
      <c r="AG1324">
        <f t="shared" si="453"/>
        <v>0</v>
      </c>
      <c r="AH1324">
        <f t="shared" si="454"/>
        <v>0</v>
      </c>
      <c r="AI1324">
        <f t="shared" si="455"/>
        <v>0</v>
      </c>
      <c r="AJ1324" s="2" t="str">
        <f t="shared" si="465"/>
        <v>946905</v>
      </c>
    </row>
    <row r="1325" spans="1:36" x14ac:dyDescent="0.25">
      <c r="A1325">
        <v>10</v>
      </c>
      <c r="B1325" s="1">
        <v>46905</v>
      </c>
      <c r="C1325" s="1">
        <f t="shared" si="456"/>
        <v>47209</v>
      </c>
      <c r="D1325" s="1">
        <f t="shared" si="457"/>
        <v>46919</v>
      </c>
      <c r="E1325" s="1">
        <f t="shared" si="458"/>
        <v>47209</v>
      </c>
      <c r="F1325" s="1">
        <f t="shared" si="459"/>
        <v>47239</v>
      </c>
      <c r="G1325" s="1">
        <f t="shared" si="460"/>
        <v>47284</v>
      </c>
      <c r="H1325">
        <f t="shared" si="461"/>
        <v>365</v>
      </c>
      <c r="I1325">
        <f t="shared" si="462"/>
        <v>30</v>
      </c>
      <c r="J1325">
        <f t="shared" si="463"/>
        <v>8.2191780821917804E-2</v>
      </c>
      <c r="K1325">
        <f>IFERROR($J1325/IF($A1325&lt;COUNTIFS($K$1:K$1,"&lt;&gt;"),0,SUMIFS($J:$J,$B:$B,$B1325,$A:$A,"&gt;="&amp;COUNTIFS($K$1:K$1,"&lt;&gt;"))),0)</f>
        <v>8.5959885386819493E-2</v>
      </c>
      <c r="L1325">
        <f>IFERROR($J1325/IF($A1325&lt;COUNTIFS($K$1:L$1,"&lt;&gt;"),0,SUMIFS($J:$J,$B:$B,$B1325,$A:$A,"&gt;="&amp;COUNTIFS($K$1:L$1,"&lt;&gt;"))),0)</f>
        <v>9.4339622641509441E-2</v>
      </c>
      <c r="M1325">
        <f>IFERROR($J1325/IF($A1325&lt;COUNTIFS($K$1:M$1,"&lt;&gt;"),0,SUMIFS($J:$J,$B:$B,$B1325,$A:$A,"&gt;="&amp;COUNTIFS($K$1:M$1,"&lt;&gt;"))),0)</f>
        <v>0.10452961672473869</v>
      </c>
      <c r="N1325">
        <f>IFERROR($J1325/IF($A1325&lt;COUNTIFS($K$1:N$1,"&lt;&gt;"),0,SUMIFS($J:$J,$B:$B,$B1325,$A:$A,"&gt;="&amp;COUNTIFS($K$1:N$1,"&lt;&gt;"))),0)</f>
        <v>0.11673151750972764</v>
      </c>
      <c r="O1325">
        <f>IFERROR($J1325/IF($A1325&lt;COUNTIFS($K$1:O$1,"&lt;&gt;"),0,SUMIFS($J:$J,$B:$B,$B1325,$A:$A,"&gt;="&amp;COUNTIFS($K$1:O$1,"&lt;&gt;"))),0)</f>
        <v>0.13274336283185842</v>
      </c>
      <c r="P1325">
        <f>IFERROR($J1325/IF($A1325&lt;COUNTIFS($K$1:P$1,"&lt;&gt;"),0,SUMIFS($J:$J,$B:$B,$B1325,$A:$A,"&gt;="&amp;COUNTIFS($K$1:P$1,"&lt;&gt;"))),0)</f>
        <v>0.15306122448979595</v>
      </c>
      <c r="Q1325">
        <f>IFERROR($J1325/IF($A1325&lt;COUNTIFS($K$1:Q$1,"&lt;&gt;"),0,SUMIFS($J:$J,$B:$B,$B1325,$A:$A,"&gt;="&amp;COUNTIFS($K$1:Q$1,"&lt;&gt;"))),0)</f>
        <v>0.18181818181818182</v>
      </c>
      <c r="R1325">
        <f>IFERROR($J1325/IF($A1325&lt;COUNTIFS($K$1:R$1,"&lt;&gt;"),0,SUMIFS($J:$J,$B:$B,$B1325,$A:$A,"&gt;="&amp;COUNTIFS($K$1:R$1,"&lt;&gt;"))),0)</f>
        <v>0.22388059701492535</v>
      </c>
      <c r="S1325">
        <f>IFERROR($J1325/IF($A1325&lt;COUNTIFS($K$1:S$1,"&lt;&gt;"),0,SUMIFS($J:$J,$B:$B,$B1325,$A:$A,"&gt;="&amp;COUNTIFS($K$1:S$1,"&lt;&gt;"))),0)</f>
        <v>0.28301886792452829</v>
      </c>
      <c r="T1325">
        <f>IFERROR($J1325/IF($A1325&lt;COUNTIFS($K$1:T$1,"&lt;&gt;"),0,SUMIFS($J:$J,$B:$B,$B1325,$A:$A,"&gt;="&amp;COUNTIFS($K$1:T$1,"&lt;&gt;"))),0)</f>
        <v>0.4</v>
      </c>
      <c r="U1325">
        <f>IFERROR($J1325/IF($A1325&lt;COUNTIFS($K$1:U$1,"&lt;&gt;"),0,SUMIFS($J:$J,$B:$B,$B1325,$A:$A,"&gt;="&amp;COUNTIFS($K$1:U$1,"&lt;&gt;"))),0)</f>
        <v>0</v>
      </c>
      <c r="V1325">
        <f>IFERROR($J1325/IF($A1325&lt;COUNTIFS($K$1:V$1,"&lt;&gt;"),0,SUMIFS($J:$J,$B:$B,$B1325,$A:$A,"&gt;="&amp;COUNTIFS($K$1:V$1,"&lt;&gt;"))),0)</f>
        <v>0</v>
      </c>
      <c r="W1325">
        <f t="shared" si="464"/>
        <v>8.2191780821917804E-2</v>
      </c>
      <c r="X1325">
        <f t="shared" si="444"/>
        <v>8.2191780821917804E-2</v>
      </c>
      <c r="Y1325">
        <f t="shared" si="445"/>
        <v>8.2191780821917804E-2</v>
      </c>
      <c r="Z1325">
        <f t="shared" si="446"/>
        <v>8.2191780821917804E-2</v>
      </c>
      <c r="AA1325">
        <f t="shared" si="447"/>
        <v>8.2191780821917804E-2</v>
      </c>
      <c r="AB1325">
        <f t="shared" si="448"/>
        <v>8.2191780821917804E-2</v>
      </c>
      <c r="AC1325">
        <f t="shared" si="449"/>
        <v>8.2191780821917804E-2</v>
      </c>
      <c r="AD1325">
        <f t="shared" si="450"/>
        <v>8.2191780821917804E-2</v>
      </c>
      <c r="AE1325">
        <f t="shared" si="451"/>
        <v>8.2191780821917804E-2</v>
      </c>
      <c r="AF1325">
        <f t="shared" si="452"/>
        <v>8.2191780821917804E-2</v>
      </c>
      <c r="AG1325">
        <f t="shared" si="453"/>
        <v>8.2191780821917804E-2</v>
      </c>
      <c r="AH1325">
        <f t="shared" si="454"/>
        <v>0</v>
      </c>
      <c r="AI1325">
        <f t="shared" si="455"/>
        <v>0</v>
      </c>
      <c r="AJ1325" s="2" t="str">
        <f t="shared" si="465"/>
        <v>1046905</v>
      </c>
    </row>
    <row r="1326" spans="1:36" x14ac:dyDescent="0.25">
      <c r="A1326">
        <v>11</v>
      </c>
      <c r="B1326" s="1">
        <v>46905</v>
      </c>
      <c r="C1326" s="1">
        <f t="shared" si="456"/>
        <v>47239</v>
      </c>
      <c r="D1326" s="1">
        <f t="shared" si="457"/>
        <v>46919</v>
      </c>
      <c r="E1326" s="1">
        <f t="shared" si="458"/>
        <v>47239</v>
      </c>
      <c r="F1326" s="1">
        <f t="shared" si="459"/>
        <v>47270</v>
      </c>
      <c r="G1326" s="1">
        <f t="shared" si="460"/>
        <v>47284</v>
      </c>
      <c r="H1326">
        <f t="shared" si="461"/>
        <v>365</v>
      </c>
      <c r="I1326">
        <f t="shared" si="462"/>
        <v>31</v>
      </c>
      <c r="J1326">
        <f t="shared" si="463"/>
        <v>8.4931506849315067E-2</v>
      </c>
      <c r="K1326">
        <f>IFERROR($J1326/IF($A1326&lt;COUNTIFS($K$1:K$1,"&lt;&gt;"),0,SUMIFS($J:$J,$B:$B,$B1326,$A:$A,"&gt;="&amp;COUNTIFS($K$1:K$1,"&lt;&gt;"))),0)</f>
        <v>8.8825214899713484E-2</v>
      </c>
      <c r="L1326">
        <f>IFERROR($J1326/IF($A1326&lt;COUNTIFS($K$1:L$1,"&lt;&gt;"),0,SUMIFS($J:$J,$B:$B,$B1326,$A:$A,"&gt;="&amp;COUNTIFS($K$1:L$1,"&lt;&gt;"))),0)</f>
        <v>9.7484276729559768E-2</v>
      </c>
      <c r="M1326">
        <f>IFERROR($J1326/IF($A1326&lt;COUNTIFS($K$1:M$1,"&lt;&gt;"),0,SUMIFS($J:$J,$B:$B,$B1326,$A:$A,"&gt;="&amp;COUNTIFS($K$1:M$1,"&lt;&gt;"))),0)</f>
        <v>0.10801393728222998</v>
      </c>
      <c r="N1326">
        <f>IFERROR($J1326/IF($A1326&lt;COUNTIFS($K$1:N$1,"&lt;&gt;"),0,SUMIFS($J:$J,$B:$B,$B1326,$A:$A,"&gt;="&amp;COUNTIFS($K$1:N$1,"&lt;&gt;"))),0)</f>
        <v>0.12062256809338523</v>
      </c>
      <c r="O1326">
        <f>IFERROR($J1326/IF($A1326&lt;COUNTIFS($K$1:O$1,"&lt;&gt;"),0,SUMIFS($J:$J,$B:$B,$B1326,$A:$A,"&gt;="&amp;COUNTIFS($K$1:O$1,"&lt;&gt;"))),0)</f>
        <v>0.13716814159292037</v>
      </c>
      <c r="P1326">
        <f>IFERROR($J1326/IF($A1326&lt;COUNTIFS($K$1:P$1,"&lt;&gt;"),0,SUMIFS($J:$J,$B:$B,$B1326,$A:$A,"&gt;="&amp;COUNTIFS($K$1:P$1,"&lt;&gt;"))),0)</f>
        <v>0.15816326530612249</v>
      </c>
      <c r="Q1326">
        <f>IFERROR($J1326/IF($A1326&lt;COUNTIFS($K$1:Q$1,"&lt;&gt;"),0,SUMIFS($J:$J,$B:$B,$B1326,$A:$A,"&gt;="&amp;COUNTIFS($K$1:Q$1,"&lt;&gt;"))),0)</f>
        <v>0.1878787878787879</v>
      </c>
      <c r="R1326">
        <f>IFERROR($J1326/IF($A1326&lt;COUNTIFS($K$1:R$1,"&lt;&gt;"),0,SUMIFS($J:$J,$B:$B,$B1326,$A:$A,"&gt;="&amp;COUNTIFS($K$1:R$1,"&lt;&gt;"))),0)</f>
        <v>0.23134328358208955</v>
      </c>
      <c r="S1326">
        <f>IFERROR($J1326/IF($A1326&lt;COUNTIFS($K$1:S$1,"&lt;&gt;"),0,SUMIFS($J:$J,$B:$B,$B1326,$A:$A,"&gt;="&amp;COUNTIFS($K$1:S$1,"&lt;&gt;"))),0)</f>
        <v>0.29245283018867929</v>
      </c>
      <c r="T1326">
        <f>IFERROR($J1326/IF($A1326&lt;COUNTIFS($K$1:T$1,"&lt;&gt;"),0,SUMIFS($J:$J,$B:$B,$B1326,$A:$A,"&gt;="&amp;COUNTIFS($K$1:T$1,"&lt;&gt;"))),0)</f>
        <v>0.41333333333333333</v>
      </c>
      <c r="U1326">
        <f>IFERROR($J1326/IF($A1326&lt;COUNTIFS($K$1:U$1,"&lt;&gt;"),0,SUMIFS($J:$J,$B:$B,$B1326,$A:$A,"&gt;="&amp;COUNTIFS($K$1:U$1,"&lt;&gt;"))),0)</f>
        <v>0.68888888888888888</v>
      </c>
      <c r="V1326">
        <f>IFERROR($J1326/IF($A1326&lt;COUNTIFS($K$1:V$1,"&lt;&gt;"),0,SUMIFS($J:$J,$B:$B,$B1326,$A:$A,"&gt;="&amp;COUNTIFS($K$1:V$1,"&lt;&gt;"))),0)</f>
        <v>0</v>
      </c>
      <c r="W1326">
        <f t="shared" si="464"/>
        <v>8.4931506849315067E-2</v>
      </c>
      <c r="X1326">
        <f t="shared" si="444"/>
        <v>8.4931506849315067E-2</v>
      </c>
      <c r="Y1326">
        <f t="shared" si="445"/>
        <v>8.4931506849315067E-2</v>
      </c>
      <c r="Z1326">
        <f t="shared" si="446"/>
        <v>8.4931506849315067E-2</v>
      </c>
      <c r="AA1326">
        <f t="shared" si="447"/>
        <v>8.4931506849315067E-2</v>
      </c>
      <c r="AB1326">
        <f t="shared" si="448"/>
        <v>8.4931506849315067E-2</v>
      </c>
      <c r="AC1326">
        <f t="shared" si="449"/>
        <v>8.4931506849315067E-2</v>
      </c>
      <c r="AD1326">
        <f t="shared" si="450"/>
        <v>8.4931506849315067E-2</v>
      </c>
      <c r="AE1326">
        <f t="shared" si="451"/>
        <v>8.4931506849315067E-2</v>
      </c>
      <c r="AF1326">
        <f t="shared" si="452"/>
        <v>8.4931506849315067E-2</v>
      </c>
      <c r="AG1326">
        <f t="shared" si="453"/>
        <v>8.4931506849315067E-2</v>
      </c>
      <c r="AH1326">
        <f t="shared" si="454"/>
        <v>8.4931506849315067E-2</v>
      </c>
      <c r="AI1326">
        <f t="shared" si="455"/>
        <v>0</v>
      </c>
      <c r="AJ1326" s="2" t="str">
        <f t="shared" si="465"/>
        <v>1146905</v>
      </c>
    </row>
    <row r="1327" spans="1:36" x14ac:dyDescent="0.25">
      <c r="A1327">
        <v>12</v>
      </c>
      <c r="B1327" s="1">
        <v>46905</v>
      </c>
      <c r="C1327" s="1">
        <f t="shared" si="456"/>
        <v>47270</v>
      </c>
      <c r="D1327" s="1">
        <f t="shared" si="457"/>
        <v>46919</v>
      </c>
      <c r="E1327" s="1">
        <f t="shared" si="458"/>
        <v>47270</v>
      </c>
      <c r="F1327" s="1">
        <f t="shared" si="459"/>
        <v>47284</v>
      </c>
      <c r="G1327" s="1">
        <f t="shared" si="460"/>
        <v>47284</v>
      </c>
      <c r="H1327">
        <f t="shared" si="461"/>
        <v>365</v>
      </c>
      <c r="I1327">
        <f t="shared" si="462"/>
        <v>14</v>
      </c>
      <c r="J1327">
        <f t="shared" si="463"/>
        <v>3.8356164383561646E-2</v>
      </c>
      <c r="K1327">
        <f>IFERROR($J1327/IF($A1327&lt;COUNTIFS($K$1:K$1,"&lt;&gt;"),0,SUMIFS($J:$J,$B:$B,$B1327,$A:$A,"&gt;="&amp;COUNTIFS($K$1:K$1,"&lt;&gt;"))),0)</f>
        <v>4.0114613180515769E-2</v>
      </c>
      <c r="L1327">
        <f>IFERROR($J1327/IF($A1327&lt;COUNTIFS($K$1:L$1,"&lt;&gt;"),0,SUMIFS($J:$J,$B:$B,$B1327,$A:$A,"&gt;="&amp;COUNTIFS($K$1:L$1,"&lt;&gt;"))),0)</f>
        <v>4.4025157232704414E-2</v>
      </c>
      <c r="M1327">
        <f>IFERROR($J1327/IF($A1327&lt;COUNTIFS($K$1:M$1,"&lt;&gt;"),0,SUMIFS($J:$J,$B:$B,$B1327,$A:$A,"&gt;="&amp;COUNTIFS($K$1:M$1,"&lt;&gt;"))),0)</f>
        <v>4.8780487804878057E-2</v>
      </c>
      <c r="N1327">
        <f>IFERROR($J1327/IF($A1327&lt;COUNTIFS($K$1:N$1,"&lt;&gt;"),0,SUMIFS($J:$J,$B:$B,$B1327,$A:$A,"&gt;="&amp;COUNTIFS($K$1:N$1,"&lt;&gt;"))),0)</f>
        <v>5.447470817120624E-2</v>
      </c>
      <c r="O1327">
        <f>IFERROR($J1327/IF($A1327&lt;COUNTIFS($K$1:O$1,"&lt;&gt;"),0,SUMIFS($J:$J,$B:$B,$B1327,$A:$A,"&gt;="&amp;COUNTIFS($K$1:O$1,"&lt;&gt;"))),0)</f>
        <v>6.194690265486727E-2</v>
      </c>
      <c r="P1327">
        <f>IFERROR($J1327/IF($A1327&lt;COUNTIFS($K$1:P$1,"&lt;&gt;"),0,SUMIFS($J:$J,$B:$B,$B1327,$A:$A,"&gt;="&amp;COUNTIFS($K$1:P$1,"&lt;&gt;"))),0)</f>
        <v>7.1428571428571438E-2</v>
      </c>
      <c r="Q1327">
        <f>IFERROR($J1327/IF($A1327&lt;COUNTIFS($K$1:Q$1,"&lt;&gt;"),0,SUMIFS($J:$J,$B:$B,$B1327,$A:$A,"&gt;="&amp;COUNTIFS($K$1:Q$1,"&lt;&gt;"))),0)</f>
        <v>8.4848484848484854E-2</v>
      </c>
      <c r="R1327">
        <f>IFERROR($J1327/IF($A1327&lt;COUNTIFS($K$1:R$1,"&lt;&gt;"),0,SUMIFS($J:$J,$B:$B,$B1327,$A:$A,"&gt;="&amp;COUNTIFS($K$1:R$1,"&lt;&gt;"))),0)</f>
        <v>0.10447761194029852</v>
      </c>
      <c r="S1327">
        <f>IFERROR($J1327/IF($A1327&lt;COUNTIFS($K$1:S$1,"&lt;&gt;"),0,SUMIFS($J:$J,$B:$B,$B1327,$A:$A,"&gt;="&amp;COUNTIFS($K$1:S$1,"&lt;&gt;"))),0)</f>
        <v>0.13207547169811323</v>
      </c>
      <c r="T1327">
        <f>IFERROR($J1327/IF($A1327&lt;COUNTIFS($K$1:T$1,"&lt;&gt;"),0,SUMIFS($J:$J,$B:$B,$B1327,$A:$A,"&gt;="&amp;COUNTIFS($K$1:T$1,"&lt;&gt;"))),0)</f>
        <v>0.18666666666666668</v>
      </c>
      <c r="U1327">
        <f>IFERROR($J1327/IF($A1327&lt;COUNTIFS($K$1:U$1,"&lt;&gt;"),0,SUMIFS($J:$J,$B:$B,$B1327,$A:$A,"&gt;="&amp;COUNTIFS($K$1:U$1,"&lt;&gt;"))),0)</f>
        <v>0.31111111111111117</v>
      </c>
      <c r="V1327">
        <f>IFERROR($J1327/IF($A1327&lt;COUNTIFS($K$1:V$1,"&lt;&gt;"),0,SUMIFS($J:$J,$B:$B,$B1327,$A:$A,"&gt;="&amp;COUNTIFS($K$1:V$1,"&lt;&gt;"))),0)</f>
        <v>1</v>
      </c>
      <c r="W1327">
        <f t="shared" si="464"/>
        <v>3.8356164383561646E-2</v>
      </c>
      <c r="X1327">
        <f t="shared" si="444"/>
        <v>3.8356164383561646E-2</v>
      </c>
      <c r="Y1327">
        <f t="shared" si="445"/>
        <v>3.8356164383561646E-2</v>
      </c>
      <c r="Z1327">
        <f t="shared" si="446"/>
        <v>3.8356164383561646E-2</v>
      </c>
      <c r="AA1327">
        <f t="shared" si="447"/>
        <v>3.8356164383561646E-2</v>
      </c>
      <c r="AB1327">
        <f t="shared" si="448"/>
        <v>3.8356164383561646E-2</v>
      </c>
      <c r="AC1327">
        <f t="shared" si="449"/>
        <v>3.8356164383561646E-2</v>
      </c>
      <c r="AD1327">
        <f t="shared" si="450"/>
        <v>3.8356164383561646E-2</v>
      </c>
      <c r="AE1327">
        <f t="shared" si="451"/>
        <v>3.8356164383561646E-2</v>
      </c>
      <c r="AF1327">
        <f t="shared" si="452"/>
        <v>3.8356164383561646E-2</v>
      </c>
      <c r="AG1327">
        <f t="shared" si="453"/>
        <v>3.8356164383561646E-2</v>
      </c>
      <c r="AH1327">
        <f t="shared" si="454"/>
        <v>3.8356164383561646E-2</v>
      </c>
      <c r="AI1327">
        <f t="shared" si="455"/>
        <v>3.8356164383561646E-2</v>
      </c>
      <c r="AJ1327" s="2" t="str">
        <f t="shared" si="465"/>
        <v>1246905</v>
      </c>
    </row>
    <row r="1328" spans="1:36" x14ac:dyDescent="0.25">
      <c r="A1328">
        <v>0</v>
      </c>
      <c r="B1328" s="1">
        <v>46935</v>
      </c>
      <c r="C1328" s="1">
        <f t="shared" si="456"/>
        <v>46935</v>
      </c>
      <c r="D1328" s="1">
        <f t="shared" si="457"/>
        <v>46949</v>
      </c>
      <c r="E1328" s="1">
        <f t="shared" si="458"/>
        <v>46949</v>
      </c>
      <c r="F1328" s="1">
        <f t="shared" si="459"/>
        <v>46966</v>
      </c>
      <c r="G1328" s="1">
        <f t="shared" si="460"/>
        <v>47314</v>
      </c>
      <c r="H1328">
        <f t="shared" si="461"/>
        <v>365</v>
      </c>
      <c r="I1328">
        <f t="shared" si="462"/>
        <v>17</v>
      </c>
      <c r="J1328">
        <f t="shared" si="463"/>
        <v>4.6575342465753428E-2</v>
      </c>
      <c r="K1328">
        <f>IFERROR($J1328/IF($A1328&lt;COUNTIFS($K$1:K$1,"&lt;&gt;"),0,SUMIFS($J:$J,$B:$B,$B1328,$A:$A,"&gt;="&amp;COUNTIFS($K$1:K$1,"&lt;&gt;"))),0)</f>
        <v>0</v>
      </c>
      <c r="L1328">
        <f>IFERROR($J1328/IF($A1328&lt;COUNTIFS($K$1:L$1,"&lt;&gt;"),0,SUMIFS($J:$J,$B:$B,$B1328,$A:$A,"&gt;="&amp;COUNTIFS($K$1:L$1,"&lt;&gt;"))),0)</f>
        <v>0</v>
      </c>
      <c r="M1328">
        <f>IFERROR($J1328/IF($A1328&lt;COUNTIFS($K$1:M$1,"&lt;&gt;"),0,SUMIFS($J:$J,$B:$B,$B1328,$A:$A,"&gt;="&amp;COUNTIFS($K$1:M$1,"&lt;&gt;"))),0)</f>
        <v>0</v>
      </c>
      <c r="N1328">
        <f>IFERROR($J1328/IF($A1328&lt;COUNTIFS($K$1:N$1,"&lt;&gt;"),0,SUMIFS($J:$J,$B:$B,$B1328,$A:$A,"&gt;="&amp;COUNTIFS($K$1:N$1,"&lt;&gt;"))),0)</f>
        <v>0</v>
      </c>
      <c r="O1328">
        <f>IFERROR($J1328/IF($A1328&lt;COUNTIFS($K$1:O$1,"&lt;&gt;"),0,SUMIFS($J:$J,$B:$B,$B1328,$A:$A,"&gt;="&amp;COUNTIFS($K$1:O$1,"&lt;&gt;"))),0)</f>
        <v>0</v>
      </c>
      <c r="P1328">
        <f>IFERROR($J1328/IF($A1328&lt;COUNTIFS($K$1:P$1,"&lt;&gt;"),0,SUMIFS($J:$J,$B:$B,$B1328,$A:$A,"&gt;="&amp;COUNTIFS($K$1:P$1,"&lt;&gt;"))),0)</f>
        <v>0</v>
      </c>
      <c r="Q1328">
        <f>IFERROR($J1328/IF($A1328&lt;COUNTIFS($K$1:Q$1,"&lt;&gt;"),0,SUMIFS($J:$J,$B:$B,$B1328,$A:$A,"&gt;="&amp;COUNTIFS($K$1:Q$1,"&lt;&gt;"))),0)</f>
        <v>0</v>
      </c>
      <c r="R1328">
        <f>IFERROR($J1328/IF($A1328&lt;COUNTIFS($K$1:R$1,"&lt;&gt;"),0,SUMIFS($J:$J,$B:$B,$B1328,$A:$A,"&gt;="&amp;COUNTIFS($K$1:R$1,"&lt;&gt;"))),0)</f>
        <v>0</v>
      </c>
      <c r="S1328">
        <f>IFERROR($J1328/IF($A1328&lt;COUNTIFS($K$1:S$1,"&lt;&gt;"),0,SUMIFS($J:$J,$B:$B,$B1328,$A:$A,"&gt;="&amp;COUNTIFS($K$1:S$1,"&lt;&gt;"))),0)</f>
        <v>0</v>
      </c>
      <c r="T1328">
        <f>IFERROR($J1328/IF($A1328&lt;COUNTIFS($K$1:T$1,"&lt;&gt;"),0,SUMIFS($J:$J,$B:$B,$B1328,$A:$A,"&gt;="&amp;COUNTIFS($K$1:T$1,"&lt;&gt;"))),0)</f>
        <v>0</v>
      </c>
      <c r="U1328">
        <f>IFERROR($J1328/IF($A1328&lt;COUNTIFS($K$1:U$1,"&lt;&gt;"),0,SUMIFS($J:$J,$B:$B,$B1328,$A:$A,"&gt;="&amp;COUNTIFS($K$1:U$1,"&lt;&gt;"))),0)</f>
        <v>0</v>
      </c>
      <c r="V1328">
        <f>IFERROR($J1328/IF($A1328&lt;COUNTIFS($K$1:V$1,"&lt;&gt;"),0,SUMIFS($J:$J,$B:$B,$B1328,$A:$A,"&gt;="&amp;COUNTIFS($K$1:V$1,"&lt;&gt;"))),0)</f>
        <v>0</v>
      </c>
      <c r="W1328">
        <f t="shared" si="464"/>
        <v>4.6575342465753428E-2</v>
      </c>
      <c r="X1328">
        <f t="shared" si="444"/>
        <v>0</v>
      </c>
      <c r="Y1328">
        <f t="shared" si="445"/>
        <v>0</v>
      </c>
      <c r="Z1328">
        <f t="shared" si="446"/>
        <v>0</v>
      </c>
      <c r="AA1328">
        <f t="shared" si="447"/>
        <v>0</v>
      </c>
      <c r="AB1328">
        <f t="shared" si="448"/>
        <v>0</v>
      </c>
      <c r="AC1328">
        <f t="shared" si="449"/>
        <v>0</v>
      </c>
      <c r="AD1328">
        <f t="shared" si="450"/>
        <v>0</v>
      </c>
      <c r="AE1328">
        <f t="shared" si="451"/>
        <v>0</v>
      </c>
      <c r="AF1328">
        <f t="shared" si="452"/>
        <v>0</v>
      </c>
      <c r="AG1328">
        <f t="shared" si="453"/>
        <v>0</v>
      </c>
      <c r="AH1328">
        <f t="shared" si="454"/>
        <v>0</v>
      </c>
      <c r="AI1328">
        <f t="shared" si="455"/>
        <v>0</v>
      </c>
      <c r="AJ1328" s="2" t="str">
        <f t="shared" si="465"/>
        <v>046935</v>
      </c>
    </row>
    <row r="1329" spans="1:36" x14ac:dyDescent="0.25">
      <c r="A1329">
        <v>1</v>
      </c>
      <c r="B1329" s="1">
        <v>46935</v>
      </c>
      <c r="C1329" s="1">
        <f t="shared" si="456"/>
        <v>46966</v>
      </c>
      <c r="D1329" s="1">
        <f t="shared" si="457"/>
        <v>46949</v>
      </c>
      <c r="E1329" s="1">
        <f t="shared" si="458"/>
        <v>46966</v>
      </c>
      <c r="F1329" s="1">
        <f t="shared" si="459"/>
        <v>46997</v>
      </c>
      <c r="G1329" s="1">
        <f t="shared" si="460"/>
        <v>47314</v>
      </c>
      <c r="H1329">
        <f t="shared" si="461"/>
        <v>365</v>
      </c>
      <c r="I1329">
        <f t="shared" si="462"/>
        <v>31</v>
      </c>
      <c r="J1329">
        <f t="shared" si="463"/>
        <v>8.4931506849315067E-2</v>
      </c>
      <c r="K1329">
        <f>IFERROR($J1329/IF($A1329&lt;COUNTIFS($K$1:K$1,"&lt;&gt;"),0,SUMIFS($J:$J,$B:$B,$B1329,$A:$A,"&gt;="&amp;COUNTIFS($K$1:K$1,"&lt;&gt;"))),0)</f>
        <v>8.9080459770114959E-2</v>
      </c>
      <c r="L1329">
        <f>IFERROR($J1329/IF($A1329&lt;COUNTIFS($K$1:L$1,"&lt;&gt;"),0,SUMIFS($J:$J,$B:$B,$B1329,$A:$A,"&gt;="&amp;COUNTIFS($K$1:L$1,"&lt;&gt;"))),0)</f>
        <v>0</v>
      </c>
      <c r="M1329">
        <f>IFERROR($J1329/IF($A1329&lt;COUNTIFS($K$1:M$1,"&lt;&gt;"),0,SUMIFS($J:$J,$B:$B,$B1329,$A:$A,"&gt;="&amp;COUNTIFS($K$1:M$1,"&lt;&gt;"))),0)</f>
        <v>0</v>
      </c>
      <c r="N1329">
        <f>IFERROR($J1329/IF($A1329&lt;COUNTIFS($K$1:N$1,"&lt;&gt;"),0,SUMIFS($J:$J,$B:$B,$B1329,$A:$A,"&gt;="&amp;COUNTIFS($K$1:N$1,"&lt;&gt;"))),0)</f>
        <v>0</v>
      </c>
      <c r="O1329">
        <f>IFERROR($J1329/IF($A1329&lt;COUNTIFS($K$1:O$1,"&lt;&gt;"),0,SUMIFS($J:$J,$B:$B,$B1329,$A:$A,"&gt;="&amp;COUNTIFS($K$1:O$1,"&lt;&gt;"))),0)</f>
        <v>0</v>
      </c>
      <c r="P1329">
        <f>IFERROR($J1329/IF($A1329&lt;COUNTIFS($K$1:P$1,"&lt;&gt;"),0,SUMIFS($J:$J,$B:$B,$B1329,$A:$A,"&gt;="&amp;COUNTIFS($K$1:P$1,"&lt;&gt;"))),0)</f>
        <v>0</v>
      </c>
      <c r="Q1329">
        <f>IFERROR($J1329/IF($A1329&lt;COUNTIFS($K$1:Q$1,"&lt;&gt;"),0,SUMIFS($J:$J,$B:$B,$B1329,$A:$A,"&gt;="&amp;COUNTIFS($K$1:Q$1,"&lt;&gt;"))),0)</f>
        <v>0</v>
      </c>
      <c r="R1329">
        <f>IFERROR($J1329/IF($A1329&lt;COUNTIFS($K$1:R$1,"&lt;&gt;"),0,SUMIFS($J:$J,$B:$B,$B1329,$A:$A,"&gt;="&amp;COUNTIFS($K$1:R$1,"&lt;&gt;"))),0)</f>
        <v>0</v>
      </c>
      <c r="S1329">
        <f>IFERROR($J1329/IF($A1329&lt;COUNTIFS($K$1:S$1,"&lt;&gt;"),0,SUMIFS($J:$J,$B:$B,$B1329,$A:$A,"&gt;="&amp;COUNTIFS($K$1:S$1,"&lt;&gt;"))),0)</f>
        <v>0</v>
      </c>
      <c r="T1329">
        <f>IFERROR($J1329/IF($A1329&lt;COUNTIFS($K$1:T$1,"&lt;&gt;"),0,SUMIFS($J:$J,$B:$B,$B1329,$A:$A,"&gt;="&amp;COUNTIFS($K$1:T$1,"&lt;&gt;"))),0)</f>
        <v>0</v>
      </c>
      <c r="U1329">
        <f>IFERROR($J1329/IF($A1329&lt;COUNTIFS($K$1:U$1,"&lt;&gt;"),0,SUMIFS($J:$J,$B:$B,$B1329,$A:$A,"&gt;="&amp;COUNTIFS($K$1:U$1,"&lt;&gt;"))),0)</f>
        <v>0</v>
      </c>
      <c r="V1329">
        <f>IFERROR($J1329/IF($A1329&lt;COUNTIFS($K$1:V$1,"&lt;&gt;"),0,SUMIFS($J:$J,$B:$B,$B1329,$A:$A,"&gt;="&amp;COUNTIFS($K$1:V$1,"&lt;&gt;"))),0)</f>
        <v>0</v>
      </c>
      <c r="W1329">
        <f t="shared" si="464"/>
        <v>8.4931506849315067E-2</v>
      </c>
      <c r="X1329">
        <f t="shared" si="444"/>
        <v>8.4931506849315067E-2</v>
      </c>
      <c r="Y1329">
        <f t="shared" si="445"/>
        <v>0</v>
      </c>
      <c r="Z1329">
        <f t="shared" si="446"/>
        <v>0</v>
      </c>
      <c r="AA1329">
        <f t="shared" si="447"/>
        <v>0</v>
      </c>
      <c r="AB1329">
        <f t="shared" si="448"/>
        <v>0</v>
      </c>
      <c r="AC1329">
        <f t="shared" si="449"/>
        <v>0</v>
      </c>
      <c r="AD1329">
        <f t="shared" si="450"/>
        <v>0</v>
      </c>
      <c r="AE1329">
        <f t="shared" si="451"/>
        <v>0</v>
      </c>
      <c r="AF1329">
        <f t="shared" si="452"/>
        <v>0</v>
      </c>
      <c r="AG1329">
        <f t="shared" si="453"/>
        <v>0</v>
      </c>
      <c r="AH1329">
        <f t="shared" si="454"/>
        <v>0</v>
      </c>
      <c r="AI1329">
        <f t="shared" si="455"/>
        <v>0</v>
      </c>
      <c r="AJ1329" s="2" t="str">
        <f t="shared" si="465"/>
        <v>146935</v>
      </c>
    </row>
    <row r="1330" spans="1:36" x14ac:dyDescent="0.25">
      <c r="A1330">
        <v>2</v>
      </c>
      <c r="B1330" s="1">
        <v>46935</v>
      </c>
      <c r="C1330" s="1">
        <f t="shared" si="456"/>
        <v>46997</v>
      </c>
      <c r="D1330" s="1">
        <f t="shared" si="457"/>
        <v>46949</v>
      </c>
      <c r="E1330" s="1">
        <f t="shared" si="458"/>
        <v>46997</v>
      </c>
      <c r="F1330" s="1">
        <f t="shared" si="459"/>
        <v>47027</v>
      </c>
      <c r="G1330" s="1">
        <f t="shared" si="460"/>
        <v>47314</v>
      </c>
      <c r="H1330">
        <f t="shared" si="461"/>
        <v>365</v>
      </c>
      <c r="I1330">
        <f t="shared" si="462"/>
        <v>30</v>
      </c>
      <c r="J1330">
        <f t="shared" si="463"/>
        <v>8.2191780821917804E-2</v>
      </c>
      <c r="K1330">
        <f>IFERROR($J1330/IF($A1330&lt;COUNTIFS($K$1:K$1,"&lt;&gt;"),0,SUMIFS($J:$J,$B:$B,$B1330,$A:$A,"&gt;="&amp;COUNTIFS($K$1:K$1,"&lt;&gt;"))),0)</f>
        <v>8.6206896551724144E-2</v>
      </c>
      <c r="L1330">
        <f>IFERROR($J1330/IF($A1330&lt;COUNTIFS($K$1:L$1,"&lt;&gt;"),0,SUMIFS($J:$J,$B:$B,$B1330,$A:$A,"&gt;="&amp;COUNTIFS($K$1:L$1,"&lt;&gt;"))),0)</f>
        <v>9.4637223974763415E-2</v>
      </c>
      <c r="M1330">
        <f>IFERROR($J1330/IF($A1330&lt;COUNTIFS($K$1:M$1,"&lt;&gt;"),0,SUMIFS($J:$J,$B:$B,$B1330,$A:$A,"&gt;="&amp;COUNTIFS($K$1:M$1,"&lt;&gt;"))),0)</f>
        <v>0</v>
      </c>
      <c r="N1330">
        <f>IFERROR($J1330/IF($A1330&lt;COUNTIFS($K$1:N$1,"&lt;&gt;"),0,SUMIFS($J:$J,$B:$B,$B1330,$A:$A,"&gt;="&amp;COUNTIFS($K$1:N$1,"&lt;&gt;"))),0)</f>
        <v>0</v>
      </c>
      <c r="O1330">
        <f>IFERROR($J1330/IF($A1330&lt;COUNTIFS($K$1:O$1,"&lt;&gt;"),0,SUMIFS($J:$J,$B:$B,$B1330,$A:$A,"&gt;="&amp;COUNTIFS($K$1:O$1,"&lt;&gt;"))),0)</f>
        <v>0</v>
      </c>
      <c r="P1330">
        <f>IFERROR($J1330/IF($A1330&lt;COUNTIFS($K$1:P$1,"&lt;&gt;"),0,SUMIFS($J:$J,$B:$B,$B1330,$A:$A,"&gt;="&amp;COUNTIFS($K$1:P$1,"&lt;&gt;"))),0)</f>
        <v>0</v>
      </c>
      <c r="Q1330">
        <f>IFERROR($J1330/IF($A1330&lt;COUNTIFS($K$1:Q$1,"&lt;&gt;"),0,SUMIFS($J:$J,$B:$B,$B1330,$A:$A,"&gt;="&amp;COUNTIFS($K$1:Q$1,"&lt;&gt;"))),0)</f>
        <v>0</v>
      </c>
      <c r="R1330">
        <f>IFERROR($J1330/IF($A1330&lt;COUNTIFS($K$1:R$1,"&lt;&gt;"),0,SUMIFS($J:$J,$B:$B,$B1330,$A:$A,"&gt;="&amp;COUNTIFS($K$1:R$1,"&lt;&gt;"))),0)</f>
        <v>0</v>
      </c>
      <c r="S1330">
        <f>IFERROR($J1330/IF($A1330&lt;COUNTIFS($K$1:S$1,"&lt;&gt;"),0,SUMIFS($J:$J,$B:$B,$B1330,$A:$A,"&gt;="&amp;COUNTIFS($K$1:S$1,"&lt;&gt;"))),0)</f>
        <v>0</v>
      </c>
      <c r="T1330">
        <f>IFERROR($J1330/IF($A1330&lt;COUNTIFS($K$1:T$1,"&lt;&gt;"),0,SUMIFS($J:$J,$B:$B,$B1330,$A:$A,"&gt;="&amp;COUNTIFS($K$1:T$1,"&lt;&gt;"))),0)</f>
        <v>0</v>
      </c>
      <c r="U1330">
        <f>IFERROR($J1330/IF($A1330&lt;COUNTIFS($K$1:U$1,"&lt;&gt;"),0,SUMIFS($J:$J,$B:$B,$B1330,$A:$A,"&gt;="&amp;COUNTIFS($K$1:U$1,"&lt;&gt;"))),0)</f>
        <v>0</v>
      </c>
      <c r="V1330">
        <f>IFERROR($J1330/IF($A1330&lt;COUNTIFS($K$1:V$1,"&lt;&gt;"),0,SUMIFS($J:$J,$B:$B,$B1330,$A:$A,"&gt;="&amp;COUNTIFS($K$1:V$1,"&lt;&gt;"))),0)</f>
        <v>0</v>
      </c>
      <c r="W1330">
        <f t="shared" si="464"/>
        <v>8.2191780821917804E-2</v>
      </c>
      <c r="X1330">
        <f t="shared" si="444"/>
        <v>8.2191780821917804E-2</v>
      </c>
      <c r="Y1330">
        <f t="shared" si="445"/>
        <v>8.2191780821917804E-2</v>
      </c>
      <c r="Z1330">
        <f t="shared" si="446"/>
        <v>0</v>
      </c>
      <c r="AA1330">
        <f t="shared" si="447"/>
        <v>0</v>
      </c>
      <c r="AB1330">
        <f t="shared" si="448"/>
        <v>0</v>
      </c>
      <c r="AC1330">
        <f t="shared" si="449"/>
        <v>0</v>
      </c>
      <c r="AD1330">
        <f t="shared" si="450"/>
        <v>0</v>
      </c>
      <c r="AE1330">
        <f t="shared" si="451"/>
        <v>0</v>
      </c>
      <c r="AF1330">
        <f t="shared" si="452"/>
        <v>0</v>
      </c>
      <c r="AG1330">
        <f t="shared" si="453"/>
        <v>0</v>
      </c>
      <c r="AH1330">
        <f t="shared" si="454"/>
        <v>0</v>
      </c>
      <c r="AI1330">
        <f t="shared" si="455"/>
        <v>0</v>
      </c>
      <c r="AJ1330" s="2" t="str">
        <f t="shared" si="465"/>
        <v>246935</v>
      </c>
    </row>
    <row r="1331" spans="1:36" x14ac:dyDescent="0.25">
      <c r="A1331">
        <v>3</v>
      </c>
      <c r="B1331" s="1">
        <v>46935</v>
      </c>
      <c r="C1331" s="1">
        <f t="shared" si="456"/>
        <v>47027</v>
      </c>
      <c r="D1331" s="1">
        <f t="shared" si="457"/>
        <v>46949</v>
      </c>
      <c r="E1331" s="1">
        <f t="shared" si="458"/>
        <v>47027</v>
      </c>
      <c r="F1331" s="1">
        <f t="shared" si="459"/>
        <v>47058</v>
      </c>
      <c r="G1331" s="1">
        <f t="shared" si="460"/>
        <v>47314</v>
      </c>
      <c r="H1331">
        <f t="shared" si="461"/>
        <v>365</v>
      </c>
      <c r="I1331">
        <f t="shared" si="462"/>
        <v>31</v>
      </c>
      <c r="J1331">
        <f t="shared" si="463"/>
        <v>8.4931506849315067E-2</v>
      </c>
      <c r="K1331">
        <f>IFERROR($J1331/IF($A1331&lt;COUNTIFS($K$1:K$1,"&lt;&gt;"),0,SUMIFS($J:$J,$B:$B,$B1331,$A:$A,"&gt;="&amp;COUNTIFS($K$1:K$1,"&lt;&gt;"))),0)</f>
        <v>8.9080459770114959E-2</v>
      </c>
      <c r="L1331">
        <f>IFERROR($J1331/IF($A1331&lt;COUNTIFS($K$1:L$1,"&lt;&gt;"),0,SUMIFS($J:$J,$B:$B,$B1331,$A:$A,"&gt;="&amp;COUNTIFS($K$1:L$1,"&lt;&gt;"))),0)</f>
        <v>9.7791798107255537E-2</v>
      </c>
      <c r="M1331">
        <f>IFERROR($J1331/IF($A1331&lt;COUNTIFS($K$1:M$1,"&lt;&gt;"),0,SUMIFS($J:$J,$B:$B,$B1331,$A:$A,"&gt;="&amp;COUNTIFS($K$1:M$1,"&lt;&gt;"))),0)</f>
        <v>0.10801393728222998</v>
      </c>
      <c r="N1331">
        <f>IFERROR($J1331/IF($A1331&lt;COUNTIFS($K$1:N$1,"&lt;&gt;"),0,SUMIFS($J:$J,$B:$B,$B1331,$A:$A,"&gt;="&amp;COUNTIFS($K$1:N$1,"&lt;&gt;"))),0)</f>
        <v>0</v>
      </c>
      <c r="O1331">
        <f>IFERROR($J1331/IF($A1331&lt;COUNTIFS($K$1:O$1,"&lt;&gt;"),0,SUMIFS($J:$J,$B:$B,$B1331,$A:$A,"&gt;="&amp;COUNTIFS($K$1:O$1,"&lt;&gt;"))),0)</f>
        <v>0</v>
      </c>
      <c r="P1331">
        <f>IFERROR($J1331/IF($A1331&lt;COUNTIFS($K$1:P$1,"&lt;&gt;"),0,SUMIFS($J:$J,$B:$B,$B1331,$A:$A,"&gt;="&amp;COUNTIFS($K$1:P$1,"&lt;&gt;"))),0)</f>
        <v>0</v>
      </c>
      <c r="Q1331">
        <f>IFERROR($J1331/IF($A1331&lt;COUNTIFS($K$1:Q$1,"&lt;&gt;"),0,SUMIFS($J:$J,$B:$B,$B1331,$A:$A,"&gt;="&amp;COUNTIFS($K$1:Q$1,"&lt;&gt;"))),0)</f>
        <v>0</v>
      </c>
      <c r="R1331">
        <f>IFERROR($J1331/IF($A1331&lt;COUNTIFS($K$1:R$1,"&lt;&gt;"),0,SUMIFS($J:$J,$B:$B,$B1331,$A:$A,"&gt;="&amp;COUNTIFS($K$1:R$1,"&lt;&gt;"))),0)</f>
        <v>0</v>
      </c>
      <c r="S1331">
        <f>IFERROR($J1331/IF($A1331&lt;COUNTIFS($K$1:S$1,"&lt;&gt;"),0,SUMIFS($J:$J,$B:$B,$B1331,$A:$A,"&gt;="&amp;COUNTIFS($K$1:S$1,"&lt;&gt;"))),0)</f>
        <v>0</v>
      </c>
      <c r="T1331">
        <f>IFERROR($J1331/IF($A1331&lt;COUNTIFS($K$1:T$1,"&lt;&gt;"),0,SUMIFS($J:$J,$B:$B,$B1331,$A:$A,"&gt;="&amp;COUNTIFS($K$1:T$1,"&lt;&gt;"))),0)</f>
        <v>0</v>
      </c>
      <c r="U1331">
        <f>IFERROR($J1331/IF($A1331&lt;COUNTIFS($K$1:U$1,"&lt;&gt;"),0,SUMIFS($J:$J,$B:$B,$B1331,$A:$A,"&gt;="&amp;COUNTIFS($K$1:U$1,"&lt;&gt;"))),0)</f>
        <v>0</v>
      </c>
      <c r="V1331">
        <f>IFERROR($J1331/IF($A1331&lt;COUNTIFS($K$1:V$1,"&lt;&gt;"),0,SUMIFS($J:$J,$B:$B,$B1331,$A:$A,"&gt;="&amp;COUNTIFS($K$1:V$1,"&lt;&gt;"))),0)</f>
        <v>0</v>
      </c>
      <c r="W1331">
        <f t="shared" si="464"/>
        <v>8.4931506849315067E-2</v>
      </c>
      <c r="X1331">
        <f t="shared" si="444"/>
        <v>8.4931506849315067E-2</v>
      </c>
      <c r="Y1331">
        <f t="shared" si="445"/>
        <v>8.4931506849315067E-2</v>
      </c>
      <c r="Z1331">
        <f t="shared" si="446"/>
        <v>8.4931506849315067E-2</v>
      </c>
      <c r="AA1331">
        <f t="shared" si="447"/>
        <v>0</v>
      </c>
      <c r="AB1331">
        <f t="shared" si="448"/>
        <v>0</v>
      </c>
      <c r="AC1331">
        <f t="shared" si="449"/>
        <v>0</v>
      </c>
      <c r="AD1331">
        <f t="shared" si="450"/>
        <v>0</v>
      </c>
      <c r="AE1331">
        <f t="shared" si="451"/>
        <v>0</v>
      </c>
      <c r="AF1331">
        <f t="shared" si="452"/>
        <v>0</v>
      </c>
      <c r="AG1331">
        <f t="shared" si="453"/>
        <v>0</v>
      </c>
      <c r="AH1331">
        <f t="shared" si="454"/>
        <v>0</v>
      </c>
      <c r="AI1331">
        <f t="shared" si="455"/>
        <v>0</v>
      </c>
      <c r="AJ1331" s="2" t="str">
        <f t="shared" si="465"/>
        <v>346935</v>
      </c>
    </row>
    <row r="1332" spans="1:36" x14ac:dyDescent="0.25">
      <c r="A1332">
        <v>4</v>
      </c>
      <c r="B1332" s="1">
        <v>46935</v>
      </c>
      <c r="C1332" s="1">
        <f t="shared" si="456"/>
        <v>47058</v>
      </c>
      <c r="D1332" s="1">
        <f t="shared" si="457"/>
        <v>46949</v>
      </c>
      <c r="E1332" s="1">
        <f t="shared" si="458"/>
        <v>47058</v>
      </c>
      <c r="F1332" s="1">
        <f t="shared" si="459"/>
        <v>47088</v>
      </c>
      <c r="G1332" s="1">
        <f t="shared" si="460"/>
        <v>47314</v>
      </c>
      <c r="H1332">
        <f t="shared" si="461"/>
        <v>365</v>
      </c>
      <c r="I1332">
        <f t="shared" si="462"/>
        <v>30</v>
      </c>
      <c r="J1332">
        <f t="shared" si="463"/>
        <v>8.2191780821917804E-2</v>
      </c>
      <c r="K1332">
        <f>IFERROR($J1332/IF($A1332&lt;COUNTIFS($K$1:K$1,"&lt;&gt;"),0,SUMIFS($J:$J,$B:$B,$B1332,$A:$A,"&gt;="&amp;COUNTIFS($K$1:K$1,"&lt;&gt;"))),0)</f>
        <v>8.6206896551724144E-2</v>
      </c>
      <c r="L1332">
        <f>IFERROR($J1332/IF($A1332&lt;COUNTIFS($K$1:L$1,"&lt;&gt;"),0,SUMIFS($J:$J,$B:$B,$B1332,$A:$A,"&gt;="&amp;COUNTIFS($K$1:L$1,"&lt;&gt;"))),0)</f>
        <v>9.4637223974763415E-2</v>
      </c>
      <c r="M1332">
        <f>IFERROR($J1332/IF($A1332&lt;COUNTIFS($K$1:M$1,"&lt;&gt;"),0,SUMIFS($J:$J,$B:$B,$B1332,$A:$A,"&gt;="&amp;COUNTIFS($K$1:M$1,"&lt;&gt;"))),0)</f>
        <v>0.10452961672473869</v>
      </c>
      <c r="N1332">
        <f>IFERROR($J1332/IF($A1332&lt;COUNTIFS($K$1:N$1,"&lt;&gt;"),0,SUMIFS($J:$J,$B:$B,$B1332,$A:$A,"&gt;="&amp;COUNTIFS($K$1:N$1,"&lt;&gt;"))),0)</f>
        <v>0.11718750000000001</v>
      </c>
      <c r="O1332">
        <f>IFERROR($J1332/IF($A1332&lt;COUNTIFS($K$1:O$1,"&lt;&gt;"),0,SUMIFS($J:$J,$B:$B,$B1332,$A:$A,"&gt;="&amp;COUNTIFS($K$1:O$1,"&lt;&gt;"))),0)</f>
        <v>0</v>
      </c>
      <c r="P1332">
        <f>IFERROR($J1332/IF($A1332&lt;COUNTIFS($K$1:P$1,"&lt;&gt;"),0,SUMIFS($J:$J,$B:$B,$B1332,$A:$A,"&gt;="&amp;COUNTIFS($K$1:P$1,"&lt;&gt;"))),0)</f>
        <v>0</v>
      </c>
      <c r="Q1332">
        <f>IFERROR($J1332/IF($A1332&lt;COUNTIFS($K$1:Q$1,"&lt;&gt;"),0,SUMIFS($J:$J,$B:$B,$B1332,$A:$A,"&gt;="&amp;COUNTIFS($K$1:Q$1,"&lt;&gt;"))),0)</f>
        <v>0</v>
      </c>
      <c r="R1332">
        <f>IFERROR($J1332/IF($A1332&lt;COUNTIFS($K$1:R$1,"&lt;&gt;"),0,SUMIFS($J:$J,$B:$B,$B1332,$A:$A,"&gt;="&amp;COUNTIFS($K$1:R$1,"&lt;&gt;"))),0)</f>
        <v>0</v>
      </c>
      <c r="S1332">
        <f>IFERROR($J1332/IF($A1332&lt;COUNTIFS($K$1:S$1,"&lt;&gt;"),0,SUMIFS($J:$J,$B:$B,$B1332,$A:$A,"&gt;="&amp;COUNTIFS($K$1:S$1,"&lt;&gt;"))),0)</f>
        <v>0</v>
      </c>
      <c r="T1332">
        <f>IFERROR($J1332/IF($A1332&lt;COUNTIFS($K$1:T$1,"&lt;&gt;"),0,SUMIFS($J:$J,$B:$B,$B1332,$A:$A,"&gt;="&amp;COUNTIFS($K$1:T$1,"&lt;&gt;"))),0)</f>
        <v>0</v>
      </c>
      <c r="U1332">
        <f>IFERROR($J1332/IF($A1332&lt;COUNTIFS($K$1:U$1,"&lt;&gt;"),0,SUMIFS($J:$J,$B:$B,$B1332,$A:$A,"&gt;="&amp;COUNTIFS($K$1:U$1,"&lt;&gt;"))),0)</f>
        <v>0</v>
      </c>
      <c r="V1332">
        <f>IFERROR($J1332/IF($A1332&lt;COUNTIFS($K$1:V$1,"&lt;&gt;"),0,SUMIFS($J:$J,$B:$B,$B1332,$A:$A,"&gt;="&amp;COUNTIFS($K$1:V$1,"&lt;&gt;"))),0)</f>
        <v>0</v>
      </c>
      <c r="W1332">
        <f t="shared" si="464"/>
        <v>8.2191780821917804E-2</v>
      </c>
      <c r="X1332">
        <f t="shared" si="444"/>
        <v>8.2191780821917804E-2</v>
      </c>
      <c r="Y1332">
        <f t="shared" si="445"/>
        <v>8.2191780821917804E-2</v>
      </c>
      <c r="Z1332">
        <f t="shared" si="446"/>
        <v>8.2191780821917804E-2</v>
      </c>
      <c r="AA1332">
        <f t="shared" si="447"/>
        <v>8.2191780821917804E-2</v>
      </c>
      <c r="AB1332">
        <f t="shared" si="448"/>
        <v>0</v>
      </c>
      <c r="AC1332">
        <f t="shared" si="449"/>
        <v>0</v>
      </c>
      <c r="AD1332">
        <f t="shared" si="450"/>
        <v>0</v>
      </c>
      <c r="AE1332">
        <f t="shared" si="451"/>
        <v>0</v>
      </c>
      <c r="AF1332">
        <f t="shared" si="452"/>
        <v>0</v>
      </c>
      <c r="AG1332">
        <f t="shared" si="453"/>
        <v>0</v>
      </c>
      <c r="AH1332">
        <f t="shared" si="454"/>
        <v>0</v>
      </c>
      <c r="AI1332">
        <f t="shared" si="455"/>
        <v>0</v>
      </c>
      <c r="AJ1332" s="2" t="str">
        <f t="shared" si="465"/>
        <v>446935</v>
      </c>
    </row>
    <row r="1333" spans="1:36" x14ac:dyDescent="0.25">
      <c r="A1333">
        <v>5</v>
      </c>
      <c r="B1333" s="1">
        <v>46935</v>
      </c>
      <c r="C1333" s="1">
        <f t="shared" si="456"/>
        <v>47088</v>
      </c>
      <c r="D1333" s="1">
        <f t="shared" si="457"/>
        <v>46949</v>
      </c>
      <c r="E1333" s="1">
        <f t="shared" si="458"/>
        <v>47088</v>
      </c>
      <c r="F1333" s="1">
        <f t="shared" si="459"/>
        <v>47119</v>
      </c>
      <c r="G1333" s="1">
        <f t="shared" si="460"/>
        <v>47314</v>
      </c>
      <c r="H1333">
        <f t="shared" si="461"/>
        <v>365</v>
      </c>
      <c r="I1333">
        <f t="shared" si="462"/>
        <v>31</v>
      </c>
      <c r="J1333">
        <f t="shared" si="463"/>
        <v>8.4931506849315067E-2</v>
      </c>
      <c r="K1333">
        <f>IFERROR($J1333/IF($A1333&lt;COUNTIFS($K$1:K$1,"&lt;&gt;"),0,SUMIFS($J:$J,$B:$B,$B1333,$A:$A,"&gt;="&amp;COUNTIFS($K$1:K$1,"&lt;&gt;"))),0)</f>
        <v>8.9080459770114959E-2</v>
      </c>
      <c r="L1333">
        <f>IFERROR($J1333/IF($A1333&lt;COUNTIFS($K$1:L$1,"&lt;&gt;"),0,SUMIFS($J:$J,$B:$B,$B1333,$A:$A,"&gt;="&amp;COUNTIFS($K$1:L$1,"&lt;&gt;"))),0)</f>
        <v>9.7791798107255537E-2</v>
      </c>
      <c r="M1333">
        <f>IFERROR($J1333/IF($A1333&lt;COUNTIFS($K$1:M$1,"&lt;&gt;"),0,SUMIFS($J:$J,$B:$B,$B1333,$A:$A,"&gt;="&amp;COUNTIFS($K$1:M$1,"&lt;&gt;"))),0)</f>
        <v>0.10801393728222998</v>
      </c>
      <c r="N1333">
        <f>IFERROR($J1333/IF($A1333&lt;COUNTIFS($K$1:N$1,"&lt;&gt;"),0,SUMIFS($J:$J,$B:$B,$B1333,$A:$A,"&gt;="&amp;COUNTIFS($K$1:N$1,"&lt;&gt;"))),0)</f>
        <v>0.12109375000000001</v>
      </c>
      <c r="O1333">
        <f>IFERROR($J1333/IF($A1333&lt;COUNTIFS($K$1:O$1,"&lt;&gt;"),0,SUMIFS($J:$J,$B:$B,$B1333,$A:$A,"&gt;="&amp;COUNTIFS($K$1:O$1,"&lt;&gt;"))),0)</f>
        <v>0.13716814159292037</v>
      </c>
      <c r="P1333">
        <f>IFERROR($J1333/IF($A1333&lt;COUNTIFS($K$1:P$1,"&lt;&gt;"),0,SUMIFS($J:$J,$B:$B,$B1333,$A:$A,"&gt;="&amp;COUNTIFS($K$1:P$1,"&lt;&gt;"))),0)</f>
        <v>0</v>
      </c>
      <c r="Q1333">
        <f>IFERROR($J1333/IF($A1333&lt;COUNTIFS($K$1:Q$1,"&lt;&gt;"),0,SUMIFS($J:$J,$B:$B,$B1333,$A:$A,"&gt;="&amp;COUNTIFS($K$1:Q$1,"&lt;&gt;"))),0)</f>
        <v>0</v>
      </c>
      <c r="R1333">
        <f>IFERROR($J1333/IF($A1333&lt;COUNTIFS($K$1:R$1,"&lt;&gt;"),0,SUMIFS($J:$J,$B:$B,$B1333,$A:$A,"&gt;="&amp;COUNTIFS($K$1:R$1,"&lt;&gt;"))),0)</f>
        <v>0</v>
      </c>
      <c r="S1333">
        <f>IFERROR($J1333/IF($A1333&lt;COUNTIFS($K$1:S$1,"&lt;&gt;"),0,SUMIFS($J:$J,$B:$B,$B1333,$A:$A,"&gt;="&amp;COUNTIFS($K$1:S$1,"&lt;&gt;"))),0)</f>
        <v>0</v>
      </c>
      <c r="T1333">
        <f>IFERROR($J1333/IF($A1333&lt;COUNTIFS($K$1:T$1,"&lt;&gt;"),0,SUMIFS($J:$J,$B:$B,$B1333,$A:$A,"&gt;="&amp;COUNTIFS($K$1:T$1,"&lt;&gt;"))),0)</f>
        <v>0</v>
      </c>
      <c r="U1333">
        <f>IFERROR($J1333/IF($A1333&lt;COUNTIFS($K$1:U$1,"&lt;&gt;"),0,SUMIFS($J:$J,$B:$B,$B1333,$A:$A,"&gt;="&amp;COUNTIFS($K$1:U$1,"&lt;&gt;"))),0)</f>
        <v>0</v>
      </c>
      <c r="V1333">
        <f>IFERROR($J1333/IF($A1333&lt;COUNTIFS($K$1:V$1,"&lt;&gt;"),0,SUMIFS($J:$J,$B:$B,$B1333,$A:$A,"&gt;="&amp;COUNTIFS($K$1:V$1,"&lt;&gt;"))),0)</f>
        <v>0</v>
      </c>
      <c r="W1333">
        <f t="shared" si="464"/>
        <v>8.4931506849315067E-2</v>
      </c>
      <c r="X1333">
        <f t="shared" si="444"/>
        <v>8.4931506849315067E-2</v>
      </c>
      <c r="Y1333">
        <f t="shared" si="445"/>
        <v>8.4931506849315067E-2</v>
      </c>
      <c r="Z1333">
        <f t="shared" si="446"/>
        <v>8.4931506849315067E-2</v>
      </c>
      <c r="AA1333">
        <f t="shared" si="447"/>
        <v>8.4931506849315067E-2</v>
      </c>
      <c r="AB1333">
        <f t="shared" si="448"/>
        <v>8.4931506849315067E-2</v>
      </c>
      <c r="AC1333">
        <f t="shared" si="449"/>
        <v>0</v>
      </c>
      <c r="AD1333">
        <f t="shared" si="450"/>
        <v>0</v>
      </c>
      <c r="AE1333">
        <f t="shared" si="451"/>
        <v>0</v>
      </c>
      <c r="AF1333">
        <f t="shared" si="452"/>
        <v>0</v>
      </c>
      <c r="AG1333">
        <f t="shared" si="453"/>
        <v>0</v>
      </c>
      <c r="AH1333">
        <f t="shared" si="454"/>
        <v>0</v>
      </c>
      <c r="AI1333">
        <f t="shared" si="455"/>
        <v>0</v>
      </c>
      <c r="AJ1333" s="2" t="str">
        <f t="shared" si="465"/>
        <v>546935</v>
      </c>
    </row>
    <row r="1334" spans="1:36" x14ac:dyDescent="0.25">
      <c r="A1334">
        <v>6</v>
      </c>
      <c r="B1334" s="1">
        <v>46935</v>
      </c>
      <c r="C1334" s="1">
        <f t="shared" si="456"/>
        <v>47119</v>
      </c>
      <c r="D1334" s="1">
        <f t="shared" si="457"/>
        <v>46949</v>
      </c>
      <c r="E1334" s="1">
        <f t="shared" si="458"/>
        <v>47119</v>
      </c>
      <c r="F1334" s="1">
        <f t="shared" si="459"/>
        <v>47150</v>
      </c>
      <c r="G1334" s="1">
        <f t="shared" si="460"/>
        <v>47314</v>
      </c>
      <c r="H1334">
        <f t="shared" si="461"/>
        <v>365</v>
      </c>
      <c r="I1334">
        <f t="shared" si="462"/>
        <v>31</v>
      </c>
      <c r="J1334">
        <f t="shared" si="463"/>
        <v>8.4931506849315067E-2</v>
      </c>
      <c r="K1334">
        <f>IFERROR($J1334/IF($A1334&lt;COUNTIFS($K$1:K$1,"&lt;&gt;"),0,SUMIFS($J:$J,$B:$B,$B1334,$A:$A,"&gt;="&amp;COUNTIFS($K$1:K$1,"&lt;&gt;"))),0)</f>
        <v>8.9080459770114959E-2</v>
      </c>
      <c r="L1334">
        <f>IFERROR($J1334/IF($A1334&lt;COUNTIFS($K$1:L$1,"&lt;&gt;"),0,SUMIFS($J:$J,$B:$B,$B1334,$A:$A,"&gt;="&amp;COUNTIFS($K$1:L$1,"&lt;&gt;"))),0)</f>
        <v>9.7791798107255537E-2</v>
      </c>
      <c r="M1334">
        <f>IFERROR($J1334/IF($A1334&lt;COUNTIFS($K$1:M$1,"&lt;&gt;"),0,SUMIFS($J:$J,$B:$B,$B1334,$A:$A,"&gt;="&amp;COUNTIFS($K$1:M$1,"&lt;&gt;"))),0)</f>
        <v>0.10801393728222998</v>
      </c>
      <c r="N1334">
        <f>IFERROR($J1334/IF($A1334&lt;COUNTIFS($K$1:N$1,"&lt;&gt;"),0,SUMIFS($J:$J,$B:$B,$B1334,$A:$A,"&gt;="&amp;COUNTIFS($K$1:N$1,"&lt;&gt;"))),0)</f>
        <v>0.12109375000000001</v>
      </c>
      <c r="O1334">
        <f>IFERROR($J1334/IF($A1334&lt;COUNTIFS($K$1:O$1,"&lt;&gt;"),0,SUMIFS($J:$J,$B:$B,$B1334,$A:$A,"&gt;="&amp;COUNTIFS($K$1:O$1,"&lt;&gt;"))),0)</f>
        <v>0.13716814159292037</v>
      </c>
      <c r="P1334">
        <f>IFERROR($J1334/IF($A1334&lt;COUNTIFS($K$1:P$1,"&lt;&gt;"),0,SUMIFS($J:$J,$B:$B,$B1334,$A:$A,"&gt;="&amp;COUNTIFS($K$1:P$1,"&lt;&gt;"))),0)</f>
        <v>0.15897435897435899</v>
      </c>
      <c r="Q1334">
        <f>IFERROR($J1334/IF($A1334&lt;COUNTIFS($K$1:Q$1,"&lt;&gt;"),0,SUMIFS($J:$J,$B:$B,$B1334,$A:$A,"&gt;="&amp;COUNTIFS($K$1:Q$1,"&lt;&gt;"))),0)</f>
        <v>0</v>
      </c>
      <c r="R1334">
        <f>IFERROR($J1334/IF($A1334&lt;COUNTIFS($K$1:R$1,"&lt;&gt;"),0,SUMIFS($J:$J,$B:$B,$B1334,$A:$A,"&gt;="&amp;COUNTIFS($K$1:R$1,"&lt;&gt;"))),0)</f>
        <v>0</v>
      </c>
      <c r="S1334">
        <f>IFERROR($J1334/IF($A1334&lt;COUNTIFS($K$1:S$1,"&lt;&gt;"),0,SUMIFS($J:$J,$B:$B,$B1334,$A:$A,"&gt;="&amp;COUNTIFS($K$1:S$1,"&lt;&gt;"))),0)</f>
        <v>0</v>
      </c>
      <c r="T1334">
        <f>IFERROR($J1334/IF($A1334&lt;COUNTIFS($K$1:T$1,"&lt;&gt;"),0,SUMIFS($J:$J,$B:$B,$B1334,$A:$A,"&gt;="&amp;COUNTIFS($K$1:T$1,"&lt;&gt;"))),0)</f>
        <v>0</v>
      </c>
      <c r="U1334">
        <f>IFERROR($J1334/IF($A1334&lt;COUNTIFS($K$1:U$1,"&lt;&gt;"),0,SUMIFS($J:$J,$B:$B,$B1334,$A:$A,"&gt;="&amp;COUNTIFS($K$1:U$1,"&lt;&gt;"))),0)</f>
        <v>0</v>
      </c>
      <c r="V1334">
        <f>IFERROR($J1334/IF($A1334&lt;COUNTIFS($K$1:V$1,"&lt;&gt;"),0,SUMIFS($J:$J,$B:$B,$B1334,$A:$A,"&gt;="&amp;COUNTIFS($K$1:V$1,"&lt;&gt;"))),0)</f>
        <v>0</v>
      </c>
      <c r="W1334">
        <f t="shared" si="464"/>
        <v>8.4931506849315067E-2</v>
      </c>
      <c r="X1334">
        <f t="shared" si="444"/>
        <v>8.4931506849315067E-2</v>
      </c>
      <c r="Y1334">
        <f t="shared" si="445"/>
        <v>8.4931506849315067E-2</v>
      </c>
      <c r="Z1334">
        <f t="shared" si="446"/>
        <v>8.4931506849315067E-2</v>
      </c>
      <c r="AA1334">
        <f t="shared" si="447"/>
        <v>8.4931506849315067E-2</v>
      </c>
      <c r="AB1334">
        <f t="shared" si="448"/>
        <v>8.4931506849315067E-2</v>
      </c>
      <c r="AC1334">
        <f t="shared" si="449"/>
        <v>8.4931506849315067E-2</v>
      </c>
      <c r="AD1334">
        <f t="shared" si="450"/>
        <v>0</v>
      </c>
      <c r="AE1334">
        <f t="shared" si="451"/>
        <v>0</v>
      </c>
      <c r="AF1334">
        <f t="shared" si="452"/>
        <v>0</v>
      </c>
      <c r="AG1334">
        <f t="shared" si="453"/>
        <v>0</v>
      </c>
      <c r="AH1334">
        <f t="shared" si="454"/>
        <v>0</v>
      </c>
      <c r="AI1334">
        <f t="shared" si="455"/>
        <v>0</v>
      </c>
      <c r="AJ1334" s="2" t="str">
        <f t="shared" si="465"/>
        <v>646935</v>
      </c>
    </row>
    <row r="1335" spans="1:36" x14ac:dyDescent="0.25">
      <c r="A1335">
        <v>7</v>
      </c>
      <c r="B1335" s="1">
        <v>46935</v>
      </c>
      <c r="C1335" s="1">
        <f t="shared" si="456"/>
        <v>47150</v>
      </c>
      <c r="D1335" s="1">
        <f t="shared" si="457"/>
        <v>46949</v>
      </c>
      <c r="E1335" s="1">
        <f t="shared" si="458"/>
        <v>47150</v>
      </c>
      <c r="F1335" s="1">
        <f t="shared" si="459"/>
        <v>47178</v>
      </c>
      <c r="G1335" s="1">
        <f t="shared" si="460"/>
        <v>47314</v>
      </c>
      <c r="H1335">
        <f t="shared" si="461"/>
        <v>365</v>
      </c>
      <c r="I1335">
        <f t="shared" si="462"/>
        <v>28</v>
      </c>
      <c r="J1335">
        <f t="shared" si="463"/>
        <v>7.6712328767123292E-2</v>
      </c>
      <c r="K1335">
        <f>IFERROR($J1335/IF($A1335&lt;COUNTIFS($K$1:K$1,"&lt;&gt;"),0,SUMIFS($J:$J,$B:$B,$B1335,$A:$A,"&gt;="&amp;COUNTIFS($K$1:K$1,"&lt;&gt;"))),0)</f>
        <v>8.0459770114942541E-2</v>
      </c>
      <c r="L1335">
        <f>IFERROR($J1335/IF($A1335&lt;COUNTIFS($K$1:L$1,"&lt;&gt;"),0,SUMIFS($J:$J,$B:$B,$B1335,$A:$A,"&gt;="&amp;COUNTIFS($K$1:L$1,"&lt;&gt;"))),0)</f>
        <v>8.83280757097792E-2</v>
      </c>
      <c r="M1335">
        <f>IFERROR($J1335/IF($A1335&lt;COUNTIFS($K$1:M$1,"&lt;&gt;"),0,SUMIFS($J:$J,$B:$B,$B1335,$A:$A,"&gt;="&amp;COUNTIFS($K$1:M$1,"&lt;&gt;"))),0)</f>
        <v>9.7560975609756115E-2</v>
      </c>
      <c r="N1335">
        <f>IFERROR($J1335/IF($A1335&lt;COUNTIFS($K$1:N$1,"&lt;&gt;"),0,SUMIFS($J:$J,$B:$B,$B1335,$A:$A,"&gt;="&amp;COUNTIFS($K$1:N$1,"&lt;&gt;"))),0)</f>
        <v>0.10937500000000003</v>
      </c>
      <c r="O1335">
        <f>IFERROR($J1335/IF($A1335&lt;COUNTIFS($K$1:O$1,"&lt;&gt;"),0,SUMIFS($J:$J,$B:$B,$B1335,$A:$A,"&gt;="&amp;COUNTIFS($K$1:O$1,"&lt;&gt;"))),0)</f>
        <v>0.12389380530973454</v>
      </c>
      <c r="P1335">
        <f>IFERROR($J1335/IF($A1335&lt;COUNTIFS($K$1:P$1,"&lt;&gt;"),0,SUMIFS($J:$J,$B:$B,$B1335,$A:$A,"&gt;="&amp;COUNTIFS($K$1:P$1,"&lt;&gt;"))),0)</f>
        <v>0.14358974358974361</v>
      </c>
      <c r="Q1335">
        <f>IFERROR($J1335/IF($A1335&lt;COUNTIFS($K$1:Q$1,"&lt;&gt;"),0,SUMIFS($J:$J,$B:$B,$B1335,$A:$A,"&gt;="&amp;COUNTIFS($K$1:Q$1,"&lt;&gt;"))),0)</f>
        <v>0.17073170731707318</v>
      </c>
      <c r="R1335">
        <f>IFERROR($J1335/IF($A1335&lt;COUNTIFS($K$1:R$1,"&lt;&gt;"),0,SUMIFS($J:$J,$B:$B,$B1335,$A:$A,"&gt;="&amp;COUNTIFS($K$1:R$1,"&lt;&gt;"))),0)</f>
        <v>0</v>
      </c>
      <c r="S1335">
        <f>IFERROR($J1335/IF($A1335&lt;COUNTIFS($K$1:S$1,"&lt;&gt;"),0,SUMIFS($J:$J,$B:$B,$B1335,$A:$A,"&gt;="&amp;COUNTIFS($K$1:S$1,"&lt;&gt;"))),0)</f>
        <v>0</v>
      </c>
      <c r="T1335">
        <f>IFERROR($J1335/IF($A1335&lt;COUNTIFS($K$1:T$1,"&lt;&gt;"),0,SUMIFS($J:$J,$B:$B,$B1335,$A:$A,"&gt;="&amp;COUNTIFS($K$1:T$1,"&lt;&gt;"))),0)</f>
        <v>0</v>
      </c>
      <c r="U1335">
        <f>IFERROR($J1335/IF($A1335&lt;COUNTIFS($K$1:U$1,"&lt;&gt;"),0,SUMIFS($J:$J,$B:$B,$B1335,$A:$A,"&gt;="&amp;COUNTIFS($K$1:U$1,"&lt;&gt;"))),0)</f>
        <v>0</v>
      </c>
      <c r="V1335">
        <f>IFERROR($J1335/IF($A1335&lt;COUNTIFS($K$1:V$1,"&lt;&gt;"),0,SUMIFS($J:$J,$B:$B,$B1335,$A:$A,"&gt;="&amp;COUNTIFS($K$1:V$1,"&lt;&gt;"))),0)</f>
        <v>0</v>
      </c>
      <c r="W1335">
        <f t="shared" si="464"/>
        <v>7.6712328767123292E-2</v>
      </c>
      <c r="X1335">
        <f t="shared" si="444"/>
        <v>7.6712328767123292E-2</v>
      </c>
      <c r="Y1335">
        <f t="shared" si="445"/>
        <v>7.6712328767123292E-2</v>
      </c>
      <c r="Z1335">
        <f t="shared" si="446"/>
        <v>7.6712328767123292E-2</v>
      </c>
      <c r="AA1335">
        <f t="shared" si="447"/>
        <v>7.6712328767123292E-2</v>
      </c>
      <c r="AB1335">
        <f t="shared" si="448"/>
        <v>7.6712328767123292E-2</v>
      </c>
      <c r="AC1335">
        <f t="shared" si="449"/>
        <v>7.6712328767123292E-2</v>
      </c>
      <c r="AD1335">
        <f t="shared" si="450"/>
        <v>7.6712328767123292E-2</v>
      </c>
      <c r="AE1335">
        <f t="shared" si="451"/>
        <v>0</v>
      </c>
      <c r="AF1335">
        <f t="shared" si="452"/>
        <v>0</v>
      </c>
      <c r="AG1335">
        <f t="shared" si="453"/>
        <v>0</v>
      </c>
      <c r="AH1335">
        <f t="shared" si="454"/>
        <v>0</v>
      </c>
      <c r="AI1335">
        <f t="shared" si="455"/>
        <v>0</v>
      </c>
      <c r="AJ1335" s="2" t="str">
        <f t="shared" si="465"/>
        <v>746935</v>
      </c>
    </row>
    <row r="1336" spans="1:36" x14ac:dyDescent="0.25">
      <c r="A1336">
        <v>8</v>
      </c>
      <c r="B1336" s="1">
        <v>46935</v>
      </c>
      <c r="C1336" s="1">
        <f t="shared" si="456"/>
        <v>47178</v>
      </c>
      <c r="D1336" s="1">
        <f t="shared" si="457"/>
        <v>46949</v>
      </c>
      <c r="E1336" s="1">
        <f t="shared" si="458"/>
        <v>47178</v>
      </c>
      <c r="F1336" s="1">
        <f t="shared" si="459"/>
        <v>47209</v>
      </c>
      <c r="G1336" s="1">
        <f t="shared" si="460"/>
        <v>47314</v>
      </c>
      <c r="H1336">
        <f t="shared" si="461"/>
        <v>365</v>
      </c>
      <c r="I1336">
        <f t="shared" si="462"/>
        <v>31</v>
      </c>
      <c r="J1336">
        <f t="shared" si="463"/>
        <v>8.4931506849315067E-2</v>
      </c>
      <c r="K1336">
        <f>IFERROR($J1336/IF($A1336&lt;COUNTIFS($K$1:K$1,"&lt;&gt;"),0,SUMIFS($J:$J,$B:$B,$B1336,$A:$A,"&gt;="&amp;COUNTIFS($K$1:K$1,"&lt;&gt;"))),0)</f>
        <v>8.9080459770114959E-2</v>
      </c>
      <c r="L1336">
        <f>IFERROR($J1336/IF($A1336&lt;COUNTIFS($K$1:L$1,"&lt;&gt;"),0,SUMIFS($J:$J,$B:$B,$B1336,$A:$A,"&gt;="&amp;COUNTIFS($K$1:L$1,"&lt;&gt;"))),0)</f>
        <v>9.7791798107255537E-2</v>
      </c>
      <c r="M1336">
        <f>IFERROR($J1336/IF($A1336&lt;COUNTIFS($K$1:M$1,"&lt;&gt;"),0,SUMIFS($J:$J,$B:$B,$B1336,$A:$A,"&gt;="&amp;COUNTIFS($K$1:M$1,"&lt;&gt;"))),0)</f>
        <v>0.10801393728222998</v>
      </c>
      <c r="N1336">
        <f>IFERROR($J1336/IF($A1336&lt;COUNTIFS($K$1:N$1,"&lt;&gt;"),0,SUMIFS($J:$J,$B:$B,$B1336,$A:$A,"&gt;="&amp;COUNTIFS($K$1:N$1,"&lt;&gt;"))),0)</f>
        <v>0.12109375000000001</v>
      </c>
      <c r="O1336">
        <f>IFERROR($J1336/IF($A1336&lt;COUNTIFS($K$1:O$1,"&lt;&gt;"),0,SUMIFS($J:$J,$B:$B,$B1336,$A:$A,"&gt;="&amp;COUNTIFS($K$1:O$1,"&lt;&gt;"))),0)</f>
        <v>0.13716814159292037</v>
      </c>
      <c r="P1336">
        <f>IFERROR($J1336/IF($A1336&lt;COUNTIFS($K$1:P$1,"&lt;&gt;"),0,SUMIFS($J:$J,$B:$B,$B1336,$A:$A,"&gt;="&amp;COUNTIFS($K$1:P$1,"&lt;&gt;"))),0)</f>
        <v>0.15897435897435899</v>
      </c>
      <c r="Q1336">
        <f>IFERROR($J1336/IF($A1336&lt;COUNTIFS($K$1:Q$1,"&lt;&gt;"),0,SUMIFS($J:$J,$B:$B,$B1336,$A:$A,"&gt;="&amp;COUNTIFS($K$1:Q$1,"&lt;&gt;"))),0)</f>
        <v>0.18902439024390244</v>
      </c>
      <c r="R1336">
        <f>IFERROR($J1336/IF($A1336&lt;COUNTIFS($K$1:R$1,"&lt;&gt;"),0,SUMIFS($J:$J,$B:$B,$B1336,$A:$A,"&gt;="&amp;COUNTIFS($K$1:R$1,"&lt;&gt;"))),0)</f>
        <v>0.22794117647058826</v>
      </c>
      <c r="S1336">
        <f>IFERROR($J1336/IF($A1336&lt;COUNTIFS($K$1:S$1,"&lt;&gt;"),0,SUMIFS($J:$J,$B:$B,$B1336,$A:$A,"&gt;="&amp;COUNTIFS($K$1:S$1,"&lt;&gt;"))),0)</f>
        <v>0</v>
      </c>
      <c r="T1336">
        <f>IFERROR($J1336/IF($A1336&lt;COUNTIFS($K$1:T$1,"&lt;&gt;"),0,SUMIFS($J:$J,$B:$B,$B1336,$A:$A,"&gt;="&amp;COUNTIFS($K$1:T$1,"&lt;&gt;"))),0)</f>
        <v>0</v>
      </c>
      <c r="U1336">
        <f>IFERROR($J1336/IF($A1336&lt;COUNTIFS($K$1:U$1,"&lt;&gt;"),0,SUMIFS($J:$J,$B:$B,$B1336,$A:$A,"&gt;="&amp;COUNTIFS($K$1:U$1,"&lt;&gt;"))),0)</f>
        <v>0</v>
      </c>
      <c r="V1336">
        <f>IFERROR($J1336/IF($A1336&lt;COUNTIFS($K$1:V$1,"&lt;&gt;"),0,SUMIFS($J:$J,$B:$B,$B1336,$A:$A,"&gt;="&amp;COUNTIFS($K$1:V$1,"&lt;&gt;"))),0)</f>
        <v>0</v>
      </c>
      <c r="W1336">
        <f t="shared" si="464"/>
        <v>8.4931506849315067E-2</v>
      </c>
      <c r="X1336">
        <f t="shared" si="444"/>
        <v>8.4931506849315067E-2</v>
      </c>
      <c r="Y1336">
        <f t="shared" si="445"/>
        <v>8.4931506849315067E-2</v>
      </c>
      <c r="Z1336">
        <f t="shared" si="446"/>
        <v>8.4931506849315067E-2</v>
      </c>
      <c r="AA1336">
        <f t="shared" si="447"/>
        <v>8.4931506849315067E-2</v>
      </c>
      <c r="AB1336">
        <f t="shared" si="448"/>
        <v>8.4931506849315067E-2</v>
      </c>
      <c r="AC1336">
        <f t="shared" si="449"/>
        <v>8.4931506849315067E-2</v>
      </c>
      <c r="AD1336">
        <f t="shared" si="450"/>
        <v>8.4931506849315067E-2</v>
      </c>
      <c r="AE1336">
        <f t="shared" si="451"/>
        <v>8.4931506849315067E-2</v>
      </c>
      <c r="AF1336">
        <f t="shared" si="452"/>
        <v>0</v>
      </c>
      <c r="AG1336">
        <f t="shared" si="453"/>
        <v>0</v>
      </c>
      <c r="AH1336">
        <f t="shared" si="454"/>
        <v>0</v>
      </c>
      <c r="AI1336">
        <f t="shared" si="455"/>
        <v>0</v>
      </c>
      <c r="AJ1336" s="2" t="str">
        <f t="shared" si="465"/>
        <v>846935</v>
      </c>
    </row>
    <row r="1337" spans="1:36" x14ac:dyDescent="0.25">
      <c r="A1337">
        <v>9</v>
      </c>
      <c r="B1337" s="1">
        <v>46935</v>
      </c>
      <c r="C1337" s="1">
        <f t="shared" si="456"/>
        <v>47209</v>
      </c>
      <c r="D1337" s="1">
        <f t="shared" si="457"/>
        <v>46949</v>
      </c>
      <c r="E1337" s="1">
        <f t="shared" si="458"/>
        <v>47209</v>
      </c>
      <c r="F1337" s="1">
        <f t="shared" si="459"/>
        <v>47239</v>
      </c>
      <c r="G1337" s="1">
        <f t="shared" si="460"/>
        <v>47314</v>
      </c>
      <c r="H1337">
        <f t="shared" si="461"/>
        <v>365</v>
      </c>
      <c r="I1337">
        <f t="shared" si="462"/>
        <v>30</v>
      </c>
      <c r="J1337">
        <f t="shared" si="463"/>
        <v>8.2191780821917804E-2</v>
      </c>
      <c r="K1337">
        <f>IFERROR($J1337/IF($A1337&lt;COUNTIFS($K$1:K$1,"&lt;&gt;"),0,SUMIFS($J:$J,$B:$B,$B1337,$A:$A,"&gt;="&amp;COUNTIFS($K$1:K$1,"&lt;&gt;"))),0)</f>
        <v>8.6206896551724144E-2</v>
      </c>
      <c r="L1337">
        <f>IFERROR($J1337/IF($A1337&lt;COUNTIFS($K$1:L$1,"&lt;&gt;"),0,SUMIFS($J:$J,$B:$B,$B1337,$A:$A,"&gt;="&amp;COUNTIFS($K$1:L$1,"&lt;&gt;"))),0)</f>
        <v>9.4637223974763415E-2</v>
      </c>
      <c r="M1337">
        <f>IFERROR($J1337/IF($A1337&lt;COUNTIFS($K$1:M$1,"&lt;&gt;"),0,SUMIFS($J:$J,$B:$B,$B1337,$A:$A,"&gt;="&amp;COUNTIFS($K$1:M$1,"&lt;&gt;"))),0)</f>
        <v>0.10452961672473869</v>
      </c>
      <c r="N1337">
        <f>IFERROR($J1337/IF($A1337&lt;COUNTIFS($K$1:N$1,"&lt;&gt;"),0,SUMIFS($J:$J,$B:$B,$B1337,$A:$A,"&gt;="&amp;COUNTIFS($K$1:N$1,"&lt;&gt;"))),0)</f>
        <v>0.11718750000000001</v>
      </c>
      <c r="O1337">
        <f>IFERROR($J1337/IF($A1337&lt;COUNTIFS($K$1:O$1,"&lt;&gt;"),0,SUMIFS($J:$J,$B:$B,$B1337,$A:$A,"&gt;="&amp;COUNTIFS($K$1:O$1,"&lt;&gt;"))),0)</f>
        <v>0.13274336283185842</v>
      </c>
      <c r="P1337">
        <f>IFERROR($J1337/IF($A1337&lt;COUNTIFS($K$1:P$1,"&lt;&gt;"),0,SUMIFS($J:$J,$B:$B,$B1337,$A:$A,"&gt;="&amp;COUNTIFS($K$1:P$1,"&lt;&gt;"))),0)</f>
        <v>0.15384615384615385</v>
      </c>
      <c r="Q1337">
        <f>IFERROR($J1337/IF($A1337&lt;COUNTIFS($K$1:Q$1,"&lt;&gt;"),0,SUMIFS($J:$J,$B:$B,$B1337,$A:$A,"&gt;="&amp;COUNTIFS($K$1:Q$1,"&lt;&gt;"))),0)</f>
        <v>0.18292682926829268</v>
      </c>
      <c r="R1337">
        <f>IFERROR($J1337/IF($A1337&lt;COUNTIFS($K$1:R$1,"&lt;&gt;"),0,SUMIFS($J:$J,$B:$B,$B1337,$A:$A,"&gt;="&amp;COUNTIFS($K$1:R$1,"&lt;&gt;"))),0)</f>
        <v>0.22058823529411764</v>
      </c>
      <c r="S1337">
        <f>IFERROR($J1337/IF($A1337&lt;COUNTIFS($K$1:S$1,"&lt;&gt;"),0,SUMIFS($J:$J,$B:$B,$B1337,$A:$A,"&gt;="&amp;COUNTIFS($K$1:S$1,"&lt;&gt;"))),0)</f>
        <v>0.2857142857142857</v>
      </c>
      <c r="T1337">
        <f>IFERROR($J1337/IF($A1337&lt;COUNTIFS($K$1:T$1,"&lt;&gt;"),0,SUMIFS($J:$J,$B:$B,$B1337,$A:$A,"&gt;="&amp;COUNTIFS($K$1:T$1,"&lt;&gt;"))),0)</f>
        <v>0</v>
      </c>
      <c r="U1337">
        <f>IFERROR($J1337/IF($A1337&lt;COUNTIFS($K$1:U$1,"&lt;&gt;"),0,SUMIFS($J:$J,$B:$B,$B1337,$A:$A,"&gt;="&amp;COUNTIFS($K$1:U$1,"&lt;&gt;"))),0)</f>
        <v>0</v>
      </c>
      <c r="V1337">
        <f>IFERROR($J1337/IF($A1337&lt;COUNTIFS($K$1:V$1,"&lt;&gt;"),0,SUMIFS($J:$J,$B:$B,$B1337,$A:$A,"&gt;="&amp;COUNTIFS($K$1:V$1,"&lt;&gt;"))),0)</f>
        <v>0</v>
      </c>
      <c r="W1337">
        <f t="shared" si="464"/>
        <v>8.2191780821917804E-2</v>
      </c>
      <c r="X1337">
        <f t="shared" si="444"/>
        <v>8.2191780821917804E-2</v>
      </c>
      <c r="Y1337">
        <f t="shared" si="445"/>
        <v>8.2191780821917804E-2</v>
      </c>
      <c r="Z1337">
        <f t="shared" si="446"/>
        <v>8.2191780821917804E-2</v>
      </c>
      <c r="AA1337">
        <f t="shared" si="447"/>
        <v>8.2191780821917804E-2</v>
      </c>
      <c r="AB1337">
        <f t="shared" si="448"/>
        <v>8.2191780821917804E-2</v>
      </c>
      <c r="AC1337">
        <f t="shared" si="449"/>
        <v>8.2191780821917804E-2</v>
      </c>
      <c r="AD1337">
        <f t="shared" si="450"/>
        <v>8.2191780821917804E-2</v>
      </c>
      <c r="AE1337">
        <f t="shared" si="451"/>
        <v>8.2191780821917804E-2</v>
      </c>
      <c r="AF1337">
        <f t="shared" si="452"/>
        <v>8.2191780821917804E-2</v>
      </c>
      <c r="AG1337">
        <f t="shared" si="453"/>
        <v>0</v>
      </c>
      <c r="AH1337">
        <f t="shared" si="454"/>
        <v>0</v>
      </c>
      <c r="AI1337">
        <f t="shared" si="455"/>
        <v>0</v>
      </c>
      <c r="AJ1337" s="2" t="str">
        <f t="shared" si="465"/>
        <v>946935</v>
      </c>
    </row>
    <row r="1338" spans="1:36" x14ac:dyDescent="0.25">
      <c r="A1338">
        <v>10</v>
      </c>
      <c r="B1338" s="1">
        <v>46935</v>
      </c>
      <c r="C1338" s="1">
        <f t="shared" si="456"/>
        <v>47239</v>
      </c>
      <c r="D1338" s="1">
        <f t="shared" si="457"/>
        <v>46949</v>
      </c>
      <c r="E1338" s="1">
        <f t="shared" si="458"/>
        <v>47239</v>
      </c>
      <c r="F1338" s="1">
        <f t="shared" si="459"/>
        <v>47270</v>
      </c>
      <c r="G1338" s="1">
        <f t="shared" si="460"/>
        <v>47314</v>
      </c>
      <c r="H1338">
        <f t="shared" si="461"/>
        <v>365</v>
      </c>
      <c r="I1338">
        <f t="shared" si="462"/>
        <v>31</v>
      </c>
      <c r="J1338">
        <f t="shared" si="463"/>
        <v>8.4931506849315067E-2</v>
      </c>
      <c r="K1338">
        <f>IFERROR($J1338/IF($A1338&lt;COUNTIFS($K$1:K$1,"&lt;&gt;"),0,SUMIFS($J:$J,$B:$B,$B1338,$A:$A,"&gt;="&amp;COUNTIFS($K$1:K$1,"&lt;&gt;"))),0)</f>
        <v>8.9080459770114959E-2</v>
      </c>
      <c r="L1338">
        <f>IFERROR($J1338/IF($A1338&lt;COUNTIFS($K$1:L$1,"&lt;&gt;"),0,SUMIFS($J:$J,$B:$B,$B1338,$A:$A,"&gt;="&amp;COUNTIFS($K$1:L$1,"&lt;&gt;"))),0)</f>
        <v>9.7791798107255537E-2</v>
      </c>
      <c r="M1338">
        <f>IFERROR($J1338/IF($A1338&lt;COUNTIFS($K$1:M$1,"&lt;&gt;"),0,SUMIFS($J:$J,$B:$B,$B1338,$A:$A,"&gt;="&amp;COUNTIFS($K$1:M$1,"&lt;&gt;"))),0)</f>
        <v>0.10801393728222998</v>
      </c>
      <c r="N1338">
        <f>IFERROR($J1338/IF($A1338&lt;COUNTIFS($K$1:N$1,"&lt;&gt;"),0,SUMIFS($J:$J,$B:$B,$B1338,$A:$A,"&gt;="&amp;COUNTIFS($K$1:N$1,"&lt;&gt;"))),0)</f>
        <v>0.12109375000000001</v>
      </c>
      <c r="O1338">
        <f>IFERROR($J1338/IF($A1338&lt;COUNTIFS($K$1:O$1,"&lt;&gt;"),0,SUMIFS($J:$J,$B:$B,$B1338,$A:$A,"&gt;="&amp;COUNTIFS($K$1:O$1,"&lt;&gt;"))),0)</f>
        <v>0.13716814159292037</v>
      </c>
      <c r="P1338">
        <f>IFERROR($J1338/IF($A1338&lt;COUNTIFS($K$1:P$1,"&lt;&gt;"),0,SUMIFS($J:$J,$B:$B,$B1338,$A:$A,"&gt;="&amp;COUNTIFS($K$1:P$1,"&lt;&gt;"))),0)</f>
        <v>0.15897435897435899</v>
      </c>
      <c r="Q1338">
        <f>IFERROR($J1338/IF($A1338&lt;COUNTIFS($K$1:Q$1,"&lt;&gt;"),0,SUMIFS($J:$J,$B:$B,$B1338,$A:$A,"&gt;="&amp;COUNTIFS($K$1:Q$1,"&lt;&gt;"))),0)</f>
        <v>0.18902439024390244</v>
      </c>
      <c r="R1338">
        <f>IFERROR($J1338/IF($A1338&lt;COUNTIFS($K$1:R$1,"&lt;&gt;"),0,SUMIFS($J:$J,$B:$B,$B1338,$A:$A,"&gt;="&amp;COUNTIFS($K$1:R$1,"&lt;&gt;"))),0)</f>
        <v>0.22794117647058826</v>
      </c>
      <c r="S1338">
        <f>IFERROR($J1338/IF($A1338&lt;COUNTIFS($K$1:S$1,"&lt;&gt;"),0,SUMIFS($J:$J,$B:$B,$B1338,$A:$A,"&gt;="&amp;COUNTIFS($K$1:S$1,"&lt;&gt;"))),0)</f>
        <v>0.29523809523809524</v>
      </c>
      <c r="T1338">
        <f>IFERROR($J1338/IF($A1338&lt;COUNTIFS($K$1:T$1,"&lt;&gt;"),0,SUMIFS($J:$J,$B:$B,$B1338,$A:$A,"&gt;="&amp;COUNTIFS($K$1:T$1,"&lt;&gt;"))),0)</f>
        <v>0.41333333333333333</v>
      </c>
      <c r="U1338">
        <f>IFERROR($J1338/IF($A1338&lt;COUNTIFS($K$1:U$1,"&lt;&gt;"),0,SUMIFS($J:$J,$B:$B,$B1338,$A:$A,"&gt;="&amp;COUNTIFS($K$1:U$1,"&lt;&gt;"))),0)</f>
        <v>0</v>
      </c>
      <c r="V1338">
        <f>IFERROR($J1338/IF($A1338&lt;COUNTIFS($K$1:V$1,"&lt;&gt;"),0,SUMIFS($J:$J,$B:$B,$B1338,$A:$A,"&gt;="&amp;COUNTIFS($K$1:V$1,"&lt;&gt;"))),0)</f>
        <v>0</v>
      </c>
      <c r="W1338">
        <f t="shared" si="464"/>
        <v>8.4931506849315067E-2</v>
      </c>
      <c r="X1338">
        <f t="shared" si="444"/>
        <v>8.4931506849315067E-2</v>
      </c>
      <c r="Y1338">
        <f t="shared" si="445"/>
        <v>8.4931506849315067E-2</v>
      </c>
      <c r="Z1338">
        <f t="shared" si="446"/>
        <v>8.4931506849315067E-2</v>
      </c>
      <c r="AA1338">
        <f t="shared" si="447"/>
        <v>8.4931506849315067E-2</v>
      </c>
      <c r="AB1338">
        <f t="shared" si="448"/>
        <v>8.4931506849315067E-2</v>
      </c>
      <c r="AC1338">
        <f t="shared" si="449"/>
        <v>8.4931506849315067E-2</v>
      </c>
      <c r="AD1338">
        <f t="shared" si="450"/>
        <v>8.4931506849315067E-2</v>
      </c>
      <c r="AE1338">
        <f t="shared" si="451"/>
        <v>8.4931506849315067E-2</v>
      </c>
      <c r="AF1338">
        <f t="shared" si="452"/>
        <v>8.4931506849315067E-2</v>
      </c>
      <c r="AG1338">
        <f t="shared" si="453"/>
        <v>8.4931506849315067E-2</v>
      </c>
      <c r="AH1338">
        <f t="shared" si="454"/>
        <v>0</v>
      </c>
      <c r="AI1338">
        <f t="shared" si="455"/>
        <v>0</v>
      </c>
      <c r="AJ1338" s="2" t="str">
        <f t="shared" si="465"/>
        <v>1046935</v>
      </c>
    </row>
    <row r="1339" spans="1:36" x14ac:dyDescent="0.25">
      <c r="A1339">
        <v>11</v>
      </c>
      <c r="B1339" s="1">
        <v>46935</v>
      </c>
      <c r="C1339" s="1">
        <f t="shared" si="456"/>
        <v>47270</v>
      </c>
      <c r="D1339" s="1">
        <f t="shared" si="457"/>
        <v>46949</v>
      </c>
      <c r="E1339" s="1">
        <f t="shared" si="458"/>
        <v>47270</v>
      </c>
      <c r="F1339" s="1">
        <f t="shared" si="459"/>
        <v>47300</v>
      </c>
      <c r="G1339" s="1">
        <f t="shared" si="460"/>
        <v>47314</v>
      </c>
      <c r="H1339">
        <f t="shared" si="461"/>
        <v>365</v>
      </c>
      <c r="I1339">
        <f t="shared" si="462"/>
        <v>30</v>
      </c>
      <c r="J1339">
        <f t="shared" si="463"/>
        <v>8.2191780821917804E-2</v>
      </c>
      <c r="K1339">
        <f>IFERROR($J1339/IF($A1339&lt;COUNTIFS($K$1:K$1,"&lt;&gt;"),0,SUMIFS($J:$J,$B:$B,$B1339,$A:$A,"&gt;="&amp;COUNTIFS($K$1:K$1,"&lt;&gt;"))),0)</f>
        <v>8.6206896551724144E-2</v>
      </c>
      <c r="L1339">
        <f>IFERROR($J1339/IF($A1339&lt;COUNTIFS($K$1:L$1,"&lt;&gt;"),0,SUMIFS($J:$J,$B:$B,$B1339,$A:$A,"&gt;="&amp;COUNTIFS($K$1:L$1,"&lt;&gt;"))),0)</f>
        <v>9.4637223974763415E-2</v>
      </c>
      <c r="M1339">
        <f>IFERROR($J1339/IF($A1339&lt;COUNTIFS($K$1:M$1,"&lt;&gt;"),0,SUMIFS($J:$J,$B:$B,$B1339,$A:$A,"&gt;="&amp;COUNTIFS($K$1:M$1,"&lt;&gt;"))),0)</f>
        <v>0.10452961672473869</v>
      </c>
      <c r="N1339">
        <f>IFERROR($J1339/IF($A1339&lt;COUNTIFS($K$1:N$1,"&lt;&gt;"),0,SUMIFS($J:$J,$B:$B,$B1339,$A:$A,"&gt;="&amp;COUNTIFS($K$1:N$1,"&lt;&gt;"))),0)</f>
        <v>0.11718750000000001</v>
      </c>
      <c r="O1339">
        <f>IFERROR($J1339/IF($A1339&lt;COUNTIFS($K$1:O$1,"&lt;&gt;"),0,SUMIFS($J:$J,$B:$B,$B1339,$A:$A,"&gt;="&amp;COUNTIFS($K$1:O$1,"&lt;&gt;"))),0)</f>
        <v>0.13274336283185842</v>
      </c>
      <c r="P1339">
        <f>IFERROR($J1339/IF($A1339&lt;COUNTIFS($K$1:P$1,"&lt;&gt;"),0,SUMIFS($J:$J,$B:$B,$B1339,$A:$A,"&gt;="&amp;COUNTIFS($K$1:P$1,"&lt;&gt;"))),0)</f>
        <v>0.15384615384615385</v>
      </c>
      <c r="Q1339">
        <f>IFERROR($J1339/IF($A1339&lt;COUNTIFS($K$1:Q$1,"&lt;&gt;"),0,SUMIFS($J:$J,$B:$B,$B1339,$A:$A,"&gt;="&amp;COUNTIFS($K$1:Q$1,"&lt;&gt;"))),0)</f>
        <v>0.18292682926829268</v>
      </c>
      <c r="R1339">
        <f>IFERROR($J1339/IF($A1339&lt;COUNTIFS($K$1:R$1,"&lt;&gt;"),0,SUMIFS($J:$J,$B:$B,$B1339,$A:$A,"&gt;="&amp;COUNTIFS($K$1:R$1,"&lt;&gt;"))),0)</f>
        <v>0.22058823529411764</v>
      </c>
      <c r="S1339">
        <f>IFERROR($J1339/IF($A1339&lt;COUNTIFS($K$1:S$1,"&lt;&gt;"),0,SUMIFS($J:$J,$B:$B,$B1339,$A:$A,"&gt;="&amp;COUNTIFS($K$1:S$1,"&lt;&gt;"))),0)</f>
        <v>0.2857142857142857</v>
      </c>
      <c r="T1339">
        <f>IFERROR($J1339/IF($A1339&lt;COUNTIFS($K$1:T$1,"&lt;&gt;"),0,SUMIFS($J:$J,$B:$B,$B1339,$A:$A,"&gt;="&amp;COUNTIFS($K$1:T$1,"&lt;&gt;"))),0)</f>
        <v>0.4</v>
      </c>
      <c r="U1339">
        <f>IFERROR($J1339/IF($A1339&lt;COUNTIFS($K$1:U$1,"&lt;&gt;"),0,SUMIFS($J:$J,$B:$B,$B1339,$A:$A,"&gt;="&amp;COUNTIFS($K$1:U$1,"&lt;&gt;"))),0)</f>
        <v>0.68181818181818177</v>
      </c>
      <c r="V1339">
        <f>IFERROR($J1339/IF($A1339&lt;COUNTIFS($K$1:V$1,"&lt;&gt;"),0,SUMIFS($J:$J,$B:$B,$B1339,$A:$A,"&gt;="&amp;COUNTIFS($K$1:V$1,"&lt;&gt;"))),0)</f>
        <v>0</v>
      </c>
      <c r="W1339">
        <f t="shared" si="464"/>
        <v>8.2191780821917804E-2</v>
      </c>
      <c r="X1339">
        <f t="shared" si="444"/>
        <v>8.2191780821917804E-2</v>
      </c>
      <c r="Y1339">
        <f t="shared" si="445"/>
        <v>8.2191780821917804E-2</v>
      </c>
      <c r="Z1339">
        <f t="shared" si="446"/>
        <v>8.2191780821917804E-2</v>
      </c>
      <c r="AA1339">
        <f t="shared" si="447"/>
        <v>8.2191780821917804E-2</v>
      </c>
      <c r="AB1339">
        <f t="shared" si="448"/>
        <v>8.2191780821917804E-2</v>
      </c>
      <c r="AC1339">
        <f t="shared" si="449"/>
        <v>8.2191780821917804E-2</v>
      </c>
      <c r="AD1339">
        <f t="shared" si="450"/>
        <v>8.2191780821917804E-2</v>
      </c>
      <c r="AE1339">
        <f t="shared" si="451"/>
        <v>8.2191780821917804E-2</v>
      </c>
      <c r="AF1339">
        <f t="shared" si="452"/>
        <v>8.2191780821917804E-2</v>
      </c>
      <c r="AG1339">
        <f t="shared" si="453"/>
        <v>8.2191780821917804E-2</v>
      </c>
      <c r="AH1339">
        <f t="shared" si="454"/>
        <v>8.2191780821917804E-2</v>
      </c>
      <c r="AI1339">
        <f t="shared" si="455"/>
        <v>0</v>
      </c>
      <c r="AJ1339" s="2" t="str">
        <f t="shared" si="465"/>
        <v>1146935</v>
      </c>
    </row>
    <row r="1340" spans="1:36" x14ac:dyDescent="0.25">
      <c r="A1340">
        <v>12</v>
      </c>
      <c r="B1340" s="1">
        <v>46935</v>
      </c>
      <c r="C1340" s="1">
        <f t="shared" si="456"/>
        <v>47300</v>
      </c>
      <c r="D1340" s="1">
        <f t="shared" si="457"/>
        <v>46949</v>
      </c>
      <c r="E1340" s="1">
        <f t="shared" si="458"/>
        <v>47300</v>
      </c>
      <c r="F1340" s="1">
        <f t="shared" si="459"/>
        <v>47314</v>
      </c>
      <c r="G1340" s="1">
        <f t="shared" si="460"/>
        <v>47314</v>
      </c>
      <c r="H1340">
        <f t="shared" si="461"/>
        <v>365</v>
      </c>
      <c r="I1340">
        <f t="shared" si="462"/>
        <v>14</v>
      </c>
      <c r="J1340">
        <f t="shared" si="463"/>
        <v>3.8356164383561646E-2</v>
      </c>
      <c r="K1340">
        <f>IFERROR($J1340/IF($A1340&lt;COUNTIFS($K$1:K$1,"&lt;&gt;"),0,SUMIFS($J:$J,$B:$B,$B1340,$A:$A,"&gt;="&amp;COUNTIFS($K$1:K$1,"&lt;&gt;"))),0)</f>
        <v>4.0229885057471271E-2</v>
      </c>
      <c r="L1340">
        <f>IFERROR($J1340/IF($A1340&lt;COUNTIFS($K$1:L$1,"&lt;&gt;"),0,SUMIFS($J:$J,$B:$B,$B1340,$A:$A,"&gt;="&amp;COUNTIFS($K$1:L$1,"&lt;&gt;"))),0)</f>
        <v>4.41640378548896E-2</v>
      </c>
      <c r="M1340">
        <f>IFERROR($J1340/IF($A1340&lt;COUNTIFS($K$1:M$1,"&lt;&gt;"),0,SUMIFS($J:$J,$B:$B,$B1340,$A:$A,"&gt;="&amp;COUNTIFS($K$1:M$1,"&lt;&gt;"))),0)</f>
        <v>4.8780487804878057E-2</v>
      </c>
      <c r="N1340">
        <f>IFERROR($J1340/IF($A1340&lt;COUNTIFS($K$1:N$1,"&lt;&gt;"),0,SUMIFS($J:$J,$B:$B,$B1340,$A:$A,"&gt;="&amp;COUNTIFS($K$1:N$1,"&lt;&gt;"))),0)</f>
        <v>5.4687500000000014E-2</v>
      </c>
      <c r="O1340">
        <f>IFERROR($J1340/IF($A1340&lt;COUNTIFS($K$1:O$1,"&lt;&gt;"),0,SUMIFS($J:$J,$B:$B,$B1340,$A:$A,"&gt;="&amp;COUNTIFS($K$1:O$1,"&lt;&gt;"))),0)</f>
        <v>6.194690265486727E-2</v>
      </c>
      <c r="P1340">
        <f>IFERROR($J1340/IF($A1340&lt;COUNTIFS($K$1:P$1,"&lt;&gt;"),0,SUMIFS($J:$J,$B:$B,$B1340,$A:$A,"&gt;="&amp;COUNTIFS($K$1:P$1,"&lt;&gt;"))),0)</f>
        <v>7.1794871794871803E-2</v>
      </c>
      <c r="Q1340">
        <f>IFERROR($J1340/IF($A1340&lt;COUNTIFS($K$1:Q$1,"&lt;&gt;"),0,SUMIFS($J:$J,$B:$B,$B1340,$A:$A,"&gt;="&amp;COUNTIFS($K$1:Q$1,"&lt;&gt;"))),0)</f>
        <v>8.5365853658536592E-2</v>
      </c>
      <c r="R1340">
        <f>IFERROR($J1340/IF($A1340&lt;COUNTIFS($K$1:R$1,"&lt;&gt;"),0,SUMIFS($J:$J,$B:$B,$B1340,$A:$A,"&gt;="&amp;COUNTIFS($K$1:R$1,"&lt;&gt;"))),0)</f>
        <v>0.10294117647058824</v>
      </c>
      <c r="S1340">
        <f>IFERROR($J1340/IF($A1340&lt;COUNTIFS($K$1:S$1,"&lt;&gt;"),0,SUMIFS($J:$J,$B:$B,$B1340,$A:$A,"&gt;="&amp;COUNTIFS($K$1:S$1,"&lt;&gt;"))),0)</f>
        <v>0.13333333333333336</v>
      </c>
      <c r="T1340">
        <f>IFERROR($J1340/IF($A1340&lt;COUNTIFS($K$1:T$1,"&lt;&gt;"),0,SUMIFS($J:$J,$B:$B,$B1340,$A:$A,"&gt;="&amp;COUNTIFS($K$1:T$1,"&lt;&gt;"))),0)</f>
        <v>0.18666666666666668</v>
      </c>
      <c r="U1340">
        <f>IFERROR($J1340/IF($A1340&lt;COUNTIFS($K$1:U$1,"&lt;&gt;"),0,SUMIFS($J:$J,$B:$B,$B1340,$A:$A,"&gt;="&amp;COUNTIFS($K$1:U$1,"&lt;&gt;"))),0)</f>
        <v>0.31818181818181818</v>
      </c>
      <c r="V1340">
        <f>IFERROR($J1340/IF($A1340&lt;COUNTIFS($K$1:V$1,"&lt;&gt;"),0,SUMIFS($J:$J,$B:$B,$B1340,$A:$A,"&gt;="&amp;COUNTIFS($K$1:V$1,"&lt;&gt;"))),0)</f>
        <v>1</v>
      </c>
      <c r="W1340">
        <f t="shared" si="464"/>
        <v>3.8356164383561646E-2</v>
      </c>
      <c r="X1340">
        <f t="shared" si="444"/>
        <v>3.8356164383561646E-2</v>
      </c>
      <c r="Y1340">
        <f t="shared" si="445"/>
        <v>3.8356164383561646E-2</v>
      </c>
      <c r="Z1340">
        <f t="shared" si="446"/>
        <v>3.8356164383561646E-2</v>
      </c>
      <c r="AA1340">
        <f t="shared" si="447"/>
        <v>3.8356164383561646E-2</v>
      </c>
      <c r="AB1340">
        <f t="shared" si="448"/>
        <v>3.8356164383561646E-2</v>
      </c>
      <c r="AC1340">
        <f t="shared" si="449"/>
        <v>3.8356164383561646E-2</v>
      </c>
      <c r="AD1340">
        <f t="shared" si="450"/>
        <v>3.8356164383561646E-2</v>
      </c>
      <c r="AE1340">
        <f t="shared" si="451"/>
        <v>3.8356164383561646E-2</v>
      </c>
      <c r="AF1340">
        <f t="shared" si="452"/>
        <v>3.8356164383561646E-2</v>
      </c>
      <c r="AG1340">
        <f t="shared" si="453"/>
        <v>3.8356164383561646E-2</v>
      </c>
      <c r="AH1340">
        <f t="shared" si="454"/>
        <v>3.8356164383561646E-2</v>
      </c>
      <c r="AI1340">
        <f t="shared" si="455"/>
        <v>3.8356164383561646E-2</v>
      </c>
      <c r="AJ1340" s="2" t="str">
        <f t="shared" si="465"/>
        <v>1246935</v>
      </c>
    </row>
    <row r="1341" spans="1:36" x14ac:dyDescent="0.25">
      <c r="A1341">
        <v>0</v>
      </c>
      <c r="B1341" s="1">
        <v>46966</v>
      </c>
      <c r="C1341" s="1">
        <f t="shared" si="456"/>
        <v>46966</v>
      </c>
      <c r="D1341" s="1">
        <f t="shared" si="457"/>
        <v>46980</v>
      </c>
      <c r="E1341" s="1">
        <f t="shared" si="458"/>
        <v>46980</v>
      </c>
      <c r="F1341" s="1">
        <f t="shared" si="459"/>
        <v>46997</v>
      </c>
      <c r="G1341" s="1">
        <f t="shared" si="460"/>
        <v>47345</v>
      </c>
      <c r="H1341">
        <f t="shared" si="461"/>
        <v>365</v>
      </c>
      <c r="I1341">
        <f t="shared" si="462"/>
        <v>17</v>
      </c>
      <c r="J1341">
        <f t="shared" si="463"/>
        <v>4.6575342465753428E-2</v>
      </c>
      <c r="K1341">
        <f>IFERROR($J1341/IF($A1341&lt;COUNTIFS($K$1:K$1,"&lt;&gt;"),0,SUMIFS($J:$J,$B:$B,$B1341,$A:$A,"&gt;="&amp;COUNTIFS($K$1:K$1,"&lt;&gt;"))),0)</f>
        <v>0</v>
      </c>
      <c r="L1341">
        <f>IFERROR($J1341/IF($A1341&lt;COUNTIFS($K$1:L$1,"&lt;&gt;"),0,SUMIFS($J:$J,$B:$B,$B1341,$A:$A,"&gt;="&amp;COUNTIFS($K$1:L$1,"&lt;&gt;"))),0)</f>
        <v>0</v>
      </c>
      <c r="M1341">
        <f>IFERROR($J1341/IF($A1341&lt;COUNTIFS($K$1:M$1,"&lt;&gt;"),0,SUMIFS($J:$J,$B:$B,$B1341,$A:$A,"&gt;="&amp;COUNTIFS($K$1:M$1,"&lt;&gt;"))),0)</f>
        <v>0</v>
      </c>
      <c r="N1341">
        <f>IFERROR($J1341/IF($A1341&lt;COUNTIFS($K$1:N$1,"&lt;&gt;"),0,SUMIFS($J:$J,$B:$B,$B1341,$A:$A,"&gt;="&amp;COUNTIFS($K$1:N$1,"&lt;&gt;"))),0)</f>
        <v>0</v>
      </c>
      <c r="O1341">
        <f>IFERROR($J1341/IF($A1341&lt;COUNTIFS($K$1:O$1,"&lt;&gt;"),0,SUMIFS($J:$J,$B:$B,$B1341,$A:$A,"&gt;="&amp;COUNTIFS($K$1:O$1,"&lt;&gt;"))),0)</f>
        <v>0</v>
      </c>
      <c r="P1341">
        <f>IFERROR($J1341/IF($A1341&lt;COUNTIFS($K$1:P$1,"&lt;&gt;"),0,SUMIFS($J:$J,$B:$B,$B1341,$A:$A,"&gt;="&amp;COUNTIFS($K$1:P$1,"&lt;&gt;"))),0)</f>
        <v>0</v>
      </c>
      <c r="Q1341">
        <f>IFERROR($J1341/IF($A1341&lt;COUNTIFS($K$1:Q$1,"&lt;&gt;"),0,SUMIFS($J:$J,$B:$B,$B1341,$A:$A,"&gt;="&amp;COUNTIFS($K$1:Q$1,"&lt;&gt;"))),0)</f>
        <v>0</v>
      </c>
      <c r="R1341">
        <f>IFERROR($J1341/IF($A1341&lt;COUNTIFS($K$1:R$1,"&lt;&gt;"),0,SUMIFS($J:$J,$B:$B,$B1341,$A:$A,"&gt;="&amp;COUNTIFS($K$1:R$1,"&lt;&gt;"))),0)</f>
        <v>0</v>
      </c>
      <c r="S1341">
        <f>IFERROR($J1341/IF($A1341&lt;COUNTIFS($K$1:S$1,"&lt;&gt;"),0,SUMIFS($J:$J,$B:$B,$B1341,$A:$A,"&gt;="&amp;COUNTIFS($K$1:S$1,"&lt;&gt;"))),0)</f>
        <v>0</v>
      </c>
      <c r="T1341">
        <f>IFERROR($J1341/IF($A1341&lt;COUNTIFS($K$1:T$1,"&lt;&gt;"),0,SUMIFS($J:$J,$B:$B,$B1341,$A:$A,"&gt;="&amp;COUNTIFS($K$1:T$1,"&lt;&gt;"))),0)</f>
        <v>0</v>
      </c>
      <c r="U1341">
        <f>IFERROR($J1341/IF($A1341&lt;COUNTIFS($K$1:U$1,"&lt;&gt;"),0,SUMIFS($J:$J,$B:$B,$B1341,$A:$A,"&gt;="&amp;COUNTIFS($K$1:U$1,"&lt;&gt;"))),0)</f>
        <v>0</v>
      </c>
      <c r="V1341">
        <f>IFERROR($J1341/IF($A1341&lt;COUNTIFS($K$1:V$1,"&lt;&gt;"),0,SUMIFS($J:$J,$B:$B,$B1341,$A:$A,"&gt;="&amp;COUNTIFS($K$1:V$1,"&lt;&gt;"))),0)</f>
        <v>0</v>
      </c>
      <c r="W1341">
        <f t="shared" si="464"/>
        <v>4.6575342465753428E-2</v>
      </c>
      <c r="X1341">
        <f t="shared" si="444"/>
        <v>0</v>
      </c>
      <c r="Y1341">
        <f t="shared" si="445"/>
        <v>0</v>
      </c>
      <c r="Z1341">
        <f t="shared" si="446"/>
        <v>0</v>
      </c>
      <c r="AA1341">
        <f t="shared" si="447"/>
        <v>0</v>
      </c>
      <c r="AB1341">
        <f t="shared" si="448"/>
        <v>0</v>
      </c>
      <c r="AC1341">
        <f t="shared" si="449"/>
        <v>0</v>
      </c>
      <c r="AD1341">
        <f t="shared" si="450"/>
        <v>0</v>
      </c>
      <c r="AE1341">
        <f t="shared" si="451"/>
        <v>0</v>
      </c>
      <c r="AF1341">
        <f t="shared" si="452"/>
        <v>0</v>
      </c>
      <c r="AG1341">
        <f t="shared" si="453"/>
        <v>0</v>
      </c>
      <c r="AH1341">
        <f t="shared" si="454"/>
        <v>0</v>
      </c>
      <c r="AI1341">
        <f t="shared" si="455"/>
        <v>0</v>
      </c>
      <c r="AJ1341" s="2" t="str">
        <f t="shared" si="465"/>
        <v>046966</v>
      </c>
    </row>
    <row r="1342" spans="1:36" x14ac:dyDescent="0.25">
      <c r="A1342">
        <v>1</v>
      </c>
      <c r="B1342" s="1">
        <v>46966</v>
      </c>
      <c r="C1342" s="1">
        <f t="shared" si="456"/>
        <v>46997</v>
      </c>
      <c r="D1342" s="1">
        <f t="shared" si="457"/>
        <v>46980</v>
      </c>
      <c r="E1342" s="1">
        <f t="shared" si="458"/>
        <v>46997</v>
      </c>
      <c r="F1342" s="1">
        <f t="shared" si="459"/>
        <v>47027</v>
      </c>
      <c r="G1342" s="1">
        <f t="shared" si="460"/>
        <v>47345</v>
      </c>
      <c r="H1342">
        <f t="shared" si="461"/>
        <v>365</v>
      </c>
      <c r="I1342">
        <f t="shared" si="462"/>
        <v>30</v>
      </c>
      <c r="J1342">
        <f t="shared" si="463"/>
        <v>8.2191780821917804E-2</v>
      </c>
      <c r="K1342">
        <f>IFERROR($J1342/IF($A1342&lt;COUNTIFS($K$1:K$1,"&lt;&gt;"),0,SUMIFS($J:$J,$B:$B,$B1342,$A:$A,"&gt;="&amp;COUNTIFS($K$1:K$1,"&lt;&gt;"))),0)</f>
        <v>8.6206896551724144E-2</v>
      </c>
      <c r="L1342">
        <f>IFERROR($J1342/IF($A1342&lt;COUNTIFS($K$1:L$1,"&lt;&gt;"),0,SUMIFS($J:$J,$B:$B,$B1342,$A:$A,"&gt;="&amp;COUNTIFS($K$1:L$1,"&lt;&gt;"))),0)</f>
        <v>0</v>
      </c>
      <c r="M1342">
        <f>IFERROR($J1342/IF($A1342&lt;COUNTIFS($K$1:M$1,"&lt;&gt;"),0,SUMIFS($J:$J,$B:$B,$B1342,$A:$A,"&gt;="&amp;COUNTIFS($K$1:M$1,"&lt;&gt;"))),0)</f>
        <v>0</v>
      </c>
      <c r="N1342">
        <f>IFERROR($J1342/IF($A1342&lt;COUNTIFS($K$1:N$1,"&lt;&gt;"),0,SUMIFS($J:$J,$B:$B,$B1342,$A:$A,"&gt;="&amp;COUNTIFS($K$1:N$1,"&lt;&gt;"))),0)</f>
        <v>0</v>
      </c>
      <c r="O1342">
        <f>IFERROR($J1342/IF($A1342&lt;COUNTIFS($K$1:O$1,"&lt;&gt;"),0,SUMIFS($J:$J,$B:$B,$B1342,$A:$A,"&gt;="&amp;COUNTIFS($K$1:O$1,"&lt;&gt;"))),0)</f>
        <v>0</v>
      </c>
      <c r="P1342">
        <f>IFERROR($J1342/IF($A1342&lt;COUNTIFS($K$1:P$1,"&lt;&gt;"),0,SUMIFS($J:$J,$B:$B,$B1342,$A:$A,"&gt;="&amp;COUNTIFS($K$1:P$1,"&lt;&gt;"))),0)</f>
        <v>0</v>
      </c>
      <c r="Q1342">
        <f>IFERROR($J1342/IF($A1342&lt;COUNTIFS($K$1:Q$1,"&lt;&gt;"),0,SUMIFS($J:$J,$B:$B,$B1342,$A:$A,"&gt;="&amp;COUNTIFS($K$1:Q$1,"&lt;&gt;"))),0)</f>
        <v>0</v>
      </c>
      <c r="R1342">
        <f>IFERROR($J1342/IF($A1342&lt;COUNTIFS($K$1:R$1,"&lt;&gt;"),0,SUMIFS($J:$J,$B:$B,$B1342,$A:$A,"&gt;="&amp;COUNTIFS($K$1:R$1,"&lt;&gt;"))),0)</f>
        <v>0</v>
      </c>
      <c r="S1342">
        <f>IFERROR($J1342/IF($A1342&lt;COUNTIFS($K$1:S$1,"&lt;&gt;"),0,SUMIFS($J:$J,$B:$B,$B1342,$A:$A,"&gt;="&amp;COUNTIFS($K$1:S$1,"&lt;&gt;"))),0)</f>
        <v>0</v>
      </c>
      <c r="T1342">
        <f>IFERROR($J1342/IF($A1342&lt;COUNTIFS($K$1:T$1,"&lt;&gt;"),0,SUMIFS($J:$J,$B:$B,$B1342,$A:$A,"&gt;="&amp;COUNTIFS($K$1:T$1,"&lt;&gt;"))),0)</f>
        <v>0</v>
      </c>
      <c r="U1342">
        <f>IFERROR($J1342/IF($A1342&lt;COUNTIFS($K$1:U$1,"&lt;&gt;"),0,SUMIFS($J:$J,$B:$B,$B1342,$A:$A,"&gt;="&amp;COUNTIFS($K$1:U$1,"&lt;&gt;"))),0)</f>
        <v>0</v>
      </c>
      <c r="V1342">
        <f>IFERROR($J1342/IF($A1342&lt;COUNTIFS($K$1:V$1,"&lt;&gt;"),0,SUMIFS($J:$J,$B:$B,$B1342,$A:$A,"&gt;="&amp;COUNTIFS($K$1:V$1,"&lt;&gt;"))),0)</f>
        <v>0</v>
      </c>
      <c r="W1342">
        <f t="shared" si="464"/>
        <v>8.2191780821917804E-2</v>
      </c>
      <c r="X1342">
        <f t="shared" si="444"/>
        <v>8.2191780821917804E-2</v>
      </c>
      <c r="Y1342">
        <f t="shared" si="445"/>
        <v>0</v>
      </c>
      <c r="Z1342">
        <f t="shared" si="446"/>
        <v>0</v>
      </c>
      <c r="AA1342">
        <f t="shared" si="447"/>
        <v>0</v>
      </c>
      <c r="AB1342">
        <f t="shared" si="448"/>
        <v>0</v>
      </c>
      <c r="AC1342">
        <f t="shared" si="449"/>
        <v>0</v>
      </c>
      <c r="AD1342">
        <f t="shared" si="450"/>
        <v>0</v>
      </c>
      <c r="AE1342">
        <f t="shared" si="451"/>
        <v>0</v>
      </c>
      <c r="AF1342">
        <f t="shared" si="452"/>
        <v>0</v>
      </c>
      <c r="AG1342">
        <f t="shared" si="453"/>
        <v>0</v>
      </c>
      <c r="AH1342">
        <f t="shared" si="454"/>
        <v>0</v>
      </c>
      <c r="AI1342">
        <f t="shared" si="455"/>
        <v>0</v>
      </c>
      <c r="AJ1342" s="2" t="str">
        <f t="shared" si="465"/>
        <v>146966</v>
      </c>
    </row>
    <row r="1343" spans="1:36" x14ac:dyDescent="0.25">
      <c r="A1343">
        <v>2</v>
      </c>
      <c r="B1343" s="1">
        <v>46966</v>
      </c>
      <c r="C1343" s="1">
        <f t="shared" si="456"/>
        <v>47027</v>
      </c>
      <c r="D1343" s="1">
        <f t="shared" si="457"/>
        <v>46980</v>
      </c>
      <c r="E1343" s="1">
        <f t="shared" si="458"/>
        <v>47027</v>
      </c>
      <c r="F1343" s="1">
        <f t="shared" si="459"/>
        <v>47058</v>
      </c>
      <c r="G1343" s="1">
        <f t="shared" si="460"/>
        <v>47345</v>
      </c>
      <c r="H1343">
        <f t="shared" si="461"/>
        <v>365</v>
      </c>
      <c r="I1343">
        <f t="shared" si="462"/>
        <v>31</v>
      </c>
      <c r="J1343">
        <f t="shared" si="463"/>
        <v>8.4931506849315067E-2</v>
      </c>
      <c r="K1343">
        <f>IFERROR($J1343/IF($A1343&lt;COUNTIFS($K$1:K$1,"&lt;&gt;"),0,SUMIFS($J:$J,$B:$B,$B1343,$A:$A,"&gt;="&amp;COUNTIFS($K$1:K$1,"&lt;&gt;"))),0)</f>
        <v>8.9080459770114959E-2</v>
      </c>
      <c r="L1343">
        <f>IFERROR($J1343/IF($A1343&lt;COUNTIFS($K$1:L$1,"&lt;&gt;"),0,SUMIFS($J:$J,$B:$B,$B1343,$A:$A,"&gt;="&amp;COUNTIFS($K$1:L$1,"&lt;&gt;"))),0)</f>
        <v>9.7484276729559768E-2</v>
      </c>
      <c r="M1343">
        <f>IFERROR($J1343/IF($A1343&lt;COUNTIFS($K$1:M$1,"&lt;&gt;"),0,SUMIFS($J:$J,$B:$B,$B1343,$A:$A,"&gt;="&amp;COUNTIFS($K$1:M$1,"&lt;&gt;"))),0)</f>
        <v>0</v>
      </c>
      <c r="N1343">
        <f>IFERROR($J1343/IF($A1343&lt;COUNTIFS($K$1:N$1,"&lt;&gt;"),0,SUMIFS($J:$J,$B:$B,$B1343,$A:$A,"&gt;="&amp;COUNTIFS($K$1:N$1,"&lt;&gt;"))),0)</f>
        <v>0</v>
      </c>
      <c r="O1343">
        <f>IFERROR($J1343/IF($A1343&lt;COUNTIFS($K$1:O$1,"&lt;&gt;"),0,SUMIFS($J:$J,$B:$B,$B1343,$A:$A,"&gt;="&amp;COUNTIFS($K$1:O$1,"&lt;&gt;"))),0)</f>
        <v>0</v>
      </c>
      <c r="P1343">
        <f>IFERROR($J1343/IF($A1343&lt;COUNTIFS($K$1:P$1,"&lt;&gt;"),0,SUMIFS($J:$J,$B:$B,$B1343,$A:$A,"&gt;="&amp;COUNTIFS($K$1:P$1,"&lt;&gt;"))),0)</f>
        <v>0</v>
      </c>
      <c r="Q1343">
        <f>IFERROR($J1343/IF($A1343&lt;COUNTIFS($K$1:Q$1,"&lt;&gt;"),0,SUMIFS($J:$J,$B:$B,$B1343,$A:$A,"&gt;="&amp;COUNTIFS($K$1:Q$1,"&lt;&gt;"))),0)</f>
        <v>0</v>
      </c>
      <c r="R1343">
        <f>IFERROR($J1343/IF($A1343&lt;COUNTIFS($K$1:R$1,"&lt;&gt;"),0,SUMIFS($J:$J,$B:$B,$B1343,$A:$A,"&gt;="&amp;COUNTIFS($K$1:R$1,"&lt;&gt;"))),0)</f>
        <v>0</v>
      </c>
      <c r="S1343">
        <f>IFERROR($J1343/IF($A1343&lt;COUNTIFS($K$1:S$1,"&lt;&gt;"),0,SUMIFS($J:$J,$B:$B,$B1343,$A:$A,"&gt;="&amp;COUNTIFS($K$1:S$1,"&lt;&gt;"))),0)</f>
        <v>0</v>
      </c>
      <c r="T1343">
        <f>IFERROR($J1343/IF($A1343&lt;COUNTIFS($K$1:T$1,"&lt;&gt;"),0,SUMIFS($J:$J,$B:$B,$B1343,$A:$A,"&gt;="&amp;COUNTIFS($K$1:T$1,"&lt;&gt;"))),0)</f>
        <v>0</v>
      </c>
      <c r="U1343">
        <f>IFERROR($J1343/IF($A1343&lt;COUNTIFS($K$1:U$1,"&lt;&gt;"),0,SUMIFS($J:$J,$B:$B,$B1343,$A:$A,"&gt;="&amp;COUNTIFS($K$1:U$1,"&lt;&gt;"))),0)</f>
        <v>0</v>
      </c>
      <c r="V1343">
        <f>IFERROR($J1343/IF($A1343&lt;COUNTIFS($K$1:V$1,"&lt;&gt;"),0,SUMIFS($J:$J,$B:$B,$B1343,$A:$A,"&gt;="&amp;COUNTIFS($K$1:V$1,"&lt;&gt;"))),0)</f>
        <v>0</v>
      </c>
      <c r="W1343">
        <f t="shared" si="464"/>
        <v>8.4931506849315067E-2</v>
      </c>
      <c r="X1343">
        <f t="shared" si="444"/>
        <v>8.4931506849315067E-2</v>
      </c>
      <c r="Y1343">
        <f t="shared" si="445"/>
        <v>8.4931506849315067E-2</v>
      </c>
      <c r="Z1343">
        <f t="shared" si="446"/>
        <v>0</v>
      </c>
      <c r="AA1343">
        <f t="shared" si="447"/>
        <v>0</v>
      </c>
      <c r="AB1343">
        <f t="shared" si="448"/>
        <v>0</v>
      </c>
      <c r="AC1343">
        <f t="shared" si="449"/>
        <v>0</v>
      </c>
      <c r="AD1343">
        <f t="shared" si="450"/>
        <v>0</v>
      </c>
      <c r="AE1343">
        <f t="shared" si="451"/>
        <v>0</v>
      </c>
      <c r="AF1343">
        <f t="shared" si="452"/>
        <v>0</v>
      </c>
      <c r="AG1343">
        <f t="shared" si="453"/>
        <v>0</v>
      </c>
      <c r="AH1343">
        <f t="shared" si="454"/>
        <v>0</v>
      </c>
      <c r="AI1343">
        <f t="shared" si="455"/>
        <v>0</v>
      </c>
      <c r="AJ1343" s="2" t="str">
        <f t="shared" si="465"/>
        <v>246966</v>
      </c>
    </row>
    <row r="1344" spans="1:36" x14ac:dyDescent="0.25">
      <c r="A1344">
        <v>3</v>
      </c>
      <c r="B1344" s="1">
        <v>46966</v>
      </c>
      <c r="C1344" s="1">
        <f t="shared" si="456"/>
        <v>47058</v>
      </c>
      <c r="D1344" s="1">
        <f t="shared" si="457"/>
        <v>46980</v>
      </c>
      <c r="E1344" s="1">
        <f t="shared" si="458"/>
        <v>47058</v>
      </c>
      <c r="F1344" s="1">
        <f t="shared" si="459"/>
        <v>47088</v>
      </c>
      <c r="G1344" s="1">
        <f t="shared" si="460"/>
        <v>47345</v>
      </c>
      <c r="H1344">
        <f t="shared" si="461"/>
        <v>365</v>
      </c>
      <c r="I1344">
        <f t="shared" si="462"/>
        <v>30</v>
      </c>
      <c r="J1344">
        <f t="shared" si="463"/>
        <v>8.2191780821917804E-2</v>
      </c>
      <c r="K1344">
        <f>IFERROR($J1344/IF($A1344&lt;COUNTIFS($K$1:K$1,"&lt;&gt;"),0,SUMIFS($J:$J,$B:$B,$B1344,$A:$A,"&gt;="&amp;COUNTIFS($K$1:K$1,"&lt;&gt;"))),0)</f>
        <v>8.6206896551724144E-2</v>
      </c>
      <c r="L1344">
        <f>IFERROR($J1344/IF($A1344&lt;COUNTIFS($K$1:L$1,"&lt;&gt;"),0,SUMIFS($J:$J,$B:$B,$B1344,$A:$A,"&gt;="&amp;COUNTIFS($K$1:L$1,"&lt;&gt;"))),0)</f>
        <v>9.4339622641509441E-2</v>
      </c>
      <c r="M1344">
        <f>IFERROR($J1344/IF($A1344&lt;COUNTIFS($K$1:M$1,"&lt;&gt;"),0,SUMIFS($J:$J,$B:$B,$B1344,$A:$A,"&gt;="&amp;COUNTIFS($K$1:M$1,"&lt;&gt;"))),0)</f>
        <v>0.10452961672473869</v>
      </c>
      <c r="N1344">
        <f>IFERROR($J1344/IF($A1344&lt;COUNTIFS($K$1:N$1,"&lt;&gt;"),0,SUMIFS($J:$J,$B:$B,$B1344,$A:$A,"&gt;="&amp;COUNTIFS($K$1:N$1,"&lt;&gt;"))),0)</f>
        <v>0</v>
      </c>
      <c r="O1344">
        <f>IFERROR($J1344/IF($A1344&lt;COUNTIFS($K$1:O$1,"&lt;&gt;"),0,SUMIFS($J:$J,$B:$B,$B1344,$A:$A,"&gt;="&amp;COUNTIFS($K$1:O$1,"&lt;&gt;"))),0)</f>
        <v>0</v>
      </c>
      <c r="P1344">
        <f>IFERROR($J1344/IF($A1344&lt;COUNTIFS($K$1:P$1,"&lt;&gt;"),0,SUMIFS($J:$J,$B:$B,$B1344,$A:$A,"&gt;="&amp;COUNTIFS($K$1:P$1,"&lt;&gt;"))),0)</f>
        <v>0</v>
      </c>
      <c r="Q1344">
        <f>IFERROR($J1344/IF($A1344&lt;COUNTIFS($K$1:Q$1,"&lt;&gt;"),0,SUMIFS($J:$J,$B:$B,$B1344,$A:$A,"&gt;="&amp;COUNTIFS($K$1:Q$1,"&lt;&gt;"))),0)</f>
        <v>0</v>
      </c>
      <c r="R1344">
        <f>IFERROR($J1344/IF($A1344&lt;COUNTIFS($K$1:R$1,"&lt;&gt;"),0,SUMIFS($J:$J,$B:$B,$B1344,$A:$A,"&gt;="&amp;COUNTIFS($K$1:R$1,"&lt;&gt;"))),0)</f>
        <v>0</v>
      </c>
      <c r="S1344">
        <f>IFERROR($J1344/IF($A1344&lt;COUNTIFS($K$1:S$1,"&lt;&gt;"),0,SUMIFS($J:$J,$B:$B,$B1344,$A:$A,"&gt;="&amp;COUNTIFS($K$1:S$1,"&lt;&gt;"))),0)</f>
        <v>0</v>
      </c>
      <c r="T1344">
        <f>IFERROR($J1344/IF($A1344&lt;COUNTIFS($K$1:T$1,"&lt;&gt;"),0,SUMIFS($J:$J,$B:$B,$B1344,$A:$A,"&gt;="&amp;COUNTIFS($K$1:T$1,"&lt;&gt;"))),0)</f>
        <v>0</v>
      </c>
      <c r="U1344">
        <f>IFERROR($J1344/IF($A1344&lt;COUNTIFS($K$1:U$1,"&lt;&gt;"),0,SUMIFS($J:$J,$B:$B,$B1344,$A:$A,"&gt;="&amp;COUNTIFS($K$1:U$1,"&lt;&gt;"))),0)</f>
        <v>0</v>
      </c>
      <c r="V1344">
        <f>IFERROR($J1344/IF($A1344&lt;COUNTIFS($K$1:V$1,"&lt;&gt;"),0,SUMIFS($J:$J,$B:$B,$B1344,$A:$A,"&gt;="&amp;COUNTIFS($K$1:V$1,"&lt;&gt;"))),0)</f>
        <v>0</v>
      </c>
      <c r="W1344">
        <f t="shared" si="464"/>
        <v>8.2191780821917804E-2</v>
      </c>
      <c r="X1344">
        <f t="shared" si="444"/>
        <v>8.2191780821917804E-2</v>
      </c>
      <c r="Y1344">
        <f t="shared" si="445"/>
        <v>8.2191780821917804E-2</v>
      </c>
      <c r="Z1344">
        <f t="shared" si="446"/>
        <v>8.2191780821917804E-2</v>
      </c>
      <c r="AA1344">
        <f t="shared" si="447"/>
        <v>0</v>
      </c>
      <c r="AB1344">
        <f t="shared" si="448"/>
        <v>0</v>
      </c>
      <c r="AC1344">
        <f t="shared" si="449"/>
        <v>0</v>
      </c>
      <c r="AD1344">
        <f t="shared" si="450"/>
        <v>0</v>
      </c>
      <c r="AE1344">
        <f t="shared" si="451"/>
        <v>0</v>
      </c>
      <c r="AF1344">
        <f t="shared" si="452"/>
        <v>0</v>
      </c>
      <c r="AG1344">
        <f t="shared" si="453"/>
        <v>0</v>
      </c>
      <c r="AH1344">
        <f t="shared" si="454"/>
        <v>0</v>
      </c>
      <c r="AI1344">
        <f t="shared" si="455"/>
        <v>0</v>
      </c>
      <c r="AJ1344" s="2" t="str">
        <f t="shared" si="465"/>
        <v>346966</v>
      </c>
    </row>
    <row r="1345" spans="1:36" x14ac:dyDescent="0.25">
      <c r="A1345">
        <v>4</v>
      </c>
      <c r="B1345" s="1">
        <v>46966</v>
      </c>
      <c r="C1345" s="1">
        <f t="shared" si="456"/>
        <v>47088</v>
      </c>
      <c r="D1345" s="1">
        <f t="shared" si="457"/>
        <v>46980</v>
      </c>
      <c r="E1345" s="1">
        <f t="shared" si="458"/>
        <v>47088</v>
      </c>
      <c r="F1345" s="1">
        <f t="shared" si="459"/>
        <v>47119</v>
      </c>
      <c r="G1345" s="1">
        <f t="shared" si="460"/>
        <v>47345</v>
      </c>
      <c r="H1345">
        <f t="shared" si="461"/>
        <v>365</v>
      </c>
      <c r="I1345">
        <f t="shared" si="462"/>
        <v>31</v>
      </c>
      <c r="J1345">
        <f t="shared" si="463"/>
        <v>8.4931506849315067E-2</v>
      </c>
      <c r="K1345">
        <f>IFERROR($J1345/IF($A1345&lt;COUNTIFS($K$1:K$1,"&lt;&gt;"),0,SUMIFS($J:$J,$B:$B,$B1345,$A:$A,"&gt;="&amp;COUNTIFS($K$1:K$1,"&lt;&gt;"))),0)</f>
        <v>8.9080459770114959E-2</v>
      </c>
      <c r="L1345">
        <f>IFERROR($J1345/IF($A1345&lt;COUNTIFS($K$1:L$1,"&lt;&gt;"),0,SUMIFS($J:$J,$B:$B,$B1345,$A:$A,"&gt;="&amp;COUNTIFS($K$1:L$1,"&lt;&gt;"))),0)</f>
        <v>9.7484276729559768E-2</v>
      </c>
      <c r="M1345">
        <f>IFERROR($J1345/IF($A1345&lt;COUNTIFS($K$1:M$1,"&lt;&gt;"),0,SUMIFS($J:$J,$B:$B,$B1345,$A:$A,"&gt;="&amp;COUNTIFS($K$1:M$1,"&lt;&gt;"))),0)</f>
        <v>0.10801393728222998</v>
      </c>
      <c r="N1345">
        <f>IFERROR($J1345/IF($A1345&lt;COUNTIFS($K$1:N$1,"&lt;&gt;"),0,SUMIFS($J:$J,$B:$B,$B1345,$A:$A,"&gt;="&amp;COUNTIFS($K$1:N$1,"&lt;&gt;"))),0)</f>
        <v>0.12062256809338523</v>
      </c>
      <c r="O1345">
        <f>IFERROR($J1345/IF($A1345&lt;COUNTIFS($K$1:O$1,"&lt;&gt;"),0,SUMIFS($J:$J,$B:$B,$B1345,$A:$A,"&gt;="&amp;COUNTIFS($K$1:O$1,"&lt;&gt;"))),0)</f>
        <v>0</v>
      </c>
      <c r="P1345">
        <f>IFERROR($J1345/IF($A1345&lt;COUNTIFS($K$1:P$1,"&lt;&gt;"),0,SUMIFS($J:$J,$B:$B,$B1345,$A:$A,"&gt;="&amp;COUNTIFS($K$1:P$1,"&lt;&gt;"))),0)</f>
        <v>0</v>
      </c>
      <c r="Q1345">
        <f>IFERROR($J1345/IF($A1345&lt;COUNTIFS($K$1:Q$1,"&lt;&gt;"),0,SUMIFS($J:$J,$B:$B,$B1345,$A:$A,"&gt;="&amp;COUNTIFS($K$1:Q$1,"&lt;&gt;"))),0)</f>
        <v>0</v>
      </c>
      <c r="R1345">
        <f>IFERROR($J1345/IF($A1345&lt;COUNTIFS($K$1:R$1,"&lt;&gt;"),0,SUMIFS($J:$J,$B:$B,$B1345,$A:$A,"&gt;="&amp;COUNTIFS($K$1:R$1,"&lt;&gt;"))),0)</f>
        <v>0</v>
      </c>
      <c r="S1345">
        <f>IFERROR($J1345/IF($A1345&lt;COUNTIFS($K$1:S$1,"&lt;&gt;"),0,SUMIFS($J:$J,$B:$B,$B1345,$A:$A,"&gt;="&amp;COUNTIFS($K$1:S$1,"&lt;&gt;"))),0)</f>
        <v>0</v>
      </c>
      <c r="T1345">
        <f>IFERROR($J1345/IF($A1345&lt;COUNTIFS($K$1:T$1,"&lt;&gt;"),0,SUMIFS($J:$J,$B:$B,$B1345,$A:$A,"&gt;="&amp;COUNTIFS($K$1:T$1,"&lt;&gt;"))),0)</f>
        <v>0</v>
      </c>
      <c r="U1345">
        <f>IFERROR($J1345/IF($A1345&lt;COUNTIFS($K$1:U$1,"&lt;&gt;"),0,SUMIFS($J:$J,$B:$B,$B1345,$A:$A,"&gt;="&amp;COUNTIFS($K$1:U$1,"&lt;&gt;"))),0)</f>
        <v>0</v>
      </c>
      <c r="V1345">
        <f>IFERROR($J1345/IF($A1345&lt;COUNTIFS($K$1:V$1,"&lt;&gt;"),0,SUMIFS($J:$J,$B:$B,$B1345,$A:$A,"&gt;="&amp;COUNTIFS($K$1:V$1,"&lt;&gt;"))),0)</f>
        <v>0</v>
      </c>
      <c r="W1345">
        <f t="shared" si="464"/>
        <v>8.4931506849315067E-2</v>
      </c>
      <c r="X1345">
        <f t="shared" si="444"/>
        <v>8.4931506849315067E-2</v>
      </c>
      <c r="Y1345">
        <f t="shared" si="445"/>
        <v>8.4931506849315067E-2</v>
      </c>
      <c r="Z1345">
        <f t="shared" si="446"/>
        <v>8.4931506849315067E-2</v>
      </c>
      <c r="AA1345">
        <f t="shared" si="447"/>
        <v>8.4931506849315067E-2</v>
      </c>
      <c r="AB1345">
        <f t="shared" si="448"/>
        <v>0</v>
      </c>
      <c r="AC1345">
        <f t="shared" si="449"/>
        <v>0</v>
      </c>
      <c r="AD1345">
        <f t="shared" si="450"/>
        <v>0</v>
      </c>
      <c r="AE1345">
        <f t="shared" si="451"/>
        <v>0</v>
      </c>
      <c r="AF1345">
        <f t="shared" si="452"/>
        <v>0</v>
      </c>
      <c r="AG1345">
        <f t="shared" si="453"/>
        <v>0</v>
      </c>
      <c r="AH1345">
        <f t="shared" si="454"/>
        <v>0</v>
      </c>
      <c r="AI1345">
        <f t="shared" si="455"/>
        <v>0</v>
      </c>
      <c r="AJ1345" s="2" t="str">
        <f t="shared" si="465"/>
        <v>446966</v>
      </c>
    </row>
    <row r="1346" spans="1:36" x14ac:dyDescent="0.25">
      <c r="A1346">
        <v>5</v>
      </c>
      <c r="B1346" s="1">
        <v>46966</v>
      </c>
      <c r="C1346" s="1">
        <f t="shared" si="456"/>
        <v>47119</v>
      </c>
      <c r="D1346" s="1">
        <f t="shared" si="457"/>
        <v>46980</v>
      </c>
      <c r="E1346" s="1">
        <f t="shared" si="458"/>
        <v>47119</v>
      </c>
      <c r="F1346" s="1">
        <f t="shared" si="459"/>
        <v>47150</v>
      </c>
      <c r="G1346" s="1">
        <f t="shared" si="460"/>
        <v>47345</v>
      </c>
      <c r="H1346">
        <f t="shared" si="461"/>
        <v>365</v>
      </c>
      <c r="I1346">
        <f t="shared" si="462"/>
        <v>31</v>
      </c>
      <c r="J1346">
        <f t="shared" si="463"/>
        <v>8.4931506849315067E-2</v>
      </c>
      <c r="K1346">
        <f>IFERROR($J1346/IF($A1346&lt;COUNTIFS($K$1:K$1,"&lt;&gt;"),0,SUMIFS($J:$J,$B:$B,$B1346,$A:$A,"&gt;="&amp;COUNTIFS($K$1:K$1,"&lt;&gt;"))),0)</f>
        <v>8.9080459770114959E-2</v>
      </c>
      <c r="L1346">
        <f>IFERROR($J1346/IF($A1346&lt;COUNTIFS($K$1:L$1,"&lt;&gt;"),0,SUMIFS($J:$J,$B:$B,$B1346,$A:$A,"&gt;="&amp;COUNTIFS($K$1:L$1,"&lt;&gt;"))),0)</f>
        <v>9.7484276729559768E-2</v>
      </c>
      <c r="M1346">
        <f>IFERROR($J1346/IF($A1346&lt;COUNTIFS($K$1:M$1,"&lt;&gt;"),0,SUMIFS($J:$J,$B:$B,$B1346,$A:$A,"&gt;="&amp;COUNTIFS($K$1:M$1,"&lt;&gt;"))),0)</f>
        <v>0.10801393728222998</v>
      </c>
      <c r="N1346">
        <f>IFERROR($J1346/IF($A1346&lt;COUNTIFS($K$1:N$1,"&lt;&gt;"),0,SUMIFS($J:$J,$B:$B,$B1346,$A:$A,"&gt;="&amp;COUNTIFS($K$1:N$1,"&lt;&gt;"))),0)</f>
        <v>0.12062256809338523</v>
      </c>
      <c r="O1346">
        <f>IFERROR($J1346/IF($A1346&lt;COUNTIFS($K$1:O$1,"&lt;&gt;"),0,SUMIFS($J:$J,$B:$B,$B1346,$A:$A,"&gt;="&amp;COUNTIFS($K$1:O$1,"&lt;&gt;"))),0)</f>
        <v>0.13716814159292037</v>
      </c>
      <c r="P1346">
        <f>IFERROR($J1346/IF($A1346&lt;COUNTIFS($K$1:P$1,"&lt;&gt;"),0,SUMIFS($J:$J,$B:$B,$B1346,$A:$A,"&gt;="&amp;COUNTIFS($K$1:P$1,"&lt;&gt;"))),0)</f>
        <v>0</v>
      </c>
      <c r="Q1346">
        <f>IFERROR($J1346/IF($A1346&lt;COUNTIFS($K$1:Q$1,"&lt;&gt;"),0,SUMIFS($J:$J,$B:$B,$B1346,$A:$A,"&gt;="&amp;COUNTIFS($K$1:Q$1,"&lt;&gt;"))),0)</f>
        <v>0</v>
      </c>
      <c r="R1346">
        <f>IFERROR($J1346/IF($A1346&lt;COUNTIFS($K$1:R$1,"&lt;&gt;"),0,SUMIFS($J:$J,$B:$B,$B1346,$A:$A,"&gt;="&amp;COUNTIFS($K$1:R$1,"&lt;&gt;"))),0)</f>
        <v>0</v>
      </c>
      <c r="S1346">
        <f>IFERROR($J1346/IF($A1346&lt;COUNTIFS($K$1:S$1,"&lt;&gt;"),0,SUMIFS($J:$J,$B:$B,$B1346,$A:$A,"&gt;="&amp;COUNTIFS($K$1:S$1,"&lt;&gt;"))),0)</f>
        <v>0</v>
      </c>
      <c r="T1346">
        <f>IFERROR($J1346/IF($A1346&lt;COUNTIFS($K$1:T$1,"&lt;&gt;"),0,SUMIFS($J:$J,$B:$B,$B1346,$A:$A,"&gt;="&amp;COUNTIFS($K$1:T$1,"&lt;&gt;"))),0)</f>
        <v>0</v>
      </c>
      <c r="U1346">
        <f>IFERROR($J1346/IF($A1346&lt;COUNTIFS($K$1:U$1,"&lt;&gt;"),0,SUMIFS($J:$J,$B:$B,$B1346,$A:$A,"&gt;="&amp;COUNTIFS($K$1:U$1,"&lt;&gt;"))),0)</f>
        <v>0</v>
      </c>
      <c r="V1346">
        <f>IFERROR($J1346/IF($A1346&lt;COUNTIFS($K$1:V$1,"&lt;&gt;"),0,SUMIFS($J:$J,$B:$B,$B1346,$A:$A,"&gt;="&amp;COUNTIFS($K$1:V$1,"&lt;&gt;"))),0)</f>
        <v>0</v>
      </c>
      <c r="W1346">
        <f t="shared" si="464"/>
        <v>8.4931506849315067E-2</v>
      </c>
      <c r="X1346">
        <f t="shared" ref="X1346:X1409" si="466">IF(K1346=0,0,$J1346)</f>
        <v>8.4931506849315067E-2</v>
      </c>
      <c r="Y1346">
        <f t="shared" ref="Y1346:Y1409" si="467">IF(L1346=0,0,$J1346)</f>
        <v>8.4931506849315067E-2</v>
      </c>
      <c r="Z1346">
        <f t="shared" ref="Z1346:Z1409" si="468">IF(M1346=0,0,$J1346)</f>
        <v>8.4931506849315067E-2</v>
      </c>
      <c r="AA1346">
        <f t="shared" ref="AA1346:AA1409" si="469">IF(N1346=0,0,$J1346)</f>
        <v>8.4931506849315067E-2</v>
      </c>
      <c r="AB1346">
        <f t="shared" ref="AB1346:AB1409" si="470">IF(O1346=0,0,$J1346)</f>
        <v>8.4931506849315067E-2</v>
      </c>
      <c r="AC1346">
        <f t="shared" ref="AC1346:AC1409" si="471">IF(P1346=0,0,$J1346)</f>
        <v>0</v>
      </c>
      <c r="AD1346">
        <f t="shared" ref="AD1346:AD1409" si="472">IF(Q1346=0,0,$J1346)</f>
        <v>0</v>
      </c>
      <c r="AE1346">
        <f t="shared" ref="AE1346:AE1409" si="473">IF(R1346=0,0,$J1346)</f>
        <v>0</v>
      </c>
      <c r="AF1346">
        <f t="shared" ref="AF1346:AF1409" si="474">IF(S1346=0,0,$J1346)</f>
        <v>0</v>
      </c>
      <c r="AG1346">
        <f t="shared" ref="AG1346:AG1409" si="475">IF(T1346=0,0,$J1346)</f>
        <v>0</v>
      </c>
      <c r="AH1346">
        <f t="shared" ref="AH1346:AH1409" si="476">IF(U1346=0,0,$J1346)</f>
        <v>0</v>
      </c>
      <c r="AI1346">
        <f t="shared" ref="AI1346:AI1409" si="477">IF(V1346=0,0,$J1346)</f>
        <v>0</v>
      </c>
      <c r="AJ1346" s="2" t="str">
        <f t="shared" si="465"/>
        <v>546966</v>
      </c>
    </row>
    <row r="1347" spans="1:36" x14ac:dyDescent="0.25">
      <c r="A1347">
        <v>6</v>
      </c>
      <c r="B1347" s="1">
        <v>46966</v>
      </c>
      <c r="C1347" s="1">
        <f t="shared" ref="C1347:C1410" si="478">EDATE(B1347,A1347)</f>
        <v>47150</v>
      </c>
      <c r="D1347" s="1">
        <f t="shared" ref="D1347:D1410" si="479">B1347+14</f>
        <v>46980</v>
      </c>
      <c r="E1347" s="1">
        <f t="shared" ref="E1347:E1410" si="480">IF($A1347=0,C1347+14,C1347)</f>
        <v>47150</v>
      </c>
      <c r="F1347" s="1">
        <f t="shared" ref="F1347:F1410" si="481">IF(EDATE(C1347,1)&gt;G1347,G1347,EDATE(C1347,1))</f>
        <v>47178</v>
      </c>
      <c r="G1347" s="1">
        <f t="shared" ref="G1347:G1410" si="482">EDATE(D1347,12)</f>
        <v>47345</v>
      </c>
      <c r="H1347">
        <f t="shared" ref="H1347:H1410" si="483">G1347-D1347</f>
        <v>365</v>
      </c>
      <c r="I1347">
        <f t="shared" ref="I1347:I1410" si="484">F1347-E1347</f>
        <v>28</v>
      </c>
      <c r="J1347">
        <f t="shared" ref="J1347:J1410" si="485">I1347/H1347</f>
        <v>7.6712328767123292E-2</v>
      </c>
      <c r="K1347">
        <f>IFERROR($J1347/IF($A1347&lt;COUNTIFS($K$1:K$1,"&lt;&gt;"),0,SUMIFS($J:$J,$B:$B,$B1347,$A:$A,"&gt;="&amp;COUNTIFS($K$1:K$1,"&lt;&gt;"))),0)</f>
        <v>8.0459770114942541E-2</v>
      </c>
      <c r="L1347">
        <f>IFERROR($J1347/IF($A1347&lt;COUNTIFS($K$1:L$1,"&lt;&gt;"),0,SUMIFS($J:$J,$B:$B,$B1347,$A:$A,"&gt;="&amp;COUNTIFS($K$1:L$1,"&lt;&gt;"))),0)</f>
        <v>8.8050314465408827E-2</v>
      </c>
      <c r="M1347">
        <f>IFERROR($J1347/IF($A1347&lt;COUNTIFS($K$1:M$1,"&lt;&gt;"),0,SUMIFS($J:$J,$B:$B,$B1347,$A:$A,"&gt;="&amp;COUNTIFS($K$1:M$1,"&lt;&gt;"))),0)</f>
        <v>9.7560975609756115E-2</v>
      </c>
      <c r="N1347">
        <f>IFERROR($J1347/IF($A1347&lt;COUNTIFS($K$1:N$1,"&lt;&gt;"),0,SUMIFS($J:$J,$B:$B,$B1347,$A:$A,"&gt;="&amp;COUNTIFS($K$1:N$1,"&lt;&gt;"))),0)</f>
        <v>0.10894941634241248</v>
      </c>
      <c r="O1347">
        <f>IFERROR($J1347/IF($A1347&lt;COUNTIFS($K$1:O$1,"&lt;&gt;"),0,SUMIFS($J:$J,$B:$B,$B1347,$A:$A,"&gt;="&amp;COUNTIFS($K$1:O$1,"&lt;&gt;"))),0)</f>
        <v>0.12389380530973454</v>
      </c>
      <c r="P1347">
        <f>IFERROR($J1347/IF($A1347&lt;COUNTIFS($K$1:P$1,"&lt;&gt;"),0,SUMIFS($J:$J,$B:$B,$B1347,$A:$A,"&gt;="&amp;COUNTIFS($K$1:P$1,"&lt;&gt;"))),0)</f>
        <v>0.14358974358974361</v>
      </c>
      <c r="Q1347">
        <f>IFERROR($J1347/IF($A1347&lt;COUNTIFS($K$1:Q$1,"&lt;&gt;"),0,SUMIFS($J:$J,$B:$B,$B1347,$A:$A,"&gt;="&amp;COUNTIFS($K$1:Q$1,"&lt;&gt;"))),0)</f>
        <v>0</v>
      </c>
      <c r="R1347">
        <f>IFERROR($J1347/IF($A1347&lt;COUNTIFS($K$1:R$1,"&lt;&gt;"),0,SUMIFS($J:$J,$B:$B,$B1347,$A:$A,"&gt;="&amp;COUNTIFS($K$1:R$1,"&lt;&gt;"))),0)</f>
        <v>0</v>
      </c>
      <c r="S1347">
        <f>IFERROR($J1347/IF($A1347&lt;COUNTIFS($K$1:S$1,"&lt;&gt;"),0,SUMIFS($J:$J,$B:$B,$B1347,$A:$A,"&gt;="&amp;COUNTIFS($K$1:S$1,"&lt;&gt;"))),0)</f>
        <v>0</v>
      </c>
      <c r="T1347">
        <f>IFERROR($J1347/IF($A1347&lt;COUNTIFS($K$1:T$1,"&lt;&gt;"),0,SUMIFS($J:$J,$B:$B,$B1347,$A:$A,"&gt;="&amp;COUNTIFS($K$1:T$1,"&lt;&gt;"))),0)</f>
        <v>0</v>
      </c>
      <c r="U1347">
        <f>IFERROR($J1347/IF($A1347&lt;COUNTIFS($K$1:U$1,"&lt;&gt;"),0,SUMIFS($J:$J,$B:$B,$B1347,$A:$A,"&gt;="&amp;COUNTIFS($K$1:U$1,"&lt;&gt;"))),0)</f>
        <v>0</v>
      </c>
      <c r="V1347">
        <f>IFERROR($J1347/IF($A1347&lt;COUNTIFS($K$1:V$1,"&lt;&gt;"),0,SUMIFS($J:$J,$B:$B,$B1347,$A:$A,"&gt;="&amp;COUNTIFS($K$1:V$1,"&lt;&gt;"))),0)</f>
        <v>0</v>
      </c>
      <c r="W1347">
        <f t="shared" ref="W1347:W1410" si="486">IF(J1347=0,0,$J1347)</f>
        <v>7.6712328767123292E-2</v>
      </c>
      <c r="X1347">
        <f t="shared" si="466"/>
        <v>7.6712328767123292E-2</v>
      </c>
      <c r="Y1347">
        <f t="shared" si="467"/>
        <v>7.6712328767123292E-2</v>
      </c>
      <c r="Z1347">
        <f t="shared" si="468"/>
        <v>7.6712328767123292E-2</v>
      </c>
      <c r="AA1347">
        <f t="shared" si="469"/>
        <v>7.6712328767123292E-2</v>
      </c>
      <c r="AB1347">
        <f t="shared" si="470"/>
        <v>7.6712328767123292E-2</v>
      </c>
      <c r="AC1347">
        <f t="shared" si="471"/>
        <v>7.6712328767123292E-2</v>
      </c>
      <c r="AD1347">
        <f t="shared" si="472"/>
        <v>0</v>
      </c>
      <c r="AE1347">
        <f t="shared" si="473"/>
        <v>0</v>
      </c>
      <c r="AF1347">
        <f t="shared" si="474"/>
        <v>0</v>
      </c>
      <c r="AG1347">
        <f t="shared" si="475"/>
        <v>0</v>
      </c>
      <c r="AH1347">
        <f t="shared" si="476"/>
        <v>0</v>
      </c>
      <c r="AI1347">
        <f t="shared" si="477"/>
        <v>0</v>
      </c>
      <c r="AJ1347" s="2" t="str">
        <f t="shared" ref="AJ1347:AJ1410" si="487">A1347&amp;B1347</f>
        <v>646966</v>
      </c>
    </row>
    <row r="1348" spans="1:36" x14ac:dyDescent="0.25">
      <c r="A1348">
        <v>7</v>
      </c>
      <c r="B1348" s="1">
        <v>46966</v>
      </c>
      <c r="C1348" s="1">
        <f t="shared" si="478"/>
        <v>47178</v>
      </c>
      <c r="D1348" s="1">
        <f t="shared" si="479"/>
        <v>46980</v>
      </c>
      <c r="E1348" s="1">
        <f t="shared" si="480"/>
        <v>47178</v>
      </c>
      <c r="F1348" s="1">
        <f t="shared" si="481"/>
        <v>47209</v>
      </c>
      <c r="G1348" s="1">
        <f t="shared" si="482"/>
        <v>47345</v>
      </c>
      <c r="H1348">
        <f t="shared" si="483"/>
        <v>365</v>
      </c>
      <c r="I1348">
        <f t="shared" si="484"/>
        <v>31</v>
      </c>
      <c r="J1348">
        <f t="shared" si="485"/>
        <v>8.4931506849315067E-2</v>
      </c>
      <c r="K1348">
        <f>IFERROR($J1348/IF($A1348&lt;COUNTIFS($K$1:K$1,"&lt;&gt;"),0,SUMIFS($J:$J,$B:$B,$B1348,$A:$A,"&gt;="&amp;COUNTIFS($K$1:K$1,"&lt;&gt;"))),0)</f>
        <v>8.9080459770114959E-2</v>
      </c>
      <c r="L1348">
        <f>IFERROR($J1348/IF($A1348&lt;COUNTIFS($K$1:L$1,"&lt;&gt;"),0,SUMIFS($J:$J,$B:$B,$B1348,$A:$A,"&gt;="&amp;COUNTIFS($K$1:L$1,"&lt;&gt;"))),0)</f>
        <v>9.7484276729559768E-2</v>
      </c>
      <c r="M1348">
        <f>IFERROR($J1348/IF($A1348&lt;COUNTIFS($K$1:M$1,"&lt;&gt;"),0,SUMIFS($J:$J,$B:$B,$B1348,$A:$A,"&gt;="&amp;COUNTIFS($K$1:M$1,"&lt;&gt;"))),0)</f>
        <v>0.10801393728222998</v>
      </c>
      <c r="N1348">
        <f>IFERROR($J1348/IF($A1348&lt;COUNTIFS($K$1:N$1,"&lt;&gt;"),0,SUMIFS($J:$J,$B:$B,$B1348,$A:$A,"&gt;="&amp;COUNTIFS($K$1:N$1,"&lt;&gt;"))),0)</f>
        <v>0.12062256809338523</v>
      </c>
      <c r="O1348">
        <f>IFERROR($J1348/IF($A1348&lt;COUNTIFS($K$1:O$1,"&lt;&gt;"),0,SUMIFS($J:$J,$B:$B,$B1348,$A:$A,"&gt;="&amp;COUNTIFS($K$1:O$1,"&lt;&gt;"))),0)</f>
        <v>0.13716814159292037</v>
      </c>
      <c r="P1348">
        <f>IFERROR($J1348/IF($A1348&lt;COUNTIFS($K$1:P$1,"&lt;&gt;"),0,SUMIFS($J:$J,$B:$B,$B1348,$A:$A,"&gt;="&amp;COUNTIFS($K$1:P$1,"&lt;&gt;"))),0)</f>
        <v>0.15897435897435899</v>
      </c>
      <c r="Q1348">
        <f>IFERROR($J1348/IF($A1348&lt;COUNTIFS($K$1:Q$1,"&lt;&gt;"),0,SUMIFS($J:$J,$B:$B,$B1348,$A:$A,"&gt;="&amp;COUNTIFS($K$1:Q$1,"&lt;&gt;"))),0)</f>
        <v>0.18562874251497008</v>
      </c>
      <c r="R1348">
        <f>IFERROR($J1348/IF($A1348&lt;COUNTIFS($K$1:R$1,"&lt;&gt;"),0,SUMIFS($J:$J,$B:$B,$B1348,$A:$A,"&gt;="&amp;COUNTIFS($K$1:R$1,"&lt;&gt;"))),0)</f>
        <v>0</v>
      </c>
      <c r="S1348">
        <f>IFERROR($J1348/IF($A1348&lt;COUNTIFS($K$1:S$1,"&lt;&gt;"),0,SUMIFS($J:$J,$B:$B,$B1348,$A:$A,"&gt;="&amp;COUNTIFS($K$1:S$1,"&lt;&gt;"))),0)</f>
        <v>0</v>
      </c>
      <c r="T1348">
        <f>IFERROR($J1348/IF($A1348&lt;COUNTIFS($K$1:T$1,"&lt;&gt;"),0,SUMIFS($J:$J,$B:$B,$B1348,$A:$A,"&gt;="&amp;COUNTIFS($K$1:T$1,"&lt;&gt;"))),0)</f>
        <v>0</v>
      </c>
      <c r="U1348">
        <f>IFERROR($J1348/IF($A1348&lt;COUNTIFS($K$1:U$1,"&lt;&gt;"),0,SUMIFS($J:$J,$B:$B,$B1348,$A:$A,"&gt;="&amp;COUNTIFS($K$1:U$1,"&lt;&gt;"))),0)</f>
        <v>0</v>
      </c>
      <c r="V1348">
        <f>IFERROR($J1348/IF($A1348&lt;COUNTIFS($K$1:V$1,"&lt;&gt;"),0,SUMIFS($J:$J,$B:$B,$B1348,$A:$A,"&gt;="&amp;COUNTIFS($K$1:V$1,"&lt;&gt;"))),0)</f>
        <v>0</v>
      </c>
      <c r="W1348">
        <f t="shared" si="486"/>
        <v>8.4931506849315067E-2</v>
      </c>
      <c r="X1348">
        <f t="shared" si="466"/>
        <v>8.4931506849315067E-2</v>
      </c>
      <c r="Y1348">
        <f t="shared" si="467"/>
        <v>8.4931506849315067E-2</v>
      </c>
      <c r="Z1348">
        <f t="shared" si="468"/>
        <v>8.4931506849315067E-2</v>
      </c>
      <c r="AA1348">
        <f t="shared" si="469"/>
        <v>8.4931506849315067E-2</v>
      </c>
      <c r="AB1348">
        <f t="shared" si="470"/>
        <v>8.4931506849315067E-2</v>
      </c>
      <c r="AC1348">
        <f t="shared" si="471"/>
        <v>8.4931506849315067E-2</v>
      </c>
      <c r="AD1348">
        <f t="shared" si="472"/>
        <v>8.4931506849315067E-2</v>
      </c>
      <c r="AE1348">
        <f t="shared" si="473"/>
        <v>0</v>
      </c>
      <c r="AF1348">
        <f t="shared" si="474"/>
        <v>0</v>
      </c>
      <c r="AG1348">
        <f t="shared" si="475"/>
        <v>0</v>
      </c>
      <c r="AH1348">
        <f t="shared" si="476"/>
        <v>0</v>
      </c>
      <c r="AI1348">
        <f t="shared" si="477"/>
        <v>0</v>
      </c>
      <c r="AJ1348" s="2" t="str">
        <f t="shared" si="487"/>
        <v>746966</v>
      </c>
    </row>
    <row r="1349" spans="1:36" x14ac:dyDescent="0.25">
      <c r="A1349">
        <v>8</v>
      </c>
      <c r="B1349" s="1">
        <v>46966</v>
      </c>
      <c r="C1349" s="1">
        <f t="shared" si="478"/>
        <v>47209</v>
      </c>
      <c r="D1349" s="1">
        <f t="shared" si="479"/>
        <v>46980</v>
      </c>
      <c r="E1349" s="1">
        <f t="shared" si="480"/>
        <v>47209</v>
      </c>
      <c r="F1349" s="1">
        <f t="shared" si="481"/>
        <v>47239</v>
      </c>
      <c r="G1349" s="1">
        <f t="shared" si="482"/>
        <v>47345</v>
      </c>
      <c r="H1349">
        <f t="shared" si="483"/>
        <v>365</v>
      </c>
      <c r="I1349">
        <f t="shared" si="484"/>
        <v>30</v>
      </c>
      <c r="J1349">
        <f t="shared" si="485"/>
        <v>8.2191780821917804E-2</v>
      </c>
      <c r="K1349">
        <f>IFERROR($J1349/IF($A1349&lt;COUNTIFS($K$1:K$1,"&lt;&gt;"),0,SUMIFS($J:$J,$B:$B,$B1349,$A:$A,"&gt;="&amp;COUNTIFS($K$1:K$1,"&lt;&gt;"))),0)</f>
        <v>8.6206896551724144E-2</v>
      </c>
      <c r="L1349">
        <f>IFERROR($J1349/IF($A1349&lt;COUNTIFS($K$1:L$1,"&lt;&gt;"),0,SUMIFS($J:$J,$B:$B,$B1349,$A:$A,"&gt;="&amp;COUNTIFS($K$1:L$1,"&lt;&gt;"))),0)</f>
        <v>9.4339622641509441E-2</v>
      </c>
      <c r="M1349">
        <f>IFERROR($J1349/IF($A1349&lt;COUNTIFS($K$1:M$1,"&lt;&gt;"),0,SUMIFS($J:$J,$B:$B,$B1349,$A:$A,"&gt;="&amp;COUNTIFS($K$1:M$1,"&lt;&gt;"))),0)</f>
        <v>0.10452961672473869</v>
      </c>
      <c r="N1349">
        <f>IFERROR($J1349/IF($A1349&lt;COUNTIFS($K$1:N$1,"&lt;&gt;"),0,SUMIFS($J:$J,$B:$B,$B1349,$A:$A,"&gt;="&amp;COUNTIFS($K$1:N$1,"&lt;&gt;"))),0)</f>
        <v>0.11673151750972764</v>
      </c>
      <c r="O1349">
        <f>IFERROR($J1349/IF($A1349&lt;COUNTIFS($K$1:O$1,"&lt;&gt;"),0,SUMIFS($J:$J,$B:$B,$B1349,$A:$A,"&gt;="&amp;COUNTIFS($K$1:O$1,"&lt;&gt;"))),0)</f>
        <v>0.13274336283185842</v>
      </c>
      <c r="P1349">
        <f>IFERROR($J1349/IF($A1349&lt;COUNTIFS($K$1:P$1,"&lt;&gt;"),0,SUMIFS($J:$J,$B:$B,$B1349,$A:$A,"&gt;="&amp;COUNTIFS($K$1:P$1,"&lt;&gt;"))),0)</f>
        <v>0.15384615384615385</v>
      </c>
      <c r="Q1349">
        <f>IFERROR($J1349/IF($A1349&lt;COUNTIFS($K$1:Q$1,"&lt;&gt;"),0,SUMIFS($J:$J,$B:$B,$B1349,$A:$A,"&gt;="&amp;COUNTIFS($K$1:Q$1,"&lt;&gt;"))),0)</f>
        <v>0.17964071856287425</v>
      </c>
      <c r="R1349">
        <f>IFERROR($J1349/IF($A1349&lt;COUNTIFS($K$1:R$1,"&lt;&gt;"),0,SUMIFS($J:$J,$B:$B,$B1349,$A:$A,"&gt;="&amp;COUNTIFS($K$1:R$1,"&lt;&gt;"))),0)</f>
        <v>0.22058823529411764</v>
      </c>
      <c r="S1349">
        <f>IFERROR($J1349/IF($A1349&lt;COUNTIFS($K$1:S$1,"&lt;&gt;"),0,SUMIFS($J:$J,$B:$B,$B1349,$A:$A,"&gt;="&amp;COUNTIFS($K$1:S$1,"&lt;&gt;"))),0)</f>
        <v>0</v>
      </c>
      <c r="T1349">
        <f>IFERROR($J1349/IF($A1349&lt;COUNTIFS($K$1:T$1,"&lt;&gt;"),0,SUMIFS($J:$J,$B:$B,$B1349,$A:$A,"&gt;="&amp;COUNTIFS($K$1:T$1,"&lt;&gt;"))),0)</f>
        <v>0</v>
      </c>
      <c r="U1349">
        <f>IFERROR($J1349/IF($A1349&lt;COUNTIFS($K$1:U$1,"&lt;&gt;"),0,SUMIFS($J:$J,$B:$B,$B1349,$A:$A,"&gt;="&amp;COUNTIFS($K$1:U$1,"&lt;&gt;"))),0)</f>
        <v>0</v>
      </c>
      <c r="V1349">
        <f>IFERROR($J1349/IF($A1349&lt;COUNTIFS($K$1:V$1,"&lt;&gt;"),0,SUMIFS($J:$J,$B:$B,$B1349,$A:$A,"&gt;="&amp;COUNTIFS($K$1:V$1,"&lt;&gt;"))),0)</f>
        <v>0</v>
      </c>
      <c r="W1349">
        <f t="shared" si="486"/>
        <v>8.2191780821917804E-2</v>
      </c>
      <c r="X1349">
        <f t="shared" si="466"/>
        <v>8.2191780821917804E-2</v>
      </c>
      <c r="Y1349">
        <f t="shared" si="467"/>
        <v>8.2191780821917804E-2</v>
      </c>
      <c r="Z1349">
        <f t="shared" si="468"/>
        <v>8.2191780821917804E-2</v>
      </c>
      <c r="AA1349">
        <f t="shared" si="469"/>
        <v>8.2191780821917804E-2</v>
      </c>
      <c r="AB1349">
        <f t="shared" si="470"/>
        <v>8.2191780821917804E-2</v>
      </c>
      <c r="AC1349">
        <f t="shared" si="471"/>
        <v>8.2191780821917804E-2</v>
      </c>
      <c r="AD1349">
        <f t="shared" si="472"/>
        <v>8.2191780821917804E-2</v>
      </c>
      <c r="AE1349">
        <f t="shared" si="473"/>
        <v>8.2191780821917804E-2</v>
      </c>
      <c r="AF1349">
        <f t="shared" si="474"/>
        <v>0</v>
      </c>
      <c r="AG1349">
        <f t="shared" si="475"/>
        <v>0</v>
      </c>
      <c r="AH1349">
        <f t="shared" si="476"/>
        <v>0</v>
      </c>
      <c r="AI1349">
        <f t="shared" si="477"/>
        <v>0</v>
      </c>
      <c r="AJ1349" s="2" t="str">
        <f t="shared" si="487"/>
        <v>846966</v>
      </c>
    </row>
    <row r="1350" spans="1:36" x14ac:dyDescent="0.25">
      <c r="A1350">
        <v>9</v>
      </c>
      <c r="B1350" s="1">
        <v>46966</v>
      </c>
      <c r="C1350" s="1">
        <f t="shared" si="478"/>
        <v>47239</v>
      </c>
      <c r="D1350" s="1">
        <f t="shared" si="479"/>
        <v>46980</v>
      </c>
      <c r="E1350" s="1">
        <f t="shared" si="480"/>
        <v>47239</v>
      </c>
      <c r="F1350" s="1">
        <f t="shared" si="481"/>
        <v>47270</v>
      </c>
      <c r="G1350" s="1">
        <f t="shared" si="482"/>
        <v>47345</v>
      </c>
      <c r="H1350">
        <f t="shared" si="483"/>
        <v>365</v>
      </c>
      <c r="I1350">
        <f t="shared" si="484"/>
        <v>31</v>
      </c>
      <c r="J1350">
        <f t="shared" si="485"/>
        <v>8.4931506849315067E-2</v>
      </c>
      <c r="K1350">
        <f>IFERROR($J1350/IF($A1350&lt;COUNTIFS($K$1:K$1,"&lt;&gt;"),0,SUMIFS($J:$J,$B:$B,$B1350,$A:$A,"&gt;="&amp;COUNTIFS($K$1:K$1,"&lt;&gt;"))),0)</f>
        <v>8.9080459770114959E-2</v>
      </c>
      <c r="L1350">
        <f>IFERROR($J1350/IF($A1350&lt;COUNTIFS($K$1:L$1,"&lt;&gt;"),0,SUMIFS($J:$J,$B:$B,$B1350,$A:$A,"&gt;="&amp;COUNTIFS($K$1:L$1,"&lt;&gt;"))),0)</f>
        <v>9.7484276729559768E-2</v>
      </c>
      <c r="M1350">
        <f>IFERROR($J1350/IF($A1350&lt;COUNTIFS($K$1:M$1,"&lt;&gt;"),0,SUMIFS($J:$J,$B:$B,$B1350,$A:$A,"&gt;="&amp;COUNTIFS($K$1:M$1,"&lt;&gt;"))),0)</f>
        <v>0.10801393728222998</v>
      </c>
      <c r="N1350">
        <f>IFERROR($J1350/IF($A1350&lt;COUNTIFS($K$1:N$1,"&lt;&gt;"),0,SUMIFS($J:$J,$B:$B,$B1350,$A:$A,"&gt;="&amp;COUNTIFS($K$1:N$1,"&lt;&gt;"))),0)</f>
        <v>0.12062256809338523</v>
      </c>
      <c r="O1350">
        <f>IFERROR($J1350/IF($A1350&lt;COUNTIFS($K$1:O$1,"&lt;&gt;"),0,SUMIFS($J:$J,$B:$B,$B1350,$A:$A,"&gt;="&amp;COUNTIFS($K$1:O$1,"&lt;&gt;"))),0)</f>
        <v>0.13716814159292037</v>
      </c>
      <c r="P1350">
        <f>IFERROR($J1350/IF($A1350&lt;COUNTIFS($K$1:P$1,"&lt;&gt;"),0,SUMIFS($J:$J,$B:$B,$B1350,$A:$A,"&gt;="&amp;COUNTIFS($K$1:P$1,"&lt;&gt;"))),0)</f>
        <v>0.15897435897435899</v>
      </c>
      <c r="Q1350">
        <f>IFERROR($J1350/IF($A1350&lt;COUNTIFS($K$1:Q$1,"&lt;&gt;"),0,SUMIFS($J:$J,$B:$B,$B1350,$A:$A,"&gt;="&amp;COUNTIFS($K$1:Q$1,"&lt;&gt;"))),0)</f>
        <v>0.18562874251497008</v>
      </c>
      <c r="R1350">
        <f>IFERROR($J1350/IF($A1350&lt;COUNTIFS($K$1:R$1,"&lt;&gt;"),0,SUMIFS($J:$J,$B:$B,$B1350,$A:$A,"&gt;="&amp;COUNTIFS($K$1:R$1,"&lt;&gt;"))),0)</f>
        <v>0.22794117647058826</v>
      </c>
      <c r="S1350">
        <f>IFERROR($J1350/IF($A1350&lt;COUNTIFS($K$1:S$1,"&lt;&gt;"),0,SUMIFS($J:$J,$B:$B,$B1350,$A:$A,"&gt;="&amp;COUNTIFS($K$1:S$1,"&lt;&gt;"))),0)</f>
        <v>0.29245283018867929</v>
      </c>
      <c r="T1350">
        <f>IFERROR($J1350/IF($A1350&lt;COUNTIFS($K$1:T$1,"&lt;&gt;"),0,SUMIFS($J:$J,$B:$B,$B1350,$A:$A,"&gt;="&amp;COUNTIFS($K$1:T$1,"&lt;&gt;"))),0)</f>
        <v>0</v>
      </c>
      <c r="U1350">
        <f>IFERROR($J1350/IF($A1350&lt;COUNTIFS($K$1:U$1,"&lt;&gt;"),0,SUMIFS($J:$J,$B:$B,$B1350,$A:$A,"&gt;="&amp;COUNTIFS($K$1:U$1,"&lt;&gt;"))),0)</f>
        <v>0</v>
      </c>
      <c r="V1350">
        <f>IFERROR($J1350/IF($A1350&lt;COUNTIFS($K$1:V$1,"&lt;&gt;"),0,SUMIFS($J:$J,$B:$B,$B1350,$A:$A,"&gt;="&amp;COUNTIFS($K$1:V$1,"&lt;&gt;"))),0)</f>
        <v>0</v>
      </c>
      <c r="W1350">
        <f t="shared" si="486"/>
        <v>8.4931506849315067E-2</v>
      </c>
      <c r="X1350">
        <f t="shared" si="466"/>
        <v>8.4931506849315067E-2</v>
      </c>
      <c r="Y1350">
        <f t="shared" si="467"/>
        <v>8.4931506849315067E-2</v>
      </c>
      <c r="Z1350">
        <f t="shared" si="468"/>
        <v>8.4931506849315067E-2</v>
      </c>
      <c r="AA1350">
        <f t="shared" si="469"/>
        <v>8.4931506849315067E-2</v>
      </c>
      <c r="AB1350">
        <f t="shared" si="470"/>
        <v>8.4931506849315067E-2</v>
      </c>
      <c r="AC1350">
        <f t="shared" si="471"/>
        <v>8.4931506849315067E-2</v>
      </c>
      <c r="AD1350">
        <f t="shared" si="472"/>
        <v>8.4931506849315067E-2</v>
      </c>
      <c r="AE1350">
        <f t="shared" si="473"/>
        <v>8.4931506849315067E-2</v>
      </c>
      <c r="AF1350">
        <f t="shared" si="474"/>
        <v>8.4931506849315067E-2</v>
      </c>
      <c r="AG1350">
        <f t="shared" si="475"/>
        <v>0</v>
      </c>
      <c r="AH1350">
        <f t="shared" si="476"/>
        <v>0</v>
      </c>
      <c r="AI1350">
        <f t="shared" si="477"/>
        <v>0</v>
      </c>
      <c r="AJ1350" s="2" t="str">
        <f t="shared" si="487"/>
        <v>946966</v>
      </c>
    </row>
    <row r="1351" spans="1:36" x14ac:dyDescent="0.25">
      <c r="A1351">
        <v>10</v>
      </c>
      <c r="B1351" s="1">
        <v>46966</v>
      </c>
      <c r="C1351" s="1">
        <f t="shared" si="478"/>
        <v>47270</v>
      </c>
      <c r="D1351" s="1">
        <f t="shared" si="479"/>
        <v>46980</v>
      </c>
      <c r="E1351" s="1">
        <f t="shared" si="480"/>
        <v>47270</v>
      </c>
      <c r="F1351" s="1">
        <f t="shared" si="481"/>
        <v>47300</v>
      </c>
      <c r="G1351" s="1">
        <f t="shared" si="482"/>
        <v>47345</v>
      </c>
      <c r="H1351">
        <f t="shared" si="483"/>
        <v>365</v>
      </c>
      <c r="I1351">
        <f t="shared" si="484"/>
        <v>30</v>
      </c>
      <c r="J1351">
        <f t="shared" si="485"/>
        <v>8.2191780821917804E-2</v>
      </c>
      <c r="K1351">
        <f>IFERROR($J1351/IF($A1351&lt;COUNTIFS($K$1:K$1,"&lt;&gt;"),0,SUMIFS($J:$J,$B:$B,$B1351,$A:$A,"&gt;="&amp;COUNTIFS($K$1:K$1,"&lt;&gt;"))),0)</f>
        <v>8.6206896551724144E-2</v>
      </c>
      <c r="L1351">
        <f>IFERROR($J1351/IF($A1351&lt;COUNTIFS($K$1:L$1,"&lt;&gt;"),0,SUMIFS($J:$J,$B:$B,$B1351,$A:$A,"&gt;="&amp;COUNTIFS($K$1:L$1,"&lt;&gt;"))),0)</f>
        <v>9.4339622641509441E-2</v>
      </c>
      <c r="M1351">
        <f>IFERROR($J1351/IF($A1351&lt;COUNTIFS($K$1:M$1,"&lt;&gt;"),0,SUMIFS($J:$J,$B:$B,$B1351,$A:$A,"&gt;="&amp;COUNTIFS($K$1:M$1,"&lt;&gt;"))),0)</f>
        <v>0.10452961672473869</v>
      </c>
      <c r="N1351">
        <f>IFERROR($J1351/IF($A1351&lt;COUNTIFS($K$1:N$1,"&lt;&gt;"),0,SUMIFS($J:$J,$B:$B,$B1351,$A:$A,"&gt;="&amp;COUNTIFS($K$1:N$1,"&lt;&gt;"))),0)</f>
        <v>0.11673151750972764</v>
      </c>
      <c r="O1351">
        <f>IFERROR($J1351/IF($A1351&lt;COUNTIFS($K$1:O$1,"&lt;&gt;"),0,SUMIFS($J:$J,$B:$B,$B1351,$A:$A,"&gt;="&amp;COUNTIFS($K$1:O$1,"&lt;&gt;"))),0)</f>
        <v>0.13274336283185842</v>
      </c>
      <c r="P1351">
        <f>IFERROR($J1351/IF($A1351&lt;COUNTIFS($K$1:P$1,"&lt;&gt;"),0,SUMIFS($J:$J,$B:$B,$B1351,$A:$A,"&gt;="&amp;COUNTIFS($K$1:P$1,"&lt;&gt;"))),0)</f>
        <v>0.15384615384615385</v>
      </c>
      <c r="Q1351">
        <f>IFERROR($J1351/IF($A1351&lt;COUNTIFS($K$1:Q$1,"&lt;&gt;"),0,SUMIFS($J:$J,$B:$B,$B1351,$A:$A,"&gt;="&amp;COUNTIFS($K$1:Q$1,"&lt;&gt;"))),0)</f>
        <v>0.17964071856287425</v>
      </c>
      <c r="R1351">
        <f>IFERROR($J1351/IF($A1351&lt;COUNTIFS($K$1:R$1,"&lt;&gt;"),0,SUMIFS($J:$J,$B:$B,$B1351,$A:$A,"&gt;="&amp;COUNTIFS($K$1:R$1,"&lt;&gt;"))),0)</f>
        <v>0.22058823529411764</v>
      </c>
      <c r="S1351">
        <f>IFERROR($J1351/IF($A1351&lt;COUNTIFS($K$1:S$1,"&lt;&gt;"),0,SUMIFS($J:$J,$B:$B,$B1351,$A:$A,"&gt;="&amp;COUNTIFS($K$1:S$1,"&lt;&gt;"))),0)</f>
        <v>0.28301886792452829</v>
      </c>
      <c r="T1351">
        <f>IFERROR($J1351/IF($A1351&lt;COUNTIFS($K$1:T$1,"&lt;&gt;"),0,SUMIFS($J:$J,$B:$B,$B1351,$A:$A,"&gt;="&amp;COUNTIFS($K$1:T$1,"&lt;&gt;"))),0)</f>
        <v>0.4</v>
      </c>
      <c r="U1351">
        <f>IFERROR($J1351/IF($A1351&lt;COUNTIFS($K$1:U$1,"&lt;&gt;"),0,SUMIFS($J:$J,$B:$B,$B1351,$A:$A,"&gt;="&amp;COUNTIFS($K$1:U$1,"&lt;&gt;"))),0)</f>
        <v>0</v>
      </c>
      <c r="V1351">
        <f>IFERROR($J1351/IF($A1351&lt;COUNTIFS($K$1:V$1,"&lt;&gt;"),0,SUMIFS($J:$J,$B:$B,$B1351,$A:$A,"&gt;="&amp;COUNTIFS($K$1:V$1,"&lt;&gt;"))),0)</f>
        <v>0</v>
      </c>
      <c r="W1351">
        <f t="shared" si="486"/>
        <v>8.2191780821917804E-2</v>
      </c>
      <c r="X1351">
        <f t="shared" si="466"/>
        <v>8.2191780821917804E-2</v>
      </c>
      <c r="Y1351">
        <f t="shared" si="467"/>
        <v>8.2191780821917804E-2</v>
      </c>
      <c r="Z1351">
        <f t="shared" si="468"/>
        <v>8.2191780821917804E-2</v>
      </c>
      <c r="AA1351">
        <f t="shared" si="469"/>
        <v>8.2191780821917804E-2</v>
      </c>
      <c r="AB1351">
        <f t="shared" si="470"/>
        <v>8.2191780821917804E-2</v>
      </c>
      <c r="AC1351">
        <f t="shared" si="471"/>
        <v>8.2191780821917804E-2</v>
      </c>
      <c r="AD1351">
        <f t="shared" si="472"/>
        <v>8.2191780821917804E-2</v>
      </c>
      <c r="AE1351">
        <f t="shared" si="473"/>
        <v>8.2191780821917804E-2</v>
      </c>
      <c r="AF1351">
        <f t="shared" si="474"/>
        <v>8.2191780821917804E-2</v>
      </c>
      <c r="AG1351">
        <f t="shared" si="475"/>
        <v>8.2191780821917804E-2</v>
      </c>
      <c r="AH1351">
        <f t="shared" si="476"/>
        <v>0</v>
      </c>
      <c r="AI1351">
        <f t="shared" si="477"/>
        <v>0</v>
      </c>
      <c r="AJ1351" s="2" t="str">
        <f t="shared" si="487"/>
        <v>1046966</v>
      </c>
    </row>
    <row r="1352" spans="1:36" x14ac:dyDescent="0.25">
      <c r="A1352">
        <v>11</v>
      </c>
      <c r="B1352" s="1">
        <v>46966</v>
      </c>
      <c r="C1352" s="1">
        <f t="shared" si="478"/>
        <v>47300</v>
      </c>
      <c r="D1352" s="1">
        <f t="shared" si="479"/>
        <v>46980</v>
      </c>
      <c r="E1352" s="1">
        <f t="shared" si="480"/>
        <v>47300</v>
      </c>
      <c r="F1352" s="1">
        <f t="shared" si="481"/>
        <v>47331</v>
      </c>
      <c r="G1352" s="1">
        <f t="shared" si="482"/>
        <v>47345</v>
      </c>
      <c r="H1352">
        <f t="shared" si="483"/>
        <v>365</v>
      </c>
      <c r="I1352">
        <f t="shared" si="484"/>
        <v>31</v>
      </c>
      <c r="J1352">
        <f t="shared" si="485"/>
        <v>8.4931506849315067E-2</v>
      </c>
      <c r="K1352">
        <f>IFERROR($J1352/IF($A1352&lt;COUNTIFS($K$1:K$1,"&lt;&gt;"),0,SUMIFS($J:$J,$B:$B,$B1352,$A:$A,"&gt;="&amp;COUNTIFS($K$1:K$1,"&lt;&gt;"))),0)</f>
        <v>8.9080459770114959E-2</v>
      </c>
      <c r="L1352">
        <f>IFERROR($J1352/IF($A1352&lt;COUNTIFS($K$1:L$1,"&lt;&gt;"),0,SUMIFS($J:$J,$B:$B,$B1352,$A:$A,"&gt;="&amp;COUNTIFS($K$1:L$1,"&lt;&gt;"))),0)</f>
        <v>9.7484276729559768E-2</v>
      </c>
      <c r="M1352">
        <f>IFERROR($J1352/IF($A1352&lt;COUNTIFS($K$1:M$1,"&lt;&gt;"),0,SUMIFS($J:$J,$B:$B,$B1352,$A:$A,"&gt;="&amp;COUNTIFS($K$1:M$1,"&lt;&gt;"))),0)</f>
        <v>0.10801393728222998</v>
      </c>
      <c r="N1352">
        <f>IFERROR($J1352/IF($A1352&lt;COUNTIFS($K$1:N$1,"&lt;&gt;"),0,SUMIFS($J:$J,$B:$B,$B1352,$A:$A,"&gt;="&amp;COUNTIFS($K$1:N$1,"&lt;&gt;"))),0)</f>
        <v>0.12062256809338523</v>
      </c>
      <c r="O1352">
        <f>IFERROR($J1352/IF($A1352&lt;COUNTIFS($K$1:O$1,"&lt;&gt;"),0,SUMIFS($J:$J,$B:$B,$B1352,$A:$A,"&gt;="&amp;COUNTIFS($K$1:O$1,"&lt;&gt;"))),0)</f>
        <v>0.13716814159292037</v>
      </c>
      <c r="P1352">
        <f>IFERROR($J1352/IF($A1352&lt;COUNTIFS($K$1:P$1,"&lt;&gt;"),0,SUMIFS($J:$J,$B:$B,$B1352,$A:$A,"&gt;="&amp;COUNTIFS($K$1:P$1,"&lt;&gt;"))),0)</f>
        <v>0.15897435897435899</v>
      </c>
      <c r="Q1352">
        <f>IFERROR($J1352/IF($A1352&lt;COUNTIFS($K$1:Q$1,"&lt;&gt;"),0,SUMIFS($J:$J,$B:$B,$B1352,$A:$A,"&gt;="&amp;COUNTIFS($K$1:Q$1,"&lt;&gt;"))),0)</f>
        <v>0.18562874251497008</v>
      </c>
      <c r="R1352">
        <f>IFERROR($J1352/IF($A1352&lt;COUNTIFS($K$1:R$1,"&lt;&gt;"),0,SUMIFS($J:$J,$B:$B,$B1352,$A:$A,"&gt;="&amp;COUNTIFS($K$1:R$1,"&lt;&gt;"))),0)</f>
        <v>0.22794117647058826</v>
      </c>
      <c r="S1352">
        <f>IFERROR($J1352/IF($A1352&lt;COUNTIFS($K$1:S$1,"&lt;&gt;"),0,SUMIFS($J:$J,$B:$B,$B1352,$A:$A,"&gt;="&amp;COUNTIFS($K$1:S$1,"&lt;&gt;"))),0)</f>
        <v>0.29245283018867929</v>
      </c>
      <c r="T1352">
        <f>IFERROR($J1352/IF($A1352&lt;COUNTIFS($K$1:T$1,"&lt;&gt;"),0,SUMIFS($J:$J,$B:$B,$B1352,$A:$A,"&gt;="&amp;COUNTIFS($K$1:T$1,"&lt;&gt;"))),0)</f>
        <v>0.41333333333333333</v>
      </c>
      <c r="U1352">
        <f>IFERROR($J1352/IF($A1352&lt;COUNTIFS($K$1:U$1,"&lt;&gt;"),0,SUMIFS($J:$J,$B:$B,$B1352,$A:$A,"&gt;="&amp;COUNTIFS($K$1:U$1,"&lt;&gt;"))),0)</f>
        <v>0.68888888888888888</v>
      </c>
      <c r="V1352">
        <f>IFERROR($J1352/IF($A1352&lt;COUNTIFS($K$1:V$1,"&lt;&gt;"),0,SUMIFS($J:$J,$B:$B,$B1352,$A:$A,"&gt;="&amp;COUNTIFS($K$1:V$1,"&lt;&gt;"))),0)</f>
        <v>0</v>
      </c>
      <c r="W1352">
        <f t="shared" si="486"/>
        <v>8.4931506849315067E-2</v>
      </c>
      <c r="X1352">
        <f t="shared" si="466"/>
        <v>8.4931506849315067E-2</v>
      </c>
      <c r="Y1352">
        <f t="shared" si="467"/>
        <v>8.4931506849315067E-2</v>
      </c>
      <c r="Z1352">
        <f t="shared" si="468"/>
        <v>8.4931506849315067E-2</v>
      </c>
      <c r="AA1352">
        <f t="shared" si="469"/>
        <v>8.4931506849315067E-2</v>
      </c>
      <c r="AB1352">
        <f t="shared" si="470"/>
        <v>8.4931506849315067E-2</v>
      </c>
      <c r="AC1352">
        <f t="shared" si="471"/>
        <v>8.4931506849315067E-2</v>
      </c>
      <c r="AD1352">
        <f t="shared" si="472"/>
        <v>8.4931506849315067E-2</v>
      </c>
      <c r="AE1352">
        <f t="shared" si="473"/>
        <v>8.4931506849315067E-2</v>
      </c>
      <c r="AF1352">
        <f t="shared" si="474"/>
        <v>8.4931506849315067E-2</v>
      </c>
      <c r="AG1352">
        <f t="shared" si="475"/>
        <v>8.4931506849315067E-2</v>
      </c>
      <c r="AH1352">
        <f t="shared" si="476"/>
        <v>8.4931506849315067E-2</v>
      </c>
      <c r="AI1352">
        <f t="shared" si="477"/>
        <v>0</v>
      </c>
      <c r="AJ1352" s="2" t="str">
        <f t="shared" si="487"/>
        <v>1146966</v>
      </c>
    </row>
    <row r="1353" spans="1:36" x14ac:dyDescent="0.25">
      <c r="A1353">
        <v>12</v>
      </c>
      <c r="B1353" s="1">
        <v>46966</v>
      </c>
      <c r="C1353" s="1">
        <f t="shared" si="478"/>
        <v>47331</v>
      </c>
      <c r="D1353" s="1">
        <f t="shared" si="479"/>
        <v>46980</v>
      </c>
      <c r="E1353" s="1">
        <f t="shared" si="480"/>
        <v>47331</v>
      </c>
      <c r="F1353" s="1">
        <f t="shared" si="481"/>
        <v>47345</v>
      </c>
      <c r="G1353" s="1">
        <f t="shared" si="482"/>
        <v>47345</v>
      </c>
      <c r="H1353">
        <f t="shared" si="483"/>
        <v>365</v>
      </c>
      <c r="I1353">
        <f t="shared" si="484"/>
        <v>14</v>
      </c>
      <c r="J1353">
        <f t="shared" si="485"/>
        <v>3.8356164383561646E-2</v>
      </c>
      <c r="K1353">
        <f>IFERROR($J1353/IF($A1353&lt;COUNTIFS($K$1:K$1,"&lt;&gt;"),0,SUMIFS($J:$J,$B:$B,$B1353,$A:$A,"&gt;="&amp;COUNTIFS($K$1:K$1,"&lt;&gt;"))),0)</f>
        <v>4.0229885057471271E-2</v>
      </c>
      <c r="L1353">
        <f>IFERROR($J1353/IF($A1353&lt;COUNTIFS($K$1:L$1,"&lt;&gt;"),0,SUMIFS($J:$J,$B:$B,$B1353,$A:$A,"&gt;="&amp;COUNTIFS($K$1:L$1,"&lt;&gt;"))),0)</f>
        <v>4.4025157232704414E-2</v>
      </c>
      <c r="M1353">
        <f>IFERROR($J1353/IF($A1353&lt;COUNTIFS($K$1:M$1,"&lt;&gt;"),0,SUMIFS($J:$J,$B:$B,$B1353,$A:$A,"&gt;="&amp;COUNTIFS($K$1:M$1,"&lt;&gt;"))),0)</f>
        <v>4.8780487804878057E-2</v>
      </c>
      <c r="N1353">
        <f>IFERROR($J1353/IF($A1353&lt;COUNTIFS($K$1:N$1,"&lt;&gt;"),0,SUMIFS($J:$J,$B:$B,$B1353,$A:$A,"&gt;="&amp;COUNTIFS($K$1:N$1,"&lt;&gt;"))),0)</f>
        <v>5.447470817120624E-2</v>
      </c>
      <c r="O1353">
        <f>IFERROR($J1353/IF($A1353&lt;COUNTIFS($K$1:O$1,"&lt;&gt;"),0,SUMIFS($J:$J,$B:$B,$B1353,$A:$A,"&gt;="&amp;COUNTIFS($K$1:O$1,"&lt;&gt;"))),0)</f>
        <v>6.194690265486727E-2</v>
      </c>
      <c r="P1353">
        <f>IFERROR($J1353/IF($A1353&lt;COUNTIFS($K$1:P$1,"&lt;&gt;"),0,SUMIFS($J:$J,$B:$B,$B1353,$A:$A,"&gt;="&amp;COUNTIFS($K$1:P$1,"&lt;&gt;"))),0)</f>
        <v>7.1794871794871803E-2</v>
      </c>
      <c r="Q1353">
        <f>IFERROR($J1353/IF($A1353&lt;COUNTIFS($K$1:Q$1,"&lt;&gt;"),0,SUMIFS($J:$J,$B:$B,$B1353,$A:$A,"&gt;="&amp;COUNTIFS($K$1:Q$1,"&lt;&gt;"))),0)</f>
        <v>8.3832335329341326E-2</v>
      </c>
      <c r="R1353">
        <f>IFERROR($J1353/IF($A1353&lt;COUNTIFS($K$1:R$1,"&lt;&gt;"),0,SUMIFS($J:$J,$B:$B,$B1353,$A:$A,"&gt;="&amp;COUNTIFS($K$1:R$1,"&lt;&gt;"))),0)</f>
        <v>0.10294117647058824</v>
      </c>
      <c r="S1353">
        <f>IFERROR($J1353/IF($A1353&lt;COUNTIFS($K$1:S$1,"&lt;&gt;"),0,SUMIFS($J:$J,$B:$B,$B1353,$A:$A,"&gt;="&amp;COUNTIFS($K$1:S$1,"&lt;&gt;"))),0)</f>
        <v>0.13207547169811323</v>
      </c>
      <c r="T1353">
        <f>IFERROR($J1353/IF($A1353&lt;COUNTIFS($K$1:T$1,"&lt;&gt;"),0,SUMIFS($J:$J,$B:$B,$B1353,$A:$A,"&gt;="&amp;COUNTIFS($K$1:T$1,"&lt;&gt;"))),0)</f>
        <v>0.18666666666666668</v>
      </c>
      <c r="U1353">
        <f>IFERROR($J1353/IF($A1353&lt;COUNTIFS($K$1:U$1,"&lt;&gt;"),0,SUMIFS($J:$J,$B:$B,$B1353,$A:$A,"&gt;="&amp;COUNTIFS($K$1:U$1,"&lt;&gt;"))),0)</f>
        <v>0.31111111111111117</v>
      </c>
      <c r="V1353">
        <f>IFERROR($J1353/IF($A1353&lt;COUNTIFS($K$1:V$1,"&lt;&gt;"),0,SUMIFS($J:$J,$B:$B,$B1353,$A:$A,"&gt;="&amp;COUNTIFS($K$1:V$1,"&lt;&gt;"))),0)</f>
        <v>1</v>
      </c>
      <c r="W1353">
        <f t="shared" si="486"/>
        <v>3.8356164383561646E-2</v>
      </c>
      <c r="X1353">
        <f t="shared" si="466"/>
        <v>3.8356164383561646E-2</v>
      </c>
      <c r="Y1353">
        <f t="shared" si="467"/>
        <v>3.8356164383561646E-2</v>
      </c>
      <c r="Z1353">
        <f t="shared" si="468"/>
        <v>3.8356164383561646E-2</v>
      </c>
      <c r="AA1353">
        <f t="shared" si="469"/>
        <v>3.8356164383561646E-2</v>
      </c>
      <c r="AB1353">
        <f t="shared" si="470"/>
        <v>3.8356164383561646E-2</v>
      </c>
      <c r="AC1353">
        <f t="shared" si="471"/>
        <v>3.8356164383561646E-2</v>
      </c>
      <c r="AD1353">
        <f t="shared" si="472"/>
        <v>3.8356164383561646E-2</v>
      </c>
      <c r="AE1353">
        <f t="shared" si="473"/>
        <v>3.8356164383561646E-2</v>
      </c>
      <c r="AF1353">
        <f t="shared" si="474"/>
        <v>3.8356164383561646E-2</v>
      </c>
      <c r="AG1353">
        <f t="shared" si="475"/>
        <v>3.8356164383561646E-2</v>
      </c>
      <c r="AH1353">
        <f t="shared" si="476"/>
        <v>3.8356164383561646E-2</v>
      </c>
      <c r="AI1353">
        <f t="shared" si="477"/>
        <v>3.8356164383561646E-2</v>
      </c>
      <c r="AJ1353" s="2" t="str">
        <f t="shared" si="487"/>
        <v>1246966</v>
      </c>
    </row>
    <row r="1354" spans="1:36" x14ac:dyDescent="0.25">
      <c r="A1354">
        <v>0</v>
      </c>
      <c r="B1354" s="1">
        <v>46997</v>
      </c>
      <c r="C1354" s="1">
        <f t="shared" si="478"/>
        <v>46997</v>
      </c>
      <c r="D1354" s="1">
        <f t="shared" si="479"/>
        <v>47011</v>
      </c>
      <c r="E1354" s="1">
        <f t="shared" si="480"/>
        <v>47011</v>
      </c>
      <c r="F1354" s="1">
        <f t="shared" si="481"/>
        <v>47027</v>
      </c>
      <c r="G1354" s="1">
        <f t="shared" si="482"/>
        <v>47376</v>
      </c>
      <c r="H1354">
        <f t="shared" si="483"/>
        <v>365</v>
      </c>
      <c r="I1354">
        <f t="shared" si="484"/>
        <v>16</v>
      </c>
      <c r="J1354">
        <f t="shared" si="485"/>
        <v>4.3835616438356165E-2</v>
      </c>
      <c r="K1354">
        <f>IFERROR($J1354/IF($A1354&lt;COUNTIFS($K$1:K$1,"&lt;&gt;"),0,SUMIFS($J:$J,$B:$B,$B1354,$A:$A,"&gt;="&amp;COUNTIFS($K$1:K$1,"&lt;&gt;"))),0)</f>
        <v>0</v>
      </c>
      <c r="L1354">
        <f>IFERROR($J1354/IF($A1354&lt;COUNTIFS($K$1:L$1,"&lt;&gt;"),0,SUMIFS($J:$J,$B:$B,$B1354,$A:$A,"&gt;="&amp;COUNTIFS($K$1:L$1,"&lt;&gt;"))),0)</f>
        <v>0</v>
      </c>
      <c r="M1354">
        <f>IFERROR($J1354/IF($A1354&lt;COUNTIFS($K$1:M$1,"&lt;&gt;"),0,SUMIFS($J:$J,$B:$B,$B1354,$A:$A,"&gt;="&amp;COUNTIFS($K$1:M$1,"&lt;&gt;"))),0)</f>
        <v>0</v>
      </c>
      <c r="N1354">
        <f>IFERROR($J1354/IF($A1354&lt;COUNTIFS($K$1:N$1,"&lt;&gt;"),0,SUMIFS($J:$J,$B:$B,$B1354,$A:$A,"&gt;="&amp;COUNTIFS($K$1:N$1,"&lt;&gt;"))),0)</f>
        <v>0</v>
      </c>
      <c r="O1354">
        <f>IFERROR($J1354/IF($A1354&lt;COUNTIFS($K$1:O$1,"&lt;&gt;"),0,SUMIFS($J:$J,$B:$B,$B1354,$A:$A,"&gt;="&amp;COUNTIFS($K$1:O$1,"&lt;&gt;"))),0)</f>
        <v>0</v>
      </c>
      <c r="P1354">
        <f>IFERROR($J1354/IF($A1354&lt;COUNTIFS($K$1:P$1,"&lt;&gt;"),0,SUMIFS($J:$J,$B:$B,$B1354,$A:$A,"&gt;="&amp;COUNTIFS($K$1:P$1,"&lt;&gt;"))),0)</f>
        <v>0</v>
      </c>
      <c r="Q1354">
        <f>IFERROR($J1354/IF($A1354&lt;COUNTIFS($K$1:Q$1,"&lt;&gt;"),0,SUMIFS($J:$J,$B:$B,$B1354,$A:$A,"&gt;="&amp;COUNTIFS($K$1:Q$1,"&lt;&gt;"))),0)</f>
        <v>0</v>
      </c>
      <c r="R1354">
        <f>IFERROR($J1354/IF($A1354&lt;COUNTIFS($K$1:R$1,"&lt;&gt;"),0,SUMIFS($J:$J,$B:$B,$B1354,$A:$A,"&gt;="&amp;COUNTIFS($K$1:R$1,"&lt;&gt;"))),0)</f>
        <v>0</v>
      </c>
      <c r="S1354">
        <f>IFERROR($J1354/IF($A1354&lt;COUNTIFS($K$1:S$1,"&lt;&gt;"),0,SUMIFS($J:$J,$B:$B,$B1354,$A:$A,"&gt;="&amp;COUNTIFS($K$1:S$1,"&lt;&gt;"))),0)</f>
        <v>0</v>
      </c>
      <c r="T1354">
        <f>IFERROR($J1354/IF($A1354&lt;COUNTIFS($K$1:T$1,"&lt;&gt;"),0,SUMIFS($J:$J,$B:$B,$B1354,$A:$A,"&gt;="&amp;COUNTIFS($K$1:T$1,"&lt;&gt;"))),0)</f>
        <v>0</v>
      </c>
      <c r="U1354">
        <f>IFERROR($J1354/IF($A1354&lt;COUNTIFS($K$1:U$1,"&lt;&gt;"),0,SUMIFS($J:$J,$B:$B,$B1354,$A:$A,"&gt;="&amp;COUNTIFS($K$1:U$1,"&lt;&gt;"))),0)</f>
        <v>0</v>
      </c>
      <c r="V1354">
        <f>IFERROR($J1354/IF($A1354&lt;COUNTIFS($K$1:V$1,"&lt;&gt;"),0,SUMIFS($J:$J,$B:$B,$B1354,$A:$A,"&gt;="&amp;COUNTIFS($K$1:V$1,"&lt;&gt;"))),0)</f>
        <v>0</v>
      </c>
      <c r="W1354">
        <f t="shared" si="486"/>
        <v>4.3835616438356165E-2</v>
      </c>
      <c r="X1354">
        <f t="shared" si="466"/>
        <v>0</v>
      </c>
      <c r="Y1354">
        <f t="shared" si="467"/>
        <v>0</v>
      </c>
      <c r="Z1354">
        <f t="shared" si="468"/>
        <v>0</v>
      </c>
      <c r="AA1354">
        <f t="shared" si="469"/>
        <v>0</v>
      </c>
      <c r="AB1354">
        <f t="shared" si="470"/>
        <v>0</v>
      </c>
      <c r="AC1354">
        <f t="shared" si="471"/>
        <v>0</v>
      </c>
      <c r="AD1354">
        <f t="shared" si="472"/>
        <v>0</v>
      </c>
      <c r="AE1354">
        <f t="shared" si="473"/>
        <v>0</v>
      </c>
      <c r="AF1354">
        <f t="shared" si="474"/>
        <v>0</v>
      </c>
      <c r="AG1354">
        <f t="shared" si="475"/>
        <v>0</v>
      </c>
      <c r="AH1354">
        <f t="shared" si="476"/>
        <v>0</v>
      </c>
      <c r="AI1354">
        <f t="shared" si="477"/>
        <v>0</v>
      </c>
      <c r="AJ1354" s="2" t="str">
        <f t="shared" si="487"/>
        <v>046997</v>
      </c>
    </row>
    <row r="1355" spans="1:36" x14ac:dyDescent="0.25">
      <c r="A1355">
        <v>1</v>
      </c>
      <c r="B1355" s="1">
        <v>46997</v>
      </c>
      <c r="C1355" s="1">
        <f t="shared" si="478"/>
        <v>47027</v>
      </c>
      <c r="D1355" s="1">
        <f t="shared" si="479"/>
        <v>47011</v>
      </c>
      <c r="E1355" s="1">
        <f t="shared" si="480"/>
        <v>47027</v>
      </c>
      <c r="F1355" s="1">
        <f t="shared" si="481"/>
        <v>47058</v>
      </c>
      <c r="G1355" s="1">
        <f t="shared" si="482"/>
        <v>47376</v>
      </c>
      <c r="H1355">
        <f t="shared" si="483"/>
        <v>365</v>
      </c>
      <c r="I1355">
        <f t="shared" si="484"/>
        <v>31</v>
      </c>
      <c r="J1355">
        <f t="shared" si="485"/>
        <v>8.4931506849315067E-2</v>
      </c>
      <c r="K1355">
        <f>IFERROR($J1355/IF($A1355&lt;COUNTIFS($K$1:K$1,"&lt;&gt;"),0,SUMIFS($J:$J,$B:$B,$B1355,$A:$A,"&gt;="&amp;COUNTIFS($K$1:K$1,"&lt;&gt;"))),0)</f>
        <v>8.8825214899713484E-2</v>
      </c>
      <c r="L1355">
        <f>IFERROR($J1355/IF($A1355&lt;COUNTIFS($K$1:L$1,"&lt;&gt;"),0,SUMIFS($J:$J,$B:$B,$B1355,$A:$A,"&gt;="&amp;COUNTIFS($K$1:L$1,"&lt;&gt;"))),0)</f>
        <v>0</v>
      </c>
      <c r="M1355">
        <f>IFERROR($J1355/IF($A1355&lt;COUNTIFS($K$1:M$1,"&lt;&gt;"),0,SUMIFS($J:$J,$B:$B,$B1355,$A:$A,"&gt;="&amp;COUNTIFS($K$1:M$1,"&lt;&gt;"))),0)</f>
        <v>0</v>
      </c>
      <c r="N1355">
        <f>IFERROR($J1355/IF($A1355&lt;COUNTIFS($K$1:N$1,"&lt;&gt;"),0,SUMIFS($J:$J,$B:$B,$B1355,$A:$A,"&gt;="&amp;COUNTIFS($K$1:N$1,"&lt;&gt;"))),0)</f>
        <v>0</v>
      </c>
      <c r="O1355">
        <f>IFERROR($J1355/IF($A1355&lt;COUNTIFS($K$1:O$1,"&lt;&gt;"),0,SUMIFS($J:$J,$B:$B,$B1355,$A:$A,"&gt;="&amp;COUNTIFS($K$1:O$1,"&lt;&gt;"))),0)</f>
        <v>0</v>
      </c>
      <c r="P1355">
        <f>IFERROR($J1355/IF($A1355&lt;COUNTIFS($K$1:P$1,"&lt;&gt;"),0,SUMIFS($J:$J,$B:$B,$B1355,$A:$A,"&gt;="&amp;COUNTIFS($K$1:P$1,"&lt;&gt;"))),0)</f>
        <v>0</v>
      </c>
      <c r="Q1355">
        <f>IFERROR($J1355/IF($A1355&lt;COUNTIFS($K$1:Q$1,"&lt;&gt;"),0,SUMIFS($J:$J,$B:$B,$B1355,$A:$A,"&gt;="&amp;COUNTIFS($K$1:Q$1,"&lt;&gt;"))),0)</f>
        <v>0</v>
      </c>
      <c r="R1355">
        <f>IFERROR($J1355/IF($A1355&lt;COUNTIFS($K$1:R$1,"&lt;&gt;"),0,SUMIFS($J:$J,$B:$B,$B1355,$A:$A,"&gt;="&amp;COUNTIFS($K$1:R$1,"&lt;&gt;"))),0)</f>
        <v>0</v>
      </c>
      <c r="S1355">
        <f>IFERROR($J1355/IF($A1355&lt;COUNTIFS($K$1:S$1,"&lt;&gt;"),0,SUMIFS($J:$J,$B:$B,$B1355,$A:$A,"&gt;="&amp;COUNTIFS($K$1:S$1,"&lt;&gt;"))),0)</f>
        <v>0</v>
      </c>
      <c r="T1355">
        <f>IFERROR($J1355/IF($A1355&lt;COUNTIFS($K$1:T$1,"&lt;&gt;"),0,SUMIFS($J:$J,$B:$B,$B1355,$A:$A,"&gt;="&amp;COUNTIFS($K$1:T$1,"&lt;&gt;"))),0)</f>
        <v>0</v>
      </c>
      <c r="U1355">
        <f>IFERROR($J1355/IF($A1355&lt;COUNTIFS($K$1:U$1,"&lt;&gt;"),0,SUMIFS($J:$J,$B:$B,$B1355,$A:$A,"&gt;="&amp;COUNTIFS($K$1:U$1,"&lt;&gt;"))),0)</f>
        <v>0</v>
      </c>
      <c r="V1355">
        <f>IFERROR($J1355/IF($A1355&lt;COUNTIFS($K$1:V$1,"&lt;&gt;"),0,SUMIFS($J:$J,$B:$B,$B1355,$A:$A,"&gt;="&amp;COUNTIFS($K$1:V$1,"&lt;&gt;"))),0)</f>
        <v>0</v>
      </c>
      <c r="W1355">
        <f t="shared" si="486"/>
        <v>8.4931506849315067E-2</v>
      </c>
      <c r="X1355">
        <f t="shared" si="466"/>
        <v>8.4931506849315067E-2</v>
      </c>
      <c r="Y1355">
        <f t="shared" si="467"/>
        <v>0</v>
      </c>
      <c r="Z1355">
        <f t="shared" si="468"/>
        <v>0</v>
      </c>
      <c r="AA1355">
        <f t="shared" si="469"/>
        <v>0</v>
      </c>
      <c r="AB1355">
        <f t="shared" si="470"/>
        <v>0</v>
      </c>
      <c r="AC1355">
        <f t="shared" si="471"/>
        <v>0</v>
      </c>
      <c r="AD1355">
        <f t="shared" si="472"/>
        <v>0</v>
      </c>
      <c r="AE1355">
        <f t="shared" si="473"/>
        <v>0</v>
      </c>
      <c r="AF1355">
        <f t="shared" si="474"/>
        <v>0</v>
      </c>
      <c r="AG1355">
        <f t="shared" si="475"/>
        <v>0</v>
      </c>
      <c r="AH1355">
        <f t="shared" si="476"/>
        <v>0</v>
      </c>
      <c r="AI1355">
        <f t="shared" si="477"/>
        <v>0</v>
      </c>
      <c r="AJ1355" s="2" t="str">
        <f t="shared" si="487"/>
        <v>146997</v>
      </c>
    </row>
    <row r="1356" spans="1:36" x14ac:dyDescent="0.25">
      <c r="A1356">
        <v>2</v>
      </c>
      <c r="B1356" s="1">
        <v>46997</v>
      </c>
      <c r="C1356" s="1">
        <f t="shared" si="478"/>
        <v>47058</v>
      </c>
      <c r="D1356" s="1">
        <f t="shared" si="479"/>
        <v>47011</v>
      </c>
      <c r="E1356" s="1">
        <f t="shared" si="480"/>
        <v>47058</v>
      </c>
      <c r="F1356" s="1">
        <f t="shared" si="481"/>
        <v>47088</v>
      </c>
      <c r="G1356" s="1">
        <f t="shared" si="482"/>
        <v>47376</v>
      </c>
      <c r="H1356">
        <f t="shared" si="483"/>
        <v>365</v>
      </c>
      <c r="I1356">
        <f t="shared" si="484"/>
        <v>30</v>
      </c>
      <c r="J1356">
        <f t="shared" si="485"/>
        <v>8.2191780821917804E-2</v>
      </c>
      <c r="K1356">
        <f>IFERROR($J1356/IF($A1356&lt;COUNTIFS($K$1:K$1,"&lt;&gt;"),0,SUMIFS($J:$J,$B:$B,$B1356,$A:$A,"&gt;="&amp;COUNTIFS($K$1:K$1,"&lt;&gt;"))),0)</f>
        <v>8.5959885386819493E-2</v>
      </c>
      <c r="L1356">
        <f>IFERROR($J1356/IF($A1356&lt;COUNTIFS($K$1:L$1,"&lt;&gt;"),0,SUMIFS($J:$J,$B:$B,$B1356,$A:$A,"&gt;="&amp;COUNTIFS($K$1:L$1,"&lt;&gt;"))),0)</f>
        <v>9.4339622641509441E-2</v>
      </c>
      <c r="M1356">
        <f>IFERROR($J1356/IF($A1356&lt;COUNTIFS($K$1:M$1,"&lt;&gt;"),0,SUMIFS($J:$J,$B:$B,$B1356,$A:$A,"&gt;="&amp;COUNTIFS($K$1:M$1,"&lt;&gt;"))),0)</f>
        <v>0</v>
      </c>
      <c r="N1356">
        <f>IFERROR($J1356/IF($A1356&lt;COUNTIFS($K$1:N$1,"&lt;&gt;"),0,SUMIFS($J:$J,$B:$B,$B1356,$A:$A,"&gt;="&amp;COUNTIFS($K$1:N$1,"&lt;&gt;"))),0)</f>
        <v>0</v>
      </c>
      <c r="O1356">
        <f>IFERROR($J1356/IF($A1356&lt;COUNTIFS($K$1:O$1,"&lt;&gt;"),0,SUMIFS($J:$J,$B:$B,$B1356,$A:$A,"&gt;="&amp;COUNTIFS($K$1:O$1,"&lt;&gt;"))),0)</f>
        <v>0</v>
      </c>
      <c r="P1356">
        <f>IFERROR($J1356/IF($A1356&lt;COUNTIFS($K$1:P$1,"&lt;&gt;"),0,SUMIFS($J:$J,$B:$B,$B1356,$A:$A,"&gt;="&amp;COUNTIFS($K$1:P$1,"&lt;&gt;"))),0)</f>
        <v>0</v>
      </c>
      <c r="Q1356">
        <f>IFERROR($J1356/IF($A1356&lt;COUNTIFS($K$1:Q$1,"&lt;&gt;"),0,SUMIFS($J:$J,$B:$B,$B1356,$A:$A,"&gt;="&amp;COUNTIFS($K$1:Q$1,"&lt;&gt;"))),0)</f>
        <v>0</v>
      </c>
      <c r="R1356">
        <f>IFERROR($J1356/IF($A1356&lt;COUNTIFS($K$1:R$1,"&lt;&gt;"),0,SUMIFS($J:$J,$B:$B,$B1356,$A:$A,"&gt;="&amp;COUNTIFS($K$1:R$1,"&lt;&gt;"))),0)</f>
        <v>0</v>
      </c>
      <c r="S1356">
        <f>IFERROR($J1356/IF($A1356&lt;COUNTIFS($K$1:S$1,"&lt;&gt;"),0,SUMIFS($J:$J,$B:$B,$B1356,$A:$A,"&gt;="&amp;COUNTIFS($K$1:S$1,"&lt;&gt;"))),0)</f>
        <v>0</v>
      </c>
      <c r="T1356">
        <f>IFERROR($J1356/IF($A1356&lt;COUNTIFS($K$1:T$1,"&lt;&gt;"),0,SUMIFS($J:$J,$B:$B,$B1356,$A:$A,"&gt;="&amp;COUNTIFS($K$1:T$1,"&lt;&gt;"))),0)</f>
        <v>0</v>
      </c>
      <c r="U1356">
        <f>IFERROR($J1356/IF($A1356&lt;COUNTIFS($K$1:U$1,"&lt;&gt;"),0,SUMIFS($J:$J,$B:$B,$B1356,$A:$A,"&gt;="&amp;COUNTIFS($K$1:U$1,"&lt;&gt;"))),0)</f>
        <v>0</v>
      </c>
      <c r="V1356">
        <f>IFERROR($J1356/IF($A1356&lt;COUNTIFS($K$1:V$1,"&lt;&gt;"),0,SUMIFS($J:$J,$B:$B,$B1356,$A:$A,"&gt;="&amp;COUNTIFS($K$1:V$1,"&lt;&gt;"))),0)</f>
        <v>0</v>
      </c>
      <c r="W1356">
        <f t="shared" si="486"/>
        <v>8.2191780821917804E-2</v>
      </c>
      <c r="X1356">
        <f t="shared" si="466"/>
        <v>8.2191780821917804E-2</v>
      </c>
      <c r="Y1356">
        <f t="shared" si="467"/>
        <v>8.2191780821917804E-2</v>
      </c>
      <c r="Z1356">
        <f t="shared" si="468"/>
        <v>0</v>
      </c>
      <c r="AA1356">
        <f t="shared" si="469"/>
        <v>0</v>
      </c>
      <c r="AB1356">
        <f t="shared" si="470"/>
        <v>0</v>
      </c>
      <c r="AC1356">
        <f t="shared" si="471"/>
        <v>0</v>
      </c>
      <c r="AD1356">
        <f t="shared" si="472"/>
        <v>0</v>
      </c>
      <c r="AE1356">
        <f t="shared" si="473"/>
        <v>0</v>
      </c>
      <c r="AF1356">
        <f t="shared" si="474"/>
        <v>0</v>
      </c>
      <c r="AG1356">
        <f t="shared" si="475"/>
        <v>0</v>
      </c>
      <c r="AH1356">
        <f t="shared" si="476"/>
        <v>0</v>
      </c>
      <c r="AI1356">
        <f t="shared" si="477"/>
        <v>0</v>
      </c>
      <c r="AJ1356" s="2" t="str">
        <f t="shared" si="487"/>
        <v>246997</v>
      </c>
    </row>
    <row r="1357" spans="1:36" x14ac:dyDescent="0.25">
      <c r="A1357">
        <v>3</v>
      </c>
      <c r="B1357" s="1">
        <v>46997</v>
      </c>
      <c r="C1357" s="1">
        <f t="shared" si="478"/>
        <v>47088</v>
      </c>
      <c r="D1357" s="1">
        <f t="shared" si="479"/>
        <v>47011</v>
      </c>
      <c r="E1357" s="1">
        <f t="shared" si="480"/>
        <v>47088</v>
      </c>
      <c r="F1357" s="1">
        <f t="shared" si="481"/>
        <v>47119</v>
      </c>
      <c r="G1357" s="1">
        <f t="shared" si="482"/>
        <v>47376</v>
      </c>
      <c r="H1357">
        <f t="shared" si="483"/>
        <v>365</v>
      </c>
      <c r="I1357">
        <f t="shared" si="484"/>
        <v>31</v>
      </c>
      <c r="J1357">
        <f t="shared" si="485"/>
        <v>8.4931506849315067E-2</v>
      </c>
      <c r="K1357">
        <f>IFERROR($J1357/IF($A1357&lt;COUNTIFS($K$1:K$1,"&lt;&gt;"),0,SUMIFS($J:$J,$B:$B,$B1357,$A:$A,"&gt;="&amp;COUNTIFS($K$1:K$1,"&lt;&gt;"))),0)</f>
        <v>8.8825214899713484E-2</v>
      </c>
      <c r="L1357">
        <f>IFERROR($J1357/IF($A1357&lt;COUNTIFS($K$1:L$1,"&lt;&gt;"),0,SUMIFS($J:$J,$B:$B,$B1357,$A:$A,"&gt;="&amp;COUNTIFS($K$1:L$1,"&lt;&gt;"))),0)</f>
        <v>9.7484276729559768E-2</v>
      </c>
      <c r="M1357">
        <f>IFERROR($J1357/IF($A1357&lt;COUNTIFS($K$1:M$1,"&lt;&gt;"),0,SUMIFS($J:$J,$B:$B,$B1357,$A:$A,"&gt;="&amp;COUNTIFS($K$1:M$1,"&lt;&gt;"))),0)</f>
        <v>0.10763888888888891</v>
      </c>
      <c r="N1357">
        <f>IFERROR($J1357/IF($A1357&lt;COUNTIFS($K$1:N$1,"&lt;&gt;"),0,SUMIFS($J:$J,$B:$B,$B1357,$A:$A,"&gt;="&amp;COUNTIFS($K$1:N$1,"&lt;&gt;"))),0)</f>
        <v>0</v>
      </c>
      <c r="O1357">
        <f>IFERROR($J1357/IF($A1357&lt;COUNTIFS($K$1:O$1,"&lt;&gt;"),0,SUMIFS($J:$J,$B:$B,$B1357,$A:$A,"&gt;="&amp;COUNTIFS($K$1:O$1,"&lt;&gt;"))),0)</f>
        <v>0</v>
      </c>
      <c r="P1357">
        <f>IFERROR($J1357/IF($A1357&lt;COUNTIFS($K$1:P$1,"&lt;&gt;"),0,SUMIFS($J:$J,$B:$B,$B1357,$A:$A,"&gt;="&amp;COUNTIFS($K$1:P$1,"&lt;&gt;"))),0)</f>
        <v>0</v>
      </c>
      <c r="Q1357">
        <f>IFERROR($J1357/IF($A1357&lt;COUNTIFS($K$1:Q$1,"&lt;&gt;"),0,SUMIFS($J:$J,$B:$B,$B1357,$A:$A,"&gt;="&amp;COUNTIFS($K$1:Q$1,"&lt;&gt;"))),0)</f>
        <v>0</v>
      </c>
      <c r="R1357">
        <f>IFERROR($J1357/IF($A1357&lt;COUNTIFS($K$1:R$1,"&lt;&gt;"),0,SUMIFS($J:$J,$B:$B,$B1357,$A:$A,"&gt;="&amp;COUNTIFS($K$1:R$1,"&lt;&gt;"))),0)</f>
        <v>0</v>
      </c>
      <c r="S1357">
        <f>IFERROR($J1357/IF($A1357&lt;COUNTIFS($K$1:S$1,"&lt;&gt;"),0,SUMIFS($J:$J,$B:$B,$B1357,$A:$A,"&gt;="&amp;COUNTIFS($K$1:S$1,"&lt;&gt;"))),0)</f>
        <v>0</v>
      </c>
      <c r="T1357">
        <f>IFERROR($J1357/IF($A1357&lt;COUNTIFS($K$1:T$1,"&lt;&gt;"),0,SUMIFS($J:$J,$B:$B,$B1357,$A:$A,"&gt;="&amp;COUNTIFS($K$1:T$1,"&lt;&gt;"))),0)</f>
        <v>0</v>
      </c>
      <c r="U1357">
        <f>IFERROR($J1357/IF($A1357&lt;COUNTIFS($K$1:U$1,"&lt;&gt;"),0,SUMIFS($J:$J,$B:$B,$B1357,$A:$A,"&gt;="&amp;COUNTIFS($K$1:U$1,"&lt;&gt;"))),0)</f>
        <v>0</v>
      </c>
      <c r="V1357">
        <f>IFERROR($J1357/IF($A1357&lt;COUNTIFS($K$1:V$1,"&lt;&gt;"),0,SUMIFS($J:$J,$B:$B,$B1357,$A:$A,"&gt;="&amp;COUNTIFS($K$1:V$1,"&lt;&gt;"))),0)</f>
        <v>0</v>
      </c>
      <c r="W1357">
        <f t="shared" si="486"/>
        <v>8.4931506849315067E-2</v>
      </c>
      <c r="X1357">
        <f t="shared" si="466"/>
        <v>8.4931506849315067E-2</v>
      </c>
      <c r="Y1357">
        <f t="shared" si="467"/>
        <v>8.4931506849315067E-2</v>
      </c>
      <c r="Z1357">
        <f t="shared" si="468"/>
        <v>8.4931506849315067E-2</v>
      </c>
      <c r="AA1357">
        <f t="shared" si="469"/>
        <v>0</v>
      </c>
      <c r="AB1357">
        <f t="shared" si="470"/>
        <v>0</v>
      </c>
      <c r="AC1357">
        <f t="shared" si="471"/>
        <v>0</v>
      </c>
      <c r="AD1357">
        <f t="shared" si="472"/>
        <v>0</v>
      </c>
      <c r="AE1357">
        <f t="shared" si="473"/>
        <v>0</v>
      </c>
      <c r="AF1357">
        <f t="shared" si="474"/>
        <v>0</v>
      </c>
      <c r="AG1357">
        <f t="shared" si="475"/>
        <v>0</v>
      </c>
      <c r="AH1357">
        <f t="shared" si="476"/>
        <v>0</v>
      </c>
      <c r="AI1357">
        <f t="shared" si="477"/>
        <v>0</v>
      </c>
      <c r="AJ1357" s="2" t="str">
        <f t="shared" si="487"/>
        <v>346997</v>
      </c>
    </row>
    <row r="1358" spans="1:36" x14ac:dyDescent="0.25">
      <c r="A1358">
        <v>4</v>
      </c>
      <c r="B1358" s="1">
        <v>46997</v>
      </c>
      <c r="C1358" s="1">
        <f t="shared" si="478"/>
        <v>47119</v>
      </c>
      <c r="D1358" s="1">
        <f t="shared" si="479"/>
        <v>47011</v>
      </c>
      <c r="E1358" s="1">
        <f t="shared" si="480"/>
        <v>47119</v>
      </c>
      <c r="F1358" s="1">
        <f t="shared" si="481"/>
        <v>47150</v>
      </c>
      <c r="G1358" s="1">
        <f t="shared" si="482"/>
        <v>47376</v>
      </c>
      <c r="H1358">
        <f t="shared" si="483"/>
        <v>365</v>
      </c>
      <c r="I1358">
        <f t="shared" si="484"/>
        <v>31</v>
      </c>
      <c r="J1358">
        <f t="shared" si="485"/>
        <v>8.4931506849315067E-2</v>
      </c>
      <c r="K1358">
        <f>IFERROR($J1358/IF($A1358&lt;COUNTIFS($K$1:K$1,"&lt;&gt;"),0,SUMIFS($J:$J,$B:$B,$B1358,$A:$A,"&gt;="&amp;COUNTIFS($K$1:K$1,"&lt;&gt;"))),0)</f>
        <v>8.8825214899713484E-2</v>
      </c>
      <c r="L1358">
        <f>IFERROR($J1358/IF($A1358&lt;COUNTIFS($K$1:L$1,"&lt;&gt;"),0,SUMIFS($J:$J,$B:$B,$B1358,$A:$A,"&gt;="&amp;COUNTIFS($K$1:L$1,"&lt;&gt;"))),0)</f>
        <v>9.7484276729559768E-2</v>
      </c>
      <c r="M1358">
        <f>IFERROR($J1358/IF($A1358&lt;COUNTIFS($K$1:M$1,"&lt;&gt;"),0,SUMIFS($J:$J,$B:$B,$B1358,$A:$A,"&gt;="&amp;COUNTIFS($K$1:M$1,"&lt;&gt;"))),0)</f>
        <v>0.10763888888888891</v>
      </c>
      <c r="N1358">
        <f>IFERROR($J1358/IF($A1358&lt;COUNTIFS($K$1:N$1,"&lt;&gt;"),0,SUMIFS($J:$J,$B:$B,$B1358,$A:$A,"&gt;="&amp;COUNTIFS($K$1:N$1,"&lt;&gt;"))),0)</f>
        <v>0.12062256809338523</v>
      </c>
      <c r="O1358">
        <f>IFERROR($J1358/IF($A1358&lt;COUNTIFS($K$1:O$1,"&lt;&gt;"),0,SUMIFS($J:$J,$B:$B,$B1358,$A:$A,"&gt;="&amp;COUNTIFS($K$1:O$1,"&lt;&gt;"))),0)</f>
        <v>0</v>
      </c>
      <c r="P1358">
        <f>IFERROR($J1358/IF($A1358&lt;COUNTIFS($K$1:P$1,"&lt;&gt;"),0,SUMIFS($J:$J,$B:$B,$B1358,$A:$A,"&gt;="&amp;COUNTIFS($K$1:P$1,"&lt;&gt;"))),0)</f>
        <v>0</v>
      </c>
      <c r="Q1358">
        <f>IFERROR($J1358/IF($A1358&lt;COUNTIFS($K$1:Q$1,"&lt;&gt;"),0,SUMIFS($J:$J,$B:$B,$B1358,$A:$A,"&gt;="&amp;COUNTIFS($K$1:Q$1,"&lt;&gt;"))),0)</f>
        <v>0</v>
      </c>
      <c r="R1358">
        <f>IFERROR($J1358/IF($A1358&lt;COUNTIFS($K$1:R$1,"&lt;&gt;"),0,SUMIFS($J:$J,$B:$B,$B1358,$A:$A,"&gt;="&amp;COUNTIFS($K$1:R$1,"&lt;&gt;"))),0)</f>
        <v>0</v>
      </c>
      <c r="S1358">
        <f>IFERROR($J1358/IF($A1358&lt;COUNTIFS($K$1:S$1,"&lt;&gt;"),0,SUMIFS($J:$J,$B:$B,$B1358,$A:$A,"&gt;="&amp;COUNTIFS($K$1:S$1,"&lt;&gt;"))),0)</f>
        <v>0</v>
      </c>
      <c r="T1358">
        <f>IFERROR($J1358/IF($A1358&lt;COUNTIFS($K$1:T$1,"&lt;&gt;"),0,SUMIFS($J:$J,$B:$B,$B1358,$A:$A,"&gt;="&amp;COUNTIFS($K$1:T$1,"&lt;&gt;"))),0)</f>
        <v>0</v>
      </c>
      <c r="U1358">
        <f>IFERROR($J1358/IF($A1358&lt;COUNTIFS($K$1:U$1,"&lt;&gt;"),0,SUMIFS($J:$J,$B:$B,$B1358,$A:$A,"&gt;="&amp;COUNTIFS($K$1:U$1,"&lt;&gt;"))),0)</f>
        <v>0</v>
      </c>
      <c r="V1358">
        <f>IFERROR($J1358/IF($A1358&lt;COUNTIFS($K$1:V$1,"&lt;&gt;"),0,SUMIFS($J:$J,$B:$B,$B1358,$A:$A,"&gt;="&amp;COUNTIFS($K$1:V$1,"&lt;&gt;"))),0)</f>
        <v>0</v>
      </c>
      <c r="W1358">
        <f t="shared" si="486"/>
        <v>8.4931506849315067E-2</v>
      </c>
      <c r="X1358">
        <f t="shared" si="466"/>
        <v>8.4931506849315067E-2</v>
      </c>
      <c r="Y1358">
        <f t="shared" si="467"/>
        <v>8.4931506849315067E-2</v>
      </c>
      <c r="Z1358">
        <f t="shared" si="468"/>
        <v>8.4931506849315067E-2</v>
      </c>
      <c r="AA1358">
        <f t="shared" si="469"/>
        <v>8.4931506849315067E-2</v>
      </c>
      <c r="AB1358">
        <f t="shared" si="470"/>
        <v>0</v>
      </c>
      <c r="AC1358">
        <f t="shared" si="471"/>
        <v>0</v>
      </c>
      <c r="AD1358">
        <f t="shared" si="472"/>
        <v>0</v>
      </c>
      <c r="AE1358">
        <f t="shared" si="473"/>
        <v>0</v>
      </c>
      <c r="AF1358">
        <f t="shared" si="474"/>
        <v>0</v>
      </c>
      <c r="AG1358">
        <f t="shared" si="475"/>
        <v>0</v>
      </c>
      <c r="AH1358">
        <f t="shared" si="476"/>
        <v>0</v>
      </c>
      <c r="AI1358">
        <f t="shared" si="477"/>
        <v>0</v>
      </c>
      <c r="AJ1358" s="2" t="str">
        <f t="shared" si="487"/>
        <v>446997</v>
      </c>
    </row>
    <row r="1359" spans="1:36" x14ac:dyDescent="0.25">
      <c r="A1359">
        <v>5</v>
      </c>
      <c r="B1359" s="1">
        <v>46997</v>
      </c>
      <c r="C1359" s="1">
        <f t="shared" si="478"/>
        <v>47150</v>
      </c>
      <c r="D1359" s="1">
        <f t="shared" si="479"/>
        <v>47011</v>
      </c>
      <c r="E1359" s="1">
        <f t="shared" si="480"/>
        <v>47150</v>
      </c>
      <c r="F1359" s="1">
        <f t="shared" si="481"/>
        <v>47178</v>
      </c>
      <c r="G1359" s="1">
        <f t="shared" si="482"/>
        <v>47376</v>
      </c>
      <c r="H1359">
        <f t="shared" si="483"/>
        <v>365</v>
      </c>
      <c r="I1359">
        <f t="shared" si="484"/>
        <v>28</v>
      </c>
      <c r="J1359">
        <f t="shared" si="485"/>
        <v>7.6712328767123292E-2</v>
      </c>
      <c r="K1359">
        <f>IFERROR($J1359/IF($A1359&lt;COUNTIFS($K$1:K$1,"&lt;&gt;"),0,SUMIFS($J:$J,$B:$B,$B1359,$A:$A,"&gt;="&amp;COUNTIFS($K$1:K$1,"&lt;&gt;"))),0)</f>
        <v>8.0229226361031539E-2</v>
      </c>
      <c r="L1359">
        <f>IFERROR($J1359/IF($A1359&lt;COUNTIFS($K$1:L$1,"&lt;&gt;"),0,SUMIFS($J:$J,$B:$B,$B1359,$A:$A,"&gt;="&amp;COUNTIFS($K$1:L$1,"&lt;&gt;"))),0)</f>
        <v>8.8050314465408827E-2</v>
      </c>
      <c r="M1359">
        <f>IFERROR($J1359/IF($A1359&lt;COUNTIFS($K$1:M$1,"&lt;&gt;"),0,SUMIFS($J:$J,$B:$B,$B1359,$A:$A,"&gt;="&amp;COUNTIFS($K$1:M$1,"&lt;&gt;"))),0)</f>
        <v>9.7222222222222238E-2</v>
      </c>
      <c r="N1359">
        <f>IFERROR($J1359/IF($A1359&lt;COUNTIFS($K$1:N$1,"&lt;&gt;"),0,SUMIFS($J:$J,$B:$B,$B1359,$A:$A,"&gt;="&amp;COUNTIFS($K$1:N$1,"&lt;&gt;"))),0)</f>
        <v>0.10894941634241248</v>
      </c>
      <c r="O1359">
        <f>IFERROR($J1359/IF($A1359&lt;COUNTIFS($K$1:O$1,"&lt;&gt;"),0,SUMIFS($J:$J,$B:$B,$B1359,$A:$A,"&gt;="&amp;COUNTIFS($K$1:O$1,"&lt;&gt;"))),0)</f>
        <v>0.12389380530973454</v>
      </c>
      <c r="P1359">
        <f>IFERROR($J1359/IF($A1359&lt;COUNTIFS($K$1:P$1,"&lt;&gt;"),0,SUMIFS($J:$J,$B:$B,$B1359,$A:$A,"&gt;="&amp;COUNTIFS($K$1:P$1,"&lt;&gt;"))),0)</f>
        <v>0</v>
      </c>
      <c r="Q1359">
        <f>IFERROR($J1359/IF($A1359&lt;COUNTIFS($K$1:Q$1,"&lt;&gt;"),0,SUMIFS($J:$J,$B:$B,$B1359,$A:$A,"&gt;="&amp;COUNTIFS($K$1:Q$1,"&lt;&gt;"))),0)</f>
        <v>0</v>
      </c>
      <c r="R1359">
        <f>IFERROR($J1359/IF($A1359&lt;COUNTIFS($K$1:R$1,"&lt;&gt;"),0,SUMIFS($J:$J,$B:$B,$B1359,$A:$A,"&gt;="&amp;COUNTIFS($K$1:R$1,"&lt;&gt;"))),0)</f>
        <v>0</v>
      </c>
      <c r="S1359">
        <f>IFERROR($J1359/IF($A1359&lt;COUNTIFS($K$1:S$1,"&lt;&gt;"),0,SUMIFS($J:$J,$B:$B,$B1359,$A:$A,"&gt;="&amp;COUNTIFS($K$1:S$1,"&lt;&gt;"))),0)</f>
        <v>0</v>
      </c>
      <c r="T1359">
        <f>IFERROR($J1359/IF($A1359&lt;COUNTIFS($K$1:T$1,"&lt;&gt;"),0,SUMIFS($J:$J,$B:$B,$B1359,$A:$A,"&gt;="&amp;COUNTIFS($K$1:T$1,"&lt;&gt;"))),0)</f>
        <v>0</v>
      </c>
      <c r="U1359">
        <f>IFERROR($J1359/IF($A1359&lt;COUNTIFS($K$1:U$1,"&lt;&gt;"),0,SUMIFS($J:$J,$B:$B,$B1359,$A:$A,"&gt;="&amp;COUNTIFS($K$1:U$1,"&lt;&gt;"))),0)</f>
        <v>0</v>
      </c>
      <c r="V1359">
        <f>IFERROR($J1359/IF($A1359&lt;COUNTIFS($K$1:V$1,"&lt;&gt;"),0,SUMIFS($J:$J,$B:$B,$B1359,$A:$A,"&gt;="&amp;COUNTIFS($K$1:V$1,"&lt;&gt;"))),0)</f>
        <v>0</v>
      </c>
      <c r="W1359">
        <f t="shared" si="486"/>
        <v>7.6712328767123292E-2</v>
      </c>
      <c r="X1359">
        <f t="shared" si="466"/>
        <v>7.6712328767123292E-2</v>
      </c>
      <c r="Y1359">
        <f t="shared" si="467"/>
        <v>7.6712328767123292E-2</v>
      </c>
      <c r="Z1359">
        <f t="shared" si="468"/>
        <v>7.6712328767123292E-2</v>
      </c>
      <c r="AA1359">
        <f t="shared" si="469"/>
        <v>7.6712328767123292E-2</v>
      </c>
      <c r="AB1359">
        <f t="shared" si="470"/>
        <v>7.6712328767123292E-2</v>
      </c>
      <c r="AC1359">
        <f t="shared" si="471"/>
        <v>0</v>
      </c>
      <c r="AD1359">
        <f t="shared" si="472"/>
        <v>0</v>
      </c>
      <c r="AE1359">
        <f t="shared" si="473"/>
        <v>0</v>
      </c>
      <c r="AF1359">
        <f t="shared" si="474"/>
        <v>0</v>
      </c>
      <c r="AG1359">
        <f t="shared" si="475"/>
        <v>0</v>
      </c>
      <c r="AH1359">
        <f t="shared" si="476"/>
        <v>0</v>
      </c>
      <c r="AI1359">
        <f t="shared" si="477"/>
        <v>0</v>
      </c>
      <c r="AJ1359" s="2" t="str">
        <f t="shared" si="487"/>
        <v>546997</v>
      </c>
    </row>
    <row r="1360" spans="1:36" x14ac:dyDescent="0.25">
      <c r="A1360">
        <v>6</v>
      </c>
      <c r="B1360" s="1">
        <v>46997</v>
      </c>
      <c r="C1360" s="1">
        <f t="shared" si="478"/>
        <v>47178</v>
      </c>
      <c r="D1360" s="1">
        <f t="shared" si="479"/>
        <v>47011</v>
      </c>
      <c r="E1360" s="1">
        <f t="shared" si="480"/>
        <v>47178</v>
      </c>
      <c r="F1360" s="1">
        <f t="shared" si="481"/>
        <v>47209</v>
      </c>
      <c r="G1360" s="1">
        <f t="shared" si="482"/>
        <v>47376</v>
      </c>
      <c r="H1360">
        <f t="shared" si="483"/>
        <v>365</v>
      </c>
      <c r="I1360">
        <f t="shared" si="484"/>
        <v>31</v>
      </c>
      <c r="J1360">
        <f t="shared" si="485"/>
        <v>8.4931506849315067E-2</v>
      </c>
      <c r="K1360">
        <f>IFERROR($J1360/IF($A1360&lt;COUNTIFS($K$1:K$1,"&lt;&gt;"),0,SUMIFS($J:$J,$B:$B,$B1360,$A:$A,"&gt;="&amp;COUNTIFS($K$1:K$1,"&lt;&gt;"))),0)</f>
        <v>8.8825214899713484E-2</v>
      </c>
      <c r="L1360">
        <f>IFERROR($J1360/IF($A1360&lt;COUNTIFS($K$1:L$1,"&lt;&gt;"),0,SUMIFS($J:$J,$B:$B,$B1360,$A:$A,"&gt;="&amp;COUNTIFS($K$1:L$1,"&lt;&gt;"))),0)</f>
        <v>9.7484276729559768E-2</v>
      </c>
      <c r="M1360">
        <f>IFERROR($J1360/IF($A1360&lt;COUNTIFS($K$1:M$1,"&lt;&gt;"),0,SUMIFS($J:$J,$B:$B,$B1360,$A:$A,"&gt;="&amp;COUNTIFS($K$1:M$1,"&lt;&gt;"))),0)</f>
        <v>0.10763888888888891</v>
      </c>
      <c r="N1360">
        <f>IFERROR($J1360/IF($A1360&lt;COUNTIFS($K$1:N$1,"&lt;&gt;"),0,SUMIFS($J:$J,$B:$B,$B1360,$A:$A,"&gt;="&amp;COUNTIFS($K$1:N$1,"&lt;&gt;"))),0)</f>
        <v>0.12062256809338523</v>
      </c>
      <c r="O1360">
        <f>IFERROR($J1360/IF($A1360&lt;COUNTIFS($K$1:O$1,"&lt;&gt;"),0,SUMIFS($J:$J,$B:$B,$B1360,$A:$A,"&gt;="&amp;COUNTIFS($K$1:O$1,"&lt;&gt;"))),0)</f>
        <v>0.13716814159292037</v>
      </c>
      <c r="P1360">
        <f>IFERROR($J1360/IF($A1360&lt;COUNTIFS($K$1:P$1,"&lt;&gt;"),0,SUMIFS($J:$J,$B:$B,$B1360,$A:$A,"&gt;="&amp;COUNTIFS($K$1:P$1,"&lt;&gt;"))),0)</f>
        <v>0.1565656565656566</v>
      </c>
      <c r="Q1360">
        <f>IFERROR($J1360/IF($A1360&lt;COUNTIFS($K$1:Q$1,"&lt;&gt;"),0,SUMIFS($J:$J,$B:$B,$B1360,$A:$A,"&gt;="&amp;COUNTIFS($K$1:Q$1,"&lt;&gt;"))),0)</f>
        <v>0</v>
      </c>
      <c r="R1360">
        <f>IFERROR($J1360/IF($A1360&lt;COUNTIFS($K$1:R$1,"&lt;&gt;"),0,SUMIFS($J:$J,$B:$B,$B1360,$A:$A,"&gt;="&amp;COUNTIFS($K$1:R$1,"&lt;&gt;"))),0)</f>
        <v>0</v>
      </c>
      <c r="S1360">
        <f>IFERROR($J1360/IF($A1360&lt;COUNTIFS($K$1:S$1,"&lt;&gt;"),0,SUMIFS($J:$J,$B:$B,$B1360,$A:$A,"&gt;="&amp;COUNTIFS($K$1:S$1,"&lt;&gt;"))),0)</f>
        <v>0</v>
      </c>
      <c r="T1360">
        <f>IFERROR($J1360/IF($A1360&lt;COUNTIFS($K$1:T$1,"&lt;&gt;"),0,SUMIFS($J:$J,$B:$B,$B1360,$A:$A,"&gt;="&amp;COUNTIFS($K$1:T$1,"&lt;&gt;"))),0)</f>
        <v>0</v>
      </c>
      <c r="U1360">
        <f>IFERROR($J1360/IF($A1360&lt;COUNTIFS($K$1:U$1,"&lt;&gt;"),0,SUMIFS($J:$J,$B:$B,$B1360,$A:$A,"&gt;="&amp;COUNTIFS($K$1:U$1,"&lt;&gt;"))),0)</f>
        <v>0</v>
      </c>
      <c r="V1360">
        <f>IFERROR($J1360/IF($A1360&lt;COUNTIFS($K$1:V$1,"&lt;&gt;"),0,SUMIFS($J:$J,$B:$B,$B1360,$A:$A,"&gt;="&amp;COUNTIFS($K$1:V$1,"&lt;&gt;"))),0)</f>
        <v>0</v>
      </c>
      <c r="W1360">
        <f t="shared" si="486"/>
        <v>8.4931506849315067E-2</v>
      </c>
      <c r="X1360">
        <f t="shared" si="466"/>
        <v>8.4931506849315067E-2</v>
      </c>
      <c r="Y1360">
        <f t="shared" si="467"/>
        <v>8.4931506849315067E-2</v>
      </c>
      <c r="Z1360">
        <f t="shared" si="468"/>
        <v>8.4931506849315067E-2</v>
      </c>
      <c r="AA1360">
        <f t="shared" si="469"/>
        <v>8.4931506849315067E-2</v>
      </c>
      <c r="AB1360">
        <f t="shared" si="470"/>
        <v>8.4931506849315067E-2</v>
      </c>
      <c r="AC1360">
        <f t="shared" si="471"/>
        <v>8.4931506849315067E-2</v>
      </c>
      <c r="AD1360">
        <f t="shared" si="472"/>
        <v>0</v>
      </c>
      <c r="AE1360">
        <f t="shared" si="473"/>
        <v>0</v>
      </c>
      <c r="AF1360">
        <f t="shared" si="474"/>
        <v>0</v>
      </c>
      <c r="AG1360">
        <f t="shared" si="475"/>
        <v>0</v>
      </c>
      <c r="AH1360">
        <f t="shared" si="476"/>
        <v>0</v>
      </c>
      <c r="AI1360">
        <f t="shared" si="477"/>
        <v>0</v>
      </c>
      <c r="AJ1360" s="2" t="str">
        <f t="shared" si="487"/>
        <v>646997</v>
      </c>
    </row>
    <row r="1361" spans="1:36" x14ac:dyDescent="0.25">
      <c r="A1361">
        <v>7</v>
      </c>
      <c r="B1361" s="1">
        <v>46997</v>
      </c>
      <c r="C1361" s="1">
        <f t="shared" si="478"/>
        <v>47209</v>
      </c>
      <c r="D1361" s="1">
        <f t="shared" si="479"/>
        <v>47011</v>
      </c>
      <c r="E1361" s="1">
        <f t="shared" si="480"/>
        <v>47209</v>
      </c>
      <c r="F1361" s="1">
        <f t="shared" si="481"/>
        <v>47239</v>
      </c>
      <c r="G1361" s="1">
        <f t="shared" si="482"/>
        <v>47376</v>
      </c>
      <c r="H1361">
        <f t="shared" si="483"/>
        <v>365</v>
      </c>
      <c r="I1361">
        <f t="shared" si="484"/>
        <v>30</v>
      </c>
      <c r="J1361">
        <f t="shared" si="485"/>
        <v>8.2191780821917804E-2</v>
      </c>
      <c r="K1361">
        <f>IFERROR($J1361/IF($A1361&lt;COUNTIFS($K$1:K$1,"&lt;&gt;"),0,SUMIFS($J:$J,$B:$B,$B1361,$A:$A,"&gt;="&amp;COUNTIFS($K$1:K$1,"&lt;&gt;"))),0)</f>
        <v>8.5959885386819493E-2</v>
      </c>
      <c r="L1361">
        <f>IFERROR($J1361/IF($A1361&lt;COUNTIFS($K$1:L$1,"&lt;&gt;"),0,SUMIFS($J:$J,$B:$B,$B1361,$A:$A,"&gt;="&amp;COUNTIFS($K$1:L$1,"&lt;&gt;"))),0)</f>
        <v>9.4339622641509441E-2</v>
      </c>
      <c r="M1361">
        <f>IFERROR($J1361/IF($A1361&lt;COUNTIFS($K$1:M$1,"&lt;&gt;"),0,SUMIFS($J:$J,$B:$B,$B1361,$A:$A,"&gt;="&amp;COUNTIFS($K$1:M$1,"&lt;&gt;"))),0)</f>
        <v>0.10416666666666669</v>
      </c>
      <c r="N1361">
        <f>IFERROR($J1361/IF($A1361&lt;COUNTIFS($K$1:N$1,"&lt;&gt;"),0,SUMIFS($J:$J,$B:$B,$B1361,$A:$A,"&gt;="&amp;COUNTIFS($K$1:N$1,"&lt;&gt;"))),0)</f>
        <v>0.11673151750972764</v>
      </c>
      <c r="O1361">
        <f>IFERROR($J1361/IF($A1361&lt;COUNTIFS($K$1:O$1,"&lt;&gt;"),0,SUMIFS($J:$J,$B:$B,$B1361,$A:$A,"&gt;="&amp;COUNTIFS($K$1:O$1,"&lt;&gt;"))),0)</f>
        <v>0.13274336283185842</v>
      </c>
      <c r="P1361">
        <f>IFERROR($J1361/IF($A1361&lt;COUNTIFS($K$1:P$1,"&lt;&gt;"),0,SUMIFS($J:$J,$B:$B,$B1361,$A:$A,"&gt;="&amp;COUNTIFS($K$1:P$1,"&lt;&gt;"))),0)</f>
        <v>0.15151515151515155</v>
      </c>
      <c r="Q1361">
        <f>IFERROR($J1361/IF($A1361&lt;COUNTIFS($K$1:Q$1,"&lt;&gt;"),0,SUMIFS($J:$J,$B:$B,$B1361,$A:$A,"&gt;="&amp;COUNTIFS($K$1:Q$1,"&lt;&gt;"))),0)</f>
        <v>0.17964071856287425</v>
      </c>
      <c r="R1361">
        <f>IFERROR($J1361/IF($A1361&lt;COUNTIFS($K$1:R$1,"&lt;&gt;"),0,SUMIFS($J:$J,$B:$B,$B1361,$A:$A,"&gt;="&amp;COUNTIFS($K$1:R$1,"&lt;&gt;"))),0)</f>
        <v>0</v>
      </c>
      <c r="S1361">
        <f>IFERROR($J1361/IF($A1361&lt;COUNTIFS($K$1:S$1,"&lt;&gt;"),0,SUMIFS($J:$J,$B:$B,$B1361,$A:$A,"&gt;="&amp;COUNTIFS($K$1:S$1,"&lt;&gt;"))),0)</f>
        <v>0</v>
      </c>
      <c r="T1361">
        <f>IFERROR($J1361/IF($A1361&lt;COUNTIFS($K$1:T$1,"&lt;&gt;"),0,SUMIFS($J:$J,$B:$B,$B1361,$A:$A,"&gt;="&amp;COUNTIFS($K$1:T$1,"&lt;&gt;"))),0)</f>
        <v>0</v>
      </c>
      <c r="U1361">
        <f>IFERROR($J1361/IF($A1361&lt;COUNTIFS($K$1:U$1,"&lt;&gt;"),0,SUMIFS($J:$J,$B:$B,$B1361,$A:$A,"&gt;="&amp;COUNTIFS($K$1:U$1,"&lt;&gt;"))),0)</f>
        <v>0</v>
      </c>
      <c r="V1361">
        <f>IFERROR($J1361/IF($A1361&lt;COUNTIFS($K$1:V$1,"&lt;&gt;"),0,SUMIFS($J:$J,$B:$B,$B1361,$A:$A,"&gt;="&amp;COUNTIFS($K$1:V$1,"&lt;&gt;"))),0)</f>
        <v>0</v>
      </c>
      <c r="W1361">
        <f t="shared" si="486"/>
        <v>8.2191780821917804E-2</v>
      </c>
      <c r="X1361">
        <f t="shared" si="466"/>
        <v>8.2191780821917804E-2</v>
      </c>
      <c r="Y1361">
        <f t="shared" si="467"/>
        <v>8.2191780821917804E-2</v>
      </c>
      <c r="Z1361">
        <f t="shared" si="468"/>
        <v>8.2191780821917804E-2</v>
      </c>
      <c r="AA1361">
        <f t="shared" si="469"/>
        <v>8.2191780821917804E-2</v>
      </c>
      <c r="AB1361">
        <f t="shared" si="470"/>
        <v>8.2191780821917804E-2</v>
      </c>
      <c r="AC1361">
        <f t="shared" si="471"/>
        <v>8.2191780821917804E-2</v>
      </c>
      <c r="AD1361">
        <f t="shared" si="472"/>
        <v>8.2191780821917804E-2</v>
      </c>
      <c r="AE1361">
        <f t="shared" si="473"/>
        <v>0</v>
      </c>
      <c r="AF1361">
        <f t="shared" si="474"/>
        <v>0</v>
      </c>
      <c r="AG1361">
        <f t="shared" si="475"/>
        <v>0</v>
      </c>
      <c r="AH1361">
        <f t="shared" si="476"/>
        <v>0</v>
      </c>
      <c r="AI1361">
        <f t="shared" si="477"/>
        <v>0</v>
      </c>
      <c r="AJ1361" s="2" t="str">
        <f t="shared" si="487"/>
        <v>746997</v>
      </c>
    </row>
    <row r="1362" spans="1:36" x14ac:dyDescent="0.25">
      <c r="A1362">
        <v>8</v>
      </c>
      <c r="B1362" s="1">
        <v>46997</v>
      </c>
      <c r="C1362" s="1">
        <f t="shared" si="478"/>
        <v>47239</v>
      </c>
      <c r="D1362" s="1">
        <f t="shared" si="479"/>
        <v>47011</v>
      </c>
      <c r="E1362" s="1">
        <f t="shared" si="480"/>
        <v>47239</v>
      </c>
      <c r="F1362" s="1">
        <f t="shared" si="481"/>
        <v>47270</v>
      </c>
      <c r="G1362" s="1">
        <f t="shared" si="482"/>
        <v>47376</v>
      </c>
      <c r="H1362">
        <f t="shared" si="483"/>
        <v>365</v>
      </c>
      <c r="I1362">
        <f t="shared" si="484"/>
        <v>31</v>
      </c>
      <c r="J1362">
        <f t="shared" si="485"/>
        <v>8.4931506849315067E-2</v>
      </c>
      <c r="K1362">
        <f>IFERROR($J1362/IF($A1362&lt;COUNTIFS($K$1:K$1,"&lt;&gt;"),0,SUMIFS($J:$J,$B:$B,$B1362,$A:$A,"&gt;="&amp;COUNTIFS($K$1:K$1,"&lt;&gt;"))),0)</f>
        <v>8.8825214899713484E-2</v>
      </c>
      <c r="L1362">
        <f>IFERROR($J1362/IF($A1362&lt;COUNTIFS($K$1:L$1,"&lt;&gt;"),0,SUMIFS($J:$J,$B:$B,$B1362,$A:$A,"&gt;="&amp;COUNTIFS($K$1:L$1,"&lt;&gt;"))),0)</f>
        <v>9.7484276729559768E-2</v>
      </c>
      <c r="M1362">
        <f>IFERROR($J1362/IF($A1362&lt;COUNTIFS($K$1:M$1,"&lt;&gt;"),0,SUMIFS($J:$J,$B:$B,$B1362,$A:$A,"&gt;="&amp;COUNTIFS($K$1:M$1,"&lt;&gt;"))),0)</f>
        <v>0.10763888888888891</v>
      </c>
      <c r="N1362">
        <f>IFERROR($J1362/IF($A1362&lt;COUNTIFS($K$1:N$1,"&lt;&gt;"),0,SUMIFS($J:$J,$B:$B,$B1362,$A:$A,"&gt;="&amp;COUNTIFS($K$1:N$1,"&lt;&gt;"))),0)</f>
        <v>0.12062256809338523</v>
      </c>
      <c r="O1362">
        <f>IFERROR($J1362/IF($A1362&lt;COUNTIFS($K$1:O$1,"&lt;&gt;"),0,SUMIFS($J:$J,$B:$B,$B1362,$A:$A,"&gt;="&amp;COUNTIFS($K$1:O$1,"&lt;&gt;"))),0)</f>
        <v>0.13716814159292037</v>
      </c>
      <c r="P1362">
        <f>IFERROR($J1362/IF($A1362&lt;COUNTIFS($K$1:P$1,"&lt;&gt;"),0,SUMIFS($J:$J,$B:$B,$B1362,$A:$A,"&gt;="&amp;COUNTIFS($K$1:P$1,"&lt;&gt;"))),0)</f>
        <v>0.1565656565656566</v>
      </c>
      <c r="Q1362">
        <f>IFERROR($J1362/IF($A1362&lt;COUNTIFS($K$1:Q$1,"&lt;&gt;"),0,SUMIFS($J:$J,$B:$B,$B1362,$A:$A,"&gt;="&amp;COUNTIFS($K$1:Q$1,"&lt;&gt;"))),0)</f>
        <v>0.18562874251497008</v>
      </c>
      <c r="R1362">
        <f>IFERROR($J1362/IF($A1362&lt;COUNTIFS($K$1:R$1,"&lt;&gt;"),0,SUMIFS($J:$J,$B:$B,$B1362,$A:$A,"&gt;="&amp;COUNTIFS($K$1:R$1,"&lt;&gt;"))),0)</f>
        <v>0.22627737226277375</v>
      </c>
      <c r="S1362">
        <f>IFERROR($J1362/IF($A1362&lt;COUNTIFS($K$1:S$1,"&lt;&gt;"),0,SUMIFS($J:$J,$B:$B,$B1362,$A:$A,"&gt;="&amp;COUNTIFS($K$1:S$1,"&lt;&gt;"))),0)</f>
        <v>0</v>
      </c>
      <c r="T1362">
        <f>IFERROR($J1362/IF($A1362&lt;COUNTIFS($K$1:T$1,"&lt;&gt;"),0,SUMIFS($J:$J,$B:$B,$B1362,$A:$A,"&gt;="&amp;COUNTIFS($K$1:T$1,"&lt;&gt;"))),0)</f>
        <v>0</v>
      </c>
      <c r="U1362">
        <f>IFERROR($J1362/IF($A1362&lt;COUNTIFS($K$1:U$1,"&lt;&gt;"),0,SUMIFS($J:$J,$B:$B,$B1362,$A:$A,"&gt;="&amp;COUNTIFS($K$1:U$1,"&lt;&gt;"))),0)</f>
        <v>0</v>
      </c>
      <c r="V1362">
        <f>IFERROR($J1362/IF($A1362&lt;COUNTIFS($K$1:V$1,"&lt;&gt;"),0,SUMIFS($J:$J,$B:$B,$B1362,$A:$A,"&gt;="&amp;COUNTIFS($K$1:V$1,"&lt;&gt;"))),0)</f>
        <v>0</v>
      </c>
      <c r="W1362">
        <f t="shared" si="486"/>
        <v>8.4931506849315067E-2</v>
      </c>
      <c r="X1362">
        <f t="shared" si="466"/>
        <v>8.4931506849315067E-2</v>
      </c>
      <c r="Y1362">
        <f t="shared" si="467"/>
        <v>8.4931506849315067E-2</v>
      </c>
      <c r="Z1362">
        <f t="shared" si="468"/>
        <v>8.4931506849315067E-2</v>
      </c>
      <c r="AA1362">
        <f t="shared" si="469"/>
        <v>8.4931506849315067E-2</v>
      </c>
      <c r="AB1362">
        <f t="shared" si="470"/>
        <v>8.4931506849315067E-2</v>
      </c>
      <c r="AC1362">
        <f t="shared" si="471"/>
        <v>8.4931506849315067E-2</v>
      </c>
      <c r="AD1362">
        <f t="shared" si="472"/>
        <v>8.4931506849315067E-2</v>
      </c>
      <c r="AE1362">
        <f t="shared" si="473"/>
        <v>8.4931506849315067E-2</v>
      </c>
      <c r="AF1362">
        <f t="shared" si="474"/>
        <v>0</v>
      </c>
      <c r="AG1362">
        <f t="shared" si="475"/>
        <v>0</v>
      </c>
      <c r="AH1362">
        <f t="shared" si="476"/>
        <v>0</v>
      </c>
      <c r="AI1362">
        <f t="shared" si="477"/>
        <v>0</v>
      </c>
      <c r="AJ1362" s="2" t="str">
        <f t="shared" si="487"/>
        <v>846997</v>
      </c>
    </row>
    <row r="1363" spans="1:36" x14ac:dyDescent="0.25">
      <c r="A1363">
        <v>9</v>
      </c>
      <c r="B1363" s="1">
        <v>46997</v>
      </c>
      <c r="C1363" s="1">
        <f t="shared" si="478"/>
        <v>47270</v>
      </c>
      <c r="D1363" s="1">
        <f t="shared" si="479"/>
        <v>47011</v>
      </c>
      <c r="E1363" s="1">
        <f t="shared" si="480"/>
        <v>47270</v>
      </c>
      <c r="F1363" s="1">
        <f t="shared" si="481"/>
        <v>47300</v>
      </c>
      <c r="G1363" s="1">
        <f t="shared" si="482"/>
        <v>47376</v>
      </c>
      <c r="H1363">
        <f t="shared" si="483"/>
        <v>365</v>
      </c>
      <c r="I1363">
        <f t="shared" si="484"/>
        <v>30</v>
      </c>
      <c r="J1363">
        <f t="shared" si="485"/>
        <v>8.2191780821917804E-2</v>
      </c>
      <c r="K1363">
        <f>IFERROR($J1363/IF($A1363&lt;COUNTIFS($K$1:K$1,"&lt;&gt;"),0,SUMIFS($J:$J,$B:$B,$B1363,$A:$A,"&gt;="&amp;COUNTIFS($K$1:K$1,"&lt;&gt;"))),0)</f>
        <v>8.5959885386819493E-2</v>
      </c>
      <c r="L1363">
        <f>IFERROR($J1363/IF($A1363&lt;COUNTIFS($K$1:L$1,"&lt;&gt;"),0,SUMIFS($J:$J,$B:$B,$B1363,$A:$A,"&gt;="&amp;COUNTIFS($K$1:L$1,"&lt;&gt;"))),0)</f>
        <v>9.4339622641509441E-2</v>
      </c>
      <c r="M1363">
        <f>IFERROR($J1363/IF($A1363&lt;COUNTIFS($K$1:M$1,"&lt;&gt;"),0,SUMIFS($J:$J,$B:$B,$B1363,$A:$A,"&gt;="&amp;COUNTIFS($K$1:M$1,"&lt;&gt;"))),0)</f>
        <v>0.10416666666666669</v>
      </c>
      <c r="N1363">
        <f>IFERROR($J1363/IF($A1363&lt;COUNTIFS($K$1:N$1,"&lt;&gt;"),0,SUMIFS($J:$J,$B:$B,$B1363,$A:$A,"&gt;="&amp;COUNTIFS($K$1:N$1,"&lt;&gt;"))),0)</f>
        <v>0.11673151750972764</v>
      </c>
      <c r="O1363">
        <f>IFERROR($J1363/IF($A1363&lt;COUNTIFS($K$1:O$1,"&lt;&gt;"),0,SUMIFS($J:$J,$B:$B,$B1363,$A:$A,"&gt;="&amp;COUNTIFS($K$1:O$1,"&lt;&gt;"))),0)</f>
        <v>0.13274336283185842</v>
      </c>
      <c r="P1363">
        <f>IFERROR($J1363/IF($A1363&lt;COUNTIFS($K$1:P$1,"&lt;&gt;"),0,SUMIFS($J:$J,$B:$B,$B1363,$A:$A,"&gt;="&amp;COUNTIFS($K$1:P$1,"&lt;&gt;"))),0)</f>
        <v>0.15151515151515155</v>
      </c>
      <c r="Q1363">
        <f>IFERROR($J1363/IF($A1363&lt;COUNTIFS($K$1:Q$1,"&lt;&gt;"),0,SUMIFS($J:$J,$B:$B,$B1363,$A:$A,"&gt;="&amp;COUNTIFS($K$1:Q$1,"&lt;&gt;"))),0)</f>
        <v>0.17964071856287425</v>
      </c>
      <c r="R1363">
        <f>IFERROR($J1363/IF($A1363&lt;COUNTIFS($K$1:R$1,"&lt;&gt;"),0,SUMIFS($J:$J,$B:$B,$B1363,$A:$A,"&gt;="&amp;COUNTIFS($K$1:R$1,"&lt;&gt;"))),0)</f>
        <v>0.21897810218978103</v>
      </c>
      <c r="S1363">
        <f>IFERROR($J1363/IF($A1363&lt;COUNTIFS($K$1:S$1,"&lt;&gt;"),0,SUMIFS($J:$J,$B:$B,$B1363,$A:$A,"&gt;="&amp;COUNTIFS($K$1:S$1,"&lt;&gt;"))),0)</f>
        <v>0.28301886792452829</v>
      </c>
      <c r="T1363">
        <f>IFERROR($J1363/IF($A1363&lt;COUNTIFS($K$1:T$1,"&lt;&gt;"),0,SUMIFS($J:$J,$B:$B,$B1363,$A:$A,"&gt;="&amp;COUNTIFS($K$1:T$1,"&lt;&gt;"))),0)</f>
        <v>0</v>
      </c>
      <c r="U1363">
        <f>IFERROR($J1363/IF($A1363&lt;COUNTIFS($K$1:U$1,"&lt;&gt;"),0,SUMIFS($J:$J,$B:$B,$B1363,$A:$A,"&gt;="&amp;COUNTIFS($K$1:U$1,"&lt;&gt;"))),0)</f>
        <v>0</v>
      </c>
      <c r="V1363">
        <f>IFERROR($J1363/IF($A1363&lt;COUNTIFS($K$1:V$1,"&lt;&gt;"),0,SUMIFS($J:$J,$B:$B,$B1363,$A:$A,"&gt;="&amp;COUNTIFS($K$1:V$1,"&lt;&gt;"))),0)</f>
        <v>0</v>
      </c>
      <c r="W1363">
        <f t="shared" si="486"/>
        <v>8.2191780821917804E-2</v>
      </c>
      <c r="X1363">
        <f t="shared" si="466"/>
        <v>8.2191780821917804E-2</v>
      </c>
      <c r="Y1363">
        <f t="shared" si="467"/>
        <v>8.2191780821917804E-2</v>
      </c>
      <c r="Z1363">
        <f t="shared" si="468"/>
        <v>8.2191780821917804E-2</v>
      </c>
      <c r="AA1363">
        <f t="shared" si="469"/>
        <v>8.2191780821917804E-2</v>
      </c>
      <c r="AB1363">
        <f t="shared" si="470"/>
        <v>8.2191780821917804E-2</v>
      </c>
      <c r="AC1363">
        <f t="shared" si="471"/>
        <v>8.2191780821917804E-2</v>
      </c>
      <c r="AD1363">
        <f t="shared" si="472"/>
        <v>8.2191780821917804E-2</v>
      </c>
      <c r="AE1363">
        <f t="shared" si="473"/>
        <v>8.2191780821917804E-2</v>
      </c>
      <c r="AF1363">
        <f t="shared" si="474"/>
        <v>8.2191780821917804E-2</v>
      </c>
      <c r="AG1363">
        <f t="shared" si="475"/>
        <v>0</v>
      </c>
      <c r="AH1363">
        <f t="shared" si="476"/>
        <v>0</v>
      </c>
      <c r="AI1363">
        <f t="shared" si="477"/>
        <v>0</v>
      </c>
      <c r="AJ1363" s="2" t="str">
        <f t="shared" si="487"/>
        <v>946997</v>
      </c>
    </row>
    <row r="1364" spans="1:36" x14ac:dyDescent="0.25">
      <c r="A1364">
        <v>10</v>
      </c>
      <c r="B1364" s="1">
        <v>46997</v>
      </c>
      <c r="C1364" s="1">
        <f t="shared" si="478"/>
        <v>47300</v>
      </c>
      <c r="D1364" s="1">
        <f t="shared" si="479"/>
        <v>47011</v>
      </c>
      <c r="E1364" s="1">
        <f t="shared" si="480"/>
        <v>47300</v>
      </c>
      <c r="F1364" s="1">
        <f t="shared" si="481"/>
        <v>47331</v>
      </c>
      <c r="G1364" s="1">
        <f t="shared" si="482"/>
        <v>47376</v>
      </c>
      <c r="H1364">
        <f t="shared" si="483"/>
        <v>365</v>
      </c>
      <c r="I1364">
        <f t="shared" si="484"/>
        <v>31</v>
      </c>
      <c r="J1364">
        <f t="shared" si="485"/>
        <v>8.4931506849315067E-2</v>
      </c>
      <c r="K1364">
        <f>IFERROR($J1364/IF($A1364&lt;COUNTIFS($K$1:K$1,"&lt;&gt;"),0,SUMIFS($J:$J,$B:$B,$B1364,$A:$A,"&gt;="&amp;COUNTIFS($K$1:K$1,"&lt;&gt;"))),0)</f>
        <v>8.8825214899713484E-2</v>
      </c>
      <c r="L1364">
        <f>IFERROR($J1364/IF($A1364&lt;COUNTIFS($K$1:L$1,"&lt;&gt;"),0,SUMIFS($J:$J,$B:$B,$B1364,$A:$A,"&gt;="&amp;COUNTIFS($K$1:L$1,"&lt;&gt;"))),0)</f>
        <v>9.7484276729559768E-2</v>
      </c>
      <c r="M1364">
        <f>IFERROR($J1364/IF($A1364&lt;COUNTIFS($K$1:M$1,"&lt;&gt;"),0,SUMIFS($J:$J,$B:$B,$B1364,$A:$A,"&gt;="&amp;COUNTIFS($K$1:M$1,"&lt;&gt;"))),0)</f>
        <v>0.10763888888888891</v>
      </c>
      <c r="N1364">
        <f>IFERROR($J1364/IF($A1364&lt;COUNTIFS($K$1:N$1,"&lt;&gt;"),0,SUMIFS($J:$J,$B:$B,$B1364,$A:$A,"&gt;="&amp;COUNTIFS($K$1:N$1,"&lt;&gt;"))),0)</f>
        <v>0.12062256809338523</v>
      </c>
      <c r="O1364">
        <f>IFERROR($J1364/IF($A1364&lt;COUNTIFS($K$1:O$1,"&lt;&gt;"),0,SUMIFS($J:$J,$B:$B,$B1364,$A:$A,"&gt;="&amp;COUNTIFS($K$1:O$1,"&lt;&gt;"))),0)</f>
        <v>0.13716814159292037</v>
      </c>
      <c r="P1364">
        <f>IFERROR($J1364/IF($A1364&lt;COUNTIFS($K$1:P$1,"&lt;&gt;"),0,SUMIFS($J:$J,$B:$B,$B1364,$A:$A,"&gt;="&amp;COUNTIFS($K$1:P$1,"&lt;&gt;"))),0)</f>
        <v>0.1565656565656566</v>
      </c>
      <c r="Q1364">
        <f>IFERROR($J1364/IF($A1364&lt;COUNTIFS($K$1:Q$1,"&lt;&gt;"),0,SUMIFS($J:$J,$B:$B,$B1364,$A:$A,"&gt;="&amp;COUNTIFS($K$1:Q$1,"&lt;&gt;"))),0)</f>
        <v>0.18562874251497008</v>
      </c>
      <c r="R1364">
        <f>IFERROR($J1364/IF($A1364&lt;COUNTIFS($K$1:R$1,"&lt;&gt;"),0,SUMIFS($J:$J,$B:$B,$B1364,$A:$A,"&gt;="&amp;COUNTIFS($K$1:R$1,"&lt;&gt;"))),0)</f>
        <v>0.22627737226277375</v>
      </c>
      <c r="S1364">
        <f>IFERROR($J1364/IF($A1364&lt;COUNTIFS($K$1:S$1,"&lt;&gt;"),0,SUMIFS($J:$J,$B:$B,$B1364,$A:$A,"&gt;="&amp;COUNTIFS($K$1:S$1,"&lt;&gt;"))),0)</f>
        <v>0.29245283018867929</v>
      </c>
      <c r="T1364">
        <f>IFERROR($J1364/IF($A1364&lt;COUNTIFS($K$1:T$1,"&lt;&gt;"),0,SUMIFS($J:$J,$B:$B,$B1364,$A:$A,"&gt;="&amp;COUNTIFS($K$1:T$1,"&lt;&gt;"))),0)</f>
        <v>0.40789473684210525</v>
      </c>
      <c r="U1364">
        <f>IFERROR($J1364/IF($A1364&lt;COUNTIFS($K$1:U$1,"&lt;&gt;"),0,SUMIFS($J:$J,$B:$B,$B1364,$A:$A,"&gt;="&amp;COUNTIFS($K$1:U$1,"&lt;&gt;"))),0)</f>
        <v>0</v>
      </c>
      <c r="V1364">
        <f>IFERROR($J1364/IF($A1364&lt;COUNTIFS($K$1:V$1,"&lt;&gt;"),0,SUMIFS($J:$J,$B:$B,$B1364,$A:$A,"&gt;="&amp;COUNTIFS($K$1:V$1,"&lt;&gt;"))),0)</f>
        <v>0</v>
      </c>
      <c r="W1364">
        <f t="shared" si="486"/>
        <v>8.4931506849315067E-2</v>
      </c>
      <c r="X1364">
        <f t="shared" si="466"/>
        <v>8.4931506849315067E-2</v>
      </c>
      <c r="Y1364">
        <f t="shared" si="467"/>
        <v>8.4931506849315067E-2</v>
      </c>
      <c r="Z1364">
        <f t="shared" si="468"/>
        <v>8.4931506849315067E-2</v>
      </c>
      <c r="AA1364">
        <f t="shared" si="469"/>
        <v>8.4931506849315067E-2</v>
      </c>
      <c r="AB1364">
        <f t="shared" si="470"/>
        <v>8.4931506849315067E-2</v>
      </c>
      <c r="AC1364">
        <f t="shared" si="471"/>
        <v>8.4931506849315067E-2</v>
      </c>
      <c r="AD1364">
        <f t="shared" si="472"/>
        <v>8.4931506849315067E-2</v>
      </c>
      <c r="AE1364">
        <f t="shared" si="473"/>
        <v>8.4931506849315067E-2</v>
      </c>
      <c r="AF1364">
        <f t="shared" si="474"/>
        <v>8.4931506849315067E-2</v>
      </c>
      <c r="AG1364">
        <f t="shared" si="475"/>
        <v>8.4931506849315067E-2</v>
      </c>
      <c r="AH1364">
        <f t="shared" si="476"/>
        <v>0</v>
      </c>
      <c r="AI1364">
        <f t="shared" si="477"/>
        <v>0</v>
      </c>
      <c r="AJ1364" s="2" t="str">
        <f t="shared" si="487"/>
        <v>1046997</v>
      </c>
    </row>
    <row r="1365" spans="1:36" x14ac:dyDescent="0.25">
      <c r="A1365">
        <v>11</v>
      </c>
      <c r="B1365" s="1">
        <v>46997</v>
      </c>
      <c r="C1365" s="1">
        <f t="shared" si="478"/>
        <v>47331</v>
      </c>
      <c r="D1365" s="1">
        <f t="shared" si="479"/>
        <v>47011</v>
      </c>
      <c r="E1365" s="1">
        <f t="shared" si="480"/>
        <v>47331</v>
      </c>
      <c r="F1365" s="1">
        <f t="shared" si="481"/>
        <v>47362</v>
      </c>
      <c r="G1365" s="1">
        <f t="shared" si="482"/>
        <v>47376</v>
      </c>
      <c r="H1365">
        <f t="shared" si="483"/>
        <v>365</v>
      </c>
      <c r="I1365">
        <f t="shared" si="484"/>
        <v>31</v>
      </c>
      <c r="J1365">
        <f t="shared" si="485"/>
        <v>8.4931506849315067E-2</v>
      </c>
      <c r="K1365">
        <f>IFERROR($J1365/IF($A1365&lt;COUNTIFS($K$1:K$1,"&lt;&gt;"),0,SUMIFS($J:$J,$B:$B,$B1365,$A:$A,"&gt;="&amp;COUNTIFS($K$1:K$1,"&lt;&gt;"))),0)</f>
        <v>8.8825214899713484E-2</v>
      </c>
      <c r="L1365">
        <f>IFERROR($J1365/IF($A1365&lt;COUNTIFS($K$1:L$1,"&lt;&gt;"),0,SUMIFS($J:$J,$B:$B,$B1365,$A:$A,"&gt;="&amp;COUNTIFS($K$1:L$1,"&lt;&gt;"))),0)</f>
        <v>9.7484276729559768E-2</v>
      </c>
      <c r="M1365">
        <f>IFERROR($J1365/IF($A1365&lt;COUNTIFS($K$1:M$1,"&lt;&gt;"),0,SUMIFS($J:$J,$B:$B,$B1365,$A:$A,"&gt;="&amp;COUNTIFS($K$1:M$1,"&lt;&gt;"))),0)</f>
        <v>0.10763888888888891</v>
      </c>
      <c r="N1365">
        <f>IFERROR($J1365/IF($A1365&lt;COUNTIFS($K$1:N$1,"&lt;&gt;"),0,SUMIFS($J:$J,$B:$B,$B1365,$A:$A,"&gt;="&amp;COUNTIFS($K$1:N$1,"&lt;&gt;"))),0)</f>
        <v>0.12062256809338523</v>
      </c>
      <c r="O1365">
        <f>IFERROR($J1365/IF($A1365&lt;COUNTIFS($K$1:O$1,"&lt;&gt;"),0,SUMIFS($J:$J,$B:$B,$B1365,$A:$A,"&gt;="&amp;COUNTIFS($K$1:O$1,"&lt;&gt;"))),0)</f>
        <v>0.13716814159292037</v>
      </c>
      <c r="P1365">
        <f>IFERROR($J1365/IF($A1365&lt;COUNTIFS($K$1:P$1,"&lt;&gt;"),0,SUMIFS($J:$J,$B:$B,$B1365,$A:$A,"&gt;="&amp;COUNTIFS($K$1:P$1,"&lt;&gt;"))),0)</f>
        <v>0.1565656565656566</v>
      </c>
      <c r="Q1365">
        <f>IFERROR($J1365/IF($A1365&lt;COUNTIFS($K$1:Q$1,"&lt;&gt;"),0,SUMIFS($J:$J,$B:$B,$B1365,$A:$A,"&gt;="&amp;COUNTIFS($K$1:Q$1,"&lt;&gt;"))),0)</f>
        <v>0.18562874251497008</v>
      </c>
      <c r="R1365">
        <f>IFERROR($J1365/IF($A1365&lt;COUNTIFS($K$1:R$1,"&lt;&gt;"),0,SUMIFS($J:$J,$B:$B,$B1365,$A:$A,"&gt;="&amp;COUNTIFS($K$1:R$1,"&lt;&gt;"))),0)</f>
        <v>0.22627737226277375</v>
      </c>
      <c r="S1365">
        <f>IFERROR($J1365/IF($A1365&lt;COUNTIFS($K$1:S$1,"&lt;&gt;"),0,SUMIFS($J:$J,$B:$B,$B1365,$A:$A,"&gt;="&amp;COUNTIFS($K$1:S$1,"&lt;&gt;"))),0)</f>
        <v>0.29245283018867929</v>
      </c>
      <c r="T1365">
        <f>IFERROR($J1365/IF($A1365&lt;COUNTIFS($K$1:T$1,"&lt;&gt;"),0,SUMIFS($J:$J,$B:$B,$B1365,$A:$A,"&gt;="&amp;COUNTIFS($K$1:T$1,"&lt;&gt;"))),0)</f>
        <v>0.40789473684210525</v>
      </c>
      <c r="U1365">
        <f>IFERROR($J1365/IF($A1365&lt;COUNTIFS($K$1:U$1,"&lt;&gt;"),0,SUMIFS($J:$J,$B:$B,$B1365,$A:$A,"&gt;="&amp;COUNTIFS($K$1:U$1,"&lt;&gt;"))),0)</f>
        <v>0.68888888888888888</v>
      </c>
      <c r="V1365">
        <f>IFERROR($J1365/IF($A1365&lt;COUNTIFS($K$1:V$1,"&lt;&gt;"),0,SUMIFS($J:$J,$B:$B,$B1365,$A:$A,"&gt;="&amp;COUNTIFS($K$1:V$1,"&lt;&gt;"))),0)</f>
        <v>0</v>
      </c>
      <c r="W1365">
        <f t="shared" si="486"/>
        <v>8.4931506849315067E-2</v>
      </c>
      <c r="X1365">
        <f t="shared" si="466"/>
        <v>8.4931506849315067E-2</v>
      </c>
      <c r="Y1365">
        <f t="shared" si="467"/>
        <v>8.4931506849315067E-2</v>
      </c>
      <c r="Z1365">
        <f t="shared" si="468"/>
        <v>8.4931506849315067E-2</v>
      </c>
      <c r="AA1365">
        <f t="shared" si="469"/>
        <v>8.4931506849315067E-2</v>
      </c>
      <c r="AB1365">
        <f t="shared" si="470"/>
        <v>8.4931506849315067E-2</v>
      </c>
      <c r="AC1365">
        <f t="shared" si="471"/>
        <v>8.4931506849315067E-2</v>
      </c>
      <c r="AD1365">
        <f t="shared" si="472"/>
        <v>8.4931506849315067E-2</v>
      </c>
      <c r="AE1365">
        <f t="shared" si="473"/>
        <v>8.4931506849315067E-2</v>
      </c>
      <c r="AF1365">
        <f t="shared" si="474"/>
        <v>8.4931506849315067E-2</v>
      </c>
      <c r="AG1365">
        <f t="shared" si="475"/>
        <v>8.4931506849315067E-2</v>
      </c>
      <c r="AH1365">
        <f t="shared" si="476"/>
        <v>8.4931506849315067E-2</v>
      </c>
      <c r="AI1365">
        <f t="shared" si="477"/>
        <v>0</v>
      </c>
      <c r="AJ1365" s="2" t="str">
        <f t="shared" si="487"/>
        <v>1146997</v>
      </c>
    </row>
    <row r="1366" spans="1:36" x14ac:dyDescent="0.25">
      <c r="A1366">
        <v>12</v>
      </c>
      <c r="B1366" s="1">
        <v>46997</v>
      </c>
      <c r="C1366" s="1">
        <f t="shared" si="478"/>
        <v>47362</v>
      </c>
      <c r="D1366" s="1">
        <f t="shared" si="479"/>
        <v>47011</v>
      </c>
      <c r="E1366" s="1">
        <f t="shared" si="480"/>
        <v>47362</v>
      </c>
      <c r="F1366" s="1">
        <f t="shared" si="481"/>
        <v>47376</v>
      </c>
      <c r="G1366" s="1">
        <f t="shared" si="482"/>
        <v>47376</v>
      </c>
      <c r="H1366">
        <f t="shared" si="483"/>
        <v>365</v>
      </c>
      <c r="I1366">
        <f t="shared" si="484"/>
        <v>14</v>
      </c>
      <c r="J1366">
        <f t="shared" si="485"/>
        <v>3.8356164383561646E-2</v>
      </c>
      <c r="K1366">
        <f>IFERROR($J1366/IF($A1366&lt;COUNTIFS($K$1:K$1,"&lt;&gt;"),0,SUMIFS($J:$J,$B:$B,$B1366,$A:$A,"&gt;="&amp;COUNTIFS($K$1:K$1,"&lt;&gt;"))),0)</f>
        <v>4.0114613180515769E-2</v>
      </c>
      <c r="L1366">
        <f>IFERROR($J1366/IF($A1366&lt;COUNTIFS($K$1:L$1,"&lt;&gt;"),0,SUMIFS($J:$J,$B:$B,$B1366,$A:$A,"&gt;="&amp;COUNTIFS($K$1:L$1,"&lt;&gt;"))),0)</f>
        <v>4.4025157232704414E-2</v>
      </c>
      <c r="M1366">
        <f>IFERROR($J1366/IF($A1366&lt;COUNTIFS($K$1:M$1,"&lt;&gt;"),0,SUMIFS($J:$J,$B:$B,$B1366,$A:$A,"&gt;="&amp;COUNTIFS($K$1:M$1,"&lt;&gt;"))),0)</f>
        <v>4.8611111111111119E-2</v>
      </c>
      <c r="N1366">
        <f>IFERROR($J1366/IF($A1366&lt;COUNTIFS($K$1:N$1,"&lt;&gt;"),0,SUMIFS($J:$J,$B:$B,$B1366,$A:$A,"&gt;="&amp;COUNTIFS($K$1:N$1,"&lt;&gt;"))),0)</f>
        <v>5.447470817120624E-2</v>
      </c>
      <c r="O1366">
        <f>IFERROR($J1366/IF($A1366&lt;COUNTIFS($K$1:O$1,"&lt;&gt;"),0,SUMIFS($J:$J,$B:$B,$B1366,$A:$A,"&gt;="&amp;COUNTIFS($K$1:O$1,"&lt;&gt;"))),0)</f>
        <v>6.194690265486727E-2</v>
      </c>
      <c r="P1366">
        <f>IFERROR($J1366/IF($A1366&lt;COUNTIFS($K$1:P$1,"&lt;&gt;"),0,SUMIFS($J:$J,$B:$B,$B1366,$A:$A,"&gt;="&amp;COUNTIFS($K$1:P$1,"&lt;&gt;"))),0)</f>
        <v>7.0707070707070732E-2</v>
      </c>
      <c r="Q1366">
        <f>IFERROR($J1366/IF($A1366&lt;COUNTIFS($K$1:Q$1,"&lt;&gt;"),0,SUMIFS($J:$J,$B:$B,$B1366,$A:$A,"&gt;="&amp;COUNTIFS($K$1:Q$1,"&lt;&gt;"))),0)</f>
        <v>8.3832335329341326E-2</v>
      </c>
      <c r="R1366">
        <f>IFERROR($J1366/IF($A1366&lt;COUNTIFS($K$1:R$1,"&lt;&gt;"),0,SUMIFS($J:$J,$B:$B,$B1366,$A:$A,"&gt;="&amp;COUNTIFS($K$1:R$1,"&lt;&gt;"))),0)</f>
        <v>0.10218978102189782</v>
      </c>
      <c r="S1366">
        <f>IFERROR($J1366/IF($A1366&lt;COUNTIFS($K$1:S$1,"&lt;&gt;"),0,SUMIFS($J:$J,$B:$B,$B1366,$A:$A,"&gt;="&amp;COUNTIFS($K$1:S$1,"&lt;&gt;"))),0)</f>
        <v>0.13207547169811323</v>
      </c>
      <c r="T1366">
        <f>IFERROR($J1366/IF($A1366&lt;COUNTIFS($K$1:T$1,"&lt;&gt;"),0,SUMIFS($J:$J,$B:$B,$B1366,$A:$A,"&gt;="&amp;COUNTIFS($K$1:T$1,"&lt;&gt;"))),0)</f>
        <v>0.18421052631578949</v>
      </c>
      <c r="U1366">
        <f>IFERROR($J1366/IF($A1366&lt;COUNTIFS($K$1:U$1,"&lt;&gt;"),0,SUMIFS($J:$J,$B:$B,$B1366,$A:$A,"&gt;="&amp;COUNTIFS($K$1:U$1,"&lt;&gt;"))),0)</f>
        <v>0.31111111111111117</v>
      </c>
      <c r="V1366">
        <f>IFERROR($J1366/IF($A1366&lt;COUNTIFS($K$1:V$1,"&lt;&gt;"),0,SUMIFS($J:$J,$B:$B,$B1366,$A:$A,"&gt;="&amp;COUNTIFS($K$1:V$1,"&lt;&gt;"))),0)</f>
        <v>1</v>
      </c>
      <c r="W1366">
        <f t="shared" si="486"/>
        <v>3.8356164383561646E-2</v>
      </c>
      <c r="X1366">
        <f t="shared" si="466"/>
        <v>3.8356164383561646E-2</v>
      </c>
      <c r="Y1366">
        <f t="shared" si="467"/>
        <v>3.8356164383561646E-2</v>
      </c>
      <c r="Z1366">
        <f t="shared" si="468"/>
        <v>3.8356164383561646E-2</v>
      </c>
      <c r="AA1366">
        <f t="shared" si="469"/>
        <v>3.8356164383561646E-2</v>
      </c>
      <c r="AB1366">
        <f t="shared" si="470"/>
        <v>3.8356164383561646E-2</v>
      </c>
      <c r="AC1366">
        <f t="shared" si="471"/>
        <v>3.8356164383561646E-2</v>
      </c>
      <c r="AD1366">
        <f t="shared" si="472"/>
        <v>3.8356164383561646E-2</v>
      </c>
      <c r="AE1366">
        <f t="shared" si="473"/>
        <v>3.8356164383561646E-2</v>
      </c>
      <c r="AF1366">
        <f t="shared" si="474"/>
        <v>3.8356164383561646E-2</v>
      </c>
      <c r="AG1366">
        <f t="shared" si="475"/>
        <v>3.8356164383561646E-2</v>
      </c>
      <c r="AH1366">
        <f t="shared" si="476"/>
        <v>3.8356164383561646E-2</v>
      </c>
      <c r="AI1366">
        <f t="shared" si="477"/>
        <v>3.8356164383561646E-2</v>
      </c>
      <c r="AJ1366" s="2" t="str">
        <f t="shared" si="487"/>
        <v>1246997</v>
      </c>
    </row>
    <row r="1367" spans="1:36" x14ac:dyDescent="0.25">
      <c r="A1367">
        <v>0</v>
      </c>
      <c r="B1367" s="1">
        <v>47027</v>
      </c>
      <c r="C1367" s="1">
        <f t="shared" si="478"/>
        <v>47027</v>
      </c>
      <c r="D1367" s="1">
        <f t="shared" si="479"/>
        <v>47041</v>
      </c>
      <c r="E1367" s="1">
        <f t="shared" si="480"/>
        <v>47041</v>
      </c>
      <c r="F1367" s="1">
        <f t="shared" si="481"/>
        <v>47058</v>
      </c>
      <c r="G1367" s="1">
        <f t="shared" si="482"/>
        <v>47406</v>
      </c>
      <c r="H1367">
        <f t="shared" si="483"/>
        <v>365</v>
      </c>
      <c r="I1367">
        <f t="shared" si="484"/>
        <v>17</v>
      </c>
      <c r="J1367">
        <f t="shared" si="485"/>
        <v>4.6575342465753428E-2</v>
      </c>
      <c r="K1367">
        <f>IFERROR($J1367/IF($A1367&lt;COUNTIFS($K$1:K$1,"&lt;&gt;"),0,SUMIFS($J:$J,$B:$B,$B1367,$A:$A,"&gt;="&amp;COUNTIFS($K$1:K$1,"&lt;&gt;"))),0)</f>
        <v>0</v>
      </c>
      <c r="L1367">
        <f>IFERROR($J1367/IF($A1367&lt;COUNTIFS($K$1:L$1,"&lt;&gt;"),0,SUMIFS($J:$J,$B:$B,$B1367,$A:$A,"&gt;="&amp;COUNTIFS($K$1:L$1,"&lt;&gt;"))),0)</f>
        <v>0</v>
      </c>
      <c r="M1367">
        <f>IFERROR($J1367/IF($A1367&lt;COUNTIFS($K$1:M$1,"&lt;&gt;"),0,SUMIFS($J:$J,$B:$B,$B1367,$A:$A,"&gt;="&amp;COUNTIFS($K$1:M$1,"&lt;&gt;"))),0)</f>
        <v>0</v>
      </c>
      <c r="N1367">
        <f>IFERROR($J1367/IF($A1367&lt;COUNTIFS($K$1:N$1,"&lt;&gt;"),0,SUMIFS($J:$J,$B:$B,$B1367,$A:$A,"&gt;="&amp;COUNTIFS($K$1:N$1,"&lt;&gt;"))),0)</f>
        <v>0</v>
      </c>
      <c r="O1367">
        <f>IFERROR($J1367/IF($A1367&lt;COUNTIFS($K$1:O$1,"&lt;&gt;"),0,SUMIFS($J:$J,$B:$B,$B1367,$A:$A,"&gt;="&amp;COUNTIFS($K$1:O$1,"&lt;&gt;"))),0)</f>
        <v>0</v>
      </c>
      <c r="P1367">
        <f>IFERROR($J1367/IF($A1367&lt;COUNTIFS($K$1:P$1,"&lt;&gt;"),0,SUMIFS($J:$J,$B:$B,$B1367,$A:$A,"&gt;="&amp;COUNTIFS($K$1:P$1,"&lt;&gt;"))),0)</f>
        <v>0</v>
      </c>
      <c r="Q1367">
        <f>IFERROR($J1367/IF($A1367&lt;COUNTIFS($K$1:Q$1,"&lt;&gt;"),0,SUMIFS($J:$J,$B:$B,$B1367,$A:$A,"&gt;="&amp;COUNTIFS($K$1:Q$1,"&lt;&gt;"))),0)</f>
        <v>0</v>
      </c>
      <c r="R1367">
        <f>IFERROR($J1367/IF($A1367&lt;COUNTIFS($K$1:R$1,"&lt;&gt;"),0,SUMIFS($J:$J,$B:$B,$B1367,$A:$A,"&gt;="&amp;COUNTIFS($K$1:R$1,"&lt;&gt;"))),0)</f>
        <v>0</v>
      </c>
      <c r="S1367">
        <f>IFERROR($J1367/IF($A1367&lt;COUNTIFS($K$1:S$1,"&lt;&gt;"),0,SUMIFS($J:$J,$B:$B,$B1367,$A:$A,"&gt;="&amp;COUNTIFS($K$1:S$1,"&lt;&gt;"))),0)</f>
        <v>0</v>
      </c>
      <c r="T1367">
        <f>IFERROR($J1367/IF($A1367&lt;COUNTIFS($K$1:T$1,"&lt;&gt;"),0,SUMIFS($J:$J,$B:$B,$B1367,$A:$A,"&gt;="&amp;COUNTIFS($K$1:T$1,"&lt;&gt;"))),0)</f>
        <v>0</v>
      </c>
      <c r="U1367">
        <f>IFERROR($J1367/IF($A1367&lt;COUNTIFS($K$1:U$1,"&lt;&gt;"),0,SUMIFS($J:$J,$B:$B,$B1367,$A:$A,"&gt;="&amp;COUNTIFS($K$1:U$1,"&lt;&gt;"))),0)</f>
        <v>0</v>
      </c>
      <c r="V1367">
        <f>IFERROR($J1367/IF($A1367&lt;COUNTIFS($K$1:V$1,"&lt;&gt;"),0,SUMIFS($J:$J,$B:$B,$B1367,$A:$A,"&gt;="&amp;COUNTIFS($K$1:V$1,"&lt;&gt;"))),0)</f>
        <v>0</v>
      </c>
      <c r="W1367">
        <f t="shared" si="486"/>
        <v>4.6575342465753428E-2</v>
      </c>
      <c r="X1367">
        <f t="shared" si="466"/>
        <v>0</v>
      </c>
      <c r="Y1367">
        <f t="shared" si="467"/>
        <v>0</v>
      </c>
      <c r="Z1367">
        <f t="shared" si="468"/>
        <v>0</v>
      </c>
      <c r="AA1367">
        <f t="shared" si="469"/>
        <v>0</v>
      </c>
      <c r="AB1367">
        <f t="shared" si="470"/>
        <v>0</v>
      </c>
      <c r="AC1367">
        <f t="shared" si="471"/>
        <v>0</v>
      </c>
      <c r="AD1367">
        <f t="shared" si="472"/>
        <v>0</v>
      </c>
      <c r="AE1367">
        <f t="shared" si="473"/>
        <v>0</v>
      </c>
      <c r="AF1367">
        <f t="shared" si="474"/>
        <v>0</v>
      </c>
      <c r="AG1367">
        <f t="shared" si="475"/>
        <v>0</v>
      </c>
      <c r="AH1367">
        <f t="shared" si="476"/>
        <v>0</v>
      </c>
      <c r="AI1367">
        <f t="shared" si="477"/>
        <v>0</v>
      </c>
      <c r="AJ1367" s="2" t="str">
        <f t="shared" si="487"/>
        <v>047027</v>
      </c>
    </row>
    <row r="1368" spans="1:36" x14ac:dyDescent="0.25">
      <c r="A1368">
        <v>1</v>
      </c>
      <c r="B1368" s="1">
        <v>47027</v>
      </c>
      <c r="C1368" s="1">
        <f t="shared" si="478"/>
        <v>47058</v>
      </c>
      <c r="D1368" s="1">
        <f t="shared" si="479"/>
        <v>47041</v>
      </c>
      <c r="E1368" s="1">
        <f t="shared" si="480"/>
        <v>47058</v>
      </c>
      <c r="F1368" s="1">
        <f t="shared" si="481"/>
        <v>47088</v>
      </c>
      <c r="G1368" s="1">
        <f t="shared" si="482"/>
        <v>47406</v>
      </c>
      <c r="H1368">
        <f t="shared" si="483"/>
        <v>365</v>
      </c>
      <c r="I1368">
        <f t="shared" si="484"/>
        <v>30</v>
      </c>
      <c r="J1368">
        <f t="shared" si="485"/>
        <v>8.2191780821917804E-2</v>
      </c>
      <c r="K1368">
        <f>IFERROR($J1368/IF($A1368&lt;COUNTIFS($K$1:K$1,"&lt;&gt;"),0,SUMIFS($J:$J,$B:$B,$B1368,$A:$A,"&gt;="&amp;COUNTIFS($K$1:K$1,"&lt;&gt;"))),0)</f>
        <v>8.6206896551724144E-2</v>
      </c>
      <c r="L1368">
        <f>IFERROR($J1368/IF($A1368&lt;COUNTIFS($K$1:L$1,"&lt;&gt;"),0,SUMIFS($J:$J,$B:$B,$B1368,$A:$A,"&gt;="&amp;COUNTIFS($K$1:L$1,"&lt;&gt;"))),0)</f>
        <v>0</v>
      </c>
      <c r="M1368">
        <f>IFERROR($J1368/IF($A1368&lt;COUNTIFS($K$1:M$1,"&lt;&gt;"),0,SUMIFS($J:$J,$B:$B,$B1368,$A:$A,"&gt;="&amp;COUNTIFS($K$1:M$1,"&lt;&gt;"))),0)</f>
        <v>0</v>
      </c>
      <c r="N1368">
        <f>IFERROR($J1368/IF($A1368&lt;COUNTIFS($K$1:N$1,"&lt;&gt;"),0,SUMIFS($J:$J,$B:$B,$B1368,$A:$A,"&gt;="&amp;COUNTIFS($K$1:N$1,"&lt;&gt;"))),0)</f>
        <v>0</v>
      </c>
      <c r="O1368">
        <f>IFERROR($J1368/IF($A1368&lt;COUNTIFS($K$1:O$1,"&lt;&gt;"),0,SUMIFS($J:$J,$B:$B,$B1368,$A:$A,"&gt;="&amp;COUNTIFS($K$1:O$1,"&lt;&gt;"))),0)</f>
        <v>0</v>
      </c>
      <c r="P1368">
        <f>IFERROR($J1368/IF($A1368&lt;COUNTIFS($K$1:P$1,"&lt;&gt;"),0,SUMIFS($J:$J,$B:$B,$B1368,$A:$A,"&gt;="&amp;COUNTIFS($K$1:P$1,"&lt;&gt;"))),0)</f>
        <v>0</v>
      </c>
      <c r="Q1368">
        <f>IFERROR($J1368/IF($A1368&lt;COUNTIFS($K$1:Q$1,"&lt;&gt;"),0,SUMIFS($J:$J,$B:$B,$B1368,$A:$A,"&gt;="&amp;COUNTIFS($K$1:Q$1,"&lt;&gt;"))),0)</f>
        <v>0</v>
      </c>
      <c r="R1368">
        <f>IFERROR($J1368/IF($A1368&lt;COUNTIFS($K$1:R$1,"&lt;&gt;"),0,SUMIFS($J:$J,$B:$B,$B1368,$A:$A,"&gt;="&amp;COUNTIFS($K$1:R$1,"&lt;&gt;"))),0)</f>
        <v>0</v>
      </c>
      <c r="S1368">
        <f>IFERROR($J1368/IF($A1368&lt;COUNTIFS($K$1:S$1,"&lt;&gt;"),0,SUMIFS($J:$J,$B:$B,$B1368,$A:$A,"&gt;="&amp;COUNTIFS($K$1:S$1,"&lt;&gt;"))),0)</f>
        <v>0</v>
      </c>
      <c r="T1368">
        <f>IFERROR($J1368/IF($A1368&lt;COUNTIFS($K$1:T$1,"&lt;&gt;"),0,SUMIFS($J:$J,$B:$B,$B1368,$A:$A,"&gt;="&amp;COUNTIFS($K$1:T$1,"&lt;&gt;"))),0)</f>
        <v>0</v>
      </c>
      <c r="U1368">
        <f>IFERROR($J1368/IF($A1368&lt;COUNTIFS($K$1:U$1,"&lt;&gt;"),0,SUMIFS($J:$J,$B:$B,$B1368,$A:$A,"&gt;="&amp;COUNTIFS($K$1:U$1,"&lt;&gt;"))),0)</f>
        <v>0</v>
      </c>
      <c r="V1368">
        <f>IFERROR($J1368/IF($A1368&lt;COUNTIFS($K$1:V$1,"&lt;&gt;"),0,SUMIFS($J:$J,$B:$B,$B1368,$A:$A,"&gt;="&amp;COUNTIFS($K$1:V$1,"&lt;&gt;"))),0)</f>
        <v>0</v>
      </c>
      <c r="W1368">
        <f t="shared" si="486"/>
        <v>8.2191780821917804E-2</v>
      </c>
      <c r="X1368">
        <f t="shared" si="466"/>
        <v>8.2191780821917804E-2</v>
      </c>
      <c r="Y1368">
        <f t="shared" si="467"/>
        <v>0</v>
      </c>
      <c r="Z1368">
        <f t="shared" si="468"/>
        <v>0</v>
      </c>
      <c r="AA1368">
        <f t="shared" si="469"/>
        <v>0</v>
      </c>
      <c r="AB1368">
        <f t="shared" si="470"/>
        <v>0</v>
      </c>
      <c r="AC1368">
        <f t="shared" si="471"/>
        <v>0</v>
      </c>
      <c r="AD1368">
        <f t="shared" si="472"/>
        <v>0</v>
      </c>
      <c r="AE1368">
        <f t="shared" si="473"/>
        <v>0</v>
      </c>
      <c r="AF1368">
        <f t="shared" si="474"/>
        <v>0</v>
      </c>
      <c r="AG1368">
        <f t="shared" si="475"/>
        <v>0</v>
      </c>
      <c r="AH1368">
        <f t="shared" si="476"/>
        <v>0</v>
      </c>
      <c r="AI1368">
        <f t="shared" si="477"/>
        <v>0</v>
      </c>
      <c r="AJ1368" s="2" t="str">
        <f t="shared" si="487"/>
        <v>147027</v>
      </c>
    </row>
    <row r="1369" spans="1:36" x14ac:dyDescent="0.25">
      <c r="A1369">
        <v>2</v>
      </c>
      <c r="B1369" s="1">
        <v>47027</v>
      </c>
      <c r="C1369" s="1">
        <f t="shared" si="478"/>
        <v>47088</v>
      </c>
      <c r="D1369" s="1">
        <f t="shared" si="479"/>
        <v>47041</v>
      </c>
      <c r="E1369" s="1">
        <f t="shared" si="480"/>
        <v>47088</v>
      </c>
      <c r="F1369" s="1">
        <f t="shared" si="481"/>
        <v>47119</v>
      </c>
      <c r="G1369" s="1">
        <f t="shared" si="482"/>
        <v>47406</v>
      </c>
      <c r="H1369">
        <f t="shared" si="483"/>
        <v>365</v>
      </c>
      <c r="I1369">
        <f t="shared" si="484"/>
        <v>31</v>
      </c>
      <c r="J1369">
        <f t="shared" si="485"/>
        <v>8.4931506849315067E-2</v>
      </c>
      <c r="K1369">
        <f>IFERROR($J1369/IF($A1369&lt;COUNTIFS($K$1:K$1,"&lt;&gt;"),0,SUMIFS($J:$J,$B:$B,$B1369,$A:$A,"&gt;="&amp;COUNTIFS($K$1:K$1,"&lt;&gt;"))),0)</f>
        <v>8.9080459770114959E-2</v>
      </c>
      <c r="L1369">
        <f>IFERROR($J1369/IF($A1369&lt;COUNTIFS($K$1:L$1,"&lt;&gt;"),0,SUMIFS($J:$J,$B:$B,$B1369,$A:$A,"&gt;="&amp;COUNTIFS($K$1:L$1,"&lt;&gt;"))),0)</f>
        <v>9.7484276729559768E-2</v>
      </c>
      <c r="M1369">
        <f>IFERROR($J1369/IF($A1369&lt;COUNTIFS($K$1:M$1,"&lt;&gt;"),0,SUMIFS($J:$J,$B:$B,$B1369,$A:$A,"&gt;="&amp;COUNTIFS($K$1:M$1,"&lt;&gt;"))),0)</f>
        <v>0</v>
      </c>
      <c r="N1369">
        <f>IFERROR($J1369/IF($A1369&lt;COUNTIFS($K$1:N$1,"&lt;&gt;"),0,SUMIFS($J:$J,$B:$B,$B1369,$A:$A,"&gt;="&amp;COUNTIFS($K$1:N$1,"&lt;&gt;"))),0)</f>
        <v>0</v>
      </c>
      <c r="O1369">
        <f>IFERROR($J1369/IF($A1369&lt;COUNTIFS($K$1:O$1,"&lt;&gt;"),0,SUMIFS($J:$J,$B:$B,$B1369,$A:$A,"&gt;="&amp;COUNTIFS($K$1:O$1,"&lt;&gt;"))),0)</f>
        <v>0</v>
      </c>
      <c r="P1369">
        <f>IFERROR($J1369/IF($A1369&lt;COUNTIFS($K$1:P$1,"&lt;&gt;"),0,SUMIFS($J:$J,$B:$B,$B1369,$A:$A,"&gt;="&amp;COUNTIFS($K$1:P$1,"&lt;&gt;"))),0)</f>
        <v>0</v>
      </c>
      <c r="Q1369">
        <f>IFERROR($J1369/IF($A1369&lt;COUNTIFS($K$1:Q$1,"&lt;&gt;"),0,SUMIFS($J:$J,$B:$B,$B1369,$A:$A,"&gt;="&amp;COUNTIFS($K$1:Q$1,"&lt;&gt;"))),0)</f>
        <v>0</v>
      </c>
      <c r="R1369">
        <f>IFERROR($J1369/IF($A1369&lt;COUNTIFS($K$1:R$1,"&lt;&gt;"),0,SUMIFS($J:$J,$B:$B,$B1369,$A:$A,"&gt;="&amp;COUNTIFS($K$1:R$1,"&lt;&gt;"))),0)</f>
        <v>0</v>
      </c>
      <c r="S1369">
        <f>IFERROR($J1369/IF($A1369&lt;COUNTIFS($K$1:S$1,"&lt;&gt;"),0,SUMIFS($J:$J,$B:$B,$B1369,$A:$A,"&gt;="&amp;COUNTIFS($K$1:S$1,"&lt;&gt;"))),0)</f>
        <v>0</v>
      </c>
      <c r="T1369">
        <f>IFERROR($J1369/IF($A1369&lt;COUNTIFS($K$1:T$1,"&lt;&gt;"),0,SUMIFS($J:$J,$B:$B,$B1369,$A:$A,"&gt;="&amp;COUNTIFS($K$1:T$1,"&lt;&gt;"))),0)</f>
        <v>0</v>
      </c>
      <c r="U1369">
        <f>IFERROR($J1369/IF($A1369&lt;COUNTIFS($K$1:U$1,"&lt;&gt;"),0,SUMIFS($J:$J,$B:$B,$B1369,$A:$A,"&gt;="&amp;COUNTIFS($K$1:U$1,"&lt;&gt;"))),0)</f>
        <v>0</v>
      </c>
      <c r="V1369">
        <f>IFERROR($J1369/IF($A1369&lt;COUNTIFS($K$1:V$1,"&lt;&gt;"),0,SUMIFS($J:$J,$B:$B,$B1369,$A:$A,"&gt;="&amp;COUNTIFS($K$1:V$1,"&lt;&gt;"))),0)</f>
        <v>0</v>
      </c>
      <c r="W1369">
        <f t="shared" si="486"/>
        <v>8.4931506849315067E-2</v>
      </c>
      <c r="X1369">
        <f t="shared" si="466"/>
        <v>8.4931506849315067E-2</v>
      </c>
      <c r="Y1369">
        <f t="shared" si="467"/>
        <v>8.4931506849315067E-2</v>
      </c>
      <c r="Z1369">
        <f t="shared" si="468"/>
        <v>0</v>
      </c>
      <c r="AA1369">
        <f t="shared" si="469"/>
        <v>0</v>
      </c>
      <c r="AB1369">
        <f t="shared" si="470"/>
        <v>0</v>
      </c>
      <c r="AC1369">
        <f t="shared" si="471"/>
        <v>0</v>
      </c>
      <c r="AD1369">
        <f t="shared" si="472"/>
        <v>0</v>
      </c>
      <c r="AE1369">
        <f t="shared" si="473"/>
        <v>0</v>
      </c>
      <c r="AF1369">
        <f t="shared" si="474"/>
        <v>0</v>
      </c>
      <c r="AG1369">
        <f t="shared" si="475"/>
        <v>0</v>
      </c>
      <c r="AH1369">
        <f t="shared" si="476"/>
        <v>0</v>
      </c>
      <c r="AI1369">
        <f t="shared" si="477"/>
        <v>0</v>
      </c>
      <c r="AJ1369" s="2" t="str">
        <f t="shared" si="487"/>
        <v>247027</v>
      </c>
    </row>
    <row r="1370" spans="1:36" x14ac:dyDescent="0.25">
      <c r="A1370">
        <v>3</v>
      </c>
      <c r="B1370" s="1">
        <v>47027</v>
      </c>
      <c r="C1370" s="1">
        <f t="shared" si="478"/>
        <v>47119</v>
      </c>
      <c r="D1370" s="1">
        <f t="shared" si="479"/>
        <v>47041</v>
      </c>
      <c r="E1370" s="1">
        <f t="shared" si="480"/>
        <v>47119</v>
      </c>
      <c r="F1370" s="1">
        <f t="shared" si="481"/>
        <v>47150</v>
      </c>
      <c r="G1370" s="1">
        <f t="shared" si="482"/>
        <v>47406</v>
      </c>
      <c r="H1370">
        <f t="shared" si="483"/>
        <v>365</v>
      </c>
      <c r="I1370">
        <f t="shared" si="484"/>
        <v>31</v>
      </c>
      <c r="J1370">
        <f t="shared" si="485"/>
        <v>8.4931506849315067E-2</v>
      </c>
      <c r="K1370">
        <f>IFERROR($J1370/IF($A1370&lt;COUNTIFS($K$1:K$1,"&lt;&gt;"),0,SUMIFS($J:$J,$B:$B,$B1370,$A:$A,"&gt;="&amp;COUNTIFS($K$1:K$1,"&lt;&gt;"))),0)</f>
        <v>8.9080459770114959E-2</v>
      </c>
      <c r="L1370">
        <f>IFERROR($J1370/IF($A1370&lt;COUNTIFS($K$1:L$1,"&lt;&gt;"),0,SUMIFS($J:$J,$B:$B,$B1370,$A:$A,"&gt;="&amp;COUNTIFS($K$1:L$1,"&lt;&gt;"))),0)</f>
        <v>9.7484276729559768E-2</v>
      </c>
      <c r="M1370">
        <f>IFERROR($J1370/IF($A1370&lt;COUNTIFS($K$1:M$1,"&lt;&gt;"),0,SUMIFS($J:$J,$B:$B,$B1370,$A:$A,"&gt;="&amp;COUNTIFS($K$1:M$1,"&lt;&gt;"))),0)</f>
        <v>0.10801393728222998</v>
      </c>
      <c r="N1370">
        <f>IFERROR($J1370/IF($A1370&lt;COUNTIFS($K$1:N$1,"&lt;&gt;"),0,SUMIFS($J:$J,$B:$B,$B1370,$A:$A,"&gt;="&amp;COUNTIFS($K$1:N$1,"&lt;&gt;"))),0)</f>
        <v>0</v>
      </c>
      <c r="O1370">
        <f>IFERROR($J1370/IF($A1370&lt;COUNTIFS($K$1:O$1,"&lt;&gt;"),0,SUMIFS($J:$J,$B:$B,$B1370,$A:$A,"&gt;="&amp;COUNTIFS($K$1:O$1,"&lt;&gt;"))),0)</f>
        <v>0</v>
      </c>
      <c r="P1370">
        <f>IFERROR($J1370/IF($A1370&lt;COUNTIFS($K$1:P$1,"&lt;&gt;"),0,SUMIFS($J:$J,$B:$B,$B1370,$A:$A,"&gt;="&amp;COUNTIFS($K$1:P$1,"&lt;&gt;"))),0)</f>
        <v>0</v>
      </c>
      <c r="Q1370">
        <f>IFERROR($J1370/IF($A1370&lt;COUNTIFS($K$1:Q$1,"&lt;&gt;"),0,SUMIFS($J:$J,$B:$B,$B1370,$A:$A,"&gt;="&amp;COUNTIFS($K$1:Q$1,"&lt;&gt;"))),0)</f>
        <v>0</v>
      </c>
      <c r="R1370">
        <f>IFERROR($J1370/IF($A1370&lt;COUNTIFS($K$1:R$1,"&lt;&gt;"),0,SUMIFS($J:$J,$B:$B,$B1370,$A:$A,"&gt;="&amp;COUNTIFS($K$1:R$1,"&lt;&gt;"))),0)</f>
        <v>0</v>
      </c>
      <c r="S1370">
        <f>IFERROR($J1370/IF($A1370&lt;COUNTIFS($K$1:S$1,"&lt;&gt;"),0,SUMIFS($J:$J,$B:$B,$B1370,$A:$A,"&gt;="&amp;COUNTIFS($K$1:S$1,"&lt;&gt;"))),0)</f>
        <v>0</v>
      </c>
      <c r="T1370">
        <f>IFERROR($J1370/IF($A1370&lt;COUNTIFS($K$1:T$1,"&lt;&gt;"),0,SUMIFS($J:$J,$B:$B,$B1370,$A:$A,"&gt;="&amp;COUNTIFS($K$1:T$1,"&lt;&gt;"))),0)</f>
        <v>0</v>
      </c>
      <c r="U1370">
        <f>IFERROR($J1370/IF($A1370&lt;COUNTIFS($K$1:U$1,"&lt;&gt;"),0,SUMIFS($J:$J,$B:$B,$B1370,$A:$A,"&gt;="&amp;COUNTIFS($K$1:U$1,"&lt;&gt;"))),0)</f>
        <v>0</v>
      </c>
      <c r="V1370">
        <f>IFERROR($J1370/IF($A1370&lt;COUNTIFS($K$1:V$1,"&lt;&gt;"),0,SUMIFS($J:$J,$B:$B,$B1370,$A:$A,"&gt;="&amp;COUNTIFS($K$1:V$1,"&lt;&gt;"))),0)</f>
        <v>0</v>
      </c>
      <c r="W1370">
        <f t="shared" si="486"/>
        <v>8.4931506849315067E-2</v>
      </c>
      <c r="X1370">
        <f t="shared" si="466"/>
        <v>8.4931506849315067E-2</v>
      </c>
      <c r="Y1370">
        <f t="shared" si="467"/>
        <v>8.4931506849315067E-2</v>
      </c>
      <c r="Z1370">
        <f t="shared" si="468"/>
        <v>8.4931506849315067E-2</v>
      </c>
      <c r="AA1370">
        <f t="shared" si="469"/>
        <v>0</v>
      </c>
      <c r="AB1370">
        <f t="shared" si="470"/>
        <v>0</v>
      </c>
      <c r="AC1370">
        <f t="shared" si="471"/>
        <v>0</v>
      </c>
      <c r="AD1370">
        <f t="shared" si="472"/>
        <v>0</v>
      </c>
      <c r="AE1370">
        <f t="shared" si="473"/>
        <v>0</v>
      </c>
      <c r="AF1370">
        <f t="shared" si="474"/>
        <v>0</v>
      </c>
      <c r="AG1370">
        <f t="shared" si="475"/>
        <v>0</v>
      </c>
      <c r="AH1370">
        <f t="shared" si="476"/>
        <v>0</v>
      </c>
      <c r="AI1370">
        <f t="shared" si="477"/>
        <v>0</v>
      </c>
      <c r="AJ1370" s="2" t="str">
        <f t="shared" si="487"/>
        <v>347027</v>
      </c>
    </row>
    <row r="1371" spans="1:36" x14ac:dyDescent="0.25">
      <c r="A1371">
        <v>4</v>
      </c>
      <c r="B1371" s="1">
        <v>47027</v>
      </c>
      <c r="C1371" s="1">
        <f t="shared" si="478"/>
        <v>47150</v>
      </c>
      <c r="D1371" s="1">
        <f t="shared" si="479"/>
        <v>47041</v>
      </c>
      <c r="E1371" s="1">
        <f t="shared" si="480"/>
        <v>47150</v>
      </c>
      <c r="F1371" s="1">
        <f t="shared" si="481"/>
        <v>47178</v>
      </c>
      <c r="G1371" s="1">
        <f t="shared" si="482"/>
        <v>47406</v>
      </c>
      <c r="H1371">
        <f t="shared" si="483"/>
        <v>365</v>
      </c>
      <c r="I1371">
        <f t="shared" si="484"/>
        <v>28</v>
      </c>
      <c r="J1371">
        <f t="shared" si="485"/>
        <v>7.6712328767123292E-2</v>
      </c>
      <c r="K1371">
        <f>IFERROR($J1371/IF($A1371&lt;COUNTIFS($K$1:K$1,"&lt;&gt;"),0,SUMIFS($J:$J,$B:$B,$B1371,$A:$A,"&gt;="&amp;COUNTIFS($K$1:K$1,"&lt;&gt;"))),0)</f>
        <v>8.0459770114942541E-2</v>
      </c>
      <c r="L1371">
        <f>IFERROR($J1371/IF($A1371&lt;COUNTIFS($K$1:L$1,"&lt;&gt;"),0,SUMIFS($J:$J,$B:$B,$B1371,$A:$A,"&gt;="&amp;COUNTIFS($K$1:L$1,"&lt;&gt;"))),0)</f>
        <v>8.8050314465408827E-2</v>
      </c>
      <c r="M1371">
        <f>IFERROR($J1371/IF($A1371&lt;COUNTIFS($K$1:M$1,"&lt;&gt;"),0,SUMIFS($J:$J,$B:$B,$B1371,$A:$A,"&gt;="&amp;COUNTIFS($K$1:M$1,"&lt;&gt;"))),0)</f>
        <v>9.7560975609756115E-2</v>
      </c>
      <c r="N1371">
        <f>IFERROR($J1371/IF($A1371&lt;COUNTIFS($K$1:N$1,"&lt;&gt;"),0,SUMIFS($J:$J,$B:$B,$B1371,$A:$A,"&gt;="&amp;COUNTIFS($K$1:N$1,"&lt;&gt;"))),0)</f>
        <v>0.10937500000000003</v>
      </c>
      <c r="O1371">
        <f>IFERROR($J1371/IF($A1371&lt;COUNTIFS($K$1:O$1,"&lt;&gt;"),0,SUMIFS($J:$J,$B:$B,$B1371,$A:$A,"&gt;="&amp;COUNTIFS($K$1:O$1,"&lt;&gt;"))),0)</f>
        <v>0</v>
      </c>
      <c r="P1371">
        <f>IFERROR($J1371/IF($A1371&lt;COUNTIFS($K$1:P$1,"&lt;&gt;"),0,SUMIFS($J:$J,$B:$B,$B1371,$A:$A,"&gt;="&amp;COUNTIFS($K$1:P$1,"&lt;&gt;"))),0)</f>
        <v>0</v>
      </c>
      <c r="Q1371">
        <f>IFERROR($J1371/IF($A1371&lt;COUNTIFS($K$1:Q$1,"&lt;&gt;"),0,SUMIFS($J:$J,$B:$B,$B1371,$A:$A,"&gt;="&amp;COUNTIFS($K$1:Q$1,"&lt;&gt;"))),0)</f>
        <v>0</v>
      </c>
      <c r="R1371">
        <f>IFERROR($J1371/IF($A1371&lt;COUNTIFS($K$1:R$1,"&lt;&gt;"),0,SUMIFS($J:$J,$B:$B,$B1371,$A:$A,"&gt;="&amp;COUNTIFS($K$1:R$1,"&lt;&gt;"))),0)</f>
        <v>0</v>
      </c>
      <c r="S1371">
        <f>IFERROR($J1371/IF($A1371&lt;COUNTIFS($K$1:S$1,"&lt;&gt;"),0,SUMIFS($J:$J,$B:$B,$B1371,$A:$A,"&gt;="&amp;COUNTIFS($K$1:S$1,"&lt;&gt;"))),0)</f>
        <v>0</v>
      </c>
      <c r="T1371">
        <f>IFERROR($J1371/IF($A1371&lt;COUNTIFS($K$1:T$1,"&lt;&gt;"),0,SUMIFS($J:$J,$B:$B,$B1371,$A:$A,"&gt;="&amp;COUNTIFS($K$1:T$1,"&lt;&gt;"))),0)</f>
        <v>0</v>
      </c>
      <c r="U1371">
        <f>IFERROR($J1371/IF($A1371&lt;COUNTIFS($K$1:U$1,"&lt;&gt;"),0,SUMIFS($J:$J,$B:$B,$B1371,$A:$A,"&gt;="&amp;COUNTIFS($K$1:U$1,"&lt;&gt;"))),0)</f>
        <v>0</v>
      </c>
      <c r="V1371">
        <f>IFERROR($J1371/IF($A1371&lt;COUNTIFS($K$1:V$1,"&lt;&gt;"),0,SUMIFS($J:$J,$B:$B,$B1371,$A:$A,"&gt;="&amp;COUNTIFS($K$1:V$1,"&lt;&gt;"))),0)</f>
        <v>0</v>
      </c>
      <c r="W1371">
        <f t="shared" si="486"/>
        <v>7.6712328767123292E-2</v>
      </c>
      <c r="X1371">
        <f t="shared" si="466"/>
        <v>7.6712328767123292E-2</v>
      </c>
      <c r="Y1371">
        <f t="shared" si="467"/>
        <v>7.6712328767123292E-2</v>
      </c>
      <c r="Z1371">
        <f t="shared" si="468"/>
        <v>7.6712328767123292E-2</v>
      </c>
      <c r="AA1371">
        <f t="shared" si="469"/>
        <v>7.6712328767123292E-2</v>
      </c>
      <c r="AB1371">
        <f t="shared" si="470"/>
        <v>0</v>
      </c>
      <c r="AC1371">
        <f t="shared" si="471"/>
        <v>0</v>
      </c>
      <c r="AD1371">
        <f t="shared" si="472"/>
        <v>0</v>
      </c>
      <c r="AE1371">
        <f t="shared" si="473"/>
        <v>0</v>
      </c>
      <c r="AF1371">
        <f t="shared" si="474"/>
        <v>0</v>
      </c>
      <c r="AG1371">
        <f t="shared" si="475"/>
        <v>0</v>
      </c>
      <c r="AH1371">
        <f t="shared" si="476"/>
        <v>0</v>
      </c>
      <c r="AI1371">
        <f t="shared" si="477"/>
        <v>0</v>
      </c>
      <c r="AJ1371" s="2" t="str">
        <f t="shared" si="487"/>
        <v>447027</v>
      </c>
    </row>
    <row r="1372" spans="1:36" x14ac:dyDescent="0.25">
      <c r="A1372">
        <v>5</v>
      </c>
      <c r="B1372" s="1">
        <v>47027</v>
      </c>
      <c r="C1372" s="1">
        <f t="shared" si="478"/>
        <v>47178</v>
      </c>
      <c r="D1372" s="1">
        <f t="shared" si="479"/>
        <v>47041</v>
      </c>
      <c r="E1372" s="1">
        <f t="shared" si="480"/>
        <v>47178</v>
      </c>
      <c r="F1372" s="1">
        <f t="shared" si="481"/>
        <v>47209</v>
      </c>
      <c r="G1372" s="1">
        <f t="shared" si="482"/>
        <v>47406</v>
      </c>
      <c r="H1372">
        <f t="shared" si="483"/>
        <v>365</v>
      </c>
      <c r="I1372">
        <f t="shared" si="484"/>
        <v>31</v>
      </c>
      <c r="J1372">
        <f t="shared" si="485"/>
        <v>8.4931506849315067E-2</v>
      </c>
      <c r="K1372">
        <f>IFERROR($J1372/IF($A1372&lt;COUNTIFS($K$1:K$1,"&lt;&gt;"),0,SUMIFS($J:$J,$B:$B,$B1372,$A:$A,"&gt;="&amp;COUNTIFS($K$1:K$1,"&lt;&gt;"))),0)</f>
        <v>8.9080459770114959E-2</v>
      </c>
      <c r="L1372">
        <f>IFERROR($J1372/IF($A1372&lt;COUNTIFS($K$1:L$1,"&lt;&gt;"),0,SUMIFS($J:$J,$B:$B,$B1372,$A:$A,"&gt;="&amp;COUNTIFS($K$1:L$1,"&lt;&gt;"))),0)</f>
        <v>9.7484276729559768E-2</v>
      </c>
      <c r="M1372">
        <f>IFERROR($J1372/IF($A1372&lt;COUNTIFS($K$1:M$1,"&lt;&gt;"),0,SUMIFS($J:$J,$B:$B,$B1372,$A:$A,"&gt;="&amp;COUNTIFS($K$1:M$1,"&lt;&gt;"))),0)</f>
        <v>0.10801393728222998</v>
      </c>
      <c r="N1372">
        <f>IFERROR($J1372/IF($A1372&lt;COUNTIFS($K$1:N$1,"&lt;&gt;"),0,SUMIFS($J:$J,$B:$B,$B1372,$A:$A,"&gt;="&amp;COUNTIFS($K$1:N$1,"&lt;&gt;"))),0)</f>
        <v>0.12109375000000001</v>
      </c>
      <c r="O1372">
        <f>IFERROR($J1372/IF($A1372&lt;COUNTIFS($K$1:O$1,"&lt;&gt;"),0,SUMIFS($J:$J,$B:$B,$B1372,$A:$A,"&gt;="&amp;COUNTIFS($K$1:O$1,"&lt;&gt;"))),0)</f>
        <v>0.13596491228070179</v>
      </c>
      <c r="P1372">
        <f>IFERROR($J1372/IF($A1372&lt;COUNTIFS($K$1:P$1,"&lt;&gt;"),0,SUMIFS($J:$J,$B:$B,$B1372,$A:$A,"&gt;="&amp;COUNTIFS($K$1:P$1,"&lt;&gt;"))),0)</f>
        <v>0</v>
      </c>
      <c r="Q1372">
        <f>IFERROR($J1372/IF($A1372&lt;COUNTIFS($K$1:Q$1,"&lt;&gt;"),0,SUMIFS($J:$J,$B:$B,$B1372,$A:$A,"&gt;="&amp;COUNTIFS($K$1:Q$1,"&lt;&gt;"))),0)</f>
        <v>0</v>
      </c>
      <c r="R1372">
        <f>IFERROR($J1372/IF($A1372&lt;COUNTIFS($K$1:R$1,"&lt;&gt;"),0,SUMIFS($J:$J,$B:$B,$B1372,$A:$A,"&gt;="&amp;COUNTIFS($K$1:R$1,"&lt;&gt;"))),0)</f>
        <v>0</v>
      </c>
      <c r="S1372">
        <f>IFERROR($J1372/IF($A1372&lt;COUNTIFS($K$1:S$1,"&lt;&gt;"),0,SUMIFS($J:$J,$B:$B,$B1372,$A:$A,"&gt;="&amp;COUNTIFS($K$1:S$1,"&lt;&gt;"))),0)</f>
        <v>0</v>
      </c>
      <c r="T1372">
        <f>IFERROR($J1372/IF($A1372&lt;COUNTIFS($K$1:T$1,"&lt;&gt;"),0,SUMIFS($J:$J,$B:$B,$B1372,$A:$A,"&gt;="&amp;COUNTIFS($K$1:T$1,"&lt;&gt;"))),0)</f>
        <v>0</v>
      </c>
      <c r="U1372">
        <f>IFERROR($J1372/IF($A1372&lt;COUNTIFS($K$1:U$1,"&lt;&gt;"),0,SUMIFS($J:$J,$B:$B,$B1372,$A:$A,"&gt;="&amp;COUNTIFS($K$1:U$1,"&lt;&gt;"))),0)</f>
        <v>0</v>
      </c>
      <c r="V1372">
        <f>IFERROR($J1372/IF($A1372&lt;COUNTIFS($K$1:V$1,"&lt;&gt;"),0,SUMIFS($J:$J,$B:$B,$B1372,$A:$A,"&gt;="&amp;COUNTIFS($K$1:V$1,"&lt;&gt;"))),0)</f>
        <v>0</v>
      </c>
      <c r="W1372">
        <f t="shared" si="486"/>
        <v>8.4931506849315067E-2</v>
      </c>
      <c r="X1372">
        <f t="shared" si="466"/>
        <v>8.4931506849315067E-2</v>
      </c>
      <c r="Y1372">
        <f t="shared" si="467"/>
        <v>8.4931506849315067E-2</v>
      </c>
      <c r="Z1372">
        <f t="shared" si="468"/>
        <v>8.4931506849315067E-2</v>
      </c>
      <c r="AA1372">
        <f t="shared" si="469"/>
        <v>8.4931506849315067E-2</v>
      </c>
      <c r="AB1372">
        <f t="shared" si="470"/>
        <v>8.4931506849315067E-2</v>
      </c>
      <c r="AC1372">
        <f t="shared" si="471"/>
        <v>0</v>
      </c>
      <c r="AD1372">
        <f t="shared" si="472"/>
        <v>0</v>
      </c>
      <c r="AE1372">
        <f t="shared" si="473"/>
        <v>0</v>
      </c>
      <c r="AF1372">
        <f t="shared" si="474"/>
        <v>0</v>
      </c>
      <c r="AG1372">
        <f t="shared" si="475"/>
        <v>0</v>
      </c>
      <c r="AH1372">
        <f t="shared" si="476"/>
        <v>0</v>
      </c>
      <c r="AI1372">
        <f t="shared" si="477"/>
        <v>0</v>
      </c>
      <c r="AJ1372" s="2" t="str">
        <f t="shared" si="487"/>
        <v>547027</v>
      </c>
    </row>
    <row r="1373" spans="1:36" x14ac:dyDescent="0.25">
      <c r="A1373">
        <v>6</v>
      </c>
      <c r="B1373" s="1">
        <v>47027</v>
      </c>
      <c r="C1373" s="1">
        <f t="shared" si="478"/>
        <v>47209</v>
      </c>
      <c r="D1373" s="1">
        <f t="shared" si="479"/>
        <v>47041</v>
      </c>
      <c r="E1373" s="1">
        <f t="shared" si="480"/>
        <v>47209</v>
      </c>
      <c r="F1373" s="1">
        <f t="shared" si="481"/>
        <v>47239</v>
      </c>
      <c r="G1373" s="1">
        <f t="shared" si="482"/>
        <v>47406</v>
      </c>
      <c r="H1373">
        <f t="shared" si="483"/>
        <v>365</v>
      </c>
      <c r="I1373">
        <f t="shared" si="484"/>
        <v>30</v>
      </c>
      <c r="J1373">
        <f t="shared" si="485"/>
        <v>8.2191780821917804E-2</v>
      </c>
      <c r="K1373">
        <f>IFERROR($J1373/IF($A1373&lt;COUNTIFS($K$1:K$1,"&lt;&gt;"),0,SUMIFS($J:$J,$B:$B,$B1373,$A:$A,"&gt;="&amp;COUNTIFS($K$1:K$1,"&lt;&gt;"))),0)</f>
        <v>8.6206896551724144E-2</v>
      </c>
      <c r="L1373">
        <f>IFERROR($J1373/IF($A1373&lt;COUNTIFS($K$1:L$1,"&lt;&gt;"),0,SUMIFS($J:$J,$B:$B,$B1373,$A:$A,"&gt;="&amp;COUNTIFS($K$1:L$1,"&lt;&gt;"))),0)</f>
        <v>9.4339622641509441E-2</v>
      </c>
      <c r="M1373">
        <f>IFERROR($J1373/IF($A1373&lt;COUNTIFS($K$1:M$1,"&lt;&gt;"),0,SUMIFS($J:$J,$B:$B,$B1373,$A:$A,"&gt;="&amp;COUNTIFS($K$1:M$1,"&lt;&gt;"))),0)</f>
        <v>0.10452961672473869</v>
      </c>
      <c r="N1373">
        <f>IFERROR($J1373/IF($A1373&lt;COUNTIFS($K$1:N$1,"&lt;&gt;"),0,SUMIFS($J:$J,$B:$B,$B1373,$A:$A,"&gt;="&amp;COUNTIFS($K$1:N$1,"&lt;&gt;"))),0)</f>
        <v>0.11718750000000001</v>
      </c>
      <c r="O1373">
        <f>IFERROR($J1373/IF($A1373&lt;COUNTIFS($K$1:O$1,"&lt;&gt;"),0,SUMIFS($J:$J,$B:$B,$B1373,$A:$A,"&gt;="&amp;COUNTIFS($K$1:O$1,"&lt;&gt;"))),0)</f>
        <v>0.13157894736842107</v>
      </c>
      <c r="P1373">
        <f>IFERROR($J1373/IF($A1373&lt;COUNTIFS($K$1:P$1,"&lt;&gt;"),0,SUMIFS($J:$J,$B:$B,$B1373,$A:$A,"&gt;="&amp;COUNTIFS($K$1:P$1,"&lt;&gt;"))),0)</f>
        <v>0.15228426395939088</v>
      </c>
      <c r="Q1373">
        <f>IFERROR($J1373/IF($A1373&lt;COUNTIFS($K$1:Q$1,"&lt;&gt;"),0,SUMIFS($J:$J,$B:$B,$B1373,$A:$A,"&gt;="&amp;COUNTIFS($K$1:Q$1,"&lt;&gt;"))),0)</f>
        <v>0</v>
      </c>
      <c r="R1373">
        <f>IFERROR($J1373/IF($A1373&lt;COUNTIFS($K$1:R$1,"&lt;&gt;"),0,SUMIFS($J:$J,$B:$B,$B1373,$A:$A,"&gt;="&amp;COUNTIFS($K$1:R$1,"&lt;&gt;"))),0)</f>
        <v>0</v>
      </c>
      <c r="S1373">
        <f>IFERROR($J1373/IF($A1373&lt;COUNTIFS($K$1:S$1,"&lt;&gt;"),0,SUMIFS($J:$J,$B:$B,$B1373,$A:$A,"&gt;="&amp;COUNTIFS($K$1:S$1,"&lt;&gt;"))),0)</f>
        <v>0</v>
      </c>
      <c r="T1373">
        <f>IFERROR($J1373/IF($A1373&lt;COUNTIFS($K$1:T$1,"&lt;&gt;"),0,SUMIFS($J:$J,$B:$B,$B1373,$A:$A,"&gt;="&amp;COUNTIFS($K$1:T$1,"&lt;&gt;"))),0)</f>
        <v>0</v>
      </c>
      <c r="U1373">
        <f>IFERROR($J1373/IF($A1373&lt;COUNTIFS($K$1:U$1,"&lt;&gt;"),0,SUMIFS($J:$J,$B:$B,$B1373,$A:$A,"&gt;="&amp;COUNTIFS($K$1:U$1,"&lt;&gt;"))),0)</f>
        <v>0</v>
      </c>
      <c r="V1373">
        <f>IFERROR($J1373/IF($A1373&lt;COUNTIFS($K$1:V$1,"&lt;&gt;"),0,SUMIFS($J:$J,$B:$B,$B1373,$A:$A,"&gt;="&amp;COUNTIFS($K$1:V$1,"&lt;&gt;"))),0)</f>
        <v>0</v>
      </c>
      <c r="W1373">
        <f t="shared" si="486"/>
        <v>8.2191780821917804E-2</v>
      </c>
      <c r="X1373">
        <f t="shared" si="466"/>
        <v>8.2191780821917804E-2</v>
      </c>
      <c r="Y1373">
        <f t="shared" si="467"/>
        <v>8.2191780821917804E-2</v>
      </c>
      <c r="Z1373">
        <f t="shared" si="468"/>
        <v>8.2191780821917804E-2</v>
      </c>
      <c r="AA1373">
        <f t="shared" si="469"/>
        <v>8.2191780821917804E-2</v>
      </c>
      <c r="AB1373">
        <f t="shared" si="470"/>
        <v>8.2191780821917804E-2</v>
      </c>
      <c r="AC1373">
        <f t="shared" si="471"/>
        <v>8.2191780821917804E-2</v>
      </c>
      <c r="AD1373">
        <f t="shared" si="472"/>
        <v>0</v>
      </c>
      <c r="AE1373">
        <f t="shared" si="473"/>
        <v>0</v>
      </c>
      <c r="AF1373">
        <f t="shared" si="474"/>
        <v>0</v>
      </c>
      <c r="AG1373">
        <f t="shared" si="475"/>
        <v>0</v>
      </c>
      <c r="AH1373">
        <f t="shared" si="476"/>
        <v>0</v>
      </c>
      <c r="AI1373">
        <f t="shared" si="477"/>
        <v>0</v>
      </c>
      <c r="AJ1373" s="2" t="str">
        <f t="shared" si="487"/>
        <v>647027</v>
      </c>
    </row>
    <row r="1374" spans="1:36" x14ac:dyDescent="0.25">
      <c r="A1374">
        <v>7</v>
      </c>
      <c r="B1374" s="1">
        <v>47027</v>
      </c>
      <c r="C1374" s="1">
        <f t="shared" si="478"/>
        <v>47239</v>
      </c>
      <c r="D1374" s="1">
        <f t="shared" si="479"/>
        <v>47041</v>
      </c>
      <c r="E1374" s="1">
        <f t="shared" si="480"/>
        <v>47239</v>
      </c>
      <c r="F1374" s="1">
        <f t="shared" si="481"/>
        <v>47270</v>
      </c>
      <c r="G1374" s="1">
        <f t="shared" si="482"/>
        <v>47406</v>
      </c>
      <c r="H1374">
        <f t="shared" si="483"/>
        <v>365</v>
      </c>
      <c r="I1374">
        <f t="shared" si="484"/>
        <v>31</v>
      </c>
      <c r="J1374">
        <f t="shared" si="485"/>
        <v>8.4931506849315067E-2</v>
      </c>
      <c r="K1374">
        <f>IFERROR($J1374/IF($A1374&lt;COUNTIFS($K$1:K$1,"&lt;&gt;"),0,SUMIFS($J:$J,$B:$B,$B1374,$A:$A,"&gt;="&amp;COUNTIFS($K$1:K$1,"&lt;&gt;"))),0)</f>
        <v>8.9080459770114959E-2</v>
      </c>
      <c r="L1374">
        <f>IFERROR($J1374/IF($A1374&lt;COUNTIFS($K$1:L$1,"&lt;&gt;"),0,SUMIFS($J:$J,$B:$B,$B1374,$A:$A,"&gt;="&amp;COUNTIFS($K$1:L$1,"&lt;&gt;"))),0)</f>
        <v>9.7484276729559768E-2</v>
      </c>
      <c r="M1374">
        <f>IFERROR($J1374/IF($A1374&lt;COUNTIFS($K$1:M$1,"&lt;&gt;"),0,SUMIFS($J:$J,$B:$B,$B1374,$A:$A,"&gt;="&amp;COUNTIFS($K$1:M$1,"&lt;&gt;"))),0)</f>
        <v>0.10801393728222998</v>
      </c>
      <c r="N1374">
        <f>IFERROR($J1374/IF($A1374&lt;COUNTIFS($K$1:N$1,"&lt;&gt;"),0,SUMIFS($J:$J,$B:$B,$B1374,$A:$A,"&gt;="&amp;COUNTIFS($K$1:N$1,"&lt;&gt;"))),0)</f>
        <v>0.12109375000000001</v>
      </c>
      <c r="O1374">
        <f>IFERROR($J1374/IF($A1374&lt;COUNTIFS($K$1:O$1,"&lt;&gt;"),0,SUMIFS($J:$J,$B:$B,$B1374,$A:$A,"&gt;="&amp;COUNTIFS($K$1:O$1,"&lt;&gt;"))),0)</f>
        <v>0.13596491228070179</v>
      </c>
      <c r="P1374">
        <f>IFERROR($J1374/IF($A1374&lt;COUNTIFS($K$1:P$1,"&lt;&gt;"),0,SUMIFS($J:$J,$B:$B,$B1374,$A:$A,"&gt;="&amp;COUNTIFS($K$1:P$1,"&lt;&gt;"))),0)</f>
        <v>0.15736040609137059</v>
      </c>
      <c r="Q1374">
        <f>IFERROR($J1374/IF($A1374&lt;COUNTIFS($K$1:Q$1,"&lt;&gt;"),0,SUMIFS($J:$J,$B:$B,$B1374,$A:$A,"&gt;="&amp;COUNTIFS($K$1:Q$1,"&lt;&gt;"))),0)</f>
        <v>0.18562874251497008</v>
      </c>
      <c r="R1374">
        <f>IFERROR($J1374/IF($A1374&lt;COUNTIFS($K$1:R$1,"&lt;&gt;"),0,SUMIFS($J:$J,$B:$B,$B1374,$A:$A,"&gt;="&amp;COUNTIFS($K$1:R$1,"&lt;&gt;"))),0)</f>
        <v>0</v>
      </c>
      <c r="S1374">
        <f>IFERROR($J1374/IF($A1374&lt;COUNTIFS($K$1:S$1,"&lt;&gt;"),0,SUMIFS($J:$J,$B:$B,$B1374,$A:$A,"&gt;="&amp;COUNTIFS($K$1:S$1,"&lt;&gt;"))),0)</f>
        <v>0</v>
      </c>
      <c r="T1374">
        <f>IFERROR($J1374/IF($A1374&lt;COUNTIFS($K$1:T$1,"&lt;&gt;"),0,SUMIFS($J:$J,$B:$B,$B1374,$A:$A,"&gt;="&amp;COUNTIFS($K$1:T$1,"&lt;&gt;"))),0)</f>
        <v>0</v>
      </c>
      <c r="U1374">
        <f>IFERROR($J1374/IF($A1374&lt;COUNTIFS($K$1:U$1,"&lt;&gt;"),0,SUMIFS($J:$J,$B:$B,$B1374,$A:$A,"&gt;="&amp;COUNTIFS($K$1:U$1,"&lt;&gt;"))),0)</f>
        <v>0</v>
      </c>
      <c r="V1374">
        <f>IFERROR($J1374/IF($A1374&lt;COUNTIFS($K$1:V$1,"&lt;&gt;"),0,SUMIFS($J:$J,$B:$B,$B1374,$A:$A,"&gt;="&amp;COUNTIFS($K$1:V$1,"&lt;&gt;"))),0)</f>
        <v>0</v>
      </c>
      <c r="W1374">
        <f t="shared" si="486"/>
        <v>8.4931506849315067E-2</v>
      </c>
      <c r="X1374">
        <f t="shared" si="466"/>
        <v>8.4931506849315067E-2</v>
      </c>
      <c r="Y1374">
        <f t="shared" si="467"/>
        <v>8.4931506849315067E-2</v>
      </c>
      <c r="Z1374">
        <f t="shared" si="468"/>
        <v>8.4931506849315067E-2</v>
      </c>
      <c r="AA1374">
        <f t="shared" si="469"/>
        <v>8.4931506849315067E-2</v>
      </c>
      <c r="AB1374">
        <f t="shared" si="470"/>
        <v>8.4931506849315067E-2</v>
      </c>
      <c r="AC1374">
        <f t="shared" si="471"/>
        <v>8.4931506849315067E-2</v>
      </c>
      <c r="AD1374">
        <f t="shared" si="472"/>
        <v>8.4931506849315067E-2</v>
      </c>
      <c r="AE1374">
        <f t="shared" si="473"/>
        <v>0</v>
      </c>
      <c r="AF1374">
        <f t="shared" si="474"/>
        <v>0</v>
      </c>
      <c r="AG1374">
        <f t="shared" si="475"/>
        <v>0</v>
      </c>
      <c r="AH1374">
        <f t="shared" si="476"/>
        <v>0</v>
      </c>
      <c r="AI1374">
        <f t="shared" si="477"/>
        <v>0</v>
      </c>
      <c r="AJ1374" s="2" t="str">
        <f t="shared" si="487"/>
        <v>747027</v>
      </c>
    </row>
    <row r="1375" spans="1:36" x14ac:dyDescent="0.25">
      <c r="A1375">
        <v>8</v>
      </c>
      <c r="B1375" s="1">
        <v>47027</v>
      </c>
      <c r="C1375" s="1">
        <f t="shared" si="478"/>
        <v>47270</v>
      </c>
      <c r="D1375" s="1">
        <f t="shared" si="479"/>
        <v>47041</v>
      </c>
      <c r="E1375" s="1">
        <f t="shared" si="480"/>
        <v>47270</v>
      </c>
      <c r="F1375" s="1">
        <f t="shared" si="481"/>
        <v>47300</v>
      </c>
      <c r="G1375" s="1">
        <f t="shared" si="482"/>
        <v>47406</v>
      </c>
      <c r="H1375">
        <f t="shared" si="483"/>
        <v>365</v>
      </c>
      <c r="I1375">
        <f t="shared" si="484"/>
        <v>30</v>
      </c>
      <c r="J1375">
        <f t="shared" si="485"/>
        <v>8.2191780821917804E-2</v>
      </c>
      <c r="K1375">
        <f>IFERROR($J1375/IF($A1375&lt;COUNTIFS($K$1:K$1,"&lt;&gt;"),0,SUMIFS($J:$J,$B:$B,$B1375,$A:$A,"&gt;="&amp;COUNTIFS($K$1:K$1,"&lt;&gt;"))),0)</f>
        <v>8.6206896551724144E-2</v>
      </c>
      <c r="L1375">
        <f>IFERROR($J1375/IF($A1375&lt;COUNTIFS($K$1:L$1,"&lt;&gt;"),0,SUMIFS($J:$J,$B:$B,$B1375,$A:$A,"&gt;="&amp;COUNTIFS($K$1:L$1,"&lt;&gt;"))),0)</f>
        <v>9.4339622641509441E-2</v>
      </c>
      <c r="M1375">
        <f>IFERROR($J1375/IF($A1375&lt;COUNTIFS($K$1:M$1,"&lt;&gt;"),0,SUMIFS($J:$J,$B:$B,$B1375,$A:$A,"&gt;="&amp;COUNTIFS($K$1:M$1,"&lt;&gt;"))),0)</f>
        <v>0.10452961672473869</v>
      </c>
      <c r="N1375">
        <f>IFERROR($J1375/IF($A1375&lt;COUNTIFS($K$1:N$1,"&lt;&gt;"),0,SUMIFS($J:$J,$B:$B,$B1375,$A:$A,"&gt;="&amp;COUNTIFS($K$1:N$1,"&lt;&gt;"))),0)</f>
        <v>0.11718750000000001</v>
      </c>
      <c r="O1375">
        <f>IFERROR($J1375/IF($A1375&lt;COUNTIFS($K$1:O$1,"&lt;&gt;"),0,SUMIFS($J:$J,$B:$B,$B1375,$A:$A,"&gt;="&amp;COUNTIFS($K$1:O$1,"&lt;&gt;"))),0)</f>
        <v>0.13157894736842107</v>
      </c>
      <c r="P1375">
        <f>IFERROR($J1375/IF($A1375&lt;COUNTIFS($K$1:P$1,"&lt;&gt;"),0,SUMIFS($J:$J,$B:$B,$B1375,$A:$A,"&gt;="&amp;COUNTIFS($K$1:P$1,"&lt;&gt;"))),0)</f>
        <v>0.15228426395939088</v>
      </c>
      <c r="Q1375">
        <f>IFERROR($J1375/IF($A1375&lt;COUNTIFS($K$1:Q$1,"&lt;&gt;"),0,SUMIFS($J:$J,$B:$B,$B1375,$A:$A,"&gt;="&amp;COUNTIFS($K$1:Q$1,"&lt;&gt;"))),0)</f>
        <v>0.17964071856287425</v>
      </c>
      <c r="R1375">
        <f>IFERROR($J1375/IF($A1375&lt;COUNTIFS($K$1:R$1,"&lt;&gt;"),0,SUMIFS($J:$J,$B:$B,$B1375,$A:$A,"&gt;="&amp;COUNTIFS($K$1:R$1,"&lt;&gt;"))),0)</f>
        <v>0.22058823529411764</v>
      </c>
      <c r="S1375">
        <f>IFERROR($J1375/IF($A1375&lt;COUNTIFS($K$1:S$1,"&lt;&gt;"),0,SUMIFS($J:$J,$B:$B,$B1375,$A:$A,"&gt;="&amp;COUNTIFS($K$1:S$1,"&lt;&gt;"))),0)</f>
        <v>0</v>
      </c>
      <c r="T1375">
        <f>IFERROR($J1375/IF($A1375&lt;COUNTIFS($K$1:T$1,"&lt;&gt;"),0,SUMIFS($J:$J,$B:$B,$B1375,$A:$A,"&gt;="&amp;COUNTIFS($K$1:T$1,"&lt;&gt;"))),0)</f>
        <v>0</v>
      </c>
      <c r="U1375">
        <f>IFERROR($J1375/IF($A1375&lt;COUNTIFS($K$1:U$1,"&lt;&gt;"),0,SUMIFS($J:$J,$B:$B,$B1375,$A:$A,"&gt;="&amp;COUNTIFS($K$1:U$1,"&lt;&gt;"))),0)</f>
        <v>0</v>
      </c>
      <c r="V1375">
        <f>IFERROR($J1375/IF($A1375&lt;COUNTIFS($K$1:V$1,"&lt;&gt;"),0,SUMIFS($J:$J,$B:$B,$B1375,$A:$A,"&gt;="&amp;COUNTIFS($K$1:V$1,"&lt;&gt;"))),0)</f>
        <v>0</v>
      </c>
      <c r="W1375">
        <f t="shared" si="486"/>
        <v>8.2191780821917804E-2</v>
      </c>
      <c r="X1375">
        <f t="shared" si="466"/>
        <v>8.2191780821917804E-2</v>
      </c>
      <c r="Y1375">
        <f t="shared" si="467"/>
        <v>8.2191780821917804E-2</v>
      </c>
      <c r="Z1375">
        <f t="shared" si="468"/>
        <v>8.2191780821917804E-2</v>
      </c>
      <c r="AA1375">
        <f t="shared" si="469"/>
        <v>8.2191780821917804E-2</v>
      </c>
      <c r="AB1375">
        <f t="shared" si="470"/>
        <v>8.2191780821917804E-2</v>
      </c>
      <c r="AC1375">
        <f t="shared" si="471"/>
        <v>8.2191780821917804E-2</v>
      </c>
      <c r="AD1375">
        <f t="shared" si="472"/>
        <v>8.2191780821917804E-2</v>
      </c>
      <c r="AE1375">
        <f t="shared" si="473"/>
        <v>8.2191780821917804E-2</v>
      </c>
      <c r="AF1375">
        <f t="shared" si="474"/>
        <v>0</v>
      </c>
      <c r="AG1375">
        <f t="shared" si="475"/>
        <v>0</v>
      </c>
      <c r="AH1375">
        <f t="shared" si="476"/>
        <v>0</v>
      </c>
      <c r="AI1375">
        <f t="shared" si="477"/>
        <v>0</v>
      </c>
      <c r="AJ1375" s="2" t="str">
        <f t="shared" si="487"/>
        <v>847027</v>
      </c>
    </row>
    <row r="1376" spans="1:36" x14ac:dyDescent="0.25">
      <c r="A1376">
        <v>9</v>
      </c>
      <c r="B1376" s="1">
        <v>47027</v>
      </c>
      <c r="C1376" s="1">
        <f t="shared" si="478"/>
        <v>47300</v>
      </c>
      <c r="D1376" s="1">
        <f t="shared" si="479"/>
        <v>47041</v>
      </c>
      <c r="E1376" s="1">
        <f t="shared" si="480"/>
        <v>47300</v>
      </c>
      <c r="F1376" s="1">
        <f t="shared" si="481"/>
        <v>47331</v>
      </c>
      <c r="G1376" s="1">
        <f t="shared" si="482"/>
        <v>47406</v>
      </c>
      <c r="H1376">
        <f t="shared" si="483"/>
        <v>365</v>
      </c>
      <c r="I1376">
        <f t="shared" si="484"/>
        <v>31</v>
      </c>
      <c r="J1376">
        <f t="shared" si="485"/>
        <v>8.4931506849315067E-2</v>
      </c>
      <c r="K1376">
        <f>IFERROR($J1376/IF($A1376&lt;COUNTIFS($K$1:K$1,"&lt;&gt;"),0,SUMIFS($J:$J,$B:$B,$B1376,$A:$A,"&gt;="&amp;COUNTIFS($K$1:K$1,"&lt;&gt;"))),0)</f>
        <v>8.9080459770114959E-2</v>
      </c>
      <c r="L1376">
        <f>IFERROR($J1376/IF($A1376&lt;COUNTIFS($K$1:L$1,"&lt;&gt;"),0,SUMIFS($J:$J,$B:$B,$B1376,$A:$A,"&gt;="&amp;COUNTIFS($K$1:L$1,"&lt;&gt;"))),0)</f>
        <v>9.7484276729559768E-2</v>
      </c>
      <c r="M1376">
        <f>IFERROR($J1376/IF($A1376&lt;COUNTIFS($K$1:M$1,"&lt;&gt;"),0,SUMIFS($J:$J,$B:$B,$B1376,$A:$A,"&gt;="&amp;COUNTIFS($K$1:M$1,"&lt;&gt;"))),0)</f>
        <v>0.10801393728222998</v>
      </c>
      <c r="N1376">
        <f>IFERROR($J1376/IF($A1376&lt;COUNTIFS($K$1:N$1,"&lt;&gt;"),0,SUMIFS($J:$J,$B:$B,$B1376,$A:$A,"&gt;="&amp;COUNTIFS($K$1:N$1,"&lt;&gt;"))),0)</f>
        <v>0.12109375000000001</v>
      </c>
      <c r="O1376">
        <f>IFERROR($J1376/IF($A1376&lt;COUNTIFS($K$1:O$1,"&lt;&gt;"),0,SUMIFS($J:$J,$B:$B,$B1376,$A:$A,"&gt;="&amp;COUNTIFS($K$1:O$1,"&lt;&gt;"))),0)</f>
        <v>0.13596491228070179</v>
      </c>
      <c r="P1376">
        <f>IFERROR($J1376/IF($A1376&lt;COUNTIFS($K$1:P$1,"&lt;&gt;"),0,SUMIFS($J:$J,$B:$B,$B1376,$A:$A,"&gt;="&amp;COUNTIFS($K$1:P$1,"&lt;&gt;"))),0)</f>
        <v>0.15736040609137059</v>
      </c>
      <c r="Q1376">
        <f>IFERROR($J1376/IF($A1376&lt;COUNTIFS($K$1:Q$1,"&lt;&gt;"),0,SUMIFS($J:$J,$B:$B,$B1376,$A:$A,"&gt;="&amp;COUNTIFS($K$1:Q$1,"&lt;&gt;"))),0)</f>
        <v>0.18562874251497008</v>
      </c>
      <c r="R1376">
        <f>IFERROR($J1376/IF($A1376&lt;COUNTIFS($K$1:R$1,"&lt;&gt;"),0,SUMIFS($J:$J,$B:$B,$B1376,$A:$A,"&gt;="&amp;COUNTIFS($K$1:R$1,"&lt;&gt;"))),0)</f>
        <v>0.22794117647058826</v>
      </c>
      <c r="S1376">
        <f>IFERROR($J1376/IF($A1376&lt;COUNTIFS($K$1:S$1,"&lt;&gt;"),0,SUMIFS($J:$J,$B:$B,$B1376,$A:$A,"&gt;="&amp;COUNTIFS($K$1:S$1,"&lt;&gt;"))),0)</f>
        <v>0.29245283018867929</v>
      </c>
      <c r="T1376">
        <f>IFERROR($J1376/IF($A1376&lt;COUNTIFS($K$1:T$1,"&lt;&gt;"),0,SUMIFS($J:$J,$B:$B,$B1376,$A:$A,"&gt;="&amp;COUNTIFS($K$1:T$1,"&lt;&gt;"))),0)</f>
        <v>0</v>
      </c>
      <c r="U1376">
        <f>IFERROR($J1376/IF($A1376&lt;COUNTIFS($K$1:U$1,"&lt;&gt;"),0,SUMIFS($J:$J,$B:$B,$B1376,$A:$A,"&gt;="&amp;COUNTIFS($K$1:U$1,"&lt;&gt;"))),0)</f>
        <v>0</v>
      </c>
      <c r="V1376">
        <f>IFERROR($J1376/IF($A1376&lt;COUNTIFS($K$1:V$1,"&lt;&gt;"),0,SUMIFS($J:$J,$B:$B,$B1376,$A:$A,"&gt;="&amp;COUNTIFS($K$1:V$1,"&lt;&gt;"))),0)</f>
        <v>0</v>
      </c>
      <c r="W1376">
        <f t="shared" si="486"/>
        <v>8.4931506849315067E-2</v>
      </c>
      <c r="X1376">
        <f t="shared" si="466"/>
        <v>8.4931506849315067E-2</v>
      </c>
      <c r="Y1376">
        <f t="shared" si="467"/>
        <v>8.4931506849315067E-2</v>
      </c>
      <c r="Z1376">
        <f t="shared" si="468"/>
        <v>8.4931506849315067E-2</v>
      </c>
      <c r="AA1376">
        <f t="shared" si="469"/>
        <v>8.4931506849315067E-2</v>
      </c>
      <c r="AB1376">
        <f t="shared" si="470"/>
        <v>8.4931506849315067E-2</v>
      </c>
      <c r="AC1376">
        <f t="shared" si="471"/>
        <v>8.4931506849315067E-2</v>
      </c>
      <c r="AD1376">
        <f t="shared" si="472"/>
        <v>8.4931506849315067E-2</v>
      </c>
      <c r="AE1376">
        <f t="shared" si="473"/>
        <v>8.4931506849315067E-2</v>
      </c>
      <c r="AF1376">
        <f t="shared" si="474"/>
        <v>8.4931506849315067E-2</v>
      </c>
      <c r="AG1376">
        <f t="shared" si="475"/>
        <v>0</v>
      </c>
      <c r="AH1376">
        <f t="shared" si="476"/>
        <v>0</v>
      </c>
      <c r="AI1376">
        <f t="shared" si="477"/>
        <v>0</v>
      </c>
      <c r="AJ1376" s="2" t="str">
        <f t="shared" si="487"/>
        <v>947027</v>
      </c>
    </row>
    <row r="1377" spans="1:36" x14ac:dyDescent="0.25">
      <c r="A1377">
        <v>10</v>
      </c>
      <c r="B1377" s="1">
        <v>47027</v>
      </c>
      <c r="C1377" s="1">
        <f t="shared" si="478"/>
        <v>47331</v>
      </c>
      <c r="D1377" s="1">
        <f t="shared" si="479"/>
        <v>47041</v>
      </c>
      <c r="E1377" s="1">
        <f t="shared" si="480"/>
        <v>47331</v>
      </c>
      <c r="F1377" s="1">
        <f t="shared" si="481"/>
        <v>47362</v>
      </c>
      <c r="G1377" s="1">
        <f t="shared" si="482"/>
        <v>47406</v>
      </c>
      <c r="H1377">
        <f t="shared" si="483"/>
        <v>365</v>
      </c>
      <c r="I1377">
        <f t="shared" si="484"/>
        <v>31</v>
      </c>
      <c r="J1377">
        <f t="shared" si="485"/>
        <v>8.4931506849315067E-2</v>
      </c>
      <c r="K1377">
        <f>IFERROR($J1377/IF($A1377&lt;COUNTIFS($K$1:K$1,"&lt;&gt;"),0,SUMIFS($J:$J,$B:$B,$B1377,$A:$A,"&gt;="&amp;COUNTIFS($K$1:K$1,"&lt;&gt;"))),0)</f>
        <v>8.9080459770114959E-2</v>
      </c>
      <c r="L1377">
        <f>IFERROR($J1377/IF($A1377&lt;COUNTIFS($K$1:L$1,"&lt;&gt;"),0,SUMIFS($J:$J,$B:$B,$B1377,$A:$A,"&gt;="&amp;COUNTIFS($K$1:L$1,"&lt;&gt;"))),0)</f>
        <v>9.7484276729559768E-2</v>
      </c>
      <c r="M1377">
        <f>IFERROR($J1377/IF($A1377&lt;COUNTIFS($K$1:M$1,"&lt;&gt;"),0,SUMIFS($J:$J,$B:$B,$B1377,$A:$A,"&gt;="&amp;COUNTIFS($K$1:M$1,"&lt;&gt;"))),0)</f>
        <v>0.10801393728222998</v>
      </c>
      <c r="N1377">
        <f>IFERROR($J1377/IF($A1377&lt;COUNTIFS($K$1:N$1,"&lt;&gt;"),0,SUMIFS($J:$J,$B:$B,$B1377,$A:$A,"&gt;="&amp;COUNTIFS($K$1:N$1,"&lt;&gt;"))),0)</f>
        <v>0.12109375000000001</v>
      </c>
      <c r="O1377">
        <f>IFERROR($J1377/IF($A1377&lt;COUNTIFS($K$1:O$1,"&lt;&gt;"),0,SUMIFS($J:$J,$B:$B,$B1377,$A:$A,"&gt;="&amp;COUNTIFS($K$1:O$1,"&lt;&gt;"))),0)</f>
        <v>0.13596491228070179</v>
      </c>
      <c r="P1377">
        <f>IFERROR($J1377/IF($A1377&lt;COUNTIFS($K$1:P$1,"&lt;&gt;"),0,SUMIFS($J:$J,$B:$B,$B1377,$A:$A,"&gt;="&amp;COUNTIFS($K$1:P$1,"&lt;&gt;"))),0)</f>
        <v>0.15736040609137059</v>
      </c>
      <c r="Q1377">
        <f>IFERROR($J1377/IF($A1377&lt;COUNTIFS($K$1:Q$1,"&lt;&gt;"),0,SUMIFS($J:$J,$B:$B,$B1377,$A:$A,"&gt;="&amp;COUNTIFS($K$1:Q$1,"&lt;&gt;"))),0)</f>
        <v>0.18562874251497008</v>
      </c>
      <c r="R1377">
        <f>IFERROR($J1377/IF($A1377&lt;COUNTIFS($K$1:R$1,"&lt;&gt;"),0,SUMIFS($J:$J,$B:$B,$B1377,$A:$A,"&gt;="&amp;COUNTIFS($K$1:R$1,"&lt;&gt;"))),0)</f>
        <v>0.22794117647058826</v>
      </c>
      <c r="S1377">
        <f>IFERROR($J1377/IF($A1377&lt;COUNTIFS($K$1:S$1,"&lt;&gt;"),0,SUMIFS($J:$J,$B:$B,$B1377,$A:$A,"&gt;="&amp;COUNTIFS($K$1:S$1,"&lt;&gt;"))),0)</f>
        <v>0.29245283018867929</v>
      </c>
      <c r="T1377">
        <f>IFERROR($J1377/IF($A1377&lt;COUNTIFS($K$1:T$1,"&lt;&gt;"),0,SUMIFS($J:$J,$B:$B,$B1377,$A:$A,"&gt;="&amp;COUNTIFS($K$1:T$1,"&lt;&gt;"))),0)</f>
        <v>0.41333333333333333</v>
      </c>
      <c r="U1377">
        <f>IFERROR($J1377/IF($A1377&lt;COUNTIFS($K$1:U$1,"&lt;&gt;"),0,SUMIFS($J:$J,$B:$B,$B1377,$A:$A,"&gt;="&amp;COUNTIFS($K$1:U$1,"&lt;&gt;"))),0)</f>
        <v>0</v>
      </c>
      <c r="V1377">
        <f>IFERROR($J1377/IF($A1377&lt;COUNTIFS($K$1:V$1,"&lt;&gt;"),0,SUMIFS($J:$J,$B:$B,$B1377,$A:$A,"&gt;="&amp;COUNTIFS($K$1:V$1,"&lt;&gt;"))),0)</f>
        <v>0</v>
      </c>
      <c r="W1377">
        <f t="shared" si="486"/>
        <v>8.4931506849315067E-2</v>
      </c>
      <c r="X1377">
        <f t="shared" si="466"/>
        <v>8.4931506849315067E-2</v>
      </c>
      <c r="Y1377">
        <f t="shared" si="467"/>
        <v>8.4931506849315067E-2</v>
      </c>
      <c r="Z1377">
        <f t="shared" si="468"/>
        <v>8.4931506849315067E-2</v>
      </c>
      <c r="AA1377">
        <f t="shared" si="469"/>
        <v>8.4931506849315067E-2</v>
      </c>
      <c r="AB1377">
        <f t="shared" si="470"/>
        <v>8.4931506849315067E-2</v>
      </c>
      <c r="AC1377">
        <f t="shared" si="471"/>
        <v>8.4931506849315067E-2</v>
      </c>
      <c r="AD1377">
        <f t="shared" si="472"/>
        <v>8.4931506849315067E-2</v>
      </c>
      <c r="AE1377">
        <f t="shared" si="473"/>
        <v>8.4931506849315067E-2</v>
      </c>
      <c r="AF1377">
        <f t="shared" si="474"/>
        <v>8.4931506849315067E-2</v>
      </c>
      <c r="AG1377">
        <f t="shared" si="475"/>
        <v>8.4931506849315067E-2</v>
      </c>
      <c r="AH1377">
        <f t="shared" si="476"/>
        <v>0</v>
      </c>
      <c r="AI1377">
        <f t="shared" si="477"/>
        <v>0</v>
      </c>
      <c r="AJ1377" s="2" t="str">
        <f t="shared" si="487"/>
        <v>1047027</v>
      </c>
    </row>
    <row r="1378" spans="1:36" x14ac:dyDescent="0.25">
      <c r="A1378">
        <v>11</v>
      </c>
      <c r="B1378" s="1">
        <v>47027</v>
      </c>
      <c r="C1378" s="1">
        <f t="shared" si="478"/>
        <v>47362</v>
      </c>
      <c r="D1378" s="1">
        <f t="shared" si="479"/>
        <v>47041</v>
      </c>
      <c r="E1378" s="1">
        <f t="shared" si="480"/>
        <v>47362</v>
      </c>
      <c r="F1378" s="1">
        <f t="shared" si="481"/>
        <v>47392</v>
      </c>
      <c r="G1378" s="1">
        <f t="shared" si="482"/>
        <v>47406</v>
      </c>
      <c r="H1378">
        <f t="shared" si="483"/>
        <v>365</v>
      </c>
      <c r="I1378">
        <f t="shared" si="484"/>
        <v>30</v>
      </c>
      <c r="J1378">
        <f t="shared" si="485"/>
        <v>8.2191780821917804E-2</v>
      </c>
      <c r="K1378">
        <f>IFERROR($J1378/IF($A1378&lt;COUNTIFS($K$1:K$1,"&lt;&gt;"),0,SUMIFS($J:$J,$B:$B,$B1378,$A:$A,"&gt;="&amp;COUNTIFS($K$1:K$1,"&lt;&gt;"))),0)</f>
        <v>8.6206896551724144E-2</v>
      </c>
      <c r="L1378">
        <f>IFERROR($J1378/IF($A1378&lt;COUNTIFS($K$1:L$1,"&lt;&gt;"),0,SUMIFS($J:$J,$B:$B,$B1378,$A:$A,"&gt;="&amp;COUNTIFS($K$1:L$1,"&lt;&gt;"))),0)</f>
        <v>9.4339622641509441E-2</v>
      </c>
      <c r="M1378">
        <f>IFERROR($J1378/IF($A1378&lt;COUNTIFS($K$1:M$1,"&lt;&gt;"),0,SUMIFS($J:$J,$B:$B,$B1378,$A:$A,"&gt;="&amp;COUNTIFS($K$1:M$1,"&lt;&gt;"))),0)</f>
        <v>0.10452961672473869</v>
      </c>
      <c r="N1378">
        <f>IFERROR($J1378/IF($A1378&lt;COUNTIFS($K$1:N$1,"&lt;&gt;"),0,SUMIFS($J:$J,$B:$B,$B1378,$A:$A,"&gt;="&amp;COUNTIFS($K$1:N$1,"&lt;&gt;"))),0)</f>
        <v>0.11718750000000001</v>
      </c>
      <c r="O1378">
        <f>IFERROR($J1378/IF($A1378&lt;COUNTIFS($K$1:O$1,"&lt;&gt;"),0,SUMIFS($J:$J,$B:$B,$B1378,$A:$A,"&gt;="&amp;COUNTIFS($K$1:O$1,"&lt;&gt;"))),0)</f>
        <v>0.13157894736842107</v>
      </c>
      <c r="P1378">
        <f>IFERROR($J1378/IF($A1378&lt;COUNTIFS($K$1:P$1,"&lt;&gt;"),0,SUMIFS($J:$J,$B:$B,$B1378,$A:$A,"&gt;="&amp;COUNTIFS($K$1:P$1,"&lt;&gt;"))),0)</f>
        <v>0.15228426395939088</v>
      </c>
      <c r="Q1378">
        <f>IFERROR($J1378/IF($A1378&lt;COUNTIFS($K$1:Q$1,"&lt;&gt;"),0,SUMIFS($J:$J,$B:$B,$B1378,$A:$A,"&gt;="&amp;COUNTIFS($K$1:Q$1,"&lt;&gt;"))),0)</f>
        <v>0.17964071856287425</v>
      </c>
      <c r="R1378">
        <f>IFERROR($J1378/IF($A1378&lt;COUNTIFS($K$1:R$1,"&lt;&gt;"),0,SUMIFS($J:$J,$B:$B,$B1378,$A:$A,"&gt;="&amp;COUNTIFS($K$1:R$1,"&lt;&gt;"))),0)</f>
        <v>0.22058823529411764</v>
      </c>
      <c r="S1378">
        <f>IFERROR($J1378/IF($A1378&lt;COUNTIFS($K$1:S$1,"&lt;&gt;"),0,SUMIFS($J:$J,$B:$B,$B1378,$A:$A,"&gt;="&amp;COUNTIFS($K$1:S$1,"&lt;&gt;"))),0)</f>
        <v>0.28301886792452829</v>
      </c>
      <c r="T1378">
        <f>IFERROR($J1378/IF($A1378&lt;COUNTIFS($K$1:T$1,"&lt;&gt;"),0,SUMIFS($J:$J,$B:$B,$B1378,$A:$A,"&gt;="&amp;COUNTIFS($K$1:T$1,"&lt;&gt;"))),0)</f>
        <v>0.4</v>
      </c>
      <c r="U1378">
        <f>IFERROR($J1378/IF($A1378&lt;COUNTIFS($K$1:U$1,"&lt;&gt;"),0,SUMIFS($J:$J,$B:$B,$B1378,$A:$A,"&gt;="&amp;COUNTIFS($K$1:U$1,"&lt;&gt;"))),0)</f>
        <v>0.68181818181818177</v>
      </c>
      <c r="V1378">
        <f>IFERROR($J1378/IF($A1378&lt;COUNTIFS($K$1:V$1,"&lt;&gt;"),0,SUMIFS($J:$J,$B:$B,$B1378,$A:$A,"&gt;="&amp;COUNTIFS($K$1:V$1,"&lt;&gt;"))),0)</f>
        <v>0</v>
      </c>
      <c r="W1378">
        <f t="shared" si="486"/>
        <v>8.2191780821917804E-2</v>
      </c>
      <c r="X1378">
        <f t="shared" si="466"/>
        <v>8.2191780821917804E-2</v>
      </c>
      <c r="Y1378">
        <f t="shared" si="467"/>
        <v>8.2191780821917804E-2</v>
      </c>
      <c r="Z1378">
        <f t="shared" si="468"/>
        <v>8.2191780821917804E-2</v>
      </c>
      <c r="AA1378">
        <f t="shared" si="469"/>
        <v>8.2191780821917804E-2</v>
      </c>
      <c r="AB1378">
        <f t="shared" si="470"/>
        <v>8.2191780821917804E-2</v>
      </c>
      <c r="AC1378">
        <f t="shared" si="471"/>
        <v>8.2191780821917804E-2</v>
      </c>
      <c r="AD1378">
        <f t="shared" si="472"/>
        <v>8.2191780821917804E-2</v>
      </c>
      <c r="AE1378">
        <f t="shared" si="473"/>
        <v>8.2191780821917804E-2</v>
      </c>
      <c r="AF1378">
        <f t="shared" si="474"/>
        <v>8.2191780821917804E-2</v>
      </c>
      <c r="AG1378">
        <f t="shared" si="475"/>
        <v>8.2191780821917804E-2</v>
      </c>
      <c r="AH1378">
        <f t="shared" si="476"/>
        <v>8.2191780821917804E-2</v>
      </c>
      <c r="AI1378">
        <f t="shared" si="477"/>
        <v>0</v>
      </c>
      <c r="AJ1378" s="2" t="str">
        <f t="shared" si="487"/>
        <v>1147027</v>
      </c>
    </row>
    <row r="1379" spans="1:36" x14ac:dyDescent="0.25">
      <c r="A1379">
        <v>12</v>
      </c>
      <c r="B1379" s="1">
        <v>47027</v>
      </c>
      <c r="C1379" s="1">
        <f t="shared" si="478"/>
        <v>47392</v>
      </c>
      <c r="D1379" s="1">
        <f t="shared" si="479"/>
        <v>47041</v>
      </c>
      <c r="E1379" s="1">
        <f t="shared" si="480"/>
        <v>47392</v>
      </c>
      <c r="F1379" s="1">
        <f t="shared" si="481"/>
        <v>47406</v>
      </c>
      <c r="G1379" s="1">
        <f t="shared" si="482"/>
        <v>47406</v>
      </c>
      <c r="H1379">
        <f t="shared" si="483"/>
        <v>365</v>
      </c>
      <c r="I1379">
        <f t="shared" si="484"/>
        <v>14</v>
      </c>
      <c r="J1379">
        <f t="shared" si="485"/>
        <v>3.8356164383561646E-2</v>
      </c>
      <c r="K1379">
        <f>IFERROR($J1379/IF($A1379&lt;COUNTIFS($K$1:K$1,"&lt;&gt;"),0,SUMIFS($J:$J,$B:$B,$B1379,$A:$A,"&gt;="&amp;COUNTIFS($K$1:K$1,"&lt;&gt;"))),0)</f>
        <v>4.0229885057471271E-2</v>
      </c>
      <c r="L1379">
        <f>IFERROR($J1379/IF($A1379&lt;COUNTIFS($K$1:L$1,"&lt;&gt;"),0,SUMIFS($J:$J,$B:$B,$B1379,$A:$A,"&gt;="&amp;COUNTIFS($K$1:L$1,"&lt;&gt;"))),0)</f>
        <v>4.4025157232704414E-2</v>
      </c>
      <c r="M1379">
        <f>IFERROR($J1379/IF($A1379&lt;COUNTIFS($K$1:M$1,"&lt;&gt;"),0,SUMIFS($J:$J,$B:$B,$B1379,$A:$A,"&gt;="&amp;COUNTIFS($K$1:M$1,"&lt;&gt;"))),0)</f>
        <v>4.8780487804878057E-2</v>
      </c>
      <c r="N1379">
        <f>IFERROR($J1379/IF($A1379&lt;COUNTIFS($K$1:N$1,"&lt;&gt;"),0,SUMIFS($J:$J,$B:$B,$B1379,$A:$A,"&gt;="&amp;COUNTIFS($K$1:N$1,"&lt;&gt;"))),0)</f>
        <v>5.4687500000000014E-2</v>
      </c>
      <c r="O1379">
        <f>IFERROR($J1379/IF($A1379&lt;COUNTIFS($K$1:O$1,"&lt;&gt;"),0,SUMIFS($J:$J,$B:$B,$B1379,$A:$A,"&gt;="&amp;COUNTIFS($K$1:O$1,"&lt;&gt;"))),0)</f>
        <v>6.1403508771929842E-2</v>
      </c>
      <c r="P1379">
        <f>IFERROR($J1379/IF($A1379&lt;COUNTIFS($K$1:P$1,"&lt;&gt;"),0,SUMIFS($J:$J,$B:$B,$B1379,$A:$A,"&gt;="&amp;COUNTIFS($K$1:P$1,"&lt;&gt;"))),0)</f>
        <v>7.1065989847715755E-2</v>
      </c>
      <c r="Q1379">
        <f>IFERROR($J1379/IF($A1379&lt;COUNTIFS($K$1:Q$1,"&lt;&gt;"),0,SUMIFS($J:$J,$B:$B,$B1379,$A:$A,"&gt;="&amp;COUNTIFS($K$1:Q$1,"&lt;&gt;"))),0)</f>
        <v>8.3832335329341326E-2</v>
      </c>
      <c r="R1379">
        <f>IFERROR($J1379/IF($A1379&lt;COUNTIFS($K$1:R$1,"&lt;&gt;"),0,SUMIFS($J:$J,$B:$B,$B1379,$A:$A,"&gt;="&amp;COUNTIFS($K$1:R$1,"&lt;&gt;"))),0)</f>
        <v>0.10294117647058824</v>
      </c>
      <c r="S1379">
        <f>IFERROR($J1379/IF($A1379&lt;COUNTIFS($K$1:S$1,"&lt;&gt;"),0,SUMIFS($J:$J,$B:$B,$B1379,$A:$A,"&gt;="&amp;COUNTIFS($K$1:S$1,"&lt;&gt;"))),0)</f>
        <v>0.13207547169811323</v>
      </c>
      <c r="T1379">
        <f>IFERROR($J1379/IF($A1379&lt;COUNTIFS($K$1:T$1,"&lt;&gt;"),0,SUMIFS($J:$J,$B:$B,$B1379,$A:$A,"&gt;="&amp;COUNTIFS($K$1:T$1,"&lt;&gt;"))),0)</f>
        <v>0.18666666666666668</v>
      </c>
      <c r="U1379">
        <f>IFERROR($J1379/IF($A1379&lt;COUNTIFS($K$1:U$1,"&lt;&gt;"),0,SUMIFS($J:$J,$B:$B,$B1379,$A:$A,"&gt;="&amp;COUNTIFS($K$1:U$1,"&lt;&gt;"))),0)</f>
        <v>0.31818181818181818</v>
      </c>
      <c r="V1379">
        <f>IFERROR($J1379/IF($A1379&lt;COUNTIFS($K$1:V$1,"&lt;&gt;"),0,SUMIFS($J:$J,$B:$B,$B1379,$A:$A,"&gt;="&amp;COUNTIFS($K$1:V$1,"&lt;&gt;"))),0)</f>
        <v>1</v>
      </c>
      <c r="W1379">
        <f t="shared" si="486"/>
        <v>3.8356164383561646E-2</v>
      </c>
      <c r="X1379">
        <f t="shared" si="466"/>
        <v>3.8356164383561646E-2</v>
      </c>
      <c r="Y1379">
        <f t="shared" si="467"/>
        <v>3.8356164383561646E-2</v>
      </c>
      <c r="Z1379">
        <f t="shared" si="468"/>
        <v>3.8356164383561646E-2</v>
      </c>
      <c r="AA1379">
        <f t="shared" si="469"/>
        <v>3.8356164383561646E-2</v>
      </c>
      <c r="AB1379">
        <f t="shared" si="470"/>
        <v>3.8356164383561646E-2</v>
      </c>
      <c r="AC1379">
        <f t="shared" si="471"/>
        <v>3.8356164383561646E-2</v>
      </c>
      <c r="AD1379">
        <f t="shared" si="472"/>
        <v>3.8356164383561646E-2</v>
      </c>
      <c r="AE1379">
        <f t="shared" si="473"/>
        <v>3.8356164383561646E-2</v>
      </c>
      <c r="AF1379">
        <f t="shared" si="474"/>
        <v>3.8356164383561646E-2</v>
      </c>
      <c r="AG1379">
        <f t="shared" si="475"/>
        <v>3.8356164383561646E-2</v>
      </c>
      <c r="AH1379">
        <f t="shared" si="476"/>
        <v>3.8356164383561646E-2</v>
      </c>
      <c r="AI1379">
        <f t="shared" si="477"/>
        <v>3.8356164383561646E-2</v>
      </c>
      <c r="AJ1379" s="2" t="str">
        <f t="shared" si="487"/>
        <v>1247027</v>
      </c>
    </row>
    <row r="1380" spans="1:36" x14ac:dyDescent="0.25">
      <c r="A1380">
        <v>0</v>
      </c>
      <c r="B1380" s="1">
        <v>47058</v>
      </c>
      <c r="C1380" s="1">
        <f t="shared" si="478"/>
        <v>47058</v>
      </c>
      <c r="D1380" s="1">
        <f t="shared" si="479"/>
        <v>47072</v>
      </c>
      <c r="E1380" s="1">
        <f t="shared" si="480"/>
        <v>47072</v>
      </c>
      <c r="F1380" s="1">
        <f t="shared" si="481"/>
        <v>47088</v>
      </c>
      <c r="G1380" s="1">
        <f t="shared" si="482"/>
        <v>47437</v>
      </c>
      <c r="H1380">
        <f t="shared" si="483"/>
        <v>365</v>
      </c>
      <c r="I1380">
        <f t="shared" si="484"/>
        <v>16</v>
      </c>
      <c r="J1380">
        <f t="shared" si="485"/>
        <v>4.3835616438356165E-2</v>
      </c>
      <c r="K1380">
        <f>IFERROR($J1380/IF($A1380&lt;COUNTIFS($K$1:K$1,"&lt;&gt;"),0,SUMIFS($J:$J,$B:$B,$B1380,$A:$A,"&gt;="&amp;COUNTIFS($K$1:K$1,"&lt;&gt;"))),0)</f>
        <v>0</v>
      </c>
      <c r="L1380">
        <f>IFERROR($J1380/IF($A1380&lt;COUNTIFS($K$1:L$1,"&lt;&gt;"),0,SUMIFS($J:$J,$B:$B,$B1380,$A:$A,"&gt;="&amp;COUNTIFS($K$1:L$1,"&lt;&gt;"))),0)</f>
        <v>0</v>
      </c>
      <c r="M1380">
        <f>IFERROR($J1380/IF($A1380&lt;COUNTIFS($K$1:M$1,"&lt;&gt;"),0,SUMIFS($J:$J,$B:$B,$B1380,$A:$A,"&gt;="&amp;COUNTIFS($K$1:M$1,"&lt;&gt;"))),0)</f>
        <v>0</v>
      </c>
      <c r="N1380">
        <f>IFERROR($J1380/IF($A1380&lt;COUNTIFS($K$1:N$1,"&lt;&gt;"),0,SUMIFS($J:$J,$B:$B,$B1380,$A:$A,"&gt;="&amp;COUNTIFS($K$1:N$1,"&lt;&gt;"))),0)</f>
        <v>0</v>
      </c>
      <c r="O1380">
        <f>IFERROR($J1380/IF($A1380&lt;COUNTIFS($K$1:O$1,"&lt;&gt;"),0,SUMIFS($J:$J,$B:$B,$B1380,$A:$A,"&gt;="&amp;COUNTIFS($K$1:O$1,"&lt;&gt;"))),0)</f>
        <v>0</v>
      </c>
      <c r="P1380">
        <f>IFERROR($J1380/IF($A1380&lt;COUNTIFS($K$1:P$1,"&lt;&gt;"),0,SUMIFS($J:$J,$B:$B,$B1380,$A:$A,"&gt;="&amp;COUNTIFS($K$1:P$1,"&lt;&gt;"))),0)</f>
        <v>0</v>
      </c>
      <c r="Q1380">
        <f>IFERROR($J1380/IF($A1380&lt;COUNTIFS($K$1:Q$1,"&lt;&gt;"),0,SUMIFS($J:$J,$B:$B,$B1380,$A:$A,"&gt;="&amp;COUNTIFS($K$1:Q$1,"&lt;&gt;"))),0)</f>
        <v>0</v>
      </c>
      <c r="R1380">
        <f>IFERROR($J1380/IF($A1380&lt;COUNTIFS($K$1:R$1,"&lt;&gt;"),0,SUMIFS($J:$J,$B:$B,$B1380,$A:$A,"&gt;="&amp;COUNTIFS($K$1:R$1,"&lt;&gt;"))),0)</f>
        <v>0</v>
      </c>
      <c r="S1380">
        <f>IFERROR($J1380/IF($A1380&lt;COUNTIFS($K$1:S$1,"&lt;&gt;"),0,SUMIFS($J:$J,$B:$B,$B1380,$A:$A,"&gt;="&amp;COUNTIFS($K$1:S$1,"&lt;&gt;"))),0)</f>
        <v>0</v>
      </c>
      <c r="T1380">
        <f>IFERROR($J1380/IF($A1380&lt;COUNTIFS($K$1:T$1,"&lt;&gt;"),0,SUMIFS($J:$J,$B:$B,$B1380,$A:$A,"&gt;="&amp;COUNTIFS($K$1:T$1,"&lt;&gt;"))),0)</f>
        <v>0</v>
      </c>
      <c r="U1380">
        <f>IFERROR($J1380/IF($A1380&lt;COUNTIFS($K$1:U$1,"&lt;&gt;"),0,SUMIFS($J:$J,$B:$B,$B1380,$A:$A,"&gt;="&amp;COUNTIFS($K$1:U$1,"&lt;&gt;"))),0)</f>
        <v>0</v>
      </c>
      <c r="V1380">
        <f>IFERROR($J1380/IF($A1380&lt;COUNTIFS($K$1:V$1,"&lt;&gt;"),0,SUMIFS($J:$J,$B:$B,$B1380,$A:$A,"&gt;="&amp;COUNTIFS($K$1:V$1,"&lt;&gt;"))),0)</f>
        <v>0</v>
      </c>
      <c r="W1380">
        <f t="shared" si="486"/>
        <v>4.3835616438356165E-2</v>
      </c>
      <c r="X1380">
        <f t="shared" si="466"/>
        <v>0</v>
      </c>
      <c r="Y1380">
        <f t="shared" si="467"/>
        <v>0</v>
      </c>
      <c r="Z1380">
        <f t="shared" si="468"/>
        <v>0</v>
      </c>
      <c r="AA1380">
        <f t="shared" si="469"/>
        <v>0</v>
      </c>
      <c r="AB1380">
        <f t="shared" si="470"/>
        <v>0</v>
      </c>
      <c r="AC1380">
        <f t="shared" si="471"/>
        <v>0</v>
      </c>
      <c r="AD1380">
        <f t="shared" si="472"/>
        <v>0</v>
      </c>
      <c r="AE1380">
        <f t="shared" si="473"/>
        <v>0</v>
      </c>
      <c r="AF1380">
        <f t="shared" si="474"/>
        <v>0</v>
      </c>
      <c r="AG1380">
        <f t="shared" si="475"/>
        <v>0</v>
      </c>
      <c r="AH1380">
        <f t="shared" si="476"/>
        <v>0</v>
      </c>
      <c r="AI1380">
        <f t="shared" si="477"/>
        <v>0</v>
      </c>
      <c r="AJ1380" s="2" t="str">
        <f t="shared" si="487"/>
        <v>047058</v>
      </c>
    </row>
    <row r="1381" spans="1:36" x14ac:dyDescent="0.25">
      <c r="A1381">
        <v>1</v>
      </c>
      <c r="B1381" s="1">
        <v>47058</v>
      </c>
      <c r="C1381" s="1">
        <f t="shared" si="478"/>
        <v>47088</v>
      </c>
      <c r="D1381" s="1">
        <f t="shared" si="479"/>
        <v>47072</v>
      </c>
      <c r="E1381" s="1">
        <f t="shared" si="480"/>
        <v>47088</v>
      </c>
      <c r="F1381" s="1">
        <f t="shared" si="481"/>
        <v>47119</v>
      </c>
      <c r="G1381" s="1">
        <f t="shared" si="482"/>
        <v>47437</v>
      </c>
      <c r="H1381">
        <f t="shared" si="483"/>
        <v>365</v>
      </c>
      <c r="I1381">
        <f t="shared" si="484"/>
        <v>31</v>
      </c>
      <c r="J1381">
        <f t="shared" si="485"/>
        <v>8.4931506849315067E-2</v>
      </c>
      <c r="K1381">
        <f>IFERROR($J1381/IF($A1381&lt;COUNTIFS($K$1:K$1,"&lt;&gt;"),0,SUMIFS($J:$J,$B:$B,$B1381,$A:$A,"&gt;="&amp;COUNTIFS($K$1:K$1,"&lt;&gt;"))),0)</f>
        <v>8.8825214899713484E-2</v>
      </c>
      <c r="L1381">
        <f>IFERROR($J1381/IF($A1381&lt;COUNTIFS($K$1:L$1,"&lt;&gt;"),0,SUMIFS($J:$J,$B:$B,$B1381,$A:$A,"&gt;="&amp;COUNTIFS($K$1:L$1,"&lt;&gt;"))),0)</f>
        <v>0</v>
      </c>
      <c r="M1381">
        <f>IFERROR($J1381/IF($A1381&lt;COUNTIFS($K$1:M$1,"&lt;&gt;"),0,SUMIFS($J:$J,$B:$B,$B1381,$A:$A,"&gt;="&amp;COUNTIFS($K$1:M$1,"&lt;&gt;"))),0)</f>
        <v>0</v>
      </c>
      <c r="N1381">
        <f>IFERROR($J1381/IF($A1381&lt;COUNTIFS($K$1:N$1,"&lt;&gt;"),0,SUMIFS($J:$J,$B:$B,$B1381,$A:$A,"&gt;="&amp;COUNTIFS($K$1:N$1,"&lt;&gt;"))),0)</f>
        <v>0</v>
      </c>
      <c r="O1381">
        <f>IFERROR($J1381/IF($A1381&lt;COUNTIFS($K$1:O$1,"&lt;&gt;"),0,SUMIFS($J:$J,$B:$B,$B1381,$A:$A,"&gt;="&amp;COUNTIFS($K$1:O$1,"&lt;&gt;"))),0)</f>
        <v>0</v>
      </c>
      <c r="P1381">
        <f>IFERROR($J1381/IF($A1381&lt;COUNTIFS($K$1:P$1,"&lt;&gt;"),0,SUMIFS($J:$J,$B:$B,$B1381,$A:$A,"&gt;="&amp;COUNTIFS($K$1:P$1,"&lt;&gt;"))),0)</f>
        <v>0</v>
      </c>
      <c r="Q1381">
        <f>IFERROR($J1381/IF($A1381&lt;COUNTIFS($K$1:Q$1,"&lt;&gt;"),0,SUMIFS($J:$J,$B:$B,$B1381,$A:$A,"&gt;="&amp;COUNTIFS($K$1:Q$1,"&lt;&gt;"))),0)</f>
        <v>0</v>
      </c>
      <c r="R1381">
        <f>IFERROR($J1381/IF($A1381&lt;COUNTIFS($K$1:R$1,"&lt;&gt;"),0,SUMIFS($J:$J,$B:$B,$B1381,$A:$A,"&gt;="&amp;COUNTIFS($K$1:R$1,"&lt;&gt;"))),0)</f>
        <v>0</v>
      </c>
      <c r="S1381">
        <f>IFERROR($J1381/IF($A1381&lt;COUNTIFS($K$1:S$1,"&lt;&gt;"),0,SUMIFS($J:$J,$B:$B,$B1381,$A:$A,"&gt;="&amp;COUNTIFS($K$1:S$1,"&lt;&gt;"))),0)</f>
        <v>0</v>
      </c>
      <c r="T1381">
        <f>IFERROR($J1381/IF($A1381&lt;COUNTIFS($K$1:T$1,"&lt;&gt;"),0,SUMIFS($J:$J,$B:$B,$B1381,$A:$A,"&gt;="&amp;COUNTIFS($K$1:T$1,"&lt;&gt;"))),0)</f>
        <v>0</v>
      </c>
      <c r="U1381">
        <f>IFERROR($J1381/IF($A1381&lt;COUNTIFS($K$1:U$1,"&lt;&gt;"),0,SUMIFS($J:$J,$B:$B,$B1381,$A:$A,"&gt;="&amp;COUNTIFS($K$1:U$1,"&lt;&gt;"))),0)</f>
        <v>0</v>
      </c>
      <c r="V1381">
        <f>IFERROR($J1381/IF($A1381&lt;COUNTIFS($K$1:V$1,"&lt;&gt;"),0,SUMIFS($J:$J,$B:$B,$B1381,$A:$A,"&gt;="&amp;COUNTIFS($K$1:V$1,"&lt;&gt;"))),0)</f>
        <v>0</v>
      </c>
      <c r="W1381">
        <f t="shared" si="486"/>
        <v>8.4931506849315067E-2</v>
      </c>
      <c r="X1381">
        <f t="shared" si="466"/>
        <v>8.4931506849315067E-2</v>
      </c>
      <c r="Y1381">
        <f t="shared" si="467"/>
        <v>0</v>
      </c>
      <c r="Z1381">
        <f t="shared" si="468"/>
        <v>0</v>
      </c>
      <c r="AA1381">
        <f t="shared" si="469"/>
        <v>0</v>
      </c>
      <c r="AB1381">
        <f t="shared" si="470"/>
        <v>0</v>
      </c>
      <c r="AC1381">
        <f t="shared" si="471"/>
        <v>0</v>
      </c>
      <c r="AD1381">
        <f t="shared" si="472"/>
        <v>0</v>
      </c>
      <c r="AE1381">
        <f t="shared" si="473"/>
        <v>0</v>
      </c>
      <c r="AF1381">
        <f t="shared" si="474"/>
        <v>0</v>
      </c>
      <c r="AG1381">
        <f t="shared" si="475"/>
        <v>0</v>
      </c>
      <c r="AH1381">
        <f t="shared" si="476"/>
        <v>0</v>
      </c>
      <c r="AI1381">
        <f t="shared" si="477"/>
        <v>0</v>
      </c>
      <c r="AJ1381" s="2" t="str">
        <f t="shared" si="487"/>
        <v>147058</v>
      </c>
    </row>
    <row r="1382" spans="1:36" x14ac:dyDescent="0.25">
      <c r="A1382">
        <v>2</v>
      </c>
      <c r="B1382" s="1">
        <v>47058</v>
      </c>
      <c r="C1382" s="1">
        <f t="shared" si="478"/>
        <v>47119</v>
      </c>
      <c r="D1382" s="1">
        <f t="shared" si="479"/>
        <v>47072</v>
      </c>
      <c r="E1382" s="1">
        <f t="shared" si="480"/>
        <v>47119</v>
      </c>
      <c r="F1382" s="1">
        <f t="shared" si="481"/>
        <v>47150</v>
      </c>
      <c r="G1382" s="1">
        <f t="shared" si="482"/>
        <v>47437</v>
      </c>
      <c r="H1382">
        <f t="shared" si="483"/>
        <v>365</v>
      </c>
      <c r="I1382">
        <f t="shared" si="484"/>
        <v>31</v>
      </c>
      <c r="J1382">
        <f t="shared" si="485"/>
        <v>8.4931506849315067E-2</v>
      </c>
      <c r="K1382">
        <f>IFERROR($J1382/IF($A1382&lt;COUNTIFS($K$1:K$1,"&lt;&gt;"),0,SUMIFS($J:$J,$B:$B,$B1382,$A:$A,"&gt;="&amp;COUNTIFS($K$1:K$1,"&lt;&gt;"))),0)</f>
        <v>8.8825214899713484E-2</v>
      </c>
      <c r="L1382">
        <f>IFERROR($J1382/IF($A1382&lt;COUNTIFS($K$1:L$1,"&lt;&gt;"),0,SUMIFS($J:$J,$B:$B,$B1382,$A:$A,"&gt;="&amp;COUNTIFS($K$1:L$1,"&lt;&gt;"))),0)</f>
        <v>9.7484276729559768E-2</v>
      </c>
      <c r="M1382">
        <f>IFERROR($J1382/IF($A1382&lt;COUNTIFS($K$1:M$1,"&lt;&gt;"),0,SUMIFS($J:$J,$B:$B,$B1382,$A:$A,"&gt;="&amp;COUNTIFS($K$1:M$1,"&lt;&gt;"))),0)</f>
        <v>0</v>
      </c>
      <c r="N1382">
        <f>IFERROR($J1382/IF($A1382&lt;COUNTIFS($K$1:N$1,"&lt;&gt;"),0,SUMIFS($J:$J,$B:$B,$B1382,$A:$A,"&gt;="&amp;COUNTIFS($K$1:N$1,"&lt;&gt;"))),0)</f>
        <v>0</v>
      </c>
      <c r="O1382">
        <f>IFERROR($J1382/IF($A1382&lt;COUNTIFS($K$1:O$1,"&lt;&gt;"),0,SUMIFS($J:$J,$B:$B,$B1382,$A:$A,"&gt;="&amp;COUNTIFS($K$1:O$1,"&lt;&gt;"))),0)</f>
        <v>0</v>
      </c>
      <c r="P1382">
        <f>IFERROR($J1382/IF($A1382&lt;COUNTIFS($K$1:P$1,"&lt;&gt;"),0,SUMIFS($J:$J,$B:$B,$B1382,$A:$A,"&gt;="&amp;COUNTIFS($K$1:P$1,"&lt;&gt;"))),0)</f>
        <v>0</v>
      </c>
      <c r="Q1382">
        <f>IFERROR($J1382/IF($A1382&lt;COUNTIFS($K$1:Q$1,"&lt;&gt;"),0,SUMIFS($J:$J,$B:$B,$B1382,$A:$A,"&gt;="&amp;COUNTIFS($K$1:Q$1,"&lt;&gt;"))),0)</f>
        <v>0</v>
      </c>
      <c r="R1382">
        <f>IFERROR($J1382/IF($A1382&lt;COUNTIFS($K$1:R$1,"&lt;&gt;"),0,SUMIFS($J:$J,$B:$B,$B1382,$A:$A,"&gt;="&amp;COUNTIFS($K$1:R$1,"&lt;&gt;"))),0)</f>
        <v>0</v>
      </c>
      <c r="S1382">
        <f>IFERROR($J1382/IF($A1382&lt;COUNTIFS($K$1:S$1,"&lt;&gt;"),0,SUMIFS($J:$J,$B:$B,$B1382,$A:$A,"&gt;="&amp;COUNTIFS($K$1:S$1,"&lt;&gt;"))),0)</f>
        <v>0</v>
      </c>
      <c r="T1382">
        <f>IFERROR($J1382/IF($A1382&lt;COUNTIFS($K$1:T$1,"&lt;&gt;"),0,SUMIFS($J:$J,$B:$B,$B1382,$A:$A,"&gt;="&amp;COUNTIFS($K$1:T$1,"&lt;&gt;"))),0)</f>
        <v>0</v>
      </c>
      <c r="U1382">
        <f>IFERROR($J1382/IF($A1382&lt;COUNTIFS($K$1:U$1,"&lt;&gt;"),0,SUMIFS($J:$J,$B:$B,$B1382,$A:$A,"&gt;="&amp;COUNTIFS($K$1:U$1,"&lt;&gt;"))),0)</f>
        <v>0</v>
      </c>
      <c r="V1382">
        <f>IFERROR($J1382/IF($A1382&lt;COUNTIFS($K$1:V$1,"&lt;&gt;"),0,SUMIFS($J:$J,$B:$B,$B1382,$A:$A,"&gt;="&amp;COUNTIFS($K$1:V$1,"&lt;&gt;"))),0)</f>
        <v>0</v>
      </c>
      <c r="W1382">
        <f t="shared" si="486"/>
        <v>8.4931506849315067E-2</v>
      </c>
      <c r="X1382">
        <f t="shared" si="466"/>
        <v>8.4931506849315067E-2</v>
      </c>
      <c r="Y1382">
        <f t="shared" si="467"/>
        <v>8.4931506849315067E-2</v>
      </c>
      <c r="Z1382">
        <f t="shared" si="468"/>
        <v>0</v>
      </c>
      <c r="AA1382">
        <f t="shared" si="469"/>
        <v>0</v>
      </c>
      <c r="AB1382">
        <f t="shared" si="470"/>
        <v>0</v>
      </c>
      <c r="AC1382">
        <f t="shared" si="471"/>
        <v>0</v>
      </c>
      <c r="AD1382">
        <f t="shared" si="472"/>
        <v>0</v>
      </c>
      <c r="AE1382">
        <f t="shared" si="473"/>
        <v>0</v>
      </c>
      <c r="AF1382">
        <f t="shared" si="474"/>
        <v>0</v>
      </c>
      <c r="AG1382">
        <f t="shared" si="475"/>
        <v>0</v>
      </c>
      <c r="AH1382">
        <f t="shared" si="476"/>
        <v>0</v>
      </c>
      <c r="AI1382">
        <f t="shared" si="477"/>
        <v>0</v>
      </c>
      <c r="AJ1382" s="2" t="str">
        <f t="shared" si="487"/>
        <v>247058</v>
      </c>
    </row>
    <row r="1383" spans="1:36" x14ac:dyDescent="0.25">
      <c r="A1383">
        <v>3</v>
      </c>
      <c r="B1383" s="1">
        <v>47058</v>
      </c>
      <c r="C1383" s="1">
        <f t="shared" si="478"/>
        <v>47150</v>
      </c>
      <c r="D1383" s="1">
        <f t="shared" si="479"/>
        <v>47072</v>
      </c>
      <c r="E1383" s="1">
        <f t="shared" si="480"/>
        <v>47150</v>
      </c>
      <c r="F1383" s="1">
        <f t="shared" si="481"/>
        <v>47178</v>
      </c>
      <c r="G1383" s="1">
        <f t="shared" si="482"/>
        <v>47437</v>
      </c>
      <c r="H1383">
        <f t="shared" si="483"/>
        <v>365</v>
      </c>
      <c r="I1383">
        <f t="shared" si="484"/>
        <v>28</v>
      </c>
      <c r="J1383">
        <f t="shared" si="485"/>
        <v>7.6712328767123292E-2</v>
      </c>
      <c r="K1383">
        <f>IFERROR($J1383/IF($A1383&lt;COUNTIFS($K$1:K$1,"&lt;&gt;"),0,SUMIFS($J:$J,$B:$B,$B1383,$A:$A,"&gt;="&amp;COUNTIFS($K$1:K$1,"&lt;&gt;"))),0)</f>
        <v>8.0229226361031539E-2</v>
      </c>
      <c r="L1383">
        <f>IFERROR($J1383/IF($A1383&lt;COUNTIFS($K$1:L$1,"&lt;&gt;"),0,SUMIFS($J:$J,$B:$B,$B1383,$A:$A,"&gt;="&amp;COUNTIFS($K$1:L$1,"&lt;&gt;"))),0)</f>
        <v>8.8050314465408827E-2</v>
      </c>
      <c r="M1383">
        <f>IFERROR($J1383/IF($A1383&lt;COUNTIFS($K$1:M$1,"&lt;&gt;"),0,SUMIFS($J:$J,$B:$B,$B1383,$A:$A,"&gt;="&amp;COUNTIFS($K$1:M$1,"&lt;&gt;"))),0)</f>
        <v>9.7560975609756115E-2</v>
      </c>
      <c r="N1383">
        <f>IFERROR($J1383/IF($A1383&lt;COUNTIFS($K$1:N$1,"&lt;&gt;"),0,SUMIFS($J:$J,$B:$B,$B1383,$A:$A,"&gt;="&amp;COUNTIFS($K$1:N$1,"&lt;&gt;"))),0)</f>
        <v>0</v>
      </c>
      <c r="O1383">
        <f>IFERROR($J1383/IF($A1383&lt;COUNTIFS($K$1:O$1,"&lt;&gt;"),0,SUMIFS($J:$J,$B:$B,$B1383,$A:$A,"&gt;="&amp;COUNTIFS($K$1:O$1,"&lt;&gt;"))),0)</f>
        <v>0</v>
      </c>
      <c r="P1383">
        <f>IFERROR($J1383/IF($A1383&lt;COUNTIFS($K$1:P$1,"&lt;&gt;"),0,SUMIFS($J:$J,$B:$B,$B1383,$A:$A,"&gt;="&amp;COUNTIFS($K$1:P$1,"&lt;&gt;"))),0)</f>
        <v>0</v>
      </c>
      <c r="Q1383">
        <f>IFERROR($J1383/IF($A1383&lt;COUNTIFS($K$1:Q$1,"&lt;&gt;"),0,SUMIFS($J:$J,$B:$B,$B1383,$A:$A,"&gt;="&amp;COUNTIFS($K$1:Q$1,"&lt;&gt;"))),0)</f>
        <v>0</v>
      </c>
      <c r="R1383">
        <f>IFERROR($J1383/IF($A1383&lt;COUNTIFS($K$1:R$1,"&lt;&gt;"),0,SUMIFS($J:$J,$B:$B,$B1383,$A:$A,"&gt;="&amp;COUNTIFS($K$1:R$1,"&lt;&gt;"))),0)</f>
        <v>0</v>
      </c>
      <c r="S1383">
        <f>IFERROR($J1383/IF($A1383&lt;COUNTIFS($K$1:S$1,"&lt;&gt;"),0,SUMIFS($J:$J,$B:$B,$B1383,$A:$A,"&gt;="&amp;COUNTIFS($K$1:S$1,"&lt;&gt;"))),0)</f>
        <v>0</v>
      </c>
      <c r="T1383">
        <f>IFERROR($J1383/IF($A1383&lt;COUNTIFS($K$1:T$1,"&lt;&gt;"),0,SUMIFS($J:$J,$B:$B,$B1383,$A:$A,"&gt;="&amp;COUNTIFS($K$1:T$1,"&lt;&gt;"))),0)</f>
        <v>0</v>
      </c>
      <c r="U1383">
        <f>IFERROR($J1383/IF($A1383&lt;COUNTIFS($K$1:U$1,"&lt;&gt;"),0,SUMIFS($J:$J,$B:$B,$B1383,$A:$A,"&gt;="&amp;COUNTIFS($K$1:U$1,"&lt;&gt;"))),0)</f>
        <v>0</v>
      </c>
      <c r="V1383">
        <f>IFERROR($J1383/IF($A1383&lt;COUNTIFS($K$1:V$1,"&lt;&gt;"),0,SUMIFS($J:$J,$B:$B,$B1383,$A:$A,"&gt;="&amp;COUNTIFS($K$1:V$1,"&lt;&gt;"))),0)</f>
        <v>0</v>
      </c>
      <c r="W1383">
        <f t="shared" si="486"/>
        <v>7.6712328767123292E-2</v>
      </c>
      <c r="X1383">
        <f t="shared" si="466"/>
        <v>7.6712328767123292E-2</v>
      </c>
      <c r="Y1383">
        <f t="shared" si="467"/>
        <v>7.6712328767123292E-2</v>
      </c>
      <c r="Z1383">
        <f t="shared" si="468"/>
        <v>7.6712328767123292E-2</v>
      </c>
      <c r="AA1383">
        <f t="shared" si="469"/>
        <v>0</v>
      </c>
      <c r="AB1383">
        <f t="shared" si="470"/>
        <v>0</v>
      </c>
      <c r="AC1383">
        <f t="shared" si="471"/>
        <v>0</v>
      </c>
      <c r="AD1383">
        <f t="shared" si="472"/>
        <v>0</v>
      </c>
      <c r="AE1383">
        <f t="shared" si="473"/>
        <v>0</v>
      </c>
      <c r="AF1383">
        <f t="shared" si="474"/>
        <v>0</v>
      </c>
      <c r="AG1383">
        <f t="shared" si="475"/>
        <v>0</v>
      </c>
      <c r="AH1383">
        <f t="shared" si="476"/>
        <v>0</v>
      </c>
      <c r="AI1383">
        <f t="shared" si="477"/>
        <v>0</v>
      </c>
      <c r="AJ1383" s="2" t="str">
        <f t="shared" si="487"/>
        <v>347058</v>
      </c>
    </row>
    <row r="1384" spans="1:36" x14ac:dyDescent="0.25">
      <c r="A1384">
        <v>4</v>
      </c>
      <c r="B1384" s="1">
        <v>47058</v>
      </c>
      <c r="C1384" s="1">
        <f t="shared" si="478"/>
        <v>47178</v>
      </c>
      <c r="D1384" s="1">
        <f t="shared" si="479"/>
        <v>47072</v>
      </c>
      <c r="E1384" s="1">
        <f t="shared" si="480"/>
        <v>47178</v>
      </c>
      <c r="F1384" s="1">
        <f t="shared" si="481"/>
        <v>47209</v>
      </c>
      <c r="G1384" s="1">
        <f t="shared" si="482"/>
        <v>47437</v>
      </c>
      <c r="H1384">
        <f t="shared" si="483"/>
        <v>365</v>
      </c>
      <c r="I1384">
        <f t="shared" si="484"/>
        <v>31</v>
      </c>
      <c r="J1384">
        <f t="shared" si="485"/>
        <v>8.4931506849315067E-2</v>
      </c>
      <c r="K1384">
        <f>IFERROR($J1384/IF($A1384&lt;COUNTIFS($K$1:K$1,"&lt;&gt;"),0,SUMIFS($J:$J,$B:$B,$B1384,$A:$A,"&gt;="&amp;COUNTIFS($K$1:K$1,"&lt;&gt;"))),0)</f>
        <v>8.8825214899713484E-2</v>
      </c>
      <c r="L1384">
        <f>IFERROR($J1384/IF($A1384&lt;COUNTIFS($K$1:L$1,"&lt;&gt;"),0,SUMIFS($J:$J,$B:$B,$B1384,$A:$A,"&gt;="&amp;COUNTIFS($K$1:L$1,"&lt;&gt;"))),0)</f>
        <v>9.7484276729559768E-2</v>
      </c>
      <c r="M1384">
        <f>IFERROR($J1384/IF($A1384&lt;COUNTIFS($K$1:M$1,"&lt;&gt;"),0,SUMIFS($J:$J,$B:$B,$B1384,$A:$A,"&gt;="&amp;COUNTIFS($K$1:M$1,"&lt;&gt;"))),0)</f>
        <v>0.10801393728222998</v>
      </c>
      <c r="N1384">
        <f>IFERROR($J1384/IF($A1384&lt;COUNTIFS($K$1:N$1,"&lt;&gt;"),0,SUMIFS($J:$J,$B:$B,$B1384,$A:$A,"&gt;="&amp;COUNTIFS($K$1:N$1,"&lt;&gt;"))),0)</f>
        <v>0.11969111969111972</v>
      </c>
      <c r="O1384">
        <f>IFERROR($J1384/IF($A1384&lt;COUNTIFS($K$1:O$1,"&lt;&gt;"),0,SUMIFS($J:$J,$B:$B,$B1384,$A:$A,"&gt;="&amp;COUNTIFS($K$1:O$1,"&lt;&gt;"))),0)</f>
        <v>0</v>
      </c>
      <c r="P1384">
        <f>IFERROR($J1384/IF($A1384&lt;COUNTIFS($K$1:P$1,"&lt;&gt;"),0,SUMIFS($J:$J,$B:$B,$B1384,$A:$A,"&gt;="&amp;COUNTIFS($K$1:P$1,"&lt;&gt;"))),0)</f>
        <v>0</v>
      </c>
      <c r="Q1384">
        <f>IFERROR($J1384/IF($A1384&lt;COUNTIFS($K$1:Q$1,"&lt;&gt;"),0,SUMIFS($J:$J,$B:$B,$B1384,$A:$A,"&gt;="&amp;COUNTIFS($K$1:Q$1,"&lt;&gt;"))),0)</f>
        <v>0</v>
      </c>
      <c r="R1384">
        <f>IFERROR($J1384/IF($A1384&lt;COUNTIFS($K$1:R$1,"&lt;&gt;"),0,SUMIFS($J:$J,$B:$B,$B1384,$A:$A,"&gt;="&amp;COUNTIFS($K$1:R$1,"&lt;&gt;"))),0)</f>
        <v>0</v>
      </c>
      <c r="S1384">
        <f>IFERROR($J1384/IF($A1384&lt;COUNTIFS($K$1:S$1,"&lt;&gt;"),0,SUMIFS($J:$J,$B:$B,$B1384,$A:$A,"&gt;="&amp;COUNTIFS($K$1:S$1,"&lt;&gt;"))),0)</f>
        <v>0</v>
      </c>
      <c r="T1384">
        <f>IFERROR($J1384/IF($A1384&lt;COUNTIFS($K$1:T$1,"&lt;&gt;"),0,SUMIFS($J:$J,$B:$B,$B1384,$A:$A,"&gt;="&amp;COUNTIFS($K$1:T$1,"&lt;&gt;"))),0)</f>
        <v>0</v>
      </c>
      <c r="U1384">
        <f>IFERROR($J1384/IF($A1384&lt;COUNTIFS($K$1:U$1,"&lt;&gt;"),0,SUMIFS($J:$J,$B:$B,$B1384,$A:$A,"&gt;="&amp;COUNTIFS($K$1:U$1,"&lt;&gt;"))),0)</f>
        <v>0</v>
      </c>
      <c r="V1384">
        <f>IFERROR($J1384/IF($A1384&lt;COUNTIFS($K$1:V$1,"&lt;&gt;"),0,SUMIFS($J:$J,$B:$B,$B1384,$A:$A,"&gt;="&amp;COUNTIFS($K$1:V$1,"&lt;&gt;"))),0)</f>
        <v>0</v>
      </c>
      <c r="W1384">
        <f t="shared" si="486"/>
        <v>8.4931506849315067E-2</v>
      </c>
      <c r="X1384">
        <f t="shared" si="466"/>
        <v>8.4931506849315067E-2</v>
      </c>
      <c r="Y1384">
        <f t="shared" si="467"/>
        <v>8.4931506849315067E-2</v>
      </c>
      <c r="Z1384">
        <f t="shared" si="468"/>
        <v>8.4931506849315067E-2</v>
      </c>
      <c r="AA1384">
        <f t="shared" si="469"/>
        <v>8.4931506849315067E-2</v>
      </c>
      <c r="AB1384">
        <f t="shared" si="470"/>
        <v>0</v>
      </c>
      <c r="AC1384">
        <f t="shared" si="471"/>
        <v>0</v>
      </c>
      <c r="AD1384">
        <f t="shared" si="472"/>
        <v>0</v>
      </c>
      <c r="AE1384">
        <f t="shared" si="473"/>
        <v>0</v>
      </c>
      <c r="AF1384">
        <f t="shared" si="474"/>
        <v>0</v>
      </c>
      <c r="AG1384">
        <f t="shared" si="475"/>
        <v>0</v>
      </c>
      <c r="AH1384">
        <f t="shared" si="476"/>
        <v>0</v>
      </c>
      <c r="AI1384">
        <f t="shared" si="477"/>
        <v>0</v>
      </c>
      <c r="AJ1384" s="2" t="str">
        <f t="shared" si="487"/>
        <v>447058</v>
      </c>
    </row>
    <row r="1385" spans="1:36" x14ac:dyDescent="0.25">
      <c r="A1385">
        <v>5</v>
      </c>
      <c r="B1385" s="1">
        <v>47058</v>
      </c>
      <c r="C1385" s="1">
        <f t="shared" si="478"/>
        <v>47209</v>
      </c>
      <c r="D1385" s="1">
        <f t="shared" si="479"/>
        <v>47072</v>
      </c>
      <c r="E1385" s="1">
        <f t="shared" si="480"/>
        <v>47209</v>
      </c>
      <c r="F1385" s="1">
        <f t="shared" si="481"/>
        <v>47239</v>
      </c>
      <c r="G1385" s="1">
        <f t="shared" si="482"/>
        <v>47437</v>
      </c>
      <c r="H1385">
        <f t="shared" si="483"/>
        <v>365</v>
      </c>
      <c r="I1385">
        <f t="shared" si="484"/>
        <v>30</v>
      </c>
      <c r="J1385">
        <f t="shared" si="485"/>
        <v>8.2191780821917804E-2</v>
      </c>
      <c r="K1385">
        <f>IFERROR($J1385/IF($A1385&lt;COUNTIFS($K$1:K$1,"&lt;&gt;"),0,SUMIFS($J:$J,$B:$B,$B1385,$A:$A,"&gt;="&amp;COUNTIFS($K$1:K$1,"&lt;&gt;"))),0)</f>
        <v>8.5959885386819493E-2</v>
      </c>
      <c r="L1385">
        <f>IFERROR($J1385/IF($A1385&lt;COUNTIFS($K$1:L$1,"&lt;&gt;"),0,SUMIFS($J:$J,$B:$B,$B1385,$A:$A,"&gt;="&amp;COUNTIFS($K$1:L$1,"&lt;&gt;"))),0)</f>
        <v>9.4339622641509441E-2</v>
      </c>
      <c r="M1385">
        <f>IFERROR($J1385/IF($A1385&lt;COUNTIFS($K$1:M$1,"&lt;&gt;"),0,SUMIFS($J:$J,$B:$B,$B1385,$A:$A,"&gt;="&amp;COUNTIFS($K$1:M$1,"&lt;&gt;"))),0)</f>
        <v>0.10452961672473869</v>
      </c>
      <c r="N1385">
        <f>IFERROR($J1385/IF($A1385&lt;COUNTIFS($K$1:N$1,"&lt;&gt;"),0,SUMIFS($J:$J,$B:$B,$B1385,$A:$A,"&gt;="&amp;COUNTIFS($K$1:N$1,"&lt;&gt;"))),0)</f>
        <v>0.11583011583011585</v>
      </c>
      <c r="O1385">
        <f>IFERROR($J1385/IF($A1385&lt;COUNTIFS($K$1:O$1,"&lt;&gt;"),0,SUMIFS($J:$J,$B:$B,$B1385,$A:$A,"&gt;="&amp;COUNTIFS($K$1:O$1,"&lt;&gt;"))),0)</f>
        <v>0.13157894736842107</v>
      </c>
      <c r="P1385">
        <f>IFERROR($J1385/IF($A1385&lt;COUNTIFS($K$1:P$1,"&lt;&gt;"),0,SUMIFS($J:$J,$B:$B,$B1385,$A:$A,"&gt;="&amp;COUNTIFS($K$1:P$1,"&lt;&gt;"))),0)</f>
        <v>0</v>
      </c>
      <c r="Q1385">
        <f>IFERROR($J1385/IF($A1385&lt;COUNTIFS($K$1:Q$1,"&lt;&gt;"),0,SUMIFS($J:$J,$B:$B,$B1385,$A:$A,"&gt;="&amp;COUNTIFS($K$1:Q$1,"&lt;&gt;"))),0)</f>
        <v>0</v>
      </c>
      <c r="R1385">
        <f>IFERROR($J1385/IF($A1385&lt;COUNTIFS($K$1:R$1,"&lt;&gt;"),0,SUMIFS($J:$J,$B:$B,$B1385,$A:$A,"&gt;="&amp;COUNTIFS($K$1:R$1,"&lt;&gt;"))),0)</f>
        <v>0</v>
      </c>
      <c r="S1385">
        <f>IFERROR($J1385/IF($A1385&lt;COUNTIFS($K$1:S$1,"&lt;&gt;"),0,SUMIFS($J:$J,$B:$B,$B1385,$A:$A,"&gt;="&amp;COUNTIFS($K$1:S$1,"&lt;&gt;"))),0)</f>
        <v>0</v>
      </c>
      <c r="T1385">
        <f>IFERROR($J1385/IF($A1385&lt;COUNTIFS($K$1:T$1,"&lt;&gt;"),0,SUMIFS($J:$J,$B:$B,$B1385,$A:$A,"&gt;="&amp;COUNTIFS($K$1:T$1,"&lt;&gt;"))),0)</f>
        <v>0</v>
      </c>
      <c r="U1385">
        <f>IFERROR($J1385/IF($A1385&lt;COUNTIFS($K$1:U$1,"&lt;&gt;"),0,SUMIFS($J:$J,$B:$B,$B1385,$A:$A,"&gt;="&amp;COUNTIFS($K$1:U$1,"&lt;&gt;"))),0)</f>
        <v>0</v>
      </c>
      <c r="V1385">
        <f>IFERROR($J1385/IF($A1385&lt;COUNTIFS($K$1:V$1,"&lt;&gt;"),0,SUMIFS($J:$J,$B:$B,$B1385,$A:$A,"&gt;="&amp;COUNTIFS($K$1:V$1,"&lt;&gt;"))),0)</f>
        <v>0</v>
      </c>
      <c r="W1385">
        <f t="shared" si="486"/>
        <v>8.2191780821917804E-2</v>
      </c>
      <c r="X1385">
        <f t="shared" si="466"/>
        <v>8.2191780821917804E-2</v>
      </c>
      <c r="Y1385">
        <f t="shared" si="467"/>
        <v>8.2191780821917804E-2</v>
      </c>
      <c r="Z1385">
        <f t="shared" si="468"/>
        <v>8.2191780821917804E-2</v>
      </c>
      <c r="AA1385">
        <f t="shared" si="469"/>
        <v>8.2191780821917804E-2</v>
      </c>
      <c r="AB1385">
        <f t="shared" si="470"/>
        <v>8.2191780821917804E-2</v>
      </c>
      <c r="AC1385">
        <f t="shared" si="471"/>
        <v>0</v>
      </c>
      <c r="AD1385">
        <f t="shared" si="472"/>
        <v>0</v>
      </c>
      <c r="AE1385">
        <f t="shared" si="473"/>
        <v>0</v>
      </c>
      <c r="AF1385">
        <f t="shared" si="474"/>
        <v>0</v>
      </c>
      <c r="AG1385">
        <f t="shared" si="475"/>
        <v>0</v>
      </c>
      <c r="AH1385">
        <f t="shared" si="476"/>
        <v>0</v>
      </c>
      <c r="AI1385">
        <f t="shared" si="477"/>
        <v>0</v>
      </c>
      <c r="AJ1385" s="2" t="str">
        <f t="shared" si="487"/>
        <v>547058</v>
      </c>
    </row>
    <row r="1386" spans="1:36" x14ac:dyDescent="0.25">
      <c r="A1386">
        <v>6</v>
      </c>
      <c r="B1386" s="1">
        <v>47058</v>
      </c>
      <c r="C1386" s="1">
        <f t="shared" si="478"/>
        <v>47239</v>
      </c>
      <c r="D1386" s="1">
        <f t="shared" si="479"/>
        <v>47072</v>
      </c>
      <c r="E1386" s="1">
        <f t="shared" si="480"/>
        <v>47239</v>
      </c>
      <c r="F1386" s="1">
        <f t="shared" si="481"/>
        <v>47270</v>
      </c>
      <c r="G1386" s="1">
        <f t="shared" si="482"/>
        <v>47437</v>
      </c>
      <c r="H1386">
        <f t="shared" si="483"/>
        <v>365</v>
      </c>
      <c r="I1386">
        <f t="shared" si="484"/>
        <v>31</v>
      </c>
      <c r="J1386">
        <f t="shared" si="485"/>
        <v>8.4931506849315067E-2</v>
      </c>
      <c r="K1386">
        <f>IFERROR($J1386/IF($A1386&lt;COUNTIFS($K$1:K$1,"&lt;&gt;"),0,SUMIFS($J:$J,$B:$B,$B1386,$A:$A,"&gt;="&amp;COUNTIFS($K$1:K$1,"&lt;&gt;"))),0)</f>
        <v>8.8825214899713484E-2</v>
      </c>
      <c r="L1386">
        <f>IFERROR($J1386/IF($A1386&lt;COUNTIFS($K$1:L$1,"&lt;&gt;"),0,SUMIFS($J:$J,$B:$B,$B1386,$A:$A,"&gt;="&amp;COUNTIFS($K$1:L$1,"&lt;&gt;"))),0)</f>
        <v>9.7484276729559768E-2</v>
      </c>
      <c r="M1386">
        <f>IFERROR($J1386/IF($A1386&lt;COUNTIFS($K$1:M$1,"&lt;&gt;"),0,SUMIFS($J:$J,$B:$B,$B1386,$A:$A,"&gt;="&amp;COUNTIFS($K$1:M$1,"&lt;&gt;"))),0)</f>
        <v>0.10801393728222998</v>
      </c>
      <c r="N1386">
        <f>IFERROR($J1386/IF($A1386&lt;COUNTIFS($K$1:N$1,"&lt;&gt;"),0,SUMIFS($J:$J,$B:$B,$B1386,$A:$A,"&gt;="&amp;COUNTIFS($K$1:N$1,"&lt;&gt;"))),0)</f>
        <v>0.11969111969111972</v>
      </c>
      <c r="O1386">
        <f>IFERROR($J1386/IF($A1386&lt;COUNTIFS($K$1:O$1,"&lt;&gt;"),0,SUMIFS($J:$J,$B:$B,$B1386,$A:$A,"&gt;="&amp;COUNTIFS($K$1:O$1,"&lt;&gt;"))),0)</f>
        <v>0.13596491228070179</v>
      </c>
      <c r="P1386">
        <f>IFERROR($J1386/IF($A1386&lt;COUNTIFS($K$1:P$1,"&lt;&gt;"),0,SUMIFS($J:$J,$B:$B,$B1386,$A:$A,"&gt;="&amp;COUNTIFS($K$1:P$1,"&lt;&gt;"))),0)</f>
        <v>0.1565656565656566</v>
      </c>
      <c r="Q1386">
        <f>IFERROR($J1386/IF($A1386&lt;COUNTIFS($K$1:Q$1,"&lt;&gt;"),0,SUMIFS($J:$J,$B:$B,$B1386,$A:$A,"&gt;="&amp;COUNTIFS($K$1:Q$1,"&lt;&gt;"))),0)</f>
        <v>0</v>
      </c>
      <c r="R1386">
        <f>IFERROR($J1386/IF($A1386&lt;COUNTIFS($K$1:R$1,"&lt;&gt;"),0,SUMIFS($J:$J,$B:$B,$B1386,$A:$A,"&gt;="&amp;COUNTIFS($K$1:R$1,"&lt;&gt;"))),0)</f>
        <v>0</v>
      </c>
      <c r="S1386">
        <f>IFERROR($J1386/IF($A1386&lt;COUNTIFS($K$1:S$1,"&lt;&gt;"),0,SUMIFS($J:$J,$B:$B,$B1386,$A:$A,"&gt;="&amp;COUNTIFS($K$1:S$1,"&lt;&gt;"))),0)</f>
        <v>0</v>
      </c>
      <c r="T1386">
        <f>IFERROR($J1386/IF($A1386&lt;COUNTIFS($K$1:T$1,"&lt;&gt;"),0,SUMIFS($J:$J,$B:$B,$B1386,$A:$A,"&gt;="&amp;COUNTIFS($K$1:T$1,"&lt;&gt;"))),0)</f>
        <v>0</v>
      </c>
      <c r="U1386">
        <f>IFERROR($J1386/IF($A1386&lt;COUNTIFS($K$1:U$1,"&lt;&gt;"),0,SUMIFS($J:$J,$B:$B,$B1386,$A:$A,"&gt;="&amp;COUNTIFS($K$1:U$1,"&lt;&gt;"))),0)</f>
        <v>0</v>
      </c>
      <c r="V1386">
        <f>IFERROR($J1386/IF($A1386&lt;COUNTIFS($K$1:V$1,"&lt;&gt;"),0,SUMIFS($J:$J,$B:$B,$B1386,$A:$A,"&gt;="&amp;COUNTIFS($K$1:V$1,"&lt;&gt;"))),0)</f>
        <v>0</v>
      </c>
      <c r="W1386">
        <f t="shared" si="486"/>
        <v>8.4931506849315067E-2</v>
      </c>
      <c r="X1386">
        <f t="shared" si="466"/>
        <v>8.4931506849315067E-2</v>
      </c>
      <c r="Y1386">
        <f t="shared" si="467"/>
        <v>8.4931506849315067E-2</v>
      </c>
      <c r="Z1386">
        <f t="shared" si="468"/>
        <v>8.4931506849315067E-2</v>
      </c>
      <c r="AA1386">
        <f t="shared" si="469"/>
        <v>8.4931506849315067E-2</v>
      </c>
      <c r="AB1386">
        <f t="shared" si="470"/>
        <v>8.4931506849315067E-2</v>
      </c>
      <c r="AC1386">
        <f t="shared" si="471"/>
        <v>8.4931506849315067E-2</v>
      </c>
      <c r="AD1386">
        <f t="shared" si="472"/>
        <v>0</v>
      </c>
      <c r="AE1386">
        <f t="shared" si="473"/>
        <v>0</v>
      </c>
      <c r="AF1386">
        <f t="shared" si="474"/>
        <v>0</v>
      </c>
      <c r="AG1386">
        <f t="shared" si="475"/>
        <v>0</v>
      </c>
      <c r="AH1386">
        <f t="shared" si="476"/>
        <v>0</v>
      </c>
      <c r="AI1386">
        <f t="shared" si="477"/>
        <v>0</v>
      </c>
      <c r="AJ1386" s="2" t="str">
        <f t="shared" si="487"/>
        <v>647058</v>
      </c>
    </row>
    <row r="1387" spans="1:36" x14ac:dyDescent="0.25">
      <c r="A1387">
        <v>7</v>
      </c>
      <c r="B1387" s="1">
        <v>47058</v>
      </c>
      <c r="C1387" s="1">
        <f t="shared" si="478"/>
        <v>47270</v>
      </c>
      <c r="D1387" s="1">
        <f t="shared" si="479"/>
        <v>47072</v>
      </c>
      <c r="E1387" s="1">
        <f t="shared" si="480"/>
        <v>47270</v>
      </c>
      <c r="F1387" s="1">
        <f t="shared" si="481"/>
        <v>47300</v>
      </c>
      <c r="G1387" s="1">
        <f t="shared" si="482"/>
        <v>47437</v>
      </c>
      <c r="H1387">
        <f t="shared" si="483"/>
        <v>365</v>
      </c>
      <c r="I1387">
        <f t="shared" si="484"/>
        <v>30</v>
      </c>
      <c r="J1387">
        <f t="shared" si="485"/>
        <v>8.2191780821917804E-2</v>
      </c>
      <c r="K1387">
        <f>IFERROR($J1387/IF($A1387&lt;COUNTIFS($K$1:K$1,"&lt;&gt;"),0,SUMIFS($J:$J,$B:$B,$B1387,$A:$A,"&gt;="&amp;COUNTIFS($K$1:K$1,"&lt;&gt;"))),0)</f>
        <v>8.5959885386819493E-2</v>
      </c>
      <c r="L1387">
        <f>IFERROR($J1387/IF($A1387&lt;COUNTIFS($K$1:L$1,"&lt;&gt;"),0,SUMIFS($J:$J,$B:$B,$B1387,$A:$A,"&gt;="&amp;COUNTIFS($K$1:L$1,"&lt;&gt;"))),0)</f>
        <v>9.4339622641509441E-2</v>
      </c>
      <c r="M1387">
        <f>IFERROR($J1387/IF($A1387&lt;COUNTIFS($K$1:M$1,"&lt;&gt;"),0,SUMIFS($J:$J,$B:$B,$B1387,$A:$A,"&gt;="&amp;COUNTIFS($K$1:M$1,"&lt;&gt;"))),0)</f>
        <v>0.10452961672473869</v>
      </c>
      <c r="N1387">
        <f>IFERROR($J1387/IF($A1387&lt;COUNTIFS($K$1:N$1,"&lt;&gt;"),0,SUMIFS($J:$J,$B:$B,$B1387,$A:$A,"&gt;="&amp;COUNTIFS($K$1:N$1,"&lt;&gt;"))),0)</f>
        <v>0.11583011583011585</v>
      </c>
      <c r="O1387">
        <f>IFERROR($J1387/IF($A1387&lt;COUNTIFS($K$1:O$1,"&lt;&gt;"),0,SUMIFS($J:$J,$B:$B,$B1387,$A:$A,"&gt;="&amp;COUNTIFS($K$1:O$1,"&lt;&gt;"))),0)</f>
        <v>0.13157894736842107</v>
      </c>
      <c r="P1387">
        <f>IFERROR($J1387/IF($A1387&lt;COUNTIFS($K$1:P$1,"&lt;&gt;"),0,SUMIFS($J:$J,$B:$B,$B1387,$A:$A,"&gt;="&amp;COUNTIFS($K$1:P$1,"&lt;&gt;"))),0)</f>
        <v>0.15151515151515155</v>
      </c>
      <c r="Q1387">
        <f>IFERROR($J1387/IF($A1387&lt;COUNTIFS($K$1:Q$1,"&lt;&gt;"),0,SUMIFS($J:$J,$B:$B,$B1387,$A:$A,"&gt;="&amp;COUNTIFS($K$1:Q$1,"&lt;&gt;"))),0)</f>
        <v>0.17964071856287425</v>
      </c>
      <c r="R1387">
        <f>IFERROR($J1387/IF($A1387&lt;COUNTIFS($K$1:R$1,"&lt;&gt;"),0,SUMIFS($J:$J,$B:$B,$B1387,$A:$A,"&gt;="&amp;COUNTIFS($K$1:R$1,"&lt;&gt;"))),0)</f>
        <v>0</v>
      </c>
      <c r="S1387">
        <f>IFERROR($J1387/IF($A1387&lt;COUNTIFS($K$1:S$1,"&lt;&gt;"),0,SUMIFS($J:$J,$B:$B,$B1387,$A:$A,"&gt;="&amp;COUNTIFS($K$1:S$1,"&lt;&gt;"))),0)</f>
        <v>0</v>
      </c>
      <c r="T1387">
        <f>IFERROR($J1387/IF($A1387&lt;COUNTIFS($K$1:T$1,"&lt;&gt;"),0,SUMIFS($J:$J,$B:$B,$B1387,$A:$A,"&gt;="&amp;COUNTIFS($K$1:T$1,"&lt;&gt;"))),0)</f>
        <v>0</v>
      </c>
      <c r="U1387">
        <f>IFERROR($J1387/IF($A1387&lt;COUNTIFS($K$1:U$1,"&lt;&gt;"),0,SUMIFS($J:$J,$B:$B,$B1387,$A:$A,"&gt;="&amp;COUNTIFS($K$1:U$1,"&lt;&gt;"))),0)</f>
        <v>0</v>
      </c>
      <c r="V1387">
        <f>IFERROR($J1387/IF($A1387&lt;COUNTIFS($K$1:V$1,"&lt;&gt;"),0,SUMIFS($J:$J,$B:$B,$B1387,$A:$A,"&gt;="&amp;COUNTIFS($K$1:V$1,"&lt;&gt;"))),0)</f>
        <v>0</v>
      </c>
      <c r="W1387">
        <f t="shared" si="486"/>
        <v>8.2191780821917804E-2</v>
      </c>
      <c r="X1387">
        <f t="shared" si="466"/>
        <v>8.2191780821917804E-2</v>
      </c>
      <c r="Y1387">
        <f t="shared" si="467"/>
        <v>8.2191780821917804E-2</v>
      </c>
      <c r="Z1387">
        <f t="shared" si="468"/>
        <v>8.2191780821917804E-2</v>
      </c>
      <c r="AA1387">
        <f t="shared" si="469"/>
        <v>8.2191780821917804E-2</v>
      </c>
      <c r="AB1387">
        <f t="shared" si="470"/>
        <v>8.2191780821917804E-2</v>
      </c>
      <c r="AC1387">
        <f t="shared" si="471"/>
        <v>8.2191780821917804E-2</v>
      </c>
      <c r="AD1387">
        <f t="shared" si="472"/>
        <v>8.2191780821917804E-2</v>
      </c>
      <c r="AE1387">
        <f t="shared" si="473"/>
        <v>0</v>
      </c>
      <c r="AF1387">
        <f t="shared" si="474"/>
        <v>0</v>
      </c>
      <c r="AG1387">
        <f t="shared" si="475"/>
        <v>0</v>
      </c>
      <c r="AH1387">
        <f t="shared" si="476"/>
        <v>0</v>
      </c>
      <c r="AI1387">
        <f t="shared" si="477"/>
        <v>0</v>
      </c>
      <c r="AJ1387" s="2" t="str">
        <f t="shared" si="487"/>
        <v>747058</v>
      </c>
    </row>
    <row r="1388" spans="1:36" x14ac:dyDescent="0.25">
      <c r="A1388">
        <v>8</v>
      </c>
      <c r="B1388" s="1">
        <v>47058</v>
      </c>
      <c r="C1388" s="1">
        <f t="shared" si="478"/>
        <v>47300</v>
      </c>
      <c r="D1388" s="1">
        <f t="shared" si="479"/>
        <v>47072</v>
      </c>
      <c r="E1388" s="1">
        <f t="shared" si="480"/>
        <v>47300</v>
      </c>
      <c r="F1388" s="1">
        <f t="shared" si="481"/>
        <v>47331</v>
      </c>
      <c r="G1388" s="1">
        <f t="shared" si="482"/>
        <v>47437</v>
      </c>
      <c r="H1388">
        <f t="shared" si="483"/>
        <v>365</v>
      </c>
      <c r="I1388">
        <f t="shared" si="484"/>
        <v>31</v>
      </c>
      <c r="J1388">
        <f t="shared" si="485"/>
        <v>8.4931506849315067E-2</v>
      </c>
      <c r="K1388">
        <f>IFERROR($J1388/IF($A1388&lt;COUNTIFS($K$1:K$1,"&lt;&gt;"),0,SUMIFS($J:$J,$B:$B,$B1388,$A:$A,"&gt;="&amp;COUNTIFS($K$1:K$1,"&lt;&gt;"))),0)</f>
        <v>8.8825214899713484E-2</v>
      </c>
      <c r="L1388">
        <f>IFERROR($J1388/IF($A1388&lt;COUNTIFS($K$1:L$1,"&lt;&gt;"),0,SUMIFS($J:$J,$B:$B,$B1388,$A:$A,"&gt;="&amp;COUNTIFS($K$1:L$1,"&lt;&gt;"))),0)</f>
        <v>9.7484276729559768E-2</v>
      </c>
      <c r="M1388">
        <f>IFERROR($J1388/IF($A1388&lt;COUNTIFS($K$1:M$1,"&lt;&gt;"),0,SUMIFS($J:$J,$B:$B,$B1388,$A:$A,"&gt;="&amp;COUNTIFS($K$1:M$1,"&lt;&gt;"))),0)</f>
        <v>0.10801393728222998</v>
      </c>
      <c r="N1388">
        <f>IFERROR($J1388/IF($A1388&lt;COUNTIFS($K$1:N$1,"&lt;&gt;"),0,SUMIFS($J:$J,$B:$B,$B1388,$A:$A,"&gt;="&amp;COUNTIFS($K$1:N$1,"&lt;&gt;"))),0)</f>
        <v>0.11969111969111972</v>
      </c>
      <c r="O1388">
        <f>IFERROR($J1388/IF($A1388&lt;COUNTIFS($K$1:O$1,"&lt;&gt;"),0,SUMIFS($J:$J,$B:$B,$B1388,$A:$A,"&gt;="&amp;COUNTIFS($K$1:O$1,"&lt;&gt;"))),0)</f>
        <v>0.13596491228070179</v>
      </c>
      <c r="P1388">
        <f>IFERROR($J1388/IF($A1388&lt;COUNTIFS($K$1:P$1,"&lt;&gt;"),0,SUMIFS($J:$J,$B:$B,$B1388,$A:$A,"&gt;="&amp;COUNTIFS($K$1:P$1,"&lt;&gt;"))),0)</f>
        <v>0.1565656565656566</v>
      </c>
      <c r="Q1388">
        <f>IFERROR($J1388/IF($A1388&lt;COUNTIFS($K$1:Q$1,"&lt;&gt;"),0,SUMIFS($J:$J,$B:$B,$B1388,$A:$A,"&gt;="&amp;COUNTIFS($K$1:Q$1,"&lt;&gt;"))),0)</f>
        <v>0.18562874251497008</v>
      </c>
      <c r="R1388">
        <f>IFERROR($J1388/IF($A1388&lt;COUNTIFS($K$1:R$1,"&lt;&gt;"),0,SUMIFS($J:$J,$B:$B,$B1388,$A:$A,"&gt;="&amp;COUNTIFS($K$1:R$1,"&lt;&gt;"))),0)</f>
        <v>0.22627737226277375</v>
      </c>
      <c r="S1388">
        <f>IFERROR($J1388/IF($A1388&lt;COUNTIFS($K$1:S$1,"&lt;&gt;"),0,SUMIFS($J:$J,$B:$B,$B1388,$A:$A,"&gt;="&amp;COUNTIFS($K$1:S$1,"&lt;&gt;"))),0)</f>
        <v>0</v>
      </c>
      <c r="T1388">
        <f>IFERROR($J1388/IF($A1388&lt;COUNTIFS($K$1:T$1,"&lt;&gt;"),0,SUMIFS($J:$J,$B:$B,$B1388,$A:$A,"&gt;="&amp;COUNTIFS($K$1:T$1,"&lt;&gt;"))),0)</f>
        <v>0</v>
      </c>
      <c r="U1388">
        <f>IFERROR($J1388/IF($A1388&lt;COUNTIFS($K$1:U$1,"&lt;&gt;"),0,SUMIFS($J:$J,$B:$B,$B1388,$A:$A,"&gt;="&amp;COUNTIFS($K$1:U$1,"&lt;&gt;"))),0)</f>
        <v>0</v>
      </c>
      <c r="V1388">
        <f>IFERROR($J1388/IF($A1388&lt;COUNTIFS($K$1:V$1,"&lt;&gt;"),0,SUMIFS($J:$J,$B:$B,$B1388,$A:$A,"&gt;="&amp;COUNTIFS($K$1:V$1,"&lt;&gt;"))),0)</f>
        <v>0</v>
      </c>
      <c r="W1388">
        <f t="shared" si="486"/>
        <v>8.4931506849315067E-2</v>
      </c>
      <c r="X1388">
        <f t="shared" si="466"/>
        <v>8.4931506849315067E-2</v>
      </c>
      <c r="Y1388">
        <f t="shared" si="467"/>
        <v>8.4931506849315067E-2</v>
      </c>
      <c r="Z1388">
        <f t="shared" si="468"/>
        <v>8.4931506849315067E-2</v>
      </c>
      <c r="AA1388">
        <f t="shared" si="469"/>
        <v>8.4931506849315067E-2</v>
      </c>
      <c r="AB1388">
        <f t="shared" si="470"/>
        <v>8.4931506849315067E-2</v>
      </c>
      <c r="AC1388">
        <f t="shared" si="471"/>
        <v>8.4931506849315067E-2</v>
      </c>
      <c r="AD1388">
        <f t="shared" si="472"/>
        <v>8.4931506849315067E-2</v>
      </c>
      <c r="AE1388">
        <f t="shared" si="473"/>
        <v>8.4931506849315067E-2</v>
      </c>
      <c r="AF1388">
        <f t="shared" si="474"/>
        <v>0</v>
      </c>
      <c r="AG1388">
        <f t="shared" si="475"/>
        <v>0</v>
      </c>
      <c r="AH1388">
        <f t="shared" si="476"/>
        <v>0</v>
      </c>
      <c r="AI1388">
        <f t="shared" si="477"/>
        <v>0</v>
      </c>
      <c r="AJ1388" s="2" t="str">
        <f t="shared" si="487"/>
        <v>847058</v>
      </c>
    </row>
    <row r="1389" spans="1:36" x14ac:dyDescent="0.25">
      <c r="A1389">
        <v>9</v>
      </c>
      <c r="B1389" s="1">
        <v>47058</v>
      </c>
      <c r="C1389" s="1">
        <f t="shared" si="478"/>
        <v>47331</v>
      </c>
      <c r="D1389" s="1">
        <f t="shared" si="479"/>
        <v>47072</v>
      </c>
      <c r="E1389" s="1">
        <f t="shared" si="480"/>
        <v>47331</v>
      </c>
      <c r="F1389" s="1">
        <f t="shared" si="481"/>
        <v>47362</v>
      </c>
      <c r="G1389" s="1">
        <f t="shared" si="482"/>
        <v>47437</v>
      </c>
      <c r="H1389">
        <f t="shared" si="483"/>
        <v>365</v>
      </c>
      <c r="I1389">
        <f t="shared" si="484"/>
        <v>31</v>
      </c>
      <c r="J1389">
        <f t="shared" si="485"/>
        <v>8.4931506849315067E-2</v>
      </c>
      <c r="K1389">
        <f>IFERROR($J1389/IF($A1389&lt;COUNTIFS($K$1:K$1,"&lt;&gt;"),0,SUMIFS($J:$J,$B:$B,$B1389,$A:$A,"&gt;="&amp;COUNTIFS($K$1:K$1,"&lt;&gt;"))),0)</f>
        <v>8.8825214899713484E-2</v>
      </c>
      <c r="L1389">
        <f>IFERROR($J1389/IF($A1389&lt;COUNTIFS($K$1:L$1,"&lt;&gt;"),0,SUMIFS($J:$J,$B:$B,$B1389,$A:$A,"&gt;="&amp;COUNTIFS($K$1:L$1,"&lt;&gt;"))),0)</f>
        <v>9.7484276729559768E-2</v>
      </c>
      <c r="M1389">
        <f>IFERROR($J1389/IF($A1389&lt;COUNTIFS($K$1:M$1,"&lt;&gt;"),0,SUMIFS($J:$J,$B:$B,$B1389,$A:$A,"&gt;="&amp;COUNTIFS($K$1:M$1,"&lt;&gt;"))),0)</f>
        <v>0.10801393728222998</v>
      </c>
      <c r="N1389">
        <f>IFERROR($J1389/IF($A1389&lt;COUNTIFS($K$1:N$1,"&lt;&gt;"),0,SUMIFS($J:$J,$B:$B,$B1389,$A:$A,"&gt;="&amp;COUNTIFS($K$1:N$1,"&lt;&gt;"))),0)</f>
        <v>0.11969111969111972</v>
      </c>
      <c r="O1389">
        <f>IFERROR($J1389/IF($A1389&lt;COUNTIFS($K$1:O$1,"&lt;&gt;"),0,SUMIFS($J:$J,$B:$B,$B1389,$A:$A,"&gt;="&amp;COUNTIFS($K$1:O$1,"&lt;&gt;"))),0)</f>
        <v>0.13596491228070179</v>
      </c>
      <c r="P1389">
        <f>IFERROR($J1389/IF($A1389&lt;COUNTIFS($K$1:P$1,"&lt;&gt;"),0,SUMIFS($J:$J,$B:$B,$B1389,$A:$A,"&gt;="&amp;COUNTIFS($K$1:P$1,"&lt;&gt;"))),0)</f>
        <v>0.1565656565656566</v>
      </c>
      <c r="Q1389">
        <f>IFERROR($J1389/IF($A1389&lt;COUNTIFS($K$1:Q$1,"&lt;&gt;"),0,SUMIFS($J:$J,$B:$B,$B1389,$A:$A,"&gt;="&amp;COUNTIFS($K$1:Q$1,"&lt;&gt;"))),0)</f>
        <v>0.18562874251497008</v>
      </c>
      <c r="R1389">
        <f>IFERROR($J1389/IF($A1389&lt;COUNTIFS($K$1:R$1,"&lt;&gt;"),0,SUMIFS($J:$J,$B:$B,$B1389,$A:$A,"&gt;="&amp;COUNTIFS($K$1:R$1,"&lt;&gt;"))),0)</f>
        <v>0.22627737226277375</v>
      </c>
      <c r="S1389">
        <f>IFERROR($J1389/IF($A1389&lt;COUNTIFS($K$1:S$1,"&lt;&gt;"),0,SUMIFS($J:$J,$B:$B,$B1389,$A:$A,"&gt;="&amp;COUNTIFS($K$1:S$1,"&lt;&gt;"))),0)</f>
        <v>0.29245283018867929</v>
      </c>
      <c r="T1389">
        <f>IFERROR($J1389/IF($A1389&lt;COUNTIFS($K$1:T$1,"&lt;&gt;"),0,SUMIFS($J:$J,$B:$B,$B1389,$A:$A,"&gt;="&amp;COUNTIFS($K$1:T$1,"&lt;&gt;"))),0)</f>
        <v>0</v>
      </c>
      <c r="U1389">
        <f>IFERROR($J1389/IF($A1389&lt;COUNTIFS($K$1:U$1,"&lt;&gt;"),0,SUMIFS($J:$J,$B:$B,$B1389,$A:$A,"&gt;="&amp;COUNTIFS($K$1:U$1,"&lt;&gt;"))),0)</f>
        <v>0</v>
      </c>
      <c r="V1389">
        <f>IFERROR($J1389/IF($A1389&lt;COUNTIFS($K$1:V$1,"&lt;&gt;"),0,SUMIFS($J:$J,$B:$B,$B1389,$A:$A,"&gt;="&amp;COUNTIFS($K$1:V$1,"&lt;&gt;"))),0)</f>
        <v>0</v>
      </c>
      <c r="W1389">
        <f t="shared" si="486"/>
        <v>8.4931506849315067E-2</v>
      </c>
      <c r="X1389">
        <f t="shared" si="466"/>
        <v>8.4931506849315067E-2</v>
      </c>
      <c r="Y1389">
        <f t="shared" si="467"/>
        <v>8.4931506849315067E-2</v>
      </c>
      <c r="Z1389">
        <f t="shared" si="468"/>
        <v>8.4931506849315067E-2</v>
      </c>
      <c r="AA1389">
        <f t="shared" si="469"/>
        <v>8.4931506849315067E-2</v>
      </c>
      <c r="AB1389">
        <f t="shared" si="470"/>
        <v>8.4931506849315067E-2</v>
      </c>
      <c r="AC1389">
        <f t="shared" si="471"/>
        <v>8.4931506849315067E-2</v>
      </c>
      <c r="AD1389">
        <f t="shared" si="472"/>
        <v>8.4931506849315067E-2</v>
      </c>
      <c r="AE1389">
        <f t="shared" si="473"/>
        <v>8.4931506849315067E-2</v>
      </c>
      <c r="AF1389">
        <f t="shared" si="474"/>
        <v>8.4931506849315067E-2</v>
      </c>
      <c r="AG1389">
        <f t="shared" si="475"/>
        <v>0</v>
      </c>
      <c r="AH1389">
        <f t="shared" si="476"/>
        <v>0</v>
      </c>
      <c r="AI1389">
        <f t="shared" si="477"/>
        <v>0</v>
      </c>
      <c r="AJ1389" s="2" t="str">
        <f t="shared" si="487"/>
        <v>947058</v>
      </c>
    </row>
    <row r="1390" spans="1:36" x14ac:dyDescent="0.25">
      <c r="A1390">
        <v>10</v>
      </c>
      <c r="B1390" s="1">
        <v>47058</v>
      </c>
      <c r="C1390" s="1">
        <f t="shared" si="478"/>
        <v>47362</v>
      </c>
      <c r="D1390" s="1">
        <f t="shared" si="479"/>
        <v>47072</v>
      </c>
      <c r="E1390" s="1">
        <f t="shared" si="480"/>
        <v>47362</v>
      </c>
      <c r="F1390" s="1">
        <f t="shared" si="481"/>
        <v>47392</v>
      </c>
      <c r="G1390" s="1">
        <f t="shared" si="482"/>
        <v>47437</v>
      </c>
      <c r="H1390">
        <f t="shared" si="483"/>
        <v>365</v>
      </c>
      <c r="I1390">
        <f t="shared" si="484"/>
        <v>30</v>
      </c>
      <c r="J1390">
        <f t="shared" si="485"/>
        <v>8.2191780821917804E-2</v>
      </c>
      <c r="K1390">
        <f>IFERROR($J1390/IF($A1390&lt;COUNTIFS($K$1:K$1,"&lt;&gt;"),0,SUMIFS($J:$J,$B:$B,$B1390,$A:$A,"&gt;="&amp;COUNTIFS($K$1:K$1,"&lt;&gt;"))),0)</f>
        <v>8.5959885386819493E-2</v>
      </c>
      <c r="L1390">
        <f>IFERROR($J1390/IF($A1390&lt;COUNTIFS($K$1:L$1,"&lt;&gt;"),0,SUMIFS($J:$J,$B:$B,$B1390,$A:$A,"&gt;="&amp;COUNTIFS($K$1:L$1,"&lt;&gt;"))),0)</f>
        <v>9.4339622641509441E-2</v>
      </c>
      <c r="M1390">
        <f>IFERROR($J1390/IF($A1390&lt;COUNTIFS($K$1:M$1,"&lt;&gt;"),0,SUMIFS($J:$J,$B:$B,$B1390,$A:$A,"&gt;="&amp;COUNTIFS($K$1:M$1,"&lt;&gt;"))),0)</f>
        <v>0.10452961672473869</v>
      </c>
      <c r="N1390">
        <f>IFERROR($J1390/IF($A1390&lt;COUNTIFS($K$1:N$1,"&lt;&gt;"),0,SUMIFS($J:$J,$B:$B,$B1390,$A:$A,"&gt;="&amp;COUNTIFS($K$1:N$1,"&lt;&gt;"))),0)</f>
        <v>0.11583011583011585</v>
      </c>
      <c r="O1390">
        <f>IFERROR($J1390/IF($A1390&lt;COUNTIFS($K$1:O$1,"&lt;&gt;"),0,SUMIFS($J:$J,$B:$B,$B1390,$A:$A,"&gt;="&amp;COUNTIFS($K$1:O$1,"&lt;&gt;"))),0)</f>
        <v>0.13157894736842107</v>
      </c>
      <c r="P1390">
        <f>IFERROR($J1390/IF($A1390&lt;COUNTIFS($K$1:P$1,"&lt;&gt;"),0,SUMIFS($J:$J,$B:$B,$B1390,$A:$A,"&gt;="&amp;COUNTIFS($K$1:P$1,"&lt;&gt;"))),0)</f>
        <v>0.15151515151515155</v>
      </c>
      <c r="Q1390">
        <f>IFERROR($J1390/IF($A1390&lt;COUNTIFS($K$1:Q$1,"&lt;&gt;"),0,SUMIFS($J:$J,$B:$B,$B1390,$A:$A,"&gt;="&amp;COUNTIFS($K$1:Q$1,"&lt;&gt;"))),0)</f>
        <v>0.17964071856287425</v>
      </c>
      <c r="R1390">
        <f>IFERROR($J1390/IF($A1390&lt;COUNTIFS($K$1:R$1,"&lt;&gt;"),0,SUMIFS($J:$J,$B:$B,$B1390,$A:$A,"&gt;="&amp;COUNTIFS($K$1:R$1,"&lt;&gt;"))),0)</f>
        <v>0.21897810218978103</v>
      </c>
      <c r="S1390">
        <f>IFERROR($J1390/IF($A1390&lt;COUNTIFS($K$1:S$1,"&lt;&gt;"),0,SUMIFS($J:$J,$B:$B,$B1390,$A:$A,"&gt;="&amp;COUNTIFS($K$1:S$1,"&lt;&gt;"))),0)</f>
        <v>0.28301886792452829</v>
      </c>
      <c r="T1390">
        <f>IFERROR($J1390/IF($A1390&lt;COUNTIFS($K$1:T$1,"&lt;&gt;"),0,SUMIFS($J:$J,$B:$B,$B1390,$A:$A,"&gt;="&amp;COUNTIFS($K$1:T$1,"&lt;&gt;"))),0)</f>
        <v>0.4</v>
      </c>
      <c r="U1390">
        <f>IFERROR($J1390/IF($A1390&lt;COUNTIFS($K$1:U$1,"&lt;&gt;"),0,SUMIFS($J:$J,$B:$B,$B1390,$A:$A,"&gt;="&amp;COUNTIFS($K$1:U$1,"&lt;&gt;"))),0)</f>
        <v>0</v>
      </c>
      <c r="V1390">
        <f>IFERROR($J1390/IF($A1390&lt;COUNTIFS($K$1:V$1,"&lt;&gt;"),0,SUMIFS($J:$J,$B:$B,$B1390,$A:$A,"&gt;="&amp;COUNTIFS($K$1:V$1,"&lt;&gt;"))),0)</f>
        <v>0</v>
      </c>
      <c r="W1390">
        <f t="shared" si="486"/>
        <v>8.2191780821917804E-2</v>
      </c>
      <c r="X1390">
        <f t="shared" si="466"/>
        <v>8.2191780821917804E-2</v>
      </c>
      <c r="Y1390">
        <f t="shared" si="467"/>
        <v>8.2191780821917804E-2</v>
      </c>
      <c r="Z1390">
        <f t="shared" si="468"/>
        <v>8.2191780821917804E-2</v>
      </c>
      <c r="AA1390">
        <f t="shared" si="469"/>
        <v>8.2191780821917804E-2</v>
      </c>
      <c r="AB1390">
        <f t="shared" si="470"/>
        <v>8.2191780821917804E-2</v>
      </c>
      <c r="AC1390">
        <f t="shared" si="471"/>
        <v>8.2191780821917804E-2</v>
      </c>
      <c r="AD1390">
        <f t="shared" si="472"/>
        <v>8.2191780821917804E-2</v>
      </c>
      <c r="AE1390">
        <f t="shared" si="473"/>
        <v>8.2191780821917804E-2</v>
      </c>
      <c r="AF1390">
        <f t="shared" si="474"/>
        <v>8.2191780821917804E-2</v>
      </c>
      <c r="AG1390">
        <f t="shared" si="475"/>
        <v>8.2191780821917804E-2</v>
      </c>
      <c r="AH1390">
        <f t="shared" si="476"/>
        <v>0</v>
      </c>
      <c r="AI1390">
        <f t="shared" si="477"/>
        <v>0</v>
      </c>
      <c r="AJ1390" s="2" t="str">
        <f t="shared" si="487"/>
        <v>1047058</v>
      </c>
    </row>
    <row r="1391" spans="1:36" x14ac:dyDescent="0.25">
      <c r="A1391">
        <v>11</v>
      </c>
      <c r="B1391" s="1">
        <v>47058</v>
      </c>
      <c r="C1391" s="1">
        <f t="shared" si="478"/>
        <v>47392</v>
      </c>
      <c r="D1391" s="1">
        <f t="shared" si="479"/>
        <v>47072</v>
      </c>
      <c r="E1391" s="1">
        <f t="shared" si="480"/>
        <v>47392</v>
      </c>
      <c r="F1391" s="1">
        <f t="shared" si="481"/>
        <v>47423</v>
      </c>
      <c r="G1391" s="1">
        <f t="shared" si="482"/>
        <v>47437</v>
      </c>
      <c r="H1391">
        <f t="shared" si="483"/>
        <v>365</v>
      </c>
      <c r="I1391">
        <f t="shared" si="484"/>
        <v>31</v>
      </c>
      <c r="J1391">
        <f t="shared" si="485"/>
        <v>8.4931506849315067E-2</v>
      </c>
      <c r="K1391">
        <f>IFERROR($J1391/IF($A1391&lt;COUNTIFS($K$1:K$1,"&lt;&gt;"),0,SUMIFS($J:$J,$B:$B,$B1391,$A:$A,"&gt;="&amp;COUNTIFS($K$1:K$1,"&lt;&gt;"))),0)</f>
        <v>8.8825214899713484E-2</v>
      </c>
      <c r="L1391">
        <f>IFERROR($J1391/IF($A1391&lt;COUNTIFS($K$1:L$1,"&lt;&gt;"),0,SUMIFS($J:$J,$B:$B,$B1391,$A:$A,"&gt;="&amp;COUNTIFS($K$1:L$1,"&lt;&gt;"))),0)</f>
        <v>9.7484276729559768E-2</v>
      </c>
      <c r="M1391">
        <f>IFERROR($J1391/IF($A1391&lt;COUNTIFS($K$1:M$1,"&lt;&gt;"),0,SUMIFS($J:$J,$B:$B,$B1391,$A:$A,"&gt;="&amp;COUNTIFS($K$1:M$1,"&lt;&gt;"))),0)</f>
        <v>0.10801393728222998</v>
      </c>
      <c r="N1391">
        <f>IFERROR($J1391/IF($A1391&lt;COUNTIFS($K$1:N$1,"&lt;&gt;"),0,SUMIFS($J:$J,$B:$B,$B1391,$A:$A,"&gt;="&amp;COUNTIFS($K$1:N$1,"&lt;&gt;"))),0)</f>
        <v>0.11969111969111972</v>
      </c>
      <c r="O1391">
        <f>IFERROR($J1391/IF($A1391&lt;COUNTIFS($K$1:O$1,"&lt;&gt;"),0,SUMIFS($J:$J,$B:$B,$B1391,$A:$A,"&gt;="&amp;COUNTIFS($K$1:O$1,"&lt;&gt;"))),0)</f>
        <v>0.13596491228070179</v>
      </c>
      <c r="P1391">
        <f>IFERROR($J1391/IF($A1391&lt;COUNTIFS($K$1:P$1,"&lt;&gt;"),0,SUMIFS($J:$J,$B:$B,$B1391,$A:$A,"&gt;="&amp;COUNTIFS($K$1:P$1,"&lt;&gt;"))),0)</f>
        <v>0.1565656565656566</v>
      </c>
      <c r="Q1391">
        <f>IFERROR($J1391/IF($A1391&lt;COUNTIFS($K$1:Q$1,"&lt;&gt;"),0,SUMIFS($J:$J,$B:$B,$B1391,$A:$A,"&gt;="&amp;COUNTIFS($K$1:Q$1,"&lt;&gt;"))),0)</f>
        <v>0.18562874251497008</v>
      </c>
      <c r="R1391">
        <f>IFERROR($J1391/IF($A1391&lt;COUNTIFS($K$1:R$1,"&lt;&gt;"),0,SUMIFS($J:$J,$B:$B,$B1391,$A:$A,"&gt;="&amp;COUNTIFS($K$1:R$1,"&lt;&gt;"))),0)</f>
        <v>0.22627737226277375</v>
      </c>
      <c r="S1391">
        <f>IFERROR($J1391/IF($A1391&lt;COUNTIFS($K$1:S$1,"&lt;&gt;"),0,SUMIFS($J:$J,$B:$B,$B1391,$A:$A,"&gt;="&amp;COUNTIFS($K$1:S$1,"&lt;&gt;"))),0)</f>
        <v>0.29245283018867929</v>
      </c>
      <c r="T1391">
        <f>IFERROR($J1391/IF($A1391&lt;COUNTIFS($K$1:T$1,"&lt;&gt;"),0,SUMIFS($J:$J,$B:$B,$B1391,$A:$A,"&gt;="&amp;COUNTIFS($K$1:T$1,"&lt;&gt;"))),0)</f>
        <v>0.41333333333333333</v>
      </c>
      <c r="U1391">
        <f>IFERROR($J1391/IF($A1391&lt;COUNTIFS($K$1:U$1,"&lt;&gt;"),0,SUMIFS($J:$J,$B:$B,$B1391,$A:$A,"&gt;="&amp;COUNTIFS($K$1:U$1,"&lt;&gt;"))),0)</f>
        <v>0.68888888888888888</v>
      </c>
      <c r="V1391">
        <f>IFERROR($J1391/IF($A1391&lt;COUNTIFS($K$1:V$1,"&lt;&gt;"),0,SUMIFS($J:$J,$B:$B,$B1391,$A:$A,"&gt;="&amp;COUNTIFS($K$1:V$1,"&lt;&gt;"))),0)</f>
        <v>0</v>
      </c>
      <c r="W1391">
        <f t="shared" si="486"/>
        <v>8.4931506849315067E-2</v>
      </c>
      <c r="X1391">
        <f t="shared" si="466"/>
        <v>8.4931506849315067E-2</v>
      </c>
      <c r="Y1391">
        <f t="shared" si="467"/>
        <v>8.4931506849315067E-2</v>
      </c>
      <c r="Z1391">
        <f t="shared" si="468"/>
        <v>8.4931506849315067E-2</v>
      </c>
      <c r="AA1391">
        <f t="shared" si="469"/>
        <v>8.4931506849315067E-2</v>
      </c>
      <c r="AB1391">
        <f t="shared" si="470"/>
        <v>8.4931506849315067E-2</v>
      </c>
      <c r="AC1391">
        <f t="shared" si="471"/>
        <v>8.4931506849315067E-2</v>
      </c>
      <c r="AD1391">
        <f t="shared" si="472"/>
        <v>8.4931506849315067E-2</v>
      </c>
      <c r="AE1391">
        <f t="shared" si="473"/>
        <v>8.4931506849315067E-2</v>
      </c>
      <c r="AF1391">
        <f t="shared" si="474"/>
        <v>8.4931506849315067E-2</v>
      </c>
      <c r="AG1391">
        <f t="shared" si="475"/>
        <v>8.4931506849315067E-2</v>
      </c>
      <c r="AH1391">
        <f t="shared" si="476"/>
        <v>8.4931506849315067E-2</v>
      </c>
      <c r="AI1391">
        <f t="shared" si="477"/>
        <v>0</v>
      </c>
      <c r="AJ1391" s="2" t="str">
        <f t="shared" si="487"/>
        <v>1147058</v>
      </c>
    </row>
    <row r="1392" spans="1:36" x14ac:dyDescent="0.25">
      <c r="A1392">
        <v>12</v>
      </c>
      <c r="B1392" s="1">
        <v>47058</v>
      </c>
      <c r="C1392" s="1">
        <f t="shared" si="478"/>
        <v>47423</v>
      </c>
      <c r="D1392" s="1">
        <f t="shared" si="479"/>
        <v>47072</v>
      </c>
      <c r="E1392" s="1">
        <f t="shared" si="480"/>
        <v>47423</v>
      </c>
      <c r="F1392" s="1">
        <f t="shared" si="481"/>
        <v>47437</v>
      </c>
      <c r="G1392" s="1">
        <f t="shared" si="482"/>
        <v>47437</v>
      </c>
      <c r="H1392">
        <f t="shared" si="483"/>
        <v>365</v>
      </c>
      <c r="I1392">
        <f t="shared" si="484"/>
        <v>14</v>
      </c>
      <c r="J1392">
        <f t="shared" si="485"/>
        <v>3.8356164383561646E-2</v>
      </c>
      <c r="K1392">
        <f>IFERROR($J1392/IF($A1392&lt;COUNTIFS($K$1:K$1,"&lt;&gt;"),0,SUMIFS($J:$J,$B:$B,$B1392,$A:$A,"&gt;="&amp;COUNTIFS($K$1:K$1,"&lt;&gt;"))),0)</f>
        <v>4.0114613180515769E-2</v>
      </c>
      <c r="L1392">
        <f>IFERROR($J1392/IF($A1392&lt;COUNTIFS($K$1:L$1,"&lt;&gt;"),0,SUMIFS($J:$J,$B:$B,$B1392,$A:$A,"&gt;="&amp;COUNTIFS($K$1:L$1,"&lt;&gt;"))),0)</f>
        <v>4.4025157232704414E-2</v>
      </c>
      <c r="M1392">
        <f>IFERROR($J1392/IF($A1392&lt;COUNTIFS($K$1:M$1,"&lt;&gt;"),0,SUMIFS($J:$J,$B:$B,$B1392,$A:$A,"&gt;="&amp;COUNTIFS($K$1:M$1,"&lt;&gt;"))),0)</f>
        <v>4.8780487804878057E-2</v>
      </c>
      <c r="N1392">
        <f>IFERROR($J1392/IF($A1392&lt;COUNTIFS($K$1:N$1,"&lt;&gt;"),0,SUMIFS($J:$J,$B:$B,$B1392,$A:$A,"&gt;="&amp;COUNTIFS($K$1:N$1,"&lt;&gt;"))),0)</f>
        <v>5.4054054054054071E-2</v>
      </c>
      <c r="O1392">
        <f>IFERROR($J1392/IF($A1392&lt;COUNTIFS($K$1:O$1,"&lt;&gt;"),0,SUMIFS($J:$J,$B:$B,$B1392,$A:$A,"&gt;="&amp;COUNTIFS($K$1:O$1,"&lt;&gt;"))),0)</f>
        <v>6.1403508771929842E-2</v>
      </c>
      <c r="P1392">
        <f>IFERROR($J1392/IF($A1392&lt;COUNTIFS($K$1:P$1,"&lt;&gt;"),0,SUMIFS($J:$J,$B:$B,$B1392,$A:$A,"&gt;="&amp;COUNTIFS($K$1:P$1,"&lt;&gt;"))),0)</f>
        <v>7.0707070707070732E-2</v>
      </c>
      <c r="Q1392">
        <f>IFERROR($J1392/IF($A1392&lt;COUNTIFS($K$1:Q$1,"&lt;&gt;"),0,SUMIFS($J:$J,$B:$B,$B1392,$A:$A,"&gt;="&amp;COUNTIFS($K$1:Q$1,"&lt;&gt;"))),0)</f>
        <v>8.3832335329341326E-2</v>
      </c>
      <c r="R1392">
        <f>IFERROR($J1392/IF($A1392&lt;COUNTIFS($K$1:R$1,"&lt;&gt;"),0,SUMIFS($J:$J,$B:$B,$B1392,$A:$A,"&gt;="&amp;COUNTIFS($K$1:R$1,"&lt;&gt;"))),0)</f>
        <v>0.10218978102189782</v>
      </c>
      <c r="S1392">
        <f>IFERROR($J1392/IF($A1392&lt;COUNTIFS($K$1:S$1,"&lt;&gt;"),0,SUMIFS($J:$J,$B:$B,$B1392,$A:$A,"&gt;="&amp;COUNTIFS($K$1:S$1,"&lt;&gt;"))),0)</f>
        <v>0.13207547169811323</v>
      </c>
      <c r="T1392">
        <f>IFERROR($J1392/IF($A1392&lt;COUNTIFS($K$1:T$1,"&lt;&gt;"),0,SUMIFS($J:$J,$B:$B,$B1392,$A:$A,"&gt;="&amp;COUNTIFS($K$1:T$1,"&lt;&gt;"))),0)</f>
        <v>0.18666666666666668</v>
      </c>
      <c r="U1392">
        <f>IFERROR($J1392/IF($A1392&lt;COUNTIFS($K$1:U$1,"&lt;&gt;"),0,SUMIFS($J:$J,$B:$B,$B1392,$A:$A,"&gt;="&amp;COUNTIFS($K$1:U$1,"&lt;&gt;"))),0)</f>
        <v>0.31111111111111117</v>
      </c>
      <c r="V1392">
        <f>IFERROR($J1392/IF($A1392&lt;COUNTIFS($K$1:V$1,"&lt;&gt;"),0,SUMIFS($J:$J,$B:$B,$B1392,$A:$A,"&gt;="&amp;COUNTIFS($K$1:V$1,"&lt;&gt;"))),0)</f>
        <v>1</v>
      </c>
      <c r="W1392">
        <f t="shared" si="486"/>
        <v>3.8356164383561646E-2</v>
      </c>
      <c r="X1392">
        <f t="shared" si="466"/>
        <v>3.8356164383561646E-2</v>
      </c>
      <c r="Y1392">
        <f t="shared" si="467"/>
        <v>3.8356164383561646E-2</v>
      </c>
      <c r="Z1392">
        <f t="shared" si="468"/>
        <v>3.8356164383561646E-2</v>
      </c>
      <c r="AA1392">
        <f t="shared" si="469"/>
        <v>3.8356164383561646E-2</v>
      </c>
      <c r="AB1392">
        <f t="shared" si="470"/>
        <v>3.8356164383561646E-2</v>
      </c>
      <c r="AC1392">
        <f t="shared" si="471"/>
        <v>3.8356164383561646E-2</v>
      </c>
      <c r="AD1392">
        <f t="shared" si="472"/>
        <v>3.8356164383561646E-2</v>
      </c>
      <c r="AE1392">
        <f t="shared" si="473"/>
        <v>3.8356164383561646E-2</v>
      </c>
      <c r="AF1392">
        <f t="shared" si="474"/>
        <v>3.8356164383561646E-2</v>
      </c>
      <c r="AG1392">
        <f t="shared" si="475"/>
        <v>3.8356164383561646E-2</v>
      </c>
      <c r="AH1392">
        <f t="shared" si="476"/>
        <v>3.8356164383561646E-2</v>
      </c>
      <c r="AI1392">
        <f t="shared" si="477"/>
        <v>3.8356164383561646E-2</v>
      </c>
      <c r="AJ1392" s="2" t="str">
        <f t="shared" si="487"/>
        <v>1247058</v>
      </c>
    </row>
    <row r="1393" spans="1:36" x14ac:dyDescent="0.25">
      <c r="A1393">
        <v>0</v>
      </c>
      <c r="B1393" s="1">
        <v>47088</v>
      </c>
      <c r="C1393" s="1">
        <f t="shared" si="478"/>
        <v>47088</v>
      </c>
      <c r="D1393" s="1">
        <f t="shared" si="479"/>
        <v>47102</v>
      </c>
      <c r="E1393" s="1">
        <f t="shared" si="480"/>
        <v>47102</v>
      </c>
      <c r="F1393" s="1">
        <f t="shared" si="481"/>
        <v>47119</v>
      </c>
      <c r="G1393" s="1">
        <f t="shared" si="482"/>
        <v>47467</v>
      </c>
      <c r="H1393">
        <f t="shared" si="483"/>
        <v>365</v>
      </c>
      <c r="I1393">
        <f t="shared" si="484"/>
        <v>17</v>
      </c>
      <c r="J1393">
        <f t="shared" si="485"/>
        <v>4.6575342465753428E-2</v>
      </c>
      <c r="K1393">
        <f>IFERROR($J1393/IF($A1393&lt;COUNTIFS($K$1:K$1,"&lt;&gt;"),0,SUMIFS($J:$J,$B:$B,$B1393,$A:$A,"&gt;="&amp;COUNTIFS($K$1:K$1,"&lt;&gt;"))),0)</f>
        <v>0</v>
      </c>
      <c r="L1393">
        <f>IFERROR($J1393/IF($A1393&lt;COUNTIFS($K$1:L$1,"&lt;&gt;"),0,SUMIFS($J:$J,$B:$B,$B1393,$A:$A,"&gt;="&amp;COUNTIFS($K$1:L$1,"&lt;&gt;"))),0)</f>
        <v>0</v>
      </c>
      <c r="M1393">
        <f>IFERROR($J1393/IF($A1393&lt;COUNTIFS($K$1:M$1,"&lt;&gt;"),0,SUMIFS($J:$J,$B:$B,$B1393,$A:$A,"&gt;="&amp;COUNTIFS($K$1:M$1,"&lt;&gt;"))),0)</f>
        <v>0</v>
      </c>
      <c r="N1393">
        <f>IFERROR($J1393/IF($A1393&lt;COUNTIFS($K$1:N$1,"&lt;&gt;"),0,SUMIFS($J:$J,$B:$B,$B1393,$A:$A,"&gt;="&amp;COUNTIFS($K$1:N$1,"&lt;&gt;"))),0)</f>
        <v>0</v>
      </c>
      <c r="O1393">
        <f>IFERROR($J1393/IF($A1393&lt;COUNTIFS($K$1:O$1,"&lt;&gt;"),0,SUMIFS($J:$J,$B:$B,$B1393,$A:$A,"&gt;="&amp;COUNTIFS($K$1:O$1,"&lt;&gt;"))),0)</f>
        <v>0</v>
      </c>
      <c r="P1393">
        <f>IFERROR($J1393/IF($A1393&lt;COUNTIFS($K$1:P$1,"&lt;&gt;"),0,SUMIFS($J:$J,$B:$B,$B1393,$A:$A,"&gt;="&amp;COUNTIFS($K$1:P$1,"&lt;&gt;"))),0)</f>
        <v>0</v>
      </c>
      <c r="Q1393">
        <f>IFERROR($J1393/IF($A1393&lt;COUNTIFS($K$1:Q$1,"&lt;&gt;"),0,SUMIFS($J:$J,$B:$B,$B1393,$A:$A,"&gt;="&amp;COUNTIFS($K$1:Q$1,"&lt;&gt;"))),0)</f>
        <v>0</v>
      </c>
      <c r="R1393">
        <f>IFERROR($J1393/IF($A1393&lt;COUNTIFS($K$1:R$1,"&lt;&gt;"),0,SUMIFS($J:$J,$B:$B,$B1393,$A:$A,"&gt;="&amp;COUNTIFS($K$1:R$1,"&lt;&gt;"))),0)</f>
        <v>0</v>
      </c>
      <c r="S1393">
        <f>IFERROR($J1393/IF($A1393&lt;COUNTIFS($K$1:S$1,"&lt;&gt;"),0,SUMIFS($J:$J,$B:$B,$B1393,$A:$A,"&gt;="&amp;COUNTIFS($K$1:S$1,"&lt;&gt;"))),0)</f>
        <v>0</v>
      </c>
      <c r="T1393">
        <f>IFERROR($J1393/IF($A1393&lt;COUNTIFS($K$1:T$1,"&lt;&gt;"),0,SUMIFS($J:$J,$B:$B,$B1393,$A:$A,"&gt;="&amp;COUNTIFS($K$1:T$1,"&lt;&gt;"))),0)</f>
        <v>0</v>
      </c>
      <c r="U1393">
        <f>IFERROR($J1393/IF($A1393&lt;COUNTIFS($K$1:U$1,"&lt;&gt;"),0,SUMIFS($J:$J,$B:$B,$B1393,$A:$A,"&gt;="&amp;COUNTIFS($K$1:U$1,"&lt;&gt;"))),0)</f>
        <v>0</v>
      </c>
      <c r="V1393">
        <f>IFERROR($J1393/IF($A1393&lt;COUNTIFS($K$1:V$1,"&lt;&gt;"),0,SUMIFS($J:$J,$B:$B,$B1393,$A:$A,"&gt;="&amp;COUNTIFS($K$1:V$1,"&lt;&gt;"))),0)</f>
        <v>0</v>
      </c>
      <c r="W1393">
        <f t="shared" si="486"/>
        <v>4.6575342465753428E-2</v>
      </c>
      <c r="X1393">
        <f t="shared" si="466"/>
        <v>0</v>
      </c>
      <c r="Y1393">
        <f t="shared" si="467"/>
        <v>0</v>
      </c>
      <c r="Z1393">
        <f t="shared" si="468"/>
        <v>0</v>
      </c>
      <c r="AA1393">
        <f t="shared" si="469"/>
        <v>0</v>
      </c>
      <c r="AB1393">
        <f t="shared" si="470"/>
        <v>0</v>
      </c>
      <c r="AC1393">
        <f t="shared" si="471"/>
        <v>0</v>
      </c>
      <c r="AD1393">
        <f t="shared" si="472"/>
        <v>0</v>
      </c>
      <c r="AE1393">
        <f t="shared" si="473"/>
        <v>0</v>
      </c>
      <c r="AF1393">
        <f t="shared" si="474"/>
        <v>0</v>
      </c>
      <c r="AG1393">
        <f t="shared" si="475"/>
        <v>0</v>
      </c>
      <c r="AH1393">
        <f t="shared" si="476"/>
        <v>0</v>
      </c>
      <c r="AI1393">
        <f t="shared" si="477"/>
        <v>0</v>
      </c>
      <c r="AJ1393" s="2" t="str">
        <f t="shared" si="487"/>
        <v>047088</v>
      </c>
    </row>
    <row r="1394" spans="1:36" x14ac:dyDescent="0.25">
      <c r="A1394">
        <v>1</v>
      </c>
      <c r="B1394" s="1">
        <v>47088</v>
      </c>
      <c r="C1394" s="1">
        <f t="shared" si="478"/>
        <v>47119</v>
      </c>
      <c r="D1394" s="1">
        <f t="shared" si="479"/>
        <v>47102</v>
      </c>
      <c r="E1394" s="1">
        <f t="shared" si="480"/>
        <v>47119</v>
      </c>
      <c r="F1394" s="1">
        <f t="shared" si="481"/>
        <v>47150</v>
      </c>
      <c r="G1394" s="1">
        <f t="shared" si="482"/>
        <v>47467</v>
      </c>
      <c r="H1394">
        <f t="shared" si="483"/>
        <v>365</v>
      </c>
      <c r="I1394">
        <f t="shared" si="484"/>
        <v>31</v>
      </c>
      <c r="J1394">
        <f t="shared" si="485"/>
        <v>8.4931506849315067E-2</v>
      </c>
      <c r="K1394">
        <f>IFERROR($J1394/IF($A1394&lt;COUNTIFS($K$1:K$1,"&lt;&gt;"),0,SUMIFS($J:$J,$B:$B,$B1394,$A:$A,"&gt;="&amp;COUNTIFS($K$1:K$1,"&lt;&gt;"))),0)</f>
        <v>8.9080459770114959E-2</v>
      </c>
      <c r="L1394">
        <f>IFERROR($J1394/IF($A1394&lt;COUNTIFS($K$1:L$1,"&lt;&gt;"),0,SUMIFS($J:$J,$B:$B,$B1394,$A:$A,"&gt;="&amp;COUNTIFS($K$1:L$1,"&lt;&gt;"))),0)</f>
        <v>0</v>
      </c>
      <c r="M1394">
        <f>IFERROR($J1394/IF($A1394&lt;COUNTIFS($K$1:M$1,"&lt;&gt;"),0,SUMIFS($J:$J,$B:$B,$B1394,$A:$A,"&gt;="&amp;COUNTIFS($K$1:M$1,"&lt;&gt;"))),0)</f>
        <v>0</v>
      </c>
      <c r="N1394">
        <f>IFERROR($J1394/IF($A1394&lt;COUNTIFS($K$1:N$1,"&lt;&gt;"),0,SUMIFS($J:$J,$B:$B,$B1394,$A:$A,"&gt;="&amp;COUNTIFS($K$1:N$1,"&lt;&gt;"))),0)</f>
        <v>0</v>
      </c>
      <c r="O1394">
        <f>IFERROR($J1394/IF($A1394&lt;COUNTIFS($K$1:O$1,"&lt;&gt;"),0,SUMIFS($J:$J,$B:$B,$B1394,$A:$A,"&gt;="&amp;COUNTIFS($K$1:O$1,"&lt;&gt;"))),0)</f>
        <v>0</v>
      </c>
      <c r="P1394">
        <f>IFERROR($J1394/IF($A1394&lt;COUNTIFS($K$1:P$1,"&lt;&gt;"),0,SUMIFS($J:$J,$B:$B,$B1394,$A:$A,"&gt;="&amp;COUNTIFS($K$1:P$1,"&lt;&gt;"))),0)</f>
        <v>0</v>
      </c>
      <c r="Q1394">
        <f>IFERROR($J1394/IF($A1394&lt;COUNTIFS($K$1:Q$1,"&lt;&gt;"),0,SUMIFS($J:$J,$B:$B,$B1394,$A:$A,"&gt;="&amp;COUNTIFS($K$1:Q$1,"&lt;&gt;"))),0)</f>
        <v>0</v>
      </c>
      <c r="R1394">
        <f>IFERROR($J1394/IF($A1394&lt;COUNTIFS($K$1:R$1,"&lt;&gt;"),0,SUMIFS($J:$J,$B:$B,$B1394,$A:$A,"&gt;="&amp;COUNTIFS($K$1:R$1,"&lt;&gt;"))),0)</f>
        <v>0</v>
      </c>
      <c r="S1394">
        <f>IFERROR($J1394/IF($A1394&lt;COUNTIFS($K$1:S$1,"&lt;&gt;"),0,SUMIFS($J:$J,$B:$B,$B1394,$A:$A,"&gt;="&amp;COUNTIFS($K$1:S$1,"&lt;&gt;"))),0)</f>
        <v>0</v>
      </c>
      <c r="T1394">
        <f>IFERROR($J1394/IF($A1394&lt;COUNTIFS($K$1:T$1,"&lt;&gt;"),0,SUMIFS($J:$J,$B:$B,$B1394,$A:$A,"&gt;="&amp;COUNTIFS($K$1:T$1,"&lt;&gt;"))),0)</f>
        <v>0</v>
      </c>
      <c r="U1394">
        <f>IFERROR($J1394/IF($A1394&lt;COUNTIFS($K$1:U$1,"&lt;&gt;"),0,SUMIFS($J:$J,$B:$B,$B1394,$A:$A,"&gt;="&amp;COUNTIFS($K$1:U$1,"&lt;&gt;"))),0)</f>
        <v>0</v>
      </c>
      <c r="V1394">
        <f>IFERROR($J1394/IF($A1394&lt;COUNTIFS($K$1:V$1,"&lt;&gt;"),0,SUMIFS($J:$J,$B:$B,$B1394,$A:$A,"&gt;="&amp;COUNTIFS($K$1:V$1,"&lt;&gt;"))),0)</f>
        <v>0</v>
      </c>
      <c r="W1394">
        <f t="shared" si="486"/>
        <v>8.4931506849315067E-2</v>
      </c>
      <c r="X1394">
        <f t="shared" si="466"/>
        <v>8.4931506849315067E-2</v>
      </c>
      <c r="Y1394">
        <f t="shared" si="467"/>
        <v>0</v>
      </c>
      <c r="Z1394">
        <f t="shared" si="468"/>
        <v>0</v>
      </c>
      <c r="AA1394">
        <f t="shared" si="469"/>
        <v>0</v>
      </c>
      <c r="AB1394">
        <f t="shared" si="470"/>
        <v>0</v>
      </c>
      <c r="AC1394">
        <f t="shared" si="471"/>
        <v>0</v>
      </c>
      <c r="AD1394">
        <f t="shared" si="472"/>
        <v>0</v>
      </c>
      <c r="AE1394">
        <f t="shared" si="473"/>
        <v>0</v>
      </c>
      <c r="AF1394">
        <f t="shared" si="474"/>
        <v>0</v>
      </c>
      <c r="AG1394">
        <f t="shared" si="475"/>
        <v>0</v>
      </c>
      <c r="AH1394">
        <f t="shared" si="476"/>
        <v>0</v>
      </c>
      <c r="AI1394">
        <f t="shared" si="477"/>
        <v>0</v>
      </c>
      <c r="AJ1394" s="2" t="str">
        <f t="shared" si="487"/>
        <v>147088</v>
      </c>
    </row>
    <row r="1395" spans="1:36" x14ac:dyDescent="0.25">
      <c r="A1395">
        <v>2</v>
      </c>
      <c r="B1395" s="1">
        <v>47088</v>
      </c>
      <c r="C1395" s="1">
        <f t="shared" si="478"/>
        <v>47150</v>
      </c>
      <c r="D1395" s="1">
        <f t="shared" si="479"/>
        <v>47102</v>
      </c>
      <c r="E1395" s="1">
        <f t="shared" si="480"/>
        <v>47150</v>
      </c>
      <c r="F1395" s="1">
        <f t="shared" si="481"/>
        <v>47178</v>
      </c>
      <c r="G1395" s="1">
        <f t="shared" si="482"/>
        <v>47467</v>
      </c>
      <c r="H1395">
        <f t="shared" si="483"/>
        <v>365</v>
      </c>
      <c r="I1395">
        <f t="shared" si="484"/>
        <v>28</v>
      </c>
      <c r="J1395">
        <f t="shared" si="485"/>
        <v>7.6712328767123292E-2</v>
      </c>
      <c r="K1395">
        <f>IFERROR($J1395/IF($A1395&lt;COUNTIFS($K$1:K$1,"&lt;&gt;"),0,SUMIFS($J:$J,$B:$B,$B1395,$A:$A,"&gt;="&amp;COUNTIFS($K$1:K$1,"&lt;&gt;"))),0)</f>
        <v>8.0459770114942541E-2</v>
      </c>
      <c r="L1395">
        <f>IFERROR($J1395/IF($A1395&lt;COUNTIFS($K$1:L$1,"&lt;&gt;"),0,SUMIFS($J:$J,$B:$B,$B1395,$A:$A,"&gt;="&amp;COUNTIFS($K$1:L$1,"&lt;&gt;"))),0)</f>
        <v>8.83280757097792E-2</v>
      </c>
      <c r="M1395">
        <f>IFERROR($J1395/IF($A1395&lt;COUNTIFS($K$1:M$1,"&lt;&gt;"),0,SUMIFS($J:$J,$B:$B,$B1395,$A:$A,"&gt;="&amp;COUNTIFS($K$1:M$1,"&lt;&gt;"))),0)</f>
        <v>0</v>
      </c>
      <c r="N1395">
        <f>IFERROR($J1395/IF($A1395&lt;COUNTIFS($K$1:N$1,"&lt;&gt;"),0,SUMIFS($J:$J,$B:$B,$B1395,$A:$A,"&gt;="&amp;COUNTIFS($K$1:N$1,"&lt;&gt;"))),0)</f>
        <v>0</v>
      </c>
      <c r="O1395">
        <f>IFERROR($J1395/IF($A1395&lt;COUNTIFS($K$1:O$1,"&lt;&gt;"),0,SUMIFS($J:$J,$B:$B,$B1395,$A:$A,"&gt;="&amp;COUNTIFS($K$1:O$1,"&lt;&gt;"))),0)</f>
        <v>0</v>
      </c>
      <c r="P1395">
        <f>IFERROR($J1395/IF($A1395&lt;COUNTIFS($K$1:P$1,"&lt;&gt;"),0,SUMIFS($J:$J,$B:$B,$B1395,$A:$A,"&gt;="&amp;COUNTIFS($K$1:P$1,"&lt;&gt;"))),0)</f>
        <v>0</v>
      </c>
      <c r="Q1395">
        <f>IFERROR($J1395/IF($A1395&lt;COUNTIFS($K$1:Q$1,"&lt;&gt;"),0,SUMIFS($J:$J,$B:$B,$B1395,$A:$A,"&gt;="&amp;COUNTIFS($K$1:Q$1,"&lt;&gt;"))),0)</f>
        <v>0</v>
      </c>
      <c r="R1395">
        <f>IFERROR($J1395/IF($A1395&lt;COUNTIFS($K$1:R$1,"&lt;&gt;"),0,SUMIFS($J:$J,$B:$B,$B1395,$A:$A,"&gt;="&amp;COUNTIFS($K$1:R$1,"&lt;&gt;"))),0)</f>
        <v>0</v>
      </c>
      <c r="S1395">
        <f>IFERROR($J1395/IF($A1395&lt;COUNTIFS($K$1:S$1,"&lt;&gt;"),0,SUMIFS($J:$J,$B:$B,$B1395,$A:$A,"&gt;="&amp;COUNTIFS($K$1:S$1,"&lt;&gt;"))),0)</f>
        <v>0</v>
      </c>
      <c r="T1395">
        <f>IFERROR($J1395/IF($A1395&lt;COUNTIFS($K$1:T$1,"&lt;&gt;"),0,SUMIFS($J:$J,$B:$B,$B1395,$A:$A,"&gt;="&amp;COUNTIFS($K$1:T$1,"&lt;&gt;"))),0)</f>
        <v>0</v>
      </c>
      <c r="U1395">
        <f>IFERROR($J1395/IF($A1395&lt;COUNTIFS($K$1:U$1,"&lt;&gt;"),0,SUMIFS($J:$J,$B:$B,$B1395,$A:$A,"&gt;="&amp;COUNTIFS($K$1:U$1,"&lt;&gt;"))),0)</f>
        <v>0</v>
      </c>
      <c r="V1395">
        <f>IFERROR($J1395/IF($A1395&lt;COUNTIFS($K$1:V$1,"&lt;&gt;"),0,SUMIFS($J:$J,$B:$B,$B1395,$A:$A,"&gt;="&amp;COUNTIFS($K$1:V$1,"&lt;&gt;"))),0)</f>
        <v>0</v>
      </c>
      <c r="W1395">
        <f t="shared" si="486"/>
        <v>7.6712328767123292E-2</v>
      </c>
      <c r="X1395">
        <f t="shared" si="466"/>
        <v>7.6712328767123292E-2</v>
      </c>
      <c r="Y1395">
        <f t="shared" si="467"/>
        <v>7.6712328767123292E-2</v>
      </c>
      <c r="Z1395">
        <f t="shared" si="468"/>
        <v>0</v>
      </c>
      <c r="AA1395">
        <f t="shared" si="469"/>
        <v>0</v>
      </c>
      <c r="AB1395">
        <f t="shared" si="470"/>
        <v>0</v>
      </c>
      <c r="AC1395">
        <f t="shared" si="471"/>
        <v>0</v>
      </c>
      <c r="AD1395">
        <f t="shared" si="472"/>
        <v>0</v>
      </c>
      <c r="AE1395">
        <f t="shared" si="473"/>
        <v>0</v>
      </c>
      <c r="AF1395">
        <f t="shared" si="474"/>
        <v>0</v>
      </c>
      <c r="AG1395">
        <f t="shared" si="475"/>
        <v>0</v>
      </c>
      <c r="AH1395">
        <f t="shared" si="476"/>
        <v>0</v>
      </c>
      <c r="AI1395">
        <f t="shared" si="477"/>
        <v>0</v>
      </c>
      <c r="AJ1395" s="2" t="str">
        <f t="shared" si="487"/>
        <v>247088</v>
      </c>
    </row>
    <row r="1396" spans="1:36" x14ac:dyDescent="0.25">
      <c r="A1396">
        <v>3</v>
      </c>
      <c r="B1396" s="1">
        <v>47088</v>
      </c>
      <c r="C1396" s="1">
        <f t="shared" si="478"/>
        <v>47178</v>
      </c>
      <c r="D1396" s="1">
        <f t="shared" si="479"/>
        <v>47102</v>
      </c>
      <c r="E1396" s="1">
        <f t="shared" si="480"/>
        <v>47178</v>
      </c>
      <c r="F1396" s="1">
        <f t="shared" si="481"/>
        <v>47209</v>
      </c>
      <c r="G1396" s="1">
        <f t="shared" si="482"/>
        <v>47467</v>
      </c>
      <c r="H1396">
        <f t="shared" si="483"/>
        <v>365</v>
      </c>
      <c r="I1396">
        <f t="shared" si="484"/>
        <v>31</v>
      </c>
      <c r="J1396">
        <f t="shared" si="485"/>
        <v>8.4931506849315067E-2</v>
      </c>
      <c r="K1396">
        <f>IFERROR($J1396/IF($A1396&lt;COUNTIFS($K$1:K$1,"&lt;&gt;"),0,SUMIFS($J:$J,$B:$B,$B1396,$A:$A,"&gt;="&amp;COUNTIFS($K$1:K$1,"&lt;&gt;"))),0)</f>
        <v>8.9080459770114959E-2</v>
      </c>
      <c r="L1396">
        <f>IFERROR($J1396/IF($A1396&lt;COUNTIFS($K$1:L$1,"&lt;&gt;"),0,SUMIFS($J:$J,$B:$B,$B1396,$A:$A,"&gt;="&amp;COUNTIFS($K$1:L$1,"&lt;&gt;"))),0)</f>
        <v>9.7791798107255537E-2</v>
      </c>
      <c r="M1396">
        <f>IFERROR($J1396/IF($A1396&lt;COUNTIFS($K$1:M$1,"&lt;&gt;"),0,SUMIFS($J:$J,$B:$B,$B1396,$A:$A,"&gt;="&amp;COUNTIFS($K$1:M$1,"&lt;&gt;"))),0)</f>
        <v>0.10726643598615919</v>
      </c>
      <c r="N1396">
        <f>IFERROR($J1396/IF($A1396&lt;COUNTIFS($K$1:N$1,"&lt;&gt;"),0,SUMIFS($J:$J,$B:$B,$B1396,$A:$A,"&gt;="&amp;COUNTIFS($K$1:N$1,"&lt;&gt;"))),0)</f>
        <v>0</v>
      </c>
      <c r="O1396">
        <f>IFERROR($J1396/IF($A1396&lt;COUNTIFS($K$1:O$1,"&lt;&gt;"),0,SUMIFS($J:$J,$B:$B,$B1396,$A:$A,"&gt;="&amp;COUNTIFS($K$1:O$1,"&lt;&gt;"))),0)</f>
        <v>0</v>
      </c>
      <c r="P1396">
        <f>IFERROR($J1396/IF($A1396&lt;COUNTIFS($K$1:P$1,"&lt;&gt;"),0,SUMIFS($J:$J,$B:$B,$B1396,$A:$A,"&gt;="&amp;COUNTIFS($K$1:P$1,"&lt;&gt;"))),0)</f>
        <v>0</v>
      </c>
      <c r="Q1396">
        <f>IFERROR($J1396/IF($A1396&lt;COUNTIFS($K$1:Q$1,"&lt;&gt;"),0,SUMIFS($J:$J,$B:$B,$B1396,$A:$A,"&gt;="&amp;COUNTIFS($K$1:Q$1,"&lt;&gt;"))),0)</f>
        <v>0</v>
      </c>
      <c r="R1396">
        <f>IFERROR($J1396/IF($A1396&lt;COUNTIFS($K$1:R$1,"&lt;&gt;"),0,SUMIFS($J:$J,$B:$B,$B1396,$A:$A,"&gt;="&amp;COUNTIFS($K$1:R$1,"&lt;&gt;"))),0)</f>
        <v>0</v>
      </c>
      <c r="S1396">
        <f>IFERROR($J1396/IF($A1396&lt;COUNTIFS($K$1:S$1,"&lt;&gt;"),0,SUMIFS($J:$J,$B:$B,$B1396,$A:$A,"&gt;="&amp;COUNTIFS($K$1:S$1,"&lt;&gt;"))),0)</f>
        <v>0</v>
      </c>
      <c r="T1396">
        <f>IFERROR($J1396/IF($A1396&lt;COUNTIFS($K$1:T$1,"&lt;&gt;"),0,SUMIFS($J:$J,$B:$B,$B1396,$A:$A,"&gt;="&amp;COUNTIFS($K$1:T$1,"&lt;&gt;"))),0)</f>
        <v>0</v>
      </c>
      <c r="U1396">
        <f>IFERROR($J1396/IF($A1396&lt;COUNTIFS($K$1:U$1,"&lt;&gt;"),0,SUMIFS($J:$J,$B:$B,$B1396,$A:$A,"&gt;="&amp;COUNTIFS($K$1:U$1,"&lt;&gt;"))),0)</f>
        <v>0</v>
      </c>
      <c r="V1396">
        <f>IFERROR($J1396/IF($A1396&lt;COUNTIFS($K$1:V$1,"&lt;&gt;"),0,SUMIFS($J:$J,$B:$B,$B1396,$A:$A,"&gt;="&amp;COUNTIFS($K$1:V$1,"&lt;&gt;"))),0)</f>
        <v>0</v>
      </c>
      <c r="W1396">
        <f t="shared" si="486"/>
        <v>8.4931506849315067E-2</v>
      </c>
      <c r="X1396">
        <f t="shared" si="466"/>
        <v>8.4931506849315067E-2</v>
      </c>
      <c r="Y1396">
        <f t="shared" si="467"/>
        <v>8.4931506849315067E-2</v>
      </c>
      <c r="Z1396">
        <f t="shared" si="468"/>
        <v>8.4931506849315067E-2</v>
      </c>
      <c r="AA1396">
        <f t="shared" si="469"/>
        <v>0</v>
      </c>
      <c r="AB1396">
        <f t="shared" si="470"/>
        <v>0</v>
      </c>
      <c r="AC1396">
        <f t="shared" si="471"/>
        <v>0</v>
      </c>
      <c r="AD1396">
        <f t="shared" si="472"/>
        <v>0</v>
      </c>
      <c r="AE1396">
        <f t="shared" si="473"/>
        <v>0</v>
      </c>
      <c r="AF1396">
        <f t="shared" si="474"/>
        <v>0</v>
      </c>
      <c r="AG1396">
        <f t="shared" si="475"/>
        <v>0</v>
      </c>
      <c r="AH1396">
        <f t="shared" si="476"/>
        <v>0</v>
      </c>
      <c r="AI1396">
        <f t="shared" si="477"/>
        <v>0</v>
      </c>
      <c r="AJ1396" s="2" t="str">
        <f t="shared" si="487"/>
        <v>347088</v>
      </c>
    </row>
    <row r="1397" spans="1:36" x14ac:dyDescent="0.25">
      <c r="A1397">
        <v>4</v>
      </c>
      <c r="B1397" s="1">
        <v>47088</v>
      </c>
      <c r="C1397" s="1">
        <f t="shared" si="478"/>
        <v>47209</v>
      </c>
      <c r="D1397" s="1">
        <f t="shared" si="479"/>
        <v>47102</v>
      </c>
      <c r="E1397" s="1">
        <f t="shared" si="480"/>
        <v>47209</v>
      </c>
      <c r="F1397" s="1">
        <f t="shared" si="481"/>
        <v>47239</v>
      </c>
      <c r="G1397" s="1">
        <f t="shared" si="482"/>
        <v>47467</v>
      </c>
      <c r="H1397">
        <f t="shared" si="483"/>
        <v>365</v>
      </c>
      <c r="I1397">
        <f t="shared" si="484"/>
        <v>30</v>
      </c>
      <c r="J1397">
        <f t="shared" si="485"/>
        <v>8.2191780821917804E-2</v>
      </c>
      <c r="K1397">
        <f>IFERROR($J1397/IF($A1397&lt;COUNTIFS($K$1:K$1,"&lt;&gt;"),0,SUMIFS($J:$J,$B:$B,$B1397,$A:$A,"&gt;="&amp;COUNTIFS($K$1:K$1,"&lt;&gt;"))),0)</f>
        <v>8.6206896551724144E-2</v>
      </c>
      <c r="L1397">
        <f>IFERROR($J1397/IF($A1397&lt;COUNTIFS($K$1:L$1,"&lt;&gt;"),0,SUMIFS($J:$J,$B:$B,$B1397,$A:$A,"&gt;="&amp;COUNTIFS($K$1:L$1,"&lt;&gt;"))),0)</f>
        <v>9.4637223974763415E-2</v>
      </c>
      <c r="M1397">
        <f>IFERROR($J1397/IF($A1397&lt;COUNTIFS($K$1:M$1,"&lt;&gt;"),0,SUMIFS($J:$J,$B:$B,$B1397,$A:$A,"&gt;="&amp;COUNTIFS($K$1:M$1,"&lt;&gt;"))),0)</f>
        <v>0.10380622837370243</v>
      </c>
      <c r="N1397">
        <f>IFERROR($J1397/IF($A1397&lt;COUNTIFS($K$1:N$1,"&lt;&gt;"),0,SUMIFS($J:$J,$B:$B,$B1397,$A:$A,"&gt;="&amp;COUNTIFS($K$1:N$1,"&lt;&gt;"))),0)</f>
        <v>0.11627906976744187</v>
      </c>
      <c r="O1397">
        <f>IFERROR($J1397/IF($A1397&lt;COUNTIFS($K$1:O$1,"&lt;&gt;"),0,SUMIFS($J:$J,$B:$B,$B1397,$A:$A,"&gt;="&amp;COUNTIFS($K$1:O$1,"&lt;&gt;"))),0)</f>
        <v>0</v>
      </c>
      <c r="P1397">
        <f>IFERROR($J1397/IF($A1397&lt;COUNTIFS($K$1:P$1,"&lt;&gt;"),0,SUMIFS($J:$J,$B:$B,$B1397,$A:$A,"&gt;="&amp;COUNTIFS($K$1:P$1,"&lt;&gt;"))),0)</f>
        <v>0</v>
      </c>
      <c r="Q1397">
        <f>IFERROR($J1397/IF($A1397&lt;COUNTIFS($K$1:Q$1,"&lt;&gt;"),0,SUMIFS($J:$J,$B:$B,$B1397,$A:$A,"&gt;="&amp;COUNTIFS($K$1:Q$1,"&lt;&gt;"))),0)</f>
        <v>0</v>
      </c>
      <c r="R1397">
        <f>IFERROR($J1397/IF($A1397&lt;COUNTIFS($K$1:R$1,"&lt;&gt;"),0,SUMIFS($J:$J,$B:$B,$B1397,$A:$A,"&gt;="&amp;COUNTIFS($K$1:R$1,"&lt;&gt;"))),0)</f>
        <v>0</v>
      </c>
      <c r="S1397">
        <f>IFERROR($J1397/IF($A1397&lt;COUNTIFS($K$1:S$1,"&lt;&gt;"),0,SUMIFS($J:$J,$B:$B,$B1397,$A:$A,"&gt;="&amp;COUNTIFS($K$1:S$1,"&lt;&gt;"))),0)</f>
        <v>0</v>
      </c>
      <c r="T1397">
        <f>IFERROR($J1397/IF($A1397&lt;COUNTIFS($K$1:T$1,"&lt;&gt;"),0,SUMIFS($J:$J,$B:$B,$B1397,$A:$A,"&gt;="&amp;COUNTIFS($K$1:T$1,"&lt;&gt;"))),0)</f>
        <v>0</v>
      </c>
      <c r="U1397">
        <f>IFERROR($J1397/IF($A1397&lt;COUNTIFS($K$1:U$1,"&lt;&gt;"),0,SUMIFS($J:$J,$B:$B,$B1397,$A:$A,"&gt;="&amp;COUNTIFS($K$1:U$1,"&lt;&gt;"))),0)</f>
        <v>0</v>
      </c>
      <c r="V1397">
        <f>IFERROR($J1397/IF($A1397&lt;COUNTIFS($K$1:V$1,"&lt;&gt;"),0,SUMIFS($J:$J,$B:$B,$B1397,$A:$A,"&gt;="&amp;COUNTIFS($K$1:V$1,"&lt;&gt;"))),0)</f>
        <v>0</v>
      </c>
      <c r="W1397">
        <f t="shared" si="486"/>
        <v>8.2191780821917804E-2</v>
      </c>
      <c r="X1397">
        <f t="shared" si="466"/>
        <v>8.2191780821917804E-2</v>
      </c>
      <c r="Y1397">
        <f t="shared" si="467"/>
        <v>8.2191780821917804E-2</v>
      </c>
      <c r="Z1397">
        <f t="shared" si="468"/>
        <v>8.2191780821917804E-2</v>
      </c>
      <c r="AA1397">
        <f t="shared" si="469"/>
        <v>8.2191780821917804E-2</v>
      </c>
      <c r="AB1397">
        <f t="shared" si="470"/>
        <v>0</v>
      </c>
      <c r="AC1397">
        <f t="shared" si="471"/>
        <v>0</v>
      </c>
      <c r="AD1397">
        <f t="shared" si="472"/>
        <v>0</v>
      </c>
      <c r="AE1397">
        <f t="shared" si="473"/>
        <v>0</v>
      </c>
      <c r="AF1397">
        <f t="shared" si="474"/>
        <v>0</v>
      </c>
      <c r="AG1397">
        <f t="shared" si="475"/>
        <v>0</v>
      </c>
      <c r="AH1397">
        <f t="shared" si="476"/>
        <v>0</v>
      </c>
      <c r="AI1397">
        <f t="shared" si="477"/>
        <v>0</v>
      </c>
      <c r="AJ1397" s="2" t="str">
        <f t="shared" si="487"/>
        <v>447088</v>
      </c>
    </row>
    <row r="1398" spans="1:36" x14ac:dyDescent="0.25">
      <c r="A1398">
        <v>5</v>
      </c>
      <c r="B1398" s="1">
        <v>47088</v>
      </c>
      <c r="C1398" s="1">
        <f t="shared" si="478"/>
        <v>47239</v>
      </c>
      <c r="D1398" s="1">
        <f t="shared" si="479"/>
        <v>47102</v>
      </c>
      <c r="E1398" s="1">
        <f t="shared" si="480"/>
        <v>47239</v>
      </c>
      <c r="F1398" s="1">
        <f t="shared" si="481"/>
        <v>47270</v>
      </c>
      <c r="G1398" s="1">
        <f t="shared" si="482"/>
        <v>47467</v>
      </c>
      <c r="H1398">
        <f t="shared" si="483"/>
        <v>365</v>
      </c>
      <c r="I1398">
        <f t="shared" si="484"/>
        <v>31</v>
      </c>
      <c r="J1398">
        <f t="shared" si="485"/>
        <v>8.4931506849315067E-2</v>
      </c>
      <c r="K1398">
        <f>IFERROR($J1398/IF($A1398&lt;COUNTIFS($K$1:K$1,"&lt;&gt;"),0,SUMIFS($J:$J,$B:$B,$B1398,$A:$A,"&gt;="&amp;COUNTIFS($K$1:K$1,"&lt;&gt;"))),0)</f>
        <v>8.9080459770114959E-2</v>
      </c>
      <c r="L1398">
        <f>IFERROR($J1398/IF($A1398&lt;COUNTIFS($K$1:L$1,"&lt;&gt;"),0,SUMIFS($J:$J,$B:$B,$B1398,$A:$A,"&gt;="&amp;COUNTIFS($K$1:L$1,"&lt;&gt;"))),0)</f>
        <v>9.7791798107255537E-2</v>
      </c>
      <c r="M1398">
        <f>IFERROR($J1398/IF($A1398&lt;COUNTIFS($K$1:M$1,"&lt;&gt;"),0,SUMIFS($J:$J,$B:$B,$B1398,$A:$A,"&gt;="&amp;COUNTIFS($K$1:M$1,"&lt;&gt;"))),0)</f>
        <v>0.10726643598615919</v>
      </c>
      <c r="N1398">
        <f>IFERROR($J1398/IF($A1398&lt;COUNTIFS($K$1:N$1,"&lt;&gt;"),0,SUMIFS($J:$J,$B:$B,$B1398,$A:$A,"&gt;="&amp;COUNTIFS($K$1:N$1,"&lt;&gt;"))),0)</f>
        <v>0.12015503875968994</v>
      </c>
      <c r="O1398">
        <f>IFERROR($J1398/IF($A1398&lt;COUNTIFS($K$1:O$1,"&lt;&gt;"),0,SUMIFS($J:$J,$B:$B,$B1398,$A:$A,"&gt;="&amp;COUNTIFS($K$1:O$1,"&lt;&gt;"))),0)</f>
        <v>0.13596491228070179</v>
      </c>
      <c r="P1398">
        <f>IFERROR($J1398/IF($A1398&lt;COUNTIFS($K$1:P$1,"&lt;&gt;"),0,SUMIFS($J:$J,$B:$B,$B1398,$A:$A,"&gt;="&amp;COUNTIFS($K$1:P$1,"&lt;&gt;"))),0)</f>
        <v>0</v>
      </c>
      <c r="Q1398">
        <f>IFERROR($J1398/IF($A1398&lt;COUNTIFS($K$1:Q$1,"&lt;&gt;"),0,SUMIFS($J:$J,$B:$B,$B1398,$A:$A,"&gt;="&amp;COUNTIFS($K$1:Q$1,"&lt;&gt;"))),0)</f>
        <v>0</v>
      </c>
      <c r="R1398">
        <f>IFERROR($J1398/IF($A1398&lt;COUNTIFS($K$1:R$1,"&lt;&gt;"),0,SUMIFS($J:$J,$B:$B,$B1398,$A:$A,"&gt;="&amp;COUNTIFS($K$1:R$1,"&lt;&gt;"))),0)</f>
        <v>0</v>
      </c>
      <c r="S1398">
        <f>IFERROR($J1398/IF($A1398&lt;COUNTIFS($K$1:S$1,"&lt;&gt;"),0,SUMIFS($J:$J,$B:$B,$B1398,$A:$A,"&gt;="&amp;COUNTIFS($K$1:S$1,"&lt;&gt;"))),0)</f>
        <v>0</v>
      </c>
      <c r="T1398">
        <f>IFERROR($J1398/IF($A1398&lt;COUNTIFS($K$1:T$1,"&lt;&gt;"),0,SUMIFS($J:$J,$B:$B,$B1398,$A:$A,"&gt;="&amp;COUNTIFS($K$1:T$1,"&lt;&gt;"))),0)</f>
        <v>0</v>
      </c>
      <c r="U1398">
        <f>IFERROR($J1398/IF($A1398&lt;COUNTIFS($K$1:U$1,"&lt;&gt;"),0,SUMIFS($J:$J,$B:$B,$B1398,$A:$A,"&gt;="&amp;COUNTIFS($K$1:U$1,"&lt;&gt;"))),0)</f>
        <v>0</v>
      </c>
      <c r="V1398">
        <f>IFERROR($J1398/IF($A1398&lt;COUNTIFS($K$1:V$1,"&lt;&gt;"),0,SUMIFS($J:$J,$B:$B,$B1398,$A:$A,"&gt;="&amp;COUNTIFS($K$1:V$1,"&lt;&gt;"))),0)</f>
        <v>0</v>
      </c>
      <c r="W1398">
        <f t="shared" si="486"/>
        <v>8.4931506849315067E-2</v>
      </c>
      <c r="X1398">
        <f t="shared" si="466"/>
        <v>8.4931506849315067E-2</v>
      </c>
      <c r="Y1398">
        <f t="shared" si="467"/>
        <v>8.4931506849315067E-2</v>
      </c>
      <c r="Z1398">
        <f t="shared" si="468"/>
        <v>8.4931506849315067E-2</v>
      </c>
      <c r="AA1398">
        <f t="shared" si="469"/>
        <v>8.4931506849315067E-2</v>
      </c>
      <c r="AB1398">
        <f t="shared" si="470"/>
        <v>8.4931506849315067E-2</v>
      </c>
      <c r="AC1398">
        <f t="shared" si="471"/>
        <v>0</v>
      </c>
      <c r="AD1398">
        <f t="shared" si="472"/>
        <v>0</v>
      </c>
      <c r="AE1398">
        <f t="shared" si="473"/>
        <v>0</v>
      </c>
      <c r="AF1398">
        <f t="shared" si="474"/>
        <v>0</v>
      </c>
      <c r="AG1398">
        <f t="shared" si="475"/>
        <v>0</v>
      </c>
      <c r="AH1398">
        <f t="shared" si="476"/>
        <v>0</v>
      </c>
      <c r="AI1398">
        <f t="shared" si="477"/>
        <v>0</v>
      </c>
      <c r="AJ1398" s="2" t="str">
        <f t="shared" si="487"/>
        <v>547088</v>
      </c>
    </row>
    <row r="1399" spans="1:36" x14ac:dyDescent="0.25">
      <c r="A1399">
        <v>6</v>
      </c>
      <c r="B1399" s="1">
        <v>47088</v>
      </c>
      <c r="C1399" s="1">
        <f t="shared" si="478"/>
        <v>47270</v>
      </c>
      <c r="D1399" s="1">
        <f t="shared" si="479"/>
        <v>47102</v>
      </c>
      <c r="E1399" s="1">
        <f t="shared" si="480"/>
        <v>47270</v>
      </c>
      <c r="F1399" s="1">
        <f t="shared" si="481"/>
        <v>47300</v>
      </c>
      <c r="G1399" s="1">
        <f t="shared" si="482"/>
        <v>47467</v>
      </c>
      <c r="H1399">
        <f t="shared" si="483"/>
        <v>365</v>
      </c>
      <c r="I1399">
        <f t="shared" si="484"/>
        <v>30</v>
      </c>
      <c r="J1399">
        <f t="shared" si="485"/>
        <v>8.2191780821917804E-2</v>
      </c>
      <c r="K1399">
        <f>IFERROR($J1399/IF($A1399&lt;COUNTIFS($K$1:K$1,"&lt;&gt;"),0,SUMIFS($J:$J,$B:$B,$B1399,$A:$A,"&gt;="&amp;COUNTIFS($K$1:K$1,"&lt;&gt;"))),0)</f>
        <v>8.6206896551724144E-2</v>
      </c>
      <c r="L1399">
        <f>IFERROR($J1399/IF($A1399&lt;COUNTIFS($K$1:L$1,"&lt;&gt;"),0,SUMIFS($J:$J,$B:$B,$B1399,$A:$A,"&gt;="&amp;COUNTIFS($K$1:L$1,"&lt;&gt;"))),0)</f>
        <v>9.4637223974763415E-2</v>
      </c>
      <c r="M1399">
        <f>IFERROR($J1399/IF($A1399&lt;COUNTIFS($K$1:M$1,"&lt;&gt;"),0,SUMIFS($J:$J,$B:$B,$B1399,$A:$A,"&gt;="&amp;COUNTIFS($K$1:M$1,"&lt;&gt;"))),0)</f>
        <v>0.10380622837370243</v>
      </c>
      <c r="N1399">
        <f>IFERROR($J1399/IF($A1399&lt;COUNTIFS($K$1:N$1,"&lt;&gt;"),0,SUMIFS($J:$J,$B:$B,$B1399,$A:$A,"&gt;="&amp;COUNTIFS($K$1:N$1,"&lt;&gt;"))),0)</f>
        <v>0.11627906976744187</v>
      </c>
      <c r="O1399">
        <f>IFERROR($J1399/IF($A1399&lt;COUNTIFS($K$1:O$1,"&lt;&gt;"),0,SUMIFS($J:$J,$B:$B,$B1399,$A:$A,"&gt;="&amp;COUNTIFS($K$1:O$1,"&lt;&gt;"))),0)</f>
        <v>0.13157894736842107</v>
      </c>
      <c r="P1399">
        <f>IFERROR($J1399/IF($A1399&lt;COUNTIFS($K$1:P$1,"&lt;&gt;"),0,SUMIFS($J:$J,$B:$B,$B1399,$A:$A,"&gt;="&amp;COUNTIFS($K$1:P$1,"&lt;&gt;"))),0)</f>
        <v>0.15228426395939088</v>
      </c>
      <c r="Q1399">
        <f>IFERROR($J1399/IF($A1399&lt;COUNTIFS($K$1:Q$1,"&lt;&gt;"),0,SUMIFS($J:$J,$B:$B,$B1399,$A:$A,"&gt;="&amp;COUNTIFS($K$1:Q$1,"&lt;&gt;"))),0)</f>
        <v>0</v>
      </c>
      <c r="R1399">
        <f>IFERROR($J1399/IF($A1399&lt;COUNTIFS($K$1:R$1,"&lt;&gt;"),0,SUMIFS($J:$J,$B:$B,$B1399,$A:$A,"&gt;="&amp;COUNTIFS($K$1:R$1,"&lt;&gt;"))),0)</f>
        <v>0</v>
      </c>
      <c r="S1399">
        <f>IFERROR($J1399/IF($A1399&lt;COUNTIFS($K$1:S$1,"&lt;&gt;"),0,SUMIFS($J:$J,$B:$B,$B1399,$A:$A,"&gt;="&amp;COUNTIFS($K$1:S$1,"&lt;&gt;"))),0)</f>
        <v>0</v>
      </c>
      <c r="T1399">
        <f>IFERROR($J1399/IF($A1399&lt;COUNTIFS($K$1:T$1,"&lt;&gt;"),0,SUMIFS($J:$J,$B:$B,$B1399,$A:$A,"&gt;="&amp;COUNTIFS($K$1:T$1,"&lt;&gt;"))),0)</f>
        <v>0</v>
      </c>
      <c r="U1399">
        <f>IFERROR($J1399/IF($A1399&lt;COUNTIFS($K$1:U$1,"&lt;&gt;"),0,SUMIFS($J:$J,$B:$B,$B1399,$A:$A,"&gt;="&amp;COUNTIFS($K$1:U$1,"&lt;&gt;"))),0)</f>
        <v>0</v>
      </c>
      <c r="V1399">
        <f>IFERROR($J1399/IF($A1399&lt;COUNTIFS($K$1:V$1,"&lt;&gt;"),0,SUMIFS($J:$J,$B:$B,$B1399,$A:$A,"&gt;="&amp;COUNTIFS($K$1:V$1,"&lt;&gt;"))),0)</f>
        <v>0</v>
      </c>
      <c r="W1399">
        <f t="shared" si="486"/>
        <v>8.2191780821917804E-2</v>
      </c>
      <c r="X1399">
        <f t="shared" si="466"/>
        <v>8.2191780821917804E-2</v>
      </c>
      <c r="Y1399">
        <f t="shared" si="467"/>
        <v>8.2191780821917804E-2</v>
      </c>
      <c r="Z1399">
        <f t="shared" si="468"/>
        <v>8.2191780821917804E-2</v>
      </c>
      <c r="AA1399">
        <f t="shared" si="469"/>
        <v>8.2191780821917804E-2</v>
      </c>
      <c r="AB1399">
        <f t="shared" si="470"/>
        <v>8.2191780821917804E-2</v>
      </c>
      <c r="AC1399">
        <f t="shared" si="471"/>
        <v>8.2191780821917804E-2</v>
      </c>
      <c r="AD1399">
        <f t="shared" si="472"/>
        <v>0</v>
      </c>
      <c r="AE1399">
        <f t="shared" si="473"/>
        <v>0</v>
      </c>
      <c r="AF1399">
        <f t="shared" si="474"/>
        <v>0</v>
      </c>
      <c r="AG1399">
        <f t="shared" si="475"/>
        <v>0</v>
      </c>
      <c r="AH1399">
        <f t="shared" si="476"/>
        <v>0</v>
      </c>
      <c r="AI1399">
        <f t="shared" si="477"/>
        <v>0</v>
      </c>
      <c r="AJ1399" s="2" t="str">
        <f t="shared" si="487"/>
        <v>647088</v>
      </c>
    </row>
    <row r="1400" spans="1:36" x14ac:dyDescent="0.25">
      <c r="A1400">
        <v>7</v>
      </c>
      <c r="B1400" s="1">
        <v>47088</v>
      </c>
      <c r="C1400" s="1">
        <f t="shared" si="478"/>
        <v>47300</v>
      </c>
      <c r="D1400" s="1">
        <f t="shared" si="479"/>
        <v>47102</v>
      </c>
      <c r="E1400" s="1">
        <f t="shared" si="480"/>
        <v>47300</v>
      </c>
      <c r="F1400" s="1">
        <f t="shared" si="481"/>
        <v>47331</v>
      </c>
      <c r="G1400" s="1">
        <f t="shared" si="482"/>
        <v>47467</v>
      </c>
      <c r="H1400">
        <f t="shared" si="483"/>
        <v>365</v>
      </c>
      <c r="I1400">
        <f t="shared" si="484"/>
        <v>31</v>
      </c>
      <c r="J1400">
        <f t="shared" si="485"/>
        <v>8.4931506849315067E-2</v>
      </c>
      <c r="K1400">
        <f>IFERROR($J1400/IF($A1400&lt;COUNTIFS($K$1:K$1,"&lt;&gt;"),0,SUMIFS($J:$J,$B:$B,$B1400,$A:$A,"&gt;="&amp;COUNTIFS($K$1:K$1,"&lt;&gt;"))),0)</f>
        <v>8.9080459770114959E-2</v>
      </c>
      <c r="L1400">
        <f>IFERROR($J1400/IF($A1400&lt;COUNTIFS($K$1:L$1,"&lt;&gt;"),0,SUMIFS($J:$J,$B:$B,$B1400,$A:$A,"&gt;="&amp;COUNTIFS($K$1:L$1,"&lt;&gt;"))),0)</f>
        <v>9.7791798107255537E-2</v>
      </c>
      <c r="M1400">
        <f>IFERROR($J1400/IF($A1400&lt;COUNTIFS($K$1:M$1,"&lt;&gt;"),0,SUMIFS($J:$J,$B:$B,$B1400,$A:$A,"&gt;="&amp;COUNTIFS($K$1:M$1,"&lt;&gt;"))),0)</f>
        <v>0.10726643598615919</v>
      </c>
      <c r="N1400">
        <f>IFERROR($J1400/IF($A1400&lt;COUNTIFS($K$1:N$1,"&lt;&gt;"),0,SUMIFS($J:$J,$B:$B,$B1400,$A:$A,"&gt;="&amp;COUNTIFS($K$1:N$1,"&lt;&gt;"))),0)</f>
        <v>0.12015503875968994</v>
      </c>
      <c r="O1400">
        <f>IFERROR($J1400/IF($A1400&lt;COUNTIFS($K$1:O$1,"&lt;&gt;"),0,SUMIFS($J:$J,$B:$B,$B1400,$A:$A,"&gt;="&amp;COUNTIFS($K$1:O$1,"&lt;&gt;"))),0)</f>
        <v>0.13596491228070179</v>
      </c>
      <c r="P1400">
        <f>IFERROR($J1400/IF($A1400&lt;COUNTIFS($K$1:P$1,"&lt;&gt;"),0,SUMIFS($J:$J,$B:$B,$B1400,$A:$A,"&gt;="&amp;COUNTIFS($K$1:P$1,"&lt;&gt;"))),0)</f>
        <v>0.15736040609137059</v>
      </c>
      <c r="Q1400">
        <f>IFERROR($J1400/IF($A1400&lt;COUNTIFS($K$1:Q$1,"&lt;&gt;"),0,SUMIFS($J:$J,$B:$B,$B1400,$A:$A,"&gt;="&amp;COUNTIFS($K$1:Q$1,"&lt;&gt;"))),0)</f>
        <v>0.18562874251497008</v>
      </c>
      <c r="R1400">
        <f>IFERROR($J1400/IF($A1400&lt;COUNTIFS($K$1:R$1,"&lt;&gt;"),0,SUMIFS($J:$J,$B:$B,$B1400,$A:$A,"&gt;="&amp;COUNTIFS($K$1:R$1,"&lt;&gt;"))),0)</f>
        <v>0</v>
      </c>
      <c r="S1400">
        <f>IFERROR($J1400/IF($A1400&lt;COUNTIFS($K$1:S$1,"&lt;&gt;"),0,SUMIFS($J:$J,$B:$B,$B1400,$A:$A,"&gt;="&amp;COUNTIFS($K$1:S$1,"&lt;&gt;"))),0)</f>
        <v>0</v>
      </c>
      <c r="T1400">
        <f>IFERROR($J1400/IF($A1400&lt;COUNTIFS($K$1:T$1,"&lt;&gt;"),0,SUMIFS($J:$J,$B:$B,$B1400,$A:$A,"&gt;="&amp;COUNTIFS($K$1:T$1,"&lt;&gt;"))),0)</f>
        <v>0</v>
      </c>
      <c r="U1400">
        <f>IFERROR($J1400/IF($A1400&lt;COUNTIFS($K$1:U$1,"&lt;&gt;"),0,SUMIFS($J:$J,$B:$B,$B1400,$A:$A,"&gt;="&amp;COUNTIFS($K$1:U$1,"&lt;&gt;"))),0)</f>
        <v>0</v>
      </c>
      <c r="V1400">
        <f>IFERROR($J1400/IF($A1400&lt;COUNTIFS($K$1:V$1,"&lt;&gt;"),0,SUMIFS($J:$J,$B:$B,$B1400,$A:$A,"&gt;="&amp;COUNTIFS($K$1:V$1,"&lt;&gt;"))),0)</f>
        <v>0</v>
      </c>
      <c r="W1400">
        <f t="shared" si="486"/>
        <v>8.4931506849315067E-2</v>
      </c>
      <c r="X1400">
        <f t="shared" si="466"/>
        <v>8.4931506849315067E-2</v>
      </c>
      <c r="Y1400">
        <f t="shared" si="467"/>
        <v>8.4931506849315067E-2</v>
      </c>
      <c r="Z1400">
        <f t="shared" si="468"/>
        <v>8.4931506849315067E-2</v>
      </c>
      <c r="AA1400">
        <f t="shared" si="469"/>
        <v>8.4931506849315067E-2</v>
      </c>
      <c r="AB1400">
        <f t="shared" si="470"/>
        <v>8.4931506849315067E-2</v>
      </c>
      <c r="AC1400">
        <f t="shared" si="471"/>
        <v>8.4931506849315067E-2</v>
      </c>
      <c r="AD1400">
        <f t="shared" si="472"/>
        <v>8.4931506849315067E-2</v>
      </c>
      <c r="AE1400">
        <f t="shared" si="473"/>
        <v>0</v>
      </c>
      <c r="AF1400">
        <f t="shared" si="474"/>
        <v>0</v>
      </c>
      <c r="AG1400">
        <f t="shared" si="475"/>
        <v>0</v>
      </c>
      <c r="AH1400">
        <f t="shared" si="476"/>
        <v>0</v>
      </c>
      <c r="AI1400">
        <f t="shared" si="477"/>
        <v>0</v>
      </c>
      <c r="AJ1400" s="2" t="str">
        <f t="shared" si="487"/>
        <v>747088</v>
      </c>
    </row>
    <row r="1401" spans="1:36" x14ac:dyDescent="0.25">
      <c r="A1401">
        <v>8</v>
      </c>
      <c r="B1401" s="1">
        <v>47088</v>
      </c>
      <c r="C1401" s="1">
        <f t="shared" si="478"/>
        <v>47331</v>
      </c>
      <c r="D1401" s="1">
        <f t="shared" si="479"/>
        <v>47102</v>
      </c>
      <c r="E1401" s="1">
        <f t="shared" si="480"/>
        <v>47331</v>
      </c>
      <c r="F1401" s="1">
        <f t="shared" si="481"/>
        <v>47362</v>
      </c>
      <c r="G1401" s="1">
        <f t="shared" si="482"/>
        <v>47467</v>
      </c>
      <c r="H1401">
        <f t="shared" si="483"/>
        <v>365</v>
      </c>
      <c r="I1401">
        <f t="shared" si="484"/>
        <v>31</v>
      </c>
      <c r="J1401">
        <f t="shared" si="485"/>
        <v>8.4931506849315067E-2</v>
      </c>
      <c r="K1401">
        <f>IFERROR($J1401/IF($A1401&lt;COUNTIFS($K$1:K$1,"&lt;&gt;"),0,SUMIFS($J:$J,$B:$B,$B1401,$A:$A,"&gt;="&amp;COUNTIFS($K$1:K$1,"&lt;&gt;"))),0)</f>
        <v>8.9080459770114959E-2</v>
      </c>
      <c r="L1401">
        <f>IFERROR($J1401/IF($A1401&lt;COUNTIFS($K$1:L$1,"&lt;&gt;"),0,SUMIFS($J:$J,$B:$B,$B1401,$A:$A,"&gt;="&amp;COUNTIFS($K$1:L$1,"&lt;&gt;"))),0)</f>
        <v>9.7791798107255537E-2</v>
      </c>
      <c r="M1401">
        <f>IFERROR($J1401/IF($A1401&lt;COUNTIFS($K$1:M$1,"&lt;&gt;"),0,SUMIFS($J:$J,$B:$B,$B1401,$A:$A,"&gt;="&amp;COUNTIFS($K$1:M$1,"&lt;&gt;"))),0)</f>
        <v>0.10726643598615919</v>
      </c>
      <c r="N1401">
        <f>IFERROR($J1401/IF($A1401&lt;COUNTIFS($K$1:N$1,"&lt;&gt;"),0,SUMIFS($J:$J,$B:$B,$B1401,$A:$A,"&gt;="&amp;COUNTIFS($K$1:N$1,"&lt;&gt;"))),0)</f>
        <v>0.12015503875968994</v>
      </c>
      <c r="O1401">
        <f>IFERROR($J1401/IF($A1401&lt;COUNTIFS($K$1:O$1,"&lt;&gt;"),0,SUMIFS($J:$J,$B:$B,$B1401,$A:$A,"&gt;="&amp;COUNTIFS($K$1:O$1,"&lt;&gt;"))),0)</f>
        <v>0.13596491228070179</v>
      </c>
      <c r="P1401">
        <f>IFERROR($J1401/IF($A1401&lt;COUNTIFS($K$1:P$1,"&lt;&gt;"),0,SUMIFS($J:$J,$B:$B,$B1401,$A:$A,"&gt;="&amp;COUNTIFS($K$1:P$1,"&lt;&gt;"))),0)</f>
        <v>0.15736040609137059</v>
      </c>
      <c r="Q1401">
        <f>IFERROR($J1401/IF($A1401&lt;COUNTIFS($K$1:Q$1,"&lt;&gt;"),0,SUMIFS($J:$J,$B:$B,$B1401,$A:$A,"&gt;="&amp;COUNTIFS($K$1:Q$1,"&lt;&gt;"))),0)</f>
        <v>0.18562874251497008</v>
      </c>
      <c r="R1401">
        <f>IFERROR($J1401/IF($A1401&lt;COUNTIFS($K$1:R$1,"&lt;&gt;"),0,SUMIFS($J:$J,$B:$B,$B1401,$A:$A,"&gt;="&amp;COUNTIFS($K$1:R$1,"&lt;&gt;"))),0)</f>
        <v>0.22794117647058826</v>
      </c>
      <c r="S1401">
        <f>IFERROR($J1401/IF($A1401&lt;COUNTIFS($K$1:S$1,"&lt;&gt;"),0,SUMIFS($J:$J,$B:$B,$B1401,$A:$A,"&gt;="&amp;COUNTIFS($K$1:S$1,"&lt;&gt;"))),0)</f>
        <v>0</v>
      </c>
      <c r="T1401">
        <f>IFERROR($J1401/IF($A1401&lt;COUNTIFS($K$1:T$1,"&lt;&gt;"),0,SUMIFS($J:$J,$B:$B,$B1401,$A:$A,"&gt;="&amp;COUNTIFS($K$1:T$1,"&lt;&gt;"))),0)</f>
        <v>0</v>
      </c>
      <c r="U1401">
        <f>IFERROR($J1401/IF($A1401&lt;COUNTIFS($K$1:U$1,"&lt;&gt;"),0,SUMIFS($J:$J,$B:$B,$B1401,$A:$A,"&gt;="&amp;COUNTIFS($K$1:U$1,"&lt;&gt;"))),0)</f>
        <v>0</v>
      </c>
      <c r="V1401">
        <f>IFERROR($J1401/IF($A1401&lt;COUNTIFS($K$1:V$1,"&lt;&gt;"),0,SUMIFS($J:$J,$B:$B,$B1401,$A:$A,"&gt;="&amp;COUNTIFS($K$1:V$1,"&lt;&gt;"))),0)</f>
        <v>0</v>
      </c>
      <c r="W1401">
        <f t="shared" si="486"/>
        <v>8.4931506849315067E-2</v>
      </c>
      <c r="X1401">
        <f t="shared" si="466"/>
        <v>8.4931506849315067E-2</v>
      </c>
      <c r="Y1401">
        <f t="shared" si="467"/>
        <v>8.4931506849315067E-2</v>
      </c>
      <c r="Z1401">
        <f t="shared" si="468"/>
        <v>8.4931506849315067E-2</v>
      </c>
      <c r="AA1401">
        <f t="shared" si="469"/>
        <v>8.4931506849315067E-2</v>
      </c>
      <c r="AB1401">
        <f t="shared" si="470"/>
        <v>8.4931506849315067E-2</v>
      </c>
      <c r="AC1401">
        <f t="shared" si="471"/>
        <v>8.4931506849315067E-2</v>
      </c>
      <c r="AD1401">
        <f t="shared" si="472"/>
        <v>8.4931506849315067E-2</v>
      </c>
      <c r="AE1401">
        <f t="shared" si="473"/>
        <v>8.4931506849315067E-2</v>
      </c>
      <c r="AF1401">
        <f t="shared" si="474"/>
        <v>0</v>
      </c>
      <c r="AG1401">
        <f t="shared" si="475"/>
        <v>0</v>
      </c>
      <c r="AH1401">
        <f t="shared" si="476"/>
        <v>0</v>
      </c>
      <c r="AI1401">
        <f t="shared" si="477"/>
        <v>0</v>
      </c>
      <c r="AJ1401" s="2" t="str">
        <f t="shared" si="487"/>
        <v>847088</v>
      </c>
    </row>
    <row r="1402" spans="1:36" x14ac:dyDescent="0.25">
      <c r="A1402">
        <v>9</v>
      </c>
      <c r="B1402" s="1">
        <v>47088</v>
      </c>
      <c r="C1402" s="1">
        <f t="shared" si="478"/>
        <v>47362</v>
      </c>
      <c r="D1402" s="1">
        <f t="shared" si="479"/>
        <v>47102</v>
      </c>
      <c r="E1402" s="1">
        <f t="shared" si="480"/>
        <v>47362</v>
      </c>
      <c r="F1402" s="1">
        <f t="shared" si="481"/>
        <v>47392</v>
      </c>
      <c r="G1402" s="1">
        <f t="shared" si="482"/>
        <v>47467</v>
      </c>
      <c r="H1402">
        <f t="shared" si="483"/>
        <v>365</v>
      </c>
      <c r="I1402">
        <f t="shared" si="484"/>
        <v>30</v>
      </c>
      <c r="J1402">
        <f t="shared" si="485"/>
        <v>8.2191780821917804E-2</v>
      </c>
      <c r="K1402">
        <f>IFERROR($J1402/IF($A1402&lt;COUNTIFS($K$1:K$1,"&lt;&gt;"),0,SUMIFS($J:$J,$B:$B,$B1402,$A:$A,"&gt;="&amp;COUNTIFS($K$1:K$1,"&lt;&gt;"))),0)</f>
        <v>8.6206896551724144E-2</v>
      </c>
      <c r="L1402">
        <f>IFERROR($J1402/IF($A1402&lt;COUNTIFS($K$1:L$1,"&lt;&gt;"),0,SUMIFS($J:$J,$B:$B,$B1402,$A:$A,"&gt;="&amp;COUNTIFS($K$1:L$1,"&lt;&gt;"))),0)</f>
        <v>9.4637223974763415E-2</v>
      </c>
      <c r="M1402">
        <f>IFERROR($J1402/IF($A1402&lt;COUNTIFS($K$1:M$1,"&lt;&gt;"),0,SUMIFS($J:$J,$B:$B,$B1402,$A:$A,"&gt;="&amp;COUNTIFS($K$1:M$1,"&lt;&gt;"))),0)</f>
        <v>0.10380622837370243</v>
      </c>
      <c r="N1402">
        <f>IFERROR($J1402/IF($A1402&lt;COUNTIFS($K$1:N$1,"&lt;&gt;"),0,SUMIFS($J:$J,$B:$B,$B1402,$A:$A,"&gt;="&amp;COUNTIFS($K$1:N$1,"&lt;&gt;"))),0)</f>
        <v>0.11627906976744187</v>
      </c>
      <c r="O1402">
        <f>IFERROR($J1402/IF($A1402&lt;COUNTIFS($K$1:O$1,"&lt;&gt;"),0,SUMIFS($J:$J,$B:$B,$B1402,$A:$A,"&gt;="&amp;COUNTIFS($K$1:O$1,"&lt;&gt;"))),0)</f>
        <v>0.13157894736842107</v>
      </c>
      <c r="P1402">
        <f>IFERROR($J1402/IF($A1402&lt;COUNTIFS($K$1:P$1,"&lt;&gt;"),0,SUMIFS($J:$J,$B:$B,$B1402,$A:$A,"&gt;="&amp;COUNTIFS($K$1:P$1,"&lt;&gt;"))),0)</f>
        <v>0.15228426395939088</v>
      </c>
      <c r="Q1402">
        <f>IFERROR($J1402/IF($A1402&lt;COUNTIFS($K$1:Q$1,"&lt;&gt;"),0,SUMIFS($J:$J,$B:$B,$B1402,$A:$A,"&gt;="&amp;COUNTIFS($K$1:Q$1,"&lt;&gt;"))),0)</f>
        <v>0.17964071856287425</v>
      </c>
      <c r="R1402">
        <f>IFERROR($J1402/IF($A1402&lt;COUNTIFS($K$1:R$1,"&lt;&gt;"),0,SUMIFS($J:$J,$B:$B,$B1402,$A:$A,"&gt;="&amp;COUNTIFS($K$1:R$1,"&lt;&gt;"))),0)</f>
        <v>0.22058823529411764</v>
      </c>
      <c r="S1402">
        <f>IFERROR($J1402/IF($A1402&lt;COUNTIFS($K$1:S$1,"&lt;&gt;"),0,SUMIFS($J:$J,$B:$B,$B1402,$A:$A,"&gt;="&amp;COUNTIFS($K$1:S$1,"&lt;&gt;"))),0)</f>
        <v>0.2857142857142857</v>
      </c>
      <c r="T1402">
        <f>IFERROR($J1402/IF($A1402&lt;COUNTIFS($K$1:T$1,"&lt;&gt;"),0,SUMIFS($J:$J,$B:$B,$B1402,$A:$A,"&gt;="&amp;COUNTIFS($K$1:T$1,"&lt;&gt;"))),0)</f>
        <v>0</v>
      </c>
      <c r="U1402">
        <f>IFERROR($J1402/IF($A1402&lt;COUNTIFS($K$1:U$1,"&lt;&gt;"),0,SUMIFS($J:$J,$B:$B,$B1402,$A:$A,"&gt;="&amp;COUNTIFS($K$1:U$1,"&lt;&gt;"))),0)</f>
        <v>0</v>
      </c>
      <c r="V1402">
        <f>IFERROR($J1402/IF($A1402&lt;COUNTIFS($K$1:V$1,"&lt;&gt;"),0,SUMIFS($J:$J,$B:$B,$B1402,$A:$A,"&gt;="&amp;COUNTIFS($K$1:V$1,"&lt;&gt;"))),0)</f>
        <v>0</v>
      </c>
      <c r="W1402">
        <f t="shared" si="486"/>
        <v>8.2191780821917804E-2</v>
      </c>
      <c r="X1402">
        <f t="shared" si="466"/>
        <v>8.2191780821917804E-2</v>
      </c>
      <c r="Y1402">
        <f t="shared" si="467"/>
        <v>8.2191780821917804E-2</v>
      </c>
      <c r="Z1402">
        <f t="shared" si="468"/>
        <v>8.2191780821917804E-2</v>
      </c>
      <c r="AA1402">
        <f t="shared" si="469"/>
        <v>8.2191780821917804E-2</v>
      </c>
      <c r="AB1402">
        <f t="shared" si="470"/>
        <v>8.2191780821917804E-2</v>
      </c>
      <c r="AC1402">
        <f t="shared" si="471"/>
        <v>8.2191780821917804E-2</v>
      </c>
      <c r="AD1402">
        <f t="shared" si="472"/>
        <v>8.2191780821917804E-2</v>
      </c>
      <c r="AE1402">
        <f t="shared" si="473"/>
        <v>8.2191780821917804E-2</v>
      </c>
      <c r="AF1402">
        <f t="shared" si="474"/>
        <v>8.2191780821917804E-2</v>
      </c>
      <c r="AG1402">
        <f t="shared" si="475"/>
        <v>0</v>
      </c>
      <c r="AH1402">
        <f t="shared" si="476"/>
        <v>0</v>
      </c>
      <c r="AI1402">
        <f t="shared" si="477"/>
        <v>0</v>
      </c>
      <c r="AJ1402" s="2" t="str">
        <f t="shared" si="487"/>
        <v>947088</v>
      </c>
    </row>
    <row r="1403" spans="1:36" x14ac:dyDescent="0.25">
      <c r="A1403">
        <v>10</v>
      </c>
      <c r="B1403" s="1">
        <v>47088</v>
      </c>
      <c r="C1403" s="1">
        <f t="shared" si="478"/>
        <v>47392</v>
      </c>
      <c r="D1403" s="1">
        <f t="shared" si="479"/>
        <v>47102</v>
      </c>
      <c r="E1403" s="1">
        <f t="shared" si="480"/>
        <v>47392</v>
      </c>
      <c r="F1403" s="1">
        <f t="shared" si="481"/>
        <v>47423</v>
      </c>
      <c r="G1403" s="1">
        <f t="shared" si="482"/>
        <v>47467</v>
      </c>
      <c r="H1403">
        <f t="shared" si="483"/>
        <v>365</v>
      </c>
      <c r="I1403">
        <f t="shared" si="484"/>
        <v>31</v>
      </c>
      <c r="J1403">
        <f t="shared" si="485"/>
        <v>8.4931506849315067E-2</v>
      </c>
      <c r="K1403">
        <f>IFERROR($J1403/IF($A1403&lt;COUNTIFS($K$1:K$1,"&lt;&gt;"),0,SUMIFS($J:$J,$B:$B,$B1403,$A:$A,"&gt;="&amp;COUNTIFS($K$1:K$1,"&lt;&gt;"))),0)</f>
        <v>8.9080459770114959E-2</v>
      </c>
      <c r="L1403">
        <f>IFERROR($J1403/IF($A1403&lt;COUNTIFS($K$1:L$1,"&lt;&gt;"),0,SUMIFS($J:$J,$B:$B,$B1403,$A:$A,"&gt;="&amp;COUNTIFS($K$1:L$1,"&lt;&gt;"))),0)</f>
        <v>9.7791798107255537E-2</v>
      </c>
      <c r="M1403">
        <f>IFERROR($J1403/IF($A1403&lt;COUNTIFS($K$1:M$1,"&lt;&gt;"),0,SUMIFS($J:$J,$B:$B,$B1403,$A:$A,"&gt;="&amp;COUNTIFS($K$1:M$1,"&lt;&gt;"))),0)</f>
        <v>0.10726643598615919</v>
      </c>
      <c r="N1403">
        <f>IFERROR($J1403/IF($A1403&lt;COUNTIFS($K$1:N$1,"&lt;&gt;"),0,SUMIFS($J:$J,$B:$B,$B1403,$A:$A,"&gt;="&amp;COUNTIFS($K$1:N$1,"&lt;&gt;"))),0)</f>
        <v>0.12015503875968994</v>
      </c>
      <c r="O1403">
        <f>IFERROR($J1403/IF($A1403&lt;COUNTIFS($K$1:O$1,"&lt;&gt;"),0,SUMIFS($J:$J,$B:$B,$B1403,$A:$A,"&gt;="&amp;COUNTIFS($K$1:O$1,"&lt;&gt;"))),0)</f>
        <v>0.13596491228070179</v>
      </c>
      <c r="P1403">
        <f>IFERROR($J1403/IF($A1403&lt;COUNTIFS($K$1:P$1,"&lt;&gt;"),0,SUMIFS($J:$J,$B:$B,$B1403,$A:$A,"&gt;="&amp;COUNTIFS($K$1:P$1,"&lt;&gt;"))),0)</f>
        <v>0.15736040609137059</v>
      </c>
      <c r="Q1403">
        <f>IFERROR($J1403/IF($A1403&lt;COUNTIFS($K$1:Q$1,"&lt;&gt;"),0,SUMIFS($J:$J,$B:$B,$B1403,$A:$A,"&gt;="&amp;COUNTIFS($K$1:Q$1,"&lt;&gt;"))),0)</f>
        <v>0.18562874251497008</v>
      </c>
      <c r="R1403">
        <f>IFERROR($J1403/IF($A1403&lt;COUNTIFS($K$1:R$1,"&lt;&gt;"),0,SUMIFS($J:$J,$B:$B,$B1403,$A:$A,"&gt;="&amp;COUNTIFS($K$1:R$1,"&lt;&gt;"))),0)</f>
        <v>0.22794117647058826</v>
      </c>
      <c r="S1403">
        <f>IFERROR($J1403/IF($A1403&lt;COUNTIFS($K$1:S$1,"&lt;&gt;"),0,SUMIFS($J:$J,$B:$B,$B1403,$A:$A,"&gt;="&amp;COUNTIFS($K$1:S$1,"&lt;&gt;"))),0)</f>
        <v>0.29523809523809524</v>
      </c>
      <c r="T1403">
        <f>IFERROR($J1403/IF($A1403&lt;COUNTIFS($K$1:T$1,"&lt;&gt;"),0,SUMIFS($J:$J,$B:$B,$B1403,$A:$A,"&gt;="&amp;COUNTIFS($K$1:T$1,"&lt;&gt;"))),0)</f>
        <v>0.41333333333333333</v>
      </c>
      <c r="U1403">
        <f>IFERROR($J1403/IF($A1403&lt;COUNTIFS($K$1:U$1,"&lt;&gt;"),0,SUMIFS($J:$J,$B:$B,$B1403,$A:$A,"&gt;="&amp;COUNTIFS($K$1:U$1,"&lt;&gt;"))),0)</f>
        <v>0</v>
      </c>
      <c r="V1403">
        <f>IFERROR($J1403/IF($A1403&lt;COUNTIFS($K$1:V$1,"&lt;&gt;"),0,SUMIFS($J:$J,$B:$B,$B1403,$A:$A,"&gt;="&amp;COUNTIFS($K$1:V$1,"&lt;&gt;"))),0)</f>
        <v>0</v>
      </c>
      <c r="W1403">
        <f t="shared" si="486"/>
        <v>8.4931506849315067E-2</v>
      </c>
      <c r="X1403">
        <f t="shared" si="466"/>
        <v>8.4931506849315067E-2</v>
      </c>
      <c r="Y1403">
        <f t="shared" si="467"/>
        <v>8.4931506849315067E-2</v>
      </c>
      <c r="Z1403">
        <f t="shared" si="468"/>
        <v>8.4931506849315067E-2</v>
      </c>
      <c r="AA1403">
        <f t="shared" si="469"/>
        <v>8.4931506849315067E-2</v>
      </c>
      <c r="AB1403">
        <f t="shared" si="470"/>
        <v>8.4931506849315067E-2</v>
      </c>
      <c r="AC1403">
        <f t="shared" si="471"/>
        <v>8.4931506849315067E-2</v>
      </c>
      <c r="AD1403">
        <f t="shared" si="472"/>
        <v>8.4931506849315067E-2</v>
      </c>
      <c r="AE1403">
        <f t="shared" si="473"/>
        <v>8.4931506849315067E-2</v>
      </c>
      <c r="AF1403">
        <f t="shared" si="474"/>
        <v>8.4931506849315067E-2</v>
      </c>
      <c r="AG1403">
        <f t="shared" si="475"/>
        <v>8.4931506849315067E-2</v>
      </c>
      <c r="AH1403">
        <f t="shared" si="476"/>
        <v>0</v>
      </c>
      <c r="AI1403">
        <f t="shared" si="477"/>
        <v>0</v>
      </c>
      <c r="AJ1403" s="2" t="str">
        <f t="shared" si="487"/>
        <v>1047088</v>
      </c>
    </row>
    <row r="1404" spans="1:36" x14ac:dyDescent="0.25">
      <c r="A1404">
        <v>11</v>
      </c>
      <c r="B1404" s="1">
        <v>47088</v>
      </c>
      <c r="C1404" s="1">
        <f t="shared" si="478"/>
        <v>47423</v>
      </c>
      <c r="D1404" s="1">
        <f t="shared" si="479"/>
        <v>47102</v>
      </c>
      <c r="E1404" s="1">
        <f t="shared" si="480"/>
        <v>47423</v>
      </c>
      <c r="F1404" s="1">
        <f t="shared" si="481"/>
        <v>47453</v>
      </c>
      <c r="G1404" s="1">
        <f t="shared" si="482"/>
        <v>47467</v>
      </c>
      <c r="H1404">
        <f t="shared" si="483"/>
        <v>365</v>
      </c>
      <c r="I1404">
        <f t="shared" si="484"/>
        <v>30</v>
      </c>
      <c r="J1404">
        <f t="shared" si="485"/>
        <v>8.2191780821917804E-2</v>
      </c>
      <c r="K1404">
        <f>IFERROR($J1404/IF($A1404&lt;COUNTIFS($K$1:K$1,"&lt;&gt;"),0,SUMIFS($J:$J,$B:$B,$B1404,$A:$A,"&gt;="&amp;COUNTIFS($K$1:K$1,"&lt;&gt;"))),0)</f>
        <v>8.6206896551724144E-2</v>
      </c>
      <c r="L1404">
        <f>IFERROR($J1404/IF($A1404&lt;COUNTIFS($K$1:L$1,"&lt;&gt;"),0,SUMIFS($J:$J,$B:$B,$B1404,$A:$A,"&gt;="&amp;COUNTIFS($K$1:L$1,"&lt;&gt;"))),0)</f>
        <v>9.4637223974763415E-2</v>
      </c>
      <c r="M1404">
        <f>IFERROR($J1404/IF($A1404&lt;COUNTIFS($K$1:M$1,"&lt;&gt;"),0,SUMIFS($J:$J,$B:$B,$B1404,$A:$A,"&gt;="&amp;COUNTIFS($K$1:M$1,"&lt;&gt;"))),0)</f>
        <v>0.10380622837370243</v>
      </c>
      <c r="N1404">
        <f>IFERROR($J1404/IF($A1404&lt;COUNTIFS($K$1:N$1,"&lt;&gt;"),0,SUMIFS($J:$J,$B:$B,$B1404,$A:$A,"&gt;="&amp;COUNTIFS($K$1:N$1,"&lt;&gt;"))),0)</f>
        <v>0.11627906976744187</v>
      </c>
      <c r="O1404">
        <f>IFERROR($J1404/IF($A1404&lt;COUNTIFS($K$1:O$1,"&lt;&gt;"),0,SUMIFS($J:$J,$B:$B,$B1404,$A:$A,"&gt;="&amp;COUNTIFS($K$1:O$1,"&lt;&gt;"))),0)</f>
        <v>0.13157894736842107</v>
      </c>
      <c r="P1404">
        <f>IFERROR($J1404/IF($A1404&lt;COUNTIFS($K$1:P$1,"&lt;&gt;"),0,SUMIFS($J:$J,$B:$B,$B1404,$A:$A,"&gt;="&amp;COUNTIFS($K$1:P$1,"&lt;&gt;"))),0)</f>
        <v>0.15228426395939088</v>
      </c>
      <c r="Q1404">
        <f>IFERROR($J1404/IF($A1404&lt;COUNTIFS($K$1:Q$1,"&lt;&gt;"),0,SUMIFS($J:$J,$B:$B,$B1404,$A:$A,"&gt;="&amp;COUNTIFS($K$1:Q$1,"&lt;&gt;"))),0)</f>
        <v>0.17964071856287425</v>
      </c>
      <c r="R1404">
        <f>IFERROR($J1404/IF($A1404&lt;COUNTIFS($K$1:R$1,"&lt;&gt;"),0,SUMIFS($J:$J,$B:$B,$B1404,$A:$A,"&gt;="&amp;COUNTIFS($K$1:R$1,"&lt;&gt;"))),0)</f>
        <v>0.22058823529411764</v>
      </c>
      <c r="S1404">
        <f>IFERROR($J1404/IF($A1404&lt;COUNTIFS($K$1:S$1,"&lt;&gt;"),0,SUMIFS($J:$J,$B:$B,$B1404,$A:$A,"&gt;="&amp;COUNTIFS($K$1:S$1,"&lt;&gt;"))),0)</f>
        <v>0.2857142857142857</v>
      </c>
      <c r="T1404">
        <f>IFERROR($J1404/IF($A1404&lt;COUNTIFS($K$1:T$1,"&lt;&gt;"),0,SUMIFS($J:$J,$B:$B,$B1404,$A:$A,"&gt;="&amp;COUNTIFS($K$1:T$1,"&lt;&gt;"))),0)</f>
        <v>0.4</v>
      </c>
      <c r="U1404">
        <f>IFERROR($J1404/IF($A1404&lt;COUNTIFS($K$1:U$1,"&lt;&gt;"),0,SUMIFS($J:$J,$B:$B,$B1404,$A:$A,"&gt;="&amp;COUNTIFS($K$1:U$1,"&lt;&gt;"))),0)</f>
        <v>0.68181818181818177</v>
      </c>
      <c r="V1404">
        <f>IFERROR($J1404/IF($A1404&lt;COUNTIFS($K$1:V$1,"&lt;&gt;"),0,SUMIFS($J:$J,$B:$B,$B1404,$A:$A,"&gt;="&amp;COUNTIFS($K$1:V$1,"&lt;&gt;"))),0)</f>
        <v>0</v>
      </c>
      <c r="W1404">
        <f t="shared" si="486"/>
        <v>8.2191780821917804E-2</v>
      </c>
      <c r="X1404">
        <f t="shared" si="466"/>
        <v>8.2191780821917804E-2</v>
      </c>
      <c r="Y1404">
        <f t="shared" si="467"/>
        <v>8.2191780821917804E-2</v>
      </c>
      <c r="Z1404">
        <f t="shared" si="468"/>
        <v>8.2191780821917804E-2</v>
      </c>
      <c r="AA1404">
        <f t="shared" si="469"/>
        <v>8.2191780821917804E-2</v>
      </c>
      <c r="AB1404">
        <f t="shared" si="470"/>
        <v>8.2191780821917804E-2</v>
      </c>
      <c r="AC1404">
        <f t="shared" si="471"/>
        <v>8.2191780821917804E-2</v>
      </c>
      <c r="AD1404">
        <f t="shared" si="472"/>
        <v>8.2191780821917804E-2</v>
      </c>
      <c r="AE1404">
        <f t="shared" si="473"/>
        <v>8.2191780821917804E-2</v>
      </c>
      <c r="AF1404">
        <f t="shared" si="474"/>
        <v>8.2191780821917804E-2</v>
      </c>
      <c r="AG1404">
        <f t="shared" si="475"/>
        <v>8.2191780821917804E-2</v>
      </c>
      <c r="AH1404">
        <f t="shared" si="476"/>
        <v>8.2191780821917804E-2</v>
      </c>
      <c r="AI1404">
        <f t="shared" si="477"/>
        <v>0</v>
      </c>
      <c r="AJ1404" s="2" t="str">
        <f t="shared" si="487"/>
        <v>1147088</v>
      </c>
    </row>
    <row r="1405" spans="1:36" x14ac:dyDescent="0.25">
      <c r="A1405">
        <v>12</v>
      </c>
      <c r="B1405" s="1">
        <v>47088</v>
      </c>
      <c r="C1405" s="1">
        <f t="shared" si="478"/>
        <v>47453</v>
      </c>
      <c r="D1405" s="1">
        <f t="shared" si="479"/>
        <v>47102</v>
      </c>
      <c r="E1405" s="1">
        <f t="shared" si="480"/>
        <v>47453</v>
      </c>
      <c r="F1405" s="1">
        <f t="shared" si="481"/>
        <v>47467</v>
      </c>
      <c r="G1405" s="1">
        <f t="shared" si="482"/>
        <v>47467</v>
      </c>
      <c r="H1405">
        <f t="shared" si="483"/>
        <v>365</v>
      </c>
      <c r="I1405">
        <f t="shared" si="484"/>
        <v>14</v>
      </c>
      <c r="J1405">
        <f t="shared" si="485"/>
        <v>3.8356164383561646E-2</v>
      </c>
      <c r="K1405">
        <f>IFERROR($J1405/IF($A1405&lt;COUNTIFS($K$1:K$1,"&lt;&gt;"),0,SUMIFS($J:$J,$B:$B,$B1405,$A:$A,"&gt;="&amp;COUNTIFS($K$1:K$1,"&lt;&gt;"))),0)</f>
        <v>4.0229885057471271E-2</v>
      </c>
      <c r="L1405">
        <f>IFERROR($J1405/IF($A1405&lt;COUNTIFS($K$1:L$1,"&lt;&gt;"),0,SUMIFS($J:$J,$B:$B,$B1405,$A:$A,"&gt;="&amp;COUNTIFS($K$1:L$1,"&lt;&gt;"))),0)</f>
        <v>4.41640378548896E-2</v>
      </c>
      <c r="M1405">
        <f>IFERROR($J1405/IF($A1405&lt;COUNTIFS($K$1:M$1,"&lt;&gt;"),0,SUMIFS($J:$J,$B:$B,$B1405,$A:$A,"&gt;="&amp;COUNTIFS($K$1:M$1,"&lt;&gt;"))),0)</f>
        <v>4.8442906574394477E-2</v>
      </c>
      <c r="N1405">
        <f>IFERROR($J1405/IF($A1405&lt;COUNTIFS($K$1:N$1,"&lt;&gt;"),0,SUMIFS($J:$J,$B:$B,$B1405,$A:$A,"&gt;="&amp;COUNTIFS($K$1:N$1,"&lt;&gt;"))),0)</f>
        <v>5.4263565891472881E-2</v>
      </c>
      <c r="O1405">
        <f>IFERROR($J1405/IF($A1405&lt;COUNTIFS($K$1:O$1,"&lt;&gt;"),0,SUMIFS($J:$J,$B:$B,$B1405,$A:$A,"&gt;="&amp;COUNTIFS($K$1:O$1,"&lt;&gt;"))),0)</f>
        <v>6.1403508771929842E-2</v>
      </c>
      <c r="P1405">
        <f>IFERROR($J1405/IF($A1405&lt;COUNTIFS($K$1:P$1,"&lt;&gt;"),0,SUMIFS($J:$J,$B:$B,$B1405,$A:$A,"&gt;="&amp;COUNTIFS($K$1:P$1,"&lt;&gt;"))),0)</f>
        <v>7.1065989847715755E-2</v>
      </c>
      <c r="Q1405">
        <f>IFERROR($J1405/IF($A1405&lt;COUNTIFS($K$1:Q$1,"&lt;&gt;"),0,SUMIFS($J:$J,$B:$B,$B1405,$A:$A,"&gt;="&amp;COUNTIFS($K$1:Q$1,"&lt;&gt;"))),0)</f>
        <v>8.3832335329341326E-2</v>
      </c>
      <c r="R1405">
        <f>IFERROR($J1405/IF($A1405&lt;COUNTIFS($K$1:R$1,"&lt;&gt;"),0,SUMIFS($J:$J,$B:$B,$B1405,$A:$A,"&gt;="&amp;COUNTIFS($K$1:R$1,"&lt;&gt;"))),0)</f>
        <v>0.10294117647058824</v>
      </c>
      <c r="S1405">
        <f>IFERROR($J1405/IF($A1405&lt;COUNTIFS($K$1:S$1,"&lt;&gt;"),0,SUMIFS($J:$J,$B:$B,$B1405,$A:$A,"&gt;="&amp;COUNTIFS($K$1:S$1,"&lt;&gt;"))),0)</f>
        <v>0.13333333333333336</v>
      </c>
      <c r="T1405">
        <f>IFERROR($J1405/IF($A1405&lt;COUNTIFS($K$1:T$1,"&lt;&gt;"),0,SUMIFS($J:$J,$B:$B,$B1405,$A:$A,"&gt;="&amp;COUNTIFS($K$1:T$1,"&lt;&gt;"))),0)</f>
        <v>0.18666666666666668</v>
      </c>
      <c r="U1405">
        <f>IFERROR($J1405/IF($A1405&lt;COUNTIFS($K$1:U$1,"&lt;&gt;"),0,SUMIFS($J:$J,$B:$B,$B1405,$A:$A,"&gt;="&amp;COUNTIFS($K$1:U$1,"&lt;&gt;"))),0)</f>
        <v>0.31818181818181818</v>
      </c>
      <c r="V1405">
        <f>IFERROR($J1405/IF($A1405&lt;COUNTIFS($K$1:V$1,"&lt;&gt;"),0,SUMIFS($J:$J,$B:$B,$B1405,$A:$A,"&gt;="&amp;COUNTIFS($K$1:V$1,"&lt;&gt;"))),0)</f>
        <v>1</v>
      </c>
      <c r="W1405">
        <f t="shared" si="486"/>
        <v>3.8356164383561646E-2</v>
      </c>
      <c r="X1405">
        <f t="shared" si="466"/>
        <v>3.8356164383561646E-2</v>
      </c>
      <c r="Y1405">
        <f t="shared" si="467"/>
        <v>3.8356164383561646E-2</v>
      </c>
      <c r="Z1405">
        <f t="shared" si="468"/>
        <v>3.8356164383561646E-2</v>
      </c>
      <c r="AA1405">
        <f t="shared" si="469"/>
        <v>3.8356164383561646E-2</v>
      </c>
      <c r="AB1405">
        <f t="shared" si="470"/>
        <v>3.8356164383561646E-2</v>
      </c>
      <c r="AC1405">
        <f t="shared" si="471"/>
        <v>3.8356164383561646E-2</v>
      </c>
      <c r="AD1405">
        <f t="shared" si="472"/>
        <v>3.8356164383561646E-2</v>
      </c>
      <c r="AE1405">
        <f t="shared" si="473"/>
        <v>3.8356164383561646E-2</v>
      </c>
      <c r="AF1405">
        <f t="shared" si="474"/>
        <v>3.8356164383561646E-2</v>
      </c>
      <c r="AG1405">
        <f t="shared" si="475"/>
        <v>3.8356164383561646E-2</v>
      </c>
      <c r="AH1405">
        <f t="shared" si="476"/>
        <v>3.8356164383561646E-2</v>
      </c>
      <c r="AI1405">
        <f t="shared" si="477"/>
        <v>3.8356164383561646E-2</v>
      </c>
      <c r="AJ1405" s="2" t="str">
        <f t="shared" si="487"/>
        <v>1247088</v>
      </c>
    </row>
    <row r="1406" spans="1:36" x14ac:dyDescent="0.25">
      <c r="A1406">
        <v>0</v>
      </c>
      <c r="B1406" s="1">
        <v>47119</v>
      </c>
      <c r="C1406" s="1">
        <f t="shared" si="478"/>
        <v>47119</v>
      </c>
      <c r="D1406" s="1">
        <f t="shared" si="479"/>
        <v>47133</v>
      </c>
      <c r="E1406" s="1">
        <f t="shared" si="480"/>
        <v>47133</v>
      </c>
      <c r="F1406" s="1">
        <f t="shared" si="481"/>
        <v>47150</v>
      </c>
      <c r="G1406" s="1">
        <f t="shared" si="482"/>
        <v>47498</v>
      </c>
      <c r="H1406">
        <f t="shared" si="483"/>
        <v>365</v>
      </c>
      <c r="I1406">
        <f t="shared" si="484"/>
        <v>17</v>
      </c>
      <c r="J1406">
        <f t="shared" si="485"/>
        <v>4.6575342465753428E-2</v>
      </c>
      <c r="K1406">
        <f>IFERROR($J1406/IF($A1406&lt;COUNTIFS($K$1:K$1,"&lt;&gt;"),0,SUMIFS($J:$J,$B:$B,$B1406,$A:$A,"&gt;="&amp;COUNTIFS($K$1:K$1,"&lt;&gt;"))),0)</f>
        <v>0</v>
      </c>
      <c r="L1406">
        <f>IFERROR($J1406/IF($A1406&lt;COUNTIFS($K$1:L$1,"&lt;&gt;"),0,SUMIFS($J:$J,$B:$B,$B1406,$A:$A,"&gt;="&amp;COUNTIFS($K$1:L$1,"&lt;&gt;"))),0)</f>
        <v>0</v>
      </c>
      <c r="M1406">
        <f>IFERROR($J1406/IF($A1406&lt;COUNTIFS($K$1:M$1,"&lt;&gt;"),0,SUMIFS($J:$J,$B:$B,$B1406,$A:$A,"&gt;="&amp;COUNTIFS($K$1:M$1,"&lt;&gt;"))),0)</f>
        <v>0</v>
      </c>
      <c r="N1406">
        <f>IFERROR($J1406/IF($A1406&lt;COUNTIFS($K$1:N$1,"&lt;&gt;"),0,SUMIFS($J:$J,$B:$B,$B1406,$A:$A,"&gt;="&amp;COUNTIFS($K$1:N$1,"&lt;&gt;"))),0)</f>
        <v>0</v>
      </c>
      <c r="O1406">
        <f>IFERROR($J1406/IF($A1406&lt;COUNTIFS($K$1:O$1,"&lt;&gt;"),0,SUMIFS($J:$J,$B:$B,$B1406,$A:$A,"&gt;="&amp;COUNTIFS($K$1:O$1,"&lt;&gt;"))),0)</f>
        <v>0</v>
      </c>
      <c r="P1406">
        <f>IFERROR($J1406/IF($A1406&lt;COUNTIFS($K$1:P$1,"&lt;&gt;"),0,SUMIFS($J:$J,$B:$B,$B1406,$A:$A,"&gt;="&amp;COUNTIFS($K$1:P$1,"&lt;&gt;"))),0)</f>
        <v>0</v>
      </c>
      <c r="Q1406">
        <f>IFERROR($J1406/IF($A1406&lt;COUNTIFS($K$1:Q$1,"&lt;&gt;"),0,SUMIFS($J:$J,$B:$B,$B1406,$A:$A,"&gt;="&amp;COUNTIFS($K$1:Q$1,"&lt;&gt;"))),0)</f>
        <v>0</v>
      </c>
      <c r="R1406">
        <f>IFERROR($J1406/IF($A1406&lt;COUNTIFS($K$1:R$1,"&lt;&gt;"),0,SUMIFS($J:$J,$B:$B,$B1406,$A:$A,"&gt;="&amp;COUNTIFS($K$1:R$1,"&lt;&gt;"))),0)</f>
        <v>0</v>
      </c>
      <c r="S1406">
        <f>IFERROR($J1406/IF($A1406&lt;COUNTIFS($K$1:S$1,"&lt;&gt;"),0,SUMIFS($J:$J,$B:$B,$B1406,$A:$A,"&gt;="&amp;COUNTIFS($K$1:S$1,"&lt;&gt;"))),0)</f>
        <v>0</v>
      </c>
      <c r="T1406">
        <f>IFERROR($J1406/IF($A1406&lt;COUNTIFS($K$1:T$1,"&lt;&gt;"),0,SUMIFS($J:$J,$B:$B,$B1406,$A:$A,"&gt;="&amp;COUNTIFS($K$1:T$1,"&lt;&gt;"))),0)</f>
        <v>0</v>
      </c>
      <c r="U1406">
        <f>IFERROR($J1406/IF($A1406&lt;COUNTIFS($K$1:U$1,"&lt;&gt;"),0,SUMIFS($J:$J,$B:$B,$B1406,$A:$A,"&gt;="&amp;COUNTIFS($K$1:U$1,"&lt;&gt;"))),0)</f>
        <v>0</v>
      </c>
      <c r="V1406">
        <f>IFERROR($J1406/IF($A1406&lt;COUNTIFS($K$1:V$1,"&lt;&gt;"),0,SUMIFS($J:$J,$B:$B,$B1406,$A:$A,"&gt;="&amp;COUNTIFS($K$1:V$1,"&lt;&gt;"))),0)</f>
        <v>0</v>
      </c>
      <c r="W1406">
        <f t="shared" si="486"/>
        <v>4.6575342465753428E-2</v>
      </c>
      <c r="X1406">
        <f t="shared" si="466"/>
        <v>0</v>
      </c>
      <c r="Y1406">
        <f t="shared" si="467"/>
        <v>0</v>
      </c>
      <c r="Z1406">
        <f t="shared" si="468"/>
        <v>0</v>
      </c>
      <c r="AA1406">
        <f t="shared" si="469"/>
        <v>0</v>
      </c>
      <c r="AB1406">
        <f t="shared" si="470"/>
        <v>0</v>
      </c>
      <c r="AC1406">
        <f t="shared" si="471"/>
        <v>0</v>
      </c>
      <c r="AD1406">
        <f t="shared" si="472"/>
        <v>0</v>
      </c>
      <c r="AE1406">
        <f t="shared" si="473"/>
        <v>0</v>
      </c>
      <c r="AF1406">
        <f t="shared" si="474"/>
        <v>0</v>
      </c>
      <c r="AG1406">
        <f t="shared" si="475"/>
        <v>0</v>
      </c>
      <c r="AH1406">
        <f t="shared" si="476"/>
        <v>0</v>
      </c>
      <c r="AI1406">
        <f t="shared" si="477"/>
        <v>0</v>
      </c>
      <c r="AJ1406" s="2" t="str">
        <f t="shared" si="487"/>
        <v>047119</v>
      </c>
    </row>
    <row r="1407" spans="1:36" x14ac:dyDescent="0.25">
      <c r="A1407">
        <v>1</v>
      </c>
      <c r="B1407" s="1">
        <v>47119</v>
      </c>
      <c r="C1407" s="1">
        <f t="shared" si="478"/>
        <v>47150</v>
      </c>
      <c r="D1407" s="1">
        <f t="shared" si="479"/>
        <v>47133</v>
      </c>
      <c r="E1407" s="1">
        <f t="shared" si="480"/>
        <v>47150</v>
      </c>
      <c r="F1407" s="1">
        <f t="shared" si="481"/>
        <v>47178</v>
      </c>
      <c r="G1407" s="1">
        <f t="shared" si="482"/>
        <v>47498</v>
      </c>
      <c r="H1407">
        <f t="shared" si="483"/>
        <v>365</v>
      </c>
      <c r="I1407">
        <f t="shared" si="484"/>
        <v>28</v>
      </c>
      <c r="J1407">
        <f t="shared" si="485"/>
        <v>7.6712328767123292E-2</v>
      </c>
      <c r="K1407">
        <f>IFERROR($J1407/IF($A1407&lt;COUNTIFS($K$1:K$1,"&lt;&gt;"),0,SUMIFS($J:$J,$B:$B,$B1407,$A:$A,"&gt;="&amp;COUNTIFS($K$1:K$1,"&lt;&gt;"))),0)</f>
        <v>8.0459770114942541E-2</v>
      </c>
      <c r="L1407">
        <f>IFERROR($J1407/IF($A1407&lt;COUNTIFS($K$1:L$1,"&lt;&gt;"),0,SUMIFS($J:$J,$B:$B,$B1407,$A:$A,"&gt;="&amp;COUNTIFS($K$1:L$1,"&lt;&gt;"))),0)</f>
        <v>0</v>
      </c>
      <c r="M1407">
        <f>IFERROR($J1407/IF($A1407&lt;COUNTIFS($K$1:M$1,"&lt;&gt;"),0,SUMIFS($J:$J,$B:$B,$B1407,$A:$A,"&gt;="&amp;COUNTIFS($K$1:M$1,"&lt;&gt;"))),0)</f>
        <v>0</v>
      </c>
      <c r="N1407">
        <f>IFERROR($J1407/IF($A1407&lt;COUNTIFS($K$1:N$1,"&lt;&gt;"),0,SUMIFS($J:$J,$B:$B,$B1407,$A:$A,"&gt;="&amp;COUNTIFS($K$1:N$1,"&lt;&gt;"))),0)</f>
        <v>0</v>
      </c>
      <c r="O1407">
        <f>IFERROR($J1407/IF($A1407&lt;COUNTIFS($K$1:O$1,"&lt;&gt;"),0,SUMIFS($J:$J,$B:$B,$B1407,$A:$A,"&gt;="&amp;COUNTIFS($K$1:O$1,"&lt;&gt;"))),0)</f>
        <v>0</v>
      </c>
      <c r="P1407">
        <f>IFERROR($J1407/IF($A1407&lt;COUNTIFS($K$1:P$1,"&lt;&gt;"),0,SUMIFS($J:$J,$B:$B,$B1407,$A:$A,"&gt;="&amp;COUNTIFS($K$1:P$1,"&lt;&gt;"))),0)</f>
        <v>0</v>
      </c>
      <c r="Q1407">
        <f>IFERROR($J1407/IF($A1407&lt;COUNTIFS($K$1:Q$1,"&lt;&gt;"),0,SUMIFS($J:$J,$B:$B,$B1407,$A:$A,"&gt;="&amp;COUNTIFS($K$1:Q$1,"&lt;&gt;"))),0)</f>
        <v>0</v>
      </c>
      <c r="R1407">
        <f>IFERROR($J1407/IF($A1407&lt;COUNTIFS($K$1:R$1,"&lt;&gt;"),0,SUMIFS($J:$J,$B:$B,$B1407,$A:$A,"&gt;="&amp;COUNTIFS($K$1:R$1,"&lt;&gt;"))),0)</f>
        <v>0</v>
      </c>
      <c r="S1407">
        <f>IFERROR($J1407/IF($A1407&lt;COUNTIFS($K$1:S$1,"&lt;&gt;"),0,SUMIFS($J:$J,$B:$B,$B1407,$A:$A,"&gt;="&amp;COUNTIFS($K$1:S$1,"&lt;&gt;"))),0)</f>
        <v>0</v>
      </c>
      <c r="T1407">
        <f>IFERROR($J1407/IF($A1407&lt;COUNTIFS($K$1:T$1,"&lt;&gt;"),0,SUMIFS($J:$J,$B:$B,$B1407,$A:$A,"&gt;="&amp;COUNTIFS($K$1:T$1,"&lt;&gt;"))),0)</f>
        <v>0</v>
      </c>
      <c r="U1407">
        <f>IFERROR($J1407/IF($A1407&lt;COUNTIFS($K$1:U$1,"&lt;&gt;"),0,SUMIFS($J:$J,$B:$B,$B1407,$A:$A,"&gt;="&amp;COUNTIFS($K$1:U$1,"&lt;&gt;"))),0)</f>
        <v>0</v>
      </c>
      <c r="V1407">
        <f>IFERROR($J1407/IF($A1407&lt;COUNTIFS($K$1:V$1,"&lt;&gt;"),0,SUMIFS($J:$J,$B:$B,$B1407,$A:$A,"&gt;="&amp;COUNTIFS($K$1:V$1,"&lt;&gt;"))),0)</f>
        <v>0</v>
      </c>
      <c r="W1407">
        <f t="shared" si="486"/>
        <v>7.6712328767123292E-2</v>
      </c>
      <c r="X1407">
        <f t="shared" si="466"/>
        <v>7.6712328767123292E-2</v>
      </c>
      <c r="Y1407">
        <f t="shared" si="467"/>
        <v>0</v>
      </c>
      <c r="Z1407">
        <f t="shared" si="468"/>
        <v>0</v>
      </c>
      <c r="AA1407">
        <f t="shared" si="469"/>
        <v>0</v>
      </c>
      <c r="AB1407">
        <f t="shared" si="470"/>
        <v>0</v>
      </c>
      <c r="AC1407">
        <f t="shared" si="471"/>
        <v>0</v>
      </c>
      <c r="AD1407">
        <f t="shared" si="472"/>
        <v>0</v>
      </c>
      <c r="AE1407">
        <f t="shared" si="473"/>
        <v>0</v>
      </c>
      <c r="AF1407">
        <f t="shared" si="474"/>
        <v>0</v>
      </c>
      <c r="AG1407">
        <f t="shared" si="475"/>
        <v>0</v>
      </c>
      <c r="AH1407">
        <f t="shared" si="476"/>
        <v>0</v>
      </c>
      <c r="AI1407">
        <f t="shared" si="477"/>
        <v>0</v>
      </c>
      <c r="AJ1407" s="2" t="str">
        <f t="shared" si="487"/>
        <v>147119</v>
      </c>
    </row>
    <row r="1408" spans="1:36" x14ac:dyDescent="0.25">
      <c r="A1408">
        <v>2</v>
      </c>
      <c r="B1408" s="1">
        <v>47119</v>
      </c>
      <c r="C1408" s="1">
        <f t="shared" si="478"/>
        <v>47178</v>
      </c>
      <c r="D1408" s="1">
        <f t="shared" si="479"/>
        <v>47133</v>
      </c>
      <c r="E1408" s="1">
        <f t="shared" si="480"/>
        <v>47178</v>
      </c>
      <c r="F1408" s="1">
        <f t="shared" si="481"/>
        <v>47209</v>
      </c>
      <c r="G1408" s="1">
        <f t="shared" si="482"/>
        <v>47498</v>
      </c>
      <c r="H1408">
        <f t="shared" si="483"/>
        <v>365</v>
      </c>
      <c r="I1408">
        <f t="shared" si="484"/>
        <v>31</v>
      </c>
      <c r="J1408">
        <f t="shared" si="485"/>
        <v>8.4931506849315067E-2</v>
      </c>
      <c r="K1408">
        <f>IFERROR($J1408/IF($A1408&lt;COUNTIFS($K$1:K$1,"&lt;&gt;"),0,SUMIFS($J:$J,$B:$B,$B1408,$A:$A,"&gt;="&amp;COUNTIFS($K$1:K$1,"&lt;&gt;"))),0)</f>
        <v>8.9080459770114959E-2</v>
      </c>
      <c r="L1408">
        <f>IFERROR($J1408/IF($A1408&lt;COUNTIFS($K$1:L$1,"&lt;&gt;"),0,SUMIFS($J:$J,$B:$B,$B1408,$A:$A,"&gt;="&amp;COUNTIFS($K$1:L$1,"&lt;&gt;"))),0)</f>
        <v>9.6875000000000017E-2</v>
      </c>
      <c r="M1408">
        <f>IFERROR($J1408/IF($A1408&lt;COUNTIFS($K$1:M$1,"&lt;&gt;"),0,SUMIFS($J:$J,$B:$B,$B1408,$A:$A,"&gt;="&amp;COUNTIFS($K$1:M$1,"&lt;&gt;"))),0)</f>
        <v>0</v>
      </c>
      <c r="N1408">
        <f>IFERROR($J1408/IF($A1408&lt;COUNTIFS($K$1:N$1,"&lt;&gt;"),0,SUMIFS($J:$J,$B:$B,$B1408,$A:$A,"&gt;="&amp;COUNTIFS($K$1:N$1,"&lt;&gt;"))),0)</f>
        <v>0</v>
      </c>
      <c r="O1408">
        <f>IFERROR($J1408/IF($A1408&lt;COUNTIFS($K$1:O$1,"&lt;&gt;"),0,SUMIFS($J:$J,$B:$B,$B1408,$A:$A,"&gt;="&amp;COUNTIFS($K$1:O$1,"&lt;&gt;"))),0)</f>
        <v>0</v>
      </c>
      <c r="P1408">
        <f>IFERROR($J1408/IF($A1408&lt;COUNTIFS($K$1:P$1,"&lt;&gt;"),0,SUMIFS($J:$J,$B:$B,$B1408,$A:$A,"&gt;="&amp;COUNTIFS($K$1:P$1,"&lt;&gt;"))),0)</f>
        <v>0</v>
      </c>
      <c r="Q1408">
        <f>IFERROR($J1408/IF($A1408&lt;COUNTIFS($K$1:Q$1,"&lt;&gt;"),0,SUMIFS($J:$J,$B:$B,$B1408,$A:$A,"&gt;="&amp;COUNTIFS($K$1:Q$1,"&lt;&gt;"))),0)</f>
        <v>0</v>
      </c>
      <c r="R1408">
        <f>IFERROR($J1408/IF($A1408&lt;COUNTIFS($K$1:R$1,"&lt;&gt;"),0,SUMIFS($J:$J,$B:$B,$B1408,$A:$A,"&gt;="&amp;COUNTIFS($K$1:R$1,"&lt;&gt;"))),0)</f>
        <v>0</v>
      </c>
      <c r="S1408">
        <f>IFERROR($J1408/IF($A1408&lt;COUNTIFS($K$1:S$1,"&lt;&gt;"),0,SUMIFS($J:$J,$B:$B,$B1408,$A:$A,"&gt;="&amp;COUNTIFS($K$1:S$1,"&lt;&gt;"))),0)</f>
        <v>0</v>
      </c>
      <c r="T1408">
        <f>IFERROR($J1408/IF($A1408&lt;COUNTIFS($K$1:T$1,"&lt;&gt;"),0,SUMIFS($J:$J,$B:$B,$B1408,$A:$A,"&gt;="&amp;COUNTIFS($K$1:T$1,"&lt;&gt;"))),0)</f>
        <v>0</v>
      </c>
      <c r="U1408">
        <f>IFERROR($J1408/IF($A1408&lt;COUNTIFS($K$1:U$1,"&lt;&gt;"),0,SUMIFS($J:$J,$B:$B,$B1408,$A:$A,"&gt;="&amp;COUNTIFS($K$1:U$1,"&lt;&gt;"))),0)</f>
        <v>0</v>
      </c>
      <c r="V1408">
        <f>IFERROR($J1408/IF($A1408&lt;COUNTIFS($K$1:V$1,"&lt;&gt;"),0,SUMIFS($J:$J,$B:$B,$B1408,$A:$A,"&gt;="&amp;COUNTIFS($K$1:V$1,"&lt;&gt;"))),0)</f>
        <v>0</v>
      </c>
      <c r="W1408">
        <f t="shared" si="486"/>
        <v>8.4931506849315067E-2</v>
      </c>
      <c r="X1408">
        <f t="shared" si="466"/>
        <v>8.4931506849315067E-2</v>
      </c>
      <c r="Y1408">
        <f t="shared" si="467"/>
        <v>8.4931506849315067E-2</v>
      </c>
      <c r="Z1408">
        <f t="shared" si="468"/>
        <v>0</v>
      </c>
      <c r="AA1408">
        <f t="shared" si="469"/>
        <v>0</v>
      </c>
      <c r="AB1408">
        <f t="shared" si="470"/>
        <v>0</v>
      </c>
      <c r="AC1408">
        <f t="shared" si="471"/>
        <v>0</v>
      </c>
      <c r="AD1408">
        <f t="shared" si="472"/>
        <v>0</v>
      </c>
      <c r="AE1408">
        <f t="shared" si="473"/>
        <v>0</v>
      </c>
      <c r="AF1408">
        <f t="shared" si="474"/>
        <v>0</v>
      </c>
      <c r="AG1408">
        <f t="shared" si="475"/>
        <v>0</v>
      </c>
      <c r="AH1408">
        <f t="shared" si="476"/>
        <v>0</v>
      </c>
      <c r="AI1408">
        <f t="shared" si="477"/>
        <v>0</v>
      </c>
      <c r="AJ1408" s="2" t="str">
        <f t="shared" si="487"/>
        <v>247119</v>
      </c>
    </row>
    <row r="1409" spans="1:36" x14ac:dyDescent="0.25">
      <c r="A1409">
        <v>3</v>
      </c>
      <c r="B1409" s="1">
        <v>47119</v>
      </c>
      <c r="C1409" s="1">
        <f t="shared" si="478"/>
        <v>47209</v>
      </c>
      <c r="D1409" s="1">
        <f t="shared" si="479"/>
        <v>47133</v>
      </c>
      <c r="E1409" s="1">
        <f t="shared" si="480"/>
        <v>47209</v>
      </c>
      <c r="F1409" s="1">
        <f t="shared" si="481"/>
        <v>47239</v>
      </c>
      <c r="G1409" s="1">
        <f t="shared" si="482"/>
        <v>47498</v>
      </c>
      <c r="H1409">
        <f t="shared" si="483"/>
        <v>365</v>
      </c>
      <c r="I1409">
        <f t="shared" si="484"/>
        <v>30</v>
      </c>
      <c r="J1409">
        <f t="shared" si="485"/>
        <v>8.2191780821917804E-2</v>
      </c>
      <c r="K1409">
        <f>IFERROR($J1409/IF($A1409&lt;COUNTIFS($K$1:K$1,"&lt;&gt;"),0,SUMIFS($J:$J,$B:$B,$B1409,$A:$A,"&gt;="&amp;COUNTIFS($K$1:K$1,"&lt;&gt;"))),0)</f>
        <v>8.6206896551724144E-2</v>
      </c>
      <c r="L1409">
        <f>IFERROR($J1409/IF($A1409&lt;COUNTIFS($K$1:L$1,"&lt;&gt;"),0,SUMIFS($J:$J,$B:$B,$B1409,$A:$A,"&gt;="&amp;COUNTIFS($K$1:L$1,"&lt;&gt;"))),0)</f>
        <v>9.3750000000000014E-2</v>
      </c>
      <c r="M1409">
        <f>IFERROR($J1409/IF($A1409&lt;COUNTIFS($K$1:M$1,"&lt;&gt;"),0,SUMIFS($J:$J,$B:$B,$B1409,$A:$A,"&gt;="&amp;COUNTIFS($K$1:M$1,"&lt;&gt;"))),0)</f>
        <v>0.10380622837370243</v>
      </c>
      <c r="N1409">
        <f>IFERROR($J1409/IF($A1409&lt;COUNTIFS($K$1:N$1,"&lt;&gt;"),0,SUMIFS($J:$J,$B:$B,$B1409,$A:$A,"&gt;="&amp;COUNTIFS($K$1:N$1,"&lt;&gt;"))),0)</f>
        <v>0</v>
      </c>
      <c r="O1409">
        <f>IFERROR($J1409/IF($A1409&lt;COUNTIFS($K$1:O$1,"&lt;&gt;"),0,SUMIFS($J:$J,$B:$B,$B1409,$A:$A,"&gt;="&amp;COUNTIFS($K$1:O$1,"&lt;&gt;"))),0)</f>
        <v>0</v>
      </c>
      <c r="P1409">
        <f>IFERROR($J1409/IF($A1409&lt;COUNTIFS($K$1:P$1,"&lt;&gt;"),0,SUMIFS($J:$J,$B:$B,$B1409,$A:$A,"&gt;="&amp;COUNTIFS($K$1:P$1,"&lt;&gt;"))),0)</f>
        <v>0</v>
      </c>
      <c r="Q1409">
        <f>IFERROR($J1409/IF($A1409&lt;COUNTIFS($K$1:Q$1,"&lt;&gt;"),0,SUMIFS($J:$J,$B:$B,$B1409,$A:$A,"&gt;="&amp;COUNTIFS($K$1:Q$1,"&lt;&gt;"))),0)</f>
        <v>0</v>
      </c>
      <c r="R1409">
        <f>IFERROR($J1409/IF($A1409&lt;COUNTIFS($K$1:R$1,"&lt;&gt;"),0,SUMIFS($J:$J,$B:$B,$B1409,$A:$A,"&gt;="&amp;COUNTIFS($K$1:R$1,"&lt;&gt;"))),0)</f>
        <v>0</v>
      </c>
      <c r="S1409">
        <f>IFERROR($J1409/IF($A1409&lt;COUNTIFS($K$1:S$1,"&lt;&gt;"),0,SUMIFS($J:$J,$B:$B,$B1409,$A:$A,"&gt;="&amp;COUNTIFS($K$1:S$1,"&lt;&gt;"))),0)</f>
        <v>0</v>
      </c>
      <c r="T1409">
        <f>IFERROR($J1409/IF($A1409&lt;COUNTIFS($K$1:T$1,"&lt;&gt;"),0,SUMIFS($J:$J,$B:$B,$B1409,$A:$A,"&gt;="&amp;COUNTIFS($K$1:T$1,"&lt;&gt;"))),0)</f>
        <v>0</v>
      </c>
      <c r="U1409">
        <f>IFERROR($J1409/IF($A1409&lt;COUNTIFS($K$1:U$1,"&lt;&gt;"),0,SUMIFS($J:$J,$B:$B,$B1409,$A:$A,"&gt;="&amp;COUNTIFS($K$1:U$1,"&lt;&gt;"))),0)</f>
        <v>0</v>
      </c>
      <c r="V1409">
        <f>IFERROR($J1409/IF($A1409&lt;COUNTIFS($K$1:V$1,"&lt;&gt;"),0,SUMIFS($J:$J,$B:$B,$B1409,$A:$A,"&gt;="&amp;COUNTIFS($K$1:V$1,"&lt;&gt;"))),0)</f>
        <v>0</v>
      </c>
      <c r="W1409">
        <f t="shared" si="486"/>
        <v>8.2191780821917804E-2</v>
      </c>
      <c r="X1409">
        <f t="shared" si="466"/>
        <v>8.2191780821917804E-2</v>
      </c>
      <c r="Y1409">
        <f t="shared" si="467"/>
        <v>8.2191780821917804E-2</v>
      </c>
      <c r="Z1409">
        <f t="shared" si="468"/>
        <v>8.2191780821917804E-2</v>
      </c>
      <c r="AA1409">
        <f t="shared" si="469"/>
        <v>0</v>
      </c>
      <c r="AB1409">
        <f t="shared" si="470"/>
        <v>0</v>
      </c>
      <c r="AC1409">
        <f t="shared" si="471"/>
        <v>0</v>
      </c>
      <c r="AD1409">
        <f t="shared" si="472"/>
        <v>0</v>
      </c>
      <c r="AE1409">
        <f t="shared" si="473"/>
        <v>0</v>
      </c>
      <c r="AF1409">
        <f t="shared" si="474"/>
        <v>0</v>
      </c>
      <c r="AG1409">
        <f t="shared" si="475"/>
        <v>0</v>
      </c>
      <c r="AH1409">
        <f t="shared" si="476"/>
        <v>0</v>
      </c>
      <c r="AI1409">
        <f t="shared" si="477"/>
        <v>0</v>
      </c>
      <c r="AJ1409" s="2" t="str">
        <f t="shared" si="487"/>
        <v>347119</v>
      </c>
    </row>
    <row r="1410" spans="1:36" x14ac:dyDescent="0.25">
      <c r="A1410">
        <v>4</v>
      </c>
      <c r="B1410" s="1">
        <v>47119</v>
      </c>
      <c r="C1410" s="1">
        <f t="shared" si="478"/>
        <v>47239</v>
      </c>
      <c r="D1410" s="1">
        <f t="shared" si="479"/>
        <v>47133</v>
      </c>
      <c r="E1410" s="1">
        <f t="shared" si="480"/>
        <v>47239</v>
      </c>
      <c r="F1410" s="1">
        <f t="shared" si="481"/>
        <v>47270</v>
      </c>
      <c r="G1410" s="1">
        <f t="shared" si="482"/>
        <v>47498</v>
      </c>
      <c r="H1410">
        <f t="shared" si="483"/>
        <v>365</v>
      </c>
      <c r="I1410">
        <f t="shared" si="484"/>
        <v>31</v>
      </c>
      <c r="J1410">
        <f t="shared" si="485"/>
        <v>8.4931506849315067E-2</v>
      </c>
      <c r="K1410">
        <f>IFERROR($J1410/IF($A1410&lt;COUNTIFS($K$1:K$1,"&lt;&gt;"),0,SUMIFS($J:$J,$B:$B,$B1410,$A:$A,"&gt;="&amp;COUNTIFS($K$1:K$1,"&lt;&gt;"))),0)</f>
        <v>8.9080459770114959E-2</v>
      </c>
      <c r="L1410">
        <f>IFERROR($J1410/IF($A1410&lt;COUNTIFS($K$1:L$1,"&lt;&gt;"),0,SUMIFS($J:$J,$B:$B,$B1410,$A:$A,"&gt;="&amp;COUNTIFS($K$1:L$1,"&lt;&gt;"))),0)</f>
        <v>9.6875000000000017E-2</v>
      </c>
      <c r="M1410">
        <f>IFERROR($J1410/IF($A1410&lt;COUNTIFS($K$1:M$1,"&lt;&gt;"),0,SUMIFS($J:$J,$B:$B,$B1410,$A:$A,"&gt;="&amp;COUNTIFS($K$1:M$1,"&lt;&gt;"))),0)</f>
        <v>0.10726643598615919</v>
      </c>
      <c r="N1410">
        <f>IFERROR($J1410/IF($A1410&lt;COUNTIFS($K$1:N$1,"&lt;&gt;"),0,SUMIFS($J:$J,$B:$B,$B1410,$A:$A,"&gt;="&amp;COUNTIFS($K$1:N$1,"&lt;&gt;"))),0)</f>
        <v>0.11969111969111972</v>
      </c>
      <c r="O1410">
        <f>IFERROR($J1410/IF($A1410&lt;COUNTIFS($K$1:O$1,"&lt;&gt;"),0,SUMIFS($J:$J,$B:$B,$B1410,$A:$A,"&gt;="&amp;COUNTIFS($K$1:O$1,"&lt;&gt;"))),0)</f>
        <v>0</v>
      </c>
      <c r="P1410">
        <f>IFERROR($J1410/IF($A1410&lt;COUNTIFS($K$1:P$1,"&lt;&gt;"),0,SUMIFS($J:$J,$B:$B,$B1410,$A:$A,"&gt;="&amp;COUNTIFS($K$1:P$1,"&lt;&gt;"))),0)</f>
        <v>0</v>
      </c>
      <c r="Q1410">
        <f>IFERROR($J1410/IF($A1410&lt;COUNTIFS($K$1:Q$1,"&lt;&gt;"),0,SUMIFS($J:$J,$B:$B,$B1410,$A:$A,"&gt;="&amp;COUNTIFS($K$1:Q$1,"&lt;&gt;"))),0)</f>
        <v>0</v>
      </c>
      <c r="R1410">
        <f>IFERROR($J1410/IF($A1410&lt;COUNTIFS($K$1:R$1,"&lt;&gt;"),0,SUMIFS($J:$J,$B:$B,$B1410,$A:$A,"&gt;="&amp;COUNTIFS($K$1:R$1,"&lt;&gt;"))),0)</f>
        <v>0</v>
      </c>
      <c r="S1410">
        <f>IFERROR($J1410/IF($A1410&lt;COUNTIFS($K$1:S$1,"&lt;&gt;"),0,SUMIFS($J:$J,$B:$B,$B1410,$A:$A,"&gt;="&amp;COUNTIFS($K$1:S$1,"&lt;&gt;"))),0)</f>
        <v>0</v>
      </c>
      <c r="T1410">
        <f>IFERROR($J1410/IF($A1410&lt;COUNTIFS($K$1:T$1,"&lt;&gt;"),0,SUMIFS($J:$J,$B:$B,$B1410,$A:$A,"&gt;="&amp;COUNTIFS($K$1:T$1,"&lt;&gt;"))),0)</f>
        <v>0</v>
      </c>
      <c r="U1410">
        <f>IFERROR($J1410/IF($A1410&lt;COUNTIFS($K$1:U$1,"&lt;&gt;"),0,SUMIFS($J:$J,$B:$B,$B1410,$A:$A,"&gt;="&amp;COUNTIFS($K$1:U$1,"&lt;&gt;"))),0)</f>
        <v>0</v>
      </c>
      <c r="V1410">
        <f>IFERROR($J1410/IF($A1410&lt;COUNTIFS($K$1:V$1,"&lt;&gt;"),0,SUMIFS($J:$J,$B:$B,$B1410,$A:$A,"&gt;="&amp;COUNTIFS($K$1:V$1,"&lt;&gt;"))),0)</f>
        <v>0</v>
      </c>
      <c r="W1410">
        <f t="shared" si="486"/>
        <v>8.4931506849315067E-2</v>
      </c>
      <c r="X1410">
        <f t="shared" ref="X1410:X1473" si="488">IF(K1410=0,0,$J1410)</f>
        <v>8.4931506849315067E-2</v>
      </c>
      <c r="Y1410">
        <f t="shared" ref="Y1410:Y1473" si="489">IF(L1410=0,0,$J1410)</f>
        <v>8.4931506849315067E-2</v>
      </c>
      <c r="Z1410">
        <f t="shared" ref="Z1410:Z1473" si="490">IF(M1410=0,0,$J1410)</f>
        <v>8.4931506849315067E-2</v>
      </c>
      <c r="AA1410">
        <f t="shared" ref="AA1410:AA1473" si="491">IF(N1410=0,0,$J1410)</f>
        <v>8.4931506849315067E-2</v>
      </c>
      <c r="AB1410">
        <f t="shared" ref="AB1410:AB1473" si="492">IF(O1410=0,0,$J1410)</f>
        <v>0</v>
      </c>
      <c r="AC1410">
        <f t="shared" ref="AC1410:AC1473" si="493">IF(P1410=0,0,$J1410)</f>
        <v>0</v>
      </c>
      <c r="AD1410">
        <f t="shared" ref="AD1410:AD1473" si="494">IF(Q1410=0,0,$J1410)</f>
        <v>0</v>
      </c>
      <c r="AE1410">
        <f t="shared" ref="AE1410:AE1473" si="495">IF(R1410=0,0,$J1410)</f>
        <v>0</v>
      </c>
      <c r="AF1410">
        <f t="shared" ref="AF1410:AF1473" si="496">IF(S1410=0,0,$J1410)</f>
        <v>0</v>
      </c>
      <c r="AG1410">
        <f t="shared" ref="AG1410:AG1473" si="497">IF(T1410=0,0,$J1410)</f>
        <v>0</v>
      </c>
      <c r="AH1410">
        <f t="shared" ref="AH1410:AH1473" si="498">IF(U1410=0,0,$J1410)</f>
        <v>0</v>
      </c>
      <c r="AI1410">
        <f t="shared" ref="AI1410:AI1473" si="499">IF(V1410=0,0,$J1410)</f>
        <v>0</v>
      </c>
      <c r="AJ1410" s="2" t="str">
        <f t="shared" si="487"/>
        <v>447119</v>
      </c>
    </row>
    <row r="1411" spans="1:36" x14ac:dyDescent="0.25">
      <c r="A1411">
        <v>5</v>
      </c>
      <c r="B1411" s="1">
        <v>47119</v>
      </c>
      <c r="C1411" s="1">
        <f t="shared" ref="C1411:C1474" si="500">EDATE(B1411,A1411)</f>
        <v>47270</v>
      </c>
      <c r="D1411" s="1">
        <f t="shared" ref="D1411:D1474" si="501">B1411+14</f>
        <v>47133</v>
      </c>
      <c r="E1411" s="1">
        <f t="shared" ref="E1411:E1474" si="502">IF($A1411=0,C1411+14,C1411)</f>
        <v>47270</v>
      </c>
      <c r="F1411" s="1">
        <f t="shared" ref="F1411:F1474" si="503">IF(EDATE(C1411,1)&gt;G1411,G1411,EDATE(C1411,1))</f>
        <v>47300</v>
      </c>
      <c r="G1411" s="1">
        <f t="shared" ref="G1411:G1474" si="504">EDATE(D1411,12)</f>
        <v>47498</v>
      </c>
      <c r="H1411">
        <f t="shared" ref="H1411:H1474" si="505">G1411-D1411</f>
        <v>365</v>
      </c>
      <c r="I1411">
        <f t="shared" ref="I1411:I1474" si="506">F1411-E1411</f>
        <v>30</v>
      </c>
      <c r="J1411">
        <f t="shared" ref="J1411:J1474" si="507">I1411/H1411</f>
        <v>8.2191780821917804E-2</v>
      </c>
      <c r="K1411">
        <f>IFERROR($J1411/IF($A1411&lt;COUNTIFS($K$1:K$1,"&lt;&gt;"),0,SUMIFS($J:$J,$B:$B,$B1411,$A:$A,"&gt;="&amp;COUNTIFS($K$1:K$1,"&lt;&gt;"))),0)</f>
        <v>8.6206896551724144E-2</v>
      </c>
      <c r="L1411">
        <f>IFERROR($J1411/IF($A1411&lt;COUNTIFS($K$1:L$1,"&lt;&gt;"),0,SUMIFS($J:$J,$B:$B,$B1411,$A:$A,"&gt;="&amp;COUNTIFS($K$1:L$1,"&lt;&gt;"))),0)</f>
        <v>9.3750000000000014E-2</v>
      </c>
      <c r="M1411">
        <f>IFERROR($J1411/IF($A1411&lt;COUNTIFS($K$1:M$1,"&lt;&gt;"),0,SUMIFS($J:$J,$B:$B,$B1411,$A:$A,"&gt;="&amp;COUNTIFS($K$1:M$1,"&lt;&gt;"))),0)</f>
        <v>0.10380622837370243</v>
      </c>
      <c r="N1411">
        <f>IFERROR($J1411/IF($A1411&lt;COUNTIFS($K$1:N$1,"&lt;&gt;"),0,SUMIFS($J:$J,$B:$B,$B1411,$A:$A,"&gt;="&amp;COUNTIFS($K$1:N$1,"&lt;&gt;"))),0)</f>
        <v>0.11583011583011585</v>
      </c>
      <c r="O1411">
        <f>IFERROR($J1411/IF($A1411&lt;COUNTIFS($K$1:O$1,"&lt;&gt;"),0,SUMIFS($J:$J,$B:$B,$B1411,$A:$A,"&gt;="&amp;COUNTIFS($K$1:O$1,"&lt;&gt;"))),0)</f>
        <v>0.13157894736842107</v>
      </c>
      <c r="P1411">
        <f>IFERROR($J1411/IF($A1411&lt;COUNTIFS($K$1:P$1,"&lt;&gt;"),0,SUMIFS($J:$J,$B:$B,$B1411,$A:$A,"&gt;="&amp;COUNTIFS($K$1:P$1,"&lt;&gt;"))),0)</f>
        <v>0</v>
      </c>
      <c r="Q1411">
        <f>IFERROR($J1411/IF($A1411&lt;COUNTIFS($K$1:Q$1,"&lt;&gt;"),0,SUMIFS($J:$J,$B:$B,$B1411,$A:$A,"&gt;="&amp;COUNTIFS($K$1:Q$1,"&lt;&gt;"))),0)</f>
        <v>0</v>
      </c>
      <c r="R1411">
        <f>IFERROR($J1411/IF($A1411&lt;COUNTIFS($K$1:R$1,"&lt;&gt;"),0,SUMIFS($J:$J,$B:$B,$B1411,$A:$A,"&gt;="&amp;COUNTIFS($K$1:R$1,"&lt;&gt;"))),0)</f>
        <v>0</v>
      </c>
      <c r="S1411">
        <f>IFERROR($J1411/IF($A1411&lt;COUNTIFS($K$1:S$1,"&lt;&gt;"),0,SUMIFS($J:$J,$B:$B,$B1411,$A:$A,"&gt;="&amp;COUNTIFS($K$1:S$1,"&lt;&gt;"))),0)</f>
        <v>0</v>
      </c>
      <c r="T1411">
        <f>IFERROR($J1411/IF($A1411&lt;COUNTIFS($K$1:T$1,"&lt;&gt;"),0,SUMIFS($J:$J,$B:$B,$B1411,$A:$A,"&gt;="&amp;COUNTIFS($K$1:T$1,"&lt;&gt;"))),0)</f>
        <v>0</v>
      </c>
      <c r="U1411">
        <f>IFERROR($J1411/IF($A1411&lt;COUNTIFS($K$1:U$1,"&lt;&gt;"),0,SUMIFS($J:$J,$B:$B,$B1411,$A:$A,"&gt;="&amp;COUNTIFS($K$1:U$1,"&lt;&gt;"))),0)</f>
        <v>0</v>
      </c>
      <c r="V1411">
        <f>IFERROR($J1411/IF($A1411&lt;COUNTIFS($K$1:V$1,"&lt;&gt;"),0,SUMIFS($J:$J,$B:$B,$B1411,$A:$A,"&gt;="&amp;COUNTIFS($K$1:V$1,"&lt;&gt;"))),0)</f>
        <v>0</v>
      </c>
      <c r="W1411">
        <f t="shared" ref="W1411:W1474" si="508">IF(J1411=0,0,$J1411)</f>
        <v>8.2191780821917804E-2</v>
      </c>
      <c r="X1411">
        <f t="shared" si="488"/>
        <v>8.2191780821917804E-2</v>
      </c>
      <c r="Y1411">
        <f t="shared" si="489"/>
        <v>8.2191780821917804E-2</v>
      </c>
      <c r="Z1411">
        <f t="shared" si="490"/>
        <v>8.2191780821917804E-2</v>
      </c>
      <c r="AA1411">
        <f t="shared" si="491"/>
        <v>8.2191780821917804E-2</v>
      </c>
      <c r="AB1411">
        <f t="shared" si="492"/>
        <v>8.2191780821917804E-2</v>
      </c>
      <c r="AC1411">
        <f t="shared" si="493"/>
        <v>0</v>
      </c>
      <c r="AD1411">
        <f t="shared" si="494"/>
        <v>0</v>
      </c>
      <c r="AE1411">
        <f t="shared" si="495"/>
        <v>0</v>
      </c>
      <c r="AF1411">
        <f t="shared" si="496"/>
        <v>0</v>
      </c>
      <c r="AG1411">
        <f t="shared" si="497"/>
        <v>0</v>
      </c>
      <c r="AH1411">
        <f t="shared" si="498"/>
        <v>0</v>
      </c>
      <c r="AI1411">
        <f t="shared" si="499"/>
        <v>0</v>
      </c>
      <c r="AJ1411" s="2" t="str">
        <f t="shared" ref="AJ1411:AJ1474" si="509">A1411&amp;B1411</f>
        <v>547119</v>
      </c>
    </row>
    <row r="1412" spans="1:36" x14ac:dyDescent="0.25">
      <c r="A1412">
        <v>6</v>
      </c>
      <c r="B1412" s="1">
        <v>47119</v>
      </c>
      <c r="C1412" s="1">
        <f t="shared" si="500"/>
        <v>47300</v>
      </c>
      <c r="D1412" s="1">
        <f t="shared" si="501"/>
        <v>47133</v>
      </c>
      <c r="E1412" s="1">
        <f t="shared" si="502"/>
        <v>47300</v>
      </c>
      <c r="F1412" s="1">
        <f t="shared" si="503"/>
        <v>47331</v>
      </c>
      <c r="G1412" s="1">
        <f t="shared" si="504"/>
        <v>47498</v>
      </c>
      <c r="H1412">
        <f t="shared" si="505"/>
        <v>365</v>
      </c>
      <c r="I1412">
        <f t="shared" si="506"/>
        <v>31</v>
      </c>
      <c r="J1412">
        <f t="shared" si="507"/>
        <v>8.4931506849315067E-2</v>
      </c>
      <c r="K1412">
        <f>IFERROR($J1412/IF($A1412&lt;COUNTIFS($K$1:K$1,"&lt;&gt;"),0,SUMIFS($J:$J,$B:$B,$B1412,$A:$A,"&gt;="&amp;COUNTIFS($K$1:K$1,"&lt;&gt;"))),0)</f>
        <v>8.9080459770114959E-2</v>
      </c>
      <c r="L1412">
        <f>IFERROR($J1412/IF($A1412&lt;COUNTIFS($K$1:L$1,"&lt;&gt;"),0,SUMIFS($J:$J,$B:$B,$B1412,$A:$A,"&gt;="&amp;COUNTIFS($K$1:L$1,"&lt;&gt;"))),0)</f>
        <v>9.6875000000000017E-2</v>
      </c>
      <c r="M1412">
        <f>IFERROR($J1412/IF($A1412&lt;COUNTIFS($K$1:M$1,"&lt;&gt;"),0,SUMIFS($J:$J,$B:$B,$B1412,$A:$A,"&gt;="&amp;COUNTIFS($K$1:M$1,"&lt;&gt;"))),0)</f>
        <v>0.10726643598615919</v>
      </c>
      <c r="N1412">
        <f>IFERROR($J1412/IF($A1412&lt;COUNTIFS($K$1:N$1,"&lt;&gt;"),0,SUMIFS($J:$J,$B:$B,$B1412,$A:$A,"&gt;="&amp;COUNTIFS($K$1:N$1,"&lt;&gt;"))),0)</f>
        <v>0.11969111969111972</v>
      </c>
      <c r="O1412">
        <f>IFERROR($J1412/IF($A1412&lt;COUNTIFS($K$1:O$1,"&lt;&gt;"),0,SUMIFS($J:$J,$B:$B,$B1412,$A:$A,"&gt;="&amp;COUNTIFS($K$1:O$1,"&lt;&gt;"))),0)</f>
        <v>0.13596491228070179</v>
      </c>
      <c r="P1412">
        <f>IFERROR($J1412/IF($A1412&lt;COUNTIFS($K$1:P$1,"&lt;&gt;"),0,SUMIFS($J:$J,$B:$B,$B1412,$A:$A,"&gt;="&amp;COUNTIFS($K$1:P$1,"&lt;&gt;"))),0)</f>
        <v>0.1565656565656566</v>
      </c>
      <c r="Q1412">
        <f>IFERROR($J1412/IF($A1412&lt;COUNTIFS($K$1:Q$1,"&lt;&gt;"),0,SUMIFS($J:$J,$B:$B,$B1412,$A:$A,"&gt;="&amp;COUNTIFS($K$1:Q$1,"&lt;&gt;"))),0)</f>
        <v>0</v>
      </c>
      <c r="R1412">
        <f>IFERROR($J1412/IF($A1412&lt;COUNTIFS($K$1:R$1,"&lt;&gt;"),0,SUMIFS($J:$J,$B:$B,$B1412,$A:$A,"&gt;="&amp;COUNTIFS($K$1:R$1,"&lt;&gt;"))),0)</f>
        <v>0</v>
      </c>
      <c r="S1412">
        <f>IFERROR($J1412/IF($A1412&lt;COUNTIFS($K$1:S$1,"&lt;&gt;"),0,SUMIFS($J:$J,$B:$B,$B1412,$A:$A,"&gt;="&amp;COUNTIFS($K$1:S$1,"&lt;&gt;"))),0)</f>
        <v>0</v>
      </c>
      <c r="T1412">
        <f>IFERROR($J1412/IF($A1412&lt;COUNTIFS($K$1:T$1,"&lt;&gt;"),0,SUMIFS($J:$J,$B:$B,$B1412,$A:$A,"&gt;="&amp;COUNTIFS($K$1:T$1,"&lt;&gt;"))),0)</f>
        <v>0</v>
      </c>
      <c r="U1412">
        <f>IFERROR($J1412/IF($A1412&lt;COUNTIFS($K$1:U$1,"&lt;&gt;"),0,SUMIFS($J:$J,$B:$B,$B1412,$A:$A,"&gt;="&amp;COUNTIFS($K$1:U$1,"&lt;&gt;"))),0)</f>
        <v>0</v>
      </c>
      <c r="V1412">
        <f>IFERROR($J1412/IF($A1412&lt;COUNTIFS($K$1:V$1,"&lt;&gt;"),0,SUMIFS($J:$J,$B:$B,$B1412,$A:$A,"&gt;="&amp;COUNTIFS($K$1:V$1,"&lt;&gt;"))),0)</f>
        <v>0</v>
      </c>
      <c r="W1412">
        <f t="shared" si="508"/>
        <v>8.4931506849315067E-2</v>
      </c>
      <c r="X1412">
        <f t="shared" si="488"/>
        <v>8.4931506849315067E-2</v>
      </c>
      <c r="Y1412">
        <f t="shared" si="489"/>
        <v>8.4931506849315067E-2</v>
      </c>
      <c r="Z1412">
        <f t="shared" si="490"/>
        <v>8.4931506849315067E-2</v>
      </c>
      <c r="AA1412">
        <f t="shared" si="491"/>
        <v>8.4931506849315067E-2</v>
      </c>
      <c r="AB1412">
        <f t="shared" si="492"/>
        <v>8.4931506849315067E-2</v>
      </c>
      <c r="AC1412">
        <f t="shared" si="493"/>
        <v>8.4931506849315067E-2</v>
      </c>
      <c r="AD1412">
        <f t="shared" si="494"/>
        <v>0</v>
      </c>
      <c r="AE1412">
        <f t="shared" si="495"/>
        <v>0</v>
      </c>
      <c r="AF1412">
        <f t="shared" si="496"/>
        <v>0</v>
      </c>
      <c r="AG1412">
        <f t="shared" si="497"/>
        <v>0</v>
      </c>
      <c r="AH1412">
        <f t="shared" si="498"/>
        <v>0</v>
      </c>
      <c r="AI1412">
        <f t="shared" si="499"/>
        <v>0</v>
      </c>
      <c r="AJ1412" s="2" t="str">
        <f t="shared" si="509"/>
        <v>647119</v>
      </c>
    </row>
    <row r="1413" spans="1:36" x14ac:dyDescent="0.25">
      <c r="A1413">
        <v>7</v>
      </c>
      <c r="B1413" s="1">
        <v>47119</v>
      </c>
      <c r="C1413" s="1">
        <f t="shared" si="500"/>
        <v>47331</v>
      </c>
      <c r="D1413" s="1">
        <f t="shared" si="501"/>
        <v>47133</v>
      </c>
      <c r="E1413" s="1">
        <f t="shared" si="502"/>
        <v>47331</v>
      </c>
      <c r="F1413" s="1">
        <f t="shared" si="503"/>
        <v>47362</v>
      </c>
      <c r="G1413" s="1">
        <f t="shared" si="504"/>
        <v>47498</v>
      </c>
      <c r="H1413">
        <f t="shared" si="505"/>
        <v>365</v>
      </c>
      <c r="I1413">
        <f t="shared" si="506"/>
        <v>31</v>
      </c>
      <c r="J1413">
        <f t="shared" si="507"/>
        <v>8.4931506849315067E-2</v>
      </c>
      <c r="K1413">
        <f>IFERROR($J1413/IF($A1413&lt;COUNTIFS($K$1:K$1,"&lt;&gt;"),0,SUMIFS($J:$J,$B:$B,$B1413,$A:$A,"&gt;="&amp;COUNTIFS($K$1:K$1,"&lt;&gt;"))),0)</f>
        <v>8.9080459770114959E-2</v>
      </c>
      <c r="L1413">
        <f>IFERROR($J1413/IF($A1413&lt;COUNTIFS($K$1:L$1,"&lt;&gt;"),0,SUMIFS($J:$J,$B:$B,$B1413,$A:$A,"&gt;="&amp;COUNTIFS($K$1:L$1,"&lt;&gt;"))),0)</f>
        <v>9.6875000000000017E-2</v>
      </c>
      <c r="M1413">
        <f>IFERROR($J1413/IF($A1413&lt;COUNTIFS($K$1:M$1,"&lt;&gt;"),0,SUMIFS($J:$J,$B:$B,$B1413,$A:$A,"&gt;="&amp;COUNTIFS($K$1:M$1,"&lt;&gt;"))),0)</f>
        <v>0.10726643598615919</v>
      </c>
      <c r="N1413">
        <f>IFERROR($J1413/IF($A1413&lt;COUNTIFS($K$1:N$1,"&lt;&gt;"),0,SUMIFS($J:$J,$B:$B,$B1413,$A:$A,"&gt;="&amp;COUNTIFS($K$1:N$1,"&lt;&gt;"))),0)</f>
        <v>0.11969111969111972</v>
      </c>
      <c r="O1413">
        <f>IFERROR($J1413/IF($A1413&lt;COUNTIFS($K$1:O$1,"&lt;&gt;"),0,SUMIFS($J:$J,$B:$B,$B1413,$A:$A,"&gt;="&amp;COUNTIFS($K$1:O$1,"&lt;&gt;"))),0)</f>
        <v>0.13596491228070179</v>
      </c>
      <c r="P1413">
        <f>IFERROR($J1413/IF($A1413&lt;COUNTIFS($K$1:P$1,"&lt;&gt;"),0,SUMIFS($J:$J,$B:$B,$B1413,$A:$A,"&gt;="&amp;COUNTIFS($K$1:P$1,"&lt;&gt;"))),0)</f>
        <v>0.1565656565656566</v>
      </c>
      <c r="Q1413">
        <f>IFERROR($J1413/IF($A1413&lt;COUNTIFS($K$1:Q$1,"&lt;&gt;"),0,SUMIFS($J:$J,$B:$B,$B1413,$A:$A,"&gt;="&amp;COUNTIFS($K$1:Q$1,"&lt;&gt;"))),0)</f>
        <v>0.18562874251497008</v>
      </c>
      <c r="R1413">
        <f>IFERROR($J1413/IF($A1413&lt;COUNTIFS($K$1:R$1,"&lt;&gt;"),0,SUMIFS($J:$J,$B:$B,$B1413,$A:$A,"&gt;="&amp;COUNTIFS($K$1:R$1,"&lt;&gt;"))),0)</f>
        <v>0</v>
      </c>
      <c r="S1413">
        <f>IFERROR($J1413/IF($A1413&lt;COUNTIFS($K$1:S$1,"&lt;&gt;"),0,SUMIFS($J:$J,$B:$B,$B1413,$A:$A,"&gt;="&amp;COUNTIFS($K$1:S$1,"&lt;&gt;"))),0)</f>
        <v>0</v>
      </c>
      <c r="T1413">
        <f>IFERROR($J1413/IF($A1413&lt;COUNTIFS($K$1:T$1,"&lt;&gt;"),0,SUMIFS($J:$J,$B:$B,$B1413,$A:$A,"&gt;="&amp;COUNTIFS($K$1:T$1,"&lt;&gt;"))),0)</f>
        <v>0</v>
      </c>
      <c r="U1413">
        <f>IFERROR($J1413/IF($A1413&lt;COUNTIFS($K$1:U$1,"&lt;&gt;"),0,SUMIFS($J:$J,$B:$B,$B1413,$A:$A,"&gt;="&amp;COUNTIFS($K$1:U$1,"&lt;&gt;"))),0)</f>
        <v>0</v>
      </c>
      <c r="V1413">
        <f>IFERROR($J1413/IF($A1413&lt;COUNTIFS($K$1:V$1,"&lt;&gt;"),0,SUMIFS($J:$J,$B:$B,$B1413,$A:$A,"&gt;="&amp;COUNTIFS($K$1:V$1,"&lt;&gt;"))),0)</f>
        <v>0</v>
      </c>
      <c r="W1413">
        <f t="shared" si="508"/>
        <v>8.4931506849315067E-2</v>
      </c>
      <c r="X1413">
        <f t="shared" si="488"/>
        <v>8.4931506849315067E-2</v>
      </c>
      <c r="Y1413">
        <f t="shared" si="489"/>
        <v>8.4931506849315067E-2</v>
      </c>
      <c r="Z1413">
        <f t="shared" si="490"/>
        <v>8.4931506849315067E-2</v>
      </c>
      <c r="AA1413">
        <f t="shared" si="491"/>
        <v>8.4931506849315067E-2</v>
      </c>
      <c r="AB1413">
        <f t="shared" si="492"/>
        <v>8.4931506849315067E-2</v>
      </c>
      <c r="AC1413">
        <f t="shared" si="493"/>
        <v>8.4931506849315067E-2</v>
      </c>
      <c r="AD1413">
        <f t="shared" si="494"/>
        <v>8.4931506849315067E-2</v>
      </c>
      <c r="AE1413">
        <f t="shared" si="495"/>
        <v>0</v>
      </c>
      <c r="AF1413">
        <f t="shared" si="496"/>
        <v>0</v>
      </c>
      <c r="AG1413">
        <f t="shared" si="497"/>
        <v>0</v>
      </c>
      <c r="AH1413">
        <f t="shared" si="498"/>
        <v>0</v>
      </c>
      <c r="AI1413">
        <f t="shared" si="499"/>
        <v>0</v>
      </c>
      <c r="AJ1413" s="2" t="str">
        <f t="shared" si="509"/>
        <v>747119</v>
      </c>
    </row>
    <row r="1414" spans="1:36" x14ac:dyDescent="0.25">
      <c r="A1414">
        <v>8</v>
      </c>
      <c r="B1414" s="1">
        <v>47119</v>
      </c>
      <c r="C1414" s="1">
        <f t="shared" si="500"/>
        <v>47362</v>
      </c>
      <c r="D1414" s="1">
        <f t="shared" si="501"/>
        <v>47133</v>
      </c>
      <c r="E1414" s="1">
        <f t="shared" si="502"/>
        <v>47362</v>
      </c>
      <c r="F1414" s="1">
        <f t="shared" si="503"/>
        <v>47392</v>
      </c>
      <c r="G1414" s="1">
        <f t="shared" si="504"/>
        <v>47498</v>
      </c>
      <c r="H1414">
        <f t="shared" si="505"/>
        <v>365</v>
      </c>
      <c r="I1414">
        <f t="shared" si="506"/>
        <v>30</v>
      </c>
      <c r="J1414">
        <f t="shared" si="507"/>
        <v>8.2191780821917804E-2</v>
      </c>
      <c r="K1414">
        <f>IFERROR($J1414/IF($A1414&lt;COUNTIFS($K$1:K$1,"&lt;&gt;"),0,SUMIFS($J:$J,$B:$B,$B1414,$A:$A,"&gt;="&amp;COUNTIFS($K$1:K$1,"&lt;&gt;"))),0)</f>
        <v>8.6206896551724144E-2</v>
      </c>
      <c r="L1414">
        <f>IFERROR($J1414/IF($A1414&lt;COUNTIFS($K$1:L$1,"&lt;&gt;"),0,SUMIFS($J:$J,$B:$B,$B1414,$A:$A,"&gt;="&amp;COUNTIFS($K$1:L$1,"&lt;&gt;"))),0)</f>
        <v>9.3750000000000014E-2</v>
      </c>
      <c r="M1414">
        <f>IFERROR($J1414/IF($A1414&lt;COUNTIFS($K$1:M$1,"&lt;&gt;"),0,SUMIFS($J:$J,$B:$B,$B1414,$A:$A,"&gt;="&amp;COUNTIFS($K$1:M$1,"&lt;&gt;"))),0)</f>
        <v>0.10380622837370243</v>
      </c>
      <c r="N1414">
        <f>IFERROR($J1414/IF($A1414&lt;COUNTIFS($K$1:N$1,"&lt;&gt;"),0,SUMIFS($J:$J,$B:$B,$B1414,$A:$A,"&gt;="&amp;COUNTIFS($K$1:N$1,"&lt;&gt;"))),0)</f>
        <v>0.11583011583011585</v>
      </c>
      <c r="O1414">
        <f>IFERROR($J1414/IF($A1414&lt;COUNTIFS($K$1:O$1,"&lt;&gt;"),0,SUMIFS($J:$J,$B:$B,$B1414,$A:$A,"&gt;="&amp;COUNTIFS($K$1:O$1,"&lt;&gt;"))),0)</f>
        <v>0.13157894736842107</v>
      </c>
      <c r="P1414">
        <f>IFERROR($J1414/IF($A1414&lt;COUNTIFS($K$1:P$1,"&lt;&gt;"),0,SUMIFS($J:$J,$B:$B,$B1414,$A:$A,"&gt;="&amp;COUNTIFS($K$1:P$1,"&lt;&gt;"))),0)</f>
        <v>0.15151515151515155</v>
      </c>
      <c r="Q1414">
        <f>IFERROR($J1414/IF($A1414&lt;COUNTIFS($K$1:Q$1,"&lt;&gt;"),0,SUMIFS($J:$J,$B:$B,$B1414,$A:$A,"&gt;="&amp;COUNTIFS($K$1:Q$1,"&lt;&gt;"))),0)</f>
        <v>0.17964071856287425</v>
      </c>
      <c r="R1414">
        <f>IFERROR($J1414/IF($A1414&lt;COUNTIFS($K$1:R$1,"&lt;&gt;"),0,SUMIFS($J:$J,$B:$B,$B1414,$A:$A,"&gt;="&amp;COUNTIFS($K$1:R$1,"&lt;&gt;"))),0)</f>
        <v>0.22058823529411764</v>
      </c>
      <c r="S1414">
        <f>IFERROR($J1414/IF($A1414&lt;COUNTIFS($K$1:S$1,"&lt;&gt;"),0,SUMIFS($J:$J,$B:$B,$B1414,$A:$A,"&gt;="&amp;COUNTIFS($K$1:S$1,"&lt;&gt;"))),0)</f>
        <v>0</v>
      </c>
      <c r="T1414">
        <f>IFERROR($J1414/IF($A1414&lt;COUNTIFS($K$1:T$1,"&lt;&gt;"),0,SUMIFS($J:$J,$B:$B,$B1414,$A:$A,"&gt;="&amp;COUNTIFS($K$1:T$1,"&lt;&gt;"))),0)</f>
        <v>0</v>
      </c>
      <c r="U1414">
        <f>IFERROR($J1414/IF($A1414&lt;COUNTIFS($K$1:U$1,"&lt;&gt;"),0,SUMIFS($J:$J,$B:$B,$B1414,$A:$A,"&gt;="&amp;COUNTIFS($K$1:U$1,"&lt;&gt;"))),0)</f>
        <v>0</v>
      </c>
      <c r="V1414">
        <f>IFERROR($J1414/IF($A1414&lt;COUNTIFS($K$1:V$1,"&lt;&gt;"),0,SUMIFS($J:$J,$B:$B,$B1414,$A:$A,"&gt;="&amp;COUNTIFS($K$1:V$1,"&lt;&gt;"))),0)</f>
        <v>0</v>
      </c>
      <c r="W1414">
        <f t="shared" si="508"/>
        <v>8.2191780821917804E-2</v>
      </c>
      <c r="X1414">
        <f t="shared" si="488"/>
        <v>8.2191780821917804E-2</v>
      </c>
      <c r="Y1414">
        <f t="shared" si="489"/>
        <v>8.2191780821917804E-2</v>
      </c>
      <c r="Z1414">
        <f t="shared" si="490"/>
        <v>8.2191780821917804E-2</v>
      </c>
      <c r="AA1414">
        <f t="shared" si="491"/>
        <v>8.2191780821917804E-2</v>
      </c>
      <c r="AB1414">
        <f t="shared" si="492"/>
        <v>8.2191780821917804E-2</v>
      </c>
      <c r="AC1414">
        <f t="shared" si="493"/>
        <v>8.2191780821917804E-2</v>
      </c>
      <c r="AD1414">
        <f t="shared" si="494"/>
        <v>8.2191780821917804E-2</v>
      </c>
      <c r="AE1414">
        <f t="shared" si="495"/>
        <v>8.2191780821917804E-2</v>
      </c>
      <c r="AF1414">
        <f t="shared" si="496"/>
        <v>0</v>
      </c>
      <c r="AG1414">
        <f t="shared" si="497"/>
        <v>0</v>
      </c>
      <c r="AH1414">
        <f t="shared" si="498"/>
        <v>0</v>
      </c>
      <c r="AI1414">
        <f t="shared" si="499"/>
        <v>0</v>
      </c>
      <c r="AJ1414" s="2" t="str">
        <f t="shared" si="509"/>
        <v>847119</v>
      </c>
    </row>
    <row r="1415" spans="1:36" x14ac:dyDescent="0.25">
      <c r="A1415">
        <v>9</v>
      </c>
      <c r="B1415" s="1">
        <v>47119</v>
      </c>
      <c r="C1415" s="1">
        <f t="shared" si="500"/>
        <v>47392</v>
      </c>
      <c r="D1415" s="1">
        <f t="shared" si="501"/>
        <v>47133</v>
      </c>
      <c r="E1415" s="1">
        <f t="shared" si="502"/>
        <v>47392</v>
      </c>
      <c r="F1415" s="1">
        <f t="shared" si="503"/>
        <v>47423</v>
      </c>
      <c r="G1415" s="1">
        <f t="shared" si="504"/>
        <v>47498</v>
      </c>
      <c r="H1415">
        <f t="shared" si="505"/>
        <v>365</v>
      </c>
      <c r="I1415">
        <f t="shared" si="506"/>
        <v>31</v>
      </c>
      <c r="J1415">
        <f t="shared" si="507"/>
        <v>8.4931506849315067E-2</v>
      </c>
      <c r="K1415">
        <f>IFERROR($J1415/IF($A1415&lt;COUNTIFS($K$1:K$1,"&lt;&gt;"),0,SUMIFS($J:$J,$B:$B,$B1415,$A:$A,"&gt;="&amp;COUNTIFS($K$1:K$1,"&lt;&gt;"))),0)</f>
        <v>8.9080459770114959E-2</v>
      </c>
      <c r="L1415">
        <f>IFERROR($J1415/IF($A1415&lt;COUNTIFS($K$1:L$1,"&lt;&gt;"),0,SUMIFS($J:$J,$B:$B,$B1415,$A:$A,"&gt;="&amp;COUNTIFS($K$1:L$1,"&lt;&gt;"))),0)</f>
        <v>9.6875000000000017E-2</v>
      </c>
      <c r="M1415">
        <f>IFERROR($J1415/IF($A1415&lt;COUNTIFS($K$1:M$1,"&lt;&gt;"),0,SUMIFS($J:$J,$B:$B,$B1415,$A:$A,"&gt;="&amp;COUNTIFS($K$1:M$1,"&lt;&gt;"))),0)</f>
        <v>0.10726643598615919</v>
      </c>
      <c r="N1415">
        <f>IFERROR($J1415/IF($A1415&lt;COUNTIFS($K$1:N$1,"&lt;&gt;"),0,SUMIFS($J:$J,$B:$B,$B1415,$A:$A,"&gt;="&amp;COUNTIFS($K$1:N$1,"&lt;&gt;"))),0)</f>
        <v>0.11969111969111972</v>
      </c>
      <c r="O1415">
        <f>IFERROR($J1415/IF($A1415&lt;COUNTIFS($K$1:O$1,"&lt;&gt;"),0,SUMIFS($J:$J,$B:$B,$B1415,$A:$A,"&gt;="&amp;COUNTIFS($K$1:O$1,"&lt;&gt;"))),0)</f>
        <v>0.13596491228070179</v>
      </c>
      <c r="P1415">
        <f>IFERROR($J1415/IF($A1415&lt;COUNTIFS($K$1:P$1,"&lt;&gt;"),0,SUMIFS($J:$J,$B:$B,$B1415,$A:$A,"&gt;="&amp;COUNTIFS($K$1:P$1,"&lt;&gt;"))),0)</f>
        <v>0.1565656565656566</v>
      </c>
      <c r="Q1415">
        <f>IFERROR($J1415/IF($A1415&lt;COUNTIFS($K$1:Q$1,"&lt;&gt;"),0,SUMIFS($J:$J,$B:$B,$B1415,$A:$A,"&gt;="&amp;COUNTIFS($K$1:Q$1,"&lt;&gt;"))),0)</f>
        <v>0.18562874251497008</v>
      </c>
      <c r="R1415">
        <f>IFERROR($J1415/IF($A1415&lt;COUNTIFS($K$1:R$1,"&lt;&gt;"),0,SUMIFS($J:$J,$B:$B,$B1415,$A:$A,"&gt;="&amp;COUNTIFS($K$1:R$1,"&lt;&gt;"))),0)</f>
        <v>0.22794117647058826</v>
      </c>
      <c r="S1415">
        <f>IFERROR($J1415/IF($A1415&lt;COUNTIFS($K$1:S$1,"&lt;&gt;"),0,SUMIFS($J:$J,$B:$B,$B1415,$A:$A,"&gt;="&amp;COUNTIFS($K$1:S$1,"&lt;&gt;"))),0)</f>
        <v>0.29245283018867929</v>
      </c>
      <c r="T1415">
        <f>IFERROR($J1415/IF($A1415&lt;COUNTIFS($K$1:T$1,"&lt;&gt;"),0,SUMIFS($J:$J,$B:$B,$B1415,$A:$A,"&gt;="&amp;COUNTIFS($K$1:T$1,"&lt;&gt;"))),0)</f>
        <v>0</v>
      </c>
      <c r="U1415">
        <f>IFERROR($J1415/IF($A1415&lt;COUNTIFS($K$1:U$1,"&lt;&gt;"),0,SUMIFS($J:$J,$B:$B,$B1415,$A:$A,"&gt;="&amp;COUNTIFS($K$1:U$1,"&lt;&gt;"))),0)</f>
        <v>0</v>
      </c>
      <c r="V1415">
        <f>IFERROR($J1415/IF($A1415&lt;COUNTIFS($K$1:V$1,"&lt;&gt;"),0,SUMIFS($J:$J,$B:$B,$B1415,$A:$A,"&gt;="&amp;COUNTIFS($K$1:V$1,"&lt;&gt;"))),0)</f>
        <v>0</v>
      </c>
      <c r="W1415">
        <f t="shared" si="508"/>
        <v>8.4931506849315067E-2</v>
      </c>
      <c r="X1415">
        <f t="shared" si="488"/>
        <v>8.4931506849315067E-2</v>
      </c>
      <c r="Y1415">
        <f t="shared" si="489"/>
        <v>8.4931506849315067E-2</v>
      </c>
      <c r="Z1415">
        <f t="shared" si="490"/>
        <v>8.4931506849315067E-2</v>
      </c>
      <c r="AA1415">
        <f t="shared" si="491"/>
        <v>8.4931506849315067E-2</v>
      </c>
      <c r="AB1415">
        <f t="shared" si="492"/>
        <v>8.4931506849315067E-2</v>
      </c>
      <c r="AC1415">
        <f t="shared" si="493"/>
        <v>8.4931506849315067E-2</v>
      </c>
      <c r="AD1415">
        <f t="shared" si="494"/>
        <v>8.4931506849315067E-2</v>
      </c>
      <c r="AE1415">
        <f t="shared" si="495"/>
        <v>8.4931506849315067E-2</v>
      </c>
      <c r="AF1415">
        <f t="shared" si="496"/>
        <v>8.4931506849315067E-2</v>
      </c>
      <c r="AG1415">
        <f t="shared" si="497"/>
        <v>0</v>
      </c>
      <c r="AH1415">
        <f t="shared" si="498"/>
        <v>0</v>
      </c>
      <c r="AI1415">
        <f t="shared" si="499"/>
        <v>0</v>
      </c>
      <c r="AJ1415" s="2" t="str">
        <f t="shared" si="509"/>
        <v>947119</v>
      </c>
    </row>
    <row r="1416" spans="1:36" x14ac:dyDescent="0.25">
      <c r="A1416">
        <v>10</v>
      </c>
      <c r="B1416" s="1">
        <v>47119</v>
      </c>
      <c r="C1416" s="1">
        <f t="shared" si="500"/>
        <v>47423</v>
      </c>
      <c r="D1416" s="1">
        <f t="shared" si="501"/>
        <v>47133</v>
      </c>
      <c r="E1416" s="1">
        <f t="shared" si="502"/>
        <v>47423</v>
      </c>
      <c r="F1416" s="1">
        <f t="shared" si="503"/>
        <v>47453</v>
      </c>
      <c r="G1416" s="1">
        <f t="shared" si="504"/>
        <v>47498</v>
      </c>
      <c r="H1416">
        <f t="shared" si="505"/>
        <v>365</v>
      </c>
      <c r="I1416">
        <f t="shared" si="506"/>
        <v>30</v>
      </c>
      <c r="J1416">
        <f t="shared" si="507"/>
        <v>8.2191780821917804E-2</v>
      </c>
      <c r="K1416">
        <f>IFERROR($J1416/IF($A1416&lt;COUNTIFS($K$1:K$1,"&lt;&gt;"),0,SUMIFS($J:$J,$B:$B,$B1416,$A:$A,"&gt;="&amp;COUNTIFS($K$1:K$1,"&lt;&gt;"))),0)</f>
        <v>8.6206896551724144E-2</v>
      </c>
      <c r="L1416">
        <f>IFERROR($J1416/IF($A1416&lt;COUNTIFS($K$1:L$1,"&lt;&gt;"),0,SUMIFS($J:$J,$B:$B,$B1416,$A:$A,"&gt;="&amp;COUNTIFS($K$1:L$1,"&lt;&gt;"))),0)</f>
        <v>9.3750000000000014E-2</v>
      </c>
      <c r="M1416">
        <f>IFERROR($J1416/IF($A1416&lt;COUNTIFS($K$1:M$1,"&lt;&gt;"),0,SUMIFS($J:$J,$B:$B,$B1416,$A:$A,"&gt;="&amp;COUNTIFS($K$1:M$1,"&lt;&gt;"))),0)</f>
        <v>0.10380622837370243</v>
      </c>
      <c r="N1416">
        <f>IFERROR($J1416/IF($A1416&lt;COUNTIFS($K$1:N$1,"&lt;&gt;"),0,SUMIFS($J:$J,$B:$B,$B1416,$A:$A,"&gt;="&amp;COUNTIFS($K$1:N$1,"&lt;&gt;"))),0)</f>
        <v>0.11583011583011585</v>
      </c>
      <c r="O1416">
        <f>IFERROR($J1416/IF($A1416&lt;COUNTIFS($K$1:O$1,"&lt;&gt;"),0,SUMIFS($J:$J,$B:$B,$B1416,$A:$A,"&gt;="&amp;COUNTIFS($K$1:O$1,"&lt;&gt;"))),0)</f>
        <v>0.13157894736842107</v>
      </c>
      <c r="P1416">
        <f>IFERROR($J1416/IF($A1416&lt;COUNTIFS($K$1:P$1,"&lt;&gt;"),0,SUMIFS($J:$J,$B:$B,$B1416,$A:$A,"&gt;="&amp;COUNTIFS($K$1:P$1,"&lt;&gt;"))),0)</f>
        <v>0.15151515151515155</v>
      </c>
      <c r="Q1416">
        <f>IFERROR($J1416/IF($A1416&lt;COUNTIFS($K$1:Q$1,"&lt;&gt;"),0,SUMIFS($J:$J,$B:$B,$B1416,$A:$A,"&gt;="&amp;COUNTIFS($K$1:Q$1,"&lt;&gt;"))),0)</f>
        <v>0.17964071856287425</v>
      </c>
      <c r="R1416">
        <f>IFERROR($J1416/IF($A1416&lt;COUNTIFS($K$1:R$1,"&lt;&gt;"),0,SUMIFS($J:$J,$B:$B,$B1416,$A:$A,"&gt;="&amp;COUNTIFS($K$1:R$1,"&lt;&gt;"))),0)</f>
        <v>0.22058823529411764</v>
      </c>
      <c r="S1416">
        <f>IFERROR($J1416/IF($A1416&lt;COUNTIFS($K$1:S$1,"&lt;&gt;"),0,SUMIFS($J:$J,$B:$B,$B1416,$A:$A,"&gt;="&amp;COUNTIFS($K$1:S$1,"&lt;&gt;"))),0)</f>
        <v>0.28301886792452829</v>
      </c>
      <c r="T1416">
        <f>IFERROR($J1416/IF($A1416&lt;COUNTIFS($K$1:T$1,"&lt;&gt;"),0,SUMIFS($J:$J,$B:$B,$B1416,$A:$A,"&gt;="&amp;COUNTIFS($K$1:T$1,"&lt;&gt;"))),0)</f>
        <v>0.4</v>
      </c>
      <c r="U1416">
        <f>IFERROR($J1416/IF($A1416&lt;COUNTIFS($K$1:U$1,"&lt;&gt;"),0,SUMIFS($J:$J,$B:$B,$B1416,$A:$A,"&gt;="&amp;COUNTIFS($K$1:U$1,"&lt;&gt;"))),0)</f>
        <v>0</v>
      </c>
      <c r="V1416">
        <f>IFERROR($J1416/IF($A1416&lt;COUNTIFS($K$1:V$1,"&lt;&gt;"),0,SUMIFS($J:$J,$B:$B,$B1416,$A:$A,"&gt;="&amp;COUNTIFS($K$1:V$1,"&lt;&gt;"))),0)</f>
        <v>0</v>
      </c>
      <c r="W1416">
        <f t="shared" si="508"/>
        <v>8.2191780821917804E-2</v>
      </c>
      <c r="X1416">
        <f t="shared" si="488"/>
        <v>8.2191780821917804E-2</v>
      </c>
      <c r="Y1416">
        <f t="shared" si="489"/>
        <v>8.2191780821917804E-2</v>
      </c>
      <c r="Z1416">
        <f t="shared" si="490"/>
        <v>8.2191780821917804E-2</v>
      </c>
      <c r="AA1416">
        <f t="shared" si="491"/>
        <v>8.2191780821917804E-2</v>
      </c>
      <c r="AB1416">
        <f t="shared" si="492"/>
        <v>8.2191780821917804E-2</v>
      </c>
      <c r="AC1416">
        <f t="shared" si="493"/>
        <v>8.2191780821917804E-2</v>
      </c>
      <c r="AD1416">
        <f t="shared" si="494"/>
        <v>8.2191780821917804E-2</v>
      </c>
      <c r="AE1416">
        <f t="shared" si="495"/>
        <v>8.2191780821917804E-2</v>
      </c>
      <c r="AF1416">
        <f t="shared" si="496"/>
        <v>8.2191780821917804E-2</v>
      </c>
      <c r="AG1416">
        <f t="shared" si="497"/>
        <v>8.2191780821917804E-2</v>
      </c>
      <c r="AH1416">
        <f t="shared" si="498"/>
        <v>0</v>
      </c>
      <c r="AI1416">
        <f t="shared" si="499"/>
        <v>0</v>
      </c>
      <c r="AJ1416" s="2" t="str">
        <f t="shared" si="509"/>
        <v>1047119</v>
      </c>
    </row>
    <row r="1417" spans="1:36" x14ac:dyDescent="0.25">
      <c r="A1417">
        <v>11</v>
      </c>
      <c r="B1417" s="1">
        <v>47119</v>
      </c>
      <c r="C1417" s="1">
        <f t="shared" si="500"/>
        <v>47453</v>
      </c>
      <c r="D1417" s="1">
        <f t="shared" si="501"/>
        <v>47133</v>
      </c>
      <c r="E1417" s="1">
        <f t="shared" si="502"/>
        <v>47453</v>
      </c>
      <c r="F1417" s="1">
        <f t="shared" si="503"/>
        <v>47484</v>
      </c>
      <c r="G1417" s="1">
        <f t="shared" si="504"/>
        <v>47498</v>
      </c>
      <c r="H1417">
        <f t="shared" si="505"/>
        <v>365</v>
      </c>
      <c r="I1417">
        <f t="shared" si="506"/>
        <v>31</v>
      </c>
      <c r="J1417">
        <f t="shared" si="507"/>
        <v>8.4931506849315067E-2</v>
      </c>
      <c r="K1417">
        <f>IFERROR($J1417/IF($A1417&lt;COUNTIFS($K$1:K$1,"&lt;&gt;"),0,SUMIFS($J:$J,$B:$B,$B1417,$A:$A,"&gt;="&amp;COUNTIFS($K$1:K$1,"&lt;&gt;"))),0)</f>
        <v>8.9080459770114959E-2</v>
      </c>
      <c r="L1417">
        <f>IFERROR($J1417/IF($A1417&lt;COUNTIFS($K$1:L$1,"&lt;&gt;"),0,SUMIFS($J:$J,$B:$B,$B1417,$A:$A,"&gt;="&amp;COUNTIFS($K$1:L$1,"&lt;&gt;"))),0)</f>
        <v>9.6875000000000017E-2</v>
      </c>
      <c r="M1417">
        <f>IFERROR($J1417/IF($A1417&lt;COUNTIFS($K$1:M$1,"&lt;&gt;"),0,SUMIFS($J:$J,$B:$B,$B1417,$A:$A,"&gt;="&amp;COUNTIFS($K$1:M$1,"&lt;&gt;"))),0)</f>
        <v>0.10726643598615919</v>
      </c>
      <c r="N1417">
        <f>IFERROR($J1417/IF($A1417&lt;COUNTIFS($K$1:N$1,"&lt;&gt;"),0,SUMIFS($J:$J,$B:$B,$B1417,$A:$A,"&gt;="&amp;COUNTIFS($K$1:N$1,"&lt;&gt;"))),0)</f>
        <v>0.11969111969111972</v>
      </c>
      <c r="O1417">
        <f>IFERROR($J1417/IF($A1417&lt;COUNTIFS($K$1:O$1,"&lt;&gt;"),0,SUMIFS($J:$J,$B:$B,$B1417,$A:$A,"&gt;="&amp;COUNTIFS($K$1:O$1,"&lt;&gt;"))),0)</f>
        <v>0.13596491228070179</v>
      </c>
      <c r="P1417">
        <f>IFERROR($J1417/IF($A1417&lt;COUNTIFS($K$1:P$1,"&lt;&gt;"),0,SUMIFS($J:$J,$B:$B,$B1417,$A:$A,"&gt;="&amp;COUNTIFS($K$1:P$1,"&lt;&gt;"))),0)</f>
        <v>0.1565656565656566</v>
      </c>
      <c r="Q1417">
        <f>IFERROR($J1417/IF($A1417&lt;COUNTIFS($K$1:Q$1,"&lt;&gt;"),0,SUMIFS($J:$J,$B:$B,$B1417,$A:$A,"&gt;="&amp;COUNTIFS($K$1:Q$1,"&lt;&gt;"))),0)</f>
        <v>0.18562874251497008</v>
      </c>
      <c r="R1417">
        <f>IFERROR($J1417/IF($A1417&lt;COUNTIFS($K$1:R$1,"&lt;&gt;"),0,SUMIFS($J:$J,$B:$B,$B1417,$A:$A,"&gt;="&amp;COUNTIFS($K$1:R$1,"&lt;&gt;"))),0)</f>
        <v>0.22794117647058826</v>
      </c>
      <c r="S1417">
        <f>IFERROR($J1417/IF($A1417&lt;COUNTIFS($K$1:S$1,"&lt;&gt;"),0,SUMIFS($J:$J,$B:$B,$B1417,$A:$A,"&gt;="&amp;COUNTIFS($K$1:S$1,"&lt;&gt;"))),0)</f>
        <v>0.29245283018867929</v>
      </c>
      <c r="T1417">
        <f>IFERROR($J1417/IF($A1417&lt;COUNTIFS($K$1:T$1,"&lt;&gt;"),0,SUMIFS($J:$J,$B:$B,$B1417,$A:$A,"&gt;="&amp;COUNTIFS($K$1:T$1,"&lt;&gt;"))),0)</f>
        <v>0.41333333333333333</v>
      </c>
      <c r="U1417">
        <f>IFERROR($J1417/IF($A1417&lt;COUNTIFS($K$1:U$1,"&lt;&gt;"),0,SUMIFS($J:$J,$B:$B,$B1417,$A:$A,"&gt;="&amp;COUNTIFS($K$1:U$1,"&lt;&gt;"))),0)</f>
        <v>0.68888888888888888</v>
      </c>
      <c r="V1417">
        <f>IFERROR($J1417/IF($A1417&lt;COUNTIFS($K$1:V$1,"&lt;&gt;"),0,SUMIFS($J:$J,$B:$B,$B1417,$A:$A,"&gt;="&amp;COUNTIFS($K$1:V$1,"&lt;&gt;"))),0)</f>
        <v>0</v>
      </c>
      <c r="W1417">
        <f t="shared" si="508"/>
        <v>8.4931506849315067E-2</v>
      </c>
      <c r="X1417">
        <f t="shared" si="488"/>
        <v>8.4931506849315067E-2</v>
      </c>
      <c r="Y1417">
        <f t="shared" si="489"/>
        <v>8.4931506849315067E-2</v>
      </c>
      <c r="Z1417">
        <f t="shared" si="490"/>
        <v>8.4931506849315067E-2</v>
      </c>
      <c r="AA1417">
        <f t="shared" si="491"/>
        <v>8.4931506849315067E-2</v>
      </c>
      <c r="AB1417">
        <f t="shared" si="492"/>
        <v>8.4931506849315067E-2</v>
      </c>
      <c r="AC1417">
        <f t="shared" si="493"/>
        <v>8.4931506849315067E-2</v>
      </c>
      <c r="AD1417">
        <f t="shared" si="494"/>
        <v>8.4931506849315067E-2</v>
      </c>
      <c r="AE1417">
        <f t="shared" si="495"/>
        <v>8.4931506849315067E-2</v>
      </c>
      <c r="AF1417">
        <f t="shared" si="496"/>
        <v>8.4931506849315067E-2</v>
      </c>
      <c r="AG1417">
        <f t="shared" si="497"/>
        <v>8.4931506849315067E-2</v>
      </c>
      <c r="AH1417">
        <f t="shared" si="498"/>
        <v>8.4931506849315067E-2</v>
      </c>
      <c r="AI1417">
        <f t="shared" si="499"/>
        <v>0</v>
      </c>
      <c r="AJ1417" s="2" t="str">
        <f t="shared" si="509"/>
        <v>1147119</v>
      </c>
    </row>
    <row r="1418" spans="1:36" x14ac:dyDescent="0.25">
      <c r="A1418">
        <v>12</v>
      </c>
      <c r="B1418" s="1">
        <v>47119</v>
      </c>
      <c r="C1418" s="1">
        <f t="shared" si="500"/>
        <v>47484</v>
      </c>
      <c r="D1418" s="1">
        <f t="shared" si="501"/>
        <v>47133</v>
      </c>
      <c r="E1418" s="1">
        <f t="shared" si="502"/>
        <v>47484</v>
      </c>
      <c r="F1418" s="1">
        <f t="shared" si="503"/>
        <v>47498</v>
      </c>
      <c r="G1418" s="1">
        <f t="shared" si="504"/>
        <v>47498</v>
      </c>
      <c r="H1418">
        <f t="shared" si="505"/>
        <v>365</v>
      </c>
      <c r="I1418">
        <f t="shared" si="506"/>
        <v>14</v>
      </c>
      <c r="J1418">
        <f t="shared" si="507"/>
        <v>3.8356164383561646E-2</v>
      </c>
      <c r="K1418">
        <f>IFERROR($J1418/IF($A1418&lt;COUNTIFS($K$1:K$1,"&lt;&gt;"),0,SUMIFS($J:$J,$B:$B,$B1418,$A:$A,"&gt;="&amp;COUNTIFS($K$1:K$1,"&lt;&gt;"))),0)</f>
        <v>4.0229885057471271E-2</v>
      </c>
      <c r="L1418">
        <f>IFERROR($J1418/IF($A1418&lt;COUNTIFS($K$1:L$1,"&lt;&gt;"),0,SUMIFS($J:$J,$B:$B,$B1418,$A:$A,"&gt;="&amp;COUNTIFS($K$1:L$1,"&lt;&gt;"))),0)</f>
        <v>4.3750000000000011E-2</v>
      </c>
      <c r="M1418">
        <f>IFERROR($J1418/IF($A1418&lt;COUNTIFS($K$1:M$1,"&lt;&gt;"),0,SUMIFS($J:$J,$B:$B,$B1418,$A:$A,"&gt;="&amp;COUNTIFS($K$1:M$1,"&lt;&gt;"))),0)</f>
        <v>4.8442906574394477E-2</v>
      </c>
      <c r="N1418">
        <f>IFERROR($J1418/IF($A1418&lt;COUNTIFS($K$1:N$1,"&lt;&gt;"),0,SUMIFS($J:$J,$B:$B,$B1418,$A:$A,"&gt;="&amp;COUNTIFS($K$1:N$1,"&lt;&gt;"))),0)</f>
        <v>5.4054054054054071E-2</v>
      </c>
      <c r="O1418">
        <f>IFERROR($J1418/IF($A1418&lt;COUNTIFS($K$1:O$1,"&lt;&gt;"),0,SUMIFS($J:$J,$B:$B,$B1418,$A:$A,"&gt;="&amp;COUNTIFS($K$1:O$1,"&lt;&gt;"))),0)</f>
        <v>6.1403508771929842E-2</v>
      </c>
      <c r="P1418">
        <f>IFERROR($J1418/IF($A1418&lt;COUNTIFS($K$1:P$1,"&lt;&gt;"),0,SUMIFS($J:$J,$B:$B,$B1418,$A:$A,"&gt;="&amp;COUNTIFS($K$1:P$1,"&lt;&gt;"))),0)</f>
        <v>7.0707070707070732E-2</v>
      </c>
      <c r="Q1418">
        <f>IFERROR($J1418/IF($A1418&lt;COUNTIFS($K$1:Q$1,"&lt;&gt;"),0,SUMIFS($J:$J,$B:$B,$B1418,$A:$A,"&gt;="&amp;COUNTIFS($K$1:Q$1,"&lt;&gt;"))),0)</f>
        <v>8.3832335329341326E-2</v>
      </c>
      <c r="R1418">
        <f>IFERROR($J1418/IF($A1418&lt;COUNTIFS($K$1:R$1,"&lt;&gt;"),0,SUMIFS($J:$J,$B:$B,$B1418,$A:$A,"&gt;="&amp;COUNTIFS($K$1:R$1,"&lt;&gt;"))),0)</f>
        <v>0.10294117647058824</v>
      </c>
      <c r="S1418">
        <f>IFERROR($J1418/IF($A1418&lt;COUNTIFS($K$1:S$1,"&lt;&gt;"),0,SUMIFS($J:$J,$B:$B,$B1418,$A:$A,"&gt;="&amp;COUNTIFS($K$1:S$1,"&lt;&gt;"))),0)</f>
        <v>0.13207547169811323</v>
      </c>
      <c r="T1418">
        <f>IFERROR($J1418/IF($A1418&lt;COUNTIFS($K$1:T$1,"&lt;&gt;"),0,SUMIFS($J:$J,$B:$B,$B1418,$A:$A,"&gt;="&amp;COUNTIFS($K$1:T$1,"&lt;&gt;"))),0)</f>
        <v>0.18666666666666668</v>
      </c>
      <c r="U1418">
        <f>IFERROR($J1418/IF($A1418&lt;COUNTIFS($K$1:U$1,"&lt;&gt;"),0,SUMIFS($J:$J,$B:$B,$B1418,$A:$A,"&gt;="&amp;COUNTIFS($K$1:U$1,"&lt;&gt;"))),0)</f>
        <v>0.31111111111111117</v>
      </c>
      <c r="V1418">
        <f>IFERROR($J1418/IF($A1418&lt;COUNTIFS($K$1:V$1,"&lt;&gt;"),0,SUMIFS($J:$J,$B:$B,$B1418,$A:$A,"&gt;="&amp;COUNTIFS($K$1:V$1,"&lt;&gt;"))),0)</f>
        <v>1</v>
      </c>
      <c r="W1418">
        <f t="shared" si="508"/>
        <v>3.8356164383561646E-2</v>
      </c>
      <c r="X1418">
        <f t="shared" si="488"/>
        <v>3.8356164383561646E-2</v>
      </c>
      <c r="Y1418">
        <f t="shared" si="489"/>
        <v>3.8356164383561646E-2</v>
      </c>
      <c r="Z1418">
        <f t="shared" si="490"/>
        <v>3.8356164383561646E-2</v>
      </c>
      <c r="AA1418">
        <f t="shared" si="491"/>
        <v>3.8356164383561646E-2</v>
      </c>
      <c r="AB1418">
        <f t="shared" si="492"/>
        <v>3.8356164383561646E-2</v>
      </c>
      <c r="AC1418">
        <f t="shared" si="493"/>
        <v>3.8356164383561646E-2</v>
      </c>
      <c r="AD1418">
        <f t="shared" si="494"/>
        <v>3.8356164383561646E-2</v>
      </c>
      <c r="AE1418">
        <f t="shared" si="495"/>
        <v>3.8356164383561646E-2</v>
      </c>
      <c r="AF1418">
        <f t="shared" si="496"/>
        <v>3.8356164383561646E-2</v>
      </c>
      <c r="AG1418">
        <f t="shared" si="497"/>
        <v>3.8356164383561646E-2</v>
      </c>
      <c r="AH1418">
        <f t="shared" si="498"/>
        <v>3.8356164383561646E-2</v>
      </c>
      <c r="AI1418">
        <f t="shared" si="499"/>
        <v>3.8356164383561646E-2</v>
      </c>
      <c r="AJ1418" s="2" t="str">
        <f t="shared" si="509"/>
        <v>1247119</v>
      </c>
    </row>
    <row r="1419" spans="1:36" x14ac:dyDescent="0.25">
      <c r="A1419">
        <v>0</v>
      </c>
      <c r="B1419" s="1">
        <v>47150</v>
      </c>
      <c r="C1419" s="1">
        <f t="shared" si="500"/>
        <v>47150</v>
      </c>
      <c r="D1419" s="1">
        <f t="shared" si="501"/>
        <v>47164</v>
      </c>
      <c r="E1419" s="1">
        <f t="shared" si="502"/>
        <v>47164</v>
      </c>
      <c r="F1419" s="1">
        <f t="shared" si="503"/>
        <v>47178</v>
      </c>
      <c r="G1419" s="1">
        <f t="shared" si="504"/>
        <v>47529</v>
      </c>
      <c r="H1419">
        <f t="shared" si="505"/>
        <v>365</v>
      </c>
      <c r="I1419">
        <f t="shared" si="506"/>
        <v>14</v>
      </c>
      <c r="J1419">
        <f t="shared" si="507"/>
        <v>3.8356164383561646E-2</v>
      </c>
      <c r="K1419">
        <f>IFERROR($J1419/IF($A1419&lt;COUNTIFS($K$1:K$1,"&lt;&gt;"),0,SUMIFS($J:$J,$B:$B,$B1419,$A:$A,"&gt;="&amp;COUNTIFS($K$1:K$1,"&lt;&gt;"))),0)</f>
        <v>0</v>
      </c>
      <c r="L1419">
        <f>IFERROR($J1419/IF($A1419&lt;COUNTIFS($K$1:L$1,"&lt;&gt;"),0,SUMIFS($J:$J,$B:$B,$B1419,$A:$A,"&gt;="&amp;COUNTIFS($K$1:L$1,"&lt;&gt;"))),0)</f>
        <v>0</v>
      </c>
      <c r="M1419">
        <f>IFERROR($J1419/IF($A1419&lt;COUNTIFS($K$1:M$1,"&lt;&gt;"),0,SUMIFS($J:$J,$B:$B,$B1419,$A:$A,"&gt;="&amp;COUNTIFS($K$1:M$1,"&lt;&gt;"))),0)</f>
        <v>0</v>
      </c>
      <c r="N1419">
        <f>IFERROR($J1419/IF($A1419&lt;COUNTIFS($K$1:N$1,"&lt;&gt;"),0,SUMIFS($J:$J,$B:$B,$B1419,$A:$A,"&gt;="&amp;COUNTIFS($K$1:N$1,"&lt;&gt;"))),0)</f>
        <v>0</v>
      </c>
      <c r="O1419">
        <f>IFERROR($J1419/IF($A1419&lt;COUNTIFS($K$1:O$1,"&lt;&gt;"),0,SUMIFS($J:$J,$B:$B,$B1419,$A:$A,"&gt;="&amp;COUNTIFS($K$1:O$1,"&lt;&gt;"))),0)</f>
        <v>0</v>
      </c>
      <c r="P1419">
        <f>IFERROR($J1419/IF($A1419&lt;COUNTIFS($K$1:P$1,"&lt;&gt;"),0,SUMIFS($J:$J,$B:$B,$B1419,$A:$A,"&gt;="&amp;COUNTIFS($K$1:P$1,"&lt;&gt;"))),0)</f>
        <v>0</v>
      </c>
      <c r="Q1419">
        <f>IFERROR($J1419/IF($A1419&lt;COUNTIFS($K$1:Q$1,"&lt;&gt;"),0,SUMIFS($J:$J,$B:$B,$B1419,$A:$A,"&gt;="&amp;COUNTIFS($K$1:Q$1,"&lt;&gt;"))),0)</f>
        <v>0</v>
      </c>
      <c r="R1419">
        <f>IFERROR($J1419/IF($A1419&lt;COUNTIFS($K$1:R$1,"&lt;&gt;"),0,SUMIFS($J:$J,$B:$B,$B1419,$A:$A,"&gt;="&amp;COUNTIFS($K$1:R$1,"&lt;&gt;"))),0)</f>
        <v>0</v>
      </c>
      <c r="S1419">
        <f>IFERROR($J1419/IF($A1419&lt;COUNTIFS($K$1:S$1,"&lt;&gt;"),0,SUMIFS($J:$J,$B:$B,$B1419,$A:$A,"&gt;="&amp;COUNTIFS($K$1:S$1,"&lt;&gt;"))),0)</f>
        <v>0</v>
      </c>
      <c r="T1419">
        <f>IFERROR($J1419/IF($A1419&lt;COUNTIFS($K$1:T$1,"&lt;&gt;"),0,SUMIFS($J:$J,$B:$B,$B1419,$A:$A,"&gt;="&amp;COUNTIFS($K$1:T$1,"&lt;&gt;"))),0)</f>
        <v>0</v>
      </c>
      <c r="U1419">
        <f>IFERROR($J1419/IF($A1419&lt;COUNTIFS($K$1:U$1,"&lt;&gt;"),0,SUMIFS($J:$J,$B:$B,$B1419,$A:$A,"&gt;="&amp;COUNTIFS($K$1:U$1,"&lt;&gt;"))),0)</f>
        <v>0</v>
      </c>
      <c r="V1419">
        <f>IFERROR($J1419/IF($A1419&lt;COUNTIFS($K$1:V$1,"&lt;&gt;"),0,SUMIFS($J:$J,$B:$B,$B1419,$A:$A,"&gt;="&amp;COUNTIFS($K$1:V$1,"&lt;&gt;"))),0)</f>
        <v>0</v>
      </c>
      <c r="W1419">
        <f t="shared" si="508"/>
        <v>3.8356164383561646E-2</v>
      </c>
      <c r="X1419">
        <f t="shared" si="488"/>
        <v>0</v>
      </c>
      <c r="Y1419">
        <f t="shared" si="489"/>
        <v>0</v>
      </c>
      <c r="Z1419">
        <f t="shared" si="490"/>
        <v>0</v>
      </c>
      <c r="AA1419">
        <f t="shared" si="491"/>
        <v>0</v>
      </c>
      <c r="AB1419">
        <f t="shared" si="492"/>
        <v>0</v>
      </c>
      <c r="AC1419">
        <f t="shared" si="493"/>
        <v>0</v>
      </c>
      <c r="AD1419">
        <f t="shared" si="494"/>
        <v>0</v>
      </c>
      <c r="AE1419">
        <f t="shared" si="495"/>
        <v>0</v>
      </c>
      <c r="AF1419">
        <f t="shared" si="496"/>
        <v>0</v>
      </c>
      <c r="AG1419">
        <f t="shared" si="497"/>
        <v>0</v>
      </c>
      <c r="AH1419">
        <f t="shared" si="498"/>
        <v>0</v>
      </c>
      <c r="AI1419">
        <f t="shared" si="499"/>
        <v>0</v>
      </c>
      <c r="AJ1419" s="2" t="str">
        <f t="shared" si="509"/>
        <v>047150</v>
      </c>
    </row>
    <row r="1420" spans="1:36" x14ac:dyDescent="0.25">
      <c r="A1420">
        <v>1</v>
      </c>
      <c r="B1420" s="1">
        <v>47150</v>
      </c>
      <c r="C1420" s="1">
        <f t="shared" si="500"/>
        <v>47178</v>
      </c>
      <c r="D1420" s="1">
        <f t="shared" si="501"/>
        <v>47164</v>
      </c>
      <c r="E1420" s="1">
        <f t="shared" si="502"/>
        <v>47178</v>
      </c>
      <c r="F1420" s="1">
        <f t="shared" si="503"/>
        <v>47209</v>
      </c>
      <c r="G1420" s="1">
        <f t="shared" si="504"/>
        <v>47529</v>
      </c>
      <c r="H1420">
        <f t="shared" si="505"/>
        <v>365</v>
      </c>
      <c r="I1420">
        <f t="shared" si="506"/>
        <v>31</v>
      </c>
      <c r="J1420">
        <f t="shared" si="507"/>
        <v>8.4931506849315067E-2</v>
      </c>
      <c r="K1420">
        <f>IFERROR($J1420/IF($A1420&lt;COUNTIFS($K$1:K$1,"&lt;&gt;"),0,SUMIFS($J:$J,$B:$B,$B1420,$A:$A,"&gt;="&amp;COUNTIFS($K$1:K$1,"&lt;&gt;"))),0)</f>
        <v>8.8319088319088329E-2</v>
      </c>
      <c r="L1420">
        <f>IFERROR($J1420/IF($A1420&lt;COUNTIFS($K$1:L$1,"&lt;&gt;"),0,SUMIFS($J:$J,$B:$B,$B1420,$A:$A,"&gt;="&amp;COUNTIFS($K$1:L$1,"&lt;&gt;"))),0)</f>
        <v>0</v>
      </c>
      <c r="M1420">
        <f>IFERROR($J1420/IF($A1420&lt;COUNTIFS($K$1:M$1,"&lt;&gt;"),0,SUMIFS($J:$J,$B:$B,$B1420,$A:$A,"&gt;="&amp;COUNTIFS($K$1:M$1,"&lt;&gt;"))),0)</f>
        <v>0</v>
      </c>
      <c r="N1420">
        <f>IFERROR($J1420/IF($A1420&lt;COUNTIFS($K$1:N$1,"&lt;&gt;"),0,SUMIFS($J:$J,$B:$B,$B1420,$A:$A,"&gt;="&amp;COUNTIFS($K$1:N$1,"&lt;&gt;"))),0)</f>
        <v>0</v>
      </c>
      <c r="O1420">
        <f>IFERROR($J1420/IF($A1420&lt;COUNTIFS($K$1:O$1,"&lt;&gt;"),0,SUMIFS($J:$J,$B:$B,$B1420,$A:$A,"&gt;="&amp;COUNTIFS($K$1:O$1,"&lt;&gt;"))),0)</f>
        <v>0</v>
      </c>
      <c r="P1420">
        <f>IFERROR($J1420/IF($A1420&lt;COUNTIFS($K$1:P$1,"&lt;&gt;"),0,SUMIFS($J:$J,$B:$B,$B1420,$A:$A,"&gt;="&amp;COUNTIFS($K$1:P$1,"&lt;&gt;"))),0)</f>
        <v>0</v>
      </c>
      <c r="Q1420">
        <f>IFERROR($J1420/IF($A1420&lt;COUNTIFS($K$1:Q$1,"&lt;&gt;"),0,SUMIFS($J:$J,$B:$B,$B1420,$A:$A,"&gt;="&amp;COUNTIFS($K$1:Q$1,"&lt;&gt;"))),0)</f>
        <v>0</v>
      </c>
      <c r="R1420">
        <f>IFERROR($J1420/IF($A1420&lt;COUNTIFS($K$1:R$1,"&lt;&gt;"),0,SUMIFS($J:$J,$B:$B,$B1420,$A:$A,"&gt;="&amp;COUNTIFS($K$1:R$1,"&lt;&gt;"))),0)</f>
        <v>0</v>
      </c>
      <c r="S1420">
        <f>IFERROR($J1420/IF($A1420&lt;COUNTIFS($K$1:S$1,"&lt;&gt;"),0,SUMIFS($J:$J,$B:$B,$B1420,$A:$A,"&gt;="&amp;COUNTIFS($K$1:S$1,"&lt;&gt;"))),0)</f>
        <v>0</v>
      </c>
      <c r="T1420">
        <f>IFERROR($J1420/IF($A1420&lt;COUNTIFS($K$1:T$1,"&lt;&gt;"),0,SUMIFS($J:$J,$B:$B,$B1420,$A:$A,"&gt;="&amp;COUNTIFS($K$1:T$1,"&lt;&gt;"))),0)</f>
        <v>0</v>
      </c>
      <c r="U1420">
        <f>IFERROR($J1420/IF($A1420&lt;COUNTIFS($K$1:U$1,"&lt;&gt;"),0,SUMIFS($J:$J,$B:$B,$B1420,$A:$A,"&gt;="&amp;COUNTIFS($K$1:U$1,"&lt;&gt;"))),0)</f>
        <v>0</v>
      </c>
      <c r="V1420">
        <f>IFERROR($J1420/IF($A1420&lt;COUNTIFS($K$1:V$1,"&lt;&gt;"),0,SUMIFS($J:$J,$B:$B,$B1420,$A:$A,"&gt;="&amp;COUNTIFS($K$1:V$1,"&lt;&gt;"))),0)</f>
        <v>0</v>
      </c>
      <c r="W1420">
        <f t="shared" si="508"/>
        <v>8.4931506849315067E-2</v>
      </c>
      <c r="X1420">
        <f t="shared" si="488"/>
        <v>8.4931506849315067E-2</v>
      </c>
      <c r="Y1420">
        <f t="shared" si="489"/>
        <v>0</v>
      </c>
      <c r="Z1420">
        <f t="shared" si="490"/>
        <v>0</v>
      </c>
      <c r="AA1420">
        <f t="shared" si="491"/>
        <v>0</v>
      </c>
      <c r="AB1420">
        <f t="shared" si="492"/>
        <v>0</v>
      </c>
      <c r="AC1420">
        <f t="shared" si="493"/>
        <v>0</v>
      </c>
      <c r="AD1420">
        <f t="shared" si="494"/>
        <v>0</v>
      </c>
      <c r="AE1420">
        <f t="shared" si="495"/>
        <v>0</v>
      </c>
      <c r="AF1420">
        <f t="shared" si="496"/>
        <v>0</v>
      </c>
      <c r="AG1420">
        <f t="shared" si="497"/>
        <v>0</v>
      </c>
      <c r="AH1420">
        <f t="shared" si="498"/>
        <v>0</v>
      </c>
      <c r="AI1420">
        <f t="shared" si="499"/>
        <v>0</v>
      </c>
      <c r="AJ1420" s="2" t="str">
        <f t="shared" si="509"/>
        <v>147150</v>
      </c>
    </row>
    <row r="1421" spans="1:36" x14ac:dyDescent="0.25">
      <c r="A1421">
        <v>2</v>
      </c>
      <c r="B1421" s="1">
        <v>47150</v>
      </c>
      <c r="C1421" s="1">
        <f t="shared" si="500"/>
        <v>47209</v>
      </c>
      <c r="D1421" s="1">
        <f t="shared" si="501"/>
        <v>47164</v>
      </c>
      <c r="E1421" s="1">
        <f t="shared" si="502"/>
        <v>47209</v>
      </c>
      <c r="F1421" s="1">
        <f t="shared" si="503"/>
        <v>47239</v>
      </c>
      <c r="G1421" s="1">
        <f t="shared" si="504"/>
        <v>47529</v>
      </c>
      <c r="H1421">
        <f t="shared" si="505"/>
        <v>365</v>
      </c>
      <c r="I1421">
        <f t="shared" si="506"/>
        <v>30</v>
      </c>
      <c r="J1421">
        <f t="shared" si="507"/>
        <v>8.2191780821917804E-2</v>
      </c>
      <c r="K1421">
        <f>IFERROR($J1421/IF($A1421&lt;COUNTIFS($K$1:K$1,"&lt;&gt;"),0,SUMIFS($J:$J,$B:$B,$B1421,$A:$A,"&gt;="&amp;COUNTIFS($K$1:K$1,"&lt;&gt;"))),0)</f>
        <v>8.5470085470085486E-2</v>
      </c>
      <c r="L1421">
        <f>IFERROR($J1421/IF($A1421&lt;COUNTIFS($K$1:L$1,"&lt;&gt;"),0,SUMIFS($J:$J,$B:$B,$B1421,$A:$A,"&gt;="&amp;COUNTIFS($K$1:L$1,"&lt;&gt;"))),0)</f>
        <v>9.3750000000000014E-2</v>
      </c>
      <c r="M1421">
        <f>IFERROR($J1421/IF($A1421&lt;COUNTIFS($K$1:M$1,"&lt;&gt;"),0,SUMIFS($J:$J,$B:$B,$B1421,$A:$A,"&gt;="&amp;COUNTIFS($K$1:M$1,"&lt;&gt;"))),0)</f>
        <v>0</v>
      </c>
      <c r="N1421">
        <f>IFERROR($J1421/IF($A1421&lt;COUNTIFS($K$1:N$1,"&lt;&gt;"),0,SUMIFS($J:$J,$B:$B,$B1421,$A:$A,"&gt;="&amp;COUNTIFS($K$1:N$1,"&lt;&gt;"))),0)</f>
        <v>0</v>
      </c>
      <c r="O1421">
        <f>IFERROR($J1421/IF($A1421&lt;COUNTIFS($K$1:O$1,"&lt;&gt;"),0,SUMIFS($J:$J,$B:$B,$B1421,$A:$A,"&gt;="&amp;COUNTIFS($K$1:O$1,"&lt;&gt;"))),0)</f>
        <v>0</v>
      </c>
      <c r="P1421">
        <f>IFERROR($J1421/IF($A1421&lt;COUNTIFS($K$1:P$1,"&lt;&gt;"),0,SUMIFS($J:$J,$B:$B,$B1421,$A:$A,"&gt;="&amp;COUNTIFS($K$1:P$1,"&lt;&gt;"))),0)</f>
        <v>0</v>
      </c>
      <c r="Q1421">
        <f>IFERROR($J1421/IF($A1421&lt;COUNTIFS($K$1:Q$1,"&lt;&gt;"),0,SUMIFS($J:$J,$B:$B,$B1421,$A:$A,"&gt;="&amp;COUNTIFS($K$1:Q$1,"&lt;&gt;"))),0)</f>
        <v>0</v>
      </c>
      <c r="R1421">
        <f>IFERROR($J1421/IF($A1421&lt;COUNTIFS($K$1:R$1,"&lt;&gt;"),0,SUMIFS($J:$J,$B:$B,$B1421,$A:$A,"&gt;="&amp;COUNTIFS($K$1:R$1,"&lt;&gt;"))),0)</f>
        <v>0</v>
      </c>
      <c r="S1421">
        <f>IFERROR($J1421/IF($A1421&lt;COUNTIFS($K$1:S$1,"&lt;&gt;"),0,SUMIFS($J:$J,$B:$B,$B1421,$A:$A,"&gt;="&amp;COUNTIFS($K$1:S$1,"&lt;&gt;"))),0)</f>
        <v>0</v>
      </c>
      <c r="T1421">
        <f>IFERROR($J1421/IF($A1421&lt;COUNTIFS($K$1:T$1,"&lt;&gt;"),0,SUMIFS($J:$J,$B:$B,$B1421,$A:$A,"&gt;="&amp;COUNTIFS($K$1:T$1,"&lt;&gt;"))),0)</f>
        <v>0</v>
      </c>
      <c r="U1421">
        <f>IFERROR($J1421/IF($A1421&lt;COUNTIFS($K$1:U$1,"&lt;&gt;"),0,SUMIFS($J:$J,$B:$B,$B1421,$A:$A,"&gt;="&amp;COUNTIFS($K$1:U$1,"&lt;&gt;"))),0)</f>
        <v>0</v>
      </c>
      <c r="V1421">
        <f>IFERROR($J1421/IF($A1421&lt;COUNTIFS($K$1:V$1,"&lt;&gt;"),0,SUMIFS($J:$J,$B:$B,$B1421,$A:$A,"&gt;="&amp;COUNTIFS($K$1:V$1,"&lt;&gt;"))),0)</f>
        <v>0</v>
      </c>
      <c r="W1421">
        <f t="shared" si="508"/>
        <v>8.2191780821917804E-2</v>
      </c>
      <c r="X1421">
        <f t="shared" si="488"/>
        <v>8.2191780821917804E-2</v>
      </c>
      <c r="Y1421">
        <f t="shared" si="489"/>
        <v>8.2191780821917804E-2</v>
      </c>
      <c r="Z1421">
        <f t="shared" si="490"/>
        <v>0</v>
      </c>
      <c r="AA1421">
        <f t="shared" si="491"/>
        <v>0</v>
      </c>
      <c r="AB1421">
        <f t="shared" si="492"/>
        <v>0</v>
      </c>
      <c r="AC1421">
        <f t="shared" si="493"/>
        <v>0</v>
      </c>
      <c r="AD1421">
        <f t="shared" si="494"/>
        <v>0</v>
      </c>
      <c r="AE1421">
        <f t="shared" si="495"/>
        <v>0</v>
      </c>
      <c r="AF1421">
        <f t="shared" si="496"/>
        <v>0</v>
      </c>
      <c r="AG1421">
        <f t="shared" si="497"/>
        <v>0</v>
      </c>
      <c r="AH1421">
        <f t="shared" si="498"/>
        <v>0</v>
      </c>
      <c r="AI1421">
        <f t="shared" si="499"/>
        <v>0</v>
      </c>
      <c r="AJ1421" s="2" t="str">
        <f t="shared" si="509"/>
        <v>247150</v>
      </c>
    </row>
    <row r="1422" spans="1:36" x14ac:dyDescent="0.25">
      <c r="A1422">
        <v>3</v>
      </c>
      <c r="B1422" s="1">
        <v>47150</v>
      </c>
      <c r="C1422" s="1">
        <f t="shared" si="500"/>
        <v>47239</v>
      </c>
      <c r="D1422" s="1">
        <f t="shared" si="501"/>
        <v>47164</v>
      </c>
      <c r="E1422" s="1">
        <f t="shared" si="502"/>
        <v>47239</v>
      </c>
      <c r="F1422" s="1">
        <f t="shared" si="503"/>
        <v>47270</v>
      </c>
      <c r="G1422" s="1">
        <f t="shared" si="504"/>
        <v>47529</v>
      </c>
      <c r="H1422">
        <f t="shared" si="505"/>
        <v>365</v>
      </c>
      <c r="I1422">
        <f t="shared" si="506"/>
        <v>31</v>
      </c>
      <c r="J1422">
        <f t="shared" si="507"/>
        <v>8.4931506849315067E-2</v>
      </c>
      <c r="K1422">
        <f>IFERROR($J1422/IF($A1422&lt;COUNTIFS($K$1:K$1,"&lt;&gt;"),0,SUMIFS($J:$J,$B:$B,$B1422,$A:$A,"&gt;="&amp;COUNTIFS($K$1:K$1,"&lt;&gt;"))),0)</f>
        <v>8.8319088319088329E-2</v>
      </c>
      <c r="L1422">
        <f>IFERROR($J1422/IF($A1422&lt;COUNTIFS($K$1:L$1,"&lt;&gt;"),0,SUMIFS($J:$J,$B:$B,$B1422,$A:$A,"&gt;="&amp;COUNTIFS($K$1:L$1,"&lt;&gt;"))),0)</f>
        <v>9.6875000000000017E-2</v>
      </c>
      <c r="M1422">
        <f>IFERROR($J1422/IF($A1422&lt;COUNTIFS($K$1:M$1,"&lt;&gt;"),0,SUMIFS($J:$J,$B:$B,$B1422,$A:$A,"&gt;="&amp;COUNTIFS($K$1:M$1,"&lt;&gt;"))),0)</f>
        <v>0.10689655172413795</v>
      </c>
      <c r="N1422">
        <f>IFERROR($J1422/IF($A1422&lt;COUNTIFS($K$1:N$1,"&lt;&gt;"),0,SUMIFS($J:$J,$B:$B,$B1422,$A:$A,"&gt;="&amp;COUNTIFS($K$1:N$1,"&lt;&gt;"))),0)</f>
        <v>0</v>
      </c>
      <c r="O1422">
        <f>IFERROR($J1422/IF($A1422&lt;COUNTIFS($K$1:O$1,"&lt;&gt;"),0,SUMIFS($J:$J,$B:$B,$B1422,$A:$A,"&gt;="&amp;COUNTIFS($K$1:O$1,"&lt;&gt;"))),0)</f>
        <v>0</v>
      </c>
      <c r="P1422">
        <f>IFERROR($J1422/IF($A1422&lt;COUNTIFS($K$1:P$1,"&lt;&gt;"),0,SUMIFS($J:$J,$B:$B,$B1422,$A:$A,"&gt;="&amp;COUNTIFS($K$1:P$1,"&lt;&gt;"))),0)</f>
        <v>0</v>
      </c>
      <c r="Q1422">
        <f>IFERROR($J1422/IF($A1422&lt;COUNTIFS($K$1:Q$1,"&lt;&gt;"),0,SUMIFS($J:$J,$B:$B,$B1422,$A:$A,"&gt;="&amp;COUNTIFS($K$1:Q$1,"&lt;&gt;"))),0)</f>
        <v>0</v>
      </c>
      <c r="R1422">
        <f>IFERROR($J1422/IF($A1422&lt;COUNTIFS($K$1:R$1,"&lt;&gt;"),0,SUMIFS($J:$J,$B:$B,$B1422,$A:$A,"&gt;="&amp;COUNTIFS($K$1:R$1,"&lt;&gt;"))),0)</f>
        <v>0</v>
      </c>
      <c r="S1422">
        <f>IFERROR($J1422/IF($A1422&lt;COUNTIFS($K$1:S$1,"&lt;&gt;"),0,SUMIFS($J:$J,$B:$B,$B1422,$A:$A,"&gt;="&amp;COUNTIFS($K$1:S$1,"&lt;&gt;"))),0)</f>
        <v>0</v>
      </c>
      <c r="T1422">
        <f>IFERROR($J1422/IF($A1422&lt;COUNTIFS($K$1:T$1,"&lt;&gt;"),0,SUMIFS($J:$J,$B:$B,$B1422,$A:$A,"&gt;="&amp;COUNTIFS($K$1:T$1,"&lt;&gt;"))),0)</f>
        <v>0</v>
      </c>
      <c r="U1422">
        <f>IFERROR($J1422/IF($A1422&lt;COUNTIFS($K$1:U$1,"&lt;&gt;"),0,SUMIFS($J:$J,$B:$B,$B1422,$A:$A,"&gt;="&amp;COUNTIFS($K$1:U$1,"&lt;&gt;"))),0)</f>
        <v>0</v>
      </c>
      <c r="V1422">
        <f>IFERROR($J1422/IF($A1422&lt;COUNTIFS($K$1:V$1,"&lt;&gt;"),0,SUMIFS($J:$J,$B:$B,$B1422,$A:$A,"&gt;="&amp;COUNTIFS($K$1:V$1,"&lt;&gt;"))),0)</f>
        <v>0</v>
      </c>
      <c r="W1422">
        <f t="shared" si="508"/>
        <v>8.4931506849315067E-2</v>
      </c>
      <c r="X1422">
        <f t="shared" si="488"/>
        <v>8.4931506849315067E-2</v>
      </c>
      <c r="Y1422">
        <f t="shared" si="489"/>
        <v>8.4931506849315067E-2</v>
      </c>
      <c r="Z1422">
        <f t="shared" si="490"/>
        <v>8.4931506849315067E-2</v>
      </c>
      <c r="AA1422">
        <f t="shared" si="491"/>
        <v>0</v>
      </c>
      <c r="AB1422">
        <f t="shared" si="492"/>
        <v>0</v>
      </c>
      <c r="AC1422">
        <f t="shared" si="493"/>
        <v>0</v>
      </c>
      <c r="AD1422">
        <f t="shared" si="494"/>
        <v>0</v>
      </c>
      <c r="AE1422">
        <f t="shared" si="495"/>
        <v>0</v>
      </c>
      <c r="AF1422">
        <f t="shared" si="496"/>
        <v>0</v>
      </c>
      <c r="AG1422">
        <f t="shared" si="497"/>
        <v>0</v>
      </c>
      <c r="AH1422">
        <f t="shared" si="498"/>
        <v>0</v>
      </c>
      <c r="AI1422">
        <f t="shared" si="499"/>
        <v>0</v>
      </c>
      <c r="AJ1422" s="2" t="str">
        <f t="shared" si="509"/>
        <v>347150</v>
      </c>
    </row>
    <row r="1423" spans="1:36" x14ac:dyDescent="0.25">
      <c r="A1423">
        <v>4</v>
      </c>
      <c r="B1423" s="1">
        <v>47150</v>
      </c>
      <c r="C1423" s="1">
        <f t="shared" si="500"/>
        <v>47270</v>
      </c>
      <c r="D1423" s="1">
        <f t="shared" si="501"/>
        <v>47164</v>
      </c>
      <c r="E1423" s="1">
        <f t="shared" si="502"/>
        <v>47270</v>
      </c>
      <c r="F1423" s="1">
        <f t="shared" si="503"/>
        <v>47300</v>
      </c>
      <c r="G1423" s="1">
        <f t="shared" si="504"/>
        <v>47529</v>
      </c>
      <c r="H1423">
        <f t="shared" si="505"/>
        <v>365</v>
      </c>
      <c r="I1423">
        <f t="shared" si="506"/>
        <v>30</v>
      </c>
      <c r="J1423">
        <f t="shared" si="507"/>
        <v>8.2191780821917804E-2</v>
      </c>
      <c r="K1423">
        <f>IFERROR($J1423/IF($A1423&lt;COUNTIFS($K$1:K$1,"&lt;&gt;"),0,SUMIFS($J:$J,$B:$B,$B1423,$A:$A,"&gt;="&amp;COUNTIFS($K$1:K$1,"&lt;&gt;"))),0)</f>
        <v>8.5470085470085486E-2</v>
      </c>
      <c r="L1423">
        <f>IFERROR($J1423/IF($A1423&lt;COUNTIFS($K$1:L$1,"&lt;&gt;"),0,SUMIFS($J:$J,$B:$B,$B1423,$A:$A,"&gt;="&amp;COUNTIFS($K$1:L$1,"&lt;&gt;"))),0)</f>
        <v>9.3750000000000014E-2</v>
      </c>
      <c r="M1423">
        <f>IFERROR($J1423/IF($A1423&lt;COUNTIFS($K$1:M$1,"&lt;&gt;"),0,SUMIFS($J:$J,$B:$B,$B1423,$A:$A,"&gt;="&amp;COUNTIFS($K$1:M$1,"&lt;&gt;"))),0)</f>
        <v>0.10344827586206898</v>
      </c>
      <c r="N1423">
        <f>IFERROR($J1423/IF($A1423&lt;COUNTIFS($K$1:N$1,"&lt;&gt;"),0,SUMIFS($J:$J,$B:$B,$B1423,$A:$A,"&gt;="&amp;COUNTIFS($K$1:N$1,"&lt;&gt;"))),0)</f>
        <v>0.11583011583011585</v>
      </c>
      <c r="O1423">
        <f>IFERROR($J1423/IF($A1423&lt;COUNTIFS($K$1:O$1,"&lt;&gt;"),0,SUMIFS($J:$J,$B:$B,$B1423,$A:$A,"&gt;="&amp;COUNTIFS($K$1:O$1,"&lt;&gt;"))),0)</f>
        <v>0</v>
      </c>
      <c r="P1423">
        <f>IFERROR($J1423/IF($A1423&lt;COUNTIFS($K$1:P$1,"&lt;&gt;"),0,SUMIFS($J:$J,$B:$B,$B1423,$A:$A,"&gt;="&amp;COUNTIFS($K$1:P$1,"&lt;&gt;"))),0)</f>
        <v>0</v>
      </c>
      <c r="Q1423">
        <f>IFERROR($J1423/IF($A1423&lt;COUNTIFS($K$1:Q$1,"&lt;&gt;"),0,SUMIFS($J:$J,$B:$B,$B1423,$A:$A,"&gt;="&amp;COUNTIFS($K$1:Q$1,"&lt;&gt;"))),0)</f>
        <v>0</v>
      </c>
      <c r="R1423">
        <f>IFERROR($J1423/IF($A1423&lt;COUNTIFS($K$1:R$1,"&lt;&gt;"),0,SUMIFS($J:$J,$B:$B,$B1423,$A:$A,"&gt;="&amp;COUNTIFS($K$1:R$1,"&lt;&gt;"))),0)</f>
        <v>0</v>
      </c>
      <c r="S1423">
        <f>IFERROR($J1423/IF($A1423&lt;COUNTIFS($K$1:S$1,"&lt;&gt;"),0,SUMIFS($J:$J,$B:$B,$B1423,$A:$A,"&gt;="&amp;COUNTIFS($K$1:S$1,"&lt;&gt;"))),0)</f>
        <v>0</v>
      </c>
      <c r="T1423">
        <f>IFERROR($J1423/IF($A1423&lt;COUNTIFS($K$1:T$1,"&lt;&gt;"),0,SUMIFS($J:$J,$B:$B,$B1423,$A:$A,"&gt;="&amp;COUNTIFS($K$1:T$1,"&lt;&gt;"))),0)</f>
        <v>0</v>
      </c>
      <c r="U1423">
        <f>IFERROR($J1423/IF($A1423&lt;COUNTIFS($K$1:U$1,"&lt;&gt;"),0,SUMIFS($J:$J,$B:$B,$B1423,$A:$A,"&gt;="&amp;COUNTIFS($K$1:U$1,"&lt;&gt;"))),0)</f>
        <v>0</v>
      </c>
      <c r="V1423">
        <f>IFERROR($J1423/IF($A1423&lt;COUNTIFS($K$1:V$1,"&lt;&gt;"),0,SUMIFS($J:$J,$B:$B,$B1423,$A:$A,"&gt;="&amp;COUNTIFS($K$1:V$1,"&lt;&gt;"))),0)</f>
        <v>0</v>
      </c>
      <c r="W1423">
        <f t="shared" si="508"/>
        <v>8.2191780821917804E-2</v>
      </c>
      <c r="X1423">
        <f t="shared" si="488"/>
        <v>8.2191780821917804E-2</v>
      </c>
      <c r="Y1423">
        <f t="shared" si="489"/>
        <v>8.2191780821917804E-2</v>
      </c>
      <c r="Z1423">
        <f t="shared" si="490"/>
        <v>8.2191780821917804E-2</v>
      </c>
      <c r="AA1423">
        <f t="shared" si="491"/>
        <v>8.2191780821917804E-2</v>
      </c>
      <c r="AB1423">
        <f t="shared" si="492"/>
        <v>0</v>
      </c>
      <c r="AC1423">
        <f t="shared" si="493"/>
        <v>0</v>
      </c>
      <c r="AD1423">
        <f t="shared" si="494"/>
        <v>0</v>
      </c>
      <c r="AE1423">
        <f t="shared" si="495"/>
        <v>0</v>
      </c>
      <c r="AF1423">
        <f t="shared" si="496"/>
        <v>0</v>
      </c>
      <c r="AG1423">
        <f t="shared" si="497"/>
        <v>0</v>
      </c>
      <c r="AH1423">
        <f t="shared" si="498"/>
        <v>0</v>
      </c>
      <c r="AI1423">
        <f t="shared" si="499"/>
        <v>0</v>
      </c>
      <c r="AJ1423" s="2" t="str">
        <f t="shared" si="509"/>
        <v>447150</v>
      </c>
    </row>
    <row r="1424" spans="1:36" x14ac:dyDescent="0.25">
      <c r="A1424">
        <v>5</v>
      </c>
      <c r="B1424" s="1">
        <v>47150</v>
      </c>
      <c r="C1424" s="1">
        <f t="shared" si="500"/>
        <v>47300</v>
      </c>
      <c r="D1424" s="1">
        <f t="shared" si="501"/>
        <v>47164</v>
      </c>
      <c r="E1424" s="1">
        <f t="shared" si="502"/>
        <v>47300</v>
      </c>
      <c r="F1424" s="1">
        <f t="shared" si="503"/>
        <v>47331</v>
      </c>
      <c r="G1424" s="1">
        <f t="shared" si="504"/>
        <v>47529</v>
      </c>
      <c r="H1424">
        <f t="shared" si="505"/>
        <v>365</v>
      </c>
      <c r="I1424">
        <f t="shared" si="506"/>
        <v>31</v>
      </c>
      <c r="J1424">
        <f t="shared" si="507"/>
        <v>8.4931506849315067E-2</v>
      </c>
      <c r="K1424">
        <f>IFERROR($J1424/IF($A1424&lt;COUNTIFS($K$1:K$1,"&lt;&gt;"),0,SUMIFS($J:$J,$B:$B,$B1424,$A:$A,"&gt;="&amp;COUNTIFS($K$1:K$1,"&lt;&gt;"))),0)</f>
        <v>8.8319088319088329E-2</v>
      </c>
      <c r="L1424">
        <f>IFERROR($J1424/IF($A1424&lt;COUNTIFS($K$1:L$1,"&lt;&gt;"),0,SUMIFS($J:$J,$B:$B,$B1424,$A:$A,"&gt;="&amp;COUNTIFS($K$1:L$1,"&lt;&gt;"))),0)</f>
        <v>9.6875000000000017E-2</v>
      </c>
      <c r="M1424">
        <f>IFERROR($J1424/IF($A1424&lt;COUNTIFS($K$1:M$1,"&lt;&gt;"),0,SUMIFS($J:$J,$B:$B,$B1424,$A:$A,"&gt;="&amp;COUNTIFS($K$1:M$1,"&lt;&gt;"))),0)</f>
        <v>0.10689655172413795</v>
      </c>
      <c r="N1424">
        <f>IFERROR($J1424/IF($A1424&lt;COUNTIFS($K$1:N$1,"&lt;&gt;"),0,SUMIFS($J:$J,$B:$B,$B1424,$A:$A,"&gt;="&amp;COUNTIFS($K$1:N$1,"&lt;&gt;"))),0)</f>
        <v>0.11969111969111972</v>
      </c>
      <c r="O1424">
        <f>IFERROR($J1424/IF($A1424&lt;COUNTIFS($K$1:O$1,"&lt;&gt;"),0,SUMIFS($J:$J,$B:$B,$B1424,$A:$A,"&gt;="&amp;COUNTIFS($K$1:O$1,"&lt;&gt;"))),0)</f>
        <v>0.13537117903930135</v>
      </c>
      <c r="P1424">
        <f>IFERROR($J1424/IF($A1424&lt;COUNTIFS($K$1:P$1,"&lt;&gt;"),0,SUMIFS($J:$J,$B:$B,$B1424,$A:$A,"&gt;="&amp;COUNTIFS($K$1:P$1,"&lt;&gt;"))),0)</f>
        <v>0</v>
      </c>
      <c r="Q1424">
        <f>IFERROR($J1424/IF($A1424&lt;COUNTIFS($K$1:Q$1,"&lt;&gt;"),0,SUMIFS($J:$J,$B:$B,$B1424,$A:$A,"&gt;="&amp;COUNTIFS($K$1:Q$1,"&lt;&gt;"))),0)</f>
        <v>0</v>
      </c>
      <c r="R1424">
        <f>IFERROR($J1424/IF($A1424&lt;COUNTIFS($K$1:R$1,"&lt;&gt;"),0,SUMIFS($J:$J,$B:$B,$B1424,$A:$A,"&gt;="&amp;COUNTIFS($K$1:R$1,"&lt;&gt;"))),0)</f>
        <v>0</v>
      </c>
      <c r="S1424">
        <f>IFERROR($J1424/IF($A1424&lt;COUNTIFS($K$1:S$1,"&lt;&gt;"),0,SUMIFS($J:$J,$B:$B,$B1424,$A:$A,"&gt;="&amp;COUNTIFS($K$1:S$1,"&lt;&gt;"))),0)</f>
        <v>0</v>
      </c>
      <c r="T1424">
        <f>IFERROR($J1424/IF($A1424&lt;COUNTIFS($K$1:T$1,"&lt;&gt;"),0,SUMIFS($J:$J,$B:$B,$B1424,$A:$A,"&gt;="&amp;COUNTIFS($K$1:T$1,"&lt;&gt;"))),0)</f>
        <v>0</v>
      </c>
      <c r="U1424">
        <f>IFERROR($J1424/IF($A1424&lt;COUNTIFS($K$1:U$1,"&lt;&gt;"),0,SUMIFS($J:$J,$B:$B,$B1424,$A:$A,"&gt;="&amp;COUNTIFS($K$1:U$1,"&lt;&gt;"))),0)</f>
        <v>0</v>
      </c>
      <c r="V1424">
        <f>IFERROR($J1424/IF($A1424&lt;COUNTIFS($K$1:V$1,"&lt;&gt;"),0,SUMIFS($J:$J,$B:$B,$B1424,$A:$A,"&gt;="&amp;COUNTIFS($K$1:V$1,"&lt;&gt;"))),0)</f>
        <v>0</v>
      </c>
      <c r="W1424">
        <f t="shared" si="508"/>
        <v>8.4931506849315067E-2</v>
      </c>
      <c r="X1424">
        <f t="shared" si="488"/>
        <v>8.4931506849315067E-2</v>
      </c>
      <c r="Y1424">
        <f t="shared" si="489"/>
        <v>8.4931506849315067E-2</v>
      </c>
      <c r="Z1424">
        <f t="shared" si="490"/>
        <v>8.4931506849315067E-2</v>
      </c>
      <c r="AA1424">
        <f t="shared" si="491"/>
        <v>8.4931506849315067E-2</v>
      </c>
      <c r="AB1424">
        <f t="shared" si="492"/>
        <v>8.4931506849315067E-2</v>
      </c>
      <c r="AC1424">
        <f t="shared" si="493"/>
        <v>0</v>
      </c>
      <c r="AD1424">
        <f t="shared" si="494"/>
        <v>0</v>
      </c>
      <c r="AE1424">
        <f t="shared" si="495"/>
        <v>0</v>
      </c>
      <c r="AF1424">
        <f t="shared" si="496"/>
        <v>0</v>
      </c>
      <c r="AG1424">
        <f t="shared" si="497"/>
        <v>0</v>
      </c>
      <c r="AH1424">
        <f t="shared" si="498"/>
        <v>0</v>
      </c>
      <c r="AI1424">
        <f t="shared" si="499"/>
        <v>0</v>
      </c>
      <c r="AJ1424" s="2" t="str">
        <f t="shared" si="509"/>
        <v>547150</v>
      </c>
    </row>
    <row r="1425" spans="1:36" x14ac:dyDescent="0.25">
      <c r="A1425">
        <v>6</v>
      </c>
      <c r="B1425" s="1">
        <v>47150</v>
      </c>
      <c r="C1425" s="1">
        <f t="shared" si="500"/>
        <v>47331</v>
      </c>
      <c r="D1425" s="1">
        <f t="shared" si="501"/>
        <v>47164</v>
      </c>
      <c r="E1425" s="1">
        <f t="shared" si="502"/>
        <v>47331</v>
      </c>
      <c r="F1425" s="1">
        <f t="shared" si="503"/>
        <v>47362</v>
      </c>
      <c r="G1425" s="1">
        <f t="shared" si="504"/>
        <v>47529</v>
      </c>
      <c r="H1425">
        <f t="shared" si="505"/>
        <v>365</v>
      </c>
      <c r="I1425">
        <f t="shared" si="506"/>
        <v>31</v>
      </c>
      <c r="J1425">
        <f t="shared" si="507"/>
        <v>8.4931506849315067E-2</v>
      </c>
      <c r="K1425">
        <f>IFERROR($J1425/IF($A1425&lt;COUNTIFS($K$1:K$1,"&lt;&gt;"),0,SUMIFS($J:$J,$B:$B,$B1425,$A:$A,"&gt;="&amp;COUNTIFS($K$1:K$1,"&lt;&gt;"))),0)</f>
        <v>8.8319088319088329E-2</v>
      </c>
      <c r="L1425">
        <f>IFERROR($J1425/IF($A1425&lt;COUNTIFS($K$1:L$1,"&lt;&gt;"),0,SUMIFS($J:$J,$B:$B,$B1425,$A:$A,"&gt;="&amp;COUNTIFS($K$1:L$1,"&lt;&gt;"))),0)</f>
        <v>9.6875000000000017E-2</v>
      </c>
      <c r="M1425">
        <f>IFERROR($J1425/IF($A1425&lt;COUNTIFS($K$1:M$1,"&lt;&gt;"),0,SUMIFS($J:$J,$B:$B,$B1425,$A:$A,"&gt;="&amp;COUNTIFS($K$1:M$1,"&lt;&gt;"))),0)</f>
        <v>0.10689655172413795</v>
      </c>
      <c r="N1425">
        <f>IFERROR($J1425/IF($A1425&lt;COUNTIFS($K$1:N$1,"&lt;&gt;"),0,SUMIFS($J:$J,$B:$B,$B1425,$A:$A,"&gt;="&amp;COUNTIFS($K$1:N$1,"&lt;&gt;"))),0)</f>
        <v>0.11969111969111972</v>
      </c>
      <c r="O1425">
        <f>IFERROR($J1425/IF($A1425&lt;COUNTIFS($K$1:O$1,"&lt;&gt;"),0,SUMIFS($J:$J,$B:$B,$B1425,$A:$A,"&gt;="&amp;COUNTIFS($K$1:O$1,"&lt;&gt;"))),0)</f>
        <v>0.13537117903930135</v>
      </c>
      <c r="P1425">
        <f>IFERROR($J1425/IF($A1425&lt;COUNTIFS($K$1:P$1,"&lt;&gt;"),0,SUMIFS($J:$J,$B:$B,$B1425,$A:$A,"&gt;="&amp;COUNTIFS($K$1:P$1,"&lt;&gt;"))),0)</f>
        <v>0.1565656565656566</v>
      </c>
      <c r="Q1425">
        <f>IFERROR($J1425/IF($A1425&lt;COUNTIFS($K$1:Q$1,"&lt;&gt;"),0,SUMIFS($J:$J,$B:$B,$B1425,$A:$A,"&gt;="&amp;COUNTIFS($K$1:Q$1,"&lt;&gt;"))),0)</f>
        <v>0</v>
      </c>
      <c r="R1425">
        <f>IFERROR($J1425/IF($A1425&lt;COUNTIFS($K$1:R$1,"&lt;&gt;"),0,SUMIFS($J:$J,$B:$B,$B1425,$A:$A,"&gt;="&amp;COUNTIFS($K$1:R$1,"&lt;&gt;"))),0)</f>
        <v>0</v>
      </c>
      <c r="S1425">
        <f>IFERROR($J1425/IF($A1425&lt;COUNTIFS($K$1:S$1,"&lt;&gt;"),0,SUMIFS($J:$J,$B:$B,$B1425,$A:$A,"&gt;="&amp;COUNTIFS($K$1:S$1,"&lt;&gt;"))),0)</f>
        <v>0</v>
      </c>
      <c r="T1425">
        <f>IFERROR($J1425/IF($A1425&lt;COUNTIFS($K$1:T$1,"&lt;&gt;"),0,SUMIFS($J:$J,$B:$B,$B1425,$A:$A,"&gt;="&amp;COUNTIFS($K$1:T$1,"&lt;&gt;"))),0)</f>
        <v>0</v>
      </c>
      <c r="U1425">
        <f>IFERROR($J1425/IF($A1425&lt;COUNTIFS($K$1:U$1,"&lt;&gt;"),0,SUMIFS($J:$J,$B:$B,$B1425,$A:$A,"&gt;="&amp;COUNTIFS($K$1:U$1,"&lt;&gt;"))),0)</f>
        <v>0</v>
      </c>
      <c r="V1425">
        <f>IFERROR($J1425/IF($A1425&lt;COUNTIFS($K$1:V$1,"&lt;&gt;"),0,SUMIFS($J:$J,$B:$B,$B1425,$A:$A,"&gt;="&amp;COUNTIFS($K$1:V$1,"&lt;&gt;"))),0)</f>
        <v>0</v>
      </c>
      <c r="W1425">
        <f t="shared" si="508"/>
        <v>8.4931506849315067E-2</v>
      </c>
      <c r="X1425">
        <f t="shared" si="488"/>
        <v>8.4931506849315067E-2</v>
      </c>
      <c r="Y1425">
        <f t="shared" si="489"/>
        <v>8.4931506849315067E-2</v>
      </c>
      <c r="Z1425">
        <f t="shared" si="490"/>
        <v>8.4931506849315067E-2</v>
      </c>
      <c r="AA1425">
        <f t="shared" si="491"/>
        <v>8.4931506849315067E-2</v>
      </c>
      <c r="AB1425">
        <f t="shared" si="492"/>
        <v>8.4931506849315067E-2</v>
      </c>
      <c r="AC1425">
        <f t="shared" si="493"/>
        <v>8.4931506849315067E-2</v>
      </c>
      <c r="AD1425">
        <f t="shared" si="494"/>
        <v>0</v>
      </c>
      <c r="AE1425">
        <f t="shared" si="495"/>
        <v>0</v>
      </c>
      <c r="AF1425">
        <f t="shared" si="496"/>
        <v>0</v>
      </c>
      <c r="AG1425">
        <f t="shared" si="497"/>
        <v>0</v>
      </c>
      <c r="AH1425">
        <f t="shared" si="498"/>
        <v>0</v>
      </c>
      <c r="AI1425">
        <f t="shared" si="499"/>
        <v>0</v>
      </c>
      <c r="AJ1425" s="2" t="str">
        <f t="shared" si="509"/>
        <v>647150</v>
      </c>
    </row>
    <row r="1426" spans="1:36" x14ac:dyDescent="0.25">
      <c r="A1426">
        <v>7</v>
      </c>
      <c r="B1426" s="1">
        <v>47150</v>
      </c>
      <c r="C1426" s="1">
        <f t="shared" si="500"/>
        <v>47362</v>
      </c>
      <c r="D1426" s="1">
        <f t="shared" si="501"/>
        <v>47164</v>
      </c>
      <c r="E1426" s="1">
        <f t="shared" si="502"/>
        <v>47362</v>
      </c>
      <c r="F1426" s="1">
        <f t="shared" si="503"/>
        <v>47392</v>
      </c>
      <c r="G1426" s="1">
        <f t="shared" si="504"/>
        <v>47529</v>
      </c>
      <c r="H1426">
        <f t="shared" si="505"/>
        <v>365</v>
      </c>
      <c r="I1426">
        <f t="shared" si="506"/>
        <v>30</v>
      </c>
      <c r="J1426">
        <f t="shared" si="507"/>
        <v>8.2191780821917804E-2</v>
      </c>
      <c r="K1426">
        <f>IFERROR($J1426/IF($A1426&lt;COUNTIFS($K$1:K$1,"&lt;&gt;"),0,SUMIFS($J:$J,$B:$B,$B1426,$A:$A,"&gt;="&amp;COUNTIFS($K$1:K$1,"&lt;&gt;"))),0)</f>
        <v>8.5470085470085486E-2</v>
      </c>
      <c r="L1426">
        <f>IFERROR($J1426/IF($A1426&lt;COUNTIFS($K$1:L$1,"&lt;&gt;"),0,SUMIFS($J:$J,$B:$B,$B1426,$A:$A,"&gt;="&amp;COUNTIFS($K$1:L$1,"&lt;&gt;"))),0)</f>
        <v>9.3750000000000014E-2</v>
      </c>
      <c r="M1426">
        <f>IFERROR($J1426/IF($A1426&lt;COUNTIFS($K$1:M$1,"&lt;&gt;"),0,SUMIFS($J:$J,$B:$B,$B1426,$A:$A,"&gt;="&amp;COUNTIFS($K$1:M$1,"&lt;&gt;"))),0)</f>
        <v>0.10344827586206898</v>
      </c>
      <c r="N1426">
        <f>IFERROR($J1426/IF($A1426&lt;COUNTIFS($K$1:N$1,"&lt;&gt;"),0,SUMIFS($J:$J,$B:$B,$B1426,$A:$A,"&gt;="&amp;COUNTIFS($K$1:N$1,"&lt;&gt;"))),0)</f>
        <v>0.11583011583011585</v>
      </c>
      <c r="O1426">
        <f>IFERROR($J1426/IF($A1426&lt;COUNTIFS($K$1:O$1,"&lt;&gt;"),0,SUMIFS($J:$J,$B:$B,$B1426,$A:$A,"&gt;="&amp;COUNTIFS($K$1:O$1,"&lt;&gt;"))),0)</f>
        <v>0.1310043668122271</v>
      </c>
      <c r="P1426">
        <f>IFERROR($J1426/IF($A1426&lt;COUNTIFS($K$1:P$1,"&lt;&gt;"),0,SUMIFS($J:$J,$B:$B,$B1426,$A:$A,"&gt;="&amp;COUNTIFS($K$1:P$1,"&lt;&gt;"))),0)</f>
        <v>0.15151515151515155</v>
      </c>
      <c r="Q1426">
        <f>IFERROR($J1426/IF($A1426&lt;COUNTIFS($K$1:Q$1,"&lt;&gt;"),0,SUMIFS($J:$J,$B:$B,$B1426,$A:$A,"&gt;="&amp;COUNTIFS($K$1:Q$1,"&lt;&gt;"))),0)</f>
        <v>0.17964071856287425</v>
      </c>
      <c r="R1426">
        <f>IFERROR($J1426/IF($A1426&lt;COUNTIFS($K$1:R$1,"&lt;&gt;"),0,SUMIFS($J:$J,$B:$B,$B1426,$A:$A,"&gt;="&amp;COUNTIFS($K$1:R$1,"&lt;&gt;"))),0)</f>
        <v>0</v>
      </c>
      <c r="S1426">
        <f>IFERROR($J1426/IF($A1426&lt;COUNTIFS($K$1:S$1,"&lt;&gt;"),0,SUMIFS($J:$J,$B:$B,$B1426,$A:$A,"&gt;="&amp;COUNTIFS($K$1:S$1,"&lt;&gt;"))),0)</f>
        <v>0</v>
      </c>
      <c r="T1426">
        <f>IFERROR($J1426/IF($A1426&lt;COUNTIFS($K$1:T$1,"&lt;&gt;"),0,SUMIFS($J:$J,$B:$B,$B1426,$A:$A,"&gt;="&amp;COUNTIFS($K$1:T$1,"&lt;&gt;"))),0)</f>
        <v>0</v>
      </c>
      <c r="U1426">
        <f>IFERROR($J1426/IF($A1426&lt;COUNTIFS($K$1:U$1,"&lt;&gt;"),0,SUMIFS($J:$J,$B:$B,$B1426,$A:$A,"&gt;="&amp;COUNTIFS($K$1:U$1,"&lt;&gt;"))),0)</f>
        <v>0</v>
      </c>
      <c r="V1426">
        <f>IFERROR($J1426/IF($A1426&lt;COUNTIFS($K$1:V$1,"&lt;&gt;"),0,SUMIFS($J:$J,$B:$B,$B1426,$A:$A,"&gt;="&amp;COUNTIFS($K$1:V$1,"&lt;&gt;"))),0)</f>
        <v>0</v>
      </c>
      <c r="W1426">
        <f t="shared" si="508"/>
        <v>8.2191780821917804E-2</v>
      </c>
      <c r="X1426">
        <f t="shared" si="488"/>
        <v>8.2191780821917804E-2</v>
      </c>
      <c r="Y1426">
        <f t="shared" si="489"/>
        <v>8.2191780821917804E-2</v>
      </c>
      <c r="Z1426">
        <f t="shared" si="490"/>
        <v>8.2191780821917804E-2</v>
      </c>
      <c r="AA1426">
        <f t="shared" si="491"/>
        <v>8.2191780821917804E-2</v>
      </c>
      <c r="AB1426">
        <f t="shared" si="492"/>
        <v>8.2191780821917804E-2</v>
      </c>
      <c r="AC1426">
        <f t="shared" si="493"/>
        <v>8.2191780821917804E-2</v>
      </c>
      <c r="AD1426">
        <f t="shared" si="494"/>
        <v>8.2191780821917804E-2</v>
      </c>
      <c r="AE1426">
        <f t="shared" si="495"/>
        <v>0</v>
      </c>
      <c r="AF1426">
        <f t="shared" si="496"/>
        <v>0</v>
      </c>
      <c r="AG1426">
        <f t="shared" si="497"/>
        <v>0</v>
      </c>
      <c r="AH1426">
        <f t="shared" si="498"/>
        <v>0</v>
      </c>
      <c r="AI1426">
        <f t="shared" si="499"/>
        <v>0</v>
      </c>
      <c r="AJ1426" s="2" t="str">
        <f t="shared" si="509"/>
        <v>747150</v>
      </c>
    </row>
    <row r="1427" spans="1:36" x14ac:dyDescent="0.25">
      <c r="A1427">
        <v>8</v>
      </c>
      <c r="B1427" s="1">
        <v>47150</v>
      </c>
      <c r="C1427" s="1">
        <f t="shared" si="500"/>
        <v>47392</v>
      </c>
      <c r="D1427" s="1">
        <f t="shared" si="501"/>
        <v>47164</v>
      </c>
      <c r="E1427" s="1">
        <f t="shared" si="502"/>
        <v>47392</v>
      </c>
      <c r="F1427" s="1">
        <f t="shared" si="503"/>
        <v>47423</v>
      </c>
      <c r="G1427" s="1">
        <f t="shared" si="504"/>
        <v>47529</v>
      </c>
      <c r="H1427">
        <f t="shared" si="505"/>
        <v>365</v>
      </c>
      <c r="I1427">
        <f t="shared" si="506"/>
        <v>31</v>
      </c>
      <c r="J1427">
        <f t="shared" si="507"/>
        <v>8.4931506849315067E-2</v>
      </c>
      <c r="K1427">
        <f>IFERROR($J1427/IF($A1427&lt;COUNTIFS($K$1:K$1,"&lt;&gt;"),0,SUMIFS($J:$J,$B:$B,$B1427,$A:$A,"&gt;="&amp;COUNTIFS($K$1:K$1,"&lt;&gt;"))),0)</f>
        <v>8.8319088319088329E-2</v>
      </c>
      <c r="L1427">
        <f>IFERROR($J1427/IF($A1427&lt;COUNTIFS($K$1:L$1,"&lt;&gt;"),0,SUMIFS($J:$J,$B:$B,$B1427,$A:$A,"&gt;="&amp;COUNTIFS($K$1:L$1,"&lt;&gt;"))),0)</f>
        <v>9.6875000000000017E-2</v>
      </c>
      <c r="M1427">
        <f>IFERROR($J1427/IF($A1427&lt;COUNTIFS($K$1:M$1,"&lt;&gt;"),0,SUMIFS($J:$J,$B:$B,$B1427,$A:$A,"&gt;="&amp;COUNTIFS($K$1:M$1,"&lt;&gt;"))),0)</f>
        <v>0.10689655172413795</v>
      </c>
      <c r="N1427">
        <f>IFERROR($J1427/IF($A1427&lt;COUNTIFS($K$1:N$1,"&lt;&gt;"),0,SUMIFS($J:$J,$B:$B,$B1427,$A:$A,"&gt;="&amp;COUNTIFS($K$1:N$1,"&lt;&gt;"))),0)</f>
        <v>0.11969111969111972</v>
      </c>
      <c r="O1427">
        <f>IFERROR($J1427/IF($A1427&lt;COUNTIFS($K$1:O$1,"&lt;&gt;"),0,SUMIFS($J:$J,$B:$B,$B1427,$A:$A,"&gt;="&amp;COUNTIFS($K$1:O$1,"&lt;&gt;"))),0)</f>
        <v>0.13537117903930135</v>
      </c>
      <c r="P1427">
        <f>IFERROR($J1427/IF($A1427&lt;COUNTIFS($K$1:P$1,"&lt;&gt;"),0,SUMIFS($J:$J,$B:$B,$B1427,$A:$A,"&gt;="&amp;COUNTIFS($K$1:P$1,"&lt;&gt;"))),0)</f>
        <v>0.1565656565656566</v>
      </c>
      <c r="Q1427">
        <f>IFERROR($J1427/IF($A1427&lt;COUNTIFS($K$1:Q$1,"&lt;&gt;"),0,SUMIFS($J:$J,$B:$B,$B1427,$A:$A,"&gt;="&amp;COUNTIFS($K$1:Q$1,"&lt;&gt;"))),0)</f>
        <v>0.18562874251497008</v>
      </c>
      <c r="R1427">
        <f>IFERROR($J1427/IF($A1427&lt;COUNTIFS($K$1:R$1,"&lt;&gt;"),0,SUMIFS($J:$J,$B:$B,$B1427,$A:$A,"&gt;="&amp;COUNTIFS($K$1:R$1,"&lt;&gt;"))),0)</f>
        <v>0.22627737226277375</v>
      </c>
      <c r="S1427">
        <f>IFERROR($J1427/IF($A1427&lt;COUNTIFS($K$1:S$1,"&lt;&gt;"),0,SUMIFS($J:$J,$B:$B,$B1427,$A:$A,"&gt;="&amp;COUNTIFS($K$1:S$1,"&lt;&gt;"))),0)</f>
        <v>0</v>
      </c>
      <c r="T1427">
        <f>IFERROR($J1427/IF($A1427&lt;COUNTIFS($K$1:T$1,"&lt;&gt;"),0,SUMIFS($J:$J,$B:$B,$B1427,$A:$A,"&gt;="&amp;COUNTIFS($K$1:T$1,"&lt;&gt;"))),0)</f>
        <v>0</v>
      </c>
      <c r="U1427">
        <f>IFERROR($J1427/IF($A1427&lt;COUNTIFS($K$1:U$1,"&lt;&gt;"),0,SUMIFS($J:$J,$B:$B,$B1427,$A:$A,"&gt;="&amp;COUNTIFS($K$1:U$1,"&lt;&gt;"))),0)</f>
        <v>0</v>
      </c>
      <c r="V1427">
        <f>IFERROR($J1427/IF($A1427&lt;COUNTIFS($K$1:V$1,"&lt;&gt;"),0,SUMIFS($J:$J,$B:$B,$B1427,$A:$A,"&gt;="&amp;COUNTIFS($K$1:V$1,"&lt;&gt;"))),0)</f>
        <v>0</v>
      </c>
      <c r="W1427">
        <f t="shared" si="508"/>
        <v>8.4931506849315067E-2</v>
      </c>
      <c r="X1427">
        <f t="shared" si="488"/>
        <v>8.4931506849315067E-2</v>
      </c>
      <c r="Y1427">
        <f t="shared" si="489"/>
        <v>8.4931506849315067E-2</v>
      </c>
      <c r="Z1427">
        <f t="shared" si="490"/>
        <v>8.4931506849315067E-2</v>
      </c>
      <c r="AA1427">
        <f t="shared" si="491"/>
        <v>8.4931506849315067E-2</v>
      </c>
      <c r="AB1427">
        <f t="shared" si="492"/>
        <v>8.4931506849315067E-2</v>
      </c>
      <c r="AC1427">
        <f t="shared" si="493"/>
        <v>8.4931506849315067E-2</v>
      </c>
      <c r="AD1427">
        <f t="shared" si="494"/>
        <v>8.4931506849315067E-2</v>
      </c>
      <c r="AE1427">
        <f t="shared" si="495"/>
        <v>8.4931506849315067E-2</v>
      </c>
      <c r="AF1427">
        <f t="shared" si="496"/>
        <v>0</v>
      </c>
      <c r="AG1427">
        <f t="shared" si="497"/>
        <v>0</v>
      </c>
      <c r="AH1427">
        <f t="shared" si="498"/>
        <v>0</v>
      </c>
      <c r="AI1427">
        <f t="shared" si="499"/>
        <v>0</v>
      </c>
      <c r="AJ1427" s="2" t="str">
        <f t="shared" si="509"/>
        <v>847150</v>
      </c>
    </row>
    <row r="1428" spans="1:36" x14ac:dyDescent="0.25">
      <c r="A1428">
        <v>9</v>
      </c>
      <c r="B1428" s="1">
        <v>47150</v>
      </c>
      <c r="C1428" s="1">
        <f t="shared" si="500"/>
        <v>47423</v>
      </c>
      <c r="D1428" s="1">
        <f t="shared" si="501"/>
        <v>47164</v>
      </c>
      <c r="E1428" s="1">
        <f t="shared" si="502"/>
        <v>47423</v>
      </c>
      <c r="F1428" s="1">
        <f t="shared" si="503"/>
        <v>47453</v>
      </c>
      <c r="G1428" s="1">
        <f t="shared" si="504"/>
        <v>47529</v>
      </c>
      <c r="H1428">
        <f t="shared" si="505"/>
        <v>365</v>
      </c>
      <c r="I1428">
        <f t="shared" si="506"/>
        <v>30</v>
      </c>
      <c r="J1428">
        <f t="shared" si="507"/>
        <v>8.2191780821917804E-2</v>
      </c>
      <c r="K1428">
        <f>IFERROR($J1428/IF($A1428&lt;COUNTIFS($K$1:K$1,"&lt;&gt;"),0,SUMIFS($J:$J,$B:$B,$B1428,$A:$A,"&gt;="&amp;COUNTIFS($K$1:K$1,"&lt;&gt;"))),0)</f>
        <v>8.5470085470085486E-2</v>
      </c>
      <c r="L1428">
        <f>IFERROR($J1428/IF($A1428&lt;COUNTIFS($K$1:L$1,"&lt;&gt;"),0,SUMIFS($J:$J,$B:$B,$B1428,$A:$A,"&gt;="&amp;COUNTIFS($K$1:L$1,"&lt;&gt;"))),0)</f>
        <v>9.3750000000000014E-2</v>
      </c>
      <c r="M1428">
        <f>IFERROR($J1428/IF($A1428&lt;COUNTIFS($K$1:M$1,"&lt;&gt;"),0,SUMIFS($J:$J,$B:$B,$B1428,$A:$A,"&gt;="&amp;COUNTIFS($K$1:M$1,"&lt;&gt;"))),0)</f>
        <v>0.10344827586206898</v>
      </c>
      <c r="N1428">
        <f>IFERROR($J1428/IF($A1428&lt;COUNTIFS($K$1:N$1,"&lt;&gt;"),0,SUMIFS($J:$J,$B:$B,$B1428,$A:$A,"&gt;="&amp;COUNTIFS($K$1:N$1,"&lt;&gt;"))),0)</f>
        <v>0.11583011583011585</v>
      </c>
      <c r="O1428">
        <f>IFERROR($J1428/IF($A1428&lt;COUNTIFS($K$1:O$1,"&lt;&gt;"),0,SUMIFS($J:$J,$B:$B,$B1428,$A:$A,"&gt;="&amp;COUNTIFS($K$1:O$1,"&lt;&gt;"))),0)</f>
        <v>0.1310043668122271</v>
      </c>
      <c r="P1428">
        <f>IFERROR($J1428/IF($A1428&lt;COUNTIFS($K$1:P$1,"&lt;&gt;"),0,SUMIFS($J:$J,$B:$B,$B1428,$A:$A,"&gt;="&amp;COUNTIFS($K$1:P$1,"&lt;&gt;"))),0)</f>
        <v>0.15151515151515155</v>
      </c>
      <c r="Q1428">
        <f>IFERROR($J1428/IF($A1428&lt;COUNTIFS($K$1:Q$1,"&lt;&gt;"),0,SUMIFS($J:$J,$B:$B,$B1428,$A:$A,"&gt;="&amp;COUNTIFS($K$1:Q$1,"&lt;&gt;"))),0)</f>
        <v>0.17964071856287425</v>
      </c>
      <c r="R1428">
        <f>IFERROR($J1428/IF($A1428&lt;COUNTIFS($K$1:R$1,"&lt;&gt;"),0,SUMIFS($J:$J,$B:$B,$B1428,$A:$A,"&gt;="&amp;COUNTIFS($K$1:R$1,"&lt;&gt;"))),0)</f>
        <v>0.21897810218978103</v>
      </c>
      <c r="S1428">
        <f>IFERROR($J1428/IF($A1428&lt;COUNTIFS($K$1:S$1,"&lt;&gt;"),0,SUMIFS($J:$J,$B:$B,$B1428,$A:$A,"&gt;="&amp;COUNTIFS($K$1:S$1,"&lt;&gt;"))),0)</f>
        <v>0.28301886792452829</v>
      </c>
      <c r="T1428">
        <f>IFERROR($J1428/IF($A1428&lt;COUNTIFS($K$1:T$1,"&lt;&gt;"),0,SUMIFS($J:$J,$B:$B,$B1428,$A:$A,"&gt;="&amp;COUNTIFS($K$1:T$1,"&lt;&gt;"))),0)</f>
        <v>0</v>
      </c>
      <c r="U1428">
        <f>IFERROR($J1428/IF($A1428&lt;COUNTIFS($K$1:U$1,"&lt;&gt;"),0,SUMIFS($J:$J,$B:$B,$B1428,$A:$A,"&gt;="&amp;COUNTIFS($K$1:U$1,"&lt;&gt;"))),0)</f>
        <v>0</v>
      </c>
      <c r="V1428">
        <f>IFERROR($J1428/IF($A1428&lt;COUNTIFS($K$1:V$1,"&lt;&gt;"),0,SUMIFS($J:$J,$B:$B,$B1428,$A:$A,"&gt;="&amp;COUNTIFS($K$1:V$1,"&lt;&gt;"))),0)</f>
        <v>0</v>
      </c>
      <c r="W1428">
        <f t="shared" si="508"/>
        <v>8.2191780821917804E-2</v>
      </c>
      <c r="X1428">
        <f t="shared" si="488"/>
        <v>8.2191780821917804E-2</v>
      </c>
      <c r="Y1428">
        <f t="shared" si="489"/>
        <v>8.2191780821917804E-2</v>
      </c>
      <c r="Z1428">
        <f t="shared" si="490"/>
        <v>8.2191780821917804E-2</v>
      </c>
      <c r="AA1428">
        <f t="shared" si="491"/>
        <v>8.2191780821917804E-2</v>
      </c>
      <c r="AB1428">
        <f t="shared" si="492"/>
        <v>8.2191780821917804E-2</v>
      </c>
      <c r="AC1428">
        <f t="shared" si="493"/>
        <v>8.2191780821917804E-2</v>
      </c>
      <c r="AD1428">
        <f t="shared" si="494"/>
        <v>8.2191780821917804E-2</v>
      </c>
      <c r="AE1428">
        <f t="shared" si="495"/>
        <v>8.2191780821917804E-2</v>
      </c>
      <c r="AF1428">
        <f t="shared" si="496"/>
        <v>8.2191780821917804E-2</v>
      </c>
      <c r="AG1428">
        <f t="shared" si="497"/>
        <v>0</v>
      </c>
      <c r="AH1428">
        <f t="shared" si="498"/>
        <v>0</v>
      </c>
      <c r="AI1428">
        <f t="shared" si="499"/>
        <v>0</v>
      </c>
      <c r="AJ1428" s="2" t="str">
        <f t="shared" si="509"/>
        <v>947150</v>
      </c>
    </row>
    <row r="1429" spans="1:36" x14ac:dyDescent="0.25">
      <c r="A1429">
        <v>10</v>
      </c>
      <c r="B1429" s="1">
        <v>47150</v>
      </c>
      <c r="C1429" s="1">
        <f t="shared" si="500"/>
        <v>47453</v>
      </c>
      <c r="D1429" s="1">
        <f t="shared" si="501"/>
        <v>47164</v>
      </c>
      <c r="E1429" s="1">
        <f t="shared" si="502"/>
        <v>47453</v>
      </c>
      <c r="F1429" s="1">
        <f t="shared" si="503"/>
        <v>47484</v>
      </c>
      <c r="G1429" s="1">
        <f t="shared" si="504"/>
        <v>47529</v>
      </c>
      <c r="H1429">
        <f t="shared" si="505"/>
        <v>365</v>
      </c>
      <c r="I1429">
        <f t="shared" si="506"/>
        <v>31</v>
      </c>
      <c r="J1429">
        <f t="shared" si="507"/>
        <v>8.4931506849315067E-2</v>
      </c>
      <c r="K1429">
        <f>IFERROR($J1429/IF($A1429&lt;COUNTIFS($K$1:K$1,"&lt;&gt;"),0,SUMIFS($J:$J,$B:$B,$B1429,$A:$A,"&gt;="&amp;COUNTIFS($K$1:K$1,"&lt;&gt;"))),0)</f>
        <v>8.8319088319088329E-2</v>
      </c>
      <c r="L1429">
        <f>IFERROR($J1429/IF($A1429&lt;COUNTIFS($K$1:L$1,"&lt;&gt;"),0,SUMIFS($J:$J,$B:$B,$B1429,$A:$A,"&gt;="&amp;COUNTIFS($K$1:L$1,"&lt;&gt;"))),0)</f>
        <v>9.6875000000000017E-2</v>
      </c>
      <c r="M1429">
        <f>IFERROR($J1429/IF($A1429&lt;COUNTIFS($K$1:M$1,"&lt;&gt;"),0,SUMIFS($J:$J,$B:$B,$B1429,$A:$A,"&gt;="&amp;COUNTIFS($K$1:M$1,"&lt;&gt;"))),0)</f>
        <v>0.10689655172413795</v>
      </c>
      <c r="N1429">
        <f>IFERROR($J1429/IF($A1429&lt;COUNTIFS($K$1:N$1,"&lt;&gt;"),0,SUMIFS($J:$J,$B:$B,$B1429,$A:$A,"&gt;="&amp;COUNTIFS($K$1:N$1,"&lt;&gt;"))),0)</f>
        <v>0.11969111969111972</v>
      </c>
      <c r="O1429">
        <f>IFERROR($J1429/IF($A1429&lt;COUNTIFS($K$1:O$1,"&lt;&gt;"),0,SUMIFS($J:$J,$B:$B,$B1429,$A:$A,"&gt;="&amp;COUNTIFS($K$1:O$1,"&lt;&gt;"))),0)</f>
        <v>0.13537117903930135</v>
      </c>
      <c r="P1429">
        <f>IFERROR($J1429/IF($A1429&lt;COUNTIFS($K$1:P$1,"&lt;&gt;"),0,SUMIFS($J:$J,$B:$B,$B1429,$A:$A,"&gt;="&amp;COUNTIFS($K$1:P$1,"&lt;&gt;"))),0)</f>
        <v>0.1565656565656566</v>
      </c>
      <c r="Q1429">
        <f>IFERROR($J1429/IF($A1429&lt;COUNTIFS($K$1:Q$1,"&lt;&gt;"),0,SUMIFS($J:$J,$B:$B,$B1429,$A:$A,"&gt;="&amp;COUNTIFS($K$1:Q$1,"&lt;&gt;"))),0)</f>
        <v>0.18562874251497008</v>
      </c>
      <c r="R1429">
        <f>IFERROR($J1429/IF($A1429&lt;COUNTIFS($K$1:R$1,"&lt;&gt;"),0,SUMIFS($J:$J,$B:$B,$B1429,$A:$A,"&gt;="&amp;COUNTIFS($K$1:R$1,"&lt;&gt;"))),0)</f>
        <v>0.22627737226277375</v>
      </c>
      <c r="S1429">
        <f>IFERROR($J1429/IF($A1429&lt;COUNTIFS($K$1:S$1,"&lt;&gt;"),0,SUMIFS($J:$J,$B:$B,$B1429,$A:$A,"&gt;="&amp;COUNTIFS($K$1:S$1,"&lt;&gt;"))),0)</f>
        <v>0.29245283018867929</v>
      </c>
      <c r="T1429">
        <f>IFERROR($J1429/IF($A1429&lt;COUNTIFS($K$1:T$1,"&lt;&gt;"),0,SUMIFS($J:$J,$B:$B,$B1429,$A:$A,"&gt;="&amp;COUNTIFS($K$1:T$1,"&lt;&gt;"))),0)</f>
        <v>0.40789473684210525</v>
      </c>
      <c r="U1429">
        <f>IFERROR($J1429/IF($A1429&lt;COUNTIFS($K$1:U$1,"&lt;&gt;"),0,SUMIFS($J:$J,$B:$B,$B1429,$A:$A,"&gt;="&amp;COUNTIFS($K$1:U$1,"&lt;&gt;"))),0)</f>
        <v>0</v>
      </c>
      <c r="V1429">
        <f>IFERROR($J1429/IF($A1429&lt;COUNTIFS($K$1:V$1,"&lt;&gt;"),0,SUMIFS($J:$J,$B:$B,$B1429,$A:$A,"&gt;="&amp;COUNTIFS($K$1:V$1,"&lt;&gt;"))),0)</f>
        <v>0</v>
      </c>
      <c r="W1429">
        <f t="shared" si="508"/>
        <v>8.4931506849315067E-2</v>
      </c>
      <c r="X1429">
        <f t="shared" si="488"/>
        <v>8.4931506849315067E-2</v>
      </c>
      <c r="Y1429">
        <f t="shared" si="489"/>
        <v>8.4931506849315067E-2</v>
      </c>
      <c r="Z1429">
        <f t="shared" si="490"/>
        <v>8.4931506849315067E-2</v>
      </c>
      <c r="AA1429">
        <f t="shared" si="491"/>
        <v>8.4931506849315067E-2</v>
      </c>
      <c r="AB1429">
        <f t="shared" si="492"/>
        <v>8.4931506849315067E-2</v>
      </c>
      <c r="AC1429">
        <f t="shared" si="493"/>
        <v>8.4931506849315067E-2</v>
      </c>
      <c r="AD1429">
        <f t="shared" si="494"/>
        <v>8.4931506849315067E-2</v>
      </c>
      <c r="AE1429">
        <f t="shared" si="495"/>
        <v>8.4931506849315067E-2</v>
      </c>
      <c r="AF1429">
        <f t="shared" si="496"/>
        <v>8.4931506849315067E-2</v>
      </c>
      <c r="AG1429">
        <f t="shared" si="497"/>
        <v>8.4931506849315067E-2</v>
      </c>
      <c r="AH1429">
        <f t="shared" si="498"/>
        <v>0</v>
      </c>
      <c r="AI1429">
        <f t="shared" si="499"/>
        <v>0</v>
      </c>
      <c r="AJ1429" s="2" t="str">
        <f t="shared" si="509"/>
        <v>1047150</v>
      </c>
    </row>
    <row r="1430" spans="1:36" x14ac:dyDescent="0.25">
      <c r="A1430">
        <v>11</v>
      </c>
      <c r="B1430" s="1">
        <v>47150</v>
      </c>
      <c r="C1430" s="1">
        <f t="shared" si="500"/>
        <v>47484</v>
      </c>
      <c r="D1430" s="1">
        <f t="shared" si="501"/>
        <v>47164</v>
      </c>
      <c r="E1430" s="1">
        <f t="shared" si="502"/>
        <v>47484</v>
      </c>
      <c r="F1430" s="1">
        <f t="shared" si="503"/>
        <v>47515</v>
      </c>
      <c r="G1430" s="1">
        <f t="shared" si="504"/>
        <v>47529</v>
      </c>
      <c r="H1430">
        <f t="shared" si="505"/>
        <v>365</v>
      </c>
      <c r="I1430">
        <f t="shared" si="506"/>
        <v>31</v>
      </c>
      <c r="J1430">
        <f t="shared" si="507"/>
        <v>8.4931506849315067E-2</v>
      </c>
      <c r="K1430">
        <f>IFERROR($J1430/IF($A1430&lt;COUNTIFS($K$1:K$1,"&lt;&gt;"),0,SUMIFS($J:$J,$B:$B,$B1430,$A:$A,"&gt;="&amp;COUNTIFS($K$1:K$1,"&lt;&gt;"))),0)</f>
        <v>8.8319088319088329E-2</v>
      </c>
      <c r="L1430">
        <f>IFERROR($J1430/IF($A1430&lt;COUNTIFS($K$1:L$1,"&lt;&gt;"),0,SUMIFS($J:$J,$B:$B,$B1430,$A:$A,"&gt;="&amp;COUNTIFS($K$1:L$1,"&lt;&gt;"))),0)</f>
        <v>9.6875000000000017E-2</v>
      </c>
      <c r="M1430">
        <f>IFERROR($J1430/IF($A1430&lt;COUNTIFS($K$1:M$1,"&lt;&gt;"),0,SUMIFS($J:$J,$B:$B,$B1430,$A:$A,"&gt;="&amp;COUNTIFS($K$1:M$1,"&lt;&gt;"))),0)</f>
        <v>0.10689655172413795</v>
      </c>
      <c r="N1430">
        <f>IFERROR($J1430/IF($A1430&lt;COUNTIFS($K$1:N$1,"&lt;&gt;"),0,SUMIFS($J:$J,$B:$B,$B1430,$A:$A,"&gt;="&amp;COUNTIFS($K$1:N$1,"&lt;&gt;"))),0)</f>
        <v>0.11969111969111972</v>
      </c>
      <c r="O1430">
        <f>IFERROR($J1430/IF($A1430&lt;COUNTIFS($K$1:O$1,"&lt;&gt;"),0,SUMIFS($J:$J,$B:$B,$B1430,$A:$A,"&gt;="&amp;COUNTIFS($K$1:O$1,"&lt;&gt;"))),0)</f>
        <v>0.13537117903930135</v>
      </c>
      <c r="P1430">
        <f>IFERROR($J1430/IF($A1430&lt;COUNTIFS($K$1:P$1,"&lt;&gt;"),0,SUMIFS($J:$J,$B:$B,$B1430,$A:$A,"&gt;="&amp;COUNTIFS($K$1:P$1,"&lt;&gt;"))),0)</f>
        <v>0.1565656565656566</v>
      </c>
      <c r="Q1430">
        <f>IFERROR($J1430/IF($A1430&lt;COUNTIFS($K$1:Q$1,"&lt;&gt;"),0,SUMIFS($J:$J,$B:$B,$B1430,$A:$A,"&gt;="&amp;COUNTIFS($K$1:Q$1,"&lt;&gt;"))),0)</f>
        <v>0.18562874251497008</v>
      </c>
      <c r="R1430">
        <f>IFERROR($J1430/IF($A1430&lt;COUNTIFS($K$1:R$1,"&lt;&gt;"),0,SUMIFS($J:$J,$B:$B,$B1430,$A:$A,"&gt;="&amp;COUNTIFS($K$1:R$1,"&lt;&gt;"))),0)</f>
        <v>0.22627737226277375</v>
      </c>
      <c r="S1430">
        <f>IFERROR($J1430/IF($A1430&lt;COUNTIFS($K$1:S$1,"&lt;&gt;"),0,SUMIFS($J:$J,$B:$B,$B1430,$A:$A,"&gt;="&amp;COUNTIFS($K$1:S$1,"&lt;&gt;"))),0)</f>
        <v>0.29245283018867929</v>
      </c>
      <c r="T1430">
        <f>IFERROR($J1430/IF($A1430&lt;COUNTIFS($K$1:T$1,"&lt;&gt;"),0,SUMIFS($J:$J,$B:$B,$B1430,$A:$A,"&gt;="&amp;COUNTIFS($K$1:T$1,"&lt;&gt;"))),0)</f>
        <v>0.40789473684210525</v>
      </c>
      <c r="U1430">
        <f>IFERROR($J1430/IF($A1430&lt;COUNTIFS($K$1:U$1,"&lt;&gt;"),0,SUMIFS($J:$J,$B:$B,$B1430,$A:$A,"&gt;="&amp;COUNTIFS($K$1:U$1,"&lt;&gt;"))),0)</f>
        <v>0.68888888888888888</v>
      </c>
      <c r="V1430">
        <f>IFERROR($J1430/IF($A1430&lt;COUNTIFS($K$1:V$1,"&lt;&gt;"),0,SUMIFS($J:$J,$B:$B,$B1430,$A:$A,"&gt;="&amp;COUNTIFS($K$1:V$1,"&lt;&gt;"))),0)</f>
        <v>0</v>
      </c>
      <c r="W1430">
        <f t="shared" si="508"/>
        <v>8.4931506849315067E-2</v>
      </c>
      <c r="X1430">
        <f t="shared" si="488"/>
        <v>8.4931506849315067E-2</v>
      </c>
      <c r="Y1430">
        <f t="shared" si="489"/>
        <v>8.4931506849315067E-2</v>
      </c>
      <c r="Z1430">
        <f t="shared" si="490"/>
        <v>8.4931506849315067E-2</v>
      </c>
      <c r="AA1430">
        <f t="shared" si="491"/>
        <v>8.4931506849315067E-2</v>
      </c>
      <c r="AB1430">
        <f t="shared" si="492"/>
        <v>8.4931506849315067E-2</v>
      </c>
      <c r="AC1430">
        <f t="shared" si="493"/>
        <v>8.4931506849315067E-2</v>
      </c>
      <c r="AD1430">
        <f t="shared" si="494"/>
        <v>8.4931506849315067E-2</v>
      </c>
      <c r="AE1430">
        <f t="shared" si="495"/>
        <v>8.4931506849315067E-2</v>
      </c>
      <c r="AF1430">
        <f t="shared" si="496"/>
        <v>8.4931506849315067E-2</v>
      </c>
      <c r="AG1430">
        <f t="shared" si="497"/>
        <v>8.4931506849315067E-2</v>
      </c>
      <c r="AH1430">
        <f t="shared" si="498"/>
        <v>8.4931506849315067E-2</v>
      </c>
      <c r="AI1430">
        <f t="shared" si="499"/>
        <v>0</v>
      </c>
      <c r="AJ1430" s="2" t="str">
        <f t="shared" si="509"/>
        <v>1147150</v>
      </c>
    </row>
    <row r="1431" spans="1:36" x14ac:dyDescent="0.25">
      <c r="A1431">
        <v>12</v>
      </c>
      <c r="B1431" s="1">
        <v>47150</v>
      </c>
      <c r="C1431" s="1">
        <f t="shared" si="500"/>
        <v>47515</v>
      </c>
      <c r="D1431" s="1">
        <f t="shared" si="501"/>
        <v>47164</v>
      </c>
      <c r="E1431" s="1">
        <f t="shared" si="502"/>
        <v>47515</v>
      </c>
      <c r="F1431" s="1">
        <f t="shared" si="503"/>
        <v>47529</v>
      </c>
      <c r="G1431" s="1">
        <f t="shared" si="504"/>
        <v>47529</v>
      </c>
      <c r="H1431">
        <f t="shared" si="505"/>
        <v>365</v>
      </c>
      <c r="I1431">
        <f t="shared" si="506"/>
        <v>14</v>
      </c>
      <c r="J1431">
        <f t="shared" si="507"/>
        <v>3.8356164383561646E-2</v>
      </c>
      <c r="K1431">
        <f>IFERROR($J1431/IF($A1431&lt;COUNTIFS($K$1:K$1,"&lt;&gt;"),0,SUMIFS($J:$J,$B:$B,$B1431,$A:$A,"&gt;="&amp;COUNTIFS($K$1:K$1,"&lt;&gt;"))),0)</f>
        <v>3.9886039886039892E-2</v>
      </c>
      <c r="L1431">
        <f>IFERROR($J1431/IF($A1431&lt;COUNTIFS($K$1:L$1,"&lt;&gt;"),0,SUMIFS($J:$J,$B:$B,$B1431,$A:$A,"&gt;="&amp;COUNTIFS($K$1:L$1,"&lt;&gt;"))),0)</f>
        <v>4.3750000000000011E-2</v>
      </c>
      <c r="M1431">
        <f>IFERROR($J1431/IF($A1431&lt;COUNTIFS($K$1:M$1,"&lt;&gt;"),0,SUMIFS($J:$J,$B:$B,$B1431,$A:$A,"&gt;="&amp;COUNTIFS($K$1:M$1,"&lt;&gt;"))),0)</f>
        <v>4.827586206896553E-2</v>
      </c>
      <c r="N1431">
        <f>IFERROR($J1431/IF($A1431&lt;COUNTIFS($K$1:N$1,"&lt;&gt;"),0,SUMIFS($J:$J,$B:$B,$B1431,$A:$A,"&gt;="&amp;COUNTIFS($K$1:N$1,"&lt;&gt;"))),0)</f>
        <v>5.4054054054054071E-2</v>
      </c>
      <c r="O1431">
        <f>IFERROR($J1431/IF($A1431&lt;COUNTIFS($K$1:O$1,"&lt;&gt;"),0,SUMIFS($J:$J,$B:$B,$B1431,$A:$A,"&gt;="&amp;COUNTIFS($K$1:O$1,"&lt;&gt;"))),0)</f>
        <v>6.1135371179039319E-2</v>
      </c>
      <c r="P1431">
        <f>IFERROR($J1431/IF($A1431&lt;COUNTIFS($K$1:P$1,"&lt;&gt;"),0,SUMIFS($J:$J,$B:$B,$B1431,$A:$A,"&gt;="&amp;COUNTIFS($K$1:P$1,"&lt;&gt;"))),0)</f>
        <v>7.0707070707070732E-2</v>
      </c>
      <c r="Q1431">
        <f>IFERROR($J1431/IF($A1431&lt;COUNTIFS($K$1:Q$1,"&lt;&gt;"),0,SUMIFS($J:$J,$B:$B,$B1431,$A:$A,"&gt;="&amp;COUNTIFS($K$1:Q$1,"&lt;&gt;"))),0)</f>
        <v>8.3832335329341326E-2</v>
      </c>
      <c r="R1431">
        <f>IFERROR($J1431/IF($A1431&lt;COUNTIFS($K$1:R$1,"&lt;&gt;"),0,SUMIFS($J:$J,$B:$B,$B1431,$A:$A,"&gt;="&amp;COUNTIFS($K$1:R$1,"&lt;&gt;"))),0)</f>
        <v>0.10218978102189782</v>
      </c>
      <c r="S1431">
        <f>IFERROR($J1431/IF($A1431&lt;COUNTIFS($K$1:S$1,"&lt;&gt;"),0,SUMIFS($J:$J,$B:$B,$B1431,$A:$A,"&gt;="&amp;COUNTIFS($K$1:S$1,"&lt;&gt;"))),0)</f>
        <v>0.13207547169811323</v>
      </c>
      <c r="T1431">
        <f>IFERROR($J1431/IF($A1431&lt;COUNTIFS($K$1:T$1,"&lt;&gt;"),0,SUMIFS($J:$J,$B:$B,$B1431,$A:$A,"&gt;="&amp;COUNTIFS($K$1:T$1,"&lt;&gt;"))),0)</f>
        <v>0.18421052631578949</v>
      </c>
      <c r="U1431">
        <f>IFERROR($J1431/IF($A1431&lt;COUNTIFS($K$1:U$1,"&lt;&gt;"),0,SUMIFS($J:$J,$B:$B,$B1431,$A:$A,"&gt;="&amp;COUNTIFS($K$1:U$1,"&lt;&gt;"))),0)</f>
        <v>0.31111111111111117</v>
      </c>
      <c r="V1431">
        <f>IFERROR($J1431/IF($A1431&lt;COUNTIFS($K$1:V$1,"&lt;&gt;"),0,SUMIFS($J:$J,$B:$B,$B1431,$A:$A,"&gt;="&amp;COUNTIFS($K$1:V$1,"&lt;&gt;"))),0)</f>
        <v>1</v>
      </c>
      <c r="W1431">
        <f t="shared" si="508"/>
        <v>3.8356164383561646E-2</v>
      </c>
      <c r="X1431">
        <f t="shared" si="488"/>
        <v>3.8356164383561646E-2</v>
      </c>
      <c r="Y1431">
        <f t="shared" si="489"/>
        <v>3.8356164383561646E-2</v>
      </c>
      <c r="Z1431">
        <f t="shared" si="490"/>
        <v>3.8356164383561646E-2</v>
      </c>
      <c r="AA1431">
        <f t="shared" si="491"/>
        <v>3.8356164383561646E-2</v>
      </c>
      <c r="AB1431">
        <f t="shared" si="492"/>
        <v>3.8356164383561646E-2</v>
      </c>
      <c r="AC1431">
        <f t="shared" si="493"/>
        <v>3.8356164383561646E-2</v>
      </c>
      <c r="AD1431">
        <f t="shared" si="494"/>
        <v>3.8356164383561646E-2</v>
      </c>
      <c r="AE1431">
        <f t="shared" si="495"/>
        <v>3.8356164383561646E-2</v>
      </c>
      <c r="AF1431">
        <f t="shared" si="496"/>
        <v>3.8356164383561646E-2</v>
      </c>
      <c r="AG1431">
        <f t="shared" si="497"/>
        <v>3.8356164383561646E-2</v>
      </c>
      <c r="AH1431">
        <f t="shared" si="498"/>
        <v>3.8356164383561646E-2</v>
      </c>
      <c r="AI1431">
        <f t="shared" si="499"/>
        <v>3.8356164383561646E-2</v>
      </c>
      <c r="AJ1431" s="2" t="str">
        <f t="shared" si="509"/>
        <v>1247150</v>
      </c>
    </row>
    <row r="1432" spans="1:36" x14ac:dyDescent="0.25">
      <c r="A1432">
        <v>0</v>
      </c>
      <c r="B1432" s="1">
        <v>47178</v>
      </c>
      <c r="C1432" s="1">
        <f t="shared" si="500"/>
        <v>47178</v>
      </c>
      <c r="D1432" s="1">
        <f t="shared" si="501"/>
        <v>47192</v>
      </c>
      <c r="E1432" s="1">
        <f t="shared" si="502"/>
        <v>47192</v>
      </c>
      <c r="F1432" s="1">
        <f t="shared" si="503"/>
        <v>47209</v>
      </c>
      <c r="G1432" s="1">
        <f t="shared" si="504"/>
        <v>47557</v>
      </c>
      <c r="H1432">
        <f t="shared" si="505"/>
        <v>365</v>
      </c>
      <c r="I1432">
        <f t="shared" si="506"/>
        <v>17</v>
      </c>
      <c r="J1432">
        <f t="shared" si="507"/>
        <v>4.6575342465753428E-2</v>
      </c>
      <c r="K1432">
        <f>IFERROR($J1432/IF($A1432&lt;COUNTIFS($K$1:K$1,"&lt;&gt;"),0,SUMIFS($J:$J,$B:$B,$B1432,$A:$A,"&gt;="&amp;COUNTIFS($K$1:K$1,"&lt;&gt;"))),0)</f>
        <v>0</v>
      </c>
      <c r="L1432">
        <f>IFERROR($J1432/IF($A1432&lt;COUNTIFS($K$1:L$1,"&lt;&gt;"),0,SUMIFS($J:$J,$B:$B,$B1432,$A:$A,"&gt;="&amp;COUNTIFS($K$1:L$1,"&lt;&gt;"))),0)</f>
        <v>0</v>
      </c>
      <c r="M1432">
        <f>IFERROR($J1432/IF($A1432&lt;COUNTIFS($K$1:M$1,"&lt;&gt;"),0,SUMIFS($J:$J,$B:$B,$B1432,$A:$A,"&gt;="&amp;COUNTIFS($K$1:M$1,"&lt;&gt;"))),0)</f>
        <v>0</v>
      </c>
      <c r="N1432">
        <f>IFERROR($J1432/IF($A1432&lt;COUNTIFS($K$1:N$1,"&lt;&gt;"),0,SUMIFS($J:$J,$B:$B,$B1432,$A:$A,"&gt;="&amp;COUNTIFS($K$1:N$1,"&lt;&gt;"))),0)</f>
        <v>0</v>
      </c>
      <c r="O1432">
        <f>IFERROR($J1432/IF($A1432&lt;COUNTIFS($K$1:O$1,"&lt;&gt;"),0,SUMIFS($J:$J,$B:$B,$B1432,$A:$A,"&gt;="&amp;COUNTIFS($K$1:O$1,"&lt;&gt;"))),0)</f>
        <v>0</v>
      </c>
      <c r="P1432">
        <f>IFERROR($J1432/IF($A1432&lt;COUNTIFS($K$1:P$1,"&lt;&gt;"),0,SUMIFS($J:$J,$B:$B,$B1432,$A:$A,"&gt;="&amp;COUNTIFS($K$1:P$1,"&lt;&gt;"))),0)</f>
        <v>0</v>
      </c>
      <c r="Q1432">
        <f>IFERROR($J1432/IF($A1432&lt;COUNTIFS($K$1:Q$1,"&lt;&gt;"),0,SUMIFS($J:$J,$B:$B,$B1432,$A:$A,"&gt;="&amp;COUNTIFS($K$1:Q$1,"&lt;&gt;"))),0)</f>
        <v>0</v>
      </c>
      <c r="R1432">
        <f>IFERROR($J1432/IF($A1432&lt;COUNTIFS($K$1:R$1,"&lt;&gt;"),0,SUMIFS($J:$J,$B:$B,$B1432,$A:$A,"&gt;="&amp;COUNTIFS($K$1:R$1,"&lt;&gt;"))),0)</f>
        <v>0</v>
      </c>
      <c r="S1432">
        <f>IFERROR($J1432/IF($A1432&lt;COUNTIFS($K$1:S$1,"&lt;&gt;"),0,SUMIFS($J:$J,$B:$B,$B1432,$A:$A,"&gt;="&amp;COUNTIFS($K$1:S$1,"&lt;&gt;"))),0)</f>
        <v>0</v>
      </c>
      <c r="T1432">
        <f>IFERROR($J1432/IF($A1432&lt;COUNTIFS($K$1:T$1,"&lt;&gt;"),0,SUMIFS($J:$J,$B:$B,$B1432,$A:$A,"&gt;="&amp;COUNTIFS($K$1:T$1,"&lt;&gt;"))),0)</f>
        <v>0</v>
      </c>
      <c r="U1432">
        <f>IFERROR($J1432/IF($A1432&lt;COUNTIFS($K$1:U$1,"&lt;&gt;"),0,SUMIFS($J:$J,$B:$B,$B1432,$A:$A,"&gt;="&amp;COUNTIFS($K$1:U$1,"&lt;&gt;"))),0)</f>
        <v>0</v>
      </c>
      <c r="V1432">
        <f>IFERROR($J1432/IF($A1432&lt;COUNTIFS($K$1:V$1,"&lt;&gt;"),0,SUMIFS($J:$J,$B:$B,$B1432,$A:$A,"&gt;="&amp;COUNTIFS($K$1:V$1,"&lt;&gt;"))),0)</f>
        <v>0</v>
      </c>
      <c r="W1432">
        <f t="shared" si="508"/>
        <v>4.6575342465753428E-2</v>
      </c>
      <c r="X1432">
        <f t="shared" si="488"/>
        <v>0</v>
      </c>
      <c r="Y1432">
        <f t="shared" si="489"/>
        <v>0</v>
      </c>
      <c r="Z1432">
        <f t="shared" si="490"/>
        <v>0</v>
      </c>
      <c r="AA1432">
        <f t="shared" si="491"/>
        <v>0</v>
      </c>
      <c r="AB1432">
        <f t="shared" si="492"/>
        <v>0</v>
      </c>
      <c r="AC1432">
        <f t="shared" si="493"/>
        <v>0</v>
      </c>
      <c r="AD1432">
        <f t="shared" si="494"/>
        <v>0</v>
      </c>
      <c r="AE1432">
        <f t="shared" si="495"/>
        <v>0</v>
      </c>
      <c r="AF1432">
        <f t="shared" si="496"/>
        <v>0</v>
      </c>
      <c r="AG1432">
        <f t="shared" si="497"/>
        <v>0</v>
      </c>
      <c r="AH1432">
        <f t="shared" si="498"/>
        <v>0</v>
      </c>
      <c r="AI1432">
        <f t="shared" si="499"/>
        <v>0</v>
      </c>
      <c r="AJ1432" s="2" t="str">
        <f t="shared" si="509"/>
        <v>047178</v>
      </c>
    </row>
    <row r="1433" spans="1:36" x14ac:dyDescent="0.25">
      <c r="A1433">
        <v>1</v>
      </c>
      <c r="B1433" s="1">
        <v>47178</v>
      </c>
      <c r="C1433" s="1">
        <f t="shared" si="500"/>
        <v>47209</v>
      </c>
      <c r="D1433" s="1">
        <f t="shared" si="501"/>
        <v>47192</v>
      </c>
      <c r="E1433" s="1">
        <f t="shared" si="502"/>
        <v>47209</v>
      </c>
      <c r="F1433" s="1">
        <f t="shared" si="503"/>
        <v>47239</v>
      </c>
      <c r="G1433" s="1">
        <f t="shared" si="504"/>
        <v>47557</v>
      </c>
      <c r="H1433">
        <f t="shared" si="505"/>
        <v>365</v>
      </c>
      <c r="I1433">
        <f t="shared" si="506"/>
        <v>30</v>
      </c>
      <c r="J1433">
        <f t="shared" si="507"/>
        <v>8.2191780821917804E-2</v>
      </c>
      <c r="K1433">
        <f>IFERROR($J1433/IF($A1433&lt;COUNTIFS($K$1:K$1,"&lt;&gt;"),0,SUMIFS($J:$J,$B:$B,$B1433,$A:$A,"&gt;="&amp;COUNTIFS($K$1:K$1,"&lt;&gt;"))),0)</f>
        <v>8.6206896551724144E-2</v>
      </c>
      <c r="L1433">
        <f>IFERROR($J1433/IF($A1433&lt;COUNTIFS($K$1:L$1,"&lt;&gt;"),0,SUMIFS($J:$J,$B:$B,$B1433,$A:$A,"&gt;="&amp;COUNTIFS($K$1:L$1,"&lt;&gt;"))),0)</f>
        <v>0</v>
      </c>
      <c r="M1433">
        <f>IFERROR($J1433/IF($A1433&lt;COUNTIFS($K$1:M$1,"&lt;&gt;"),0,SUMIFS($J:$J,$B:$B,$B1433,$A:$A,"&gt;="&amp;COUNTIFS($K$1:M$1,"&lt;&gt;"))),0)</f>
        <v>0</v>
      </c>
      <c r="N1433">
        <f>IFERROR($J1433/IF($A1433&lt;COUNTIFS($K$1:N$1,"&lt;&gt;"),0,SUMIFS($J:$J,$B:$B,$B1433,$A:$A,"&gt;="&amp;COUNTIFS($K$1:N$1,"&lt;&gt;"))),0)</f>
        <v>0</v>
      </c>
      <c r="O1433">
        <f>IFERROR($J1433/IF($A1433&lt;COUNTIFS($K$1:O$1,"&lt;&gt;"),0,SUMIFS($J:$J,$B:$B,$B1433,$A:$A,"&gt;="&amp;COUNTIFS($K$1:O$1,"&lt;&gt;"))),0)</f>
        <v>0</v>
      </c>
      <c r="P1433">
        <f>IFERROR($J1433/IF($A1433&lt;COUNTIFS($K$1:P$1,"&lt;&gt;"),0,SUMIFS($J:$J,$B:$B,$B1433,$A:$A,"&gt;="&amp;COUNTIFS($K$1:P$1,"&lt;&gt;"))),0)</f>
        <v>0</v>
      </c>
      <c r="Q1433">
        <f>IFERROR($J1433/IF($A1433&lt;COUNTIFS($K$1:Q$1,"&lt;&gt;"),0,SUMIFS($J:$J,$B:$B,$B1433,$A:$A,"&gt;="&amp;COUNTIFS($K$1:Q$1,"&lt;&gt;"))),0)</f>
        <v>0</v>
      </c>
      <c r="R1433">
        <f>IFERROR($J1433/IF($A1433&lt;COUNTIFS($K$1:R$1,"&lt;&gt;"),0,SUMIFS($J:$J,$B:$B,$B1433,$A:$A,"&gt;="&amp;COUNTIFS($K$1:R$1,"&lt;&gt;"))),0)</f>
        <v>0</v>
      </c>
      <c r="S1433">
        <f>IFERROR($J1433/IF($A1433&lt;COUNTIFS($K$1:S$1,"&lt;&gt;"),0,SUMIFS($J:$J,$B:$B,$B1433,$A:$A,"&gt;="&amp;COUNTIFS($K$1:S$1,"&lt;&gt;"))),0)</f>
        <v>0</v>
      </c>
      <c r="T1433">
        <f>IFERROR($J1433/IF($A1433&lt;COUNTIFS($K$1:T$1,"&lt;&gt;"),0,SUMIFS($J:$J,$B:$B,$B1433,$A:$A,"&gt;="&amp;COUNTIFS($K$1:T$1,"&lt;&gt;"))),0)</f>
        <v>0</v>
      </c>
      <c r="U1433">
        <f>IFERROR($J1433/IF($A1433&lt;COUNTIFS($K$1:U$1,"&lt;&gt;"),0,SUMIFS($J:$J,$B:$B,$B1433,$A:$A,"&gt;="&amp;COUNTIFS($K$1:U$1,"&lt;&gt;"))),0)</f>
        <v>0</v>
      </c>
      <c r="V1433">
        <f>IFERROR($J1433/IF($A1433&lt;COUNTIFS($K$1:V$1,"&lt;&gt;"),0,SUMIFS($J:$J,$B:$B,$B1433,$A:$A,"&gt;="&amp;COUNTIFS($K$1:V$1,"&lt;&gt;"))),0)</f>
        <v>0</v>
      </c>
      <c r="W1433">
        <f t="shared" si="508"/>
        <v>8.2191780821917804E-2</v>
      </c>
      <c r="X1433">
        <f t="shared" si="488"/>
        <v>8.2191780821917804E-2</v>
      </c>
      <c r="Y1433">
        <f t="shared" si="489"/>
        <v>0</v>
      </c>
      <c r="Z1433">
        <f t="shared" si="490"/>
        <v>0</v>
      </c>
      <c r="AA1433">
        <f t="shared" si="491"/>
        <v>0</v>
      </c>
      <c r="AB1433">
        <f t="shared" si="492"/>
        <v>0</v>
      </c>
      <c r="AC1433">
        <f t="shared" si="493"/>
        <v>0</v>
      </c>
      <c r="AD1433">
        <f t="shared" si="494"/>
        <v>0</v>
      </c>
      <c r="AE1433">
        <f t="shared" si="495"/>
        <v>0</v>
      </c>
      <c r="AF1433">
        <f t="shared" si="496"/>
        <v>0</v>
      </c>
      <c r="AG1433">
        <f t="shared" si="497"/>
        <v>0</v>
      </c>
      <c r="AH1433">
        <f t="shared" si="498"/>
        <v>0</v>
      </c>
      <c r="AI1433">
        <f t="shared" si="499"/>
        <v>0</v>
      </c>
      <c r="AJ1433" s="2" t="str">
        <f t="shared" si="509"/>
        <v>147178</v>
      </c>
    </row>
    <row r="1434" spans="1:36" x14ac:dyDescent="0.25">
      <c r="A1434">
        <v>2</v>
      </c>
      <c r="B1434" s="1">
        <v>47178</v>
      </c>
      <c r="C1434" s="1">
        <f t="shared" si="500"/>
        <v>47239</v>
      </c>
      <c r="D1434" s="1">
        <f t="shared" si="501"/>
        <v>47192</v>
      </c>
      <c r="E1434" s="1">
        <f t="shared" si="502"/>
        <v>47239</v>
      </c>
      <c r="F1434" s="1">
        <f t="shared" si="503"/>
        <v>47270</v>
      </c>
      <c r="G1434" s="1">
        <f t="shared" si="504"/>
        <v>47557</v>
      </c>
      <c r="H1434">
        <f t="shared" si="505"/>
        <v>365</v>
      </c>
      <c r="I1434">
        <f t="shared" si="506"/>
        <v>31</v>
      </c>
      <c r="J1434">
        <f t="shared" si="507"/>
        <v>8.4931506849315067E-2</v>
      </c>
      <c r="K1434">
        <f>IFERROR($J1434/IF($A1434&lt;COUNTIFS($K$1:K$1,"&lt;&gt;"),0,SUMIFS($J:$J,$B:$B,$B1434,$A:$A,"&gt;="&amp;COUNTIFS($K$1:K$1,"&lt;&gt;"))),0)</f>
        <v>8.9080459770114959E-2</v>
      </c>
      <c r="L1434">
        <f>IFERROR($J1434/IF($A1434&lt;COUNTIFS($K$1:L$1,"&lt;&gt;"),0,SUMIFS($J:$J,$B:$B,$B1434,$A:$A,"&gt;="&amp;COUNTIFS($K$1:L$1,"&lt;&gt;"))),0)</f>
        <v>9.7484276729559768E-2</v>
      </c>
      <c r="M1434">
        <f>IFERROR($J1434/IF($A1434&lt;COUNTIFS($K$1:M$1,"&lt;&gt;"),0,SUMIFS($J:$J,$B:$B,$B1434,$A:$A,"&gt;="&amp;COUNTIFS($K$1:M$1,"&lt;&gt;"))),0)</f>
        <v>0</v>
      </c>
      <c r="N1434">
        <f>IFERROR($J1434/IF($A1434&lt;COUNTIFS($K$1:N$1,"&lt;&gt;"),0,SUMIFS($J:$J,$B:$B,$B1434,$A:$A,"&gt;="&amp;COUNTIFS($K$1:N$1,"&lt;&gt;"))),0)</f>
        <v>0</v>
      </c>
      <c r="O1434">
        <f>IFERROR($J1434/IF($A1434&lt;COUNTIFS($K$1:O$1,"&lt;&gt;"),0,SUMIFS($J:$J,$B:$B,$B1434,$A:$A,"&gt;="&amp;COUNTIFS($K$1:O$1,"&lt;&gt;"))),0)</f>
        <v>0</v>
      </c>
      <c r="P1434">
        <f>IFERROR($J1434/IF($A1434&lt;COUNTIFS($K$1:P$1,"&lt;&gt;"),0,SUMIFS($J:$J,$B:$B,$B1434,$A:$A,"&gt;="&amp;COUNTIFS($K$1:P$1,"&lt;&gt;"))),0)</f>
        <v>0</v>
      </c>
      <c r="Q1434">
        <f>IFERROR($J1434/IF($A1434&lt;COUNTIFS($K$1:Q$1,"&lt;&gt;"),0,SUMIFS($J:$J,$B:$B,$B1434,$A:$A,"&gt;="&amp;COUNTIFS($K$1:Q$1,"&lt;&gt;"))),0)</f>
        <v>0</v>
      </c>
      <c r="R1434">
        <f>IFERROR($J1434/IF($A1434&lt;COUNTIFS($K$1:R$1,"&lt;&gt;"),0,SUMIFS($J:$J,$B:$B,$B1434,$A:$A,"&gt;="&amp;COUNTIFS($K$1:R$1,"&lt;&gt;"))),0)</f>
        <v>0</v>
      </c>
      <c r="S1434">
        <f>IFERROR($J1434/IF($A1434&lt;COUNTIFS($K$1:S$1,"&lt;&gt;"),0,SUMIFS($J:$J,$B:$B,$B1434,$A:$A,"&gt;="&amp;COUNTIFS($K$1:S$1,"&lt;&gt;"))),0)</f>
        <v>0</v>
      </c>
      <c r="T1434">
        <f>IFERROR($J1434/IF($A1434&lt;COUNTIFS($K$1:T$1,"&lt;&gt;"),0,SUMIFS($J:$J,$B:$B,$B1434,$A:$A,"&gt;="&amp;COUNTIFS($K$1:T$1,"&lt;&gt;"))),0)</f>
        <v>0</v>
      </c>
      <c r="U1434">
        <f>IFERROR($J1434/IF($A1434&lt;COUNTIFS($K$1:U$1,"&lt;&gt;"),0,SUMIFS($J:$J,$B:$B,$B1434,$A:$A,"&gt;="&amp;COUNTIFS($K$1:U$1,"&lt;&gt;"))),0)</f>
        <v>0</v>
      </c>
      <c r="V1434">
        <f>IFERROR($J1434/IF($A1434&lt;COUNTIFS($K$1:V$1,"&lt;&gt;"),0,SUMIFS($J:$J,$B:$B,$B1434,$A:$A,"&gt;="&amp;COUNTIFS($K$1:V$1,"&lt;&gt;"))),0)</f>
        <v>0</v>
      </c>
      <c r="W1434">
        <f t="shared" si="508"/>
        <v>8.4931506849315067E-2</v>
      </c>
      <c r="X1434">
        <f t="shared" si="488"/>
        <v>8.4931506849315067E-2</v>
      </c>
      <c r="Y1434">
        <f t="shared" si="489"/>
        <v>8.4931506849315067E-2</v>
      </c>
      <c r="Z1434">
        <f t="shared" si="490"/>
        <v>0</v>
      </c>
      <c r="AA1434">
        <f t="shared" si="491"/>
        <v>0</v>
      </c>
      <c r="AB1434">
        <f t="shared" si="492"/>
        <v>0</v>
      </c>
      <c r="AC1434">
        <f t="shared" si="493"/>
        <v>0</v>
      </c>
      <c r="AD1434">
        <f t="shared" si="494"/>
        <v>0</v>
      </c>
      <c r="AE1434">
        <f t="shared" si="495"/>
        <v>0</v>
      </c>
      <c r="AF1434">
        <f t="shared" si="496"/>
        <v>0</v>
      </c>
      <c r="AG1434">
        <f t="shared" si="497"/>
        <v>0</v>
      </c>
      <c r="AH1434">
        <f t="shared" si="498"/>
        <v>0</v>
      </c>
      <c r="AI1434">
        <f t="shared" si="499"/>
        <v>0</v>
      </c>
      <c r="AJ1434" s="2" t="str">
        <f t="shared" si="509"/>
        <v>247178</v>
      </c>
    </row>
    <row r="1435" spans="1:36" x14ac:dyDescent="0.25">
      <c r="A1435">
        <v>3</v>
      </c>
      <c r="B1435" s="1">
        <v>47178</v>
      </c>
      <c r="C1435" s="1">
        <f t="shared" si="500"/>
        <v>47270</v>
      </c>
      <c r="D1435" s="1">
        <f t="shared" si="501"/>
        <v>47192</v>
      </c>
      <c r="E1435" s="1">
        <f t="shared" si="502"/>
        <v>47270</v>
      </c>
      <c r="F1435" s="1">
        <f t="shared" si="503"/>
        <v>47300</v>
      </c>
      <c r="G1435" s="1">
        <f t="shared" si="504"/>
        <v>47557</v>
      </c>
      <c r="H1435">
        <f t="shared" si="505"/>
        <v>365</v>
      </c>
      <c r="I1435">
        <f t="shared" si="506"/>
        <v>30</v>
      </c>
      <c r="J1435">
        <f t="shared" si="507"/>
        <v>8.2191780821917804E-2</v>
      </c>
      <c r="K1435">
        <f>IFERROR($J1435/IF($A1435&lt;COUNTIFS($K$1:K$1,"&lt;&gt;"),0,SUMIFS($J:$J,$B:$B,$B1435,$A:$A,"&gt;="&amp;COUNTIFS($K$1:K$1,"&lt;&gt;"))),0)</f>
        <v>8.6206896551724144E-2</v>
      </c>
      <c r="L1435">
        <f>IFERROR($J1435/IF($A1435&lt;COUNTIFS($K$1:L$1,"&lt;&gt;"),0,SUMIFS($J:$J,$B:$B,$B1435,$A:$A,"&gt;="&amp;COUNTIFS($K$1:L$1,"&lt;&gt;"))),0)</f>
        <v>9.4339622641509441E-2</v>
      </c>
      <c r="M1435">
        <f>IFERROR($J1435/IF($A1435&lt;COUNTIFS($K$1:M$1,"&lt;&gt;"),0,SUMIFS($J:$J,$B:$B,$B1435,$A:$A,"&gt;="&amp;COUNTIFS($K$1:M$1,"&lt;&gt;"))),0)</f>
        <v>0.10452961672473869</v>
      </c>
      <c r="N1435">
        <f>IFERROR($J1435/IF($A1435&lt;COUNTIFS($K$1:N$1,"&lt;&gt;"),0,SUMIFS($J:$J,$B:$B,$B1435,$A:$A,"&gt;="&amp;COUNTIFS($K$1:N$1,"&lt;&gt;"))),0)</f>
        <v>0</v>
      </c>
      <c r="O1435">
        <f>IFERROR($J1435/IF($A1435&lt;COUNTIFS($K$1:O$1,"&lt;&gt;"),0,SUMIFS($J:$J,$B:$B,$B1435,$A:$A,"&gt;="&amp;COUNTIFS($K$1:O$1,"&lt;&gt;"))),0)</f>
        <v>0</v>
      </c>
      <c r="P1435">
        <f>IFERROR($J1435/IF($A1435&lt;COUNTIFS($K$1:P$1,"&lt;&gt;"),0,SUMIFS($J:$J,$B:$B,$B1435,$A:$A,"&gt;="&amp;COUNTIFS($K$1:P$1,"&lt;&gt;"))),0)</f>
        <v>0</v>
      </c>
      <c r="Q1435">
        <f>IFERROR($J1435/IF($A1435&lt;COUNTIFS($K$1:Q$1,"&lt;&gt;"),0,SUMIFS($J:$J,$B:$B,$B1435,$A:$A,"&gt;="&amp;COUNTIFS($K$1:Q$1,"&lt;&gt;"))),0)</f>
        <v>0</v>
      </c>
      <c r="R1435">
        <f>IFERROR($J1435/IF($A1435&lt;COUNTIFS($K$1:R$1,"&lt;&gt;"),0,SUMIFS($J:$J,$B:$B,$B1435,$A:$A,"&gt;="&amp;COUNTIFS($K$1:R$1,"&lt;&gt;"))),0)</f>
        <v>0</v>
      </c>
      <c r="S1435">
        <f>IFERROR($J1435/IF($A1435&lt;COUNTIFS($K$1:S$1,"&lt;&gt;"),0,SUMIFS($J:$J,$B:$B,$B1435,$A:$A,"&gt;="&amp;COUNTIFS($K$1:S$1,"&lt;&gt;"))),0)</f>
        <v>0</v>
      </c>
      <c r="T1435">
        <f>IFERROR($J1435/IF($A1435&lt;COUNTIFS($K$1:T$1,"&lt;&gt;"),0,SUMIFS($J:$J,$B:$B,$B1435,$A:$A,"&gt;="&amp;COUNTIFS($K$1:T$1,"&lt;&gt;"))),0)</f>
        <v>0</v>
      </c>
      <c r="U1435">
        <f>IFERROR($J1435/IF($A1435&lt;COUNTIFS($K$1:U$1,"&lt;&gt;"),0,SUMIFS($J:$J,$B:$B,$B1435,$A:$A,"&gt;="&amp;COUNTIFS($K$1:U$1,"&lt;&gt;"))),0)</f>
        <v>0</v>
      </c>
      <c r="V1435">
        <f>IFERROR($J1435/IF($A1435&lt;COUNTIFS($K$1:V$1,"&lt;&gt;"),0,SUMIFS($J:$J,$B:$B,$B1435,$A:$A,"&gt;="&amp;COUNTIFS($K$1:V$1,"&lt;&gt;"))),0)</f>
        <v>0</v>
      </c>
      <c r="W1435">
        <f t="shared" si="508"/>
        <v>8.2191780821917804E-2</v>
      </c>
      <c r="X1435">
        <f t="shared" si="488"/>
        <v>8.2191780821917804E-2</v>
      </c>
      <c r="Y1435">
        <f t="shared" si="489"/>
        <v>8.2191780821917804E-2</v>
      </c>
      <c r="Z1435">
        <f t="shared" si="490"/>
        <v>8.2191780821917804E-2</v>
      </c>
      <c r="AA1435">
        <f t="shared" si="491"/>
        <v>0</v>
      </c>
      <c r="AB1435">
        <f t="shared" si="492"/>
        <v>0</v>
      </c>
      <c r="AC1435">
        <f t="shared" si="493"/>
        <v>0</v>
      </c>
      <c r="AD1435">
        <f t="shared" si="494"/>
        <v>0</v>
      </c>
      <c r="AE1435">
        <f t="shared" si="495"/>
        <v>0</v>
      </c>
      <c r="AF1435">
        <f t="shared" si="496"/>
        <v>0</v>
      </c>
      <c r="AG1435">
        <f t="shared" si="497"/>
        <v>0</v>
      </c>
      <c r="AH1435">
        <f t="shared" si="498"/>
        <v>0</v>
      </c>
      <c r="AI1435">
        <f t="shared" si="499"/>
        <v>0</v>
      </c>
      <c r="AJ1435" s="2" t="str">
        <f t="shared" si="509"/>
        <v>347178</v>
      </c>
    </row>
    <row r="1436" spans="1:36" x14ac:dyDescent="0.25">
      <c r="A1436">
        <v>4</v>
      </c>
      <c r="B1436" s="1">
        <v>47178</v>
      </c>
      <c r="C1436" s="1">
        <f t="shared" si="500"/>
        <v>47300</v>
      </c>
      <c r="D1436" s="1">
        <f t="shared" si="501"/>
        <v>47192</v>
      </c>
      <c r="E1436" s="1">
        <f t="shared" si="502"/>
        <v>47300</v>
      </c>
      <c r="F1436" s="1">
        <f t="shared" si="503"/>
        <v>47331</v>
      </c>
      <c r="G1436" s="1">
        <f t="shared" si="504"/>
        <v>47557</v>
      </c>
      <c r="H1436">
        <f t="shared" si="505"/>
        <v>365</v>
      </c>
      <c r="I1436">
        <f t="shared" si="506"/>
        <v>31</v>
      </c>
      <c r="J1436">
        <f t="shared" si="507"/>
        <v>8.4931506849315067E-2</v>
      </c>
      <c r="K1436">
        <f>IFERROR($J1436/IF($A1436&lt;COUNTIFS($K$1:K$1,"&lt;&gt;"),0,SUMIFS($J:$J,$B:$B,$B1436,$A:$A,"&gt;="&amp;COUNTIFS($K$1:K$1,"&lt;&gt;"))),0)</f>
        <v>8.9080459770114959E-2</v>
      </c>
      <c r="L1436">
        <f>IFERROR($J1436/IF($A1436&lt;COUNTIFS($K$1:L$1,"&lt;&gt;"),0,SUMIFS($J:$J,$B:$B,$B1436,$A:$A,"&gt;="&amp;COUNTIFS($K$1:L$1,"&lt;&gt;"))),0)</f>
        <v>9.7484276729559768E-2</v>
      </c>
      <c r="M1436">
        <f>IFERROR($J1436/IF($A1436&lt;COUNTIFS($K$1:M$1,"&lt;&gt;"),0,SUMIFS($J:$J,$B:$B,$B1436,$A:$A,"&gt;="&amp;COUNTIFS($K$1:M$1,"&lt;&gt;"))),0)</f>
        <v>0.10801393728222998</v>
      </c>
      <c r="N1436">
        <f>IFERROR($J1436/IF($A1436&lt;COUNTIFS($K$1:N$1,"&lt;&gt;"),0,SUMIFS($J:$J,$B:$B,$B1436,$A:$A,"&gt;="&amp;COUNTIFS($K$1:N$1,"&lt;&gt;"))),0)</f>
        <v>0.12062256809338523</v>
      </c>
      <c r="O1436">
        <f>IFERROR($J1436/IF($A1436&lt;COUNTIFS($K$1:O$1,"&lt;&gt;"),0,SUMIFS($J:$J,$B:$B,$B1436,$A:$A,"&gt;="&amp;COUNTIFS($K$1:O$1,"&lt;&gt;"))),0)</f>
        <v>0</v>
      </c>
      <c r="P1436">
        <f>IFERROR($J1436/IF($A1436&lt;COUNTIFS($K$1:P$1,"&lt;&gt;"),0,SUMIFS($J:$J,$B:$B,$B1436,$A:$A,"&gt;="&amp;COUNTIFS($K$1:P$1,"&lt;&gt;"))),0)</f>
        <v>0</v>
      </c>
      <c r="Q1436">
        <f>IFERROR($J1436/IF($A1436&lt;COUNTIFS($K$1:Q$1,"&lt;&gt;"),0,SUMIFS($J:$J,$B:$B,$B1436,$A:$A,"&gt;="&amp;COUNTIFS($K$1:Q$1,"&lt;&gt;"))),0)</f>
        <v>0</v>
      </c>
      <c r="R1436">
        <f>IFERROR($J1436/IF($A1436&lt;COUNTIFS($K$1:R$1,"&lt;&gt;"),0,SUMIFS($J:$J,$B:$B,$B1436,$A:$A,"&gt;="&amp;COUNTIFS($K$1:R$1,"&lt;&gt;"))),0)</f>
        <v>0</v>
      </c>
      <c r="S1436">
        <f>IFERROR($J1436/IF($A1436&lt;COUNTIFS($K$1:S$1,"&lt;&gt;"),0,SUMIFS($J:$J,$B:$B,$B1436,$A:$A,"&gt;="&amp;COUNTIFS($K$1:S$1,"&lt;&gt;"))),0)</f>
        <v>0</v>
      </c>
      <c r="T1436">
        <f>IFERROR($J1436/IF($A1436&lt;COUNTIFS($K$1:T$1,"&lt;&gt;"),0,SUMIFS($J:$J,$B:$B,$B1436,$A:$A,"&gt;="&amp;COUNTIFS($K$1:T$1,"&lt;&gt;"))),0)</f>
        <v>0</v>
      </c>
      <c r="U1436">
        <f>IFERROR($J1436/IF($A1436&lt;COUNTIFS($K$1:U$1,"&lt;&gt;"),0,SUMIFS($J:$J,$B:$B,$B1436,$A:$A,"&gt;="&amp;COUNTIFS($K$1:U$1,"&lt;&gt;"))),0)</f>
        <v>0</v>
      </c>
      <c r="V1436">
        <f>IFERROR($J1436/IF($A1436&lt;COUNTIFS($K$1:V$1,"&lt;&gt;"),0,SUMIFS($J:$J,$B:$B,$B1436,$A:$A,"&gt;="&amp;COUNTIFS($K$1:V$1,"&lt;&gt;"))),0)</f>
        <v>0</v>
      </c>
      <c r="W1436">
        <f t="shared" si="508"/>
        <v>8.4931506849315067E-2</v>
      </c>
      <c r="X1436">
        <f t="shared" si="488"/>
        <v>8.4931506849315067E-2</v>
      </c>
      <c r="Y1436">
        <f t="shared" si="489"/>
        <v>8.4931506849315067E-2</v>
      </c>
      <c r="Z1436">
        <f t="shared" si="490"/>
        <v>8.4931506849315067E-2</v>
      </c>
      <c r="AA1436">
        <f t="shared" si="491"/>
        <v>8.4931506849315067E-2</v>
      </c>
      <c r="AB1436">
        <f t="shared" si="492"/>
        <v>0</v>
      </c>
      <c r="AC1436">
        <f t="shared" si="493"/>
        <v>0</v>
      </c>
      <c r="AD1436">
        <f t="shared" si="494"/>
        <v>0</v>
      </c>
      <c r="AE1436">
        <f t="shared" si="495"/>
        <v>0</v>
      </c>
      <c r="AF1436">
        <f t="shared" si="496"/>
        <v>0</v>
      </c>
      <c r="AG1436">
        <f t="shared" si="497"/>
        <v>0</v>
      </c>
      <c r="AH1436">
        <f t="shared" si="498"/>
        <v>0</v>
      </c>
      <c r="AI1436">
        <f t="shared" si="499"/>
        <v>0</v>
      </c>
      <c r="AJ1436" s="2" t="str">
        <f t="shared" si="509"/>
        <v>447178</v>
      </c>
    </row>
    <row r="1437" spans="1:36" x14ac:dyDescent="0.25">
      <c r="A1437">
        <v>5</v>
      </c>
      <c r="B1437" s="1">
        <v>47178</v>
      </c>
      <c r="C1437" s="1">
        <f t="shared" si="500"/>
        <v>47331</v>
      </c>
      <c r="D1437" s="1">
        <f t="shared" si="501"/>
        <v>47192</v>
      </c>
      <c r="E1437" s="1">
        <f t="shared" si="502"/>
        <v>47331</v>
      </c>
      <c r="F1437" s="1">
        <f t="shared" si="503"/>
        <v>47362</v>
      </c>
      <c r="G1437" s="1">
        <f t="shared" si="504"/>
        <v>47557</v>
      </c>
      <c r="H1437">
        <f t="shared" si="505"/>
        <v>365</v>
      </c>
      <c r="I1437">
        <f t="shared" si="506"/>
        <v>31</v>
      </c>
      <c r="J1437">
        <f t="shared" si="507"/>
        <v>8.4931506849315067E-2</v>
      </c>
      <c r="K1437">
        <f>IFERROR($J1437/IF($A1437&lt;COUNTIFS($K$1:K$1,"&lt;&gt;"),0,SUMIFS($J:$J,$B:$B,$B1437,$A:$A,"&gt;="&amp;COUNTIFS($K$1:K$1,"&lt;&gt;"))),0)</f>
        <v>8.9080459770114959E-2</v>
      </c>
      <c r="L1437">
        <f>IFERROR($J1437/IF($A1437&lt;COUNTIFS($K$1:L$1,"&lt;&gt;"),0,SUMIFS($J:$J,$B:$B,$B1437,$A:$A,"&gt;="&amp;COUNTIFS($K$1:L$1,"&lt;&gt;"))),0)</f>
        <v>9.7484276729559768E-2</v>
      </c>
      <c r="M1437">
        <f>IFERROR($J1437/IF($A1437&lt;COUNTIFS($K$1:M$1,"&lt;&gt;"),0,SUMIFS($J:$J,$B:$B,$B1437,$A:$A,"&gt;="&amp;COUNTIFS($K$1:M$1,"&lt;&gt;"))),0)</f>
        <v>0.10801393728222998</v>
      </c>
      <c r="N1437">
        <f>IFERROR($J1437/IF($A1437&lt;COUNTIFS($K$1:N$1,"&lt;&gt;"),0,SUMIFS($J:$J,$B:$B,$B1437,$A:$A,"&gt;="&amp;COUNTIFS($K$1:N$1,"&lt;&gt;"))),0)</f>
        <v>0.12062256809338523</v>
      </c>
      <c r="O1437">
        <f>IFERROR($J1437/IF($A1437&lt;COUNTIFS($K$1:O$1,"&lt;&gt;"),0,SUMIFS($J:$J,$B:$B,$B1437,$A:$A,"&gt;="&amp;COUNTIFS($K$1:O$1,"&lt;&gt;"))),0)</f>
        <v>0.13716814159292037</v>
      </c>
      <c r="P1437">
        <f>IFERROR($J1437/IF($A1437&lt;COUNTIFS($K$1:P$1,"&lt;&gt;"),0,SUMIFS($J:$J,$B:$B,$B1437,$A:$A,"&gt;="&amp;COUNTIFS($K$1:P$1,"&lt;&gt;"))),0)</f>
        <v>0</v>
      </c>
      <c r="Q1437">
        <f>IFERROR($J1437/IF($A1437&lt;COUNTIFS($K$1:Q$1,"&lt;&gt;"),0,SUMIFS($J:$J,$B:$B,$B1437,$A:$A,"&gt;="&amp;COUNTIFS($K$1:Q$1,"&lt;&gt;"))),0)</f>
        <v>0</v>
      </c>
      <c r="R1437">
        <f>IFERROR($J1437/IF($A1437&lt;COUNTIFS($K$1:R$1,"&lt;&gt;"),0,SUMIFS($J:$J,$B:$B,$B1437,$A:$A,"&gt;="&amp;COUNTIFS($K$1:R$1,"&lt;&gt;"))),0)</f>
        <v>0</v>
      </c>
      <c r="S1437">
        <f>IFERROR($J1437/IF($A1437&lt;COUNTIFS($K$1:S$1,"&lt;&gt;"),0,SUMIFS($J:$J,$B:$B,$B1437,$A:$A,"&gt;="&amp;COUNTIFS($K$1:S$1,"&lt;&gt;"))),0)</f>
        <v>0</v>
      </c>
      <c r="T1437">
        <f>IFERROR($J1437/IF($A1437&lt;COUNTIFS($K$1:T$1,"&lt;&gt;"),0,SUMIFS($J:$J,$B:$B,$B1437,$A:$A,"&gt;="&amp;COUNTIFS($K$1:T$1,"&lt;&gt;"))),0)</f>
        <v>0</v>
      </c>
      <c r="U1437">
        <f>IFERROR($J1437/IF($A1437&lt;COUNTIFS($K$1:U$1,"&lt;&gt;"),0,SUMIFS($J:$J,$B:$B,$B1437,$A:$A,"&gt;="&amp;COUNTIFS($K$1:U$1,"&lt;&gt;"))),0)</f>
        <v>0</v>
      </c>
      <c r="V1437">
        <f>IFERROR($J1437/IF($A1437&lt;COUNTIFS($K$1:V$1,"&lt;&gt;"),0,SUMIFS($J:$J,$B:$B,$B1437,$A:$A,"&gt;="&amp;COUNTIFS($K$1:V$1,"&lt;&gt;"))),0)</f>
        <v>0</v>
      </c>
      <c r="W1437">
        <f t="shared" si="508"/>
        <v>8.4931506849315067E-2</v>
      </c>
      <c r="X1437">
        <f t="shared" si="488"/>
        <v>8.4931506849315067E-2</v>
      </c>
      <c r="Y1437">
        <f t="shared" si="489"/>
        <v>8.4931506849315067E-2</v>
      </c>
      <c r="Z1437">
        <f t="shared" si="490"/>
        <v>8.4931506849315067E-2</v>
      </c>
      <c r="AA1437">
        <f t="shared" si="491"/>
        <v>8.4931506849315067E-2</v>
      </c>
      <c r="AB1437">
        <f t="shared" si="492"/>
        <v>8.4931506849315067E-2</v>
      </c>
      <c r="AC1437">
        <f t="shared" si="493"/>
        <v>0</v>
      </c>
      <c r="AD1437">
        <f t="shared" si="494"/>
        <v>0</v>
      </c>
      <c r="AE1437">
        <f t="shared" si="495"/>
        <v>0</v>
      </c>
      <c r="AF1437">
        <f t="shared" si="496"/>
        <v>0</v>
      </c>
      <c r="AG1437">
        <f t="shared" si="497"/>
        <v>0</v>
      </c>
      <c r="AH1437">
        <f t="shared" si="498"/>
        <v>0</v>
      </c>
      <c r="AI1437">
        <f t="shared" si="499"/>
        <v>0</v>
      </c>
      <c r="AJ1437" s="2" t="str">
        <f t="shared" si="509"/>
        <v>547178</v>
      </c>
    </row>
    <row r="1438" spans="1:36" x14ac:dyDescent="0.25">
      <c r="A1438">
        <v>6</v>
      </c>
      <c r="B1438" s="1">
        <v>47178</v>
      </c>
      <c r="C1438" s="1">
        <f t="shared" si="500"/>
        <v>47362</v>
      </c>
      <c r="D1438" s="1">
        <f t="shared" si="501"/>
        <v>47192</v>
      </c>
      <c r="E1438" s="1">
        <f t="shared" si="502"/>
        <v>47362</v>
      </c>
      <c r="F1438" s="1">
        <f t="shared" si="503"/>
        <v>47392</v>
      </c>
      <c r="G1438" s="1">
        <f t="shared" si="504"/>
        <v>47557</v>
      </c>
      <c r="H1438">
        <f t="shared" si="505"/>
        <v>365</v>
      </c>
      <c r="I1438">
        <f t="shared" si="506"/>
        <v>30</v>
      </c>
      <c r="J1438">
        <f t="shared" si="507"/>
        <v>8.2191780821917804E-2</v>
      </c>
      <c r="K1438">
        <f>IFERROR($J1438/IF($A1438&lt;COUNTIFS($K$1:K$1,"&lt;&gt;"),0,SUMIFS($J:$J,$B:$B,$B1438,$A:$A,"&gt;="&amp;COUNTIFS($K$1:K$1,"&lt;&gt;"))),0)</f>
        <v>8.6206896551724144E-2</v>
      </c>
      <c r="L1438">
        <f>IFERROR($J1438/IF($A1438&lt;COUNTIFS($K$1:L$1,"&lt;&gt;"),0,SUMIFS($J:$J,$B:$B,$B1438,$A:$A,"&gt;="&amp;COUNTIFS($K$1:L$1,"&lt;&gt;"))),0)</f>
        <v>9.4339622641509441E-2</v>
      </c>
      <c r="M1438">
        <f>IFERROR($J1438/IF($A1438&lt;COUNTIFS($K$1:M$1,"&lt;&gt;"),0,SUMIFS($J:$J,$B:$B,$B1438,$A:$A,"&gt;="&amp;COUNTIFS($K$1:M$1,"&lt;&gt;"))),0)</f>
        <v>0.10452961672473869</v>
      </c>
      <c r="N1438">
        <f>IFERROR($J1438/IF($A1438&lt;COUNTIFS($K$1:N$1,"&lt;&gt;"),0,SUMIFS($J:$J,$B:$B,$B1438,$A:$A,"&gt;="&amp;COUNTIFS($K$1:N$1,"&lt;&gt;"))),0)</f>
        <v>0.11673151750972764</v>
      </c>
      <c r="O1438">
        <f>IFERROR($J1438/IF($A1438&lt;COUNTIFS($K$1:O$1,"&lt;&gt;"),0,SUMIFS($J:$J,$B:$B,$B1438,$A:$A,"&gt;="&amp;COUNTIFS($K$1:O$1,"&lt;&gt;"))),0)</f>
        <v>0.13274336283185842</v>
      </c>
      <c r="P1438">
        <f>IFERROR($J1438/IF($A1438&lt;COUNTIFS($K$1:P$1,"&lt;&gt;"),0,SUMIFS($J:$J,$B:$B,$B1438,$A:$A,"&gt;="&amp;COUNTIFS($K$1:P$1,"&lt;&gt;"))),0)</f>
        <v>0.15384615384615385</v>
      </c>
      <c r="Q1438">
        <f>IFERROR($J1438/IF($A1438&lt;COUNTIFS($K$1:Q$1,"&lt;&gt;"),0,SUMIFS($J:$J,$B:$B,$B1438,$A:$A,"&gt;="&amp;COUNTIFS($K$1:Q$1,"&lt;&gt;"))),0)</f>
        <v>0</v>
      </c>
      <c r="R1438">
        <f>IFERROR($J1438/IF($A1438&lt;COUNTIFS($K$1:R$1,"&lt;&gt;"),0,SUMIFS($J:$J,$B:$B,$B1438,$A:$A,"&gt;="&amp;COUNTIFS($K$1:R$1,"&lt;&gt;"))),0)</f>
        <v>0</v>
      </c>
      <c r="S1438">
        <f>IFERROR($J1438/IF($A1438&lt;COUNTIFS($K$1:S$1,"&lt;&gt;"),0,SUMIFS($J:$J,$B:$B,$B1438,$A:$A,"&gt;="&amp;COUNTIFS($K$1:S$1,"&lt;&gt;"))),0)</f>
        <v>0</v>
      </c>
      <c r="T1438">
        <f>IFERROR($J1438/IF($A1438&lt;COUNTIFS($K$1:T$1,"&lt;&gt;"),0,SUMIFS($J:$J,$B:$B,$B1438,$A:$A,"&gt;="&amp;COUNTIFS($K$1:T$1,"&lt;&gt;"))),0)</f>
        <v>0</v>
      </c>
      <c r="U1438">
        <f>IFERROR($J1438/IF($A1438&lt;COUNTIFS($K$1:U$1,"&lt;&gt;"),0,SUMIFS($J:$J,$B:$B,$B1438,$A:$A,"&gt;="&amp;COUNTIFS($K$1:U$1,"&lt;&gt;"))),0)</f>
        <v>0</v>
      </c>
      <c r="V1438">
        <f>IFERROR($J1438/IF($A1438&lt;COUNTIFS($K$1:V$1,"&lt;&gt;"),0,SUMIFS($J:$J,$B:$B,$B1438,$A:$A,"&gt;="&amp;COUNTIFS($K$1:V$1,"&lt;&gt;"))),0)</f>
        <v>0</v>
      </c>
      <c r="W1438">
        <f t="shared" si="508"/>
        <v>8.2191780821917804E-2</v>
      </c>
      <c r="X1438">
        <f t="shared" si="488"/>
        <v>8.2191780821917804E-2</v>
      </c>
      <c r="Y1438">
        <f t="shared" si="489"/>
        <v>8.2191780821917804E-2</v>
      </c>
      <c r="Z1438">
        <f t="shared" si="490"/>
        <v>8.2191780821917804E-2</v>
      </c>
      <c r="AA1438">
        <f t="shared" si="491"/>
        <v>8.2191780821917804E-2</v>
      </c>
      <c r="AB1438">
        <f t="shared" si="492"/>
        <v>8.2191780821917804E-2</v>
      </c>
      <c r="AC1438">
        <f t="shared" si="493"/>
        <v>8.2191780821917804E-2</v>
      </c>
      <c r="AD1438">
        <f t="shared" si="494"/>
        <v>0</v>
      </c>
      <c r="AE1438">
        <f t="shared" si="495"/>
        <v>0</v>
      </c>
      <c r="AF1438">
        <f t="shared" si="496"/>
        <v>0</v>
      </c>
      <c r="AG1438">
        <f t="shared" si="497"/>
        <v>0</v>
      </c>
      <c r="AH1438">
        <f t="shared" si="498"/>
        <v>0</v>
      </c>
      <c r="AI1438">
        <f t="shared" si="499"/>
        <v>0</v>
      </c>
      <c r="AJ1438" s="2" t="str">
        <f t="shared" si="509"/>
        <v>647178</v>
      </c>
    </row>
    <row r="1439" spans="1:36" x14ac:dyDescent="0.25">
      <c r="A1439">
        <v>7</v>
      </c>
      <c r="B1439" s="1">
        <v>47178</v>
      </c>
      <c r="C1439" s="1">
        <f t="shared" si="500"/>
        <v>47392</v>
      </c>
      <c r="D1439" s="1">
        <f t="shared" si="501"/>
        <v>47192</v>
      </c>
      <c r="E1439" s="1">
        <f t="shared" si="502"/>
        <v>47392</v>
      </c>
      <c r="F1439" s="1">
        <f t="shared" si="503"/>
        <v>47423</v>
      </c>
      <c r="G1439" s="1">
        <f t="shared" si="504"/>
        <v>47557</v>
      </c>
      <c r="H1439">
        <f t="shared" si="505"/>
        <v>365</v>
      </c>
      <c r="I1439">
        <f t="shared" si="506"/>
        <v>31</v>
      </c>
      <c r="J1439">
        <f t="shared" si="507"/>
        <v>8.4931506849315067E-2</v>
      </c>
      <c r="K1439">
        <f>IFERROR($J1439/IF($A1439&lt;COUNTIFS($K$1:K$1,"&lt;&gt;"),0,SUMIFS($J:$J,$B:$B,$B1439,$A:$A,"&gt;="&amp;COUNTIFS($K$1:K$1,"&lt;&gt;"))),0)</f>
        <v>8.9080459770114959E-2</v>
      </c>
      <c r="L1439">
        <f>IFERROR($J1439/IF($A1439&lt;COUNTIFS($K$1:L$1,"&lt;&gt;"),0,SUMIFS($J:$J,$B:$B,$B1439,$A:$A,"&gt;="&amp;COUNTIFS($K$1:L$1,"&lt;&gt;"))),0)</f>
        <v>9.7484276729559768E-2</v>
      </c>
      <c r="M1439">
        <f>IFERROR($J1439/IF($A1439&lt;COUNTIFS($K$1:M$1,"&lt;&gt;"),0,SUMIFS($J:$J,$B:$B,$B1439,$A:$A,"&gt;="&amp;COUNTIFS($K$1:M$1,"&lt;&gt;"))),0)</f>
        <v>0.10801393728222998</v>
      </c>
      <c r="N1439">
        <f>IFERROR($J1439/IF($A1439&lt;COUNTIFS($K$1:N$1,"&lt;&gt;"),0,SUMIFS($J:$J,$B:$B,$B1439,$A:$A,"&gt;="&amp;COUNTIFS($K$1:N$1,"&lt;&gt;"))),0)</f>
        <v>0.12062256809338523</v>
      </c>
      <c r="O1439">
        <f>IFERROR($J1439/IF($A1439&lt;COUNTIFS($K$1:O$1,"&lt;&gt;"),0,SUMIFS($J:$J,$B:$B,$B1439,$A:$A,"&gt;="&amp;COUNTIFS($K$1:O$1,"&lt;&gt;"))),0)</f>
        <v>0.13716814159292037</v>
      </c>
      <c r="P1439">
        <f>IFERROR($J1439/IF($A1439&lt;COUNTIFS($K$1:P$1,"&lt;&gt;"),0,SUMIFS($J:$J,$B:$B,$B1439,$A:$A,"&gt;="&amp;COUNTIFS($K$1:P$1,"&lt;&gt;"))),0)</f>
        <v>0.15897435897435899</v>
      </c>
      <c r="Q1439">
        <f>IFERROR($J1439/IF($A1439&lt;COUNTIFS($K$1:Q$1,"&lt;&gt;"),0,SUMIFS($J:$J,$B:$B,$B1439,$A:$A,"&gt;="&amp;COUNTIFS($K$1:Q$1,"&lt;&gt;"))),0)</f>
        <v>0.1878787878787879</v>
      </c>
      <c r="R1439">
        <f>IFERROR($J1439/IF($A1439&lt;COUNTIFS($K$1:R$1,"&lt;&gt;"),0,SUMIFS($J:$J,$B:$B,$B1439,$A:$A,"&gt;="&amp;COUNTIFS($K$1:R$1,"&lt;&gt;"))),0)</f>
        <v>0</v>
      </c>
      <c r="S1439">
        <f>IFERROR($J1439/IF($A1439&lt;COUNTIFS($K$1:S$1,"&lt;&gt;"),0,SUMIFS($J:$J,$B:$B,$B1439,$A:$A,"&gt;="&amp;COUNTIFS($K$1:S$1,"&lt;&gt;"))),0)</f>
        <v>0</v>
      </c>
      <c r="T1439">
        <f>IFERROR($J1439/IF($A1439&lt;COUNTIFS($K$1:T$1,"&lt;&gt;"),0,SUMIFS($J:$J,$B:$B,$B1439,$A:$A,"&gt;="&amp;COUNTIFS($K$1:T$1,"&lt;&gt;"))),0)</f>
        <v>0</v>
      </c>
      <c r="U1439">
        <f>IFERROR($J1439/IF($A1439&lt;COUNTIFS($K$1:U$1,"&lt;&gt;"),0,SUMIFS($J:$J,$B:$B,$B1439,$A:$A,"&gt;="&amp;COUNTIFS($K$1:U$1,"&lt;&gt;"))),0)</f>
        <v>0</v>
      </c>
      <c r="V1439">
        <f>IFERROR($J1439/IF($A1439&lt;COUNTIFS($K$1:V$1,"&lt;&gt;"),0,SUMIFS($J:$J,$B:$B,$B1439,$A:$A,"&gt;="&amp;COUNTIFS($K$1:V$1,"&lt;&gt;"))),0)</f>
        <v>0</v>
      </c>
      <c r="W1439">
        <f t="shared" si="508"/>
        <v>8.4931506849315067E-2</v>
      </c>
      <c r="X1439">
        <f t="shared" si="488"/>
        <v>8.4931506849315067E-2</v>
      </c>
      <c r="Y1439">
        <f t="shared" si="489"/>
        <v>8.4931506849315067E-2</v>
      </c>
      <c r="Z1439">
        <f t="shared" si="490"/>
        <v>8.4931506849315067E-2</v>
      </c>
      <c r="AA1439">
        <f t="shared" si="491"/>
        <v>8.4931506849315067E-2</v>
      </c>
      <c r="AB1439">
        <f t="shared" si="492"/>
        <v>8.4931506849315067E-2</v>
      </c>
      <c r="AC1439">
        <f t="shared" si="493"/>
        <v>8.4931506849315067E-2</v>
      </c>
      <c r="AD1439">
        <f t="shared" si="494"/>
        <v>8.4931506849315067E-2</v>
      </c>
      <c r="AE1439">
        <f t="shared" si="495"/>
        <v>0</v>
      </c>
      <c r="AF1439">
        <f t="shared" si="496"/>
        <v>0</v>
      </c>
      <c r="AG1439">
        <f t="shared" si="497"/>
        <v>0</v>
      </c>
      <c r="AH1439">
        <f t="shared" si="498"/>
        <v>0</v>
      </c>
      <c r="AI1439">
        <f t="shared" si="499"/>
        <v>0</v>
      </c>
      <c r="AJ1439" s="2" t="str">
        <f t="shared" si="509"/>
        <v>747178</v>
      </c>
    </row>
    <row r="1440" spans="1:36" x14ac:dyDescent="0.25">
      <c r="A1440">
        <v>8</v>
      </c>
      <c r="B1440" s="1">
        <v>47178</v>
      </c>
      <c r="C1440" s="1">
        <f t="shared" si="500"/>
        <v>47423</v>
      </c>
      <c r="D1440" s="1">
        <f t="shared" si="501"/>
        <v>47192</v>
      </c>
      <c r="E1440" s="1">
        <f t="shared" si="502"/>
        <v>47423</v>
      </c>
      <c r="F1440" s="1">
        <f t="shared" si="503"/>
        <v>47453</v>
      </c>
      <c r="G1440" s="1">
        <f t="shared" si="504"/>
        <v>47557</v>
      </c>
      <c r="H1440">
        <f t="shared" si="505"/>
        <v>365</v>
      </c>
      <c r="I1440">
        <f t="shared" si="506"/>
        <v>30</v>
      </c>
      <c r="J1440">
        <f t="shared" si="507"/>
        <v>8.2191780821917804E-2</v>
      </c>
      <c r="K1440">
        <f>IFERROR($J1440/IF($A1440&lt;COUNTIFS($K$1:K$1,"&lt;&gt;"),0,SUMIFS($J:$J,$B:$B,$B1440,$A:$A,"&gt;="&amp;COUNTIFS($K$1:K$1,"&lt;&gt;"))),0)</f>
        <v>8.6206896551724144E-2</v>
      </c>
      <c r="L1440">
        <f>IFERROR($J1440/IF($A1440&lt;COUNTIFS($K$1:L$1,"&lt;&gt;"),0,SUMIFS($J:$J,$B:$B,$B1440,$A:$A,"&gt;="&amp;COUNTIFS($K$1:L$1,"&lt;&gt;"))),0)</f>
        <v>9.4339622641509441E-2</v>
      </c>
      <c r="M1440">
        <f>IFERROR($J1440/IF($A1440&lt;COUNTIFS($K$1:M$1,"&lt;&gt;"),0,SUMIFS($J:$J,$B:$B,$B1440,$A:$A,"&gt;="&amp;COUNTIFS($K$1:M$1,"&lt;&gt;"))),0)</f>
        <v>0.10452961672473869</v>
      </c>
      <c r="N1440">
        <f>IFERROR($J1440/IF($A1440&lt;COUNTIFS($K$1:N$1,"&lt;&gt;"),0,SUMIFS($J:$J,$B:$B,$B1440,$A:$A,"&gt;="&amp;COUNTIFS($K$1:N$1,"&lt;&gt;"))),0)</f>
        <v>0.11673151750972764</v>
      </c>
      <c r="O1440">
        <f>IFERROR($J1440/IF($A1440&lt;COUNTIFS($K$1:O$1,"&lt;&gt;"),0,SUMIFS($J:$J,$B:$B,$B1440,$A:$A,"&gt;="&amp;COUNTIFS($K$1:O$1,"&lt;&gt;"))),0)</f>
        <v>0.13274336283185842</v>
      </c>
      <c r="P1440">
        <f>IFERROR($J1440/IF($A1440&lt;COUNTIFS($K$1:P$1,"&lt;&gt;"),0,SUMIFS($J:$J,$B:$B,$B1440,$A:$A,"&gt;="&amp;COUNTIFS($K$1:P$1,"&lt;&gt;"))),0)</f>
        <v>0.15384615384615385</v>
      </c>
      <c r="Q1440">
        <f>IFERROR($J1440/IF($A1440&lt;COUNTIFS($K$1:Q$1,"&lt;&gt;"),0,SUMIFS($J:$J,$B:$B,$B1440,$A:$A,"&gt;="&amp;COUNTIFS($K$1:Q$1,"&lt;&gt;"))),0)</f>
        <v>0.18181818181818182</v>
      </c>
      <c r="R1440">
        <f>IFERROR($J1440/IF($A1440&lt;COUNTIFS($K$1:R$1,"&lt;&gt;"),0,SUMIFS($J:$J,$B:$B,$B1440,$A:$A,"&gt;="&amp;COUNTIFS($K$1:R$1,"&lt;&gt;"))),0)</f>
        <v>0.22388059701492535</v>
      </c>
      <c r="S1440">
        <f>IFERROR($J1440/IF($A1440&lt;COUNTIFS($K$1:S$1,"&lt;&gt;"),0,SUMIFS($J:$J,$B:$B,$B1440,$A:$A,"&gt;="&amp;COUNTIFS($K$1:S$1,"&lt;&gt;"))),0)</f>
        <v>0</v>
      </c>
      <c r="T1440">
        <f>IFERROR($J1440/IF($A1440&lt;COUNTIFS($K$1:T$1,"&lt;&gt;"),0,SUMIFS($J:$J,$B:$B,$B1440,$A:$A,"&gt;="&amp;COUNTIFS($K$1:T$1,"&lt;&gt;"))),0)</f>
        <v>0</v>
      </c>
      <c r="U1440">
        <f>IFERROR($J1440/IF($A1440&lt;COUNTIFS($K$1:U$1,"&lt;&gt;"),0,SUMIFS($J:$J,$B:$B,$B1440,$A:$A,"&gt;="&amp;COUNTIFS($K$1:U$1,"&lt;&gt;"))),0)</f>
        <v>0</v>
      </c>
      <c r="V1440">
        <f>IFERROR($J1440/IF($A1440&lt;COUNTIFS($K$1:V$1,"&lt;&gt;"),0,SUMIFS($J:$J,$B:$B,$B1440,$A:$A,"&gt;="&amp;COUNTIFS($K$1:V$1,"&lt;&gt;"))),0)</f>
        <v>0</v>
      </c>
      <c r="W1440">
        <f t="shared" si="508"/>
        <v>8.2191780821917804E-2</v>
      </c>
      <c r="X1440">
        <f t="shared" si="488"/>
        <v>8.2191780821917804E-2</v>
      </c>
      <c r="Y1440">
        <f t="shared" si="489"/>
        <v>8.2191780821917804E-2</v>
      </c>
      <c r="Z1440">
        <f t="shared" si="490"/>
        <v>8.2191780821917804E-2</v>
      </c>
      <c r="AA1440">
        <f t="shared" si="491"/>
        <v>8.2191780821917804E-2</v>
      </c>
      <c r="AB1440">
        <f t="shared" si="492"/>
        <v>8.2191780821917804E-2</v>
      </c>
      <c r="AC1440">
        <f t="shared" si="493"/>
        <v>8.2191780821917804E-2</v>
      </c>
      <c r="AD1440">
        <f t="shared" si="494"/>
        <v>8.2191780821917804E-2</v>
      </c>
      <c r="AE1440">
        <f t="shared" si="495"/>
        <v>8.2191780821917804E-2</v>
      </c>
      <c r="AF1440">
        <f t="shared" si="496"/>
        <v>0</v>
      </c>
      <c r="AG1440">
        <f t="shared" si="497"/>
        <v>0</v>
      </c>
      <c r="AH1440">
        <f t="shared" si="498"/>
        <v>0</v>
      </c>
      <c r="AI1440">
        <f t="shared" si="499"/>
        <v>0</v>
      </c>
      <c r="AJ1440" s="2" t="str">
        <f t="shared" si="509"/>
        <v>847178</v>
      </c>
    </row>
    <row r="1441" spans="1:36" x14ac:dyDescent="0.25">
      <c r="A1441">
        <v>9</v>
      </c>
      <c r="B1441" s="1">
        <v>47178</v>
      </c>
      <c r="C1441" s="1">
        <f t="shared" si="500"/>
        <v>47453</v>
      </c>
      <c r="D1441" s="1">
        <f t="shared" si="501"/>
        <v>47192</v>
      </c>
      <c r="E1441" s="1">
        <f t="shared" si="502"/>
        <v>47453</v>
      </c>
      <c r="F1441" s="1">
        <f t="shared" si="503"/>
        <v>47484</v>
      </c>
      <c r="G1441" s="1">
        <f t="shared" si="504"/>
        <v>47557</v>
      </c>
      <c r="H1441">
        <f t="shared" si="505"/>
        <v>365</v>
      </c>
      <c r="I1441">
        <f t="shared" si="506"/>
        <v>31</v>
      </c>
      <c r="J1441">
        <f t="shared" si="507"/>
        <v>8.4931506849315067E-2</v>
      </c>
      <c r="K1441">
        <f>IFERROR($J1441/IF($A1441&lt;COUNTIFS($K$1:K$1,"&lt;&gt;"),0,SUMIFS($J:$J,$B:$B,$B1441,$A:$A,"&gt;="&amp;COUNTIFS($K$1:K$1,"&lt;&gt;"))),0)</f>
        <v>8.9080459770114959E-2</v>
      </c>
      <c r="L1441">
        <f>IFERROR($J1441/IF($A1441&lt;COUNTIFS($K$1:L$1,"&lt;&gt;"),0,SUMIFS($J:$J,$B:$B,$B1441,$A:$A,"&gt;="&amp;COUNTIFS($K$1:L$1,"&lt;&gt;"))),0)</f>
        <v>9.7484276729559768E-2</v>
      </c>
      <c r="M1441">
        <f>IFERROR($J1441/IF($A1441&lt;COUNTIFS($K$1:M$1,"&lt;&gt;"),0,SUMIFS($J:$J,$B:$B,$B1441,$A:$A,"&gt;="&amp;COUNTIFS($K$1:M$1,"&lt;&gt;"))),0)</f>
        <v>0.10801393728222998</v>
      </c>
      <c r="N1441">
        <f>IFERROR($J1441/IF($A1441&lt;COUNTIFS($K$1:N$1,"&lt;&gt;"),0,SUMIFS($J:$J,$B:$B,$B1441,$A:$A,"&gt;="&amp;COUNTIFS($K$1:N$1,"&lt;&gt;"))),0)</f>
        <v>0.12062256809338523</v>
      </c>
      <c r="O1441">
        <f>IFERROR($J1441/IF($A1441&lt;COUNTIFS($K$1:O$1,"&lt;&gt;"),0,SUMIFS($J:$J,$B:$B,$B1441,$A:$A,"&gt;="&amp;COUNTIFS($K$1:O$1,"&lt;&gt;"))),0)</f>
        <v>0.13716814159292037</v>
      </c>
      <c r="P1441">
        <f>IFERROR($J1441/IF($A1441&lt;COUNTIFS($K$1:P$1,"&lt;&gt;"),0,SUMIFS($J:$J,$B:$B,$B1441,$A:$A,"&gt;="&amp;COUNTIFS($K$1:P$1,"&lt;&gt;"))),0)</f>
        <v>0.15897435897435899</v>
      </c>
      <c r="Q1441">
        <f>IFERROR($J1441/IF($A1441&lt;COUNTIFS($K$1:Q$1,"&lt;&gt;"),0,SUMIFS($J:$J,$B:$B,$B1441,$A:$A,"&gt;="&amp;COUNTIFS($K$1:Q$1,"&lt;&gt;"))),0)</f>
        <v>0.1878787878787879</v>
      </c>
      <c r="R1441">
        <f>IFERROR($J1441/IF($A1441&lt;COUNTIFS($K$1:R$1,"&lt;&gt;"),0,SUMIFS($J:$J,$B:$B,$B1441,$A:$A,"&gt;="&amp;COUNTIFS($K$1:R$1,"&lt;&gt;"))),0)</f>
        <v>0.23134328358208955</v>
      </c>
      <c r="S1441">
        <f>IFERROR($J1441/IF($A1441&lt;COUNTIFS($K$1:S$1,"&lt;&gt;"),0,SUMIFS($J:$J,$B:$B,$B1441,$A:$A,"&gt;="&amp;COUNTIFS($K$1:S$1,"&lt;&gt;"))),0)</f>
        <v>0.29807692307692307</v>
      </c>
      <c r="T1441">
        <f>IFERROR($J1441/IF($A1441&lt;COUNTIFS($K$1:T$1,"&lt;&gt;"),0,SUMIFS($J:$J,$B:$B,$B1441,$A:$A,"&gt;="&amp;COUNTIFS($K$1:T$1,"&lt;&gt;"))),0)</f>
        <v>0</v>
      </c>
      <c r="U1441">
        <f>IFERROR($J1441/IF($A1441&lt;COUNTIFS($K$1:U$1,"&lt;&gt;"),0,SUMIFS($J:$J,$B:$B,$B1441,$A:$A,"&gt;="&amp;COUNTIFS($K$1:U$1,"&lt;&gt;"))),0)</f>
        <v>0</v>
      </c>
      <c r="V1441">
        <f>IFERROR($J1441/IF($A1441&lt;COUNTIFS($K$1:V$1,"&lt;&gt;"),0,SUMIFS($J:$J,$B:$B,$B1441,$A:$A,"&gt;="&amp;COUNTIFS($K$1:V$1,"&lt;&gt;"))),0)</f>
        <v>0</v>
      </c>
      <c r="W1441">
        <f t="shared" si="508"/>
        <v>8.4931506849315067E-2</v>
      </c>
      <c r="X1441">
        <f t="shared" si="488"/>
        <v>8.4931506849315067E-2</v>
      </c>
      <c r="Y1441">
        <f t="shared" si="489"/>
        <v>8.4931506849315067E-2</v>
      </c>
      <c r="Z1441">
        <f t="shared" si="490"/>
        <v>8.4931506849315067E-2</v>
      </c>
      <c r="AA1441">
        <f t="shared" si="491"/>
        <v>8.4931506849315067E-2</v>
      </c>
      <c r="AB1441">
        <f t="shared" si="492"/>
        <v>8.4931506849315067E-2</v>
      </c>
      <c r="AC1441">
        <f t="shared" si="493"/>
        <v>8.4931506849315067E-2</v>
      </c>
      <c r="AD1441">
        <f t="shared" si="494"/>
        <v>8.4931506849315067E-2</v>
      </c>
      <c r="AE1441">
        <f t="shared" si="495"/>
        <v>8.4931506849315067E-2</v>
      </c>
      <c r="AF1441">
        <f t="shared" si="496"/>
        <v>8.4931506849315067E-2</v>
      </c>
      <c r="AG1441">
        <f t="shared" si="497"/>
        <v>0</v>
      </c>
      <c r="AH1441">
        <f t="shared" si="498"/>
        <v>0</v>
      </c>
      <c r="AI1441">
        <f t="shared" si="499"/>
        <v>0</v>
      </c>
      <c r="AJ1441" s="2" t="str">
        <f t="shared" si="509"/>
        <v>947178</v>
      </c>
    </row>
    <row r="1442" spans="1:36" x14ac:dyDescent="0.25">
      <c r="A1442">
        <v>10</v>
      </c>
      <c r="B1442" s="1">
        <v>47178</v>
      </c>
      <c r="C1442" s="1">
        <f t="shared" si="500"/>
        <v>47484</v>
      </c>
      <c r="D1442" s="1">
        <f t="shared" si="501"/>
        <v>47192</v>
      </c>
      <c r="E1442" s="1">
        <f t="shared" si="502"/>
        <v>47484</v>
      </c>
      <c r="F1442" s="1">
        <f t="shared" si="503"/>
        <v>47515</v>
      </c>
      <c r="G1442" s="1">
        <f t="shared" si="504"/>
        <v>47557</v>
      </c>
      <c r="H1442">
        <f t="shared" si="505"/>
        <v>365</v>
      </c>
      <c r="I1442">
        <f t="shared" si="506"/>
        <v>31</v>
      </c>
      <c r="J1442">
        <f t="shared" si="507"/>
        <v>8.4931506849315067E-2</v>
      </c>
      <c r="K1442">
        <f>IFERROR($J1442/IF($A1442&lt;COUNTIFS($K$1:K$1,"&lt;&gt;"),0,SUMIFS($J:$J,$B:$B,$B1442,$A:$A,"&gt;="&amp;COUNTIFS($K$1:K$1,"&lt;&gt;"))),0)</f>
        <v>8.9080459770114959E-2</v>
      </c>
      <c r="L1442">
        <f>IFERROR($J1442/IF($A1442&lt;COUNTIFS($K$1:L$1,"&lt;&gt;"),0,SUMIFS($J:$J,$B:$B,$B1442,$A:$A,"&gt;="&amp;COUNTIFS($K$1:L$1,"&lt;&gt;"))),0)</f>
        <v>9.7484276729559768E-2</v>
      </c>
      <c r="M1442">
        <f>IFERROR($J1442/IF($A1442&lt;COUNTIFS($K$1:M$1,"&lt;&gt;"),0,SUMIFS($J:$J,$B:$B,$B1442,$A:$A,"&gt;="&amp;COUNTIFS($K$1:M$1,"&lt;&gt;"))),0)</f>
        <v>0.10801393728222998</v>
      </c>
      <c r="N1442">
        <f>IFERROR($J1442/IF($A1442&lt;COUNTIFS($K$1:N$1,"&lt;&gt;"),0,SUMIFS($J:$J,$B:$B,$B1442,$A:$A,"&gt;="&amp;COUNTIFS($K$1:N$1,"&lt;&gt;"))),0)</f>
        <v>0.12062256809338523</v>
      </c>
      <c r="O1442">
        <f>IFERROR($J1442/IF($A1442&lt;COUNTIFS($K$1:O$1,"&lt;&gt;"),0,SUMIFS($J:$J,$B:$B,$B1442,$A:$A,"&gt;="&amp;COUNTIFS($K$1:O$1,"&lt;&gt;"))),0)</f>
        <v>0.13716814159292037</v>
      </c>
      <c r="P1442">
        <f>IFERROR($J1442/IF($A1442&lt;COUNTIFS($K$1:P$1,"&lt;&gt;"),0,SUMIFS($J:$J,$B:$B,$B1442,$A:$A,"&gt;="&amp;COUNTIFS($K$1:P$1,"&lt;&gt;"))),0)</f>
        <v>0.15897435897435899</v>
      </c>
      <c r="Q1442">
        <f>IFERROR($J1442/IF($A1442&lt;COUNTIFS($K$1:Q$1,"&lt;&gt;"),0,SUMIFS($J:$J,$B:$B,$B1442,$A:$A,"&gt;="&amp;COUNTIFS($K$1:Q$1,"&lt;&gt;"))),0)</f>
        <v>0.1878787878787879</v>
      </c>
      <c r="R1442">
        <f>IFERROR($J1442/IF($A1442&lt;COUNTIFS($K$1:R$1,"&lt;&gt;"),0,SUMIFS($J:$J,$B:$B,$B1442,$A:$A,"&gt;="&amp;COUNTIFS($K$1:R$1,"&lt;&gt;"))),0)</f>
        <v>0.23134328358208955</v>
      </c>
      <c r="S1442">
        <f>IFERROR($J1442/IF($A1442&lt;COUNTIFS($K$1:S$1,"&lt;&gt;"),0,SUMIFS($J:$J,$B:$B,$B1442,$A:$A,"&gt;="&amp;COUNTIFS($K$1:S$1,"&lt;&gt;"))),0)</f>
        <v>0.29807692307692307</v>
      </c>
      <c r="T1442">
        <f>IFERROR($J1442/IF($A1442&lt;COUNTIFS($K$1:T$1,"&lt;&gt;"),0,SUMIFS($J:$J,$B:$B,$B1442,$A:$A,"&gt;="&amp;COUNTIFS($K$1:T$1,"&lt;&gt;"))),0)</f>
        <v>0.42465753424657532</v>
      </c>
      <c r="U1442">
        <f>IFERROR($J1442/IF($A1442&lt;COUNTIFS($K$1:U$1,"&lt;&gt;"),0,SUMIFS($J:$J,$B:$B,$B1442,$A:$A,"&gt;="&amp;COUNTIFS($K$1:U$1,"&lt;&gt;"))),0)</f>
        <v>0</v>
      </c>
      <c r="V1442">
        <f>IFERROR($J1442/IF($A1442&lt;COUNTIFS($K$1:V$1,"&lt;&gt;"),0,SUMIFS($J:$J,$B:$B,$B1442,$A:$A,"&gt;="&amp;COUNTIFS($K$1:V$1,"&lt;&gt;"))),0)</f>
        <v>0</v>
      </c>
      <c r="W1442">
        <f t="shared" si="508"/>
        <v>8.4931506849315067E-2</v>
      </c>
      <c r="X1442">
        <f t="shared" si="488"/>
        <v>8.4931506849315067E-2</v>
      </c>
      <c r="Y1442">
        <f t="shared" si="489"/>
        <v>8.4931506849315067E-2</v>
      </c>
      <c r="Z1442">
        <f t="shared" si="490"/>
        <v>8.4931506849315067E-2</v>
      </c>
      <c r="AA1442">
        <f t="shared" si="491"/>
        <v>8.4931506849315067E-2</v>
      </c>
      <c r="AB1442">
        <f t="shared" si="492"/>
        <v>8.4931506849315067E-2</v>
      </c>
      <c r="AC1442">
        <f t="shared" si="493"/>
        <v>8.4931506849315067E-2</v>
      </c>
      <c r="AD1442">
        <f t="shared" si="494"/>
        <v>8.4931506849315067E-2</v>
      </c>
      <c r="AE1442">
        <f t="shared" si="495"/>
        <v>8.4931506849315067E-2</v>
      </c>
      <c r="AF1442">
        <f t="shared" si="496"/>
        <v>8.4931506849315067E-2</v>
      </c>
      <c r="AG1442">
        <f t="shared" si="497"/>
        <v>8.4931506849315067E-2</v>
      </c>
      <c r="AH1442">
        <f t="shared" si="498"/>
        <v>0</v>
      </c>
      <c r="AI1442">
        <f t="shared" si="499"/>
        <v>0</v>
      </c>
      <c r="AJ1442" s="2" t="str">
        <f t="shared" si="509"/>
        <v>1047178</v>
      </c>
    </row>
    <row r="1443" spans="1:36" x14ac:dyDescent="0.25">
      <c r="A1443">
        <v>11</v>
      </c>
      <c r="B1443" s="1">
        <v>47178</v>
      </c>
      <c r="C1443" s="1">
        <f t="shared" si="500"/>
        <v>47515</v>
      </c>
      <c r="D1443" s="1">
        <f t="shared" si="501"/>
        <v>47192</v>
      </c>
      <c r="E1443" s="1">
        <f t="shared" si="502"/>
        <v>47515</v>
      </c>
      <c r="F1443" s="1">
        <f t="shared" si="503"/>
        <v>47543</v>
      </c>
      <c r="G1443" s="1">
        <f t="shared" si="504"/>
        <v>47557</v>
      </c>
      <c r="H1443">
        <f t="shared" si="505"/>
        <v>365</v>
      </c>
      <c r="I1443">
        <f t="shared" si="506"/>
        <v>28</v>
      </c>
      <c r="J1443">
        <f t="shared" si="507"/>
        <v>7.6712328767123292E-2</v>
      </c>
      <c r="K1443">
        <f>IFERROR($J1443/IF($A1443&lt;COUNTIFS($K$1:K$1,"&lt;&gt;"),0,SUMIFS($J:$J,$B:$B,$B1443,$A:$A,"&gt;="&amp;COUNTIFS($K$1:K$1,"&lt;&gt;"))),0)</f>
        <v>8.0459770114942541E-2</v>
      </c>
      <c r="L1443">
        <f>IFERROR($J1443/IF($A1443&lt;COUNTIFS($K$1:L$1,"&lt;&gt;"),0,SUMIFS($J:$J,$B:$B,$B1443,$A:$A,"&gt;="&amp;COUNTIFS($K$1:L$1,"&lt;&gt;"))),0)</f>
        <v>8.8050314465408827E-2</v>
      </c>
      <c r="M1443">
        <f>IFERROR($J1443/IF($A1443&lt;COUNTIFS($K$1:M$1,"&lt;&gt;"),0,SUMIFS($J:$J,$B:$B,$B1443,$A:$A,"&gt;="&amp;COUNTIFS($K$1:M$1,"&lt;&gt;"))),0)</f>
        <v>9.7560975609756115E-2</v>
      </c>
      <c r="N1443">
        <f>IFERROR($J1443/IF($A1443&lt;COUNTIFS($K$1:N$1,"&lt;&gt;"),0,SUMIFS($J:$J,$B:$B,$B1443,$A:$A,"&gt;="&amp;COUNTIFS($K$1:N$1,"&lt;&gt;"))),0)</f>
        <v>0.10894941634241248</v>
      </c>
      <c r="O1443">
        <f>IFERROR($J1443/IF($A1443&lt;COUNTIFS($K$1:O$1,"&lt;&gt;"),0,SUMIFS($J:$J,$B:$B,$B1443,$A:$A,"&gt;="&amp;COUNTIFS($K$1:O$1,"&lt;&gt;"))),0)</f>
        <v>0.12389380530973454</v>
      </c>
      <c r="P1443">
        <f>IFERROR($J1443/IF($A1443&lt;COUNTIFS($K$1:P$1,"&lt;&gt;"),0,SUMIFS($J:$J,$B:$B,$B1443,$A:$A,"&gt;="&amp;COUNTIFS($K$1:P$1,"&lt;&gt;"))),0)</f>
        <v>0.14358974358974361</v>
      </c>
      <c r="Q1443">
        <f>IFERROR($J1443/IF($A1443&lt;COUNTIFS($K$1:Q$1,"&lt;&gt;"),0,SUMIFS($J:$J,$B:$B,$B1443,$A:$A,"&gt;="&amp;COUNTIFS($K$1:Q$1,"&lt;&gt;"))),0)</f>
        <v>0.16969696969696971</v>
      </c>
      <c r="R1443">
        <f>IFERROR($J1443/IF($A1443&lt;COUNTIFS($K$1:R$1,"&lt;&gt;"),0,SUMIFS($J:$J,$B:$B,$B1443,$A:$A,"&gt;="&amp;COUNTIFS($K$1:R$1,"&lt;&gt;"))),0)</f>
        <v>0.20895522388059704</v>
      </c>
      <c r="S1443">
        <f>IFERROR($J1443/IF($A1443&lt;COUNTIFS($K$1:S$1,"&lt;&gt;"),0,SUMIFS($J:$J,$B:$B,$B1443,$A:$A,"&gt;="&amp;COUNTIFS($K$1:S$1,"&lt;&gt;"))),0)</f>
        <v>0.26923076923076927</v>
      </c>
      <c r="T1443">
        <f>IFERROR($J1443/IF($A1443&lt;COUNTIFS($K$1:T$1,"&lt;&gt;"),0,SUMIFS($J:$J,$B:$B,$B1443,$A:$A,"&gt;="&amp;COUNTIFS($K$1:T$1,"&lt;&gt;"))),0)</f>
        <v>0.38356164383561642</v>
      </c>
      <c r="U1443">
        <f>IFERROR($J1443/IF($A1443&lt;COUNTIFS($K$1:U$1,"&lt;&gt;"),0,SUMIFS($J:$J,$B:$B,$B1443,$A:$A,"&gt;="&amp;COUNTIFS($K$1:U$1,"&lt;&gt;"))),0)</f>
        <v>0.66666666666666674</v>
      </c>
      <c r="V1443">
        <f>IFERROR($J1443/IF($A1443&lt;COUNTIFS($K$1:V$1,"&lt;&gt;"),0,SUMIFS($J:$J,$B:$B,$B1443,$A:$A,"&gt;="&amp;COUNTIFS($K$1:V$1,"&lt;&gt;"))),0)</f>
        <v>0</v>
      </c>
      <c r="W1443">
        <f t="shared" si="508"/>
        <v>7.6712328767123292E-2</v>
      </c>
      <c r="X1443">
        <f t="shared" si="488"/>
        <v>7.6712328767123292E-2</v>
      </c>
      <c r="Y1443">
        <f t="shared" si="489"/>
        <v>7.6712328767123292E-2</v>
      </c>
      <c r="Z1443">
        <f t="shared" si="490"/>
        <v>7.6712328767123292E-2</v>
      </c>
      <c r="AA1443">
        <f t="shared" si="491"/>
        <v>7.6712328767123292E-2</v>
      </c>
      <c r="AB1443">
        <f t="shared" si="492"/>
        <v>7.6712328767123292E-2</v>
      </c>
      <c r="AC1443">
        <f t="shared" si="493"/>
        <v>7.6712328767123292E-2</v>
      </c>
      <c r="AD1443">
        <f t="shared" si="494"/>
        <v>7.6712328767123292E-2</v>
      </c>
      <c r="AE1443">
        <f t="shared" si="495"/>
        <v>7.6712328767123292E-2</v>
      </c>
      <c r="AF1443">
        <f t="shared" si="496"/>
        <v>7.6712328767123292E-2</v>
      </c>
      <c r="AG1443">
        <f t="shared" si="497"/>
        <v>7.6712328767123292E-2</v>
      </c>
      <c r="AH1443">
        <f t="shared" si="498"/>
        <v>7.6712328767123292E-2</v>
      </c>
      <c r="AI1443">
        <f t="shared" si="499"/>
        <v>0</v>
      </c>
      <c r="AJ1443" s="2" t="str">
        <f t="shared" si="509"/>
        <v>1147178</v>
      </c>
    </row>
    <row r="1444" spans="1:36" x14ac:dyDescent="0.25">
      <c r="A1444">
        <v>12</v>
      </c>
      <c r="B1444" s="1">
        <v>47178</v>
      </c>
      <c r="C1444" s="1">
        <f t="shared" si="500"/>
        <v>47543</v>
      </c>
      <c r="D1444" s="1">
        <f t="shared" si="501"/>
        <v>47192</v>
      </c>
      <c r="E1444" s="1">
        <f t="shared" si="502"/>
        <v>47543</v>
      </c>
      <c r="F1444" s="1">
        <f t="shared" si="503"/>
        <v>47557</v>
      </c>
      <c r="G1444" s="1">
        <f t="shared" si="504"/>
        <v>47557</v>
      </c>
      <c r="H1444">
        <f t="shared" si="505"/>
        <v>365</v>
      </c>
      <c r="I1444">
        <f t="shared" si="506"/>
        <v>14</v>
      </c>
      <c r="J1444">
        <f t="shared" si="507"/>
        <v>3.8356164383561646E-2</v>
      </c>
      <c r="K1444">
        <f>IFERROR($J1444/IF($A1444&lt;COUNTIFS($K$1:K$1,"&lt;&gt;"),0,SUMIFS($J:$J,$B:$B,$B1444,$A:$A,"&gt;="&amp;COUNTIFS($K$1:K$1,"&lt;&gt;"))),0)</f>
        <v>4.0229885057471271E-2</v>
      </c>
      <c r="L1444">
        <f>IFERROR($J1444/IF($A1444&lt;COUNTIFS($K$1:L$1,"&lt;&gt;"),0,SUMIFS($J:$J,$B:$B,$B1444,$A:$A,"&gt;="&amp;COUNTIFS($K$1:L$1,"&lt;&gt;"))),0)</f>
        <v>4.4025157232704414E-2</v>
      </c>
      <c r="M1444">
        <f>IFERROR($J1444/IF($A1444&lt;COUNTIFS($K$1:M$1,"&lt;&gt;"),0,SUMIFS($J:$J,$B:$B,$B1444,$A:$A,"&gt;="&amp;COUNTIFS($K$1:M$1,"&lt;&gt;"))),0)</f>
        <v>4.8780487804878057E-2</v>
      </c>
      <c r="N1444">
        <f>IFERROR($J1444/IF($A1444&lt;COUNTIFS($K$1:N$1,"&lt;&gt;"),0,SUMIFS($J:$J,$B:$B,$B1444,$A:$A,"&gt;="&amp;COUNTIFS($K$1:N$1,"&lt;&gt;"))),0)</f>
        <v>5.447470817120624E-2</v>
      </c>
      <c r="O1444">
        <f>IFERROR($J1444/IF($A1444&lt;COUNTIFS($K$1:O$1,"&lt;&gt;"),0,SUMIFS($J:$J,$B:$B,$B1444,$A:$A,"&gt;="&amp;COUNTIFS($K$1:O$1,"&lt;&gt;"))),0)</f>
        <v>6.194690265486727E-2</v>
      </c>
      <c r="P1444">
        <f>IFERROR($J1444/IF($A1444&lt;COUNTIFS($K$1:P$1,"&lt;&gt;"),0,SUMIFS($J:$J,$B:$B,$B1444,$A:$A,"&gt;="&amp;COUNTIFS($K$1:P$1,"&lt;&gt;"))),0)</f>
        <v>7.1794871794871803E-2</v>
      </c>
      <c r="Q1444">
        <f>IFERROR($J1444/IF($A1444&lt;COUNTIFS($K$1:Q$1,"&lt;&gt;"),0,SUMIFS($J:$J,$B:$B,$B1444,$A:$A,"&gt;="&amp;COUNTIFS($K$1:Q$1,"&lt;&gt;"))),0)</f>
        <v>8.4848484848484854E-2</v>
      </c>
      <c r="R1444">
        <f>IFERROR($J1444/IF($A1444&lt;COUNTIFS($K$1:R$1,"&lt;&gt;"),0,SUMIFS($J:$J,$B:$B,$B1444,$A:$A,"&gt;="&amp;COUNTIFS($K$1:R$1,"&lt;&gt;"))),0)</f>
        <v>0.10447761194029852</v>
      </c>
      <c r="S1444">
        <f>IFERROR($J1444/IF($A1444&lt;COUNTIFS($K$1:S$1,"&lt;&gt;"),0,SUMIFS($J:$J,$B:$B,$B1444,$A:$A,"&gt;="&amp;COUNTIFS($K$1:S$1,"&lt;&gt;"))),0)</f>
        <v>0.13461538461538464</v>
      </c>
      <c r="T1444">
        <f>IFERROR($J1444/IF($A1444&lt;COUNTIFS($K$1:T$1,"&lt;&gt;"),0,SUMIFS($J:$J,$B:$B,$B1444,$A:$A,"&gt;="&amp;COUNTIFS($K$1:T$1,"&lt;&gt;"))),0)</f>
        <v>0.19178082191780821</v>
      </c>
      <c r="U1444">
        <f>IFERROR($J1444/IF($A1444&lt;COUNTIFS($K$1:U$1,"&lt;&gt;"),0,SUMIFS($J:$J,$B:$B,$B1444,$A:$A,"&gt;="&amp;COUNTIFS($K$1:U$1,"&lt;&gt;"))),0)</f>
        <v>0.33333333333333337</v>
      </c>
      <c r="V1444">
        <f>IFERROR($J1444/IF($A1444&lt;COUNTIFS($K$1:V$1,"&lt;&gt;"),0,SUMIFS($J:$J,$B:$B,$B1444,$A:$A,"&gt;="&amp;COUNTIFS($K$1:V$1,"&lt;&gt;"))),0)</f>
        <v>1</v>
      </c>
      <c r="W1444">
        <f t="shared" si="508"/>
        <v>3.8356164383561646E-2</v>
      </c>
      <c r="X1444">
        <f t="shared" si="488"/>
        <v>3.8356164383561646E-2</v>
      </c>
      <c r="Y1444">
        <f t="shared" si="489"/>
        <v>3.8356164383561646E-2</v>
      </c>
      <c r="Z1444">
        <f t="shared" si="490"/>
        <v>3.8356164383561646E-2</v>
      </c>
      <c r="AA1444">
        <f t="shared" si="491"/>
        <v>3.8356164383561646E-2</v>
      </c>
      <c r="AB1444">
        <f t="shared" si="492"/>
        <v>3.8356164383561646E-2</v>
      </c>
      <c r="AC1444">
        <f t="shared" si="493"/>
        <v>3.8356164383561646E-2</v>
      </c>
      <c r="AD1444">
        <f t="shared" si="494"/>
        <v>3.8356164383561646E-2</v>
      </c>
      <c r="AE1444">
        <f t="shared" si="495"/>
        <v>3.8356164383561646E-2</v>
      </c>
      <c r="AF1444">
        <f t="shared" si="496"/>
        <v>3.8356164383561646E-2</v>
      </c>
      <c r="AG1444">
        <f t="shared" si="497"/>
        <v>3.8356164383561646E-2</v>
      </c>
      <c r="AH1444">
        <f t="shared" si="498"/>
        <v>3.8356164383561646E-2</v>
      </c>
      <c r="AI1444">
        <f t="shared" si="499"/>
        <v>3.8356164383561646E-2</v>
      </c>
      <c r="AJ1444" s="2" t="str">
        <f t="shared" si="509"/>
        <v>1247178</v>
      </c>
    </row>
    <row r="1445" spans="1:36" x14ac:dyDescent="0.25">
      <c r="A1445">
        <v>0</v>
      </c>
      <c r="B1445" s="1">
        <v>47209</v>
      </c>
      <c r="C1445" s="1">
        <f t="shared" si="500"/>
        <v>47209</v>
      </c>
      <c r="D1445" s="1">
        <f t="shared" si="501"/>
        <v>47223</v>
      </c>
      <c r="E1445" s="1">
        <f t="shared" si="502"/>
        <v>47223</v>
      </c>
      <c r="F1445" s="1">
        <f t="shared" si="503"/>
        <v>47239</v>
      </c>
      <c r="G1445" s="1">
        <f t="shared" si="504"/>
        <v>47588</v>
      </c>
      <c r="H1445">
        <f t="shared" si="505"/>
        <v>365</v>
      </c>
      <c r="I1445">
        <f t="shared" si="506"/>
        <v>16</v>
      </c>
      <c r="J1445">
        <f t="shared" si="507"/>
        <v>4.3835616438356165E-2</v>
      </c>
      <c r="K1445">
        <f>IFERROR($J1445/IF($A1445&lt;COUNTIFS($K$1:K$1,"&lt;&gt;"),0,SUMIFS($J:$J,$B:$B,$B1445,$A:$A,"&gt;="&amp;COUNTIFS($K$1:K$1,"&lt;&gt;"))),0)</f>
        <v>0</v>
      </c>
      <c r="L1445">
        <f>IFERROR($J1445/IF($A1445&lt;COUNTIFS($K$1:L$1,"&lt;&gt;"),0,SUMIFS($J:$J,$B:$B,$B1445,$A:$A,"&gt;="&amp;COUNTIFS($K$1:L$1,"&lt;&gt;"))),0)</f>
        <v>0</v>
      </c>
      <c r="M1445">
        <f>IFERROR($J1445/IF($A1445&lt;COUNTIFS($K$1:M$1,"&lt;&gt;"),0,SUMIFS($J:$J,$B:$B,$B1445,$A:$A,"&gt;="&amp;COUNTIFS($K$1:M$1,"&lt;&gt;"))),0)</f>
        <v>0</v>
      </c>
      <c r="N1445">
        <f>IFERROR($J1445/IF($A1445&lt;COUNTIFS($K$1:N$1,"&lt;&gt;"),0,SUMIFS($J:$J,$B:$B,$B1445,$A:$A,"&gt;="&amp;COUNTIFS($K$1:N$1,"&lt;&gt;"))),0)</f>
        <v>0</v>
      </c>
      <c r="O1445">
        <f>IFERROR($J1445/IF($A1445&lt;COUNTIFS($K$1:O$1,"&lt;&gt;"),0,SUMIFS($J:$J,$B:$B,$B1445,$A:$A,"&gt;="&amp;COUNTIFS($K$1:O$1,"&lt;&gt;"))),0)</f>
        <v>0</v>
      </c>
      <c r="P1445">
        <f>IFERROR($J1445/IF($A1445&lt;COUNTIFS($K$1:P$1,"&lt;&gt;"),0,SUMIFS($J:$J,$B:$B,$B1445,$A:$A,"&gt;="&amp;COUNTIFS($K$1:P$1,"&lt;&gt;"))),0)</f>
        <v>0</v>
      </c>
      <c r="Q1445">
        <f>IFERROR($J1445/IF($A1445&lt;COUNTIFS($K$1:Q$1,"&lt;&gt;"),0,SUMIFS($J:$J,$B:$B,$B1445,$A:$A,"&gt;="&amp;COUNTIFS($K$1:Q$1,"&lt;&gt;"))),0)</f>
        <v>0</v>
      </c>
      <c r="R1445">
        <f>IFERROR($J1445/IF($A1445&lt;COUNTIFS($K$1:R$1,"&lt;&gt;"),0,SUMIFS($J:$J,$B:$B,$B1445,$A:$A,"&gt;="&amp;COUNTIFS($K$1:R$1,"&lt;&gt;"))),0)</f>
        <v>0</v>
      </c>
      <c r="S1445">
        <f>IFERROR($J1445/IF($A1445&lt;COUNTIFS($K$1:S$1,"&lt;&gt;"),0,SUMIFS($J:$J,$B:$B,$B1445,$A:$A,"&gt;="&amp;COUNTIFS($K$1:S$1,"&lt;&gt;"))),0)</f>
        <v>0</v>
      </c>
      <c r="T1445">
        <f>IFERROR($J1445/IF($A1445&lt;COUNTIFS($K$1:T$1,"&lt;&gt;"),0,SUMIFS($J:$J,$B:$B,$B1445,$A:$A,"&gt;="&amp;COUNTIFS($K$1:T$1,"&lt;&gt;"))),0)</f>
        <v>0</v>
      </c>
      <c r="U1445">
        <f>IFERROR($J1445/IF($A1445&lt;COUNTIFS($K$1:U$1,"&lt;&gt;"),0,SUMIFS($J:$J,$B:$B,$B1445,$A:$A,"&gt;="&amp;COUNTIFS($K$1:U$1,"&lt;&gt;"))),0)</f>
        <v>0</v>
      </c>
      <c r="V1445">
        <f>IFERROR($J1445/IF($A1445&lt;COUNTIFS($K$1:V$1,"&lt;&gt;"),0,SUMIFS($J:$J,$B:$B,$B1445,$A:$A,"&gt;="&amp;COUNTIFS($K$1:V$1,"&lt;&gt;"))),0)</f>
        <v>0</v>
      </c>
      <c r="W1445">
        <f t="shared" si="508"/>
        <v>4.3835616438356165E-2</v>
      </c>
      <c r="X1445">
        <f t="shared" si="488"/>
        <v>0</v>
      </c>
      <c r="Y1445">
        <f t="shared" si="489"/>
        <v>0</v>
      </c>
      <c r="Z1445">
        <f t="shared" si="490"/>
        <v>0</v>
      </c>
      <c r="AA1445">
        <f t="shared" si="491"/>
        <v>0</v>
      </c>
      <c r="AB1445">
        <f t="shared" si="492"/>
        <v>0</v>
      </c>
      <c r="AC1445">
        <f t="shared" si="493"/>
        <v>0</v>
      </c>
      <c r="AD1445">
        <f t="shared" si="494"/>
        <v>0</v>
      </c>
      <c r="AE1445">
        <f t="shared" si="495"/>
        <v>0</v>
      </c>
      <c r="AF1445">
        <f t="shared" si="496"/>
        <v>0</v>
      </c>
      <c r="AG1445">
        <f t="shared" si="497"/>
        <v>0</v>
      </c>
      <c r="AH1445">
        <f t="shared" si="498"/>
        <v>0</v>
      </c>
      <c r="AI1445">
        <f t="shared" si="499"/>
        <v>0</v>
      </c>
      <c r="AJ1445" s="2" t="str">
        <f t="shared" si="509"/>
        <v>047209</v>
      </c>
    </row>
    <row r="1446" spans="1:36" x14ac:dyDescent="0.25">
      <c r="A1446">
        <v>1</v>
      </c>
      <c r="B1446" s="1">
        <v>47209</v>
      </c>
      <c r="C1446" s="1">
        <f t="shared" si="500"/>
        <v>47239</v>
      </c>
      <c r="D1446" s="1">
        <f t="shared" si="501"/>
        <v>47223</v>
      </c>
      <c r="E1446" s="1">
        <f t="shared" si="502"/>
        <v>47239</v>
      </c>
      <c r="F1446" s="1">
        <f t="shared" si="503"/>
        <v>47270</v>
      </c>
      <c r="G1446" s="1">
        <f t="shared" si="504"/>
        <v>47588</v>
      </c>
      <c r="H1446">
        <f t="shared" si="505"/>
        <v>365</v>
      </c>
      <c r="I1446">
        <f t="shared" si="506"/>
        <v>31</v>
      </c>
      <c r="J1446">
        <f t="shared" si="507"/>
        <v>8.4931506849315067E-2</v>
      </c>
      <c r="K1446">
        <f>IFERROR($J1446/IF($A1446&lt;COUNTIFS($K$1:K$1,"&lt;&gt;"),0,SUMIFS($J:$J,$B:$B,$B1446,$A:$A,"&gt;="&amp;COUNTIFS($K$1:K$1,"&lt;&gt;"))),0)</f>
        <v>8.8825214899713484E-2</v>
      </c>
      <c r="L1446">
        <f>IFERROR($J1446/IF($A1446&lt;COUNTIFS($K$1:L$1,"&lt;&gt;"),0,SUMIFS($J:$J,$B:$B,$B1446,$A:$A,"&gt;="&amp;COUNTIFS($K$1:L$1,"&lt;&gt;"))),0)</f>
        <v>0</v>
      </c>
      <c r="M1446">
        <f>IFERROR($J1446/IF($A1446&lt;COUNTIFS($K$1:M$1,"&lt;&gt;"),0,SUMIFS($J:$J,$B:$B,$B1446,$A:$A,"&gt;="&amp;COUNTIFS($K$1:M$1,"&lt;&gt;"))),0)</f>
        <v>0</v>
      </c>
      <c r="N1446">
        <f>IFERROR($J1446/IF($A1446&lt;COUNTIFS($K$1:N$1,"&lt;&gt;"),0,SUMIFS($J:$J,$B:$B,$B1446,$A:$A,"&gt;="&amp;COUNTIFS($K$1:N$1,"&lt;&gt;"))),0)</f>
        <v>0</v>
      </c>
      <c r="O1446">
        <f>IFERROR($J1446/IF($A1446&lt;COUNTIFS($K$1:O$1,"&lt;&gt;"),0,SUMIFS($J:$J,$B:$B,$B1446,$A:$A,"&gt;="&amp;COUNTIFS($K$1:O$1,"&lt;&gt;"))),0)</f>
        <v>0</v>
      </c>
      <c r="P1446">
        <f>IFERROR($J1446/IF($A1446&lt;COUNTIFS($K$1:P$1,"&lt;&gt;"),0,SUMIFS($J:$J,$B:$B,$B1446,$A:$A,"&gt;="&amp;COUNTIFS($K$1:P$1,"&lt;&gt;"))),0)</f>
        <v>0</v>
      </c>
      <c r="Q1446">
        <f>IFERROR($J1446/IF($A1446&lt;COUNTIFS($K$1:Q$1,"&lt;&gt;"),0,SUMIFS($J:$J,$B:$B,$B1446,$A:$A,"&gt;="&amp;COUNTIFS($K$1:Q$1,"&lt;&gt;"))),0)</f>
        <v>0</v>
      </c>
      <c r="R1446">
        <f>IFERROR($J1446/IF($A1446&lt;COUNTIFS($K$1:R$1,"&lt;&gt;"),0,SUMIFS($J:$J,$B:$B,$B1446,$A:$A,"&gt;="&amp;COUNTIFS($K$1:R$1,"&lt;&gt;"))),0)</f>
        <v>0</v>
      </c>
      <c r="S1446">
        <f>IFERROR($J1446/IF($A1446&lt;COUNTIFS($K$1:S$1,"&lt;&gt;"),0,SUMIFS($J:$J,$B:$B,$B1446,$A:$A,"&gt;="&amp;COUNTIFS($K$1:S$1,"&lt;&gt;"))),0)</f>
        <v>0</v>
      </c>
      <c r="T1446">
        <f>IFERROR($J1446/IF($A1446&lt;COUNTIFS($K$1:T$1,"&lt;&gt;"),0,SUMIFS($J:$J,$B:$B,$B1446,$A:$A,"&gt;="&amp;COUNTIFS($K$1:T$1,"&lt;&gt;"))),0)</f>
        <v>0</v>
      </c>
      <c r="U1446">
        <f>IFERROR($J1446/IF($A1446&lt;COUNTIFS($K$1:U$1,"&lt;&gt;"),0,SUMIFS($J:$J,$B:$B,$B1446,$A:$A,"&gt;="&amp;COUNTIFS($K$1:U$1,"&lt;&gt;"))),0)</f>
        <v>0</v>
      </c>
      <c r="V1446">
        <f>IFERROR($J1446/IF($A1446&lt;COUNTIFS($K$1:V$1,"&lt;&gt;"),0,SUMIFS($J:$J,$B:$B,$B1446,$A:$A,"&gt;="&amp;COUNTIFS($K$1:V$1,"&lt;&gt;"))),0)</f>
        <v>0</v>
      </c>
      <c r="W1446">
        <f t="shared" si="508"/>
        <v>8.4931506849315067E-2</v>
      </c>
      <c r="X1446">
        <f t="shared" si="488"/>
        <v>8.4931506849315067E-2</v>
      </c>
      <c r="Y1446">
        <f t="shared" si="489"/>
        <v>0</v>
      </c>
      <c r="Z1446">
        <f t="shared" si="490"/>
        <v>0</v>
      </c>
      <c r="AA1446">
        <f t="shared" si="491"/>
        <v>0</v>
      </c>
      <c r="AB1446">
        <f t="shared" si="492"/>
        <v>0</v>
      </c>
      <c r="AC1446">
        <f t="shared" si="493"/>
        <v>0</v>
      </c>
      <c r="AD1446">
        <f t="shared" si="494"/>
        <v>0</v>
      </c>
      <c r="AE1446">
        <f t="shared" si="495"/>
        <v>0</v>
      </c>
      <c r="AF1446">
        <f t="shared" si="496"/>
        <v>0</v>
      </c>
      <c r="AG1446">
        <f t="shared" si="497"/>
        <v>0</v>
      </c>
      <c r="AH1446">
        <f t="shared" si="498"/>
        <v>0</v>
      </c>
      <c r="AI1446">
        <f t="shared" si="499"/>
        <v>0</v>
      </c>
      <c r="AJ1446" s="2" t="str">
        <f t="shared" si="509"/>
        <v>147209</v>
      </c>
    </row>
    <row r="1447" spans="1:36" x14ac:dyDescent="0.25">
      <c r="A1447">
        <v>2</v>
      </c>
      <c r="B1447" s="1">
        <v>47209</v>
      </c>
      <c r="C1447" s="1">
        <f t="shared" si="500"/>
        <v>47270</v>
      </c>
      <c r="D1447" s="1">
        <f t="shared" si="501"/>
        <v>47223</v>
      </c>
      <c r="E1447" s="1">
        <f t="shared" si="502"/>
        <v>47270</v>
      </c>
      <c r="F1447" s="1">
        <f t="shared" si="503"/>
        <v>47300</v>
      </c>
      <c r="G1447" s="1">
        <f t="shared" si="504"/>
        <v>47588</v>
      </c>
      <c r="H1447">
        <f t="shared" si="505"/>
        <v>365</v>
      </c>
      <c r="I1447">
        <f t="shared" si="506"/>
        <v>30</v>
      </c>
      <c r="J1447">
        <f t="shared" si="507"/>
        <v>8.2191780821917804E-2</v>
      </c>
      <c r="K1447">
        <f>IFERROR($J1447/IF($A1447&lt;COUNTIFS($K$1:K$1,"&lt;&gt;"),0,SUMIFS($J:$J,$B:$B,$B1447,$A:$A,"&gt;="&amp;COUNTIFS($K$1:K$1,"&lt;&gt;"))),0)</f>
        <v>8.5959885386819493E-2</v>
      </c>
      <c r="L1447">
        <f>IFERROR($J1447/IF($A1447&lt;COUNTIFS($K$1:L$1,"&lt;&gt;"),0,SUMIFS($J:$J,$B:$B,$B1447,$A:$A,"&gt;="&amp;COUNTIFS($K$1:L$1,"&lt;&gt;"))),0)</f>
        <v>9.4339622641509441E-2</v>
      </c>
      <c r="M1447">
        <f>IFERROR($J1447/IF($A1447&lt;COUNTIFS($K$1:M$1,"&lt;&gt;"),0,SUMIFS($J:$J,$B:$B,$B1447,$A:$A,"&gt;="&amp;COUNTIFS($K$1:M$1,"&lt;&gt;"))),0)</f>
        <v>0</v>
      </c>
      <c r="N1447">
        <f>IFERROR($J1447/IF($A1447&lt;COUNTIFS($K$1:N$1,"&lt;&gt;"),0,SUMIFS($J:$J,$B:$B,$B1447,$A:$A,"&gt;="&amp;COUNTIFS($K$1:N$1,"&lt;&gt;"))),0)</f>
        <v>0</v>
      </c>
      <c r="O1447">
        <f>IFERROR($J1447/IF($A1447&lt;COUNTIFS($K$1:O$1,"&lt;&gt;"),0,SUMIFS($J:$J,$B:$B,$B1447,$A:$A,"&gt;="&amp;COUNTIFS($K$1:O$1,"&lt;&gt;"))),0)</f>
        <v>0</v>
      </c>
      <c r="P1447">
        <f>IFERROR($J1447/IF($A1447&lt;COUNTIFS($K$1:P$1,"&lt;&gt;"),0,SUMIFS($J:$J,$B:$B,$B1447,$A:$A,"&gt;="&amp;COUNTIFS($K$1:P$1,"&lt;&gt;"))),0)</f>
        <v>0</v>
      </c>
      <c r="Q1447">
        <f>IFERROR($J1447/IF($A1447&lt;COUNTIFS($K$1:Q$1,"&lt;&gt;"),0,SUMIFS($J:$J,$B:$B,$B1447,$A:$A,"&gt;="&amp;COUNTIFS($K$1:Q$1,"&lt;&gt;"))),0)</f>
        <v>0</v>
      </c>
      <c r="R1447">
        <f>IFERROR($J1447/IF($A1447&lt;COUNTIFS($K$1:R$1,"&lt;&gt;"),0,SUMIFS($J:$J,$B:$B,$B1447,$A:$A,"&gt;="&amp;COUNTIFS($K$1:R$1,"&lt;&gt;"))),0)</f>
        <v>0</v>
      </c>
      <c r="S1447">
        <f>IFERROR($J1447/IF($A1447&lt;COUNTIFS($K$1:S$1,"&lt;&gt;"),0,SUMIFS($J:$J,$B:$B,$B1447,$A:$A,"&gt;="&amp;COUNTIFS($K$1:S$1,"&lt;&gt;"))),0)</f>
        <v>0</v>
      </c>
      <c r="T1447">
        <f>IFERROR($J1447/IF($A1447&lt;COUNTIFS($K$1:T$1,"&lt;&gt;"),0,SUMIFS($J:$J,$B:$B,$B1447,$A:$A,"&gt;="&amp;COUNTIFS($K$1:T$1,"&lt;&gt;"))),0)</f>
        <v>0</v>
      </c>
      <c r="U1447">
        <f>IFERROR($J1447/IF($A1447&lt;COUNTIFS($K$1:U$1,"&lt;&gt;"),0,SUMIFS($J:$J,$B:$B,$B1447,$A:$A,"&gt;="&amp;COUNTIFS($K$1:U$1,"&lt;&gt;"))),0)</f>
        <v>0</v>
      </c>
      <c r="V1447">
        <f>IFERROR($J1447/IF($A1447&lt;COUNTIFS($K$1:V$1,"&lt;&gt;"),0,SUMIFS($J:$J,$B:$B,$B1447,$A:$A,"&gt;="&amp;COUNTIFS($K$1:V$1,"&lt;&gt;"))),0)</f>
        <v>0</v>
      </c>
      <c r="W1447">
        <f t="shared" si="508"/>
        <v>8.2191780821917804E-2</v>
      </c>
      <c r="X1447">
        <f t="shared" si="488"/>
        <v>8.2191780821917804E-2</v>
      </c>
      <c r="Y1447">
        <f t="shared" si="489"/>
        <v>8.2191780821917804E-2</v>
      </c>
      <c r="Z1447">
        <f t="shared" si="490"/>
        <v>0</v>
      </c>
      <c r="AA1447">
        <f t="shared" si="491"/>
        <v>0</v>
      </c>
      <c r="AB1447">
        <f t="shared" si="492"/>
        <v>0</v>
      </c>
      <c r="AC1447">
        <f t="shared" si="493"/>
        <v>0</v>
      </c>
      <c r="AD1447">
        <f t="shared" si="494"/>
        <v>0</v>
      </c>
      <c r="AE1447">
        <f t="shared" si="495"/>
        <v>0</v>
      </c>
      <c r="AF1447">
        <f t="shared" si="496"/>
        <v>0</v>
      </c>
      <c r="AG1447">
        <f t="shared" si="497"/>
        <v>0</v>
      </c>
      <c r="AH1447">
        <f t="shared" si="498"/>
        <v>0</v>
      </c>
      <c r="AI1447">
        <f t="shared" si="499"/>
        <v>0</v>
      </c>
      <c r="AJ1447" s="2" t="str">
        <f t="shared" si="509"/>
        <v>247209</v>
      </c>
    </row>
    <row r="1448" spans="1:36" x14ac:dyDescent="0.25">
      <c r="A1448">
        <v>3</v>
      </c>
      <c r="B1448" s="1">
        <v>47209</v>
      </c>
      <c r="C1448" s="1">
        <f t="shared" si="500"/>
        <v>47300</v>
      </c>
      <c r="D1448" s="1">
        <f t="shared" si="501"/>
        <v>47223</v>
      </c>
      <c r="E1448" s="1">
        <f t="shared" si="502"/>
        <v>47300</v>
      </c>
      <c r="F1448" s="1">
        <f t="shared" si="503"/>
        <v>47331</v>
      </c>
      <c r="G1448" s="1">
        <f t="shared" si="504"/>
        <v>47588</v>
      </c>
      <c r="H1448">
        <f t="shared" si="505"/>
        <v>365</v>
      </c>
      <c r="I1448">
        <f t="shared" si="506"/>
        <v>31</v>
      </c>
      <c r="J1448">
        <f t="shared" si="507"/>
        <v>8.4931506849315067E-2</v>
      </c>
      <c r="K1448">
        <f>IFERROR($J1448/IF($A1448&lt;COUNTIFS($K$1:K$1,"&lt;&gt;"),0,SUMIFS($J:$J,$B:$B,$B1448,$A:$A,"&gt;="&amp;COUNTIFS($K$1:K$1,"&lt;&gt;"))),0)</f>
        <v>8.8825214899713484E-2</v>
      </c>
      <c r="L1448">
        <f>IFERROR($J1448/IF($A1448&lt;COUNTIFS($K$1:L$1,"&lt;&gt;"),0,SUMIFS($J:$J,$B:$B,$B1448,$A:$A,"&gt;="&amp;COUNTIFS($K$1:L$1,"&lt;&gt;"))),0)</f>
        <v>9.7484276729559768E-2</v>
      </c>
      <c r="M1448">
        <f>IFERROR($J1448/IF($A1448&lt;COUNTIFS($K$1:M$1,"&lt;&gt;"),0,SUMIFS($J:$J,$B:$B,$B1448,$A:$A,"&gt;="&amp;COUNTIFS($K$1:M$1,"&lt;&gt;"))),0)</f>
        <v>0.10763888888888891</v>
      </c>
      <c r="N1448">
        <f>IFERROR($J1448/IF($A1448&lt;COUNTIFS($K$1:N$1,"&lt;&gt;"),0,SUMIFS($J:$J,$B:$B,$B1448,$A:$A,"&gt;="&amp;COUNTIFS($K$1:N$1,"&lt;&gt;"))),0)</f>
        <v>0</v>
      </c>
      <c r="O1448">
        <f>IFERROR($J1448/IF($A1448&lt;COUNTIFS($K$1:O$1,"&lt;&gt;"),0,SUMIFS($J:$J,$B:$B,$B1448,$A:$A,"&gt;="&amp;COUNTIFS($K$1:O$1,"&lt;&gt;"))),0)</f>
        <v>0</v>
      </c>
      <c r="P1448">
        <f>IFERROR($J1448/IF($A1448&lt;COUNTIFS($K$1:P$1,"&lt;&gt;"),0,SUMIFS($J:$J,$B:$B,$B1448,$A:$A,"&gt;="&amp;COUNTIFS($K$1:P$1,"&lt;&gt;"))),0)</f>
        <v>0</v>
      </c>
      <c r="Q1448">
        <f>IFERROR($J1448/IF($A1448&lt;COUNTIFS($K$1:Q$1,"&lt;&gt;"),0,SUMIFS($J:$J,$B:$B,$B1448,$A:$A,"&gt;="&amp;COUNTIFS($K$1:Q$1,"&lt;&gt;"))),0)</f>
        <v>0</v>
      </c>
      <c r="R1448">
        <f>IFERROR($J1448/IF($A1448&lt;COUNTIFS($K$1:R$1,"&lt;&gt;"),0,SUMIFS($J:$J,$B:$B,$B1448,$A:$A,"&gt;="&amp;COUNTIFS($K$1:R$1,"&lt;&gt;"))),0)</f>
        <v>0</v>
      </c>
      <c r="S1448">
        <f>IFERROR($J1448/IF($A1448&lt;COUNTIFS($K$1:S$1,"&lt;&gt;"),0,SUMIFS($J:$J,$B:$B,$B1448,$A:$A,"&gt;="&amp;COUNTIFS($K$1:S$1,"&lt;&gt;"))),0)</f>
        <v>0</v>
      </c>
      <c r="T1448">
        <f>IFERROR($J1448/IF($A1448&lt;COUNTIFS($K$1:T$1,"&lt;&gt;"),0,SUMIFS($J:$J,$B:$B,$B1448,$A:$A,"&gt;="&amp;COUNTIFS($K$1:T$1,"&lt;&gt;"))),0)</f>
        <v>0</v>
      </c>
      <c r="U1448">
        <f>IFERROR($J1448/IF($A1448&lt;COUNTIFS($K$1:U$1,"&lt;&gt;"),0,SUMIFS($J:$J,$B:$B,$B1448,$A:$A,"&gt;="&amp;COUNTIFS($K$1:U$1,"&lt;&gt;"))),0)</f>
        <v>0</v>
      </c>
      <c r="V1448">
        <f>IFERROR($J1448/IF($A1448&lt;COUNTIFS($K$1:V$1,"&lt;&gt;"),0,SUMIFS($J:$J,$B:$B,$B1448,$A:$A,"&gt;="&amp;COUNTIFS($K$1:V$1,"&lt;&gt;"))),0)</f>
        <v>0</v>
      </c>
      <c r="W1448">
        <f t="shared" si="508"/>
        <v>8.4931506849315067E-2</v>
      </c>
      <c r="X1448">
        <f t="shared" si="488"/>
        <v>8.4931506849315067E-2</v>
      </c>
      <c r="Y1448">
        <f t="shared" si="489"/>
        <v>8.4931506849315067E-2</v>
      </c>
      <c r="Z1448">
        <f t="shared" si="490"/>
        <v>8.4931506849315067E-2</v>
      </c>
      <c r="AA1448">
        <f t="shared" si="491"/>
        <v>0</v>
      </c>
      <c r="AB1448">
        <f t="shared" si="492"/>
        <v>0</v>
      </c>
      <c r="AC1448">
        <f t="shared" si="493"/>
        <v>0</v>
      </c>
      <c r="AD1448">
        <f t="shared" si="494"/>
        <v>0</v>
      </c>
      <c r="AE1448">
        <f t="shared" si="495"/>
        <v>0</v>
      </c>
      <c r="AF1448">
        <f t="shared" si="496"/>
        <v>0</v>
      </c>
      <c r="AG1448">
        <f t="shared" si="497"/>
        <v>0</v>
      </c>
      <c r="AH1448">
        <f t="shared" si="498"/>
        <v>0</v>
      </c>
      <c r="AI1448">
        <f t="shared" si="499"/>
        <v>0</v>
      </c>
      <c r="AJ1448" s="2" t="str">
        <f t="shared" si="509"/>
        <v>347209</v>
      </c>
    </row>
    <row r="1449" spans="1:36" x14ac:dyDescent="0.25">
      <c r="A1449">
        <v>4</v>
      </c>
      <c r="B1449" s="1">
        <v>47209</v>
      </c>
      <c r="C1449" s="1">
        <f t="shared" si="500"/>
        <v>47331</v>
      </c>
      <c r="D1449" s="1">
        <f t="shared" si="501"/>
        <v>47223</v>
      </c>
      <c r="E1449" s="1">
        <f t="shared" si="502"/>
        <v>47331</v>
      </c>
      <c r="F1449" s="1">
        <f t="shared" si="503"/>
        <v>47362</v>
      </c>
      <c r="G1449" s="1">
        <f t="shared" si="504"/>
        <v>47588</v>
      </c>
      <c r="H1449">
        <f t="shared" si="505"/>
        <v>365</v>
      </c>
      <c r="I1449">
        <f t="shared" si="506"/>
        <v>31</v>
      </c>
      <c r="J1449">
        <f t="shared" si="507"/>
        <v>8.4931506849315067E-2</v>
      </c>
      <c r="K1449">
        <f>IFERROR($J1449/IF($A1449&lt;COUNTIFS($K$1:K$1,"&lt;&gt;"),0,SUMIFS($J:$J,$B:$B,$B1449,$A:$A,"&gt;="&amp;COUNTIFS($K$1:K$1,"&lt;&gt;"))),0)</f>
        <v>8.8825214899713484E-2</v>
      </c>
      <c r="L1449">
        <f>IFERROR($J1449/IF($A1449&lt;COUNTIFS($K$1:L$1,"&lt;&gt;"),0,SUMIFS($J:$J,$B:$B,$B1449,$A:$A,"&gt;="&amp;COUNTIFS($K$1:L$1,"&lt;&gt;"))),0)</f>
        <v>9.7484276729559768E-2</v>
      </c>
      <c r="M1449">
        <f>IFERROR($J1449/IF($A1449&lt;COUNTIFS($K$1:M$1,"&lt;&gt;"),0,SUMIFS($J:$J,$B:$B,$B1449,$A:$A,"&gt;="&amp;COUNTIFS($K$1:M$1,"&lt;&gt;"))),0)</f>
        <v>0.10763888888888891</v>
      </c>
      <c r="N1449">
        <f>IFERROR($J1449/IF($A1449&lt;COUNTIFS($K$1:N$1,"&lt;&gt;"),0,SUMIFS($J:$J,$B:$B,$B1449,$A:$A,"&gt;="&amp;COUNTIFS($K$1:N$1,"&lt;&gt;"))),0)</f>
        <v>0.12062256809338523</v>
      </c>
      <c r="O1449">
        <f>IFERROR($J1449/IF($A1449&lt;COUNTIFS($K$1:O$1,"&lt;&gt;"),0,SUMIFS($J:$J,$B:$B,$B1449,$A:$A,"&gt;="&amp;COUNTIFS($K$1:O$1,"&lt;&gt;"))),0)</f>
        <v>0</v>
      </c>
      <c r="P1449">
        <f>IFERROR($J1449/IF($A1449&lt;COUNTIFS($K$1:P$1,"&lt;&gt;"),0,SUMIFS($J:$J,$B:$B,$B1449,$A:$A,"&gt;="&amp;COUNTIFS($K$1:P$1,"&lt;&gt;"))),0)</f>
        <v>0</v>
      </c>
      <c r="Q1449">
        <f>IFERROR($J1449/IF($A1449&lt;COUNTIFS($K$1:Q$1,"&lt;&gt;"),0,SUMIFS($J:$J,$B:$B,$B1449,$A:$A,"&gt;="&amp;COUNTIFS($K$1:Q$1,"&lt;&gt;"))),0)</f>
        <v>0</v>
      </c>
      <c r="R1449">
        <f>IFERROR($J1449/IF($A1449&lt;COUNTIFS($K$1:R$1,"&lt;&gt;"),0,SUMIFS($J:$J,$B:$B,$B1449,$A:$A,"&gt;="&amp;COUNTIFS($K$1:R$1,"&lt;&gt;"))),0)</f>
        <v>0</v>
      </c>
      <c r="S1449">
        <f>IFERROR($J1449/IF($A1449&lt;COUNTIFS($K$1:S$1,"&lt;&gt;"),0,SUMIFS($J:$J,$B:$B,$B1449,$A:$A,"&gt;="&amp;COUNTIFS($K$1:S$1,"&lt;&gt;"))),0)</f>
        <v>0</v>
      </c>
      <c r="T1449">
        <f>IFERROR($J1449/IF($A1449&lt;COUNTIFS($K$1:T$1,"&lt;&gt;"),0,SUMIFS($J:$J,$B:$B,$B1449,$A:$A,"&gt;="&amp;COUNTIFS($K$1:T$1,"&lt;&gt;"))),0)</f>
        <v>0</v>
      </c>
      <c r="U1449">
        <f>IFERROR($J1449/IF($A1449&lt;COUNTIFS($K$1:U$1,"&lt;&gt;"),0,SUMIFS($J:$J,$B:$B,$B1449,$A:$A,"&gt;="&amp;COUNTIFS($K$1:U$1,"&lt;&gt;"))),0)</f>
        <v>0</v>
      </c>
      <c r="V1449">
        <f>IFERROR($J1449/IF($A1449&lt;COUNTIFS($K$1:V$1,"&lt;&gt;"),0,SUMIFS($J:$J,$B:$B,$B1449,$A:$A,"&gt;="&amp;COUNTIFS($K$1:V$1,"&lt;&gt;"))),0)</f>
        <v>0</v>
      </c>
      <c r="W1449">
        <f t="shared" si="508"/>
        <v>8.4931506849315067E-2</v>
      </c>
      <c r="X1449">
        <f t="shared" si="488"/>
        <v>8.4931506849315067E-2</v>
      </c>
      <c r="Y1449">
        <f t="shared" si="489"/>
        <v>8.4931506849315067E-2</v>
      </c>
      <c r="Z1449">
        <f t="shared" si="490"/>
        <v>8.4931506849315067E-2</v>
      </c>
      <c r="AA1449">
        <f t="shared" si="491"/>
        <v>8.4931506849315067E-2</v>
      </c>
      <c r="AB1449">
        <f t="shared" si="492"/>
        <v>0</v>
      </c>
      <c r="AC1449">
        <f t="shared" si="493"/>
        <v>0</v>
      </c>
      <c r="AD1449">
        <f t="shared" si="494"/>
        <v>0</v>
      </c>
      <c r="AE1449">
        <f t="shared" si="495"/>
        <v>0</v>
      </c>
      <c r="AF1449">
        <f t="shared" si="496"/>
        <v>0</v>
      </c>
      <c r="AG1449">
        <f t="shared" si="497"/>
        <v>0</v>
      </c>
      <c r="AH1449">
        <f t="shared" si="498"/>
        <v>0</v>
      </c>
      <c r="AI1449">
        <f t="shared" si="499"/>
        <v>0</v>
      </c>
      <c r="AJ1449" s="2" t="str">
        <f t="shared" si="509"/>
        <v>447209</v>
      </c>
    </row>
    <row r="1450" spans="1:36" x14ac:dyDescent="0.25">
      <c r="A1450">
        <v>5</v>
      </c>
      <c r="B1450" s="1">
        <v>47209</v>
      </c>
      <c r="C1450" s="1">
        <f t="shared" si="500"/>
        <v>47362</v>
      </c>
      <c r="D1450" s="1">
        <f t="shared" si="501"/>
        <v>47223</v>
      </c>
      <c r="E1450" s="1">
        <f t="shared" si="502"/>
        <v>47362</v>
      </c>
      <c r="F1450" s="1">
        <f t="shared" si="503"/>
        <v>47392</v>
      </c>
      <c r="G1450" s="1">
        <f t="shared" si="504"/>
        <v>47588</v>
      </c>
      <c r="H1450">
        <f t="shared" si="505"/>
        <v>365</v>
      </c>
      <c r="I1450">
        <f t="shared" si="506"/>
        <v>30</v>
      </c>
      <c r="J1450">
        <f t="shared" si="507"/>
        <v>8.2191780821917804E-2</v>
      </c>
      <c r="K1450">
        <f>IFERROR($J1450/IF($A1450&lt;COUNTIFS($K$1:K$1,"&lt;&gt;"),0,SUMIFS($J:$J,$B:$B,$B1450,$A:$A,"&gt;="&amp;COUNTIFS($K$1:K$1,"&lt;&gt;"))),0)</f>
        <v>8.5959885386819493E-2</v>
      </c>
      <c r="L1450">
        <f>IFERROR($J1450/IF($A1450&lt;COUNTIFS($K$1:L$1,"&lt;&gt;"),0,SUMIFS($J:$J,$B:$B,$B1450,$A:$A,"&gt;="&amp;COUNTIFS($K$1:L$1,"&lt;&gt;"))),0)</f>
        <v>9.4339622641509441E-2</v>
      </c>
      <c r="M1450">
        <f>IFERROR($J1450/IF($A1450&lt;COUNTIFS($K$1:M$1,"&lt;&gt;"),0,SUMIFS($J:$J,$B:$B,$B1450,$A:$A,"&gt;="&amp;COUNTIFS($K$1:M$1,"&lt;&gt;"))),0)</f>
        <v>0.10416666666666669</v>
      </c>
      <c r="N1450">
        <f>IFERROR($J1450/IF($A1450&lt;COUNTIFS($K$1:N$1,"&lt;&gt;"),0,SUMIFS($J:$J,$B:$B,$B1450,$A:$A,"&gt;="&amp;COUNTIFS($K$1:N$1,"&lt;&gt;"))),0)</f>
        <v>0.11673151750972764</v>
      </c>
      <c r="O1450">
        <f>IFERROR($J1450/IF($A1450&lt;COUNTIFS($K$1:O$1,"&lt;&gt;"),0,SUMIFS($J:$J,$B:$B,$B1450,$A:$A,"&gt;="&amp;COUNTIFS($K$1:O$1,"&lt;&gt;"))),0)</f>
        <v>0.13274336283185842</v>
      </c>
      <c r="P1450">
        <f>IFERROR($J1450/IF($A1450&lt;COUNTIFS($K$1:P$1,"&lt;&gt;"),0,SUMIFS($J:$J,$B:$B,$B1450,$A:$A,"&gt;="&amp;COUNTIFS($K$1:P$1,"&lt;&gt;"))),0)</f>
        <v>0</v>
      </c>
      <c r="Q1450">
        <f>IFERROR($J1450/IF($A1450&lt;COUNTIFS($K$1:Q$1,"&lt;&gt;"),0,SUMIFS($J:$J,$B:$B,$B1450,$A:$A,"&gt;="&amp;COUNTIFS($K$1:Q$1,"&lt;&gt;"))),0)</f>
        <v>0</v>
      </c>
      <c r="R1450">
        <f>IFERROR($J1450/IF($A1450&lt;COUNTIFS($K$1:R$1,"&lt;&gt;"),0,SUMIFS($J:$J,$B:$B,$B1450,$A:$A,"&gt;="&amp;COUNTIFS($K$1:R$1,"&lt;&gt;"))),0)</f>
        <v>0</v>
      </c>
      <c r="S1450">
        <f>IFERROR($J1450/IF($A1450&lt;COUNTIFS($K$1:S$1,"&lt;&gt;"),0,SUMIFS($J:$J,$B:$B,$B1450,$A:$A,"&gt;="&amp;COUNTIFS($K$1:S$1,"&lt;&gt;"))),0)</f>
        <v>0</v>
      </c>
      <c r="T1450">
        <f>IFERROR($J1450/IF($A1450&lt;COUNTIFS($K$1:T$1,"&lt;&gt;"),0,SUMIFS($J:$J,$B:$B,$B1450,$A:$A,"&gt;="&amp;COUNTIFS($K$1:T$1,"&lt;&gt;"))),0)</f>
        <v>0</v>
      </c>
      <c r="U1450">
        <f>IFERROR($J1450/IF($A1450&lt;COUNTIFS($K$1:U$1,"&lt;&gt;"),0,SUMIFS($J:$J,$B:$B,$B1450,$A:$A,"&gt;="&amp;COUNTIFS($K$1:U$1,"&lt;&gt;"))),0)</f>
        <v>0</v>
      </c>
      <c r="V1450">
        <f>IFERROR($J1450/IF($A1450&lt;COUNTIFS($K$1:V$1,"&lt;&gt;"),0,SUMIFS($J:$J,$B:$B,$B1450,$A:$A,"&gt;="&amp;COUNTIFS($K$1:V$1,"&lt;&gt;"))),0)</f>
        <v>0</v>
      </c>
      <c r="W1450">
        <f t="shared" si="508"/>
        <v>8.2191780821917804E-2</v>
      </c>
      <c r="X1450">
        <f t="shared" si="488"/>
        <v>8.2191780821917804E-2</v>
      </c>
      <c r="Y1450">
        <f t="shared" si="489"/>
        <v>8.2191780821917804E-2</v>
      </c>
      <c r="Z1450">
        <f t="shared" si="490"/>
        <v>8.2191780821917804E-2</v>
      </c>
      <c r="AA1450">
        <f t="shared" si="491"/>
        <v>8.2191780821917804E-2</v>
      </c>
      <c r="AB1450">
        <f t="shared" si="492"/>
        <v>8.2191780821917804E-2</v>
      </c>
      <c r="AC1450">
        <f t="shared" si="493"/>
        <v>0</v>
      </c>
      <c r="AD1450">
        <f t="shared" si="494"/>
        <v>0</v>
      </c>
      <c r="AE1450">
        <f t="shared" si="495"/>
        <v>0</v>
      </c>
      <c r="AF1450">
        <f t="shared" si="496"/>
        <v>0</v>
      </c>
      <c r="AG1450">
        <f t="shared" si="497"/>
        <v>0</v>
      </c>
      <c r="AH1450">
        <f t="shared" si="498"/>
        <v>0</v>
      </c>
      <c r="AI1450">
        <f t="shared" si="499"/>
        <v>0</v>
      </c>
      <c r="AJ1450" s="2" t="str">
        <f t="shared" si="509"/>
        <v>547209</v>
      </c>
    </row>
    <row r="1451" spans="1:36" x14ac:dyDescent="0.25">
      <c r="A1451">
        <v>6</v>
      </c>
      <c r="B1451" s="1">
        <v>47209</v>
      </c>
      <c r="C1451" s="1">
        <f t="shared" si="500"/>
        <v>47392</v>
      </c>
      <c r="D1451" s="1">
        <f t="shared" si="501"/>
        <v>47223</v>
      </c>
      <c r="E1451" s="1">
        <f t="shared" si="502"/>
        <v>47392</v>
      </c>
      <c r="F1451" s="1">
        <f t="shared" si="503"/>
        <v>47423</v>
      </c>
      <c r="G1451" s="1">
        <f t="shared" si="504"/>
        <v>47588</v>
      </c>
      <c r="H1451">
        <f t="shared" si="505"/>
        <v>365</v>
      </c>
      <c r="I1451">
        <f t="shared" si="506"/>
        <v>31</v>
      </c>
      <c r="J1451">
        <f t="shared" si="507"/>
        <v>8.4931506849315067E-2</v>
      </c>
      <c r="K1451">
        <f>IFERROR($J1451/IF($A1451&lt;COUNTIFS($K$1:K$1,"&lt;&gt;"),0,SUMIFS($J:$J,$B:$B,$B1451,$A:$A,"&gt;="&amp;COUNTIFS($K$1:K$1,"&lt;&gt;"))),0)</f>
        <v>8.8825214899713484E-2</v>
      </c>
      <c r="L1451">
        <f>IFERROR($J1451/IF($A1451&lt;COUNTIFS($K$1:L$1,"&lt;&gt;"),0,SUMIFS($J:$J,$B:$B,$B1451,$A:$A,"&gt;="&amp;COUNTIFS($K$1:L$1,"&lt;&gt;"))),0)</f>
        <v>9.7484276729559768E-2</v>
      </c>
      <c r="M1451">
        <f>IFERROR($J1451/IF($A1451&lt;COUNTIFS($K$1:M$1,"&lt;&gt;"),0,SUMIFS($J:$J,$B:$B,$B1451,$A:$A,"&gt;="&amp;COUNTIFS($K$1:M$1,"&lt;&gt;"))),0)</f>
        <v>0.10763888888888891</v>
      </c>
      <c r="N1451">
        <f>IFERROR($J1451/IF($A1451&lt;COUNTIFS($K$1:N$1,"&lt;&gt;"),0,SUMIFS($J:$J,$B:$B,$B1451,$A:$A,"&gt;="&amp;COUNTIFS($K$1:N$1,"&lt;&gt;"))),0)</f>
        <v>0.12062256809338523</v>
      </c>
      <c r="O1451">
        <f>IFERROR($J1451/IF($A1451&lt;COUNTIFS($K$1:O$1,"&lt;&gt;"),0,SUMIFS($J:$J,$B:$B,$B1451,$A:$A,"&gt;="&amp;COUNTIFS($K$1:O$1,"&lt;&gt;"))),0)</f>
        <v>0.13716814159292037</v>
      </c>
      <c r="P1451">
        <f>IFERROR($J1451/IF($A1451&lt;COUNTIFS($K$1:P$1,"&lt;&gt;"),0,SUMIFS($J:$J,$B:$B,$B1451,$A:$A,"&gt;="&amp;COUNTIFS($K$1:P$1,"&lt;&gt;"))),0)</f>
        <v>0.15816326530612249</v>
      </c>
      <c r="Q1451">
        <f>IFERROR($J1451/IF($A1451&lt;COUNTIFS($K$1:Q$1,"&lt;&gt;"),0,SUMIFS($J:$J,$B:$B,$B1451,$A:$A,"&gt;="&amp;COUNTIFS($K$1:Q$1,"&lt;&gt;"))),0)</f>
        <v>0</v>
      </c>
      <c r="R1451">
        <f>IFERROR($J1451/IF($A1451&lt;COUNTIFS($K$1:R$1,"&lt;&gt;"),0,SUMIFS($J:$J,$B:$B,$B1451,$A:$A,"&gt;="&amp;COUNTIFS($K$1:R$1,"&lt;&gt;"))),0)</f>
        <v>0</v>
      </c>
      <c r="S1451">
        <f>IFERROR($J1451/IF($A1451&lt;COUNTIFS($K$1:S$1,"&lt;&gt;"),0,SUMIFS($J:$J,$B:$B,$B1451,$A:$A,"&gt;="&amp;COUNTIFS($K$1:S$1,"&lt;&gt;"))),0)</f>
        <v>0</v>
      </c>
      <c r="T1451">
        <f>IFERROR($J1451/IF($A1451&lt;COUNTIFS($K$1:T$1,"&lt;&gt;"),0,SUMIFS($J:$J,$B:$B,$B1451,$A:$A,"&gt;="&amp;COUNTIFS($K$1:T$1,"&lt;&gt;"))),0)</f>
        <v>0</v>
      </c>
      <c r="U1451">
        <f>IFERROR($J1451/IF($A1451&lt;COUNTIFS($K$1:U$1,"&lt;&gt;"),0,SUMIFS($J:$J,$B:$B,$B1451,$A:$A,"&gt;="&amp;COUNTIFS($K$1:U$1,"&lt;&gt;"))),0)</f>
        <v>0</v>
      </c>
      <c r="V1451">
        <f>IFERROR($J1451/IF($A1451&lt;COUNTIFS($K$1:V$1,"&lt;&gt;"),0,SUMIFS($J:$J,$B:$B,$B1451,$A:$A,"&gt;="&amp;COUNTIFS($K$1:V$1,"&lt;&gt;"))),0)</f>
        <v>0</v>
      </c>
      <c r="W1451">
        <f t="shared" si="508"/>
        <v>8.4931506849315067E-2</v>
      </c>
      <c r="X1451">
        <f t="shared" si="488"/>
        <v>8.4931506849315067E-2</v>
      </c>
      <c r="Y1451">
        <f t="shared" si="489"/>
        <v>8.4931506849315067E-2</v>
      </c>
      <c r="Z1451">
        <f t="shared" si="490"/>
        <v>8.4931506849315067E-2</v>
      </c>
      <c r="AA1451">
        <f t="shared" si="491"/>
        <v>8.4931506849315067E-2</v>
      </c>
      <c r="AB1451">
        <f t="shared" si="492"/>
        <v>8.4931506849315067E-2</v>
      </c>
      <c r="AC1451">
        <f t="shared" si="493"/>
        <v>8.4931506849315067E-2</v>
      </c>
      <c r="AD1451">
        <f t="shared" si="494"/>
        <v>0</v>
      </c>
      <c r="AE1451">
        <f t="shared" si="495"/>
        <v>0</v>
      </c>
      <c r="AF1451">
        <f t="shared" si="496"/>
        <v>0</v>
      </c>
      <c r="AG1451">
        <f t="shared" si="497"/>
        <v>0</v>
      </c>
      <c r="AH1451">
        <f t="shared" si="498"/>
        <v>0</v>
      </c>
      <c r="AI1451">
        <f t="shared" si="499"/>
        <v>0</v>
      </c>
      <c r="AJ1451" s="2" t="str">
        <f t="shared" si="509"/>
        <v>647209</v>
      </c>
    </row>
    <row r="1452" spans="1:36" x14ac:dyDescent="0.25">
      <c r="A1452">
        <v>7</v>
      </c>
      <c r="B1452" s="1">
        <v>47209</v>
      </c>
      <c r="C1452" s="1">
        <f t="shared" si="500"/>
        <v>47423</v>
      </c>
      <c r="D1452" s="1">
        <f t="shared" si="501"/>
        <v>47223</v>
      </c>
      <c r="E1452" s="1">
        <f t="shared" si="502"/>
        <v>47423</v>
      </c>
      <c r="F1452" s="1">
        <f t="shared" si="503"/>
        <v>47453</v>
      </c>
      <c r="G1452" s="1">
        <f t="shared" si="504"/>
        <v>47588</v>
      </c>
      <c r="H1452">
        <f t="shared" si="505"/>
        <v>365</v>
      </c>
      <c r="I1452">
        <f t="shared" si="506"/>
        <v>30</v>
      </c>
      <c r="J1452">
        <f t="shared" si="507"/>
        <v>8.2191780821917804E-2</v>
      </c>
      <c r="K1452">
        <f>IFERROR($J1452/IF($A1452&lt;COUNTIFS($K$1:K$1,"&lt;&gt;"),0,SUMIFS($J:$J,$B:$B,$B1452,$A:$A,"&gt;="&amp;COUNTIFS($K$1:K$1,"&lt;&gt;"))),0)</f>
        <v>8.5959885386819493E-2</v>
      </c>
      <c r="L1452">
        <f>IFERROR($J1452/IF($A1452&lt;COUNTIFS($K$1:L$1,"&lt;&gt;"),0,SUMIFS($J:$J,$B:$B,$B1452,$A:$A,"&gt;="&amp;COUNTIFS($K$1:L$1,"&lt;&gt;"))),0)</f>
        <v>9.4339622641509441E-2</v>
      </c>
      <c r="M1452">
        <f>IFERROR($J1452/IF($A1452&lt;COUNTIFS($K$1:M$1,"&lt;&gt;"),0,SUMIFS($J:$J,$B:$B,$B1452,$A:$A,"&gt;="&amp;COUNTIFS($K$1:M$1,"&lt;&gt;"))),0)</f>
        <v>0.10416666666666669</v>
      </c>
      <c r="N1452">
        <f>IFERROR($J1452/IF($A1452&lt;COUNTIFS($K$1:N$1,"&lt;&gt;"),0,SUMIFS($J:$J,$B:$B,$B1452,$A:$A,"&gt;="&amp;COUNTIFS($K$1:N$1,"&lt;&gt;"))),0)</f>
        <v>0.11673151750972764</v>
      </c>
      <c r="O1452">
        <f>IFERROR($J1452/IF($A1452&lt;COUNTIFS($K$1:O$1,"&lt;&gt;"),0,SUMIFS($J:$J,$B:$B,$B1452,$A:$A,"&gt;="&amp;COUNTIFS($K$1:O$1,"&lt;&gt;"))),0)</f>
        <v>0.13274336283185842</v>
      </c>
      <c r="P1452">
        <f>IFERROR($J1452/IF($A1452&lt;COUNTIFS($K$1:P$1,"&lt;&gt;"),0,SUMIFS($J:$J,$B:$B,$B1452,$A:$A,"&gt;="&amp;COUNTIFS($K$1:P$1,"&lt;&gt;"))),0)</f>
        <v>0.15306122448979595</v>
      </c>
      <c r="Q1452">
        <f>IFERROR($J1452/IF($A1452&lt;COUNTIFS($K$1:Q$1,"&lt;&gt;"),0,SUMIFS($J:$J,$B:$B,$B1452,$A:$A,"&gt;="&amp;COUNTIFS($K$1:Q$1,"&lt;&gt;"))),0)</f>
        <v>0.18181818181818182</v>
      </c>
      <c r="R1452">
        <f>IFERROR($J1452/IF($A1452&lt;COUNTIFS($K$1:R$1,"&lt;&gt;"),0,SUMIFS($J:$J,$B:$B,$B1452,$A:$A,"&gt;="&amp;COUNTIFS($K$1:R$1,"&lt;&gt;"))),0)</f>
        <v>0</v>
      </c>
      <c r="S1452">
        <f>IFERROR($J1452/IF($A1452&lt;COUNTIFS($K$1:S$1,"&lt;&gt;"),0,SUMIFS($J:$J,$B:$B,$B1452,$A:$A,"&gt;="&amp;COUNTIFS($K$1:S$1,"&lt;&gt;"))),0)</f>
        <v>0</v>
      </c>
      <c r="T1452">
        <f>IFERROR($J1452/IF($A1452&lt;COUNTIFS($K$1:T$1,"&lt;&gt;"),0,SUMIFS($J:$J,$B:$B,$B1452,$A:$A,"&gt;="&amp;COUNTIFS($K$1:T$1,"&lt;&gt;"))),0)</f>
        <v>0</v>
      </c>
      <c r="U1452">
        <f>IFERROR($J1452/IF($A1452&lt;COUNTIFS($K$1:U$1,"&lt;&gt;"),0,SUMIFS($J:$J,$B:$B,$B1452,$A:$A,"&gt;="&amp;COUNTIFS($K$1:U$1,"&lt;&gt;"))),0)</f>
        <v>0</v>
      </c>
      <c r="V1452">
        <f>IFERROR($J1452/IF($A1452&lt;COUNTIFS($K$1:V$1,"&lt;&gt;"),0,SUMIFS($J:$J,$B:$B,$B1452,$A:$A,"&gt;="&amp;COUNTIFS($K$1:V$1,"&lt;&gt;"))),0)</f>
        <v>0</v>
      </c>
      <c r="W1452">
        <f t="shared" si="508"/>
        <v>8.2191780821917804E-2</v>
      </c>
      <c r="X1452">
        <f t="shared" si="488"/>
        <v>8.2191780821917804E-2</v>
      </c>
      <c r="Y1452">
        <f t="shared" si="489"/>
        <v>8.2191780821917804E-2</v>
      </c>
      <c r="Z1452">
        <f t="shared" si="490"/>
        <v>8.2191780821917804E-2</v>
      </c>
      <c r="AA1452">
        <f t="shared" si="491"/>
        <v>8.2191780821917804E-2</v>
      </c>
      <c r="AB1452">
        <f t="shared" si="492"/>
        <v>8.2191780821917804E-2</v>
      </c>
      <c r="AC1452">
        <f t="shared" si="493"/>
        <v>8.2191780821917804E-2</v>
      </c>
      <c r="AD1452">
        <f t="shared" si="494"/>
        <v>8.2191780821917804E-2</v>
      </c>
      <c r="AE1452">
        <f t="shared" si="495"/>
        <v>0</v>
      </c>
      <c r="AF1452">
        <f t="shared" si="496"/>
        <v>0</v>
      </c>
      <c r="AG1452">
        <f t="shared" si="497"/>
        <v>0</v>
      </c>
      <c r="AH1452">
        <f t="shared" si="498"/>
        <v>0</v>
      </c>
      <c r="AI1452">
        <f t="shared" si="499"/>
        <v>0</v>
      </c>
      <c r="AJ1452" s="2" t="str">
        <f t="shared" si="509"/>
        <v>747209</v>
      </c>
    </row>
    <row r="1453" spans="1:36" x14ac:dyDescent="0.25">
      <c r="A1453">
        <v>8</v>
      </c>
      <c r="B1453" s="1">
        <v>47209</v>
      </c>
      <c r="C1453" s="1">
        <f t="shared" si="500"/>
        <v>47453</v>
      </c>
      <c r="D1453" s="1">
        <f t="shared" si="501"/>
        <v>47223</v>
      </c>
      <c r="E1453" s="1">
        <f t="shared" si="502"/>
        <v>47453</v>
      </c>
      <c r="F1453" s="1">
        <f t="shared" si="503"/>
        <v>47484</v>
      </c>
      <c r="G1453" s="1">
        <f t="shared" si="504"/>
        <v>47588</v>
      </c>
      <c r="H1453">
        <f t="shared" si="505"/>
        <v>365</v>
      </c>
      <c r="I1453">
        <f t="shared" si="506"/>
        <v>31</v>
      </c>
      <c r="J1453">
        <f t="shared" si="507"/>
        <v>8.4931506849315067E-2</v>
      </c>
      <c r="K1453">
        <f>IFERROR($J1453/IF($A1453&lt;COUNTIFS($K$1:K$1,"&lt;&gt;"),0,SUMIFS($J:$J,$B:$B,$B1453,$A:$A,"&gt;="&amp;COUNTIFS($K$1:K$1,"&lt;&gt;"))),0)</f>
        <v>8.8825214899713484E-2</v>
      </c>
      <c r="L1453">
        <f>IFERROR($J1453/IF($A1453&lt;COUNTIFS($K$1:L$1,"&lt;&gt;"),0,SUMIFS($J:$J,$B:$B,$B1453,$A:$A,"&gt;="&amp;COUNTIFS($K$1:L$1,"&lt;&gt;"))),0)</f>
        <v>9.7484276729559768E-2</v>
      </c>
      <c r="M1453">
        <f>IFERROR($J1453/IF($A1453&lt;COUNTIFS($K$1:M$1,"&lt;&gt;"),0,SUMIFS($J:$J,$B:$B,$B1453,$A:$A,"&gt;="&amp;COUNTIFS($K$1:M$1,"&lt;&gt;"))),0)</f>
        <v>0.10763888888888891</v>
      </c>
      <c r="N1453">
        <f>IFERROR($J1453/IF($A1453&lt;COUNTIFS($K$1:N$1,"&lt;&gt;"),0,SUMIFS($J:$J,$B:$B,$B1453,$A:$A,"&gt;="&amp;COUNTIFS($K$1:N$1,"&lt;&gt;"))),0)</f>
        <v>0.12062256809338523</v>
      </c>
      <c r="O1453">
        <f>IFERROR($J1453/IF($A1453&lt;COUNTIFS($K$1:O$1,"&lt;&gt;"),0,SUMIFS($J:$J,$B:$B,$B1453,$A:$A,"&gt;="&amp;COUNTIFS($K$1:O$1,"&lt;&gt;"))),0)</f>
        <v>0.13716814159292037</v>
      </c>
      <c r="P1453">
        <f>IFERROR($J1453/IF($A1453&lt;COUNTIFS($K$1:P$1,"&lt;&gt;"),0,SUMIFS($J:$J,$B:$B,$B1453,$A:$A,"&gt;="&amp;COUNTIFS($K$1:P$1,"&lt;&gt;"))),0)</f>
        <v>0.15816326530612249</v>
      </c>
      <c r="Q1453">
        <f>IFERROR($J1453/IF($A1453&lt;COUNTIFS($K$1:Q$1,"&lt;&gt;"),0,SUMIFS($J:$J,$B:$B,$B1453,$A:$A,"&gt;="&amp;COUNTIFS($K$1:Q$1,"&lt;&gt;"))),0)</f>
        <v>0.1878787878787879</v>
      </c>
      <c r="R1453">
        <f>IFERROR($J1453/IF($A1453&lt;COUNTIFS($K$1:R$1,"&lt;&gt;"),0,SUMIFS($J:$J,$B:$B,$B1453,$A:$A,"&gt;="&amp;COUNTIFS($K$1:R$1,"&lt;&gt;"))),0)</f>
        <v>0.22962962962962963</v>
      </c>
      <c r="S1453">
        <f>IFERROR($J1453/IF($A1453&lt;COUNTIFS($K$1:S$1,"&lt;&gt;"),0,SUMIFS($J:$J,$B:$B,$B1453,$A:$A,"&gt;="&amp;COUNTIFS($K$1:S$1,"&lt;&gt;"))),0)</f>
        <v>0</v>
      </c>
      <c r="T1453">
        <f>IFERROR($J1453/IF($A1453&lt;COUNTIFS($K$1:T$1,"&lt;&gt;"),0,SUMIFS($J:$J,$B:$B,$B1453,$A:$A,"&gt;="&amp;COUNTIFS($K$1:T$1,"&lt;&gt;"))),0)</f>
        <v>0</v>
      </c>
      <c r="U1453">
        <f>IFERROR($J1453/IF($A1453&lt;COUNTIFS($K$1:U$1,"&lt;&gt;"),0,SUMIFS($J:$J,$B:$B,$B1453,$A:$A,"&gt;="&amp;COUNTIFS($K$1:U$1,"&lt;&gt;"))),0)</f>
        <v>0</v>
      </c>
      <c r="V1453">
        <f>IFERROR($J1453/IF($A1453&lt;COUNTIFS($K$1:V$1,"&lt;&gt;"),0,SUMIFS($J:$J,$B:$B,$B1453,$A:$A,"&gt;="&amp;COUNTIFS($K$1:V$1,"&lt;&gt;"))),0)</f>
        <v>0</v>
      </c>
      <c r="W1453">
        <f t="shared" si="508"/>
        <v>8.4931506849315067E-2</v>
      </c>
      <c r="X1453">
        <f t="shared" si="488"/>
        <v>8.4931506849315067E-2</v>
      </c>
      <c r="Y1453">
        <f t="shared" si="489"/>
        <v>8.4931506849315067E-2</v>
      </c>
      <c r="Z1453">
        <f t="shared" si="490"/>
        <v>8.4931506849315067E-2</v>
      </c>
      <c r="AA1453">
        <f t="shared" si="491"/>
        <v>8.4931506849315067E-2</v>
      </c>
      <c r="AB1453">
        <f t="shared" si="492"/>
        <v>8.4931506849315067E-2</v>
      </c>
      <c r="AC1453">
        <f t="shared" si="493"/>
        <v>8.4931506849315067E-2</v>
      </c>
      <c r="AD1453">
        <f t="shared" si="494"/>
        <v>8.4931506849315067E-2</v>
      </c>
      <c r="AE1453">
        <f t="shared" si="495"/>
        <v>8.4931506849315067E-2</v>
      </c>
      <c r="AF1453">
        <f t="shared" si="496"/>
        <v>0</v>
      </c>
      <c r="AG1453">
        <f t="shared" si="497"/>
        <v>0</v>
      </c>
      <c r="AH1453">
        <f t="shared" si="498"/>
        <v>0</v>
      </c>
      <c r="AI1453">
        <f t="shared" si="499"/>
        <v>0</v>
      </c>
      <c r="AJ1453" s="2" t="str">
        <f t="shared" si="509"/>
        <v>847209</v>
      </c>
    </row>
    <row r="1454" spans="1:36" x14ac:dyDescent="0.25">
      <c r="A1454">
        <v>9</v>
      </c>
      <c r="B1454" s="1">
        <v>47209</v>
      </c>
      <c r="C1454" s="1">
        <f t="shared" si="500"/>
        <v>47484</v>
      </c>
      <c r="D1454" s="1">
        <f t="shared" si="501"/>
        <v>47223</v>
      </c>
      <c r="E1454" s="1">
        <f t="shared" si="502"/>
        <v>47484</v>
      </c>
      <c r="F1454" s="1">
        <f t="shared" si="503"/>
        <v>47515</v>
      </c>
      <c r="G1454" s="1">
        <f t="shared" si="504"/>
        <v>47588</v>
      </c>
      <c r="H1454">
        <f t="shared" si="505"/>
        <v>365</v>
      </c>
      <c r="I1454">
        <f t="shared" si="506"/>
        <v>31</v>
      </c>
      <c r="J1454">
        <f t="shared" si="507"/>
        <v>8.4931506849315067E-2</v>
      </c>
      <c r="K1454">
        <f>IFERROR($J1454/IF($A1454&lt;COUNTIFS($K$1:K$1,"&lt;&gt;"),0,SUMIFS($J:$J,$B:$B,$B1454,$A:$A,"&gt;="&amp;COUNTIFS($K$1:K$1,"&lt;&gt;"))),0)</f>
        <v>8.8825214899713484E-2</v>
      </c>
      <c r="L1454">
        <f>IFERROR($J1454/IF($A1454&lt;COUNTIFS($K$1:L$1,"&lt;&gt;"),0,SUMIFS($J:$J,$B:$B,$B1454,$A:$A,"&gt;="&amp;COUNTIFS($K$1:L$1,"&lt;&gt;"))),0)</f>
        <v>9.7484276729559768E-2</v>
      </c>
      <c r="M1454">
        <f>IFERROR($J1454/IF($A1454&lt;COUNTIFS($K$1:M$1,"&lt;&gt;"),0,SUMIFS($J:$J,$B:$B,$B1454,$A:$A,"&gt;="&amp;COUNTIFS($K$1:M$1,"&lt;&gt;"))),0)</f>
        <v>0.10763888888888891</v>
      </c>
      <c r="N1454">
        <f>IFERROR($J1454/IF($A1454&lt;COUNTIFS($K$1:N$1,"&lt;&gt;"),0,SUMIFS($J:$J,$B:$B,$B1454,$A:$A,"&gt;="&amp;COUNTIFS($K$1:N$1,"&lt;&gt;"))),0)</f>
        <v>0.12062256809338523</v>
      </c>
      <c r="O1454">
        <f>IFERROR($J1454/IF($A1454&lt;COUNTIFS($K$1:O$1,"&lt;&gt;"),0,SUMIFS($J:$J,$B:$B,$B1454,$A:$A,"&gt;="&amp;COUNTIFS($K$1:O$1,"&lt;&gt;"))),0)</f>
        <v>0.13716814159292037</v>
      </c>
      <c r="P1454">
        <f>IFERROR($J1454/IF($A1454&lt;COUNTIFS($K$1:P$1,"&lt;&gt;"),0,SUMIFS($J:$J,$B:$B,$B1454,$A:$A,"&gt;="&amp;COUNTIFS($K$1:P$1,"&lt;&gt;"))),0)</f>
        <v>0.15816326530612249</v>
      </c>
      <c r="Q1454">
        <f>IFERROR($J1454/IF($A1454&lt;COUNTIFS($K$1:Q$1,"&lt;&gt;"),0,SUMIFS($J:$J,$B:$B,$B1454,$A:$A,"&gt;="&amp;COUNTIFS($K$1:Q$1,"&lt;&gt;"))),0)</f>
        <v>0.1878787878787879</v>
      </c>
      <c r="R1454">
        <f>IFERROR($J1454/IF($A1454&lt;COUNTIFS($K$1:R$1,"&lt;&gt;"),0,SUMIFS($J:$J,$B:$B,$B1454,$A:$A,"&gt;="&amp;COUNTIFS($K$1:R$1,"&lt;&gt;"))),0)</f>
        <v>0.22962962962962963</v>
      </c>
      <c r="S1454">
        <f>IFERROR($J1454/IF($A1454&lt;COUNTIFS($K$1:S$1,"&lt;&gt;"),0,SUMIFS($J:$J,$B:$B,$B1454,$A:$A,"&gt;="&amp;COUNTIFS($K$1:S$1,"&lt;&gt;"))),0)</f>
        <v>0.29807692307692307</v>
      </c>
      <c r="T1454">
        <f>IFERROR($J1454/IF($A1454&lt;COUNTIFS($K$1:T$1,"&lt;&gt;"),0,SUMIFS($J:$J,$B:$B,$B1454,$A:$A,"&gt;="&amp;COUNTIFS($K$1:T$1,"&lt;&gt;"))),0)</f>
        <v>0</v>
      </c>
      <c r="U1454">
        <f>IFERROR($J1454/IF($A1454&lt;COUNTIFS($K$1:U$1,"&lt;&gt;"),0,SUMIFS($J:$J,$B:$B,$B1454,$A:$A,"&gt;="&amp;COUNTIFS($K$1:U$1,"&lt;&gt;"))),0)</f>
        <v>0</v>
      </c>
      <c r="V1454">
        <f>IFERROR($J1454/IF($A1454&lt;COUNTIFS($K$1:V$1,"&lt;&gt;"),0,SUMIFS($J:$J,$B:$B,$B1454,$A:$A,"&gt;="&amp;COUNTIFS($K$1:V$1,"&lt;&gt;"))),0)</f>
        <v>0</v>
      </c>
      <c r="W1454">
        <f t="shared" si="508"/>
        <v>8.4931506849315067E-2</v>
      </c>
      <c r="X1454">
        <f t="shared" si="488"/>
        <v>8.4931506849315067E-2</v>
      </c>
      <c r="Y1454">
        <f t="shared" si="489"/>
        <v>8.4931506849315067E-2</v>
      </c>
      <c r="Z1454">
        <f t="shared" si="490"/>
        <v>8.4931506849315067E-2</v>
      </c>
      <c r="AA1454">
        <f t="shared" si="491"/>
        <v>8.4931506849315067E-2</v>
      </c>
      <c r="AB1454">
        <f t="shared" si="492"/>
        <v>8.4931506849315067E-2</v>
      </c>
      <c r="AC1454">
        <f t="shared" si="493"/>
        <v>8.4931506849315067E-2</v>
      </c>
      <c r="AD1454">
        <f t="shared" si="494"/>
        <v>8.4931506849315067E-2</v>
      </c>
      <c r="AE1454">
        <f t="shared" si="495"/>
        <v>8.4931506849315067E-2</v>
      </c>
      <c r="AF1454">
        <f t="shared" si="496"/>
        <v>8.4931506849315067E-2</v>
      </c>
      <c r="AG1454">
        <f t="shared" si="497"/>
        <v>0</v>
      </c>
      <c r="AH1454">
        <f t="shared" si="498"/>
        <v>0</v>
      </c>
      <c r="AI1454">
        <f t="shared" si="499"/>
        <v>0</v>
      </c>
      <c r="AJ1454" s="2" t="str">
        <f t="shared" si="509"/>
        <v>947209</v>
      </c>
    </row>
    <row r="1455" spans="1:36" x14ac:dyDescent="0.25">
      <c r="A1455">
        <v>10</v>
      </c>
      <c r="B1455" s="1">
        <v>47209</v>
      </c>
      <c r="C1455" s="1">
        <f t="shared" si="500"/>
        <v>47515</v>
      </c>
      <c r="D1455" s="1">
        <f t="shared" si="501"/>
        <v>47223</v>
      </c>
      <c r="E1455" s="1">
        <f t="shared" si="502"/>
        <v>47515</v>
      </c>
      <c r="F1455" s="1">
        <f t="shared" si="503"/>
        <v>47543</v>
      </c>
      <c r="G1455" s="1">
        <f t="shared" si="504"/>
        <v>47588</v>
      </c>
      <c r="H1455">
        <f t="shared" si="505"/>
        <v>365</v>
      </c>
      <c r="I1455">
        <f t="shared" si="506"/>
        <v>28</v>
      </c>
      <c r="J1455">
        <f t="shared" si="507"/>
        <v>7.6712328767123292E-2</v>
      </c>
      <c r="K1455">
        <f>IFERROR($J1455/IF($A1455&lt;COUNTIFS($K$1:K$1,"&lt;&gt;"),0,SUMIFS($J:$J,$B:$B,$B1455,$A:$A,"&gt;="&amp;COUNTIFS($K$1:K$1,"&lt;&gt;"))),0)</f>
        <v>8.0229226361031539E-2</v>
      </c>
      <c r="L1455">
        <f>IFERROR($J1455/IF($A1455&lt;COUNTIFS($K$1:L$1,"&lt;&gt;"),0,SUMIFS($J:$J,$B:$B,$B1455,$A:$A,"&gt;="&amp;COUNTIFS($K$1:L$1,"&lt;&gt;"))),0)</f>
        <v>8.8050314465408827E-2</v>
      </c>
      <c r="M1455">
        <f>IFERROR($J1455/IF($A1455&lt;COUNTIFS($K$1:M$1,"&lt;&gt;"),0,SUMIFS($J:$J,$B:$B,$B1455,$A:$A,"&gt;="&amp;COUNTIFS($K$1:M$1,"&lt;&gt;"))),0)</f>
        <v>9.7222222222222238E-2</v>
      </c>
      <c r="N1455">
        <f>IFERROR($J1455/IF($A1455&lt;COUNTIFS($K$1:N$1,"&lt;&gt;"),0,SUMIFS($J:$J,$B:$B,$B1455,$A:$A,"&gt;="&amp;COUNTIFS($K$1:N$1,"&lt;&gt;"))),0)</f>
        <v>0.10894941634241248</v>
      </c>
      <c r="O1455">
        <f>IFERROR($J1455/IF($A1455&lt;COUNTIFS($K$1:O$1,"&lt;&gt;"),0,SUMIFS($J:$J,$B:$B,$B1455,$A:$A,"&gt;="&amp;COUNTIFS($K$1:O$1,"&lt;&gt;"))),0)</f>
        <v>0.12389380530973454</v>
      </c>
      <c r="P1455">
        <f>IFERROR($J1455/IF($A1455&lt;COUNTIFS($K$1:P$1,"&lt;&gt;"),0,SUMIFS($J:$J,$B:$B,$B1455,$A:$A,"&gt;="&amp;COUNTIFS($K$1:P$1,"&lt;&gt;"))),0)</f>
        <v>0.14285714285714288</v>
      </c>
      <c r="Q1455">
        <f>IFERROR($J1455/IF($A1455&lt;COUNTIFS($K$1:Q$1,"&lt;&gt;"),0,SUMIFS($J:$J,$B:$B,$B1455,$A:$A,"&gt;="&amp;COUNTIFS($K$1:Q$1,"&lt;&gt;"))),0)</f>
        <v>0.16969696969696971</v>
      </c>
      <c r="R1455">
        <f>IFERROR($J1455/IF($A1455&lt;COUNTIFS($K$1:R$1,"&lt;&gt;"),0,SUMIFS($J:$J,$B:$B,$B1455,$A:$A,"&gt;="&amp;COUNTIFS($K$1:R$1,"&lt;&gt;"))),0)</f>
        <v>0.20740740740740743</v>
      </c>
      <c r="S1455">
        <f>IFERROR($J1455/IF($A1455&lt;COUNTIFS($K$1:S$1,"&lt;&gt;"),0,SUMIFS($J:$J,$B:$B,$B1455,$A:$A,"&gt;="&amp;COUNTIFS($K$1:S$1,"&lt;&gt;"))),0)</f>
        <v>0.26923076923076927</v>
      </c>
      <c r="T1455">
        <f>IFERROR($J1455/IF($A1455&lt;COUNTIFS($K$1:T$1,"&lt;&gt;"),0,SUMIFS($J:$J,$B:$B,$B1455,$A:$A,"&gt;="&amp;COUNTIFS($K$1:T$1,"&lt;&gt;"))),0)</f>
        <v>0.38356164383561642</v>
      </c>
      <c r="U1455">
        <f>IFERROR($J1455/IF($A1455&lt;COUNTIFS($K$1:U$1,"&lt;&gt;"),0,SUMIFS($J:$J,$B:$B,$B1455,$A:$A,"&gt;="&amp;COUNTIFS($K$1:U$1,"&lt;&gt;"))),0)</f>
        <v>0</v>
      </c>
      <c r="V1455">
        <f>IFERROR($J1455/IF($A1455&lt;COUNTIFS($K$1:V$1,"&lt;&gt;"),0,SUMIFS($J:$J,$B:$B,$B1455,$A:$A,"&gt;="&amp;COUNTIFS($K$1:V$1,"&lt;&gt;"))),0)</f>
        <v>0</v>
      </c>
      <c r="W1455">
        <f t="shared" si="508"/>
        <v>7.6712328767123292E-2</v>
      </c>
      <c r="X1455">
        <f t="shared" si="488"/>
        <v>7.6712328767123292E-2</v>
      </c>
      <c r="Y1455">
        <f t="shared" si="489"/>
        <v>7.6712328767123292E-2</v>
      </c>
      <c r="Z1455">
        <f t="shared" si="490"/>
        <v>7.6712328767123292E-2</v>
      </c>
      <c r="AA1455">
        <f t="shared" si="491"/>
        <v>7.6712328767123292E-2</v>
      </c>
      <c r="AB1455">
        <f t="shared" si="492"/>
        <v>7.6712328767123292E-2</v>
      </c>
      <c r="AC1455">
        <f t="shared" si="493"/>
        <v>7.6712328767123292E-2</v>
      </c>
      <c r="AD1455">
        <f t="shared" si="494"/>
        <v>7.6712328767123292E-2</v>
      </c>
      <c r="AE1455">
        <f t="shared" si="495"/>
        <v>7.6712328767123292E-2</v>
      </c>
      <c r="AF1455">
        <f t="shared" si="496"/>
        <v>7.6712328767123292E-2</v>
      </c>
      <c r="AG1455">
        <f t="shared" si="497"/>
        <v>7.6712328767123292E-2</v>
      </c>
      <c r="AH1455">
        <f t="shared" si="498"/>
        <v>0</v>
      </c>
      <c r="AI1455">
        <f t="shared" si="499"/>
        <v>0</v>
      </c>
      <c r="AJ1455" s="2" t="str">
        <f t="shared" si="509"/>
        <v>1047209</v>
      </c>
    </row>
    <row r="1456" spans="1:36" x14ac:dyDescent="0.25">
      <c r="A1456">
        <v>11</v>
      </c>
      <c r="B1456" s="1">
        <v>47209</v>
      </c>
      <c r="C1456" s="1">
        <f t="shared" si="500"/>
        <v>47543</v>
      </c>
      <c r="D1456" s="1">
        <f t="shared" si="501"/>
        <v>47223</v>
      </c>
      <c r="E1456" s="1">
        <f t="shared" si="502"/>
        <v>47543</v>
      </c>
      <c r="F1456" s="1">
        <f t="shared" si="503"/>
        <v>47574</v>
      </c>
      <c r="G1456" s="1">
        <f t="shared" si="504"/>
        <v>47588</v>
      </c>
      <c r="H1456">
        <f t="shared" si="505"/>
        <v>365</v>
      </c>
      <c r="I1456">
        <f t="shared" si="506"/>
        <v>31</v>
      </c>
      <c r="J1456">
        <f t="shared" si="507"/>
        <v>8.4931506849315067E-2</v>
      </c>
      <c r="K1456">
        <f>IFERROR($J1456/IF($A1456&lt;COUNTIFS($K$1:K$1,"&lt;&gt;"),0,SUMIFS($J:$J,$B:$B,$B1456,$A:$A,"&gt;="&amp;COUNTIFS($K$1:K$1,"&lt;&gt;"))),0)</f>
        <v>8.8825214899713484E-2</v>
      </c>
      <c r="L1456">
        <f>IFERROR($J1456/IF($A1456&lt;COUNTIFS($K$1:L$1,"&lt;&gt;"),0,SUMIFS($J:$J,$B:$B,$B1456,$A:$A,"&gt;="&amp;COUNTIFS($K$1:L$1,"&lt;&gt;"))),0)</f>
        <v>9.7484276729559768E-2</v>
      </c>
      <c r="M1456">
        <f>IFERROR($J1456/IF($A1456&lt;COUNTIFS($K$1:M$1,"&lt;&gt;"),0,SUMIFS($J:$J,$B:$B,$B1456,$A:$A,"&gt;="&amp;COUNTIFS($K$1:M$1,"&lt;&gt;"))),0)</f>
        <v>0.10763888888888891</v>
      </c>
      <c r="N1456">
        <f>IFERROR($J1456/IF($A1456&lt;COUNTIFS($K$1:N$1,"&lt;&gt;"),0,SUMIFS($J:$J,$B:$B,$B1456,$A:$A,"&gt;="&amp;COUNTIFS($K$1:N$1,"&lt;&gt;"))),0)</f>
        <v>0.12062256809338523</v>
      </c>
      <c r="O1456">
        <f>IFERROR($J1456/IF($A1456&lt;COUNTIFS($K$1:O$1,"&lt;&gt;"),0,SUMIFS($J:$J,$B:$B,$B1456,$A:$A,"&gt;="&amp;COUNTIFS($K$1:O$1,"&lt;&gt;"))),0)</f>
        <v>0.13716814159292037</v>
      </c>
      <c r="P1456">
        <f>IFERROR($J1456/IF($A1456&lt;COUNTIFS($K$1:P$1,"&lt;&gt;"),0,SUMIFS($J:$J,$B:$B,$B1456,$A:$A,"&gt;="&amp;COUNTIFS($K$1:P$1,"&lt;&gt;"))),0)</f>
        <v>0.15816326530612249</v>
      </c>
      <c r="Q1456">
        <f>IFERROR($J1456/IF($A1456&lt;COUNTIFS($K$1:Q$1,"&lt;&gt;"),0,SUMIFS($J:$J,$B:$B,$B1456,$A:$A,"&gt;="&amp;COUNTIFS($K$1:Q$1,"&lt;&gt;"))),0)</f>
        <v>0.1878787878787879</v>
      </c>
      <c r="R1456">
        <f>IFERROR($J1456/IF($A1456&lt;COUNTIFS($K$1:R$1,"&lt;&gt;"),0,SUMIFS($J:$J,$B:$B,$B1456,$A:$A,"&gt;="&amp;COUNTIFS($K$1:R$1,"&lt;&gt;"))),0)</f>
        <v>0.22962962962962963</v>
      </c>
      <c r="S1456">
        <f>IFERROR($J1456/IF($A1456&lt;COUNTIFS($K$1:S$1,"&lt;&gt;"),0,SUMIFS($J:$J,$B:$B,$B1456,$A:$A,"&gt;="&amp;COUNTIFS($K$1:S$1,"&lt;&gt;"))),0)</f>
        <v>0.29807692307692307</v>
      </c>
      <c r="T1456">
        <f>IFERROR($J1456/IF($A1456&lt;COUNTIFS($K$1:T$1,"&lt;&gt;"),0,SUMIFS($J:$J,$B:$B,$B1456,$A:$A,"&gt;="&amp;COUNTIFS($K$1:T$1,"&lt;&gt;"))),0)</f>
        <v>0.42465753424657532</v>
      </c>
      <c r="U1456">
        <f>IFERROR($J1456/IF($A1456&lt;COUNTIFS($K$1:U$1,"&lt;&gt;"),0,SUMIFS($J:$J,$B:$B,$B1456,$A:$A,"&gt;="&amp;COUNTIFS($K$1:U$1,"&lt;&gt;"))),0)</f>
        <v>0.68888888888888888</v>
      </c>
      <c r="V1456">
        <f>IFERROR($J1456/IF($A1456&lt;COUNTIFS($K$1:V$1,"&lt;&gt;"),0,SUMIFS($J:$J,$B:$B,$B1456,$A:$A,"&gt;="&amp;COUNTIFS($K$1:V$1,"&lt;&gt;"))),0)</f>
        <v>0</v>
      </c>
      <c r="W1456">
        <f t="shared" si="508"/>
        <v>8.4931506849315067E-2</v>
      </c>
      <c r="X1456">
        <f t="shared" si="488"/>
        <v>8.4931506849315067E-2</v>
      </c>
      <c r="Y1456">
        <f t="shared" si="489"/>
        <v>8.4931506849315067E-2</v>
      </c>
      <c r="Z1456">
        <f t="shared" si="490"/>
        <v>8.4931506849315067E-2</v>
      </c>
      <c r="AA1456">
        <f t="shared" si="491"/>
        <v>8.4931506849315067E-2</v>
      </c>
      <c r="AB1456">
        <f t="shared" si="492"/>
        <v>8.4931506849315067E-2</v>
      </c>
      <c r="AC1456">
        <f t="shared" si="493"/>
        <v>8.4931506849315067E-2</v>
      </c>
      <c r="AD1456">
        <f t="shared" si="494"/>
        <v>8.4931506849315067E-2</v>
      </c>
      <c r="AE1456">
        <f t="shared" si="495"/>
        <v>8.4931506849315067E-2</v>
      </c>
      <c r="AF1456">
        <f t="shared" si="496"/>
        <v>8.4931506849315067E-2</v>
      </c>
      <c r="AG1456">
        <f t="shared" si="497"/>
        <v>8.4931506849315067E-2</v>
      </c>
      <c r="AH1456">
        <f t="shared" si="498"/>
        <v>8.4931506849315067E-2</v>
      </c>
      <c r="AI1456">
        <f t="shared" si="499"/>
        <v>0</v>
      </c>
      <c r="AJ1456" s="2" t="str">
        <f t="shared" si="509"/>
        <v>1147209</v>
      </c>
    </row>
    <row r="1457" spans="1:36" x14ac:dyDescent="0.25">
      <c r="A1457">
        <v>12</v>
      </c>
      <c r="B1457" s="1">
        <v>47209</v>
      </c>
      <c r="C1457" s="1">
        <f t="shared" si="500"/>
        <v>47574</v>
      </c>
      <c r="D1457" s="1">
        <f t="shared" si="501"/>
        <v>47223</v>
      </c>
      <c r="E1457" s="1">
        <f t="shared" si="502"/>
        <v>47574</v>
      </c>
      <c r="F1457" s="1">
        <f t="shared" si="503"/>
        <v>47588</v>
      </c>
      <c r="G1457" s="1">
        <f t="shared" si="504"/>
        <v>47588</v>
      </c>
      <c r="H1457">
        <f t="shared" si="505"/>
        <v>365</v>
      </c>
      <c r="I1457">
        <f t="shared" si="506"/>
        <v>14</v>
      </c>
      <c r="J1457">
        <f t="shared" si="507"/>
        <v>3.8356164383561646E-2</v>
      </c>
      <c r="K1457">
        <f>IFERROR($J1457/IF($A1457&lt;COUNTIFS($K$1:K$1,"&lt;&gt;"),0,SUMIFS($J:$J,$B:$B,$B1457,$A:$A,"&gt;="&amp;COUNTIFS($K$1:K$1,"&lt;&gt;"))),0)</f>
        <v>4.0114613180515769E-2</v>
      </c>
      <c r="L1457">
        <f>IFERROR($J1457/IF($A1457&lt;COUNTIFS($K$1:L$1,"&lt;&gt;"),0,SUMIFS($J:$J,$B:$B,$B1457,$A:$A,"&gt;="&amp;COUNTIFS($K$1:L$1,"&lt;&gt;"))),0)</f>
        <v>4.4025157232704414E-2</v>
      </c>
      <c r="M1457">
        <f>IFERROR($J1457/IF($A1457&lt;COUNTIFS($K$1:M$1,"&lt;&gt;"),0,SUMIFS($J:$J,$B:$B,$B1457,$A:$A,"&gt;="&amp;COUNTIFS($K$1:M$1,"&lt;&gt;"))),0)</f>
        <v>4.8611111111111119E-2</v>
      </c>
      <c r="N1457">
        <f>IFERROR($J1457/IF($A1457&lt;COUNTIFS($K$1:N$1,"&lt;&gt;"),0,SUMIFS($J:$J,$B:$B,$B1457,$A:$A,"&gt;="&amp;COUNTIFS($K$1:N$1,"&lt;&gt;"))),0)</f>
        <v>5.447470817120624E-2</v>
      </c>
      <c r="O1457">
        <f>IFERROR($J1457/IF($A1457&lt;COUNTIFS($K$1:O$1,"&lt;&gt;"),0,SUMIFS($J:$J,$B:$B,$B1457,$A:$A,"&gt;="&amp;COUNTIFS($K$1:O$1,"&lt;&gt;"))),0)</f>
        <v>6.194690265486727E-2</v>
      </c>
      <c r="P1457">
        <f>IFERROR($J1457/IF($A1457&lt;COUNTIFS($K$1:P$1,"&lt;&gt;"),0,SUMIFS($J:$J,$B:$B,$B1457,$A:$A,"&gt;="&amp;COUNTIFS($K$1:P$1,"&lt;&gt;"))),0)</f>
        <v>7.1428571428571438E-2</v>
      </c>
      <c r="Q1457">
        <f>IFERROR($J1457/IF($A1457&lt;COUNTIFS($K$1:Q$1,"&lt;&gt;"),0,SUMIFS($J:$J,$B:$B,$B1457,$A:$A,"&gt;="&amp;COUNTIFS($K$1:Q$1,"&lt;&gt;"))),0)</f>
        <v>8.4848484848484854E-2</v>
      </c>
      <c r="R1457">
        <f>IFERROR($J1457/IF($A1457&lt;COUNTIFS($K$1:R$1,"&lt;&gt;"),0,SUMIFS($J:$J,$B:$B,$B1457,$A:$A,"&gt;="&amp;COUNTIFS($K$1:R$1,"&lt;&gt;"))),0)</f>
        <v>0.10370370370370371</v>
      </c>
      <c r="S1457">
        <f>IFERROR($J1457/IF($A1457&lt;COUNTIFS($K$1:S$1,"&lt;&gt;"),0,SUMIFS($J:$J,$B:$B,$B1457,$A:$A,"&gt;="&amp;COUNTIFS($K$1:S$1,"&lt;&gt;"))),0)</f>
        <v>0.13461538461538464</v>
      </c>
      <c r="T1457">
        <f>IFERROR($J1457/IF($A1457&lt;COUNTIFS($K$1:T$1,"&lt;&gt;"),0,SUMIFS($J:$J,$B:$B,$B1457,$A:$A,"&gt;="&amp;COUNTIFS($K$1:T$1,"&lt;&gt;"))),0)</f>
        <v>0.19178082191780821</v>
      </c>
      <c r="U1457">
        <f>IFERROR($J1457/IF($A1457&lt;COUNTIFS($K$1:U$1,"&lt;&gt;"),0,SUMIFS($J:$J,$B:$B,$B1457,$A:$A,"&gt;="&amp;COUNTIFS($K$1:U$1,"&lt;&gt;"))),0)</f>
        <v>0.31111111111111117</v>
      </c>
      <c r="V1457">
        <f>IFERROR($J1457/IF($A1457&lt;COUNTIFS($K$1:V$1,"&lt;&gt;"),0,SUMIFS($J:$J,$B:$B,$B1457,$A:$A,"&gt;="&amp;COUNTIFS($K$1:V$1,"&lt;&gt;"))),0)</f>
        <v>1</v>
      </c>
      <c r="W1457">
        <f t="shared" si="508"/>
        <v>3.8356164383561646E-2</v>
      </c>
      <c r="X1457">
        <f t="shared" si="488"/>
        <v>3.8356164383561646E-2</v>
      </c>
      <c r="Y1457">
        <f t="shared" si="489"/>
        <v>3.8356164383561646E-2</v>
      </c>
      <c r="Z1457">
        <f t="shared" si="490"/>
        <v>3.8356164383561646E-2</v>
      </c>
      <c r="AA1457">
        <f t="shared" si="491"/>
        <v>3.8356164383561646E-2</v>
      </c>
      <c r="AB1457">
        <f t="shared" si="492"/>
        <v>3.8356164383561646E-2</v>
      </c>
      <c r="AC1457">
        <f t="shared" si="493"/>
        <v>3.8356164383561646E-2</v>
      </c>
      <c r="AD1457">
        <f t="shared" si="494"/>
        <v>3.8356164383561646E-2</v>
      </c>
      <c r="AE1457">
        <f t="shared" si="495"/>
        <v>3.8356164383561646E-2</v>
      </c>
      <c r="AF1457">
        <f t="shared" si="496"/>
        <v>3.8356164383561646E-2</v>
      </c>
      <c r="AG1457">
        <f t="shared" si="497"/>
        <v>3.8356164383561646E-2</v>
      </c>
      <c r="AH1457">
        <f t="shared" si="498"/>
        <v>3.8356164383561646E-2</v>
      </c>
      <c r="AI1457">
        <f t="shared" si="499"/>
        <v>3.8356164383561646E-2</v>
      </c>
      <c r="AJ1457" s="2" t="str">
        <f t="shared" si="509"/>
        <v>1247209</v>
      </c>
    </row>
    <row r="1458" spans="1:36" x14ac:dyDescent="0.25">
      <c r="A1458">
        <v>0</v>
      </c>
      <c r="B1458" s="1">
        <v>47239</v>
      </c>
      <c r="C1458" s="1">
        <f t="shared" si="500"/>
        <v>47239</v>
      </c>
      <c r="D1458" s="1">
        <f t="shared" si="501"/>
        <v>47253</v>
      </c>
      <c r="E1458" s="1">
        <f t="shared" si="502"/>
        <v>47253</v>
      </c>
      <c r="F1458" s="1">
        <f t="shared" si="503"/>
        <v>47270</v>
      </c>
      <c r="G1458" s="1">
        <f t="shared" si="504"/>
        <v>47618</v>
      </c>
      <c r="H1458">
        <f t="shared" si="505"/>
        <v>365</v>
      </c>
      <c r="I1458">
        <f t="shared" si="506"/>
        <v>17</v>
      </c>
      <c r="J1458">
        <f t="shared" si="507"/>
        <v>4.6575342465753428E-2</v>
      </c>
      <c r="K1458">
        <f>IFERROR($J1458/IF($A1458&lt;COUNTIFS($K$1:K$1,"&lt;&gt;"),0,SUMIFS($J:$J,$B:$B,$B1458,$A:$A,"&gt;="&amp;COUNTIFS($K$1:K$1,"&lt;&gt;"))),0)</f>
        <v>0</v>
      </c>
      <c r="L1458">
        <f>IFERROR($J1458/IF($A1458&lt;COUNTIFS($K$1:L$1,"&lt;&gt;"),0,SUMIFS($J:$J,$B:$B,$B1458,$A:$A,"&gt;="&amp;COUNTIFS($K$1:L$1,"&lt;&gt;"))),0)</f>
        <v>0</v>
      </c>
      <c r="M1458">
        <f>IFERROR($J1458/IF($A1458&lt;COUNTIFS($K$1:M$1,"&lt;&gt;"),0,SUMIFS($J:$J,$B:$B,$B1458,$A:$A,"&gt;="&amp;COUNTIFS($K$1:M$1,"&lt;&gt;"))),0)</f>
        <v>0</v>
      </c>
      <c r="N1458">
        <f>IFERROR($J1458/IF($A1458&lt;COUNTIFS($K$1:N$1,"&lt;&gt;"),0,SUMIFS($J:$J,$B:$B,$B1458,$A:$A,"&gt;="&amp;COUNTIFS($K$1:N$1,"&lt;&gt;"))),0)</f>
        <v>0</v>
      </c>
      <c r="O1458">
        <f>IFERROR($J1458/IF($A1458&lt;COUNTIFS($K$1:O$1,"&lt;&gt;"),0,SUMIFS($J:$J,$B:$B,$B1458,$A:$A,"&gt;="&amp;COUNTIFS($K$1:O$1,"&lt;&gt;"))),0)</f>
        <v>0</v>
      </c>
      <c r="P1458">
        <f>IFERROR($J1458/IF($A1458&lt;COUNTIFS($K$1:P$1,"&lt;&gt;"),0,SUMIFS($J:$J,$B:$B,$B1458,$A:$A,"&gt;="&amp;COUNTIFS($K$1:P$1,"&lt;&gt;"))),0)</f>
        <v>0</v>
      </c>
      <c r="Q1458">
        <f>IFERROR($J1458/IF($A1458&lt;COUNTIFS($K$1:Q$1,"&lt;&gt;"),0,SUMIFS($J:$J,$B:$B,$B1458,$A:$A,"&gt;="&amp;COUNTIFS($K$1:Q$1,"&lt;&gt;"))),0)</f>
        <v>0</v>
      </c>
      <c r="R1458">
        <f>IFERROR($J1458/IF($A1458&lt;COUNTIFS($K$1:R$1,"&lt;&gt;"),0,SUMIFS($J:$J,$B:$B,$B1458,$A:$A,"&gt;="&amp;COUNTIFS($K$1:R$1,"&lt;&gt;"))),0)</f>
        <v>0</v>
      </c>
      <c r="S1458">
        <f>IFERROR($J1458/IF($A1458&lt;COUNTIFS($K$1:S$1,"&lt;&gt;"),0,SUMIFS($J:$J,$B:$B,$B1458,$A:$A,"&gt;="&amp;COUNTIFS($K$1:S$1,"&lt;&gt;"))),0)</f>
        <v>0</v>
      </c>
      <c r="T1458">
        <f>IFERROR($J1458/IF($A1458&lt;COUNTIFS($K$1:T$1,"&lt;&gt;"),0,SUMIFS($J:$J,$B:$B,$B1458,$A:$A,"&gt;="&amp;COUNTIFS($K$1:T$1,"&lt;&gt;"))),0)</f>
        <v>0</v>
      </c>
      <c r="U1458">
        <f>IFERROR($J1458/IF($A1458&lt;COUNTIFS($K$1:U$1,"&lt;&gt;"),0,SUMIFS($J:$J,$B:$B,$B1458,$A:$A,"&gt;="&amp;COUNTIFS($K$1:U$1,"&lt;&gt;"))),0)</f>
        <v>0</v>
      </c>
      <c r="V1458">
        <f>IFERROR($J1458/IF($A1458&lt;COUNTIFS($K$1:V$1,"&lt;&gt;"),0,SUMIFS($J:$J,$B:$B,$B1458,$A:$A,"&gt;="&amp;COUNTIFS($K$1:V$1,"&lt;&gt;"))),0)</f>
        <v>0</v>
      </c>
      <c r="W1458">
        <f t="shared" si="508"/>
        <v>4.6575342465753428E-2</v>
      </c>
      <c r="X1458">
        <f t="shared" si="488"/>
        <v>0</v>
      </c>
      <c r="Y1458">
        <f t="shared" si="489"/>
        <v>0</v>
      </c>
      <c r="Z1458">
        <f t="shared" si="490"/>
        <v>0</v>
      </c>
      <c r="AA1458">
        <f t="shared" si="491"/>
        <v>0</v>
      </c>
      <c r="AB1458">
        <f t="shared" si="492"/>
        <v>0</v>
      </c>
      <c r="AC1458">
        <f t="shared" si="493"/>
        <v>0</v>
      </c>
      <c r="AD1458">
        <f t="shared" si="494"/>
        <v>0</v>
      </c>
      <c r="AE1458">
        <f t="shared" si="495"/>
        <v>0</v>
      </c>
      <c r="AF1458">
        <f t="shared" si="496"/>
        <v>0</v>
      </c>
      <c r="AG1458">
        <f t="shared" si="497"/>
        <v>0</v>
      </c>
      <c r="AH1458">
        <f t="shared" si="498"/>
        <v>0</v>
      </c>
      <c r="AI1458">
        <f t="shared" si="499"/>
        <v>0</v>
      </c>
      <c r="AJ1458" s="2" t="str">
        <f t="shared" si="509"/>
        <v>047239</v>
      </c>
    </row>
    <row r="1459" spans="1:36" x14ac:dyDescent="0.25">
      <c r="A1459">
        <v>1</v>
      </c>
      <c r="B1459" s="1">
        <v>47239</v>
      </c>
      <c r="C1459" s="1">
        <f t="shared" si="500"/>
        <v>47270</v>
      </c>
      <c r="D1459" s="1">
        <f t="shared" si="501"/>
        <v>47253</v>
      </c>
      <c r="E1459" s="1">
        <f t="shared" si="502"/>
        <v>47270</v>
      </c>
      <c r="F1459" s="1">
        <f t="shared" si="503"/>
        <v>47300</v>
      </c>
      <c r="G1459" s="1">
        <f t="shared" si="504"/>
        <v>47618</v>
      </c>
      <c r="H1459">
        <f t="shared" si="505"/>
        <v>365</v>
      </c>
      <c r="I1459">
        <f t="shared" si="506"/>
        <v>30</v>
      </c>
      <c r="J1459">
        <f t="shared" si="507"/>
        <v>8.2191780821917804E-2</v>
      </c>
      <c r="K1459">
        <f>IFERROR($J1459/IF($A1459&lt;COUNTIFS($K$1:K$1,"&lt;&gt;"),0,SUMIFS($J:$J,$B:$B,$B1459,$A:$A,"&gt;="&amp;COUNTIFS($K$1:K$1,"&lt;&gt;"))),0)</f>
        <v>8.6206896551724144E-2</v>
      </c>
      <c r="L1459">
        <f>IFERROR($J1459/IF($A1459&lt;COUNTIFS($K$1:L$1,"&lt;&gt;"),0,SUMIFS($J:$J,$B:$B,$B1459,$A:$A,"&gt;="&amp;COUNTIFS($K$1:L$1,"&lt;&gt;"))),0)</f>
        <v>0</v>
      </c>
      <c r="M1459">
        <f>IFERROR($J1459/IF($A1459&lt;COUNTIFS($K$1:M$1,"&lt;&gt;"),0,SUMIFS($J:$J,$B:$B,$B1459,$A:$A,"&gt;="&amp;COUNTIFS($K$1:M$1,"&lt;&gt;"))),0)</f>
        <v>0</v>
      </c>
      <c r="N1459">
        <f>IFERROR($J1459/IF($A1459&lt;COUNTIFS($K$1:N$1,"&lt;&gt;"),0,SUMIFS($J:$J,$B:$B,$B1459,$A:$A,"&gt;="&amp;COUNTIFS($K$1:N$1,"&lt;&gt;"))),0)</f>
        <v>0</v>
      </c>
      <c r="O1459">
        <f>IFERROR($J1459/IF($A1459&lt;COUNTIFS($K$1:O$1,"&lt;&gt;"),0,SUMIFS($J:$J,$B:$B,$B1459,$A:$A,"&gt;="&amp;COUNTIFS($K$1:O$1,"&lt;&gt;"))),0)</f>
        <v>0</v>
      </c>
      <c r="P1459">
        <f>IFERROR($J1459/IF($A1459&lt;COUNTIFS($K$1:P$1,"&lt;&gt;"),0,SUMIFS($J:$J,$B:$B,$B1459,$A:$A,"&gt;="&amp;COUNTIFS($K$1:P$1,"&lt;&gt;"))),0)</f>
        <v>0</v>
      </c>
      <c r="Q1459">
        <f>IFERROR($J1459/IF($A1459&lt;COUNTIFS($K$1:Q$1,"&lt;&gt;"),0,SUMIFS($J:$J,$B:$B,$B1459,$A:$A,"&gt;="&amp;COUNTIFS($K$1:Q$1,"&lt;&gt;"))),0)</f>
        <v>0</v>
      </c>
      <c r="R1459">
        <f>IFERROR($J1459/IF($A1459&lt;COUNTIFS($K$1:R$1,"&lt;&gt;"),0,SUMIFS($J:$J,$B:$B,$B1459,$A:$A,"&gt;="&amp;COUNTIFS($K$1:R$1,"&lt;&gt;"))),0)</f>
        <v>0</v>
      </c>
      <c r="S1459">
        <f>IFERROR($J1459/IF($A1459&lt;COUNTIFS($K$1:S$1,"&lt;&gt;"),0,SUMIFS($J:$J,$B:$B,$B1459,$A:$A,"&gt;="&amp;COUNTIFS($K$1:S$1,"&lt;&gt;"))),0)</f>
        <v>0</v>
      </c>
      <c r="T1459">
        <f>IFERROR($J1459/IF($A1459&lt;COUNTIFS($K$1:T$1,"&lt;&gt;"),0,SUMIFS($J:$J,$B:$B,$B1459,$A:$A,"&gt;="&amp;COUNTIFS($K$1:T$1,"&lt;&gt;"))),0)</f>
        <v>0</v>
      </c>
      <c r="U1459">
        <f>IFERROR($J1459/IF($A1459&lt;COUNTIFS($K$1:U$1,"&lt;&gt;"),0,SUMIFS($J:$J,$B:$B,$B1459,$A:$A,"&gt;="&amp;COUNTIFS($K$1:U$1,"&lt;&gt;"))),0)</f>
        <v>0</v>
      </c>
      <c r="V1459">
        <f>IFERROR($J1459/IF($A1459&lt;COUNTIFS($K$1:V$1,"&lt;&gt;"),0,SUMIFS($J:$J,$B:$B,$B1459,$A:$A,"&gt;="&amp;COUNTIFS($K$1:V$1,"&lt;&gt;"))),0)</f>
        <v>0</v>
      </c>
      <c r="W1459">
        <f t="shared" si="508"/>
        <v>8.2191780821917804E-2</v>
      </c>
      <c r="X1459">
        <f t="shared" si="488"/>
        <v>8.2191780821917804E-2</v>
      </c>
      <c r="Y1459">
        <f t="shared" si="489"/>
        <v>0</v>
      </c>
      <c r="Z1459">
        <f t="shared" si="490"/>
        <v>0</v>
      </c>
      <c r="AA1459">
        <f t="shared" si="491"/>
        <v>0</v>
      </c>
      <c r="AB1459">
        <f t="shared" si="492"/>
        <v>0</v>
      </c>
      <c r="AC1459">
        <f t="shared" si="493"/>
        <v>0</v>
      </c>
      <c r="AD1459">
        <f t="shared" si="494"/>
        <v>0</v>
      </c>
      <c r="AE1459">
        <f t="shared" si="495"/>
        <v>0</v>
      </c>
      <c r="AF1459">
        <f t="shared" si="496"/>
        <v>0</v>
      </c>
      <c r="AG1459">
        <f t="shared" si="497"/>
        <v>0</v>
      </c>
      <c r="AH1459">
        <f t="shared" si="498"/>
        <v>0</v>
      </c>
      <c r="AI1459">
        <f t="shared" si="499"/>
        <v>0</v>
      </c>
      <c r="AJ1459" s="2" t="str">
        <f t="shared" si="509"/>
        <v>147239</v>
      </c>
    </row>
    <row r="1460" spans="1:36" x14ac:dyDescent="0.25">
      <c r="A1460">
        <v>2</v>
      </c>
      <c r="B1460" s="1">
        <v>47239</v>
      </c>
      <c r="C1460" s="1">
        <f t="shared" si="500"/>
        <v>47300</v>
      </c>
      <c r="D1460" s="1">
        <f t="shared" si="501"/>
        <v>47253</v>
      </c>
      <c r="E1460" s="1">
        <f t="shared" si="502"/>
        <v>47300</v>
      </c>
      <c r="F1460" s="1">
        <f t="shared" si="503"/>
        <v>47331</v>
      </c>
      <c r="G1460" s="1">
        <f t="shared" si="504"/>
        <v>47618</v>
      </c>
      <c r="H1460">
        <f t="shared" si="505"/>
        <v>365</v>
      </c>
      <c r="I1460">
        <f t="shared" si="506"/>
        <v>31</v>
      </c>
      <c r="J1460">
        <f t="shared" si="507"/>
        <v>8.4931506849315067E-2</v>
      </c>
      <c r="K1460">
        <f>IFERROR($J1460/IF($A1460&lt;COUNTIFS($K$1:K$1,"&lt;&gt;"),0,SUMIFS($J:$J,$B:$B,$B1460,$A:$A,"&gt;="&amp;COUNTIFS($K$1:K$1,"&lt;&gt;"))),0)</f>
        <v>8.9080459770114959E-2</v>
      </c>
      <c r="L1460">
        <f>IFERROR($J1460/IF($A1460&lt;COUNTIFS($K$1:L$1,"&lt;&gt;"),0,SUMIFS($J:$J,$B:$B,$B1460,$A:$A,"&gt;="&amp;COUNTIFS($K$1:L$1,"&lt;&gt;"))),0)</f>
        <v>9.7484276729559768E-2</v>
      </c>
      <c r="M1460">
        <f>IFERROR($J1460/IF($A1460&lt;COUNTIFS($K$1:M$1,"&lt;&gt;"),0,SUMIFS($J:$J,$B:$B,$B1460,$A:$A,"&gt;="&amp;COUNTIFS($K$1:M$1,"&lt;&gt;"))),0)</f>
        <v>0</v>
      </c>
      <c r="N1460">
        <f>IFERROR($J1460/IF($A1460&lt;COUNTIFS($K$1:N$1,"&lt;&gt;"),0,SUMIFS($J:$J,$B:$B,$B1460,$A:$A,"&gt;="&amp;COUNTIFS($K$1:N$1,"&lt;&gt;"))),0)</f>
        <v>0</v>
      </c>
      <c r="O1460">
        <f>IFERROR($J1460/IF($A1460&lt;COUNTIFS($K$1:O$1,"&lt;&gt;"),0,SUMIFS($J:$J,$B:$B,$B1460,$A:$A,"&gt;="&amp;COUNTIFS($K$1:O$1,"&lt;&gt;"))),0)</f>
        <v>0</v>
      </c>
      <c r="P1460">
        <f>IFERROR($J1460/IF($A1460&lt;COUNTIFS($K$1:P$1,"&lt;&gt;"),0,SUMIFS($J:$J,$B:$B,$B1460,$A:$A,"&gt;="&amp;COUNTIFS($K$1:P$1,"&lt;&gt;"))),0)</f>
        <v>0</v>
      </c>
      <c r="Q1460">
        <f>IFERROR($J1460/IF($A1460&lt;COUNTIFS($K$1:Q$1,"&lt;&gt;"),0,SUMIFS($J:$J,$B:$B,$B1460,$A:$A,"&gt;="&amp;COUNTIFS($K$1:Q$1,"&lt;&gt;"))),0)</f>
        <v>0</v>
      </c>
      <c r="R1460">
        <f>IFERROR($J1460/IF($A1460&lt;COUNTIFS($K$1:R$1,"&lt;&gt;"),0,SUMIFS($J:$J,$B:$B,$B1460,$A:$A,"&gt;="&amp;COUNTIFS($K$1:R$1,"&lt;&gt;"))),0)</f>
        <v>0</v>
      </c>
      <c r="S1460">
        <f>IFERROR($J1460/IF($A1460&lt;COUNTIFS($K$1:S$1,"&lt;&gt;"),0,SUMIFS($J:$J,$B:$B,$B1460,$A:$A,"&gt;="&amp;COUNTIFS($K$1:S$1,"&lt;&gt;"))),0)</f>
        <v>0</v>
      </c>
      <c r="T1460">
        <f>IFERROR($J1460/IF($A1460&lt;COUNTIFS($K$1:T$1,"&lt;&gt;"),0,SUMIFS($J:$J,$B:$B,$B1460,$A:$A,"&gt;="&amp;COUNTIFS($K$1:T$1,"&lt;&gt;"))),0)</f>
        <v>0</v>
      </c>
      <c r="U1460">
        <f>IFERROR($J1460/IF($A1460&lt;COUNTIFS($K$1:U$1,"&lt;&gt;"),0,SUMIFS($J:$J,$B:$B,$B1460,$A:$A,"&gt;="&amp;COUNTIFS($K$1:U$1,"&lt;&gt;"))),0)</f>
        <v>0</v>
      </c>
      <c r="V1460">
        <f>IFERROR($J1460/IF($A1460&lt;COUNTIFS($K$1:V$1,"&lt;&gt;"),0,SUMIFS($J:$J,$B:$B,$B1460,$A:$A,"&gt;="&amp;COUNTIFS($K$1:V$1,"&lt;&gt;"))),0)</f>
        <v>0</v>
      </c>
      <c r="W1460">
        <f t="shared" si="508"/>
        <v>8.4931506849315067E-2</v>
      </c>
      <c r="X1460">
        <f t="shared" si="488"/>
        <v>8.4931506849315067E-2</v>
      </c>
      <c r="Y1460">
        <f t="shared" si="489"/>
        <v>8.4931506849315067E-2</v>
      </c>
      <c r="Z1460">
        <f t="shared" si="490"/>
        <v>0</v>
      </c>
      <c r="AA1460">
        <f t="shared" si="491"/>
        <v>0</v>
      </c>
      <c r="AB1460">
        <f t="shared" si="492"/>
        <v>0</v>
      </c>
      <c r="AC1460">
        <f t="shared" si="493"/>
        <v>0</v>
      </c>
      <c r="AD1460">
        <f t="shared" si="494"/>
        <v>0</v>
      </c>
      <c r="AE1460">
        <f t="shared" si="495"/>
        <v>0</v>
      </c>
      <c r="AF1460">
        <f t="shared" si="496"/>
        <v>0</v>
      </c>
      <c r="AG1460">
        <f t="shared" si="497"/>
        <v>0</v>
      </c>
      <c r="AH1460">
        <f t="shared" si="498"/>
        <v>0</v>
      </c>
      <c r="AI1460">
        <f t="shared" si="499"/>
        <v>0</v>
      </c>
      <c r="AJ1460" s="2" t="str">
        <f t="shared" si="509"/>
        <v>247239</v>
      </c>
    </row>
    <row r="1461" spans="1:36" x14ac:dyDescent="0.25">
      <c r="A1461">
        <v>3</v>
      </c>
      <c r="B1461" s="1">
        <v>47239</v>
      </c>
      <c r="C1461" s="1">
        <f t="shared" si="500"/>
        <v>47331</v>
      </c>
      <c r="D1461" s="1">
        <f t="shared" si="501"/>
        <v>47253</v>
      </c>
      <c r="E1461" s="1">
        <f t="shared" si="502"/>
        <v>47331</v>
      </c>
      <c r="F1461" s="1">
        <f t="shared" si="503"/>
        <v>47362</v>
      </c>
      <c r="G1461" s="1">
        <f t="shared" si="504"/>
        <v>47618</v>
      </c>
      <c r="H1461">
        <f t="shared" si="505"/>
        <v>365</v>
      </c>
      <c r="I1461">
        <f t="shared" si="506"/>
        <v>31</v>
      </c>
      <c r="J1461">
        <f t="shared" si="507"/>
        <v>8.4931506849315067E-2</v>
      </c>
      <c r="K1461">
        <f>IFERROR($J1461/IF($A1461&lt;COUNTIFS($K$1:K$1,"&lt;&gt;"),0,SUMIFS($J:$J,$B:$B,$B1461,$A:$A,"&gt;="&amp;COUNTIFS($K$1:K$1,"&lt;&gt;"))),0)</f>
        <v>8.9080459770114959E-2</v>
      </c>
      <c r="L1461">
        <f>IFERROR($J1461/IF($A1461&lt;COUNTIFS($K$1:L$1,"&lt;&gt;"),0,SUMIFS($J:$J,$B:$B,$B1461,$A:$A,"&gt;="&amp;COUNTIFS($K$1:L$1,"&lt;&gt;"))),0)</f>
        <v>9.7484276729559768E-2</v>
      </c>
      <c r="M1461">
        <f>IFERROR($J1461/IF($A1461&lt;COUNTIFS($K$1:M$1,"&lt;&gt;"),0,SUMIFS($J:$J,$B:$B,$B1461,$A:$A,"&gt;="&amp;COUNTIFS($K$1:M$1,"&lt;&gt;"))),0)</f>
        <v>0.10801393728222998</v>
      </c>
      <c r="N1461">
        <f>IFERROR($J1461/IF($A1461&lt;COUNTIFS($K$1:N$1,"&lt;&gt;"),0,SUMIFS($J:$J,$B:$B,$B1461,$A:$A,"&gt;="&amp;COUNTIFS($K$1:N$1,"&lt;&gt;"))),0)</f>
        <v>0</v>
      </c>
      <c r="O1461">
        <f>IFERROR($J1461/IF($A1461&lt;COUNTIFS($K$1:O$1,"&lt;&gt;"),0,SUMIFS($J:$J,$B:$B,$B1461,$A:$A,"&gt;="&amp;COUNTIFS($K$1:O$1,"&lt;&gt;"))),0)</f>
        <v>0</v>
      </c>
      <c r="P1461">
        <f>IFERROR($J1461/IF($A1461&lt;COUNTIFS($K$1:P$1,"&lt;&gt;"),0,SUMIFS($J:$J,$B:$B,$B1461,$A:$A,"&gt;="&amp;COUNTIFS($K$1:P$1,"&lt;&gt;"))),0)</f>
        <v>0</v>
      </c>
      <c r="Q1461">
        <f>IFERROR($J1461/IF($A1461&lt;COUNTIFS($K$1:Q$1,"&lt;&gt;"),0,SUMIFS($J:$J,$B:$B,$B1461,$A:$A,"&gt;="&amp;COUNTIFS($K$1:Q$1,"&lt;&gt;"))),0)</f>
        <v>0</v>
      </c>
      <c r="R1461">
        <f>IFERROR($J1461/IF($A1461&lt;COUNTIFS($K$1:R$1,"&lt;&gt;"),0,SUMIFS($J:$J,$B:$B,$B1461,$A:$A,"&gt;="&amp;COUNTIFS($K$1:R$1,"&lt;&gt;"))),0)</f>
        <v>0</v>
      </c>
      <c r="S1461">
        <f>IFERROR($J1461/IF($A1461&lt;COUNTIFS($K$1:S$1,"&lt;&gt;"),0,SUMIFS($J:$J,$B:$B,$B1461,$A:$A,"&gt;="&amp;COUNTIFS($K$1:S$1,"&lt;&gt;"))),0)</f>
        <v>0</v>
      </c>
      <c r="T1461">
        <f>IFERROR($J1461/IF($A1461&lt;COUNTIFS($K$1:T$1,"&lt;&gt;"),0,SUMIFS($J:$J,$B:$B,$B1461,$A:$A,"&gt;="&amp;COUNTIFS($K$1:T$1,"&lt;&gt;"))),0)</f>
        <v>0</v>
      </c>
      <c r="U1461">
        <f>IFERROR($J1461/IF($A1461&lt;COUNTIFS($K$1:U$1,"&lt;&gt;"),0,SUMIFS($J:$J,$B:$B,$B1461,$A:$A,"&gt;="&amp;COUNTIFS($K$1:U$1,"&lt;&gt;"))),0)</f>
        <v>0</v>
      </c>
      <c r="V1461">
        <f>IFERROR($J1461/IF($A1461&lt;COUNTIFS($K$1:V$1,"&lt;&gt;"),0,SUMIFS($J:$J,$B:$B,$B1461,$A:$A,"&gt;="&amp;COUNTIFS($K$1:V$1,"&lt;&gt;"))),0)</f>
        <v>0</v>
      </c>
      <c r="W1461">
        <f t="shared" si="508"/>
        <v>8.4931506849315067E-2</v>
      </c>
      <c r="X1461">
        <f t="shared" si="488"/>
        <v>8.4931506849315067E-2</v>
      </c>
      <c r="Y1461">
        <f t="shared" si="489"/>
        <v>8.4931506849315067E-2</v>
      </c>
      <c r="Z1461">
        <f t="shared" si="490"/>
        <v>8.4931506849315067E-2</v>
      </c>
      <c r="AA1461">
        <f t="shared" si="491"/>
        <v>0</v>
      </c>
      <c r="AB1461">
        <f t="shared" si="492"/>
        <v>0</v>
      </c>
      <c r="AC1461">
        <f t="shared" si="493"/>
        <v>0</v>
      </c>
      <c r="AD1461">
        <f t="shared" si="494"/>
        <v>0</v>
      </c>
      <c r="AE1461">
        <f t="shared" si="495"/>
        <v>0</v>
      </c>
      <c r="AF1461">
        <f t="shared" si="496"/>
        <v>0</v>
      </c>
      <c r="AG1461">
        <f t="shared" si="497"/>
        <v>0</v>
      </c>
      <c r="AH1461">
        <f t="shared" si="498"/>
        <v>0</v>
      </c>
      <c r="AI1461">
        <f t="shared" si="499"/>
        <v>0</v>
      </c>
      <c r="AJ1461" s="2" t="str">
        <f t="shared" si="509"/>
        <v>347239</v>
      </c>
    </row>
    <row r="1462" spans="1:36" x14ac:dyDescent="0.25">
      <c r="A1462">
        <v>4</v>
      </c>
      <c r="B1462" s="1">
        <v>47239</v>
      </c>
      <c r="C1462" s="1">
        <f t="shared" si="500"/>
        <v>47362</v>
      </c>
      <c r="D1462" s="1">
        <f t="shared" si="501"/>
        <v>47253</v>
      </c>
      <c r="E1462" s="1">
        <f t="shared" si="502"/>
        <v>47362</v>
      </c>
      <c r="F1462" s="1">
        <f t="shared" si="503"/>
        <v>47392</v>
      </c>
      <c r="G1462" s="1">
        <f t="shared" si="504"/>
        <v>47618</v>
      </c>
      <c r="H1462">
        <f t="shared" si="505"/>
        <v>365</v>
      </c>
      <c r="I1462">
        <f t="shared" si="506"/>
        <v>30</v>
      </c>
      <c r="J1462">
        <f t="shared" si="507"/>
        <v>8.2191780821917804E-2</v>
      </c>
      <c r="K1462">
        <f>IFERROR($J1462/IF($A1462&lt;COUNTIFS($K$1:K$1,"&lt;&gt;"),0,SUMIFS($J:$J,$B:$B,$B1462,$A:$A,"&gt;="&amp;COUNTIFS($K$1:K$1,"&lt;&gt;"))),0)</f>
        <v>8.6206896551724144E-2</v>
      </c>
      <c r="L1462">
        <f>IFERROR($J1462/IF($A1462&lt;COUNTIFS($K$1:L$1,"&lt;&gt;"),0,SUMIFS($J:$J,$B:$B,$B1462,$A:$A,"&gt;="&amp;COUNTIFS($K$1:L$1,"&lt;&gt;"))),0)</f>
        <v>9.4339622641509441E-2</v>
      </c>
      <c r="M1462">
        <f>IFERROR($J1462/IF($A1462&lt;COUNTIFS($K$1:M$1,"&lt;&gt;"),0,SUMIFS($J:$J,$B:$B,$B1462,$A:$A,"&gt;="&amp;COUNTIFS($K$1:M$1,"&lt;&gt;"))),0)</f>
        <v>0.10452961672473869</v>
      </c>
      <c r="N1462">
        <f>IFERROR($J1462/IF($A1462&lt;COUNTIFS($K$1:N$1,"&lt;&gt;"),0,SUMIFS($J:$J,$B:$B,$B1462,$A:$A,"&gt;="&amp;COUNTIFS($K$1:N$1,"&lt;&gt;"))),0)</f>
        <v>0.11718750000000001</v>
      </c>
      <c r="O1462">
        <f>IFERROR($J1462/IF($A1462&lt;COUNTIFS($K$1:O$1,"&lt;&gt;"),0,SUMIFS($J:$J,$B:$B,$B1462,$A:$A,"&gt;="&amp;COUNTIFS($K$1:O$1,"&lt;&gt;"))),0)</f>
        <v>0</v>
      </c>
      <c r="P1462">
        <f>IFERROR($J1462/IF($A1462&lt;COUNTIFS($K$1:P$1,"&lt;&gt;"),0,SUMIFS($J:$J,$B:$B,$B1462,$A:$A,"&gt;="&amp;COUNTIFS($K$1:P$1,"&lt;&gt;"))),0)</f>
        <v>0</v>
      </c>
      <c r="Q1462">
        <f>IFERROR($J1462/IF($A1462&lt;COUNTIFS($K$1:Q$1,"&lt;&gt;"),0,SUMIFS($J:$J,$B:$B,$B1462,$A:$A,"&gt;="&amp;COUNTIFS($K$1:Q$1,"&lt;&gt;"))),0)</f>
        <v>0</v>
      </c>
      <c r="R1462">
        <f>IFERROR($J1462/IF($A1462&lt;COUNTIFS($K$1:R$1,"&lt;&gt;"),0,SUMIFS($J:$J,$B:$B,$B1462,$A:$A,"&gt;="&amp;COUNTIFS($K$1:R$1,"&lt;&gt;"))),0)</f>
        <v>0</v>
      </c>
      <c r="S1462">
        <f>IFERROR($J1462/IF($A1462&lt;COUNTIFS($K$1:S$1,"&lt;&gt;"),0,SUMIFS($J:$J,$B:$B,$B1462,$A:$A,"&gt;="&amp;COUNTIFS($K$1:S$1,"&lt;&gt;"))),0)</f>
        <v>0</v>
      </c>
      <c r="T1462">
        <f>IFERROR($J1462/IF($A1462&lt;COUNTIFS($K$1:T$1,"&lt;&gt;"),0,SUMIFS($J:$J,$B:$B,$B1462,$A:$A,"&gt;="&amp;COUNTIFS($K$1:T$1,"&lt;&gt;"))),0)</f>
        <v>0</v>
      </c>
      <c r="U1462">
        <f>IFERROR($J1462/IF($A1462&lt;COUNTIFS($K$1:U$1,"&lt;&gt;"),0,SUMIFS($J:$J,$B:$B,$B1462,$A:$A,"&gt;="&amp;COUNTIFS($K$1:U$1,"&lt;&gt;"))),0)</f>
        <v>0</v>
      </c>
      <c r="V1462">
        <f>IFERROR($J1462/IF($A1462&lt;COUNTIFS($K$1:V$1,"&lt;&gt;"),0,SUMIFS($J:$J,$B:$B,$B1462,$A:$A,"&gt;="&amp;COUNTIFS($K$1:V$1,"&lt;&gt;"))),0)</f>
        <v>0</v>
      </c>
      <c r="W1462">
        <f t="shared" si="508"/>
        <v>8.2191780821917804E-2</v>
      </c>
      <c r="X1462">
        <f t="shared" si="488"/>
        <v>8.2191780821917804E-2</v>
      </c>
      <c r="Y1462">
        <f t="shared" si="489"/>
        <v>8.2191780821917804E-2</v>
      </c>
      <c r="Z1462">
        <f t="shared" si="490"/>
        <v>8.2191780821917804E-2</v>
      </c>
      <c r="AA1462">
        <f t="shared" si="491"/>
        <v>8.2191780821917804E-2</v>
      </c>
      <c r="AB1462">
        <f t="shared" si="492"/>
        <v>0</v>
      </c>
      <c r="AC1462">
        <f t="shared" si="493"/>
        <v>0</v>
      </c>
      <c r="AD1462">
        <f t="shared" si="494"/>
        <v>0</v>
      </c>
      <c r="AE1462">
        <f t="shared" si="495"/>
        <v>0</v>
      </c>
      <c r="AF1462">
        <f t="shared" si="496"/>
        <v>0</v>
      </c>
      <c r="AG1462">
        <f t="shared" si="497"/>
        <v>0</v>
      </c>
      <c r="AH1462">
        <f t="shared" si="498"/>
        <v>0</v>
      </c>
      <c r="AI1462">
        <f t="shared" si="499"/>
        <v>0</v>
      </c>
      <c r="AJ1462" s="2" t="str">
        <f t="shared" si="509"/>
        <v>447239</v>
      </c>
    </row>
    <row r="1463" spans="1:36" x14ac:dyDescent="0.25">
      <c r="A1463">
        <v>5</v>
      </c>
      <c r="B1463" s="1">
        <v>47239</v>
      </c>
      <c r="C1463" s="1">
        <f t="shared" si="500"/>
        <v>47392</v>
      </c>
      <c r="D1463" s="1">
        <f t="shared" si="501"/>
        <v>47253</v>
      </c>
      <c r="E1463" s="1">
        <f t="shared" si="502"/>
        <v>47392</v>
      </c>
      <c r="F1463" s="1">
        <f t="shared" si="503"/>
        <v>47423</v>
      </c>
      <c r="G1463" s="1">
        <f t="shared" si="504"/>
        <v>47618</v>
      </c>
      <c r="H1463">
        <f t="shared" si="505"/>
        <v>365</v>
      </c>
      <c r="I1463">
        <f t="shared" si="506"/>
        <v>31</v>
      </c>
      <c r="J1463">
        <f t="shared" si="507"/>
        <v>8.4931506849315067E-2</v>
      </c>
      <c r="K1463">
        <f>IFERROR($J1463/IF($A1463&lt;COUNTIFS($K$1:K$1,"&lt;&gt;"),0,SUMIFS($J:$J,$B:$B,$B1463,$A:$A,"&gt;="&amp;COUNTIFS($K$1:K$1,"&lt;&gt;"))),0)</f>
        <v>8.9080459770114959E-2</v>
      </c>
      <c r="L1463">
        <f>IFERROR($J1463/IF($A1463&lt;COUNTIFS($K$1:L$1,"&lt;&gt;"),0,SUMIFS($J:$J,$B:$B,$B1463,$A:$A,"&gt;="&amp;COUNTIFS($K$1:L$1,"&lt;&gt;"))),0)</f>
        <v>9.7484276729559768E-2</v>
      </c>
      <c r="M1463">
        <f>IFERROR($J1463/IF($A1463&lt;COUNTIFS($K$1:M$1,"&lt;&gt;"),0,SUMIFS($J:$J,$B:$B,$B1463,$A:$A,"&gt;="&amp;COUNTIFS($K$1:M$1,"&lt;&gt;"))),0)</f>
        <v>0.10801393728222998</v>
      </c>
      <c r="N1463">
        <f>IFERROR($J1463/IF($A1463&lt;COUNTIFS($K$1:N$1,"&lt;&gt;"),0,SUMIFS($J:$J,$B:$B,$B1463,$A:$A,"&gt;="&amp;COUNTIFS($K$1:N$1,"&lt;&gt;"))),0)</f>
        <v>0.12109375000000001</v>
      </c>
      <c r="O1463">
        <f>IFERROR($J1463/IF($A1463&lt;COUNTIFS($K$1:O$1,"&lt;&gt;"),0,SUMIFS($J:$J,$B:$B,$B1463,$A:$A,"&gt;="&amp;COUNTIFS($K$1:O$1,"&lt;&gt;"))),0)</f>
        <v>0.13716814159292037</v>
      </c>
      <c r="P1463">
        <f>IFERROR($J1463/IF($A1463&lt;COUNTIFS($K$1:P$1,"&lt;&gt;"),0,SUMIFS($J:$J,$B:$B,$B1463,$A:$A,"&gt;="&amp;COUNTIFS($K$1:P$1,"&lt;&gt;"))),0)</f>
        <v>0</v>
      </c>
      <c r="Q1463">
        <f>IFERROR($J1463/IF($A1463&lt;COUNTIFS($K$1:Q$1,"&lt;&gt;"),0,SUMIFS($J:$J,$B:$B,$B1463,$A:$A,"&gt;="&amp;COUNTIFS($K$1:Q$1,"&lt;&gt;"))),0)</f>
        <v>0</v>
      </c>
      <c r="R1463">
        <f>IFERROR($J1463/IF($A1463&lt;COUNTIFS($K$1:R$1,"&lt;&gt;"),0,SUMIFS($J:$J,$B:$B,$B1463,$A:$A,"&gt;="&amp;COUNTIFS($K$1:R$1,"&lt;&gt;"))),0)</f>
        <v>0</v>
      </c>
      <c r="S1463">
        <f>IFERROR($J1463/IF($A1463&lt;COUNTIFS($K$1:S$1,"&lt;&gt;"),0,SUMIFS($J:$J,$B:$B,$B1463,$A:$A,"&gt;="&amp;COUNTIFS($K$1:S$1,"&lt;&gt;"))),0)</f>
        <v>0</v>
      </c>
      <c r="T1463">
        <f>IFERROR($J1463/IF($A1463&lt;COUNTIFS($K$1:T$1,"&lt;&gt;"),0,SUMIFS($J:$J,$B:$B,$B1463,$A:$A,"&gt;="&amp;COUNTIFS($K$1:T$1,"&lt;&gt;"))),0)</f>
        <v>0</v>
      </c>
      <c r="U1463">
        <f>IFERROR($J1463/IF($A1463&lt;COUNTIFS($K$1:U$1,"&lt;&gt;"),0,SUMIFS($J:$J,$B:$B,$B1463,$A:$A,"&gt;="&amp;COUNTIFS($K$1:U$1,"&lt;&gt;"))),0)</f>
        <v>0</v>
      </c>
      <c r="V1463">
        <f>IFERROR($J1463/IF($A1463&lt;COUNTIFS($K$1:V$1,"&lt;&gt;"),0,SUMIFS($J:$J,$B:$B,$B1463,$A:$A,"&gt;="&amp;COUNTIFS($K$1:V$1,"&lt;&gt;"))),0)</f>
        <v>0</v>
      </c>
      <c r="W1463">
        <f t="shared" si="508"/>
        <v>8.4931506849315067E-2</v>
      </c>
      <c r="X1463">
        <f t="shared" si="488"/>
        <v>8.4931506849315067E-2</v>
      </c>
      <c r="Y1463">
        <f t="shared" si="489"/>
        <v>8.4931506849315067E-2</v>
      </c>
      <c r="Z1463">
        <f t="shared" si="490"/>
        <v>8.4931506849315067E-2</v>
      </c>
      <c r="AA1463">
        <f t="shared" si="491"/>
        <v>8.4931506849315067E-2</v>
      </c>
      <c r="AB1463">
        <f t="shared" si="492"/>
        <v>8.4931506849315067E-2</v>
      </c>
      <c r="AC1463">
        <f t="shared" si="493"/>
        <v>0</v>
      </c>
      <c r="AD1463">
        <f t="shared" si="494"/>
        <v>0</v>
      </c>
      <c r="AE1463">
        <f t="shared" si="495"/>
        <v>0</v>
      </c>
      <c r="AF1463">
        <f t="shared" si="496"/>
        <v>0</v>
      </c>
      <c r="AG1463">
        <f t="shared" si="497"/>
        <v>0</v>
      </c>
      <c r="AH1463">
        <f t="shared" si="498"/>
        <v>0</v>
      </c>
      <c r="AI1463">
        <f t="shared" si="499"/>
        <v>0</v>
      </c>
      <c r="AJ1463" s="2" t="str">
        <f t="shared" si="509"/>
        <v>547239</v>
      </c>
    </row>
    <row r="1464" spans="1:36" x14ac:dyDescent="0.25">
      <c r="A1464">
        <v>6</v>
      </c>
      <c r="B1464" s="1">
        <v>47239</v>
      </c>
      <c r="C1464" s="1">
        <f t="shared" si="500"/>
        <v>47423</v>
      </c>
      <c r="D1464" s="1">
        <f t="shared" si="501"/>
        <v>47253</v>
      </c>
      <c r="E1464" s="1">
        <f t="shared" si="502"/>
        <v>47423</v>
      </c>
      <c r="F1464" s="1">
        <f t="shared" si="503"/>
        <v>47453</v>
      </c>
      <c r="G1464" s="1">
        <f t="shared" si="504"/>
        <v>47618</v>
      </c>
      <c r="H1464">
        <f t="shared" si="505"/>
        <v>365</v>
      </c>
      <c r="I1464">
        <f t="shared" si="506"/>
        <v>30</v>
      </c>
      <c r="J1464">
        <f t="shared" si="507"/>
        <v>8.2191780821917804E-2</v>
      </c>
      <c r="K1464">
        <f>IFERROR($J1464/IF($A1464&lt;COUNTIFS($K$1:K$1,"&lt;&gt;"),0,SUMIFS($J:$J,$B:$B,$B1464,$A:$A,"&gt;="&amp;COUNTIFS($K$1:K$1,"&lt;&gt;"))),0)</f>
        <v>8.6206896551724144E-2</v>
      </c>
      <c r="L1464">
        <f>IFERROR($J1464/IF($A1464&lt;COUNTIFS($K$1:L$1,"&lt;&gt;"),0,SUMIFS($J:$J,$B:$B,$B1464,$A:$A,"&gt;="&amp;COUNTIFS($K$1:L$1,"&lt;&gt;"))),0)</f>
        <v>9.4339622641509441E-2</v>
      </c>
      <c r="M1464">
        <f>IFERROR($J1464/IF($A1464&lt;COUNTIFS($K$1:M$1,"&lt;&gt;"),0,SUMIFS($J:$J,$B:$B,$B1464,$A:$A,"&gt;="&amp;COUNTIFS($K$1:M$1,"&lt;&gt;"))),0)</f>
        <v>0.10452961672473869</v>
      </c>
      <c r="N1464">
        <f>IFERROR($J1464/IF($A1464&lt;COUNTIFS($K$1:N$1,"&lt;&gt;"),0,SUMIFS($J:$J,$B:$B,$B1464,$A:$A,"&gt;="&amp;COUNTIFS($K$1:N$1,"&lt;&gt;"))),0)</f>
        <v>0.11718750000000001</v>
      </c>
      <c r="O1464">
        <f>IFERROR($J1464/IF($A1464&lt;COUNTIFS($K$1:O$1,"&lt;&gt;"),0,SUMIFS($J:$J,$B:$B,$B1464,$A:$A,"&gt;="&amp;COUNTIFS($K$1:O$1,"&lt;&gt;"))),0)</f>
        <v>0.13274336283185842</v>
      </c>
      <c r="P1464">
        <f>IFERROR($J1464/IF($A1464&lt;COUNTIFS($K$1:P$1,"&lt;&gt;"),0,SUMIFS($J:$J,$B:$B,$B1464,$A:$A,"&gt;="&amp;COUNTIFS($K$1:P$1,"&lt;&gt;"))),0)</f>
        <v>0.15384615384615385</v>
      </c>
      <c r="Q1464">
        <f>IFERROR($J1464/IF($A1464&lt;COUNTIFS($K$1:Q$1,"&lt;&gt;"),0,SUMIFS($J:$J,$B:$B,$B1464,$A:$A,"&gt;="&amp;COUNTIFS($K$1:Q$1,"&lt;&gt;"))),0)</f>
        <v>0</v>
      </c>
      <c r="R1464">
        <f>IFERROR($J1464/IF($A1464&lt;COUNTIFS($K$1:R$1,"&lt;&gt;"),0,SUMIFS($J:$J,$B:$B,$B1464,$A:$A,"&gt;="&amp;COUNTIFS($K$1:R$1,"&lt;&gt;"))),0)</f>
        <v>0</v>
      </c>
      <c r="S1464">
        <f>IFERROR($J1464/IF($A1464&lt;COUNTIFS($K$1:S$1,"&lt;&gt;"),0,SUMIFS($J:$J,$B:$B,$B1464,$A:$A,"&gt;="&amp;COUNTIFS($K$1:S$1,"&lt;&gt;"))),0)</f>
        <v>0</v>
      </c>
      <c r="T1464">
        <f>IFERROR($J1464/IF($A1464&lt;COUNTIFS($K$1:T$1,"&lt;&gt;"),0,SUMIFS($J:$J,$B:$B,$B1464,$A:$A,"&gt;="&amp;COUNTIFS($K$1:T$1,"&lt;&gt;"))),0)</f>
        <v>0</v>
      </c>
      <c r="U1464">
        <f>IFERROR($J1464/IF($A1464&lt;COUNTIFS($K$1:U$1,"&lt;&gt;"),0,SUMIFS($J:$J,$B:$B,$B1464,$A:$A,"&gt;="&amp;COUNTIFS($K$1:U$1,"&lt;&gt;"))),0)</f>
        <v>0</v>
      </c>
      <c r="V1464">
        <f>IFERROR($J1464/IF($A1464&lt;COUNTIFS($K$1:V$1,"&lt;&gt;"),0,SUMIFS($J:$J,$B:$B,$B1464,$A:$A,"&gt;="&amp;COUNTIFS($K$1:V$1,"&lt;&gt;"))),0)</f>
        <v>0</v>
      </c>
      <c r="W1464">
        <f t="shared" si="508"/>
        <v>8.2191780821917804E-2</v>
      </c>
      <c r="X1464">
        <f t="shared" si="488"/>
        <v>8.2191780821917804E-2</v>
      </c>
      <c r="Y1464">
        <f t="shared" si="489"/>
        <v>8.2191780821917804E-2</v>
      </c>
      <c r="Z1464">
        <f t="shared" si="490"/>
        <v>8.2191780821917804E-2</v>
      </c>
      <c r="AA1464">
        <f t="shared" si="491"/>
        <v>8.2191780821917804E-2</v>
      </c>
      <c r="AB1464">
        <f t="shared" si="492"/>
        <v>8.2191780821917804E-2</v>
      </c>
      <c r="AC1464">
        <f t="shared" si="493"/>
        <v>8.2191780821917804E-2</v>
      </c>
      <c r="AD1464">
        <f t="shared" si="494"/>
        <v>0</v>
      </c>
      <c r="AE1464">
        <f t="shared" si="495"/>
        <v>0</v>
      </c>
      <c r="AF1464">
        <f t="shared" si="496"/>
        <v>0</v>
      </c>
      <c r="AG1464">
        <f t="shared" si="497"/>
        <v>0</v>
      </c>
      <c r="AH1464">
        <f t="shared" si="498"/>
        <v>0</v>
      </c>
      <c r="AI1464">
        <f t="shared" si="499"/>
        <v>0</v>
      </c>
      <c r="AJ1464" s="2" t="str">
        <f t="shared" si="509"/>
        <v>647239</v>
      </c>
    </row>
    <row r="1465" spans="1:36" x14ac:dyDescent="0.25">
      <c r="A1465">
        <v>7</v>
      </c>
      <c r="B1465" s="1">
        <v>47239</v>
      </c>
      <c r="C1465" s="1">
        <f t="shared" si="500"/>
        <v>47453</v>
      </c>
      <c r="D1465" s="1">
        <f t="shared" si="501"/>
        <v>47253</v>
      </c>
      <c r="E1465" s="1">
        <f t="shared" si="502"/>
        <v>47453</v>
      </c>
      <c r="F1465" s="1">
        <f t="shared" si="503"/>
        <v>47484</v>
      </c>
      <c r="G1465" s="1">
        <f t="shared" si="504"/>
        <v>47618</v>
      </c>
      <c r="H1465">
        <f t="shared" si="505"/>
        <v>365</v>
      </c>
      <c r="I1465">
        <f t="shared" si="506"/>
        <v>31</v>
      </c>
      <c r="J1465">
        <f t="shared" si="507"/>
        <v>8.4931506849315067E-2</v>
      </c>
      <c r="K1465">
        <f>IFERROR($J1465/IF($A1465&lt;COUNTIFS($K$1:K$1,"&lt;&gt;"),0,SUMIFS($J:$J,$B:$B,$B1465,$A:$A,"&gt;="&amp;COUNTIFS($K$1:K$1,"&lt;&gt;"))),0)</f>
        <v>8.9080459770114959E-2</v>
      </c>
      <c r="L1465">
        <f>IFERROR($J1465/IF($A1465&lt;COUNTIFS($K$1:L$1,"&lt;&gt;"),0,SUMIFS($J:$J,$B:$B,$B1465,$A:$A,"&gt;="&amp;COUNTIFS($K$1:L$1,"&lt;&gt;"))),0)</f>
        <v>9.7484276729559768E-2</v>
      </c>
      <c r="M1465">
        <f>IFERROR($J1465/IF($A1465&lt;COUNTIFS($K$1:M$1,"&lt;&gt;"),0,SUMIFS($J:$J,$B:$B,$B1465,$A:$A,"&gt;="&amp;COUNTIFS($K$1:M$1,"&lt;&gt;"))),0)</f>
        <v>0.10801393728222998</v>
      </c>
      <c r="N1465">
        <f>IFERROR($J1465/IF($A1465&lt;COUNTIFS($K$1:N$1,"&lt;&gt;"),0,SUMIFS($J:$J,$B:$B,$B1465,$A:$A,"&gt;="&amp;COUNTIFS($K$1:N$1,"&lt;&gt;"))),0)</f>
        <v>0.12109375000000001</v>
      </c>
      <c r="O1465">
        <f>IFERROR($J1465/IF($A1465&lt;COUNTIFS($K$1:O$1,"&lt;&gt;"),0,SUMIFS($J:$J,$B:$B,$B1465,$A:$A,"&gt;="&amp;COUNTIFS($K$1:O$1,"&lt;&gt;"))),0)</f>
        <v>0.13716814159292037</v>
      </c>
      <c r="P1465">
        <f>IFERROR($J1465/IF($A1465&lt;COUNTIFS($K$1:P$1,"&lt;&gt;"),0,SUMIFS($J:$J,$B:$B,$B1465,$A:$A,"&gt;="&amp;COUNTIFS($K$1:P$1,"&lt;&gt;"))),0)</f>
        <v>0.15897435897435899</v>
      </c>
      <c r="Q1465">
        <f>IFERROR($J1465/IF($A1465&lt;COUNTIFS($K$1:Q$1,"&lt;&gt;"),0,SUMIFS($J:$J,$B:$B,$B1465,$A:$A,"&gt;="&amp;COUNTIFS($K$1:Q$1,"&lt;&gt;"))),0)</f>
        <v>0.1878787878787879</v>
      </c>
      <c r="R1465">
        <f>IFERROR($J1465/IF($A1465&lt;COUNTIFS($K$1:R$1,"&lt;&gt;"),0,SUMIFS($J:$J,$B:$B,$B1465,$A:$A,"&gt;="&amp;COUNTIFS($K$1:R$1,"&lt;&gt;"))),0)</f>
        <v>0</v>
      </c>
      <c r="S1465">
        <f>IFERROR($J1465/IF($A1465&lt;COUNTIFS($K$1:S$1,"&lt;&gt;"),0,SUMIFS($J:$J,$B:$B,$B1465,$A:$A,"&gt;="&amp;COUNTIFS($K$1:S$1,"&lt;&gt;"))),0)</f>
        <v>0</v>
      </c>
      <c r="T1465">
        <f>IFERROR($J1465/IF($A1465&lt;COUNTIFS($K$1:T$1,"&lt;&gt;"),0,SUMIFS($J:$J,$B:$B,$B1465,$A:$A,"&gt;="&amp;COUNTIFS($K$1:T$1,"&lt;&gt;"))),0)</f>
        <v>0</v>
      </c>
      <c r="U1465">
        <f>IFERROR($J1465/IF($A1465&lt;COUNTIFS($K$1:U$1,"&lt;&gt;"),0,SUMIFS($J:$J,$B:$B,$B1465,$A:$A,"&gt;="&amp;COUNTIFS($K$1:U$1,"&lt;&gt;"))),0)</f>
        <v>0</v>
      </c>
      <c r="V1465">
        <f>IFERROR($J1465/IF($A1465&lt;COUNTIFS($K$1:V$1,"&lt;&gt;"),0,SUMIFS($J:$J,$B:$B,$B1465,$A:$A,"&gt;="&amp;COUNTIFS($K$1:V$1,"&lt;&gt;"))),0)</f>
        <v>0</v>
      </c>
      <c r="W1465">
        <f t="shared" si="508"/>
        <v>8.4931506849315067E-2</v>
      </c>
      <c r="X1465">
        <f t="shared" si="488"/>
        <v>8.4931506849315067E-2</v>
      </c>
      <c r="Y1465">
        <f t="shared" si="489"/>
        <v>8.4931506849315067E-2</v>
      </c>
      <c r="Z1465">
        <f t="shared" si="490"/>
        <v>8.4931506849315067E-2</v>
      </c>
      <c r="AA1465">
        <f t="shared" si="491"/>
        <v>8.4931506849315067E-2</v>
      </c>
      <c r="AB1465">
        <f t="shared" si="492"/>
        <v>8.4931506849315067E-2</v>
      </c>
      <c r="AC1465">
        <f t="shared" si="493"/>
        <v>8.4931506849315067E-2</v>
      </c>
      <c r="AD1465">
        <f t="shared" si="494"/>
        <v>8.4931506849315067E-2</v>
      </c>
      <c r="AE1465">
        <f t="shared" si="495"/>
        <v>0</v>
      </c>
      <c r="AF1465">
        <f t="shared" si="496"/>
        <v>0</v>
      </c>
      <c r="AG1465">
        <f t="shared" si="497"/>
        <v>0</v>
      </c>
      <c r="AH1465">
        <f t="shared" si="498"/>
        <v>0</v>
      </c>
      <c r="AI1465">
        <f t="shared" si="499"/>
        <v>0</v>
      </c>
      <c r="AJ1465" s="2" t="str">
        <f t="shared" si="509"/>
        <v>747239</v>
      </c>
    </row>
    <row r="1466" spans="1:36" x14ac:dyDescent="0.25">
      <c r="A1466">
        <v>8</v>
      </c>
      <c r="B1466" s="1">
        <v>47239</v>
      </c>
      <c r="C1466" s="1">
        <f t="shared" si="500"/>
        <v>47484</v>
      </c>
      <c r="D1466" s="1">
        <f t="shared" si="501"/>
        <v>47253</v>
      </c>
      <c r="E1466" s="1">
        <f t="shared" si="502"/>
        <v>47484</v>
      </c>
      <c r="F1466" s="1">
        <f t="shared" si="503"/>
        <v>47515</v>
      </c>
      <c r="G1466" s="1">
        <f t="shared" si="504"/>
        <v>47618</v>
      </c>
      <c r="H1466">
        <f t="shared" si="505"/>
        <v>365</v>
      </c>
      <c r="I1466">
        <f t="shared" si="506"/>
        <v>31</v>
      </c>
      <c r="J1466">
        <f t="shared" si="507"/>
        <v>8.4931506849315067E-2</v>
      </c>
      <c r="K1466">
        <f>IFERROR($J1466/IF($A1466&lt;COUNTIFS($K$1:K$1,"&lt;&gt;"),0,SUMIFS($J:$J,$B:$B,$B1466,$A:$A,"&gt;="&amp;COUNTIFS($K$1:K$1,"&lt;&gt;"))),0)</f>
        <v>8.9080459770114959E-2</v>
      </c>
      <c r="L1466">
        <f>IFERROR($J1466/IF($A1466&lt;COUNTIFS($K$1:L$1,"&lt;&gt;"),0,SUMIFS($J:$J,$B:$B,$B1466,$A:$A,"&gt;="&amp;COUNTIFS($K$1:L$1,"&lt;&gt;"))),0)</f>
        <v>9.7484276729559768E-2</v>
      </c>
      <c r="M1466">
        <f>IFERROR($J1466/IF($A1466&lt;COUNTIFS($K$1:M$1,"&lt;&gt;"),0,SUMIFS($J:$J,$B:$B,$B1466,$A:$A,"&gt;="&amp;COUNTIFS($K$1:M$1,"&lt;&gt;"))),0)</f>
        <v>0.10801393728222998</v>
      </c>
      <c r="N1466">
        <f>IFERROR($J1466/IF($A1466&lt;COUNTIFS($K$1:N$1,"&lt;&gt;"),0,SUMIFS($J:$J,$B:$B,$B1466,$A:$A,"&gt;="&amp;COUNTIFS($K$1:N$1,"&lt;&gt;"))),0)</f>
        <v>0.12109375000000001</v>
      </c>
      <c r="O1466">
        <f>IFERROR($J1466/IF($A1466&lt;COUNTIFS($K$1:O$1,"&lt;&gt;"),0,SUMIFS($J:$J,$B:$B,$B1466,$A:$A,"&gt;="&amp;COUNTIFS($K$1:O$1,"&lt;&gt;"))),0)</f>
        <v>0.13716814159292037</v>
      </c>
      <c r="P1466">
        <f>IFERROR($J1466/IF($A1466&lt;COUNTIFS($K$1:P$1,"&lt;&gt;"),0,SUMIFS($J:$J,$B:$B,$B1466,$A:$A,"&gt;="&amp;COUNTIFS($K$1:P$1,"&lt;&gt;"))),0)</f>
        <v>0.15897435897435899</v>
      </c>
      <c r="Q1466">
        <f>IFERROR($J1466/IF($A1466&lt;COUNTIFS($K$1:Q$1,"&lt;&gt;"),0,SUMIFS($J:$J,$B:$B,$B1466,$A:$A,"&gt;="&amp;COUNTIFS($K$1:Q$1,"&lt;&gt;"))),0)</f>
        <v>0.1878787878787879</v>
      </c>
      <c r="R1466">
        <f>IFERROR($J1466/IF($A1466&lt;COUNTIFS($K$1:R$1,"&lt;&gt;"),0,SUMIFS($J:$J,$B:$B,$B1466,$A:$A,"&gt;="&amp;COUNTIFS($K$1:R$1,"&lt;&gt;"))),0)</f>
        <v>0.23134328358208955</v>
      </c>
      <c r="S1466">
        <f>IFERROR($J1466/IF($A1466&lt;COUNTIFS($K$1:S$1,"&lt;&gt;"),0,SUMIFS($J:$J,$B:$B,$B1466,$A:$A,"&gt;="&amp;COUNTIFS($K$1:S$1,"&lt;&gt;"))),0)</f>
        <v>0</v>
      </c>
      <c r="T1466">
        <f>IFERROR($J1466/IF($A1466&lt;COUNTIFS($K$1:T$1,"&lt;&gt;"),0,SUMIFS($J:$J,$B:$B,$B1466,$A:$A,"&gt;="&amp;COUNTIFS($K$1:T$1,"&lt;&gt;"))),0)</f>
        <v>0</v>
      </c>
      <c r="U1466">
        <f>IFERROR($J1466/IF($A1466&lt;COUNTIFS($K$1:U$1,"&lt;&gt;"),0,SUMIFS($J:$J,$B:$B,$B1466,$A:$A,"&gt;="&amp;COUNTIFS($K$1:U$1,"&lt;&gt;"))),0)</f>
        <v>0</v>
      </c>
      <c r="V1466">
        <f>IFERROR($J1466/IF($A1466&lt;COUNTIFS($K$1:V$1,"&lt;&gt;"),0,SUMIFS($J:$J,$B:$B,$B1466,$A:$A,"&gt;="&amp;COUNTIFS($K$1:V$1,"&lt;&gt;"))),0)</f>
        <v>0</v>
      </c>
      <c r="W1466">
        <f t="shared" si="508"/>
        <v>8.4931506849315067E-2</v>
      </c>
      <c r="X1466">
        <f t="shared" si="488"/>
        <v>8.4931506849315067E-2</v>
      </c>
      <c r="Y1466">
        <f t="shared" si="489"/>
        <v>8.4931506849315067E-2</v>
      </c>
      <c r="Z1466">
        <f t="shared" si="490"/>
        <v>8.4931506849315067E-2</v>
      </c>
      <c r="AA1466">
        <f t="shared" si="491"/>
        <v>8.4931506849315067E-2</v>
      </c>
      <c r="AB1466">
        <f t="shared" si="492"/>
        <v>8.4931506849315067E-2</v>
      </c>
      <c r="AC1466">
        <f t="shared" si="493"/>
        <v>8.4931506849315067E-2</v>
      </c>
      <c r="AD1466">
        <f t="shared" si="494"/>
        <v>8.4931506849315067E-2</v>
      </c>
      <c r="AE1466">
        <f t="shared" si="495"/>
        <v>8.4931506849315067E-2</v>
      </c>
      <c r="AF1466">
        <f t="shared" si="496"/>
        <v>0</v>
      </c>
      <c r="AG1466">
        <f t="shared" si="497"/>
        <v>0</v>
      </c>
      <c r="AH1466">
        <f t="shared" si="498"/>
        <v>0</v>
      </c>
      <c r="AI1466">
        <f t="shared" si="499"/>
        <v>0</v>
      </c>
      <c r="AJ1466" s="2" t="str">
        <f t="shared" si="509"/>
        <v>847239</v>
      </c>
    </row>
    <row r="1467" spans="1:36" x14ac:dyDescent="0.25">
      <c r="A1467">
        <v>9</v>
      </c>
      <c r="B1467" s="1">
        <v>47239</v>
      </c>
      <c r="C1467" s="1">
        <f t="shared" si="500"/>
        <v>47515</v>
      </c>
      <c r="D1467" s="1">
        <f t="shared" si="501"/>
        <v>47253</v>
      </c>
      <c r="E1467" s="1">
        <f t="shared" si="502"/>
        <v>47515</v>
      </c>
      <c r="F1467" s="1">
        <f t="shared" si="503"/>
        <v>47543</v>
      </c>
      <c r="G1467" s="1">
        <f t="shared" si="504"/>
        <v>47618</v>
      </c>
      <c r="H1467">
        <f t="shared" si="505"/>
        <v>365</v>
      </c>
      <c r="I1467">
        <f t="shared" si="506"/>
        <v>28</v>
      </c>
      <c r="J1467">
        <f t="shared" si="507"/>
        <v>7.6712328767123292E-2</v>
      </c>
      <c r="K1467">
        <f>IFERROR($J1467/IF($A1467&lt;COUNTIFS($K$1:K$1,"&lt;&gt;"),0,SUMIFS($J:$J,$B:$B,$B1467,$A:$A,"&gt;="&amp;COUNTIFS($K$1:K$1,"&lt;&gt;"))),0)</f>
        <v>8.0459770114942541E-2</v>
      </c>
      <c r="L1467">
        <f>IFERROR($J1467/IF($A1467&lt;COUNTIFS($K$1:L$1,"&lt;&gt;"),0,SUMIFS($J:$J,$B:$B,$B1467,$A:$A,"&gt;="&amp;COUNTIFS($K$1:L$1,"&lt;&gt;"))),0)</f>
        <v>8.8050314465408827E-2</v>
      </c>
      <c r="M1467">
        <f>IFERROR($J1467/IF($A1467&lt;COUNTIFS($K$1:M$1,"&lt;&gt;"),0,SUMIFS($J:$J,$B:$B,$B1467,$A:$A,"&gt;="&amp;COUNTIFS($K$1:M$1,"&lt;&gt;"))),0)</f>
        <v>9.7560975609756115E-2</v>
      </c>
      <c r="N1467">
        <f>IFERROR($J1467/IF($A1467&lt;COUNTIFS($K$1:N$1,"&lt;&gt;"),0,SUMIFS($J:$J,$B:$B,$B1467,$A:$A,"&gt;="&amp;COUNTIFS($K$1:N$1,"&lt;&gt;"))),0)</f>
        <v>0.10937500000000003</v>
      </c>
      <c r="O1467">
        <f>IFERROR($J1467/IF($A1467&lt;COUNTIFS($K$1:O$1,"&lt;&gt;"),0,SUMIFS($J:$J,$B:$B,$B1467,$A:$A,"&gt;="&amp;COUNTIFS($K$1:O$1,"&lt;&gt;"))),0)</f>
        <v>0.12389380530973454</v>
      </c>
      <c r="P1467">
        <f>IFERROR($J1467/IF($A1467&lt;COUNTIFS($K$1:P$1,"&lt;&gt;"),0,SUMIFS($J:$J,$B:$B,$B1467,$A:$A,"&gt;="&amp;COUNTIFS($K$1:P$1,"&lt;&gt;"))),0)</f>
        <v>0.14358974358974361</v>
      </c>
      <c r="Q1467">
        <f>IFERROR($J1467/IF($A1467&lt;COUNTIFS($K$1:Q$1,"&lt;&gt;"),0,SUMIFS($J:$J,$B:$B,$B1467,$A:$A,"&gt;="&amp;COUNTIFS($K$1:Q$1,"&lt;&gt;"))),0)</f>
        <v>0.16969696969696971</v>
      </c>
      <c r="R1467">
        <f>IFERROR($J1467/IF($A1467&lt;COUNTIFS($K$1:R$1,"&lt;&gt;"),0,SUMIFS($J:$J,$B:$B,$B1467,$A:$A,"&gt;="&amp;COUNTIFS($K$1:R$1,"&lt;&gt;"))),0)</f>
        <v>0.20895522388059704</v>
      </c>
      <c r="S1467">
        <f>IFERROR($J1467/IF($A1467&lt;COUNTIFS($K$1:S$1,"&lt;&gt;"),0,SUMIFS($J:$J,$B:$B,$B1467,$A:$A,"&gt;="&amp;COUNTIFS($K$1:S$1,"&lt;&gt;"))),0)</f>
        <v>0.27184466019417475</v>
      </c>
      <c r="T1467">
        <f>IFERROR($J1467/IF($A1467&lt;COUNTIFS($K$1:T$1,"&lt;&gt;"),0,SUMIFS($J:$J,$B:$B,$B1467,$A:$A,"&gt;="&amp;COUNTIFS($K$1:T$1,"&lt;&gt;"))),0)</f>
        <v>0</v>
      </c>
      <c r="U1467">
        <f>IFERROR($J1467/IF($A1467&lt;COUNTIFS($K$1:U$1,"&lt;&gt;"),0,SUMIFS($J:$J,$B:$B,$B1467,$A:$A,"&gt;="&amp;COUNTIFS($K$1:U$1,"&lt;&gt;"))),0)</f>
        <v>0</v>
      </c>
      <c r="V1467">
        <f>IFERROR($J1467/IF($A1467&lt;COUNTIFS($K$1:V$1,"&lt;&gt;"),0,SUMIFS($J:$J,$B:$B,$B1467,$A:$A,"&gt;="&amp;COUNTIFS($K$1:V$1,"&lt;&gt;"))),0)</f>
        <v>0</v>
      </c>
      <c r="W1467">
        <f t="shared" si="508"/>
        <v>7.6712328767123292E-2</v>
      </c>
      <c r="X1467">
        <f t="shared" si="488"/>
        <v>7.6712328767123292E-2</v>
      </c>
      <c r="Y1467">
        <f t="shared" si="489"/>
        <v>7.6712328767123292E-2</v>
      </c>
      <c r="Z1467">
        <f t="shared" si="490"/>
        <v>7.6712328767123292E-2</v>
      </c>
      <c r="AA1467">
        <f t="shared" si="491"/>
        <v>7.6712328767123292E-2</v>
      </c>
      <c r="AB1467">
        <f t="shared" si="492"/>
        <v>7.6712328767123292E-2</v>
      </c>
      <c r="AC1467">
        <f t="shared" si="493"/>
        <v>7.6712328767123292E-2</v>
      </c>
      <c r="AD1467">
        <f t="shared" si="494"/>
        <v>7.6712328767123292E-2</v>
      </c>
      <c r="AE1467">
        <f t="shared" si="495"/>
        <v>7.6712328767123292E-2</v>
      </c>
      <c r="AF1467">
        <f t="shared" si="496"/>
        <v>7.6712328767123292E-2</v>
      </c>
      <c r="AG1467">
        <f t="shared" si="497"/>
        <v>0</v>
      </c>
      <c r="AH1467">
        <f t="shared" si="498"/>
        <v>0</v>
      </c>
      <c r="AI1467">
        <f t="shared" si="499"/>
        <v>0</v>
      </c>
      <c r="AJ1467" s="2" t="str">
        <f t="shared" si="509"/>
        <v>947239</v>
      </c>
    </row>
    <row r="1468" spans="1:36" x14ac:dyDescent="0.25">
      <c r="A1468">
        <v>10</v>
      </c>
      <c r="B1468" s="1">
        <v>47239</v>
      </c>
      <c r="C1468" s="1">
        <f t="shared" si="500"/>
        <v>47543</v>
      </c>
      <c r="D1468" s="1">
        <f t="shared" si="501"/>
        <v>47253</v>
      </c>
      <c r="E1468" s="1">
        <f t="shared" si="502"/>
        <v>47543</v>
      </c>
      <c r="F1468" s="1">
        <f t="shared" si="503"/>
        <v>47574</v>
      </c>
      <c r="G1468" s="1">
        <f t="shared" si="504"/>
        <v>47618</v>
      </c>
      <c r="H1468">
        <f t="shared" si="505"/>
        <v>365</v>
      </c>
      <c r="I1468">
        <f t="shared" si="506"/>
        <v>31</v>
      </c>
      <c r="J1468">
        <f t="shared" si="507"/>
        <v>8.4931506849315067E-2</v>
      </c>
      <c r="K1468">
        <f>IFERROR($J1468/IF($A1468&lt;COUNTIFS($K$1:K$1,"&lt;&gt;"),0,SUMIFS($J:$J,$B:$B,$B1468,$A:$A,"&gt;="&amp;COUNTIFS($K$1:K$1,"&lt;&gt;"))),0)</f>
        <v>8.9080459770114959E-2</v>
      </c>
      <c r="L1468">
        <f>IFERROR($J1468/IF($A1468&lt;COUNTIFS($K$1:L$1,"&lt;&gt;"),0,SUMIFS($J:$J,$B:$B,$B1468,$A:$A,"&gt;="&amp;COUNTIFS($K$1:L$1,"&lt;&gt;"))),0)</f>
        <v>9.7484276729559768E-2</v>
      </c>
      <c r="M1468">
        <f>IFERROR($J1468/IF($A1468&lt;COUNTIFS($K$1:M$1,"&lt;&gt;"),0,SUMIFS($J:$J,$B:$B,$B1468,$A:$A,"&gt;="&amp;COUNTIFS($K$1:M$1,"&lt;&gt;"))),0)</f>
        <v>0.10801393728222998</v>
      </c>
      <c r="N1468">
        <f>IFERROR($J1468/IF($A1468&lt;COUNTIFS($K$1:N$1,"&lt;&gt;"),0,SUMIFS($J:$J,$B:$B,$B1468,$A:$A,"&gt;="&amp;COUNTIFS($K$1:N$1,"&lt;&gt;"))),0)</f>
        <v>0.12109375000000001</v>
      </c>
      <c r="O1468">
        <f>IFERROR($J1468/IF($A1468&lt;COUNTIFS($K$1:O$1,"&lt;&gt;"),0,SUMIFS($J:$J,$B:$B,$B1468,$A:$A,"&gt;="&amp;COUNTIFS($K$1:O$1,"&lt;&gt;"))),0)</f>
        <v>0.13716814159292037</v>
      </c>
      <c r="P1468">
        <f>IFERROR($J1468/IF($A1468&lt;COUNTIFS($K$1:P$1,"&lt;&gt;"),0,SUMIFS($J:$J,$B:$B,$B1468,$A:$A,"&gt;="&amp;COUNTIFS($K$1:P$1,"&lt;&gt;"))),0)</f>
        <v>0.15897435897435899</v>
      </c>
      <c r="Q1468">
        <f>IFERROR($J1468/IF($A1468&lt;COUNTIFS($K$1:Q$1,"&lt;&gt;"),0,SUMIFS($J:$J,$B:$B,$B1468,$A:$A,"&gt;="&amp;COUNTIFS($K$1:Q$1,"&lt;&gt;"))),0)</f>
        <v>0.1878787878787879</v>
      </c>
      <c r="R1468">
        <f>IFERROR($J1468/IF($A1468&lt;COUNTIFS($K$1:R$1,"&lt;&gt;"),0,SUMIFS($J:$J,$B:$B,$B1468,$A:$A,"&gt;="&amp;COUNTIFS($K$1:R$1,"&lt;&gt;"))),0)</f>
        <v>0.23134328358208955</v>
      </c>
      <c r="S1468">
        <f>IFERROR($J1468/IF($A1468&lt;COUNTIFS($K$1:S$1,"&lt;&gt;"),0,SUMIFS($J:$J,$B:$B,$B1468,$A:$A,"&gt;="&amp;COUNTIFS($K$1:S$1,"&lt;&gt;"))),0)</f>
        <v>0.30097087378640774</v>
      </c>
      <c r="T1468">
        <f>IFERROR($J1468/IF($A1468&lt;COUNTIFS($K$1:T$1,"&lt;&gt;"),0,SUMIFS($J:$J,$B:$B,$B1468,$A:$A,"&gt;="&amp;COUNTIFS($K$1:T$1,"&lt;&gt;"))),0)</f>
        <v>0.41333333333333333</v>
      </c>
      <c r="U1468">
        <f>IFERROR($J1468/IF($A1468&lt;COUNTIFS($K$1:U$1,"&lt;&gt;"),0,SUMIFS($J:$J,$B:$B,$B1468,$A:$A,"&gt;="&amp;COUNTIFS($K$1:U$1,"&lt;&gt;"))),0)</f>
        <v>0</v>
      </c>
      <c r="V1468">
        <f>IFERROR($J1468/IF($A1468&lt;COUNTIFS($K$1:V$1,"&lt;&gt;"),0,SUMIFS($J:$J,$B:$B,$B1468,$A:$A,"&gt;="&amp;COUNTIFS($K$1:V$1,"&lt;&gt;"))),0)</f>
        <v>0</v>
      </c>
      <c r="W1468">
        <f t="shared" si="508"/>
        <v>8.4931506849315067E-2</v>
      </c>
      <c r="X1468">
        <f t="shared" si="488"/>
        <v>8.4931506849315067E-2</v>
      </c>
      <c r="Y1468">
        <f t="shared" si="489"/>
        <v>8.4931506849315067E-2</v>
      </c>
      <c r="Z1468">
        <f t="shared" si="490"/>
        <v>8.4931506849315067E-2</v>
      </c>
      <c r="AA1468">
        <f t="shared" si="491"/>
        <v>8.4931506849315067E-2</v>
      </c>
      <c r="AB1468">
        <f t="shared" si="492"/>
        <v>8.4931506849315067E-2</v>
      </c>
      <c r="AC1468">
        <f t="shared" si="493"/>
        <v>8.4931506849315067E-2</v>
      </c>
      <c r="AD1468">
        <f t="shared" si="494"/>
        <v>8.4931506849315067E-2</v>
      </c>
      <c r="AE1468">
        <f t="shared" si="495"/>
        <v>8.4931506849315067E-2</v>
      </c>
      <c r="AF1468">
        <f t="shared" si="496"/>
        <v>8.4931506849315067E-2</v>
      </c>
      <c r="AG1468">
        <f t="shared" si="497"/>
        <v>8.4931506849315067E-2</v>
      </c>
      <c r="AH1468">
        <f t="shared" si="498"/>
        <v>0</v>
      </c>
      <c r="AI1468">
        <f t="shared" si="499"/>
        <v>0</v>
      </c>
      <c r="AJ1468" s="2" t="str">
        <f t="shared" si="509"/>
        <v>1047239</v>
      </c>
    </row>
    <row r="1469" spans="1:36" x14ac:dyDescent="0.25">
      <c r="A1469">
        <v>11</v>
      </c>
      <c r="B1469" s="1">
        <v>47239</v>
      </c>
      <c r="C1469" s="1">
        <f t="shared" si="500"/>
        <v>47574</v>
      </c>
      <c r="D1469" s="1">
        <f t="shared" si="501"/>
        <v>47253</v>
      </c>
      <c r="E1469" s="1">
        <f t="shared" si="502"/>
        <v>47574</v>
      </c>
      <c r="F1469" s="1">
        <f t="shared" si="503"/>
        <v>47604</v>
      </c>
      <c r="G1469" s="1">
        <f t="shared" si="504"/>
        <v>47618</v>
      </c>
      <c r="H1469">
        <f t="shared" si="505"/>
        <v>365</v>
      </c>
      <c r="I1469">
        <f t="shared" si="506"/>
        <v>30</v>
      </c>
      <c r="J1469">
        <f t="shared" si="507"/>
        <v>8.2191780821917804E-2</v>
      </c>
      <c r="K1469">
        <f>IFERROR($J1469/IF($A1469&lt;COUNTIFS($K$1:K$1,"&lt;&gt;"),0,SUMIFS($J:$J,$B:$B,$B1469,$A:$A,"&gt;="&amp;COUNTIFS($K$1:K$1,"&lt;&gt;"))),0)</f>
        <v>8.6206896551724144E-2</v>
      </c>
      <c r="L1469">
        <f>IFERROR($J1469/IF($A1469&lt;COUNTIFS($K$1:L$1,"&lt;&gt;"),0,SUMIFS($J:$J,$B:$B,$B1469,$A:$A,"&gt;="&amp;COUNTIFS($K$1:L$1,"&lt;&gt;"))),0)</f>
        <v>9.4339622641509441E-2</v>
      </c>
      <c r="M1469">
        <f>IFERROR($J1469/IF($A1469&lt;COUNTIFS($K$1:M$1,"&lt;&gt;"),0,SUMIFS($J:$J,$B:$B,$B1469,$A:$A,"&gt;="&amp;COUNTIFS($K$1:M$1,"&lt;&gt;"))),0)</f>
        <v>0.10452961672473869</v>
      </c>
      <c r="N1469">
        <f>IFERROR($J1469/IF($A1469&lt;COUNTIFS($K$1:N$1,"&lt;&gt;"),0,SUMIFS($J:$J,$B:$B,$B1469,$A:$A,"&gt;="&amp;COUNTIFS($K$1:N$1,"&lt;&gt;"))),0)</f>
        <v>0.11718750000000001</v>
      </c>
      <c r="O1469">
        <f>IFERROR($J1469/IF($A1469&lt;COUNTIFS($K$1:O$1,"&lt;&gt;"),0,SUMIFS($J:$J,$B:$B,$B1469,$A:$A,"&gt;="&amp;COUNTIFS($K$1:O$1,"&lt;&gt;"))),0)</f>
        <v>0.13274336283185842</v>
      </c>
      <c r="P1469">
        <f>IFERROR($J1469/IF($A1469&lt;COUNTIFS($K$1:P$1,"&lt;&gt;"),0,SUMIFS($J:$J,$B:$B,$B1469,$A:$A,"&gt;="&amp;COUNTIFS($K$1:P$1,"&lt;&gt;"))),0)</f>
        <v>0.15384615384615385</v>
      </c>
      <c r="Q1469">
        <f>IFERROR($J1469/IF($A1469&lt;COUNTIFS($K$1:Q$1,"&lt;&gt;"),0,SUMIFS($J:$J,$B:$B,$B1469,$A:$A,"&gt;="&amp;COUNTIFS($K$1:Q$1,"&lt;&gt;"))),0)</f>
        <v>0.18181818181818182</v>
      </c>
      <c r="R1469">
        <f>IFERROR($J1469/IF($A1469&lt;COUNTIFS($K$1:R$1,"&lt;&gt;"),0,SUMIFS($J:$J,$B:$B,$B1469,$A:$A,"&gt;="&amp;COUNTIFS($K$1:R$1,"&lt;&gt;"))),0)</f>
        <v>0.22388059701492535</v>
      </c>
      <c r="S1469">
        <f>IFERROR($J1469/IF($A1469&lt;COUNTIFS($K$1:S$1,"&lt;&gt;"),0,SUMIFS($J:$J,$B:$B,$B1469,$A:$A,"&gt;="&amp;COUNTIFS($K$1:S$1,"&lt;&gt;"))),0)</f>
        <v>0.29126213592233008</v>
      </c>
      <c r="T1469">
        <f>IFERROR($J1469/IF($A1469&lt;COUNTIFS($K$1:T$1,"&lt;&gt;"),0,SUMIFS($J:$J,$B:$B,$B1469,$A:$A,"&gt;="&amp;COUNTIFS($K$1:T$1,"&lt;&gt;"))),0)</f>
        <v>0.4</v>
      </c>
      <c r="U1469">
        <f>IFERROR($J1469/IF($A1469&lt;COUNTIFS($K$1:U$1,"&lt;&gt;"),0,SUMIFS($J:$J,$B:$B,$B1469,$A:$A,"&gt;="&amp;COUNTIFS($K$1:U$1,"&lt;&gt;"))),0)</f>
        <v>0.68181818181818177</v>
      </c>
      <c r="V1469">
        <f>IFERROR($J1469/IF($A1469&lt;COUNTIFS($K$1:V$1,"&lt;&gt;"),0,SUMIFS($J:$J,$B:$B,$B1469,$A:$A,"&gt;="&amp;COUNTIFS($K$1:V$1,"&lt;&gt;"))),0)</f>
        <v>0</v>
      </c>
      <c r="W1469">
        <f t="shared" si="508"/>
        <v>8.2191780821917804E-2</v>
      </c>
      <c r="X1469">
        <f t="shared" si="488"/>
        <v>8.2191780821917804E-2</v>
      </c>
      <c r="Y1469">
        <f t="shared" si="489"/>
        <v>8.2191780821917804E-2</v>
      </c>
      <c r="Z1469">
        <f t="shared" si="490"/>
        <v>8.2191780821917804E-2</v>
      </c>
      <c r="AA1469">
        <f t="shared" si="491"/>
        <v>8.2191780821917804E-2</v>
      </c>
      <c r="AB1469">
        <f t="shared" si="492"/>
        <v>8.2191780821917804E-2</v>
      </c>
      <c r="AC1469">
        <f t="shared" si="493"/>
        <v>8.2191780821917804E-2</v>
      </c>
      <c r="AD1469">
        <f t="shared" si="494"/>
        <v>8.2191780821917804E-2</v>
      </c>
      <c r="AE1469">
        <f t="shared" si="495"/>
        <v>8.2191780821917804E-2</v>
      </c>
      <c r="AF1469">
        <f t="shared" si="496"/>
        <v>8.2191780821917804E-2</v>
      </c>
      <c r="AG1469">
        <f t="shared" si="497"/>
        <v>8.2191780821917804E-2</v>
      </c>
      <c r="AH1469">
        <f t="shared" si="498"/>
        <v>8.2191780821917804E-2</v>
      </c>
      <c r="AI1469">
        <f t="shared" si="499"/>
        <v>0</v>
      </c>
      <c r="AJ1469" s="2" t="str">
        <f t="shared" si="509"/>
        <v>1147239</v>
      </c>
    </row>
    <row r="1470" spans="1:36" x14ac:dyDescent="0.25">
      <c r="A1470">
        <v>12</v>
      </c>
      <c r="B1470" s="1">
        <v>47239</v>
      </c>
      <c r="C1470" s="1">
        <f t="shared" si="500"/>
        <v>47604</v>
      </c>
      <c r="D1470" s="1">
        <f t="shared" si="501"/>
        <v>47253</v>
      </c>
      <c r="E1470" s="1">
        <f t="shared" si="502"/>
        <v>47604</v>
      </c>
      <c r="F1470" s="1">
        <f t="shared" si="503"/>
        <v>47618</v>
      </c>
      <c r="G1470" s="1">
        <f t="shared" si="504"/>
        <v>47618</v>
      </c>
      <c r="H1470">
        <f t="shared" si="505"/>
        <v>365</v>
      </c>
      <c r="I1470">
        <f t="shared" si="506"/>
        <v>14</v>
      </c>
      <c r="J1470">
        <f t="shared" si="507"/>
        <v>3.8356164383561646E-2</v>
      </c>
      <c r="K1470">
        <f>IFERROR($J1470/IF($A1470&lt;COUNTIFS($K$1:K$1,"&lt;&gt;"),0,SUMIFS($J:$J,$B:$B,$B1470,$A:$A,"&gt;="&amp;COUNTIFS($K$1:K$1,"&lt;&gt;"))),0)</f>
        <v>4.0229885057471271E-2</v>
      </c>
      <c r="L1470">
        <f>IFERROR($J1470/IF($A1470&lt;COUNTIFS($K$1:L$1,"&lt;&gt;"),0,SUMIFS($J:$J,$B:$B,$B1470,$A:$A,"&gt;="&amp;COUNTIFS($K$1:L$1,"&lt;&gt;"))),0)</f>
        <v>4.4025157232704414E-2</v>
      </c>
      <c r="M1470">
        <f>IFERROR($J1470/IF($A1470&lt;COUNTIFS($K$1:M$1,"&lt;&gt;"),0,SUMIFS($J:$J,$B:$B,$B1470,$A:$A,"&gt;="&amp;COUNTIFS($K$1:M$1,"&lt;&gt;"))),0)</f>
        <v>4.8780487804878057E-2</v>
      </c>
      <c r="N1470">
        <f>IFERROR($J1470/IF($A1470&lt;COUNTIFS($K$1:N$1,"&lt;&gt;"),0,SUMIFS($J:$J,$B:$B,$B1470,$A:$A,"&gt;="&amp;COUNTIFS($K$1:N$1,"&lt;&gt;"))),0)</f>
        <v>5.4687500000000014E-2</v>
      </c>
      <c r="O1470">
        <f>IFERROR($J1470/IF($A1470&lt;COUNTIFS($K$1:O$1,"&lt;&gt;"),0,SUMIFS($J:$J,$B:$B,$B1470,$A:$A,"&gt;="&amp;COUNTIFS($K$1:O$1,"&lt;&gt;"))),0)</f>
        <v>6.194690265486727E-2</v>
      </c>
      <c r="P1470">
        <f>IFERROR($J1470/IF($A1470&lt;COUNTIFS($K$1:P$1,"&lt;&gt;"),0,SUMIFS($J:$J,$B:$B,$B1470,$A:$A,"&gt;="&amp;COUNTIFS($K$1:P$1,"&lt;&gt;"))),0)</f>
        <v>7.1794871794871803E-2</v>
      </c>
      <c r="Q1470">
        <f>IFERROR($J1470/IF($A1470&lt;COUNTIFS($K$1:Q$1,"&lt;&gt;"),0,SUMIFS($J:$J,$B:$B,$B1470,$A:$A,"&gt;="&amp;COUNTIFS($K$1:Q$1,"&lt;&gt;"))),0)</f>
        <v>8.4848484848484854E-2</v>
      </c>
      <c r="R1470">
        <f>IFERROR($J1470/IF($A1470&lt;COUNTIFS($K$1:R$1,"&lt;&gt;"),0,SUMIFS($J:$J,$B:$B,$B1470,$A:$A,"&gt;="&amp;COUNTIFS($K$1:R$1,"&lt;&gt;"))),0)</f>
        <v>0.10447761194029852</v>
      </c>
      <c r="S1470">
        <f>IFERROR($J1470/IF($A1470&lt;COUNTIFS($K$1:S$1,"&lt;&gt;"),0,SUMIFS($J:$J,$B:$B,$B1470,$A:$A,"&gt;="&amp;COUNTIFS($K$1:S$1,"&lt;&gt;"))),0)</f>
        <v>0.13592233009708737</v>
      </c>
      <c r="T1470">
        <f>IFERROR($J1470/IF($A1470&lt;COUNTIFS($K$1:T$1,"&lt;&gt;"),0,SUMIFS($J:$J,$B:$B,$B1470,$A:$A,"&gt;="&amp;COUNTIFS($K$1:T$1,"&lt;&gt;"))),0)</f>
        <v>0.18666666666666668</v>
      </c>
      <c r="U1470">
        <f>IFERROR($J1470/IF($A1470&lt;COUNTIFS($K$1:U$1,"&lt;&gt;"),0,SUMIFS($J:$J,$B:$B,$B1470,$A:$A,"&gt;="&amp;COUNTIFS($K$1:U$1,"&lt;&gt;"))),0)</f>
        <v>0.31818181818181818</v>
      </c>
      <c r="V1470">
        <f>IFERROR($J1470/IF($A1470&lt;COUNTIFS($K$1:V$1,"&lt;&gt;"),0,SUMIFS($J:$J,$B:$B,$B1470,$A:$A,"&gt;="&amp;COUNTIFS($K$1:V$1,"&lt;&gt;"))),0)</f>
        <v>1</v>
      </c>
      <c r="W1470">
        <f t="shared" si="508"/>
        <v>3.8356164383561646E-2</v>
      </c>
      <c r="X1470">
        <f t="shared" si="488"/>
        <v>3.8356164383561646E-2</v>
      </c>
      <c r="Y1470">
        <f t="shared" si="489"/>
        <v>3.8356164383561646E-2</v>
      </c>
      <c r="Z1470">
        <f t="shared" si="490"/>
        <v>3.8356164383561646E-2</v>
      </c>
      <c r="AA1470">
        <f t="shared" si="491"/>
        <v>3.8356164383561646E-2</v>
      </c>
      <c r="AB1470">
        <f t="shared" si="492"/>
        <v>3.8356164383561646E-2</v>
      </c>
      <c r="AC1470">
        <f t="shared" si="493"/>
        <v>3.8356164383561646E-2</v>
      </c>
      <c r="AD1470">
        <f t="shared" si="494"/>
        <v>3.8356164383561646E-2</v>
      </c>
      <c r="AE1470">
        <f t="shared" si="495"/>
        <v>3.8356164383561646E-2</v>
      </c>
      <c r="AF1470">
        <f t="shared" si="496"/>
        <v>3.8356164383561646E-2</v>
      </c>
      <c r="AG1470">
        <f t="shared" si="497"/>
        <v>3.8356164383561646E-2</v>
      </c>
      <c r="AH1470">
        <f t="shared" si="498"/>
        <v>3.8356164383561646E-2</v>
      </c>
      <c r="AI1470">
        <f t="shared" si="499"/>
        <v>3.8356164383561646E-2</v>
      </c>
      <c r="AJ1470" s="2" t="str">
        <f t="shared" si="509"/>
        <v>1247239</v>
      </c>
    </row>
    <row r="1471" spans="1:36" x14ac:dyDescent="0.25">
      <c r="A1471">
        <v>0</v>
      </c>
      <c r="B1471" s="1">
        <v>47270</v>
      </c>
      <c r="C1471" s="1">
        <f t="shared" si="500"/>
        <v>47270</v>
      </c>
      <c r="D1471" s="1">
        <f t="shared" si="501"/>
        <v>47284</v>
      </c>
      <c r="E1471" s="1">
        <f t="shared" si="502"/>
        <v>47284</v>
      </c>
      <c r="F1471" s="1">
        <f t="shared" si="503"/>
        <v>47300</v>
      </c>
      <c r="G1471" s="1">
        <f t="shared" si="504"/>
        <v>47649</v>
      </c>
      <c r="H1471">
        <f t="shared" si="505"/>
        <v>365</v>
      </c>
      <c r="I1471">
        <f t="shared" si="506"/>
        <v>16</v>
      </c>
      <c r="J1471">
        <f t="shared" si="507"/>
        <v>4.3835616438356165E-2</v>
      </c>
      <c r="K1471">
        <f>IFERROR($J1471/IF($A1471&lt;COUNTIFS($K$1:K$1,"&lt;&gt;"),0,SUMIFS($J:$J,$B:$B,$B1471,$A:$A,"&gt;="&amp;COUNTIFS($K$1:K$1,"&lt;&gt;"))),0)</f>
        <v>0</v>
      </c>
      <c r="L1471">
        <f>IFERROR($J1471/IF($A1471&lt;COUNTIFS($K$1:L$1,"&lt;&gt;"),0,SUMIFS($J:$J,$B:$B,$B1471,$A:$A,"&gt;="&amp;COUNTIFS($K$1:L$1,"&lt;&gt;"))),0)</f>
        <v>0</v>
      </c>
      <c r="M1471">
        <f>IFERROR($J1471/IF($A1471&lt;COUNTIFS($K$1:M$1,"&lt;&gt;"),0,SUMIFS($J:$J,$B:$B,$B1471,$A:$A,"&gt;="&amp;COUNTIFS($K$1:M$1,"&lt;&gt;"))),0)</f>
        <v>0</v>
      </c>
      <c r="N1471">
        <f>IFERROR($J1471/IF($A1471&lt;COUNTIFS($K$1:N$1,"&lt;&gt;"),0,SUMIFS($J:$J,$B:$B,$B1471,$A:$A,"&gt;="&amp;COUNTIFS($K$1:N$1,"&lt;&gt;"))),0)</f>
        <v>0</v>
      </c>
      <c r="O1471">
        <f>IFERROR($J1471/IF($A1471&lt;COUNTIFS($K$1:O$1,"&lt;&gt;"),0,SUMIFS($J:$J,$B:$B,$B1471,$A:$A,"&gt;="&amp;COUNTIFS($K$1:O$1,"&lt;&gt;"))),0)</f>
        <v>0</v>
      </c>
      <c r="P1471">
        <f>IFERROR($J1471/IF($A1471&lt;COUNTIFS($K$1:P$1,"&lt;&gt;"),0,SUMIFS($J:$J,$B:$B,$B1471,$A:$A,"&gt;="&amp;COUNTIFS($K$1:P$1,"&lt;&gt;"))),0)</f>
        <v>0</v>
      </c>
      <c r="Q1471">
        <f>IFERROR($J1471/IF($A1471&lt;COUNTIFS($K$1:Q$1,"&lt;&gt;"),0,SUMIFS($J:$J,$B:$B,$B1471,$A:$A,"&gt;="&amp;COUNTIFS($K$1:Q$1,"&lt;&gt;"))),0)</f>
        <v>0</v>
      </c>
      <c r="R1471">
        <f>IFERROR($J1471/IF($A1471&lt;COUNTIFS($K$1:R$1,"&lt;&gt;"),0,SUMIFS($J:$J,$B:$B,$B1471,$A:$A,"&gt;="&amp;COUNTIFS($K$1:R$1,"&lt;&gt;"))),0)</f>
        <v>0</v>
      </c>
      <c r="S1471">
        <f>IFERROR($J1471/IF($A1471&lt;COUNTIFS($K$1:S$1,"&lt;&gt;"),0,SUMIFS($J:$J,$B:$B,$B1471,$A:$A,"&gt;="&amp;COUNTIFS($K$1:S$1,"&lt;&gt;"))),0)</f>
        <v>0</v>
      </c>
      <c r="T1471">
        <f>IFERROR($J1471/IF($A1471&lt;COUNTIFS($K$1:T$1,"&lt;&gt;"),0,SUMIFS($J:$J,$B:$B,$B1471,$A:$A,"&gt;="&amp;COUNTIFS($K$1:T$1,"&lt;&gt;"))),0)</f>
        <v>0</v>
      </c>
      <c r="U1471">
        <f>IFERROR($J1471/IF($A1471&lt;COUNTIFS($K$1:U$1,"&lt;&gt;"),0,SUMIFS($J:$J,$B:$B,$B1471,$A:$A,"&gt;="&amp;COUNTIFS($K$1:U$1,"&lt;&gt;"))),0)</f>
        <v>0</v>
      </c>
      <c r="V1471">
        <f>IFERROR($J1471/IF($A1471&lt;COUNTIFS($K$1:V$1,"&lt;&gt;"),0,SUMIFS($J:$J,$B:$B,$B1471,$A:$A,"&gt;="&amp;COUNTIFS($K$1:V$1,"&lt;&gt;"))),0)</f>
        <v>0</v>
      </c>
      <c r="W1471">
        <f t="shared" si="508"/>
        <v>4.3835616438356165E-2</v>
      </c>
      <c r="X1471">
        <f t="shared" si="488"/>
        <v>0</v>
      </c>
      <c r="Y1471">
        <f t="shared" si="489"/>
        <v>0</v>
      </c>
      <c r="Z1471">
        <f t="shared" si="490"/>
        <v>0</v>
      </c>
      <c r="AA1471">
        <f t="shared" si="491"/>
        <v>0</v>
      </c>
      <c r="AB1471">
        <f t="shared" si="492"/>
        <v>0</v>
      </c>
      <c r="AC1471">
        <f t="shared" si="493"/>
        <v>0</v>
      </c>
      <c r="AD1471">
        <f t="shared" si="494"/>
        <v>0</v>
      </c>
      <c r="AE1471">
        <f t="shared" si="495"/>
        <v>0</v>
      </c>
      <c r="AF1471">
        <f t="shared" si="496"/>
        <v>0</v>
      </c>
      <c r="AG1471">
        <f t="shared" si="497"/>
        <v>0</v>
      </c>
      <c r="AH1471">
        <f t="shared" si="498"/>
        <v>0</v>
      </c>
      <c r="AI1471">
        <f t="shared" si="499"/>
        <v>0</v>
      </c>
      <c r="AJ1471" s="2" t="str">
        <f t="shared" si="509"/>
        <v>047270</v>
      </c>
    </row>
    <row r="1472" spans="1:36" x14ac:dyDescent="0.25">
      <c r="A1472">
        <v>1</v>
      </c>
      <c r="B1472" s="1">
        <v>47270</v>
      </c>
      <c r="C1472" s="1">
        <f t="shared" si="500"/>
        <v>47300</v>
      </c>
      <c r="D1472" s="1">
        <f t="shared" si="501"/>
        <v>47284</v>
      </c>
      <c r="E1472" s="1">
        <f t="shared" si="502"/>
        <v>47300</v>
      </c>
      <c r="F1472" s="1">
        <f t="shared" si="503"/>
        <v>47331</v>
      </c>
      <c r="G1472" s="1">
        <f t="shared" si="504"/>
        <v>47649</v>
      </c>
      <c r="H1472">
        <f t="shared" si="505"/>
        <v>365</v>
      </c>
      <c r="I1472">
        <f t="shared" si="506"/>
        <v>31</v>
      </c>
      <c r="J1472">
        <f t="shared" si="507"/>
        <v>8.4931506849315067E-2</v>
      </c>
      <c r="K1472">
        <f>IFERROR($J1472/IF($A1472&lt;COUNTIFS($K$1:K$1,"&lt;&gt;"),0,SUMIFS($J:$J,$B:$B,$B1472,$A:$A,"&gt;="&amp;COUNTIFS($K$1:K$1,"&lt;&gt;"))),0)</f>
        <v>8.8825214899713484E-2</v>
      </c>
      <c r="L1472">
        <f>IFERROR($J1472/IF($A1472&lt;COUNTIFS($K$1:L$1,"&lt;&gt;"),0,SUMIFS($J:$J,$B:$B,$B1472,$A:$A,"&gt;="&amp;COUNTIFS($K$1:L$1,"&lt;&gt;"))),0)</f>
        <v>0</v>
      </c>
      <c r="M1472">
        <f>IFERROR($J1472/IF($A1472&lt;COUNTIFS($K$1:M$1,"&lt;&gt;"),0,SUMIFS($J:$J,$B:$B,$B1472,$A:$A,"&gt;="&amp;COUNTIFS($K$1:M$1,"&lt;&gt;"))),0)</f>
        <v>0</v>
      </c>
      <c r="N1472">
        <f>IFERROR($J1472/IF($A1472&lt;COUNTIFS($K$1:N$1,"&lt;&gt;"),0,SUMIFS($J:$J,$B:$B,$B1472,$A:$A,"&gt;="&amp;COUNTIFS($K$1:N$1,"&lt;&gt;"))),0)</f>
        <v>0</v>
      </c>
      <c r="O1472">
        <f>IFERROR($J1472/IF($A1472&lt;COUNTIFS($K$1:O$1,"&lt;&gt;"),0,SUMIFS($J:$J,$B:$B,$B1472,$A:$A,"&gt;="&amp;COUNTIFS($K$1:O$1,"&lt;&gt;"))),0)</f>
        <v>0</v>
      </c>
      <c r="P1472">
        <f>IFERROR($J1472/IF($A1472&lt;COUNTIFS($K$1:P$1,"&lt;&gt;"),0,SUMIFS($J:$J,$B:$B,$B1472,$A:$A,"&gt;="&amp;COUNTIFS($K$1:P$1,"&lt;&gt;"))),0)</f>
        <v>0</v>
      </c>
      <c r="Q1472">
        <f>IFERROR($J1472/IF($A1472&lt;COUNTIFS($K$1:Q$1,"&lt;&gt;"),0,SUMIFS($J:$J,$B:$B,$B1472,$A:$A,"&gt;="&amp;COUNTIFS($K$1:Q$1,"&lt;&gt;"))),0)</f>
        <v>0</v>
      </c>
      <c r="R1472">
        <f>IFERROR($J1472/IF($A1472&lt;COUNTIFS($K$1:R$1,"&lt;&gt;"),0,SUMIFS($J:$J,$B:$B,$B1472,$A:$A,"&gt;="&amp;COUNTIFS($K$1:R$1,"&lt;&gt;"))),0)</f>
        <v>0</v>
      </c>
      <c r="S1472">
        <f>IFERROR($J1472/IF($A1472&lt;COUNTIFS($K$1:S$1,"&lt;&gt;"),0,SUMIFS($J:$J,$B:$B,$B1472,$A:$A,"&gt;="&amp;COUNTIFS($K$1:S$1,"&lt;&gt;"))),0)</f>
        <v>0</v>
      </c>
      <c r="T1472">
        <f>IFERROR($J1472/IF($A1472&lt;COUNTIFS($K$1:T$1,"&lt;&gt;"),0,SUMIFS($J:$J,$B:$B,$B1472,$A:$A,"&gt;="&amp;COUNTIFS($K$1:T$1,"&lt;&gt;"))),0)</f>
        <v>0</v>
      </c>
      <c r="U1472">
        <f>IFERROR($J1472/IF($A1472&lt;COUNTIFS($K$1:U$1,"&lt;&gt;"),0,SUMIFS($J:$J,$B:$B,$B1472,$A:$A,"&gt;="&amp;COUNTIFS($K$1:U$1,"&lt;&gt;"))),0)</f>
        <v>0</v>
      </c>
      <c r="V1472">
        <f>IFERROR($J1472/IF($A1472&lt;COUNTIFS($K$1:V$1,"&lt;&gt;"),0,SUMIFS($J:$J,$B:$B,$B1472,$A:$A,"&gt;="&amp;COUNTIFS($K$1:V$1,"&lt;&gt;"))),0)</f>
        <v>0</v>
      </c>
      <c r="W1472">
        <f t="shared" si="508"/>
        <v>8.4931506849315067E-2</v>
      </c>
      <c r="X1472">
        <f t="shared" si="488"/>
        <v>8.4931506849315067E-2</v>
      </c>
      <c r="Y1472">
        <f t="shared" si="489"/>
        <v>0</v>
      </c>
      <c r="Z1472">
        <f t="shared" si="490"/>
        <v>0</v>
      </c>
      <c r="AA1472">
        <f t="shared" si="491"/>
        <v>0</v>
      </c>
      <c r="AB1472">
        <f t="shared" si="492"/>
        <v>0</v>
      </c>
      <c r="AC1472">
        <f t="shared" si="493"/>
        <v>0</v>
      </c>
      <c r="AD1472">
        <f t="shared" si="494"/>
        <v>0</v>
      </c>
      <c r="AE1472">
        <f t="shared" si="495"/>
        <v>0</v>
      </c>
      <c r="AF1472">
        <f t="shared" si="496"/>
        <v>0</v>
      </c>
      <c r="AG1472">
        <f t="shared" si="497"/>
        <v>0</v>
      </c>
      <c r="AH1472">
        <f t="shared" si="498"/>
        <v>0</v>
      </c>
      <c r="AI1472">
        <f t="shared" si="499"/>
        <v>0</v>
      </c>
      <c r="AJ1472" s="2" t="str">
        <f t="shared" si="509"/>
        <v>147270</v>
      </c>
    </row>
    <row r="1473" spans="1:36" x14ac:dyDescent="0.25">
      <c r="A1473">
        <v>2</v>
      </c>
      <c r="B1473" s="1">
        <v>47270</v>
      </c>
      <c r="C1473" s="1">
        <f t="shared" si="500"/>
        <v>47331</v>
      </c>
      <c r="D1473" s="1">
        <f t="shared" si="501"/>
        <v>47284</v>
      </c>
      <c r="E1473" s="1">
        <f t="shared" si="502"/>
        <v>47331</v>
      </c>
      <c r="F1473" s="1">
        <f t="shared" si="503"/>
        <v>47362</v>
      </c>
      <c r="G1473" s="1">
        <f t="shared" si="504"/>
        <v>47649</v>
      </c>
      <c r="H1473">
        <f t="shared" si="505"/>
        <v>365</v>
      </c>
      <c r="I1473">
        <f t="shared" si="506"/>
        <v>31</v>
      </c>
      <c r="J1473">
        <f t="shared" si="507"/>
        <v>8.4931506849315067E-2</v>
      </c>
      <c r="K1473">
        <f>IFERROR($J1473/IF($A1473&lt;COUNTIFS($K$1:K$1,"&lt;&gt;"),0,SUMIFS($J:$J,$B:$B,$B1473,$A:$A,"&gt;="&amp;COUNTIFS($K$1:K$1,"&lt;&gt;"))),0)</f>
        <v>8.8825214899713484E-2</v>
      </c>
      <c r="L1473">
        <f>IFERROR($J1473/IF($A1473&lt;COUNTIFS($K$1:L$1,"&lt;&gt;"),0,SUMIFS($J:$J,$B:$B,$B1473,$A:$A,"&gt;="&amp;COUNTIFS($K$1:L$1,"&lt;&gt;"))),0)</f>
        <v>9.7484276729559768E-2</v>
      </c>
      <c r="M1473">
        <f>IFERROR($J1473/IF($A1473&lt;COUNTIFS($K$1:M$1,"&lt;&gt;"),0,SUMIFS($J:$J,$B:$B,$B1473,$A:$A,"&gt;="&amp;COUNTIFS($K$1:M$1,"&lt;&gt;"))),0)</f>
        <v>0</v>
      </c>
      <c r="N1473">
        <f>IFERROR($J1473/IF($A1473&lt;COUNTIFS($K$1:N$1,"&lt;&gt;"),0,SUMIFS($J:$J,$B:$B,$B1473,$A:$A,"&gt;="&amp;COUNTIFS($K$1:N$1,"&lt;&gt;"))),0)</f>
        <v>0</v>
      </c>
      <c r="O1473">
        <f>IFERROR($J1473/IF($A1473&lt;COUNTIFS($K$1:O$1,"&lt;&gt;"),0,SUMIFS($J:$J,$B:$B,$B1473,$A:$A,"&gt;="&amp;COUNTIFS($K$1:O$1,"&lt;&gt;"))),0)</f>
        <v>0</v>
      </c>
      <c r="P1473">
        <f>IFERROR($J1473/IF($A1473&lt;COUNTIFS($K$1:P$1,"&lt;&gt;"),0,SUMIFS($J:$J,$B:$B,$B1473,$A:$A,"&gt;="&amp;COUNTIFS($K$1:P$1,"&lt;&gt;"))),0)</f>
        <v>0</v>
      </c>
      <c r="Q1473">
        <f>IFERROR($J1473/IF($A1473&lt;COUNTIFS($K$1:Q$1,"&lt;&gt;"),0,SUMIFS($J:$J,$B:$B,$B1473,$A:$A,"&gt;="&amp;COUNTIFS($K$1:Q$1,"&lt;&gt;"))),0)</f>
        <v>0</v>
      </c>
      <c r="R1473">
        <f>IFERROR($J1473/IF($A1473&lt;COUNTIFS($K$1:R$1,"&lt;&gt;"),0,SUMIFS($J:$J,$B:$B,$B1473,$A:$A,"&gt;="&amp;COUNTIFS($K$1:R$1,"&lt;&gt;"))),0)</f>
        <v>0</v>
      </c>
      <c r="S1473">
        <f>IFERROR($J1473/IF($A1473&lt;COUNTIFS($K$1:S$1,"&lt;&gt;"),0,SUMIFS($J:$J,$B:$B,$B1473,$A:$A,"&gt;="&amp;COUNTIFS($K$1:S$1,"&lt;&gt;"))),0)</f>
        <v>0</v>
      </c>
      <c r="T1473">
        <f>IFERROR($J1473/IF($A1473&lt;COUNTIFS($K$1:T$1,"&lt;&gt;"),0,SUMIFS($J:$J,$B:$B,$B1473,$A:$A,"&gt;="&amp;COUNTIFS($K$1:T$1,"&lt;&gt;"))),0)</f>
        <v>0</v>
      </c>
      <c r="U1473">
        <f>IFERROR($J1473/IF($A1473&lt;COUNTIFS($K$1:U$1,"&lt;&gt;"),0,SUMIFS($J:$J,$B:$B,$B1473,$A:$A,"&gt;="&amp;COUNTIFS($K$1:U$1,"&lt;&gt;"))),0)</f>
        <v>0</v>
      </c>
      <c r="V1473">
        <f>IFERROR($J1473/IF($A1473&lt;COUNTIFS($K$1:V$1,"&lt;&gt;"),0,SUMIFS($J:$J,$B:$B,$B1473,$A:$A,"&gt;="&amp;COUNTIFS($K$1:V$1,"&lt;&gt;"))),0)</f>
        <v>0</v>
      </c>
      <c r="W1473">
        <f t="shared" si="508"/>
        <v>8.4931506849315067E-2</v>
      </c>
      <c r="X1473">
        <f t="shared" si="488"/>
        <v>8.4931506849315067E-2</v>
      </c>
      <c r="Y1473">
        <f t="shared" si="489"/>
        <v>8.4931506849315067E-2</v>
      </c>
      <c r="Z1473">
        <f t="shared" si="490"/>
        <v>0</v>
      </c>
      <c r="AA1473">
        <f t="shared" si="491"/>
        <v>0</v>
      </c>
      <c r="AB1473">
        <f t="shared" si="492"/>
        <v>0</v>
      </c>
      <c r="AC1473">
        <f t="shared" si="493"/>
        <v>0</v>
      </c>
      <c r="AD1473">
        <f t="shared" si="494"/>
        <v>0</v>
      </c>
      <c r="AE1473">
        <f t="shared" si="495"/>
        <v>0</v>
      </c>
      <c r="AF1473">
        <f t="shared" si="496"/>
        <v>0</v>
      </c>
      <c r="AG1473">
        <f t="shared" si="497"/>
        <v>0</v>
      </c>
      <c r="AH1473">
        <f t="shared" si="498"/>
        <v>0</v>
      </c>
      <c r="AI1473">
        <f t="shared" si="499"/>
        <v>0</v>
      </c>
      <c r="AJ1473" s="2" t="str">
        <f t="shared" si="509"/>
        <v>247270</v>
      </c>
    </row>
    <row r="1474" spans="1:36" x14ac:dyDescent="0.25">
      <c r="A1474">
        <v>3</v>
      </c>
      <c r="B1474" s="1">
        <v>47270</v>
      </c>
      <c r="C1474" s="1">
        <f t="shared" si="500"/>
        <v>47362</v>
      </c>
      <c r="D1474" s="1">
        <f t="shared" si="501"/>
        <v>47284</v>
      </c>
      <c r="E1474" s="1">
        <f t="shared" si="502"/>
        <v>47362</v>
      </c>
      <c r="F1474" s="1">
        <f t="shared" si="503"/>
        <v>47392</v>
      </c>
      <c r="G1474" s="1">
        <f t="shared" si="504"/>
        <v>47649</v>
      </c>
      <c r="H1474">
        <f t="shared" si="505"/>
        <v>365</v>
      </c>
      <c r="I1474">
        <f t="shared" si="506"/>
        <v>30</v>
      </c>
      <c r="J1474">
        <f t="shared" si="507"/>
        <v>8.2191780821917804E-2</v>
      </c>
      <c r="K1474">
        <f>IFERROR($J1474/IF($A1474&lt;COUNTIFS($K$1:K$1,"&lt;&gt;"),0,SUMIFS($J:$J,$B:$B,$B1474,$A:$A,"&gt;="&amp;COUNTIFS($K$1:K$1,"&lt;&gt;"))),0)</f>
        <v>8.5959885386819493E-2</v>
      </c>
      <c r="L1474">
        <f>IFERROR($J1474/IF($A1474&lt;COUNTIFS($K$1:L$1,"&lt;&gt;"),0,SUMIFS($J:$J,$B:$B,$B1474,$A:$A,"&gt;="&amp;COUNTIFS($K$1:L$1,"&lt;&gt;"))),0)</f>
        <v>9.4339622641509441E-2</v>
      </c>
      <c r="M1474">
        <f>IFERROR($J1474/IF($A1474&lt;COUNTIFS($K$1:M$1,"&lt;&gt;"),0,SUMIFS($J:$J,$B:$B,$B1474,$A:$A,"&gt;="&amp;COUNTIFS($K$1:M$1,"&lt;&gt;"))),0)</f>
        <v>0.10452961672473869</v>
      </c>
      <c r="N1474">
        <f>IFERROR($J1474/IF($A1474&lt;COUNTIFS($K$1:N$1,"&lt;&gt;"),0,SUMIFS($J:$J,$B:$B,$B1474,$A:$A,"&gt;="&amp;COUNTIFS($K$1:N$1,"&lt;&gt;"))),0)</f>
        <v>0</v>
      </c>
      <c r="O1474">
        <f>IFERROR($J1474/IF($A1474&lt;COUNTIFS($K$1:O$1,"&lt;&gt;"),0,SUMIFS($J:$J,$B:$B,$B1474,$A:$A,"&gt;="&amp;COUNTIFS($K$1:O$1,"&lt;&gt;"))),0)</f>
        <v>0</v>
      </c>
      <c r="P1474">
        <f>IFERROR($J1474/IF($A1474&lt;COUNTIFS($K$1:P$1,"&lt;&gt;"),0,SUMIFS($J:$J,$B:$B,$B1474,$A:$A,"&gt;="&amp;COUNTIFS($K$1:P$1,"&lt;&gt;"))),0)</f>
        <v>0</v>
      </c>
      <c r="Q1474">
        <f>IFERROR($J1474/IF($A1474&lt;COUNTIFS($K$1:Q$1,"&lt;&gt;"),0,SUMIFS($J:$J,$B:$B,$B1474,$A:$A,"&gt;="&amp;COUNTIFS($K$1:Q$1,"&lt;&gt;"))),0)</f>
        <v>0</v>
      </c>
      <c r="R1474">
        <f>IFERROR($J1474/IF($A1474&lt;COUNTIFS($K$1:R$1,"&lt;&gt;"),0,SUMIFS($J:$J,$B:$B,$B1474,$A:$A,"&gt;="&amp;COUNTIFS($K$1:R$1,"&lt;&gt;"))),0)</f>
        <v>0</v>
      </c>
      <c r="S1474">
        <f>IFERROR($J1474/IF($A1474&lt;COUNTIFS($K$1:S$1,"&lt;&gt;"),0,SUMIFS($J:$J,$B:$B,$B1474,$A:$A,"&gt;="&amp;COUNTIFS($K$1:S$1,"&lt;&gt;"))),0)</f>
        <v>0</v>
      </c>
      <c r="T1474">
        <f>IFERROR($J1474/IF($A1474&lt;COUNTIFS($K$1:T$1,"&lt;&gt;"),0,SUMIFS($J:$J,$B:$B,$B1474,$A:$A,"&gt;="&amp;COUNTIFS($K$1:T$1,"&lt;&gt;"))),0)</f>
        <v>0</v>
      </c>
      <c r="U1474">
        <f>IFERROR($J1474/IF($A1474&lt;COUNTIFS($K$1:U$1,"&lt;&gt;"),0,SUMIFS($J:$J,$B:$B,$B1474,$A:$A,"&gt;="&amp;COUNTIFS($K$1:U$1,"&lt;&gt;"))),0)</f>
        <v>0</v>
      </c>
      <c r="V1474">
        <f>IFERROR($J1474/IF($A1474&lt;COUNTIFS($K$1:V$1,"&lt;&gt;"),0,SUMIFS($J:$J,$B:$B,$B1474,$A:$A,"&gt;="&amp;COUNTIFS($K$1:V$1,"&lt;&gt;"))),0)</f>
        <v>0</v>
      </c>
      <c r="W1474">
        <f t="shared" si="508"/>
        <v>8.2191780821917804E-2</v>
      </c>
      <c r="X1474">
        <f t="shared" ref="X1474:X1537" si="510">IF(K1474=0,0,$J1474)</f>
        <v>8.2191780821917804E-2</v>
      </c>
      <c r="Y1474">
        <f t="shared" ref="Y1474:Y1537" si="511">IF(L1474=0,0,$J1474)</f>
        <v>8.2191780821917804E-2</v>
      </c>
      <c r="Z1474">
        <f t="shared" ref="Z1474:Z1537" si="512">IF(M1474=0,0,$J1474)</f>
        <v>8.2191780821917804E-2</v>
      </c>
      <c r="AA1474">
        <f t="shared" ref="AA1474:AA1537" si="513">IF(N1474=0,0,$J1474)</f>
        <v>0</v>
      </c>
      <c r="AB1474">
        <f t="shared" ref="AB1474:AB1537" si="514">IF(O1474=0,0,$J1474)</f>
        <v>0</v>
      </c>
      <c r="AC1474">
        <f t="shared" ref="AC1474:AC1537" si="515">IF(P1474=0,0,$J1474)</f>
        <v>0</v>
      </c>
      <c r="AD1474">
        <f t="shared" ref="AD1474:AD1537" si="516">IF(Q1474=0,0,$J1474)</f>
        <v>0</v>
      </c>
      <c r="AE1474">
        <f t="shared" ref="AE1474:AE1537" si="517">IF(R1474=0,0,$J1474)</f>
        <v>0</v>
      </c>
      <c r="AF1474">
        <f t="shared" ref="AF1474:AF1537" si="518">IF(S1474=0,0,$J1474)</f>
        <v>0</v>
      </c>
      <c r="AG1474">
        <f t="shared" ref="AG1474:AG1537" si="519">IF(T1474=0,0,$J1474)</f>
        <v>0</v>
      </c>
      <c r="AH1474">
        <f t="shared" ref="AH1474:AH1537" si="520">IF(U1474=0,0,$J1474)</f>
        <v>0</v>
      </c>
      <c r="AI1474">
        <f t="shared" ref="AI1474:AI1537" si="521">IF(V1474=0,0,$J1474)</f>
        <v>0</v>
      </c>
      <c r="AJ1474" s="2" t="str">
        <f t="shared" si="509"/>
        <v>347270</v>
      </c>
    </row>
    <row r="1475" spans="1:36" x14ac:dyDescent="0.25">
      <c r="A1475">
        <v>4</v>
      </c>
      <c r="B1475" s="1">
        <v>47270</v>
      </c>
      <c r="C1475" s="1">
        <f t="shared" ref="C1475:C1538" si="522">EDATE(B1475,A1475)</f>
        <v>47392</v>
      </c>
      <c r="D1475" s="1">
        <f t="shared" ref="D1475:D1538" si="523">B1475+14</f>
        <v>47284</v>
      </c>
      <c r="E1475" s="1">
        <f t="shared" ref="E1475:E1538" si="524">IF($A1475=0,C1475+14,C1475)</f>
        <v>47392</v>
      </c>
      <c r="F1475" s="1">
        <f t="shared" ref="F1475:F1538" si="525">IF(EDATE(C1475,1)&gt;G1475,G1475,EDATE(C1475,1))</f>
        <v>47423</v>
      </c>
      <c r="G1475" s="1">
        <f t="shared" ref="G1475:G1538" si="526">EDATE(D1475,12)</f>
        <v>47649</v>
      </c>
      <c r="H1475">
        <f t="shared" ref="H1475:H1538" si="527">G1475-D1475</f>
        <v>365</v>
      </c>
      <c r="I1475">
        <f t="shared" ref="I1475:I1538" si="528">F1475-E1475</f>
        <v>31</v>
      </c>
      <c r="J1475">
        <f t="shared" ref="J1475:J1538" si="529">I1475/H1475</f>
        <v>8.4931506849315067E-2</v>
      </c>
      <c r="K1475">
        <f>IFERROR($J1475/IF($A1475&lt;COUNTIFS($K$1:K$1,"&lt;&gt;"),0,SUMIFS($J:$J,$B:$B,$B1475,$A:$A,"&gt;="&amp;COUNTIFS($K$1:K$1,"&lt;&gt;"))),0)</f>
        <v>8.8825214899713484E-2</v>
      </c>
      <c r="L1475">
        <f>IFERROR($J1475/IF($A1475&lt;COUNTIFS($K$1:L$1,"&lt;&gt;"),0,SUMIFS($J:$J,$B:$B,$B1475,$A:$A,"&gt;="&amp;COUNTIFS($K$1:L$1,"&lt;&gt;"))),0)</f>
        <v>9.7484276729559768E-2</v>
      </c>
      <c r="M1475">
        <f>IFERROR($J1475/IF($A1475&lt;COUNTIFS($K$1:M$1,"&lt;&gt;"),0,SUMIFS($J:$J,$B:$B,$B1475,$A:$A,"&gt;="&amp;COUNTIFS($K$1:M$1,"&lt;&gt;"))),0)</f>
        <v>0.10801393728222998</v>
      </c>
      <c r="N1475">
        <f>IFERROR($J1475/IF($A1475&lt;COUNTIFS($K$1:N$1,"&lt;&gt;"),0,SUMIFS($J:$J,$B:$B,$B1475,$A:$A,"&gt;="&amp;COUNTIFS($K$1:N$1,"&lt;&gt;"))),0)</f>
        <v>0.12062256809338523</v>
      </c>
      <c r="O1475">
        <f>IFERROR($J1475/IF($A1475&lt;COUNTIFS($K$1:O$1,"&lt;&gt;"),0,SUMIFS($J:$J,$B:$B,$B1475,$A:$A,"&gt;="&amp;COUNTIFS($K$1:O$1,"&lt;&gt;"))),0)</f>
        <v>0</v>
      </c>
      <c r="P1475">
        <f>IFERROR($J1475/IF($A1475&lt;COUNTIFS($K$1:P$1,"&lt;&gt;"),0,SUMIFS($J:$J,$B:$B,$B1475,$A:$A,"&gt;="&amp;COUNTIFS($K$1:P$1,"&lt;&gt;"))),0)</f>
        <v>0</v>
      </c>
      <c r="Q1475">
        <f>IFERROR($J1475/IF($A1475&lt;COUNTIFS($K$1:Q$1,"&lt;&gt;"),0,SUMIFS($J:$J,$B:$B,$B1475,$A:$A,"&gt;="&amp;COUNTIFS($K$1:Q$1,"&lt;&gt;"))),0)</f>
        <v>0</v>
      </c>
      <c r="R1475">
        <f>IFERROR($J1475/IF($A1475&lt;COUNTIFS($K$1:R$1,"&lt;&gt;"),0,SUMIFS($J:$J,$B:$B,$B1475,$A:$A,"&gt;="&amp;COUNTIFS($K$1:R$1,"&lt;&gt;"))),0)</f>
        <v>0</v>
      </c>
      <c r="S1475">
        <f>IFERROR($J1475/IF($A1475&lt;COUNTIFS($K$1:S$1,"&lt;&gt;"),0,SUMIFS($J:$J,$B:$B,$B1475,$A:$A,"&gt;="&amp;COUNTIFS($K$1:S$1,"&lt;&gt;"))),0)</f>
        <v>0</v>
      </c>
      <c r="T1475">
        <f>IFERROR($J1475/IF($A1475&lt;COUNTIFS($K$1:T$1,"&lt;&gt;"),0,SUMIFS($J:$J,$B:$B,$B1475,$A:$A,"&gt;="&amp;COUNTIFS($K$1:T$1,"&lt;&gt;"))),0)</f>
        <v>0</v>
      </c>
      <c r="U1475">
        <f>IFERROR($J1475/IF($A1475&lt;COUNTIFS($K$1:U$1,"&lt;&gt;"),0,SUMIFS($J:$J,$B:$B,$B1475,$A:$A,"&gt;="&amp;COUNTIFS($K$1:U$1,"&lt;&gt;"))),0)</f>
        <v>0</v>
      </c>
      <c r="V1475">
        <f>IFERROR($J1475/IF($A1475&lt;COUNTIFS($K$1:V$1,"&lt;&gt;"),0,SUMIFS($J:$J,$B:$B,$B1475,$A:$A,"&gt;="&amp;COUNTIFS($K$1:V$1,"&lt;&gt;"))),0)</f>
        <v>0</v>
      </c>
      <c r="W1475">
        <f t="shared" ref="W1475:W1538" si="530">IF(J1475=0,0,$J1475)</f>
        <v>8.4931506849315067E-2</v>
      </c>
      <c r="X1475">
        <f t="shared" si="510"/>
        <v>8.4931506849315067E-2</v>
      </c>
      <c r="Y1475">
        <f t="shared" si="511"/>
        <v>8.4931506849315067E-2</v>
      </c>
      <c r="Z1475">
        <f t="shared" si="512"/>
        <v>8.4931506849315067E-2</v>
      </c>
      <c r="AA1475">
        <f t="shared" si="513"/>
        <v>8.4931506849315067E-2</v>
      </c>
      <c r="AB1475">
        <f t="shared" si="514"/>
        <v>0</v>
      </c>
      <c r="AC1475">
        <f t="shared" si="515"/>
        <v>0</v>
      </c>
      <c r="AD1475">
        <f t="shared" si="516"/>
        <v>0</v>
      </c>
      <c r="AE1475">
        <f t="shared" si="517"/>
        <v>0</v>
      </c>
      <c r="AF1475">
        <f t="shared" si="518"/>
        <v>0</v>
      </c>
      <c r="AG1475">
        <f t="shared" si="519"/>
        <v>0</v>
      </c>
      <c r="AH1475">
        <f t="shared" si="520"/>
        <v>0</v>
      </c>
      <c r="AI1475">
        <f t="shared" si="521"/>
        <v>0</v>
      </c>
      <c r="AJ1475" s="2" t="str">
        <f t="shared" ref="AJ1475:AJ1538" si="531">A1475&amp;B1475</f>
        <v>447270</v>
      </c>
    </row>
    <row r="1476" spans="1:36" x14ac:dyDescent="0.25">
      <c r="A1476">
        <v>5</v>
      </c>
      <c r="B1476" s="1">
        <v>47270</v>
      </c>
      <c r="C1476" s="1">
        <f t="shared" si="522"/>
        <v>47423</v>
      </c>
      <c r="D1476" s="1">
        <f t="shared" si="523"/>
        <v>47284</v>
      </c>
      <c r="E1476" s="1">
        <f t="shared" si="524"/>
        <v>47423</v>
      </c>
      <c r="F1476" s="1">
        <f t="shared" si="525"/>
        <v>47453</v>
      </c>
      <c r="G1476" s="1">
        <f t="shared" si="526"/>
        <v>47649</v>
      </c>
      <c r="H1476">
        <f t="shared" si="527"/>
        <v>365</v>
      </c>
      <c r="I1476">
        <f t="shared" si="528"/>
        <v>30</v>
      </c>
      <c r="J1476">
        <f t="shared" si="529"/>
        <v>8.2191780821917804E-2</v>
      </c>
      <c r="K1476">
        <f>IFERROR($J1476/IF($A1476&lt;COUNTIFS($K$1:K$1,"&lt;&gt;"),0,SUMIFS($J:$J,$B:$B,$B1476,$A:$A,"&gt;="&amp;COUNTIFS($K$1:K$1,"&lt;&gt;"))),0)</f>
        <v>8.5959885386819493E-2</v>
      </c>
      <c r="L1476">
        <f>IFERROR($J1476/IF($A1476&lt;COUNTIFS($K$1:L$1,"&lt;&gt;"),0,SUMIFS($J:$J,$B:$B,$B1476,$A:$A,"&gt;="&amp;COUNTIFS($K$1:L$1,"&lt;&gt;"))),0)</f>
        <v>9.4339622641509441E-2</v>
      </c>
      <c r="M1476">
        <f>IFERROR($J1476/IF($A1476&lt;COUNTIFS($K$1:M$1,"&lt;&gt;"),0,SUMIFS($J:$J,$B:$B,$B1476,$A:$A,"&gt;="&amp;COUNTIFS($K$1:M$1,"&lt;&gt;"))),0)</f>
        <v>0.10452961672473869</v>
      </c>
      <c r="N1476">
        <f>IFERROR($J1476/IF($A1476&lt;COUNTIFS($K$1:N$1,"&lt;&gt;"),0,SUMIFS($J:$J,$B:$B,$B1476,$A:$A,"&gt;="&amp;COUNTIFS($K$1:N$1,"&lt;&gt;"))),0)</f>
        <v>0.11673151750972764</v>
      </c>
      <c r="O1476">
        <f>IFERROR($J1476/IF($A1476&lt;COUNTIFS($K$1:O$1,"&lt;&gt;"),0,SUMIFS($J:$J,$B:$B,$B1476,$A:$A,"&gt;="&amp;COUNTIFS($K$1:O$1,"&lt;&gt;"))),0)</f>
        <v>0.13274336283185842</v>
      </c>
      <c r="P1476">
        <f>IFERROR($J1476/IF($A1476&lt;COUNTIFS($K$1:P$1,"&lt;&gt;"),0,SUMIFS($J:$J,$B:$B,$B1476,$A:$A,"&gt;="&amp;COUNTIFS($K$1:P$1,"&lt;&gt;"))),0)</f>
        <v>0</v>
      </c>
      <c r="Q1476">
        <f>IFERROR($J1476/IF($A1476&lt;COUNTIFS($K$1:Q$1,"&lt;&gt;"),0,SUMIFS($J:$J,$B:$B,$B1476,$A:$A,"&gt;="&amp;COUNTIFS($K$1:Q$1,"&lt;&gt;"))),0)</f>
        <v>0</v>
      </c>
      <c r="R1476">
        <f>IFERROR($J1476/IF($A1476&lt;COUNTIFS($K$1:R$1,"&lt;&gt;"),0,SUMIFS($J:$J,$B:$B,$B1476,$A:$A,"&gt;="&amp;COUNTIFS($K$1:R$1,"&lt;&gt;"))),0)</f>
        <v>0</v>
      </c>
      <c r="S1476">
        <f>IFERROR($J1476/IF($A1476&lt;COUNTIFS($K$1:S$1,"&lt;&gt;"),0,SUMIFS($J:$J,$B:$B,$B1476,$A:$A,"&gt;="&amp;COUNTIFS($K$1:S$1,"&lt;&gt;"))),0)</f>
        <v>0</v>
      </c>
      <c r="T1476">
        <f>IFERROR($J1476/IF($A1476&lt;COUNTIFS($K$1:T$1,"&lt;&gt;"),0,SUMIFS($J:$J,$B:$B,$B1476,$A:$A,"&gt;="&amp;COUNTIFS($K$1:T$1,"&lt;&gt;"))),0)</f>
        <v>0</v>
      </c>
      <c r="U1476">
        <f>IFERROR($J1476/IF($A1476&lt;COUNTIFS($K$1:U$1,"&lt;&gt;"),0,SUMIFS($J:$J,$B:$B,$B1476,$A:$A,"&gt;="&amp;COUNTIFS($K$1:U$1,"&lt;&gt;"))),0)</f>
        <v>0</v>
      </c>
      <c r="V1476">
        <f>IFERROR($J1476/IF($A1476&lt;COUNTIFS($K$1:V$1,"&lt;&gt;"),0,SUMIFS($J:$J,$B:$B,$B1476,$A:$A,"&gt;="&amp;COUNTIFS($K$1:V$1,"&lt;&gt;"))),0)</f>
        <v>0</v>
      </c>
      <c r="W1476">
        <f t="shared" si="530"/>
        <v>8.2191780821917804E-2</v>
      </c>
      <c r="X1476">
        <f t="shared" si="510"/>
        <v>8.2191780821917804E-2</v>
      </c>
      <c r="Y1476">
        <f t="shared" si="511"/>
        <v>8.2191780821917804E-2</v>
      </c>
      <c r="Z1476">
        <f t="shared" si="512"/>
        <v>8.2191780821917804E-2</v>
      </c>
      <c r="AA1476">
        <f t="shared" si="513"/>
        <v>8.2191780821917804E-2</v>
      </c>
      <c r="AB1476">
        <f t="shared" si="514"/>
        <v>8.2191780821917804E-2</v>
      </c>
      <c r="AC1476">
        <f t="shared" si="515"/>
        <v>0</v>
      </c>
      <c r="AD1476">
        <f t="shared" si="516"/>
        <v>0</v>
      </c>
      <c r="AE1476">
        <f t="shared" si="517"/>
        <v>0</v>
      </c>
      <c r="AF1476">
        <f t="shared" si="518"/>
        <v>0</v>
      </c>
      <c r="AG1476">
        <f t="shared" si="519"/>
        <v>0</v>
      </c>
      <c r="AH1476">
        <f t="shared" si="520"/>
        <v>0</v>
      </c>
      <c r="AI1476">
        <f t="shared" si="521"/>
        <v>0</v>
      </c>
      <c r="AJ1476" s="2" t="str">
        <f t="shared" si="531"/>
        <v>547270</v>
      </c>
    </row>
    <row r="1477" spans="1:36" x14ac:dyDescent="0.25">
      <c r="A1477">
        <v>6</v>
      </c>
      <c r="B1477" s="1">
        <v>47270</v>
      </c>
      <c r="C1477" s="1">
        <f t="shared" si="522"/>
        <v>47453</v>
      </c>
      <c r="D1477" s="1">
        <f t="shared" si="523"/>
        <v>47284</v>
      </c>
      <c r="E1477" s="1">
        <f t="shared" si="524"/>
        <v>47453</v>
      </c>
      <c r="F1477" s="1">
        <f t="shared" si="525"/>
        <v>47484</v>
      </c>
      <c r="G1477" s="1">
        <f t="shared" si="526"/>
        <v>47649</v>
      </c>
      <c r="H1477">
        <f t="shared" si="527"/>
        <v>365</v>
      </c>
      <c r="I1477">
        <f t="shared" si="528"/>
        <v>31</v>
      </c>
      <c r="J1477">
        <f t="shared" si="529"/>
        <v>8.4931506849315067E-2</v>
      </c>
      <c r="K1477">
        <f>IFERROR($J1477/IF($A1477&lt;COUNTIFS($K$1:K$1,"&lt;&gt;"),0,SUMIFS($J:$J,$B:$B,$B1477,$A:$A,"&gt;="&amp;COUNTIFS($K$1:K$1,"&lt;&gt;"))),0)</f>
        <v>8.8825214899713484E-2</v>
      </c>
      <c r="L1477">
        <f>IFERROR($J1477/IF($A1477&lt;COUNTIFS($K$1:L$1,"&lt;&gt;"),0,SUMIFS($J:$J,$B:$B,$B1477,$A:$A,"&gt;="&amp;COUNTIFS($K$1:L$1,"&lt;&gt;"))),0)</f>
        <v>9.7484276729559768E-2</v>
      </c>
      <c r="M1477">
        <f>IFERROR($J1477/IF($A1477&lt;COUNTIFS($K$1:M$1,"&lt;&gt;"),0,SUMIFS($J:$J,$B:$B,$B1477,$A:$A,"&gt;="&amp;COUNTIFS($K$1:M$1,"&lt;&gt;"))),0)</f>
        <v>0.10801393728222998</v>
      </c>
      <c r="N1477">
        <f>IFERROR($J1477/IF($A1477&lt;COUNTIFS($K$1:N$1,"&lt;&gt;"),0,SUMIFS($J:$J,$B:$B,$B1477,$A:$A,"&gt;="&amp;COUNTIFS($K$1:N$1,"&lt;&gt;"))),0)</f>
        <v>0.12062256809338523</v>
      </c>
      <c r="O1477">
        <f>IFERROR($J1477/IF($A1477&lt;COUNTIFS($K$1:O$1,"&lt;&gt;"),0,SUMIFS($J:$J,$B:$B,$B1477,$A:$A,"&gt;="&amp;COUNTIFS($K$1:O$1,"&lt;&gt;"))),0)</f>
        <v>0.13716814159292037</v>
      </c>
      <c r="P1477">
        <f>IFERROR($J1477/IF($A1477&lt;COUNTIFS($K$1:P$1,"&lt;&gt;"),0,SUMIFS($J:$J,$B:$B,$B1477,$A:$A,"&gt;="&amp;COUNTIFS($K$1:P$1,"&lt;&gt;"))),0)</f>
        <v>0.15816326530612249</v>
      </c>
      <c r="Q1477">
        <f>IFERROR($J1477/IF($A1477&lt;COUNTIFS($K$1:Q$1,"&lt;&gt;"),0,SUMIFS($J:$J,$B:$B,$B1477,$A:$A,"&gt;="&amp;COUNTIFS($K$1:Q$1,"&lt;&gt;"))),0)</f>
        <v>0</v>
      </c>
      <c r="R1477">
        <f>IFERROR($J1477/IF($A1477&lt;COUNTIFS($K$1:R$1,"&lt;&gt;"),0,SUMIFS($J:$J,$B:$B,$B1477,$A:$A,"&gt;="&amp;COUNTIFS($K$1:R$1,"&lt;&gt;"))),0)</f>
        <v>0</v>
      </c>
      <c r="S1477">
        <f>IFERROR($J1477/IF($A1477&lt;COUNTIFS($K$1:S$1,"&lt;&gt;"),0,SUMIFS($J:$J,$B:$B,$B1477,$A:$A,"&gt;="&amp;COUNTIFS($K$1:S$1,"&lt;&gt;"))),0)</f>
        <v>0</v>
      </c>
      <c r="T1477">
        <f>IFERROR($J1477/IF($A1477&lt;COUNTIFS($K$1:T$1,"&lt;&gt;"),0,SUMIFS($J:$J,$B:$B,$B1477,$A:$A,"&gt;="&amp;COUNTIFS($K$1:T$1,"&lt;&gt;"))),0)</f>
        <v>0</v>
      </c>
      <c r="U1477">
        <f>IFERROR($J1477/IF($A1477&lt;COUNTIFS($K$1:U$1,"&lt;&gt;"),0,SUMIFS($J:$J,$B:$B,$B1477,$A:$A,"&gt;="&amp;COUNTIFS($K$1:U$1,"&lt;&gt;"))),0)</f>
        <v>0</v>
      </c>
      <c r="V1477">
        <f>IFERROR($J1477/IF($A1477&lt;COUNTIFS($K$1:V$1,"&lt;&gt;"),0,SUMIFS($J:$J,$B:$B,$B1477,$A:$A,"&gt;="&amp;COUNTIFS($K$1:V$1,"&lt;&gt;"))),0)</f>
        <v>0</v>
      </c>
      <c r="W1477">
        <f t="shared" si="530"/>
        <v>8.4931506849315067E-2</v>
      </c>
      <c r="X1477">
        <f t="shared" si="510"/>
        <v>8.4931506849315067E-2</v>
      </c>
      <c r="Y1477">
        <f t="shared" si="511"/>
        <v>8.4931506849315067E-2</v>
      </c>
      <c r="Z1477">
        <f t="shared" si="512"/>
        <v>8.4931506849315067E-2</v>
      </c>
      <c r="AA1477">
        <f t="shared" si="513"/>
        <v>8.4931506849315067E-2</v>
      </c>
      <c r="AB1477">
        <f t="shared" si="514"/>
        <v>8.4931506849315067E-2</v>
      </c>
      <c r="AC1477">
        <f t="shared" si="515"/>
        <v>8.4931506849315067E-2</v>
      </c>
      <c r="AD1477">
        <f t="shared" si="516"/>
        <v>0</v>
      </c>
      <c r="AE1477">
        <f t="shared" si="517"/>
        <v>0</v>
      </c>
      <c r="AF1477">
        <f t="shared" si="518"/>
        <v>0</v>
      </c>
      <c r="AG1477">
        <f t="shared" si="519"/>
        <v>0</v>
      </c>
      <c r="AH1477">
        <f t="shared" si="520"/>
        <v>0</v>
      </c>
      <c r="AI1477">
        <f t="shared" si="521"/>
        <v>0</v>
      </c>
      <c r="AJ1477" s="2" t="str">
        <f t="shared" si="531"/>
        <v>647270</v>
      </c>
    </row>
    <row r="1478" spans="1:36" x14ac:dyDescent="0.25">
      <c r="A1478">
        <v>7</v>
      </c>
      <c r="B1478" s="1">
        <v>47270</v>
      </c>
      <c r="C1478" s="1">
        <f t="shared" si="522"/>
        <v>47484</v>
      </c>
      <c r="D1478" s="1">
        <f t="shared" si="523"/>
        <v>47284</v>
      </c>
      <c r="E1478" s="1">
        <f t="shared" si="524"/>
        <v>47484</v>
      </c>
      <c r="F1478" s="1">
        <f t="shared" si="525"/>
        <v>47515</v>
      </c>
      <c r="G1478" s="1">
        <f t="shared" si="526"/>
        <v>47649</v>
      </c>
      <c r="H1478">
        <f t="shared" si="527"/>
        <v>365</v>
      </c>
      <c r="I1478">
        <f t="shared" si="528"/>
        <v>31</v>
      </c>
      <c r="J1478">
        <f t="shared" si="529"/>
        <v>8.4931506849315067E-2</v>
      </c>
      <c r="K1478">
        <f>IFERROR($J1478/IF($A1478&lt;COUNTIFS($K$1:K$1,"&lt;&gt;"),0,SUMIFS($J:$J,$B:$B,$B1478,$A:$A,"&gt;="&amp;COUNTIFS($K$1:K$1,"&lt;&gt;"))),0)</f>
        <v>8.8825214899713484E-2</v>
      </c>
      <c r="L1478">
        <f>IFERROR($J1478/IF($A1478&lt;COUNTIFS($K$1:L$1,"&lt;&gt;"),0,SUMIFS($J:$J,$B:$B,$B1478,$A:$A,"&gt;="&amp;COUNTIFS($K$1:L$1,"&lt;&gt;"))),0)</f>
        <v>9.7484276729559768E-2</v>
      </c>
      <c r="M1478">
        <f>IFERROR($J1478/IF($A1478&lt;COUNTIFS($K$1:M$1,"&lt;&gt;"),0,SUMIFS($J:$J,$B:$B,$B1478,$A:$A,"&gt;="&amp;COUNTIFS($K$1:M$1,"&lt;&gt;"))),0)</f>
        <v>0.10801393728222998</v>
      </c>
      <c r="N1478">
        <f>IFERROR($J1478/IF($A1478&lt;COUNTIFS($K$1:N$1,"&lt;&gt;"),0,SUMIFS($J:$J,$B:$B,$B1478,$A:$A,"&gt;="&amp;COUNTIFS($K$1:N$1,"&lt;&gt;"))),0)</f>
        <v>0.12062256809338523</v>
      </c>
      <c r="O1478">
        <f>IFERROR($J1478/IF($A1478&lt;COUNTIFS($K$1:O$1,"&lt;&gt;"),0,SUMIFS($J:$J,$B:$B,$B1478,$A:$A,"&gt;="&amp;COUNTIFS($K$1:O$1,"&lt;&gt;"))),0)</f>
        <v>0.13716814159292037</v>
      </c>
      <c r="P1478">
        <f>IFERROR($J1478/IF($A1478&lt;COUNTIFS($K$1:P$1,"&lt;&gt;"),0,SUMIFS($J:$J,$B:$B,$B1478,$A:$A,"&gt;="&amp;COUNTIFS($K$1:P$1,"&lt;&gt;"))),0)</f>
        <v>0.15816326530612249</v>
      </c>
      <c r="Q1478">
        <f>IFERROR($J1478/IF($A1478&lt;COUNTIFS($K$1:Q$1,"&lt;&gt;"),0,SUMIFS($J:$J,$B:$B,$B1478,$A:$A,"&gt;="&amp;COUNTIFS($K$1:Q$1,"&lt;&gt;"))),0)</f>
        <v>0.1878787878787879</v>
      </c>
      <c r="R1478">
        <f>IFERROR($J1478/IF($A1478&lt;COUNTIFS($K$1:R$1,"&lt;&gt;"),0,SUMIFS($J:$J,$B:$B,$B1478,$A:$A,"&gt;="&amp;COUNTIFS($K$1:R$1,"&lt;&gt;"))),0)</f>
        <v>0</v>
      </c>
      <c r="S1478">
        <f>IFERROR($J1478/IF($A1478&lt;COUNTIFS($K$1:S$1,"&lt;&gt;"),0,SUMIFS($J:$J,$B:$B,$B1478,$A:$A,"&gt;="&amp;COUNTIFS($K$1:S$1,"&lt;&gt;"))),0)</f>
        <v>0</v>
      </c>
      <c r="T1478">
        <f>IFERROR($J1478/IF($A1478&lt;COUNTIFS($K$1:T$1,"&lt;&gt;"),0,SUMIFS($J:$J,$B:$B,$B1478,$A:$A,"&gt;="&amp;COUNTIFS($K$1:T$1,"&lt;&gt;"))),0)</f>
        <v>0</v>
      </c>
      <c r="U1478">
        <f>IFERROR($J1478/IF($A1478&lt;COUNTIFS($K$1:U$1,"&lt;&gt;"),0,SUMIFS($J:$J,$B:$B,$B1478,$A:$A,"&gt;="&amp;COUNTIFS($K$1:U$1,"&lt;&gt;"))),0)</f>
        <v>0</v>
      </c>
      <c r="V1478">
        <f>IFERROR($J1478/IF($A1478&lt;COUNTIFS($K$1:V$1,"&lt;&gt;"),0,SUMIFS($J:$J,$B:$B,$B1478,$A:$A,"&gt;="&amp;COUNTIFS($K$1:V$1,"&lt;&gt;"))),0)</f>
        <v>0</v>
      </c>
      <c r="W1478">
        <f t="shared" si="530"/>
        <v>8.4931506849315067E-2</v>
      </c>
      <c r="X1478">
        <f t="shared" si="510"/>
        <v>8.4931506849315067E-2</v>
      </c>
      <c r="Y1478">
        <f t="shared" si="511"/>
        <v>8.4931506849315067E-2</v>
      </c>
      <c r="Z1478">
        <f t="shared" si="512"/>
        <v>8.4931506849315067E-2</v>
      </c>
      <c r="AA1478">
        <f t="shared" si="513"/>
        <v>8.4931506849315067E-2</v>
      </c>
      <c r="AB1478">
        <f t="shared" si="514"/>
        <v>8.4931506849315067E-2</v>
      </c>
      <c r="AC1478">
        <f t="shared" si="515"/>
        <v>8.4931506849315067E-2</v>
      </c>
      <c r="AD1478">
        <f t="shared" si="516"/>
        <v>8.4931506849315067E-2</v>
      </c>
      <c r="AE1478">
        <f t="shared" si="517"/>
        <v>0</v>
      </c>
      <c r="AF1478">
        <f t="shared" si="518"/>
        <v>0</v>
      </c>
      <c r="AG1478">
        <f t="shared" si="519"/>
        <v>0</v>
      </c>
      <c r="AH1478">
        <f t="shared" si="520"/>
        <v>0</v>
      </c>
      <c r="AI1478">
        <f t="shared" si="521"/>
        <v>0</v>
      </c>
      <c r="AJ1478" s="2" t="str">
        <f t="shared" si="531"/>
        <v>747270</v>
      </c>
    </row>
    <row r="1479" spans="1:36" x14ac:dyDescent="0.25">
      <c r="A1479">
        <v>8</v>
      </c>
      <c r="B1479" s="1">
        <v>47270</v>
      </c>
      <c r="C1479" s="1">
        <f t="shared" si="522"/>
        <v>47515</v>
      </c>
      <c r="D1479" s="1">
        <f t="shared" si="523"/>
        <v>47284</v>
      </c>
      <c r="E1479" s="1">
        <f t="shared" si="524"/>
        <v>47515</v>
      </c>
      <c r="F1479" s="1">
        <f t="shared" si="525"/>
        <v>47543</v>
      </c>
      <c r="G1479" s="1">
        <f t="shared" si="526"/>
        <v>47649</v>
      </c>
      <c r="H1479">
        <f t="shared" si="527"/>
        <v>365</v>
      </c>
      <c r="I1479">
        <f t="shared" si="528"/>
        <v>28</v>
      </c>
      <c r="J1479">
        <f t="shared" si="529"/>
        <v>7.6712328767123292E-2</v>
      </c>
      <c r="K1479">
        <f>IFERROR($J1479/IF($A1479&lt;COUNTIFS($K$1:K$1,"&lt;&gt;"),0,SUMIFS($J:$J,$B:$B,$B1479,$A:$A,"&gt;="&amp;COUNTIFS($K$1:K$1,"&lt;&gt;"))),0)</f>
        <v>8.0229226361031539E-2</v>
      </c>
      <c r="L1479">
        <f>IFERROR($J1479/IF($A1479&lt;COUNTIFS($K$1:L$1,"&lt;&gt;"),0,SUMIFS($J:$J,$B:$B,$B1479,$A:$A,"&gt;="&amp;COUNTIFS($K$1:L$1,"&lt;&gt;"))),0)</f>
        <v>8.8050314465408827E-2</v>
      </c>
      <c r="M1479">
        <f>IFERROR($J1479/IF($A1479&lt;COUNTIFS($K$1:M$1,"&lt;&gt;"),0,SUMIFS($J:$J,$B:$B,$B1479,$A:$A,"&gt;="&amp;COUNTIFS($K$1:M$1,"&lt;&gt;"))),0)</f>
        <v>9.7560975609756115E-2</v>
      </c>
      <c r="N1479">
        <f>IFERROR($J1479/IF($A1479&lt;COUNTIFS($K$1:N$1,"&lt;&gt;"),0,SUMIFS($J:$J,$B:$B,$B1479,$A:$A,"&gt;="&amp;COUNTIFS($K$1:N$1,"&lt;&gt;"))),0)</f>
        <v>0.10894941634241248</v>
      </c>
      <c r="O1479">
        <f>IFERROR($J1479/IF($A1479&lt;COUNTIFS($K$1:O$1,"&lt;&gt;"),0,SUMIFS($J:$J,$B:$B,$B1479,$A:$A,"&gt;="&amp;COUNTIFS($K$1:O$1,"&lt;&gt;"))),0)</f>
        <v>0.12389380530973454</v>
      </c>
      <c r="P1479">
        <f>IFERROR($J1479/IF($A1479&lt;COUNTIFS($K$1:P$1,"&lt;&gt;"),0,SUMIFS($J:$J,$B:$B,$B1479,$A:$A,"&gt;="&amp;COUNTIFS($K$1:P$1,"&lt;&gt;"))),0)</f>
        <v>0.14285714285714288</v>
      </c>
      <c r="Q1479">
        <f>IFERROR($J1479/IF($A1479&lt;COUNTIFS($K$1:Q$1,"&lt;&gt;"),0,SUMIFS($J:$J,$B:$B,$B1479,$A:$A,"&gt;="&amp;COUNTIFS($K$1:Q$1,"&lt;&gt;"))),0)</f>
        <v>0.16969696969696971</v>
      </c>
      <c r="R1479">
        <f>IFERROR($J1479/IF($A1479&lt;COUNTIFS($K$1:R$1,"&lt;&gt;"),0,SUMIFS($J:$J,$B:$B,$B1479,$A:$A,"&gt;="&amp;COUNTIFS($K$1:R$1,"&lt;&gt;"))),0)</f>
        <v>0.20895522388059704</v>
      </c>
      <c r="S1479">
        <f>IFERROR($J1479/IF($A1479&lt;COUNTIFS($K$1:S$1,"&lt;&gt;"),0,SUMIFS($J:$J,$B:$B,$B1479,$A:$A,"&gt;="&amp;COUNTIFS($K$1:S$1,"&lt;&gt;"))),0)</f>
        <v>0</v>
      </c>
      <c r="T1479">
        <f>IFERROR($J1479/IF($A1479&lt;COUNTIFS($K$1:T$1,"&lt;&gt;"),0,SUMIFS($J:$J,$B:$B,$B1479,$A:$A,"&gt;="&amp;COUNTIFS($K$1:T$1,"&lt;&gt;"))),0)</f>
        <v>0</v>
      </c>
      <c r="U1479">
        <f>IFERROR($J1479/IF($A1479&lt;COUNTIFS($K$1:U$1,"&lt;&gt;"),0,SUMIFS($J:$J,$B:$B,$B1479,$A:$A,"&gt;="&amp;COUNTIFS($K$1:U$1,"&lt;&gt;"))),0)</f>
        <v>0</v>
      </c>
      <c r="V1479">
        <f>IFERROR($J1479/IF($A1479&lt;COUNTIFS($K$1:V$1,"&lt;&gt;"),0,SUMIFS($J:$J,$B:$B,$B1479,$A:$A,"&gt;="&amp;COUNTIFS($K$1:V$1,"&lt;&gt;"))),0)</f>
        <v>0</v>
      </c>
      <c r="W1479">
        <f t="shared" si="530"/>
        <v>7.6712328767123292E-2</v>
      </c>
      <c r="X1479">
        <f t="shared" si="510"/>
        <v>7.6712328767123292E-2</v>
      </c>
      <c r="Y1479">
        <f t="shared" si="511"/>
        <v>7.6712328767123292E-2</v>
      </c>
      <c r="Z1479">
        <f t="shared" si="512"/>
        <v>7.6712328767123292E-2</v>
      </c>
      <c r="AA1479">
        <f t="shared" si="513"/>
        <v>7.6712328767123292E-2</v>
      </c>
      <c r="AB1479">
        <f t="shared" si="514"/>
        <v>7.6712328767123292E-2</v>
      </c>
      <c r="AC1479">
        <f t="shared" si="515"/>
        <v>7.6712328767123292E-2</v>
      </c>
      <c r="AD1479">
        <f t="shared" si="516"/>
        <v>7.6712328767123292E-2</v>
      </c>
      <c r="AE1479">
        <f t="shared" si="517"/>
        <v>7.6712328767123292E-2</v>
      </c>
      <c r="AF1479">
        <f t="shared" si="518"/>
        <v>0</v>
      </c>
      <c r="AG1479">
        <f t="shared" si="519"/>
        <v>0</v>
      </c>
      <c r="AH1479">
        <f t="shared" si="520"/>
        <v>0</v>
      </c>
      <c r="AI1479">
        <f t="shared" si="521"/>
        <v>0</v>
      </c>
      <c r="AJ1479" s="2" t="str">
        <f t="shared" si="531"/>
        <v>847270</v>
      </c>
    </row>
    <row r="1480" spans="1:36" x14ac:dyDescent="0.25">
      <c r="A1480">
        <v>9</v>
      </c>
      <c r="B1480" s="1">
        <v>47270</v>
      </c>
      <c r="C1480" s="1">
        <f t="shared" si="522"/>
        <v>47543</v>
      </c>
      <c r="D1480" s="1">
        <f t="shared" si="523"/>
        <v>47284</v>
      </c>
      <c r="E1480" s="1">
        <f t="shared" si="524"/>
        <v>47543</v>
      </c>
      <c r="F1480" s="1">
        <f t="shared" si="525"/>
        <v>47574</v>
      </c>
      <c r="G1480" s="1">
        <f t="shared" si="526"/>
        <v>47649</v>
      </c>
      <c r="H1480">
        <f t="shared" si="527"/>
        <v>365</v>
      </c>
      <c r="I1480">
        <f t="shared" si="528"/>
        <v>31</v>
      </c>
      <c r="J1480">
        <f t="shared" si="529"/>
        <v>8.4931506849315067E-2</v>
      </c>
      <c r="K1480">
        <f>IFERROR($J1480/IF($A1480&lt;COUNTIFS($K$1:K$1,"&lt;&gt;"),0,SUMIFS($J:$J,$B:$B,$B1480,$A:$A,"&gt;="&amp;COUNTIFS($K$1:K$1,"&lt;&gt;"))),0)</f>
        <v>8.8825214899713484E-2</v>
      </c>
      <c r="L1480">
        <f>IFERROR($J1480/IF($A1480&lt;COUNTIFS($K$1:L$1,"&lt;&gt;"),0,SUMIFS($J:$J,$B:$B,$B1480,$A:$A,"&gt;="&amp;COUNTIFS($K$1:L$1,"&lt;&gt;"))),0)</f>
        <v>9.7484276729559768E-2</v>
      </c>
      <c r="M1480">
        <f>IFERROR($J1480/IF($A1480&lt;COUNTIFS($K$1:M$1,"&lt;&gt;"),0,SUMIFS($J:$J,$B:$B,$B1480,$A:$A,"&gt;="&amp;COUNTIFS($K$1:M$1,"&lt;&gt;"))),0)</f>
        <v>0.10801393728222998</v>
      </c>
      <c r="N1480">
        <f>IFERROR($J1480/IF($A1480&lt;COUNTIFS($K$1:N$1,"&lt;&gt;"),0,SUMIFS($J:$J,$B:$B,$B1480,$A:$A,"&gt;="&amp;COUNTIFS($K$1:N$1,"&lt;&gt;"))),0)</f>
        <v>0.12062256809338523</v>
      </c>
      <c r="O1480">
        <f>IFERROR($J1480/IF($A1480&lt;COUNTIFS($K$1:O$1,"&lt;&gt;"),0,SUMIFS($J:$J,$B:$B,$B1480,$A:$A,"&gt;="&amp;COUNTIFS($K$1:O$1,"&lt;&gt;"))),0)</f>
        <v>0.13716814159292037</v>
      </c>
      <c r="P1480">
        <f>IFERROR($J1480/IF($A1480&lt;COUNTIFS($K$1:P$1,"&lt;&gt;"),0,SUMIFS($J:$J,$B:$B,$B1480,$A:$A,"&gt;="&amp;COUNTIFS($K$1:P$1,"&lt;&gt;"))),0)</f>
        <v>0.15816326530612249</v>
      </c>
      <c r="Q1480">
        <f>IFERROR($J1480/IF($A1480&lt;COUNTIFS($K$1:Q$1,"&lt;&gt;"),0,SUMIFS($J:$J,$B:$B,$B1480,$A:$A,"&gt;="&amp;COUNTIFS($K$1:Q$1,"&lt;&gt;"))),0)</f>
        <v>0.1878787878787879</v>
      </c>
      <c r="R1480">
        <f>IFERROR($J1480/IF($A1480&lt;COUNTIFS($K$1:R$1,"&lt;&gt;"),0,SUMIFS($J:$J,$B:$B,$B1480,$A:$A,"&gt;="&amp;COUNTIFS($K$1:R$1,"&lt;&gt;"))),0)</f>
        <v>0.23134328358208955</v>
      </c>
      <c r="S1480">
        <f>IFERROR($J1480/IF($A1480&lt;COUNTIFS($K$1:S$1,"&lt;&gt;"),0,SUMIFS($J:$J,$B:$B,$B1480,$A:$A,"&gt;="&amp;COUNTIFS($K$1:S$1,"&lt;&gt;"))),0)</f>
        <v>0.29245283018867929</v>
      </c>
      <c r="T1480">
        <f>IFERROR($J1480/IF($A1480&lt;COUNTIFS($K$1:T$1,"&lt;&gt;"),0,SUMIFS($J:$J,$B:$B,$B1480,$A:$A,"&gt;="&amp;COUNTIFS($K$1:T$1,"&lt;&gt;"))),0)</f>
        <v>0</v>
      </c>
      <c r="U1480">
        <f>IFERROR($J1480/IF($A1480&lt;COUNTIFS($K$1:U$1,"&lt;&gt;"),0,SUMIFS($J:$J,$B:$B,$B1480,$A:$A,"&gt;="&amp;COUNTIFS($K$1:U$1,"&lt;&gt;"))),0)</f>
        <v>0</v>
      </c>
      <c r="V1480">
        <f>IFERROR($J1480/IF($A1480&lt;COUNTIFS($K$1:V$1,"&lt;&gt;"),0,SUMIFS($J:$J,$B:$B,$B1480,$A:$A,"&gt;="&amp;COUNTIFS($K$1:V$1,"&lt;&gt;"))),0)</f>
        <v>0</v>
      </c>
      <c r="W1480">
        <f t="shared" si="530"/>
        <v>8.4931506849315067E-2</v>
      </c>
      <c r="X1480">
        <f t="shared" si="510"/>
        <v>8.4931506849315067E-2</v>
      </c>
      <c r="Y1480">
        <f t="shared" si="511"/>
        <v>8.4931506849315067E-2</v>
      </c>
      <c r="Z1480">
        <f t="shared" si="512"/>
        <v>8.4931506849315067E-2</v>
      </c>
      <c r="AA1480">
        <f t="shared" si="513"/>
        <v>8.4931506849315067E-2</v>
      </c>
      <c r="AB1480">
        <f t="shared" si="514"/>
        <v>8.4931506849315067E-2</v>
      </c>
      <c r="AC1480">
        <f t="shared" si="515"/>
        <v>8.4931506849315067E-2</v>
      </c>
      <c r="AD1480">
        <f t="shared" si="516"/>
        <v>8.4931506849315067E-2</v>
      </c>
      <c r="AE1480">
        <f t="shared" si="517"/>
        <v>8.4931506849315067E-2</v>
      </c>
      <c r="AF1480">
        <f t="shared" si="518"/>
        <v>8.4931506849315067E-2</v>
      </c>
      <c r="AG1480">
        <f t="shared" si="519"/>
        <v>0</v>
      </c>
      <c r="AH1480">
        <f t="shared" si="520"/>
        <v>0</v>
      </c>
      <c r="AI1480">
        <f t="shared" si="521"/>
        <v>0</v>
      </c>
      <c r="AJ1480" s="2" t="str">
        <f t="shared" si="531"/>
        <v>947270</v>
      </c>
    </row>
    <row r="1481" spans="1:36" x14ac:dyDescent="0.25">
      <c r="A1481">
        <v>10</v>
      </c>
      <c r="B1481" s="1">
        <v>47270</v>
      </c>
      <c r="C1481" s="1">
        <f t="shared" si="522"/>
        <v>47574</v>
      </c>
      <c r="D1481" s="1">
        <f t="shared" si="523"/>
        <v>47284</v>
      </c>
      <c r="E1481" s="1">
        <f t="shared" si="524"/>
        <v>47574</v>
      </c>
      <c r="F1481" s="1">
        <f t="shared" si="525"/>
        <v>47604</v>
      </c>
      <c r="G1481" s="1">
        <f t="shared" si="526"/>
        <v>47649</v>
      </c>
      <c r="H1481">
        <f t="shared" si="527"/>
        <v>365</v>
      </c>
      <c r="I1481">
        <f t="shared" si="528"/>
        <v>30</v>
      </c>
      <c r="J1481">
        <f t="shared" si="529"/>
        <v>8.2191780821917804E-2</v>
      </c>
      <c r="K1481">
        <f>IFERROR($J1481/IF($A1481&lt;COUNTIFS($K$1:K$1,"&lt;&gt;"),0,SUMIFS($J:$J,$B:$B,$B1481,$A:$A,"&gt;="&amp;COUNTIFS($K$1:K$1,"&lt;&gt;"))),0)</f>
        <v>8.5959885386819493E-2</v>
      </c>
      <c r="L1481">
        <f>IFERROR($J1481/IF($A1481&lt;COUNTIFS($K$1:L$1,"&lt;&gt;"),0,SUMIFS($J:$J,$B:$B,$B1481,$A:$A,"&gt;="&amp;COUNTIFS($K$1:L$1,"&lt;&gt;"))),0)</f>
        <v>9.4339622641509441E-2</v>
      </c>
      <c r="M1481">
        <f>IFERROR($J1481/IF($A1481&lt;COUNTIFS($K$1:M$1,"&lt;&gt;"),0,SUMIFS($J:$J,$B:$B,$B1481,$A:$A,"&gt;="&amp;COUNTIFS($K$1:M$1,"&lt;&gt;"))),0)</f>
        <v>0.10452961672473869</v>
      </c>
      <c r="N1481">
        <f>IFERROR($J1481/IF($A1481&lt;COUNTIFS($K$1:N$1,"&lt;&gt;"),0,SUMIFS($J:$J,$B:$B,$B1481,$A:$A,"&gt;="&amp;COUNTIFS($K$1:N$1,"&lt;&gt;"))),0)</f>
        <v>0.11673151750972764</v>
      </c>
      <c r="O1481">
        <f>IFERROR($J1481/IF($A1481&lt;COUNTIFS($K$1:O$1,"&lt;&gt;"),0,SUMIFS($J:$J,$B:$B,$B1481,$A:$A,"&gt;="&amp;COUNTIFS($K$1:O$1,"&lt;&gt;"))),0)</f>
        <v>0.13274336283185842</v>
      </c>
      <c r="P1481">
        <f>IFERROR($J1481/IF($A1481&lt;COUNTIFS($K$1:P$1,"&lt;&gt;"),0,SUMIFS($J:$J,$B:$B,$B1481,$A:$A,"&gt;="&amp;COUNTIFS($K$1:P$1,"&lt;&gt;"))),0)</f>
        <v>0.15306122448979595</v>
      </c>
      <c r="Q1481">
        <f>IFERROR($J1481/IF($A1481&lt;COUNTIFS($K$1:Q$1,"&lt;&gt;"),0,SUMIFS($J:$J,$B:$B,$B1481,$A:$A,"&gt;="&amp;COUNTIFS($K$1:Q$1,"&lt;&gt;"))),0)</f>
        <v>0.18181818181818182</v>
      </c>
      <c r="R1481">
        <f>IFERROR($J1481/IF($A1481&lt;COUNTIFS($K$1:R$1,"&lt;&gt;"),0,SUMIFS($J:$J,$B:$B,$B1481,$A:$A,"&gt;="&amp;COUNTIFS($K$1:R$1,"&lt;&gt;"))),0)</f>
        <v>0.22388059701492535</v>
      </c>
      <c r="S1481">
        <f>IFERROR($J1481/IF($A1481&lt;COUNTIFS($K$1:S$1,"&lt;&gt;"),0,SUMIFS($J:$J,$B:$B,$B1481,$A:$A,"&gt;="&amp;COUNTIFS($K$1:S$1,"&lt;&gt;"))),0)</f>
        <v>0.28301886792452829</v>
      </c>
      <c r="T1481">
        <f>IFERROR($J1481/IF($A1481&lt;COUNTIFS($K$1:T$1,"&lt;&gt;"),0,SUMIFS($J:$J,$B:$B,$B1481,$A:$A,"&gt;="&amp;COUNTIFS($K$1:T$1,"&lt;&gt;"))),0)</f>
        <v>0.4</v>
      </c>
      <c r="U1481">
        <f>IFERROR($J1481/IF($A1481&lt;COUNTIFS($K$1:U$1,"&lt;&gt;"),0,SUMIFS($J:$J,$B:$B,$B1481,$A:$A,"&gt;="&amp;COUNTIFS($K$1:U$1,"&lt;&gt;"))),0)</f>
        <v>0</v>
      </c>
      <c r="V1481">
        <f>IFERROR($J1481/IF($A1481&lt;COUNTIFS($K$1:V$1,"&lt;&gt;"),0,SUMIFS($J:$J,$B:$B,$B1481,$A:$A,"&gt;="&amp;COUNTIFS($K$1:V$1,"&lt;&gt;"))),0)</f>
        <v>0</v>
      </c>
      <c r="W1481">
        <f t="shared" si="530"/>
        <v>8.2191780821917804E-2</v>
      </c>
      <c r="X1481">
        <f t="shared" si="510"/>
        <v>8.2191780821917804E-2</v>
      </c>
      <c r="Y1481">
        <f t="shared" si="511"/>
        <v>8.2191780821917804E-2</v>
      </c>
      <c r="Z1481">
        <f t="shared" si="512"/>
        <v>8.2191780821917804E-2</v>
      </c>
      <c r="AA1481">
        <f t="shared" si="513"/>
        <v>8.2191780821917804E-2</v>
      </c>
      <c r="AB1481">
        <f t="shared" si="514"/>
        <v>8.2191780821917804E-2</v>
      </c>
      <c r="AC1481">
        <f t="shared" si="515"/>
        <v>8.2191780821917804E-2</v>
      </c>
      <c r="AD1481">
        <f t="shared" si="516"/>
        <v>8.2191780821917804E-2</v>
      </c>
      <c r="AE1481">
        <f t="shared" si="517"/>
        <v>8.2191780821917804E-2</v>
      </c>
      <c r="AF1481">
        <f t="shared" si="518"/>
        <v>8.2191780821917804E-2</v>
      </c>
      <c r="AG1481">
        <f t="shared" si="519"/>
        <v>8.2191780821917804E-2</v>
      </c>
      <c r="AH1481">
        <f t="shared" si="520"/>
        <v>0</v>
      </c>
      <c r="AI1481">
        <f t="shared" si="521"/>
        <v>0</v>
      </c>
      <c r="AJ1481" s="2" t="str">
        <f t="shared" si="531"/>
        <v>1047270</v>
      </c>
    </row>
    <row r="1482" spans="1:36" x14ac:dyDescent="0.25">
      <c r="A1482">
        <v>11</v>
      </c>
      <c r="B1482" s="1">
        <v>47270</v>
      </c>
      <c r="C1482" s="1">
        <f t="shared" si="522"/>
        <v>47604</v>
      </c>
      <c r="D1482" s="1">
        <f t="shared" si="523"/>
        <v>47284</v>
      </c>
      <c r="E1482" s="1">
        <f t="shared" si="524"/>
        <v>47604</v>
      </c>
      <c r="F1482" s="1">
        <f t="shared" si="525"/>
        <v>47635</v>
      </c>
      <c r="G1482" s="1">
        <f t="shared" si="526"/>
        <v>47649</v>
      </c>
      <c r="H1482">
        <f t="shared" si="527"/>
        <v>365</v>
      </c>
      <c r="I1482">
        <f t="shared" si="528"/>
        <v>31</v>
      </c>
      <c r="J1482">
        <f t="shared" si="529"/>
        <v>8.4931506849315067E-2</v>
      </c>
      <c r="K1482">
        <f>IFERROR($J1482/IF($A1482&lt;COUNTIFS($K$1:K$1,"&lt;&gt;"),0,SUMIFS($J:$J,$B:$B,$B1482,$A:$A,"&gt;="&amp;COUNTIFS($K$1:K$1,"&lt;&gt;"))),0)</f>
        <v>8.8825214899713484E-2</v>
      </c>
      <c r="L1482">
        <f>IFERROR($J1482/IF($A1482&lt;COUNTIFS($K$1:L$1,"&lt;&gt;"),0,SUMIFS($J:$J,$B:$B,$B1482,$A:$A,"&gt;="&amp;COUNTIFS($K$1:L$1,"&lt;&gt;"))),0)</f>
        <v>9.7484276729559768E-2</v>
      </c>
      <c r="M1482">
        <f>IFERROR($J1482/IF($A1482&lt;COUNTIFS($K$1:M$1,"&lt;&gt;"),0,SUMIFS($J:$J,$B:$B,$B1482,$A:$A,"&gt;="&amp;COUNTIFS($K$1:M$1,"&lt;&gt;"))),0)</f>
        <v>0.10801393728222998</v>
      </c>
      <c r="N1482">
        <f>IFERROR($J1482/IF($A1482&lt;COUNTIFS($K$1:N$1,"&lt;&gt;"),0,SUMIFS($J:$J,$B:$B,$B1482,$A:$A,"&gt;="&amp;COUNTIFS($K$1:N$1,"&lt;&gt;"))),0)</f>
        <v>0.12062256809338523</v>
      </c>
      <c r="O1482">
        <f>IFERROR($J1482/IF($A1482&lt;COUNTIFS($K$1:O$1,"&lt;&gt;"),0,SUMIFS($J:$J,$B:$B,$B1482,$A:$A,"&gt;="&amp;COUNTIFS($K$1:O$1,"&lt;&gt;"))),0)</f>
        <v>0.13716814159292037</v>
      </c>
      <c r="P1482">
        <f>IFERROR($J1482/IF($A1482&lt;COUNTIFS($K$1:P$1,"&lt;&gt;"),0,SUMIFS($J:$J,$B:$B,$B1482,$A:$A,"&gt;="&amp;COUNTIFS($K$1:P$1,"&lt;&gt;"))),0)</f>
        <v>0.15816326530612249</v>
      </c>
      <c r="Q1482">
        <f>IFERROR($J1482/IF($A1482&lt;COUNTIFS($K$1:Q$1,"&lt;&gt;"),0,SUMIFS($J:$J,$B:$B,$B1482,$A:$A,"&gt;="&amp;COUNTIFS($K$1:Q$1,"&lt;&gt;"))),0)</f>
        <v>0.1878787878787879</v>
      </c>
      <c r="R1482">
        <f>IFERROR($J1482/IF($A1482&lt;COUNTIFS($K$1:R$1,"&lt;&gt;"),0,SUMIFS($J:$J,$B:$B,$B1482,$A:$A,"&gt;="&amp;COUNTIFS($K$1:R$1,"&lt;&gt;"))),0)</f>
        <v>0.23134328358208955</v>
      </c>
      <c r="S1482">
        <f>IFERROR($J1482/IF($A1482&lt;COUNTIFS($K$1:S$1,"&lt;&gt;"),0,SUMIFS($J:$J,$B:$B,$B1482,$A:$A,"&gt;="&amp;COUNTIFS($K$1:S$1,"&lt;&gt;"))),0)</f>
        <v>0.29245283018867929</v>
      </c>
      <c r="T1482">
        <f>IFERROR($J1482/IF($A1482&lt;COUNTIFS($K$1:T$1,"&lt;&gt;"),0,SUMIFS($J:$J,$B:$B,$B1482,$A:$A,"&gt;="&amp;COUNTIFS($K$1:T$1,"&lt;&gt;"))),0)</f>
        <v>0.41333333333333333</v>
      </c>
      <c r="U1482">
        <f>IFERROR($J1482/IF($A1482&lt;COUNTIFS($K$1:U$1,"&lt;&gt;"),0,SUMIFS($J:$J,$B:$B,$B1482,$A:$A,"&gt;="&amp;COUNTIFS($K$1:U$1,"&lt;&gt;"))),0)</f>
        <v>0.68888888888888888</v>
      </c>
      <c r="V1482">
        <f>IFERROR($J1482/IF($A1482&lt;COUNTIFS($K$1:V$1,"&lt;&gt;"),0,SUMIFS($J:$J,$B:$B,$B1482,$A:$A,"&gt;="&amp;COUNTIFS($K$1:V$1,"&lt;&gt;"))),0)</f>
        <v>0</v>
      </c>
      <c r="W1482">
        <f t="shared" si="530"/>
        <v>8.4931506849315067E-2</v>
      </c>
      <c r="X1482">
        <f t="shared" si="510"/>
        <v>8.4931506849315067E-2</v>
      </c>
      <c r="Y1482">
        <f t="shared" si="511"/>
        <v>8.4931506849315067E-2</v>
      </c>
      <c r="Z1482">
        <f t="shared" si="512"/>
        <v>8.4931506849315067E-2</v>
      </c>
      <c r="AA1482">
        <f t="shared" si="513"/>
        <v>8.4931506849315067E-2</v>
      </c>
      <c r="AB1482">
        <f t="shared" si="514"/>
        <v>8.4931506849315067E-2</v>
      </c>
      <c r="AC1482">
        <f t="shared" si="515"/>
        <v>8.4931506849315067E-2</v>
      </c>
      <c r="AD1482">
        <f t="shared" si="516"/>
        <v>8.4931506849315067E-2</v>
      </c>
      <c r="AE1482">
        <f t="shared" si="517"/>
        <v>8.4931506849315067E-2</v>
      </c>
      <c r="AF1482">
        <f t="shared" si="518"/>
        <v>8.4931506849315067E-2</v>
      </c>
      <c r="AG1482">
        <f t="shared" si="519"/>
        <v>8.4931506849315067E-2</v>
      </c>
      <c r="AH1482">
        <f t="shared" si="520"/>
        <v>8.4931506849315067E-2</v>
      </c>
      <c r="AI1482">
        <f t="shared" si="521"/>
        <v>0</v>
      </c>
      <c r="AJ1482" s="2" t="str">
        <f t="shared" si="531"/>
        <v>1147270</v>
      </c>
    </row>
    <row r="1483" spans="1:36" x14ac:dyDescent="0.25">
      <c r="A1483">
        <v>12</v>
      </c>
      <c r="B1483" s="1">
        <v>47270</v>
      </c>
      <c r="C1483" s="1">
        <f t="shared" si="522"/>
        <v>47635</v>
      </c>
      <c r="D1483" s="1">
        <f t="shared" si="523"/>
        <v>47284</v>
      </c>
      <c r="E1483" s="1">
        <f t="shared" si="524"/>
        <v>47635</v>
      </c>
      <c r="F1483" s="1">
        <f t="shared" si="525"/>
        <v>47649</v>
      </c>
      <c r="G1483" s="1">
        <f t="shared" si="526"/>
        <v>47649</v>
      </c>
      <c r="H1483">
        <f t="shared" si="527"/>
        <v>365</v>
      </c>
      <c r="I1483">
        <f t="shared" si="528"/>
        <v>14</v>
      </c>
      <c r="J1483">
        <f t="shared" si="529"/>
        <v>3.8356164383561646E-2</v>
      </c>
      <c r="K1483">
        <f>IFERROR($J1483/IF($A1483&lt;COUNTIFS($K$1:K$1,"&lt;&gt;"),0,SUMIFS($J:$J,$B:$B,$B1483,$A:$A,"&gt;="&amp;COUNTIFS($K$1:K$1,"&lt;&gt;"))),0)</f>
        <v>4.0114613180515769E-2</v>
      </c>
      <c r="L1483">
        <f>IFERROR($J1483/IF($A1483&lt;COUNTIFS($K$1:L$1,"&lt;&gt;"),0,SUMIFS($J:$J,$B:$B,$B1483,$A:$A,"&gt;="&amp;COUNTIFS($K$1:L$1,"&lt;&gt;"))),0)</f>
        <v>4.4025157232704414E-2</v>
      </c>
      <c r="M1483">
        <f>IFERROR($J1483/IF($A1483&lt;COUNTIFS($K$1:M$1,"&lt;&gt;"),0,SUMIFS($J:$J,$B:$B,$B1483,$A:$A,"&gt;="&amp;COUNTIFS($K$1:M$1,"&lt;&gt;"))),0)</f>
        <v>4.8780487804878057E-2</v>
      </c>
      <c r="N1483">
        <f>IFERROR($J1483/IF($A1483&lt;COUNTIFS($K$1:N$1,"&lt;&gt;"),0,SUMIFS($J:$J,$B:$B,$B1483,$A:$A,"&gt;="&amp;COUNTIFS($K$1:N$1,"&lt;&gt;"))),0)</f>
        <v>5.447470817120624E-2</v>
      </c>
      <c r="O1483">
        <f>IFERROR($J1483/IF($A1483&lt;COUNTIFS($K$1:O$1,"&lt;&gt;"),0,SUMIFS($J:$J,$B:$B,$B1483,$A:$A,"&gt;="&amp;COUNTIFS($K$1:O$1,"&lt;&gt;"))),0)</f>
        <v>6.194690265486727E-2</v>
      </c>
      <c r="P1483">
        <f>IFERROR($J1483/IF($A1483&lt;COUNTIFS($K$1:P$1,"&lt;&gt;"),0,SUMIFS($J:$J,$B:$B,$B1483,$A:$A,"&gt;="&amp;COUNTIFS($K$1:P$1,"&lt;&gt;"))),0)</f>
        <v>7.1428571428571438E-2</v>
      </c>
      <c r="Q1483">
        <f>IFERROR($J1483/IF($A1483&lt;COUNTIFS($K$1:Q$1,"&lt;&gt;"),0,SUMIFS($J:$J,$B:$B,$B1483,$A:$A,"&gt;="&amp;COUNTIFS($K$1:Q$1,"&lt;&gt;"))),0)</f>
        <v>8.4848484848484854E-2</v>
      </c>
      <c r="R1483">
        <f>IFERROR($J1483/IF($A1483&lt;COUNTIFS($K$1:R$1,"&lt;&gt;"),0,SUMIFS($J:$J,$B:$B,$B1483,$A:$A,"&gt;="&amp;COUNTIFS($K$1:R$1,"&lt;&gt;"))),0)</f>
        <v>0.10447761194029852</v>
      </c>
      <c r="S1483">
        <f>IFERROR($J1483/IF($A1483&lt;COUNTIFS($K$1:S$1,"&lt;&gt;"),0,SUMIFS($J:$J,$B:$B,$B1483,$A:$A,"&gt;="&amp;COUNTIFS($K$1:S$1,"&lt;&gt;"))),0)</f>
        <v>0.13207547169811323</v>
      </c>
      <c r="T1483">
        <f>IFERROR($J1483/IF($A1483&lt;COUNTIFS($K$1:T$1,"&lt;&gt;"),0,SUMIFS($J:$J,$B:$B,$B1483,$A:$A,"&gt;="&amp;COUNTIFS($K$1:T$1,"&lt;&gt;"))),0)</f>
        <v>0.18666666666666668</v>
      </c>
      <c r="U1483">
        <f>IFERROR($J1483/IF($A1483&lt;COUNTIFS($K$1:U$1,"&lt;&gt;"),0,SUMIFS($J:$J,$B:$B,$B1483,$A:$A,"&gt;="&amp;COUNTIFS($K$1:U$1,"&lt;&gt;"))),0)</f>
        <v>0.31111111111111117</v>
      </c>
      <c r="V1483">
        <f>IFERROR($J1483/IF($A1483&lt;COUNTIFS($K$1:V$1,"&lt;&gt;"),0,SUMIFS($J:$J,$B:$B,$B1483,$A:$A,"&gt;="&amp;COUNTIFS($K$1:V$1,"&lt;&gt;"))),0)</f>
        <v>1</v>
      </c>
      <c r="W1483">
        <f t="shared" si="530"/>
        <v>3.8356164383561646E-2</v>
      </c>
      <c r="X1483">
        <f t="shared" si="510"/>
        <v>3.8356164383561646E-2</v>
      </c>
      <c r="Y1483">
        <f t="shared" si="511"/>
        <v>3.8356164383561646E-2</v>
      </c>
      <c r="Z1483">
        <f t="shared" si="512"/>
        <v>3.8356164383561646E-2</v>
      </c>
      <c r="AA1483">
        <f t="shared" si="513"/>
        <v>3.8356164383561646E-2</v>
      </c>
      <c r="AB1483">
        <f t="shared" si="514"/>
        <v>3.8356164383561646E-2</v>
      </c>
      <c r="AC1483">
        <f t="shared" si="515"/>
        <v>3.8356164383561646E-2</v>
      </c>
      <c r="AD1483">
        <f t="shared" si="516"/>
        <v>3.8356164383561646E-2</v>
      </c>
      <c r="AE1483">
        <f t="shared" si="517"/>
        <v>3.8356164383561646E-2</v>
      </c>
      <c r="AF1483">
        <f t="shared" si="518"/>
        <v>3.8356164383561646E-2</v>
      </c>
      <c r="AG1483">
        <f t="shared" si="519"/>
        <v>3.8356164383561646E-2</v>
      </c>
      <c r="AH1483">
        <f t="shared" si="520"/>
        <v>3.8356164383561646E-2</v>
      </c>
      <c r="AI1483">
        <f t="shared" si="521"/>
        <v>3.8356164383561646E-2</v>
      </c>
      <c r="AJ1483" s="2" t="str">
        <f t="shared" si="531"/>
        <v>1247270</v>
      </c>
    </row>
    <row r="1484" spans="1:36" x14ac:dyDescent="0.25">
      <c r="A1484">
        <v>0</v>
      </c>
      <c r="B1484" s="1">
        <v>47300</v>
      </c>
      <c r="C1484" s="1">
        <f t="shared" si="522"/>
        <v>47300</v>
      </c>
      <c r="D1484" s="1">
        <f t="shared" si="523"/>
        <v>47314</v>
      </c>
      <c r="E1484" s="1">
        <f t="shared" si="524"/>
        <v>47314</v>
      </c>
      <c r="F1484" s="1">
        <f t="shared" si="525"/>
        <v>47331</v>
      </c>
      <c r="G1484" s="1">
        <f t="shared" si="526"/>
        <v>47679</v>
      </c>
      <c r="H1484">
        <f t="shared" si="527"/>
        <v>365</v>
      </c>
      <c r="I1484">
        <f t="shared" si="528"/>
        <v>17</v>
      </c>
      <c r="J1484">
        <f t="shared" si="529"/>
        <v>4.6575342465753428E-2</v>
      </c>
      <c r="K1484">
        <f>IFERROR($J1484/IF($A1484&lt;COUNTIFS($K$1:K$1,"&lt;&gt;"),0,SUMIFS($J:$J,$B:$B,$B1484,$A:$A,"&gt;="&amp;COUNTIFS($K$1:K$1,"&lt;&gt;"))),0)</f>
        <v>0</v>
      </c>
      <c r="L1484">
        <f>IFERROR($J1484/IF($A1484&lt;COUNTIFS($K$1:L$1,"&lt;&gt;"),0,SUMIFS($J:$J,$B:$B,$B1484,$A:$A,"&gt;="&amp;COUNTIFS($K$1:L$1,"&lt;&gt;"))),0)</f>
        <v>0</v>
      </c>
      <c r="M1484">
        <f>IFERROR($J1484/IF($A1484&lt;COUNTIFS($K$1:M$1,"&lt;&gt;"),0,SUMIFS($J:$J,$B:$B,$B1484,$A:$A,"&gt;="&amp;COUNTIFS($K$1:M$1,"&lt;&gt;"))),0)</f>
        <v>0</v>
      </c>
      <c r="N1484">
        <f>IFERROR($J1484/IF($A1484&lt;COUNTIFS($K$1:N$1,"&lt;&gt;"),0,SUMIFS($J:$J,$B:$B,$B1484,$A:$A,"&gt;="&amp;COUNTIFS($K$1:N$1,"&lt;&gt;"))),0)</f>
        <v>0</v>
      </c>
      <c r="O1484">
        <f>IFERROR($J1484/IF($A1484&lt;COUNTIFS($K$1:O$1,"&lt;&gt;"),0,SUMIFS($J:$J,$B:$B,$B1484,$A:$A,"&gt;="&amp;COUNTIFS($K$1:O$1,"&lt;&gt;"))),0)</f>
        <v>0</v>
      </c>
      <c r="P1484">
        <f>IFERROR($J1484/IF($A1484&lt;COUNTIFS($K$1:P$1,"&lt;&gt;"),0,SUMIFS($J:$J,$B:$B,$B1484,$A:$A,"&gt;="&amp;COUNTIFS($K$1:P$1,"&lt;&gt;"))),0)</f>
        <v>0</v>
      </c>
      <c r="Q1484">
        <f>IFERROR($J1484/IF($A1484&lt;COUNTIFS($K$1:Q$1,"&lt;&gt;"),0,SUMIFS($J:$J,$B:$B,$B1484,$A:$A,"&gt;="&amp;COUNTIFS($K$1:Q$1,"&lt;&gt;"))),0)</f>
        <v>0</v>
      </c>
      <c r="R1484">
        <f>IFERROR($J1484/IF($A1484&lt;COUNTIFS($K$1:R$1,"&lt;&gt;"),0,SUMIFS($J:$J,$B:$B,$B1484,$A:$A,"&gt;="&amp;COUNTIFS($K$1:R$1,"&lt;&gt;"))),0)</f>
        <v>0</v>
      </c>
      <c r="S1484">
        <f>IFERROR($J1484/IF($A1484&lt;COUNTIFS($K$1:S$1,"&lt;&gt;"),0,SUMIFS($J:$J,$B:$B,$B1484,$A:$A,"&gt;="&amp;COUNTIFS($K$1:S$1,"&lt;&gt;"))),0)</f>
        <v>0</v>
      </c>
      <c r="T1484">
        <f>IFERROR($J1484/IF($A1484&lt;COUNTIFS($K$1:T$1,"&lt;&gt;"),0,SUMIFS($J:$J,$B:$B,$B1484,$A:$A,"&gt;="&amp;COUNTIFS($K$1:T$1,"&lt;&gt;"))),0)</f>
        <v>0</v>
      </c>
      <c r="U1484">
        <f>IFERROR($J1484/IF($A1484&lt;COUNTIFS($K$1:U$1,"&lt;&gt;"),0,SUMIFS($J:$J,$B:$B,$B1484,$A:$A,"&gt;="&amp;COUNTIFS($K$1:U$1,"&lt;&gt;"))),0)</f>
        <v>0</v>
      </c>
      <c r="V1484">
        <f>IFERROR($J1484/IF($A1484&lt;COUNTIFS($K$1:V$1,"&lt;&gt;"),0,SUMIFS($J:$J,$B:$B,$B1484,$A:$A,"&gt;="&amp;COUNTIFS($K$1:V$1,"&lt;&gt;"))),0)</f>
        <v>0</v>
      </c>
      <c r="W1484">
        <f t="shared" si="530"/>
        <v>4.6575342465753428E-2</v>
      </c>
      <c r="X1484">
        <f t="shared" si="510"/>
        <v>0</v>
      </c>
      <c r="Y1484">
        <f t="shared" si="511"/>
        <v>0</v>
      </c>
      <c r="Z1484">
        <f t="shared" si="512"/>
        <v>0</v>
      </c>
      <c r="AA1484">
        <f t="shared" si="513"/>
        <v>0</v>
      </c>
      <c r="AB1484">
        <f t="shared" si="514"/>
        <v>0</v>
      </c>
      <c r="AC1484">
        <f t="shared" si="515"/>
        <v>0</v>
      </c>
      <c r="AD1484">
        <f t="shared" si="516"/>
        <v>0</v>
      </c>
      <c r="AE1484">
        <f t="shared" si="517"/>
        <v>0</v>
      </c>
      <c r="AF1484">
        <f t="shared" si="518"/>
        <v>0</v>
      </c>
      <c r="AG1484">
        <f t="shared" si="519"/>
        <v>0</v>
      </c>
      <c r="AH1484">
        <f t="shared" si="520"/>
        <v>0</v>
      </c>
      <c r="AI1484">
        <f t="shared" si="521"/>
        <v>0</v>
      </c>
      <c r="AJ1484" s="2" t="str">
        <f t="shared" si="531"/>
        <v>047300</v>
      </c>
    </row>
    <row r="1485" spans="1:36" x14ac:dyDescent="0.25">
      <c r="A1485">
        <v>1</v>
      </c>
      <c r="B1485" s="1">
        <v>47300</v>
      </c>
      <c r="C1485" s="1">
        <f t="shared" si="522"/>
        <v>47331</v>
      </c>
      <c r="D1485" s="1">
        <f t="shared" si="523"/>
        <v>47314</v>
      </c>
      <c r="E1485" s="1">
        <f t="shared" si="524"/>
        <v>47331</v>
      </c>
      <c r="F1485" s="1">
        <f t="shared" si="525"/>
        <v>47362</v>
      </c>
      <c r="G1485" s="1">
        <f t="shared" si="526"/>
        <v>47679</v>
      </c>
      <c r="H1485">
        <f t="shared" si="527"/>
        <v>365</v>
      </c>
      <c r="I1485">
        <f t="shared" si="528"/>
        <v>31</v>
      </c>
      <c r="J1485">
        <f t="shared" si="529"/>
        <v>8.4931506849315067E-2</v>
      </c>
      <c r="K1485">
        <f>IFERROR($J1485/IF($A1485&lt;COUNTIFS($K$1:K$1,"&lt;&gt;"),0,SUMIFS($J:$J,$B:$B,$B1485,$A:$A,"&gt;="&amp;COUNTIFS($K$1:K$1,"&lt;&gt;"))),0)</f>
        <v>8.9080459770114959E-2</v>
      </c>
      <c r="L1485">
        <f>IFERROR($J1485/IF($A1485&lt;COUNTIFS($K$1:L$1,"&lt;&gt;"),0,SUMIFS($J:$J,$B:$B,$B1485,$A:$A,"&gt;="&amp;COUNTIFS($K$1:L$1,"&lt;&gt;"))),0)</f>
        <v>0</v>
      </c>
      <c r="M1485">
        <f>IFERROR($J1485/IF($A1485&lt;COUNTIFS($K$1:M$1,"&lt;&gt;"),0,SUMIFS($J:$J,$B:$B,$B1485,$A:$A,"&gt;="&amp;COUNTIFS($K$1:M$1,"&lt;&gt;"))),0)</f>
        <v>0</v>
      </c>
      <c r="N1485">
        <f>IFERROR($J1485/IF($A1485&lt;COUNTIFS($K$1:N$1,"&lt;&gt;"),0,SUMIFS($J:$J,$B:$B,$B1485,$A:$A,"&gt;="&amp;COUNTIFS($K$1:N$1,"&lt;&gt;"))),0)</f>
        <v>0</v>
      </c>
      <c r="O1485">
        <f>IFERROR($J1485/IF($A1485&lt;COUNTIFS($K$1:O$1,"&lt;&gt;"),0,SUMIFS($J:$J,$B:$B,$B1485,$A:$A,"&gt;="&amp;COUNTIFS($K$1:O$1,"&lt;&gt;"))),0)</f>
        <v>0</v>
      </c>
      <c r="P1485">
        <f>IFERROR($J1485/IF($A1485&lt;COUNTIFS($K$1:P$1,"&lt;&gt;"),0,SUMIFS($J:$J,$B:$B,$B1485,$A:$A,"&gt;="&amp;COUNTIFS($K$1:P$1,"&lt;&gt;"))),0)</f>
        <v>0</v>
      </c>
      <c r="Q1485">
        <f>IFERROR($J1485/IF($A1485&lt;COUNTIFS($K$1:Q$1,"&lt;&gt;"),0,SUMIFS($J:$J,$B:$B,$B1485,$A:$A,"&gt;="&amp;COUNTIFS($K$1:Q$1,"&lt;&gt;"))),0)</f>
        <v>0</v>
      </c>
      <c r="R1485">
        <f>IFERROR($J1485/IF($A1485&lt;COUNTIFS($K$1:R$1,"&lt;&gt;"),0,SUMIFS($J:$J,$B:$B,$B1485,$A:$A,"&gt;="&amp;COUNTIFS($K$1:R$1,"&lt;&gt;"))),0)</f>
        <v>0</v>
      </c>
      <c r="S1485">
        <f>IFERROR($J1485/IF($A1485&lt;COUNTIFS($K$1:S$1,"&lt;&gt;"),0,SUMIFS($J:$J,$B:$B,$B1485,$A:$A,"&gt;="&amp;COUNTIFS($K$1:S$1,"&lt;&gt;"))),0)</f>
        <v>0</v>
      </c>
      <c r="T1485">
        <f>IFERROR($J1485/IF($A1485&lt;COUNTIFS($K$1:T$1,"&lt;&gt;"),0,SUMIFS($J:$J,$B:$B,$B1485,$A:$A,"&gt;="&amp;COUNTIFS($K$1:T$1,"&lt;&gt;"))),0)</f>
        <v>0</v>
      </c>
      <c r="U1485">
        <f>IFERROR($J1485/IF($A1485&lt;COUNTIFS($K$1:U$1,"&lt;&gt;"),0,SUMIFS($J:$J,$B:$B,$B1485,$A:$A,"&gt;="&amp;COUNTIFS($K$1:U$1,"&lt;&gt;"))),0)</f>
        <v>0</v>
      </c>
      <c r="V1485">
        <f>IFERROR($J1485/IF($A1485&lt;COUNTIFS($K$1:V$1,"&lt;&gt;"),0,SUMIFS($J:$J,$B:$B,$B1485,$A:$A,"&gt;="&amp;COUNTIFS($K$1:V$1,"&lt;&gt;"))),0)</f>
        <v>0</v>
      </c>
      <c r="W1485">
        <f t="shared" si="530"/>
        <v>8.4931506849315067E-2</v>
      </c>
      <c r="X1485">
        <f t="shared" si="510"/>
        <v>8.4931506849315067E-2</v>
      </c>
      <c r="Y1485">
        <f t="shared" si="511"/>
        <v>0</v>
      </c>
      <c r="Z1485">
        <f t="shared" si="512"/>
        <v>0</v>
      </c>
      <c r="AA1485">
        <f t="shared" si="513"/>
        <v>0</v>
      </c>
      <c r="AB1485">
        <f t="shared" si="514"/>
        <v>0</v>
      </c>
      <c r="AC1485">
        <f t="shared" si="515"/>
        <v>0</v>
      </c>
      <c r="AD1485">
        <f t="shared" si="516"/>
        <v>0</v>
      </c>
      <c r="AE1485">
        <f t="shared" si="517"/>
        <v>0</v>
      </c>
      <c r="AF1485">
        <f t="shared" si="518"/>
        <v>0</v>
      </c>
      <c r="AG1485">
        <f t="shared" si="519"/>
        <v>0</v>
      </c>
      <c r="AH1485">
        <f t="shared" si="520"/>
        <v>0</v>
      </c>
      <c r="AI1485">
        <f t="shared" si="521"/>
        <v>0</v>
      </c>
      <c r="AJ1485" s="2" t="str">
        <f t="shared" si="531"/>
        <v>147300</v>
      </c>
    </row>
    <row r="1486" spans="1:36" x14ac:dyDescent="0.25">
      <c r="A1486">
        <v>2</v>
      </c>
      <c r="B1486" s="1">
        <v>47300</v>
      </c>
      <c r="C1486" s="1">
        <f t="shared" si="522"/>
        <v>47362</v>
      </c>
      <c r="D1486" s="1">
        <f t="shared" si="523"/>
        <v>47314</v>
      </c>
      <c r="E1486" s="1">
        <f t="shared" si="524"/>
        <v>47362</v>
      </c>
      <c r="F1486" s="1">
        <f t="shared" si="525"/>
        <v>47392</v>
      </c>
      <c r="G1486" s="1">
        <f t="shared" si="526"/>
        <v>47679</v>
      </c>
      <c r="H1486">
        <f t="shared" si="527"/>
        <v>365</v>
      </c>
      <c r="I1486">
        <f t="shared" si="528"/>
        <v>30</v>
      </c>
      <c r="J1486">
        <f t="shared" si="529"/>
        <v>8.2191780821917804E-2</v>
      </c>
      <c r="K1486">
        <f>IFERROR($J1486/IF($A1486&lt;COUNTIFS($K$1:K$1,"&lt;&gt;"),0,SUMIFS($J:$J,$B:$B,$B1486,$A:$A,"&gt;="&amp;COUNTIFS($K$1:K$1,"&lt;&gt;"))),0)</f>
        <v>8.6206896551724144E-2</v>
      </c>
      <c r="L1486">
        <f>IFERROR($J1486/IF($A1486&lt;COUNTIFS($K$1:L$1,"&lt;&gt;"),0,SUMIFS($J:$J,$B:$B,$B1486,$A:$A,"&gt;="&amp;COUNTIFS($K$1:L$1,"&lt;&gt;"))),0)</f>
        <v>9.4637223974763415E-2</v>
      </c>
      <c r="M1486">
        <f>IFERROR($J1486/IF($A1486&lt;COUNTIFS($K$1:M$1,"&lt;&gt;"),0,SUMIFS($J:$J,$B:$B,$B1486,$A:$A,"&gt;="&amp;COUNTIFS($K$1:M$1,"&lt;&gt;"))),0)</f>
        <v>0</v>
      </c>
      <c r="N1486">
        <f>IFERROR($J1486/IF($A1486&lt;COUNTIFS($K$1:N$1,"&lt;&gt;"),0,SUMIFS($J:$J,$B:$B,$B1486,$A:$A,"&gt;="&amp;COUNTIFS($K$1:N$1,"&lt;&gt;"))),0)</f>
        <v>0</v>
      </c>
      <c r="O1486">
        <f>IFERROR($J1486/IF($A1486&lt;COUNTIFS($K$1:O$1,"&lt;&gt;"),0,SUMIFS($J:$J,$B:$B,$B1486,$A:$A,"&gt;="&amp;COUNTIFS($K$1:O$1,"&lt;&gt;"))),0)</f>
        <v>0</v>
      </c>
      <c r="P1486">
        <f>IFERROR($J1486/IF($A1486&lt;COUNTIFS($K$1:P$1,"&lt;&gt;"),0,SUMIFS($J:$J,$B:$B,$B1486,$A:$A,"&gt;="&amp;COUNTIFS($K$1:P$1,"&lt;&gt;"))),0)</f>
        <v>0</v>
      </c>
      <c r="Q1486">
        <f>IFERROR($J1486/IF($A1486&lt;COUNTIFS($K$1:Q$1,"&lt;&gt;"),0,SUMIFS($J:$J,$B:$B,$B1486,$A:$A,"&gt;="&amp;COUNTIFS($K$1:Q$1,"&lt;&gt;"))),0)</f>
        <v>0</v>
      </c>
      <c r="R1486">
        <f>IFERROR($J1486/IF($A1486&lt;COUNTIFS($K$1:R$1,"&lt;&gt;"),0,SUMIFS($J:$J,$B:$B,$B1486,$A:$A,"&gt;="&amp;COUNTIFS($K$1:R$1,"&lt;&gt;"))),0)</f>
        <v>0</v>
      </c>
      <c r="S1486">
        <f>IFERROR($J1486/IF($A1486&lt;COUNTIFS($K$1:S$1,"&lt;&gt;"),0,SUMIFS($J:$J,$B:$B,$B1486,$A:$A,"&gt;="&amp;COUNTIFS($K$1:S$1,"&lt;&gt;"))),0)</f>
        <v>0</v>
      </c>
      <c r="T1486">
        <f>IFERROR($J1486/IF($A1486&lt;COUNTIFS($K$1:T$1,"&lt;&gt;"),0,SUMIFS($J:$J,$B:$B,$B1486,$A:$A,"&gt;="&amp;COUNTIFS($K$1:T$1,"&lt;&gt;"))),0)</f>
        <v>0</v>
      </c>
      <c r="U1486">
        <f>IFERROR($J1486/IF($A1486&lt;COUNTIFS($K$1:U$1,"&lt;&gt;"),0,SUMIFS($J:$J,$B:$B,$B1486,$A:$A,"&gt;="&amp;COUNTIFS($K$1:U$1,"&lt;&gt;"))),0)</f>
        <v>0</v>
      </c>
      <c r="V1486">
        <f>IFERROR($J1486/IF($A1486&lt;COUNTIFS($K$1:V$1,"&lt;&gt;"),0,SUMIFS($J:$J,$B:$B,$B1486,$A:$A,"&gt;="&amp;COUNTIFS($K$1:V$1,"&lt;&gt;"))),0)</f>
        <v>0</v>
      </c>
      <c r="W1486">
        <f t="shared" si="530"/>
        <v>8.2191780821917804E-2</v>
      </c>
      <c r="X1486">
        <f t="shared" si="510"/>
        <v>8.2191780821917804E-2</v>
      </c>
      <c r="Y1486">
        <f t="shared" si="511"/>
        <v>8.2191780821917804E-2</v>
      </c>
      <c r="Z1486">
        <f t="shared" si="512"/>
        <v>0</v>
      </c>
      <c r="AA1486">
        <f t="shared" si="513"/>
        <v>0</v>
      </c>
      <c r="AB1486">
        <f t="shared" si="514"/>
        <v>0</v>
      </c>
      <c r="AC1486">
        <f t="shared" si="515"/>
        <v>0</v>
      </c>
      <c r="AD1486">
        <f t="shared" si="516"/>
        <v>0</v>
      </c>
      <c r="AE1486">
        <f t="shared" si="517"/>
        <v>0</v>
      </c>
      <c r="AF1486">
        <f t="shared" si="518"/>
        <v>0</v>
      </c>
      <c r="AG1486">
        <f t="shared" si="519"/>
        <v>0</v>
      </c>
      <c r="AH1486">
        <f t="shared" si="520"/>
        <v>0</v>
      </c>
      <c r="AI1486">
        <f t="shared" si="521"/>
        <v>0</v>
      </c>
      <c r="AJ1486" s="2" t="str">
        <f t="shared" si="531"/>
        <v>247300</v>
      </c>
    </row>
    <row r="1487" spans="1:36" x14ac:dyDescent="0.25">
      <c r="A1487">
        <v>3</v>
      </c>
      <c r="B1487" s="1">
        <v>47300</v>
      </c>
      <c r="C1487" s="1">
        <f t="shared" si="522"/>
        <v>47392</v>
      </c>
      <c r="D1487" s="1">
        <f t="shared" si="523"/>
        <v>47314</v>
      </c>
      <c r="E1487" s="1">
        <f t="shared" si="524"/>
        <v>47392</v>
      </c>
      <c r="F1487" s="1">
        <f t="shared" si="525"/>
        <v>47423</v>
      </c>
      <c r="G1487" s="1">
        <f t="shared" si="526"/>
        <v>47679</v>
      </c>
      <c r="H1487">
        <f t="shared" si="527"/>
        <v>365</v>
      </c>
      <c r="I1487">
        <f t="shared" si="528"/>
        <v>31</v>
      </c>
      <c r="J1487">
        <f t="shared" si="529"/>
        <v>8.4931506849315067E-2</v>
      </c>
      <c r="K1487">
        <f>IFERROR($J1487/IF($A1487&lt;COUNTIFS($K$1:K$1,"&lt;&gt;"),0,SUMIFS($J:$J,$B:$B,$B1487,$A:$A,"&gt;="&amp;COUNTIFS($K$1:K$1,"&lt;&gt;"))),0)</f>
        <v>8.9080459770114959E-2</v>
      </c>
      <c r="L1487">
        <f>IFERROR($J1487/IF($A1487&lt;COUNTIFS($K$1:L$1,"&lt;&gt;"),0,SUMIFS($J:$J,$B:$B,$B1487,$A:$A,"&gt;="&amp;COUNTIFS($K$1:L$1,"&lt;&gt;"))),0)</f>
        <v>9.7791798107255537E-2</v>
      </c>
      <c r="M1487">
        <f>IFERROR($J1487/IF($A1487&lt;COUNTIFS($K$1:M$1,"&lt;&gt;"),0,SUMIFS($J:$J,$B:$B,$B1487,$A:$A,"&gt;="&amp;COUNTIFS($K$1:M$1,"&lt;&gt;"))),0)</f>
        <v>0.10801393728222998</v>
      </c>
      <c r="N1487">
        <f>IFERROR($J1487/IF($A1487&lt;COUNTIFS($K$1:N$1,"&lt;&gt;"),0,SUMIFS($J:$J,$B:$B,$B1487,$A:$A,"&gt;="&amp;COUNTIFS($K$1:N$1,"&lt;&gt;"))),0)</f>
        <v>0</v>
      </c>
      <c r="O1487">
        <f>IFERROR($J1487/IF($A1487&lt;COUNTIFS($K$1:O$1,"&lt;&gt;"),0,SUMIFS($J:$J,$B:$B,$B1487,$A:$A,"&gt;="&amp;COUNTIFS($K$1:O$1,"&lt;&gt;"))),0)</f>
        <v>0</v>
      </c>
      <c r="P1487">
        <f>IFERROR($J1487/IF($A1487&lt;COUNTIFS($K$1:P$1,"&lt;&gt;"),0,SUMIFS($J:$J,$B:$B,$B1487,$A:$A,"&gt;="&amp;COUNTIFS($K$1:P$1,"&lt;&gt;"))),0)</f>
        <v>0</v>
      </c>
      <c r="Q1487">
        <f>IFERROR($J1487/IF($A1487&lt;COUNTIFS($K$1:Q$1,"&lt;&gt;"),0,SUMIFS($J:$J,$B:$B,$B1487,$A:$A,"&gt;="&amp;COUNTIFS($K$1:Q$1,"&lt;&gt;"))),0)</f>
        <v>0</v>
      </c>
      <c r="R1487">
        <f>IFERROR($J1487/IF($A1487&lt;COUNTIFS($K$1:R$1,"&lt;&gt;"),0,SUMIFS($J:$J,$B:$B,$B1487,$A:$A,"&gt;="&amp;COUNTIFS($K$1:R$1,"&lt;&gt;"))),0)</f>
        <v>0</v>
      </c>
      <c r="S1487">
        <f>IFERROR($J1487/IF($A1487&lt;COUNTIFS($K$1:S$1,"&lt;&gt;"),0,SUMIFS($J:$J,$B:$B,$B1487,$A:$A,"&gt;="&amp;COUNTIFS($K$1:S$1,"&lt;&gt;"))),0)</f>
        <v>0</v>
      </c>
      <c r="T1487">
        <f>IFERROR($J1487/IF($A1487&lt;COUNTIFS($K$1:T$1,"&lt;&gt;"),0,SUMIFS($J:$J,$B:$B,$B1487,$A:$A,"&gt;="&amp;COUNTIFS($K$1:T$1,"&lt;&gt;"))),0)</f>
        <v>0</v>
      </c>
      <c r="U1487">
        <f>IFERROR($J1487/IF($A1487&lt;COUNTIFS($K$1:U$1,"&lt;&gt;"),0,SUMIFS($J:$J,$B:$B,$B1487,$A:$A,"&gt;="&amp;COUNTIFS($K$1:U$1,"&lt;&gt;"))),0)</f>
        <v>0</v>
      </c>
      <c r="V1487">
        <f>IFERROR($J1487/IF($A1487&lt;COUNTIFS($K$1:V$1,"&lt;&gt;"),0,SUMIFS($J:$J,$B:$B,$B1487,$A:$A,"&gt;="&amp;COUNTIFS($K$1:V$1,"&lt;&gt;"))),0)</f>
        <v>0</v>
      </c>
      <c r="W1487">
        <f t="shared" si="530"/>
        <v>8.4931506849315067E-2</v>
      </c>
      <c r="X1487">
        <f t="shared" si="510"/>
        <v>8.4931506849315067E-2</v>
      </c>
      <c r="Y1487">
        <f t="shared" si="511"/>
        <v>8.4931506849315067E-2</v>
      </c>
      <c r="Z1487">
        <f t="shared" si="512"/>
        <v>8.4931506849315067E-2</v>
      </c>
      <c r="AA1487">
        <f t="shared" si="513"/>
        <v>0</v>
      </c>
      <c r="AB1487">
        <f t="shared" si="514"/>
        <v>0</v>
      </c>
      <c r="AC1487">
        <f t="shared" si="515"/>
        <v>0</v>
      </c>
      <c r="AD1487">
        <f t="shared" si="516"/>
        <v>0</v>
      </c>
      <c r="AE1487">
        <f t="shared" si="517"/>
        <v>0</v>
      </c>
      <c r="AF1487">
        <f t="shared" si="518"/>
        <v>0</v>
      </c>
      <c r="AG1487">
        <f t="shared" si="519"/>
        <v>0</v>
      </c>
      <c r="AH1487">
        <f t="shared" si="520"/>
        <v>0</v>
      </c>
      <c r="AI1487">
        <f t="shared" si="521"/>
        <v>0</v>
      </c>
      <c r="AJ1487" s="2" t="str">
        <f t="shared" si="531"/>
        <v>347300</v>
      </c>
    </row>
    <row r="1488" spans="1:36" x14ac:dyDescent="0.25">
      <c r="A1488">
        <v>4</v>
      </c>
      <c r="B1488" s="1">
        <v>47300</v>
      </c>
      <c r="C1488" s="1">
        <f t="shared" si="522"/>
        <v>47423</v>
      </c>
      <c r="D1488" s="1">
        <f t="shared" si="523"/>
        <v>47314</v>
      </c>
      <c r="E1488" s="1">
        <f t="shared" si="524"/>
        <v>47423</v>
      </c>
      <c r="F1488" s="1">
        <f t="shared" si="525"/>
        <v>47453</v>
      </c>
      <c r="G1488" s="1">
        <f t="shared" si="526"/>
        <v>47679</v>
      </c>
      <c r="H1488">
        <f t="shared" si="527"/>
        <v>365</v>
      </c>
      <c r="I1488">
        <f t="shared" si="528"/>
        <v>30</v>
      </c>
      <c r="J1488">
        <f t="shared" si="529"/>
        <v>8.2191780821917804E-2</v>
      </c>
      <c r="K1488">
        <f>IFERROR($J1488/IF($A1488&lt;COUNTIFS($K$1:K$1,"&lt;&gt;"),0,SUMIFS($J:$J,$B:$B,$B1488,$A:$A,"&gt;="&amp;COUNTIFS($K$1:K$1,"&lt;&gt;"))),0)</f>
        <v>8.6206896551724144E-2</v>
      </c>
      <c r="L1488">
        <f>IFERROR($J1488/IF($A1488&lt;COUNTIFS($K$1:L$1,"&lt;&gt;"),0,SUMIFS($J:$J,$B:$B,$B1488,$A:$A,"&gt;="&amp;COUNTIFS($K$1:L$1,"&lt;&gt;"))),0)</f>
        <v>9.4637223974763415E-2</v>
      </c>
      <c r="M1488">
        <f>IFERROR($J1488/IF($A1488&lt;COUNTIFS($K$1:M$1,"&lt;&gt;"),0,SUMIFS($J:$J,$B:$B,$B1488,$A:$A,"&gt;="&amp;COUNTIFS($K$1:M$1,"&lt;&gt;"))),0)</f>
        <v>0.10452961672473869</v>
      </c>
      <c r="N1488">
        <f>IFERROR($J1488/IF($A1488&lt;COUNTIFS($K$1:N$1,"&lt;&gt;"),0,SUMIFS($J:$J,$B:$B,$B1488,$A:$A,"&gt;="&amp;COUNTIFS($K$1:N$1,"&lt;&gt;"))),0)</f>
        <v>0.11718750000000001</v>
      </c>
      <c r="O1488">
        <f>IFERROR($J1488/IF($A1488&lt;COUNTIFS($K$1:O$1,"&lt;&gt;"),0,SUMIFS($J:$J,$B:$B,$B1488,$A:$A,"&gt;="&amp;COUNTIFS($K$1:O$1,"&lt;&gt;"))),0)</f>
        <v>0</v>
      </c>
      <c r="P1488">
        <f>IFERROR($J1488/IF($A1488&lt;COUNTIFS($K$1:P$1,"&lt;&gt;"),0,SUMIFS($J:$J,$B:$B,$B1488,$A:$A,"&gt;="&amp;COUNTIFS($K$1:P$1,"&lt;&gt;"))),0)</f>
        <v>0</v>
      </c>
      <c r="Q1488">
        <f>IFERROR($J1488/IF($A1488&lt;COUNTIFS($K$1:Q$1,"&lt;&gt;"),0,SUMIFS($J:$J,$B:$B,$B1488,$A:$A,"&gt;="&amp;COUNTIFS($K$1:Q$1,"&lt;&gt;"))),0)</f>
        <v>0</v>
      </c>
      <c r="R1488">
        <f>IFERROR($J1488/IF($A1488&lt;COUNTIFS($K$1:R$1,"&lt;&gt;"),0,SUMIFS($J:$J,$B:$B,$B1488,$A:$A,"&gt;="&amp;COUNTIFS($K$1:R$1,"&lt;&gt;"))),0)</f>
        <v>0</v>
      </c>
      <c r="S1488">
        <f>IFERROR($J1488/IF($A1488&lt;COUNTIFS($K$1:S$1,"&lt;&gt;"),0,SUMIFS($J:$J,$B:$B,$B1488,$A:$A,"&gt;="&amp;COUNTIFS($K$1:S$1,"&lt;&gt;"))),0)</f>
        <v>0</v>
      </c>
      <c r="T1488">
        <f>IFERROR($J1488/IF($A1488&lt;COUNTIFS($K$1:T$1,"&lt;&gt;"),0,SUMIFS($J:$J,$B:$B,$B1488,$A:$A,"&gt;="&amp;COUNTIFS($K$1:T$1,"&lt;&gt;"))),0)</f>
        <v>0</v>
      </c>
      <c r="U1488">
        <f>IFERROR($J1488/IF($A1488&lt;COUNTIFS($K$1:U$1,"&lt;&gt;"),0,SUMIFS($J:$J,$B:$B,$B1488,$A:$A,"&gt;="&amp;COUNTIFS($K$1:U$1,"&lt;&gt;"))),0)</f>
        <v>0</v>
      </c>
      <c r="V1488">
        <f>IFERROR($J1488/IF($A1488&lt;COUNTIFS($K$1:V$1,"&lt;&gt;"),0,SUMIFS($J:$J,$B:$B,$B1488,$A:$A,"&gt;="&amp;COUNTIFS($K$1:V$1,"&lt;&gt;"))),0)</f>
        <v>0</v>
      </c>
      <c r="W1488">
        <f t="shared" si="530"/>
        <v>8.2191780821917804E-2</v>
      </c>
      <c r="X1488">
        <f t="shared" si="510"/>
        <v>8.2191780821917804E-2</v>
      </c>
      <c r="Y1488">
        <f t="shared" si="511"/>
        <v>8.2191780821917804E-2</v>
      </c>
      <c r="Z1488">
        <f t="shared" si="512"/>
        <v>8.2191780821917804E-2</v>
      </c>
      <c r="AA1488">
        <f t="shared" si="513"/>
        <v>8.2191780821917804E-2</v>
      </c>
      <c r="AB1488">
        <f t="shared" si="514"/>
        <v>0</v>
      </c>
      <c r="AC1488">
        <f t="shared" si="515"/>
        <v>0</v>
      </c>
      <c r="AD1488">
        <f t="shared" si="516"/>
        <v>0</v>
      </c>
      <c r="AE1488">
        <f t="shared" si="517"/>
        <v>0</v>
      </c>
      <c r="AF1488">
        <f t="shared" si="518"/>
        <v>0</v>
      </c>
      <c r="AG1488">
        <f t="shared" si="519"/>
        <v>0</v>
      </c>
      <c r="AH1488">
        <f t="shared" si="520"/>
        <v>0</v>
      </c>
      <c r="AI1488">
        <f t="shared" si="521"/>
        <v>0</v>
      </c>
      <c r="AJ1488" s="2" t="str">
        <f t="shared" si="531"/>
        <v>447300</v>
      </c>
    </row>
    <row r="1489" spans="1:36" x14ac:dyDescent="0.25">
      <c r="A1489">
        <v>5</v>
      </c>
      <c r="B1489" s="1">
        <v>47300</v>
      </c>
      <c r="C1489" s="1">
        <f t="shared" si="522"/>
        <v>47453</v>
      </c>
      <c r="D1489" s="1">
        <f t="shared" si="523"/>
        <v>47314</v>
      </c>
      <c r="E1489" s="1">
        <f t="shared" si="524"/>
        <v>47453</v>
      </c>
      <c r="F1489" s="1">
        <f t="shared" si="525"/>
        <v>47484</v>
      </c>
      <c r="G1489" s="1">
        <f t="shared" si="526"/>
        <v>47679</v>
      </c>
      <c r="H1489">
        <f t="shared" si="527"/>
        <v>365</v>
      </c>
      <c r="I1489">
        <f t="shared" si="528"/>
        <v>31</v>
      </c>
      <c r="J1489">
        <f t="shared" si="529"/>
        <v>8.4931506849315067E-2</v>
      </c>
      <c r="K1489">
        <f>IFERROR($J1489/IF($A1489&lt;COUNTIFS($K$1:K$1,"&lt;&gt;"),0,SUMIFS($J:$J,$B:$B,$B1489,$A:$A,"&gt;="&amp;COUNTIFS($K$1:K$1,"&lt;&gt;"))),0)</f>
        <v>8.9080459770114959E-2</v>
      </c>
      <c r="L1489">
        <f>IFERROR($J1489/IF($A1489&lt;COUNTIFS($K$1:L$1,"&lt;&gt;"),0,SUMIFS($J:$J,$B:$B,$B1489,$A:$A,"&gt;="&amp;COUNTIFS($K$1:L$1,"&lt;&gt;"))),0)</f>
        <v>9.7791798107255537E-2</v>
      </c>
      <c r="M1489">
        <f>IFERROR($J1489/IF($A1489&lt;COUNTIFS($K$1:M$1,"&lt;&gt;"),0,SUMIFS($J:$J,$B:$B,$B1489,$A:$A,"&gt;="&amp;COUNTIFS($K$1:M$1,"&lt;&gt;"))),0)</f>
        <v>0.10801393728222998</v>
      </c>
      <c r="N1489">
        <f>IFERROR($J1489/IF($A1489&lt;COUNTIFS($K$1:N$1,"&lt;&gt;"),0,SUMIFS($J:$J,$B:$B,$B1489,$A:$A,"&gt;="&amp;COUNTIFS($K$1:N$1,"&lt;&gt;"))),0)</f>
        <v>0.12109375000000001</v>
      </c>
      <c r="O1489">
        <f>IFERROR($J1489/IF($A1489&lt;COUNTIFS($K$1:O$1,"&lt;&gt;"),0,SUMIFS($J:$J,$B:$B,$B1489,$A:$A,"&gt;="&amp;COUNTIFS($K$1:O$1,"&lt;&gt;"))),0)</f>
        <v>0.13716814159292037</v>
      </c>
      <c r="P1489">
        <f>IFERROR($J1489/IF($A1489&lt;COUNTIFS($K$1:P$1,"&lt;&gt;"),0,SUMIFS($J:$J,$B:$B,$B1489,$A:$A,"&gt;="&amp;COUNTIFS($K$1:P$1,"&lt;&gt;"))),0)</f>
        <v>0</v>
      </c>
      <c r="Q1489">
        <f>IFERROR($J1489/IF($A1489&lt;COUNTIFS($K$1:Q$1,"&lt;&gt;"),0,SUMIFS($J:$J,$B:$B,$B1489,$A:$A,"&gt;="&amp;COUNTIFS($K$1:Q$1,"&lt;&gt;"))),0)</f>
        <v>0</v>
      </c>
      <c r="R1489">
        <f>IFERROR($J1489/IF($A1489&lt;COUNTIFS($K$1:R$1,"&lt;&gt;"),0,SUMIFS($J:$J,$B:$B,$B1489,$A:$A,"&gt;="&amp;COUNTIFS($K$1:R$1,"&lt;&gt;"))),0)</f>
        <v>0</v>
      </c>
      <c r="S1489">
        <f>IFERROR($J1489/IF($A1489&lt;COUNTIFS($K$1:S$1,"&lt;&gt;"),0,SUMIFS($J:$J,$B:$B,$B1489,$A:$A,"&gt;="&amp;COUNTIFS($K$1:S$1,"&lt;&gt;"))),0)</f>
        <v>0</v>
      </c>
      <c r="T1489">
        <f>IFERROR($J1489/IF($A1489&lt;COUNTIFS($K$1:T$1,"&lt;&gt;"),0,SUMIFS($J:$J,$B:$B,$B1489,$A:$A,"&gt;="&amp;COUNTIFS($K$1:T$1,"&lt;&gt;"))),0)</f>
        <v>0</v>
      </c>
      <c r="U1489">
        <f>IFERROR($J1489/IF($A1489&lt;COUNTIFS($K$1:U$1,"&lt;&gt;"),0,SUMIFS($J:$J,$B:$B,$B1489,$A:$A,"&gt;="&amp;COUNTIFS($K$1:U$1,"&lt;&gt;"))),0)</f>
        <v>0</v>
      </c>
      <c r="V1489">
        <f>IFERROR($J1489/IF($A1489&lt;COUNTIFS($K$1:V$1,"&lt;&gt;"),0,SUMIFS($J:$J,$B:$B,$B1489,$A:$A,"&gt;="&amp;COUNTIFS($K$1:V$1,"&lt;&gt;"))),0)</f>
        <v>0</v>
      </c>
      <c r="W1489">
        <f t="shared" si="530"/>
        <v>8.4931506849315067E-2</v>
      </c>
      <c r="X1489">
        <f t="shared" si="510"/>
        <v>8.4931506849315067E-2</v>
      </c>
      <c r="Y1489">
        <f t="shared" si="511"/>
        <v>8.4931506849315067E-2</v>
      </c>
      <c r="Z1489">
        <f t="shared" si="512"/>
        <v>8.4931506849315067E-2</v>
      </c>
      <c r="AA1489">
        <f t="shared" si="513"/>
        <v>8.4931506849315067E-2</v>
      </c>
      <c r="AB1489">
        <f t="shared" si="514"/>
        <v>8.4931506849315067E-2</v>
      </c>
      <c r="AC1489">
        <f t="shared" si="515"/>
        <v>0</v>
      </c>
      <c r="AD1489">
        <f t="shared" si="516"/>
        <v>0</v>
      </c>
      <c r="AE1489">
        <f t="shared" si="517"/>
        <v>0</v>
      </c>
      <c r="AF1489">
        <f t="shared" si="518"/>
        <v>0</v>
      </c>
      <c r="AG1489">
        <f t="shared" si="519"/>
        <v>0</v>
      </c>
      <c r="AH1489">
        <f t="shared" si="520"/>
        <v>0</v>
      </c>
      <c r="AI1489">
        <f t="shared" si="521"/>
        <v>0</v>
      </c>
      <c r="AJ1489" s="2" t="str">
        <f t="shared" si="531"/>
        <v>547300</v>
      </c>
    </row>
    <row r="1490" spans="1:36" x14ac:dyDescent="0.25">
      <c r="A1490">
        <v>6</v>
      </c>
      <c r="B1490" s="1">
        <v>47300</v>
      </c>
      <c r="C1490" s="1">
        <f t="shared" si="522"/>
        <v>47484</v>
      </c>
      <c r="D1490" s="1">
        <f t="shared" si="523"/>
        <v>47314</v>
      </c>
      <c r="E1490" s="1">
        <f t="shared" si="524"/>
        <v>47484</v>
      </c>
      <c r="F1490" s="1">
        <f t="shared" si="525"/>
        <v>47515</v>
      </c>
      <c r="G1490" s="1">
        <f t="shared" si="526"/>
        <v>47679</v>
      </c>
      <c r="H1490">
        <f t="shared" si="527"/>
        <v>365</v>
      </c>
      <c r="I1490">
        <f t="shared" si="528"/>
        <v>31</v>
      </c>
      <c r="J1490">
        <f t="shared" si="529"/>
        <v>8.4931506849315067E-2</v>
      </c>
      <c r="K1490">
        <f>IFERROR($J1490/IF($A1490&lt;COUNTIFS($K$1:K$1,"&lt;&gt;"),0,SUMIFS($J:$J,$B:$B,$B1490,$A:$A,"&gt;="&amp;COUNTIFS($K$1:K$1,"&lt;&gt;"))),0)</f>
        <v>8.9080459770114959E-2</v>
      </c>
      <c r="L1490">
        <f>IFERROR($J1490/IF($A1490&lt;COUNTIFS($K$1:L$1,"&lt;&gt;"),0,SUMIFS($J:$J,$B:$B,$B1490,$A:$A,"&gt;="&amp;COUNTIFS($K$1:L$1,"&lt;&gt;"))),0)</f>
        <v>9.7791798107255537E-2</v>
      </c>
      <c r="M1490">
        <f>IFERROR($J1490/IF($A1490&lt;COUNTIFS($K$1:M$1,"&lt;&gt;"),0,SUMIFS($J:$J,$B:$B,$B1490,$A:$A,"&gt;="&amp;COUNTIFS($K$1:M$1,"&lt;&gt;"))),0)</f>
        <v>0.10801393728222998</v>
      </c>
      <c r="N1490">
        <f>IFERROR($J1490/IF($A1490&lt;COUNTIFS($K$1:N$1,"&lt;&gt;"),0,SUMIFS($J:$J,$B:$B,$B1490,$A:$A,"&gt;="&amp;COUNTIFS($K$1:N$1,"&lt;&gt;"))),0)</f>
        <v>0.12109375000000001</v>
      </c>
      <c r="O1490">
        <f>IFERROR($J1490/IF($A1490&lt;COUNTIFS($K$1:O$1,"&lt;&gt;"),0,SUMIFS($J:$J,$B:$B,$B1490,$A:$A,"&gt;="&amp;COUNTIFS($K$1:O$1,"&lt;&gt;"))),0)</f>
        <v>0.13716814159292037</v>
      </c>
      <c r="P1490">
        <f>IFERROR($J1490/IF($A1490&lt;COUNTIFS($K$1:P$1,"&lt;&gt;"),0,SUMIFS($J:$J,$B:$B,$B1490,$A:$A,"&gt;="&amp;COUNTIFS($K$1:P$1,"&lt;&gt;"))),0)</f>
        <v>0.15897435897435899</v>
      </c>
      <c r="Q1490">
        <f>IFERROR($J1490/IF($A1490&lt;COUNTIFS($K$1:Q$1,"&lt;&gt;"),0,SUMIFS($J:$J,$B:$B,$B1490,$A:$A,"&gt;="&amp;COUNTIFS($K$1:Q$1,"&lt;&gt;"))),0)</f>
        <v>0</v>
      </c>
      <c r="R1490">
        <f>IFERROR($J1490/IF($A1490&lt;COUNTIFS($K$1:R$1,"&lt;&gt;"),0,SUMIFS($J:$J,$B:$B,$B1490,$A:$A,"&gt;="&amp;COUNTIFS($K$1:R$1,"&lt;&gt;"))),0)</f>
        <v>0</v>
      </c>
      <c r="S1490">
        <f>IFERROR($J1490/IF($A1490&lt;COUNTIFS($K$1:S$1,"&lt;&gt;"),0,SUMIFS($J:$J,$B:$B,$B1490,$A:$A,"&gt;="&amp;COUNTIFS($K$1:S$1,"&lt;&gt;"))),0)</f>
        <v>0</v>
      </c>
      <c r="T1490">
        <f>IFERROR($J1490/IF($A1490&lt;COUNTIFS($K$1:T$1,"&lt;&gt;"),0,SUMIFS($J:$J,$B:$B,$B1490,$A:$A,"&gt;="&amp;COUNTIFS($K$1:T$1,"&lt;&gt;"))),0)</f>
        <v>0</v>
      </c>
      <c r="U1490">
        <f>IFERROR($J1490/IF($A1490&lt;COUNTIFS($K$1:U$1,"&lt;&gt;"),0,SUMIFS($J:$J,$B:$B,$B1490,$A:$A,"&gt;="&amp;COUNTIFS($K$1:U$1,"&lt;&gt;"))),0)</f>
        <v>0</v>
      </c>
      <c r="V1490">
        <f>IFERROR($J1490/IF($A1490&lt;COUNTIFS($K$1:V$1,"&lt;&gt;"),0,SUMIFS($J:$J,$B:$B,$B1490,$A:$A,"&gt;="&amp;COUNTIFS($K$1:V$1,"&lt;&gt;"))),0)</f>
        <v>0</v>
      </c>
      <c r="W1490">
        <f t="shared" si="530"/>
        <v>8.4931506849315067E-2</v>
      </c>
      <c r="X1490">
        <f t="shared" si="510"/>
        <v>8.4931506849315067E-2</v>
      </c>
      <c r="Y1490">
        <f t="shared" si="511"/>
        <v>8.4931506849315067E-2</v>
      </c>
      <c r="Z1490">
        <f t="shared" si="512"/>
        <v>8.4931506849315067E-2</v>
      </c>
      <c r="AA1490">
        <f t="shared" si="513"/>
        <v>8.4931506849315067E-2</v>
      </c>
      <c r="AB1490">
        <f t="shared" si="514"/>
        <v>8.4931506849315067E-2</v>
      </c>
      <c r="AC1490">
        <f t="shared" si="515"/>
        <v>8.4931506849315067E-2</v>
      </c>
      <c r="AD1490">
        <f t="shared" si="516"/>
        <v>0</v>
      </c>
      <c r="AE1490">
        <f t="shared" si="517"/>
        <v>0</v>
      </c>
      <c r="AF1490">
        <f t="shared" si="518"/>
        <v>0</v>
      </c>
      <c r="AG1490">
        <f t="shared" si="519"/>
        <v>0</v>
      </c>
      <c r="AH1490">
        <f t="shared" si="520"/>
        <v>0</v>
      </c>
      <c r="AI1490">
        <f t="shared" si="521"/>
        <v>0</v>
      </c>
      <c r="AJ1490" s="2" t="str">
        <f t="shared" si="531"/>
        <v>647300</v>
      </c>
    </row>
    <row r="1491" spans="1:36" x14ac:dyDescent="0.25">
      <c r="A1491">
        <v>7</v>
      </c>
      <c r="B1491" s="1">
        <v>47300</v>
      </c>
      <c r="C1491" s="1">
        <f t="shared" si="522"/>
        <v>47515</v>
      </c>
      <c r="D1491" s="1">
        <f t="shared" si="523"/>
        <v>47314</v>
      </c>
      <c r="E1491" s="1">
        <f t="shared" si="524"/>
        <v>47515</v>
      </c>
      <c r="F1491" s="1">
        <f t="shared" si="525"/>
        <v>47543</v>
      </c>
      <c r="G1491" s="1">
        <f t="shared" si="526"/>
        <v>47679</v>
      </c>
      <c r="H1491">
        <f t="shared" si="527"/>
        <v>365</v>
      </c>
      <c r="I1491">
        <f t="shared" si="528"/>
        <v>28</v>
      </c>
      <c r="J1491">
        <f t="shared" si="529"/>
        <v>7.6712328767123292E-2</v>
      </c>
      <c r="K1491">
        <f>IFERROR($J1491/IF($A1491&lt;COUNTIFS($K$1:K$1,"&lt;&gt;"),0,SUMIFS($J:$J,$B:$B,$B1491,$A:$A,"&gt;="&amp;COUNTIFS($K$1:K$1,"&lt;&gt;"))),0)</f>
        <v>8.0459770114942541E-2</v>
      </c>
      <c r="L1491">
        <f>IFERROR($J1491/IF($A1491&lt;COUNTIFS($K$1:L$1,"&lt;&gt;"),0,SUMIFS($J:$J,$B:$B,$B1491,$A:$A,"&gt;="&amp;COUNTIFS($K$1:L$1,"&lt;&gt;"))),0)</f>
        <v>8.83280757097792E-2</v>
      </c>
      <c r="M1491">
        <f>IFERROR($J1491/IF($A1491&lt;COUNTIFS($K$1:M$1,"&lt;&gt;"),0,SUMIFS($J:$J,$B:$B,$B1491,$A:$A,"&gt;="&amp;COUNTIFS($K$1:M$1,"&lt;&gt;"))),0)</f>
        <v>9.7560975609756115E-2</v>
      </c>
      <c r="N1491">
        <f>IFERROR($J1491/IF($A1491&lt;COUNTIFS($K$1:N$1,"&lt;&gt;"),0,SUMIFS($J:$J,$B:$B,$B1491,$A:$A,"&gt;="&amp;COUNTIFS($K$1:N$1,"&lt;&gt;"))),0)</f>
        <v>0.10937500000000003</v>
      </c>
      <c r="O1491">
        <f>IFERROR($J1491/IF($A1491&lt;COUNTIFS($K$1:O$1,"&lt;&gt;"),0,SUMIFS($J:$J,$B:$B,$B1491,$A:$A,"&gt;="&amp;COUNTIFS($K$1:O$1,"&lt;&gt;"))),0)</f>
        <v>0.12389380530973454</v>
      </c>
      <c r="P1491">
        <f>IFERROR($J1491/IF($A1491&lt;COUNTIFS($K$1:P$1,"&lt;&gt;"),0,SUMIFS($J:$J,$B:$B,$B1491,$A:$A,"&gt;="&amp;COUNTIFS($K$1:P$1,"&lt;&gt;"))),0)</f>
        <v>0.14358974358974361</v>
      </c>
      <c r="Q1491">
        <f>IFERROR($J1491/IF($A1491&lt;COUNTIFS($K$1:Q$1,"&lt;&gt;"),0,SUMIFS($J:$J,$B:$B,$B1491,$A:$A,"&gt;="&amp;COUNTIFS($K$1:Q$1,"&lt;&gt;"))),0)</f>
        <v>0.17073170731707318</v>
      </c>
      <c r="R1491">
        <f>IFERROR($J1491/IF($A1491&lt;COUNTIFS($K$1:R$1,"&lt;&gt;"),0,SUMIFS($J:$J,$B:$B,$B1491,$A:$A,"&gt;="&amp;COUNTIFS($K$1:R$1,"&lt;&gt;"))),0)</f>
        <v>0</v>
      </c>
      <c r="S1491">
        <f>IFERROR($J1491/IF($A1491&lt;COUNTIFS($K$1:S$1,"&lt;&gt;"),0,SUMIFS($J:$J,$B:$B,$B1491,$A:$A,"&gt;="&amp;COUNTIFS($K$1:S$1,"&lt;&gt;"))),0)</f>
        <v>0</v>
      </c>
      <c r="T1491">
        <f>IFERROR($J1491/IF($A1491&lt;COUNTIFS($K$1:T$1,"&lt;&gt;"),0,SUMIFS($J:$J,$B:$B,$B1491,$A:$A,"&gt;="&amp;COUNTIFS($K$1:T$1,"&lt;&gt;"))),0)</f>
        <v>0</v>
      </c>
      <c r="U1491">
        <f>IFERROR($J1491/IF($A1491&lt;COUNTIFS($K$1:U$1,"&lt;&gt;"),0,SUMIFS($J:$J,$B:$B,$B1491,$A:$A,"&gt;="&amp;COUNTIFS($K$1:U$1,"&lt;&gt;"))),0)</f>
        <v>0</v>
      </c>
      <c r="V1491">
        <f>IFERROR($J1491/IF($A1491&lt;COUNTIFS($K$1:V$1,"&lt;&gt;"),0,SUMIFS($J:$J,$B:$B,$B1491,$A:$A,"&gt;="&amp;COUNTIFS($K$1:V$1,"&lt;&gt;"))),0)</f>
        <v>0</v>
      </c>
      <c r="W1491">
        <f t="shared" si="530"/>
        <v>7.6712328767123292E-2</v>
      </c>
      <c r="X1491">
        <f t="shared" si="510"/>
        <v>7.6712328767123292E-2</v>
      </c>
      <c r="Y1491">
        <f t="shared" si="511"/>
        <v>7.6712328767123292E-2</v>
      </c>
      <c r="Z1491">
        <f t="shared" si="512"/>
        <v>7.6712328767123292E-2</v>
      </c>
      <c r="AA1491">
        <f t="shared" si="513"/>
        <v>7.6712328767123292E-2</v>
      </c>
      <c r="AB1491">
        <f t="shared" si="514"/>
        <v>7.6712328767123292E-2</v>
      </c>
      <c r="AC1491">
        <f t="shared" si="515"/>
        <v>7.6712328767123292E-2</v>
      </c>
      <c r="AD1491">
        <f t="shared" si="516"/>
        <v>7.6712328767123292E-2</v>
      </c>
      <c r="AE1491">
        <f t="shared" si="517"/>
        <v>0</v>
      </c>
      <c r="AF1491">
        <f t="shared" si="518"/>
        <v>0</v>
      </c>
      <c r="AG1491">
        <f t="shared" si="519"/>
        <v>0</v>
      </c>
      <c r="AH1491">
        <f t="shared" si="520"/>
        <v>0</v>
      </c>
      <c r="AI1491">
        <f t="shared" si="521"/>
        <v>0</v>
      </c>
      <c r="AJ1491" s="2" t="str">
        <f t="shared" si="531"/>
        <v>747300</v>
      </c>
    </row>
    <row r="1492" spans="1:36" x14ac:dyDescent="0.25">
      <c r="A1492">
        <v>8</v>
      </c>
      <c r="B1492" s="1">
        <v>47300</v>
      </c>
      <c r="C1492" s="1">
        <f t="shared" si="522"/>
        <v>47543</v>
      </c>
      <c r="D1492" s="1">
        <f t="shared" si="523"/>
        <v>47314</v>
      </c>
      <c r="E1492" s="1">
        <f t="shared" si="524"/>
        <v>47543</v>
      </c>
      <c r="F1492" s="1">
        <f t="shared" si="525"/>
        <v>47574</v>
      </c>
      <c r="G1492" s="1">
        <f t="shared" si="526"/>
        <v>47679</v>
      </c>
      <c r="H1492">
        <f t="shared" si="527"/>
        <v>365</v>
      </c>
      <c r="I1492">
        <f t="shared" si="528"/>
        <v>31</v>
      </c>
      <c r="J1492">
        <f t="shared" si="529"/>
        <v>8.4931506849315067E-2</v>
      </c>
      <c r="K1492">
        <f>IFERROR($J1492/IF($A1492&lt;COUNTIFS($K$1:K$1,"&lt;&gt;"),0,SUMIFS($J:$J,$B:$B,$B1492,$A:$A,"&gt;="&amp;COUNTIFS($K$1:K$1,"&lt;&gt;"))),0)</f>
        <v>8.9080459770114959E-2</v>
      </c>
      <c r="L1492">
        <f>IFERROR($J1492/IF($A1492&lt;COUNTIFS($K$1:L$1,"&lt;&gt;"),0,SUMIFS($J:$J,$B:$B,$B1492,$A:$A,"&gt;="&amp;COUNTIFS($K$1:L$1,"&lt;&gt;"))),0)</f>
        <v>9.7791798107255537E-2</v>
      </c>
      <c r="M1492">
        <f>IFERROR($J1492/IF($A1492&lt;COUNTIFS($K$1:M$1,"&lt;&gt;"),0,SUMIFS($J:$J,$B:$B,$B1492,$A:$A,"&gt;="&amp;COUNTIFS($K$1:M$1,"&lt;&gt;"))),0)</f>
        <v>0.10801393728222998</v>
      </c>
      <c r="N1492">
        <f>IFERROR($J1492/IF($A1492&lt;COUNTIFS($K$1:N$1,"&lt;&gt;"),0,SUMIFS($J:$J,$B:$B,$B1492,$A:$A,"&gt;="&amp;COUNTIFS($K$1:N$1,"&lt;&gt;"))),0)</f>
        <v>0.12109375000000001</v>
      </c>
      <c r="O1492">
        <f>IFERROR($J1492/IF($A1492&lt;COUNTIFS($K$1:O$1,"&lt;&gt;"),0,SUMIFS($J:$J,$B:$B,$B1492,$A:$A,"&gt;="&amp;COUNTIFS($K$1:O$1,"&lt;&gt;"))),0)</f>
        <v>0.13716814159292037</v>
      </c>
      <c r="P1492">
        <f>IFERROR($J1492/IF($A1492&lt;COUNTIFS($K$1:P$1,"&lt;&gt;"),0,SUMIFS($J:$J,$B:$B,$B1492,$A:$A,"&gt;="&amp;COUNTIFS($K$1:P$1,"&lt;&gt;"))),0)</f>
        <v>0.15897435897435899</v>
      </c>
      <c r="Q1492">
        <f>IFERROR($J1492/IF($A1492&lt;COUNTIFS($K$1:Q$1,"&lt;&gt;"),0,SUMIFS($J:$J,$B:$B,$B1492,$A:$A,"&gt;="&amp;COUNTIFS($K$1:Q$1,"&lt;&gt;"))),0)</f>
        <v>0.18902439024390244</v>
      </c>
      <c r="R1492">
        <f>IFERROR($J1492/IF($A1492&lt;COUNTIFS($K$1:R$1,"&lt;&gt;"),0,SUMIFS($J:$J,$B:$B,$B1492,$A:$A,"&gt;="&amp;COUNTIFS($K$1:R$1,"&lt;&gt;"))),0)</f>
        <v>0.22794117647058826</v>
      </c>
      <c r="S1492">
        <f>IFERROR($J1492/IF($A1492&lt;COUNTIFS($K$1:S$1,"&lt;&gt;"),0,SUMIFS($J:$J,$B:$B,$B1492,$A:$A,"&gt;="&amp;COUNTIFS($K$1:S$1,"&lt;&gt;"))),0)</f>
        <v>0</v>
      </c>
      <c r="T1492">
        <f>IFERROR($J1492/IF($A1492&lt;COUNTIFS($K$1:T$1,"&lt;&gt;"),0,SUMIFS($J:$J,$B:$B,$B1492,$A:$A,"&gt;="&amp;COUNTIFS($K$1:T$1,"&lt;&gt;"))),0)</f>
        <v>0</v>
      </c>
      <c r="U1492">
        <f>IFERROR($J1492/IF($A1492&lt;COUNTIFS($K$1:U$1,"&lt;&gt;"),0,SUMIFS($J:$J,$B:$B,$B1492,$A:$A,"&gt;="&amp;COUNTIFS($K$1:U$1,"&lt;&gt;"))),0)</f>
        <v>0</v>
      </c>
      <c r="V1492">
        <f>IFERROR($J1492/IF($A1492&lt;COUNTIFS($K$1:V$1,"&lt;&gt;"),0,SUMIFS($J:$J,$B:$B,$B1492,$A:$A,"&gt;="&amp;COUNTIFS($K$1:V$1,"&lt;&gt;"))),0)</f>
        <v>0</v>
      </c>
      <c r="W1492">
        <f t="shared" si="530"/>
        <v>8.4931506849315067E-2</v>
      </c>
      <c r="X1492">
        <f t="shared" si="510"/>
        <v>8.4931506849315067E-2</v>
      </c>
      <c r="Y1492">
        <f t="shared" si="511"/>
        <v>8.4931506849315067E-2</v>
      </c>
      <c r="Z1492">
        <f t="shared" si="512"/>
        <v>8.4931506849315067E-2</v>
      </c>
      <c r="AA1492">
        <f t="shared" si="513"/>
        <v>8.4931506849315067E-2</v>
      </c>
      <c r="AB1492">
        <f t="shared" si="514"/>
        <v>8.4931506849315067E-2</v>
      </c>
      <c r="AC1492">
        <f t="shared" si="515"/>
        <v>8.4931506849315067E-2</v>
      </c>
      <c r="AD1492">
        <f t="shared" si="516"/>
        <v>8.4931506849315067E-2</v>
      </c>
      <c r="AE1492">
        <f t="shared" si="517"/>
        <v>8.4931506849315067E-2</v>
      </c>
      <c r="AF1492">
        <f t="shared" si="518"/>
        <v>0</v>
      </c>
      <c r="AG1492">
        <f t="shared" si="519"/>
        <v>0</v>
      </c>
      <c r="AH1492">
        <f t="shared" si="520"/>
        <v>0</v>
      </c>
      <c r="AI1492">
        <f t="shared" si="521"/>
        <v>0</v>
      </c>
      <c r="AJ1492" s="2" t="str">
        <f t="shared" si="531"/>
        <v>847300</v>
      </c>
    </row>
    <row r="1493" spans="1:36" x14ac:dyDescent="0.25">
      <c r="A1493">
        <v>9</v>
      </c>
      <c r="B1493" s="1">
        <v>47300</v>
      </c>
      <c r="C1493" s="1">
        <f t="shared" si="522"/>
        <v>47574</v>
      </c>
      <c r="D1493" s="1">
        <f t="shared" si="523"/>
        <v>47314</v>
      </c>
      <c r="E1493" s="1">
        <f t="shared" si="524"/>
        <v>47574</v>
      </c>
      <c r="F1493" s="1">
        <f t="shared" si="525"/>
        <v>47604</v>
      </c>
      <c r="G1493" s="1">
        <f t="shared" si="526"/>
        <v>47679</v>
      </c>
      <c r="H1493">
        <f t="shared" si="527"/>
        <v>365</v>
      </c>
      <c r="I1493">
        <f t="shared" si="528"/>
        <v>30</v>
      </c>
      <c r="J1493">
        <f t="shared" si="529"/>
        <v>8.2191780821917804E-2</v>
      </c>
      <c r="K1493">
        <f>IFERROR($J1493/IF($A1493&lt;COUNTIFS($K$1:K$1,"&lt;&gt;"),0,SUMIFS($J:$J,$B:$B,$B1493,$A:$A,"&gt;="&amp;COUNTIFS($K$1:K$1,"&lt;&gt;"))),0)</f>
        <v>8.6206896551724144E-2</v>
      </c>
      <c r="L1493">
        <f>IFERROR($J1493/IF($A1493&lt;COUNTIFS($K$1:L$1,"&lt;&gt;"),0,SUMIFS($J:$J,$B:$B,$B1493,$A:$A,"&gt;="&amp;COUNTIFS($K$1:L$1,"&lt;&gt;"))),0)</f>
        <v>9.4637223974763415E-2</v>
      </c>
      <c r="M1493">
        <f>IFERROR($J1493/IF($A1493&lt;COUNTIFS($K$1:M$1,"&lt;&gt;"),0,SUMIFS($J:$J,$B:$B,$B1493,$A:$A,"&gt;="&amp;COUNTIFS($K$1:M$1,"&lt;&gt;"))),0)</f>
        <v>0.10452961672473869</v>
      </c>
      <c r="N1493">
        <f>IFERROR($J1493/IF($A1493&lt;COUNTIFS($K$1:N$1,"&lt;&gt;"),0,SUMIFS($J:$J,$B:$B,$B1493,$A:$A,"&gt;="&amp;COUNTIFS($K$1:N$1,"&lt;&gt;"))),0)</f>
        <v>0.11718750000000001</v>
      </c>
      <c r="O1493">
        <f>IFERROR($J1493/IF($A1493&lt;COUNTIFS($K$1:O$1,"&lt;&gt;"),0,SUMIFS($J:$J,$B:$B,$B1493,$A:$A,"&gt;="&amp;COUNTIFS($K$1:O$1,"&lt;&gt;"))),0)</f>
        <v>0.13274336283185842</v>
      </c>
      <c r="P1493">
        <f>IFERROR($J1493/IF($A1493&lt;COUNTIFS($K$1:P$1,"&lt;&gt;"),0,SUMIFS($J:$J,$B:$B,$B1493,$A:$A,"&gt;="&amp;COUNTIFS($K$1:P$1,"&lt;&gt;"))),0)</f>
        <v>0.15384615384615385</v>
      </c>
      <c r="Q1493">
        <f>IFERROR($J1493/IF($A1493&lt;COUNTIFS($K$1:Q$1,"&lt;&gt;"),0,SUMIFS($J:$J,$B:$B,$B1493,$A:$A,"&gt;="&amp;COUNTIFS($K$1:Q$1,"&lt;&gt;"))),0)</f>
        <v>0.18292682926829268</v>
      </c>
      <c r="R1493">
        <f>IFERROR($J1493/IF($A1493&lt;COUNTIFS($K$1:R$1,"&lt;&gt;"),0,SUMIFS($J:$J,$B:$B,$B1493,$A:$A,"&gt;="&amp;COUNTIFS($K$1:R$1,"&lt;&gt;"))),0)</f>
        <v>0.22058823529411764</v>
      </c>
      <c r="S1493">
        <f>IFERROR($J1493/IF($A1493&lt;COUNTIFS($K$1:S$1,"&lt;&gt;"),0,SUMIFS($J:$J,$B:$B,$B1493,$A:$A,"&gt;="&amp;COUNTIFS($K$1:S$1,"&lt;&gt;"))),0)</f>
        <v>0.2857142857142857</v>
      </c>
      <c r="T1493">
        <f>IFERROR($J1493/IF($A1493&lt;COUNTIFS($K$1:T$1,"&lt;&gt;"),0,SUMIFS($J:$J,$B:$B,$B1493,$A:$A,"&gt;="&amp;COUNTIFS($K$1:T$1,"&lt;&gt;"))),0)</f>
        <v>0</v>
      </c>
      <c r="U1493">
        <f>IFERROR($J1493/IF($A1493&lt;COUNTIFS($K$1:U$1,"&lt;&gt;"),0,SUMIFS($J:$J,$B:$B,$B1493,$A:$A,"&gt;="&amp;COUNTIFS($K$1:U$1,"&lt;&gt;"))),0)</f>
        <v>0</v>
      </c>
      <c r="V1493">
        <f>IFERROR($J1493/IF($A1493&lt;COUNTIFS($K$1:V$1,"&lt;&gt;"),0,SUMIFS($J:$J,$B:$B,$B1493,$A:$A,"&gt;="&amp;COUNTIFS($K$1:V$1,"&lt;&gt;"))),0)</f>
        <v>0</v>
      </c>
      <c r="W1493">
        <f t="shared" si="530"/>
        <v>8.2191780821917804E-2</v>
      </c>
      <c r="X1493">
        <f t="shared" si="510"/>
        <v>8.2191780821917804E-2</v>
      </c>
      <c r="Y1493">
        <f t="shared" si="511"/>
        <v>8.2191780821917804E-2</v>
      </c>
      <c r="Z1493">
        <f t="shared" si="512"/>
        <v>8.2191780821917804E-2</v>
      </c>
      <c r="AA1493">
        <f t="shared" si="513"/>
        <v>8.2191780821917804E-2</v>
      </c>
      <c r="AB1493">
        <f t="shared" si="514"/>
        <v>8.2191780821917804E-2</v>
      </c>
      <c r="AC1493">
        <f t="shared" si="515"/>
        <v>8.2191780821917804E-2</v>
      </c>
      <c r="AD1493">
        <f t="shared" si="516"/>
        <v>8.2191780821917804E-2</v>
      </c>
      <c r="AE1493">
        <f t="shared" si="517"/>
        <v>8.2191780821917804E-2</v>
      </c>
      <c r="AF1493">
        <f t="shared" si="518"/>
        <v>8.2191780821917804E-2</v>
      </c>
      <c r="AG1493">
        <f t="shared" si="519"/>
        <v>0</v>
      </c>
      <c r="AH1493">
        <f t="shared" si="520"/>
        <v>0</v>
      </c>
      <c r="AI1493">
        <f t="shared" si="521"/>
        <v>0</v>
      </c>
      <c r="AJ1493" s="2" t="str">
        <f t="shared" si="531"/>
        <v>947300</v>
      </c>
    </row>
    <row r="1494" spans="1:36" x14ac:dyDescent="0.25">
      <c r="A1494">
        <v>10</v>
      </c>
      <c r="B1494" s="1">
        <v>47300</v>
      </c>
      <c r="C1494" s="1">
        <f t="shared" si="522"/>
        <v>47604</v>
      </c>
      <c r="D1494" s="1">
        <f t="shared" si="523"/>
        <v>47314</v>
      </c>
      <c r="E1494" s="1">
        <f t="shared" si="524"/>
        <v>47604</v>
      </c>
      <c r="F1494" s="1">
        <f t="shared" si="525"/>
        <v>47635</v>
      </c>
      <c r="G1494" s="1">
        <f t="shared" si="526"/>
        <v>47679</v>
      </c>
      <c r="H1494">
        <f t="shared" si="527"/>
        <v>365</v>
      </c>
      <c r="I1494">
        <f t="shared" si="528"/>
        <v>31</v>
      </c>
      <c r="J1494">
        <f t="shared" si="529"/>
        <v>8.4931506849315067E-2</v>
      </c>
      <c r="K1494">
        <f>IFERROR($J1494/IF($A1494&lt;COUNTIFS($K$1:K$1,"&lt;&gt;"),0,SUMIFS($J:$J,$B:$B,$B1494,$A:$A,"&gt;="&amp;COUNTIFS($K$1:K$1,"&lt;&gt;"))),0)</f>
        <v>8.9080459770114959E-2</v>
      </c>
      <c r="L1494">
        <f>IFERROR($J1494/IF($A1494&lt;COUNTIFS($K$1:L$1,"&lt;&gt;"),0,SUMIFS($J:$J,$B:$B,$B1494,$A:$A,"&gt;="&amp;COUNTIFS($K$1:L$1,"&lt;&gt;"))),0)</f>
        <v>9.7791798107255537E-2</v>
      </c>
      <c r="M1494">
        <f>IFERROR($J1494/IF($A1494&lt;COUNTIFS($K$1:M$1,"&lt;&gt;"),0,SUMIFS($J:$J,$B:$B,$B1494,$A:$A,"&gt;="&amp;COUNTIFS($K$1:M$1,"&lt;&gt;"))),0)</f>
        <v>0.10801393728222998</v>
      </c>
      <c r="N1494">
        <f>IFERROR($J1494/IF($A1494&lt;COUNTIFS($K$1:N$1,"&lt;&gt;"),0,SUMIFS($J:$J,$B:$B,$B1494,$A:$A,"&gt;="&amp;COUNTIFS($K$1:N$1,"&lt;&gt;"))),0)</f>
        <v>0.12109375000000001</v>
      </c>
      <c r="O1494">
        <f>IFERROR($J1494/IF($A1494&lt;COUNTIFS($K$1:O$1,"&lt;&gt;"),0,SUMIFS($J:$J,$B:$B,$B1494,$A:$A,"&gt;="&amp;COUNTIFS($K$1:O$1,"&lt;&gt;"))),0)</f>
        <v>0.13716814159292037</v>
      </c>
      <c r="P1494">
        <f>IFERROR($J1494/IF($A1494&lt;COUNTIFS($K$1:P$1,"&lt;&gt;"),0,SUMIFS($J:$J,$B:$B,$B1494,$A:$A,"&gt;="&amp;COUNTIFS($K$1:P$1,"&lt;&gt;"))),0)</f>
        <v>0.15897435897435899</v>
      </c>
      <c r="Q1494">
        <f>IFERROR($J1494/IF($A1494&lt;COUNTIFS($K$1:Q$1,"&lt;&gt;"),0,SUMIFS($J:$J,$B:$B,$B1494,$A:$A,"&gt;="&amp;COUNTIFS($K$1:Q$1,"&lt;&gt;"))),0)</f>
        <v>0.18902439024390244</v>
      </c>
      <c r="R1494">
        <f>IFERROR($J1494/IF($A1494&lt;COUNTIFS($K$1:R$1,"&lt;&gt;"),0,SUMIFS($J:$J,$B:$B,$B1494,$A:$A,"&gt;="&amp;COUNTIFS($K$1:R$1,"&lt;&gt;"))),0)</f>
        <v>0.22794117647058826</v>
      </c>
      <c r="S1494">
        <f>IFERROR($J1494/IF($A1494&lt;COUNTIFS($K$1:S$1,"&lt;&gt;"),0,SUMIFS($J:$J,$B:$B,$B1494,$A:$A,"&gt;="&amp;COUNTIFS($K$1:S$1,"&lt;&gt;"))),0)</f>
        <v>0.29523809523809524</v>
      </c>
      <c r="T1494">
        <f>IFERROR($J1494/IF($A1494&lt;COUNTIFS($K$1:T$1,"&lt;&gt;"),0,SUMIFS($J:$J,$B:$B,$B1494,$A:$A,"&gt;="&amp;COUNTIFS($K$1:T$1,"&lt;&gt;"))),0)</f>
        <v>0.41333333333333333</v>
      </c>
      <c r="U1494">
        <f>IFERROR($J1494/IF($A1494&lt;COUNTIFS($K$1:U$1,"&lt;&gt;"),0,SUMIFS($J:$J,$B:$B,$B1494,$A:$A,"&gt;="&amp;COUNTIFS($K$1:U$1,"&lt;&gt;"))),0)</f>
        <v>0</v>
      </c>
      <c r="V1494">
        <f>IFERROR($J1494/IF($A1494&lt;COUNTIFS($K$1:V$1,"&lt;&gt;"),0,SUMIFS($J:$J,$B:$B,$B1494,$A:$A,"&gt;="&amp;COUNTIFS($K$1:V$1,"&lt;&gt;"))),0)</f>
        <v>0</v>
      </c>
      <c r="W1494">
        <f t="shared" si="530"/>
        <v>8.4931506849315067E-2</v>
      </c>
      <c r="X1494">
        <f t="shared" si="510"/>
        <v>8.4931506849315067E-2</v>
      </c>
      <c r="Y1494">
        <f t="shared" si="511"/>
        <v>8.4931506849315067E-2</v>
      </c>
      <c r="Z1494">
        <f t="shared" si="512"/>
        <v>8.4931506849315067E-2</v>
      </c>
      <c r="AA1494">
        <f t="shared" si="513"/>
        <v>8.4931506849315067E-2</v>
      </c>
      <c r="AB1494">
        <f t="shared" si="514"/>
        <v>8.4931506849315067E-2</v>
      </c>
      <c r="AC1494">
        <f t="shared" si="515"/>
        <v>8.4931506849315067E-2</v>
      </c>
      <c r="AD1494">
        <f t="shared" si="516"/>
        <v>8.4931506849315067E-2</v>
      </c>
      <c r="AE1494">
        <f t="shared" si="517"/>
        <v>8.4931506849315067E-2</v>
      </c>
      <c r="AF1494">
        <f t="shared" si="518"/>
        <v>8.4931506849315067E-2</v>
      </c>
      <c r="AG1494">
        <f t="shared" si="519"/>
        <v>8.4931506849315067E-2</v>
      </c>
      <c r="AH1494">
        <f t="shared" si="520"/>
        <v>0</v>
      </c>
      <c r="AI1494">
        <f t="shared" si="521"/>
        <v>0</v>
      </c>
      <c r="AJ1494" s="2" t="str">
        <f t="shared" si="531"/>
        <v>1047300</v>
      </c>
    </row>
    <row r="1495" spans="1:36" x14ac:dyDescent="0.25">
      <c r="A1495">
        <v>11</v>
      </c>
      <c r="B1495" s="1">
        <v>47300</v>
      </c>
      <c r="C1495" s="1">
        <f t="shared" si="522"/>
        <v>47635</v>
      </c>
      <c r="D1495" s="1">
        <f t="shared" si="523"/>
        <v>47314</v>
      </c>
      <c r="E1495" s="1">
        <f t="shared" si="524"/>
        <v>47635</v>
      </c>
      <c r="F1495" s="1">
        <f t="shared" si="525"/>
        <v>47665</v>
      </c>
      <c r="G1495" s="1">
        <f t="shared" si="526"/>
        <v>47679</v>
      </c>
      <c r="H1495">
        <f t="shared" si="527"/>
        <v>365</v>
      </c>
      <c r="I1495">
        <f t="shared" si="528"/>
        <v>30</v>
      </c>
      <c r="J1495">
        <f t="shared" si="529"/>
        <v>8.2191780821917804E-2</v>
      </c>
      <c r="K1495">
        <f>IFERROR($J1495/IF($A1495&lt;COUNTIFS($K$1:K$1,"&lt;&gt;"),0,SUMIFS($J:$J,$B:$B,$B1495,$A:$A,"&gt;="&amp;COUNTIFS($K$1:K$1,"&lt;&gt;"))),0)</f>
        <v>8.6206896551724144E-2</v>
      </c>
      <c r="L1495">
        <f>IFERROR($J1495/IF($A1495&lt;COUNTIFS($K$1:L$1,"&lt;&gt;"),0,SUMIFS($J:$J,$B:$B,$B1495,$A:$A,"&gt;="&amp;COUNTIFS($K$1:L$1,"&lt;&gt;"))),0)</f>
        <v>9.4637223974763415E-2</v>
      </c>
      <c r="M1495">
        <f>IFERROR($J1495/IF($A1495&lt;COUNTIFS($K$1:M$1,"&lt;&gt;"),0,SUMIFS($J:$J,$B:$B,$B1495,$A:$A,"&gt;="&amp;COUNTIFS($K$1:M$1,"&lt;&gt;"))),0)</f>
        <v>0.10452961672473869</v>
      </c>
      <c r="N1495">
        <f>IFERROR($J1495/IF($A1495&lt;COUNTIFS($K$1:N$1,"&lt;&gt;"),0,SUMIFS($J:$J,$B:$B,$B1495,$A:$A,"&gt;="&amp;COUNTIFS($K$1:N$1,"&lt;&gt;"))),0)</f>
        <v>0.11718750000000001</v>
      </c>
      <c r="O1495">
        <f>IFERROR($J1495/IF($A1495&lt;COUNTIFS($K$1:O$1,"&lt;&gt;"),0,SUMIFS($J:$J,$B:$B,$B1495,$A:$A,"&gt;="&amp;COUNTIFS($K$1:O$1,"&lt;&gt;"))),0)</f>
        <v>0.13274336283185842</v>
      </c>
      <c r="P1495">
        <f>IFERROR($J1495/IF($A1495&lt;COUNTIFS($K$1:P$1,"&lt;&gt;"),0,SUMIFS($J:$J,$B:$B,$B1495,$A:$A,"&gt;="&amp;COUNTIFS($K$1:P$1,"&lt;&gt;"))),0)</f>
        <v>0.15384615384615385</v>
      </c>
      <c r="Q1495">
        <f>IFERROR($J1495/IF($A1495&lt;COUNTIFS($K$1:Q$1,"&lt;&gt;"),0,SUMIFS($J:$J,$B:$B,$B1495,$A:$A,"&gt;="&amp;COUNTIFS($K$1:Q$1,"&lt;&gt;"))),0)</f>
        <v>0.18292682926829268</v>
      </c>
      <c r="R1495">
        <f>IFERROR($J1495/IF($A1495&lt;COUNTIFS($K$1:R$1,"&lt;&gt;"),0,SUMIFS($J:$J,$B:$B,$B1495,$A:$A,"&gt;="&amp;COUNTIFS($K$1:R$1,"&lt;&gt;"))),0)</f>
        <v>0.22058823529411764</v>
      </c>
      <c r="S1495">
        <f>IFERROR($J1495/IF($A1495&lt;COUNTIFS($K$1:S$1,"&lt;&gt;"),0,SUMIFS($J:$J,$B:$B,$B1495,$A:$A,"&gt;="&amp;COUNTIFS($K$1:S$1,"&lt;&gt;"))),0)</f>
        <v>0.2857142857142857</v>
      </c>
      <c r="T1495">
        <f>IFERROR($J1495/IF($A1495&lt;COUNTIFS($K$1:T$1,"&lt;&gt;"),0,SUMIFS($J:$J,$B:$B,$B1495,$A:$A,"&gt;="&amp;COUNTIFS($K$1:T$1,"&lt;&gt;"))),0)</f>
        <v>0.4</v>
      </c>
      <c r="U1495">
        <f>IFERROR($J1495/IF($A1495&lt;COUNTIFS($K$1:U$1,"&lt;&gt;"),0,SUMIFS($J:$J,$B:$B,$B1495,$A:$A,"&gt;="&amp;COUNTIFS($K$1:U$1,"&lt;&gt;"))),0)</f>
        <v>0.68181818181818177</v>
      </c>
      <c r="V1495">
        <f>IFERROR($J1495/IF($A1495&lt;COUNTIFS($K$1:V$1,"&lt;&gt;"),0,SUMIFS($J:$J,$B:$B,$B1495,$A:$A,"&gt;="&amp;COUNTIFS($K$1:V$1,"&lt;&gt;"))),0)</f>
        <v>0</v>
      </c>
      <c r="W1495">
        <f t="shared" si="530"/>
        <v>8.2191780821917804E-2</v>
      </c>
      <c r="X1495">
        <f t="shared" si="510"/>
        <v>8.2191780821917804E-2</v>
      </c>
      <c r="Y1495">
        <f t="shared" si="511"/>
        <v>8.2191780821917804E-2</v>
      </c>
      <c r="Z1495">
        <f t="shared" si="512"/>
        <v>8.2191780821917804E-2</v>
      </c>
      <c r="AA1495">
        <f t="shared" si="513"/>
        <v>8.2191780821917804E-2</v>
      </c>
      <c r="AB1495">
        <f t="shared" si="514"/>
        <v>8.2191780821917804E-2</v>
      </c>
      <c r="AC1495">
        <f t="shared" si="515"/>
        <v>8.2191780821917804E-2</v>
      </c>
      <c r="AD1495">
        <f t="shared" si="516"/>
        <v>8.2191780821917804E-2</v>
      </c>
      <c r="AE1495">
        <f t="shared" si="517"/>
        <v>8.2191780821917804E-2</v>
      </c>
      <c r="AF1495">
        <f t="shared" si="518"/>
        <v>8.2191780821917804E-2</v>
      </c>
      <c r="AG1495">
        <f t="shared" si="519"/>
        <v>8.2191780821917804E-2</v>
      </c>
      <c r="AH1495">
        <f t="shared" si="520"/>
        <v>8.2191780821917804E-2</v>
      </c>
      <c r="AI1495">
        <f t="shared" si="521"/>
        <v>0</v>
      </c>
      <c r="AJ1495" s="2" t="str">
        <f t="shared" si="531"/>
        <v>1147300</v>
      </c>
    </row>
    <row r="1496" spans="1:36" x14ac:dyDescent="0.25">
      <c r="A1496">
        <v>12</v>
      </c>
      <c r="B1496" s="1">
        <v>47300</v>
      </c>
      <c r="C1496" s="1">
        <f t="shared" si="522"/>
        <v>47665</v>
      </c>
      <c r="D1496" s="1">
        <f t="shared" si="523"/>
        <v>47314</v>
      </c>
      <c r="E1496" s="1">
        <f t="shared" si="524"/>
        <v>47665</v>
      </c>
      <c r="F1496" s="1">
        <f t="shared" si="525"/>
        <v>47679</v>
      </c>
      <c r="G1496" s="1">
        <f t="shared" si="526"/>
        <v>47679</v>
      </c>
      <c r="H1496">
        <f t="shared" si="527"/>
        <v>365</v>
      </c>
      <c r="I1496">
        <f t="shared" si="528"/>
        <v>14</v>
      </c>
      <c r="J1496">
        <f t="shared" si="529"/>
        <v>3.8356164383561646E-2</v>
      </c>
      <c r="K1496">
        <f>IFERROR($J1496/IF($A1496&lt;COUNTIFS($K$1:K$1,"&lt;&gt;"),0,SUMIFS($J:$J,$B:$B,$B1496,$A:$A,"&gt;="&amp;COUNTIFS($K$1:K$1,"&lt;&gt;"))),0)</f>
        <v>4.0229885057471271E-2</v>
      </c>
      <c r="L1496">
        <f>IFERROR($J1496/IF($A1496&lt;COUNTIFS($K$1:L$1,"&lt;&gt;"),0,SUMIFS($J:$J,$B:$B,$B1496,$A:$A,"&gt;="&amp;COUNTIFS($K$1:L$1,"&lt;&gt;"))),0)</f>
        <v>4.41640378548896E-2</v>
      </c>
      <c r="M1496">
        <f>IFERROR($J1496/IF($A1496&lt;COUNTIFS($K$1:M$1,"&lt;&gt;"),0,SUMIFS($J:$J,$B:$B,$B1496,$A:$A,"&gt;="&amp;COUNTIFS($K$1:M$1,"&lt;&gt;"))),0)</f>
        <v>4.8780487804878057E-2</v>
      </c>
      <c r="N1496">
        <f>IFERROR($J1496/IF($A1496&lt;COUNTIFS($K$1:N$1,"&lt;&gt;"),0,SUMIFS($J:$J,$B:$B,$B1496,$A:$A,"&gt;="&amp;COUNTIFS($K$1:N$1,"&lt;&gt;"))),0)</f>
        <v>5.4687500000000014E-2</v>
      </c>
      <c r="O1496">
        <f>IFERROR($J1496/IF($A1496&lt;COUNTIFS($K$1:O$1,"&lt;&gt;"),0,SUMIFS($J:$J,$B:$B,$B1496,$A:$A,"&gt;="&amp;COUNTIFS($K$1:O$1,"&lt;&gt;"))),0)</f>
        <v>6.194690265486727E-2</v>
      </c>
      <c r="P1496">
        <f>IFERROR($J1496/IF($A1496&lt;COUNTIFS($K$1:P$1,"&lt;&gt;"),0,SUMIFS($J:$J,$B:$B,$B1496,$A:$A,"&gt;="&amp;COUNTIFS($K$1:P$1,"&lt;&gt;"))),0)</f>
        <v>7.1794871794871803E-2</v>
      </c>
      <c r="Q1496">
        <f>IFERROR($J1496/IF($A1496&lt;COUNTIFS($K$1:Q$1,"&lt;&gt;"),0,SUMIFS($J:$J,$B:$B,$B1496,$A:$A,"&gt;="&amp;COUNTIFS($K$1:Q$1,"&lt;&gt;"))),0)</f>
        <v>8.5365853658536592E-2</v>
      </c>
      <c r="R1496">
        <f>IFERROR($J1496/IF($A1496&lt;COUNTIFS($K$1:R$1,"&lt;&gt;"),0,SUMIFS($J:$J,$B:$B,$B1496,$A:$A,"&gt;="&amp;COUNTIFS($K$1:R$1,"&lt;&gt;"))),0)</f>
        <v>0.10294117647058824</v>
      </c>
      <c r="S1496">
        <f>IFERROR($J1496/IF($A1496&lt;COUNTIFS($K$1:S$1,"&lt;&gt;"),0,SUMIFS($J:$J,$B:$B,$B1496,$A:$A,"&gt;="&amp;COUNTIFS($K$1:S$1,"&lt;&gt;"))),0)</f>
        <v>0.13333333333333336</v>
      </c>
      <c r="T1496">
        <f>IFERROR($J1496/IF($A1496&lt;COUNTIFS($K$1:T$1,"&lt;&gt;"),0,SUMIFS($J:$J,$B:$B,$B1496,$A:$A,"&gt;="&amp;COUNTIFS($K$1:T$1,"&lt;&gt;"))),0)</f>
        <v>0.18666666666666668</v>
      </c>
      <c r="U1496">
        <f>IFERROR($J1496/IF($A1496&lt;COUNTIFS($K$1:U$1,"&lt;&gt;"),0,SUMIFS($J:$J,$B:$B,$B1496,$A:$A,"&gt;="&amp;COUNTIFS($K$1:U$1,"&lt;&gt;"))),0)</f>
        <v>0.31818181818181818</v>
      </c>
      <c r="V1496">
        <f>IFERROR($J1496/IF($A1496&lt;COUNTIFS($K$1:V$1,"&lt;&gt;"),0,SUMIFS($J:$J,$B:$B,$B1496,$A:$A,"&gt;="&amp;COUNTIFS($K$1:V$1,"&lt;&gt;"))),0)</f>
        <v>1</v>
      </c>
      <c r="W1496">
        <f t="shared" si="530"/>
        <v>3.8356164383561646E-2</v>
      </c>
      <c r="X1496">
        <f t="shared" si="510"/>
        <v>3.8356164383561646E-2</v>
      </c>
      <c r="Y1496">
        <f t="shared" si="511"/>
        <v>3.8356164383561646E-2</v>
      </c>
      <c r="Z1496">
        <f t="shared" si="512"/>
        <v>3.8356164383561646E-2</v>
      </c>
      <c r="AA1496">
        <f t="shared" si="513"/>
        <v>3.8356164383561646E-2</v>
      </c>
      <c r="AB1496">
        <f t="shared" si="514"/>
        <v>3.8356164383561646E-2</v>
      </c>
      <c r="AC1496">
        <f t="shared" si="515"/>
        <v>3.8356164383561646E-2</v>
      </c>
      <c r="AD1496">
        <f t="shared" si="516"/>
        <v>3.8356164383561646E-2</v>
      </c>
      <c r="AE1496">
        <f t="shared" si="517"/>
        <v>3.8356164383561646E-2</v>
      </c>
      <c r="AF1496">
        <f t="shared" si="518"/>
        <v>3.8356164383561646E-2</v>
      </c>
      <c r="AG1496">
        <f t="shared" si="519"/>
        <v>3.8356164383561646E-2</v>
      </c>
      <c r="AH1496">
        <f t="shared" si="520"/>
        <v>3.8356164383561646E-2</v>
      </c>
      <c r="AI1496">
        <f t="shared" si="521"/>
        <v>3.8356164383561646E-2</v>
      </c>
      <c r="AJ1496" s="2" t="str">
        <f t="shared" si="531"/>
        <v>1247300</v>
      </c>
    </row>
    <row r="1497" spans="1:36" x14ac:dyDescent="0.25">
      <c r="A1497">
        <v>0</v>
      </c>
      <c r="B1497" s="1">
        <v>47331</v>
      </c>
      <c r="C1497" s="1">
        <f t="shared" si="522"/>
        <v>47331</v>
      </c>
      <c r="D1497" s="1">
        <f t="shared" si="523"/>
        <v>47345</v>
      </c>
      <c r="E1497" s="1">
        <f t="shared" si="524"/>
        <v>47345</v>
      </c>
      <c r="F1497" s="1">
        <f t="shared" si="525"/>
        <v>47362</v>
      </c>
      <c r="G1497" s="1">
        <f t="shared" si="526"/>
        <v>47710</v>
      </c>
      <c r="H1497">
        <f t="shared" si="527"/>
        <v>365</v>
      </c>
      <c r="I1497">
        <f t="shared" si="528"/>
        <v>17</v>
      </c>
      <c r="J1497">
        <f t="shared" si="529"/>
        <v>4.6575342465753428E-2</v>
      </c>
      <c r="K1497">
        <f>IFERROR($J1497/IF($A1497&lt;COUNTIFS($K$1:K$1,"&lt;&gt;"),0,SUMIFS($J:$J,$B:$B,$B1497,$A:$A,"&gt;="&amp;COUNTIFS($K$1:K$1,"&lt;&gt;"))),0)</f>
        <v>0</v>
      </c>
      <c r="L1497">
        <f>IFERROR($J1497/IF($A1497&lt;COUNTIFS($K$1:L$1,"&lt;&gt;"),0,SUMIFS($J:$J,$B:$B,$B1497,$A:$A,"&gt;="&amp;COUNTIFS($K$1:L$1,"&lt;&gt;"))),0)</f>
        <v>0</v>
      </c>
      <c r="M1497">
        <f>IFERROR($J1497/IF($A1497&lt;COUNTIFS($K$1:M$1,"&lt;&gt;"),0,SUMIFS($J:$J,$B:$B,$B1497,$A:$A,"&gt;="&amp;COUNTIFS($K$1:M$1,"&lt;&gt;"))),0)</f>
        <v>0</v>
      </c>
      <c r="N1497">
        <f>IFERROR($J1497/IF($A1497&lt;COUNTIFS($K$1:N$1,"&lt;&gt;"),0,SUMIFS($J:$J,$B:$B,$B1497,$A:$A,"&gt;="&amp;COUNTIFS($K$1:N$1,"&lt;&gt;"))),0)</f>
        <v>0</v>
      </c>
      <c r="O1497">
        <f>IFERROR($J1497/IF($A1497&lt;COUNTIFS($K$1:O$1,"&lt;&gt;"),0,SUMIFS($J:$J,$B:$B,$B1497,$A:$A,"&gt;="&amp;COUNTIFS($K$1:O$1,"&lt;&gt;"))),0)</f>
        <v>0</v>
      </c>
      <c r="P1497">
        <f>IFERROR($J1497/IF($A1497&lt;COUNTIFS($K$1:P$1,"&lt;&gt;"),0,SUMIFS($J:$J,$B:$B,$B1497,$A:$A,"&gt;="&amp;COUNTIFS($K$1:P$1,"&lt;&gt;"))),0)</f>
        <v>0</v>
      </c>
      <c r="Q1497">
        <f>IFERROR($J1497/IF($A1497&lt;COUNTIFS($K$1:Q$1,"&lt;&gt;"),0,SUMIFS($J:$J,$B:$B,$B1497,$A:$A,"&gt;="&amp;COUNTIFS($K$1:Q$1,"&lt;&gt;"))),0)</f>
        <v>0</v>
      </c>
      <c r="R1497">
        <f>IFERROR($J1497/IF($A1497&lt;COUNTIFS($K$1:R$1,"&lt;&gt;"),0,SUMIFS($J:$J,$B:$B,$B1497,$A:$A,"&gt;="&amp;COUNTIFS($K$1:R$1,"&lt;&gt;"))),0)</f>
        <v>0</v>
      </c>
      <c r="S1497">
        <f>IFERROR($J1497/IF($A1497&lt;COUNTIFS($K$1:S$1,"&lt;&gt;"),0,SUMIFS($J:$J,$B:$B,$B1497,$A:$A,"&gt;="&amp;COUNTIFS($K$1:S$1,"&lt;&gt;"))),0)</f>
        <v>0</v>
      </c>
      <c r="T1497">
        <f>IFERROR($J1497/IF($A1497&lt;COUNTIFS($K$1:T$1,"&lt;&gt;"),0,SUMIFS($J:$J,$B:$B,$B1497,$A:$A,"&gt;="&amp;COUNTIFS($K$1:T$1,"&lt;&gt;"))),0)</f>
        <v>0</v>
      </c>
      <c r="U1497">
        <f>IFERROR($J1497/IF($A1497&lt;COUNTIFS($K$1:U$1,"&lt;&gt;"),0,SUMIFS($J:$J,$B:$B,$B1497,$A:$A,"&gt;="&amp;COUNTIFS($K$1:U$1,"&lt;&gt;"))),0)</f>
        <v>0</v>
      </c>
      <c r="V1497">
        <f>IFERROR($J1497/IF($A1497&lt;COUNTIFS($K$1:V$1,"&lt;&gt;"),0,SUMIFS($J:$J,$B:$B,$B1497,$A:$A,"&gt;="&amp;COUNTIFS($K$1:V$1,"&lt;&gt;"))),0)</f>
        <v>0</v>
      </c>
      <c r="W1497">
        <f t="shared" si="530"/>
        <v>4.6575342465753428E-2</v>
      </c>
      <c r="X1497">
        <f t="shared" si="510"/>
        <v>0</v>
      </c>
      <c r="Y1497">
        <f t="shared" si="511"/>
        <v>0</v>
      </c>
      <c r="Z1497">
        <f t="shared" si="512"/>
        <v>0</v>
      </c>
      <c r="AA1497">
        <f t="shared" si="513"/>
        <v>0</v>
      </c>
      <c r="AB1497">
        <f t="shared" si="514"/>
        <v>0</v>
      </c>
      <c r="AC1497">
        <f t="shared" si="515"/>
        <v>0</v>
      </c>
      <c r="AD1497">
        <f t="shared" si="516"/>
        <v>0</v>
      </c>
      <c r="AE1497">
        <f t="shared" si="517"/>
        <v>0</v>
      </c>
      <c r="AF1497">
        <f t="shared" si="518"/>
        <v>0</v>
      </c>
      <c r="AG1497">
        <f t="shared" si="519"/>
        <v>0</v>
      </c>
      <c r="AH1497">
        <f t="shared" si="520"/>
        <v>0</v>
      </c>
      <c r="AI1497">
        <f t="shared" si="521"/>
        <v>0</v>
      </c>
      <c r="AJ1497" s="2" t="str">
        <f t="shared" si="531"/>
        <v>047331</v>
      </c>
    </row>
    <row r="1498" spans="1:36" x14ac:dyDescent="0.25">
      <c r="A1498">
        <v>1</v>
      </c>
      <c r="B1498" s="1">
        <v>47331</v>
      </c>
      <c r="C1498" s="1">
        <f t="shared" si="522"/>
        <v>47362</v>
      </c>
      <c r="D1498" s="1">
        <f t="shared" si="523"/>
        <v>47345</v>
      </c>
      <c r="E1498" s="1">
        <f t="shared" si="524"/>
        <v>47362</v>
      </c>
      <c r="F1498" s="1">
        <f t="shared" si="525"/>
        <v>47392</v>
      </c>
      <c r="G1498" s="1">
        <f t="shared" si="526"/>
        <v>47710</v>
      </c>
      <c r="H1498">
        <f t="shared" si="527"/>
        <v>365</v>
      </c>
      <c r="I1498">
        <f t="shared" si="528"/>
        <v>30</v>
      </c>
      <c r="J1498">
        <f t="shared" si="529"/>
        <v>8.2191780821917804E-2</v>
      </c>
      <c r="K1498">
        <f>IFERROR($J1498/IF($A1498&lt;COUNTIFS($K$1:K$1,"&lt;&gt;"),0,SUMIFS($J:$J,$B:$B,$B1498,$A:$A,"&gt;="&amp;COUNTIFS($K$1:K$1,"&lt;&gt;"))),0)</f>
        <v>8.6206896551724144E-2</v>
      </c>
      <c r="L1498">
        <f>IFERROR($J1498/IF($A1498&lt;COUNTIFS($K$1:L$1,"&lt;&gt;"),0,SUMIFS($J:$J,$B:$B,$B1498,$A:$A,"&gt;="&amp;COUNTIFS($K$1:L$1,"&lt;&gt;"))),0)</f>
        <v>0</v>
      </c>
      <c r="M1498">
        <f>IFERROR($J1498/IF($A1498&lt;COUNTIFS($K$1:M$1,"&lt;&gt;"),0,SUMIFS($J:$J,$B:$B,$B1498,$A:$A,"&gt;="&amp;COUNTIFS($K$1:M$1,"&lt;&gt;"))),0)</f>
        <v>0</v>
      </c>
      <c r="N1498">
        <f>IFERROR($J1498/IF($A1498&lt;COUNTIFS($K$1:N$1,"&lt;&gt;"),0,SUMIFS($J:$J,$B:$B,$B1498,$A:$A,"&gt;="&amp;COUNTIFS($K$1:N$1,"&lt;&gt;"))),0)</f>
        <v>0</v>
      </c>
      <c r="O1498">
        <f>IFERROR($J1498/IF($A1498&lt;COUNTIFS($K$1:O$1,"&lt;&gt;"),0,SUMIFS($J:$J,$B:$B,$B1498,$A:$A,"&gt;="&amp;COUNTIFS($K$1:O$1,"&lt;&gt;"))),0)</f>
        <v>0</v>
      </c>
      <c r="P1498">
        <f>IFERROR($J1498/IF($A1498&lt;COUNTIFS($K$1:P$1,"&lt;&gt;"),0,SUMIFS($J:$J,$B:$B,$B1498,$A:$A,"&gt;="&amp;COUNTIFS($K$1:P$1,"&lt;&gt;"))),0)</f>
        <v>0</v>
      </c>
      <c r="Q1498">
        <f>IFERROR($J1498/IF($A1498&lt;COUNTIFS($K$1:Q$1,"&lt;&gt;"),0,SUMIFS($J:$J,$B:$B,$B1498,$A:$A,"&gt;="&amp;COUNTIFS($K$1:Q$1,"&lt;&gt;"))),0)</f>
        <v>0</v>
      </c>
      <c r="R1498">
        <f>IFERROR($J1498/IF($A1498&lt;COUNTIFS($K$1:R$1,"&lt;&gt;"),0,SUMIFS($J:$J,$B:$B,$B1498,$A:$A,"&gt;="&amp;COUNTIFS($K$1:R$1,"&lt;&gt;"))),0)</f>
        <v>0</v>
      </c>
      <c r="S1498">
        <f>IFERROR($J1498/IF($A1498&lt;COUNTIFS($K$1:S$1,"&lt;&gt;"),0,SUMIFS($J:$J,$B:$B,$B1498,$A:$A,"&gt;="&amp;COUNTIFS($K$1:S$1,"&lt;&gt;"))),0)</f>
        <v>0</v>
      </c>
      <c r="T1498">
        <f>IFERROR($J1498/IF($A1498&lt;COUNTIFS($K$1:T$1,"&lt;&gt;"),0,SUMIFS($J:$J,$B:$B,$B1498,$A:$A,"&gt;="&amp;COUNTIFS($K$1:T$1,"&lt;&gt;"))),0)</f>
        <v>0</v>
      </c>
      <c r="U1498">
        <f>IFERROR($J1498/IF($A1498&lt;COUNTIFS($K$1:U$1,"&lt;&gt;"),0,SUMIFS($J:$J,$B:$B,$B1498,$A:$A,"&gt;="&amp;COUNTIFS($K$1:U$1,"&lt;&gt;"))),0)</f>
        <v>0</v>
      </c>
      <c r="V1498">
        <f>IFERROR($J1498/IF($A1498&lt;COUNTIFS($K$1:V$1,"&lt;&gt;"),0,SUMIFS($J:$J,$B:$B,$B1498,$A:$A,"&gt;="&amp;COUNTIFS($K$1:V$1,"&lt;&gt;"))),0)</f>
        <v>0</v>
      </c>
      <c r="W1498">
        <f t="shared" si="530"/>
        <v>8.2191780821917804E-2</v>
      </c>
      <c r="X1498">
        <f t="shared" si="510"/>
        <v>8.2191780821917804E-2</v>
      </c>
      <c r="Y1498">
        <f t="shared" si="511"/>
        <v>0</v>
      </c>
      <c r="Z1498">
        <f t="shared" si="512"/>
        <v>0</v>
      </c>
      <c r="AA1498">
        <f t="shared" si="513"/>
        <v>0</v>
      </c>
      <c r="AB1498">
        <f t="shared" si="514"/>
        <v>0</v>
      </c>
      <c r="AC1498">
        <f t="shared" si="515"/>
        <v>0</v>
      </c>
      <c r="AD1498">
        <f t="shared" si="516"/>
        <v>0</v>
      </c>
      <c r="AE1498">
        <f t="shared" si="517"/>
        <v>0</v>
      </c>
      <c r="AF1498">
        <f t="shared" si="518"/>
        <v>0</v>
      </c>
      <c r="AG1498">
        <f t="shared" si="519"/>
        <v>0</v>
      </c>
      <c r="AH1498">
        <f t="shared" si="520"/>
        <v>0</v>
      </c>
      <c r="AI1498">
        <f t="shared" si="521"/>
        <v>0</v>
      </c>
      <c r="AJ1498" s="2" t="str">
        <f t="shared" si="531"/>
        <v>147331</v>
      </c>
    </row>
    <row r="1499" spans="1:36" x14ac:dyDescent="0.25">
      <c r="A1499">
        <v>2</v>
      </c>
      <c r="B1499" s="1">
        <v>47331</v>
      </c>
      <c r="C1499" s="1">
        <f t="shared" si="522"/>
        <v>47392</v>
      </c>
      <c r="D1499" s="1">
        <f t="shared" si="523"/>
        <v>47345</v>
      </c>
      <c r="E1499" s="1">
        <f t="shared" si="524"/>
        <v>47392</v>
      </c>
      <c r="F1499" s="1">
        <f t="shared" si="525"/>
        <v>47423</v>
      </c>
      <c r="G1499" s="1">
        <f t="shared" si="526"/>
        <v>47710</v>
      </c>
      <c r="H1499">
        <f t="shared" si="527"/>
        <v>365</v>
      </c>
      <c r="I1499">
        <f t="shared" si="528"/>
        <v>31</v>
      </c>
      <c r="J1499">
        <f t="shared" si="529"/>
        <v>8.4931506849315067E-2</v>
      </c>
      <c r="K1499">
        <f>IFERROR($J1499/IF($A1499&lt;COUNTIFS($K$1:K$1,"&lt;&gt;"),0,SUMIFS($J:$J,$B:$B,$B1499,$A:$A,"&gt;="&amp;COUNTIFS($K$1:K$1,"&lt;&gt;"))),0)</f>
        <v>8.9080459770114959E-2</v>
      </c>
      <c r="L1499">
        <f>IFERROR($J1499/IF($A1499&lt;COUNTIFS($K$1:L$1,"&lt;&gt;"),0,SUMIFS($J:$J,$B:$B,$B1499,$A:$A,"&gt;="&amp;COUNTIFS($K$1:L$1,"&lt;&gt;"))),0)</f>
        <v>9.7484276729559768E-2</v>
      </c>
      <c r="M1499">
        <f>IFERROR($J1499/IF($A1499&lt;COUNTIFS($K$1:M$1,"&lt;&gt;"),0,SUMIFS($J:$J,$B:$B,$B1499,$A:$A,"&gt;="&amp;COUNTIFS($K$1:M$1,"&lt;&gt;"))),0)</f>
        <v>0</v>
      </c>
      <c r="N1499">
        <f>IFERROR($J1499/IF($A1499&lt;COUNTIFS($K$1:N$1,"&lt;&gt;"),0,SUMIFS($J:$J,$B:$B,$B1499,$A:$A,"&gt;="&amp;COUNTIFS($K$1:N$1,"&lt;&gt;"))),0)</f>
        <v>0</v>
      </c>
      <c r="O1499">
        <f>IFERROR($J1499/IF($A1499&lt;COUNTIFS($K$1:O$1,"&lt;&gt;"),0,SUMIFS($J:$J,$B:$B,$B1499,$A:$A,"&gt;="&amp;COUNTIFS($K$1:O$1,"&lt;&gt;"))),0)</f>
        <v>0</v>
      </c>
      <c r="P1499">
        <f>IFERROR($J1499/IF($A1499&lt;COUNTIFS($K$1:P$1,"&lt;&gt;"),0,SUMIFS($J:$J,$B:$B,$B1499,$A:$A,"&gt;="&amp;COUNTIFS($K$1:P$1,"&lt;&gt;"))),0)</f>
        <v>0</v>
      </c>
      <c r="Q1499">
        <f>IFERROR($J1499/IF($A1499&lt;COUNTIFS($K$1:Q$1,"&lt;&gt;"),0,SUMIFS($J:$J,$B:$B,$B1499,$A:$A,"&gt;="&amp;COUNTIFS($K$1:Q$1,"&lt;&gt;"))),0)</f>
        <v>0</v>
      </c>
      <c r="R1499">
        <f>IFERROR($J1499/IF($A1499&lt;COUNTIFS($K$1:R$1,"&lt;&gt;"),0,SUMIFS($J:$J,$B:$B,$B1499,$A:$A,"&gt;="&amp;COUNTIFS($K$1:R$1,"&lt;&gt;"))),0)</f>
        <v>0</v>
      </c>
      <c r="S1499">
        <f>IFERROR($J1499/IF($A1499&lt;COUNTIFS($K$1:S$1,"&lt;&gt;"),0,SUMIFS($J:$J,$B:$B,$B1499,$A:$A,"&gt;="&amp;COUNTIFS($K$1:S$1,"&lt;&gt;"))),0)</f>
        <v>0</v>
      </c>
      <c r="T1499">
        <f>IFERROR($J1499/IF($A1499&lt;COUNTIFS($K$1:T$1,"&lt;&gt;"),0,SUMIFS($J:$J,$B:$B,$B1499,$A:$A,"&gt;="&amp;COUNTIFS($K$1:T$1,"&lt;&gt;"))),0)</f>
        <v>0</v>
      </c>
      <c r="U1499">
        <f>IFERROR($J1499/IF($A1499&lt;COUNTIFS($K$1:U$1,"&lt;&gt;"),0,SUMIFS($J:$J,$B:$B,$B1499,$A:$A,"&gt;="&amp;COUNTIFS($K$1:U$1,"&lt;&gt;"))),0)</f>
        <v>0</v>
      </c>
      <c r="V1499">
        <f>IFERROR($J1499/IF($A1499&lt;COUNTIFS($K$1:V$1,"&lt;&gt;"),0,SUMIFS($J:$J,$B:$B,$B1499,$A:$A,"&gt;="&amp;COUNTIFS($K$1:V$1,"&lt;&gt;"))),0)</f>
        <v>0</v>
      </c>
      <c r="W1499">
        <f t="shared" si="530"/>
        <v>8.4931506849315067E-2</v>
      </c>
      <c r="X1499">
        <f t="shared" si="510"/>
        <v>8.4931506849315067E-2</v>
      </c>
      <c r="Y1499">
        <f t="shared" si="511"/>
        <v>8.4931506849315067E-2</v>
      </c>
      <c r="Z1499">
        <f t="shared" si="512"/>
        <v>0</v>
      </c>
      <c r="AA1499">
        <f t="shared" si="513"/>
        <v>0</v>
      </c>
      <c r="AB1499">
        <f t="shared" si="514"/>
        <v>0</v>
      </c>
      <c r="AC1499">
        <f t="shared" si="515"/>
        <v>0</v>
      </c>
      <c r="AD1499">
        <f t="shared" si="516"/>
        <v>0</v>
      </c>
      <c r="AE1499">
        <f t="shared" si="517"/>
        <v>0</v>
      </c>
      <c r="AF1499">
        <f t="shared" si="518"/>
        <v>0</v>
      </c>
      <c r="AG1499">
        <f t="shared" si="519"/>
        <v>0</v>
      </c>
      <c r="AH1499">
        <f t="shared" si="520"/>
        <v>0</v>
      </c>
      <c r="AI1499">
        <f t="shared" si="521"/>
        <v>0</v>
      </c>
      <c r="AJ1499" s="2" t="str">
        <f t="shared" si="531"/>
        <v>247331</v>
      </c>
    </row>
    <row r="1500" spans="1:36" x14ac:dyDescent="0.25">
      <c r="A1500">
        <v>3</v>
      </c>
      <c r="B1500" s="1">
        <v>47331</v>
      </c>
      <c r="C1500" s="1">
        <f t="shared" si="522"/>
        <v>47423</v>
      </c>
      <c r="D1500" s="1">
        <f t="shared" si="523"/>
        <v>47345</v>
      </c>
      <c r="E1500" s="1">
        <f t="shared" si="524"/>
        <v>47423</v>
      </c>
      <c r="F1500" s="1">
        <f t="shared" si="525"/>
        <v>47453</v>
      </c>
      <c r="G1500" s="1">
        <f t="shared" si="526"/>
        <v>47710</v>
      </c>
      <c r="H1500">
        <f t="shared" si="527"/>
        <v>365</v>
      </c>
      <c r="I1500">
        <f t="shared" si="528"/>
        <v>30</v>
      </c>
      <c r="J1500">
        <f t="shared" si="529"/>
        <v>8.2191780821917804E-2</v>
      </c>
      <c r="K1500">
        <f>IFERROR($J1500/IF($A1500&lt;COUNTIFS($K$1:K$1,"&lt;&gt;"),0,SUMIFS($J:$J,$B:$B,$B1500,$A:$A,"&gt;="&amp;COUNTIFS($K$1:K$1,"&lt;&gt;"))),0)</f>
        <v>8.6206896551724144E-2</v>
      </c>
      <c r="L1500">
        <f>IFERROR($J1500/IF($A1500&lt;COUNTIFS($K$1:L$1,"&lt;&gt;"),0,SUMIFS($J:$J,$B:$B,$B1500,$A:$A,"&gt;="&amp;COUNTIFS($K$1:L$1,"&lt;&gt;"))),0)</f>
        <v>9.4339622641509441E-2</v>
      </c>
      <c r="M1500">
        <f>IFERROR($J1500/IF($A1500&lt;COUNTIFS($K$1:M$1,"&lt;&gt;"),0,SUMIFS($J:$J,$B:$B,$B1500,$A:$A,"&gt;="&amp;COUNTIFS($K$1:M$1,"&lt;&gt;"))),0)</f>
        <v>0.10452961672473869</v>
      </c>
      <c r="N1500">
        <f>IFERROR($J1500/IF($A1500&lt;COUNTIFS($K$1:N$1,"&lt;&gt;"),0,SUMIFS($J:$J,$B:$B,$B1500,$A:$A,"&gt;="&amp;COUNTIFS($K$1:N$1,"&lt;&gt;"))),0)</f>
        <v>0</v>
      </c>
      <c r="O1500">
        <f>IFERROR($J1500/IF($A1500&lt;COUNTIFS($K$1:O$1,"&lt;&gt;"),0,SUMIFS($J:$J,$B:$B,$B1500,$A:$A,"&gt;="&amp;COUNTIFS($K$1:O$1,"&lt;&gt;"))),0)</f>
        <v>0</v>
      </c>
      <c r="P1500">
        <f>IFERROR($J1500/IF($A1500&lt;COUNTIFS($K$1:P$1,"&lt;&gt;"),0,SUMIFS($J:$J,$B:$B,$B1500,$A:$A,"&gt;="&amp;COUNTIFS($K$1:P$1,"&lt;&gt;"))),0)</f>
        <v>0</v>
      </c>
      <c r="Q1500">
        <f>IFERROR($J1500/IF($A1500&lt;COUNTIFS($K$1:Q$1,"&lt;&gt;"),0,SUMIFS($J:$J,$B:$B,$B1500,$A:$A,"&gt;="&amp;COUNTIFS($K$1:Q$1,"&lt;&gt;"))),0)</f>
        <v>0</v>
      </c>
      <c r="R1500">
        <f>IFERROR($J1500/IF($A1500&lt;COUNTIFS($K$1:R$1,"&lt;&gt;"),0,SUMIFS($J:$J,$B:$B,$B1500,$A:$A,"&gt;="&amp;COUNTIFS($K$1:R$1,"&lt;&gt;"))),0)</f>
        <v>0</v>
      </c>
      <c r="S1500">
        <f>IFERROR($J1500/IF($A1500&lt;COUNTIFS($K$1:S$1,"&lt;&gt;"),0,SUMIFS($J:$J,$B:$B,$B1500,$A:$A,"&gt;="&amp;COUNTIFS($K$1:S$1,"&lt;&gt;"))),0)</f>
        <v>0</v>
      </c>
      <c r="T1500">
        <f>IFERROR($J1500/IF($A1500&lt;COUNTIFS($K$1:T$1,"&lt;&gt;"),0,SUMIFS($J:$J,$B:$B,$B1500,$A:$A,"&gt;="&amp;COUNTIFS($K$1:T$1,"&lt;&gt;"))),0)</f>
        <v>0</v>
      </c>
      <c r="U1500">
        <f>IFERROR($J1500/IF($A1500&lt;COUNTIFS($K$1:U$1,"&lt;&gt;"),0,SUMIFS($J:$J,$B:$B,$B1500,$A:$A,"&gt;="&amp;COUNTIFS($K$1:U$1,"&lt;&gt;"))),0)</f>
        <v>0</v>
      </c>
      <c r="V1500">
        <f>IFERROR($J1500/IF($A1500&lt;COUNTIFS($K$1:V$1,"&lt;&gt;"),0,SUMIFS($J:$J,$B:$B,$B1500,$A:$A,"&gt;="&amp;COUNTIFS($K$1:V$1,"&lt;&gt;"))),0)</f>
        <v>0</v>
      </c>
      <c r="W1500">
        <f t="shared" si="530"/>
        <v>8.2191780821917804E-2</v>
      </c>
      <c r="X1500">
        <f t="shared" si="510"/>
        <v>8.2191780821917804E-2</v>
      </c>
      <c r="Y1500">
        <f t="shared" si="511"/>
        <v>8.2191780821917804E-2</v>
      </c>
      <c r="Z1500">
        <f t="shared" si="512"/>
        <v>8.2191780821917804E-2</v>
      </c>
      <c r="AA1500">
        <f t="shared" si="513"/>
        <v>0</v>
      </c>
      <c r="AB1500">
        <f t="shared" si="514"/>
        <v>0</v>
      </c>
      <c r="AC1500">
        <f t="shared" si="515"/>
        <v>0</v>
      </c>
      <c r="AD1500">
        <f t="shared" si="516"/>
        <v>0</v>
      </c>
      <c r="AE1500">
        <f t="shared" si="517"/>
        <v>0</v>
      </c>
      <c r="AF1500">
        <f t="shared" si="518"/>
        <v>0</v>
      </c>
      <c r="AG1500">
        <f t="shared" si="519"/>
        <v>0</v>
      </c>
      <c r="AH1500">
        <f t="shared" si="520"/>
        <v>0</v>
      </c>
      <c r="AI1500">
        <f t="shared" si="521"/>
        <v>0</v>
      </c>
      <c r="AJ1500" s="2" t="str">
        <f t="shared" si="531"/>
        <v>347331</v>
      </c>
    </row>
    <row r="1501" spans="1:36" x14ac:dyDescent="0.25">
      <c r="A1501">
        <v>4</v>
      </c>
      <c r="B1501" s="1">
        <v>47331</v>
      </c>
      <c r="C1501" s="1">
        <f t="shared" si="522"/>
        <v>47453</v>
      </c>
      <c r="D1501" s="1">
        <f t="shared" si="523"/>
        <v>47345</v>
      </c>
      <c r="E1501" s="1">
        <f t="shared" si="524"/>
        <v>47453</v>
      </c>
      <c r="F1501" s="1">
        <f t="shared" si="525"/>
        <v>47484</v>
      </c>
      <c r="G1501" s="1">
        <f t="shared" si="526"/>
        <v>47710</v>
      </c>
      <c r="H1501">
        <f t="shared" si="527"/>
        <v>365</v>
      </c>
      <c r="I1501">
        <f t="shared" si="528"/>
        <v>31</v>
      </c>
      <c r="J1501">
        <f t="shared" si="529"/>
        <v>8.4931506849315067E-2</v>
      </c>
      <c r="K1501">
        <f>IFERROR($J1501/IF($A1501&lt;COUNTIFS($K$1:K$1,"&lt;&gt;"),0,SUMIFS($J:$J,$B:$B,$B1501,$A:$A,"&gt;="&amp;COUNTIFS($K$1:K$1,"&lt;&gt;"))),0)</f>
        <v>8.9080459770114959E-2</v>
      </c>
      <c r="L1501">
        <f>IFERROR($J1501/IF($A1501&lt;COUNTIFS($K$1:L$1,"&lt;&gt;"),0,SUMIFS($J:$J,$B:$B,$B1501,$A:$A,"&gt;="&amp;COUNTIFS($K$1:L$1,"&lt;&gt;"))),0)</f>
        <v>9.7484276729559768E-2</v>
      </c>
      <c r="M1501">
        <f>IFERROR($J1501/IF($A1501&lt;COUNTIFS($K$1:M$1,"&lt;&gt;"),0,SUMIFS($J:$J,$B:$B,$B1501,$A:$A,"&gt;="&amp;COUNTIFS($K$1:M$1,"&lt;&gt;"))),0)</f>
        <v>0.10801393728222998</v>
      </c>
      <c r="N1501">
        <f>IFERROR($J1501/IF($A1501&lt;COUNTIFS($K$1:N$1,"&lt;&gt;"),0,SUMIFS($J:$J,$B:$B,$B1501,$A:$A,"&gt;="&amp;COUNTIFS($K$1:N$1,"&lt;&gt;"))),0)</f>
        <v>0.12062256809338523</v>
      </c>
      <c r="O1501">
        <f>IFERROR($J1501/IF($A1501&lt;COUNTIFS($K$1:O$1,"&lt;&gt;"),0,SUMIFS($J:$J,$B:$B,$B1501,$A:$A,"&gt;="&amp;COUNTIFS($K$1:O$1,"&lt;&gt;"))),0)</f>
        <v>0</v>
      </c>
      <c r="P1501">
        <f>IFERROR($J1501/IF($A1501&lt;COUNTIFS($K$1:P$1,"&lt;&gt;"),0,SUMIFS($J:$J,$B:$B,$B1501,$A:$A,"&gt;="&amp;COUNTIFS($K$1:P$1,"&lt;&gt;"))),0)</f>
        <v>0</v>
      </c>
      <c r="Q1501">
        <f>IFERROR($J1501/IF($A1501&lt;COUNTIFS($K$1:Q$1,"&lt;&gt;"),0,SUMIFS($J:$J,$B:$B,$B1501,$A:$A,"&gt;="&amp;COUNTIFS($K$1:Q$1,"&lt;&gt;"))),0)</f>
        <v>0</v>
      </c>
      <c r="R1501">
        <f>IFERROR($J1501/IF($A1501&lt;COUNTIFS($K$1:R$1,"&lt;&gt;"),0,SUMIFS($J:$J,$B:$B,$B1501,$A:$A,"&gt;="&amp;COUNTIFS($K$1:R$1,"&lt;&gt;"))),0)</f>
        <v>0</v>
      </c>
      <c r="S1501">
        <f>IFERROR($J1501/IF($A1501&lt;COUNTIFS($K$1:S$1,"&lt;&gt;"),0,SUMIFS($J:$J,$B:$B,$B1501,$A:$A,"&gt;="&amp;COUNTIFS($K$1:S$1,"&lt;&gt;"))),0)</f>
        <v>0</v>
      </c>
      <c r="T1501">
        <f>IFERROR($J1501/IF($A1501&lt;COUNTIFS($K$1:T$1,"&lt;&gt;"),0,SUMIFS($J:$J,$B:$B,$B1501,$A:$A,"&gt;="&amp;COUNTIFS($K$1:T$1,"&lt;&gt;"))),0)</f>
        <v>0</v>
      </c>
      <c r="U1501">
        <f>IFERROR($J1501/IF($A1501&lt;COUNTIFS($K$1:U$1,"&lt;&gt;"),0,SUMIFS($J:$J,$B:$B,$B1501,$A:$A,"&gt;="&amp;COUNTIFS($K$1:U$1,"&lt;&gt;"))),0)</f>
        <v>0</v>
      </c>
      <c r="V1501">
        <f>IFERROR($J1501/IF($A1501&lt;COUNTIFS($K$1:V$1,"&lt;&gt;"),0,SUMIFS($J:$J,$B:$B,$B1501,$A:$A,"&gt;="&amp;COUNTIFS($K$1:V$1,"&lt;&gt;"))),0)</f>
        <v>0</v>
      </c>
      <c r="W1501">
        <f t="shared" si="530"/>
        <v>8.4931506849315067E-2</v>
      </c>
      <c r="X1501">
        <f t="shared" si="510"/>
        <v>8.4931506849315067E-2</v>
      </c>
      <c r="Y1501">
        <f t="shared" si="511"/>
        <v>8.4931506849315067E-2</v>
      </c>
      <c r="Z1501">
        <f t="shared" si="512"/>
        <v>8.4931506849315067E-2</v>
      </c>
      <c r="AA1501">
        <f t="shared" si="513"/>
        <v>8.4931506849315067E-2</v>
      </c>
      <c r="AB1501">
        <f t="shared" si="514"/>
        <v>0</v>
      </c>
      <c r="AC1501">
        <f t="shared" si="515"/>
        <v>0</v>
      </c>
      <c r="AD1501">
        <f t="shared" si="516"/>
        <v>0</v>
      </c>
      <c r="AE1501">
        <f t="shared" si="517"/>
        <v>0</v>
      </c>
      <c r="AF1501">
        <f t="shared" si="518"/>
        <v>0</v>
      </c>
      <c r="AG1501">
        <f t="shared" si="519"/>
        <v>0</v>
      </c>
      <c r="AH1501">
        <f t="shared" si="520"/>
        <v>0</v>
      </c>
      <c r="AI1501">
        <f t="shared" si="521"/>
        <v>0</v>
      </c>
      <c r="AJ1501" s="2" t="str">
        <f t="shared" si="531"/>
        <v>447331</v>
      </c>
    </row>
    <row r="1502" spans="1:36" x14ac:dyDescent="0.25">
      <c r="A1502">
        <v>5</v>
      </c>
      <c r="B1502" s="1">
        <v>47331</v>
      </c>
      <c r="C1502" s="1">
        <f t="shared" si="522"/>
        <v>47484</v>
      </c>
      <c r="D1502" s="1">
        <f t="shared" si="523"/>
        <v>47345</v>
      </c>
      <c r="E1502" s="1">
        <f t="shared" si="524"/>
        <v>47484</v>
      </c>
      <c r="F1502" s="1">
        <f t="shared" si="525"/>
        <v>47515</v>
      </c>
      <c r="G1502" s="1">
        <f t="shared" si="526"/>
        <v>47710</v>
      </c>
      <c r="H1502">
        <f t="shared" si="527"/>
        <v>365</v>
      </c>
      <c r="I1502">
        <f t="shared" si="528"/>
        <v>31</v>
      </c>
      <c r="J1502">
        <f t="shared" si="529"/>
        <v>8.4931506849315067E-2</v>
      </c>
      <c r="K1502">
        <f>IFERROR($J1502/IF($A1502&lt;COUNTIFS($K$1:K$1,"&lt;&gt;"),0,SUMIFS($J:$J,$B:$B,$B1502,$A:$A,"&gt;="&amp;COUNTIFS($K$1:K$1,"&lt;&gt;"))),0)</f>
        <v>8.9080459770114959E-2</v>
      </c>
      <c r="L1502">
        <f>IFERROR($J1502/IF($A1502&lt;COUNTIFS($K$1:L$1,"&lt;&gt;"),0,SUMIFS($J:$J,$B:$B,$B1502,$A:$A,"&gt;="&amp;COUNTIFS($K$1:L$1,"&lt;&gt;"))),0)</f>
        <v>9.7484276729559768E-2</v>
      </c>
      <c r="M1502">
        <f>IFERROR($J1502/IF($A1502&lt;COUNTIFS($K$1:M$1,"&lt;&gt;"),0,SUMIFS($J:$J,$B:$B,$B1502,$A:$A,"&gt;="&amp;COUNTIFS($K$1:M$1,"&lt;&gt;"))),0)</f>
        <v>0.10801393728222998</v>
      </c>
      <c r="N1502">
        <f>IFERROR($J1502/IF($A1502&lt;COUNTIFS($K$1:N$1,"&lt;&gt;"),0,SUMIFS($J:$J,$B:$B,$B1502,$A:$A,"&gt;="&amp;COUNTIFS($K$1:N$1,"&lt;&gt;"))),0)</f>
        <v>0.12062256809338523</v>
      </c>
      <c r="O1502">
        <f>IFERROR($J1502/IF($A1502&lt;COUNTIFS($K$1:O$1,"&lt;&gt;"),0,SUMIFS($J:$J,$B:$B,$B1502,$A:$A,"&gt;="&amp;COUNTIFS($K$1:O$1,"&lt;&gt;"))),0)</f>
        <v>0.13716814159292037</v>
      </c>
      <c r="P1502">
        <f>IFERROR($J1502/IF($A1502&lt;COUNTIFS($K$1:P$1,"&lt;&gt;"),0,SUMIFS($J:$J,$B:$B,$B1502,$A:$A,"&gt;="&amp;COUNTIFS($K$1:P$1,"&lt;&gt;"))),0)</f>
        <v>0</v>
      </c>
      <c r="Q1502">
        <f>IFERROR($J1502/IF($A1502&lt;COUNTIFS($K$1:Q$1,"&lt;&gt;"),0,SUMIFS($J:$J,$B:$B,$B1502,$A:$A,"&gt;="&amp;COUNTIFS($K$1:Q$1,"&lt;&gt;"))),0)</f>
        <v>0</v>
      </c>
      <c r="R1502">
        <f>IFERROR($J1502/IF($A1502&lt;COUNTIFS($K$1:R$1,"&lt;&gt;"),0,SUMIFS($J:$J,$B:$B,$B1502,$A:$A,"&gt;="&amp;COUNTIFS($K$1:R$1,"&lt;&gt;"))),0)</f>
        <v>0</v>
      </c>
      <c r="S1502">
        <f>IFERROR($J1502/IF($A1502&lt;COUNTIFS($K$1:S$1,"&lt;&gt;"),0,SUMIFS($J:$J,$B:$B,$B1502,$A:$A,"&gt;="&amp;COUNTIFS($K$1:S$1,"&lt;&gt;"))),0)</f>
        <v>0</v>
      </c>
      <c r="T1502">
        <f>IFERROR($J1502/IF($A1502&lt;COUNTIFS($K$1:T$1,"&lt;&gt;"),0,SUMIFS($J:$J,$B:$B,$B1502,$A:$A,"&gt;="&amp;COUNTIFS($K$1:T$1,"&lt;&gt;"))),0)</f>
        <v>0</v>
      </c>
      <c r="U1502">
        <f>IFERROR($J1502/IF($A1502&lt;COUNTIFS($K$1:U$1,"&lt;&gt;"),0,SUMIFS($J:$J,$B:$B,$B1502,$A:$A,"&gt;="&amp;COUNTIFS($K$1:U$1,"&lt;&gt;"))),0)</f>
        <v>0</v>
      </c>
      <c r="V1502">
        <f>IFERROR($J1502/IF($A1502&lt;COUNTIFS($K$1:V$1,"&lt;&gt;"),0,SUMIFS($J:$J,$B:$B,$B1502,$A:$A,"&gt;="&amp;COUNTIFS($K$1:V$1,"&lt;&gt;"))),0)</f>
        <v>0</v>
      </c>
      <c r="W1502">
        <f t="shared" si="530"/>
        <v>8.4931506849315067E-2</v>
      </c>
      <c r="X1502">
        <f t="shared" si="510"/>
        <v>8.4931506849315067E-2</v>
      </c>
      <c r="Y1502">
        <f t="shared" si="511"/>
        <v>8.4931506849315067E-2</v>
      </c>
      <c r="Z1502">
        <f t="shared" si="512"/>
        <v>8.4931506849315067E-2</v>
      </c>
      <c r="AA1502">
        <f t="shared" si="513"/>
        <v>8.4931506849315067E-2</v>
      </c>
      <c r="AB1502">
        <f t="shared" si="514"/>
        <v>8.4931506849315067E-2</v>
      </c>
      <c r="AC1502">
        <f t="shared" si="515"/>
        <v>0</v>
      </c>
      <c r="AD1502">
        <f t="shared" si="516"/>
        <v>0</v>
      </c>
      <c r="AE1502">
        <f t="shared" si="517"/>
        <v>0</v>
      </c>
      <c r="AF1502">
        <f t="shared" si="518"/>
        <v>0</v>
      </c>
      <c r="AG1502">
        <f t="shared" si="519"/>
        <v>0</v>
      </c>
      <c r="AH1502">
        <f t="shared" si="520"/>
        <v>0</v>
      </c>
      <c r="AI1502">
        <f t="shared" si="521"/>
        <v>0</v>
      </c>
      <c r="AJ1502" s="2" t="str">
        <f t="shared" si="531"/>
        <v>547331</v>
      </c>
    </row>
    <row r="1503" spans="1:36" x14ac:dyDescent="0.25">
      <c r="A1503">
        <v>6</v>
      </c>
      <c r="B1503" s="1">
        <v>47331</v>
      </c>
      <c r="C1503" s="1">
        <f t="shared" si="522"/>
        <v>47515</v>
      </c>
      <c r="D1503" s="1">
        <f t="shared" si="523"/>
        <v>47345</v>
      </c>
      <c r="E1503" s="1">
        <f t="shared" si="524"/>
        <v>47515</v>
      </c>
      <c r="F1503" s="1">
        <f t="shared" si="525"/>
        <v>47543</v>
      </c>
      <c r="G1503" s="1">
        <f t="shared" si="526"/>
        <v>47710</v>
      </c>
      <c r="H1503">
        <f t="shared" si="527"/>
        <v>365</v>
      </c>
      <c r="I1503">
        <f t="shared" si="528"/>
        <v>28</v>
      </c>
      <c r="J1503">
        <f t="shared" si="529"/>
        <v>7.6712328767123292E-2</v>
      </c>
      <c r="K1503">
        <f>IFERROR($J1503/IF($A1503&lt;COUNTIFS($K$1:K$1,"&lt;&gt;"),0,SUMIFS($J:$J,$B:$B,$B1503,$A:$A,"&gt;="&amp;COUNTIFS($K$1:K$1,"&lt;&gt;"))),0)</f>
        <v>8.0459770114942541E-2</v>
      </c>
      <c r="L1503">
        <f>IFERROR($J1503/IF($A1503&lt;COUNTIFS($K$1:L$1,"&lt;&gt;"),0,SUMIFS($J:$J,$B:$B,$B1503,$A:$A,"&gt;="&amp;COUNTIFS($K$1:L$1,"&lt;&gt;"))),0)</f>
        <v>8.8050314465408827E-2</v>
      </c>
      <c r="M1503">
        <f>IFERROR($J1503/IF($A1503&lt;COUNTIFS($K$1:M$1,"&lt;&gt;"),0,SUMIFS($J:$J,$B:$B,$B1503,$A:$A,"&gt;="&amp;COUNTIFS($K$1:M$1,"&lt;&gt;"))),0)</f>
        <v>9.7560975609756115E-2</v>
      </c>
      <c r="N1503">
        <f>IFERROR($J1503/IF($A1503&lt;COUNTIFS($K$1:N$1,"&lt;&gt;"),0,SUMIFS($J:$J,$B:$B,$B1503,$A:$A,"&gt;="&amp;COUNTIFS($K$1:N$1,"&lt;&gt;"))),0)</f>
        <v>0.10894941634241248</v>
      </c>
      <c r="O1503">
        <f>IFERROR($J1503/IF($A1503&lt;COUNTIFS($K$1:O$1,"&lt;&gt;"),0,SUMIFS($J:$J,$B:$B,$B1503,$A:$A,"&gt;="&amp;COUNTIFS($K$1:O$1,"&lt;&gt;"))),0)</f>
        <v>0.12389380530973454</v>
      </c>
      <c r="P1503">
        <f>IFERROR($J1503/IF($A1503&lt;COUNTIFS($K$1:P$1,"&lt;&gt;"),0,SUMIFS($J:$J,$B:$B,$B1503,$A:$A,"&gt;="&amp;COUNTIFS($K$1:P$1,"&lt;&gt;"))),0)</f>
        <v>0.14358974358974361</v>
      </c>
      <c r="Q1503">
        <f>IFERROR($J1503/IF($A1503&lt;COUNTIFS($K$1:Q$1,"&lt;&gt;"),0,SUMIFS($J:$J,$B:$B,$B1503,$A:$A,"&gt;="&amp;COUNTIFS($K$1:Q$1,"&lt;&gt;"))),0)</f>
        <v>0</v>
      </c>
      <c r="R1503">
        <f>IFERROR($J1503/IF($A1503&lt;COUNTIFS($K$1:R$1,"&lt;&gt;"),0,SUMIFS($J:$J,$B:$B,$B1503,$A:$A,"&gt;="&amp;COUNTIFS($K$1:R$1,"&lt;&gt;"))),0)</f>
        <v>0</v>
      </c>
      <c r="S1503">
        <f>IFERROR($J1503/IF($A1503&lt;COUNTIFS($K$1:S$1,"&lt;&gt;"),0,SUMIFS($J:$J,$B:$B,$B1503,$A:$A,"&gt;="&amp;COUNTIFS($K$1:S$1,"&lt;&gt;"))),0)</f>
        <v>0</v>
      </c>
      <c r="T1503">
        <f>IFERROR($J1503/IF($A1503&lt;COUNTIFS($K$1:T$1,"&lt;&gt;"),0,SUMIFS($J:$J,$B:$B,$B1503,$A:$A,"&gt;="&amp;COUNTIFS($K$1:T$1,"&lt;&gt;"))),0)</f>
        <v>0</v>
      </c>
      <c r="U1503">
        <f>IFERROR($J1503/IF($A1503&lt;COUNTIFS($K$1:U$1,"&lt;&gt;"),0,SUMIFS($J:$J,$B:$B,$B1503,$A:$A,"&gt;="&amp;COUNTIFS($K$1:U$1,"&lt;&gt;"))),0)</f>
        <v>0</v>
      </c>
      <c r="V1503">
        <f>IFERROR($J1503/IF($A1503&lt;COUNTIFS($K$1:V$1,"&lt;&gt;"),0,SUMIFS($J:$J,$B:$B,$B1503,$A:$A,"&gt;="&amp;COUNTIFS($K$1:V$1,"&lt;&gt;"))),0)</f>
        <v>0</v>
      </c>
      <c r="W1503">
        <f t="shared" si="530"/>
        <v>7.6712328767123292E-2</v>
      </c>
      <c r="X1503">
        <f t="shared" si="510"/>
        <v>7.6712328767123292E-2</v>
      </c>
      <c r="Y1503">
        <f t="shared" si="511"/>
        <v>7.6712328767123292E-2</v>
      </c>
      <c r="Z1503">
        <f t="shared" si="512"/>
        <v>7.6712328767123292E-2</v>
      </c>
      <c r="AA1503">
        <f t="shared" si="513"/>
        <v>7.6712328767123292E-2</v>
      </c>
      <c r="AB1503">
        <f t="shared" si="514"/>
        <v>7.6712328767123292E-2</v>
      </c>
      <c r="AC1503">
        <f t="shared" si="515"/>
        <v>7.6712328767123292E-2</v>
      </c>
      <c r="AD1503">
        <f t="shared" si="516"/>
        <v>0</v>
      </c>
      <c r="AE1503">
        <f t="shared" si="517"/>
        <v>0</v>
      </c>
      <c r="AF1503">
        <f t="shared" si="518"/>
        <v>0</v>
      </c>
      <c r="AG1503">
        <f t="shared" si="519"/>
        <v>0</v>
      </c>
      <c r="AH1503">
        <f t="shared" si="520"/>
        <v>0</v>
      </c>
      <c r="AI1503">
        <f t="shared" si="521"/>
        <v>0</v>
      </c>
      <c r="AJ1503" s="2" t="str">
        <f t="shared" si="531"/>
        <v>647331</v>
      </c>
    </row>
    <row r="1504" spans="1:36" x14ac:dyDescent="0.25">
      <c r="A1504">
        <v>7</v>
      </c>
      <c r="B1504" s="1">
        <v>47331</v>
      </c>
      <c r="C1504" s="1">
        <f t="shared" si="522"/>
        <v>47543</v>
      </c>
      <c r="D1504" s="1">
        <f t="shared" si="523"/>
        <v>47345</v>
      </c>
      <c r="E1504" s="1">
        <f t="shared" si="524"/>
        <v>47543</v>
      </c>
      <c r="F1504" s="1">
        <f t="shared" si="525"/>
        <v>47574</v>
      </c>
      <c r="G1504" s="1">
        <f t="shared" si="526"/>
        <v>47710</v>
      </c>
      <c r="H1504">
        <f t="shared" si="527"/>
        <v>365</v>
      </c>
      <c r="I1504">
        <f t="shared" si="528"/>
        <v>31</v>
      </c>
      <c r="J1504">
        <f t="shared" si="529"/>
        <v>8.4931506849315067E-2</v>
      </c>
      <c r="K1504">
        <f>IFERROR($J1504/IF($A1504&lt;COUNTIFS($K$1:K$1,"&lt;&gt;"),0,SUMIFS($J:$J,$B:$B,$B1504,$A:$A,"&gt;="&amp;COUNTIFS($K$1:K$1,"&lt;&gt;"))),0)</f>
        <v>8.9080459770114959E-2</v>
      </c>
      <c r="L1504">
        <f>IFERROR($J1504/IF($A1504&lt;COUNTIFS($K$1:L$1,"&lt;&gt;"),0,SUMIFS($J:$J,$B:$B,$B1504,$A:$A,"&gt;="&amp;COUNTIFS($K$1:L$1,"&lt;&gt;"))),0)</f>
        <v>9.7484276729559768E-2</v>
      </c>
      <c r="M1504">
        <f>IFERROR($J1504/IF($A1504&lt;COUNTIFS($K$1:M$1,"&lt;&gt;"),0,SUMIFS($J:$J,$B:$B,$B1504,$A:$A,"&gt;="&amp;COUNTIFS($K$1:M$1,"&lt;&gt;"))),0)</f>
        <v>0.10801393728222998</v>
      </c>
      <c r="N1504">
        <f>IFERROR($J1504/IF($A1504&lt;COUNTIFS($K$1:N$1,"&lt;&gt;"),0,SUMIFS($J:$J,$B:$B,$B1504,$A:$A,"&gt;="&amp;COUNTIFS($K$1:N$1,"&lt;&gt;"))),0)</f>
        <v>0.12062256809338523</v>
      </c>
      <c r="O1504">
        <f>IFERROR($J1504/IF($A1504&lt;COUNTIFS($K$1:O$1,"&lt;&gt;"),0,SUMIFS($J:$J,$B:$B,$B1504,$A:$A,"&gt;="&amp;COUNTIFS($K$1:O$1,"&lt;&gt;"))),0)</f>
        <v>0.13716814159292037</v>
      </c>
      <c r="P1504">
        <f>IFERROR($J1504/IF($A1504&lt;COUNTIFS($K$1:P$1,"&lt;&gt;"),0,SUMIFS($J:$J,$B:$B,$B1504,$A:$A,"&gt;="&amp;COUNTIFS($K$1:P$1,"&lt;&gt;"))),0)</f>
        <v>0.15897435897435899</v>
      </c>
      <c r="Q1504">
        <f>IFERROR($J1504/IF($A1504&lt;COUNTIFS($K$1:Q$1,"&lt;&gt;"),0,SUMIFS($J:$J,$B:$B,$B1504,$A:$A,"&gt;="&amp;COUNTIFS($K$1:Q$1,"&lt;&gt;"))),0)</f>
        <v>0.18562874251497008</v>
      </c>
      <c r="R1504">
        <f>IFERROR($J1504/IF($A1504&lt;COUNTIFS($K$1:R$1,"&lt;&gt;"),0,SUMIFS($J:$J,$B:$B,$B1504,$A:$A,"&gt;="&amp;COUNTIFS($K$1:R$1,"&lt;&gt;"))),0)</f>
        <v>0</v>
      </c>
      <c r="S1504">
        <f>IFERROR($J1504/IF($A1504&lt;COUNTIFS($K$1:S$1,"&lt;&gt;"),0,SUMIFS($J:$J,$B:$B,$B1504,$A:$A,"&gt;="&amp;COUNTIFS($K$1:S$1,"&lt;&gt;"))),0)</f>
        <v>0</v>
      </c>
      <c r="T1504">
        <f>IFERROR($J1504/IF($A1504&lt;COUNTIFS($K$1:T$1,"&lt;&gt;"),0,SUMIFS($J:$J,$B:$B,$B1504,$A:$A,"&gt;="&amp;COUNTIFS($K$1:T$1,"&lt;&gt;"))),0)</f>
        <v>0</v>
      </c>
      <c r="U1504">
        <f>IFERROR($J1504/IF($A1504&lt;COUNTIFS($K$1:U$1,"&lt;&gt;"),0,SUMIFS($J:$J,$B:$B,$B1504,$A:$A,"&gt;="&amp;COUNTIFS($K$1:U$1,"&lt;&gt;"))),0)</f>
        <v>0</v>
      </c>
      <c r="V1504">
        <f>IFERROR($J1504/IF($A1504&lt;COUNTIFS($K$1:V$1,"&lt;&gt;"),0,SUMIFS($J:$J,$B:$B,$B1504,$A:$A,"&gt;="&amp;COUNTIFS($K$1:V$1,"&lt;&gt;"))),0)</f>
        <v>0</v>
      </c>
      <c r="W1504">
        <f t="shared" si="530"/>
        <v>8.4931506849315067E-2</v>
      </c>
      <c r="X1504">
        <f t="shared" si="510"/>
        <v>8.4931506849315067E-2</v>
      </c>
      <c r="Y1504">
        <f t="shared" si="511"/>
        <v>8.4931506849315067E-2</v>
      </c>
      <c r="Z1504">
        <f t="shared" si="512"/>
        <v>8.4931506849315067E-2</v>
      </c>
      <c r="AA1504">
        <f t="shared" si="513"/>
        <v>8.4931506849315067E-2</v>
      </c>
      <c r="AB1504">
        <f t="shared" si="514"/>
        <v>8.4931506849315067E-2</v>
      </c>
      <c r="AC1504">
        <f t="shared" si="515"/>
        <v>8.4931506849315067E-2</v>
      </c>
      <c r="AD1504">
        <f t="shared" si="516"/>
        <v>8.4931506849315067E-2</v>
      </c>
      <c r="AE1504">
        <f t="shared" si="517"/>
        <v>0</v>
      </c>
      <c r="AF1504">
        <f t="shared" si="518"/>
        <v>0</v>
      </c>
      <c r="AG1504">
        <f t="shared" si="519"/>
        <v>0</v>
      </c>
      <c r="AH1504">
        <f t="shared" si="520"/>
        <v>0</v>
      </c>
      <c r="AI1504">
        <f t="shared" si="521"/>
        <v>0</v>
      </c>
      <c r="AJ1504" s="2" t="str">
        <f t="shared" si="531"/>
        <v>747331</v>
      </c>
    </row>
    <row r="1505" spans="1:36" x14ac:dyDescent="0.25">
      <c r="A1505">
        <v>8</v>
      </c>
      <c r="B1505" s="1">
        <v>47331</v>
      </c>
      <c r="C1505" s="1">
        <f t="shared" si="522"/>
        <v>47574</v>
      </c>
      <c r="D1505" s="1">
        <f t="shared" si="523"/>
        <v>47345</v>
      </c>
      <c r="E1505" s="1">
        <f t="shared" si="524"/>
        <v>47574</v>
      </c>
      <c r="F1505" s="1">
        <f t="shared" si="525"/>
        <v>47604</v>
      </c>
      <c r="G1505" s="1">
        <f t="shared" si="526"/>
        <v>47710</v>
      </c>
      <c r="H1505">
        <f t="shared" si="527"/>
        <v>365</v>
      </c>
      <c r="I1505">
        <f t="shared" si="528"/>
        <v>30</v>
      </c>
      <c r="J1505">
        <f t="shared" si="529"/>
        <v>8.2191780821917804E-2</v>
      </c>
      <c r="K1505">
        <f>IFERROR($J1505/IF($A1505&lt;COUNTIFS($K$1:K$1,"&lt;&gt;"),0,SUMIFS($J:$J,$B:$B,$B1505,$A:$A,"&gt;="&amp;COUNTIFS($K$1:K$1,"&lt;&gt;"))),0)</f>
        <v>8.6206896551724144E-2</v>
      </c>
      <c r="L1505">
        <f>IFERROR($J1505/IF($A1505&lt;COUNTIFS($K$1:L$1,"&lt;&gt;"),0,SUMIFS($J:$J,$B:$B,$B1505,$A:$A,"&gt;="&amp;COUNTIFS($K$1:L$1,"&lt;&gt;"))),0)</f>
        <v>9.4339622641509441E-2</v>
      </c>
      <c r="M1505">
        <f>IFERROR($J1505/IF($A1505&lt;COUNTIFS($K$1:M$1,"&lt;&gt;"),0,SUMIFS($J:$J,$B:$B,$B1505,$A:$A,"&gt;="&amp;COUNTIFS($K$1:M$1,"&lt;&gt;"))),0)</f>
        <v>0.10452961672473869</v>
      </c>
      <c r="N1505">
        <f>IFERROR($J1505/IF($A1505&lt;COUNTIFS($K$1:N$1,"&lt;&gt;"),0,SUMIFS($J:$J,$B:$B,$B1505,$A:$A,"&gt;="&amp;COUNTIFS($K$1:N$1,"&lt;&gt;"))),0)</f>
        <v>0.11673151750972764</v>
      </c>
      <c r="O1505">
        <f>IFERROR($J1505/IF($A1505&lt;COUNTIFS($K$1:O$1,"&lt;&gt;"),0,SUMIFS($J:$J,$B:$B,$B1505,$A:$A,"&gt;="&amp;COUNTIFS($K$1:O$1,"&lt;&gt;"))),0)</f>
        <v>0.13274336283185842</v>
      </c>
      <c r="P1505">
        <f>IFERROR($J1505/IF($A1505&lt;COUNTIFS($K$1:P$1,"&lt;&gt;"),0,SUMIFS($J:$J,$B:$B,$B1505,$A:$A,"&gt;="&amp;COUNTIFS($K$1:P$1,"&lt;&gt;"))),0)</f>
        <v>0.15384615384615385</v>
      </c>
      <c r="Q1505">
        <f>IFERROR($J1505/IF($A1505&lt;COUNTIFS($K$1:Q$1,"&lt;&gt;"),0,SUMIFS($J:$J,$B:$B,$B1505,$A:$A,"&gt;="&amp;COUNTIFS($K$1:Q$1,"&lt;&gt;"))),0)</f>
        <v>0.17964071856287425</v>
      </c>
      <c r="R1505">
        <f>IFERROR($J1505/IF($A1505&lt;COUNTIFS($K$1:R$1,"&lt;&gt;"),0,SUMIFS($J:$J,$B:$B,$B1505,$A:$A,"&gt;="&amp;COUNTIFS($K$1:R$1,"&lt;&gt;"))),0)</f>
        <v>0.22058823529411764</v>
      </c>
      <c r="S1505">
        <f>IFERROR($J1505/IF($A1505&lt;COUNTIFS($K$1:S$1,"&lt;&gt;"),0,SUMIFS($J:$J,$B:$B,$B1505,$A:$A,"&gt;="&amp;COUNTIFS($K$1:S$1,"&lt;&gt;"))),0)</f>
        <v>0</v>
      </c>
      <c r="T1505">
        <f>IFERROR($J1505/IF($A1505&lt;COUNTIFS($K$1:T$1,"&lt;&gt;"),0,SUMIFS($J:$J,$B:$B,$B1505,$A:$A,"&gt;="&amp;COUNTIFS($K$1:T$1,"&lt;&gt;"))),0)</f>
        <v>0</v>
      </c>
      <c r="U1505">
        <f>IFERROR($J1505/IF($A1505&lt;COUNTIFS($K$1:U$1,"&lt;&gt;"),0,SUMIFS($J:$J,$B:$B,$B1505,$A:$A,"&gt;="&amp;COUNTIFS($K$1:U$1,"&lt;&gt;"))),0)</f>
        <v>0</v>
      </c>
      <c r="V1505">
        <f>IFERROR($J1505/IF($A1505&lt;COUNTIFS($K$1:V$1,"&lt;&gt;"),0,SUMIFS($J:$J,$B:$B,$B1505,$A:$A,"&gt;="&amp;COUNTIFS($K$1:V$1,"&lt;&gt;"))),0)</f>
        <v>0</v>
      </c>
      <c r="W1505">
        <f t="shared" si="530"/>
        <v>8.2191780821917804E-2</v>
      </c>
      <c r="X1505">
        <f t="shared" si="510"/>
        <v>8.2191780821917804E-2</v>
      </c>
      <c r="Y1505">
        <f t="shared" si="511"/>
        <v>8.2191780821917804E-2</v>
      </c>
      <c r="Z1505">
        <f t="shared" si="512"/>
        <v>8.2191780821917804E-2</v>
      </c>
      <c r="AA1505">
        <f t="shared" si="513"/>
        <v>8.2191780821917804E-2</v>
      </c>
      <c r="AB1505">
        <f t="shared" si="514"/>
        <v>8.2191780821917804E-2</v>
      </c>
      <c r="AC1505">
        <f t="shared" si="515"/>
        <v>8.2191780821917804E-2</v>
      </c>
      <c r="AD1505">
        <f t="shared" si="516"/>
        <v>8.2191780821917804E-2</v>
      </c>
      <c r="AE1505">
        <f t="shared" si="517"/>
        <v>8.2191780821917804E-2</v>
      </c>
      <c r="AF1505">
        <f t="shared" si="518"/>
        <v>0</v>
      </c>
      <c r="AG1505">
        <f t="shared" si="519"/>
        <v>0</v>
      </c>
      <c r="AH1505">
        <f t="shared" si="520"/>
        <v>0</v>
      </c>
      <c r="AI1505">
        <f t="shared" si="521"/>
        <v>0</v>
      </c>
      <c r="AJ1505" s="2" t="str">
        <f t="shared" si="531"/>
        <v>847331</v>
      </c>
    </row>
    <row r="1506" spans="1:36" x14ac:dyDescent="0.25">
      <c r="A1506">
        <v>9</v>
      </c>
      <c r="B1506" s="1">
        <v>47331</v>
      </c>
      <c r="C1506" s="1">
        <f t="shared" si="522"/>
        <v>47604</v>
      </c>
      <c r="D1506" s="1">
        <f t="shared" si="523"/>
        <v>47345</v>
      </c>
      <c r="E1506" s="1">
        <f t="shared" si="524"/>
        <v>47604</v>
      </c>
      <c r="F1506" s="1">
        <f t="shared" si="525"/>
        <v>47635</v>
      </c>
      <c r="G1506" s="1">
        <f t="shared" si="526"/>
        <v>47710</v>
      </c>
      <c r="H1506">
        <f t="shared" si="527"/>
        <v>365</v>
      </c>
      <c r="I1506">
        <f t="shared" si="528"/>
        <v>31</v>
      </c>
      <c r="J1506">
        <f t="shared" si="529"/>
        <v>8.4931506849315067E-2</v>
      </c>
      <c r="K1506">
        <f>IFERROR($J1506/IF($A1506&lt;COUNTIFS($K$1:K$1,"&lt;&gt;"),0,SUMIFS($J:$J,$B:$B,$B1506,$A:$A,"&gt;="&amp;COUNTIFS($K$1:K$1,"&lt;&gt;"))),0)</f>
        <v>8.9080459770114959E-2</v>
      </c>
      <c r="L1506">
        <f>IFERROR($J1506/IF($A1506&lt;COUNTIFS($K$1:L$1,"&lt;&gt;"),0,SUMIFS($J:$J,$B:$B,$B1506,$A:$A,"&gt;="&amp;COUNTIFS($K$1:L$1,"&lt;&gt;"))),0)</f>
        <v>9.7484276729559768E-2</v>
      </c>
      <c r="M1506">
        <f>IFERROR($J1506/IF($A1506&lt;COUNTIFS($K$1:M$1,"&lt;&gt;"),0,SUMIFS($J:$J,$B:$B,$B1506,$A:$A,"&gt;="&amp;COUNTIFS($K$1:M$1,"&lt;&gt;"))),0)</f>
        <v>0.10801393728222998</v>
      </c>
      <c r="N1506">
        <f>IFERROR($J1506/IF($A1506&lt;COUNTIFS($K$1:N$1,"&lt;&gt;"),0,SUMIFS($J:$J,$B:$B,$B1506,$A:$A,"&gt;="&amp;COUNTIFS($K$1:N$1,"&lt;&gt;"))),0)</f>
        <v>0.12062256809338523</v>
      </c>
      <c r="O1506">
        <f>IFERROR($J1506/IF($A1506&lt;COUNTIFS($K$1:O$1,"&lt;&gt;"),0,SUMIFS($J:$J,$B:$B,$B1506,$A:$A,"&gt;="&amp;COUNTIFS($K$1:O$1,"&lt;&gt;"))),0)</f>
        <v>0.13716814159292037</v>
      </c>
      <c r="P1506">
        <f>IFERROR($J1506/IF($A1506&lt;COUNTIFS($K$1:P$1,"&lt;&gt;"),0,SUMIFS($J:$J,$B:$B,$B1506,$A:$A,"&gt;="&amp;COUNTIFS($K$1:P$1,"&lt;&gt;"))),0)</f>
        <v>0.15897435897435899</v>
      </c>
      <c r="Q1506">
        <f>IFERROR($J1506/IF($A1506&lt;COUNTIFS($K$1:Q$1,"&lt;&gt;"),0,SUMIFS($J:$J,$B:$B,$B1506,$A:$A,"&gt;="&amp;COUNTIFS($K$1:Q$1,"&lt;&gt;"))),0)</f>
        <v>0.18562874251497008</v>
      </c>
      <c r="R1506">
        <f>IFERROR($J1506/IF($A1506&lt;COUNTIFS($K$1:R$1,"&lt;&gt;"),0,SUMIFS($J:$J,$B:$B,$B1506,$A:$A,"&gt;="&amp;COUNTIFS($K$1:R$1,"&lt;&gt;"))),0)</f>
        <v>0.22794117647058826</v>
      </c>
      <c r="S1506">
        <f>IFERROR($J1506/IF($A1506&lt;COUNTIFS($K$1:S$1,"&lt;&gt;"),0,SUMIFS($J:$J,$B:$B,$B1506,$A:$A,"&gt;="&amp;COUNTIFS($K$1:S$1,"&lt;&gt;"))),0)</f>
        <v>0.29245283018867929</v>
      </c>
      <c r="T1506">
        <f>IFERROR($J1506/IF($A1506&lt;COUNTIFS($K$1:T$1,"&lt;&gt;"),0,SUMIFS($J:$J,$B:$B,$B1506,$A:$A,"&gt;="&amp;COUNTIFS($K$1:T$1,"&lt;&gt;"))),0)</f>
        <v>0</v>
      </c>
      <c r="U1506">
        <f>IFERROR($J1506/IF($A1506&lt;COUNTIFS($K$1:U$1,"&lt;&gt;"),0,SUMIFS($J:$J,$B:$B,$B1506,$A:$A,"&gt;="&amp;COUNTIFS($K$1:U$1,"&lt;&gt;"))),0)</f>
        <v>0</v>
      </c>
      <c r="V1506">
        <f>IFERROR($J1506/IF($A1506&lt;COUNTIFS($K$1:V$1,"&lt;&gt;"),0,SUMIFS($J:$J,$B:$B,$B1506,$A:$A,"&gt;="&amp;COUNTIFS($K$1:V$1,"&lt;&gt;"))),0)</f>
        <v>0</v>
      </c>
      <c r="W1506">
        <f t="shared" si="530"/>
        <v>8.4931506849315067E-2</v>
      </c>
      <c r="X1506">
        <f t="shared" si="510"/>
        <v>8.4931506849315067E-2</v>
      </c>
      <c r="Y1506">
        <f t="shared" si="511"/>
        <v>8.4931506849315067E-2</v>
      </c>
      <c r="Z1506">
        <f t="shared" si="512"/>
        <v>8.4931506849315067E-2</v>
      </c>
      <c r="AA1506">
        <f t="shared" si="513"/>
        <v>8.4931506849315067E-2</v>
      </c>
      <c r="AB1506">
        <f t="shared" si="514"/>
        <v>8.4931506849315067E-2</v>
      </c>
      <c r="AC1506">
        <f t="shared" si="515"/>
        <v>8.4931506849315067E-2</v>
      </c>
      <c r="AD1506">
        <f t="shared" si="516"/>
        <v>8.4931506849315067E-2</v>
      </c>
      <c r="AE1506">
        <f t="shared" si="517"/>
        <v>8.4931506849315067E-2</v>
      </c>
      <c r="AF1506">
        <f t="shared" si="518"/>
        <v>8.4931506849315067E-2</v>
      </c>
      <c r="AG1506">
        <f t="shared" si="519"/>
        <v>0</v>
      </c>
      <c r="AH1506">
        <f t="shared" si="520"/>
        <v>0</v>
      </c>
      <c r="AI1506">
        <f t="shared" si="521"/>
        <v>0</v>
      </c>
      <c r="AJ1506" s="2" t="str">
        <f t="shared" si="531"/>
        <v>947331</v>
      </c>
    </row>
    <row r="1507" spans="1:36" x14ac:dyDescent="0.25">
      <c r="A1507">
        <v>10</v>
      </c>
      <c r="B1507" s="1">
        <v>47331</v>
      </c>
      <c r="C1507" s="1">
        <f t="shared" si="522"/>
        <v>47635</v>
      </c>
      <c r="D1507" s="1">
        <f t="shared" si="523"/>
        <v>47345</v>
      </c>
      <c r="E1507" s="1">
        <f t="shared" si="524"/>
        <v>47635</v>
      </c>
      <c r="F1507" s="1">
        <f t="shared" si="525"/>
        <v>47665</v>
      </c>
      <c r="G1507" s="1">
        <f t="shared" si="526"/>
        <v>47710</v>
      </c>
      <c r="H1507">
        <f t="shared" si="527"/>
        <v>365</v>
      </c>
      <c r="I1507">
        <f t="shared" si="528"/>
        <v>30</v>
      </c>
      <c r="J1507">
        <f t="shared" si="529"/>
        <v>8.2191780821917804E-2</v>
      </c>
      <c r="K1507">
        <f>IFERROR($J1507/IF($A1507&lt;COUNTIFS($K$1:K$1,"&lt;&gt;"),0,SUMIFS($J:$J,$B:$B,$B1507,$A:$A,"&gt;="&amp;COUNTIFS($K$1:K$1,"&lt;&gt;"))),0)</f>
        <v>8.6206896551724144E-2</v>
      </c>
      <c r="L1507">
        <f>IFERROR($J1507/IF($A1507&lt;COUNTIFS($K$1:L$1,"&lt;&gt;"),0,SUMIFS($J:$J,$B:$B,$B1507,$A:$A,"&gt;="&amp;COUNTIFS($K$1:L$1,"&lt;&gt;"))),0)</f>
        <v>9.4339622641509441E-2</v>
      </c>
      <c r="M1507">
        <f>IFERROR($J1507/IF($A1507&lt;COUNTIFS($K$1:M$1,"&lt;&gt;"),0,SUMIFS($J:$J,$B:$B,$B1507,$A:$A,"&gt;="&amp;COUNTIFS($K$1:M$1,"&lt;&gt;"))),0)</f>
        <v>0.10452961672473869</v>
      </c>
      <c r="N1507">
        <f>IFERROR($J1507/IF($A1507&lt;COUNTIFS($K$1:N$1,"&lt;&gt;"),0,SUMIFS($J:$J,$B:$B,$B1507,$A:$A,"&gt;="&amp;COUNTIFS($K$1:N$1,"&lt;&gt;"))),0)</f>
        <v>0.11673151750972764</v>
      </c>
      <c r="O1507">
        <f>IFERROR($J1507/IF($A1507&lt;COUNTIFS($K$1:O$1,"&lt;&gt;"),0,SUMIFS($J:$J,$B:$B,$B1507,$A:$A,"&gt;="&amp;COUNTIFS($K$1:O$1,"&lt;&gt;"))),0)</f>
        <v>0.13274336283185842</v>
      </c>
      <c r="P1507">
        <f>IFERROR($J1507/IF($A1507&lt;COUNTIFS($K$1:P$1,"&lt;&gt;"),0,SUMIFS($J:$J,$B:$B,$B1507,$A:$A,"&gt;="&amp;COUNTIFS($K$1:P$1,"&lt;&gt;"))),0)</f>
        <v>0.15384615384615385</v>
      </c>
      <c r="Q1507">
        <f>IFERROR($J1507/IF($A1507&lt;COUNTIFS($K$1:Q$1,"&lt;&gt;"),0,SUMIFS($J:$J,$B:$B,$B1507,$A:$A,"&gt;="&amp;COUNTIFS($K$1:Q$1,"&lt;&gt;"))),0)</f>
        <v>0.17964071856287425</v>
      </c>
      <c r="R1507">
        <f>IFERROR($J1507/IF($A1507&lt;COUNTIFS($K$1:R$1,"&lt;&gt;"),0,SUMIFS($J:$J,$B:$B,$B1507,$A:$A,"&gt;="&amp;COUNTIFS($K$1:R$1,"&lt;&gt;"))),0)</f>
        <v>0.22058823529411764</v>
      </c>
      <c r="S1507">
        <f>IFERROR($J1507/IF($A1507&lt;COUNTIFS($K$1:S$1,"&lt;&gt;"),0,SUMIFS($J:$J,$B:$B,$B1507,$A:$A,"&gt;="&amp;COUNTIFS($K$1:S$1,"&lt;&gt;"))),0)</f>
        <v>0.28301886792452829</v>
      </c>
      <c r="T1507">
        <f>IFERROR($J1507/IF($A1507&lt;COUNTIFS($K$1:T$1,"&lt;&gt;"),0,SUMIFS($J:$J,$B:$B,$B1507,$A:$A,"&gt;="&amp;COUNTIFS($K$1:T$1,"&lt;&gt;"))),0)</f>
        <v>0.4</v>
      </c>
      <c r="U1507">
        <f>IFERROR($J1507/IF($A1507&lt;COUNTIFS($K$1:U$1,"&lt;&gt;"),0,SUMIFS($J:$J,$B:$B,$B1507,$A:$A,"&gt;="&amp;COUNTIFS($K$1:U$1,"&lt;&gt;"))),0)</f>
        <v>0</v>
      </c>
      <c r="V1507">
        <f>IFERROR($J1507/IF($A1507&lt;COUNTIFS($K$1:V$1,"&lt;&gt;"),0,SUMIFS($J:$J,$B:$B,$B1507,$A:$A,"&gt;="&amp;COUNTIFS($K$1:V$1,"&lt;&gt;"))),0)</f>
        <v>0</v>
      </c>
      <c r="W1507">
        <f t="shared" si="530"/>
        <v>8.2191780821917804E-2</v>
      </c>
      <c r="X1507">
        <f t="shared" si="510"/>
        <v>8.2191780821917804E-2</v>
      </c>
      <c r="Y1507">
        <f t="shared" si="511"/>
        <v>8.2191780821917804E-2</v>
      </c>
      <c r="Z1507">
        <f t="shared" si="512"/>
        <v>8.2191780821917804E-2</v>
      </c>
      <c r="AA1507">
        <f t="shared" si="513"/>
        <v>8.2191780821917804E-2</v>
      </c>
      <c r="AB1507">
        <f t="shared" si="514"/>
        <v>8.2191780821917804E-2</v>
      </c>
      <c r="AC1507">
        <f t="shared" si="515"/>
        <v>8.2191780821917804E-2</v>
      </c>
      <c r="AD1507">
        <f t="shared" si="516"/>
        <v>8.2191780821917804E-2</v>
      </c>
      <c r="AE1507">
        <f t="shared" si="517"/>
        <v>8.2191780821917804E-2</v>
      </c>
      <c r="AF1507">
        <f t="shared" si="518"/>
        <v>8.2191780821917804E-2</v>
      </c>
      <c r="AG1507">
        <f t="shared" si="519"/>
        <v>8.2191780821917804E-2</v>
      </c>
      <c r="AH1507">
        <f t="shared" si="520"/>
        <v>0</v>
      </c>
      <c r="AI1507">
        <f t="shared" si="521"/>
        <v>0</v>
      </c>
      <c r="AJ1507" s="2" t="str">
        <f t="shared" si="531"/>
        <v>1047331</v>
      </c>
    </row>
    <row r="1508" spans="1:36" x14ac:dyDescent="0.25">
      <c r="A1508">
        <v>11</v>
      </c>
      <c r="B1508" s="1">
        <v>47331</v>
      </c>
      <c r="C1508" s="1">
        <f t="shared" si="522"/>
        <v>47665</v>
      </c>
      <c r="D1508" s="1">
        <f t="shared" si="523"/>
        <v>47345</v>
      </c>
      <c r="E1508" s="1">
        <f t="shared" si="524"/>
        <v>47665</v>
      </c>
      <c r="F1508" s="1">
        <f t="shared" si="525"/>
        <v>47696</v>
      </c>
      <c r="G1508" s="1">
        <f t="shared" si="526"/>
        <v>47710</v>
      </c>
      <c r="H1508">
        <f t="shared" si="527"/>
        <v>365</v>
      </c>
      <c r="I1508">
        <f t="shared" si="528"/>
        <v>31</v>
      </c>
      <c r="J1508">
        <f t="shared" si="529"/>
        <v>8.4931506849315067E-2</v>
      </c>
      <c r="K1508">
        <f>IFERROR($J1508/IF($A1508&lt;COUNTIFS($K$1:K$1,"&lt;&gt;"),0,SUMIFS($J:$J,$B:$B,$B1508,$A:$A,"&gt;="&amp;COUNTIFS($K$1:K$1,"&lt;&gt;"))),0)</f>
        <v>8.9080459770114959E-2</v>
      </c>
      <c r="L1508">
        <f>IFERROR($J1508/IF($A1508&lt;COUNTIFS($K$1:L$1,"&lt;&gt;"),0,SUMIFS($J:$J,$B:$B,$B1508,$A:$A,"&gt;="&amp;COUNTIFS($K$1:L$1,"&lt;&gt;"))),0)</f>
        <v>9.7484276729559768E-2</v>
      </c>
      <c r="M1508">
        <f>IFERROR($J1508/IF($A1508&lt;COUNTIFS($K$1:M$1,"&lt;&gt;"),0,SUMIFS($J:$J,$B:$B,$B1508,$A:$A,"&gt;="&amp;COUNTIFS($K$1:M$1,"&lt;&gt;"))),0)</f>
        <v>0.10801393728222998</v>
      </c>
      <c r="N1508">
        <f>IFERROR($J1508/IF($A1508&lt;COUNTIFS($K$1:N$1,"&lt;&gt;"),0,SUMIFS($J:$J,$B:$B,$B1508,$A:$A,"&gt;="&amp;COUNTIFS($K$1:N$1,"&lt;&gt;"))),0)</f>
        <v>0.12062256809338523</v>
      </c>
      <c r="O1508">
        <f>IFERROR($J1508/IF($A1508&lt;COUNTIFS($K$1:O$1,"&lt;&gt;"),0,SUMIFS($J:$J,$B:$B,$B1508,$A:$A,"&gt;="&amp;COUNTIFS($K$1:O$1,"&lt;&gt;"))),0)</f>
        <v>0.13716814159292037</v>
      </c>
      <c r="P1508">
        <f>IFERROR($J1508/IF($A1508&lt;COUNTIFS($K$1:P$1,"&lt;&gt;"),0,SUMIFS($J:$J,$B:$B,$B1508,$A:$A,"&gt;="&amp;COUNTIFS($K$1:P$1,"&lt;&gt;"))),0)</f>
        <v>0.15897435897435899</v>
      </c>
      <c r="Q1508">
        <f>IFERROR($J1508/IF($A1508&lt;COUNTIFS($K$1:Q$1,"&lt;&gt;"),0,SUMIFS($J:$J,$B:$B,$B1508,$A:$A,"&gt;="&amp;COUNTIFS($K$1:Q$1,"&lt;&gt;"))),0)</f>
        <v>0.18562874251497008</v>
      </c>
      <c r="R1508">
        <f>IFERROR($J1508/IF($A1508&lt;COUNTIFS($K$1:R$1,"&lt;&gt;"),0,SUMIFS($J:$J,$B:$B,$B1508,$A:$A,"&gt;="&amp;COUNTIFS($K$1:R$1,"&lt;&gt;"))),0)</f>
        <v>0.22794117647058826</v>
      </c>
      <c r="S1508">
        <f>IFERROR($J1508/IF($A1508&lt;COUNTIFS($K$1:S$1,"&lt;&gt;"),0,SUMIFS($J:$J,$B:$B,$B1508,$A:$A,"&gt;="&amp;COUNTIFS($K$1:S$1,"&lt;&gt;"))),0)</f>
        <v>0.29245283018867929</v>
      </c>
      <c r="T1508">
        <f>IFERROR($J1508/IF($A1508&lt;COUNTIFS($K$1:T$1,"&lt;&gt;"),0,SUMIFS($J:$J,$B:$B,$B1508,$A:$A,"&gt;="&amp;COUNTIFS($K$1:T$1,"&lt;&gt;"))),0)</f>
        <v>0.41333333333333333</v>
      </c>
      <c r="U1508">
        <f>IFERROR($J1508/IF($A1508&lt;COUNTIFS($K$1:U$1,"&lt;&gt;"),0,SUMIFS($J:$J,$B:$B,$B1508,$A:$A,"&gt;="&amp;COUNTIFS($K$1:U$1,"&lt;&gt;"))),0)</f>
        <v>0.68888888888888888</v>
      </c>
      <c r="V1508">
        <f>IFERROR($J1508/IF($A1508&lt;COUNTIFS($K$1:V$1,"&lt;&gt;"),0,SUMIFS($J:$J,$B:$B,$B1508,$A:$A,"&gt;="&amp;COUNTIFS($K$1:V$1,"&lt;&gt;"))),0)</f>
        <v>0</v>
      </c>
      <c r="W1508">
        <f t="shared" si="530"/>
        <v>8.4931506849315067E-2</v>
      </c>
      <c r="X1508">
        <f t="shared" si="510"/>
        <v>8.4931506849315067E-2</v>
      </c>
      <c r="Y1508">
        <f t="shared" si="511"/>
        <v>8.4931506849315067E-2</v>
      </c>
      <c r="Z1508">
        <f t="shared" si="512"/>
        <v>8.4931506849315067E-2</v>
      </c>
      <c r="AA1508">
        <f t="shared" si="513"/>
        <v>8.4931506849315067E-2</v>
      </c>
      <c r="AB1508">
        <f t="shared" si="514"/>
        <v>8.4931506849315067E-2</v>
      </c>
      <c r="AC1508">
        <f t="shared" si="515"/>
        <v>8.4931506849315067E-2</v>
      </c>
      <c r="AD1508">
        <f t="shared" si="516"/>
        <v>8.4931506849315067E-2</v>
      </c>
      <c r="AE1508">
        <f t="shared" si="517"/>
        <v>8.4931506849315067E-2</v>
      </c>
      <c r="AF1508">
        <f t="shared" si="518"/>
        <v>8.4931506849315067E-2</v>
      </c>
      <c r="AG1508">
        <f t="shared" si="519"/>
        <v>8.4931506849315067E-2</v>
      </c>
      <c r="AH1508">
        <f t="shared" si="520"/>
        <v>8.4931506849315067E-2</v>
      </c>
      <c r="AI1508">
        <f t="shared" si="521"/>
        <v>0</v>
      </c>
      <c r="AJ1508" s="2" t="str">
        <f t="shared" si="531"/>
        <v>1147331</v>
      </c>
    </row>
    <row r="1509" spans="1:36" x14ac:dyDescent="0.25">
      <c r="A1509">
        <v>12</v>
      </c>
      <c r="B1509" s="1">
        <v>47331</v>
      </c>
      <c r="C1509" s="1">
        <f t="shared" si="522"/>
        <v>47696</v>
      </c>
      <c r="D1509" s="1">
        <f t="shared" si="523"/>
        <v>47345</v>
      </c>
      <c r="E1509" s="1">
        <f t="shared" si="524"/>
        <v>47696</v>
      </c>
      <c r="F1509" s="1">
        <f t="shared" si="525"/>
        <v>47710</v>
      </c>
      <c r="G1509" s="1">
        <f t="shared" si="526"/>
        <v>47710</v>
      </c>
      <c r="H1509">
        <f t="shared" si="527"/>
        <v>365</v>
      </c>
      <c r="I1509">
        <f t="shared" si="528"/>
        <v>14</v>
      </c>
      <c r="J1509">
        <f t="shared" si="529"/>
        <v>3.8356164383561646E-2</v>
      </c>
      <c r="K1509">
        <f>IFERROR($J1509/IF($A1509&lt;COUNTIFS($K$1:K$1,"&lt;&gt;"),0,SUMIFS($J:$J,$B:$B,$B1509,$A:$A,"&gt;="&amp;COUNTIFS($K$1:K$1,"&lt;&gt;"))),0)</f>
        <v>4.0229885057471271E-2</v>
      </c>
      <c r="L1509">
        <f>IFERROR($J1509/IF($A1509&lt;COUNTIFS($K$1:L$1,"&lt;&gt;"),0,SUMIFS($J:$J,$B:$B,$B1509,$A:$A,"&gt;="&amp;COUNTIFS($K$1:L$1,"&lt;&gt;"))),0)</f>
        <v>4.4025157232704414E-2</v>
      </c>
      <c r="M1509">
        <f>IFERROR($J1509/IF($A1509&lt;COUNTIFS($K$1:M$1,"&lt;&gt;"),0,SUMIFS($J:$J,$B:$B,$B1509,$A:$A,"&gt;="&amp;COUNTIFS($K$1:M$1,"&lt;&gt;"))),0)</f>
        <v>4.8780487804878057E-2</v>
      </c>
      <c r="N1509">
        <f>IFERROR($J1509/IF($A1509&lt;COUNTIFS($K$1:N$1,"&lt;&gt;"),0,SUMIFS($J:$J,$B:$B,$B1509,$A:$A,"&gt;="&amp;COUNTIFS($K$1:N$1,"&lt;&gt;"))),0)</f>
        <v>5.447470817120624E-2</v>
      </c>
      <c r="O1509">
        <f>IFERROR($J1509/IF($A1509&lt;COUNTIFS($K$1:O$1,"&lt;&gt;"),0,SUMIFS($J:$J,$B:$B,$B1509,$A:$A,"&gt;="&amp;COUNTIFS($K$1:O$1,"&lt;&gt;"))),0)</f>
        <v>6.194690265486727E-2</v>
      </c>
      <c r="P1509">
        <f>IFERROR($J1509/IF($A1509&lt;COUNTIFS($K$1:P$1,"&lt;&gt;"),0,SUMIFS($J:$J,$B:$B,$B1509,$A:$A,"&gt;="&amp;COUNTIFS($K$1:P$1,"&lt;&gt;"))),0)</f>
        <v>7.1794871794871803E-2</v>
      </c>
      <c r="Q1509">
        <f>IFERROR($J1509/IF($A1509&lt;COUNTIFS($K$1:Q$1,"&lt;&gt;"),0,SUMIFS($J:$J,$B:$B,$B1509,$A:$A,"&gt;="&amp;COUNTIFS($K$1:Q$1,"&lt;&gt;"))),0)</f>
        <v>8.3832335329341326E-2</v>
      </c>
      <c r="R1509">
        <f>IFERROR($J1509/IF($A1509&lt;COUNTIFS($K$1:R$1,"&lt;&gt;"),0,SUMIFS($J:$J,$B:$B,$B1509,$A:$A,"&gt;="&amp;COUNTIFS($K$1:R$1,"&lt;&gt;"))),0)</f>
        <v>0.10294117647058824</v>
      </c>
      <c r="S1509">
        <f>IFERROR($J1509/IF($A1509&lt;COUNTIFS($K$1:S$1,"&lt;&gt;"),0,SUMIFS($J:$J,$B:$B,$B1509,$A:$A,"&gt;="&amp;COUNTIFS($K$1:S$1,"&lt;&gt;"))),0)</f>
        <v>0.13207547169811323</v>
      </c>
      <c r="T1509">
        <f>IFERROR($J1509/IF($A1509&lt;COUNTIFS($K$1:T$1,"&lt;&gt;"),0,SUMIFS($J:$J,$B:$B,$B1509,$A:$A,"&gt;="&amp;COUNTIFS($K$1:T$1,"&lt;&gt;"))),0)</f>
        <v>0.18666666666666668</v>
      </c>
      <c r="U1509">
        <f>IFERROR($J1509/IF($A1509&lt;COUNTIFS($K$1:U$1,"&lt;&gt;"),0,SUMIFS($J:$J,$B:$B,$B1509,$A:$A,"&gt;="&amp;COUNTIFS($K$1:U$1,"&lt;&gt;"))),0)</f>
        <v>0.31111111111111117</v>
      </c>
      <c r="V1509">
        <f>IFERROR($J1509/IF($A1509&lt;COUNTIFS($K$1:V$1,"&lt;&gt;"),0,SUMIFS($J:$J,$B:$B,$B1509,$A:$A,"&gt;="&amp;COUNTIFS($K$1:V$1,"&lt;&gt;"))),0)</f>
        <v>1</v>
      </c>
      <c r="W1509">
        <f t="shared" si="530"/>
        <v>3.8356164383561646E-2</v>
      </c>
      <c r="X1509">
        <f t="shared" si="510"/>
        <v>3.8356164383561646E-2</v>
      </c>
      <c r="Y1509">
        <f t="shared" si="511"/>
        <v>3.8356164383561646E-2</v>
      </c>
      <c r="Z1509">
        <f t="shared" si="512"/>
        <v>3.8356164383561646E-2</v>
      </c>
      <c r="AA1509">
        <f t="shared" si="513"/>
        <v>3.8356164383561646E-2</v>
      </c>
      <c r="AB1509">
        <f t="shared" si="514"/>
        <v>3.8356164383561646E-2</v>
      </c>
      <c r="AC1509">
        <f t="shared" si="515"/>
        <v>3.8356164383561646E-2</v>
      </c>
      <c r="AD1509">
        <f t="shared" si="516"/>
        <v>3.8356164383561646E-2</v>
      </c>
      <c r="AE1509">
        <f t="shared" si="517"/>
        <v>3.8356164383561646E-2</v>
      </c>
      <c r="AF1509">
        <f t="shared" si="518"/>
        <v>3.8356164383561646E-2</v>
      </c>
      <c r="AG1509">
        <f t="shared" si="519"/>
        <v>3.8356164383561646E-2</v>
      </c>
      <c r="AH1509">
        <f t="shared" si="520"/>
        <v>3.8356164383561646E-2</v>
      </c>
      <c r="AI1509">
        <f t="shared" si="521"/>
        <v>3.8356164383561646E-2</v>
      </c>
      <c r="AJ1509" s="2" t="str">
        <f t="shared" si="531"/>
        <v>1247331</v>
      </c>
    </row>
    <row r="1510" spans="1:36" x14ac:dyDescent="0.25">
      <c r="A1510">
        <v>0</v>
      </c>
      <c r="B1510" s="1">
        <v>47362</v>
      </c>
      <c r="C1510" s="1">
        <f t="shared" si="522"/>
        <v>47362</v>
      </c>
      <c r="D1510" s="1">
        <f t="shared" si="523"/>
        <v>47376</v>
      </c>
      <c r="E1510" s="1">
        <f t="shared" si="524"/>
        <v>47376</v>
      </c>
      <c r="F1510" s="1">
        <f t="shared" si="525"/>
        <v>47392</v>
      </c>
      <c r="G1510" s="1">
        <f t="shared" si="526"/>
        <v>47741</v>
      </c>
      <c r="H1510">
        <f t="shared" si="527"/>
        <v>365</v>
      </c>
      <c r="I1510">
        <f t="shared" si="528"/>
        <v>16</v>
      </c>
      <c r="J1510">
        <f t="shared" si="529"/>
        <v>4.3835616438356165E-2</v>
      </c>
      <c r="K1510">
        <f>IFERROR($J1510/IF($A1510&lt;COUNTIFS($K$1:K$1,"&lt;&gt;"),0,SUMIFS($J:$J,$B:$B,$B1510,$A:$A,"&gt;="&amp;COUNTIFS($K$1:K$1,"&lt;&gt;"))),0)</f>
        <v>0</v>
      </c>
      <c r="L1510">
        <f>IFERROR($J1510/IF($A1510&lt;COUNTIFS($K$1:L$1,"&lt;&gt;"),0,SUMIFS($J:$J,$B:$B,$B1510,$A:$A,"&gt;="&amp;COUNTIFS($K$1:L$1,"&lt;&gt;"))),0)</f>
        <v>0</v>
      </c>
      <c r="M1510">
        <f>IFERROR($J1510/IF($A1510&lt;COUNTIFS($K$1:M$1,"&lt;&gt;"),0,SUMIFS($J:$J,$B:$B,$B1510,$A:$A,"&gt;="&amp;COUNTIFS($K$1:M$1,"&lt;&gt;"))),0)</f>
        <v>0</v>
      </c>
      <c r="N1510">
        <f>IFERROR($J1510/IF($A1510&lt;COUNTIFS($K$1:N$1,"&lt;&gt;"),0,SUMIFS($J:$J,$B:$B,$B1510,$A:$A,"&gt;="&amp;COUNTIFS($K$1:N$1,"&lt;&gt;"))),0)</f>
        <v>0</v>
      </c>
      <c r="O1510">
        <f>IFERROR($J1510/IF($A1510&lt;COUNTIFS($K$1:O$1,"&lt;&gt;"),0,SUMIFS($J:$J,$B:$B,$B1510,$A:$A,"&gt;="&amp;COUNTIFS($K$1:O$1,"&lt;&gt;"))),0)</f>
        <v>0</v>
      </c>
      <c r="P1510">
        <f>IFERROR($J1510/IF($A1510&lt;COUNTIFS($K$1:P$1,"&lt;&gt;"),0,SUMIFS($J:$J,$B:$B,$B1510,$A:$A,"&gt;="&amp;COUNTIFS($K$1:P$1,"&lt;&gt;"))),0)</f>
        <v>0</v>
      </c>
      <c r="Q1510">
        <f>IFERROR($J1510/IF($A1510&lt;COUNTIFS($K$1:Q$1,"&lt;&gt;"),0,SUMIFS($J:$J,$B:$B,$B1510,$A:$A,"&gt;="&amp;COUNTIFS($K$1:Q$1,"&lt;&gt;"))),0)</f>
        <v>0</v>
      </c>
      <c r="R1510">
        <f>IFERROR($J1510/IF($A1510&lt;COUNTIFS($K$1:R$1,"&lt;&gt;"),0,SUMIFS($J:$J,$B:$B,$B1510,$A:$A,"&gt;="&amp;COUNTIFS($K$1:R$1,"&lt;&gt;"))),0)</f>
        <v>0</v>
      </c>
      <c r="S1510">
        <f>IFERROR($J1510/IF($A1510&lt;COUNTIFS($K$1:S$1,"&lt;&gt;"),0,SUMIFS($J:$J,$B:$B,$B1510,$A:$A,"&gt;="&amp;COUNTIFS($K$1:S$1,"&lt;&gt;"))),0)</f>
        <v>0</v>
      </c>
      <c r="T1510">
        <f>IFERROR($J1510/IF($A1510&lt;COUNTIFS($K$1:T$1,"&lt;&gt;"),0,SUMIFS($J:$J,$B:$B,$B1510,$A:$A,"&gt;="&amp;COUNTIFS($K$1:T$1,"&lt;&gt;"))),0)</f>
        <v>0</v>
      </c>
      <c r="U1510">
        <f>IFERROR($J1510/IF($A1510&lt;COUNTIFS($K$1:U$1,"&lt;&gt;"),0,SUMIFS($J:$J,$B:$B,$B1510,$A:$A,"&gt;="&amp;COUNTIFS($K$1:U$1,"&lt;&gt;"))),0)</f>
        <v>0</v>
      </c>
      <c r="V1510">
        <f>IFERROR($J1510/IF($A1510&lt;COUNTIFS($K$1:V$1,"&lt;&gt;"),0,SUMIFS($J:$J,$B:$B,$B1510,$A:$A,"&gt;="&amp;COUNTIFS($K$1:V$1,"&lt;&gt;"))),0)</f>
        <v>0</v>
      </c>
      <c r="W1510">
        <f t="shared" si="530"/>
        <v>4.3835616438356165E-2</v>
      </c>
      <c r="X1510">
        <f t="shared" si="510"/>
        <v>0</v>
      </c>
      <c r="Y1510">
        <f t="shared" si="511"/>
        <v>0</v>
      </c>
      <c r="Z1510">
        <f t="shared" si="512"/>
        <v>0</v>
      </c>
      <c r="AA1510">
        <f t="shared" si="513"/>
        <v>0</v>
      </c>
      <c r="AB1510">
        <f t="shared" si="514"/>
        <v>0</v>
      </c>
      <c r="AC1510">
        <f t="shared" si="515"/>
        <v>0</v>
      </c>
      <c r="AD1510">
        <f t="shared" si="516"/>
        <v>0</v>
      </c>
      <c r="AE1510">
        <f t="shared" si="517"/>
        <v>0</v>
      </c>
      <c r="AF1510">
        <f t="shared" si="518"/>
        <v>0</v>
      </c>
      <c r="AG1510">
        <f t="shared" si="519"/>
        <v>0</v>
      </c>
      <c r="AH1510">
        <f t="shared" si="520"/>
        <v>0</v>
      </c>
      <c r="AI1510">
        <f t="shared" si="521"/>
        <v>0</v>
      </c>
      <c r="AJ1510" s="2" t="str">
        <f t="shared" si="531"/>
        <v>047362</v>
      </c>
    </row>
    <row r="1511" spans="1:36" x14ac:dyDescent="0.25">
      <c r="A1511">
        <v>1</v>
      </c>
      <c r="B1511" s="1">
        <v>47362</v>
      </c>
      <c r="C1511" s="1">
        <f t="shared" si="522"/>
        <v>47392</v>
      </c>
      <c r="D1511" s="1">
        <f t="shared" si="523"/>
        <v>47376</v>
      </c>
      <c r="E1511" s="1">
        <f t="shared" si="524"/>
        <v>47392</v>
      </c>
      <c r="F1511" s="1">
        <f t="shared" si="525"/>
        <v>47423</v>
      </c>
      <c r="G1511" s="1">
        <f t="shared" si="526"/>
        <v>47741</v>
      </c>
      <c r="H1511">
        <f t="shared" si="527"/>
        <v>365</v>
      </c>
      <c r="I1511">
        <f t="shared" si="528"/>
        <v>31</v>
      </c>
      <c r="J1511">
        <f t="shared" si="529"/>
        <v>8.4931506849315067E-2</v>
      </c>
      <c r="K1511">
        <f>IFERROR($J1511/IF($A1511&lt;COUNTIFS($K$1:K$1,"&lt;&gt;"),0,SUMIFS($J:$J,$B:$B,$B1511,$A:$A,"&gt;="&amp;COUNTIFS($K$1:K$1,"&lt;&gt;"))),0)</f>
        <v>8.8825214899713484E-2</v>
      </c>
      <c r="L1511">
        <f>IFERROR($J1511/IF($A1511&lt;COUNTIFS($K$1:L$1,"&lt;&gt;"),0,SUMIFS($J:$J,$B:$B,$B1511,$A:$A,"&gt;="&amp;COUNTIFS($K$1:L$1,"&lt;&gt;"))),0)</f>
        <v>0</v>
      </c>
      <c r="M1511">
        <f>IFERROR($J1511/IF($A1511&lt;COUNTIFS($K$1:M$1,"&lt;&gt;"),0,SUMIFS($J:$J,$B:$B,$B1511,$A:$A,"&gt;="&amp;COUNTIFS($K$1:M$1,"&lt;&gt;"))),0)</f>
        <v>0</v>
      </c>
      <c r="N1511">
        <f>IFERROR($J1511/IF($A1511&lt;COUNTIFS($K$1:N$1,"&lt;&gt;"),0,SUMIFS($J:$J,$B:$B,$B1511,$A:$A,"&gt;="&amp;COUNTIFS($K$1:N$1,"&lt;&gt;"))),0)</f>
        <v>0</v>
      </c>
      <c r="O1511">
        <f>IFERROR($J1511/IF($A1511&lt;COUNTIFS($K$1:O$1,"&lt;&gt;"),0,SUMIFS($J:$J,$B:$B,$B1511,$A:$A,"&gt;="&amp;COUNTIFS($K$1:O$1,"&lt;&gt;"))),0)</f>
        <v>0</v>
      </c>
      <c r="P1511">
        <f>IFERROR($J1511/IF($A1511&lt;COUNTIFS($K$1:P$1,"&lt;&gt;"),0,SUMIFS($J:$J,$B:$B,$B1511,$A:$A,"&gt;="&amp;COUNTIFS($K$1:P$1,"&lt;&gt;"))),0)</f>
        <v>0</v>
      </c>
      <c r="Q1511">
        <f>IFERROR($J1511/IF($A1511&lt;COUNTIFS($K$1:Q$1,"&lt;&gt;"),0,SUMIFS($J:$J,$B:$B,$B1511,$A:$A,"&gt;="&amp;COUNTIFS($K$1:Q$1,"&lt;&gt;"))),0)</f>
        <v>0</v>
      </c>
      <c r="R1511">
        <f>IFERROR($J1511/IF($A1511&lt;COUNTIFS($K$1:R$1,"&lt;&gt;"),0,SUMIFS($J:$J,$B:$B,$B1511,$A:$A,"&gt;="&amp;COUNTIFS($K$1:R$1,"&lt;&gt;"))),0)</f>
        <v>0</v>
      </c>
      <c r="S1511">
        <f>IFERROR($J1511/IF($A1511&lt;COUNTIFS($K$1:S$1,"&lt;&gt;"),0,SUMIFS($J:$J,$B:$B,$B1511,$A:$A,"&gt;="&amp;COUNTIFS($K$1:S$1,"&lt;&gt;"))),0)</f>
        <v>0</v>
      </c>
      <c r="T1511">
        <f>IFERROR($J1511/IF($A1511&lt;COUNTIFS($K$1:T$1,"&lt;&gt;"),0,SUMIFS($J:$J,$B:$B,$B1511,$A:$A,"&gt;="&amp;COUNTIFS($K$1:T$1,"&lt;&gt;"))),0)</f>
        <v>0</v>
      </c>
      <c r="U1511">
        <f>IFERROR($J1511/IF($A1511&lt;COUNTIFS($K$1:U$1,"&lt;&gt;"),0,SUMIFS($J:$J,$B:$B,$B1511,$A:$A,"&gt;="&amp;COUNTIFS($K$1:U$1,"&lt;&gt;"))),0)</f>
        <v>0</v>
      </c>
      <c r="V1511">
        <f>IFERROR($J1511/IF($A1511&lt;COUNTIFS($K$1:V$1,"&lt;&gt;"),0,SUMIFS($J:$J,$B:$B,$B1511,$A:$A,"&gt;="&amp;COUNTIFS($K$1:V$1,"&lt;&gt;"))),0)</f>
        <v>0</v>
      </c>
      <c r="W1511">
        <f t="shared" si="530"/>
        <v>8.4931506849315067E-2</v>
      </c>
      <c r="X1511">
        <f t="shared" si="510"/>
        <v>8.4931506849315067E-2</v>
      </c>
      <c r="Y1511">
        <f t="shared" si="511"/>
        <v>0</v>
      </c>
      <c r="Z1511">
        <f t="shared" si="512"/>
        <v>0</v>
      </c>
      <c r="AA1511">
        <f t="shared" si="513"/>
        <v>0</v>
      </c>
      <c r="AB1511">
        <f t="shared" si="514"/>
        <v>0</v>
      </c>
      <c r="AC1511">
        <f t="shared" si="515"/>
        <v>0</v>
      </c>
      <c r="AD1511">
        <f t="shared" si="516"/>
        <v>0</v>
      </c>
      <c r="AE1511">
        <f t="shared" si="517"/>
        <v>0</v>
      </c>
      <c r="AF1511">
        <f t="shared" si="518"/>
        <v>0</v>
      </c>
      <c r="AG1511">
        <f t="shared" si="519"/>
        <v>0</v>
      </c>
      <c r="AH1511">
        <f t="shared" si="520"/>
        <v>0</v>
      </c>
      <c r="AI1511">
        <f t="shared" si="521"/>
        <v>0</v>
      </c>
      <c r="AJ1511" s="2" t="str">
        <f t="shared" si="531"/>
        <v>147362</v>
      </c>
    </row>
    <row r="1512" spans="1:36" x14ac:dyDescent="0.25">
      <c r="A1512">
        <v>2</v>
      </c>
      <c r="B1512" s="1">
        <v>47362</v>
      </c>
      <c r="C1512" s="1">
        <f t="shared" si="522"/>
        <v>47423</v>
      </c>
      <c r="D1512" s="1">
        <f t="shared" si="523"/>
        <v>47376</v>
      </c>
      <c r="E1512" s="1">
        <f t="shared" si="524"/>
        <v>47423</v>
      </c>
      <c r="F1512" s="1">
        <f t="shared" si="525"/>
        <v>47453</v>
      </c>
      <c r="G1512" s="1">
        <f t="shared" si="526"/>
        <v>47741</v>
      </c>
      <c r="H1512">
        <f t="shared" si="527"/>
        <v>365</v>
      </c>
      <c r="I1512">
        <f t="shared" si="528"/>
        <v>30</v>
      </c>
      <c r="J1512">
        <f t="shared" si="529"/>
        <v>8.2191780821917804E-2</v>
      </c>
      <c r="K1512">
        <f>IFERROR($J1512/IF($A1512&lt;COUNTIFS($K$1:K$1,"&lt;&gt;"),0,SUMIFS($J:$J,$B:$B,$B1512,$A:$A,"&gt;="&amp;COUNTIFS($K$1:K$1,"&lt;&gt;"))),0)</f>
        <v>8.5959885386819493E-2</v>
      </c>
      <c r="L1512">
        <f>IFERROR($J1512/IF($A1512&lt;COUNTIFS($K$1:L$1,"&lt;&gt;"),0,SUMIFS($J:$J,$B:$B,$B1512,$A:$A,"&gt;="&amp;COUNTIFS($K$1:L$1,"&lt;&gt;"))),0)</f>
        <v>9.4339622641509441E-2</v>
      </c>
      <c r="M1512">
        <f>IFERROR($J1512/IF($A1512&lt;COUNTIFS($K$1:M$1,"&lt;&gt;"),0,SUMIFS($J:$J,$B:$B,$B1512,$A:$A,"&gt;="&amp;COUNTIFS($K$1:M$1,"&lt;&gt;"))),0)</f>
        <v>0</v>
      </c>
      <c r="N1512">
        <f>IFERROR($J1512/IF($A1512&lt;COUNTIFS($K$1:N$1,"&lt;&gt;"),0,SUMIFS($J:$J,$B:$B,$B1512,$A:$A,"&gt;="&amp;COUNTIFS($K$1:N$1,"&lt;&gt;"))),0)</f>
        <v>0</v>
      </c>
      <c r="O1512">
        <f>IFERROR($J1512/IF($A1512&lt;COUNTIFS($K$1:O$1,"&lt;&gt;"),0,SUMIFS($J:$J,$B:$B,$B1512,$A:$A,"&gt;="&amp;COUNTIFS($K$1:O$1,"&lt;&gt;"))),0)</f>
        <v>0</v>
      </c>
      <c r="P1512">
        <f>IFERROR($J1512/IF($A1512&lt;COUNTIFS($K$1:P$1,"&lt;&gt;"),0,SUMIFS($J:$J,$B:$B,$B1512,$A:$A,"&gt;="&amp;COUNTIFS($K$1:P$1,"&lt;&gt;"))),0)</f>
        <v>0</v>
      </c>
      <c r="Q1512">
        <f>IFERROR($J1512/IF($A1512&lt;COUNTIFS($K$1:Q$1,"&lt;&gt;"),0,SUMIFS($J:$J,$B:$B,$B1512,$A:$A,"&gt;="&amp;COUNTIFS($K$1:Q$1,"&lt;&gt;"))),0)</f>
        <v>0</v>
      </c>
      <c r="R1512">
        <f>IFERROR($J1512/IF($A1512&lt;COUNTIFS($K$1:R$1,"&lt;&gt;"),0,SUMIFS($J:$J,$B:$B,$B1512,$A:$A,"&gt;="&amp;COUNTIFS($K$1:R$1,"&lt;&gt;"))),0)</f>
        <v>0</v>
      </c>
      <c r="S1512">
        <f>IFERROR($J1512/IF($A1512&lt;COUNTIFS($K$1:S$1,"&lt;&gt;"),0,SUMIFS($J:$J,$B:$B,$B1512,$A:$A,"&gt;="&amp;COUNTIFS($K$1:S$1,"&lt;&gt;"))),0)</f>
        <v>0</v>
      </c>
      <c r="T1512">
        <f>IFERROR($J1512/IF($A1512&lt;COUNTIFS($K$1:T$1,"&lt;&gt;"),0,SUMIFS($J:$J,$B:$B,$B1512,$A:$A,"&gt;="&amp;COUNTIFS($K$1:T$1,"&lt;&gt;"))),0)</f>
        <v>0</v>
      </c>
      <c r="U1512">
        <f>IFERROR($J1512/IF($A1512&lt;COUNTIFS($K$1:U$1,"&lt;&gt;"),0,SUMIFS($J:$J,$B:$B,$B1512,$A:$A,"&gt;="&amp;COUNTIFS($K$1:U$1,"&lt;&gt;"))),0)</f>
        <v>0</v>
      </c>
      <c r="V1512">
        <f>IFERROR($J1512/IF($A1512&lt;COUNTIFS($K$1:V$1,"&lt;&gt;"),0,SUMIFS($J:$J,$B:$B,$B1512,$A:$A,"&gt;="&amp;COUNTIFS($K$1:V$1,"&lt;&gt;"))),0)</f>
        <v>0</v>
      </c>
      <c r="W1512">
        <f t="shared" si="530"/>
        <v>8.2191780821917804E-2</v>
      </c>
      <c r="X1512">
        <f t="shared" si="510"/>
        <v>8.2191780821917804E-2</v>
      </c>
      <c r="Y1512">
        <f t="shared" si="511"/>
        <v>8.2191780821917804E-2</v>
      </c>
      <c r="Z1512">
        <f t="shared" si="512"/>
        <v>0</v>
      </c>
      <c r="AA1512">
        <f t="shared" si="513"/>
        <v>0</v>
      </c>
      <c r="AB1512">
        <f t="shared" si="514"/>
        <v>0</v>
      </c>
      <c r="AC1512">
        <f t="shared" si="515"/>
        <v>0</v>
      </c>
      <c r="AD1512">
        <f t="shared" si="516"/>
        <v>0</v>
      </c>
      <c r="AE1512">
        <f t="shared" si="517"/>
        <v>0</v>
      </c>
      <c r="AF1512">
        <f t="shared" si="518"/>
        <v>0</v>
      </c>
      <c r="AG1512">
        <f t="shared" si="519"/>
        <v>0</v>
      </c>
      <c r="AH1512">
        <f t="shared" si="520"/>
        <v>0</v>
      </c>
      <c r="AI1512">
        <f t="shared" si="521"/>
        <v>0</v>
      </c>
      <c r="AJ1512" s="2" t="str">
        <f t="shared" si="531"/>
        <v>247362</v>
      </c>
    </row>
    <row r="1513" spans="1:36" x14ac:dyDescent="0.25">
      <c r="A1513">
        <v>3</v>
      </c>
      <c r="B1513" s="1">
        <v>47362</v>
      </c>
      <c r="C1513" s="1">
        <f t="shared" si="522"/>
        <v>47453</v>
      </c>
      <c r="D1513" s="1">
        <f t="shared" si="523"/>
        <v>47376</v>
      </c>
      <c r="E1513" s="1">
        <f t="shared" si="524"/>
        <v>47453</v>
      </c>
      <c r="F1513" s="1">
        <f t="shared" si="525"/>
        <v>47484</v>
      </c>
      <c r="G1513" s="1">
        <f t="shared" si="526"/>
        <v>47741</v>
      </c>
      <c r="H1513">
        <f t="shared" si="527"/>
        <v>365</v>
      </c>
      <c r="I1513">
        <f t="shared" si="528"/>
        <v>31</v>
      </c>
      <c r="J1513">
        <f t="shared" si="529"/>
        <v>8.4931506849315067E-2</v>
      </c>
      <c r="K1513">
        <f>IFERROR($J1513/IF($A1513&lt;COUNTIFS($K$1:K$1,"&lt;&gt;"),0,SUMIFS($J:$J,$B:$B,$B1513,$A:$A,"&gt;="&amp;COUNTIFS($K$1:K$1,"&lt;&gt;"))),0)</f>
        <v>8.8825214899713484E-2</v>
      </c>
      <c r="L1513">
        <f>IFERROR($J1513/IF($A1513&lt;COUNTIFS($K$1:L$1,"&lt;&gt;"),0,SUMIFS($J:$J,$B:$B,$B1513,$A:$A,"&gt;="&amp;COUNTIFS($K$1:L$1,"&lt;&gt;"))),0)</f>
        <v>9.7484276729559768E-2</v>
      </c>
      <c r="M1513">
        <f>IFERROR($J1513/IF($A1513&lt;COUNTIFS($K$1:M$1,"&lt;&gt;"),0,SUMIFS($J:$J,$B:$B,$B1513,$A:$A,"&gt;="&amp;COUNTIFS($K$1:M$1,"&lt;&gt;"))),0)</f>
        <v>0.10763888888888891</v>
      </c>
      <c r="N1513">
        <f>IFERROR($J1513/IF($A1513&lt;COUNTIFS($K$1:N$1,"&lt;&gt;"),0,SUMIFS($J:$J,$B:$B,$B1513,$A:$A,"&gt;="&amp;COUNTIFS($K$1:N$1,"&lt;&gt;"))),0)</f>
        <v>0</v>
      </c>
      <c r="O1513">
        <f>IFERROR($J1513/IF($A1513&lt;COUNTIFS($K$1:O$1,"&lt;&gt;"),0,SUMIFS($J:$J,$B:$B,$B1513,$A:$A,"&gt;="&amp;COUNTIFS($K$1:O$1,"&lt;&gt;"))),0)</f>
        <v>0</v>
      </c>
      <c r="P1513">
        <f>IFERROR($J1513/IF($A1513&lt;COUNTIFS($K$1:P$1,"&lt;&gt;"),0,SUMIFS($J:$J,$B:$B,$B1513,$A:$A,"&gt;="&amp;COUNTIFS($K$1:P$1,"&lt;&gt;"))),0)</f>
        <v>0</v>
      </c>
      <c r="Q1513">
        <f>IFERROR($J1513/IF($A1513&lt;COUNTIFS($K$1:Q$1,"&lt;&gt;"),0,SUMIFS($J:$J,$B:$B,$B1513,$A:$A,"&gt;="&amp;COUNTIFS($K$1:Q$1,"&lt;&gt;"))),0)</f>
        <v>0</v>
      </c>
      <c r="R1513">
        <f>IFERROR($J1513/IF($A1513&lt;COUNTIFS($K$1:R$1,"&lt;&gt;"),0,SUMIFS($J:$J,$B:$B,$B1513,$A:$A,"&gt;="&amp;COUNTIFS($K$1:R$1,"&lt;&gt;"))),0)</f>
        <v>0</v>
      </c>
      <c r="S1513">
        <f>IFERROR($J1513/IF($A1513&lt;COUNTIFS($K$1:S$1,"&lt;&gt;"),0,SUMIFS($J:$J,$B:$B,$B1513,$A:$A,"&gt;="&amp;COUNTIFS($K$1:S$1,"&lt;&gt;"))),0)</f>
        <v>0</v>
      </c>
      <c r="T1513">
        <f>IFERROR($J1513/IF($A1513&lt;COUNTIFS($K$1:T$1,"&lt;&gt;"),0,SUMIFS($J:$J,$B:$B,$B1513,$A:$A,"&gt;="&amp;COUNTIFS($K$1:T$1,"&lt;&gt;"))),0)</f>
        <v>0</v>
      </c>
      <c r="U1513">
        <f>IFERROR($J1513/IF($A1513&lt;COUNTIFS($K$1:U$1,"&lt;&gt;"),0,SUMIFS($J:$J,$B:$B,$B1513,$A:$A,"&gt;="&amp;COUNTIFS($K$1:U$1,"&lt;&gt;"))),0)</f>
        <v>0</v>
      </c>
      <c r="V1513">
        <f>IFERROR($J1513/IF($A1513&lt;COUNTIFS($K$1:V$1,"&lt;&gt;"),0,SUMIFS($J:$J,$B:$B,$B1513,$A:$A,"&gt;="&amp;COUNTIFS($K$1:V$1,"&lt;&gt;"))),0)</f>
        <v>0</v>
      </c>
      <c r="W1513">
        <f t="shared" si="530"/>
        <v>8.4931506849315067E-2</v>
      </c>
      <c r="X1513">
        <f t="shared" si="510"/>
        <v>8.4931506849315067E-2</v>
      </c>
      <c r="Y1513">
        <f t="shared" si="511"/>
        <v>8.4931506849315067E-2</v>
      </c>
      <c r="Z1513">
        <f t="shared" si="512"/>
        <v>8.4931506849315067E-2</v>
      </c>
      <c r="AA1513">
        <f t="shared" si="513"/>
        <v>0</v>
      </c>
      <c r="AB1513">
        <f t="shared" si="514"/>
        <v>0</v>
      </c>
      <c r="AC1513">
        <f t="shared" si="515"/>
        <v>0</v>
      </c>
      <c r="AD1513">
        <f t="shared" si="516"/>
        <v>0</v>
      </c>
      <c r="AE1513">
        <f t="shared" si="517"/>
        <v>0</v>
      </c>
      <c r="AF1513">
        <f t="shared" si="518"/>
        <v>0</v>
      </c>
      <c r="AG1513">
        <f t="shared" si="519"/>
        <v>0</v>
      </c>
      <c r="AH1513">
        <f t="shared" si="520"/>
        <v>0</v>
      </c>
      <c r="AI1513">
        <f t="shared" si="521"/>
        <v>0</v>
      </c>
      <c r="AJ1513" s="2" t="str">
        <f t="shared" si="531"/>
        <v>347362</v>
      </c>
    </row>
    <row r="1514" spans="1:36" x14ac:dyDescent="0.25">
      <c r="A1514">
        <v>4</v>
      </c>
      <c r="B1514" s="1">
        <v>47362</v>
      </c>
      <c r="C1514" s="1">
        <f t="shared" si="522"/>
        <v>47484</v>
      </c>
      <c r="D1514" s="1">
        <f t="shared" si="523"/>
        <v>47376</v>
      </c>
      <c r="E1514" s="1">
        <f t="shared" si="524"/>
        <v>47484</v>
      </c>
      <c r="F1514" s="1">
        <f t="shared" si="525"/>
        <v>47515</v>
      </c>
      <c r="G1514" s="1">
        <f t="shared" si="526"/>
        <v>47741</v>
      </c>
      <c r="H1514">
        <f t="shared" si="527"/>
        <v>365</v>
      </c>
      <c r="I1514">
        <f t="shared" si="528"/>
        <v>31</v>
      </c>
      <c r="J1514">
        <f t="shared" si="529"/>
        <v>8.4931506849315067E-2</v>
      </c>
      <c r="K1514">
        <f>IFERROR($J1514/IF($A1514&lt;COUNTIFS($K$1:K$1,"&lt;&gt;"),0,SUMIFS($J:$J,$B:$B,$B1514,$A:$A,"&gt;="&amp;COUNTIFS($K$1:K$1,"&lt;&gt;"))),0)</f>
        <v>8.8825214899713484E-2</v>
      </c>
      <c r="L1514">
        <f>IFERROR($J1514/IF($A1514&lt;COUNTIFS($K$1:L$1,"&lt;&gt;"),0,SUMIFS($J:$J,$B:$B,$B1514,$A:$A,"&gt;="&amp;COUNTIFS($K$1:L$1,"&lt;&gt;"))),0)</f>
        <v>9.7484276729559768E-2</v>
      </c>
      <c r="M1514">
        <f>IFERROR($J1514/IF($A1514&lt;COUNTIFS($K$1:M$1,"&lt;&gt;"),0,SUMIFS($J:$J,$B:$B,$B1514,$A:$A,"&gt;="&amp;COUNTIFS($K$1:M$1,"&lt;&gt;"))),0)</f>
        <v>0.10763888888888891</v>
      </c>
      <c r="N1514">
        <f>IFERROR($J1514/IF($A1514&lt;COUNTIFS($K$1:N$1,"&lt;&gt;"),0,SUMIFS($J:$J,$B:$B,$B1514,$A:$A,"&gt;="&amp;COUNTIFS($K$1:N$1,"&lt;&gt;"))),0)</f>
        <v>0.12062256809338523</v>
      </c>
      <c r="O1514">
        <f>IFERROR($J1514/IF($A1514&lt;COUNTIFS($K$1:O$1,"&lt;&gt;"),0,SUMIFS($J:$J,$B:$B,$B1514,$A:$A,"&gt;="&amp;COUNTIFS($K$1:O$1,"&lt;&gt;"))),0)</f>
        <v>0</v>
      </c>
      <c r="P1514">
        <f>IFERROR($J1514/IF($A1514&lt;COUNTIFS($K$1:P$1,"&lt;&gt;"),0,SUMIFS($J:$J,$B:$B,$B1514,$A:$A,"&gt;="&amp;COUNTIFS($K$1:P$1,"&lt;&gt;"))),0)</f>
        <v>0</v>
      </c>
      <c r="Q1514">
        <f>IFERROR($J1514/IF($A1514&lt;COUNTIFS($K$1:Q$1,"&lt;&gt;"),0,SUMIFS($J:$J,$B:$B,$B1514,$A:$A,"&gt;="&amp;COUNTIFS($K$1:Q$1,"&lt;&gt;"))),0)</f>
        <v>0</v>
      </c>
      <c r="R1514">
        <f>IFERROR($J1514/IF($A1514&lt;COUNTIFS($K$1:R$1,"&lt;&gt;"),0,SUMIFS($J:$J,$B:$B,$B1514,$A:$A,"&gt;="&amp;COUNTIFS($K$1:R$1,"&lt;&gt;"))),0)</f>
        <v>0</v>
      </c>
      <c r="S1514">
        <f>IFERROR($J1514/IF($A1514&lt;COUNTIFS($K$1:S$1,"&lt;&gt;"),0,SUMIFS($J:$J,$B:$B,$B1514,$A:$A,"&gt;="&amp;COUNTIFS($K$1:S$1,"&lt;&gt;"))),0)</f>
        <v>0</v>
      </c>
      <c r="T1514">
        <f>IFERROR($J1514/IF($A1514&lt;COUNTIFS($K$1:T$1,"&lt;&gt;"),0,SUMIFS($J:$J,$B:$B,$B1514,$A:$A,"&gt;="&amp;COUNTIFS($K$1:T$1,"&lt;&gt;"))),0)</f>
        <v>0</v>
      </c>
      <c r="U1514">
        <f>IFERROR($J1514/IF($A1514&lt;COUNTIFS($K$1:U$1,"&lt;&gt;"),0,SUMIFS($J:$J,$B:$B,$B1514,$A:$A,"&gt;="&amp;COUNTIFS($K$1:U$1,"&lt;&gt;"))),0)</f>
        <v>0</v>
      </c>
      <c r="V1514">
        <f>IFERROR($J1514/IF($A1514&lt;COUNTIFS($K$1:V$1,"&lt;&gt;"),0,SUMIFS($J:$J,$B:$B,$B1514,$A:$A,"&gt;="&amp;COUNTIFS($K$1:V$1,"&lt;&gt;"))),0)</f>
        <v>0</v>
      </c>
      <c r="W1514">
        <f t="shared" si="530"/>
        <v>8.4931506849315067E-2</v>
      </c>
      <c r="X1514">
        <f t="shared" si="510"/>
        <v>8.4931506849315067E-2</v>
      </c>
      <c r="Y1514">
        <f t="shared" si="511"/>
        <v>8.4931506849315067E-2</v>
      </c>
      <c r="Z1514">
        <f t="shared" si="512"/>
        <v>8.4931506849315067E-2</v>
      </c>
      <c r="AA1514">
        <f t="shared" si="513"/>
        <v>8.4931506849315067E-2</v>
      </c>
      <c r="AB1514">
        <f t="shared" si="514"/>
        <v>0</v>
      </c>
      <c r="AC1514">
        <f t="shared" si="515"/>
        <v>0</v>
      </c>
      <c r="AD1514">
        <f t="shared" si="516"/>
        <v>0</v>
      </c>
      <c r="AE1514">
        <f t="shared" si="517"/>
        <v>0</v>
      </c>
      <c r="AF1514">
        <f t="shared" si="518"/>
        <v>0</v>
      </c>
      <c r="AG1514">
        <f t="shared" si="519"/>
        <v>0</v>
      </c>
      <c r="AH1514">
        <f t="shared" si="520"/>
        <v>0</v>
      </c>
      <c r="AI1514">
        <f t="shared" si="521"/>
        <v>0</v>
      </c>
      <c r="AJ1514" s="2" t="str">
        <f t="shared" si="531"/>
        <v>447362</v>
      </c>
    </row>
    <row r="1515" spans="1:36" x14ac:dyDescent="0.25">
      <c r="A1515">
        <v>5</v>
      </c>
      <c r="B1515" s="1">
        <v>47362</v>
      </c>
      <c r="C1515" s="1">
        <f t="shared" si="522"/>
        <v>47515</v>
      </c>
      <c r="D1515" s="1">
        <f t="shared" si="523"/>
        <v>47376</v>
      </c>
      <c r="E1515" s="1">
        <f t="shared" si="524"/>
        <v>47515</v>
      </c>
      <c r="F1515" s="1">
        <f t="shared" si="525"/>
        <v>47543</v>
      </c>
      <c r="G1515" s="1">
        <f t="shared" si="526"/>
        <v>47741</v>
      </c>
      <c r="H1515">
        <f t="shared" si="527"/>
        <v>365</v>
      </c>
      <c r="I1515">
        <f t="shared" si="528"/>
        <v>28</v>
      </c>
      <c r="J1515">
        <f t="shared" si="529"/>
        <v>7.6712328767123292E-2</v>
      </c>
      <c r="K1515">
        <f>IFERROR($J1515/IF($A1515&lt;COUNTIFS($K$1:K$1,"&lt;&gt;"),0,SUMIFS($J:$J,$B:$B,$B1515,$A:$A,"&gt;="&amp;COUNTIFS($K$1:K$1,"&lt;&gt;"))),0)</f>
        <v>8.0229226361031539E-2</v>
      </c>
      <c r="L1515">
        <f>IFERROR($J1515/IF($A1515&lt;COUNTIFS($K$1:L$1,"&lt;&gt;"),0,SUMIFS($J:$J,$B:$B,$B1515,$A:$A,"&gt;="&amp;COUNTIFS($K$1:L$1,"&lt;&gt;"))),0)</f>
        <v>8.8050314465408827E-2</v>
      </c>
      <c r="M1515">
        <f>IFERROR($J1515/IF($A1515&lt;COUNTIFS($K$1:M$1,"&lt;&gt;"),0,SUMIFS($J:$J,$B:$B,$B1515,$A:$A,"&gt;="&amp;COUNTIFS($K$1:M$1,"&lt;&gt;"))),0)</f>
        <v>9.7222222222222238E-2</v>
      </c>
      <c r="N1515">
        <f>IFERROR($J1515/IF($A1515&lt;COUNTIFS($K$1:N$1,"&lt;&gt;"),0,SUMIFS($J:$J,$B:$B,$B1515,$A:$A,"&gt;="&amp;COUNTIFS($K$1:N$1,"&lt;&gt;"))),0)</f>
        <v>0.10894941634241248</v>
      </c>
      <c r="O1515">
        <f>IFERROR($J1515/IF($A1515&lt;COUNTIFS($K$1:O$1,"&lt;&gt;"),0,SUMIFS($J:$J,$B:$B,$B1515,$A:$A,"&gt;="&amp;COUNTIFS($K$1:O$1,"&lt;&gt;"))),0)</f>
        <v>0.12389380530973454</v>
      </c>
      <c r="P1515">
        <f>IFERROR($J1515/IF($A1515&lt;COUNTIFS($K$1:P$1,"&lt;&gt;"),0,SUMIFS($J:$J,$B:$B,$B1515,$A:$A,"&gt;="&amp;COUNTIFS($K$1:P$1,"&lt;&gt;"))),0)</f>
        <v>0</v>
      </c>
      <c r="Q1515">
        <f>IFERROR($J1515/IF($A1515&lt;COUNTIFS($K$1:Q$1,"&lt;&gt;"),0,SUMIFS($J:$J,$B:$B,$B1515,$A:$A,"&gt;="&amp;COUNTIFS($K$1:Q$1,"&lt;&gt;"))),0)</f>
        <v>0</v>
      </c>
      <c r="R1515">
        <f>IFERROR($J1515/IF($A1515&lt;COUNTIFS($K$1:R$1,"&lt;&gt;"),0,SUMIFS($J:$J,$B:$B,$B1515,$A:$A,"&gt;="&amp;COUNTIFS($K$1:R$1,"&lt;&gt;"))),0)</f>
        <v>0</v>
      </c>
      <c r="S1515">
        <f>IFERROR($J1515/IF($A1515&lt;COUNTIFS($K$1:S$1,"&lt;&gt;"),0,SUMIFS($J:$J,$B:$B,$B1515,$A:$A,"&gt;="&amp;COUNTIFS($K$1:S$1,"&lt;&gt;"))),0)</f>
        <v>0</v>
      </c>
      <c r="T1515">
        <f>IFERROR($J1515/IF($A1515&lt;COUNTIFS($K$1:T$1,"&lt;&gt;"),0,SUMIFS($J:$J,$B:$B,$B1515,$A:$A,"&gt;="&amp;COUNTIFS($K$1:T$1,"&lt;&gt;"))),0)</f>
        <v>0</v>
      </c>
      <c r="U1515">
        <f>IFERROR($J1515/IF($A1515&lt;COUNTIFS($K$1:U$1,"&lt;&gt;"),0,SUMIFS($J:$J,$B:$B,$B1515,$A:$A,"&gt;="&amp;COUNTIFS($K$1:U$1,"&lt;&gt;"))),0)</f>
        <v>0</v>
      </c>
      <c r="V1515">
        <f>IFERROR($J1515/IF($A1515&lt;COUNTIFS($K$1:V$1,"&lt;&gt;"),0,SUMIFS($J:$J,$B:$B,$B1515,$A:$A,"&gt;="&amp;COUNTIFS($K$1:V$1,"&lt;&gt;"))),0)</f>
        <v>0</v>
      </c>
      <c r="W1515">
        <f t="shared" si="530"/>
        <v>7.6712328767123292E-2</v>
      </c>
      <c r="X1515">
        <f t="shared" si="510"/>
        <v>7.6712328767123292E-2</v>
      </c>
      <c r="Y1515">
        <f t="shared" si="511"/>
        <v>7.6712328767123292E-2</v>
      </c>
      <c r="Z1515">
        <f t="shared" si="512"/>
        <v>7.6712328767123292E-2</v>
      </c>
      <c r="AA1515">
        <f t="shared" si="513"/>
        <v>7.6712328767123292E-2</v>
      </c>
      <c r="AB1515">
        <f t="shared" si="514"/>
        <v>7.6712328767123292E-2</v>
      </c>
      <c r="AC1515">
        <f t="shared" si="515"/>
        <v>0</v>
      </c>
      <c r="AD1515">
        <f t="shared" si="516"/>
        <v>0</v>
      </c>
      <c r="AE1515">
        <f t="shared" si="517"/>
        <v>0</v>
      </c>
      <c r="AF1515">
        <f t="shared" si="518"/>
        <v>0</v>
      </c>
      <c r="AG1515">
        <f t="shared" si="519"/>
        <v>0</v>
      </c>
      <c r="AH1515">
        <f t="shared" si="520"/>
        <v>0</v>
      </c>
      <c r="AI1515">
        <f t="shared" si="521"/>
        <v>0</v>
      </c>
      <c r="AJ1515" s="2" t="str">
        <f t="shared" si="531"/>
        <v>547362</v>
      </c>
    </row>
    <row r="1516" spans="1:36" x14ac:dyDescent="0.25">
      <c r="A1516">
        <v>6</v>
      </c>
      <c r="B1516" s="1">
        <v>47362</v>
      </c>
      <c r="C1516" s="1">
        <f t="shared" si="522"/>
        <v>47543</v>
      </c>
      <c r="D1516" s="1">
        <f t="shared" si="523"/>
        <v>47376</v>
      </c>
      <c r="E1516" s="1">
        <f t="shared" si="524"/>
        <v>47543</v>
      </c>
      <c r="F1516" s="1">
        <f t="shared" si="525"/>
        <v>47574</v>
      </c>
      <c r="G1516" s="1">
        <f t="shared" si="526"/>
        <v>47741</v>
      </c>
      <c r="H1516">
        <f t="shared" si="527"/>
        <v>365</v>
      </c>
      <c r="I1516">
        <f t="shared" si="528"/>
        <v>31</v>
      </c>
      <c r="J1516">
        <f t="shared" si="529"/>
        <v>8.4931506849315067E-2</v>
      </c>
      <c r="K1516">
        <f>IFERROR($J1516/IF($A1516&lt;COUNTIFS($K$1:K$1,"&lt;&gt;"),0,SUMIFS($J:$J,$B:$B,$B1516,$A:$A,"&gt;="&amp;COUNTIFS($K$1:K$1,"&lt;&gt;"))),0)</f>
        <v>8.8825214899713484E-2</v>
      </c>
      <c r="L1516">
        <f>IFERROR($J1516/IF($A1516&lt;COUNTIFS($K$1:L$1,"&lt;&gt;"),0,SUMIFS($J:$J,$B:$B,$B1516,$A:$A,"&gt;="&amp;COUNTIFS($K$1:L$1,"&lt;&gt;"))),0)</f>
        <v>9.7484276729559768E-2</v>
      </c>
      <c r="M1516">
        <f>IFERROR($J1516/IF($A1516&lt;COUNTIFS($K$1:M$1,"&lt;&gt;"),0,SUMIFS($J:$J,$B:$B,$B1516,$A:$A,"&gt;="&amp;COUNTIFS($K$1:M$1,"&lt;&gt;"))),0)</f>
        <v>0.10763888888888891</v>
      </c>
      <c r="N1516">
        <f>IFERROR($J1516/IF($A1516&lt;COUNTIFS($K$1:N$1,"&lt;&gt;"),0,SUMIFS($J:$J,$B:$B,$B1516,$A:$A,"&gt;="&amp;COUNTIFS($K$1:N$1,"&lt;&gt;"))),0)</f>
        <v>0.12062256809338523</v>
      </c>
      <c r="O1516">
        <f>IFERROR($J1516/IF($A1516&lt;COUNTIFS($K$1:O$1,"&lt;&gt;"),0,SUMIFS($J:$J,$B:$B,$B1516,$A:$A,"&gt;="&amp;COUNTIFS($K$1:O$1,"&lt;&gt;"))),0)</f>
        <v>0.13716814159292037</v>
      </c>
      <c r="P1516">
        <f>IFERROR($J1516/IF($A1516&lt;COUNTIFS($K$1:P$1,"&lt;&gt;"),0,SUMIFS($J:$J,$B:$B,$B1516,$A:$A,"&gt;="&amp;COUNTIFS($K$1:P$1,"&lt;&gt;"))),0)</f>
        <v>0.1565656565656566</v>
      </c>
      <c r="Q1516">
        <f>IFERROR($J1516/IF($A1516&lt;COUNTIFS($K$1:Q$1,"&lt;&gt;"),0,SUMIFS($J:$J,$B:$B,$B1516,$A:$A,"&gt;="&amp;COUNTIFS($K$1:Q$1,"&lt;&gt;"))),0)</f>
        <v>0</v>
      </c>
      <c r="R1516">
        <f>IFERROR($J1516/IF($A1516&lt;COUNTIFS($K$1:R$1,"&lt;&gt;"),0,SUMIFS($J:$J,$B:$B,$B1516,$A:$A,"&gt;="&amp;COUNTIFS($K$1:R$1,"&lt;&gt;"))),0)</f>
        <v>0</v>
      </c>
      <c r="S1516">
        <f>IFERROR($J1516/IF($A1516&lt;COUNTIFS($K$1:S$1,"&lt;&gt;"),0,SUMIFS($J:$J,$B:$B,$B1516,$A:$A,"&gt;="&amp;COUNTIFS($K$1:S$1,"&lt;&gt;"))),0)</f>
        <v>0</v>
      </c>
      <c r="T1516">
        <f>IFERROR($J1516/IF($A1516&lt;COUNTIFS($K$1:T$1,"&lt;&gt;"),0,SUMIFS($J:$J,$B:$B,$B1516,$A:$A,"&gt;="&amp;COUNTIFS($K$1:T$1,"&lt;&gt;"))),0)</f>
        <v>0</v>
      </c>
      <c r="U1516">
        <f>IFERROR($J1516/IF($A1516&lt;COUNTIFS($K$1:U$1,"&lt;&gt;"),0,SUMIFS($J:$J,$B:$B,$B1516,$A:$A,"&gt;="&amp;COUNTIFS($K$1:U$1,"&lt;&gt;"))),0)</f>
        <v>0</v>
      </c>
      <c r="V1516">
        <f>IFERROR($J1516/IF($A1516&lt;COUNTIFS($K$1:V$1,"&lt;&gt;"),0,SUMIFS($J:$J,$B:$B,$B1516,$A:$A,"&gt;="&amp;COUNTIFS($K$1:V$1,"&lt;&gt;"))),0)</f>
        <v>0</v>
      </c>
      <c r="W1516">
        <f t="shared" si="530"/>
        <v>8.4931506849315067E-2</v>
      </c>
      <c r="X1516">
        <f t="shared" si="510"/>
        <v>8.4931506849315067E-2</v>
      </c>
      <c r="Y1516">
        <f t="shared" si="511"/>
        <v>8.4931506849315067E-2</v>
      </c>
      <c r="Z1516">
        <f t="shared" si="512"/>
        <v>8.4931506849315067E-2</v>
      </c>
      <c r="AA1516">
        <f t="shared" si="513"/>
        <v>8.4931506849315067E-2</v>
      </c>
      <c r="AB1516">
        <f t="shared" si="514"/>
        <v>8.4931506849315067E-2</v>
      </c>
      <c r="AC1516">
        <f t="shared" si="515"/>
        <v>8.4931506849315067E-2</v>
      </c>
      <c r="AD1516">
        <f t="shared" si="516"/>
        <v>0</v>
      </c>
      <c r="AE1516">
        <f t="shared" si="517"/>
        <v>0</v>
      </c>
      <c r="AF1516">
        <f t="shared" si="518"/>
        <v>0</v>
      </c>
      <c r="AG1516">
        <f t="shared" si="519"/>
        <v>0</v>
      </c>
      <c r="AH1516">
        <f t="shared" si="520"/>
        <v>0</v>
      </c>
      <c r="AI1516">
        <f t="shared" si="521"/>
        <v>0</v>
      </c>
      <c r="AJ1516" s="2" t="str">
        <f t="shared" si="531"/>
        <v>647362</v>
      </c>
    </row>
    <row r="1517" spans="1:36" x14ac:dyDescent="0.25">
      <c r="A1517">
        <v>7</v>
      </c>
      <c r="B1517" s="1">
        <v>47362</v>
      </c>
      <c r="C1517" s="1">
        <f t="shared" si="522"/>
        <v>47574</v>
      </c>
      <c r="D1517" s="1">
        <f t="shared" si="523"/>
        <v>47376</v>
      </c>
      <c r="E1517" s="1">
        <f t="shared" si="524"/>
        <v>47574</v>
      </c>
      <c r="F1517" s="1">
        <f t="shared" si="525"/>
        <v>47604</v>
      </c>
      <c r="G1517" s="1">
        <f t="shared" si="526"/>
        <v>47741</v>
      </c>
      <c r="H1517">
        <f t="shared" si="527"/>
        <v>365</v>
      </c>
      <c r="I1517">
        <f t="shared" si="528"/>
        <v>30</v>
      </c>
      <c r="J1517">
        <f t="shared" si="529"/>
        <v>8.2191780821917804E-2</v>
      </c>
      <c r="K1517">
        <f>IFERROR($J1517/IF($A1517&lt;COUNTIFS($K$1:K$1,"&lt;&gt;"),0,SUMIFS($J:$J,$B:$B,$B1517,$A:$A,"&gt;="&amp;COUNTIFS($K$1:K$1,"&lt;&gt;"))),0)</f>
        <v>8.5959885386819493E-2</v>
      </c>
      <c r="L1517">
        <f>IFERROR($J1517/IF($A1517&lt;COUNTIFS($K$1:L$1,"&lt;&gt;"),0,SUMIFS($J:$J,$B:$B,$B1517,$A:$A,"&gt;="&amp;COUNTIFS($K$1:L$1,"&lt;&gt;"))),0)</f>
        <v>9.4339622641509441E-2</v>
      </c>
      <c r="M1517">
        <f>IFERROR($J1517/IF($A1517&lt;COUNTIFS($K$1:M$1,"&lt;&gt;"),0,SUMIFS($J:$J,$B:$B,$B1517,$A:$A,"&gt;="&amp;COUNTIFS($K$1:M$1,"&lt;&gt;"))),0)</f>
        <v>0.10416666666666669</v>
      </c>
      <c r="N1517">
        <f>IFERROR($J1517/IF($A1517&lt;COUNTIFS($K$1:N$1,"&lt;&gt;"),0,SUMIFS($J:$J,$B:$B,$B1517,$A:$A,"&gt;="&amp;COUNTIFS($K$1:N$1,"&lt;&gt;"))),0)</f>
        <v>0.11673151750972764</v>
      </c>
      <c r="O1517">
        <f>IFERROR($J1517/IF($A1517&lt;COUNTIFS($K$1:O$1,"&lt;&gt;"),0,SUMIFS($J:$J,$B:$B,$B1517,$A:$A,"&gt;="&amp;COUNTIFS($K$1:O$1,"&lt;&gt;"))),0)</f>
        <v>0.13274336283185842</v>
      </c>
      <c r="P1517">
        <f>IFERROR($J1517/IF($A1517&lt;COUNTIFS($K$1:P$1,"&lt;&gt;"),0,SUMIFS($J:$J,$B:$B,$B1517,$A:$A,"&gt;="&amp;COUNTIFS($K$1:P$1,"&lt;&gt;"))),0)</f>
        <v>0.15151515151515155</v>
      </c>
      <c r="Q1517">
        <f>IFERROR($J1517/IF($A1517&lt;COUNTIFS($K$1:Q$1,"&lt;&gt;"),0,SUMIFS($J:$J,$B:$B,$B1517,$A:$A,"&gt;="&amp;COUNTIFS($K$1:Q$1,"&lt;&gt;"))),0)</f>
        <v>0.17964071856287425</v>
      </c>
      <c r="R1517">
        <f>IFERROR($J1517/IF($A1517&lt;COUNTIFS($K$1:R$1,"&lt;&gt;"),0,SUMIFS($J:$J,$B:$B,$B1517,$A:$A,"&gt;="&amp;COUNTIFS($K$1:R$1,"&lt;&gt;"))),0)</f>
        <v>0</v>
      </c>
      <c r="S1517">
        <f>IFERROR($J1517/IF($A1517&lt;COUNTIFS($K$1:S$1,"&lt;&gt;"),0,SUMIFS($J:$J,$B:$B,$B1517,$A:$A,"&gt;="&amp;COUNTIFS($K$1:S$1,"&lt;&gt;"))),0)</f>
        <v>0</v>
      </c>
      <c r="T1517">
        <f>IFERROR($J1517/IF($A1517&lt;COUNTIFS($K$1:T$1,"&lt;&gt;"),0,SUMIFS($J:$J,$B:$B,$B1517,$A:$A,"&gt;="&amp;COUNTIFS($K$1:T$1,"&lt;&gt;"))),0)</f>
        <v>0</v>
      </c>
      <c r="U1517">
        <f>IFERROR($J1517/IF($A1517&lt;COUNTIFS($K$1:U$1,"&lt;&gt;"),0,SUMIFS($J:$J,$B:$B,$B1517,$A:$A,"&gt;="&amp;COUNTIFS($K$1:U$1,"&lt;&gt;"))),0)</f>
        <v>0</v>
      </c>
      <c r="V1517">
        <f>IFERROR($J1517/IF($A1517&lt;COUNTIFS($K$1:V$1,"&lt;&gt;"),0,SUMIFS($J:$J,$B:$B,$B1517,$A:$A,"&gt;="&amp;COUNTIFS($K$1:V$1,"&lt;&gt;"))),0)</f>
        <v>0</v>
      </c>
      <c r="W1517">
        <f t="shared" si="530"/>
        <v>8.2191780821917804E-2</v>
      </c>
      <c r="X1517">
        <f t="shared" si="510"/>
        <v>8.2191780821917804E-2</v>
      </c>
      <c r="Y1517">
        <f t="shared" si="511"/>
        <v>8.2191780821917804E-2</v>
      </c>
      <c r="Z1517">
        <f t="shared" si="512"/>
        <v>8.2191780821917804E-2</v>
      </c>
      <c r="AA1517">
        <f t="shared" si="513"/>
        <v>8.2191780821917804E-2</v>
      </c>
      <c r="AB1517">
        <f t="shared" si="514"/>
        <v>8.2191780821917804E-2</v>
      </c>
      <c r="AC1517">
        <f t="shared" si="515"/>
        <v>8.2191780821917804E-2</v>
      </c>
      <c r="AD1517">
        <f t="shared" si="516"/>
        <v>8.2191780821917804E-2</v>
      </c>
      <c r="AE1517">
        <f t="shared" si="517"/>
        <v>0</v>
      </c>
      <c r="AF1517">
        <f t="shared" si="518"/>
        <v>0</v>
      </c>
      <c r="AG1517">
        <f t="shared" si="519"/>
        <v>0</v>
      </c>
      <c r="AH1517">
        <f t="shared" si="520"/>
        <v>0</v>
      </c>
      <c r="AI1517">
        <f t="shared" si="521"/>
        <v>0</v>
      </c>
      <c r="AJ1517" s="2" t="str">
        <f t="shared" si="531"/>
        <v>747362</v>
      </c>
    </row>
    <row r="1518" spans="1:36" x14ac:dyDescent="0.25">
      <c r="A1518">
        <v>8</v>
      </c>
      <c r="B1518" s="1">
        <v>47362</v>
      </c>
      <c r="C1518" s="1">
        <f t="shared" si="522"/>
        <v>47604</v>
      </c>
      <c r="D1518" s="1">
        <f t="shared" si="523"/>
        <v>47376</v>
      </c>
      <c r="E1518" s="1">
        <f t="shared" si="524"/>
        <v>47604</v>
      </c>
      <c r="F1518" s="1">
        <f t="shared" si="525"/>
        <v>47635</v>
      </c>
      <c r="G1518" s="1">
        <f t="shared" si="526"/>
        <v>47741</v>
      </c>
      <c r="H1518">
        <f t="shared" si="527"/>
        <v>365</v>
      </c>
      <c r="I1518">
        <f t="shared" si="528"/>
        <v>31</v>
      </c>
      <c r="J1518">
        <f t="shared" si="529"/>
        <v>8.4931506849315067E-2</v>
      </c>
      <c r="K1518">
        <f>IFERROR($J1518/IF($A1518&lt;COUNTIFS($K$1:K$1,"&lt;&gt;"),0,SUMIFS($J:$J,$B:$B,$B1518,$A:$A,"&gt;="&amp;COUNTIFS($K$1:K$1,"&lt;&gt;"))),0)</f>
        <v>8.8825214899713484E-2</v>
      </c>
      <c r="L1518">
        <f>IFERROR($J1518/IF($A1518&lt;COUNTIFS($K$1:L$1,"&lt;&gt;"),0,SUMIFS($J:$J,$B:$B,$B1518,$A:$A,"&gt;="&amp;COUNTIFS($K$1:L$1,"&lt;&gt;"))),0)</f>
        <v>9.7484276729559768E-2</v>
      </c>
      <c r="M1518">
        <f>IFERROR($J1518/IF($A1518&lt;COUNTIFS($K$1:M$1,"&lt;&gt;"),0,SUMIFS($J:$J,$B:$B,$B1518,$A:$A,"&gt;="&amp;COUNTIFS($K$1:M$1,"&lt;&gt;"))),0)</f>
        <v>0.10763888888888891</v>
      </c>
      <c r="N1518">
        <f>IFERROR($J1518/IF($A1518&lt;COUNTIFS($K$1:N$1,"&lt;&gt;"),0,SUMIFS($J:$J,$B:$B,$B1518,$A:$A,"&gt;="&amp;COUNTIFS($K$1:N$1,"&lt;&gt;"))),0)</f>
        <v>0.12062256809338523</v>
      </c>
      <c r="O1518">
        <f>IFERROR($J1518/IF($A1518&lt;COUNTIFS($K$1:O$1,"&lt;&gt;"),0,SUMIFS($J:$J,$B:$B,$B1518,$A:$A,"&gt;="&amp;COUNTIFS($K$1:O$1,"&lt;&gt;"))),0)</f>
        <v>0.13716814159292037</v>
      </c>
      <c r="P1518">
        <f>IFERROR($J1518/IF($A1518&lt;COUNTIFS($K$1:P$1,"&lt;&gt;"),0,SUMIFS($J:$J,$B:$B,$B1518,$A:$A,"&gt;="&amp;COUNTIFS($K$1:P$1,"&lt;&gt;"))),0)</f>
        <v>0.1565656565656566</v>
      </c>
      <c r="Q1518">
        <f>IFERROR($J1518/IF($A1518&lt;COUNTIFS($K$1:Q$1,"&lt;&gt;"),0,SUMIFS($J:$J,$B:$B,$B1518,$A:$A,"&gt;="&amp;COUNTIFS($K$1:Q$1,"&lt;&gt;"))),0)</f>
        <v>0.18562874251497008</v>
      </c>
      <c r="R1518">
        <f>IFERROR($J1518/IF($A1518&lt;COUNTIFS($K$1:R$1,"&lt;&gt;"),0,SUMIFS($J:$J,$B:$B,$B1518,$A:$A,"&gt;="&amp;COUNTIFS($K$1:R$1,"&lt;&gt;"))),0)</f>
        <v>0.22627737226277375</v>
      </c>
      <c r="S1518">
        <f>IFERROR($J1518/IF($A1518&lt;COUNTIFS($K$1:S$1,"&lt;&gt;"),0,SUMIFS($J:$J,$B:$B,$B1518,$A:$A,"&gt;="&amp;COUNTIFS($K$1:S$1,"&lt;&gt;"))),0)</f>
        <v>0</v>
      </c>
      <c r="T1518">
        <f>IFERROR($J1518/IF($A1518&lt;COUNTIFS($K$1:T$1,"&lt;&gt;"),0,SUMIFS($J:$J,$B:$B,$B1518,$A:$A,"&gt;="&amp;COUNTIFS($K$1:T$1,"&lt;&gt;"))),0)</f>
        <v>0</v>
      </c>
      <c r="U1518">
        <f>IFERROR($J1518/IF($A1518&lt;COUNTIFS($K$1:U$1,"&lt;&gt;"),0,SUMIFS($J:$J,$B:$B,$B1518,$A:$A,"&gt;="&amp;COUNTIFS($K$1:U$1,"&lt;&gt;"))),0)</f>
        <v>0</v>
      </c>
      <c r="V1518">
        <f>IFERROR($J1518/IF($A1518&lt;COUNTIFS($K$1:V$1,"&lt;&gt;"),0,SUMIFS($J:$J,$B:$B,$B1518,$A:$A,"&gt;="&amp;COUNTIFS($K$1:V$1,"&lt;&gt;"))),0)</f>
        <v>0</v>
      </c>
      <c r="W1518">
        <f t="shared" si="530"/>
        <v>8.4931506849315067E-2</v>
      </c>
      <c r="X1518">
        <f t="shared" si="510"/>
        <v>8.4931506849315067E-2</v>
      </c>
      <c r="Y1518">
        <f t="shared" si="511"/>
        <v>8.4931506849315067E-2</v>
      </c>
      <c r="Z1518">
        <f t="shared" si="512"/>
        <v>8.4931506849315067E-2</v>
      </c>
      <c r="AA1518">
        <f t="shared" si="513"/>
        <v>8.4931506849315067E-2</v>
      </c>
      <c r="AB1518">
        <f t="shared" si="514"/>
        <v>8.4931506849315067E-2</v>
      </c>
      <c r="AC1518">
        <f t="shared" si="515"/>
        <v>8.4931506849315067E-2</v>
      </c>
      <c r="AD1518">
        <f t="shared" si="516"/>
        <v>8.4931506849315067E-2</v>
      </c>
      <c r="AE1518">
        <f t="shared" si="517"/>
        <v>8.4931506849315067E-2</v>
      </c>
      <c r="AF1518">
        <f t="shared" si="518"/>
        <v>0</v>
      </c>
      <c r="AG1518">
        <f t="shared" si="519"/>
        <v>0</v>
      </c>
      <c r="AH1518">
        <f t="shared" si="520"/>
        <v>0</v>
      </c>
      <c r="AI1518">
        <f t="shared" si="521"/>
        <v>0</v>
      </c>
      <c r="AJ1518" s="2" t="str">
        <f t="shared" si="531"/>
        <v>847362</v>
      </c>
    </row>
    <row r="1519" spans="1:36" x14ac:dyDescent="0.25">
      <c r="A1519">
        <v>9</v>
      </c>
      <c r="B1519" s="1">
        <v>47362</v>
      </c>
      <c r="C1519" s="1">
        <f t="shared" si="522"/>
        <v>47635</v>
      </c>
      <c r="D1519" s="1">
        <f t="shared" si="523"/>
        <v>47376</v>
      </c>
      <c r="E1519" s="1">
        <f t="shared" si="524"/>
        <v>47635</v>
      </c>
      <c r="F1519" s="1">
        <f t="shared" si="525"/>
        <v>47665</v>
      </c>
      <c r="G1519" s="1">
        <f t="shared" si="526"/>
        <v>47741</v>
      </c>
      <c r="H1519">
        <f t="shared" si="527"/>
        <v>365</v>
      </c>
      <c r="I1519">
        <f t="shared" si="528"/>
        <v>30</v>
      </c>
      <c r="J1519">
        <f t="shared" si="529"/>
        <v>8.2191780821917804E-2</v>
      </c>
      <c r="K1519">
        <f>IFERROR($J1519/IF($A1519&lt;COUNTIFS($K$1:K$1,"&lt;&gt;"),0,SUMIFS($J:$J,$B:$B,$B1519,$A:$A,"&gt;="&amp;COUNTIFS($K$1:K$1,"&lt;&gt;"))),0)</f>
        <v>8.5959885386819493E-2</v>
      </c>
      <c r="L1519">
        <f>IFERROR($J1519/IF($A1519&lt;COUNTIFS($K$1:L$1,"&lt;&gt;"),0,SUMIFS($J:$J,$B:$B,$B1519,$A:$A,"&gt;="&amp;COUNTIFS($K$1:L$1,"&lt;&gt;"))),0)</f>
        <v>9.4339622641509441E-2</v>
      </c>
      <c r="M1519">
        <f>IFERROR($J1519/IF($A1519&lt;COUNTIFS($K$1:M$1,"&lt;&gt;"),0,SUMIFS($J:$J,$B:$B,$B1519,$A:$A,"&gt;="&amp;COUNTIFS($K$1:M$1,"&lt;&gt;"))),0)</f>
        <v>0.10416666666666669</v>
      </c>
      <c r="N1519">
        <f>IFERROR($J1519/IF($A1519&lt;COUNTIFS($K$1:N$1,"&lt;&gt;"),0,SUMIFS($J:$J,$B:$B,$B1519,$A:$A,"&gt;="&amp;COUNTIFS($K$1:N$1,"&lt;&gt;"))),0)</f>
        <v>0.11673151750972764</v>
      </c>
      <c r="O1519">
        <f>IFERROR($J1519/IF($A1519&lt;COUNTIFS($K$1:O$1,"&lt;&gt;"),0,SUMIFS($J:$J,$B:$B,$B1519,$A:$A,"&gt;="&amp;COUNTIFS($K$1:O$1,"&lt;&gt;"))),0)</f>
        <v>0.13274336283185842</v>
      </c>
      <c r="P1519">
        <f>IFERROR($J1519/IF($A1519&lt;COUNTIFS($K$1:P$1,"&lt;&gt;"),0,SUMIFS($J:$J,$B:$B,$B1519,$A:$A,"&gt;="&amp;COUNTIFS($K$1:P$1,"&lt;&gt;"))),0)</f>
        <v>0.15151515151515155</v>
      </c>
      <c r="Q1519">
        <f>IFERROR($J1519/IF($A1519&lt;COUNTIFS($K$1:Q$1,"&lt;&gt;"),0,SUMIFS($J:$J,$B:$B,$B1519,$A:$A,"&gt;="&amp;COUNTIFS($K$1:Q$1,"&lt;&gt;"))),0)</f>
        <v>0.17964071856287425</v>
      </c>
      <c r="R1519">
        <f>IFERROR($J1519/IF($A1519&lt;COUNTIFS($K$1:R$1,"&lt;&gt;"),0,SUMIFS($J:$J,$B:$B,$B1519,$A:$A,"&gt;="&amp;COUNTIFS($K$1:R$1,"&lt;&gt;"))),0)</f>
        <v>0.21897810218978103</v>
      </c>
      <c r="S1519">
        <f>IFERROR($J1519/IF($A1519&lt;COUNTIFS($K$1:S$1,"&lt;&gt;"),0,SUMIFS($J:$J,$B:$B,$B1519,$A:$A,"&gt;="&amp;COUNTIFS($K$1:S$1,"&lt;&gt;"))),0)</f>
        <v>0.28301886792452829</v>
      </c>
      <c r="T1519">
        <f>IFERROR($J1519/IF($A1519&lt;COUNTIFS($K$1:T$1,"&lt;&gt;"),0,SUMIFS($J:$J,$B:$B,$B1519,$A:$A,"&gt;="&amp;COUNTIFS($K$1:T$1,"&lt;&gt;"))),0)</f>
        <v>0</v>
      </c>
      <c r="U1519">
        <f>IFERROR($J1519/IF($A1519&lt;COUNTIFS($K$1:U$1,"&lt;&gt;"),0,SUMIFS($J:$J,$B:$B,$B1519,$A:$A,"&gt;="&amp;COUNTIFS($K$1:U$1,"&lt;&gt;"))),0)</f>
        <v>0</v>
      </c>
      <c r="V1519">
        <f>IFERROR($J1519/IF($A1519&lt;COUNTIFS($K$1:V$1,"&lt;&gt;"),0,SUMIFS($J:$J,$B:$B,$B1519,$A:$A,"&gt;="&amp;COUNTIFS($K$1:V$1,"&lt;&gt;"))),0)</f>
        <v>0</v>
      </c>
      <c r="W1519">
        <f t="shared" si="530"/>
        <v>8.2191780821917804E-2</v>
      </c>
      <c r="X1519">
        <f t="shared" si="510"/>
        <v>8.2191780821917804E-2</v>
      </c>
      <c r="Y1519">
        <f t="shared" si="511"/>
        <v>8.2191780821917804E-2</v>
      </c>
      <c r="Z1519">
        <f t="shared" si="512"/>
        <v>8.2191780821917804E-2</v>
      </c>
      <c r="AA1519">
        <f t="shared" si="513"/>
        <v>8.2191780821917804E-2</v>
      </c>
      <c r="AB1519">
        <f t="shared" si="514"/>
        <v>8.2191780821917804E-2</v>
      </c>
      <c r="AC1519">
        <f t="shared" si="515"/>
        <v>8.2191780821917804E-2</v>
      </c>
      <c r="AD1519">
        <f t="shared" si="516"/>
        <v>8.2191780821917804E-2</v>
      </c>
      <c r="AE1519">
        <f t="shared" si="517"/>
        <v>8.2191780821917804E-2</v>
      </c>
      <c r="AF1519">
        <f t="shared" si="518"/>
        <v>8.2191780821917804E-2</v>
      </c>
      <c r="AG1519">
        <f t="shared" si="519"/>
        <v>0</v>
      </c>
      <c r="AH1519">
        <f t="shared" si="520"/>
        <v>0</v>
      </c>
      <c r="AI1519">
        <f t="shared" si="521"/>
        <v>0</v>
      </c>
      <c r="AJ1519" s="2" t="str">
        <f t="shared" si="531"/>
        <v>947362</v>
      </c>
    </row>
    <row r="1520" spans="1:36" x14ac:dyDescent="0.25">
      <c r="A1520">
        <v>10</v>
      </c>
      <c r="B1520" s="1">
        <v>47362</v>
      </c>
      <c r="C1520" s="1">
        <f t="shared" si="522"/>
        <v>47665</v>
      </c>
      <c r="D1520" s="1">
        <f t="shared" si="523"/>
        <v>47376</v>
      </c>
      <c r="E1520" s="1">
        <f t="shared" si="524"/>
        <v>47665</v>
      </c>
      <c r="F1520" s="1">
        <f t="shared" si="525"/>
        <v>47696</v>
      </c>
      <c r="G1520" s="1">
        <f t="shared" si="526"/>
        <v>47741</v>
      </c>
      <c r="H1520">
        <f t="shared" si="527"/>
        <v>365</v>
      </c>
      <c r="I1520">
        <f t="shared" si="528"/>
        <v>31</v>
      </c>
      <c r="J1520">
        <f t="shared" si="529"/>
        <v>8.4931506849315067E-2</v>
      </c>
      <c r="K1520">
        <f>IFERROR($J1520/IF($A1520&lt;COUNTIFS($K$1:K$1,"&lt;&gt;"),0,SUMIFS($J:$J,$B:$B,$B1520,$A:$A,"&gt;="&amp;COUNTIFS($K$1:K$1,"&lt;&gt;"))),0)</f>
        <v>8.8825214899713484E-2</v>
      </c>
      <c r="L1520">
        <f>IFERROR($J1520/IF($A1520&lt;COUNTIFS($K$1:L$1,"&lt;&gt;"),0,SUMIFS($J:$J,$B:$B,$B1520,$A:$A,"&gt;="&amp;COUNTIFS($K$1:L$1,"&lt;&gt;"))),0)</f>
        <v>9.7484276729559768E-2</v>
      </c>
      <c r="M1520">
        <f>IFERROR($J1520/IF($A1520&lt;COUNTIFS($K$1:M$1,"&lt;&gt;"),0,SUMIFS($J:$J,$B:$B,$B1520,$A:$A,"&gt;="&amp;COUNTIFS($K$1:M$1,"&lt;&gt;"))),0)</f>
        <v>0.10763888888888891</v>
      </c>
      <c r="N1520">
        <f>IFERROR($J1520/IF($A1520&lt;COUNTIFS($K$1:N$1,"&lt;&gt;"),0,SUMIFS($J:$J,$B:$B,$B1520,$A:$A,"&gt;="&amp;COUNTIFS($K$1:N$1,"&lt;&gt;"))),0)</f>
        <v>0.12062256809338523</v>
      </c>
      <c r="O1520">
        <f>IFERROR($J1520/IF($A1520&lt;COUNTIFS($K$1:O$1,"&lt;&gt;"),0,SUMIFS($J:$J,$B:$B,$B1520,$A:$A,"&gt;="&amp;COUNTIFS($K$1:O$1,"&lt;&gt;"))),0)</f>
        <v>0.13716814159292037</v>
      </c>
      <c r="P1520">
        <f>IFERROR($J1520/IF($A1520&lt;COUNTIFS($K$1:P$1,"&lt;&gt;"),0,SUMIFS($J:$J,$B:$B,$B1520,$A:$A,"&gt;="&amp;COUNTIFS($K$1:P$1,"&lt;&gt;"))),0)</f>
        <v>0.1565656565656566</v>
      </c>
      <c r="Q1520">
        <f>IFERROR($J1520/IF($A1520&lt;COUNTIFS($K$1:Q$1,"&lt;&gt;"),0,SUMIFS($J:$J,$B:$B,$B1520,$A:$A,"&gt;="&amp;COUNTIFS($K$1:Q$1,"&lt;&gt;"))),0)</f>
        <v>0.18562874251497008</v>
      </c>
      <c r="R1520">
        <f>IFERROR($J1520/IF($A1520&lt;COUNTIFS($K$1:R$1,"&lt;&gt;"),0,SUMIFS($J:$J,$B:$B,$B1520,$A:$A,"&gt;="&amp;COUNTIFS($K$1:R$1,"&lt;&gt;"))),0)</f>
        <v>0.22627737226277375</v>
      </c>
      <c r="S1520">
        <f>IFERROR($J1520/IF($A1520&lt;COUNTIFS($K$1:S$1,"&lt;&gt;"),0,SUMIFS($J:$J,$B:$B,$B1520,$A:$A,"&gt;="&amp;COUNTIFS($K$1:S$1,"&lt;&gt;"))),0)</f>
        <v>0.29245283018867929</v>
      </c>
      <c r="T1520">
        <f>IFERROR($J1520/IF($A1520&lt;COUNTIFS($K$1:T$1,"&lt;&gt;"),0,SUMIFS($J:$J,$B:$B,$B1520,$A:$A,"&gt;="&amp;COUNTIFS($K$1:T$1,"&lt;&gt;"))),0)</f>
        <v>0.40789473684210525</v>
      </c>
      <c r="U1520">
        <f>IFERROR($J1520/IF($A1520&lt;COUNTIFS($K$1:U$1,"&lt;&gt;"),0,SUMIFS($J:$J,$B:$B,$B1520,$A:$A,"&gt;="&amp;COUNTIFS($K$1:U$1,"&lt;&gt;"))),0)</f>
        <v>0</v>
      </c>
      <c r="V1520">
        <f>IFERROR($J1520/IF($A1520&lt;COUNTIFS($K$1:V$1,"&lt;&gt;"),0,SUMIFS($J:$J,$B:$B,$B1520,$A:$A,"&gt;="&amp;COUNTIFS($K$1:V$1,"&lt;&gt;"))),0)</f>
        <v>0</v>
      </c>
      <c r="W1520">
        <f t="shared" si="530"/>
        <v>8.4931506849315067E-2</v>
      </c>
      <c r="X1520">
        <f t="shared" si="510"/>
        <v>8.4931506849315067E-2</v>
      </c>
      <c r="Y1520">
        <f t="shared" si="511"/>
        <v>8.4931506849315067E-2</v>
      </c>
      <c r="Z1520">
        <f t="shared" si="512"/>
        <v>8.4931506849315067E-2</v>
      </c>
      <c r="AA1520">
        <f t="shared" si="513"/>
        <v>8.4931506849315067E-2</v>
      </c>
      <c r="AB1520">
        <f t="shared" si="514"/>
        <v>8.4931506849315067E-2</v>
      </c>
      <c r="AC1520">
        <f t="shared" si="515"/>
        <v>8.4931506849315067E-2</v>
      </c>
      <c r="AD1520">
        <f t="shared" si="516"/>
        <v>8.4931506849315067E-2</v>
      </c>
      <c r="AE1520">
        <f t="shared" si="517"/>
        <v>8.4931506849315067E-2</v>
      </c>
      <c r="AF1520">
        <f t="shared" si="518"/>
        <v>8.4931506849315067E-2</v>
      </c>
      <c r="AG1520">
        <f t="shared" si="519"/>
        <v>8.4931506849315067E-2</v>
      </c>
      <c r="AH1520">
        <f t="shared" si="520"/>
        <v>0</v>
      </c>
      <c r="AI1520">
        <f t="shared" si="521"/>
        <v>0</v>
      </c>
      <c r="AJ1520" s="2" t="str">
        <f t="shared" si="531"/>
        <v>1047362</v>
      </c>
    </row>
    <row r="1521" spans="1:36" x14ac:dyDescent="0.25">
      <c r="A1521">
        <v>11</v>
      </c>
      <c r="B1521" s="1">
        <v>47362</v>
      </c>
      <c r="C1521" s="1">
        <f t="shared" si="522"/>
        <v>47696</v>
      </c>
      <c r="D1521" s="1">
        <f t="shared" si="523"/>
        <v>47376</v>
      </c>
      <c r="E1521" s="1">
        <f t="shared" si="524"/>
        <v>47696</v>
      </c>
      <c r="F1521" s="1">
        <f t="shared" si="525"/>
        <v>47727</v>
      </c>
      <c r="G1521" s="1">
        <f t="shared" si="526"/>
        <v>47741</v>
      </c>
      <c r="H1521">
        <f t="shared" si="527"/>
        <v>365</v>
      </c>
      <c r="I1521">
        <f t="shared" si="528"/>
        <v>31</v>
      </c>
      <c r="J1521">
        <f t="shared" si="529"/>
        <v>8.4931506849315067E-2</v>
      </c>
      <c r="K1521">
        <f>IFERROR($J1521/IF($A1521&lt;COUNTIFS($K$1:K$1,"&lt;&gt;"),0,SUMIFS($J:$J,$B:$B,$B1521,$A:$A,"&gt;="&amp;COUNTIFS($K$1:K$1,"&lt;&gt;"))),0)</f>
        <v>8.8825214899713484E-2</v>
      </c>
      <c r="L1521">
        <f>IFERROR($J1521/IF($A1521&lt;COUNTIFS($K$1:L$1,"&lt;&gt;"),0,SUMIFS($J:$J,$B:$B,$B1521,$A:$A,"&gt;="&amp;COUNTIFS($K$1:L$1,"&lt;&gt;"))),0)</f>
        <v>9.7484276729559768E-2</v>
      </c>
      <c r="M1521">
        <f>IFERROR($J1521/IF($A1521&lt;COUNTIFS($K$1:M$1,"&lt;&gt;"),0,SUMIFS($J:$J,$B:$B,$B1521,$A:$A,"&gt;="&amp;COUNTIFS($K$1:M$1,"&lt;&gt;"))),0)</f>
        <v>0.10763888888888891</v>
      </c>
      <c r="N1521">
        <f>IFERROR($J1521/IF($A1521&lt;COUNTIFS($K$1:N$1,"&lt;&gt;"),0,SUMIFS($J:$J,$B:$B,$B1521,$A:$A,"&gt;="&amp;COUNTIFS($K$1:N$1,"&lt;&gt;"))),0)</f>
        <v>0.12062256809338523</v>
      </c>
      <c r="O1521">
        <f>IFERROR($J1521/IF($A1521&lt;COUNTIFS($K$1:O$1,"&lt;&gt;"),0,SUMIFS($J:$J,$B:$B,$B1521,$A:$A,"&gt;="&amp;COUNTIFS($K$1:O$1,"&lt;&gt;"))),0)</f>
        <v>0.13716814159292037</v>
      </c>
      <c r="P1521">
        <f>IFERROR($J1521/IF($A1521&lt;COUNTIFS($K$1:P$1,"&lt;&gt;"),0,SUMIFS($J:$J,$B:$B,$B1521,$A:$A,"&gt;="&amp;COUNTIFS($K$1:P$1,"&lt;&gt;"))),0)</f>
        <v>0.1565656565656566</v>
      </c>
      <c r="Q1521">
        <f>IFERROR($J1521/IF($A1521&lt;COUNTIFS($K$1:Q$1,"&lt;&gt;"),0,SUMIFS($J:$J,$B:$B,$B1521,$A:$A,"&gt;="&amp;COUNTIFS($K$1:Q$1,"&lt;&gt;"))),0)</f>
        <v>0.18562874251497008</v>
      </c>
      <c r="R1521">
        <f>IFERROR($J1521/IF($A1521&lt;COUNTIFS($K$1:R$1,"&lt;&gt;"),0,SUMIFS($J:$J,$B:$B,$B1521,$A:$A,"&gt;="&amp;COUNTIFS($K$1:R$1,"&lt;&gt;"))),0)</f>
        <v>0.22627737226277375</v>
      </c>
      <c r="S1521">
        <f>IFERROR($J1521/IF($A1521&lt;COUNTIFS($K$1:S$1,"&lt;&gt;"),0,SUMIFS($J:$J,$B:$B,$B1521,$A:$A,"&gt;="&amp;COUNTIFS($K$1:S$1,"&lt;&gt;"))),0)</f>
        <v>0.29245283018867929</v>
      </c>
      <c r="T1521">
        <f>IFERROR($J1521/IF($A1521&lt;COUNTIFS($K$1:T$1,"&lt;&gt;"),0,SUMIFS($J:$J,$B:$B,$B1521,$A:$A,"&gt;="&amp;COUNTIFS($K$1:T$1,"&lt;&gt;"))),0)</f>
        <v>0.40789473684210525</v>
      </c>
      <c r="U1521">
        <f>IFERROR($J1521/IF($A1521&lt;COUNTIFS($K$1:U$1,"&lt;&gt;"),0,SUMIFS($J:$J,$B:$B,$B1521,$A:$A,"&gt;="&amp;COUNTIFS($K$1:U$1,"&lt;&gt;"))),0)</f>
        <v>0.68888888888888888</v>
      </c>
      <c r="V1521">
        <f>IFERROR($J1521/IF($A1521&lt;COUNTIFS($K$1:V$1,"&lt;&gt;"),0,SUMIFS($J:$J,$B:$B,$B1521,$A:$A,"&gt;="&amp;COUNTIFS($K$1:V$1,"&lt;&gt;"))),0)</f>
        <v>0</v>
      </c>
      <c r="W1521">
        <f t="shared" si="530"/>
        <v>8.4931506849315067E-2</v>
      </c>
      <c r="X1521">
        <f t="shared" si="510"/>
        <v>8.4931506849315067E-2</v>
      </c>
      <c r="Y1521">
        <f t="shared" si="511"/>
        <v>8.4931506849315067E-2</v>
      </c>
      <c r="Z1521">
        <f t="shared" si="512"/>
        <v>8.4931506849315067E-2</v>
      </c>
      <c r="AA1521">
        <f t="shared" si="513"/>
        <v>8.4931506849315067E-2</v>
      </c>
      <c r="AB1521">
        <f t="shared" si="514"/>
        <v>8.4931506849315067E-2</v>
      </c>
      <c r="AC1521">
        <f t="shared" si="515"/>
        <v>8.4931506849315067E-2</v>
      </c>
      <c r="AD1521">
        <f t="shared" si="516"/>
        <v>8.4931506849315067E-2</v>
      </c>
      <c r="AE1521">
        <f t="shared" si="517"/>
        <v>8.4931506849315067E-2</v>
      </c>
      <c r="AF1521">
        <f t="shared" si="518"/>
        <v>8.4931506849315067E-2</v>
      </c>
      <c r="AG1521">
        <f t="shared" si="519"/>
        <v>8.4931506849315067E-2</v>
      </c>
      <c r="AH1521">
        <f t="shared" si="520"/>
        <v>8.4931506849315067E-2</v>
      </c>
      <c r="AI1521">
        <f t="shared" si="521"/>
        <v>0</v>
      </c>
      <c r="AJ1521" s="2" t="str">
        <f t="shared" si="531"/>
        <v>1147362</v>
      </c>
    </row>
    <row r="1522" spans="1:36" x14ac:dyDescent="0.25">
      <c r="A1522">
        <v>12</v>
      </c>
      <c r="B1522" s="1">
        <v>47362</v>
      </c>
      <c r="C1522" s="1">
        <f t="shared" si="522"/>
        <v>47727</v>
      </c>
      <c r="D1522" s="1">
        <f t="shared" si="523"/>
        <v>47376</v>
      </c>
      <c r="E1522" s="1">
        <f t="shared" si="524"/>
        <v>47727</v>
      </c>
      <c r="F1522" s="1">
        <f t="shared" si="525"/>
        <v>47741</v>
      </c>
      <c r="G1522" s="1">
        <f t="shared" si="526"/>
        <v>47741</v>
      </c>
      <c r="H1522">
        <f t="shared" si="527"/>
        <v>365</v>
      </c>
      <c r="I1522">
        <f t="shared" si="528"/>
        <v>14</v>
      </c>
      <c r="J1522">
        <f t="shared" si="529"/>
        <v>3.8356164383561646E-2</v>
      </c>
      <c r="K1522">
        <f>IFERROR($J1522/IF($A1522&lt;COUNTIFS($K$1:K$1,"&lt;&gt;"),0,SUMIFS($J:$J,$B:$B,$B1522,$A:$A,"&gt;="&amp;COUNTIFS($K$1:K$1,"&lt;&gt;"))),0)</f>
        <v>4.0114613180515769E-2</v>
      </c>
      <c r="L1522">
        <f>IFERROR($J1522/IF($A1522&lt;COUNTIFS($K$1:L$1,"&lt;&gt;"),0,SUMIFS($J:$J,$B:$B,$B1522,$A:$A,"&gt;="&amp;COUNTIFS($K$1:L$1,"&lt;&gt;"))),0)</f>
        <v>4.4025157232704414E-2</v>
      </c>
      <c r="M1522">
        <f>IFERROR($J1522/IF($A1522&lt;COUNTIFS($K$1:M$1,"&lt;&gt;"),0,SUMIFS($J:$J,$B:$B,$B1522,$A:$A,"&gt;="&amp;COUNTIFS($K$1:M$1,"&lt;&gt;"))),0)</f>
        <v>4.8611111111111119E-2</v>
      </c>
      <c r="N1522">
        <f>IFERROR($J1522/IF($A1522&lt;COUNTIFS($K$1:N$1,"&lt;&gt;"),0,SUMIFS($J:$J,$B:$B,$B1522,$A:$A,"&gt;="&amp;COUNTIFS($K$1:N$1,"&lt;&gt;"))),0)</f>
        <v>5.447470817120624E-2</v>
      </c>
      <c r="O1522">
        <f>IFERROR($J1522/IF($A1522&lt;COUNTIFS($K$1:O$1,"&lt;&gt;"),0,SUMIFS($J:$J,$B:$B,$B1522,$A:$A,"&gt;="&amp;COUNTIFS($K$1:O$1,"&lt;&gt;"))),0)</f>
        <v>6.194690265486727E-2</v>
      </c>
      <c r="P1522">
        <f>IFERROR($J1522/IF($A1522&lt;COUNTIFS($K$1:P$1,"&lt;&gt;"),0,SUMIFS($J:$J,$B:$B,$B1522,$A:$A,"&gt;="&amp;COUNTIFS($K$1:P$1,"&lt;&gt;"))),0)</f>
        <v>7.0707070707070732E-2</v>
      </c>
      <c r="Q1522">
        <f>IFERROR($J1522/IF($A1522&lt;COUNTIFS($K$1:Q$1,"&lt;&gt;"),0,SUMIFS($J:$J,$B:$B,$B1522,$A:$A,"&gt;="&amp;COUNTIFS($K$1:Q$1,"&lt;&gt;"))),0)</f>
        <v>8.3832335329341326E-2</v>
      </c>
      <c r="R1522">
        <f>IFERROR($J1522/IF($A1522&lt;COUNTIFS($K$1:R$1,"&lt;&gt;"),0,SUMIFS($J:$J,$B:$B,$B1522,$A:$A,"&gt;="&amp;COUNTIFS($K$1:R$1,"&lt;&gt;"))),0)</f>
        <v>0.10218978102189782</v>
      </c>
      <c r="S1522">
        <f>IFERROR($J1522/IF($A1522&lt;COUNTIFS($K$1:S$1,"&lt;&gt;"),0,SUMIFS($J:$J,$B:$B,$B1522,$A:$A,"&gt;="&amp;COUNTIFS($K$1:S$1,"&lt;&gt;"))),0)</f>
        <v>0.13207547169811323</v>
      </c>
      <c r="T1522">
        <f>IFERROR($J1522/IF($A1522&lt;COUNTIFS($K$1:T$1,"&lt;&gt;"),0,SUMIFS($J:$J,$B:$B,$B1522,$A:$A,"&gt;="&amp;COUNTIFS($K$1:T$1,"&lt;&gt;"))),0)</f>
        <v>0.18421052631578949</v>
      </c>
      <c r="U1522">
        <f>IFERROR($J1522/IF($A1522&lt;COUNTIFS($K$1:U$1,"&lt;&gt;"),0,SUMIFS($J:$J,$B:$B,$B1522,$A:$A,"&gt;="&amp;COUNTIFS($K$1:U$1,"&lt;&gt;"))),0)</f>
        <v>0.31111111111111117</v>
      </c>
      <c r="V1522">
        <f>IFERROR($J1522/IF($A1522&lt;COUNTIFS($K$1:V$1,"&lt;&gt;"),0,SUMIFS($J:$J,$B:$B,$B1522,$A:$A,"&gt;="&amp;COUNTIFS($K$1:V$1,"&lt;&gt;"))),0)</f>
        <v>1</v>
      </c>
      <c r="W1522">
        <f t="shared" si="530"/>
        <v>3.8356164383561646E-2</v>
      </c>
      <c r="X1522">
        <f t="shared" si="510"/>
        <v>3.8356164383561646E-2</v>
      </c>
      <c r="Y1522">
        <f t="shared" si="511"/>
        <v>3.8356164383561646E-2</v>
      </c>
      <c r="Z1522">
        <f t="shared" si="512"/>
        <v>3.8356164383561646E-2</v>
      </c>
      <c r="AA1522">
        <f t="shared" si="513"/>
        <v>3.8356164383561646E-2</v>
      </c>
      <c r="AB1522">
        <f t="shared" si="514"/>
        <v>3.8356164383561646E-2</v>
      </c>
      <c r="AC1522">
        <f t="shared" si="515"/>
        <v>3.8356164383561646E-2</v>
      </c>
      <c r="AD1522">
        <f t="shared" si="516"/>
        <v>3.8356164383561646E-2</v>
      </c>
      <c r="AE1522">
        <f t="shared" si="517"/>
        <v>3.8356164383561646E-2</v>
      </c>
      <c r="AF1522">
        <f t="shared" si="518"/>
        <v>3.8356164383561646E-2</v>
      </c>
      <c r="AG1522">
        <f t="shared" si="519"/>
        <v>3.8356164383561646E-2</v>
      </c>
      <c r="AH1522">
        <f t="shared" si="520"/>
        <v>3.8356164383561646E-2</v>
      </c>
      <c r="AI1522">
        <f t="shared" si="521"/>
        <v>3.8356164383561646E-2</v>
      </c>
      <c r="AJ1522" s="2" t="str">
        <f t="shared" si="531"/>
        <v>1247362</v>
      </c>
    </row>
    <row r="1523" spans="1:36" x14ac:dyDescent="0.25">
      <c r="A1523">
        <v>0</v>
      </c>
      <c r="B1523" s="1">
        <v>47392</v>
      </c>
      <c r="C1523" s="1">
        <f t="shared" si="522"/>
        <v>47392</v>
      </c>
      <c r="D1523" s="1">
        <f t="shared" si="523"/>
        <v>47406</v>
      </c>
      <c r="E1523" s="1">
        <f t="shared" si="524"/>
        <v>47406</v>
      </c>
      <c r="F1523" s="1">
        <f t="shared" si="525"/>
        <v>47423</v>
      </c>
      <c r="G1523" s="1">
        <f t="shared" si="526"/>
        <v>47771</v>
      </c>
      <c r="H1523">
        <f t="shared" si="527"/>
        <v>365</v>
      </c>
      <c r="I1523">
        <f t="shared" si="528"/>
        <v>17</v>
      </c>
      <c r="J1523">
        <f t="shared" si="529"/>
        <v>4.6575342465753428E-2</v>
      </c>
      <c r="K1523">
        <f>IFERROR($J1523/IF($A1523&lt;COUNTIFS($K$1:K$1,"&lt;&gt;"),0,SUMIFS($J:$J,$B:$B,$B1523,$A:$A,"&gt;="&amp;COUNTIFS($K$1:K$1,"&lt;&gt;"))),0)</f>
        <v>0</v>
      </c>
      <c r="L1523">
        <f>IFERROR($J1523/IF($A1523&lt;COUNTIFS($K$1:L$1,"&lt;&gt;"),0,SUMIFS($J:$J,$B:$B,$B1523,$A:$A,"&gt;="&amp;COUNTIFS($K$1:L$1,"&lt;&gt;"))),0)</f>
        <v>0</v>
      </c>
      <c r="M1523">
        <f>IFERROR($J1523/IF($A1523&lt;COUNTIFS($K$1:M$1,"&lt;&gt;"),0,SUMIFS($J:$J,$B:$B,$B1523,$A:$A,"&gt;="&amp;COUNTIFS($K$1:M$1,"&lt;&gt;"))),0)</f>
        <v>0</v>
      </c>
      <c r="N1523">
        <f>IFERROR($J1523/IF($A1523&lt;COUNTIFS($K$1:N$1,"&lt;&gt;"),0,SUMIFS($J:$J,$B:$B,$B1523,$A:$A,"&gt;="&amp;COUNTIFS($K$1:N$1,"&lt;&gt;"))),0)</f>
        <v>0</v>
      </c>
      <c r="O1523">
        <f>IFERROR($J1523/IF($A1523&lt;COUNTIFS($K$1:O$1,"&lt;&gt;"),0,SUMIFS($J:$J,$B:$B,$B1523,$A:$A,"&gt;="&amp;COUNTIFS($K$1:O$1,"&lt;&gt;"))),0)</f>
        <v>0</v>
      </c>
      <c r="P1523">
        <f>IFERROR($J1523/IF($A1523&lt;COUNTIFS($K$1:P$1,"&lt;&gt;"),0,SUMIFS($J:$J,$B:$B,$B1523,$A:$A,"&gt;="&amp;COUNTIFS($K$1:P$1,"&lt;&gt;"))),0)</f>
        <v>0</v>
      </c>
      <c r="Q1523">
        <f>IFERROR($J1523/IF($A1523&lt;COUNTIFS($K$1:Q$1,"&lt;&gt;"),0,SUMIFS($J:$J,$B:$B,$B1523,$A:$A,"&gt;="&amp;COUNTIFS($K$1:Q$1,"&lt;&gt;"))),0)</f>
        <v>0</v>
      </c>
      <c r="R1523">
        <f>IFERROR($J1523/IF($A1523&lt;COUNTIFS($K$1:R$1,"&lt;&gt;"),0,SUMIFS($J:$J,$B:$B,$B1523,$A:$A,"&gt;="&amp;COUNTIFS($K$1:R$1,"&lt;&gt;"))),0)</f>
        <v>0</v>
      </c>
      <c r="S1523">
        <f>IFERROR($J1523/IF($A1523&lt;COUNTIFS($K$1:S$1,"&lt;&gt;"),0,SUMIFS($J:$J,$B:$B,$B1523,$A:$A,"&gt;="&amp;COUNTIFS($K$1:S$1,"&lt;&gt;"))),0)</f>
        <v>0</v>
      </c>
      <c r="T1523">
        <f>IFERROR($J1523/IF($A1523&lt;COUNTIFS($K$1:T$1,"&lt;&gt;"),0,SUMIFS($J:$J,$B:$B,$B1523,$A:$A,"&gt;="&amp;COUNTIFS($K$1:T$1,"&lt;&gt;"))),0)</f>
        <v>0</v>
      </c>
      <c r="U1523">
        <f>IFERROR($J1523/IF($A1523&lt;COUNTIFS($K$1:U$1,"&lt;&gt;"),0,SUMIFS($J:$J,$B:$B,$B1523,$A:$A,"&gt;="&amp;COUNTIFS($K$1:U$1,"&lt;&gt;"))),0)</f>
        <v>0</v>
      </c>
      <c r="V1523">
        <f>IFERROR($J1523/IF($A1523&lt;COUNTIFS($K$1:V$1,"&lt;&gt;"),0,SUMIFS($J:$J,$B:$B,$B1523,$A:$A,"&gt;="&amp;COUNTIFS($K$1:V$1,"&lt;&gt;"))),0)</f>
        <v>0</v>
      </c>
      <c r="W1523">
        <f t="shared" si="530"/>
        <v>4.6575342465753428E-2</v>
      </c>
      <c r="X1523">
        <f t="shared" si="510"/>
        <v>0</v>
      </c>
      <c r="Y1523">
        <f t="shared" si="511"/>
        <v>0</v>
      </c>
      <c r="Z1523">
        <f t="shared" si="512"/>
        <v>0</v>
      </c>
      <c r="AA1523">
        <f t="shared" si="513"/>
        <v>0</v>
      </c>
      <c r="AB1523">
        <f t="shared" si="514"/>
        <v>0</v>
      </c>
      <c r="AC1523">
        <f t="shared" si="515"/>
        <v>0</v>
      </c>
      <c r="AD1523">
        <f t="shared" si="516"/>
        <v>0</v>
      </c>
      <c r="AE1523">
        <f t="shared" si="517"/>
        <v>0</v>
      </c>
      <c r="AF1523">
        <f t="shared" si="518"/>
        <v>0</v>
      </c>
      <c r="AG1523">
        <f t="shared" si="519"/>
        <v>0</v>
      </c>
      <c r="AH1523">
        <f t="shared" si="520"/>
        <v>0</v>
      </c>
      <c r="AI1523">
        <f t="shared" si="521"/>
        <v>0</v>
      </c>
      <c r="AJ1523" s="2" t="str">
        <f t="shared" si="531"/>
        <v>047392</v>
      </c>
    </row>
    <row r="1524" spans="1:36" x14ac:dyDescent="0.25">
      <c r="A1524">
        <v>1</v>
      </c>
      <c r="B1524" s="1">
        <v>47392</v>
      </c>
      <c r="C1524" s="1">
        <f t="shared" si="522"/>
        <v>47423</v>
      </c>
      <c r="D1524" s="1">
        <f t="shared" si="523"/>
        <v>47406</v>
      </c>
      <c r="E1524" s="1">
        <f t="shared" si="524"/>
        <v>47423</v>
      </c>
      <c r="F1524" s="1">
        <f t="shared" si="525"/>
        <v>47453</v>
      </c>
      <c r="G1524" s="1">
        <f t="shared" si="526"/>
        <v>47771</v>
      </c>
      <c r="H1524">
        <f t="shared" si="527"/>
        <v>365</v>
      </c>
      <c r="I1524">
        <f t="shared" si="528"/>
        <v>30</v>
      </c>
      <c r="J1524">
        <f t="shared" si="529"/>
        <v>8.2191780821917804E-2</v>
      </c>
      <c r="K1524">
        <f>IFERROR($J1524/IF($A1524&lt;COUNTIFS($K$1:K$1,"&lt;&gt;"),0,SUMIFS($J:$J,$B:$B,$B1524,$A:$A,"&gt;="&amp;COUNTIFS($K$1:K$1,"&lt;&gt;"))),0)</f>
        <v>8.6206896551724144E-2</v>
      </c>
      <c r="L1524">
        <f>IFERROR($J1524/IF($A1524&lt;COUNTIFS($K$1:L$1,"&lt;&gt;"),0,SUMIFS($J:$J,$B:$B,$B1524,$A:$A,"&gt;="&amp;COUNTIFS($K$1:L$1,"&lt;&gt;"))),0)</f>
        <v>0</v>
      </c>
      <c r="M1524">
        <f>IFERROR($J1524/IF($A1524&lt;COUNTIFS($K$1:M$1,"&lt;&gt;"),0,SUMIFS($J:$J,$B:$B,$B1524,$A:$A,"&gt;="&amp;COUNTIFS($K$1:M$1,"&lt;&gt;"))),0)</f>
        <v>0</v>
      </c>
      <c r="N1524">
        <f>IFERROR($J1524/IF($A1524&lt;COUNTIFS($K$1:N$1,"&lt;&gt;"),0,SUMIFS($J:$J,$B:$B,$B1524,$A:$A,"&gt;="&amp;COUNTIFS($K$1:N$1,"&lt;&gt;"))),0)</f>
        <v>0</v>
      </c>
      <c r="O1524">
        <f>IFERROR($J1524/IF($A1524&lt;COUNTIFS($K$1:O$1,"&lt;&gt;"),0,SUMIFS($J:$J,$B:$B,$B1524,$A:$A,"&gt;="&amp;COUNTIFS($K$1:O$1,"&lt;&gt;"))),0)</f>
        <v>0</v>
      </c>
      <c r="P1524">
        <f>IFERROR($J1524/IF($A1524&lt;COUNTIFS($K$1:P$1,"&lt;&gt;"),0,SUMIFS($J:$J,$B:$B,$B1524,$A:$A,"&gt;="&amp;COUNTIFS($K$1:P$1,"&lt;&gt;"))),0)</f>
        <v>0</v>
      </c>
      <c r="Q1524">
        <f>IFERROR($J1524/IF($A1524&lt;COUNTIFS($K$1:Q$1,"&lt;&gt;"),0,SUMIFS($J:$J,$B:$B,$B1524,$A:$A,"&gt;="&amp;COUNTIFS($K$1:Q$1,"&lt;&gt;"))),0)</f>
        <v>0</v>
      </c>
      <c r="R1524">
        <f>IFERROR($J1524/IF($A1524&lt;COUNTIFS($K$1:R$1,"&lt;&gt;"),0,SUMIFS($J:$J,$B:$B,$B1524,$A:$A,"&gt;="&amp;COUNTIFS($K$1:R$1,"&lt;&gt;"))),0)</f>
        <v>0</v>
      </c>
      <c r="S1524">
        <f>IFERROR($J1524/IF($A1524&lt;COUNTIFS($K$1:S$1,"&lt;&gt;"),0,SUMIFS($J:$J,$B:$B,$B1524,$A:$A,"&gt;="&amp;COUNTIFS($K$1:S$1,"&lt;&gt;"))),0)</f>
        <v>0</v>
      </c>
      <c r="T1524">
        <f>IFERROR($J1524/IF($A1524&lt;COUNTIFS($K$1:T$1,"&lt;&gt;"),0,SUMIFS($J:$J,$B:$B,$B1524,$A:$A,"&gt;="&amp;COUNTIFS($K$1:T$1,"&lt;&gt;"))),0)</f>
        <v>0</v>
      </c>
      <c r="U1524">
        <f>IFERROR($J1524/IF($A1524&lt;COUNTIFS($K$1:U$1,"&lt;&gt;"),0,SUMIFS($J:$J,$B:$B,$B1524,$A:$A,"&gt;="&amp;COUNTIFS($K$1:U$1,"&lt;&gt;"))),0)</f>
        <v>0</v>
      </c>
      <c r="V1524">
        <f>IFERROR($J1524/IF($A1524&lt;COUNTIFS($K$1:V$1,"&lt;&gt;"),0,SUMIFS($J:$J,$B:$B,$B1524,$A:$A,"&gt;="&amp;COUNTIFS($K$1:V$1,"&lt;&gt;"))),0)</f>
        <v>0</v>
      </c>
      <c r="W1524">
        <f t="shared" si="530"/>
        <v>8.2191780821917804E-2</v>
      </c>
      <c r="X1524">
        <f t="shared" si="510"/>
        <v>8.2191780821917804E-2</v>
      </c>
      <c r="Y1524">
        <f t="shared" si="511"/>
        <v>0</v>
      </c>
      <c r="Z1524">
        <f t="shared" si="512"/>
        <v>0</v>
      </c>
      <c r="AA1524">
        <f t="shared" si="513"/>
        <v>0</v>
      </c>
      <c r="AB1524">
        <f t="shared" si="514"/>
        <v>0</v>
      </c>
      <c r="AC1524">
        <f t="shared" si="515"/>
        <v>0</v>
      </c>
      <c r="AD1524">
        <f t="shared" si="516"/>
        <v>0</v>
      </c>
      <c r="AE1524">
        <f t="shared" si="517"/>
        <v>0</v>
      </c>
      <c r="AF1524">
        <f t="shared" si="518"/>
        <v>0</v>
      </c>
      <c r="AG1524">
        <f t="shared" si="519"/>
        <v>0</v>
      </c>
      <c r="AH1524">
        <f t="shared" si="520"/>
        <v>0</v>
      </c>
      <c r="AI1524">
        <f t="shared" si="521"/>
        <v>0</v>
      </c>
      <c r="AJ1524" s="2" t="str">
        <f t="shared" si="531"/>
        <v>147392</v>
      </c>
    </row>
    <row r="1525" spans="1:36" x14ac:dyDescent="0.25">
      <c r="A1525">
        <v>2</v>
      </c>
      <c r="B1525" s="1">
        <v>47392</v>
      </c>
      <c r="C1525" s="1">
        <f t="shared" si="522"/>
        <v>47453</v>
      </c>
      <c r="D1525" s="1">
        <f t="shared" si="523"/>
        <v>47406</v>
      </c>
      <c r="E1525" s="1">
        <f t="shared" si="524"/>
        <v>47453</v>
      </c>
      <c r="F1525" s="1">
        <f t="shared" si="525"/>
        <v>47484</v>
      </c>
      <c r="G1525" s="1">
        <f t="shared" si="526"/>
        <v>47771</v>
      </c>
      <c r="H1525">
        <f t="shared" si="527"/>
        <v>365</v>
      </c>
      <c r="I1525">
        <f t="shared" si="528"/>
        <v>31</v>
      </c>
      <c r="J1525">
        <f t="shared" si="529"/>
        <v>8.4931506849315067E-2</v>
      </c>
      <c r="K1525">
        <f>IFERROR($J1525/IF($A1525&lt;COUNTIFS($K$1:K$1,"&lt;&gt;"),0,SUMIFS($J:$J,$B:$B,$B1525,$A:$A,"&gt;="&amp;COUNTIFS($K$1:K$1,"&lt;&gt;"))),0)</f>
        <v>8.9080459770114959E-2</v>
      </c>
      <c r="L1525">
        <f>IFERROR($J1525/IF($A1525&lt;COUNTIFS($K$1:L$1,"&lt;&gt;"),0,SUMIFS($J:$J,$B:$B,$B1525,$A:$A,"&gt;="&amp;COUNTIFS($K$1:L$1,"&lt;&gt;"))),0)</f>
        <v>9.7484276729559768E-2</v>
      </c>
      <c r="M1525">
        <f>IFERROR($J1525/IF($A1525&lt;COUNTIFS($K$1:M$1,"&lt;&gt;"),0,SUMIFS($J:$J,$B:$B,$B1525,$A:$A,"&gt;="&amp;COUNTIFS($K$1:M$1,"&lt;&gt;"))),0)</f>
        <v>0</v>
      </c>
      <c r="N1525">
        <f>IFERROR($J1525/IF($A1525&lt;COUNTIFS($K$1:N$1,"&lt;&gt;"),0,SUMIFS($J:$J,$B:$B,$B1525,$A:$A,"&gt;="&amp;COUNTIFS($K$1:N$1,"&lt;&gt;"))),0)</f>
        <v>0</v>
      </c>
      <c r="O1525">
        <f>IFERROR($J1525/IF($A1525&lt;COUNTIFS($K$1:O$1,"&lt;&gt;"),0,SUMIFS($J:$J,$B:$B,$B1525,$A:$A,"&gt;="&amp;COUNTIFS($K$1:O$1,"&lt;&gt;"))),0)</f>
        <v>0</v>
      </c>
      <c r="P1525">
        <f>IFERROR($J1525/IF($A1525&lt;COUNTIFS($K$1:P$1,"&lt;&gt;"),0,SUMIFS($J:$J,$B:$B,$B1525,$A:$A,"&gt;="&amp;COUNTIFS($K$1:P$1,"&lt;&gt;"))),0)</f>
        <v>0</v>
      </c>
      <c r="Q1525">
        <f>IFERROR($J1525/IF($A1525&lt;COUNTIFS($K$1:Q$1,"&lt;&gt;"),0,SUMIFS($J:$J,$B:$B,$B1525,$A:$A,"&gt;="&amp;COUNTIFS($K$1:Q$1,"&lt;&gt;"))),0)</f>
        <v>0</v>
      </c>
      <c r="R1525">
        <f>IFERROR($J1525/IF($A1525&lt;COUNTIFS($K$1:R$1,"&lt;&gt;"),0,SUMIFS($J:$J,$B:$B,$B1525,$A:$A,"&gt;="&amp;COUNTIFS($K$1:R$1,"&lt;&gt;"))),0)</f>
        <v>0</v>
      </c>
      <c r="S1525">
        <f>IFERROR($J1525/IF($A1525&lt;COUNTIFS($K$1:S$1,"&lt;&gt;"),0,SUMIFS($J:$J,$B:$B,$B1525,$A:$A,"&gt;="&amp;COUNTIFS($K$1:S$1,"&lt;&gt;"))),0)</f>
        <v>0</v>
      </c>
      <c r="T1525">
        <f>IFERROR($J1525/IF($A1525&lt;COUNTIFS($K$1:T$1,"&lt;&gt;"),0,SUMIFS($J:$J,$B:$B,$B1525,$A:$A,"&gt;="&amp;COUNTIFS($K$1:T$1,"&lt;&gt;"))),0)</f>
        <v>0</v>
      </c>
      <c r="U1525">
        <f>IFERROR($J1525/IF($A1525&lt;COUNTIFS($K$1:U$1,"&lt;&gt;"),0,SUMIFS($J:$J,$B:$B,$B1525,$A:$A,"&gt;="&amp;COUNTIFS($K$1:U$1,"&lt;&gt;"))),0)</f>
        <v>0</v>
      </c>
      <c r="V1525">
        <f>IFERROR($J1525/IF($A1525&lt;COUNTIFS($K$1:V$1,"&lt;&gt;"),0,SUMIFS($J:$J,$B:$B,$B1525,$A:$A,"&gt;="&amp;COUNTIFS($K$1:V$1,"&lt;&gt;"))),0)</f>
        <v>0</v>
      </c>
      <c r="W1525">
        <f t="shared" si="530"/>
        <v>8.4931506849315067E-2</v>
      </c>
      <c r="X1525">
        <f t="shared" si="510"/>
        <v>8.4931506849315067E-2</v>
      </c>
      <c r="Y1525">
        <f t="shared" si="511"/>
        <v>8.4931506849315067E-2</v>
      </c>
      <c r="Z1525">
        <f t="shared" si="512"/>
        <v>0</v>
      </c>
      <c r="AA1525">
        <f t="shared" si="513"/>
        <v>0</v>
      </c>
      <c r="AB1525">
        <f t="shared" si="514"/>
        <v>0</v>
      </c>
      <c r="AC1525">
        <f t="shared" si="515"/>
        <v>0</v>
      </c>
      <c r="AD1525">
        <f t="shared" si="516"/>
        <v>0</v>
      </c>
      <c r="AE1525">
        <f t="shared" si="517"/>
        <v>0</v>
      </c>
      <c r="AF1525">
        <f t="shared" si="518"/>
        <v>0</v>
      </c>
      <c r="AG1525">
        <f t="shared" si="519"/>
        <v>0</v>
      </c>
      <c r="AH1525">
        <f t="shared" si="520"/>
        <v>0</v>
      </c>
      <c r="AI1525">
        <f t="shared" si="521"/>
        <v>0</v>
      </c>
      <c r="AJ1525" s="2" t="str">
        <f t="shared" si="531"/>
        <v>247392</v>
      </c>
    </row>
    <row r="1526" spans="1:36" x14ac:dyDescent="0.25">
      <c r="A1526">
        <v>3</v>
      </c>
      <c r="B1526" s="1">
        <v>47392</v>
      </c>
      <c r="C1526" s="1">
        <f t="shared" si="522"/>
        <v>47484</v>
      </c>
      <c r="D1526" s="1">
        <f t="shared" si="523"/>
        <v>47406</v>
      </c>
      <c r="E1526" s="1">
        <f t="shared" si="524"/>
        <v>47484</v>
      </c>
      <c r="F1526" s="1">
        <f t="shared" si="525"/>
        <v>47515</v>
      </c>
      <c r="G1526" s="1">
        <f t="shared" si="526"/>
        <v>47771</v>
      </c>
      <c r="H1526">
        <f t="shared" si="527"/>
        <v>365</v>
      </c>
      <c r="I1526">
        <f t="shared" si="528"/>
        <v>31</v>
      </c>
      <c r="J1526">
        <f t="shared" si="529"/>
        <v>8.4931506849315067E-2</v>
      </c>
      <c r="K1526">
        <f>IFERROR($J1526/IF($A1526&lt;COUNTIFS($K$1:K$1,"&lt;&gt;"),0,SUMIFS($J:$J,$B:$B,$B1526,$A:$A,"&gt;="&amp;COUNTIFS($K$1:K$1,"&lt;&gt;"))),0)</f>
        <v>8.9080459770114959E-2</v>
      </c>
      <c r="L1526">
        <f>IFERROR($J1526/IF($A1526&lt;COUNTIFS($K$1:L$1,"&lt;&gt;"),0,SUMIFS($J:$J,$B:$B,$B1526,$A:$A,"&gt;="&amp;COUNTIFS($K$1:L$1,"&lt;&gt;"))),0)</f>
        <v>9.7484276729559768E-2</v>
      </c>
      <c r="M1526">
        <f>IFERROR($J1526/IF($A1526&lt;COUNTIFS($K$1:M$1,"&lt;&gt;"),0,SUMIFS($J:$J,$B:$B,$B1526,$A:$A,"&gt;="&amp;COUNTIFS($K$1:M$1,"&lt;&gt;"))),0)</f>
        <v>0.10801393728222998</v>
      </c>
      <c r="N1526">
        <f>IFERROR($J1526/IF($A1526&lt;COUNTIFS($K$1:N$1,"&lt;&gt;"),0,SUMIFS($J:$J,$B:$B,$B1526,$A:$A,"&gt;="&amp;COUNTIFS($K$1:N$1,"&lt;&gt;"))),0)</f>
        <v>0</v>
      </c>
      <c r="O1526">
        <f>IFERROR($J1526/IF($A1526&lt;COUNTIFS($K$1:O$1,"&lt;&gt;"),0,SUMIFS($J:$J,$B:$B,$B1526,$A:$A,"&gt;="&amp;COUNTIFS($K$1:O$1,"&lt;&gt;"))),0)</f>
        <v>0</v>
      </c>
      <c r="P1526">
        <f>IFERROR($J1526/IF($A1526&lt;COUNTIFS($K$1:P$1,"&lt;&gt;"),0,SUMIFS($J:$J,$B:$B,$B1526,$A:$A,"&gt;="&amp;COUNTIFS($K$1:P$1,"&lt;&gt;"))),0)</f>
        <v>0</v>
      </c>
      <c r="Q1526">
        <f>IFERROR($J1526/IF($A1526&lt;COUNTIFS($K$1:Q$1,"&lt;&gt;"),0,SUMIFS($J:$J,$B:$B,$B1526,$A:$A,"&gt;="&amp;COUNTIFS($K$1:Q$1,"&lt;&gt;"))),0)</f>
        <v>0</v>
      </c>
      <c r="R1526">
        <f>IFERROR($J1526/IF($A1526&lt;COUNTIFS($K$1:R$1,"&lt;&gt;"),0,SUMIFS($J:$J,$B:$B,$B1526,$A:$A,"&gt;="&amp;COUNTIFS($K$1:R$1,"&lt;&gt;"))),0)</f>
        <v>0</v>
      </c>
      <c r="S1526">
        <f>IFERROR($J1526/IF($A1526&lt;COUNTIFS($K$1:S$1,"&lt;&gt;"),0,SUMIFS($J:$J,$B:$B,$B1526,$A:$A,"&gt;="&amp;COUNTIFS($K$1:S$1,"&lt;&gt;"))),0)</f>
        <v>0</v>
      </c>
      <c r="T1526">
        <f>IFERROR($J1526/IF($A1526&lt;COUNTIFS($K$1:T$1,"&lt;&gt;"),0,SUMIFS($J:$J,$B:$B,$B1526,$A:$A,"&gt;="&amp;COUNTIFS($K$1:T$1,"&lt;&gt;"))),0)</f>
        <v>0</v>
      </c>
      <c r="U1526">
        <f>IFERROR($J1526/IF($A1526&lt;COUNTIFS($K$1:U$1,"&lt;&gt;"),0,SUMIFS($J:$J,$B:$B,$B1526,$A:$A,"&gt;="&amp;COUNTIFS($K$1:U$1,"&lt;&gt;"))),0)</f>
        <v>0</v>
      </c>
      <c r="V1526">
        <f>IFERROR($J1526/IF($A1526&lt;COUNTIFS($K$1:V$1,"&lt;&gt;"),0,SUMIFS($J:$J,$B:$B,$B1526,$A:$A,"&gt;="&amp;COUNTIFS($K$1:V$1,"&lt;&gt;"))),0)</f>
        <v>0</v>
      </c>
      <c r="W1526">
        <f t="shared" si="530"/>
        <v>8.4931506849315067E-2</v>
      </c>
      <c r="X1526">
        <f t="shared" si="510"/>
        <v>8.4931506849315067E-2</v>
      </c>
      <c r="Y1526">
        <f t="shared" si="511"/>
        <v>8.4931506849315067E-2</v>
      </c>
      <c r="Z1526">
        <f t="shared" si="512"/>
        <v>8.4931506849315067E-2</v>
      </c>
      <c r="AA1526">
        <f t="shared" si="513"/>
        <v>0</v>
      </c>
      <c r="AB1526">
        <f t="shared" si="514"/>
        <v>0</v>
      </c>
      <c r="AC1526">
        <f t="shared" si="515"/>
        <v>0</v>
      </c>
      <c r="AD1526">
        <f t="shared" si="516"/>
        <v>0</v>
      </c>
      <c r="AE1526">
        <f t="shared" si="517"/>
        <v>0</v>
      </c>
      <c r="AF1526">
        <f t="shared" si="518"/>
        <v>0</v>
      </c>
      <c r="AG1526">
        <f t="shared" si="519"/>
        <v>0</v>
      </c>
      <c r="AH1526">
        <f t="shared" si="520"/>
        <v>0</v>
      </c>
      <c r="AI1526">
        <f t="shared" si="521"/>
        <v>0</v>
      </c>
      <c r="AJ1526" s="2" t="str">
        <f t="shared" si="531"/>
        <v>347392</v>
      </c>
    </row>
    <row r="1527" spans="1:36" x14ac:dyDescent="0.25">
      <c r="A1527">
        <v>4</v>
      </c>
      <c r="B1527" s="1">
        <v>47392</v>
      </c>
      <c r="C1527" s="1">
        <f t="shared" si="522"/>
        <v>47515</v>
      </c>
      <c r="D1527" s="1">
        <f t="shared" si="523"/>
        <v>47406</v>
      </c>
      <c r="E1527" s="1">
        <f t="shared" si="524"/>
        <v>47515</v>
      </c>
      <c r="F1527" s="1">
        <f t="shared" si="525"/>
        <v>47543</v>
      </c>
      <c r="G1527" s="1">
        <f t="shared" si="526"/>
        <v>47771</v>
      </c>
      <c r="H1527">
        <f t="shared" si="527"/>
        <v>365</v>
      </c>
      <c r="I1527">
        <f t="shared" si="528"/>
        <v>28</v>
      </c>
      <c r="J1527">
        <f t="shared" si="529"/>
        <v>7.6712328767123292E-2</v>
      </c>
      <c r="K1527">
        <f>IFERROR($J1527/IF($A1527&lt;COUNTIFS($K$1:K$1,"&lt;&gt;"),0,SUMIFS($J:$J,$B:$B,$B1527,$A:$A,"&gt;="&amp;COUNTIFS($K$1:K$1,"&lt;&gt;"))),0)</f>
        <v>8.0459770114942541E-2</v>
      </c>
      <c r="L1527">
        <f>IFERROR($J1527/IF($A1527&lt;COUNTIFS($K$1:L$1,"&lt;&gt;"),0,SUMIFS($J:$J,$B:$B,$B1527,$A:$A,"&gt;="&amp;COUNTIFS($K$1:L$1,"&lt;&gt;"))),0)</f>
        <v>8.8050314465408827E-2</v>
      </c>
      <c r="M1527">
        <f>IFERROR($J1527/IF($A1527&lt;COUNTIFS($K$1:M$1,"&lt;&gt;"),0,SUMIFS($J:$J,$B:$B,$B1527,$A:$A,"&gt;="&amp;COUNTIFS($K$1:M$1,"&lt;&gt;"))),0)</f>
        <v>9.7560975609756115E-2</v>
      </c>
      <c r="N1527">
        <f>IFERROR($J1527/IF($A1527&lt;COUNTIFS($K$1:N$1,"&lt;&gt;"),0,SUMIFS($J:$J,$B:$B,$B1527,$A:$A,"&gt;="&amp;COUNTIFS($K$1:N$1,"&lt;&gt;"))),0)</f>
        <v>0.10937500000000003</v>
      </c>
      <c r="O1527">
        <f>IFERROR($J1527/IF($A1527&lt;COUNTIFS($K$1:O$1,"&lt;&gt;"),0,SUMIFS($J:$J,$B:$B,$B1527,$A:$A,"&gt;="&amp;COUNTIFS($K$1:O$1,"&lt;&gt;"))),0)</f>
        <v>0</v>
      </c>
      <c r="P1527">
        <f>IFERROR($J1527/IF($A1527&lt;COUNTIFS($K$1:P$1,"&lt;&gt;"),0,SUMIFS($J:$J,$B:$B,$B1527,$A:$A,"&gt;="&amp;COUNTIFS($K$1:P$1,"&lt;&gt;"))),0)</f>
        <v>0</v>
      </c>
      <c r="Q1527">
        <f>IFERROR($J1527/IF($A1527&lt;COUNTIFS($K$1:Q$1,"&lt;&gt;"),0,SUMIFS($J:$J,$B:$B,$B1527,$A:$A,"&gt;="&amp;COUNTIFS($K$1:Q$1,"&lt;&gt;"))),0)</f>
        <v>0</v>
      </c>
      <c r="R1527">
        <f>IFERROR($J1527/IF($A1527&lt;COUNTIFS($K$1:R$1,"&lt;&gt;"),0,SUMIFS($J:$J,$B:$B,$B1527,$A:$A,"&gt;="&amp;COUNTIFS($K$1:R$1,"&lt;&gt;"))),0)</f>
        <v>0</v>
      </c>
      <c r="S1527">
        <f>IFERROR($J1527/IF($A1527&lt;COUNTIFS($K$1:S$1,"&lt;&gt;"),0,SUMIFS($J:$J,$B:$B,$B1527,$A:$A,"&gt;="&amp;COUNTIFS($K$1:S$1,"&lt;&gt;"))),0)</f>
        <v>0</v>
      </c>
      <c r="T1527">
        <f>IFERROR($J1527/IF($A1527&lt;COUNTIFS($K$1:T$1,"&lt;&gt;"),0,SUMIFS($J:$J,$B:$B,$B1527,$A:$A,"&gt;="&amp;COUNTIFS($K$1:T$1,"&lt;&gt;"))),0)</f>
        <v>0</v>
      </c>
      <c r="U1527">
        <f>IFERROR($J1527/IF($A1527&lt;COUNTIFS($K$1:U$1,"&lt;&gt;"),0,SUMIFS($J:$J,$B:$B,$B1527,$A:$A,"&gt;="&amp;COUNTIFS($K$1:U$1,"&lt;&gt;"))),0)</f>
        <v>0</v>
      </c>
      <c r="V1527">
        <f>IFERROR($J1527/IF($A1527&lt;COUNTIFS($K$1:V$1,"&lt;&gt;"),0,SUMIFS($J:$J,$B:$B,$B1527,$A:$A,"&gt;="&amp;COUNTIFS($K$1:V$1,"&lt;&gt;"))),0)</f>
        <v>0</v>
      </c>
      <c r="W1527">
        <f t="shared" si="530"/>
        <v>7.6712328767123292E-2</v>
      </c>
      <c r="X1527">
        <f t="shared" si="510"/>
        <v>7.6712328767123292E-2</v>
      </c>
      <c r="Y1527">
        <f t="shared" si="511"/>
        <v>7.6712328767123292E-2</v>
      </c>
      <c r="Z1527">
        <f t="shared" si="512"/>
        <v>7.6712328767123292E-2</v>
      </c>
      <c r="AA1527">
        <f t="shared" si="513"/>
        <v>7.6712328767123292E-2</v>
      </c>
      <c r="AB1527">
        <f t="shared" si="514"/>
        <v>0</v>
      </c>
      <c r="AC1527">
        <f t="shared" si="515"/>
        <v>0</v>
      </c>
      <c r="AD1527">
        <f t="shared" si="516"/>
        <v>0</v>
      </c>
      <c r="AE1527">
        <f t="shared" si="517"/>
        <v>0</v>
      </c>
      <c r="AF1527">
        <f t="shared" si="518"/>
        <v>0</v>
      </c>
      <c r="AG1527">
        <f t="shared" si="519"/>
        <v>0</v>
      </c>
      <c r="AH1527">
        <f t="shared" si="520"/>
        <v>0</v>
      </c>
      <c r="AI1527">
        <f t="shared" si="521"/>
        <v>0</v>
      </c>
      <c r="AJ1527" s="2" t="str">
        <f t="shared" si="531"/>
        <v>447392</v>
      </c>
    </row>
    <row r="1528" spans="1:36" x14ac:dyDescent="0.25">
      <c r="A1528">
        <v>5</v>
      </c>
      <c r="B1528" s="1">
        <v>47392</v>
      </c>
      <c r="C1528" s="1">
        <f t="shared" si="522"/>
        <v>47543</v>
      </c>
      <c r="D1528" s="1">
        <f t="shared" si="523"/>
        <v>47406</v>
      </c>
      <c r="E1528" s="1">
        <f t="shared" si="524"/>
        <v>47543</v>
      </c>
      <c r="F1528" s="1">
        <f t="shared" si="525"/>
        <v>47574</v>
      </c>
      <c r="G1528" s="1">
        <f t="shared" si="526"/>
        <v>47771</v>
      </c>
      <c r="H1528">
        <f t="shared" si="527"/>
        <v>365</v>
      </c>
      <c r="I1528">
        <f t="shared" si="528"/>
        <v>31</v>
      </c>
      <c r="J1528">
        <f t="shared" si="529"/>
        <v>8.4931506849315067E-2</v>
      </c>
      <c r="K1528">
        <f>IFERROR($J1528/IF($A1528&lt;COUNTIFS($K$1:K$1,"&lt;&gt;"),0,SUMIFS($J:$J,$B:$B,$B1528,$A:$A,"&gt;="&amp;COUNTIFS($K$1:K$1,"&lt;&gt;"))),0)</f>
        <v>8.9080459770114959E-2</v>
      </c>
      <c r="L1528">
        <f>IFERROR($J1528/IF($A1528&lt;COUNTIFS($K$1:L$1,"&lt;&gt;"),0,SUMIFS($J:$J,$B:$B,$B1528,$A:$A,"&gt;="&amp;COUNTIFS($K$1:L$1,"&lt;&gt;"))),0)</f>
        <v>9.7484276729559768E-2</v>
      </c>
      <c r="M1528">
        <f>IFERROR($J1528/IF($A1528&lt;COUNTIFS($K$1:M$1,"&lt;&gt;"),0,SUMIFS($J:$J,$B:$B,$B1528,$A:$A,"&gt;="&amp;COUNTIFS($K$1:M$1,"&lt;&gt;"))),0)</f>
        <v>0.10801393728222998</v>
      </c>
      <c r="N1528">
        <f>IFERROR($J1528/IF($A1528&lt;COUNTIFS($K$1:N$1,"&lt;&gt;"),0,SUMIFS($J:$J,$B:$B,$B1528,$A:$A,"&gt;="&amp;COUNTIFS($K$1:N$1,"&lt;&gt;"))),0)</f>
        <v>0.12109375000000001</v>
      </c>
      <c r="O1528">
        <f>IFERROR($J1528/IF($A1528&lt;COUNTIFS($K$1:O$1,"&lt;&gt;"),0,SUMIFS($J:$J,$B:$B,$B1528,$A:$A,"&gt;="&amp;COUNTIFS($K$1:O$1,"&lt;&gt;"))),0)</f>
        <v>0.13596491228070179</v>
      </c>
      <c r="P1528">
        <f>IFERROR($J1528/IF($A1528&lt;COUNTIFS($K$1:P$1,"&lt;&gt;"),0,SUMIFS($J:$J,$B:$B,$B1528,$A:$A,"&gt;="&amp;COUNTIFS($K$1:P$1,"&lt;&gt;"))),0)</f>
        <v>0</v>
      </c>
      <c r="Q1528">
        <f>IFERROR($J1528/IF($A1528&lt;COUNTIFS($K$1:Q$1,"&lt;&gt;"),0,SUMIFS($J:$J,$B:$B,$B1528,$A:$A,"&gt;="&amp;COUNTIFS($K$1:Q$1,"&lt;&gt;"))),0)</f>
        <v>0</v>
      </c>
      <c r="R1528">
        <f>IFERROR($J1528/IF($A1528&lt;COUNTIFS($K$1:R$1,"&lt;&gt;"),0,SUMIFS($J:$J,$B:$B,$B1528,$A:$A,"&gt;="&amp;COUNTIFS($K$1:R$1,"&lt;&gt;"))),0)</f>
        <v>0</v>
      </c>
      <c r="S1528">
        <f>IFERROR($J1528/IF($A1528&lt;COUNTIFS($K$1:S$1,"&lt;&gt;"),0,SUMIFS($J:$J,$B:$B,$B1528,$A:$A,"&gt;="&amp;COUNTIFS($K$1:S$1,"&lt;&gt;"))),0)</f>
        <v>0</v>
      </c>
      <c r="T1528">
        <f>IFERROR($J1528/IF($A1528&lt;COUNTIFS($K$1:T$1,"&lt;&gt;"),0,SUMIFS($J:$J,$B:$B,$B1528,$A:$A,"&gt;="&amp;COUNTIFS($K$1:T$1,"&lt;&gt;"))),0)</f>
        <v>0</v>
      </c>
      <c r="U1528">
        <f>IFERROR($J1528/IF($A1528&lt;COUNTIFS($K$1:U$1,"&lt;&gt;"),0,SUMIFS($J:$J,$B:$B,$B1528,$A:$A,"&gt;="&amp;COUNTIFS($K$1:U$1,"&lt;&gt;"))),0)</f>
        <v>0</v>
      </c>
      <c r="V1528">
        <f>IFERROR($J1528/IF($A1528&lt;COUNTIFS($K$1:V$1,"&lt;&gt;"),0,SUMIFS($J:$J,$B:$B,$B1528,$A:$A,"&gt;="&amp;COUNTIFS($K$1:V$1,"&lt;&gt;"))),0)</f>
        <v>0</v>
      </c>
      <c r="W1528">
        <f t="shared" si="530"/>
        <v>8.4931506849315067E-2</v>
      </c>
      <c r="X1528">
        <f t="shared" si="510"/>
        <v>8.4931506849315067E-2</v>
      </c>
      <c r="Y1528">
        <f t="shared" si="511"/>
        <v>8.4931506849315067E-2</v>
      </c>
      <c r="Z1528">
        <f t="shared" si="512"/>
        <v>8.4931506849315067E-2</v>
      </c>
      <c r="AA1528">
        <f t="shared" si="513"/>
        <v>8.4931506849315067E-2</v>
      </c>
      <c r="AB1528">
        <f t="shared" si="514"/>
        <v>8.4931506849315067E-2</v>
      </c>
      <c r="AC1528">
        <f t="shared" si="515"/>
        <v>0</v>
      </c>
      <c r="AD1528">
        <f t="shared" si="516"/>
        <v>0</v>
      </c>
      <c r="AE1528">
        <f t="shared" si="517"/>
        <v>0</v>
      </c>
      <c r="AF1528">
        <f t="shared" si="518"/>
        <v>0</v>
      </c>
      <c r="AG1528">
        <f t="shared" si="519"/>
        <v>0</v>
      </c>
      <c r="AH1528">
        <f t="shared" si="520"/>
        <v>0</v>
      </c>
      <c r="AI1528">
        <f t="shared" si="521"/>
        <v>0</v>
      </c>
      <c r="AJ1528" s="2" t="str">
        <f t="shared" si="531"/>
        <v>547392</v>
      </c>
    </row>
    <row r="1529" spans="1:36" x14ac:dyDescent="0.25">
      <c r="A1529">
        <v>6</v>
      </c>
      <c r="B1529" s="1">
        <v>47392</v>
      </c>
      <c r="C1529" s="1">
        <f t="shared" si="522"/>
        <v>47574</v>
      </c>
      <c r="D1529" s="1">
        <f t="shared" si="523"/>
        <v>47406</v>
      </c>
      <c r="E1529" s="1">
        <f t="shared" si="524"/>
        <v>47574</v>
      </c>
      <c r="F1529" s="1">
        <f t="shared" si="525"/>
        <v>47604</v>
      </c>
      <c r="G1529" s="1">
        <f t="shared" si="526"/>
        <v>47771</v>
      </c>
      <c r="H1529">
        <f t="shared" si="527"/>
        <v>365</v>
      </c>
      <c r="I1529">
        <f t="shared" si="528"/>
        <v>30</v>
      </c>
      <c r="J1529">
        <f t="shared" si="529"/>
        <v>8.2191780821917804E-2</v>
      </c>
      <c r="K1529">
        <f>IFERROR($J1529/IF($A1529&lt;COUNTIFS($K$1:K$1,"&lt;&gt;"),0,SUMIFS($J:$J,$B:$B,$B1529,$A:$A,"&gt;="&amp;COUNTIFS($K$1:K$1,"&lt;&gt;"))),0)</f>
        <v>8.6206896551724144E-2</v>
      </c>
      <c r="L1529">
        <f>IFERROR($J1529/IF($A1529&lt;COUNTIFS($K$1:L$1,"&lt;&gt;"),0,SUMIFS($J:$J,$B:$B,$B1529,$A:$A,"&gt;="&amp;COUNTIFS($K$1:L$1,"&lt;&gt;"))),0)</f>
        <v>9.4339622641509441E-2</v>
      </c>
      <c r="M1529">
        <f>IFERROR($J1529/IF($A1529&lt;COUNTIFS($K$1:M$1,"&lt;&gt;"),0,SUMIFS($J:$J,$B:$B,$B1529,$A:$A,"&gt;="&amp;COUNTIFS($K$1:M$1,"&lt;&gt;"))),0)</f>
        <v>0.10452961672473869</v>
      </c>
      <c r="N1529">
        <f>IFERROR($J1529/IF($A1529&lt;COUNTIFS($K$1:N$1,"&lt;&gt;"),0,SUMIFS($J:$J,$B:$B,$B1529,$A:$A,"&gt;="&amp;COUNTIFS($K$1:N$1,"&lt;&gt;"))),0)</f>
        <v>0.11718750000000001</v>
      </c>
      <c r="O1529">
        <f>IFERROR($J1529/IF($A1529&lt;COUNTIFS($K$1:O$1,"&lt;&gt;"),0,SUMIFS($J:$J,$B:$B,$B1529,$A:$A,"&gt;="&amp;COUNTIFS($K$1:O$1,"&lt;&gt;"))),0)</f>
        <v>0.13157894736842107</v>
      </c>
      <c r="P1529">
        <f>IFERROR($J1529/IF($A1529&lt;COUNTIFS($K$1:P$1,"&lt;&gt;"),0,SUMIFS($J:$J,$B:$B,$B1529,$A:$A,"&gt;="&amp;COUNTIFS($K$1:P$1,"&lt;&gt;"))),0)</f>
        <v>0.15228426395939088</v>
      </c>
      <c r="Q1529">
        <f>IFERROR($J1529/IF($A1529&lt;COUNTIFS($K$1:Q$1,"&lt;&gt;"),0,SUMIFS($J:$J,$B:$B,$B1529,$A:$A,"&gt;="&amp;COUNTIFS($K$1:Q$1,"&lt;&gt;"))),0)</f>
        <v>0</v>
      </c>
      <c r="R1529">
        <f>IFERROR($J1529/IF($A1529&lt;COUNTIFS($K$1:R$1,"&lt;&gt;"),0,SUMIFS($J:$J,$B:$B,$B1529,$A:$A,"&gt;="&amp;COUNTIFS($K$1:R$1,"&lt;&gt;"))),0)</f>
        <v>0</v>
      </c>
      <c r="S1529">
        <f>IFERROR($J1529/IF($A1529&lt;COUNTIFS($K$1:S$1,"&lt;&gt;"),0,SUMIFS($J:$J,$B:$B,$B1529,$A:$A,"&gt;="&amp;COUNTIFS($K$1:S$1,"&lt;&gt;"))),0)</f>
        <v>0</v>
      </c>
      <c r="T1529">
        <f>IFERROR($J1529/IF($A1529&lt;COUNTIFS($K$1:T$1,"&lt;&gt;"),0,SUMIFS($J:$J,$B:$B,$B1529,$A:$A,"&gt;="&amp;COUNTIFS($K$1:T$1,"&lt;&gt;"))),0)</f>
        <v>0</v>
      </c>
      <c r="U1529">
        <f>IFERROR($J1529/IF($A1529&lt;COUNTIFS($K$1:U$1,"&lt;&gt;"),0,SUMIFS($J:$J,$B:$B,$B1529,$A:$A,"&gt;="&amp;COUNTIFS($K$1:U$1,"&lt;&gt;"))),0)</f>
        <v>0</v>
      </c>
      <c r="V1529">
        <f>IFERROR($J1529/IF($A1529&lt;COUNTIFS($K$1:V$1,"&lt;&gt;"),0,SUMIFS($J:$J,$B:$B,$B1529,$A:$A,"&gt;="&amp;COUNTIFS($K$1:V$1,"&lt;&gt;"))),0)</f>
        <v>0</v>
      </c>
      <c r="W1529">
        <f t="shared" si="530"/>
        <v>8.2191780821917804E-2</v>
      </c>
      <c r="X1529">
        <f t="shared" si="510"/>
        <v>8.2191780821917804E-2</v>
      </c>
      <c r="Y1529">
        <f t="shared" si="511"/>
        <v>8.2191780821917804E-2</v>
      </c>
      <c r="Z1529">
        <f t="shared" si="512"/>
        <v>8.2191780821917804E-2</v>
      </c>
      <c r="AA1529">
        <f t="shared" si="513"/>
        <v>8.2191780821917804E-2</v>
      </c>
      <c r="AB1529">
        <f t="shared" si="514"/>
        <v>8.2191780821917804E-2</v>
      </c>
      <c r="AC1529">
        <f t="shared" si="515"/>
        <v>8.2191780821917804E-2</v>
      </c>
      <c r="AD1529">
        <f t="shared" si="516"/>
        <v>0</v>
      </c>
      <c r="AE1529">
        <f t="shared" si="517"/>
        <v>0</v>
      </c>
      <c r="AF1529">
        <f t="shared" si="518"/>
        <v>0</v>
      </c>
      <c r="AG1529">
        <f t="shared" si="519"/>
        <v>0</v>
      </c>
      <c r="AH1529">
        <f t="shared" si="520"/>
        <v>0</v>
      </c>
      <c r="AI1529">
        <f t="shared" si="521"/>
        <v>0</v>
      </c>
      <c r="AJ1529" s="2" t="str">
        <f t="shared" si="531"/>
        <v>647392</v>
      </c>
    </row>
    <row r="1530" spans="1:36" x14ac:dyDescent="0.25">
      <c r="A1530">
        <v>7</v>
      </c>
      <c r="B1530" s="1">
        <v>47392</v>
      </c>
      <c r="C1530" s="1">
        <f t="shared" si="522"/>
        <v>47604</v>
      </c>
      <c r="D1530" s="1">
        <f t="shared" si="523"/>
        <v>47406</v>
      </c>
      <c r="E1530" s="1">
        <f t="shared" si="524"/>
        <v>47604</v>
      </c>
      <c r="F1530" s="1">
        <f t="shared" si="525"/>
        <v>47635</v>
      </c>
      <c r="G1530" s="1">
        <f t="shared" si="526"/>
        <v>47771</v>
      </c>
      <c r="H1530">
        <f t="shared" si="527"/>
        <v>365</v>
      </c>
      <c r="I1530">
        <f t="shared" si="528"/>
        <v>31</v>
      </c>
      <c r="J1530">
        <f t="shared" si="529"/>
        <v>8.4931506849315067E-2</v>
      </c>
      <c r="K1530">
        <f>IFERROR($J1530/IF($A1530&lt;COUNTIFS($K$1:K$1,"&lt;&gt;"),0,SUMIFS($J:$J,$B:$B,$B1530,$A:$A,"&gt;="&amp;COUNTIFS($K$1:K$1,"&lt;&gt;"))),0)</f>
        <v>8.9080459770114959E-2</v>
      </c>
      <c r="L1530">
        <f>IFERROR($J1530/IF($A1530&lt;COUNTIFS($K$1:L$1,"&lt;&gt;"),0,SUMIFS($J:$J,$B:$B,$B1530,$A:$A,"&gt;="&amp;COUNTIFS($K$1:L$1,"&lt;&gt;"))),0)</f>
        <v>9.7484276729559768E-2</v>
      </c>
      <c r="M1530">
        <f>IFERROR($J1530/IF($A1530&lt;COUNTIFS($K$1:M$1,"&lt;&gt;"),0,SUMIFS($J:$J,$B:$B,$B1530,$A:$A,"&gt;="&amp;COUNTIFS($K$1:M$1,"&lt;&gt;"))),0)</f>
        <v>0.10801393728222998</v>
      </c>
      <c r="N1530">
        <f>IFERROR($J1530/IF($A1530&lt;COUNTIFS($K$1:N$1,"&lt;&gt;"),0,SUMIFS($J:$J,$B:$B,$B1530,$A:$A,"&gt;="&amp;COUNTIFS($K$1:N$1,"&lt;&gt;"))),0)</f>
        <v>0.12109375000000001</v>
      </c>
      <c r="O1530">
        <f>IFERROR($J1530/IF($A1530&lt;COUNTIFS($K$1:O$1,"&lt;&gt;"),0,SUMIFS($J:$J,$B:$B,$B1530,$A:$A,"&gt;="&amp;COUNTIFS($K$1:O$1,"&lt;&gt;"))),0)</f>
        <v>0.13596491228070179</v>
      </c>
      <c r="P1530">
        <f>IFERROR($J1530/IF($A1530&lt;COUNTIFS($K$1:P$1,"&lt;&gt;"),0,SUMIFS($J:$J,$B:$B,$B1530,$A:$A,"&gt;="&amp;COUNTIFS($K$1:P$1,"&lt;&gt;"))),0)</f>
        <v>0.15736040609137059</v>
      </c>
      <c r="Q1530">
        <f>IFERROR($J1530/IF($A1530&lt;COUNTIFS($K$1:Q$1,"&lt;&gt;"),0,SUMIFS($J:$J,$B:$B,$B1530,$A:$A,"&gt;="&amp;COUNTIFS($K$1:Q$1,"&lt;&gt;"))),0)</f>
        <v>0.18562874251497008</v>
      </c>
      <c r="R1530">
        <f>IFERROR($J1530/IF($A1530&lt;COUNTIFS($K$1:R$1,"&lt;&gt;"),0,SUMIFS($J:$J,$B:$B,$B1530,$A:$A,"&gt;="&amp;COUNTIFS($K$1:R$1,"&lt;&gt;"))),0)</f>
        <v>0</v>
      </c>
      <c r="S1530">
        <f>IFERROR($J1530/IF($A1530&lt;COUNTIFS($K$1:S$1,"&lt;&gt;"),0,SUMIFS($J:$J,$B:$B,$B1530,$A:$A,"&gt;="&amp;COUNTIFS($K$1:S$1,"&lt;&gt;"))),0)</f>
        <v>0</v>
      </c>
      <c r="T1530">
        <f>IFERROR($J1530/IF($A1530&lt;COUNTIFS($K$1:T$1,"&lt;&gt;"),0,SUMIFS($J:$J,$B:$B,$B1530,$A:$A,"&gt;="&amp;COUNTIFS($K$1:T$1,"&lt;&gt;"))),0)</f>
        <v>0</v>
      </c>
      <c r="U1530">
        <f>IFERROR($J1530/IF($A1530&lt;COUNTIFS($K$1:U$1,"&lt;&gt;"),0,SUMIFS($J:$J,$B:$B,$B1530,$A:$A,"&gt;="&amp;COUNTIFS($K$1:U$1,"&lt;&gt;"))),0)</f>
        <v>0</v>
      </c>
      <c r="V1530">
        <f>IFERROR($J1530/IF($A1530&lt;COUNTIFS($K$1:V$1,"&lt;&gt;"),0,SUMIFS($J:$J,$B:$B,$B1530,$A:$A,"&gt;="&amp;COUNTIFS($K$1:V$1,"&lt;&gt;"))),0)</f>
        <v>0</v>
      </c>
      <c r="W1530">
        <f t="shared" si="530"/>
        <v>8.4931506849315067E-2</v>
      </c>
      <c r="X1530">
        <f t="shared" si="510"/>
        <v>8.4931506849315067E-2</v>
      </c>
      <c r="Y1530">
        <f t="shared" si="511"/>
        <v>8.4931506849315067E-2</v>
      </c>
      <c r="Z1530">
        <f t="shared" si="512"/>
        <v>8.4931506849315067E-2</v>
      </c>
      <c r="AA1530">
        <f t="shared" si="513"/>
        <v>8.4931506849315067E-2</v>
      </c>
      <c r="AB1530">
        <f t="shared" si="514"/>
        <v>8.4931506849315067E-2</v>
      </c>
      <c r="AC1530">
        <f t="shared" si="515"/>
        <v>8.4931506849315067E-2</v>
      </c>
      <c r="AD1530">
        <f t="shared" si="516"/>
        <v>8.4931506849315067E-2</v>
      </c>
      <c r="AE1530">
        <f t="shared" si="517"/>
        <v>0</v>
      </c>
      <c r="AF1530">
        <f t="shared" si="518"/>
        <v>0</v>
      </c>
      <c r="AG1530">
        <f t="shared" si="519"/>
        <v>0</v>
      </c>
      <c r="AH1530">
        <f t="shared" si="520"/>
        <v>0</v>
      </c>
      <c r="AI1530">
        <f t="shared" si="521"/>
        <v>0</v>
      </c>
      <c r="AJ1530" s="2" t="str">
        <f t="shared" si="531"/>
        <v>747392</v>
      </c>
    </row>
    <row r="1531" spans="1:36" x14ac:dyDescent="0.25">
      <c r="A1531">
        <v>8</v>
      </c>
      <c r="B1531" s="1">
        <v>47392</v>
      </c>
      <c r="C1531" s="1">
        <f t="shared" si="522"/>
        <v>47635</v>
      </c>
      <c r="D1531" s="1">
        <f t="shared" si="523"/>
        <v>47406</v>
      </c>
      <c r="E1531" s="1">
        <f t="shared" si="524"/>
        <v>47635</v>
      </c>
      <c r="F1531" s="1">
        <f t="shared" si="525"/>
        <v>47665</v>
      </c>
      <c r="G1531" s="1">
        <f t="shared" si="526"/>
        <v>47771</v>
      </c>
      <c r="H1531">
        <f t="shared" si="527"/>
        <v>365</v>
      </c>
      <c r="I1531">
        <f t="shared" si="528"/>
        <v>30</v>
      </c>
      <c r="J1531">
        <f t="shared" si="529"/>
        <v>8.2191780821917804E-2</v>
      </c>
      <c r="K1531">
        <f>IFERROR($J1531/IF($A1531&lt;COUNTIFS($K$1:K$1,"&lt;&gt;"),0,SUMIFS($J:$J,$B:$B,$B1531,$A:$A,"&gt;="&amp;COUNTIFS($K$1:K$1,"&lt;&gt;"))),0)</f>
        <v>8.6206896551724144E-2</v>
      </c>
      <c r="L1531">
        <f>IFERROR($J1531/IF($A1531&lt;COUNTIFS($K$1:L$1,"&lt;&gt;"),0,SUMIFS($J:$J,$B:$B,$B1531,$A:$A,"&gt;="&amp;COUNTIFS($K$1:L$1,"&lt;&gt;"))),0)</f>
        <v>9.4339622641509441E-2</v>
      </c>
      <c r="M1531">
        <f>IFERROR($J1531/IF($A1531&lt;COUNTIFS($K$1:M$1,"&lt;&gt;"),0,SUMIFS($J:$J,$B:$B,$B1531,$A:$A,"&gt;="&amp;COUNTIFS($K$1:M$1,"&lt;&gt;"))),0)</f>
        <v>0.10452961672473869</v>
      </c>
      <c r="N1531">
        <f>IFERROR($J1531/IF($A1531&lt;COUNTIFS($K$1:N$1,"&lt;&gt;"),0,SUMIFS($J:$J,$B:$B,$B1531,$A:$A,"&gt;="&amp;COUNTIFS($K$1:N$1,"&lt;&gt;"))),0)</f>
        <v>0.11718750000000001</v>
      </c>
      <c r="O1531">
        <f>IFERROR($J1531/IF($A1531&lt;COUNTIFS($K$1:O$1,"&lt;&gt;"),0,SUMIFS($J:$J,$B:$B,$B1531,$A:$A,"&gt;="&amp;COUNTIFS($K$1:O$1,"&lt;&gt;"))),0)</f>
        <v>0.13157894736842107</v>
      </c>
      <c r="P1531">
        <f>IFERROR($J1531/IF($A1531&lt;COUNTIFS($K$1:P$1,"&lt;&gt;"),0,SUMIFS($J:$J,$B:$B,$B1531,$A:$A,"&gt;="&amp;COUNTIFS($K$1:P$1,"&lt;&gt;"))),0)</f>
        <v>0.15228426395939088</v>
      </c>
      <c r="Q1531">
        <f>IFERROR($J1531/IF($A1531&lt;COUNTIFS($K$1:Q$1,"&lt;&gt;"),0,SUMIFS($J:$J,$B:$B,$B1531,$A:$A,"&gt;="&amp;COUNTIFS($K$1:Q$1,"&lt;&gt;"))),0)</f>
        <v>0.17964071856287425</v>
      </c>
      <c r="R1531">
        <f>IFERROR($J1531/IF($A1531&lt;COUNTIFS($K$1:R$1,"&lt;&gt;"),0,SUMIFS($J:$J,$B:$B,$B1531,$A:$A,"&gt;="&amp;COUNTIFS($K$1:R$1,"&lt;&gt;"))),0)</f>
        <v>0.22058823529411764</v>
      </c>
      <c r="S1531">
        <f>IFERROR($J1531/IF($A1531&lt;COUNTIFS($K$1:S$1,"&lt;&gt;"),0,SUMIFS($J:$J,$B:$B,$B1531,$A:$A,"&gt;="&amp;COUNTIFS($K$1:S$1,"&lt;&gt;"))),0)</f>
        <v>0</v>
      </c>
      <c r="T1531">
        <f>IFERROR($J1531/IF($A1531&lt;COUNTIFS($K$1:T$1,"&lt;&gt;"),0,SUMIFS($J:$J,$B:$B,$B1531,$A:$A,"&gt;="&amp;COUNTIFS($K$1:T$1,"&lt;&gt;"))),0)</f>
        <v>0</v>
      </c>
      <c r="U1531">
        <f>IFERROR($J1531/IF($A1531&lt;COUNTIFS($K$1:U$1,"&lt;&gt;"),0,SUMIFS($J:$J,$B:$B,$B1531,$A:$A,"&gt;="&amp;COUNTIFS($K$1:U$1,"&lt;&gt;"))),0)</f>
        <v>0</v>
      </c>
      <c r="V1531">
        <f>IFERROR($J1531/IF($A1531&lt;COUNTIFS($K$1:V$1,"&lt;&gt;"),0,SUMIFS($J:$J,$B:$B,$B1531,$A:$A,"&gt;="&amp;COUNTIFS($K$1:V$1,"&lt;&gt;"))),0)</f>
        <v>0</v>
      </c>
      <c r="W1531">
        <f t="shared" si="530"/>
        <v>8.2191780821917804E-2</v>
      </c>
      <c r="X1531">
        <f t="shared" si="510"/>
        <v>8.2191780821917804E-2</v>
      </c>
      <c r="Y1531">
        <f t="shared" si="511"/>
        <v>8.2191780821917804E-2</v>
      </c>
      <c r="Z1531">
        <f t="shared" si="512"/>
        <v>8.2191780821917804E-2</v>
      </c>
      <c r="AA1531">
        <f t="shared" si="513"/>
        <v>8.2191780821917804E-2</v>
      </c>
      <c r="AB1531">
        <f t="shared" si="514"/>
        <v>8.2191780821917804E-2</v>
      </c>
      <c r="AC1531">
        <f t="shared" si="515"/>
        <v>8.2191780821917804E-2</v>
      </c>
      <c r="AD1531">
        <f t="shared" si="516"/>
        <v>8.2191780821917804E-2</v>
      </c>
      <c r="AE1531">
        <f t="shared" si="517"/>
        <v>8.2191780821917804E-2</v>
      </c>
      <c r="AF1531">
        <f t="shared" si="518"/>
        <v>0</v>
      </c>
      <c r="AG1531">
        <f t="shared" si="519"/>
        <v>0</v>
      </c>
      <c r="AH1531">
        <f t="shared" si="520"/>
        <v>0</v>
      </c>
      <c r="AI1531">
        <f t="shared" si="521"/>
        <v>0</v>
      </c>
      <c r="AJ1531" s="2" t="str">
        <f t="shared" si="531"/>
        <v>847392</v>
      </c>
    </row>
    <row r="1532" spans="1:36" x14ac:dyDescent="0.25">
      <c r="A1532">
        <v>9</v>
      </c>
      <c r="B1532" s="1">
        <v>47392</v>
      </c>
      <c r="C1532" s="1">
        <f t="shared" si="522"/>
        <v>47665</v>
      </c>
      <c r="D1532" s="1">
        <f t="shared" si="523"/>
        <v>47406</v>
      </c>
      <c r="E1532" s="1">
        <f t="shared" si="524"/>
        <v>47665</v>
      </c>
      <c r="F1532" s="1">
        <f t="shared" si="525"/>
        <v>47696</v>
      </c>
      <c r="G1532" s="1">
        <f t="shared" si="526"/>
        <v>47771</v>
      </c>
      <c r="H1532">
        <f t="shared" si="527"/>
        <v>365</v>
      </c>
      <c r="I1532">
        <f t="shared" si="528"/>
        <v>31</v>
      </c>
      <c r="J1532">
        <f t="shared" si="529"/>
        <v>8.4931506849315067E-2</v>
      </c>
      <c r="K1532">
        <f>IFERROR($J1532/IF($A1532&lt;COUNTIFS($K$1:K$1,"&lt;&gt;"),0,SUMIFS($J:$J,$B:$B,$B1532,$A:$A,"&gt;="&amp;COUNTIFS($K$1:K$1,"&lt;&gt;"))),0)</f>
        <v>8.9080459770114959E-2</v>
      </c>
      <c r="L1532">
        <f>IFERROR($J1532/IF($A1532&lt;COUNTIFS($K$1:L$1,"&lt;&gt;"),0,SUMIFS($J:$J,$B:$B,$B1532,$A:$A,"&gt;="&amp;COUNTIFS($K$1:L$1,"&lt;&gt;"))),0)</f>
        <v>9.7484276729559768E-2</v>
      </c>
      <c r="M1532">
        <f>IFERROR($J1532/IF($A1532&lt;COUNTIFS($K$1:M$1,"&lt;&gt;"),0,SUMIFS($J:$J,$B:$B,$B1532,$A:$A,"&gt;="&amp;COUNTIFS($K$1:M$1,"&lt;&gt;"))),0)</f>
        <v>0.10801393728222998</v>
      </c>
      <c r="N1532">
        <f>IFERROR($J1532/IF($A1532&lt;COUNTIFS($K$1:N$1,"&lt;&gt;"),0,SUMIFS($J:$J,$B:$B,$B1532,$A:$A,"&gt;="&amp;COUNTIFS($K$1:N$1,"&lt;&gt;"))),0)</f>
        <v>0.12109375000000001</v>
      </c>
      <c r="O1532">
        <f>IFERROR($J1532/IF($A1532&lt;COUNTIFS($K$1:O$1,"&lt;&gt;"),0,SUMIFS($J:$J,$B:$B,$B1532,$A:$A,"&gt;="&amp;COUNTIFS($K$1:O$1,"&lt;&gt;"))),0)</f>
        <v>0.13596491228070179</v>
      </c>
      <c r="P1532">
        <f>IFERROR($J1532/IF($A1532&lt;COUNTIFS($K$1:P$1,"&lt;&gt;"),0,SUMIFS($J:$J,$B:$B,$B1532,$A:$A,"&gt;="&amp;COUNTIFS($K$1:P$1,"&lt;&gt;"))),0)</f>
        <v>0.15736040609137059</v>
      </c>
      <c r="Q1532">
        <f>IFERROR($J1532/IF($A1532&lt;COUNTIFS($K$1:Q$1,"&lt;&gt;"),0,SUMIFS($J:$J,$B:$B,$B1532,$A:$A,"&gt;="&amp;COUNTIFS($K$1:Q$1,"&lt;&gt;"))),0)</f>
        <v>0.18562874251497008</v>
      </c>
      <c r="R1532">
        <f>IFERROR($J1532/IF($A1532&lt;COUNTIFS($K$1:R$1,"&lt;&gt;"),0,SUMIFS($J:$J,$B:$B,$B1532,$A:$A,"&gt;="&amp;COUNTIFS($K$1:R$1,"&lt;&gt;"))),0)</f>
        <v>0.22794117647058826</v>
      </c>
      <c r="S1532">
        <f>IFERROR($J1532/IF($A1532&lt;COUNTIFS($K$1:S$1,"&lt;&gt;"),0,SUMIFS($J:$J,$B:$B,$B1532,$A:$A,"&gt;="&amp;COUNTIFS($K$1:S$1,"&lt;&gt;"))),0)</f>
        <v>0.29245283018867929</v>
      </c>
      <c r="T1532">
        <f>IFERROR($J1532/IF($A1532&lt;COUNTIFS($K$1:T$1,"&lt;&gt;"),0,SUMIFS($J:$J,$B:$B,$B1532,$A:$A,"&gt;="&amp;COUNTIFS($K$1:T$1,"&lt;&gt;"))),0)</f>
        <v>0</v>
      </c>
      <c r="U1532">
        <f>IFERROR($J1532/IF($A1532&lt;COUNTIFS($K$1:U$1,"&lt;&gt;"),0,SUMIFS($J:$J,$B:$B,$B1532,$A:$A,"&gt;="&amp;COUNTIFS($K$1:U$1,"&lt;&gt;"))),0)</f>
        <v>0</v>
      </c>
      <c r="V1532">
        <f>IFERROR($J1532/IF($A1532&lt;COUNTIFS($K$1:V$1,"&lt;&gt;"),0,SUMIFS($J:$J,$B:$B,$B1532,$A:$A,"&gt;="&amp;COUNTIFS($K$1:V$1,"&lt;&gt;"))),0)</f>
        <v>0</v>
      </c>
      <c r="W1532">
        <f t="shared" si="530"/>
        <v>8.4931506849315067E-2</v>
      </c>
      <c r="X1532">
        <f t="shared" si="510"/>
        <v>8.4931506849315067E-2</v>
      </c>
      <c r="Y1532">
        <f t="shared" si="511"/>
        <v>8.4931506849315067E-2</v>
      </c>
      <c r="Z1532">
        <f t="shared" si="512"/>
        <v>8.4931506849315067E-2</v>
      </c>
      <c r="AA1532">
        <f t="shared" si="513"/>
        <v>8.4931506849315067E-2</v>
      </c>
      <c r="AB1532">
        <f t="shared" si="514"/>
        <v>8.4931506849315067E-2</v>
      </c>
      <c r="AC1532">
        <f t="shared" si="515"/>
        <v>8.4931506849315067E-2</v>
      </c>
      <c r="AD1532">
        <f t="shared" si="516"/>
        <v>8.4931506849315067E-2</v>
      </c>
      <c r="AE1532">
        <f t="shared" si="517"/>
        <v>8.4931506849315067E-2</v>
      </c>
      <c r="AF1532">
        <f t="shared" si="518"/>
        <v>8.4931506849315067E-2</v>
      </c>
      <c r="AG1532">
        <f t="shared" si="519"/>
        <v>0</v>
      </c>
      <c r="AH1532">
        <f t="shared" si="520"/>
        <v>0</v>
      </c>
      <c r="AI1532">
        <f t="shared" si="521"/>
        <v>0</v>
      </c>
      <c r="AJ1532" s="2" t="str">
        <f t="shared" si="531"/>
        <v>947392</v>
      </c>
    </row>
    <row r="1533" spans="1:36" x14ac:dyDescent="0.25">
      <c r="A1533">
        <v>10</v>
      </c>
      <c r="B1533" s="1">
        <v>47392</v>
      </c>
      <c r="C1533" s="1">
        <f t="shared" si="522"/>
        <v>47696</v>
      </c>
      <c r="D1533" s="1">
        <f t="shared" si="523"/>
        <v>47406</v>
      </c>
      <c r="E1533" s="1">
        <f t="shared" si="524"/>
        <v>47696</v>
      </c>
      <c r="F1533" s="1">
        <f t="shared" si="525"/>
        <v>47727</v>
      </c>
      <c r="G1533" s="1">
        <f t="shared" si="526"/>
        <v>47771</v>
      </c>
      <c r="H1533">
        <f t="shared" si="527"/>
        <v>365</v>
      </c>
      <c r="I1533">
        <f t="shared" si="528"/>
        <v>31</v>
      </c>
      <c r="J1533">
        <f t="shared" si="529"/>
        <v>8.4931506849315067E-2</v>
      </c>
      <c r="K1533">
        <f>IFERROR($J1533/IF($A1533&lt;COUNTIFS($K$1:K$1,"&lt;&gt;"),0,SUMIFS($J:$J,$B:$B,$B1533,$A:$A,"&gt;="&amp;COUNTIFS($K$1:K$1,"&lt;&gt;"))),0)</f>
        <v>8.9080459770114959E-2</v>
      </c>
      <c r="L1533">
        <f>IFERROR($J1533/IF($A1533&lt;COUNTIFS($K$1:L$1,"&lt;&gt;"),0,SUMIFS($J:$J,$B:$B,$B1533,$A:$A,"&gt;="&amp;COUNTIFS($K$1:L$1,"&lt;&gt;"))),0)</f>
        <v>9.7484276729559768E-2</v>
      </c>
      <c r="M1533">
        <f>IFERROR($J1533/IF($A1533&lt;COUNTIFS($K$1:M$1,"&lt;&gt;"),0,SUMIFS($J:$J,$B:$B,$B1533,$A:$A,"&gt;="&amp;COUNTIFS($K$1:M$1,"&lt;&gt;"))),0)</f>
        <v>0.10801393728222998</v>
      </c>
      <c r="N1533">
        <f>IFERROR($J1533/IF($A1533&lt;COUNTIFS($K$1:N$1,"&lt;&gt;"),0,SUMIFS($J:$J,$B:$B,$B1533,$A:$A,"&gt;="&amp;COUNTIFS($K$1:N$1,"&lt;&gt;"))),0)</f>
        <v>0.12109375000000001</v>
      </c>
      <c r="O1533">
        <f>IFERROR($J1533/IF($A1533&lt;COUNTIFS($K$1:O$1,"&lt;&gt;"),0,SUMIFS($J:$J,$B:$B,$B1533,$A:$A,"&gt;="&amp;COUNTIFS($K$1:O$1,"&lt;&gt;"))),0)</f>
        <v>0.13596491228070179</v>
      </c>
      <c r="P1533">
        <f>IFERROR($J1533/IF($A1533&lt;COUNTIFS($K$1:P$1,"&lt;&gt;"),0,SUMIFS($J:$J,$B:$B,$B1533,$A:$A,"&gt;="&amp;COUNTIFS($K$1:P$1,"&lt;&gt;"))),0)</f>
        <v>0.15736040609137059</v>
      </c>
      <c r="Q1533">
        <f>IFERROR($J1533/IF($A1533&lt;COUNTIFS($K$1:Q$1,"&lt;&gt;"),0,SUMIFS($J:$J,$B:$B,$B1533,$A:$A,"&gt;="&amp;COUNTIFS($K$1:Q$1,"&lt;&gt;"))),0)</f>
        <v>0.18562874251497008</v>
      </c>
      <c r="R1533">
        <f>IFERROR($J1533/IF($A1533&lt;COUNTIFS($K$1:R$1,"&lt;&gt;"),0,SUMIFS($J:$J,$B:$B,$B1533,$A:$A,"&gt;="&amp;COUNTIFS($K$1:R$1,"&lt;&gt;"))),0)</f>
        <v>0.22794117647058826</v>
      </c>
      <c r="S1533">
        <f>IFERROR($J1533/IF($A1533&lt;COUNTIFS($K$1:S$1,"&lt;&gt;"),0,SUMIFS($J:$J,$B:$B,$B1533,$A:$A,"&gt;="&amp;COUNTIFS($K$1:S$1,"&lt;&gt;"))),0)</f>
        <v>0.29245283018867929</v>
      </c>
      <c r="T1533">
        <f>IFERROR($J1533/IF($A1533&lt;COUNTIFS($K$1:T$1,"&lt;&gt;"),0,SUMIFS($J:$J,$B:$B,$B1533,$A:$A,"&gt;="&amp;COUNTIFS($K$1:T$1,"&lt;&gt;"))),0)</f>
        <v>0.41333333333333333</v>
      </c>
      <c r="U1533">
        <f>IFERROR($J1533/IF($A1533&lt;COUNTIFS($K$1:U$1,"&lt;&gt;"),0,SUMIFS($J:$J,$B:$B,$B1533,$A:$A,"&gt;="&amp;COUNTIFS($K$1:U$1,"&lt;&gt;"))),0)</f>
        <v>0</v>
      </c>
      <c r="V1533">
        <f>IFERROR($J1533/IF($A1533&lt;COUNTIFS($K$1:V$1,"&lt;&gt;"),0,SUMIFS($J:$J,$B:$B,$B1533,$A:$A,"&gt;="&amp;COUNTIFS($K$1:V$1,"&lt;&gt;"))),0)</f>
        <v>0</v>
      </c>
      <c r="W1533">
        <f t="shared" si="530"/>
        <v>8.4931506849315067E-2</v>
      </c>
      <c r="X1533">
        <f t="shared" si="510"/>
        <v>8.4931506849315067E-2</v>
      </c>
      <c r="Y1533">
        <f t="shared" si="511"/>
        <v>8.4931506849315067E-2</v>
      </c>
      <c r="Z1533">
        <f t="shared" si="512"/>
        <v>8.4931506849315067E-2</v>
      </c>
      <c r="AA1533">
        <f t="shared" si="513"/>
        <v>8.4931506849315067E-2</v>
      </c>
      <c r="AB1533">
        <f t="shared" si="514"/>
        <v>8.4931506849315067E-2</v>
      </c>
      <c r="AC1533">
        <f t="shared" si="515"/>
        <v>8.4931506849315067E-2</v>
      </c>
      <c r="AD1533">
        <f t="shared" si="516"/>
        <v>8.4931506849315067E-2</v>
      </c>
      <c r="AE1533">
        <f t="shared" si="517"/>
        <v>8.4931506849315067E-2</v>
      </c>
      <c r="AF1533">
        <f t="shared" si="518"/>
        <v>8.4931506849315067E-2</v>
      </c>
      <c r="AG1533">
        <f t="shared" si="519"/>
        <v>8.4931506849315067E-2</v>
      </c>
      <c r="AH1533">
        <f t="shared" si="520"/>
        <v>0</v>
      </c>
      <c r="AI1533">
        <f t="shared" si="521"/>
        <v>0</v>
      </c>
      <c r="AJ1533" s="2" t="str">
        <f t="shared" si="531"/>
        <v>1047392</v>
      </c>
    </row>
    <row r="1534" spans="1:36" x14ac:dyDescent="0.25">
      <c r="A1534">
        <v>11</v>
      </c>
      <c r="B1534" s="1">
        <v>47392</v>
      </c>
      <c r="C1534" s="1">
        <f t="shared" si="522"/>
        <v>47727</v>
      </c>
      <c r="D1534" s="1">
        <f t="shared" si="523"/>
        <v>47406</v>
      </c>
      <c r="E1534" s="1">
        <f t="shared" si="524"/>
        <v>47727</v>
      </c>
      <c r="F1534" s="1">
        <f t="shared" si="525"/>
        <v>47757</v>
      </c>
      <c r="G1534" s="1">
        <f t="shared" si="526"/>
        <v>47771</v>
      </c>
      <c r="H1534">
        <f t="shared" si="527"/>
        <v>365</v>
      </c>
      <c r="I1534">
        <f t="shared" si="528"/>
        <v>30</v>
      </c>
      <c r="J1534">
        <f t="shared" si="529"/>
        <v>8.2191780821917804E-2</v>
      </c>
      <c r="K1534">
        <f>IFERROR($J1534/IF($A1534&lt;COUNTIFS($K$1:K$1,"&lt;&gt;"),0,SUMIFS($J:$J,$B:$B,$B1534,$A:$A,"&gt;="&amp;COUNTIFS($K$1:K$1,"&lt;&gt;"))),0)</f>
        <v>8.6206896551724144E-2</v>
      </c>
      <c r="L1534">
        <f>IFERROR($J1534/IF($A1534&lt;COUNTIFS($K$1:L$1,"&lt;&gt;"),0,SUMIFS($J:$J,$B:$B,$B1534,$A:$A,"&gt;="&amp;COUNTIFS($K$1:L$1,"&lt;&gt;"))),0)</f>
        <v>9.4339622641509441E-2</v>
      </c>
      <c r="M1534">
        <f>IFERROR($J1534/IF($A1534&lt;COUNTIFS($K$1:M$1,"&lt;&gt;"),0,SUMIFS($J:$J,$B:$B,$B1534,$A:$A,"&gt;="&amp;COUNTIFS($K$1:M$1,"&lt;&gt;"))),0)</f>
        <v>0.10452961672473869</v>
      </c>
      <c r="N1534">
        <f>IFERROR($J1534/IF($A1534&lt;COUNTIFS($K$1:N$1,"&lt;&gt;"),0,SUMIFS($J:$J,$B:$B,$B1534,$A:$A,"&gt;="&amp;COUNTIFS($K$1:N$1,"&lt;&gt;"))),0)</f>
        <v>0.11718750000000001</v>
      </c>
      <c r="O1534">
        <f>IFERROR($J1534/IF($A1534&lt;COUNTIFS($K$1:O$1,"&lt;&gt;"),0,SUMIFS($J:$J,$B:$B,$B1534,$A:$A,"&gt;="&amp;COUNTIFS($K$1:O$1,"&lt;&gt;"))),0)</f>
        <v>0.13157894736842107</v>
      </c>
      <c r="P1534">
        <f>IFERROR($J1534/IF($A1534&lt;COUNTIFS($K$1:P$1,"&lt;&gt;"),0,SUMIFS($J:$J,$B:$B,$B1534,$A:$A,"&gt;="&amp;COUNTIFS($K$1:P$1,"&lt;&gt;"))),0)</f>
        <v>0.15228426395939088</v>
      </c>
      <c r="Q1534">
        <f>IFERROR($J1534/IF($A1534&lt;COUNTIFS($K$1:Q$1,"&lt;&gt;"),0,SUMIFS($J:$J,$B:$B,$B1534,$A:$A,"&gt;="&amp;COUNTIFS($K$1:Q$1,"&lt;&gt;"))),0)</f>
        <v>0.17964071856287425</v>
      </c>
      <c r="R1534">
        <f>IFERROR($J1534/IF($A1534&lt;COUNTIFS($K$1:R$1,"&lt;&gt;"),0,SUMIFS($J:$J,$B:$B,$B1534,$A:$A,"&gt;="&amp;COUNTIFS($K$1:R$1,"&lt;&gt;"))),0)</f>
        <v>0.22058823529411764</v>
      </c>
      <c r="S1534">
        <f>IFERROR($J1534/IF($A1534&lt;COUNTIFS($K$1:S$1,"&lt;&gt;"),0,SUMIFS($J:$J,$B:$B,$B1534,$A:$A,"&gt;="&amp;COUNTIFS($K$1:S$1,"&lt;&gt;"))),0)</f>
        <v>0.28301886792452829</v>
      </c>
      <c r="T1534">
        <f>IFERROR($J1534/IF($A1534&lt;COUNTIFS($K$1:T$1,"&lt;&gt;"),0,SUMIFS($J:$J,$B:$B,$B1534,$A:$A,"&gt;="&amp;COUNTIFS($K$1:T$1,"&lt;&gt;"))),0)</f>
        <v>0.4</v>
      </c>
      <c r="U1534">
        <f>IFERROR($J1534/IF($A1534&lt;COUNTIFS($K$1:U$1,"&lt;&gt;"),0,SUMIFS($J:$J,$B:$B,$B1534,$A:$A,"&gt;="&amp;COUNTIFS($K$1:U$1,"&lt;&gt;"))),0)</f>
        <v>0.68181818181818177</v>
      </c>
      <c r="V1534">
        <f>IFERROR($J1534/IF($A1534&lt;COUNTIFS($K$1:V$1,"&lt;&gt;"),0,SUMIFS($J:$J,$B:$B,$B1534,$A:$A,"&gt;="&amp;COUNTIFS($K$1:V$1,"&lt;&gt;"))),0)</f>
        <v>0</v>
      </c>
      <c r="W1534">
        <f t="shared" si="530"/>
        <v>8.2191780821917804E-2</v>
      </c>
      <c r="X1534">
        <f t="shared" si="510"/>
        <v>8.2191780821917804E-2</v>
      </c>
      <c r="Y1534">
        <f t="shared" si="511"/>
        <v>8.2191780821917804E-2</v>
      </c>
      <c r="Z1534">
        <f t="shared" si="512"/>
        <v>8.2191780821917804E-2</v>
      </c>
      <c r="AA1534">
        <f t="shared" si="513"/>
        <v>8.2191780821917804E-2</v>
      </c>
      <c r="AB1534">
        <f t="shared" si="514"/>
        <v>8.2191780821917804E-2</v>
      </c>
      <c r="AC1534">
        <f t="shared" si="515"/>
        <v>8.2191780821917804E-2</v>
      </c>
      <c r="AD1534">
        <f t="shared" si="516"/>
        <v>8.2191780821917804E-2</v>
      </c>
      <c r="AE1534">
        <f t="shared" si="517"/>
        <v>8.2191780821917804E-2</v>
      </c>
      <c r="AF1534">
        <f t="shared" si="518"/>
        <v>8.2191780821917804E-2</v>
      </c>
      <c r="AG1534">
        <f t="shared" si="519"/>
        <v>8.2191780821917804E-2</v>
      </c>
      <c r="AH1534">
        <f t="shared" si="520"/>
        <v>8.2191780821917804E-2</v>
      </c>
      <c r="AI1534">
        <f t="shared" si="521"/>
        <v>0</v>
      </c>
      <c r="AJ1534" s="2" t="str">
        <f t="shared" si="531"/>
        <v>1147392</v>
      </c>
    </row>
    <row r="1535" spans="1:36" x14ac:dyDescent="0.25">
      <c r="A1535">
        <v>12</v>
      </c>
      <c r="B1535" s="1">
        <v>47392</v>
      </c>
      <c r="C1535" s="1">
        <f t="shared" si="522"/>
        <v>47757</v>
      </c>
      <c r="D1535" s="1">
        <f t="shared" si="523"/>
        <v>47406</v>
      </c>
      <c r="E1535" s="1">
        <f t="shared" si="524"/>
        <v>47757</v>
      </c>
      <c r="F1535" s="1">
        <f t="shared" si="525"/>
        <v>47771</v>
      </c>
      <c r="G1535" s="1">
        <f t="shared" si="526"/>
        <v>47771</v>
      </c>
      <c r="H1535">
        <f t="shared" si="527"/>
        <v>365</v>
      </c>
      <c r="I1535">
        <f t="shared" si="528"/>
        <v>14</v>
      </c>
      <c r="J1535">
        <f t="shared" si="529"/>
        <v>3.8356164383561646E-2</v>
      </c>
      <c r="K1535">
        <f>IFERROR($J1535/IF($A1535&lt;COUNTIFS($K$1:K$1,"&lt;&gt;"),0,SUMIFS($J:$J,$B:$B,$B1535,$A:$A,"&gt;="&amp;COUNTIFS($K$1:K$1,"&lt;&gt;"))),0)</f>
        <v>4.0229885057471271E-2</v>
      </c>
      <c r="L1535">
        <f>IFERROR($J1535/IF($A1535&lt;COUNTIFS($K$1:L$1,"&lt;&gt;"),0,SUMIFS($J:$J,$B:$B,$B1535,$A:$A,"&gt;="&amp;COUNTIFS($K$1:L$1,"&lt;&gt;"))),0)</f>
        <v>4.4025157232704414E-2</v>
      </c>
      <c r="M1535">
        <f>IFERROR($J1535/IF($A1535&lt;COUNTIFS($K$1:M$1,"&lt;&gt;"),0,SUMIFS($J:$J,$B:$B,$B1535,$A:$A,"&gt;="&amp;COUNTIFS($K$1:M$1,"&lt;&gt;"))),0)</f>
        <v>4.8780487804878057E-2</v>
      </c>
      <c r="N1535">
        <f>IFERROR($J1535/IF($A1535&lt;COUNTIFS($K$1:N$1,"&lt;&gt;"),0,SUMIFS($J:$J,$B:$B,$B1535,$A:$A,"&gt;="&amp;COUNTIFS($K$1:N$1,"&lt;&gt;"))),0)</f>
        <v>5.4687500000000014E-2</v>
      </c>
      <c r="O1535">
        <f>IFERROR($J1535/IF($A1535&lt;COUNTIFS($K$1:O$1,"&lt;&gt;"),0,SUMIFS($J:$J,$B:$B,$B1535,$A:$A,"&gt;="&amp;COUNTIFS($K$1:O$1,"&lt;&gt;"))),0)</f>
        <v>6.1403508771929842E-2</v>
      </c>
      <c r="P1535">
        <f>IFERROR($J1535/IF($A1535&lt;COUNTIFS($K$1:P$1,"&lt;&gt;"),0,SUMIFS($J:$J,$B:$B,$B1535,$A:$A,"&gt;="&amp;COUNTIFS($K$1:P$1,"&lt;&gt;"))),0)</f>
        <v>7.1065989847715755E-2</v>
      </c>
      <c r="Q1535">
        <f>IFERROR($J1535/IF($A1535&lt;COUNTIFS($K$1:Q$1,"&lt;&gt;"),0,SUMIFS($J:$J,$B:$B,$B1535,$A:$A,"&gt;="&amp;COUNTIFS($K$1:Q$1,"&lt;&gt;"))),0)</f>
        <v>8.3832335329341326E-2</v>
      </c>
      <c r="R1535">
        <f>IFERROR($J1535/IF($A1535&lt;COUNTIFS($K$1:R$1,"&lt;&gt;"),0,SUMIFS($J:$J,$B:$B,$B1535,$A:$A,"&gt;="&amp;COUNTIFS($K$1:R$1,"&lt;&gt;"))),0)</f>
        <v>0.10294117647058824</v>
      </c>
      <c r="S1535">
        <f>IFERROR($J1535/IF($A1535&lt;COUNTIFS($K$1:S$1,"&lt;&gt;"),0,SUMIFS($J:$J,$B:$B,$B1535,$A:$A,"&gt;="&amp;COUNTIFS($K$1:S$1,"&lt;&gt;"))),0)</f>
        <v>0.13207547169811323</v>
      </c>
      <c r="T1535">
        <f>IFERROR($J1535/IF($A1535&lt;COUNTIFS($K$1:T$1,"&lt;&gt;"),0,SUMIFS($J:$J,$B:$B,$B1535,$A:$A,"&gt;="&amp;COUNTIFS($K$1:T$1,"&lt;&gt;"))),0)</f>
        <v>0.18666666666666668</v>
      </c>
      <c r="U1535">
        <f>IFERROR($J1535/IF($A1535&lt;COUNTIFS($K$1:U$1,"&lt;&gt;"),0,SUMIFS($J:$J,$B:$B,$B1535,$A:$A,"&gt;="&amp;COUNTIFS($K$1:U$1,"&lt;&gt;"))),0)</f>
        <v>0.31818181818181818</v>
      </c>
      <c r="V1535">
        <f>IFERROR($J1535/IF($A1535&lt;COUNTIFS($K$1:V$1,"&lt;&gt;"),0,SUMIFS($J:$J,$B:$B,$B1535,$A:$A,"&gt;="&amp;COUNTIFS($K$1:V$1,"&lt;&gt;"))),0)</f>
        <v>1</v>
      </c>
      <c r="W1535">
        <f t="shared" si="530"/>
        <v>3.8356164383561646E-2</v>
      </c>
      <c r="X1535">
        <f t="shared" si="510"/>
        <v>3.8356164383561646E-2</v>
      </c>
      <c r="Y1535">
        <f t="shared" si="511"/>
        <v>3.8356164383561646E-2</v>
      </c>
      <c r="Z1535">
        <f t="shared" si="512"/>
        <v>3.8356164383561646E-2</v>
      </c>
      <c r="AA1535">
        <f t="shared" si="513"/>
        <v>3.8356164383561646E-2</v>
      </c>
      <c r="AB1535">
        <f t="shared" si="514"/>
        <v>3.8356164383561646E-2</v>
      </c>
      <c r="AC1535">
        <f t="shared" si="515"/>
        <v>3.8356164383561646E-2</v>
      </c>
      <c r="AD1535">
        <f t="shared" si="516"/>
        <v>3.8356164383561646E-2</v>
      </c>
      <c r="AE1535">
        <f t="shared" si="517"/>
        <v>3.8356164383561646E-2</v>
      </c>
      <c r="AF1535">
        <f t="shared" si="518"/>
        <v>3.8356164383561646E-2</v>
      </c>
      <c r="AG1535">
        <f t="shared" si="519"/>
        <v>3.8356164383561646E-2</v>
      </c>
      <c r="AH1535">
        <f t="shared" si="520"/>
        <v>3.8356164383561646E-2</v>
      </c>
      <c r="AI1535">
        <f t="shared" si="521"/>
        <v>3.8356164383561646E-2</v>
      </c>
      <c r="AJ1535" s="2" t="str">
        <f t="shared" si="531"/>
        <v>1247392</v>
      </c>
    </row>
    <row r="1536" spans="1:36" x14ac:dyDescent="0.25">
      <c r="A1536">
        <v>0</v>
      </c>
      <c r="B1536" s="1">
        <v>47423</v>
      </c>
      <c r="C1536" s="1">
        <f t="shared" si="522"/>
        <v>47423</v>
      </c>
      <c r="D1536" s="1">
        <f t="shared" si="523"/>
        <v>47437</v>
      </c>
      <c r="E1536" s="1">
        <f t="shared" si="524"/>
        <v>47437</v>
      </c>
      <c r="F1536" s="1">
        <f t="shared" si="525"/>
        <v>47453</v>
      </c>
      <c r="G1536" s="1">
        <f t="shared" si="526"/>
        <v>47802</v>
      </c>
      <c r="H1536">
        <f t="shared" si="527"/>
        <v>365</v>
      </c>
      <c r="I1536">
        <f t="shared" si="528"/>
        <v>16</v>
      </c>
      <c r="J1536">
        <f t="shared" si="529"/>
        <v>4.3835616438356165E-2</v>
      </c>
      <c r="K1536">
        <f>IFERROR($J1536/IF($A1536&lt;COUNTIFS($K$1:K$1,"&lt;&gt;"),0,SUMIFS($J:$J,$B:$B,$B1536,$A:$A,"&gt;="&amp;COUNTIFS($K$1:K$1,"&lt;&gt;"))),0)</f>
        <v>0</v>
      </c>
      <c r="L1536">
        <f>IFERROR($J1536/IF($A1536&lt;COUNTIFS($K$1:L$1,"&lt;&gt;"),0,SUMIFS($J:$J,$B:$B,$B1536,$A:$A,"&gt;="&amp;COUNTIFS($K$1:L$1,"&lt;&gt;"))),0)</f>
        <v>0</v>
      </c>
      <c r="M1536">
        <f>IFERROR($J1536/IF($A1536&lt;COUNTIFS($K$1:M$1,"&lt;&gt;"),0,SUMIFS($J:$J,$B:$B,$B1536,$A:$A,"&gt;="&amp;COUNTIFS($K$1:M$1,"&lt;&gt;"))),0)</f>
        <v>0</v>
      </c>
      <c r="N1536">
        <f>IFERROR($J1536/IF($A1536&lt;COUNTIFS($K$1:N$1,"&lt;&gt;"),0,SUMIFS($J:$J,$B:$B,$B1536,$A:$A,"&gt;="&amp;COUNTIFS($K$1:N$1,"&lt;&gt;"))),0)</f>
        <v>0</v>
      </c>
      <c r="O1536">
        <f>IFERROR($J1536/IF($A1536&lt;COUNTIFS($K$1:O$1,"&lt;&gt;"),0,SUMIFS($J:$J,$B:$B,$B1536,$A:$A,"&gt;="&amp;COUNTIFS($K$1:O$1,"&lt;&gt;"))),0)</f>
        <v>0</v>
      </c>
      <c r="P1536">
        <f>IFERROR($J1536/IF($A1536&lt;COUNTIFS($K$1:P$1,"&lt;&gt;"),0,SUMIFS($J:$J,$B:$B,$B1536,$A:$A,"&gt;="&amp;COUNTIFS($K$1:P$1,"&lt;&gt;"))),0)</f>
        <v>0</v>
      </c>
      <c r="Q1536">
        <f>IFERROR($J1536/IF($A1536&lt;COUNTIFS($K$1:Q$1,"&lt;&gt;"),0,SUMIFS($J:$J,$B:$B,$B1536,$A:$A,"&gt;="&amp;COUNTIFS($K$1:Q$1,"&lt;&gt;"))),0)</f>
        <v>0</v>
      </c>
      <c r="R1536">
        <f>IFERROR($J1536/IF($A1536&lt;COUNTIFS($K$1:R$1,"&lt;&gt;"),0,SUMIFS($J:$J,$B:$B,$B1536,$A:$A,"&gt;="&amp;COUNTIFS($K$1:R$1,"&lt;&gt;"))),0)</f>
        <v>0</v>
      </c>
      <c r="S1536">
        <f>IFERROR($J1536/IF($A1536&lt;COUNTIFS($K$1:S$1,"&lt;&gt;"),0,SUMIFS($J:$J,$B:$B,$B1536,$A:$A,"&gt;="&amp;COUNTIFS($K$1:S$1,"&lt;&gt;"))),0)</f>
        <v>0</v>
      </c>
      <c r="T1536">
        <f>IFERROR($J1536/IF($A1536&lt;COUNTIFS($K$1:T$1,"&lt;&gt;"),0,SUMIFS($J:$J,$B:$B,$B1536,$A:$A,"&gt;="&amp;COUNTIFS($K$1:T$1,"&lt;&gt;"))),0)</f>
        <v>0</v>
      </c>
      <c r="U1536">
        <f>IFERROR($J1536/IF($A1536&lt;COUNTIFS($K$1:U$1,"&lt;&gt;"),0,SUMIFS($J:$J,$B:$B,$B1536,$A:$A,"&gt;="&amp;COUNTIFS($K$1:U$1,"&lt;&gt;"))),0)</f>
        <v>0</v>
      </c>
      <c r="V1536">
        <f>IFERROR($J1536/IF($A1536&lt;COUNTIFS($K$1:V$1,"&lt;&gt;"),0,SUMIFS($J:$J,$B:$B,$B1536,$A:$A,"&gt;="&amp;COUNTIFS($K$1:V$1,"&lt;&gt;"))),0)</f>
        <v>0</v>
      </c>
      <c r="W1536">
        <f t="shared" si="530"/>
        <v>4.3835616438356165E-2</v>
      </c>
      <c r="X1536">
        <f t="shared" si="510"/>
        <v>0</v>
      </c>
      <c r="Y1536">
        <f t="shared" si="511"/>
        <v>0</v>
      </c>
      <c r="Z1536">
        <f t="shared" si="512"/>
        <v>0</v>
      </c>
      <c r="AA1536">
        <f t="shared" si="513"/>
        <v>0</v>
      </c>
      <c r="AB1536">
        <f t="shared" si="514"/>
        <v>0</v>
      </c>
      <c r="AC1536">
        <f t="shared" si="515"/>
        <v>0</v>
      </c>
      <c r="AD1536">
        <f t="shared" si="516"/>
        <v>0</v>
      </c>
      <c r="AE1536">
        <f t="shared" si="517"/>
        <v>0</v>
      </c>
      <c r="AF1536">
        <f t="shared" si="518"/>
        <v>0</v>
      </c>
      <c r="AG1536">
        <f t="shared" si="519"/>
        <v>0</v>
      </c>
      <c r="AH1536">
        <f t="shared" si="520"/>
        <v>0</v>
      </c>
      <c r="AI1536">
        <f t="shared" si="521"/>
        <v>0</v>
      </c>
      <c r="AJ1536" s="2" t="str">
        <f t="shared" si="531"/>
        <v>047423</v>
      </c>
    </row>
    <row r="1537" spans="1:36" x14ac:dyDescent="0.25">
      <c r="A1537">
        <v>1</v>
      </c>
      <c r="B1537" s="1">
        <v>47423</v>
      </c>
      <c r="C1537" s="1">
        <f t="shared" si="522"/>
        <v>47453</v>
      </c>
      <c r="D1537" s="1">
        <f t="shared" si="523"/>
        <v>47437</v>
      </c>
      <c r="E1537" s="1">
        <f t="shared" si="524"/>
        <v>47453</v>
      </c>
      <c r="F1537" s="1">
        <f t="shared" si="525"/>
        <v>47484</v>
      </c>
      <c r="G1537" s="1">
        <f t="shared" si="526"/>
        <v>47802</v>
      </c>
      <c r="H1537">
        <f t="shared" si="527"/>
        <v>365</v>
      </c>
      <c r="I1537">
        <f t="shared" si="528"/>
        <v>31</v>
      </c>
      <c r="J1537">
        <f t="shared" si="529"/>
        <v>8.4931506849315067E-2</v>
      </c>
      <c r="K1537">
        <f>IFERROR($J1537/IF($A1537&lt;COUNTIFS($K$1:K$1,"&lt;&gt;"),0,SUMIFS($J:$J,$B:$B,$B1537,$A:$A,"&gt;="&amp;COUNTIFS($K$1:K$1,"&lt;&gt;"))),0)</f>
        <v>8.8825214899713484E-2</v>
      </c>
      <c r="L1537">
        <f>IFERROR($J1537/IF($A1537&lt;COUNTIFS($K$1:L$1,"&lt;&gt;"),0,SUMIFS($J:$J,$B:$B,$B1537,$A:$A,"&gt;="&amp;COUNTIFS($K$1:L$1,"&lt;&gt;"))),0)</f>
        <v>0</v>
      </c>
      <c r="M1537">
        <f>IFERROR($J1537/IF($A1537&lt;COUNTIFS($K$1:M$1,"&lt;&gt;"),0,SUMIFS($J:$J,$B:$B,$B1537,$A:$A,"&gt;="&amp;COUNTIFS($K$1:M$1,"&lt;&gt;"))),0)</f>
        <v>0</v>
      </c>
      <c r="N1537">
        <f>IFERROR($J1537/IF($A1537&lt;COUNTIFS($K$1:N$1,"&lt;&gt;"),0,SUMIFS($J:$J,$B:$B,$B1537,$A:$A,"&gt;="&amp;COUNTIFS($K$1:N$1,"&lt;&gt;"))),0)</f>
        <v>0</v>
      </c>
      <c r="O1537">
        <f>IFERROR($J1537/IF($A1537&lt;COUNTIFS($K$1:O$1,"&lt;&gt;"),0,SUMIFS($J:$J,$B:$B,$B1537,$A:$A,"&gt;="&amp;COUNTIFS($K$1:O$1,"&lt;&gt;"))),0)</f>
        <v>0</v>
      </c>
      <c r="P1537">
        <f>IFERROR($J1537/IF($A1537&lt;COUNTIFS($K$1:P$1,"&lt;&gt;"),0,SUMIFS($J:$J,$B:$B,$B1537,$A:$A,"&gt;="&amp;COUNTIFS($K$1:P$1,"&lt;&gt;"))),0)</f>
        <v>0</v>
      </c>
      <c r="Q1537">
        <f>IFERROR($J1537/IF($A1537&lt;COUNTIFS($K$1:Q$1,"&lt;&gt;"),0,SUMIFS($J:$J,$B:$B,$B1537,$A:$A,"&gt;="&amp;COUNTIFS($K$1:Q$1,"&lt;&gt;"))),0)</f>
        <v>0</v>
      </c>
      <c r="R1537">
        <f>IFERROR($J1537/IF($A1537&lt;COUNTIFS($K$1:R$1,"&lt;&gt;"),0,SUMIFS($J:$J,$B:$B,$B1537,$A:$A,"&gt;="&amp;COUNTIFS($K$1:R$1,"&lt;&gt;"))),0)</f>
        <v>0</v>
      </c>
      <c r="S1537">
        <f>IFERROR($J1537/IF($A1537&lt;COUNTIFS($K$1:S$1,"&lt;&gt;"),0,SUMIFS($J:$J,$B:$B,$B1537,$A:$A,"&gt;="&amp;COUNTIFS($K$1:S$1,"&lt;&gt;"))),0)</f>
        <v>0</v>
      </c>
      <c r="T1537">
        <f>IFERROR($J1537/IF($A1537&lt;COUNTIFS($K$1:T$1,"&lt;&gt;"),0,SUMIFS($J:$J,$B:$B,$B1537,$A:$A,"&gt;="&amp;COUNTIFS($K$1:T$1,"&lt;&gt;"))),0)</f>
        <v>0</v>
      </c>
      <c r="U1537">
        <f>IFERROR($J1537/IF($A1537&lt;COUNTIFS($K$1:U$1,"&lt;&gt;"),0,SUMIFS($J:$J,$B:$B,$B1537,$A:$A,"&gt;="&amp;COUNTIFS($K$1:U$1,"&lt;&gt;"))),0)</f>
        <v>0</v>
      </c>
      <c r="V1537">
        <f>IFERROR($J1537/IF($A1537&lt;COUNTIFS($K$1:V$1,"&lt;&gt;"),0,SUMIFS($J:$J,$B:$B,$B1537,$A:$A,"&gt;="&amp;COUNTIFS($K$1:V$1,"&lt;&gt;"))),0)</f>
        <v>0</v>
      </c>
      <c r="W1537">
        <f t="shared" si="530"/>
        <v>8.4931506849315067E-2</v>
      </c>
      <c r="X1537">
        <f t="shared" si="510"/>
        <v>8.4931506849315067E-2</v>
      </c>
      <c r="Y1537">
        <f t="shared" si="511"/>
        <v>0</v>
      </c>
      <c r="Z1537">
        <f t="shared" si="512"/>
        <v>0</v>
      </c>
      <c r="AA1537">
        <f t="shared" si="513"/>
        <v>0</v>
      </c>
      <c r="AB1537">
        <f t="shared" si="514"/>
        <v>0</v>
      </c>
      <c r="AC1537">
        <f t="shared" si="515"/>
        <v>0</v>
      </c>
      <c r="AD1537">
        <f t="shared" si="516"/>
        <v>0</v>
      </c>
      <c r="AE1537">
        <f t="shared" si="517"/>
        <v>0</v>
      </c>
      <c r="AF1537">
        <f t="shared" si="518"/>
        <v>0</v>
      </c>
      <c r="AG1537">
        <f t="shared" si="519"/>
        <v>0</v>
      </c>
      <c r="AH1537">
        <f t="shared" si="520"/>
        <v>0</v>
      </c>
      <c r="AI1537">
        <f t="shared" si="521"/>
        <v>0</v>
      </c>
      <c r="AJ1537" s="2" t="str">
        <f t="shared" si="531"/>
        <v>147423</v>
      </c>
    </row>
    <row r="1538" spans="1:36" x14ac:dyDescent="0.25">
      <c r="A1538">
        <v>2</v>
      </c>
      <c r="B1538" s="1">
        <v>47423</v>
      </c>
      <c r="C1538" s="1">
        <f t="shared" si="522"/>
        <v>47484</v>
      </c>
      <c r="D1538" s="1">
        <f t="shared" si="523"/>
        <v>47437</v>
      </c>
      <c r="E1538" s="1">
        <f t="shared" si="524"/>
        <v>47484</v>
      </c>
      <c r="F1538" s="1">
        <f t="shared" si="525"/>
        <v>47515</v>
      </c>
      <c r="G1538" s="1">
        <f t="shared" si="526"/>
        <v>47802</v>
      </c>
      <c r="H1538">
        <f t="shared" si="527"/>
        <v>365</v>
      </c>
      <c r="I1538">
        <f t="shared" si="528"/>
        <v>31</v>
      </c>
      <c r="J1538">
        <f t="shared" si="529"/>
        <v>8.4931506849315067E-2</v>
      </c>
      <c r="K1538">
        <f>IFERROR($J1538/IF($A1538&lt;COUNTIFS($K$1:K$1,"&lt;&gt;"),0,SUMIFS($J:$J,$B:$B,$B1538,$A:$A,"&gt;="&amp;COUNTIFS($K$1:K$1,"&lt;&gt;"))),0)</f>
        <v>8.8825214899713484E-2</v>
      </c>
      <c r="L1538">
        <f>IFERROR($J1538/IF($A1538&lt;COUNTIFS($K$1:L$1,"&lt;&gt;"),0,SUMIFS($J:$J,$B:$B,$B1538,$A:$A,"&gt;="&amp;COUNTIFS($K$1:L$1,"&lt;&gt;"))),0)</f>
        <v>9.7484276729559768E-2</v>
      </c>
      <c r="M1538">
        <f>IFERROR($J1538/IF($A1538&lt;COUNTIFS($K$1:M$1,"&lt;&gt;"),0,SUMIFS($J:$J,$B:$B,$B1538,$A:$A,"&gt;="&amp;COUNTIFS($K$1:M$1,"&lt;&gt;"))),0)</f>
        <v>0</v>
      </c>
      <c r="N1538">
        <f>IFERROR($J1538/IF($A1538&lt;COUNTIFS($K$1:N$1,"&lt;&gt;"),0,SUMIFS($J:$J,$B:$B,$B1538,$A:$A,"&gt;="&amp;COUNTIFS($K$1:N$1,"&lt;&gt;"))),0)</f>
        <v>0</v>
      </c>
      <c r="O1538">
        <f>IFERROR($J1538/IF($A1538&lt;COUNTIFS($K$1:O$1,"&lt;&gt;"),0,SUMIFS($J:$J,$B:$B,$B1538,$A:$A,"&gt;="&amp;COUNTIFS($K$1:O$1,"&lt;&gt;"))),0)</f>
        <v>0</v>
      </c>
      <c r="P1538">
        <f>IFERROR($J1538/IF($A1538&lt;COUNTIFS($K$1:P$1,"&lt;&gt;"),0,SUMIFS($J:$J,$B:$B,$B1538,$A:$A,"&gt;="&amp;COUNTIFS($K$1:P$1,"&lt;&gt;"))),0)</f>
        <v>0</v>
      </c>
      <c r="Q1538">
        <f>IFERROR($J1538/IF($A1538&lt;COUNTIFS($K$1:Q$1,"&lt;&gt;"),0,SUMIFS($J:$J,$B:$B,$B1538,$A:$A,"&gt;="&amp;COUNTIFS($K$1:Q$1,"&lt;&gt;"))),0)</f>
        <v>0</v>
      </c>
      <c r="R1538">
        <f>IFERROR($J1538/IF($A1538&lt;COUNTIFS($K$1:R$1,"&lt;&gt;"),0,SUMIFS($J:$J,$B:$B,$B1538,$A:$A,"&gt;="&amp;COUNTIFS($K$1:R$1,"&lt;&gt;"))),0)</f>
        <v>0</v>
      </c>
      <c r="S1538">
        <f>IFERROR($J1538/IF($A1538&lt;COUNTIFS($K$1:S$1,"&lt;&gt;"),0,SUMIFS($J:$J,$B:$B,$B1538,$A:$A,"&gt;="&amp;COUNTIFS($K$1:S$1,"&lt;&gt;"))),0)</f>
        <v>0</v>
      </c>
      <c r="T1538">
        <f>IFERROR($J1538/IF($A1538&lt;COUNTIFS($K$1:T$1,"&lt;&gt;"),0,SUMIFS($J:$J,$B:$B,$B1538,$A:$A,"&gt;="&amp;COUNTIFS($K$1:T$1,"&lt;&gt;"))),0)</f>
        <v>0</v>
      </c>
      <c r="U1538">
        <f>IFERROR($J1538/IF($A1538&lt;COUNTIFS($K$1:U$1,"&lt;&gt;"),0,SUMIFS($J:$J,$B:$B,$B1538,$A:$A,"&gt;="&amp;COUNTIFS($K$1:U$1,"&lt;&gt;"))),0)</f>
        <v>0</v>
      </c>
      <c r="V1538">
        <f>IFERROR($J1538/IF($A1538&lt;COUNTIFS($K$1:V$1,"&lt;&gt;"),0,SUMIFS($J:$J,$B:$B,$B1538,$A:$A,"&gt;="&amp;COUNTIFS($K$1:V$1,"&lt;&gt;"))),0)</f>
        <v>0</v>
      </c>
      <c r="W1538">
        <f t="shared" si="530"/>
        <v>8.4931506849315067E-2</v>
      </c>
      <c r="X1538">
        <f t="shared" ref="X1538:X1601" si="532">IF(K1538=0,0,$J1538)</f>
        <v>8.4931506849315067E-2</v>
      </c>
      <c r="Y1538">
        <f t="shared" ref="Y1538:Y1601" si="533">IF(L1538=0,0,$J1538)</f>
        <v>8.4931506849315067E-2</v>
      </c>
      <c r="Z1538">
        <f t="shared" ref="Z1538:Z1601" si="534">IF(M1538=0,0,$J1538)</f>
        <v>0</v>
      </c>
      <c r="AA1538">
        <f t="shared" ref="AA1538:AA1601" si="535">IF(N1538=0,0,$J1538)</f>
        <v>0</v>
      </c>
      <c r="AB1538">
        <f t="shared" ref="AB1538:AB1601" si="536">IF(O1538=0,0,$J1538)</f>
        <v>0</v>
      </c>
      <c r="AC1538">
        <f t="shared" ref="AC1538:AC1601" si="537">IF(P1538=0,0,$J1538)</f>
        <v>0</v>
      </c>
      <c r="AD1538">
        <f t="shared" ref="AD1538:AD1601" si="538">IF(Q1538=0,0,$J1538)</f>
        <v>0</v>
      </c>
      <c r="AE1538">
        <f t="shared" ref="AE1538:AE1601" si="539">IF(R1538=0,0,$J1538)</f>
        <v>0</v>
      </c>
      <c r="AF1538">
        <f t="shared" ref="AF1538:AF1601" si="540">IF(S1538=0,0,$J1538)</f>
        <v>0</v>
      </c>
      <c r="AG1538">
        <f t="shared" ref="AG1538:AG1601" si="541">IF(T1538=0,0,$J1538)</f>
        <v>0</v>
      </c>
      <c r="AH1538">
        <f t="shared" ref="AH1538:AH1601" si="542">IF(U1538=0,0,$J1538)</f>
        <v>0</v>
      </c>
      <c r="AI1538">
        <f t="shared" ref="AI1538:AI1601" si="543">IF(V1538=0,0,$J1538)</f>
        <v>0</v>
      </c>
      <c r="AJ1538" s="2" t="str">
        <f t="shared" si="531"/>
        <v>247423</v>
      </c>
    </row>
    <row r="1539" spans="1:36" x14ac:dyDescent="0.25">
      <c r="A1539">
        <v>3</v>
      </c>
      <c r="B1539" s="1">
        <v>47423</v>
      </c>
      <c r="C1539" s="1">
        <f t="shared" ref="C1539:C1602" si="544">EDATE(B1539,A1539)</f>
        <v>47515</v>
      </c>
      <c r="D1539" s="1">
        <f t="shared" ref="D1539:D1602" si="545">B1539+14</f>
        <v>47437</v>
      </c>
      <c r="E1539" s="1">
        <f t="shared" ref="E1539:E1602" si="546">IF($A1539=0,C1539+14,C1539)</f>
        <v>47515</v>
      </c>
      <c r="F1539" s="1">
        <f t="shared" ref="F1539:F1602" si="547">IF(EDATE(C1539,1)&gt;G1539,G1539,EDATE(C1539,1))</f>
        <v>47543</v>
      </c>
      <c r="G1539" s="1">
        <f t="shared" ref="G1539:G1602" si="548">EDATE(D1539,12)</f>
        <v>47802</v>
      </c>
      <c r="H1539">
        <f t="shared" ref="H1539:H1602" si="549">G1539-D1539</f>
        <v>365</v>
      </c>
      <c r="I1539">
        <f t="shared" ref="I1539:I1602" si="550">F1539-E1539</f>
        <v>28</v>
      </c>
      <c r="J1539">
        <f t="shared" ref="J1539:J1602" si="551">I1539/H1539</f>
        <v>7.6712328767123292E-2</v>
      </c>
      <c r="K1539">
        <f>IFERROR($J1539/IF($A1539&lt;COUNTIFS($K$1:K$1,"&lt;&gt;"),0,SUMIFS($J:$J,$B:$B,$B1539,$A:$A,"&gt;="&amp;COUNTIFS($K$1:K$1,"&lt;&gt;"))),0)</f>
        <v>8.0229226361031539E-2</v>
      </c>
      <c r="L1539">
        <f>IFERROR($J1539/IF($A1539&lt;COUNTIFS($K$1:L$1,"&lt;&gt;"),0,SUMIFS($J:$J,$B:$B,$B1539,$A:$A,"&gt;="&amp;COUNTIFS($K$1:L$1,"&lt;&gt;"))),0)</f>
        <v>8.8050314465408827E-2</v>
      </c>
      <c r="M1539">
        <f>IFERROR($J1539/IF($A1539&lt;COUNTIFS($K$1:M$1,"&lt;&gt;"),0,SUMIFS($J:$J,$B:$B,$B1539,$A:$A,"&gt;="&amp;COUNTIFS($K$1:M$1,"&lt;&gt;"))),0)</f>
        <v>9.7560975609756115E-2</v>
      </c>
      <c r="N1539">
        <f>IFERROR($J1539/IF($A1539&lt;COUNTIFS($K$1:N$1,"&lt;&gt;"),0,SUMIFS($J:$J,$B:$B,$B1539,$A:$A,"&gt;="&amp;COUNTIFS($K$1:N$1,"&lt;&gt;"))),0)</f>
        <v>0</v>
      </c>
      <c r="O1539">
        <f>IFERROR($J1539/IF($A1539&lt;COUNTIFS($K$1:O$1,"&lt;&gt;"),0,SUMIFS($J:$J,$B:$B,$B1539,$A:$A,"&gt;="&amp;COUNTIFS($K$1:O$1,"&lt;&gt;"))),0)</f>
        <v>0</v>
      </c>
      <c r="P1539">
        <f>IFERROR($J1539/IF($A1539&lt;COUNTIFS($K$1:P$1,"&lt;&gt;"),0,SUMIFS($J:$J,$B:$B,$B1539,$A:$A,"&gt;="&amp;COUNTIFS($K$1:P$1,"&lt;&gt;"))),0)</f>
        <v>0</v>
      </c>
      <c r="Q1539">
        <f>IFERROR($J1539/IF($A1539&lt;COUNTIFS($K$1:Q$1,"&lt;&gt;"),0,SUMIFS($J:$J,$B:$B,$B1539,$A:$A,"&gt;="&amp;COUNTIFS($K$1:Q$1,"&lt;&gt;"))),0)</f>
        <v>0</v>
      </c>
      <c r="R1539">
        <f>IFERROR($J1539/IF($A1539&lt;COUNTIFS($K$1:R$1,"&lt;&gt;"),0,SUMIFS($J:$J,$B:$B,$B1539,$A:$A,"&gt;="&amp;COUNTIFS($K$1:R$1,"&lt;&gt;"))),0)</f>
        <v>0</v>
      </c>
      <c r="S1539">
        <f>IFERROR($J1539/IF($A1539&lt;COUNTIFS($K$1:S$1,"&lt;&gt;"),0,SUMIFS($J:$J,$B:$B,$B1539,$A:$A,"&gt;="&amp;COUNTIFS($K$1:S$1,"&lt;&gt;"))),0)</f>
        <v>0</v>
      </c>
      <c r="T1539">
        <f>IFERROR($J1539/IF($A1539&lt;COUNTIFS($K$1:T$1,"&lt;&gt;"),0,SUMIFS($J:$J,$B:$B,$B1539,$A:$A,"&gt;="&amp;COUNTIFS($K$1:T$1,"&lt;&gt;"))),0)</f>
        <v>0</v>
      </c>
      <c r="U1539">
        <f>IFERROR($J1539/IF($A1539&lt;COUNTIFS($K$1:U$1,"&lt;&gt;"),0,SUMIFS($J:$J,$B:$B,$B1539,$A:$A,"&gt;="&amp;COUNTIFS($K$1:U$1,"&lt;&gt;"))),0)</f>
        <v>0</v>
      </c>
      <c r="V1539">
        <f>IFERROR($J1539/IF($A1539&lt;COUNTIFS($K$1:V$1,"&lt;&gt;"),0,SUMIFS($J:$J,$B:$B,$B1539,$A:$A,"&gt;="&amp;COUNTIFS($K$1:V$1,"&lt;&gt;"))),0)</f>
        <v>0</v>
      </c>
      <c r="W1539">
        <f t="shared" ref="W1539:W1602" si="552">IF(J1539=0,0,$J1539)</f>
        <v>7.6712328767123292E-2</v>
      </c>
      <c r="X1539">
        <f t="shared" si="532"/>
        <v>7.6712328767123292E-2</v>
      </c>
      <c r="Y1539">
        <f t="shared" si="533"/>
        <v>7.6712328767123292E-2</v>
      </c>
      <c r="Z1539">
        <f t="shared" si="534"/>
        <v>7.6712328767123292E-2</v>
      </c>
      <c r="AA1539">
        <f t="shared" si="535"/>
        <v>0</v>
      </c>
      <c r="AB1539">
        <f t="shared" si="536"/>
        <v>0</v>
      </c>
      <c r="AC1539">
        <f t="shared" si="537"/>
        <v>0</v>
      </c>
      <c r="AD1539">
        <f t="shared" si="538"/>
        <v>0</v>
      </c>
      <c r="AE1539">
        <f t="shared" si="539"/>
        <v>0</v>
      </c>
      <c r="AF1539">
        <f t="shared" si="540"/>
        <v>0</v>
      </c>
      <c r="AG1539">
        <f t="shared" si="541"/>
        <v>0</v>
      </c>
      <c r="AH1539">
        <f t="shared" si="542"/>
        <v>0</v>
      </c>
      <c r="AI1539">
        <f t="shared" si="543"/>
        <v>0</v>
      </c>
      <c r="AJ1539" s="2" t="str">
        <f t="shared" ref="AJ1539:AJ1602" si="553">A1539&amp;B1539</f>
        <v>347423</v>
      </c>
    </row>
    <row r="1540" spans="1:36" x14ac:dyDescent="0.25">
      <c r="A1540">
        <v>4</v>
      </c>
      <c r="B1540" s="1">
        <v>47423</v>
      </c>
      <c r="C1540" s="1">
        <f t="shared" si="544"/>
        <v>47543</v>
      </c>
      <c r="D1540" s="1">
        <f t="shared" si="545"/>
        <v>47437</v>
      </c>
      <c r="E1540" s="1">
        <f t="shared" si="546"/>
        <v>47543</v>
      </c>
      <c r="F1540" s="1">
        <f t="shared" si="547"/>
        <v>47574</v>
      </c>
      <c r="G1540" s="1">
        <f t="shared" si="548"/>
        <v>47802</v>
      </c>
      <c r="H1540">
        <f t="shared" si="549"/>
        <v>365</v>
      </c>
      <c r="I1540">
        <f t="shared" si="550"/>
        <v>31</v>
      </c>
      <c r="J1540">
        <f t="shared" si="551"/>
        <v>8.4931506849315067E-2</v>
      </c>
      <c r="K1540">
        <f>IFERROR($J1540/IF($A1540&lt;COUNTIFS($K$1:K$1,"&lt;&gt;"),0,SUMIFS($J:$J,$B:$B,$B1540,$A:$A,"&gt;="&amp;COUNTIFS($K$1:K$1,"&lt;&gt;"))),0)</f>
        <v>8.8825214899713484E-2</v>
      </c>
      <c r="L1540">
        <f>IFERROR($J1540/IF($A1540&lt;COUNTIFS($K$1:L$1,"&lt;&gt;"),0,SUMIFS($J:$J,$B:$B,$B1540,$A:$A,"&gt;="&amp;COUNTIFS($K$1:L$1,"&lt;&gt;"))),0)</f>
        <v>9.7484276729559768E-2</v>
      </c>
      <c r="M1540">
        <f>IFERROR($J1540/IF($A1540&lt;COUNTIFS($K$1:M$1,"&lt;&gt;"),0,SUMIFS($J:$J,$B:$B,$B1540,$A:$A,"&gt;="&amp;COUNTIFS($K$1:M$1,"&lt;&gt;"))),0)</f>
        <v>0.10801393728222998</v>
      </c>
      <c r="N1540">
        <f>IFERROR($J1540/IF($A1540&lt;COUNTIFS($K$1:N$1,"&lt;&gt;"),0,SUMIFS($J:$J,$B:$B,$B1540,$A:$A,"&gt;="&amp;COUNTIFS($K$1:N$1,"&lt;&gt;"))),0)</f>
        <v>0.11969111969111972</v>
      </c>
      <c r="O1540">
        <f>IFERROR($J1540/IF($A1540&lt;COUNTIFS($K$1:O$1,"&lt;&gt;"),0,SUMIFS($J:$J,$B:$B,$B1540,$A:$A,"&gt;="&amp;COUNTIFS($K$1:O$1,"&lt;&gt;"))),0)</f>
        <v>0</v>
      </c>
      <c r="P1540">
        <f>IFERROR($J1540/IF($A1540&lt;COUNTIFS($K$1:P$1,"&lt;&gt;"),0,SUMIFS($J:$J,$B:$B,$B1540,$A:$A,"&gt;="&amp;COUNTIFS($K$1:P$1,"&lt;&gt;"))),0)</f>
        <v>0</v>
      </c>
      <c r="Q1540">
        <f>IFERROR($J1540/IF($A1540&lt;COUNTIFS($K$1:Q$1,"&lt;&gt;"),0,SUMIFS($J:$J,$B:$B,$B1540,$A:$A,"&gt;="&amp;COUNTIFS($K$1:Q$1,"&lt;&gt;"))),0)</f>
        <v>0</v>
      </c>
      <c r="R1540">
        <f>IFERROR($J1540/IF($A1540&lt;COUNTIFS($K$1:R$1,"&lt;&gt;"),0,SUMIFS($J:$J,$B:$B,$B1540,$A:$A,"&gt;="&amp;COUNTIFS($K$1:R$1,"&lt;&gt;"))),0)</f>
        <v>0</v>
      </c>
      <c r="S1540">
        <f>IFERROR($J1540/IF($A1540&lt;COUNTIFS($K$1:S$1,"&lt;&gt;"),0,SUMIFS($J:$J,$B:$B,$B1540,$A:$A,"&gt;="&amp;COUNTIFS($K$1:S$1,"&lt;&gt;"))),0)</f>
        <v>0</v>
      </c>
      <c r="T1540">
        <f>IFERROR($J1540/IF($A1540&lt;COUNTIFS($K$1:T$1,"&lt;&gt;"),0,SUMIFS($J:$J,$B:$B,$B1540,$A:$A,"&gt;="&amp;COUNTIFS($K$1:T$1,"&lt;&gt;"))),0)</f>
        <v>0</v>
      </c>
      <c r="U1540">
        <f>IFERROR($J1540/IF($A1540&lt;COUNTIFS($K$1:U$1,"&lt;&gt;"),0,SUMIFS($J:$J,$B:$B,$B1540,$A:$A,"&gt;="&amp;COUNTIFS($K$1:U$1,"&lt;&gt;"))),0)</f>
        <v>0</v>
      </c>
      <c r="V1540">
        <f>IFERROR($J1540/IF($A1540&lt;COUNTIFS($K$1:V$1,"&lt;&gt;"),0,SUMIFS($J:$J,$B:$B,$B1540,$A:$A,"&gt;="&amp;COUNTIFS($K$1:V$1,"&lt;&gt;"))),0)</f>
        <v>0</v>
      </c>
      <c r="W1540">
        <f t="shared" si="552"/>
        <v>8.4931506849315067E-2</v>
      </c>
      <c r="X1540">
        <f t="shared" si="532"/>
        <v>8.4931506849315067E-2</v>
      </c>
      <c r="Y1540">
        <f t="shared" si="533"/>
        <v>8.4931506849315067E-2</v>
      </c>
      <c r="Z1540">
        <f t="shared" si="534"/>
        <v>8.4931506849315067E-2</v>
      </c>
      <c r="AA1540">
        <f t="shared" si="535"/>
        <v>8.4931506849315067E-2</v>
      </c>
      <c r="AB1540">
        <f t="shared" si="536"/>
        <v>0</v>
      </c>
      <c r="AC1540">
        <f t="shared" si="537"/>
        <v>0</v>
      </c>
      <c r="AD1540">
        <f t="shared" si="538"/>
        <v>0</v>
      </c>
      <c r="AE1540">
        <f t="shared" si="539"/>
        <v>0</v>
      </c>
      <c r="AF1540">
        <f t="shared" si="540"/>
        <v>0</v>
      </c>
      <c r="AG1540">
        <f t="shared" si="541"/>
        <v>0</v>
      </c>
      <c r="AH1540">
        <f t="shared" si="542"/>
        <v>0</v>
      </c>
      <c r="AI1540">
        <f t="shared" si="543"/>
        <v>0</v>
      </c>
      <c r="AJ1540" s="2" t="str">
        <f t="shared" si="553"/>
        <v>447423</v>
      </c>
    </row>
    <row r="1541" spans="1:36" x14ac:dyDescent="0.25">
      <c r="A1541">
        <v>5</v>
      </c>
      <c r="B1541" s="1">
        <v>47423</v>
      </c>
      <c r="C1541" s="1">
        <f t="shared" si="544"/>
        <v>47574</v>
      </c>
      <c r="D1541" s="1">
        <f t="shared" si="545"/>
        <v>47437</v>
      </c>
      <c r="E1541" s="1">
        <f t="shared" si="546"/>
        <v>47574</v>
      </c>
      <c r="F1541" s="1">
        <f t="shared" si="547"/>
        <v>47604</v>
      </c>
      <c r="G1541" s="1">
        <f t="shared" si="548"/>
        <v>47802</v>
      </c>
      <c r="H1541">
        <f t="shared" si="549"/>
        <v>365</v>
      </c>
      <c r="I1541">
        <f t="shared" si="550"/>
        <v>30</v>
      </c>
      <c r="J1541">
        <f t="shared" si="551"/>
        <v>8.2191780821917804E-2</v>
      </c>
      <c r="K1541">
        <f>IFERROR($J1541/IF($A1541&lt;COUNTIFS($K$1:K$1,"&lt;&gt;"),0,SUMIFS($J:$J,$B:$B,$B1541,$A:$A,"&gt;="&amp;COUNTIFS($K$1:K$1,"&lt;&gt;"))),0)</f>
        <v>8.5959885386819493E-2</v>
      </c>
      <c r="L1541">
        <f>IFERROR($J1541/IF($A1541&lt;COUNTIFS($K$1:L$1,"&lt;&gt;"),0,SUMIFS($J:$J,$B:$B,$B1541,$A:$A,"&gt;="&amp;COUNTIFS($K$1:L$1,"&lt;&gt;"))),0)</f>
        <v>9.4339622641509441E-2</v>
      </c>
      <c r="M1541">
        <f>IFERROR($J1541/IF($A1541&lt;COUNTIFS($K$1:M$1,"&lt;&gt;"),0,SUMIFS($J:$J,$B:$B,$B1541,$A:$A,"&gt;="&amp;COUNTIFS($K$1:M$1,"&lt;&gt;"))),0)</f>
        <v>0.10452961672473869</v>
      </c>
      <c r="N1541">
        <f>IFERROR($J1541/IF($A1541&lt;COUNTIFS($K$1:N$1,"&lt;&gt;"),0,SUMIFS($J:$J,$B:$B,$B1541,$A:$A,"&gt;="&amp;COUNTIFS($K$1:N$1,"&lt;&gt;"))),0)</f>
        <v>0.11583011583011585</v>
      </c>
      <c r="O1541">
        <f>IFERROR($J1541/IF($A1541&lt;COUNTIFS($K$1:O$1,"&lt;&gt;"),0,SUMIFS($J:$J,$B:$B,$B1541,$A:$A,"&gt;="&amp;COUNTIFS($K$1:O$1,"&lt;&gt;"))),0)</f>
        <v>0.13157894736842107</v>
      </c>
      <c r="P1541">
        <f>IFERROR($J1541/IF($A1541&lt;COUNTIFS($K$1:P$1,"&lt;&gt;"),0,SUMIFS($J:$J,$B:$B,$B1541,$A:$A,"&gt;="&amp;COUNTIFS($K$1:P$1,"&lt;&gt;"))),0)</f>
        <v>0</v>
      </c>
      <c r="Q1541">
        <f>IFERROR($J1541/IF($A1541&lt;COUNTIFS($K$1:Q$1,"&lt;&gt;"),0,SUMIFS($J:$J,$B:$B,$B1541,$A:$A,"&gt;="&amp;COUNTIFS($K$1:Q$1,"&lt;&gt;"))),0)</f>
        <v>0</v>
      </c>
      <c r="R1541">
        <f>IFERROR($J1541/IF($A1541&lt;COUNTIFS($K$1:R$1,"&lt;&gt;"),0,SUMIFS($J:$J,$B:$B,$B1541,$A:$A,"&gt;="&amp;COUNTIFS($K$1:R$1,"&lt;&gt;"))),0)</f>
        <v>0</v>
      </c>
      <c r="S1541">
        <f>IFERROR($J1541/IF($A1541&lt;COUNTIFS($K$1:S$1,"&lt;&gt;"),0,SUMIFS($J:$J,$B:$B,$B1541,$A:$A,"&gt;="&amp;COUNTIFS($K$1:S$1,"&lt;&gt;"))),0)</f>
        <v>0</v>
      </c>
      <c r="T1541">
        <f>IFERROR($J1541/IF($A1541&lt;COUNTIFS($K$1:T$1,"&lt;&gt;"),0,SUMIFS($J:$J,$B:$B,$B1541,$A:$A,"&gt;="&amp;COUNTIFS($K$1:T$1,"&lt;&gt;"))),0)</f>
        <v>0</v>
      </c>
      <c r="U1541">
        <f>IFERROR($J1541/IF($A1541&lt;COUNTIFS($K$1:U$1,"&lt;&gt;"),0,SUMIFS($J:$J,$B:$B,$B1541,$A:$A,"&gt;="&amp;COUNTIFS($K$1:U$1,"&lt;&gt;"))),0)</f>
        <v>0</v>
      </c>
      <c r="V1541">
        <f>IFERROR($J1541/IF($A1541&lt;COUNTIFS($K$1:V$1,"&lt;&gt;"),0,SUMIFS($J:$J,$B:$B,$B1541,$A:$A,"&gt;="&amp;COUNTIFS($K$1:V$1,"&lt;&gt;"))),0)</f>
        <v>0</v>
      </c>
      <c r="W1541">
        <f t="shared" si="552"/>
        <v>8.2191780821917804E-2</v>
      </c>
      <c r="X1541">
        <f t="shared" si="532"/>
        <v>8.2191780821917804E-2</v>
      </c>
      <c r="Y1541">
        <f t="shared" si="533"/>
        <v>8.2191780821917804E-2</v>
      </c>
      <c r="Z1541">
        <f t="shared" si="534"/>
        <v>8.2191780821917804E-2</v>
      </c>
      <c r="AA1541">
        <f t="shared" si="535"/>
        <v>8.2191780821917804E-2</v>
      </c>
      <c r="AB1541">
        <f t="shared" si="536"/>
        <v>8.2191780821917804E-2</v>
      </c>
      <c r="AC1541">
        <f t="shared" si="537"/>
        <v>0</v>
      </c>
      <c r="AD1541">
        <f t="shared" si="538"/>
        <v>0</v>
      </c>
      <c r="AE1541">
        <f t="shared" si="539"/>
        <v>0</v>
      </c>
      <c r="AF1541">
        <f t="shared" si="540"/>
        <v>0</v>
      </c>
      <c r="AG1541">
        <f t="shared" si="541"/>
        <v>0</v>
      </c>
      <c r="AH1541">
        <f t="shared" si="542"/>
        <v>0</v>
      </c>
      <c r="AI1541">
        <f t="shared" si="543"/>
        <v>0</v>
      </c>
      <c r="AJ1541" s="2" t="str">
        <f t="shared" si="553"/>
        <v>547423</v>
      </c>
    </row>
    <row r="1542" spans="1:36" x14ac:dyDescent="0.25">
      <c r="A1542">
        <v>6</v>
      </c>
      <c r="B1542" s="1">
        <v>47423</v>
      </c>
      <c r="C1542" s="1">
        <f t="shared" si="544"/>
        <v>47604</v>
      </c>
      <c r="D1542" s="1">
        <f t="shared" si="545"/>
        <v>47437</v>
      </c>
      <c r="E1542" s="1">
        <f t="shared" si="546"/>
        <v>47604</v>
      </c>
      <c r="F1542" s="1">
        <f t="shared" si="547"/>
        <v>47635</v>
      </c>
      <c r="G1542" s="1">
        <f t="shared" si="548"/>
        <v>47802</v>
      </c>
      <c r="H1542">
        <f t="shared" si="549"/>
        <v>365</v>
      </c>
      <c r="I1542">
        <f t="shared" si="550"/>
        <v>31</v>
      </c>
      <c r="J1542">
        <f t="shared" si="551"/>
        <v>8.4931506849315067E-2</v>
      </c>
      <c r="K1542">
        <f>IFERROR($J1542/IF($A1542&lt;COUNTIFS($K$1:K$1,"&lt;&gt;"),0,SUMIFS($J:$J,$B:$B,$B1542,$A:$A,"&gt;="&amp;COUNTIFS($K$1:K$1,"&lt;&gt;"))),0)</f>
        <v>8.8825214899713484E-2</v>
      </c>
      <c r="L1542">
        <f>IFERROR($J1542/IF($A1542&lt;COUNTIFS($K$1:L$1,"&lt;&gt;"),0,SUMIFS($J:$J,$B:$B,$B1542,$A:$A,"&gt;="&amp;COUNTIFS($K$1:L$1,"&lt;&gt;"))),0)</f>
        <v>9.7484276729559768E-2</v>
      </c>
      <c r="M1542">
        <f>IFERROR($J1542/IF($A1542&lt;COUNTIFS($K$1:M$1,"&lt;&gt;"),0,SUMIFS($J:$J,$B:$B,$B1542,$A:$A,"&gt;="&amp;COUNTIFS($K$1:M$1,"&lt;&gt;"))),0)</f>
        <v>0.10801393728222998</v>
      </c>
      <c r="N1542">
        <f>IFERROR($J1542/IF($A1542&lt;COUNTIFS($K$1:N$1,"&lt;&gt;"),0,SUMIFS($J:$J,$B:$B,$B1542,$A:$A,"&gt;="&amp;COUNTIFS($K$1:N$1,"&lt;&gt;"))),0)</f>
        <v>0.11969111969111972</v>
      </c>
      <c r="O1542">
        <f>IFERROR($J1542/IF($A1542&lt;COUNTIFS($K$1:O$1,"&lt;&gt;"),0,SUMIFS($J:$J,$B:$B,$B1542,$A:$A,"&gt;="&amp;COUNTIFS($K$1:O$1,"&lt;&gt;"))),0)</f>
        <v>0.13596491228070179</v>
      </c>
      <c r="P1542">
        <f>IFERROR($J1542/IF($A1542&lt;COUNTIFS($K$1:P$1,"&lt;&gt;"),0,SUMIFS($J:$J,$B:$B,$B1542,$A:$A,"&gt;="&amp;COUNTIFS($K$1:P$1,"&lt;&gt;"))),0)</f>
        <v>0.1565656565656566</v>
      </c>
      <c r="Q1542">
        <f>IFERROR($J1542/IF($A1542&lt;COUNTIFS($K$1:Q$1,"&lt;&gt;"),0,SUMIFS($J:$J,$B:$B,$B1542,$A:$A,"&gt;="&amp;COUNTIFS($K$1:Q$1,"&lt;&gt;"))),0)</f>
        <v>0</v>
      </c>
      <c r="R1542">
        <f>IFERROR($J1542/IF($A1542&lt;COUNTIFS($K$1:R$1,"&lt;&gt;"),0,SUMIFS($J:$J,$B:$B,$B1542,$A:$A,"&gt;="&amp;COUNTIFS($K$1:R$1,"&lt;&gt;"))),0)</f>
        <v>0</v>
      </c>
      <c r="S1542">
        <f>IFERROR($J1542/IF($A1542&lt;COUNTIFS($K$1:S$1,"&lt;&gt;"),0,SUMIFS($J:$J,$B:$B,$B1542,$A:$A,"&gt;="&amp;COUNTIFS($K$1:S$1,"&lt;&gt;"))),0)</f>
        <v>0</v>
      </c>
      <c r="T1542">
        <f>IFERROR($J1542/IF($A1542&lt;COUNTIFS($K$1:T$1,"&lt;&gt;"),0,SUMIFS($J:$J,$B:$B,$B1542,$A:$A,"&gt;="&amp;COUNTIFS($K$1:T$1,"&lt;&gt;"))),0)</f>
        <v>0</v>
      </c>
      <c r="U1542">
        <f>IFERROR($J1542/IF($A1542&lt;COUNTIFS($K$1:U$1,"&lt;&gt;"),0,SUMIFS($J:$J,$B:$B,$B1542,$A:$A,"&gt;="&amp;COUNTIFS($K$1:U$1,"&lt;&gt;"))),0)</f>
        <v>0</v>
      </c>
      <c r="V1542">
        <f>IFERROR($J1542/IF($A1542&lt;COUNTIFS($K$1:V$1,"&lt;&gt;"),0,SUMIFS($J:$J,$B:$B,$B1542,$A:$A,"&gt;="&amp;COUNTIFS($K$1:V$1,"&lt;&gt;"))),0)</f>
        <v>0</v>
      </c>
      <c r="W1542">
        <f t="shared" si="552"/>
        <v>8.4931506849315067E-2</v>
      </c>
      <c r="X1542">
        <f t="shared" si="532"/>
        <v>8.4931506849315067E-2</v>
      </c>
      <c r="Y1542">
        <f t="shared" si="533"/>
        <v>8.4931506849315067E-2</v>
      </c>
      <c r="Z1542">
        <f t="shared" si="534"/>
        <v>8.4931506849315067E-2</v>
      </c>
      <c r="AA1542">
        <f t="shared" si="535"/>
        <v>8.4931506849315067E-2</v>
      </c>
      <c r="AB1542">
        <f t="shared" si="536"/>
        <v>8.4931506849315067E-2</v>
      </c>
      <c r="AC1542">
        <f t="shared" si="537"/>
        <v>8.4931506849315067E-2</v>
      </c>
      <c r="AD1542">
        <f t="shared" si="538"/>
        <v>0</v>
      </c>
      <c r="AE1542">
        <f t="shared" si="539"/>
        <v>0</v>
      </c>
      <c r="AF1542">
        <f t="shared" si="540"/>
        <v>0</v>
      </c>
      <c r="AG1542">
        <f t="shared" si="541"/>
        <v>0</v>
      </c>
      <c r="AH1542">
        <f t="shared" si="542"/>
        <v>0</v>
      </c>
      <c r="AI1542">
        <f t="shared" si="543"/>
        <v>0</v>
      </c>
      <c r="AJ1542" s="2" t="str">
        <f t="shared" si="553"/>
        <v>647423</v>
      </c>
    </row>
    <row r="1543" spans="1:36" x14ac:dyDescent="0.25">
      <c r="A1543">
        <v>7</v>
      </c>
      <c r="B1543" s="1">
        <v>47423</v>
      </c>
      <c r="C1543" s="1">
        <f t="shared" si="544"/>
        <v>47635</v>
      </c>
      <c r="D1543" s="1">
        <f t="shared" si="545"/>
        <v>47437</v>
      </c>
      <c r="E1543" s="1">
        <f t="shared" si="546"/>
        <v>47635</v>
      </c>
      <c r="F1543" s="1">
        <f t="shared" si="547"/>
        <v>47665</v>
      </c>
      <c r="G1543" s="1">
        <f t="shared" si="548"/>
        <v>47802</v>
      </c>
      <c r="H1543">
        <f t="shared" si="549"/>
        <v>365</v>
      </c>
      <c r="I1543">
        <f t="shared" si="550"/>
        <v>30</v>
      </c>
      <c r="J1543">
        <f t="shared" si="551"/>
        <v>8.2191780821917804E-2</v>
      </c>
      <c r="K1543">
        <f>IFERROR($J1543/IF($A1543&lt;COUNTIFS($K$1:K$1,"&lt;&gt;"),0,SUMIFS($J:$J,$B:$B,$B1543,$A:$A,"&gt;="&amp;COUNTIFS($K$1:K$1,"&lt;&gt;"))),0)</f>
        <v>8.5959885386819493E-2</v>
      </c>
      <c r="L1543">
        <f>IFERROR($J1543/IF($A1543&lt;COUNTIFS($K$1:L$1,"&lt;&gt;"),0,SUMIFS($J:$J,$B:$B,$B1543,$A:$A,"&gt;="&amp;COUNTIFS($K$1:L$1,"&lt;&gt;"))),0)</f>
        <v>9.4339622641509441E-2</v>
      </c>
      <c r="M1543">
        <f>IFERROR($J1543/IF($A1543&lt;COUNTIFS($K$1:M$1,"&lt;&gt;"),0,SUMIFS($J:$J,$B:$B,$B1543,$A:$A,"&gt;="&amp;COUNTIFS($K$1:M$1,"&lt;&gt;"))),0)</f>
        <v>0.10452961672473869</v>
      </c>
      <c r="N1543">
        <f>IFERROR($J1543/IF($A1543&lt;COUNTIFS($K$1:N$1,"&lt;&gt;"),0,SUMIFS($J:$J,$B:$B,$B1543,$A:$A,"&gt;="&amp;COUNTIFS($K$1:N$1,"&lt;&gt;"))),0)</f>
        <v>0.11583011583011585</v>
      </c>
      <c r="O1543">
        <f>IFERROR($J1543/IF($A1543&lt;COUNTIFS($K$1:O$1,"&lt;&gt;"),0,SUMIFS($J:$J,$B:$B,$B1543,$A:$A,"&gt;="&amp;COUNTIFS($K$1:O$1,"&lt;&gt;"))),0)</f>
        <v>0.13157894736842107</v>
      </c>
      <c r="P1543">
        <f>IFERROR($J1543/IF($A1543&lt;COUNTIFS($K$1:P$1,"&lt;&gt;"),0,SUMIFS($J:$J,$B:$B,$B1543,$A:$A,"&gt;="&amp;COUNTIFS($K$1:P$1,"&lt;&gt;"))),0)</f>
        <v>0.15151515151515155</v>
      </c>
      <c r="Q1543">
        <f>IFERROR($J1543/IF($A1543&lt;COUNTIFS($K$1:Q$1,"&lt;&gt;"),0,SUMIFS($J:$J,$B:$B,$B1543,$A:$A,"&gt;="&amp;COUNTIFS($K$1:Q$1,"&lt;&gt;"))),0)</f>
        <v>0.17964071856287425</v>
      </c>
      <c r="R1543">
        <f>IFERROR($J1543/IF($A1543&lt;COUNTIFS($K$1:R$1,"&lt;&gt;"),0,SUMIFS($J:$J,$B:$B,$B1543,$A:$A,"&gt;="&amp;COUNTIFS($K$1:R$1,"&lt;&gt;"))),0)</f>
        <v>0</v>
      </c>
      <c r="S1543">
        <f>IFERROR($J1543/IF($A1543&lt;COUNTIFS($K$1:S$1,"&lt;&gt;"),0,SUMIFS($J:$J,$B:$B,$B1543,$A:$A,"&gt;="&amp;COUNTIFS($K$1:S$1,"&lt;&gt;"))),0)</f>
        <v>0</v>
      </c>
      <c r="T1543">
        <f>IFERROR($J1543/IF($A1543&lt;COUNTIFS($K$1:T$1,"&lt;&gt;"),0,SUMIFS($J:$J,$B:$B,$B1543,$A:$A,"&gt;="&amp;COUNTIFS($K$1:T$1,"&lt;&gt;"))),0)</f>
        <v>0</v>
      </c>
      <c r="U1543">
        <f>IFERROR($J1543/IF($A1543&lt;COUNTIFS($K$1:U$1,"&lt;&gt;"),0,SUMIFS($J:$J,$B:$B,$B1543,$A:$A,"&gt;="&amp;COUNTIFS($K$1:U$1,"&lt;&gt;"))),0)</f>
        <v>0</v>
      </c>
      <c r="V1543">
        <f>IFERROR($J1543/IF($A1543&lt;COUNTIFS($K$1:V$1,"&lt;&gt;"),0,SUMIFS($J:$J,$B:$B,$B1543,$A:$A,"&gt;="&amp;COUNTIFS($K$1:V$1,"&lt;&gt;"))),0)</f>
        <v>0</v>
      </c>
      <c r="W1543">
        <f t="shared" si="552"/>
        <v>8.2191780821917804E-2</v>
      </c>
      <c r="X1543">
        <f t="shared" si="532"/>
        <v>8.2191780821917804E-2</v>
      </c>
      <c r="Y1543">
        <f t="shared" si="533"/>
        <v>8.2191780821917804E-2</v>
      </c>
      <c r="Z1543">
        <f t="shared" si="534"/>
        <v>8.2191780821917804E-2</v>
      </c>
      <c r="AA1543">
        <f t="shared" si="535"/>
        <v>8.2191780821917804E-2</v>
      </c>
      <c r="AB1543">
        <f t="shared" si="536"/>
        <v>8.2191780821917804E-2</v>
      </c>
      <c r="AC1543">
        <f t="shared" si="537"/>
        <v>8.2191780821917804E-2</v>
      </c>
      <c r="AD1543">
        <f t="shared" si="538"/>
        <v>8.2191780821917804E-2</v>
      </c>
      <c r="AE1543">
        <f t="shared" si="539"/>
        <v>0</v>
      </c>
      <c r="AF1543">
        <f t="shared" si="540"/>
        <v>0</v>
      </c>
      <c r="AG1543">
        <f t="shared" si="541"/>
        <v>0</v>
      </c>
      <c r="AH1543">
        <f t="shared" si="542"/>
        <v>0</v>
      </c>
      <c r="AI1543">
        <f t="shared" si="543"/>
        <v>0</v>
      </c>
      <c r="AJ1543" s="2" t="str">
        <f t="shared" si="553"/>
        <v>747423</v>
      </c>
    </row>
    <row r="1544" spans="1:36" x14ac:dyDescent="0.25">
      <c r="A1544">
        <v>8</v>
      </c>
      <c r="B1544" s="1">
        <v>47423</v>
      </c>
      <c r="C1544" s="1">
        <f t="shared" si="544"/>
        <v>47665</v>
      </c>
      <c r="D1544" s="1">
        <f t="shared" si="545"/>
        <v>47437</v>
      </c>
      <c r="E1544" s="1">
        <f t="shared" si="546"/>
        <v>47665</v>
      </c>
      <c r="F1544" s="1">
        <f t="shared" si="547"/>
        <v>47696</v>
      </c>
      <c r="G1544" s="1">
        <f t="shared" si="548"/>
        <v>47802</v>
      </c>
      <c r="H1544">
        <f t="shared" si="549"/>
        <v>365</v>
      </c>
      <c r="I1544">
        <f t="shared" si="550"/>
        <v>31</v>
      </c>
      <c r="J1544">
        <f t="shared" si="551"/>
        <v>8.4931506849315067E-2</v>
      </c>
      <c r="K1544">
        <f>IFERROR($J1544/IF($A1544&lt;COUNTIFS($K$1:K$1,"&lt;&gt;"),0,SUMIFS($J:$J,$B:$B,$B1544,$A:$A,"&gt;="&amp;COUNTIFS($K$1:K$1,"&lt;&gt;"))),0)</f>
        <v>8.8825214899713484E-2</v>
      </c>
      <c r="L1544">
        <f>IFERROR($J1544/IF($A1544&lt;COUNTIFS($K$1:L$1,"&lt;&gt;"),0,SUMIFS($J:$J,$B:$B,$B1544,$A:$A,"&gt;="&amp;COUNTIFS($K$1:L$1,"&lt;&gt;"))),0)</f>
        <v>9.7484276729559768E-2</v>
      </c>
      <c r="M1544">
        <f>IFERROR($J1544/IF($A1544&lt;COUNTIFS($K$1:M$1,"&lt;&gt;"),0,SUMIFS($J:$J,$B:$B,$B1544,$A:$A,"&gt;="&amp;COUNTIFS($K$1:M$1,"&lt;&gt;"))),0)</f>
        <v>0.10801393728222998</v>
      </c>
      <c r="N1544">
        <f>IFERROR($J1544/IF($A1544&lt;COUNTIFS($K$1:N$1,"&lt;&gt;"),0,SUMIFS($J:$J,$B:$B,$B1544,$A:$A,"&gt;="&amp;COUNTIFS($K$1:N$1,"&lt;&gt;"))),0)</f>
        <v>0.11969111969111972</v>
      </c>
      <c r="O1544">
        <f>IFERROR($J1544/IF($A1544&lt;COUNTIFS($K$1:O$1,"&lt;&gt;"),0,SUMIFS($J:$J,$B:$B,$B1544,$A:$A,"&gt;="&amp;COUNTIFS($K$1:O$1,"&lt;&gt;"))),0)</f>
        <v>0.13596491228070179</v>
      </c>
      <c r="P1544">
        <f>IFERROR($J1544/IF($A1544&lt;COUNTIFS($K$1:P$1,"&lt;&gt;"),0,SUMIFS($J:$J,$B:$B,$B1544,$A:$A,"&gt;="&amp;COUNTIFS($K$1:P$1,"&lt;&gt;"))),0)</f>
        <v>0.1565656565656566</v>
      </c>
      <c r="Q1544">
        <f>IFERROR($J1544/IF($A1544&lt;COUNTIFS($K$1:Q$1,"&lt;&gt;"),0,SUMIFS($J:$J,$B:$B,$B1544,$A:$A,"&gt;="&amp;COUNTIFS($K$1:Q$1,"&lt;&gt;"))),0)</f>
        <v>0.18562874251497008</v>
      </c>
      <c r="R1544">
        <f>IFERROR($J1544/IF($A1544&lt;COUNTIFS($K$1:R$1,"&lt;&gt;"),0,SUMIFS($J:$J,$B:$B,$B1544,$A:$A,"&gt;="&amp;COUNTIFS($K$1:R$1,"&lt;&gt;"))),0)</f>
        <v>0.22627737226277375</v>
      </c>
      <c r="S1544">
        <f>IFERROR($J1544/IF($A1544&lt;COUNTIFS($K$1:S$1,"&lt;&gt;"),0,SUMIFS($J:$J,$B:$B,$B1544,$A:$A,"&gt;="&amp;COUNTIFS($K$1:S$1,"&lt;&gt;"))),0)</f>
        <v>0</v>
      </c>
      <c r="T1544">
        <f>IFERROR($J1544/IF($A1544&lt;COUNTIFS($K$1:T$1,"&lt;&gt;"),0,SUMIFS($J:$J,$B:$B,$B1544,$A:$A,"&gt;="&amp;COUNTIFS($K$1:T$1,"&lt;&gt;"))),0)</f>
        <v>0</v>
      </c>
      <c r="U1544">
        <f>IFERROR($J1544/IF($A1544&lt;COUNTIFS($K$1:U$1,"&lt;&gt;"),0,SUMIFS($J:$J,$B:$B,$B1544,$A:$A,"&gt;="&amp;COUNTIFS($K$1:U$1,"&lt;&gt;"))),0)</f>
        <v>0</v>
      </c>
      <c r="V1544">
        <f>IFERROR($J1544/IF($A1544&lt;COUNTIFS($K$1:V$1,"&lt;&gt;"),0,SUMIFS($J:$J,$B:$B,$B1544,$A:$A,"&gt;="&amp;COUNTIFS($K$1:V$1,"&lt;&gt;"))),0)</f>
        <v>0</v>
      </c>
      <c r="W1544">
        <f t="shared" si="552"/>
        <v>8.4931506849315067E-2</v>
      </c>
      <c r="X1544">
        <f t="shared" si="532"/>
        <v>8.4931506849315067E-2</v>
      </c>
      <c r="Y1544">
        <f t="shared" si="533"/>
        <v>8.4931506849315067E-2</v>
      </c>
      <c r="Z1544">
        <f t="shared" si="534"/>
        <v>8.4931506849315067E-2</v>
      </c>
      <c r="AA1544">
        <f t="shared" si="535"/>
        <v>8.4931506849315067E-2</v>
      </c>
      <c r="AB1544">
        <f t="shared" si="536"/>
        <v>8.4931506849315067E-2</v>
      </c>
      <c r="AC1544">
        <f t="shared" si="537"/>
        <v>8.4931506849315067E-2</v>
      </c>
      <c r="AD1544">
        <f t="shared" si="538"/>
        <v>8.4931506849315067E-2</v>
      </c>
      <c r="AE1544">
        <f t="shared" si="539"/>
        <v>8.4931506849315067E-2</v>
      </c>
      <c r="AF1544">
        <f t="shared" si="540"/>
        <v>0</v>
      </c>
      <c r="AG1544">
        <f t="shared" si="541"/>
        <v>0</v>
      </c>
      <c r="AH1544">
        <f t="shared" si="542"/>
        <v>0</v>
      </c>
      <c r="AI1544">
        <f t="shared" si="543"/>
        <v>0</v>
      </c>
      <c r="AJ1544" s="2" t="str">
        <f t="shared" si="553"/>
        <v>847423</v>
      </c>
    </row>
    <row r="1545" spans="1:36" x14ac:dyDescent="0.25">
      <c r="A1545">
        <v>9</v>
      </c>
      <c r="B1545" s="1">
        <v>47423</v>
      </c>
      <c r="C1545" s="1">
        <f t="shared" si="544"/>
        <v>47696</v>
      </c>
      <c r="D1545" s="1">
        <f t="shared" si="545"/>
        <v>47437</v>
      </c>
      <c r="E1545" s="1">
        <f t="shared" si="546"/>
        <v>47696</v>
      </c>
      <c r="F1545" s="1">
        <f t="shared" si="547"/>
        <v>47727</v>
      </c>
      <c r="G1545" s="1">
        <f t="shared" si="548"/>
        <v>47802</v>
      </c>
      <c r="H1545">
        <f t="shared" si="549"/>
        <v>365</v>
      </c>
      <c r="I1545">
        <f t="shared" si="550"/>
        <v>31</v>
      </c>
      <c r="J1545">
        <f t="shared" si="551"/>
        <v>8.4931506849315067E-2</v>
      </c>
      <c r="K1545">
        <f>IFERROR($J1545/IF($A1545&lt;COUNTIFS($K$1:K$1,"&lt;&gt;"),0,SUMIFS($J:$J,$B:$B,$B1545,$A:$A,"&gt;="&amp;COUNTIFS($K$1:K$1,"&lt;&gt;"))),0)</f>
        <v>8.8825214899713484E-2</v>
      </c>
      <c r="L1545">
        <f>IFERROR($J1545/IF($A1545&lt;COUNTIFS($K$1:L$1,"&lt;&gt;"),0,SUMIFS($J:$J,$B:$B,$B1545,$A:$A,"&gt;="&amp;COUNTIFS($K$1:L$1,"&lt;&gt;"))),0)</f>
        <v>9.7484276729559768E-2</v>
      </c>
      <c r="M1545">
        <f>IFERROR($J1545/IF($A1545&lt;COUNTIFS($K$1:M$1,"&lt;&gt;"),0,SUMIFS($J:$J,$B:$B,$B1545,$A:$A,"&gt;="&amp;COUNTIFS($K$1:M$1,"&lt;&gt;"))),0)</f>
        <v>0.10801393728222998</v>
      </c>
      <c r="N1545">
        <f>IFERROR($J1545/IF($A1545&lt;COUNTIFS($K$1:N$1,"&lt;&gt;"),0,SUMIFS($J:$J,$B:$B,$B1545,$A:$A,"&gt;="&amp;COUNTIFS($K$1:N$1,"&lt;&gt;"))),0)</f>
        <v>0.11969111969111972</v>
      </c>
      <c r="O1545">
        <f>IFERROR($J1545/IF($A1545&lt;COUNTIFS($K$1:O$1,"&lt;&gt;"),0,SUMIFS($J:$J,$B:$B,$B1545,$A:$A,"&gt;="&amp;COUNTIFS($K$1:O$1,"&lt;&gt;"))),0)</f>
        <v>0.13596491228070179</v>
      </c>
      <c r="P1545">
        <f>IFERROR($J1545/IF($A1545&lt;COUNTIFS($K$1:P$1,"&lt;&gt;"),0,SUMIFS($J:$J,$B:$B,$B1545,$A:$A,"&gt;="&amp;COUNTIFS($K$1:P$1,"&lt;&gt;"))),0)</f>
        <v>0.1565656565656566</v>
      </c>
      <c r="Q1545">
        <f>IFERROR($J1545/IF($A1545&lt;COUNTIFS($K$1:Q$1,"&lt;&gt;"),0,SUMIFS($J:$J,$B:$B,$B1545,$A:$A,"&gt;="&amp;COUNTIFS($K$1:Q$1,"&lt;&gt;"))),0)</f>
        <v>0.18562874251497008</v>
      </c>
      <c r="R1545">
        <f>IFERROR($J1545/IF($A1545&lt;COUNTIFS($K$1:R$1,"&lt;&gt;"),0,SUMIFS($J:$J,$B:$B,$B1545,$A:$A,"&gt;="&amp;COUNTIFS($K$1:R$1,"&lt;&gt;"))),0)</f>
        <v>0.22627737226277375</v>
      </c>
      <c r="S1545">
        <f>IFERROR($J1545/IF($A1545&lt;COUNTIFS($K$1:S$1,"&lt;&gt;"),0,SUMIFS($J:$J,$B:$B,$B1545,$A:$A,"&gt;="&amp;COUNTIFS($K$1:S$1,"&lt;&gt;"))),0)</f>
        <v>0.29245283018867929</v>
      </c>
      <c r="T1545">
        <f>IFERROR($J1545/IF($A1545&lt;COUNTIFS($K$1:T$1,"&lt;&gt;"),0,SUMIFS($J:$J,$B:$B,$B1545,$A:$A,"&gt;="&amp;COUNTIFS($K$1:T$1,"&lt;&gt;"))),0)</f>
        <v>0</v>
      </c>
      <c r="U1545">
        <f>IFERROR($J1545/IF($A1545&lt;COUNTIFS($K$1:U$1,"&lt;&gt;"),0,SUMIFS($J:$J,$B:$B,$B1545,$A:$A,"&gt;="&amp;COUNTIFS($K$1:U$1,"&lt;&gt;"))),0)</f>
        <v>0</v>
      </c>
      <c r="V1545">
        <f>IFERROR($J1545/IF($A1545&lt;COUNTIFS($K$1:V$1,"&lt;&gt;"),0,SUMIFS($J:$J,$B:$B,$B1545,$A:$A,"&gt;="&amp;COUNTIFS($K$1:V$1,"&lt;&gt;"))),0)</f>
        <v>0</v>
      </c>
      <c r="W1545">
        <f t="shared" si="552"/>
        <v>8.4931506849315067E-2</v>
      </c>
      <c r="X1545">
        <f t="shared" si="532"/>
        <v>8.4931506849315067E-2</v>
      </c>
      <c r="Y1545">
        <f t="shared" si="533"/>
        <v>8.4931506849315067E-2</v>
      </c>
      <c r="Z1545">
        <f t="shared" si="534"/>
        <v>8.4931506849315067E-2</v>
      </c>
      <c r="AA1545">
        <f t="shared" si="535"/>
        <v>8.4931506849315067E-2</v>
      </c>
      <c r="AB1545">
        <f t="shared" si="536"/>
        <v>8.4931506849315067E-2</v>
      </c>
      <c r="AC1545">
        <f t="shared" si="537"/>
        <v>8.4931506849315067E-2</v>
      </c>
      <c r="AD1545">
        <f t="shared" si="538"/>
        <v>8.4931506849315067E-2</v>
      </c>
      <c r="AE1545">
        <f t="shared" si="539"/>
        <v>8.4931506849315067E-2</v>
      </c>
      <c r="AF1545">
        <f t="shared" si="540"/>
        <v>8.4931506849315067E-2</v>
      </c>
      <c r="AG1545">
        <f t="shared" si="541"/>
        <v>0</v>
      </c>
      <c r="AH1545">
        <f t="shared" si="542"/>
        <v>0</v>
      </c>
      <c r="AI1545">
        <f t="shared" si="543"/>
        <v>0</v>
      </c>
      <c r="AJ1545" s="2" t="str">
        <f t="shared" si="553"/>
        <v>947423</v>
      </c>
    </row>
    <row r="1546" spans="1:36" x14ac:dyDescent="0.25">
      <c r="A1546">
        <v>10</v>
      </c>
      <c r="B1546" s="1">
        <v>47423</v>
      </c>
      <c r="C1546" s="1">
        <f t="shared" si="544"/>
        <v>47727</v>
      </c>
      <c r="D1546" s="1">
        <f t="shared" si="545"/>
        <v>47437</v>
      </c>
      <c r="E1546" s="1">
        <f t="shared" si="546"/>
        <v>47727</v>
      </c>
      <c r="F1546" s="1">
        <f t="shared" si="547"/>
        <v>47757</v>
      </c>
      <c r="G1546" s="1">
        <f t="shared" si="548"/>
        <v>47802</v>
      </c>
      <c r="H1546">
        <f t="shared" si="549"/>
        <v>365</v>
      </c>
      <c r="I1546">
        <f t="shared" si="550"/>
        <v>30</v>
      </c>
      <c r="J1546">
        <f t="shared" si="551"/>
        <v>8.2191780821917804E-2</v>
      </c>
      <c r="K1546">
        <f>IFERROR($J1546/IF($A1546&lt;COUNTIFS($K$1:K$1,"&lt;&gt;"),0,SUMIFS($J:$J,$B:$B,$B1546,$A:$A,"&gt;="&amp;COUNTIFS($K$1:K$1,"&lt;&gt;"))),0)</f>
        <v>8.5959885386819493E-2</v>
      </c>
      <c r="L1546">
        <f>IFERROR($J1546/IF($A1546&lt;COUNTIFS($K$1:L$1,"&lt;&gt;"),0,SUMIFS($J:$J,$B:$B,$B1546,$A:$A,"&gt;="&amp;COUNTIFS($K$1:L$1,"&lt;&gt;"))),0)</f>
        <v>9.4339622641509441E-2</v>
      </c>
      <c r="M1546">
        <f>IFERROR($J1546/IF($A1546&lt;COUNTIFS($K$1:M$1,"&lt;&gt;"),0,SUMIFS($J:$J,$B:$B,$B1546,$A:$A,"&gt;="&amp;COUNTIFS($K$1:M$1,"&lt;&gt;"))),0)</f>
        <v>0.10452961672473869</v>
      </c>
      <c r="N1546">
        <f>IFERROR($J1546/IF($A1546&lt;COUNTIFS($K$1:N$1,"&lt;&gt;"),0,SUMIFS($J:$J,$B:$B,$B1546,$A:$A,"&gt;="&amp;COUNTIFS($K$1:N$1,"&lt;&gt;"))),0)</f>
        <v>0.11583011583011585</v>
      </c>
      <c r="O1546">
        <f>IFERROR($J1546/IF($A1546&lt;COUNTIFS($K$1:O$1,"&lt;&gt;"),0,SUMIFS($J:$J,$B:$B,$B1546,$A:$A,"&gt;="&amp;COUNTIFS($K$1:O$1,"&lt;&gt;"))),0)</f>
        <v>0.13157894736842107</v>
      </c>
      <c r="P1546">
        <f>IFERROR($J1546/IF($A1546&lt;COUNTIFS($K$1:P$1,"&lt;&gt;"),0,SUMIFS($J:$J,$B:$B,$B1546,$A:$A,"&gt;="&amp;COUNTIFS($K$1:P$1,"&lt;&gt;"))),0)</f>
        <v>0.15151515151515155</v>
      </c>
      <c r="Q1546">
        <f>IFERROR($J1546/IF($A1546&lt;COUNTIFS($K$1:Q$1,"&lt;&gt;"),0,SUMIFS($J:$J,$B:$B,$B1546,$A:$A,"&gt;="&amp;COUNTIFS($K$1:Q$1,"&lt;&gt;"))),0)</f>
        <v>0.17964071856287425</v>
      </c>
      <c r="R1546">
        <f>IFERROR($J1546/IF($A1546&lt;COUNTIFS($K$1:R$1,"&lt;&gt;"),0,SUMIFS($J:$J,$B:$B,$B1546,$A:$A,"&gt;="&amp;COUNTIFS($K$1:R$1,"&lt;&gt;"))),0)</f>
        <v>0.21897810218978103</v>
      </c>
      <c r="S1546">
        <f>IFERROR($J1546/IF($A1546&lt;COUNTIFS($K$1:S$1,"&lt;&gt;"),0,SUMIFS($J:$J,$B:$B,$B1546,$A:$A,"&gt;="&amp;COUNTIFS($K$1:S$1,"&lt;&gt;"))),0)</f>
        <v>0.28301886792452829</v>
      </c>
      <c r="T1546">
        <f>IFERROR($J1546/IF($A1546&lt;COUNTIFS($K$1:T$1,"&lt;&gt;"),0,SUMIFS($J:$J,$B:$B,$B1546,$A:$A,"&gt;="&amp;COUNTIFS($K$1:T$1,"&lt;&gt;"))),0)</f>
        <v>0.4</v>
      </c>
      <c r="U1546">
        <f>IFERROR($J1546/IF($A1546&lt;COUNTIFS($K$1:U$1,"&lt;&gt;"),0,SUMIFS($J:$J,$B:$B,$B1546,$A:$A,"&gt;="&amp;COUNTIFS($K$1:U$1,"&lt;&gt;"))),0)</f>
        <v>0</v>
      </c>
      <c r="V1546">
        <f>IFERROR($J1546/IF($A1546&lt;COUNTIFS($K$1:V$1,"&lt;&gt;"),0,SUMIFS($J:$J,$B:$B,$B1546,$A:$A,"&gt;="&amp;COUNTIFS($K$1:V$1,"&lt;&gt;"))),0)</f>
        <v>0</v>
      </c>
      <c r="W1546">
        <f t="shared" si="552"/>
        <v>8.2191780821917804E-2</v>
      </c>
      <c r="X1546">
        <f t="shared" si="532"/>
        <v>8.2191780821917804E-2</v>
      </c>
      <c r="Y1546">
        <f t="shared" si="533"/>
        <v>8.2191780821917804E-2</v>
      </c>
      <c r="Z1546">
        <f t="shared" si="534"/>
        <v>8.2191780821917804E-2</v>
      </c>
      <c r="AA1546">
        <f t="shared" si="535"/>
        <v>8.2191780821917804E-2</v>
      </c>
      <c r="AB1546">
        <f t="shared" si="536"/>
        <v>8.2191780821917804E-2</v>
      </c>
      <c r="AC1546">
        <f t="shared" si="537"/>
        <v>8.2191780821917804E-2</v>
      </c>
      <c r="AD1546">
        <f t="shared" si="538"/>
        <v>8.2191780821917804E-2</v>
      </c>
      <c r="AE1546">
        <f t="shared" si="539"/>
        <v>8.2191780821917804E-2</v>
      </c>
      <c r="AF1546">
        <f t="shared" si="540"/>
        <v>8.2191780821917804E-2</v>
      </c>
      <c r="AG1546">
        <f t="shared" si="541"/>
        <v>8.2191780821917804E-2</v>
      </c>
      <c r="AH1546">
        <f t="shared" si="542"/>
        <v>0</v>
      </c>
      <c r="AI1546">
        <f t="shared" si="543"/>
        <v>0</v>
      </c>
      <c r="AJ1546" s="2" t="str">
        <f t="shared" si="553"/>
        <v>1047423</v>
      </c>
    </row>
    <row r="1547" spans="1:36" x14ac:dyDescent="0.25">
      <c r="A1547">
        <v>11</v>
      </c>
      <c r="B1547" s="1">
        <v>47423</v>
      </c>
      <c r="C1547" s="1">
        <f t="shared" si="544"/>
        <v>47757</v>
      </c>
      <c r="D1547" s="1">
        <f t="shared" si="545"/>
        <v>47437</v>
      </c>
      <c r="E1547" s="1">
        <f t="shared" si="546"/>
        <v>47757</v>
      </c>
      <c r="F1547" s="1">
        <f t="shared" si="547"/>
        <v>47788</v>
      </c>
      <c r="G1547" s="1">
        <f t="shared" si="548"/>
        <v>47802</v>
      </c>
      <c r="H1547">
        <f t="shared" si="549"/>
        <v>365</v>
      </c>
      <c r="I1547">
        <f t="shared" si="550"/>
        <v>31</v>
      </c>
      <c r="J1547">
        <f t="shared" si="551"/>
        <v>8.4931506849315067E-2</v>
      </c>
      <c r="K1547">
        <f>IFERROR($J1547/IF($A1547&lt;COUNTIFS($K$1:K$1,"&lt;&gt;"),0,SUMIFS($J:$J,$B:$B,$B1547,$A:$A,"&gt;="&amp;COUNTIFS($K$1:K$1,"&lt;&gt;"))),0)</f>
        <v>8.8825214899713484E-2</v>
      </c>
      <c r="L1547">
        <f>IFERROR($J1547/IF($A1547&lt;COUNTIFS($K$1:L$1,"&lt;&gt;"),0,SUMIFS($J:$J,$B:$B,$B1547,$A:$A,"&gt;="&amp;COUNTIFS($K$1:L$1,"&lt;&gt;"))),0)</f>
        <v>9.7484276729559768E-2</v>
      </c>
      <c r="M1547">
        <f>IFERROR($J1547/IF($A1547&lt;COUNTIFS($K$1:M$1,"&lt;&gt;"),0,SUMIFS($J:$J,$B:$B,$B1547,$A:$A,"&gt;="&amp;COUNTIFS($K$1:M$1,"&lt;&gt;"))),0)</f>
        <v>0.10801393728222998</v>
      </c>
      <c r="N1547">
        <f>IFERROR($J1547/IF($A1547&lt;COUNTIFS($K$1:N$1,"&lt;&gt;"),0,SUMIFS($J:$J,$B:$B,$B1547,$A:$A,"&gt;="&amp;COUNTIFS($K$1:N$1,"&lt;&gt;"))),0)</f>
        <v>0.11969111969111972</v>
      </c>
      <c r="O1547">
        <f>IFERROR($J1547/IF($A1547&lt;COUNTIFS($K$1:O$1,"&lt;&gt;"),0,SUMIFS($J:$J,$B:$B,$B1547,$A:$A,"&gt;="&amp;COUNTIFS($K$1:O$1,"&lt;&gt;"))),0)</f>
        <v>0.13596491228070179</v>
      </c>
      <c r="P1547">
        <f>IFERROR($J1547/IF($A1547&lt;COUNTIFS($K$1:P$1,"&lt;&gt;"),0,SUMIFS($J:$J,$B:$B,$B1547,$A:$A,"&gt;="&amp;COUNTIFS($K$1:P$1,"&lt;&gt;"))),0)</f>
        <v>0.1565656565656566</v>
      </c>
      <c r="Q1547">
        <f>IFERROR($J1547/IF($A1547&lt;COUNTIFS($K$1:Q$1,"&lt;&gt;"),0,SUMIFS($J:$J,$B:$B,$B1547,$A:$A,"&gt;="&amp;COUNTIFS($K$1:Q$1,"&lt;&gt;"))),0)</f>
        <v>0.18562874251497008</v>
      </c>
      <c r="R1547">
        <f>IFERROR($J1547/IF($A1547&lt;COUNTIFS($K$1:R$1,"&lt;&gt;"),0,SUMIFS($J:$J,$B:$B,$B1547,$A:$A,"&gt;="&amp;COUNTIFS($K$1:R$1,"&lt;&gt;"))),0)</f>
        <v>0.22627737226277375</v>
      </c>
      <c r="S1547">
        <f>IFERROR($J1547/IF($A1547&lt;COUNTIFS($K$1:S$1,"&lt;&gt;"),0,SUMIFS($J:$J,$B:$B,$B1547,$A:$A,"&gt;="&amp;COUNTIFS($K$1:S$1,"&lt;&gt;"))),0)</f>
        <v>0.29245283018867929</v>
      </c>
      <c r="T1547">
        <f>IFERROR($J1547/IF($A1547&lt;COUNTIFS($K$1:T$1,"&lt;&gt;"),0,SUMIFS($J:$J,$B:$B,$B1547,$A:$A,"&gt;="&amp;COUNTIFS($K$1:T$1,"&lt;&gt;"))),0)</f>
        <v>0.41333333333333333</v>
      </c>
      <c r="U1547">
        <f>IFERROR($J1547/IF($A1547&lt;COUNTIFS($K$1:U$1,"&lt;&gt;"),0,SUMIFS($J:$J,$B:$B,$B1547,$A:$A,"&gt;="&amp;COUNTIFS($K$1:U$1,"&lt;&gt;"))),0)</f>
        <v>0.68888888888888888</v>
      </c>
      <c r="V1547">
        <f>IFERROR($J1547/IF($A1547&lt;COUNTIFS($K$1:V$1,"&lt;&gt;"),0,SUMIFS($J:$J,$B:$B,$B1547,$A:$A,"&gt;="&amp;COUNTIFS($K$1:V$1,"&lt;&gt;"))),0)</f>
        <v>0</v>
      </c>
      <c r="W1547">
        <f t="shared" si="552"/>
        <v>8.4931506849315067E-2</v>
      </c>
      <c r="X1547">
        <f t="shared" si="532"/>
        <v>8.4931506849315067E-2</v>
      </c>
      <c r="Y1547">
        <f t="shared" si="533"/>
        <v>8.4931506849315067E-2</v>
      </c>
      <c r="Z1547">
        <f t="shared" si="534"/>
        <v>8.4931506849315067E-2</v>
      </c>
      <c r="AA1547">
        <f t="shared" si="535"/>
        <v>8.4931506849315067E-2</v>
      </c>
      <c r="AB1547">
        <f t="shared" si="536"/>
        <v>8.4931506849315067E-2</v>
      </c>
      <c r="AC1547">
        <f t="shared" si="537"/>
        <v>8.4931506849315067E-2</v>
      </c>
      <c r="AD1547">
        <f t="shared" si="538"/>
        <v>8.4931506849315067E-2</v>
      </c>
      <c r="AE1547">
        <f t="shared" si="539"/>
        <v>8.4931506849315067E-2</v>
      </c>
      <c r="AF1547">
        <f t="shared" si="540"/>
        <v>8.4931506849315067E-2</v>
      </c>
      <c r="AG1547">
        <f t="shared" si="541"/>
        <v>8.4931506849315067E-2</v>
      </c>
      <c r="AH1547">
        <f t="shared" si="542"/>
        <v>8.4931506849315067E-2</v>
      </c>
      <c r="AI1547">
        <f t="shared" si="543"/>
        <v>0</v>
      </c>
      <c r="AJ1547" s="2" t="str">
        <f t="shared" si="553"/>
        <v>1147423</v>
      </c>
    </row>
    <row r="1548" spans="1:36" x14ac:dyDescent="0.25">
      <c r="A1548">
        <v>12</v>
      </c>
      <c r="B1548" s="1">
        <v>47423</v>
      </c>
      <c r="C1548" s="1">
        <f t="shared" si="544"/>
        <v>47788</v>
      </c>
      <c r="D1548" s="1">
        <f t="shared" si="545"/>
        <v>47437</v>
      </c>
      <c r="E1548" s="1">
        <f t="shared" si="546"/>
        <v>47788</v>
      </c>
      <c r="F1548" s="1">
        <f t="shared" si="547"/>
        <v>47802</v>
      </c>
      <c r="G1548" s="1">
        <f t="shared" si="548"/>
        <v>47802</v>
      </c>
      <c r="H1548">
        <f t="shared" si="549"/>
        <v>365</v>
      </c>
      <c r="I1548">
        <f t="shared" si="550"/>
        <v>14</v>
      </c>
      <c r="J1548">
        <f t="shared" si="551"/>
        <v>3.8356164383561646E-2</v>
      </c>
      <c r="K1548">
        <f>IFERROR($J1548/IF($A1548&lt;COUNTIFS($K$1:K$1,"&lt;&gt;"),0,SUMIFS($J:$J,$B:$B,$B1548,$A:$A,"&gt;="&amp;COUNTIFS($K$1:K$1,"&lt;&gt;"))),0)</f>
        <v>4.0114613180515769E-2</v>
      </c>
      <c r="L1548">
        <f>IFERROR($J1548/IF($A1548&lt;COUNTIFS($K$1:L$1,"&lt;&gt;"),0,SUMIFS($J:$J,$B:$B,$B1548,$A:$A,"&gt;="&amp;COUNTIFS($K$1:L$1,"&lt;&gt;"))),0)</f>
        <v>4.4025157232704414E-2</v>
      </c>
      <c r="M1548">
        <f>IFERROR($J1548/IF($A1548&lt;COUNTIFS($K$1:M$1,"&lt;&gt;"),0,SUMIFS($J:$J,$B:$B,$B1548,$A:$A,"&gt;="&amp;COUNTIFS($K$1:M$1,"&lt;&gt;"))),0)</f>
        <v>4.8780487804878057E-2</v>
      </c>
      <c r="N1548">
        <f>IFERROR($J1548/IF($A1548&lt;COUNTIFS($K$1:N$1,"&lt;&gt;"),0,SUMIFS($J:$J,$B:$B,$B1548,$A:$A,"&gt;="&amp;COUNTIFS($K$1:N$1,"&lt;&gt;"))),0)</f>
        <v>5.4054054054054071E-2</v>
      </c>
      <c r="O1548">
        <f>IFERROR($J1548/IF($A1548&lt;COUNTIFS($K$1:O$1,"&lt;&gt;"),0,SUMIFS($J:$J,$B:$B,$B1548,$A:$A,"&gt;="&amp;COUNTIFS($K$1:O$1,"&lt;&gt;"))),0)</f>
        <v>6.1403508771929842E-2</v>
      </c>
      <c r="P1548">
        <f>IFERROR($J1548/IF($A1548&lt;COUNTIFS($K$1:P$1,"&lt;&gt;"),0,SUMIFS($J:$J,$B:$B,$B1548,$A:$A,"&gt;="&amp;COUNTIFS($K$1:P$1,"&lt;&gt;"))),0)</f>
        <v>7.0707070707070732E-2</v>
      </c>
      <c r="Q1548">
        <f>IFERROR($J1548/IF($A1548&lt;COUNTIFS($K$1:Q$1,"&lt;&gt;"),0,SUMIFS($J:$J,$B:$B,$B1548,$A:$A,"&gt;="&amp;COUNTIFS($K$1:Q$1,"&lt;&gt;"))),0)</f>
        <v>8.3832335329341326E-2</v>
      </c>
      <c r="R1548">
        <f>IFERROR($J1548/IF($A1548&lt;COUNTIFS($K$1:R$1,"&lt;&gt;"),0,SUMIFS($J:$J,$B:$B,$B1548,$A:$A,"&gt;="&amp;COUNTIFS($K$1:R$1,"&lt;&gt;"))),0)</f>
        <v>0.10218978102189782</v>
      </c>
      <c r="S1548">
        <f>IFERROR($J1548/IF($A1548&lt;COUNTIFS($K$1:S$1,"&lt;&gt;"),0,SUMIFS($J:$J,$B:$B,$B1548,$A:$A,"&gt;="&amp;COUNTIFS($K$1:S$1,"&lt;&gt;"))),0)</f>
        <v>0.13207547169811323</v>
      </c>
      <c r="T1548">
        <f>IFERROR($J1548/IF($A1548&lt;COUNTIFS($K$1:T$1,"&lt;&gt;"),0,SUMIFS($J:$J,$B:$B,$B1548,$A:$A,"&gt;="&amp;COUNTIFS($K$1:T$1,"&lt;&gt;"))),0)</f>
        <v>0.18666666666666668</v>
      </c>
      <c r="U1548">
        <f>IFERROR($J1548/IF($A1548&lt;COUNTIFS($K$1:U$1,"&lt;&gt;"),0,SUMIFS($J:$J,$B:$B,$B1548,$A:$A,"&gt;="&amp;COUNTIFS($K$1:U$1,"&lt;&gt;"))),0)</f>
        <v>0.31111111111111117</v>
      </c>
      <c r="V1548">
        <f>IFERROR($J1548/IF($A1548&lt;COUNTIFS($K$1:V$1,"&lt;&gt;"),0,SUMIFS($J:$J,$B:$B,$B1548,$A:$A,"&gt;="&amp;COUNTIFS($K$1:V$1,"&lt;&gt;"))),0)</f>
        <v>1</v>
      </c>
      <c r="W1548">
        <f t="shared" si="552"/>
        <v>3.8356164383561646E-2</v>
      </c>
      <c r="X1548">
        <f t="shared" si="532"/>
        <v>3.8356164383561646E-2</v>
      </c>
      <c r="Y1548">
        <f t="shared" si="533"/>
        <v>3.8356164383561646E-2</v>
      </c>
      <c r="Z1548">
        <f t="shared" si="534"/>
        <v>3.8356164383561646E-2</v>
      </c>
      <c r="AA1548">
        <f t="shared" si="535"/>
        <v>3.8356164383561646E-2</v>
      </c>
      <c r="AB1548">
        <f t="shared" si="536"/>
        <v>3.8356164383561646E-2</v>
      </c>
      <c r="AC1548">
        <f t="shared" si="537"/>
        <v>3.8356164383561646E-2</v>
      </c>
      <c r="AD1548">
        <f t="shared" si="538"/>
        <v>3.8356164383561646E-2</v>
      </c>
      <c r="AE1548">
        <f t="shared" si="539"/>
        <v>3.8356164383561646E-2</v>
      </c>
      <c r="AF1548">
        <f t="shared" si="540"/>
        <v>3.8356164383561646E-2</v>
      </c>
      <c r="AG1548">
        <f t="shared" si="541"/>
        <v>3.8356164383561646E-2</v>
      </c>
      <c r="AH1548">
        <f t="shared" si="542"/>
        <v>3.8356164383561646E-2</v>
      </c>
      <c r="AI1548">
        <f t="shared" si="543"/>
        <v>3.8356164383561646E-2</v>
      </c>
      <c r="AJ1548" s="2" t="str">
        <f t="shared" si="553"/>
        <v>1247423</v>
      </c>
    </row>
    <row r="1549" spans="1:36" x14ac:dyDescent="0.25">
      <c r="A1549">
        <v>0</v>
      </c>
      <c r="B1549" s="1">
        <v>47453</v>
      </c>
      <c r="C1549" s="1">
        <f t="shared" si="544"/>
        <v>47453</v>
      </c>
      <c r="D1549" s="1">
        <f t="shared" si="545"/>
        <v>47467</v>
      </c>
      <c r="E1549" s="1">
        <f t="shared" si="546"/>
        <v>47467</v>
      </c>
      <c r="F1549" s="1">
        <f t="shared" si="547"/>
        <v>47484</v>
      </c>
      <c r="G1549" s="1">
        <f t="shared" si="548"/>
        <v>47832</v>
      </c>
      <c r="H1549">
        <f t="shared" si="549"/>
        <v>365</v>
      </c>
      <c r="I1549">
        <f t="shared" si="550"/>
        <v>17</v>
      </c>
      <c r="J1549">
        <f t="shared" si="551"/>
        <v>4.6575342465753428E-2</v>
      </c>
      <c r="K1549">
        <f>IFERROR($J1549/IF($A1549&lt;COUNTIFS($K$1:K$1,"&lt;&gt;"),0,SUMIFS($J:$J,$B:$B,$B1549,$A:$A,"&gt;="&amp;COUNTIFS($K$1:K$1,"&lt;&gt;"))),0)</f>
        <v>0</v>
      </c>
      <c r="L1549">
        <f>IFERROR($J1549/IF($A1549&lt;COUNTIFS($K$1:L$1,"&lt;&gt;"),0,SUMIFS($J:$J,$B:$B,$B1549,$A:$A,"&gt;="&amp;COUNTIFS($K$1:L$1,"&lt;&gt;"))),0)</f>
        <v>0</v>
      </c>
      <c r="M1549">
        <f>IFERROR($J1549/IF($A1549&lt;COUNTIFS($K$1:M$1,"&lt;&gt;"),0,SUMIFS($J:$J,$B:$B,$B1549,$A:$A,"&gt;="&amp;COUNTIFS($K$1:M$1,"&lt;&gt;"))),0)</f>
        <v>0</v>
      </c>
      <c r="N1549">
        <f>IFERROR($J1549/IF($A1549&lt;COUNTIFS($K$1:N$1,"&lt;&gt;"),0,SUMIFS($J:$J,$B:$B,$B1549,$A:$A,"&gt;="&amp;COUNTIFS($K$1:N$1,"&lt;&gt;"))),0)</f>
        <v>0</v>
      </c>
      <c r="O1549">
        <f>IFERROR($J1549/IF($A1549&lt;COUNTIFS($K$1:O$1,"&lt;&gt;"),0,SUMIFS($J:$J,$B:$B,$B1549,$A:$A,"&gt;="&amp;COUNTIFS($K$1:O$1,"&lt;&gt;"))),0)</f>
        <v>0</v>
      </c>
      <c r="P1549">
        <f>IFERROR($J1549/IF($A1549&lt;COUNTIFS($K$1:P$1,"&lt;&gt;"),0,SUMIFS($J:$J,$B:$B,$B1549,$A:$A,"&gt;="&amp;COUNTIFS($K$1:P$1,"&lt;&gt;"))),0)</f>
        <v>0</v>
      </c>
      <c r="Q1549">
        <f>IFERROR($J1549/IF($A1549&lt;COUNTIFS($K$1:Q$1,"&lt;&gt;"),0,SUMIFS($J:$J,$B:$B,$B1549,$A:$A,"&gt;="&amp;COUNTIFS($K$1:Q$1,"&lt;&gt;"))),0)</f>
        <v>0</v>
      </c>
      <c r="R1549">
        <f>IFERROR($J1549/IF($A1549&lt;COUNTIFS($K$1:R$1,"&lt;&gt;"),0,SUMIFS($J:$J,$B:$B,$B1549,$A:$A,"&gt;="&amp;COUNTIFS($K$1:R$1,"&lt;&gt;"))),0)</f>
        <v>0</v>
      </c>
      <c r="S1549">
        <f>IFERROR($J1549/IF($A1549&lt;COUNTIFS($K$1:S$1,"&lt;&gt;"),0,SUMIFS($J:$J,$B:$B,$B1549,$A:$A,"&gt;="&amp;COUNTIFS($K$1:S$1,"&lt;&gt;"))),0)</f>
        <v>0</v>
      </c>
      <c r="T1549">
        <f>IFERROR($J1549/IF($A1549&lt;COUNTIFS($K$1:T$1,"&lt;&gt;"),0,SUMIFS($J:$J,$B:$B,$B1549,$A:$A,"&gt;="&amp;COUNTIFS($K$1:T$1,"&lt;&gt;"))),0)</f>
        <v>0</v>
      </c>
      <c r="U1549">
        <f>IFERROR($J1549/IF($A1549&lt;COUNTIFS($K$1:U$1,"&lt;&gt;"),0,SUMIFS($J:$J,$B:$B,$B1549,$A:$A,"&gt;="&amp;COUNTIFS($K$1:U$1,"&lt;&gt;"))),0)</f>
        <v>0</v>
      </c>
      <c r="V1549">
        <f>IFERROR($J1549/IF($A1549&lt;COUNTIFS($K$1:V$1,"&lt;&gt;"),0,SUMIFS($J:$J,$B:$B,$B1549,$A:$A,"&gt;="&amp;COUNTIFS($K$1:V$1,"&lt;&gt;"))),0)</f>
        <v>0</v>
      </c>
      <c r="W1549">
        <f t="shared" si="552"/>
        <v>4.6575342465753428E-2</v>
      </c>
      <c r="X1549">
        <f t="shared" si="532"/>
        <v>0</v>
      </c>
      <c r="Y1549">
        <f t="shared" si="533"/>
        <v>0</v>
      </c>
      <c r="Z1549">
        <f t="shared" si="534"/>
        <v>0</v>
      </c>
      <c r="AA1549">
        <f t="shared" si="535"/>
        <v>0</v>
      </c>
      <c r="AB1549">
        <f t="shared" si="536"/>
        <v>0</v>
      </c>
      <c r="AC1549">
        <f t="shared" si="537"/>
        <v>0</v>
      </c>
      <c r="AD1549">
        <f t="shared" si="538"/>
        <v>0</v>
      </c>
      <c r="AE1549">
        <f t="shared" si="539"/>
        <v>0</v>
      </c>
      <c r="AF1549">
        <f t="shared" si="540"/>
        <v>0</v>
      </c>
      <c r="AG1549">
        <f t="shared" si="541"/>
        <v>0</v>
      </c>
      <c r="AH1549">
        <f t="shared" si="542"/>
        <v>0</v>
      </c>
      <c r="AI1549">
        <f t="shared" si="543"/>
        <v>0</v>
      </c>
      <c r="AJ1549" s="2" t="str">
        <f t="shared" si="553"/>
        <v>047453</v>
      </c>
    </row>
    <row r="1550" spans="1:36" x14ac:dyDescent="0.25">
      <c r="A1550">
        <v>1</v>
      </c>
      <c r="B1550" s="1">
        <v>47453</v>
      </c>
      <c r="C1550" s="1">
        <f t="shared" si="544"/>
        <v>47484</v>
      </c>
      <c r="D1550" s="1">
        <f t="shared" si="545"/>
        <v>47467</v>
      </c>
      <c r="E1550" s="1">
        <f t="shared" si="546"/>
        <v>47484</v>
      </c>
      <c r="F1550" s="1">
        <f t="shared" si="547"/>
        <v>47515</v>
      </c>
      <c r="G1550" s="1">
        <f t="shared" si="548"/>
        <v>47832</v>
      </c>
      <c r="H1550">
        <f t="shared" si="549"/>
        <v>365</v>
      </c>
      <c r="I1550">
        <f t="shared" si="550"/>
        <v>31</v>
      </c>
      <c r="J1550">
        <f t="shared" si="551"/>
        <v>8.4931506849315067E-2</v>
      </c>
      <c r="K1550">
        <f>IFERROR($J1550/IF($A1550&lt;COUNTIFS($K$1:K$1,"&lt;&gt;"),0,SUMIFS($J:$J,$B:$B,$B1550,$A:$A,"&gt;="&amp;COUNTIFS($K$1:K$1,"&lt;&gt;"))),0)</f>
        <v>8.9080459770114959E-2</v>
      </c>
      <c r="L1550">
        <f>IFERROR($J1550/IF($A1550&lt;COUNTIFS($K$1:L$1,"&lt;&gt;"),0,SUMIFS($J:$J,$B:$B,$B1550,$A:$A,"&gt;="&amp;COUNTIFS($K$1:L$1,"&lt;&gt;"))),0)</f>
        <v>0</v>
      </c>
      <c r="M1550">
        <f>IFERROR($J1550/IF($A1550&lt;COUNTIFS($K$1:M$1,"&lt;&gt;"),0,SUMIFS($J:$J,$B:$B,$B1550,$A:$A,"&gt;="&amp;COUNTIFS($K$1:M$1,"&lt;&gt;"))),0)</f>
        <v>0</v>
      </c>
      <c r="N1550">
        <f>IFERROR($J1550/IF($A1550&lt;COUNTIFS($K$1:N$1,"&lt;&gt;"),0,SUMIFS($J:$J,$B:$B,$B1550,$A:$A,"&gt;="&amp;COUNTIFS($K$1:N$1,"&lt;&gt;"))),0)</f>
        <v>0</v>
      </c>
      <c r="O1550">
        <f>IFERROR($J1550/IF($A1550&lt;COUNTIFS($K$1:O$1,"&lt;&gt;"),0,SUMIFS($J:$J,$B:$B,$B1550,$A:$A,"&gt;="&amp;COUNTIFS($K$1:O$1,"&lt;&gt;"))),0)</f>
        <v>0</v>
      </c>
      <c r="P1550">
        <f>IFERROR($J1550/IF($A1550&lt;COUNTIFS($K$1:P$1,"&lt;&gt;"),0,SUMIFS($J:$J,$B:$B,$B1550,$A:$A,"&gt;="&amp;COUNTIFS($K$1:P$1,"&lt;&gt;"))),0)</f>
        <v>0</v>
      </c>
      <c r="Q1550">
        <f>IFERROR($J1550/IF($A1550&lt;COUNTIFS($K$1:Q$1,"&lt;&gt;"),0,SUMIFS($J:$J,$B:$B,$B1550,$A:$A,"&gt;="&amp;COUNTIFS($K$1:Q$1,"&lt;&gt;"))),0)</f>
        <v>0</v>
      </c>
      <c r="R1550">
        <f>IFERROR($J1550/IF($A1550&lt;COUNTIFS($K$1:R$1,"&lt;&gt;"),0,SUMIFS($J:$J,$B:$B,$B1550,$A:$A,"&gt;="&amp;COUNTIFS($K$1:R$1,"&lt;&gt;"))),0)</f>
        <v>0</v>
      </c>
      <c r="S1550">
        <f>IFERROR($J1550/IF($A1550&lt;COUNTIFS($K$1:S$1,"&lt;&gt;"),0,SUMIFS($J:$J,$B:$B,$B1550,$A:$A,"&gt;="&amp;COUNTIFS($K$1:S$1,"&lt;&gt;"))),0)</f>
        <v>0</v>
      </c>
      <c r="T1550">
        <f>IFERROR($J1550/IF($A1550&lt;COUNTIFS($K$1:T$1,"&lt;&gt;"),0,SUMIFS($J:$J,$B:$B,$B1550,$A:$A,"&gt;="&amp;COUNTIFS($K$1:T$1,"&lt;&gt;"))),0)</f>
        <v>0</v>
      </c>
      <c r="U1550">
        <f>IFERROR($J1550/IF($A1550&lt;COUNTIFS($K$1:U$1,"&lt;&gt;"),0,SUMIFS($J:$J,$B:$B,$B1550,$A:$A,"&gt;="&amp;COUNTIFS($K$1:U$1,"&lt;&gt;"))),0)</f>
        <v>0</v>
      </c>
      <c r="V1550">
        <f>IFERROR($J1550/IF($A1550&lt;COUNTIFS($K$1:V$1,"&lt;&gt;"),0,SUMIFS($J:$J,$B:$B,$B1550,$A:$A,"&gt;="&amp;COUNTIFS($K$1:V$1,"&lt;&gt;"))),0)</f>
        <v>0</v>
      </c>
      <c r="W1550">
        <f t="shared" si="552"/>
        <v>8.4931506849315067E-2</v>
      </c>
      <c r="X1550">
        <f t="shared" si="532"/>
        <v>8.4931506849315067E-2</v>
      </c>
      <c r="Y1550">
        <f t="shared" si="533"/>
        <v>0</v>
      </c>
      <c r="Z1550">
        <f t="shared" si="534"/>
        <v>0</v>
      </c>
      <c r="AA1550">
        <f t="shared" si="535"/>
        <v>0</v>
      </c>
      <c r="AB1550">
        <f t="shared" si="536"/>
        <v>0</v>
      </c>
      <c r="AC1550">
        <f t="shared" si="537"/>
        <v>0</v>
      </c>
      <c r="AD1550">
        <f t="shared" si="538"/>
        <v>0</v>
      </c>
      <c r="AE1550">
        <f t="shared" si="539"/>
        <v>0</v>
      </c>
      <c r="AF1550">
        <f t="shared" si="540"/>
        <v>0</v>
      </c>
      <c r="AG1550">
        <f t="shared" si="541"/>
        <v>0</v>
      </c>
      <c r="AH1550">
        <f t="shared" si="542"/>
        <v>0</v>
      </c>
      <c r="AI1550">
        <f t="shared" si="543"/>
        <v>0</v>
      </c>
      <c r="AJ1550" s="2" t="str">
        <f t="shared" si="553"/>
        <v>147453</v>
      </c>
    </row>
    <row r="1551" spans="1:36" x14ac:dyDescent="0.25">
      <c r="A1551">
        <v>2</v>
      </c>
      <c r="B1551" s="1">
        <v>47453</v>
      </c>
      <c r="C1551" s="1">
        <f t="shared" si="544"/>
        <v>47515</v>
      </c>
      <c r="D1551" s="1">
        <f t="shared" si="545"/>
        <v>47467</v>
      </c>
      <c r="E1551" s="1">
        <f t="shared" si="546"/>
        <v>47515</v>
      </c>
      <c r="F1551" s="1">
        <f t="shared" si="547"/>
        <v>47543</v>
      </c>
      <c r="G1551" s="1">
        <f t="shared" si="548"/>
        <v>47832</v>
      </c>
      <c r="H1551">
        <f t="shared" si="549"/>
        <v>365</v>
      </c>
      <c r="I1551">
        <f t="shared" si="550"/>
        <v>28</v>
      </c>
      <c r="J1551">
        <f t="shared" si="551"/>
        <v>7.6712328767123292E-2</v>
      </c>
      <c r="K1551">
        <f>IFERROR($J1551/IF($A1551&lt;COUNTIFS($K$1:K$1,"&lt;&gt;"),0,SUMIFS($J:$J,$B:$B,$B1551,$A:$A,"&gt;="&amp;COUNTIFS($K$1:K$1,"&lt;&gt;"))),0)</f>
        <v>8.0459770114942541E-2</v>
      </c>
      <c r="L1551">
        <f>IFERROR($J1551/IF($A1551&lt;COUNTIFS($K$1:L$1,"&lt;&gt;"),0,SUMIFS($J:$J,$B:$B,$B1551,$A:$A,"&gt;="&amp;COUNTIFS($K$1:L$1,"&lt;&gt;"))),0)</f>
        <v>8.83280757097792E-2</v>
      </c>
      <c r="M1551">
        <f>IFERROR($J1551/IF($A1551&lt;COUNTIFS($K$1:M$1,"&lt;&gt;"),0,SUMIFS($J:$J,$B:$B,$B1551,$A:$A,"&gt;="&amp;COUNTIFS($K$1:M$1,"&lt;&gt;"))),0)</f>
        <v>0</v>
      </c>
      <c r="N1551">
        <f>IFERROR($J1551/IF($A1551&lt;COUNTIFS($K$1:N$1,"&lt;&gt;"),0,SUMIFS($J:$J,$B:$B,$B1551,$A:$A,"&gt;="&amp;COUNTIFS($K$1:N$1,"&lt;&gt;"))),0)</f>
        <v>0</v>
      </c>
      <c r="O1551">
        <f>IFERROR($J1551/IF($A1551&lt;COUNTIFS($K$1:O$1,"&lt;&gt;"),0,SUMIFS($J:$J,$B:$B,$B1551,$A:$A,"&gt;="&amp;COUNTIFS($K$1:O$1,"&lt;&gt;"))),0)</f>
        <v>0</v>
      </c>
      <c r="P1551">
        <f>IFERROR($J1551/IF($A1551&lt;COUNTIFS($K$1:P$1,"&lt;&gt;"),0,SUMIFS($J:$J,$B:$B,$B1551,$A:$A,"&gt;="&amp;COUNTIFS($K$1:P$1,"&lt;&gt;"))),0)</f>
        <v>0</v>
      </c>
      <c r="Q1551">
        <f>IFERROR($J1551/IF($A1551&lt;COUNTIFS($K$1:Q$1,"&lt;&gt;"),0,SUMIFS($J:$J,$B:$B,$B1551,$A:$A,"&gt;="&amp;COUNTIFS($K$1:Q$1,"&lt;&gt;"))),0)</f>
        <v>0</v>
      </c>
      <c r="R1551">
        <f>IFERROR($J1551/IF($A1551&lt;COUNTIFS($K$1:R$1,"&lt;&gt;"),0,SUMIFS($J:$J,$B:$B,$B1551,$A:$A,"&gt;="&amp;COUNTIFS($K$1:R$1,"&lt;&gt;"))),0)</f>
        <v>0</v>
      </c>
      <c r="S1551">
        <f>IFERROR($J1551/IF($A1551&lt;COUNTIFS($K$1:S$1,"&lt;&gt;"),0,SUMIFS($J:$J,$B:$B,$B1551,$A:$A,"&gt;="&amp;COUNTIFS($K$1:S$1,"&lt;&gt;"))),0)</f>
        <v>0</v>
      </c>
      <c r="T1551">
        <f>IFERROR($J1551/IF($A1551&lt;COUNTIFS($K$1:T$1,"&lt;&gt;"),0,SUMIFS($J:$J,$B:$B,$B1551,$A:$A,"&gt;="&amp;COUNTIFS($K$1:T$1,"&lt;&gt;"))),0)</f>
        <v>0</v>
      </c>
      <c r="U1551">
        <f>IFERROR($J1551/IF($A1551&lt;COUNTIFS($K$1:U$1,"&lt;&gt;"),0,SUMIFS($J:$J,$B:$B,$B1551,$A:$A,"&gt;="&amp;COUNTIFS($K$1:U$1,"&lt;&gt;"))),0)</f>
        <v>0</v>
      </c>
      <c r="V1551">
        <f>IFERROR($J1551/IF($A1551&lt;COUNTIFS($K$1:V$1,"&lt;&gt;"),0,SUMIFS($J:$J,$B:$B,$B1551,$A:$A,"&gt;="&amp;COUNTIFS($K$1:V$1,"&lt;&gt;"))),0)</f>
        <v>0</v>
      </c>
      <c r="W1551">
        <f t="shared" si="552"/>
        <v>7.6712328767123292E-2</v>
      </c>
      <c r="X1551">
        <f t="shared" si="532"/>
        <v>7.6712328767123292E-2</v>
      </c>
      <c r="Y1551">
        <f t="shared" si="533"/>
        <v>7.6712328767123292E-2</v>
      </c>
      <c r="Z1551">
        <f t="shared" si="534"/>
        <v>0</v>
      </c>
      <c r="AA1551">
        <f t="shared" si="535"/>
        <v>0</v>
      </c>
      <c r="AB1551">
        <f t="shared" si="536"/>
        <v>0</v>
      </c>
      <c r="AC1551">
        <f t="shared" si="537"/>
        <v>0</v>
      </c>
      <c r="AD1551">
        <f t="shared" si="538"/>
        <v>0</v>
      </c>
      <c r="AE1551">
        <f t="shared" si="539"/>
        <v>0</v>
      </c>
      <c r="AF1551">
        <f t="shared" si="540"/>
        <v>0</v>
      </c>
      <c r="AG1551">
        <f t="shared" si="541"/>
        <v>0</v>
      </c>
      <c r="AH1551">
        <f t="shared" si="542"/>
        <v>0</v>
      </c>
      <c r="AI1551">
        <f t="shared" si="543"/>
        <v>0</v>
      </c>
      <c r="AJ1551" s="2" t="str">
        <f t="shared" si="553"/>
        <v>247453</v>
      </c>
    </row>
    <row r="1552" spans="1:36" x14ac:dyDescent="0.25">
      <c r="A1552">
        <v>3</v>
      </c>
      <c r="B1552" s="1">
        <v>47453</v>
      </c>
      <c r="C1552" s="1">
        <f t="shared" si="544"/>
        <v>47543</v>
      </c>
      <c r="D1552" s="1">
        <f t="shared" si="545"/>
        <v>47467</v>
      </c>
      <c r="E1552" s="1">
        <f t="shared" si="546"/>
        <v>47543</v>
      </c>
      <c r="F1552" s="1">
        <f t="shared" si="547"/>
        <v>47574</v>
      </c>
      <c r="G1552" s="1">
        <f t="shared" si="548"/>
        <v>47832</v>
      </c>
      <c r="H1552">
        <f t="shared" si="549"/>
        <v>365</v>
      </c>
      <c r="I1552">
        <f t="shared" si="550"/>
        <v>31</v>
      </c>
      <c r="J1552">
        <f t="shared" si="551"/>
        <v>8.4931506849315067E-2</v>
      </c>
      <c r="K1552">
        <f>IFERROR($J1552/IF($A1552&lt;COUNTIFS($K$1:K$1,"&lt;&gt;"),0,SUMIFS($J:$J,$B:$B,$B1552,$A:$A,"&gt;="&amp;COUNTIFS($K$1:K$1,"&lt;&gt;"))),0)</f>
        <v>8.9080459770114959E-2</v>
      </c>
      <c r="L1552">
        <f>IFERROR($J1552/IF($A1552&lt;COUNTIFS($K$1:L$1,"&lt;&gt;"),0,SUMIFS($J:$J,$B:$B,$B1552,$A:$A,"&gt;="&amp;COUNTIFS($K$1:L$1,"&lt;&gt;"))),0)</f>
        <v>9.7791798107255537E-2</v>
      </c>
      <c r="M1552">
        <f>IFERROR($J1552/IF($A1552&lt;COUNTIFS($K$1:M$1,"&lt;&gt;"),0,SUMIFS($J:$J,$B:$B,$B1552,$A:$A,"&gt;="&amp;COUNTIFS($K$1:M$1,"&lt;&gt;"))),0)</f>
        <v>0.10726643598615919</v>
      </c>
      <c r="N1552">
        <f>IFERROR($J1552/IF($A1552&lt;COUNTIFS($K$1:N$1,"&lt;&gt;"),0,SUMIFS($J:$J,$B:$B,$B1552,$A:$A,"&gt;="&amp;COUNTIFS($K$1:N$1,"&lt;&gt;"))),0)</f>
        <v>0</v>
      </c>
      <c r="O1552">
        <f>IFERROR($J1552/IF($A1552&lt;COUNTIFS($K$1:O$1,"&lt;&gt;"),0,SUMIFS($J:$J,$B:$B,$B1552,$A:$A,"&gt;="&amp;COUNTIFS($K$1:O$1,"&lt;&gt;"))),0)</f>
        <v>0</v>
      </c>
      <c r="P1552">
        <f>IFERROR($J1552/IF($A1552&lt;COUNTIFS($K$1:P$1,"&lt;&gt;"),0,SUMIFS($J:$J,$B:$B,$B1552,$A:$A,"&gt;="&amp;COUNTIFS($K$1:P$1,"&lt;&gt;"))),0)</f>
        <v>0</v>
      </c>
      <c r="Q1552">
        <f>IFERROR($J1552/IF($A1552&lt;COUNTIFS($K$1:Q$1,"&lt;&gt;"),0,SUMIFS($J:$J,$B:$B,$B1552,$A:$A,"&gt;="&amp;COUNTIFS($K$1:Q$1,"&lt;&gt;"))),0)</f>
        <v>0</v>
      </c>
      <c r="R1552">
        <f>IFERROR($J1552/IF($A1552&lt;COUNTIFS($K$1:R$1,"&lt;&gt;"),0,SUMIFS($J:$J,$B:$B,$B1552,$A:$A,"&gt;="&amp;COUNTIFS($K$1:R$1,"&lt;&gt;"))),0)</f>
        <v>0</v>
      </c>
      <c r="S1552">
        <f>IFERROR($J1552/IF($A1552&lt;COUNTIFS($K$1:S$1,"&lt;&gt;"),0,SUMIFS($J:$J,$B:$B,$B1552,$A:$A,"&gt;="&amp;COUNTIFS($K$1:S$1,"&lt;&gt;"))),0)</f>
        <v>0</v>
      </c>
      <c r="T1552">
        <f>IFERROR($J1552/IF($A1552&lt;COUNTIFS($K$1:T$1,"&lt;&gt;"),0,SUMIFS($J:$J,$B:$B,$B1552,$A:$A,"&gt;="&amp;COUNTIFS($K$1:T$1,"&lt;&gt;"))),0)</f>
        <v>0</v>
      </c>
      <c r="U1552">
        <f>IFERROR($J1552/IF($A1552&lt;COUNTIFS($K$1:U$1,"&lt;&gt;"),0,SUMIFS($J:$J,$B:$B,$B1552,$A:$A,"&gt;="&amp;COUNTIFS($K$1:U$1,"&lt;&gt;"))),0)</f>
        <v>0</v>
      </c>
      <c r="V1552">
        <f>IFERROR($J1552/IF($A1552&lt;COUNTIFS($K$1:V$1,"&lt;&gt;"),0,SUMIFS($J:$J,$B:$B,$B1552,$A:$A,"&gt;="&amp;COUNTIFS($K$1:V$1,"&lt;&gt;"))),0)</f>
        <v>0</v>
      </c>
      <c r="W1552">
        <f t="shared" si="552"/>
        <v>8.4931506849315067E-2</v>
      </c>
      <c r="X1552">
        <f t="shared" si="532"/>
        <v>8.4931506849315067E-2</v>
      </c>
      <c r="Y1552">
        <f t="shared" si="533"/>
        <v>8.4931506849315067E-2</v>
      </c>
      <c r="Z1552">
        <f t="shared" si="534"/>
        <v>8.4931506849315067E-2</v>
      </c>
      <c r="AA1552">
        <f t="shared" si="535"/>
        <v>0</v>
      </c>
      <c r="AB1552">
        <f t="shared" si="536"/>
        <v>0</v>
      </c>
      <c r="AC1552">
        <f t="shared" si="537"/>
        <v>0</v>
      </c>
      <c r="AD1552">
        <f t="shared" si="538"/>
        <v>0</v>
      </c>
      <c r="AE1552">
        <f t="shared" si="539"/>
        <v>0</v>
      </c>
      <c r="AF1552">
        <f t="shared" si="540"/>
        <v>0</v>
      </c>
      <c r="AG1552">
        <f t="shared" si="541"/>
        <v>0</v>
      </c>
      <c r="AH1552">
        <f t="shared" si="542"/>
        <v>0</v>
      </c>
      <c r="AI1552">
        <f t="shared" si="543"/>
        <v>0</v>
      </c>
      <c r="AJ1552" s="2" t="str">
        <f t="shared" si="553"/>
        <v>347453</v>
      </c>
    </row>
    <row r="1553" spans="1:36" x14ac:dyDescent="0.25">
      <c r="A1553">
        <v>4</v>
      </c>
      <c r="B1553" s="1">
        <v>47453</v>
      </c>
      <c r="C1553" s="1">
        <f t="shared" si="544"/>
        <v>47574</v>
      </c>
      <c r="D1553" s="1">
        <f t="shared" si="545"/>
        <v>47467</v>
      </c>
      <c r="E1553" s="1">
        <f t="shared" si="546"/>
        <v>47574</v>
      </c>
      <c r="F1553" s="1">
        <f t="shared" si="547"/>
        <v>47604</v>
      </c>
      <c r="G1553" s="1">
        <f t="shared" si="548"/>
        <v>47832</v>
      </c>
      <c r="H1553">
        <f t="shared" si="549"/>
        <v>365</v>
      </c>
      <c r="I1553">
        <f t="shared" si="550"/>
        <v>30</v>
      </c>
      <c r="J1553">
        <f t="shared" si="551"/>
        <v>8.2191780821917804E-2</v>
      </c>
      <c r="K1553">
        <f>IFERROR($J1553/IF($A1553&lt;COUNTIFS($K$1:K$1,"&lt;&gt;"),0,SUMIFS($J:$J,$B:$B,$B1553,$A:$A,"&gt;="&amp;COUNTIFS($K$1:K$1,"&lt;&gt;"))),0)</f>
        <v>8.6206896551724144E-2</v>
      </c>
      <c r="L1553">
        <f>IFERROR($J1553/IF($A1553&lt;COUNTIFS($K$1:L$1,"&lt;&gt;"),0,SUMIFS($J:$J,$B:$B,$B1553,$A:$A,"&gt;="&amp;COUNTIFS($K$1:L$1,"&lt;&gt;"))),0)</f>
        <v>9.4637223974763415E-2</v>
      </c>
      <c r="M1553">
        <f>IFERROR($J1553/IF($A1553&lt;COUNTIFS($K$1:M$1,"&lt;&gt;"),0,SUMIFS($J:$J,$B:$B,$B1553,$A:$A,"&gt;="&amp;COUNTIFS($K$1:M$1,"&lt;&gt;"))),0)</f>
        <v>0.10380622837370243</v>
      </c>
      <c r="N1553">
        <f>IFERROR($J1553/IF($A1553&lt;COUNTIFS($K$1:N$1,"&lt;&gt;"),0,SUMIFS($J:$J,$B:$B,$B1553,$A:$A,"&gt;="&amp;COUNTIFS($K$1:N$1,"&lt;&gt;"))),0)</f>
        <v>0.11627906976744187</v>
      </c>
      <c r="O1553">
        <f>IFERROR($J1553/IF($A1553&lt;COUNTIFS($K$1:O$1,"&lt;&gt;"),0,SUMIFS($J:$J,$B:$B,$B1553,$A:$A,"&gt;="&amp;COUNTIFS($K$1:O$1,"&lt;&gt;"))),0)</f>
        <v>0</v>
      </c>
      <c r="P1553">
        <f>IFERROR($J1553/IF($A1553&lt;COUNTIFS($K$1:P$1,"&lt;&gt;"),0,SUMIFS($J:$J,$B:$B,$B1553,$A:$A,"&gt;="&amp;COUNTIFS($K$1:P$1,"&lt;&gt;"))),0)</f>
        <v>0</v>
      </c>
      <c r="Q1553">
        <f>IFERROR($J1553/IF($A1553&lt;COUNTIFS($K$1:Q$1,"&lt;&gt;"),0,SUMIFS($J:$J,$B:$B,$B1553,$A:$A,"&gt;="&amp;COUNTIFS($K$1:Q$1,"&lt;&gt;"))),0)</f>
        <v>0</v>
      </c>
      <c r="R1553">
        <f>IFERROR($J1553/IF($A1553&lt;COUNTIFS($K$1:R$1,"&lt;&gt;"),0,SUMIFS($J:$J,$B:$B,$B1553,$A:$A,"&gt;="&amp;COUNTIFS($K$1:R$1,"&lt;&gt;"))),0)</f>
        <v>0</v>
      </c>
      <c r="S1553">
        <f>IFERROR($J1553/IF($A1553&lt;COUNTIFS($K$1:S$1,"&lt;&gt;"),0,SUMIFS($J:$J,$B:$B,$B1553,$A:$A,"&gt;="&amp;COUNTIFS($K$1:S$1,"&lt;&gt;"))),0)</f>
        <v>0</v>
      </c>
      <c r="T1553">
        <f>IFERROR($J1553/IF($A1553&lt;COUNTIFS($K$1:T$1,"&lt;&gt;"),0,SUMIFS($J:$J,$B:$B,$B1553,$A:$A,"&gt;="&amp;COUNTIFS($K$1:T$1,"&lt;&gt;"))),0)</f>
        <v>0</v>
      </c>
      <c r="U1553">
        <f>IFERROR($J1553/IF($A1553&lt;COUNTIFS($K$1:U$1,"&lt;&gt;"),0,SUMIFS($J:$J,$B:$B,$B1553,$A:$A,"&gt;="&amp;COUNTIFS($K$1:U$1,"&lt;&gt;"))),0)</f>
        <v>0</v>
      </c>
      <c r="V1553">
        <f>IFERROR($J1553/IF($A1553&lt;COUNTIFS($K$1:V$1,"&lt;&gt;"),0,SUMIFS($J:$J,$B:$B,$B1553,$A:$A,"&gt;="&amp;COUNTIFS($K$1:V$1,"&lt;&gt;"))),0)</f>
        <v>0</v>
      </c>
      <c r="W1553">
        <f t="shared" si="552"/>
        <v>8.2191780821917804E-2</v>
      </c>
      <c r="X1553">
        <f t="shared" si="532"/>
        <v>8.2191780821917804E-2</v>
      </c>
      <c r="Y1553">
        <f t="shared" si="533"/>
        <v>8.2191780821917804E-2</v>
      </c>
      <c r="Z1553">
        <f t="shared" si="534"/>
        <v>8.2191780821917804E-2</v>
      </c>
      <c r="AA1553">
        <f t="shared" si="535"/>
        <v>8.2191780821917804E-2</v>
      </c>
      <c r="AB1553">
        <f t="shared" si="536"/>
        <v>0</v>
      </c>
      <c r="AC1553">
        <f t="shared" si="537"/>
        <v>0</v>
      </c>
      <c r="AD1553">
        <f t="shared" si="538"/>
        <v>0</v>
      </c>
      <c r="AE1553">
        <f t="shared" si="539"/>
        <v>0</v>
      </c>
      <c r="AF1553">
        <f t="shared" si="540"/>
        <v>0</v>
      </c>
      <c r="AG1553">
        <f t="shared" si="541"/>
        <v>0</v>
      </c>
      <c r="AH1553">
        <f t="shared" si="542"/>
        <v>0</v>
      </c>
      <c r="AI1553">
        <f t="shared" si="543"/>
        <v>0</v>
      </c>
      <c r="AJ1553" s="2" t="str">
        <f t="shared" si="553"/>
        <v>447453</v>
      </c>
    </row>
    <row r="1554" spans="1:36" x14ac:dyDescent="0.25">
      <c r="A1554">
        <v>5</v>
      </c>
      <c r="B1554" s="1">
        <v>47453</v>
      </c>
      <c r="C1554" s="1">
        <f t="shared" si="544"/>
        <v>47604</v>
      </c>
      <c r="D1554" s="1">
        <f t="shared" si="545"/>
        <v>47467</v>
      </c>
      <c r="E1554" s="1">
        <f t="shared" si="546"/>
        <v>47604</v>
      </c>
      <c r="F1554" s="1">
        <f t="shared" si="547"/>
        <v>47635</v>
      </c>
      <c r="G1554" s="1">
        <f t="shared" si="548"/>
        <v>47832</v>
      </c>
      <c r="H1554">
        <f t="shared" si="549"/>
        <v>365</v>
      </c>
      <c r="I1554">
        <f t="shared" si="550"/>
        <v>31</v>
      </c>
      <c r="J1554">
        <f t="shared" si="551"/>
        <v>8.4931506849315067E-2</v>
      </c>
      <c r="K1554">
        <f>IFERROR($J1554/IF($A1554&lt;COUNTIFS($K$1:K$1,"&lt;&gt;"),0,SUMIFS($J:$J,$B:$B,$B1554,$A:$A,"&gt;="&amp;COUNTIFS($K$1:K$1,"&lt;&gt;"))),0)</f>
        <v>8.9080459770114959E-2</v>
      </c>
      <c r="L1554">
        <f>IFERROR($J1554/IF($A1554&lt;COUNTIFS($K$1:L$1,"&lt;&gt;"),0,SUMIFS($J:$J,$B:$B,$B1554,$A:$A,"&gt;="&amp;COUNTIFS($K$1:L$1,"&lt;&gt;"))),0)</f>
        <v>9.7791798107255537E-2</v>
      </c>
      <c r="M1554">
        <f>IFERROR($J1554/IF($A1554&lt;COUNTIFS($K$1:M$1,"&lt;&gt;"),0,SUMIFS($J:$J,$B:$B,$B1554,$A:$A,"&gt;="&amp;COUNTIFS($K$1:M$1,"&lt;&gt;"))),0)</f>
        <v>0.10726643598615919</v>
      </c>
      <c r="N1554">
        <f>IFERROR($J1554/IF($A1554&lt;COUNTIFS($K$1:N$1,"&lt;&gt;"),0,SUMIFS($J:$J,$B:$B,$B1554,$A:$A,"&gt;="&amp;COUNTIFS($K$1:N$1,"&lt;&gt;"))),0)</f>
        <v>0.12015503875968994</v>
      </c>
      <c r="O1554">
        <f>IFERROR($J1554/IF($A1554&lt;COUNTIFS($K$1:O$1,"&lt;&gt;"),0,SUMIFS($J:$J,$B:$B,$B1554,$A:$A,"&gt;="&amp;COUNTIFS($K$1:O$1,"&lt;&gt;"))),0)</f>
        <v>0.13596491228070179</v>
      </c>
      <c r="P1554">
        <f>IFERROR($J1554/IF($A1554&lt;COUNTIFS($K$1:P$1,"&lt;&gt;"),0,SUMIFS($J:$J,$B:$B,$B1554,$A:$A,"&gt;="&amp;COUNTIFS($K$1:P$1,"&lt;&gt;"))),0)</f>
        <v>0</v>
      </c>
      <c r="Q1554">
        <f>IFERROR($J1554/IF($A1554&lt;COUNTIFS($K$1:Q$1,"&lt;&gt;"),0,SUMIFS($J:$J,$B:$B,$B1554,$A:$A,"&gt;="&amp;COUNTIFS($K$1:Q$1,"&lt;&gt;"))),0)</f>
        <v>0</v>
      </c>
      <c r="R1554">
        <f>IFERROR($J1554/IF($A1554&lt;COUNTIFS($K$1:R$1,"&lt;&gt;"),0,SUMIFS($J:$J,$B:$B,$B1554,$A:$A,"&gt;="&amp;COUNTIFS($K$1:R$1,"&lt;&gt;"))),0)</f>
        <v>0</v>
      </c>
      <c r="S1554">
        <f>IFERROR($J1554/IF($A1554&lt;COUNTIFS($K$1:S$1,"&lt;&gt;"),0,SUMIFS($J:$J,$B:$B,$B1554,$A:$A,"&gt;="&amp;COUNTIFS($K$1:S$1,"&lt;&gt;"))),0)</f>
        <v>0</v>
      </c>
      <c r="T1554">
        <f>IFERROR($J1554/IF($A1554&lt;COUNTIFS($K$1:T$1,"&lt;&gt;"),0,SUMIFS($J:$J,$B:$B,$B1554,$A:$A,"&gt;="&amp;COUNTIFS($K$1:T$1,"&lt;&gt;"))),0)</f>
        <v>0</v>
      </c>
      <c r="U1554">
        <f>IFERROR($J1554/IF($A1554&lt;COUNTIFS($K$1:U$1,"&lt;&gt;"),0,SUMIFS($J:$J,$B:$B,$B1554,$A:$A,"&gt;="&amp;COUNTIFS($K$1:U$1,"&lt;&gt;"))),0)</f>
        <v>0</v>
      </c>
      <c r="V1554">
        <f>IFERROR($J1554/IF($A1554&lt;COUNTIFS($K$1:V$1,"&lt;&gt;"),0,SUMIFS($J:$J,$B:$B,$B1554,$A:$A,"&gt;="&amp;COUNTIFS($K$1:V$1,"&lt;&gt;"))),0)</f>
        <v>0</v>
      </c>
      <c r="W1554">
        <f t="shared" si="552"/>
        <v>8.4931506849315067E-2</v>
      </c>
      <c r="X1554">
        <f t="shared" si="532"/>
        <v>8.4931506849315067E-2</v>
      </c>
      <c r="Y1554">
        <f t="shared" si="533"/>
        <v>8.4931506849315067E-2</v>
      </c>
      <c r="Z1554">
        <f t="shared" si="534"/>
        <v>8.4931506849315067E-2</v>
      </c>
      <c r="AA1554">
        <f t="shared" si="535"/>
        <v>8.4931506849315067E-2</v>
      </c>
      <c r="AB1554">
        <f t="shared" si="536"/>
        <v>8.4931506849315067E-2</v>
      </c>
      <c r="AC1554">
        <f t="shared" si="537"/>
        <v>0</v>
      </c>
      <c r="AD1554">
        <f t="shared" si="538"/>
        <v>0</v>
      </c>
      <c r="AE1554">
        <f t="shared" si="539"/>
        <v>0</v>
      </c>
      <c r="AF1554">
        <f t="shared" si="540"/>
        <v>0</v>
      </c>
      <c r="AG1554">
        <f t="shared" si="541"/>
        <v>0</v>
      </c>
      <c r="AH1554">
        <f t="shared" si="542"/>
        <v>0</v>
      </c>
      <c r="AI1554">
        <f t="shared" si="543"/>
        <v>0</v>
      </c>
      <c r="AJ1554" s="2" t="str">
        <f t="shared" si="553"/>
        <v>547453</v>
      </c>
    </row>
    <row r="1555" spans="1:36" x14ac:dyDescent="0.25">
      <c r="A1555">
        <v>6</v>
      </c>
      <c r="B1555" s="1">
        <v>47453</v>
      </c>
      <c r="C1555" s="1">
        <f t="shared" si="544"/>
        <v>47635</v>
      </c>
      <c r="D1555" s="1">
        <f t="shared" si="545"/>
        <v>47467</v>
      </c>
      <c r="E1555" s="1">
        <f t="shared" si="546"/>
        <v>47635</v>
      </c>
      <c r="F1555" s="1">
        <f t="shared" si="547"/>
        <v>47665</v>
      </c>
      <c r="G1555" s="1">
        <f t="shared" si="548"/>
        <v>47832</v>
      </c>
      <c r="H1555">
        <f t="shared" si="549"/>
        <v>365</v>
      </c>
      <c r="I1555">
        <f t="shared" si="550"/>
        <v>30</v>
      </c>
      <c r="J1555">
        <f t="shared" si="551"/>
        <v>8.2191780821917804E-2</v>
      </c>
      <c r="K1555">
        <f>IFERROR($J1555/IF($A1555&lt;COUNTIFS($K$1:K$1,"&lt;&gt;"),0,SUMIFS($J:$J,$B:$B,$B1555,$A:$A,"&gt;="&amp;COUNTIFS($K$1:K$1,"&lt;&gt;"))),0)</f>
        <v>8.6206896551724144E-2</v>
      </c>
      <c r="L1555">
        <f>IFERROR($J1555/IF($A1555&lt;COUNTIFS($K$1:L$1,"&lt;&gt;"),0,SUMIFS($J:$J,$B:$B,$B1555,$A:$A,"&gt;="&amp;COUNTIFS($K$1:L$1,"&lt;&gt;"))),0)</f>
        <v>9.4637223974763415E-2</v>
      </c>
      <c r="M1555">
        <f>IFERROR($J1555/IF($A1555&lt;COUNTIFS($K$1:M$1,"&lt;&gt;"),0,SUMIFS($J:$J,$B:$B,$B1555,$A:$A,"&gt;="&amp;COUNTIFS($K$1:M$1,"&lt;&gt;"))),0)</f>
        <v>0.10380622837370243</v>
      </c>
      <c r="N1555">
        <f>IFERROR($J1555/IF($A1555&lt;COUNTIFS($K$1:N$1,"&lt;&gt;"),0,SUMIFS($J:$J,$B:$B,$B1555,$A:$A,"&gt;="&amp;COUNTIFS($K$1:N$1,"&lt;&gt;"))),0)</f>
        <v>0.11627906976744187</v>
      </c>
      <c r="O1555">
        <f>IFERROR($J1555/IF($A1555&lt;COUNTIFS($K$1:O$1,"&lt;&gt;"),0,SUMIFS($J:$J,$B:$B,$B1555,$A:$A,"&gt;="&amp;COUNTIFS($K$1:O$1,"&lt;&gt;"))),0)</f>
        <v>0.13157894736842107</v>
      </c>
      <c r="P1555">
        <f>IFERROR($J1555/IF($A1555&lt;COUNTIFS($K$1:P$1,"&lt;&gt;"),0,SUMIFS($J:$J,$B:$B,$B1555,$A:$A,"&gt;="&amp;COUNTIFS($K$1:P$1,"&lt;&gt;"))),0)</f>
        <v>0.15228426395939088</v>
      </c>
      <c r="Q1555">
        <f>IFERROR($J1555/IF($A1555&lt;COUNTIFS($K$1:Q$1,"&lt;&gt;"),0,SUMIFS($J:$J,$B:$B,$B1555,$A:$A,"&gt;="&amp;COUNTIFS($K$1:Q$1,"&lt;&gt;"))),0)</f>
        <v>0</v>
      </c>
      <c r="R1555">
        <f>IFERROR($J1555/IF($A1555&lt;COUNTIFS($K$1:R$1,"&lt;&gt;"),0,SUMIFS($J:$J,$B:$B,$B1555,$A:$A,"&gt;="&amp;COUNTIFS($K$1:R$1,"&lt;&gt;"))),0)</f>
        <v>0</v>
      </c>
      <c r="S1555">
        <f>IFERROR($J1555/IF($A1555&lt;COUNTIFS($K$1:S$1,"&lt;&gt;"),0,SUMIFS($J:$J,$B:$B,$B1555,$A:$A,"&gt;="&amp;COUNTIFS($K$1:S$1,"&lt;&gt;"))),0)</f>
        <v>0</v>
      </c>
      <c r="T1555">
        <f>IFERROR($J1555/IF($A1555&lt;COUNTIFS($K$1:T$1,"&lt;&gt;"),0,SUMIFS($J:$J,$B:$B,$B1555,$A:$A,"&gt;="&amp;COUNTIFS($K$1:T$1,"&lt;&gt;"))),0)</f>
        <v>0</v>
      </c>
      <c r="U1555">
        <f>IFERROR($J1555/IF($A1555&lt;COUNTIFS($K$1:U$1,"&lt;&gt;"),0,SUMIFS($J:$J,$B:$B,$B1555,$A:$A,"&gt;="&amp;COUNTIFS($K$1:U$1,"&lt;&gt;"))),0)</f>
        <v>0</v>
      </c>
      <c r="V1555">
        <f>IFERROR($J1555/IF($A1555&lt;COUNTIFS($K$1:V$1,"&lt;&gt;"),0,SUMIFS($J:$J,$B:$B,$B1555,$A:$A,"&gt;="&amp;COUNTIFS($K$1:V$1,"&lt;&gt;"))),0)</f>
        <v>0</v>
      </c>
      <c r="W1555">
        <f t="shared" si="552"/>
        <v>8.2191780821917804E-2</v>
      </c>
      <c r="X1555">
        <f t="shared" si="532"/>
        <v>8.2191780821917804E-2</v>
      </c>
      <c r="Y1555">
        <f t="shared" si="533"/>
        <v>8.2191780821917804E-2</v>
      </c>
      <c r="Z1555">
        <f t="shared" si="534"/>
        <v>8.2191780821917804E-2</v>
      </c>
      <c r="AA1555">
        <f t="shared" si="535"/>
        <v>8.2191780821917804E-2</v>
      </c>
      <c r="AB1555">
        <f t="shared" si="536"/>
        <v>8.2191780821917804E-2</v>
      </c>
      <c r="AC1555">
        <f t="shared" si="537"/>
        <v>8.2191780821917804E-2</v>
      </c>
      <c r="AD1555">
        <f t="shared" si="538"/>
        <v>0</v>
      </c>
      <c r="AE1555">
        <f t="shared" si="539"/>
        <v>0</v>
      </c>
      <c r="AF1555">
        <f t="shared" si="540"/>
        <v>0</v>
      </c>
      <c r="AG1555">
        <f t="shared" si="541"/>
        <v>0</v>
      </c>
      <c r="AH1555">
        <f t="shared" si="542"/>
        <v>0</v>
      </c>
      <c r="AI1555">
        <f t="shared" si="543"/>
        <v>0</v>
      </c>
      <c r="AJ1555" s="2" t="str">
        <f t="shared" si="553"/>
        <v>647453</v>
      </c>
    </row>
    <row r="1556" spans="1:36" x14ac:dyDescent="0.25">
      <c r="A1556">
        <v>7</v>
      </c>
      <c r="B1556" s="1">
        <v>47453</v>
      </c>
      <c r="C1556" s="1">
        <f t="shared" si="544"/>
        <v>47665</v>
      </c>
      <c r="D1556" s="1">
        <f t="shared" si="545"/>
        <v>47467</v>
      </c>
      <c r="E1556" s="1">
        <f t="shared" si="546"/>
        <v>47665</v>
      </c>
      <c r="F1556" s="1">
        <f t="shared" si="547"/>
        <v>47696</v>
      </c>
      <c r="G1556" s="1">
        <f t="shared" si="548"/>
        <v>47832</v>
      </c>
      <c r="H1556">
        <f t="shared" si="549"/>
        <v>365</v>
      </c>
      <c r="I1556">
        <f t="shared" si="550"/>
        <v>31</v>
      </c>
      <c r="J1556">
        <f t="shared" si="551"/>
        <v>8.4931506849315067E-2</v>
      </c>
      <c r="K1556">
        <f>IFERROR($J1556/IF($A1556&lt;COUNTIFS($K$1:K$1,"&lt;&gt;"),0,SUMIFS($J:$J,$B:$B,$B1556,$A:$A,"&gt;="&amp;COUNTIFS($K$1:K$1,"&lt;&gt;"))),0)</f>
        <v>8.9080459770114959E-2</v>
      </c>
      <c r="L1556">
        <f>IFERROR($J1556/IF($A1556&lt;COUNTIFS($K$1:L$1,"&lt;&gt;"),0,SUMIFS($J:$J,$B:$B,$B1556,$A:$A,"&gt;="&amp;COUNTIFS($K$1:L$1,"&lt;&gt;"))),0)</f>
        <v>9.7791798107255537E-2</v>
      </c>
      <c r="M1556">
        <f>IFERROR($J1556/IF($A1556&lt;COUNTIFS($K$1:M$1,"&lt;&gt;"),0,SUMIFS($J:$J,$B:$B,$B1556,$A:$A,"&gt;="&amp;COUNTIFS($K$1:M$1,"&lt;&gt;"))),0)</f>
        <v>0.10726643598615919</v>
      </c>
      <c r="N1556">
        <f>IFERROR($J1556/IF($A1556&lt;COUNTIFS($K$1:N$1,"&lt;&gt;"),0,SUMIFS($J:$J,$B:$B,$B1556,$A:$A,"&gt;="&amp;COUNTIFS($K$1:N$1,"&lt;&gt;"))),0)</f>
        <v>0.12015503875968994</v>
      </c>
      <c r="O1556">
        <f>IFERROR($J1556/IF($A1556&lt;COUNTIFS($K$1:O$1,"&lt;&gt;"),0,SUMIFS($J:$J,$B:$B,$B1556,$A:$A,"&gt;="&amp;COUNTIFS($K$1:O$1,"&lt;&gt;"))),0)</f>
        <v>0.13596491228070179</v>
      </c>
      <c r="P1556">
        <f>IFERROR($J1556/IF($A1556&lt;COUNTIFS($K$1:P$1,"&lt;&gt;"),0,SUMIFS($J:$J,$B:$B,$B1556,$A:$A,"&gt;="&amp;COUNTIFS($K$1:P$1,"&lt;&gt;"))),0)</f>
        <v>0.15736040609137059</v>
      </c>
      <c r="Q1556">
        <f>IFERROR($J1556/IF($A1556&lt;COUNTIFS($K$1:Q$1,"&lt;&gt;"),0,SUMIFS($J:$J,$B:$B,$B1556,$A:$A,"&gt;="&amp;COUNTIFS($K$1:Q$1,"&lt;&gt;"))),0)</f>
        <v>0.18562874251497008</v>
      </c>
      <c r="R1556">
        <f>IFERROR($J1556/IF($A1556&lt;COUNTIFS($K$1:R$1,"&lt;&gt;"),0,SUMIFS($J:$J,$B:$B,$B1556,$A:$A,"&gt;="&amp;COUNTIFS($K$1:R$1,"&lt;&gt;"))),0)</f>
        <v>0</v>
      </c>
      <c r="S1556">
        <f>IFERROR($J1556/IF($A1556&lt;COUNTIFS($K$1:S$1,"&lt;&gt;"),0,SUMIFS($J:$J,$B:$B,$B1556,$A:$A,"&gt;="&amp;COUNTIFS($K$1:S$1,"&lt;&gt;"))),0)</f>
        <v>0</v>
      </c>
      <c r="T1556">
        <f>IFERROR($J1556/IF($A1556&lt;COUNTIFS($K$1:T$1,"&lt;&gt;"),0,SUMIFS($J:$J,$B:$B,$B1556,$A:$A,"&gt;="&amp;COUNTIFS($K$1:T$1,"&lt;&gt;"))),0)</f>
        <v>0</v>
      </c>
      <c r="U1556">
        <f>IFERROR($J1556/IF($A1556&lt;COUNTIFS($K$1:U$1,"&lt;&gt;"),0,SUMIFS($J:$J,$B:$B,$B1556,$A:$A,"&gt;="&amp;COUNTIFS($K$1:U$1,"&lt;&gt;"))),0)</f>
        <v>0</v>
      </c>
      <c r="V1556">
        <f>IFERROR($J1556/IF($A1556&lt;COUNTIFS($K$1:V$1,"&lt;&gt;"),0,SUMIFS($J:$J,$B:$B,$B1556,$A:$A,"&gt;="&amp;COUNTIFS($K$1:V$1,"&lt;&gt;"))),0)</f>
        <v>0</v>
      </c>
      <c r="W1556">
        <f t="shared" si="552"/>
        <v>8.4931506849315067E-2</v>
      </c>
      <c r="X1556">
        <f t="shared" si="532"/>
        <v>8.4931506849315067E-2</v>
      </c>
      <c r="Y1556">
        <f t="shared" si="533"/>
        <v>8.4931506849315067E-2</v>
      </c>
      <c r="Z1556">
        <f t="shared" si="534"/>
        <v>8.4931506849315067E-2</v>
      </c>
      <c r="AA1556">
        <f t="shared" si="535"/>
        <v>8.4931506849315067E-2</v>
      </c>
      <c r="AB1556">
        <f t="shared" si="536"/>
        <v>8.4931506849315067E-2</v>
      </c>
      <c r="AC1556">
        <f t="shared" si="537"/>
        <v>8.4931506849315067E-2</v>
      </c>
      <c r="AD1556">
        <f t="shared" si="538"/>
        <v>8.4931506849315067E-2</v>
      </c>
      <c r="AE1556">
        <f t="shared" si="539"/>
        <v>0</v>
      </c>
      <c r="AF1556">
        <f t="shared" si="540"/>
        <v>0</v>
      </c>
      <c r="AG1556">
        <f t="shared" si="541"/>
        <v>0</v>
      </c>
      <c r="AH1556">
        <f t="shared" si="542"/>
        <v>0</v>
      </c>
      <c r="AI1556">
        <f t="shared" si="543"/>
        <v>0</v>
      </c>
      <c r="AJ1556" s="2" t="str">
        <f t="shared" si="553"/>
        <v>747453</v>
      </c>
    </row>
    <row r="1557" spans="1:36" x14ac:dyDescent="0.25">
      <c r="A1557">
        <v>8</v>
      </c>
      <c r="B1557" s="1">
        <v>47453</v>
      </c>
      <c r="C1557" s="1">
        <f t="shared" si="544"/>
        <v>47696</v>
      </c>
      <c r="D1557" s="1">
        <f t="shared" si="545"/>
        <v>47467</v>
      </c>
      <c r="E1557" s="1">
        <f t="shared" si="546"/>
        <v>47696</v>
      </c>
      <c r="F1557" s="1">
        <f t="shared" si="547"/>
        <v>47727</v>
      </c>
      <c r="G1557" s="1">
        <f t="shared" si="548"/>
        <v>47832</v>
      </c>
      <c r="H1557">
        <f t="shared" si="549"/>
        <v>365</v>
      </c>
      <c r="I1557">
        <f t="shared" si="550"/>
        <v>31</v>
      </c>
      <c r="J1557">
        <f t="shared" si="551"/>
        <v>8.4931506849315067E-2</v>
      </c>
      <c r="K1557">
        <f>IFERROR($J1557/IF($A1557&lt;COUNTIFS($K$1:K$1,"&lt;&gt;"),0,SUMIFS($J:$J,$B:$B,$B1557,$A:$A,"&gt;="&amp;COUNTIFS($K$1:K$1,"&lt;&gt;"))),0)</f>
        <v>8.9080459770114959E-2</v>
      </c>
      <c r="L1557">
        <f>IFERROR($J1557/IF($A1557&lt;COUNTIFS($K$1:L$1,"&lt;&gt;"),0,SUMIFS($J:$J,$B:$B,$B1557,$A:$A,"&gt;="&amp;COUNTIFS($K$1:L$1,"&lt;&gt;"))),0)</f>
        <v>9.7791798107255537E-2</v>
      </c>
      <c r="M1557">
        <f>IFERROR($J1557/IF($A1557&lt;COUNTIFS($K$1:M$1,"&lt;&gt;"),0,SUMIFS($J:$J,$B:$B,$B1557,$A:$A,"&gt;="&amp;COUNTIFS($K$1:M$1,"&lt;&gt;"))),0)</f>
        <v>0.10726643598615919</v>
      </c>
      <c r="N1557">
        <f>IFERROR($J1557/IF($A1557&lt;COUNTIFS($K$1:N$1,"&lt;&gt;"),0,SUMIFS($J:$J,$B:$B,$B1557,$A:$A,"&gt;="&amp;COUNTIFS($K$1:N$1,"&lt;&gt;"))),0)</f>
        <v>0.12015503875968994</v>
      </c>
      <c r="O1557">
        <f>IFERROR($J1557/IF($A1557&lt;COUNTIFS($K$1:O$1,"&lt;&gt;"),0,SUMIFS($J:$J,$B:$B,$B1557,$A:$A,"&gt;="&amp;COUNTIFS($K$1:O$1,"&lt;&gt;"))),0)</f>
        <v>0.13596491228070179</v>
      </c>
      <c r="P1557">
        <f>IFERROR($J1557/IF($A1557&lt;COUNTIFS($K$1:P$1,"&lt;&gt;"),0,SUMIFS($J:$J,$B:$B,$B1557,$A:$A,"&gt;="&amp;COUNTIFS($K$1:P$1,"&lt;&gt;"))),0)</f>
        <v>0.15736040609137059</v>
      </c>
      <c r="Q1557">
        <f>IFERROR($J1557/IF($A1557&lt;COUNTIFS($K$1:Q$1,"&lt;&gt;"),0,SUMIFS($J:$J,$B:$B,$B1557,$A:$A,"&gt;="&amp;COUNTIFS($K$1:Q$1,"&lt;&gt;"))),0)</f>
        <v>0.18562874251497008</v>
      </c>
      <c r="R1557">
        <f>IFERROR($J1557/IF($A1557&lt;COUNTIFS($K$1:R$1,"&lt;&gt;"),0,SUMIFS($J:$J,$B:$B,$B1557,$A:$A,"&gt;="&amp;COUNTIFS($K$1:R$1,"&lt;&gt;"))),0)</f>
        <v>0.22794117647058826</v>
      </c>
      <c r="S1557">
        <f>IFERROR($J1557/IF($A1557&lt;COUNTIFS($K$1:S$1,"&lt;&gt;"),0,SUMIFS($J:$J,$B:$B,$B1557,$A:$A,"&gt;="&amp;COUNTIFS($K$1:S$1,"&lt;&gt;"))),0)</f>
        <v>0</v>
      </c>
      <c r="T1557">
        <f>IFERROR($J1557/IF($A1557&lt;COUNTIFS($K$1:T$1,"&lt;&gt;"),0,SUMIFS($J:$J,$B:$B,$B1557,$A:$A,"&gt;="&amp;COUNTIFS($K$1:T$1,"&lt;&gt;"))),0)</f>
        <v>0</v>
      </c>
      <c r="U1557">
        <f>IFERROR($J1557/IF($A1557&lt;COUNTIFS($K$1:U$1,"&lt;&gt;"),0,SUMIFS($J:$J,$B:$B,$B1557,$A:$A,"&gt;="&amp;COUNTIFS($K$1:U$1,"&lt;&gt;"))),0)</f>
        <v>0</v>
      </c>
      <c r="V1557">
        <f>IFERROR($J1557/IF($A1557&lt;COUNTIFS($K$1:V$1,"&lt;&gt;"),0,SUMIFS($J:$J,$B:$B,$B1557,$A:$A,"&gt;="&amp;COUNTIFS($K$1:V$1,"&lt;&gt;"))),0)</f>
        <v>0</v>
      </c>
      <c r="W1557">
        <f t="shared" si="552"/>
        <v>8.4931506849315067E-2</v>
      </c>
      <c r="X1557">
        <f t="shared" si="532"/>
        <v>8.4931506849315067E-2</v>
      </c>
      <c r="Y1557">
        <f t="shared" si="533"/>
        <v>8.4931506849315067E-2</v>
      </c>
      <c r="Z1557">
        <f t="shared" si="534"/>
        <v>8.4931506849315067E-2</v>
      </c>
      <c r="AA1557">
        <f t="shared" si="535"/>
        <v>8.4931506849315067E-2</v>
      </c>
      <c r="AB1557">
        <f t="shared" si="536"/>
        <v>8.4931506849315067E-2</v>
      </c>
      <c r="AC1557">
        <f t="shared" si="537"/>
        <v>8.4931506849315067E-2</v>
      </c>
      <c r="AD1557">
        <f t="shared" si="538"/>
        <v>8.4931506849315067E-2</v>
      </c>
      <c r="AE1557">
        <f t="shared" si="539"/>
        <v>8.4931506849315067E-2</v>
      </c>
      <c r="AF1557">
        <f t="shared" si="540"/>
        <v>0</v>
      </c>
      <c r="AG1557">
        <f t="shared" si="541"/>
        <v>0</v>
      </c>
      <c r="AH1557">
        <f t="shared" si="542"/>
        <v>0</v>
      </c>
      <c r="AI1557">
        <f t="shared" si="543"/>
        <v>0</v>
      </c>
      <c r="AJ1557" s="2" t="str">
        <f t="shared" si="553"/>
        <v>847453</v>
      </c>
    </row>
    <row r="1558" spans="1:36" x14ac:dyDescent="0.25">
      <c r="A1558">
        <v>9</v>
      </c>
      <c r="B1558" s="1">
        <v>47453</v>
      </c>
      <c r="C1558" s="1">
        <f t="shared" si="544"/>
        <v>47727</v>
      </c>
      <c r="D1558" s="1">
        <f t="shared" si="545"/>
        <v>47467</v>
      </c>
      <c r="E1558" s="1">
        <f t="shared" si="546"/>
        <v>47727</v>
      </c>
      <c r="F1558" s="1">
        <f t="shared" si="547"/>
        <v>47757</v>
      </c>
      <c r="G1558" s="1">
        <f t="shared" si="548"/>
        <v>47832</v>
      </c>
      <c r="H1558">
        <f t="shared" si="549"/>
        <v>365</v>
      </c>
      <c r="I1558">
        <f t="shared" si="550"/>
        <v>30</v>
      </c>
      <c r="J1558">
        <f t="shared" si="551"/>
        <v>8.2191780821917804E-2</v>
      </c>
      <c r="K1558">
        <f>IFERROR($J1558/IF($A1558&lt;COUNTIFS($K$1:K$1,"&lt;&gt;"),0,SUMIFS($J:$J,$B:$B,$B1558,$A:$A,"&gt;="&amp;COUNTIFS($K$1:K$1,"&lt;&gt;"))),0)</f>
        <v>8.6206896551724144E-2</v>
      </c>
      <c r="L1558">
        <f>IFERROR($J1558/IF($A1558&lt;COUNTIFS($K$1:L$1,"&lt;&gt;"),0,SUMIFS($J:$J,$B:$B,$B1558,$A:$A,"&gt;="&amp;COUNTIFS($K$1:L$1,"&lt;&gt;"))),0)</f>
        <v>9.4637223974763415E-2</v>
      </c>
      <c r="M1558">
        <f>IFERROR($J1558/IF($A1558&lt;COUNTIFS($K$1:M$1,"&lt;&gt;"),0,SUMIFS($J:$J,$B:$B,$B1558,$A:$A,"&gt;="&amp;COUNTIFS($K$1:M$1,"&lt;&gt;"))),0)</f>
        <v>0.10380622837370243</v>
      </c>
      <c r="N1558">
        <f>IFERROR($J1558/IF($A1558&lt;COUNTIFS($K$1:N$1,"&lt;&gt;"),0,SUMIFS($J:$J,$B:$B,$B1558,$A:$A,"&gt;="&amp;COUNTIFS($K$1:N$1,"&lt;&gt;"))),0)</f>
        <v>0.11627906976744187</v>
      </c>
      <c r="O1558">
        <f>IFERROR($J1558/IF($A1558&lt;COUNTIFS($K$1:O$1,"&lt;&gt;"),0,SUMIFS($J:$J,$B:$B,$B1558,$A:$A,"&gt;="&amp;COUNTIFS($K$1:O$1,"&lt;&gt;"))),0)</f>
        <v>0.13157894736842107</v>
      </c>
      <c r="P1558">
        <f>IFERROR($J1558/IF($A1558&lt;COUNTIFS($K$1:P$1,"&lt;&gt;"),0,SUMIFS($J:$J,$B:$B,$B1558,$A:$A,"&gt;="&amp;COUNTIFS($K$1:P$1,"&lt;&gt;"))),0)</f>
        <v>0.15228426395939088</v>
      </c>
      <c r="Q1558">
        <f>IFERROR($J1558/IF($A1558&lt;COUNTIFS($K$1:Q$1,"&lt;&gt;"),0,SUMIFS($J:$J,$B:$B,$B1558,$A:$A,"&gt;="&amp;COUNTIFS($K$1:Q$1,"&lt;&gt;"))),0)</f>
        <v>0.17964071856287425</v>
      </c>
      <c r="R1558">
        <f>IFERROR($J1558/IF($A1558&lt;COUNTIFS($K$1:R$1,"&lt;&gt;"),0,SUMIFS($J:$J,$B:$B,$B1558,$A:$A,"&gt;="&amp;COUNTIFS($K$1:R$1,"&lt;&gt;"))),0)</f>
        <v>0.22058823529411764</v>
      </c>
      <c r="S1558">
        <f>IFERROR($J1558/IF($A1558&lt;COUNTIFS($K$1:S$1,"&lt;&gt;"),0,SUMIFS($J:$J,$B:$B,$B1558,$A:$A,"&gt;="&amp;COUNTIFS($K$1:S$1,"&lt;&gt;"))),0)</f>
        <v>0.2857142857142857</v>
      </c>
      <c r="T1558">
        <f>IFERROR($J1558/IF($A1558&lt;COUNTIFS($K$1:T$1,"&lt;&gt;"),0,SUMIFS($J:$J,$B:$B,$B1558,$A:$A,"&gt;="&amp;COUNTIFS($K$1:T$1,"&lt;&gt;"))),0)</f>
        <v>0</v>
      </c>
      <c r="U1558">
        <f>IFERROR($J1558/IF($A1558&lt;COUNTIFS($K$1:U$1,"&lt;&gt;"),0,SUMIFS($J:$J,$B:$B,$B1558,$A:$A,"&gt;="&amp;COUNTIFS($K$1:U$1,"&lt;&gt;"))),0)</f>
        <v>0</v>
      </c>
      <c r="V1558">
        <f>IFERROR($J1558/IF($A1558&lt;COUNTIFS($K$1:V$1,"&lt;&gt;"),0,SUMIFS($J:$J,$B:$B,$B1558,$A:$A,"&gt;="&amp;COUNTIFS($K$1:V$1,"&lt;&gt;"))),0)</f>
        <v>0</v>
      </c>
      <c r="W1558">
        <f t="shared" si="552"/>
        <v>8.2191780821917804E-2</v>
      </c>
      <c r="X1558">
        <f t="shared" si="532"/>
        <v>8.2191780821917804E-2</v>
      </c>
      <c r="Y1558">
        <f t="shared" si="533"/>
        <v>8.2191780821917804E-2</v>
      </c>
      <c r="Z1558">
        <f t="shared" si="534"/>
        <v>8.2191780821917804E-2</v>
      </c>
      <c r="AA1558">
        <f t="shared" si="535"/>
        <v>8.2191780821917804E-2</v>
      </c>
      <c r="AB1558">
        <f t="shared" si="536"/>
        <v>8.2191780821917804E-2</v>
      </c>
      <c r="AC1558">
        <f t="shared" si="537"/>
        <v>8.2191780821917804E-2</v>
      </c>
      <c r="AD1558">
        <f t="shared" si="538"/>
        <v>8.2191780821917804E-2</v>
      </c>
      <c r="AE1558">
        <f t="shared" si="539"/>
        <v>8.2191780821917804E-2</v>
      </c>
      <c r="AF1558">
        <f t="shared" si="540"/>
        <v>8.2191780821917804E-2</v>
      </c>
      <c r="AG1558">
        <f t="shared" si="541"/>
        <v>0</v>
      </c>
      <c r="AH1558">
        <f t="shared" si="542"/>
        <v>0</v>
      </c>
      <c r="AI1558">
        <f t="shared" si="543"/>
        <v>0</v>
      </c>
      <c r="AJ1558" s="2" t="str">
        <f t="shared" si="553"/>
        <v>947453</v>
      </c>
    </row>
    <row r="1559" spans="1:36" x14ac:dyDescent="0.25">
      <c r="A1559">
        <v>10</v>
      </c>
      <c r="B1559" s="1">
        <v>47453</v>
      </c>
      <c r="C1559" s="1">
        <f t="shared" si="544"/>
        <v>47757</v>
      </c>
      <c r="D1559" s="1">
        <f t="shared" si="545"/>
        <v>47467</v>
      </c>
      <c r="E1559" s="1">
        <f t="shared" si="546"/>
        <v>47757</v>
      </c>
      <c r="F1559" s="1">
        <f t="shared" si="547"/>
        <v>47788</v>
      </c>
      <c r="G1559" s="1">
        <f t="shared" si="548"/>
        <v>47832</v>
      </c>
      <c r="H1559">
        <f t="shared" si="549"/>
        <v>365</v>
      </c>
      <c r="I1559">
        <f t="shared" si="550"/>
        <v>31</v>
      </c>
      <c r="J1559">
        <f t="shared" si="551"/>
        <v>8.4931506849315067E-2</v>
      </c>
      <c r="K1559">
        <f>IFERROR($J1559/IF($A1559&lt;COUNTIFS($K$1:K$1,"&lt;&gt;"),0,SUMIFS($J:$J,$B:$B,$B1559,$A:$A,"&gt;="&amp;COUNTIFS($K$1:K$1,"&lt;&gt;"))),0)</f>
        <v>8.9080459770114959E-2</v>
      </c>
      <c r="L1559">
        <f>IFERROR($J1559/IF($A1559&lt;COUNTIFS($K$1:L$1,"&lt;&gt;"),0,SUMIFS($J:$J,$B:$B,$B1559,$A:$A,"&gt;="&amp;COUNTIFS($K$1:L$1,"&lt;&gt;"))),0)</f>
        <v>9.7791798107255537E-2</v>
      </c>
      <c r="M1559">
        <f>IFERROR($J1559/IF($A1559&lt;COUNTIFS($K$1:M$1,"&lt;&gt;"),0,SUMIFS($J:$J,$B:$B,$B1559,$A:$A,"&gt;="&amp;COUNTIFS($K$1:M$1,"&lt;&gt;"))),0)</f>
        <v>0.10726643598615919</v>
      </c>
      <c r="N1559">
        <f>IFERROR($J1559/IF($A1559&lt;COUNTIFS($K$1:N$1,"&lt;&gt;"),0,SUMIFS($J:$J,$B:$B,$B1559,$A:$A,"&gt;="&amp;COUNTIFS($K$1:N$1,"&lt;&gt;"))),0)</f>
        <v>0.12015503875968994</v>
      </c>
      <c r="O1559">
        <f>IFERROR($J1559/IF($A1559&lt;COUNTIFS($K$1:O$1,"&lt;&gt;"),0,SUMIFS($J:$J,$B:$B,$B1559,$A:$A,"&gt;="&amp;COUNTIFS($K$1:O$1,"&lt;&gt;"))),0)</f>
        <v>0.13596491228070179</v>
      </c>
      <c r="P1559">
        <f>IFERROR($J1559/IF($A1559&lt;COUNTIFS($K$1:P$1,"&lt;&gt;"),0,SUMIFS($J:$J,$B:$B,$B1559,$A:$A,"&gt;="&amp;COUNTIFS($K$1:P$1,"&lt;&gt;"))),0)</f>
        <v>0.15736040609137059</v>
      </c>
      <c r="Q1559">
        <f>IFERROR($J1559/IF($A1559&lt;COUNTIFS($K$1:Q$1,"&lt;&gt;"),0,SUMIFS($J:$J,$B:$B,$B1559,$A:$A,"&gt;="&amp;COUNTIFS($K$1:Q$1,"&lt;&gt;"))),0)</f>
        <v>0.18562874251497008</v>
      </c>
      <c r="R1559">
        <f>IFERROR($J1559/IF($A1559&lt;COUNTIFS($K$1:R$1,"&lt;&gt;"),0,SUMIFS($J:$J,$B:$B,$B1559,$A:$A,"&gt;="&amp;COUNTIFS($K$1:R$1,"&lt;&gt;"))),0)</f>
        <v>0.22794117647058826</v>
      </c>
      <c r="S1559">
        <f>IFERROR($J1559/IF($A1559&lt;COUNTIFS($K$1:S$1,"&lt;&gt;"),0,SUMIFS($J:$J,$B:$B,$B1559,$A:$A,"&gt;="&amp;COUNTIFS($K$1:S$1,"&lt;&gt;"))),0)</f>
        <v>0.29523809523809524</v>
      </c>
      <c r="T1559">
        <f>IFERROR($J1559/IF($A1559&lt;COUNTIFS($K$1:T$1,"&lt;&gt;"),0,SUMIFS($J:$J,$B:$B,$B1559,$A:$A,"&gt;="&amp;COUNTIFS($K$1:T$1,"&lt;&gt;"))),0)</f>
        <v>0.41333333333333333</v>
      </c>
      <c r="U1559">
        <f>IFERROR($J1559/IF($A1559&lt;COUNTIFS($K$1:U$1,"&lt;&gt;"),0,SUMIFS($J:$J,$B:$B,$B1559,$A:$A,"&gt;="&amp;COUNTIFS($K$1:U$1,"&lt;&gt;"))),0)</f>
        <v>0</v>
      </c>
      <c r="V1559">
        <f>IFERROR($J1559/IF($A1559&lt;COUNTIFS($K$1:V$1,"&lt;&gt;"),0,SUMIFS($J:$J,$B:$B,$B1559,$A:$A,"&gt;="&amp;COUNTIFS($K$1:V$1,"&lt;&gt;"))),0)</f>
        <v>0</v>
      </c>
      <c r="W1559">
        <f t="shared" si="552"/>
        <v>8.4931506849315067E-2</v>
      </c>
      <c r="X1559">
        <f t="shared" si="532"/>
        <v>8.4931506849315067E-2</v>
      </c>
      <c r="Y1559">
        <f t="shared" si="533"/>
        <v>8.4931506849315067E-2</v>
      </c>
      <c r="Z1559">
        <f t="shared" si="534"/>
        <v>8.4931506849315067E-2</v>
      </c>
      <c r="AA1559">
        <f t="shared" si="535"/>
        <v>8.4931506849315067E-2</v>
      </c>
      <c r="AB1559">
        <f t="shared" si="536"/>
        <v>8.4931506849315067E-2</v>
      </c>
      <c r="AC1559">
        <f t="shared" si="537"/>
        <v>8.4931506849315067E-2</v>
      </c>
      <c r="AD1559">
        <f t="shared" si="538"/>
        <v>8.4931506849315067E-2</v>
      </c>
      <c r="AE1559">
        <f t="shared" si="539"/>
        <v>8.4931506849315067E-2</v>
      </c>
      <c r="AF1559">
        <f t="shared" si="540"/>
        <v>8.4931506849315067E-2</v>
      </c>
      <c r="AG1559">
        <f t="shared" si="541"/>
        <v>8.4931506849315067E-2</v>
      </c>
      <c r="AH1559">
        <f t="shared" si="542"/>
        <v>0</v>
      </c>
      <c r="AI1559">
        <f t="shared" si="543"/>
        <v>0</v>
      </c>
      <c r="AJ1559" s="2" t="str">
        <f t="shared" si="553"/>
        <v>1047453</v>
      </c>
    </row>
    <row r="1560" spans="1:36" x14ac:dyDescent="0.25">
      <c r="A1560">
        <v>11</v>
      </c>
      <c r="B1560" s="1">
        <v>47453</v>
      </c>
      <c r="C1560" s="1">
        <f t="shared" si="544"/>
        <v>47788</v>
      </c>
      <c r="D1560" s="1">
        <f t="shared" si="545"/>
        <v>47467</v>
      </c>
      <c r="E1560" s="1">
        <f t="shared" si="546"/>
        <v>47788</v>
      </c>
      <c r="F1560" s="1">
        <f t="shared" si="547"/>
        <v>47818</v>
      </c>
      <c r="G1560" s="1">
        <f t="shared" si="548"/>
        <v>47832</v>
      </c>
      <c r="H1560">
        <f t="shared" si="549"/>
        <v>365</v>
      </c>
      <c r="I1560">
        <f t="shared" si="550"/>
        <v>30</v>
      </c>
      <c r="J1560">
        <f t="shared" si="551"/>
        <v>8.2191780821917804E-2</v>
      </c>
      <c r="K1560">
        <f>IFERROR($J1560/IF($A1560&lt;COUNTIFS($K$1:K$1,"&lt;&gt;"),0,SUMIFS($J:$J,$B:$B,$B1560,$A:$A,"&gt;="&amp;COUNTIFS($K$1:K$1,"&lt;&gt;"))),0)</f>
        <v>8.6206896551724144E-2</v>
      </c>
      <c r="L1560">
        <f>IFERROR($J1560/IF($A1560&lt;COUNTIFS($K$1:L$1,"&lt;&gt;"),0,SUMIFS($J:$J,$B:$B,$B1560,$A:$A,"&gt;="&amp;COUNTIFS($K$1:L$1,"&lt;&gt;"))),0)</f>
        <v>9.4637223974763415E-2</v>
      </c>
      <c r="M1560">
        <f>IFERROR($J1560/IF($A1560&lt;COUNTIFS($K$1:M$1,"&lt;&gt;"),0,SUMIFS($J:$J,$B:$B,$B1560,$A:$A,"&gt;="&amp;COUNTIFS($K$1:M$1,"&lt;&gt;"))),0)</f>
        <v>0.10380622837370243</v>
      </c>
      <c r="N1560">
        <f>IFERROR($J1560/IF($A1560&lt;COUNTIFS($K$1:N$1,"&lt;&gt;"),0,SUMIFS($J:$J,$B:$B,$B1560,$A:$A,"&gt;="&amp;COUNTIFS($K$1:N$1,"&lt;&gt;"))),0)</f>
        <v>0.11627906976744187</v>
      </c>
      <c r="O1560">
        <f>IFERROR($J1560/IF($A1560&lt;COUNTIFS($K$1:O$1,"&lt;&gt;"),0,SUMIFS($J:$J,$B:$B,$B1560,$A:$A,"&gt;="&amp;COUNTIFS($K$1:O$1,"&lt;&gt;"))),0)</f>
        <v>0.13157894736842107</v>
      </c>
      <c r="P1560">
        <f>IFERROR($J1560/IF($A1560&lt;COUNTIFS($K$1:P$1,"&lt;&gt;"),0,SUMIFS($J:$J,$B:$B,$B1560,$A:$A,"&gt;="&amp;COUNTIFS($K$1:P$1,"&lt;&gt;"))),0)</f>
        <v>0.15228426395939088</v>
      </c>
      <c r="Q1560">
        <f>IFERROR($J1560/IF($A1560&lt;COUNTIFS($K$1:Q$1,"&lt;&gt;"),0,SUMIFS($J:$J,$B:$B,$B1560,$A:$A,"&gt;="&amp;COUNTIFS($K$1:Q$1,"&lt;&gt;"))),0)</f>
        <v>0.17964071856287425</v>
      </c>
      <c r="R1560">
        <f>IFERROR($J1560/IF($A1560&lt;COUNTIFS($K$1:R$1,"&lt;&gt;"),0,SUMIFS($J:$J,$B:$B,$B1560,$A:$A,"&gt;="&amp;COUNTIFS($K$1:R$1,"&lt;&gt;"))),0)</f>
        <v>0.22058823529411764</v>
      </c>
      <c r="S1560">
        <f>IFERROR($J1560/IF($A1560&lt;COUNTIFS($K$1:S$1,"&lt;&gt;"),0,SUMIFS($J:$J,$B:$B,$B1560,$A:$A,"&gt;="&amp;COUNTIFS($K$1:S$1,"&lt;&gt;"))),0)</f>
        <v>0.2857142857142857</v>
      </c>
      <c r="T1560">
        <f>IFERROR($J1560/IF($A1560&lt;COUNTIFS($K$1:T$1,"&lt;&gt;"),0,SUMIFS($J:$J,$B:$B,$B1560,$A:$A,"&gt;="&amp;COUNTIFS($K$1:T$1,"&lt;&gt;"))),0)</f>
        <v>0.4</v>
      </c>
      <c r="U1560">
        <f>IFERROR($J1560/IF($A1560&lt;COUNTIFS($K$1:U$1,"&lt;&gt;"),0,SUMIFS($J:$J,$B:$B,$B1560,$A:$A,"&gt;="&amp;COUNTIFS($K$1:U$1,"&lt;&gt;"))),0)</f>
        <v>0.68181818181818177</v>
      </c>
      <c r="V1560">
        <f>IFERROR($J1560/IF($A1560&lt;COUNTIFS($K$1:V$1,"&lt;&gt;"),0,SUMIFS($J:$J,$B:$B,$B1560,$A:$A,"&gt;="&amp;COUNTIFS($K$1:V$1,"&lt;&gt;"))),0)</f>
        <v>0</v>
      </c>
      <c r="W1560">
        <f t="shared" si="552"/>
        <v>8.2191780821917804E-2</v>
      </c>
      <c r="X1560">
        <f t="shared" si="532"/>
        <v>8.2191780821917804E-2</v>
      </c>
      <c r="Y1560">
        <f t="shared" si="533"/>
        <v>8.2191780821917804E-2</v>
      </c>
      <c r="Z1560">
        <f t="shared" si="534"/>
        <v>8.2191780821917804E-2</v>
      </c>
      <c r="AA1560">
        <f t="shared" si="535"/>
        <v>8.2191780821917804E-2</v>
      </c>
      <c r="AB1560">
        <f t="shared" si="536"/>
        <v>8.2191780821917804E-2</v>
      </c>
      <c r="AC1560">
        <f t="shared" si="537"/>
        <v>8.2191780821917804E-2</v>
      </c>
      <c r="AD1560">
        <f t="shared" si="538"/>
        <v>8.2191780821917804E-2</v>
      </c>
      <c r="AE1560">
        <f t="shared" si="539"/>
        <v>8.2191780821917804E-2</v>
      </c>
      <c r="AF1560">
        <f t="shared" si="540"/>
        <v>8.2191780821917804E-2</v>
      </c>
      <c r="AG1560">
        <f t="shared" si="541"/>
        <v>8.2191780821917804E-2</v>
      </c>
      <c r="AH1560">
        <f t="shared" si="542"/>
        <v>8.2191780821917804E-2</v>
      </c>
      <c r="AI1560">
        <f t="shared" si="543"/>
        <v>0</v>
      </c>
      <c r="AJ1560" s="2" t="str">
        <f t="shared" si="553"/>
        <v>1147453</v>
      </c>
    </row>
    <row r="1561" spans="1:36" x14ac:dyDescent="0.25">
      <c r="A1561">
        <v>12</v>
      </c>
      <c r="B1561" s="1">
        <v>47453</v>
      </c>
      <c r="C1561" s="1">
        <f t="shared" si="544"/>
        <v>47818</v>
      </c>
      <c r="D1561" s="1">
        <f t="shared" si="545"/>
        <v>47467</v>
      </c>
      <c r="E1561" s="1">
        <f t="shared" si="546"/>
        <v>47818</v>
      </c>
      <c r="F1561" s="1">
        <f t="shared" si="547"/>
        <v>47832</v>
      </c>
      <c r="G1561" s="1">
        <f t="shared" si="548"/>
        <v>47832</v>
      </c>
      <c r="H1561">
        <f t="shared" si="549"/>
        <v>365</v>
      </c>
      <c r="I1561">
        <f t="shared" si="550"/>
        <v>14</v>
      </c>
      <c r="J1561">
        <f t="shared" si="551"/>
        <v>3.8356164383561646E-2</v>
      </c>
      <c r="K1561">
        <f>IFERROR($J1561/IF($A1561&lt;COUNTIFS($K$1:K$1,"&lt;&gt;"),0,SUMIFS($J:$J,$B:$B,$B1561,$A:$A,"&gt;="&amp;COUNTIFS($K$1:K$1,"&lt;&gt;"))),0)</f>
        <v>4.0229885057471271E-2</v>
      </c>
      <c r="L1561">
        <f>IFERROR($J1561/IF($A1561&lt;COUNTIFS($K$1:L$1,"&lt;&gt;"),0,SUMIFS($J:$J,$B:$B,$B1561,$A:$A,"&gt;="&amp;COUNTIFS($K$1:L$1,"&lt;&gt;"))),0)</f>
        <v>4.41640378548896E-2</v>
      </c>
      <c r="M1561">
        <f>IFERROR($J1561/IF($A1561&lt;COUNTIFS($K$1:M$1,"&lt;&gt;"),0,SUMIFS($J:$J,$B:$B,$B1561,$A:$A,"&gt;="&amp;COUNTIFS($K$1:M$1,"&lt;&gt;"))),0)</f>
        <v>4.8442906574394477E-2</v>
      </c>
      <c r="N1561">
        <f>IFERROR($J1561/IF($A1561&lt;COUNTIFS($K$1:N$1,"&lt;&gt;"),0,SUMIFS($J:$J,$B:$B,$B1561,$A:$A,"&gt;="&amp;COUNTIFS($K$1:N$1,"&lt;&gt;"))),0)</f>
        <v>5.4263565891472881E-2</v>
      </c>
      <c r="O1561">
        <f>IFERROR($J1561/IF($A1561&lt;COUNTIFS($K$1:O$1,"&lt;&gt;"),0,SUMIFS($J:$J,$B:$B,$B1561,$A:$A,"&gt;="&amp;COUNTIFS($K$1:O$1,"&lt;&gt;"))),0)</f>
        <v>6.1403508771929842E-2</v>
      </c>
      <c r="P1561">
        <f>IFERROR($J1561/IF($A1561&lt;COUNTIFS($K$1:P$1,"&lt;&gt;"),0,SUMIFS($J:$J,$B:$B,$B1561,$A:$A,"&gt;="&amp;COUNTIFS($K$1:P$1,"&lt;&gt;"))),0)</f>
        <v>7.1065989847715755E-2</v>
      </c>
      <c r="Q1561">
        <f>IFERROR($J1561/IF($A1561&lt;COUNTIFS($K$1:Q$1,"&lt;&gt;"),0,SUMIFS($J:$J,$B:$B,$B1561,$A:$A,"&gt;="&amp;COUNTIFS($K$1:Q$1,"&lt;&gt;"))),0)</f>
        <v>8.3832335329341326E-2</v>
      </c>
      <c r="R1561">
        <f>IFERROR($J1561/IF($A1561&lt;COUNTIFS($K$1:R$1,"&lt;&gt;"),0,SUMIFS($J:$J,$B:$B,$B1561,$A:$A,"&gt;="&amp;COUNTIFS($K$1:R$1,"&lt;&gt;"))),0)</f>
        <v>0.10294117647058824</v>
      </c>
      <c r="S1561">
        <f>IFERROR($J1561/IF($A1561&lt;COUNTIFS($K$1:S$1,"&lt;&gt;"),0,SUMIFS($J:$J,$B:$B,$B1561,$A:$A,"&gt;="&amp;COUNTIFS($K$1:S$1,"&lt;&gt;"))),0)</f>
        <v>0.13333333333333336</v>
      </c>
      <c r="T1561">
        <f>IFERROR($J1561/IF($A1561&lt;COUNTIFS($K$1:T$1,"&lt;&gt;"),0,SUMIFS($J:$J,$B:$B,$B1561,$A:$A,"&gt;="&amp;COUNTIFS($K$1:T$1,"&lt;&gt;"))),0)</f>
        <v>0.18666666666666668</v>
      </c>
      <c r="U1561">
        <f>IFERROR($J1561/IF($A1561&lt;COUNTIFS($K$1:U$1,"&lt;&gt;"),0,SUMIFS($J:$J,$B:$B,$B1561,$A:$A,"&gt;="&amp;COUNTIFS($K$1:U$1,"&lt;&gt;"))),0)</f>
        <v>0.31818181818181818</v>
      </c>
      <c r="V1561">
        <f>IFERROR($J1561/IF($A1561&lt;COUNTIFS($K$1:V$1,"&lt;&gt;"),0,SUMIFS($J:$J,$B:$B,$B1561,$A:$A,"&gt;="&amp;COUNTIFS($K$1:V$1,"&lt;&gt;"))),0)</f>
        <v>1</v>
      </c>
      <c r="W1561">
        <f t="shared" si="552"/>
        <v>3.8356164383561646E-2</v>
      </c>
      <c r="X1561">
        <f t="shared" si="532"/>
        <v>3.8356164383561646E-2</v>
      </c>
      <c r="Y1561">
        <f t="shared" si="533"/>
        <v>3.8356164383561646E-2</v>
      </c>
      <c r="Z1561">
        <f t="shared" si="534"/>
        <v>3.8356164383561646E-2</v>
      </c>
      <c r="AA1561">
        <f t="shared" si="535"/>
        <v>3.8356164383561646E-2</v>
      </c>
      <c r="AB1561">
        <f t="shared" si="536"/>
        <v>3.8356164383561646E-2</v>
      </c>
      <c r="AC1561">
        <f t="shared" si="537"/>
        <v>3.8356164383561646E-2</v>
      </c>
      <c r="AD1561">
        <f t="shared" si="538"/>
        <v>3.8356164383561646E-2</v>
      </c>
      <c r="AE1561">
        <f t="shared" si="539"/>
        <v>3.8356164383561646E-2</v>
      </c>
      <c r="AF1561">
        <f t="shared" si="540"/>
        <v>3.8356164383561646E-2</v>
      </c>
      <c r="AG1561">
        <f t="shared" si="541"/>
        <v>3.8356164383561646E-2</v>
      </c>
      <c r="AH1561">
        <f t="shared" si="542"/>
        <v>3.8356164383561646E-2</v>
      </c>
      <c r="AI1561">
        <f t="shared" si="543"/>
        <v>3.8356164383561646E-2</v>
      </c>
      <c r="AJ1561" s="2" t="str">
        <f t="shared" si="553"/>
        <v>1247453</v>
      </c>
    </row>
    <row r="1562" spans="1:36" x14ac:dyDescent="0.25">
      <c r="A1562">
        <v>0</v>
      </c>
      <c r="B1562" s="1">
        <v>47484</v>
      </c>
      <c r="C1562" s="1">
        <f t="shared" si="544"/>
        <v>47484</v>
      </c>
      <c r="D1562" s="1">
        <f t="shared" si="545"/>
        <v>47498</v>
      </c>
      <c r="E1562" s="1">
        <f t="shared" si="546"/>
        <v>47498</v>
      </c>
      <c r="F1562" s="1">
        <f t="shared" si="547"/>
        <v>47515</v>
      </c>
      <c r="G1562" s="1">
        <f t="shared" si="548"/>
        <v>47863</v>
      </c>
      <c r="H1562">
        <f t="shared" si="549"/>
        <v>365</v>
      </c>
      <c r="I1562">
        <f t="shared" si="550"/>
        <v>17</v>
      </c>
      <c r="J1562">
        <f t="shared" si="551"/>
        <v>4.6575342465753428E-2</v>
      </c>
      <c r="K1562">
        <f>IFERROR($J1562/IF($A1562&lt;COUNTIFS($K$1:K$1,"&lt;&gt;"),0,SUMIFS($J:$J,$B:$B,$B1562,$A:$A,"&gt;="&amp;COUNTIFS($K$1:K$1,"&lt;&gt;"))),0)</f>
        <v>0</v>
      </c>
      <c r="L1562">
        <f>IFERROR($J1562/IF($A1562&lt;COUNTIFS($K$1:L$1,"&lt;&gt;"),0,SUMIFS($J:$J,$B:$B,$B1562,$A:$A,"&gt;="&amp;COUNTIFS($K$1:L$1,"&lt;&gt;"))),0)</f>
        <v>0</v>
      </c>
      <c r="M1562">
        <f>IFERROR($J1562/IF($A1562&lt;COUNTIFS($K$1:M$1,"&lt;&gt;"),0,SUMIFS($J:$J,$B:$B,$B1562,$A:$A,"&gt;="&amp;COUNTIFS($K$1:M$1,"&lt;&gt;"))),0)</f>
        <v>0</v>
      </c>
      <c r="N1562">
        <f>IFERROR($J1562/IF($A1562&lt;COUNTIFS($K$1:N$1,"&lt;&gt;"),0,SUMIFS($J:$J,$B:$B,$B1562,$A:$A,"&gt;="&amp;COUNTIFS($K$1:N$1,"&lt;&gt;"))),0)</f>
        <v>0</v>
      </c>
      <c r="O1562">
        <f>IFERROR($J1562/IF($A1562&lt;COUNTIFS($K$1:O$1,"&lt;&gt;"),0,SUMIFS($J:$J,$B:$B,$B1562,$A:$A,"&gt;="&amp;COUNTIFS($K$1:O$1,"&lt;&gt;"))),0)</f>
        <v>0</v>
      </c>
      <c r="P1562">
        <f>IFERROR($J1562/IF($A1562&lt;COUNTIFS($K$1:P$1,"&lt;&gt;"),0,SUMIFS($J:$J,$B:$B,$B1562,$A:$A,"&gt;="&amp;COUNTIFS($K$1:P$1,"&lt;&gt;"))),0)</f>
        <v>0</v>
      </c>
      <c r="Q1562">
        <f>IFERROR($J1562/IF($A1562&lt;COUNTIFS($K$1:Q$1,"&lt;&gt;"),0,SUMIFS($J:$J,$B:$B,$B1562,$A:$A,"&gt;="&amp;COUNTIFS($K$1:Q$1,"&lt;&gt;"))),0)</f>
        <v>0</v>
      </c>
      <c r="R1562">
        <f>IFERROR($J1562/IF($A1562&lt;COUNTIFS($K$1:R$1,"&lt;&gt;"),0,SUMIFS($J:$J,$B:$B,$B1562,$A:$A,"&gt;="&amp;COUNTIFS($K$1:R$1,"&lt;&gt;"))),0)</f>
        <v>0</v>
      </c>
      <c r="S1562">
        <f>IFERROR($J1562/IF($A1562&lt;COUNTIFS($K$1:S$1,"&lt;&gt;"),0,SUMIFS($J:$J,$B:$B,$B1562,$A:$A,"&gt;="&amp;COUNTIFS($K$1:S$1,"&lt;&gt;"))),0)</f>
        <v>0</v>
      </c>
      <c r="T1562">
        <f>IFERROR($J1562/IF($A1562&lt;COUNTIFS($K$1:T$1,"&lt;&gt;"),0,SUMIFS($J:$J,$B:$B,$B1562,$A:$A,"&gt;="&amp;COUNTIFS($K$1:T$1,"&lt;&gt;"))),0)</f>
        <v>0</v>
      </c>
      <c r="U1562">
        <f>IFERROR($J1562/IF($A1562&lt;COUNTIFS($K$1:U$1,"&lt;&gt;"),0,SUMIFS($J:$J,$B:$B,$B1562,$A:$A,"&gt;="&amp;COUNTIFS($K$1:U$1,"&lt;&gt;"))),0)</f>
        <v>0</v>
      </c>
      <c r="V1562">
        <f>IFERROR($J1562/IF($A1562&lt;COUNTIFS($K$1:V$1,"&lt;&gt;"),0,SUMIFS($J:$J,$B:$B,$B1562,$A:$A,"&gt;="&amp;COUNTIFS($K$1:V$1,"&lt;&gt;"))),0)</f>
        <v>0</v>
      </c>
      <c r="W1562">
        <f t="shared" si="552"/>
        <v>4.6575342465753428E-2</v>
      </c>
      <c r="X1562">
        <f t="shared" si="532"/>
        <v>0</v>
      </c>
      <c r="Y1562">
        <f t="shared" si="533"/>
        <v>0</v>
      </c>
      <c r="Z1562">
        <f t="shared" si="534"/>
        <v>0</v>
      </c>
      <c r="AA1562">
        <f t="shared" si="535"/>
        <v>0</v>
      </c>
      <c r="AB1562">
        <f t="shared" si="536"/>
        <v>0</v>
      </c>
      <c r="AC1562">
        <f t="shared" si="537"/>
        <v>0</v>
      </c>
      <c r="AD1562">
        <f t="shared" si="538"/>
        <v>0</v>
      </c>
      <c r="AE1562">
        <f t="shared" si="539"/>
        <v>0</v>
      </c>
      <c r="AF1562">
        <f t="shared" si="540"/>
        <v>0</v>
      </c>
      <c r="AG1562">
        <f t="shared" si="541"/>
        <v>0</v>
      </c>
      <c r="AH1562">
        <f t="shared" si="542"/>
        <v>0</v>
      </c>
      <c r="AI1562">
        <f t="shared" si="543"/>
        <v>0</v>
      </c>
      <c r="AJ1562" s="2" t="str">
        <f t="shared" si="553"/>
        <v>047484</v>
      </c>
    </row>
    <row r="1563" spans="1:36" x14ac:dyDescent="0.25">
      <c r="A1563">
        <v>1</v>
      </c>
      <c r="B1563" s="1">
        <v>47484</v>
      </c>
      <c r="C1563" s="1">
        <f t="shared" si="544"/>
        <v>47515</v>
      </c>
      <c r="D1563" s="1">
        <f t="shared" si="545"/>
        <v>47498</v>
      </c>
      <c r="E1563" s="1">
        <f t="shared" si="546"/>
        <v>47515</v>
      </c>
      <c r="F1563" s="1">
        <f t="shared" si="547"/>
        <v>47543</v>
      </c>
      <c r="G1563" s="1">
        <f t="shared" si="548"/>
        <v>47863</v>
      </c>
      <c r="H1563">
        <f t="shared" si="549"/>
        <v>365</v>
      </c>
      <c r="I1563">
        <f t="shared" si="550"/>
        <v>28</v>
      </c>
      <c r="J1563">
        <f t="shared" si="551"/>
        <v>7.6712328767123292E-2</v>
      </c>
      <c r="K1563">
        <f>IFERROR($J1563/IF($A1563&lt;COUNTIFS($K$1:K$1,"&lt;&gt;"),0,SUMIFS($J:$J,$B:$B,$B1563,$A:$A,"&gt;="&amp;COUNTIFS($K$1:K$1,"&lt;&gt;"))),0)</f>
        <v>8.0459770114942541E-2</v>
      </c>
      <c r="L1563">
        <f>IFERROR($J1563/IF($A1563&lt;COUNTIFS($K$1:L$1,"&lt;&gt;"),0,SUMIFS($J:$J,$B:$B,$B1563,$A:$A,"&gt;="&amp;COUNTIFS($K$1:L$1,"&lt;&gt;"))),0)</f>
        <v>0</v>
      </c>
      <c r="M1563">
        <f>IFERROR($J1563/IF($A1563&lt;COUNTIFS($K$1:M$1,"&lt;&gt;"),0,SUMIFS($J:$J,$B:$B,$B1563,$A:$A,"&gt;="&amp;COUNTIFS($K$1:M$1,"&lt;&gt;"))),0)</f>
        <v>0</v>
      </c>
      <c r="N1563">
        <f>IFERROR($J1563/IF($A1563&lt;COUNTIFS($K$1:N$1,"&lt;&gt;"),0,SUMIFS($J:$J,$B:$B,$B1563,$A:$A,"&gt;="&amp;COUNTIFS($K$1:N$1,"&lt;&gt;"))),0)</f>
        <v>0</v>
      </c>
      <c r="O1563">
        <f>IFERROR($J1563/IF($A1563&lt;COUNTIFS($K$1:O$1,"&lt;&gt;"),0,SUMIFS($J:$J,$B:$B,$B1563,$A:$A,"&gt;="&amp;COUNTIFS($K$1:O$1,"&lt;&gt;"))),0)</f>
        <v>0</v>
      </c>
      <c r="P1563">
        <f>IFERROR($J1563/IF($A1563&lt;COUNTIFS($K$1:P$1,"&lt;&gt;"),0,SUMIFS($J:$J,$B:$B,$B1563,$A:$A,"&gt;="&amp;COUNTIFS($K$1:P$1,"&lt;&gt;"))),0)</f>
        <v>0</v>
      </c>
      <c r="Q1563">
        <f>IFERROR($J1563/IF($A1563&lt;COUNTIFS($K$1:Q$1,"&lt;&gt;"),0,SUMIFS($J:$J,$B:$B,$B1563,$A:$A,"&gt;="&amp;COUNTIFS($K$1:Q$1,"&lt;&gt;"))),0)</f>
        <v>0</v>
      </c>
      <c r="R1563">
        <f>IFERROR($J1563/IF($A1563&lt;COUNTIFS($K$1:R$1,"&lt;&gt;"),0,SUMIFS($J:$J,$B:$B,$B1563,$A:$A,"&gt;="&amp;COUNTIFS($K$1:R$1,"&lt;&gt;"))),0)</f>
        <v>0</v>
      </c>
      <c r="S1563">
        <f>IFERROR($J1563/IF($A1563&lt;COUNTIFS($K$1:S$1,"&lt;&gt;"),0,SUMIFS($J:$J,$B:$B,$B1563,$A:$A,"&gt;="&amp;COUNTIFS($K$1:S$1,"&lt;&gt;"))),0)</f>
        <v>0</v>
      </c>
      <c r="T1563">
        <f>IFERROR($J1563/IF($A1563&lt;COUNTIFS($K$1:T$1,"&lt;&gt;"),0,SUMIFS($J:$J,$B:$B,$B1563,$A:$A,"&gt;="&amp;COUNTIFS($K$1:T$1,"&lt;&gt;"))),0)</f>
        <v>0</v>
      </c>
      <c r="U1563">
        <f>IFERROR($J1563/IF($A1563&lt;COUNTIFS($K$1:U$1,"&lt;&gt;"),0,SUMIFS($J:$J,$B:$B,$B1563,$A:$A,"&gt;="&amp;COUNTIFS($K$1:U$1,"&lt;&gt;"))),0)</f>
        <v>0</v>
      </c>
      <c r="V1563">
        <f>IFERROR($J1563/IF($A1563&lt;COUNTIFS($K$1:V$1,"&lt;&gt;"),0,SUMIFS($J:$J,$B:$B,$B1563,$A:$A,"&gt;="&amp;COUNTIFS($K$1:V$1,"&lt;&gt;"))),0)</f>
        <v>0</v>
      </c>
      <c r="W1563">
        <f t="shared" si="552"/>
        <v>7.6712328767123292E-2</v>
      </c>
      <c r="X1563">
        <f t="shared" si="532"/>
        <v>7.6712328767123292E-2</v>
      </c>
      <c r="Y1563">
        <f t="shared" si="533"/>
        <v>0</v>
      </c>
      <c r="Z1563">
        <f t="shared" si="534"/>
        <v>0</v>
      </c>
      <c r="AA1563">
        <f t="shared" si="535"/>
        <v>0</v>
      </c>
      <c r="AB1563">
        <f t="shared" si="536"/>
        <v>0</v>
      </c>
      <c r="AC1563">
        <f t="shared" si="537"/>
        <v>0</v>
      </c>
      <c r="AD1563">
        <f t="shared" si="538"/>
        <v>0</v>
      </c>
      <c r="AE1563">
        <f t="shared" si="539"/>
        <v>0</v>
      </c>
      <c r="AF1563">
        <f t="shared" si="540"/>
        <v>0</v>
      </c>
      <c r="AG1563">
        <f t="shared" si="541"/>
        <v>0</v>
      </c>
      <c r="AH1563">
        <f t="shared" si="542"/>
        <v>0</v>
      </c>
      <c r="AI1563">
        <f t="shared" si="543"/>
        <v>0</v>
      </c>
      <c r="AJ1563" s="2" t="str">
        <f t="shared" si="553"/>
        <v>147484</v>
      </c>
    </row>
    <row r="1564" spans="1:36" x14ac:dyDescent="0.25">
      <c r="A1564">
        <v>2</v>
      </c>
      <c r="B1564" s="1">
        <v>47484</v>
      </c>
      <c r="C1564" s="1">
        <f t="shared" si="544"/>
        <v>47543</v>
      </c>
      <c r="D1564" s="1">
        <f t="shared" si="545"/>
        <v>47498</v>
      </c>
      <c r="E1564" s="1">
        <f t="shared" si="546"/>
        <v>47543</v>
      </c>
      <c r="F1564" s="1">
        <f t="shared" si="547"/>
        <v>47574</v>
      </c>
      <c r="G1564" s="1">
        <f t="shared" si="548"/>
        <v>47863</v>
      </c>
      <c r="H1564">
        <f t="shared" si="549"/>
        <v>365</v>
      </c>
      <c r="I1564">
        <f t="shared" si="550"/>
        <v>31</v>
      </c>
      <c r="J1564">
        <f t="shared" si="551"/>
        <v>8.4931506849315067E-2</v>
      </c>
      <c r="K1564">
        <f>IFERROR($J1564/IF($A1564&lt;COUNTIFS($K$1:K$1,"&lt;&gt;"),0,SUMIFS($J:$J,$B:$B,$B1564,$A:$A,"&gt;="&amp;COUNTIFS($K$1:K$1,"&lt;&gt;"))),0)</f>
        <v>8.9080459770114959E-2</v>
      </c>
      <c r="L1564">
        <f>IFERROR($J1564/IF($A1564&lt;COUNTIFS($K$1:L$1,"&lt;&gt;"),0,SUMIFS($J:$J,$B:$B,$B1564,$A:$A,"&gt;="&amp;COUNTIFS($K$1:L$1,"&lt;&gt;"))),0)</f>
        <v>9.6875000000000017E-2</v>
      </c>
      <c r="M1564">
        <f>IFERROR($J1564/IF($A1564&lt;COUNTIFS($K$1:M$1,"&lt;&gt;"),0,SUMIFS($J:$J,$B:$B,$B1564,$A:$A,"&gt;="&amp;COUNTIFS($K$1:M$1,"&lt;&gt;"))),0)</f>
        <v>0</v>
      </c>
      <c r="N1564">
        <f>IFERROR($J1564/IF($A1564&lt;COUNTIFS($K$1:N$1,"&lt;&gt;"),0,SUMIFS($J:$J,$B:$B,$B1564,$A:$A,"&gt;="&amp;COUNTIFS($K$1:N$1,"&lt;&gt;"))),0)</f>
        <v>0</v>
      </c>
      <c r="O1564">
        <f>IFERROR($J1564/IF($A1564&lt;COUNTIFS($K$1:O$1,"&lt;&gt;"),0,SUMIFS($J:$J,$B:$B,$B1564,$A:$A,"&gt;="&amp;COUNTIFS($K$1:O$1,"&lt;&gt;"))),0)</f>
        <v>0</v>
      </c>
      <c r="P1564">
        <f>IFERROR($J1564/IF($A1564&lt;COUNTIFS($K$1:P$1,"&lt;&gt;"),0,SUMIFS($J:$J,$B:$B,$B1564,$A:$A,"&gt;="&amp;COUNTIFS($K$1:P$1,"&lt;&gt;"))),0)</f>
        <v>0</v>
      </c>
      <c r="Q1564">
        <f>IFERROR($J1564/IF($A1564&lt;COUNTIFS($K$1:Q$1,"&lt;&gt;"),0,SUMIFS($J:$J,$B:$B,$B1564,$A:$A,"&gt;="&amp;COUNTIFS($K$1:Q$1,"&lt;&gt;"))),0)</f>
        <v>0</v>
      </c>
      <c r="R1564">
        <f>IFERROR($J1564/IF($A1564&lt;COUNTIFS($K$1:R$1,"&lt;&gt;"),0,SUMIFS($J:$J,$B:$B,$B1564,$A:$A,"&gt;="&amp;COUNTIFS($K$1:R$1,"&lt;&gt;"))),0)</f>
        <v>0</v>
      </c>
      <c r="S1564">
        <f>IFERROR($J1564/IF($A1564&lt;COUNTIFS($K$1:S$1,"&lt;&gt;"),0,SUMIFS($J:$J,$B:$B,$B1564,$A:$A,"&gt;="&amp;COUNTIFS($K$1:S$1,"&lt;&gt;"))),0)</f>
        <v>0</v>
      </c>
      <c r="T1564">
        <f>IFERROR($J1564/IF($A1564&lt;COUNTIFS($K$1:T$1,"&lt;&gt;"),0,SUMIFS($J:$J,$B:$B,$B1564,$A:$A,"&gt;="&amp;COUNTIFS($K$1:T$1,"&lt;&gt;"))),0)</f>
        <v>0</v>
      </c>
      <c r="U1564">
        <f>IFERROR($J1564/IF($A1564&lt;COUNTIFS($K$1:U$1,"&lt;&gt;"),0,SUMIFS($J:$J,$B:$B,$B1564,$A:$A,"&gt;="&amp;COUNTIFS($K$1:U$1,"&lt;&gt;"))),0)</f>
        <v>0</v>
      </c>
      <c r="V1564">
        <f>IFERROR($J1564/IF($A1564&lt;COUNTIFS($K$1:V$1,"&lt;&gt;"),0,SUMIFS($J:$J,$B:$B,$B1564,$A:$A,"&gt;="&amp;COUNTIFS($K$1:V$1,"&lt;&gt;"))),0)</f>
        <v>0</v>
      </c>
      <c r="W1564">
        <f t="shared" si="552"/>
        <v>8.4931506849315067E-2</v>
      </c>
      <c r="X1564">
        <f t="shared" si="532"/>
        <v>8.4931506849315067E-2</v>
      </c>
      <c r="Y1564">
        <f t="shared" si="533"/>
        <v>8.4931506849315067E-2</v>
      </c>
      <c r="Z1564">
        <f t="shared" si="534"/>
        <v>0</v>
      </c>
      <c r="AA1564">
        <f t="shared" si="535"/>
        <v>0</v>
      </c>
      <c r="AB1564">
        <f t="shared" si="536"/>
        <v>0</v>
      </c>
      <c r="AC1564">
        <f t="shared" si="537"/>
        <v>0</v>
      </c>
      <c r="AD1564">
        <f t="shared" si="538"/>
        <v>0</v>
      </c>
      <c r="AE1564">
        <f t="shared" si="539"/>
        <v>0</v>
      </c>
      <c r="AF1564">
        <f t="shared" si="540"/>
        <v>0</v>
      </c>
      <c r="AG1564">
        <f t="shared" si="541"/>
        <v>0</v>
      </c>
      <c r="AH1564">
        <f t="shared" si="542"/>
        <v>0</v>
      </c>
      <c r="AI1564">
        <f t="shared" si="543"/>
        <v>0</v>
      </c>
      <c r="AJ1564" s="2" t="str">
        <f t="shared" si="553"/>
        <v>247484</v>
      </c>
    </row>
    <row r="1565" spans="1:36" x14ac:dyDescent="0.25">
      <c r="A1565">
        <v>3</v>
      </c>
      <c r="B1565" s="1">
        <v>47484</v>
      </c>
      <c r="C1565" s="1">
        <f t="shared" si="544"/>
        <v>47574</v>
      </c>
      <c r="D1565" s="1">
        <f t="shared" si="545"/>
        <v>47498</v>
      </c>
      <c r="E1565" s="1">
        <f t="shared" si="546"/>
        <v>47574</v>
      </c>
      <c r="F1565" s="1">
        <f t="shared" si="547"/>
        <v>47604</v>
      </c>
      <c r="G1565" s="1">
        <f t="shared" si="548"/>
        <v>47863</v>
      </c>
      <c r="H1565">
        <f t="shared" si="549"/>
        <v>365</v>
      </c>
      <c r="I1565">
        <f t="shared" si="550"/>
        <v>30</v>
      </c>
      <c r="J1565">
        <f t="shared" si="551"/>
        <v>8.2191780821917804E-2</v>
      </c>
      <c r="K1565">
        <f>IFERROR($J1565/IF($A1565&lt;COUNTIFS($K$1:K$1,"&lt;&gt;"),0,SUMIFS($J:$J,$B:$B,$B1565,$A:$A,"&gt;="&amp;COUNTIFS($K$1:K$1,"&lt;&gt;"))),0)</f>
        <v>8.6206896551724144E-2</v>
      </c>
      <c r="L1565">
        <f>IFERROR($J1565/IF($A1565&lt;COUNTIFS($K$1:L$1,"&lt;&gt;"),0,SUMIFS($J:$J,$B:$B,$B1565,$A:$A,"&gt;="&amp;COUNTIFS($K$1:L$1,"&lt;&gt;"))),0)</f>
        <v>9.3750000000000014E-2</v>
      </c>
      <c r="M1565">
        <f>IFERROR($J1565/IF($A1565&lt;COUNTIFS($K$1:M$1,"&lt;&gt;"),0,SUMIFS($J:$J,$B:$B,$B1565,$A:$A,"&gt;="&amp;COUNTIFS($K$1:M$1,"&lt;&gt;"))),0)</f>
        <v>0.10380622837370243</v>
      </c>
      <c r="N1565">
        <f>IFERROR($J1565/IF($A1565&lt;COUNTIFS($K$1:N$1,"&lt;&gt;"),0,SUMIFS($J:$J,$B:$B,$B1565,$A:$A,"&gt;="&amp;COUNTIFS($K$1:N$1,"&lt;&gt;"))),0)</f>
        <v>0</v>
      </c>
      <c r="O1565">
        <f>IFERROR($J1565/IF($A1565&lt;COUNTIFS($K$1:O$1,"&lt;&gt;"),0,SUMIFS($J:$J,$B:$B,$B1565,$A:$A,"&gt;="&amp;COUNTIFS($K$1:O$1,"&lt;&gt;"))),0)</f>
        <v>0</v>
      </c>
      <c r="P1565">
        <f>IFERROR($J1565/IF($A1565&lt;COUNTIFS($K$1:P$1,"&lt;&gt;"),0,SUMIFS($J:$J,$B:$B,$B1565,$A:$A,"&gt;="&amp;COUNTIFS($K$1:P$1,"&lt;&gt;"))),0)</f>
        <v>0</v>
      </c>
      <c r="Q1565">
        <f>IFERROR($J1565/IF($A1565&lt;COUNTIFS($K$1:Q$1,"&lt;&gt;"),0,SUMIFS($J:$J,$B:$B,$B1565,$A:$A,"&gt;="&amp;COUNTIFS($K$1:Q$1,"&lt;&gt;"))),0)</f>
        <v>0</v>
      </c>
      <c r="R1565">
        <f>IFERROR($J1565/IF($A1565&lt;COUNTIFS($K$1:R$1,"&lt;&gt;"),0,SUMIFS($J:$J,$B:$B,$B1565,$A:$A,"&gt;="&amp;COUNTIFS($K$1:R$1,"&lt;&gt;"))),0)</f>
        <v>0</v>
      </c>
      <c r="S1565">
        <f>IFERROR($J1565/IF($A1565&lt;COUNTIFS($K$1:S$1,"&lt;&gt;"),0,SUMIFS($J:$J,$B:$B,$B1565,$A:$A,"&gt;="&amp;COUNTIFS($K$1:S$1,"&lt;&gt;"))),0)</f>
        <v>0</v>
      </c>
      <c r="T1565">
        <f>IFERROR($J1565/IF($A1565&lt;COUNTIFS($K$1:T$1,"&lt;&gt;"),0,SUMIFS($J:$J,$B:$B,$B1565,$A:$A,"&gt;="&amp;COUNTIFS($K$1:T$1,"&lt;&gt;"))),0)</f>
        <v>0</v>
      </c>
      <c r="U1565">
        <f>IFERROR($J1565/IF($A1565&lt;COUNTIFS($K$1:U$1,"&lt;&gt;"),0,SUMIFS($J:$J,$B:$B,$B1565,$A:$A,"&gt;="&amp;COUNTIFS($K$1:U$1,"&lt;&gt;"))),0)</f>
        <v>0</v>
      </c>
      <c r="V1565">
        <f>IFERROR($J1565/IF($A1565&lt;COUNTIFS($K$1:V$1,"&lt;&gt;"),0,SUMIFS($J:$J,$B:$B,$B1565,$A:$A,"&gt;="&amp;COUNTIFS($K$1:V$1,"&lt;&gt;"))),0)</f>
        <v>0</v>
      </c>
      <c r="W1565">
        <f t="shared" si="552"/>
        <v>8.2191780821917804E-2</v>
      </c>
      <c r="X1565">
        <f t="shared" si="532"/>
        <v>8.2191780821917804E-2</v>
      </c>
      <c r="Y1565">
        <f t="shared" si="533"/>
        <v>8.2191780821917804E-2</v>
      </c>
      <c r="Z1565">
        <f t="shared" si="534"/>
        <v>8.2191780821917804E-2</v>
      </c>
      <c r="AA1565">
        <f t="shared" si="535"/>
        <v>0</v>
      </c>
      <c r="AB1565">
        <f t="shared" si="536"/>
        <v>0</v>
      </c>
      <c r="AC1565">
        <f t="shared" si="537"/>
        <v>0</v>
      </c>
      <c r="AD1565">
        <f t="shared" si="538"/>
        <v>0</v>
      </c>
      <c r="AE1565">
        <f t="shared" si="539"/>
        <v>0</v>
      </c>
      <c r="AF1565">
        <f t="shared" si="540"/>
        <v>0</v>
      </c>
      <c r="AG1565">
        <f t="shared" si="541"/>
        <v>0</v>
      </c>
      <c r="AH1565">
        <f t="shared" si="542"/>
        <v>0</v>
      </c>
      <c r="AI1565">
        <f t="shared" si="543"/>
        <v>0</v>
      </c>
      <c r="AJ1565" s="2" t="str">
        <f t="shared" si="553"/>
        <v>347484</v>
      </c>
    </row>
    <row r="1566" spans="1:36" x14ac:dyDescent="0.25">
      <c r="A1566">
        <v>4</v>
      </c>
      <c r="B1566" s="1">
        <v>47484</v>
      </c>
      <c r="C1566" s="1">
        <f t="shared" si="544"/>
        <v>47604</v>
      </c>
      <c r="D1566" s="1">
        <f t="shared" si="545"/>
        <v>47498</v>
      </c>
      <c r="E1566" s="1">
        <f t="shared" si="546"/>
        <v>47604</v>
      </c>
      <c r="F1566" s="1">
        <f t="shared" si="547"/>
        <v>47635</v>
      </c>
      <c r="G1566" s="1">
        <f t="shared" si="548"/>
        <v>47863</v>
      </c>
      <c r="H1566">
        <f t="shared" si="549"/>
        <v>365</v>
      </c>
      <c r="I1566">
        <f t="shared" si="550"/>
        <v>31</v>
      </c>
      <c r="J1566">
        <f t="shared" si="551"/>
        <v>8.4931506849315067E-2</v>
      </c>
      <c r="K1566">
        <f>IFERROR($J1566/IF($A1566&lt;COUNTIFS($K$1:K$1,"&lt;&gt;"),0,SUMIFS($J:$J,$B:$B,$B1566,$A:$A,"&gt;="&amp;COUNTIFS($K$1:K$1,"&lt;&gt;"))),0)</f>
        <v>8.9080459770114959E-2</v>
      </c>
      <c r="L1566">
        <f>IFERROR($J1566/IF($A1566&lt;COUNTIFS($K$1:L$1,"&lt;&gt;"),0,SUMIFS($J:$J,$B:$B,$B1566,$A:$A,"&gt;="&amp;COUNTIFS($K$1:L$1,"&lt;&gt;"))),0)</f>
        <v>9.6875000000000017E-2</v>
      </c>
      <c r="M1566">
        <f>IFERROR($J1566/IF($A1566&lt;COUNTIFS($K$1:M$1,"&lt;&gt;"),0,SUMIFS($J:$J,$B:$B,$B1566,$A:$A,"&gt;="&amp;COUNTIFS($K$1:M$1,"&lt;&gt;"))),0)</f>
        <v>0.10726643598615919</v>
      </c>
      <c r="N1566">
        <f>IFERROR($J1566/IF($A1566&lt;COUNTIFS($K$1:N$1,"&lt;&gt;"),0,SUMIFS($J:$J,$B:$B,$B1566,$A:$A,"&gt;="&amp;COUNTIFS($K$1:N$1,"&lt;&gt;"))),0)</f>
        <v>0.11969111969111972</v>
      </c>
      <c r="O1566">
        <f>IFERROR($J1566/IF($A1566&lt;COUNTIFS($K$1:O$1,"&lt;&gt;"),0,SUMIFS($J:$J,$B:$B,$B1566,$A:$A,"&gt;="&amp;COUNTIFS($K$1:O$1,"&lt;&gt;"))),0)</f>
        <v>0</v>
      </c>
      <c r="P1566">
        <f>IFERROR($J1566/IF($A1566&lt;COUNTIFS($K$1:P$1,"&lt;&gt;"),0,SUMIFS($J:$J,$B:$B,$B1566,$A:$A,"&gt;="&amp;COUNTIFS($K$1:P$1,"&lt;&gt;"))),0)</f>
        <v>0</v>
      </c>
      <c r="Q1566">
        <f>IFERROR($J1566/IF($A1566&lt;COUNTIFS($K$1:Q$1,"&lt;&gt;"),0,SUMIFS($J:$J,$B:$B,$B1566,$A:$A,"&gt;="&amp;COUNTIFS($K$1:Q$1,"&lt;&gt;"))),0)</f>
        <v>0</v>
      </c>
      <c r="R1566">
        <f>IFERROR($J1566/IF($A1566&lt;COUNTIFS($K$1:R$1,"&lt;&gt;"),0,SUMIFS($J:$J,$B:$B,$B1566,$A:$A,"&gt;="&amp;COUNTIFS($K$1:R$1,"&lt;&gt;"))),0)</f>
        <v>0</v>
      </c>
      <c r="S1566">
        <f>IFERROR($J1566/IF($A1566&lt;COUNTIFS($K$1:S$1,"&lt;&gt;"),0,SUMIFS($J:$J,$B:$B,$B1566,$A:$A,"&gt;="&amp;COUNTIFS($K$1:S$1,"&lt;&gt;"))),0)</f>
        <v>0</v>
      </c>
      <c r="T1566">
        <f>IFERROR($J1566/IF($A1566&lt;COUNTIFS($K$1:T$1,"&lt;&gt;"),0,SUMIFS($J:$J,$B:$B,$B1566,$A:$A,"&gt;="&amp;COUNTIFS($K$1:T$1,"&lt;&gt;"))),0)</f>
        <v>0</v>
      </c>
      <c r="U1566">
        <f>IFERROR($J1566/IF($A1566&lt;COUNTIFS($K$1:U$1,"&lt;&gt;"),0,SUMIFS($J:$J,$B:$B,$B1566,$A:$A,"&gt;="&amp;COUNTIFS($K$1:U$1,"&lt;&gt;"))),0)</f>
        <v>0</v>
      </c>
      <c r="V1566">
        <f>IFERROR($J1566/IF($A1566&lt;COUNTIFS($K$1:V$1,"&lt;&gt;"),0,SUMIFS($J:$J,$B:$B,$B1566,$A:$A,"&gt;="&amp;COUNTIFS($K$1:V$1,"&lt;&gt;"))),0)</f>
        <v>0</v>
      </c>
      <c r="W1566">
        <f t="shared" si="552"/>
        <v>8.4931506849315067E-2</v>
      </c>
      <c r="X1566">
        <f t="shared" si="532"/>
        <v>8.4931506849315067E-2</v>
      </c>
      <c r="Y1566">
        <f t="shared" si="533"/>
        <v>8.4931506849315067E-2</v>
      </c>
      <c r="Z1566">
        <f t="shared" si="534"/>
        <v>8.4931506849315067E-2</v>
      </c>
      <c r="AA1566">
        <f t="shared" si="535"/>
        <v>8.4931506849315067E-2</v>
      </c>
      <c r="AB1566">
        <f t="shared" si="536"/>
        <v>0</v>
      </c>
      <c r="AC1566">
        <f t="shared" si="537"/>
        <v>0</v>
      </c>
      <c r="AD1566">
        <f t="shared" si="538"/>
        <v>0</v>
      </c>
      <c r="AE1566">
        <f t="shared" si="539"/>
        <v>0</v>
      </c>
      <c r="AF1566">
        <f t="shared" si="540"/>
        <v>0</v>
      </c>
      <c r="AG1566">
        <f t="shared" si="541"/>
        <v>0</v>
      </c>
      <c r="AH1566">
        <f t="shared" si="542"/>
        <v>0</v>
      </c>
      <c r="AI1566">
        <f t="shared" si="543"/>
        <v>0</v>
      </c>
      <c r="AJ1566" s="2" t="str">
        <f t="shared" si="553"/>
        <v>447484</v>
      </c>
    </row>
    <row r="1567" spans="1:36" x14ac:dyDescent="0.25">
      <c r="A1567">
        <v>5</v>
      </c>
      <c r="B1567" s="1">
        <v>47484</v>
      </c>
      <c r="C1567" s="1">
        <f t="shared" si="544"/>
        <v>47635</v>
      </c>
      <c r="D1567" s="1">
        <f t="shared" si="545"/>
        <v>47498</v>
      </c>
      <c r="E1567" s="1">
        <f t="shared" si="546"/>
        <v>47635</v>
      </c>
      <c r="F1567" s="1">
        <f t="shared" si="547"/>
        <v>47665</v>
      </c>
      <c r="G1567" s="1">
        <f t="shared" si="548"/>
        <v>47863</v>
      </c>
      <c r="H1567">
        <f t="shared" si="549"/>
        <v>365</v>
      </c>
      <c r="I1567">
        <f t="shared" si="550"/>
        <v>30</v>
      </c>
      <c r="J1567">
        <f t="shared" si="551"/>
        <v>8.2191780821917804E-2</v>
      </c>
      <c r="K1567">
        <f>IFERROR($J1567/IF($A1567&lt;COUNTIFS($K$1:K$1,"&lt;&gt;"),0,SUMIFS($J:$J,$B:$B,$B1567,$A:$A,"&gt;="&amp;COUNTIFS($K$1:K$1,"&lt;&gt;"))),0)</f>
        <v>8.6206896551724144E-2</v>
      </c>
      <c r="L1567">
        <f>IFERROR($J1567/IF($A1567&lt;COUNTIFS($K$1:L$1,"&lt;&gt;"),0,SUMIFS($J:$J,$B:$B,$B1567,$A:$A,"&gt;="&amp;COUNTIFS($K$1:L$1,"&lt;&gt;"))),0)</f>
        <v>9.3750000000000014E-2</v>
      </c>
      <c r="M1567">
        <f>IFERROR($J1567/IF($A1567&lt;COUNTIFS($K$1:M$1,"&lt;&gt;"),0,SUMIFS($J:$J,$B:$B,$B1567,$A:$A,"&gt;="&amp;COUNTIFS($K$1:M$1,"&lt;&gt;"))),0)</f>
        <v>0.10380622837370243</v>
      </c>
      <c r="N1567">
        <f>IFERROR($J1567/IF($A1567&lt;COUNTIFS($K$1:N$1,"&lt;&gt;"),0,SUMIFS($J:$J,$B:$B,$B1567,$A:$A,"&gt;="&amp;COUNTIFS($K$1:N$1,"&lt;&gt;"))),0)</f>
        <v>0.11583011583011585</v>
      </c>
      <c r="O1567">
        <f>IFERROR($J1567/IF($A1567&lt;COUNTIFS($K$1:O$1,"&lt;&gt;"),0,SUMIFS($J:$J,$B:$B,$B1567,$A:$A,"&gt;="&amp;COUNTIFS($K$1:O$1,"&lt;&gt;"))),0)</f>
        <v>0.13157894736842107</v>
      </c>
      <c r="P1567">
        <f>IFERROR($J1567/IF($A1567&lt;COUNTIFS($K$1:P$1,"&lt;&gt;"),0,SUMIFS($J:$J,$B:$B,$B1567,$A:$A,"&gt;="&amp;COUNTIFS($K$1:P$1,"&lt;&gt;"))),0)</f>
        <v>0</v>
      </c>
      <c r="Q1567">
        <f>IFERROR($J1567/IF($A1567&lt;COUNTIFS($K$1:Q$1,"&lt;&gt;"),0,SUMIFS($J:$J,$B:$B,$B1567,$A:$A,"&gt;="&amp;COUNTIFS($K$1:Q$1,"&lt;&gt;"))),0)</f>
        <v>0</v>
      </c>
      <c r="R1567">
        <f>IFERROR($J1567/IF($A1567&lt;COUNTIFS($K$1:R$1,"&lt;&gt;"),0,SUMIFS($J:$J,$B:$B,$B1567,$A:$A,"&gt;="&amp;COUNTIFS($K$1:R$1,"&lt;&gt;"))),0)</f>
        <v>0</v>
      </c>
      <c r="S1567">
        <f>IFERROR($J1567/IF($A1567&lt;COUNTIFS($K$1:S$1,"&lt;&gt;"),0,SUMIFS($J:$J,$B:$B,$B1567,$A:$A,"&gt;="&amp;COUNTIFS($K$1:S$1,"&lt;&gt;"))),0)</f>
        <v>0</v>
      </c>
      <c r="T1567">
        <f>IFERROR($J1567/IF($A1567&lt;COUNTIFS($K$1:T$1,"&lt;&gt;"),0,SUMIFS($J:$J,$B:$B,$B1567,$A:$A,"&gt;="&amp;COUNTIFS($K$1:T$1,"&lt;&gt;"))),0)</f>
        <v>0</v>
      </c>
      <c r="U1567">
        <f>IFERROR($J1567/IF($A1567&lt;COUNTIFS($K$1:U$1,"&lt;&gt;"),0,SUMIFS($J:$J,$B:$B,$B1567,$A:$A,"&gt;="&amp;COUNTIFS($K$1:U$1,"&lt;&gt;"))),0)</f>
        <v>0</v>
      </c>
      <c r="V1567">
        <f>IFERROR($J1567/IF($A1567&lt;COUNTIFS($K$1:V$1,"&lt;&gt;"),0,SUMIFS($J:$J,$B:$B,$B1567,$A:$A,"&gt;="&amp;COUNTIFS($K$1:V$1,"&lt;&gt;"))),0)</f>
        <v>0</v>
      </c>
      <c r="W1567">
        <f t="shared" si="552"/>
        <v>8.2191780821917804E-2</v>
      </c>
      <c r="X1567">
        <f t="shared" si="532"/>
        <v>8.2191780821917804E-2</v>
      </c>
      <c r="Y1567">
        <f t="shared" si="533"/>
        <v>8.2191780821917804E-2</v>
      </c>
      <c r="Z1567">
        <f t="shared" si="534"/>
        <v>8.2191780821917804E-2</v>
      </c>
      <c r="AA1567">
        <f t="shared" si="535"/>
        <v>8.2191780821917804E-2</v>
      </c>
      <c r="AB1567">
        <f t="shared" si="536"/>
        <v>8.2191780821917804E-2</v>
      </c>
      <c r="AC1567">
        <f t="shared" si="537"/>
        <v>0</v>
      </c>
      <c r="AD1567">
        <f t="shared" si="538"/>
        <v>0</v>
      </c>
      <c r="AE1567">
        <f t="shared" si="539"/>
        <v>0</v>
      </c>
      <c r="AF1567">
        <f t="shared" si="540"/>
        <v>0</v>
      </c>
      <c r="AG1567">
        <f t="shared" si="541"/>
        <v>0</v>
      </c>
      <c r="AH1567">
        <f t="shared" si="542"/>
        <v>0</v>
      </c>
      <c r="AI1567">
        <f t="shared" si="543"/>
        <v>0</v>
      </c>
      <c r="AJ1567" s="2" t="str">
        <f t="shared" si="553"/>
        <v>547484</v>
      </c>
    </row>
    <row r="1568" spans="1:36" x14ac:dyDescent="0.25">
      <c r="A1568">
        <v>6</v>
      </c>
      <c r="B1568" s="1">
        <v>47484</v>
      </c>
      <c r="C1568" s="1">
        <f t="shared" si="544"/>
        <v>47665</v>
      </c>
      <c r="D1568" s="1">
        <f t="shared" si="545"/>
        <v>47498</v>
      </c>
      <c r="E1568" s="1">
        <f t="shared" si="546"/>
        <v>47665</v>
      </c>
      <c r="F1568" s="1">
        <f t="shared" si="547"/>
        <v>47696</v>
      </c>
      <c r="G1568" s="1">
        <f t="shared" si="548"/>
        <v>47863</v>
      </c>
      <c r="H1568">
        <f t="shared" si="549"/>
        <v>365</v>
      </c>
      <c r="I1568">
        <f t="shared" si="550"/>
        <v>31</v>
      </c>
      <c r="J1568">
        <f t="shared" si="551"/>
        <v>8.4931506849315067E-2</v>
      </c>
      <c r="K1568">
        <f>IFERROR($J1568/IF($A1568&lt;COUNTIFS($K$1:K$1,"&lt;&gt;"),0,SUMIFS($J:$J,$B:$B,$B1568,$A:$A,"&gt;="&amp;COUNTIFS($K$1:K$1,"&lt;&gt;"))),0)</f>
        <v>8.9080459770114959E-2</v>
      </c>
      <c r="L1568">
        <f>IFERROR($J1568/IF($A1568&lt;COUNTIFS($K$1:L$1,"&lt;&gt;"),0,SUMIFS($J:$J,$B:$B,$B1568,$A:$A,"&gt;="&amp;COUNTIFS($K$1:L$1,"&lt;&gt;"))),0)</f>
        <v>9.6875000000000017E-2</v>
      </c>
      <c r="M1568">
        <f>IFERROR($J1568/IF($A1568&lt;COUNTIFS($K$1:M$1,"&lt;&gt;"),0,SUMIFS($J:$J,$B:$B,$B1568,$A:$A,"&gt;="&amp;COUNTIFS($K$1:M$1,"&lt;&gt;"))),0)</f>
        <v>0.10726643598615919</v>
      </c>
      <c r="N1568">
        <f>IFERROR($J1568/IF($A1568&lt;COUNTIFS($K$1:N$1,"&lt;&gt;"),0,SUMIFS($J:$J,$B:$B,$B1568,$A:$A,"&gt;="&amp;COUNTIFS($K$1:N$1,"&lt;&gt;"))),0)</f>
        <v>0.11969111969111972</v>
      </c>
      <c r="O1568">
        <f>IFERROR($J1568/IF($A1568&lt;COUNTIFS($K$1:O$1,"&lt;&gt;"),0,SUMIFS($J:$J,$B:$B,$B1568,$A:$A,"&gt;="&amp;COUNTIFS($K$1:O$1,"&lt;&gt;"))),0)</f>
        <v>0.13596491228070179</v>
      </c>
      <c r="P1568">
        <f>IFERROR($J1568/IF($A1568&lt;COUNTIFS($K$1:P$1,"&lt;&gt;"),0,SUMIFS($J:$J,$B:$B,$B1568,$A:$A,"&gt;="&amp;COUNTIFS($K$1:P$1,"&lt;&gt;"))),0)</f>
        <v>0.1565656565656566</v>
      </c>
      <c r="Q1568">
        <f>IFERROR($J1568/IF($A1568&lt;COUNTIFS($K$1:Q$1,"&lt;&gt;"),0,SUMIFS($J:$J,$B:$B,$B1568,$A:$A,"&gt;="&amp;COUNTIFS($K$1:Q$1,"&lt;&gt;"))),0)</f>
        <v>0</v>
      </c>
      <c r="R1568">
        <f>IFERROR($J1568/IF($A1568&lt;COUNTIFS($K$1:R$1,"&lt;&gt;"),0,SUMIFS($J:$J,$B:$B,$B1568,$A:$A,"&gt;="&amp;COUNTIFS($K$1:R$1,"&lt;&gt;"))),0)</f>
        <v>0</v>
      </c>
      <c r="S1568">
        <f>IFERROR($J1568/IF($A1568&lt;COUNTIFS($K$1:S$1,"&lt;&gt;"),0,SUMIFS($J:$J,$B:$B,$B1568,$A:$A,"&gt;="&amp;COUNTIFS($K$1:S$1,"&lt;&gt;"))),0)</f>
        <v>0</v>
      </c>
      <c r="T1568">
        <f>IFERROR($J1568/IF($A1568&lt;COUNTIFS($K$1:T$1,"&lt;&gt;"),0,SUMIFS($J:$J,$B:$B,$B1568,$A:$A,"&gt;="&amp;COUNTIFS($K$1:T$1,"&lt;&gt;"))),0)</f>
        <v>0</v>
      </c>
      <c r="U1568">
        <f>IFERROR($J1568/IF($A1568&lt;COUNTIFS($K$1:U$1,"&lt;&gt;"),0,SUMIFS($J:$J,$B:$B,$B1568,$A:$A,"&gt;="&amp;COUNTIFS($K$1:U$1,"&lt;&gt;"))),0)</f>
        <v>0</v>
      </c>
      <c r="V1568">
        <f>IFERROR($J1568/IF($A1568&lt;COUNTIFS($K$1:V$1,"&lt;&gt;"),0,SUMIFS($J:$J,$B:$B,$B1568,$A:$A,"&gt;="&amp;COUNTIFS($K$1:V$1,"&lt;&gt;"))),0)</f>
        <v>0</v>
      </c>
      <c r="W1568">
        <f t="shared" si="552"/>
        <v>8.4931506849315067E-2</v>
      </c>
      <c r="X1568">
        <f t="shared" si="532"/>
        <v>8.4931506849315067E-2</v>
      </c>
      <c r="Y1568">
        <f t="shared" si="533"/>
        <v>8.4931506849315067E-2</v>
      </c>
      <c r="Z1568">
        <f t="shared" si="534"/>
        <v>8.4931506849315067E-2</v>
      </c>
      <c r="AA1568">
        <f t="shared" si="535"/>
        <v>8.4931506849315067E-2</v>
      </c>
      <c r="AB1568">
        <f t="shared" si="536"/>
        <v>8.4931506849315067E-2</v>
      </c>
      <c r="AC1568">
        <f t="shared" si="537"/>
        <v>8.4931506849315067E-2</v>
      </c>
      <c r="AD1568">
        <f t="shared" si="538"/>
        <v>0</v>
      </c>
      <c r="AE1568">
        <f t="shared" si="539"/>
        <v>0</v>
      </c>
      <c r="AF1568">
        <f t="shared" si="540"/>
        <v>0</v>
      </c>
      <c r="AG1568">
        <f t="shared" si="541"/>
        <v>0</v>
      </c>
      <c r="AH1568">
        <f t="shared" si="542"/>
        <v>0</v>
      </c>
      <c r="AI1568">
        <f t="shared" si="543"/>
        <v>0</v>
      </c>
      <c r="AJ1568" s="2" t="str">
        <f t="shared" si="553"/>
        <v>647484</v>
      </c>
    </row>
    <row r="1569" spans="1:36" x14ac:dyDescent="0.25">
      <c r="A1569">
        <v>7</v>
      </c>
      <c r="B1569" s="1">
        <v>47484</v>
      </c>
      <c r="C1569" s="1">
        <f t="shared" si="544"/>
        <v>47696</v>
      </c>
      <c r="D1569" s="1">
        <f t="shared" si="545"/>
        <v>47498</v>
      </c>
      <c r="E1569" s="1">
        <f t="shared" si="546"/>
        <v>47696</v>
      </c>
      <c r="F1569" s="1">
        <f t="shared" si="547"/>
        <v>47727</v>
      </c>
      <c r="G1569" s="1">
        <f t="shared" si="548"/>
        <v>47863</v>
      </c>
      <c r="H1569">
        <f t="shared" si="549"/>
        <v>365</v>
      </c>
      <c r="I1569">
        <f t="shared" si="550"/>
        <v>31</v>
      </c>
      <c r="J1569">
        <f t="shared" si="551"/>
        <v>8.4931506849315067E-2</v>
      </c>
      <c r="K1569">
        <f>IFERROR($J1569/IF($A1569&lt;COUNTIFS($K$1:K$1,"&lt;&gt;"),0,SUMIFS($J:$J,$B:$B,$B1569,$A:$A,"&gt;="&amp;COUNTIFS($K$1:K$1,"&lt;&gt;"))),0)</f>
        <v>8.9080459770114959E-2</v>
      </c>
      <c r="L1569">
        <f>IFERROR($J1569/IF($A1569&lt;COUNTIFS($K$1:L$1,"&lt;&gt;"),0,SUMIFS($J:$J,$B:$B,$B1569,$A:$A,"&gt;="&amp;COUNTIFS($K$1:L$1,"&lt;&gt;"))),0)</f>
        <v>9.6875000000000017E-2</v>
      </c>
      <c r="M1569">
        <f>IFERROR($J1569/IF($A1569&lt;COUNTIFS($K$1:M$1,"&lt;&gt;"),0,SUMIFS($J:$J,$B:$B,$B1569,$A:$A,"&gt;="&amp;COUNTIFS($K$1:M$1,"&lt;&gt;"))),0)</f>
        <v>0.10726643598615919</v>
      </c>
      <c r="N1569">
        <f>IFERROR($J1569/IF($A1569&lt;COUNTIFS($K$1:N$1,"&lt;&gt;"),0,SUMIFS($J:$J,$B:$B,$B1569,$A:$A,"&gt;="&amp;COUNTIFS($K$1:N$1,"&lt;&gt;"))),0)</f>
        <v>0.11969111969111972</v>
      </c>
      <c r="O1569">
        <f>IFERROR($J1569/IF($A1569&lt;COUNTIFS($K$1:O$1,"&lt;&gt;"),0,SUMIFS($J:$J,$B:$B,$B1569,$A:$A,"&gt;="&amp;COUNTIFS($K$1:O$1,"&lt;&gt;"))),0)</f>
        <v>0.13596491228070179</v>
      </c>
      <c r="P1569">
        <f>IFERROR($J1569/IF($A1569&lt;COUNTIFS($K$1:P$1,"&lt;&gt;"),0,SUMIFS($J:$J,$B:$B,$B1569,$A:$A,"&gt;="&amp;COUNTIFS($K$1:P$1,"&lt;&gt;"))),0)</f>
        <v>0.1565656565656566</v>
      </c>
      <c r="Q1569">
        <f>IFERROR($J1569/IF($A1569&lt;COUNTIFS($K$1:Q$1,"&lt;&gt;"),0,SUMIFS($J:$J,$B:$B,$B1569,$A:$A,"&gt;="&amp;COUNTIFS($K$1:Q$1,"&lt;&gt;"))),0)</f>
        <v>0.18562874251497008</v>
      </c>
      <c r="R1569">
        <f>IFERROR($J1569/IF($A1569&lt;COUNTIFS($K$1:R$1,"&lt;&gt;"),0,SUMIFS($J:$J,$B:$B,$B1569,$A:$A,"&gt;="&amp;COUNTIFS($K$1:R$1,"&lt;&gt;"))),0)</f>
        <v>0</v>
      </c>
      <c r="S1569">
        <f>IFERROR($J1569/IF($A1569&lt;COUNTIFS($K$1:S$1,"&lt;&gt;"),0,SUMIFS($J:$J,$B:$B,$B1569,$A:$A,"&gt;="&amp;COUNTIFS($K$1:S$1,"&lt;&gt;"))),0)</f>
        <v>0</v>
      </c>
      <c r="T1569">
        <f>IFERROR($J1569/IF($A1569&lt;COUNTIFS($K$1:T$1,"&lt;&gt;"),0,SUMIFS($J:$J,$B:$B,$B1569,$A:$A,"&gt;="&amp;COUNTIFS($K$1:T$1,"&lt;&gt;"))),0)</f>
        <v>0</v>
      </c>
      <c r="U1569">
        <f>IFERROR($J1569/IF($A1569&lt;COUNTIFS($K$1:U$1,"&lt;&gt;"),0,SUMIFS($J:$J,$B:$B,$B1569,$A:$A,"&gt;="&amp;COUNTIFS($K$1:U$1,"&lt;&gt;"))),0)</f>
        <v>0</v>
      </c>
      <c r="V1569">
        <f>IFERROR($J1569/IF($A1569&lt;COUNTIFS($K$1:V$1,"&lt;&gt;"),0,SUMIFS($J:$J,$B:$B,$B1569,$A:$A,"&gt;="&amp;COUNTIFS($K$1:V$1,"&lt;&gt;"))),0)</f>
        <v>0</v>
      </c>
      <c r="W1569">
        <f t="shared" si="552"/>
        <v>8.4931506849315067E-2</v>
      </c>
      <c r="X1569">
        <f t="shared" si="532"/>
        <v>8.4931506849315067E-2</v>
      </c>
      <c r="Y1569">
        <f t="shared" si="533"/>
        <v>8.4931506849315067E-2</v>
      </c>
      <c r="Z1569">
        <f t="shared" si="534"/>
        <v>8.4931506849315067E-2</v>
      </c>
      <c r="AA1569">
        <f t="shared" si="535"/>
        <v>8.4931506849315067E-2</v>
      </c>
      <c r="AB1569">
        <f t="shared" si="536"/>
        <v>8.4931506849315067E-2</v>
      </c>
      <c r="AC1569">
        <f t="shared" si="537"/>
        <v>8.4931506849315067E-2</v>
      </c>
      <c r="AD1569">
        <f t="shared" si="538"/>
        <v>8.4931506849315067E-2</v>
      </c>
      <c r="AE1569">
        <f t="shared" si="539"/>
        <v>0</v>
      </c>
      <c r="AF1569">
        <f t="shared" si="540"/>
        <v>0</v>
      </c>
      <c r="AG1569">
        <f t="shared" si="541"/>
        <v>0</v>
      </c>
      <c r="AH1569">
        <f t="shared" si="542"/>
        <v>0</v>
      </c>
      <c r="AI1569">
        <f t="shared" si="543"/>
        <v>0</v>
      </c>
      <c r="AJ1569" s="2" t="str">
        <f t="shared" si="553"/>
        <v>747484</v>
      </c>
    </row>
    <row r="1570" spans="1:36" x14ac:dyDescent="0.25">
      <c r="A1570">
        <v>8</v>
      </c>
      <c r="B1570" s="1">
        <v>47484</v>
      </c>
      <c r="C1570" s="1">
        <f t="shared" si="544"/>
        <v>47727</v>
      </c>
      <c r="D1570" s="1">
        <f t="shared" si="545"/>
        <v>47498</v>
      </c>
      <c r="E1570" s="1">
        <f t="shared" si="546"/>
        <v>47727</v>
      </c>
      <c r="F1570" s="1">
        <f t="shared" si="547"/>
        <v>47757</v>
      </c>
      <c r="G1570" s="1">
        <f t="shared" si="548"/>
        <v>47863</v>
      </c>
      <c r="H1570">
        <f t="shared" si="549"/>
        <v>365</v>
      </c>
      <c r="I1570">
        <f t="shared" si="550"/>
        <v>30</v>
      </c>
      <c r="J1570">
        <f t="shared" si="551"/>
        <v>8.2191780821917804E-2</v>
      </c>
      <c r="K1570">
        <f>IFERROR($J1570/IF($A1570&lt;COUNTIFS($K$1:K$1,"&lt;&gt;"),0,SUMIFS($J:$J,$B:$B,$B1570,$A:$A,"&gt;="&amp;COUNTIFS($K$1:K$1,"&lt;&gt;"))),0)</f>
        <v>8.6206896551724144E-2</v>
      </c>
      <c r="L1570">
        <f>IFERROR($J1570/IF($A1570&lt;COUNTIFS($K$1:L$1,"&lt;&gt;"),0,SUMIFS($J:$J,$B:$B,$B1570,$A:$A,"&gt;="&amp;COUNTIFS($K$1:L$1,"&lt;&gt;"))),0)</f>
        <v>9.3750000000000014E-2</v>
      </c>
      <c r="M1570">
        <f>IFERROR($J1570/IF($A1570&lt;COUNTIFS($K$1:M$1,"&lt;&gt;"),0,SUMIFS($J:$J,$B:$B,$B1570,$A:$A,"&gt;="&amp;COUNTIFS($K$1:M$1,"&lt;&gt;"))),0)</f>
        <v>0.10380622837370243</v>
      </c>
      <c r="N1570">
        <f>IFERROR($J1570/IF($A1570&lt;COUNTIFS($K$1:N$1,"&lt;&gt;"),0,SUMIFS($J:$J,$B:$B,$B1570,$A:$A,"&gt;="&amp;COUNTIFS($K$1:N$1,"&lt;&gt;"))),0)</f>
        <v>0.11583011583011585</v>
      </c>
      <c r="O1570">
        <f>IFERROR($J1570/IF($A1570&lt;COUNTIFS($K$1:O$1,"&lt;&gt;"),0,SUMIFS($J:$J,$B:$B,$B1570,$A:$A,"&gt;="&amp;COUNTIFS($K$1:O$1,"&lt;&gt;"))),0)</f>
        <v>0.13157894736842107</v>
      </c>
      <c r="P1570">
        <f>IFERROR($J1570/IF($A1570&lt;COUNTIFS($K$1:P$1,"&lt;&gt;"),0,SUMIFS($J:$J,$B:$B,$B1570,$A:$A,"&gt;="&amp;COUNTIFS($K$1:P$1,"&lt;&gt;"))),0)</f>
        <v>0.15151515151515155</v>
      </c>
      <c r="Q1570">
        <f>IFERROR($J1570/IF($A1570&lt;COUNTIFS($K$1:Q$1,"&lt;&gt;"),0,SUMIFS($J:$J,$B:$B,$B1570,$A:$A,"&gt;="&amp;COUNTIFS($K$1:Q$1,"&lt;&gt;"))),0)</f>
        <v>0.17964071856287425</v>
      </c>
      <c r="R1570">
        <f>IFERROR($J1570/IF($A1570&lt;COUNTIFS($K$1:R$1,"&lt;&gt;"),0,SUMIFS($J:$J,$B:$B,$B1570,$A:$A,"&gt;="&amp;COUNTIFS($K$1:R$1,"&lt;&gt;"))),0)</f>
        <v>0.22058823529411764</v>
      </c>
      <c r="S1570">
        <f>IFERROR($J1570/IF($A1570&lt;COUNTIFS($K$1:S$1,"&lt;&gt;"),0,SUMIFS($J:$J,$B:$B,$B1570,$A:$A,"&gt;="&amp;COUNTIFS($K$1:S$1,"&lt;&gt;"))),0)</f>
        <v>0</v>
      </c>
      <c r="T1570">
        <f>IFERROR($J1570/IF($A1570&lt;COUNTIFS($K$1:T$1,"&lt;&gt;"),0,SUMIFS($J:$J,$B:$B,$B1570,$A:$A,"&gt;="&amp;COUNTIFS($K$1:T$1,"&lt;&gt;"))),0)</f>
        <v>0</v>
      </c>
      <c r="U1570">
        <f>IFERROR($J1570/IF($A1570&lt;COUNTIFS($K$1:U$1,"&lt;&gt;"),0,SUMIFS($J:$J,$B:$B,$B1570,$A:$A,"&gt;="&amp;COUNTIFS($K$1:U$1,"&lt;&gt;"))),0)</f>
        <v>0</v>
      </c>
      <c r="V1570">
        <f>IFERROR($J1570/IF($A1570&lt;COUNTIFS($K$1:V$1,"&lt;&gt;"),0,SUMIFS($J:$J,$B:$B,$B1570,$A:$A,"&gt;="&amp;COUNTIFS($K$1:V$1,"&lt;&gt;"))),0)</f>
        <v>0</v>
      </c>
      <c r="W1570">
        <f t="shared" si="552"/>
        <v>8.2191780821917804E-2</v>
      </c>
      <c r="X1570">
        <f t="shared" si="532"/>
        <v>8.2191780821917804E-2</v>
      </c>
      <c r="Y1570">
        <f t="shared" si="533"/>
        <v>8.2191780821917804E-2</v>
      </c>
      <c r="Z1570">
        <f t="shared" si="534"/>
        <v>8.2191780821917804E-2</v>
      </c>
      <c r="AA1570">
        <f t="shared" si="535"/>
        <v>8.2191780821917804E-2</v>
      </c>
      <c r="AB1570">
        <f t="shared" si="536"/>
        <v>8.2191780821917804E-2</v>
      </c>
      <c r="AC1570">
        <f t="shared" si="537"/>
        <v>8.2191780821917804E-2</v>
      </c>
      <c r="AD1570">
        <f t="shared" si="538"/>
        <v>8.2191780821917804E-2</v>
      </c>
      <c r="AE1570">
        <f t="shared" si="539"/>
        <v>8.2191780821917804E-2</v>
      </c>
      <c r="AF1570">
        <f t="shared" si="540"/>
        <v>0</v>
      </c>
      <c r="AG1570">
        <f t="shared" si="541"/>
        <v>0</v>
      </c>
      <c r="AH1570">
        <f t="shared" si="542"/>
        <v>0</v>
      </c>
      <c r="AI1570">
        <f t="shared" si="543"/>
        <v>0</v>
      </c>
      <c r="AJ1570" s="2" t="str">
        <f t="shared" si="553"/>
        <v>847484</v>
      </c>
    </row>
    <row r="1571" spans="1:36" x14ac:dyDescent="0.25">
      <c r="A1571">
        <v>9</v>
      </c>
      <c r="B1571" s="1">
        <v>47484</v>
      </c>
      <c r="C1571" s="1">
        <f t="shared" si="544"/>
        <v>47757</v>
      </c>
      <c r="D1571" s="1">
        <f t="shared" si="545"/>
        <v>47498</v>
      </c>
      <c r="E1571" s="1">
        <f t="shared" si="546"/>
        <v>47757</v>
      </c>
      <c r="F1571" s="1">
        <f t="shared" si="547"/>
        <v>47788</v>
      </c>
      <c r="G1571" s="1">
        <f t="shared" si="548"/>
        <v>47863</v>
      </c>
      <c r="H1571">
        <f t="shared" si="549"/>
        <v>365</v>
      </c>
      <c r="I1571">
        <f t="shared" si="550"/>
        <v>31</v>
      </c>
      <c r="J1571">
        <f t="shared" si="551"/>
        <v>8.4931506849315067E-2</v>
      </c>
      <c r="K1571">
        <f>IFERROR($J1571/IF($A1571&lt;COUNTIFS($K$1:K$1,"&lt;&gt;"),0,SUMIFS($J:$J,$B:$B,$B1571,$A:$A,"&gt;="&amp;COUNTIFS($K$1:K$1,"&lt;&gt;"))),0)</f>
        <v>8.9080459770114959E-2</v>
      </c>
      <c r="L1571">
        <f>IFERROR($J1571/IF($A1571&lt;COUNTIFS($K$1:L$1,"&lt;&gt;"),0,SUMIFS($J:$J,$B:$B,$B1571,$A:$A,"&gt;="&amp;COUNTIFS($K$1:L$1,"&lt;&gt;"))),0)</f>
        <v>9.6875000000000017E-2</v>
      </c>
      <c r="M1571">
        <f>IFERROR($J1571/IF($A1571&lt;COUNTIFS($K$1:M$1,"&lt;&gt;"),0,SUMIFS($J:$J,$B:$B,$B1571,$A:$A,"&gt;="&amp;COUNTIFS($K$1:M$1,"&lt;&gt;"))),0)</f>
        <v>0.10726643598615919</v>
      </c>
      <c r="N1571">
        <f>IFERROR($J1571/IF($A1571&lt;COUNTIFS($K$1:N$1,"&lt;&gt;"),0,SUMIFS($J:$J,$B:$B,$B1571,$A:$A,"&gt;="&amp;COUNTIFS($K$1:N$1,"&lt;&gt;"))),0)</f>
        <v>0.11969111969111972</v>
      </c>
      <c r="O1571">
        <f>IFERROR($J1571/IF($A1571&lt;COUNTIFS($K$1:O$1,"&lt;&gt;"),0,SUMIFS($J:$J,$B:$B,$B1571,$A:$A,"&gt;="&amp;COUNTIFS($K$1:O$1,"&lt;&gt;"))),0)</f>
        <v>0.13596491228070179</v>
      </c>
      <c r="P1571">
        <f>IFERROR($J1571/IF($A1571&lt;COUNTIFS($K$1:P$1,"&lt;&gt;"),0,SUMIFS($J:$J,$B:$B,$B1571,$A:$A,"&gt;="&amp;COUNTIFS($K$1:P$1,"&lt;&gt;"))),0)</f>
        <v>0.1565656565656566</v>
      </c>
      <c r="Q1571">
        <f>IFERROR($J1571/IF($A1571&lt;COUNTIFS($K$1:Q$1,"&lt;&gt;"),0,SUMIFS($J:$J,$B:$B,$B1571,$A:$A,"&gt;="&amp;COUNTIFS($K$1:Q$1,"&lt;&gt;"))),0)</f>
        <v>0.18562874251497008</v>
      </c>
      <c r="R1571">
        <f>IFERROR($J1571/IF($A1571&lt;COUNTIFS($K$1:R$1,"&lt;&gt;"),0,SUMIFS($J:$J,$B:$B,$B1571,$A:$A,"&gt;="&amp;COUNTIFS($K$1:R$1,"&lt;&gt;"))),0)</f>
        <v>0.22794117647058826</v>
      </c>
      <c r="S1571">
        <f>IFERROR($J1571/IF($A1571&lt;COUNTIFS($K$1:S$1,"&lt;&gt;"),0,SUMIFS($J:$J,$B:$B,$B1571,$A:$A,"&gt;="&amp;COUNTIFS($K$1:S$1,"&lt;&gt;"))),0)</f>
        <v>0.29245283018867929</v>
      </c>
      <c r="T1571">
        <f>IFERROR($J1571/IF($A1571&lt;COUNTIFS($K$1:T$1,"&lt;&gt;"),0,SUMIFS($J:$J,$B:$B,$B1571,$A:$A,"&gt;="&amp;COUNTIFS($K$1:T$1,"&lt;&gt;"))),0)</f>
        <v>0</v>
      </c>
      <c r="U1571">
        <f>IFERROR($J1571/IF($A1571&lt;COUNTIFS($K$1:U$1,"&lt;&gt;"),0,SUMIFS($J:$J,$B:$B,$B1571,$A:$A,"&gt;="&amp;COUNTIFS($K$1:U$1,"&lt;&gt;"))),0)</f>
        <v>0</v>
      </c>
      <c r="V1571">
        <f>IFERROR($J1571/IF($A1571&lt;COUNTIFS($K$1:V$1,"&lt;&gt;"),0,SUMIFS($J:$J,$B:$B,$B1571,$A:$A,"&gt;="&amp;COUNTIFS($K$1:V$1,"&lt;&gt;"))),0)</f>
        <v>0</v>
      </c>
      <c r="W1571">
        <f t="shared" si="552"/>
        <v>8.4931506849315067E-2</v>
      </c>
      <c r="X1571">
        <f t="shared" si="532"/>
        <v>8.4931506849315067E-2</v>
      </c>
      <c r="Y1571">
        <f t="shared" si="533"/>
        <v>8.4931506849315067E-2</v>
      </c>
      <c r="Z1571">
        <f t="shared" si="534"/>
        <v>8.4931506849315067E-2</v>
      </c>
      <c r="AA1571">
        <f t="shared" si="535"/>
        <v>8.4931506849315067E-2</v>
      </c>
      <c r="AB1571">
        <f t="shared" si="536"/>
        <v>8.4931506849315067E-2</v>
      </c>
      <c r="AC1571">
        <f t="shared" si="537"/>
        <v>8.4931506849315067E-2</v>
      </c>
      <c r="AD1571">
        <f t="shared" si="538"/>
        <v>8.4931506849315067E-2</v>
      </c>
      <c r="AE1571">
        <f t="shared" si="539"/>
        <v>8.4931506849315067E-2</v>
      </c>
      <c r="AF1571">
        <f t="shared" si="540"/>
        <v>8.4931506849315067E-2</v>
      </c>
      <c r="AG1571">
        <f t="shared" si="541"/>
        <v>0</v>
      </c>
      <c r="AH1571">
        <f t="shared" si="542"/>
        <v>0</v>
      </c>
      <c r="AI1571">
        <f t="shared" si="543"/>
        <v>0</v>
      </c>
      <c r="AJ1571" s="2" t="str">
        <f t="shared" si="553"/>
        <v>947484</v>
      </c>
    </row>
    <row r="1572" spans="1:36" x14ac:dyDescent="0.25">
      <c r="A1572">
        <v>10</v>
      </c>
      <c r="B1572" s="1">
        <v>47484</v>
      </c>
      <c r="C1572" s="1">
        <f t="shared" si="544"/>
        <v>47788</v>
      </c>
      <c r="D1572" s="1">
        <f t="shared" si="545"/>
        <v>47498</v>
      </c>
      <c r="E1572" s="1">
        <f t="shared" si="546"/>
        <v>47788</v>
      </c>
      <c r="F1572" s="1">
        <f t="shared" si="547"/>
        <v>47818</v>
      </c>
      <c r="G1572" s="1">
        <f t="shared" si="548"/>
        <v>47863</v>
      </c>
      <c r="H1572">
        <f t="shared" si="549"/>
        <v>365</v>
      </c>
      <c r="I1572">
        <f t="shared" si="550"/>
        <v>30</v>
      </c>
      <c r="J1572">
        <f t="shared" si="551"/>
        <v>8.2191780821917804E-2</v>
      </c>
      <c r="K1572">
        <f>IFERROR($J1572/IF($A1572&lt;COUNTIFS($K$1:K$1,"&lt;&gt;"),0,SUMIFS($J:$J,$B:$B,$B1572,$A:$A,"&gt;="&amp;COUNTIFS($K$1:K$1,"&lt;&gt;"))),0)</f>
        <v>8.6206896551724144E-2</v>
      </c>
      <c r="L1572">
        <f>IFERROR($J1572/IF($A1572&lt;COUNTIFS($K$1:L$1,"&lt;&gt;"),0,SUMIFS($J:$J,$B:$B,$B1572,$A:$A,"&gt;="&amp;COUNTIFS($K$1:L$1,"&lt;&gt;"))),0)</f>
        <v>9.3750000000000014E-2</v>
      </c>
      <c r="M1572">
        <f>IFERROR($J1572/IF($A1572&lt;COUNTIFS($K$1:M$1,"&lt;&gt;"),0,SUMIFS($J:$J,$B:$B,$B1572,$A:$A,"&gt;="&amp;COUNTIFS($K$1:M$1,"&lt;&gt;"))),0)</f>
        <v>0.10380622837370243</v>
      </c>
      <c r="N1572">
        <f>IFERROR($J1572/IF($A1572&lt;COUNTIFS($K$1:N$1,"&lt;&gt;"),0,SUMIFS($J:$J,$B:$B,$B1572,$A:$A,"&gt;="&amp;COUNTIFS($K$1:N$1,"&lt;&gt;"))),0)</f>
        <v>0.11583011583011585</v>
      </c>
      <c r="O1572">
        <f>IFERROR($J1572/IF($A1572&lt;COUNTIFS($K$1:O$1,"&lt;&gt;"),0,SUMIFS($J:$J,$B:$B,$B1572,$A:$A,"&gt;="&amp;COUNTIFS($K$1:O$1,"&lt;&gt;"))),0)</f>
        <v>0.13157894736842107</v>
      </c>
      <c r="P1572">
        <f>IFERROR($J1572/IF($A1572&lt;COUNTIFS($K$1:P$1,"&lt;&gt;"),0,SUMIFS($J:$J,$B:$B,$B1572,$A:$A,"&gt;="&amp;COUNTIFS($K$1:P$1,"&lt;&gt;"))),0)</f>
        <v>0.15151515151515155</v>
      </c>
      <c r="Q1572">
        <f>IFERROR($J1572/IF($A1572&lt;COUNTIFS($K$1:Q$1,"&lt;&gt;"),0,SUMIFS($J:$J,$B:$B,$B1572,$A:$A,"&gt;="&amp;COUNTIFS($K$1:Q$1,"&lt;&gt;"))),0)</f>
        <v>0.17964071856287425</v>
      </c>
      <c r="R1572">
        <f>IFERROR($J1572/IF($A1572&lt;COUNTIFS($K$1:R$1,"&lt;&gt;"),0,SUMIFS($J:$J,$B:$B,$B1572,$A:$A,"&gt;="&amp;COUNTIFS($K$1:R$1,"&lt;&gt;"))),0)</f>
        <v>0.22058823529411764</v>
      </c>
      <c r="S1572">
        <f>IFERROR($J1572/IF($A1572&lt;COUNTIFS($K$1:S$1,"&lt;&gt;"),0,SUMIFS($J:$J,$B:$B,$B1572,$A:$A,"&gt;="&amp;COUNTIFS($K$1:S$1,"&lt;&gt;"))),0)</f>
        <v>0.28301886792452829</v>
      </c>
      <c r="T1572">
        <f>IFERROR($J1572/IF($A1572&lt;COUNTIFS($K$1:T$1,"&lt;&gt;"),0,SUMIFS($J:$J,$B:$B,$B1572,$A:$A,"&gt;="&amp;COUNTIFS($K$1:T$1,"&lt;&gt;"))),0)</f>
        <v>0.4</v>
      </c>
      <c r="U1572">
        <f>IFERROR($J1572/IF($A1572&lt;COUNTIFS($K$1:U$1,"&lt;&gt;"),0,SUMIFS($J:$J,$B:$B,$B1572,$A:$A,"&gt;="&amp;COUNTIFS($K$1:U$1,"&lt;&gt;"))),0)</f>
        <v>0</v>
      </c>
      <c r="V1572">
        <f>IFERROR($J1572/IF($A1572&lt;COUNTIFS($K$1:V$1,"&lt;&gt;"),0,SUMIFS($J:$J,$B:$B,$B1572,$A:$A,"&gt;="&amp;COUNTIFS($K$1:V$1,"&lt;&gt;"))),0)</f>
        <v>0</v>
      </c>
      <c r="W1572">
        <f t="shared" si="552"/>
        <v>8.2191780821917804E-2</v>
      </c>
      <c r="X1572">
        <f t="shared" si="532"/>
        <v>8.2191780821917804E-2</v>
      </c>
      <c r="Y1572">
        <f t="shared" si="533"/>
        <v>8.2191780821917804E-2</v>
      </c>
      <c r="Z1572">
        <f t="shared" si="534"/>
        <v>8.2191780821917804E-2</v>
      </c>
      <c r="AA1572">
        <f t="shared" si="535"/>
        <v>8.2191780821917804E-2</v>
      </c>
      <c r="AB1572">
        <f t="shared" si="536"/>
        <v>8.2191780821917804E-2</v>
      </c>
      <c r="AC1572">
        <f t="shared" si="537"/>
        <v>8.2191780821917804E-2</v>
      </c>
      <c r="AD1572">
        <f t="shared" si="538"/>
        <v>8.2191780821917804E-2</v>
      </c>
      <c r="AE1572">
        <f t="shared" si="539"/>
        <v>8.2191780821917804E-2</v>
      </c>
      <c r="AF1572">
        <f t="shared" si="540"/>
        <v>8.2191780821917804E-2</v>
      </c>
      <c r="AG1572">
        <f t="shared" si="541"/>
        <v>8.2191780821917804E-2</v>
      </c>
      <c r="AH1572">
        <f t="shared" si="542"/>
        <v>0</v>
      </c>
      <c r="AI1572">
        <f t="shared" si="543"/>
        <v>0</v>
      </c>
      <c r="AJ1572" s="2" t="str">
        <f t="shared" si="553"/>
        <v>1047484</v>
      </c>
    </row>
    <row r="1573" spans="1:36" x14ac:dyDescent="0.25">
      <c r="A1573">
        <v>11</v>
      </c>
      <c r="B1573" s="1">
        <v>47484</v>
      </c>
      <c r="C1573" s="1">
        <f t="shared" si="544"/>
        <v>47818</v>
      </c>
      <c r="D1573" s="1">
        <f t="shared" si="545"/>
        <v>47498</v>
      </c>
      <c r="E1573" s="1">
        <f t="shared" si="546"/>
        <v>47818</v>
      </c>
      <c r="F1573" s="1">
        <f t="shared" si="547"/>
        <v>47849</v>
      </c>
      <c r="G1573" s="1">
        <f t="shared" si="548"/>
        <v>47863</v>
      </c>
      <c r="H1573">
        <f t="shared" si="549"/>
        <v>365</v>
      </c>
      <c r="I1573">
        <f t="shared" si="550"/>
        <v>31</v>
      </c>
      <c r="J1573">
        <f t="shared" si="551"/>
        <v>8.4931506849315067E-2</v>
      </c>
      <c r="K1573">
        <f>IFERROR($J1573/IF($A1573&lt;COUNTIFS($K$1:K$1,"&lt;&gt;"),0,SUMIFS($J:$J,$B:$B,$B1573,$A:$A,"&gt;="&amp;COUNTIFS($K$1:K$1,"&lt;&gt;"))),0)</f>
        <v>8.9080459770114959E-2</v>
      </c>
      <c r="L1573">
        <f>IFERROR($J1573/IF($A1573&lt;COUNTIFS($K$1:L$1,"&lt;&gt;"),0,SUMIFS($J:$J,$B:$B,$B1573,$A:$A,"&gt;="&amp;COUNTIFS($K$1:L$1,"&lt;&gt;"))),0)</f>
        <v>9.6875000000000017E-2</v>
      </c>
      <c r="M1573">
        <f>IFERROR($J1573/IF($A1573&lt;COUNTIFS($K$1:M$1,"&lt;&gt;"),0,SUMIFS($J:$J,$B:$B,$B1573,$A:$A,"&gt;="&amp;COUNTIFS($K$1:M$1,"&lt;&gt;"))),0)</f>
        <v>0.10726643598615919</v>
      </c>
      <c r="N1573">
        <f>IFERROR($J1573/IF($A1573&lt;COUNTIFS($K$1:N$1,"&lt;&gt;"),0,SUMIFS($J:$J,$B:$B,$B1573,$A:$A,"&gt;="&amp;COUNTIFS($K$1:N$1,"&lt;&gt;"))),0)</f>
        <v>0.11969111969111972</v>
      </c>
      <c r="O1573">
        <f>IFERROR($J1573/IF($A1573&lt;COUNTIFS($K$1:O$1,"&lt;&gt;"),0,SUMIFS($J:$J,$B:$B,$B1573,$A:$A,"&gt;="&amp;COUNTIFS($K$1:O$1,"&lt;&gt;"))),0)</f>
        <v>0.13596491228070179</v>
      </c>
      <c r="P1573">
        <f>IFERROR($J1573/IF($A1573&lt;COUNTIFS($K$1:P$1,"&lt;&gt;"),0,SUMIFS($J:$J,$B:$B,$B1573,$A:$A,"&gt;="&amp;COUNTIFS($K$1:P$1,"&lt;&gt;"))),0)</f>
        <v>0.1565656565656566</v>
      </c>
      <c r="Q1573">
        <f>IFERROR($J1573/IF($A1573&lt;COUNTIFS($K$1:Q$1,"&lt;&gt;"),0,SUMIFS($J:$J,$B:$B,$B1573,$A:$A,"&gt;="&amp;COUNTIFS($K$1:Q$1,"&lt;&gt;"))),0)</f>
        <v>0.18562874251497008</v>
      </c>
      <c r="R1573">
        <f>IFERROR($J1573/IF($A1573&lt;COUNTIFS($K$1:R$1,"&lt;&gt;"),0,SUMIFS($J:$J,$B:$B,$B1573,$A:$A,"&gt;="&amp;COUNTIFS($K$1:R$1,"&lt;&gt;"))),0)</f>
        <v>0.22794117647058826</v>
      </c>
      <c r="S1573">
        <f>IFERROR($J1573/IF($A1573&lt;COUNTIFS($K$1:S$1,"&lt;&gt;"),0,SUMIFS($J:$J,$B:$B,$B1573,$A:$A,"&gt;="&amp;COUNTIFS($K$1:S$1,"&lt;&gt;"))),0)</f>
        <v>0.29245283018867929</v>
      </c>
      <c r="T1573">
        <f>IFERROR($J1573/IF($A1573&lt;COUNTIFS($K$1:T$1,"&lt;&gt;"),0,SUMIFS($J:$J,$B:$B,$B1573,$A:$A,"&gt;="&amp;COUNTIFS($K$1:T$1,"&lt;&gt;"))),0)</f>
        <v>0.41333333333333333</v>
      </c>
      <c r="U1573">
        <f>IFERROR($J1573/IF($A1573&lt;COUNTIFS($K$1:U$1,"&lt;&gt;"),0,SUMIFS($J:$J,$B:$B,$B1573,$A:$A,"&gt;="&amp;COUNTIFS($K$1:U$1,"&lt;&gt;"))),0)</f>
        <v>0.68888888888888888</v>
      </c>
      <c r="V1573">
        <f>IFERROR($J1573/IF($A1573&lt;COUNTIFS($K$1:V$1,"&lt;&gt;"),0,SUMIFS($J:$J,$B:$B,$B1573,$A:$A,"&gt;="&amp;COUNTIFS($K$1:V$1,"&lt;&gt;"))),0)</f>
        <v>0</v>
      </c>
      <c r="W1573">
        <f t="shared" si="552"/>
        <v>8.4931506849315067E-2</v>
      </c>
      <c r="X1573">
        <f t="shared" si="532"/>
        <v>8.4931506849315067E-2</v>
      </c>
      <c r="Y1573">
        <f t="shared" si="533"/>
        <v>8.4931506849315067E-2</v>
      </c>
      <c r="Z1573">
        <f t="shared" si="534"/>
        <v>8.4931506849315067E-2</v>
      </c>
      <c r="AA1573">
        <f t="shared" si="535"/>
        <v>8.4931506849315067E-2</v>
      </c>
      <c r="AB1573">
        <f t="shared" si="536"/>
        <v>8.4931506849315067E-2</v>
      </c>
      <c r="AC1573">
        <f t="shared" si="537"/>
        <v>8.4931506849315067E-2</v>
      </c>
      <c r="AD1573">
        <f t="shared" si="538"/>
        <v>8.4931506849315067E-2</v>
      </c>
      <c r="AE1573">
        <f t="shared" si="539"/>
        <v>8.4931506849315067E-2</v>
      </c>
      <c r="AF1573">
        <f t="shared" si="540"/>
        <v>8.4931506849315067E-2</v>
      </c>
      <c r="AG1573">
        <f t="shared" si="541"/>
        <v>8.4931506849315067E-2</v>
      </c>
      <c r="AH1573">
        <f t="shared" si="542"/>
        <v>8.4931506849315067E-2</v>
      </c>
      <c r="AI1573">
        <f t="shared" si="543"/>
        <v>0</v>
      </c>
      <c r="AJ1573" s="2" t="str">
        <f t="shared" si="553"/>
        <v>1147484</v>
      </c>
    </row>
    <row r="1574" spans="1:36" x14ac:dyDescent="0.25">
      <c r="A1574">
        <v>12</v>
      </c>
      <c r="B1574" s="1">
        <v>47484</v>
      </c>
      <c r="C1574" s="1">
        <f t="shared" si="544"/>
        <v>47849</v>
      </c>
      <c r="D1574" s="1">
        <f t="shared" si="545"/>
        <v>47498</v>
      </c>
      <c r="E1574" s="1">
        <f t="shared" si="546"/>
        <v>47849</v>
      </c>
      <c r="F1574" s="1">
        <f t="shared" si="547"/>
        <v>47863</v>
      </c>
      <c r="G1574" s="1">
        <f t="shared" si="548"/>
        <v>47863</v>
      </c>
      <c r="H1574">
        <f t="shared" si="549"/>
        <v>365</v>
      </c>
      <c r="I1574">
        <f t="shared" si="550"/>
        <v>14</v>
      </c>
      <c r="J1574">
        <f t="shared" si="551"/>
        <v>3.8356164383561646E-2</v>
      </c>
      <c r="K1574">
        <f>IFERROR($J1574/IF($A1574&lt;COUNTIFS($K$1:K$1,"&lt;&gt;"),0,SUMIFS($J:$J,$B:$B,$B1574,$A:$A,"&gt;="&amp;COUNTIFS($K$1:K$1,"&lt;&gt;"))),0)</f>
        <v>4.0229885057471271E-2</v>
      </c>
      <c r="L1574">
        <f>IFERROR($J1574/IF($A1574&lt;COUNTIFS($K$1:L$1,"&lt;&gt;"),0,SUMIFS($J:$J,$B:$B,$B1574,$A:$A,"&gt;="&amp;COUNTIFS($K$1:L$1,"&lt;&gt;"))),0)</f>
        <v>4.3750000000000011E-2</v>
      </c>
      <c r="M1574">
        <f>IFERROR($J1574/IF($A1574&lt;COUNTIFS($K$1:M$1,"&lt;&gt;"),0,SUMIFS($J:$J,$B:$B,$B1574,$A:$A,"&gt;="&amp;COUNTIFS($K$1:M$1,"&lt;&gt;"))),0)</f>
        <v>4.8442906574394477E-2</v>
      </c>
      <c r="N1574">
        <f>IFERROR($J1574/IF($A1574&lt;COUNTIFS($K$1:N$1,"&lt;&gt;"),0,SUMIFS($J:$J,$B:$B,$B1574,$A:$A,"&gt;="&amp;COUNTIFS($K$1:N$1,"&lt;&gt;"))),0)</f>
        <v>5.4054054054054071E-2</v>
      </c>
      <c r="O1574">
        <f>IFERROR($J1574/IF($A1574&lt;COUNTIFS($K$1:O$1,"&lt;&gt;"),0,SUMIFS($J:$J,$B:$B,$B1574,$A:$A,"&gt;="&amp;COUNTIFS($K$1:O$1,"&lt;&gt;"))),0)</f>
        <v>6.1403508771929842E-2</v>
      </c>
      <c r="P1574">
        <f>IFERROR($J1574/IF($A1574&lt;COUNTIFS($K$1:P$1,"&lt;&gt;"),0,SUMIFS($J:$J,$B:$B,$B1574,$A:$A,"&gt;="&amp;COUNTIFS($K$1:P$1,"&lt;&gt;"))),0)</f>
        <v>7.0707070707070732E-2</v>
      </c>
      <c r="Q1574">
        <f>IFERROR($J1574/IF($A1574&lt;COUNTIFS($K$1:Q$1,"&lt;&gt;"),0,SUMIFS($J:$J,$B:$B,$B1574,$A:$A,"&gt;="&amp;COUNTIFS($K$1:Q$1,"&lt;&gt;"))),0)</f>
        <v>8.3832335329341326E-2</v>
      </c>
      <c r="R1574">
        <f>IFERROR($J1574/IF($A1574&lt;COUNTIFS($K$1:R$1,"&lt;&gt;"),0,SUMIFS($J:$J,$B:$B,$B1574,$A:$A,"&gt;="&amp;COUNTIFS($K$1:R$1,"&lt;&gt;"))),0)</f>
        <v>0.10294117647058824</v>
      </c>
      <c r="S1574">
        <f>IFERROR($J1574/IF($A1574&lt;COUNTIFS($K$1:S$1,"&lt;&gt;"),0,SUMIFS($J:$J,$B:$B,$B1574,$A:$A,"&gt;="&amp;COUNTIFS($K$1:S$1,"&lt;&gt;"))),0)</f>
        <v>0.13207547169811323</v>
      </c>
      <c r="T1574">
        <f>IFERROR($J1574/IF($A1574&lt;COUNTIFS($K$1:T$1,"&lt;&gt;"),0,SUMIFS($J:$J,$B:$B,$B1574,$A:$A,"&gt;="&amp;COUNTIFS($K$1:T$1,"&lt;&gt;"))),0)</f>
        <v>0.18666666666666668</v>
      </c>
      <c r="U1574">
        <f>IFERROR($J1574/IF($A1574&lt;COUNTIFS($K$1:U$1,"&lt;&gt;"),0,SUMIFS($J:$J,$B:$B,$B1574,$A:$A,"&gt;="&amp;COUNTIFS($K$1:U$1,"&lt;&gt;"))),0)</f>
        <v>0.31111111111111117</v>
      </c>
      <c r="V1574">
        <f>IFERROR($J1574/IF($A1574&lt;COUNTIFS($K$1:V$1,"&lt;&gt;"),0,SUMIFS($J:$J,$B:$B,$B1574,$A:$A,"&gt;="&amp;COUNTIFS($K$1:V$1,"&lt;&gt;"))),0)</f>
        <v>1</v>
      </c>
      <c r="W1574">
        <f t="shared" si="552"/>
        <v>3.8356164383561646E-2</v>
      </c>
      <c r="X1574">
        <f t="shared" si="532"/>
        <v>3.8356164383561646E-2</v>
      </c>
      <c r="Y1574">
        <f t="shared" si="533"/>
        <v>3.8356164383561646E-2</v>
      </c>
      <c r="Z1574">
        <f t="shared" si="534"/>
        <v>3.8356164383561646E-2</v>
      </c>
      <c r="AA1574">
        <f t="shared" si="535"/>
        <v>3.8356164383561646E-2</v>
      </c>
      <c r="AB1574">
        <f t="shared" si="536"/>
        <v>3.8356164383561646E-2</v>
      </c>
      <c r="AC1574">
        <f t="shared" si="537"/>
        <v>3.8356164383561646E-2</v>
      </c>
      <c r="AD1574">
        <f t="shared" si="538"/>
        <v>3.8356164383561646E-2</v>
      </c>
      <c r="AE1574">
        <f t="shared" si="539"/>
        <v>3.8356164383561646E-2</v>
      </c>
      <c r="AF1574">
        <f t="shared" si="540"/>
        <v>3.8356164383561646E-2</v>
      </c>
      <c r="AG1574">
        <f t="shared" si="541"/>
        <v>3.8356164383561646E-2</v>
      </c>
      <c r="AH1574">
        <f t="shared" si="542"/>
        <v>3.8356164383561646E-2</v>
      </c>
      <c r="AI1574">
        <f t="shared" si="543"/>
        <v>3.8356164383561646E-2</v>
      </c>
      <c r="AJ1574" s="2" t="str">
        <f t="shared" si="553"/>
        <v>1247484</v>
      </c>
    </row>
    <row r="1575" spans="1:36" x14ac:dyDescent="0.25">
      <c r="A1575">
        <v>0</v>
      </c>
      <c r="B1575" s="1">
        <v>47515</v>
      </c>
      <c r="C1575" s="1">
        <f t="shared" si="544"/>
        <v>47515</v>
      </c>
      <c r="D1575" s="1">
        <f t="shared" si="545"/>
        <v>47529</v>
      </c>
      <c r="E1575" s="1">
        <f t="shared" si="546"/>
        <v>47529</v>
      </c>
      <c r="F1575" s="1">
        <f t="shared" si="547"/>
        <v>47543</v>
      </c>
      <c r="G1575" s="1">
        <f t="shared" si="548"/>
        <v>47894</v>
      </c>
      <c r="H1575">
        <f t="shared" si="549"/>
        <v>365</v>
      </c>
      <c r="I1575">
        <f t="shared" si="550"/>
        <v>14</v>
      </c>
      <c r="J1575">
        <f t="shared" si="551"/>
        <v>3.8356164383561646E-2</v>
      </c>
      <c r="K1575">
        <f>IFERROR($J1575/IF($A1575&lt;COUNTIFS($K$1:K$1,"&lt;&gt;"),0,SUMIFS($J:$J,$B:$B,$B1575,$A:$A,"&gt;="&amp;COUNTIFS($K$1:K$1,"&lt;&gt;"))),0)</f>
        <v>0</v>
      </c>
      <c r="L1575">
        <f>IFERROR($J1575/IF($A1575&lt;COUNTIFS($K$1:L$1,"&lt;&gt;"),0,SUMIFS($J:$J,$B:$B,$B1575,$A:$A,"&gt;="&amp;COUNTIFS($K$1:L$1,"&lt;&gt;"))),0)</f>
        <v>0</v>
      </c>
      <c r="M1575">
        <f>IFERROR($J1575/IF($A1575&lt;COUNTIFS($K$1:M$1,"&lt;&gt;"),0,SUMIFS($J:$J,$B:$B,$B1575,$A:$A,"&gt;="&amp;COUNTIFS($K$1:M$1,"&lt;&gt;"))),0)</f>
        <v>0</v>
      </c>
      <c r="N1575">
        <f>IFERROR($J1575/IF($A1575&lt;COUNTIFS($K$1:N$1,"&lt;&gt;"),0,SUMIFS($J:$J,$B:$B,$B1575,$A:$A,"&gt;="&amp;COUNTIFS($K$1:N$1,"&lt;&gt;"))),0)</f>
        <v>0</v>
      </c>
      <c r="O1575">
        <f>IFERROR($J1575/IF($A1575&lt;COUNTIFS($K$1:O$1,"&lt;&gt;"),0,SUMIFS($J:$J,$B:$B,$B1575,$A:$A,"&gt;="&amp;COUNTIFS($K$1:O$1,"&lt;&gt;"))),0)</f>
        <v>0</v>
      </c>
      <c r="P1575">
        <f>IFERROR($J1575/IF($A1575&lt;COUNTIFS($K$1:P$1,"&lt;&gt;"),0,SUMIFS($J:$J,$B:$B,$B1575,$A:$A,"&gt;="&amp;COUNTIFS($K$1:P$1,"&lt;&gt;"))),0)</f>
        <v>0</v>
      </c>
      <c r="Q1575">
        <f>IFERROR($J1575/IF($A1575&lt;COUNTIFS($K$1:Q$1,"&lt;&gt;"),0,SUMIFS($J:$J,$B:$B,$B1575,$A:$A,"&gt;="&amp;COUNTIFS($K$1:Q$1,"&lt;&gt;"))),0)</f>
        <v>0</v>
      </c>
      <c r="R1575">
        <f>IFERROR($J1575/IF($A1575&lt;COUNTIFS($K$1:R$1,"&lt;&gt;"),0,SUMIFS($J:$J,$B:$B,$B1575,$A:$A,"&gt;="&amp;COUNTIFS($K$1:R$1,"&lt;&gt;"))),0)</f>
        <v>0</v>
      </c>
      <c r="S1575">
        <f>IFERROR($J1575/IF($A1575&lt;COUNTIFS($K$1:S$1,"&lt;&gt;"),0,SUMIFS($J:$J,$B:$B,$B1575,$A:$A,"&gt;="&amp;COUNTIFS($K$1:S$1,"&lt;&gt;"))),0)</f>
        <v>0</v>
      </c>
      <c r="T1575">
        <f>IFERROR($J1575/IF($A1575&lt;COUNTIFS($K$1:T$1,"&lt;&gt;"),0,SUMIFS($J:$J,$B:$B,$B1575,$A:$A,"&gt;="&amp;COUNTIFS($K$1:T$1,"&lt;&gt;"))),0)</f>
        <v>0</v>
      </c>
      <c r="U1575">
        <f>IFERROR($J1575/IF($A1575&lt;COUNTIFS($K$1:U$1,"&lt;&gt;"),0,SUMIFS($J:$J,$B:$B,$B1575,$A:$A,"&gt;="&amp;COUNTIFS($K$1:U$1,"&lt;&gt;"))),0)</f>
        <v>0</v>
      </c>
      <c r="V1575">
        <f>IFERROR($J1575/IF($A1575&lt;COUNTIFS($K$1:V$1,"&lt;&gt;"),0,SUMIFS($J:$J,$B:$B,$B1575,$A:$A,"&gt;="&amp;COUNTIFS($K$1:V$1,"&lt;&gt;"))),0)</f>
        <v>0</v>
      </c>
      <c r="W1575">
        <f t="shared" si="552"/>
        <v>3.8356164383561646E-2</v>
      </c>
      <c r="X1575">
        <f t="shared" si="532"/>
        <v>0</v>
      </c>
      <c r="Y1575">
        <f t="shared" si="533"/>
        <v>0</v>
      </c>
      <c r="Z1575">
        <f t="shared" si="534"/>
        <v>0</v>
      </c>
      <c r="AA1575">
        <f t="shared" si="535"/>
        <v>0</v>
      </c>
      <c r="AB1575">
        <f t="shared" si="536"/>
        <v>0</v>
      </c>
      <c r="AC1575">
        <f t="shared" si="537"/>
        <v>0</v>
      </c>
      <c r="AD1575">
        <f t="shared" si="538"/>
        <v>0</v>
      </c>
      <c r="AE1575">
        <f t="shared" si="539"/>
        <v>0</v>
      </c>
      <c r="AF1575">
        <f t="shared" si="540"/>
        <v>0</v>
      </c>
      <c r="AG1575">
        <f t="shared" si="541"/>
        <v>0</v>
      </c>
      <c r="AH1575">
        <f t="shared" si="542"/>
        <v>0</v>
      </c>
      <c r="AI1575">
        <f t="shared" si="543"/>
        <v>0</v>
      </c>
      <c r="AJ1575" s="2" t="str">
        <f t="shared" si="553"/>
        <v>047515</v>
      </c>
    </row>
    <row r="1576" spans="1:36" x14ac:dyDescent="0.25">
      <c r="A1576">
        <v>1</v>
      </c>
      <c r="B1576" s="1">
        <v>47515</v>
      </c>
      <c r="C1576" s="1">
        <f t="shared" si="544"/>
        <v>47543</v>
      </c>
      <c r="D1576" s="1">
        <f t="shared" si="545"/>
        <v>47529</v>
      </c>
      <c r="E1576" s="1">
        <f t="shared" si="546"/>
        <v>47543</v>
      </c>
      <c r="F1576" s="1">
        <f t="shared" si="547"/>
        <v>47574</v>
      </c>
      <c r="G1576" s="1">
        <f t="shared" si="548"/>
        <v>47894</v>
      </c>
      <c r="H1576">
        <f t="shared" si="549"/>
        <v>365</v>
      </c>
      <c r="I1576">
        <f t="shared" si="550"/>
        <v>31</v>
      </c>
      <c r="J1576">
        <f t="shared" si="551"/>
        <v>8.4931506849315067E-2</v>
      </c>
      <c r="K1576">
        <f>IFERROR($J1576/IF($A1576&lt;COUNTIFS($K$1:K$1,"&lt;&gt;"),0,SUMIFS($J:$J,$B:$B,$B1576,$A:$A,"&gt;="&amp;COUNTIFS($K$1:K$1,"&lt;&gt;"))),0)</f>
        <v>8.8319088319088329E-2</v>
      </c>
      <c r="L1576">
        <f>IFERROR($J1576/IF($A1576&lt;COUNTIFS($K$1:L$1,"&lt;&gt;"),0,SUMIFS($J:$J,$B:$B,$B1576,$A:$A,"&gt;="&amp;COUNTIFS($K$1:L$1,"&lt;&gt;"))),0)</f>
        <v>0</v>
      </c>
      <c r="M1576">
        <f>IFERROR($J1576/IF($A1576&lt;COUNTIFS($K$1:M$1,"&lt;&gt;"),0,SUMIFS($J:$J,$B:$B,$B1576,$A:$A,"&gt;="&amp;COUNTIFS($K$1:M$1,"&lt;&gt;"))),0)</f>
        <v>0</v>
      </c>
      <c r="N1576">
        <f>IFERROR($J1576/IF($A1576&lt;COUNTIFS($K$1:N$1,"&lt;&gt;"),0,SUMIFS($J:$J,$B:$B,$B1576,$A:$A,"&gt;="&amp;COUNTIFS($K$1:N$1,"&lt;&gt;"))),0)</f>
        <v>0</v>
      </c>
      <c r="O1576">
        <f>IFERROR($J1576/IF($A1576&lt;COUNTIFS($K$1:O$1,"&lt;&gt;"),0,SUMIFS($J:$J,$B:$B,$B1576,$A:$A,"&gt;="&amp;COUNTIFS($K$1:O$1,"&lt;&gt;"))),0)</f>
        <v>0</v>
      </c>
      <c r="P1576">
        <f>IFERROR($J1576/IF($A1576&lt;COUNTIFS($K$1:P$1,"&lt;&gt;"),0,SUMIFS($J:$J,$B:$B,$B1576,$A:$A,"&gt;="&amp;COUNTIFS($K$1:P$1,"&lt;&gt;"))),0)</f>
        <v>0</v>
      </c>
      <c r="Q1576">
        <f>IFERROR($J1576/IF($A1576&lt;COUNTIFS($K$1:Q$1,"&lt;&gt;"),0,SUMIFS($J:$J,$B:$B,$B1576,$A:$A,"&gt;="&amp;COUNTIFS($K$1:Q$1,"&lt;&gt;"))),0)</f>
        <v>0</v>
      </c>
      <c r="R1576">
        <f>IFERROR($J1576/IF($A1576&lt;COUNTIFS($K$1:R$1,"&lt;&gt;"),0,SUMIFS($J:$J,$B:$B,$B1576,$A:$A,"&gt;="&amp;COUNTIFS($K$1:R$1,"&lt;&gt;"))),0)</f>
        <v>0</v>
      </c>
      <c r="S1576">
        <f>IFERROR($J1576/IF($A1576&lt;COUNTIFS($K$1:S$1,"&lt;&gt;"),0,SUMIFS($J:$J,$B:$B,$B1576,$A:$A,"&gt;="&amp;COUNTIFS($K$1:S$1,"&lt;&gt;"))),0)</f>
        <v>0</v>
      </c>
      <c r="T1576">
        <f>IFERROR($J1576/IF($A1576&lt;COUNTIFS($K$1:T$1,"&lt;&gt;"),0,SUMIFS($J:$J,$B:$B,$B1576,$A:$A,"&gt;="&amp;COUNTIFS($K$1:T$1,"&lt;&gt;"))),0)</f>
        <v>0</v>
      </c>
      <c r="U1576">
        <f>IFERROR($J1576/IF($A1576&lt;COUNTIFS($K$1:U$1,"&lt;&gt;"),0,SUMIFS($J:$J,$B:$B,$B1576,$A:$A,"&gt;="&amp;COUNTIFS($K$1:U$1,"&lt;&gt;"))),0)</f>
        <v>0</v>
      </c>
      <c r="V1576">
        <f>IFERROR($J1576/IF($A1576&lt;COUNTIFS($K$1:V$1,"&lt;&gt;"),0,SUMIFS($J:$J,$B:$B,$B1576,$A:$A,"&gt;="&amp;COUNTIFS($K$1:V$1,"&lt;&gt;"))),0)</f>
        <v>0</v>
      </c>
      <c r="W1576">
        <f t="shared" si="552"/>
        <v>8.4931506849315067E-2</v>
      </c>
      <c r="X1576">
        <f t="shared" si="532"/>
        <v>8.4931506849315067E-2</v>
      </c>
      <c r="Y1576">
        <f t="shared" si="533"/>
        <v>0</v>
      </c>
      <c r="Z1576">
        <f t="shared" si="534"/>
        <v>0</v>
      </c>
      <c r="AA1576">
        <f t="shared" si="535"/>
        <v>0</v>
      </c>
      <c r="AB1576">
        <f t="shared" si="536"/>
        <v>0</v>
      </c>
      <c r="AC1576">
        <f t="shared" si="537"/>
        <v>0</v>
      </c>
      <c r="AD1576">
        <f t="shared" si="538"/>
        <v>0</v>
      </c>
      <c r="AE1576">
        <f t="shared" si="539"/>
        <v>0</v>
      </c>
      <c r="AF1576">
        <f t="shared" si="540"/>
        <v>0</v>
      </c>
      <c r="AG1576">
        <f t="shared" si="541"/>
        <v>0</v>
      </c>
      <c r="AH1576">
        <f t="shared" si="542"/>
        <v>0</v>
      </c>
      <c r="AI1576">
        <f t="shared" si="543"/>
        <v>0</v>
      </c>
      <c r="AJ1576" s="2" t="str">
        <f t="shared" si="553"/>
        <v>147515</v>
      </c>
    </row>
    <row r="1577" spans="1:36" x14ac:dyDescent="0.25">
      <c r="A1577">
        <v>2</v>
      </c>
      <c r="B1577" s="1">
        <v>47515</v>
      </c>
      <c r="C1577" s="1">
        <f t="shared" si="544"/>
        <v>47574</v>
      </c>
      <c r="D1577" s="1">
        <f t="shared" si="545"/>
        <v>47529</v>
      </c>
      <c r="E1577" s="1">
        <f t="shared" si="546"/>
        <v>47574</v>
      </c>
      <c r="F1577" s="1">
        <f t="shared" si="547"/>
        <v>47604</v>
      </c>
      <c r="G1577" s="1">
        <f t="shared" si="548"/>
        <v>47894</v>
      </c>
      <c r="H1577">
        <f t="shared" si="549"/>
        <v>365</v>
      </c>
      <c r="I1577">
        <f t="shared" si="550"/>
        <v>30</v>
      </c>
      <c r="J1577">
        <f t="shared" si="551"/>
        <v>8.2191780821917804E-2</v>
      </c>
      <c r="K1577">
        <f>IFERROR($J1577/IF($A1577&lt;COUNTIFS($K$1:K$1,"&lt;&gt;"),0,SUMIFS($J:$J,$B:$B,$B1577,$A:$A,"&gt;="&amp;COUNTIFS($K$1:K$1,"&lt;&gt;"))),0)</f>
        <v>8.5470085470085486E-2</v>
      </c>
      <c r="L1577">
        <f>IFERROR($J1577/IF($A1577&lt;COUNTIFS($K$1:L$1,"&lt;&gt;"),0,SUMIFS($J:$J,$B:$B,$B1577,$A:$A,"&gt;="&amp;COUNTIFS($K$1:L$1,"&lt;&gt;"))),0)</f>
        <v>9.3750000000000014E-2</v>
      </c>
      <c r="M1577">
        <f>IFERROR($J1577/IF($A1577&lt;COUNTIFS($K$1:M$1,"&lt;&gt;"),0,SUMIFS($J:$J,$B:$B,$B1577,$A:$A,"&gt;="&amp;COUNTIFS($K$1:M$1,"&lt;&gt;"))),0)</f>
        <v>0</v>
      </c>
      <c r="N1577">
        <f>IFERROR($J1577/IF($A1577&lt;COUNTIFS($K$1:N$1,"&lt;&gt;"),0,SUMIFS($J:$J,$B:$B,$B1577,$A:$A,"&gt;="&amp;COUNTIFS($K$1:N$1,"&lt;&gt;"))),0)</f>
        <v>0</v>
      </c>
      <c r="O1577">
        <f>IFERROR($J1577/IF($A1577&lt;COUNTIFS($K$1:O$1,"&lt;&gt;"),0,SUMIFS($J:$J,$B:$B,$B1577,$A:$A,"&gt;="&amp;COUNTIFS($K$1:O$1,"&lt;&gt;"))),0)</f>
        <v>0</v>
      </c>
      <c r="P1577">
        <f>IFERROR($J1577/IF($A1577&lt;COUNTIFS($K$1:P$1,"&lt;&gt;"),0,SUMIFS($J:$J,$B:$B,$B1577,$A:$A,"&gt;="&amp;COUNTIFS($K$1:P$1,"&lt;&gt;"))),0)</f>
        <v>0</v>
      </c>
      <c r="Q1577">
        <f>IFERROR($J1577/IF($A1577&lt;COUNTIFS($K$1:Q$1,"&lt;&gt;"),0,SUMIFS($J:$J,$B:$B,$B1577,$A:$A,"&gt;="&amp;COUNTIFS($K$1:Q$1,"&lt;&gt;"))),0)</f>
        <v>0</v>
      </c>
      <c r="R1577">
        <f>IFERROR($J1577/IF($A1577&lt;COUNTIFS($K$1:R$1,"&lt;&gt;"),0,SUMIFS($J:$J,$B:$B,$B1577,$A:$A,"&gt;="&amp;COUNTIFS($K$1:R$1,"&lt;&gt;"))),0)</f>
        <v>0</v>
      </c>
      <c r="S1577">
        <f>IFERROR($J1577/IF($A1577&lt;COUNTIFS($K$1:S$1,"&lt;&gt;"),0,SUMIFS($J:$J,$B:$B,$B1577,$A:$A,"&gt;="&amp;COUNTIFS($K$1:S$1,"&lt;&gt;"))),0)</f>
        <v>0</v>
      </c>
      <c r="T1577">
        <f>IFERROR($J1577/IF($A1577&lt;COUNTIFS($K$1:T$1,"&lt;&gt;"),0,SUMIFS($J:$J,$B:$B,$B1577,$A:$A,"&gt;="&amp;COUNTIFS($K$1:T$1,"&lt;&gt;"))),0)</f>
        <v>0</v>
      </c>
      <c r="U1577">
        <f>IFERROR($J1577/IF($A1577&lt;COUNTIFS($K$1:U$1,"&lt;&gt;"),0,SUMIFS($J:$J,$B:$B,$B1577,$A:$A,"&gt;="&amp;COUNTIFS($K$1:U$1,"&lt;&gt;"))),0)</f>
        <v>0</v>
      </c>
      <c r="V1577">
        <f>IFERROR($J1577/IF($A1577&lt;COUNTIFS($K$1:V$1,"&lt;&gt;"),0,SUMIFS($J:$J,$B:$B,$B1577,$A:$A,"&gt;="&amp;COUNTIFS($K$1:V$1,"&lt;&gt;"))),0)</f>
        <v>0</v>
      </c>
      <c r="W1577">
        <f t="shared" si="552"/>
        <v>8.2191780821917804E-2</v>
      </c>
      <c r="X1577">
        <f t="shared" si="532"/>
        <v>8.2191780821917804E-2</v>
      </c>
      <c r="Y1577">
        <f t="shared" si="533"/>
        <v>8.2191780821917804E-2</v>
      </c>
      <c r="Z1577">
        <f t="shared" si="534"/>
        <v>0</v>
      </c>
      <c r="AA1577">
        <f t="shared" si="535"/>
        <v>0</v>
      </c>
      <c r="AB1577">
        <f t="shared" si="536"/>
        <v>0</v>
      </c>
      <c r="AC1577">
        <f t="shared" si="537"/>
        <v>0</v>
      </c>
      <c r="AD1577">
        <f t="shared" si="538"/>
        <v>0</v>
      </c>
      <c r="AE1577">
        <f t="shared" si="539"/>
        <v>0</v>
      </c>
      <c r="AF1577">
        <f t="shared" si="540"/>
        <v>0</v>
      </c>
      <c r="AG1577">
        <f t="shared" si="541"/>
        <v>0</v>
      </c>
      <c r="AH1577">
        <f t="shared" si="542"/>
        <v>0</v>
      </c>
      <c r="AI1577">
        <f t="shared" si="543"/>
        <v>0</v>
      </c>
      <c r="AJ1577" s="2" t="str">
        <f t="shared" si="553"/>
        <v>247515</v>
      </c>
    </row>
    <row r="1578" spans="1:36" x14ac:dyDescent="0.25">
      <c r="A1578">
        <v>3</v>
      </c>
      <c r="B1578" s="1">
        <v>47515</v>
      </c>
      <c r="C1578" s="1">
        <f t="shared" si="544"/>
        <v>47604</v>
      </c>
      <c r="D1578" s="1">
        <f t="shared" si="545"/>
        <v>47529</v>
      </c>
      <c r="E1578" s="1">
        <f t="shared" si="546"/>
        <v>47604</v>
      </c>
      <c r="F1578" s="1">
        <f t="shared" si="547"/>
        <v>47635</v>
      </c>
      <c r="G1578" s="1">
        <f t="shared" si="548"/>
        <v>47894</v>
      </c>
      <c r="H1578">
        <f t="shared" si="549"/>
        <v>365</v>
      </c>
      <c r="I1578">
        <f t="shared" si="550"/>
        <v>31</v>
      </c>
      <c r="J1578">
        <f t="shared" si="551"/>
        <v>8.4931506849315067E-2</v>
      </c>
      <c r="K1578">
        <f>IFERROR($J1578/IF($A1578&lt;COUNTIFS($K$1:K$1,"&lt;&gt;"),0,SUMIFS($J:$J,$B:$B,$B1578,$A:$A,"&gt;="&amp;COUNTIFS($K$1:K$1,"&lt;&gt;"))),0)</f>
        <v>8.8319088319088329E-2</v>
      </c>
      <c r="L1578">
        <f>IFERROR($J1578/IF($A1578&lt;COUNTIFS($K$1:L$1,"&lt;&gt;"),0,SUMIFS($J:$J,$B:$B,$B1578,$A:$A,"&gt;="&amp;COUNTIFS($K$1:L$1,"&lt;&gt;"))),0)</f>
        <v>9.6875000000000017E-2</v>
      </c>
      <c r="M1578">
        <f>IFERROR($J1578/IF($A1578&lt;COUNTIFS($K$1:M$1,"&lt;&gt;"),0,SUMIFS($J:$J,$B:$B,$B1578,$A:$A,"&gt;="&amp;COUNTIFS($K$1:M$1,"&lt;&gt;"))),0)</f>
        <v>0.10689655172413795</v>
      </c>
      <c r="N1578">
        <f>IFERROR($J1578/IF($A1578&lt;COUNTIFS($K$1:N$1,"&lt;&gt;"),0,SUMIFS($J:$J,$B:$B,$B1578,$A:$A,"&gt;="&amp;COUNTIFS($K$1:N$1,"&lt;&gt;"))),0)</f>
        <v>0</v>
      </c>
      <c r="O1578">
        <f>IFERROR($J1578/IF($A1578&lt;COUNTIFS($K$1:O$1,"&lt;&gt;"),0,SUMIFS($J:$J,$B:$B,$B1578,$A:$A,"&gt;="&amp;COUNTIFS($K$1:O$1,"&lt;&gt;"))),0)</f>
        <v>0</v>
      </c>
      <c r="P1578">
        <f>IFERROR($J1578/IF($A1578&lt;COUNTIFS($K$1:P$1,"&lt;&gt;"),0,SUMIFS($J:$J,$B:$B,$B1578,$A:$A,"&gt;="&amp;COUNTIFS($K$1:P$1,"&lt;&gt;"))),0)</f>
        <v>0</v>
      </c>
      <c r="Q1578">
        <f>IFERROR($J1578/IF($A1578&lt;COUNTIFS($K$1:Q$1,"&lt;&gt;"),0,SUMIFS($J:$J,$B:$B,$B1578,$A:$A,"&gt;="&amp;COUNTIFS($K$1:Q$1,"&lt;&gt;"))),0)</f>
        <v>0</v>
      </c>
      <c r="R1578">
        <f>IFERROR($J1578/IF($A1578&lt;COUNTIFS($K$1:R$1,"&lt;&gt;"),0,SUMIFS($J:$J,$B:$B,$B1578,$A:$A,"&gt;="&amp;COUNTIFS($K$1:R$1,"&lt;&gt;"))),0)</f>
        <v>0</v>
      </c>
      <c r="S1578">
        <f>IFERROR($J1578/IF($A1578&lt;COUNTIFS($K$1:S$1,"&lt;&gt;"),0,SUMIFS($J:$J,$B:$B,$B1578,$A:$A,"&gt;="&amp;COUNTIFS($K$1:S$1,"&lt;&gt;"))),0)</f>
        <v>0</v>
      </c>
      <c r="T1578">
        <f>IFERROR($J1578/IF($A1578&lt;COUNTIFS($K$1:T$1,"&lt;&gt;"),0,SUMIFS($J:$J,$B:$B,$B1578,$A:$A,"&gt;="&amp;COUNTIFS($K$1:T$1,"&lt;&gt;"))),0)</f>
        <v>0</v>
      </c>
      <c r="U1578">
        <f>IFERROR($J1578/IF($A1578&lt;COUNTIFS($K$1:U$1,"&lt;&gt;"),0,SUMIFS($J:$J,$B:$B,$B1578,$A:$A,"&gt;="&amp;COUNTIFS($K$1:U$1,"&lt;&gt;"))),0)</f>
        <v>0</v>
      </c>
      <c r="V1578">
        <f>IFERROR($J1578/IF($A1578&lt;COUNTIFS($K$1:V$1,"&lt;&gt;"),0,SUMIFS($J:$J,$B:$B,$B1578,$A:$A,"&gt;="&amp;COUNTIFS($K$1:V$1,"&lt;&gt;"))),0)</f>
        <v>0</v>
      </c>
      <c r="W1578">
        <f t="shared" si="552"/>
        <v>8.4931506849315067E-2</v>
      </c>
      <c r="X1578">
        <f t="shared" si="532"/>
        <v>8.4931506849315067E-2</v>
      </c>
      <c r="Y1578">
        <f t="shared" si="533"/>
        <v>8.4931506849315067E-2</v>
      </c>
      <c r="Z1578">
        <f t="shared" si="534"/>
        <v>8.4931506849315067E-2</v>
      </c>
      <c r="AA1578">
        <f t="shared" si="535"/>
        <v>0</v>
      </c>
      <c r="AB1578">
        <f t="shared" si="536"/>
        <v>0</v>
      </c>
      <c r="AC1578">
        <f t="shared" si="537"/>
        <v>0</v>
      </c>
      <c r="AD1578">
        <f t="shared" si="538"/>
        <v>0</v>
      </c>
      <c r="AE1578">
        <f t="shared" si="539"/>
        <v>0</v>
      </c>
      <c r="AF1578">
        <f t="shared" si="540"/>
        <v>0</v>
      </c>
      <c r="AG1578">
        <f t="shared" si="541"/>
        <v>0</v>
      </c>
      <c r="AH1578">
        <f t="shared" si="542"/>
        <v>0</v>
      </c>
      <c r="AI1578">
        <f t="shared" si="543"/>
        <v>0</v>
      </c>
      <c r="AJ1578" s="2" t="str">
        <f t="shared" si="553"/>
        <v>347515</v>
      </c>
    </row>
    <row r="1579" spans="1:36" x14ac:dyDescent="0.25">
      <c r="A1579">
        <v>4</v>
      </c>
      <c r="B1579" s="1">
        <v>47515</v>
      </c>
      <c r="C1579" s="1">
        <f t="shared" si="544"/>
        <v>47635</v>
      </c>
      <c r="D1579" s="1">
        <f t="shared" si="545"/>
        <v>47529</v>
      </c>
      <c r="E1579" s="1">
        <f t="shared" si="546"/>
        <v>47635</v>
      </c>
      <c r="F1579" s="1">
        <f t="shared" si="547"/>
        <v>47665</v>
      </c>
      <c r="G1579" s="1">
        <f t="shared" si="548"/>
        <v>47894</v>
      </c>
      <c r="H1579">
        <f t="shared" si="549"/>
        <v>365</v>
      </c>
      <c r="I1579">
        <f t="shared" si="550"/>
        <v>30</v>
      </c>
      <c r="J1579">
        <f t="shared" si="551"/>
        <v>8.2191780821917804E-2</v>
      </c>
      <c r="K1579">
        <f>IFERROR($J1579/IF($A1579&lt;COUNTIFS($K$1:K$1,"&lt;&gt;"),0,SUMIFS($J:$J,$B:$B,$B1579,$A:$A,"&gt;="&amp;COUNTIFS($K$1:K$1,"&lt;&gt;"))),0)</f>
        <v>8.5470085470085486E-2</v>
      </c>
      <c r="L1579">
        <f>IFERROR($J1579/IF($A1579&lt;COUNTIFS($K$1:L$1,"&lt;&gt;"),0,SUMIFS($J:$J,$B:$B,$B1579,$A:$A,"&gt;="&amp;COUNTIFS($K$1:L$1,"&lt;&gt;"))),0)</f>
        <v>9.3750000000000014E-2</v>
      </c>
      <c r="M1579">
        <f>IFERROR($J1579/IF($A1579&lt;COUNTIFS($K$1:M$1,"&lt;&gt;"),0,SUMIFS($J:$J,$B:$B,$B1579,$A:$A,"&gt;="&amp;COUNTIFS($K$1:M$1,"&lt;&gt;"))),0)</f>
        <v>0.10344827586206898</v>
      </c>
      <c r="N1579">
        <f>IFERROR($J1579/IF($A1579&lt;COUNTIFS($K$1:N$1,"&lt;&gt;"),0,SUMIFS($J:$J,$B:$B,$B1579,$A:$A,"&gt;="&amp;COUNTIFS($K$1:N$1,"&lt;&gt;"))),0)</f>
        <v>0.11583011583011585</v>
      </c>
      <c r="O1579">
        <f>IFERROR($J1579/IF($A1579&lt;COUNTIFS($K$1:O$1,"&lt;&gt;"),0,SUMIFS($J:$J,$B:$B,$B1579,$A:$A,"&gt;="&amp;COUNTIFS($K$1:O$1,"&lt;&gt;"))),0)</f>
        <v>0</v>
      </c>
      <c r="P1579">
        <f>IFERROR($J1579/IF($A1579&lt;COUNTIFS($K$1:P$1,"&lt;&gt;"),0,SUMIFS($J:$J,$B:$B,$B1579,$A:$A,"&gt;="&amp;COUNTIFS($K$1:P$1,"&lt;&gt;"))),0)</f>
        <v>0</v>
      </c>
      <c r="Q1579">
        <f>IFERROR($J1579/IF($A1579&lt;COUNTIFS($K$1:Q$1,"&lt;&gt;"),0,SUMIFS($J:$J,$B:$B,$B1579,$A:$A,"&gt;="&amp;COUNTIFS($K$1:Q$1,"&lt;&gt;"))),0)</f>
        <v>0</v>
      </c>
      <c r="R1579">
        <f>IFERROR($J1579/IF($A1579&lt;COUNTIFS($K$1:R$1,"&lt;&gt;"),0,SUMIFS($J:$J,$B:$B,$B1579,$A:$A,"&gt;="&amp;COUNTIFS($K$1:R$1,"&lt;&gt;"))),0)</f>
        <v>0</v>
      </c>
      <c r="S1579">
        <f>IFERROR($J1579/IF($A1579&lt;COUNTIFS($K$1:S$1,"&lt;&gt;"),0,SUMIFS($J:$J,$B:$B,$B1579,$A:$A,"&gt;="&amp;COUNTIFS($K$1:S$1,"&lt;&gt;"))),0)</f>
        <v>0</v>
      </c>
      <c r="T1579">
        <f>IFERROR($J1579/IF($A1579&lt;COUNTIFS($K$1:T$1,"&lt;&gt;"),0,SUMIFS($J:$J,$B:$B,$B1579,$A:$A,"&gt;="&amp;COUNTIFS($K$1:T$1,"&lt;&gt;"))),0)</f>
        <v>0</v>
      </c>
      <c r="U1579">
        <f>IFERROR($J1579/IF($A1579&lt;COUNTIFS($K$1:U$1,"&lt;&gt;"),0,SUMIFS($J:$J,$B:$B,$B1579,$A:$A,"&gt;="&amp;COUNTIFS($K$1:U$1,"&lt;&gt;"))),0)</f>
        <v>0</v>
      </c>
      <c r="V1579">
        <f>IFERROR($J1579/IF($A1579&lt;COUNTIFS($K$1:V$1,"&lt;&gt;"),0,SUMIFS($J:$J,$B:$B,$B1579,$A:$A,"&gt;="&amp;COUNTIFS($K$1:V$1,"&lt;&gt;"))),0)</f>
        <v>0</v>
      </c>
      <c r="W1579">
        <f t="shared" si="552"/>
        <v>8.2191780821917804E-2</v>
      </c>
      <c r="X1579">
        <f t="shared" si="532"/>
        <v>8.2191780821917804E-2</v>
      </c>
      <c r="Y1579">
        <f t="shared" si="533"/>
        <v>8.2191780821917804E-2</v>
      </c>
      <c r="Z1579">
        <f t="shared" si="534"/>
        <v>8.2191780821917804E-2</v>
      </c>
      <c r="AA1579">
        <f t="shared" si="535"/>
        <v>8.2191780821917804E-2</v>
      </c>
      <c r="AB1579">
        <f t="shared" si="536"/>
        <v>0</v>
      </c>
      <c r="AC1579">
        <f t="shared" si="537"/>
        <v>0</v>
      </c>
      <c r="AD1579">
        <f t="shared" si="538"/>
        <v>0</v>
      </c>
      <c r="AE1579">
        <f t="shared" si="539"/>
        <v>0</v>
      </c>
      <c r="AF1579">
        <f t="shared" si="540"/>
        <v>0</v>
      </c>
      <c r="AG1579">
        <f t="shared" si="541"/>
        <v>0</v>
      </c>
      <c r="AH1579">
        <f t="shared" si="542"/>
        <v>0</v>
      </c>
      <c r="AI1579">
        <f t="shared" si="543"/>
        <v>0</v>
      </c>
      <c r="AJ1579" s="2" t="str">
        <f t="shared" si="553"/>
        <v>447515</v>
      </c>
    </row>
    <row r="1580" spans="1:36" x14ac:dyDescent="0.25">
      <c r="A1580">
        <v>5</v>
      </c>
      <c r="B1580" s="1">
        <v>47515</v>
      </c>
      <c r="C1580" s="1">
        <f t="shared" si="544"/>
        <v>47665</v>
      </c>
      <c r="D1580" s="1">
        <f t="shared" si="545"/>
        <v>47529</v>
      </c>
      <c r="E1580" s="1">
        <f t="shared" si="546"/>
        <v>47665</v>
      </c>
      <c r="F1580" s="1">
        <f t="shared" si="547"/>
        <v>47696</v>
      </c>
      <c r="G1580" s="1">
        <f t="shared" si="548"/>
        <v>47894</v>
      </c>
      <c r="H1580">
        <f t="shared" si="549"/>
        <v>365</v>
      </c>
      <c r="I1580">
        <f t="shared" si="550"/>
        <v>31</v>
      </c>
      <c r="J1580">
        <f t="shared" si="551"/>
        <v>8.4931506849315067E-2</v>
      </c>
      <c r="K1580">
        <f>IFERROR($J1580/IF($A1580&lt;COUNTIFS($K$1:K$1,"&lt;&gt;"),0,SUMIFS($J:$J,$B:$B,$B1580,$A:$A,"&gt;="&amp;COUNTIFS($K$1:K$1,"&lt;&gt;"))),0)</f>
        <v>8.8319088319088329E-2</v>
      </c>
      <c r="L1580">
        <f>IFERROR($J1580/IF($A1580&lt;COUNTIFS($K$1:L$1,"&lt;&gt;"),0,SUMIFS($J:$J,$B:$B,$B1580,$A:$A,"&gt;="&amp;COUNTIFS($K$1:L$1,"&lt;&gt;"))),0)</f>
        <v>9.6875000000000017E-2</v>
      </c>
      <c r="M1580">
        <f>IFERROR($J1580/IF($A1580&lt;COUNTIFS($K$1:M$1,"&lt;&gt;"),0,SUMIFS($J:$J,$B:$B,$B1580,$A:$A,"&gt;="&amp;COUNTIFS($K$1:M$1,"&lt;&gt;"))),0)</f>
        <v>0.10689655172413795</v>
      </c>
      <c r="N1580">
        <f>IFERROR($J1580/IF($A1580&lt;COUNTIFS($K$1:N$1,"&lt;&gt;"),0,SUMIFS($J:$J,$B:$B,$B1580,$A:$A,"&gt;="&amp;COUNTIFS($K$1:N$1,"&lt;&gt;"))),0)</f>
        <v>0.11969111969111972</v>
      </c>
      <c r="O1580">
        <f>IFERROR($J1580/IF($A1580&lt;COUNTIFS($K$1:O$1,"&lt;&gt;"),0,SUMIFS($J:$J,$B:$B,$B1580,$A:$A,"&gt;="&amp;COUNTIFS($K$1:O$1,"&lt;&gt;"))),0)</f>
        <v>0.13537117903930135</v>
      </c>
      <c r="P1580">
        <f>IFERROR($J1580/IF($A1580&lt;COUNTIFS($K$1:P$1,"&lt;&gt;"),0,SUMIFS($J:$J,$B:$B,$B1580,$A:$A,"&gt;="&amp;COUNTIFS($K$1:P$1,"&lt;&gt;"))),0)</f>
        <v>0</v>
      </c>
      <c r="Q1580">
        <f>IFERROR($J1580/IF($A1580&lt;COUNTIFS($K$1:Q$1,"&lt;&gt;"),0,SUMIFS($J:$J,$B:$B,$B1580,$A:$A,"&gt;="&amp;COUNTIFS($K$1:Q$1,"&lt;&gt;"))),0)</f>
        <v>0</v>
      </c>
      <c r="R1580">
        <f>IFERROR($J1580/IF($A1580&lt;COUNTIFS($K$1:R$1,"&lt;&gt;"),0,SUMIFS($J:$J,$B:$B,$B1580,$A:$A,"&gt;="&amp;COUNTIFS($K$1:R$1,"&lt;&gt;"))),0)</f>
        <v>0</v>
      </c>
      <c r="S1580">
        <f>IFERROR($J1580/IF($A1580&lt;COUNTIFS($K$1:S$1,"&lt;&gt;"),0,SUMIFS($J:$J,$B:$B,$B1580,$A:$A,"&gt;="&amp;COUNTIFS($K$1:S$1,"&lt;&gt;"))),0)</f>
        <v>0</v>
      </c>
      <c r="T1580">
        <f>IFERROR($J1580/IF($A1580&lt;COUNTIFS($K$1:T$1,"&lt;&gt;"),0,SUMIFS($J:$J,$B:$B,$B1580,$A:$A,"&gt;="&amp;COUNTIFS($K$1:T$1,"&lt;&gt;"))),0)</f>
        <v>0</v>
      </c>
      <c r="U1580">
        <f>IFERROR($J1580/IF($A1580&lt;COUNTIFS($K$1:U$1,"&lt;&gt;"),0,SUMIFS($J:$J,$B:$B,$B1580,$A:$A,"&gt;="&amp;COUNTIFS($K$1:U$1,"&lt;&gt;"))),0)</f>
        <v>0</v>
      </c>
      <c r="V1580">
        <f>IFERROR($J1580/IF($A1580&lt;COUNTIFS($K$1:V$1,"&lt;&gt;"),0,SUMIFS($J:$J,$B:$B,$B1580,$A:$A,"&gt;="&amp;COUNTIFS($K$1:V$1,"&lt;&gt;"))),0)</f>
        <v>0</v>
      </c>
      <c r="W1580">
        <f t="shared" si="552"/>
        <v>8.4931506849315067E-2</v>
      </c>
      <c r="X1580">
        <f t="shared" si="532"/>
        <v>8.4931506849315067E-2</v>
      </c>
      <c r="Y1580">
        <f t="shared" si="533"/>
        <v>8.4931506849315067E-2</v>
      </c>
      <c r="Z1580">
        <f t="shared" si="534"/>
        <v>8.4931506849315067E-2</v>
      </c>
      <c r="AA1580">
        <f t="shared" si="535"/>
        <v>8.4931506849315067E-2</v>
      </c>
      <c r="AB1580">
        <f t="shared" si="536"/>
        <v>8.4931506849315067E-2</v>
      </c>
      <c r="AC1580">
        <f t="shared" si="537"/>
        <v>0</v>
      </c>
      <c r="AD1580">
        <f t="shared" si="538"/>
        <v>0</v>
      </c>
      <c r="AE1580">
        <f t="shared" si="539"/>
        <v>0</v>
      </c>
      <c r="AF1580">
        <f t="shared" si="540"/>
        <v>0</v>
      </c>
      <c r="AG1580">
        <f t="shared" si="541"/>
        <v>0</v>
      </c>
      <c r="AH1580">
        <f t="shared" si="542"/>
        <v>0</v>
      </c>
      <c r="AI1580">
        <f t="shared" si="543"/>
        <v>0</v>
      </c>
      <c r="AJ1580" s="2" t="str">
        <f t="shared" si="553"/>
        <v>547515</v>
      </c>
    </row>
    <row r="1581" spans="1:36" x14ac:dyDescent="0.25">
      <c r="A1581">
        <v>6</v>
      </c>
      <c r="B1581" s="1">
        <v>47515</v>
      </c>
      <c r="C1581" s="1">
        <f t="shared" si="544"/>
        <v>47696</v>
      </c>
      <c r="D1581" s="1">
        <f t="shared" si="545"/>
        <v>47529</v>
      </c>
      <c r="E1581" s="1">
        <f t="shared" si="546"/>
        <v>47696</v>
      </c>
      <c r="F1581" s="1">
        <f t="shared" si="547"/>
        <v>47727</v>
      </c>
      <c r="G1581" s="1">
        <f t="shared" si="548"/>
        <v>47894</v>
      </c>
      <c r="H1581">
        <f t="shared" si="549"/>
        <v>365</v>
      </c>
      <c r="I1581">
        <f t="shared" si="550"/>
        <v>31</v>
      </c>
      <c r="J1581">
        <f t="shared" si="551"/>
        <v>8.4931506849315067E-2</v>
      </c>
      <c r="K1581">
        <f>IFERROR($J1581/IF($A1581&lt;COUNTIFS($K$1:K$1,"&lt;&gt;"),0,SUMIFS($J:$J,$B:$B,$B1581,$A:$A,"&gt;="&amp;COUNTIFS($K$1:K$1,"&lt;&gt;"))),0)</f>
        <v>8.8319088319088329E-2</v>
      </c>
      <c r="L1581">
        <f>IFERROR($J1581/IF($A1581&lt;COUNTIFS($K$1:L$1,"&lt;&gt;"),0,SUMIFS($J:$J,$B:$B,$B1581,$A:$A,"&gt;="&amp;COUNTIFS($K$1:L$1,"&lt;&gt;"))),0)</f>
        <v>9.6875000000000017E-2</v>
      </c>
      <c r="M1581">
        <f>IFERROR($J1581/IF($A1581&lt;COUNTIFS($K$1:M$1,"&lt;&gt;"),0,SUMIFS($J:$J,$B:$B,$B1581,$A:$A,"&gt;="&amp;COUNTIFS($K$1:M$1,"&lt;&gt;"))),0)</f>
        <v>0.10689655172413795</v>
      </c>
      <c r="N1581">
        <f>IFERROR($J1581/IF($A1581&lt;COUNTIFS($K$1:N$1,"&lt;&gt;"),0,SUMIFS($J:$J,$B:$B,$B1581,$A:$A,"&gt;="&amp;COUNTIFS($K$1:N$1,"&lt;&gt;"))),0)</f>
        <v>0.11969111969111972</v>
      </c>
      <c r="O1581">
        <f>IFERROR($J1581/IF($A1581&lt;COUNTIFS($K$1:O$1,"&lt;&gt;"),0,SUMIFS($J:$J,$B:$B,$B1581,$A:$A,"&gt;="&amp;COUNTIFS($K$1:O$1,"&lt;&gt;"))),0)</f>
        <v>0.13537117903930135</v>
      </c>
      <c r="P1581">
        <f>IFERROR($J1581/IF($A1581&lt;COUNTIFS($K$1:P$1,"&lt;&gt;"),0,SUMIFS($J:$J,$B:$B,$B1581,$A:$A,"&gt;="&amp;COUNTIFS($K$1:P$1,"&lt;&gt;"))),0)</f>
        <v>0.1565656565656566</v>
      </c>
      <c r="Q1581">
        <f>IFERROR($J1581/IF($A1581&lt;COUNTIFS($K$1:Q$1,"&lt;&gt;"),0,SUMIFS($J:$J,$B:$B,$B1581,$A:$A,"&gt;="&amp;COUNTIFS($K$1:Q$1,"&lt;&gt;"))),0)</f>
        <v>0</v>
      </c>
      <c r="R1581">
        <f>IFERROR($J1581/IF($A1581&lt;COUNTIFS($K$1:R$1,"&lt;&gt;"),0,SUMIFS($J:$J,$B:$B,$B1581,$A:$A,"&gt;="&amp;COUNTIFS($K$1:R$1,"&lt;&gt;"))),0)</f>
        <v>0</v>
      </c>
      <c r="S1581">
        <f>IFERROR($J1581/IF($A1581&lt;COUNTIFS($K$1:S$1,"&lt;&gt;"),0,SUMIFS($J:$J,$B:$B,$B1581,$A:$A,"&gt;="&amp;COUNTIFS($K$1:S$1,"&lt;&gt;"))),0)</f>
        <v>0</v>
      </c>
      <c r="T1581">
        <f>IFERROR($J1581/IF($A1581&lt;COUNTIFS($K$1:T$1,"&lt;&gt;"),0,SUMIFS($J:$J,$B:$B,$B1581,$A:$A,"&gt;="&amp;COUNTIFS($K$1:T$1,"&lt;&gt;"))),0)</f>
        <v>0</v>
      </c>
      <c r="U1581">
        <f>IFERROR($J1581/IF($A1581&lt;COUNTIFS($K$1:U$1,"&lt;&gt;"),0,SUMIFS($J:$J,$B:$B,$B1581,$A:$A,"&gt;="&amp;COUNTIFS($K$1:U$1,"&lt;&gt;"))),0)</f>
        <v>0</v>
      </c>
      <c r="V1581">
        <f>IFERROR($J1581/IF($A1581&lt;COUNTIFS($K$1:V$1,"&lt;&gt;"),0,SUMIFS($J:$J,$B:$B,$B1581,$A:$A,"&gt;="&amp;COUNTIFS($K$1:V$1,"&lt;&gt;"))),0)</f>
        <v>0</v>
      </c>
      <c r="W1581">
        <f t="shared" si="552"/>
        <v>8.4931506849315067E-2</v>
      </c>
      <c r="X1581">
        <f t="shared" si="532"/>
        <v>8.4931506849315067E-2</v>
      </c>
      <c r="Y1581">
        <f t="shared" si="533"/>
        <v>8.4931506849315067E-2</v>
      </c>
      <c r="Z1581">
        <f t="shared" si="534"/>
        <v>8.4931506849315067E-2</v>
      </c>
      <c r="AA1581">
        <f t="shared" si="535"/>
        <v>8.4931506849315067E-2</v>
      </c>
      <c r="AB1581">
        <f t="shared" si="536"/>
        <v>8.4931506849315067E-2</v>
      </c>
      <c r="AC1581">
        <f t="shared" si="537"/>
        <v>8.4931506849315067E-2</v>
      </c>
      <c r="AD1581">
        <f t="shared" si="538"/>
        <v>0</v>
      </c>
      <c r="AE1581">
        <f t="shared" si="539"/>
        <v>0</v>
      </c>
      <c r="AF1581">
        <f t="shared" si="540"/>
        <v>0</v>
      </c>
      <c r="AG1581">
        <f t="shared" si="541"/>
        <v>0</v>
      </c>
      <c r="AH1581">
        <f t="shared" si="542"/>
        <v>0</v>
      </c>
      <c r="AI1581">
        <f t="shared" si="543"/>
        <v>0</v>
      </c>
      <c r="AJ1581" s="2" t="str">
        <f t="shared" si="553"/>
        <v>647515</v>
      </c>
    </row>
    <row r="1582" spans="1:36" x14ac:dyDescent="0.25">
      <c r="A1582">
        <v>7</v>
      </c>
      <c r="B1582" s="1">
        <v>47515</v>
      </c>
      <c r="C1582" s="1">
        <f t="shared" si="544"/>
        <v>47727</v>
      </c>
      <c r="D1582" s="1">
        <f t="shared" si="545"/>
        <v>47529</v>
      </c>
      <c r="E1582" s="1">
        <f t="shared" si="546"/>
        <v>47727</v>
      </c>
      <c r="F1582" s="1">
        <f t="shared" si="547"/>
        <v>47757</v>
      </c>
      <c r="G1582" s="1">
        <f t="shared" si="548"/>
        <v>47894</v>
      </c>
      <c r="H1582">
        <f t="shared" si="549"/>
        <v>365</v>
      </c>
      <c r="I1582">
        <f t="shared" si="550"/>
        <v>30</v>
      </c>
      <c r="J1582">
        <f t="shared" si="551"/>
        <v>8.2191780821917804E-2</v>
      </c>
      <c r="K1582">
        <f>IFERROR($J1582/IF($A1582&lt;COUNTIFS($K$1:K$1,"&lt;&gt;"),0,SUMIFS($J:$J,$B:$B,$B1582,$A:$A,"&gt;="&amp;COUNTIFS($K$1:K$1,"&lt;&gt;"))),0)</f>
        <v>8.5470085470085486E-2</v>
      </c>
      <c r="L1582">
        <f>IFERROR($J1582/IF($A1582&lt;COUNTIFS($K$1:L$1,"&lt;&gt;"),0,SUMIFS($J:$J,$B:$B,$B1582,$A:$A,"&gt;="&amp;COUNTIFS($K$1:L$1,"&lt;&gt;"))),0)</f>
        <v>9.3750000000000014E-2</v>
      </c>
      <c r="M1582">
        <f>IFERROR($J1582/IF($A1582&lt;COUNTIFS($K$1:M$1,"&lt;&gt;"),0,SUMIFS($J:$J,$B:$B,$B1582,$A:$A,"&gt;="&amp;COUNTIFS($K$1:M$1,"&lt;&gt;"))),0)</f>
        <v>0.10344827586206898</v>
      </c>
      <c r="N1582">
        <f>IFERROR($J1582/IF($A1582&lt;COUNTIFS($K$1:N$1,"&lt;&gt;"),0,SUMIFS($J:$J,$B:$B,$B1582,$A:$A,"&gt;="&amp;COUNTIFS($K$1:N$1,"&lt;&gt;"))),0)</f>
        <v>0.11583011583011585</v>
      </c>
      <c r="O1582">
        <f>IFERROR($J1582/IF($A1582&lt;COUNTIFS($K$1:O$1,"&lt;&gt;"),0,SUMIFS($J:$J,$B:$B,$B1582,$A:$A,"&gt;="&amp;COUNTIFS($K$1:O$1,"&lt;&gt;"))),0)</f>
        <v>0.1310043668122271</v>
      </c>
      <c r="P1582">
        <f>IFERROR($J1582/IF($A1582&lt;COUNTIFS($K$1:P$1,"&lt;&gt;"),0,SUMIFS($J:$J,$B:$B,$B1582,$A:$A,"&gt;="&amp;COUNTIFS($K$1:P$1,"&lt;&gt;"))),0)</f>
        <v>0.15151515151515155</v>
      </c>
      <c r="Q1582">
        <f>IFERROR($J1582/IF($A1582&lt;COUNTIFS($K$1:Q$1,"&lt;&gt;"),0,SUMIFS($J:$J,$B:$B,$B1582,$A:$A,"&gt;="&amp;COUNTIFS($K$1:Q$1,"&lt;&gt;"))),0)</f>
        <v>0.17964071856287425</v>
      </c>
      <c r="R1582">
        <f>IFERROR($J1582/IF($A1582&lt;COUNTIFS($K$1:R$1,"&lt;&gt;"),0,SUMIFS($J:$J,$B:$B,$B1582,$A:$A,"&gt;="&amp;COUNTIFS($K$1:R$1,"&lt;&gt;"))),0)</f>
        <v>0</v>
      </c>
      <c r="S1582">
        <f>IFERROR($J1582/IF($A1582&lt;COUNTIFS($K$1:S$1,"&lt;&gt;"),0,SUMIFS($J:$J,$B:$B,$B1582,$A:$A,"&gt;="&amp;COUNTIFS($K$1:S$1,"&lt;&gt;"))),0)</f>
        <v>0</v>
      </c>
      <c r="T1582">
        <f>IFERROR($J1582/IF($A1582&lt;COUNTIFS($K$1:T$1,"&lt;&gt;"),0,SUMIFS($J:$J,$B:$B,$B1582,$A:$A,"&gt;="&amp;COUNTIFS($K$1:T$1,"&lt;&gt;"))),0)</f>
        <v>0</v>
      </c>
      <c r="U1582">
        <f>IFERROR($J1582/IF($A1582&lt;COUNTIFS($K$1:U$1,"&lt;&gt;"),0,SUMIFS($J:$J,$B:$B,$B1582,$A:$A,"&gt;="&amp;COUNTIFS($K$1:U$1,"&lt;&gt;"))),0)</f>
        <v>0</v>
      </c>
      <c r="V1582">
        <f>IFERROR($J1582/IF($A1582&lt;COUNTIFS($K$1:V$1,"&lt;&gt;"),0,SUMIFS($J:$J,$B:$B,$B1582,$A:$A,"&gt;="&amp;COUNTIFS($K$1:V$1,"&lt;&gt;"))),0)</f>
        <v>0</v>
      </c>
      <c r="W1582">
        <f t="shared" si="552"/>
        <v>8.2191780821917804E-2</v>
      </c>
      <c r="X1582">
        <f t="shared" si="532"/>
        <v>8.2191780821917804E-2</v>
      </c>
      <c r="Y1582">
        <f t="shared" si="533"/>
        <v>8.2191780821917804E-2</v>
      </c>
      <c r="Z1582">
        <f t="shared" si="534"/>
        <v>8.2191780821917804E-2</v>
      </c>
      <c r="AA1582">
        <f t="shared" si="535"/>
        <v>8.2191780821917804E-2</v>
      </c>
      <c r="AB1582">
        <f t="shared" si="536"/>
        <v>8.2191780821917804E-2</v>
      </c>
      <c r="AC1582">
        <f t="shared" si="537"/>
        <v>8.2191780821917804E-2</v>
      </c>
      <c r="AD1582">
        <f t="shared" si="538"/>
        <v>8.2191780821917804E-2</v>
      </c>
      <c r="AE1582">
        <f t="shared" si="539"/>
        <v>0</v>
      </c>
      <c r="AF1582">
        <f t="shared" si="540"/>
        <v>0</v>
      </c>
      <c r="AG1582">
        <f t="shared" si="541"/>
        <v>0</v>
      </c>
      <c r="AH1582">
        <f t="shared" si="542"/>
        <v>0</v>
      </c>
      <c r="AI1582">
        <f t="shared" si="543"/>
        <v>0</v>
      </c>
      <c r="AJ1582" s="2" t="str">
        <f t="shared" si="553"/>
        <v>747515</v>
      </c>
    </row>
    <row r="1583" spans="1:36" x14ac:dyDescent="0.25">
      <c r="A1583">
        <v>8</v>
      </c>
      <c r="B1583" s="1">
        <v>47515</v>
      </c>
      <c r="C1583" s="1">
        <f t="shared" si="544"/>
        <v>47757</v>
      </c>
      <c r="D1583" s="1">
        <f t="shared" si="545"/>
        <v>47529</v>
      </c>
      <c r="E1583" s="1">
        <f t="shared" si="546"/>
        <v>47757</v>
      </c>
      <c r="F1583" s="1">
        <f t="shared" si="547"/>
        <v>47788</v>
      </c>
      <c r="G1583" s="1">
        <f t="shared" si="548"/>
        <v>47894</v>
      </c>
      <c r="H1583">
        <f t="shared" si="549"/>
        <v>365</v>
      </c>
      <c r="I1583">
        <f t="shared" si="550"/>
        <v>31</v>
      </c>
      <c r="J1583">
        <f t="shared" si="551"/>
        <v>8.4931506849315067E-2</v>
      </c>
      <c r="K1583">
        <f>IFERROR($J1583/IF($A1583&lt;COUNTIFS($K$1:K$1,"&lt;&gt;"),0,SUMIFS($J:$J,$B:$B,$B1583,$A:$A,"&gt;="&amp;COUNTIFS($K$1:K$1,"&lt;&gt;"))),0)</f>
        <v>8.8319088319088329E-2</v>
      </c>
      <c r="L1583">
        <f>IFERROR($J1583/IF($A1583&lt;COUNTIFS($K$1:L$1,"&lt;&gt;"),0,SUMIFS($J:$J,$B:$B,$B1583,$A:$A,"&gt;="&amp;COUNTIFS($K$1:L$1,"&lt;&gt;"))),0)</f>
        <v>9.6875000000000017E-2</v>
      </c>
      <c r="M1583">
        <f>IFERROR($J1583/IF($A1583&lt;COUNTIFS($K$1:M$1,"&lt;&gt;"),0,SUMIFS($J:$J,$B:$B,$B1583,$A:$A,"&gt;="&amp;COUNTIFS($K$1:M$1,"&lt;&gt;"))),0)</f>
        <v>0.10689655172413795</v>
      </c>
      <c r="N1583">
        <f>IFERROR($J1583/IF($A1583&lt;COUNTIFS($K$1:N$1,"&lt;&gt;"),0,SUMIFS($J:$J,$B:$B,$B1583,$A:$A,"&gt;="&amp;COUNTIFS($K$1:N$1,"&lt;&gt;"))),0)</f>
        <v>0.11969111969111972</v>
      </c>
      <c r="O1583">
        <f>IFERROR($J1583/IF($A1583&lt;COUNTIFS($K$1:O$1,"&lt;&gt;"),0,SUMIFS($J:$J,$B:$B,$B1583,$A:$A,"&gt;="&amp;COUNTIFS($K$1:O$1,"&lt;&gt;"))),0)</f>
        <v>0.13537117903930135</v>
      </c>
      <c r="P1583">
        <f>IFERROR($J1583/IF($A1583&lt;COUNTIFS($K$1:P$1,"&lt;&gt;"),0,SUMIFS($J:$J,$B:$B,$B1583,$A:$A,"&gt;="&amp;COUNTIFS($K$1:P$1,"&lt;&gt;"))),0)</f>
        <v>0.1565656565656566</v>
      </c>
      <c r="Q1583">
        <f>IFERROR($J1583/IF($A1583&lt;COUNTIFS($K$1:Q$1,"&lt;&gt;"),0,SUMIFS($J:$J,$B:$B,$B1583,$A:$A,"&gt;="&amp;COUNTIFS($K$1:Q$1,"&lt;&gt;"))),0)</f>
        <v>0.18562874251497008</v>
      </c>
      <c r="R1583">
        <f>IFERROR($J1583/IF($A1583&lt;COUNTIFS($K$1:R$1,"&lt;&gt;"),0,SUMIFS($J:$J,$B:$B,$B1583,$A:$A,"&gt;="&amp;COUNTIFS($K$1:R$1,"&lt;&gt;"))),0)</f>
        <v>0.22627737226277375</v>
      </c>
      <c r="S1583">
        <f>IFERROR($J1583/IF($A1583&lt;COUNTIFS($K$1:S$1,"&lt;&gt;"),0,SUMIFS($J:$J,$B:$B,$B1583,$A:$A,"&gt;="&amp;COUNTIFS($K$1:S$1,"&lt;&gt;"))),0)</f>
        <v>0</v>
      </c>
      <c r="T1583">
        <f>IFERROR($J1583/IF($A1583&lt;COUNTIFS($K$1:T$1,"&lt;&gt;"),0,SUMIFS($J:$J,$B:$B,$B1583,$A:$A,"&gt;="&amp;COUNTIFS($K$1:T$1,"&lt;&gt;"))),0)</f>
        <v>0</v>
      </c>
      <c r="U1583">
        <f>IFERROR($J1583/IF($A1583&lt;COUNTIFS($K$1:U$1,"&lt;&gt;"),0,SUMIFS($J:$J,$B:$B,$B1583,$A:$A,"&gt;="&amp;COUNTIFS($K$1:U$1,"&lt;&gt;"))),0)</f>
        <v>0</v>
      </c>
      <c r="V1583">
        <f>IFERROR($J1583/IF($A1583&lt;COUNTIFS($K$1:V$1,"&lt;&gt;"),0,SUMIFS($J:$J,$B:$B,$B1583,$A:$A,"&gt;="&amp;COUNTIFS($K$1:V$1,"&lt;&gt;"))),0)</f>
        <v>0</v>
      </c>
      <c r="W1583">
        <f t="shared" si="552"/>
        <v>8.4931506849315067E-2</v>
      </c>
      <c r="X1583">
        <f t="shared" si="532"/>
        <v>8.4931506849315067E-2</v>
      </c>
      <c r="Y1583">
        <f t="shared" si="533"/>
        <v>8.4931506849315067E-2</v>
      </c>
      <c r="Z1583">
        <f t="shared" si="534"/>
        <v>8.4931506849315067E-2</v>
      </c>
      <c r="AA1583">
        <f t="shared" si="535"/>
        <v>8.4931506849315067E-2</v>
      </c>
      <c r="AB1583">
        <f t="shared" si="536"/>
        <v>8.4931506849315067E-2</v>
      </c>
      <c r="AC1583">
        <f t="shared" si="537"/>
        <v>8.4931506849315067E-2</v>
      </c>
      <c r="AD1583">
        <f t="shared" si="538"/>
        <v>8.4931506849315067E-2</v>
      </c>
      <c r="AE1583">
        <f t="shared" si="539"/>
        <v>8.4931506849315067E-2</v>
      </c>
      <c r="AF1583">
        <f t="shared" si="540"/>
        <v>0</v>
      </c>
      <c r="AG1583">
        <f t="shared" si="541"/>
        <v>0</v>
      </c>
      <c r="AH1583">
        <f t="shared" si="542"/>
        <v>0</v>
      </c>
      <c r="AI1583">
        <f t="shared" si="543"/>
        <v>0</v>
      </c>
      <c r="AJ1583" s="2" t="str">
        <f t="shared" si="553"/>
        <v>847515</v>
      </c>
    </row>
    <row r="1584" spans="1:36" x14ac:dyDescent="0.25">
      <c r="A1584">
        <v>9</v>
      </c>
      <c r="B1584" s="1">
        <v>47515</v>
      </c>
      <c r="C1584" s="1">
        <f t="shared" si="544"/>
        <v>47788</v>
      </c>
      <c r="D1584" s="1">
        <f t="shared" si="545"/>
        <v>47529</v>
      </c>
      <c r="E1584" s="1">
        <f t="shared" si="546"/>
        <v>47788</v>
      </c>
      <c r="F1584" s="1">
        <f t="shared" si="547"/>
        <v>47818</v>
      </c>
      <c r="G1584" s="1">
        <f t="shared" si="548"/>
        <v>47894</v>
      </c>
      <c r="H1584">
        <f t="shared" si="549"/>
        <v>365</v>
      </c>
      <c r="I1584">
        <f t="shared" si="550"/>
        <v>30</v>
      </c>
      <c r="J1584">
        <f t="shared" si="551"/>
        <v>8.2191780821917804E-2</v>
      </c>
      <c r="K1584">
        <f>IFERROR($J1584/IF($A1584&lt;COUNTIFS($K$1:K$1,"&lt;&gt;"),0,SUMIFS($J:$J,$B:$B,$B1584,$A:$A,"&gt;="&amp;COUNTIFS($K$1:K$1,"&lt;&gt;"))),0)</f>
        <v>8.5470085470085486E-2</v>
      </c>
      <c r="L1584">
        <f>IFERROR($J1584/IF($A1584&lt;COUNTIFS($K$1:L$1,"&lt;&gt;"),0,SUMIFS($J:$J,$B:$B,$B1584,$A:$A,"&gt;="&amp;COUNTIFS($K$1:L$1,"&lt;&gt;"))),0)</f>
        <v>9.3750000000000014E-2</v>
      </c>
      <c r="M1584">
        <f>IFERROR($J1584/IF($A1584&lt;COUNTIFS($K$1:M$1,"&lt;&gt;"),0,SUMIFS($J:$J,$B:$B,$B1584,$A:$A,"&gt;="&amp;COUNTIFS($K$1:M$1,"&lt;&gt;"))),0)</f>
        <v>0.10344827586206898</v>
      </c>
      <c r="N1584">
        <f>IFERROR($J1584/IF($A1584&lt;COUNTIFS($K$1:N$1,"&lt;&gt;"),0,SUMIFS($J:$J,$B:$B,$B1584,$A:$A,"&gt;="&amp;COUNTIFS($K$1:N$1,"&lt;&gt;"))),0)</f>
        <v>0.11583011583011585</v>
      </c>
      <c r="O1584">
        <f>IFERROR($J1584/IF($A1584&lt;COUNTIFS($K$1:O$1,"&lt;&gt;"),0,SUMIFS($J:$J,$B:$B,$B1584,$A:$A,"&gt;="&amp;COUNTIFS($K$1:O$1,"&lt;&gt;"))),0)</f>
        <v>0.1310043668122271</v>
      </c>
      <c r="P1584">
        <f>IFERROR($J1584/IF($A1584&lt;COUNTIFS($K$1:P$1,"&lt;&gt;"),0,SUMIFS($J:$J,$B:$B,$B1584,$A:$A,"&gt;="&amp;COUNTIFS($K$1:P$1,"&lt;&gt;"))),0)</f>
        <v>0.15151515151515155</v>
      </c>
      <c r="Q1584">
        <f>IFERROR($J1584/IF($A1584&lt;COUNTIFS($K$1:Q$1,"&lt;&gt;"),0,SUMIFS($J:$J,$B:$B,$B1584,$A:$A,"&gt;="&amp;COUNTIFS($K$1:Q$1,"&lt;&gt;"))),0)</f>
        <v>0.17964071856287425</v>
      </c>
      <c r="R1584">
        <f>IFERROR($J1584/IF($A1584&lt;COUNTIFS($K$1:R$1,"&lt;&gt;"),0,SUMIFS($J:$J,$B:$B,$B1584,$A:$A,"&gt;="&amp;COUNTIFS($K$1:R$1,"&lt;&gt;"))),0)</f>
        <v>0.21897810218978103</v>
      </c>
      <c r="S1584">
        <f>IFERROR($J1584/IF($A1584&lt;COUNTIFS($K$1:S$1,"&lt;&gt;"),0,SUMIFS($J:$J,$B:$B,$B1584,$A:$A,"&gt;="&amp;COUNTIFS($K$1:S$1,"&lt;&gt;"))),0)</f>
        <v>0.28301886792452829</v>
      </c>
      <c r="T1584">
        <f>IFERROR($J1584/IF($A1584&lt;COUNTIFS($K$1:T$1,"&lt;&gt;"),0,SUMIFS($J:$J,$B:$B,$B1584,$A:$A,"&gt;="&amp;COUNTIFS($K$1:T$1,"&lt;&gt;"))),0)</f>
        <v>0</v>
      </c>
      <c r="U1584">
        <f>IFERROR($J1584/IF($A1584&lt;COUNTIFS($K$1:U$1,"&lt;&gt;"),0,SUMIFS($J:$J,$B:$B,$B1584,$A:$A,"&gt;="&amp;COUNTIFS($K$1:U$1,"&lt;&gt;"))),0)</f>
        <v>0</v>
      </c>
      <c r="V1584">
        <f>IFERROR($J1584/IF($A1584&lt;COUNTIFS($K$1:V$1,"&lt;&gt;"),0,SUMIFS($J:$J,$B:$B,$B1584,$A:$A,"&gt;="&amp;COUNTIFS($K$1:V$1,"&lt;&gt;"))),0)</f>
        <v>0</v>
      </c>
      <c r="W1584">
        <f t="shared" si="552"/>
        <v>8.2191780821917804E-2</v>
      </c>
      <c r="X1584">
        <f t="shared" si="532"/>
        <v>8.2191780821917804E-2</v>
      </c>
      <c r="Y1584">
        <f t="shared" si="533"/>
        <v>8.2191780821917804E-2</v>
      </c>
      <c r="Z1584">
        <f t="shared" si="534"/>
        <v>8.2191780821917804E-2</v>
      </c>
      <c r="AA1584">
        <f t="shared" si="535"/>
        <v>8.2191780821917804E-2</v>
      </c>
      <c r="AB1584">
        <f t="shared" si="536"/>
        <v>8.2191780821917804E-2</v>
      </c>
      <c r="AC1584">
        <f t="shared" si="537"/>
        <v>8.2191780821917804E-2</v>
      </c>
      <c r="AD1584">
        <f t="shared" si="538"/>
        <v>8.2191780821917804E-2</v>
      </c>
      <c r="AE1584">
        <f t="shared" si="539"/>
        <v>8.2191780821917804E-2</v>
      </c>
      <c r="AF1584">
        <f t="shared" si="540"/>
        <v>8.2191780821917804E-2</v>
      </c>
      <c r="AG1584">
        <f t="shared" si="541"/>
        <v>0</v>
      </c>
      <c r="AH1584">
        <f t="shared" si="542"/>
        <v>0</v>
      </c>
      <c r="AI1584">
        <f t="shared" si="543"/>
        <v>0</v>
      </c>
      <c r="AJ1584" s="2" t="str">
        <f t="shared" si="553"/>
        <v>947515</v>
      </c>
    </row>
    <row r="1585" spans="1:36" x14ac:dyDescent="0.25">
      <c r="A1585">
        <v>10</v>
      </c>
      <c r="B1585" s="1">
        <v>47515</v>
      </c>
      <c r="C1585" s="1">
        <f t="shared" si="544"/>
        <v>47818</v>
      </c>
      <c r="D1585" s="1">
        <f t="shared" si="545"/>
        <v>47529</v>
      </c>
      <c r="E1585" s="1">
        <f t="shared" si="546"/>
        <v>47818</v>
      </c>
      <c r="F1585" s="1">
        <f t="shared" si="547"/>
        <v>47849</v>
      </c>
      <c r="G1585" s="1">
        <f t="shared" si="548"/>
        <v>47894</v>
      </c>
      <c r="H1585">
        <f t="shared" si="549"/>
        <v>365</v>
      </c>
      <c r="I1585">
        <f t="shared" si="550"/>
        <v>31</v>
      </c>
      <c r="J1585">
        <f t="shared" si="551"/>
        <v>8.4931506849315067E-2</v>
      </c>
      <c r="K1585">
        <f>IFERROR($J1585/IF($A1585&lt;COUNTIFS($K$1:K$1,"&lt;&gt;"),0,SUMIFS($J:$J,$B:$B,$B1585,$A:$A,"&gt;="&amp;COUNTIFS($K$1:K$1,"&lt;&gt;"))),0)</f>
        <v>8.8319088319088329E-2</v>
      </c>
      <c r="L1585">
        <f>IFERROR($J1585/IF($A1585&lt;COUNTIFS($K$1:L$1,"&lt;&gt;"),0,SUMIFS($J:$J,$B:$B,$B1585,$A:$A,"&gt;="&amp;COUNTIFS($K$1:L$1,"&lt;&gt;"))),0)</f>
        <v>9.6875000000000017E-2</v>
      </c>
      <c r="M1585">
        <f>IFERROR($J1585/IF($A1585&lt;COUNTIFS($K$1:M$1,"&lt;&gt;"),0,SUMIFS($J:$J,$B:$B,$B1585,$A:$A,"&gt;="&amp;COUNTIFS($K$1:M$1,"&lt;&gt;"))),0)</f>
        <v>0.10689655172413795</v>
      </c>
      <c r="N1585">
        <f>IFERROR($J1585/IF($A1585&lt;COUNTIFS($K$1:N$1,"&lt;&gt;"),0,SUMIFS($J:$J,$B:$B,$B1585,$A:$A,"&gt;="&amp;COUNTIFS($K$1:N$1,"&lt;&gt;"))),0)</f>
        <v>0.11969111969111972</v>
      </c>
      <c r="O1585">
        <f>IFERROR($J1585/IF($A1585&lt;COUNTIFS($K$1:O$1,"&lt;&gt;"),0,SUMIFS($J:$J,$B:$B,$B1585,$A:$A,"&gt;="&amp;COUNTIFS($K$1:O$1,"&lt;&gt;"))),0)</f>
        <v>0.13537117903930135</v>
      </c>
      <c r="P1585">
        <f>IFERROR($J1585/IF($A1585&lt;COUNTIFS($K$1:P$1,"&lt;&gt;"),0,SUMIFS($J:$J,$B:$B,$B1585,$A:$A,"&gt;="&amp;COUNTIFS($K$1:P$1,"&lt;&gt;"))),0)</f>
        <v>0.1565656565656566</v>
      </c>
      <c r="Q1585">
        <f>IFERROR($J1585/IF($A1585&lt;COUNTIFS($K$1:Q$1,"&lt;&gt;"),0,SUMIFS($J:$J,$B:$B,$B1585,$A:$A,"&gt;="&amp;COUNTIFS($K$1:Q$1,"&lt;&gt;"))),0)</f>
        <v>0.18562874251497008</v>
      </c>
      <c r="R1585">
        <f>IFERROR($J1585/IF($A1585&lt;COUNTIFS($K$1:R$1,"&lt;&gt;"),0,SUMIFS($J:$J,$B:$B,$B1585,$A:$A,"&gt;="&amp;COUNTIFS($K$1:R$1,"&lt;&gt;"))),0)</f>
        <v>0.22627737226277375</v>
      </c>
      <c r="S1585">
        <f>IFERROR($J1585/IF($A1585&lt;COUNTIFS($K$1:S$1,"&lt;&gt;"),0,SUMIFS($J:$J,$B:$B,$B1585,$A:$A,"&gt;="&amp;COUNTIFS($K$1:S$1,"&lt;&gt;"))),0)</f>
        <v>0.29245283018867929</v>
      </c>
      <c r="T1585">
        <f>IFERROR($J1585/IF($A1585&lt;COUNTIFS($K$1:T$1,"&lt;&gt;"),0,SUMIFS($J:$J,$B:$B,$B1585,$A:$A,"&gt;="&amp;COUNTIFS($K$1:T$1,"&lt;&gt;"))),0)</f>
        <v>0.40789473684210525</v>
      </c>
      <c r="U1585">
        <f>IFERROR($J1585/IF($A1585&lt;COUNTIFS($K$1:U$1,"&lt;&gt;"),0,SUMIFS($J:$J,$B:$B,$B1585,$A:$A,"&gt;="&amp;COUNTIFS($K$1:U$1,"&lt;&gt;"))),0)</f>
        <v>0</v>
      </c>
      <c r="V1585">
        <f>IFERROR($J1585/IF($A1585&lt;COUNTIFS($K$1:V$1,"&lt;&gt;"),0,SUMIFS($J:$J,$B:$B,$B1585,$A:$A,"&gt;="&amp;COUNTIFS($K$1:V$1,"&lt;&gt;"))),0)</f>
        <v>0</v>
      </c>
      <c r="W1585">
        <f t="shared" si="552"/>
        <v>8.4931506849315067E-2</v>
      </c>
      <c r="X1585">
        <f t="shared" si="532"/>
        <v>8.4931506849315067E-2</v>
      </c>
      <c r="Y1585">
        <f t="shared" si="533"/>
        <v>8.4931506849315067E-2</v>
      </c>
      <c r="Z1585">
        <f t="shared" si="534"/>
        <v>8.4931506849315067E-2</v>
      </c>
      <c r="AA1585">
        <f t="shared" si="535"/>
        <v>8.4931506849315067E-2</v>
      </c>
      <c r="AB1585">
        <f t="shared" si="536"/>
        <v>8.4931506849315067E-2</v>
      </c>
      <c r="AC1585">
        <f t="shared" si="537"/>
        <v>8.4931506849315067E-2</v>
      </c>
      <c r="AD1585">
        <f t="shared" si="538"/>
        <v>8.4931506849315067E-2</v>
      </c>
      <c r="AE1585">
        <f t="shared" si="539"/>
        <v>8.4931506849315067E-2</v>
      </c>
      <c r="AF1585">
        <f t="shared" si="540"/>
        <v>8.4931506849315067E-2</v>
      </c>
      <c r="AG1585">
        <f t="shared" si="541"/>
        <v>8.4931506849315067E-2</v>
      </c>
      <c r="AH1585">
        <f t="shared" si="542"/>
        <v>0</v>
      </c>
      <c r="AI1585">
        <f t="shared" si="543"/>
        <v>0</v>
      </c>
      <c r="AJ1585" s="2" t="str">
        <f t="shared" si="553"/>
        <v>1047515</v>
      </c>
    </row>
    <row r="1586" spans="1:36" x14ac:dyDescent="0.25">
      <c r="A1586">
        <v>11</v>
      </c>
      <c r="B1586" s="1">
        <v>47515</v>
      </c>
      <c r="C1586" s="1">
        <f t="shared" si="544"/>
        <v>47849</v>
      </c>
      <c r="D1586" s="1">
        <f t="shared" si="545"/>
        <v>47529</v>
      </c>
      <c r="E1586" s="1">
        <f t="shared" si="546"/>
        <v>47849</v>
      </c>
      <c r="F1586" s="1">
        <f t="shared" si="547"/>
        <v>47880</v>
      </c>
      <c r="G1586" s="1">
        <f t="shared" si="548"/>
        <v>47894</v>
      </c>
      <c r="H1586">
        <f t="shared" si="549"/>
        <v>365</v>
      </c>
      <c r="I1586">
        <f t="shared" si="550"/>
        <v>31</v>
      </c>
      <c r="J1586">
        <f t="shared" si="551"/>
        <v>8.4931506849315067E-2</v>
      </c>
      <c r="K1586">
        <f>IFERROR($J1586/IF($A1586&lt;COUNTIFS($K$1:K$1,"&lt;&gt;"),0,SUMIFS($J:$J,$B:$B,$B1586,$A:$A,"&gt;="&amp;COUNTIFS($K$1:K$1,"&lt;&gt;"))),0)</f>
        <v>8.8319088319088329E-2</v>
      </c>
      <c r="L1586">
        <f>IFERROR($J1586/IF($A1586&lt;COUNTIFS($K$1:L$1,"&lt;&gt;"),0,SUMIFS($J:$J,$B:$B,$B1586,$A:$A,"&gt;="&amp;COUNTIFS($K$1:L$1,"&lt;&gt;"))),0)</f>
        <v>9.6875000000000017E-2</v>
      </c>
      <c r="M1586">
        <f>IFERROR($J1586/IF($A1586&lt;COUNTIFS($K$1:M$1,"&lt;&gt;"),0,SUMIFS($J:$J,$B:$B,$B1586,$A:$A,"&gt;="&amp;COUNTIFS($K$1:M$1,"&lt;&gt;"))),0)</f>
        <v>0.10689655172413795</v>
      </c>
      <c r="N1586">
        <f>IFERROR($J1586/IF($A1586&lt;COUNTIFS($K$1:N$1,"&lt;&gt;"),0,SUMIFS($J:$J,$B:$B,$B1586,$A:$A,"&gt;="&amp;COUNTIFS($K$1:N$1,"&lt;&gt;"))),0)</f>
        <v>0.11969111969111972</v>
      </c>
      <c r="O1586">
        <f>IFERROR($J1586/IF($A1586&lt;COUNTIFS($K$1:O$1,"&lt;&gt;"),0,SUMIFS($J:$J,$B:$B,$B1586,$A:$A,"&gt;="&amp;COUNTIFS($K$1:O$1,"&lt;&gt;"))),0)</f>
        <v>0.13537117903930135</v>
      </c>
      <c r="P1586">
        <f>IFERROR($J1586/IF($A1586&lt;COUNTIFS($K$1:P$1,"&lt;&gt;"),0,SUMIFS($J:$J,$B:$B,$B1586,$A:$A,"&gt;="&amp;COUNTIFS($K$1:P$1,"&lt;&gt;"))),0)</f>
        <v>0.1565656565656566</v>
      </c>
      <c r="Q1586">
        <f>IFERROR($J1586/IF($A1586&lt;COUNTIFS($K$1:Q$1,"&lt;&gt;"),0,SUMIFS($J:$J,$B:$B,$B1586,$A:$A,"&gt;="&amp;COUNTIFS($K$1:Q$1,"&lt;&gt;"))),0)</f>
        <v>0.18562874251497008</v>
      </c>
      <c r="R1586">
        <f>IFERROR($J1586/IF($A1586&lt;COUNTIFS($K$1:R$1,"&lt;&gt;"),0,SUMIFS($J:$J,$B:$B,$B1586,$A:$A,"&gt;="&amp;COUNTIFS($K$1:R$1,"&lt;&gt;"))),0)</f>
        <v>0.22627737226277375</v>
      </c>
      <c r="S1586">
        <f>IFERROR($J1586/IF($A1586&lt;COUNTIFS($K$1:S$1,"&lt;&gt;"),0,SUMIFS($J:$J,$B:$B,$B1586,$A:$A,"&gt;="&amp;COUNTIFS($K$1:S$1,"&lt;&gt;"))),0)</f>
        <v>0.29245283018867929</v>
      </c>
      <c r="T1586">
        <f>IFERROR($J1586/IF($A1586&lt;COUNTIFS($K$1:T$1,"&lt;&gt;"),0,SUMIFS($J:$J,$B:$B,$B1586,$A:$A,"&gt;="&amp;COUNTIFS($K$1:T$1,"&lt;&gt;"))),0)</f>
        <v>0.40789473684210525</v>
      </c>
      <c r="U1586">
        <f>IFERROR($J1586/IF($A1586&lt;COUNTIFS($K$1:U$1,"&lt;&gt;"),0,SUMIFS($J:$J,$B:$B,$B1586,$A:$A,"&gt;="&amp;COUNTIFS($K$1:U$1,"&lt;&gt;"))),0)</f>
        <v>0.68888888888888888</v>
      </c>
      <c r="V1586">
        <f>IFERROR($J1586/IF($A1586&lt;COUNTIFS($K$1:V$1,"&lt;&gt;"),0,SUMIFS($J:$J,$B:$B,$B1586,$A:$A,"&gt;="&amp;COUNTIFS($K$1:V$1,"&lt;&gt;"))),0)</f>
        <v>0</v>
      </c>
      <c r="W1586">
        <f t="shared" si="552"/>
        <v>8.4931506849315067E-2</v>
      </c>
      <c r="X1586">
        <f t="shared" si="532"/>
        <v>8.4931506849315067E-2</v>
      </c>
      <c r="Y1586">
        <f t="shared" si="533"/>
        <v>8.4931506849315067E-2</v>
      </c>
      <c r="Z1586">
        <f t="shared" si="534"/>
        <v>8.4931506849315067E-2</v>
      </c>
      <c r="AA1586">
        <f t="shared" si="535"/>
        <v>8.4931506849315067E-2</v>
      </c>
      <c r="AB1586">
        <f t="shared" si="536"/>
        <v>8.4931506849315067E-2</v>
      </c>
      <c r="AC1586">
        <f t="shared" si="537"/>
        <v>8.4931506849315067E-2</v>
      </c>
      <c r="AD1586">
        <f t="shared" si="538"/>
        <v>8.4931506849315067E-2</v>
      </c>
      <c r="AE1586">
        <f t="shared" si="539"/>
        <v>8.4931506849315067E-2</v>
      </c>
      <c r="AF1586">
        <f t="shared" si="540"/>
        <v>8.4931506849315067E-2</v>
      </c>
      <c r="AG1586">
        <f t="shared" si="541"/>
        <v>8.4931506849315067E-2</v>
      </c>
      <c r="AH1586">
        <f t="shared" si="542"/>
        <v>8.4931506849315067E-2</v>
      </c>
      <c r="AI1586">
        <f t="shared" si="543"/>
        <v>0</v>
      </c>
      <c r="AJ1586" s="2" t="str">
        <f t="shared" si="553"/>
        <v>1147515</v>
      </c>
    </row>
    <row r="1587" spans="1:36" x14ac:dyDescent="0.25">
      <c r="A1587">
        <v>12</v>
      </c>
      <c r="B1587" s="1">
        <v>47515</v>
      </c>
      <c r="C1587" s="1">
        <f t="shared" si="544"/>
        <v>47880</v>
      </c>
      <c r="D1587" s="1">
        <f t="shared" si="545"/>
        <v>47529</v>
      </c>
      <c r="E1587" s="1">
        <f t="shared" si="546"/>
        <v>47880</v>
      </c>
      <c r="F1587" s="1">
        <f t="shared" si="547"/>
        <v>47894</v>
      </c>
      <c r="G1587" s="1">
        <f t="shared" si="548"/>
        <v>47894</v>
      </c>
      <c r="H1587">
        <f t="shared" si="549"/>
        <v>365</v>
      </c>
      <c r="I1587">
        <f t="shared" si="550"/>
        <v>14</v>
      </c>
      <c r="J1587">
        <f t="shared" si="551"/>
        <v>3.8356164383561646E-2</v>
      </c>
      <c r="K1587">
        <f>IFERROR($J1587/IF($A1587&lt;COUNTIFS($K$1:K$1,"&lt;&gt;"),0,SUMIFS($J:$J,$B:$B,$B1587,$A:$A,"&gt;="&amp;COUNTIFS($K$1:K$1,"&lt;&gt;"))),0)</f>
        <v>3.9886039886039892E-2</v>
      </c>
      <c r="L1587">
        <f>IFERROR($J1587/IF($A1587&lt;COUNTIFS($K$1:L$1,"&lt;&gt;"),0,SUMIFS($J:$J,$B:$B,$B1587,$A:$A,"&gt;="&amp;COUNTIFS($K$1:L$1,"&lt;&gt;"))),0)</f>
        <v>4.3750000000000011E-2</v>
      </c>
      <c r="M1587">
        <f>IFERROR($J1587/IF($A1587&lt;COUNTIFS($K$1:M$1,"&lt;&gt;"),0,SUMIFS($J:$J,$B:$B,$B1587,$A:$A,"&gt;="&amp;COUNTIFS($K$1:M$1,"&lt;&gt;"))),0)</f>
        <v>4.827586206896553E-2</v>
      </c>
      <c r="N1587">
        <f>IFERROR($J1587/IF($A1587&lt;COUNTIFS($K$1:N$1,"&lt;&gt;"),0,SUMIFS($J:$J,$B:$B,$B1587,$A:$A,"&gt;="&amp;COUNTIFS($K$1:N$1,"&lt;&gt;"))),0)</f>
        <v>5.4054054054054071E-2</v>
      </c>
      <c r="O1587">
        <f>IFERROR($J1587/IF($A1587&lt;COUNTIFS($K$1:O$1,"&lt;&gt;"),0,SUMIFS($J:$J,$B:$B,$B1587,$A:$A,"&gt;="&amp;COUNTIFS($K$1:O$1,"&lt;&gt;"))),0)</f>
        <v>6.1135371179039319E-2</v>
      </c>
      <c r="P1587">
        <f>IFERROR($J1587/IF($A1587&lt;COUNTIFS($K$1:P$1,"&lt;&gt;"),0,SUMIFS($J:$J,$B:$B,$B1587,$A:$A,"&gt;="&amp;COUNTIFS($K$1:P$1,"&lt;&gt;"))),0)</f>
        <v>7.0707070707070732E-2</v>
      </c>
      <c r="Q1587">
        <f>IFERROR($J1587/IF($A1587&lt;COUNTIFS($K$1:Q$1,"&lt;&gt;"),0,SUMIFS($J:$J,$B:$B,$B1587,$A:$A,"&gt;="&amp;COUNTIFS($K$1:Q$1,"&lt;&gt;"))),0)</f>
        <v>8.3832335329341326E-2</v>
      </c>
      <c r="R1587">
        <f>IFERROR($J1587/IF($A1587&lt;COUNTIFS($K$1:R$1,"&lt;&gt;"),0,SUMIFS($J:$J,$B:$B,$B1587,$A:$A,"&gt;="&amp;COUNTIFS($K$1:R$1,"&lt;&gt;"))),0)</f>
        <v>0.10218978102189782</v>
      </c>
      <c r="S1587">
        <f>IFERROR($J1587/IF($A1587&lt;COUNTIFS($K$1:S$1,"&lt;&gt;"),0,SUMIFS($J:$J,$B:$B,$B1587,$A:$A,"&gt;="&amp;COUNTIFS($K$1:S$1,"&lt;&gt;"))),0)</f>
        <v>0.13207547169811323</v>
      </c>
      <c r="T1587">
        <f>IFERROR($J1587/IF($A1587&lt;COUNTIFS($K$1:T$1,"&lt;&gt;"),0,SUMIFS($J:$J,$B:$B,$B1587,$A:$A,"&gt;="&amp;COUNTIFS($K$1:T$1,"&lt;&gt;"))),0)</f>
        <v>0.18421052631578949</v>
      </c>
      <c r="U1587">
        <f>IFERROR($J1587/IF($A1587&lt;COUNTIFS($K$1:U$1,"&lt;&gt;"),0,SUMIFS($J:$J,$B:$B,$B1587,$A:$A,"&gt;="&amp;COUNTIFS($K$1:U$1,"&lt;&gt;"))),0)</f>
        <v>0.31111111111111117</v>
      </c>
      <c r="V1587">
        <f>IFERROR($J1587/IF($A1587&lt;COUNTIFS($K$1:V$1,"&lt;&gt;"),0,SUMIFS($J:$J,$B:$B,$B1587,$A:$A,"&gt;="&amp;COUNTIFS($K$1:V$1,"&lt;&gt;"))),0)</f>
        <v>1</v>
      </c>
      <c r="W1587">
        <f t="shared" si="552"/>
        <v>3.8356164383561646E-2</v>
      </c>
      <c r="X1587">
        <f t="shared" si="532"/>
        <v>3.8356164383561646E-2</v>
      </c>
      <c r="Y1587">
        <f t="shared" si="533"/>
        <v>3.8356164383561646E-2</v>
      </c>
      <c r="Z1587">
        <f t="shared" si="534"/>
        <v>3.8356164383561646E-2</v>
      </c>
      <c r="AA1587">
        <f t="shared" si="535"/>
        <v>3.8356164383561646E-2</v>
      </c>
      <c r="AB1587">
        <f t="shared" si="536"/>
        <v>3.8356164383561646E-2</v>
      </c>
      <c r="AC1587">
        <f t="shared" si="537"/>
        <v>3.8356164383561646E-2</v>
      </c>
      <c r="AD1587">
        <f t="shared" si="538"/>
        <v>3.8356164383561646E-2</v>
      </c>
      <c r="AE1587">
        <f t="shared" si="539"/>
        <v>3.8356164383561646E-2</v>
      </c>
      <c r="AF1587">
        <f t="shared" si="540"/>
        <v>3.8356164383561646E-2</v>
      </c>
      <c r="AG1587">
        <f t="shared" si="541"/>
        <v>3.8356164383561646E-2</v>
      </c>
      <c r="AH1587">
        <f t="shared" si="542"/>
        <v>3.8356164383561646E-2</v>
      </c>
      <c r="AI1587">
        <f t="shared" si="543"/>
        <v>3.8356164383561646E-2</v>
      </c>
      <c r="AJ1587" s="2" t="str">
        <f t="shared" si="553"/>
        <v>1247515</v>
      </c>
    </row>
    <row r="1588" spans="1:36" x14ac:dyDescent="0.25">
      <c r="A1588">
        <v>0</v>
      </c>
      <c r="B1588" s="1">
        <v>47543</v>
      </c>
      <c r="C1588" s="1">
        <f t="shared" si="544"/>
        <v>47543</v>
      </c>
      <c r="D1588" s="1">
        <f t="shared" si="545"/>
        <v>47557</v>
      </c>
      <c r="E1588" s="1">
        <f t="shared" si="546"/>
        <v>47557</v>
      </c>
      <c r="F1588" s="1">
        <f t="shared" si="547"/>
        <v>47574</v>
      </c>
      <c r="G1588" s="1">
        <f t="shared" si="548"/>
        <v>47922</v>
      </c>
      <c r="H1588">
        <f t="shared" si="549"/>
        <v>365</v>
      </c>
      <c r="I1588">
        <f t="shared" si="550"/>
        <v>17</v>
      </c>
      <c r="J1588">
        <f t="shared" si="551"/>
        <v>4.6575342465753428E-2</v>
      </c>
      <c r="K1588">
        <f>IFERROR($J1588/IF($A1588&lt;COUNTIFS($K$1:K$1,"&lt;&gt;"),0,SUMIFS($J:$J,$B:$B,$B1588,$A:$A,"&gt;="&amp;COUNTIFS($K$1:K$1,"&lt;&gt;"))),0)</f>
        <v>0</v>
      </c>
      <c r="L1588">
        <f>IFERROR($J1588/IF($A1588&lt;COUNTIFS($K$1:L$1,"&lt;&gt;"),0,SUMIFS($J:$J,$B:$B,$B1588,$A:$A,"&gt;="&amp;COUNTIFS($K$1:L$1,"&lt;&gt;"))),0)</f>
        <v>0</v>
      </c>
      <c r="M1588">
        <f>IFERROR($J1588/IF($A1588&lt;COUNTIFS($K$1:M$1,"&lt;&gt;"),0,SUMIFS($J:$J,$B:$B,$B1588,$A:$A,"&gt;="&amp;COUNTIFS($K$1:M$1,"&lt;&gt;"))),0)</f>
        <v>0</v>
      </c>
      <c r="N1588">
        <f>IFERROR($J1588/IF($A1588&lt;COUNTIFS($K$1:N$1,"&lt;&gt;"),0,SUMIFS($J:$J,$B:$B,$B1588,$A:$A,"&gt;="&amp;COUNTIFS($K$1:N$1,"&lt;&gt;"))),0)</f>
        <v>0</v>
      </c>
      <c r="O1588">
        <f>IFERROR($J1588/IF($A1588&lt;COUNTIFS($K$1:O$1,"&lt;&gt;"),0,SUMIFS($J:$J,$B:$B,$B1588,$A:$A,"&gt;="&amp;COUNTIFS($K$1:O$1,"&lt;&gt;"))),0)</f>
        <v>0</v>
      </c>
      <c r="P1588">
        <f>IFERROR($J1588/IF($A1588&lt;COUNTIFS($K$1:P$1,"&lt;&gt;"),0,SUMIFS($J:$J,$B:$B,$B1588,$A:$A,"&gt;="&amp;COUNTIFS($K$1:P$1,"&lt;&gt;"))),0)</f>
        <v>0</v>
      </c>
      <c r="Q1588">
        <f>IFERROR($J1588/IF($A1588&lt;COUNTIFS($K$1:Q$1,"&lt;&gt;"),0,SUMIFS($J:$J,$B:$B,$B1588,$A:$A,"&gt;="&amp;COUNTIFS($K$1:Q$1,"&lt;&gt;"))),0)</f>
        <v>0</v>
      </c>
      <c r="R1588">
        <f>IFERROR($J1588/IF($A1588&lt;COUNTIFS($K$1:R$1,"&lt;&gt;"),0,SUMIFS($J:$J,$B:$B,$B1588,$A:$A,"&gt;="&amp;COUNTIFS($K$1:R$1,"&lt;&gt;"))),0)</f>
        <v>0</v>
      </c>
      <c r="S1588">
        <f>IFERROR($J1588/IF($A1588&lt;COUNTIFS($K$1:S$1,"&lt;&gt;"),0,SUMIFS($J:$J,$B:$B,$B1588,$A:$A,"&gt;="&amp;COUNTIFS($K$1:S$1,"&lt;&gt;"))),0)</f>
        <v>0</v>
      </c>
      <c r="T1588">
        <f>IFERROR($J1588/IF($A1588&lt;COUNTIFS($K$1:T$1,"&lt;&gt;"),0,SUMIFS($J:$J,$B:$B,$B1588,$A:$A,"&gt;="&amp;COUNTIFS($K$1:T$1,"&lt;&gt;"))),0)</f>
        <v>0</v>
      </c>
      <c r="U1588">
        <f>IFERROR($J1588/IF($A1588&lt;COUNTIFS($K$1:U$1,"&lt;&gt;"),0,SUMIFS($J:$J,$B:$B,$B1588,$A:$A,"&gt;="&amp;COUNTIFS($K$1:U$1,"&lt;&gt;"))),0)</f>
        <v>0</v>
      </c>
      <c r="V1588">
        <f>IFERROR($J1588/IF($A1588&lt;COUNTIFS($K$1:V$1,"&lt;&gt;"),0,SUMIFS($J:$J,$B:$B,$B1588,$A:$A,"&gt;="&amp;COUNTIFS($K$1:V$1,"&lt;&gt;"))),0)</f>
        <v>0</v>
      </c>
      <c r="W1588">
        <f t="shared" si="552"/>
        <v>4.6575342465753428E-2</v>
      </c>
      <c r="X1588">
        <f t="shared" si="532"/>
        <v>0</v>
      </c>
      <c r="Y1588">
        <f t="shared" si="533"/>
        <v>0</v>
      </c>
      <c r="Z1588">
        <f t="shared" si="534"/>
        <v>0</v>
      </c>
      <c r="AA1588">
        <f t="shared" si="535"/>
        <v>0</v>
      </c>
      <c r="AB1588">
        <f t="shared" si="536"/>
        <v>0</v>
      </c>
      <c r="AC1588">
        <f t="shared" si="537"/>
        <v>0</v>
      </c>
      <c r="AD1588">
        <f t="shared" si="538"/>
        <v>0</v>
      </c>
      <c r="AE1588">
        <f t="shared" si="539"/>
        <v>0</v>
      </c>
      <c r="AF1588">
        <f t="shared" si="540"/>
        <v>0</v>
      </c>
      <c r="AG1588">
        <f t="shared" si="541"/>
        <v>0</v>
      </c>
      <c r="AH1588">
        <f t="shared" si="542"/>
        <v>0</v>
      </c>
      <c r="AI1588">
        <f t="shared" si="543"/>
        <v>0</v>
      </c>
      <c r="AJ1588" s="2" t="str">
        <f t="shared" si="553"/>
        <v>047543</v>
      </c>
    </row>
    <row r="1589" spans="1:36" x14ac:dyDescent="0.25">
      <c r="A1589">
        <v>1</v>
      </c>
      <c r="B1589" s="1">
        <v>47543</v>
      </c>
      <c r="C1589" s="1">
        <f t="shared" si="544"/>
        <v>47574</v>
      </c>
      <c r="D1589" s="1">
        <f t="shared" si="545"/>
        <v>47557</v>
      </c>
      <c r="E1589" s="1">
        <f t="shared" si="546"/>
        <v>47574</v>
      </c>
      <c r="F1589" s="1">
        <f t="shared" si="547"/>
        <v>47604</v>
      </c>
      <c r="G1589" s="1">
        <f t="shared" si="548"/>
        <v>47922</v>
      </c>
      <c r="H1589">
        <f t="shared" si="549"/>
        <v>365</v>
      </c>
      <c r="I1589">
        <f t="shared" si="550"/>
        <v>30</v>
      </c>
      <c r="J1589">
        <f t="shared" si="551"/>
        <v>8.2191780821917804E-2</v>
      </c>
      <c r="K1589">
        <f>IFERROR($J1589/IF($A1589&lt;COUNTIFS($K$1:K$1,"&lt;&gt;"),0,SUMIFS($J:$J,$B:$B,$B1589,$A:$A,"&gt;="&amp;COUNTIFS($K$1:K$1,"&lt;&gt;"))),0)</f>
        <v>8.6206896551724144E-2</v>
      </c>
      <c r="L1589">
        <f>IFERROR($J1589/IF($A1589&lt;COUNTIFS($K$1:L$1,"&lt;&gt;"),0,SUMIFS($J:$J,$B:$B,$B1589,$A:$A,"&gt;="&amp;COUNTIFS($K$1:L$1,"&lt;&gt;"))),0)</f>
        <v>0</v>
      </c>
      <c r="M1589">
        <f>IFERROR($J1589/IF($A1589&lt;COUNTIFS($K$1:M$1,"&lt;&gt;"),0,SUMIFS($J:$J,$B:$B,$B1589,$A:$A,"&gt;="&amp;COUNTIFS($K$1:M$1,"&lt;&gt;"))),0)</f>
        <v>0</v>
      </c>
      <c r="N1589">
        <f>IFERROR($J1589/IF($A1589&lt;COUNTIFS($K$1:N$1,"&lt;&gt;"),0,SUMIFS($J:$J,$B:$B,$B1589,$A:$A,"&gt;="&amp;COUNTIFS($K$1:N$1,"&lt;&gt;"))),0)</f>
        <v>0</v>
      </c>
      <c r="O1589">
        <f>IFERROR($J1589/IF($A1589&lt;COUNTIFS($K$1:O$1,"&lt;&gt;"),0,SUMIFS($J:$J,$B:$B,$B1589,$A:$A,"&gt;="&amp;COUNTIFS($K$1:O$1,"&lt;&gt;"))),0)</f>
        <v>0</v>
      </c>
      <c r="P1589">
        <f>IFERROR($J1589/IF($A1589&lt;COUNTIFS($K$1:P$1,"&lt;&gt;"),0,SUMIFS($J:$J,$B:$B,$B1589,$A:$A,"&gt;="&amp;COUNTIFS($K$1:P$1,"&lt;&gt;"))),0)</f>
        <v>0</v>
      </c>
      <c r="Q1589">
        <f>IFERROR($J1589/IF($A1589&lt;COUNTIFS($K$1:Q$1,"&lt;&gt;"),0,SUMIFS($J:$J,$B:$B,$B1589,$A:$A,"&gt;="&amp;COUNTIFS($K$1:Q$1,"&lt;&gt;"))),0)</f>
        <v>0</v>
      </c>
      <c r="R1589">
        <f>IFERROR($J1589/IF($A1589&lt;COUNTIFS($K$1:R$1,"&lt;&gt;"),0,SUMIFS($J:$J,$B:$B,$B1589,$A:$A,"&gt;="&amp;COUNTIFS($K$1:R$1,"&lt;&gt;"))),0)</f>
        <v>0</v>
      </c>
      <c r="S1589">
        <f>IFERROR($J1589/IF($A1589&lt;COUNTIFS($K$1:S$1,"&lt;&gt;"),0,SUMIFS($J:$J,$B:$B,$B1589,$A:$A,"&gt;="&amp;COUNTIFS($K$1:S$1,"&lt;&gt;"))),0)</f>
        <v>0</v>
      </c>
      <c r="T1589">
        <f>IFERROR($J1589/IF($A1589&lt;COUNTIFS($K$1:T$1,"&lt;&gt;"),0,SUMIFS($J:$J,$B:$B,$B1589,$A:$A,"&gt;="&amp;COUNTIFS($K$1:T$1,"&lt;&gt;"))),0)</f>
        <v>0</v>
      </c>
      <c r="U1589">
        <f>IFERROR($J1589/IF($A1589&lt;COUNTIFS($K$1:U$1,"&lt;&gt;"),0,SUMIFS($J:$J,$B:$B,$B1589,$A:$A,"&gt;="&amp;COUNTIFS($K$1:U$1,"&lt;&gt;"))),0)</f>
        <v>0</v>
      </c>
      <c r="V1589">
        <f>IFERROR($J1589/IF($A1589&lt;COUNTIFS($K$1:V$1,"&lt;&gt;"),0,SUMIFS($J:$J,$B:$B,$B1589,$A:$A,"&gt;="&amp;COUNTIFS($K$1:V$1,"&lt;&gt;"))),0)</f>
        <v>0</v>
      </c>
      <c r="W1589">
        <f t="shared" si="552"/>
        <v>8.2191780821917804E-2</v>
      </c>
      <c r="X1589">
        <f t="shared" si="532"/>
        <v>8.2191780821917804E-2</v>
      </c>
      <c r="Y1589">
        <f t="shared" si="533"/>
        <v>0</v>
      </c>
      <c r="Z1589">
        <f t="shared" si="534"/>
        <v>0</v>
      </c>
      <c r="AA1589">
        <f t="shared" si="535"/>
        <v>0</v>
      </c>
      <c r="AB1589">
        <f t="shared" si="536"/>
        <v>0</v>
      </c>
      <c r="AC1589">
        <f t="shared" si="537"/>
        <v>0</v>
      </c>
      <c r="AD1589">
        <f t="shared" si="538"/>
        <v>0</v>
      </c>
      <c r="AE1589">
        <f t="shared" si="539"/>
        <v>0</v>
      </c>
      <c r="AF1589">
        <f t="shared" si="540"/>
        <v>0</v>
      </c>
      <c r="AG1589">
        <f t="shared" si="541"/>
        <v>0</v>
      </c>
      <c r="AH1589">
        <f t="shared" si="542"/>
        <v>0</v>
      </c>
      <c r="AI1589">
        <f t="shared" si="543"/>
        <v>0</v>
      </c>
      <c r="AJ1589" s="2" t="str">
        <f t="shared" si="553"/>
        <v>147543</v>
      </c>
    </row>
    <row r="1590" spans="1:36" x14ac:dyDescent="0.25">
      <c r="A1590">
        <v>2</v>
      </c>
      <c r="B1590" s="1">
        <v>47543</v>
      </c>
      <c r="C1590" s="1">
        <f t="shared" si="544"/>
        <v>47604</v>
      </c>
      <c r="D1590" s="1">
        <f t="shared" si="545"/>
        <v>47557</v>
      </c>
      <c r="E1590" s="1">
        <f t="shared" si="546"/>
        <v>47604</v>
      </c>
      <c r="F1590" s="1">
        <f t="shared" si="547"/>
        <v>47635</v>
      </c>
      <c r="G1590" s="1">
        <f t="shared" si="548"/>
        <v>47922</v>
      </c>
      <c r="H1590">
        <f t="shared" si="549"/>
        <v>365</v>
      </c>
      <c r="I1590">
        <f t="shared" si="550"/>
        <v>31</v>
      </c>
      <c r="J1590">
        <f t="shared" si="551"/>
        <v>8.4931506849315067E-2</v>
      </c>
      <c r="K1590">
        <f>IFERROR($J1590/IF($A1590&lt;COUNTIFS($K$1:K$1,"&lt;&gt;"),0,SUMIFS($J:$J,$B:$B,$B1590,$A:$A,"&gt;="&amp;COUNTIFS($K$1:K$1,"&lt;&gt;"))),0)</f>
        <v>8.9080459770114959E-2</v>
      </c>
      <c r="L1590">
        <f>IFERROR($J1590/IF($A1590&lt;COUNTIFS($K$1:L$1,"&lt;&gt;"),0,SUMIFS($J:$J,$B:$B,$B1590,$A:$A,"&gt;="&amp;COUNTIFS($K$1:L$1,"&lt;&gt;"))),0)</f>
        <v>9.7484276729559768E-2</v>
      </c>
      <c r="M1590">
        <f>IFERROR($J1590/IF($A1590&lt;COUNTIFS($K$1:M$1,"&lt;&gt;"),0,SUMIFS($J:$J,$B:$B,$B1590,$A:$A,"&gt;="&amp;COUNTIFS($K$1:M$1,"&lt;&gt;"))),0)</f>
        <v>0</v>
      </c>
      <c r="N1590">
        <f>IFERROR($J1590/IF($A1590&lt;COUNTIFS($K$1:N$1,"&lt;&gt;"),0,SUMIFS($J:$J,$B:$B,$B1590,$A:$A,"&gt;="&amp;COUNTIFS($K$1:N$1,"&lt;&gt;"))),0)</f>
        <v>0</v>
      </c>
      <c r="O1590">
        <f>IFERROR($J1590/IF($A1590&lt;COUNTIFS($K$1:O$1,"&lt;&gt;"),0,SUMIFS($J:$J,$B:$B,$B1590,$A:$A,"&gt;="&amp;COUNTIFS($K$1:O$1,"&lt;&gt;"))),0)</f>
        <v>0</v>
      </c>
      <c r="P1590">
        <f>IFERROR($J1590/IF($A1590&lt;COUNTIFS($K$1:P$1,"&lt;&gt;"),0,SUMIFS($J:$J,$B:$B,$B1590,$A:$A,"&gt;="&amp;COUNTIFS($K$1:P$1,"&lt;&gt;"))),0)</f>
        <v>0</v>
      </c>
      <c r="Q1590">
        <f>IFERROR($J1590/IF($A1590&lt;COUNTIFS($K$1:Q$1,"&lt;&gt;"),0,SUMIFS($J:$J,$B:$B,$B1590,$A:$A,"&gt;="&amp;COUNTIFS($K$1:Q$1,"&lt;&gt;"))),0)</f>
        <v>0</v>
      </c>
      <c r="R1590">
        <f>IFERROR($J1590/IF($A1590&lt;COUNTIFS($K$1:R$1,"&lt;&gt;"),0,SUMIFS($J:$J,$B:$B,$B1590,$A:$A,"&gt;="&amp;COUNTIFS($K$1:R$1,"&lt;&gt;"))),0)</f>
        <v>0</v>
      </c>
      <c r="S1590">
        <f>IFERROR($J1590/IF($A1590&lt;COUNTIFS($K$1:S$1,"&lt;&gt;"),0,SUMIFS($J:$J,$B:$B,$B1590,$A:$A,"&gt;="&amp;COUNTIFS($K$1:S$1,"&lt;&gt;"))),0)</f>
        <v>0</v>
      </c>
      <c r="T1590">
        <f>IFERROR($J1590/IF($A1590&lt;COUNTIFS($K$1:T$1,"&lt;&gt;"),0,SUMIFS($J:$J,$B:$B,$B1590,$A:$A,"&gt;="&amp;COUNTIFS($K$1:T$1,"&lt;&gt;"))),0)</f>
        <v>0</v>
      </c>
      <c r="U1590">
        <f>IFERROR($J1590/IF($A1590&lt;COUNTIFS($K$1:U$1,"&lt;&gt;"),0,SUMIFS($J:$J,$B:$B,$B1590,$A:$A,"&gt;="&amp;COUNTIFS($K$1:U$1,"&lt;&gt;"))),0)</f>
        <v>0</v>
      </c>
      <c r="V1590">
        <f>IFERROR($J1590/IF($A1590&lt;COUNTIFS($K$1:V$1,"&lt;&gt;"),0,SUMIFS($J:$J,$B:$B,$B1590,$A:$A,"&gt;="&amp;COUNTIFS($K$1:V$1,"&lt;&gt;"))),0)</f>
        <v>0</v>
      </c>
      <c r="W1590">
        <f t="shared" si="552"/>
        <v>8.4931506849315067E-2</v>
      </c>
      <c r="X1590">
        <f t="shared" si="532"/>
        <v>8.4931506849315067E-2</v>
      </c>
      <c r="Y1590">
        <f t="shared" si="533"/>
        <v>8.4931506849315067E-2</v>
      </c>
      <c r="Z1590">
        <f t="shared" si="534"/>
        <v>0</v>
      </c>
      <c r="AA1590">
        <f t="shared" si="535"/>
        <v>0</v>
      </c>
      <c r="AB1590">
        <f t="shared" si="536"/>
        <v>0</v>
      </c>
      <c r="AC1590">
        <f t="shared" si="537"/>
        <v>0</v>
      </c>
      <c r="AD1590">
        <f t="shared" si="538"/>
        <v>0</v>
      </c>
      <c r="AE1590">
        <f t="shared" si="539"/>
        <v>0</v>
      </c>
      <c r="AF1590">
        <f t="shared" si="540"/>
        <v>0</v>
      </c>
      <c r="AG1590">
        <f t="shared" si="541"/>
        <v>0</v>
      </c>
      <c r="AH1590">
        <f t="shared" si="542"/>
        <v>0</v>
      </c>
      <c r="AI1590">
        <f t="shared" si="543"/>
        <v>0</v>
      </c>
      <c r="AJ1590" s="2" t="str">
        <f t="shared" si="553"/>
        <v>247543</v>
      </c>
    </row>
    <row r="1591" spans="1:36" x14ac:dyDescent="0.25">
      <c r="A1591">
        <v>3</v>
      </c>
      <c r="B1591" s="1">
        <v>47543</v>
      </c>
      <c r="C1591" s="1">
        <f t="shared" si="544"/>
        <v>47635</v>
      </c>
      <c r="D1591" s="1">
        <f t="shared" si="545"/>
        <v>47557</v>
      </c>
      <c r="E1591" s="1">
        <f t="shared" si="546"/>
        <v>47635</v>
      </c>
      <c r="F1591" s="1">
        <f t="shared" si="547"/>
        <v>47665</v>
      </c>
      <c r="G1591" s="1">
        <f t="shared" si="548"/>
        <v>47922</v>
      </c>
      <c r="H1591">
        <f t="shared" si="549"/>
        <v>365</v>
      </c>
      <c r="I1591">
        <f t="shared" si="550"/>
        <v>30</v>
      </c>
      <c r="J1591">
        <f t="shared" si="551"/>
        <v>8.2191780821917804E-2</v>
      </c>
      <c r="K1591">
        <f>IFERROR($J1591/IF($A1591&lt;COUNTIFS($K$1:K$1,"&lt;&gt;"),0,SUMIFS($J:$J,$B:$B,$B1591,$A:$A,"&gt;="&amp;COUNTIFS($K$1:K$1,"&lt;&gt;"))),0)</f>
        <v>8.6206896551724144E-2</v>
      </c>
      <c r="L1591">
        <f>IFERROR($J1591/IF($A1591&lt;COUNTIFS($K$1:L$1,"&lt;&gt;"),0,SUMIFS($J:$J,$B:$B,$B1591,$A:$A,"&gt;="&amp;COUNTIFS($K$1:L$1,"&lt;&gt;"))),0)</f>
        <v>9.4339622641509441E-2</v>
      </c>
      <c r="M1591">
        <f>IFERROR($J1591/IF($A1591&lt;COUNTIFS($K$1:M$1,"&lt;&gt;"),0,SUMIFS($J:$J,$B:$B,$B1591,$A:$A,"&gt;="&amp;COUNTIFS($K$1:M$1,"&lt;&gt;"))),0)</f>
        <v>0.10452961672473869</v>
      </c>
      <c r="N1591">
        <f>IFERROR($J1591/IF($A1591&lt;COUNTIFS($K$1:N$1,"&lt;&gt;"),0,SUMIFS($J:$J,$B:$B,$B1591,$A:$A,"&gt;="&amp;COUNTIFS($K$1:N$1,"&lt;&gt;"))),0)</f>
        <v>0</v>
      </c>
      <c r="O1591">
        <f>IFERROR($J1591/IF($A1591&lt;COUNTIFS($K$1:O$1,"&lt;&gt;"),0,SUMIFS($J:$J,$B:$B,$B1591,$A:$A,"&gt;="&amp;COUNTIFS($K$1:O$1,"&lt;&gt;"))),0)</f>
        <v>0</v>
      </c>
      <c r="P1591">
        <f>IFERROR($J1591/IF($A1591&lt;COUNTIFS($K$1:P$1,"&lt;&gt;"),0,SUMIFS($J:$J,$B:$B,$B1591,$A:$A,"&gt;="&amp;COUNTIFS($K$1:P$1,"&lt;&gt;"))),0)</f>
        <v>0</v>
      </c>
      <c r="Q1591">
        <f>IFERROR($J1591/IF($A1591&lt;COUNTIFS($K$1:Q$1,"&lt;&gt;"),0,SUMIFS($J:$J,$B:$B,$B1591,$A:$A,"&gt;="&amp;COUNTIFS($K$1:Q$1,"&lt;&gt;"))),0)</f>
        <v>0</v>
      </c>
      <c r="R1591">
        <f>IFERROR($J1591/IF($A1591&lt;COUNTIFS($K$1:R$1,"&lt;&gt;"),0,SUMIFS($J:$J,$B:$B,$B1591,$A:$A,"&gt;="&amp;COUNTIFS($K$1:R$1,"&lt;&gt;"))),0)</f>
        <v>0</v>
      </c>
      <c r="S1591">
        <f>IFERROR($J1591/IF($A1591&lt;COUNTIFS($K$1:S$1,"&lt;&gt;"),0,SUMIFS($J:$J,$B:$B,$B1591,$A:$A,"&gt;="&amp;COUNTIFS($K$1:S$1,"&lt;&gt;"))),0)</f>
        <v>0</v>
      </c>
      <c r="T1591">
        <f>IFERROR($J1591/IF($A1591&lt;COUNTIFS($K$1:T$1,"&lt;&gt;"),0,SUMIFS($J:$J,$B:$B,$B1591,$A:$A,"&gt;="&amp;COUNTIFS($K$1:T$1,"&lt;&gt;"))),0)</f>
        <v>0</v>
      </c>
      <c r="U1591">
        <f>IFERROR($J1591/IF($A1591&lt;COUNTIFS($K$1:U$1,"&lt;&gt;"),0,SUMIFS($J:$J,$B:$B,$B1591,$A:$A,"&gt;="&amp;COUNTIFS($K$1:U$1,"&lt;&gt;"))),0)</f>
        <v>0</v>
      </c>
      <c r="V1591">
        <f>IFERROR($J1591/IF($A1591&lt;COUNTIFS($K$1:V$1,"&lt;&gt;"),0,SUMIFS($J:$J,$B:$B,$B1591,$A:$A,"&gt;="&amp;COUNTIFS($K$1:V$1,"&lt;&gt;"))),0)</f>
        <v>0</v>
      </c>
      <c r="W1591">
        <f t="shared" si="552"/>
        <v>8.2191780821917804E-2</v>
      </c>
      <c r="X1591">
        <f t="shared" si="532"/>
        <v>8.2191780821917804E-2</v>
      </c>
      <c r="Y1591">
        <f t="shared" si="533"/>
        <v>8.2191780821917804E-2</v>
      </c>
      <c r="Z1591">
        <f t="shared" si="534"/>
        <v>8.2191780821917804E-2</v>
      </c>
      <c r="AA1591">
        <f t="shared" si="535"/>
        <v>0</v>
      </c>
      <c r="AB1591">
        <f t="shared" si="536"/>
        <v>0</v>
      </c>
      <c r="AC1591">
        <f t="shared" si="537"/>
        <v>0</v>
      </c>
      <c r="AD1591">
        <f t="shared" si="538"/>
        <v>0</v>
      </c>
      <c r="AE1591">
        <f t="shared" si="539"/>
        <v>0</v>
      </c>
      <c r="AF1591">
        <f t="shared" si="540"/>
        <v>0</v>
      </c>
      <c r="AG1591">
        <f t="shared" si="541"/>
        <v>0</v>
      </c>
      <c r="AH1591">
        <f t="shared" si="542"/>
        <v>0</v>
      </c>
      <c r="AI1591">
        <f t="shared" si="543"/>
        <v>0</v>
      </c>
      <c r="AJ1591" s="2" t="str">
        <f t="shared" si="553"/>
        <v>347543</v>
      </c>
    </row>
    <row r="1592" spans="1:36" x14ac:dyDescent="0.25">
      <c r="A1592">
        <v>4</v>
      </c>
      <c r="B1592" s="1">
        <v>47543</v>
      </c>
      <c r="C1592" s="1">
        <f t="shared" si="544"/>
        <v>47665</v>
      </c>
      <c r="D1592" s="1">
        <f t="shared" si="545"/>
        <v>47557</v>
      </c>
      <c r="E1592" s="1">
        <f t="shared" si="546"/>
        <v>47665</v>
      </c>
      <c r="F1592" s="1">
        <f t="shared" si="547"/>
        <v>47696</v>
      </c>
      <c r="G1592" s="1">
        <f t="shared" si="548"/>
        <v>47922</v>
      </c>
      <c r="H1592">
        <f t="shared" si="549"/>
        <v>365</v>
      </c>
      <c r="I1592">
        <f t="shared" si="550"/>
        <v>31</v>
      </c>
      <c r="J1592">
        <f t="shared" si="551"/>
        <v>8.4931506849315067E-2</v>
      </c>
      <c r="K1592">
        <f>IFERROR($J1592/IF($A1592&lt;COUNTIFS($K$1:K$1,"&lt;&gt;"),0,SUMIFS($J:$J,$B:$B,$B1592,$A:$A,"&gt;="&amp;COUNTIFS($K$1:K$1,"&lt;&gt;"))),0)</f>
        <v>8.9080459770114959E-2</v>
      </c>
      <c r="L1592">
        <f>IFERROR($J1592/IF($A1592&lt;COUNTIFS($K$1:L$1,"&lt;&gt;"),0,SUMIFS($J:$J,$B:$B,$B1592,$A:$A,"&gt;="&amp;COUNTIFS($K$1:L$1,"&lt;&gt;"))),0)</f>
        <v>9.7484276729559768E-2</v>
      </c>
      <c r="M1592">
        <f>IFERROR($J1592/IF($A1592&lt;COUNTIFS($K$1:M$1,"&lt;&gt;"),0,SUMIFS($J:$J,$B:$B,$B1592,$A:$A,"&gt;="&amp;COUNTIFS($K$1:M$1,"&lt;&gt;"))),0)</f>
        <v>0.10801393728222998</v>
      </c>
      <c r="N1592">
        <f>IFERROR($J1592/IF($A1592&lt;COUNTIFS($K$1:N$1,"&lt;&gt;"),0,SUMIFS($J:$J,$B:$B,$B1592,$A:$A,"&gt;="&amp;COUNTIFS($K$1:N$1,"&lt;&gt;"))),0)</f>
        <v>0.12062256809338523</v>
      </c>
      <c r="O1592">
        <f>IFERROR($J1592/IF($A1592&lt;COUNTIFS($K$1:O$1,"&lt;&gt;"),0,SUMIFS($J:$J,$B:$B,$B1592,$A:$A,"&gt;="&amp;COUNTIFS($K$1:O$1,"&lt;&gt;"))),0)</f>
        <v>0</v>
      </c>
      <c r="P1592">
        <f>IFERROR($J1592/IF($A1592&lt;COUNTIFS($K$1:P$1,"&lt;&gt;"),0,SUMIFS($J:$J,$B:$B,$B1592,$A:$A,"&gt;="&amp;COUNTIFS($K$1:P$1,"&lt;&gt;"))),0)</f>
        <v>0</v>
      </c>
      <c r="Q1592">
        <f>IFERROR($J1592/IF($A1592&lt;COUNTIFS($K$1:Q$1,"&lt;&gt;"),0,SUMIFS($J:$J,$B:$B,$B1592,$A:$A,"&gt;="&amp;COUNTIFS($K$1:Q$1,"&lt;&gt;"))),0)</f>
        <v>0</v>
      </c>
      <c r="R1592">
        <f>IFERROR($J1592/IF($A1592&lt;COUNTIFS($K$1:R$1,"&lt;&gt;"),0,SUMIFS($J:$J,$B:$B,$B1592,$A:$A,"&gt;="&amp;COUNTIFS($K$1:R$1,"&lt;&gt;"))),0)</f>
        <v>0</v>
      </c>
      <c r="S1592">
        <f>IFERROR($J1592/IF($A1592&lt;COUNTIFS($K$1:S$1,"&lt;&gt;"),0,SUMIFS($J:$J,$B:$B,$B1592,$A:$A,"&gt;="&amp;COUNTIFS($K$1:S$1,"&lt;&gt;"))),0)</f>
        <v>0</v>
      </c>
      <c r="T1592">
        <f>IFERROR($J1592/IF($A1592&lt;COUNTIFS($K$1:T$1,"&lt;&gt;"),0,SUMIFS($J:$J,$B:$B,$B1592,$A:$A,"&gt;="&amp;COUNTIFS($K$1:T$1,"&lt;&gt;"))),0)</f>
        <v>0</v>
      </c>
      <c r="U1592">
        <f>IFERROR($J1592/IF($A1592&lt;COUNTIFS($K$1:U$1,"&lt;&gt;"),0,SUMIFS($J:$J,$B:$B,$B1592,$A:$A,"&gt;="&amp;COUNTIFS($K$1:U$1,"&lt;&gt;"))),0)</f>
        <v>0</v>
      </c>
      <c r="V1592">
        <f>IFERROR($J1592/IF($A1592&lt;COUNTIFS($K$1:V$1,"&lt;&gt;"),0,SUMIFS($J:$J,$B:$B,$B1592,$A:$A,"&gt;="&amp;COUNTIFS($K$1:V$1,"&lt;&gt;"))),0)</f>
        <v>0</v>
      </c>
      <c r="W1592">
        <f t="shared" si="552"/>
        <v>8.4931506849315067E-2</v>
      </c>
      <c r="X1592">
        <f t="shared" si="532"/>
        <v>8.4931506849315067E-2</v>
      </c>
      <c r="Y1592">
        <f t="shared" si="533"/>
        <v>8.4931506849315067E-2</v>
      </c>
      <c r="Z1592">
        <f t="shared" si="534"/>
        <v>8.4931506849315067E-2</v>
      </c>
      <c r="AA1592">
        <f t="shared" si="535"/>
        <v>8.4931506849315067E-2</v>
      </c>
      <c r="AB1592">
        <f t="shared" si="536"/>
        <v>0</v>
      </c>
      <c r="AC1592">
        <f t="shared" si="537"/>
        <v>0</v>
      </c>
      <c r="AD1592">
        <f t="shared" si="538"/>
        <v>0</v>
      </c>
      <c r="AE1592">
        <f t="shared" si="539"/>
        <v>0</v>
      </c>
      <c r="AF1592">
        <f t="shared" si="540"/>
        <v>0</v>
      </c>
      <c r="AG1592">
        <f t="shared" si="541"/>
        <v>0</v>
      </c>
      <c r="AH1592">
        <f t="shared" si="542"/>
        <v>0</v>
      </c>
      <c r="AI1592">
        <f t="shared" si="543"/>
        <v>0</v>
      </c>
      <c r="AJ1592" s="2" t="str">
        <f t="shared" si="553"/>
        <v>447543</v>
      </c>
    </row>
    <row r="1593" spans="1:36" x14ac:dyDescent="0.25">
      <c r="A1593">
        <v>5</v>
      </c>
      <c r="B1593" s="1">
        <v>47543</v>
      </c>
      <c r="C1593" s="1">
        <f t="shared" si="544"/>
        <v>47696</v>
      </c>
      <c r="D1593" s="1">
        <f t="shared" si="545"/>
        <v>47557</v>
      </c>
      <c r="E1593" s="1">
        <f t="shared" si="546"/>
        <v>47696</v>
      </c>
      <c r="F1593" s="1">
        <f t="shared" si="547"/>
        <v>47727</v>
      </c>
      <c r="G1593" s="1">
        <f t="shared" si="548"/>
        <v>47922</v>
      </c>
      <c r="H1593">
        <f t="shared" si="549"/>
        <v>365</v>
      </c>
      <c r="I1593">
        <f t="shared" si="550"/>
        <v>31</v>
      </c>
      <c r="J1593">
        <f t="shared" si="551"/>
        <v>8.4931506849315067E-2</v>
      </c>
      <c r="K1593">
        <f>IFERROR($J1593/IF($A1593&lt;COUNTIFS($K$1:K$1,"&lt;&gt;"),0,SUMIFS($J:$J,$B:$B,$B1593,$A:$A,"&gt;="&amp;COUNTIFS($K$1:K$1,"&lt;&gt;"))),0)</f>
        <v>8.9080459770114959E-2</v>
      </c>
      <c r="L1593">
        <f>IFERROR($J1593/IF($A1593&lt;COUNTIFS($K$1:L$1,"&lt;&gt;"),0,SUMIFS($J:$J,$B:$B,$B1593,$A:$A,"&gt;="&amp;COUNTIFS($K$1:L$1,"&lt;&gt;"))),0)</f>
        <v>9.7484276729559768E-2</v>
      </c>
      <c r="M1593">
        <f>IFERROR($J1593/IF($A1593&lt;COUNTIFS($K$1:M$1,"&lt;&gt;"),0,SUMIFS($J:$J,$B:$B,$B1593,$A:$A,"&gt;="&amp;COUNTIFS($K$1:M$1,"&lt;&gt;"))),0)</f>
        <v>0.10801393728222998</v>
      </c>
      <c r="N1593">
        <f>IFERROR($J1593/IF($A1593&lt;COUNTIFS($K$1:N$1,"&lt;&gt;"),0,SUMIFS($J:$J,$B:$B,$B1593,$A:$A,"&gt;="&amp;COUNTIFS($K$1:N$1,"&lt;&gt;"))),0)</f>
        <v>0.12062256809338523</v>
      </c>
      <c r="O1593">
        <f>IFERROR($J1593/IF($A1593&lt;COUNTIFS($K$1:O$1,"&lt;&gt;"),0,SUMIFS($J:$J,$B:$B,$B1593,$A:$A,"&gt;="&amp;COUNTIFS($K$1:O$1,"&lt;&gt;"))),0)</f>
        <v>0.13716814159292037</v>
      </c>
      <c r="P1593">
        <f>IFERROR($J1593/IF($A1593&lt;COUNTIFS($K$1:P$1,"&lt;&gt;"),0,SUMIFS($J:$J,$B:$B,$B1593,$A:$A,"&gt;="&amp;COUNTIFS($K$1:P$1,"&lt;&gt;"))),0)</f>
        <v>0</v>
      </c>
      <c r="Q1593">
        <f>IFERROR($J1593/IF($A1593&lt;COUNTIFS($K$1:Q$1,"&lt;&gt;"),0,SUMIFS($J:$J,$B:$B,$B1593,$A:$A,"&gt;="&amp;COUNTIFS($K$1:Q$1,"&lt;&gt;"))),0)</f>
        <v>0</v>
      </c>
      <c r="R1593">
        <f>IFERROR($J1593/IF($A1593&lt;COUNTIFS($K$1:R$1,"&lt;&gt;"),0,SUMIFS($J:$J,$B:$B,$B1593,$A:$A,"&gt;="&amp;COUNTIFS($K$1:R$1,"&lt;&gt;"))),0)</f>
        <v>0</v>
      </c>
      <c r="S1593">
        <f>IFERROR($J1593/IF($A1593&lt;COUNTIFS($K$1:S$1,"&lt;&gt;"),0,SUMIFS($J:$J,$B:$B,$B1593,$A:$A,"&gt;="&amp;COUNTIFS($K$1:S$1,"&lt;&gt;"))),0)</f>
        <v>0</v>
      </c>
      <c r="T1593">
        <f>IFERROR($J1593/IF($A1593&lt;COUNTIFS($K$1:T$1,"&lt;&gt;"),0,SUMIFS($J:$J,$B:$B,$B1593,$A:$A,"&gt;="&amp;COUNTIFS($K$1:T$1,"&lt;&gt;"))),0)</f>
        <v>0</v>
      </c>
      <c r="U1593">
        <f>IFERROR($J1593/IF($A1593&lt;COUNTIFS($K$1:U$1,"&lt;&gt;"),0,SUMIFS($J:$J,$B:$B,$B1593,$A:$A,"&gt;="&amp;COUNTIFS($K$1:U$1,"&lt;&gt;"))),0)</f>
        <v>0</v>
      </c>
      <c r="V1593">
        <f>IFERROR($J1593/IF($A1593&lt;COUNTIFS($K$1:V$1,"&lt;&gt;"),0,SUMIFS($J:$J,$B:$B,$B1593,$A:$A,"&gt;="&amp;COUNTIFS($K$1:V$1,"&lt;&gt;"))),0)</f>
        <v>0</v>
      </c>
      <c r="W1593">
        <f t="shared" si="552"/>
        <v>8.4931506849315067E-2</v>
      </c>
      <c r="X1593">
        <f t="shared" si="532"/>
        <v>8.4931506849315067E-2</v>
      </c>
      <c r="Y1593">
        <f t="shared" si="533"/>
        <v>8.4931506849315067E-2</v>
      </c>
      <c r="Z1593">
        <f t="shared" si="534"/>
        <v>8.4931506849315067E-2</v>
      </c>
      <c r="AA1593">
        <f t="shared" si="535"/>
        <v>8.4931506849315067E-2</v>
      </c>
      <c r="AB1593">
        <f t="shared" si="536"/>
        <v>8.4931506849315067E-2</v>
      </c>
      <c r="AC1593">
        <f t="shared" si="537"/>
        <v>0</v>
      </c>
      <c r="AD1593">
        <f t="shared" si="538"/>
        <v>0</v>
      </c>
      <c r="AE1593">
        <f t="shared" si="539"/>
        <v>0</v>
      </c>
      <c r="AF1593">
        <f t="shared" si="540"/>
        <v>0</v>
      </c>
      <c r="AG1593">
        <f t="shared" si="541"/>
        <v>0</v>
      </c>
      <c r="AH1593">
        <f t="shared" si="542"/>
        <v>0</v>
      </c>
      <c r="AI1593">
        <f t="shared" si="543"/>
        <v>0</v>
      </c>
      <c r="AJ1593" s="2" t="str">
        <f t="shared" si="553"/>
        <v>547543</v>
      </c>
    </row>
    <row r="1594" spans="1:36" x14ac:dyDescent="0.25">
      <c r="A1594">
        <v>6</v>
      </c>
      <c r="B1594" s="1">
        <v>47543</v>
      </c>
      <c r="C1594" s="1">
        <f t="shared" si="544"/>
        <v>47727</v>
      </c>
      <c r="D1594" s="1">
        <f t="shared" si="545"/>
        <v>47557</v>
      </c>
      <c r="E1594" s="1">
        <f t="shared" si="546"/>
        <v>47727</v>
      </c>
      <c r="F1594" s="1">
        <f t="shared" si="547"/>
        <v>47757</v>
      </c>
      <c r="G1594" s="1">
        <f t="shared" si="548"/>
        <v>47922</v>
      </c>
      <c r="H1594">
        <f t="shared" si="549"/>
        <v>365</v>
      </c>
      <c r="I1594">
        <f t="shared" si="550"/>
        <v>30</v>
      </c>
      <c r="J1594">
        <f t="shared" si="551"/>
        <v>8.2191780821917804E-2</v>
      </c>
      <c r="K1594">
        <f>IFERROR($J1594/IF($A1594&lt;COUNTIFS($K$1:K$1,"&lt;&gt;"),0,SUMIFS($J:$J,$B:$B,$B1594,$A:$A,"&gt;="&amp;COUNTIFS($K$1:K$1,"&lt;&gt;"))),0)</f>
        <v>8.6206896551724144E-2</v>
      </c>
      <c r="L1594">
        <f>IFERROR($J1594/IF($A1594&lt;COUNTIFS($K$1:L$1,"&lt;&gt;"),0,SUMIFS($J:$J,$B:$B,$B1594,$A:$A,"&gt;="&amp;COUNTIFS($K$1:L$1,"&lt;&gt;"))),0)</f>
        <v>9.4339622641509441E-2</v>
      </c>
      <c r="M1594">
        <f>IFERROR($J1594/IF($A1594&lt;COUNTIFS($K$1:M$1,"&lt;&gt;"),0,SUMIFS($J:$J,$B:$B,$B1594,$A:$A,"&gt;="&amp;COUNTIFS($K$1:M$1,"&lt;&gt;"))),0)</f>
        <v>0.10452961672473869</v>
      </c>
      <c r="N1594">
        <f>IFERROR($J1594/IF($A1594&lt;COUNTIFS($K$1:N$1,"&lt;&gt;"),0,SUMIFS($J:$J,$B:$B,$B1594,$A:$A,"&gt;="&amp;COUNTIFS($K$1:N$1,"&lt;&gt;"))),0)</f>
        <v>0.11673151750972764</v>
      </c>
      <c r="O1594">
        <f>IFERROR($J1594/IF($A1594&lt;COUNTIFS($K$1:O$1,"&lt;&gt;"),0,SUMIFS($J:$J,$B:$B,$B1594,$A:$A,"&gt;="&amp;COUNTIFS($K$1:O$1,"&lt;&gt;"))),0)</f>
        <v>0.13274336283185842</v>
      </c>
      <c r="P1594">
        <f>IFERROR($J1594/IF($A1594&lt;COUNTIFS($K$1:P$1,"&lt;&gt;"),0,SUMIFS($J:$J,$B:$B,$B1594,$A:$A,"&gt;="&amp;COUNTIFS($K$1:P$1,"&lt;&gt;"))),0)</f>
        <v>0.15384615384615385</v>
      </c>
      <c r="Q1594">
        <f>IFERROR($J1594/IF($A1594&lt;COUNTIFS($K$1:Q$1,"&lt;&gt;"),0,SUMIFS($J:$J,$B:$B,$B1594,$A:$A,"&gt;="&amp;COUNTIFS($K$1:Q$1,"&lt;&gt;"))),0)</f>
        <v>0</v>
      </c>
      <c r="R1594">
        <f>IFERROR($J1594/IF($A1594&lt;COUNTIFS($K$1:R$1,"&lt;&gt;"),0,SUMIFS($J:$J,$B:$B,$B1594,$A:$A,"&gt;="&amp;COUNTIFS($K$1:R$1,"&lt;&gt;"))),0)</f>
        <v>0</v>
      </c>
      <c r="S1594">
        <f>IFERROR($J1594/IF($A1594&lt;COUNTIFS($K$1:S$1,"&lt;&gt;"),0,SUMIFS($J:$J,$B:$B,$B1594,$A:$A,"&gt;="&amp;COUNTIFS($K$1:S$1,"&lt;&gt;"))),0)</f>
        <v>0</v>
      </c>
      <c r="T1594">
        <f>IFERROR($J1594/IF($A1594&lt;COUNTIFS($K$1:T$1,"&lt;&gt;"),0,SUMIFS($J:$J,$B:$B,$B1594,$A:$A,"&gt;="&amp;COUNTIFS($K$1:T$1,"&lt;&gt;"))),0)</f>
        <v>0</v>
      </c>
      <c r="U1594">
        <f>IFERROR($J1594/IF($A1594&lt;COUNTIFS($K$1:U$1,"&lt;&gt;"),0,SUMIFS($J:$J,$B:$B,$B1594,$A:$A,"&gt;="&amp;COUNTIFS($K$1:U$1,"&lt;&gt;"))),0)</f>
        <v>0</v>
      </c>
      <c r="V1594">
        <f>IFERROR($J1594/IF($A1594&lt;COUNTIFS($K$1:V$1,"&lt;&gt;"),0,SUMIFS($J:$J,$B:$B,$B1594,$A:$A,"&gt;="&amp;COUNTIFS($K$1:V$1,"&lt;&gt;"))),0)</f>
        <v>0</v>
      </c>
      <c r="W1594">
        <f t="shared" si="552"/>
        <v>8.2191780821917804E-2</v>
      </c>
      <c r="X1594">
        <f t="shared" si="532"/>
        <v>8.2191780821917804E-2</v>
      </c>
      <c r="Y1594">
        <f t="shared" si="533"/>
        <v>8.2191780821917804E-2</v>
      </c>
      <c r="Z1594">
        <f t="shared" si="534"/>
        <v>8.2191780821917804E-2</v>
      </c>
      <c r="AA1594">
        <f t="shared" si="535"/>
        <v>8.2191780821917804E-2</v>
      </c>
      <c r="AB1594">
        <f t="shared" si="536"/>
        <v>8.2191780821917804E-2</v>
      </c>
      <c r="AC1594">
        <f t="shared" si="537"/>
        <v>8.2191780821917804E-2</v>
      </c>
      <c r="AD1594">
        <f t="shared" si="538"/>
        <v>0</v>
      </c>
      <c r="AE1594">
        <f t="shared" si="539"/>
        <v>0</v>
      </c>
      <c r="AF1594">
        <f t="shared" si="540"/>
        <v>0</v>
      </c>
      <c r="AG1594">
        <f t="shared" si="541"/>
        <v>0</v>
      </c>
      <c r="AH1594">
        <f t="shared" si="542"/>
        <v>0</v>
      </c>
      <c r="AI1594">
        <f t="shared" si="543"/>
        <v>0</v>
      </c>
      <c r="AJ1594" s="2" t="str">
        <f t="shared" si="553"/>
        <v>647543</v>
      </c>
    </row>
    <row r="1595" spans="1:36" x14ac:dyDescent="0.25">
      <c r="A1595">
        <v>7</v>
      </c>
      <c r="B1595" s="1">
        <v>47543</v>
      </c>
      <c r="C1595" s="1">
        <f t="shared" si="544"/>
        <v>47757</v>
      </c>
      <c r="D1595" s="1">
        <f t="shared" si="545"/>
        <v>47557</v>
      </c>
      <c r="E1595" s="1">
        <f t="shared" si="546"/>
        <v>47757</v>
      </c>
      <c r="F1595" s="1">
        <f t="shared" si="547"/>
        <v>47788</v>
      </c>
      <c r="G1595" s="1">
        <f t="shared" si="548"/>
        <v>47922</v>
      </c>
      <c r="H1595">
        <f t="shared" si="549"/>
        <v>365</v>
      </c>
      <c r="I1595">
        <f t="shared" si="550"/>
        <v>31</v>
      </c>
      <c r="J1595">
        <f t="shared" si="551"/>
        <v>8.4931506849315067E-2</v>
      </c>
      <c r="K1595">
        <f>IFERROR($J1595/IF($A1595&lt;COUNTIFS($K$1:K$1,"&lt;&gt;"),0,SUMIFS($J:$J,$B:$B,$B1595,$A:$A,"&gt;="&amp;COUNTIFS($K$1:K$1,"&lt;&gt;"))),0)</f>
        <v>8.9080459770114959E-2</v>
      </c>
      <c r="L1595">
        <f>IFERROR($J1595/IF($A1595&lt;COUNTIFS($K$1:L$1,"&lt;&gt;"),0,SUMIFS($J:$J,$B:$B,$B1595,$A:$A,"&gt;="&amp;COUNTIFS($K$1:L$1,"&lt;&gt;"))),0)</f>
        <v>9.7484276729559768E-2</v>
      </c>
      <c r="M1595">
        <f>IFERROR($J1595/IF($A1595&lt;COUNTIFS($K$1:M$1,"&lt;&gt;"),0,SUMIFS($J:$J,$B:$B,$B1595,$A:$A,"&gt;="&amp;COUNTIFS($K$1:M$1,"&lt;&gt;"))),0)</f>
        <v>0.10801393728222998</v>
      </c>
      <c r="N1595">
        <f>IFERROR($J1595/IF($A1595&lt;COUNTIFS($K$1:N$1,"&lt;&gt;"),0,SUMIFS($J:$J,$B:$B,$B1595,$A:$A,"&gt;="&amp;COUNTIFS($K$1:N$1,"&lt;&gt;"))),0)</f>
        <v>0.12062256809338523</v>
      </c>
      <c r="O1595">
        <f>IFERROR($J1595/IF($A1595&lt;COUNTIFS($K$1:O$1,"&lt;&gt;"),0,SUMIFS($J:$J,$B:$B,$B1595,$A:$A,"&gt;="&amp;COUNTIFS($K$1:O$1,"&lt;&gt;"))),0)</f>
        <v>0.13716814159292037</v>
      </c>
      <c r="P1595">
        <f>IFERROR($J1595/IF($A1595&lt;COUNTIFS($K$1:P$1,"&lt;&gt;"),0,SUMIFS($J:$J,$B:$B,$B1595,$A:$A,"&gt;="&amp;COUNTIFS($K$1:P$1,"&lt;&gt;"))),0)</f>
        <v>0.15897435897435899</v>
      </c>
      <c r="Q1595">
        <f>IFERROR($J1595/IF($A1595&lt;COUNTIFS($K$1:Q$1,"&lt;&gt;"),0,SUMIFS($J:$J,$B:$B,$B1595,$A:$A,"&gt;="&amp;COUNTIFS($K$1:Q$1,"&lt;&gt;"))),0)</f>
        <v>0.1878787878787879</v>
      </c>
      <c r="R1595">
        <f>IFERROR($J1595/IF($A1595&lt;COUNTIFS($K$1:R$1,"&lt;&gt;"),0,SUMIFS($J:$J,$B:$B,$B1595,$A:$A,"&gt;="&amp;COUNTIFS($K$1:R$1,"&lt;&gt;"))),0)</f>
        <v>0</v>
      </c>
      <c r="S1595">
        <f>IFERROR($J1595/IF($A1595&lt;COUNTIFS($K$1:S$1,"&lt;&gt;"),0,SUMIFS($J:$J,$B:$B,$B1595,$A:$A,"&gt;="&amp;COUNTIFS($K$1:S$1,"&lt;&gt;"))),0)</f>
        <v>0</v>
      </c>
      <c r="T1595">
        <f>IFERROR($J1595/IF($A1595&lt;COUNTIFS($K$1:T$1,"&lt;&gt;"),0,SUMIFS($J:$J,$B:$B,$B1595,$A:$A,"&gt;="&amp;COUNTIFS($K$1:T$1,"&lt;&gt;"))),0)</f>
        <v>0</v>
      </c>
      <c r="U1595">
        <f>IFERROR($J1595/IF($A1595&lt;COUNTIFS($K$1:U$1,"&lt;&gt;"),0,SUMIFS($J:$J,$B:$B,$B1595,$A:$A,"&gt;="&amp;COUNTIFS($K$1:U$1,"&lt;&gt;"))),0)</f>
        <v>0</v>
      </c>
      <c r="V1595">
        <f>IFERROR($J1595/IF($A1595&lt;COUNTIFS($K$1:V$1,"&lt;&gt;"),0,SUMIFS($J:$J,$B:$B,$B1595,$A:$A,"&gt;="&amp;COUNTIFS($K$1:V$1,"&lt;&gt;"))),0)</f>
        <v>0</v>
      </c>
      <c r="W1595">
        <f t="shared" si="552"/>
        <v>8.4931506849315067E-2</v>
      </c>
      <c r="X1595">
        <f t="shared" si="532"/>
        <v>8.4931506849315067E-2</v>
      </c>
      <c r="Y1595">
        <f t="shared" si="533"/>
        <v>8.4931506849315067E-2</v>
      </c>
      <c r="Z1595">
        <f t="shared" si="534"/>
        <v>8.4931506849315067E-2</v>
      </c>
      <c r="AA1595">
        <f t="shared" si="535"/>
        <v>8.4931506849315067E-2</v>
      </c>
      <c r="AB1595">
        <f t="shared" si="536"/>
        <v>8.4931506849315067E-2</v>
      </c>
      <c r="AC1595">
        <f t="shared" si="537"/>
        <v>8.4931506849315067E-2</v>
      </c>
      <c r="AD1595">
        <f t="shared" si="538"/>
        <v>8.4931506849315067E-2</v>
      </c>
      <c r="AE1595">
        <f t="shared" si="539"/>
        <v>0</v>
      </c>
      <c r="AF1595">
        <f t="shared" si="540"/>
        <v>0</v>
      </c>
      <c r="AG1595">
        <f t="shared" si="541"/>
        <v>0</v>
      </c>
      <c r="AH1595">
        <f t="shared" si="542"/>
        <v>0</v>
      </c>
      <c r="AI1595">
        <f t="shared" si="543"/>
        <v>0</v>
      </c>
      <c r="AJ1595" s="2" t="str">
        <f t="shared" si="553"/>
        <v>747543</v>
      </c>
    </row>
    <row r="1596" spans="1:36" x14ac:dyDescent="0.25">
      <c r="A1596">
        <v>8</v>
      </c>
      <c r="B1596" s="1">
        <v>47543</v>
      </c>
      <c r="C1596" s="1">
        <f t="shared" si="544"/>
        <v>47788</v>
      </c>
      <c r="D1596" s="1">
        <f t="shared" si="545"/>
        <v>47557</v>
      </c>
      <c r="E1596" s="1">
        <f t="shared" si="546"/>
        <v>47788</v>
      </c>
      <c r="F1596" s="1">
        <f t="shared" si="547"/>
        <v>47818</v>
      </c>
      <c r="G1596" s="1">
        <f t="shared" si="548"/>
        <v>47922</v>
      </c>
      <c r="H1596">
        <f t="shared" si="549"/>
        <v>365</v>
      </c>
      <c r="I1596">
        <f t="shared" si="550"/>
        <v>30</v>
      </c>
      <c r="J1596">
        <f t="shared" si="551"/>
        <v>8.2191780821917804E-2</v>
      </c>
      <c r="K1596">
        <f>IFERROR($J1596/IF($A1596&lt;COUNTIFS($K$1:K$1,"&lt;&gt;"),0,SUMIFS($J:$J,$B:$B,$B1596,$A:$A,"&gt;="&amp;COUNTIFS($K$1:K$1,"&lt;&gt;"))),0)</f>
        <v>8.6206896551724144E-2</v>
      </c>
      <c r="L1596">
        <f>IFERROR($J1596/IF($A1596&lt;COUNTIFS($K$1:L$1,"&lt;&gt;"),0,SUMIFS($J:$J,$B:$B,$B1596,$A:$A,"&gt;="&amp;COUNTIFS($K$1:L$1,"&lt;&gt;"))),0)</f>
        <v>9.4339622641509441E-2</v>
      </c>
      <c r="M1596">
        <f>IFERROR($J1596/IF($A1596&lt;COUNTIFS($K$1:M$1,"&lt;&gt;"),0,SUMIFS($J:$J,$B:$B,$B1596,$A:$A,"&gt;="&amp;COUNTIFS($K$1:M$1,"&lt;&gt;"))),0)</f>
        <v>0.10452961672473869</v>
      </c>
      <c r="N1596">
        <f>IFERROR($J1596/IF($A1596&lt;COUNTIFS($K$1:N$1,"&lt;&gt;"),0,SUMIFS($J:$J,$B:$B,$B1596,$A:$A,"&gt;="&amp;COUNTIFS($K$1:N$1,"&lt;&gt;"))),0)</f>
        <v>0.11673151750972764</v>
      </c>
      <c r="O1596">
        <f>IFERROR($J1596/IF($A1596&lt;COUNTIFS($K$1:O$1,"&lt;&gt;"),0,SUMIFS($J:$J,$B:$B,$B1596,$A:$A,"&gt;="&amp;COUNTIFS($K$1:O$1,"&lt;&gt;"))),0)</f>
        <v>0.13274336283185842</v>
      </c>
      <c r="P1596">
        <f>IFERROR($J1596/IF($A1596&lt;COUNTIFS($K$1:P$1,"&lt;&gt;"),0,SUMIFS($J:$J,$B:$B,$B1596,$A:$A,"&gt;="&amp;COUNTIFS($K$1:P$1,"&lt;&gt;"))),0)</f>
        <v>0.15384615384615385</v>
      </c>
      <c r="Q1596">
        <f>IFERROR($J1596/IF($A1596&lt;COUNTIFS($K$1:Q$1,"&lt;&gt;"),0,SUMIFS($J:$J,$B:$B,$B1596,$A:$A,"&gt;="&amp;COUNTIFS($K$1:Q$1,"&lt;&gt;"))),0)</f>
        <v>0.18181818181818182</v>
      </c>
      <c r="R1596">
        <f>IFERROR($J1596/IF($A1596&lt;COUNTIFS($K$1:R$1,"&lt;&gt;"),0,SUMIFS($J:$J,$B:$B,$B1596,$A:$A,"&gt;="&amp;COUNTIFS($K$1:R$1,"&lt;&gt;"))),0)</f>
        <v>0.22388059701492535</v>
      </c>
      <c r="S1596">
        <f>IFERROR($J1596/IF($A1596&lt;COUNTIFS($K$1:S$1,"&lt;&gt;"),0,SUMIFS($J:$J,$B:$B,$B1596,$A:$A,"&gt;="&amp;COUNTIFS($K$1:S$1,"&lt;&gt;"))),0)</f>
        <v>0</v>
      </c>
      <c r="T1596">
        <f>IFERROR($J1596/IF($A1596&lt;COUNTIFS($K$1:T$1,"&lt;&gt;"),0,SUMIFS($J:$J,$B:$B,$B1596,$A:$A,"&gt;="&amp;COUNTIFS($K$1:T$1,"&lt;&gt;"))),0)</f>
        <v>0</v>
      </c>
      <c r="U1596">
        <f>IFERROR($J1596/IF($A1596&lt;COUNTIFS($K$1:U$1,"&lt;&gt;"),0,SUMIFS($J:$J,$B:$B,$B1596,$A:$A,"&gt;="&amp;COUNTIFS($K$1:U$1,"&lt;&gt;"))),0)</f>
        <v>0</v>
      </c>
      <c r="V1596">
        <f>IFERROR($J1596/IF($A1596&lt;COUNTIFS($K$1:V$1,"&lt;&gt;"),0,SUMIFS($J:$J,$B:$B,$B1596,$A:$A,"&gt;="&amp;COUNTIFS($K$1:V$1,"&lt;&gt;"))),0)</f>
        <v>0</v>
      </c>
      <c r="W1596">
        <f t="shared" si="552"/>
        <v>8.2191780821917804E-2</v>
      </c>
      <c r="X1596">
        <f t="shared" si="532"/>
        <v>8.2191780821917804E-2</v>
      </c>
      <c r="Y1596">
        <f t="shared" si="533"/>
        <v>8.2191780821917804E-2</v>
      </c>
      <c r="Z1596">
        <f t="shared" si="534"/>
        <v>8.2191780821917804E-2</v>
      </c>
      <c r="AA1596">
        <f t="shared" si="535"/>
        <v>8.2191780821917804E-2</v>
      </c>
      <c r="AB1596">
        <f t="shared" si="536"/>
        <v>8.2191780821917804E-2</v>
      </c>
      <c r="AC1596">
        <f t="shared" si="537"/>
        <v>8.2191780821917804E-2</v>
      </c>
      <c r="AD1596">
        <f t="shared" si="538"/>
        <v>8.2191780821917804E-2</v>
      </c>
      <c r="AE1596">
        <f t="shared" si="539"/>
        <v>8.2191780821917804E-2</v>
      </c>
      <c r="AF1596">
        <f t="shared" si="540"/>
        <v>0</v>
      </c>
      <c r="AG1596">
        <f t="shared" si="541"/>
        <v>0</v>
      </c>
      <c r="AH1596">
        <f t="shared" si="542"/>
        <v>0</v>
      </c>
      <c r="AI1596">
        <f t="shared" si="543"/>
        <v>0</v>
      </c>
      <c r="AJ1596" s="2" t="str">
        <f t="shared" si="553"/>
        <v>847543</v>
      </c>
    </row>
    <row r="1597" spans="1:36" x14ac:dyDescent="0.25">
      <c r="A1597">
        <v>9</v>
      </c>
      <c r="B1597" s="1">
        <v>47543</v>
      </c>
      <c r="C1597" s="1">
        <f t="shared" si="544"/>
        <v>47818</v>
      </c>
      <c r="D1597" s="1">
        <f t="shared" si="545"/>
        <v>47557</v>
      </c>
      <c r="E1597" s="1">
        <f t="shared" si="546"/>
        <v>47818</v>
      </c>
      <c r="F1597" s="1">
        <f t="shared" si="547"/>
        <v>47849</v>
      </c>
      <c r="G1597" s="1">
        <f t="shared" si="548"/>
        <v>47922</v>
      </c>
      <c r="H1597">
        <f t="shared" si="549"/>
        <v>365</v>
      </c>
      <c r="I1597">
        <f t="shared" si="550"/>
        <v>31</v>
      </c>
      <c r="J1597">
        <f t="shared" si="551"/>
        <v>8.4931506849315067E-2</v>
      </c>
      <c r="K1597">
        <f>IFERROR($J1597/IF($A1597&lt;COUNTIFS($K$1:K$1,"&lt;&gt;"),0,SUMIFS($J:$J,$B:$B,$B1597,$A:$A,"&gt;="&amp;COUNTIFS($K$1:K$1,"&lt;&gt;"))),0)</f>
        <v>8.9080459770114959E-2</v>
      </c>
      <c r="L1597">
        <f>IFERROR($J1597/IF($A1597&lt;COUNTIFS($K$1:L$1,"&lt;&gt;"),0,SUMIFS($J:$J,$B:$B,$B1597,$A:$A,"&gt;="&amp;COUNTIFS($K$1:L$1,"&lt;&gt;"))),0)</f>
        <v>9.7484276729559768E-2</v>
      </c>
      <c r="M1597">
        <f>IFERROR($J1597/IF($A1597&lt;COUNTIFS($K$1:M$1,"&lt;&gt;"),0,SUMIFS($J:$J,$B:$B,$B1597,$A:$A,"&gt;="&amp;COUNTIFS($K$1:M$1,"&lt;&gt;"))),0)</f>
        <v>0.10801393728222998</v>
      </c>
      <c r="N1597">
        <f>IFERROR($J1597/IF($A1597&lt;COUNTIFS($K$1:N$1,"&lt;&gt;"),0,SUMIFS($J:$J,$B:$B,$B1597,$A:$A,"&gt;="&amp;COUNTIFS($K$1:N$1,"&lt;&gt;"))),0)</f>
        <v>0.12062256809338523</v>
      </c>
      <c r="O1597">
        <f>IFERROR($J1597/IF($A1597&lt;COUNTIFS($K$1:O$1,"&lt;&gt;"),0,SUMIFS($J:$J,$B:$B,$B1597,$A:$A,"&gt;="&amp;COUNTIFS($K$1:O$1,"&lt;&gt;"))),0)</f>
        <v>0.13716814159292037</v>
      </c>
      <c r="P1597">
        <f>IFERROR($J1597/IF($A1597&lt;COUNTIFS($K$1:P$1,"&lt;&gt;"),0,SUMIFS($J:$J,$B:$B,$B1597,$A:$A,"&gt;="&amp;COUNTIFS($K$1:P$1,"&lt;&gt;"))),0)</f>
        <v>0.15897435897435899</v>
      </c>
      <c r="Q1597">
        <f>IFERROR($J1597/IF($A1597&lt;COUNTIFS($K$1:Q$1,"&lt;&gt;"),0,SUMIFS($J:$J,$B:$B,$B1597,$A:$A,"&gt;="&amp;COUNTIFS($K$1:Q$1,"&lt;&gt;"))),0)</f>
        <v>0.1878787878787879</v>
      </c>
      <c r="R1597">
        <f>IFERROR($J1597/IF($A1597&lt;COUNTIFS($K$1:R$1,"&lt;&gt;"),0,SUMIFS($J:$J,$B:$B,$B1597,$A:$A,"&gt;="&amp;COUNTIFS($K$1:R$1,"&lt;&gt;"))),0)</f>
        <v>0.23134328358208955</v>
      </c>
      <c r="S1597">
        <f>IFERROR($J1597/IF($A1597&lt;COUNTIFS($K$1:S$1,"&lt;&gt;"),0,SUMIFS($J:$J,$B:$B,$B1597,$A:$A,"&gt;="&amp;COUNTIFS($K$1:S$1,"&lt;&gt;"))),0)</f>
        <v>0.29807692307692307</v>
      </c>
      <c r="T1597">
        <f>IFERROR($J1597/IF($A1597&lt;COUNTIFS($K$1:T$1,"&lt;&gt;"),0,SUMIFS($J:$J,$B:$B,$B1597,$A:$A,"&gt;="&amp;COUNTIFS($K$1:T$1,"&lt;&gt;"))),0)</f>
        <v>0</v>
      </c>
      <c r="U1597">
        <f>IFERROR($J1597/IF($A1597&lt;COUNTIFS($K$1:U$1,"&lt;&gt;"),0,SUMIFS($J:$J,$B:$B,$B1597,$A:$A,"&gt;="&amp;COUNTIFS($K$1:U$1,"&lt;&gt;"))),0)</f>
        <v>0</v>
      </c>
      <c r="V1597">
        <f>IFERROR($J1597/IF($A1597&lt;COUNTIFS($K$1:V$1,"&lt;&gt;"),0,SUMIFS($J:$J,$B:$B,$B1597,$A:$A,"&gt;="&amp;COUNTIFS($K$1:V$1,"&lt;&gt;"))),0)</f>
        <v>0</v>
      </c>
      <c r="W1597">
        <f t="shared" si="552"/>
        <v>8.4931506849315067E-2</v>
      </c>
      <c r="X1597">
        <f t="shared" si="532"/>
        <v>8.4931506849315067E-2</v>
      </c>
      <c r="Y1597">
        <f t="shared" si="533"/>
        <v>8.4931506849315067E-2</v>
      </c>
      <c r="Z1597">
        <f t="shared" si="534"/>
        <v>8.4931506849315067E-2</v>
      </c>
      <c r="AA1597">
        <f t="shared" si="535"/>
        <v>8.4931506849315067E-2</v>
      </c>
      <c r="AB1597">
        <f t="shared" si="536"/>
        <v>8.4931506849315067E-2</v>
      </c>
      <c r="AC1597">
        <f t="shared" si="537"/>
        <v>8.4931506849315067E-2</v>
      </c>
      <c r="AD1597">
        <f t="shared" si="538"/>
        <v>8.4931506849315067E-2</v>
      </c>
      <c r="AE1597">
        <f t="shared" si="539"/>
        <v>8.4931506849315067E-2</v>
      </c>
      <c r="AF1597">
        <f t="shared" si="540"/>
        <v>8.4931506849315067E-2</v>
      </c>
      <c r="AG1597">
        <f t="shared" si="541"/>
        <v>0</v>
      </c>
      <c r="AH1597">
        <f t="shared" si="542"/>
        <v>0</v>
      </c>
      <c r="AI1597">
        <f t="shared" si="543"/>
        <v>0</v>
      </c>
      <c r="AJ1597" s="2" t="str">
        <f t="shared" si="553"/>
        <v>947543</v>
      </c>
    </row>
    <row r="1598" spans="1:36" x14ac:dyDescent="0.25">
      <c r="A1598">
        <v>10</v>
      </c>
      <c r="B1598" s="1">
        <v>47543</v>
      </c>
      <c r="C1598" s="1">
        <f t="shared" si="544"/>
        <v>47849</v>
      </c>
      <c r="D1598" s="1">
        <f t="shared" si="545"/>
        <v>47557</v>
      </c>
      <c r="E1598" s="1">
        <f t="shared" si="546"/>
        <v>47849</v>
      </c>
      <c r="F1598" s="1">
        <f t="shared" si="547"/>
        <v>47880</v>
      </c>
      <c r="G1598" s="1">
        <f t="shared" si="548"/>
        <v>47922</v>
      </c>
      <c r="H1598">
        <f t="shared" si="549"/>
        <v>365</v>
      </c>
      <c r="I1598">
        <f t="shared" si="550"/>
        <v>31</v>
      </c>
      <c r="J1598">
        <f t="shared" si="551"/>
        <v>8.4931506849315067E-2</v>
      </c>
      <c r="K1598">
        <f>IFERROR($J1598/IF($A1598&lt;COUNTIFS($K$1:K$1,"&lt;&gt;"),0,SUMIFS($J:$J,$B:$B,$B1598,$A:$A,"&gt;="&amp;COUNTIFS($K$1:K$1,"&lt;&gt;"))),0)</f>
        <v>8.9080459770114959E-2</v>
      </c>
      <c r="L1598">
        <f>IFERROR($J1598/IF($A1598&lt;COUNTIFS($K$1:L$1,"&lt;&gt;"),0,SUMIFS($J:$J,$B:$B,$B1598,$A:$A,"&gt;="&amp;COUNTIFS($K$1:L$1,"&lt;&gt;"))),0)</f>
        <v>9.7484276729559768E-2</v>
      </c>
      <c r="M1598">
        <f>IFERROR($J1598/IF($A1598&lt;COUNTIFS($K$1:M$1,"&lt;&gt;"),0,SUMIFS($J:$J,$B:$B,$B1598,$A:$A,"&gt;="&amp;COUNTIFS($K$1:M$1,"&lt;&gt;"))),0)</f>
        <v>0.10801393728222998</v>
      </c>
      <c r="N1598">
        <f>IFERROR($J1598/IF($A1598&lt;COUNTIFS($K$1:N$1,"&lt;&gt;"),0,SUMIFS($J:$J,$B:$B,$B1598,$A:$A,"&gt;="&amp;COUNTIFS($K$1:N$1,"&lt;&gt;"))),0)</f>
        <v>0.12062256809338523</v>
      </c>
      <c r="O1598">
        <f>IFERROR($J1598/IF($A1598&lt;COUNTIFS($K$1:O$1,"&lt;&gt;"),0,SUMIFS($J:$J,$B:$B,$B1598,$A:$A,"&gt;="&amp;COUNTIFS($K$1:O$1,"&lt;&gt;"))),0)</f>
        <v>0.13716814159292037</v>
      </c>
      <c r="P1598">
        <f>IFERROR($J1598/IF($A1598&lt;COUNTIFS($K$1:P$1,"&lt;&gt;"),0,SUMIFS($J:$J,$B:$B,$B1598,$A:$A,"&gt;="&amp;COUNTIFS($K$1:P$1,"&lt;&gt;"))),0)</f>
        <v>0.15897435897435899</v>
      </c>
      <c r="Q1598">
        <f>IFERROR($J1598/IF($A1598&lt;COUNTIFS($K$1:Q$1,"&lt;&gt;"),0,SUMIFS($J:$J,$B:$B,$B1598,$A:$A,"&gt;="&amp;COUNTIFS($K$1:Q$1,"&lt;&gt;"))),0)</f>
        <v>0.1878787878787879</v>
      </c>
      <c r="R1598">
        <f>IFERROR($J1598/IF($A1598&lt;COUNTIFS($K$1:R$1,"&lt;&gt;"),0,SUMIFS($J:$J,$B:$B,$B1598,$A:$A,"&gt;="&amp;COUNTIFS($K$1:R$1,"&lt;&gt;"))),0)</f>
        <v>0.23134328358208955</v>
      </c>
      <c r="S1598">
        <f>IFERROR($J1598/IF($A1598&lt;COUNTIFS($K$1:S$1,"&lt;&gt;"),0,SUMIFS($J:$J,$B:$B,$B1598,$A:$A,"&gt;="&amp;COUNTIFS($K$1:S$1,"&lt;&gt;"))),0)</f>
        <v>0.29807692307692307</v>
      </c>
      <c r="T1598">
        <f>IFERROR($J1598/IF($A1598&lt;COUNTIFS($K$1:T$1,"&lt;&gt;"),0,SUMIFS($J:$J,$B:$B,$B1598,$A:$A,"&gt;="&amp;COUNTIFS($K$1:T$1,"&lt;&gt;"))),0)</f>
        <v>0.42465753424657532</v>
      </c>
      <c r="U1598">
        <f>IFERROR($J1598/IF($A1598&lt;COUNTIFS($K$1:U$1,"&lt;&gt;"),0,SUMIFS($J:$J,$B:$B,$B1598,$A:$A,"&gt;="&amp;COUNTIFS($K$1:U$1,"&lt;&gt;"))),0)</f>
        <v>0</v>
      </c>
      <c r="V1598">
        <f>IFERROR($J1598/IF($A1598&lt;COUNTIFS($K$1:V$1,"&lt;&gt;"),0,SUMIFS($J:$J,$B:$B,$B1598,$A:$A,"&gt;="&amp;COUNTIFS($K$1:V$1,"&lt;&gt;"))),0)</f>
        <v>0</v>
      </c>
      <c r="W1598">
        <f t="shared" si="552"/>
        <v>8.4931506849315067E-2</v>
      </c>
      <c r="X1598">
        <f t="shared" si="532"/>
        <v>8.4931506849315067E-2</v>
      </c>
      <c r="Y1598">
        <f t="shared" si="533"/>
        <v>8.4931506849315067E-2</v>
      </c>
      <c r="Z1598">
        <f t="shared" si="534"/>
        <v>8.4931506849315067E-2</v>
      </c>
      <c r="AA1598">
        <f t="shared" si="535"/>
        <v>8.4931506849315067E-2</v>
      </c>
      <c r="AB1598">
        <f t="shared" si="536"/>
        <v>8.4931506849315067E-2</v>
      </c>
      <c r="AC1598">
        <f t="shared" si="537"/>
        <v>8.4931506849315067E-2</v>
      </c>
      <c r="AD1598">
        <f t="shared" si="538"/>
        <v>8.4931506849315067E-2</v>
      </c>
      <c r="AE1598">
        <f t="shared" si="539"/>
        <v>8.4931506849315067E-2</v>
      </c>
      <c r="AF1598">
        <f t="shared" si="540"/>
        <v>8.4931506849315067E-2</v>
      </c>
      <c r="AG1598">
        <f t="shared" si="541"/>
        <v>8.4931506849315067E-2</v>
      </c>
      <c r="AH1598">
        <f t="shared" si="542"/>
        <v>0</v>
      </c>
      <c r="AI1598">
        <f t="shared" si="543"/>
        <v>0</v>
      </c>
      <c r="AJ1598" s="2" t="str">
        <f t="shared" si="553"/>
        <v>1047543</v>
      </c>
    </row>
    <row r="1599" spans="1:36" x14ac:dyDescent="0.25">
      <c r="A1599">
        <v>11</v>
      </c>
      <c r="B1599" s="1">
        <v>47543</v>
      </c>
      <c r="C1599" s="1">
        <f t="shared" si="544"/>
        <v>47880</v>
      </c>
      <c r="D1599" s="1">
        <f t="shared" si="545"/>
        <v>47557</v>
      </c>
      <c r="E1599" s="1">
        <f t="shared" si="546"/>
        <v>47880</v>
      </c>
      <c r="F1599" s="1">
        <f t="shared" si="547"/>
        <v>47908</v>
      </c>
      <c r="G1599" s="1">
        <f t="shared" si="548"/>
        <v>47922</v>
      </c>
      <c r="H1599">
        <f t="shared" si="549"/>
        <v>365</v>
      </c>
      <c r="I1599">
        <f t="shared" si="550"/>
        <v>28</v>
      </c>
      <c r="J1599">
        <f t="shared" si="551"/>
        <v>7.6712328767123292E-2</v>
      </c>
      <c r="K1599">
        <f>IFERROR($J1599/IF($A1599&lt;COUNTIFS($K$1:K$1,"&lt;&gt;"),0,SUMIFS($J:$J,$B:$B,$B1599,$A:$A,"&gt;="&amp;COUNTIFS($K$1:K$1,"&lt;&gt;"))),0)</f>
        <v>8.0459770114942541E-2</v>
      </c>
      <c r="L1599">
        <f>IFERROR($J1599/IF($A1599&lt;COUNTIFS($K$1:L$1,"&lt;&gt;"),0,SUMIFS($J:$J,$B:$B,$B1599,$A:$A,"&gt;="&amp;COUNTIFS($K$1:L$1,"&lt;&gt;"))),0)</f>
        <v>8.8050314465408827E-2</v>
      </c>
      <c r="M1599">
        <f>IFERROR($J1599/IF($A1599&lt;COUNTIFS($K$1:M$1,"&lt;&gt;"),0,SUMIFS($J:$J,$B:$B,$B1599,$A:$A,"&gt;="&amp;COUNTIFS($K$1:M$1,"&lt;&gt;"))),0)</f>
        <v>9.7560975609756115E-2</v>
      </c>
      <c r="N1599">
        <f>IFERROR($J1599/IF($A1599&lt;COUNTIFS($K$1:N$1,"&lt;&gt;"),0,SUMIFS($J:$J,$B:$B,$B1599,$A:$A,"&gt;="&amp;COUNTIFS($K$1:N$1,"&lt;&gt;"))),0)</f>
        <v>0.10894941634241248</v>
      </c>
      <c r="O1599">
        <f>IFERROR($J1599/IF($A1599&lt;COUNTIFS($K$1:O$1,"&lt;&gt;"),0,SUMIFS($J:$J,$B:$B,$B1599,$A:$A,"&gt;="&amp;COUNTIFS($K$1:O$1,"&lt;&gt;"))),0)</f>
        <v>0.12389380530973454</v>
      </c>
      <c r="P1599">
        <f>IFERROR($J1599/IF($A1599&lt;COUNTIFS($K$1:P$1,"&lt;&gt;"),0,SUMIFS($J:$J,$B:$B,$B1599,$A:$A,"&gt;="&amp;COUNTIFS($K$1:P$1,"&lt;&gt;"))),0)</f>
        <v>0.14358974358974361</v>
      </c>
      <c r="Q1599">
        <f>IFERROR($J1599/IF($A1599&lt;COUNTIFS($K$1:Q$1,"&lt;&gt;"),0,SUMIFS($J:$J,$B:$B,$B1599,$A:$A,"&gt;="&amp;COUNTIFS($K$1:Q$1,"&lt;&gt;"))),0)</f>
        <v>0.16969696969696971</v>
      </c>
      <c r="R1599">
        <f>IFERROR($J1599/IF($A1599&lt;COUNTIFS($K$1:R$1,"&lt;&gt;"),0,SUMIFS($J:$J,$B:$B,$B1599,$A:$A,"&gt;="&amp;COUNTIFS($K$1:R$1,"&lt;&gt;"))),0)</f>
        <v>0.20895522388059704</v>
      </c>
      <c r="S1599">
        <f>IFERROR($J1599/IF($A1599&lt;COUNTIFS($K$1:S$1,"&lt;&gt;"),0,SUMIFS($J:$J,$B:$B,$B1599,$A:$A,"&gt;="&amp;COUNTIFS($K$1:S$1,"&lt;&gt;"))),0)</f>
        <v>0.26923076923076927</v>
      </c>
      <c r="T1599">
        <f>IFERROR($J1599/IF($A1599&lt;COUNTIFS($K$1:T$1,"&lt;&gt;"),0,SUMIFS($J:$J,$B:$B,$B1599,$A:$A,"&gt;="&amp;COUNTIFS($K$1:T$1,"&lt;&gt;"))),0)</f>
        <v>0.38356164383561642</v>
      </c>
      <c r="U1599">
        <f>IFERROR($J1599/IF($A1599&lt;COUNTIFS($K$1:U$1,"&lt;&gt;"),0,SUMIFS($J:$J,$B:$B,$B1599,$A:$A,"&gt;="&amp;COUNTIFS($K$1:U$1,"&lt;&gt;"))),0)</f>
        <v>0.66666666666666674</v>
      </c>
      <c r="V1599">
        <f>IFERROR($J1599/IF($A1599&lt;COUNTIFS($K$1:V$1,"&lt;&gt;"),0,SUMIFS($J:$J,$B:$B,$B1599,$A:$A,"&gt;="&amp;COUNTIFS($K$1:V$1,"&lt;&gt;"))),0)</f>
        <v>0</v>
      </c>
      <c r="W1599">
        <f t="shared" si="552"/>
        <v>7.6712328767123292E-2</v>
      </c>
      <c r="X1599">
        <f t="shared" si="532"/>
        <v>7.6712328767123292E-2</v>
      </c>
      <c r="Y1599">
        <f t="shared" si="533"/>
        <v>7.6712328767123292E-2</v>
      </c>
      <c r="Z1599">
        <f t="shared" si="534"/>
        <v>7.6712328767123292E-2</v>
      </c>
      <c r="AA1599">
        <f t="shared" si="535"/>
        <v>7.6712328767123292E-2</v>
      </c>
      <c r="AB1599">
        <f t="shared" si="536"/>
        <v>7.6712328767123292E-2</v>
      </c>
      <c r="AC1599">
        <f t="shared" si="537"/>
        <v>7.6712328767123292E-2</v>
      </c>
      <c r="AD1599">
        <f t="shared" si="538"/>
        <v>7.6712328767123292E-2</v>
      </c>
      <c r="AE1599">
        <f t="shared" si="539"/>
        <v>7.6712328767123292E-2</v>
      </c>
      <c r="AF1599">
        <f t="shared" si="540"/>
        <v>7.6712328767123292E-2</v>
      </c>
      <c r="AG1599">
        <f t="shared" si="541"/>
        <v>7.6712328767123292E-2</v>
      </c>
      <c r="AH1599">
        <f t="shared" si="542"/>
        <v>7.6712328767123292E-2</v>
      </c>
      <c r="AI1599">
        <f t="shared" si="543"/>
        <v>0</v>
      </c>
      <c r="AJ1599" s="2" t="str">
        <f t="shared" si="553"/>
        <v>1147543</v>
      </c>
    </row>
    <row r="1600" spans="1:36" x14ac:dyDescent="0.25">
      <c r="A1600">
        <v>12</v>
      </c>
      <c r="B1600" s="1">
        <v>47543</v>
      </c>
      <c r="C1600" s="1">
        <f t="shared" si="544"/>
        <v>47908</v>
      </c>
      <c r="D1600" s="1">
        <f t="shared" si="545"/>
        <v>47557</v>
      </c>
      <c r="E1600" s="1">
        <f t="shared" si="546"/>
        <v>47908</v>
      </c>
      <c r="F1600" s="1">
        <f t="shared" si="547"/>
        <v>47922</v>
      </c>
      <c r="G1600" s="1">
        <f t="shared" si="548"/>
        <v>47922</v>
      </c>
      <c r="H1600">
        <f t="shared" si="549"/>
        <v>365</v>
      </c>
      <c r="I1600">
        <f t="shared" si="550"/>
        <v>14</v>
      </c>
      <c r="J1600">
        <f t="shared" si="551"/>
        <v>3.8356164383561646E-2</v>
      </c>
      <c r="K1600">
        <f>IFERROR($J1600/IF($A1600&lt;COUNTIFS($K$1:K$1,"&lt;&gt;"),0,SUMIFS($J:$J,$B:$B,$B1600,$A:$A,"&gt;="&amp;COUNTIFS($K$1:K$1,"&lt;&gt;"))),0)</f>
        <v>4.0229885057471271E-2</v>
      </c>
      <c r="L1600">
        <f>IFERROR($J1600/IF($A1600&lt;COUNTIFS($K$1:L$1,"&lt;&gt;"),0,SUMIFS($J:$J,$B:$B,$B1600,$A:$A,"&gt;="&amp;COUNTIFS($K$1:L$1,"&lt;&gt;"))),0)</f>
        <v>4.4025157232704414E-2</v>
      </c>
      <c r="M1600">
        <f>IFERROR($J1600/IF($A1600&lt;COUNTIFS($K$1:M$1,"&lt;&gt;"),0,SUMIFS($J:$J,$B:$B,$B1600,$A:$A,"&gt;="&amp;COUNTIFS($K$1:M$1,"&lt;&gt;"))),0)</f>
        <v>4.8780487804878057E-2</v>
      </c>
      <c r="N1600">
        <f>IFERROR($J1600/IF($A1600&lt;COUNTIFS($K$1:N$1,"&lt;&gt;"),0,SUMIFS($J:$J,$B:$B,$B1600,$A:$A,"&gt;="&amp;COUNTIFS($K$1:N$1,"&lt;&gt;"))),0)</f>
        <v>5.447470817120624E-2</v>
      </c>
      <c r="O1600">
        <f>IFERROR($J1600/IF($A1600&lt;COUNTIFS($K$1:O$1,"&lt;&gt;"),0,SUMIFS($J:$J,$B:$B,$B1600,$A:$A,"&gt;="&amp;COUNTIFS($K$1:O$1,"&lt;&gt;"))),0)</f>
        <v>6.194690265486727E-2</v>
      </c>
      <c r="P1600">
        <f>IFERROR($J1600/IF($A1600&lt;COUNTIFS($K$1:P$1,"&lt;&gt;"),0,SUMIFS($J:$J,$B:$B,$B1600,$A:$A,"&gt;="&amp;COUNTIFS($K$1:P$1,"&lt;&gt;"))),0)</f>
        <v>7.1794871794871803E-2</v>
      </c>
      <c r="Q1600">
        <f>IFERROR($J1600/IF($A1600&lt;COUNTIFS($K$1:Q$1,"&lt;&gt;"),0,SUMIFS($J:$J,$B:$B,$B1600,$A:$A,"&gt;="&amp;COUNTIFS($K$1:Q$1,"&lt;&gt;"))),0)</f>
        <v>8.4848484848484854E-2</v>
      </c>
      <c r="R1600">
        <f>IFERROR($J1600/IF($A1600&lt;COUNTIFS($K$1:R$1,"&lt;&gt;"),0,SUMIFS($J:$J,$B:$B,$B1600,$A:$A,"&gt;="&amp;COUNTIFS($K$1:R$1,"&lt;&gt;"))),0)</f>
        <v>0.10447761194029852</v>
      </c>
      <c r="S1600">
        <f>IFERROR($J1600/IF($A1600&lt;COUNTIFS($K$1:S$1,"&lt;&gt;"),0,SUMIFS($J:$J,$B:$B,$B1600,$A:$A,"&gt;="&amp;COUNTIFS($K$1:S$1,"&lt;&gt;"))),0)</f>
        <v>0.13461538461538464</v>
      </c>
      <c r="T1600">
        <f>IFERROR($J1600/IF($A1600&lt;COUNTIFS($K$1:T$1,"&lt;&gt;"),0,SUMIFS($J:$J,$B:$B,$B1600,$A:$A,"&gt;="&amp;COUNTIFS($K$1:T$1,"&lt;&gt;"))),0)</f>
        <v>0.19178082191780821</v>
      </c>
      <c r="U1600">
        <f>IFERROR($J1600/IF($A1600&lt;COUNTIFS($K$1:U$1,"&lt;&gt;"),0,SUMIFS($J:$J,$B:$B,$B1600,$A:$A,"&gt;="&amp;COUNTIFS($K$1:U$1,"&lt;&gt;"))),0)</f>
        <v>0.33333333333333337</v>
      </c>
      <c r="V1600">
        <f>IFERROR($J1600/IF($A1600&lt;COUNTIFS($K$1:V$1,"&lt;&gt;"),0,SUMIFS($J:$J,$B:$B,$B1600,$A:$A,"&gt;="&amp;COUNTIFS($K$1:V$1,"&lt;&gt;"))),0)</f>
        <v>1</v>
      </c>
      <c r="W1600">
        <f t="shared" si="552"/>
        <v>3.8356164383561646E-2</v>
      </c>
      <c r="X1600">
        <f t="shared" si="532"/>
        <v>3.8356164383561646E-2</v>
      </c>
      <c r="Y1600">
        <f t="shared" si="533"/>
        <v>3.8356164383561646E-2</v>
      </c>
      <c r="Z1600">
        <f t="shared" si="534"/>
        <v>3.8356164383561646E-2</v>
      </c>
      <c r="AA1600">
        <f t="shared" si="535"/>
        <v>3.8356164383561646E-2</v>
      </c>
      <c r="AB1600">
        <f t="shared" si="536"/>
        <v>3.8356164383561646E-2</v>
      </c>
      <c r="AC1600">
        <f t="shared" si="537"/>
        <v>3.8356164383561646E-2</v>
      </c>
      <c r="AD1600">
        <f t="shared" si="538"/>
        <v>3.8356164383561646E-2</v>
      </c>
      <c r="AE1600">
        <f t="shared" si="539"/>
        <v>3.8356164383561646E-2</v>
      </c>
      <c r="AF1600">
        <f t="shared" si="540"/>
        <v>3.8356164383561646E-2</v>
      </c>
      <c r="AG1600">
        <f t="shared" si="541"/>
        <v>3.8356164383561646E-2</v>
      </c>
      <c r="AH1600">
        <f t="shared" si="542"/>
        <v>3.8356164383561646E-2</v>
      </c>
      <c r="AI1600">
        <f t="shared" si="543"/>
        <v>3.8356164383561646E-2</v>
      </c>
      <c r="AJ1600" s="2" t="str">
        <f t="shared" si="553"/>
        <v>1247543</v>
      </c>
    </row>
    <row r="1601" spans="1:36" x14ac:dyDescent="0.25">
      <c r="A1601">
        <v>0</v>
      </c>
      <c r="B1601" s="1">
        <v>47574</v>
      </c>
      <c r="C1601" s="1">
        <f t="shared" si="544"/>
        <v>47574</v>
      </c>
      <c r="D1601" s="1">
        <f t="shared" si="545"/>
        <v>47588</v>
      </c>
      <c r="E1601" s="1">
        <f t="shared" si="546"/>
        <v>47588</v>
      </c>
      <c r="F1601" s="1">
        <f t="shared" si="547"/>
        <v>47604</v>
      </c>
      <c r="G1601" s="1">
        <f t="shared" si="548"/>
        <v>47953</v>
      </c>
      <c r="H1601">
        <f t="shared" si="549"/>
        <v>365</v>
      </c>
      <c r="I1601">
        <f t="shared" si="550"/>
        <v>16</v>
      </c>
      <c r="J1601">
        <f t="shared" si="551"/>
        <v>4.3835616438356165E-2</v>
      </c>
      <c r="K1601">
        <f>IFERROR($J1601/IF($A1601&lt;COUNTIFS($K$1:K$1,"&lt;&gt;"),0,SUMIFS($J:$J,$B:$B,$B1601,$A:$A,"&gt;="&amp;COUNTIFS($K$1:K$1,"&lt;&gt;"))),0)</f>
        <v>0</v>
      </c>
      <c r="L1601">
        <f>IFERROR($J1601/IF($A1601&lt;COUNTIFS($K$1:L$1,"&lt;&gt;"),0,SUMIFS($J:$J,$B:$B,$B1601,$A:$A,"&gt;="&amp;COUNTIFS($K$1:L$1,"&lt;&gt;"))),0)</f>
        <v>0</v>
      </c>
      <c r="M1601">
        <f>IFERROR($J1601/IF($A1601&lt;COUNTIFS($K$1:M$1,"&lt;&gt;"),0,SUMIFS($J:$J,$B:$B,$B1601,$A:$A,"&gt;="&amp;COUNTIFS($K$1:M$1,"&lt;&gt;"))),0)</f>
        <v>0</v>
      </c>
      <c r="N1601">
        <f>IFERROR($J1601/IF($A1601&lt;COUNTIFS($K$1:N$1,"&lt;&gt;"),0,SUMIFS($J:$J,$B:$B,$B1601,$A:$A,"&gt;="&amp;COUNTIFS($K$1:N$1,"&lt;&gt;"))),0)</f>
        <v>0</v>
      </c>
      <c r="O1601">
        <f>IFERROR($J1601/IF($A1601&lt;COUNTIFS($K$1:O$1,"&lt;&gt;"),0,SUMIFS($J:$J,$B:$B,$B1601,$A:$A,"&gt;="&amp;COUNTIFS($K$1:O$1,"&lt;&gt;"))),0)</f>
        <v>0</v>
      </c>
      <c r="P1601">
        <f>IFERROR($J1601/IF($A1601&lt;COUNTIFS($K$1:P$1,"&lt;&gt;"),0,SUMIFS($J:$J,$B:$B,$B1601,$A:$A,"&gt;="&amp;COUNTIFS($K$1:P$1,"&lt;&gt;"))),0)</f>
        <v>0</v>
      </c>
      <c r="Q1601">
        <f>IFERROR($J1601/IF($A1601&lt;COUNTIFS($K$1:Q$1,"&lt;&gt;"),0,SUMIFS($J:$J,$B:$B,$B1601,$A:$A,"&gt;="&amp;COUNTIFS($K$1:Q$1,"&lt;&gt;"))),0)</f>
        <v>0</v>
      </c>
      <c r="R1601">
        <f>IFERROR($J1601/IF($A1601&lt;COUNTIFS($K$1:R$1,"&lt;&gt;"),0,SUMIFS($J:$J,$B:$B,$B1601,$A:$A,"&gt;="&amp;COUNTIFS($K$1:R$1,"&lt;&gt;"))),0)</f>
        <v>0</v>
      </c>
      <c r="S1601">
        <f>IFERROR($J1601/IF($A1601&lt;COUNTIFS($K$1:S$1,"&lt;&gt;"),0,SUMIFS($J:$J,$B:$B,$B1601,$A:$A,"&gt;="&amp;COUNTIFS($K$1:S$1,"&lt;&gt;"))),0)</f>
        <v>0</v>
      </c>
      <c r="T1601">
        <f>IFERROR($J1601/IF($A1601&lt;COUNTIFS($K$1:T$1,"&lt;&gt;"),0,SUMIFS($J:$J,$B:$B,$B1601,$A:$A,"&gt;="&amp;COUNTIFS($K$1:T$1,"&lt;&gt;"))),0)</f>
        <v>0</v>
      </c>
      <c r="U1601">
        <f>IFERROR($J1601/IF($A1601&lt;COUNTIFS($K$1:U$1,"&lt;&gt;"),0,SUMIFS($J:$J,$B:$B,$B1601,$A:$A,"&gt;="&amp;COUNTIFS($K$1:U$1,"&lt;&gt;"))),0)</f>
        <v>0</v>
      </c>
      <c r="V1601">
        <f>IFERROR($J1601/IF($A1601&lt;COUNTIFS($K$1:V$1,"&lt;&gt;"),0,SUMIFS($J:$J,$B:$B,$B1601,$A:$A,"&gt;="&amp;COUNTIFS($K$1:V$1,"&lt;&gt;"))),0)</f>
        <v>0</v>
      </c>
      <c r="W1601">
        <f t="shared" si="552"/>
        <v>4.3835616438356165E-2</v>
      </c>
      <c r="X1601">
        <f t="shared" si="532"/>
        <v>0</v>
      </c>
      <c r="Y1601">
        <f t="shared" si="533"/>
        <v>0</v>
      </c>
      <c r="Z1601">
        <f t="shared" si="534"/>
        <v>0</v>
      </c>
      <c r="AA1601">
        <f t="shared" si="535"/>
        <v>0</v>
      </c>
      <c r="AB1601">
        <f t="shared" si="536"/>
        <v>0</v>
      </c>
      <c r="AC1601">
        <f t="shared" si="537"/>
        <v>0</v>
      </c>
      <c r="AD1601">
        <f t="shared" si="538"/>
        <v>0</v>
      </c>
      <c r="AE1601">
        <f t="shared" si="539"/>
        <v>0</v>
      </c>
      <c r="AF1601">
        <f t="shared" si="540"/>
        <v>0</v>
      </c>
      <c r="AG1601">
        <f t="shared" si="541"/>
        <v>0</v>
      </c>
      <c r="AH1601">
        <f t="shared" si="542"/>
        <v>0</v>
      </c>
      <c r="AI1601">
        <f t="shared" si="543"/>
        <v>0</v>
      </c>
      <c r="AJ1601" s="2" t="str">
        <f t="shared" si="553"/>
        <v>047574</v>
      </c>
    </row>
    <row r="1602" spans="1:36" x14ac:dyDescent="0.25">
      <c r="A1602">
        <v>1</v>
      </c>
      <c r="B1602" s="1">
        <v>47574</v>
      </c>
      <c r="C1602" s="1">
        <f t="shared" si="544"/>
        <v>47604</v>
      </c>
      <c r="D1602" s="1">
        <f t="shared" si="545"/>
        <v>47588</v>
      </c>
      <c r="E1602" s="1">
        <f t="shared" si="546"/>
        <v>47604</v>
      </c>
      <c r="F1602" s="1">
        <f t="shared" si="547"/>
        <v>47635</v>
      </c>
      <c r="G1602" s="1">
        <f t="shared" si="548"/>
        <v>47953</v>
      </c>
      <c r="H1602">
        <f t="shared" si="549"/>
        <v>365</v>
      </c>
      <c r="I1602">
        <f t="shared" si="550"/>
        <v>31</v>
      </c>
      <c r="J1602">
        <f t="shared" si="551"/>
        <v>8.4931506849315067E-2</v>
      </c>
      <c r="K1602">
        <f>IFERROR($J1602/IF($A1602&lt;COUNTIFS($K$1:K$1,"&lt;&gt;"),0,SUMIFS($J:$J,$B:$B,$B1602,$A:$A,"&gt;="&amp;COUNTIFS($K$1:K$1,"&lt;&gt;"))),0)</f>
        <v>8.8825214899713484E-2</v>
      </c>
      <c r="L1602">
        <f>IFERROR($J1602/IF($A1602&lt;COUNTIFS($K$1:L$1,"&lt;&gt;"),0,SUMIFS($J:$J,$B:$B,$B1602,$A:$A,"&gt;="&amp;COUNTIFS($K$1:L$1,"&lt;&gt;"))),0)</f>
        <v>0</v>
      </c>
      <c r="M1602">
        <f>IFERROR($J1602/IF($A1602&lt;COUNTIFS($K$1:M$1,"&lt;&gt;"),0,SUMIFS($J:$J,$B:$B,$B1602,$A:$A,"&gt;="&amp;COUNTIFS($K$1:M$1,"&lt;&gt;"))),0)</f>
        <v>0</v>
      </c>
      <c r="N1602">
        <f>IFERROR($J1602/IF($A1602&lt;COUNTIFS($K$1:N$1,"&lt;&gt;"),0,SUMIFS($J:$J,$B:$B,$B1602,$A:$A,"&gt;="&amp;COUNTIFS($K$1:N$1,"&lt;&gt;"))),0)</f>
        <v>0</v>
      </c>
      <c r="O1602">
        <f>IFERROR($J1602/IF($A1602&lt;COUNTIFS($K$1:O$1,"&lt;&gt;"),0,SUMIFS($J:$J,$B:$B,$B1602,$A:$A,"&gt;="&amp;COUNTIFS($K$1:O$1,"&lt;&gt;"))),0)</f>
        <v>0</v>
      </c>
      <c r="P1602">
        <f>IFERROR($J1602/IF($A1602&lt;COUNTIFS($K$1:P$1,"&lt;&gt;"),0,SUMIFS($J:$J,$B:$B,$B1602,$A:$A,"&gt;="&amp;COUNTIFS($K$1:P$1,"&lt;&gt;"))),0)</f>
        <v>0</v>
      </c>
      <c r="Q1602">
        <f>IFERROR($J1602/IF($A1602&lt;COUNTIFS($K$1:Q$1,"&lt;&gt;"),0,SUMIFS($J:$J,$B:$B,$B1602,$A:$A,"&gt;="&amp;COUNTIFS($K$1:Q$1,"&lt;&gt;"))),0)</f>
        <v>0</v>
      </c>
      <c r="R1602">
        <f>IFERROR($J1602/IF($A1602&lt;COUNTIFS($K$1:R$1,"&lt;&gt;"),0,SUMIFS($J:$J,$B:$B,$B1602,$A:$A,"&gt;="&amp;COUNTIFS($K$1:R$1,"&lt;&gt;"))),0)</f>
        <v>0</v>
      </c>
      <c r="S1602">
        <f>IFERROR($J1602/IF($A1602&lt;COUNTIFS($K$1:S$1,"&lt;&gt;"),0,SUMIFS($J:$J,$B:$B,$B1602,$A:$A,"&gt;="&amp;COUNTIFS($K$1:S$1,"&lt;&gt;"))),0)</f>
        <v>0</v>
      </c>
      <c r="T1602">
        <f>IFERROR($J1602/IF($A1602&lt;COUNTIFS($K$1:T$1,"&lt;&gt;"),0,SUMIFS($J:$J,$B:$B,$B1602,$A:$A,"&gt;="&amp;COUNTIFS($K$1:T$1,"&lt;&gt;"))),0)</f>
        <v>0</v>
      </c>
      <c r="U1602">
        <f>IFERROR($J1602/IF($A1602&lt;COUNTIFS($K$1:U$1,"&lt;&gt;"),0,SUMIFS($J:$J,$B:$B,$B1602,$A:$A,"&gt;="&amp;COUNTIFS($K$1:U$1,"&lt;&gt;"))),0)</f>
        <v>0</v>
      </c>
      <c r="V1602">
        <f>IFERROR($J1602/IF($A1602&lt;COUNTIFS($K$1:V$1,"&lt;&gt;"),0,SUMIFS($J:$J,$B:$B,$B1602,$A:$A,"&gt;="&amp;COUNTIFS($K$1:V$1,"&lt;&gt;"))),0)</f>
        <v>0</v>
      </c>
      <c r="W1602">
        <f t="shared" si="552"/>
        <v>8.4931506849315067E-2</v>
      </c>
      <c r="X1602">
        <f t="shared" ref="X1602:X1665" si="554">IF(K1602=0,0,$J1602)</f>
        <v>8.4931506849315067E-2</v>
      </c>
      <c r="Y1602">
        <f t="shared" ref="Y1602:Y1665" si="555">IF(L1602=0,0,$J1602)</f>
        <v>0</v>
      </c>
      <c r="Z1602">
        <f t="shared" ref="Z1602:Z1665" si="556">IF(M1602=0,0,$J1602)</f>
        <v>0</v>
      </c>
      <c r="AA1602">
        <f t="shared" ref="AA1602:AA1665" si="557">IF(N1602=0,0,$J1602)</f>
        <v>0</v>
      </c>
      <c r="AB1602">
        <f t="shared" ref="AB1602:AB1665" si="558">IF(O1602=0,0,$J1602)</f>
        <v>0</v>
      </c>
      <c r="AC1602">
        <f t="shared" ref="AC1602:AC1665" si="559">IF(P1602=0,0,$J1602)</f>
        <v>0</v>
      </c>
      <c r="AD1602">
        <f t="shared" ref="AD1602:AD1665" si="560">IF(Q1602=0,0,$J1602)</f>
        <v>0</v>
      </c>
      <c r="AE1602">
        <f t="shared" ref="AE1602:AE1665" si="561">IF(R1602=0,0,$J1602)</f>
        <v>0</v>
      </c>
      <c r="AF1602">
        <f t="shared" ref="AF1602:AF1665" si="562">IF(S1602=0,0,$J1602)</f>
        <v>0</v>
      </c>
      <c r="AG1602">
        <f t="shared" ref="AG1602:AG1665" si="563">IF(T1602=0,0,$J1602)</f>
        <v>0</v>
      </c>
      <c r="AH1602">
        <f t="shared" ref="AH1602:AH1665" si="564">IF(U1602=0,0,$J1602)</f>
        <v>0</v>
      </c>
      <c r="AI1602">
        <f t="shared" ref="AI1602:AI1665" si="565">IF(V1602=0,0,$J1602)</f>
        <v>0</v>
      </c>
      <c r="AJ1602" s="2" t="str">
        <f t="shared" si="553"/>
        <v>147574</v>
      </c>
    </row>
    <row r="1603" spans="1:36" x14ac:dyDescent="0.25">
      <c r="A1603">
        <v>2</v>
      </c>
      <c r="B1603" s="1">
        <v>47574</v>
      </c>
      <c r="C1603" s="1">
        <f t="shared" ref="C1603:C1666" si="566">EDATE(B1603,A1603)</f>
        <v>47635</v>
      </c>
      <c r="D1603" s="1">
        <f t="shared" ref="D1603:D1666" si="567">B1603+14</f>
        <v>47588</v>
      </c>
      <c r="E1603" s="1">
        <f t="shared" ref="E1603:E1666" si="568">IF($A1603=0,C1603+14,C1603)</f>
        <v>47635</v>
      </c>
      <c r="F1603" s="1">
        <f t="shared" ref="F1603:F1666" si="569">IF(EDATE(C1603,1)&gt;G1603,G1603,EDATE(C1603,1))</f>
        <v>47665</v>
      </c>
      <c r="G1603" s="1">
        <f t="shared" ref="G1603:G1666" si="570">EDATE(D1603,12)</f>
        <v>47953</v>
      </c>
      <c r="H1603">
        <f t="shared" ref="H1603:H1666" si="571">G1603-D1603</f>
        <v>365</v>
      </c>
      <c r="I1603">
        <f t="shared" ref="I1603:I1666" si="572">F1603-E1603</f>
        <v>30</v>
      </c>
      <c r="J1603">
        <f t="shared" ref="J1603:J1666" si="573">I1603/H1603</f>
        <v>8.2191780821917804E-2</v>
      </c>
      <c r="K1603">
        <f>IFERROR($J1603/IF($A1603&lt;COUNTIFS($K$1:K$1,"&lt;&gt;"),0,SUMIFS($J:$J,$B:$B,$B1603,$A:$A,"&gt;="&amp;COUNTIFS($K$1:K$1,"&lt;&gt;"))),0)</f>
        <v>8.5959885386819493E-2</v>
      </c>
      <c r="L1603">
        <f>IFERROR($J1603/IF($A1603&lt;COUNTIFS($K$1:L$1,"&lt;&gt;"),0,SUMIFS($J:$J,$B:$B,$B1603,$A:$A,"&gt;="&amp;COUNTIFS($K$1:L$1,"&lt;&gt;"))),0)</f>
        <v>9.4339622641509441E-2</v>
      </c>
      <c r="M1603">
        <f>IFERROR($J1603/IF($A1603&lt;COUNTIFS($K$1:M$1,"&lt;&gt;"),0,SUMIFS($J:$J,$B:$B,$B1603,$A:$A,"&gt;="&amp;COUNTIFS($K$1:M$1,"&lt;&gt;"))),0)</f>
        <v>0</v>
      </c>
      <c r="N1603">
        <f>IFERROR($J1603/IF($A1603&lt;COUNTIFS($K$1:N$1,"&lt;&gt;"),0,SUMIFS($J:$J,$B:$B,$B1603,$A:$A,"&gt;="&amp;COUNTIFS($K$1:N$1,"&lt;&gt;"))),0)</f>
        <v>0</v>
      </c>
      <c r="O1603">
        <f>IFERROR($J1603/IF($A1603&lt;COUNTIFS($K$1:O$1,"&lt;&gt;"),0,SUMIFS($J:$J,$B:$B,$B1603,$A:$A,"&gt;="&amp;COUNTIFS($K$1:O$1,"&lt;&gt;"))),0)</f>
        <v>0</v>
      </c>
      <c r="P1603">
        <f>IFERROR($J1603/IF($A1603&lt;COUNTIFS($K$1:P$1,"&lt;&gt;"),0,SUMIFS($J:$J,$B:$B,$B1603,$A:$A,"&gt;="&amp;COUNTIFS($K$1:P$1,"&lt;&gt;"))),0)</f>
        <v>0</v>
      </c>
      <c r="Q1603">
        <f>IFERROR($J1603/IF($A1603&lt;COUNTIFS($K$1:Q$1,"&lt;&gt;"),0,SUMIFS($J:$J,$B:$B,$B1603,$A:$A,"&gt;="&amp;COUNTIFS($K$1:Q$1,"&lt;&gt;"))),0)</f>
        <v>0</v>
      </c>
      <c r="R1603">
        <f>IFERROR($J1603/IF($A1603&lt;COUNTIFS($K$1:R$1,"&lt;&gt;"),0,SUMIFS($J:$J,$B:$B,$B1603,$A:$A,"&gt;="&amp;COUNTIFS($K$1:R$1,"&lt;&gt;"))),0)</f>
        <v>0</v>
      </c>
      <c r="S1603">
        <f>IFERROR($J1603/IF($A1603&lt;COUNTIFS($K$1:S$1,"&lt;&gt;"),0,SUMIFS($J:$J,$B:$B,$B1603,$A:$A,"&gt;="&amp;COUNTIFS($K$1:S$1,"&lt;&gt;"))),0)</f>
        <v>0</v>
      </c>
      <c r="T1603">
        <f>IFERROR($J1603/IF($A1603&lt;COUNTIFS($K$1:T$1,"&lt;&gt;"),0,SUMIFS($J:$J,$B:$B,$B1603,$A:$A,"&gt;="&amp;COUNTIFS($K$1:T$1,"&lt;&gt;"))),0)</f>
        <v>0</v>
      </c>
      <c r="U1603">
        <f>IFERROR($J1603/IF($A1603&lt;COUNTIFS($K$1:U$1,"&lt;&gt;"),0,SUMIFS($J:$J,$B:$B,$B1603,$A:$A,"&gt;="&amp;COUNTIFS($K$1:U$1,"&lt;&gt;"))),0)</f>
        <v>0</v>
      </c>
      <c r="V1603">
        <f>IFERROR($J1603/IF($A1603&lt;COUNTIFS($K$1:V$1,"&lt;&gt;"),0,SUMIFS($J:$J,$B:$B,$B1603,$A:$A,"&gt;="&amp;COUNTIFS($K$1:V$1,"&lt;&gt;"))),0)</f>
        <v>0</v>
      </c>
      <c r="W1603">
        <f t="shared" ref="W1603:W1666" si="574">IF(J1603=0,0,$J1603)</f>
        <v>8.2191780821917804E-2</v>
      </c>
      <c r="X1603">
        <f t="shared" si="554"/>
        <v>8.2191780821917804E-2</v>
      </c>
      <c r="Y1603">
        <f t="shared" si="555"/>
        <v>8.2191780821917804E-2</v>
      </c>
      <c r="Z1603">
        <f t="shared" si="556"/>
        <v>0</v>
      </c>
      <c r="AA1603">
        <f t="shared" si="557"/>
        <v>0</v>
      </c>
      <c r="AB1603">
        <f t="shared" si="558"/>
        <v>0</v>
      </c>
      <c r="AC1603">
        <f t="shared" si="559"/>
        <v>0</v>
      </c>
      <c r="AD1603">
        <f t="shared" si="560"/>
        <v>0</v>
      </c>
      <c r="AE1603">
        <f t="shared" si="561"/>
        <v>0</v>
      </c>
      <c r="AF1603">
        <f t="shared" si="562"/>
        <v>0</v>
      </c>
      <c r="AG1603">
        <f t="shared" si="563"/>
        <v>0</v>
      </c>
      <c r="AH1603">
        <f t="shared" si="564"/>
        <v>0</v>
      </c>
      <c r="AI1603">
        <f t="shared" si="565"/>
        <v>0</v>
      </c>
      <c r="AJ1603" s="2" t="str">
        <f t="shared" ref="AJ1603:AJ1666" si="575">A1603&amp;B1603</f>
        <v>247574</v>
      </c>
    </row>
    <row r="1604" spans="1:36" x14ac:dyDescent="0.25">
      <c r="A1604">
        <v>3</v>
      </c>
      <c r="B1604" s="1">
        <v>47574</v>
      </c>
      <c r="C1604" s="1">
        <f t="shared" si="566"/>
        <v>47665</v>
      </c>
      <c r="D1604" s="1">
        <f t="shared" si="567"/>
        <v>47588</v>
      </c>
      <c r="E1604" s="1">
        <f t="shared" si="568"/>
        <v>47665</v>
      </c>
      <c r="F1604" s="1">
        <f t="shared" si="569"/>
        <v>47696</v>
      </c>
      <c r="G1604" s="1">
        <f t="shared" si="570"/>
        <v>47953</v>
      </c>
      <c r="H1604">
        <f t="shared" si="571"/>
        <v>365</v>
      </c>
      <c r="I1604">
        <f t="shared" si="572"/>
        <v>31</v>
      </c>
      <c r="J1604">
        <f t="shared" si="573"/>
        <v>8.4931506849315067E-2</v>
      </c>
      <c r="K1604">
        <f>IFERROR($J1604/IF($A1604&lt;COUNTIFS($K$1:K$1,"&lt;&gt;"),0,SUMIFS($J:$J,$B:$B,$B1604,$A:$A,"&gt;="&amp;COUNTIFS($K$1:K$1,"&lt;&gt;"))),0)</f>
        <v>8.8825214899713484E-2</v>
      </c>
      <c r="L1604">
        <f>IFERROR($J1604/IF($A1604&lt;COUNTIFS($K$1:L$1,"&lt;&gt;"),0,SUMIFS($J:$J,$B:$B,$B1604,$A:$A,"&gt;="&amp;COUNTIFS($K$1:L$1,"&lt;&gt;"))),0)</f>
        <v>9.7484276729559768E-2</v>
      </c>
      <c r="M1604">
        <f>IFERROR($J1604/IF($A1604&lt;COUNTIFS($K$1:M$1,"&lt;&gt;"),0,SUMIFS($J:$J,$B:$B,$B1604,$A:$A,"&gt;="&amp;COUNTIFS($K$1:M$1,"&lt;&gt;"))),0)</f>
        <v>0.10763888888888891</v>
      </c>
      <c r="N1604">
        <f>IFERROR($J1604/IF($A1604&lt;COUNTIFS($K$1:N$1,"&lt;&gt;"),0,SUMIFS($J:$J,$B:$B,$B1604,$A:$A,"&gt;="&amp;COUNTIFS($K$1:N$1,"&lt;&gt;"))),0)</f>
        <v>0</v>
      </c>
      <c r="O1604">
        <f>IFERROR($J1604/IF($A1604&lt;COUNTIFS($K$1:O$1,"&lt;&gt;"),0,SUMIFS($J:$J,$B:$B,$B1604,$A:$A,"&gt;="&amp;COUNTIFS($K$1:O$1,"&lt;&gt;"))),0)</f>
        <v>0</v>
      </c>
      <c r="P1604">
        <f>IFERROR($J1604/IF($A1604&lt;COUNTIFS($K$1:P$1,"&lt;&gt;"),0,SUMIFS($J:$J,$B:$B,$B1604,$A:$A,"&gt;="&amp;COUNTIFS($K$1:P$1,"&lt;&gt;"))),0)</f>
        <v>0</v>
      </c>
      <c r="Q1604">
        <f>IFERROR($J1604/IF($A1604&lt;COUNTIFS($K$1:Q$1,"&lt;&gt;"),0,SUMIFS($J:$J,$B:$B,$B1604,$A:$A,"&gt;="&amp;COUNTIFS($K$1:Q$1,"&lt;&gt;"))),0)</f>
        <v>0</v>
      </c>
      <c r="R1604">
        <f>IFERROR($J1604/IF($A1604&lt;COUNTIFS($K$1:R$1,"&lt;&gt;"),0,SUMIFS($J:$J,$B:$B,$B1604,$A:$A,"&gt;="&amp;COUNTIFS($K$1:R$1,"&lt;&gt;"))),0)</f>
        <v>0</v>
      </c>
      <c r="S1604">
        <f>IFERROR($J1604/IF($A1604&lt;COUNTIFS($K$1:S$1,"&lt;&gt;"),0,SUMIFS($J:$J,$B:$B,$B1604,$A:$A,"&gt;="&amp;COUNTIFS($K$1:S$1,"&lt;&gt;"))),0)</f>
        <v>0</v>
      </c>
      <c r="T1604">
        <f>IFERROR($J1604/IF($A1604&lt;COUNTIFS($K$1:T$1,"&lt;&gt;"),0,SUMIFS($J:$J,$B:$B,$B1604,$A:$A,"&gt;="&amp;COUNTIFS($K$1:T$1,"&lt;&gt;"))),0)</f>
        <v>0</v>
      </c>
      <c r="U1604">
        <f>IFERROR($J1604/IF($A1604&lt;COUNTIFS($K$1:U$1,"&lt;&gt;"),0,SUMIFS($J:$J,$B:$B,$B1604,$A:$A,"&gt;="&amp;COUNTIFS($K$1:U$1,"&lt;&gt;"))),0)</f>
        <v>0</v>
      </c>
      <c r="V1604">
        <f>IFERROR($J1604/IF($A1604&lt;COUNTIFS($K$1:V$1,"&lt;&gt;"),0,SUMIFS($J:$J,$B:$B,$B1604,$A:$A,"&gt;="&amp;COUNTIFS($K$1:V$1,"&lt;&gt;"))),0)</f>
        <v>0</v>
      </c>
      <c r="W1604">
        <f t="shared" si="574"/>
        <v>8.4931506849315067E-2</v>
      </c>
      <c r="X1604">
        <f t="shared" si="554"/>
        <v>8.4931506849315067E-2</v>
      </c>
      <c r="Y1604">
        <f t="shared" si="555"/>
        <v>8.4931506849315067E-2</v>
      </c>
      <c r="Z1604">
        <f t="shared" si="556"/>
        <v>8.4931506849315067E-2</v>
      </c>
      <c r="AA1604">
        <f t="shared" si="557"/>
        <v>0</v>
      </c>
      <c r="AB1604">
        <f t="shared" si="558"/>
        <v>0</v>
      </c>
      <c r="AC1604">
        <f t="shared" si="559"/>
        <v>0</v>
      </c>
      <c r="AD1604">
        <f t="shared" si="560"/>
        <v>0</v>
      </c>
      <c r="AE1604">
        <f t="shared" si="561"/>
        <v>0</v>
      </c>
      <c r="AF1604">
        <f t="shared" si="562"/>
        <v>0</v>
      </c>
      <c r="AG1604">
        <f t="shared" si="563"/>
        <v>0</v>
      </c>
      <c r="AH1604">
        <f t="shared" si="564"/>
        <v>0</v>
      </c>
      <c r="AI1604">
        <f t="shared" si="565"/>
        <v>0</v>
      </c>
      <c r="AJ1604" s="2" t="str">
        <f t="shared" si="575"/>
        <v>347574</v>
      </c>
    </row>
    <row r="1605" spans="1:36" x14ac:dyDescent="0.25">
      <c r="A1605">
        <v>4</v>
      </c>
      <c r="B1605" s="1">
        <v>47574</v>
      </c>
      <c r="C1605" s="1">
        <f t="shared" si="566"/>
        <v>47696</v>
      </c>
      <c r="D1605" s="1">
        <f t="shared" si="567"/>
        <v>47588</v>
      </c>
      <c r="E1605" s="1">
        <f t="shared" si="568"/>
        <v>47696</v>
      </c>
      <c r="F1605" s="1">
        <f t="shared" si="569"/>
        <v>47727</v>
      </c>
      <c r="G1605" s="1">
        <f t="shared" si="570"/>
        <v>47953</v>
      </c>
      <c r="H1605">
        <f t="shared" si="571"/>
        <v>365</v>
      </c>
      <c r="I1605">
        <f t="shared" si="572"/>
        <v>31</v>
      </c>
      <c r="J1605">
        <f t="shared" si="573"/>
        <v>8.4931506849315067E-2</v>
      </c>
      <c r="K1605">
        <f>IFERROR($J1605/IF($A1605&lt;COUNTIFS($K$1:K$1,"&lt;&gt;"),0,SUMIFS($J:$J,$B:$B,$B1605,$A:$A,"&gt;="&amp;COUNTIFS($K$1:K$1,"&lt;&gt;"))),0)</f>
        <v>8.8825214899713484E-2</v>
      </c>
      <c r="L1605">
        <f>IFERROR($J1605/IF($A1605&lt;COUNTIFS($K$1:L$1,"&lt;&gt;"),0,SUMIFS($J:$J,$B:$B,$B1605,$A:$A,"&gt;="&amp;COUNTIFS($K$1:L$1,"&lt;&gt;"))),0)</f>
        <v>9.7484276729559768E-2</v>
      </c>
      <c r="M1605">
        <f>IFERROR($J1605/IF($A1605&lt;COUNTIFS($K$1:M$1,"&lt;&gt;"),0,SUMIFS($J:$J,$B:$B,$B1605,$A:$A,"&gt;="&amp;COUNTIFS($K$1:M$1,"&lt;&gt;"))),0)</f>
        <v>0.10763888888888891</v>
      </c>
      <c r="N1605">
        <f>IFERROR($J1605/IF($A1605&lt;COUNTIFS($K$1:N$1,"&lt;&gt;"),0,SUMIFS($J:$J,$B:$B,$B1605,$A:$A,"&gt;="&amp;COUNTIFS($K$1:N$1,"&lt;&gt;"))),0)</f>
        <v>0.12062256809338523</v>
      </c>
      <c r="O1605">
        <f>IFERROR($J1605/IF($A1605&lt;COUNTIFS($K$1:O$1,"&lt;&gt;"),0,SUMIFS($J:$J,$B:$B,$B1605,$A:$A,"&gt;="&amp;COUNTIFS($K$1:O$1,"&lt;&gt;"))),0)</f>
        <v>0</v>
      </c>
      <c r="P1605">
        <f>IFERROR($J1605/IF($A1605&lt;COUNTIFS($K$1:P$1,"&lt;&gt;"),0,SUMIFS($J:$J,$B:$B,$B1605,$A:$A,"&gt;="&amp;COUNTIFS($K$1:P$1,"&lt;&gt;"))),0)</f>
        <v>0</v>
      </c>
      <c r="Q1605">
        <f>IFERROR($J1605/IF($A1605&lt;COUNTIFS($K$1:Q$1,"&lt;&gt;"),0,SUMIFS($J:$J,$B:$B,$B1605,$A:$A,"&gt;="&amp;COUNTIFS($K$1:Q$1,"&lt;&gt;"))),0)</f>
        <v>0</v>
      </c>
      <c r="R1605">
        <f>IFERROR($J1605/IF($A1605&lt;COUNTIFS($K$1:R$1,"&lt;&gt;"),0,SUMIFS($J:$J,$B:$B,$B1605,$A:$A,"&gt;="&amp;COUNTIFS($K$1:R$1,"&lt;&gt;"))),0)</f>
        <v>0</v>
      </c>
      <c r="S1605">
        <f>IFERROR($J1605/IF($A1605&lt;COUNTIFS($K$1:S$1,"&lt;&gt;"),0,SUMIFS($J:$J,$B:$B,$B1605,$A:$A,"&gt;="&amp;COUNTIFS($K$1:S$1,"&lt;&gt;"))),0)</f>
        <v>0</v>
      </c>
      <c r="T1605">
        <f>IFERROR($J1605/IF($A1605&lt;COUNTIFS($K$1:T$1,"&lt;&gt;"),0,SUMIFS($J:$J,$B:$B,$B1605,$A:$A,"&gt;="&amp;COUNTIFS($K$1:T$1,"&lt;&gt;"))),0)</f>
        <v>0</v>
      </c>
      <c r="U1605">
        <f>IFERROR($J1605/IF($A1605&lt;COUNTIFS($K$1:U$1,"&lt;&gt;"),0,SUMIFS($J:$J,$B:$B,$B1605,$A:$A,"&gt;="&amp;COUNTIFS($K$1:U$1,"&lt;&gt;"))),0)</f>
        <v>0</v>
      </c>
      <c r="V1605">
        <f>IFERROR($J1605/IF($A1605&lt;COUNTIFS($K$1:V$1,"&lt;&gt;"),0,SUMIFS($J:$J,$B:$B,$B1605,$A:$A,"&gt;="&amp;COUNTIFS($K$1:V$1,"&lt;&gt;"))),0)</f>
        <v>0</v>
      </c>
      <c r="W1605">
        <f t="shared" si="574"/>
        <v>8.4931506849315067E-2</v>
      </c>
      <c r="X1605">
        <f t="shared" si="554"/>
        <v>8.4931506849315067E-2</v>
      </c>
      <c r="Y1605">
        <f t="shared" si="555"/>
        <v>8.4931506849315067E-2</v>
      </c>
      <c r="Z1605">
        <f t="shared" si="556"/>
        <v>8.4931506849315067E-2</v>
      </c>
      <c r="AA1605">
        <f t="shared" si="557"/>
        <v>8.4931506849315067E-2</v>
      </c>
      <c r="AB1605">
        <f t="shared" si="558"/>
        <v>0</v>
      </c>
      <c r="AC1605">
        <f t="shared" si="559"/>
        <v>0</v>
      </c>
      <c r="AD1605">
        <f t="shared" si="560"/>
        <v>0</v>
      </c>
      <c r="AE1605">
        <f t="shared" si="561"/>
        <v>0</v>
      </c>
      <c r="AF1605">
        <f t="shared" si="562"/>
        <v>0</v>
      </c>
      <c r="AG1605">
        <f t="shared" si="563"/>
        <v>0</v>
      </c>
      <c r="AH1605">
        <f t="shared" si="564"/>
        <v>0</v>
      </c>
      <c r="AI1605">
        <f t="shared" si="565"/>
        <v>0</v>
      </c>
      <c r="AJ1605" s="2" t="str">
        <f t="shared" si="575"/>
        <v>447574</v>
      </c>
    </row>
    <row r="1606" spans="1:36" x14ac:dyDescent="0.25">
      <c r="A1606">
        <v>5</v>
      </c>
      <c r="B1606" s="1">
        <v>47574</v>
      </c>
      <c r="C1606" s="1">
        <f t="shared" si="566"/>
        <v>47727</v>
      </c>
      <c r="D1606" s="1">
        <f t="shared" si="567"/>
        <v>47588</v>
      </c>
      <c r="E1606" s="1">
        <f t="shared" si="568"/>
        <v>47727</v>
      </c>
      <c r="F1606" s="1">
        <f t="shared" si="569"/>
        <v>47757</v>
      </c>
      <c r="G1606" s="1">
        <f t="shared" si="570"/>
        <v>47953</v>
      </c>
      <c r="H1606">
        <f t="shared" si="571"/>
        <v>365</v>
      </c>
      <c r="I1606">
        <f t="shared" si="572"/>
        <v>30</v>
      </c>
      <c r="J1606">
        <f t="shared" si="573"/>
        <v>8.2191780821917804E-2</v>
      </c>
      <c r="K1606">
        <f>IFERROR($J1606/IF($A1606&lt;COUNTIFS($K$1:K$1,"&lt;&gt;"),0,SUMIFS($J:$J,$B:$B,$B1606,$A:$A,"&gt;="&amp;COUNTIFS($K$1:K$1,"&lt;&gt;"))),0)</f>
        <v>8.5959885386819493E-2</v>
      </c>
      <c r="L1606">
        <f>IFERROR($J1606/IF($A1606&lt;COUNTIFS($K$1:L$1,"&lt;&gt;"),0,SUMIFS($J:$J,$B:$B,$B1606,$A:$A,"&gt;="&amp;COUNTIFS($K$1:L$1,"&lt;&gt;"))),0)</f>
        <v>9.4339622641509441E-2</v>
      </c>
      <c r="M1606">
        <f>IFERROR($J1606/IF($A1606&lt;COUNTIFS($K$1:M$1,"&lt;&gt;"),0,SUMIFS($J:$J,$B:$B,$B1606,$A:$A,"&gt;="&amp;COUNTIFS($K$1:M$1,"&lt;&gt;"))),0)</f>
        <v>0.10416666666666669</v>
      </c>
      <c r="N1606">
        <f>IFERROR($J1606/IF($A1606&lt;COUNTIFS($K$1:N$1,"&lt;&gt;"),0,SUMIFS($J:$J,$B:$B,$B1606,$A:$A,"&gt;="&amp;COUNTIFS($K$1:N$1,"&lt;&gt;"))),0)</f>
        <v>0.11673151750972764</v>
      </c>
      <c r="O1606">
        <f>IFERROR($J1606/IF($A1606&lt;COUNTIFS($K$1:O$1,"&lt;&gt;"),0,SUMIFS($J:$J,$B:$B,$B1606,$A:$A,"&gt;="&amp;COUNTIFS($K$1:O$1,"&lt;&gt;"))),0)</f>
        <v>0.13274336283185842</v>
      </c>
      <c r="P1606">
        <f>IFERROR($J1606/IF($A1606&lt;COUNTIFS($K$1:P$1,"&lt;&gt;"),0,SUMIFS($J:$J,$B:$B,$B1606,$A:$A,"&gt;="&amp;COUNTIFS($K$1:P$1,"&lt;&gt;"))),0)</f>
        <v>0</v>
      </c>
      <c r="Q1606">
        <f>IFERROR($J1606/IF($A1606&lt;COUNTIFS($K$1:Q$1,"&lt;&gt;"),0,SUMIFS($J:$J,$B:$B,$B1606,$A:$A,"&gt;="&amp;COUNTIFS($K$1:Q$1,"&lt;&gt;"))),0)</f>
        <v>0</v>
      </c>
      <c r="R1606">
        <f>IFERROR($J1606/IF($A1606&lt;COUNTIFS($K$1:R$1,"&lt;&gt;"),0,SUMIFS($J:$J,$B:$B,$B1606,$A:$A,"&gt;="&amp;COUNTIFS($K$1:R$1,"&lt;&gt;"))),0)</f>
        <v>0</v>
      </c>
      <c r="S1606">
        <f>IFERROR($J1606/IF($A1606&lt;COUNTIFS($K$1:S$1,"&lt;&gt;"),0,SUMIFS($J:$J,$B:$B,$B1606,$A:$A,"&gt;="&amp;COUNTIFS($K$1:S$1,"&lt;&gt;"))),0)</f>
        <v>0</v>
      </c>
      <c r="T1606">
        <f>IFERROR($J1606/IF($A1606&lt;COUNTIFS($K$1:T$1,"&lt;&gt;"),0,SUMIFS($J:$J,$B:$B,$B1606,$A:$A,"&gt;="&amp;COUNTIFS($K$1:T$1,"&lt;&gt;"))),0)</f>
        <v>0</v>
      </c>
      <c r="U1606">
        <f>IFERROR($J1606/IF($A1606&lt;COUNTIFS($K$1:U$1,"&lt;&gt;"),0,SUMIFS($J:$J,$B:$B,$B1606,$A:$A,"&gt;="&amp;COUNTIFS($K$1:U$1,"&lt;&gt;"))),0)</f>
        <v>0</v>
      </c>
      <c r="V1606">
        <f>IFERROR($J1606/IF($A1606&lt;COUNTIFS($K$1:V$1,"&lt;&gt;"),0,SUMIFS($J:$J,$B:$B,$B1606,$A:$A,"&gt;="&amp;COUNTIFS($K$1:V$1,"&lt;&gt;"))),0)</f>
        <v>0</v>
      </c>
      <c r="W1606">
        <f t="shared" si="574"/>
        <v>8.2191780821917804E-2</v>
      </c>
      <c r="X1606">
        <f t="shared" si="554"/>
        <v>8.2191780821917804E-2</v>
      </c>
      <c r="Y1606">
        <f t="shared" si="555"/>
        <v>8.2191780821917804E-2</v>
      </c>
      <c r="Z1606">
        <f t="shared" si="556"/>
        <v>8.2191780821917804E-2</v>
      </c>
      <c r="AA1606">
        <f t="shared" si="557"/>
        <v>8.2191780821917804E-2</v>
      </c>
      <c r="AB1606">
        <f t="shared" si="558"/>
        <v>8.2191780821917804E-2</v>
      </c>
      <c r="AC1606">
        <f t="shared" si="559"/>
        <v>0</v>
      </c>
      <c r="AD1606">
        <f t="shared" si="560"/>
        <v>0</v>
      </c>
      <c r="AE1606">
        <f t="shared" si="561"/>
        <v>0</v>
      </c>
      <c r="AF1606">
        <f t="shared" si="562"/>
        <v>0</v>
      </c>
      <c r="AG1606">
        <f t="shared" si="563"/>
        <v>0</v>
      </c>
      <c r="AH1606">
        <f t="shared" si="564"/>
        <v>0</v>
      </c>
      <c r="AI1606">
        <f t="shared" si="565"/>
        <v>0</v>
      </c>
      <c r="AJ1606" s="2" t="str">
        <f t="shared" si="575"/>
        <v>547574</v>
      </c>
    </row>
    <row r="1607" spans="1:36" x14ac:dyDescent="0.25">
      <c r="A1607">
        <v>6</v>
      </c>
      <c r="B1607" s="1">
        <v>47574</v>
      </c>
      <c r="C1607" s="1">
        <f t="shared" si="566"/>
        <v>47757</v>
      </c>
      <c r="D1607" s="1">
        <f t="shared" si="567"/>
        <v>47588</v>
      </c>
      <c r="E1607" s="1">
        <f t="shared" si="568"/>
        <v>47757</v>
      </c>
      <c r="F1607" s="1">
        <f t="shared" si="569"/>
        <v>47788</v>
      </c>
      <c r="G1607" s="1">
        <f t="shared" si="570"/>
        <v>47953</v>
      </c>
      <c r="H1607">
        <f t="shared" si="571"/>
        <v>365</v>
      </c>
      <c r="I1607">
        <f t="shared" si="572"/>
        <v>31</v>
      </c>
      <c r="J1607">
        <f t="shared" si="573"/>
        <v>8.4931506849315067E-2</v>
      </c>
      <c r="K1607">
        <f>IFERROR($J1607/IF($A1607&lt;COUNTIFS($K$1:K$1,"&lt;&gt;"),0,SUMIFS($J:$J,$B:$B,$B1607,$A:$A,"&gt;="&amp;COUNTIFS($K$1:K$1,"&lt;&gt;"))),0)</f>
        <v>8.8825214899713484E-2</v>
      </c>
      <c r="L1607">
        <f>IFERROR($J1607/IF($A1607&lt;COUNTIFS($K$1:L$1,"&lt;&gt;"),0,SUMIFS($J:$J,$B:$B,$B1607,$A:$A,"&gt;="&amp;COUNTIFS($K$1:L$1,"&lt;&gt;"))),0)</f>
        <v>9.7484276729559768E-2</v>
      </c>
      <c r="M1607">
        <f>IFERROR($J1607/IF($A1607&lt;COUNTIFS($K$1:M$1,"&lt;&gt;"),0,SUMIFS($J:$J,$B:$B,$B1607,$A:$A,"&gt;="&amp;COUNTIFS($K$1:M$1,"&lt;&gt;"))),0)</f>
        <v>0.10763888888888891</v>
      </c>
      <c r="N1607">
        <f>IFERROR($J1607/IF($A1607&lt;COUNTIFS($K$1:N$1,"&lt;&gt;"),0,SUMIFS($J:$J,$B:$B,$B1607,$A:$A,"&gt;="&amp;COUNTIFS($K$1:N$1,"&lt;&gt;"))),0)</f>
        <v>0.12062256809338523</v>
      </c>
      <c r="O1607">
        <f>IFERROR($J1607/IF($A1607&lt;COUNTIFS($K$1:O$1,"&lt;&gt;"),0,SUMIFS($J:$J,$B:$B,$B1607,$A:$A,"&gt;="&amp;COUNTIFS($K$1:O$1,"&lt;&gt;"))),0)</f>
        <v>0.13716814159292037</v>
      </c>
      <c r="P1607">
        <f>IFERROR($J1607/IF($A1607&lt;COUNTIFS($K$1:P$1,"&lt;&gt;"),0,SUMIFS($J:$J,$B:$B,$B1607,$A:$A,"&gt;="&amp;COUNTIFS($K$1:P$1,"&lt;&gt;"))),0)</f>
        <v>0.15816326530612249</v>
      </c>
      <c r="Q1607">
        <f>IFERROR($J1607/IF($A1607&lt;COUNTIFS($K$1:Q$1,"&lt;&gt;"),0,SUMIFS($J:$J,$B:$B,$B1607,$A:$A,"&gt;="&amp;COUNTIFS($K$1:Q$1,"&lt;&gt;"))),0)</f>
        <v>0</v>
      </c>
      <c r="R1607">
        <f>IFERROR($J1607/IF($A1607&lt;COUNTIFS($K$1:R$1,"&lt;&gt;"),0,SUMIFS($J:$J,$B:$B,$B1607,$A:$A,"&gt;="&amp;COUNTIFS($K$1:R$1,"&lt;&gt;"))),0)</f>
        <v>0</v>
      </c>
      <c r="S1607">
        <f>IFERROR($J1607/IF($A1607&lt;COUNTIFS($K$1:S$1,"&lt;&gt;"),0,SUMIFS($J:$J,$B:$B,$B1607,$A:$A,"&gt;="&amp;COUNTIFS($K$1:S$1,"&lt;&gt;"))),0)</f>
        <v>0</v>
      </c>
      <c r="T1607">
        <f>IFERROR($J1607/IF($A1607&lt;COUNTIFS($K$1:T$1,"&lt;&gt;"),0,SUMIFS($J:$J,$B:$B,$B1607,$A:$A,"&gt;="&amp;COUNTIFS($K$1:T$1,"&lt;&gt;"))),0)</f>
        <v>0</v>
      </c>
      <c r="U1607">
        <f>IFERROR($J1607/IF($A1607&lt;COUNTIFS($K$1:U$1,"&lt;&gt;"),0,SUMIFS($J:$J,$B:$B,$B1607,$A:$A,"&gt;="&amp;COUNTIFS($K$1:U$1,"&lt;&gt;"))),0)</f>
        <v>0</v>
      </c>
      <c r="V1607">
        <f>IFERROR($J1607/IF($A1607&lt;COUNTIFS($K$1:V$1,"&lt;&gt;"),0,SUMIFS($J:$J,$B:$B,$B1607,$A:$A,"&gt;="&amp;COUNTIFS($K$1:V$1,"&lt;&gt;"))),0)</f>
        <v>0</v>
      </c>
      <c r="W1607">
        <f t="shared" si="574"/>
        <v>8.4931506849315067E-2</v>
      </c>
      <c r="X1607">
        <f t="shared" si="554"/>
        <v>8.4931506849315067E-2</v>
      </c>
      <c r="Y1607">
        <f t="shared" si="555"/>
        <v>8.4931506849315067E-2</v>
      </c>
      <c r="Z1607">
        <f t="shared" si="556"/>
        <v>8.4931506849315067E-2</v>
      </c>
      <c r="AA1607">
        <f t="shared" si="557"/>
        <v>8.4931506849315067E-2</v>
      </c>
      <c r="AB1607">
        <f t="shared" si="558"/>
        <v>8.4931506849315067E-2</v>
      </c>
      <c r="AC1607">
        <f t="shared" si="559"/>
        <v>8.4931506849315067E-2</v>
      </c>
      <c r="AD1607">
        <f t="shared" si="560"/>
        <v>0</v>
      </c>
      <c r="AE1607">
        <f t="shared" si="561"/>
        <v>0</v>
      </c>
      <c r="AF1607">
        <f t="shared" si="562"/>
        <v>0</v>
      </c>
      <c r="AG1607">
        <f t="shared" si="563"/>
        <v>0</v>
      </c>
      <c r="AH1607">
        <f t="shared" si="564"/>
        <v>0</v>
      </c>
      <c r="AI1607">
        <f t="shared" si="565"/>
        <v>0</v>
      </c>
      <c r="AJ1607" s="2" t="str">
        <f t="shared" si="575"/>
        <v>647574</v>
      </c>
    </row>
    <row r="1608" spans="1:36" x14ac:dyDescent="0.25">
      <c r="A1608">
        <v>7</v>
      </c>
      <c r="B1608" s="1">
        <v>47574</v>
      </c>
      <c r="C1608" s="1">
        <f t="shared" si="566"/>
        <v>47788</v>
      </c>
      <c r="D1608" s="1">
        <f t="shared" si="567"/>
        <v>47588</v>
      </c>
      <c r="E1608" s="1">
        <f t="shared" si="568"/>
        <v>47788</v>
      </c>
      <c r="F1608" s="1">
        <f t="shared" si="569"/>
        <v>47818</v>
      </c>
      <c r="G1608" s="1">
        <f t="shared" si="570"/>
        <v>47953</v>
      </c>
      <c r="H1608">
        <f t="shared" si="571"/>
        <v>365</v>
      </c>
      <c r="I1608">
        <f t="shared" si="572"/>
        <v>30</v>
      </c>
      <c r="J1608">
        <f t="shared" si="573"/>
        <v>8.2191780821917804E-2</v>
      </c>
      <c r="K1608">
        <f>IFERROR($J1608/IF($A1608&lt;COUNTIFS($K$1:K$1,"&lt;&gt;"),0,SUMIFS($J:$J,$B:$B,$B1608,$A:$A,"&gt;="&amp;COUNTIFS($K$1:K$1,"&lt;&gt;"))),0)</f>
        <v>8.5959885386819493E-2</v>
      </c>
      <c r="L1608">
        <f>IFERROR($J1608/IF($A1608&lt;COUNTIFS($K$1:L$1,"&lt;&gt;"),0,SUMIFS($J:$J,$B:$B,$B1608,$A:$A,"&gt;="&amp;COUNTIFS($K$1:L$1,"&lt;&gt;"))),0)</f>
        <v>9.4339622641509441E-2</v>
      </c>
      <c r="M1608">
        <f>IFERROR($J1608/IF($A1608&lt;COUNTIFS($K$1:M$1,"&lt;&gt;"),0,SUMIFS($J:$J,$B:$B,$B1608,$A:$A,"&gt;="&amp;COUNTIFS($K$1:M$1,"&lt;&gt;"))),0)</f>
        <v>0.10416666666666669</v>
      </c>
      <c r="N1608">
        <f>IFERROR($J1608/IF($A1608&lt;COUNTIFS($K$1:N$1,"&lt;&gt;"),0,SUMIFS($J:$J,$B:$B,$B1608,$A:$A,"&gt;="&amp;COUNTIFS($K$1:N$1,"&lt;&gt;"))),0)</f>
        <v>0.11673151750972764</v>
      </c>
      <c r="O1608">
        <f>IFERROR($J1608/IF($A1608&lt;COUNTIFS($K$1:O$1,"&lt;&gt;"),0,SUMIFS($J:$J,$B:$B,$B1608,$A:$A,"&gt;="&amp;COUNTIFS($K$1:O$1,"&lt;&gt;"))),0)</f>
        <v>0.13274336283185842</v>
      </c>
      <c r="P1608">
        <f>IFERROR($J1608/IF($A1608&lt;COUNTIFS($K$1:P$1,"&lt;&gt;"),0,SUMIFS($J:$J,$B:$B,$B1608,$A:$A,"&gt;="&amp;COUNTIFS($K$1:P$1,"&lt;&gt;"))),0)</f>
        <v>0.15306122448979595</v>
      </c>
      <c r="Q1608">
        <f>IFERROR($J1608/IF($A1608&lt;COUNTIFS($K$1:Q$1,"&lt;&gt;"),0,SUMIFS($J:$J,$B:$B,$B1608,$A:$A,"&gt;="&amp;COUNTIFS($K$1:Q$1,"&lt;&gt;"))),0)</f>
        <v>0.18181818181818182</v>
      </c>
      <c r="R1608">
        <f>IFERROR($J1608/IF($A1608&lt;COUNTIFS($K$1:R$1,"&lt;&gt;"),0,SUMIFS($J:$J,$B:$B,$B1608,$A:$A,"&gt;="&amp;COUNTIFS($K$1:R$1,"&lt;&gt;"))),0)</f>
        <v>0</v>
      </c>
      <c r="S1608">
        <f>IFERROR($J1608/IF($A1608&lt;COUNTIFS($K$1:S$1,"&lt;&gt;"),0,SUMIFS($J:$J,$B:$B,$B1608,$A:$A,"&gt;="&amp;COUNTIFS($K$1:S$1,"&lt;&gt;"))),0)</f>
        <v>0</v>
      </c>
      <c r="T1608">
        <f>IFERROR($J1608/IF($A1608&lt;COUNTIFS($K$1:T$1,"&lt;&gt;"),0,SUMIFS($J:$J,$B:$B,$B1608,$A:$A,"&gt;="&amp;COUNTIFS($K$1:T$1,"&lt;&gt;"))),0)</f>
        <v>0</v>
      </c>
      <c r="U1608">
        <f>IFERROR($J1608/IF($A1608&lt;COUNTIFS($K$1:U$1,"&lt;&gt;"),0,SUMIFS($J:$J,$B:$B,$B1608,$A:$A,"&gt;="&amp;COUNTIFS($K$1:U$1,"&lt;&gt;"))),0)</f>
        <v>0</v>
      </c>
      <c r="V1608">
        <f>IFERROR($J1608/IF($A1608&lt;COUNTIFS($K$1:V$1,"&lt;&gt;"),0,SUMIFS($J:$J,$B:$B,$B1608,$A:$A,"&gt;="&amp;COUNTIFS($K$1:V$1,"&lt;&gt;"))),0)</f>
        <v>0</v>
      </c>
      <c r="W1608">
        <f t="shared" si="574"/>
        <v>8.2191780821917804E-2</v>
      </c>
      <c r="X1608">
        <f t="shared" si="554"/>
        <v>8.2191780821917804E-2</v>
      </c>
      <c r="Y1608">
        <f t="shared" si="555"/>
        <v>8.2191780821917804E-2</v>
      </c>
      <c r="Z1608">
        <f t="shared" si="556"/>
        <v>8.2191780821917804E-2</v>
      </c>
      <c r="AA1608">
        <f t="shared" si="557"/>
        <v>8.2191780821917804E-2</v>
      </c>
      <c r="AB1608">
        <f t="shared" si="558"/>
        <v>8.2191780821917804E-2</v>
      </c>
      <c r="AC1608">
        <f t="shared" si="559"/>
        <v>8.2191780821917804E-2</v>
      </c>
      <c r="AD1608">
        <f t="shared" si="560"/>
        <v>8.2191780821917804E-2</v>
      </c>
      <c r="AE1608">
        <f t="shared" si="561"/>
        <v>0</v>
      </c>
      <c r="AF1608">
        <f t="shared" si="562"/>
        <v>0</v>
      </c>
      <c r="AG1608">
        <f t="shared" si="563"/>
        <v>0</v>
      </c>
      <c r="AH1608">
        <f t="shared" si="564"/>
        <v>0</v>
      </c>
      <c r="AI1608">
        <f t="shared" si="565"/>
        <v>0</v>
      </c>
      <c r="AJ1608" s="2" t="str">
        <f t="shared" si="575"/>
        <v>747574</v>
      </c>
    </row>
    <row r="1609" spans="1:36" x14ac:dyDescent="0.25">
      <c r="A1609">
        <v>8</v>
      </c>
      <c r="B1609" s="1">
        <v>47574</v>
      </c>
      <c r="C1609" s="1">
        <f t="shared" si="566"/>
        <v>47818</v>
      </c>
      <c r="D1609" s="1">
        <f t="shared" si="567"/>
        <v>47588</v>
      </c>
      <c r="E1609" s="1">
        <f t="shared" si="568"/>
        <v>47818</v>
      </c>
      <c r="F1609" s="1">
        <f t="shared" si="569"/>
        <v>47849</v>
      </c>
      <c r="G1609" s="1">
        <f t="shared" si="570"/>
        <v>47953</v>
      </c>
      <c r="H1609">
        <f t="shared" si="571"/>
        <v>365</v>
      </c>
      <c r="I1609">
        <f t="shared" si="572"/>
        <v>31</v>
      </c>
      <c r="J1609">
        <f t="shared" si="573"/>
        <v>8.4931506849315067E-2</v>
      </c>
      <c r="K1609">
        <f>IFERROR($J1609/IF($A1609&lt;COUNTIFS($K$1:K$1,"&lt;&gt;"),0,SUMIFS($J:$J,$B:$B,$B1609,$A:$A,"&gt;="&amp;COUNTIFS($K$1:K$1,"&lt;&gt;"))),0)</f>
        <v>8.8825214899713484E-2</v>
      </c>
      <c r="L1609">
        <f>IFERROR($J1609/IF($A1609&lt;COUNTIFS($K$1:L$1,"&lt;&gt;"),0,SUMIFS($J:$J,$B:$B,$B1609,$A:$A,"&gt;="&amp;COUNTIFS($K$1:L$1,"&lt;&gt;"))),0)</f>
        <v>9.7484276729559768E-2</v>
      </c>
      <c r="M1609">
        <f>IFERROR($J1609/IF($A1609&lt;COUNTIFS($K$1:M$1,"&lt;&gt;"),0,SUMIFS($J:$J,$B:$B,$B1609,$A:$A,"&gt;="&amp;COUNTIFS($K$1:M$1,"&lt;&gt;"))),0)</f>
        <v>0.10763888888888891</v>
      </c>
      <c r="N1609">
        <f>IFERROR($J1609/IF($A1609&lt;COUNTIFS($K$1:N$1,"&lt;&gt;"),0,SUMIFS($J:$J,$B:$B,$B1609,$A:$A,"&gt;="&amp;COUNTIFS($K$1:N$1,"&lt;&gt;"))),0)</f>
        <v>0.12062256809338523</v>
      </c>
      <c r="O1609">
        <f>IFERROR($J1609/IF($A1609&lt;COUNTIFS($K$1:O$1,"&lt;&gt;"),0,SUMIFS($J:$J,$B:$B,$B1609,$A:$A,"&gt;="&amp;COUNTIFS($K$1:O$1,"&lt;&gt;"))),0)</f>
        <v>0.13716814159292037</v>
      </c>
      <c r="P1609">
        <f>IFERROR($J1609/IF($A1609&lt;COUNTIFS($K$1:P$1,"&lt;&gt;"),0,SUMIFS($J:$J,$B:$B,$B1609,$A:$A,"&gt;="&amp;COUNTIFS($K$1:P$1,"&lt;&gt;"))),0)</f>
        <v>0.15816326530612249</v>
      </c>
      <c r="Q1609">
        <f>IFERROR($J1609/IF($A1609&lt;COUNTIFS($K$1:Q$1,"&lt;&gt;"),0,SUMIFS($J:$J,$B:$B,$B1609,$A:$A,"&gt;="&amp;COUNTIFS($K$1:Q$1,"&lt;&gt;"))),0)</f>
        <v>0.1878787878787879</v>
      </c>
      <c r="R1609">
        <f>IFERROR($J1609/IF($A1609&lt;COUNTIFS($K$1:R$1,"&lt;&gt;"),0,SUMIFS($J:$J,$B:$B,$B1609,$A:$A,"&gt;="&amp;COUNTIFS($K$1:R$1,"&lt;&gt;"))),0)</f>
        <v>0.22962962962962963</v>
      </c>
      <c r="S1609">
        <f>IFERROR($J1609/IF($A1609&lt;COUNTIFS($K$1:S$1,"&lt;&gt;"),0,SUMIFS($J:$J,$B:$B,$B1609,$A:$A,"&gt;="&amp;COUNTIFS($K$1:S$1,"&lt;&gt;"))),0)</f>
        <v>0</v>
      </c>
      <c r="T1609">
        <f>IFERROR($J1609/IF($A1609&lt;COUNTIFS($K$1:T$1,"&lt;&gt;"),0,SUMIFS($J:$J,$B:$B,$B1609,$A:$A,"&gt;="&amp;COUNTIFS($K$1:T$1,"&lt;&gt;"))),0)</f>
        <v>0</v>
      </c>
      <c r="U1609">
        <f>IFERROR($J1609/IF($A1609&lt;COUNTIFS($K$1:U$1,"&lt;&gt;"),0,SUMIFS($J:$J,$B:$B,$B1609,$A:$A,"&gt;="&amp;COUNTIFS($K$1:U$1,"&lt;&gt;"))),0)</f>
        <v>0</v>
      </c>
      <c r="V1609">
        <f>IFERROR($J1609/IF($A1609&lt;COUNTIFS($K$1:V$1,"&lt;&gt;"),0,SUMIFS($J:$J,$B:$B,$B1609,$A:$A,"&gt;="&amp;COUNTIFS($K$1:V$1,"&lt;&gt;"))),0)</f>
        <v>0</v>
      </c>
      <c r="W1609">
        <f t="shared" si="574"/>
        <v>8.4931506849315067E-2</v>
      </c>
      <c r="X1609">
        <f t="shared" si="554"/>
        <v>8.4931506849315067E-2</v>
      </c>
      <c r="Y1609">
        <f t="shared" si="555"/>
        <v>8.4931506849315067E-2</v>
      </c>
      <c r="Z1609">
        <f t="shared" si="556"/>
        <v>8.4931506849315067E-2</v>
      </c>
      <c r="AA1609">
        <f t="shared" si="557"/>
        <v>8.4931506849315067E-2</v>
      </c>
      <c r="AB1609">
        <f t="shared" si="558"/>
        <v>8.4931506849315067E-2</v>
      </c>
      <c r="AC1609">
        <f t="shared" si="559"/>
        <v>8.4931506849315067E-2</v>
      </c>
      <c r="AD1609">
        <f t="shared" si="560"/>
        <v>8.4931506849315067E-2</v>
      </c>
      <c r="AE1609">
        <f t="shared" si="561"/>
        <v>8.4931506849315067E-2</v>
      </c>
      <c r="AF1609">
        <f t="shared" si="562"/>
        <v>0</v>
      </c>
      <c r="AG1609">
        <f t="shared" si="563"/>
        <v>0</v>
      </c>
      <c r="AH1609">
        <f t="shared" si="564"/>
        <v>0</v>
      </c>
      <c r="AI1609">
        <f t="shared" si="565"/>
        <v>0</v>
      </c>
      <c r="AJ1609" s="2" t="str">
        <f t="shared" si="575"/>
        <v>847574</v>
      </c>
    </row>
    <row r="1610" spans="1:36" x14ac:dyDescent="0.25">
      <c r="A1610">
        <v>9</v>
      </c>
      <c r="B1610" s="1">
        <v>47574</v>
      </c>
      <c r="C1610" s="1">
        <f t="shared" si="566"/>
        <v>47849</v>
      </c>
      <c r="D1610" s="1">
        <f t="shared" si="567"/>
        <v>47588</v>
      </c>
      <c r="E1610" s="1">
        <f t="shared" si="568"/>
        <v>47849</v>
      </c>
      <c r="F1610" s="1">
        <f t="shared" si="569"/>
        <v>47880</v>
      </c>
      <c r="G1610" s="1">
        <f t="shared" si="570"/>
        <v>47953</v>
      </c>
      <c r="H1610">
        <f t="shared" si="571"/>
        <v>365</v>
      </c>
      <c r="I1610">
        <f t="shared" si="572"/>
        <v>31</v>
      </c>
      <c r="J1610">
        <f t="shared" si="573"/>
        <v>8.4931506849315067E-2</v>
      </c>
      <c r="K1610">
        <f>IFERROR($J1610/IF($A1610&lt;COUNTIFS($K$1:K$1,"&lt;&gt;"),0,SUMIFS($J:$J,$B:$B,$B1610,$A:$A,"&gt;="&amp;COUNTIFS($K$1:K$1,"&lt;&gt;"))),0)</f>
        <v>8.8825214899713484E-2</v>
      </c>
      <c r="L1610">
        <f>IFERROR($J1610/IF($A1610&lt;COUNTIFS($K$1:L$1,"&lt;&gt;"),0,SUMIFS($J:$J,$B:$B,$B1610,$A:$A,"&gt;="&amp;COUNTIFS($K$1:L$1,"&lt;&gt;"))),0)</f>
        <v>9.7484276729559768E-2</v>
      </c>
      <c r="M1610">
        <f>IFERROR($J1610/IF($A1610&lt;COUNTIFS($K$1:M$1,"&lt;&gt;"),0,SUMIFS($J:$J,$B:$B,$B1610,$A:$A,"&gt;="&amp;COUNTIFS($K$1:M$1,"&lt;&gt;"))),0)</f>
        <v>0.10763888888888891</v>
      </c>
      <c r="N1610">
        <f>IFERROR($J1610/IF($A1610&lt;COUNTIFS($K$1:N$1,"&lt;&gt;"),0,SUMIFS($J:$J,$B:$B,$B1610,$A:$A,"&gt;="&amp;COUNTIFS($K$1:N$1,"&lt;&gt;"))),0)</f>
        <v>0.12062256809338523</v>
      </c>
      <c r="O1610">
        <f>IFERROR($J1610/IF($A1610&lt;COUNTIFS($K$1:O$1,"&lt;&gt;"),0,SUMIFS($J:$J,$B:$B,$B1610,$A:$A,"&gt;="&amp;COUNTIFS($K$1:O$1,"&lt;&gt;"))),0)</f>
        <v>0.13716814159292037</v>
      </c>
      <c r="P1610">
        <f>IFERROR($J1610/IF($A1610&lt;COUNTIFS($K$1:P$1,"&lt;&gt;"),0,SUMIFS($J:$J,$B:$B,$B1610,$A:$A,"&gt;="&amp;COUNTIFS($K$1:P$1,"&lt;&gt;"))),0)</f>
        <v>0.15816326530612249</v>
      </c>
      <c r="Q1610">
        <f>IFERROR($J1610/IF($A1610&lt;COUNTIFS($K$1:Q$1,"&lt;&gt;"),0,SUMIFS($J:$J,$B:$B,$B1610,$A:$A,"&gt;="&amp;COUNTIFS($K$1:Q$1,"&lt;&gt;"))),0)</f>
        <v>0.1878787878787879</v>
      </c>
      <c r="R1610">
        <f>IFERROR($J1610/IF($A1610&lt;COUNTIFS($K$1:R$1,"&lt;&gt;"),0,SUMIFS($J:$J,$B:$B,$B1610,$A:$A,"&gt;="&amp;COUNTIFS($K$1:R$1,"&lt;&gt;"))),0)</f>
        <v>0.22962962962962963</v>
      </c>
      <c r="S1610">
        <f>IFERROR($J1610/IF($A1610&lt;COUNTIFS($K$1:S$1,"&lt;&gt;"),0,SUMIFS($J:$J,$B:$B,$B1610,$A:$A,"&gt;="&amp;COUNTIFS($K$1:S$1,"&lt;&gt;"))),0)</f>
        <v>0.29807692307692307</v>
      </c>
      <c r="T1610">
        <f>IFERROR($J1610/IF($A1610&lt;COUNTIFS($K$1:T$1,"&lt;&gt;"),0,SUMIFS($J:$J,$B:$B,$B1610,$A:$A,"&gt;="&amp;COUNTIFS($K$1:T$1,"&lt;&gt;"))),0)</f>
        <v>0</v>
      </c>
      <c r="U1610">
        <f>IFERROR($J1610/IF($A1610&lt;COUNTIFS($K$1:U$1,"&lt;&gt;"),0,SUMIFS($J:$J,$B:$B,$B1610,$A:$A,"&gt;="&amp;COUNTIFS($K$1:U$1,"&lt;&gt;"))),0)</f>
        <v>0</v>
      </c>
      <c r="V1610">
        <f>IFERROR($J1610/IF($A1610&lt;COUNTIFS($K$1:V$1,"&lt;&gt;"),0,SUMIFS($J:$J,$B:$B,$B1610,$A:$A,"&gt;="&amp;COUNTIFS($K$1:V$1,"&lt;&gt;"))),0)</f>
        <v>0</v>
      </c>
      <c r="W1610">
        <f t="shared" si="574"/>
        <v>8.4931506849315067E-2</v>
      </c>
      <c r="X1610">
        <f t="shared" si="554"/>
        <v>8.4931506849315067E-2</v>
      </c>
      <c r="Y1610">
        <f t="shared" si="555"/>
        <v>8.4931506849315067E-2</v>
      </c>
      <c r="Z1610">
        <f t="shared" si="556"/>
        <v>8.4931506849315067E-2</v>
      </c>
      <c r="AA1610">
        <f t="shared" si="557"/>
        <v>8.4931506849315067E-2</v>
      </c>
      <c r="AB1610">
        <f t="shared" si="558"/>
        <v>8.4931506849315067E-2</v>
      </c>
      <c r="AC1610">
        <f t="shared" si="559"/>
        <v>8.4931506849315067E-2</v>
      </c>
      <c r="AD1610">
        <f t="shared" si="560"/>
        <v>8.4931506849315067E-2</v>
      </c>
      <c r="AE1610">
        <f t="shared" si="561"/>
        <v>8.4931506849315067E-2</v>
      </c>
      <c r="AF1610">
        <f t="shared" si="562"/>
        <v>8.4931506849315067E-2</v>
      </c>
      <c r="AG1610">
        <f t="shared" si="563"/>
        <v>0</v>
      </c>
      <c r="AH1610">
        <f t="shared" si="564"/>
        <v>0</v>
      </c>
      <c r="AI1610">
        <f t="shared" si="565"/>
        <v>0</v>
      </c>
      <c r="AJ1610" s="2" t="str">
        <f t="shared" si="575"/>
        <v>947574</v>
      </c>
    </row>
    <row r="1611" spans="1:36" x14ac:dyDescent="0.25">
      <c r="A1611">
        <v>10</v>
      </c>
      <c r="B1611" s="1">
        <v>47574</v>
      </c>
      <c r="C1611" s="1">
        <f t="shared" si="566"/>
        <v>47880</v>
      </c>
      <c r="D1611" s="1">
        <f t="shared" si="567"/>
        <v>47588</v>
      </c>
      <c r="E1611" s="1">
        <f t="shared" si="568"/>
        <v>47880</v>
      </c>
      <c r="F1611" s="1">
        <f t="shared" si="569"/>
        <v>47908</v>
      </c>
      <c r="G1611" s="1">
        <f t="shared" si="570"/>
        <v>47953</v>
      </c>
      <c r="H1611">
        <f t="shared" si="571"/>
        <v>365</v>
      </c>
      <c r="I1611">
        <f t="shared" si="572"/>
        <v>28</v>
      </c>
      <c r="J1611">
        <f t="shared" si="573"/>
        <v>7.6712328767123292E-2</v>
      </c>
      <c r="K1611">
        <f>IFERROR($J1611/IF($A1611&lt;COUNTIFS($K$1:K$1,"&lt;&gt;"),0,SUMIFS($J:$J,$B:$B,$B1611,$A:$A,"&gt;="&amp;COUNTIFS($K$1:K$1,"&lt;&gt;"))),0)</f>
        <v>8.0229226361031539E-2</v>
      </c>
      <c r="L1611">
        <f>IFERROR($J1611/IF($A1611&lt;COUNTIFS($K$1:L$1,"&lt;&gt;"),0,SUMIFS($J:$J,$B:$B,$B1611,$A:$A,"&gt;="&amp;COUNTIFS($K$1:L$1,"&lt;&gt;"))),0)</f>
        <v>8.8050314465408827E-2</v>
      </c>
      <c r="M1611">
        <f>IFERROR($J1611/IF($A1611&lt;COUNTIFS($K$1:M$1,"&lt;&gt;"),0,SUMIFS($J:$J,$B:$B,$B1611,$A:$A,"&gt;="&amp;COUNTIFS($K$1:M$1,"&lt;&gt;"))),0)</f>
        <v>9.7222222222222238E-2</v>
      </c>
      <c r="N1611">
        <f>IFERROR($J1611/IF($A1611&lt;COUNTIFS($K$1:N$1,"&lt;&gt;"),0,SUMIFS($J:$J,$B:$B,$B1611,$A:$A,"&gt;="&amp;COUNTIFS($K$1:N$1,"&lt;&gt;"))),0)</f>
        <v>0.10894941634241248</v>
      </c>
      <c r="O1611">
        <f>IFERROR($J1611/IF($A1611&lt;COUNTIFS($K$1:O$1,"&lt;&gt;"),0,SUMIFS($J:$J,$B:$B,$B1611,$A:$A,"&gt;="&amp;COUNTIFS($K$1:O$1,"&lt;&gt;"))),0)</f>
        <v>0.12389380530973454</v>
      </c>
      <c r="P1611">
        <f>IFERROR($J1611/IF($A1611&lt;COUNTIFS($K$1:P$1,"&lt;&gt;"),0,SUMIFS($J:$J,$B:$B,$B1611,$A:$A,"&gt;="&amp;COUNTIFS($K$1:P$1,"&lt;&gt;"))),0)</f>
        <v>0.14285714285714288</v>
      </c>
      <c r="Q1611">
        <f>IFERROR($J1611/IF($A1611&lt;COUNTIFS($K$1:Q$1,"&lt;&gt;"),0,SUMIFS($J:$J,$B:$B,$B1611,$A:$A,"&gt;="&amp;COUNTIFS($K$1:Q$1,"&lt;&gt;"))),0)</f>
        <v>0.16969696969696971</v>
      </c>
      <c r="R1611">
        <f>IFERROR($J1611/IF($A1611&lt;COUNTIFS($K$1:R$1,"&lt;&gt;"),0,SUMIFS($J:$J,$B:$B,$B1611,$A:$A,"&gt;="&amp;COUNTIFS($K$1:R$1,"&lt;&gt;"))),0)</f>
        <v>0.20740740740740743</v>
      </c>
      <c r="S1611">
        <f>IFERROR($J1611/IF($A1611&lt;COUNTIFS($K$1:S$1,"&lt;&gt;"),0,SUMIFS($J:$J,$B:$B,$B1611,$A:$A,"&gt;="&amp;COUNTIFS($K$1:S$1,"&lt;&gt;"))),0)</f>
        <v>0.26923076923076927</v>
      </c>
      <c r="T1611">
        <f>IFERROR($J1611/IF($A1611&lt;COUNTIFS($K$1:T$1,"&lt;&gt;"),0,SUMIFS($J:$J,$B:$B,$B1611,$A:$A,"&gt;="&amp;COUNTIFS($K$1:T$1,"&lt;&gt;"))),0)</f>
        <v>0.38356164383561642</v>
      </c>
      <c r="U1611">
        <f>IFERROR($J1611/IF($A1611&lt;COUNTIFS($K$1:U$1,"&lt;&gt;"),0,SUMIFS($J:$J,$B:$B,$B1611,$A:$A,"&gt;="&amp;COUNTIFS($K$1:U$1,"&lt;&gt;"))),0)</f>
        <v>0</v>
      </c>
      <c r="V1611">
        <f>IFERROR($J1611/IF($A1611&lt;COUNTIFS($K$1:V$1,"&lt;&gt;"),0,SUMIFS($J:$J,$B:$B,$B1611,$A:$A,"&gt;="&amp;COUNTIFS($K$1:V$1,"&lt;&gt;"))),0)</f>
        <v>0</v>
      </c>
      <c r="W1611">
        <f t="shared" si="574"/>
        <v>7.6712328767123292E-2</v>
      </c>
      <c r="X1611">
        <f t="shared" si="554"/>
        <v>7.6712328767123292E-2</v>
      </c>
      <c r="Y1611">
        <f t="shared" si="555"/>
        <v>7.6712328767123292E-2</v>
      </c>
      <c r="Z1611">
        <f t="shared" si="556"/>
        <v>7.6712328767123292E-2</v>
      </c>
      <c r="AA1611">
        <f t="shared" si="557"/>
        <v>7.6712328767123292E-2</v>
      </c>
      <c r="AB1611">
        <f t="shared" si="558"/>
        <v>7.6712328767123292E-2</v>
      </c>
      <c r="AC1611">
        <f t="shared" si="559"/>
        <v>7.6712328767123292E-2</v>
      </c>
      <c r="AD1611">
        <f t="shared" si="560"/>
        <v>7.6712328767123292E-2</v>
      </c>
      <c r="AE1611">
        <f t="shared" si="561"/>
        <v>7.6712328767123292E-2</v>
      </c>
      <c r="AF1611">
        <f t="shared" si="562"/>
        <v>7.6712328767123292E-2</v>
      </c>
      <c r="AG1611">
        <f t="shared" si="563"/>
        <v>7.6712328767123292E-2</v>
      </c>
      <c r="AH1611">
        <f t="shared" si="564"/>
        <v>0</v>
      </c>
      <c r="AI1611">
        <f t="shared" si="565"/>
        <v>0</v>
      </c>
      <c r="AJ1611" s="2" t="str">
        <f t="shared" si="575"/>
        <v>1047574</v>
      </c>
    </row>
    <row r="1612" spans="1:36" x14ac:dyDescent="0.25">
      <c r="A1612">
        <v>11</v>
      </c>
      <c r="B1612" s="1">
        <v>47574</v>
      </c>
      <c r="C1612" s="1">
        <f t="shared" si="566"/>
        <v>47908</v>
      </c>
      <c r="D1612" s="1">
        <f t="shared" si="567"/>
        <v>47588</v>
      </c>
      <c r="E1612" s="1">
        <f t="shared" si="568"/>
        <v>47908</v>
      </c>
      <c r="F1612" s="1">
        <f t="shared" si="569"/>
        <v>47939</v>
      </c>
      <c r="G1612" s="1">
        <f t="shared" si="570"/>
        <v>47953</v>
      </c>
      <c r="H1612">
        <f t="shared" si="571"/>
        <v>365</v>
      </c>
      <c r="I1612">
        <f t="shared" si="572"/>
        <v>31</v>
      </c>
      <c r="J1612">
        <f t="shared" si="573"/>
        <v>8.4931506849315067E-2</v>
      </c>
      <c r="K1612">
        <f>IFERROR($J1612/IF($A1612&lt;COUNTIFS($K$1:K$1,"&lt;&gt;"),0,SUMIFS($J:$J,$B:$B,$B1612,$A:$A,"&gt;="&amp;COUNTIFS($K$1:K$1,"&lt;&gt;"))),0)</f>
        <v>8.8825214899713484E-2</v>
      </c>
      <c r="L1612">
        <f>IFERROR($J1612/IF($A1612&lt;COUNTIFS($K$1:L$1,"&lt;&gt;"),0,SUMIFS($J:$J,$B:$B,$B1612,$A:$A,"&gt;="&amp;COUNTIFS($K$1:L$1,"&lt;&gt;"))),0)</f>
        <v>9.7484276729559768E-2</v>
      </c>
      <c r="M1612">
        <f>IFERROR($J1612/IF($A1612&lt;COUNTIFS($K$1:M$1,"&lt;&gt;"),0,SUMIFS($J:$J,$B:$B,$B1612,$A:$A,"&gt;="&amp;COUNTIFS($K$1:M$1,"&lt;&gt;"))),0)</f>
        <v>0.10763888888888891</v>
      </c>
      <c r="N1612">
        <f>IFERROR($J1612/IF($A1612&lt;COUNTIFS($K$1:N$1,"&lt;&gt;"),0,SUMIFS($J:$J,$B:$B,$B1612,$A:$A,"&gt;="&amp;COUNTIFS($K$1:N$1,"&lt;&gt;"))),0)</f>
        <v>0.12062256809338523</v>
      </c>
      <c r="O1612">
        <f>IFERROR($J1612/IF($A1612&lt;COUNTIFS($K$1:O$1,"&lt;&gt;"),0,SUMIFS($J:$J,$B:$B,$B1612,$A:$A,"&gt;="&amp;COUNTIFS($K$1:O$1,"&lt;&gt;"))),0)</f>
        <v>0.13716814159292037</v>
      </c>
      <c r="P1612">
        <f>IFERROR($J1612/IF($A1612&lt;COUNTIFS($K$1:P$1,"&lt;&gt;"),0,SUMIFS($J:$J,$B:$B,$B1612,$A:$A,"&gt;="&amp;COUNTIFS($K$1:P$1,"&lt;&gt;"))),0)</f>
        <v>0.15816326530612249</v>
      </c>
      <c r="Q1612">
        <f>IFERROR($J1612/IF($A1612&lt;COUNTIFS($K$1:Q$1,"&lt;&gt;"),0,SUMIFS($J:$J,$B:$B,$B1612,$A:$A,"&gt;="&amp;COUNTIFS($K$1:Q$1,"&lt;&gt;"))),0)</f>
        <v>0.1878787878787879</v>
      </c>
      <c r="R1612">
        <f>IFERROR($J1612/IF($A1612&lt;COUNTIFS($K$1:R$1,"&lt;&gt;"),0,SUMIFS($J:$J,$B:$B,$B1612,$A:$A,"&gt;="&amp;COUNTIFS($K$1:R$1,"&lt;&gt;"))),0)</f>
        <v>0.22962962962962963</v>
      </c>
      <c r="S1612">
        <f>IFERROR($J1612/IF($A1612&lt;COUNTIFS($K$1:S$1,"&lt;&gt;"),0,SUMIFS($J:$J,$B:$B,$B1612,$A:$A,"&gt;="&amp;COUNTIFS($K$1:S$1,"&lt;&gt;"))),0)</f>
        <v>0.29807692307692307</v>
      </c>
      <c r="T1612">
        <f>IFERROR($J1612/IF($A1612&lt;COUNTIFS($K$1:T$1,"&lt;&gt;"),0,SUMIFS($J:$J,$B:$B,$B1612,$A:$A,"&gt;="&amp;COUNTIFS($K$1:T$1,"&lt;&gt;"))),0)</f>
        <v>0.42465753424657532</v>
      </c>
      <c r="U1612">
        <f>IFERROR($J1612/IF($A1612&lt;COUNTIFS($K$1:U$1,"&lt;&gt;"),0,SUMIFS($J:$J,$B:$B,$B1612,$A:$A,"&gt;="&amp;COUNTIFS($K$1:U$1,"&lt;&gt;"))),0)</f>
        <v>0.68888888888888888</v>
      </c>
      <c r="V1612">
        <f>IFERROR($J1612/IF($A1612&lt;COUNTIFS($K$1:V$1,"&lt;&gt;"),0,SUMIFS($J:$J,$B:$B,$B1612,$A:$A,"&gt;="&amp;COUNTIFS($K$1:V$1,"&lt;&gt;"))),0)</f>
        <v>0</v>
      </c>
      <c r="W1612">
        <f t="shared" si="574"/>
        <v>8.4931506849315067E-2</v>
      </c>
      <c r="X1612">
        <f t="shared" si="554"/>
        <v>8.4931506849315067E-2</v>
      </c>
      <c r="Y1612">
        <f t="shared" si="555"/>
        <v>8.4931506849315067E-2</v>
      </c>
      <c r="Z1612">
        <f t="shared" si="556"/>
        <v>8.4931506849315067E-2</v>
      </c>
      <c r="AA1612">
        <f t="shared" si="557"/>
        <v>8.4931506849315067E-2</v>
      </c>
      <c r="AB1612">
        <f t="shared" si="558"/>
        <v>8.4931506849315067E-2</v>
      </c>
      <c r="AC1612">
        <f t="shared" si="559"/>
        <v>8.4931506849315067E-2</v>
      </c>
      <c r="AD1612">
        <f t="shared" si="560"/>
        <v>8.4931506849315067E-2</v>
      </c>
      <c r="AE1612">
        <f t="shared" si="561"/>
        <v>8.4931506849315067E-2</v>
      </c>
      <c r="AF1612">
        <f t="shared" si="562"/>
        <v>8.4931506849315067E-2</v>
      </c>
      <c r="AG1612">
        <f t="shared" si="563"/>
        <v>8.4931506849315067E-2</v>
      </c>
      <c r="AH1612">
        <f t="shared" si="564"/>
        <v>8.4931506849315067E-2</v>
      </c>
      <c r="AI1612">
        <f t="shared" si="565"/>
        <v>0</v>
      </c>
      <c r="AJ1612" s="2" t="str">
        <f t="shared" si="575"/>
        <v>1147574</v>
      </c>
    </row>
    <row r="1613" spans="1:36" x14ac:dyDescent="0.25">
      <c r="A1613">
        <v>12</v>
      </c>
      <c r="B1613" s="1">
        <v>47574</v>
      </c>
      <c r="C1613" s="1">
        <f t="shared" si="566"/>
        <v>47939</v>
      </c>
      <c r="D1613" s="1">
        <f t="shared" si="567"/>
        <v>47588</v>
      </c>
      <c r="E1613" s="1">
        <f t="shared" si="568"/>
        <v>47939</v>
      </c>
      <c r="F1613" s="1">
        <f t="shared" si="569"/>
        <v>47953</v>
      </c>
      <c r="G1613" s="1">
        <f t="shared" si="570"/>
        <v>47953</v>
      </c>
      <c r="H1613">
        <f t="shared" si="571"/>
        <v>365</v>
      </c>
      <c r="I1613">
        <f t="shared" si="572"/>
        <v>14</v>
      </c>
      <c r="J1613">
        <f t="shared" si="573"/>
        <v>3.8356164383561646E-2</v>
      </c>
      <c r="K1613">
        <f>IFERROR($J1613/IF($A1613&lt;COUNTIFS($K$1:K$1,"&lt;&gt;"),0,SUMIFS($J:$J,$B:$B,$B1613,$A:$A,"&gt;="&amp;COUNTIFS($K$1:K$1,"&lt;&gt;"))),0)</f>
        <v>4.0114613180515769E-2</v>
      </c>
      <c r="L1613">
        <f>IFERROR($J1613/IF($A1613&lt;COUNTIFS($K$1:L$1,"&lt;&gt;"),0,SUMIFS($J:$J,$B:$B,$B1613,$A:$A,"&gt;="&amp;COUNTIFS($K$1:L$1,"&lt;&gt;"))),0)</f>
        <v>4.4025157232704414E-2</v>
      </c>
      <c r="M1613">
        <f>IFERROR($J1613/IF($A1613&lt;COUNTIFS($K$1:M$1,"&lt;&gt;"),0,SUMIFS($J:$J,$B:$B,$B1613,$A:$A,"&gt;="&amp;COUNTIFS($K$1:M$1,"&lt;&gt;"))),0)</f>
        <v>4.8611111111111119E-2</v>
      </c>
      <c r="N1613">
        <f>IFERROR($J1613/IF($A1613&lt;COUNTIFS($K$1:N$1,"&lt;&gt;"),0,SUMIFS($J:$J,$B:$B,$B1613,$A:$A,"&gt;="&amp;COUNTIFS($K$1:N$1,"&lt;&gt;"))),0)</f>
        <v>5.447470817120624E-2</v>
      </c>
      <c r="O1613">
        <f>IFERROR($J1613/IF($A1613&lt;COUNTIFS($K$1:O$1,"&lt;&gt;"),0,SUMIFS($J:$J,$B:$B,$B1613,$A:$A,"&gt;="&amp;COUNTIFS($K$1:O$1,"&lt;&gt;"))),0)</f>
        <v>6.194690265486727E-2</v>
      </c>
      <c r="P1613">
        <f>IFERROR($J1613/IF($A1613&lt;COUNTIFS($K$1:P$1,"&lt;&gt;"),0,SUMIFS($J:$J,$B:$B,$B1613,$A:$A,"&gt;="&amp;COUNTIFS($K$1:P$1,"&lt;&gt;"))),0)</f>
        <v>7.1428571428571438E-2</v>
      </c>
      <c r="Q1613">
        <f>IFERROR($J1613/IF($A1613&lt;COUNTIFS($K$1:Q$1,"&lt;&gt;"),0,SUMIFS($J:$J,$B:$B,$B1613,$A:$A,"&gt;="&amp;COUNTIFS($K$1:Q$1,"&lt;&gt;"))),0)</f>
        <v>8.4848484848484854E-2</v>
      </c>
      <c r="R1613">
        <f>IFERROR($J1613/IF($A1613&lt;COUNTIFS($K$1:R$1,"&lt;&gt;"),0,SUMIFS($J:$J,$B:$B,$B1613,$A:$A,"&gt;="&amp;COUNTIFS($K$1:R$1,"&lt;&gt;"))),0)</f>
        <v>0.10370370370370371</v>
      </c>
      <c r="S1613">
        <f>IFERROR($J1613/IF($A1613&lt;COUNTIFS($K$1:S$1,"&lt;&gt;"),0,SUMIFS($J:$J,$B:$B,$B1613,$A:$A,"&gt;="&amp;COUNTIFS($K$1:S$1,"&lt;&gt;"))),0)</f>
        <v>0.13461538461538464</v>
      </c>
      <c r="T1613">
        <f>IFERROR($J1613/IF($A1613&lt;COUNTIFS($K$1:T$1,"&lt;&gt;"),0,SUMIFS($J:$J,$B:$B,$B1613,$A:$A,"&gt;="&amp;COUNTIFS($K$1:T$1,"&lt;&gt;"))),0)</f>
        <v>0.19178082191780821</v>
      </c>
      <c r="U1613">
        <f>IFERROR($J1613/IF($A1613&lt;COUNTIFS($K$1:U$1,"&lt;&gt;"),0,SUMIFS($J:$J,$B:$B,$B1613,$A:$A,"&gt;="&amp;COUNTIFS($K$1:U$1,"&lt;&gt;"))),0)</f>
        <v>0.31111111111111117</v>
      </c>
      <c r="V1613">
        <f>IFERROR($J1613/IF($A1613&lt;COUNTIFS($K$1:V$1,"&lt;&gt;"),0,SUMIFS($J:$J,$B:$B,$B1613,$A:$A,"&gt;="&amp;COUNTIFS($K$1:V$1,"&lt;&gt;"))),0)</f>
        <v>1</v>
      </c>
      <c r="W1613">
        <f t="shared" si="574"/>
        <v>3.8356164383561646E-2</v>
      </c>
      <c r="X1613">
        <f t="shared" si="554"/>
        <v>3.8356164383561646E-2</v>
      </c>
      <c r="Y1613">
        <f t="shared" si="555"/>
        <v>3.8356164383561646E-2</v>
      </c>
      <c r="Z1613">
        <f t="shared" si="556"/>
        <v>3.8356164383561646E-2</v>
      </c>
      <c r="AA1613">
        <f t="shared" si="557"/>
        <v>3.8356164383561646E-2</v>
      </c>
      <c r="AB1613">
        <f t="shared" si="558"/>
        <v>3.8356164383561646E-2</v>
      </c>
      <c r="AC1613">
        <f t="shared" si="559"/>
        <v>3.8356164383561646E-2</v>
      </c>
      <c r="AD1613">
        <f t="shared" si="560"/>
        <v>3.8356164383561646E-2</v>
      </c>
      <c r="AE1613">
        <f t="shared" si="561"/>
        <v>3.8356164383561646E-2</v>
      </c>
      <c r="AF1613">
        <f t="shared" si="562"/>
        <v>3.8356164383561646E-2</v>
      </c>
      <c r="AG1613">
        <f t="shared" si="563"/>
        <v>3.8356164383561646E-2</v>
      </c>
      <c r="AH1613">
        <f t="shared" si="564"/>
        <v>3.8356164383561646E-2</v>
      </c>
      <c r="AI1613">
        <f t="shared" si="565"/>
        <v>3.8356164383561646E-2</v>
      </c>
      <c r="AJ1613" s="2" t="str">
        <f t="shared" si="575"/>
        <v>1247574</v>
      </c>
    </row>
    <row r="1614" spans="1:36" x14ac:dyDescent="0.25">
      <c r="A1614">
        <v>0</v>
      </c>
      <c r="B1614" s="1">
        <v>47604</v>
      </c>
      <c r="C1614" s="1">
        <f t="shared" si="566"/>
        <v>47604</v>
      </c>
      <c r="D1614" s="1">
        <f t="shared" si="567"/>
        <v>47618</v>
      </c>
      <c r="E1614" s="1">
        <f t="shared" si="568"/>
        <v>47618</v>
      </c>
      <c r="F1614" s="1">
        <f t="shared" si="569"/>
        <v>47635</v>
      </c>
      <c r="G1614" s="1">
        <f t="shared" si="570"/>
        <v>47983</v>
      </c>
      <c r="H1614">
        <f t="shared" si="571"/>
        <v>365</v>
      </c>
      <c r="I1614">
        <f t="shared" si="572"/>
        <v>17</v>
      </c>
      <c r="J1614">
        <f t="shared" si="573"/>
        <v>4.6575342465753428E-2</v>
      </c>
      <c r="K1614">
        <f>IFERROR($J1614/IF($A1614&lt;COUNTIFS($K$1:K$1,"&lt;&gt;"),0,SUMIFS($J:$J,$B:$B,$B1614,$A:$A,"&gt;="&amp;COUNTIFS($K$1:K$1,"&lt;&gt;"))),0)</f>
        <v>0</v>
      </c>
      <c r="L1614">
        <f>IFERROR($J1614/IF($A1614&lt;COUNTIFS($K$1:L$1,"&lt;&gt;"),0,SUMIFS($J:$J,$B:$B,$B1614,$A:$A,"&gt;="&amp;COUNTIFS($K$1:L$1,"&lt;&gt;"))),0)</f>
        <v>0</v>
      </c>
      <c r="M1614">
        <f>IFERROR($J1614/IF($A1614&lt;COUNTIFS($K$1:M$1,"&lt;&gt;"),0,SUMIFS($J:$J,$B:$B,$B1614,$A:$A,"&gt;="&amp;COUNTIFS($K$1:M$1,"&lt;&gt;"))),0)</f>
        <v>0</v>
      </c>
      <c r="N1614">
        <f>IFERROR($J1614/IF($A1614&lt;COUNTIFS($K$1:N$1,"&lt;&gt;"),0,SUMIFS($J:$J,$B:$B,$B1614,$A:$A,"&gt;="&amp;COUNTIFS($K$1:N$1,"&lt;&gt;"))),0)</f>
        <v>0</v>
      </c>
      <c r="O1614">
        <f>IFERROR($J1614/IF($A1614&lt;COUNTIFS($K$1:O$1,"&lt;&gt;"),0,SUMIFS($J:$J,$B:$B,$B1614,$A:$A,"&gt;="&amp;COUNTIFS($K$1:O$1,"&lt;&gt;"))),0)</f>
        <v>0</v>
      </c>
      <c r="P1614">
        <f>IFERROR($J1614/IF($A1614&lt;COUNTIFS($K$1:P$1,"&lt;&gt;"),0,SUMIFS($J:$J,$B:$B,$B1614,$A:$A,"&gt;="&amp;COUNTIFS($K$1:P$1,"&lt;&gt;"))),0)</f>
        <v>0</v>
      </c>
      <c r="Q1614">
        <f>IFERROR($J1614/IF($A1614&lt;COUNTIFS($K$1:Q$1,"&lt;&gt;"),0,SUMIFS($J:$J,$B:$B,$B1614,$A:$A,"&gt;="&amp;COUNTIFS($K$1:Q$1,"&lt;&gt;"))),0)</f>
        <v>0</v>
      </c>
      <c r="R1614">
        <f>IFERROR($J1614/IF($A1614&lt;COUNTIFS($K$1:R$1,"&lt;&gt;"),0,SUMIFS($J:$J,$B:$B,$B1614,$A:$A,"&gt;="&amp;COUNTIFS($K$1:R$1,"&lt;&gt;"))),0)</f>
        <v>0</v>
      </c>
      <c r="S1614">
        <f>IFERROR($J1614/IF($A1614&lt;COUNTIFS($K$1:S$1,"&lt;&gt;"),0,SUMIFS($J:$J,$B:$B,$B1614,$A:$A,"&gt;="&amp;COUNTIFS($K$1:S$1,"&lt;&gt;"))),0)</f>
        <v>0</v>
      </c>
      <c r="T1614">
        <f>IFERROR($J1614/IF($A1614&lt;COUNTIFS($K$1:T$1,"&lt;&gt;"),0,SUMIFS($J:$J,$B:$B,$B1614,$A:$A,"&gt;="&amp;COUNTIFS($K$1:T$1,"&lt;&gt;"))),0)</f>
        <v>0</v>
      </c>
      <c r="U1614">
        <f>IFERROR($J1614/IF($A1614&lt;COUNTIFS($K$1:U$1,"&lt;&gt;"),0,SUMIFS($J:$J,$B:$B,$B1614,$A:$A,"&gt;="&amp;COUNTIFS($K$1:U$1,"&lt;&gt;"))),0)</f>
        <v>0</v>
      </c>
      <c r="V1614">
        <f>IFERROR($J1614/IF($A1614&lt;COUNTIFS($K$1:V$1,"&lt;&gt;"),0,SUMIFS($J:$J,$B:$B,$B1614,$A:$A,"&gt;="&amp;COUNTIFS($K$1:V$1,"&lt;&gt;"))),0)</f>
        <v>0</v>
      </c>
      <c r="W1614">
        <f t="shared" si="574"/>
        <v>4.6575342465753428E-2</v>
      </c>
      <c r="X1614">
        <f t="shared" si="554"/>
        <v>0</v>
      </c>
      <c r="Y1614">
        <f t="shared" si="555"/>
        <v>0</v>
      </c>
      <c r="Z1614">
        <f t="shared" si="556"/>
        <v>0</v>
      </c>
      <c r="AA1614">
        <f t="shared" si="557"/>
        <v>0</v>
      </c>
      <c r="AB1614">
        <f t="shared" si="558"/>
        <v>0</v>
      </c>
      <c r="AC1614">
        <f t="shared" si="559"/>
        <v>0</v>
      </c>
      <c r="AD1614">
        <f t="shared" si="560"/>
        <v>0</v>
      </c>
      <c r="AE1614">
        <f t="shared" si="561"/>
        <v>0</v>
      </c>
      <c r="AF1614">
        <f t="shared" si="562"/>
        <v>0</v>
      </c>
      <c r="AG1614">
        <f t="shared" si="563"/>
        <v>0</v>
      </c>
      <c r="AH1614">
        <f t="shared" si="564"/>
        <v>0</v>
      </c>
      <c r="AI1614">
        <f t="shared" si="565"/>
        <v>0</v>
      </c>
      <c r="AJ1614" s="2" t="str">
        <f t="shared" si="575"/>
        <v>047604</v>
      </c>
    </row>
    <row r="1615" spans="1:36" x14ac:dyDescent="0.25">
      <c r="A1615">
        <v>1</v>
      </c>
      <c r="B1615" s="1">
        <v>47604</v>
      </c>
      <c r="C1615" s="1">
        <f t="shared" si="566"/>
        <v>47635</v>
      </c>
      <c r="D1615" s="1">
        <f t="shared" si="567"/>
        <v>47618</v>
      </c>
      <c r="E1615" s="1">
        <f t="shared" si="568"/>
        <v>47635</v>
      </c>
      <c r="F1615" s="1">
        <f t="shared" si="569"/>
        <v>47665</v>
      </c>
      <c r="G1615" s="1">
        <f t="shared" si="570"/>
        <v>47983</v>
      </c>
      <c r="H1615">
        <f t="shared" si="571"/>
        <v>365</v>
      </c>
      <c r="I1615">
        <f t="shared" si="572"/>
        <v>30</v>
      </c>
      <c r="J1615">
        <f t="shared" si="573"/>
        <v>8.2191780821917804E-2</v>
      </c>
      <c r="K1615">
        <f>IFERROR($J1615/IF($A1615&lt;COUNTIFS($K$1:K$1,"&lt;&gt;"),0,SUMIFS($J:$J,$B:$B,$B1615,$A:$A,"&gt;="&amp;COUNTIFS($K$1:K$1,"&lt;&gt;"))),0)</f>
        <v>8.6206896551724144E-2</v>
      </c>
      <c r="L1615">
        <f>IFERROR($J1615/IF($A1615&lt;COUNTIFS($K$1:L$1,"&lt;&gt;"),0,SUMIFS($J:$J,$B:$B,$B1615,$A:$A,"&gt;="&amp;COUNTIFS($K$1:L$1,"&lt;&gt;"))),0)</f>
        <v>0</v>
      </c>
      <c r="M1615">
        <f>IFERROR($J1615/IF($A1615&lt;COUNTIFS($K$1:M$1,"&lt;&gt;"),0,SUMIFS($J:$J,$B:$B,$B1615,$A:$A,"&gt;="&amp;COUNTIFS($K$1:M$1,"&lt;&gt;"))),0)</f>
        <v>0</v>
      </c>
      <c r="N1615">
        <f>IFERROR($J1615/IF($A1615&lt;COUNTIFS($K$1:N$1,"&lt;&gt;"),0,SUMIFS($J:$J,$B:$B,$B1615,$A:$A,"&gt;="&amp;COUNTIFS($K$1:N$1,"&lt;&gt;"))),0)</f>
        <v>0</v>
      </c>
      <c r="O1615">
        <f>IFERROR($J1615/IF($A1615&lt;COUNTIFS($K$1:O$1,"&lt;&gt;"),0,SUMIFS($J:$J,$B:$B,$B1615,$A:$A,"&gt;="&amp;COUNTIFS($K$1:O$1,"&lt;&gt;"))),0)</f>
        <v>0</v>
      </c>
      <c r="P1615">
        <f>IFERROR($J1615/IF($A1615&lt;COUNTIFS($K$1:P$1,"&lt;&gt;"),0,SUMIFS($J:$J,$B:$B,$B1615,$A:$A,"&gt;="&amp;COUNTIFS($K$1:P$1,"&lt;&gt;"))),0)</f>
        <v>0</v>
      </c>
      <c r="Q1615">
        <f>IFERROR($J1615/IF($A1615&lt;COUNTIFS($K$1:Q$1,"&lt;&gt;"),0,SUMIFS($J:$J,$B:$B,$B1615,$A:$A,"&gt;="&amp;COUNTIFS($K$1:Q$1,"&lt;&gt;"))),0)</f>
        <v>0</v>
      </c>
      <c r="R1615">
        <f>IFERROR($J1615/IF($A1615&lt;COUNTIFS($K$1:R$1,"&lt;&gt;"),0,SUMIFS($J:$J,$B:$B,$B1615,$A:$A,"&gt;="&amp;COUNTIFS($K$1:R$1,"&lt;&gt;"))),0)</f>
        <v>0</v>
      </c>
      <c r="S1615">
        <f>IFERROR($J1615/IF($A1615&lt;COUNTIFS($K$1:S$1,"&lt;&gt;"),0,SUMIFS($J:$J,$B:$B,$B1615,$A:$A,"&gt;="&amp;COUNTIFS($K$1:S$1,"&lt;&gt;"))),0)</f>
        <v>0</v>
      </c>
      <c r="T1615">
        <f>IFERROR($J1615/IF($A1615&lt;COUNTIFS($K$1:T$1,"&lt;&gt;"),0,SUMIFS($J:$J,$B:$B,$B1615,$A:$A,"&gt;="&amp;COUNTIFS($K$1:T$1,"&lt;&gt;"))),0)</f>
        <v>0</v>
      </c>
      <c r="U1615">
        <f>IFERROR($J1615/IF($A1615&lt;COUNTIFS($K$1:U$1,"&lt;&gt;"),0,SUMIFS($J:$J,$B:$B,$B1615,$A:$A,"&gt;="&amp;COUNTIFS($K$1:U$1,"&lt;&gt;"))),0)</f>
        <v>0</v>
      </c>
      <c r="V1615">
        <f>IFERROR($J1615/IF($A1615&lt;COUNTIFS($K$1:V$1,"&lt;&gt;"),0,SUMIFS($J:$J,$B:$B,$B1615,$A:$A,"&gt;="&amp;COUNTIFS($K$1:V$1,"&lt;&gt;"))),0)</f>
        <v>0</v>
      </c>
      <c r="W1615">
        <f t="shared" si="574"/>
        <v>8.2191780821917804E-2</v>
      </c>
      <c r="X1615">
        <f t="shared" si="554"/>
        <v>8.2191780821917804E-2</v>
      </c>
      <c r="Y1615">
        <f t="shared" si="555"/>
        <v>0</v>
      </c>
      <c r="Z1615">
        <f t="shared" si="556"/>
        <v>0</v>
      </c>
      <c r="AA1615">
        <f t="shared" si="557"/>
        <v>0</v>
      </c>
      <c r="AB1615">
        <f t="shared" si="558"/>
        <v>0</v>
      </c>
      <c r="AC1615">
        <f t="shared" si="559"/>
        <v>0</v>
      </c>
      <c r="AD1615">
        <f t="shared" si="560"/>
        <v>0</v>
      </c>
      <c r="AE1615">
        <f t="shared" si="561"/>
        <v>0</v>
      </c>
      <c r="AF1615">
        <f t="shared" si="562"/>
        <v>0</v>
      </c>
      <c r="AG1615">
        <f t="shared" si="563"/>
        <v>0</v>
      </c>
      <c r="AH1615">
        <f t="shared" si="564"/>
        <v>0</v>
      </c>
      <c r="AI1615">
        <f t="shared" si="565"/>
        <v>0</v>
      </c>
      <c r="AJ1615" s="2" t="str">
        <f t="shared" si="575"/>
        <v>147604</v>
      </c>
    </row>
    <row r="1616" spans="1:36" x14ac:dyDescent="0.25">
      <c r="A1616">
        <v>2</v>
      </c>
      <c r="B1616" s="1">
        <v>47604</v>
      </c>
      <c r="C1616" s="1">
        <f t="shared" si="566"/>
        <v>47665</v>
      </c>
      <c r="D1616" s="1">
        <f t="shared" si="567"/>
        <v>47618</v>
      </c>
      <c r="E1616" s="1">
        <f t="shared" si="568"/>
        <v>47665</v>
      </c>
      <c r="F1616" s="1">
        <f t="shared" si="569"/>
        <v>47696</v>
      </c>
      <c r="G1616" s="1">
        <f t="shared" si="570"/>
        <v>47983</v>
      </c>
      <c r="H1616">
        <f t="shared" si="571"/>
        <v>365</v>
      </c>
      <c r="I1616">
        <f t="shared" si="572"/>
        <v>31</v>
      </c>
      <c r="J1616">
        <f t="shared" si="573"/>
        <v>8.4931506849315067E-2</v>
      </c>
      <c r="K1616">
        <f>IFERROR($J1616/IF($A1616&lt;COUNTIFS($K$1:K$1,"&lt;&gt;"),0,SUMIFS($J:$J,$B:$B,$B1616,$A:$A,"&gt;="&amp;COUNTIFS($K$1:K$1,"&lt;&gt;"))),0)</f>
        <v>8.9080459770114959E-2</v>
      </c>
      <c r="L1616">
        <f>IFERROR($J1616/IF($A1616&lt;COUNTIFS($K$1:L$1,"&lt;&gt;"),0,SUMIFS($J:$J,$B:$B,$B1616,$A:$A,"&gt;="&amp;COUNTIFS($K$1:L$1,"&lt;&gt;"))),0)</f>
        <v>9.7484276729559768E-2</v>
      </c>
      <c r="M1616">
        <f>IFERROR($J1616/IF($A1616&lt;COUNTIFS($K$1:M$1,"&lt;&gt;"),0,SUMIFS($J:$J,$B:$B,$B1616,$A:$A,"&gt;="&amp;COUNTIFS($K$1:M$1,"&lt;&gt;"))),0)</f>
        <v>0</v>
      </c>
      <c r="N1616">
        <f>IFERROR($J1616/IF($A1616&lt;COUNTIFS($K$1:N$1,"&lt;&gt;"),0,SUMIFS($J:$J,$B:$B,$B1616,$A:$A,"&gt;="&amp;COUNTIFS($K$1:N$1,"&lt;&gt;"))),0)</f>
        <v>0</v>
      </c>
      <c r="O1616">
        <f>IFERROR($J1616/IF($A1616&lt;COUNTIFS($K$1:O$1,"&lt;&gt;"),0,SUMIFS($J:$J,$B:$B,$B1616,$A:$A,"&gt;="&amp;COUNTIFS($K$1:O$1,"&lt;&gt;"))),0)</f>
        <v>0</v>
      </c>
      <c r="P1616">
        <f>IFERROR($J1616/IF($A1616&lt;COUNTIFS($K$1:P$1,"&lt;&gt;"),0,SUMIFS($J:$J,$B:$B,$B1616,$A:$A,"&gt;="&amp;COUNTIFS($K$1:P$1,"&lt;&gt;"))),0)</f>
        <v>0</v>
      </c>
      <c r="Q1616">
        <f>IFERROR($J1616/IF($A1616&lt;COUNTIFS($K$1:Q$1,"&lt;&gt;"),0,SUMIFS($J:$J,$B:$B,$B1616,$A:$A,"&gt;="&amp;COUNTIFS($K$1:Q$1,"&lt;&gt;"))),0)</f>
        <v>0</v>
      </c>
      <c r="R1616">
        <f>IFERROR($J1616/IF($A1616&lt;COUNTIFS($K$1:R$1,"&lt;&gt;"),0,SUMIFS($J:$J,$B:$B,$B1616,$A:$A,"&gt;="&amp;COUNTIFS($K$1:R$1,"&lt;&gt;"))),0)</f>
        <v>0</v>
      </c>
      <c r="S1616">
        <f>IFERROR($J1616/IF($A1616&lt;COUNTIFS($K$1:S$1,"&lt;&gt;"),0,SUMIFS($J:$J,$B:$B,$B1616,$A:$A,"&gt;="&amp;COUNTIFS($K$1:S$1,"&lt;&gt;"))),0)</f>
        <v>0</v>
      </c>
      <c r="T1616">
        <f>IFERROR($J1616/IF($A1616&lt;COUNTIFS($K$1:T$1,"&lt;&gt;"),0,SUMIFS($J:$J,$B:$B,$B1616,$A:$A,"&gt;="&amp;COUNTIFS($K$1:T$1,"&lt;&gt;"))),0)</f>
        <v>0</v>
      </c>
      <c r="U1616">
        <f>IFERROR($J1616/IF($A1616&lt;COUNTIFS($K$1:U$1,"&lt;&gt;"),0,SUMIFS($J:$J,$B:$B,$B1616,$A:$A,"&gt;="&amp;COUNTIFS($K$1:U$1,"&lt;&gt;"))),0)</f>
        <v>0</v>
      </c>
      <c r="V1616">
        <f>IFERROR($J1616/IF($A1616&lt;COUNTIFS($K$1:V$1,"&lt;&gt;"),0,SUMIFS($J:$J,$B:$B,$B1616,$A:$A,"&gt;="&amp;COUNTIFS($K$1:V$1,"&lt;&gt;"))),0)</f>
        <v>0</v>
      </c>
      <c r="W1616">
        <f t="shared" si="574"/>
        <v>8.4931506849315067E-2</v>
      </c>
      <c r="X1616">
        <f t="shared" si="554"/>
        <v>8.4931506849315067E-2</v>
      </c>
      <c r="Y1616">
        <f t="shared" si="555"/>
        <v>8.4931506849315067E-2</v>
      </c>
      <c r="Z1616">
        <f t="shared" si="556"/>
        <v>0</v>
      </c>
      <c r="AA1616">
        <f t="shared" si="557"/>
        <v>0</v>
      </c>
      <c r="AB1616">
        <f t="shared" si="558"/>
        <v>0</v>
      </c>
      <c r="AC1616">
        <f t="shared" si="559"/>
        <v>0</v>
      </c>
      <c r="AD1616">
        <f t="shared" si="560"/>
        <v>0</v>
      </c>
      <c r="AE1616">
        <f t="shared" si="561"/>
        <v>0</v>
      </c>
      <c r="AF1616">
        <f t="shared" si="562"/>
        <v>0</v>
      </c>
      <c r="AG1616">
        <f t="shared" si="563"/>
        <v>0</v>
      </c>
      <c r="AH1616">
        <f t="shared" si="564"/>
        <v>0</v>
      </c>
      <c r="AI1616">
        <f t="shared" si="565"/>
        <v>0</v>
      </c>
      <c r="AJ1616" s="2" t="str">
        <f t="shared" si="575"/>
        <v>247604</v>
      </c>
    </row>
    <row r="1617" spans="1:36" x14ac:dyDescent="0.25">
      <c r="A1617">
        <v>3</v>
      </c>
      <c r="B1617" s="1">
        <v>47604</v>
      </c>
      <c r="C1617" s="1">
        <f t="shared" si="566"/>
        <v>47696</v>
      </c>
      <c r="D1617" s="1">
        <f t="shared" si="567"/>
        <v>47618</v>
      </c>
      <c r="E1617" s="1">
        <f t="shared" si="568"/>
        <v>47696</v>
      </c>
      <c r="F1617" s="1">
        <f t="shared" si="569"/>
        <v>47727</v>
      </c>
      <c r="G1617" s="1">
        <f t="shared" si="570"/>
        <v>47983</v>
      </c>
      <c r="H1617">
        <f t="shared" si="571"/>
        <v>365</v>
      </c>
      <c r="I1617">
        <f t="shared" si="572"/>
        <v>31</v>
      </c>
      <c r="J1617">
        <f t="shared" si="573"/>
        <v>8.4931506849315067E-2</v>
      </c>
      <c r="K1617">
        <f>IFERROR($J1617/IF($A1617&lt;COUNTIFS($K$1:K$1,"&lt;&gt;"),0,SUMIFS($J:$J,$B:$B,$B1617,$A:$A,"&gt;="&amp;COUNTIFS($K$1:K$1,"&lt;&gt;"))),0)</f>
        <v>8.9080459770114959E-2</v>
      </c>
      <c r="L1617">
        <f>IFERROR($J1617/IF($A1617&lt;COUNTIFS($K$1:L$1,"&lt;&gt;"),0,SUMIFS($J:$J,$B:$B,$B1617,$A:$A,"&gt;="&amp;COUNTIFS($K$1:L$1,"&lt;&gt;"))),0)</f>
        <v>9.7484276729559768E-2</v>
      </c>
      <c r="M1617">
        <f>IFERROR($J1617/IF($A1617&lt;COUNTIFS($K$1:M$1,"&lt;&gt;"),0,SUMIFS($J:$J,$B:$B,$B1617,$A:$A,"&gt;="&amp;COUNTIFS($K$1:M$1,"&lt;&gt;"))),0)</f>
        <v>0.10801393728222998</v>
      </c>
      <c r="N1617">
        <f>IFERROR($J1617/IF($A1617&lt;COUNTIFS($K$1:N$1,"&lt;&gt;"),0,SUMIFS($J:$J,$B:$B,$B1617,$A:$A,"&gt;="&amp;COUNTIFS($K$1:N$1,"&lt;&gt;"))),0)</f>
        <v>0</v>
      </c>
      <c r="O1617">
        <f>IFERROR($J1617/IF($A1617&lt;COUNTIFS($K$1:O$1,"&lt;&gt;"),0,SUMIFS($J:$J,$B:$B,$B1617,$A:$A,"&gt;="&amp;COUNTIFS($K$1:O$1,"&lt;&gt;"))),0)</f>
        <v>0</v>
      </c>
      <c r="P1617">
        <f>IFERROR($J1617/IF($A1617&lt;COUNTIFS($K$1:P$1,"&lt;&gt;"),0,SUMIFS($J:$J,$B:$B,$B1617,$A:$A,"&gt;="&amp;COUNTIFS($K$1:P$1,"&lt;&gt;"))),0)</f>
        <v>0</v>
      </c>
      <c r="Q1617">
        <f>IFERROR($J1617/IF($A1617&lt;COUNTIFS($K$1:Q$1,"&lt;&gt;"),0,SUMIFS($J:$J,$B:$B,$B1617,$A:$A,"&gt;="&amp;COUNTIFS($K$1:Q$1,"&lt;&gt;"))),0)</f>
        <v>0</v>
      </c>
      <c r="R1617">
        <f>IFERROR($J1617/IF($A1617&lt;COUNTIFS($K$1:R$1,"&lt;&gt;"),0,SUMIFS($J:$J,$B:$B,$B1617,$A:$A,"&gt;="&amp;COUNTIFS($K$1:R$1,"&lt;&gt;"))),0)</f>
        <v>0</v>
      </c>
      <c r="S1617">
        <f>IFERROR($J1617/IF($A1617&lt;COUNTIFS($K$1:S$1,"&lt;&gt;"),0,SUMIFS($J:$J,$B:$B,$B1617,$A:$A,"&gt;="&amp;COUNTIFS($K$1:S$1,"&lt;&gt;"))),0)</f>
        <v>0</v>
      </c>
      <c r="T1617">
        <f>IFERROR($J1617/IF($A1617&lt;COUNTIFS($K$1:T$1,"&lt;&gt;"),0,SUMIFS($J:$J,$B:$B,$B1617,$A:$A,"&gt;="&amp;COUNTIFS($K$1:T$1,"&lt;&gt;"))),0)</f>
        <v>0</v>
      </c>
      <c r="U1617">
        <f>IFERROR($J1617/IF($A1617&lt;COUNTIFS($K$1:U$1,"&lt;&gt;"),0,SUMIFS($J:$J,$B:$B,$B1617,$A:$A,"&gt;="&amp;COUNTIFS($K$1:U$1,"&lt;&gt;"))),0)</f>
        <v>0</v>
      </c>
      <c r="V1617">
        <f>IFERROR($J1617/IF($A1617&lt;COUNTIFS($K$1:V$1,"&lt;&gt;"),0,SUMIFS($J:$J,$B:$B,$B1617,$A:$A,"&gt;="&amp;COUNTIFS($K$1:V$1,"&lt;&gt;"))),0)</f>
        <v>0</v>
      </c>
      <c r="W1617">
        <f t="shared" si="574"/>
        <v>8.4931506849315067E-2</v>
      </c>
      <c r="X1617">
        <f t="shared" si="554"/>
        <v>8.4931506849315067E-2</v>
      </c>
      <c r="Y1617">
        <f t="shared" si="555"/>
        <v>8.4931506849315067E-2</v>
      </c>
      <c r="Z1617">
        <f t="shared" si="556"/>
        <v>8.4931506849315067E-2</v>
      </c>
      <c r="AA1617">
        <f t="shared" si="557"/>
        <v>0</v>
      </c>
      <c r="AB1617">
        <f t="shared" si="558"/>
        <v>0</v>
      </c>
      <c r="AC1617">
        <f t="shared" si="559"/>
        <v>0</v>
      </c>
      <c r="AD1617">
        <f t="shared" si="560"/>
        <v>0</v>
      </c>
      <c r="AE1617">
        <f t="shared" si="561"/>
        <v>0</v>
      </c>
      <c r="AF1617">
        <f t="shared" si="562"/>
        <v>0</v>
      </c>
      <c r="AG1617">
        <f t="shared" si="563"/>
        <v>0</v>
      </c>
      <c r="AH1617">
        <f t="shared" si="564"/>
        <v>0</v>
      </c>
      <c r="AI1617">
        <f t="shared" si="565"/>
        <v>0</v>
      </c>
      <c r="AJ1617" s="2" t="str">
        <f t="shared" si="575"/>
        <v>347604</v>
      </c>
    </row>
    <row r="1618" spans="1:36" x14ac:dyDescent="0.25">
      <c r="A1618">
        <v>4</v>
      </c>
      <c r="B1618" s="1">
        <v>47604</v>
      </c>
      <c r="C1618" s="1">
        <f t="shared" si="566"/>
        <v>47727</v>
      </c>
      <c r="D1618" s="1">
        <f t="shared" si="567"/>
        <v>47618</v>
      </c>
      <c r="E1618" s="1">
        <f t="shared" si="568"/>
        <v>47727</v>
      </c>
      <c r="F1618" s="1">
        <f t="shared" si="569"/>
        <v>47757</v>
      </c>
      <c r="G1618" s="1">
        <f t="shared" si="570"/>
        <v>47983</v>
      </c>
      <c r="H1618">
        <f t="shared" si="571"/>
        <v>365</v>
      </c>
      <c r="I1618">
        <f t="shared" si="572"/>
        <v>30</v>
      </c>
      <c r="J1618">
        <f t="shared" si="573"/>
        <v>8.2191780821917804E-2</v>
      </c>
      <c r="K1618">
        <f>IFERROR($J1618/IF($A1618&lt;COUNTIFS($K$1:K$1,"&lt;&gt;"),0,SUMIFS($J:$J,$B:$B,$B1618,$A:$A,"&gt;="&amp;COUNTIFS($K$1:K$1,"&lt;&gt;"))),0)</f>
        <v>8.6206896551724144E-2</v>
      </c>
      <c r="L1618">
        <f>IFERROR($J1618/IF($A1618&lt;COUNTIFS($K$1:L$1,"&lt;&gt;"),0,SUMIFS($J:$J,$B:$B,$B1618,$A:$A,"&gt;="&amp;COUNTIFS($K$1:L$1,"&lt;&gt;"))),0)</f>
        <v>9.4339622641509441E-2</v>
      </c>
      <c r="M1618">
        <f>IFERROR($J1618/IF($A1618&lt;COUNTIFS($K$1:M$1,"&lt;&gt;"),0,SUMIFS($J:$J,$B:$B,$B1618,$A:$A,"&gt;="&amp;COUNTIFS($K$1:M$1,"&lt;&gt;"))),0)</f>
        <v>0.10452961672473869</v>
      </c>
      <c r="N1618">
        <f>IFERROR($J1618/IF($A1618&lt;COUNTIFS($K$1:N$1,"&lt;&gt;"),0,SUMIFS($J:$J,$B:$B,$B1618,$A:$A,"&gt;="&amp;COUNTIFS($K$1:N$1,"&lt;&gt;"))),0)</f>
        <v>0.11718750000000001</v>
      </c>
      <c r="O1618">
        <f>IFERROR($J1618/IF($A1618&lt;COUNTIFS($K$1:O$1,"&lt;&gt;"),0,SUMIFS($J:$J,$B:$B,$B1618,$A:$A,"&gt;="&amp;COUNTIFS($K$1:O$1,"&lt;&gt;"))),0)</f>
        <v>0</v>
      </c>
      <c r="P1618">
        <f>IFERROR($J1618/IF($A1618&lt;COUNTIFS($K$1:P$1,"&lt;&gt;"),0,SUMIFS($J:$J,$B:$B,$B1618,$A:$A,"&gt;="&amp;COUNTIFS($K$1:P$1,"&lt;&gt;"))),0)</f>
        <v>0</v>
      </c>
      <c r="Q1618">
        <f>IFERROR($J1618/IF($A1618&lt;COUNTIFS($K$1:Q$1,"&lt;&gt;"),0,SUMIFS($J:$J,$B:$B,$B1618,$A:$A,"&gt;="&amp;COUNTIFS($K$1:Q$1,"&lt;&gt;"))),0)</f>
        <v>0</v>
      </c>
      <c r="R1618">
        <f>IFERROR($J1618/IF($A1618&lt;COUNTIFS($K$1:R$1,"&lt;&gt;"),0,SUMIFS($J:$J,$B:$B,$B1618,$A:$A,"&gt;="&amp;COUNTIFS($K$1:R$1,"&lt;&gt;"))),0)</f>
        <v>0</v>
      </c>
      <c r="S1618">
        <f>IFERROR($J1618/IF($A1618&lt;COUNTIFS($K$1:S$1,"&lt;&gt;"),0,SUMIFS($J:$J,$B:$B,$B1618,$A:$A,"&gt;="&amp;COUNTIFS($K$1:S$1,"&lt;&gt;"))),0)</f>
        <v>0</v>
      </c>
      <c r="T1618">
        <f>IFERROR($J1618/IF($A1618&lt;COUNTIFS($K$1:T$1,"&lt;&gt;"),0,SUMIFS($J:$J,$B:$B,$B1618,$A:$A,"&gt;="&amp;COUNTIFS($K$1:T$1,"&lt;&gt;"))),0)</f>
        <v>0</v>
      </c>
      <c r="U1618">
        <f>IFERROR($J1618/IF($A1618&lt;COUNTIFS($K$1:U$1,"&lt;&gt;"),0,SUMIFS($J:$J,$B:$B,$B1618,$A:$A,"&gt;="&amp;COUNTIFS($K$1:U$1,"&lt;&gt;"))),0)</f>
        <v>0</v>
      </c>
      <c r="V1618">
        <f>IFERROR($J1618/IF($A1618&lt;COUNTIFS($K$1:V$1,"&lt;&gt;"),0,SUMIFS($J:$J,$B:$B,$B1618,$A:$A,"&gt;="&amp;COUNTIFS($K$1:V$1,"&lt;&gt;"))),0)</f>
        <v>0</v>
      </c>
      <c r="W1618">
        <f t="shared" si="574"/>
        <v>8.2191780821917804E-2</v>
      </c>
      <c r="X1618">
        <f t="shared" si="554"/>
        <v>8.2191780821917804E-2</v>
      </c>
      <c r="Y1618">
        <f t="shared" si="555"/>
        <v>8.2191780821917804E-2</v>
      </c>
      <c r="Z1618">
        <f t="shared" si="556"/>
        <v>8.2191780821917804E-2</v>
      </c>
      <c r="AA1618">
        <f t="shared" si="557"/>
        <v>8.2191780821917804E-2</v>
      </c>
      <c r="AB1618">
        <f t="shared" si="558"/>
        <v>0</v>
      </c>
      <c r="AC1618">
        <f t="shared" si="559"/>
        <v>0</v>
      </c>
      <c r="AD1618">
        <f t="shared" si="560"/>
        <v>0</v>
      </c>
      <c r="AE1618">
        <f t="shared" si="561"/>
        <v>0</v>
      </c>
      <c r="AF1618">
        <f t="shared" si="562"/>
        <v>0</v>
      </c>
      <c r="AG1618">
        <f t="shared" si="563"/>
        <v>0</v>
      </c>
      <c r="AH1618">
        <f t="shared" si="564"/>
        <v>0</v>
      </c>
      <c r="AI1618">
        <f t="shared" si="565"/>
        <v>0</v>
      </c>
      <c r="AJ1618" s="2" t="str">
        <f t="shared" si="575"/>
        <v>447604</v>
      </c>
    </row>
    <row r="1619" spans="1:36" x14ac:dyDescent="0.25">
      <c r="A1619">
        <v>5</v>
      </c>
      <c r="B1619" s="1">
        <v>47604</v>
      </c>
      <c r="C1619" s="1">
        <f t="shared" si="566"/>
        <v>47757</v>
      </c>
      <c r="D1619" s="1">
        <f t="shared" si="567"/>
        <v>47618</v>
      </c>
      <c r="E1619" s="1">
        <f t="shared" si="568"/>
        <v>47757</v>
      </c>
      <c r="F1619" s="1">
        <f t="shared" si="569"/>
        <v>47788</v>
      </c>
      <c r="G1619" s="1">
        <f t="shared" si="570"/>
        <v>47983</v>
      </c>
      <c r="H1619">
        <f t="shared" si="571"/>
        <v>365</v>
      </c>
      <c r="I1619">
        <f t="shared" si="572"/>
        <v>31</v>
      </c>
      <c r="J1619">
        <f t="shared" si="573"/>
        <v>8.4931506849315067E-2</v>
      </c>
      <c r="K1619">
        <f>IFERROR($J1619/IF($A1619&lt;COUNTIFS($K$1:K$1,"&lt;&gt;"),0,SUMIFS($J:$J,$B:$B,$B1619,$A:$A,"&gt;="&amp;COUNTIFS($K$1:K$1,"&lt;&gt;"))),0)</f>
        <v>8.9080459770114959E-2</v>
      </c>
      <c r="L1619">
        <f>IFERROR($J1619/IF($A1619&lt;COUNTIFS($K$1:L$1,"&lt;&gt;"),0,SUMIFS($J:$J,$B:$B,$B1619,$A:$A,"&gt;="&amp;COUNTIFS($K$1:L$1,"&lt;&gt;"))),0)</f>
        <v>9.7484276729559768E-2</v>
      </c>
      <c r="M1619">
        <f>IFERROR($J1619/IF($A1619&lt;COUNTIFS($K$1:M$1,"&lt;&gt;"),0,SUMIFS($J:$J,$B:$B,$B1619,$A:$A,"&gt;="&amp;COUNTIFS($K$1:M$1,"&lt;&gt;"))),0)</f>
        <v>0.10801393728222998</v>
      </c>
      <c r="N1619">
        <f>IFERROR($J1619/IF($A1619&lt;COUNTIFS($K$1:N$1,"&lt;&gt;"),0,SUMIFS($J:$J,$B:$B,$B1619,$A:$A,"&gt;="&amp;COUNTIFS($K$1:N$1,"&lt;&gt;"))),0)</f>
        <v>0.12109375000000001</v>
      </c>
      <c r="O1619">
        <f>IFERROR($J1619/IF($A1619&lt;COUNTIFS($K$1:O$1,"&lt;&gt;"),0,SUMIFS($J:$J,$B:$B,$B1619,$A:$A,"&gt;="&amp;COUNTIFS($K$1:O$1,"&lt;&gt;"))),0)</f>
        <v>0.13716814159292037</v>
      </c>
      <c r="P1619">
        <f>IFERROR($J1619/IF($A1619&lt;COUNTIFS($K$1:P$1,"&lt;&gt;"),0,SUMIFS($J:$J,$B:$B,$B1619,$A:$A,"&gt;="&amp;COUNTIFS($K$1:P$1,"&lt;&gt;"))),0)</f>
        <v>0</v>
      </c>
      <c r="Q1619">
        <f>IFERROR($J1619/IF($A1619&lt;COUNTIFS($K$1:Q$1,"&lt;&gt;"),0,SUMIFS($J:$J,$B:$B,$B1619,$A:$A,"&gt;="&amp;COUNTIFS($K$1:Q$1,"&lt;&gt;"))),0)</f>
        <v>0</v>
      </c>
      <c r="R1619">
        <f>IFERROR($J1619/IF($A1619&lt;COUNTIFS($K$1:R$1,"&lt;&gt;"),0,SUMIFS($J:$J,$B:$B,$B1619,$A:$A,"&gt;="&amp;COUNTIFS($K$1:R$1,"&lt;&gt;"))),0)</f>
        <v>0</v>
      </c>
      <c r="S1619">
        <f>IFERROR($J1619/IF($A1619&lt;COUNTIFS($K$1:S$1,"&lt;&gt;"),0,SUMIFS($J:$J,$B:$B,$B1619,$A:$A,"&gt;="&amp;COUNTIFS($K$1:S$1,"&lt;&gt;"))),0)</f>
        <v>0</v>
      </c>
      <c r="T1619">
        <f>IFERROR($J1619/IF($A1619&lt;COUNTIFS($K$1:T$1,"&lt;&gt;"),0,SUMIFS($J:$J,$B:$B,$B1619,$A:$A,"&gt;="&amp;COUNTIFS($K$1:T$1,"&lt;&gt;"))),0)</f>
        <v>0</v>
      </c>
      <c r="U1619">
        <f>IFERROR($J1619/IF($A1619&lt;COUNTIFS($K$1:U$1,"&lt;&gt;"),0,SUMIFS($J:$J,$B:$B,$B1619,$A:$A,"&gt;="&amp;COUNTIFS($K$1:U$1,"&lt;&gt;"))),0)</f>
        <v>0</v>
      </c>
      <c r="V1619">
        <f>IFERROR($J1619/IF($A1619&lt;COUNTIFS($K$1:V$1,"&lt;&gt;"),0,SUMIFS($J:$J,$B:$B,$B1619,$A:$A,"&gt;="&amp;COUNTIFS($K$1:V$1,"&lt;&gt;"))),0)</f>
        <v>0</v>
      </c>
      <c r="W1619">
        <f t="shared" si="574"/>
        <v>8.4931506849315067E-2</v>
      </c>
      <c r="X1619">
        <f t="shared" si="554"/>
        <v>8.4931506849315067E-2</v>
      </c>
      <c r="Y1619">
        <f t="shared" si="555"/>
        <v>8.4931506849315067E-2</v>
      </c>
      <c r="Z1619">
        <f t="shared" si="556"/>
        <v>8.4931506849315067E-2</v>
      </c>
      <c r="AA1619">
        <f t="shared" si="557"/>
        <v>8.4931506849315067E-2</v>
      </c>
      <c r="AB1619">
        <f t="shared" si="558"/>
        <v>8.4931506849315067E-2</v>
      </c>
      <c r="AC1619">
        <f t="shared" si="559"/>
        <v>0</v>
      </c>
      <c r="AD1619">
        <f t="shared" si="560"/>
        <v>0</v>
      </c>
      <c r="AE1619">
        <f t="shared" si="561"/>
        <v>0</v>
      </c>
      <c r="AF1619">
        <f t="shared" si="562"/>
        <v>0</v>
      </c>
      <c r="AG1619">
        <f t="shared" si="563"/>
        <v>0</v>
      </c>
      <c r="AH1619">
        <f t="shared" si="564"/>
        <v>0</v>
      </c>
      <c r="AI1619">
        <f t="shared" si="565"/>
        <v>0</v>
      </c>
      <c r="AJ1619" s="2" t="str">
        <f t="shared" si="575"/>
        <v>547604</v>
      </c>
    </row>
    <row r="1620" spans="1:36" x14ac:dyDescent="0.25">
      <c r="A1620">
        <v>6</v>
      </c>
      <c r="B1620" s="1">
        <v>47604</v>
      </c>
      <c r="C1620" s="1">
        <f t="shared" si="566"/>
        <v>47788</v>
      </c>
      <c r="D1620" s="1">
        <f t="shared" si="567"/>
        <v>47618</v>
      </c>
      <c r="E1620" s="1">
        <f t="shared" si="568"/>
        <v>47788</v>
      </c>
      <c r="F1620" s="1">
        <f t="shared" si="569"/>
        <v>47818</v>
      </c>
      <c r="G1620" s="1">
        <f t="shared" si="570"/>
        <v>47983</v>
      </c>
      <c r="H1620">
        <f t="shared" si="571"/>
        <v>365</v>
      </c>
      <c r="I1620">
        <f t="shared" si="572"/>
        <v>30</v>
      </c>
      <c r="J1620">
        <f t="shared" si="573"/>
        <v>8.2191780821917804E-2</v>
      </c>
      <c r="K1620">
        <f>IFERROR($J1620/IF($A1620&lt;COUNTIFS($K$1:K$1,"&lt;&gt;"),0,SUMIFS($J:$J,$B:$B,$B1620,$A:$A,"&gt;="&amp;COUNTIFS($K$1:K$1,"&lt;&gt;"))),0)</f>
        <v>8.6206896551724144E-2</v>
      </c>
      <c r="L1620">
        <f>IFERROR($J1620/IF($A1620&lt;COUNTIFS($K$1:L$1,"&lt;&gt;"),0,SUMIFS($J:$J,$B:$B,$B1620,$A:$A,"&gt;="&amp;COUNTIFS($K$1:L$1,"&lt;&gt;"))),0)</f>
        <v>9.4339622641509441E-2</v>
      </c>
      <c r="M1620">
        <f>IFERROR($J1620/IF($A1620&lt;COUNTIFS($K$1:M$1,"&lt;&gt;"),0,SUMIFS($J:$J,$B:$B,$B1620,$A:$A,"&gt;="&amp;COUNTIFS($K$1:M$1,"&lt;&gt;"))),0)</f>
        <v>0.10452961672473869</v>
      </c>
      <c r="N1620">
        <f>IFERROR($J1620/IF($A1620&lt;COUNTIFS($K$1:N$1,"&lt;&gt;"),0,SUMIFS($J:$J,$B:$B,$B1620,$A:$A,"&gt;="&amp;COUNTIFS($K$1:N$1,"&lt;&gt;"))),0)</f>
        <v>0.11718750000000001</v>
      </c>
      <c r="O1620">
        <f>IFERROR($J1620/IF($A1620&lt;COUNTIFS($K$1:O$1,"&lt;&gt;"),0,SUMIFS($J:$J,$B:$B,$B1620,$A:$A,"&gt;="&amp;COUNTIFS($K$1:O$1,"&lt;&gt;"))),0)</f>
        <v>0.13274336283185842</v>
      </c>
      <c r="P1620">
        <f>IFERROR($J1620/IF($A1620&lt;COUNTIFS($K$1:P$1,"&lt;&gt;"),0,SUMIFS($J:$J,$B:$B,$B1620,$A:$A,"&gt;="&amp;COUNTIFS($K$1:P$1,"&lt;&gt;"))),0)</f>
        <v>0.15384615384615385</v>
      </c>
      <c r="Q1620">
        <f>IFERROR($J1620/IF($A1620&lt;COUNTIFS($K$1:Q$1,"&lt;&gt;"),0,SUMIFS($J:$J,$B:$B,$B1620,$A:$A,"&gt;="&amp;COUNTIFS($K$1:Q$1,"&lt;&gt;"))),0)</f>
        <v>0</v>
      </c>
      <c r="R1620">
        <f>IFERROR($J1620/IF($A1620&lt;COUNTIFS($K$1:R$1,"&lt;&gt;"),0,SUMIFS($J:$J,$B:$B,$B1620,$A:$A,"&gt;="&amp;COUNTIFS($K$1:R$1,"&lt;&gt;"))),0)</f>
        <v>0</v>
      </c>
      <c r="S1620">
        <f>IFERROR($J1620/IF($A1620&lt;COUNTIFS($K$1:S$1,"&lt;&gt;"),0,SUMIFS($J:$J,$B:$B,$B1620,$A:$A,"&gt;="&amp;COUNTIFS($K$1:S$1,"&lt;&gt;"))),0)</f>
        <v>0</v>
      </c>
      <c r="T1620">
        <f>IFERROR($J1620/IF($A1620&lt;COUNTIFS($K$1:T$1,"&lt;&gt;"),0,SUMIFS($J:$J,$B:$B,$B1620,$A:$A,"&gt;="&amp;COUNTIFS($K$1:T$1,"&lt;&gt;"))),0)</f>
        <v>0</v>
      </c>
      <c r="U1620">
        <f>IFERROR($J1620/IF($A1620&lt;COUNTIFS($K$1:U$1,"&lt;&gt;"),0,SUMIFS($J:$J,$B:$B,$B1620,$A:$A,"&gt;="&amp;COUNTIFS($K$1:U$1,"&lt;&gt;"))),0)</f>
        <v>0</v>
      </c>
      <c r="V1620">
        <f>IFERROR($J1620/IF($A1620&lt;COUNTIFS($K$1:V$1,"&lt;&gt;"),0,SUMIFS($J:$J,$B:$B,$B1620,$A:$A,"&gt;="&amp;COUNTIFS($K$1:V$1,"&lt;&gt;"))),0)</f>
        <v>0</v>
      </c>
      <c r="W1620">
        <f t="shared" si="574"/>
        <v>8.2191780821917804E-2</v>
      </c>
      <c r="X1620">
        <f t="shared" si="554"/>
        <v>8.2191780821917804E-2</v>
      </c>
      <c r="Y1620">
        <f t="shared" si="555"/>
        <v>8.2191780821917804E-2</v>
      </c>
      <c r="Z1620">
        <f t="shared" si="556"/>
        <v>8.2191780821917804E-2</v>
      </c>
      <c r="AA1620">
        <f t="shared" si="557"/>
        <v>8.2191780821917804E-2</v>
      </c>
      <c r="AB1620">
        <f t="shared" si="558"/>
        <v>8.2191780821917804E-2</v>
      </c>
      <c r="AC1620">
        <f t="shared" si="559"/>
        <v>8.2191780821917804E-2</v>
      </c>
      <c r="AD1620">
        <f t="shared" si="560"/>
        <v>0</v>
      </c>
      <c r="AE1620">
        <f t="shared" si="561"/>
        <v>0</v>
      </c>
      <c r="AF1620">
        <f t="shared" si="562"/>
        <v>0</v>
      </c>
      <c r="AG1620">
        <f t="shared" si="563"/>
        <v>0</v>
      </c>
      <c r="AH1620">
        <f t="shared" si="564"/>
        <v>0</v>
      </c>
      <c r="AI1620">
        <f t="shared" si="565"/>
        <v>0</v>
      </c>
      <c r="AJ1620" s="2" t="str">
        <f t="shared" si="575"/>
        <v>647604</v>
      </c>
    </row>
    <row r="1621" spans="1:36" x14ac:dyDescent="0.25">
      <c r="A1621">
        <v>7</v>
      </c>
      <c r="B1621" s="1">
        <v>47604</v>
      </c>
      <c r="C1621" s="1">
        <f t="shared" si="566"/>
        <v>47818</v>
      </c>
      <c r="D1621" s="1">
        <f t="shared" si="567"/>
        <v>47618</v>
      </c>
      <c r="E1621" s="1">
        <f t="shared" si="568"/>
        <v>47818</v>
      </c>
      <c r="F1621" s="1">
        <f t="shared" si="569"/>
        <v>47849</v>
      </c>
      <c r="G1621" s="1">
        <f t="shared" si="570"/>
        <v>47983</v>
      </c>
      <c r="H1621">
        <f t="shared" si="571"/>
        <v>365</v>
      </c>
      <c r="I1621">
        <f t="shared" si="572"/>
        <v>31</v>
      </c>
      <c r="J1621">
        <f t="shared" si="573"/>
        <v>8.4931506849315067E-2</v>
      </c>
      <c r="K1621">
        <f>IFERROR($J1621/IF($A1621&lt;COUNTIFS($K$1:K$1,"&lt;&gt;"),0,SUMIFS($J:$J,$B:$B,$B1621,$A:$A,"&gt;="&amp;COUNTIFS($K$1:K$1,"&lt;&gt;"))),0)</f>
        <v>8.9080459770114959E-2</v>
      </c>
      <c r="L1621">
        <f>IFERROR($J1621/IF($A1621&lt;COUNTIFS($K$1:L$1,"&lt;&gt;"),0,SUMIFS($J:$J,$B:$B,$B1621,$A:$A,"&gt;="&amp;COUNTIFS($K$1:L$1,"&lt;&gt;"))),0)</f>
        <v>9.7484276729559768E-2</v>
      </c>
      <c r="M1621">
        <f>IFERROR($J1621/IF($A1621&lt;COUNTIFS($K$1:M$1,"&lt;&gt;"),0,SUMIFS($J:$J,$B:$B,$B1621,$A:$A,"&gt;="&amp;COUNTIFS($K$1:M$1,"&lt;&gt;"))),0)</f>
        <v>0.10801393728222998</v>
      </c>
      <c r="N1621">
        <f>IFERROR($J1621/IF($A1621&lt;COUNTIFS($K$1:N$1,"&lt;&gt;"),0,SUMIFS($J:$J,$B:$B,$B1621,$A:$A,"&gt;="&amp;COUNTIFS($K$1:N$1,"&lt;&gt;"))),0)</f>
        <v>0.12109375000000001</v>
      </c>
      <c r="O1621">
        <f>IFERROR($J1621/IF($A1621&lt;COUNTIFS($K$1:O$1,"&lt;&gt;"),0,SUMIFS($J:$J,$B:$B,$B1621,$A:$A,"&gt;="&amp;COUNTIFS($K$1:O$1,"&lt;&gt;"))),0)</f>
        <v>0.13716814159292037</v>
      </c>
      <c r="P1621">
        <f>IFERROR($J1621/IF($A1621&lt;COUNTIFS($K$1:P$1,"&lt;&gt;"),0,SUMIFS($J:$J,$B:$B,$B1621,$A:$A,"&gt;="&amp;COUNTIFS($K$1:P$1,"&lt;&gt;"))),0)</f>
        <v>0.15897435897435899</v>
      </c>
      <c r="Q1621">
        <f>IFERROR($J1621/IF($A1621&lt;COUNTIFS($K$1:Q$1,"&lt;&gt;"),0,SUMIFS($J:$J,$B:$B,$B1621,$A:$A,"&gt;="&amp;COUNTIFS($K$1:Q$1,"&lt;&gt;"))),0)</f>
        <v>0.1878787878787879</v>
      </c>
      <c r="R1621">
        <f>IFERROR($J1621/IF($A1621&lt;COUNTIFS($K$1:R$1,"&lt;&gt;"),0,SUMIFS($J:$J,$B:$B,$B1621,$A:$A,"&gt;="&amp;COUNTIFS($K$1:R$1,"&lt;&gt;"))),0)</f>
        <v>0</v>
      </c>
      <c r="S1621">
        <f>IFERROR($J1621/IF($A1621&lt;COUNTIFS($K$1:S$1,"&lt;&gt;"),0,SUMIFS($J:$J,$B:$B,$B1621,$A:$A,"&gt;="&amp;COUNTIFS($K$1:S$1,"&lt;&gt;"))),0)</f>
        <v>0</v>
      </c>
      <c r="T1621">
        <f>IFERROR($J1621/IF($A1621&lt;COUNTIFS($K$1:T$1,"&lt;&gt;"),0,SUMIFS($J:$J,$B:$B,$B1621,$A:$A,"&gt;="&amp;COUNTIFS($K$1:T$1,"&lt;&gt;"))),0)</f>
        <v>0</v>
      </c>
      <c r="U1621">
        <f>IFERROR($J1621/IF($A1621&lt;COUNTIFS($K$1:U$1,"&lt;&gt;"),0,SUMIFS($J:$J,$B:$B,$B1621,$A:$A,"&gt;="&amp;COUNTIFS($K$1:U$1,"&lt;&gt;"))),0)</f>
        <v>0</v>
      </c>
      <c r="V1621">
        <f>IFERROR($J1621/IF($A1621&lt;COUNTIFS($K$1:V$1,"&lt;&gt;"),0,SUMIFS($J:$J,$B:$B,$B1621,$A:$A,"&gt;="&amp;COUNTIFS($K$1:V$1,"&lt;&gt;"))),0)</f>
        <v>0</v>
      </c>
      <c r="W1621">
        <f t="shared" si="574"/>
        <v>8.4931506849315067E-2</v>
      </c>
      <c r="X1621">
        <f t="shared" si="554"/>
        <v>8.4931506849315067E-2</v>
      </c>
      <c r="Y1621">
        <f t="shared" si="555"/>
        <v>8.4931506849315067E-2</v>
      </c>
      <c r="Z1621">
        <f t="shared" si="556"/>
        <v>8.4931506849315067E-2</v>
      </c>
      <c r="AA1621">
        <f t="shared" si="557"/>
        <v>8.4931506849315067E-2</v>
      </c>
      <c r="AB1621">
        <f t="shared" si="558"/>
        <v>8.4931506849315067E-2</v>
      </c>
      <c r="AC1621">
        <f t="shared" si="559"/>
        <v>8.4931506849315067E-2</v>
      </c>
      <c r="AD1621">
        <f t="shared" si="560"/>
        <v>8.4931506849315067E-2</v>
      </c>
      <c r="AE1621">
        <f t="shared" si="561"/>
        <v>0</v>
      </c>
      <c r="AF1621">
        <f t="shared" si="562"/>
        <v>0</v>
      </c>
      <c r="AG1621">
        <f t="shared" si="563"/>
        <v>0</v>
      </c>
      <c r="AH1621">
        <f t="shared" si="564"/>
        <v>0</v>
      </c>
      <c r="AI1621">
        <f t="shared" si="565"/>
        <v>0</v>
      </c>
      <c r="AJ1621" s="2" t="str">
        <f t="shared" si="575"/>
        <v>747604</v>
      </c>
    </row>
    <row r="1622" spans="1:36" x14ac:dyDescent="0.25">
      <c r="A1622">
        <v>8</v>
      </c>
      <c r="B1622" s="1">
        <v>47604</v>
      </c>
      <c r="C1622" s="1">
        <f t="shared" si="566"/>
        <v>47849</v>
      </c>
      <c r="D1622" s="1">
        <f t="shared" si="567"/>
        <v>47618</v>
      </c>
      <c r="E1622" s="1">
        <f t="shared" si="568"/>
        <v>47849</v>
      </c>
      <c r="F1622" s="1">
        <f t="shared" si="569"/>
        <v>47880</v>
      </c>
      <c r="G1622" s="1">
        <f t="shared" si="570"/>
        <v>47983</v>
      </c>
      <c r="H1622">
        <f t="shared" si="571"/>
        <v>365</v>
      </c>
      <c r="I1622">
        <f t="shared" si="572"/>
        <v>31</v>
      </c>
      <c r="J1622">
        <f t="shared" si="573"/>
        <v>8.4931506849315067E-2</v>
      </c>
      <c r="K1622">
        <f>IFERROR($J1622/IF($A1622&lt;COUNTIFS($K$1:K$1,"&lt;&gt;"),0,SUMIFS($J:$J,$B:$B,$B1622,$A:$A,"&gt;="&amp;COUNTIFS($K$1:K$1,"&lt;&gt;"))),0)</f>
        <v>8.9080459770114959E-2</v>
      </c>
      <c r="L1622">
        <f>IFERROR($J1622/IF($A1622&lt;COUNTIFS($K$1:L$1,"&lt;&gt;"),0,SUMIFS($J:$J,$B:$B,$B1622,$A:$A,"&gt;="&amp;COUNTIFS($K$1:L$1,"&lt;&gt;"))),0)</f>
        <v>9.7484276729559768E-2</v>
      </c>
      <c r="M1622">
        <f>IFERROR($J1622/IF($A1622&lt;COUNTIFS($K$1:M$1,"&lt;&gt;"),0,SUMIFS($J:$J,$B:$B,$B1622,$A:$A,"&gt;="&amp;COUNTIFS($K$1:M$1,"&lt;&gt;"))),0)</f>
        <v>0.10801393728222998</v>
      </c>
      <c r="N1622">
        <f>IFERROR($J1622/IF($A1622&lt;COUNTIFS($K$1:N$1,"&lt;&gt;"),0,SUMIFS($J:$J,$B:$B,$B1622,$A:$A,"&gt;="&amp;COUNTIFS($K$1:N$1,"&lt;&gt;"))),0)</f>
        <v>0.12109375000000001</v>
      </c>
      <c r="O1622">
        <f>IFERROR($J1622/IF($A1622&lt;COUNTIFS($K$1:O$1,"&lt;&gt;"),0,SUMIFS($J:$J,$B:$B,$B1622,$A:$A,"&gt;="&amp;COUNTIFS($K$1:O$1,"&lt;&gt;"))),0)</f>
        <v>0.13716814159292037</v>
      </c>
      <c r="P1622">
        <f>IFERROR($J1622/IF($A1622&lt;COUNTIFS($K$1:P$1,"&lt;&gt;"),0,SUMIFS($J:$J,$B:$B,$B1622,$A:$A,"&gt;="&amp;COUNTIFS($K$1:P$1,"&lt;&gt;"))),0)</f>
        <v>0.15897435897435899</v>
      </c>
      <c r="Q1622">
        <f>IFERROR($J1622/IF($A1622&lt;COUNTIFS($K$1:Q$1,"&lt;&gt;"),0,SUMIFS($J:$J,$B:$B,$B1622,$A:$A,"&gt;="&amp;COUNTIFS($K$1:Q$1,"&lt;&gt;"))),0)</f>
        <v>0.1878787878787879</v>
      </c>
      <c r="R1622">
        <f>IFERROR($J1622/IF($A1622&lt;COUNTIFS($K$1:R$1,"&lt;&gt;"),0,SUMIFS($J:$J,$B:$B,$B1622,$A:$A,"&gt;="&amp;COUNTIFS($K$1:R$1,"&lt;&gt;"))),0)</f>
        <v>0.23134328358208955</v>
      </c>
      <c r="S1622">
        <f>IFERROR($J1622/IF($A1622&lt;COUNTIFS($K$1:S$1,"&lt;&gt;"),0,SUMIFS($J:$J,$B:$B,$B1622,$A:$A,"&gt;="&amp;COUNTIFS($K$1:S$1,"&lt;&gt;"))),0)</f>
        <v>0</v>
      </c>
      <c r="T1622">
        <f>IFERROR($J1622/IF($A1622&lt;COUNTIFS($K$1:T$1,"&lt;&gt;"),0,SUMIFS($J:$J,$B:$B,$B1622,$A:$A,"&gt;="&amp;COUNTIFS($K$1:T$1,"&lt;&gt;"))),0)</f>
        <v>0</v>
      </c>
      <c r="U1622">
        <f>IFERROR($J1622/IF($A1622&lt;COUNTIFS($K$1:U$1,"&lt;&gt;"),0,SUMIFS($J:$J,$B:$B,$B1622,$A:$A,"&gt;="&amp;COUNTIFS($K$1:U$1,"&lt;&gt;"))),0)</f>
        <v>0</v>
      </c>
      <c r="V1622">
        <f>IFERROR($J1622/IF($A1622&lt;COUNTIFS($K$1:V$1,"&lt;&gt;"),0,SUMIFS($J:$J,$B:$B,$B1622,$A:$A,"&gt;="&amp;COUNTIFS($K$1:V$1,"&lt;&gt;"))),0)</f>
        <v>0</v>
      </c>
      <c r="W1622">
        <f t="shared" si="574"/>
        <v>8.4931506849315067E-2</v>
      </c>
      <c r="X1622">
        <f t="shared" si="554"/>
        <v>8.4931506849315067E-2</v>
      </c>
      <c r="Y1622">
        <f t="shared" si="555"/>
        <v>8.4931506849315067E-2</v>
      </c>
      <c r="Z1622">
        <f t="shared" si="556"/>
        <v>8.4931506849315067E-2</v>
      </c>
      <c r="AA1622">
        <f t="shared" si="557"/>
        <v>8.4931506849315067E-2</v>
      </c>
      <c r="AB1622">
        <f t="shared" si="558"/>
        <v>8.4931506849315067E-2</v>
      </c>
      <c r="AC1622">
        <f t="shared" si="559"/>
        <v>8.4931506849315067E-2</v>
      </c>
      <c r="AD1622">
        <f t="shared" si="560"/>
        <v>8.4931506849315067E-2</v>
      </c>
      <c r="AE1622">
        <f t="shared" si="561"/>
        <v>8.4931506849315067E-2</v>
      </c>
      <c r="AF1622">
        <f t="shared" si="562"/>
        <v>0</v>
      </c>
      <c r="AG1622">
        <f t="shared" si="563"/>
        <v>0</v>
      </c>
      <c r="AH1622">
        <f t="shared" si="564"/>
        <v>0</v>
      </c>
      <c r="AI1622">
        <f t="shared" si="565"/>
        <v>0</v>
      </c>
      <c r="AJ1622" s="2" t="str">
        <f t="shared" si="575"/>
        <v>847604</v>
      </c>
    </row>
    <row r="1623" spans="1:36" x14ac:dyDescent="0.25">
      <c r="A1623">
        <v>9</v>
      </c>
      <c r="B1623" s="1">
        <v>47604</v>
      </c>
      <c r="C1623" s="1">
        <f t="shared" si="566"/>
        <v>47880</v>
      </c>
      <c r="D1623" s="1">
        <f t="shared" si="567"/>
        <v>47618</v>
      </c>
      <c r="E1623" s="1">
        <f t="shared" si="568"/>
        <v>47880</v>
      </c>
      <c r="F1623" s="1">
        <f t="shared" si="569"/>
        <v>47908</v>
      </c>
      <c r="G1623" s="1">
        <f t="shared" si="570"/>
        <v>47983</v>
      </c>
      <c r="H1623">
        <f t="shared" si="571"/>
        <v>365</v>
      </c>
      <c r="I1623">
        <f t="shared" si="572"/>
        <v>28</v>
      </c>
      <c r="J1623">
        <f t="shared" si="573"/>
        <v>7.6712328767123292E-2</v>
      </c>
      <c r="K1623">
        <f>IFERROR($J1623/IF($A1623&lt;COUNTIFS($K$1:K$1,"&lt;&gt;"),0,SUMIFS($J:$J,$B:$B,$B1623,$A:$A,"&gt;="&amp;COUNTIFS($K$1:K$1,"&lt;&gt;"))),0)</f>
        <v>8.0459770114942541E-2</v>
      </c>
      <c r="L1623">
        <f>IFERROR($J1623/IF($A1623&lt;COUNTIFS($K$1:L$1,"&lt;&gt;"),0,SUMIFS($J:$J,$B:$B,$B1623,$A:$A,"&gt;="&amp;COUNTIFS($K$1:L$1,"&lt;&gt;"))),0)</f>
        <v>8.8050314465408827E-2</v>
      </c>
      <c r="M1623">
        <f>IFERROR($J1623/IF($A1623&lt;COUNTIFS($K$1:M$1,"&lt;&gt;"),0,SUMIFS($J:$J,$B:$B,$B1623,$A:$A,"&gt;="&amp;COUNTIFS($K$1:M$1,"&lt;&gt;"))),0)</f>
        <v>9.7560975609756115E-2</v>
      </c>
      <c r="N1623">
        <f>IFERROR($J1623/IF($A1623&lt;COUNTIFS($K$1:N$1,"&lt;&gt;"),0,SUMIFS($J:$J,$B:$B,$B1623,$A:$A,"&gt;="&amp;COUNTIFS($K$1:N$1,"&lt;&gt;"))),0)</f>
        <v>0.10937500000000003</v>
      </c>
      <c r="O1623">
        <f>IFERROR($J1623/IF($A1623&lt;COUNTIFS($K$1:O$1,"&lt;&gt;"),0,SUMIFS($J:$J,$B:$B,$B1623,$A:$A,"&gt;="&amp;COUNTIFS($K$1:O$1,"&lt;&gt;"))),0)</f>
        <v>0.12389380530973454</v>
      </c>
      <c r="P1623">
        <f>IFERROR($J1623/IF($A1623&lt;COUNTIFS($K$1:P$1,"&lt;&gt;"),0,SUMIFS($J:$J,$B:$B,$B1623,$A:$A,"&gt;="&amp;COUNTIFS($K$1:P$1,"&lt;&gt;"))),0)</f>
        <v>0.14358974358974361</v>
      </c>
      <c r="Q1623">
        <f>IFERROR($J1623/IF($A1623&lt;COUNTIFS($K$1:Q$1,"&lt;&gt;"),0,SUMIFS($J:$J,$B:$B,$B1623,$A:$A,"&gt;="&amp;COUNTIFS($K$1:Q$1,"&lt;&gt;"))),0)</f>
        <v>0.16969696969696971</v>
      </c>
      <c r="R1623">
        <f>IFERROR($J1623/IF($A1623&lt;COUNTIFS($K$1:R$1,"&lt;&gt;"),0,SUMIFS($J:$J,$B:$B,$B1623,$A:$A,"&gt;="&amp;COUNTIFS($K$1:R$1,"&lt;&gt;"))),0)</f>
        <v>0.20895522388059704</v>
      </c>
      <c r="S1623">
        <f>IFERROR($J1623/IF($A1623&lt;COUNTIFS($K$1:S$1,"&lt;&gt;"),0,SUMIFS($J:$J,$B:$B,$B1623,$A:$A,"&gt;="&amp;COUNTIFS($K$1:S$1,"&lt;&gt;"))),0)</f>
        <v>0.27184466019417475</v>
      </c>
      <c r="T1623">
        <f>IFERROR($J1623/IF($A1623&lt;COUNTIFS($K$1:T$1,"&lt;&gt;"),0,SUMIFS($J:$J,$B:$B,$B1623,$A:$A,"&gt;="&amp;COUNTIFS($K$1:T$1,"&lt;&gt;"))),0)</f>
        <v>0</v>
      </c>
      <c r="U1623">
        <f>IFERROR($J1623/IF($A1623&lt;COUNTIFS($K$1:U$1,"&lt;&gt;"),0,SUMIFS($J:$J,$B:$B,$B1623,$A:$A,"&gt;="&amp;COUNTIFS($K$1:U$1,"&lt;&gt;"))),0)</f>
        <v>0</v>
      </c>
      <c r="V1623">
        <f>IFERROR($J1623/IF($A1623&lt;COUNTIFS($K$1:V$1,"&lt;&gt;"),0,SUMIFS($J:$J,$B:$B,$B1623,$A:$A,"&gt;="&amp;COUNTIFS($K$1:V$1,"&lt;&gt;"))),0)</f>
        <v>0</v>
      </c>
      <c r="W1623">
        <f t="shared" si="574"/>
        <v>7.6712328767123292E-2</v>
      </c>
      <c r="X1623">
        <f t="shared" si="554"/>
        <v>7.6712328767123292E-2</v>
      </c>
      <c r="Y1623">
        <f t="shared" si="555"/>
        <v>7.6712328767123292E-2</v>
      </c>
      <c r="Z1623">
        <f t="shared" si="556"/>
        <v>7.6712328767123292E-2</v>
      </c>
      <c r="AA1623">
        <f t="shared" si="557"/>
        <v>7.6712328767123292E-2</v>
      </c>
      <c r="AB1623">
        <f t="shared" si="558"/>
        <v>7.6712328767123292E-2</v>
      </c>
      <c r="AC1623">
        <f t="shared" si="559"/>
        <v>7.6712328767123292E-2</v>
      </c>
      <c r="AD1623">
        <f t="shared" si="560"/>
        <v>7.6712328767123292E-2</v>
      </c>
      <c r="AE1623">
        <f t="shared" si="561"/>
        <v>7.6712328767123292E-2</v>
      </c>
      <c r="AF1623">
        <f t="shared" si="562"/>
        <v>7.6712328767123292E-2</v>
      </c>
      <c r="AG1623">
        <f t="shared" si="563"/>
        <v>0</v>
      </c>
      <c r="AH1623">
        <f t="shared" si="564"/>
        <v>0</v>
      </c>
      <c r="AI1623">
        <f t="shared" si="565"/>
        <v>0</v>
      </c>
      <c r="AJ1623" s="2" t="str">
        <f t="shared" si="575"/>
        <v>947604</v>
      </c>
    </row>
    <row r="1624" spans="1:36" x14ac:dyDescent="0.25">
      <c r="A1624">
        <v>10</v>
      </c>
      <c r="B1624" s="1">
        <v>47604</v>
      </c>
      <c r="C1624" s="1">
        <f t="shared" si="566"/>
        <v>47908</v>
      </c>
      <c r="D1624" s="1">
        <f t="shared" si="567"/>
        <v>47618</v>
      </c>
      <c r="E1624" s="1">
        <f t="shared" si="568"/>
        <v>47908</v>
      </c>
      <c r="F1624" s="1">
        <f t="shared" si="569"/>
        <v>47939</v>
      </c>
      <c r="G1624" s="1">
        <f t="shared" si="570"/>
        <v>47983</v>
      </c>
      <c r="H1624">
        <f t="shared" si="571"/>
        <v>365</v>
      </c>
      <c r="I1624">
        <f t="shared" si="572"/>
        <v>31</v>
      </c>
      <c r="J1624">
        <f t="shared" si="573"/>
        <v>8.4931506849315067E-2</v>
      </c>
      <c r="K1624">
        <f>IFERROR($J1624/IF($A1624&lt;COUNTIFS($K$1:K$1,"&lt;&gt;"),0,SUMIFS($J:$J,$B:$B,$B1624,$A:$A,"&gt;="&amp;COUNTIFS($K$1:K$1,"&lt;&gt;"))),0)</f>
        <v>8.9080459770114959E-2</v>
      </c>
      <c r="L1624">
        <f>IFERROR($J1624/IF($A1624&lt;COUNTIFS($K$1:L$1,"&lt;&gt;"),0,SUMIFS($J:$J,$B:$B,$B1624,$A:$A,"&gt;="&amp;COUNTIFS($K$1:L$1,"&lt;&gt;"))),0)</f>
        <v>9.7484276729559768E-2</v>
      </c>
      <c r="M1624">
        <f>IFERROR($J1624/IF($A1624&lt;COUNTIFS($K$1:M$1,"&lt;&gt;"),0,SUMIFS($J:$J,$B:$B,$B1624,$A:$A,"&gt;="&amp;COUNTIFS($K$1:M$1,"&lt;&gt;"))),0)</f>
        <v>0.10801393728222998</v>
      </c>
      <c r="N1624">
        <f>IFERROR($J1624/IF($A1624&lt;COUNTIFS($K$1:N$1,"&lt;&gt;"),0,SUMIFS($J:$J,$B:$B,$B1624,$A:$A,"&gt;="&amp;COUNTIFS($K$1:N$1,"&lt;&gt;"))),0)</f>
        <v>0.12109375000000001</v>
      </c>
      <c r="O1624">
        <f>IFERROR($J1624/IF($A1624&lt;COUNTIFS($K$1:O$1,"&lt;&gt;"),0,SUMIFS($J:$J,$B:$B,$B1624,$A:$A,"&gt;="&amp;COUNTIFS($K$1:O$1,"&lt;&gt;"))),0)</f>
        <v>0.13716814159292037</v>
      </c>
      <c r="P1624">
        <f>IFERROR($J1624/IF($A1624&lt;COUNTIFS($K$1:P$1,"&lt;&gt;"),0,SUMIFS($J:$J,$B:$B,$B1624,$A:$A,"&gt;="&amp;COUNTIFS($K$1:P$1,"&lt;&gt;"))),0)</f>
        <v>0.15897435897435899</v>
      </c>
      <c r="Q1624">
        <f>IFERROR($J1624/IF($A1624&lt;COUNTIFS($K$1:Q$1,"&lt;&gt;"),0,SUMIFS($J:$J,$B:$B,$B1624,$A:$A,"&gt;="&amp;COUNTIFS($K$1:Q$1,"&lt;&gt;"))),0)</f>
        <v>0.1878787878787879</v>
      </c>
      <c r="R1624">
        <f>IFERROR($J1624/IF($A1624&lt;COUNTIFS($K$1:R$1,"&lt;&gt;"),0,SUMIFS($J:$J,$B:$B,$B1624,$A:$A,"&gt;="&amp;COUNTIFS($K$1:R$1,"&lt;&gt;"))),0)</f>
        <v>0.23134328358208955</v>
      </c>
      <c r="S1624">
        <f>IFERROR($J1624/IF($A1624&lt;COUNTIFS($K$1:S$1,"&lt;&gt;"),0,SUMIFS($J:$J,$B:$B,$B1624,$A:$A,"&gt;="&amp;COUNTIFS($K$1:S$1,"&lt;&gt;"))),0)</f>
        <v>0.30097087378640774</v>
      </c>
      <c r="T1624">
        <f>IFERROR($J1624/IF($A1624&lt;COUNTIFS($K$1:T$1,"&lt;&gt;"),0,SUMIFS($J:$J,$B:$B,$B1624,$A:$A,"&gt;="&amp;COUNTIFS($K$1:T$1,"&lt;&gt;"))),0)</f>
        <v>0.41333333333333333</v>
      </c>
      <c r="U1624">
        <f>IFERROR($J1624/IF($A1624&lt;COUNTIFS($K$1:U$1,"&lt;&gt;"),0,SUMIFS($J:$J,$B:$B,$B1624,$A:$A,"&gt;="&amp;COUNTIFS($K$1:U$1,"&lt;&gt;"))),0)</f>
        <v>0</v>
      </c>
      <c r="V1624">
        <f>IFERROR($J1624/IF($A1624&lt;COUNTIFS($K$1:V$1,"&lt;&gt;"),0,SUMIFS($J:$J,$B:$B,$B1624,$A:$A,"&gt;="&amp;COUNTIFS($K$1:V$1,"&lt;&gt;"))),0)</f>
        <v>0</v>
      </c>
      <c r="W1624">
        <f t="shared" si="574"/>
        <v>8.4931506849315067E-2</v>
      </c>
      <c r="X1624">
        <f t="shared" si="554"/>
        <v>8.4931506849315067E-2</v>
      </c>
      <c r="Y1624">
        <f t="shared" si="555"/>
        <v>8.4931506849315067E-2</v>
      </c>
      <c r="Z1624">
        <f t="shared" si="556"/>
        <v>8.4931506849315067E-2</v>
      </c>
      <c r="AA1624">
        <f t="shared" si="557"/>
        <v>8.4931506849315067E-2</v>
      </c>
      <c r="AB1624">
        <f t="shared" si="558"/>
        <v>8.4931506849315067E-2</v>
      </c>
      <c r="AC1624">
        <f t="shared" si="559"/>
        <v>8.4931506849315067E-2</v>
      </c>
      <c r="AD1624">
        <f t="shared" si="560"/>
        <v>8.4931506849315067E-2</v>
      </c>
      <c r="AE1624">
        <f t="shared" si="561"/>
        <v>8.4931506849315067E-2</v>
      </c>
      <c r="AF1624">
        <f t="shared" si="562"/>
        <v>8.4931506849315067E-2</v>
      </c>
      <c r="AG1624">
        <f t="shared" si="563"/>
        <v>8.4931506849315067E-2</v>
      </c>
      <c r="AH1624">
        <f t="shared" si="564"/>
        <v>0</v>
      </c>
      <c r="AI1624">
        <f t="shared" si="565"/>
        <v>0</v>
      </c>
      <c r="AJ1624" s="2" t="str">
        <f t="shared" si="575"/>
        <v>1047604</v>
      </c>
    </row>
    <row r="1625" spans="1:36" x14ac:dyDescent="0.25">
      <c r="A1625">
        <v>11</v>
      </c>
      <c r="B1625" s="1">
        <v>47604</v>
      </c>
      <c r="C1625" s="1">
        <f t="shared" si="566"/>
        <v>47939</v>
      </c>
      <c r="D1625" s="1">
        <f t="shared" si="567"/>
        <v>47618</v>
      </c>
      <c r="E1625" s="1">
        <f t="shared" si="568"/>
        <v>47939</v>
      </c>
      <c r="F1625" s="1">
        <f t="shared" si="569"/>
        <v>47969</v>
      </c>
      <c r="G1625" s="1">
        <f t="shared" si="570"/>
        <v>47983</v>
      </c>
      <c r="H1625">
        <f t="shared" si="571"/>
        <v>365</v>
      </c>
      <c r="I1625">
        <f t="shared" si="572"/>
        <v>30</v>
      </c>
      <c r="J1625">
        <f t="shared" si="573"/>
        <v>8.2191780821917804E-2</v>
      </c>
      <c r="K1625">
        <f>IFERROR($J1625/IF($A1625&lt;COUNTIFS($K$1:K$1,"&lt;&gt;"),0,SUMIFS($J:$J,$B:$B,$B1625,$A:$A,"&gt;="&amp;COUNTIFS($K$1:K$1,"&lt;&gt;"))),0)</f>
        <v>8.6206896551724144E-2</v>
      </c>
      <c r="L1625">
        <f>IFERROR($J1625/IF($A1625&lt;COUNTIFS($K$1:L$1,"&lt;&gt;"),0,SUMIFS($J:$J,$B:$B,$B1625,$A:$A,"&gt;="&amp;COUNTIFS($K$1:L$1,"&lt;&gt;"))),0)</f>
        <v>9.4339622641509441E-2</v>
      </c>
      <c r="M1625">
        <f>IFERROR($J1625/IF($A1625&lt;COUNTIFS($K$1:M$1,"&lt;&gt;"),0,SUMIFS($J:$J,$B:$B,$B1625,$A:$A,"&gt;="&amp;COUNTIFS($K$1:M$1,"&lt;&gt;"))),0)</f>
        <v>0.10452961672473869</v>
      </c>
      <c r="N1625">
        <f>IFERROR($J1625/IF($A1625&lt;COUNTIFS($K$1:N$1,"&lt;&gt;"),0,SUMIFS($J:$J,$B:$B,$B1625,$A:$A,"&gt;="&amp;COUNTIFS($K$1:N$1,"&lt;&gt;"))),0)</f>
        <v>0.11718750000000001</v>
      </c>
      <c r="O1625">
        <f>IFERROR($J1625/IF($A1625&lt;COUNTIFS($K$1:O$1,"&lt;&gt;"),0,SUMIFS($J:$J,$B:$B,$B1625,$A:$A,"&gt;="&amp;COUNTIFS($K$1:O$1,"&lt;&gt;"))),0)</f>
        <v>0.13274336283185842</v>
      </c>
      <c r="P1625">
        <f>IFERROR($J1625/IF($A1625&lt;COUNTIFS($K$1:P$1,"&lt;&gt;"),0,SUMIFS($J:$J,$B:$B,$B1625,$A:$A,"&gt;="&amp;COUNTIFS($K$1:P$1,"&lt;&gt;"))),0)</f>
        <v>0.15384615384615385</v>
      </c>
      <c r="Q1625">
        <f>IFERROR($J1625/IF($A1625&lt;COUNTIFS($K$1:Q$1,"&lt;&gt;"),0,SUMIFS($J:$J,$B:$B,$B1625,$A:$A,"&gt;="&amp;COUNTIFS($K$1:Q$1,"&lt;&gt;"))),0)</f>
        <v>0.18181818181818182</v>
      </c>
      <c r="R1625">
        <f>IFERROR($J1625/IF($A1625&lt;COUNTIFS($K$1:R$1,"&lt;&gt;"),0,SUMIFS($J:$J,$B:$B,$B1625,$A:$A,"&gt;="&amp;COUNTIFS($K$1:R$1,"&lt;&gt;"))),0)</f>
        <v>0.22388059701492535</v>
      </c>
      <c r="S1625">
        <f>IFERROR($J1625/IF($A1625&lt;COUNTIFS($K$1:S$1,"&lt;&gt;"),0,SUMIFS($J:$J,$B:$B,$B1625,$A:$A,"&gt;="&amp;COUNTIFS($K$1:S$1,"&lt;&gt;"))),0)</f>
        <v>0.29126213592233008</v>
      </c>
      <c r="T1625">
        <f>IFERROR($J1625/IF($A1625&lt;COUNTIFS($K$1:T$1,"&lt;&gt;"),0,SUMIFS($J:$J,$B:$B,$B1625,$A:$A,"&gt;="&amp;COUNTIFS($K$1:T$1,"&lt;&gt;"))),0)</f>
        <v>0.4</v>
      </c>
      <c r="U1625">
        <f>IFERROR($J1625/IF($A1625&lt;COUNTIFS($K$1:U$1,"&lt;&gt;"),0,SUMIFS($J:$J,$B:$B,$B1625,$A:$A,"&gt;="&amp;COUNTIFS($K$1:U$1,"&lt;&gt;"))),0)</f>
        <v>0.68181818181818177</v>
      </c>
      <c r="V1625">
        <f>IFERROR($J1625/IF($A1625&lt;COUNTIFS($K$1:V$1,"&lt;&gt;"),0,SUMIFS($J:$J,$B:$B,$B1625,$A:$A,"&gt;="&amp;COUNTIFS($K$1:V$1,"&lt;&gt;"))),0)</f>
        <v>0</v>
      </c>
      <c r="W1625">
        <f t="shared" si="574"/>
        <v>8.2191780821917804E-2</v>
      </c>
      <c r="X1625">
        <f t="shared" si="554"/>
        <v>8.2191780821917804E-2</v>
      </c>
      <c r="Y1625">
        <f t="shared" si="555"/>
        <v>8.2191780821917804E-2</v>
      </c>
      <c r="Z1625">
        <f t="shared" si="556"/>
        <v>8.2191780821917804E-2</v>
      </c>
      <c r="AA1625">
        <f t="shared" si="557"/>
        <v>8.2191780821917804E-2</v>
      </c>
      <c r="AB1625">
        <f t="shared" si="558"/>
        <v>8.2191780821917804E-2</v>
      </c>
      <c r="AC1625">
        <f t="shared" si="559"/>
        <v>8.2191780821917804E-2</v>
      </c>
      <c r="AD1625">
        <f t="shared" si="560"/>
        <v>8.2191780821917804E-2</v>
      </c>
      <c r="AE1625">
        <f t="shared" si="561"/>
        <v>8.2191780821917804E-2</v>
      </c>
      <c r="AF1625">
        <f t="shared" si="562"/>
        <v>8.2191780821917804E-2</v>
      </c>
      <c r="AG1625">
        <f t="shared" si="563"/>
        <v>8.2191780821917804E-2</v>
      </c>
      <c r="AH1625">
        <f t="shared" si="564"/>
        <v>8.2191780821917804E-2</v>
      </c>
      <c r="AI1625">
        <f t="shared" si="565"/>
        <v>0</v>
      </c>
      <c r="AJ1625" s="2" t="str">
        <f t="shared" si="575"/>
        <v>1147604</v>
      </c>
    </row>
    <row r="1626" spans="1:36" x14ac:dyDescent="0.25">
      <c r="A1626">
        <v>12</v>
      </c>
      <c r="B1626" s="1">
        <v>47604</v>
      </c>
      <c r="C1626" s="1">
        <f t="shared" si="566"/>
        <v>47969</v>
      </c>
      <c r="D1626" s="1">
        <f t="shared" si="567"/>
        <v>47618</v>
      </c>
      <c r="E1626" s="1">
        <f t="shared" si="568"/>
        <v>47969</v>
      </c>
      <c r="F1626" s="1">
        <f t="shared" si="569"/>
        <v>47983</v>
      </c>
      <c r="G1626" s="1">
        <f t="shared" si="570"/>
        <v>47983</v>
      </c>
      <c r="H1626">
        <f t="shared" si="571"/>
        <v>365</v>
      </c>
      <c r="I1626">
        <f t="shared" si="572"/>
        <v>14</v>
      </c>
      <c r="J1626">
        <f t="shared" si="573"/>
        <v>3.8356164383561646E-2</v>
      </c>
      <c r="K1626">
        <f>IFERROR($J1626/IF($A1626&lt;COUNTIFS($K$1:K$1,"&lt;&gt;"),0,SUMIFS($J:$J,$B:$B,$B1626,$A:$A,"&gt;="&amp;COUNTIFS($K$1:K$1,"&lt;&gt;"))),0)</f>
        <v>4.0229885057471271E-2</v>
      </c>
      <c r="L1626">
        <f>IFERROR($J1626/IF($A1626&lt;COUNTIFS($K$1:L$1,"&lt;&gt;"),0,SUMIFS($J:$J,$B:$B,$B1626,$A:$A,"&gt;="&amp;COUNTIFS($K$1:L$1,"&lt;&gt;"))),0)</f>
        <v>4.4025157232704414E-2</v>
      </c>
      <c r="M1626">
        <f>IFERROR($J1626/IF($A1626&lt;COUNTIFS($K$1:M$1,"&lt;&gt;"),0,SUMIFS($J:$J,$B:$B,$B1626,$A:$A,"&gt;="&amp;COUNTIFS($K$1:M$1,"&lt;&gt;"))),0)</f>
        <v>4.8780487804878057E-2</v>
      </c>
      <c r="N1626">
        <f>IFERROR($J1626/IF($A1626&lt;COUNTIFS($K$1:N$1,"&lt;&gt;"),0,SUMIFS($J:$J,$B:$B,$B1626,$A:$A,"&gt;="&amp;COUNTIFS($K$1:N$1,"&lt;&gt;"))),0)</f>
        <v>5.4687500000000014E-2</v>
      </c>
      <c r="O1626">
        <f>IFERROR($J1626/IF($A1626&lt;COUNTIFS($K$1:O$1,"&lt;&gt;"),0,SUMIFS($J:$J,$B:$B,$B1626,$A:$A,"&gt;="&amp;COUNTIFS($K$1:O$1,"&lt;&gt;"))),0)</f>
        <v>6.194690265486727E-2</v>
      </c>
      <c r="P1626">
        <f>IFERROR($J1626/IF($A1626&lt;COUNTIFS($K$1:P$1,"&lt;&gt;"),0,SUMIFS($J:$J,$B:$B,$B1626,$A:$A,"&gt;="&amp;COUNTIFS($K$1:P$1,"&lt;&gt;"))),0)</f>
        <v>7.1794871794871803E-2</v>
      </c>
      <c r="Q1626">
        <f>IFERROR($J1626/IF($A1626&lt;COUNTIFS($K$1:Q$1,"&lt;&gt;"),0,SUMIFS($J:$J,$B:$B,$B1626,$A:$A,"&gt;="&amp;COUNTIFS($K$1:Q$1,"&lt;&gt;"))),0)</f>
        <v>8.4848484848484854E-2</v>
      </c>
      <c r="R1626">
        <f>IFERROR($J1626/IF($A1626&lt;COUNTIFS($K$1:R$1,"&lt;&gt;"),0,SUMIFS($J:$J,$B:$B,$B1626,$A:$A,"&gt;="&amp;COUNTIFS($K$1:R$1,"&lt;&gt;"))),0)</f>
        <v>0.10447761194029852</v>
      </c>
      <c r="S1626">
        <f>IFERROR($J1626/IF($A1626&lt;COUNTIFS($K$1:S$1,"&lt;&gt;"),0,SUMIFS($J:$J,$B:$B,$B1626,$A:$A,"&gt;="&amp;COUNTIFS($K$1:S$1,"&lt;&gt;"))),0)</f>
        <v>0.13592233009708737</v>
      </c>
      <c r="T1626">
        <f>IFERROR($J1626/IF($A1626&lt;COUNTIFS($K$1:T$1,"&lt;&gt;"),0,SUMIFS($J:$J,$B:$B,$B1626,$A:$A,"&gt;="&amp;COUNTIFS($K$1:T$1,"&lt;&gt;"))),0)</f>
        <v>0.18666666666666668</v>
      </c>
      <c r="U1626">
        <f>IFERROR($J1626/IF($A1626&lt;COUNTIFS($K$1:U$1,"&lt;&gt;"),0,SUMIFS($J:$J,$B:$B,$B1626,$A:$A,"&gt;="&amp;COUNTIFS($K$1:U$1,"&lt;&gt;"))),0)</f>
        <v>0.31818181818181818</v>
      </c>
      <c r="V1626">
        <f>IFERROR($J1626/IF($A1626&lt;COUNTIFS($K$1:V$1,"&lt;&gt;"),0,SUMIFS($J:$J,$B:$B,$B1626,$A:$A,"&gt;="&amp;COUNTIFS($K$1:V$1,"&lt;&gt;"))),0)</f>
        <v>1</v>
      </c>
      <c r="W1626">
        <f t="shared" si="574"/>
        <v>3.8356164383561646E-2</v>
      </c>
      <c r="X1626">
        <f t="shared" si="554"/>
        <v>3.8356164383561646E-2</v>
      </c>
      <c r="Y1626">
        <f t="shared" si="555"/>
        <v>3.8356164383561646E-2</v>
      </c>
      <c r="Z1626">
        <f t="shared" si="556"/>
        <v>3.8356164383561646E-2</v>
      </c>
      <c r="AA1626">
        <f t="shared" si="557"/>
        <v>3.8356164383561646E-2</v>
      </c>
      <c r="AB1626">
        <f t="shared" si="558"/>
        <v>3.8356164383561646E-2</v>
      </c>
      <c r="AC1626">
        <f t="shared" si="559"/>
        <v>3.8356164383561646E-2</v>
      </c>
      <c r="AD1626">
        <f t="shared" si="560"/>
        <v>3.8356164383561646E-2</v>
      </c>
      <c r="AE1626">
        <f t="shared" si="561"/>
        <v>3.8356164383561646E-2</v>
      </c>
      <c r="AF1626">
        <f t="shared" si="562"/>
        <v>3.8356164383561646E-2</v>
      </c>
      <c r="AG1626">
        <f t="shared" si="563"/>
        <v>3.8356164383561646E-2</v>
      </c>
      <c r="AH1626">
        <f t="shared" si="564"/>
        <v>3.8356164383561646E-2</v>
      </c>
      <c r="AI1626">
        <f t="shared" si="565"/>
        <v>3.8356164383561646E-2</v>
      </c>
      <c r="AJ1626" s="2" t="str">
        <f t="shared" si="575"/>
        <v>1247604</v>
      </c>
    </row>
    <row r="1627" spans="1:36" x14ac:dyDescent="0.25">
      <c r="A1627">
        <v>0</v>
      </c>
      <c r="B1627" s="1">
        <v>47635</v>
      </c>
      <c r="C1627" s="1">
        <f t="shared" si="566"/>
        <v>47635</v>
      </c>
      <c r="D1627" s="1">
        <f t="shared" si="567"/>
        <v>47649</v>
      </c>
      <c r="E1627" s="1">
        <f t="shared" si="568"/>
        <v>47649</v>
      </c>
      <c r="F1627" s="1">
        <f t="shared" si="569"/>
        <v>47665</v>
      </c>
      <c r="G1627" s="1">
        <f t="shared" si="570"/>
        <v>48014</v>
      </c>
      <c r="H1627">
        <f t="shared" si="571"/>
        <v>365</v>
      </c>
      <c r="I1627">
        <f t="shared" si="572"/>
        <v>16</v>
      </c>
      <c r="J1627">
        <f t="shared" si="573"/>
        <v>4.3835616438356165E-2</v>
      </c>
      <c r="K1627">
        <f>IFERROR($J1627/IF($A1627&lt;COUNTIFS($K$1:K$1,"&lt;&gt;"),0,SUMIFS($J:$J,$B:$B,$B1627,$A:$A,"&gt;="&amp;COUNTIFS($K$1:K$1,"&lt;&gt;"))),0)</f>
        <v>0</v>
      </c>
      <c r="L1627">
        <f>IFERROR($J1627/IF($A1627&lt;COUNTIFS($K$1:L$1,"&lt;&gt;"),0,SUMIFS($J:$J,$B:$B,$B1627,$A:$A,"&gt;="&amp;COUNTIFS($K$1:L$1,"&lt;&gt;"))),0)</f>
        <v>0</v>
      </c>
      <c r="M1627">
        <f>IFERROR($J1627/IF($A1627&lt;COUNTIFS($K$1:M$1,"&lt;&gt;"),0,SUMIFS($J:$J,$B:$B,$B1627,$A:$A,"&gt;="&amp;COUNTIFS($K$1:M$1,"&lt;&gt;"))),0)</f>
        <v>0</v>
      </c>
      <c r="N1627">
        <f>IFERROR($J1627/IF($A1627&lt;COUNTIFS($K$1:N$1,"&lt;&gt;"),0,SUMIFS($J:$J,$B:$B,$B1627,$A:$A,"&gt;="&amp;COUNTIFS($K$1:N$1,"&lt;&gt;"))),0)</f>
        <v>0</v>
      </c>
      <c r="O1627">
        <f>IFERROR($J1627/IF($A1627&lt;COUNTIFS($K$1:O$1,"&lt;&gt;"),0,SUMIFS($J:$J,$B:$B,$B1627,$A:$A,"&gt;="&amp;COUNTIFS($K$1:O$1,"&lt;&gt;"))),0)</f>
        <v>0</v>
      </c>
      <c r="P1627">
        <f>IFERROR($J1627/IF($A1627&lt;COUNTIFS($K$1:P$1,"&lt;&gt;"),0,SUMIFS($J:$J,$B:$B,$B1627,$A:$A,"&gt;="&amp;COUNTIFS($K$1:P$1,"&lt;&gt;"))),0)</f>
        <v>0</v>
      </c>
      <c r="Q1627">
        <f>IFERROR($J1627/IF($A1627&lt;COUNTIFS($K$1:Q$1,"&lt;&gt;"),0,SUMIFS($J:$J,$B:$B,$B1627,$A:$A,"&gt;="&amp;COUNTIFS($K$1:Q$1,"&lt;&gt;"))),0)</f>
        <v>0</v>
      </c>
      <c r="R1627">
        <f>IFERROR($J1627/IF($A1627&lt;COUNTIFS($K$1:R$1,"&lt;&gt;"),0,SUMIFS($J:$J,$B:$B,$B1627,$A:$A,"&gt;="&amp;COUNTIFS($K$1:R$1,"&lt;&gt;"))),0)</f>
        <v>0</v>
      </c>
      <c r="S1627">
        <f>IFERROR($J1627/IF($A1627&lt;COUNTIFS($K$1:S$1,"&lt;&gt;"),0,SUMIFS($J:$J,$B:$B,$B1627,$A:$A,"&gt;="&amp;COUNTIFS($K$1:S$1,"&lt;&gt;"))),0)</f>
        <v>0</v>
      </c>
      <c r="T1627">
        <f>IFERROR($J1627/IF($A1627&lt;COUNTIFS($K$1:T$1,"&lt;&gt;"),0,SUMIFS($J:$J,$B:$B,$B1627,$A:$A,"&gt;="&amp;COUNTIFS($K$1:T$1,"&lt;&gt;"))),0)</f>
        <v>0</v>
      </c>
      <c r="U1627">
        <f>IFERROR($J1627/IF($A1627&lt;COUNTIFS($K$1:U$1,"&lt;&gt;"),0,SUMIFS($J:$J,$B:$B,$B1627,$A:$A,"&gt;="&amp;COUNTIFS($K$1:U$1,"&lt;&gt;"))),0)</f>
        <v>0</v>
      </c>
      <c r="V1627">
        <f>IFERROR($J1627/IF($A1627&lt;COUNTIFS($K$1:V$1,"&lt;&gt;"),0,SUMIFS($J:$J,$B:$B,$B1627,$A:$A,"&gt;="&amp;COUNTIFS($K$1:V$1,"&lt;&gt;"))),0)</f>
        <v>0</v>
      </c>
      <c r="W1627">
        <f t="shared" si="574"/>
        <v>4.3835616438356165E-2</v>
      </c>
      <c r="X1627">
        <f t="shared" si="554"/>
        <v>0</v>
      </c>
      <c r="Y1627">
        <f t="shared" si="555"/>
        <v>0</v>
      </c>
      <c r="Z1627">
        <f t="shared" si="556"/>
        <v>0</v>
      </c>
      <c r="AA1627">
        <f t="shared" si="557"/>
        <v>0</v>
      </c>
      <c r="AB1627">
        <f t="shared" si="558"/>
        <v>0</v>
      </c>
      <c r="AC1627">
        <f t="shared" si="559"/>
        <v>0</v>
      </c>
      <c r="AD1627">
        <f t="shared" si="560"/>
        <v>0</v>
      </c>
      <c r="AE1627">
        <f t="shared" si="561"/>
        <v>0</v>
      </c>
      <c r="AF1627">
        <f t="shared" si="562"/>
        <v>0</v>
      </c>
      <c r="AG1627">
        <f t="shared" si="563"/>
        <v>0</v>
      </c>
      <c r="AH1627">
        <f t="shared" si="564"/>
        <v>0</v>
      </c>
      <c r="AI1627">
        <f t="shared" si="565"/>
        <v>0</v>
      </c>
      <c r="AJ1627" s="2" t="str">
        <f t="shared" si="575"/>
        <v>047635</v>
      </c>
    </row>
    <row r="1628" spans="1:36" x14ac:dyDescent="0.25">
      <c r="A1628">
        <v>1</v>
      </c>
      <c r="B1628" s="1">
        <v>47635</v>
      </c>
      <c r="C1628" s="1">
        <f t="shared" si="566"/>
        <v>47665</v>
      </c>
      <c r="D1628" s="1">
        <f t="shared" si="567"/>
        <v>47649</v>
      </c>
      <c r="E1628" s="1">
        <f t="shared" si="568"/>
        <v>47665</v>
      </c>
      <c r="F1628" s="1">
        <f t="shared" si="569"/>
        <v>47696</v>
      </c>
      <c r="G1628" s="1">
        <f t="shared" si="570"/>
        <v>48014</v>
      </c>
      <c r="H1628">
        <f t="shared" si="571"/>
        <v>365</v>
      </c>
      <c r="I1628">
        <f t="shared" si="572"/>
        <v>31</v>
      </c>
      <c r="J1628">
        <f t="shared" si="573"/>
        <v>8.4931506849315067E-2</v>
      </c>
      <c r="K1628">
        <f>IFERROR($J1628/IF($A1628&lt;COUNTIFS($K$1:K$1,"&lt;&gt;"),0,SUMIFS($J:$J,$B:$B,$B1628,$A:$A,"&gt;="&amp;COUNTIFS($K$1:K$1,"&lt;&gt;"))),0)</f>
        <v>8.8825214899713484E-2</v>
      </c>
      <c r="L1628">
        <f>IFERROR($J1628/IF($A1628&lt;COUNTIFS($K$1:L$1,"&lt;&gt;"),0,SUMIFS($J:$J,$B:$B,$B1628,$A:$A,"&gt;="&amp;COUNTIFS($K$1:L$1,"&lt;&gt;"))),0)</f>
        <v>0</v>
      </c>
      <c r="M1628">
        <f>IFERROR($J1628/IF($A1628&lt;COUNTIFS($K$1:M$1,"&lt;&gt;"),0,SUMIFS($J:$J,$B:$B,$B1628,$A:$A,"&gt;="&amp;COUNTIFS($K$1:M$1,"&lt;&gt;"))),0)</f>
        <v>0</v>
      </c>
      <c r="N1628">
        <f>IFERROR($J1628/IF($A1628&lt;COUNTIFS($K$1:N$1,"&lt;&gt;"),0,SUMIFS($J:$J,$B:$B,$B1628,$A:$A,"&gt;="&amp;COUNTIFS($K$1:N$1,"&lt;&gt;"))),0)</f>
        <v>0</v>
      </c>
      <c r="O1628">
        <f>IFERROR($J1628/IF($A1628&lt;COUNTIFS($K$1:O$1,"&lt;&gt;"),0,SUMIFS($J:$J,$B:$B,$B1628,$A:$A,"&gt;="&amp;COUNTIFS($K$1:O$1,"&lt;&gt;"))),0)</f>
        <v>0</v>
      </c>
      <c r="P1628">
        <f>IFERROR($J1628/IF($A1628&lt;COUNTIFS($K$1:P$1,"&lt;&gt;"),0,SUMIFS($J:$J,$B:$B,$B1628,$A:$A,"&gt;="&amp;COUNTIFS($K$1:P$1,"&lt;&gt;"))),0)</f>
        <v>0</v>
      </c>
      <c r="Q1628">
        <f>IFERROR($J1628/IF($A1628&lt;COUNTIFS($K$1:Q$1,"&lt;&gt;"),0,SUMIFS($J:$J,$B:$B,$B1628,$A:$A,"&gt;="&amp;COUNTIFS($K$1:Q$1,"&lt;&gt;"))),0)</f>
        <v>0</v>
      </c>
      <c r="R1628">
        <f>IFERROR($J1628/IF($A1628&lt;COUNTIFS($K$1:R$1,"&lt;&gt;"),0,SUMIFS($J:$J,$B:$B,$B1628,$A:$A,"&gt;="&amp;COUNTIFS($K$1:R$1,"&lt;&gt;"))),0)</f>
        <v>0</v>
      </c>
      <c r="S1628">
        <f>IFERROR($J1628/IF($A1628&lt;COUNTIFS($K$1:S$1,"&lt;&gt;"),0,SUMIFS($J:$J,$B:$B,$B1628,$A:$A,"&gt;="&amp;COUNTIFS($K$1:S$1,"&lt;&gt;"))),0)</f>
        <v>0</v>
      </c>
      <c r="T1628">
        <f>IFERROR($J1628/IF($A1628&lt;COUNTIFS($K$1:T$1,"&lt;&gt;"),0,SUMIFS($J:$J,$B:$B,$B1628,$A:$A,"&gt;="&amp;COUNTIFS($K$1:T$1,"&lt;&gt;"))),0)</f>
        <v>0</v>
      </c>
      <c r="U1628">
        <f>IFERROR($J1628/IF($A1628&lt;COUNTIFS($K$1:U$1,"&lt;&gt;"),0,SUMIFS($J:$J,$B:$B,$B1628,$A:$A,"&gt;="&amp;COUNTIFS($K$1:U$1,"&lt;&gt;"))),0)</f>
        <v>0</v>
      </c>
      <c r="V1628">
        <f>IFERROR($J1628/IF($A1628&lt;COUNTIFS($K$1:V$1,"&lt;&gt;"),0,SUMIFS($J:$J,$B:$B,$B1628,$A:$A,"&gt;="&amp;COUNTIFS($K$1:V$1,"&lt;&gt;"))),0)</f>
        <v>0</v>
      </c>
      <c r="W1628">
        <f t="shared" si="574"/>
        <v>8.4931506849315067E-2</v>
      </c>
      <c r="X1628">
        <f t="shared" si="554"/>
        <v>8.4931506849315067E-2</v>
      </c>
      <c r="Y1628">
        <f t="shared" si="555"/>
        <v>0</v>
      </c>
      <c r="Z1628">
        <f t="shared" si="556"/>
        <v>0</v>
      </c>
      <c r="AA1628">
        <f t="shared" si="557"/>
        <v>0</v>
      </c>
      <c r="AB1628">
        <f t="shared" si="558"/>
        <v>0</v>
      </c>
      <c r="AC1628">
        <f t="shared" si="559"/>
        <v>0</v>
      </c>
      <c r="AD1628">
        <f t="shared" si="560"/>
        <v>0</v>
      </c>
      <c r="AE1628">
        <f t="shared" si="561"/>
        <v>0</v>
      </c>
      <c r="AF1628">
        <f t="shared" si="562"/>
        <v>0</v>
      </c>
      <c r="AG1628">
        <f t="shared" si="563"/>
        <v>0</v>
      </c>
      <c r="AH1628">
        <f t="shared" si="564"/>
        <v>0</v>
      </c>
      <c r="AI1628">
        <f t="shared" si="565"/>
        <v>0</v>
      </c>
      <c r="AJ1628" s="2" t="str">
        <f t="shared" si="575"/>
        <v>147635</v>
      </c>
    </row>
    <row r="1629" spans="1:36" x14ac:dyDescent="0.25">
      <c r="A1629">
        <v>2</v>
      </c>
      <c r="B1629" s="1">
        <v>47635</v>
      </c>
      <c r="C1629" s="1">
        <f t="shared" si="566"/>
        <v>47696</v>
      </c>
      <c r="D1629" s="1">
        <f t="shared" si="567"/>
        <v>47649</v>
      </c>
      <c r="E1629" s="1">
        <f t="shared" si="568"/>
        <v>47696</v>
      </c>
      <c r="F1629" s="1">
        <f t="shared" si="569"/>
        <v>47727</v>
      </c>
      <c r="G1629" s="1">
        <f t="shared" si="570"/>
        <v>48014</v>
      </c>
      <c r="H1629">
        <f t="shared" si="571"/>
        <v>365</v>
      </c>
      <c r="I1629">
        <f t="shared" si="572"/>
        <v>31</v>
      </c>
      <c r="J1629">
        <f t="shared" si="573"/>
        <v>8.4931506849315067E-2</v>
      </c>
      <c r="K1629">
        <f>IFERROR($J1629/IF($A1629&lt;COUNTIFS($K$1:K$1,"&lt;&gt;"),0,SUMIFS($J:$J,$B:$B,$B1629,$A:$A,"&gt;="&amp;COUNTIFS($K$1:K$1,"&lt;&gt;"))),0)</f>
        <v>8.8825214899713484E-2</v>
      </c>
      <c r="L1629">
        <f>IFERROR($J1629/IF($A1629&lt;COUNTIFS($K$1:L$1,"&lt;&gt;"),0,SUMIFS($J:$J,$B:$B,$B1629,$A:$A,"&gt;="&amp;COUNTIFS($K$1:L$1,"&lt;&gt;"))),0)</f>
        <v>9.7484276729559768E-2</v>
      </c>
      <c r="M1629">
        <f>IFERROR($J1629/IF($A1629&lt;COUNTIFS($K$1:M$1,"&lt;&gt;"),0,SUMIFS($J:$J,$B:$B,$B1629,$A:$A,"&gt;="&amp;COUNTIFS($K$1:M$1,"&lt;&gt;"))),0)</f>
        <v>0</v>
      </c>
      <c r="N1629">
        <f>IFERROR($J1629/IF($A1629&lt;COUNTIFS($K$1:N$1,"&lt;&gt;"),0,SUMIFS($J:$J,$B:$B,$B1629,$A:$A,"&gt;="&amp;COUNTIFS($K$1:N$1,"&lt;&gt;"))),0)</f>
        <v>0</v>
      </c>
      <c r="O1629">
        <f>IFERROR($J1629/IF($A1629&lt;COUNTIFS($K$1:O$1,"&lt;&gt;"),0,SUMIFS($J:$J,$B:$B,$B1629,$A:$A,"&gt;="&amp;COUNTIFS($K$1:O$1,"&lt;&gt;"))),0)</f>
        <v>0</v>
      </c>
      <c r="P1629">
        <f>IFERROR($J1629/IF($A1629&lt;COUNTIFS($K$1:P$1,"&lt;&gt;"),0,SUMIFS($J:$J,$B:$B,$B1629,$A:$A,"&gt;="&amp;COUNTIFS($K$1:P$1,"&lt;&gt;"))),0)</f>
        <v>0</v>
      </c>
      <c r="Q1629">
        <f>IFERROR($J1629/IF($A1629&lt;COUNTIFS($K$1:Q$1,"&lt;&gt;"),0,SUMIFS($J:$J,$B:$B,$B1629,$A:$A,"&gt;="&amp;COUNTIFS($K$1:Q$1,"&lt;&gt;"))),0)</f>
        <v>0</v>
      </c>
      <c r="R1629">
        <f>IFERROR($J1629/IF($A1629&lt;COUNTIFS($K$1:R$1,"&lt;&gt;"),0,SUMIFS($J:$J,$B:$B,$B1629,$A:$A,"&gt;="&amp;COUNTIFS($K$1:R$1,"&lt;&gt;"))),0)</f>
        <v>0</v>
      </c>
      <c r="S1629">
        <f>IFERROR($J1629/IF($A1629&lt;COUNTIFS($K$1:S$1,"&lt;&gt;"),0,SUMIFS($J:$J,$B:$B,$B1629,$A:$A,"&gt;="&amp;COUNTIFS($K$1:S$1,"&lt;&gt;"))),0)</f>
        <v>0</v>
      </c>
      <c r="T1629">
        <f>IFERROR($J1629/IF($A1629&lt;COUNTIFS($K$1:T$1,"&lt;&gt;"),0,SUMIFS($J:$J,$B:$B,$B1629,$A:$A,"&gt;="&amp;COUNTIFS($K$1:T$1,"&lt;&gt;"))),0)</f>
        <v>0</v>
      </c>
      <c r="U1629">
        <f>IFERROR($J1629/IF($A1629&lt;COUNTIFS($K$1:U$1,"&lt;&gt;"),0,SUMIFS($J:$J,$B:$B,$B1629,$A:$A,"&gt;="&amp;COUNTIFS($K$1:U$1,"&lt;&gt;"))),0)</f>
        <v>0</v>
      </c>
      <c r="V1629">
        <f>IFERROR($J1629/IF($A1629&lt;COUNTIFS($K$1:V$1,"&lt;&gt;"),0,SUMIFS($J:$J,$B:$B,$B1629,$A:$A,"&gt;="&amp;COUNTIFS($K$1:V$1,"&lt;&gt;"))),0)</f>
        <v>0</v>
      </c>
      <c r="W1629">
        <f t="shared" si="574"/>
        <v>8.4931506849315067E-2</v>
      </c>
      <c r="X1629">
        <f t="shared" si="554"/>
        <v>8.4931506849315067E-2</v>
      </c>
      <c r="Y1629">
        <f t="shared" si="555"/>
        <v>8.4931506849315067E-2</v>
      </c>
      <c r="Z1629">
        <f t="shared" si="556"/>
        <v>0</v>
      </c>
      <c r="AA1629">
        <f t="shared" si="557"/>
        <v>0</v>
      </c>
      <c r="AB1629">
        <f t="shared" si="558"/>
        <v>0</v>
      </c>
      <c r="AC1629">
        <f t="shared" si="559"/>
        <v>0</v>
      </c>
      <c r="AD1629">
        <f t="shared" si="560"/>
        <v>0</v>
      </c>
      <c r="AE1629">
        <f t="shared" si="561"/>
        <v>0</v>
      </c>
      <c r="AF1629">
        <f t="shared" si="562"/>
        <v>0</v>
      </c>
      <c r="AG1629">
        <f t="shared" si="563"/>
        <v>0</v>
      </c>
      <c r="AH1629">
        <f t="shared" si="564"/>
        <v>0</v>
      </c>
      <c r="AI1629">
        <f t="shared" si="565"/>
        <v>0</v>
      </c>
      <c r="AJ1629" s="2" t="str">
        <f t="shared" si="575"/>
        <v>247635</v>
      </c>
    </row>
    <row r="1630" spans="1:36" x14ac:dyDescent="0.25">
      <c r="A1630">
        <v>3</v>
      </c>
      <c r="B1630" s="1">
        <v>47635</v>
      </c>
      <c r="C1630" s="1">
        <f t="shared" si="566"/>
        <v>47727</v>
      </c>
      <c r="D1630" s="1">
        <f t="shared" si="567"/>
        <v>47649</v>
      </c>
      <c r="E1630" s="1">
        <f t="shared" si="568"/>
        <v>47727</v>
      </c>
      <c r="F1630" s="1">
        <f t="shared" si="569"/>
        <v>47757</v>
      </c>
      <c r="G1630" s="1">
        <f t="shared" si="570"/>
        <v>48014</v>
      </c>
      <c r="H1630">
        <f t="shared" si="571"/>
        <v>365</v>
      </c>
      <c r="I1630">
        <f t="shared" si="572"/>
        <v>30</v>
      </c>
      <c r="J1630">
        <f t="shared" si="573"/>
        <v>8.2191780821917804E-2</v>
      </c>
      <c r="K1630">
        <f>IFERROR($J1630/IF($A1630&lt;COUNTIFS($K$1:K$1,"&lt;&gt;"),0,SUMIFS($J:$J,$B:$B,$B1630,$A:$A,"&gt;="&amp;COUNTIFS($K$1:K$1,"&lt;&gt;"))),0)</f>
        <v>8.5959885386819493E-2</v>
      </c>
      <c r="L1630">
        <f>IFERROR($J1630/IF($A1630&lt;COUNTIFS($K$1:L$1,"&lt;&gt;"),0,SUMIFS($J:$J,$B:$B,$B1630,$A:$A,"&gt;="&amp;COUNTIFS($K$1:L$1,"&lt;&gt;"))),0)</f>
        <v>9.4339622641509441E-2</v>
      </c>
      <c r="M1630">
        <f>IFERROR($J1630/IF($A1630&lt;COUNTIFS($K$1:M$1,"&lt;&gt;"),0,SUMIFS($J:$J,$B:$B,$B1630,$A:$A,"&gt;="&amp;COUNTIFS($K$1:M$1,"&lt;&gt;"))),0)</f>
        <v>0.10452961672473869</v>
      </c>
      <c r="N1630">
        <f>IFERROR($J1630/IF($A1630&lt;COUNTIFS($K$1:N$1,"&lt;&gt;"),0,SUMIFS($J:$J,$B:$B,$B1630,$A:$A,"&gt;="&amp;COUNTIFS($K$1:N$1,"&lt;&gt;"))),0)</f>
        <v>0</v>
      </c>
      <c r="O1630">
        <f>IFERROR($J1630/IF($A1630&lt;COUNTIFS($K$1:O$1,"&lt;&gt;"),0,SUMIFS($J:$J,$B:$B,$B1630,$A:$A,"&gt;="&amp;COUNTIFS($K$1:O$1,"&lt;&gt;"))),0)</f>
        <v>0</v>
      </c>
      <c r="P1630">
        <f>IFERROR($J1630/IF($A1630&lt;COUNTIFS($K$1:P$1,"&lt;&gt;"),0,SUMIFS($J:$J,$B:$B,$B1630,$A:$A,"&gt;="&amp;COUNTIFS($K$1:P$1,"&lt;&gt;"))),0)</f>
        <v>0</v>
      </c>
      <c r="Q1630">
        <f>IFERROR($J1630/IF($A1630&lt;COUNTIFS($K$1:Q$1,"&lt;&gt;"),0,SUMIFS($J:$J,$B:$B,$B1630,$A:$A,"&gt;="&amp;COUNTIFS($K$1:Q$1,"&lt;&gt;"))),0)</f>
        <v>0</v>
      </c>
      <c r="R1630">
        <f>IFERROR($J1630/IF($A1630&lt;COUNTIFS($K$1:R$1,"&lt;&gt;"),0,SUMIFS($J:$J,$B:$B,$B1630,$A:$A,"&gt;="&amp;COUNTIFS($K$1:R$1,"&lt;&gt;"))),0)</f>
        <v>0</v>
      </c>
      <c r="S1630">
        <f>IFERROR($J1630/IF($A1630&lt;COUNTIFS($K$1:S$1,"&lt;&gt;"),0,SUMIFS($J:$J,$B:$B,$B1630,$A:$A,"&gt;="&amp;COUNTIFS($K$1:S$1,"&lt;&gt;"))),0)</f>
        <v>0</v>
      </c>
      <c r="T1630">
        <f>IFERROR($J1630/IF($A1630&lt;COUNTIFS($K$1:T$1,"&lt;&gt;"),0,SUMIFS($J:$J,$B:$B,$B1630,$A:$A,"&gt;="&amp;COUNTIFS($K$1:T$1,"&lt;&gt;"))),0)</f>
        <v>0</v>
      </c>
      <c r="U1630">
        <f>IFERROR($J1630/IF($A1630&lt;COUNTIFS($K$1:U$1,"&lt;&gt;"),0,SUMIFS($J:$J,$B:$B,$B1630,$A:$A,"&gt;="&amp;COUNTIFS($K$1:U$1,"&lt;&gt;"))),0)</f>
        <v>0</v>
      </c>
      <c r="V1630">
        <f>IFERROR($J1630/IF($A1630&lt;COUNTIFS($K$1:V$1,"&lt;&gt;"),0,SUMIFS($J:$J,$B:$B,$B1630,$A:$A,"&gt;="&amp;COUNTIFS($K$1:V$1,"&lt;&gt;"))),0)</f>
        <v>0</v>
      </c>
      <c r="W1630">
        <f t="shared" si="574"/>
        <v>8.2191780821917804E-2</v>
      </c>
      <c r="X1630">
        <f t="shared" si="554"/>
        <v>8.2191780821917804E-2</v>
      </c>
      <c r="Y1630">
        <f t="shared" si="555"/>
        <v>8.2191780821917804E-2</v>
      </c>
      <c r="Z1630">
        <f t="shared" si="556"/>
        <v>8.2191780821917804E-2</v>
      </c>
      <c r="AA1630">
        <f t="shared" si="557"/>
        <v>0</v>
      </c>
      <c r="AB1630">
        <f t="shared" si="558"/>
        <v>0</v>
      </c>
      <c r="AC1630">
        <f t="shared" si="559"/>
        <v>0</v>
      </c>
      <c r="AD1630">
        <f t="shared" si="560"/>
        <v>0</v>
      </c>
      <c r="AE1630">
        <f t="shared" si="561"/>
        <v>0</v>
      </c>
      <c r="AF1630">
        <f t="shared" si="562"/>
        <v>0</v>
      </c>
      <c r="AG1630">
        <f t="shared" si="563"/>
        <v>0</v>
      </c>
      <c r="AH1630">
        <f t="shared" si="564"/>
        <v>0</v>
      </c>
      <c r="AI1630">
        <f t="shared" si="565"/>
        <v>0</v>
      </c>
      <c r="AJ1630" s="2" t="str">
        <f t="shared" si="575"/>
        <v>347635</v>
      </c>
    </row>
    <row r="1631" spans="1:36" x14ac:dyDescent="0.25">
      <c r="A1631">
        <v>4</v>
      </c>
      <c r="B1631" s="1">
        <v>47635</v>
      </c>
      <c r="C1631" s="1">
        <f t="shared" si="566"/>
        <v>47757</v>
      </c>
      <c r="D1631" s="1">
        <f t="shared" si="567"/>
        <v>47649</v>
      </c>
      <c r="E1631" s="1">
        <f t="shared" si="568"/>
        <v>47757</v>
      </c>
      <c r="F1631" s="1">
        <f t="shared" si="569"/>
        <v>47788</v>
      </c>
      <c r="G1631" s="1">
        <f t="shared" si="570"/>
        <v>48014</v>
      </c>
      <c r="H1631">
        <f t="shared" si="571"/>
        <v>365</v>
      </c>
      <c r="I1631">
        <f t="shared" si="572"/>
        <v>31</v>
      </c>
      <c r="J1631">
        <f t="shared" si="573"/>
        <v>8.4931506849315067E-2</v>
      </c>
      <c r="K1631">
        <f>IFERROR($J1631/IF($A1631&lt;COUNTIFS($K$1:K$1,"&lt;&gt;"),0,SUMIFS($J:$J,$B:$B,$B1631,$A:$A,"&gt;="&amp;COUNTIFS($K$1:K$1,"&lt;&gt;"))),0)</f>
        <v>8.8825214899713484E-2</v>
      </c>
      <c r="L1631">
        <f>IFERROR($J1631/IF($A1631&lt;COUNTIFS($K$1:L$1,"&lt;&gt;"),0,SUMIFS($J:$J,$B:$B,$B1631,$A:$A,"&gt;="&amp;COUNTIFS($K$1:L$1,"&lt;&gt;"))),0)</f>
        <v>9.7484276729559768E-2</v>
      </c>
      <c r="M1631">
        <f>IFERROR($J1631/IF($A1631&lt;COUNTIFS($K$1:M$1,"&lt;&gt;"),0,SUMIFS($J:$J,$B:$B,$B1631,$A:$A,"&gt;="&amp;COUNTIFS($K$1:M$1,"&lt;&gt;"))),0)</f>
        <v>0.10801393728222998</v>
      </c>
      <c r="N1631">
        <f>IFERROR($J1631/IF($A1631&lt;COUNTIFS($K$1:N$1,"&lt;&gt;"),0,SUMIFS($J:$J,$B:$B,$B1631,$A:$A,"&gt;="&amp;COUNTIFS($K$1:N$1,"&lt;&gt;"))),0)</f>
        <v>0.12062256809338523</v>
      </c>
      <c r="O1631">
        <f>IFERROR($J1631/IF($A1631&lt;COUNTIFS($K$1:O$1,"&lt;&gt;"),0,SUMIFS($J:$J,$B:$B,$B1631,$A:$A,"&gt;="&amp;COUNTIFS($K$1:O$1,"&lt;&gt;"))),0)</f>
        <v>0</v>
      </c>
      <c r="P1631">
        <f>IFERROR($J1631/IF($A1631&lt;COUNTIFS($K$1:P$1,"&lt;&gt;"),0,SUMIFS($J:$J,$B:$B,$B1631,$A:$A,"&gt;="&amp;COUNTIFS($K$1:P$1,"&lt;&gt;"))),0)</f>
        <v>0</v>
      </c>
      <c r="Q1631">
        <f>IFERROR($J1631/IF($A1631&lt;COUNTIFS($K$1:Q$1,"&lt;&gt;"),0,SUMIFS($J:$J,$B:$B,$B1631,$A:$A,"&gt;="&amp;COUNTIFS($K$1:Q$1,"&lt;&gt;"))),0)</f>
        <v>0</v>
      </c>
      <c r="R1631">
        <f>IFERROR($J1631/IF($A1631&lt;COUNTIFS($K$1:R$1,"&lt;&gt;"),0,SUMIFS($J:$J,$B:$B,$B1631,$A:$A,"&gt;="&amp;COUNTIFS($K$1:R$1,"&lt;&gt;"))),0)</f>
        <v>0</v>
      </c>
      <c r="S1631">
        <f>IFERROR($J1631/IF($A1631&lt;COUNTIFS($K$1:S$1,"&lt;&gt;"),0,SUMIFS($J:$J,$B:$B,$B1631,$A:$A,"&gt;="&amp;COUNTIFS($K$1:S$1,"&lt;&gt;"))),0)</f>
        <v>0</v>
      </c>
      <c r="T1631">
        <f>IFERROR($J1631/IF($A1631&lt;COUNTIFS($K$1:T$1,"&lt;&gt;"),0,SUMIFS($J:$J,$B:$B,$B1631,$A:$A,"&gt;="&amp;COUNTIFS($K$1:T$1,"&lt;&gt;"))),0)</f>
        <v>0</v>
      </c>
      <c r="U1631">
        <f>IFERROR($J1631/IF($A1631&lt;COUNTIFS($K$1:U$1,"&lt;&gt;"),0,SUMIFS($J:$J,$B:$B,$B1631,$A:$A,"&gt;="&amp;COUNTIFS($K$1:U$1,"&lt;&gt;"))),0)</f>
        <v>0</v>
      </c>
      <c r="V1631">
        <f>IFERROR($J1631/IF($A1631&lt;COUNTIFS($K$1:V$1,"&lt;&gt;"),0,SUMIFS($J:$J,$B:$B,$B1631,$A:$A,"&gt;="&amp;COUNTIFS($K$1:V$1,"&lt;&gt;"))),0)</f>
        <v>0</v>
      </c>
      <c r="W1631">
        <f t="shared" si="574"/>
        <v>8.4931506849315067E-2</v>
      </c>
      <c r="X1631">
        <f t="shared" si="554"/>
        <v>8.4931506849315067E-2</v>
      </c>
      <c r="Y1631">
        <f t="shared" si="555"/>
        <v>8.4931506849315067E-2</v>
      </c>
      <c r="Z1631">
        <f t="shared" si="556"/>
        <v>8.4931506849315067E-2</v>
      </c>
      <c r="AA1631">
        <f t="shared" si="557"/>
        <v>8.4931506849315067E-2</v>
      </c>
      <c r="AB1631">
        <f t="shared" si="558"/>
        <v>0</v>
      </c>
      <c r="AC1631">
        <f t="shared" si="559"/>
        <v>0</v>
      </c>
      <c r="AD1631">
        <f t="shared" si="560"/>
        <v>0</v>
      </c>
      <c r="AE1631">
        <f t="shared" si="561"/>
        <v>0</v>
      </c>
      <c r="AF1631">
        <f t="shared" si="562"/>
        <v>0</v>
      </c>
      <c r="AG1631">
        <f t="shared" si="563"/>
        <v>0</v>
      </c>
      <c r="AH1631">
        <f t="shared" si="564"/>
        <v>0</v>
      </c>
      <c r="AI1631">
        <f t="shared" si="565"/>
        <v>0</v>
      </c>
      <c r="AJ1631" s="2" t="str">
        <f t="shared" si="575"/>
        <v>447635</v>
      </c>
    </row>
    <row r="1632" spans="1:36" x14ac:dyDescent="0.25">
      <c r="A1632">
        <v>5</v>
      </c>
      <c r="B1632" s="1">
        <v>47635</v>
      </c>
      <c r="C1632" s="1">
        <f t="shared" si="566"/>
        <v>47788</v>
      </c>
      <c r="D1632" s="1">
        <f t="shared" si="567"/>
        <v>47649</v>
      </c>
      <c r="E1632" s="1">
        <f t="shared" si="568"/>
        <v>47788</v>
      </c>
      <c r="F1632" s="1">
        <f t="shared" si="569"/>
        <v>47818</v>
      </c>
      <c r="G1632" s="1">
        <f t="shared" si="570"/>
        <v>48014</v>
      </c>
      <c r="H1632">
        <f t="shared" si="571"/>
        <v>365</v>
      </c>
      <c r="I1632">
        <f t="shared" si="572"/>
        <v>30</v>
      </c>
      <c r="J1632">
        <f t="shared" si="573"/>
        <v>8.2191780821917804E-2</v>
      </c>
      <c r="K1632">
        <f>IFERROR($J1632/IF($A1632&lt;COUNTIFS($K$1:K$1,"&lt;&gt;"),0,SUMIFS($J:$J,$B:$B,$B1632,$A:$A,"&gt;="&amp;COUNTIFS($K$1:K$1,"&lt;&gt;"))),0)</f>
        <v>8.5959885386819493E-2</v>
      </c>
      <c r="L1632">
        <f>IFERROR($J1632/IF($A1632&lt;COUNTIFS($K$1:L$1,"&lt;&gt;"),0,SUMIFS($J:$J,$B:$B,$B1632,$A:$A,"&gt;="&amp;COUNTIFS($K$1:L$1,"&lt;&gt;"))),0)</f>
        <v>9.4339622641509441E-2</v>
      </c>
      <c r="M1632">
        <f>IFERROR($J1632/IF($A1632&lt;COUNTIFS($K$1:M$1,"&lt;&gt;"),0,SUMIFS($J:$J,$B:$B,$B1632,$A:$A,"&gt;="&amp;COUNTIFS($K$1:M$1,"&lt;&gt;"))),0)</f>
        <v>0.10452961672473869</v>
      </c>
      <c r="N1632">
        <f>IFERROR($J1632/IF($A1632&lt;COUNTIFS($K$1:N$1,"&lt;&gt;"),0,SUMIFS($J:$J,$B:$B,$B1632,$A:$A,"&gt;="&amp;COUNTIFS($K$1:N$1,"&lt;&gt;"))),0)</f>
        <v>0.11673151750972764</v>
      </c>
      <c r="O1632">
        <f>IFERROR($J1632/IF($A1632&lt;COUNTIFS($K$1:O$1,"&lt;&gt;"),0,SUMIFS($J:$J,$B:$B,$B1632,$A:$A,"&gt;="&amp;COUNTIFS($K$1:O$1,"&lt;&gt;"))),0)</f>
        <v>0.13274336283185842</v>
      </c>
      <c r="P1632">
        <f>IFERROR($J1632/IF($A1632&lt;COUNTIFS($K$1:P$1,"&lt;&gt;"),0,SUMIFS($J:$J,$B:$B,$B1632,$A:$A,"&gt;="&amp;COUNTIFS($K$1:P$1,"&lt;&gt;"))),0)</f>
        <v>0</v>
      </c>
      <c r="Q1632">
        <f>IFERROR($J1632/IF($A1632&lt;COUNTIFS($K$1:Q$1,"&lt;&gt;"),0,SUMIFS($J:$J,$B:$B,$B1632,$A:$A,"&gt;="&amp;COUNTIFS($K$1:Q$1,"&lt;&gt;"))),0)</f>
        <v>0</v>
      </c>
      <c r="R1632">
        <f>IFERROR($J1632/IF($A1632&lt;COUNTIFS($K$1:R$1,"&lt;&gt;"),0,SUMIFS($J:$J,$B:$B,$B1632,$A:$A,"&gt;="&amp;COUNTIFS($K$1:R$1,"&lt;&gt;"))),0)</f>
        <v>0</v>
      </c>
      <c r="S1632">
        <f>IFERROR($J1632/IF($A1632&lt;COUNTIFS($K$1:S$1,"&lt;&gt;"),0,SUMIFS($J:$J,$B:$B,$B1632,$A:$A,"&gt;="&amp;COUNTIFS($K$1:S$1,"&lt;&gt;"))),0)</f>
        <v>0</v>
      </c>
      <c r="T1632">
        <f>IFERROR($J1632/IF($A1632&lt;COUNTIFS($K$1:T$1,"&lt;&gt;"),0,SUMIFS($J:$J,$B:$B,$B1632,$A:$A,"&gt;="&amp;COUNTIFS($K$1:T$1,"&lt;&gt;"))),0)</f>
        <v>0</v>
      </c>
      <c r="U1632">
        <f>IFERROR($J1632/IF($A1632&lt;COUNTIFS($K$1:U$1,"&lt;&gt;"),0,SUMIFS($J:$J,$B:$B,$B1632,$A:$A,"&gt;="&amp;COUNTIFS($K$1:U$1,"&lt;&gt;"))),0)</f>
        <v>0</v>
      </c>
      <c r="V1632">
        <f>IFERROR($J1632/IF($A1632&lt;COUNTIFS($K$1:V$1,"&lt;&gt;"),0,SUMIFS($J:$J,$B:$B,$B1632,$A:$A,"&gt;="&amp;COUNTIFS($K$1:V$1,"&lt;&gt;"))),0)</f>
        <v>0</v>
      </c>
      <c r="W1632">
        <f t="shared" si="574"/>
        <v>8.2191780821917804E-2</v>
      </c>
      <c r="X1632">
        <f t="shared" si="554"/>
        <v>8.2191780821917804E-2</v>
      </c>
      <c r="Y1632">
        <f t="shared" si="555"/>
        <v>8.2191780821917804E-2</v>
      </c>
      <c r="Z1632">
        <f t="shared" si="556"/>
        <v>8.2191780821917804E-2</v>
      </c>
      <c r="AA1632">
        <f t="shared" si="557"/>
        <v>8.2191780821917804E-2</v>
      </c>
      <c r="AB1632">
        <f t="shared" si="558"/>
        <v>8.2191780821917804E-2</v>
      </c>
      <c r="AC1632">
        <f t="shared" si="559"/>
        <v>0</v>
      </c>
      <c r="AD1632">
        <f t="shared" si="560"/>
        <v>0</v>
      </c>
      <c r="AE1632">
        <f t="shared" si="561"/>
        <v>0</v>
      </c>
      <c r="AF1632">
        <f t="shared" si="562"/>
        <v>0</v>
      </c>
      <c r="AG1632">
        <f t="shared" si="563"/>
        <v>0</v>
      </c>
      <c r="AH1632">
        <f t="shared" si="564"/>
        <v>0</v>
      </c>
      <c r="AI1632">
        <f t="shared" si="565"/>
        <v>0</v>
      </c>
      <c r="AJ1632" s="2" t="str">
        <f t="shared" si="575"/>
        <v>547635</v>
      </c>
    </row>
    <row r="1633" spans="1:36" x14ac:dyDescent="0.25">
      <c r="A1633">
        <v>6</v>
      </c>
      <c r="B1633" s="1">
        <v>47635</v>
      </c>
      <c r="C1633" s="1">
        <f t="shared" si="566"/>
        <v>47818</v>
      </c>
      <c r="D1633" s="1">
        <f t="shared" si="567"/>
        <v>47649</v>
      </c>
      <c r="E1633" s="1">
        <f t="shared" si="568"/>
        <v>47818</v>
      </c>
      <c r="F1633" s="1">
        <f t="shared" si="569"/>
        <v>47849</v>
      </c>
      <c r="G1633" s="1">
        <f t="shared" si="570"/>
        <v>48014</v>
      </c>
      <c r="H1633">
        <f t="shared" si="571"/>
        <v>365</v>
      </c>
      <c r="I1633">
        <f t="shared" si="572"/>
        <v>31</v>
      </c>
      <c r="J1633">
        <f t="shared" si="573"/>
        <v>8.4931506849315067E-2</v>
      </c>
      <c r="K1633">
        <f>IFERROR($J1633/IF($A1633&lt;COUNTIFS($K$1:K$1,"&lt;&gt;"),0,SUMIFS($J:$J,$B:$B,$B1633,$A:$A,"&gt;="&amp;COUNTIFS($K$1:K$1,"&lt;&gt;"))),0)</f>
        <v>8.8825214899713484E-2</v>
      </c>
      <c r="L1633">
        <f>IFERROR($J1633/IF($A1633&lt;COUNTIFS($K$1:L$1,"&lt;&gt;"),0,SUMIFS($J:$J,$B:$B,$B1633,$A:$A,"&gt;="&amp;COUNTIFS($K$1:L$1,"&lt;&gt;"))),0)</f>
        <v>9.7484276729559768E-2</v>
      </c>
      <c r="M1633">
        <f>IFERROR($J1633/IF($A1633&lt;COUNTIFS($K$1:M$1,"&lt;&gt;"),0,SUMIFS($J:$J,$B:$B,$B1633,$A:$A,"&gt;="&amp;COUNTIFS($K$1:M$1,"&lt;&gt;"))),0)</f>
        <v>0.10801393728222998</v>
      </c>
      <c r="N1633">
        <f>IFERROR($J1633/IF($A1633&lt;COUNTIFS($K$1:N$1,"&lt;&gt;"),0,SUMIFS($J:$J,$B:$B,$B1633,$A:$A,"&gt;="&amp;COUNTIFS($K$1:N$1,"&lt;&gt;"))),0)</f>
        <v>0.12062256809338523</v>
      </c>
      <c r="O1633">
        <f>IFERROR($J1633/IF($A1633&lt;COUNTIFS($K$1:O$1,"&lt;&gt;"),0,SUMIFS($J:$J,$B:$B,$B1633,$A:$A,"&gt;="&amp;COUNTIFS($K$1:O$1,"&lt;&gt;"))),0)</f>
        <v>0.13716814159292037</v>
      </c>
      <c r="P1633">
        <f>IFERROR($J1633/IF($A1633&lt;COUNTIFS($K$1:P$1,"&lt;&gt;"),0,SUMIFS($J:$J,$B:$B,$B1633,$A:$A,"&gt;="&amp;COUNTIFS($K$1:P$1,"&lt;&gt;"))),0)</f>
        <v>0.15816326530612249</v>
      </c>
      <c r="Q1633">
        <f>IFERROR($J1633/IF($A1633&lt;COUNTIFS($K$1:Q$1,"&lt;&gt;"),0,SUMIFS($J:$J,$B:$B,$B1633,$A:$A,"&gt;="&amp;COUNTIFS($K$1:Q$1,"&lt;&gt;"))),0)</f>
        <v>0</v>
      </c>
      <c r="R1633">
        <f>IFERROR($J1633/IF($A1633&lt;COUNTIFS($K$1:R$1,"&lt;&gt;"),0,SUMIFS($J:$J,$B:$B,$B1633,$A:$A,"&gt;="&amp;COUNTIFS($K$1:R$1,"&lt;&gt;"))),0)</f>
        <v>0</v>
      </c>
      <c r="S1633">
        <f>IFERROR($J1633/IF($A1633&lt;COUNTIFS($K$1:S$1,"&lt;&gt;"),0,SUMIFS($J:$J,$B:$B,$B1633,$A:$A,"&gt;="&amp;COUNTIFS($K$1:S$1,"&lt;&gt;"))),0)</f>
        <v>0</v>
      </c>
      <c r="T1633">
        <f>IFERROR($J1633/IF($A1633&lt;COUNTIFS($K$1:T$1,"&lt;&gt;"),0,SUMIFS($J:$J,$B:$B,$B1633,$A:$A,"&gt;="&amp;COUNTIFS($K$1:T$1,"&lt;&gt;"))),0)</f>
        <v>0</v>
      </c>
      <c r="U1633">
        <f>IFERROR($J1633/IF($A1633&lt;COUNTIFS($K$1:U$1,"&lt;&gt;"),0,SUMIFS($J:$J,$B:$B,$B1633,$A:$A,"&gt;="&amp;COUNTIFS($K$1:U$1,"&lt;&gt;"))),0)</f>
        <v>0</v>
      </c>
      <c r="V1633">
        <f>IFERROR($J1633/IF($A1633&lt;COUNTIFS($K$1:V$1,"&lt;&gt;"),0,SUMIFS($J:$J,$B:$B,$B1633,$A:$A,"&gt;="&amp;COUNTIFS($K$1:V$1,"&lt;&gt;"))),0)</f>
        <v>0</v>
      </c>
      <c r="W1633">
        <f t="shared" si="574"/>
        <v>8.4931506849315067E-2</v>
      </c>
      <c r="X1633">
        <f t="shared" si="554"/>
        <v>8.4931506849315067E-2</v>
      </c>
      <c r="Y1633">
        <f t="shared" si="555"/>
        <v>8.4931506849315067E-2</v>
      </c>
      <c r="Z1633">
        <f t="shared" si="556"/>
        <v>8.4931506849315067E-2</v>
      </c>
      <c r="AA1633">
        <f t="shared" si="557"/>
        <v>8.4931506849315067E-2</v>
      </c>
      <c r="AB1633">
        <f t="shared" si="558"/>
        <v>8.4931506849315067E-2</v>
      </c>
      <c r="AC1633">
        <f t="shared" si="559"/>
        <v>8.4931506849315067E-2</v>
      </c>
      <c r="AD1633">
        <f t="shared" si="560"/>
        <v>0</v>
      </c>
      <c r="AE1633">
        <f t="shared" si="561"/>
        <v>0</v>
      </c>
      <c r="AF1633">
        <f t="shared" si="562"/>
        <v>0</v>
      </c>
      <c r="AG1633">
        <f t="shared" si="563"/>
        <v>0</v>
      </c>
      <c r="AH1633">
        <f t="shared" si="564"/>
        <v>0</v>
      </c>
      <c r="AI1633">
        <f t="shared" si="565"/>
        <v>0</v>
      </c>
      <c r="AJ1633" s="2" t="str">
        <f t="shared" si="575"/>
        <v>647635</v>
      </c>
    </row>
    <row r="1634" spans="1:36" x14ac:dyDescent="0.25">
      <c r="A1634">
        <v>7</v>
      </c>
      <c r="B1634" s="1">
        <v>47635</v>
      </c>
      <c r="C1634" s="1">
        <f t="shared" si="566"/>
        <v>47849</v>
      </c>
      <c r="D1634" s="1">
        <f t="shared" si="567"/>
        <v>47649</v>
      </c>
      <c r="E1634" s="1">
        <f t="shared" si="568"/>
        <v>47849</v>
      </c>
      <c r="F1634" s="1">
        <f t="shared" si="569"/>
        <v>47880</v>
      </c>
      <c r="G1634" s="1">
        <f t="shared" si="570"/>
        <v>48014</v>
      </c>
      <c r="H1634">
        <f t="shared" si="571"/>
        <v>365</v>
      </c>
      <c r="I1634">
        <f t="shared" si="572"/>
        <v>31</v>
      </c>
      <c r="J1634">
        <f t="shared" si="573"/>
        <v>8.4931506849315067E-2</v>
      </c>
      <c r="K1634">
        <f>IFERROR($J1634/IF($A1634&lt;COUNTIFS($K$1:K$1,"&lt;&gt;"),0,SUMIFS($J:$J,$B:$B,$B1634,$A:$A,"&gt;="&amp;COUNTIFS($K$1:K$1,"&lt;&gt;"))),0)</f>
        <v>8.8825214899713484E-2</v>
      </c>
      <c r="L1634">
        <f>IFERROR($J1634/IF($A1634&lt;COUNTIFS($K$1:L$1,"&lt;&gt;"),0,SUMIFS($J:$J,$B:$B,$B1634,$A:$A,"&gt;="&amp;COUNTIFS($K$1:L$1,"&lt;&gt;"))),0)</f>
        <v>9.7484276729559768E-2</v>
      </c>
      <c r="M1634">
        <f>IFERROR($J1634/IF($A1634&lt;COUNTIFS($K$1:M$1,"&lt;&gt;"),0,SUMIFS($J:$J,$B:$B,$B1634,$A:$A,"&gt;="&amp;COUNTIFS($K$1:M$1,"&lt;&gt;"))),0)</f>
        <v>0.10801393728222998</v>
      </c>
      <c r="N1634">
        <f>IFERROR($J1634/IF($A1634&lt;COUNTIFS($K$1:N$1,"&lt;&gt;"),0,SUMIFS($J:$J,$B:$B,$B1634,$A:$A,"&gt;="&amp;COUNTIFS($K$1:N$1,"&lt;&gt;"))),0)</f>
        <v>0.12062256809338523</v>
      </c>
      <c r="O1634">
        <f>IFERROR($J1634/IF($A1634&lt;COUNTIFS($K$1:O$1,"&lt;&gt;"),0,SUMIFS($J:$J,$B:$B,$B1634,$A:$A,"&gt;="&amp;COUNTIFS($K$1:O$1,"&lt;&gt;"))),0)</f>
        <v>0.13716814159292037</v>
      </c>
      <c r="P1634">
        <f>IFERROR($J1634/IF($A1634&lt;COUNTIFS($K$1:P$1,"&lt;&gt;"),0,SUMIFS($J:$J,$B:$B,$B1634,$A:$A,"&gt;="&amp;COUNTIFS($K$1:P$1,"&lt;&gt;"))),0)</f>
        <v>0.15816326530612249</v>
      </c>
      <c r="Q1634">
        <f>IFERROR($J1634/IF($A1634&lt;COUNTIFS($K$1:Q$1,"&lt;&gt;"),0,SUMIFS($J:$J,$B:$B,$B1634,$A:$A,"&gt;="&amp;COUNTIFS($K$1:Q$1,"&lt;&gt;"))),0)</f>
        <v>0.1878787878787879</v>
      </c>
      <c r="R1634">
        <f>IFERROR($J1634/IF($A1634&lt;COUNTIFS($K$1:R$1,"&lt;&gt;"),0,SUMIFS($J:$J,$B:$B,$B1634,$A:$A,"&gt;="&amp;COUNTIFS($K$1:R$1,"&lt;&gt;"))),0)</f>
        <v>0</v>
      </c>
      <c r="S1634">
        <f>IFERROR($J1634/IF($A1634&lt;COUNTIFS($K$1:S$1,"&lt;&gt;"),0,SUMIFS($J:$J,$B:$B,$B1634,$A:$A,"&gt;="&amp;COUNTIFS($K$1:S$1,"&lt;&gt;"))),0)</f>
        <v>0</v>
      </c>
      <c r="T1634">
        <f>IFERROR($J1634/IF($A1634&lt;COUNTIFS($K$1:T$1,"&lt;&gt;"),0,SUMIFS($J:$J,$B:$B,$B1634,$A:$A,"&gt;="&amp;COUNTIFS($K$1:T$1,"&lt;&gt;"))),0)</f>
        <v>0</v>
      </c>
      <c r="U1634">
        <f>IFERROR($J1634/IF($A1634&lt;COUNTIFS($K$1:U$1,"&lt;&gt;"),0,SUMIFS($J:$J,$B:$B,$B1634,$A:$A,"&gt;="&amp;COUNTIFS($K$1:U$1,"&lt;&gt;"))),0)</f>
        <v>0</v>
      </c>
      <c r="V1634">
        <f>IFERROR($J1634/IF($A1634&lt;COUNTIFS($K$1:V$1,"&lt;&gt;"),0,SUMIFS($J:$J,$B:$B,$B1634,$A:$A,"&gt;="&amp;COUNTIFS($K$1:V$1,"&lt;&gt;"))),0)</f>
        <v>0</v>
      </c>
      <c r="W1634">
        <f t="shared" si="574"/>
        <v>8.4931506849315067E-2</v>
      </c>
      <c r="X1634">
        <f t="shared" si="554"/>
        <v>8.4931506849315067E-2</v>
      </c>
      <c r="Y1634">
        <f t="shared" si="555"/>
        <v>8.4931506849315067E-2</v>
      </c>
      <c r="Z1634">
        <f t="shared" si="556"/>
        <v>8.4931506849315067E-2</v>
      </c>
      <c r="AA1634">
        <f t="shared" si="557"/>
        <v>8.4931506849315067E-2</v>
      </c>
      <c r="AB1634">
        <f t="shared" si="558"/>
        <v>8.4931506849315067E-2</v>
      </c>
      <c r="AC1634">
        <f t="shared" si="559"/>
        <v>8.4931506849315067E-2</v>
      </c>
      <c r="AD1634">
        <f t="shared" si="560"/>
        <v>8.4931506849315067E-2</v>
      </c>
      <c r="AE1634">
        <f t="shared" si="561"/>
        <v>0</v>
      </c>
      <c r="AF1634">
        <f t="shared" si="562"/>
        <v>0</v>
      </c>
      <c r="AG1634">
        <f t="shared" si="563"/>
        <v>0</v>
      </c>
      <c r="AH1634">
        <f t="shared" si="564"/>
        <v>0</v>
      </c>
      <c r="AI1634">
        <f t="shared" si="565"/>
        <v>0</v>
      </c>
      <c r="AJ1634" s="2" t="str">
        <f t="shared" si="575"/>
        <v>747635</v>
      </c>
    </row>
    <row r="1635" spans="1:36" x14ac:dyDescent="0.25">
      <c r="A1635">
        <v>8</v>
      </c>
      <c r="B1635" s="1">
        <v>47635</v>
      </c>
      <c r="C1635" s="1">
        <f t="shared" si="566"/>
        <v>47880</v>
      </c>
      <c r="D1635" s="1">
        <f t="shared" si="567"/>
        <v>47649</v>
      </c>
      <c r="E1635" s="1">
        <f t="shared" si="568"/>
        <v>47880</v>
      </c>
      <c r="F1635" s="1">
        <f t="shared" si="569"/>
        <v>47908</v>
      </c>
      <c r="G1635" s="1">
        <f t="shared" si="570"/>
        <v>48014</v>
      </c>
      <c r="H1635">
        <f t="shared" si="571"/>
        <v>365</v>
      </c>
      <c r="I1635">
        <f t="shared" si="572"/>
        <v>28</v>
      </c>
      <c r="J1635">
        <f t="shared" si="573"/>
        <v>7.6712328767123292E-2</v>
      </c>
      <c r="K1635">
        <f>IFERROR($J1635/IF($A1635&lt;COUNTIFS($K$1:K$1,"&lt;&gt;"),0,SUMIFS($J:$J,$B:$B,$B1635,$A:$A,"&gt;="&amp;COUNTIFS($K$1:K$1,"&lt;&gt;"))),0)</f>
        <v>8.0229226361031539E-2</v>
      </c>
      <c r="L1635">
        <f>IFERROR($J1635/IF($A1635&lt;COUNTIFS($K$1:L$1,"&lt;&gt;"),0,SUMIFS($J:$J,$B:$B,$B1635,$A:$A,"&gt;="&amp;COUNTIFS($K$1:L$1,"&lt;&gt;"))),0)</f>
        <v>8.8050314465408827E-2</v>
      </c>
      <c r="M1635">
        <f>IFERROR($J1635/IF($A1635&lt;COUNTIFS($K$1:M$1,"&lt;&gt;"),0,SUMIFS($J:$J,$B:$B,$B1635,$A:$A,"&gt;="&amp;COUNTIFS($K$1:M$1,"&lt;&gt;"))),0)</f>
        <v>9.7560975609756115E-2</v>
      </c>
      <c r="N1635">
        <f>IFERROR($J1635/IF($A1635&lt;COUNTIFS($K$1:N$1,"&lt;&gt;"),0,SUMIFS($J:$J,$B:$B,$B1635,$A:$A,"&gt;="&amp;COUNTIFS($K$1:N$1,"&lt;&gt;"))),0)</f>
        <v>0.10894941634241248</v>
      </c>
      <c r="O1635">
        <f>IFERROR($J1635/IF($A1635&lt;COUNTIFS($K$1:O$1,"&lt;&gt;"),0,SUMIFS($J:$J,$B:$B,$B1635,$A:$A,"&gt;="&amp;COUNTIFS($K$1:O$1,"&lt;&gt;"))),0)</f>
        <v>0.12389380530973454</v>
      </c>
      <c r="P1635">
        <f>IFERROR($J1635/IF($A1635&lt;COUNTIFS($K$1:P$1,"&lt;&gt;"),0,SUMIFS($J:$J,$B:$B,$B1635,$A:$A,"&gt;="&amp;COUNTIFS($K$1:P$1,"&lt;&gt;"))),0)</f>
        <v>0.14285714285714288</v>
      </c>
      <c r="Q1635">
        <f>IFERROR($J1635/IF($A1635&lt;COUNTIFS($K$1:Q$1,"&lt;&gt;"),0,SUMIFS($J:$J,$B:$B,$B1635,$A:$A,"&gt;="&amp;COUNTIFS($K$1:Q$1,"&lt;&gt;"))),0)</f>
        <v>0.16969696969696971</v>
      </c>
      <c r="R1635">
        <f>IFERROR($J1635/IF($A1635&lt;COUNTIFS($K$1:R$1,"&lt;&gt;"),0,SUMIFS($J:$J,$B:$B,$B1635,$A:$A,"&gt;="&amp;COUNTIFS($K$1:R$1,"&lt;&gt;"))),0)</f>
        <v>0.20895522388059704</v>
      </c>
      <c r="S1635">
        <f>IFERROR($J1635/IF($A1635&lt;COUNTIFS($K$1:S$1,"&lt;&gt;"),0,SUMIFS($J:$J,$B:$B,$B1635,$A:$A,"&gt;="&amp;COUNTIFS($K$1:S$1,"&lt;&gt;"))),0)</f>
        <v>0</v>
      </c>
      <c r="T1635">
        <f>IFERROR($J1635/IF($A1635&lt;COUNTIFS($K$1:T$1,"&lt;&gt;"),0,SUMIFS($J:$J,$B:$B,$B1635,$A:$A,"&gt;="&amp;COUNTIFS($K$1:T$1,"&lt;&gt;"))),0)</f>
        <v>0</v>
      </c>
      <c r="U1635">
        <f>IFERROR($J1635/IF($A1635&lt;COUNTIFS($K$1:U$1,"&lt;&gt;"),0,SUMIFS($J:$J,$B:$B,$B1635,$A:$A,"&gt;="&amp;COUNTIFS($K$1:U$1,"&lt;&gt;"))),0)</f>
        <v>0</v>
      </c>
      <c r="V1635">
        <f>IFERROR($J1635/IF($A1635&lt;COUNTIFS($K$1:V$1,"&lt;&gt;"),0,SUMIFS($J:$J,$B:$B,$B1635,$A:$A,"&gt;="&amp;COUNTIFS($K$1:V$1,"&lt;&gt;"))),0)</f>
        <v>0</v>
      </c>
      <c r="W1635">
        <f t="shared" si="574"/>
        <v>7.6712328767123292E-2</v>
      </c>
      <c r="X1635">
        <f t="shared" si="554"/>
        <v>7.6712328767123292E-2</v>
      </c>
      <c r="Y1635">
        <f t="shared" si="555"/>
        <v>7.6712328767123292E-2</v>
      </c>
      <c r="Z1635">
        <f t="shared" si="556"/>
        <v>7.6712328767123292E-2</v>
      </c>
      <c r="AA1635">
        <f t="shared" si="557"/>
        <v>7.6712328767123292E-2</v>
      </c>
      <c r="AB1635">
        <f t="shared" si="558"/>
        <v>7.6712328767123292E-2</v>
      </c>
      <c r="AC1635">
        <f t="shared" si="559"/>
        <v>7.6712328767123292E-2</v>
      </c>
      <c r="AD1635">
        <f t="shared" si="560"/>
        <v>7.6712328767123292E-2</v>
      </c>
      <c r="AE1635">
        <f t="shared" si="561"/>
        <v>7.6712328767123292E-2</v>
      </c>
      <c r="AF1635">
        <f t="shared" si="562"/>
        <v>0</v>
      </c>
      <c r="AG1635">
        <f t="shared" si="563"/>
        <v>0</v>
      </c>
      <c r="AH1635">
        <f t="shared" si="564"/>
        <v>0</v>
      </c>
      <c r="AI1635">
        <f t="shared" si="565"/>
        <v>0</v>
      </c>
      <c r="AJ1635" s="2" t="str">
        <f t="shared" si="575"/>
        <v>847635</v>
      </c>
    </row>
    <row r="1636" spans="1:36" x14ac:dyDescent="0.25">
      <c r="A1636">
        <v>9</v>
      </c>
      <c r="B1636" s="1">
        <v>47635</v>
      </c>
      <c r="C1636" s="1">
        <f t="shared" si="566"/>
        <v>47908</v>
      </c>
      <c r="D1636" s="1">
        <f t="shared" si="567"/>
        <v>47649</v>
      </c>
      <c r="E1636" s="1">
        <f t="shared" si="568"/>
        <v>47908</v>
      </c>
      <c r="F1636" s="1">
        <f t="shared" si="569"/>
        <v>47939</v>
      </c>
      <c r="G1636" s="1">
        <f t="shared" si="570"/>
        <v>48014</v>
      </c>
      <c r="H1636">
        <f t="shared" si="571"/>
        <v>365</v>
      </c>
      <c r="I1636">
        <f t="shared" si="572"/>
        <v>31</v>
      </c>
      <c r="J1636">
        <f t="shared" si="573"/>
        <v>8.4931506849315067E-2</v>
      </c>
      <c r="K1636">
        <f>IFERROR($J1636/IF($A1636&lt;COUNTIFS($K$1:K$1,"&lt;&gt;"),0,SUMIFS($J:$J,$B:$B,$B1636,$A:$A,"&gt;="&amp;COUNTIFS($K$1:K$1,"&lt;&gt;"))),0)</f>
        <v>8.8825214899713484E-2</v>
      </c>
      <c r="L1636">
        <f>IFERROR($J1636/IF($A1636&lt;COUNTIFS($K$1:L$1,"&lt;&gt;"),0,SUMIFS($J:$J,$B:$B,$B1636,$A:$A,"&gt;="&amp;COUNTIFS($K$1:L$1,"&lt;&gt;"))),0)</f>
        <v>9.7484276729559768E-2</v>
      </c>
      <c r="M1636">
        <f>IFERROR($J1636/IF($A1636&lt;COUNTIFS($K$1:M$1,"&lt;&gt;"),0,SUMIFS($J:$J,$B:$B,$B1636,$A:$A,"&gt;="&amp;COUNTIFS($K$1:M$1,"&lt;&gt;"))),0)</f>
        <v>0.10801393728222998</v>
      </c>
      <c r="N1636">
        <f>IFERROR($J1636/IF($A1636&lt;COUNTIFS($K$1:N$1,"&lt;&gt;"),0,SUMIFS($J:$J,$B:$B,$B1636,$A:$A,"&gt;="&amp;COUNTIFS($K$1:N$1,"&lt;&gt;"))),0)</f>
        <v>0.12062256809338523</v>
      </c>
      <c r="O1636">
        <f>IFERROR($J1636/IF($A1636&lt;COUNTIFS($K$1:O$1,"&lt;&gt;"),0,SUMIFS($J:$J,$B:$B,$B1636,$A:$A,"&gt;="&amp;COUNTIFS($K$1:O$1,"&lt;&gt;"))),0)</f>
        <v>0.13716814159292037</v>
      </c>
      <c r="P1636">
        <f>IFERROR($J1636/IF($A1636&lt;COUNTIFS($K$1:P$1,"&lt;&gt;"),0,SUMIFS($J:$J,$B:$B,$B1636,$A:$A,"&gt;="&amp;COUNTIFS($K$1:P$1,"&lt;&gt;"))),0)</f>
        <v>0.15816326530612249</v>
      </c>
      <c r="Q1636">
        <f>IFERROR($J1636/IF($A1636&lt;COUNTIFS($K$1:Q$1,"&lt;&gt;"),0,SUMIFS($J:$J,$B:$B,$B1636,$A:$A,"&gt;="&amp;COUNTIFS($K$1:Q$1,"&lt;&gt;"))),0)</f>
        <v>0.1878787878787879</v>
      </c>
      <c r="R1636">
        <f>IFERROR($J1636/IF($A1636&lt;COUNTIFS($K$1:R$1,"&lt;&gt;"),0,SUMIFS($J:$J,$B:$B,$B1636,$A:$A,"&gt;="&amp;COUNTIFS($K$1:R$1,"&lt;&gt;"))),0)</f>
        <v>0.23134328358208955</v>
      </c>
      <c r="S1636">
        <f>IFERROR($J1636/IF($A1636&lt;COUNTIFS($K$1:S$1,"&lt;&gt;"),0,SUMIFS($J:$J,$B:$B,$B1636,$A:$A,"&gt;="&amp;COUNTIFS($K$1:S$1,"&lt;&gt;"))),0)</f>
        <v>0.29245283018867929</v>
      </c>
      <c r="T1636">
        <f>IFERROR($J1636/IF($A1636&lt;COUNTIFS($K$1:T$1,"&lt;&gt;"),0,SUMIFS($J:$J,$B:$B,$B1636,$A:$A,"&gt;="&amp;COUNTIFS($K$1:T$1,"&lt;&gt;"))),0)</f>
        <v>0</v>
      </c>
      <c r="U1636">
        <f>IFERROR($J1636/IF($A1636&lt;COUNTIFS($K$1:U$1,"&lt;&gt;"),0,SUMIFS($J:$J,$B:$B,$B1636,$A:$A,"&gt;="&amp;COUNTIFS($K$1:U$1,"&lt;&gt;"))),0)</f>
        <v>0</v>
      </c>
      <c r="V1636">
        <f>IFERROR($J1636/IF($A1636&lt;COUNTIFS($K$1:V$1,"&lt;&gt;"),0,SUMIFS($J:$J,$B:$B,$B1636,$A:$A,"&gt;="&amp;COUNTIFS($K$1:V$1,"&lt;&gt;"))),0)</f>
        <v>0</v>
      </c>
      <c r="W1636">
        <f t="shared" si="574"/>
        <v>8.4931506849315067E-2</v>
      </c>
      <c r="X1636">
        <f t="shared" si="554"/>
        <v>8.4931506849315067E-2</v>
      </c>
      <c r="Y1636">
        <f t="shared" si="555"/>
        <v>8.4931506849315067E-2</v>
      </c>
      <c r="Z1636">
        <f t="shared" si="556"/>
        <v>8.4931506849315067E-2</v>
      </c>
      <c r="AA1636">
        <f t="shared" si="557"/>
        <v>8.4931506849315067E-2</v>
      </c>
      <c r="AB1636">
        <f t="shared" si="558"/>
        <v>8.4931506849315067E-2</v>
      </c>
      <c r="AC1636">
        <f t="shared" si="559"/>
        <v>8.4931506849315067E-2</v>
      </c>
      <c r="AD1636">
        <f t="shared" si="560"/>
        <v>8.4931506849315067E-2</v>
      </c>
      <c r="AE1636">
        <f t="shared" si="561"/>
        <v>8.4931506849315067E-2</v>
      </c>
      <c r="AF1636">
        <f t="shared" si="562"/>
        <v>8.4931506849315067E-2</v>
      </c>
      <c r="AG1636">
        <f t="shared" si="563"/>
        <v>0</v>
      </c>
      <c r="AH1636">
        <f t="shared" si="564"/>
        <v>0</v>
      </c>
      <c r="AI1636">
        <f t="shared" si="565"/>
        <v>0</v>
      </c>
      <c r="AJ1636" s="2" t="str">
        <f t="shared" si="575"/>
        <v>947635</v>
      </c>
    </row>
    <row r="1637" spans="1:36" x14ac:dyDescent="0.25">
      <c r="A1637">
        <v>10</v>
      </c>
      <c r="B1637" s="1">
        <v>47635</v>
      </c>
      <c r="C1637" s="1">
        <f t="shared" si="566"/>
        <v>47939</v>
      </c>
      <c r="D1637" s="1">
        <f t="shared" si="567"/>
        <v>47649</v>
      </c>
      <c r="E1637" s="1">
        <f t="shared" si="568"/>
        <v>47939</v>
      </c>
      <c r="F1637" s="1">
        <f t="shared" si="569"/>
        <v>47969</v>
      </c>
      <c r="G1637" s="1">
        <f t="shared" si="570"/>
        <v>48014</v>
      </c>
      <c r="H1637">
        <f t="shared" si="571"/>
        <v>365</v>
      </c>
      <c r="I1637">
        <f t="shared" si="572"/>
        <v>30</v>
      </c>
      <c r="J1637">
        <f t="shared" si="573"/>
        <v>8.2191780821917804E-2</v>
      </c>
      <c r="K1637">
        <f>IFERROR($J1637/IF($A1637&lt;COUNTIFS($K$1:K$1,"&lt;&gt;"),0,SUMIFS($J:$J,$B:$B,$B1637,$A:$A,"&gt;="&amp;COUNTIFS($K$1:K$1,"&lt;&gt;"))),0)</f>
        <v>8.5959885386819493E-2</v>
      </c>
      <c r="L1637">
        <f>IFERROR($J1637/IF($A1637&lt;COUNTIFS($K$1:L$1,"&lt;&gt;"),0,SUMIFS($J:$J,$B:$B,$B1637,$A:$A,"&gt;="&amp;COUNTIFS($K$1:L$1,"&lt;&gt;"))),0)</f>
        <v>9.4339622641509441E-2</v>
      </c>
      <c r="M1637">
        <f>IFERROR($J1637/IF($A1637&lt;COUNTIFS($K$1:M$1,"&lt;&gt;"),0,SUMIFS($J:$J,$B:$B,$B1637,$A:$A,"&gt;="&amp;COUNTIFS($K$1:M$1,"&lt;&gt;"))),0)</f>
        <v>0.10452961672473869</v>
      </c>
      <c r="N1637">
        <f>IFERROR($J1637/IF($A1637&lt;COUNTIFS($K$1:N$1,"&lt;&gt;"),0,SUMIFS($J:$J,$B:$B,$B1637,$A:$A,"&gt;="&amp;COUNTIFS($K$1:N$1,"&lt;&gt;"))),0)</f>
        <v>0.11673151750972764</v>
      </c>
      <c r="O1637">
        <f>IFERROR($J1637/IF($A1637&lt;COUNTIFS($K$1:O$1,"&lt;&gt;"),0,SUMIFS($J:$J,$B:$B,$B1637,$A:$A,"&gt;="&amp;COUNTIFS($K$1:O$1,"&lt;&gt;"))),0)</f>
        <v>0.13274336283185842</v>
      </c>
      <c r="P1637">
        <f>IFERROR($J1637/IF($A1637&lt;COUNTIFS($K$1:P$1,"&lt;&gt;"),0,SUMIFS($J:$J,$B:$B,$B1637,$A:$A,"&gt;="&amp;COUNTIFS($K$1:P$1,"&lt;&gt;"))),0)</f>
        <v>0.15306122448979595</v>
      </c>
      <c r="Q1637">
        <f>IFERROR($J1637/IF($A1637&lt;COUNTIFS($K$1:Q$1,"&lt;&gt;"),0,SUMIFS($J:$J,$B:$B,$B1637,$A:$A,"&gt;="&amp;COUNTIFS($K$1:Q$1,"&lt;&gt;"))),0)</f>
        <v>0.18181818181818182</v>
      </c>
      <c r="R1637">
        <f>IFERROR($J1637/IF($A1637&lt;COUNTIFS($K$1:R$1,"&lt;&gt;"),0,SUMIFS($J:$J,$B:$B,$B1637,$A:$A,"&gt;="&amp;COUNTIFS($K$1:R$1,"&lt;&gt;"))),0)</f>
        <v>0.22388059701492535</v>
      </c>
      <c r="S1637">
        <f>IFERROR($J1637/IF($A1637&lt;COUNTIFS($K$1:S$1,"&lt;&gt;"),0,SUMIFS($J:$J,$B:$B,$B1637,$A:$A,"&gt;="&amp;COUNTIFS($K$1:S$1,"&lt;&gt;"))),0)</f>
        <v>0.28301886792452829</v>
      </c>
      <c r="T1637">
        <f>IFERROR($J1637/IF($A1637&lt;COUNTIFS($K$1:T$1,"&lt;&gt;"),0,SUMIFS($J:$J,$B:$B,$B1637,$A:$A,"&gt;="&amp;COUNTIFS($K$1:T$1,"&lt;&gt;"))),0)</f>
        <v>0.4</v>
      </c>
      <c r="U1637">
        <f>IFERROR($J1637/IF($A1637&lt;COUNTIFS($K$1:U$1,"&lt;&gt;"),0,SUMIFS($J:$J,$B:$B,$B1637,$A:$A,"&gt;="&amp;COUNTIFS($K$1:U$1,"&lt;&gt;"))),0)</f>
        <v>0</v>
      </c>
      <c r="V1637">
        <f>IFERROR($J1637/IF($A1637&lt;COUNTIFS($K$1:V$1,"&lt;&gt;"),0,SUMIFS($J:$J,$B:$B,$B1637,$A:$A,"&gt;="&amp;COUNTIFS($K$1:V$1,"&lt;&gt;"))),0)</f>
        <v>0</v>
      </c>
      <c r="W1637">
        <f t="shared" si="574"/>
        <v>8.2191780821917804E-2</v>
      </c>
      <c r="X1637">
        <f t="shared" si="554"/>
        <v>8.2191780821917804E-2</v>
      </c>
      <c r="Y1637">
        <f t="shared" si="555"/>
        <v>8.2191780821917804E-2</v>
      </c>
      <c r="Z1637">
        <f t="shared" si="556"/>
        <v>8.2191780821917804E-2</v>
      </c>
      <c r="AA1637">
        <f t="shared" si="557"/>
        <v>8.2191780821917804E-2</v>
      </c>
      <c r="AB1637">
        <f t="shared" si="558"/>
        <v>8.2191780821917804E-2</v>
      </c>
      <c r="AC1637">
        <f t="shared" si="559"/>
        <v>8.2191780821917804E-2</v>
      </c>
      <c r="AD1637">
        <f t="shared" si="560"/>
        <v>8.2191780821917804E-2</v>
      </c>
      <c r="AE1637">
        <f t="shared" si="561"/>
        <v>8.2191780821917804E-2</v>
      </c>
      <c r="AF1637">
        <f t="shared" si="562"/>
        <v>8.2191780821917804E-2</v>
      </c>
      <c r="AG1637">
        <f t="shared" si="563"/>
        <v>8.2191780821917804E-2</v>
      </c>
      <c r="AH1637">
        <f t="shared" si="564"/>
        <v>0</v>
      </c>
      <c r="AI1637">
        <f t="shared" si="565"/>
        <v>0</v>
      </c>
      <c r="AJ1637" s="2" t="str">
        <f t="shared" si="575"/>
        <v>1047635</v>
      </c>
    </row>
    <row r="1638" spans="1:36" x14ac:dyDescent="0.25">
      <c r="A1638">
        <v>11</v>
      </c>
      <c r="B1638" s="1">
        <v>47635</v>
      </c>
      <c r="C1638" s="1">
        <f t="shared" si="566"/>
        <v>47969</v>
      </c>
      <c r="D1638" s="1">
        <f t="shared" si="567"/>
        <v>47649</v>
      </c>
      <c r="E1638" s="1">
        <f t="shared" si="568"/>
        <v>47969</v>
      </c>
      <c r="F1638" s="1">
        <f t="shared" si="569"/>
        <v>48000</v>
      </c>
      <c r="G1638" s="1">
        <f t="shared" si="570"/>
        <v>48014</v>
      </c>
      <c r="H1638">
        <f t="shared" si="571"/>
        <v>365</v>
      </c>
      <c r="I1638">
        <f t="shared" si="572"/>
        <v>31</v>
      </c>
      <c r="J1638">
        <f t="shared" si="573"/>
        <v>8.4931506849315067E-2</v>
      </c>
      <c r="K1638">
        <f>IFERROR($J1638/IF($A1638&lt;COUNTIFS($K$1:K$1,"&lt;&gt;"),0,SUMIFS($J:$J,$B:$B,$B1638,$A:$A,"&gt;="&amp;COUNTIFS($K$1:K$1,"&lt;&gt;"))),0)</f>
        <v>8.8825214899713484E-2</v>
      </c>
      <c r="L1638">
        <f>IFERROR($J1638/IF($A1638&lt;COUNTIFS($K$1:L$1,"&lt;&gt;"),0,SUMIFS($J:$J,$B:$B,$B1638,$A:$A,"&gt;="&amp;COUNTIFS($K$1:L$1,"&lt;&gt;"))),0)</f>
        <v>9.7484276729559768E-2</v>
      </c>
      <c r="M1638">
        <f>IFERROR($J1638/IF($A1638&lt;COUNTIFS($K$1:M$1,"&lt;&gt;"),0,SUMIFS($J:$J,$B:$B,$B1638,$A:$A,"&gt;="&amp;COUNTIFS($K$1:M$1,"&lt;&gt;"))),0)</f>
        <v>0.10801393728222998</v>
      </c>
      <c r="N1638">
        <f>IFERROR($J1638/IF($A1638&lt;COUNTIFS($K$1:N$1,"&lt;&gt;"),0,SUMIFS($J:$J,$B:$B,$B1638,$A:$A,"&gt;="&amp;COUNTIFS($K$1:N$1,"&lt;&gt;"))),0)</f>
        <v>0.12062256809338523</v>
      </c>
      <c r="O1638">
        <f>IFERROR($J1638/IF($A1638&lt;COUNTIFS($K$1:O$1,"&lt;&gt;"),0,SUMIFS($J:$J,$B:$B,$B1638,$A:$A,"&gt;="&amp;COUNTIFS($K$1:O$1,"&lt;&gt;"))),0)</f>
        <v>0.13716814159292037</v>
      </c>
      <c r="P1638">
        <f>IFERROR($J1638/IF($A1638&lt;COUNTIFS($K$1:P$1,"&lt;&gt;"),0,SUMIFS($J:$J,$B:$B,$B1638,$A:$A,"&gt;="&amp;COUNTIFS($K$1:P$1,"&lt;&gt;"))),0)</f>
        <v>0.15816326530612249</v>
      </c>
      <c r="Q1638">
        <f>IFERROR($J1638/IF($A1638&lt;COUNTIFS($K$1:Q$1,"&lt;&gt;"),0,SUMIFS($J:$J,$B:$B,$B1638,$A:$A,"&gt;="&amp;COUNTIFS($K$1:Q$1,"&lt;&gt;"))),0)</f>
        <v>0.1878787878787879</v>
      </c>
      <c r="R1638">
        <f>IFERROR($J1638/IF($A1638&lt;COUNTIFS($K$1:R$1,"&lt;&gt;"),0,SUMIFS($J:$J,$B:$B,$B1638,$A:$A,"&gt;="&amp;COUNTIFS($K$1:R$1,"&lt;&gt;"))),0)</f>
        <v>0.23134328358208955</v>
      </c>
      <c r="S1638">
        <f>IFERROR($J1638/IF($A1638&lt;COUNTIFS($K$1:S$1,"&lt;&gt;"),0,SUMIFS($J:$J,$B:$B,$B1638,$A:$A,"&gt;="&amp;COUNTIFS($K$1:S$1,"&lt;&gt;"))),0)</f>
        <v>0.29245283018867929</v>
      </c>
      <c r="T1638">
        <f>IFERROR($J1638/IF($A1638&lt;COUNTIFS($K$1:T$1,"&lt;&gt;"),0,SUMIFS($J:$J,$B:$B,$B1638,$A:$A,"&gt;="&amp;COUNTIFS($K$1:T$1,"&lt;&gt;"))),0)</f>
        <v>0.41333333333333333</v>
      </c>
      <c r="U1638">
        <f>IFERROR($J1638/IF($A1638&lt;COUNTIFS($K$1:U$1,"&lt;&gt;"),0,SUMIFS($J:$J,$B:$B,$B1638,$A:$A,"&gt;="&amp;COUNTIFS($K$1:U$1,"&lt;&gt;"))),0)</f>
        <v>0.68888888888888888</v>
      </c>
      <c r="V1638">
        <f>IFERROR($J1638/IF($A1638&lt;COUNTIFS($K$1:V$1,"&lt;&gt;"),0,SUMIFS($J:$J,$B:$B,$B1638,$A:$A,"&gt;="&amp;COUNTIFS($K$1:V$1,"&lt;&gt;"))),0)</f>
        <v>0</v>
      </c>
      <c r="W1638">
        <f t="shared" si="574"/>
        <v>8.4931506849315067E-2</v>
      </c>
      <c r="X1638">
        <f t="shared" si="554"/>
        <v>8.4931506849315067E-2</v>
      </c>
      <c r="Y1638">
        <f t="shared" si="555"/>
        <v>8.4931506849315067E-2</v>
      </c>
      <c r="Z1638">
        <f t="shared" si="556"/>
        <v>8.4931506849315067E-2</v>
      </c>
      <c r="AA1638">
        <f t="shared" si="557"/>
        <v>8.4931506849315067E-2</v>
      </c>
      <c r="AB1638">
        <f t="shared" si="558"/>
        <v>8.4931506849315067E-2</v>
      </c>
      <c r="AC1638">
        <f t="shared" si="559"/>
        <v>8.4931506849315067E-2</v>
      </c>
      <c r="AD1638">
        <f t="shared" si="560"/>
        <v>8.4931506849315067E-2</v>
      </c>
      <c r="AE1638">
        <f t="shared" si="561"/>
        <v>8.4931506849315067E-2</v>
      </c>
      <c r="AF1638">
        <f t="shared" si="562"/>
        <v>8.4931506849315067E-2</v>
      </c>
      <c r="AG1638">
        <f t="shared" si="563"/>
        <v>8.4931506849315067E-2</v>
      </c>
      <c r="AH1638">
        <f t="shared" si="564"/>
        <v>8.4931506849315067E-2</v>
      </c>
      <c r="AI1638">
        <f t="shared" si="565"/>
        <v>0</v>
      </c>
      <c r="AJ1638" s="2" t="str">
        <f t="shared" si="575"/>
        <v>1147635</v>
      </c>
    </row>
    <row r="1639" spans="1:36" x14ac:dyDescent="0.25">
      <c r="A1639">
        <v>12</v>
      </c>
      <c r="B1639" s="1">
        <v>47635</v>
      </c>
      <c r="C1639" s="1">
        <f t="shared" si="566"/>
        <v>48000</v>
      </c>
      <c r="D1639" s="1">
        <f t="shared" si="567"/>
        <v>47649</v>
      </c>
      <c r="E1639" s="1">
        <f t="shared" si="568"/>
        <v>48000</v>
      </c>
      <c r="F1639" s="1">
        <f t="shared" si="569"/>
        <v>48014</v>
      </c>
      <c r="G1639" s="1">
        <f t="shared" si="570"/>
        <v>48014</v>
      </c>
      <c r="H1639">
        <f t="shared" si="571"/>
        <v>365</v>
      </c>
      <c r="I1639">
        <f t="shared" si="572"/>
        <v>14</v>
      </c>
      <c r="J1639">
        <f t="shared" si="573"/>
        <v>3.8356164383561646E-2</v>
      </c>
      <c r="K1639">
        <f>IFERROR($J1639/IF($A1639&lt;COUNTIFS($K$1:K$1,"&lt;&gt;"),0,SUMIFS($J:$J,$B:$B,$B1639,$A:$A,"&gt;="&amp;COUNTIFS($K$1:K$1,"&lt;&gt;"))),0)</f>
        <v>4.0114613180515769E-2</v>
      </c>
      <c r="L1639">
        <f>IFERROR($J1639/IF($A1639&lt;COUNTIFS($K$1:L$1,"&lt;&gt;"),0,SUMIFS($J:$J,$B:$B,$B1639,$A:$A,"&gt;="&amp;COUNTIFS($K$1:L$1,"&lt;&gt;"))),0)</f>
        <v>4.4025157232704414E-2</v>
      </c>
      <c r="M1639">
        <f>IFERROR($J1639/IF($A1639&lt;COUNTIFS($K$1:M$1,"&lt;&gt;"),0,SUMIFS($J:$J,$B:$B,$B1639,$A:$A,"&gt;="&amp;COUNTIFS($K$1:M$1,"&lt;&gt;"))),0)</f>
        <v>4.8780487804878057E-2</v>
      </c>
      <c r="N1639">
        <f>IFERROR($J1639/IF($A1639&lt;COUNTIFS($K$1:N$1,"&lt;&gt;"),0,SUMIFS($J:$J,$B:$B,$B1639,$A:$A,"&gt;="&amp;COUNTIFS($K$1:N$1,"&lt;&gt;"))),0)</f>
        <v>5.447470817120624E-2</v>
      </c>
      <c r="O1639">
        <f>IFERROR($J1639/IF($A1639&lt;COUNTIFS($K$1:O$1,"&lt;&gt;"),0,SUMIFS($J:$J,$B:$B,$B1639,$A:$A,"&gt;="&amp;COUNTIFS($K$1:O$1,"&lt;&gt;"))),0)</f>
        <v>6.194690265486727E-2</v>
      </c>
      <c r="P1639">
        <f>IFERROR($J1639/IF($A1639&lt;COUNTIFS($K$1:P$1,"&lt;&gt;"),0,SUMIFS($J:$J,$B:$B,$B1639,$A:$A,"&gt;="&amp;COUNTIFS($K$1:P$1,"&lt;&gt;"))),0)</f>
        <v>7.1428571428571438E-2</v>
      </c>
      <c r="Q1639">
        <f>IFERROR($J1639/IF($A1639&lt;COUNTIFS($K$1:Q$1,"&lt;&gt;"),0,SUMIFS($J:$J,$B:$B,$B1639,$A:$A,"&gt;="&amp;COUNTIFS($K$1:Q$1,"&lt;&gt;"))),0)</f>
        <v>8.4848484848484854E-2</v>
      </c>
      <c r="R1639">
        <f>IFERROR($J1639/IF($A1639&lt;COUNTIFS($K$1:R$1,"&lt;&gt;"),0,SUMIFS($J:$J,$B:$B,$B1639,$A:$A,"&gt;="&amp;COUNTIFS($K$1:R$1,"&lt;&gt;"))),0)</f>
        <v>0.10447761194029852</v>
      </c>
      <c r="S1639">
        <f>IFERROR($J1639/IF($A1639&lt;COUNTIFS($K$1:S$1,"&lt;&gt;"),0,SUMIFS($J:$J,$B:$B,$B1639,$A:$A,"&gt;="&amp;COUNTIFS($K$1:S$1,"&lt;&gt;"))),0)</f>
        <v>0.13207547169811323</v>
      </c>
      <c r="T1639">
        <f>IFERROR($J1639/IF($A1639&lt;COUNTIFS($K$1:T$1,"&lt;&gt;"),0,SUMIFS($J:$J,$B:$B,$B1639,$A:$A,"&gt;="&amp;COUNTIFS($K$1:T$1,"&lt;&gt;"))),0)</f>
        <v>0.18666666666666668</v>
      </c>
      <c r="U1639">
        <f>IFERROR($J1639/IF($A1639&lt;COUNTIFS($K$1:U$1,"&lt;&gt;"),0,SUMIFS($J:$J,$B:$B,$B1639,$A:$A,"&gt;="&amp;COUNTIFS($K$1:U$1,"&lt;&gt;"))),0)</f>
        <v>0.31111111111111117</v>
      </c>
      <c r="V1639">
        <f>IFERROR($J1639/IF($A1639&lt;COUNTIFS($K$1:V$1,"&lt;&gt;"),0,SUMIFS($J:$J,$B:$B,$B1639,$A:$A,"&gt;="&amp;COUNTIFS($K$1:V$1,"&lt;&gt;"))),0)</f>
        <v>1</v>
      </c>
      <c r="W1639">
        <f t="shared" si="574"/>
        <v>3.8356164383561646E-2</v>
      </c>
      <c r="X1639">
        <f t="shared" si="554"/>
        <v>3.8356164383561646E-2</v>
      </c>
      <c r="Y1639">
        <f t="shared" si="555"/>
        <v>3.8356164383561646E-2</v>
      </c>
      <c r="Z1639">
        <f t="shared" si="556"/>
        <v>3.8356164383561646E-2</v>
      </c>
      <c r="AA1639">
        <f t="shared" si="557"/>
        <v>3.8356164383561646E-2</v>
      </c>
      <c r="AB1639">
        <f t="shared" si="558"/>
        <v>3.8356164383561646E-2</v>
      </c>
      <c r="AC1639">
        <f t="shared" si="559"/>
        <v>3.8356164383561646E-2</v>
      </c>
      <c r="AD1639">
        <f t="shared" si="560"/>
        <v>3.8356164383561646E-2</v>
      </c>
      <c r="AE1639">
        <f t="shared" si="561"/>
        <v>3.8356164383561646E-2</v>
      </c>
      <c r="AF1639">
        <f t="shared" si="562"/>
        <v>3.8356164383561646E-2</v>
      </c>
      <c r="AG1639">
        <f t="shared" si="563"/>
        <v>3.8356164383561646E-2</v>
      </c>
      <c r="AH1639">
        <f t="shared" si="564"/>
        <v>3.8356164383561646E-2</v>
      </c>
      <c r="AI1639">
        <f t="shared" si="565"/>
        <v>3.8356164383561646E-2</v>
      </c>
      <c r="AJ1639" s="2" t="str">
        <f t="shared" si="575"/>
        <v>1247635</v>
      </c>
    </row>
    <row r="1640" spans="1:36" x14ac:dyDescent="0.25">
      <c r="A1640">
        <v>0</v>
      </c>
      <c r="B1640" s="1">
        <v>47665</v>
      </c>
      <c r="C1640" s="1">
        <f t="shared" si="566"/>
        <v>47665</v>
      </c>
      <c r="D1640" s="1">
        <f t="shared" si="567"/>
        <v>47679</v>
      </c>
      <c r="E1640" s="1">
        <f t="shared" si="568"/>
        <v>47679</v>
      </c>
      <c r="F1640" s="1">
        <f t="shared" si="569"/>
        <v>47696</v>
      </c>
      <c r="G1640" s="1">
        <f t="shared" si="570"/>
        <v>48044</v>
      </c>
      <c r="H1640">
        <f t="shared" si="571"/>
        <v>365</v>
      </c>
      <c r="I1640">
        <f t="shared" si="572"/>
        <v>17</v>
      </c>
      <c r="J1640">
        <f t="shared" si="573"/>
        <v>4.6575342465753428E-2</v>
      </c>
      <c r="K1640">
        <f>IFERROR($J1640/IF($A1640&lt;COUNTIFS($K$1:K$1,"&lt;&gt;"),0,SUMIFS($J:$J,$B:$B,$B1640,$A:$A,"&gt;="&amp;COUNTIFS($K$1:K$1,"&lt;&gt;"))),0)</f>
        <v>0</v>
      </c>
      <c r="L1640">
        <f>IFERROR($J1640/IF($A1640&lt;COUNTIFS($K$1:L$1,"&lt;&gt;"),0,SUMIFS($J:$J,$B:$B,$B1640,$A:$A,"&gt;="&amp;COUNTIFS($K$1:L$1,"&lt;&gt;"))),0)</f>
        <v>0</v>
      </c>
      <c r="M1640">
        <f>IFERROR($J1640/IF($A1640&lt;COUNTIFS($K$1:M$1,"&lt;&gt;"),0,SUMIFS($J:$J,$B:$B,$B1640,$A:$A,"&gt;="&amp;COUNTIFS($K$1:M$1,"&lt;&gt;"))),0)</f>
        <v>0</v>
      </c>
      <c r="N1640">
        <f>IFERROR($J1640/IF($A1640&lt;COUNTIFS($K$1:N$1,"&lt;&gt;"),0,SUMIFS($J:$J,$B:$B,$B1640,$A:$A,"&gt;="&amp;COUNTIFS($K$1:N$1,"&lt;&gt;"))),0)</f>
        <v>0</v>
      </c>
      <c r="O1640">
        <f>IFERROR($J1640/IF($A1640&lt;COUNTIFS($K$1:O$1,"&lt;&gt;"),0,SUMIFS($J:$J,$B:$B,$B1640,$A:$A,"&gt;="&amp;COUNTIFS($K$1:O$1,"&lt;&gt;"))),0)</f>
        <v>0</v>
      </c>
      <c r="P1640">
        <f>IFERROR($J1640/IF($A1640&lt;COUNTIFS($K$1:P$1,"&lt;&gt;"),0,SUMIFS($J:$J,$B:$B,$B1640,$A:$A,"&gt;="&amp;COUNTIFS($K$1:P$1,"&lt;&gt;"))),0)</f>
        <v>0</v>
      </c>
      <c r="Q1640">
        <f>IFERROR($J1640/IF($A1640&lt;COUNTIFS($K$1:Q$1,"&lt;&gt;"),0,SUMIFS($J:$J,$B:$B,$B1640,$A:$A,"&gt;="&amp;COUNTIFS($K$1:Q$1,"&lt;&gt;"))),0)</f>
        <v>0</v>
      </c>
      <c r="R1640">
        <f>IFERROR($J1640/IF($A1640&lt;COUNTIFS($K$1:R$1,"&lt;&gt;"),0,SUMIFS($J:$J,$B:$B,$B1640,$A:$A,"&gt;="&amp;COUNTIFS($K$1:R$1,"&lt;&gt;"))),0)</f>
        <v>0</v>
      </c>
      <c r="S1640">
        <f>IFERROR($J1640/IF($A1640&lt;COUNTIFS($K$1:S$1,"&lt;&gt;"),0,SUMIFS($J:$J,$B:$B,$B1640,$A:$A,"&gt;="&amp;COUNTIFS($K$1:S$1,"&lt;&gt;"))),0)</f>
        <v>0</v>
      </c>
      <c r="T1640">
        <f>IFERROR($J1640/IF($A1640&lt;COUNTIFS($K$1:T$1,"&lt;&gt;"),0,SUMIFS($J:$J,$B:$B,$B1640,$A:$A,"&gt;="&amp;COUNTIFS($K$1:T$1,"&lt;&gt;"))),0)</f>
        <v>0</v>
      </c>
      <c r="U1640">
        <f>IFERROR($J1640/IF($A1640&lt;COUNTIFS($K$1:U$1,"&lt;&gt;"),0,SUMIFS($J:$J,$B:$B,$B1640,$A:$A,"&gt;="&amp;COUNTIFS($K$1:U$1,"&lt;&gt;"))),0)</f>
        <v>0</v>
      </c>
      <c r="V1640">
        <f>IFERROR($J1640/IF($A1640&lt;COUNTIFS($K$1:V$1,"&lt;&gt;"),0,SUMIFS($J:$J,$B:$B,$B1640,$A:$A,"&gt;="&amp;COUNTIFS($K$1:V$1,"&lt;&gt;"))),0)</f>
        <v>0</v>
      </c>
      <c r="W1640">
        <f t="shared" si="574"/>
        <v>4.6575342465753428E-2</v>
      </c>
      <c r="X1640">
        <f t="shared" si="554"/>
        <v>0</v>
      </c>
      <c r="Y1640">
        <f t="shared" si="555"/>
        <v>0</v>
      </c>
      <c r="Z1640">
        <f t="shared" si="556"/>
        <v>0</v>
      </c>
      <c r="AA1640">
        <f t="shared" si="557"/>
        <v>0</v>
      </c>
      <c r="AB1640">
        <f t="shared" si="558"/>
        <v>0</v>
      </c>
      <c r="AC1640">
        <f t="shared" si="559"/>
        <v>0</v>
      </c>
      <c r="AD1640">
        <f t="shared" si="560"/>
        <v>0</v>
      </c>
      <c r="AE1640">
        <f t="shared" si="561"/>
        <v>0</v>
      </c>
      <c r="AF1640">
        <f t="shared" si="562"/>
        <v>0</v>
      </c>
      <c r="AG1640">
        <f t="shared" si="563"/>
        <v>0</v>
      </c>
      <c r="AH1640">
        <f t="shared" si="564"/>
        <v>0</v>
      </c>
      <c r="AI1640">
        <f t="shared" si="565"/>
        <v>0</v>
      </c>
      <c r="AJ1640" s="2" t="str">
        <f t="shared" si="575"/>
        <v>047665</v>
      </c>
    </row>
    <row r="1641" spans="1:36" x14ac:dyDescent="0.25">
      <c r="A1641">
        <v>1</v>
      </c>
      <c r="B1641" s="1">
        <v>47665</v>
      </c>
      <c r="C1641" s="1">
        <f t="shared" si="566"/>
        <v>47696</v>
      </c>
      <c r="D1641" s="1">
        <f t="shared" si="567"/>
        <v>47679</v>
      </c>
      <c r="E1641" s="1">
        <f t="shared" si="568"/>
        <v>47696</v>
      </c>
      <c r="F1641" s="1">
        <f t="shared" si="569"/>
        <v>47727</v>
      </c>
      <c r="G1641" s="1">
        <f t="shared" si="570"/>
        <v>48044</v>
      </c>
      <c r="H1641">
        <f t="shared" si="571"/>
        <v>365</v>
      </c>
      <c r="I1641">
        <f t="shared" si="572"/>
        <v>31</v>
      </c>
      <c r="J1641">
        <f t="shared" si="573"/>
        <v>8.4931506849315067E-2</v>
      </c>
      <c r="K1641">
        <f>IFERROR($J1641/IF($A1641&lt;COUNTIFS($K$1:K$1,"&lt;&gt;"),0,SUMIFS($J:$J,$B:$B,$B1641,$A:$A,"&gt;="&amp;COUNTIFS($K$1:K$1,"&lt;&gt;"))),0)</f>
        <v>8.9080459770114959E-2</v>
      </c>
      <c r="L1641">
        <f>IFERROR($J1641/IF($A1641&lt;COUNTIFS($K$1:L$1,"&lt;&gt;"),0,SUMIFS($J:$J,$B:$B,$B1641,$A:$A,"&gt;="&amp;COUNTIFS($K$1:L$1,"&lt;&gt;"))),0)</f>
        <v>0</v>
      </c>
      <c r="M1641">
        <f>IFERROR($J1641/IF($A1641&lt;COUNTIFS($K$1:M$1,"&lt;&gt;"),0,SUMIFS($J:$J,$B:$B,$B1641,$A:$A,"&gt;="&amp;COUNTIFS($K$1:M$1,"&lt;&gt;"))),0)</f>
        <v>0</v>
      </c>
      <c r="N1641">
        <f>IFERROR($J1641/IF($A1641&lt;COUNTIFS($K$1:N$1,"&lt;&gt;"),0,SUMIFS($J:$J,$B:$B,$B1641,$A:$A,"&gt;="&amp;COUNTIFS($K$1:N$1,"&lt;&gt;"))),0)</f>
        <v>0</v>
      </c>
      <c r="O1641">
        <f>IFERROR($J1641/IF($A1641&lt;COUNTIFS($K$1:O$1,"&lt;&gt;"),0,SUMIFS($J:$J,$B:$B,$B1641,$A:$A,"&gt;="&amp;COUNTIFS($K$1:O$1,"&lt;&gt;"))),0)</f>
        <v>0</v>
      </c>
      <c r="P1641">
        <f>IFERROR($J1641/IF($A1641&lt;COUNTIFS($K$1:P$1,"&lt;&gt;"),0,SUMIFS($J:$J,$B:$B,$B1641,$A:$A,"&gt;="&amp;COUNTIFS($K$1:P$1,"&lt;&gt;"))),0)</f>
        <v>0</v>
      </c>
      <c r="Q1641">
        <f>IFERROR($J1641/IF($A1641&lt;COUNTIFS($K$1:Q$1,"&lt;&gt;"),0,SUMIFS($J:$J,$B:$B,$B1641,$A:$A,"&gt;="&amp;COUNTIFS($K$1:Q$1,"&lt;&gt;"))),0)</f>
        <v>0</v>
      </c>
      <c r="R1641">
        <f>IFERROR($J1641/IF($A1641&lt;COUNTIFS($K$1:R$1,"&lt;&gt;"),0,SUMIFS($J:$J,$B:$B,$B1641,$A:$A,"&gt;="&amp;COUNTIFS($K$1:R$1,"&lt;&gt;"))),0)</f>
        <v>0</v>
      </c>
      <c r="S1641">
        <f>IFERROR($J1641/IF($A1641&lt;COUNTIFS($K$1:S$1,"&lt;&gt;"),0,SUMIFS($J:$J,$B:$B,$B1641,$A:$A,"&gt;="&amp;COUNTIFS($K$1:S$1,"&lt;&gt;"))),0)</f>
        <v>0</v>
      </c>
      <c r="T1641">
        <f>IFERROR($J1641/IF($A1641&lt;COUNTIFS($K$1:T$1,"&lt;&gt;"),0,SUMIFS($J:$J,$B:$B,$B1641,$A:$A,"&gt;="&amp;COUNTIFS($K$1:T$1,"&lt;&gt;"))),0)</f>
        <v>0</v>
      </c>
      <c r="U1641">
        <f>IFERROR($J1641/IF($A1641&lt;COUNTIFS($K$1:U$1,"&lt;&gt;"),0,SUMIFS($J:$J,$B:$B,$B1641,$A:$A,"&gt;="&amp;COUNTIFS($K$1:U$1,"&lt;&gt;"))),0)</f>
        <v>0</v>
      </c>
      <c r="V1641">
        <f>IFERROR($J1641/IF($A1641&lt;COUNTIFS($K$1:V$1,"&lt;&gt;"),0,SUMIFS($J:$J,$B:$B,$B1641,$A:$A,"&gt;="&amp;COUNTIFS($K$1:V$1,"&lt;&gt;"))),0)</f>
        <v>0</v>
      </c>
      <c r="W1641">
        <f t="shared" si="574"/>
        <v>8.4931506849315067E-2</v>
      </c>
      <c r="X1641">
        <f t="shared" si="554"/>
        <v>8.4931506849315067E-2</v>
      </c>
      <c r="Y1641">
        <f t="shared" si="555"/>
        <v>0</v>
      </c>
      <c r="Z1641">
        <f t="shared" si="556"/>
        <v>0</v>
      </c>
      <c r="AA1641">
        <f t="shared" si="557"/>
        <v>0</v>
      </c>
      <c r="AB1641">
        <f t="shared" si="558"/>
        <v>0</v>
      </c>
      <c r="AC1641">
        <f t="shared" si="559"/>
        <v>0</v>
      </c>
      <c r="AD1641">
        <f t="shared" si="560"/>
        <v>0</v>
      </c>
      <c r="AE1641">
        <f t="shared" si="561"/>
        <v>0</v>
      </c>
      <c r="AF1641">
        <f t="shared" si="562"/>
        <v>0</v>
      </c>
      <c r="AG1641">
        <f t="shared" si="563"/>
        <v>0</v>
      </c>
      <c r="AH1641">
        <f t="shared" si="564"/>
        <v>0</v>
      </c>
      <c r="AI1641">
        <f t="shared" si="565"/>
        <v>0</v>
      </c>
      <c r="AJ1641" s="2" t="str">
        <f t="shared" si="575"/>
        <v>147665</v>
      </c>
    </row>
    <row r="1642" spans="1:36" x14ac:dyDescent="0.25">
      <c r="A1642">
        <v>2</v>
      </c>
      <c r="B1642" s="1">
        <v>47665</v>
      </c>
      <c r="C1642" s="1">
        <f t="shared" si="566"/>
        <v>47727</v>
      </c>
      <c r="D1642" s="1">
        <f t="shared" si="567"/>
        <v>47679</v>
      </c>
      <c r="E1642" s="1">
        <f t="shared" si="568"/>
        <v>47727</v>
      </c>
      <c r="F1642" s="1">
        <f t="shared" si="569"/>
        <v>47757</v>
      </c>
      <c r="G1642" s="1">
        <f t="shared" si="570"/>
        <v>48044</v>
      </c>
      <c r="H1642">
        <f t="shared" si="571"/>
        <v>365</v>
      </c>
      <c r="I1642">
        <f t="shared" si="572"/>
        <v>30</v>
      </c>
      <c r="J1642">
        <f t="shared" si="573"/>
        <v>8.2191780821917804E-2</v>
      </c>
      <c r="K1642">
        <f>IFERROR($J1642/IF($A1642&lt;COUNTIFS($K$1:K$1,"&lt;&gt;"),0,SUMIFS($J:$J,$B:$B,$B1642,$A:$A,"&gt;="&amp;COUNTIFS($K$1:K$1,"&lt;&gt;"))),0)</f>
        <v>8.6206896551724144E-2</v>
      </c>
      <c r="L1642">
        <f>IFERROR($J1642/IF($A1642&lt;COUNTIFS($K$1:L$1,"&lt;&gt;"),0,SUMIFS($J:$J,$B:$B,$B1642,$A:$A,"&gt;="&amp;COUNTIFS($K$1:L$1,"&lt;&gt;"))),0)</f>
        <v>9.4637223974763415E-2</v>
      </c>
      <c r="M1642">
        <f>IFERROR($J1642/IF($A1642&lt;COUNTIFS($K$1:M$1,"&lt;&gt;"),0,SUMIFS($J:$J,$B:$B,$B1642,$A:$A,"&gt;="&amp;COUNTIFS($K$1:M$1,"&lt;&gt;"))),0)</f>
        <v>0</v>
      </c>
      <c r="N1642">
        <f>IFERROR($J1642/IF($A1642&lt;COUNTIFS($K$1:N$1,"&lt;&gt;"),0,SUMIFS($J:$J,$B:$B,$B1642,$A:$A,"&gt;="&amp;COUNTIFS($K$1:N$1,"&lt;&gt;"))),0)</f>
        <v>0</v>
      </c>
      <c r="O1642">
        <f>IFERROR($J1642/IF($A1642&lt;COUNTIFS($K$1:O$1,"&lt;&gt;"),0,SUMIFS($J:$J,$B:$B,$B1642,$A:$A,"&gt;="&amp;COUNTIFS($K$1:O$1,"&lt;&gt;"))),0)</f>
        <v>0</v>
      </c>
      <c r="P1642">
        <f>IFERROR($J1642/IF($A1642&lt;COUNTIFS($K$1:P$1,"&lt;&gt;"),0,SUMIFS($J:$J,$B:$B,$B1642,$A:$A,"&gt;="&amp;COUNTIFS($K$1:P$1,"&lt;&gt;"))),0)</f>
        <v>0</v>
      </c>
      <c r="Q1642">
        <f>IFERROR($J1642/IF($A1642&lt;COUNTIFS($K$1:Q$1,"&lt;&gt;"),0,SUMIFS($J:$J,$B:$B,$B1642,$A:$A,"&gt;="&amp;COUNTIFS($K$1:Q$1,"&lt;&gt;"))),0)</f>
        <v>0</v>
      </c>
      <c r="R1642">
        <f>IFERROR($J1642/IF($A1642&lt;COUNTIFS($K$1:R$1,"&lt;&gt;"),0,SUMIFS($J:$J,$B:$B,$B1642,$A:$A,"&gt;="&amp;COUNTIFS($K$1:R$1,"&lt;&gt;"))),0)</f>
        <v>0</v>
      </c>
      <c r="S1642">
        <f>IFERROR($J1642/IF($A1642&lt;COUNTIFS($K$1:S$1,"&lt;&gt;"),0,SUMIFS($J:$J,$B:$B,$B1642,$A:$A,"&gt;="&amp;COUNTIFS($K$1:S$1,"&lt;&gt;"))),0)</f>
        <v>0</v>
      </c>
      <c r="T1642">
        <f>IFERROR($J1642/IF($A1642&lt;COUNTIFS($K$1:T$1,"&lt;&gt;"),0,SUMIFS($J:$J,$B:$B,$B1642,$A:$A,"&gt;="&amp;COUNTIFS($K$1:T$1,"&lt;&gt;"))),0)</f>
        <v>0</v>
      </c>
      <c r="U1642">
        <f>IFERROR($J1642/IF($A1642&lt;COUNTIFS($K$1:U$1,"&lt;&gt;"),0,SUMIFS($J:$J,$B:$B,$B1642,$A:$A,"&gt;="&amp;COUNTIFS($K$1:U$1,"&lt;&gt;"))),0)</f>
        <v>0</v>
      </c>
      <c r="V1642">
        <f>IFERROR($J1642/IF($A1642&lt;COUNTIFS($K$1:V$1,"&lt;&gt;"),0,SUMIFS($J:$J,$B:$B,$B1642,$A:$A,"&gt;="&amp;COUNTIFS($K$1:V$1,"&lt;&gt;"))),0)</f>
        <v>0</v>
      </c>
      <c r="W1642">
        <f t="shared" si="574"/>
        <v>8.2191780821917804E-2</v>
      </c>
      <c r="X1642">
        <f t="shared" si="554"/>
        <v>8.2191780821917804E-2</v>
      </c>
      <c r="Y1642">
        <f t="shared" si="555"/>
        <v>8.2191780821917804E-2</v>
      </c>
      <c r="Z1642">
        <f t="shared" si="556"/>
        <v>0</v>
      </c>
      <c r="AA1642">
        <f t="shared" si="557"/>
        <v>0</v>
      </c>
      <c r="AB1642">
        <f t="shared" si="558"/>
        <v>0</v>
      </c>
      <c r="AC1642">
        <f t="shared" si="559"/>
        <v>0</v>
      </c>
      <c r="AD1642">
        <f t="shared" si="560"/>
        <v>0</v>
      </c>
      <c r="AE1642">
        <f t="shared" si="561"/>
        <v>0</v>
      </c>
      <c r="AF1642">
        <f t="shared" si="562"/>
        <v>0</v>
      </c>
      <c r="AG1642">
        <f t="shared" si="563"/>
        <v>0</v>
      </c>
      <c r="AH1642">
        <f t="shared" si="564"/>
        <v>0</v>
      </c>
      <c r="AI1642">
        <f t="shared" si="565"/>
        <v>0</v>
      </c>
      <c r="AJ1642" s="2" t="str">
        <f t="shared" si="575"/>
        <v>247665</v>
      </c>
    </row>
    <row r="1643" spans="1:36" x14ac:dyDescent="0.25">
      <c r="A1643">
        <v>3</v>
      </c>
      <c r="B1643" s="1">
        <v>47665</v>
      </c>
      <c r="C1643" s="1">
        <f t="shared" si="566"/>
        <v>47757</v>
      </c>
      <c r="D1643" s="1">
        <f t="shared" si="567"/>
        <v>47679</v>
      </c>
      <c r="E1643" s="1">
        <f t="shared" si="568"/>
        <v>47757</v>
      </c>
      <c r="F1643" s="1">
        <f t="shared" si="569"/>
        <v>47788</v>
      </c>
      <c r="G1643" s="1">
        <f t="shared" si="570"/>
        <v>48044</v>
      </c>
      <c r="H1643">
        <f t="shared" si="571"/>
        <v>365</v>
      </c>
      <c r="I1643">
        <f t="shared" si="572"/>
        <v>31</v>
      </c>
      <c r="J1643">
        <f t="shared" si="573"/>
        <v>8.4931506849315067E-2</v>
      </c>
      <c r="K1643">
        <f>IFERROR($J1643/IF($A1643&lt;COUNTIFS($K$1:K$1,"&lt;&gt;"),0,SUMIFS($J:$J,$B:$B,$B1643,$A:$A,"&gt;="&amp;COUNTIFS($K$1:K$1,"&lt;&gt;"))),0)</f>
        <v>8.9080459770114959E-2</v>
      </c>
      <c r="L1643">
        <f>IFERROR($J1643/IF($A1643&lt;COUNTIFS($K$1:L$1,"&lt;&gt;"),0,SUMIFS($J:$J,$B:$B,$B1643,$A:$A,"&gt;="&amp;COUNTIFS($K$1:L$1,"&lt;&gt;"))),0)</f>
        <v>9.7791798107255537E-2</v>
      </c>
      <c r="M1643">
        <f>IFERROR($J1643/IF($A1643&lt;COUNTIFS($K$1:M$1,"&lt;&gt;"),0,SUMIFS($J:$J,$B:$B,$B1643,$A:$A,"&gt;="&amp;COUNTIFS($K$1:M$1,"&lt;&gt;"))),0)</f>
        <v>0.10801393728222998</v>
      </c>
      <c r="N1643">
        <f>IFERROR($J1643/IF($A1643&lt;COUNTIFS($K$1:N$1,"&lt;&gt;"),0,SUMIFS($J:$J,$B:$B,$B1643,$A:$A,"&gt;="&amp;COUNTIFS($K$1:N$1,"&lt;&gt;"))),0)</f>
        <v>0</v>
      </c>
      <c r="O1643">
        <f>IFERROR($J1643/IF($A1643&lt;COUNTIFS($K$1:O$1,"&lt;&gt;"),0,SUMIFS($J:$J,$B:$B,$B1643,$A:$A,"&gt;="&amp;COUNTIFS($K$1:O$1,"&lt;&gt;"))),0)</f>
        <v>0</v>
      </c>
      <c r="P1643">
        <f>IFERROR($J1643/IF($A1643&lt;COUNTIFS($K$1:P$1,"&lt;&gt;"),0,SUMIFS($J:$J,$B:$B,$B1643,$A:$A,"&gt;="&amp;COUNTIFS($K$1:P$1,"&lt;&gt;"))),0)</f>
        <v>0</v>
      </c>
      <c r="Q1643">
        <f>IFERROR($J1643/IF($A1643&lt;COUNTIFS($K$1:Q$1,"&lt;&gt;"),0,SUMIFS($J:$J,$B:$B,$B1643,$A:$A,"&gt;="&amp;COUNTIFS($K$1:Q$1,"&lt;&gt;"))),0)</f>
        <v>0</v>
      </c>
      <c r="R1643">
        <f>IFERROR($J1643/IF($A1643&lt;COUNTIFS($K$1:R$1,"&lt;&gt;"),0,SUMIFS($J:$J,$B:$B,$B1643,$A:$A,"&gt;="&amp;COUNTIFS($K$1:R$1,"&lt;&gt;"))),0)</f>
        <v>0</v>
      </c>
      <c r="S1643">
        <f>IFERROR($J1643/IF($A1643&lt;COUNTIFS($K$1:S$1,"&lt;&gt;"),0,SUMIFS($J:$J,$B:$B,$B1643,$A:$A,"&gt;="&amp;COUNTIFS($K$1:S$1,"&lt;&gt;"))),0)</f>
        <v>0</v>
      </c>
      <c r="T1643">
        <f>IFERROR($J1643/IF($A1643&lt;COUNTIFS($K$1:T$1,"&lt;&gt;"),0,SUMIFS($J:$J,$B:$B,$B1643,$A:$A,"&gt;="&amp;COUNTIFS($K$1:T$1,"&lt;&gt;"))),0)</f>
        <v>0</v>
      </c>
      <c r="U1643">
        <f>IFERROR($J1643/IF($A1643&lt;COUNTIFS($K$1:U$1,"&lt;&gt;"),0,SUMIFS($J:$J,$B:$B,$B1643,$A:$A,"&gt;="&amp;COUNTIFS($K$1:U$1,"&lt;&gt;"))),0)</f>
        <v>0</v>
      </c>
      <c r="V1643">
        <f>IFERROR($J1643/IF($A1643&lt;COUNTIFS($K$1:V$1,"&lt;&gt;"),0,SUMIFS($J:$J,$B:$B,$B1643,$A:$A,"&gt;="&amp;COUNTIFS($K$1:V$1,"&lt;&gt;"))),0)</f>
        <v>0</v>
      </c>
      <c r="W1643">
        <f t="shared" si="574"/>
        <v>8.4931506849315067E-2</v>
      </c>
      <c r="X1643">
        <f t="shared" si="554"/>
        <v>8.4931506849315067E-2</v>
      </c>
      <c r="Y1643">
        <f t="shared" si="555"/>
        <v>8.4931506849315067E-2</v>
      </c>
      <c r="Z1643">
        <f t="shared" si="556"/>
        <v>8.4931506849315067E-2</v>
      </c>
      <c r="AA1643">
        <f t="shared" si="557"/>
        <v>0</v>
      </c>
      <c r="AB1643">
        <f t="shared" si="558"/>
        <v>0</v>
      </c>
      <c r="AC1643">
        <f t="shared" si="559"/>
        <v>0</v>
      </c>
      <c r="AD1643">
        <f t="shared" si="560"/>
        <v>0</v>
      </c>
      <c r="AE1643">
        <f t="shared" si="561"/>
        <v>0</v>
      </c>
      <c r="AF1643">
        <f t="shared" si="562"/>
        <v>0</v>
      </c>
      <c r="AG1643">
        <f t="shared" si="563"/>
        <v>0</v>
      </c>
      <c r="AH1643">
        <f t="shared" si="564"/>
        <v>0</v>
      </c>
      <c r="AI1643">
        <f t="shared" si="565"/>
        <v>0</v>
      </c>
      <c r="AJ1643" s="2" t="str">
        <f t="shared" si="575"/>
        <v>347665</v>
      </c>
    </row>
    <row r="1644" spans="1:36" x14ac:dyDescent="0.25">
      <c r="A1644">
        <v>4</v>
      </c>
      <c r="B1644" s="1">
        <v>47665</v>
      </c>
      <c r="C1644" s="1">
        <f t="shared" si="566"/>
        <v>47788</v>
      </c>
      <c r="D1644" s="1">
        <f t="shared" si="567"/>
        <v>47679</v>
      </c>
      <c r="E1644" s="1">
        <f t="shared" si="568"/>
        <v>47788</v>
      </c>
      <c r="F1644" s="1">
        <f t="shared" si="569"/>
        <v>47818</v>
      </c>
      <c r="G1644" s="1">
        <f t="shared" si="570"/>
        <v>48044</v>
      </c>
      <c r="H1644">
        <f t="shared" si="571"/>
        <v>365</v>
      </c>
      <c r="I1644">
        <f t="shared" si="572"/>
        <v>30</v>
      </c>
      <c r="J1644">
        <f t="shared" si="573"/>
        <v>8.2191780821917804E-2</v>
      </c>
      <c r="K1644">
        <f>IFERROR($J1644/IF($A1644&lt;COUNTIFS($K$1:K$1,"&lt;&gt;"),0,SUMIFS($J:$J,$B:$B,$B1644,$A:$A,"&gt;="&amp;COUNTIFS($K$1:K$1,"&lt;&gt;"))),0)</f>
        <v>8.6206896551724144E-2</v>
      </c>
      <c r="L1644">
        <f>IFERROR($J1644/IF($A1644&lt;COUNTIFS($K$1:L$1,"&lt;&gt;"),0,SUMIFS($J:$J,$B:$B,$B1644,$A:$A,"&gt;="&amp;COUNTIFS($K$1:L$1,"&lt;&gt;"))),0)</f>
        <v>9.4637223974763415E-2</v>
      </c>
      <c r="M1644">
        <f>IFERROR($J1644/IF($A1644&lt;COUNTIFS($K$1:M$1,"&lt;&gt;"),0,SUMIFS($J:$J,$B:$B,$B1644,$A:$A,"&gt;="&amp;COUNTIFS($K$1:M$1,"&lt;&gt;"))),0)</f>
        <v>0.10452961672473869</v>
      </c>
      <c r="N1644">
        <f>IFERROR($J1644/IF($A1644&lt;COUNTIFS($K$1:N$1,"&lt;&gt;"),0,SUMIFS($J:$J,$B:$B,$B1644,$A:$A,"&gt;="&amp;COUNTIFS($K$1:N$1,"&lt;&gt;"))),0)</f>
        <v>0.11718750000000001</v>
      </c>
      <c r="O1644">
        <f>IFERROR($J1644/IF($A1644&lt;COUNTIFS($K$1:O$1,"&lt;&gt;"),0,SUMIFS($J:$J,$B:$B,$B1644,$A:$A,"&gt;="&amp;COUNTIFS($K$1:O$1,"&lt;&gt;"))),0)</f>
        <v>0</v>
      </c>
      <c r="P1644">
        <f>IFERROR($J1644/IF($A1644&lt;COUNTIFS($K$1:P$1,"&lt;&gt;"),0,SUMIFS($J:$J,$B:$B,$B1644,$A:$A,"&gt;="&amp;COUNTIFS($K$1:P$1,"&lt;&gt;"))),0)</f>
        <v>0</v>
      </c>
      <c r="Q1644">
        <f>IFERROR($J1644/IF($A1644&lt;COUNTIFS($K$1:Q$1,"&lt;&gt;"),0,SUMIFS($J:$J,$B:$B,$B1644,$A:$A,"&gt;="&amp;COUNTIFS($K$1:Q$1,"&lt;&gt;"))),0)</f>
        <v>0</v>
      </c>
      <c r="R1644">
        <f>IFERROR($J1644/IF($A1644&lt;COUNTIFS($K$1:R$1,"&lt;&gt;"),0,SUMIFS($J:$J,$B:$B,$B1644,$A:$A,"&gt;="&amp;COUNTIFS($K$1:R$1,"&lt;&gt;"))),0)</f>
        <v>0</v>
      </c>
      <c r="S1644">
        <f>IFERROR($J1644/IF($A1644&lt;COUNTIFS($K$1:S$1,"&lt;&gt;"),0,SUMIFS($J:$J,$B:$B,$B1644,$A:$A,"&gt;="&amp;COUNTIFS($K$1:S$1,"&lt;&gt;"))),0)</f>
        <v>0</v>
      </c>
      <c r="T1644">
        <f>IFERROR($J1644/IF($A1644&lt;COUNTIFS($K$1:T$1,"&lt;&gt;"),0,SUMIFS($J:$J,$B:$B,$B1644,$A:$A,"&gt;="&amp;COUNTIFS($K$1:T$1,"&lt;&gt;"))),0)</f>
        <v>0</v>
      </c>
      <c r="U1644">
        <f>IFERROR($J1644/IF($A1644&lt;COUNTIFS($K$1:U$1,"&lt;&gt;"),0,SUMIFS($J:$J,$B:$B,$B1644,$A:$A,"&gt;="&amp;COUNTIFS($K$1:U$1,"&lt;&gt;"))),0)</f>
        <v>0</v>
      </c>
      <c r="V1644">
        <f>IFERROR($J1644/IF($A1644&lt;COUNTIFS($K$1:V$1,"&lt;&gt;"),0,SUMIFS($J:$J,$B:$B,$B1644,$A:$A,"&gt;="&amp;COUNTIFS($K$1:V$1,"&lt;&gt;"))),0)</f>
        <v>0</v>
      </c>
      <c r="W1644">
        <f t="shared" si="574"/>
        <v>8.2191780821917804E-2</v>
      </c>
      <c r="X1644">
        <f t="shared" si="554"/>
        <v>8.2191780821917804E-2</v>
      </c>
      <c r="Y1644">
        <f t="shared" si="555"/>
        <v>8.2191780821917804E-2</v>
      </c>
      <c r="Z1644">
        <f t="shared" si="556"/>
        <v>8.2191780821917804E-2</v>
      </c>
      <c r="AA1644">
        <f t="shared" si="557"/>
        <v>8.2191780821917804E-2</v>
      </c>
      <c r="AB1644">
        <f t="shared" si="558"/>
        <v>0</v>
      </c>
      <c r="AC1644">
        <f t="shared" si="559"/>
        <v>0</v>
      </c>
      <c r="AD1644">
        <f t="shared" si="560"/>
        <v>0</v>
      </c>
      <c r="AE1644">
        <f t="shared" si="561"/>
        <v>0</v>
      </c>
      <c r="AF1644">
        <f t="shared" si="562"/>
        <v>0</v>
      </c>
      <c r="AG1644">
        <f t="shared" si="563"/>
        <v>0</v>
      </c>
      <c r="AH1644">
        <f t="shared" si="564"/>
        <v>0</v>
      </c>
      <c r="AI1644">
        <f t="shared" si="565"/>
        <v>0</v>
      </c>
      <c r="AJ1644" s="2" t="str">
        <f t="shared" si="575"/>
        <v>447665</v>
      </c>
    </row>
    <row r="1645" spans="1:36" x14ac:dyDescent="0.25">
      <c r="A1645">
        <v>5</v>
      </c>
      <c r="B1645" s="1">
        <v>47665</v>
      </c>
      <c r="C1645" s="1">
        <f t="shared" si="566"/>
        <v>47818</v>
      </c>
      <c r="D1645" s="1">
        <f t="shared" si="567"/>
        <v>47679</v>
      </c>
      <c r="E1645" s="1">
        <f t="shared" si="568"/>
        <v>47818</v>
      </c>
      <c r="F1645" s="1">
        <f t="shared" si="569"/>
        <v>47849</v>
      </c>
      <c r="G1645" s="1">
        <f t="shared" si="570"/>
        <v>48044</v>
      </c>
      <c r="H1645">
        <f t="shared" si="571"/>
        <v>365</v>
      </c>
      <c r="I1645">
        <f t="shared" si="572"/>
        <v>31</v>
      </c>
      <c r="J1645">
        <f t="shared" si="573"/>
        <v>8.4931506849315067E-2</v>
      </c>
      <c r="K1645">
        <f>IFERROR($J1645/IF($A1645&lt;COUNTIFS($K$1:K$1,"&lt;&gt;"),0,SUMIFS($J:$J,$B:$B,$B1645,$A:$A,"&gt;="&amp;COUNTIFS($K$1:K$1,"&lt;&gt;"))),0)</f>
        <v>8.9080459770114959E-2</v>
      </c>
      <c r="L1645">
        <f>IFERROR($J1645/IF($A1645&lt;COUNTIFS($K$1:L$1,"&lt;&gt;"),0,SUMIFS($J:$J,$B:$B,$B1645,$A:$A,"&gt;="&amp;COUNTIFS($K$1:L$1,"&lt;&gt;"))),0)</f>
        <v>9.7791798107255537E-2</v>
      </c>
      <c r="M1645">
        <f>IFERROR($J1645/IF($A1645&lt;COUNTIFS($K$1:M$1,"&lt;&gt;"),0,SUMIFS($J:$J,$B:$B,$B1645,$A:$A,"&gt;="&amp;COUNTIFS($K$1:M$1,"&lt;&gt;"))),0)</f>
        <v>0.10801393728222998</v>
      </c>
      <c r="N1645">
        <f>IFERROR($J1645/IF($A1645&lt;COUNTIFS($K$1:N$1,"&lt;&gt;"),0,SUMIFS($J:$J,$B:$B,$B1645,$A:$A,"&gt;="&amp;COUNTIFS($K$1:N$1,"&lt;&gt;"))),0)</f>
        <v>0.12109375000000001</v>
      </c>
      <c r="O1645">
        <f>IFERROR($J1645/IF($A1645&lt;COUNTIFS($K$1:O$1,"&lt;&gt;"),0,SUMIFS($J:$J,$B:$B,$B1645,$A:$A,"&gt;="&amp;COUNTIFS($K$1:O$1,"&lt;&gt;"))),0)</f>
        <v>0.13716814159292037</v>
      </c>
      <c r="P1645">
        <f>IFERROR($J1645/IF($A1645&lt;COUNTIFS($K$1:P$1,"&lt;&gt;"),0,SUMIFS($J:$J,$B:$B,$B1645,$A:$A,"&gt;="&amp;COUNTIFS($K$1:P$1,"&lt;&gt;"))),0)</f>
        <v>0</v>
      </c>
      <c r="Q1645">
        <f>IFERROR($J1645/IF($A1645&lt;COUNTIFS($K$1:Q$1,"&lt;&gt;"),0,SUMIFS($J:$J,$B:$B,$B1645,$A:$A,"&gt;="&amp;COUNTIFS($K$1:Q$1,"&lt;&gt;"))),0)</f>
        <v>0</v>
      </c>
      <c r="R1645">
        <f>IFERROR($J1645/IF($A1645&lt;COUNTIFS($K$1:R$1,"&lt;&gt;"),0,SUMIFS($J:$J,$B:$B,$B1645,$A:$A,"&gt;="&amp;COUNTIFS($K$1:R$1,"&lt;&gt;"))),0)</f>
        <v>0</v>
      </c>
      <c r="S1645">
        <f>IFERROR($J1645/IF($A1645&lt;COUNTIFS($K$1:S$1,"&lt;&gt;"),0,SUMIFS($J:$J,$B:$B,$B1645,$A:$A,"&gt;="&amp;COUNTIFS($K$1:S$1,"&lt;&gt;"))),0)</f>
        <v>0</v>
      </c>
      <c r="T1645">
        <f>IFERROR($J1645/IF($A1645&lt;COUNTIFS($K$1:T$1,"&lt;&gt;"),0,SUMIFS($J:$J,$B:$B,$B1645,$A:$A,"&gt;="&amp;COUNTIFS($K$1:T$1,"&lt;&gt;"))),0)</f>
        <v>0</v>
      </c>
      <c r="U1645">
        <f>IFERROR($J1645/IF($A1645&lt;COUNTIFS($K$1:U$1,"&lt;&gt;"),0,SUMIFS($J:$J,$B:$B,$B1645,$A:$A,"&gt;="&amp;COUNTIFS($K$1:U$1,"&lt;&gt;"))),0)</f>
        <v>0</v>
      </c>
      <c r="V1645">
        <f>IFERROR($J1645/IF($A1645&lt;COUNTIFS($K$1:V$1,"&lt;&gt;"),0,SUMIFS($J:$J,$B:$B,$B1645,$A:$A,"&gt;="&amp;COUNTIFS($K$1:V$1,"&lt;&gt;"))),0)</f>
        <v>0</v>
      </c>
      <c r="W1645">
        <f t="shared" si="574"/>
        <v>8.4931506849315067E-2</v>
      </c>
      <c r="X1645">
        <f t="shared" si="554"/>
        <v>8.4931506849315067E-2</v>
      </c>
      <c r="Y1645">
        <f t="shared" si="555"/>
        <v>8.4931506849315067E-2</v>
      </c>
      <c r="Z1645">
        <f t="shared" si="556"/>
        <v>8.4931506849315067E-2</v>
      </c>
      <c r="AA1645">
        <f t="shared" si="557"/>
        <v>8.4931506849315067E-2</v>
      </c>
      <c r="AB1645">
        <f t="shared" si="558"/>
        <v>8.4931506849315067E-2</v>
      </c>
      <c r="AC1645">
        <f t="shared" si="559"/>
        <v>0</v>
      </c>
      <c r="AD1645">
        <f t="shared" si="560"/>
        <v>0</v>
      </c>
      <c r="AE1645">
        <f t="shared" si="561"/>
        <v>0</v>
      </c>
      <c r="AF1645">
        <f t="shared" si="562"/>
        <v>0</v>
      </c>
      <c r="AG1645">
        <f t="shared" si="563"/>
        <v>0</v>
      </c>
      <c r="AH1645">
        <f t="shared" si="564"/>
        <v>0</v>
      </c>
      <c r="AI1645">
        <f t="shared" si="565"/>
        <v>0</v>
      </c>
      <c r="AJ1645" s="2" t="str">
        <f t="shared" si="575"/>
        <v>547665</v>
      </c>
    </row>
    <row r="1646" spans="1:36" x14ac:dyDescent="0.25">
      <c r="A1646">
        <v>6</v>
      </c>
      <c r="B1646" s="1">
        <v>47665</v>
      </c>
      <c r="C1646" s="1">
        <f t="shared" si="566"/>
        <v>47849</v>
      </c>
      <c r="D1646" s="1">
        <f t="shared" si="567"/>
        <v>47679</v>
      </c>
      <c r="E1646" s="1">
        <f t="shared" si="568"/>
        <v>47849</v>
      </c>
      <c r="F1646" s="1">
        <f t="shared" si="569"/>
        <v>47880</v>
      </c>
      <c r="G1646" s="1">
        <f t="shared" si="570"/>
        <v>48044</v>
      </c>
      <c r="H1646">
        <f t="shared" si="571"/>
        <v>365</v>
      </c>
      <c r="I1646">
        <f t="shared" si="572"/>
        <v>31</v>
      </c>
      <c r="J1646">
        <f t="shared" si="573"/>
        <v>8.4931506849315067E-2</v>
      </c>
      <c r="K1646">
        <f>IFERROR($J1646/IF($A1646&lt;COUNTIFS($K$1:K$1,"&lt;&gt;"),0,SUMIFS($J:$J,$B:$B,$B1646,$A:$A,"&gt;="&amp;COUNTIFS($K$1:K$1,"&lt;&gt;"))),0)</f>
        <v>8.9080459770114959E-2</v>
      </c>
      <c r="L1646">
        <f>IFERROR($J1646/IF($A1646&lt;COUNTIFS($K$1:L$1,"&lt;&gt;"),0,SUMIFS($J:$J,$B:$B,$B1646,$A:$A,"&gt;="&amp;COUNTIFS($K$1:L$1,"&lt;&gt;"))),0)</f>
        <v>9.7791798107255537E-2</v>
      </c>
      <c r="M1646">
        <f>IFERROR($J1646/IF($A1646&lt;COUNTIFS($K$1:M$1,"&lt;&gt;"),0,SUMIFS($J:$J,$B:$B,$B1646,$A:$A,"&gt;="&amp;COUNTIFS($K$1:M$1,"&lt;&gt;"))),0)</f>
        <v>0.10801393728222998</v>
      </c>
      <c r="N1646">
        <f>IFERROR($J1646/IF($A1646&lt;COUNTIFS($K$1:N$1,"&lt;&gt;"),0,SUMIFS($J:$J,$B:$B,$B1646,$A:$A,"&gt;="&amp;COUNTIFS($K$1:N$1,"&lt;&gt;"))),0)</f>
        <v>0.12109375000000001</v>
      </c>
      <c r="O1646">
        <f>IFERROR($J1646/IF($A1646&lt;COUNTIFS($K$1:O$1,"&lt;&gt;"),0,SUMIFS($J:$J,$B:$B,$B1646,$A:$A,"&gt;="&amp;COUNTIFS($K$1:O$1,"&lt;&gt;"))),0)</f>
        <v>0.13716814159292037</v>
      </c>
      <c r="P1646">
        <f>IFERROR($J1646/IF($A1646&lt;COUNTIFS($K$1:P$1,"&lt;&gt;"),0,SUMIFS($J:$J,$B:$B,$B1646,$A:$A,"&gt;="&amp;COUNTIFS($K$1:P$1,"&lt;&gt;"))),0)</f>
        <v>0.15897435897435899</v>
      </c>
      <c r="Q1646">
        <f>IFERROR($J1646/IF($A1646&lt;COUNTIFS($K$1:Q$1,"&lt;&gt;"),0,SUMIFS($J:$J,$B:$B,$B1646,$A:$A,"&gt;="&amp;COUNTIFS($K$1:Q$1,"&lt;&gt;"))),0)</f>
        <v>0</v>
      </c>
      <c r="R1646">
        <f>IFERROR($J1646/IF($A1646&lt;COUNTIFS($K$1:R$1,"&lt;&gt;"),0,SUMIFS($J:$J,$B:$B,$B1646,$A:$A,"&gt;="&amp;COUNTIFS($K$1:R$1,"&lt;&gt;"))),0)</f>
        <v>0</v>
      </c>
      <c r="S1646">
        <f>IFERROR($J1646/IF($A1646&lt;COUNTIFS($K$1:S$1,"&lt;&gt;"),0,SUMIFS($J:$J,$B:$B,$B1646,$A:$A,"&gt;="&amp;COUNTIFS($K$1:S$1,"&lt;&gt;"))),0)</f>
        <v>0</v>
      </c>
      <c r="T1646">
        <f>IFERROR($J1646/IF($A1646&lt;COUNTIFS($K$1:T$1,"&lt;&gt;"),0,SUMIFS($J:$J,$B:$B,$B1646,$A:$A,"&gt;="&amp;COUNTIFS($K$1:T$1,"&lt;&gt;"))),0)</f>
        <v>0</v>
      </c>
      <c r="U1646">
        <f>IFERROR($J1646/IF($A1646&lt;COUNTIFS($K$1:U$1,"&lt;&gt;"),0,SUMIFS($J:$J,$B:$B,$B1646,$A:$A,"&gt;="&amp;COUNTIFS($K$1:U$1,"&lt;&gt;"))),0)</f>
        <v>0</v>
      </c>
      <c r="V1646">
        <f>IFERROR($J1646/IF($A1646&lt;COUNTIFS($K$1:V$1,"&lt;&gt;"),0,SUMIFS($J:$J,$B:$B,$B1646,$A:$A,"&gt;="&amp;COUNTIFS($K$1:V$1,"&lt;&gt;"))),0)</f>
        <v>0</v>
      </c>
      <c r="W1646">
        <f t="shared" si="574"/>
        <v>8.4931506849315067E-2</v>
      </c>
      <c r="X1646">
        <f t="shared" si="554"/>
        <v>8.4931506849315067E-2</v>
      </c>
      <c r="Y1646">
        <f t="shared" si="555"/>
        <v>8.4931506849315067E-2</v>
      </c>
      <c r="Z1646">
        <f t="shared" si="556"/>
        <v>8.4931506849315067E-2</v>
      </c>
      <c r="AA1646">
        <f t="shared" si="557"/>
        <v>8.4931506849315067E-2</v>
      </c>
      <c r="AB1646">
        <f t="shared" si="558"/>
        <v>8.4931506849315067E-2</v>
      </c>
      <c r="AC1646">
        <f t="shared" si="559"/>
        <v>8.4931506849315067E-2</v>
      </c>
      <c r="AD1646">
        <f t="shared" si="560"/>
        <v>0</v>
      </c>
      <c r="AE1646">
        <f t="shared" si="561"/>
        <v>0</v>
      </c>
      <c r="AF1646">
        <f t="shared" si="562"/>
        <v>0</v>
      </c>
      <c r="AG1646">
        <f t="shared" si="563"/>
        <v>0</v>
      </c>
      <c r="AH1646">
        <f t="shared" si="564"/>
        <v>0</v>
      </c>
      <c r="AI1646">
        <f t="shared" si="565"/>
        <v>0</v>
      </c>
      <c r="AJ1646" s="2" t="str">
        <f t="shared" si="575"/>
        <v>647665</v>
      </c>
    </row>
    <row r="1647" spans="1:36" x14ac:dyDescent="0.25">
      <c r="A1647">
        <v>7</v>
      </c>
      <c r="B1647" s="1">
        <v>47665</v>
      </c>
      <c r="C1647" s="1">
        <f t="shared" si="566"/>
        <v>47880</v>
      </c>
      <c r="D1647" s="1">
        <f t="shared" si="567"/>
        <v>47679</v>
      </c>
      <c r="E1647" s="1">
        <f t="shared" si="568"/>
        <v>47880</v>
      </c>
      <c r="F1647" s="1">
        <f t="shared" si="569"/>
        <v>47908</v>
      </c>
      <c r="G1647" s="1">
        <f t="shared" si="570"/>
        <v>48044</v>
      </c>
      <c r="H1647">
        <f t="shared" si="571"/>
        <v>365</v>
      </c>
      <c r="I1647">
        <f t="shared" si="572"/>
        <v>28</v>
      </c>
      <c r="J1647">
        <f t="shared" si="573"/>
        <v>7.6712328767123292E-2</v>
      </c>
      <c r="K1647">
        <f>IFERROR($J1647/IF($A1647&lt;COUNTIFS($K$1:K$1,"&lt;&gt;"),0,SUMIFS($J:$J,$B:$B,$B1647,$A:$A,"&gt;="&amp;COUNTIFS($K$1:K$1,"&lt;&gt;"))),0)</f>
        <v>8.0459770114942541E-2</v>
      </c>
      <c r="L1647">
        <f>IFERROR($J1647/IF($A1647&lt;COUNTIFS($K$1:L$1,"&lt;&gt;"),0,SUMIFS($J:$J,$B:$B,$B1647,$A:$A,"&gt;="&amp;COUNTIFS($K$1:L$1,"&lt;&gt;"))),0)</f>
        <v>8.83280757097792E-2</v>
      </c>
      <c r="M1647">
        <f>IFERROR($J1647/IF($A1647&lt;COUNTIFS($K$1:M$1,"&lt;&gt;"),0,SUMIFS($J:$J,$B:$B,$B1647,$A:$A,"&gt;="&amp;COUNTIFS($K$1:M$1,"&lt;&gt;"))),0)</f>
        <v>9.7560975609756115E-2</v>
      </c>
      <c r="N1647">
        <f>IFERROR($J1647/IF($A1647&lt;COUNTIFS($K$1:N$1,"&lt;&gt;"),0,SUMIFS($J:$J,$B:$B,$B1647,$A:$A,"&gt;="&amp;COUNTIFS($K$1:N$1,"&lt;&gt;"))),0)</f>
        <v>0.10937500000000003</v>
      </c>
      <c r="O1647">
        <f>IFERROR($J1647/IF($A1647&lt;COUNTIFS($K$1:O$1,"&lt;&gt;"),0,SUMIFS($J:$J,$B:$B,$B1647,$A:$A,"&gt;="&amp;COUNTIFS($K$1:O$1,"&lt;&gt;"))),0)</f>
        <v>0.12389380530973454</v>
      </c>
      <c r="P1647">
        <f>IFERROR($J1647/IF($A1647&lt;COUNTIFS($K$1:P$1,"&lt;&gt;"),0,SUMIFS($J:$J,$B:$B,$B1647,$A:$A,"&gt;="&amp;COUNTIFS($K$1:P$1,"&lt;&gt;"))),0)</f>
        <v>0.14358974358974361</v>
      </c>
      <c r="Q1647">
        <f>IFERROR($J1647/IF($A1647&lt;COUNTIFS($K$1:Q$1,"&lt;&gt;"),0,SUMIFS($J:$J,$B:$B,$B1647,$A:$A,"&gt;="&amp;COUNTIFS($K$1:Q$1,"&lt;&gt;"))),0)</f>
        <v>0.17073170731707318</v>
      </c>
      <c r="R1647">
        <f>IFERROR($J1647/IF($A1647&lt;COUNTIFS($K$1:R$1,"&lt;&gt;"),0,SUMIFS($J:$J,$B:$B,$B1647,$A:$A,"&gt;="&amp;COUNTIFS($K$1:R$1,"&lt;&gt;"))),0)</f>
        <v>0</v>
      </c>
      <c r="S1647">
        <f>IFERROR($J1647/IF($A1647&lt;COUNTIFS($K$1:S$1,"&lt;&gt;"),0,SUMIFS($J:$J,$B:$B,$B1647,$A:$A,"&gt;="&amp;COUNTIFS($K$1:S$1,"&lt;&gt;"))),0)</f>
        <v>0</v>
      </c>
      <c r="T1647">
        <f>IFERROR($J1647/IF($A1647&lt;COUNTIFS($K$1:T$1,"&lt;&gt;"),0,SUMIFS($J:$J,$B:$B,$B1647,$A:$A,"&gt;="&amp;COUNTIFS($K$1:T$1,"&lt;&gt;"))),0)</f>
        <v>0</v>
      </c>
      <c r="U1647">
        <f>IFERROR($J1647/IF($A1647&lt;COUNTIFS($K$1:U$1,"&lt;&gt;"),0,SUMIFS($J:$J,$B:$B,$B1647,$A:$A,"&gt;="&amp;COUNTIFS($K$1:U$1,"&lt;&gt;"))),0)</f>
        <v>0</v>
      </c>
      <c r="V1647">
        <f>IFERROR($J1647/IF($A1647&lt;COUNTIFS($K$1:V$1,"&lt;&gt;"),0,SUMIFS($J:$J,$B:$B,$B1647,$A:$A,"&gt;="&amp;COUNTIFS($K$1:V$1,"&lt;&gt;"))),0)</f>
        <v>0</v>
      </c>
      <c r="W1647">
        <f t="shared" si="574"/>
        <v>7.6712328767123292E-2</v>
      </c>
      <c r="X1647">
        <f t="shared" si="554"/>
        <v>7.6712328767123292E-2</v>
      </c>
      <c r="Y1647">
        <f t="shared" si="555"/>
        <v>7.6712328767123292E-2</v>
      </c>
      <c r="Z1647">
        <f t="shared" si="556"/>
        <v>7.6712328767123292E-2</v>
      </c>
      <c r="AA1647">
        <f t="shared" si="557"/>
        <v>7.6712328767123292E-2</v>
      </c>
      <c r="AB1647">
        <f t="shared" si="558"/>
        <v>7.6712328767123292E-2</v>
      </c>
      <c r="AC1647">
        <f t="shared" si="559"/>
        <v>7.6712328767123292E-2</v>
      </c>
      <c r="AD1647">
        <f t="shared" si="560"/>
        <v>7.6712328767123292E-2</v>
      </c>
      <c r="AE1647">
        <f t="shared" si="561"/>
        <v>0</v>
      </c>
      <c r="AF1647">
        <f t="shared" si="562"/>
        <v>0</v>
      </c>
      <c r="AG1647">
        <f t="shared" si="563"/>
        <v>0</v>
      </c>
      <c r="AH1647">
        <f t="shared" si="564"/>
        <v>0</v>
      </c>
      <c r="AI1647">
        <f t="shared" si="565"/>
        <v>0</v>
      </c>
      <c r="AJ1647" s="2" t="str">
        <f t="shared" si="575"/>
        <v>747665</v>
      </c>
    </row>
    <row r="1648" spans="1:36" x14ac:dyDescent="0.25">
      <c r="A1648">
        <v>8</v>
      </c>
      <c r="B1648" s="1">
        <v>47665</v>
      </c>
      <c r="C1648" s="1">
        <f t="shared" si="566"/>
        <v>47908</v>
      </c>
      <c r="D1648" s="1">
        <f t="shared" si="567"/>
        <v>47679</v>
      </c>
      <c r="E1648" s="1">
        <f t="shared" si="568"/>
        <v>47908</v>
      </c>
      <c r="F1648" s="1">
        <f t="shared" si="569"/>
        <v>47939</v>
      </c>
      <c r="G1648" s="1">
        <f t="shared" si="570"/>
        <v>48044</v>
      </c>
      <c r="H1648">
        <f t="shared" si="571"/>
        <v>365</v>
      </c>
      <c r="I1648">
        <f t="shared" si="572"/>
        <v>31</v>
      </c>
      <c r="J1648">
        <f t="shared" si="573"/>
        <v>8.4931506849315067E-2</v>
      </c>
      <c r="K1648">
        <f>IFERROR($J1648/IF($A1648&lt;COUNTIFS($K$1:K$1,"&lt;&gt;"),0,SUMIFS($J:$J,$B:$B,$B1648,$A:$A,"&gt;="&amp;COUNTIFS($K$1:K$1,"&lt;&gt;"))),0)</f>
        <v>8.9080459770114959E-2</v>
      </c>
      <c r="L1648">
        <f>IFERROR($J1648/IF($A1648&lt;COUNTIFS($K$1:L$1,"&lt;&gt;"),0,SUMIFS($J:$J,$B:$B,$B1648,$A:$A,"&gt;="&amp;COUNTIFS($K$1:L$1,"&lt;&gt;"))),0)</f>
        <v>9.7791798107255537E-2</v>
      </c>
      <c r="M1648">
        <f>IFERROR($J1648/IF($A1648&lt;COUNTIFS($K$1:M$1,"&lt;&gt;"),0,SUMIFS($J:$J,$B:$B,$B1648,$A:$A,"&gt;="&amp;COUNTIFS($K$1:M$1,"&lt;&gt;"))),0)</f>
        <v>0.10801393728222998</v>
      </c>
      <c r="N1648">
        <f>IFERROR($J1648/IF($A1648&lt;COUNTIFS($K$1:N$1,"&lt;&gt;"),0,SUMIFS($J:$J,$B:$B,$B1648,$A:$A,"&gt;="&amp;COUNTIFS($K$1:N$1,"&lt;&gt;"))),0)</f>
        <v>0.12109375000000001</v>
      </c>
      <c r="O1648">
        <f>IFERROR($J1648/IF($A1648&lt;COUNTIFS($K$1:O$1,"&lt;&gt;"),0,SUMIFS($J:$J,$B:$B,$B1648,$A:$A,"&gt;="&amp;COUNTIFS($K$1:O$1,"&lt;&gt;"))),0)</f>
        <v>0.13716814159292037</v>
      </c>
      <c r="P1648">
        <f>IFERROR($J1648/IF($A1648&lt;COUNTIFS($K$1:P$1,"&lt;&gt;"),0,SUMIFS($J:$J,$B:$B,$B1648,$A:$A,"&gt;="&amp;COUNTIFS($K$1:P$1,"&lt;&gt;"))),0)</f>
        <v>0.15897435897435899</v>
      </c>
      <c r="Q1648">
        <f>IFERROR($J1648/IF($A1648&lt;COUNTIFS($K$1:Q$1,"&lt;&gt;"),0,SUMIFS($J:$J,$B:$B,$B1648,$A:$A,"&gt;="&amp;COUNTIFS($K$1:Q$1,"&lt;&gt;"))),0)</f>
        <v>0.18902439024390244</v>
      </c>
      <c r="R1648">
        <f>IFERROR($J1648/IF($A1648&lt;COUNTIFS($K$1:R$1,"&lt;&gt;"),0,SUMIFS($J:$J,$B:$B,$B1648,$A:$A,"&gt;="&amp;COUNTIFS($K$1:R$1,"&lt;&gt;"))),0)</f>
        <v>0.22794117647058826</v>
      </c>
      <c r="S1648">
        <f>IFERROR($J1648/IF($A1648&lt;COUNTIFS($K$1:S$1,"&lt;&gt;"),0,SUMIFS($J:$J,$B:$B,$B1648,$A:$A,"&gt;="&amp;COUNTIFS($K$1:S$1,"&lt;&gt;"))),0)</f>
        <v>0</v>
      </c>
      <c r="T1648">
        <f>IFERROR($J1648/IF($A1648&lt;COUNTIFS($K$1:T$1,"&lt;&gt;"),0,SUMIFS($J:$J,$B:$B,$B1648,$A:$A,"&gt;="&amp;COUNTIFS($K$1:T$1,"&lt;&gt;"))),0)</f>
        <v>0</v>
      </c>
      <c r="U1648">
        <f>IFERROR($J1648/IF($A1648&lt;COUNTIFS($K$1:U$1,"&lt;&gt;"),0,SUMIFS($J:$J,$B:$B,$B1648,$A:$A,"&gt;="&amp;COUNTIFS($K$1:U$1,"&lt;&gt;"))),0)</f>
        <v>0</v>
      </c>
      <c r="V1648">
        <f>IFERROR($J1648/IF($A1648&lt;COUNTIFS($K$1:V$1,"&lt;&gt;"),0,SUMIFS($J:$J,$B:$B,$B1648,$A:$A,"&gt;="&amp;COUNTIFS($K$1:V$1,"&lt;&gt;"))),0)</f>
        <v>0</v>
      </c>
      <c r="W1648">
        <f t="shared" si="574"/>
        <v>8.4931506849315067E-2</v>
      </c>
      <c r="X1648">
        <f t="shared" si="554"/>
        <v>8.4931506849315067E-2</v>
      </c>
      <c r="Y1648">
        <f t="shared" si="555"/>
        <v>8.4931506849315067E-2</v>
      </c>
      <c r="Z1648">
        <f t="shared" si="556"/>
        <v>8.4931506849315067E-2</v>
      </c>
      <c r="AA1648">
        <f t="shared" si="557"/>
        <v>8.4931506849315067E-2</v>
      </c>
      <c r="AB1648">
        <f t="shared" si="558"/>
        <v>8.4931506849315067E-2</v>
      </c>
      <c r="AC1648">
        <f t="shared" si="559"/>
        <v>8.4931506849315067E-2</v>
      </c>
      <c r="AD1648">
        <f t="shared" si="560"/>
        <v>8.4931506849315067E-2</v>
      </c>
      <c r="AE1648">
        <f t="shared" si="561"/>
        <v>8.4931506849315067E-2</v>
      </c>
      <c r="AF1648">
        <f t="shared" si="562"/>
        <v>0</v>
      </c>
      <c r="AG1648">
        <f t="shared" si="563"/>
        <v>0</v>
      </c>
      <c r="AH1648">
        <f t="shared" si="564"/>
        <v>0</v>
      </c>
      <c r="AI1648">
        <f t="shared" si="565"/>
        <v>0</v>
      </c>
      <c r="AJ1648" s="2" t="str">
        <f t="shared" si="575"/>
        <v>847665</v>
      </c>
    </row>
    <row r="1649" spans="1:36" x14ac:dyDescent="0.25">
      <c r="A1649">
        <v>9</v>
      </c>
      <c r="B1649" s="1">
        <v>47665</v>
      </c>
      <c r="C1649" s="1">
        <f t="shared" si="566"/>
        <v>47939</v>
      </c>
      <c r="D1649" s="1">
        <f t="shared" si="567"/>
        <v>47679</v>
      </c>
      <c r="E1649" s="1">
        <f t="shared" si="568"/>
        <v>47939</v>
      </c>
      <c r="F1649" s="1">
        <f t="shared" si="569"/>
        <v>47969</v>
      </c>
      <c r="G1649" s="1">
        <f t="shared" si="570"/>
        <v>48044</v>
      </c>
      <c r="H1649">
        <f t="shared" si="571"/>
        <v>365</v>
      </c>
      <c r="I1649">
        <f t="shared" si="572"/>
        <v>30</v>
      </c>
      <c r="J1649">
        <f t="shared" si="573"/>
        <v>8.2191780821917804E-2</v>
      </c>
      <c r="K1649">
        <f>IFERROR($J1649/IF($A1649&lt;COUNTIFS($K$1:K$1,"&lt;&gt;"),0,SUMIFS($J:$J,$B:$B,$B1649,$A:$A,"&gt;="&amp;COUNTIFS($K$1:K$1,"&lt;&gt;"))),0)</f>
        <v>8.6206896551724144E-2</v>
      </c>
      <c r="L1649">
        <f>IFERROR($J1649/IF($A1649&lt;COUNTIFS($K$1:L$1,"&lt;&gt;"),0,SUMIFS($J:$J,$B:$B,$B1649,$A:$A,"&gt;="&amp;COUNTIFS($K$1:L$1,"&lt;&gt;"))),0)</f>
        <v>9.4637223974763415E-2</v>
      </c>
      <c r="M1649">
        <f>IFERROR($J1649/IF($A1649&lt;COUNTIFS($K$1:M$1,"&lt;&gt;"),0,SUMIFS($J:$J,$B:$B,$B1649,$A:$A,"&gt;="&amp;COUNTIFS($K$1:M$1,"&lt;&gt;"))),0)</f>
        <v>0.10452961672473869</v>
      </c>
      <c r="N1649">
        <f>IFERROR($J1649/IF($A1649&lt;COUNTIFS($K$1:N$1,"&lt;&gt;"),0,SUMIFS($J:$J,$B:$B,$B1649,$A:$A,"&gt;="&amp;COUNTIFS($K$1:N$1,"&lt;&gt;"))),0)</f>
        <v>0.11718750000000001</v>
      </c>
      <c r="O1649">
        <f>IFERROR($J1649/IF($A1649&lt;COUNTIFS($K$1:O$1,"&lt;&gt;"),0,SUMIFS($J:$J,$B:$B,$B1649,$A:$A,"&gt;="&amp;COUNTIFS($K$1:O$1,"&lt;&gt;"))),0)</f>
        <v>0.13274336283185842</v>
      </c>
      <c r="P1649">
        <f>IFERROR($J1649/IF($A1649&lt;COUNTIFS($K$1:P$1,"&lt;&gt;"),0,SUMIFS($J:$J,$B:$B,$B1649,$A:$A,"&gt;="&amp;COUNTIFS($K$1:P$1,"&lt;&gt;"))),0)</f>
        <v>0.15384615384615385</v>
      </c>
      <c r="Q1649">
        <f>IFERROR($J1649/IF($A1649&lt;COUNTIFS($K$1:Q$1,"&lt;&gt;"),0,SUMIFS($J:$J,$B:$B,$B1649,$A:$A,"&gt;="&amp;COUNTIFS($K$1:Q$1,"&lt;&gt;"))),0)</f>
        <v>0.18292682926829268</v>
      </c>
      <c r="R1649">
        <f>IFERROR($J1649/IF($A1649&lt;COUNTIFS($K$1:R$1,"&lt;&gt;"),0,SUMIFS($J:$J,$B:$B,$B1649,$A:$A,"&gt;="&amp;COUNTIFS($K$1:R$1,"&lt;&gt;"))),0)</f>
        <v>0.22058823529411764</v>
      </c>
      <c r="S1649">
        <f>IFERROR($J1649/IF($A1649&lt;COUNTIFS($K$1:S$1,"&lt;&gt;"),0,SUMIFS($J:$J,$B:$B,$B1649,$A:$A,"&gt;="&amp;COUNTIFS($K$1:S$1,"&lt;&gt;"))),0)</f>
        <v>0.2857142857142857</v>
      </c>
      <c r="T1649">
        <f>IFERROR($J1649/IF($A1649&lt;COUNTIFS($K$1:T$1,"&lt;&gt;"),0,SUMIFS($J:$J,$B:$B,$B1649,$A:$A,"&gt;="&amp;COUNTIFS($K$1:T$1,"&lt;&gt;"))),0)</f>
        <v>0</v>
      </c>
      <c r="U1649">
        <f>IFERROR($J1649/IF($A1649&lt;COUNTIFS($K$1:U$1,"&lt;&gt;"),0,SUMIFS($J:$J,$B:$B,$B1649,$A:$A,"&gt;="&amp;COUNTIFS($K$1:U$1,"&lt;&gt;"))),0)</f>
        <v>0</v>
      </c>
      <c r="V1649">
        <f>IFERROR($J1649/IF($A1649&lt;COUNTIFS($K$1:V$1,"&lt;&gt;"),0,SUMIFS($J:$J,$B:$B,$B1649,$A:$A,"&gt;="&amp;COUNTIFS($K$1:V$1,"&lt;&gt;"))),0)</f>
        <v>0</v>
      </c>
      <c r="W1649">
        <f t="shared" si="574"/>
        <v>8.2191780821917804E-2</v>
      </c>
      <c r="X1649">
        <f t="shared" si="554"/>
        <v>8.2191780821917804E-2</v>
      </c>
      <c r="Y1649">
        <f t="shared" si="555"/>
        <v>8.2191780821917804E-2</v>
      </c>
      <c r="Z1649">
        <f t="shared" si="556"/>
        <v>8.2191780821917804E-2</v>
      </c>
      <c r="AA1649">
        <f t="shared" si="557"/>
        <v>8.2191780821917804E-2</v>
      </c>
      <c r="AB1649">
        <f t="shared" si="558"/>
        <v>8.2191780821917804E-2</v>
      </c>
      <c r="AC1649">
        <f t="shared" si="559"/>
        <v>8.2191780821917804E-2</v>
      </c>
      <c r="AD1649">
        <f t="shared" si="560"/>
        <v>8.2191780821917804E-2</v>
      </c>
      <c r="AE1649">
        <f t="shared" si="561"/>
        <v>8.2191780821917804E-2</v>
      </c>
      <c r="AF1649">
        <f t="shared" si="562"/>
        <v>8.2191780821917804E-2</v>
      </c>
      <c r="AG1649">
        <f t="shared" si="563"/>
        <v>0</v>
      </c>
      <c r="AH1649">
        <f t="shared" si="564"/>
        <v>0</v>
      </c>
      <c r="AI1649">
        <f t="shared" si="565"/>
        <v>0</v>
      </c>
      <c r="AJ1649" s="2" t="str">
        <f t="shared" si="575"/>
        <v>947665</v>
      </c>
    </row>
    <row r="1650" spans="1:36" x14ac:dyDescent="0.25">
      <c r="A1650">
        <v>10</v>
      </c>
      <c r="B1650" s="1">
        <v>47665</v>
      </c>
      <c r="C1650" s="1">
        <f t="shared" si="566"/>
        <v>47969</v>
      </c>
      <c r="D1650" s="1">
        <f t="shared" si="567"/>
        <v>47679</v>
      </c>
      <c r="E1650" s="1">
        <f t="shared" si="568"/>
        <v>47969</v>
      </c>
      <c r="F1650" s="1">
        <f t="shared" si="569"/>
        <v>48000</v>
      </c>
      <c r="G1650" s="1">
        <f t="shared" si="570"/>
        <v>48044</v>
      </c>
      <c r="H1650">
        <f t="shared" si="571"/>
        <v>365</v>
      </c>
      <c r="I1650">
        <f t="shared" si="572"/>
        <v>31</v>
      </c>
      <c r="J1650">
        <f t="shared" si="573"/>
        <v>8.4931506849315067E-2</v>
      </c>
      <c r="K1650">
        <f>IFERROR($J1650/IF($A1650&lt;COUNTIFS($K$1:K$1,"&lt;&gt;"),0,SUMIFS($J:$J,$B:$B,$B1650,$A:$A,"&gt;="&amp;COUNTIFS($K$1:K$1,"&lt;&gt;"))),0)</f>
        <v>8.9080459770114959E-2</v>
      </c>
      <c r="L1650">
        <f>IFERROR($J1650/IF($A1650&lt;COUNTIFS($K$1:L$1,"&lt;&gt;"),0,SUMIFS($J:$J,$B:$B,$B1650,$A:$A,"&gt;="&amp;COUNTIFS($K$1:L$1,"&lt;&gt;"))),0)</f>
        <v>9.7791798107255537E-2</v>
      </c>
      <c r="M1650">
        <f>IFERROR($J1650/IF($A1650&lt;COUNTIFS($K$1:M$1,"&lt;&gt;"),0,SUMIFS($J:$J,$B:$B,$B1650,$A:$A,"&gt;="&amp;COUNTIFS($K$1:M$1,"&lt;&gt;"))),0)</f>
        <v>0.10801393728222998</v>
      </c>
      <c r="N1650">
        <f>IFERROR($J1650/IF($A1650&lt;COUNTIFS($K$1:N$1,"&lt;&gt;"),0,SUMIFS($J:$J,$B:$B,$B1650,$A:$A,"&gt;="&amp;COUNTIFS($K$1:N$1,"&lt;&gt;"))),0)</f>
        <v>0.12109375000000001</v>
      </c>
      <c r="O1650">
        <f>IFERROR($J1650/IF($A1650&lt;COUNTIFS($K$1:O$1,"&lt;&gt;"),0,SUMIFS($J:$J,$B:$B,$B1650,$A:$A,"&gt;="&amp;COUNTIFS($K$1:O$1,"&lt;&gt;"))),0)</f>
        <v>0.13716814159292037</v>
      </c>
      <c r="P1650">
        <f>IFERROR($J1650/IF($A1650&lt;COUNTIFS($K$1:P$1,"&lt;&gt;"),0,SUMIFS($J:$J,$B:$B,$B1650,$A:$A,"&gt;="&amp;COUNTIFS($K$1:P$1,"&lt;&gt;"))),0)</f>
        <v>0.15897435897435899</v>
      </c>
      <c r="Q1650">
        <f>IFERROR($J1650/IF($A1650&lt;COUNTIFS($K$1:Q$1,"&lt;&gt;"),0,SUMIFS($J:$J,$B:$B,$B1650,$A:$A,"&gt;="&amp;COUNTIFS($K$1:Q$1,"&lt;&gt;"))),0)</f>
        <v>0.18902439024390244</v>
      </c>
      <c r="R1650">
        <f>IFERROR($J1650/IF($A1650&lt;COUNTIFS($K$1:R$1,"&lt;&gt;"),0,SUMIFS($J:$J,$B:$B,$B1650,$A:$A,"&gt;="&amp;COUNTIFS($K$1:R$1,"&lt;&gt;"))),0)</f>
        <v>0.22794117647058826</v>
      </c>
      <c r="S1650">
        <f>IFERROR($J1650/IF($A1650&lt;COUNTIFS($K$1:S$1,"&lt;&gt;"),0,SUMIFS($J:$J,$B:$B,$B1650,$A:$A,"&gt;="&amp;COUNTIFS($K$1:S$1,"&lt;&gt;"))),0)</f>
        <v>0.29523809523809524</v>
      </c>
      <c r="T1650">
        <f>IFERROR($J1650/IF($A1650&lt;COUNTIFS($K$1:T$1,"&lt;&gt;"),0,SUMIFS($J:$J,$B:$B,$B1650,$A:$A,"&gt;="&amp;COUNTIFS($K$1:T$1,"&lt;&gt;"))),0)</f>
        <v>0.41333333333333333</v>
      </c>
      <c r="U1650">
        <f>IFERROR($J1650/IF($A1650&lt;COUNTIFS($K$1:U$1,"&lt;&gt;"),0,SUMIFS($J:$J,$B:$B,$B1650,$A:$A,"&gt;="&amp;COUNTIFS($K$1:U$1,"&lt;&gt;"))),0)</f>
        <v>0</v>
      </c>
      <c r="V1650">
        <f>IFERROR($J1650/IF($A1650&lt;COUNTIFS($K$1:V$1,"&lt;&gt;"),0,SUMIFS($J:$J,$B:$B,$B1650,$A:$A,"&gt;="&amp;COUNTIFS($K$1:V$1,"&lt;&gt;"))),0)</f>
        <v>0</v>
      </c>
      <c r="W1650">
        <f t="shared" si="574"/>
        <v>8.4931506849315067E-2</v>
      </c>
      <c r="X1650">
        <f t="shared" si="554"/>
        <v>8.4931506849315067E-2</v>
      </c>
      <c r="Y1650">
        <f t="shared" si="555"/>
        <v>8.4931506849315067E-2</v>
      </c>
      <c r="Z1650">
        <f t="shared" si="556"/>
        <v>8.4931506849315067E-2</v>
      </c>
      <c r="AA1650">
        <f t="shared" si="557"/>
        <v>8.4931506849315067E-2</v>
      </c>
      <c r="AB1650">
        <f t="shared" si="558"/>
        <v>8.4931506849315067E-2</v>
      </c>
      <c r="AC1650">
        <f t="shared" si="559"/>
        <v>8.4931506849315067E-2</v>
      </c>
      <c r="AD1650">
        <f t="shared" si="560"/>
        <v>8.4931506849315067E-2</v>
      </c>
      <c r="AE1650">
        <f t="shared" si="561"/>
        <v>8.4931506849315067E-2</v>
      </c>
      <c r="AF1650">
        <f t="shared" si="562"/>
        <v>8.4931506849315067E-2</v>
      </c>
      <c r="AG1650">
        <f t="shared" si="563"/>
        <v>8.4931506849315067E-2</v>
      </c>
      <c r="AH1650">
        <f t="shared" si="564"/>
        <v>0</v>
      </c>
      <c r="AI1650">
        <f t="shared" si="565"/>
        <v>0</v>
      </c>
      <c r="AJ1650" s="2" t="str">
        <f t="shared" si="575"/>
        <v>1047665</v>
      </c>
    </row>
    <row r="1651" spans="1:36" x14ac:dyDescent="0.25">
      <c r="A1651">
        <v>11</v>
      </c>
      <c r="B1651" s="1">
        <v>47665</v>
      </c>
      <c r="C1651" s="1">
        <f t="shared" si="566"/>
        <v>48000</v>
      </c>
      <c r="D1651" s="1">
        <f t="shared" si="567"/>
        <v>47679</v>
      </c>
      <c r="E1651" s="1">
        <f t="shared" si="568"/>
        <v>48000</v>
      </c>
      <c r="F1651" s="1">
        <f t="shared" si="569"/>
        <v>48030</v>
      </c>
      <c r="G1651" s="1">
        <f t="shared" si="570"/>
        <v>48044</v>
      </c>
      <c r="H1651">
        <f t="shared" si="571"/>
        <v>365</v>
      </c>
      <c r="I1651">
        <f t="shared" si="572"/>
        <v>30</v>
      </c>
      <c r="J1651">
        <f t="shared" si="573"/>
        <v>8.2191780821917804E-2</v>
      </c>
      <c r="K1651">
        <f>IFERROR($J1651/IF($A1651&lt;COUNTIFS($K$1:K$1,"&lt;&gt;"),0,SUMIFS($J:$J,$B:$B,$B1651,$A:$A,"&gt;="&amp;COUNTIFS($K$1:K$1,"&lt;&gt;"))),0)</f>
        <v>8.6206896551724144E-2</v>
      </c>
      <c r="L1651">
        <f>IFERROR($J1651/IF($A1651&lt;COUNTIFS($K$1:L$1,"&lt;&gt;"),0,SUMIFS($J:$J,$B:$B,$B1651,$A:$A,"&gt;="&amp;COUNTIFS($K$1:L$1,"&lt;&gt;"))),0)</f>
        <v>9.4637223974763415E-2</v>
      </c>
      <c r="M1651">
        <f>IFERROR($J1651/IF($A1651&lt;COUNTIFS($K$1:M$1,"&lt;&gt;"),0,SUMIFS($J:$J,$B:$B,$B1651,$A:$A,"&gt;="&amp;COUNTIFS($K$1:M$1,"&lt;&gt;"))),0)</f>
        <v>0.10452961672473869</v>
      </c>
      <c r="N1651">
        <f>IFERROR($J1651/IF($A1651&lt;COUNTIFS($K$1:N$1,"&lt;&gt;"),0,SUMIFS($J:$J,$B:$B,$B1651,$A:$A,"&gt;="&amp;COUNTIFS($K$1:N$1,"&lt;&gt;"))),0)</f>
        <v>0.11718750000000001</v>
      </c>
      <c r="O1651">
        <f>IFERROR($J1651/IF($A1651&lt;COUNTIFS($K$1:O$1,"&lt;&gt;"),0,SUMIFS($J:$J,$B:$B,$B1651,$A:$A,"&gt;="&amp;COUNTIFS($K$1:O$1,"&lt;&gt;"))),0)</f>
        <v>0.13274336283185842</v>
      </c>
      <c r="P1651">
        <f>IFERROR($J1651/IF($A1651&lt;COUNTIFS($K$1:P$1,"&lt;&gt;"),0,SUMIFS($J:$J,$B:$B,$B1651,$A:$A,"&gt;="&amp;COUNTIFS($K$1:P$1,"&lt;&gt;"))),0)</f>
        <v>0.15384615384615385</v>
      </c>
      <c r="Q1651">
        <f>IFERROR($J1651/IF($A1651&lt;COUNTIFS($K$1:Q$1,"&lt;&gt;"),0,SUMIFS($J:$J,$B:$B,$B1651,$A:$A,"&gt;="&amp;COUNTIFS($K$1:Q$1,"&lt;&gt;"))),0)</f>
        <v>0.18292682926829268</v>
      </c>
      <c r="R1651">
        <f>IFERROR($J1651/IF($A1651&lt;COUNTIFS($K$1:R$1,"&lt;&gt;"),0,SUMIFS($J:$J,$B:$B,$B1651,$A:$A,"&gt;="&amp;COUNTIFS($K$1:R$1,"&lt;&gt;"))),0)</f>
        <v>0.22058823529411764</v>
      </c>
      <c r="S1651">
        <f>IFERROR($J1651/IF($A1651&lt;COUNTIFS($K$1:S$1,"&lt;&gt;"),0,SUMIFS($J:$J,$B:$B,$B1651,$A:$A,"&gt;="&amp;COUNTIFS($K$1:S$1,"&lt;&gt;"))),0)</f>
        <v>0.2857142857142857</v>
      </c>
      <c r="T1651">
        <f>IFERROR($J1651/IF($A1651&lt;COUNTIFS($K$1:T$1,"&lt;&gt;"),0,SUMIFS($J:$J,$B:$B,$B1651,$A:$A,"&gt;="&amp;COUNTIFS($K$1:T$1,"&lt;&gt;"))),0)</f>
        <v>0.4</v>
      </c>
      <c r="U1651">
        <f>IFERROR($J1651/IF($A1651&lt;COUNTIFS($K$1:U$1,"&lt;&gt;"),0,SUMIFS($J:$J,$B:$B,$B1651,$A:$A,"&gt;="&amp;COUNTIFS($K$1:U$1,"&lt;&gt;"))),0)</f>
        <v>0.68181818181818177</v>
      </c>
      <c r="V1651">
        <f>IFERROR($J1651/IF($A1651&lt;COUNTIFS($K$1:V$1,"&lt;&gt;"),0,SUMIFS($J:$J,$B:$B,$B1651,$A:$A,"&gt;="&amp;COUNTIFS($K$1:V$1,"&lt;&gt;"))),0)</f>
        <v>0</v>
      </c>
      <c r="W1651">
        <f t="shared" si="574"/>
        <v>8.2191780821917804E-2</v>
      </c>
      <c r="X1651">
        <f t="shared" si="554"/>
        <v>8.2191780821917804E-2</v>
      </c>
      <c r="Y1651">
        <f t="shared" si="555"/>
        <v>8.2191780821917804E-2</v>
      </c>
      <c r="Z1651">
        <f t="shared" si="556"/>
        <v>8.2191780821917804E-2</v>
      </c>
      <c r="AA1651">
        <f t="shared" si="557"/>
        <v>8.2191780821917804E-2</v>
      </c>
      <c r="AB1651">
        <f t="shared" si="558"/>
        <v>8.2191780821917804E-2</v>
      </c>
      <c r="AC1651">
        <f t="shared" si="559"/>
        <v>8.2191780821917804E-2</v>
      </c>
      <c r="AD1651">
        <f t="shared" si="560"/>
        <v>8.2191780821917804E-2</v>
      </c>
      <c r="AE1651">
        <f t="shared" si="561"/>
        <v>8.2191780821917804E-2</v>
      </c>
      <c r="AF1651">
        <f t="shared" si="562"/>
        <v>8.2191780821917804E-2</v>
      </c>
      <c r="AG1651">
        <f t="shared" si="563"/>
        <v>8.2191780821917804E-2</v>
      </c>
      <c r="AH1651">
        <f t="shared" si="564"/>
        <v>8.2191780821917804E-2</v>
      </c>
      <c r="AI1651">
        <f t="shared" si="565"/>
        <v>0</v>
      </c>
      <c r="AJ1651" s="2" t="str">
        <f t="shared" si="575"/>
        <v>1147665</v>
      </c>
    </row>
    <row r="1652" spans="1:36" x14ac:dyDescent="0.25">
      <c r="A1652">
        <v>12</v>
      </c>
      <c r="B1652" s="1">
        <v>47665</v>
      </c>
      <c r="C1652" s="1">
        <f t="shared" si="566"/>
        <v>48030</v>
      </c>
      <c r="D1652" s="1">
        <f t="shared" si="567"/>
        <v>47679</v>
      </c>
      <c r="E1652" s="1">
        <f t="shared" si="568"/>
        <v>48030</v>
      </c>
      <c r="F1652" s="1">
        <f t="shared" si="569"/>
        <v>48044</v>
      </c>
      <c r="G1652" s="1">
        <f t="shared" si="570"/>
        <v>48044</v>
      </c>
      <c r="H1652">
        <f t="shared" si="571"/>
        <v>365</v>
      </c>
      <c r="I1652">
        <f t="shared" si="572"/>
        <v>14</v>
      </c>
      <c r="J1652">
        <f t="shared" si="573"/>
        <v>3.8356164383561646E-2</v>
      </c>
      <c r="K1652">
        <f>IFERROR($J1652/IF($A1652&lt;COUNTIFS($K$1:K$1,"&lt;&gt;"),0,SUMIFS($J:$J,$B:$B,$B1652,$A:$A,"&gt;="&amp;COUNTIFS($K$1:K$1,"&lt;&gt;"))),0)</f>
        <v>4.0229885057471271E-2</v>
      </c>
      <c r="L1652">
        <f>IFERROR($J1652/IF($A1652&lt;COUNTIFS($K$1:L$1,"&lt;&gt;"),0,SUMIFS($J:$J,$B:$B,$B1652,$A:$A,"&gt;="&amp;COUNTIFS($K$1:L$1,"&lt;&gt;"))),0)</f>
        <v>4.41640378548896E-2</v>
      </c>
      <c r="M1652">
        <f>IFERROR($J1652/IF($A1652&lt;COUNTIFS($K$1:M$1,"&lt;&gt;"),0,SUMIFS($J:$J,$B:$B,$B1652,$A:$A,"&gt;="&amp;COUNTIFS($K$1:M$1,"&lt;&gt;"))),0)</f>
        <v>4.8780487804878057E-2</v>
      </c>
      <c r="N1652">
        <f>IFERROR($J1652/IF($A1652&lt;COUNTIFS($K$1:N$1,"&lt;&gt;"),0,SUMIFS($J:$J,$B:$B,$B1652,$A:$A,"&gt;="&amp;COUNTIFS($K$1:N$1,"&lt;&gt;"))),0)</f>
        <v>5.4687500000000014E-2</v>
      </c>
      <c r="O1652">
        <f>IFERROR($J1652/IF($A1652&lt;COUNTIFS($K$1:O$1,"&lt;&gt;"),0,SUMIFS($J:$J,$B:$B,$B1652,$A:$A,"&gt;="&amp;COUNTIFS($K$1:O$1,"&lt;&gt;"))),0)</f>
        <v>6.194690265486727E-2</v>
      </c>
      <c r="P1652">
        <f>IFERROR($J1652/IF($A1652&lt;COUNTIFS($K$1:P$1,"&lt;&gt;"),0,SUMIFS($J:$J,$B:$B,$B1652,$A:$A,"&gt;="&amp;COUNTIFS($K$1:P$1,"&lt;&gt;"))),0)</f>
        <v>7.1794871794871803E-2</v>
      </c>
      <c r="Q1652">
        <f>IFERROR($J1652/IF($A1652&lt;COUNTIFS($K$1:Q$1,"&lt;&gt;"),0,SUMIFS($J:$J,$B:$B,$B1652,$A:$A,"&gt;="&amp;COUNTIFS($K$1:Q$1,"&lt;&gt;"))),0)</f>
        <v>8.5365853658536592E-2</v>
      </c>
      <c r="R1652">
        <f>IFERROR($J1652/IF($A1652&lt;COUNTIFS($K$1:R$1,"&lt;&gt;"),0,SUMIFS($J:$J,$B:$B,$B1652,$A:$A,"&gt;="&amp;COUNTIFS($K$1:R$1,"&lt;&gt;"))),0)</f>
        <v>0.10294117647058824</v>
      </c>
      <c r="S1652">
        <f>IFERROR($J1652/IF($A1652&lt;COUNTIFS($K$1:S$1,"&lt;&gt;"),0,SUMIFS($J:$J,$B:$B,$B1652,$A:$A,"&gt;="&amp;COUNTIFS($K$1:S$1,"&lt;&gt;"))),0)</f>
        <v>0.13333333333333336</v>
      </c>
      <c r="T1652">
        <f>IFERROR($J1652/IF($A1652&lt;COUNTIFS($K$1:T$1,"&lt;&gt;"),0,SUMIFS($J:$J,$B:$B,$B1652,$A:$A,"&gt;="&amp;COUNTIFS($K$1:T$1,"&lt;&gt;"))),0)</f>
        <v>0.18666666666666668</v>
      </c>
      <c r="U1652">
        <f>IFERROR($J1652/IF($A1652&lt;COUNTIFS($K$1:U$1,"&lt;&gt;"),0,SUMIFS($J:$J,$B:$B,$B1652,$A:$A,"&gt;="&amp;COUNTIFS($K$1:U$1,"&lt;&gt;"))),0)</f>
        <v>0.31818181818181818</v>
      </c>
      <c r="V1652">
        <f>IFERROR($J1652/IF($A1652&lt;COUNTIFS($K$1:V$1,"&lt;&gt;"),0,SUMIFS($J:$J,$B:$B,$B1652,$A:$A,"&gt;="&amp;COUNTIFS($K$1:V$1,"&lt;&gt;"))),0)</f>
        <v>1</v>
      </c>
      <c r="W1652">
        <f t="shared" si="574"/>
        <v>3.8356164383561646E-2</v>
      </c>
      <c r="X1652">
        <f t="shared" si="554"/>
        <v>3.8356164383561646E-2</v>
      </c>
      <c r="Y1652">
        <f t="shared" si="555"/>
        <v>3.8356164383561646E-2</v>
      </c>
      <c r="Z1652">
        <f t="shared" si="556"/>
        <v>3.8356164383561646E-2</v>
      </c>
      <c r="AA1652">
        <f t="shared" si="557"/>
        <v>3.8356164383561646E-2</v>
      </c>
      <c r="AB1652">
        <f t="shared" si="558"/>
        <v>3.8356164383561646E-2</v>
      </c>
      <c r="AC1652">
        <f t="shared" si="559"/>
        <v>3.8356164383561646E-2</v>
      </c>
      <c r="AD1652">
        <f t="shared" si="560"/>
        <v>3.8356164383561646E-2</v>
      </c>
      <c r="AE1652">
        <f t="shared" si="561"/>
        <v>3.8356164383561646E-2</v>
      </c>
      <c r="AF1652">
        <f t="shared" si="562"/>
        <v>3.8356164383561646E-2</v>
      </c>
      <c r="AG1652">
        <f t="shared" si="563"/>
        <v>3.8356164383561646E-2</v>
      </c>
      <c r="AH1652">
        <f t="shared" si="564"/>
        <v>3.8356164383561646E-2</v>
      </c>
      <c r="AI1652">
        <f t="shared" si="565"/>
        <v>3.8356164383561646E-2</v>
      </c>
      <c r="AJ1652" s="2" t="str">
        <f t="shared" si="575"/>
        <v>1247665</v>
      </c>
    </row>
    <row r="1653" spans="1:36" x14ac:dyDescent="0.25">
      <c r="A1653">
        <v>0</v>
      </c>
      <c r="B1653" s="1">
        <v>47696</v>
      </c>
      <c r="C1653" s="1">
        <f t="shared" si="566"/>
        <v>47696</v>
      </c>
      <c r="D1653" s="1">
        <f t="shared" si="567"/>
        <v>47710</v>
      </c>
      <c r="E1653" s="1">
        <f t="shared" si="568"/>
        <v>47710</v>
      </c>
      <c r="F1653" s="1">
        <f t="shared" si="569"/>
        <v>47727</v>
      </c>
      <c r="G1653" s="1">
        <f t="shared" si="570"/>
        <v>48075</v>
      </c>
      <c r="H1653">
        <f t="shared" si="571"/>
        <v>365</v>
      </c>
      <c r="I1653">
        <f t="shared" si="572"/>
        <v>17</v>
      </c>
      <c r="J1653">
        <f t="shared" si="573"/>
        <v>4.6575342465753428E-2</v>
      </c>
      <c r="K1653">
        <f>IFERROR($J1653/IF($A1653&lt;COUNTIFS($K$1:K$1,"&lt;&gt;"),0,SUMIFS($J:$J,$B:$B,$B1653,$A:$A,"&gt;="&amp;COUNTIFS($K$1:K$1,"&lt;&gt;"))),0)</f>
        <v>0</v>
      </c>
      <c r="L1653">
        <f>IFERROR($J1653/IF($A1653&lt;COUNTIFS($K$1:L$1,"&lt;&gt;"),0,SUMIFS($J:$J,$B:$B,$B1653,$A:$A,"&gt;="&amp;COUNTIFS($K$1:L$1,"&lt;&gt;"))),0)</f>
        <v>0</v>
      </c>
      <c r="M1653">
        <f>IFERROR($J1653/IF($A1653&lt;COUNTIFS($K$1:M$1,"&lt;&gt;"),0,SUMIFS($J:$J,$B:$B,$B1653,$A:$A,"&gt;="&amp;COUNTIFS($K$1:M$1,"&lt;&gt;"))),0)</f>
        <v>0</v>
      </c>
      <c r="N1653">
        <f>IFERROR($J1653/IF($A1653&lt;COUNTIFS($K$1:N$1,"&lt;&gt;"),0,SUMIFS($J:$J,$B:$B,$B1653,$A:$A,"&gt;="&amp;COUNTIFS($K$1:N$1,"&lt;&gt;"))),0)</f>
        <v>0</v>
      </c>
      <c r="O1653">
        <f>IFERROR($J1653/IF($A1653&lt;COUNTIFS($K$1:O$1,"&lt;&gt;"),0,SUMIFS($J:$J,$B:$B,$B1653,$A:$A,"&gt;="&amp;COUNTIFS($K$1:O$1,"&lt;&gt;"))),0)</f>
        <v>0</v>
      </c>
      <c r="P1653">
        <f>IFERROR($J1653/IF($A1653&lt;COUNTIFS($K$1:P$1,"&lt;&gt;"),0,SUMIFS($J:$J,$B:$B,$B1653,$A:$A,"&gt;="&amp;COUNTIFS($K$1:P$1,"&lt;&gt;"))),0)</f>
        <v>0</v>
      </c>
      <c r="Q1653">
        <f>IFERROR($J1653/IF($A1653&lt;COUNTIFS($K$1:Q$1,"&lt;&gt;"),0,SUMIFS($J:$J,$B:$B,$B1653,$A:$A,"&gt;="&amp;COUNTIFS($K$1:Q$1,"&lt;&gt;"))),0)</f>
        <v>0</v>
      </c>
      <c r="R1653">
        <f>IFERROR($J1653/IF($A1653&lt;COUNTIFS($K$1:R$1,"&lt;&gt;"),0,SUMIFS($J:$J,$B:$B,$B1653,$A:$A,"&gt;="&amp;COUNTIFS($K$1:R$1,"&lt;&gt;"))),0)</f>
        <v>0</v>
      </c>
      <c r="S1653">
        <f>IFERROR($J1653/IF($A1653&lt;COUNTIFS($K$1:S$1,"&lt;&gt;"),0,SUMIFS($J:$J,$B:$B,$B1653,$A:$A,"&gt;="&amp;COUNTIFS($K$1:S$1,"&lt;&gt;"))),0)</f>
        <v>0</v>
      </c>
      <c r="T1653">
        <f>IFERROR($J1653/IF($A1653&lt;COUNTIFS($K$1:T$1,"&lt;&gt;"),0,SUMIFS($J:$J,$B:$B,$B1653,$A:$A,"&gt;="&amp;COUNTIFS($K$1:T$1,"&lt;&gt;"))),0)</f>
        <v>0</v>
      </c>
      <c r="U1653">
        <f>IFERROR($J1653/IF($A1653&lt;COUNTIFS($K$1:U$1,"&lt;&gt;"),0,SUMIFS($J:$J,$B:$B,$B1653,$A:$A,"&gt;="&amp;COUNTIFS($K$1:U$1,"&lt;&gt;"))),0)</f>
        <v>0</v>
      </c>
      <c r="V1653">
        <f>IFERROR($J1653/IF($A1653&lt;COUNTIFS($K$1:V$1,"&lt;&gt;"),0,SUMIFS($J:$J,$B:$B,$B1653,$A:$A,"&gt;="&amp;COUNTIFS($K$1:V$1,"&lt;&gt;"))),0)</f>
        <v>0</v>
      </c>
      <c r="W1653">
        <f t="shared" si="574"/>
        <v>4.6575342465753428E-2</v>
      </c>
      <c r="X1653">
        <f t="shared" si="554"/>
        <v>0</v>
      </c>
      <c r="Y1653">
        <f t="shared" si="555"/>
        <v>0</v>
      </c>
      <c r="Z1653">
        <f t="shared" si="556"/>
        <v>0</v>
      </c>
      <c r="AA1653">
        <f t="shared" si="557"/>
        <v>0</v>
      </c>
      <c r="AB1653">
        <f t="shared" si="558"/>
        <v>0</v>
      </c>
      <c r="AC1653">
        <f t="shared" si="559"/>
        <v>0</v>
      </c>
      <c r="AD1653">
        <f t="shared" si="560"/>
        <v>0</v>
      </c>
      <c r="AE1653">
        <f t="shared" si="561"/>
        <v>0</v>
      </c>
      <c r="AF1653">
        <f t="shared" si="562"/>
        <v>0</v>
      </c>
      <c r="AG1653">
        <f t="shared" si="563"/>
        <v>0</v>
      </c>
      <c r="AH1653">
        <f t="shared" si="564"/>
        <v>0</v>
      </c>
      <c r="AI1653">
        <f t="shared" si="565"/>
        <v>0</v>
      </c>
      <c r="AJ1653" s="2" t="str">
        <f t="shared" si="575"/>
        <v>047696</v>
      </c>
    </row>
    <row r="1654" spans="1:36" x14ac:dyDescent="0.25">
      <c r="A1654">
        <v>1</v>
      </c>
      <c r="B1654" s="1">
        <v>47696</v>
      </c>
      <c r="C1654" s="1">
        <f t="shared" si="566"/>
        <v>47727</v>
      </c>
      <c r="D1654" s="1">
        <f t="shared" si="567"/>
        <v>47710</v>
      </c>
      <c r="E1654" s="1">
        <f t="shared" si="568"/>
        <v>47727</v>
      </c>
      <c r="F1654" s="1">
        <f t="shared" si="569"/>
        <v>47757</v>
      </c>
      <c r="G1654" s="1">
        <f t="shared" si="570"/>
        <v>48075</v>
      </c>
      <c r="H1654">
        <f t="shared" si="571"/>
        <v>365</v>
      </c>
      <c r="I1654">
        <f t="shared" si="572"/>
        <v>30</v>
      </c>
      <c r="J1654">
        <f t="shared" si="573"/>
        <v>8.2191780821917804E-2</v>
      </c>
      <c r="K1654">
        <f>IFERROR($J1654/IF($A1654&lt;COUNTIFS($K$1:K$1,"&lt;&gt;"),0,SUMIFS($J:$J,$B:$B,$B1654,$A:$A,"&gt;="&amp;COUNTIFS($K$1:K$1,"&lt;&gt;"))),0)</f>
        <v>8.6206896551724144E-2</v>
      </c>
      <c r="L1654">
        <f>IFERROR($J1654/IF($A1654&lt;COUNTIFS($K$1:L$1,"&lt;&gt;"),0,SUMIFS($J:$J,$B:$B,$B1654,$A:$A,"&gt;="&amp;COUNTIFS($K$1:L$1,"&lt;&gt;"))),0)</f>
        <v>0</v>
      </c>
      <c r="M1654">
        <f>IFERROR($J1654/IF($A1654&lt;COUNTIFS($K$1:M$1,"&lt;&gt;"),0,SUMIFS($J:$J,$B:$B,$B1654,$A:$A,"&gt;="&amp;COUNTIFS($K$1:M$1,"&lt;&gt;"))),0)</f>
        <v>0</v>
      </c>
      <c r="N1654">
        <f>IFERROR($J1654/IF($A1654&lt;COUNTIFS($K$1:N$1,"&lt;&gt;"),0,SUMIFS($J:$J,$B:$B,$B1654,$A:$A,"&gt;="&amp;COUNTIFS($K$1:N$1,"&lt;&gt;"))),0)</f>
        <v>0</v>
      </c>
      <c r="O1654">
        <f>IFERROR($J1654/IF($A1654&lt;COUNTIFS($K$1:O$1,"&lt;&gt;"),0,SUMIFS($J:$J,$B:$B,$B1654,$A:$A,"&gt;="&amp;COUNTIFS($K$1:O$1,"&lt;&gt;"))),0)</f>
        <v>0</v>
      </c>
      <c r="P1654">
        <f>IFERROR($J1654/IF($A1654&lt;COUNTIFS($K$1:P$1,"&lt;&gt;"),0,SUMIFS($J:$J,$B:$B,$B1654,$A:$A,"&gt;="&amp;COUNTIFS($K$1:P$1,"&lt;&gt;"))),0)</f>
        <v>0</v>
      </c>
      <c r="Q1654">
        <f>IFERROR($J1654/IF($A1654&lt;COUNTIFS($K$1:Q$1,"&lt;&gt;"),0,SUMIFS($J:$J,$B:$B,$B1654,$A:$A,"&gt;="&amp;COUNTIFS($K$1:Q$1,"&lt;&gt;"))),0)</f>
        <v>0</v>
      </c>
      <c r="R1654">
        <f>IFERROR($J1654/IF($A1654&lt;COUNTIFS($K$1:R$1,"&lt;&gt;"),0,SUMIFS($J:$J,$B:$B,$B1654,$A:$A,"&gt;="&amp;COUNTIFS($K$1:R$1,"&lt;&gt;"))),0)</f>
        <v>0</v>
      </c>
      <c r="S1654">
        <f>IFERROR($J1654/IF($A1654&lt;COUNTIFS($K$1:S$1,"&lt;&gt;"),0,SUMIFS($J:$J,$B:$B,$B1654,$A:$A,"&gt;="&amp;COUNTIFS($K$1:S$1,"&lt;&gt;"))),0)</f>
        <v>0</v>
      </c>
      <c r="T1654">
        <f>IFERROR($J1654/IF($A1654&lt;COUNTIFS($K$1:T$1,"&lt;&gt;"),0,SUMIFS($J:$J,$B:$B,$B1654,$A:$A,"&gt;="&amp;COUNTIFS($K$1:T$1,"&lt;&gt;"))),0)</f>
        <v>0</v>
      </c>
      <c r="U1654">
        <f>IFERROR($J1654/IF($A1654&lt;COUNTIFS($K$1:U$1,"&lt;&gt;"),0,SUMIFS($J:$J,$B:$B,$B1654,$A:$A,"&gt;="&amp;COUNTIFS($K$1:U$1,"&lt;&gt;"))),0)</f>
        <v>0</v>
      </c>
      <c r="V1654">
        <f>IFERROR($J1654/IF($A1654&lt;COUNTIFS($K$1:V$1,"&lt;&gt;"),0,SUMIFS($J:$J,$B:$B,$B1654,$A:$A,"&gt;="&amp;COUNTIFS($K$1:V$1,"&lt;&gt;"))),0)</f>
        <v>0</v>
      </c>
      <c r="W1654">
        <f t="shared" si="574"/>
        <v>8.2191780821917804E-2</v>
      </c>
      <c r="X1654">
        <f t="shared" si="554"/>
        <v>8.2191780821917804E-2</v>
      </c>
      <c r="Y1654">
        <f t="shared" si="555"/>
        <v>0</v>
      </c>
      <c r="Z1654">
        <f t="shared" si="556"/>
        <v>0</v>
      </c>
      <c r="AA1654">
        <f t="shared" si="557"/>
        <v>0</v>
      </c>
      <c r="AB1654">
        <f t="shared" si="558"/>
        <v>0</v>
      </c>
      <c r="AC1654">
        <f t="shared" si="559"/>
        <v>0</v>
      </c>
      <c r="AD1654">
        <f t="shared" si="560"/>
        <v>0</v>
      </c>
      <c r="AE1654">
        <f t="shared" si="561"/>
        <v>0</v>
      </c>
      <c r="AF1654">
        <f t="shared" si="562"/>
        <v>0</v>
      </c>
      <c r="AG1654">
        <f t="shared" si="563"/>
        <v>0</v>
      </c>
      <c r="AH1654">
        <f t="shared" si="564"/>
        <v>0</v>
      </c>
      <c r="AI1654">
        <f t="shared" si="565"/>
        <v>0</v>
      </c>
      <c r="AJ1654" s="2" t="str">
        <f t="shared" si="575"/>
        <v>147696</v>
      </c>
    </row>
    <row r="1655" spans="1:36" x14ac:dyDescent="0.25">
      <c r="A1655">
        <v>2</v>
      </c>
      <c r="B1655" s="1">
        <v>47696</v>
      </c>
      <c r="C1655" s="1">
        <f t="shared" si="566"/>
        <v>47757</v>
      </c>
      <c r="D1655" s="1">
        <f t="shared" si="567"/>
        <v>47710</v>
      </c>
      <c r="E1655" s="1">
        <f t="shared" si="568"/>
        <v>47757</v>
      </c>
      <c r="F1655" s="1">
        <f t="shared" si="569"/>
        <v>47788</v>
      </c>
      <c r="G1655" s="1">
        <f t="shared" si="570"/>
        <v>48075</v>
      </c>
      <c r="H1655">
        <f t="shared" si="571"/>
        <v>365</v>
      </c>
      <c r="I1655">
        <f t="shared" si="572"/>
        <v>31</v>
      </c>
      <c r="J1655">
        <f t="shared" si="573"/>
        <v>8.4931506849315067E-2</v>
      </c>
      <c r="K1655">
        <f>IFERROR($J1655/IF($A1655&lt;COUNTIFS($K$1:K$1,"&lt;&gt;"),0,SUMIFS($J:$J,$B:$B,$B1655,$A:$A,"&gt;="&amp;COUNTIFS($K$1:K$1,"&lt;&gt;"))),0)</f>
        <v>8.9080459770114959E-2</v>
      </c>
      <c r="L1655">
        <f>IFERROR($J1655/IF($A1655&lt;COUNTIFS($K$1:L$1,"&lt;&gt;"),0,SUMIFS($J:$J,$B:$B,$B1655,$A:$A,"&gt;="&amp;COUNTIFS($K$1:L$1,"&lt;&gt;"))),0)</f>
        <v>9.7484276729559768E-2</v>
      </c>
      <c r="M1655">
        <f>IFERROR($J1655/IF($A1655&lt;COUNTIFS($K$1:M$1,"&lt;&gt;"),0,SUMIFS($J:$J,$B:$B,$B1655,$A:$A,"&gt;="&amp;COUNTIFS($K$1:M$1,"&lt;&gt;"))),0)</f>
        <v>0</v>
      </c>
      <c r="N1655">
        <f>IFERROR($J1655/IF($A1655&lt;COUNTIFS($K$1:N$1,"&lt;&gt;"),0,SUMIFS($J:$J,$B:$B,$B1655,$A:$A,"&gt;="&amp;COUNTIFS($K$1:N$1,"&lt;&gt;"))),0)</f>
        <v>0</v>
      </c>
      <c r="O1655">
        <f>IFERROR($J1655/IF($A1655&lt;COUNTIFS($K$1:O$1,"&lt;&gt;"),0,SUMIFS($J:$J,$B:$B,$B1655,$A:$A,"&gt;="&amp;COUNTIFS($K$1:O$1,"&lt;&gt;"))),0)</f>
        <v>0</v>
      </c>
      <c r="P1655">
        <f>IFERROR($J1655/IF($A1655&lt;COUNTIFS($K$1:P$1,"&lt;&gt;"),0,SUMIFS($J:$J,$B:$B,$B1655,$A:$A,"&gt;="&amp;COUNTIFS($K$1:P$1,"&lt;&gt;"))),0)</f>
        <v>0</v>
      </c>
      <c r="Q1655">
        <f>IFERROR($J1655/IF($A1655&lt;COUNTIFS($K$1:Q$1,"&lt;&gt;"),0,SUMIFS($J:$J,$B:$B,$B1655,$A:$A,"&gt;="&amp;COUNTIFS($K$1:Q$1,"&lt;&gt;"))),0)</f>
        <v>0</v>
      </c>
      <c r="R1655">
        <f>IFERROR($J1655/IF($A1655&lt;COUNTIFS($K$1:R$1,"&lt;&gt;"),0,SUMIFS($J:$J,$B:$B,$B1655,$A:$A,"&gt;="&amp;COUNTIFS($K$1:R$1,"&lt;&gt;"))),0)</f>
        <v>0</v>
      </c>
      <c r="S1655">
        <f>IFERROR($J1655/IF($A1655&lt;COUNTIFS($K$1:S$1,"&lt;&gt;"),0,SUMIFS($J:$J,$B:$B,$B1655,$A:$A,"&gt;="&amp;COUNTIFS($K$1:S$1,"&lt;&gt;"))),0)</f>
        <v>0</v>
      </c>
      <c r="T1655">
        <f>IFERROR($J1655/IF($A1655&lt;COUNTIFS($K$1:T$1,"&lt;&gt;"),0,SUMIFS($J:$J,$B:$B,$B1655,$A:$A,"&gt;="&amp;COUNTIFS($K$1:T$1,"&lt;&gt;"))),0)</f>
        <v>0</v>
      </c>
      <c r="U1655">
        <f>IFERROR($J1655/IF($A1655&lt;COUNTIFS($K$1:U$1,"&lt;&gt;"),0,SUMIFS($J:$J,$B:$B,$B1655,$A:$A,"&gt;="&amp;COUNTIFS($K$1:U$1,"&lt;&gt;"))),0)</f>
        <v>0</v>
      </c>
      <c r="V1655">
        <f>IFERROR($J1655/IF($A1655&lt;COUNTIFS($K$1:V$1,"&lt;&gt;"),0,SUMIFS($J:$J,$B:$B,$B1655,$A:$A,"&gt;="&amp;COUNTIFS($K$1:V$1,"&lt;&gt;"))),0)</f>
        <v>0</v>
      </c>
      <c r="W1655">
        <f t="shared" si="574"/>
        <v>8.4931506849315067E-2</v>
      </c>
      <c r="X1655">
        <f t="shared" si="554"/>
        <v>8.4931506849315067E-2</v>
      </c>
      <c r="Y1655">
        <f t="shared" si="555"/>
        <v>8.4931506849315067E-2</v>
      </c>
      <c r="Z1655">
        <f t="shared" si="556"/>
        <v>0</v>
      </c>
      <c r="AA1655">
        <f t="shared" si="557"/>
        <v>0</v>
      </c>
      <c r="AB1655">
        <f t="shared" si="558"/>
        <v>0</v>
      </c>
      <c r="AC1655">
        <f t="shared" si="559"/>
        <v>0</v>
      </c>
      <c r="AD1655">
        <f t="shared" si="560"/>
        <v>0</v>
      </c>
      <c r="AE1655">
        <f t="shared" si="561"/>
        <v>0</v>
      </c>
      <c r="AF1655">
        <f t="shared" si="562"/>
        <v>0</v>
      </c>
      <c r="AG1655">
        <f t="shared" si="563"/>
        <v>0</v>
      </c>
      <c r="AH1655">
        <f t="shared" si="564"/>
        <v>0</v>
      </c>
      <c r="AI1655">
        <f t="shared" si="565"/>
        <v>0</v>
      </c>
      <c r="AJ1655" s="2" t="str">
        <f t="shared" si="575"/>
        <v>247696</v>
      </c>
    </row>
    <row r="1656" spans="1:36" x14ac:dyDescent="0.25">
      <c r="A1656">
        <v>3</v>
      </c>
      <c r="B1656" s="1">
        <v>47696</v>
      </c>
      <c r="C1656" s="1">
        <f t="shared" si="566"/>
        <v>47788</v>
      </c>
      <c r="D1656" s="1">
        <f t="shared" si="567"/>
        <v>47710</v>
      </c>
      <c r="E1656" s="1">
        <f t="shared" si="568"/>
        <v>47788</v>
      </c>
      <c r="F1656" s="1">
        <f t="shared" si="569"/>
        <v>47818</v>
      </c>
      <c r="G1656" s="1">
        <f t="shared" si="570"/>
        <v>48075</v>
      </c>
      <c r="H1656">
        <f t="shared" si="571"/>
        <v>365</v>
      </c>
      <c r="I1656">
        <f t="shared" si="572"/>
        <v>30</v>
      </c>
      <c r="J1656">
        <f t="shared" si="573"/>
        <v>8.2191780821917804E-2</v>
      </c>
      <c r="K1656">
        <f>IFERROR($J1656/IF($A1656&lt;COUNTIFS($K$1:K$1,"&lt;&gt;"),0,SUMIFS($J:$J,$B:$B,$B1656,$A:$A,"&gt;="&amp;COUNTIFS($K$1:K$1,"&lt;&gt;"))),0)</f>
        <v>8.6206896551724144E-2</v>
      </c>
      <c r="L1656">
        <f>IFERROR($J1656/IF($A1656&lt;COUNTIFS($K$1:L$1,"&lt;&gt;"),0,SUMIFS($J:$J,$B:$B,$B1656,$A:$A,"&gt;="&amp;COUNTIFS($K$1:L$1,"&lt;&gt;"))),0)</f>
        <v>9.4339622641509441E-2</v>
      </c>
      <c r="M1656">
        <f>IFERROR($J1656/IF($A1656&lt;COUNTIFS($K$1:M$1,"&lt;&gt;"),0,SUMIFS($J:$J,$B:$B,$B1656,$A:$A,"&gt;="&amp;COUNTIFS($K$1:M$1,"&lt;&gt;"))),0)</f>
        <v>0.10452961672473869</v>
      </c>
      <c r="N1656">
        <f>IFERROR($J1656/IF($A1656&lt;COUNTIFS($K$1:N$1,"&lt;&gt;"),0,SUMIFS($J:$J,$B:$B,$B1656,$A:$A,"&gt;="&amp;COUNTIFS($K$1:N$1,"&lt;&gt;"))),0)</f>
        <v>0</v>
      </c>
      <c r="O1656">
        <f>IFERROR($J1656/IF($A1656&lt;COUNTIFS($K$1:O$1,"&lt;&gt;"),0,SUMIFS($J:$J,$B:$B,$B1656,$A:$A,"&gt;="&amp;COUNTIFS($K$1:O$1,"&lt;&gt;"))),0)</f>
        <v>0</v>
      </c>
      <c r="P1656">
        <f>IFERROR($J1656/IF($A1656&lt;COUNTIFS($K$1:P$1,"&lt;&gt;"),0,SUMIFS($J:$J,$B:$B,$B1656,$A:$A,"&gt;="&amp;COUNTIFS($K$1:P$1,"&lt;&gt;"))),0)</f>
        <v>0</v>
      </c>
      <c r="Q1656">
        <f>IFERROR($J1656/IF($A1656&lt;COUNTIFS($K$1:Q$1,"&lt;&gt;"),0,SUMIFS($J:$J,$B:$B,$B1656,$A:$A,"&gt;="&amp;COUNTIFS($K$1:Q$1,"&lt;&gt;"))),0)</f>
        <v>0</v>
      </c>
      <c r="R1656">
        <f>IFERROR($J1656/IF($A1656&lt;COUNTIFS($K$1:R$1,"&lt;&gt;"),0,SUMIFS($J:$J,$B:$B,$B1656,$A:$A,"&gt;="&amp;COUNTIFS($K$1:R$1,"&lt;&gt;"))),0)</f>
        <v>0</v>
      </c>
      <c r="S1656">
        <f>IFERROR($J1656/IF($A1656&lt;COUNTIFS($K$1:S$1,"&lt;&gt;"),0,SUMIFS($J:$J,$B:$B,$B1656,$A:$A,"&gt;="&amp;COUNTIFS($K$1:S$1,"&lt;&gt;"))),0)</f>
        <v>0</v>
      </c>
      <c r="T1656">
        <f>IFERROR($J1656/IF($A1656&lt;COUNTIFS($K$1:T$1,"&lt;&gt;"),0,SUMIFS($J:$J,$B:$B,$B1656,$A:$A,"&gt;="&amp;COUNTIFS($K$1:T$1,"&lt;&gt;"))),0)</f>
        <v>0</v>
      </c>
      <c r="U1656">
        <f>IFERROR($J1656/IF($A1656&lt;COUNTIFS($K$1:U$1,"&lt;&gt;"),0,SUMIFS($J:$J,$B:$B,$B1656,$A:$A,"&gt;="&amp;COUNTIFS($K$1:U$1,"&lt;&gt;"))),0)</f>
        <v>0</v>
      </c>
      <c r="V1656">
        <f>IFERROR($J1656/IF($A1656&lt;COUNTIFS($K$1:V$1,"&lt;&gt;"),0,SUMIFS($J:$J,$B:$B,$B1656,$A:$A,"&gt;="&amp;COUNTIFS($K$1:V$1,"&lt;&gt;"))),0)</f>
        <v>0</v>
      </c>
      <c r="W1656">
        <f t="shared" si="574"/>
        <v>8.2191780821917804E-2</v>
      </c>
      <c r="X1656">
        <f t="shared" si="554"/>
        <v>8.2191780821917804E-2</v>
      </c>
      <c r="Y1656">
        <f t="shared" si="555"/>
        <v>8.2191780821917804E-2</v>
      </c>
      <c r="Z1656">
        <f t="shared" si="556"/>
        <v>8.2191780821917804E-2</v>
      </c>
      <c r="AA1656">
        <f t="shared" si="557"/>
        <v>0</v>
      </c>
      <c r="AB1656">
        <f t="shared" si="558"/>
        <v>0</v>
      </c>
      <c r="AC1656">
        <f t="shared" si="559"/>
        <v>0</v>
      </c>
      <c r="AD1656">
        <f t="shared" si="560"/>
        <v>0</v>
      </c>
      <c r="AE1656">
        <f t="shared" si="561"/>
        <v>0</v>
      </c>
      <c r="AF1656">
        <f t="shared" si="562"/>
        <v>0</v>
      </c>
      <c r="AG1656">
        <f t="shared" si="563"/>
        <v>0</v>
      </c>
      <c r="AH1656">
        <f t="shared" si="564"/>
        <v>0</v>
      </c>
      <c r="AI1656">
        <f t="shared" si="565"/>
        <v>0</v>
      </c>
      <c r="AJ1656" s="2" t="str">
        <f t="shared" si="575"/>
        <v>347696</v>
      </c>
    </row>
    <row r="1657" spans="1:36" x14ac:dyDescent="0.25">
      <c r="A1657">
        <v>4</v>
      </c>
      <c r="B1657" s="1">
        <v>47696</v>
      </c>
      <c r="C1657" s="1">
        <f t="shared" si="566"/>
        <v>47818</v>
      </c>
      <c r="D1657" s="1">
        <f t="shared" si="567"/>
        <v>47710</v>
      </c>
      <c r="E1657" s="1">
        <f t="shared" si="568"/>
        <v>47818</v>
      </c>
      <c r="F1657" s="1">
        <f t="shared" si="569"/>
        <v>47849</v>
      </c>
      <c r="G1657" s="1">
        <f t="shared" si="570"/>
        <v>48075</v>
      </c>
      <c r="H1657">
        <f t="shared" si="571"/>
        <v>365</v>
      </c>
      <c r="I1657">
        <f t="shared" si="572"/>
        <v>31</v>
      </c>
      <c r="J1657">
        <f t="shared" si="573"/>
        <v>8.4931506849315067E-2</v>
      </c>
      <c r="K1657">
        <f>IFERROR($J1657/IF($A1657&lt;COUNTIFS($K$1:K$1,"&lt;&gt;"),0,SUMIFS($J:$J,$B:$B,$B1657,$A:$A,"&gt;="&amp;COUNTIFS($K$1:K$1,"&lt;&gt;"))),0)</f>
        <v>8.9080459770114959E-2</v>
      </c>
      <c r="L1657">
        <f>IFERROR($J1657/IF($A1657&lt;COUNTIFS($K$1:L$1,"&lt;&gt;"),0,SUMIFS($J:$J,$B:$B,$B1657,$A:$A,"&gt;="&amp;COUNTIFS($K$1:L$1,"&lt;&gt;"))),0)</f>
        <v>9.7484276729559768E-2</v>
      </c>
      <c r="M1657">
        <f>IFERROR($J1657/IF($A1657&lt;COUNTIFS($K$1:M$1,"&lt;&gt;"),0,SUMIFS($J:$J,$B:$B,$B1657,$A:$A,"&gt;="&amp;COUNTIFS($K$1:M$1,"&lt;&gt;"))),0)</f>
        <v>0.10801393728222998</v>
      </c>
      <c r="N1657">
        <f>IFERROR($J1657/IF($A1657&lt;COUNTIFS($K$1:N$1,"&lt;&gt;"),0,SUMIFS($J:$J,$B:$B,$B1657,$A:$A,"&gt;="&amp;COUNTIFS($K$1:N$1,"&lt;&gt;"))),0)</f>
        <v>0.12062256809338523</v>
      </c>
      <c r="O1657">
        <f>IFERROR($J1657/IF($A1657&lt;COUNTIFS($K$1:O$1,"&lt;&gt;"),0,SUMIFS($J:$J,$B:$B,$B1657,$A:$A,"&gt;="&amp;COUNTIFS($K$1:O$1,"&lt;&gt;"))),0)</f>
        <v>0</v>
      </c>
      <c r="P1657">
        <f>IFERROR($J1657/IF($A1657&lt;COUNTIFS($K$1:P$1,"&lt;&gt;"),0,SUMIFS($J:$J,$B:$B,$B1657,$A:$A,"&gt;="&amp;COUNTIFS($K$1:P$1,"&lt;&gt;"))),0)</f>
        <v>0</v>
      </c>
      <c r="Q1657">
        <f>IFERROR($J1657/IF($A1657&lt;COUNTIFS($K$1:Q$1,"&lt;&gt;"),0,SUMIFS($J:$J,$B:$B,$B1657,$A:$A,"&gt;="&amp;COUNTIFS($K$1:Q$1,"&lt;&gt;"))),0)</f>
        <v>0</v>
      </c>
      <c r="R1657">
        <f>IFERROR($J1657/IF($A1657&lt;COUNTIFS($K$1:R$1,"&lt;&gt;"),0,SUMIFS($J:$J,$B:$B,$B1657,$A:$A,"&gt;="&amp;COUNTIFS($K$1:R$1,"&lt;&gt;"))),0)</f>
        <v>0</v>
      </c>
      <c r="S1657">
        <f>IFERROR($J1657/IF($A1657&lt;COUNTIFS($K$1:S$1,"&lt;&gt;"),0,SUMIFS($J:$J,$B:$B,$B1657,$A:$A,"&gt;="&amp;COUNTIFS($K$1:S$1,"&lt;&gt;"))),0)</f>
        <v>0</v>
      </c>
      <c r="T1657">
        <f>IFERROR($J1657/IF($A1657&lt;COUNTIFS($K$1:T$1,"&lt;&gt;"),0,SUMIFS($J:$J,$B:$B,$B1657,$A:$A,"&gt;="&amp;COUNTIFS($K$1:T$1,"&lt;&gt;"))),0)</f>
        <v>0</v>
      </c>
      <c r="U1657">
        <f>IFERROR($J1657/IF($A1657&lt;COUNTIFS($K$1:U$1,"&lt;&gt;"),0,SUMIFS($J:$J,$B:$B,$B1657,$A:$A,"&gt;="&amp;COUNTIFS($K$1:U$1,"&lt;&gt;"))),0)</f>
        <v>0</v>
      </c>
      <c r="V1657">
        <f>IFERROR($J1657/IF($A1657&lt;COUNTIFS($K$1:V$1,"&lt;&gt;"),0,SUMIFS($J:$J,$B:$B,$B1657,$A:$A,"&gt;="&amp;COUNTIFS($K$1:V$1,"&lt;&gt;"))),0)</f>
        <v>0</v>
      </c>
      <c r="W1657">
        <f t="shared" si="574"/>
        <v>8.4931506849315067E-2</v>
      </c>
      <c r="X1657">
        <f t="shared" si="554"/>
        <v>8.4931506849315067E-2</v>
      </c>
      <c r="Y1657">
        <f t="shared" si="555"/>
        <v>8.4931506849315067E-2</v>
      </c>
      <c r="Z1657">
        <f t="shared" si="556"/>
        <v>8.4931506849315067E-2</v>
      </c>
      <c r="AA1657">
        <f t="shared" si="557"/>
        <v>8.4931506849315067E-2</v>
      </c>
      <c r="AB1657">
        <f t="shared" si="558"/>
        <v>0</v>
      </c>
      <c r="AC1657">
        <f t="shared" si="559"/>
        <v>0</v>
      </c>
      <c r="AD1657">
        <f t="shared" si="560"/>
        <v>0</v>
      </c>
      <c r="AE1657">
        <f t="shared" si="561"/>
        <v>0</v>
      </c>
      <c r="AF1657">
        <f t="shared" si="562"/>
        <v>0</v>
      </c>
      <c r="AG1657">
        <f t="shared" si="563"/>
        <v>0</v>
      </c>
      <c r="AH1657">
        <f t="shared" si="564"/>
        <v>0</v>
      </c>
      <c r="AI1657">
        <f t="shared" si="565"/>
        <v>0</v>
      </c>
      <c r="AJ1657" s="2" t="str">
        <f t="shared" si="575"/>
        <v>447696</v>
      </c>
    </row>
    <row r="1658" spans="1:36" x14ac:dyDescent="0.25">
      <c r="A1658">
        <v>5</v>
      </c>
      <c r="B1658" s="1">
        <v>47696</v>
      </c>
      <c r="C1658" s="1">
        <f t="shared" si="566"/>
        <v>47849</v>
      </c>
      <c r="D1658" s="1">
        <f t="shared" si="567"/>
        <v>47710</v>
      </c>
      <c r="E1658" s="1">
        <f t="shared" si="568"/>
        <v>47849</v>
      </c>
      <c r="F1658" s="1">
        <f t="shared" si="569"/>
        <v>47880</v>
      </c>
      <c r="G1658" s="1">
        <f t="shared" si="570"/>
        <v>48075</v>
      </c>
      <c r="H1658">
        <f t="shared" si="571"/>
        <v>365</v>
      </c>
      <c r="I1658">
        <f t="shared" si="572"/>
        <v>31</v>
      </c>
      <c r="J1658">
        <f t="shared" si="573"/>
        <v>8.4931506849315067E-2</v>
      </c>
      <c r="K1658">
        <f>IFERROR($J1658/IF($A1658&lt;COUNTIFS($K$1:K$1,"&lt;&gt;"),0,SUMIFS($J:$J,$B:$B,$B1658,$A:$A,"&gt;="&amp;COUNTIFS($K$1:K$1,"&lt;&gt;"))),0)</f>
        <v>8.9080459770114959E-2</v>
      </c>
      <c r="L1658">
        <f>IFERROR($J1658/IF($A1658&lt;COUNTIFS($K$1:L$1,"&lt;&gt;"),0,SUMIFS($J:$J,$B:$B,$B1658,$A:$A,"&gt;="&amp;COUNTIFS($K$1:L$1,"&lt;&gt;"))),0)</f>
        <v>9.7484276729559768E-2</v>
      </c>
      <c r="M1658">
        <f>IFERROR($J1658/IF($A1658&lt;COUNTIFS($K$1:M$1,"&lt;&gt;"),0,SUMIFS($J:$J,$B:$B,$B1658,$A:$A,"&gt;="&amp;COUNTIFS($K$1:M$1,"&lt;&gt;"))),0)</f>
        <v>0.10801393728222998</v>
      </c>
      <c r="N1658">
        <f>IFERROR($J1658/IF($A1658&lt;COUNTIFS($K$1:N$1,"&lt;&gt;"),0,SUMIFS($J:$J,$B:$B,$B1658,$A:$A,"&gt;="&amp;COUNTIFS($K$1:N$1,"&lt;&gt;"))),0)</f>
        <v>0.12062256809338523</v>
      </c>
      <c r="O1658">
        <f>IFERROR($J1658/IF($A1658&lt;COUNTIFS($K$1:O$1,"&lt;&gt;"),0,SUMIFS($J:$J,$B:$B,$B1658,$A:$A,"&gt;="&amp;COUNTIFS($K$1:O$1,"&lt;&gt;"))),0)</f>
        <v>0.13716814159292037</v>
      </c>
      <c r="P1658">
        <f>IFERROR($J1658/IF($A1658&lt;COUNTIFS($K$1:P$1,"&lt;&gt;"),0,SUMIFS($J:$J,$B:$B,$B1658,$A:$A,"&gt;="&amp;COUNTIFS($K$1:P$1,"&lt;&gt;"))),0)</f>
        <v>0</v>
      </c>
      <c r="Q1658">
        <f>IFERROR($J1658/IF($A1658&lt;COUNTIFS($K$1:Q$1,"&lt;&gt;"),0,SUMIFS($J:$J,$B:$B,$B1658,$A:$A,"&gt;="&amp;COUNTIFS($K$1:Q$1,"&lt;&gt;"))),0)</f>
        <v>0</v>
      </c>
      <c r="R1658">
        <f>IFERROR($J1658/IF($A1658&lt;COUNTIFS($K$1:R$1,"&lt;&gt;"),0,SUMIFS($J:$J,$B:$B,$B1658,$A:$A,"&gt;="&amp;COUNTIFS($K$1:R$1,"&lt;&gt;"))),0)</f>
        <v>0</v>
      </c>
      <c r="S1658">
        <f>IFERROR($J1658/IF($A1658&lt;COUNTIFS($K$1:S$1,"&lt;&gt;"),0,SUMIFS($J:$J,$B:$B,$B1658,$A:$A,"&gt;="&amp;COUNTIFS($K$1:S$1,"&lt;&gt;"))),0)</f>
        <v>0</v>
      </c>
      <c r="T1658">
        <f>IFERROR($J1658/IF($A1658&lt;COUNTIFS($K$1:T$1,"&lt;&gt;"),0,SUMIFS($J:$J,$B:$B,$B1658,$A:$A,"&gt;="&amp;COUNTIFS($K$1:T$1,"&lt;&gt;"))),0)</f>
        <v>0</v>
      </c>
      <c r="U1658">
        <f>IFERROR($J1658/IF($A1658&lt;COUNTIFS($K$1:U$1,"&lt;&gt;"),0,SUMIFS($J:$J,$B:$B,$B1658,$A:$A,"&gt;="&amp;COUNTIFS($K$1:U$1,"&lt;&gt;"))),0)</f>
        <v>0</v>
      </c>
      <c r="V1658">
        <f>IFERROR($J1658/IF($A1658&lt;COUNTIFS($K$1:V$1,"&lt;&gt;"),0,SUMIFS($J:$J,$B:$B,$B1658,$A:$A,"&gt;="&amp;COUNTIFS($K$1:V$1,"&lt;&gt;"))),0)</f>
        <v>0</v>
      </c>
      <c r="W1658">
        <f t="shared" si="574"/>
        <v>8.4931506849315067E-2</v>
      </c>
      <c r="X1658">
        <f t="shared" si="554"/>
        <v>8.4931506849315067E-2</v>
      </c>
      <c r="Y1658">
        <f t="shared" si="555"/>
        <v>8.4931506849315067E-2</v>
      </c>
      <c r="Z1658">
        <f t="shared" si="556"/>
        <v>8.4931506849315067E-2</v>
      </c>
      <c r="AA1658">
        <f t="shared" si="557"/>
        <v>8.4931506849315067E-2</v>
      </c>
      <c r="AB1658">
        <f t="shared" si="558"/>
        <v>8.4931506849315067E-2</v>
      </c>
      <c r="AC1658">
        <f t="shared" si="559"/>
        <v>0</v>
      </c>
      <c r="AD1658">
        <f t="shared" si="560"/>
        <v>0</v>
      </c>
      <c r="AE1658">
        <f t="shared" si="561"/>
        <v>0</v>
      </c>
      <c r="AF1658">
        <f t="shared" si="562"/>
        <v>0</v>
      </c>
      <c r="AG1658">
        <f t="shared" si="563"/>
        <v>0</v>
      </c>
      <c r="AH1658">
        <f t="shared" si="564"/>
        <v>0</v>
      </c>
      <c r="AI1658">
        <f t="shared" si="565"/>
        <v>0</v>
      </c>
      <c r="AJ1658" s="2" t="str">
        <f t="shared" si="575"/>
        <v>547696</v>
      </c>
    </row>
    <row r="1659" spans="1:36" x14ac:dyDescent="0.25">
      <c r="A1659">
        <v>6</v>
      </c>
      <c r="B1659" s="1">
        <v>47696</v>
      </c>
      <c r="C1659" s="1">
        <f t="shared" si="566"/>
        <v>47880</v>
      </c>
      <c r="D1659" s="1">
        <f t="shared" si="567"/>
        <v>47710</v>
      </c>
      <c r="E1659" s="1">
        <f t="shared" si="568"/>
        <v>47880</v>
      </c>
      <c r="F1659" s="1">
        <f t="shared" si="569"/>
        <v>47908</v>
      </c>
      <c r="G1659" s="1">
        <f t="shared" si="570"/>
        <v>48075</v>
      </c>
      <c r="H1659">
        <f t="shared" si="571"/>
        <v>365</v>
      </c>
      <c r="I1659">
        <f t="shared" si="572"/>
        <v>28</v>
      </c>
      <c r="J1659">
        <f t="shared" si="573"/>
        <v>7.6712328767123292E-2</v>
      </c>
      <c r="K1659">
        <f>IFERROR($J1659/IF($A1659&lt;COUNTIFS($K$1:K$1,"&lt;&gt;"),0,SUMIFS($J:$J,$B:$B,$B1659,$A:$A,"&gt;="&amp;COUNTIFS($K$1:K$1,"&lt;&gt;"))),0)</f>
        <v>8.0459770114942541E-2</v>
      </c>
      <c r="L1659">
        <f>IFERROR($J1659/IF($A1659&lt;COUNTIFS($K$1:L$1,"&lt;&gt;"),0,SUMIFS($J:$J,$B:$B,$B1659,$A:$A,"&gt;="&amp;COUNTIFS($K$1:L$1,"&lt;&gt;"))),0)</f>
        <v>8.8050314465408827E-2</v>
      </c>
      <c r="M1659">
        <f>IFERROR($J1659/IF($A1659&lt;COUNTIFS($K$1:M$1,"&lt;&gt;"),0,SUMIFS($J:$J,$B:$B,$B1659,$A:$A,"&gt;="&amp;COUNTIFS($K$1:M$1,"&lt;&gt;"))),0)</f>
        <v>9.7560975609756115E-2</v>
      </c>
      <c r="N1659">
        <f>IFERROR($J1659/IF($A1659&lt;COUNTIFS($K$1:N$1,"&lt;&gt;"),0,SUMIFS($J:$J,$B:$B,$B1659,$A:$A,"&gt;="&amp;COUNTIFS($K$1:N$1,"&lt;&gt;"))),0)</f>
        <v>0.10894941634241248</v>
      </c>
      <c r="O1659">
        <f>IFERROR($J1659/IF($A1659&lt;COUNTIFS($K$1:O$1,"&lt;&gt;"),0,SUMIFS($J:$J,$B:$B,$B1659,$A:$A,"&gt;="&amp;COUNTIFS($K$1:O$1,"&lt;&gt;"))),0)</f>
        <v>0.12389380530973454</v>
      </c>
      <c r="P1659">
        <f>IFERROR($J1659/IF($A1659&lt;COUNTIFS($K$1:P$1,"&lt;&gt;"),0,SUMIFS($J:$J,$B:$B,$B1659,$A:$A,"&gt;="&amp;COUNTIFS($K$1:P$1,"&lt;&gt;"))),0)</f>
        <v>0.14358974358974361</v>
      </c>
      <c r="Q1659">
        <f>IFERROR($J1659/IF($A1659&lt;COUNTIFS($K$1:Q$1,"&lt;&gt;"),0,SUMIFS($J:$J,$B:$B,$B1659,$A:$A,"&gt;="&amp;COUNTIFS($K$1:Q$1,"&lt;&gt;"))),0)</f>
        <v>0</v>
      </c>
      <c r="R1659">
        <f>IFERROR($J1659/IF($A1659&lt;COUNTIFS($K$1:R$1,"&lt;&gt;"),0,SUMIFS($J:$J,$B:$B,$B1659,$A:$A,"&gt;="&amp;COUNTIFS($K$1:R$1,"&lt;&gt;"))),0)</f>
        <v>0</v>
      </c>
      <c r="S1659">
        <f>IFERROR($J1659/IF($A1659&lt;COUNTIFS($K$1:S$1,"&lt;&gt;"),0,SUMIFS($J:$J,$B:$B,$B1659,$A:$A,"&gt;="&amp;COUNTIFS($K$1:S$1,"&lt;&gt;"))),0)</f>
        <v>0</v>
      </c>
      <c r="T1659">
        <f>IFERROR($J1659/IF($A1659&lt;COUNTIFS($K$1:T$1,"&lt;&gt;"),0,SUMIFS($J:$J,$B:$B,$B1659,$A:$A,"&gt;="&amp;COUNTIFS($K$1:T$1,"&lt;&gt;"))),0)</f>
        <v>0</v>
      </c>
      <c r="U1659">
        <f>IFERROR($J1659/IF($A1659&lt;COUNTIFS($K$1:U$1,"&lt;&gt;"),0,SUMIFS($J:$J,$B:$B,$B1659,$A:$A,"&gt;="&amp;COUNTIFS($K$1:U$1,"&lt;&gt;"))),0)</f>
        <v>0</v>
      </c>
      <c r="V1659">
        <f>IFERROR($J1659/IF($A1659&lt;COUNTIFS($K$1:V$1,"&lt;&gt;"),0,SUMIFS($J:$J,$B:$B,$B1659,$A:$A,"&gt;="&amp;COUNTIFS($K$1:V$1,"&lt;&gt;"))),0)</f>
        <v>0</v>
      </c>
      <c r="W1659">
        <f t="shared" si="574"/>
        <v>7.6712328767123292E-2</v>
      </c>
      <c r="X1659">
        <f t="shared" si="554"/>
        <v>7.6712328767123292E-2</v>
      </c>
      <c r="Y1659">
        <f t="shared" si="555"/>
        <v>7.6712328767123292E-2</v>
      </c>
      <c r="Z1659">
        <f t="shared" si="556"/>
        <v>7.6712328767123292E-2</v>
      </c>
      <c r="AA1659">
        <f t="shared" si="557"/>
        <v>7.6712328767123292E-2</v>
      </c>
      <c r="AB1659">
        <f t="shared" si="558"/>
        <v>7.6712328767123292E-2</v>
      </c>
      <c r="AC1659">
        <f t="shared" si="559"/>
        <v>7.6712328767123292E-2</v>
      </c>
      <c r="AD1659">
        <f t="shared" si="560"/>
        <v>0</v>
      </c>
      <c r="AE1659">
        <f t="shared" si="561"/>
        <v>0</v>
      </c>
      <c r="AF1659">
        <f t="shared" si="562"/>
        <v>0</v>
      </c>
      <c r="AG1659">
        <f t="shared" si="563"/>
        <v>0</v>
      </c>
      <c r="AH1659">
        <f t="shared" si="564"/>
        <v>0</v>
      </c>
      <c r="AI1659">
        <f t="shared" si="565"/>
        <v>0</v>
      </c>
      <c r="AJ1659" s="2" t="str">
        <f t="shared" si="575"/>
        <v>647696</v>
      </c>
    </row>
    <row r="1660" spans="1:36" x14ac:dyDescent="0.25">
      <c r="A1660">
        <v>7</v>
      </c>
      <c r="B1660" s="1">
        <v>47696</v>
      </c>
      <c r="C1660" s="1">
        <f t="shared" si="566"/>
        <v>47908</v>
      </c>
      <c r="D1660" s="1">
        <f t="shared" si="567"/>
        <v>47710</v>
      </c>
      <c r="E1660" s="1">
        <f t="shared" si="568"/>
        <v>47908</v>
      </c>
      <c r="F1660" s="1">
        <f t="shared" si="569"/>
        <v>47939</v>
      </c>
      <c r="G1660" s="1">
        <f t="shared" si="570"/>
        <v>48075</v>
      </c>
      <c r="H1660">
        <f t="shared" si="571"/>
        <v>365</v>
      </c>
      <c r="I1660">
        <f t="shared" si="572"/>
        <v>31</v>
      </c>
      <c r="J1660">
        <f t="shared" si="573"/>
        <v>8.4931506849315067E-2</v>
      </c>
      <c r="K1660">
        <f>IFERROR($J1660/IF($A1660&lt;COUNTIFS($K$1:K$1,"&lt;&gt;"),0,SUMIFS($J:$J,$B:$B,$B1660,$A:$A,"&gt;="&amp;COUNTIFS($K$1:K$1,"&lt;&gt;"))),0)</f>
        <v>8.9080459770114959E-2</v>
      </c>
      <c r="L1660">
        <f>IFERROR($J1660/IF($A1660&lt;COUNTIFS($K$1:L$1,"&lt;&gt;"),0,SUMIFS($J:$J,$B:$B,$B1660,$A:$A,"&gt;="&amp;COUNTIFS($K$1:L$1,"&lt;&gt;"))),0)</f>
        <v>9.7484276729559768E-2</v>
      </c>
      <c r="M1660">
        <f>IFERROR($J1660/IF($A1660&lt;COUNTIFS($K$1:M$1,"&lt;&gt;"),0,SUMIFS($J:$J,$B:$B,$B1660,$A:$A,"&gt;="&amp;COUNTIFS($K$1:M$1,"&lt;&gt;"))),0)</f>
        <v>0.10801393728222998</v>
      </c>
      <c r="N1660">
        <f>IFERROR($J1660/IF($A1660&lt;COUNTIFS($K$1:N$1,"&lt;&gt;"),0,SUMIFS($J:$J,$B:$B,$B1660,$A:$A,"&gt;="&amp;COUNTIFS($K$1:N$1,"&lt;&gt;"))),0)</f>
        <v>0.12062256809338523</v>
      </c>
      <c r="O1660">
        <f>IFERROR($J1660/IF($A1660&lt;COUNTIFS($K$1:O$1,"&lt;&gt;"),0,SUMIFS($J:$J,$B:$B,$B1660,$A:$A,"&gt;="&amp;COUNTIFS($K$1:O$1,"&lt;&gt;"))),0)</f>
        <v>0.13716814159292037</v>
      </c>
      <c r="P1660">
        <f>IFERROR($J1660/IF($A1660&lt;COUNTIFS($K$1:P$1,"&lt;&gt;"),0,SUMIFS($J:$J,$B:$B,$B1660,$A:$A,"&gt;="&amp;COUNTIFS($K$1:P$1,"&lt;&gt;"))),0)</f>
        <v>0.15897435897435899</v>
      </c>
      <c r="Q1660">
        <f>IFERROR($J1660/IF($A1660&lt;COUNTIFS($K$1:Q$1,"&lt;&gt;"),0,SUMIFS($J:$J,$B:$B,$B1660,$A:$A,"&gt;="&amp;COUNTIFS($K$1:Q$1,"&lt;&gt;"))),0)</f>
        <v>0.18562874251497008</v>
      </c>
      <c r="R1660">
        <f>IFERROR($J1660/IF($A1660&lt;COUNTIFS($K$1:R$1,"&lt;&gt;"),0,SUMIFS($J:$J,$B:$B,$B1660,$A:$A,"&gt;="&amp;COUNTIFS($K$1:R$1,"&lt;&gt;"))),0)</f>
        <v>0</v>
      </c>
      <c r="S1660">
        <f>IFERROR($J1660/IF($A1660&lt;COUNTIFS($K$1:S$1,"&lt;&gt;"),0,SUMIFS($J:$J,$B:$B,$B1660,$A:$A,"&gt;="&amp;COUNTIFS($K$1:S$1,"&lt;&gt;"))),0)</f>
        <v>0</v>
      </c>
      <c r="T1660">
        <f>IFERROR($J1660/IF($A1660&lt;COUNTIFS($K$1:T$1,"&lt;&gt;"),0,SUMIFS($J:$J,$B:$B,$B1660,$A:$A,"&gt;="&amp;COUNTIFS($K$1:T$1,"&lt;&gt;"))),0)</f>
        <v>0</v>
      </c>
      <c r="U1660">
        <f>IFERROR($J1660/IF($A1660&lt;COUNTIFS($K$1:U$1,"&lt;&gt;"),0,SUMIFS($J:$J,$B:$B,$B1660,$A:$A,"&gt;="&amp;COUNTIFS($K$1:U$1,"&lt;&gt;"))),0)</f>
        <v>0</v>
      </c>
      <c r="V1660">
        <f>IFERROR($J1660/IF($A1660&lt;COUNTIFS($K$1:V$1,"&lt;&gt;"),0,SUMIFS($J:$J,$B:$B,$B1660,$A:$A,"&gt;="&amp;COUNTIFS($K$1:V$1,"&lt;&gt;"))),0)</f>
        <v>0</v>
      </c>
      <c r="W1660">
        <f t="shared" si="574"/>
        <v>8.4931506849315067E-2</v>
      </c>
      <c r="X1660">
        <f t="shared" si="554"/>
        <v>8.4931506849315067E-2</v>
      </c>
      <c r="Y1660">
        <f t="shared" si="555"/>
        <v>8.4931506849315067E-2</v>
      </c>
      <c r="Z1660">
        <f t="shared" si="556"/>
        <v>8.4931506849315067E-2</v>
      </c>
      <c r="AA1660">
        <f t="shared" si="557"/>
        <v>8.4931506849315067E-2</v>
      </c>
      <c r="AB1660">
        <f t="shared" si="558"/>
        <v>8.4931506849315067E-2</v>
      </c>
      <c r="AC1660">
        <f t="shared" si="559"/>
        <v>8.4931506849315067E-2</v>
      </c>
      <c r="AD1660">
        <f t="shared" si="560"/>
        <v>8.4931506849315067E-2</v>
      </c>
      <c r="AE1660">
        <f t="shared" si="561"/>
        <v>0</v>
      </c>
      <c r="AF1660">
        <f t="shared" si="562"/>
        <v>0</v>
      </c>
      <c r="AG1660">
        <f t="shared" si="563"/>
        <v>0</v>
      </c>
      <c r="AH1660">
        <f t="shared" si="564"/>
        <v>0</v>
      </c>
      <c r="AI1660">
        <f t="shared" si="565"/>
        <v>0</v>
      </c>
      <c r="AJ1660" s="2" t="str">
        <f t="shared" si="575"/>
        <v>747696</v>
      </c>
    </row>
    <row r="1661" spans="1:36" x14ac:dyDescent="0.25">
      <c r="A1661">
        <v>8</v>
      </c>
      <c r="B1661" s="1">
        <v>47696</v>
      </c>
      <c r="C1661" s="1">
        <f t="shared" si="566"/>
        <v>47939</v>
      </c>
      <c r="D1661" s="1">
        <f t="shared" si="567"/>
        <v>47710</v>
      </c>
      <c r="E1661" s="1">
        <f t="shared" si="568"/>
        <v>47939</v>
      </c>
      <c r="F1661" s="1">
        <f t="shared" si="569"/>
        <v>47969</v>
      </c>
      <c r="G1661" s="1">
        <f t="shared" si="570"/>
        <v>48075</v>
      </c>
      <c r="H1661">
        <f t="shared" si="571"/>
        <v>365</v>
      </c>
      <c r="I1661">
        <f t="shared" si="572"/>
        <v>30</v>
      </c>
      <c r="J1661">
        <f t="shared" si="573"/>
        <v>8.2191780821917804E-2</v>
      </c>
      <c r="K1661">
        <f>IFERROR($J1661/IF($A1661&lt;COUNTIFS($K$1:K$1,"&lt;&gt;"),0,SUMIFS($J:$J,$B:$B,$B1661,$A:$A,"&gt;="&amp;COUNTIFS($K$1:K$1,"&lt;&gt;"))),0)</f>
        <v>8.6206896551724144E-2</v>
      </c>
      <c r="L1661">
        <f>IFERROR($J1661/IF($A1661&lt;COUNTIFS($K$1:L$1,"&lt;&gt;"),0,SUMIFS($J:$J,$B:$B,$B1661,$A:$A,"&gt;="&amp;COUNTIFS($K$1:L$1,"&lt;&gt;"))),0)</f>
        <v>9.4339622641509441E-2</v>
      </c>
      <c r="M1661">
        <f>IFERROR($J1661/IF($A1661&lt;COUNTIFS($K$1:M$1,"&lt;&gt;"),0,SUMIFS($J:$J,$B:$B,$B1661,$A:$A,"&gt;="&amp;COUNTIFS($K$1:M$1,"&lt;&gt;"))),0)</f>
        <v>0.10452961672473869</v>
      </c>
      <c r="N1661">
        <f>IFERROR($J1661/IF($A1661&lt;COUNTIFS($K$1:N$1,"&lt;&gt;"),0,SUMIFS($J:$J,$B:$B,$B1661,$A:$A,"&gt;="&amp;COUNTIFS($K$1:N$1,"&lt;&gt;"))),0)</f>
        <v>0.11673151750972764</v>
      </c>
      <c r="O1661">
        <f>IFERROR($J1661/IF($A1661&lt;COUNTIFS($K$1:O$1,"&lt;&gt;"),0,SUMIFS($J:$J,$B:$B,$B1661,$A:$A,"&gt;="&amp;COUNTIFS($K$1:O$1,"&lt;&gt;"))),0)</f>
        <v>0.13274336283185842</v>
      </c>
      <c r="P1661">
        <f>IFERROR($J1661/IF($A1661&lt;COUNTIFS($K$1:P$1,"&lt;&gt;"),0,SUMIFS($J:$J,$B:$B,$B1661,$A:$A,"&gt;="&amp;COUNTIFS($K$1:P$1,"&lt;&gt;"))),0)</f>
        <v>0.15384615384615385</v>
      </c>
      <c r="Q1661">
        <f>IFERROR($J1661/IF($A1661&lt;COUNTIFS($K$1:Q$1,"&lt;&gt;"),0,SUMIFS($J:$J,$B:$B,$B1661,$A:$A,"&gt;="&amp;COUNTIFS($K$1:Q$1,"&lt;&gt;"))),0)</f>
        <v>0.17964071856287425</v>
      </c>
      <c r="R1661">
        <f>IFERROR($J1661/IF($A1661&lt;COUNTIFS($K$1:R$1,"&lt;&gt;"),0,SUMIFS($J:$J,$B:$B,$B1661,$A:$A,"&gt;="&amp;COUNTIFS($K$1:R$1,"&lt;&gt;"))),0)</f>
        <v>0.22058823529411764</v>
      </c>
      <c r="S1661">
        <f>IFERROR($J1661/IF($A1661&lt;COUNTIFS($K$1:S$1,"&lt;&gt;"),0,SUMIFS($J:$J,$B:$B,$B1661,$A:$A,"&gt;="&amp;COUNTIFS($K$1:S$1,"&lt;&gt;"))),0)</f>
        <v>0</v>
      </c>
      <c r="T1661">
        <f>IFERROR($J1661/IF($A1661&lt;COUNTIFS($K$1:T$1,"&lt;&gt;"),0,SUMIFS($J:$J,$B:$B,$B1661,$A:$A,"&gt;="&amp;COUNTIFS($K$1:T$1,"&lt;&gt;"))),0)</f>
        <v>0</v>
      </c>
      <c r="U1661">
        <f>IFERROR($J1661/IF($A1661&lt;COUNTIFS($K$1:U$1,"&lt;&gt;"),0,SUMIFS($J:$J,$B:$B,$B1661,$A:$A,"&gt;="&amp;COUNTIFS($K$1:U$1,"&lt;&gt;"))),0)</f>
        <v>0</v>
      </c>
      <c r="V1661">
        <f>IFERROR($J1661/IF($A1661&lt;COUNTIFS($K$1:V$1,"&lt;&gt;"),0,SUMIFS($J:$J,$B:$B,$B1661,$A:$A,"&gt;="&amp;COUNTIFS($K$1:V$1,"&lt;&gt;"))),0)</f>
        <v>0</v>
      </c>
      <c r="W1661">
        <f t="shared" si="574"/>
        <v>8.2191780821917804E-2</v>
      </c>
      <c r="X1661">
        <f t="shared" si="554"/>
        <v>8.2191780821917804E-2</v>
      </c>
      <c r="Y1661">
        <f t="shared" si="555"/>
        <v>8.2191780821917804E-2</v>
      </c>
      <c r="Z1661">
        <f t="shared" si="556"/>
        <v>8.2191780821917804E-2</v>
      </c>
      <c r="AA1661">
        <f t="shared" si="557"/>
        <v>8.2191780821917804E-2</v>
      </c>
      <c r="AB1661">
        <f t="shared" si="558"/>
        <v>8.2191780821917804E-2</v>
      </c>
      <c r="AC1661">
        <f t="shared" si="559"/>
        <v>8.2191780821917804E-2</v>
      </c>
      <c r="AD1661">
        <f t="shared" si="560"/>
        <v>8.2191780821917804E-2</v>
      </c>
      <c r="AE1661">
        <f t="shared" si="561"/>
        <v>8.2191780821917804E-2</v>
      </c>
      <c r="AF1661">
        <f t="shared" si="562"/>
        <v>0</v>
      </c>
      <c r="AG1661">
        <f t="shared" si="563"/>
        <v>0</v>
      </c>
      <c r="AH1661">
        <f t="shared" si="564"/>
        <v>0</v>
      </c>
      <c r="AI1661">
        <f t="shared" si="565"/>
        <v>0</v>
      </c>
      <c r="AJ1661" s="2" t="str">
        <f t="shared" si="575"/>
        <v>847696</v>
      </c>
    </row>
    <row r="1662" spans="1:36" x14ac:dyDescent="0.25">
      <c r="A1662">
        <v>9</v>
      </c>
      <c r="B1662" s="1">
        <v>47696</v>
      </c>
      <c r="C1662" s="1">
        <f t="shared" si="566"/>
        <v>47969</v>
      </c>
      <c r="D1662" s="1">
        <f t="shared" si="567"/>
        <v>47710</v>
      </c>
      <c r="E1662" s="1">
        <f t="shared" si="568"/>
        <v>47969</v>
      </c>
      <c r="F1662" s="1">
        <f t="shared" si="569"/>
        <v>48000</v>
      </c>
      <c r="G1662" s="1">
        <f t="shared" si="570"/>
        <v>48075</v>
      </c>
      <c r="H1662">
        <f t="shared" si="571"/>
        <v>365</v>
      </c>
      <c r="I1662">
        <f t="shared" si="572"/>
        <v>31</v>
      </c>
      <c r="J1662">
        <f t="shared" si="573"/>
        <v>8.4931506849315067E-2</v>
      </c>
      <c r="K1662">
        <f>IFERROR($J1662/IF($A1662&lt;COUNTIFS($K$1:K$1,"&lt;&gt;"),0,SUMIFS($J:$J,$B:$B,$B1662,$A:$A,"&gt;="&amp;COUNTIFS($K$1:K$1,"&lt;&gt;"))),0)</f>
        <v>8.9080459770114959E-2</v>
      </c>
      <c r="L1662">
        <f>IFERROR($J1662/IF($A1662&lt;COUNTIFS($K$1:L$1,"&lt;&gt;"),0,SUMIFS($J:$J,$B:$B,$B1662,$A:$A,"&gt;="&amp;COUNTIFS($K$1:L$1,"&lt;&gt;"))),0)</f>
        <v>9.7484276729559768E-2</v>
      </c>
      <c r="M1662">
        <f>IFERROR($J1662/IF($A1662&lt;COUNTIFS($K$1:M$1,"&lt;&gt;"),0,SUMIFS($J:$J,$B:$B,$B1662,$A:$A,"&gt;="&amp;COUNTIFS($K$1:M$1,"&lt;&gt;"))),0)</f>
        <v>0.10801393728222998</v>
      </c>
      <c r="N1662">
        <f>IFERROR($J1662/IF($A1662&lt;COUNTIFS($K$1:N$1,"&lt;&gt;"),0,SUMIFS($J:$J,$B:$B,$B1662,$A:$A,"&gt;="&amp;COUNTIFS($K$1:N$1,"&lt;&gt;"))),0)</f>
        <v>0.12062256809338523</v>
      </c>
      <c r="O1662">
        <f>IFERROR($J1662/IF($A1662&lt;COUNTIFS($K$1:O$1,"&lt;&gt;"),0,SUMIFS($J:$J,$B:$B,$B1662,$A:$A,"&gt;="&amp;COUNTIFS($K$1:O$1,"&lt;&gt;"))),0)</f>
        <v>0.13716814159292037</v>
      </c>
      <c r="P1662">
        <f>IFERROR($J1662/IF($A1662&lt;COUNTIFS($K$1:P$1,"&lt;&gt;"),0,SUMIFS($J:$J,$B:$B,$B1662,$A:$A,"&gt;="&amp;COUNTIFS($K$1:P$1,"&lt;&gt;"))),0)</f>
        <v>0.15897435897435899</v>
      </c>
      <c r="Q1662">
        <f>IFERROR($J1662/IF($A1662&lt;COUNTIFS($K$1:Q$1,"&lt;&gt;"),0,SUMIFS($J:$J,$B:$B,$B1662,$A:$A,"&gt;="&amp;COUNTIFS($K$1:Q$1,"&lt;&gt;"))),0)</f>
        <v>0.18562874251497008</v>
      </c>
      <c r="R1662">
        <f>IFERROR($J1662/IF($A1662&lt;COUNTIFS($K$1:R$1,"&lt;&gt;"),0,SUMIFS($J:$J,$B:$B,$B1662,$A:$A,"&gt;="&amp;COUNTIFS($K$1:R$1,"&lt;&gt;"))),0)</f>
        <v>0.22794117647058826</v>
      </c>
      <c r="S1662">
        <f>IFERROR($J1662/IF($A1662&lt;COUNTIFS($K$1:S$1,"&lt;&gt;"),0,SUMIFS($J:$J,$B:$B,$B1662,$A:$A,"&gt;="&amp;COUNTIFS($K$1:S$1,"&lt;&gt;"))),0)</f>
        <v>0.29245283018867929</v>
      </c>
      <c r="T1662">
        <f>IFERROR($J1662/IF($A1662&lt;COUNTIFS($K$1:T$1,"&lt;&gt;"),0,SUMIFS($J:$J,$B:$B,$B1662,$A:$A,"&gt;="&amp;COUNTIFS($K$1:T$1,"&lt;&gt;"))),0)</f>
        <v>0</v>
      </c>
      <c r="U1662">
        <f>IFERROR($J1662/IF($A1662&lt;COUNTIFS($K$1:U$1,"&lt;&gt;"),0,SUMIFS($J:$J,$B:$B,$B1662,$A:$A,"&gt;="&amp;COUNTIFS($K$1:U$1,"&lt;&gt;"))),0)</f>
        <v>0</v>
      </c>
      <c r="V1662">
        <f>IFERROR($J1662/IF($A1662&lt;COUNTIFS($K$1:V$1,"&lt;&gt;"),0,SUMIFS($J:$J,$B:$B,$B1662,$A:$A,"&gt;="&amp;COUNTIFS($K$1:V$1,"&lt;&gt;"))),0)</f>
        <v>0</v>
      </c>
      <c r="W1662">
        <f t="shared" si="574"/>
        <v>8.4931506849315067E-2</v>
      </c>
      <c r="X1662">
        <f t="shared" si="554"/>
        <v>8.4931506849315067E-2</v>
      </c>
      <c r="Y1662">
        <f t="shared" si="555"/>
        <v>8.4931506849315067E-2</v>
      </c>
      <c r="Z1662">
        <f t="shared" si="556"/>
        <v>8.4931506849315067E-2</v>
      </c>
      <c r="AA1662">
        <f t="shared" si="557"/>
        <v>8.4931506849315067E-2</v>
      </c>
      <c r="AB1662">
        <f t="shared" si="558"/>
        <v>8.4931506849315067E-2</v>
      </c>
      <c r="AC1662">
        <f t="shared" si="559"/>
        <v>8.4931506849315067E-2</v>
      </c>
      <c r="AD1662">
        <f t="shared" si="560"/>
        <v>8.4931506849315067E-2</v>
      </c>
      <c r="AE1662">
        <f t="shared" si="561"/>
        <v>8.4931506849315067E-2</v>
      </c>
      <c r="AF1662">
        <f t="shared" si="562"/>
        <v>8.4931506849315067E-2</v>
      </c>
      <c r="AG1662">
        <f t="shared" si="563"/>
        <v>0</v>
      </c>
      <c r="AH1662">
        <f t="shared" si="564"/>
        <v>0</v>
      </c>
      <c r="AI1662">
        <f t="shared" si="565"/>
        <v>0</v>
      </c>
      <c r="AJ1662" s="2" t="str">
        <f t="shared" si="575"/>
        <v>947696</v>
      </c>
    </row>
    <row r="1663" spans="1:36" x14ac:dyDescent="0.25">
      <c r="A1663">
        <v>10</v>
      </c>
      <c r="B1663" s="1">
        <v>47696</v>
      </c>
      <c r="C1663" s="1">
        <f t="shared" si="566"/>
        <v>48000</v>
      </c>
      <c r="D1663" s="1">
        <f t="shared" si="567"/>
        <v>47710</v>
      </c>
      <c r="E1663" s="1">
        <f t="shared" si="568"/>
        <v>48000</v>
      </c>
      <c r="F1663" s="1">
        <f t="shared" si="569"/>
        <v>48030</v>
      </c>
      <c r="G1663" s="1">
        <f t="shared" si="570"/>
        <v>48075</v>
      </c>
      <c r="H1663">
        <f t="shared" si="571"/>
        <v>365</v>
      </c>
      <c r="I1663">
        <f t="shared" si="572"/>
        <v>30</v>
      </c>
      <c r="J1663">
        <f t="shared" si="573"/>
        <v>8.2191780821917804E-2</v>
      </c>
      <c r="K1663">
        <f>IFERROR($J1663/IF($A1663&lt;COUNTIFS($K$1:K$1,"&lt;&gt;"),0,SUMIFS($J:$J,$B:$B,$B1663,$A:$A,"&gt;="&amp;COUNTIFS($K$1:K$1,"&lt;&gt;"))),0)</f>
        <v>8.6206896551724144E-2</v>
      </c>
      <c r="L1663">
        <f>IFERROR($J1663/IF($A1663&lt;COUNTIFS($K$1:L$1,"&lt;&gt;"),0,SUMIFS($J:$J,$B:$B,$B1663,$A:$A,"&gt;="&amp;COUNTIFS($K$1:L$1,"&lt;&gt;"))),0)</f>
        <v>9.4339622641509441E-2</v>
      </c>
      <c r="M1663">
        <f>IFERROR($J1663/IF($A1663&lt;COUNTIFS($K$1:M$1,"&lt;&gt;"),0,SUMIFS($J:$J,$B:$B,$B1663,$A:$A,"&gt;="&amp;COUNTIFS($K$1:M$1,"&lt;&gt;"))),0)</f>
        <v>0.10452961672473869</v>
      </c>
      <c r="N1663">
        <f>IFERROR($J1663/IF($A1663&lt;COUNTIFS($K$1:N$1,"&lt;&gt;"),0,SUMIFS($J:$J,$B:$B,$B1663,$A:$A,"&gt;="&amp;COUNTIFS($K$1:N$1,"&lt;&gt;"))),0)</f>
        <v>0.11673151750972764</v>
      </c>
      <c r="O1663">
        <f>IFERROR($J1663/IF($A1663&lt;COUNTIFS($K$1:O$1,"&lt;&gt;"),0,SUMIFS($J:$J,$B:$B,$B1663,$A:$A,"&gt;="&amp;COUNTIFS($K$1:O$1,"&lt;&gt;"))),0)</f>
        <v>0.13274336283185842</v>
      </c>
      <c r="P1663">
        <f>IFERROR($J1663/IF($A1663&lt;COUNTIFS($K$1:P$1,"&lt;&gt;"),0,SUMIFS($J:$J,$B:$B,$B1663,$A:$A,"&gt;="&amp;COUNTIFS($K$1:P$1,"&lt;&gt;"))),0)</f>
        <v>0.15384615384615385</v>
      </c>
      <c r="Q1663">
        <f>IFERROR($J1663/IF($A1663&lt;COUNTIFS($K$1:Q$1,"&lt;&gt;"),0,SUMIFS($J:$J,$B:$B,$B1663,$A:$A,"&gt;="&amp;COUNTIFS($K$1:Q$1,"&lt;&gt;"))),0)</f>
        <v>0.17964071856287425</v>
      </c>
      <c r="R1663">
        <f>IFERROR($J1663/IF($A1663&lt;COUNTIFS($K$1:R$1,"&lt;&gt;"),0,SUMIFS($J:$J,$B:$B,$B1663,$A:$A,"&gt;="&amp;COUNTIFS($K$1:R$1,"&lt;&gt;"))),0)</f>
        <v>0.22058823529411764</v>
      </c>
      <c r="S1663">
        <f>IFERROR($J1663/IF($A1663&lt;COUNTIFS($K$1:S$1,"&lt;&gt;"),0,SUMIFS($J:$J,$B:$B,$B1663,$A:$A,"&gt;="&amp;COUNTIFS($K$1:S$1,"&lt;&gt;"))),0)</f>
        <v>0.28301886792452829</v>
      </c>
      <c r="T1663">
        <f>IFERROR($J1663/IF($A1663&lt;COUNTIFS($K$1:T$1,"&lt;&gt;"),0,SUMIFS($J:$J,$B:$B,$B1663,$A:$A,"&gt;="&amp;COUNTIFS($K$1:T$1,"&lt;&gt;"))),0)</f>
        <v>0.4</v>
      </c>
      <c r="U1663">
        <f>IFERROR($J1663/IF($A1663&lt;COUNTIFS($K$1:U$1,"&lt;&gt;"),0,SUMIFS($J:$J,$B:$B,$B1663,$A:$A,"&gt;="&amp;COUNTIFS($K$1:U$1,"&lt;&gt;"))),0)</f>
        <v>0</v>
      </c>
      <c r="V1663">
        <f>IFERROR($J1663/IF($A1663&lt;COUNTIFS($K$1:V$1,"&lt;&gt;"),0,SUMIFS($J:$J,$B:$B,$B1663,$A:$A,"&gt;="&amp;COUNTIFS($K$1:V$1,"&lt;&gt;"))),0)</f>
        <v>0</v>
      </c>
      <c r="W1663">
        <f t="shared" si="574"/>
        <v>8.2191780821917804E-2</v>
      </c>
      <c r="X1663">
        <f t="shared" si="554"/>
        <v>8.2191780821917804E-2</v>
      </c>
      <c r="Y1663">
        <f t="shared" si="555"/>
        <v>8.2191780821917804E-2</v>
      </c>
      <c r="Z1663">
        <f t="shared" si="556"/>
        <v>8.2191780821917804E-2</v>
      </c>
      <c r="AA1663">
        <f t="shared" si="557"/>
        <v>8.2191780821917804E-2</v>
      </c>
      <c r="AB1663">
        <f t="shared" si="558"/>
        <v>8.2191780821917804E-2</v>
      </c>
      <c r="AC1663">
        <f t="shared" si="559"/>
        <v>8.2191780821917804E-2</v>
      </c>
      <c r="AD1663">
        <f t="shared" si="560"/>
        <v>8.2191780821917804E-2</v>
      </c>
      <c r="AE1663">
        <f t="shared" si="561"/>
        <v>8.2191780821917804E-2</v>
      </c>
      <c r="AF1663">
        <f t="shared" si="562"/>
        <v>8.2191780821917804E-2</v>
      </c>
      <c r="AG1663">
        <f t="shared" si="563"/>
        <v>8.2191780821917804E-2</v>
      </c>
      <c r="AH1663">
        <f t="shared" si="564"/>
        <v>0</v>
      </c>
      <c r="AI1663">
        <f t="shared" si="565"/>
        <v>0</v>
      </c>
      <c r="AJ1663" s="2" t="str">
        <f t="shared" si="575"/>
        <v>1047696</v>
      </c>
    </row>
    <row r="1664" spans="1:36" x14ac:dyDescent="0.25">
      <c r="A1664">
        <v>11</v>
      </c>
      <c r="B1664" s="1">
        <v>47696</v>
      </c>
      <c r="C1664" s="1">
        <f t="shared" si="566"/>
        <v>48030</v>
      </c>
      <c r="D1664" s="1">
        <f t="shared" si="567"/>
        <v>47710</v>
      </c>
      <c r="E1664" s="1">
        <f t="shared" si="568"/>
        <v>48030</v>
      </c>
      <c r="F1664" s="1">
        <f t="shared" si="569"/>
        <v>48061</v>
      </c>
      <c r="G1664" s="1">
        <f t="shared" si="570"/>
        <v>48075</v>
      </c>
      <c r="H1664">
        <f t="shared" si="571"/>
        <v>365</v>
      </c>
      <c r="I1664">
        <f t="shared" si="572"/>
        <v>31</v>
      </c>
      <c r="J1664">
        <f t="shared" si="573"/>
        <v>8.4931506849315067E-2</v>
      </c>
      <c r="K1664">
        <f>IFERROR($J1664/IF($A1664&lt;COUNTIFS($K$1:K$1,"&lt;&gt;"),0,SUMIFS($J:$J,$B:$B,$B1664,$A:$A,"&gt;="&amp;COUNTIFS($K$1:K$1,"&lt;&gt;"))),0)</f>
        <v>8.9080459770114959E-2</v>
      </c>
      <c r="L1664">
        <f>IFERROR($J1664/IF($A1664&lt;COUNTIFS($K$1:L$1,"&lt;&gt;"),0,SUMIFS($J:$J,$B:$B,$B1664,$A:$A,"&gt;="&amp;COUNTIFS($K$1:L$1,"&lt;&gt;"))),0)</f>
        <v>9.7484276729559768E-2</v>
      </c>
      <c r="M1664">
        <f>IFERROR($J1664/IF($A1664&lt;COUNTIFS($K$1:M$1,"&lt;&gt;"),0,SUMIFS($J:$J,$B:$B,$B1664,$A:$A,"&gt;="&amp;COUNTIFS($K$1:M$1,"&lt;&gt;"))),0)</f>
        <v>0.10801393728222998</v>
      </c>
      <c r="N1664">
        <f>IFERROR($J1664/IF($A1664&lt;COUNTIFS($K$1:N$1,"&lt;&gt;"),0,SUMIFS($J:$J,$B:$B,$B1664,$A:$A,"&gt;="&amp;COUNTIFS($K$1:N$1,"&lt;&gt;"))),0)</f>
        <v>0.12062256809338523</v>
      </c>
      <c r="O1664">
        <f>IFERROR($J1664/IF($A1664&lt;COUNTIFS($K$1:O$1,"&lt;&gt;"),0,SUMIFS($J:$J,$B:$B,$B1664,$A:$A,"&gt;="&amp;COUNTIFS($K$1:O$1,"&lt;&gt;"))),0)</f>
        <v>0.13716814159292037</v>
      </c>
      <c r="P1664">
        <f>IFERROR($J1664/IF($A1664&lt;COUNTIFS($K$1:P$1,"&lt;&gt;"),0,SUMIFS($J:$J,$B:$B,$B1664,$A:$A,"&gt;="&amp;COUNTIFS($K$1:P$1,"&lt;&gt;"))),0)</f>
        <v>0.15897435897435899</v>
      </c>
      <c r="Q1664">
        <f>IFERROR($J1664/IF($A1664&lt;COUNTIFS($K$1:Q$1,"&lt;&gt;"),0,SUMIFS($J:$J,$B:$B,$B1664,$A:$A,"&gt;="&amp;COUNTIFS($K$1:Q$1,"&lt;&gt;"))),0)</f>
        <v>0.18562874251497008</v>
      </c>
      <c r="R1664">
        <f>IFERROR($J1664/IF($A1664&lt;COUNTIFS($K$1:R$1,"&lt;&gt;"),0,SUMIFS($J:$J,$B:$B,$B1664,$A:$A,"&gt;="&amp;COUNTIFS($K$1:R$1,"&lt;&gt;"))),0)</f>
        <v>0.22794117647058826</v>
      </c>
      <c r="S1664">
        <f>IFERROR($J1664/IF($A1664&lt;COUNTIFS($K$1:S$1,"&lt;&gt;"),0,SUMIFS($J:$J,$B:$B,$B1664,$A:$A,"&gt;="&amp;COUNTIFS($K$1:S$1,"&lt;&gt;"))),0)</f>
        <v>0.29245283018867929</v>
      </c>
      <c r="T1664">
        <f>IFERROR($J1664/IF($A1664&lt;COUNTIFS($K$1:T$1,"&lt;&gt;"),0,SUMIFS($J:$J,$B:$B,$B1664,$A:$A,"&gt;="&amp;COUNTIFS($K$1:T$1,"&lt;&gt;"))),0)</f>
        <v>0.41333333333333333</v>
      </c>
      <c r="U1664">
        <f>IFERROR($J1664/IF($A1664&lt;COUNTIFS($K$1:U$1,"&lt;&gt;"),0,SUMIFS($J:$J,$B:$B,$B1664,$A:$A,"&gt;="&amp;COUNTIFS($K$1:U$1,"&lt;&gt;"))),0)</f>
        <v>0.68888888888888888</v>
      </c>
      <c r="V1664">
        <f>IFERROR($J1664/IF($A1664&lt;COUNTIFS($K$1:V$1,"&lt;&gt;"),0,SUMIFS($J:$J,$B:$B,$B1664,$A:$A,"&gt;="&amp;COUNTIFS($K$1:V$1,"&lt;&gt;"))),0)</f>
        <v>0</v>
      </c>
      <c r="W1664">
        <f t="shared" si="574"/>
        <v>8.4931506849315067E-2</v>
      </c>
      <c r="X1664">
        <f t="shared" si="554"/>
        <v>8.4931506849315067E-2</v>
      </c>
      <c r="Y1664">
        <f t="shared" si="555"/>
        <v>8.4931506849315067E-2</v>
      </c>
      <c r="Z1664">
        <f t="shared" si="556"/>
        <v>8.4931506849315067E-2</v>
      </c>
      <c r="AA1664">
        <f t="shared" si="557"/>
        <v>8.4931506849315067E-2</v>
      </c>
      <c r="AB1664">
        <f t="shared" si="558"/>
        <v>8.4931506849315067E-2</v>
      </c>
      <c r="AC1664">
        <f t="shared" si="559"/>
        <v>8.4931506849315067E-2</v>
      </c>
      <c r="AD1664">
        <f t="shared" si="560"/>
        <v>8.4931506849315067E-2</v>
      </c>
      <c r="AE1664">
        <f t="shared" si="561"/>
        <v>8.4931506849315067E-2</v>
      </c>
      <c r="AF1664">
        <f t="shared" si="562"/>
        <v>8.4931506849315067E-2</v>
      </c>
      <c r="AG1664">
        <f t="shared" si="563"/>
        <v>8.4931506849315067E-2</v>
      </c>
      <c r="AH1664">
        <f t="shared" si="564"/>
        <v>8.4931506849315067E-2</v>
      </c>
      <c r="AI1664">
        <f t="shared" si="565"/>
        <v>0</v>
      </c>
      <c r="AJ1664" s="2" t="str">
        <f t="shared" si="575"/>
        <v>1147696</v>
      </c>
    </row>
    <row r="1665" spans="1:36" x14ac:dyDescent="0.25">
      <c r="A1665">
        <v>12</v>
      </c>
      <c r="B1665" s="1">
        <v>47696</v>
      </c>
      <c r="C1665" s="1">
        <f t="shared" si="566"/>
        <v>48061</v>
      </c>
      <c r="D1665" s="1">
        <f t="shared" si="567"/>
        <v>47710</v>
      </c>
      <c r="E1665" s="1">
        <f t="shared" si="568"/>
        <v>48061</v>
      </c>
      <c r="F1665" s="1">
        <f t="shared" si="569"/>
        <v>48075</v>
      </c>
      <c r="G1665" s="1">
        <f t="shared" si="570"/>
        <v>48075</v>
      </c>
      <c r="H1665">
        <f t="shared" si="571"/>
        <v>365</v>
      </c>
      <c r="I1665">
        <f t="shared" si="572"/>
        <v>14</v>
      </c>
      <c r="J1665">
        <f t="shared" si="573"/>
        <v>3.8356164383561646E-2</v>
      </c>
      <c r="K1665">
        <f>IFERROR($J1665/IF($A1665&lt;COUNTIFS($K$1:K$1,"&lt;&gt;"),0,SUMIFS($J:$J,$B:$B,$B1665,$A:$A,"&gt;="&amp;COUNTIFS($K$1:K$1,"&lt;&gt;"))),0)</f>
        <v>4.0229885057471271E-2</v>
      </c>
      <c r="L1665">
        <f>IFERROR($J1665/IF($A1665&lt;COUNTIFS($K$1:L$1,"&lt;&gt;"),0,SUMIFS($J:$J,$B:$B,$B1665,$A:$A,"&gt;="&amp;COUNTIFS($K$1:L$1,"&lt;&gt;"))),0)</f>
        <v>4.4025157232704414E-2</v>
      </c>
      <c r="M1665">
        <f>IFERROR($J1665/IF($A1665&lt;COUNTIFS($K$1:M$1,"&lt;&gt;"),0,SUMIFS($J:$J,$B:$B,$B1665,$A:$A,"&gt;="&amp;COUNTIFS($K$1:M$1,"&lt;&gt;"))),0)</f>
        <v>4.8780487804878057E-2</v>
      </c>
      <c r="N1665">
        <f>IFERROR($J1665/IF($A1665&lt;COUNTIFS($K$1:N$1,"&lt;&gt;"),0,SUMIFS($J:$J,$B:$B,$B1665,$A:$A,"&gt;="&amp;COUNTIFS($K$1:N$1,"&lt;&gt;"))),0)</f>
        <v>5.447470817120624E-2</v>
      </c>
      <c r="O1665">
        <f>IFERROR($J1665/IF($A1665&lt;COUNTIFS($K$1:O$1,"&lt;&gt;"),0,SUMIFS($J:$J,$B:$B,$B1665,$A:$A,"&gt;="&amp;COUNTIFS($K$1:O$1,"&lt;&gt;"))),0)</f>
        <v>6.194690265486727E-2</v>
      </c>
      <c r="P1665">
        <f>IFERROR($J1665/IF($A1665&lt;COUNTIFS($K$1:P$1,"&lt;&gt;"),0,SUMIFS($J:$J,$B:$B,$B1665,$A:$A,"&gt;="&amp;COUNTIFS($K$1:P$1,"&lt;&gt;"))),0)</f>
        <v>7.1794871794871803E-2</v>
      </c>
      <c r="Q1665">
        <f>IFERROR($J1665/IF($A1665&lt;COUNTIFS($K$1:Q$1,"&lt;&gt;"),0,SUMIFS($J:$J,$B:$B,$B1665,$A:$A,"&gt;="&amp;COUNTIFS($K$1:Q$1,"&lt;&gt;"))),0)</f>
        <v>8.3832335329341326E-2</v>
      </c>
      <c r="R1665">
        <f>IFERROR($J1665/IF($A1665&lt;COUNTIFS($K$1:R$1,"&lt;&gt;"),0,SUMIFS($J:$J,$B:$B,$B1665,$A:$A,"&gt;="&amp;COUNTIFS($K$1:R$1,"&lt;&gt;"))),0)</f>
        <v>0.10294117647058824</v>
      </c>
      <c r="S1665">
        <f>IFERROR($J1665/IF($A1665&lt;COUNTIFS($K$1:S$1,"&lt;&gt;"),0,SUMIFS($J:$J,$B:$B,$B1665,$A:$A,"&gt;="&amp;COUNTIFS($K$1:S$1,"&lt;&gt;"))),0)</f>
        <v>0.13207547169811323</v>
      </c>
      <c r="T1665">
        <f>IFERROR($J1665/IF($A1665&lt;COUNTIFS($K$1:T$1,"&lt;&gt;"),0,SUMIFS($J:$J,$B:$B,$B1665,$A:$A,"&gt;="&amp;COUNTIFS($K$1:T$1,"&lt;&gt;"))),0)</f>
        <v>0.18666666666666668</v>
      </c>
      <c r="U1665">
        <f>IFERROR($J1665/IF($A1665&lt;COUNTIFS($K$1:U$1,"&lt;&gt;"),0,SUMIFS($J:$J,$B:$B,$B1665,$A:$A,"&gt;="&amp;COUNTIFS($K$1:U$1,"&lt;&gt;"))),0)</f>
        <v>0.31111111111111117</v>
      </c>
      <c r="V1665">
        <f>IFERROR($J1665/IF($A1665&lt;COUNTIFS($K$1:V$1,"&lt;&gt;"),0,SUMIFS($J:$J,$B:$B,$B1665,$A:$A,"&gt;="&amp;COUNTIFS($K$1:V$1,"&lt;&gt;"))),0)</f>
        <v>1</v>
      </c>
      <c r="W1665">
        <f t="shared" si="574"/>
        <v>3.8356164383561646E-2</v>
      </c>
      <c r="X1665">
        <f t="shared" si="554"/>
        <v>3.8356164383561646E-2</v>
      </c>
      <c r="Y1665">
        <f t="shared" si="555"/>
        <v>3.8356164383561646E-2</v>
      </c>
      <c r="Z1665">
        <f t="shared" si="556"/>
        <v>3.8356164383561646E-2</v>
      </c>
      <c r="AA1665">
        <f t="shared" si="557"/>
        <v>3.8356164383561646E-2</v>
      </c>
      <c r="AB1665">
        <f t="shared" si="558"/>
        <v>3.8356164383561646E-2</v>
      </c>
      <c r="AC1665">
        <f t="shared" si="559"/>
        <v>3.8356164383561646E-2</v>
      </c>
      <c r="AD1665">
        <f t="shared" si="560"/>
        <v>3.8356164383561646E-2</v>
      </c>
      <c r="AE1665">
        <f t="shared" si="561"/>
        <v>3.8356164383561646E-2</v>
      </c>
      <c r="AF1665">
        <f t="shared" si="562"/>
        <v>3.8356164383561646E-2</v>
      </c>
      <c r="AG1665">
        <f t="shared" si="563"/>
        <v>3.8356164383561646E-2</v>
      </c>
      <c r="AH1665">
        <f t="shared" si="564"/>
        <v>3.8356164383561646E-2</v>
      </c>
      <c r="AI1665">
        <f t="shared" si="565"/>
        <v>3.8356164383561646E-2</v>
      </c>
      <c r="AJ1665" s="2" t="str">
        <f t="shared" si="575"/>
        <v>1247696</v>
      </c>
    </row>
    <row r="1666" spans="1:36" x14ac:dyDescent="0.25">
      <c r="A1666">
        <v>0</v>
      </c>
      <c r="B1666" s="1">
        <v>47727</v>
      </c>
      <c r="C1666" s="1">
        <f t="shared" si="566"/>
        <v>47727</v>
      </c>
      <c r="D1666" s="1">
        <f t="shared" si="567"/>
        <v>47741</v>
      </c>
      <c r="E1666" s="1">
        <f t="shared" si="568"/>
        <v>47741</v>
      </c>
      <c r="F1666" s="1">
        <f t="shared" si="569"/>
        <v>47757</v>
      </c>
      <c r="G1666" s="1">
        <f t="shared" si="570"/>
        <v>48106</v>
      </c>
      <c r="H1666">
        <f t="shared" si="571"/>
        <v>365</v>
      </c>
      <c r="I1666">
        <f t="shared" si="572"/>
        <v>16</v>
      </c>
      <c r="J1666">
        <f t="shared" si="573"/>
        <v>4.3835616438356165E-2</v>
      </c>
      <c r="K1666">
        <f>IFERROR($J1666/IF($A1666&lt;COUNTIFS($K$1:K$1,"&lt;&gt;"),0,SUMIFS($J:$J,$B:$B,$B1666,$A:$A,"&gt;="&amp;COUNTIFS($K$1:K$1,"&lt;&gt;"))),0)</f>
        <v>0</v>
      </c>
      <c r="L1666">
        <f>IFERROR($J1666/IF($A1666&lt;COUNTIFS($K$1:L$1,"&lt;&gt;"),0,SUMIFS($J:$J,$B:$B,$B1666,$A:$A,"&gt;="&amp;COUNTIFS($K$1:L$1,"&lt;&gt;"))),0)</f>
        <v>0</v>
      </c>
      <c r="M1666">
        <f>IFERROR($J1666/IF($A1666&lt;COUNTIFS($K$1:M$1,"&lt;&gt;"),0,SUMIFS($J:$J,$B:$B,$B1666,$A:$A,"&gt;="&amp;COUNTIFS($K$1:M$1,"&lt;&gt;"))),0)</f>
        <v>0</v>
      </c>
      <c r="N1666">
        <f>IFERROR($J1666/IF($A1666&lt;COUNTIFS($K$1:N$1,"&lt;&gt;"),0,SUMIFS($J:$J,$B:$B,$B1666,$A:$A,"&gt;="&amp;COUNTIFS($K$1:N$1,"&lt;&gt;"))),0)</f>
        <v>0</v>
      </c>
      <c r="O1666">
        <f>IFERROR($J1666/IF($A1666&lt;COUNTIFS($K$1:O$1,"&lt;&gt;"),0,SUMIFS($J:$J,$B:$B,$B1666,$A:$A,"&gt;="&amp;COUNTIFS($K$1:O$1,"&lt;&gt;"))),0)</f>
        <v>0</v>
      </c>
      <c r="P1666">
        <f>IFERROR($J1666/IF($A1666&lt;COUNTIFS($K$1:P$1,"&lt;&gt;"),0,SUMIFS($J:$J,$B:$B,$B1666,$A:$A,"&gt;="&amp;COUNTIFS($K$1:P$1,"&lt;&gt;"))),0)</f>
        <v>0</v>
      </c>
      <c r="Q1666">
        <f>IFERROR($J1666/IF($A1666&lt;COUNTIFS($K$1:Q$1,"&lt;&gt;"),0,SUMIFS($J:$J,$B:$B,$B1666,$A:$A,"&gt;="&amp;COUNTIFS($K$1:Q$1,"&lt;&gt;"))),0)</f>
        <v>0</v>
      </c>
      <c r="R1666">
        <f>IFERROR($J1666/IF($A1666&lt;COUNTIFS($K$1:R$1,"&lt;&gt;"),0,SUMIFS($J:$J,$B:$B,$B1666,$A:$A,"&gt;="&amp;COUNTIFS($K$1:R$1,"&lt;&gt;"))),0)</f>
        <v>0</v>
      </c>
      <c r="S1666">
        <f>IFERROR($J1666/IF($A1666&lt;COUNTIFS($K$1:S$1,"&lt;&gt;"),0,SUMIFS($J:$J,$B:$B,$B1666,$A:$A,"&gt;="&amp;COUNTIFS($K$1:S$1,"&lt;&gt;"))),0)</f>
        <v>0</v>
      </c>
      <c r="T1666">
        <f>IFERROR($J1666/IF($A1666&lt;COUNTIFS($K$1:T$1,"&lt;&gt;"),0,SUMIFS($J:$J,$B:$B,$B1666,$A:$A,"&gt;="&amp;COUNTIFS($K$1:T$1,"&lt;&gt;"))),0)</f>
        <v>0</v>
      </c>
      <c r="U1666">
        <f>IFERROR($J1666/IF($A1666&lt;COUNTIFS($K$1:U$1,"&lt;&gt;"),0,SUMIFS($J:$J,$B:$B,$B1666,$A:$A,"&gt;="&amp;COUNTIFS($K$1:U$1,"&lt;&gt;"))),0)</f>
        <v>0</v>
      </c>
      <c r="V1666">
        <f>IFERROR($J1666/IF($A1666&lt;COUNTIFS($K$1:V$1,"&lt;&gt;"),0,SUMIFS($J:$J,$B:$B,$B1666,$A:$A,"&gt;="&amp;COUNTIFS($K$1:V$1,"&lt;&gt;"))),0)</f>
        <v>0</v>
      </c>
      <c r="W1666">
        <f t="shared" si="574"/>
        <v>4.3835616438356165E-2</v>
      </c>
      <c r="X1666">
        <f t="shared" ref="X1666:X1717" si="576">IF(K1666=0,0,$J1666)</f>
        <v>0</v>
      </c>
      <c r="Y1666">
        <f t="shared" ref="Y1666:Y1717" si="577">IF(L1666=0,0,$J1666)</f>
        <v>0</v>
      </c>
      <c r="Z1666">
        <f t="shared" ref="Z1666:Z1717" si="578">IF(M1666=0,0,$J1666)</f>
        <v>0</v>
      </c>
      <c r="AA1666">
        <f t="shared" ref="AA1666:AA1717" si="579">IF(N1666=0,0,$J1666)</f>
        <v>0</v>
      </c>
      <c r="AB1666">
        <f t="shared" ref="AB1666:AB1717" si="580">IF(O1666=0,0,$J1666)</f>
        <v>0</v>
      </c>
      <c r="AC1666">
        <f t="shared" ref="AC1666:AC1717" si="581">IF(P1666=0,0,$J1666)</f>
        <v>0</v>
      </c>
      <c r="AD1666">
        <f t="shared" ref="AD1666:AD1717" si="582">IF(Q1666=0,0,$J1666)</f>
        <v>0</v>
      </c>
      <c r="AE1666">
        <f t="shared" ref="AE1666:AE1717" si="583">IF(R1666=0,0,$J1666)</f>
        <v>0</v>
      </c>
      <c r="AF1666">
        <f t="shared" ref="AF1666:AF1717" si="584">IF(S1666=0,0,$J1666)</f>
        <v>0</v>
      </c>
      <c r="AG1666">
        <f t="shared" ref="AG1666:AG1717" si="585">IF(T1666=0,0,$J1666)</f>
        <v>0</v>
      </c>
      <c r="AH1666">
        <f t="shared" ref="AH1666:AH1717" si="586">IF(U1666=0,0,$J1666)</f>
        <v>0</v>
      </c>
      <c r="AI1666">
        <f t="shared" ref="AI1666:AI1717" si="587">IF(V1666=0,0,$J1666)</f>
        <v>0</v>
      </c>
      <c r="AJ1666" s="2" t="str">
        <f t="shared" si="575"/>
        <v>047727</v>
      </c>
    </row>
    <row r="1667" spans="1:36" x14ac:dyDescent="0.25">
      <c r="A1667">
        <v>1</v>
      </c>
      <c r="B1667" s="1">
        <v>47727</v>
      </c>
      <c r="C1667" s="1">
        <f t="shared" ref="C1667:C1717" si="588">EDATE(B1667,A1667)</f>
        <v>47757</v>
      </c>
      <c r="D1667" s="1">
        <f t="shared" ref="D1667:D1717" si="589">B1667+14</f>
        <v>47741</v>
      </c>
      <c r="E1667" s="1">
        <f t="shared" ref="E1667:E1717" si="590">IF($A1667=0,C1667+14,C1667)</f>
        <v>47757</v>
      </c>
      <c r="F1667" s="1">
        <f t="shared" ref="F1667:F1717" si="591">IF(EDATE(C1667,1)&gt;G1667,G1667,EDATE(C1667,1))</f>
        <v>47788</v>
      </c>
      <c r="G1667" s="1">
        <f t="shared" ref="G1667:G1717" si="592">EDATE(D1667,12)</f>
        <v>48106</v>
      </c>
      <c r="H1667">
        <f t="shared" ref="H1667:H1717" si="593">G1667-D1667</f>
        <v>365</v>
      </c>
      <c r="I1667">
        <f t="shared" ref="I1667:I1717" si="594">F1667-E1667</f>
        <v>31</v>
      </c>
      <c r="J1667">
        <f t="shared" ref="J1667:J1717" si="595">I1667/H1667</f>
        <v>8.4931506849315067E-2</v>
      </c>
      <c r="K1667">
        <f>IFERROR($J1667/IF($A1667&lt;COUNTIFS($K$1:K$1,"&lt;&gt;"),0,SUMIFS($J:$J,$B:$B,$B1667,$A:$A,"&gt;="&amp;COUNTIFS($K$1:K$1,"&lt;&gt;"))),0)</f>
        <v>8.8825214899713484E-2</v>
      </c>
      <c r="L1667">
        <f>IFERROR($J1667/IF($A1667&lt;COUNTIFS($K$1:L$1,"&lt;&gt;"),0,SUMIFS($J:$J,$B:$B,$B1667,$A:$A,"&gt;="&amp;COUNTIFS($K$1:L$1,"&lt;&gt;"))),0)</f>
        <v>0</v>
      </c>
      <c r="M1667">
        <f>IFERROR($J1667/IF($A1667&lt;COUNTIFS($K$1:M$1,"&lt;&gt;"),0,SUMIFS($J:$J,$B:$B,$B1667,$A:$A,"&gt;="&amp;COUNTIFS($K$1:M$1,"&lt;&gt;"))),0)</f>
        <v>0</v>
      </c>
      <c r="N1667">
        <f>IFERROR($J1667/IF($A1667&lt;COUNTIFS($K$1:N$1,"&lt;&gt;"),0,SUMIFS($J:$J,$B:$B,$B1667,$A:$A,"&gt;="&amp;COUNTIFS($K$1:N$1,"&lt;&gt;"))),0)</f>
        <v>0</v>
      </c>
      <c r="O1667">
        <f>IFERROR($J1667/IF($A1667&lt;COUNTIFS($K$1:O$1,"&lt;&gt;"),0,SUMIFS($J:$J,$B:$B,$B1667,$A:$A,"&gt;="&amp;COUNTIFS($K$1:O$1,"&lt;&gt;"))),0)</f>
        <v>0</v>
      </c>
      <c r="P1667">
        <f>IFERROR($J1667/IF($A1667&lt;COUNTIFS($K$1:P$1,"&lt;&gt;"),0,SUMIFS($J:$J,$B:$B,$B1667,$A:$A,"&gt;="&amp;COUNTIFS($K$1:P$1,"&lt;&gt;"))),0)</f>
        <v>0</v>
      </c>
      <c r="Q1667">
        <f>IFERROR($J1667/IF($A1667&lt;COUNTIFS($K$1:Q$1,"&lt;&gt;"),0,SUMIFS($J:$J,$B:$B,$B1667,$A:$A,"&gt;="&amp;COUNTIFS($K$1:Q$1,"&lt;&gt;"))),0)</f>
        <v>0</v>
      </c>
      <c r="R1667">
        <f>IFERROR($J1667/IF($A1667&lt;COUNTIFS($K$1:R$1,"&lt;&gt;"),0,SUMIFS($J:$J,$B:$B,$B1667,$A:$A,"&gt;="&amp;COUNTIFS($K$1:R$1,"&lt;&gt;"))),0)</f>
        <v>0</v>
      </c>
      <c r="S1667">
        <f>IFERROR($J1667/IF($A1667&lt;COUNTIFS($K$1:S$1,"&lt;&gt;"),0,SUMIFS($J:$J,$B:$B,$B1667,$A:$A,"&gt;="&amp;COUNTIFS($K$1:S$1,"&lt;&gt;"))),0)</f>
        <v>0</v>
      </c>
      <c r="T1667">
        <f>IFERROR($J1667/IF($A1667&lt;COUNTIFS($K$1:T$1,"&lt;&gt;"),0,SUMIFS($J:$J,$B:$B,$B1667,$A:$A,"&gt;="&amp;COUNTIFS($K$1:T$1,"&lt;&gt;"))),0)</f>
        <v>0</v>
      </c>
      <c r="U1667">
        <f>IFERROR($J1667/IF($A1667&lt;COUNTIFS($K$1:U$1,"&lt;&gt;"),0,SUMIFS($J:$J,$B:$B,$B1667,$A:$A,"&gt;="&amp;COUNTIFS($K$1:U$1,"&lt;&gt;"))),0)</f>
        <v>0</v>
      </c>
      <c r="V1667">
        <f>IFERROR($J1667/IF($A1667&lt;COUNTIFS($K$1:V$1,"&lt;&gt;"),0,SUMIFS($J:$J,$B:$B,$B1667,$A:$A,"&gt;="&amp;COUNTIFS($K$1:V$1,"&lt;&gt;"))),0)</f>
        <v>0</v>
      </c>
      <c r="W1667">
        <f t="shared" ref="W1667:W1717" si="596">IF(J1667=0,0,$J1667)</f>
        <v>8.4931506849315067E-2</v>
      </c>
      <c r="X1667">
        <f t="shared" si="576"/>
        <v>8.4931506849315067E-2</v>
      </c>
      <c r="Y1667">
        <f t="shared" si="577"/>
        <v>0</v>
      </c>
      <c r="Z1667">
        <f t="shared" si="578"/>
        <v>0</v>
      </c>
      <c r="AA1667">
        <f t="shared" si="579"/>
        <v>0</v>
      </c>
      <c r="AB1667">
        <f t="shared" si="580"/>
        <v>0</v>
      </c>
      <c r="AC1667">
        <f t="shared" si="581"/>
        <v>0</v>
      </c>
      <c r="AD1667">
        <f t="shared" si="582"/>
        <v>0</v>
      </c>
      <c r="AE1667">
        <f t="shared" si="583"/>
        <v>0</v>
      </c>
      <c r="AF1667">
        <f t="shared" si="584"/>
        <v>0</v>
      </c>
      <c r="AG1667">
        <f t="shared" si="585"/>
        <v>0</v>
      </c>
      <c r="AH1667">
        <f t="shared" si="586"/>
        <v>0</v>
      </c>
      <c r="AI1667">
        <f t="shared" si="587"/>
        <v>0</v>
      </c>
      <c r="AJ1667" s="2" t="str">
        <f t="shared" ref="AJ1667:AJ1717" si="597">A1667&amp;B1667</f>
        <v>147727</v>
      </c>
    </row>
    <row r="1668" spans="1:36" x14ac:dyDescent="0.25">
      <c r="A1668">
        <v>2</v>
      </c>
      <c r="B1668" s="1">
        <v>47727</v>
      </c>
      <c r="C1668" s="1">
        <f t="shared" si="588"/>
        <v>47788</v>
      </c>
      <c r="D1668" s="1">
        <f t="shared" si="589"/>
        <v>47741</v>
      </c>
      <c r="E1668" s="1">
        <f t="shared" si="590"/>
        <v>47788</v>
      </c>
      <c r="F1668" s="1">
        <f t="shared" si="591"/>
        <v>47818</v>
      </c>
      <c r="G1668" s="1">
        <f t="shared" si="592"/>
        <v>48106</v>
      </c>
      <c r="H1668">
        <f t="shared" si="593"/>
        <v>365</v>
      </c>
      <c r="I1668">
        <f t="shared" si="594"/>
        <v>30</v>
      </c>
      <c r="J1668">
        <f t="shared" si="595"/>
        <v>8.2191780821917804E-2</v>
      </c>
      <c r="K1668">
        <f>IFERROR($J1668/IF($A1668&lt;COUNTIFS($K$1:K$1,"&lt;&gt;"),0,SUMIFS($J:$J,$B:$B,$B1668,$A:$A,"&gt;="&amp;COUNTIFS($K$1:K$1,"&lt;&gt;"))),0)</f>
        <v>8.5959885386819493E-2</v>
      </c>
      <c r="L1668">
        <f>IFERROR($J1668/IF($A1668&lt;COUNTIFS($K$1:L$1,"&lt;&gt;"),0,SUMIFS($J:$J,$B:$B,$B1668,$A:$A,"&gt;="&amp;COUNTIFS($K$1:L$1,"&lt;&gt;"))),0)</f>
        <v>9.4339622641509441E-2</v>
      </c>
      <c r="M1668">
        <f>IFERROR($J1668/IF($A1668&lt;COUNTIFS($K$1:M$1,"&lt;&gt;"),0,SUMIFS($J:$J,$B:$B,$B1668,$A:$A,"&gt;="&amp;COUNTIFS($K$1:M$1,"&lt;&gt;"))),0)</f>
        <v>0</v>
      </c>
      <c r="N1668">
        <f>IFERROR($J1668/IF($A1668&lt;COUNTIFS($K$1:N$1,"&lt;&gt;"),0,SUMIFS($J:$J,$B:$B,$B1668,$A:$A,"&gt;="&amp;COUNTIFS($K$1:N$1,"&lt;&gt;"))),0)</f>
        <v>0</v>
      </c>
      <c r="O1668">
        <f>IFERROR($J1668/IF($A1668&lt;COUNTIFS($K$1:O$1,"&lt;&gt;"),0,SUMIFS($J:$J,$B:$B,$B1668,$A:$A,"&gt;="&amp;COUNTIFS($K$1:O$1,"&lt;&gt;"))),0)</f>
        <v>0</v>
      </c>
      <c r="P1668">
        <f>IFERROR($J1668/IF($A1668&lt;COUNTIFS($K$1:P$1,"&lt;&gt;"),0,SUMIFS($J:$J,$B:$B,$B1668,$A:$A,"&gt;="&amp;COUNTIFS($K$1:P$1,"&lt;&gt;"))),0)</f>
        <v>0</v>
      </c>
      <c r="Q1668">
        <f>IFERROR($J1668/IF($A1668&lt;COUNTIFS($K$1:Q$1,"&lt;&gt;"),0,SUMIFS($J:$J,$B:$B,$B1668,$A:$A,"&gt;="&amp;COUNTIFS($K$1:Q$1,"&lt;&gt;"))),0)</f>
        <v>0</v>
      </c>
      <c r="R1668">
        <f>IFERROR($J1668/IF($A1668&lt;COUNTIFS($K$1:R$1,"&lt;&gt;"),0,SUMIFS($J:$J,$B:$B,$B1668,$A:$A,"&gt;="&amp;COUNTIFS($K$1:R$1,"&lt;&gt;"))),0)</f>
        <v>0</v>
      </c>
      <c r="S1668">
        <f>IFERROR($J1668/IF($A1668&lt;COUNTIFS($K$1:S$1,"&lt;&gt;"),0,SUMIFS($J:$J,$B:$B,$B1668,$A:$A,"&gt;="&amp;COUNTIFS($K$1:S$1,"&lt;&gt;"))),0)</f>
        <v>0</v>
      </c>
      <c r="T1668">
        <f>IFERROR($J1668/IF($A1668&lt;COUNTIFS($K$1:T$1,"&lt;&gt;"),0,SUMIFS($J:$J,$B:$B,$B1668,$A:$A,"&gt;="&amp;COUNTIFS($K$1:T$1,"&lt;&gt;"))),0)</f>
        <v>0</v>
      </c>
      <c r="U1668">
        <f>IFERROR($J1668/IF($A1668&lt;COUNTIFS($K$1:U$1,"&lt;&gt;"),0,SUMIFS($J:$J,$B:$B,$B1668,$A:$A,"&gt;="&amp;COUNTIFS($K$1:U$1,"&lt;&gt;"))),0)</f>
        <v>0</v>
      </c>
      <c r="V1668">
        <f>IFERROR($J1668/IF($A1668&lt;COUNTIFS($K$1:V$1,"&lt;&gt;"),0,SUMIFS($J:$J,$B:$B,$B1668,$A:$A,"&gt;="&amp;COUNTIFS($K$1:V$1,"&lt;&gt;"))),0)</f>
        <v>0</v>
      </c>
      <c r="W1668">
        <f t="shared" si="596"/>
        <v>8.2191780821917804E-2</v>
      </c>
      <c r="X1668">
        <f t="shared" si="576"/>
        <v>8.2191780821917804E-2</v>
      </c>
      <c r="Y1668">
        <f t="shared" si="577"/>
        <v>8.2191780821917804E-2</v>
      </c>
      <c r="Z1668">
        <f t="shared" si="578"/>
        <v>0</v>
      </c>
      <c r="AA1668">
        <f t="shared" si="579"/>
        <v>0</v>
      </c>
      <c r="AB1668">
        <f t="shared" si="580"/>
        <v>0</v>
      </c>
      <c r="AC1668">
        <f t="shared" si="581"/>
        <v>0</v>
      </c>
      <c r="AD1668">
        <f t="shared" si="582"/>
        <v>0</v>
      </c>
      <c r="AE1668">
        <f t="shared" si="583"/>
        <v>0</v>
      </c>
      <c r="AF1668">
        <f t="shared" si="584"/>
        <v>0</v>
      </c>
      <c r="AG1668">
        <f t="shared" si="585"/>
        <v>0</v>
      </c>
      <c r="AH1668">
        <f t="shared" si="586"/>
        <v>0</v>
      </c>
      <c r="AI1668">
        <f t="shared" si="587"/>
        <v>0</v>
      </c>
      <c r="AJ1668" s="2" t="str">
        <f t="shared" si="597"/>
        <v>247727</v>
      </c>
    </row>
    <row r="1669" spans="1:36" x14ac:dyDescent="0.25">
      <c r="A1669">
        <v>3</v>
      </c>
      <c r="B1669" s="1">
        <v>47727</v>
      </c>
      <c r="C1669" s="1">
        <f t="shared" si="588"/>
        <v>47818</v>
      </c>
      <c r="D1669" s="1">
        <f t="shared" si="589"/>
        <v>47741</v>
      </c>
      <c r="E1669" s="1">
        <f t="shared" si="590"/>
        <v>47818</v>
      </c>
      <c r="F1669" s="1">
        <f t="shared" si="591"/>
        <v>47849</v>
      </c>
      <c r="G1669" s="1">
        <f t="shared" si="592"/>
        <v>48106</v>
      </c>
      <c r="H1669">
        <f t="shared" si="593"/>
        <v>365</v>
      </c>
      <c r="I1669">
        <f t="shared" si="594"/>
        <v>31</v>
      </c>
      <c r="J1669">
        <f t="shared" si="595"/>
        <v>8.4931506849315067E-2</v>
      </c>
      <c r="K1669">
        <f>IFERROR($J1669/IF($A1669&lt;COUNTIFS($K$1:K$1,"&lt;&gt;"),0,SUMIFS($J:$J,$B:$B,$B1669,$A:$A,"&gt;="&amp;COUNTIFS($K$1:K$1,"&lt;&gt;"))),0)</f>
        <v>8.8825214899713484E-2</v>
      </c>
      <c r="L1669">
        <f>IFERROR($J1669/IF($A1669&lt;COUNTIFS($K$1:L$1,"&lt;&gt;"),0,SUMIFS($J:$J,$B:$B,$B1669,$A:$A,"&gt;="&amp;COUNTIFS($K$1:L$1,"&lt;&gt;"))),0)</f>
        <v>9.7484276729559768E-2</v>
      </c>
      <c r="M1669">
        <f>IFERROR($J1669/IF($A1669&lt;COUNTIFS($K$1:M$1,"&lt;&gt;"),0,SUMIFS($J:$J,$B:$B,$B1669,$A:$A,"&gt;="&amp;COUNTIFS($K$1:M$1,"&lt;&gt;"))),0)</f>
        <v>0.10763888888888891</v>
      </c>
      <c r="N1669">
        <f>IFERROR($J1669/IF($A1669&lt;COUNTIFS($K$1:N$1,"&lt;&gt;"),0,SUMIFS($J:$J,$B:$B,$B1669,$A:$A,"&gt;="&amp;COUNTIFS($K$1:N$1,"&lt;&gt;"))),0)</f>
        <v>0</v>
      </c>
      <c r="O1669">
        <f>IFERROR($J1669/IF($A1669&lt;COUNTIFS($K$1:O$1,"&lt;&gt;"),0,SUMIFS($J:$J,$B:$B,$B1669,$A:$A,"&gt;="&amp;COUNTIFS($K$1:O$1,"&lt;&gt;"))),0)</f>
        <v>0</v>
      </c>
      <c r="P1669">
        <f>IFERROR($J1669/IF($A1669&lt;COUNTIFS($K$1:P$1,"&lt;&gt;"),0,SUMIFS($J:$J,$B:$B,$B1669,$A:$A,"&gt;="&amp;COUNTIFS($K$1:P$1,"&lt;&gt;"))),0)</f>
        <v>0</v>
      </c>
      <c r="Q1669">
        <f>IFERROR($J1669/IF($A1669&lt;COUNTIFS($K$1:Q$1,"&lt;&gt;"),0,SUMIFS($J:$J,$B:$B,$B1669,$A:$A,"&gt;="&amp;COUNTIFS($K$1:Q$1,"&lt;&gt;"))),0)</f>
        <v>0</v>
      </c>
      <c r="R1669">
        <f>IFERROR($J1669/IF($A1669&lt;COUNTIFS($K$1:R$1,"&lt;&gt;"),0,SUMIFS($J:$J,$B:$B,$B1669,$A:$A,"&gt;="&amp;COUNTIFS($K$1:R$1,"&lt;&gt;"))),0)</f>
        <v>0</v>
      </c>
      <c r="S1669">
        <f>IFERROR($J1669/IF($A1669&lt;COUNTIFS($K$1:S$1,"&lt;&gt;"),0,SUMIFS($J:$J,$B:$B,$B1669,$A:$A,"&gt;="&amp;COUNTIFS($K$1:S$1,"&lt;&gt;"))),0)</f>
        <v>0</v>
      </c>
      <c r="T1669">
        <f>IFERROR($J1669/IF($A1669&lt;COUNTIFS($K$1:T$1,"&lt;&gt;"),0,SUMIFS($J:$J,$B:$B,$B1669,$A:$A,"&gt;="&amp;COUNTIFS($K$1:T$1,"&lt;&gt;"))),0)</f>
        <v>0</v>
      </c>
      <c r="U1669">
        <f>IFERROR($J1669/IF($A1669&lt;COUNTIFS($K$1:U$1,"&lt;&gt;"),0,SUMIFS($J:$J,$B:$B,$B1669,$A:$A,"&gt;="&amp;COUNTIFS($K$1:U$1,"&lt;&gt;"))),0)</f>
        <v>0</v>
      </c>
      <c r="V1669">
        <f>IFERROR($J1669/IF($A1669&lt;COUNTIFS($K$1:V$1,"&lt;&gt;"),0,SUMIFS($J:$J,$B:$B,$B1669,$A:$A,"&gt;="&amp;COUNTIFS($K$1:V$1,"&lt;&gt;"))),0)</f>
        <v>0</v>
      </c>
      <c r="W1669">
        <f t="shared" si="596"/>
        <v>8.4931506849315067E-2</v>
      </c>
      <c r="X1669">
        <f t="shared" si="576"/>
        <v>8.4931506849315067E-2</v>
      </c>
      <c r="Y1669">
        <f t="shared" si="577"/>
        <v>8.4931506849315067E-2</v>
      </c>
      <c r="Z1669">
        <f t="shared" si="578"/>
        <v>8.4931506849315067E-2</v>
      </c>
      <c r="AA1669">
        <f t="shared" si="579"/>
        <v>0</v>
      </c>
      <c r="AB1669">
        <f t="shared" si="580"/>
        <v>0</v>
      </c>
      <c r="AC1669">
        <f t="shared" si="581"/>
        <v>0</v>
      </c>
      <c r="AD1669">
        <f t="shared" si="582"/>
        <v>0</v>
      </c>
      <c r="AE1669">
        <f t="shared" si="583"/>
        <v>0</v>
      </c>
      <c r="AF1669">
        <f t="shared" si="584"/>
        <v>0</v>
      </c>
      <c r="AG1669">
        <f t="shared" si="585"/>
        <v>0</v>
      </c>
      <c r="AH1669">
        <f t="shared" si="586"/>
        <v>0</v>
      </c>
      <c r="AI1669">
        <f t="shared" si="587"/>
        <v>0</v>
      </c>
      <c r="AJ1669" s="2" t="str">
        <f t="shared" si="597"/>
        <v>347727</v>
      </c>
    </row>
    <row r="1670" spans="1:36" x14ac:dyDescent="0.25">
      <c r="A1670">
        <v>4</v>
      </c>
      <c r="B1670" s="1">
        <v>47727</v>
      </c>
      <c r="C1670" s="1">
        <f t="shared" si="588"/>
        <v>47849</v>
      </c>
      <c r="D1670" s="1">
        <f t="shared" si="589"/>
        <v>47741</v>
      </c>
      <c r="E1670" s="1">
        <f t="shared" si="590"/>
        <v>47849</v>
      </c>
      <c r="F1670" s="1">
        <f t="shared" si="591"/>
        <v>47880</v>
      </c>
      <c r="G1670" s="1">
        <f t="shared" si="592"/>
        <v>48106</v>
      </c>
      <c r="H1670">
        <f t="shared" si="593"/>
        <v>365</v>
      </c>
      <c r="I1670">
        <f t="shared" si="594"/>
        <v>31</v>
      </c>
      <c r="J1670">
        <f t="shared" si="595"/>
        <v>8.4931506849315067E-2</v>
      </c>
      <c r="K1670">
        <f>IFERROR($J1670/IF($A1670&lt;COUNTIFS($K$1:K$1,"&lt;&gt;"),0,SUMIFS($J:$J,$B:$B,$B1670,$A:$A,"&gt;="&amp;COUNTIFS($K$1:K$1,"&lt;&gt;"))),0)</f>
        <v>8.8825214899713484E-2</v>
      </c>
      <c r="L1670">
        <f>IFERROR($J1670/IF($A1670&lt;COUNTIFS($K$1:L$1,"&lt;&gt;"),0,SUMIFS($J:$J,$B:$B,$B1670,$A:$A,"&gt;="&amp;COUNTIFS($K$1:L$1,"&lt;&gt;"))),0)</f>
        <v>9.7484276729559768E-2</v>
      </c>
      <c r="M1670">
        <f>IFERROR($J1670/IF($A1670&lt;COUNTIFS($K$1:M$1,"&lt;&gt;"),0,SUMIFS($J:$J,$B:$B,$B1670,$A:$A,"&gt;="&amp;COUNTIFS($K$1:M$1,"&lt;&gt;"))),0)</f>
        <v>0.10763888888888891</v>
      </c>
      <c r="N1670">
        <f>IFERROR($J1670/IF($A1670&lt;COUNTIFS($K$1:N$1,"&lt;&gt;"),0,SUMIFS($J:$J,$B:$B,$B1670,$A:$A,"&gt;="&amp;COUNTIFS($K$1:N$1,"&lt;&gt;"))),0)</f>
        <v>0.12062256809338523</v>
      </c>
      <c r="O1670">
        <f>IFERROR($J1670/IF($A1670&lt;COUNTIFS($K$1:O$1,"&lt;&gt;"),0,SUMIFS($J:$J,$B:$B,$B1670,$A:$A,"&gt;="&amp;COUNTIFS($K$1:O$1,"&lt;&gt;"))),0)</f>
        <v>0</v>
      </c>
      <c r="P1670">
        <f>IFERROR($J1670/IF($A1670&lt;COUNTIFS($K$1:P$1,"&lt;&gt;"),0,SUMIFS($J:$J,$B:$B,$B1670,$A:$A,"&gt;="&amp;COUNTIFS($K$1:P$1,"&lt;&gt;"))),0)</f>
        <v>0</v>
      </c>
      <c r="Q1670">
        <f>IFERROR($J1670/IF($A1670&lt;COUNTIFS($K$1:Q$1,"&lt;&gt;"),0,SUMIFS($J:$J,$B:$B,$B1670,$A:$A,"&gt;="&amp;COUNTIFS($K$1:Q$1,"&lt;&gt;"))),0)</f>
        <v>0</v>
      </c>
      <c r="R1670">
        <f>IFERROR($J1670/IF($A1670&lt;COUNTIFS($K$1:R$1,"&lt;&gt;"),0,SUMIFS($J:$J,$B:$B,$B1670,$A:$A,"&gt;="&amp;COUNTIFS($K$1:R$1,"&lt;&gt;"))),0)</f>
        <v>0</v>
      </c>
      <c r="S1670">
        <f>IFERROR($J1670/IF($A1670&lt;COUNTIFS($K$1:S$1,"&lt;&gt;"),0,SUMIFS($J:$J,$B:$B,$B1670,$A:$A,"&gt;="&amp;COUNTIFS($K$1:S$1,"&lt;&gt;"))),0)</f>
        <v>0</v>
      </c>
      <c r="T1670">
        <f>IFERROR($J1670/IF($A1670&lt;COUNTIFS($K$1:T$1,"&lt;&gt;"),0,SUMIFS($J:$J,$B:$B,$B1670,$A:$A,"&gt;="&amp;COUNTIFS($K$1:T$1,"&lt;&gt;"))),0)</f>
        <v>0</v>
      </c>
      <c r="U1670">
        <f>IFERROR($J1670/IF($A1670&lt;COUNTIFS($K$1:U$1,"&lt;&gt;"),0,SUMIFS($J:$J,$B:$B,$B1670,$A:$A,"&gt;="&amp;COUNTIFS($K$1:U$1,"&lt;&gt;"))),0)</f>
        <v>0</v>
      </c>
      <c r="V1670">
        <f>IFERROR($J1670/IF($A1670&lt;COUNTIFS($K$1:V$1,"&lt;&gt;"),0,SUMIFS($J:$J,$B:$B,$B1670,$A:$A,"&gt;="&amp;COUNTIFS($K$1:V$1,"&lt;&gt;"))),0)</f>
        <v>0</v>
      </c>
      <c r="W1670">
        <f t="shared" si="596"/>
        <v>8.4931506849315067E-2</v>
      </c>
      <c r="X1670">
        <f t="shared" si="576"/>
        <v>8.4931506849315067E-2</v>
      </c>
      <c r="Y1670">
        <f t="shared" si="577"/>
        <v>8.4931506849315067E-2</v>
      </c>
      <c r="Z1670">
        <f t="shared" si="578"/>
        <v>8.4931506849315067E-2</v>
      </c>
      <c r="AA1670">
        <f t="shared" si="579"/>
        <v>8.4931506849315067E-2</v>
      </c>
      <c r="AB1670">
        <f t="shared" si="580"/>
        <v>0</v>
      </c>
      <c r="AC1670">
        <f t="shared" si="581"/>
        <v>0</v>
      </c>
      <c r="AD1670">
        <f t="shared" si="582"/>
        <v>0</v>
      </c>
      <c r="AE1670">
        <f t="shared" si="583"/>
        <v>0</v>
      </c>
      <c r="AF1670">
        <f t="shared" si="584"/>
        <v>0</v>
      </c>
      <c r="AG1670">
        <f t="shared" si="585"/>
        <v>0</v>
      </c>
      <c r="AH1670">
        <f t="shared" si="586"/>
        <v>0</v>
      </c>
      <c r="AI1670">
        <f t="shared" si="587"/>
        <v>0</v>
      </c>
      <c r="AJ1670" s="2" t="str">
        <f t="shared" si="597"/>
        <v>447727</v>
      </c>
    </row>
    <row r="1671" spans="1:36" x14ac:dyDescent="0.25">
      <c r="A1671">
        <v>5</v>
      </c>
      <c r="B1671" s="1">
        <v>47727</v>
      </c>
      <c r="C1671" s="1">
        <f t="shared" si="588"/>
        <v>47880</v>
      </c>
      <c r="D1671" s="1">
        <f t="shared" si="589"/>
        <v>47741</v>
      </c>
      <c r="E1671" s="1">
        <f t="shared" si="590"/>
        <v>47880</v>
      </c>
      <c r="F1671" s="1">
        <f t="shared" si="591"/>
        <v>47908</v>
      </c>
      <c r="G1671" s="1">
        <f t="shared" si="592"/>
        <v>48106</v>
      </c>
      <c r="H1671">
        <f t="shared" si="593"/>
        <v>365</v>
      </c>
      <c r="I1671">
        <f t="shared" si="594"/>
        <v>28</v>
      </c>
      <c r="J1671">
        <f t="shared" si="595"/>
        <v>7.6712328767123292E-2</v>
      </c>
      <c r="K1671">
        <f>IFERROR($J1671/IF($A1671&lt;COUNTIFS($K$1:K$1,"&lt;&gt;"),0,SUMIFS($J:$J,$B:$B,$B1671,$A:$A,"&gt;="&amp;COUNTIFS($K$1:K$1,"&lt;&gt;"))),0)</f>
        <v>8.0229226361031539E-2</v>
      </c>
      <c r="L1671">
        <f>IFERROR($J1671/IF($A1671&lt;COUNTIFS($K$1:L$1,"&lt;&gt;"),0,SUMIFS($J:$J,$B:$B,$B1671,$A:$A,"&gt;="&amp;COUNTIFS($K$1:L$1,"&lt;&gt;"))),0)</f>
        <v>8.8050314465408827E-2</v>
      </c>
      <c r="M1671">
        <f>IFERROR($J1671/IF($A1671&lt;COUNTIFS($K$1:M$1,"&lt;&gt;"),0,SUMIFS($J:$J,$B:$B,$B1671,$A:$A,"&gt;="&amp;COUNTIFS($K$1:M$1,"&lt;&gt;"))),0)</f>
        <v>9.7222222222222238E-2</v>
      </c>
      <c r="N1671">
        <f>IFERROR($J1671/IF($A1671&lt;COUNTIFS($K$1:N$1,"&lt;&gt;"),0,SUMIFS($J:$J,$B:$B,$B1671,$A:$A,"&gt;="&amp;COUNTIFS($K$1:N$1,"&lt;&gt;"))),0)</f>
        <v>0.10894941634241248</v>
      </c>
      <c r="O1671">
        <f>IFERROR($J1671/IF($A1671&lt;COUNTIFS($K$1:O$1,"&lt;&gt;"),0,SUMIFS($J:$J,$B:$B,$B1671,$A:$A,"&gt;="&amp;COUNTIFS($K$1:O$1,"&lt;&gt;"))),0)</f>
        <v>0.12389380530973454</v>
      </c>
      <c r="P1671">
        <f>IFERROR($J1671/IF($A1671&lt;COUNTIFS($K$1:P$1,"&lt;&gt;"),0,SUMIFS($J:$J,$B:$B,$B1671,$A:$A,"&gt;="&amp;COUNTIFS($K$1:P$1,"&lt;&gt;"))),0)</f>
        <v>0</v>
      </c>
      <c r="Q1671">
        <f>IFERROR($J1671/IF($A1671&lt;COUNTIFS($K$1:Q$1,"&lt;&gt;"),0,SUMIFS($J:$J,$B:$B,$B1671,$A:$A,"&gt;="&amp;COUNTIFS($K$1:Q$1,"&lt;&gt;"))),0)</f>
        <v>0</v>
      </c>
      <c r="R1671">
        <f>IFERROR($J1671/IF($A1671&lt;COUNTIFS($K$1:R$1,"&lt;&gt;"),0,SUMIFS($J:$J,$B:$B,$B1671,$A:$A,"&gt;="&amp;COUNTIFS($K$1:R$1,"&lt;&gt;"))),0)</f>
        <v>0</v>
      </c>
      <c r="S1671">
        <f>IFERROR($J1671/IF($A1671&lt;COUNTIFS($K$1:S$1,"&lt;&gt;"),0,SUMIFS($J:$J,$B:$B,$B1671,$A:$A,"&gt;="&amp;COUNTIFS($K$1:S$1,"&lt;&gt;"))),0)</f>
        <v>0</v>
      </c>
      <c r="T1671">
        <f>IFERROR($J1671/IF($A1671&lt;COUNTIFS($K$1:T$1,"&lt;&gt;"),0,SUMIFS($J:$J,$B:$B,$B1671,$A:$A,"&gt;="&amp;COUNTIFS($K$1:T$1,"&lt;&gt;"))),0)</f>
        <v>0</v>
      </c>
      <c r="U1671">
        <f>IFERROR($J1671/IF($A1671&lt;COUNTIFS($K$1:U$1,"&lt;&gt;"),0,SUMIFS($J:$J,$B:$B,$B1671,$A:$A,"&gt;="&amp;COUNTIFS($K$1:U$1,"&lt;&gt;"))),0)</f>
        <v>0</v>
      </c>
      <c r="V1671">
        <f>IFERROR($J1671/IF($A1671&lt;COUNTIFS($K$1:V$1,"&lt;&gt;"),0,SUMIFS($J:$J,$B:$B,$B1671,$A:$A,"&gt;="&amp;COUNTIFS($K$1:V$1,"&lt;&gt;"))),0)</f>
        <v>0</v>
      </c>
      <c r="W1671">
        <f t="shared" si="596"/>
        <v>7.6712328767123292E-2</v>
      </c>
      <c r="X1671">
        <f t="shared" si="576"/>
        <v>7.6712328767123292E-2</v>
      </c>
      <c r="Y1671">
        <f t="shared" si="577"/>
        <v>7.6712328767123292E-2</v>
      </c>
      <c r="Z1671">
        <f t="shared" si="578"/>
        <v>7.6712328767123292E-2</v>
      </c>
      <c r="AA1671">
        <f t="shared" si="579"/>
        <v>7.6712328767123292E-2</v>
      </c>
      <c r="AB1671">
        <f t="shared" si="580"/>
        <v>7.6712328767123292E-2</v>
      </c>
      <c r="AC1671">
        <f t="shared" si="581"/>
        <v>0</v>
      </c>
      <c r="AD1671">
        <f t="shared" si="582"/>
        <v>0</v>
      </c>
      <c r="AE1671">
        <f t="shared" si="583"/>
        <v>0</v>
      </c>
      <c r="AF1671">
        <f t="shared" si="584"/>
        <v>0</v>
      </c>
      <c r="AG1671">
        <f t="shared" si="585"/>
        <v>0</v>
      </c>
      <c r="AH1671">
        <f t="shared" si="586"/>
        <v>0</v>
      </c>
      <c r="AI1671">
        <f t="shared" si="587"/>
        <v>0</v>
      </c>
      <c r="AJ1671" s="2" t="str">
        <f t="shared" si="597"/>
        <v>547727</v>
      </c>
    </row>
    <row r="1672" spans="1:36" x14ac:dyDescent="0.25">
      <c r="A1672">
        <v>6</v>
      </c>
      <c r="B1672" s="1">
        <v>47727</v>
      </c>
      <c r="C1672" s="1">
        <f t="shared" si="588"/>
        <v>47908</v>
      </c>
      <c r="D1672" s="1">
        <f t="shared" si="589"/>
        <v>47741</v>
      </c>
      <c r="E1672" s="1">
        <f t="shared" si="590"/>
        <v>47908</v>
      </c>
      <c r="F1672" s="1">
        <f t="shared" si="591"/>
        <v>47939</v>
      </c>
      <c r="G1672" s="1">
        <f t="shared" si="592"/>
        <v>48106</v>
      </c>
      <c r="H1672">
        <f t="shared" si="593"/>
        <v>365</v>
      </c>
      <c r="I1672">
        <f t="shared" si="594"/>
        <v>31</v>
      </c>
      <c r="J1672">
        <f t="shared" si="595"/>
        <v>8.4931506849315067E-2</v>
      </c>
      <c r="K1672">
        <f>IFERROR($J1672/IF($A1672&lt;COUNTIFS($K$1:K$1,"&lt;&gt;"),0,SUMIFS($J:$J,$B:$B,$B1672,$A:$A,"&gt;="&amp;COUNTIFS($K$1:K$1,"&lt;&gt;"))),0)</f>
        <v>8.8825214899713484E-2</v>
      </c>
      <c r="L1672">
        <f>IFERROR($J1672/IF($A1672&lt;COUNTIFS($K$1:L$1,"&lt;&gt;"),0,SUMIFS($J:$J,$B:$B,$B1672,$A:$A,"&gt;="&amp;COUNTIFS($K$1:L$1,"&lt;&gt;"))),0)</f>
        <v>9.7484276729559768E-2</v>
      </c>
      <c r="M1672">
        <f>IFERROR($J1672/IF($A1672&lt;COUNTIFS($K$1:M$1,"&lt;&gt;"),0,SUMIFS($J:$J,$B:$B,$B1672,$A:$A,"&gt;="&amp;COUNTIFS($K$1:M$1,"&lt;&gt;"))),0)</f>
        <v>0.10763888888888891</v>
      </c>
      <c r="N1672">
        <f>IFERROR($J1672/IF($A1672&lt;COUNTIFS($K$1:N$1,"&lt;&gt;"),0,SUMIFS($J:$J,$B:$B,$B1672,$A:$A,"&gt;="&amp;COUNTIFS($K$1:N$1,"&lt;&gt;"))),0)</f>
        <v>0.12062256809338523</v>
      </c>
      <c r="O1672">
        <f>IFERROR($J1672/IF($A1672&lt;COUNTIFS($K$1:O$1,"&lt;&gt;"),0,SUMIFS($J:$J,$B:$B,$B1672,$A:$A,"&gt;="&amp;COUNTIFS($K$1:O$1,"&lt;&gt;"))),0)</f>
        <v>0.13716814159292037</v>
      </c>
      <c r="P1672">
        <f>IFERROR($J1672/IF($A1672&lt;COUNTIFS($K$1:P$1,"&lt;&gt;"),0,SUMIFS($J:$J,$B:$B,$B1672,$A:$A,"&gt;="&amp;COUNTIFS($K$1:P$1,"&lt;&gt;"))),0)</f>
        <v>0.1565656565656566</v>
      </c>
      <c r="Q1672">
        <f>IFERROR($J1672/IF($A1672&lt;COUNTIFS($K$1:Q$1,"&lt;&gt;"),0,SUMIFS($J:$J,$B:$B,$B1672,$A:$A,"&gt;="&amp;COUNTIFS($K$1:Q$1,"&lt;&gt;"))),0)</f>
        <v>0</v>
      </c>
      <c r="R1672">
        <f>IFERROR($J1672/IF($A1672&lt;COUNTIFS($K$1:R$1,"&lt;&gt;"),0,SUMIFS($J:$J,$B:$B,$B1672,$A:$A,"&gt;="&amp;COUNTIFS($K$1:R$1,"&lt;&gt;"))),0)</f>
        <v>0</v>
      </c>
      <c r="S1672">
        <f>IFERROR($J1672/IF($A1672&lt;COUNTIFS($K$1:S$1,"&lt;&gt;"),0,SUMIFS($J:$J,$B:$B,$B1672,$A:$A,"&gt;="&amp;COUNTIFS($K$1:S$1,"&lt;&gt;"))),0)</f>
        <v>0</v>
      </c>
      <c r="T1672">
        <f>IFERROR($J1672/IF($A1672&lt;COUNTIFS($K$1:T$1,"&lt;&gt;"),0,SUMIFS($J:$J,$B:$B,$B1672,$A:$A,"&gt;="&amp;COUNTIFS($K$1:T$1,"&lt;&gt;"))),0)</f>
        <v>0</v>
      </c>
      <c r="U1672">
        <f>IFERROR($J1672/IF($A1672&lt;COUNTIFS($K$1:U$1,"&lt;&gt;"),0,SUMIFS($J:$J,$B:$B,$B1672,$A:$A,"&gt;="&amp;COUNTIFS($K$1:U$1,"&lt;&gt;"))),0)</f>
        <v>0</v>
      </c>
      <c r="V1672">
        <f>IFERROR($J1672/IF($A1672&lt;COUNTIFS($K$1:V$1,"&lt;&gt;"),0,SUMIFS($J:$J,$B:$B,$B1672,$A:$A,"&gt;="&amp;COUNTIFS($K$1:V$1,"&lt;&gt;"))),0)</f>
        <v>0</v>
      </c>
      <c r="W1672">
        <f t="shared" si="596"/>
        <v>8.4931506849315067E-2</v>
      </c>
      <c r="X1672">
        <f t="shared" si="576"/>
        <v>8.4931506849315067E-2</v>
      </c>
      <c r="Y1672">
        <f t="shared" si="577"/>
        <v>8.4931506849315067E-2</v>
      </c>
      <c r="Z1672">
        <f t="shared" si="578"/>
        <v>8.4931506849315067E-2</v>
      </c>
      <c r="AA1672">
        <f t="shared" si="579"/>
        <v>8.4931506849315067E-2</v>
      </c>
      <c r="AB1672">
        <f t="shared" si="580"/>
        <v>8.4931506849315067E-2</v>
      </c>
      <c r="AC1672">
        <f t="shared" si="581"/>
        <v>8.4931506849315067E-2</v>
      </c>
      <c r="AD1672">
        <f t="shared" si="582"/>
        <v>0</v>
      </c>
      <c r="AE1672">
        <f t="shared" si="583"/>
        <v>0</v>
      </c>
      <c r="AF1672">
        <f t="shared" si="584"/>
        <v>0</v>
      </c>
      <c r="AG1672">
        <f t="shared" si="585"/>
        <v>0</v>
      </c>
      <c r="AH1672">
        <f t="shared" si="586"/>
        <v>0</v>
      </c>
      <c r="AI1672">
        <f t="shared" si="587"/>
        <v>0</v>
      </c>
      <c r="AJ1672" s="2" t="str">
        <f t="shared" si="597"/>
        <v>647727</v>
      </c>
    </row>
    <row r="1673" spans="1:36" x14ac:dyDescent="0.25">
      <c r="A1673">
        <v>7</v>
      </c>
      <c r="B1673" s="1">
        <v>47727</v>
      </c>
      <c r="C1673" s="1">
        <f t="shared" si="588"/>
        <v>47939</v>
      </c>
      <c r="D1673" s="1">
        <f t="shared" si="589"/>
        <v>47741</v>
      </c>
      <c r="E1673" s="1">
        <f t="shared" si="590"/>
        <v>47939</v>
      </c>
      <c r="F1673" s="1">
        <f t="shared" si="591"/>
        <v>47969</v>
      </c>
      <c r="G1673" s="1">
        <f t="shared" si="592"/>
        <v>48106</v>
      </c>
      <c r="H1673">
        <f t="shared" si="593"/>
        <v>365</v>
      </c>
      <c r="I1673">
        <f t="shared" si="594"/>
        <v>30</v>
      </c>
      <c r="J1673">
        <f t="shared" si="595"/>
        <v>8.2191780821917804E-2</v>
      </c>
      <c r="K1673">
        <f>IFERROR($J1673/IF($A1673&lt;COUNTIFS($K$1:K$1,"&lt;&gt;"),0,SUMIFS($J:$J,$B:$B,$B1673,$A:$A,"&gt;="&amp;COUNTIFS($K$1:K$1,"&lt;&gt;"))),0)</f>
        <v>8.5959885386819493E-2</v>
      </c>
      <c r="L1673">
        <f>IFERROR($J1673/IF($A1673&lt;COUNTIFS($K$1:L$1,"&lt;&gt;"),0,SUMIFS($J:$J,$B:$B,$B1673,$A:$A,"&gt;="&amp;COUNTIFS($K$1:L$1,"&lt;&gt;"))),0)</f>
        <v>9.4339622641509441E-2</v>
      </c>
      <c r="M1673">
        <f>IFERROR($J1673/IF($A1673&lt;COUNTIFS($K$1:M$1,"&lt;&gt;"),0,SUMIFS($J:$J,$B:$B,$B1673,$A:$A,"&gt;="&amp;COUNTIFS($K$1:M$1,"&lt;&gt;"))),0)</f>
        <v>0.10416666666666669</v>
      </c>
      <c r="N1673">
        <f>IFERROR($J1673/IF($A1673&lt;COUNTIFS($K$1:N$1,"&lt;&gt;"),0,SUMIFS($J:$J,$B:$B,$B1673,$A:$A,"&gt;="&amp;COUNTIFS($K$1:N$1,"&lt;&gt;"))),0)</f>
        <v>0.11673151750972764</v>
      </c>
      <c r="O1673">
        <f>IFERROR($J1673/IF($A1673&lt;COUNTIFS($K$1:O$1,"&lt;&gt;"),0,SUMIFS($J:$J,$B:$B,$B1673,$A:$A,"&gt;="&amp;COUNTIFS($K$1:O$1,"&lt;&gt;"))),0)</f>
        <v>0.13274336283185842</v>
      </c>
      <c r="P1673">
        <f>IFERROR($J1673/IF($A1673&lt;COUNTIFS($K$1:P$1,"&lt;&gt;"),0,SUMIFS($J:$J,$B:$B,$B1673,$A:$A,"&gt;="&amp;COUNTIFS($K$1:P$1,"&lt;&gt;"))),0)</f>
        <v>0.15151515151515155</v>
      </c>
      <c r="Q1673">
        <f>IFERROR($J1673/IF($A1673&lt;COUNTIFS($K$1:Q$1,"&lt;&gt;"),0,SUMIFS($J:$J,$B:$B,$B1673,$A:$A,"&gt;="&amp;COUNTIFS($K$1:Q$1,"&lt;&gt;"))),0)</f>
        <v>0.17964071856287425</v>
      </c>
      <c r="R1673">
        <f>IFERROR($J1673/IF($A1673&lt;COUNTIFS($K$1:R$1,"&lt;&gt;"),0,SUMIFS($J:$J,$B:$B,$B1673,$A:$A,"&gt;="&amp;COUNTIFS($K$1:R$1,"&lt;&gt;"))),0)</f>
        <v>0</v>
      </c>
      <c r="S1673">
        <f>IFERROR($J1673/IF($A1673&lt;COUNTIFS($K$1:S$1,"&lt;&gt;"),0,SUMIFS($J:$J,$B:$B,$B1673,$A:$A,"&gt;="&amp;COUNTIFS($K$1:S$1,"&lt;&gt;"))),0)</f>
        <v>0</v>
      </c>
      <c r="T1673">
        <f>IFERROR($J1673/IF($A1673&lt;COUNTIFS($K$1:T$1,"&lt;&gt;"),0,SUMIFS($J:$J,$B:$B,$B1673,$A:$A,"&gt;="&amp;COUNTIFS($K$1:T$1,"&lt;&gt;"))),0)</f>
        <v>0</v>
      </c>
      <c r="U1673">
        <f>IFERROR($J1673/IF($A1673&lt;COUNTIFS($K$1:U$1,"&lt;&gt;"),0,SUMIFS($J:$J,$B:$B,$B1673,$A:$A,"&gt;="&amp;COUNTIFS($K$1:U$1,"&lt;&gt;"))),0)</f>
        <v>0</v>
      </c>
      <c r="V1673">
        <f>IFERROR($J1673/IF($A1673&lt;COUNTIFS($K$1:V$1,"&lt;&gt;"),0,SUMIFS($J:$J,$B:$B,$B1673,$A:$A,"&gt;="&amp;COUNTIFS($K$1:V$1,"&lt;&gt;"))),0)</f>
        <v>0</v>
      </c>
      <c r="W1673">
        <f t="shared" si="596"/>
        <v>8.2191780821917804E-2</v>
      </c>
      <c r="X1673">
        <f t="shared" si="576"/>
        <v>8.2191780821917804E-2</v>
      </c>
      <c r="Y1673">
        <f t="shared" si="577"/>
        <v>8.2191780821917804E-2</v>
      </c>
      <c r="Z1673">
        <f t="shared" si="578"/>
        <v>8.2191780821917804E-2</v>
      </c>
      <c r="AA1673">
        <f t="shared" si="579"/>
        <v>8.2191780821917804E-2</v>
      </c>
      <c r="AB1673">
        <f t="shared" si="580"/>
        <v>8.2191780821917804E-2</v>
      </c>
      <c r="AC1673">
        <f t="shared" si="581"/>
        <v>8.2191780821917804E-2</v>
      </c>
      <c r="AD1673">
        <f t="shared" si="582"/>
        <v>8.2191780821917804E-2</v>
      </c>
      <c r="AE1673">
        <f t="shared" si="583"/>
        <v>0</v>
      </c>
      <c r="AF1673">
        <f t="shared" si="584"/>
        <v>0</v>
      </c>
      <c r="AG1673">
        <f t="shared" si="585"/>
        <v>0</v>
      </c>
      <c r="AH1673">
        <f t="shared" si="586"/>
        <v>0</v>
      </c>
      <c r="AI1673">
        <f t="shared" si="587"/>
        <v>0</v>
      </c>
      <c r="AJ1673" s="2" t="str">
        <f t="shared" si="597"/>
        <v>747727</v>
      </c>
    </row>
    <row r="1674" spans="1:36" x14ac:dyDescent="0.25">
      <c r="A1674">
        <v>8</v>
      </c>
      <c r="B1674" s="1">
        <v>47727</v>
      </c>
      <c r="C1674" s="1">
        <f t="shared" si="588"/>
        <v>47969</v>
      </c>
      <c r="D1674" s="1">
        <f t="shared" si="589"/>
        <v>47741</v>
      </c>
      <c r="E1674" s="1">
        <f t="shared" si="590"/>
        <v>47969</v>
      </c>
      <c r="F1674" s="1">
        <f t="shared" si="591"/>
        <v>48000</v>
      </c>
      <c r="G1674" s="1">
        <f t="shared" si="592"/>
        <v>48106</v>
      </c>
      <c r="H1674">
        <f t="shared" si="593"/>
        <v>365</v>
      </c>
      <c r="I1674">
        <f t="shared" si="594"/>
        <v>31</v>
      </c>
      <c r="J1674">
        <f t="shared" si="595"/>
        <v>8.4931506849315067E-2</v>
      </c>
      <c r="K1674">
        <f>IFERROR($J1674/IF($A1674&lt;COUNTIFS($K$1:K$1,"&lt;&gt;"),0,SUMIFS($J:$J,$B:$B,$B1674,$A:$A,"&gt;="&amp;COUNTIFS($K$1:K$1,"&lt;&gt;"))),0)</f>
        <v>8.8825214899713484E-2</v>
      </c>
      <c r="L1674">
        <f>IFERROR($J1674/IF($A1674&lt;COUNTIFS($K$1:L$1,"&lt;&gt;"),0,SUMIFS($J:$J,$B:$B,$B1674,$A:$A,"&gt;="&amp;COUNTIFS($K$1:L$1,"&lt;&gt;"))),0)</f>
        <v>9.7484276729559768E-2</v>
      </c>
      <c r="M1674">
        <f>IFERROR($J1674/IF($A1674&lt;COUNTIFS($K$1:M$1,"&lt;&gt;"),0,SUMIFS($J:$J,$B:$B,$B1674,$A:$A,"&gt;="&amp;COUNTIFS($K$1:M$1,"&lt;&gt;"))),0)</f>
        <v>0.10763888888888891</v>
      </c>
      <c r="N1674">
        <f>IFERROR($J1674/IF($A1674&lt;COUNTIFS($K$1:N$1,"&lt;&gt;"),0,SUMIFS($J:$J,$B:$B,$B1674,$A:$A,"&gt;="&amp;COUNTIFS($K$1:N$1,"&lt;&gt;"))),0)</f>
        <v>0.12062256809338523</v>
      </c>
      <c r="O1674">
        <f>IFERROR($J1674/IF($A1674&lt;COUNTIFS($K$1:O$1,"&lt;&gt;"),0,SUMIFS($J:$J,$B:$B,$B1674,$A:$A,"&gt;="&amp;COUNTIFS($K$1:O$1,"&lt;&gt;"))),0)</f>
        <v>0.13716814159292037</v>
      </c>
      <c r="P1674">
        <f>IFERROR($J1674/IF($A1674&lt;COUNTIFS($K$1:P$1,"&lt;&gt;"),0,SUMIFS($J:$J,$B:$B,$B1674,$A:$A,"&gt;="&amp;COUNTIFS($K$1:P$1,"&lt;&gt;"))),0)</f>
        <v>0.1565656565656566</v>
      </c>
      <c r="Q1674">
        <f>IFERROR($J1674/IF($A1674&lt;COUNTIFS($K$1:Q$1,"&lt;&gt;"),0,SUMIFS($J:$J,$B:$B,$B1674,$A:$A,"&gt;="&amp;COUNTIFS($K$1:Q$1,"&lt;&gt;"))),0)</f>
        <v>0.18562874251497008</v>
      </c>
      <c r="R1674">
        <f>IFERROR($J1674/IF($A1674&lt;COUNTIFS($K$1:R$1,"&lt;&gt;"),0,SUMIFS($J:$J,$B:$B,$B1674,$A:$A,"&gt;="&amp;COUNTIFS($K$1:R$1,"&lt;&gt;"))),0)</f>
        <v>0.22627737226277375</v>
      </c>
      <c r="S1674">
        <f>IFERROR($J1674/IF($A1674&lt;COUNTIFS($K$1:S$1,"&lt;&gt;"),0,SUMIFS($J:$J,$B:$B,$B1674,$A:$A,"&gt;="&amp;COUNTIFS($K$1:S$1,"&lt;&gt;"))),0)</f>
        <v>0</v>
      </c>
      <c r="T1674">
        <f>IFERROR($J1674/IF($A1674&lt;COUNTIFS($K$1:T$1,"&lt;&gt;"),0,SUMIFS($J:$J,$B:$B,$B1674,$A:$A,"&gt;="&amp;COUNTIFS($K$1:T$1,"&lt;&gt;"))),0)</f>
        <v>0</v>
      </c>
      <c r="U1674">
        <f>IFERROR($J1674/IF($A1674&lt;COUNTIFS($K$1:U$1,"&lt;&gt;"),0,SUMIFS($J:$J,$B:$B,$B1674,$A:$A,"&gt;="&amp;COUNTIFS($K$1:U$1,"&lt;&gt;"))),0)</f>
        <v>0</v>
      </c>
      <c r="V1674">
        <f>IFERROR($J1674/IF($A1674&lt;COUNTIFS($K$1:V$1,"&lt;&gt;"),0,SUMIFS($J:$J,$B:$B,$B1674,$A:$A,"&gt;="&amp;COUNTIFS($K$1:V$1,"&lt;&gt;"))),0)</f>
        <v>0</v>
      </c>
      <c r="W1674">
        <f t="shared" si="596"/>
        <v>8.4931506849315067E-2</v>
      </c>
      <c r="X1674">
        <f t="shared" si="576"/>
        <v>8.4931506849315067E-2</v>
      </c>
      <c r="Y1674">
        <f t="shared" si="577"/>
        <v>8.4931506849315067E-2</v>
      </c>
      <c r="Z1674">
        <f t="shared" si="578"/>
        <v>8.4931506849315067E-2</v>
      </c>
      <c r="AA1674">
        <f t="shared" si="579"/>
        <v>8.4931506849315067E-2</v>
      </c>
      <c r="AB1674">
        <f t="shared" si="580"/>
        <v>8.4931506849315067E-2</v>
      </c>
      <c r="AC1674">
        <f t="shared" si="581"/>
        <v>8.4931506849315067E-2</v>
      </c>
      <c r="AD1674">
        <f t="shared" si="582"/>
        <v>8.4931506849315067E-2</v>
      </c>
      <c r="AE1674">
        <f t="shared" si="583"/>
        <v>8.4931506849315067E-2</v>
      </c>
      <c r="AF1674">
        <f t="shared" si="584"/>
        <v>0</v>
      </c>
      <c r="AG1674">
        <f t="shared" si="585"/>
        <v>0</v>
      </c>
      <c r="AH1674">
        <f t="shared" si="586"/>
        <v>0</v>
      </c>
      <c r="AI1674">
        <f t="shared" si="587"/>
        <v>0</v>
      </c>
      <c r="AJ1674" s="2" t="str">
        <f t="shared" si="597"/>
        <v>847727</v>
      </c>
    </row>
    <row r="1675" spans="1:36" x14ac:dyDescent="0.25">
      <c r="A1675">
        <v>9</v>
      </c>
      <c r="B1675" s="1">
        <v>47727</v>
      </c>
      <c r="C1675" s="1">
        <f t="shared" si="588"/>
        <v>48000</v>
      </c>
      <c r="D1675" s="1">
        <f t="shared" si="589"/>
        <v>47741</v>
      </c>
      <c r="E1675" s="1">
        <f t="shared" si="590"/>
        <v>48000</v>
      </c>
      <c r="F1675" s="1">
        <f t="shared" si="591"/>
        <v>48030</v>
      </c>
      <c r="G1675" s="1">
        <f t="shared" si="592"/>
        <v>48106</v>
      </c>
      <c r="H1675">
        <f t="shared" si="593"/>
        <v>365</v>
      </c>
      <c r="I1675">
        <f t="shared" si="594"/>
        <v>30</v>
      </c>
      <c r="J1675">
        <f t="shared" si="595"/>
        <v>8.2191780821917804E-2</v>
      </c>
      <c r="K1675">
        <f>IFERROR($J1675/IF($A1675&lt;COUNTIFS($K$1:K$1,"&lt;&gt;"),0,SUMIFS($J:$J,$B:$B,$B1675,$A:$A,"&gt;="&amp;COUNTIFS($K$1:K$1,"&lt;&gt;"))),0)</f>
        <v>8.5959885386819493E-2</v>
      </c>
      <c r="L1675">
        <f>IFERROR($J1675/IF($A1675&lt;COUNTIFS($K$1:L$1,"&lt;&gt;"),0,SUMIFS($J:$J,$B:$B,$B1675,$A:$A,"&gt;="&amp;COUNTIFS($K$1:L$1,"&lt;&gt;"))),0)</f>
        <v>9.4339622641509441E-2</v>
      </c>
      <c r="M1675">
        <f>IFERROR($J1675/IF($A1675&lt;COUNTIFS($K$1:M$1,"&lt;&gt;"),0,SUMIFS($J:$J,$B:$B,$B1675,$A:$A,"&gt;="&amp;COUNTIFS($K$1:M$1,"&lt;&gt;"))),0)</f>
        <v>0.10416666666666669</v>
      </c>
      <c r="N1675">
        <f>IFERROR($J1675/IF($A1675&lt;COUNTIFS($K$1:N$1,"&lt;&gt;"),0,SUMIFS($J:$J,$B:$B,$B1675,$A:$A,"&gt;="&amp;COUNTIFS($K$1:N$1,"&lt;&gt;"))),0)</f>
        <v>0.11673151750972764</v>
      </c>
      <c r="O1675">
        <f>IFERROR($J1675/IF($A1675&lt;COUNTIFS($K$1:O$1,"&lt;&gt;"),0,SUMIFS($J:$J,$B:$B,$B1675,$A:$A,"&gt;="&amp;COUNTIFS($K$1:O$1,"&lt;&gt;"))),0)</f>
        <v>0.13274336283185842</v>
      </c>
      <c r="P1675">
        <f>IFERROR($J1675/IF($A1675&lt;COUNTIFS($K$1:P$1,"&lt;&gt;"),0,SUMIFS($J:$J,$B:$B,$B1675,$A:$A,"&gt;="&amp;COUNTIFS($K$1:P$1,"&lt;&gt;"))),0)</f>
        <v>0.15151515151515155</v>
      </c>
      <c r="Q1675">
        <f>IFERROR($J1675/IF($A1675&lt;COUNTIFS($K$1:Q$1,"&lt;&gt;"),0,SUMIFS($J:$J,$B:$B,$B1675,$A:$A,"&gt;="&amp;COUNTIFS($K$1:Q$1,"&lt;&gt;"))),0)</f>
        <v>0.17964071856287425</v>
      </c>
      <c r="R1675">
        <f>IFERROR($J1675/IF($A1675&lt;COUNTIFS($K$1:R$1,"&lt;&gt;"),0,SUMIFS($J:$J,$B:$B,$B1675,$A:$A,"&gt;="&amp;COUNTIFS($K$1:R$1,"&lt;&gt;"))),0)</f>
        <v>0.21897810218978103</v>
      </c>
      <c r="S1675">
        <f>IFERROR($J1675/IF($A1675&lt;COUNTIFS($K$1:S$1,"&lt;&gt;"),0,SUMIFS($J:$J,$B:$B,$B1675,$A:$A,"&gt;="&amp;COUNTIFS($K$1:S$1,"&lt;&gt;"))),0)</f>
        <v>0.28301886792452829</v>
      </c>
      <c r="T1675">
        <f>IFERROR($J1675/IF($A1675&lt;COUNTIFS($K$1:T$1,"&lt;&gt;"),0,SUMIFS($J:$J,$B:$B,$B1675,$A:$A,"&gt;="&amp;COUNTIFS($K$1:T$1,"&lt;&gt;"))),0)</f>
        <v>0</v>
      </c>
      <c r="U1675">
        <f>IFERROR($J1675/IF($A1675&lt;COUNTIFS($K$1:U$1,"&lt;&gt;"),0,SUMIFS($J:$J,$B:$B,$B1675,$A:$A,"&gt;="&amp;COUNTIFS($K$1:U$1,"&lt;&gt;"))),0)</f>
        <v>0</v>
      </c>
      <c r="V1675">
        <f>IFERROR($J1675/IF($A1675&lt;COUNTIFS($K$1:V$1,"&lt;&gt;"),0,SUMIFS($J:$J,$B:$B,$B1675,$A:$A,"&gt;="&amp;COUNTIFS($K$1:V$1,"&lt;&gt;"))),0)</f>
        <v>0</v>
      </c>
      <c r="W1675">
        <f t="shared" si="596"/>
        <v>8.2191780821917804E-2</v>
      </c>
      <c r="X1675">
        <f t="shared" si="576"/>
        <v>8.2191780821917804E-2</v>
      </c>
      <c r="Y1675">
        <f t="shared" si="577"/>
        <v>8.2191780821917804E-2</v>
      </c>
      <c r="Z1675">
        <f t="shared" si="578"/>
        <v>8.2191780821917804E-2</v>
      </c>
      <c r="AA1675">
        <f t="shared" si="579"/>
        <v>8.2191780821917804E-2</v>
      </c>
      <c r="AB1675">
        <f t="shared" si="580"/>
        <v>8.2191780821917804E-2</v>
      </c>
      <c r="AC1675">
        <f t="shared" si="581"/>
        <v>8.2191780821917804E-2</v>
      </c>
      <c r="AD1675">
        <f t="shared" si="582"/>
        <v>8.2191780821917804E-2</v>
      </c>
      <c r="AE1675">
        <f t="shared" si="583"/>
        <v>8.2191780821917804E-2</v>
      </c>
      <c r="AF1675">
        <f t="shared" si="584"/>
        <v>8.2191780821917804E-2</v>
      </c>
      <c r="AG1675">
        <f t="shared" si="585"/>
        <v>0</v>
      </c>
      <c r="AH1675">
        <f t="shared" si="586"/>
        <v>0</v>
      </c>
      <c r="AI1675">
        <f t="shared" si="587"/>
        <v>0</v>
      </c>
      <c r="AJ1675" s="2" t="str">
        <f t="shared" si="597"/>
        <v>947727</v>
      </c>
    </row>
    <row r="1676" spans="1:36" x14ac:dyDescent="0.25">
      <c r="A1676">
        <v>10</v>
      </c>
      <c r="B1676" s="1">
        <v>47727</v>
      </c>
      <c r="C1676" s="1">
        <f t="shared" si="588"/>
        <v>48030</v>
      </c>
      <c r="D1676" s="1">
        <f t="shared" si="589"/>
        <v>47741</v>
      </c>
      <c r="E1676" s="1">
        <f t="shared" si="590"/>
        <v>48030</v>
      </c>
      <c r="F1676" s="1">
        <f t="shared" si="591"/>
        <v>48061</v>
      </c>
      <c r="G1676" s="1">
        <f t="shared" si="592"/>
        <v>48106</v>
      </c>
      <c r="H1676">
        <f t="shared" si="593"/>
        <v>365</v>
      </c>
      <c r="I1676">
        <f t="shared" si="594"/>
        <v>31</v>
      </c>
      <c r="J1676">
        <f t="shared" si="595"/>
        <v>8.4931506849315067E-2</v>
      </c>
      <c r="K1676">
        <f>IFERROR($J1676/IF($A1676&lt;COUNTIFS($K$1:K$1,"&lt;&gt;"),0,SUMIFS($J:$J,$B:$B,$B1676,$A:$A,"&gt;="&amp;COUNTIFS($K$1:K$1,"&lt;&gt;"))),0)</f>
        <v>8.8825214899713484E-2</v>
      </c>
      <c r="L1676">
        <f>IFERROR($J1676/IF($A1676&lt;COUNTIFS($K$1:L$1,"&lt;&gt;"),0,SUMIFS($J:$J,$B:$B,$B1676,$A:$A,"&gt;="&amp;COUNTIFS($K$1:L$1,"&lt;&gt;"))),0)</f>
        <v>9.7484276729559768E-2</v>
      </c>
      <c r="M1676">
        <f>IFERROR($J1676/IF($A1676&lt;COUNTIFS($K$1:M$1,"&lt;&gt;"),0,SUMIFS($J:$J,$B:$B,$B1676,$A:$A,"&gt;="&amp;COUNTIFS($K$1:M$1,"&lt;&gt;"))),0)</f>
        <v>0.10763888888888891</v>
      </c>
      <c r="N1676">
        <f>IFERROR($J1676/IF($A1676&lt;COUNTIFS($K$1:N$1,"&lt;&gt;"),0,SUMIFS($J:$J,$B:$B,$B1676,$A:$A,"&gt;="&amp;COUNTIFS($K$1:N$1,"&lt;&gt;"))),0)</f>
        <v>0.12062256809338523</v>
      </c>
      <c r="O1676">
        <f>IFERROR($J1676/IF($A1676&lt;COUNTIFS($K$1:O$1,"&lt;&gt;"),0,SUMIFS($J:$J,$B:$B,$B1676,$A:$A,"&gt;="&amp;COUNTIFS($K$1:O$1,"&lt;&gt;"))),0)</f>
        <v>0.13716814159292037</v>
      </c>
      <c r="P1676">
        <f>IFERROR($J1676/IF($A1676&lt;COUNTIFS($K$1:P$1,"&lt;&gt;"),0,SUMIFS($J:$J,$B:$B,$B1676,$A:$A,"&gt;="&amp;COUNTIFS($K$1:P$1,"&lt;&gt;"))),0)</f>
        <v>0.1565656565656566</v>
      </c>
      <c r="Q1676">
        <f>IFERROR($J1676/IF($A1676&lt;COUNTIFS($K$1:Q$1,"&lt;&gt;"),0,SUMIFS($J:$J,$B:$B,$B1676,$A:$A,"&gt;="&amp;COUNTIFS($K$1:Q$1,"&lt;&gt;"))),0)</f>
        <v>0.18562874251497008</v>
      </c>
      <c r="R1676">
        <f>IFERROR($J1676/IF($A1676&lt;COUNTIFS($K$1:R$1,"&lt;&gt;"),0,SUMIFS($J:$J,$B:$B,$B1676,$A:$A,"&gt;="&amp;COUNTIFS($K$1:R$1,"&lt;&gt;"))),0)</f>
        <v>0.22627737226277375</v>
      </c>
      <c r="S1676">
        <f>IFERROR($J1676/IF($A1676&lt;COUNTIFS($K$1:S$1,"&lt;&gt;"),0,SUMIFS($J:$J,$B:$B,$B1676,$A:$A,"&gt;="&amp;COUNTIFS($K$1:S$1,"&lt;&gt;"))),0)</f>
        <v>0.29245283018867929</v>
      </c>
      <c r="T1676">
        <f>IFERROR($J1676/IF($A1676&lt;COUNTIFS($K$1:T$1,"&lt;&gt;"),0,SUMIFS($J:$J,$B:$B,$B1676,$A:$A,"&gt;="&amp;COUNTIFS($K$1:T$1,"&lt;&gt;"))),0)</f>
        <v>0.40789473684210525</v>
      </c>
      <c r="U1676">
        <f>IFERROR($J1676/IF($A1676&lt;COUNTIFS($K$1:U$1,"&lt;&gt;"),0,SUMIFS($J:$J,$B:$B,$B1676,$A:$A,"&gt;="&amp;COUNTIFS($K$1:U$1,"&lt;&gt;"))),0)</f>
        <v>0</v>
      </c>
      <c r="V1676">
        <f>IFERROR($J1676/IF($A1676&lt;COUNTIFS($K$1:V$1,"&lt;&gt;"),0,SUMIFS($J:$J,$B:$B,$B1676,$A:$A,"&gt;="&amp;COUNTIFS($K$1:V$1,"&lt;&gt;"))),0)</f>
        <v>0</v>
      </c>
      <c r="W1676">
        <f t="shared" si="596"/>
        <v>8.4931506849315067E-2</v>
      </c>
      <c r="X1676">
        <f t="shared" si="576"/>
        <v>8.4931506849315067E-2</v>
      </c>
      <c r="Y1676">
        <f t="shared" si="577"/>
        <v>8.4931506849315067E-2</v>
      </c>
      <c r="Z1676">
        <f t="shared" si="578"/>
        <v>8.4931506849315067E-2</v>
      </c>
      <c r="AA1676">
        <f t="shared" si="579"/>
        <v>8.4931506849315067E-2</v>
      </c>
      <c r="AB1676">
        <f t="shared" si="580"/>
        <v>8.4931506849315067E-2</v>
      </c>
      <c r="AC1676">
        <f t="shared" si="581"/>
        <v>8.4931506849315067E-2</v>
      </c>
      <c r="AD1676">
        <f t="shared" si="582"/>
        <v>8.4931506849315067E-2</v>
      </c>
      <c r="AE1676">
        <f t="shared" si="583"/>
        <v>8.4931506849315067E-2</v>
      </c>
      <c r="AF1676">
        <f t="shared" si="584"/>
        <v>8.4931506849315067E-2</v>
      </c>
      <c r="AG1676">
        <f t="shared" si="585"/>
        <v>8.4931506849315067E-2</v>
      </c>
      <c r="AH1676">
        <f t="shared" si="586"/>
        <v>0</v>
      </c>
      <c r="AI1676">
        <f t="shared" si="587"/>
        <v>0</v>
      </c>
      <c r="AJ1676" s="2" t="str">
        <f t="shared" si="597"/>
        <v>1047727</v>
      </c>
    </row>
    <row r="1677" spans="1:36" x14ac:dyDescent="0.25">
      <c r="A1677">
        <v>11</v>
      </c>
      <c r="B1677" s="1">
        <v>47727</v>
      </c>
      <c r="C1677" s="1">
        <f t="shared" si="588"/>
        <v>48061</v>
      </c>
      <c r="D1677" s="1">
        <f t="shared" si="589"/>
        <v>47741</v>
      </c>
      <c r="E1677" s="1">
        <f t="shared" si="590"/>
        <v>48061</v>
      </c>
      <c r="F1677" s="1">
        <f t="shared" si="591"/>
        <v>48092</v>
      </c>
      <c r="G1677" s="1">
        <f t="shared" si="592"/>
        <v>48106</v>
      </c>
      <c r="H1677">
        <f t="shared" si="593"/>
        <v>365</v>
      </c>
      <c r="I1677">
        <f t="shared" si="594"/>
        <v>31</v>
      </c>
      <c r="J1677">
        <f t="shared" si="595"/>
        <v>8.4931506849315067E-2</v>
      </c>
      <c r="K1677">
        <f>IFERROR($J1677/IF($A1677&lt;COUNTIFS($K$1:K$1,"&lt;&gt;"),0,SUMIFS($J:$J,$B:$B,$B1677,$A:$A,"&gt;="&amp;COUNTIFS($K$1:K$1,"&lt;&gt;"))),0)</f>
        <v>8.8825214899713484E-2</v>
      </c>
      <c r="L1677">
        <f>IFERROR($J1677/IF($A1677&lt;COUNTIFS($K$1:L$1,"&lt;&gt;"),0,SUMIFS($J:$J,$B:$B,$B1677,$A:$A,"&gt;="&amp;COUNTIFS($K$1:L$1,"&lt;&gt;"))),0)</f>
        <v>9.7484276729559768E-2</v>
      </c>
      <c r="M1677">
        <f>IFERROR($J1677/IF($A1677&lt;COUNTIFS($K$1:M$1,"&lt;&gt;"),0,SUMIFS($J:$J,$B:$B,$B1677,$A:$A,"&gt;="&amp;COUNTIFS($K$1:M$1,"&lt;&gt;"))),0)</f>
        <v>0.10763888888888891</v>
      </c>
      <c r="N1677">
        <f>IFERROR($J1677/IF($A1677&lt;COUNTIFS($K$1:N$1,"&lt;&gt;"),0,SUMIFS($J:$J,$B:$B,$B1677,$A:$A,"&gt;="&amp;COUNTIFS($K$1:N$1,"&lt;&gt;"))),0)</f>
        <v>0.12062256809338523</v>
      </c>
      <c r="O1677">
        <f>IFERROR($J1677/IF($A1677&lt;COUNTIFS($K$1:O$1,"&lt;&gt;"),0,SUMIFS($J:$J,$B:$B,$B1677,$A:$A,"&gt;="&amp;COUNTIFS($K$1:O$1,"&lt;&gt;"))),0)</f>
        <v>0.13716814159292037</v>
      </c>
      <c r="P1677">
        <f>IFERROR($J1677/IF($A1677&lt;COUNTIFS($K$1:P$1,"&lt;&gt;"),0,SUMIFS($J:$J,$B:$B,$B1677,$A:$A,"&gt;="&amp;COUNTIFS($K$1:P$1,"&lt;&gt;"))),0)</f>
        <v>0.1565656565656566</v>
      </c>
      <c r="Q1677">
        <f>IFERROR($J1677/IF($A1677&lt;COUNTIFS($K$1:Q$1,"&lt;&gt;"),0,SUMIFS($J:$J,$B:$B,$B1677,$A:$A,"&gt;="&amp;COUNTIFS($K$1:Q$1,"&lt;&gt;"))),0)</f>
        <v>0.18562874251497008</v>
      </c>
      <c r="R1677">
        <f>IFERROR($J1677/IF($A1677&lt;COUNTIFS($K$1:R$1,"&lt;&gt;"),0,SUMIFS($J:$J,$B:$B,$B1677,$A:$A,"&gt;="&amp;COUNTIFS($K$1:R$1,"&lt;&gt;"))),0)</f>
        <v>0.22627737226277375</v>
      </c>
      <c r="S1677">
        <f>IFERROR($J1677/IF($A1677&lt;COUNTIFS($K$1:S$1,"&lt;&gt;"),0,SUMIFS($J:$J,$B:$B,$B1677,$A:$A,"&gt;="&amp;COUNTIFS($K$1:S$1,"&lt;&gt;"))),0)</f>
        <v>0.29245283018867929</v>
      </c>
      <c r="T1677">
        <f>IFERROR($J1677/IF($A1677&lt;COUNTIFS($K$1:T$1,"&lt;&gt;"),0,SUMIFS($J:$J,$B:$B,$B1677,$A:$A,"&gt;="&amp;COUNTIFS($K$1:T$1,"&lt;&gt;"))),0)</f>
        <v>0.40789473684210525</v>
      </c>
      <c r="U1677">
        <f>IFERROR($J1677/IF($A1677&lt;COUNTIFS($K$1:U$1,"&lt;&gt;"),0,SUMIFS($J:$J,$B:$B,$B1677,$A:$A,"&gt;="&amp;COUNTIFS($K$1:U$1,"&lt;&gt;"))),0)</f>
        <v>0.68888888888888888</v>
      </c>
      <c r="V1677">
        <f>IFERROR($J1677/IF($A1677&lt;COUNTIFS($K$1:V$1,"&lt;&gt;"),0,SUMIFS($J:$J,$B:$B,$B1677,$A:$A,"&gt;="&amp;COUNTIFS($K$1:V$1,"&lt;&gt;"))),0)</f>
        <v>0</v>
      </c>
      <c r="W1677">
        <f t="shared" si="596"/>
        <v>8.4931506849315067E-2</v>
      </c>
      <c r="X1677">
        <f t="shared" si="576"/>
        <v>8.4931506849315067E-2</v>
      </c>
      <c r="Y1677">
        <f t="shared" si="577"/>
        <v>8.4931506849315067E-2</v>
      </c>
      <c r="Z1677">
        <f t="shared" si="578"/>
        <v>8.4931506849315067E-2</v>
      </c>
      <c r="AA1677">
        <f t="shared" si="579"/>
        <v>8.4931506849315067E-2</v>
      </c>
      <c r="AB1677">
        <f t="shared" si="580"/>
        <v>8.4931506849315067E-2</v>
      </c>
      <c r="AC1677">
        <f t="shared" si="581"/>
        <v>8.4931506849315067E-2</v>
      </c>
      <c r="AD1677">
        <f t="shared" si="582"/>
        <v>8.4931506849315067E-2</v>
      </c>
      <c r="AE1677">
        <f t="shared" si="583"/>
        <v>8.4931506849315067E-2</v>
      </c>
      <c r="AF1677">
        <f t="shared" si="584"/>
        <v>8.4931506849315067E-2</v>
      </c>
      <c r="AG1677">
        <f t="shared" si="585"/>
        <v>8.4931506849315067E-2</v>
      </c>
      <c r="AH1677">
        <f t="shared" si="586"/>
        <v>8.4931506849315067E-2</v>
      </c>
      <c r="AI1677">
        <f t="shared" si="587"/>
        <v>0</v>
      </c>
      <c r="AJ1677" s="2" t="str">
        <f t="shared" si="597"/>
        <v>1147727</v>
      </c>
    </row>
    <row r="1678" spans="1:36" x14ac:dyDescent="0.25">
      <c r="A1678">
        <v>12</v>
      </c>
      <c r="B1678" s="1">
        <v>47727</v>
      </c>
      <c r="C1678" s="1">
        <f t="shared" si="588"/>
        <v>48092</v>
      </c>
      <c r="D1678" s="1">
        <f t="shared" si="589"/>
        <v>47741</v>
      </c>
      <c r="E1678" s="1">
        <f t="shared" si="590"/>
        <v>48092</v>
      </c>
      <c r="F1678" s="1">
        <f t="shared" si="591"/>
        <v>48106</v>
      </c>
      <c r="G1678" s="1">
        <f t="shared" si="592"/>
        <v>48106</v>
      </c>
      <c r="H1678">
        <f t="shared" si="593"/>
        <v>365</v>
      </c>
      <c r="I1678">
        <f t="shared" si="594"/>
        <v>14</v>
      </c>
      <c r="J1678">
        <f t="shared" si="595"/>
        <v>3.8356164383561646E-2</v>
      </c>
      <c r="K1678">
        <f>IFERROR($J1678/IF($A1678&lt;COUNTIFS($K$1:K$1,"&lt;&gt;"),0,SUMIFS($J:$J,$B:$B,$B1678,$A:$A,"&gt;="&amp;COUNTIFS($K$1:K$1,"&lt;&gt;"))),0)</f>
        <v>4.0114613180515769E-2</v>
      </c>
      <c r="L1678">
        <f>IFERROR($J1678/IF($A1678&lt;COUNTIFS($K$1:L$1,"&lt;&gt;"),0,SUMIFS($J:$J,$B:$B,$B1678,$A:$A,"&gt;="&amp;COUNTIFS($K$1:L$1,"&lt;&gt;"))),0)</f>
        <v>4.4025157232704414E-2</v>
      </c>
      <c r="M1678">
        <f>IFERROR($J1678/IF($A1678&lt;COUNTIFS($K$1:M$1,"&lt;&gt;"),0,SUMIFS($J:$J,$B:$B,$B1678,$A:$A,"&gt;="&amp;COUNTIFS($K$1:M$1,"&lt;&gt;"))),0)</f>
        <v>4.8611111111111119E-2</v>
      </c>
      <c r="N1678">
        <f>IFERROR($J1678/IF($A1678&lt;COUNTIFS($K$1:N$1,"&lt;&gt;"),0,SUMIFS($J:$J,$B:$B,$B1678,$A:$A,"&gt;="&amp;COUNTIFS($K$1:N$1,"&lt;&gt;"))),0)</f>
        <v>5.447470817120624E-2</v>
      </c>
      <c r="O1678">
        <f>IFERROR($J1678/IF($A1678&lt;COUNTIFS($K$1:O$1,"&lt;&gt;"),0,SUMIFS($J:$J,$B:$B,$B1678,$A:$A,"&gt;="&amp;COUNTIFS($K$1:O$1,"&lt;&gt;"))),0)</f>
        <v>6.194690265486727E-2</v>
      </c>
      <c r="P1678">
        <f>IFERROR($J1678/IF($A1678&lt;COUNTIFS($K$1:P$1,"&lt;&gt;"),0,SUMIFS($J:$J,$B:$B,$B1678,$A:$A,"&gt;="&amp;COUNTIFS($K$1:P$1,"&lt;&gt;"))),0)</f>
        <v>7.0707070707070732E-2</v>
      </c>
      <c r="Q1678">
        <f>IFERROR($J1678/IF($A1678&lt;COUNTIFS($K$1:Q$1,"&lt;&gt;"),0,SUMIFS($J:$J,$B:$B,$B1678,$A:$A,"&gt;="&amp;COUNTIFS($K$1:Q$1,"&lt;&gt;"))),0)</f>
        <v>8.3832335329341326E-2</v>
      </c>
      <c r="R1678">
        <f>IFERROR($J1678/IF($A1678&lt;COUNTIFS($K$1:R$1,"&lt;&gt;"),0,SUMIFS($J:$J,$B:$B,$B1678,$A:$A,"&gt;="&amp;COUNTIFS($K$1:R$1,"&lt;&gt;"))),0)</f>
        <v>0.10218978102189782</v>
      </c>
      <c r="S1678">
        <f>IFERROR($J1678/IF($A1678&lt;COUNTIFS($K$1:S$1,"&lt;&gt;"),0,SUMIFS($J:$J,$B:$B,$B1678,$A:$A,"&gt;="&amp;COUNTIFS($K$1:S$1,"&lt;&gt;"))),0)</f>
        <v>0.13207547169811323</v>
      </c>
      <c r="T1678">
        <f>IFERROR($J1678/IF($A1678&lt;COUNTIFS($K$1:T$1,"&lt;&gt;"),0,SUMIFS($J:$J,$B:$B,$B1678,$A:$A,"&gt;="&amp;COUNTIFS($K$1:T$1,"&lt;&gt;"))),0)</f>
        <v>0.18421052631578949</v>
      </c>
      <c r="U1678">
        <f>IFERROR($J1678/IF($A1678&lt;COUNTIFS($K$1:U$1,"&lt;&gt;"),0,SUMIFS($J:$J,$B:$B,$B1678,$A:$A,"&gt;="&amp;COUNTIFS($K$1:U$1,"&lt;&gt;"))),0)</f>
        <v>0.31111111111111117</v>
      </c>
      <c r="V1678">
        <f>IFERROR($J1678/IF($A1678&lt;COUNTIFS($K$1:V$1,"&lt;&gt;"),0,SUMIFS($J:$J,$B:$B,$B1678,$A:$A,"&gt;="&amp;COUNTIFS($K$1:V$1,"&lt;&gt;"))),0)</f>
        <v>1</v>
      </c>
      <c r="W1678">
        <f t="shared" si="596"/>
        <v>3.8356164383561646E-2</v>
      </c>
      <c r="X1678">
        <f t="shared" si="576"/>
        <v>3.8356164383561646E-2</v>
      </c>
      <c r="Y1678">
        <f t="shared" si="577"/>
        <v>3.8356164383561646E-2</v>
      </c>
      <c r="Z1678">
        <f t="shared" si="578"/>
        <v>3.8356164383561646E-2</v>
      </c>
      <c r="AA1678">
        <f t="shared" si="579"/>
        <v>3.8356164383561646E-2</v>
      </c>
      <c r="AB1678">
        <f t="shared" si="580"/>
        <v>3.8356164383561646E-2</v>
      </c>
      <c r="AC1678">
        <f t="shared" si="581"/>
        <v>3.8356164383561646E-2</v>
      </c>
      <c r="AD1678">
        <f t="shared" si="582"/>
        <v>3.8356164383561646E-2</v>
      </c>
      <c r="AE1678">
        <f t="shared" si="583"/>
        <v>3.8356164383561646E-2</v>
      </c>
      <c r="AF1678">
        <f t="shared" si="584"/>
        <v>3.8356164383561646E-2</v>
      </c>
      <c r="AG1678">
        <f t="shared" si="585"/>
        <v>3.8356164383561646E-2</v>
      </c>
      <c r="AH1678">
        <f t="shared" si="586"/>
        <v>3.8356164383561646E-2</v>
      </c>
      <c r="AI1678">
        <f t="shared" si="587"/>
        <v>3.8356164383561646E-2</v>
      </c>
      <c r="AJ1678" s="2" t="str">
        <f t="shared" si="597"/>
        <v>1247727</v>
      </c>
    </row>
    <row r="1679" spans="1:36" x14ac:dyDescent="0.25">
      <c r="A1679">
        <v>0</v>
      </c>
      <c r="B1679" s="1">
        <v>47757</v>
      </c>
      <c r="C1679" s="1">
        <f t="shared" si="588"/>
        <v>47757</v>
      </c>
      <c r="D1679" s="1">
        <f t="shared" si="589"/>
        <v>47771</v>
      </c>
      <c r="E1679" s="1">
        <f t="shared" si="590"/>
        <v>47771</v>
      </c>
      <c r="F1679" s="1">
        <f t="shared" si="591"/>
        <v>47788</v>
      </c>
      <c r="G1679" s="1">
        <f t="shared" si="592"/>
        <v>48136</v>
      </c>
      <c r="H1679">
        <f t="shared" si="593"/>
        <v>365</v>
      </c>
      <c r="I1679">
        <f t="shared" si="594"/>
        <v>17</v>
      </c>
      <c r="J1679">
        <f t="shared" si="595"/>
        <v>4.6575342465753428E-2</v>
      </c>
      <c r="K1679">
        <f>IFERROR($J1679/IF($A1679&lt;COUNTIFS($K$1:K$1,"&lt;&gt;"),0,SUMIFS($J:$J,$B:$B,$B1679,$A:$A,"&gt;="&amp;COUNTIFS($K$1:K$1,"&lt;&gt;"))),0)</f>
        <v>0</v>
      </c>
      <c r="L1679">
        <f>IFERROR($J1679/IF($A1679&lt;COUNTIFS($K$1:L$1,"&lt;&gt;"),0,SUMIFS($J:$J,$B:$B,$B1679,$A:$A,"&gt;="&amp;COUNTIFS($K$1:L$1,"&lt;&gt;"))),0)</f>
        <v>0</v>
      </c>
      <c r="M1679">
        <f>IFERROR($J1679/IF($A1679&lt;COUNTIFS($K$1:M$1,"&lt;&gt;"),0,SUMIFS($J:$J,$B:$B,$B1679,$A:$A,"&gt;="&amp;COUNTIFS($K$1:M$1,"&lt;&gt;"))),0)</f>
        <v>0</v>
      </c>
      <c r="N1679">
        <f>IFERROR($J1679/IF($A1679&lt;COUNTIFS($K$1:N$1,"&lt;&gt;"),0,SUMIFS($J:$J,$B:$B,$B1679,$A:$A,"&gt;="&amp;COUNTIFS($K$1:N$1,"&lt;&gt;"))),0)</f>
        <v>0</v>
      </c>
      <c r="O1679">
        <f>IFERROR($J1679/IF($A1679&lt;COUNTIFS($K$1:O$1,"&lt;&gt;"),0,SUMIFS($J:$J,$B:$B,$B1679,$A:$A,"&gt;="&amp;COUNTIFS($K$1:O$1,"&lt;&gt;"))),0)</f>
        <v>0</v>
      </c>
      <c r="P1679">
        <f>IFERROR($J1679/IF($A1679&lt;COUNTIFS($K$1:P$1,"&lt;&gt;"),0,SUMIFS($J:$J,$B:$B,$B1679,$A:$A,"&gt;="&amp;COUNTIFS($K$1:P$1,"&lt;&gt;"))),0)</f>
        <v>0</v>
      </c>
      <c r="Q1679">
        <f>IFERROR($J1679/IF($A1679&lt;COUNTIFS($K$1:Q$1,"&lt;&gt;"),0,SUMIFS($J:$J,$B:$B,$B1679,$A:$A,"&gt;="&amp;COUNTIFS($K$1:Q$1,"&lt;&gt;"))),0)</f>
        <v>0</v>
      </c>
      <c r="R1679">
        <f>IFERROR($J1679/IF($A1679&lt;COUNTIFS($K$1:R$1,"&lt;&gt;"),0,SUMIFS($J:$J,$B:$B,$B1679,$A:$A,"&gt;="&amp;COUNTIFS($K$1:R$1,"&lt;&gt;"))),0)</f>
        <v>0</v>
      </c>
      <c r="S1679">
        <f>IFERROR($J1679/IF($A1679&lt;COUNTIFS($K$1:S$1,"&lt;&gt;"),0,SUMIFS($J:$J,$B:$B,$B1679,$A:$A,"&gt;="&amp;COUNTIFS($K$1:S$1,"&lt;&gt;"))),0)</f>
        <v>0</v>
      </c>
      <c r="T1679">
        <f>IFERROR($J1679/IF($A1679&lt;COUNTIFS($K$1:T$1,"&lt;&gt;"),0,SUMIFS($J:$J,$B:$B,$B1679,$A:$A,"&gt;="&amp;COUNTIFS($K$1:T$1,"&lt;&gt;"))),0)</f>
        <v>0</v>
      </c>
      <c r="U1679">
        <f>IFERROR($J1679/IF($A1679&lt;COUNTIFS($K$1:U$1,"&lt;&gt;"),0,SUMIFS($J:$J,$B:$B,$B1679,$A:$A,"&gt;="&amp;COUNTIFS($K$1:U$1,"&lt;&gt;"))),0)</f>
        <v>0</v>
      </c>
      <c r="V1679">
        <f>IFERROR($J1679/IF($A1679&lt;COUNTIFS($K$1:V$1,"&lt;&gt;"),0,SUMIFS($J:$J,$B:$B,$B1679,$A:$A,"&gt;="&amp;COUNTIFS($K$1:V$1,"&lt;&gt;"))),0)</f>
        <v>0</v>
      </c>
      <c r="W1679">
        <f t="shared" si="596"/>
        <v>4.6575342465753428E-2</v>
      </c>
      <c r="X1679">
        <f t="shared" si="576"/>
        <v>0</v>
      </c>
      <c r="Y1679">
        <f t="shared" si="577"/>
        <v>0</v>
      </c>
      <c r="Z1679">
        <f t="shared" si="578"/>
        <v>0</v>
      </c>
      <c r="AA1679">
        <f t="shared" si="579"/>
        <v>0</v>
      </c>
      <c r="AB1679">
        <f t="shared" si="580"/>
        <v>0</v>
      </c>
      <c r="AC1679">
        <f t="shared" si="581"/>
        <v>0</v>
      </c>
      <c r="AD1679">
        <f t="shared" si="582"/>
        <v>0</v>
      </c>
      <c r="AE1679">
        <f t="shared" si="583"/>
        <v>0</v>
      </c>
      <c r="AF1679">
        <f t="shared" si="584"/>
        <v>0</v>
      </c>
      <c r="AG1679">
        <f t="shared" si="585"/>
        <v>0</v>
      </c>
      <c r="AH1679">
        <f t="shared" si="586"/>
        <v>0</v>
      </c>
      <c r="AI1679">
        <f t="shared" si="587"/>
        <v>0</v>
      </c>
      <c r="AJ1679" s="2" t="str">
        <f t="shared" si="597"/>
        <v>047757</v>
      </c>
    </row>
    <row r="1680" spans="1:36" x14ac:dyDescent="0.25">
      <c r="A1680">
        <v>1</v>
      </c>
      <c r="B1680" s="1">
        <v>47757</v>
      </c>
      <c r="C1680" s="1">
        <f t="shared" si="588"/>
        <v>47788</v>
      </c>
      <c r="D1680" s="1">
        <f t="shared" si="589"/>
        <v>47771</v>
      </c>
      <c r="E1680" s="1">
        <f t="shared" si="590"/>
        <v>47788</v>
      </c>
      <c r="F1680" s="1">
        <f t="shared" si="591"/>
        <v>47818</v>
      </c>
      <c r="G1680" s="1">
        <f t="shared" si="592"/>
        <v>48136</v>
      </c>
      <c r="H1680">
        <f t="shared" si="593"/>
        <v>365</v>
      </c>
      <c r="I1680">
        <f t="shared" si="594"/>
        <v>30</v>
      </c>
      <c r="J1680">
        <f t="shared" si="595"/>
        <v>8.2191780821917804E-2</v>
      </c>
      <c r="K1680">
        <f>IFERROR($J1680/IF($A1680&lt;COUNTIFS($K$1:K$1,"&lt;&gt;"),0,SUMIFS($J:$J,$B:$B,$B1680,$A:$A,"&gt;="&amp;COUNTIFS($K$1:K$1,"&lt;&gt;"))),0)</f>
        <v>8.6206896551724144E-2</v>
      </c>
      <c r="L1680">
        <f>IFERROR($J1680/IF($A1680&lt;COUNTIFS($K$1:L$1,"&lt;&gt;"),0,SUMIFS($J:$J,$B:$B,$B1680,$A:$A,"&gt;="&amp;COUNTIFS($K$1:L$1,"&lt;&gt;"))),0)</f>
        <v>0</v>
      </c>
      <c r="M1680">
        <f>IFERROR($J1680/IF($A1680&lt;COUNTIFS($K$1:M$1,"&lt;&gt;"),0,SUMIFS($J:$J,$B:$B,$B1680,$A:$A,"&gt;="&amp;COUNTIFS($K$1:M$1,"&lt;&gt;"))),0)</f>
        <v>0</v>
      </c>
      <c r="N1680">
        <f>IFERROR($J1680/IF($A1680&lt;COUNTIFS($K$1:N$1,"&lt;&gt;"),0,SUMIFS($J:$J,$B:$B,$B1680,$A:$A,"&gt;="&amp;COUNTIFS($K$1:N$1,"&lt;&gt;"))),0)</f>
        <v>0</v>
      </c>
      <c r="O1680">
        <f>IFERROR($J1680/IF($A1680&lt;COUNTIFS($K$1:O$1,"&lt;&gt;"),0,SUMIFS($J:$J,$B:$B,$B1680,$A:$A,"&gt;="&amp;COUNTIFS($K$1:O$1,"&lt;&gt;"))),0)</f>
        <v>0</v>
      </c>
      <c r="P1680">
        <f>IFERROR($J1680/IF($A1680&lt;COUNTIFS($K$1:P$1,"&lt;&gt;"),0,SUMIFS($J:$J,$B:$B,$B1680,$A:$A,"&gt;="&amp;COUNTIFS($K$1:P$1,"&lt;&gt;"))),0)</f>
        <v>0</v>
      </c>
      <c r="Q1680">
        <f>IFERROR($J1680/IF($A1680&lt;COUNTIFS($K$1:Q$1,"&lt;&gt;"),0,SUMIFS($J:$J,$B:$B,$B1680,$A:$A,"&gt;="&amp;COUNTIFS($K$1:Q$1,"&lt;&gt;"))),0)</f>
        <v>0</v>
      </c>
      <c r="R1680">
        <f>IFERROR($J1680/IF($A1680&lt;COUNTIFS($K$1:R$1,"&lt;&gt;"),0,SUMIFS($J:$J,$B:$B,$B1680,$A:$A,"&gt;="&amp;COUNTIFS($K$1:R$1,"&lt;&gt;"))),0)</f>
        <v>0</v>
      </c>
      <c r="S1680">
        <f>IFERROR($J1680/IF($A1680&lt;COUNTIFS($K$1:S$1,"&lt;&gt;"),0,SUMIFS($J:$J,$B:$B,$B1680,$A:$A,"&gt;="&amp;COUNTIFS($K$1:S$1,"&lt;&gt;"))),0)</f>
        <v>0</v>
      </c>
      <c r="T1680">
        <f>IFERROR($J1680/IF($A1680&lt;COUNTIFS($K$1:T$1,"&lt;&gt;"),0,SUMIFS($J:$J,$B:$B,$B1680,$A:$A,"&gt;="&amp;COUNTIFS($K$1:T$1,"&lt;&gt;"))),0)</f>
        <v>0</v>
      </c>
      <c r="U1680">
        <f>IFERROR($J1680/IF($A1680&lt;COUNTIFS($K$1:U$1,"&lt;&gt;"),0,SUMIFS($J:$J,$B:$B,$B1680,$A:$A,"&gt;="&amp;COUNTIFS($K$1:U$1,"&lt;&gt;"))),0)</f>
        <v>0</v>
      </c>
      <c r="V1680">
        <f>IFERROR($J1680/IF($A1680&lt;COUNTIFS($K$1:V$1,"&lt;&gt;"),0,SUMIFS($J:$J,$B:$B,$B1680,$A:$A,"&gt;="&amp;COUNTIFS($K$1:V$1,"&lt;&gt;"))),0)</f>
        <v>0</v>
      </c>
      <c r="W1680">
        <f t="shared" si="596"/>
        <v>8.2191780821917804E-2</v>
      </c>
      <c r="X1680">
        <f t="shared" si="576"/>
        <v>8.2191780821917804E-2</v>
      </c>
      <c r="Y1680">
        <f t="shared" si="577"/>
        <v>0</v>
      </c>
      <c r="Z1680">
        <f t="shared" si="578"/>
        <v>0</v>
      </c>
      <c r="AA1680">
        <f t="shared" si="579"/>
        <v>0</v>
      </c>
      <c r="AB1680">
        <f t="shared" si="580"/>
        <v>0</v>
      </c>
      <c r="AC1680">
        <f t="shared" si="581"/>
        <v>0</v>
      </c>
      <c r="AD1680">
        <f t="shared" si="582"/>
        <v>0</v>
      </c>
      <c r="AE1680">
        <f t="shared" si="583"/>
        <v>0</v>
      </c>
      <c r="AF1680">
        <f t="shared" si="584"/>
        <v>0</v>
      </c>
      <c r="AG1680">
        <f t="shared" si="585"/>
        <v>0</v>
      </c>
      <c r="AH1680">
        <f t="shared" si="586"/>
        <v>0</v>
      </c>
      <c r="AI1680">
        <f t="shared" si="587"/>
        <v>0</v>
      </c>
      <c r="AJ1680" s="2" t="str">
        <f t="shared" si="597"/>
        <v>147757</v>
      </c>
    </row>
    <row r="1681" spans="1:36" x14ac:dyDescent="0.25">
      <c r="A1681">
        <v>2</v>
      </c>
      <c r="B1681" s="1">
        <v>47757</v>
      </c>
      <c r="C1681" s="1">
        <f t="shared" si="588"/>
        <v>47818</v>
      </c>
      <c r="D1681" s="1">
        <f t="shared" si="589"/>
        <v>47771</v>
      </c>
      <c r="E1681" s="1">
        <f t="shared" si="590"/>
        <v>47818</v>
      </c>
      <c r="F1681" s="1">
        <f t="shared" si="591"/>
        <v>47849</v>
      </c>
      <c r="G1681" s="1">
        <f t="shared" si="592"/>
        <v>48136</v>
      </c>
      <c r="H1681">
        <f t="shared" si="593"/>
        <v>365</v>
      </c>
      <c r="I1681">
        <f t="shared" si="594"/>
        <v>31</v>
      </c>
      <c r="J1681">
        <f t="shared" si="595"/>
        <v>8.4931506849315067E-2</v>
      </c>
      <c r="K1681">
        <f>IFERROR($J1681/IF($A1681&lt;COUNTIFS($K$1:K$1,"&lt;&gt;"),0,SUMIFS($J:$J,$B:$B,$B1681,$A:$A,"&gt;="&amp;COUNTIFS($K$1:K$1,"&lt;&gt;"))),0)</f>
        <v>8.9080459770114959E-2</v>
      </c>
      <c r="L1681">
        <f>IFERROR($J1681/IF($A1681&lt;COUNTIFS($K$1:L$1,"&lt;&gt;"),0,SUMIFS($J:$J,$B:$B,$B1681,$A:$A,"&gt;="&amp;COUNTIFS($K$1:L$1,"&lt;&gt;"))),0)</f>
        <v>9.7484276729559768E-2</v>
      </c>
      <c r="M1681">
        <f>IFERROR($J1681/IF($A1681&lt;COUNTIFS($K$1:M$1,"&lt;&gt;"),0,SUMIFS($J:$J,$B:$B,$B1681,$A:$A,"&gt;="&amp;COUNTIFS($K$1:M$1,"&lt;&gt;"))),0)</f>
        <v>0</v>
      </c>
      <c r="N1681">
        <f>IFERROR($J1681/IF($A1681&lt;COUNTIFS($K$1:N$1,"&lt;&gt;"),0,SUMIFS($J:$J,$B:$B,$B1681,$A:$A,"&gt;="&amp;COUNTIFS($K$1:N$1,"&lt;&gt;"))),0)</f>
        <v>0</v>
      </c>
      <c r="O1681">
        <f>IFERROR($J1681/IF($A1681&lt;COUNTIFS($K$1:O$1,"&lt;&gt;"),0,SUMIFS($J:$J,$B:$B,$B1681,$A:$A,"&gt;="&amp;COUNTIFS($K$1:O$1,"&lt;&gt;"))),0)</f>
        <v>0</v>
      </c>
      <c r="P1681">
        <f>IFERROR($J1681/IF($A1681&lt;COUNTIFS($K$1:P$1,"&lt;&gt;"),0,SUMIFS($J:$J,$B:$B,$B1681,$A:$A,"&gt;="&amp;COUNTIFS($K$1:P$1,"&lt;&gt;"))),0)</f>
        <v>0</v>
      </c>
      <c r="Q1681">
        <f>IFERROR($J1681/IF($A1681&lt;COUNTIFS($K$1:Q$1,"&lt;&gt;"),0,SUMIFS($J:$J,$B:$B,$B1681,$A:$A,"&gt;="&amp;COUNTIFS($K$1:Q$1,"&lt;&gt;"))),0)</f>
        <v>0</v>
      </c>
      <c r="R1681">
        <f>IFERROR($J1681/IF($A1681&lt;COUNTIFS($K$1:R$1,"&lt;&gt;"),0,SUMIFS($J:$J,$B:$B,$B1681,$A:$A,"&gt;="&amp;COUNTIFS($K$1:R$1,"&lt;&gt;"))),0)</f>
        <v>0</v>
      </c>
      <c r="S1681">
        <f>IFERROR($J1681/IF($A1681&lt;COUNTIFS($K$1:S$1,"&lt;&gt;"),0,SUMIFS($J:$J,$B:$B,$B1681,$A:$A,"&gt;="&amp;COUNTIFS($K$1:S$1,"&lt;&gt;"))),0)</f>
        <v>0</v>
      </c>
      <c r="T1681">
        <f>IFERROR($J1681/IF($A1681&lt;COUNTIFS($K$1:T$1,"&lt;&gt;"),0,SUMIFS($J:$J,$B:$B,$B1681,$A:$A,"&gt;="&amp;COUNTIFS($K$1:T$1,"&lt;&gt;"))),0)</f>
        <v>0</v>
      </c>
      <c r="U1681">
        <f>IFERROR($J1681/IF($A1681&lt;COUNTIFS($K$1:U$1,"&lt;&gt;"),0,SUMIFS($J:$J,$B:$B,$B1681,$A:$A,"&gt;="&amp;COUNTIFS($K$1:U$1,"&lt;&gt;"))),0)</f>
        <v>0</v>
      </c>
      <c r="V1681">
        <f>IFERROR($J1681/IF($A1681&lt;COUNTIFS($K$1:V$1,"&lt;&gt;"),0,SUMIFS($J:$J,$B:$B,$B1681,$A:$A,"&gt;="&amp;COUNTIFS($K$1:V$1,"&lt;&gt;"))),0)</f>
        <v>0</v>
      </c>
      <c r="W1681">
        <f t="shared" si="596"/>
        <v>8.4931506849315067E-2</v>
      </c>
      <c r="X1681">
        <f t="shared" si="576"/>
        <v>8.4931506849315067E-2</v>
      </c>
      <c r="Y1681">
        <f t="shared" si="577"/>
        <v>8.4931506849315067E-2</v>
      </c>
      <c r="Z1681">
        <f t="shared" si="578"/>
        <v>0</v>
      </c>
      <c r="AA1681">
        <f t="shared" si="579"/>
        <v>0</v>
      </c>
      <c r="AB1681">
        <f t="shared" si="580"/>
        <v>0</v>
      </c>
      <c r="AC1681">
        <f t="shared" si="581"/>
        <v>0</v>
      </c>
      <c r="AD1681">
        <f t="shared" si="582"/>
        <v>0</v>
      </c>
      <c r="AE1681">
        <f t="shared" si="583"/>
        <v>0</v>
      </c>
      <c r="AF1681">
        <f t="shared" si="584"/>
        <v>0</v>
      </c>
      <c r="AG1681">
        <f t="shared" si="585"/>
        <v>0</v>
      </c>
      <c r="AH1681">
        <f t="shared" si="586"/>
        <v>0</v>
      </c>
      <c r="AI1681">
        <f t="shared" si="587"/>
        <v>0</v>
      </c>
      <c r="AJ1681" s="2" t="str">
        <f t="shared" si="597"/>
        <v>247757</v>
      </c>
    </row>
    <row r="1682" spans="1:36" x14ac:dyDescent="0.25">
      <c r="A1682">
        <v>3</v>
      </c>
      <c r="B1682" s="1">
        <v>47757</v>
      </c>
      <c r="C1682" s="1">
        <f t="shared" si="588"/>
        <v>47849</v>
      </c>
      <c r="D1682" s="1">
        <f t="shared" si="589"/>
        <v>47771</v>
      </c>
      <c r="E1682" s="1">
        <f t="shared" si="590"/>
        <v>47849</v>
      </c>
      <c r="F1682" s="1">
        <f t="shared" si="591"/>
        <v>47880</v>
      </c>
      <c r="G1682" s="1">
        <f t="shared" si="592"/>
        <v>48136</v>
      </c>
      <c r="H1682">
        <f t="shared" si="593"/>
        <v>365</v>
      </c>
      <c r="I1682">
        <f t="shared" si="594"/>
        <v>31</v>
      </c>
      <c r="J1682">
        <f t="shared" si="595"/>
        <v>8.4931506849315067E-2</v>
      </c>
      <c r="K1682">
        <f>IFERROR($J1682/IF($A1682&lt;COUNTIFS($K$1:K$1,"&lt;&gt;"),0,SUMIFS($J:$J,$B:$B,$B1682,$A:$A,"&gt;="&amp;COUNTIFS($K$1:K$1,"&lt;&gt;"))),0)</f>
        <v>8.9080459770114959E-2</v>
      </c>
      <c r="L1682">
        <f>IFERROR($J1682/IF($A1682&lt;COUNTIFS($K$1:L$1,"&lt;&gt;"),0,SUMIFS($J:$J,$B:$B,$B1682,$A:$A,"&gt;="&amp;COUNTIFS($K$1:L$1,"&lt;&gt;"))),0)</f>
        <v>9.7484276729559768E-2</v>
      </c>
      <c r="M1682">
        <f>IFERROR($J1682/IF($A1682&lt;COUNTIFS($K$1:M$1,"&lt;&gt;"),0,SUMIFS($J:$J,$B:$B,$B1682,$A:$A,"&gt;="&amp;COUNTIFS($K$1:M$1,"&lt;&gt;"))),0)</f>
        <v>0.10801393728222998</v>
      </c>
      <c r="N1682">
        <f>IFERROR($J1682/IF($A1682&lt;COUNTIFS($K$1:N$1,"&lt;&gt;"),0,SUMIFS($J:$J,$B:$B,$B1682,$A:$A,"&gt;="&amp;COUNTIFS($K$1:N$1,"&lt;&gt;"))),0)</f>
        <v>0</v>
      </c>
      <c r="O1682">
        <f>IFERROR($J1682/IF($A1682&lt;COUNTIFS($K$1:O$1,"&lt;&gt;"),0,SUMIFS($J:$J,$B:$B,$B1682,$A:$A,"&gt;="&amp;COUNTIFS($K$1:O$1,"&lt;&gt;"))),0)</f>
        <v>0</v>
      </c>
      <c r="P1682">
        <f>IFERROR($J1682/IF($A1682&lt;COUNTIFS($K$1:P$1,"&lt;&gt;"),0,SUMIFS($J:$J,$B:$B,$B1682,$A:$A,"&gt;="&amp;COUNTIFS($K$1:P$1,"&lt;&gt;"))),0)</f>
        <v>0</v>
      </c>
      <c r="Q1682">
        <f>IFERROR($J1682/IF($A1682&lt;COUNTIFS($K$1:Q$1,"&lt;&gt;"),0,SUMIFS($J:$J,$B:$B,$B1682,$A:$A,"&gt;="&amp;COUNTIFS($K$1:Q$1,"&lt;&gt;"))),0)</f>
        <v>0</v>
      </c>
      <c r="R1682">
        <f>IFERROR($J1682/IF($A1682&lt;COUNTIFS($K$1:R$1,"&lt;&gt;"),0,SUMIFS($J:$J,$B:$B,$B1682,$A:$A,"&gt;="&amp;COUNTIFS($K$1:R$1,"&lt;&gt;"))),0)</f>
        <v>0</v>
      </c>
      <c r="S1682">
        <f>IFERROR($J1682/IF($A1682&lt;COUNTIFS($K$1:S$1,"&lt;&gt;"),0,SUMIFS($J:$J,$B:$B,$B1682,$A:$A,"&gt;="&amp;COUNTIFS($K$1:S$1,"&lt;&gt;"))),0)</f>
        <v>0</v>
      </c>
      <c r="T1682">
        <f>IFERROR($J1682/IF($A1682&lt;COUNTIFS($K$1:T$1,"&lt;&gt;"),0,SUMIFS($J:$J,$B:$B,$B1682,$A:$A,"&gt;="&amp;COUNTIFS($K$1:T$1,"&lt;&gt;"))),0)</f>
        <v>0</v>
      </c>
      <c r="U1682">
        <f>IFERROR($J1682/IF($A1682&lt;COUNTIFS($K$1:U$1,"&lt;&gt;"),0,SUMIFS($J:$J,$B:$B,$B1682,$A:$A,"&gt;="&amp;COUNTIFS($K$1:U$1,"&lt;&gt;"))),0)</f>
        <v>0</v>
      </c>
      <c r="V1682">
        <f>IFERROR($J1682/IF($A1682&lt;COUNTIFS($K$1:V$1,"&lt;&gt;"),0,SUMIFS($J:$J,$B:$B,$B1682,$A:$A,"&gt;="&amp;COUNTIFS($K$1:V$1,"&lt;&gt;"))),0)</f>
        <v>0</v>
      </c>
      <c r="W1682">
        <f t="shared" si="596"/>
        <v>8.4931506849315067E-2</v>
      </c>
      <c r="X1682">
        <f t="shared" si="576"/>
        <v>8.4931506849315067E-2</v>
      </c>
      <c r="Y1682">
        <f t="shared" si="577"/>
        <v>8.4931506849315067E-2</v>
      </c>
      <c r="Z1682">
        <f t="shared" si="578"/>
        <v>8.4931506849315067E-2</v>
      </c>
      <c r="AA1682">
        <f t="shared" si="579"/>
        <v>0</v>
      </c>
      <c r="AB1682">
        <f t="shared" si="580"/>
        <v>0</v>
      </c>
      <c r="AC1682">
        <f t="shared" si="581"/>
        <v>0</v>
      </c>
      <c r="AD1682">
        <f t="shared" si="582"/>
        <v>0</v>
      </c>
      <c r="AE1682">
        <f t="shared" si="583"/>
        <v>0</v>
      </c>
      <c r="AF1682">
        <f t="shared" si="584"/>
        <v>0</v>
      </c>
      <c r="AG1682">
        <f t="shared" si="585"/>
        <v>0</v>
      </c>
      <c r="AH1682">
        <f t="shared" si="586"/>
        <v>0</v>
      </c>
      <c r="AI1682">
        <f t="shared" si="587"/>
        <v>0</v>
      </c>
      <c r="AJ1682" s="2" t="str">
        <f t="shared" si="597"/>
        <v>347757</v>
      </c>
    </row>
    <row r="1683" spans="1:36" x14ac:dyDescent="0.25">
      <c r="A1683">
        <v>4</v>
      </c>
      <c r="B1683" s="1">
        <v>47757</v>
      </c>
      <c r="C1683" s="1">
        <f t="shared" si="588"/>
        <v>47880</v>
      </c>
      <c r="D1683" s="1">
        <f t="shared" si="589"/>
        <v>47771</v>
      </c>
      <c r="E1683" s="1">
        <f t="shared" si="590"/>
        <v>47880</v>
      </c>
      <c r="F1683" s="1">
        <f t="shared" si="591"/>
        <v>47908</v>
      </c>
      <c r="G1683" s="1">
        <f t="shared" si="592"/>
        <v>48136</v>
      </c>
      <c r="H1683">
        <f t="shared" si="593"/>
        <v>365</v>
      </c>
      <c r="I1683">
        <f t="shared" si="594"/>
        <v>28</v>
      </c>
      <c r="J1683">
        <f t="shared" si="595"/>
        <v>7.6712328767123292E-2</v>
      </c>
      <c r="K1683">
        <f>IFERROR($J1683/IF($A1683&lt;COUNTIFS($K$1:K$1,"&lt;&gt;"),0,SUMIFS($J:$J,$B:$B,$B1683,$A:$A,"&gt;="&amp;COUNTIFS($K$1:K$1,"&lt;&gt;"))),0)</f>
        <v>8.0459770114942541E-2</v>
      </c>
      <c r="L1683">
        <f>IFERROR($J1683/IF($A1683&lt;COUNTIFS($K$1:L$1,"&lt;&gt;"),0,SUMIFS($J:$J,$B:$B,$B1683,$A:$A,"&gt;="&amp;COUNTIFS($K$1:L$1,"&lt;&gt;"))),0)</f>
        <v>8.8050314465408827E-2</v>
      </c>
      <c r="M1683">
        <f>IFERROR($J1683/IF($A1683&lt;COUNTIFS($K$1:M$1,"&lt;&gt;"),0,SUMIFS($J:$J,$B:$B,$B1683,$A:$A,"&gt;="&amp;COUNTIFS($K$1:M$1,"&lt;&gt;"))),0)</f>
        <v>9.7560975609756115E-2</v>
      </c>
      <c r="N1683">
        <f>IFERROR($J1683/IF($A1683&lt;COUNTIFS($K$1:N$1,"&lt;&gt;"),0,SUMIFS($J:$J,$B:$B,$B1683,$A:$A,"&gt;="&amp;COUNTIFS($K$1:N$1,"&lt;&gt;"))),0)</f>
        <v>0.10937500000000003</v>
      </c>
      <c r="O1683">
        <f>IFERROR($J1683/IF($A1683&lt;COUNTIFS($K$1:O$1,"&lt;&gt;"),0,SUMIFS($J:$J,$B:$B,$B1683,$A:$A,"&gt;="&amp;COUNTIFS($K$1:O$1,"&lt;&gt;"))),0)</f>
        <v>0</v>
      </c>
      <c r="P1683">
        <f>IFERROR($J1683/IF($A1683&lt;COUNTIFS($K$1:P$1,"&lt;&gt;"),0,SUMIFS($J:$J,$B:$B,$B1683,$A:$A,"&gt;="&amp;COUNTIFS($K$1:P$1,"&lt;&gt;"))),0)</f>
        <v>0</v>
      </c>
      <c r="Q1683">
        <f>IFERROR($J1683/IF($A1683&lt;COUNTIFS($K$1:Q$1,"&lt;&gt;"),0,SUMIFS($J:$J,$B:$B,$B1683,$A:$A,"&gt;="&amp;COUNTIFS($K$1:Q$1,"&lt;&gt;"))),0)</f>
        <v>0</v>
      </c>
      <c r="R1683">
        <f>IFERROR($J1683/IF($A1683&lt;COUNTIFS($K$1:R$1,"&lt;&gt;"),0,SUMIFS($J:$J,$B:$B,$B1683,$A:$A,"&gt;="&amp;COUNTIFS($K$1:R$1,"&lt;&gt;"))),0)</f>
        <v>0</v>
      </c>
      <c r="S1683">
        <f>IFERROR($J1683/IF($A1683&lt;COUNTIFS($K$1:S$1,"&lt;&gt;"),0,SUMIFS($J:$J,$B:$B,$B1683,$A:$A,"&gt;="&amp;COUNTIFS($K$1:S$1,"&lt;&gt;"))),0)</f>
        <v>0</v>
      </c>
      <c r="T1683">
        <f>IFERROR($J1683/IF($A1683&lt;COUNTIFS($K$1:T$1,"&lt;&gt;"),0,SUMIFS($J:$J,$B:$B,$B1683,$A:$A,"&gt;="&amp;COUNTIFS($K$1:T$1,"&lt;&gt;"))),0)</f>
        <v>0</v>
      </c>
      <c r="U1683">
        <f>IFERROR($J1683/IF($A1683&lt;COUNTIFS($K$1:U$1,"&lt;&gt;"),0,SUMIFS($J:$J,$B:$B,$B1683,$A:$A,"&gt;="&amp;COUNTIFS($K$1:U$1,"&lt;&gt;"))),0)</f>
        <v>0</v>
      </c>
      <c r="V1683">
        <f>IFERROR($J1683/IF($A1683&lt;COUNTIFS($K$1:V$1,"&lt;&gt;"),0,SUMIFS($J:$J,$B:$B,$B1683,$A:$A,"&gt;="&amp;COUNTIFS($K$1:V$1,"&lt;&gt;"))),0)</f>
        <v>0</v>
      </c>
      <c r="W1683">
        <f t="shared" si="596"/>
        <v>7.6712328767123292E-2</v>
      </c>
      <c r="X1683">
        <f t="shared" si="576"/>
        <v>7.6712328767123292E-2</v>
      </c>
      <c r="Y1683">
        <f t="shared" si="577"/>
        <v>7.6712328767123292E-2</v>
      </c>
      <c r="Z1683">
        <f t="shared" si="578"/>
        <v>7.6712328767123292E-2</v>
      </c>
      <c r="AA1683">
        <f t="shared" si="579"/>
        <v>7.6712328767123292E-2</v>
      </c>
      <c r="AB1683">
        <f t="shared" si="580"/>
        <v>0</v>
      </c>
      <c r="AC1683">
        <f t="shared" si="581"/>
        <v>0</v>
      </c>
      <c r="AD1683">
        <f t="shared" si="582"/>
        <v>0</v>
      </c>
      <c r="AE1683">
        <f t="shared" si="583"/>
        <v>0</v>
      </c>
      <c r="AF1683">
        <f t="shared" si="584"/>
        <v>0</v>
      </c>
      <c r="AG1683">
        <f t="shared" si="585"/>
        <v>0</v>
      </c>
      <c r="AH1683">
        <f t="shared" si="586"/>
        <v>0</v>
      </c>
      <c r="AI1683">
        <f t="shared" si="587"/>
        <v>0</v>
      </c>
      <c r="AJ1683" s="2" t="str">
        <f t="shared" si="597"/>
        <v>447757</v>
      </c>
    </row>
    <row r="1684" spans="1:36" x14ac:dyDescent="0.25">
      <c r="A1684">
        <v>5</v>
      </c>
      <c r="B1684" s="1">
        <v>47757</v>
      </c>
      <c r="C1684" s="1">
        <f t="shared" si="588"/>
        <v>47908</v>
      </c>
      <c r="D1684" s="1">
        <f t="shared" si="589"/>
        <v>47771</v>
      </c>
      <c r="E1684" s="1">
        <f t="shared" si="590"/>
        <v>47908</v>
      </c>
      <c r="F1684" s="1">
        <f t="shared" si="591"/>
        <v>47939</v>
      </c>
      <c r="G1684" s="1">
        <f t="shared" si="592"/>
        <v>48136</v>
      </c>
      <c r="H1684">
        <f t="shared" si="593"/>
        <v>365</v>
      </c>
      <c r="I1684">
        <f t="shared" si="594"/>
        <v>31</v>
      </c>
      <c r="J1684">
        <f t="shared" si="595"/>
        <v>8.4931506849315067E-2</v>
      </c>
      <c r="K1684">
        <f>IFERROR($J1684/IF($A1684&lt;COUNTIFS($K$1:K$1,"&lt;&gt;"),0,SUMIFS($J:$J,$B:$B,$B1684,$A:$A,"&gt;="&amp;COUNTIFS($K$1:K$1,"&lt;&gt;"))),0)</f>
        <v>8.9080459770114959E-2</v>
      </c>
      <c r="L1684">
        <f>IFERROR($J1684/IF($A1684&lt;COUNTIFS($K$1:L$1,"&lt;&gt;"),0,SUMIFS($J:$J,$B:$B,$B1684,$A:$A,"&gt;="&amp;COUNTIFS($K$1:L$1,"&lt;&gt;"))),0)</f>
        <v>9.7484276729559768E-2</v>
      </c>
      <c r="M1684">
        <f>IFERROR($J1684/IF($A1684&lt;COUNTIFS($K$1:M$1,"&lt;&gt;"),0,SUMIFS($J:$J,$B:$B,$B1684,$A:$A,"&gt;="&amp;COUNTIFS($K$1:M$1,"&lt;&gt;"))),0)</f>
        <v>0.10801393728222998</v>
      </c>
      <c r="N1684">
        <f>IFERROR($J1684/IF($A1684&lt;COUNTIFS($K$1:N$1,"&lt;&gt;"),0,SUMIFS($J:$J,$B:$B,$B1684,$A:$A,"&gt;="&amp;COUNTIFS($K$1:N$1,"&lt;&gt;"))),0)</f>
        <v>0.12109375000000001</v>
      </c>
      <c r="O1684">
        <f>IFERROR($J1684/IF($A1684&lt;COUNTIFS($K$1:O$1,"&lt;&gt;"),0,SUMIFS($J:$J,$B:$B,$B1684,$A:$A,"&gt;="&amp;COUNTIFS($K$1:O$1,"&lt;&gt;"))),0)</f>
        <v>0.13596491228070179</v>
      </c>
      <c r="P1684">
        <f>IFERROR($J1684/IF($A1684&lt;COUNTIFS($K$1:P$1,"&lt;&gt;"),0,SUMIFS($J:$J,$B:$B,$B1684,$A:$A,"&gt;="&amp;COUNTIFS($K$1:P$1,"&lt;&gt;"))),0)</f>
        <v>0</v>
      </c>
      <c r="Q1684">
        <f>IFERROR($J1684/IF($A1684&lt;COUNTIFS($K$1:Q$1,"&lt;&gt;"),0,SUMIFS($J:$J,$B:$B,$B1684,$A:$A,"&gt;="&amp;COUNTIFS($K$1:Q$1,"&lt;&gt;"))),0)</f>
        <v>0</v>
      </c>
      <c r="R1684">
        <f>IFERROR($J1684/IF($A1684&lt;COUNTIFS($K$1:R$1,"&lt;&gt;"),0,SUMIFS($J:$J,$B:$B,$B1684,$A:$A,"&gt;="&amp;COUNTIFS($K$1:R$1,"&lt;&gt;"))),0)</f>
        <v>0</v>
      </c>
      <c r="S1684">
        <f>IFERROR($J1684/IF($A1684&lt;COUNTIFS($K$1:S$1,"&lt;&gt;"),0,SUMIFS($J:$J,$B:$B,$B1684,$A:$A,"&gt;="&amp;COUNTIFS($K$1:S$1,"&lt;&gt;"))),0)</f>
        <v>0</v>
      </c>
      <c r="T1684">
        <f>IFERROR($J1684/IF($A1684&lt;COUNTIFS($K$1:T$1,"&lt;&gt;"),0,SUMIFS($J:$J,$B:$B,$B1684,$A:$A,"&gt;="&amp;COUNTIFS($K$1:T$1,"&lt;&gt;"))),0)</f>
        <v>0</v>
      </c>
      <c r="U1684">
        <f>IFERROR($J1684/IF($A1684&lt;COUNTIFS($K$1:U$1,"&lt;&gt;"),0,SUMIFS($J:$J,$B:$B,$B1684,$A:$A,"&gt;="&amp;COUNTIFS($K$1:U$1,"&lt;&gt;"))),0)</f>
        <v>0</v>
      </c>
      <c r="V1684">
        <f>IFERROR($J1684/IF($A1684&lt;COUNTIFS($K$1:V$1,"&lt;&gt;"),0,SUMIFS($J:$J,$B:$B,$B1684,$A:$A,"&gt;="&amp;COUNTIFS($K$1:V$1,"&lt;&gt;"))),0)</f>
        <v>0</v>
      </c>
      <c r="W1684">
        <f t="shared" si="596"/>
        <v>8.4931506849315067E-2</v>
      </c>
      <c r="X1684">
        <f t="shared" si="576"/>
        <v>8.4931506849315067E-2</v>
      </c>
      <c r="Y1684">
        <f t="shared" si="577"/>
        <v>8.4931506849315067E-2</v>
      </c>
      <c r="Z1684">
        <f t="shared" si="578"/>
        <v>8.4931506849315067E-2</v>
      </c>
      <c r="AA1684">
        <f t="shared" si="579"/>
        <v>8.4931506849315067E-2</v>
      </c>
      <c r="AB1684">
        <f t="shared" si="580"/>
        <v>8.4931506849315067E-2</v>
      </c>
      <c r="AC1684">
        <f t="shared" si="581"/>
        <v>0</v>
      </c>
      <c r="AD1684">
        <f t="shared" si="582"/>
        <v>0</v>
      </c>
      <c r="AE1684">
        <f t="shared" si="583"/>
        <v>0</v>
      </c>
      <c r="AF1684">
        <f t="shared" si="584"/>
        <v>0</v>
      </c>
      <c r="AG1684">
        <f t="shared" si="585"/>
        <v>0</v>
      </c>
      <c r="AH1684">
        <f t="shared" si="586"/>
        <v>0</v>
      </c>
      <c r="AI1684">
        <f t="shared" si="587"/>
        <v>0</v>
      </c>
      <c r="AJ1684" s="2" t="str">
        <f t="shared" si="597"/>
        <v>547757</v>
      </c>
    </row>
    <row r="1685" spans="1:36" x14ac:dyDescent="0.25">
      <c r="A1685">
        <v>6</v>
      </c>
      <c r="B1685" s="1">
        <v>47757</v>
      </c>
      <c r="C1685" s="1">
        <f t="shared" si="588"/>
        <v>47939</v>
      </c>
      <c r="D1685" s="1">
        <f t="shared" si="589"/>
        <v>47771</v>
      </c>
      <c r="E1685" s="1">
        <f t="shared" si="590"/>
        <v>47939</v>
      </c>
      <c r="F1685" s="1">
        <f t="shared" si="591"/>
        <v>47969</v>
      </c>
      <c r="G1685" s="1">
        <f t="shared" si="592"/>
        <v>48136</v>
      </c>
      <c r="H1685">
        <f t="shared" si="593"/>
        <v>365</v>
      </c>
      <c r="I1685">
        <f t="shared" si="594"/>
        <v>30</v>
      </c>
      <c r="J1685">
        <f t="shared" si="595"/>
        <v>8.2191780821917804E-2</v>
      </c>
      <c r="K1685">
        <f>IFERROR($J1685/IF($A1685&lt;COUNTIFS($K$1:K$1,"&lt;&gt;"),0,SUMIFS($J:$J,$B:$B,$B1685,$A:$A,"&gt;="&amp;COUNTIFS($K$1:K$1,"&lt;&gt;"))),0)</f>
        <v>8.6206896551724144E-2</v>
      </c>
      <c r="L1685">
        <f>IFERROR($J1685/IF($A1685&lt;COUNTIFS($K$1:L$1,"&lt;&gt;"),0,SUMIFS($J:$J,$B:$B,$B1685,$A:$A,"&gt;="&amp;COUNTIFS($K$1:L$1,"&lt;&gt;"))),0)</f>
        <v>9.4339622641509441E-2</v>
      </c>
      <c r="M1685">
        <f>IFERROR($J1685/IF($A1685&lt;COUNTIFS($K$1:M$1,"&lt;&gt;"),0,SUMIFS($J:$J,$B:$B,$B1685,$A:$A,"&gt;="&amp;COUNTIFS($K$1:M$1,"&lt;&gt;"))),0)</f>
        <v>0.10452961672473869</v>
      </c>
      <c r="N1685">
        <f>IFERROR($J1685/IF($A1685&lt;COUNTIFS($K$1:N$1,"&lt;&gt;"),0,SUMIFS($J:$J,$B:$B,$B1685,$A:$A,"&gt;="&amp;COUNTIFS($K$1:N$1,"&lt;&gt;"))),0)</f>
        <v>0.11718750000000001</v>
      </c>
      <c r="O1685">
        <f>IFERROR($J1685/IF($A1685&lt;COUNTIFS($K$1:O$1,"&lt;&gt;"),0,SUMIFS($J:$J,$B:$B,$B1685,$A:$A,"&gt;="&amp;COUNTIFS($K$1:O$1,"&lt;&gt;"))),0)</f>
        <v>0.13157894736842107</v>
      </c>
      <c r="P1685">
        <f>IFERROR($J1685/IF($A1685&lt;COUNTIFS($K$1:P$1,"&lt;&gt;"),0,SUMIFS($J:$J,$B:$B,$B1685,$A:$A,"&gt;="&amp;COUNTIFS($K$1:P$1,"&lt;&gt;"))),0)</f>
        <v>0.15228426395939088</v>
      </c>
      <c r="Q1685">
        <f>IFERROR($J1685/IF($A1685&lt;COUNTIFS($K$1:Q$1,"&lt;&gt;"),0,SUMIFS($J:$J,$B:$B,$B1685,$A:$A,"&gt;="&amp;COUNTIFS($K$1:Q$1,"&lt;&gt;"))),0)</f>
        <v>0</v>
      </c>
      <c r="R1685">
        <f>IFERROR($J1685/IF($A1685&lt;COUNTIFS($K$1:R$1,"&lt;&gt;"),0,SUMIFS($J:$J,$B:$B,$B1685,$A:$A,"&gt;="&amp;COUNTIFS($K$1:R$1,"&lt;&gt;"))),0)</f>
        <v>0</v>
      </c>
      <c r="S1685">
        <f>IFERROR($J1685/IF($A1685&lt;COUNTIFS($K$1:S$1,"&lt;&gt;"),0,SUMIFS($J:$J,$B:$B,$B1685,$A:$A,"&gt;="&amp;COUNTIFS($K$1:S$1,"&lt;&gt;"))),0)</f>
        <v>0</v>
      </c>
      <c r="T1685">
        <f>IFERROR($J1685/IF($A1685&lt;COUNTIFS($K$1:T$1,"&lt;&gt;"),0,SUMIFS($J:$J,$B:$B,$B1685,$A:$A,"&gt;="&amp;COUNTIFS($K$1:T$1,"&lt;&gt;"))),0)</f>
        <v>0</v>
      </c>
      <c r="U1685">
        <f>IFERROR($J1685/IF($A1685&lt;COUNTIFS($K$1:U$1,"&lt;&gt;"),0,SUMIFS($J:$J,$B:$B,$B1685,$A:$A,"&gt;="&amp;COUNTIFS($K$1:U$1,"&lt;&gt;"))),0)</f>
        <v>0</v>
      </c>
      <c r="V1685">
        <f>IFERROR($J1685/IF($A1685&lt;COUNTIFS($K$1:V$1,"&lt;&gt;"),0,SUMIFS($J:$J,$B:$B,$B1685,$A:$A,"&gt;="&amp;COUNTIFS($K$1:V$1,"&lt;&gt;"))),0)</f>
        <v>0</v>
      </c>
      <c r="W1685">
        <f t="shared" si="596"/>
        <v>8.2191780821917804E-2</v>
      </c>
      <c r="X1685">
        <f t="shared" si="576"/>
        <v>8.2191780821917804E-2</v>
      </c>
      <c r="Y1685">
        <f t="shared" si="577"/>
        <v>8.2191780821917804E-2</v>
      </c>
      <c r="Z1685">
        <f t="shared" si="578"/>
        <v>8.2191780821917804E-2</v>
      </c>
      <c r="AA1685">
        <f t="shared" si="579"/>
        <v>8.2191780821917804E-2</v>
      </c>
      <c r="AB1685">
        <f t="shared" si="580"/>
        <v>8.2191780821917804E-2</v>
      </c>
      <c r="AC1685">
        <f t="shared" si="581"/>
        <v>8.2191780821917804E-2</v>
      </c>
      <c r="AD1685">
        <f t="shared" si="582"/>
        <v>0</v>
      </c>
      <c r="AE1685">
        <f t="shared" si="583"/>
        <v>0</v>
      </c>
      <c r="AF1685">
        <f t="shared" si="584"/>
        <v>0</v>
      </c>
      <c r="AG1685">
        <f t="shared" si="585"/>
        <v>0</v>
      </c>
      <c r="AH1685">
        <f t="shared" si="586"/>
        <v>0</v>
      </c>
      <c r="AI1685">
        <f t="shared" si="587"/>
        <v>0</v>
      </c>
      <c r="AJ1685" s="2" t="str">
        <f t="shared" si="597"/>
        <v>647757</v>
      </c>
    </row>
    <row r="1686" spans="1:36" x14ac:dyDescent="0.25">
      <c r="A1686">
        <v>7</v>
      </c>
      <c r="B1686" s="1">
        <v>47757</v>
      </c>
      <c r="C1686" s="1">
        <f t="shared" si="588"/>
        <v>47969</v>
      </c>
      <c r="D1686" s="1">
        <f t="shared" si="589"/>
        <v>47771</v>
      </c>
      <c r="E1686" s="1">
        <f t="shared" si="590"/>
        <v>47969</v>
      </c>
      <c r="F1686" s="1">
        <f t="shared" si="591"/>
        <v>48000</v>
      </c>
      <c r="G1686" s="1">
        <f t="shared" si="592"/>
        <v>48136</v>
      </c>
      <c r="H1686">
        <f t="shared" si="593"/>
        <v>365</v>
      </c>
      <c r="I1686">
        <f t="shared" si="594"/>
        <v>31</v>
      </c>
      <c r="J1686">
        <f t="shared" si="595"/>
        <v>8.4931506849315067E-2</v>
      </c>
      <c r="K1686">
        <f>IFERROR($J1686/IF($A1686&lt;COUNTIFS($K$1:K$1,"&lt;&gt;"),0,SUMIFS($J:$J,$B:$B,$B1686,$A:$A,"&gt;="&amp;COUNTIFS($K$1:K$1,"&lt;&gt;"))),0)</f>
        <v>8.9080459770114959E-2</v>
      </c>
      <c r="L1686">
        <f>IFERROR($J1686/IF($A1686&lt;COUNTIFS($K$1:L$1,"&lt;&gt;"),0,SUMIFS($J:$J,$B:$B,$B1686,$A:$A,"&gt;="&amp;COUNTIFS($K$1:L$1,"&lt;&gt;"))),0)</f>
        <v>9.7484276729559768E-2</v>
      </c>
      <c r="M1686">
        <f>IFERROR($J1686/IF($A1686&lt;COUNTIFS($K$1:M$1,"&lt;&gt;"),0,SUMIFS($J:$J,$B:$B,$B1686,$A:$A,"&gt;="&amp;COUNTIFS($K$1:M$1,"&lt;&gt;"))),0)</f>
        <v>0.10801393728222998</v>
      </c>
      <c r="N1686">
        <f>IFERROR($J1686/IF($A1686&lt;COUNTIFS($K$1:N$1,"&lt;&gt;"),0,SUMIFS($J:$J,$B:$B,$B1686,$A:$A,"&gt;="&amp;COUNTIFS($K$1:N$1,"&lt;&gt;"))),0)</f>
        <v>0.12109375000000001</v>
      </c>
      <c r="O1686">
        <f>IFERROR($J1686/IF($A1686&lt;COUNTIFS($K$1:O$1,"&lt;&gt;"),0,SUMIFS($J:$J,$B:$B,$B1686,$A:$A,"&gt;="&amp;COUNTIFS($K$1:O$1,"&lt;&gt;"))),0)</f>
        <v>0.13596491228070179</v>
      </c>
      <c r="P1686">
        <f>IFERROR($J1686/IF($A1686&lt;COUNTIFS($K$1:P$1,"&lt;&gt;"),0,SUMIFS($J:$J,$B:$B,$B1686,$A:$A,"&gt;="&amp;COUNTIFS($K$1:P$1,"&lt;&gt;"))),0)</f>
        <v>0.15736040609137059</v>
      </c>
      <c r="Q1686">
        <f>IFERROR($J1686/IF($A1686&lt;COUNTIFS($K$1:Q$1,"&lt;&gt;"),0,SUMIFS($J:$J,$B:$B,$B1686,$A:$A,"&gt;="&amp;COUNTIFS($K$1:Q$1,"&lt;&gt;"))),0)</f>
        <v>0.18562874251497008</v>
      </c>
      <c r="R1686">
        <f>IFERROR($J1686/IF($A1686&lt;COUNTIFS($K$1:R$1,"&lt;&gt;"),0,SUMIFS($J:$J,$B:$B,$B1686,$A:$A,"&gt;="&amp;COUNTIFS($K$1:R$1,"&lt;&gt;"))),0)</f>
        <v>0</v>
      </c>
      <c r="S1686">
        <f>IFERROR($J1686/IF($A1686&lt;COUNTIFS($K$1:S$1,"&lt;&gt;"),0,SUMIFS($J:$J,$B:$B,$B1686,$A:$A,"&gt;="&amp;COUNTIFS($K$1:S$1,"&lt;&gt;"))),0)</f>
        <v>0</v>
      </c>
      <c r="T1686">
        <f>IFERROR($J1686/IF($A1686&lt;COUNTIFS($K$1:T$1,"&lt;&gt;"),0,SUMIFS($J:$J,$B:$B,$B1686,$A:$A,"&gt;="&amp;COUNTIFS($K$1:T$1,"&lt;&gt;"))),0)</f>
        <v>0</v>
      </c>
      <c r="U1686">
        <f>IFERROR($J1686/IF($A1686&lt;COUNTIFS($K$1:U$1,"&lt;&gt;"),0,SUMIFS($J:$J,$B:$B,$B1686,$A:$A,"&gt;="&amp;COUNTIFS($K$1:U$1,"&lt;&gt;"))),0)</f>
        <v>0</v>
      </c>
      <c r="V1686">
        <f>IFERROR($J1686/IF($A1686&lt;COUNTIFS($K$1:V$1,"&lt;&gt;"),0,SUMIFS($J:$J,$B:$B,$B1686,$A:$A,"&gt;="&amp;COUNTIFS($K$1:V$1,"&lt;&gt;"))),0)</f>
        <v>0</v>
      </c>
      <c r="W1686">
        <f t="shared" si="596"/>
        <v>8.4931506849315067E-2</v>
      </c>
      <c r="X1686">
        <f t="shared" si="576"/>
        <v>8.4931506849315067E-2</v>
      </c>
      <c r="Y1686">
        <f t="shared" si="577"/>
        <v>8.4931506849315067E-2</v>
      </c>
      <c r="Z1686">
        <f t="shared" si="578"/>
        <v>8.4931506849315067E-2</v>
      </c>
      <c r="AA1686">
        <f t="shared" si="579"/>
        <v>8.4931506849315067E-2</v>
      </c>
      <c r="AB1686">
        <f t="shared" si="580"/>
        <v>8.4931506849315067E-2</v>
      </c>
      <c r="AC1686">
        <f t="shared" si="581"/>
        <v>8.4931506849315067E-2</v>
      </c>
      <c r="AD1686">
        <f t="shared" si="582"/>
        <v>8.4931506849315067E-2</v>
      </c>
      <c r="AE1686">
        <f t="shared" si="583"/>
        <v>0</v>
      </c>
      <c r="AF1686">
        <f t="shared" si="584"/>
        <v>0</v>
      </c>
      <c r="AG1686">
        <f t="shared" si="585"/>
        <v>0</v>
      </c>
      <c r="AH1686">
        <f t="shared" si="586"/>
        <v>0</v>
      </c>
      <c r="AI1686">
        <f t="shared" si="587"/>
        <v>0</v>
      </c>
      <c r="AJ1686" s="2" t="str">
        <f t="shared" si="597"/>
        <v>747757</v>
      </c>
    </row>
    <row r="1687" spans="1:36" x14ac:dyDescent="0.25">
      <c r="A1687">
        <v>8</v>
      </c>
      <c r="B1687" s="1">
        <v>47757</v>
      </c>
      <c r="C1687" s="1">
        <f t="shared" si="588"/>
        <v>48000</v>
      </c>
      <c r="D1687" s="1">
        <f t="shared" si="589"/>
        <v>47771</v>
      </c>
      <c r="E1687" s="1">
        <f t="shared" si="590"/>
        <v>48000</v>
      </c>
      <c r="F1687" s="1">
        <f t="shared" si="591"/>
        <v>48030</v>
      </c>
      <c r="G1687" s="1">
        <f t="shared" si="592"/>
        <v>48136</v>
      </c>
      <c r="H1687">
        <f t="shared" si="593"/>
        <v>365</v>
      </c>
      <c r="I1687">
        <f t="shared" si="594"/>
        <v>30</v>
      </c>
      <c r="J1687">
        <f t="shared" si="595"/>
        <v>8.2191780821917804E-2</v>
      </c>
      <c r="K1687">
        <f>IFERROR($J1687/IF($A1687&lt;COUNTIFS($K$1:K$1,"&lt;&gt;"),0,SUMIFS($J:$J,$B:$B,$B1687,$A:$A,"&gt;="&amp;COUNTIFS($K$1:K$1,"&lt;&gt;"))),0)</f>
        <v>8.6206896551724144E-2</v>
      </c>
      <c r="L1687">
        <f>IFERROR($J1687/IF($A1687&lt;COUNTIFS($K$1:L$1,"&lt;&gt;"),0,SUMIFS($J:$J,$B:$B,$B1687,$A:$A,"&gt;="&amp;COUNTIFS($K$1:L$1,"&lt;&gt;"))),0)</f>
        <v>9.4339622641509441E-2</v>
      </c>
      <c r="M1687">
        <f>IFERROR($J1687/IF($A1687&lt;COUNTIFS($K$1:M$1,"&lt;&gt;"),0,SUMIFS($J:$J,$B:$B,$B1687,$A:$A,"&gt;="&amp;COUNTIFS($K$1:M$1,"&lt;&gt;"))),0)</f>
        <v>0.10452961672473869</v>
      </c>
      <c r="N1687">
        <f>IFERROR($J1687/IF($A1687&lt;COUNTIFS($K$1:N$1,"&lt;&gt;"),0,SUMIFS($J:$J,$B:$B,$B1687,$A:$A,"&gt;="&amp;COUNTIFS($K$1:N$1,"&lt;&gt;"))),0)</f>
        <v>0.11718750000000001</v>
      </c>
      <c r="O1687">
        <f>IFERROR($J1687/IF($A1687&lt;COUNTIFS($K$1:O$1,"&lt;&gt;"),0,SUMIFS($J:$J,$B:$B,$B1687,$A:$A,"&gt;="&amp;COUNTIFS($K$1:O$1,"&lt;&gt;"))),0)</f>
        <v>0.13157894736842107</v>
      </c>
      <c r="P1687">
        <f>IFERROR($J1687/IF($A1687&lt;COUNTIFS($K$1:P$1,"&lt;&gt;"),0,SUMIFS($J:$J,$B:$B,$B1687,$A:$A,"&gt;="&amp;COUNTIFS($K$1:P$1,"&lt;&gt;"))),0)</f>
        <v>0.15228426395939088</v>
      </c>
      <c r="Q1687">
        <f>IFERROR($J1687/IF($A1687&lt;COUNTIFS($K$1:Q$1,"&lt;&gt;"),0,SUMIFS($J:$J,$B:$B,$B1687,$A:$A,"&gt;="&amp;COUNTIFS($K$1:Q$1,"&lt;&gt;"))),0)</f>
        <v>0.17964071856287425</v>
      </c>
      <c r="R1687">
        <f>IFERROR($J1687/IF($A1687&lt;COUNTIFS($K$1:R$1,"&lt;&gt;"),0,SUMIFS($J:$J,$B:$B,$B1687,$A:$A,"&gt;="&amp;COUNTIFS($K$1:R$1,"&lt;&gt;"))),0)</f>
        <v>0.22058823529411764</v>
      </c>
      <c r="S1687">
        <f>IFERROR($J1687/IF($A1687&lt;COUNTIFS($K$1:S$1,"&lt;&gt;"),0,SUMIFS($J:$J,$B:$B,$B1687,$A:$A,"&gt;="&amp;COUNTIFS($K$1:S$1,"&lt;&gt;"))),0)</f>
        <v>0</v>
      </c>
      <c r="T1687">
        <f>IFERROR($J1687/IF($A1687&lt;COUNTIFS($K$1:T$1,"&lt;&gt;"),0,SUMIFS($J:$J,$B:$B,$B1687,$A:$A,"&gt;="&amp;COUNTIFS($K$1:T$1,"&lt;&gt;"))),0)</f>
        <v>0</v>
      </c>
      <c r="U1687">
        <f>IFERROR($J1687/IF($A1687&lt;COUNTIFS($K$1:U$1,"&lt;&gt;"),0,SUMIFS($J:$J,$B:$B,$B1687,$A:$A,"&gt;="&amp;COUNTIFS($K$1:U$1,"&lt;&gt;"))),0)</f>
        <v>0</v>
      </c>
      <c r="V1687">
        <f>IFERROR($J1687/IF($A1687&lt;COUNTIFS($K$1:V$1,"&lt;&gt;"),0,SUMIFS($J:$J,$B:$B,$B1687,$A:$A,"&gt;="&amp;COUNTIFS($K$1:V$1,"&lt;&gt;"))),0)</f>
        <v>0</v>
      </c>
      <c r="W1687">
        <f t="shared" si="596"/>
        <v>8.2191780821917804E-2</v>
      </c>
      <c r="X1687">
        <f t="shared" si="576"/>
        <v>8.2191780821917804E-2</v>
      </c>
      <c r="Y1687">
        <f t="shared" si="577"/>
        <v>8.2191780821917804E-2</v>
      </c>
      <c r="Z1687">
        <f t="shared" si="578"/>
        <v>8.2191780821917804E-2</v>
      </c>
      <c r="AA1687">
        <f t="shared" si="579"/>
        <v>8.2191780821917804E-2</v>
      </c>
      <c r="AB1687">
        <f t="shared" si="580"/>
        <v>8.2191780821917804E-2</v>
      </c>
      <c r="AC1687">
        <f t="shared" si="581"/>
        <v>8.2191780821917804E-2</v>
      </c>
      <c r="AD1687">
        <f t="shared" si="582"/>
        <v>8.2191780821917804E-2</v>
      </c>
      <c r="AE1687">
        <f t="shared" si="583"/>
        <v>8.2191780821917804E-2</v>
      </c>
      <c r="AF1687">
        <f t="shared" si="584"/>
        <v>0</v>
      </c>
      <c r="AG1687">
        <f t="shared" si="585"/>
        <v>0</v>
      </c>
      <c r="AH1687">
        <f t="shared" si="586"/>
        <v>0</v>
      </c>
      <c r="AI1687">
        <f t="shared" si="587"/>
        <v>0</v>
      </c>
      <c r="AJ1687" s="2" t="str">
        <f t="shared" si="597"/>
        <v>847757</v>
      </c>
    </row>
    <row r="1688" spans="1:36" x14ac:dyDescent="0.25">
      <c r="A1688">
        <v>9</v>
      </c>
      <c r="B1688" s="1">
        <v>47757</v>
      </c>
      <c r="C1688" s="1">
        <f t="shared" si="588"/>
        <v>48030</v>
      </c>
      <c r="D1688" s="1">
        <f t="shared" si="589"/>
        <v>47771</v>
      </c>
      <c r="E1688" s="1">
        <f t="shared" si="590"/>
        <v>48030</v>
      </c>
      <c r="F1688" s="1">
        <f t="shared" si="591"/>
        <v>48061</v>
      </c>
      <c r="G1688" s="1">
        <f t="shared" si="592"/>
        <v>48136</v>
      </c>
      <c r="H1688">
        <f t="shared" si="593"/>
        <v>365</v>
      </c>
      <c r="I1688">
        <f t="shared" si="594"/>
        <v>31</v>
      </c>
      <c r="J1688">
        <f t="shared" si="595"/>
        <v>8.4931506849315067E-2</v>
      </c>
      <c r="K1688">
        <f>IFERROR($J1688/IF($A1688&lt;COUNTIFS($K$1:K$1,"&lt;&gt;"),0,SUMIFS($J:$J,$B:$B,$B1688,$A:$A,"&gt;="&amp;COUNTIFS($K$1:K$1,"&lt;&gt;"))),0)</f>
        <v>8.9080459770114959E-2</v>
      </c>
      <c r="L1688">
        <f>IFERROR($J1688/IF($A1688&lt;COUNTIFS($K$1:L$1,"&lt;&gt;"),0,SUMIFS($J:$J,$B:$B,$B1688,$A:$A,"&gt;="&amp;COUNTIFS($K$1:L$1,"&lt;&gt;"))),0)</f>
        <v>9.7484276729559768E-2</v>
      </c>
      <c r="M1688">
        <f>IFERROR($J1688/IF($A1688&lt;COUNTIFS($K$1:M$1,"&lt;&gt;"),0,SUMIFS($J:$J,$B:$B,$B1688,$A:$A,"&gt;="&amp;COUNTIFS($K$1:M$1,"&lt;&gt;"))),0)</f>
        <v>0.10801393728222998</v>
      </c>
      <c r="N1688">
        <f>IFERROR($J1688/IF($A1688&lt;COUNTIFS($K$1:N$1,"&lt;&gt;"),0,SUMIFS($J:$J,$B:$B,$B1688,$A:$A,"&gt;="&amp;COUNTIFS($K$1:N$1,"&lt;&gt;"))),0)</f>
        <v>0.12109375000000001</v>
      </c>
      <c r="O1688">
        <f>IFERROR($J1688/IF($A1688&lt;COUNTIFS($K$1:O$1,"&lt;&gt;"),0,SUMIFS($J:$J,$B:$B,$B1688,$A:$A,"&gt;="&amp;COUNTIFS($K$1:O$1,"&lt;&gt;"))),0)</f>
        <v>0.13596491228070179</v>
      </c>
      <c r="P1688">
        <f>IFERROR($J1688/IF($A1688&lt;COUNTIFS($K$1:P$1,"&lt;&gt;"),0,SUMIFS($J:$J,$B:$B,$B1688,$A:$A,"&gt;="&amp;COUNTIFS($K$1:P$1,"&lt;&gt;"))),0)</f>
        <v>0.15736040609137059</v>
      </c>
      <c r="Q1688">
        <f>IFERROR($J1688/IF($A1688&lt;COUNTIFS($K$1:Q$1,"&lt;&gt;"),0,SUMIFS($J:$J,$B:$B,$B1688,$A:$A,"&gt;="&amp;COUNTIFS($K$1:Q$1,"&lt;&gt;"))),0)</f>
        <v>0.18562874251497008</v>
      </c>
      <c r="R1688">
        <f>IFERROR($J1688/IF($A1688&lt;COUNTIFS($K$1:R$1,"&lt;&gt;"),0,SUMIFS($J:$J,$B:$B,$B1688,$A:$A,"&gt;="&amp;COUNTIFS($K$1:R$1,"&lt;&gt;"))),0)</f>
        <v>0.22794117647058826</v>
      </c>
      <c r="S1688">
        <f>IFERROR($J1688/IF($A1688&lt;COUNTIFS($K$1:S$1,"&lt;&gt;"),0,SUMIFS($J:$J,$B:$B,$B1688,$A:$A,"&gt;="&amp;COUNTIFS($K$1:S$1,"&lt;&gt;"))),0)</f>
        <v>0.29245283018867929</v>
      </c>
      <c r="T1688">
        <f>IFERROR($J1688/IF($A1688&lt;COUNTIFS($K$1:T$1,"&lt;&gt;"),0,SUMIFS($J:$J,$B:$B,$B1688,$A:$A,"&gt;="&amp;COUNTIFS($K$1:T$1,"&lt;&gt;"))),0)</f>
        <v>0</v>
      </c>
      <c r="U1688">
        <f>IFERROR($J1688/IF($A1688&lt;COUNTIFS($K$1:U$1,"&lt;&gt;"),0,SUMIFS($J:$J,$B:$B,$B1688,$A:$A,"&gt;="&amp;COUNTIFS($K$1:U$1,"&lt;&gt;"))),0)</f>
        <v>0</v>
      </c>
      <c r="V1688">
        <f>IFERROR($J1688/IF($A1688&lt;COUNTIFS($K$1:V$1,"&lt;&gt;"),0,SUMIFS($J:$J,$B:$B,$B1688,$A:$A,"&gt;="&amp;COUNTIFS($K$1:V$1,"&lt;&gt;"))),0)</f>
        <v>0</v>
      </c>
      <c r="W1688">
        <f t="shared" si="596"/>
        <v>8.4931506849315067E-2</v>
      </c>
      <c r="X1688">
        <f t="shared" si="576"/>
        <v>8.4931506849315067E-2</v>
      </c>
      <c r="Y1688">
        <f t="shared" si="577"/>
        <v>8.4931506849315067E-2</v>
      </c>
      <c r="Z1688">
        <f t="shared" si="578"/>
        <v>8.4931506849315067E-2</v>
      </c>
      <c r="AA1688">
        <f t="shared" si="579"/>
        <v>8.4931506849315067E-2</v>
      </c>
      <c r="AB1688">
        <f t="shared" si="580"/>
        <v>8.4931506849315067E-2</v>
      </c>
      <c r="AC1688">
        <f t="shared" si="581"/>
        <v>8.4931506849315067E-2</v>
      </c>
      <c r="AD1688">
        <f t="shared" si="582"/>
        <v>8.4931506849315067E-2</v>
      </c>
      <c r="AE1688">
        <f t="shared" si="583"/>
        <v>8.4931506849315067E-2</v>
      </c>
      <c r="AF1688">
        <f t="shared" si="584"/>
        <v>8.4931506849315067E-2</v>
      </c>
      <c r="AG1688">
        <f t="shared" si="585"/>
        <v>0</v>
      </c>
      <c r="AH1688">
        <f t="shared" si="586"/>
        <v>0</v>
      </c>
      <c r="AI1688">
        <f t="shared" si="587"/>
        <v>0</v>
      </c>
      <c r="AJ1688" s="2" t="str">
        <f t="shared" si="597"/>
        <v>947757</v>
      </c>
    </row>
    <row r="1689" spans="1:36" x14ac:dyDescent="0.25">
      <c r="A1689">
        <v>10</v>
      </c>
      <c r="B1689" s="1">
        <v>47757</v>
      </c>
      <c r="C1689" s="1">
        <f t="shared" si="588"/>
        <v>48061</v>
      </c>
      <c r="D1689" s="1">
        <f t="shared" si="589"/>
        <v>47771</v>
      </c>
      <c r="E1689" s="1">
        <f t="shared" si="590"/>
        <v>48061</v>
      </c>
      <c r="F1689" s="1">
        <f t="shared" si="591"/>
        <v>48092</v>
      </c>
      <c r="G1689" s="1">
        <f t="shared" si="592"/>
        <v>48136</v>
      </c>
      <c r="H1689">
        <f t="shared" si="593"/>
        <v>365</v>
      </c>
      <c r="I1689">
        <f t="shared" si="594"/>
        <v>31</v>
      </c>
      <c r="J1689">
        <f t="shared" si="595"/>
        <v>8.4931506849315067E-2</v>
      </c>
      <c r="K1689">
        <f>IFERROR($J1689/IF($A1689&lt;COUNTIFS($K$1:K$1,"&lt;&gt;"),0,SUMIFS($J:$J,$B:$B,$B1689,$A:$A,"&gt;="&amp;COUNTIFS($K$1:K$1,"&lt;&gt;"))),0)</f>
        <v>8.9080459770114959E-2</v>
      </c>
      <c r="L1689">
        <f>IFERROR($J1689/IF($A1689&lt;COUNTIFS($K$1:L$1,"&lt;&gt;"),0,SUMIFS($J:$J,$B:$B,$B1689,$A:$A,"&gt;="&amp;COUNTIFS($K$1:L$1,"&lt;&gt;"))),0)</f>
        <v>9.7484276729559768E-2</v>
      </c>
      <c r="M1689">
        <f>IFERROR($J1689/IF($A1689&lt;COUNTIFS($K$1:M$1,"&lt;&gt;"),0,SUMIFS($J:$J,$B:$B,$B1689,$A:$A,"&gt;="&amp;COUNTIFS($K$1:M$1,"&lt;&gt;"))),0)</f>
        <v>0.10801393728222998</v>
      </c>
      <c r="N1689">
        <f>IFERROR($J1689/IF($A1689&lt;COUNTIFS($K$1:N$1,"&lt;&gt;"),0,SUMIFS($J:$J,$B:$B,$B1689,$A:$A,"&gt;="&amp;COUNTIFS($K$1:N$1,"&lt;&gt;"))),0)</f>
        <v>0.12109375000000001</v>
      </c>
      <c r="O1689">
        <f>IFERROR($J1689/IF($A1689&lt;COUNTIFS($K$1:O$1,"&lt;&gt;"),0,SUMIFS($J:$J,$B:$B,$B1689,$A:$A,"&gt;="&amp;COUNTIFS($K$1:O$1,"&lt;&gt;"))),0)</f>
        <v>0.13596491228070179</v>
      </c>
      <c r="P1689">
        <f>IFERROR($J1689/IF($A1689&lt;COUNTIFS($K$1:P$1,"&lt;&gt;"),0,SUMIFS($J:$J,$B:$B,$B1689,$A:$A,"&gt;="&amp;COUNTIFS($K$1:P$1,"&lt;&gt;"))),0)</f>
        <v>0.15736040609137059</v>
      </c>
      <c r="Q1689">
        <f>IFERROR($J1689/IF($A1689&lt;COUNTIFS($K$1:Q$1,"&lt;&gt;"),0,SUMIFS($J:$J,$B:$B,$B1689,$A:$A,"&gt;="&amp;COUNTIFS($K$1:Q$1,"&lt;&gt;"))),0)</f>
        <v>0.18562874251497008</v>
      </c>
      <c r="R1689">
        <f>IFERROR($J1689/IF($A1689&lt;COUNTIFS($K$1:R$1,"&lt;&gt;"),0,SUMIFS($J:$J,$B:$B,$B1689,$A:$A,"&gt;="&amp;COUNTIFS($K$1:R$1,"&lt;&gt;"))),0)</f>
        <v>0.22794117647058826</v>
      </c>
      <c r="S1689">
        <f>IFERROR($J1689/IF($A1689&lt;COUNTIFS($K$1:S$1,"&lt;&gt;"),0,SUMIFS($J:$J,$B:$B,$B1689,$A:$A,"&gt;="&amp;COUNTIFS($K$1:S$1,"&lt;&gt;"))),0)</f>
        <v>0.29245283018867929</v>
      </c>
      <c r="T1689">
        <f>IFERROR($J1689/IF($A1689&lt;COUNTIFS($K$1:T$1,"&lt;&gt;"),0,SUMIFS($J:$J,$B:$B,$B1689,$A:$A,"&gt;="&amp;COUNTIFS($K$1:T$1,"&lt;&gt;"))),0)</f>
        <v>0.41333333333333333</v>
      </c>
      <c r="U1689">
        <f>IFERROR($J1689/IF($A1689&lt;COUNTIFS($K$1:U$1,"&lt;&gt;"),0,SUMIFS($J:$J,$B:$B,$B1689,$A:$A,"&gt;="&amp;COUNTIFS($K$1:U$1,"&lt;&gt;"))),0)</f>
        <v>0</v>
      </c>
      <c r="V1689">
        <f>IFERROR($J1689/IF($A1689&lt;COUNTIFS($K$1:V$1,"&lt;&gt;"),0,SUMIFS($J:$J,$B:$B,$B1689,$A:$A,"&gt;="&amp;COUNTIFS($K$1:V$1,"&lt;&gt;"))),0)</f>
        <v>0</v>
      </c>
      <c r="W1689">
        <f t="shared" si="596"/>
        <v>8.4931506849315067E-2</v>
      </c>
      <c r="X1689">
        <f t="shared" si="576"/>
        <v>8.4931506849315067E-2</v>
      </c>
      <c r="Y1689">
        <f t="shared" si="577"/>
        <v>8.4931506849315067E-2</v>
      </c>
      <c r="Z1689">
        <f t="shared" si="578"/>
        <v>8.4931506849315067E-2</v>
      </c>
      <c r="AA1689">
        <f t="shared" si="579"/>
        <v>8.4931506849315067E-2</v>
      </c>
      <c r="AB1689">
        <f t="shared" si="580"/>
        <v>8.4931506849315067E-2</v>
      </c>
      <c r="AC1689">
        <f t="shared" si="581"/>
        <v>8.4931506849315067E-2</v>
      </c>
      <c r="AD1689">
        <f t="shared" si="582"/>
        <v>8.4931506849315067E-2</v>
      </c>
      <c r="AE1689">
        <f t="shared" si="583"/>
        <v>8.4931506849315067E-2</v>
      </c>
      <c r="AF1689">
        <f t="shared" si="584"/>
        <v>8.4931506849315067E-2</v>
      </c>
      <c r="AG1689">
        <f t="shared" si="585"/>
        <v>8.4931506849315067E-2</v>
      </c>
      <c r="AH1689">
        <f t="shared" si="586"/>
        <v>0</v>
      </c>
      <c r="AI1689">
        <f t="shared" si="587"/>
        <v>0</v>
      </c>
      <c r="AJ1689" s="2" t="str">
        <f t="shared" si="597"/>
        <v>1047757</v>
      </c>
    </row>
    <row r="1690" spans="1:36" x14ac:dyDescent="0.25">
      <c r="A1690">
        <v>11</v>
      </c>
      <c r="B1690" s="1">
        <v>47757</v>
      </c>
      <c r="C1690" s="1">
        <f t="shared" si="588"/>
        <v>48092</v>
      </c>
      <c r="D1690" s="1">
        <f t="shared" si="589"/>
        <v>47771</v>
      </c>
      <c r="E1690" s="1">
        <f t="shared" si="590"/>
        <v>48092</v>
      </c>
      <c r="F1690" s="1">
        <f t="shared" si="591"/>
        <v>48122</v>
      </c>
      <c r="G1690" s="1">
        <f t="shared" si="592"/>
        <v>48136</v>
      </c>
      <c r="H1690">
        <f t="shared" si="593"/>
        <v>365</v>
      </c>
      <c r="I1690">
        <f t="shared" si="594"/>
        <v>30</v>
      </c>
      <c r="J1690">
        <f t="shared" si="595"/>
        <v>8.2191780821917804E-2</v>
      </c>
      <c r="K1690">
        <f>IFERROR($J1690/IF($A1690&lt;COUNTIFS($K$1:K$1,"&lt;&gt;"),0,SUMIFS($J:$J,$B:$B,$B1690,$A:$A,"&gt;="&amp;COUNTIFS($K$1:K$1,"&lt;&gt;"))),0)</f>
        <v>8.6206896551724144E-2</v>
      </c>
      <c r="L1690">
        <f>IFERROR($J1690/IF($A1690&lt;COUNTIFS($K$1:L$1,"&lt;&gt;"),0,SUMIFS($J:$J,$B:$B,$B1690,$A:$A,"&gt;="&amp;COUNTIFS($K$1:L$1,"&lt;&gt;"))),0)</f>
        <v>9.4339622641509441E-2</v>
      </c>
      <c r="M1690">
        <f>IFERROR($J1690/IF($A1690&lt;COUNTIFS($K$1:M$1,"&lt;&gt;"),0,SUMIFS($J:$J,$B:$B,$B1690,$A:$A,"&gt;="&amp;COUNTIFS($K$1:M$1,"&lt;&gt;"))),0)</f>
        <v>0.10452961672473869</v>
      </c>
      <c r="N1690">
        <f>IFERROR($J1690/IF($A1690&lt;COUNTIFS($K$1:N$1,"&lt;&gt;"),0,SUMIFS($J:$J,$B:$B,$B1690,$A:$A,"&gt;="&amp;COUNTIFS($K$1:N$1,"&lt;&gt;"))),0)</f>
        <v>0.11718750000000001</v>
      </c>
      <c r="O1690">
        <f>IFERROR($J1690/IF($A1690&lt;COUNTIFS($K$1:O$1,"&lt;&gt;"),0,SUMIFS($J:$J,$B:$B,$B1690,$A:$A,"&gt;="&amp;COUNTIFS($K$1:O$1,"&lt;&gt;"))),0)</f>
        <v>0.13157894736842107</v>
      </c>
      <c r="P1690">
        <f>IFERROR($J1690/IF($A1690&lt;COUNTIFS($K$1:P$1,"&lt;&gt;"),0,SUMIFS($J:$J,$B:$B,$B1690,$A:$A,"&gt;="&amp;COUNTIFS($K$1:P$1,"&lt;&gt;"))),0)</f>
        <v>0.15228426395939088</v>
      </c>
      <c r="Q1690">
        <f>IFERROR($J1690/IF($A1690&lt;COUNTIFS($K$1:Q$1,"&lt;&gt;"),0,SUMIFS($J:$J,$B:$B,$B1690,$A:$A,"&gt;="&amp;COUNTIFS($K$1:Q$1,"&lt;&gt;"))),0)</f>
        <v>0.17964071856287425</v>
      </c>
      <c r="R1690">
        <f>IFERROR($J1690/IF($A1690&lt;COUNTIFS($K$1:R$1,"&lt;&gt;"),0,SUMIFS($J:$J,$B:$B,$B1690,$A:$A,"&gt;="&amp;COUNTIFS($K$1:R$1,"&lt;&gt;"))),0)</f>
        <v>0.22058823529411764</v>
      </c>
      <c r="S1690">
        <f>IFERROR($J1690/IF($A1690&lt;COUNTIFS($K$1:S$1,"&lt;&gt;"),0,SUMIFS($J:$J,$B:$B,$B1690,$A:$A,"&gt;="&amp;COUNTIFS($K$1:S$1,"&lt;&gt;"))),0)</f>
        <v>0.28301886792452829</v>
      </c>
      <c r="T1690">
        <f>IFERROR($J1690/IF($A1690&lt;COUNTIFS($K$1:T$1,"&lt;&gt;"),0,SUMIFS($J:$J,$B:$B,$B1690,$A:$A,"&gt;="&amp;COUNTIFS($K$1:T$1,"&lt;&gt;"))),0)</f>
        <v>0.4</v>
      </c>
      <c r="U1690">
        <f>IFERROR($J1690/IF($A1690&lt;COUNTIFS($K$1:U$1,"&lt;&gt;"),0,SUMIFS($J:$J,$B:$B,$B1690,$A:$A,"&gt;="&amp;COUNTIFS($K$1:U$1,"&lt;&gt;"))),0)</f>
        <v>0.68181818181818177</v>
      </c>
      <c r="V1690">
        <f>IFERROR($J1690/IF($A1690&lt;COUNTIFS($K$1:V$1,"&lt;&gt;"),0,SUMIFS($J:$J,$B:$B,$B1690,$A:$A,"&gt;="&amp;COUNTIFS($K$1:V$1,"&lt;&gt;"))),0)</f>
        <v>0</v>
      </c>
      <c r="W1690">
        <f t="shared" si="596"/>
        <v>8.2191780821917804E-2</v>
      </c>
      <c r="X1690">
        <f t="shared" si="576"/>
        <v>8.2191780821917804E-2</v>
      </c>
      <c r="Y1690">
        <f t="shared" si="577"/>
        <v>8.2191780821917804E-2</v>
      </c>
      <c r="Z1690">
        <f t="shared" si="578"/>
        <v>8.2191780821917804E-2</v>
      </c>
      <c r="AA1690">
        <f t="shared" si="579"/>
        <v>8.2191780821917804E-2</v>
      </c>
      <c r="AB1690">
        <f t="shared" si="580"/>
        <v>8.2191780821917804E-2</v>
      </c>
      <c r="AC1690">
        <f t="shared" si="581"/>
        <v>8.2191780821917804E-2</v>
      </c>
      <c r="AD1690">
        <f t="shared" si="582"/>
        <v>8.2191780821917804E-2</v>
      </c>
      <c r="AE1690">
        <f t="shared" si="583"/>
        <v>8.2191780821917804E-2</v>
      </c>
      <c r="AF1690">
        <f t="shared" si="584"/>
        <v>8.2191780821917804E-2</v>
      </c>
      <c r="AG1690">
        <f t="shared" si="585"/>
        <v>8.2191780821917804E-2</v>
      </c>
      <c r="AH1690">
        <f t="shared" si="586"/>
        <v>8.2191780821917804E-2</v>
      </c>
      <c r="AI1690">
        <f t="shared" si="587"/>
        <v>0</v>
      </c>
      <c r="AJ1690" s="2" t="str">
        <f t="shared" si="597"/>
        <v>1147757</v>
      </c>
    </row>
    <row r="1691" spans="1:36" x14ac:dyDescent="0.25">
      <c r="A1691">
        <v>12</v>
      </c>
      <c r="B1691" s="1">
        <v>47757</v>
      </c>
      <c r="C1691" s="1">
        <f t="shared" si="588"/>
        <v>48122</v>
      </c>
      <c r="D1691" s="1">
        <f t="shared" si="589"/>
        <v>47771</v>
      </c>
      <c r="E1691" s="1">
        <f t="shared" si="590"/>
        <v>48122</v>
      </c>
      <c r="F1691" s="1">
        <f t="shared" si="591"/>
        <v>48136</v>
      </c>
      <c r="G1691" s="1">
        <f t="shared" si="592"/>
        <v>48136</v>
      </c>
      <c r="H1691">
        <f t="shared" si="593"/>
        <v>365</v>
      </c>
      <c r="I1691">
        <f t="shared" si="594"/>
        <v>14</v>
      </c>
      <c r="J1691">
        <f t="shared" si="595"/>
        <v>3.8356164383561646E-2</v>
      </c>
      <c r="K1691">
        <f>IFERROR($J1691/IF($A1691&lt;COUNTIFS($K$1:K$1,"&lt;&gt;"),0,SUMIFS($J:$J,$B:$B,$B1691,$A:$A,"&gt;="&amp;COUNTIFS($K$1:K$1,"&lt;&gt;"))),0)</f>
        <v>4.0229885057471271E-2</v>
      </c>
      <c r="L1691">
        <f>IFERROR($J1691/IF($A1691&lt;COUNTIFS($K$1:L$1,"&lt;&gt;"),0,SUMIFS($J:$J,$B:$B,$B1691,$A:$A,"&gt;="&amp;COUNTIFS($K$1:L$1,"&lt;&gt;"))),0)</f>
        <v>4.4025157232704414E-2</v>
      </c>
      <c r="M1691">
        <f>IFERROR($J1691/IF($A1691&lt;COUNTIFS($K$1:M$1,"&lt;&gt;"),0,SUMIFS($J:$J,$B:$B,$B1691,$A:$A,"&gt;="&amp;COUNTIFS($K$1:M$1,"&lt;&gt;"))),0)</f>
        <v>4.8780487804878057E-2</v>
      </c>
      <c r="N1691">
        <f>IFERROR($J1691/IF($A1691&lt;COUNTIFS($K$1:N$1,"&lt;&gt;"),0,SUMIFS($J:$J,$B:$B,$B1691,$A:$A,"&gt;="&amp;COUNTIFS($K$1:N$1,"&lt;&gt;"))),0)</f>
        <v>5.4687500000000014E-2</v>
      </c>
      <c r="O1691">
        <f>IFERROR($J1691/IF($A1691&lt;COUNTIFS($K$1:O$1,"&lt;&gt;"),0,SUMIFS($J:$J,$B:$B,$B1691,$A:$A,"&gt;="&amp;COUNTIFS($K$1:O$1,"&lt;&gt;"))),0)</f>
        <v>6.1403508771929842E-2</v>
      </c>
      <c r="P1691">
        <f>IFERROR($J1691/IF($A1691&lt;COUNTIFS($K$1:P$1,"&lt;&gt;"),0,SUMIFS($J:$J,$B:$B,$B1691,$A:$A,"&gt;="&amp;COUNTIFS($K$1:P$1,"&lt;&gt;"))),0)</f>
        <v>7.1065989847715755E-2</v>
      </c>
      <c r="Q1691">
        <f>IFERROR($J1691/IF($A1691&lt;COUNTIFS($K$1:Q$1,"&lt;&gt;"),0,SUMIFS($J:$J,$B:$B,$B1691,$A:$A,"&gt;="&amp;COUNTIFS($K$1:Q$1,"&lt;&gt;"))),0)</f>
        <v>8.3832335329341326E-2</v>
      </c>
      <c r="R1691">
        <f>IFERROR($J1691/IF($A1691&lt;COUNTIFS($K$1:R$1,"&lt;&gt;"),0,SUMIFS($J:$J,$B:$B,$B1691,$A:$A,"&gt;="&amp;COUNTIFS($K$1:R$1,"&lt;&gt;"))),0)</f>
        <v>0.10294117647058824</v>
      </c>
      <c r="S1691">
        <f>IFERROR($J1691/IF($A1691&lt;COUNTIFS($K$1:S$1,"&lt;&gt;"),0,SUMIFS($J:$J,$B:$B,$B1691,$A:$A,"&gt;="&amp;COUNTIFS($K$1:S$1,"&lt;&gt;"))),0)</f>
        <v>0.13207547169811323</v>
      </c>
      <c r="T1691">
        <f>IFERROR($J1691/IF($A1691&lt;COUNTIFS($K$1:T$1,"&lt;&gt;"),0,SUMIFS($J:$J,$B:$B,$B1691,$A:$A,"&gt;="&amp;COUNTIFS($K$1:T$1,"&lt;&gt;"))),0)</f>
        <v>0.18666666666666668</v>
      </c>
      <c r="U1691">
        <f>IFERROR($J1691/IF($A1691&lt;COUNTIFS($K$1:U$1,"&lt;&gt;"),0,SUMIFS($J:$J,$B:$B,$B1691,$A:$A,"&gt;="&amp;COUNTIFS($K$1:U$1,"&lt;&gt;"))),0)</f>
        <v>0.31818181818181818</v>
      </c>
      <c r="V1691">
        <f>IFERROR($J1691/IF($A1691&lt;COUNTIFS($K$1:V$1,"&lt;&gt;"),0,SUMIFS($J:$J,$B:$B,$B1691,$A:$A,"&gt;="&amp;COUNTIFS($K$1:V$1,"&lt;&gt;"))),0)</f>
        <v>1</v>
      </c>
      <c r="W1691">
        <f t="shared" si="596"/>
        <v>3.8356164383561646E-2</v>
      </c>
      <c r="X1691">
        <f t="shared" si="576"/>
        <v>3.8356164383561646E-2</v>
      </c>
      <c r="Y1691">
        <f t="shared" si="577"/>
        <v>3.8356164383561646E-2</v>
      </c>
      <c r="Z1691">
        <f t="shared" si="578"/>
        <v>3.8356164383561646E-2</v>
      </c>
      <c r="AA1691">
        <f t="shared" si="579"/>
        <v>3.8356164383561646E-2</v>
      </c>
      <c r="AB1691">
        <f t="shared" si="580"/>
        <v>3.8356164383561646E-2</v>
      </c>
      <c r="AC1691">
        <f t="shared" si="581"/>
        <v>3.8356164383561646E-2</v>
      </c>
      <c r="AD1691">
        <f t="shared" si="582"/>
        <v>3.8356164383561646E-2</v>
      </c>
      <c r="AE1691">
        <f t="shared" si="583"/>
        <v>3.8356164383561646E-2</v>
      </c>
      <c r="AF1691">
        <f t="shared" si="584"/>
        <v>3.8356164383561646E-2</v>
      </c>
      <c r="AG1691">
        <f t="shared" si="585"/>
        <v>3.8356164383561646E-2</v>
      </c>
      <c r="AH1691">
        <f t="shared" si="586"/>
        <v>3.8356164383561646E-2</v>
      </c>
      <c r="AI1691">
        <f t="shared" si="587"/>
        <v>3.8356164383561646E-2</v>
      </c>
      <c r="AJ1691" s="2" t="str">
        <f t="shared" si="597"/>
        <v>1247757</v>
      </c>
    </row>
    <row r="1692" spans="1:36" x14ac:dyDescent="0.25">
      <c r="A1692">
        <v>0</v>
      </c>
      <c r="B1692" s="1">
        <v>47788</v>
      </c>
      <c r="C1692" s="1">
        <f t="shared" si="588"/>
        <v>47788</v>
      </c>
      <c r="D1692" s="1">
        <f t="shared" si="589"/>
        <v>47802</v>
      </c>
      <c r="E1692" s="1">
        <f t="shared" si="590"/>
        <v>47802</v>
      </c>
      <c r="F1692" s="1">
        <f t="shared" si="591"/>
        <v>47818</v>
      </c>
      <c r="G1692" s="1">
        <f t="shared" si="592"/>
        <v>48167</v>
      </c>
      <c r="H1692">
        <f t="shared" si="593"/>
        <v>365</v>
      </c>
      <c r="I1692">
        <f t="shared" si="594"/>
        <v>16</v>
      </c>
      <c r="J1692">
        <f t="shared" si="595"/>
        <v>4.3835616438356165E-2</v>
      </c>
      <c r="K1692">
        <f>IFERROR($J1692/IF($A1692&lt;COUNTIFS($K$1:K$1,"&lt;&gt;"),0,SUMIFS($J:$J,$B:$B,$B1692,$A:$A,"&gt;="&amp;COUNTIFS($K$1:K$1,"&lt;&gt;"))),0)</f>
        <v>0</v>
      </c>
      <c r="L1692">
        <f>IFERROR($J1692/IF($A1692&lt;COUNTIFS($K$1:L$1,"&lt;&gt;"),0,SUMIFS($J:$J,$B:$B,$B1692,$A:$A,"&gt;="&amp;COUNTIFS($K$1:L$1,"&lt;&gt;"))),0)</f>
        <v>0</v>
      </c>
      <c r="M1692">
        <f>IFERROR($J1692/IF($A1692&lt;COUNTIFS($K$1:M$1,"&lt;&gt;"),0,SUMIFS($J:$J,$B:$B,$B1692,$A:$A,"&gt;="&amp;COUNTIFS($K$1:M$1,"&lt;&gt;"))),0)</f>
        <v>0</v>
      </c>
      <c r="N1692">
        <f>IFERROR($J1692/IF($A1692&lt;COUNTIFS($K$1:N$1,"&lt;&gt;"),0,SUMIFS($J:$J,$B:$B,$B1692,$A:$A,"&gt;="&amp;COUNTIFS($K$1:N$1,"&lt;&gt;"))),0)</f>
        <v>0</v>
      </c>
      <c r="O1692">
        <f>IFERROR($J1692/IF($A1692&lt;COUNTIFS($K$1:O$1,"&lt;&gt;"),0,SUMIFS($J:$J,$B:$B,$B1692,$A:$A,"&gt;="&amp;COUNTIFS($K$1:O$1,"&lt;&gt;"))),0)</f>
        <v>0</v>
      </c>
      <c r="P1692">
        <f>IFERROR($J1692/IF($A1692&lt;COUNTIFS($K$1:P$1,"&lt;&gt;"),0,SUMIFS($J:$J,$B:$B,$B1692,$A:$A,"&gt;="&amp;COUNTIFS($K$1:P$1,"&lt;&gt;"))),0)</f>
        <v>0</v>
      </c>
      <c r="Q1692">
        <f>IFERROR($J1692/IF($A1692&lt;COUNTIFS($K$1:Q$1,"&lt;&gt;"),0,SUMIFS($J:$J,$B:$B,$B1692,$A:$A,"&gt;="&amp;COUNTIFS($K$1:Q$1,"&lt;&gt;"))),0)</f>
        <v>0</v>
      </c>
      <c r="R1692">
        <f>IFERROR($J1692/IF($A1692&lt;COUNTIFS($K$1:R$1,"&lt;&gt;"),0,SUMIFS($J:$J,$B:$B,$B1692,$A:$A,"&gt;="&amp;COUNTIFS($K$1:R$1,"&lt;&gt;"))),0)</f>
        <v>0</v>
      </c>
      <c r="S1692">
        <f>IFERROR($J1692/IF($A1692&lt;COUNTIFS($K$1:S$1,"&lt;&gt;"),0,SUMIFS($J:$J,$B:$B,$B1692,$A:$A,"&gt;="&amp;COUNTIFS($K$1:S$1,"&lt;&gt;"))),0)</f>
        <v>0</v>
      </c>
      <c r="T1692">
        <f>IFERROR($J1692/IF($A1692&lt;COUNTIFS($K$1:T$1,"&lt;&gt;"),0,SUMIFS($J:$J,$B:$B,$B1692,$A:$A,"&gt;="&amp;COUNTIFS($K$1:T$1,"&lt;&gt;"))),0)</f>
        <v>0</v>
      </c>
      <c r="U1692">
        <f>IFERROR($J1692/IF($A1692&lt;COUNTIFS($K$1:U$1,"&lt;&gt;"),0,SUMIFS($J:$J,$B:$B,$B1692,$A:$A,"&gt;="&amp;COUNTIFS($K$1:U$1,"&lt;&gt;"))),0)</f>
        <v>0</v>
      </c>
      <c r="V1692">
        <f>IFERROR($J1692/IF($A1692&lt;COUNTIFS($K$1:V$1,"&lt;&gt;"),0,SUMIFS($J:$J,$B:$B,$B1692,$A:$A,"&gt;="&amp;COUNTIFS($K$1:V$1,"&lt;&gt;"))),0)</f>
        <v>0</v>
      </c>
      <c r="W1692">
        <f t="shared" si="596"/>
        <v>4.3835616438356165E-2</v>
      </c>
      <c r="X1692">
        <f t="shared" si="576"/>
        <v>0</v>
      </c>
      <c r="Y1692">
        <f t="shared" si="577"/>
        <v>0</v>
      </c>
      <c r="Z1692">
        <f t="shared" si="578"/>
        <v>0</v>
      </c>
      <c r="AA1692">
        <f t="shared" si="579"/>
        <v>0</v>
      </c>
      <c r="AB1692">
        <f t="shared" si="580"/>
        <v>0</v>
      </c>
      <c r="AC1692">
        <f t="shared" si="581"/>
        <v>0</v>
      </c>
      <c r="AD1692">
        <f t="shared" si="582"/>
        <v>0</v>
      </c>
      <c r="AE1692">
        <f t="shared" si="583"/>
        <v>0</v>
      </c>
      <c r="AF1692">
        <f t="shared" si="584"/>
        <v>0</v>
      </c>
      <c r="AG1692">
        <f t="shared" si="585"/>
        <v>0</v>
      </c>
      <c r="AH1692">
        <f t="shared" si="586"/>
        <v>0</v>
      </c>
      <c r="AI1692">
        <f t="shared" si="587"/>
        <v>0</v>
      </c>
      <c r="AJ1692" s="2" t="str">
        <f t="shared" si="597"/>
        <v>047788</v>
      </c>
    </row>
    <row r="1693" spans="1:36" x14ac:dyDescent="0.25">
      <c r="A1693">
        <v>1</v>
      </c>
      <c r="B1693" s="1">
        <v>47788</v>
      </c>
      <c r="C1693" s="1">
        <f t="shared" si="588"/>
        <v>47818</v>
      </c>
      <c r="D1693" s="1">
        <f t="shared" si="589"/>
        <v>47802</v>
      </c>
      <c r="E1693" s="1">
        <f t="shared" si="590"/>
        <v>47818</v>
      </c>
      <c r="F1693" s="1">
        <f t="shared" si="591"/>
        <v>47849</v>
      </c>
      <c r="G1693" s="1">
        <f t="shared" si="592"/>
        <v>48167</v>
      </c>
      <c r="H1693">
        <f t="shared" si="593"/>
        <v>365</v>
      </c>
      <c r="I1693">
        <f t="shared" si="594"/>
        <v>31</v>
      </c>
      <c r="J1693">
        <f t="shared" si="595"/>
        <v>8.4931506849315067E-2</v>
      </c>
      <c r="K1693">
        <f>IFERROR($J1693/IF($A1693&lt;COUNTIFS($K$1:K$1,"&lt;&gt;"),0,SUMIFS($J:$J,$B:$B,$B1693,$A:$A,"&gt;="&amp;COUNTIFS($K$1:K$1,"&lt;&gt;"))),0)</f>
        <v>8.8825214899713484E-2</v>
      </c>
      <c r="L1693">
        <f>IFERROR($J1693/IF($A1693&lt;COUNTIFS($K$1:L$1,"&lt;&gt;"),0,SUMIFS($J:$J,$B:$B,$B1693,$A:$A,"&gt;="&amp;COUNTIFS($K$1:L$1,"&lt;&gt;"))),0)</f>
        <v>0</v>
      </c>
      <c r="M1693">
        <f>IFERROR($J1693/IF($A1693&lt;COUNTIFS($K$1:M$1,"&lt;&gt;"),0,SUMIFS($J:$J,$B:$B,$B1693,$A:$A,"&gt;="&amp;COUNTIFS($K$1:M$1,"&lt;&gt;"))),0)</f>
        <v>0</v>
      </c>
      <c r="N1693">
        <f>IFERROR($J1693/IF($A1693&lt;COUNTIFS($K$1:N$1,"&lt;&gt;"),0,SUMIFS($J:$J,$B:$B,$B1693,$A:$A,"&gt;="&amp;COUNTIFS($K$1:N$1,"&lt;&gt;"))),0)</f>
        <v>0</v>
      </c>
      <c r="O1693">
        <f>IFERROR($J1693/IF($A1693&lt;COUNTIFS($K$1:O$1,"&lt;&gt;"),0,SUMIFS($J:$J,$B:$B,$B1693,$A:$A,"&gt;="&amp;COUNTIFS($K$1:O$1,"&lt;&gt;"))),0)</f>
        <v>0</v>
      </c>
      <c r="P1693">
        <f>IFERROR($J1693/IF($A1693&lt;COUNTIFS($K$1:P$1,"&lt;&gt;"),0,SUMIFS($J:$J,$B:$B,$B1693,$A:$A,"&gt;="&amp;COUNTIFS($K$1:P$1,"&lt;&gt;"))),0)</f>
        <v>0</v>
      </c>
      <c r="Q1693">
        <f>IFERROR($J1693/IF($A1693&lt;COUNTIFS($K$1:Q$1,"&lt;&gt;"),0,SUMIFS($J:$J,$B:$B,$B1693,$A:$A,"&gt;="&amp;COUNTIFS($K$1:Q$1,"&lt;&gt;"))),0)</f>
        <v>0</v>
      </c>
      <c r="R1693">
        <f>IFERROR($J1693/IF($A1693&lt;COUNTIFS($K$1:R$1,"&lt;&gt;"),0,SUMIFS($J:$J,$B:$B,$B1693,$A:$A,"&gt;="&amp;COUNTIFS($K$1:R$1,"&lt;&gt;"))),0)</f>
        <v>0</v>
      </c>
      <c r="S1693">
        <f>IFERROR($J1693/IF($A1693&lt;COUNTIFS($K$1:S$1,"&lt;&gt;"),0,SUMIFS($J:$J,$B:$B,$B1693,$A:$A,"&gt;="&amp;COUNTIFS($K$1:S$1,"&lt;&gt;"))),0)</f>
        <v>0</v>
      </c>
      <c r="T1693">
        <f>IFERROR($J1693/IF($A1693&lt;COUNTIFS($K$1:T$1,"&lt;&gt;"),0,SUMIFS($J:$J,$B:$B,$B1693,$A:$A,"&gt;="&amp;COUNTIFS($K$1:T$1,"&lt;&gt;"))),0)</f>
        <v>0</v>
      </c>
      <c r="U1693">
        <f>IFERROR($J1693/IF($A1693&lt;COUNTIFS($K$1:U$1,"&lt;&gt;"),0,SUMIFS($J:$J,$B:$B,$B1693,$A:$A,"&gt;="&amp;COUNTIFS($K$1:U$1,"&lt;&gt;"))),0)</f>
        <v>0</v>
      </c>
      <c r="V1693">
        <f>IFERROR($J1693/IF($A1693&lt;COUNTIFS($K$1:V$1,"&lt;&gt;"),0,SUMIFS($J:$J,$B:$B,$B1693,$A:$A,"&gt;="&amp;COUNTIFS($K$1:V$1,"&lt;&gt;"))),0)</f>
        <v>0</v>
      </c>
      <c r="W1693">
        <f t="shared" si="596"/>
        <v>8.4931506849315067E-2</v>
      </c>
      <c r="X1693">
        <f t="shared" si="576"/>
        <v>8.4931506849315067E-2</v>
      </c>
      <c r="Y1693">
        <f t="shared" si="577"/>
        <v>0</v>
      </c>
      <c r="Z1693">
        <f t="shared" si="578"/>
        <v>0</v>
      </c>
      <c r="AA1693">
        <f t="shared" si="579"/>
        <v>0</v>
      </c>
      <c r="AB1693">
        <f t="shared" si="580"/>
        <v>0</v>
      </c>
      <c r="AC1693">
        <f t="shared" si="581"/>
        <v>0</v>
      </c>
      <c r="AD1693">
        <f t="shared" si="582"/>
        <v>0</v>
      </c>
      <c r="AE1693">
        <f t="shared" si="583"/>
        <v>0</v>
      </c>
      <c r="AF1693">
        <f t="shared" si="584"/>
        <v>0</v>
      </c>
      <c r="AG1693">
        <f t="shared" si="585"/>
        <v>0</v>
      </c>
      <c r="AH1693">
        <f t="shared" si="586"/>
        <v>0</v>
      </c>
      <c r="AI1693">
        <f t="shared" si="587"/>
        <v>0</v>
      </c>
      <c r="AJ1693" s="2" t="str">
        <f t="shared" si="597"/>
        <v>147788</v>
      </c>
    </row>
    <row r="1694" spans="1:36" x14ac:dyDescent="0.25">
      <c r="A1694">
        <v>2</v>
      </c>
      <c r="B1694" s="1">
        <v>47788</v>
      </c>
      <c r="C1694" s="1">
        <f t="shared" si="588"/>
        <v>47849</v>
      </c>
      <c r="D1694" s="1">
        <f t="shared" si="589"/>
        <v>47802</v>
      </c>
      <c r="E1694" s="1">
        <f t="shared" si="590"/>
        <v>47849</v>
      </c>
      <c r="F1694" s="1">
        <f t="shared" si="591"/>
        <v>47880</v>
      </c>
      <c r="G1694" s="1">
        <f t="shared" si="592"/>
        <v>48167</v>
      </c>
      <c r="H1694">
        <f t="shared" si="593"/>
        <v>365</v>
      </c>
      <c r="I1694">
        <f t="shared" si="594"/>
        <v>31</v>
      </c>
      <c r="J1694">
        <f t="shared" si="595"/>
        <v>8.4931506849315067E-2</v>
      </c>
      <c r="K1694">
        <f>IFERROR($J1694/IF($A1694&lt;COUNTIFS($K$1:K$1,"&lt;&gt;"),0,SUMIFS($J:$J,$B:$B,$B1694,$A:$A,"&gt;="&amp;COUNTIFS($K$1:K$1,"&lt;&gt;"))),0)</f>
        <v>8.8825214899713484E-2</v>
      </c>
      <c r="L1694">
        <f>IFERROR($J1694/IF($A1694&lt;COUNTIFS($K$1:L$1,"&lt;&gt;"),0,SUMIFS($J:$J,$B:$B,$B1694,$A:$A,"&gt;="&amp;COUNTIFS($K$1:L$1,"&lt;&gt;"))),0)</f>
        <v>9.7484276729559768E-2</v>
      </c>
      <c r="M1694">
        <f>IFERROR($J1694/IF($A1694&lt;COUNTIFS($K$1:M$1,"&lt;&gt;"),0,SUMIFS($J:$J,$B:$B,$B1694,$A:$A,"&gt;="&amp;COUNTIFS($K$1:M$1,"&lt;&gt;"))),0)</f>
        <v>0</v>
      </c>
      <c r="N1694">
        <f>IFERROR($J1694/IF($A1694&lt;COUNTIFS($K$1:N$1,"&lt;&gt;"),0,SUMIFS($J:$J,$B:$B,$B1694,$A:$A,"&gt;="&amp;COUNTIFS($K$1:N$1,"&lt;&gt;"))),0)</f>
        <v>0</v>
      </c>
      <c r="O1694">
        <f>IFERROR($J1694/IF($A1694&lt;COUNTIFS($K$1:O$1,"&lt;&gt;"),0,SUMIFS($J:$J,$B:$B,$B1694,$A:$A,"&gt;="&amp;COUNTIFS($K$1:O$1,"&lt;&gt;"))),0)</f>
        <v>0</v>
      </c>
      <c r="P1694">
        <f>IFERROR($J1694/IF($A1694&lt;COUNTIFS($K$1:P$1,"&lt;&gt;"),0,SUMIFS($J:$J,$B:$B,$B1694,$A:$A,"&gt;="&amp;COUNTIFS($K$1:P$1,"&lt;&gt;"))),0)</f>
        <v>0</v>
      </c>
      <c r="Q1694">
        <f>IFERROR($J1694/IF($A1694&lt;COUNTIFS($K$1:Q$1,"&lt;&gt;"),0,SUMIFS($J:$J,$B:$B,$B1694,$A:$A,"&gt;="&amp;COUNTIFS($K$1:Q$1,"&lt;&gt;"))),0)</f>
        <v>0</v>
      </c>
      <c r="R1694">
        <f>IFERROR($J1694/IF($A1694&lt;COUNTIFS($K$1:R$1,"&lt;&gt;"),0,SUMIFS($J:$J,$B:$B,$B1694,$A:$A,"&gt;="&amp;COUNTIFS($K$1:R$1,"&lt;&gt;"))),0)</f>
        <v>0</v>
      </c>
      <c r="S1694">
        <f>IFERROR($J1694/IF($A1694&lt;COUNTIFS($K$1:S$1,"&lt;&gt;"),0,SUMIFS($J:$J,$B:$B,$B1694,$A:$A,"&gt;="&amp;COUNTIFS($K$1:S$1,"&lt;&gt;"))),0)</f>
        <v>0</v>
      </c>
      <c r="T1694">
        <f>IFERROR($J1694/IF($A1694&lt;COUNTIFS($K$1:T$1,"&lt;&gt;"),0,SUMIFS($J:$J,$B:$B,$B1694,$A:$A,"&gt;="&amp;COUNTIFS($K$1:T$1,"&lt;&gt;"))),0)</f>
        <v>0</v>
      </c>
      <c r="U1694">
        <f>IFERROR($J1694/IF($A1694&lt;COUNTIFS($K$1:U$1,"&lt;&gt;"),0,SUMIFS($J:$J,$B:$B,$B1694,$A:$A,"&gt;="&amp;COUNTIFS($K$1:U$1,"&lt;&gt;"))),0)</f>
        <v>0</v>
      </c>
      <c r="V1694">
        <f>IFERROR($J1694/IF($A1694&lt;COUNTIFS($K$1:V$1,"&lt;&gt;"),0,SUMIFS($J:$J,$B:$B,$B1694,$A:$A,"&gt;="&amp;COUNTIFS($K$1:V$1,"&lt;&gt;"))),0)</f>
        <v>0</v>
      </c>
      <c r="W1694">
        <f t="shared" si="596"/>
        <v>8.4931506849315067E-2</v>
      </c>
      <c r="X1694">
        <f t="shared" si="576"/>
        <v>8.4931506849315067E-2</v>
      </c>
      <c r="Y1694">
        <f t="shared" si="577"/>
        <v>8.4931506849315067E-2</v>
      </c>
      <c r="Z1694">
        <f t="shared" si="578"/>
        <v>0</v>
      </c>
      <c r="AA1694">
        <f t="shared" si="579"/>
        <v>0</v>
      </c>
      <c r="AB1694">
        <f t="shared" si="580"/>
        <v>0</v>
      </c>
      <c r="AC1694">
        <f t="shared" si="581"/>
        <v>0</v>
      </c>
      <c r="AD1694">
        <f t="shared" si="582"/>
        <v>0</v>
      </c>
      <c r="AE1694">
        <f t="shared" si="583"/>
        <v>0</v>
      </c>
      <c r="AF1694">
        <f t="shared" si="584"/>
        <v>0</v>
      </c>
      <c r="AG1694">
        <f t="shared" si="585"/>
        <v>0</v>
      </c>
      <c r="AH1694">
        <f t="shared" si="586"/>
        <v>0</v>
      </c>
      <c r="AI1694">
        <f t="shared" si="587"/>
        <v>0</v>
      </c>
      <c r="AJ1694" s="2" t="str">
        <f t="shared" si="597"/>
        <v>247788</v>
      </c>
    </row>
    <row r="1695" spans="1:36" x14ac:dyDescent="0.25">
      <c r="A1695">
        <v>3</v>
      </c>
      <c r="B1695" s="1">
        <v>47788</v>
      </c>
      <c r="C1695" s="1">
        <f t="shared" si="588"/>
        <v>47880</v>
      </c>
      <c r="D1695" s="1">
        <f t="shared" si="589"/>
        <v>47802</v>
      </c>
      <c r="E1695" s="1">
        <f t="shared" si="590"/>
        <v>47880</v>
      </c>
      <c r="F1695" s="1">
        <f t="shared" si="591"/>
        <v>47908</v>
      </c>
      <c r="G1695" s="1">
        <f t="shared" si="592"/>
        <v>48167</v>
      </c>
      <c r="H1695">
        <f t="shared" si="593"/>
        <v>365</v>
      </c>
      <c r="I1695">
        <f t="shared" si="594"/>
        <v>28</v>
      </c>
      <c r="J1695">
        <f t="shared" si="595"/>
        <v>7.6712328767123292E-2</v>
      </c>
      <c r="K1695">
        <f>IFERROR($J1695/IF($A1695&lt;COUNTIFS($K$1:K$1,"&lt;&gt;"),0,SUMIFS($J:$J,$B:$B,$B1695,$A:$A,"&gt;="&amp;COUNTIFS($K$1:K$1,"&lt;&gt;"))),0)</f>
        <v>8.0229226361031539E-2</v>
      </c>
      <c r="L1695">
        <f>IFERROR($J1695/IF($A1695&lt;COUNTIFS($K$1:L$1,"&lt;&gt;"),0,SUMIFS($J:$J,$B:$B,$B1695,$A:$A,"&gt;="&amp;COUNTIFS($K$1:L$1,"&lt;&gt;"))),0)</f>
        <v>8.8050314465408827E-2</v>
      </c>
      <c r="M1695">
        <f>IFERROR($J1695/IF($A1695&lt;COUNTIFS($K$1:M$1,"&lt;&gt;"),0,SUMIFS($J:$J,$B:$B,$B1695,$A:$A,"&gt;="&amp;COUNTIFS($K$1:M$1,"&lt;&gt;"))),0)</f>
        <v>9.7560975609756115E-2</v>
      </c>
      <c r="N1695">
        <f>IFERROR($J1695/IF($A1695&lt;COUNTIFS($K$1:N$1,"&lt;&gt;"),0,SUMIFS($J:$J,$B:$B,$B1695,$A:$A,"&gt;="&amp;COUNTIFS($K$1:N$1,"&lt;&gt;"))),0)</f>
        <v>0</v>
      </c>
      <c r="O1695">
        <f>IFERROR($J1695/IF($A1695&lt;COUNTIFS($K$1:O$1,"&lt;&gt;"),0,SUMIFS($J:$J,$B:$B,$B1695,$A:$A,"&gt;="&amp;COUNTIFS($K$1:O$1,"&lt;&gt;"))),0)</f>
        <v>0</v>
      </c>
      <c r="P1695">
        <f>IFERROR($J1695/IF($A1695&lt;COUNTIFS($K$1:P$1,"&lt;&gt;"),0,SUMIFS($J:$J,$B:$B,$B1695,$A:$A,"&gt;="&amp;COUNTIFS($K$1:P$1,"&lt;&gt;"))),0)</f>
        <v>0</v>
      </c>
      <c r="Q1695">
        <f>IFERROR($J1695/IF($A1695&lt;COUNTIFS($K$1:Q$1,"&lt;&gt;"),0,SUMIFS($J:$J,$B:$B,$B1695,$A:$A,"&gt;="&amp;COUNTIFS($K$1:Q$1,"&lt;&gt;"))),0)</f>
        <v>0</v>
      </c>
      <c r="R1695">
        <f>IFERROR($J1695/IF($A1695&lt;COUNTIFS($K$1:R$1,"&lt;&gt;"),0,SUMIFS($J:$J,$B:$B,$B1695,$A:$A,"&gt;="&amp;COUNTIFS($K$1:R$1,"&lt;&gt;"))),0)</f>
        <v>0</v>
      </c>
      <c r="S1695">
        <f>IFERROR($J1695/IF($A1695&lt;COUNTIFS($K$1:S$1,"&lt;&gt;"),0,SUMIFS($J:$J,$B:$B,$B1695,$A:$A,"&gt;="&amp;COUNTIFS($K$1:S$1,"&lt;&gt;"))),0)</f>
        <v>0</v>
      </c>
      <c r="T1695">
        <f>IFERROR($J1695/IF($A1695&lt;COUNTIFS($K$1:T$1,"&lt;&gt;"),0,SUMIFS($J:$J,$B:$B,$B1695,$A:$A,"&gt;="&amp;COUNTIFS($K$1:T$1,"&lt;&gt;"))),0)</f>
        <v>0</v>
      </c>
      <c r="U1695">
        <f>IFERROR($J1695/IF($A1695&lt;COUNTIFS($K$1:U$1,"&lt;&gt;"),0,SUMIFS($J:$J,$B:$B,$B1695,$A:$A,"&gt;="&amp;COUNTIFS($K$1:U$1,"&lt;&gt;"))),0)</f>
        <v>0</v>
      </c>
      <c r="V1695">
        <f>IFERROR($J1695/IF($A1695&lt;COUNTIFS($K$1:V$1,"&lt;&gt;"),0,SUMIFS($J:$J,$B:$B,$B1695,$A:$A,"&gt;="&amp;COUNTIFS($K$1:V$1,"&lt;&gt;"))),0)</f>
        <v>0</v>
      </c>
      <c r="W1695">
        <f t="shared" si="596"/>
        <v>7.6712328767123292E-2</v>
      </c>
      <c r="X1695">
        <f t="shared" si="576"/>
        <v>7.6712328767123292E-2</v>
      </c>
      <c r="Y1695">
        <f t="shared" si="577"/>
        <v>7.6712328767123292E-2</v>
      </c>
      <c r="Z1695">
        <f t="shared" si="578"/>
        <v>7.6712328767123292E-2</v>
      </c>
      <c r="AA1695">
        <f t="shared" si="579"/>
        <v>0</v>
      </c>
      <c r="AB1695">
        <f t="shared" si="580"/>
        <v>0</v>
      </c>
      <c r="AC1695">
        <f t="shared" si="581"/>
        <v>0</v>
      </c>
      <c r="AD1695">
        <f t="shared" si="582"/>
        <v>0</v>
      </c>
      <c r="AE1695">
        <f t="shared" si="583"/>
        <v>0</v>
      </c>
      <c r="AF1695">
        <f t="shared" si="584"/>
        <v>0</v>
      </c>
      <c r="AG1695">
        <f t="shared" si="585"/>
        <v>0</v>
      </c>
      <c r="AH1695">
        <f t="shared" si="586"/>
        <v>0</v>
      </c>
      <c r="AI1695">
        <f t="shared" si="587"/>
        <v>0</v>
      </c>
      <c r="AJ1695" s="2" t="str">
        <f t="shared" si="597"/>
        <v>347788</v>
      </c>
    </row>
    <row r="1696" spans="1:36" x14ac:dyDescent="0.25">
      <c r="A1696">
        <v>4</v>
      </c>
      <c r="B1696" s="1">
        <v>47788</v>
      </c>
      <c r="C1696" s="1">
        <f t="shared" si="588"/>
        <v>47908</v>
      </c>
      <c r="D1696" s="1">
        <f t="shared" si="589"/>
        <v>47802</v>
      </c>
      <c r="E1696" s="1">
        <f t="shared" si="590"/>
        <v>47908</v>
      </c>
      <c r="F1696" s="1">
        <f t="shared" si="591"/>
        <v>47939</v>
      </c>
      <c r="G1696" s="1">
        <f t="shared" si="592"/>
        <v>48167</v>
      </c>
      <c r="H1696">
        <f t="shared" si="593"/>
        <v>365</v>
      </c>
      <c r="I1696">
        <f t="shared" si="594"/>
        <v>31</v>
      </c>
      <c r="J1696">
        <f t="shared" si="595"/>
        <v>8.4931506849315067E-2</v>
      </c>
      <c r="K1696">
        <f>IFERROR($J1696/IF($A1696&lt;COUNTIFS($K$1:K$1,"&lt;&gt;"),0,SUMIFS($J:$J,$B:$B,$B1696,$A:$A,"&gt;="&amp;COUNTIFS($K$1:K$1,"&lt;&gt;"))),0)</f>
        <v>8.8825214899713484E-2</v>
      </c>
      <c r="L1696">
        <f>IFERROR($J1696/IF($A1696&lt;COUNTIFS($K$1:L$1,"&lt;&gt;"),0,SUMIFS($J:$J,$B:$B,$B1696,$A:$A,"&gt;="&amp;COUNTIFS($K$1:L$1,"&lt;&gt;"))),0)</f>
        <v>9.7484276729559768E-2</v>
      </c>
      <c r="M1696">
        <f>IFERROR($J1696/IF($A1696&lt;COUNTIFS($K$1:M$1,"&lt;&gt;"),0,SUMIFS($J:$J,$B:$B,$B1696,$A:$A,"&gt;="&amp;COUNTIFS($K$1:M$1,"&lt;&gt;"))),0)</f>
        <v>0.10801393728222998</v>
      </c>
      <c r="N1696">
        <f>IFERROR($J1696/IF($A1696&lt;COUNTIFS($K$1:N$1,"&lt;&gt;"),0,SUMIFS($J:$J,$B:$B,$B1696,$A:$A,"&gt;="&amp;COUNTIFS($K$1:N$1,"&lt;&gt;"))),0)</f>
        <v>0.11969111969111972</v>
      </c>
      <c r="O1696">
        <f>IFERROR($J1696/IF($A1696&lt;COUNTIFS($K$1:O$1,"&lt;&gt;"),0,SUMIFS($J:$J,$B:$B,$B1696,$A:$A,"&gt;="&amp;COUNTIFS($K$1:O$1,"&lt;&gt;"))),0)</f>
        <v>0</v>
      </c>
      <c r="P1696">
        <f>IFERROR($J1696/IF($A1696&lt;COUNTIFS($K$1:P$1,"&lt;&gt;"),0,SUMIFS($J:$J,$B:$B,$B1696,$A:$A,"&gt;="&amp;COUNTIFS($K$1:P$1,"&lt;&gt;"))),0)</f>
        <v>0</v>
      </c>
      <c r="Q1696">
        <f>IFERROR($J1696/IF($A1696&lt;COUNTIFS($K$1:Q$1,"&lt;&gt;"),0,SUMIFS($J:$J,$B:$B,$B1696,$A:$A,"&gt;="&amp;COUNTIFS($K$1:Q$1,"&lt;&gt;"))),0)</f>
        <v>0</v>
      </c>
      <c r="R1696">
        <f>IFERROR($J1696/IF($A1696&lt;COUNTIFS($K$1:R$1,"&lt;&gt;"),0,SUMIFS($J:$J,$B:$B,$B1696,$A:$A,"&gt;="&amp;COUNTIFS($K$1:R$1,"&lt;&gt;"))),0)</f>
        <v>0</v>
      </c>
      <c r="S1696">
        <f>IFERROR($J1696/IF($A1696&lt;COUNTIFS($K$1:S$1,"&lt;&gt;"),0,SUMIFS($J:$J,$B:$B,$B1696,$A:$A,"&gt;="&amp;COUNTIFS($K$1:S$1,"&lt;&gt;"))),0)</f>
        <v>0</v>
      </c>
      <c r="T1696">
        <f>IFERROR($J1696/IF($A1696&lt;COUNTIFS($K$1:T$1,"&lt;&gt;"),0,SUMIFS($J:$J,$B:$B,$B1696,$A:$A,"&gt;="&amp;COUNTIFS($K$1:T$1,"&lt;&gt;"))),0)</f>
        <v>0</v>
      </c>
      <c r="U1696">
        <f>IFERROR($J1696/IF($A1696&lt;COUNTIFS($K$1:U$1,"&lt;&gt;"),0,SUMIFS($J:$J,$B:$B,$B1696,$A:$A,"&gt;="&amp;COUNTIFS($K$1:U$1,"&lt;&gt;"))),0)</f>
        <v>0</v>
      </c>
      <c r="V1696">
        <f>IFERROR($J1696/IF($A1696&lt;COUNTIFS($K$1:V$1,"&lt;&gt;"),0,SUMIFS($J:$J,$B:$B,$B1696,$A:$A,"&gt;="&amp;COUNTIFS($K$1:V$1,"&lt;&gt;"))),0)</f>
        <v>0</v>
      </c>
      <c r="W1696">
        <f t="shared" si="596"/>
        <v>8.4931506849315067E-2</v>
      </c>
      <c r="X1696">
        <f t="shared" si="576"/>
        <v>8.4931506849315067E-2</v>
      </c>
      <c r="Y1696">
        <f t="shared" si="577"/>
        <v>8.4931506849315067E-2</v>
      </c>
      <c r="Z1696">
        <f t="shared" si="578"/>
        <v>8.4931506849315067E-2</v>
      </c>
      <c r="AA1696">
        <f t="shared" si="579"/>
        <v>8.4931506849315067E-2</v>
      </c>
      <c r="AB1696">
        <f t="shared" si="580"/>
        <v>0</v>
      </c>
      <c r="AC1696">
        <f t="shared" si="581"/>
        <v>0</v>
      </c>
      <c r="AD1696">
        <f t="shared" si="582"/>
        <v>0</v>
      </c>
      <c r="AE1696">
        <f t="shared" si="583"/>
        <v>0</v>
      </c>
      <c r="AF1696">
        <f t="shared" si="584"/>
        <v>0</v>
      </c>
      <c r="AG1696">
        <f t="shared" si="585"/>
        <v>0</v>
      </c>
      <c r="AH1696">
        <f t="shared" si="586"/>
        <v>0</v>
      </c>
      <c r="AI1696">
        <f t="shared" si="587"/>
        <v>0</v>
      </c>
      <c r="AJ1696" s="2" t="str">
        <f t="shared" si="597"/>
        <v>447788</v>
      </c>
    </row>
    <row r="1697" spans="1:36" x14ac:dyDescent="0.25">
      <c r="A1697">
        <v>5</v>
      </c>
      <c r="B1697" s="1">
        <v>47788</v>
      </c>
      <c r="C1697" s="1">
        <f t="shared" si="588"/>
        <v>47939</v>
      </c>
      <c r="D1697" s="1">
        <f t="shared" si="589"/>
        <v>47802</v>
      </c>
      <c r="E1697" s="1">
        <f t="shared" si="590"/>
        <v>47939</v>
      </c>
      <c r="F1697" s="1">
        <f t="shared" si="591"/>
        <v>47969</v>
      </c>
      <c r="G1697" s="1">
        <f t="shared" si="592"/>
        <v>48167</v>
      </c>
      <c r="H1697">
        <f t="shared" si="593"/>
        <v>365</v>
      </c>
      <c r="I1697">
        <f t="shared" si="594"/>
        <v>30</v>
      </c>
      <c r="J1697">
        <f t="shared" si="595"/>
        <v>8.2191780821917804E-2</v>
      </c>
      <c r="K1697">
        <f>IFERROR($J1697/IF($A1697&lt;COUNTIFS($K$1:K$1,"&lt;&gt;"),0,SUMIFS($J:$J,$B:$B,$B1697,$A:$A,"&gt;="&amp;COUNTIFS($K$1:K$1,"&lt;&gt;"))),0)</f>
        <v>8.5959885386819493E-2</v>
      </c>
      <c r="L1697">
        <f>IFERROR($J1697/IF($A1697&lt;COUNTIFS($K$1:L$1,"&lt;&gt;"),0,SUMIFS($J:$J,$B:$B,$B1697,$A:$A,"&gt;="&amp;COUNTIFS($K$1:L$1,"&lt;&gt;"))),0)</f>
        <v>9.4339622641509441E-2</v>
      </c>
      <c r="M1697">
        <f>IFERROR($J1697/IF($A1697&lt;COUNTIFS($K$1:M$1,"&lt;&gt;"),0,SUMIFS($J:$J,$B:$B,$B1697,$A:$A,"&gt;="&amp;COUNTIFS($K$1:M$1,"&lt;&gt;"))),0)</f>
        <v>0.10452961672473869</v>
      </c>
      <c r="N1697">
        <f>IFERROR($J1697/IF($A1697&lt;COUNTIFS($K$1:N$1,"&lt;&gt;"),0,SUMIFS($J:$J,$B:$B,$B1697,$A:$A,"&gt;="&amp;COUNTIFS($K$1:N$1,"&lt;&gt;"))),0)</f>
        <v>0.11583011583011585</v>
      </c>
      <c r="O1697">
        <f>IFERROR($J1697/IF($A1697&lt;COUNTIFS($K$1:O$1,"&lt;&gt;"),0,SUMIFS($J:$J,$B:$B,$B1697,$A:$A,"&gt;="&amp;COUNTIFS($K$1:O$1,"&lt;&gt;"))),0)</f>
        <v>0.13157894736842107</v>
      </c>
      <c r="P1697">
        <f>IFERROR($J1697/IF($A1697&lt;COUNTIFS($K$1:P$1,"&lt;&gt;"),0,SUMIFS($J:$J,$B:$B,$B1697,$A:$A,"&gt;="&amp;COUNTIFS($K$1:P$1,"&lt;&gt;"))),0)</f>
        <v>0</v>
      </c>
      <c r="Q1697">
        <f>IFERROR($J1697/IF($A1697&lt;COUNTIFS($K$1:Q$1,"&lt;&gt;"),0,SUMIFS($J:$J,$B:$B,$B1697,$A:$A,"&gt;="&amp;COUNTIFS($K$1:Q$1,"&lt;&gt;"))),0)</f>
        <v>0</v>
      </c>
      <c r="R1697">
        <f>IFERROR($J1697/IF($A1697&lt;COUNTIFS($K$1:R$1,"&lt;&gt;"),0,SUMIFS($J:$J,$B:$B,$B1697,$A:$A,"&gt;="&amp;COUNTIFS($K$1:R$1,"&lt;&gt;"))),0)</f>
        <v>0</v>
      </c>
      <c r="S1697">
        <f>IFERROR($J1697/IF($A1697&lt;COUNTIFS($K$1:S$1,"&lt;&gt;"),0,SUMIFS($J:$J,$B:$B,$B1697,$A:$A,"&gt;="&amp;COUNTIFS($K$1:S$1,"&lt;&gt;"))),0)</f>
        <v>0</v>
      </c>
      <c r="T1697">
        <f>IFERROR($J1697/IF($A1697&lt;COUNTIFS($K$1:T$1,"&lt;&gt;"),0,SUMIFS($J:$J,$B:$B,$B1697,$A:$A,"&gt;="&amp;COUNTIFS($K$1:T$1,"&lt;&gt;"))),0)</f>
        <v>0</v>
      </c>
      <c r="U1697">
        <f>IFERROR($J1697/IF($A1697&lt;COUNTIFS($K$1:U$1,"&lt;&gt;"),0,SUMIFS($J:$J,$B:$B,$B1697,$A:$A,"&gt;="&amp;COUNTIFS($K$1:U$1,"&lt;&gt;"))),0)</f>
        <v>0</v>
      </c>
      <c r="V1697">
        <f>IFERROR($J1697/IF($A1697&lt;COUNTIFS($K$1:V$1,"&lt;&gt;"),0,SUMIFS($J:$J,$B:$B,$B1697,$A:$A,"&gt;="&amp;COUNTIFS($K$1:V$1,"&lt;&gt;"))),0)</f>
        <v>0</v>
      </c>
      <c r="W1697">
        <f t="shared" si="596"/>
        <v>8.2191780821917804E-2</v>
      </c>
      <c r="X1697">
        <f t="shared" si="576"/>
        <v>8.2191780821917804E-2</v>
      </c>
      <c r="Y1697">
        <f t="shared" si="577"/>
        <v>8.2191780821917804E-2</v>
      </c>
      <c r="Z1697">
        <f t="shared" si="578"/>
        <v>8.2191780821917804E-2</v>
      </c>
      <c r="AA1697">
        <f t="shared" si="579"/>
        <v>8.2191780821917804E-2</v>
      </c>
      <c r="AB1697">
        <f t="shared" si="580"/>
        <v>8.2191780821917804E-2</v>
      </c>
      <c r="AC1697">
        <f t="shared" si="581"/>
        <v>0</v>
      </c>
      <c r="AD1697">
        <f t="shared" si="582"/>
        <v>0</v>
      </c>
      <c r="AE1697">
        <f t="shared" si="583"/>
        <v>0</v>
      </c>
      <c r="AF1697">
        <f t="shared" si="584"/>
        <v>0</v>
      </c>
      <c r="AG1697">
        <f t="shared" si="585"/>
        <v>0</v>
      </c>
      <c r="AH1697">
        <f t="shared" si="586"/>
        <v>0</v>
      </c>
      <c r="AI1697">
        <f t="shared" si="587"/>
        <v>0</v>
      </c>
      <c r="AJ1697" s="2" t="str">
        <f t="shared" si="597"/>
        <v>547788</v>
      </c>
    </row>
    <row r="1698" spans="1:36" x14ac:dyDescent="0.25">
      <c r="A1698">
        <v>6</v>
      </c>
      <c r="B1698" s="1">
        <v>47788</v>
      </c>
      <c r="C1698" s="1">
        <f t="shared" si="588"/>
        <v>47969</v>
      </c>
      <c r="D1698" s="1">
        <f t="shared" si="589"/>
        <v>47802</v>
      </c>
      <c r="E1698" s="1">
        <f t="shared" si="590"/>
        <v>47969</v>
      </c>
      <c r="F1698" s="1">
        <f t="shared" si="591"/>
        <v>48000</v>
      </c>
      <c r="G1698" s="1">
        <f t="shared" si="592"/>
        <v>48167</v>
      </c>
      <c r="H1698">
        <f t="shared" si="593"/>
        <v>365</v>
      </c>
      <c r="I1698">
        <f t="shared" si="594"/>
        <v>31</v>
      </c>
      <c r="J1698">
        <f t="shared" si="595"/>
        <v>8.4931506849315067E-2</v>
      </c>
      <c r="K1698">
        <f>IFERROR($J1698/IF($A1698&lt;COUNTIFS($K$1:K$1,"&lt;&gt;"),0,SUMIFS($J:$J,$B:$B,$B1698,$A:$A,"&gt;="&amp;COUNTIFS($K$1:K$1,"&lt;&gt;"))),0)</f>
        <v>8.8825214899713484E-2</v>
      </c>
      <c r="L1698">
        <f>IFERROR($J1698/IF($A1698&lt;COUNTIFS($K$1:L$1,"&lt;&gt;"),0,SUMIFS($J:$J,$B:$B,$B1698,$A:$A,"&gt;="&amp;COUNTIFS($K$1:L$1,"&lt;&gt;"))),0)</f>
        <v>9.7484276729559768E-2</v>
      </c>
      <c r="M1698">
        <f>IFERROR($J1698/IF($A1698&lt;COUNTIFS($K$1:M$1,"&lt;&gt;"),0,SUMIFS($J:$J,$B:$B,$B1698,$A:$A,"&gt;="&amp;COUNTIFS($K$1:M$1,"&lt;&gt;"))),0)</f>
        <v>0.10801393728222998</v>
      </c>
      <c r="N1698">
        <f>IFERROR($J1698/IF($A1698&lt;COUNTIFS($K$1:N$1,"&lt;&gt;"),0,SUMIFS($J:$J,$B:$B,$B1698,$A:$A,"&gt;="&amp;COUNTIFS($K$1:N$1,"&lt;&gt;"))),0)</f>
        <v>0.11969111969111972</v>
      </c>
      <c r="O1698">
        <f>IFERROR($J1698/IF($A1698&lt;COUNTIFS($K$1:O$1,"&lt;&gt;"),0,SUMIFS($J:$J,$B:$B,$B1698,$A:$A,"&gt;="&amp;COUNTIFS($K$1:O$1,"&lt;&gt;"))),0)</f>
        <v>0.13596491228070179</v>
      </c>
      <c r="P1698">
        <f>IFERROR($J1698/IF($A1698&lt;COUNTIFS($K$1:P$1,"&lt;&gt;"),0,SUMIFS($J:$J,$B:$B,$B1698,$A:$A,"&gt;="&amp;COUNTIFS($K$1:P$1,"&lt;&gt;"))),0)</f>
        <v>0.1565656565656566</v>
      </c>
      <c r="Q1698">
        <f>IFERROR($J1698/IF($A1698&lt;COUNTIFS($K$1:Q$1,"&lt;&gt;"),0,SUMIFS($J:$J,$B:$B,$B1698,$A:$A,"&gt;="&amp;COUNTIFS($K$1:Q$1,"&lt;&gt;"))),0)</f>
        <v>0</v>
      </c>
      <c r="R1698">
        <f>IFERROR($J1698/IF($A1698&lt;COUNTIFS($K$1:R$1,"&lt;&gt;"),0,SUMIFS($J:$J,$B:$B,$B1698,$A:$A,"&gt;="&amp;COUNTIFS($K$1:R$1,"&lt;&gt;"))),0)</f>
        <v>0</v>
      </c>
      <c r="S1698">
        <f>IFERROR($J1698/IF($A1698&lt;COUNTIFS($K$1:S$1,"&lt;&gt;"),0,SUMIFS($J:$J,$B:$B,$B1698,$A:$A,"&gt;="&amp;COUNTIFS($K$1:S$1,"&lt;&gt;"))),0)</f>
        <v>0</v>
      </c>
      <c r="T1698">
        <f>IFERROR($J1698/IF($A1698&lt;COUNTIFS($K$1:T$1,"&lt;&gt;"),0,SUMIFS($J:$J,$B:$B,$B1698,$A:$A,"&gt;="&amp;COUNTIFS($K$1:T$1,"&lt;&gt;"))),0)</f>
        <v>0</v>
      </c>
      <c r="U1698">
        <f>IFERROR($J1698/IF($A1698&lt;COUNTIFS($K$1:U$1,"&lt;&gt;"),0,SUMIFS($J:$J,$B:$B,$B1698,$A:$A,"&gt;="&amp;COUNTIFS($K$1:U$1,"&lt;&gt;"))),0)</f>
        <v>0</v>
      </c>
      <c r="V1698">
        <f>IFERROR($J1698/IF($A1698&lt;COUNTIFS($K$1:V$1,"&lt;&gt;"),0,SUMIFS($J:$J,$B:$B,$B1698,$A:$A,"&gt;="&amp;COUNTIFS($K$1:V$1,"&lt;&gt;"))),0)</f>
        <v>0</v>
      </c>
      <c r="W1698">
        <f t="shared" si="596"/>
        <v>8.4931506849315067E-2</v>
      </c>
      <c r="X1698">
        <f t="shared" si="576"/>
        <v>8.4931506849315067E-2</v>
      </c>
      <c r="Y1698">
        <f t="shared" si="577"/>
        <v>8.4931506849315067E-2</v>
      </c>
      <c r="Z1698">
        <f t="shared" si="578"/>
        <v>8.4931506849315067E-2</v>
      </c>
      <c r="AA1698">
        <f t="shared" si="579"/>
        <v>8.4931506849315067E-2</v>
      </c>
      <c r="AB1698">
        <f t="shared" si="580"/>
        <v>8.4931506849315067E-2</v>
      </c>
      <c r="AC1698">
        <f t="shared" si="581"/>
        <v>8.4931506849315067E-2</v>
      </c>
      <c r="AD1698">
        <f t="shared" si="582"/>
        <v>0</v>
      </c>
      <c r="AE1698">
        <f t="shared" si="583"/>
        <v>0</v>
      </c>
      <c r="AF1698">
        <f t="shared" si="584"/>
        <v>0</v>
      </c>
      <c r="AG1698">
        <f t="shared" si="585"/>
        <v>0</v>
      </c>
      <c r="AH1698">
        <f t="shared" si="586"/>
        <v>0</v>
      </c>
      <c r="AI1698">
        <f t="shared" si="587"/>
        <v>0</v>
      </c>
      <c r="AJ1698" s="2" t="str">
        <f t="shared" si="597"/>
        <v>647788</v>
      </c>
    </row>
    <row r="1699" spans="1:36" x14ac:dyDescent="0.25">
      <c r="A1699">
        <v>7</v>
      </c>
      <c r="B1699" s="1">
        <v>47788</v>
      </c>
      <c r="C1699" s="1">
        <f t="shared" si="588"/>
        <v>48000</v>
      </c>
      <c r="D1699" s="1">
        <f t="shared" si="589"/>
        <v>47802</v>
      </c>
      <c r="E1699" s="1">
        <f t="shared" si="590"/>
        <v>48000</v>
      </c>
      <c r="F1699" s="1">
        <f t="shared" si="591"/>
        <v>48030</v>
      </c>
      <c r="G1699" s="1">
        <f t="shared" si="592"/>
        <v>48167</v>
      </c>
      <c r="H1699">
        <f t="shared" si="593"/>
        <v>365</v>
      </c>
      <c r="I1699">
        <f t="shared" si="594"/>
        <v>30</v>
      </c>
      <c r="J1699">
        <f t="shared" si="595"/>
        <v>8.2191780821917804E-2</v>
      </c>
      <c r="K1699">
        <f>IFERROR($J1699/IF($A1699&lt;COUNTIFS($K$1:K$1,"&lt;&gt;"),0,SUMIFS($J:$J,$B:$B,$B1699,$A:$A,"&gt;="&amp;COUNTIFS($K$1:K$1,"&lt;&gt;"))),0)</f>
        <v>8.5959885386819493E-2</v>
      </c>
      <c r="L1699">
        <f>IFERROR($J1699/IF($A1699&lt;COUNTIFS($K$1:L$1,"&lt;&gt;"),0,SUMIFS($J:$J,$B:$B,$B1699,$A:$A,"&gt;="&amp;COUNTIFS($K$1:L$1,"&lt;&gt;"))),0)</f>
        <v>9.4339622641509441E-2</v>
      </c>
      <c r="M1699">
        <f>IFERROR($J1699/IF($A1699&lt;COUNTIFS($K$1:M$1,"&lt;&gt;"),0,SUMIFS($J:$J,$B:$B,$B1699,$A:$A,"&gt;="&amp;COUNTIFS($K$1:M$1,"&lt;&gt;"))),0)</f>
        <v>0.10452961672473869</v>
      </c>
      <c r="N1699">
        <f>IFERROR($J1699/IF($A1699&lt;COUNTIFS($K$1:N$1,"&lt;&gt;"),0,SUMIFS($J:$J,$B:$B,$B1699,$A:$A,"&gt;="&amp;COUNTIFS($K$1:N$1,"&lt;&gt;"))),0)</f>
        <v>0.11583011583011585</v>
      </c>
      <c r="O1699">
        <f>IFERROR($J1699/IF($A1699&lt;COUNTIFS($K$1:O$1,"&lt;&gt;"),0,SUMIFS($J:$J,$B:$B,$B1699,$A:$A,"&gt;="&amp;COUNTIFS($K$1:O$1,"&lt;&gt;"))),0)</f>
        <v>0.13157894736842107</v>
      </c>
      <c r="P1699">
        <f>IFERROR($J1699/IF($A1699&lt;COUNTIFS($K$1:P$1,"&lt;&gt;"),0,SUMIFS($J:$J,$B:$B,$B1699,$A:$A,"&gt;="&amp;COUNTIFS($K$1:P$1,"&lt;&gt;"))),0)</f>
        <v>0.15151515151515155</v>
      </c>
      <c r="Q1699">
        <f>IFERROR($J1699/IF($A1699&lt;COUNTIFS($K$1:Q$1,"&lt;&gt;"),0,SUMIFS($J:$J,$B:$B,$B1699,$A:$A,"&gt;="&amp;COUNTIFS($K$1:Q$1,"&lt;&gt;"))),0)</f>
        <v>0.17964071856287425</v>
      </c>
      <c r="R1699">
        <f>IFERROR($J1699/IF($A1699&lt;COUNTIFS($K$1:R$1,"&lt;&gt;"),0,SUMIFS($J:$J,$B:$B,$B1699,$A:$A,"&gt;="&amp;COUNTIFS($K$1:R$1,"&lt;&gt;"))),0)</f>
        <v>0</v>
      </c>
      <c r="S1699">
        <f>IFERROR($J1699/IF($A1699&lt;COUNTIFS($K$1:S$1,"&lt;&gt;"),0,SUMIFS($J:$J,$B:$B,$B1699,$A:$A,"&gt;="&amp;COUNTIFS($K$1:S$1,"&lt;&gt;"))),0)</f>
        <v>0</v>
      </c>
      <c r="T1699">
        <f>IFERROR($J1699/IF($A1699&lt;COUNTIFS($K$1:T$1,"&lt;&gt;"),0,SUMIFS($J:$J,$B:$B,$B1699,$A:$A,"&gt;="&amp;COUNTIFS($K$1:T$1,"&lt;&gt;"))),0)</f>
        <v>0</v>
      </c>
      <c r="U1699">
        <f>IFERROR($J1699/IF($A1699&lt;COUNTIFS($K$1:U$1,"&lt;&gt;"),0,SUMIFS($J:$J,$B:$B,$B1699,$A:$A,"&gt;="&amp;COUNTIFS($K$1:U$1,"&lt;&gt;"))),0)</f>
        <v>0</v>
      </c>
      <c r="V1699">
        <f>IFERROR($J1699/IF($A1699&lt;COUNTIFS($K$1:V$1,"&lt;&gt;"),0,SUMIFS($J:$J,$B:$B,$B1699,$A:$A,"&gt;="&amp;COUNTIFS($K$1:V$1,"&lt;&gt;"))),0)</f>
        <v>0</v>
      </c>
      <c r="W1699">
        <f t="shared" si="596"/>
        <v>8.2191780821917804E-2</v>
      </c>
      <c r="X1699">
        <f t="shared" si="576"/>
        <v>8.2191780821917804E-2</v>
      </c>
      <c r="Y1699">
        <f t="shared" si="577"/>
        <v>8.2191780821917804E-2</v>
      </c>
      <c r="Z1699">
        <f t="shared" si="578"/>
        <v>8.2191780821917804E-2</v>
      </c>
      <c r="AA1699">
        <f t="shared" si="579"/>
        <v>8.2191780821917804E-2</v>
      </c>
      <c r="AB1699">
        <f t="shared" si="580"/>
        <v>8.2191780821917804E-2</v>
      </c>
      <c r="AC1699">
        <f t="shared" si="581"/>
        <v>8.2191780821917804E-2</v>
      </c>
      <c r="AD1699">
        <f t="shared" si="582"/>
        <v>8.2191780821917804E-2</v>
      </c>
      <c r="AE1699">
        <f t="shared" si="583"/>
        <v>0</v>
      </c>
      <c r="AF1699">
        <f t="shared" si="584"/>
        <v>0</v>
      </c>
      <c r="AG1699">
        <f t="shared" si="585"/>
        <v>0</v>
      </c>
      <c r="AH1699">
        <f t="shared" si="586"/>
        <v>0</v>
      </c>
      <c r="AI1699">
        <f t="shared" si="587"/>
        <v>0</v>
      </c>
      <c r="AJ1699" s="2" t="str">
        <f t="shared" si="597"/>
        <v>747788</v>
      </c>
    </row>
    <row r="1700" spans="1:36" x14ac:dyDescent="0.25">
      <c r="A1700">
        <v>8</v>
      </c>
      <c r="B1700" s="1">
        <v>47788</v>
      </c>
      <c r="C1700" s="1">
        <f t="shared" si="588"/>
        <v>48030</v>
      </c>
      <c r="D1700" s="1">
        <f t="shared" si="589"/>
        <v>47802</v>
      </c>
      <c r="E1700" s="1">
        <f t="shared" si="590"/>
        <v>48030</v>
      </c>
      <c r="F1700" s="1">
        <f t="shared" si="591"/>
        <v>48061</v>
      </c>
      <c r="G1700" s="1">
        <f t="shared" si="592"/>
        <v>48167</v>
      </c>
      <c r="H1700">
        <f t="shared" si="593"/>
        <v>365</v>
      </c>
      <c r="I1700">
        <f t="shared" si="594"/>
        <v>31</v>
      </c>
      <c r="J1700">
        <f t="shared" si="595"/>
        <v>8.4931506849315067E-2</v>
      </c>
      <c r="K1700">
        <f>IFERROR($J1700/IF($A1700&lt;COUNTIFS($K$1:K$1,"&lt;&gt;"),0,SUMIFS($J:$J,$B:$B,$B1700,$A:$A,"&gt;="&amp;COUNTIFS($K$1:K$1,"&lt;&gt;"))),0)</f>
        <v>8.8825214899713484E-2</v>
      </c>
      <c r="L1700">
        <f>IFERROR($J1700/IF($A1700&lt;COUNTIFS($K$1:L$1,"&lt;&gt;"),0,SUMIFS($J:$J,$B:$B,$B1700,$A:$A,"&gt;="&amp;COUNTIFS($K$1:L$1,"&lt;&gt;"))),0)</f>
        <v>9.7484276729559768E-2</v>
      </c>
      <c r="M1700">
        <f>IFERROR($J1700/IF($A1700&lt;COUNTIFS($K$1:M$1,"&lt;&gt;"),0,SUMIFS($J:$J,$B:$B,$B1700,$A:$A,"&gt;="&amp;COUNTIFS($K$1:M$1,"&lt;&gt;"))),0)</f>
        <v>0.10801393728222998</v>
      </c>
      <c r="N1700">
        <f>IFERROR($J1700/IF($A1700&lt;COUNTIFS($K$1:N$1,"&lt;&gt;"),0,SUMIFS($J:$J,$B:$B,$B1700,$A:$A,"&gt;="&amp;COUNTIFS($K$1:N$1,"&lt;&gt;"))),0)</f>
        <v>0.11969111969111972</v>
      </c>
      <c r="O1700">
        <f>IFERROR($J1700/IF($A1700&lt;COUNTIFS($K$1:O$1,"&lt;&gt;"),0,SUMIFS($J:$J,$B:$B,$B1700,$A:$A,"&gt;="&amp;COUNTIFS($K$1:O$1,"&lt;&gt;"))),0)</f>
        <v>0.13596491228070179</v>
      </c>
      <c r="P1700">
        <f>IFERROR($J1700/IF($A1700&lt;COUNTIFS($K$1:P$1,"&lt;&gt;"),0,SUMIFS($J:$J,$B:$B,$B1700,$A:$A,"&gt;="&amp;COUNTIFS($K$1:P$1,"&lt;&gt;"))),0)</f>
        <v>0.1565656565656566</v>
      </c>
      <c r="Q1700">
        <f>IFERROR($J1700/IF($A1700&lt;COUNTIFS($K$1:Q$1,"&lt;&gt;"),0,SUMIFS($J:$J,$B:$B,$B1700,$A:$A,"&gt;="&amp;COUNTIFS($K$1:Q$1,"&lt;&gt;"))),0)</f>
        <v>0.18562874251497008</v>
      </c>
      <c r="R1700">
        <f>IFERROR($J1700/IF($A1700&lt;COUNTIFS($K$1:R$1,"&lt;&gt;"),0,SUMIFS($J:$J,$B:$B,$B1700,$A:$A,"&gt;="&amp;COUNTIFS($K$1:R$1,"&lt;&gt;"))),0)</f>
        <v>0.22627737226277375</v>
      </c>
      <c r="S1700">
        <f>IFERROR($J1700/IF($A1700&lt;COUNTIFS($K$1:S$1,"&lt;&gt;"),0,SUMIFS($J:$J,$B:$B,$B1700,$A:$A,"&gt;="&amp;COUNTIFS($K$1:S$1,"&lt;&gt;"))),0)</f>
        <v>0</v>
      </c>
      <c r="T1700">
        <f>IFERROR($J1700/IF($A1700&lt;COUNTIFS($K$1:T$1,"&lt;&gt;"),0,SUMIFS($J:$J,$B:$B,$B1700,$A:$A,"&gt;="&amp;COUNTIFS($K$1:T$1,"&lt;&gt;"))),0)</f>
        <v>0</v>
      </c>
      <c r="U1700">
        <f>IFERROR($J1700/IF($A1700&lt;COUNTIFS($K$1:U$1,"&lt;&gt;"),0,SUMIFS($J:$J,$B:$B,$B1700,$A:$A,"&gt;="&amp;COUNTIFS($K$1:U$1,"&lt;&gt;"))),0)</f>
        <v>0</v>
      </c>
      <c r="V1700">
        <f>IFERROR($J1700/IF($A1700&lt;COUNTIFS($K$1:V$1,"&lt;&gt;"),0,SUMIFS($J:$J,$B:$B,$B1700,$A:$A,"&gt;="&amp;COUNTIFS($K$1:V$1,"&lt;&gt;"))),0)</f>
        <v>0</v>
      </c>
      <c r="W1700">
        <f t="shared" si="596"/>
        <v>8.4931506849315067E-2</v>
      </c>
      <c r="X1700">
        <f t="shared" si="576"/>
        <v>8.4931506849315067E-2</v>
      </c>
      <c r="Y1700">
        <f t="shared" si="577"/>
        <v>8.4931506849315067E-2</v>
      </c>
      <c r="Z1700">
        <f t="shared" si="578"/>
        <v>8.4931506849315067E-2</v>
      </c>
      <c r="AA1700">
        <f t="shared" si="579"/>
        <v>8.4931506849315067E-2</v>
      </c>
      <c r="AB1700">
        <f t="shared" si="580"/>
        <v>8.4931506849315067E-2</v>
      </c>
      <c r="AC1700">
        <f t="shared" si="581"/>
        <v>8.4931506849315067E-2</v>
      </c>
      <c r="AD1700">
        <f t="shared" si="582"/>
        <v>8.4931506849315067E-2</v>
      </c>
      <c r="AE1700">
        <f t="shared" si="583"/>
        <v>8.4931506849315067E-2</v>
      </c>
      <c r="AF1700">
        <f t="shared" si="584"/>
        <v>0</v>
      </c>
      <c r="AG1700">
        <f t="shared" si="585"/>
        <v>0</v>
      </c>
      <c r="AH1700">
        <f t="shared" si="586"/>
        <v>0</v>
      </c>
      <c r="AI1700">
        <f t="shared" si="587"/>
        <v>0</v>
      </c>
      <c r="AJ1700" s="2" t="str">
        <f t="shared" si="597"/>
        <v>847788</v>
      </c>
    </row>
    <row r="1701" spans="1:36" x14ac:dyDescent="0.25">
      <c r="A1701">
        <v>9</v>
      </c>
      <c r="B1701" s="1">
        <v>47788</v>
      </c>
      <c r="C1701" s="1">
        <f t="shared" si="588"/>
        <v>48061</v>
      </c>
      <c r="D1701" s="1">
        <f t="shared" si="589"/>
        <v>47802</v>
      </c>
      <c r="E1701" s="1">
        <f t="shared" si="590"/>
        <v>48061</v>
      </c>
      <c r="F1701" s="1">
        <f t="shared" si="591"/>
        <v>48092</v>
      </c>
      <c r="G1701" s="1">
        <f t="shared" si="592"/>
        <v>48167</v>
      </c>
      <c r="H1701">
        <f t="shared" si="593"/>
        <v>365</v>
      </c>
      <c r="I1701">
        <f t="shared" si="594"/>
        <v>31</v>
      </c>
      <c r="J1701">
        <f t="shared" si="595"/>
        <v>8.4931506849315067E-2</v>
      </c>
      <c r="K1701">
        <f>IFERROR($J1701/IF($A1701&lt;COUNTIFS($K$1:K$1,"&lt;&gt;"),0,SUMIFS($J:$J,$B:$B,$B1701,$A:$A,"&gt;="&amp;COUNTIFS($K$1:K$1,"&lt;&gt;"))),0)</f>
        <v>8.8825214899713484E-2</v>
      </c>
      <c r="L1701">
        <f>IFERROR($J1701/IF($A1701&lt;COUNTIFS($K$1:L$1,"&lt;&gt;"),0,SUMIFS($J:$J,$B:$B,$B1701,$A:$A,"&gt;="&amp;COUNTIFS($K$1:L$1,"&lt;&gt;"))),0)</f>
        <v>9.7484276729559768E-2</v>
      </c>
      <c r="M1701">
        <f>IFERROR($J1701/IF($A1701&lt;COUNTIFS($K$1:M$1,"&lt;&gt;"),0,SUMIFS($J:$J,$B:$B,$B1701,$A:$A,"&gt;="&amp;COUNTIFS($K$1:M$1,"&lt;&gt;"))),0)</f>
        <v>0.10801393728222998</v>
      </c>
      <c r="N1701">
        <f>IFERROR($J1701/IF($A1701&lt;COUNTIFS($K$1:N$1,"&lt;&gt;"),0,SUMIFS($J:$J,$B:$B,$B1701,$A:$A,"&gt;="&amp;COUNTIFS($K$1:N$1,"&lt;&gt;"))),0)</f>
        <v>0.11969111969111972</v>
      </c>
      <c r="O1701">
        <f>IFERROR($J1701/IF($A1701&lt;COUNTIFS($K$1:O$1,"&lt;&gt;"),0,SUMIFS($J:$J,$B:$B,$B1701,$A:$A,"&gt;="&amp;COUNTIFS($K$1:O$1,"&lt;&gt;"))),0)</f>
        <v>0.13596491228070179</v>
      </c>
      <c r="P1701">
        <f>IFERROR($J1701/IF($A1701&lt;COUNTIFS($K$1:P$1,"&lt;&gt;"),0,SUMIFS($J:$J,$B:$B,$B1701,$A:$A,"&gt;="&amp;COUNTIFS($K$1:P$1,"&lt;&gt;"))),0)</f>
        <v>0.1565656565656566</v>
      </c>
      <c r="Q1701">
        <f>IFERROR($J1701/IF($A1701&lt;COUNTIFS($K$1:Q$1,"&lt;&gt;"),0,SUMIFS($J:$J,$B:$B,$B1701,$A:$A,"&gt;="&amp;COUNTIFS($K$1:Q$1,"&lt;&gt;"))),0)</f>
        <v>0.18562874251497008</v>
      </c>
      <c r="R1701">
        <f>IFERROR($J1701/IF($A1701&lt;COUNTIFS($K$1:R$1,"&lt;&gt;"),0,SUMIFS($J:$J,$B:$B,$B1701,$A:$A,"&gt;="&amp;COUNTIFS($K$1:R$1,"&lt;&gt;"))),0)</f>
        <v>0.22627737226277375</v>
      </c>
      <c r="S1701">
        <f>IFERROR($J1701/IF($A1701&lt;COUNTIFS($K$1:S$1,"&lt;&gt;"),0,SUMIFS($J:$J,$B:$B,$B1701,$A:$A,"&gt;="&amp;COUNTIFS($K$1:S$1,"&lt;&gt;"))),0)</f>
        <v>0.29245283018867929</v>
      </c>
      <c r="T1701">
        <f>IFERROR($J1701/IF($A1701&lt;COUNTIFS($K$1:T$1,"&lt;&gt;"),0,SUMIFS($J:$J,$B:$B,$B1701,$A:$A,"&gt;="&amp;COUNTIFS($K$1:T$1,"&lt;&gt;"))),0)</f>
        <v>0</v>
      </c>
      <c r="U1701">
        <f>IFERROR($J1701/IF($A1701&lt;COUNTIFS($K$1:U$1,"&lt;&gt;"),0,SUMIFS($J:$J,$B:$B,$B1701,$A:$A,"&gt;="&amp;COUNTIFS($K$1:U$1,"&lt;&gt;"))),0)</f>
        <v>0</v>
      </c>
      <c r="V1701">
        <f>IFERROR($J1701/IF($A1701&lt;COUNTIFS($K$1:V$1,"&lt;&gt;"),0,SUMIFS($J:$J,$B:$B,$B1701,$A:$A,"&gt;="&amp;COUNTIFS($K$1:V$1,"&lt;&gt;"))),0)</f>
        <v>0</v>
      </c>
      <c r="W1701">
        <f t="shared" si="596"/>
        <v>8.4931506849315067E-2</v>
      </c>
      <c r="X1701">
        <f t="shared" si="576"/>
        <v>8.4931506849315067E-2</v>
      </c>
      <c r="Y1701">
        <f t="shared" si="577"/>
        <v>8.4931506849315067E-2</v>
      </c>
      <c r="Z1701">
        <f t="shared" si="578"/>
        <v>8.4931506849315067E-2</v>
      </c>
      <c r="AA1701">
        <f t="shared" si="579"/>
        <v>8.4931506849315067E-2</v>
      </c>
      <c r="AB1701">
        <f t="shared" si="580"/>
        <v>8.4931506849315067E-2</v>
      </c>
      <c r="AC1701">
        <f t="shared" si="581"/>
        <v>8.4931506849315067E-2</v>
      </c>
      <c r="AD1701">
        <f t="shared" si="582"/>
        <v>8.4931506849315067E-2</v>
      </c>
      <c r="AE1701">
        <f t="shared" si="583"/>
        <v>8.4931506849315067E-2</v>
      </c>
      <c r="AF1701">
        <f t="shared" si="584"/>
        <v>8.4931506849315067E-2</v>
      </c>
      <c r="AG1701">
        <f t="shared" si="585"/>
        <v>0</v>
      </c>
      <c r="AH1701">
        <f t="shared" si="586"/>
        <v>0</v>
      </c>
      <c r="AI1701">
        <f t="shared" si="587"/>
        <v>0</v>
      </c>
      <c r="AJ1701" s="2" t="str">
        <f t="shared" si="597"/>
        <v>947788</v>
      </c>
    </row>
    <row r="1702" spans="1:36" x14ac:dyDescent="0.25">
      <c r="A1702">
        <v>10</v>
      </c>
      <c r="B1702" s="1">
        <v>47788</v>
      </c>
      <c r="C1702" s="1">
        <f t="shared" si="588"/>
        <v>48092</v>
      </c>
      <c r="D1702" s="1">
        <f t="shared" si="589"/>
        <v>47802</v>
      </c>
      <c r="E1702" s="1">
        <f t="shared" si="590"/>
        <v>48092</v>
      </c>
      <c r="F1702" s="1">
        <f t="shared" si="591"/>
        <v>48122</v>
      </c>
      <c r="G1702" s="1">
        <f t="shared" si="592"/>
        <v>48167</v>
      </c>
      <c r="H1702">
        <f t="shared" si="593"/>
        <v>365</v>
      </c>
      <c r="I1702">
        <f t="shared" si="594"/>
        <v>30</v>
      </c>
      <c r="J1702">
        <f t="shared" si="595"/>
        <v>8.2191780821917804E-2</v>
      </c>
      <c r="K1702">
        <f>IFERROR($J1702/IF($A1702&lt;COUNTIFS($K$1:K$1,"&lt;&gt;"),0,SUMIFS($J:$J,$B:$B,$B1702,$A:$A,"&gt;="&amp;COUNTIFS($K$1:K$1,"&lt;&gt;"))),0)</f>
        <v>8.5959885386819493E-2</v>
      </c>
      <c r="L1702">
        <f>IFERROR($J1702/IF($A1702&lt;COUNTIFS($K$1:L$1,"&lt;&gt;"),0,SUMIFS($J:$J,$B:$B,$B1702,$A:$A,"&gt;="&amp;COUNTIFS($K$1:L$1,"&lt;&gt;"))),0)</f>
        <v>9.4339622641509441E-2</v>
      </c>
      <c r="M1702">
        <f>IFERROR($J1702/IF($A1702&lt;COUNTIFS($K$1:M$1,"&lt;&gt;"),0,SUMIFS($J:$J,$B:$B,$B1702,$A:$A,"&gt;="&amp;COUNTIFS($K$1:M$1,"&lt;&gt;"))),0)</f>
        <v>0.10452961672473869</v>
      </c>
      <c r="N1702">
        <f>IFERROR($J1702/IF($A1702&lt;COUNTIFS($K$1:N$1,"&lt;&gt;"),0,SUMIFS($J:$J,$B:$B,$B1702,$A:$A,"&gt;="&amp;COUNTIFS($K$1:N$1,"&lt;&gt;"))),0)</f>
        <v>0.11583011583011585</v>
      </c>
      <c r="O1702">
        <f>IFERROR($J1702/IF($A1702&lt;COUNTIFS($K$1:O$1,"&lt;&gt;"),0,SUMIFS($J:$J,$B:$B,$B1702,$A:$A,"&gt;="&amp;COUNTIFS($K$1:O$1,"&lt;&gt;"))),0)</f>
        <v>0.13157894736842107</v>
      </c>
      <c r="P1702">
        <f>IFERROR($J1702/IF($A1702&lt;COUNTIFS($K$1:P$1,"&lt;&gt;"),0,SUMIFS($J:$J,$B:$B,$B1702,$A:$A,"&gt;="&amp;COUNTIFS($K$1:P$1,"&lt;&gt;"))),0)</f>
        <v>0.15151515151515155</v>
      </c>
      <c r="Q1702">
        <f>IFERROR($J1702/IF($A1702&lt;COUNTIFS($K$1:Q$1,"&lt;&gt;"),0,SUMIFS($J:$J,$B:$B,$B1702,$A:$A,"&gt;="&amp;COUNTIFS($K$1:Q$1,"&lt;&gt;"))),0)</f>
        <v>0.17964071856287425</v>
      </c>
      <c r="R1702">
        <f>IFERROR($J1702/IF($A1702&lt;COUNTIFS($K$1:R$1,"&lt;&gt;"),0,SUMIFS($J:$J,$B:$B,$B1702,$A:$A,"&gt;="&amp;COUNTIFS($K$1:R$1,"&lt;&gt;"))),0)</f>
        <v>0.21897810218978103</v>
      </c>
      <c r="S1702">
        <f>IFERROR($J1702/IF($A1702&lt;COUNTIFS($K$1:S$1,"&lt;&gt;"),0,SUMIFS($J:$J,$B:$B,$B1702,$A:$A,"&gt;="&amp;COUNTIFS($K$1:S$1,"&lt;&gt;"))),0)</f>
        <v>0.28301886792452829</v>
      </c>
      <c r="T1702">
        <f>IFERROR($J1702/IF($A1702&lt;COUNTIFS($K$1:T$1,"&lt;&gt;"),0,SUMIFS($J:$J,$B:$B,$B1702,$A:$A,"&gt;="&amp;COUNTIFS($K$1:T$1,"&lt;&gt;"))),0)</f>
        <v>0.4</v>
      </c>
      <c r="U1702">
        <f>IFERROR($J1702/IF($A1702&lt;COUNTIFS($K$1:U$1,"&lt;&gt;"),0,SUMIFS($J:$J,$B:$B,$B1702,$A:$A,"&gt;="&amp;COUNTIFS($K$1:U$1,"&lt;&gt;"))),0)</f>
        <v>0</v>
      </c>
      <c r="V1702">
        <f>IFERROR($J1702/IF($A1702&lt;COUNTIFS($K$1:V$1,"&lt;&gt;"),0,SUMIFS($J:$J,$B:$B,$B1702,$A:$A,"&gt;="&amp;COUNTIFS($K$1:V$1,"&lt;&gt;"))),0)</f>
        <v>0</v>
      </c>
      <c r="W1702">
        <f t="shared" si="596"/>
        <v>8.2191780821917804E-2</v>
      </c>
      <c r="X1702">
        <f t="shared" si="576"/>
        <v>8.2191780821917804E-2</v>
      </c>
      <c r="Y1702">
        <f t="shared" si="577"/>
        <v>8.2191780821917804E-2</v>
      </c>
      <c r="Z1702">
        <f t="shared" si="578"/>
        <v>8.2191780821917804E-2</v>
      </c>
      <c r="AA1702">
        <f t="shared" si="579"/>
        <v>8.2191780821917804E-2</v>
      </c>
      <c r="AB1702">
        <f t="shared" si="580"/>
        <v>8.2191780821917804E-2</v>
      </c>
      <c r="AC1702">
        <f t="shared" si="581"/>
        <v>8.2191780821917804E-2</v>
      </c>
      <c r="AD1702">
        <f t="shared" si="582"/>
        <v>8.2191780821917804E-2</v>
      </c>
      <c r="AE1702">
        <f t="shared" si="583"/>
        <v>8.2191780821917804E-2</v>
      </c>
      <c r="AF1702">
        <f t="shared" si="584"/>
        <v>8.2191780821917804E-2</v>
      </c>
      <c r="AG1702">
        <f t="shared" si="585"/>
        <v>8.2191780821917804E-2</v>
      </c>
      <c r="AH1702">
        <f t="shared" si="586"/>
        <v>0</v>
      </c>
      <c r="AI1702">
        <f t="shared" si="587"/>
        <v>0</v>
      </c>
      <c r="AJ1702" s="2" t="str">
        <f t="shared" si="597"/>
        <v>1047788</v>
      </c>
    </row>
    <row r="1703" spans="1:36" x14ac:dyDescent="0.25">
      <c r="A1703">
        <v>11</v>
      </c>
      <c r="B1703" s="1">
        <v>47788</v>
      </c>
      <c r="C1703" s="1">
        <f t="shared" si="588"/>
        <v>48122</v>
      </c>
      <c r="D1703" s="1">
        <f t="shared" si="589"/>
        <v>47802</v>
      </c>
      <c r="E1703" s="1">
        <f t="shared" si="590"/>
        <v>48122</v>
      </c>
      <c r="F1703" s="1">
        <f t="shared" si="591"/>
        <v>48153</v>
      </c>
      <c r="G1703" s="1">
        <f t="shared" si="592"/>
        <v>48167</v>
      </c>
      <c r="H1703">
        <f t="shared" si="593"/>
        <v>365</v>
      </c>
      <c r="I1703">
        <f t="shared" si="594"/>
        <v>31</v>
      </c>
      <c r="J1703">
        <f t="shared" si="595"/>
        <v>8.4931506849315067E-2</v>
      </c>
      <c r="K1703">
        <f>IFERROR($J1703/IF($A1703&lt;COUNTIFS($K$1:K$1,"&lt;&gt;"),0,SUMIFS($J:$J,$B:$B,$B1703,$A:$A,"&gt;="&amp;COUNTIFS($K$1:K$1,"&lt;&gt;"))),0)</f>
        <v>8.8825214899713484E-2</v>
      </c>
      <c r="L1703">
        <f>IFERROR($J1703/IF($A1703&lt;COUNTIFS($K$1:L$1,"&lt;&gt;"),0,SUMIFS($J:$J,$B:$B,$B1703,$A:$A,"&gt;="&amp;COUNTIFS($K$1:L$1,"&lt;&gt;"))),0)</f>
        <v>9.7484276729559768E-2</v>
      </c>
      <c r="M1703">
        <f>IFERROR($J1703/IF($A1703&lt;COUNTIFS($K$1:M$1,"&lt;&gt;"),0,SUMIFS($J:$J,$B:$B,$B1703,$A:$A,"&gt;="&amp;COUNTIFS($K$1:M$1,"&lt;&gt;"))),0)</f>
        <v>0.10801393728222998</v>
      </c>
      <c r="N1703">
        <f>IFERROR($J1703/IF($A1703&lt;COUNTIFS($K$1:N$1,"&lt;&gt;"),0,SUMIFS($J:$J,$B:$B,$B1703,$A:$A,"&gt;="&amp;COUNTIFS($K$1:N$1,"&lt;&gt;"))),0)</f>
        <v>0.11969111969111972</v>
      </c>
      <c r="O1703">
        <f>IFERROR($J1703/IF($A1703&lt;COUNTIFS($K$1:O$1,"&lt;&gt;"),0,SUMIFS($J:$J,$B:$B,$B1703,$A:$A,"&gt;="&amp;COUNTIFS($K$1:O$1,"&lt;&gt;"))),0)</f>
        <v>0.13596491228070179</v>
      </c>
      <c r="P1703">
        <f>IFERROR($J1703/IF($A1703&lt;COUNTIFS($K$1:P$1,"&lt;&gt;"),0,SUMIFS($J:$J,$B:$B,$B1703,$A:$A,"&gt;="&amp;COUNTIFS($K$1:P$1,"&lt;&gt;"))),0)</f>
        <v>0.1565656565656566</v>
      </c>
      <c r="Q1703">
        <f>IFERROR($J1703/IF($A1703&lt;COUNTIFS($K$1:Q$1,"&lt;&gt;"),0,SUMIFS($J:$J,$B:$B,$B1703,$A:$A,"&gt;="&amp;COUNTIFS($K$1:Q$1,"&lt;&gt;"))),0)</f>
        <v>0.18562874251497008</v>
      </c>
      <c r="R1703">
        <f>IFERROR($J1703/IF($A1703&lt;COUNTIFS($K$1:R$1,"&lt;&gt;"),0,SUMIFS($J:$J,$B:$B,$B1703,$A:$A,"&gt;="&amp;COUNTIFS($K$1:R$1,"&lt;&gt;"))),0)</f>
        <v>0.22627737226277375</v>
      </c>
      <c r="S1703">
        <f>IFERROR($J1703/IF($A1703&lt;COUNTIFS($K$1:S$1,"&lt;&gt;"),0,SUMIFS($J:$J,$B:$B,$B1703,$A:$A,"&gt;="&amp;COUNTIFS($K$1:S$1,"&lt;&gt;"))),0)</f>
        <v>0.29245283018867929</v>
      </c>
      <c r="T1703">
        <f>IFERROR($J1703/IF($A1703&lt;COUNTIFS($K$1:T$1,"&lt;&gt;"),0,SUMIFS($J:$J,$B:$B,$B1703,$A:$A,"&gt;="&amp;COUNTIFS($K$1:T$1,"&lt;&gt;"))),0)</f>
        <v>0.41333333333333333</v>
      </c>
      <c r="U1703">
        <f>IFERROR($J1703/IF($A1703&lt;COUNTIFS($K$1:U$1,"&lt;&gt;"),0,SUMIFS($J:$J,$B:$B,$B1703,$A:$A,"&gt;="&amp;COUNTIFS($K$1:U$1,"&lt;&gt;"))),0)</f>
        <v>0.68888888888888888</v>
      </c>
      <c r="V1703">
        <f>IFERROR($J1703/IF($A1703&lt;COUNTIFS($K$1:V$1,"&lt;&gt;"),0,SUMIFS($J:$J,$B:$B,$B1703,$A:$A,"&gt;="&amp;COUNTIFS($K$1:V$1,"&lt;&gt;"))),0)</f>
        <v>0</v>
      </c>
      <c r="W1703">
        <f t="shared" si="596"/>
        <v>8.4931506849315067E-2</v>
      </c>
      <c r="X1703">
        <f t="shared" si="576"/>
        <v>8.4931506849315067E-2</v>
      </c>
      <c r="Y1703">
        <f t="shared" si="577"/>
        <v>8.4931506849315067E-2</v>
      </c>
      <c r="Z1703">
        <f t="shared" si="578"/>
        <v>8.4931506849315067E-2</v>
      </c>
      <c r="AA1703">
        <f t="shared" si="579"/>
        <v>8.4931506849315067E-2</v>
      </c>
      <c r="AB1703">
        <f t="shared" si="580"/>
        <v>8.4931506849315067E-2</v>
      </c>
      <c r="AC1703">
        <f t="shared" si="581"/>
        <v>8.4931506849315067E-2</v>
      </c>
      <c r="AD1703">
        <f t="shared" si="582"/>
        <v>8.4931506849315067E-2</v>
      </c>
      <c r="AE1703">
        <f t="shared" si="583"/>
        <v>8.4931506849315067E-2</v>
      </c>
      <c r="AF1703">
        <f t="shared" si="584"/>
        <v>8.4931506849315067E-2</v>
      </c>
      <c r="AG1703">
        <f t="shared" si="585"/>
        <v>8.4931506849315067E-2</v>
      </c>
      <c r="AH1703">
        <f t="shared" si="586"/>
        <v>8.4931506849315067E-2</v>
      </c>
      <c r="AI1703">
        <f t="shared" si="587"/>
        <v>0</v>
      </c>
      <c r="AJ1703" s="2" t="str">
        <f t="shared" si="597"/>
        <v>1147788</v>
      </c>
    </row>
    <row r="1704" spans="1:36" x14ac:dyDescent="0.25">
      <c r="A1704">
        <v>12</v>
      </c>
      <c r="B1704" s="1">
        <v>47788</v>
      </c>
      <c r="C1704" s="1">
        <f t="shared" si="588"/>
        <v>48153</v>
      </c>
      <c r="D1704" s="1">
        <f t="shared" si="589"/>
        <v>47802</v>
      </c>
      <c r="E1704" s="1">
        <f t="shared" si="590"/>
        <v>48153</v>
      </c>
      <c r="F1704" s="1">
        <f t="shared" si="591"/>
        <v>48167</v>
      </c>
      <c r="G1704" s="1">
        <f t="shared" si="592"/>
        <v>48167</v>
      </c>
      <c r="H1704">
        <f t="shared" si="593"/>
        <v>365</v>
      </c>
      <c r="I1704">
        <f t="shared" si="594"/>
        <v>14</v>
      </c>
      <c r="J1704">
        <f t="shared" si="595"/>
        <v>3.8356164383561646E-2</v>
      </c>
      <c r="K1704">
        <f>IFERROR($J1704/IF($A1704&lt;COUNTIFS($K$1:K$1,"&lt;&gt;"),0,SUMIFS($J:$J,$B:$B,$B1704,$A:$A,"&gt;="&amp;COUNTIFS($K$1:K$1,"&lt;&gt;"))),0)</f>
        <v>4.0114613180515769E-2</v>
      </c>
      <c r="L1704">
        <f>IFERROR($J1704/IF($A1704&lt;COUNTIFS($K$1:L$1,"&lt;&gt;"),0,SUMIFS($J:$J,$B:$B,$B1704,$A:$A,"&gt;="&amp;COUNTIFS($K$1:L$1,"&lt;&gt;"))),0)</f>
        <v>4.4025157232704414E-2</v>
      </c>
      <c r="M1704">
        <f>IFERROR($J1704/IF($A1704&lt;COUNTIFS($K$1:M$1,"&lt;&gt;"),0,SUMIFS($J:$J,$B:$B,$B1704,$A:$A,"&gt;="&amp;COUNTIFS($K$1:M$1,"&lt;&gt;"))),0)</f>
        <v>4.8780487804878057E-2</v>
      </c>
      <c r="N1704">
        <f>IFERROR($J1704/IF($A1704&lt;COUNTIFS($K$1:N$1,"&lt;&gt;"),0,SUMIFS($J:$J,$B:$B,$B1704,$A:$A,"&gt;="&amp;COUNTIFS($K$1:N$1,"&lt;&gt;"))),0)</f>
        <v>5.4054054054054071E-2</v>
      </c>
      <c r="O1704">
        <f>IFERROR($J1704/IF($A1704&lt;COUNTIFS($K$1:O$1,"&lt;&gt;"),0,SUMIFS($J:$J,$B:$B,$B1704,$A:$A,"&gt;="&amp;COUNTIFS($K$1:O$1,"&lt;&gt;"))),0)</f>
        <v>6.1403508771929842E-2</v>
      </c>
      <c r="P1704">
        <f>IFERROR($J1704/IF($A1704&lt;COUNTIFS($K$1:P$1,"&lt;&gt;"),0,SUMIFS($J:$J,$B:$B,$B1704,$A:$A,"&gt;="&amp;COUNTIFS($K$1:P$1,"&lt;&gt;"))),0)</f>
        <v>7.0707070707070732E-2</v>
      </c>
      <c r="Q1704">
        <f>IFERROR($J1704/IF($A1704&lt;COUNTIFS($K$1:Q$1,"&lt;&gt;"),0,SUMIFS($J:$J,$B:$B,$B1704,$A:$A,"&gt;="&amp;COUNTIFS($K$1:Q$1,"&lt;&gt;"))),0)</f>
        <v>8.3832335329341326E-2</v>
      </c>
      <c r="R1704">
        <f>IFERROR($J1704/IF($A1704&lt;COUNTIFS($K$1:R$1,"&lt;&gt;"),0,SUMIFS($J:$J,$B:$B,$B1704,$A:$A,"&gt;="&amp;COUNTIFS($K$1:R$1,"&lt;&gt;"))),0)</f>
        <v>0.10218978102189782</v>
      </c>
      <c r="S1704">
        <f>IFERROR($J1704/IF($A1704&lt;COUNTIFS($K$1:S$1,"&lt;&gt;"),0,SUMIFS($J:$J,$B:$B,$B1704,$A:$A,"&gt;="&amp;COUNTIFS($K$1:S$1,"&lt;&gt;"))),0)</f>
        <v>0.13207547169811323</v>
      </c>
      <c r="T1704">
        <f>IFERROR($J1704/IF($A1704&lt;COUNTIFS($K$1:T$1,"&lt;&gt;"),0,SUMIFS($J:$J,$B:$B,$B1704,$A:$A,"&gt;="&amp;COUNTIFS($K$1:T$1,"&lt;&gt;"))),0)</f>
        <v>0.18666666666666668</v>
      </c>
      <c r="U1704">
        <f>IFERROR($J1704/IF($A1704&lt;COUNTIFS($K$1:U$1,"&lt;&gt;"),0,SUMIFS($J:$J,$B:$B,$B1704,$A:$A,"&gt;="&amp;COUNTIFS($K$1:U$1,"&lt;&gt;"))),0)</f>
        <v>0.31111111111111117</v>
      </c>
      <c r="V1704">
        <f>IFERROR($J1704/IF($A1704&lt;COUNTIFS($K$1:V$1,"&lt;&gt;"),0,SUMIFS($J:$J,$B:$B,$B1704,$A:$A,"&gt;="&amp;COUNTIFS($K$1:V$1,"&lt;&gt;"))),0)</f>
        <v>1</v>
      </c>
      <c r="W1704">
        <f t="shared" si="596"/>
        <v>3.8356164383561646E-2</v>
      </c>
      <c r="X1704">
        <f t="shared" si="576"/>
        <v>3.8356164383561646E-2</v>
      </c>
      <c r="Y1704">
        <f t="shared" si="577"/>
        <v>3.8356164383561646E-2</v>
      </c>
      <c r="Z1704">
        <f t="shared" si="578"/>
        <v>3.8356164383561646E-2</v>
      </c>
      <c r="AA1704">
        <f t="shared" si="579"/>
        <v>3.8356164383561646E-2</v>
      </c>
      <c r="AB1704">
        <f t="shared" si="580"/>
        <v>3.8356164383561646E-2</v>
      </c>
      <c r="AC1704">
        <f t="shared" si="581"/>
        <v>3.8356164383561646E-2</v>
      </c>
      <c r="AD1704">
        <f t="shared" si="582"/>
        <v>3.8356164383561646E-2</v>
      </c>
      <c r="AE1704">
        <f t="shared" si="583"/>
        <v>3.8356164383561646E-2</v>
      </c>
      <c r="AF1704">
        <f t="shared" si="584"/>
        <v>3.8356164383561646E-2</v>
      </c>
      <c r="AG1704">
        <f t="shared" si="585"/>
        <v>3.8356164383561646E-2</v>
      </c>
      <c r="AH1704">
        <f t="shared" si="586"/>
        <v>3.8356164383561646E-2</v>
      </c>
      <c r="AI1704">
        <f t="shared" si="587"/>
        <v>3.8356164383561646E-2</v>
      </c>
      <c r="AJ1704" s="2" t="str">
        <f t="shared" si="597"/>
        <v>1247788</v>
      </c>
    </row>
    <row r="1705" spans="1:36" x14ac:dyDescent="0.25">
      <c r="A1705">
        <v>0</v>
      </c>
      <c r="B1705" s="1">
        <v>47818</v>
      </c>
      <c r="C1705" s="1">
        <f t="shared" si="588"/>
        <v>47818</v>
      </c>
      <c r="D1705" s="1">
        <f t="shared" si="589"/>
        <v>47832</v>
      </c>
      <c r="E1705" s="1">
        <f t="shared" si="590"/>
        <v>47832</v>
      </c>
      <c r="F1705" s="1">
        <f t="shared" si="591"/>
        <v>47849</v>
      </c>
      <c r="G1705" s="1">
        <f t="shared" si="592"/>
        <v>48197</v>
      </c>
      <c r="H1705">
        <f t="shared" si="593"/>
        <v>365</v>
      </c>
      <c r="I1705">
        <f t="shared" si="594"/>
        <v>17</v>
      </c>
      <c r="J1705">
        <f t="shared" si="595"/>
        <v>4.6575342465753428E-2</v>
      </c>
      <c r="K1705">
        <f>IFERROR($J1705/IF($A1705&lt;COUNTIFS($K$1:K$1,"&lt;&gt;"),0,SUMIFS($J:$J,$B:$B,$B1705,$A:$A,"&gt;="&amp;COUNTIFS($K$1:K$1,"&lt;&gt;"))),0)</f>
        <v>0</v>
      </c>
      <c r="L1705">
        <f>IFERROR($J1705/IF($A1705&lt;COUNTIFS($K$1:L$1,"&lt;&gt;"),0,SUMIFS($J:$J,$B:$B,$B1705,$A:$A,"&gt;="&amp;COUNTIFS($K$1:L$1,"&lt;&gt;"))),0)</f>
        <v>0</v>
      </c>
      <c r="M1705">
        <f>IFERROR($J1705/IF($A1705&lt;COUNTIFS($K$1:M$1,"&lt;&gt;"),0,SUMIFS($J:$J,$B:$B,$B1705,$A:$A,"&gt;="&amp;COUNTIFS($K$1:M$1,"&lt;&gt;"))),0)</f>
        <v>0</v>
      </c>
      <c r="N1705">
        <f>IFERROR($J1705/IF($A1705&lt;COUNTIFS($K$1:N$1,"&lt;&gt;"),0,SUMIFS($J:$J,$B:$B,$B1705,$A:$A,"&gt;="&amp;COUNTIFS($K$1:N$1,"&lt;&gt;"))),0)</f>
        <v>0</v>
      </c>
      <c r="O1705">
        <f>IFERROR($J1705/IF($A1705&lt;COUNTIFS($K$1:O$1,"&lt;&gt;"),0,SUMIFS($J:$J,$B:$B,$B1705,$A:$A,"&gt;="&amp;COUNTIFS($K$1:O$1,"&lt;&gt;"))),0)</f>
        <v>0</v>
      </c>
      <c r="P1705">
        <f>IFERROR($J1705/IF($A1705&lt;COUNTIFS($K$1:P$1,"&lt;&gt;"),0,SUMIFS($J:$J,$B:$B,$B1705,$A:$A,"&gt;="&amp;COUNTIFS($K$1:P$1,"&lt;&gt;"))),0)</f>
        <v>0</v>
      </c>
      <c r="Q1705">
        <f>IFERROR($J1705/IF($A1705&lt;COUNTIFS($K$1:Q$1,"&lt;&gt;"),0,SUMIFS($J:$J,$B:$B,$B1705,$A:$A,"&gt;="&amp;COUNTIFS($K$1:Q$1,"&lt;&gt;"))),0)</f>
        <v>0</v>
      </c>
      <c r="R1705">
        <f>IFERROR($J1705/IF($A1705&lt;COUNTIFS($K$1:R$1,"&lt;&gt;"),0,SUMIFS($J:$J,$B:$B,$B1705,$A:$A,"&gt;="&amp;COUNTIFS($K$1:R$1,"&lt;&gt;"))),0)</f>
        <v>0</v>
      </c>
      <c r="S1705">
        <f>IFERROR($J1705/IF($A1705&lt;COUNTIFS($K$1:S$1,"&lt;&gt;"),0,SUMIFS($J:$J,$B:$B,$B1705,$A:$A,"&gt;="&amp;COUNTIFS($K$1:S$1,"&lt;&gt;"))),0)</f>
        <v>0</v>
      </c>
      <c r="T1705">
        <f>IFERROR($J1705/IF($A1705&lt;COUNTIFS($K$1:T$1,"&lt;&gt;"),0,SUMIFS($J:$J,$B:$B,$B1705,$A:$A,"&gt;="&amp;COUNTIFS($K$1:T$1,"&lt;&gt;"))),0)</f>
        <v>0</v>
      </c>
      <c r="U1705">
        <f>IFERROR($J1705/IF($A1705&lt;COUNTIFS($K$1:U$1,"&lt;&gt;"),0,SUMIFS($J:$J,$B:$B,$B1705,$A:$A,"&gt;="&amp;COUNTIFS($K$1:U$1,"&lt;&gt;"))),0)</f>
        <v>0</v>
      </c>
      <c r="V1705">
        <f>IFERROR($J1705/IF($A1705&lt;COUNTIFS($K$1:V$1,"&lt;&gt;"),0,SUMIFS($J:$J,$B:$B,$B1705,$A:$A,"&gt;="&amp;COUNTIFS($K$1:V$1,"&lt;&gt;"))),0)</f>
        <v>0</v>
      </c>
      <c r="W1705">
        <f t="shared" si="596"/>
        <v>4.6575342465753428E-2</v>
      </c>
      <c r="X1705">
        <f t="shared" si="576"/>
        <v>0</v>
      </c>
      <c r="Y1705">
        <f t="shared" si="577"/>
        <v>0</v>
      </c>
      <c r="Z1705">
        <f t="shared" si="578"/>
        <v>0</v>
      </c>
      <c r="AA1705">
        <f t="shared" si="579"/>
        <v>0</v>
      </c>
      <c r="AB1705">
        <f t="shared" si="580"/>
        <v>0</v>
      </c>
      <c r="AC1705">
        <f t="shared" si="581"/>
        <v>0</v>
      </c>
      <c r="AD1705">
        <f t="shared" si="582"/>
        <v>0</v>
      </c>
      <c r="AE1705">
        <f t="shared" si="583"/>
        <v>0</v>
      </c>
      <c r="AF1705">
        <f t="shared" si="584"/>
        <v>0</v>
      </c>
      <c r="AG1705">
        <f t="shared" si="585"/>
        <v>0</v>
      </c>
      <c r="AH1705">
        <f t="shared" si="586"/>
        <v>0</v>
      </c>
      <c r="AI1705">
        <f t="shared" si="587"/>
        <v>0</v>
      </c>
      <c r="AJ1705" s="2" t="str">
        <f t="shared" si="597"/>
        <v>047818</v>
      </c>
    </row>
    <row r="1706" spans="1:36" x14ac:dyDescent="0.25">
      <c r="A1706">
        <v>1</v>
      </c>
      <c r="B1706" s="1">
        <v>47818</v>
      </c>
      <c r="C1706" s="1">
        <f t="shared" si="588"/>
        <v>47849</v>
      </c>
      <c r="D1706" s="1">
        <f t="shared" si="589"/>
        <v>47832</v>
      </c>
      <c r="E1706" s="1">
        <f t="shared" si="590"/>
        <v>47849</v>
      </c>
      <c r="F1706" s="1">
        <f t="shared" si="591"/>
        <v>47880</v>
      </c>
      <c r="G1706" s="1">
        <f t="shared" si="592"/>
        <v>48197</v>
      </c>
      <c r="H1706">
        <f t="shared" si="593"/>
        <v>365</v>
      </c>
      <c r="I1706">
        <f t="shared" si="594"/>
        <v>31</v>
      </c>
      <c r="J1706">
        <f t="shared" si="595"/>
        <v>8.4931506849315067E-2</v>
      </c>
      <c r="K1706">
        <f>IFERROR($J1706/IF($A1706&lt;COUNTIFS($K$1:K$1,"&lt;&gt;"),0,SUMIFS($J:$J,$B:$B,$B1706,$A:$A,"&gt;="&amp;COUNTIFS($K$1:K$1,"&lt;&gt;"))),0)</f>
        <v>8.9080459770114959E-2</v>
      </c>
      <c r="L1706">
        <f>IFERROR($J1706/IF($A1706&lt;COUNTIFS($K$1:L$1,"&lt;&gt;"),0,SUMIFS($J:$J,$B:$B,$B1706,$A:$A,"&gt;="&amp;COUNTIFS($K$1:L$1,"&lt;&gt;"))),0)</f>
        <v>0</v>
      </c>
      <c r="M1706">
        <f>IFERROR($J1706/IF($A1706&lt;COUNTIFS($K$1:M$1,"&lt;&gt;"),0,SUMIFS($J:$J,$B:$B,$B1706,$A:$A,"&gt;="&amp;COUNTIFS($K$1:M$1,"&lt;&gt;"))),0)</f>
        <v>0</v>
      </c>
      <c r="N1706">
        <f>IFERROR($J1706/IF($A1706&lt;COUNTIFS($K$1:N$1,"&lt;&gt;"),0,SUMIFS($J:$J,$B:$B,$B1706,$A:$A,"&gt;="&amp;COUNTIFS($K$1:N$1,"&lt;&gt;"))),0)</f>
        <v>0</v>
      </c>
      <c r="O1706">
        <f>IFERROR($J1706/IF($A1706&lt;COUNTIFS($K$1:O$1,"&lt;&gt;"),0,SUMIFS($J:$J,$B:$B,$B1706,$A:$A,"&gt;="&amp;COUNTIFS($K$1:O$1,"&lt;&gt;"))),0)</f>
        <v>0</v>
      </c>
      <c r="P1706">
        <f>IFERROR($J1706/IF($A1706&lt;COUNTIFS($K$1:P$1,"&lt;&gt;"),0,SUMIFS($J:$J,$B:$B,$B1706,$A:$A,"&gt;="&amp;COUNTIFS($K$1:P$1,"&lt;&gt;"))),0)</f>
        <v>0</v>
      </c>
      <c r="Q1706">
        <f>IFERROR($J1706/IF($A1706&lt;COUNTIFS($K$1:Q$1,"&lt;&gt;"),0,SUMIFS($J:$J,$B:$B,$B1706,$A:$A,"&gt;="&amp;COUNTIFS($K$1:Q$1,"&lt;&gt;"))),0)</f>
        <v>0</v>
      </c>
      <c r="R1706">
        <f>IFERROR($J1706/IF($A1706&lt;COUNTIFS($K$1:R$1,"&lt;&gt;"),0,SUMIFS($J:$J,$B:$B,$B1706,$A:$A,"&gt;="&amp;COUNTIFS($K$1:R$1,"&lt;&gt;"))),0)</f>
        <v>0</v>
      </c>
      <c r="S1706">
        <f>IFERROR($J1706/IF($A1706&lt;COUNTIFS($K$1:S$1,"&lt;&gt;"),0,SUMIFS($J:$J,$B:$B,$B1706,$A:$A,"&gt;="&amp;COUNTIFS($K$1:S$1,"&lt;&gt;"))),0)</f>
        <v>0</v>
      </c>
      <c r="T1706">
        <f>IFERROR($J1706/IF($A1706&lt;COUNTIFS($K$1:T$1,"&lt;&gt;"),0,SUMIFS($J:$J,$B:$B,$B1706,$A:$A,"&gt;="&amp;COUNTIFS($K$1:T$1,"&lt;&gt;"))),0)</f>
        <v>0</v>
      </c>
      <c r="U1706">
        <f>IFERROR($J1706/IF($A1706&lt;COUNTIFS($K$1:U$1,"&lt;&gt;"),0,SUMIFS($J:$J,$B:$B,$B1706,$A:$A,"&gt;="&amp;COUNTIFS($K$1:U$1,"&lt;&gt;"))),0)</f>
        <v>0</v>
      </c>
      <c r="V1706">
        <f>IFERROR($J1706/IF($A1706&lt;COUNTIFS($K$1:V$1,"&lt;&gt;"),0,SUMIFS($J:$J,$B:$B,$B1706,$A:$A,"&gt;="&amp;COUNTIFS($K$1:V$1,"&lt;&gt;"))),0)</f>
        <v>0</v>
      </c>
      <c r="W1706">
        <f t="shared" si="596"/>
        <v>8.4931506849315067E-2</v>
      </c>
      <c r="X1706">
        <f t="shared" si="576"/>
        <v>8.4931506849315067E-2</v>
      </c>
      <c r="Y1706">
        <f t="shared" si="577"/>
        <v>0</v>
      </c>
      <c r="Z1706">
        <f t="shared" si="578"/>
        <v>0</v>
      </c>
      <c r="AA1706">
        <f t="shared" si="579"/>
        <v>0</v>
      </c>
      <c r="AB1706">
        <f t="shared" si="580"/>
        <v>0</v>
      </c>
      <c r="AC1706">
        <f t="shared" si="581"/>
        <v>0</v>
      </c>
      <c r="AD1706">
        <f t="shared" si="582"/>
        <v>0</v>
      </c>
      <c r="AE1706">
        <f t="shared" si="583"/>
        <v>0</v>
      </c>
      <c r="AF1706">
        <f t="shared" si="584"/>
        <v>0</v>
      </c>
      <c r="AG1706">
        <f t="shared" si="585"/>
        <v>0</v>
      </c>
      <c r="AH1706">
        <f t="shared" si="586"/>
        <v>0</v>
      </c>
      <c r="AI1706">
        <f t="shared" si="587"/>
        <v>0</v>
      </c>
      <c r="AJ1706" s="2" t="str">
        <f t="shared" si="597"/>
        <v>147818</v>
      </c>
    </row>
    <row r="1707" spans="1:36" x14ac:dyDescent="0.25">
      <c r="A1707">
        <v>2</v>
      </c>
      <c r="B1707" s="1">
        <v>47818</v>
      </c>
      <c r="C1707" s="1">
        <f t="shared" si="588"/>
        <v>47880</v>
      </c>
      <c r="D1707" s="1">
        <f t="shared" si="589"/>
        <v>47832</v>
      </c>
      <c r="E1707" s="1">
        <f t="shared" si="590"/>
        <v>47880</v>
      </c>
      <c r="F1707" s="1">
        <f t="shared" si="591"/>
        <v>47908</v>
      </c>
      <c r="G1707" s="1">
        <f t="shared" si="592"/>
        <v>48197</v>
      </c>
      <c r="H1707">
        <f t="shared" si="593"/>
        <v>365</v>
      </c>
      <c r="I1707">
        <f t="shared" si="594"/>
        <v>28</v>
      </c>
      <c r="J1707">
        <f t="shared" si="595"/>
        <v>7.6712328767123292E-2</v>
      </c>
      <c r="K1707">
        <f>IFERROR($J1707/IF($A1707&lt;COUNTIFS($K$1:K$1,"&lt;&gt;"),0,SUMIFS($J:$J,$B:$B,$B1707,$A:$A,"&gt;="&amp;COUNTIFS($K$1:K$1,"&lt;&gt;"))),0)</f>
        <v>8.0459770114942541E-2</v>
      </c>
      <c r="L1707">
        <f>IFERROR($J1707/IF($A1707&lt;COUNTIFS($K$1:L$1,"&lt;&gt;"),0,SUMIFS($J:$J,$B:$B,$B1707,$A:$A,"&gt;="&amp;COUNTIFS($K$1:L$1,"&lt;&gt;"))),0)</f>
        <v>8.83280757097792E-2</v>
      </c>
      <c r="M1707">
        <f>IFERROR($J1707/IF($A1707&lt;COUNTIFS($K$1:M$1,"&lt;&gt;"),0,SUMIFS($J:$J,$B:$B,$B1707,$A:$A,"&gt;="&amp;COUNTIFS($K$1:M$1,"&lt;&gt;"))),0)</f>
        <v>0</v>
      </c>
      <c r="N1707">
        <f>IFERROR($J1707/IF($A1707&lt;COUNTIFS($K$1:N$1,"&lt;&gt;"),0,SUMIFS($J:$J,$B:$B,$B1707,$A:$A,"&gt;="&amp;COUNTIFS($K$1:N$1,"&lt;&gt;"))),0)</f>
        <v>0</v>
      </c>
      <c r="O1707">
        <f>IFERROR($J1707/IF($A1707&lt;COUNTIFS($K$1:O$1,"&lt;&gt;"),0,SUMIFS($J:$J,$B:$B,$B1707,$A:$A,"&gt;="&amp;COUNTIFS($K$1:O$1,"&lt;&gt;"))),0)</f>
        <v>0</v>
      </c>
      <c r="P1707">
        <f>IFERROR($J1707/IF($A1707&lt;COUNTIFS($K$1:P$1,"&lt;&gt;"),0,SUMIFS($J:$J,$B:$B,$B1707,$A:$A,"&gt;="&amp;COUNTIFS($K$1:P$1,"&lt;&gt;"))),0)</f>
        <v>0</v>
      </c>
      <c r="Q1707">
        <f>IFERROR($J1707/IF($A1707&lt;COUNTIFS($K$1:Q$1,"&lt;&gt;"),0,SUMIFS($J:$J,$B:$B,$B1707,$A:$A,"&gt;="&amp;COUNTIFS($K$1:Q$1,"&lt;&gt;"))),0)</f>
        <v>0</v>
      </c>
      <c r="R1707">
        <f>IFERROR($J1707/IF($A1707&lt;COUNTIFS($K$1:R$1,"&lt;&gt;"),0,SUMIFS($J:$J,$B:$B,$B1707,$A:$A,"&gt;="&amp;COUNTIFS($K$1:R$1,"&lt;&gt;"))),0)</f>
        <v>0</v>
      </c>
      <c r="S1707">
        <f>IFERROR($J1707/IF($A1707&lt;COUNTIFS($K$1:S$1,"&lt;&gt;"),0,SUMIFS($J:$J,$B:$B,$B1707,$A:$A,"&gt;="&amp;COUNTIFS($K$1:S$1,"&lt;&gt;"))),0)</f>
        <v>0</v>
      </c>
      <c r="T1707">
        <f>IFERROR($J1707/IF($A1707&lt;COUNTIFS($K$1:T$1,"&lt;&gt;"),0,SUMIFS($J:$J,$B:$B,$B1707,$A:$A,"&gt;="&amp;COUNTIFS($K$1:T$1,"&lt;&gt;"))),0)</f>
        <v>0</v>
      </c>
      <c r="U1707">
        <f>IFERROR($J1707/IF($A1707&lt;COUNTIFS($K$1:U$1,"&lt;&gt;"),0,SUMIFS($J:$J,$B:$B,$B1707,$A:$A,"&gt;="&amp;COUNTIFS($K$1:U$1,"&lt;&gt;"))),0)</f>
        <v>0</v>
      </c>
      <c r="V1707">
        <f>IFERROR($J1707/IF($A1707&lt;COUNTIFS($K$1:V$1,"&lt;&gt;"),0,SUMIFS($J:$J,$B:$B,$B1707,$A:$A,"&gt;="&amp;COUNTIFS($K$1:V$1,"&lt;&gt;"))),0)</f>
        <v>0</v>
      </c>
      <c r="W1707">
        <f t="shared" si="596"/>
        <v>7.6712328767123292E-2</v>
      </c>
      <c r="X1707">
        <f t="shared" si="576"/>
        <v>7.6712328767123292E-2</v>
      </c>
      <c r="Y1707">
        <f t="shared" si="577"/>
        <v>7.6712328767123292E-2</v>
      </c>
      <c r="Z1707">
        <f t="shared" si="578"/>
        <v>0</v>
      </c>
      <c r="AA1707">
        <f t="shared" si="579"/>
        <v>0</v>
      </c>
      <c r="AB1707">
        <f t="shared" si="580"/>
        <v>0</v>
      </c>
      <c r="AC1707">
        <f t="shared" si="581"/>
        <v>0</v>
      </c>
      <c r="AD1707">
        <f t="shared" si="582"/>
        <v>0</v>
      </c>
      <c r="AE1707">
        <f t="shared" si="583"/>
        <v>0</v>
      </c>
      <c r="AF1707">
        <f t="shared" si="584"/>
        <v>0</v>
      </c>
      <c r="AG1707">
        <f t="shared" si="585"/>
        <v>0</v>
      </c>
      <c r="AH1707">
        <f t="shared" si="586"/>
        <v>0</v>
      </c>
      <c r="AI1707">
        <f t="shared" si="587"/>
        <v>0</v>
      </c>
      <c r="AJ1707" s="2" t="str">
        <f t="shared" si="597"/>
        <v>247818</v>
      </c>
    </row>
    <row r="1708" spans="1:36" x14ac:dyDescent="0.25">
      <c r="A1708">
        <v>3</v>
      </c>
      <c r="B1708" s="1">
        <v>47818</v>
      </c>
      <c r="C1708" s="1">
        <f t="shared" si="588"/>
        <v>47908</v>
      </c>
      <c r="D1708" s="1">
        <f t="shared" si="589"/>
        <v>47832</v>
      </c>
      <c r="E1708" s="1">
        <f t="shared" si="590"/>
        <v>47908</v>
      </c>
      <c r="F1708" s="1">
        <f t="shared" si="591"/>
        <v>47939</v>
      </c>
      <c r="G1708" s="1">
        <f t="shared" si="592"/>
        <v>48197</v>
      </c>
      <c r="H1708">
        <f t="shared" si="593"/>
        <v>365</v>
      </c>
      <c r="I1708">
        <f t="shared" si="594"/>
        <v>31</v>
      </c>
      <c r="J1708">
        <f t="shared" si="595"/>
        <v>8.4931506849315067E-2</v>
      </c>
      <c r="K1708">
        <f>IFERROR($J1708/IF($A1708&lt;COUNTIFS($K$1:K$1,"&lt;&gt;"),0,SUMIFS($J:$J,$B:$B,$B1708,$A:$A,"&gt;="&amp;COUNTIFS($K$1:K$1,"&lt;&gt;"))),0)</f>
        <v>8.9080459770114959E-2</v>
      </c>
      <c r="L1708">
        <f>IFERROR($J1708/IF($A1708&lt;COUNTIFS($K$1:L$1,"&lt;&gt;"),0,SUMIFS($J:$J,$B:$B,$B1708,$A:$A,"&gt;="&amp;COUNTIFS($K$1:L$1,"&lt;&gt;"))),0)</f>
        <v>9.7791798107255537E-2</v>
      </c>
      <c r="M1708">
        <f>IFERROR($J1708/IF($A1708&lt;COUNTIFS($K$1:M$1,"&lt;&gt;"),0,SUMIFS($J:$J,$B:$B,$B1708,$A:$A,"&gt;="&amp;COUNTIFS($K$1:M$1,"&lt;&gt;"))),0)</f>
        <v>0.10726643598615919</v>
      </c>
      <c r="N1708">
        <f>IFERROR($J1708/IF($A1708&lt;COUNTIFS($K$1:N$1,"&lt;&gt;"),0,SUMIFS($J:$J,$B:$B,$B1708,$A:$A,"&gt;="&amp;COUNTIFS($K$1:N$1,"&lt;&gt;"))),0)</f>
        <v>0</v>
      </c>
      <c r="O1708">
        <f>IFERROR($J1708/IF($A1708&lt;COUNTIFS($K$1:O$1,"&lt;&gt;"),0,SUMIFS($J:$J,$B:$B,$B1708,$A:$A,"&gt;="&amp;COUNTIFS($K$1:O$1,"&lt;&gt;"))),0)</f>
        <v>0</v>
      </c>
      <c r="P1708">
        <f>IFERROR($J1708/IF($A1708&lt;COUNTIFS($K$1:P$1,"&lt;&gt;"),0,SUMIFS($J:$J,$B:$B,$B1708,$A:$A,"&gt;="&amp;COUNTIFS($K$1:P$1,"&lt;&gt;"))),0)</f>
        <v>0</v>
      </c>
      <c r="Q1708">
        <f>IFERROR($J1708/IF($A1708&lt;COUNTIFS($K$1:Q$1,"&lt;&gt;"),0,SUMIFS($J:$J,$B:$B,$B1708,$A:$A,"&gt;="&amp;COUNTIFS($K$1:Q$1,"&lt;&gt;"))),0)</f>
        <v>0</v>
      </c>
      <c r="R1708">
        <f>IFERROR($J1708/IF($A1708&lt;COUNTIFS($K$1:R$1,"&lt;&gt;"),0,SUMIFS($J:$J,$B:$B,$B1708,$A:$A,"&gt;="&amp;COUNTIFS($K$1:R$1,"&lt;&gt;"))),0)</f>
        <v>0</v>
      </c>
      <c r="S1708">
        <f>IFERROR($J1708/IF($A1708&lt;COUNTIFS($K$1:S$1,"&lt;&gt;"),0,SUMIFS($J:$J,$B:$B,$B1708,$A:$A,"&gt;="&amp;COUNTIFS($K$1:S$1,"&lt;&gt;"))),0)</f>
        <v>0</v>
      </c>
      <c r="T1708">
        <f>IFERROR($J1708/IF($A1708&lt;COUNTIFS($K$1:T$1,"&lt;&gt;"),0,SUMIFS($J:$J,$B:$B,$B1708,$A:$A,"&gt;="&amp;COUNTIFS($K$1:T$1,"&lt;&gt;"))),0)</f>
        <v>0</v>
      </c>
      <c r="U1708">
        <f>IFERROR($J1708/IF($A1708&lt;COUNTIFS($K$1:U$1,"&lt;&gt;"),0,SUMIFS($J:$J,$B:$B,$B1708,$A:$A,"&gt;="&amp;COUNTIFS($K$1:U$1,"&lt;&gt;"))),0)</f>
        <v>0</v>
      </c>
      <c r="V1708">
        <f>IFERROR($J1708/IF($A1708&lt;COUNTIFS($K$1:V$1,"&lt;&gt;"),0,SUMIFS($J:$J,$B:$B,$B1708,$A:$A,"&gt;="&amp;COUNTIFS($K$1:V$1,"&lt;&gt;"))),0)</f>
        <v>0</v>
      </c>
      <c r="W1708">
        <f t="shared" si="596"/>
        <v>8.4931506849315067E-2</v>
      </c>
      <c r="X1708">
        <f t="shared" si="576"/>
        <v>8.4931506849315067E-2</v>
      </c>
      <c r="Y1708">
        <f t="shared" si="577"/>
        <v>8.4931506849315067E-2</v>
      </c>
      <c r="Z1708">
        <f t="shared" si="578"/>
        <v>8.4931506849315067E-2</v>
      </c>
      <c r="AA1708">
        <f t="shared" si="579"/>
        <v>0</v>
      </c>
      <c r="AB1708">
        <f t="shared" si="580"/>
        <v>0</v>
      </c>
      <c r="AC1708">
        <f t="shared" si="581"/>
        <v>0</v>
      </c>
      <c r="AD1708">
        <f t="shared" si="582"/>
        <v>0</v>
      </c>
      <c r="AE1708">
        <f t="shared" si="583"/>
        <v>0</v>
      </c>
      <c r="AF1708">
        <f t="shared" si="584"/>
        <v>0</v>
      </c>
      <c r="AG1708">
        <f t="shared" si="585"/>
        <v>0</v>
      </c>
      <c r="AH1708">
        <f t="shared" si="586"/>
        <v>0</v>
      </c>
      <c r="AI1708">
        <f t="shared" si="587"/>
        <v>0</v>
      </c>
      <c r="AJ1708" s="2" t="str">
        <f t="shared" si="597"/>
        <v>347818</v>
      </c>
    </row>
    <row r="1709" spans="1:36" x14ac:dyDescent="0.25">
      <c r="A1709">
        <v>4</v>
      </c>
      <c r="B1709" s="1">
        <v>47818</v>
      </c>
      <c r="C1709" s="1">
        <f t="shared" si="588"/>
        <v>47939</v>
      </c>
      <c r="D1709" s="1">
        <f t="shared" si="589"/>
        <v>47832</v>
      </c>
      <c r="E1709" s="1">
        <f t="shared" si="590"/>
        <v>47939</v>
      </c>
      <c r="F1709" s="1">
        <f t="shared" si="591"/>
        <v>47969</v>
      </c>
      <c r="G1709" s="1">
        <f t="shared" si="592"/>
        <v>48197</v>
      </c>
      <c r="H1709">
        <f t="shared" si="593"/>
        <v>365</v>
      </c>
      <c r="I1709">
        <f t="shared" si="594"/>
        <v>30</v>
      </c>
      <c r="J1709">
        <f t="shared" si="595"/>
        <v>8.2191780821917804E-2</v>
      </c>
      <c r="K1709">
        <f>IFERROR($J1709/IF($A1709&lt;COUNTIFS($K$1:K$1,"&lt;&gt;"),0,SUMIFS($J:$J,$B:$B,$B1709,$A:$A,"&gt;="&amp;COUNTIFS($K$1:K$1,"&lt;&gt;"))),0)</f>
        <v>8.6206896551724144E-2</v>
      </c>
      <c r="L1709">
        <f>IFERROR($J1709/IF($A1709&lt;COUNTIFS($K$1:L$1,"&lt;&gt;"),0,SUMIFS($J:$J,$B:$B,$B1709,$A:$A,"&gt;="&amp;COUNTIFS($K$1:L$1,"&lt;&gt;"))),0)</f>
        <v>9.4637223974763415E-2</v>
      </c>
      <c r="M1709">
        <f>IFERROR($J1709/IF($A1709&lt;COUNTIFS($K$1:M$1,"&lt;&gt;"),0,SUMIFS($J:$J,$B:$B,$B1709,$A:$A,"&gt;="&amp;COUNTIFS($K$1:M$1,"&lt;&gt;"))),0)</f>
        <v>0.10380622837370243</v>
      </c>
      <c r="N1709">
        <f>IFERROR($J1709/IF($A1709&lt;COUNTIFS($K$1:N$1,"&lt;&gt;"),0,SUMIFS($J:$J,$B:$B,$B1709,$A:$A,"&gt;="&amp;COUNTIFS($K$1:N$1,"&lt;&gt;"))),0)</f>
        <v>0.11627906976744187</v>
      </c>
      <c r="O1709">
        <f>IFERROR($J1709/IF($A1709&lt;COUNTIFS($K$1:O$1,"&lt;&gt;"),0,SUMIFS($J:$J,$B:$B,$B1709,$A:$A,"&gt;="&amp;COUNTIFS($K$1:O$1,"&lt;&gt;"))),0)</f>
        <v>0</v>
      </c>
      <c r="P1709">
        <f>IFERROR($J1709/IF($A1709&lt;COUNTIFS($K$1:P$1,"&lt;&gt;"),0,SUMIFS($J:$J,$B:$B,$B1709,$A:$A,"&gt;="&amp;COUNTIFS($K$1:P$1,"&lt;&gt;"))),0)</f>
        <v>0</v>
      </c>
      <c r="Q1709">
        <f>IFERROR($J1709/IF($A1709&lt;COUNTIFS($K$1:Q$1,"&lt;&gt;"),0,SUMIFS($J:$J,$B:$B,$B1709,$A:$A,"&gt;="&amp;COUNTIFS($K$1:Q$1,"&lt;&gt;"))),0)</f>
        <v>0</v>
      </c>
      <c r="R1709">
        <f>IFERROR($J1709/IF($A1709&lt;COUNTIFS($K$1:R$1,"&lt;&gt;"),0,SUMIFS($J:$J,$B:$B,$B1709,$A:$A,"&gt;="&amp;COUNTIFS($K$1:R$1,"&lt;&gt;"))),0)</f>
        <v>0</v>
      </c>
      <c r="S1709">
        <f>IFERROR($J1709/IF($A1709&lt;COUNTIFS($K$1:S$1,"&lt;&gt;"),0,SUMIFS($J:$J,$B:$B,$B1709,$A:$A,"&gt;="&amp;COUNTIFS($K$1:S$1,"&lt;&gt;"))),0)</f>
        <v>0</v>
      </c>
      <c r="T1709">
        <f>IFERROR($J1709/IF($A1709&lt;COUNTIFS($K$1:T$1,"&lt;&gt;"),0,SUMIFS($J:$J,$B:$B,$B1709,$A:$A,"&gt;="&amp;COUNTIFS($K$1:T$1,"&lt;&gt;"))),0)</f>
        <v>0</v>
      </c>
      <c r="U1709">
        <f>IFERROR($J1709/IF($A1709&lt;COUNTIFS($K$1:U$1,"&lt;&gt;"),0,SUMIFS($J:$J,$B:$B,$B1709,$A:$A,"&gt;="&amp;COUNTIFS($K$1:U$1,"&lt;&gt;"))),0)</f>
        <v>0</v>
      </c>
      <c r="V1709">
        <f>IFERROR($J1709/IF($A1709&lt;COUNTIFS($K$1:V$1,"&lt;&gt;"),0,SUMIFS($J:$J,$B:$B,$B1709,$A:$A,"&gt;="&amp;COUNTIFS($K$1:V$1,"&lt;&gt;"))),0)</f>
        <v>0</v>
      </c>
      <c r="W1709">
        <f t="shared" si="596"/>
        <v>8.2191780821917804E-2</v>
      </c>
      <c r="X1709">
        <f t="shared" si="576"/>
        <v>8.2191780821917804E-2</v>
      </c>
      <c r="Y1709">
        <f t="shared" si="577"/>
        <v>8.2191780821917804E-2</v>
      </c>
      <c r="Z1709">
        <f t="shared" si="578"/>
        <v>8.2191780821917804E-2</v>
      </c>
      <c r="AA1709">
        <f t="shared" si="579"/>
        <v>8.2191780821917804E-2</v>
      </c>
      <c r="AB1709">
        <f t="shared" si="580"/>
        <v>0</v>
      </c>
      <c r="AC1709">
        <f t="shared" si="581"/>
        <v>0</v>
      </c>
      <c r="AD1709">
        <f t="shared" si="582"/>
        <v>0</v>
      </c>
      <c r="AE1709">
        <f t="shared" si="583"/>
        <v>0</v>
      </c>
      <c r="AF1709">
        <f t="shared" si="584"/>
        <v>0</v>
      </c>
      <c r="AG1709">
        <f t="shared" si="585"/>
        <v>0</v>
      </c>
      <c r="AH1709">
        <f t="shared" si="586"/>
        <v>0</v>
      </c>
      <c r="AI1709">
        <f t="shared" si="587"/>
        <v>0</v>
      </c>
      <c r="AJ1709" s="2" t="str">
        <f t="shared" si="597"/>
        <v>447818</v>
      </c>
    </row>
    <row r="1710" spans="1:36" x14ac:dyDescent="0.25">
      <c r="A1710">
        <v>5</v>
      </c>
      <c r="B1710" s="1">
        <v>47818</v>
      </c>
      <c r="C1710" s="1">
        <f t="shared" si="588"/>
        <v>47969</v>
      </c>
      <c r="D1710" s="1">
        <f t="shared" si="589"/>
        <v>47832</v>
      </c>
      <c r="E1710" s="1">
        <f t="shared" si="590"/>
        <v>47969</v>
      </c>
      <c r="F1710" s="1">
        <f t="shared" si="591"/>
        <v>48000</v>
      </c>
      <c r="G1710" s="1">
        <f t="shared" si="592"/>
        <v>48197</v>
      </c>
      <c r="H1710">
        <f t="shared" si="593"/>
        <v>365</v>
      </c>
      <c r="I1710">
        <f t="shared" si="594"/>
        <v>31</v>
      </c>
      <c r="J1710">
        <f t="shared" si="595"/>
        <v>8.4931506849315067E-2</v>
      </c>
      <c r="K1710">
        <f>IFERROR($J1710/IF($A1710&lt;COUNTIFS($K$1:K$1,"&lt;&gt;"),0,SUMIFS($J:$J,$B:$B,$B1710,$A:$A,"&gt;="&amp;COUNTIFS($K$1:K$1,"&lt;&gt;"))),0)</f>
        <v>8.9080459770114959E-2</v>
      </c>
      <c r="L1710">
        <f>IFERROR($J1710/IF($A1710&lt;COUNTIFS($K$1:L$1,"&lt;&gt;"),0,SUMIFS($J:$J,$B:$B,$B1710,$A:$A,"&gt;="&amp;COUNTIFS($K$1:L$1,"&lt;&gt;"))),0)</f>
        <v>9.7791798107255537E-2</v>
      </c>
      <c r="M1710">
        <f>IFERROR($J1710/IF($A1710&lt;COUNTIFS($K$1:M$1,"&lt;&gt;"),0,SUMIFS($J:$J,$B:$B,$B1710,$A:$A,"&gt;="&amp;COUNTIFS($K$1:M$1,"&lt;&gt;"))),0)</f>
        <v>0.10726643598615919</v>
      </c>
      <c r="N1710">
        <f>IFERROR($J1710/IF($A1710&lt;COUNTIFS($K$1:N$1,"&lt;&gt;"),0,SUMIFS($J:$J,$B:$B,$B1710,$A:$A,"&gt;="&amp;COUNTIFS($K$1:N$1,"&lt;&gt;"))),0)</f>
        <v>0.12015503875968994</v>
      </c>
      <c r="O1710">
        <f>IFERROR($J1710/IF($A1710&lt;COUNTIFS($K$1:O$1,"&lt;&gt;"),0,SUMIFS($J:$J,$B:$B,$B1710,$A:$A,"&gt;="&amp;COUNTIFS($K$1:O$1,"&lt;&gt;"))),0)</f>
        <v>0.13596491228070179</v>
      </c>
      <c r="P1710">
        <f>IFERROR($J1710/IF($A1710&lt;COUNTIFS($K$1:P$1,"&lt;&gt;"),0,SUMIFS($J:$J,$B:$B,$B1710,$A:$A,"&gt;="&amp;COUNTIFS($K$1:P$1,"&lt;&gt;"))),0)</f>
        <v>0</v>
      </c>
      <c r="Q1710">
        <f>IFERROR($J1710/IF($A1710&lt;COUNTIFS($K$1:Q$1,"&lt;&gt;"),0,SUMIFS($J:$J,$B:$B,$B1710,$A:$A,"&gt;="&amp;COUNTIFS($K$1:Q$1,"&lt;&gt;"))),0)</f>
        <v>0</v>
      </c>
      <c r="R1710">
        <f>IFERROR($J1710/IF($A1710&lt;COUNTIFS($K$1:R$1,"&lt;&gt;"),0,SUMIFS($J:$J,$B:$B,$B1710,$A:$A,"&gt;="&amp;COUNTIFS($K$1:R$1,"&lt;&gt;"))),0)</f>
        <v>0</v>
      </c>
      <c r="S1710">
        <f>IFERROR($J1710/IF($A1710&lt;COUNTIFS($K$1:S$1,"&lt;&gt;"),0,SUMIFS($J:$J,$B:$B,$B1710,$A:$A,"&gt;="&amp;COUNTIFS($K$1:S$1,"&lt;&gt;"))),0)</f>
        <v>0</v>
      </c>
      <c r="T1710">
        <f>IFERROR($J1710/IF($A1710&lt;COUNTIFS($K$1:T$1,"&lt;&gt;"),0,SUMIFS($J:$J,$B:$B,$B1710,$A:$A,"&gt;="&amp;COUNTIFS($K$1:T$1,"&lt;&gt;"))),0)</f>
        <v>0</v>
      </c>
      <c r="U1710">
        <f>IFERROR($J1710/IF($A1710&lt;COUNTIFS($K$1:U$1,"&lt;&gt;"),0,SUMIFS($J:$J,$B:$B,$B1710,$A:$A,"&gt;="&amp;COUNTIFS($K$1:U$1,"&lt;&gt;"))),0)</f>
        <v>0</v>
      </c>
      <c r="V1710">
        <f>IFERROR($J1710/IF($A1710&lt;COUNTIFS($K$1:V$1,"&lt;&gt;"),0,SUMIFS($J:$J,$B:$B,$B1710,$A:$A,"&gt;="&amp;COUNTIFS($K$1:V$1,"&lt;&gt;"))),0)</f>
        <v>0</v>
      </c>
      <c r="W1710">
        <f t="shared" si="596"/>
        <v>8.4931506849315067E-2</v>
      </c>
      <c r="X1710">
        <f t="shared" si="576"/>
        <v>8.4931506849315067E-2</v>
      </c>
      <c r="Y1710">
        <f t="shared" si="577"/>
        <v>8.4931506849315067E-2</v>
      </c>
      <c r="Z1710">
        <f t="shared" si="578"/>
        <v>8.4931506849315067E-2</v>
      </c>
      <c r="AA1710">
        <f t="shared" si="579"/>
        <v>8.4931506849315067E-2</v>
      </c>
      <c r="AB1710">
        <f t="shared" si="580"/>
        <v>8.4931506849315067E-2</v>
      </c>
      <c r="AC1710">
        <f t="shared" si="581"/>
        <v>0</v>
      </c>
      <c r="AD1710">
        <f t="shared" si="582"/>
        <v>0</v>
      </c>
      <c r="AE1710">
        <f t="shared" si="583"/>
        <v>0</v>
      </c>
      <c r="AF1710">
        <f t="shared" si="584"/>
        <v>0</v>
      </c>
      <c r="AG1710">
        <f t="shared" si="585"/>
        <v>0</v>
      </c>
      <c r="AH1710">
        <f t="shared" si="586"/>
        <v>0</v>
      </c>
      <c r="AI1710">
        <f t="shared" si="587"/>
        <v>0</v>
      </c>
      <c r="AJ1710" s="2" t="str">
        <f t="shared" si="597"/>
        <v>547818</v>
      </c>
    </row>
    <row r="1711" spans="1:36" x14ac:dyDescent="0.25">
      <c r="A1711">
        <v>6</v>
      </c>
      <c r="B1711" s="1">
        <v>47818</v>
      </c>
      <c r="C1711" s="1">
        <f t="shared" si="588"/>
        <v>48000</v>
      </c>
      <c r="D1711" s="1">
        <f t="shared" si="589"/>
        <v>47832</v>
      </c>
      <c r="E1711" s="1">
        <f t="shared" si="590"/>
        <v>48000</v>
      </c>
      <c r="F1711" s="1">
        <f t="shared" si="591"/>
        <v>48030</v>
      </c>
      <c r="G1711" s="1">
        <f t="shared" si="592"/>
        <v>48197</v>
      </c>
      <c r="H1711">
        <f t="shared" si="593"/>
        <v>365</v>
      </c>
      <c r="I1711">
        <f t="shared" si="594"/>
        <v>30</v>
      </c>
      <c r="J1711">
        <f t="shared" si="595"/>
        <v>8.2191780821917804E-2</v>
      </c>
      <c r="K1711">
        <f>IFERROR($J1711/IF($A1711&lt;COUNTIFS($K$1:K$1,"&lt;&gt;"),0,SUMIFS($J:$J,$B:$B,$B1711,$A:$A,"&gt;="&amp;COUNTIFS($K$1:K$1,"&lt;&gt;"))),0)</f>
        <v>8.6206896551724144E-2</v>
      </c>
      <c r="L1711">
        <f>IFERROR($J1711/IF($A1711&lt;COUNTIFS($K$1:L$1,"&lt;&gt;"),0,SUMIFS($J:$J,$B:$B,$B1711,$A:$A,"&gt;="&amp;COUNTIFS($K$1:L$1,"&lt;&gt;"))),0)</f>
        <v>9.4637223974763415E-2</v>
      </c>
      <c r="M1711">
        <f>IFERROR($J1711/IF($A1711&lt;COUNTIFS($K$1:M$1,"&lt;&gt;"),0,SUMIFS($J:$J,$B:$B,$B1711,$A:$A,"&gt;="&amp;COUNTIFS($K$1:M$1,"&lt;&gt;"))),0)</f>
        <v>0.10380622837370243</v>
      </c>
      <c r="N1711">
        <f>IFERROR($J1711/IF($A1711&lt;COUNTIFS($K$1:N$1,"&lt;&gt;"),0,SUMIFS($J:$J,$B:$B,$B1711,$A:$A,"&gt;="&amp;COUNTIFS($K$1:N$1,"&lt;&gt;"))),0)</f>
        <v>0.11627906976744187</v>
      </c>
      <c r="O1711">
        <f>IFERROR($J1711/IF($A1711&lt;COUNTIFS($K$1:O$1,"&lt;&gt;"),0,SUMIFS($J:$J,$B:$B,$B1711,$A:$A,"&gt;="&amp;COUNTIFS($K$1:O$1,"&lt;&gt;"))),0)</f>
        <v>0.13157894736842107</v>
      </c>
      <c r="P1711">
        <f>IFERROR($J1711/IF($A1711&lt;COUNTIFS($K$1:P$1,"&lt;&gt;"),0,SUMIFS($J:$J,$B:$B,$B1711,$A:$A,"&gt;="&amp;COUNTIFS($K$1:P$1,"&lt;&gt;"))),0)</f>
        <v>0.15228426395939088</v>
      </c>
      <c r="Q1711">
        <f>IFERROR($J1711/IF($A1711&lt;COUNTIFS($K$1:Q$1,"&lt;&gt;"),0,SUMIFS($J:$J,$B:$B,$B1711,$A:$A,"&gt;="&amp;COUNTIFS($K$1:Q$1,"&lt;&gt;"))),0)</f>
        <v>0</v>
      </c>
      <c r="R1711">
        <f>IFERROR($J1711/IF($A1711&lt;COUNTIFS($K$1:R$1,"&lt;&gt;"),0,SUMIFS($J:$J,$B:$B,$B1711,$A:$A,"&gt;="&amp;COUNTIFS($K$1:R$1,"&lt;&gt;"))),0)</f>
        <v>0</v>
      </c>
      <c r="S1711">
        <f>IFERROR($J1711/IF($A1711&lt;COUNTIFS($K$1:S$1,"&lt;&gt;"),0,SUMIFS($J:$J,$B:$B,$B1711,$A:$A,"&gt;="&amp;COUNTIFS($K$1:S$1,"&lt;&gt;"))),0)</f>
        <v>0</v>
      </c>
      <c r="T1711">
        <f>IFERROR($J1711/IF($A1711&lt;COUNTIFS($K$1:T$1,"&lt;&gt;"),0,SUMIFS($J:$J,$B:$B,$B1711,$A:$A,"&gt;="&amp;COUNTIFS($K$1:T$1,"&lt;&gt;"))),0)</f>
        <v>0</v>
      </c>
      <c r="U1711">
        <f>IFERROR($J1711/IF($A1711&lt;COUNTIFS($K$1:U$1,"&lt;&gt;"),0,SUMIFS($J:$J,$B:$B,$B1711,$A:$A,"&gt;="&amp;COUNTIFS($K$1:U$1,"&lt;&gt;"))),0)</f>
        <v>0</v>
      </c>
      <c r="V1711">
        <f>IFERROR($J1711/IF($A1711&lt;COUNTIFS($K$1:V$1,"&lt;&gt;"),0,SUMIFS($J:$J,$B:$B,$B1711,$A:$A,"&gt;="&amp;COUNTIFS($K$1:V$1,"&lt;&gt;"))),0)</f>
        <v>0</v>
      </c>
      <c r="W1711">
        <f t="shared" si="596"/>
        <v>8.2191780821917804E-2</v>
      </c>
      <c r="X1711">
        <f t="shared" si="576"/>
        <v>8.2191780821917804E-2</v>
      </c>
      <c r="Y1711">
        <f t="shared" si="577"/>
        <v>8.2191780821917804E-2</v>
      </c>
      <c r="Z1711">
        <f t="shared" si="578"/>
        <v>8.2191780821917804E-2</v>
      </c>
      <c r="AA1711">
        <f t="shared" si="579"/>
        <v>8.2191780821917804E-2</v>
      </c>
      <c r="AB1711">
        <f t="shared" si="580"/>
        <v>8.2191780821917804E-2</v>
      </c>
      <c r="AC1711">
        <f t="shared" si="581"/>
        <v>8.2191780821917804E-2</v>
      </c>
      <c r="AD1711">
        <f t="shared" si="582"/>
        <v>0</v>
      </c>
      <c r="AE1711">
        <f t="shared" si="583"/>
        <v>0</v>
      </c>
      <c r="AF1711">
        <f t="shared" si="584"/>
        <v>0</v>
      </c>
      <c r="AG1711">
        <f t="shared" si="585"/>
        <v>0</v>
      </c>
      <c r="AH1711">
        <f t="shared" si="586"/>
        <v>0</v>
      </c>
      <c r="AI1711">
        <f t="shared" si="587"/>
        <v>0</v>
      </c>
      <c r="AJ1711" s="2" t="str">
        <f t="shared" si="597"/>
        <v>647818</v>
      </c>
    </row>
    <row r="1712" spans="1:36" x14ac:dyDescent="0.25">
      <c r="A1712">
        <v>7</v>
      </c>
      <c r="B1712" s="1">
        <v>47818</v>
      </c>
      <c r="C1712" s="1">
        <f t="shared" si="588"/>
        <v>48030</v>
      </c>
      <c r="D1712" s="1">
        <f t="shared" si="589"/>
        <v>47832</v>
      </c>
      <c r="E1712" s="1">
        <f t="shared" si="590"/>
        <v>48030</v>
      </c>
      <c r="F1712" s="1">
        <f t="shared" si="591"/>
        <v>48061</v>
      </c>
      <c r="G1712" s="1">
        <f t="shared" si="592"/>
        <v>48197</v>
      </c>
      <c r="H1712">
        <f t="shared" si="593"/>
        <v>365</v>
      </c>
      <c r="I1712">
        <f t="shared" si="594"/>
        <v>31</v>
      </c>
      <c r="J1712">
        <f t="shared" si="595"/>
        <v>8.4931506849315067E-2</v>
      </c>
      <c r="K1712">
        <f>IFERROR($J1712/IF($A1712&lt;COUNTIFS($K$1:K$1,"&lt;&gt;"),0,SUMIFS($J:$J,$B:$B,$B1712,$A:$A,"&gt;="&amp;COUNTIFS($K$1:K$1,"&lt;&gt;"))),0)</f>
        <v>8.9080459770114959E-2</v>
      </c>
      <c r="L1712">
        <f>IFERROR($J1712/IF($A1712&lt;COUNTIFS($K$1:L$1,"&lt;&gt;"),0,SUMIFS($J:$J,$B:$B,$B1712,$A:$A,"&gt;="&amp;COUNTIFS($K$1:L$1,"&lt;&gt;"))),0)</f>
        <v>9.7791798107255537E-2</v>
      </c>
      <c r="M1712">
        <f>IFERROR($J1712/IF($A1712&lt;COUNTIFS($K$1:M$1,"&lt;&gt;"),0,SUMIFS($J:$J,$B:$B,$B1712,$A:$A,"&gt;="&amp;COUNTIFS($K$1:M$1,"&lt;&gt;"))),0)</f>
        <v>0.10726643598615919</v>
      </c>
      <c r="N1712">
        <f>IFERROR($J1712/IF($A1712&lt;COUNTIFS($K$1:N$1,"&lt;&gt;"),0,SUMIFS($J:$J,$B:$B,$B1712,$A:$A,"&gt;="&amp;COUNTIFS($K$1:N$1,"&lt;&gt;"))),0)</f>
        <v>0.12015503875968994</v>
      </c>
      <c r="O1712">
        <f>IFERROR($J1712/IF($A1712&lt;COUNTIFS($K$1:O$1,"&lt;&gt;"),0,SUMIFS($J:$J,$B:$B,$B1712,$A:$A,"&gt;="&amp;COUNTIFS($K$1:O$1,"&lt;&gt;"))),0)</f>
        <v>0.13596491228070179</v>
      </c>
      <c r="P1712">
        <f>IFERROR($J1712/IF($A1712&lt;COUNTIFS($K$1:P$1,"&lt;&gt;"),0,SUMIFS($J:$J,$B:$B,$B1712,$A:$A,"&gt;="&amp;COUNTIFS($K$1:P$1,"&lt;&gt;"))),0)</f>
        <v>0.15736040609137059</v>
      </c>
      <c r="Q1712">
        <f>IFERROR($J1712/IF($A1712&lt;COUNTIFS($K$1:Q$1,"&lt;&gt;"),0,SUMIFS($J:$J,$B:$B,$B1712,$A:$A,"&gt;="&amp;COUNTIFS($K$1:Q$1,"&lt;&gt;"))),0)</f>
        <v>0.18562874251497008</v>
      </c>
      <c r="R1712">
        <f>IFERROR($J1712/IF($A1712&lt;COUNTIFS($K$1:R$1,"&lt;&gt;"),0,SUMIFS($J:$J,$B:$B,$B1712,$A:$A,"&gt;="&amp;COUNTIFS($K$1:R$1,"&lt;&gt;"))),0)</f>
        <v>0</v>
      </c>
      <c r="S1712">
        <f>IFERROR($J1712/IF($A1712&lt;COUNTIFS($K$1:S$1,"&lt;&gt;"),0,SUMIFS($J:$J,$B:$B,$B1712,$A:$A,"&gt;="&amp;COUNTIFS($K$1:S$1,"&lt;&gt;"))),0)</f>
        <v>0</v>
      </c>
      <c r="T1712">
        <f>IFERROR($J1712/IF($A1712&lt;COUNTIFS($K$1:T$1,"&lt;&gt;"),0,SUMIFS($J:$J,$B:$B,$B1712,$A:$A,"&gt;="&amp;COUNTIFS($K$1:T$1,"&lt;&gt;"))),0)</f>
        <v>0</v>
      </c>
      <c r="U1712">
        <f>IFERROR($J1712/IF($A1712&lt;COUNTIFS($K$1:U$1,"&lt;&gt;"),0,SUMIFS($J:$J,$B:$B,$B1712,$A:$A,"&gt;="&amp;COUNTIFS($K$1:U$1,"&lt;&gt;"))),0)</f>
        <v>0</v>
      </c>
      <c r="V1712">
        <f>IFERROR($J1712/IF($A1712&lt;COUNTIFS($K$1:V$1,"&lt;&gt;"),0,SUMIFS($J:$J,$B:$B,$B1712,$A:$A,"&gt;="&amp;COUNTIFS($K$1:V$1,"&lt;&gt;"))),0)</f>
        <v>0</v>
      </c>
      <c r="W1712">
        <f t="shared" si="596"/>
        <v>8.4931506849315067E-2</v>
      </c>
      <c r="X1712">
        <f t="shared" si="576"/>
        <v>8.4931506849315067E-2</v>
      </c>
      <c r="Y1712">
        <f t="shared" si="577"/>
        <v>8.4931506849315067E-2</v>
      </c>
      <c r="Z1712">
        <f t="shared" si="578"/>
        <v>8.4931506849315067E-2</v>
      </c>
      <c r="AA1712">
        <f t="shared" si="579"/>
        <v>8.4931506849315067E-2</v>
      </c>
      <c r="AB1712">
        <f t="shared" si="580"/>
        <v>8.4931506849315067E-2</v>
      </c>
      <c r="AC1712">
        <f t="shared" si="581"/>
        <v>8.4931506849315067E-2</v>
      </c>
      <c r="AD1712">
        <f t="shared" si="582"/>
        <v>8.4931506849315067E-2</v>
      </c>
      <c r="AE1712">
        <f t="shared" si="583"/>
        <v>0</v>
      </c>
      <c r="AF1712">
        <f t="shared" si="584"/>
        <v>0</v>
      </c>
      <c r="AG1712">
        <f t="shared" si="585"/>
        <v>0</v>
      </c>
      <c r="AH1712">
        <f t="shared" si="586"/>
        <v>0</v>
      </c>
      <c r="AI1712">
        <f t="shared" si="587"/>
        <v>0</v>
      </c>
      <c r="AJ1712" s="2" t="str">
        <f t="shared" si="597"/>
        <v>747818</v>
      </c>
    </row>
    <row r="1713" spans="1:36" x14ac:dyDescent="0.25">
      <c r="A1713">
        <v>8</v>
      </c>
      <c r="B1713" s="1">
        <v>47818</v>
      </c>
      <c r="C1713" s="1">
        <f t="shared" si="588"/>
        <v>48061</v>
      </c>
      <c r="D1713" s="1">
        <f t="shared" si="589"/>
        <v>47832</v>
      </c>
      <c r="E1713" s="1">
        <f t="shared" si="590"/>
        <v>48061</v>
      </c>
      <c r="F1713" s="1">
        <f t="shared" si="591"/>
        <v>48092</v>
      </c>
      <c r="G1713" s="1">
        <f t="shared" si="592"/>
        <v>48197</v>
      </c>
      <c r="H1713">
        <f t="shared" si="593"/>
        <v>365</v>
      </c>
      <c r="I1713">
        <f t="shared" si="594"/>
        <v>31</v>
      </c>
      <c r="J1713">
        <f t="shared" si="595"/>
        <v>8.4931506849315067E-2</v>
      </c>
      <c r="K1713">
        <f>IFERROR($J1713/IF($A1713&lt;COUNTIFS($K$1:K$1,"&lt;&gt;"),0,SUMIFS($J:$J,$B:$B,$B1713,$A:$A,"&gt;="&amp;COUNTIFS($K$1:K$1,"&lt;&gt;"))),0)</f>
        <v>8.9080459770114959E-2</v>
      </c>
      <c r="L1713">
        <f>IFERROR($J1713/IF($A1713&lt;COUNTIFS($K$1:L$1,"&lt;&gt;"),0,SUMIFS($J:$J,$B:$B,$B1713,$A:$A,"&gt;="&amp;COUNTIFS($K$1:L$1,"&lt;&gt;"))),0)</f>
        <v>9.7791798107255537E-2</v>
      </c>
      <c r="M1713">
        <f>IFERROR($J1713/IF($A1713&lt;COUNTIFS($K$1:M$1,"&lt;&gt;"),0,SUMIFS($J:$J,$B:$B,$B1713,$A:$A,"&gt;="&amp;COUNTIFS($K$1:M$1,"&lt;&gt;"))),0)</f>
        <v>0.10726643598615919</v>
      </c>
      <c r="N1713">
        <f>IFERROR($J1713/IF($A1713&lt;COUNTIFS($K$1:N$1,"&lt;&gt;"),0,SUMIFS($J:$J,$B:$B,$B1713,$A:$A,"&gt;="&amp;COUNTIFS($K$1:N$1,"&lt;&gt;"))),0)</f>
        <v>0.12015503875968994</v>
      </c>
      <c r="O1713">
        <f>IFERROR($J1713/IF($A1713&lt;COUNTIFS($K$1:O$1,"&lt;&gt;"),0,SUMIFS($J:$J,$B:$B,$B1713,$A:$A,"&gt;="&amp;COUNTIFS($K$1:O$1,"&lt;&gt;"))),0)</f>
        <v>0.13596491228070179</v>
      </c>
      <c r="P1713">
        <f>IFERROR($J1713/IF($A1713&lt;COUNTIFS($K$1:P$1,"&lt;&gt;"),0,SUMIFS($J:$J,$B:$B,$B1713,$A:$A,"&gt;="&amp;COUNTIFS($K$1:P$1,"&lt;&gt;"))),0)</f>
        <v>0.15736040609137059</v>
      </c>
      <c r="Q1713">
        <f>IFERROR($J1713/IF($A1713&lt;COUNTIFS($K$1:Q$1,"&lt;&gt;"),0,SUMIFS($J:$J,$B:$B,$B1713,$A:$A,"&gt;="&amp;COUNTIFS($K$1:Q$1,"&lt;&gt;"))),0)</f>
        <v>0.18562874251497008</v>
      </c>
      <c r="R1713">
        <f>IFERROR($J1713/IF($A1713&lt;COUNTIFS($K$1:R$1,"&lt;&gt;"),0,SUMIFS($J:$J,$B:$B,$B1713,$A:$A,"&gt;="&amp;COUNTIFS($K$1:R$1,"&lt;&gt;"))),0)</f>
        <v>0.22794117647058826</v>
      </c>
      <c r="S1713">
        <f>IFERROR($J1713/IF($A1713&lt;COUNTIFS($K$1:S$1,"&lt;&gt;"),0,SUMIFS($J:$J,$B:$B,$B1713,$A:$A,"&gt;="&amp;COUNTIFS($K$1:S$1,"&lt;&gt;"))),0)</f>
        <v>0</v>
      </c>
      <c r="T1713">
        <f>IFERROR($J1713/IF($A1713&lt;COUNTIFS($K$1:T$1,"&lt;&gt;"),0,SUMIFS($J:$J,$B:$B,$B1713,$A:$A,"&gt;="&amp;COUNTIFS($K$1:T$1,"&lt;&gt;"))),0)</f>
        <v>0</v>
      </c>
      <c r="U1713">
        <f>IFERROR($J1713/IF($A1713&lt;COUNTIFS($K$1:U$1,"&lt;&gt;"),0,SUMIFS($J:$J,$B:$B,$B1713,$A:$A,"&gt;="&amp;COUNTIFS($K$1:U$1,"&lt;&gt;"))),0)</f>
        <v>0</v>
      </c>
      <c r="V1713">
        <f>IFERROR($J1713/IF($A1713&lt;COUNTIFS($K$1:V$1,"&lt;&gt;"),0,SUMIFS($J:$J,$B:$B,$B1713,$A:$A,"&gt;="&amp;COUNTIFS($K$1:V$1,"&lt;&gt;"))),0)</f>
        <v>0</v>
      </c>
      <c r="W1713">
        <f t="shared" si="596"/>
        <v>8.4931506849315067E-2</v>
      </c>
      <c r="X1713">
        <f t="shared" si="576"/>
        <v>8.4931506849315067E-2</v>
      </c>
      <c r="Y1713">
        <f t="shared" si="577"/>
        <v>8.4931506849315067E-2</v>
      </c>
      <c r="Z1713">
        <f t="shared" si="578"/>
        <v>8.4931506849315067E-2</v>
      </c>
      <c r="AA1713">
        <f t="shared" si="579"/>
        <v>8.4931506849315067E-2</v>
      </c>
      <c r="AB1713">
        <f t="shared" si="580"/>
        <v>8.4931506849315067E-2</v>
      </c>
      <c r="AC1713">
        <f t="shared" si="581"/>
        <v>8.4931506849315067E-2</v>
      </c>
      <c r="AD1713">
        <f t="shared" si="582"/>
        <v>8.4931506849315067E-2</v>
      </c>
      <c r="AE1713">
        <f t="shared" si="583"/>
        <v>8.4931506849315067E-2</v>
      </c>
      <c r="AF1713">
        <f t="shared" si="584"/>
        <v>0</v>
      </c>
      <c r="AG1713">
        <f t="shared" si="585"/>
        <v>0</v>
      </c>
      <c r="AH1713">
        <f t="shared" si="586"/>
        <v>0</v>
      </c>
      <c r="AI1713">
        <f t="shared" si="587"/>
        <v>0</v>
      </c>
      <c r="AJ1713" s="2" t="str">
        <f t="shared" si="597"/>
        <v>847818</v>
      </c>
    </row>
    <row r="1714" spans="1:36" x14ac:dyDescent="0.25">
      <c r="A1714">
        <v>9</v>
      </c>
      <c r="B1714" s="1">
        <v>47818</v>
      </c>
      <c r="C1714" s="1">
        <f t="shared" si="588"/>
        <v>48092</v>
      </c>
      <c r="D1714" s="1">
        <f t="shared" si="589"/>
        <v>47832</v>
      </c>
      <c r="E1714" s="1">
        <f t="shared" si="590"/>
        <v>48092</v>
      </c>
      <c r="F1714" s="1">
        <f t="shared" si="591"/>
        <v>48122</v>
      </c>
      <c r="G1714" s="1">
        <f t="shared" si="592"/>
        <v>48197</v>
      </c>
      <c r="H1714">
        <f t="shared" si="593"/>
        <v>365</v>
      </c>
      <c r="I1714">
        <f t="shared" si="594"/>
        <v>30</v>
      </c>
      <c r="J1714">
        <f t="shared" si="595"/>
        <v>8.2191780821917804E-2</v>
      </c>
      <c r="K1714">
        <f>IFERROR($J1714/IF($A1714&lt;COUNTIFS($K$1:K$1,"&lt;&gt;"),0,SUMIFS($J:$J,$B:$B,$B1714,$A:$A,"&gt;="&amp;COUNTIFS($K$1:K$1,"&lt;&gt;"))),0)</f>
        <v>8.6206896551724144E-2</v>
      </c>
      <c r="L1714">
        <f>IFERROR($J1714/IF($A1714&lt;COUNTIFS($K$1:L$1,"&lt;&gt;"),0,SUMIFS($J:$J,$B:$B,$B1714,$A:$A,"&gt;="&amp;COUNTIFS($K$1:L$1,"&lt;&gt;"))),0)</f>
        <v>9.4637223974763415E-2</v>
      </c>
      <c r="M1714">
        <f>IFERROR($J1714/IF($A1714&lt;COUNTIFS($K$1:M$1,"&lt;&gt;"),0,SUMIFS($J:$J,$B:$B,$B1714,$A:$A,"&gt;="&amp;COUNTIFS($K$1:M$1,"&lt;&gt;"))),0)</f>
        <v>0.10380622837370243</v>
      </c>
      <c r="N1714">
        <f>IFERROR($J1714/IF($A1714&lt;COUNTIFS($K$1:N$1,"&lt;&gt;"),0,SUMIFS($J:$J,$B:$B,$B1714,$A:$A,"&gt;="&amp;COUNTIFS($K$1:N$1,"&lt;&gt;"))),0)</f>
        <v>0.11627906976744187</v>
      </c>
      <c r="O1714">
        <f>IFERROR($J1714/IF($A1714&lt;COUNTIFS($K$1:O$1,"&lt;&gt;"),0,SUMIFS($J:$J,$B:$B,$B1714,$A:$A,"&gt;="&amp;COUNTIFS($K$1:O$1,"&lt;&gt;"))),0)</f>
        <v>0.13157894736842107</v>
      </c>
      <c r="P1714">
        <f>IFERROR($J1714/IF($A1714&lt;COUNTIFS($K$1:P$1,"&lt;&gt;"),0,SUMIFS($J:$J,$B:$B,$B1714,$A:$A,"&gt;="&amp;COUNTIFS($K$1:P$1,"&lt;&gt;"))),0)</f>
        <v>0.15228426395939088</v>
      </c>
      <c r="Q1714">
        <f>IFERROR($J1714/IF($A1714&lt;COUNTIFS($K$1:Q$1,"&lt;&gt;"),0,SUMIFS($J:$J,$B:$B,$B1714,$A:$A,"&gt;="&amp;COUNTIFS($K$1:Q$1,"&lt;&gt;"))),0)</f>
        <v>0.17964071856287425</v>
      </c>
      <c r="R1714">
        <f>IFERROR($J1714/IF($A1714&lt;COUNTIFS($K$1:R$1,"&lt;&gt;"),0,SUMIFS($J:$J,$B:$B,$B1714,$A:$A,"&gt;="&amp;COUNTIFS($K$1:R$1,"&lt;&gt;"))),0)</f>
        <v>0.22058823529411764</v>
      </c>
      <c r="S1714">
        <f>IFERROR($J1714/IF($A1714&lt;COUNTIFS($K$1:S$1,"&lt;&gt;"),0,SUMIFS($J:$J,$B:$B,$B1714,$A:$A,"&gt;="&amp;COUNTIFS($K$1:S$1,"&lt;&gt;"))),0)</f>
        <v>0.2857142857142857</v>
      </c>
      <c r="T1714">
        <f>IFERROR($J1714/IF($A1714&lt;COUNTIFS($K$1:T$1,"&lt;&gt;"),0,SUMIFS($J:$J,$B:$B,$B1714,$A:$A,"&gt;="&amp;COUNTIFS($K$1:T$1,"&lt;&gt;"))),0)</f>
        <v>0</v>
      </c>
      <c r="U1714">
        <f>IFERROR($J1714/IF($A1714&lt;COUNTIFS($K$1:U$1,"&lt;&gt;"),0,SUMIFS($J:$J,$B:$B,$B1714,$A:$A,"&gt;="&amp;COUNTIFS($K$1:U$1,"&lt;&gt;"))),0)</f>
        <v>0</v>
      </c>
      <c r="V1714">
        <f>IFERROR($J1714/IF($A1714&lt;COUNTIFS($K$1:V$1,"&lt;&gt;"),0,SUMIFS($J:$J,$B:$B,$B1714,$A:$A,"&gt;="&amp;COUNTIFS($K$1:V$1,"&lt;&gt;"))),0)</f>
        <v>0</v>
      </c>
      <c r="W1714">
        <f t="shared" si="596"/>
        <v>8.2191780821917804E-2</v>
      </c>
      <c r="X1714">
        <f t="shared" si="576"/>
        <v>8.2191780821917804E-2</v>
      </c>
      <c r="Y1714">
        <f t="shared" si="577"/>
        <v>8.2191780821917804E-2</v>
      </c>
      <c r="Z1714">
        <f t="shared" si="578"/>
        <v>8.2191780821917804E-2</v>
      </c>
      <c r="AA1714">
        <f t="shared" si="579"/>
        <v>8.2191780821917804E-2</v>
      </c>
      <c r="AB1714">
        <f t="shared" si="580"/>
        <v>8.2191780821917804E-2</v>
      </c>
      <c r="AC1714">
        <f t="shared" si="581"/>
        <v>8.2191780821917804E-2</v>
      </c>
      <c r="AD1714">
        <f t="shared" si="582"/>
        <v>8.2191780821917804E-2</v>
      </c>
      <c r="AE1714">
        <f t="shared" si="583"/>
        <v>8.2191780821917804E-2</v>
      </c>
      <c r="AF1714">
        <f t="shared" si="584"/>
        <v>8.2191780821917804E-2</v>
      </c>
      <c r="AG1714">
        <f t="shared" si="585"/>
        <v>0</v>
      </c>
      <c r="AH1714">
        <f t="shared" si="586"/>
        <v>0</v>
      </c>
      <c r="AI1714">
        <f t="shared" si="587"/>
        <v>0</v>
      </c>
      <c r="AJ1714" s="2" t="str">
        <f t="shared" si="597"/>
        <v>947818</v>
      </c>
    </row>
    <row r="1715" spans="1:36" x14ac:dyDescent="0.25">
      <c r="A1715">
        <v>10</v>
      </c>
      <c r="B1715" s="1">
        <v>47818</v>
      </c>
      <c r="C1715" s="1">
        <f t="shared" si="588"/>
        <v>48122</v>
      </c>
      <c r="D1715" s="1">
        <f t="shared" si="589"/>
        <v>47832</v>
      </c>
      <c r="E1715" s="1">
        <f t="shared" si="590"/>
        <v>48122</v>
      </c>
      <c r="F1715" s="1">
        <f t="shared" si="591"/>
        <v>48153</v>
      </c>
      <c r="G1715" s="1">
        <f t="shared" si="592"/>
        <v>48197</v>
      </c>
      <c r="H1715">
        <f t="shared" si="593"/>
        <v>365</v>
      </c>
      <c r="I1715">
        <f t="shared" si="594"/>
        <v>31</v>
      </c>
      <c r="J1715">
        <f t="shared" si="595"/>
        <v>8.4931506849315067E-2</v>
      </c>
      <c r="K1715">
        <f>IFERROR($J1715/IF($A1715&lt;COUNTIFS($K$1:K$1,"&lt;&gt;"),0,SUMIFS($J:$J,$B:$B,$B1715,$A:$A,"&gt;="&amp;COUNTIFS($K$1:K$1,"&lt;&gt;"))),0)</f>
        <v>8.9080459770114959E-2</v>
      </c>
      <c r="L1715">
        <f>IFERROR($J1715/IF($A1715&lt;COUNTIFS($K$1:L$1,"&lt;&gt;"),0,SUMIFS($J:$J,$B:$B,$B1715,$A:$A,"&gt;="&amp;COUNTIFS($K$1:L$1,"&lt;&gt;"))),0)</f>
        <v>9.7791798107255537E-2</v>
      </c>
      <c r="M1715">
        <f>IFERROR($J1715/IF($A1715&lt;COUNTIFS($K$1:M$1,"&lt;&gt;"),0,SUMIFS($J:$J,$B:$B,$B1715,$A:$A,"&gt;="&amp;COUNTIFS($K$1:M$1,"&lt;&gt;"))),0)</f>
        <v>0.10726643598615919</v>
      </c>
      <c r="N1715">
        <f>IFERROR($J1715/IF($A1715&lt;COUNTIFS($K$1:N$1,"&lt;&gt;"),0,SUMIFS($J:$J,$B:$B,$B1715,$A:$A,"&gt;="&amp;COUNTIFS($K$1:N$1,"&lt;&gt;"))),0)</f>
        <v>0.12015503875968994</v>
      </c>
      <c r="O1715">
        <f>IFERROR($J1715/IF($A1715&lt;COUNTIFS($K$1:O$1,"&lt;&gt;"),0,SUMIFS($J:$J,$B:$B,$B1715,$A:$A,"&gt;="&amp;COUNTIFS($K$1:O$1,"&lt;&gt;"))),0)</f>
        <v>0.13596491228070179</v>
      </c>
      <c r="P1715">
        <f>IFERROR($J1715/IF($A1715&lt;COUNTIFS($K$1:P$1,"&lt;&gt;"),0,SUMIFS($J:$J,$B:$B,$B1715,$A:$A,"&gt;="&amp;COUNTIFS($K$1:P$1,"&lt;&gt;"))),0)</f>
        <v>0.15736040609137059</v>
      </c>
      <c r="Q1715">
        <f>IFERROR($J1715/IF($A1715&lt;COUNTIFS($K$1:Q$1,"&lt;&gt;"),0,SUMIFS($J:$J,$B:$B,$B1715,$A:$A,"&gt;="&amp;COUNTIFS($K$1:Q$1,"&lt;&gt;"))),0)</f>
        <v>0.18562874251497008</v>
      </c>
      <c r="R1715">
        <f>IFERROR($J1715/IF($A1715&lt;COUNTIFS($K$1:R$1,"&lt;&gt;"),0,SUMIFS($J:$J,$B:$B,$B1715,$A:$A,"&gt;="&amp;COUNTIFS($K$1:R$1,"&lt;&gt;"))),0)</f>
        <v>0.22794117647058826</v>
      </c>
      <c r="S1715">
        <f>IFERROR($J1715/IF($A1715&lt;COUNTIFS($K$1:S$1,"&lt;&gt;"),0,SUMIFS($J:$J,$B:$B,$B1715,$A:$A,"&gt;="&amp;COUNTIFS($K$1:S$1,"&lt;&gt;"))),0)</f>
        <v>0.29523809523809524</v>
      </c>
      <c r="T1715">
        <f>IFERROR($J1715/IF($A1715&lt;COUNTIFS($K$1:T$1,"&lt;&gt;"),0,SUMIFS($J:$J,$B:$B,$B1715,$A:$A,"&gt;="&amp;COUNTIFS($K$1:T$1,"&lt;&gt;"))),0)</f>
        <v>0.41333333333333333</v>
      </c>
      <c r="U1715">
        <f>IFERROR($J1715/IF($A1715&lt;COUNTIFS($K$1:U$1,"&lt;&gt;"),0,SUMIFS($J:$J,$B:$B,$B1715,$A:$A,"&gt;="&amp;COUNTIFS($K$1:U$1,"&lt;&gt;"))),0)</f>
        <v>0</v>
      </c>
      <c r="V1715">
        <f>IFERROR($J1715/IF($A1715&lt;COUNTIFS($K$1:V$1,"&lt;&gt;"),0,SUMIFS($J:$J,$B:$B,$B1715,$A:$A,"&gt;="&amp;COUNTIFS($K$1:V$1,"&lt;&gt;"))),0)</f>
        <v>0</v>
      </c>
      <c r="W1715">
        <f t="shared" si="596"/>
        <v>8.4931506849315067E-2</v>
      </c>
      <c r="X1715">
        <f t="shared" si="576"/>
        <v>8.4931506849315067E-2</v>
      </c>
      <c r="Y1715">
        <f t="shared" si="577"/>
        <v>8.4931506849315067E-2</v>
      </c>
      <c r="Z1715">
        <f t="shared" si="578"/>
        <v>8.4931506849315067E-2</v>
      </c>
      <c r="AA1715">
        <f t="shared" si="579"/>
        <v>8.4931506849315067E-2</v>
      </c>
      <c r="AB1715">
        <f t="shared" si="580"/>
        <v>8.4931506849315067E-2</v>
      </c>
      <c r="AC1715">
        <f t="shared" si="581"/>
        <v>8.4931506849315067E-2</v>
      </c>
      <c r="AD1715">
        <f t="shared" si="582"/>
        <v>8.4931506849315067E-2</v>
      </c>
      <c r="AE1715">
        <f t="shared" si="583"/>
        <v>8.4931506849315067E-2</v>
      </c>
      <c r="AF1715">
        <f t="shared" si="584"/>
        <v>8.4931506849315067E-2</v>
      </c>
      <c r="AG1715">
        <f t="shared" si="585"/>
        <v>8.4931506849315067E-2</v>
      </c>
      <c r="AH1715">
        <f t="shared" si="586"/>
        <v>0</v>
      </c>
      <c r="AI1715">
        <f t="shared" si="587"/>
        <v>0</v>
      </c>
      <c r="AJ1715" s="2" t="str">
        <f t="shared" si="597"/>
        <v>1047818</v>
      </c>
    </row>
    <row r="1716" spans="1:36" x14ac:dyDescent="0.25">
      <c r="A1716">
        <v>11</v>
      </c>
      <c r="B1716" s="1">
        <v>47818</v>
      </c>
      <c r="C1716" s="1">
        <f t="shared" si="588"/>
        <v>48153</v>
      </c>
      <c r="D1716" s="1">
        <f t="shared" si="589"/>
        <v>47832</v>
      </c>
      <c r="E1716" s="1">
        <f t="shared" si="590"/>
        <v>48153</v>
      </c>
      <c r="F1716" s="1">
        <f t="shared" si="591"/>
        <v>48183</v>
      </c>
      <c r="G1716" s="1">
        <f t="shared" si="592"/>
        <v>48197</v>
      </c>
      <c r="H1716">
        <f t="shared" si="593"/>
        <v>365</v>
      </c>
      <c r="I1716">
        <f t="shared" si="594"/>
        <v>30</v>
      </c>
      <c r="J1716">
        <f t="shared" si="595"/>
        <v>8.2191780821917804E-2</v>
      </c>
      <c r="K1716">
        <f>IFERROR($J1716/IF($A1716&lt;COUNTIFS($K$1:K$1,"&lt;&gt;"),0,SUMIFS($J:$J,$B:$B,$B1716,$A:$A,"&gt;="&amp;COUNTIFS($K$1:K$1,"&lt;&gt;"))),0)</f>
        <v>8.6206896551724144E-2</v>
      </c>
      <c r="L1716">
        <f>IFERROR($J1716/IF($A1716&lt;COUNTIFS($K$1:L$1,"&lt;&gt;"),0,SUMIFS($J:$J,$B:$B,$B1716,$A:$A,"&gt;="&amp;COUNTIFS($K$1:L$1,"&lt;&gt;"))),0)</f>
        <v>9.4637223974763415E-2</v>
      </c>
      <c r="M1716">
        <f>IFERROR($J1716/IF($A1716&lt;COUNTIFS($K$1:M$1,"&lt;&gt;"),0,SUMIFS($J:$J,$B:$B,$B1716,$A:$A,"&gt;="&amp;COUNTIFS($K$1:M$1,"&lt;&gt;"))),0)</f>
        <v>0.10380622837370243</v>
      </c>
      <c r="N1716">
        <f>IFERROR($J1716/IF($A1716&lt;COUNTIFS($K$1:N$1,"&lt;&gt;"),0,SUMIFS($J:$J,$B:$B,$B1716,$A:$A,"&gt;="&amp;COUNTIFS($K$1:N$1,"&lt;&gt;"))),0)</f>
        <v>0.11627906976744187</v>
      </c>
      <c r="O1716">
        <f>IFERROR($J1716/IF($A1716&lt;COUNTIFS($K$1:O$1,"&lt;&gt;"),0,SUMIFS($J:$J,$B:$B,$B1716,$A:$A,"&gt;="&amp;COUNTIFS($K$1:O$1,"&lt;&gt;"))),0)</f>
        <v>0.13157894736842107</v>
      </c>
      <c r="P1716">
        <f>IFERROR($J1716/IF($A1716&lt;COUNTIFS($K$1:P$1,"&lt;&gt;"),0,SUMIFS($J:$J,$B:$B,$B1716,$A:$A,"&gt;="&amp;COUNTIFS($K$1:P$1,"&lt;&gt;"))),0)</f>
        <v>0.15228426395939088</v>
      </c>
      <c r="Q1716">
        <f>IFERROR($J1716/IF($A1716&lt;COUNTIFS($K$1:Q$1,"&lt;&gt;"),0,SUMIFS($J:$J,$B:$B,$B1716,$A:$A,"&gt;="&amp;COUNTIFS($K$1:Q$1,"&lt;&gt;"))),0)</f>
        <v>0.17964071856287425</v>
      </c>
      <c r="R1716">
        <f>IFERROR($J1716/IF($A1716&lt;COUNTIFS($K$1:R$1,"&lt;&gt;"),0,SUMIFS($J:$J,$B:$B,$B1716,$A:$A,"&gt;="&amp;COUNTIFS($K$1:R$1,"&lt;&gt;"))),0)</f>
        <v>0.22058823529411764</v>
      </c>
      <c r="S1716">
        <f>IFERROR($J1716/IF($A1716&lt;COUNTIFS($K$1:S$1,"&lt;&gt;"),0,SUMIFS($J:$J,$B:$B,$B1716,$A:$A,"&gt;="&amp;COUNTIFS($K$1:S$1,"&lt;&gt;"))),0)</f>
        <v>0.2857142857142857</v>
      </c>
      <c r="T1716">
        <f>IFERROR($J1716/IF($A1716&lt;COUNTIFS($K$1:T$1,"&lt;&gt;"),0,SUMIFS($J:$J,$B:$B,$B1716,$A:$A,"&gt;="&amp;COUNTIFS($K$1:T$1,"&lt;&gt;"))),0)</f>
        <v>0.4</v>
      </c>
      <c r="U1716">
        <f>IFERROR($J1716/IF($A1716&lt;COUNTIFS($K$1:U$1,"&lt;&gt;"),0,SUMIFS($J:$J,$B:$B,$B1716,$A:$A,"&gt;="&amp;COUNTIFS($K$1:U$1,"&lt;&gt;"))),0)</f>
        <v>0.68181818181818177</v>
      </c>
      <c r="V1716">
        <f>IFERROR($J1716/IF($A1716&lt;COUNTIFS($K$1:V$1,"&lt;&gt;"),0,SUMIFS($J:$J,$B:$B,$B1716,$A:$A,"&gt;="&amp;COUNTIFS($K$1:V$1,"&lt;&gt;"))),0)</f>
        <v>0</v>
      </c>
      <c r="W1716">
        <f t="shared" si="596"/>
        <v>8.2191780821917804E-2</v>
      </c>
      <c r="X1716">
        <f t="shared" si="576"/>
        <v>8.2191780821917804E-2</v>
      </c>
      <c r="Y1716">
        <f t="shared" si="577"/>
        <v>8.2191780821917804E-2</v>
      </c>
      <c r="Z1716">
        <f t="shared" si="578"/>
        <v>8.2191780821917804E-2</v>
      </c>
      <c r="AA1716">
        <f t="shared" si="579"/>
        <v>8.2191780821917804E-2</v>
      </c>
      <c r="AB1716">
        <f t="shared" si="580"/>
        <v>8.2191780821917804E-2</v>
      </c>
      <c r="AC1716">
        <f t="shared" si="581"/>
        <v>8.2191780821917804E-2</v>
      </c>
      <c r="AD1716">
        <f t="shared" si="582"/>
        <v>8.2191780821917804E-2</v>
      </c>
      <c r="AE1716">
        <f t="shared" si="583"/>
        <v>8.2191780821917804E-2</v>
      </c>
      <c r="AF1716">
        <f t="shared" si="584"/>
        <v>8.2191780821917804E-2</v>
      </c>
      <c r="AG1716">
        <f t="shared" si="585"/>
        <v>8.2191780821917804E-2</v>
      </c>
      <c r="AH1716">
        <f t="shared" si="586"/>
        <v>8.2191780821917804E-2</v>
      </c>
      <c r="AI1716">
        <f t="shared" si="587"/>
        <v>0</v>
      </c>
      <c r="AJ1716" s="2" t="str">
        <f t="shared" si="597"/>
        <v>1147818</v>
      </c>
    </row>
    <row r="1717" spans="1:36" x14ac:dyDescent="0.25">
      <c r="A1717">
        <v>12</v>
      </c>
      <c r="B1717" s="1">
        <v>47818</v>
      </c>
      <c r="C1717" s="1">
        <f t="shared" si="588"/>
        <v>48183</v>
      </c>
      <c r="D1717" s="1">
        <f t="shared" si="589"/>
        <v>47832</v>
      </c>
      <c r="E1717" s="1">
        <f t="shared" si="590"/>
        <v>48183</v>
      </c>
      <c r="F1717" s="1">
        <f t="shared" si="591"/>
        <v>48197</v>
      </c>
      <c r="G1717" s="1">
        <f t="shared" si="592"/>
        <v>48197</v>
      </c>
      <c r="H1717">
        <f t="shared" si="593"/>
        <v>365</v>
      </c>
      <c r="I1717">
        <f t="shared" si="594"/>
        <v>14</v>
      </c>
      <c r="J1717">
        <f t="shared" si="595"/>
        <v>3.8356164383561646E-2</v>
      </c>
      <c r="K1717">
        <f>IFERROR($J1717/IF($A1717&lt;COUNTIFS($K$1:K$1,"&lt;&gt;"),0,SUMIFS($J:$J,$B:$B,$B1717,$A:$A,"&gt;="&amp;COUNTIFS($K$1:K$1,"&lt;&gt;"))),0)</f>
        <v>4.0229885057471271E-2</v>
      </c>
      <c r="L1717">
        <f>IFERROR($J1717/IF($A1717&lt;COUNTIFS($K$1:L$1,"&lt;&gt;"),0,SUMIFS($J:$J,$B:$B,$B1717,$A:$A,"&gt;="&amp;COUNTIFS($K$1:L$1,"&lt;&gt;"))),0)</f>
        <v>4.41640378548896E-2</v>
      </c>
      <c r="M1717">
        <f>IFERROR($J1717/IF($A1717&lt;COUNTIFS($K$1:M$1,"&lt;&gt;"),0,SUMIFS($J:$J,$B:$B,$B1717,$A:$A,"&gt;="&amp;COUNTIFS($K$1:M$1,"&lt;&gt;"))),0)</f>
        <v>4.8442906574394477E-2</v>
      </c>
      <c r="N1717">
        <f>IFERROR($J1717/IF($A1717&lt;COUNTIFS($K$1:N$1,"&lt;&gt;"),0,SUMIFS($J:$J,$B:$B,$B1717,$A:$A,"&gt;="&amp;COUNTIFS($K$1:N$1,"&lt;&gt;"))),0)</f>
        <v>5.4263565891472881E-2</v>
      </c>
      <c r="O1717">
        <f>IFERROR($J1717/IF($A1717&lt;COUNTIFS($K$1:O$1,"&lt;&gt;"),0,SUMIFS($J:$J,$B:$B,$B1717,$A:$A,"&gt;="&amp;COUNTIFS($K$1:O$1,"&lt;&gt;"))),0)</f>
        <v>6.1403508771929842E-2</v>
      </c>
      <c r="P1717">
        <f>IFERROR($J1717/IF($A1717&lt;COUNTIFS($K$1:P$1,"&lt;&gt;"),0,SUMIFS($J:$J,$B:$B,$B1717,$A:$A,"&gt;="&amp;COUNTIFS($K$1:P$1,"&lt;&gt;"))),0)</f>
        <v>7.1065989847715755E-2</v>
      </c>
      <c r="Q1717">
        <f>IFERROR($J1717/IF($A1717&lt;COUNTIFS($K$1:Q$1,"&lt;&gt;"),0,SUMIFS($J:$J,$B:$B,$B1717,$A:$A,"&gt;="&amp;COUNTIFS($K$1:Q$1,"&lt;&gt;"))),0)</f>
        <v>8.3832335329341326E-2</v>
      </c>
      <c r="R1717">
        <f>IFERROR($J1717/IF($A1717&lt;COUNTIFS($K$1:R$1,"&lt;&gt;"),0,SUMIFS($J:$J,$B:$B,$B1717,$A:$A,"&gt;="&amp;COUNTIFS($K$1:R$1,"&lt;&gt;"))),0)</f>
        <v>0.10294117647058824</v>
      </c>
      <c r="S1717">
        <f>IFERROR($J1717/IF($A1717&lt;COUNTIFS($K$1:S$1,"&lt;&gt;"),0,SUMIFS($J:$J,$B:$B,$B1717,$A:$A,"&gt;="&amp;COUNTIFS($K$1:S$1,"&lt;&gt;"))),0)</f>
        <v>0.13333333333333336</v>
      </c>
      <c r="T1717">
        <f>IFERROR($J1717/IF($A1717&lt;COUNTIFS($K$1:T$1,"&lt;&gt;"),0,SUMIFS($J:$J,$B:$B,$B1717,$A:$A,"&gt;="&amp;COUNTIFS($K$1:T$1,"&lt;&gt;"))),0)</f>
        <v>0.18666666666666668</v>
      </c>
      <c r="U1717">
        <f>IFERROR($J1717/IF($A1717&lt;COUNTIFS($K$1:U$1,"&lt;&gt;"),0,SUMIFS($J:$J,$B:$B,$B1717,$A:$A,"&gt;="&amp;COUNTIFS($K$1:U$1,"&lt;&gt;"))),0)</f>
        <v>0.31818181818181818</v>
      </c>
      <c r="V1717">
        <f>IFERROR($J1717/IF($A1717&lt;COUNTIFS($K$1:V$1,"&lt;&gt;"),0,SUMIFS($J:$J,$B:$B,$B1717,$A:$A,"&gt;="&amp;COUNTIFS($K$1:V$1,"&lt;&gt;"))),0)</f>
        <v>1</v>
      </c>
      <c r="W1717">
        <f t="shared" si="596"/>
        <v>3.8356164383561646E-2</v>
      </c>
      <c r="X1717">
        <f t="shared" si="576"/>
        <v>3.8356164383561646E-2</v>
      </c>
      <c r="Y1717">
        <f t="shared" si="577"/>
        <v>3.8356164383561646E-2</v>
      </c>
      <c r="Z1717">
        <f t="shared" si="578"/>
        <v>3.8356164383561646E-2</v>
      </c>
      <c r="AA1717">
        <f t="shared" si="579"/>
        <v>3.8356164383561646E-2</v>
      </c>
      <c r="AB1717">
        <f t="shared" si="580"/>
        <v>3.8356164383561646E-2</v>
      </c>
      <c r="AC1717">
        <f t="shared" si="581"/>
        <v>3.8356164383561646E-2</v>
      </c>
      <c r="AD1717">
        <f t="shared" si="582"/>
        <v>3.8356164383561646E-2</v>
      </c>
      <c r="AE1717">
        <f t="shared" si="583"/>
        <v>3.8356164383561646E-2</v>
      </c>
      <c r="AF1717">
        <f t="shared" si="584"/>
        <v>3.8356164383561646E-2</v>
      </c>
      <c r="AG1717">
        <f t="shared" si="585"/>
        <v>3.8356164383561646E-2</v>
      </c>
      <c r="AH1717">
        <f t="shared" si="586"/>
        <v>3.8356164383561646E-2</v>
      </c>
      <c r="AI1717">
        <f t="shared" si="587"/>
        <v>3.8356164383561646E-2</v>
      </c>
      <c r="AJ1717" s="2" t="str">
        <f t="shared" si="597"/>
        <v>1247818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ALMEIDA, VINICIUS</dc:creator>
  <cp:lastModifiedBy>Vinicius Almeida</cp:lastModifiedBy>
  <dcterms:created xsi:type="dcterms:W3CDTF">2015-06-05T18:17:20Z</dcterms:created>
  <dcterms:modified xsi:type="dcterms:W3CDTF">2025-10-01T19:20:01Z</dcterms:modified>
</cp:coreProperties>
</file>